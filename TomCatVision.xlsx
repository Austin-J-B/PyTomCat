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4"/>
    <sheet state="visible" name="FeedingStationChecklist" sheetId="2" r:id="rId5"/>
  </sheets>
  <definedNames/>
  <calcPr/>
</workbook>
</file>

<file path=xl/sharedStrings.xml><?xml version="1.0" encoding="utf-8"?>
<sst xmlns="http://schemas.openxmlformats.org/spreadsheetml/2006/main" count="268" uniqueCount="163">
  <si>
    <t>Name</t>
  </si>
  <si>
    <t>ID number</t>
  </si>
  <si>
    <t>Link in input</t>
  </si>
  <si>
    <t>serial number</t>
  </si>
  <si>
    <t>Count</t>
  </si>
  <si>
    <t>0. NotACat</t>
  </si>
  <si>
    <t/>
  </si>
  <si>
    <t>1. Microwave</t>
  </si>
  <si>
    <t>avg per class:</t>
  </si>
  <si>
    <t>2. Twix</t>
  </si>
  <si>
    <t>3. Ford F-150</t>
  </si>
  <si>
    <t>5. Eraser</t>
  </si>
  <si>
    <t>4. Eggs</t>
  </si>
  <si>
    <t>45. Boots</t>
  </si>
  <si>
    <t>6. Snickers</t>
  </si>
  <si>
    <t>7. Hershey</t>
  </si>
  <si>
    <t>12. Faye</t>
  </si>
  <si>
    <t>8. Pencil</t>
  </si>
  <si>
    <t>42. Rubber</t>
  </si>
  <si>
    <t>9. Melvin</t>
  </si>
  <si>
    <t>41. Gregory</t>
  </si>
  <si>
    <t>10. Alaska</t>
  </si>
  <si>
    <t>47. Nefarious</t>
  </si>
  <si>
    <t>11. Laufey</t>
  </si>
  <si>
    <t>39. Radar</t>
  </si>
  <si>
    <t>38. Winston</t>
  </si>
  <si>
    <t>13. Lionel</t>
  </si>
  <si>
    <t>44. Shitbag Cuntface</t>
  </si>
  <si>
    <t>14. Pencil 2</t>
  </si>
  <si>
    <t>40. Dumpster</t>
  </si>
  <si>
    <t>15. Snowball</t>
  </si>
  <si>
    <t>58. Eden</t>
  </si>
  <si>
    <t>16. Marley</t>
  </si>
  <si>
    <t>99. Nezhui</t>
  </si>
  <si>
    <t>17. Bobbie</t>
  </si>
  <si>
    <t>29. Ginger</t>
  </si>
  <si>
    <t>18. Porkchop</t>
  </si>
  <si>
    <t>20. Citlali</t>
  </si>
  <si>
    <t>19. Rolo</t>
  </si>
  <si>
    <t>27. Angel</t>
  </si>
  <si>
    <t>95. Ariel</t>
  </si>
  <si>
    <t>21. Paquini</t>
  </si>
  <si>
    <t>22. Glockenspiel</t>
  </si>
  <si>
    <t>30. Pepper</t>
  </si>
  <si>
    <t>23. Tlacuilo</t>
  </si>
  <si>
    <t>61. Cassie</t>
  </si>
  <si>
    <t>24. Garfield</t>
  </si>
  <si>
    <t>43. Bruno</t>
  </si>
  <si>
    <t>25. Aphrodite</t>
  </si>
  <si>
    <t>88. Vincente</t>
  </si>
  <si>
    <t>26. Tang</t>
  </si>
  <si>
    <t>115. Toothless</t>
  </si>
  <si>
    <t>46. Princess</t>
  </si>
  <si>
    <t>28. Friga</t>
  </si>
  <si>
    <t>62. Gorygreg</t>
  </si>
  <si>
    <t>73. Coronavirus</t>
  </si>
  <si>
    <t>31. Scraggle</t>
  </si>
  <si>
    <t>33. Zee</t>
  </si>
  <si>
    <t>32. Noir</t>
  </si>
  <si>
    <t>111. Mayatl</t>
  </si>
  <si>
    <t>34. Oreo 2</t>
  </si>
  <si>
    <t>105. Chilton</t>
  </si>
  <si>
    <t>35. Stove</t>
  </si>
  <si>
    <t>80. Atzi</t>
  </si>
  <si>
    <t>36. Scringle</t>
  </si>
  <si>
    <t>37. Dingus</t>
  </si>
  <si>
    <t>116. Itzel</t>
  </si>
  <si>
    <t>49. Freya</t>
  </si>
  <si>
    <t>106. Ami</t>
  </si>
  <si>
    <t>50. Thor</t>
  </si>
  <si>
    <t>100. Coatl</t>
  </si>
  <si>
    <t>141. Kamahalan</t>
  </si>
  <si>
    <t>89. Petal</t>
  </si>
  <si>
    <t>125. Conan Gray</t>
  </si>
  <si>
    <t>101. Nori</t>
  </si>
  <si>
    <t>48. Houdini</t>
  </si>
  <si>
    <t>51. Odin</t>
  </si>
  <si>
    <t>64. Ernie</t>
  </si>
  <si>
    <t>52. Voidling</t>
  </si>
  <si>
    <t>123. Temiquini</t>
  </si>
  <si>
    <t>53. Piggy</t>
  </si>
  <si>
    <t>54. Tommy</t>
  </si>
  <si>
    <t>94. Itztli</t>
  </si>
  <si>
    <t>55. Callie</t>
  </si>
  <si>
    <t>56. Lard</t>
  </si>
  <si>
    <t>109. Tlalli</t>
  </si>
  <si>
    <t>57. Airbus A320 Neo</t>
  </si>
  <si>
    <t>128. Sinatra</t>
  </si>
  <si>
    <t>59. Creamsicle</t>
  </si>
  <si>
    <t>60. Redacted</t>
  </si>
  <si>
    <t>124. Yumi</t>
  </si>
  <si>
    <t>87. Bandit</t>
  </si>
  <si>
    <t>108. Mazatl</t>
  </si>
  <si>
    <t>63. Mr Stinky</t>
  </si>
  <si>
    <t>146. Monsieur Stanky</t>
  </si>
  <si>
    <t>65. Tepi</t>
  </si>
  <si>
    <t>86. Honda</t>
  </si>
  <si>
    <t>66. Toblerone</t>
  </si>
  <si>
    <t>102. Keaton</t>
  </si>
  <si>
    <t>67. Waffles</t>
  </si>
  <si>
    <t>78. Ed Sheeran</t>
  </si>
  <si>
    <t>68. Unnamed Noir Child</t>
  </si>
  <si>
    <t>93. Meatball</t>
  </si>
  <si>
    <t>69. Kinder</t>
  </si>
  <si>
    <t>110. Ahua</t>
  </si>
  <si>
    <t>70. Enchilada</t>
  </si>
  <si>
    <t>90. Chimichanga</t>
  </si>
  <si>
    <t>71. Robin</t>
  </si>
  <si>
    <t>126. Tax Evasion</t>
  </si>
  <si>
    <t>72. Mr Sir</t>
  </si>
  <si>
    <t>127. Eleanor</t>
  </si>
  <si>
    <t>75. Musketeer</t>
  </si>
  <si>
    <t>76. Eezard</t>
  </si>
  <si>
    <t>97.  Simba</t>
  </si>
  <si>
    <t>77. Ooni</t>
  </si>
  <si>
    <t>103. Bea</t>
  </si>
  <si>
    <t>112. Cipactli</t>
  </si>
  <si>
    <t>79. Leaflet</t>
  </si>
  <si>
    <t>81. Ehecatl</t>
  </si>
  <si>
    <t>82. Tlatecuini</t>
  </si>
  <si>
    <t>96. Barbie</t>
  </si>
  <si>
    <t>83. Mixtli</t>
  </si>
  <si>
    <t>84. Maddox</t>
  </si>
  <si>
    <t>92. Cloudy</t>
  </si>
  <si>
    <t>85. Pallas</t>
  </si>
  <si>
    <t>114. Elision</t>
  </si>
  <si>
    <t>132. Kelley</t>
  </si>
  <si>
    <t>104. Joji</t>
  </si>
  <si>
    <t>91. Butter</t>
  </si>
  <si>
    <t>121. Spongebop</t>
  </si>
  <si>
    <t>129. Charles</t>
  </si>
  <si>
    <t>137. Harpy</t>
  </si>
  <si>
    <t>144. Peats</t>
  </si>
  <si>
    <t>98. Timon</t>
  </si>
  <si>
    <t>130. Skipper</t>
  </si>
  <si>
    <t>133. Fluff</t>
  </si>
  <si>
    <t>138. Hare</t>
  </si>
  <si>
    <t>118. Stinker</t>
  </si>
  <si>
    <t>117. Chance</t>
  </si>
  <si>
    <t>134. Kacie</t>
  </si>
  <si>
    <t>140. Gordon</t>
  </si>
  <si>
    <t>147. Tenextic</t>
  </si>
  <si>
    <t>122. BDubs</t>
  </si>
  <si>
    <t>131. Jazzy</t>
  </si>
  <si>
    <t>142. Teddy</t>
  </si>
  <si>
    <t>143. Timothy</t>
  </si>
  <si>
    <t>136. Henry</t>
  </si>
  <si>
    <t>139. Hound</t>
  </si>
  <si>
    <t>120. Stop</t>
  </si>
  <si>
    <t>135. Tumor</t>
  </si>
  <si>
    <t>107. Miztli</t>
  </si>
  <si>
    <t>113. Ty</t>
  </si>
  <si>
    <t>119. Wing</t>
  </si>
  <si>
    <t>145. Bagel</t>
  </si>
  <si>
    <t>West Hall</t>
  </si>
  <si>
    <t>Business</t>
  </si>
  <si>
    <t>Greens</t>
  </si>
  <si>
    <t>HOP</t>
  </si>
  <si>
    <t>Lot 50</t>
  </si>
  <si>
    <t>Mary Kay and Zen</t>
  </si>
  <si>
    <t>Microwave</t>
  </si>
  <si>
    <t>Snickers</t>
  </si>
  <si>
    <t>Maintenance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</si>
</sst>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horizontal="right" shrinkToFit="0" vertical="bottom" wrapText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drive.google.com/file/d/1UUqK2TEvvFWwU2MTF7uD_hCNWyWMpPQZ/view?usp=drivesdk" TargetMode="External"/><Relationship Id="rId8308" Type="http://schemas.openxmlformats.org/officeDocument/2006/relationships/hyperlink" Target="https://drive.google.com/file/d/146ktMOcNLig32cY8y15eNcr7iDy6LoPb/view?usp=drivesdk" TargetMode="External"/><Relationship Id="rId8303" Type="http://schemas.openxmlformats.org/officeDocument/2006/relationships/hyperlink" Target="https://drive.google.com/file/d/1hY64Lrbl0GB08k-cKGE0vIYx2P-KOVly/view?usp=drivesdk" TargetMode="External"/><Relationship Id="rId8302" Type="http://schemas.openxmlformats.org/officeDocument/2006/relationships/hyperlink" Target="https://drive.google.com/file/d/17OVDdD2avcUZeLKJv6t9Nk_NfjjcG9ou/view?usp=drivesdk" TargetMode="External"/><Relationship Id="rId8301" Type="http://schemas.openxmlformats.org/officeDocument/2006/relationships/hyperlink" Target="https://drive.google.com/file/d/1Ta3BY3EEu7LLvN3LKBS3IHXJQvpqMIsX/view?usp=drivesdk" TargetMode="External"/><Relationship Id="rId8300" Type="http://schemas.openxmlformats.org/officeDocument/2006/relationships/hyperlink" Target="https://drive.google.com/file/d/1MmUxzwmgP34xBOIQePS8ufWSnHzyaU82/view?usp=drivesdk" TargetMode="External"/><Relationship Id="rId8307" Type="http://schemas.openxmlformats.org/officeDocument/2006/relationships/hyperlink" Target="https://drive.google.com/file/d/1C5O97U40LS5viWDzARu9kNvXTLWuAJoM/view?usp=drivesdk" TargetMode="External"/><Relationship Id="rId8306" Type="http://schemas.openxmlformats.org/officeDocument/2006/relationships/hyperlink" Target="https://drive.google.com/file/d/1PhVDCUv1zrDGj13suAStsQUdtA9EpJMI/view?usp=drivesdk" TargetMode="External"/><Relationship Id="rId8305" Type="http://schemas.openxmlformats.org/officeDocument/2006/relationships/hyperlink" Target="https://drive.google.com/file/d/1NgNLUaZ3KkjYJxQu1Y5f6l4iKcqbKyLS/view?usp=drivesdk" TargetMode="External"/><Relationship Id="rId8304" Type="http://schemas.openxmlformats.org/officeDocument/2006/relationships/hyperlink" Target="https://drive.google.com/file/d/1RHcYpoalYuMVaXxP_ZxBE1rrvD8netEl/view?usp=drivesdk" TargetMode="External"/><Relationship Id="rId2180" Type="http://schemas.openxmlformats.org/officeDocument/2006/relationships/hyperlink" Target="https://drive.google.com/file/d/1AWIjywQtxfZggjpkwkoNvPNImXm6EbKy/view?usp=drivesdk" TargetMode="External"/><Relationship Id="rId2181" Type="http://schemas.openxmlformats.org/officeDocument/2006/relationships/hyperlink" Target="https://drive.google.com/file/d/1Ydw5IrKl6spCXPDFZ0Ox5roNHg9cptkI/view?usp=drivesdk" TargetMode="External"/><Relationship Id="rId2182" Type="http://schemas.openxmlformats.org/officeDocument/2006/relationships/hyperlink" Target="https://drive.google.com/file/d/1uW8mPMyFTOe9Y0EEpR36C_Gr3NDafV3Y/view?usp=drivesdk" TargetMode="External"/><Relationship Id="rId2183" Type="http://schemas.openxmlformats.org/officeDocument/2006/relationships/hyperlink" Target="https://drive.google.com/file/d/1c90eJTZrgNoXNloXlI0wfkXhhD8buN3J/view?usp=drivesdk" TargetMode="External"/><Relationship Id="rId2184" Type="http://schemas.openxmlformats.org/officeDocument/2006/relationships/hyperlink" Target="https://drive.google.com/file/d/1BZG4-bHO8Dax8-OkJcYWSwsfiNiwjFE4/view?usp=drivesdk" TargetMode="External"/><Relationship Id="rId2185" Type="http://schemas.openxmlformats.org/officeDocument/2006/relationships/hyperlink" Target="https://drive.google.com/file/d/10Zejml-e2Rn1-Iwr4nLHdZxcW3Sw-mjt/view?usp=drivesdk" TargetMode="External"/><Relationship Id="rId2186" Type="http://schemas.openxmlformats.org/officeDocument/2006/relationships/hyperlink" Target="https://drive.google.com/file/d/10mueqCgDZa8bEEQ1gnMdLKK7vzQjZMj9/view?usp=drivesdk" TargetMode="External"/><Relationship Id="rId2187" Type="http://schemas.openxmlformats.org/officeDocument/2006/relationships/hyperlink" Target="https://drive.google.com/file/d/12Rp-aSw_ANoJXlLsx6qX19K0pYPhA_2N/view?usp=drivesdk" TargetMode="External"/><Relationship Id="rId2188" Type="http://schemas.openxmlformats.org/officeDocument/2006/relationships/hyperlink" Target="https://drive.google.com/file/d/14LlULaGlggmNNuljDDlRc5Ex0IaPO95t/view?usp=drivesdk" TargetMode="External"/><Relationship Id="rId2189" Type="http://schemas.openxmlformats.org/officeDocument/2006/relationships/hyperlink" Target="https://drive.google.com/file/d/1GxJEZnVhCv1PNn-CltI8dPK2XsB4k3SQ/view?usp=drivesdk" TargetMode="External"/><Relationship Id="rId2170" Type="http://schemas.openxmlformats.org/officeDocument/2006/relationships/hyperlink" Target="https://drive.google.com/file/d/1px2e1GtGqPYdYtOGeDUEgu3AVgGDHL3G/view?usp=drivesdk" TargetMode="External"/><Relationship Id="rId2171" Type="http://schemas.openxmlformats.org/officeDocument/2006/relationships/hyperlink" Target="https://drive.google.com/file/d/1T_xOhAHIHmBgAmTL_KSBXXfngGah5v0_/view?usp=drivesdk" TargetMode="External"/><Relationship Id="rId2172" Type="http://schemas.openxmlformats.org/officeDocument/2006/relationships/hyperlink" Target="https://drive.google.com/file/d/1q01-TFh3vXjFSdTzCIhQc3XqShezkT57/view?usp=drivesdk" TargetMode="External"/><Relationship Id="rId2173" Type="http://schemas.openxmlformats.org/officeDocument/2006/relationships/hyperlink" Target="https://drive.google.com/file/d/15h_k5UgRFjyLT0gRXIpAeZTpYkZe_Ov_/view?usp=drivesdk" TargetMode="External"/><Relationship Id="rId2174" Type="http://schemas.openxmlformats.org/officeDocument/2006/relationships/hyperlink" Target="https://drive.google.com/file/d/1kyyTIcl91K6J_2MkY2c_B3_HeAaaVQ_Z/view?usp=drivesdk" TargetMode="External"/><Relationship Id="rId2175" Type="http://schemas.openxmlformats.org/officeDocument/2006/relationships/hyperlink" Target="https://drive.google.com/file/d/1pRS6aqxTE2zPfRXP1V3Q00SxD57RqaUm/view?usp=drivesdk" TargetMode="External"/><Relationship Id="rId2176" Type="http://schemas.openxmlformats.org/officeDocument/2006/relationships/hyperlink" Target="https://drive.google.com/file/d/1E5_Vp7unOR5Tla_PW9a459bC3pnCOgaS/view?usp=drivesdk" TargetMode="External"/><Relationship Id="rId2177" Type="http://schemas.openxmlformats.org/officeDocument/2006/relationships/hyperlink" Target="https://drive.google.com/file/d/12H0IiMkmXuCih_nGL9ghDLTrRqdh6Wrq/view?usp=drivesdk" TargetMode="External"/><Relationship Id="rId2178" Type="http://schemas.openxmlformats.org/officeDocument/2006/relationships/hyperlink" Target="https://drive.google.com/file/d/1B7av2zXJtSKO1o0kUK3quIsa7URTjAgN/view?usp=drivesdk" TargetMode="External"/><Relationship Id="rId2179" Type="http://schemas.openxmlformats.org/officeDocument/2006/relationships/hyperlink" Target="https://drive.google.com/file/d/1Rt4OuMWh0-lzcb2Eo_U6IfK4UcqmKTnQ/view?usp=drivesdk" TargetMode="External"/><Relationship Id="rId2190" Type="http://schemas.openxmlformats.org/officeDocument/2006/relationships/hyperlink" Target="https://drive.google.com/file/d/1R1ivKinyCoO6P0yXZy8L7V6TASiVtgmH/view?usp=drivesdk" TargetMode="External"/><Relationship Id="rId2191" Type="http://schemas.openxmlformats.org/officeDocument/2006/relationships/hyperlink" Target="https://drive.google.com/file/d/18c_MqQOSTRz6hMsSo2L34uDCo2Y_bHsy/view?usp=drivesdk" TargetMode="External"/><Relationship Id="rId2192" Type="http://schemas.openxmlformats.org/officeDocument/2006/relationships/hyperlink" Target="https://drive.google.com/file/d/1DocB8_uNng58hjamvawSP8ODUnhm6GR8/view?usp=drivesdk" TargetMode="External"/><Relationship Id="rId2193" Type="http://schemas.openxmlformats.org/officeDocument/2006/relationships/hyperlink" Target="https://drive.google.com/file/d/19WukcbbNZnOiZbVkmsa7dzcuIlq4mugZ/view?usp=drivesdk" TargetMode="External"/><Relationship Id="rId2194" Type="http://schemas.openxmlformats.org/officeDocument/2006/relationships/hyperlink" Target="https://drive.google.com/file/d/1AmUwyzuQEj7dCjHDdZ-I8EQK_wUyRjFI/view?usp=drivesdk" TargetMode="External"/><Relationship Id="rId2195" Type="http://schemas.openxmlformats.org/officeDocument/2006/relationships/hyperlink" Target="https://drive.google.com/file/d/1fAzNm0rQYNFQQg1zUE9kLvzniEQn5_iK/view?usp=drivesdk" TargetMode="External"/><Relationship Id="rId2196" Type="http://schemas.openxmlformats.org/officeDocument/2006/relationships/hyperlink" Target="https://drive.google.com/file/d/1hq8y_iRF9qv_iCZjTGQ7Tyie__Ga4BPC/view?usp=drivesdk" TargetMode="External"/><Relationship Id="rId2197" Type="http://schemas.openxmlformats.org/officeDocument/2006/relationships/hyperlink" Target="https://drive.google.com/file/d/1kCw-XtXMYhaLjHHzJmDLkw3i1rKGuo28/view?usp=drivesdk" TargetMode="External"/><Relationship Id="rId2198" Type="http://schemas.openxmlformats.org/officeDocument/2006/relationships/hyperlink" Target="https://drive.google.com/file/d/1RiFmvyi1IW5izlhhy9bGUWg1c-IXxDn-/view?usp=drivesdk" TargetMode="External"/><Relationship Id="rId2199" Type="http://schemas.openxmlformats.org/officeDocument/2006/relationships/hyperlink" Target="https://drive.google.com/file/d/1n80Kth-v_7aub_5n-yz_fF3qINtJQJcD/view?usp=drivesdk" TargetMode="External"/><Relationship Id="rId7030" Type="http://schemas.openxmlformats.org/officeDocument/2006/relationships/hyperlink" Target="https://drive.google.com/file/d/1pSHlWVCZZo0lvhyoPN1z-dGB7yp5vMz7/view?usp=drivesdk" TargetMode="External"/><Relationship Id="rId8361" Type="http://schemas.openxmlformats.org/officeDocument/2006/relationships/hyperlink" Target="https://drive.google.com/file/d/1K2m2wpE05yIrxn26Nr5lq7ZOJEwHR_y0/view?usp=drivesdk" TargetMode="External"/><Relationship Id="rId8360" Type="http://schemas.openxmlformats.org/officeDocument/2006/relationships/hyperlink" Target="https://drive.google.com/file/d/1IAq9WOc3JvkN2gRTol53T0GwF7n8OhrX/view?usp=drivesdk" TargetMode="External"/><Relationship Id="rId7034" Type="http://schemas.openxmlformats.org/officeDocument/2006/relationships/hyperlink" Target="https://drive.google.com/file/d/1EPxpuvGOcyjk_oSXz48sekw6Jgeja3_i/view?usp=drivesdk" TargetMode="External"/><Relationship Id="rId8365" Type="http://schemas.openxmlformats.org/officeDocument/2006/relationships/hyperlink" Target="https://drive.google.com/file/d/1mUiO9e49N1VBwIjE20U4xSyw383tbrSz/view?usp=drivesdk" TargetMode="External"/><Relationship Id="rId7033" Type="http://schemas.openxmlformats.org/officeDocument/2006/relationships/hyperlink" Target="https://drive.google.com/file/d/1toAjwnmMcFvNrz6lPEupXk0zWrreuucC/view?usp=drivesdk" TargetMode="External"/><Relationship Id="rId8364" Type="http://schemas.openxmlformats.org/officeDocument/2006/relationships/hyperlink" Target="https://drive.google.com/file/d/1DvAWixModXNTTqsIwA2XCrHFcr1rZqHy/view?usp=drivesdk" TargetMode="External"/><Relationship Id="rId7032" Type="http://schemas.openxmlformats.org/officeDocument/2006/relationships/hyperlink" Target="https://drive.google.com/file/d/1_RnNwPzR-2TzlE9JMoJZ92zhSvgEng-y/view?usp=drivesdk" TargetMode="External"/><Relationship Id="rId8363" Type="http://schemas.openxmlformats.org/officeDocument/2006/relationships/hyperlink" Target="https://drive.google.com/file/d/1j9fG-BvBMTtQx0F-a3t88k7aXmNhyFjn/view?usp=drivesdk" TargetMode="External"/><Relationship Id="rId7031" Type="http://schemas.openxmlformats.org/officeDocument/2006/relationships/hyperlink" Target="https://drive.google.com/file/d/101-cl_7J2sypQ2HcIOeWkJuhg1C97jBS/view?usp=drivesdk" TargetMode="External"/><Relationship Id="rId8362" Type="http://schemas.openxmlformats.org/officeDocument/2006/relationships/hyperlink" Target="https://drive.google.com/file/d/1xYXAinQksk5kKLcCoy40FYblptWqw5wN/view?usp=drivesdk" TargetMode="External"/><Relationship Id="rId7038" Type="http://schemas.openxmlformats.org/officeDocument/2006/relationships/hyperlink" Target="https://drive.google.com/file/d/1141ocwSqpHSODp57hfm-07zILHv37Pzh/view?usp=drivesdk" TargetMode="External"/><Relationship Id="rId8369" Type="http://schemas.openxmlformats.org/officeDocument/2006/relationships/hyperlink" Target="https://drive.google.com/file/d/16QKjCkLZGVfGJsY1c-_H0h-YWyMjVhIC/view?usp=drivesdk" TargetMode="External"/><Relationship Id="rId7037" Type="http://schemas.openxmlformats.org/officeDocument/2006/relationships/hyperlink" Target="https://drive.google.com/file/d/18kEFt0Sb7XdVBnmL4N1UT0JNR3tVmKiF/view?usp=drivesdk" TargetMode="External"/><Relationship Id="rId8368" Type="http://schemas.openxmlformats.org/officeDocument/2006/relationships/hyperlink" Target="https://drive.google.com/file/d/1pOiD4cuYH7G0kLDXN_K_sf_Aas9n5VBe/view?usp=drivesdk" TargetMode="External"/><Relationship Id="rId7036" Type="http://schemas.openxmlformats.org/officeDocument/2006/relationships/hyperlink" Target="https://drive.google.com/file/d/1LDNQZrkgQWgQK6S0f6VzXKIsvSly5PuY/view?usp=drivesdk" TargetMode="External"/><Relationship Id="rId8367" Type="http://schemas.openxmlformats.org/officeDocument/2006/relationships/hyperlink" Target="https://drive.google.com/file/d/1Kjk8097qgoEIjS5_is9IlPfmK-pOibEG/view?usp=drivesdk" TargetMode="External"/><Relationship Id="rId7035" Type="http://schemas.openxmlformats.org/officeDocument/2006/relationships/hyperlink" Target="https://drive.google.com/file/d/1QgL-eWJP6NrAsZXoAw__bnU526zdMYG9/view?usp=drivesdk" TargetMode="External"/><Relationship Id="rId8366" Type="http://schemas.openxmlformats.org/officeDocument/2006/relationships/hyperlink" Target="https://drive.google.com/file/d/1IDjuLYzi8yzrbA5Hd84aNLiHuKKiLVvG/view?usp=drivesdk" TargetMode="External"/><Relationship Id="rId7039" Type="http://schemas.openxmlformats.org/officeDocument/2006/relationships/hyperlink" Target="https://drive.google.com/file/d/1em-SGSM6vy3SZrQFFk8AbkIy9mZGPZQx/view?usp=drivesdk" TargetMode="External"/><Relationship Id="rId8350" Type="http://schemas.openxmlformats.org/officeDocument/2006/relationships/hyperlink" Target="https://drive.google.com/file/d/1tyFDu0PpPJidqjW6PAD0RipBHkmkfdaM/view?usp=drivesdk" TargetMode="External"/><Relationship Id="rId7023" Type="http://schemas.openxmlformats.org/officeDocument/2006/relationships/hyperlink" Target="https://drive.google.com/file/d/11Sc1Gf1_VWP4FcGbXyotr_Payf-6n-Vg/view?usp=drivesdk" TargetMode="External"/><Relationship Id="rId8354" Type="http://schemas.openxmlformats.org/officeDocument/2006/relationships/hyperlink" Target="https://drive.google.com/file/d/1OI6fQ993W0LalCAOkKwfM-iedy-q9Ovw/view?usp=drivesdk" TargetMode="External"/><Relationship Id="rId7022" Type="http://schemas.openxmlformats.org/officeDocument/2006/relationships/hyperlink" Target="https://drive.google.com/file/d/1dfcQ8Ep5yHTVCwmD8aRgE0SRkLSXlTRe/view?usp=drivesdk" TargetMode="External"/><Relationship Id="rId8353" Type="http://schemas.openxmlformats.org/officeDocument/2006/relationships/hyperlink" Target="https://drive.google.com/file/d/1DBhYVVbXTrsspd9b19pwqqLJz19fyr6D/view?usp=drivesdk" TargetMode="External"/><Relationship Id="rId7021" Type="http://schemas.openxmlformats.org/officeDocument/2006/relationships/hyperlink" Target="https://drive.google.com/file/d/16fkAV8ecu7GMyH6maE8bthrHUq4zSCph/view?usp=drivesdk" TargetMode="External"/><Relationship Id="rId8352" Type="http://schemas.openxmlformats.org/officeDocument/2006/relationships/hyperlink" Target="https://drive.google.com/file/d/17nf5iyLJJrcQFQxeMv6khq1jdF9_ZwX2/view?usp=drivesdk" TargetMode="External"/><Relationship Id="rId7020" Type="http://schemas.openxmlformats.org/officeDocument/2006/relationships/hyperlink" Target="https://drive.google.com/file/d/1YAs8Sffrku61DUqUHTj9zCfuWeGNKINe/view?usp=drivesdk" TargetMode="External"/><Relationship Id="rId8351" Type="http://schemas.openxmlformats.org/officeDocument/2006/relationships/hyperlink" Target="https://drive.google.com/file/d/1r1SjssH8fCwXPFD1Pc_FY4hYhfagiU8c/view?usp=drivesdk" TargetMode="External"/><Relationship Id="rId7027" Type="http://schemas.openxmlformats.org/officeDocument/2006/relationships/hyperlink" Target="https://drive.google.com/file/d/1rf_6p44DYR7Zhk93y3_4UBJqsKapzwhY/view?usp=drivesdk" TargetMode="External"/><Relationship Id="rId8358" Type="http://schemas.openxmlformats.org/officeDocument/2006/relationships/hyperlink" Target="https://drive.google.com/file/d/1bZiUv0fpd2gY55BPKBdt1p61uQX4kdA4/view?usp=drivesdk" TargetMode="External"/><Relationship Id="rId7026" Type="http://schemas.openxmlformats.org/officeDocument/2006/relationships/hyperlink" Target="https://drive.google.com/file/d/1nlWTnKMuJeZn9hUIfcllL7mogX2cZkw1/view?usp=drivesdk" TargetMode="External"/><Relationship Id="rId8357" Type="http://schemas.openxmlformats.org/officeDocument/2006/relationships/hyperlink" Target="https://drive.google.com/file/d/1DBbSO70Ob7zB9yw_cea2tG0T2LNjr6WC/view?usp=drivesdk" TargetMode="External"/><Relationship Id="rId7025" Type="http://schemas.openxmlformats.org/officeDocument/2006/relationships/hyperlink" Target="https://drive.google.com/file/d/1HJxe7eIprfvZXRo_7S7OgqAD_1Ah_yUY/view?usp=drivesdk" TargetMode="External"/><Relationship Id="rId8356" Type="http://schemas.openxmlformats.org/officeDocument/2006/relationships/hyperlink" Target="https://drive.google.com/file/d/1Po36UKi96Prj2oGtNkP9rpBUMJnGA_RR/view?usp=drivesdk" TargetMode="External"/><Relationship Id="rId7024" Type="http://schemas.openxmlformats.org/officeDocument/2006/relationships/hyperlink" Target="https://drive.google.com/file/d/1-J_nj1BBTLuzkSIC2SH0QrBXVZB0uKW0/view?usp=drivesdk" TargetMode="External"/><Relationship Id="rId8355" Type="http://schemas.openxmlformats.org/officeDocument/2006/relationships/hyperlink" Target="https://drive.google.com/file/d/1yLebN3wMuMk5ro954MkpZVdJeB_G68q6/view?usp=drivesdk" TargetMode="External"/><Relationship Id="rId7029" Type="http://schemas.openxmlformats.org/officeDocument/2006/relationships/hyperlink" Target="https://drive.google.com/file/d/1xAl3potTxyItZ4KVaAEKi9R6fXBcqHwm/view?usp=drivesdk" TargetMode="External"/><Relationship Id="rId7028" Type="http://schemas.openxmlformats.org/officeDocument/2006/relationships/hyperlink" Target="https://drive.google.com/file/d/1C-s0TiunRKc1xhbkUlEXpeUIhYgRKJ2a/view?usp=drivesdk" TargetMode="External"/><Relationship Id="rId8359" Type="http://schemas.openxmlformats.org/officeDocument/2006/relationships/hyperlink" Target="https://drive.google.com/file/d/1N4EAWLlI2D-P_2wUcImVyAz5h_J3xqN8/view?usp=drivesdk" TargetMode="External"/><Relationship Id="rId8390" Type="http://schemas.openxmlformats.org/officeDocument/2006/relationships/hyperlink" Target="https://drive.google.com/file/d/1EgkfIVNxP2XsmAGlJl7tuKq7ztLvlhzm/view?usp=drivesdk" TargetMode="External"/><Relationship Id="rId7052" Type="http://schemas.openxmlformats.org/officeDocument/2006/relationships/hyperlink" Target="https://drive.google.com/file/d/1gtLokz947KBv7X8P_ipfhriI6D_skp3_/view?usp=drivesdk" TargetMode="External"/><Relationship Id="rId8383" Type="http://schemas.openxmlformats.org/officeDocument/2006/relationships/hyperlink" Target="https://drive.google.com/file/d/1kVFjtCLjoEL2mKAxkMK_uHU_c35XWFel/view?usp=drivesdk" TargetMode="External"/><Relationship Id="rId7051" Type="http://schemas.openxmlformats.org/officeDocument/2006/relationships/hyperlink" Target="https://drive.google.com/file/d/12NPuIBCgEg0GtZfCmxg6c1m3KaZ8y_NB/view?usp=drivesdk" TargetMode="External"/><Relationship Id="rId8382" Type="http://schemas.openxmlformats.org/officeDocument/2006/relationships/hyperlink" Target="https://drive.google.com/file/d/1aMhbEykT7gDJgFbXs_l4BFOhG-HNJ1Rx/view?usp=drivesdk" TargetMode="External"/><Relationship Id="rId7050" Type="http://schemas.openxmlformats.org/officeDocument/2006/relationships/hyperlink" Target="https://drive.google.com/file/d/11M5L5U_1NS5BqXuNDibsJ_rbxo-m33tc/view?usp=drivesdk" TargetMode="External"/><Relationship Id="rId8381" Type="http://schemas.openxmlformats.org/officeDocument/2006/relationships/hyperlink" Target="https://drive.google.com/file/d/1qZzJbyqqm5EEQa0TPq6rnJM8TIgMOqcL/view?usp=drivesdk" TargetMode="External"/><Relationship Id="rId8380" Type="http://schemas.openxmlformats.org/officeDocument/2006/relationships/hyperlink" Target="https://drive.google.com/file/d/1EgKtlPbQFmQM6ynAKlsbvtBJpyereHlC/view?usp=drivesdk" TargetMode="External"/><Relationship Id="rId7056" Type="http://schemas.openxmlformats.org/officeDocument/2006/relationships/hyperlink" Target="https://drive.google.com/file/d/1oEhpySx-PHQ-qjFHA3rbEmqsc92urCbx/view?usp=drivesdk" TargetMode="External"/><Relationship Id="rId8387" Type="http://schemas.openxmlformats.org/officeDocument/2006/relationships/hyperlink" Target="https://drive.google.com/file/d/1zstra8l4-_055UoIwamlxeVBEIJ8TOpS/view?usp=drivesdk" TargetMode="External"/><Relationship Id="rId7055" Type="http://schemas.openxmlformats.org/officeDocument/2006/relationships/hyperlink" Target="https://drive.google.com/file/d/1_dFFKZvSMVhUw61_zJlPrE4kG-lV4Zle/view?usp=drivesdk" TargetMode="External"/><Relationship Id="rId8386" Type="http://schemas.openxmlformats.org/officeDocument/2006/relationships/hyperlink" Target="https://drive.google.com/file/d/19TO09k-aHXrZ-kq7pejf8h1mgIuefZ0d/view?usp=drivesdk" TargetMode="External"/><Relationship Id="rId7054" Type="http://schemas.openxmlformats.org/officeDocument/2006/relationships/hyperlink" Target="https://drive.google.com/file/d/1YIf_TvAelLPhe24FStVuj8aQjhgi_tkx/view?usp=drivesdk" TargetMode="External"/><Relationship Id="rId8385" Type="http://schemas.openxmlformats.org/officeDocument/2006/relationships/hyperlink" Target="https://drive.google.com/file/d/1C8s0vMBUKxKkhvDICYugvYVqe4r4zPnG/view?usp=drivesdk" TargetMode="External"/><Relationship Id="rId7053" Type="http://schemas.openxmlformats.org/officeDocument/2006/relationships/hyperlink" Target="https://drive.google.com/file/d/1C6lmcIlTd3QhEsYhCJ5NqzTs2d7aKkLE/view?usp=drivesdk" TargetMode="External"/><Relationship Id="rId8384" Type="http://schemas.openxmlformats.org/officeDocument/2006/relationships/hyperlink" Target="https://drive.google.com/file/d/10d4FNq9GDN5qR0pfZSymNGJZLTQ7KfEs/view?usp=drivesdk" TargetMode="External"/><Relationship Id="rId7059" Type="http://schemas.openxmlformats.org/officeDocument/2006/relationships/hyperlink" Target="https://drive.google.com/file/d/1ZexuB-iJhje47m6m9T4ZEHkgQf9D513r/view?usp=drivesdk" TargetMode="External"/><Relationship Id="rId7058" Type="http://schemas.openxmlformats.org/officeDocument/2006/relationships/hyperlink" Target="https://drive.google.com/file/d/1WxawxcLqA1M8TV228hlwBKbw2afKxdMo/view?usp=drivesdk" TargetMode="External"/><Relationship Id="rId8389" Type="http://schemas.openxmlformats.org/officeDocument/2006/relationships/hyperlink" Target="https://drive.google.com/file/d/1ouV8mw0x0NhMq9aL-kjc8cVmtb78_TR1/view?usp=drivesdk" TargetMode="External"/><Relationship Id="rId7057" Type="http://schemas.openxmlformats.org/officeDocument/2006/relationships/hyperlink" Target="https://drive.google.com/file/d/10js3X_97uL9ROKI70js_NQV9IsPUBWMt/view?usp=drivesdk" TargetMode="External"/><Relationship Id="rId8388" Type="http://schemas.openxmlformats.org/officeDocument/2006/relationships/hyperlink" Target="https://drive.google.com/file/d/1nEHfhXiiDWoa6Ro-fYLTPy46RmRUAQ5y/view?usp=drivesdk" TargetMode="External"/><Relationship Id="rId7041" Type="http://schemas.openxmlformats.org/officeDocument/2006/relationships/hyperlink" Target="https://drive.google.com/file/d/1Sk__KwGfcBbsUndujAMnkm_OuBGZy9oV/view?usp=drivesdk" TargetMode="External"/><Relationship Id="rId8372" Type="http://schemas.openxmlformats.org/officeDocument/2006/relationships/hyperlink" Target="https://drive.google.com/file/d/1gcREXw43KoXOviIgNULvc9hoOcOLWs-C/view?usp=drivesdk" TargetMode="External"/><Relationship Id="rId7040" Type="http://schemas.openxmlformats.org/officeDocument/2006/relationships/hyperlink" Target="https://drive.google.com/file/d/1qv_cv3csec8BMambJ5N1tivmJ_sVV1y1/view?usp=drivesdk" TargetMode="External"/><Relationship Id="rId8371" Type="http://schemas.openxmlformats.org/officeDocument/2006/relationships/hyperlink" Target="https://drive.google.com/file/d/1Kn7wU2hvlT9rdQu8tjLfjLFyj-7gP7tX/view?usp=drivesdk" TargetMode="External"/><Relationship Id="rId8370" Type="http://schemas.openxmlformats.org/officeDocument/2006/relationships/hyperlink" Target="https://drive.google.com/file/d/1WIVV-QbjdrhZcT5dOMa_47e98Xp9_lqc/view?usp=drivesdk" TargetMode="External"/><Relationship Id="rId7045" Type="http://schemas.openxmlformats.org/officeDocument/2006/relationships/hyperlink" Target="https://drive.google.com/file/d/16-EXWqTm-irtrmipF7NXBOv5c1zD5UvG/view?usp=drivesdk" TargetMode="External"/><Relationship Id="rId8376" Type="http://schemas.openxmlformats.org/officeDocument/2006/relationships/hyperlink" Target="https://drive.google.com/file/d/1DS23Be71BEb7JnustxQHgCRJBNMCOKih/view?usp=drivesdk" TargetMode="External"/><Relationship Id="rId7044" Type="http://schemas.openxmlformats.org/officeDocument/2006/relationships/hyperlink" Target="https://drive.google.com/file/d/1XwhfuMhl6x2j4MJC4ekx1N5rfnTU-K-M/view?usp=drivesdk" TargetMode="External"/><Relationship Id="rId8375" Type="http://schemas.openxmlformats.org/officeDocument/2006/relationships/hyperlink" Target="https://drive.google.com/file/d/1VWg7FMwl2sUN5VK_tz4EFCaEfupdv8cS/view?usp=drivesdk" TargetMode="External"/><Relationship Id="rId7043" Type="http://schemas.openxmlformats.org/officeDocument/2006/relationships/hyperlink" Target="https://drive.google.com/file/d/1Bv4EOy51iRNrBEIQR3dESw9Dy2jDvtMr/view?usp=drivesdk" TargetMode="External"/><Relationship Id="rId8374" Type="http://schemas.openxmlformats.org/officeDocument/2006/relationships/hyperlink" Target="https://drive.google.com/file/d/1bGfQ704h256EmBgKa_RXgyVJilWuE1ku/view?usp=drivesdk" TargetMode="External"/><Relationship Id="rId7042" Type="http://schemas.openxmlformats.org/officeDocument/2006/relationships/hyperlink" Target="https://drive.google.com/file/d/1jGll_0njvmcO31I5bz_j0agsv0mYjeha/view?usp=drivesdk" TargetMode="External"/><Relationship Id="rId8373" Type="http://schemas.openxmlformats.org/officeDocument/2006/relationships/hyperlink" Target="https://drive.google.com/file/d/1ZOuXdHhyciTy03YiBTUuy9Tk2TtntjzF/view?usp=drivesdk" TargetMode="External"/><Relationship Id="rId7049" Type="http://schemas.openxmlformats.org/officeDocument/2006/relationships/hyperlink" Target="https://drive.google.com/file/d/1m_GYEaDkYg-89BrfLJa11WugqSrm5QDh/view?usp=drivesdk" TargetMode="External"/><Relationship Id="rId7048" Type="http://schemas.openxmlformats.org/officeDocument/2006/relationships/hyperlink" Target="https://drive.google.com/file/d/1ZlmXlUAC0zKu_m6iOs1R7W2JV-DnaHQC/view?usp=drivesdk" TargetMode="External"/><Relationship Id="rId8379" Type="http://schemas.openxmlformats.org/officeDocument/2006/relationships/hyperlink" Target="https://drive.google.com/file/d/1kdrSuq3B_dVJ41ErtQQzg_awlhDk6WQm/view?usp=drivesdk" TargetMode="External"/><Relationship Id="rId7047" Type="http://schemas.openxmlformats.org/officeDocument/2006/relationships/hyperlink" Target="https://drive.google.com/file/d/1mcJq4QrhV-sxlYVPf9vNguGB35JHH-BV/view?usp=drivesdk" TargetMode="External"/><Relationship Id="rId8378" Type="http://schemas.openxmlformats.org/officeDocument/2006/relationships/hyperlink" Target="https://drive.google.com/file/d/1--Hi160JrO3psSNDpwCigoVeSyqTwQ71/view?usp=drivesdk" TargetMode="External"/><Relationship Id="rId7046" Type="http://schemas.openxmlformats.org/officeDocument/2006/relationships/hyperlink" Target="https://drive.google.com/file/d/1e6jkfGSlxMMpbLVgN66O3jHu8XpBeywY/view?usp=drivesdk" TargetMode="External"/><Relationship Id="rId8377" Type="http://schemas.openxmlformats.org/officeDocument/2006/relationships/hyperlink" Target="https://drive.google.com/file/d/1UfFLU1eNLc2czXig24uJ2-lSZDIekt_m/view?usp=drivesdk" TargetMode="External"/><Relationship Id="rId8321" Type="http://schemas.openxmlformats.org/officeDocument/2006/relationships/hyperlink" Target="https://drive.google.com/file/d/1FNfWogyTFG5K8jcE3OxSMIdy5B7KfpF3/view?usp=drivesdk" TargetMode="External"/><Relationship Id="rId8320" Type="http://schemas.openxmlformats.org/officeDocument/2006/relationships/hyperlink" Target="https://drive.google.com/file/d/1Prt_gMWDIRNWuOSDosLKvCkWlLrW0LWm/view?usp=drivesdk" TargetMode="External"/><Relationship Id="rId8325" Type="http://schemas.openxmlformats.org/officeDocument/2006/relationships/hyperlink" Target="https://drive.google.com/file/d/12gD4UQD4RSu2EMtknlrsnPidYCA2qDMt/view?usp=drivesdk" TargetMode="External"/><Relationship Id="rId8324" Type="http://schemas.openxmlformats.org/officeDocument/2006/relationships/hyperlink" Target="https://drive.google.com/file/d/1HUxnT9DoOEsNMkM8FinwCCX2Gr1IZrES/view?usp=drivesdk" TargetMode="External"/><Relationship Id="rId8323" Type="http://schemas.openxmlformats.org/officeDocument/2006/relationships/hyperlink" Target="https://drive.google.com/file/d/1Eq15thaK36keXoI05aMkrZdtXHhCREe1/view?usp=drivesdk" TargetMode="External"/><Relationship Id="rId8322" Type="http://schemas.openxmlformats.org/officeDocument/2006/relationships/hyperlink" Target="https://drive.google.com/file/d/1wdL56vyHTmM7l1jYwSRGfEy7W3ZGIgpm/view?usp=drivesdk" TargetMode="External"/><Relationship Id="rId8329" Type="http://schemas.openxmlformats.org/officeDocument/2006/relationships/hyperlink" Target="https://drive.google.com/file/d/1k9Ga58KA19p6cpc2aFlXnohuj9aj9WyM/view?usp=drivesdk" TargetMode="External"/><Relationship Id="rId8328" Type="http://schemas.openxmlformats.org/officeDocument/2006/relationships/hyperlink" Target="https://drive.google.com/file/d/1722Sd2gzNfdjIKIWUZQSV3kNAK9Fqi30/view?usp=drivesdk" TargetMode="External"/><Relationship Id="rId8327" Type="http://schemas.openxmlformats.org/officeDocument/2006/relationships/hyperlink" Target="https://drive.google.com/file/d/1oI8eQqLLqP38EYrOdiOZ_e_pM1f7iZOX/view?usp=drivesdk" TargetMode="External"/><Relationship Id="rId8326" Type="http://schemas.openxmlformats.org/officeDocument/2006/relationships/hyperlink" Target="https://drive.google.com/file/d/1hdiz_9f1AxqFDwpOPnhfjt_I4r8FZu_o/view?usp=drivesdk" TargetMode="External"/><Relationship Id="rId8319" Type="http://schemas.openxmlformats.org/officeDocument/2006/relationships/hyperlink" Target="https://drive.google.com/file/d/1-fUWxDCxWN8eZH7dRlynGX2jgTxkfW5o/view?usp=drivesdk" TargetMode="External"/><Relationship Id="rId8310" Type="http://schemas.openxmlformats.org/officeDocument/2006/relationships/hyperlink" Target="https://drive.google.com/file/d/1F7hL1_L4k47CJpvBVYxLAkqanCbXz-u5/view?usp=drivesdk" TargetMode="External"/><Relationship Id="rId8314" Type="http://schemas.openxmlformats.org/officeDocument/2006/relationships/hyperlink" Target="https://drive.google.com/file/d/1iOHOwUgklu-l22J7kcOSsSLQaeciysBY/view?usp=drivesdk" TargetMode="External"/><Relationship Id="rId8313" Type="http://schemas.openxmlformats.org/officeDocument/2006/relationships/hyperlink" Target="https://drive.google.com/file/d/1RPf3AcKuJv6Bxtua9P1tgK1SP8M1XbJS/view?usp=drivesdk" TargetMode="External"/><Relationship Id="rId8312" Type="http://schemas.openxmlformats.org/officeDocument/2006/relationships/hyperlink" Target="https://drive.google.com/file/d/1ARrFE8_o2Y9vNe7tB0IoLDQMmmVqHUjj/view?usp=drivesdk" TargetMode="External"/><Relationship Id="rId8311" Type="http://schemas.openxmlformats.org/officeDocument/2006/relationships/hyperlink" Target="https://drive.google.com/file/d/1XBqQjvlbHlLI9xGUAi-3H7Q8F-t9N01s/view?usp=drivesdk" TargetMode="External"/><Relationship Id="rId8318" Type="http://schemas.openxmlformats.org/officeDocument/2006/relationships/hyperlink" Target="https://drive.google.com/file/d/1pYLv3zNIbSk5_mEg3UTbyAzYl2vqlyvj/view?usp=drivesdk" TargetMode="External"/><Relationship Id="rId8317" Type="http://schemas.openxmlformats.org/officeDocument/2006/relationships/hyperlink" Target="https://drive.google.com/file/d/18TdJ8hoaMQuDhrjlCLG3QnPC-l2kw8Q4/view?usp=drivesdk" TargetMode="External"/><Relationship Id="rId8316" Type="http://schemas.openxmlformats.org/officeDocument/2006/relationships/hyperlink" Target="https://drive.google.com/file/d/1vS0CjZMvhQlCuFRszYlOE942OqArWMDB/view?usp=drivesdk" TargetMode="External"/><Relationship Id="rId8315" Type="http://schemas.openxmlformats.org/officeDocument/2006/relationships/hyperlink" Target="https://drive.google.com/file/d/1Tp7qr_Jzx4VQZPT247JwyTLDgpcu2mMY/view?usp=drivesdk" TargetMode="External"/><Relationship Id="rId7012" Type="http://schemas.openxmlformats.org/officeDocument/2006/relationships/hyperlink" Target="https://drive.google.com/file/d/18mSwmpjnaySRhqIlo4RDI-y5MQGyV3NP/view?usp=drivesdk" TargetMode="External"/><Relationship Id="rId8343" Type="http://schemas.openxmlformats.org/officeDocument/2006/relationships/hyperlink" Target="https://drive.google.com/file/d/1sM2rOh55pSfp3UaxQ1N2ydCO1JThFI5u/view?usp=drivesdk" TargetMode="External"/><Relationship Id="rId7011" Type="http://schemas.openxmlformats.org/officeDocument/2006/relationships/hyperlink" Target="https://drive.google.com/file/d/18dgoGFI8aksYa3eecwdk6vfI2GDmbK3y/view?usp=drivesdk" TargetMode="External"/><Relationship Id="rId8342" Type="http://schemas.openxmlformats.org/officeDocument/2006/relationships/hyperlink" Target="https://drive.google.com/file/d/1f1u-ckt6ifCdmTxKbJviIotnWVBAg8ha/view?usp=drivesdk" TargetMode="External"/><Relationship Id="rId7010" Type="http://schemas.openxmlformats.org/officeDocument/2006/relationships/hyperlink" Target="https://drive.google.com/file/d/1AWfYaN4vLZJYW3uE6xtxlrqFF_EV3iIb/view?usp=drivesdk" TargetMode="External"/><Relationship Id="rId8341" Type="http://schemas.openxmlformats.org/officeDocument/2006/relationships/hyperlink" Target="https://drive.google.com/file/d/1CH7rGWqPo0CgrEGpnBkp1hfTmudiHUF3/view?usp=drivesdk" TargetMode="External"/><Relationship Id="rId8340" Type="http://schemas.openxmlformats.org/officeDocument/2006/relationships/hyperlink" Target="https://drive.google.com/file/d/1zibkTNX-_a7Yk3Uve3_caQ3p3pOv07uj/view?usp=drivesdk" TargetMode="External"/><Relationship Id="rId7016" Type="http://schemas.openxmlformats.org/officeDocument/2006/relationships/hyperlink" Target="https://drive.google.com/file/d/1Zeh7wA8LqK3gh8ezGQtDa-BzxVib_Ysh/view?usp=drivesdk" TargetMode="External"/><Relationship Id="rId8347" Type="http://schemas.openxmlformats.org/officeDocument/2006/relationships/hyperlink" Target="https://drive.google.com/file/d/1X3td1OpZllBp5W4JkepOGG2j63ozc-ff/view?usp=drivesdk" TargetMode="External"/><Relationship Id="rId7015" Type="http://schemas.openxmlformats.org/officeDocument/2006/relationships/hyperlink" Target="https://drive.google.com/file/d/1FAzy-b1V5nA4f4ltMxZxmAWVDULBlJxK/view?usp=drivesdk" TargetMode="External"/><Relationship Id="rId8346" Type="http://schemas.openxmlformats.org/officeDocument/2006/relationships/hyperlink" Target="https://drive.google.com/file/d/1oVUfTePc2SRzmwSDS1hlwWSjKbH-ZiSQ/view?usp=drivesdk" TargetMode="External"/><Relationship Id="rId7014" Type="http://schemas.openxmlformats.org/officeDocument/2006/relationships/hyperlink" Target="https://drive.google.com/file/d/1GbzxRRHg-WlsjandZ8uqs-7J3-o0AAo8/view?usp=drivesdk" TargetMode="External"/><Relationship Id="rId8345" Type="http://schemas.openxmlformats.org/officeDocument/2006/relationships/hyperlink" Target="https://drive.google.com/file/d/1dvbX2c8q1w5NhOt1_1DeNPl_v-FxBv5S/view?usp=drivesdk" TargetMode="External"/><Relationship Id="rId7013" Type="http://schemas.openxmlformats.org/officeDocument/2006/relationships/hyperlink" Target="https://drive.google.com/file/d/1GcI64F8Rs-1B70GM2Le88WkcmuZF0MD6/view?usp=drivesdk" TargetMode="External"/><Relationship Id="rId8344" Type="http://schemas.openxmlformats.org/officeDocument/2006/relationships/hyperlink" Target="https://drive.google.com/file/d/18BhsnhioLoONg7QMF5HJMqG7IYtMor9T/view?usp=drivesdk" TargetMode="External"/><Relationship Id="rId7019" Type="http://schemas.openxmlformats.org/officeDocument/2006/relationships/hyperlink" Target="https://drive.google.com/file/d/1H_dyEBjm6s-s8fSGXkN-8J6jBM4qp2BV/view?usp=drivesdk" TargetMode="External"/><Relationship Id="rId7018" Type="http://schemas.openxmlformats.org/officeDocument/2006/relationships/hyperlink" Target="https://drive.google.com/file/d/1SUWj5nwd7odErgOtn3gcHUbA8mkxSWVX/view?usp=drivesdk" TargetMode="External"/><Relationship Id="rId8349" Type="http://schemas.openxmlformats.org/officeDocument/2006/relationships/hyperlink" Target="https://drive.google.com/file/d/1FgYiMYRkrJ7G4kRw2wnO7d2kLfCvzxng/view?usp=drivesdk" TargetMode="External"/><Relationship Id="rId7017" Type="http://schemas.openxmlformats.org/officeDocument/2006/relationships/hyperlink" Target="https://drive.google.com/file/d/1p9g4khkfc5BLdayUTCyd7eUYhLu9ffLY/view?usp=drivesdk" TargetMode="External"/><Relationship Id="rId8348" Type="http://schemas.openxmlformats.org/officeDocument/2006/relationships/hyperlink" Target="https://drive.google.com/file/d/1kpuaEttjb-RPnBYJc-oWcpqJ2Npd66-_/view?usp=drivesdk" TargetMode="External"/><Relationship Id="rId7001" Type="http://schemas.openxmlformats.org/officeDocument/2006/relationships/hyperlink" Target="https://drive.google.com/file/d/1u2uyRN5UCBlO9bThzN1L7Rpl0nAiCkiM/view?usp=drivesdk" TargetMode="External"/><Relationship Id="rId8332" Type="http://schemas.openxmlformats.org/officeDocument/2006/relationships/hyperlink" Target="https://drive.google.com/file/d/1dA5lOSRU-cqwHDa6JGyb0e-r98m-eggn/view?usp=drivesdk" TargetMode="External"/><Relationship Id="rId7000" Type="http://schemas.openxmlformats.org/officeDocument/2006/relationships/hyperlink" Target="https://drive.google.com/file/d/1dCw6WBiXI-gJfoRNZuLhXj7KxybmnWbD/view?usp=drivesdk" TargetMode="External"/><Relationship Id="rId8331" Type="http://schemas.openxmlformats.org/officeDocument/2006/relationships/hyperlink" Target="https://drive.google.com/file/d/1-tEF94D2IJVj0LYFkyCZEoCvwn5AHj-x/view?usp=drivesdk" TargetMode="External"/><Relationship Id="rId8330" Type="http://schemas.openxmlformats.org/officeDocument/2006/relationships/hyperlink" Target="https://drive.google.com/file/d/1r-gFqi5ELvWjbVe7-2IH79OM1KIfu4DX/view?usp=drivesdk" TargetMode="External"/><Relationship Id="rId7005" Type="http://schemas.openxmlformats.org/officeDocument/2006/relationships/hyperlink" Target="https://drive.google.com/file/d/1LGOe7E36hNoJ1COq9xNqCRSkGxTur44X/view?usp=drivesdk" TargetMode="External"/><Relationship Id="rId8336" Type="http://schemas.openxmlformats.org/officeDocument/2006/relationships/hyperlink" Target="https://drive.google.com/file/d/1vVndbEE5xDsaoDBxbvAq30XmARAdETnr/view?usp=drivesdk" TargetMode="External"/><Relationship Id="rId7004" Type="http://schemas.openxmlformats.org/officeDocument/2006/relationships/hyperlink" Target="https://drive.google.com/file/d/1HDmr-VaEkICXmvREv-0X0csXwN0Wn2UU/view?usp=drivesdk" TargetMode="External"/><Relationship Id="rId8335" Type="http://schemas.openxmlformats.org/officeDocument/2006/relationships/hyperlink" Target="https://drive.google.com/file/d/1ljL6uasEI5cayJps7twMZhGZZMpZuKRF/view?usp=drivesdk" TargetMode="External"/><Relationship Id="rId7003" Type="http://schemas.openxmlformats.org/officeDocument/2006/relationships/hyperlink" Target="https://drive.google.com/file/d/1lNp-9KTSmNoSLjuxSbMRwPTNwpph2lCF/view?usp=drivesdk" TargetMode="External"/><Relationship Id="rId8334" Type="http://schemas.openxmlformats.org/officeDocument/2006/relationships/hyperlink" Target="https://drive.google.com/file/d/1MxYbHL9U32z4IHEy7RYUyH7YJWTJR3nM/view?usp=drivesdk" TargetMode="External"/><Relationship Id="rId7002" Type="http://schemas.openxmlformats.org/officeDocument/2006/relationships/hyperlink" Target="https://drive.google.com/file/d/1e1tWIoKwD8nY-GLVDW_gSCCiwgkFHwT3/view?usp=drivesdk" TargetMode="External"/><Relationship Id="rId8333" Type="http://schemas.openxmlformats.org/officeDocument/2006/relationships/hyperlink" Target="https://drive.google.com/file/d/1vELwlBop6DQeKIuKa5cbODP_cvVx2k3Y/view?usp=drivesdk" TargetMode="External"/><Relationship Id="rId7009" Type="http://schemas.openxmlformats.org/officeDocument/2006/relationships/hyperlink" Target="https://drive.google.com/file/d/1EYyAB-sd_mFKlYcJ3qEqp1rjM5yjJ8ie/view?usp=drivesdk" TargetMode="External"/><Relationship Id="rId7008" Type="http://schemas.openxmlformats.org/officeDocument/2006/relationships/hyperlink" Target="https://drive.google.com/file/d/1DcnQIBMtiMZv2-4jMcMRSSrSerDQtJgP/view?usp=drivesdk" TargetMode="External"/><Relationship Id="rId8339" Type="http://schemas.openxmlformats.org/officeDocument/2006/relationships/hyperlink" Target="https://drive.google.com/file/d/1KHogLaHkotS1obEnryl9VdBsZ30jSvOJ/view?usp=drivesdk" TargetMode="External"/><Relationship Id="rId7007" Type="http://schemas.openxmlformats.org/officeDocument/2006/relationships/hyperlink" Target="https://drive.google.com/file/d/1ekBwWv3Sp6j5WqKCldzb3uw47Z3VfTWL/view?usp=drivesdk" TargetMode="External"/><Relationship Id="rId8338" Type="http://schemas.openxmlformats.org/officeDocument/2006/relationships/hyperlink" Target="https://drive.google.com/file/d/1kWRDd-Zc5oV2t0mACYzihWlg4YlEmO7E/view?usp=drivesdk" TargetMode="External"/><Relationship Id="rId7006" Type="http://schemas.openxmlformats.org/officeDocument/2006/relationships/hyperlink" Target="https://drive.google.com/file/d/1fidesLoInTRe0ULO8ZceJlyRSC2va2wn/view?usp=drivesdk" TargetMode="External"/><Relationship Id="rId8337" Type="http://schemas.openxmlformats.org/officeDocument/2006/relationships/hyperlink" Target="https://drive.google.com/file/d/1f6R41kNblYrsx3XNJx3xXdyFxQwgDiNG/view?usp=drivesdk" TargetMode="External"/><Relationship Id="rId3513" Type="http://schemas.openxmlformats.org/officeDocument/2006/relationships/hyperlink" Target="https://drive.google.com/file/d/1V_rRuIYemOJQrvpyEYMqfx8jZgiuc8ZQ/view?usp=drivesdk" TargetMode="External"/><Relationship Id="rId4844" Type="http://schemas.openxmlformats.org/officeDocument/2006/relationships/hyperlink" Target="https://drive.google.com/file/d/1dQ2UUESAPoZMwvIRpRIsWZAQedW-rKBw/view?usp=drivesdk" TargetMode="External"/><Relationship Id="rId3512" Type="http://schemas.openxmlformats.org/officeDocument/2006/relationships/hyperlink" Target="https://drive.google.com/file/d/1laA-IvsVPVYiwFymU6N3R1ZJQxE-6M0g/view?usp=drivesdk" TargetMode="External"/><Relationship Id="rId4843" Type="http://schemas.openxmlformats.org/officeDocument/2006/relationships/hyperlink" Target="https://drive.google.com/file/d/14JYHS_37dMOvFiJA2AMwyYMxPf6VtQVY/view?usp=drivesdk" TargetMode="External"/><Relationship Id="rId3515" Type="http://schemas.openxmlformats.org/officeDocument/2006/relationships/hyperlink" Target="https://drive.google.com/file/d/1Hy6Zjfh5WqhAJio_9gI-da0bZ08DzjTD/view?usp=drivesdk" TargetMode="External"/><Relationship Id="rId4846" Type="http://schemas.openxmlformats.org/officeDocument/2006/relationships/hyperlink" Target="https://drive.google.com/file/d/1IzOZIXabXaik38QqXyv-s-3L-bZhcp0i/view?usp=drivesdk" TargetMode="External"/><Relationship Id="rId3514" Type="http://schemas.openxmlformats.org/officeDocument/2006/relationships/hyperlink" Target="https://drive.google.com/file/d/1RgznGhGLyJ7BNiBvfmKdwRj_b5qeS96J/view?usp=drivesdk" TargetMode="External"/><Relationship Id="rId4845" Type="http://schemas.openxmlformats.org/officeDocument/2006/relationships/hyperlink" Target="https://drive.google.com/file/d/1ec-tUPNZhmBnJhwug6xjW3BJFkGM7AEU/view?usp=drivesdk" TargetMode="External"/><Relationship Id="rId3517" Type="http://schemas.openxmlformats.org/officeDocument/2006/relationships/hyperlink" Target="https://drive.google.com/file/d/1gbYtjKF7Z5vNv-ftvoOoNjUy5gHZBTgM/view?usp=drivesdk" TargetMode="External"/><Relationship Id="rId4848" Type="http://schemas.openxmlformats.org/officeDocument/2006/relationships/hyperlink" Target="https://drive.google.com/file/d/1F04obeSw99ibUGE5S3Vi_hubebN3jrw1/view?usp=drivesdk" TargetMode="External"/><Relationship Id="rId3516" Type="http://schemas.openxmlformats.org/officeDocument/2006/relationships/hyperlink" Target="https://drive.google.com/file/d/1J9vDBM_nVggTE9rJG2BIHSKdYfkitV2T/view?usp=drivesdk" TargetMode="External"/><Relationship Id="rId4847" Type="http://schemas.openxmlformats.org/officeDocument/2006/relationships/hyperlink" Target="https://drive.google.com/file/d/19HRzYCpJBVgTBsvee4QdOiPbKxvxLd5h/view?usp=drivesdk" TargetMode="External"/><Relationship Id="rId3519" Type="http://schemas.openxmlformats.org/officeDocument/2006/relationships/hyperlink" Target="https://drive.google.com/file/d/1WJM0f4SiIPPzGsZFtbm1l-Hd1yTD6iRw/view?usp=drivesdk" TargetMode="External"/><Relationship Id="rId3518" Type="http://schemas.openxmlformats.org/officeDocument/2006/relationships/hyperlink" Target="https://drive.google.com/file/d/18-HEPTzoBkx19kzwshLetE4ZzfJuY96Y/view?usp=drivesdk" TargetMode="External"/><Relationship Id="rId4849" Type="http://schemas.openxmlformats.org/officeDocument/2006/relationships/hyperlink" Target="https://drive.google.com/file/d/1jzjUGXpWyEp7De8MpjFvKEl85-MrbyLh/view?usp=drivesdk" TargetMode="External"/><Relationship Id="rId4840" Type="http://schemas.openxmlformats.org/officeDocument/2006/relationships/hyperlink" Target="https://drive.google.com/file/d/1bGWaOdx_7zO0Qb6Zsv-4TqEf55UEExc6/view?usp=drivesdk" TargetMode="External"/><Relationship Id="rId3511" Type="http://schemas.openxmlformats.org/officeDocument/2006/relationships/hyperlink" Target="https://drive.google.com/file/d/1g_9sjsE1NOHfRxKdstH76DBzTqFOMzlX/view?usp=drivesdk" TargetMode="External"/><Relationship Id="rId4842" Type="http://schemas.openxmlformats.org/officeDocument/2006/relationships/hyperlink" Target="https://drive.google.com/file/d/1zgH9h6PdV-UIJ3G3PQ9yXXJqOuMlNXFM/view?usp=drivesdk" TargetMode="External"/><Relationship Id="rId3510" Type="http://schemas.openxmlformats.org/officeDocument/2006/relationships/hyperlink" Target="https://drive.google.com/file/d/1T-GesFSt6cKofsWNoAkr1IWoQgGV8fc2/view?usp=drivesdk" TargetMode="External"/><Relationship Id="rId4841" Type="http://schemas.openxmlformats.org/officeDocument/2006/relationships/hyperlink" Target="https://drive.google.com/file/d/1_vdh5imLviGyU4voDsMBZ09JeWzxlKL7/view?usp=drivesdk" TargetMode="External"/><Relationship Id="rId3502" Type="http://schemas.openxmlformats.org/officeDocument/2006/relationships/hyperlink" Target="https://drive.google.com/file/d/1Hdi8dOAZxQGg90jHk-io82aNTLa7mg6X/view?usp=drivesdk" TargetMode="External"/><Relationship Id="rId4833" Type="http://schemas.openxmlformats.org/officeDocument/2006/relationships/hyperlink" Target="https://drive.google.com/file/d/1KyQ1KEbTguL53OPVeaGTWq8zljEmRJQv/view?usp=drivesdk" TargetMode="External"/><Relationship Id="rId3501" Type="http://schemas.openxmlformats.org/officeDocument/2006/relationships/hyperlink" Target="https://drive.google.com/file/d/1_VZkNO5p7vH0rOqZJmSZJtCEBVM_7Y67/view?usp=drivesdk" TargetMode="External"/><Relationship Id="rId4832" Type="http://schemas.openxmlformats.org/officeDocument/2006/relationships/hyperlink" Target="https://drive.google.com/file/d/1CDff97DwHL_yyQhM9u0SPlq5wo9kUGG9/view?usp=drivesdk" TargetMode="External"/><Relationship Id="rId3504" Type="http://schemas.openxmlformats.org/officeDocument/2006/relationships/hyperlink" Target="https://drive.google.com/file/d/14kLnkGTFxcICFi8Q2a9OdmQMWuF349Rf/view?usp=drivesdk" TargetMode="External"/><Relationship Id="rId4835" Type="http://schemas.openxmlformats.org/officeDocument/2006/relationships/hyperlink" Target="https://drive.google.com/file/d/108_tytlx57uDKvxkEfuRjxJzfPk6nAPt/view?usp=drivesdk" TargetMode="External"/><Relationship Id="rId3503" Type="http://schemas.openxmlformats.org/officeDocument/2006/relationships/hyperlink" Target="https://drive.google.com/file/d/1HJpqyaCHB_E6efIPnkRy98eiT-6-qanc/view?usp=drivesdk" TargetMode="External"/><Relationship Id="rId4834" Type="http://schemas.openxmlformats.org/officeDocument/2006/relationships/hyperlink" Target="https://drive.google.com/file/d/1gwceOaIZtRlTUxetlXVNrfTYMmb1OhW9/view?usp=drivesdk" TargetMode="External"/><Relationship Id="rId3506" Type="http://schemas.openxmlformats.org/officeDocument/2006/relationships/hyperlink" Target="https://drive.google.com/file/d/182jOnvLLw5ixs5IbjwzciCF6aQwDAdXE/view?usp=drivesdk" TargetMode="External"/><Relationship Id="rId4837" Type="http://schemas.openxmlformats.org/officeDocument/2006/relationships/hyperlink" Target="https://drive.google.com/file/d/1dorYyJLv5_oSdFgwfbYcboyoj8F1_sxI/view?usp=drivesdk" TargetMode="External"/><Relationship Id="rId3505" Type="http://schemas.openxmlformats.org/officeDocument/2006/relationships/hyperlink" Target="https://drive.google.com/file/d/1TqyrHJnPEy45D_d6z-rgFCb_CtJ7aStY/view?usp=drivesdk" TargetMode="External"/><Relationship Id="rId4836" Type="http://schemas.openxmlformats.org/officeDocument/2006/relationships/hyperlink" Target="https://drive.google.com/file/d/1Dv_Wn_bjd2UPX0DbjcfTxwbOPpqrIJfk/view?usp=drivesdk" TargetMode="External"/><Relationship Id="rId3508" Type="http://schemas.openxmlformats.org/officeDocument/2006/relationships/hyperlink" Target="https://drive.google.com/file/d/1Rx_o3hn58cq8dlHSX_kisdOk0U73nq1I/view?usp=drivesdk" TargetMode="External"/><Relationship Id="rId4839" Type="http://schemas.openxmlformats.org/officeDocument/2006/relationships/hyperlink" Target="https://drive.google.com/file/d/1O2kpUN2d4tgzJbYDzH57_plA1IHdkhFa/view?usp=drivesdk" TargetMode="External"/><Relationship Id="rId3507" Type="http://schemas.openxmlformats.org/officeDocument/2006/relationships/hyperlink" Target="https://drive.google.com/file/d/1ZmgvfUEa_oFhl9H_fTK8aRk8ZPhtGHfg/view?usp=drivesdk" TargetMode="External"/><Relationship Id="rId4838" Type="http://schemas.openxmlformats.org/officeDocument/2006/relationships/hyperlink" Target="https://drive.google.com/file/d/1cJFA2Wc96OX5HTR6xccaKgt5y90-pBOI/view?usp=drivesdk" TargetMode="External"/><Relationship Id="rId3509" Type="http://schemas.openxmlformats.org/officeDocument/2006/relationships/hyperlink" Target="https://drive.google.com/file/d/1uu9d_iMsV2PJ5O_VS69fe6Bc3KfnwRVt/view?usp=drivesdk" TargetMode="External"/><Relationship Id="rId3500" Type="http://schemas.openxmlformats.org/officeDocument/2006/relationships/hyperlink" Target="https://drive.google.com/file/d/1wsH2GeWBjlR_5uRDW5YEoDCrLXV4BkOF/view?usp=drivesdk" TargetMode="External"/><Relationship Id="rId4831" Type="http://schemas.openxmlformats.org/officeDocument/2006/relationships/hyperlink" Target="https://drive.google.com/file/d/1juz909aCkiBB6F2wDHLZwdOxXJu2nMTw/view?usp=drivesdk" TargetMode="External"/><Relationship Id="rId4830" Type="http://schemas.openxmlformats.org/officeDocument/2006/relationships/hyperlink" Target="https://drive.google.com/file/d/1elMkldiZZjlzuOkAv11t13Jmy2yQzc7C/view?usp=drivesdk" TargetMode="External"/><Relationship Id="rId2203" Type="http://schemas.openxmlformats.org/officeDocument/2006/relationships/hyperlink" Target="https://drive.google.com/file/d/17uOpz3xZzKKfsxNZ3ySO9cqmuq2XtjNr/view?usp=drivesdk" TargetMode="External"/><Relationship Id="rId3535" Type="http://schemas.openxmlformats.org/officeDocument/2006/relationships/hyperlink" Target="https://drive.google.com/file/d/1arNd28c4YLN53jQ0PHG9ARYko2hSbHpt/view?usp=drivesdk" TargetMode="External"/><Relationship Id="rId4866" Type="http://schemas.openxmlformats.org/officeDocument/2006/relationships/hyperlink" Target="https://drive.google.com/file/d/1hpgC7BcJggQwJy4QgTKQiJ-mX_KzoXC2/view?usp=drivesdk" TargetMode="External"/><Relationship Id="rId2204" Type="http://schemas.openxmlformats.org/officeDocument/2006/relationships/hyperlink" Target="https://drive.google.com/file/d/1OBT9zD3kH-JedTm-lHqQrTi0AdeyXyZb/view?usp=drivesdk" TargetMode="External"/><Relationship Id="rId3534" Type="http://schemas.openxmlformats.org/officeDocument/2006/relationships/hyperlink" Target="https://drive.google.com/file/d/1rOcSMyqlfR-D8-brG3nNsWwevrHHEvhv/view?usp=drivesdk" TargetMode="External"/><Relationship Id="rId4865" Type="http://schemas.openxmlformats.org/officeDocument/2006/relationships/hyperlink" Target="https://drive.google.com/file/d/11DEIihtDHsgpN8vLxLGKmS2IbMrsrryw/view?usp=drivesdk" TargetMode="External"/><Relationship Id="rId2205" Type="http://schemas.openxmlformats.org/officeDocument/2006/relationships/hyperlink" Target="https://drive.google.com/file/d/1ZwwH8IjHFkj713dAQ9pPcYJ_q9nArJq0/view?usp=drivesdk" TargetMode="External"/><Relationship Id="rId3537" Type="http://schemas.openxmlformats.org/officeDocument/2006/relationships/hyperlink" Target="https://drive.google.com/file/d/157UkD9fgllP_onT6NqUts4OGDjUz2TIE/view?usp=drivesdk" TargetMode="External"/><Relationship Id="rId4868" Type="http://schemas.openxmlformats.org/officeDocument/2006/relationships/hyperlink" Target="https://drive.google.com/file/d/12QdyN9X8ASRYxLnl73Ii_kw-xaok-X9v/view?usp=drivesdk" TargetMode="External"/><Relationship Id="rId2206" Type="http://schemas.openxmlformats.org/officeDocument/2006/relationships/hyperlink" Target="https://drive.google.com/file/d/1nlfGEdaNUeupmW5CVkC9i6J7WeEja4E7/view?usp=drivesdk" TargetMode="External"/><Relationship Id="rId3536" Type="http://schemas.openxmlformats.org/officeDocument/2006/relationships/hyperlink" Target="https://drive.google.com/file/d/1hqIBS2PggHCVokCL44O0PVnNgm7N2Iho/view?usp=drivesdk" TargetMode="External"/><Relationship Id="rId4867" Type="http://schemas.openxmlformats.org/officeDocument/2006/relationships/hyperlink" Target="https://drive.google.com/file/d/1GDeQa9k2SSA55YA38AGG24klD2KhJ57n/view?usp=drivesdk" TargetMode="External"/><Relationship Id="rId2207" Type="http://schemas.openxmlformats.org/officeDocument/2006/relationships/hyperlink" Target="https://drive.google.com/file/d/1ie3wvhIYJ5a63BlO348W7p0OFZbfd7Ds/view?usp=drivesdk" TargetMode="External"/><Relationship Id="rId3539" Type="http://schemas.openxmlformats.org/officeDocument/2006/relationships/hyperlink" Target="https://drive.google.com/file/d/1-w_ecR2UJmNC3IfholLCDS2zlfCfV52Y/view?usp=drivesdk" TargetMode="External"/><Relationship Id="rId2208" Type="http://schemas.openxmlformats.org/officeDocument/2006/relationships/hyperlink" Target="https://drive.google.com/file/d/1M0esN23N93ElnNxmsRiGMWS49SGYxLMD/view?usp=drivesdk" TargetMode="External"/><Relationship Id="rId3538" Type="http://schemas.openxmlformats.org/officeDocument/2006/relationships/hyperlink" Target="https://drive.google.com/file/d/1H4cd2USId441z6nV4XKdi63YavUcPMrC/view?usp=drivesdk" TargetMode="External"/><Relationship Id="rId4869" Type="http://schemas.openxmlformats.org/officeDocument/2006/relationships/hyperlink" Target="https://drive.google.com/file/d/1atNDfZuJ5efM4Sktf0jrNMnpxa-yRiNF/view?usp=drivesdk" TargetMode="External"/><Relationship Id="rId2209" Type="http://schemas.openxmlformats.org/officeDocument/2006/relationships/hyperlink" Target="https://drive.google.com/file/d/1diYrrO2qoym8hQGjpwdCVcc3pYjzVxrf/view?usp=drivesdk" TargetMode="External"/><Relationship Id="rId4860" Type="http://schemas.openxmlformats.org/officeDocument/2006/relationships/hyperlink" Target="https://drive.google.com/file/d/1TFkvQfWaleZVIjX3h89oKzYo5L1jJs1t/view?usp=drivesdk" TargetMode="External"/><Relationship Id="rId3531" Type="http://schemas.openxmlformats.org/officeDocument/2006/relationships/hyperlink" Target="https://drive.google.com/file/d/1qI-Larl5DHPs02rDUEA5gDsrP4b-HaKU/view?usp=drivesdk" TargetMode="External"/><Relationship Id="rId4862" Type="http://schemas.openxmlformats.org/officeDocument/2006/relationships/hyperlink" Target="https://drive.google.com/file/d/1fHdEgWoDjRdDnFlF5iyTiwDz96-AYbXq/view?usp=drivesdk" TargetMode="External"/><Relationship Id="rId2200" Type="http://schemas.openxmlformats.org/officeDocument/2006/relationships/hyperlink" Target="https://drive.google.com/file/d/1vQD8Fb6JuXhxw_aT82fwFubJmOtkIlxT/view?usp=drivesdk" TargetMode="External"/><Relationship Id="rId3530" Type="http://schemas.openxmlformats.org/officeDocument/2006/relationships/hyperlink" Target="https://drive.google.com/file/d/18ueF6xA_PKmo98-U0Kjy0SHsiue3YDdO/view?usp=drivesdk" TargetMode="External"/><Relationship Id="rId4861" Type="http://schemas.openxmlformats.org/officeDocument/2006/relationships/hyperlink" Target="https://drive.google.com/file/d/1JvgZjYLEZdSW0JWecdJUvprSXnK7M8zI/view?usp=drivesdk" TargetMode="External"/><Relationship Id="rId2201" Type="http://schemas.openxmlformats.org/officeDocument/2006/relationships/hyperlink" Target="https://drive.google.com/file/d/1kV2m-b8Jv_iasJUr-8e3s4YQblvf9Sek/view?usp=drivesdk" TargetMode="External"/><Relationship Id="rId3533" Type="http://schemas.openxmlformats.org/officeDocument/2006/relationships/hyperlink" Target="https://drive.google.com/file/d/1SyrgeOzbuHxhhojDkrVFdJKlAoPzBcoh/view?usp=drivesdk" TargetMode="External"/><Relationship Id="rId4864" Type="http://schemas.openxmlformats.org/officeDocument/2006/relationships/hyperlink" Target="https://drive.google.com/file/d/1RbDM5G88ZEqmCixYmXyiHmVD0wtgKldh/view?usp=drivesdk" TargetMode="External"/><Relationship Id="rId2202" Type="http://schemas.openxmlformats.org/officeDocument/2006/relationships/hyperlink" Target="https://drive.google.com/file/d/1hlNnzaRXV5jNdwU2kNrp6nwN4xdQOiMU/view?usp=drivesdk" TargetMode="External"/><Relationship Id="rId3532" Type="http://schemas.openxmlformats.org/officeDocument/2006/relationships/hyperlink" Target="https://drive.google.com/file/d/1cclwq4oUGx06ruQV5FHrj2rHvHJUUnpt/view?usp=drivesdk" TargetMode="External"/><Relationship Id="rId4863" Type="http://schemas.openxmlformats.org/officeDocument/2006/relationships/hyperlink" Target="https://drive.google.com/file/d/1eTgf78nLqHZ0MTA2InO_CivlF83hnR7V/view?usp=drivesdk" TargetMode="External"/><Relationship Id="rId3524" Type="http://schemas.openxmlformats.org/officeDocument/2006/relationships/hyperlink" Target="https://drive.google.com/file/d/10CY8p3uAV-zkOCoWIipwTz_IicFrRijq/view?usp=drivesdk" TargetMode="External"/><Relationship Id="rId4855" Type="http://schemas.openxmlformats.org/officeDocument/2006/relationships/hyperlink" Target="https://drive.google.com/file/d/1ADIpWT084wW7r7WTBeWgCMakNgtsD0rD/view?usp=drivesdk" TargetMode="External"/><Relationship Id="rId3523" Type="http://schemas.openxmlformats.org/officeDocument/2006/relationships/hyperlink" Target="https://drive.google.com/file/d/1uBXwbJBa4s4wHY8EFm5Te0oDnh8qgKTS/view?usp=drivesdk" TargetMode="External"/><Relationship Id="rId4854" Type="http://schemas.openxmlformats.org/officeDocument/2006/relationships/hyperlink" Target="https://drive.google.com/file/d/1EjAbRNzpW_IpbLbMrMIVBDKp1mv9kFDn/view?usp=drivesdk" TargetMode="External"/><Relationship Id="rId3526" Type="http://schemas.openxmlformats.org/officeDocument/2006/relationships/hyperlink" Target="https://drive.google.com/file/d/1YKpYDigeDt2OUimVKPHwredWYxwm573F/view?usp=drivesdk" TargetMode="External"/><Relationship Id="rId4857" Type="http://schemas.openxmlformats.org/officeDocument/2006/relationships/hyperlink" Target="https://drive.google.com/file/d/1WjbLcsFy11l7qSsUOM_jg10rfBBxCcry/view?usp=drivesdk" TargetMode="External"/><Relationship Id="rId3525" Type="http://schemas.openxmlformats.org/officeDocument/2006/relationships/hyperlink" Target="https://drive.google.com/file/d/1ikKrjxHTkOQ6_IvQh3gYh0Vu1ph6nnSW/view?usp=drivesdk" TargetMode="External"/><Relationship Id="rId4856" Type="http://schemas.openxmlformats.org/officeDocument/2006/relationships/hyperlink" Target="https://drive.google.com/file/d/10R4t41rDZ8Tk6hYdlGhRPlMgLwsWbQkv/view?usp=drivesdk" TargetMode="External"/><Relationship Id="rId3528" Type="http://schemas.openxmlformats.org/officeDocument/2006/relationships/hyperlink" Target="https://drive.google.com/file/d/1cp3N4Zq04IUo2y-RE2DJHgDRI4m0OX5Q/view?usp=drivesdk" TargetMode="External"/><Relationship Id="rId4859" Type="http://schemas.openxmlformats.org/officeDocument/2006/relationships/hyperlink" Target="https://drive.google.com/file/d/1XxtfrcgLqVNmF0-9rzkFWl3SyDXKgKVE/view?usp=drivesdk" TargetMode="External"/><Relationship Id="rId3527" Type="http://schemas.openxmlformats.org/officeDocument/2006/relationships/hyperlink" Target="https://drive.google.com/file/d/1_F3JxEJwMIocgxpc8kXY25-HOAHT7ylw/view?usp=drivesdk" TargetMode="External"/><Relationship Id="rId4858" Type="http://schemas.openxmlformats.org/officeDocument/2006/relationships/hyperlink" Target="https://drive.google.com/file/d/1eVd2e6FJbWkhc1gFgCBNXzikI0yFcO55/view?usp=drivesdk" TargetMode="External"/><Relationship Id="rId3529" Type="http://schemas.openxmlformats.org/officeDocument/2006/relationships/hyperlink" Target="https://drive.google.com/file/d/19jB8ZMIm3fitAQC04VQcFArP8WRU-VBj/view?usp=drivesdk" TargetMode="External"/><Relationship Id="rId3520" Type="http://schemas.openxmlformats.org/officeDocument/2006/relationships/hyperlink" Target="https://drive.google.com/file/d/1Ld8eiATBBldljNS8vLwjU9t6j6oiOq10/view?usp=drivesdk" TargetMode="External"/><Relationship Id="rId4851" Type="http://schemas.openxmlformats.org/officeDocument/2006/relationships/hyperlink" Target="https://drive.google.com/file/d/13JoEnvOiy5ctg2Xj05A3bCURcXotSt39/view?usp=drivesdk" TargetMode="External"/><Relationship Id="rId4850" Type="http://schemas.openxmlformats.org/officeDocument/2006/relationships/hyperlink" Target="https://drive.google.com/file/d/1geJLufqd_gE3cfhl4bQ0OZAhWtQeiX6X/view?usp=drivesdk" TargetMode="External"/><Relationship Id="rId3522" Type="http://schemas.openxmlformats.org/officeDocument/2006/relationships/hyperlink" Target="https://drive.google.com/file/d/1DARRIexaFwIhz65oUP3hOSNq63fxItEL/view?usp=drivesdk" TargetMode="External"/><Relationship Id="rId4853" Type="http://schemas.openxmlformats.org/officeDocument/2006/relationships/hyperlink" Target="https://drive.google.com/file/d/1j86n1_tJq3TGnXRM5noCWMda0hENP77E/view?usp=drivesdk" TargetMode="External"/><Relationship Id="rId3521" Type="http://schemas.openxmlformats.org/officeDocument/2006/relationships/hyperlink" Target="https://drive.google.com/file/d/1kT37NyHIb3aN2hUvAax5mZo2hrYaBjdT/view?usp=drivesdk" TargetMode="External"/><Relationship Id="rId4852" Type="http://schemas.openxmlformats.org/officeDocument/2006/relationships/hyperlink" Target="https://drive.google.com/file/d/1TCGDSNMAYm2xz3yzpTKRuWFG9lJlz10L/view?usp=drivesdk" TargetMode="External"/><Relationship Id="rId4800" Type="http://schemas.openxmlformats.org/officeDocument/2006/relationships/hyperlink" Target="https://drive.google.com/file/d/13aOhFMf5vs9wK_QjKdlv6z4Cpom4Spal/view?usp=drivesdk" TargetMode="External"/><Relationship Id="rId4802" Type="http://schemas.openxmlformats.org/officeDocument/2006/relationships/hyperlink" Target="https://drive.google.com/file/d/1EdH74vk7Zbvbf3GL6E2l-mYyKeEP8LWT/view?usp=drivesdk" TargetMode="External"/><Relationship Id="rId4801" Type="http://schemas.openxmlformats.org/officeDocument/2006/relationships/hyperlink" Target="https://drive.google.com/file/d/1IVPEJ_YN1x-sO1SjpToYZuzSXhzbzoTA/view?usp=drivesdk" TargetMode="External"/><Relationship Id="rId4804" Type="http://schemas.openxmlformats.org/officeDocument/2006/relationships/hyperlink" Target="https://drive.google.com/file/d/1WUKx651ZGdNPnCXa9LFUshQd7U-Db60v/view?usp=drivesdk" TargetMode="External"/><Relationship Id="rId4803" Type="http://schemas.openxmlformats.org/officeDocument/2006/relationships/hyperlink" Target="https://drive.google.com/file/d/1E0bphhzOoxmX3EQOrLInxYVEgzSTBXgL/view?usp=drivesdk" TargetMode="External"/><Relationship Id="rId4806" Type="http://schemas.openxmlformats.org/officeDocument/2006/relationships/hyperlink" Target="https://drive.google.com/file/d/1FbJg_I5BY80AzLzOOCBGVh3cMZwcngkS/view?usp=drivesdk" TargetMode="External"/><Relationship Id="rId4805" Type="http://schemas.openxmlformats.org/officeDocument/2006/relationships/hyperlink" Target="https://drive.google.com/file/d/1BjCrkpGKkeDNnZsi7uyk4taHOHgxe3kP/view?usp=drivesdk" TargetMode="External"/><Relationship Id="rId4808" Type="http://schemas.openxmlformats.org/officeDocument/2006/relationships/hyperlink" Target="https://drive.google.com/file/d/1z0vBkyUXRMGuPeOk_kXxYglNVEMxrTwV/view?usp=drivesdk" TargetMode="External"/><Relationship Id="rId4807" Type="http://schemas.openxmlformats.org/officeDocument/2006/relationships/hyperlink" Target="https://drive.google.com/file/d/1YL_vBPJOP9ypklrUW5e70w8vo0_YZQJS/view?usp=drivesdk" TargetMode="External"/><Relationship Id="rId4809" Type="http://schemas.openxmlformats.org/officeDocument/2006/relationships/hyperlink" Target="https://drive.google.com/file/d/1363_P2tRoSHVhhPxrjwvrQQsB8NAfUrl/view?usp=drivesdk" TargetMode="External"/><Relationship Id="rId7081" Type="http://schemas.openxmlformats.org/officeDocument/2006/relationships/hyperlink" Target="https://drive.google.com/file/d/17x-xXjn669ejHGWG15xgAnkfHw0je2mk/view?usp=drivesdk" TargetMode="External"/><Relationship Id="rId7080" Type="http://schemas.openxmlformats.org/officeDocument/2006/relationships/hyperlink" Target="https://drive.google.com/file/d/1zBbLVy8forU_5VnlMjjtGsXaiCt0QRBM/view?usp=drivesdk" TargetMode="External"/><Relationship Id="rId7074" Type="http://schemas.openxmlformats.org/officeDocument/2006/relationships/hyperlink" Target="https://drive.google.com/file/d/1XyVc_Euy-v7TGTPHezMwlIVvlSp-cfcn/view?usp=drivesdk" TargetMode="External"/><Relationship Id="rId7073" Type="http://schemas.openxmlformats.org/officeDocument/2006/relationships/hyperlink" Target="https://drive.google.com/file/d/1BF0wjlRzJZU_7ODQOokOp_rO8CGgTd42/view?usp=drivesdk" TargetMode="External"/><Relationship Id="rId7072" Type="http://schemas.openxmlformats.org/officeDocument/2006/relationships/hyperlink" Target="https://drive.google.com/file/d/1ecjsUjDCd82EOjIyZK2_bqvw7lRdydVc/view?usp=drivesdk" TargetMode="External"/><Relationship Id="rId7071" Type="http://schemas.openxmlformats.org/officeDocument/2006/relationships/hyperlink" Target="https://drive.google.com/file/d/1W1BckAbWVqq4b4iZYoXFG0FAAGunlwpT/view?usp=drivesdk" TargetMode="External"/><Relationship Id="rId7078" Type="http://schemas.openxmlformats.org/officeDocument/2006/relationships/hyperlink" Target="https://drive.google.com/file/d/1sv-vwifxkUhid78tnYLc1aLWO0_4gB9u/view?usp=drivesdk" TargetMode="External"/><Relationship Id="rId7077" Type="http://schemas.openxmlformats.org/officeDocument/2006/relationships/hyperlink" Target="https://drive.google.com/file/d/1CUVNna4Pi_4RiPuNcWPMmC-TGIYaz2W_/view?usp=drivesdk" TargetMode="External"/><Relationship Id="rId7076" Type="http://schemas.openxmlformats.org/officeDocument/2006/relationships/hyperlink" Target="https://drive.google.com/file/d/1Onjw7t8fmNRLhZpXwvsEzAPK3TDDot7q/view?usp=drivesdk" TargetMode="External"/><Relationship Id="rId7075" Type="http://schemas.openxmlformats.org/officeDocument/2006/relationships/hyperlink" Target="https://drive.google.com/file/d/1OghSKkmTHZcygkSvfVbP3zBMZEKcsRa2/view?usp=drivesdk" TargetMode="External"/><Relationship Id="rId7079" Type="http://schemas.openxmlformats.org/officeDocument/2006/relationships/hyperlink" Target="https://drive.google.com/file/d/1iHEAcU-TJGaRERkB-_PFbHzoh0pMgiRt/view?usp=drivesdk" TargetMode="External"/><Relationship Id="rId7070" Type="http://schemas.openxmlformats.org/officeDocument/2006/relationships/hyperlink" Target="https://drive.google.com/file/d/1bNkLxvqHKZ_Fs1NuOrWz_Pz-CFmB3nRB/view?usp=drivesdk" TargetMode="External"/><Relationship Id="rId7063" Type="http://schemas.openxmlformats.org/officeDocument/2006/relationships/hyperlink" Target="https://drive.google.com/file/d/1rvHl6AJ19bFMcuVx-XZWBHR2bXMPJtj9/view?usp=drivesdk" TargetMode="External"/><Relationship Id="rId8394" Type="http://schemas.openxmlformats.org/officeDocument/2006/relationships/hyperlink" Target="https://drive.google.com/file/d/1PSBRzJIYWNTiznEPmptmuGXaNAjILh8s/view?usp=drivesdk" TargetMode="External"/><Relationship Id="rId7062" Type="http://schemas.openxmlformats.org/officeDocument/2006/relationships/hyperlink" Target="https://drive.google.com/file/d/1aQ0IkKGivA4QpcE4BdUERq0l7p2aABQJ/view?usp=drivesdk" TargetMode="External"/><Relationship Id="rId8393" Type="http://schemas.openxmlformats.org/officeDocument/2006/relationships/hyperlink" Target="https://drive.google.com/file/d/1pO7LBhMjoHK0o71PanTuYMz5Dxi9GmwT/view?usp=drivesdk" TargetMode="External"/><Relationship Id="rId7061" Type="http://schemas.openxmlformats.org/officeDocument/2006/relationships/hyperlink" Target="https://drive.google.com/file/d/1t3B-hvvazLqwrqnTHFEPY0GhUfaCUar3/view?usp=drivesdk" TargetMode="External"/><Relationship Id="rId8392" Type="http://schemas.openxmlformats.org/officeDocument/2006/relationships/hyperlink" Target="https://drive.google.com/file/d/1R66_LB5OywQ9tIM-ckmV7kKkuitP8Qxz/view?usp=drivesdk" TargetMode="External"/><Relationship Id="rId7060" Type="http://schemas.openxmlformats.org/officeDocument/2006/relationships/hyperlink" Target="https://drive.google.com/file/d/1LCtPEUzC00lzGnoaKSiFRmDtfVXQsqRt/view?usp=drivesdk" TargetMode="External"/><Relationship Id="rId8391" Type="http://schemas.openxmlformats.org/officeDocument/2006/relationships/hyperlink" Target="https://drive.google.com/file/d/1YtivJH40iREVAxWIIxcGx19IUxxZ2y6F/view?usp=drivesdk" TargetMode="External"/><Relationship Id="rId7067" Type="http://schemas.openxmlformats.org/officeDocument/2006/relationships/hyperlink" Target="https://drive.google.com/file/d/1mmob3TAn_jMTgBj5SrhBWSEKsbd9f4Jk/view?usp=drivesdk" TargetMode="External"/><Relationship Id="rId8398" Type="http://schemas.openxmlformats.org/officeDocument/2006/relationships/hyperlink" Target="https://drive.google.com/file/d/1sySasXK1jdB-xKIh9MynTT5qPUvpl5kf/view?usp=drivesdk" TargetMode="External"/><Relationship Id="rId7066" Type="http://schemas.openxmlformats.org/officeDocument/2006/relationships/hyperlink" Target="https://drive.google.com/file/d/1fDEtq5sJSUyBXfbsDqfUKPfypLJFEnUE/view?usp=drivesdk" TargetMode="External"/><Relationship Id="rId8397" Type="http://schemas.openxmlformats.org/officeDocument/2006/relationships/hyperlink" Target="https://drive.google.com/file/d/1UhTdlO1-8LnZkmDLu_MCNbSXwNPgOkki/view?usp=drivesdk" TargetMode="External"/><Relationship Id="rId7065" Type="http://schemas.openxmlformats.org/officeDocument/2006/relationships/hyperlink" Target="https://drive.google.com/file/d/1mOOdZvn3n9Qad-2v1ienjvd0eKQWZJM0/view?usp=drivesdk" TargetMode="External"/><Relationship Id="rId8396" Type="http://schemas.openxmlformats.org/officeDocument/2006/relationships/hyperlink" Target="https://drive.google.com/file/d/17XDs89eZ5biWGzWomgvEa1Vvtny1KTF4/view?usp=drivesdk" TargetMode="External"/><Relationship Id="rId7064" Type="http://schemas.openxmlformats.org/officeDocument/2006/relationships/hyperlink" Target="https://drive.google.com/file/d/1PfZ-O2s4RDtg3gOSLo5U0T7zniRaJe9n/view?usp=drivesdk" TargetMode="External"/><Relationship Id="rId8395" Type="http://schemas.openxmlformats.org/officeDocument/2006/relationships/hyperlink" Target="https://drive.google.com/file/d/1i-Wk0WeP_lLEL3ezLJIkratQ59On32t1/view?usp=drivesdk" TargetMode="External"/><Relationship Id="rId7069" Type="http://schemas.openxmlformats.org/officeDocument/2006/relationships/hyperlink" Target="https://drive.google.com/file/d/1v1KYBHF6thZN_2dlirpVWp2a9hAXYzEL/view?usp=drivesdk" TargetMode="External"/><Relationship Id="rId7068" Type="http://schemas.openxmlformats.org/officeDocument/2006/relationships/hyperlink" Target="https://drive.google.com/file/d/1gRUEtntJeWjApc_Z-Kmlz7j73NA0vxoh/view?usp=drivesdk" TargetMode="External"/><Relationship Id="rId8399" Type="http://schemas.openxmlformats.org/officeDocument/2006/relationships/hyperlink" Target="https://drive.google.com/file/d/1Scb9QeYskzeT5HQOPh67c5t9EPJE7-be/view?usp=drivesdk" TargetMode="External"/><Relationship Id="rId4822" Type="http://schemas.openxmlformats.org/officeDocument/2006/relationships/hyperlink" Target="https://drive.google.com/file/d/1C2J1mNc_C6Ukw7BP8DEqCf9Bger6cRhw/view?usp=drivesdk" TargetMode="External"/><Relationship Id="rId4821" Type="http://schemas.openxmlformats.org/officeDocument/2006/relationships/hyperlink" Target="https://drive.google.com/file/d/18kcQ-SpkoRUDDbATdz7ZLFyp5ZephKNm/view?usp=drivesdk" TargetMode="External"/><Relationship Id="rId4824" Type="http://schemas.openxmlformats.org/officeDocument/2006/relationships/hyperlink" Target="https://drive.google.com/file/d/1IXLYzBijEn9zxPnm6KJ3DeU8brgcACtH/view?usp=drivesdk" TargetMode="External"/><Relationship Id="rId4823" Type="http://schemas.openxmlformats.org/officeDocument/2006/relationships/hyperlink" Target="https://drive.google.com/file/d/1MlVqSLEWeKNtMwzRoOOmI45rmffWBOpM/view?usp=drivesdk" TargetMode="External"/><Relationship Id="rId4826" Type="http://schemas.openxmlformats.org/officeDocument/2006/relationships/hyperlink" Target="https://drive.google.com/file/d/1tLmvkSM4zJ-qE5ffAxZssuX02--ZH6XM/view?usp=drivesdk" TargetMode="External"/><Relationship Id="rId4825" Type="http://schemas.openxmlformats.org/officeDocument/2006/relationships/hyperlink" Target="https://drive.google.com/file/d/1U3vQjAAkmyC7T1ieo90gwTXvgZtHQNTF/view?usp=drivesdk" TargetMode="External"/><Relationship Id="rId4828" Type="http://schemas.openxmlformats.org/officeDocument/2006/relationships/hyperlink" Target="https://drive.google.com/file/d/1LfQn0se6qRdr9M0V3yoSd-sVHz98KEEV/view?usp=drivesdk" TargetMode="External"/><Relationship Id="rId4827" Type="http://schemas.openxmlformats.org/officeDocument/2006/relationships/hyperlink" Target="https://drive.google.com/file/d/1mNKVjxI0AkylfkfLk1cR9VSWXWTuAiw1/view?usp=drivesdk" TargetMode="External"/><Relationship Id="rId4829" Type="http://schemas.openxmlformats.org/officeDocument/2006/relationships/hyperlink" Target="https://drive.google.com/file/d/19lkVWkzyvYXAOYvOPqHJzfL2DhGido_0/view?usp=drivesdk" TargetMode="External"/><Relationship Id="rId7096" Type="http://schemas.openxmlformats.org/officeDocument/2006/relationships/hyperlink" Target="https://drive.google.com/file/d/19JU7q6erQoaWkOoRuS23waECIIItF6vv/view?usp=drivesdk" TargetMode="External"/><Relationship Id="rId7095" Type="http://schemas.openxmlformats.org/officeDocument/2006/relationships/hyperlink" Target="https://drive.google.com/file/d/1OoI24FKba-pVhu03gWE_-igsy-7IrwNS/view?usp=drivesdk" TargetMode="External"/><Relationship Id="rId7094" Type="http://schemas.openxmlformats.org/officeDocument/2006/relationships/hyperlink" Target="https://drive.google.com/file/d/13zJRS4YSMz0NMlrzuu8VKaGbSIQ4gnHv/view?usp=drivesdk" TargetMode="External"/><Relationship Id="rId7093" Type="http://schemas.openxmlformats.org/officeDocument/2006/relationships/hyperlink" Target="https://drive.google.com/file/d/1WRgjFylvUfKOcLomj1xdSG_M7Bo_rjYI/view?usp=drivesdk" TargetMode="External"/><Relationship Id="rId7099" Type="http://schemas.openxmlformats.org/officeDocument/2006/relationships/hyperlink" Target="https://drive.google.com/file/d/1paDHyM7iWCY7vE9V1XJiKzot8lnf-bHZ/view?usp=drivesdk" TargetMode="External"/><Relationship Id="rId7098" Type="http://schemas.openxmlformats.org/officeDocument/2006/relationships/hyperlink" Target="https://drive.google.com/file/d/1DmcKOMAbgaPhN5Zklh_i6_yrYp4f4-YK/view?usp=drivesdk" TargetMode="External"/><Relationship Id="rId7097" Type="http://schemas.openxmlformats.org/officeDocument/2006/relationships/hyperlink" Target="https://drive.google.com/file/d/14Messo-m3q5G8h5u3ZMSt1Z1ymDjQKm6/view?usp=drivesdk" TargetMode="External"/><Relationship Id="rId4820" Type="http://schemas.openxmlformats.org/officeDocument/2006/relationships/hyperlink" Target="https://drive.google.com/file/d/1Syjohm9M6y8jK3GtyEERNoFxfeG7-e_F/view?usp=drivesdk" TargetMode="External"/><Relationship Id="rId4811" Type="http://schemas.openxmlformats.org/officeDocument/2006/relationships/hyperlink" Target="https://drive.google.com/file/d/1Q27yEChIL_uSugQbqIRg_OCfWr2r3ISa/view?usp=drivesdk" TargetMode="External"/><Relationship Id="rId4810" Type="http://schemas.openxmlformats.org/officeDocument/2006/relationships/hyperlink" Target="https://drive.google.com/file/d/104bYBzpIKjsxyrVjtN3vWJABeDD5TqsT/view?usp=drivesdk" TargetMode="External"/><Relationship Id="rId4813" Type="http://schemas.openxmlformats.org/officeDocument/2006/relationships/hyperlink" Target="https://drive.google.com/file/d/1YTtbEbXVRBx1ok6Sz3gTvIW51Uw0Sm-I/view?usp=drivesdk" TargetMode="External"/><Relationship Id="rId4812" Type="http://schemas.openxmlformats.org/officeDocument/2006/relationships/hyperlink" Target="https://drive.google.com/file/d/1bU9waN65PDe9L-qB38-iatafsRnI5ENq/view?usp=drivesdk" TargetMode="External"/><Relationship Id="rId4815" Type="http://schemas.openxmlformats.org/officeDocument/2006/relationships/hyperlink" Target="https://drive.google.com/file/d/1Ltkm7WxJBZnZfr__2F8qNBdgEHjZ6JVI/view?usp=drivesdk" TargetMode="External"/><Relationship Id="rId4814" Type="http://schemas.openxmlformats.org/officeDocument/2006/relationships/hyperlink" Target="https://drive.google.com/file/d/1kC8ezYsPbDPerjfjbvKah3hoXHrP6af4/view?usp=drivesdk" TargetMode="External"/><Relationship Id="rId4817" Type="http://schemas.openxmlformats.org/officeDocument/2006/relationships/hyperlink" Target="https://drive.google.com/file/d/1hyT_jmh4_VpGyjIoBHBSoDsNvT6DZytV/view?usp=drivesdk" TargetMode="External"/><Relationship Id="rId4816" Type="http://schemas.openxmlformats.org/officeDocument/2006/relationships/hyperlink" Target="https://drive.google.com/file/d/1Fd0cH0h5iJzDZKXTT5WwJFo3LuvNFyHZ/view?usp=drivesdk" TargetMode="External"/><Relationship Id="rId4819" Type="http://schemas.openxmlformats.org/officeDocument/2006/relationships/hyperlink" Target="https://drive.google.com/file/d/1T6W5MftINHj_K8XSa9uQKegGH4NTnb8R/view?usp=drivesdk" TargetMode="External"/><Relationship Id="rId4818" Type="http://schemas.openxmlformats.org/officeDocument/2006/relationships/hyperlink" Target="https://drive.google.com/file/d/1CwWS8FN-w88wBjwPeirY4Vs2CwYFQYcf/view?usp=drivesdk" TargetMode="External"/><Relationship Id="rId7092" Type="http://schemas.openxmlformats.org/officeDocument/2006/relationships/hyperlink" Target="https://drive.google.com/file/d/1g0wYFdEnzJFsviDvh78YaDYrk0foN_Jq/view?usp=drivesdk" TargetMode="External"/><Relationship Id="rId7091" Type="http://schemas.openxmlformats.org/officeDocument/2006/relationships/hyperlink" Target="https://drive.google.com/file/d/11Y1--_fpFVm2_TV1T9A3bt9d2SFYm0qa/view?usp=drivesdk" TargetMode="External"/><Relationship Id="rId7090" Type="http://schemas.openxmlformats.org/officeDocument/2006/relationships/hyperlink" Target="https://drive.google.com/file/d/1ot5J1eZIFifVVT6nZ8utF0M4QiGoserz/view?usp=drivesdk" TargetMode="External"/><Relationship Id="rId7085" Type="http://schemas.openxmlformats.org/officeDocument/2006/relationships/hyperlink" Target="https://drive.google.com/file/d/1Ocp4JoGZdT1-Y1eUfe_7hDbioS5UTe-t/view?usp=drivesdk" TargetMode="External"/><Relationship Id="rId7084" Type="http://schemas.openxmlformats.org/officeDocument/2006/relationships/hyperlink" Target="https://drive.google.com/file/d/1BHOkY4ha65_YQiTDrgEMNAvVzU4u64gA/view?usp=drivesdk" TargetMode="External"/><Relationship Id="rId7083" Type="http://schemas.openxmlformats.org/officeDocument/2006/relationships/hyperlink" Target="https://drive.google.com/file/d/1XC6aqQmIzPYbVAwhVCe9COeg2clEM21r/view?usp=drivesdk" TargetMode="External"/><Relationship Id="rId7082" Type="http://schemas.openxmlformats.org/officeDocument/2006/relationships/hyperlink" Target="https://drive.google.com/file/d/1quzUv3eDeJ2GSxoHCJ4cW_uH05iQ0non/view?usp=drivesdk" TargetMode="External"/><Relationship Id="rId7089" Type="http://schemas.openxmlformats.org/officeDocument/2006/relationships/hyperlink" Target="https://drive.google.com/file/d/1mLa_HV0p6iBtNio0eLFblg5AmwLjiuXd/view?usp=drivesdk" TargetMode="External"/><Relationship Id="rId7088" Type="http://schemas.openxmlformats.org/officeDocument/2006/relationships/hyperlink" Target="https://drive.google.com/file/d/1dtxN2dVanPU5bd_XelNk7pUDRgwL8lqG/view?usp=drivesdk" TargetMode="External"/><Relationship Id="rId7087" Type="http://schemas.openxmlformats.org/officeDocument/2006/relationships/hyperlink" Target="https://drive.google.com/file/d/1sFxp5D1qBik-7x03PbbUyJx5T9y9B-qC/view?usp=drivesdk" TargetMode="External"/><Relationship Id="rId7086" Type="http://schemas.openxmlformats.org/officeDocument/2006/relationships/hyperlink" Target="https://drive.google.com/file/d/1lfw6CJxLafe3pDx-gn1GW_A-5J6ozBb7/view?usp=drivesdk" TargetMode="External"/><Relationship Id="rId2269" Type="http://schemas.openxmlformats.org/officeDocument/2006/relationships/hyperlink" Target="https://drive.google.com/file/d/1b0S2ABK4y_fxjdvHciNSVNZm70Y27UMT/view?usp=drivesdk" TargetMode="External"/><Relationship Id="rId3591" Type="http://schemas.openxmlformats.org/officeDocument/2006/relationships/hyperlink" Target="https://drive.google.com/file/d/10GK8P_X_dN0IEZQlYkNSmKiXCdahAxjw/view?usp=drivesdk" TargetMode="External"/><Relationship Id="rId2260" Type="http://schemas.openxmlformats.org/officeDocument/2006/relationships/hyperlink" Target="https://drive.google.com/file/d/1JD9tg9_KqlVnImNqB-opu4W7VnSymKLN/view?usp=drivesdk" TargetMode="External"/><Relationship Id="rId3590" Type="http://schemas.openxmlformats.org/officeDocument/2006/relationships/hyperlink" Target="https://drive.google.com/file/d/18J0t8gPQLALmMEMNY_6FsMXJMCJ95ihj/view?usp=drivesdk" TargetMode="External"/><Relationship Id="rId2261" Type="http://schemas.openxmlformats.org/officeDocument/2006/relationships/hyperlink" Target="https://drive.google.com/file/d/1Efp2eIwSCAfS5_0JCekuzQm1xlARlsvZ/view?usp=drivesdk" TargetMode="External"/><Relationship Id="rId3593" Type="http://schemas.openxmlformats.org/officeDocument/2006/relationships/hyperlink" Target="https://drive.google.com/file/d/1NkAzYTpMyPB_i_7Aa3nzreBJdOh81aPH/view?usp=drivesdk" TargetMode="External"/><Relationship Id="rId2262" Type="http://schemas.openxmlformats.org/officeDocument/2006/relationships/hyperlink" Target="https://drive.google.com/file/d/1BVOgXUbCMkhA6XFTcBERZxZsqu8PR6Uh/view?usp=drivesdk" TargetMode="External"/><Relationship Id="rId3592" Type="http://schemas.openxmlformats.org/officeDocument/2006/relationships/hyperlink" Target="https://drive.google.com/file/d/1sbY2PI1VP3R72ht9OI7eJiF38MOXRkiE/view?usp=drivesdk" TargetMode="External"/><Relationship Id="rId2263" Type="http://schemas.openxmlformats.org/officeDocument/2006/relationships/hyperlink" Target="https://drive.google.com/file/d/1g6Ss_bSyl-ObkWjCnoD1hIRintf65o7y/view?usp=drivesdk" TargetMode="External"/><Relationship Id="rId3595" Type="http://schemas.openxmlformats.org/officeDocument/2006/relationships/hyperlink" Target="https://drive.google.com/file/d/1U0TBKC8_Ku_Fc8nvPaq4b8kiB08Hu-sM/view?usp=drivesdk" TargetMode="External"/><Relationship Id="rId2264" Type="http://schemas.openxmlformats.org/officeDocument/2006/relationships/hyperlink" Target="https://drive.google.com/file/d/1fJh5jt9QnPKkAETqxSiXrMjRQqgBN1GC/view?usp=drivesdk" TargetMode="External"/><Relationship Id="rId3594" Type="http://schemas.openxmlformats.org/officeDocument/2006/relationships/hyperlink" Target="https://drive.google.com/file/d/1EXyryCDEjjHECxnO1KGz1t_7iZJ8QEcT/view?usp=drivesdk" TargetMode="External"/><Relationship Id="rId2265" Type="http://schemas.openxmlformats.org/officeDocument/2006/relationships/hyperlink" Target="https://drive.google.com/file/d/1K_mLss30SU7HAVLwUuGyhcjHAIwwVOLQ/view?usp=drivesdk" TargetMode="External"/><Relationship Id="rId3597" Type="http://schemas.openxmlformats.org/officeDocument/2006/relationships/hyperlink" Target="https://drive.google.com/file/d/1gSVhUEECUJjUs9F9neBCk8nclB_p6g8b/view?usp=drivesdk" TargetMode="External"/><Relationship Id="rId2266" Type="http://schemas.openxmlformats.org/officeDocument/2006/relationships/hyperlink" Target="https://drive.google.com/file/d/11zTk_poWJVuHozdVboa2aJfB55dkkrYz/view?usp=drivesdk" TargetMode="External"/><Relationship Id="rId3596" Type="http://schemas.openxmlformats.org/officeDocument/2006/relationships/hyperlink" Target="https://drive.google.com/file/d/1qUCWEgxaJV6xgdo00Tm6BBAAB0eM6oAC/view?usp=drivesdk" TargetMode="External"/><Relationship Id="rId2267" Type="http://schemas.openxmlformats.org/officeDocument/2006/relationships/hyperlink" Target="https://drive.google.com/file/d/1GOBnR8uTEWBeU5ya9H9PUGEKx6Eked9Z/view?usp=drivesdk" TargetMode="External"/><Relationship Id="rId3599" Type="http://schemas.openxmlformats.org/officeDocument/2006/relationships/hyperlink" Target="https://drive.google.com/file/d/1RR9hFt_j4HIxyithjaT5LtZ2SAQRP4nv/view?usp=drivesdk" TargetMode="External"/><Relationship Id="rId2268" Type="http://schemas.openxmlformats.org/officeDocument/2006/relationships/hyperlink" Target="https://drive.google.com/file/d/1pb2t5EWHaIo4fyMVB5jTJR2uoC-715ff/view?usp=drivesdk" TargetMode="External"/><Relationship Id="rId3598" Type="http://schemas.openxmlformats.org/officeDocument/2006/relationships/hyperlink" Target="https://drive.google.com/file/d/1Bh9_T7yvJ3UnkLWnwEjUy1GXl09vC4xc/view?usp=drivesdk" TargetMode="External"/><Relationship Id="rId2258" Type="http://schemas.openxmlformats.org/officeDocument/2006/relationships/hyperlink" Target="https://drive.google.com/file/d/1sdNgXbSJfwBHIq_qiP5kAFsXbhUHiION/view?usp=drivesdk" TargetMode="External"/><Relationship Id="rId2259" Type="http://schemas.openxmlformats.org/officeDocument/2006/relationships/hyperlink" Target="https://drive.google.com/file/d/1XBmtuFWGl4zfKFN53Gh6KNWrCXU5yI5n/view?usp=drivesdk" TargetMode="External"/><Relationship Id="rId3589" Type="http://schemas.openxmlformats.org/officeDocument/2006/relationships/hyperlink" Target="https://drive.google.com/file/d/1vksBicHb_eXfBX__6QACowaSon1zm7nt/view?usp=drivesdk" TargetMode="External"/><Relationship Id="rId3580" Type="http://schemas.openxmlformats.org/officeDocument/2006/relationships/hyperlink" Target="https://drive.google.com/file/d/1ksJ9nyyjkEPg60uqKoq4gfUT592PceUu/view?usp=drivesdk" TargetMode="External"/><Relationship Id="rId2250" Type="http://schemas.openxmlformats.org/officeDocument/2006/relationships/hyperlink" Target="https://drive.google.com/file/d/11htBy35p-E_quYAbNUO-phXK_zgWEBnE/view?usp=drivesdk" TargetMode="External"/><Relationship Id="rId3582" Type="http://schemas.openxmlformats.org/officeDocument/2006/relationships/hyperlink" Target="https://drive.google.com/file/d/1wwOY8M07_dFPf5V52rbWKnT7OTdpaX_R/view?usp=drivesdk" TargetMode="External"/><Relationship Id="rId2251" Type="http://schemas.openxmlformats.org/officeDocument/2006/relationships/hyperlink" Target="https://drive.google.com/file/d/1rw8D4NeL252G0fzZZYMkHfRpVC61nt-Y/view?usp=drivesdk" TargetMode="External"/><Relationship Id="rId3581" Type="http://schemas.openxmlformats.org/officeDocument/2006/relationships/hyperlink" Target="https://drive.google.com/file/d/1qJoLEwGWP2rpJBA0FA4Ah5TGJdlXwEQ1/view?usp=drivesdk" TargetMode="External"/><Relationship Id="rId2252" Type="http://schemas.openxmlformats.org/officeDocument/2006/relationships/hyperlink" Target="https://drive.google.com/file/d/1or5r6EV0ALXcxD6GY8dIJg6YmwE4Mn8T/view?usp=drivesdk" TargetMode="External"/><Relationship Id="rId3584" Type="http://schemas.openxmlformats.org/officeDocument/2006/relationships/hyperlink" Target="https://drive.google.com/file/d/1GBf9n1agVzsOVdrCZKSZ6PEqcMqOhI9a/view?usp=drivesdk" TargetMode="External"/><Relationship Id="rId2253" Type="http://schemas.openxmlformats.org/officeDocument/2006/relationships/hyperlink" Target="https://drive.google.com/file/d/1M4BEtOlLbTm5NIktueuez9l-8gjOtkpG/view?usp=drivesdk" TargetMode="External"/><Relationship Id="rId3583" Type="http://schemas.openxmlformats.org/officeDocument/2006/relationships/hyperlink" Target="https://drive.google.com/file/d/1agcyzWqti4ZjZjDmHwERarlIe2lkr5eL/view?usp=drivesdk" TargetMode="External"/><Relationship Id="rId2254" Type="http://schemas.openxmlformats.org/officeDocument/2006/relationships/hyperlink" Target="https://drive.google.com/file/d/1HnVrtdsAklM74bq9xK24M0x7ueX-PZ0x/view?usp=drivesdk" TargetMode="External"/><Relationship Id="rId3586" Type="http://schemas.openxmlformats.org/officeDocument/2006/relationships/hyperlink" Target="https://drive.google.com/file/d/1HLzUetQ3gW790FvuXhVlfPJOOpjSbVFx/view?usp=drivesdk" TargetMode="External"/><Relationship Id="rId2255" Type="http://schemas.openxmlformats.org/officeDocument/2006/relationships/hyperlink" Target="https://drive.google.com/file/d/11s4HARtX6UfU9UwN04cHalh1_SwWrFhu/view?usp=drivesdk" TargetMode="External"/><Relationship Id="rId3585" Type="http://schemas.openxmlformats.org/officeDocument/2006/relationships/hyperlink" Target="https://drive.google.com/file/d/16edCvSeTdE2e5L5dY-iDpE-Wub0pgHn8/view?usp=drivesdk" TargetMode="External"/><Relationship Id="rId2256" Type="http://schemas.openxmlformats.org/officeDocument/2006/relationships/hyperlink" Target="https://drive.google.com/file/d/1QYnX_OHrOc3JihBSVdnhVNBkZCIFO-OX/view?usp=drivesdk" TargetMode="External"/><Relationship Id="rId3588" Type="http://schemas.openxmlformats.org/officeDocument/2006/relationships/hyperlink" Target="https://drive.google.com/file/d/1nTkB2DU3P2TmYAXLJuLV_QipFfAyFdhs/view?usp=drivesdk" TargetMode="External"/><Relationship Id="rId2257" Type="http://schemas.openxmlformats.org/officeDocument/2006/relationships/hyperlink" Target="https://drive.google.com/file/d/17fPkI-4__4FLEWFFbtUdRUsijuSIPhpN/view?usp=drivesdk" TargetMode="External"/><Relationship Id="rId3587" Type="http://schemas.openxmlformats.org/officeDocument/2006/relationships/hyperlink" Target="https://drive.google.com/file/d/1y2PBSq_8fTqnJkBQjT6LevS_vRGJ61Vl/view?usp=drivesdk" TargetMode="External"/><Relationship Id="rId2280" Type="http://schemas.openxmlformats.org/officeDocument/2006/relationships/hyperlink" Target="https://drive.google.com/file/d/12kIH_mEd8cLLvdcKdsDsfyrcaFuXvAIi/view?usp=drivesdk" TargetMode="External"/><Relationship Id="rId2281" Type="http://schemas.openxmlformats.org/officeDocument/2006/relationships/hyperlink" Target="https://drive.google.com/file/d/1SJSwNf1F3NTJNO6kAh0QvT7QRA8bmQKb/view?usp=drivesdk" TargetMode="External"/><Relationship Id="rId2282" Type="http://schemas.openxmlformats.org/officeDocument/2006/relationships/hyperlink" Target="https://drive.google.com/file/d/1dHc8Lu7QgyyB5CgEoxzR80jjXMCDvH3G/view?usp=drivesdk" TargetMode="External"/><Relationship Id="rId2283" Type="http://schemas.openxmlformats.org/officeDocument/2006/relationships/hyperlink" Target="https://drive.google.com/file/d/1YK-CevpnbJc_h81LNYb0oigK3qPN9NHJ/view?usp=drivesdk" TargetMode="External"/><Relationship Id="rId2284" Type="http://schemas.openxmlformats.org/officeDocument/2006/relationships/hyperlink" Target="https://drive.google.com/file/d/12ionDn9KiUiaL5nrrf0FI788DlYY8jbT/view?usp=drivesdk" TargetMode="External"/><Relationship Id="rId2285" Type="http://schemas.openxmlformats.org/officeDocument/2006/relationships/hyperlink" Target="https://drive.google.com/file/d/1W8wkSxkxsO6IawJjD5Jh634ojeDlLLjJ/view?usp=drivesdk" TargetMode="External"/><Relationship Id="rId2286" Type="http://schemas.openxmlformats.org/officeDocument/2006/relationships/hyperlink" Target="https://drive.google.com/file/d/1opfdf1Ur2TxjGthOLXBI9oE-Ra7Jhe67/view?usp=drivesdk" TargetMode="External"/><Relationship Id="rId2287" Type="http://schemas.openxmlformats.org/officeDocument/2006/relationships/hyperlink" Target="https://drive.google.com/file/d/1FDprZwrh4xDvNOK-XEZq8PDsrxEB5Epg/view?usp=drivesdk" TargetMode="External"/><Relationship Id="rId2288" Type="http://schemas.openxmlformats.org/officeDocument/2006/relationships/hyperlink" Target="https://drive.google.com/file/d/1OWaqOsqNb3j_QO8BzHye7-KnmDDzlL58/view?usp=drivesdk" TargetMode="External"/><Relationship Id="rId2289" Type="http://schemas.openxmlformats.org/officeDocument/2006/relationships/hyperlink" Target="https://drive.google.com/file/d/1PIgRjR_iqUS4bdPOH9mEi5xlauaHQr3c/view?usp=drivesdk" TargetMode="External"/><Relationship Id="rId2270" Type="http://schemas.openxmlformats.org/officeDocument/2006/relationships/hyperlink" Target="https://drive.google.com/file/d/1xpzu9tXR67ZS5p6C9T_M5sVUce3Vyetb/view?usp=drivesdk" TargetMode="External"/><Relationship Id="rId2271" Type="http://schemas.openxmlformats.org/officeDocument/2006/relationships/hyperlink" Target="https://drive.google.com/file/d/1xSWRee9JTe9Cs1sRpXqqrg4K20H0wqoK/view?usp=drivesdk" TargetMode="External"/><Relationship Id="rId2272" Type="http://schemas.openxmlformats.org/officeDocument/2006/relationships/hyperlink" Target="https://drive.google.com/file/d/1SZcrD7wltaxlxiNAmJf1PuT9Eo3tDsYZ/view?usp=drivesdk" TargetMode="External"/><Relationship Id="rId2273" Type="http://schemas.openxmlformats.org/officeDocument/2006/relationships/hyperlink" Target="https://drive.google.com/file/d/129c4Yq_JlL9VcdM5Zz_0T84NfU31D7Dd/view?usp=drivesdk" TargetMode="External"/><Relationship Id="rId2274" Type="http://schemas.openxmlformats.org/officeDocument/2006/relationships/hyperlink" Target="https://drive.google.com/file/d/1nBGBwlzu1deNBGSvWI0TKAJV5MYZpxhJ/view?usp=drivesdk" TargetMode="External"/><Relationship Id="rId2275" Type="http://schemas.openxmlformats.org/officeDocument/2006/relationships/hyperlink" Target="https://drive.google.com/file/d/1PlZZMTty4luWb9dJ3ZfAPsDMeJ_nPhCb/view?usp=drivesdk" TargetMode="External"/><Relationship Id="rId2276" Type="http://schemas.openxmlformats.org/officeDocument/2006/relationships/hyperlink" Target="https://drive.google.com/file/d/1F5tVA6FK7jLnpivyblFSJJXeCz4x6NKt/view?usp=drivesdk" TargetMode="External"/><Relationship Id="rId2277" Type="http://schemas.openxmlformats.org/officeDocument/2006/relationships/hyperlink" Target="https://drive.google.com/file/d/1ZDFGScGDziGa_NzZCQWzOclJV_XDYKdh/view?usp=drivesdk" TargetMode="External"/><Relationship Id="rId2278" Type="http://schemas.openxmlformats.org/officeDocument/2006/relationships/hyperlink" Target="https://drive.google.com/file/d/1FnF6kCxTylPsKhJ8iou1XhWSYc5h-TrX/view?usp=drivesdk" TargetMode="External"/><Relationship Id="rId2279" Type="http://schemas.openxmlformats.org/officeDocument/2006/relationships/hyperlink" Target="https://drive.google.com/file/d/12iwki-kNvd3_OCXB3ElpthBeGk9mcnmc/view?usp=drivesdk" TargetMode="External"/><Relationship Id="rId2225" Type="http://schemas.openxmlformats.org/officeDocument/2006/relationships/hyperlink" Target="https://drive.google.com/file/d/1LmVIGENDWmqUTsmut6cR56RzOWUiADV8/view?usp=drivesdk" TargetMode="External"/><Relationship Id="rId3557" Type="http://schemas.openxmlformats.org/officeDocument/2006/relationships/hyperlink" Target="https://drive.google.com/file/d/14cWfIA5K9ve1cYmeJI_xwzI-551PydQs/view?usp=drivesdk" TargetMode="External"/><Relationship Id="rId4888" Type="http://schemas.openxmlformats.org/officeDocument/2006/relationships/hyperlink" Target="https://drive.google.com/file/d/119ef30GZmMqKOIqBTltjilDXCCRqO2n1/view?usp=drivesdk" TargetMode="External"/><Relationship Id="rId2226" Type="http://schemas.openxmlformats.org/officeDocument/2006/relationships/hyperlink" Target="https://drive.google.com/file/d/1dz_eaCOzfS3cqZVvlCK4dej9hKWhT0xM/view?usp=drivesdk" TargetMode="External"/><Relationship Id="rId3556" Type="http://schemas.openxmlformats.org/officeDocument/2006/relationships/hyperlink" Target="https://drive.google.com/file/d/1961yr_cMuM9mZEw-rHjpjocV22-Nl1CJ/view?usp=drivesdk" TargetMode="External"/><Relationship Id="rId4887" Type="http://schemas.openxmlformats.org/officeDocument/2006/relationships/hyperlink" Target="https://drive.google.com/file/d/1sPPEzrA61fTyUOjANx7pjXOKhxdYXQ7I/view?usp=drivesdk" TargetMode="External"/><Relationship Id="rId2227" Type="http://schemas.openxmlformats.org/officeDocument/2006/relationships/hyperlink" Target="https://drive.google.com/file/d/18KA2Cprb2pFsAqZWTG9wp2LeOisxDuq3/view?usp=drivesdk" TargetMode="External"/><Relationship Id="rId3559" Type="http://schemas.openxmlformats.org/officeDocument/2006/relationships/hyperlink" Target="https://drive.google.com/file/d/1sXtXHzuLrOOaK87W0x7ydI4stdntx7b5/view?usp=drivesdk" TargetMode="External"/><Relationship Id="rId2228" Type="http://schemas.openxmlformats.org/officeDocument/2006/relationships/hyperlink" Target="https://drive.google.com/file/d/1ay5wdZQH2x6hsdcBa0IanwFFyUsASbIQ/view?usp=drivesdk" TargetMode="External"/><Relationship Id="rId3558" Type="http://schemas.openxmlformats.org/officeDocument/2006/relationships/hyperlink" Target="https://drive.google.com/file/d/15kA6FqXg996ItyXrTf-iylbb4pARo6Ut/view?usp=drivesdk" TargetMode="External"/><Relationship Id="rId4889" Type="http://schemas.openxmlformats.org/officeDocument/2006/relationships/hyperlink" Target="https://drive.google.com/file/d/1ecMYRteOoICgv-zTVWIICrxZ-BagPD3G/view?usp=drivesdk" TargetMode="External"/><Relationship Id="rId2229" Type="http://schemas.openxmlformats.org/officeDocument/2006/relationships/hyperlink" Target="https://drive.google.com/file/d/14MTxj7vz9u8bpGSNHtBNFG8rGZXfZMZf/view?usp=drivesdk" TargetMode="External"/><Relationship Id="rId4880" Type="http://schemas.openxmlformats.org/officeDocument/2006/relationships/hyperlink" Target="https://drive.google.com/file/d/18WeQOLn3ikEv503aWZ21jF_Krrf-wWpB/view?usp=drivesdk" TargetMode="External"/><Relationship Id="rId3551" Type="http://schemas.openxmlformats.org/officeDocument/2006/relationships/hyperlink" Target="https://drive.google.com/file/d/1Ug8uvxtWFyh5DS83STz3ZV8OhP00iwXK/view?usp=drivesdk" TargetMode="External"/><Relationship Id="rId4882" Type="http://schemas.openxmlformats.org/officeDocument/2006/relationships/hyperlink" Target="https://drive.google.com/file/d/19F1kMQ6q91nN75Pz0M7_rxwOjGmQ00TT/view?usp=drivesdk" TargetMode="External"/><Relationship Id="rId2220" Type="http://schemas.openxmlformats.org/officeDocument/2006/relationships/hyperlink" Target="https://drive.google.com/file/d/1QNfNDu3-iTBIPuAhwIPbbjR_tDttPmG1/view?usp=drivesdk" TargetMode="External"/><Relationship Id="rId3550" Type="http://schemas.openxmlformats.org/officeDocument/2006/relationships/hyperlink" Target="https://drive.google.com/file/d/1nFEBwdHrrANb56Ch75ywq54073xmrR1W/view?usp=drivesdk" TargetMode="External"/><Relationship Id="rId4881" Type="http://schemas.openxmlformats.org/officeDocument/2006/relationships/hyperlink" Target="https://drive.google.com/file/d/1gOir8kT68hJm_t4OR4DoaFcOPMroXrf9/view?usp=drivesdk" TargetMode="External"/><Relationship Id="rId2221" Type="http://schemas.openxmlformats.org/officeDocument/2006/relationships/hyperlink" Target="https://drive.google.com/file/d/1GtdaFD6FwjAPQmCPG1PkuuV77LobTSDe/view?usp=drivesdk" TargetMode="External"/><Relationship Id="rId3553" Type="http://schemas.openxmlformats.org/officeDocument/2006/relationships/hyperlink" Target="https://drive.google.com/file/d/1hhz5-Bz6SQ2gzqLx7N71iGMaC7qJgwnw/view?usp=drivesdk" TargetMode="External"/><Relationship Id="rId4884" Type="http://schemas.openxmlformats.org/officeDocument/2006/relationships/hyperlink" Target="https://drive.google.com/file/d/1G2-lGfDcjhKSOnldIc6gdJ69SpGmNf6y/view?usp=drivesdk" TargetMode="External"/><Relationship Id="rId2222" Type="http://schemas.openxmlformats.org/officeDocument/2006/relationships/hyperlink" Target="https://drive.google.com/file/d/1CKwM4rKoZGVI5YsTTdAiLNlk-3QD98nv/view?usp=drivesdk" TargetMode="External"/><Relationship Id="rId3552" Type="http://schemas.openxmlformats.org/officeDocument/2006/relationships/hyperlink" Target="https://drive.google.com/file/d/1GEkCQtm9Ky2KaB4-Mg1PSdehncEO5rdp/view?usp=drivesdk" TargetMode="External"/><Relationship Id="rId4883" Type="http://schemas.openxmlformats.org/officeDocument/2006/relationships/hyperlink" Target="https://drive.google.com/file/d/1Lq9My7QojYJoUQ9Kj5cBTrMg1VyPaein/view?usp=drivesdk" TargetMode="External"/><Relationship Id="rId2223" Type="http://schemas.openxmlformats.org/officeDocument/2006/relationships/hyperlink" Target="https://drive.google.com/file/d/1M9SjQqfARvt25rbIngqMHxq2RDRKkcwy/view?usp=drivesdk" TargetMode="External"/><Relationship Id="rId3555" Type="http://schemas.openxmlformats.org/officeDocument/2006/relationships/hyperlink" Target="https://drive.google.com/file/d/1Fvq6LJ5IrR9d8QDuG-lTfqtel9vjsSmX/view?usp=drivesdk" TargetMode="External"/><Relationship Id="rId4886" Type="http://schemas.openxmlformats.org/officeDocument/2006/relationships/hyperlink" Target="https://drive.google.com/file/d/1z1GgspHfxaWnK8hf4eWseMf8GhYybMyM/view?usp=drivesdk" TargetMode="External"/><Relationship Id="rId2224" Type="http://schemas.openxmlformats.org/officeDocument/2006/relationships/hyperlink" Target="https://drive.google.com/file/d/1FKmyeGqsCw5YyOd38qvZwhqRWiobqyd_/view?usp=drivesdk" TargetMode="External"/><Relationship Id="rId3554" Type="http://schemas.openxmlformats.org/officeDocument/2006/relationships/hyperlink" Target="https://drive.google.com/file/d/16U_bBTozOdsvl0HNO9IYTU7Zz8uYXPTQ/view?usp=drivesdk" TargetMode="External"/><Relationship Id="rId4885" Type="http://schemas.openxmlformats.org/officeDocument/2006/relationships/hyperlink" Target="https://drive.google.com/file/d/1pLhol1zMFkesMRNRn0SjWIznbyhRjqR-/view?usp=drivesdk" TargetMode="External"/><Relationship Id="rId2214" Type="http://schemas.openxmlformats.org/officeDocument/2006/relationships/hyperlink" Target="https://drive.google.com/file/d/1dMhWggAUJH4SAKRA3QUV0UX-6fDZS7BB/view?usp=drivesdk" TargetMode="External"/><Relationship Id="rId3546" Type="http://schemas.openxmlformats.org/officeDocument/2006/relationships/hyperlink" Target="https://drive.google.com/file/d/1NQ_PcatLa463o6x_q2BZcWpjUWOXCSkF/view?usp=drivesdk" TargetMode="External"/><Relationship Id="rId4877" Type="http://schemas.openxmlformats.org/officeDocument/2006/relationships/hyperlink" Target="https://drive.google.com/file/d/1h0I-Ydue5yZEqM-dVozEXY5mA17ceHoH/view?usp=drivesdk" TargetMode="External"/><Relationship Id="rId2215" Type="http://schemas.openxmlformats.org/officeDocument/2006/relationships/hyperlink" Target="https://drive.google.com/file/d/1VznCxVsDsEQWkSq2gIDx7b_zyx-Lw0s3/view?usp=drivesdk" TargetMode="External"/><Relationship Id="rId3545" Type="http://schemas.openxmlformats.org/officeDocument/2006/relationships/hyperlink" Target="https://drive.google.com/file/d/17jdhbVUBCNvP6nWy-Em6xBm3SzWQRxQN/view?usp=drivesdk" TargetMode="External"/><Relationship Id="rId4876" Type="http://schemas.openxmlformats.org/officeDocument/2006/relationships/hyperlink" Target="https://drive.google.com/file/d/16PUM6nKaszRM3zXXHWbeZe3Iw7U-6GJi/view?usp=drivesdk" TargetMode="External"/><Relationship Id="rId2216" Type="http://schemas.openxmlformats.org/officeDocument/2006/relationships/hyperlink" Target="https://drive.google.com/file/d/1y4VD4i19KUwJLUVUq3NE9XP-MzpiI748/view?usp=drivesdk" TargetMode="External"/><Relationship Id="rId3548" Type="http://schemas.openxmlformats.org/officeDocument/2006/relationships/hyperlink" Target="https://drive.google.com/file/d/1W-Qzj8-GhiK5qlWcf_8sUmgTiohD4NFG/view?usp=drivesdk" TargetMode="External"/><Relationship Id="rId4879" Type="http://schemas.openxmlformats.org/officeDocument/2006/relationships/hyperlink" Target="https://drive.google.com/file/d/1uBy4zs3BXgvq_FHShC1jlvqtJ4ffA7n9/view?usp=drivesdk" TargetMode="External"/><Relationship Id="rId2217" Type="http://schemas.openxmlformats.org/officeDocument/2006/relationships/hyperlink" Target="https://drive.google.com/file/d/1QpE2LEcIXNCsvi_RxCtaEBds90JUxywB/view?usp=drivesdk" TargetMode="External"/><Relationship Id="rId3547" Type="http://schemas.openxmlformats.org/officeDocument/2006/relationships/hyperlink" Target="https://drive.google.com/file/d/1rmhKgQYWRm0aC0Ruz_kbIogoweciglvn/view?usp=drivesdk" TargetMode="External"/><Relationship Id="rId4878" Type="http://schemas.openxmlformats.org/officeDocument/2006/relationships/hyperlink" Target="https://drive.google.com/file/d/10HgdRa0BxV2tX7ezqz9TmrqPQvyhRJIz/view?usp=drivesdk" TargetMode="External"/><Relationship Id="rId2218" Type="http://schemas.openxmlformats.org/officeDocument/2006/relationships/hyperlink" Target="https://drive.google.com/file/d/1c5r751jdfLbQ8Pw_Ue_OL44hlfxU3QvH/view?usp=drivesdk" TargetMode="External"/><Relationship Id="rId2219" Type="http://schemas.openxmlformats.org/officeDocument/2006/relationships/hyperlink" Target="https://drive.google.com/file/d/17tyKnlzPdwYyIxdOJeEcrbEWgISy3jDz/view?usp=drivesdk" TargetMode="External"/><Relationship Id="rId3549" Type="http://schemas.openxmlformats.org/officeDocument/2006/relationships/hyperlink" Target="https://drive.google.com/file/d/1H1I9l21pDf6oHHIrFaTOTu1BCiGyJ9mt/view?usp=drivesdk" TargetMode="External"/><Relationship Id="rId3540" Type="http://schemas.openxmlformats.org/officeDocument/2006/relationships/hyperlink" Target="https://drive.google.com/file/d/1yJzW8wVG07PbXwXMXJZj36vGPSoF9jCT/view?usp=drivesdk" TargetMode="External"/><Relationship Id="rId4871" Type="http://schemas.openxmlformats.org/officeDocument/2006/relationships/hyperlink" Target="https://drive.google.com/file/d/194JECuP_qbBPZ6Qmswo7iobS3GdAkSjd/view?usp=drivesdk" TargetMode="External"/><Relationship Id="rId4870" Type="http://schemas.openxmlformats.org/officeDocument/2006/relationships/hyperlink" Target="https://drive.google.com/file/d/1eeGFY-YZg7r-URWkoQvW-X03JkZXehVR/view?usp=drivesdk" TargetMode="External"/><Relationship Id="rId2210" Type="http://schemas.openxmlformats.org/officeDocument/2006/relationships/hyperlink" Target="https://drive.google.com/file/d/1nX971oSRqOl0PsIYyX73RpbEPYFIDQKX/view?usp=drivesdk" TargetMode="External"/><Relationship Id="rId3542" Type="http://schemas.openxmlformats.org/officeDocument/2006/relationships/hyperlink" Target="https://drive.google.com/file/d/1Q9A6tSl9EXoOLWHQ9i9mHRHROcrLiR6Z/view?usp=drivesdk" TargetMode="External"/><Relationship Id="rId4873" Type="http://schemas.openxmlformats.org/officeDocument/2006/relationships/hyperlink" Target="https://drive.google.com/file/d/1wqoQHexIdOhwjKlOUNHs821XJ1aWvkgO/view?usp=drivesdk" TargetMode="External"/><Relationship Id="rId2211" Type="http://schemas.openxmlformats.org/officeDocument/2006/relationships/hyperlink" Target="https://drive.google.com/file/d/1Dcioun9RK2qE5n1xW7eq9RDJPxTtC0ad/view?usp=drivesdk" TargetMode="External"/><Relationship Id="rId3541" Type="http://schemas.openxmlformats.org/officeDocument/2006/relationships/hyperlink" Target="https://drive.google.com/file/d/13BBnRBdvHMRzMln-rDj56TChN1aeHekV/view?usp=drivesdk" TargetMode="External"/><Relationship Id="rId4872" Type="http://schemas.openxmlformats.org/officeDocument/2006/relationships/hyperlink" Target="https://drive.google.com/file/d/1OhOGSryzz0B9E_xOkxvXSAeNPXN4Mdue/view?usp=drivesdk" TargetMode="External"/><Relationship Id="rId2212" Type="http://schemas.openxmlformats.org/officeDocument/2006/relationships/hyperlink" Target="https://drive.google.com/file/d/1Yli4JHqo-9QmKWP4cU66kmIpJ9-uAXOF/view?usp=drivesdk" TargetMode="External"/><Relationship Id="rId3544" Type="http://schemas.openxmlformats.org/officeDocument/2006/relationships/hyperlink" Target="https://drive.google.com/file/d/1RZVc13biwvfVgOQUEzHrzBRhFGdhNsFx/view?usp=drivesdk" TargetMode="External"/><Relationship Id="rId4875" Type="http://schemas.openxmlformats.org/officeDocument/2006/relationships/hyperlink" Target="https://drive.google.com/file/d/1eVHq3a29QXdbdSmk1opW21uFyI0v8uIb/view?usp=drivesdk" TargetMode="External"/><Relationship Id="rId2213" Type="http://schemas.openxmlformats.org/officeDocument/2006/relationships/hyperlink" Target="https://drive.google.com/file/d/1pOt0VoMzO-gHlPE4d7v7ZQ3TrCP23VA_/view?usp=drivesdk" TargetMode="External"/><Relationship Id="rId3543" Type="http://schemas.openxmlformats.org/officeDocument/2006/relationships/hyperlink" Target="https://drive.google.com/file/d/1rNU086jy3y16bYuhmipoqwjgJKu3puth/view?usp=drivesdk" TargetMode="External"/><Relationship Id="rId4874" Type="http://schemas.openxmlformats.org/officeDocument/2006/relationships/hyperlink" Target="https://drive.google.com/file/d/19G3iGWYWkWvTUwwEoUrqwrRrQaDvcUBW/view?usp=drivesdk" TargetMode="External"/><Relationship Id="rId2247" Type="http://schemas.openxmlformats.org/officeDocument/2006/relationships/hyperlink" Target="https://drive.google.com/file/d/1iOl0B6e7Sqz0OFVms2dhmCgaCdtau2t9/view?usp=drivesdk" TargetMode="External"/><Relationship Id="rId3579" Type="http://schemas.openxmlformats.org/officeDocument/2006/relationships/hyperlink" Target="https://drive.google.com/file/d/10TQUlFCpBh4P-k5Hag3rDatcpqf-GR5I/view?usp=drivesdk" TargetMode="External"/><Relationship Id="rId2248" Type="http://schemas.openxmlformats.org/officeDocument/2006/relationships/hyperlink" Target="https://drive.google.com/file/d/1GfhsOqtycS88VE89CXSjo8k3laEDyNpn/view?usp=drivesdk" TargetMode="External"/><Relationship Id="rId3578" Type="http://schemas.openxmlformats.org/officeDocument/2006/relationships/hyperlink" Target="https://drive.google.com/file/d/1eYwD3K6bsqPmswf_keH8l6AUVKgyg9AY/view?usp=drivesdk" TargetMode="External"/><Relationship Id="rId2249" Type="http://schemas.openxmlformats.org/officeDocument/2006/relationships/hyperlink" Target="https://drive.google.com/file/d/1BC_Rk6tvUKHXTrXYdgpubV0T8dgr7Tcx/view?usp=drivesdk" TargetMode="External"/><Relationship Id="rId3571" Type="http://schemas.openxmlformats.org/officeDocument/2006/relationships/hyperlink" Target="https://drive.google.com/file/d/1mDeA9CBI-4jkMJaq4Cx_i8ye0f4YJTi5/view?usp=drivesdk" TargetMode="External"/><Relationship Id="rId2240" Type="http://schemas.openxmlformats.org/officeDocument/2006/relationships/hyperlink" Target="https://drive.google.com/file/d/1vN1w_djhDWARBkRORtyAXImuRXOiK-lG/view?usp=drivesdk" TargetMode="External"/><Relationship Id="rId3570" Type="http://schemas.openxmlformats.org/officeDocument/2006/relationships/hyperlink" Target="https://drive.google.com/file/d/1w3NaHOMjR1OiRdmbCdGkbwzS1PHa2FA7/view?usp=drivesdk" TargetMode="External"/><Relationship Id="rId2241" Type="http://schemas.openxmlformats.org/officeDocument/2006/relationships/hyperlink" Target="https://drive.google.com/file/d/1v1Akl0Aq7qWFI4otlIzmWAmzEc5joSAX/view?usp=drivesdk" TargetMode="External"/><Relationship Id="rId3573" Type="http://schemas.openxmlformats.org/officeDocument/2006/relationships/hyperlink" Target="https://drive.google.com/file/d/1aYxFAxUIh1Ob_tnAULG_I82WXSV-IzB6/view?usp=drivesdk" TargetMode="External"/><Relationship Id="rId2242" Type="http://schemas.openxmlformats.org/officeDocument/2006/relationships/hyperlink" Target="https://drive.google.com/file/d/1D4uCjlxC-2a8HlV51BVy22XzfxkjqGLi/view?usp=drivesdk" TargetMode="External"/><Relationship Id="rId3572" Type="http://schemas.openxmlformats.org/officeDocument/2006/relationships/hyperlink" Target="https://drive.google.com/file/d/1u_WW9dDmJO801EgVaKUzexxKYWuHWwAc/view?usp=drivesdk" TargetMode="External"/><Relationship Id="rId2243" Type="http://schemas.openxmlformats.org/officeDocument/2006/relationships/hyperlink" Target="https://drive.google.com/file/d/19MyZ0UdqlpiHmK8XTC_48SSalUXjdgeG/view?usp=drivesdk" TargetMode="External"/><Relationship Id="rId3575" Type="http://schemas.openxmlformats.org/officeDocument/2006/relationships/hyperlink" Target="https://drive.google.com/file/d/11m6M2iogq4cYOjkZP9AeebZ1dpa0ILLC/view?usp=drivesdk" TargetMode="External"/><Relationship Id="rId2244" Type="http://schemas.openxmlformats.org/officeDocument/2006/relationships/hyperlink" Target="https://drive.google.com/file/d/1Mqtq5Z7PjpGkbm8ssGds475eyulizKcy/view?usp=drivesdk" TargetMode="External"/><Relationship Id="rId3574" Type="http://schemas.openxmlformats.org/officeDocument/2006/relationships/hyperlink" Target="https://drive.google.com/file/d/1MYQ4dH1aZmUKXI37cc6N9wOB88-ldH8F/view?usp=drivesdk" TargetMode="External"/><Relationship Id="rId2245" Type="http://schemas.openxmlformats.org/officeDocument/2006/relationships/hyperlink" Target="https://drive.google.com/file/d/1Gd3C_6ITuAHBiHwFwnmJh-tzlmvSbQ7Y/view?usp=drivesdk" TargetMode="External"/><Relationship Id="rId3577" Type="http://schemas.openxmlformats.org/officeDocument/2006/relationships/hyperlink" Target="https://drive.google.com/file/d/1KWM_Z-d19FucDqWXCNS30p9CeNVIR3XK/view?usp=drivesdk" TargetMode="External"/><Relationship Id="rId2246" Type="http://schemas.openxmlformats.org/officeDocument/2006/relationships/hyperlink" Target="https://drive.google.com/file/d/1lowFG9PGjYg6efYFOeMQNpIg_7lbcqMH/view?usp=drivesdk" TargetMode="External"/><Relationship Id="rId3576" Type="http://schemas.openxmlformats.org/officeDocument/2006/relationships/hyperlink" Target="https://drive.google.com/file/d/1dfETIbwD8-QZtU1ucusLRL1199YFWzAD/view?usp=drivesdk" TargetMode="External"/><Relationship Id="rId2236" Type="http://schemas.openxmlformats.org/officeDocument/2006/relationships/hyperlink" Target="https://drive.google.com/file/d/1EnqnEi9azA4DzJSK-VkCkhlkL7GCP3CF/view?usp=drivesdk" TargetMode="External"/><Relationship Id="rId3568" Type="http://schemas.openxmlformats.org/officeDocument/2006/relationships/hyperlink" Target="https://drive.google.com/file/d/1Kvy5fKALt09lUBlyTcwW3kCmUcfje6UI/view?usp=drivesdk" TargetMode="External"/><Relationship Id="rId4899" Type="http://schemas.openxmlformats.org/officeDocument/2006/relationships/hyperlink" Target="https://drive.google.com/file/d/1soR0F4hOx6JmRZFMgXegHzXL2Ejh9Xu7/view?usp=drivesdk" TargetMode="External"/><Relationship Id="rId2237" Type="http://schemas.openxmlformats.org/officeDocument/2006/relationships/hyperlink" Target="https://drive.google.com/file/d/1j85mie28pboVWGhtFAWsAbI0Gfb3O6Qa/view?usp=drivesdk" TargetMode="External"/><Relationship Id="rId3567" Type="http://schemas.openxmlformats.org/officeDocument/2006/relationships/hyperlink" Target="https://drive.google.com/file/d/1YqBLiraG1kDaPPEo7QDbac-WkgM2WVsy/view?usp=drivesdk" TargetMode="External"/><Relationship Id="rId4898" Type="http://schemas.openxmlformats.org/officeDocument/2006/relationships/hyperlink" Target="https://drive.google.com/file/d/11zPK3ODUHCn7VQvNs2J-S3fReqs3721A/view?usp=drivesdk" TargetMode="External"/><Relationship Id="rId2238" Type="http://schemas.openxmlformats.org/officeDocument/2006/relationships/hyperlink" Target="https://drive.google.com/file/d/18tYu0esfP4aSZeZaFty2o2hhUBRlWss8/view?usp=drivesdk" TargetMode="External"/><Relationship Id="rId2239" Type="http://schemas.openxmlformats.org/officeDocument/2006/relationships/hyperlink" Target="https://drive.google.com/file/d/1xz84o6G4b3CvYXxkZfwCkwcip9aPyQaF/view?usp=drivesdk" TargetMode="External"/><Relationship Id="rId3569" Type="http://schemas.openxmlformats.org/officeDocument/2006/relationships/hyperlink" Target="https://drive.google.com/file/d/1WQgQ4cC8gN3hedzi_3KYrQpKNL_FF-rw/view?usp=drivesdk" TargetMode="External"/><Relationship Id="rId3560" Type="http://schemas.openxmlformats.org/officeDocument/2006/relationships/hyperlink" Target="https://drive.google.com/file/d/12P0q1GiyM0pXfwoN-6LlupOCWqg_cVEJ/view?usp=drivesdk" TargetMode="External"/><Relationship Id="rId4891" Type="http://schemas.openxmlformats.org/officeDocument/2006/relationships/hyperlink" Target="https://drive.google.com/file/d/1pXGp6YQ3fmU74moC8J3xTvm5DKuze0Al/view?usp=drivesdk" TargetMode="External"/><Relationship Id="rId4890" Type="http://schemas.openxmlformats.org/officeDocument/2006/relationships/hyperlink" Target="https://drive.google.com/file/d/1YPsKHfq2U_FU00vGDQjwoCSzhbqabKeV/view?usp=drivesdk" TargetMode="External"/><Relationship Id="rId2230" Type="http://schemas.openxmlformats.org/officeDocument/2006/relationships/hyperlink" Target="https://drive.google.com/file/d/1sk7Z2WV4BjzTA8a3VtBDLHEM-e-REft3/view?usp=drivesdk" TargetMode="External"/><Relationship Id="rId3562" Type="http://schemas.openxmlformats.org/officeDocument/2006/relationships/hyperlink" Target="https://drive.google.com/file/d/1Egj4Yb4XUjg_wmlO9Sg8zZVS-zOFcq2f/view?usp=drivesdk" TargetMode="External"/><Relationship Id="rId4893" Type="http://schemas.openxmlformats.org/officeDocument/2006/relationships/hyperlink" Target="https://drive.google.com/file/d/1LDVESXI4Wn9Q4P4-clAl2IVSQ-3ifW9U/view?usp=drivesdk" TargetMode="External"/><Relationship Id="rId2231" Type="http://schemas.openxmlformats.org/officeDocument/2006/relationships/hyperlink" Target="https://drive.google.com/file/d/1oIM9QzN2wNp3XpVS2dMF1tqna_HHWGVi/view?usp=drivesdk" TargetMode="External"/><Relationship Id="rId3561" Type="http://schemas.openxmlformats.org/officeDocument/2006/relationships/hyperlink" Target="https://drive.google.com/file/d/1pi2gs3HV4NYQFa8KBqAfmajg0l9ceMn1/view?usp=drivesdk" TargetMode="External"/><Relationship Id="rId4892" Type="http://schemas.openxmlformats.org/officeDocument/2006/relationships/hyperlink" Target="https://drive.google.com/file/d/1wkPy5C9zXRNRPiWX0FavtXpwuZ8czQzD/view?usp=drivesdk" TargetMode="External"/><Relationship Id="rId2232" Type="http://schemas.openxmlformats.org/officeDocument/2006/relationships/hyperlink" Target="https://drive.google.com/file/d/1WBP-UKW3PACFDGen-ZQJ30CBd0xJK8rd/view?usp=drivesdk" TargetMode="External"/><Relationship Id="rId3564" Type="http://schemas.openxmlformats.org/officeDocument/2006/relationships/hyperlink" Target="https://drive.google.com/file/d/1-E_mbmvW92k63LK3ChUzRY6UlIpZSiE6/view?usp=drivesdk" TargetMode="External"/><Relationship Id="rId4895" Type="http://schemas.openxmlformats.org/officeDocument/2006/relationships/hyperlink" Target="https://drive.google.com/file/d/1R-23ZHHkWJahYZD7I-eBFL9imXm4rnHM/view?usp=drivesdk" TargetMode="External"/><Relationship Id="rId2233" Type="http://schemas.openxmlformats.org/officeDocument/2006/relationships/hyperlink" Target="https://drive.google.com/file/d/17AITrrJ1oF9ouLMoejjX7rYYBJV_NtS4/view?usp=drivesdk" TargetMode="External"/><Relationship Id="rId3563" Type="http://schemas.openxmlformats.org/officeDocument/2006/relationships/hyperlink" Target="https://drive.google.com/file/d/1OpWLC4BT_3-QmHdxdaySc713DPy7p2PW/view?usp=drivesdk" TargetMode="External"/><Relationship Id="rId4894" Type="http://schemas.openxmlformats.org/officeDocument/2006/relationships/hyperlink" Target="https://drive.google.com/file/d/175Tjq2UwApyL89WyImdJpIVS2NlRPOn3/view?usp=drivesdk" TargetMode="External"/><Relationship Id="rId2234" Type="http://schemas.openxmlformats.org/officeDocument/2006/relationships/hyperlink" Target="https://drive.google.com/file/d/18IhPY6hK5jBAbd_Tx_SEaHp9rUVjvrI3/view?usp=drivesdk" TargetMode="External"/><Relationship Id="rId3566" Type="http://schemas.openxmlformats.org/officeDocument/2006/relationships/hyperlink" Target="https://drive.google.com/file/d/1JCJM57fjzKnTNHd3i8eET-JF_AIdcpuo/view?usp=drivesdk" TargetMode="External"/><Relationship Id="rId4897" Type="http://schemas.openxmlformats.org/officeDocument/2006/relationships/hyperlink" Target="https://drive.google.com/file/d/1mpc6kX9uCqNMhCsU6iuJUi_bAclFA63b/view?usp=drivesdk" TargetMode="External"/><Relationship Id="rId2235" Type="http://schemas.openxmlformats.org/officeDocument/2006/relationships/hyperlink" Target="https://drive.google.com/file/d/12qTEAszdotdVtMjSLwbzl8ucDsdztai6/view?usp=drivesdk" TargetMode="External"/><Relationship Id="rId3565" Type="http://schemas.openxmlformats.org/officeDocument/2006/relationships/hyperlink" Target="https://drive.google.com/file/d/1Fe1Qw6s3RVNkPQGToL9_vbPVNvqB8VMe/view?usp=drivesdk" TargetMode="External"/><Relationship Id="rId4896" Type="http://schemas.openxmlformats.org/officeDocument/2006/relationships/hyperlink" Target="https://drive.google.com/file/d/1evE9e2UAc0-55orU71mWgFydM3-htWU8/view?usp=drivesdk" TargetMode="External"/><Relationship Id="rId8409" Type="http://schemas.openxmlformats.org/officeDocument/2006/relationships/hyperlink" Target="https://drive.google.com/file/d/1MoGjBnhFw0dNP3GdhnNkcM3jBidVpzod/view?usp=drivesdk" TargetMode="External"/><Relationship Id="rId8408" Type="http://schemas.openxmlformats.org/officeDocument/2006/relationships/hyperlink" Target="https://drive.google.com/file/d/1B3DFQJXn5dEDTy0V-b5ZzG2W1D4F9uI7/view?usp=drivesdk" TargetMode="External"/><Relationship Id="rId8407" Type="http://schemas.openxmlformats.org/officeDocument/2006/relationships/hyperlink" Target="https://drive.google.com/file/d/1IfEb9Ey6oMARqBeNFOuqulIYE9PB6AM4/view?usp=drivesdk" TargetMode="External"/><Relationship Id="rId8402" Type="http://schemas.openxmlformats.org/officeDocument/2006/relationships/hyperlink" Target="https://drive.google.com/file/d/1ejpmy5nXL1e0YgGJu5as2EGiLEIPrBcL/view?usp=drivesdk" TargetMode="External"/><Relationship Id="rId8401" Type="http://schemas.openxmlformats.org/officeDocument/2006/relationships/hyperlink" Target="https://drive.google.com/file/d/139_9JZkOZ2A56sWR69ONcJChDgo7FSsA/view?usp=drivesdk" TargetMode="External"/><Relationship Id="rId8400" Type="http://schemas.openxmlformats.org/officeDocument/2006/relationships/hyperlink" Target="https://drive.google.com/file/d/1QdZ50MBVSlTBp35VF2AVfLgSVbg4f1em/view?usp=drivesdk" TargetMode="External"/><Relationship Id="rId8406" Type="http://schemas.openxmlformats.org/officeDocument/2006/relationships/hyperlink" Target="https://drive.google.com/file/d/1itbM7159hRQGDrMrsZ5bO43UyZNpeqUs/view?usp=drivesdk" TargetMode="External"/><Relationship Id="rId8405" Type="http://schemas.openxmlformats.org/officeDocument/2006/relationships/hyperlink" Target="https://drive.google.com/file/d/1I1nJrOoKNX2nlh9YHhNaIOozB-xC9P99/view?usp=drivesdk" TargetMode="External"/><Relationship Id="rId8404" Type="http://schemas.openxmlformats.org/officeDocument/2006/relationships/hyperlink" Target="https://drive.google.com/file/d/1nF40sDuhKcG5nNoH9uLBAXkSbRALG_tt/view?usp=drivesdk" TargetMode="External"/><Relationship Id="rId8403" Type="http://schemas.openxmlformats.org/officeDocument/2006/relationships/hyperlink" Target="https://drive.google.com/file/d/1WPjwb7_-BlZAAzI7D2iVpqiofG4ypHKy/view?usp=drivesdk" TargetMode="External"/><Relationship Id="rId8429" Type="http://schemas.openxmlformats.org/officeDocument/2006/relationships/hyperlink" Target="https://drive.google.com/file/d/1GEwD0CoFsn8HV_oRntg4FYjJrmMusSZa/view?usp=drivesdk" TargetMode="External"/><Relationship Id="rId8420" Type="http://schemas.openxmlformats.org/officeDocument/2006/relationships/hyperlink" Target="https://drive.google.com/file/d/15lOQPTAuSgfsKucUBsdaQP4A5ipukA73/view?usp=drivesdk" TargetMode="External"/><Relationship Id="rId8424" Type="http://schemas.openxmlformats.org/officeDocument/2006/relationships/hyperlink" Target="https://drive.google.com/file/d/1ZUwh06I3Bc9wG-O1FHDwbz1YcseJ-eSq/view?usp=drivesdk" TargetMode="External"/><Relationship Id="rId8423" Type="http://schemas.openxmlformats.org/officeDocument/2006/relationships/hyperlink" Target="https://drive.google.com/file/d/1Ct3sFv7YQ3I5w8bPPHj2qEcKAXRJYgix/view?usp=drivesdk" TargetMode="External"/><Relationship Id="rId8422" Type="http://schemas.openxmlformats.org/officeDocument/2006/relationships/hyperlink" Target="https://drive.google.com/file/d/10Z4qkzuQ_DZSTPKGjtXf9EU0o0knhUnV/view?usp=drivesdk" TargetMode="External"/><Relationship Id="rId8421" Type="http://schemas.openxmlformats.org/officeDocument/2006/relationships/hyperlink" Target="https://drive.google.com/file/d/1aVn2OXz_pk14CED31DfWsHWYNjbOxRKl/view?usp=drivesdk" TargetMode="External"/><Relationship Id="rId8428" Type="http://schemas.openxmlformats.org/officeDocument/2006/relationships/hyperlink" Target="https://drive.google.com/file/d/1ZuEDZlFDsu4-Ed48s3MV06Yl1YBuUxpC/view?usp=drivesdk" TargetMode="External"/><Relationship Id="rId8427" Type="http://schemas.openxmlformats.org/officeDocument/2006/relationships/hyperlink" Target="https://drive.google.com/file/d/1dVPBZgNSPNNoMRvEBjNFKpe2sjXfNhz7/view?usp=drivesdk" TargetMode="External"/><Relationship Id="rId8426" Type="http://schemas.openxmlformats.org/officeDocument/2006/relationships/hyperlink" Target="https://drive.google.com/file/d/1b5905tCMonQvVF83dgHVVk49tMGJUbJo/view?usp=drivesdk" TargetMode="External"/><Relationship Id="rId8425" Type="http://schemas.openxmlformats.org/officeDocument/2006/relationships/hyperlink" Target="https://drive.google.com/file/d/1JayvBbPZ0wE7Ux-7rif4CoFtswKEKLAf/view?usp=drivesdk" TargetMode="External"/><Relationship Id="rId8419" Type="http://schemas.openxmlformats.org/officeDocument/2006/relationships/hyperlink" Target="https://drive.google.com/file/d/1S6Ly-nZlZjfPdtWxGFPnlecsCZ51tZSP/view?usp=drivesdk" TargetMode="External"/><Relationship Id="rId8418" Type="http://schemas.openxmlformats.org/officeDocument/2006/relationships/hyperlink" Target="https://drive.google.com/file/d/1DqZxnCa01RbdyLhNsxu67Cp3x8TD2blh/view?usp=drivesdk" TargetMode="External"/><Relationship Id="rId8413" Type="http://schemas.openxmlformats.org/officeDocument/2006/relationships/hyperlink" Target="https://drive.google.com/file/d/1QmMoET5nEJwS4Bn-CHQsWtSSvLsFfQC4/view?usp=drivesdk" TargetMode="External"/><Relationship Id="rId8412" Type="http://schemas.openxmlformats.org/officeDocument/2006/relationships/hyperlink" Target="https://drive.google.com/file/d/1QT6uEHBMDLZBri1UQ7QzgrxAW1H2gcM7/view?usp=drivesdk" TargetMode="External"/><Relationship Id="rId8411" Type="http://schemas.openxmlformats.org/officeDocument/2006/relationships/hyperlink" Target="https://drive.google.com/file/d/1DUYmE0rSebEGG6mF2TS5dl1hATc_oVCR/view?usp=drivesdk" TargetMode="External"/><Relationship Id="rId8410" Type="http://schemas.openxmlformats.org/officeDocument/2006/relationships/hyperlink" Target="https://drive.google.com/file/d/1bVdQOTW92spnZPBjdx-Bj-ouOcKpd2N7/view?usp=drivesdk" TargetMode="External"/><Relationship Id="rId8417" Type="http://schemas.openxmlformats.org/officeDocument/2006/relationships/hyperlink" Target="https://drive.google.com/file/d/1wf0eZTjwHw0p-wEw9J5IhmX8yCrLPJLU/view?usp=drivesdk" TargetMode="External"/><Relationship Id="rId8416" Type="http://schemas.openxmlformats.org/officeDocument/2006/relationships/hyperlink" Target="https://drive.google.com/file/d/1uXoWhDdSxXoHZHrrrVa3HhPQjf4eDKGv/view?usp=drivesdk" TargetMode="External"/><Relationship Id="rId8415" Type="http://schemas.openxmlformats.org/officeDocument/2006/relationships/hyperlink" Target="https://drive.google.com/file/d/1LQCGFj9hHiGz07UzRtlPevqU1y67F_sB/view?usp=drivesdk" TargetMode="External"/><Relationship Id="rId8414" Type="http://schemas.openxmlformats.org/officeDocument/2006/relationships/hyperlink" Target="https://drive.google.com/file/d/1dcgyyeinj1fGr3KXuGR9tYioTtYx7kLC/view?usp=drivesdk" TargetMode="External"/><Relationship Id="rId2290" Type="http://schemas.openxmlformats.org/officeDocument/2006/relationships/hyperlink" Target="https://drive.google.com/file/d/1Ha1YQEZh6xEnw7deyeTwtu2s0wYV_v11/view?usp=drivesdk" TargetMode="External"/><Relationship Id="rId2291" Type="http://schemas.openxmlformats.org/officeDocument/2006/relationships/hyperlink" Target="https://drive.google.com/file/d/1VBTWUhqBYBZjFelv8e4mHt55IQ6gDWri/view?usp=drivesdk" TargetMode="External"/><Relationship Id="rId2292" Type="http://schemas.openxmlformats.org/officeDocument/2006/relationships/hyperlink" Target="https://drive.google.com/file/d/1HRAvT0MShVVuw6eOhuyWMCGqGb-XT6tX/view?usp=drivesdk" TargetMode="External"/><Relationship Id="rId2293" Type="http://schemas.openxmlformats.org/officeDocument/2006/relationships/hyperlink" Target="https://drive.google.com/file/d/1QeZJMeEjjMi7PARsXSFZ7UuBOhe0P4A5/view?usp=drivesdk" TargetMode="External"/><Relationship Id="rId2294" Type="http://schemas.openxmlformats.org/officeDocument/2006/relationships/hyperlink" Target="https://drive.google.com/file/d/1zZVBgHWf65h0Sd1tOcbLU0AtrN_9RaN3/view?usp=drivesdk" TargetMode="External"/><Relationship Id="rId2295" Type="http://schemas.openxmlformats.org/officeDocument/2006/relationships/hyperlink" Target="https://drive.google.com/file/d/1hNS3VhIujcEUwNrnia4xGrw-MIBPG2qQ/view?usp=drivesdk" TargetMode="External"/><Relationship Id="rId2296" Type="http://schemas.openxmlformats.org/officeDocument/2006/relationships/hyperlink" Target="https://drive.google.com/file/d/1_Ni-RqeuCwZMDqs4ZAOCOfbstON924_P/view?usp=drivesdk" TargetMode="External"/><Relationship Id="rId2297" Type="http://schemas.openxmlformats.org/officeDocument/2006/relationships/hyperlink" Target="https://drive.google.com/file/d/1rO_EVhRyPYKn2tC3vIwdKmT1zx8_hIH-/view?usp=drivesdk" TargetMode="External"/><Relationship Id="rId2298" Type="http://schemas.openxmlformats.org/officeDocument/2006/relationships/hyperlink" Target="https://drive.google.com/file/d/1wVlM0i667JovHEsQIoDBcNCMxueLaYKw/view?usp=drivesdk" TargetMode="External"/><Relationship Id="rId2299" Type="http://schemas.openxmlformats.org/officeDocument/2006/relationships/hyperlink" Target="https://drive.google.com/file/d/1DJNMWID7qIyhKPmXoFJO7HZGm0Lp1iSm/view?usp=drivesdk" TargetMode="External"/><Relationship Id="rId7151" Type="http://schemas.openxmlformats.org/officeDocument/2006/relationships/hyperlink" Target="https://drive.google.com/file/d/1gTzfufykjEqABtudjZ-rBKE_PZbomQme/view?usp=drivesdk" TargetMode="External"/><Relationship Id="rId8482" Type="http://schemas.openxmlformats.org/officeDocument/2006/relationships/hyperlink" Target="https://drive.google.com/file/d/1O9gmX38TSpRoTas0vaib1bCRaR9NbkgF/view?usp=drivesdk" TargetMode="External"/><Relationship Id="rId7150" Type="http://schemas.openxmlformats.org/officeDocument/2006/relationships/hyperlink" Target="https://drive.google.com/file/d/1B4TUSHERYcW7xqhIRKy3Uf93t8mwuGP7/view?usp=drivesdk" TargetMode="External"/><Relationship Id="rId8481" Type="http://schemas.openxmlformats.org/officeDocument/2006/relationships/hyperlink" Target="https://drive.google.com/file/d/1S6eNRmOtpp-gZc5tEz_yZZkUqnZlY1_o/view?usp=drivesdk" TargetMode="External"/><Relationship Id="rId8480" Type="http://schemas.openxmlformats.org/officeDocument/2006/relationships/hyperlink" Target="https://drive.google.com/file/d/1ErXuTt5XpGCEWILQT51pXAqKECFEBekq/view?usp=drivesdk" TargetMode="External"/><Relationship Id="rId7155" Type="http://schemas.openxmlformats.org/officeDocument/2006/relationships/hyperlink" Target="https://drive.google.com/file/d/1tS5aDbEnanglYwrc2LN-GNmcqW1ldTY2/view?usp=drivesdk" TargetMode="External"/><Relationship Id="rId8486" Type="http://schemas.openxmlformats.org/officeDocument/2006/relationships/hyperlink" Target="https://drive.google.com/file/d/1XmRuYZIXzu3bUZW7VYbd6MmLrS2u-_oZ/view?usp=drivesdk" TargetMode="External"/><Relationship Id="rId7154" Type="http://schemas.openxmlformats.org/officeDocument/2006/relationships/hyperlink" Target="https://drive.google.com/file/d/1J60VsjsGMubiT2aeqAllSjtUASO8qoBG/view?usp=drivesdk" TargetMode="External"/><Relationship Id="rId8485" Type="http://schemas.openxmlformats.org/officeDocument/2006/relationships/hyperlink" Target="https://drive.google.com/file/d/1o2KQBgXW1jbyoo-0ZTipZYik5FQ7zuey/view?usp=drivesdk" TargetMode="External"/><Relationship Id="rId7153" Type="http://schemas.openxmlformats.org/officeDocument/2006/relationships/hyperlink" Target="https://drive.google.com/file/d/1YcLExGljIj4VbJiV_7LsHEjyKs-HUfTL/view?usp=drivesdk" TargetMode="External"/><Relationship Id="rId8484" Type="http://schemas.openxmlformats.org/officeDocument/2006/relationships/hyperlink" Target="https://drive.google.com/file/d/13imeCJ3A-yU1sCg_4Ct_Dawj9Eqfi4-W/view?usp=drivesdk" TargetMode="External"/><Relationship Id="rId7152" Type="http://schemas.openxmlformats.org/officeDocument/2006/relationships/hyperlink" Target="https://drive.google.com/file/d/15IYql7dHdFnI1KyCvMzNJx8itV7QybfS/view?usp=drivesdk" TargetMode="External"/><Relationship Id="rId8483" Type="http://schemas.openxmlformats.org/officeDocument/2006/relationships/hyperlink" Target="https://drive.google.com/file/d/17xuj9964_6AovnrnHi3yWQE9nAwQlUnK/view?usp=drivesdk" TargetMode="External"/><Relationship Id="rId7159" Type="http://schemas.openxmlformats.org/officeDocument/2006/relationships/hyperlink" Target="https://drive.google.com/file/d/18FNn1I11RyYPzz3kGdltqcEuH5xZVZqG/view?usp=drivesdk" TargetMode="External"/><Relationship Id="rId7158" Type="http://schemas.openxmlformats.org/officeDocument/2006/relationships/hyperlink" Target="https://drive.google.com/file/d/1yZXti95fInrdtAyo72frmgMMopxBAKYi/view?usp=drivesdk" TargetMode="External"/><Relationship Id="rId8489" Type="http://schemas.openxmlformats.org/officeDocument/2006/relationships/hyperlink" Target="https://drive.google.com/file/d/1rUTsrixbnP2KndE2u6BthPI4scl3BZE5/view?usp=drivesdk" TargetMode="External"/><Relationship Id="rId7157" Type="http://schemas.openxmlformats.org/officeDocument/2006/relationships/hyperlink" Target="https://drive.google.com/file/d/1nxY7YI9iLl2AmzgxlQ49fCdD9SKkyIuW/view?usp=drivesdk" TargetMode="External"/><Relationship Id="rId8488" Type="http://schemas.openxmlformats.org/officeDocument/2006/relationships/hyperlink" Target="https://drive.google.com/file/d/1FbwpKhD21uPshfd9OibCG2wtnvACbguB/view?usp=drivesdk" TargetMode="External"/><Relationship Id="rId7156" Type="http://schemas.openxmlformats.org/officeDocument/2006/relationships/hyperlink" Target="https://drive.google.com/file/d/1bm6oH7VP75Y9HrvO-Y33uRiZ2nA0zE1D/view?usp=drivesdk" TargetMode="External"/><Relationship Id="rId8487" Type="http://schemas.openxmlformats.org/officeDocument/2006/relationships/hyperlink" Target="https://drive.google.com/file/d/1Zsm7F0xte7Ucumtxi1-sjeKkHx7_AbJ-/view?usp=drivesdk" TargetMode="External"/><Relationship Id="rId7140" Type="http://schemas.openxmlformats.org/officeDocument/2006/relationships/hyperlink" Target="https://drive.google.com/file/d/1u9DswrmGBDc00g3sJOVA8FpN11evN7fY/view?usp=drivesdk" TargetMode="External"/><Relationship Id="rId8471" Type="http://schemas.openxmlformats.org/officeDocument/2006/relationships/hyperlink" Target="https://drive.google.com/file/d/1DoQG1K4Yt2SxYKi3iHqyxp-KZqEpEyNb/view?usp=drivesdk" TargetMode="External"/><Relationship Id="rId8470" Type="http://schemas.openxmlformats.org/officeDocument/2006/relationships/hyperlink" Target="https://drive.google.com/file/d/1542rJr-IHSjvUpXnPOO2mm6IUQNWw9el/view?usp=drivesdk" TargetMode="External"/><Relationship Id="rId7144" Type="http://schemas.openxmlformats.org/officeDocument/2006/relationships/hyperlink" Target="https://drive.google.com/file/d/10PTjJYx55Xi75Ya8uyMDCaDJeMtkNRgj/view?usp=drivesdk" TargetMode="External"/><Relationship Id="rId8475" Type="http://schemas.openxmlformats.org/officeDocument/2006/relationships/hyperlink" Target="https://drive.google.com/file/d/1n__p5k9hGtnpxTXU-kpYZ1D40mqFuBej/view?usp=drivesdk" TargetMode="External"/><Relationship Id="rId7143" Type="http://schemas.openxmlformats.org/officeDocument/2006/relationships/hyperlink" Target="https://drive.google.com/file/d/1Z8kiGM7zqgb-7KtJeCJMGpP5QrE57hW5/view?usp=drivesdk" TargetMode="External"/><Relationship Id="rId8474" Type="http://schemas.openxmlformats.org/officeDocument/2006/relationships/hyperlink" Target="https://drive.google.com/file/d/1iwMkR2NcOdgLoWl3Y574CnFCtnTW80Nq/view?usp=drivesdk" TargetMode="External"/><Relationship Id="rId7142" Type="http://schemas.openxmlformats.org/officeDocument/2006/relationships/hyperlink" Target="https://drive.google.com/file/d/1cVbpq8DBYGBeE2-Fyx19hHDYsDF1YLkc/view?usp=drivesdk" TargetMode="External"/><Relationship Id="rId8473" Type="http://schemas.openxmlformats.org/officeDocument/2006/relationships/hyperlink" Target="https://drive.google.com/file/d/1FI9DBmkXvIXeLyN43l9bnGGJH1Ecuz1N/view?usp=drivesdk" TargetMode="External"/><Relationship Id="rId7141" Type="http://schemas.openxmlformats.org/officeDocument/2006/relationships/hyperlink" Target="https://drive.google.com/file/d/1PX7MllKscROvxQ3LYauyuSReP9ka_ul6/view?usp=drivesdk" TargetMode="External"/><Relationship Id="rId8472" Type="http://schemas.openxmlformats.org/officeDocument/2006/relationships/hyperlink" Target="https://drive.google.com/file/d/1_wNiigO4b4BLQIh3MMVwl-LLx58J7IBH/view?usp=drivesdk" TargetMode="External"/><Relationship Id="rId7148" Type="http://schemas.openxmlformats.org/officeDocument/2006/relationships/hyperlink" Target="https://drive.google.com/file/d/1PehjaKU6MPQ-SKRFb2-Yt3lP-zFKxMy1/view?usp=drivesdk" TargetMode="External"/><Relationship Id="rId8479" Type="http://schemas.openxmlformats.org/officeDocument/2006/relationships/hyperlink" Target="https://drive.google.com/file/d/1jH4UKYJPQBtvAkXh5f0xxXTLeStV_w2l/view?usp=drivesdk" TargetMode="External"/><Relationship Id="rId7147" Type="http://schemas.openxmlformats.org/officeDocument/2006/relationships/hyperlink" Target="https://drive.google.com/file/d/1R9G3JibjSbyyjg0VFTfZmviT2D2LVbNK/view?usp=drivesdk" TargetMode="External"/><Relationship Id="rId8478" Type="http://schemas.openxmlformats.org/officeDocument/2006/relationships/hyperlink" Target="https://drive.google.com/file/d/1-xEjogD-DUIwm9r9dVQr06OeCdm1GVww/view?usp=drivesdk" TargetMode="External"/><Relationship Id="rId7146" Type="http://schemas.openxmlformats.org/officeDocument/2006/relationships/hyperlink" Target="https://drive.google.com/file/d/1me6m8d0zhr7v0Re6pDGlB5CMIy6SArMI/view?usp=drivesdk" TargetMode="External"/><Relationship Id="rId8477" Type="http://schemas.openxmlformats.org/officeDocument/2006/relationships/hyperlink" Target="https://drive.google.com/file/d/17Ix8N7U7xNObu1EHzZrvpAivsH4aO0G0/view?usp=drivesdk" TargetMode="External"/><Relationship Id="rId7145" Type="http://schemas.openxmlformats.org/officeDocument/2006/relationships/hyperlink" Target="https://drive.google.com/file/d/1mVCNPmiEZNFkApW3Vg0jy1_f14Wq7aUu/view?usp=drivesdk" TargetMode="External"/><Relationship Id="rId8476" Type="http://schemas.openxmlformats.org/officeDocument/2006/relationships/hyperlink" Target="https://drive.google.com/file/d/1Ez_DsBecEeeRizB-WIH01z988tKBOb5c/view?usp=drivesdk" TargetMode="External"/><Relationship Id="rId7149" Type="http://schemas.openxmlformats.org/officeDocument/2006/relationships/hyperlink" Target="https://drive.google.com/file/d/1CdJqsxwPWPmkFWXijVMDTYc5Xy1fSyAE/view?usp=drivesdk" TargetMode="External"/><Relationship Id="rId4901" Type="http://schemas.openxmlformats.org/officeDocument/2006/relationships/hyperlink" Target="https://drive.google.com/file/d/19ncckjma8AZV97ABd_h-ju1sMFhK0s47/view?usp=drivesdk" TargetMode="External"/><Relationship Id="rId4900" Type="http://schemas.openxmlformats.org/officeDocument/2006/relationships/hyperlink" Target="https://drive.google.com/file/d/17e2JE0--QHlh3h8wTEnqq0HnDbYLwxDi/view?usp=drivesdk" TargetMode="External"/><Relationship Id="rId4903" Type="http://schemas.openxmlformats.org/officeDocument/2006/relationships/hyperlink" Target="https://drive.google.com/file/d/1RNbuToyMDCmkFzslKX5XqiRXiQy23JXq/view?usp=drivesdk" TargetMode="External"/><Relationship Id="rId4902" Type="http://schemas.openxmlformats.org/officeDocument/2006/relationships/hyperlink" Target="https://drive.google.com/file/d/1E0kAf2MvfhMasqvFIGF-VpnEK_w6-Ckl/view?usp=drivesdk" TargetMode="External"/><Relationship Id="rId4905" Type="http://schemas.openxmlformats.org/officeDocument/2006/relationships/hyperlink" Target="https://drive.google.com/file/d/1_6j8sgLP4vAuHCsvNdsQCeLNdeeZHXah/view?usp=drivesdk" TargetMode="External"/><Relationship Id="rId4904" Type="http://schemas.openxmlformats.org/officeDocument/2006/relationships/hyperlink" Target="https://drive.google.com/file/d/1ApwhyKr67zVVHyX3WNfA8hy7IxE3gSeC/view?usp=drivesdk" TargetMode="External"/><Relationship Id="rId4907" Type="http://schemas.openxmlformats.org/officeDocument/2006/relationships/hyperlink" Target="https://drive.google.com/file/d/1daFoErkHnvx0AjrfniUP8pCcxjCRMkgO/view?usp=drivesdk" TargetMode="External"/><Relationship Id="rId4906" Type="http://schemas.openxmlformats.org/officeDocument/2006/relationships/hyperlink" Target="https://drive.google.com/file/d/1BRashJXbQMP3ra0LwUV7kvhW0puGfacy/view?usp=drivesdk" TargetMode="External"/><Relationship Id="rId4909" Type="http://schemas.openxmlformats.org/officeDocument/2006/relationships/hyperlink" Target="https://drive.google.com/file/d/1rEcX77Id417r2iLt1BYZxR-nVpR4YSa9/view?usp=drivesdk" TargetMode="External"/><Relationship Id="rId4908" Type="http://schemas.openxmlformats.org/officeDocument/2006/relationships/hyperlink" Target="https://drive.google.com/file/d/1Bn91rGohUbQlPd4_Wz-PRl62M6mxBrUG/view?usp=drivesdk" TargetMode="External"/><Relationship Id="rId7180" Type="http://schemas.openxmlformats.org/officeDocument/2006/relationships/hyperlink" Target="https://drive.google.com/file/d/1STg0nZ78tiXEmmYCX3qWEWuKXvxUuSZL/view?usp=drivesdk" TargetMode="External"/><Relationship Id="rId7173" Type="http://schemas.openxmlformats.org/officeDocument/2006/relationships/hyperlink" Target="https://drive.google.com/file/d/1QJsLd0h36js5rFopRVqICk6XcNMlQONp/view?usp=drivesdk" TargetMode="External"/><Relationship Id="rId7172" Type="http://schemas.openxmlformats.org/officeDocument/2006/relationships/hyperlink" Target="https://drive.google.com/file/d/1xhD91irQw4u4L_4Wol2RCip0gPW-TH_z/view?usp=drivesdk" TargetMode="External"/><Relationship Id="rId7171" Type="http://schemas.openxmlformats.org/officeDocument/2006/relationships/hyperlink" Target="https://drive.google.com/file/d/1oYVyEqwWzz0Y8xorjEPFUAdw1hV08-0I/view?usp=drivesdk" TargetMode="External"/><Relationship Id="rId7170" Type="http://schemas.openxmlformats.org/officeDocument/2006/relationships/hyperlink" Target="https://drive.google.com/file/d/1CoxStO0JQnnnEaE04A-7n6_qW4fRcJl4/view?usp=drivesdk" TargetMode="External"/><Relationship Id="rId7177" Type="http://schemas.openxmlformats.org/officeDocument/2006/relationships/hyperlink" Target="https://drive.google.com/file/d/1sIEyamwla1NLaM91L500kG6rBLvXwreR/view?usp=drivesdk" TargetMode="External"/><Relationship Id="rId7176" Type="http://schemas.openxmlformats.org/officeDocument/2006/relationships/hyperlink" Target="https://drive.google.com/file/d/1Evoky65hSWE5VXvl54X_SO2z3dVlwQ9C/view?usp=drivesdk" TargetMode="External"/><Relationship Id="rId7175" Type="http://schemas.openxmlformats.org/officeDocument/2006/relationships/hyperlink" Target="https://drive.google.com/file/d/1VdCGZ5Foj4MlZ8dBh7gB5WXmNWrgm8vh/view?usp=drivesdk" TargetMode="External"/><Relationship Id="rId7174" Type="http://schemas.openxmlformats.org/officeDocument/2006/relationships/hyperlink" Target="https://drive.google.com/file/d/1J1OcNrJeS3NqwS6m4reF6dV2ndaOWroO/view?usp=drivesdk" TargetMode="External"/><Relationship Id="rId7179" Type="http://schemas.openxmlformats.org/officeDocument/2006/relationships/hyperlink" Target="https://drive.google.com/file/d/1Z2c4KOjq6kwQaLbk3DlpSuFdgCp7t_SN/view?usp=drivesdk" TargetMode="External"/><Relationship Id="rId7178" Type="http://schemas.openxmlformats.org/officeDocument/2006/relationships/hyperlink" Target="https://drive.google.com/file/d/1Q2sGKhwlQ2GPOAqvveCpZLlfKbl-j0VV/view?usp=drivesdk" TargetMode="External"/><Relationship Id="rId7162" Type="http://schemas.openxmlformats.org/officeDocument/2006/relationships/hyperlink" Target="https://drive.google.com/file/d/10UitnBth_O6A97pcYYHIEHQk1faDhM1k/view?usp=drivesdk" TargetMode="External"/><Relationship Id="rId8493" Type="http://schemas.openxmlformats.org/officeDocument/2006/relationships/hyperlink" Target="https://drive.google.com/file/d/19Uf1fbIRhw045dnY2ByMS0CWve_gfGZk/view?usp=drivesdk" TargetMode="External"/><Relationship Id="rId7161" Type="http://schemas.openxmlformats.org/officeDocument/2006/relationships/hyperlink" Target="https://drive.google.com/file/d/18gJO_AUKH0L6Lai5GXq9591A_FB4WAlb/view?usp=drivesdk" TargetMode="External"/><Relationship Id="rId8492" Type="http://schemas.openxmlformats.org/officeDocument/2006/relationships/hyperlink" Target="https://drive.google.com/file/d/1er8ZafM8zuYUNwNsFsWkRub-DrbKEMsq/view?usp=drivesdk" TargetMode="External"/><Relationship Id="rId7160" Type="http://schemas.openxmlformats.org/officeDocument/2006/relationships/hyperlink" Target="https://drive.google.com/file/d/1QLTD7DnJh0tFMPtqMs7BjPAPXDe1quit/view?usp=drivesdk" TargetMode="External"/><Relationship Id="rId8491" Type="http://schemas.openxmlformats.org/officeDocument/2006/relationships/hyperlink" Target="https://drive.google.com/file/d/1O_6ig4k41B0dWNUcjGq_IH6yUCTSaGVb/view?usp=drivesdk" TargetMode="External"/><Relationship Id="rId8490" Type="http://schemas.openxmlformats.org/officeDocument/2006/relationships/hyperlink" Target="https://drive.google.com/file/d/17-N-t_1HUjtB1hxUfYb5Ce7u_nNE7Wfx/view?usp=drivesdk" TargetMode="External"/><Relationship Id="rId7166" Type="http://schemas.openxmlformats.org/officeDocument/2006/relationships/hyperlink" Target="https://drive.google.com/file/d/1heAz3V1y-keJwga0QEGnC6Nm36yrLRVY/view?usp=drivesdk" TargetMode="External"/><Relationship Id="rId8497" Type="http://schemas.openxmlformats.org/officeDocument/2006/relationships/hyperlink" Target="https://drive.google.com/file/d/1R1nRQTVEgKqPrcbMDrPiG-TM9wdbNyL_/view?usp=drivesdk" TargetMode="External"/><Relationship Id="rId7165" Type="http://schemas.openxmlformats.org/officeDocument/2006/relationships/hyperlink" Target="https://drive.google.com/file/d/14gheXnIjYH4Bho0KJyUatDlxrZghsrhb/view?usp=drivesdk" TargetMode="External"/><Relationship Id="rId8496" Type="http://schemas.openxmlformats.org/officeDocument/2006/relationships/hyperlink" Target="https://drive.google.com/file/d/1j5HLBLDN5WMoAOw-xB5x1-NwTuW-j4PE/view?usp=drivesdk" TargetMode="External"/><Relationship Id="rId7164" Type="http://schemas.openxmlformats.org/officeDocument/2006/relationships/hyperlink" Target="https://drive.google.com/file/d/1p2Umu0FFdNR1xCUx5QV2e8mV7VP3vjds/view?usp=drivesdk" TargetMode="External"/><Relationship Id="rId8495" Type="http://schemas.openxmlformats.org/officeDocument/2006/relationships/hyperlink" Target="https://drive.google.com/file/d/1v0HeGwImz-R32hQw_RfUra5IVqFLbq3y/view?usp=drivesdk" TargetMode="External"/><Relationship Id="rId7163" Type="http://schemas.openxmlformats.org/officeDocument/2006/relationships/hyperlink" Target="https://drive.google.com/file/d/1v53Gj2PxIJK8pP3oYO0TD0xDNFjKL_Mq/view?usp=drivesdk" TargetMode="External"/><Relationship Id="rId8494" Type="http://schemas.openxmlformats.org/officeDocument/2006/relationships/hyperlink" Target="https://drive.google.com/file/d/1vBNbVAueapEzQ_w-J4VMZrOBzntpRtjb/view?usp=drivesdk" TargetMode="External"/><Relationship Id="rId7169" Type="http://schemas.openxmlformats.org/officeDocument/2006/relationships/hyperlink" Target="https://drive.google.com/file/d/1OsOWwpga5lVXYhPFeJ2Y4Ze1u5TysT7A/view?usp=drivesdk" TargetMode="External"/><Relationship Id="rId7168" Type="http://schemas.openxmlformats.org/officeDocument/2006/relationships/hyperlink" Target="https://drive.google.com/file/d/1bxeoWSS3w2XEGSYFWUgf5YiHLtmC2rHn/view?usp=drivesdk" TargetMode="External"/><Relationship Id="rId8499" Type="http://schemas.openxmlformats.org/officeDocument/2006/relationships/hyperlink" Target="https://drive.google.com/file/d/1YwA6qnj6FmFNXrZfsZnXIHCcka1JX7Rg/view?usp=drivesdk" TargetMode="External"/><Relationship Id="rId7167" Type="http://schemas.openxmlformats.org/officeDocument/2006/relationships/hyperlink" Target="https://drive.google.com/file/d/1G3KyLURlT0Lf0YimHB2P0Vcl6XbYT6qi/view?usp=drivesdk" TargetMode="External"/><Relationship Id="rId8498" Type="http://schemas.openxmlformats.org/officeDocument/2006/relationships/hyperlink" Target="https://drive.google.com/file/d/1bh0uTtwZ9moh4a1XsAfgZnSkOBhyZQfJ/view?usp=drivesdk" TargetMode="External"/><Relationship Id="rId7111" Type="http://schemas.openxmlformats.org/officeDocument/2006/relationships/hyperlink" Target="https://drive.google.com/file/d/1AK-7WINUImntm3A6W8upO0XDFSzxVdrW/view?usp=drivesdk" TargetMode="External"/><Relationship Id="rId8442" Type="http://schemas.openxmlformats.org/officeDocument/2006/relationships/hyperlink" Target="https://drive.google.com/file/d/1q5I5gyVdwc7jJu_o7LVR_ea13G9t7beq/view?usp=drivesdk" TargetMode="External"/><Relationship Id="rId7110" Type="http://schemas.openxmlformats.org/officeDocument/2006/relationships/hyperlink" Target="https://drive.google.com/file/d/1f3gTDbdOWy7k4KHjZG5HcTFlT_emz4tL/view?usp=drivesdk" TargetMode="External"/><Relationship Id="rId8441" Type="http://schemas.openxmlformats.org/officeDocument/2006/relationships/hyperlink" Target="https://drive.google.com/file/d/1qgWlARGIV4pQNn8gtKWjHEygFNqexixZ/view?usp=drivesdk" TargetMode="External"/><Relationship Id="rId8440" Type="http://schemas.openxmlformats.org/officeDocument/2006/relationships/hyperlink" Target="https://drive.google.com/file/d/1qmOslSQ5WiS37tD6MObPZKag6aZBN7kY/view?usp=drivesdk" TargetMode="External"/><Relationship Id="rId7115" Type="http://schemas.openxmlformats.org/officeDocument/2006/relationships/hyperlink" Target="https://drive.google.com/file/d/1_PMImongm3afStI_6RkVmn-pUSg5l-md/view?usp=drivesdk" TargetMode="External"/><Relationship Id="rId8446" Type="http://schemas.openxmlformats.org/officeDocument/2006/relationships/hyperlink" Target="https://drive.google.com/file/d/1XGOWoBdo4u0D8vNuU8IZyBDdUXJGBMvP/view?usp=drivesdk" TargetMode="External"/><Relationship Id="rId7114" Type="http://schemas.openxmlformats.org/officeDocument/2006/relationships/hyperlink" Target="https://drive.google.com/file/d/1azHsngrP25oMVXxKjnS6gjHgmK8mDHdD/view?usp=drivesdk" TargetMode="External"/><Relationship Id="rId8445" Type="http://schemas.openxmlformats.org/officeDocument/2006/relationships/hyperlink" Target="https://drive.google.com/file/d/1mfLcBCKlWen28WNRHSPRnee6q2TNSn0-/view?usp=drivesdk" TargetMode="External"/><Relationship Id="rId7113" Type="http://schemas.openxmlformats.org/officeDocument/2006/relationships/hyperlink" Target="https://drive.google.com/file/d/1bf9XudW0lU5KirB08zKG1tcBrlY0f4Os/view?usp=drivesdk" TargetMode="External"/><Relationship Id="rId8444" Type="http://schemas.openxmlformats.org/officeDocument/2006/relationships/hyperlink" Target="https://drive.google.com/file/d/1LRzagiUqBEt2ox6Ceyyah3N3iECZYESa/view?usp=drivesdk" TargetMode="External"/><Relationship Id="rId7112" Type="http://schemas.openxmlformats.org/officeDocument/2006/relationships/hyperlink" Target="https://drive.google.com/file/d/12pdvm7ODsUtsPmgqWMQspnLGOIqQfTxu/view?usp=drivesdk" TargetMode="External"/><Relationship Id="rId8443" Type="http://schemas.openxmlformats.org/officeDocument/2006/relationships/hyperlink" Target="https://drive.google.com/file/d/1LIm6KBreOZQcwqmBQcszNapahwv-gvCO/view?usp=drivesdk" TargetMode="External"/><Relationship Id="rId7119" Type="http://schemas.openxmlformats.org/officeDocument/2006/relationships/hyperlink" Target="https://drive.google.com/file/d/1Bwp3GkkSOnMnBIBBTvIUXMH75zid9LOz/view?usp=drivesdk" TargetMode="External"/><Relationship Id="rId7118" Type="http://schemas.openxmlformats.org/officeDocument/2006/relationships/hyperlink" Target="https://drive.google.com/file/d/1_NvBllyWec2oI_KmqHAW7FbnZYYNzxcf/view?usp=drivesdk" TargetMode="External"/><Relationship Id="rId8449" Type="http://schemas.openxmlformats.org/officeDocument/2006/relationships/hyperlink" Target="https://drive.google.com/file/d/1iO9SBoQh6rh1-fJVQjyHscu5hLf7EXRO/view?usp=drivesdk" TargetMode="External"/><Relationship Id="rId7117" Type="http://schemas.openxmlformats.org/officeDocument/2006/relationships/hyperlink" Target="https://drive.google.com/file/d/1n_itwLgjaq-yCSm-JZ2Xf2K-UMkNaxUq/view?usp=drivesdk" TargetMode="External"/><Relationship Id="rId8448" Type="http://schemas.openxmlformats.org/officeDocument/2006/relationships/hyperlink" Target="https://drive.google.com/file/d/14o586Jkz669Y8DFHdRgUjK7oo_7GZz5O/view?usp=drivesdk" TargetMode="External"/><Relationship Id="rId7116" Type="http://schemas.openxmlformats.org/officeDocument/2006/relationships/hyperlink" Target="https://drive.google.com/file/d/1ts_l0qSdFBuYlg8Q1op1iT-HcPBIGLzb/view?usp=drivesdk" TargetMode="External"/><Relationship Id="rId8447" Type="http://schemas.openxmlformats.org/officeDocument/2006/relationships/hyperlink" Target="https://drive.google.com/file/d/1uTALUPvzHrcYHfe7A_kiiefOnpR2AVfA/view?usp=drivesdk" TargetMode="External"/><Relationship Id="rId7109" Type="http://schemas.openxmlformats.org/officeDocument/2006/relationships/hyperlink" Target="https://drive.google.com/file/d/1D381q41CsJJ15yq1BHxTvyI0PLj2ctKc/view?usp=drivesdk" TargetMode="External"/><Relationship Id="rId7100" Type="http://schemas.openxmlformats.org/officeDocument/2006/relationships/hyperlink" Target="https://drive.google.com/file/d/1fOipPLGybrmdnCYiu9ceq1jSl2mQXcWT/view?usp=drivesdk" TargetMode="External"/><Relationship Id="rId8431" Type="http://schemas.openxmlformats.org/officeDocument/2006/relationships/hyperlink" Target="https://drive.google.com/file/d/1ZZroGJkrTLcvJK-VnL41BVn6AEOUj6Tj/view?usp=drivesdk" TargetMode="External"/><Relationship Id="rId8430" Type="http://schemas.openxmlformats.org/officeDocument/2006/relationships/hyperlink" Target="https://drive.google.com/file/d/1RxPEDcFBbDG-urZPIXkRbQ-IkSl80ALm/view?usp=drivesdk" TargetMode="External"/><Relationship Id="rId7104" Type="http://schemas.openxmlformats.org/officeDocument/2006/relationships/hyperlink" Target="https://drive.google.com/file/d/1HKP4qbo2pjYwNksDtrl4762w0qolyRcG/view?usp=drivesdk" TargetMode="External"/><Relationship Id="rId8435" Type="http://schemas.openxmlformats.org/officeDocument/2006/relationships/hyperlink" Target="https://drive.google.com/file/d/1nZQBGnz9b0pvYdDpjZ5LueMMaPNtHk6X/view?usp=drivesdk" TargetMode="External"/><Relationship Id="rId7103" Type="http://schemas.openxmlformats.org/officeDocument/2006/relationships/hyperlink" Target="https://drive.google.com/file/d/15q_vKx7KVnCVZaqXe1aa9NTyCj9rI3yV/view?usp=drivesdk" TargetMode="External"/><Relationship Id="rId8434" Type="http://schemas.openxmlformats.org/officeDocument/2006/relationships/hyperlink" Target="https://drive.google.com/file/d/1zQ8pTghNBRrLoUy06OBHZ5qDLSfERbgB/view?usp=drivesdk" TargetMode="External"/><Relationship Id="rId7102" Type="http://schemas.openxmlformats.org/officeDocument/2006/relationships/hyperlink" Target="https://drive.google.com/file/d/1d5exgrHDLtIRBJYOaU7iowZNnLsJsGJP/view?usp=drivesdk" TargetMode="External"/><Relationship Id="rId8433" Type="http://schemas.openxmlformats.org/officeDocument/2006/relationships/hyperlink" Target="https://drive.google.com/file/d/1yzbIJ7FLwcDzppBlmJpFAwnLceI2dY1C/view?usp=drivesdk" TargetMode="External"/><Relationship Id="rId7101" Type="http://schemas.openxmlformats.org/officeDocument/2006/relationships/hyperlink" Target="https://drive.google.com/file/d/1LREDBkHvQ9g0zPXGCcW-45lqU6jrhfz3/view?usp=drivesdk" TargetMode="External"/><Relationship Id="rId8432" Type="http://schemas.openxmlformats.org/officeDocument/2006/relationships/hyperlink" Target="https://drive.google.com/file/d/15HKS62i_cCOimmGhcdbIOr4mKG-do1tL/view?usp=drivesdk" TargetMode="External"/><Relationship Id="rId7108" Type="http://schemas.openxmlformats.org/officeDocument/2006/relationships/hyperlink" Target="https://drive.google.com/file/d/1H19l-td4fFE_DbXVFCnDkDIQ4r3a99kN/view?usp=drivesdk" TargetMode="External"/><Relationship Id="rId8439" Type="http://schemas.openxmlformats.org/officeDocument/2006/relationships/hyperlink" Target="https://drive.google.com/file/d/19ncZzKSoEv3c5ucPdanhA2NHCzbyLCIg/view?usp=drivesdk" TargetMode="External"/><Relationship Id="rId7107" Type="http://schemas.openxmlformats.org/officeDocument/2006/relationships/hyperlink" Target="https://drive.google.com/file/d/1RW0p6u76p05ojvroSvbuzRfWMed1Y9hO/view?usp=drivesdk" TargetMode="External"/><Relationship Id="rId8438" Type="http://schemas.openxmlformats.org/officeDocument/2006/relationships/hyperlink" Target="https://drive.google.com/file/d/1qOcTUDmHIMjH_cbuUwz0DkzGQWJ8TltB/view?usp=drivesdk" TargetMode="External"/><Relationship Id="rId7106" Type="http://schemas.openxmlformats.org/officeDocument/2006/relationships/hyperlink" Target="https://drive.google.com/file/d/1bOKpy5KA_DyBT2LU79nolYMXwcvCcdXR/view?usp=drivesdk" TargetMode="External"/><Relationship Id="rId8437" Type="http://schemas.openxmlformats.org/officeDocument/2006/relationships/hyperlink" Target="https://drive.google.com/file/d/1YF_zhmhIqkh5JFIdI7cITZKvlCp0A6JH/view?usp=drivesdk" TargetMode="External"/><Relationship Id="rId7105" Type="http://schemas.openxmlformats.org/officeDocument/2006/relationships/hyperlink" Target="https://drive.google.com/file/d/19XqecaHqzy0S_LyRkSV9P8NEN51SqGMe/view?usp=drivesdk" TargetMode="External"/><Relationship Id="rId8436" Type="http://schemas.openxmlformats.org/officeDocument/2006/relationships/hyperlink" Target="https://drive.google.com/file/d/1008h5SP9dhRkOq4TkcyNy1m-SZbvdLrk/view?usp=drivesdk" TargetMode="External"/><Relationship Id="rId8460" Type="http://schemas.openxmlformats.org/officeDocument/2006/relationships/hyperlink" Target="https://drive.google.com/file/d/1fQGJj1jGNqfi_2Qzh1mIJUx2XCO1UlXf/view?usp=drivesdk" TargetMode="External"/><Relationship Id="rId7133" Type="http://schemas.openxmlformats.org/officeDocument/2006/relationships/hyperlink" Target="https://drive.google.com/file/d/1idPOYn3W5UzfOft0qzKYOtiBFGBQtqf_/view?usp=drivesdk" TargetMode="External"/><Relationship Id="rId8464" Type="http://schemas.openxmlformats.org/officeDocument/2006/relationships/hyperlink" Target="https://drive.google.com/file/d/1OwUdGSJBVMFFjn22WL0iV7Ek0MSGKDGm/view?usp=drivesdk" TargetMode="External"/><Relationship Id="rId7132" Type="http://schemas.openxmlformats.org/officeDocument/2006/relationships/hyperlink" Target="https://drive.google.com/file/d/1gLw4QWJMdP-Mzww4hmgYZ_48Zx3GCl3f/view?usp=drivesdk" TargetMode="External"/><Relationship Id="rId8463" Type="http://schemas.openxmlformats.org/officeDocument/2006/relationships/hyperlink" Target="https://drive.google.com/file/d/1S-v4EBkQdxBpjKMcQqs-wYXzxt9WAcQd/view?usp=drivesdk" TargetMode="External"/><Relationship Id="rId7131" Type="http://schemas.openxmlformats.org/officeDocument/2006/relationships/hyperlink" Target="https://drive.google.com/file/d/1C2dmUJRN_JYmYYvI2Ib59FYFmyREIti4/view?usp=drivesdk" TargetMode="External"/><Relationship Id="rId8462" Type="http://schemas.openxmlformats.org/officeDocument/2006/relationships/hyperlink" Target="https://drive.google.com/file/d/1YGObarvFDQBchACnvfaV23BTSr_bC4d2/view?usp=drivesdk" TargetMode="External"/><Relationship Id="rId7130" Type="http://schemas.openxmlformats.org/officeDocument/2006/relationships/hyperlink" Target="https://drive.google.com/file/d/1u2cuYBlsGJQhnykRX509gifJYqmtbKCM/view?usp=drivesdk" TargetMode="External"/><Relationship Id="rId8461" Type="http://schemas.openxmlformats.org/officeDocument/2006/relationships/hyperlink" Target="https://drive.google.com/file/d/1EudMyOJ3MY43fUgFzhoanivOTfANefq9/view?usp=drivesdk" TargetMode="External"/><Relationship Id="rId7137" Type="http://schemas.openxmlformats.org/officeDocument/2006/relationships/hyperlink" Target="https://drive.google.com/file/d/1hHXg0uRlklDJrv8ZxlzxvUa6KmzS9jl7/view?usp=drivesdk" TargetMode="External"/><Relationship Id="rId8468" Type="http://schemas.openxmlformats.org/officeDocument/2006/relationships/hyperlink" Target="https://drive.google.com/file/d/1LuSxC-yqpcmSId7k8f5HisbvlOqZG5YP/view?usp=drivesdk" TargetMode="External"/><Relationship Id="rId7136" Type="http://schemas.openxmlformats.org/officeDocument/2006/relationships/hyperlink" Target="https://drive.google.com/file/d/1c_9WFe_fBR8AMnCC73nnfP9KqTURktmy/view?usp=drivesdk" TargetMode="External"/><Relationship Id="rId8467" Type="http://schemas.openxmlformats.org/officeDocument/2006/relationships/hyperlink" Target="https://drive.google.com/file/d/1NlwAsr7bHFQuS1Il0oQ5wmmYjEuJ_Esh/view?usp=drivesdk" TargetMode="External"/><Relationship Id="rId7135" Type="http://schemas.openxmlformats.org/officeDocument/2006/relationships/hyperlink" Target="https://drive.google.com/file/d/1YiRuf752UMuTKcShaqHYED7M0q0nu7Z1/view?usp=drivesdk" TargetMode="External"/><Relationship Id="rId8466" Type="http://schemas.openxmlformats.org/officeDocument/2006/relationships/hyperlink" Target="https://drive.google.com/file/d/111sfd1Qm8ccoOp8hhu0Pe3SK7Su4EdJk/view?usp=drivesdk" TargetMode="External"/><Relationship Id="rId7134" Type="http://schemas.openxmlformats.org/officeDocument/2006/relationships/hyperlink" Target="https://drive.google.com/file/d/1VqFzSCDUEkWf-EMLNYJqztoUt8TVHgqe/view?usp=drivesdk" TargetMode="External"/><Relationship Id="rId8465" Type="http://schemas.openxmlformats.org/officeDocument/2006/relationships/hyperlink" Target="https://drive.google.com/file/d/1JKoeMqUH9EmmVQLa4yPEuG5jUEBWGtl3/view?usp=drivesdk" TargetMode="External"/><Relationship Id="rId7139" Type="http://schemas.openxmlformats.org/officeDocument/2006/relationships/hyperlink" Target="https://drive.google.com/file/d/1WSAMaM98fcDRmNUTHQP0r8nGekxmwVK4/view?usp=drivesdk" TargetMode="External"/><Relationship Id="rId7138" Type="http://schemas.openxmlformats.org/officeDocument/2006/relationships/hyperlink" Target="https://drive.google.com/file/d/13jWP2pPWq3HHS9Us0VMN33INjaTbsEG_/view?usp=drivesdk" TargetMode="External"/><Relationship Id="rId8469" Type="http://schemas.openxmlformats.org/officeDocument/2006/relationships/hyperlink" Target="https://drive.google.com/file/d/1bZn5q7j41_E7zyNyDsr6M4Xqm9xUA2MW/view?usp=drivesdk" TargetMode="External"/><Relationship Id="rId7122" Type="http://schemas.openxmlformats.org/officeDocument/2006/relationships/hyperlink" Target="https://drive.google.com/file/d/1kcf41c1lkmKUMZGbhL7kGNYOMBWW9mlR/view?usp=drivesdk" TargetMode="External"/><Relationship Id="rId8453" Type="http://schemas.openxmlformats.org/officeDocument/2006/relationships/hyperlink" Target="https://drive.google.com/file/d/1G5OpY1fj4O35naRayeDwo15nGjklwXxF/view?usp=drivesdk" TargetMode="External"/><Relationship Id="rId7121" Type="http://schemas.openxmlformats.org/officeDocument/2006/relationships/hyperlink" Target="https://drive.google.com/file/d/1oMwKct1MIZcNoVizF525lToi1AF3n2TL/view?usp=drivesdk" TargetMode="External"/><Relationship Id="rId8452" Type="http://schemas.openxmlformats.org/officeDocument/2006/relationships/hyperlink" Target="https://drive.google.com/file/d/1iptUANeZhE7ZG9qZoJQlFFxe6IgsNne9/view?usp=drivesdk" TargetMode="External"/><Relationship Id="rId7120" Type="http://schemas.openxmlformats.org/officeDocument/2006/relationships/hyperlink" Target="https://drive.google.com/file/d/1Lb8e21kREKRmlRfwWuLmMRR023Y98zQu/view?usp=drivesdk" TargetMode="External"/><Relationship Id="rId8451" Type="http://schemas.openxmlformats.org/officeDocument/2006/relationships/hyperlink" Target="https://drive.google.com/file/d/1RAx1-0vQo5TJkjZSG4e0SLxUKewKpm42/view?usp=drivesdk" TargetMode="External"/><Relationship Id="rId8450" Type="http://schemas.openxmlformats.org/officeDocument/2006/relationships/hyperlink" Target="https://drive.google.com/file/d/1hvAyZo7iatSTezP8vbCdYK7VKzWQ2pSi/view?usp=drivesdk" TargetMode="External"/><Relationship Id="rId7126" Type="http://schemas.openxmlformats.org/officeDocument/2006/relationships/hyperlink" Target="https://drive.google.com/file/d/1LvXd1PuLHviDsanz-BfZwSJOTTFn4s7n/view?usp=drivesdk" TargetMode="External"/><Relationship Id="rId8457" Type="http://schemas.openxmlformats.org/officeDocument/2006/relationships/hyperlink" Target="https://drive.google.com/file/d/1385yWe2fVONBsluzGagOg08erwaYloM2/view?usp=drivesdk" TargetMode="External"/><Relationship Id="rId7125" Type="http://schemas.openxmlformats.org/officeDocument/2006/relationships/hyperlink" Target="https://drive.google.com/file/d/1cRCmL0w4iFj4BRLSx-jUVlo86sGgKCo-/view?usp=drivesdk" TargetMode="External"/><Relationship Id="rId8456" Type="http://schemas.openxmlformats.org/officeDocument/2006/relationships/hyperlink" Target="https://drive.google.com/file/d/1ojU81OSDHK8sSky226ITvjllVKKKsr3k/view?usp=drivesdk" TargetMode="External"/><Relationship Id="rId7124" Type="http://schemas.openxmlformats.org/officeDocument/2006/relationships/hyperlink" Target="https://drive.google.com/file/d/1XMtpl_RJ3ovYHymK0EwXyI9fXfRrDP0F/view?usp=drivesdk" TargetMode="External"/><Relationship Id="rId8455" Type="http://schemas.openxmlformats.org/officeDocument/2006/relationships/hyperlink" Target="https://drive.google.com/file/d/1J2HFu5x04vS5yyE8g7iE52AcRdjd9WSk/view?usp=drivesdk" TargetMode="External"/><Relationship Id="rId7123" Type="http://schemas.openxmlformats.org/officeDocument/2006/relationships/hyperlink" Target="https://drive.google.com/file/d/1pujNPKLKiDXexnvZi_b1RYxmwrhBGwl8/view?usp=drivesdk" TargetMode="External"/><Relationship Id="rId8454" Type="http://schemas.openxmlformats.org/officeDocument/2006/relationships/hyperlink" Target="https://drive.google.com/file/d/16WWLTeRwwZWWQOZ_gsFG3A4sh7OjaEUt/view?usp=drivesdk" TargetMode="External"/><Relationship Id="rId7129" Type="http://schemas.openxmlformats.org/officeDocument/2006/relationships/hyperlink" Target="https://drive.google.com/file/d/1bBw7tFtHB6GHilVmn_3hPJxl0RVzTpXs/view?usp=drivesdk" TargetMode="External"/><Relationship Id="rId7128" Type="http://schemas.openxmlformats.org/officeDocument/2006/relationships/hyperlink" Target="https://drive.google.com/file/d/1qBjHrVLukCQnRBhu-AhGR3tZXzFUNaCy/view?usp=drivesdk" TargetMode="External"/><Relationship Id="rId8459" Type="http://schemas.openxmlformats.org/officeDocument/2006/relationships/hyperlink" Target="https://drive.google.com/file/d/1fHkkY_vlTNdkR378fEeaO5pdVUsbLqrH/view?usp=drivesdk" TargetMode="External"/><Relationship Id="rId7127" Type="http://schemas.openxmlformats.org/officeDocument/2006/relationships/hyperlink" Target="https://drive.google.com/file/d/1ztVE4kjD4wco9vRe6alP8iO6h7Fa17Tw/view?usp=drivesdk" TargetMode="External"/><Relationship Id="rId8458" Type="http://schemas.openxmlformats.org/officeDocument/2006/relationships/hyperlink" Target="https://drive.google.com/file/d/11riiPtC83-yXd_PTiYQRur1PXLS5aQ4v/view?usp=drivesdk" TargetMode="External"/><Relationship Id="rId2302" Type="http://schemas.openxmlformats.org/officeDocument/2006/relationships/hyperlink" Target="https://drive.google.com/file/d/1Gi4n2uQCjkc66VlvUQ98DoeH3DWeKxl9/view?usp=drivesdk" TargetMode="External"/><Relationship Id="rId3634" Type="http://schemas.openxmlformats.org/officeDocument/2006/relationships/hyperlink" Target="https://drive.google.com/file/d/1LRUYjVfzsctQzG-Mbt8j20fbtKWUpbIw/view?usp=drivesdk" TargetMode="External"/><Relationship Id="rId4965" Type="http://schemas.openxmlformats.org/officeDocument/2006/relationships/hyperlink" Target="https://drive.google.com/file/d/1LNMGccpeJ3w_SoGo89JXhhn9K5T8eBSw/view?usp=drivesdk" TargetMode="External"/><Relationship Id="rId2303" Type="http://schemas.openxmlformats.org/officeDocument/2006/relationships/hyperlink" Target="https://drive.google.com/file/d/1yzJYxBd7a4ULWJ8YGD4OOJ32Qq7wltuj/view?usp=drivesdk" TargetMode="External"/><Relationship Id="rId3633" Type="http://schemas.openxmlformats.org/officeDocument/2006/relationships/hyperlink" Target="https://drive.google.com/file/d/1HPAYp6I0MyyVSaQy-t_5vx9d6dIOuvt4/view?usp=drivesdk" TargetMode="External"/><Relationship Id="rId4964" Type="http://schemas.openxmlformats.org/officeDocument/2006/relationships/hyperlink" Target="https://drive.google.com/file/d/1AMq4TUTJKbV4hsCmnUORfoFYu3tohZ6v/view?usp=drivesdk" TargetMode="External"/><Relationship Id="rId2304" Type="http://schemas.openxmlformats.org/officeDocument/2006/relationships/hyperlink" Target="https://drive.google.com/file/d/15inzEGN8bGxgft4lxDWL1S2XP6XB5hUj/view?usp=drivesdk" TargetMode="External"/><Relationship Id="rId3636" Type="http://schemas.openxmlformats.org/officeDocument/2006/relationships/hyperlink" Target="https://drive.google.com/file/d/1xIXv61iqo19m42V07E0LB_w9QrJV3PX4/view?usp=drivesdk" TargetMode="External"/><Relationship Id="rId4967" Type="http://schemas.openxmlformats.org/officeDocument/2006/relationships/hyperlink" Target="https://drive.google.com/file/d/1LkQ4qGO-516T1kjsHpo66U1sjh0L6Htq/view?usp=drivesdk" TargetMode="External"/><Relationship Id="rId2305" Type="http://schemas.openxmlformats.org/officeDocument/2006/relationships/hyperlink" Target="https://drive.google.com/file/d/1dWbj8xRL9S2nS8-sDyvNJnpSIxFnFS18/view?usp=drivesdk" TargetMode="External"/><Relationship Id="rId3635" Type="http://schemas.openxmlformats.org/officeDocument/2006/relationships/hyperlink" Target="https://drive.google.com/file/d/1_2VNXhGPOPyj9XqhhZY2u_tFTPONiDQX/view?usp=drivesdk" TargetMode="External"/><Relationship Id="rId4966" Type="http://schemas.openxmlformats.org/officeDocument/2006/relationships/hyperlink" Target="https://drive.google.com/file/d/1jHZCPEJU_nHAMZnzVtcUfbJX8wSHXWjc/view?usp=drivesdk" TargetMode="External"/><Relationship Id="rId2306" Type="http://schemas.openxmlformats.org/officeDocument/2006/relationships/hyperlink" Target="https://drive.google.com/file/d/1nNfGv54AWF85JfpuJn9Bvh8Gz2g9no9X/view?usp=drivesdk" TargetMode="External"/><Relationship Id="rId3638" Type="http://schemas.openxmlformats.org/officeDocument/2006/relationships/hyperlink" Target="https://drive.google.com/file/d/1p7SHVx9nCRvN7TJvnC060HnHXFcq5X0Q/view?usp=drivesdk" TargetMode="External"/><Relationship Id="rId4969" Type="http://schemas.openxmlformats.org/officeDocument/2006/relationships/hyperlink" Target="https://drive.google.com/file/d/1HKII-eETuFykcgrmHJgrYnd9tCMm7Ngf/view?usp=drivesdk" TargetMode="External"/><Relationship Id="rId2307" Type="http://schemas.openxmlformats.org/officeDocument/2006/relationships/hyperlink" Target="https://drive.google.com/file/d/1elAKa0_sQULmHEkOLqGnXto5ID31Qzs8/view?usp=drivesdk" TargetMode="External"/><Relationship Id="rId3637" Type="http://schemas.openxmlformats.org/officeDocument/2006/relationships/hyperlink" Target="https://drive.google.com/file/d/1lyzT4NGFm4QfaH9gAP1D18ZTWZdE9NW3/view?usp=drivesdk" TargetMode="External"/><Relationship Id="rId4968" Type="http://schemas.openxmlformats.org/officeDocument/2006/relationships/hyperlink" Target="https://drive.google.com/file/d/1HibcGrN5zuzwb3EQf0LT3a0KJCFk9w7O/view?usp=drivesdk" TargetMode="External"/><Relationship Id="rId2308" Type="http://schemas.openxmlformats.org/officeDocument/2006/relationships/hyperlink" Target="https://drive.google.com/file/d/1WT9ocg5DpSGf9Pz6MK76-vN4mgOySKnI/view?usp=drivesdk" TargetMode="External"/><Relationship Id="rId2309" Type="http://schemas.openxmlformats.org/officeDocument/2006/relationships/hyperlink" Target="https://drive.google.com/file/d/1EnkYkCdCll3aYYo7MZXsEoKx4_u7bLYw/view?usp=drivesdk" TargetMode="External"/><Relationship Id="rId3639" Type="http://schemas.openxmlformats.org/officeDocument/2006/relationships/hyperlink" Target="https://drive.google.com/file/d/1_zNB0qE4teqB04Wdjvz0sT_bqHpIth5k/view?usp=drivesdk" TargetMode="External"/><Relationship Id="rId3630" Type="http://schemas.openxmlformats.org/officeDocument/2006/relationships/hyperlink" Target="https://drive.google.com/file/d/1ZyVAq7_jMDXjsabBHevLZUewHJfRFaUg/view?usp=drivesdk" TargetMode="External"/><Relationship Id="rId4961" Type="http://schemas.openxmlformats.org/officeDocument/2006/relationships/hyperlink" Target="https://drive.google.com/file/d/16w-W6oBTHolYBJD1Ted13QcQKWIMvfkg/view?usp=drivesdk" TargetMode="External"/><Relationship Id="rId4960" Type="http://schemas.openxmlformats.org/officeDocument/2006/relationships/hyperlink" Target="https://drive.google.com/file/d/1ccybxyPMsuG778uyMeZt33Ez7-rOO8FK/view?usp=drivesdk" TargetMode="External"/><Relationship Id="rId2300" Type="http://schemas.openxmlformats.org/officeDocument/2006/relationships/hyperlink" Target="https://drive.google.com/file/d/1FmeGLwMVg1dBv00ybsX1tDNafjjlKB-W/view?usp=drivesdk" TargetMode="External"/><Relationship Id="rId3632" Type="http://schemas.openxmlformats.org/officeDocument/2006/relationships/hyperlink" Target="https://drive.google.com/file/d/1r9BI8QJUlr8FDQQnEGoqCt0dZddesEGM/view?usp=drivesdk" TargetMode="External"/><Relationship Id="rId4963" Type="http://schemas.openxmlformats.org/officeDocument/2006/relationships/hyperlink" Target="https://drive.google.com/file/d/1uc-shQ8KEPuv3LDP7chCNDWzdiiyeB6N/view?usp=drivesdk" TargetMode="External"/><Relationship Id="rId2301" Type="http://schemas.openxmlformats.org/officeDocument/2006/relationships/hyperlink" Target="https://drive.google.com/file/d/1AUMn9TWMv1Ril5GPou_Z8tUHDctOgEKy/view?usp=drivesdk" TargetMode="External"/><Relationship Id="rId3631" Type="http://schemas.openxmlformats.org/officeDocument/2006/relationships/hyperlink" Target="https://drive.google.com/file/d/1AfTGzBFeHIvJAaDW8zRsfkc0cYJobHFg/view?usp=drivesdk" TargetMode="External"/><Relationship Id="rId4962" Type="http://schemas.openxmlformats.org/officeDocument/2006/relationships/hyperlink" Target="https://drive.google.com/file/d/1m_wBlz3O1biYFcCjLEfFhzWAZGopkSNO/view?usp=drivesdk" TargetMode="External"/><Relationship Id="rId3623" Type="http://schemas.openxmlformats.org/officeDocument/2006/relationships/hyperlink" Target="https://drive.google.com/file/d/1woszUhElS-kwglxcUMLkhyVILikvxTzY/view?usp=drivesdk" TargetMode="External"/><Relationship Id="rId4954" Type="http://schemas.openxmlformats.org/officeDocument/2006/relationships/hyperlink" Target="https://drive.google.com/file/d/1HMWnVA33-9oUrmZsB_2mbtKAfhnOutWN/view?usp=drivesdk" TargetMode="External"/><Relationship Id="rId3622" Type="http://schemas.openxmlformats.org/officeDocument/2006/relationships/hyperlink" Target="https://drive.google.com/file/d/1cqbQHFjgy2vj-SDIS3--HWarqImYCJod/view?usp=drivesdk" TargetMode="External"/><Relationship Id="rId4953" Type="http://schemas.openxmlformats.org/officeDocument/2006/relationships/hyperlink" Target="https://drive.google.com/file/d/13zweuZ-W3NX86FP_hsR8EqQ1w8nIv1VL/view?usp=drivesdk" TargetMode="External"/><Relationship Id="rId3625" Type="http://schemas.openxmlformats.org/officeDocument/2006/relationships/hyperlink" Target="https://drive.google.com/file/d/14zoYinVW1AWYezomWIrorLFwJ3EspIx0/view?usp=drivesdk" TargetMode="External"/><Relationship Id="rId4956" Type="http://schemas.openxmlformats.org/officeDocument/2006/relationships/hyperlink" Target="https://drive.google.com/file/d/171uQw_PgX3B937KOrMC-xHnAjBpugBvz/view?usp=drivesdk" TargetMode="External"/><Relationship Id="rId3624" Type="http://schemas.openxmlformats.org/officeDocument/2006/relationships/hyperlink" Target="https://drive.google.com/file/d/1hJWy1C79OuExxeFJUCoWAMSmvCQd2ao9/view?usp=drivesdk" TargetMode="External"/><Relationship Id="rId4955" Type="http://schemas.openxmlformats.org/officeDocument/2006/relationships/hyperlink" Target="https://drive.google.com/file/d/1NVmFJMsuFMtvSj0oNtW6P5SeqZBvsZ5O/view?usp=drivesdk" TargetMode="External"/><Relationship Id="rId3627" Type="http://schemas.openxmlformats.org/officeDocument/2006/relationships/hyperlink" Target="https://drive.google.com/file/d/1OiGmO9_zxbwAuWCr8-yq_XpmWfAgwfJW/view?usp=drivesdk" TargetMode="External"/><Relationship Id="rId4958" Type="http://schemas.openxmlformats.org/officeDocument/2006/relationships/hyperlink" Target="https://drive.google.com/file/d/14ARPowMTnozbAU2V_pWfZSVTPkU48hCC/view?usp=drivesdk" TargetMode="External"/><Relationship Id="rId3626" Type="http://schemas.openxmlformats.org/officeDocument/2006/relationships/hyperlink" Target="https://drive.google.com/file/d/1E7qYGKvLsoQNsgu_lWAD4iGdcDg-7436/view?usp=drivesdk" TargetMode="External"/><Relationship Id="rId4957" Type="http://schemas.openxmlformats.org/officeDocument/2006/relationships/hyperlink" Target="https://drive.google.com/file/d/11GsmOvxiLuRy31byfSE_wfSKNrTiU7xa/view?usp=drivesdk" TargetMode="External"/><Relationship Id="rId3629" Type="http://schemas.openxmlformats.org/officeDocument/2006/relationships/hyperlink" Target="https://drive.google.com/file/d/1L3rtBt7OqQY07ev0nzLirWkpe3iBm1jr/view?usp=drivesdk" TargetMode="External"/><Relationship Id="rId3628" Type="http://schemas.openxmlformats.org/officeDocument/2006/relationships/hyperlink" Target="https://drive.google.com/file/d/1F7R-dSwrRZL0kuQj5Z6fUYKctE9kpova/view?usp=drivesdk" TargetMode="External"/><Relationship Id="rId4959" Type="http://schemas.openxmlformats.org/officeDocument/2006/relationships/hyperlink" Target="https://drive.google.com/file/d/1WOFapDl7PtiFGq_dkzj0zq1x36nibFPm/view?usp=drivesdk" TargetMode="External"/><Relationship Id="rId4950" Type="http://schemas.openxmlformats.org/officeDocument/2006/relationships/hyperlink" Target="https://drive.google.com/file/d/1gmcddS-HZU0FdxMrgPbutjr7t1hl8X3W/view?usp=drivesdk" TargetMode="External"/><Relationship Id="rId3621" Type="http://schemas.openxmlformats.org/officeDocument/2006/relationships/hyperlink" Target="https://drive.google.com/file/d/12SqGrcnewkeRIQUvv1iu5tKE7QMNxnld/view?usp=drivesdk" TargetMode="External"/><Relationship Id="rId4952" Type="http://schemas.openxmlformats.org/officeDocument/2006/relationships/hyperlink" Target="https://drive.google.com/file/d/1W1CxKVLv-Z5b0jK3xogWAYuCZxK4z_IP/view?usp=drivesdk" TargetMode="External"/><Relationship Id="rId3620" Type="http://schemas.openxmlformats.org/officeDocument/2006/relationships/hyperlink" Target="https://drive.google.com/file/d/1i73o7KBcuaOrkAUBWp8FuC16YaZhRqG3/view?usp=drivesdk" TargetMode="External"/><Relationship Id="rId4951" Type="http://schemas.openxmlformats.org/officeDocument/2006/relationships/hyperlink" Target="https://drive.google.com/file/d/1BFEirZL_mnhjdZMp3UOVIIDS36_llBXB/view?usp=drivesdk" TargetMode="External"/><Relationship Id="rId2324" Type="http://schemas.openxmlformats.org/officeDocument/2006/relationships/hyperlink" Target="https://drive.google.com/file/d/15Mqcs3vo80mSkaE00akYIrpjPzK4Pe3j/view?usp=drivesdk" TargetMode="External"/><Relationship Id="rId3656" Type="http://schemas.openxmlformats.org/officeDocument/2006/relationships/hyperlink" Target="https://drive.google.com/file/d/1sVBaLXQSXOQwnRv37V7gJCaRm1aVaNis/view?usp=drivesdk" TargetMode="External"/><Relationship Id="rId4987" Type="http://schemas.openxmlformats.org/officeDocument/2006/relationships/hyperlink" Target="https://drive.google.com/file/d/1OyWRY2SeJQ7uRFznwONtt_G0YzqU79MG/view?usp=drivesdk" TargetMode="External"/><Relationship Id="rId2325" Type="http://schemas.openxmlformats.org/officeDocument/2006/relationships/hyperlink" Target="https://drive.google.com/file/d/18ITCdtsAGCvyhU1PONVU-y4eVDzYC5tz/view?usp=drivesdk" TargetMode="External"/><Relationship Id="rId3655" Type="http://schemas.openxmlformats.org/officeDocument/2006/relationships/hyperlink" Target="https://drive.google.com/file/d/1O4uN-Mfs306VVy3wJW4BoRz-2m-xzMu5/view?usp=drivesdk" TargetMode="External"/><Relationship Id="rId4986" Type="http://schemas.openxmlformats.org/officeDocument/2006/relationships/hyperlink" Target="https://drive.google.com/file/d/1_vF8exN_ZTdhsx87MuHMBEri67O4xi2z/view?usp=drivesdk" TargetMode="External"/><Relationship Id="rId2326" Type="http://schemas.openxmlformats.org/officeDocument/2006/relationships/hyperlink" Target="https://drive.google.com/file/d/1IaG4UgWTwju-PC40xqemo_Y6S2Gi7Pvy/view?usp=drivesdk" TargetMode="External"/><Relationship Id="rId3658" Type="http://schemas.openxmlformats.org/officeDocument/2006/relationships/hyperlink" Target="https://drive.google.com/file/d/1uhV9VQXqHHX2kXcQ9oOucx_IzuZt2Rt9/view?usp=drivesdk" TargetMode="External"/><Relationship Id="rId4989" Type="http://schemas.openxmlformats.org/officeDocument/2006/relationships/hyperlink" Target="https://drive.google.com/file/d/1JYS6RXRYWx-VBlun6wE0LajEEMosh3-e/view?usp=drivesdk" TargetMode="External"/><Relationship Id="rId2327" Type="http://schemas.openxmlformats.org/officeDocument/2006/relationships/hyperlink" Target="https://drive.google.com/file/d/1CNErKTW-mjTsk4NpPfryJQdGkCdPPMuJ/view?usp=drivesdk" TargetMode="External"/><Relationship Id="rId3657" Type="http://schemas.openxmlformats.org/officeDocument/2006/relationships/hyperlink" Target="https://drive.google.com/file/d/1oK9qSC4Ran5AO648uVJo9jSbVFfwnmh6/view?usp=drivesdk" TargetMode="External"/><Relationship Id="rId4988" Type="http://schemas.openxmlformats.org/officeDocument/2006/relationships/hyperlink" Target="https://drive.google.com/file/d/1Y5r3R22vEikz1ecgvPVDqPS4K3dJe0pz/view?usp=drivesdk" TargetMode="External"/><Relationship Id="rId2328" Type="http://schemas.openxmlformats.org/officeDocument/2006/relationships/hyperlink" Target="https://drive.google.com/file/d/1gRYct6npqtMQKvQjtH0dNXjFoFbj3Gl0/view?usp=drivesdk" TargetMode="External"/><Relationship Id="rId2329" Type="http://schemas.openxmlformats.org/officeDocument/2006/relationships/hyperlink" Target="https://drive.google.com/file/d/1BlSWn5uWG66JhDF6-dG9DJWoGmljZn3P/view?usp=drivesdk" TargetMode="External"/><Relationship Id="rId3659" Type="http://schemas.openxmlformats.org/officeDocument/2006/relationships/hyperlink" Target="https://drive.google.com/file/d/1VODDVsrW8CPvHGXVIlr0WG4TElpiPxCM/view?usp=drivesdk" TargetMode="External"/><Relationship Id="rId3650" Type="http://schemas.openxmlformats.org/officeDocument/2006/relationships/hyperlink" Target="https://drive.google.com/file/d/1bPTWIhskristW6FWY1UaUX4lm1hUwW_t/view?usp=drivesdk" TargetMode="External"/><Relationship Id="rId4981" Type="http://schemas.openxmlformats.org/officeDocument/2006/relationships/hyperlink" Target="https://drive.google.com/file/d/1mZvL45OB2SHp5PHcno4Gsl-xdG_pOVZk/view?usp=drivesdk" TargetMode="External"/><Relationship Id="rId4980" Type="http://schemas.openxmlformats.org/officeDocument/2006/relationships/hyperlink" Target="https://drive.google.com/file/d/1btRwonAuaH81He4xqsKZSLHtncP5pPwG/view?usp=drivesdk" TargetMode="External"/><Relationship Id="rId2320" Type="http://schemas.openxmlformats.org/officeDocument/2006/relationships/hyperlink" Target="https://drive.google.com/file/d/1ymQ7PQx_n7sYjGwuDHNit2IUHH9DEyv4/view?usp=drivesdk" TargetMode="External"/><Relationship Id="rId3652" Type="http://schemas.openxmlformats.org/officeDocument/2006/relationships/hyperlink" Target="https://drive.google.com/file/d/1pEN-h-DvM2MTZHTq8v098jPhiU1Drgc2/view?usp=drivesdk" TargetMode="External"/><Relationship Id="rId4983" Type="http://schemas.openxmlformats.org/officeDocument/2006/relationships/hyperlink" Target="https://drive.google.com/file/d/1k444MBixTlrpCunnKI4wApenjKBYu9sT/view?usp=drivesdk" TargetMode="External"/><Relationship Id="rId2321" Type="http://schemas.openxmlformats.org/officeDocument/2006/relationships/hyperlink" Target="https://drive.google.com/file/d/1cP4UgB60_YcUk5O7CWkdqQ1OWDqDIYeA/view?usp=drivesdk" TargetMode="External"/><Relationship Id="rId3651" Type="http://schemas.openxmlformats.org/officeDocument/2006/relationships/hyperlink" Target="https://drive.google.com/file/d/10t0GEYI8baqrB8SRYVnfbcyDHaYwY8n4/view?usp=drivesdk" TargetMode="External"/><Relationship Id="rId4982" Type="http://schemas.openxmlformats.org/officeDocument/2006/relationships/hyperlink" Target="https://drive.google.com/file/d/1S4IpiN5b-j2a6yk968-eL-LJLYWxGIQJ/view?usp=drivesdk" TargetMode="External"/><Relationship Id="rId2322" Type="http://schemas.openxmlformats.org/officeDocument/2006/relationships/hyperlink" Target="https://drive.google.com/file/d/1WoO5Oc70Tu7LU2kyXTsfrIw9IqZN1JSe/view?usp=drivesdk" TargetMode="External"/><Relationship Id="rId3654" Type="http://schemas.openxmlformats.org/officeDocument/2006/relationships/hyperlink" Target="https://drive.google.com/file/d/1JjVjeiCl_LXJ749Xz4o5WbVoKu0_7i80/view?usp=drivesdk" TargetMode="External"/><Relationship Id="rId4985" Type="http://schemas.openxmlformats.org/officeDocument/2006/relationships/hyperlink" Target="https://drive.google.com/file/d/1OAXB5bXphGbFGmCRo7JIvlkHe-WVA4dI/view?usp=drivesdk" TargetMode="External"/><Relationship Id="rId2323" Type="http://schemas.openxmlformats.org/officeDocument/2006/relationships/hyperlink" Target="https://drive.google.com/file/d/15Wku7XFvaBQZbiA1HadSEmmEc5wh2va_/view?usp=drivesdk" TargetMode="External"/><Relationship Id="rId3653" Type="http://schemas.openxmlformats.org/officeDocument/2006/relationships/hyperlink" Target="https://drive.google.com/file/d/1rbCduYZXox8r_0zQ-MvyaesOcrPsAsTx/view?usp=drivesdk" TargetMode="External"/><Relationship Id="rId4984" Type="http://schemas.openxmlformats.org/officeDocument/2006/relationships/hyperlink" Target="https://drive.google.com/file/d/1DsIfu3mQFhw9WQ3V88tFItUtSM38JPhz/view?usp=drivesdk" TargetMode="External"/><Relationship Id="rId2313" Type="http://schemas.openxmlformats.org/officeDocument/2006/relationships/hyperlink" Target="https://drive.google.com/file/d/1qilNcbG6bPGIImd0kZtmYvOgoqn4p-h_/view?usp=drivesdk" TargetMode="External"/><Relationship Id="rId3645" Type="http://schemas.openxmlformats.org/officeDocument/2006/relationships/hyperlink" Target="https://drive.google.com/file/d/1-Xf_Df3URzZmxLltGOAsyRht_oBzHc3b/view?usp=drivesdk" TargetMode="External"/><Relationship Id="rId4976" Type="http://schemas.openxmlformats.org/officeDocument/2006/relationships/hyperlink" Target="https://drive.google.com/file/d/1152CVsvbiIqTH3p26LnAi1hfhlWJFanf/view?usp=drivesdk" TargetMode="External"/><Relationship Id="rId2314" Type="http://schemas.openxmlformats.org/officeDocument/2006/relationships/hyperlink" Target="https://drive.google.com/file/d/1PGaHXJjAVAvJP3dtnUgXtednFkoHopwd/view?usp=drivesdk" TargetMode="External"/><Relationship Id="rId3644" Type="http://schemas.openxmlformats.org/officeDocument/2006/relationships/hyperlink" Target="https://drive.google.com/file/d/1NtyNmflyUWW7eojgRsp9m4egMZtjQ4TA/view?usp=drivesdk" TargetMode="External"/><Relationship Id="rId4975" Type="http://schemas.openxmlformats.org/officeDocument/2006/relationships/hyperlink" Target="https://drive.google.com/file/d/1fBIZyi2E4hV6GLPFVVEbVK0IfXNhtb31/view?usp=drivesdk" TargetMode="External"/><Relationship Id="rId2315" Type="http://schemas.openxmlformats.org/officeDocument/2006/relationships/hyperlink" Target="https://drive.google.com/file/d/1QL_tuM3Bm0-uZbWm0ARTflOLsBfzewtE/view?usp=drivesdk" TargetMode="External"/><Relationship Id="rId3647" Type="http://schemas.openxmlformats.org/officeDocument/2006/relationships/hyperlink" Target="https://drive.google.com/file/d/1BqSjPruExF4LQXKnzwvhNwA5gT0mGFGW/view?usp=drivesdk" TargetMode="External"/><Relationship Id="rId4978" Type="http://schemas.openxmlformats.org/officeDocument/2006/relationships/hyperlink" Target="https://drive.google.com/file/d/1FJw7FjcZySUSnmEi6303ZpanFjRJ-cyb/view?usp=drivesdk" TargetMode="External"/><Relationship Id="rId2316" Type="http://schemas.openxmlformats.org/officeDocument/2006/relationships/hyperlink" Target="https://drive.google.com/file/d/1-Cv2ezeSbEU_JnbTzsn0dnsw2UJDKjP3/view?usp=drivesdk" TargetMode="External"/><Relationship Id="rId3646" Type="http://schemas.openxmlformats.org/officeDocument/2006/relationships/hyperlink" Target="https://drive.google.com/file/d/1TE7IPsothGABwdvChB62Vi_K0ztG-6PO/view?usp=drivesdk" TargetMode="External"/><Relationship Id="rId4977" Type="http://schemas.openxmlformats.org/officeDocument/2006/relationships/hyperlink" Target="https://drive.google.com/file/d/1-pPaiXig97UJNVY-KCC8tTSaDsqHbzbW/view?usp=drivesdk" TargetMode="External"/><Relationship Id="rId2317" Type="http://schemas.openxmlformats.org/officeDocument/2006/relationships/hyperlink" Target="https://drive.google.com/file/d/1zt-1W9i-HlXb_ZBsBxSohGOm55lbXZG-/view?usp=drivesdk" TargetMode="External"/><Relationship Id="rId3649" Type="http://schemas.openxmlformats.org/officeDocument/2006/relationships/hyperlink" Target="https://drive.google.com/file/d/1uPpkCXuoh4T-VhJR-fhtpN2_vw7TgNix/view?usp=drivesdk" TargetMode="External"/><Relationship Id="rId2318" Type="http://schemas.openxmlformats.org/officeDocument/2006/relationships/hyperlink" Target="https://drive.google.com/file/d/1NjrH0M1G1aYrf0OiRAD4qLjlxMbtcSzo/view?usp=drivesdk" TargetMode="External"/><Relationship Id="rId3648" Type="http://schemas.openxmlformats.org/officeDocument/2006/relationships/hyperlink" Target="https://drive.google.com/file/d/11FOUYuEOAayTrP9EHiTxF7i48evgCQIJ/view?usp=drivesdk" TargetMode="External"/><Relationship Id="rId4979" Type="http://schemas.openxmlformats.org/officeDocument/2006/relationships/hyperlink" Target="https://drive.google.com/file/d/1lv2Q1XEGD6HPJ6Cgl4bQ2jO1oc_55scd/view?usp=drivesdk" TargetMode="External"/><Relationship Id="rId2319" Type="http://schemas.openxmlformats.org/officeDocument/2006/relationships/hyperlink" Target="https://drive.google.com/file/d/1k8gfS2BHuoLxa3RJDu3VIZ9H48W_KuYs/view?usp=drivesdk" TargetMode="External"/><Relationship Id="rId4970" Type="http://schemas.openxmlformats.org/officeDocument/2006/relationships/hyperlink" Target="https://drive.google.com/file/d/1DOMUSo4Fjw2QFSMwE028_3qE_SxbJvJE/view?usp=drivesdk" TargetMode="External"/><Relationship Id="rId3641" Type="http://schemas.openxmlformats.org/officeDocument/2006/relationships/hyperlink" Target="https://drive.google.com/file/d/1E0Ae4eH7gAOTEaQFwrY8AX-Naley1waP/view?usp=drivesdk" TargetMode="External"/><Relationship Id="rId4972" Type="http://schemas.openxmlformats.org/officeDocument/2006/relationships/hyperlink" Target="https://drive.google.com/file/d/1NUq6Pp2HdAthj908mgqRUmrKuVf_kXg1/view?usp=drivesdk" TargetMode="External"/><Relationship Id="rId2310" Type="http://schemas.openxmlformats.org/officeDocument/2006/relationships/hyperlink" Target="https://drive.google.com/file/d/1ZGtwEQRtEF1f3SA-pN8lQOeY4eh4D3aq/view?usp=drivesdk" TargetMode="External"/><Relationship Id="rId3640" Type="http://schemas.openxmlformats.org/officeDocument/2006/relationships/hyperlink" Target="https://drive.google.com/file/d/1nWTWnAWaM5qy60keBOuMBSNrPpjVqeBj/view?usp=drivesdk" TargetMode="External"/><Relationship Id="rId4971" Type="http://schemas.openxmlformats.org/officeDocument/2006/relationships/hyperlink" Target="https://drive.google.com/file/d/1ZSUXKqOfuOim37B3wfhXynuG2jafW_TY/view?usp=drivesdk" TargetMode="External"/><Relationship Id="rId2311" Type="http://schemas.openxmlformats.org/officeDocument/2006/relationships/hyperlink" Target="https://drive.google.com/file/d/1krPcuMRMugYBnm9fadHZSfEHucY0Usoy/view?usp=drivesdk" TargetMode="External"/><Relationship Id="rId3643" Type="http://schemas.openxmlformats.org/officeDocument/2006/relationships/hyperlink" Target="https://drive.google.com/file/d/1wopObae4mW-XUYJcICMleMjkJfNNFOGd/view?usp=drivesdk" TargetMode="External"/><Relationship Id="rId4974" Type="http://schemas.openxmlformats.org/officeDocument/2006/relationships/hyperlink" Target="https://drive.google.com/file/d/1NZjN7ARVm-OPEpm61WqvLUMzM-cWTtTr/view?usp=drivesdk" TargetMode="External"/><Relationship Id="rId2312" Type="http://schemas.openxmlformats.org/officeDocument/2006/relationships/hyperlink" Target="https://drive.google.com/file/d/11hKN-4BBGi4f5Ll8gt65L5hJvT83H2ZI/view?usp=drivesdk" TargetMode="External"/><Relationship Id="rId3642" Type="http://schemas.openxmlformats.org/officeDocument/2006/relationships/hyperlink" Target="https://drive.google.com/file/d/1tYGh8XMSsafeOA6dwDwDCHYZ0BwkkmPp/view?usp=drivesdk" TargetMode="External"/><Relationship Id="rId4973" Type="http://schemas.openxmlformats.org/officeDocument/2006/relationships/hyperlink" Target="https://drive.google.com/file/d/1koAljCPPS8aGJvKtTOJEZLdDob4n2U2r/view?usp=drivesdk" TargetMode="External"/><Relationship Id="rId4921" Type="http://schemas.openxmlformats.org/officeDocument/2006/relationships/hyperlink" Target="https://drive.google.com/file/d/1rVH76jk3m6zV8DxWSTdX05ubYWTnyzdA/view?usp=drivesdk" TargetMode="External"/><Relationship Id="rId4920" Type="http://schemas.openxmlformats.org/officeDocument/2006/relationships/hyperlink" Target="https://drive.google.com/file/d/1HQ2go8Dg6DE9zBx596Wuh-xg9VcNrYkJ/view?usp=drivesdk" TargetMode="External"/><Relationship Id="rId4923" Type="http://schemas.openxmlformats.org/officeDocument/2006/relationships/hyperlink" Target="https://drive.google.com/file/d/1yg_JGOXnupU7zkn0wOfalXTJSPmA8lNG/view?usp=drivesdk" TargetMode="External"/><Relationship Id="rId4922" Type="http://schemas.openxmlformats.org/officeDocument/2006/relationships/hyperlink" Target="https://drive.google.com/file/d/1BfnduRUVu_HynnQrBXaecLRfkpgOwa3W/view?usp=drivesdk" TargetMode="External"/><Relationship Id="rId4925" Type="http://schemas.openxmlformats.org/officeDocument/2006/relationships/hyperlink" Target="https://drive.google.com/file/d/15mF9HScaVhlOZpkxDl8fuaoAUx5ueiY_/view?usp=drivesdk" TargetMode="External"/><Relationship Id="rId4924" Type="http://schemas.openxmlformats.org/officeDocument/2006/relationships/hyperlink" Target="https://drive.google.com/file/d/1ErbQB44o2f1PZxTxGK2wTT2Mpx1dJ5MD/view?usp=drivesdk" TargetMode="External"/><Relationship Id="rId4927" Type="http://schemas.openxmlformats.org/officeDocument/2006/relationships/hyperlink" Target="https://drive.google.com/file/d/1502UC6JtSBN1-j7wy7kO06nK7QXrhy-I/view?usp=drivesdk" TargetMode="External"/><Relationship Id="rId4926" Type="http://schemas.openxmlformats.org/officeDocument/2006/relationships/hyperlink" Target="https://drive.google.com/file/d/1akzph_llPOixsfrAbl16DqgMwT7yBu72/view?usp=drivesdk" TargetMode="External"/><Relationship Id="rId4929" Type="http://schemas.openxmlformats.org/officeDocument/2006/relationships/hyperlink" Target="https://drive.google.com/file/d/1B2_JBlNW5tVnHirOjjdVFnuxl1_USs5W/view?usp=drivesdk" TargetMode="External"/><Relationship Id="rId4928" Type="http://schemas.openxmlformats.org/officeDocument/2006/relationships/hyperlink" Target="https://drive.google.com/file/d/1ujiF34J5ghHR_mzZkIQRp9flhPbJetV3/view?usp=drivesdk" TargetMode="External"/><Relationship Id="rId7195" Type="http://schemas.openxmlformats.org/officeDocument/2006/relationships/hyperlink" Target="https://drive.google.com/file/d/1DYUNHVzlEpfT4GLT7hyb0cf_n3xj1c4N/view?usp=drivesdk" TargetMode="External"/><Relationship Id="rId7194" Type="http://schemas.openxmlformats.org/officeDocument/2006/relationships/hyperlink" Target="https://drive.google.com/file/d/1zOwL_gs2YlVSN51jBG6WZ4muUQ5d6fdj/view?usp=drivesdk" TargetMode="External"/><Relationship Id="rId7193" Type="http://schemas.openxmlformats.org/officeDocument/2006/relationships/hyperlink" Target="https://drive.google.com/file/d/1WJHv31L87zv0PUkwlXOFDqtAS5pngZyO/view?usp=drivesdk" TargetMode="External"/><Relationship Id="rId7192" Type="http://schemas.openxmlformats.org/officeDocument/2006/relationships/hyperlink" Target="https://drive.google.com/file/d/1cS_q6X7rmL3jUjbHUFuSoJCqE-8dWn9e/view?usp=drivesdk" TargetMode="External"/><Relationship Id="rId7199" Type="http://schemas.openxmlformats.org/officeDocument/2006/relationships/hyperlink" Target="https://drive.google.com/file/d/1UTK2_oU6LlgTuWwO32lI_y8z1AAHpVeA/view?usp=drivesdk" TargetMode="External"/><Relationship Id="rId7198" Type="http://schemas.openxmlformats.org/officeDocument/2006/relationships/hyperlink" Target="https://drive.google.com/file/d/1QS0z-Xm0MeBOq6I2LAXWgAJk7Wvir_MJ/view?usp=drivesdk" TargetMode="External"/><Relationship Id="rId7197" Type="http://schemas.openxmlformats.org/officeDocument/2006/relationships/hyperlink" Target="https://drive.google.com/file/d/1MvHRqJXzUXuQYq_QahItYvjzPCZpNpHH/view?usp=drivesdk" TargetMode="External"/><Relationship Id="rId7196" Type="http://schemas.openxmlformats.org/officeDocument/2006/relationships/hyperlink" Target="https://drive.google.com/file/d/1yVqNDqIknQvt0Ho5WAURALh-4qlFU0zm/view?usp=drivesdk" TargetMode="External"/><Relationship Id="rId4910" Type="http://schemas.openxmlformats.org/officeDocument/2006/relationships/hyperlink" Target="https://drive.google.com/file/d/1-k0ZrL0tO58R6H__IyulJ3Nbh5ysNaZQ/view?usp=drivesdk" TargetMode="External"/><Relationship Id="rId4912" Type="http://schemas.openxmlformats.org/officeDocument/2006/relationships/hyperlink" Target="https://drive.google.com/file/d/1sHJrsA7_R99WlBykNHKoLM0h_NZdu4CF/view?usp=drivesdk" TargetMode="External"/><Relationship Id="rId4911" Type="http://schemas.openxmlformats.org/officeDocument/2006/relationships/hyperlink" Target="https://drive.google.com/file/d/1qOJXjxq2bg-VaX7jrkKH4a4VUcU4JJ3f/view?usp=drivesdk" TargetMode="External"/><Relationship Id="rId4914" Type="http://schemas.openxmlformats.org/officeDocument/2006/relationships/hyperlink" Target="https://drive.google.com/file/d/169ev-kFHr9jdZK4is4ZtAbOjqG3hrI9M/view?usp=drivesdk" TargetMode="External"/><Relationship Id="rId4913" Type="http://schemas.openxmlformats.org/officeDocument/2006/relationships/hyperlink" Target="https://drive.google.com/file/d/1nljreNxtTQ2ooyQ61Iy-sHs9jNovgLEv/view?usp=drivesdk" TargetMode="External"/><Relationship Id="rId4916" Type="http://schemas.openxmlformats.org/officeDocument/2006/relationships/hyperlink" Target="https://drive.google.com/file/d/1LMS28mG4NqTWjq-tIrKfILPr4vvxbk-w/view?usp=drivesdk" TargetMode="External"/><Relationship Id="rId4915" Type="http://schemas.openxmlformats.org/officeDocument/2006/relationships/hyperlink" Target="https://drive.google.com/file/d/13_jQrKwRmHbsFjm46l1l5YrhWILH5Dqx/view?usp=drivesdk" TargetMode="External"/><Relationship Id="rId4918" Type="http://schemas.openxmlformats.org/officeDocument/2006/relationships/hyperlink" Target="https://drive.google.com/file/d/1FM0JqZTpAce8aHK3MNOvK5PyaGeYHad5/view?usp=drivesdk" TargetMode="External"/><Relationship Id="rId4917" Type="http://schemas.openxmlformats.org/officeDocument/2006/relationships/hyperlink" Target="https://drive.google.com/file/d/1I6y3xkabXgqr1dhGC4QCjYiPihF5fKPC/view?usp=drivesdk" TargetMode="External"/><Relationship Id="rId4919" Type="http://schemas.openxmlformats.org/officeDocument/2006/relationships/hyperlink" Target="https://drive.google.com/file/d/1NthXxfBOOHRFP2vu2AnxiMyMsPLSsMW8/view?usp=drivesdk" TargetMode="External"/><Relationship Id="rId7191" Type="http://schemas.openxmlformats.org/officeDocument/2006/relationships/hyperlink" Target="https://drive.google.com/file/d/1_L6CBTDPpKks99XLy_TAc5-VRb285LQq/view?usp=drivesdk" TargetMode="External"/><Relationship Id="rId7190" Type="http://schemas.openxmlformats.org/officeDocument/2006/relationships/hyperlink" Target="https://drive.google.com/file/d/1CbusbmcoP7A8s-Gglv3kUFjb7cwc_JSC/view?usp=drivesdk" TargetMode="External"/><Relationship Id="rId7184" Type="http://schemas.openxmlformats.org/officeDocument/2006/relationships/hyperlink" Target="https://drive.google.com/file/d/1ApAUZRpYsBe-Qh_khhh9OdTfqF72pvYn/view?usp=drivesdk" TargetMode="External"/><Relationship Id="rId7183" Type="http://schemas.openxmlformats.org/officeDocument/2006/relationships/hyperlink" Target="https://drive.google.com/file/d/1K8Yi9yzKcztsRnVhw4ASW73nmTkNyE_N/view?usp=drivesdk" TargetMode="External"/><Relationship Id="rId7182" Type="http://schemas.openxmlformats.org/officeDocument/2006/relationships/hyperlink" Target="https://drive.google.com/file/d/18pok1J56MszptVw8Z4e_1q_n9EYMqNxd/view?usp=drivesdk" TargetMode="External"/><Relationship Id="rId7181" Type="http://schemas.openxmlformats.org/officeDocument/2006/relationships/hyperlink" Target="https://drive.google.com/file/d/1VUqoNBTjg5pNiA7IaZNNN342_9Xe5MWN/view?usp=drivesdk" TargetMode="External"/><Relationship Id="rId7188" Type="http://schemas.openxmlformats.org/officeDocument/2006/relationships/hyperlink" Target="https://drive.google.com/file/d/1n0CEicE3asLn97WgeXDbyMBJ2cs1Yfsm/view?usp=drivesdk" TargetMode="External"/><Relationship Id="rId7187" Type="http://schemas.openxmlformats.org/officeDocument/2006/relationships/hyperlink" Target="https://drive.google.com/file/d/15VpU9eAFnl_x2y9UzPFf5LrGmw-Y9kpV/view?usp=drivesdk" TargetMode="External"/><Relationship Id="rId7186" Type="http://schemas.openxmlformats.org/officeDocument/2006/relationships/hyperlink" Target="https://drive.google.com/file/d/1VbaN2FJWd6c412_xzBynGEOSOscmnaBZ/view?usp=drivesdk" TargetMode="External"/><Relationship Id="rId7185" Type="http://schemas.openxmlformats.org/officeDocument/2006/relationships/hyperlink" Target="https://drive.google.com/file/d/1iK_aEYKBfFzYToomZbzmxNjwLw4Jbt1m/view?usp=drivesdk" TargetMode="External"/><Relationship Id="rId7189" Type="http://schemas.openxmlformats.org/officeDocument/2006/relationships/hyperlink" Target="https://drive.google.com/file/d/1VbTvMkR4ZIV6KItp31U2d-pcjsiopI1i/view?usp=drivesdk" TargetMode="External"/><Relationship Id="rId3612" Type="http://schemas.openxmlformats.org/officeDocument/2006/relationships/hyperlink" Target="https://drive.google.com/file/d/160V12F_QeCM-BBHSpQuarxWxU4TaWeja/view?usp=drivesdk" TargetMode="External"/><Relationship Id="rId4943" Type="http://schemas.openxmlformats.org/officeDocument/2006/relationships/hyperlink" Target="https://drive.google.com/file/d/16dh8VSw-jCreP83nDlJ8D2TdMd5QidaB/view?usp=drivesdk" TargetMode="External"/><Relationship Id="rId3611" Type="http://schemas.openxmlformats.org/officeDocument/2006/relationships/hyperlink" Target="https://drive.google.com/file/d/1j0adDy9o8tRn4M4DUb3I-8hehf2u-ygu/view?usp=drivesdk" TargetMode="External"/><Relationship Id="rId4942" Type="http://schemas.openxmlformats.org/officeDocument/2006/relationships/hyperlink" Target="https://drive.google.com/file/d/1G_j0if4uneNUmsSVDdoOn7azkDqsIyX0/view?usp=drivesdk" TargetMode="External"/><Relationship Id="rId3614" Type="http://schemas.openxmlformats.org/officeDocument/2006/relationships/hyperlink" Target="https://drive.google.com/file/d/1EcRV58JgrOCuAEzKEQX4M880uiPo4S8i/view?usp=drivesdk" TargetMode="External"/><Relationship Id="rId4945" Type="http://schemas.openxmlformats.org/officeDocument/2006/relationships/hyperlink" Target="https://drive.google.com/file/d/1O1P7dsNvYr5jDiFZ3KIepdqSrzWJzcam/view?usp=drivesdk" TargetMode="External"/><Relationship Id="rId3613" Type="http://schemas.openxmlformats.org/officeDocument/2006/relationships/hyperlink" Target="https://drive.google.com/file/d/1o-bIr3ihqHP3BJbgv3nZq0RVp_QvW2m0/view?usp=drivesdk" TargetMode="External"/><Relationship Id="rId4944" Type="http://schemas.openxmlformats.org/officeDocument/2006/relationships/hyperlink" Target="https://drive.google.com/file/d/1v90Nn9X3vRE-yR3YzU0yBVu0_HlME1px/view?usp=drivesdk" TargetMode="External"/><Relationship Id="rId3616" Type="http://schemas.openxmlformats.org/officeDocument/2006/relationships/hyperlink" Target="https://drive.google.com/file/d/1oTGTH9biHIAjvVikAggShFkUaybQcANq/view?usp=drivesdk" TargetMode="External"/><Relationship Id="rId4947" Type="http://schemas.openxmlformats.org/officeDocument/2006/relationships/hyperlink" Target="https://drive.google.com/file/d/1dARRMshqjmz7GV-iJ0_5JYat7sLsHv08/view?usp=drivesdk" TargetMode="External"/><Relationship Id="rId3615" Type="http://schemas.openxmlformats.org/officeDocument/2006/relationships/hyperlink" Target="https://drive.google.com/file/d/1mpPIPIUiwsBkVbXOxNszwwMJCg7jk6gl/view?usp=drivesdk" TargetMode="External"/><Relationship Id="rId4946" Type="http://schemas.openxmlformats.org/officeDocument/2006/relationships/hyperlink" Target="https://drive.google.com/file/d/1py4szi4CHtTRncGTuCU25uhl6LA05Oif/view?usp=drivesdk" TargetMode="External"/><Relationship Id="rId3618" Type="http://schemas.openxmlformats.org/officeDocument/2006/relationships/hyperlink" Target="https://drive.google.com/file/d/1Y37XDzVcn_heqXiNUiLBnY9IVoChA2Qi/view?usp=drivesdk" TargetMode="External"/><Relationship Id="rId4949" Type="http://schemas.openxmlformats.org/officeDocument/2006/relationships/hyperlink" Target="https://drive.google.com/file/d/1f91u_bMgQBxJj9uZmV7oQnqXPESBVSh5/view?usp=drivesdk" TargetMode="External"/><Relationship Id="rId3617" Type="http://schemas.openxmlformats.org/officeDocument/2006/relationships/hyperlink" Target="https://drive.google.com/file/d/1oROnKed7wuFFMjVekma5HT5SP7OEpULu/view?usp=drivesdk" TargetMode="External"/><Relationship Id="rId4948" Type="http://schemas.openxmlformats.org/officeDocument/2006/relationships/hyperlink" Target="https://drive.google.com/file/d/1WItkHMDAi9Ph0Cnk7O_uja6-hTp35tjD/view?usp=drivesdk" TargetMode="External"/><Relationship Id="rId3619" Type="http://schemas.openxmlformats.org/officeDocument/2006/relationships/hyperlink" Target="https://drive.google.com/file/d/1hnWkdx18wtBAu0sFzmt49wAO5beb7aBZ/view?usp=drivesdk" TargetMode="External"/><Relationship Id="rId3610" Type="http://schemas.openxmlformats.org/officeDocument/2006/relationships/hyperlink" Target="https://drive.google.com/file/d/12Hl5X9c5PjH9pcHITbYYkv1Zk3XLLSZN/view?usp=drivesdk" TargetMode="External"/><Relationship Id="rId4941" Type="http://schemas.openxmlformats.org/officeDocument/2006/relationships/hyperlink" Target="https://drive.google.com/file/d/1YZTAN2oHQv86xZaebr5g5Kvdv_zSgALH/view?usp=drivesdk" TargetMode="External"/><Relationship Id="rId4940" Type="http://schemas.openxmlformats.org/officeDocument/2006/relationships/hyperlink" Target="https://drive.google.com/file/d/1VKW7DMJVQeT0odvbW7nUEXmf-l-8q05f/view?usp=drivesdk" TargetMode="External"/><Relationship Id="rId3601" Type="http://schemas.openxmlformats.org/officeDocument/2006/relationships/hyperlink" Target="https://drive.google.com/file/d/1k1R5sQlr9JHJmZTxnYdH4nTITsSNpZff/view?usp=drivesdk" TargetMode="External"/><Relationship Id="rId4932" Type="http://schemas.openxmlformats.org/officeDocument/2006/relationships/hyperlink" Target="https://drive.google.com/file/d/1XShJyulF2u7mC3jZPLFLKp4UIvS1PaIh/view?usp=drivesdk" TargetMode="External"/><Relationship Id="rId3600" Type="http://schemas.openxmlformats.org/officeDocument/2006/relationships/hyperlink" Target="https://drive.google.com/file/d/1DTX4geYqOpgpEr3xWvV7HdQUEAPSbXml/view?usp=drivesdk" TargetMode="External"/><Relationship Id="rId4931" Type="http://schemas.openxmlformats.org/officeDocument/2006/relationships/hyperlink" Target="https://drive.google.com/file/d/1pP0Y6nebM0BB01XQKWBHsJWToFdkaSqF/view?usp=drivesdk" TargetMode="External"/><Relationship Id="rId3603" Type="http://schemas.openxmlformats.org/officeDocument/2006/relationships/hyperlink" Target="https://drive.google.com/file/d/1XjFJPoYObKEDkoDBNMV8mUQj6Tq-WOvN/view?usp=drivesdk" TargetMode="External"/><Relationship Id="rId4934" Type="http://schemas.openxmlformats.org/officeDocument/2006/relationships/hyperlink" Target="https://drive.google.com/file/d/15rUnMblRM7RMsoMsmBQQ0kjsYR50AmrU/view?usp=drivesdk" TargetMode="External"/><Relationship Id="rId3602" Type="http://schemas.openxmlformats.org/officeDocument/2006/relationships/hyperlink" Target="https://drive.google.com/file/d/1TvE2aXI94jjlYYjGuyhtWIFszduZhwo5/view?usp=drivesdk" TargetMode="External"/><Relationship Id="rId4933" Type="http://schemas.openxmlformats.org/officeDocument/2006/relationships/hyperlink" Target="https://drive.google.com/file/d/17jdp7CAyic5HK-mNeCFsf4ZeKUarWe-w/view?usp=drivesdk" TargetMode="External"/><Relationship Id="rId3605" Type="http://schemas.openxmlformats.org/officeDocument/2006/relationships/hyperlink" Target="https://drive.google.com/file/d/1sDLvXWzRnS7aGWgC9f1fvc9Y7gOTxg19/view?usp=drivesdk" TargetMode="External"/><Relationship Id="rId4936" Type="http://schemas.openxmlformats.org/officeDocument/2006/relationships/hyperlink" Target="https://drive.google.com/file/d/1uoNV0zS-dEDKTqtl2lU2cxr-Sd-uaAeg/view?usp=drivesdk" TargetMode="External"/><Relationship Id="rId3604" Type="http://schemas.openxmlformats.org/officeDocument/2006/relationships/hyperlink" Target="https://drive.google.com/file/d/13hM0_dDExqGlhC82qpTjtZzS4uu4rc-L/view?usp=drivesdk" TargetMode="External"/><Relationship Id="rId4935" Type="http://schemas.openxmlformats.org/officeDocument/2006/relationships/hyperlink" Target="https://drive.google.com/file/d/1xb79q6q7y7SquwxiRm0DuxiQvKBL3lDX/view?usp=drivesdk" TargetMode="External"/><Relationship Id="rId3607" Type="http://schemas.openxmlformats.org/officeDocument/2006/relationships/hyperlink" Target="https://drive.google.com/file/d/1WMhrnecII9w-Hxd3eYt76GC7ABQZU6wo/view?usp=drivesdk" TargetMode="External"/><Relationship Id="rId4938" Type="http://schemas.openxmlformats.org/officeDocument/2006/relationships/hyperlink" Target="https://drive.google.com/file/d/1RSWI7Fb9AMmEv_7uzawFylSUgdKJ4UTe/view?usp=drivesdk" TargetMode="External"/><Relationship Id="rId3606" Type="http://schemas.openxmlformats.org/officeDocument/2006/relationships/hyperlink" Target="https://drive.google.com/file/d/1TAGJ-UZyCl0YW9-s2MSYyDXalUm_XAzp/view?usp=drivesdk" TargetMode="External"/><Relationship Id="rId4937" Type="http://schemas.openxmlformats.org/officeDocument/2006/relationships/hyperlink" Target="https://drive.google.com/file/d/1vGrmUjzzFAnB4XjuQcEHBm0zZL3_8Aac/view?usp=drivesdk" TargetMode="External"/><Relationship Id="rId3609" Type="http://schemas.openxmlformats.org/officeDocument/2006/relationships/hyperlink" Target="https://drive.google.com/file/d/1YK7GSWKG9uGLyedteetySku4Qlj-6gd9/view?usp=drivesdk" TargetMode="External"/><Relationship Id="rId3608" Type="http://schemas.openxmlformats.org/officeDocument/2006/relationships/hyperlink" Target="https://drive.google.com/file/d/167MEUOz20p4TTii5872rV0hx3Y3lL2He/view?usp=drivesdk" TargetMode="External"/><Relationship Id="rId4939" Type="http://schemas.openxmlformats.org/officeDocument/2006/relationships/hyperlink" Target="https://drive.google.com/file/d/12YBSzccKUoZLHt8Mub8fb1ItXGsNOGWE/view?usp=drivesdk" TargetMode="External"/><Relationship Id="rId4930" Type="http://schemas.openxmlformats.org/officeDocument/2006/relationships/hyperlink" Target="https://drive.google.com/file/d/1DXvsvJ_P7YQIE_C976aLpZlxyNi-E7ON/view?usp=drivesdk" TargetMode="External"/><Relationship Id="rId1059" Type="http://schemas.openxmlformats.org/officeDocument/2006/relationships/hyperlink" Target="https://drive.google.com/file/d/18qlykD8NA_97zwLub0kExLBRJDPTuEY_/view?usp=drivesdk" TargetMode="External"/><Relationship Id="rId2380" Type="http://schemas.openxmlformats.org/officeDocument/2006/relationships/hyperlink" Target="https://drive.google.com/file/d/170Mb4MNyh0yYgw9BRuLwUQCuzsjQAKWB/view?usp=drivesdk" TargetMode="External"/><Relationship Id="rId1050" Type="http://schemas.openxmlformats.org/officeDocument/2006/relationships/hyperlink" Target="https://drive.google.com/file/d/1FHEOrPow_ejV2JPIZragqMjyR86KFwOb/view?usp=drivesdk" TargetMode="External"/><Relationship Id="rId2381" Type="http://schemas.openxmlformats.org/officeDocument/2006/relationships/hyperlink" Target="https://drive.google.com/file/d/1UtuTdEKqDZoXMOO_BpCc4jFA9N_SN8CB/view?usp=drivesdk" TargetMode="External"/><Relationship Id="rId1051" Type="http://schemas.openxmlformats.org/officeDocument/2006/relationships/hyperlink" Target="https://drive.google.com/file/d/1_Y3Xa6hbVqPdFu9-XKN76KxC3BzkMpUD/view?usp=drivesdk" TargetMode="External"/><Relationship Id="rId2382" Type="http://schemas.openxmlformats.org/officeDocument/2006/relationships/hyperlink" Target="https://drive.google.com/file/d/1rTv_0j2gjINuj7pNyqxgsyVKHncOrQa6/view?usp=drivesdk" TargetMode="External"/><Relationship Id="rId1052" Type="http://schemas.openxmlformats.org/officeDocument/2006/relationships/hyperlink" Target="https://drive.google.com/file/d/1zufYdxDOj9FYqt0qT1uPcwyxTQuxwMHI/view?usp=drivesdk" TargetMode="External"/><Relationship Id="rId2383" Type="http://schemas.openxmlformats.org/officeDocument/2006/relationships/hyperlink" Target="https://drive.google.com/file/d/1mqfMjzahndN0Wv-4pPOg26RUEDo5JYmM/view?usp=drivesdk" TargetMode="External"/><Relationship Id="rId1053" Type="http://schemas.openxmlformats.org/officeDocument/2006/relationships/hyperlink" Target="https://drive.google.com/file/d/1cNP5ZtjzMrK6y4SJVU_YwM6m5RrbNYbL/view?usp=drivesdk" TargetMode="External"/><Relationship Id="rId2384" Type="http://schemas.openxmlformats.org/officeDocument/2006/relationships/hyperlink" Target="https://drive.google.com/file/d/1mbI4W9R6L1v2kH1VPpfDTgLztnWeK7R3/view?usp=drivesdk" TargetMode="External"/><Relationship Id="rId1054" Type="http://schemas.openxmlformats.org/officeDocument/2006/relationships/hyperlink" Target="https://drive.google.com/file/d/1cSQMGL-ZIEd5UAIvzcnLIYNShwWtYQ83/view?usp=drivesdk" TargetMode="External"/><Relationship Id="rId2385" Type="http://schemas.openxmlformats.org/officeDocument/2006/relationships/hyperlink" Target="https://drive.google.com/file/d/1Kr3Zlvezs0MUf_vttpQmAiGCtL3T5zSn/view?usp=drivesdk" TargetMode="External"/><Relationship Id="rId1055" Type="http://schemas.openxmlformats.org/officeDocument/2006/relationships/hyperlink" Target="https://drive.google.com/file/d/11eaOCEfF6-hhnWcAMODU77Q7fqxs7IHe/view?usp=drivesdk" TargetMode="External"/><Relationship Id="rId2386" Type="http://schemas.openxmlformats.org/officeDocument/2006/relationships/hyperlink" Target="https://drive.google.com/file/d/1nHK6A-a1mOTo60dHnooB_-qT8quA2z_w/view?usp=drivesdk" TargetMode="External"/><Relationship Id="rId1056" Type="http://schemas.openxmlformats.org/officeDocument/2006/relationships/hyperlink" Target="https://drive.google.com/file/d/1iMEhsqGjSzh7Uz8Rucyubv03mg9yYVBs/view?usp=drivesdk" TargetMode="External"/><Relationship Id="rId2387" Type="http://schemas.openxmlformats.org/officeDocument/2006/relationships/hyperlink" Target="https://drive.google.com/file/d/189OwSd07g8dc93l4B1g76tJ_lVSbluyr/view?usp=drivesdk" TargetMode="External"/><Relationship Id="rId1057" Type="http://schemas.openxmlformats.org/officeDocument/2006/relationships/hyperlink" Target="https://drive.google.com/file/d/1SPNp_O_iQTILPMJb0YpLx9MWVEU5HM6W/view?usp=drivesdk" TargetMode="External"/><Relationship Id="rId2388" Type="http://schemas.openxmlformats.org/officeDocument/2006/relationships/hyperlink" Target="https://drive.google.com/file/d/1W6WMVn1qI6lgj4BpjYN1kDBqQlRmQrN9/view?usp=drivesdk" TargetMode="External"/><Relationship Id="rId1058" Type="http://schemas.openxmlformats.org/officeDocument/2006/relationships/hyperlink" Target="https://drive.google.com/file/d/1ZNfvvgYJEjZntC4-PAfK41mTCdZ7E2e0/view?usp=drivesdk" TargetMode="External"/><Relationship Id="rId2389" Type="http://schemas.openxmlformats.org/officeDocument/2006/relationships/hyperlink" Target="https://drive.google.com/file/d/1Xy_NwfdwGyAU46fFKHMJZHdL3VntNUDU/view?usp=drivesdk" TargetMode="External"/><Relationship Id="rId1048" Type="http://schemas.openxmlformats.org/officeDocument/2006/relationships/hyperlink" Target="https://drive.google.com/file/d/1ar2C3NvwCVr5C5XUQSpaeBBZ4VJgCvWP/view?usp=drivesdk" TargetMode="External"/><Relationship Id="rId2379" Type="http://schemas.openxmlformats.org/officeDocument/2006/relationships/hyperlink" Target="https://drive.google.com/file/d/1ziv0aQ0wAXYNFpWfy-4GeHek7EFm1z6u/view?usp=drivesdk" TargetMode="External"/><Relationship Id="rId1049" Type="http://schemas.openxmlformats.org/officeDocument/2006/relationships/hyperlink" Target="https://drive.google.com/file/d/1h19HvRSirEaRUs0_Qx07EOYB5AP5uII6/view?usp=drivesdk" TargetMode="External"/><Relationship Id="rId2370" Type="http://schemas.openxmlformats.org/officeDocument/2006/relationships/hyperlink" Target="https://drive.google.com/file/d/1y7ccHYFlrLkctJ3JJgFzJRwhsT5k22fe/view?usp=drivesdk" TargetMode="External"/><Relationship Id="rId1040" Type="http://schemas.openxmlformats.org/officeDocument/2006/relationships/hyperlink" Target="https://drive.google.com/file/d/1mYUH33P4otJArIE0-BoHHuxJGZTPnhuk/view?usp=drivesdk" TargetMode="External"/><Relationship Id="rId2371" Type="http://schemas.openxmlformats.org/officeDocument/2006/relationships/hyperlink" Target="https://drive.google.com/file/d/1ONmROtd3Sgy1mrIVDZnCKJGkgA-DLPoW/view?usp=drivesdk" TargetMode="External"/><Relationship Id="rId1041" Type="http://schemas.openxmlformats.org/officeDocument/2006/relationships/hyperlink" Target="https://drive.google.com/file/d/1WKMdhoWT0HMh8lgj-48KGZ0KKizc78jM/view?usp=drivesdk" TargetMode="External"/><Relationship Id="rId2372" Type="http://schemas.openxmlformats.org/officeDocument/2006/relationships/hyperlink" Target="https://drive.google.com/file/d/12Vayji6eI3cyDpqh2kqorNgRuONWtllP/view?usp=drivesdk" TargetMode="External"/><Relationship Id="rId1042" Type="http://schemas.openxmlformats.org/officeDocument/2006/relationships/hyperlink" Target="https://drive.google.com/file/d/1LJ-3eU3Y7KHHYoeC90JqFXrVLNOHuBMB/view?usp=drivesdk" TargetMode="External"/><Relationship Id="rId2373" Type="http://schemas.openxmlformats.org/officeDocument/2006/relationships/hyperlink" Target="https://drive.google.com/file/d/1uXZJ07alFfhqjEwvugqTVGS3bFiT94-O/view?usp=drivesdk" TargetMode="External"/><Relationship Id="rId1043" Type="http://schemas.openxmlformats.org/officeDocument/2006/relationships/hyperlink" Target="https://drive.google.com/file/d/108W9FuFgWgSkMFkUnD00qKo1rILY6q63/view?usp=drivesdk" TargetMode="External"/><Relationship Id="rId2374" Type="http://schemas.openxmlformats.org/officeDocument/2006/relationships/hyperlink" Target="https://drive.google.com/file/d/17qzX2oh3XqyBWB5466wGFD_NE9zOuqyh/view?usp=drivesdk" TargetMode="External"/><Relationship Id="rId1044" Type="http://schemas.openxmlformats.org/officeDocument/2006/relationships/hyperlink" Target="https://drive.google.com/file/d/1KsUtUvNszjBK1wHCCSC-SoevLfpKwBsm/view?usp=drivesdk" TargetMode="External"/><Relationship Id="rId2375" Type="http://schemas.openxmlformats.org/officeDocument/2006/relationships/hyperlink" Target="https://drive.google.com/file/d/1DX86Qynu1uMm4X-wXeCTtZk_Ve5XlXhj/view?usp=drivesdk" TargetMode="External"/><Relationship Id="rId1045" Type="http://schemas.openxmlformats.org/officeDocument/2006/relationships/hyperlink" Target="https://drive.google.com/file/d/1fQA9DD-P1DZK388ady0zfxRqoV2u16PW/view?usp=drivesdk" TargetMode="External"/><Relationship Id="rId2376" Type="http://schemas.openxmlformats.org/officeDocument/2006/relationships/hyperlink" Target="https://drive.google.com/file/d/1IPbyJzmEeXckPB1w9XSzslpaQQaFVM0i/view?usp=drivesdk" TargetMode="External"/><Relationship Id="rId1046" Type="http://schemas.openxmlformats.org/officeDocument/2006/relationships/hyperlink" Target="https://drive.google.com/file/d/1IqappXzYraBTZcnlX8WAO2lR1v7sAIPJ/view?usp=drivesdk" TargetMode="External"/><Relationship Id="rId2377" Type="http://schemas.openxmlformats.org/officeDocument/2006/relationships/hyperlink" Target="https://drive.google.com/file/d/1oTI3QFLtqLjT_LI0GOB-QXosHYeXg35I/view?usp=drivesdk" TargetMode="External"/><Relationship Id="rId1047" Type="http://schemas.openxmlformats.org/officeDocument/2006/relationships/hyperlink" Target="https://drive.google.com/file/d/16DhfVvpkEIfZJTxoQ--cwmQnh-Bkd0k3/view?usp=drivesdk" TargetMode="External"/><Relationship Id="rId2378" Type="http://schemas.openxmlformats.org/officeDocument/2006/relationships/hyperlink" Target="https://drive.google.com/file/d/1oUBQnOeHVzfDCAzmhKluFGvJdAhD8mfX/view?usp=drivesdk" TargetMode="External"/><Relationship Id="rId1070" Type="http://schemas.openxmlformats.org/officeDocument/2006/relationships/hyperlink" Target="https://drive.google.com/file/d/1JCrz3NhO5ubYDaDxEYNWL9vCRAm6pGgm/view?usp=drivesdk" TargetMode="External"/><Relationship Id="rId1071" Type="http://schemas.openxmlformats.org/officeDocument/2006/relationships/hyperlink" Target="https://drive.google.com/file/d/1V3GYG2ktz2D77q6ZZbgjKu_CwKDsMn6B/view?usp=drivesdk" TargetMode="External"/><Relationship Id="rId1072" Type="http://schemas.openxmlformats.org/officeDocument/2006/relationships/hyperlink" Target="https://drive.google.com/file/d/1BWBt2pG-x_xBzmLyqwvmFl4-Lb8wczTT/view?usp=drivesdk" TargetMode="External"/><Relationship Id="rId1073" Type="http://schemas.openxmlformats.org/officeDocument/2006/relationships/hyperlink" Target="https://drive.google.com/file/d/1_Lmfvp_h88wJTGas_QgIS6z-77_khDzW/view?usp=drivesdk" TargetMode="External"/><Relationship Id="rId1074" Type="http://schemas.openxmlformats.org/officeDocument/2006/relationships/hyperlink" Target="https://drive.google.com/file/d/1Bw73eKobceARByQIF1Gq7Szum-lTdMrl/view?usp=drivesdk" TargetMode="External"/><Relationship Id="rId1075" Type="http://schemas.openxmlformats.org/officeDocument/2006/relationships/hyperlink" Target="https://drive.google.com/file/d/1Z_vDfA1JvGMCepiBVEK9Y3uMHc5Coxe0/view?usp=drivesdk" TargetMode="External"/><Relationship Id="rId1076" Type="http://schemas.openxmlformats.org/officeDocument/2006/relationships/hyperlink" Target="https://drive.google.com/file/d/18eIVLGengLeDTW7v7FU_yrV0eTlWa1l0/view?usp=drivesdk" TargetMode="External"/><Relationship Id="rId1077" Type="http://schemas.openxmlformats.org/officeDocument/2006/relationships/hyperlink" Target="https://drive.google.com/file/d/1725FmnuixgN5PpF88aIxITpWcFuHbrjJ/view?usp=drivesdk" TargetMode="External"/><Relationship Id="rId1078" Type="http://schemas.openxmlformats.org/officeDocument/2006/relationships/hyperlink" Target="https://drive.google.com/file/d/1Szki3MKj5ySd-rTtD84SbTka4AVYaieu/view?usp=drivesdk" TargetMode="External"/><Relationship Id="rId1079" Type="http://schemas.openxmlformats.org/officeDocument/2006/relationships/hyperlink" Target="https://drive.google.com/file/d/1mkB_KYF0OssOVSF63vk5v28rYMz4C_SL/view?usp=drivesdk" TargetMode="External"/><Relationship Id="rId2390" Type="http://schemas.openxmlformats.org/officeDocument/2006/relationships/hyperlink" Target="https://drive.google.com/file/d/106S_WpF99kcokeNP0K7UPSFjJRJxfgV7/view?usp=drivesdk" TargetMode="External"/><Relationship Id="rId1060" Type="http://schemas.openxmlformats.org/officeDocument/2006/relationships/hyperlink" Target="https://drive.google.com/file/d/1aGT2MMs-bJVFOAf_ulUELhMaLquqoj82/view?usp=drivesdk" TargetMode="External"/><Relationship Id="rId2391" Type="http://schemas.openxmlformats.org/officeDocument/2006/relationships/hyperlink" Target="https://drive.google.com/file/d/1uOnSDKBd-GkwV_iqJ8g4jF-hmZPURQQI/view?usp=drivesdk" TargetMode="External"/><Relationship Id="rId1061" Type="http://schemas.openxmlformats.org/officeDocument/2006/relationships/hyperlink" Target="https://drive.google.com/file/d/1j8XSkRqtGJyvLbuyH_z6bKcX_QNun34A/view?usp=drivesdk" TargetMode="External"/><Relationship Id="rId2392" Type="http://schemas.openxmlformats.org/officeDocument/2006/relationships/hyperlink" Target="https://drive.google.com/file/d/1nygIKo4UV1J_qTF7leKB11gP-E2dWr65/view?usp=drivesdk" TargetMode="External"/><Relationship Id="rId1062" Type="http://schemas.openxmlformats.org/officeDocument/2006/relationships/hyperlink" Target="https://drive.google.com/file/d/1jntkWwPjLMaRr3BpHw3R5mXc0a9oGvRH/view?usp=drivesdk" TargetMode="External"/><Relationship Id="rId2393" Type="http://schemas.openxmlformats.org/officeDocument/2006/relationships/hyperlink" Target="https://drive.google.com/file/d/1e-RwzvJOOrmIBW8hgdE4gq0OX4xiZaeq/view?usp=drivesdk" TargetMode="External"/><Relationship Id="rId1063" Type="http://schemas.openxmlformats.org/officeDocument/2006/relationships/hyperlink" Target="https://drive.google.com/file/d/1JXYO7jlJwxy6NaDzNKEzIIM1kRbMv65v/view?usp=drivesdk" TargetMode="External"/><Relationship Id="rId2394" Type="http://schemas.openxmlformats.org/officeDocument/2006/relationships/hyperlink" Target="https://drive.google.com/file/d/1vnsWgQunKPd0wukhfsfnnhXo7-XOyyrB/view?usp=drivesdk" TargetMode="External"/><Relationship Id="rId1064" Type="http://schemas.openxmlformats.org/officeDocument/2006/relationships/hyperlink" Target="https://drive.google.com/file/d/1tJSoZoRVJA6tI2HvKh-GUlPr32uTg5VJ/view?usp=drivesdk" TargetMode="External"/><Relationship Id="rId2395" Type="http://schemas.openxmlformats.org/officeDocument/2006/relationships/hyperlink" Target="https://drive.google.com/file/d/1nmNMceIeOYjuMsNYzl3dBZ7CdtMQWKjJ/view?usp=drivesdk" TargetMode="External"/><Relationship Id="rId1065" Type="http://schemas.openxmlformats.org/officeDocument/2006/relationships/hyperlink" Target="https://drive.google.com/file/d/19ZR-znWegg1HSThDEBZNrb8rsHGHOSrS/view?usp=drivesdk" TargetMode="External"/><Relationship Id="rId2396" Type="http://schemas.openxmlformats.org/officeDocument/2006/relationships/hyperlink" Target="https://drive.google.com/file/d/1iuxs5Nxqhw4TValv6rUS6t-QI8Wx9gVS/view?usp=drivesdk" TargetMode="External"/><Relationship Id="rId1066" Type="http://schemas.openxmlformats.org/officeDocument/2006/relationships/hyperlink" Target="https://drive.google.com/file/d/1W9QIk8D7IR-xBQqaJqAWgw0m1Ni72GtI/view?usp=drivesdk" TargetMode="External"/><Relationship Id="rId2397" Type="http://schemas.openxmlformats.org/officeDocument/2006/relationships/hyperlink" Target="https://drive.google.com/file/d/1EBOCmKBhY1YvgnJiNS4SX-P-FDhmFxuv/view?usp=drivesdk" TargetMode="External"/><Relationship Id="rId1067" Type="http://schemas.openxmlformats.org/officeDocument/2006/relationships/hyperlink" Target="https://drive.google.com/file/d/1rXFKAteYDYh7saMw5ePU66sCFowHq8Td/view?usp=drivesdk" TargetMode="External"/><Relationship Id="rId2398" Type="http://schemas.openxmlformats.org/officeDocument/2006/relationships/hyperlink" Target="https://drive.google.com/file/d/1-CBqizoXxyhg0_f5XNA_BdKyPV1PpmEW/view?usp=drivesdk" TargetMode="External"/><Relationship Id="rId1068" Type="http://schemas.openxmlformats.org/officeDocument/2006/relationships/hyperlink" Target="https://drive.google.com/file/d/1VgKTUcpguL1qKMt-lxuK450YC4YIdiQH/view?usp=drivesdk" TargetMode="External"/><Relationship Id="rId2399" Type="http://schemas.openxmlformats.org/officeDocument/2006/relationships/hyperlink" Target="https://drive.google.com/file/d/1lYF-d1-7N_eFJSSn46DhkfYqeWekIo7-/view?usp=drivesdk" TargetMode="External"/><Relationship Id="rId1069" Type="http://schemas.openxmlformats.org/officeDocument/2006/relationships/hyperlink" Target="https://drive.google.com/file/d/14V65Wnqiddr0Xc9BF0dYmL3Qr_3kUTrn/view?usp=drivesdk" TargetMode="External"/><Relationship Id="rId1015" Type="http://schemas.openxmlformats.org/officeDocument/2006/relationships/hyperlink" Target="https://drive.google.com/file/d/1ZVYjNmyA0nhe-AOQgXz9i893htR1iW7O/view?usp=drivesdk" TargetMode="External"/><Relationship Id="rId2346" Type="http://schemas.openxmlformats.org/officeDocument/2006/relationships/hyperlink" Target="https://drive.google.com/file/d/1xJ3w8CugCA_sgzGc1QMSRueapSEMRIrl/view?usp=drivesdk" TargetMode="External"/><Relationship Id="rId3678" Type="http://schemas.openxmlformats.org/officeDocument/2006/relationships/hyperlink" Target="https://drive.google.com/file/d/1Z8ttjALKfJmbnW5ShuEuOm3IaP4XphJG/view?usp=drivesdk" TargetMode="External"/><Relationship Id="rId1016" Type="http://schemas.openxmlformats.org/officeDocument/2006/relationships/hyperlink" Target="https://drive.google.com/file/d/1cAGjtPto3BQQyxzqyo_BoA8rAZkDcDWT/view?usp=drivesdk" TargetMode="External"/><Relationship Id="rId2347" Type="http://schemas.openxmlformats.org/officeDocument/2006/relationships/hyperlink" Target="https://drive.google.com/file/d/1QmSVNm5Q0YZaG3UuLeIoo7mc-3VNenDD/view?usp=drivesdk" TargetMode="External"/><Relationship Id="rId3677" Type="http://schemas.openxmlformats.org/officeDocument/2006/relationships/hyperlink" Target="https://drive.google.com/file/d/1Vfd9Ln5_p9dm5CCPqihuuLNjeiyuhUJX/view?usp=drivesdk" TargetMode="External"/><Relationship Id="rId1017" Type="http://schemas.openxmlformats.org/officeDocument/2006/relationships/hyperlink" Target="https://drive.google.com/file/d/1eLLOeVh5FEst98g_oQ1IjJwIazuqxMiW/view?usp=drivesdk" TargetMode="External"/><Relationship Id="rId2348" Type="http://schemas.openxmlformats.org/officeDocument/2006/relationships/hyperlink" Target="https://drive.google.com/file/d/1wT8ozMDYK4TW_ANaLifM6gxYNOzUAajY/view?usp=drivesdk" TargetMode="External"/><Relationship Id="rId1018" Type="http://schemas.openxmlformats.org/officeDocument/2006/relationships/hyperlink" Target="https://drive.google.com/file/d/1lycFYYWCVJS98byj8XvZ8XcGw0gbw2z1/view?usp=drivesdk" TargetMode="External"/><Relationship Id="rId2349" Type="http://schemas.openxmlformats.org/officeDocument/2006/relationships/hyperlink" Target="https://drive.google.com/file/d/1iAwTvi38vKJFx-oUhqL9K92hGa7LDs_Z/view?usp=drivesdk" TargetMode="External"/><Relationship Id="rId3679" Type="http://schemas.openxmlformats.org/officeDocument/2006/relationships/hyperlink" Target="https://drive.google.com/file/d/1uMoeMvfa2CsFtA3YxO82qgfdAOJqeWDT/view?usp=drivesdk" TargetMode="External"/><Relationship Id="rId1019" Type="http://schemas.openxmlformats.org/officeDocument/2006/relationships/hyperlink" Target="https://drive.google.com/file/d/13UWwDwXeCJk99607e9cAeSclNghP07qE/view?usp=drivesdk" TargetMode="External"/><Relationship Id="rId3670" Type="http://schemas.openxmlformats.org/officeDocument/2006/relationships/hyperlink" Target="https://drive.google.com/file/d/1Jjj1B99mD90QhOGulZcOW2VpdJynxguU/view?usp=drivesdk" TargetMode="External"/><Relationship Id="rId2340" Type="http://schemas.openxmlformats.org/officeDocument/2006/relationships/hyperlink" Target="https://drive.google.com/file/d/1DWXmqacNXqci7EXvA7eZdw8cTOAj2vA8/view?usp=drivesdk" TargetMode="External"/><Relationship Id="rId3672" Type="http://schemas.openxmlformats.org/officeDocument/2006/relationships/hyperlink" Target="https://drive.google.com/file/d/1yGYszsYOjm8MtTzTFQqW_C2k7tq1E9Ge/view?usp=drivesdk" TargetMode="External"/><Relationship Id="rId1010" Type="http://schemas.openxmlformats.org/officeDocument/2006/relationships/hyperlink" Target="https://drive.google.com/file/d/14tDKvrZYS9Ab_zmPSU61FeftomFEGLOe/view?usp=drivesdk" TargetMode="External"/><Relationship Id="rId2341" Type="http://schemas.openxmlformats.org/officeDocument/2006/relationships/hyperlink" Target="https://drive.google.com/file/d/1plPByKVUPTdMco0MdLSur00vEREYZG0x/view?usp=drivesdk" TargetMode="External"/><Relationship Id="rId3671" Type="http://schemas.openxmlformats.org/officeDocument/2006/relationships/hyperlink" Target="https://drive.google.com/file/d/1kxJjqAL12BgVsi133xKQxD4ydymRA-OM/view?usp=drivesdk" TargetMode="External"/><Relationship Id="rId1011" Type="http://schemas.openxmlformats.org/officeDocument/2006/relationships/hyperlink" Target="https://drive.google.com/file/d/133SFJzh2A3YVMlmHKyKrSOvhTkGm9Q6O/view?usp=drivesdk" TargetMode="External"/><Relationship Id="rId2342" Type="http://schemas.openxmlformats.org/officeDocument/2006/relationships/hyperlink" Target="https://drive.google.com/file/d/1tnmBGMbarPMnRPPpxwLsZedlwIQxM2UC/view?usp=drivesdk" TargetMode="External"/><Relationship Id="rId3674" Type="http://schemas.openxmlformats.org/officeDocument/2006/relationships/hyperlink" Target="https://drive.google.com/file/d/1R79dm6NVlOIC1w1Gu5-5JE6-QVcpPMBB/view?usp=drivesdk" TargetMode="External"/><Relationship Id="rId1012" Type="http://schemas.openxmlformats.org/officeDocument/2006/relationships/hyperlink" Target="https://drive.google.com/file/d/1iE6o0B_KO241mLM2huZemDXriJU0pkh5/view?usp=drivesdk" TargetMode="External"/><Relationship Id="rId2343" Type="http://schemas.openxmlformats.org/officeDocument/2006/relationships/hyperlink" Target="https://drive.google.com/file/d/1ZBgKmjwjE5fzK7U0KBkb0w4Xsekda40I/view?usp=drivesdk" TargetMode="External"/><Relationship Id="rId3673" Type="http://schemas.openxmlformats.org/officeDocument/2006/relationships/hyperlink" Target="https://drive.google.com/file/d/1uw0YbuXmw7cFrjulhdymh5167LwsOAwR/view?usp=drivesdk" TargetMode="External"/><Relationship Id="rId1013" Type="http://schemas.openxmlformats.org/officeDocument/2006/relationships/hyperlink" Target="https://drive.google.com/file/d/1mCT-TbSIMROfMDYasQwcigrBq7kkFy59/view?usp=drivesdk" TargetMode="External"/><Relationship Id="rId2344" Type="http://schemas.openxmlformats.org/officeDocument/2006/relationships/hyperlink" Target="https://drive.google.com/file/d/1Ef_3WtPCfiKnvbgaXQ2y_q9w6lkMsWej/view?usp=drivesdk" TargetMode="External"/><Relationship Id="rId3676" Type="http://schemas.openxmlformats.org/officeDocument/2006/relationships/hyperlink" Target="https://drive.google.com/file/d/1FbGbXg8kXZ2db4vHRmXkNw__WE5gMfFv/view?usp=drivesdk" TargetMode="External"/><Relationship Id="rId1014" Type="http://schemas.openxmlformats.org/officeDocument/2006/relationships/hyperlink" Target="https://drive.google.com/file/d/1gLfEdW_oPt_B4GGhf_z4Kt4vsN4pz5T8/view?usp=drivesdk" TargetMode="External"/><Relationship Id="rId2345" Type="http://schemas.openxmlformats.org/officeDocument/2006/relationships/hyperlink" Target="https://drive.google.com/file/d/1CoCmTSqpeWmIj6ZSwj_JByT6YYuuHBdx/view?usp=drivesdk" TargetMode="External"/><Relationship Id="rId3675" Type="http://schemas.openxmlformats.org/officeDocument/2006/relationships/hyperlink" Target="https://drive.google.com/file/d/1fpE9mVfOjMSHEceSdQMxTFMZATtXMFL4/view?usp=drivesdk" TargetMode="External"/><Relationship Id="rId1004" Type="http://schemas.openxmlformats.org/officeDocument/2006/relationships/hyperlink" Target="https://drive.google.com/file/d/1r6Jq7wwb7ArJU4cipr7TEq24OXdpACCK/view?usp=drivesdk" TargetMode="External"/><Relationship Id="rId2335" Type="http://schemas.openxmlformats.org/officeDocument/2006/relationships/hyperlink" Target="https://drive.google.com/file/d/1G4JPTAxnDLDqD0XxWZVAM1rrGvV4x38W/view?usp=drivesdk" TargetMode="External"/><Relationship Id="rId3667" Type="http://schemas.openxmlformats.org/officeDocument/2006/relationships/hyperlink" Target="https://drive.google.com/file/d/1jP1fhciasENrrQsS2ZRrkuTus5GYZlJQ/view?usp=drivesdk" TargetMode="External"/><Relationship Id="rId4998" Type="http://schemas.openxmlformats.org/officeDocument/2006/relationships/hyperlink" Target="https://drive.google.com/file/d/1gQk8vtT_DQyruJVN6jmgpQT1mmx9um8M/view?usp=drivesdk" TargetMode="External"/><Relationship Id="rId1005" Type="http://schemas.openxmlformats.org/officeDocument/2006/relationships/hyperlink" Target="https://drive.google.com/file/d/1cyDs2-bgHJdqavGATCTItPPN-kB5L3e8/view?usp=drivesdk" TargetMode="External"/><Relationship Id="rId2336" Type="http://schemas.openxmlformats.org/officeDocument/2006/relationships/hyperlink" Target="https://drive.google.com/file/d/1Opys_3P7XmDzog73b2Pl5IIpngQV2wpg/view?usp=drivesdk" TargetMode="External"/><Relationship Id="rId3666" Type="http://schemas.openxmlformats.org/officeDocument/2006/relationships/hyperlink" Target="https://drive.google.com/file/d/1pEDCkZfpj49i_Fl-fPhjNFiZyP3R5NQX/view?usp=drivesdk" TargetMode="External"/><Relationship Id="rId4997" Type="http://schemas.openxmlformats.org/officeDocument/2006/relationships/hyperlink" Target="https://drive.google.com/file/d/1kWTkm3mXfaXrJOlXXtqggYa_nioSKYbf/view?usp=drivesdk" TargetMode="External"/><Relationship Id="rId1006" Type="http://schemas.openxmlformats.org/officeDocument/2006/relationships/hyperlink" Target="https://drive.google.com/file/d/1GuoI1gxs_R69ZX-g3FkDEXWUoPOv32UR/view?usp=drivesdk" TargetMode="External"/><Relationship Id="rId2337" Type="http://schemas.openxmlformats.org/officeDocument/2006/relationships/hyperlink" Target="https://drive.google.com/file/d/1710BI8Yz-oO2RQfn8FBR0DytizmA4Imy/view?usp=drivesdk" TargetMode="External"/><Relationship Id="rId3669" Type="http://schemas.openxmlformats.org/officeDocument/2006/relationships/hyperlink" Target="https://drive.google.com/file/d/1to7Em0i-E8pwB_WjkYIx27FBvCjqWXyp/view?usp=drivesdk" TargetMode="External"/><Relationship Id="rId1007" Type="http://schemas.openxmlformats.org/officeDocument/2006/relationships/hyperlink" Target="https://drive.google.com/file/d/1z0jtncYgNa9SHeratMzi6D_iLiopo7An/view?usp=drivesdk" TargetMode="External"/><Relationship Id="rId2338" Type="http://schemas.openxmlformats.org/officeDocument/2006/relationships/hyperlink" Target="https://drive.google.com/file/d/19GLf4Oh-lUFz0-TbXxJ2E8tMe30V6zVj/view?usp=drivesdk" TargetMode="External"/><Relationship Id="rId3668" Type="http://schemas.openxmlformats.org/officeDocument/2006/relationships/hyperlink" Target="https://drive.google.com/file/d/1n-S8XHGPbXuImlCHhZ9EIlusiIUppoWZ/view?usp=drivesdk" TargetMode="External"/><Relationship Id="rId4999" Type="http://schemas.openxmlformats.org/officeDocument/2006/relationships/hyperlink" Target="https://drive.google.com/file/d/1MKIc_Fd1yUmtR-ZUaPMZV3I4ZVvfPq_y/view?usp=drivesdk" TargetMode="External"/><Relationship Id="rId1008" Type="http://schemas.openxmlformats.org/officeDocument/2006/relationships/hyperlink" Target="https://drive.google.com/file/d/1EpEcrTnCWhEdSUTgkAr3Tyc5FGlmFZ-I/view?usp=drivesdk" TargetMode="External"/><Relationship Id="rId2339" Type="http://schemas.openxmlformats.org/officeDocument/2006/relationships/hyperlink" Target="https://drive.google.com/file/d/1temEr35K7PvmOwOqsvxEG9JPZjIdu-W-/view?usp=drivesdk" TargetMode="External"/><Relationship Id="rId1009" Type="http://schemas.openxmlformats.org/officeDocument/2006/relationships/hyperlink" Target="https://drive.google.com/file/d/1MxXhtF5DnpKV9mePMlvE3ICzVaLZtv-S/view?usp=drivesdk" TargetMode="External"/><Relationship Id="rId4990" Type="http://schemas.openxmlformats.org/officeDocument/2006/relationships/hyperlink" Target="https://drive.google.com/file/d/1K_S75n5vuWFTDNyB8i7jR3RuxFrhGDyk/view?usp=drivesdk" TargetMode="External"/><Relationship Id="rId3661" Type="http://schemas.openxmlformats.org/officeDocument/2006/relationships/hyperlink" Target="https://drive.google.com/file/d/1ENRiGfZgZ7kL6ekZVOkaYeosaAxhTQYC/view?usp=drivesdk" TargetMode="External"/><Relationship Id="rId4992" Type="http://schemas.openxmlformats.org/officeDocument/2006/relationships/hyperlink" Target="https://drive.google.com/file/d/19yTHunJ_v7IsF-6Vpo_o0dtub4DdksWP/view?usp=drivesdk" TargetMode="External"/><Relationship Id="rId2330" Type="http://schemas.openxmlformats.org/officeDocument/2006/relationships/hyperlink" Target="https://drive.google.com/file/d/1CC_3Emd5zz1fTlR6kyQ1N5BrNqrZtVjH/view?usp=drivesdk" TargetMode="External"/><Relationship Id="rId3660" Type="http://schemas.openxmlformats.org/officeDocument/2006/relationships/hyperlink" Target="https://drive.google.com/file/d/1HCWBWkwkvpgCsrnPdIQfOnELhpJYFBoP/view?usp=drivesdk" TargetMode="External"/><Relationship Id="rId4991" Type="http://schemas.openxmlformats.org/officeDocument/2006/relationships/hyperlink" Target="https://drive.google.com/file/d/18Mt46H0w69jLI0wuxXiSOGGDVrfOpIYo/view?usp=drivesdk" TargetMode="External"/><Relationship Id="rId1000" Type="http://schemas.openxmlformats.org/officeDocument/2006/relationships/hyperlink" Target="https://drive.google.com/file/d/1K0rrpT1cURWK8_qRzDBPhj2erpDvDI89/view?usp=drivesdk" TargetMode="External"/><Relationship Id="rId2331" Type="http://schemas.openxmlformats.org/officeDocument/2006/relationships/hyperlink" Target="https://drive.google.com/file/d/1l8CaQ4h3vtU3KlmHkOITzeEW3QOg7off/view?usp=drivesdk" TargetMode="External"/><Relationship Id="rId3663" Type="http://schemas.openxmlformats.org/officeDocument/2006/relationships/hyperlink" Target="https://drive.google.com/file/d/1rxE0hEDMBMGk-fzdCbHuMHfYhH2Q5Ak4/view?usp=drivesdk" TargetMode="External"/><Relationship Id="rId4994" Type="http://schemas.openxmlformats.org/officeDocument/2006/relationships/hyperlink" Target="https://drive.google.com/file/d/1DxFC7YsGdPgske5dD2DQi39oCDDyL988/view?usp=drivesdk" TargetMode="External"/><Relationship Id="rId1001" Type="http://schemas.openxmlformats.org/officeDocument/2006/relationships/hyperlink" Target="https://drive.google.com/file/d/15Fhui2zZ08W_qw5bq5BfffukK1nKEiQv/view?usp=drivesdk" TargetMode="External"/><Relationship Id="rId2332" Type="http://schemas.openxmlformats.org/officeDocument/2006/relationships/hyperlink" Target="https://drive.google.com/file/d/1Jsp4pJNB56P-mpGyQk6wcP0AiStKsFpL/view?usp=drivesdk" TargetMode="External"/><Relationship Id="rId3662" Type="http://schemas.openxmlformats.org/officeDocument/2006/relationships/hyperlink" Target="https://drive.google.com/file/d/1jqco_myzXSllkL6DyuV-iF4M7oIu3tj2/view?usp=drivesdk" TargetMode="External"/><Relationship Id="rId4993" Type="http://schemas.openxmlformats.org/officeDocument/2006/relationships/hyperlink" Target="https://drive.google.com/file/d/1BZ-yXyYcYtkob3PU9lbV8BahNd37xFzA/view?usp=drivesdk" TargetMode="External"/><Relationship Id="rId1002" Type="http://schemas.openxmlformats.org/officeDocument/2006/relationships/hyperlink" Target="https://drive.google.com/file/d/1OgjxyY7Xbg3eQM0KN9wbPKRFUB0KOtzj/view?usp=drivesdk" TargetMode="External"/><Relationship Id="rId2333" Type="http://schemas.openxmlformats.org/officeDocument/2006/relationships/hyperlink" Target="https://drive.google.com/file/d/1t8k1nLr76fPFuSPqkm8rOVBzUztqIXEr/view?usp=drivesdk" TargetMode="External"/><Relationship Id="rId3665" Type="http://schemas.openxmlformats.org/officeDocument/2006/relationships/hyperlink" Target="https://drive.google.com/file/d/1eOZFiBcgQhnrcDge2B73FMtAFDsnGtrJ/view?usp=drivesdk" TargetMode="External"/><Relationship Id="rId4996" Type="http://schemas.openxmlformats.org/officeDocument/2006/relationships/hyperlink" Target="https://drive.google.com/file/d/1bnpte7tJr-fgj86q9Mn5Gm_Qqw3Gu4oD/view?usp=drivesdk" TargetMode="External"/><Relationship Id="rId1003" Type="http://schemas.openxmlformats.org/officeDocument/2006/relationships/hyperlink" Target="https://drive.google.com/file/d/1r-IcyZSybnnvwJGYzabtmCwu8Jv3A70x/view?usp=drivesdk" TargetMode="External"/><Relationship Id="rId2334" Type="http://schemas.openxmlformats.org/officeDocument/2006/relationships/hyperlink" Target="https://drive.google.com/file/d/1lDVns8cmrdMef6sXiOKc9RWJwn9pg_Z-/view?usp=drivesdk" TargetMode="External"/><Relationship Id="rId3664" Type="http://schemas.openxmlformats.org/officeDocument/2006/relationships/hyperlink" Target="https://drive.google.com/file/d/1PJb5eKBiSYIlKiDFcYJFHLWb238Kh8ca/view?usp=drivesdk" TargetMode="External"/><Relationship Id="rId4995" Type="http://schemas.openxmlformats.org/officeDocument/2006/relationships/hyperlink" Target="https://drive.google.com/file/d/15IvwOscSbJIF5BovjH-dBe0M5ZCZotBB/view?usp=drivesdk" TargetMode="External"/><Relationship Id="rId1037" Type="http://schemas.openxmlformats.org/officeDocument/2006/relationships/hyperlink" Target="https://drive.google.com/file/d/1HDILSsRE2sZHiqzfmIzuACWSkZ5tVlJn/view?usp=drivesdk" TargetMode="External"/><Relationship Id="rId2368" Type="http://schemas.openxmlformats.org/officeDocument/2006/relationships/hyperlink" Target="https://drive.google.com/file/d/19lsRYGH9Syvsv9oAOnTbSyWm4t_9yoZi/view?usp=drivesdk" TargetMode="External"/><Relationship Id="rId1038" Type="http://schemas.openxmlformats.org/officeDocument/2006/relationships/hyperlink" Target="https://drive.google.com/file/d/1o0x5KRkzmXGGNXP9H1qRF48EAUrhbysB/view?usp=drivesdk" TargetMode="External"/><Relationship Id="rId2369" Type="http://schemas.openxmlformats.org/officeDocument/2006/relationships/hyperlink" Target="https://drive.google.com/file/d/1LVJ0DffwllcBINf2Jm1ujcxBRw4E7yKS/view?usp=drivesdk" TargetMode="External"/><Relationship Id="rId3699" Type="http://schemas.openxmlformats.org/officeDocument/2006/relationships/hyperlink" Target="https://drive.google.com/file/d/1BAxMhuIfBGTClwk4LsUhpb2LiV282fCg/view?usp=drivesdk" TargetMode="External"/><Relationship Id="rId1039" Type="http://schemas.openxmlformats.org/officeDocument/2006/relationships/hyperlink" Target="https://drive.google.com/file/d/1Uh763kFuUPOwgpsoE2Qknjamej4pvtuA/view?usp=drivesdk" TargetMode="External"/><Relationship Id="rId3690" Type="http://schemas.openxmlformats.org/officeDocument/2006/relationships/hyperlink" Target="https://drive.google.com/file/d/11FB61Nqt3kSjoh7rk3oVOzeU8AxbadjH/view?usp=drivesdk" TargetMode="External"/><Relationship Id="rId2360" Type="http://schemas.openxmlformats.org/officeDocument/2006/relationships/hyperlink" Target="https://drive.google.com/file/d/1GNlG0Hkz871Av4hzPmc4HYKyKnDTfKrK/view?usp=drivesdk" TargetMode="External"/><Relationship Id="rId3692" Type="http://schemas.openxmlformats.org/officeDocument/2006/relationships/hyperlink" Target="https://drive.google.com/file/d/1xiYrO3sX6kjSKg5P22tZHw4czd9c_6BQ/view?usp=drivesdk" TargetMode="External"/><Relationship Id="rId1030" Type="http://schemas.openxmlformats.org/officeDocument/2006/relationships/hyperlink" Target="https://drive.google.com/file/d/1OrkhGF1xnPik-KH-kEM42HevkEXusCh7/view?usp=drivesdk" TargetMode="External"/><Relationship Id="rId2361" Type="http://schemas.openxmlformats.org/officeDocument/2006/relationships/hyperlink" Target="https://drive.google.com/file/d/1X5pueJLpHi6EzcJpgQpHxiAmfA1QQQ1j/view?usp=drivesdk" TargetMode="External"/><Relationship Id="rId3691" Type="http://schemas.openxmlformats.org/officeDocument/2006/relationships/hyperlink" Target="https://drive.google.com/file/d/1DKUA5-otzZFGArDS2L0Gs7DOOUo63A-4/view?usp=drivesdk" TargetMode="External"/><Relationship Id="rId1031" Type="http://schemas.openxmlformats.org/officeDocument/2006/relationships/hyperlink" Target="https://drive.google.com/file/d/1cVPerZvLVBo0VqpBvRGeDkZGMdmOxrkO/view?usp=drivesdk" TargetMode="External"/><Relationship Id="rId2362" Type="http://schemas.openxmlformats.org/officeDocument/2006/relationships/hyperlink" Target="https://drive.google.com/file/d/1gh726wJpnr9eMfwcSYWkCTw4vf-54LWK/view?usp=drivesdk" TargetMode="External"/><Relationship Id="rId3694" Type="http://schemas.openxmlformats.org/officeDocument/2006/relationships/hyperlink" Target="https://drive.google.com/file/d/1LAEnaVD7Y9etDhRTfVgZpIbbr0HYbBMt/view?usp=drivesdk" TargetMode="External"/><Relationship Id="rId1032" Type="http://schemas.openxmlformats.org/officeDocument/2006/relationships/hyperlink" Target="https://drive.google.com/file/d/14t5KOYjPdoN3aluLM8-JNbJlTDsRZrYx/view?usp=drivesdk" TargetMode="External"/><Relationship Id="rId2363" Type="http://schemas.openxmlformats.org/officeDocument/2006/relationships/hyperlink" Target="https://drive.google.com/file/d/1YiBJL84yLH60UpoJcjlMNn6_snv8Z_eX/view?usp=drivesdk" TargetMode="External"/><Relationship Id="rId3693" Type="http://schemas.openxmlformats.org/officeDocument/2006/relationships/hyperlink" Target="https://drive.google.com/file/d/1C_DMI1q8G4KYGO7v7_9crKdxAGbMj_0G/view?usp=drivesdk" TargetMode="External"/><Relationship Id="rId1033" Type="http://schemas.openxmlformats.org/officeDocument/2006/relationships/hyperlink" Target="https://drive.google.com/file/d/1a3_PclQQZZ9yCJIqU7tOMwdfLtAIQlrX/view?usp=drivesdk" TargetMode="External"/><Relationship Id="rId2364" Type="http://schemas.openxmlformats.org/officeDocument/2006/relationships/hyperlink" Target="https://drive.google.com/file/d/1ifWY44uu4_KUkJTeXRYlHkZVfqPTC2kC/view?usp=drivesdk" TargetMode="External"/><Relationship Id="rId3696" Type="http://schemas.openxmlformats.org/officeDocument/2006/relationships/hyperlink" Target="https://drive.google.com/file/d/1gJVItrc8dl_9gFaj1vAKXA7JCmUwYBQ8/view?usp=drivesdk" TargetMode="External"/><Relationship Id="rId1034" Type="http://schemas.openxmlformats.org/officeDocument/2006/relationships/hyperlink" Target="https://drive.google.com/file/d/1KPbl5Iw1Q5io3vHbmTdKArEv_ZTw22i9/view?usp=drivesdk" TargetMode="External"/><Relationship Id="rId2365" Type="http://schemas.openxmlformats.org/officeDocument/2006/relationships/hyperlink" Target="https://drive.google.com/file/d/1l_gJvELfa3MpE3q6pdXXJ3gjJweSww0k/view?usp=drivesdk" TargetMode="External"/><Relationship Id="rId3695" Type="http://schemas.openxmlformats.org/officeDocument/2006/relationships/hyperlink" Target="https://drive.google.com/file/d/1yk7ti4GO0Rfp_BEFtH2bkzubGfNtpcZF/view?usp=drivesdk" TargetMode="External"/><Relationship Id="rId1035" Type="http://schemas.openxmlformats.org/officeDocument/2006/relationships/hyperlink" Target="https://drive.google.com/file/d/1fUJk7QjGge9ElB-EIItpG9ZEXCjwOLsQ/view?usp=drivesdk" TargetMode="External"/><Relationship Id="rId2366" Type="http://schemas.openxmlformats.org/officeDocument/2006/relationships/hyperlink" Target="https://drive.google.com/file/d/17OYBBIGYDx-6pRSyuN8Y1xv53NavofPv/view?usp=drivesdk" TargetMode="External"/><Relationship Id="rId3698" Type="http://schemas.openxmlformats.org/officeDocument/2006/relationships/hyperlink" Target="https://drive.google.com/file/d/137Erb_VpMDH3f1qgoVvjjElafPtKyVed/view?usp=drivesdk" TargetMode="External"/><Relationship Id="rId1036" Type="http://schemas.openxmlformats.org/officeDocument/2006/relationships/hyperlink" Target="https://drive.google.com/file/d/17tmuMaxzvar--PnhWoCJ4llUWAtOUGRR/view?usp=drivesdk" TargetMode="External"/><Relationship Id="rId2367" Type="http://schemas.openxmlformats.org/officeDocument/2006/relationships/hyperlink" Target="https://drive.google.com/file/d/14Z0pGuFoMA1NEdv1yCcldxpZErEQiaYF/view?usp=drivesdk" TargetMode="External"/><Relationship Id="rId3697" Type="http://schemas.openxmlformats.org/officeDocument/2006/relationships/hyperlink" Target="https://drive.google.com/file/d/1TKEN0G-x0_6aLR8JR7uElGwhGwtRVdpU/view?usp=drivesdk" TargetMode="External"/><Relationship Id="rId1026" Type="http://schemas.openxmlformats.org/officeDocument/2006/relationships/hyperlink" Target="https://drive.google.com/file/d/1rBha1WjhVA2fmmw36oz1sCSzdisyL5UD/view?usp=drivesdk" TargetMode="External"/><Relationship Id="rId2357" Type="http://schemas.openxmlformats.org/officeDocument/2006/relationships/hyperlink" Target="https://drive.google.com/file/d/1tktaiYktswtpBS8Rk1e73_5qU46OLj6k/view?usp=drivesdk" TargetMode="External"/><Relationship Id="rId3689" Type="http://schemas.openxmlformats.org/officeDocument/2006/relationships/hyperlink" Target="https://drive.google.com/file/d/1suQfLXpPV4JFHZ1dlvbkc2tKxV7w2g1b/view?usp=drivesdk" TargetMode="External"/><Relationship Id="rId1027" Type="http://schemas.openxmlformats.org/officeDocument/2006/relationships/hyperlink" Target="https://drive.google.com/file/d/1IQoM3z8x5RIVb08Q9-bpEoso2UgDaIuC/view?usp=drivesdk" TargetMode="External"/><Relationship Id="rId2358" Type="http://schemas.openxmlformats.org/officeDocument/2006/relationships/hyperlink" Target="https://drive.google.com/file/d/1pugtI_Hi1qsbsYFLkxRECTqEmmoSKH6c/view?usp=drivesdk" TargetMode="External"/><Relationship Id="rId3688" Type="http://schemas.openxmlformats.org/officeDocument/2006/relationships/hyperlink" Target="https://drive.google.com/file/d/1BBP-gENshA1tna60HX-E7BUs-CzLGDFd/view?usp=drivesdk" TargetMode="External"/><Relationship Id="rId1028" Type="http://schemas.openxmlformats.org/officeDocument/2006/relationships/hyperlink" Target="https://drive.google.com/file/d/1KAK4PKJeRjbagvi-PDV2CO3X_JimTiUi/view?usp=drivesdk" TargetMode="External"/><Relationship Id="rId2359" Type="http://schemas.openxmlformats.org/officeDocument/2006/relationships/hyperlink" Target="https://drive.google.com/file/d/1Mb-MfXBw46KX6OxCRUhBHWc0MtbLo2SC/view?usp=drivesdk" TargetMode="External"/><Relationship Id="rId1029" Type="http://schemas.openxmlformats.org/officeDocument/2006/relationships/hyperlink" Target="https://drive.google.com/file/d/1-9hXY06xs-DnxG36T-9wm842OvlGvSpE/view?usp=drivesdk" TargetMode="External"/><Relationship Id="rId3681" Type="http://schemas.openxmlformats.org/officeDocument/2006/relationships/hyperlink" Target="https://drive.google.com/file/d/1MOMQ-LlHXlvRZf5VytRu2uerA9Hh62aK/view?usp=drivesdk" TargetMode="External"/><Relationship Id="rId2350" Type="http://schemas.openxmlformats.org/officeDocument/2006/relationships/hyperlink" Target="https://drive.google.com/file/d/1j2p94VORqyQMR2S3CijqgNgBxFS5uRXa/view?usp=drivesdk" TargetMode="External"/><Relationship Id="rId3680" Type="http://schemas.openxmlformats.org/officeDocument/2006/relationships/hyperlink" Target="https://drive.google.com/file/d/1FqkfnnGynSNKaHvarEi_sZBeUOAJHY_z/view?usp=drivesdk" TargetMode="External"/><Relationship Id="rId1020" Type="http://schemas.openxmlformats.org/officeDocument/2006/relationships/hyperlink" Target="https://drive.google.com/file/d/13NEHy-Bp_Oz8USMWIoWIG4yXIm_AEd-U/view?usp=drivesdk" TargetMode="External"/><Relationship Id="rId2351" Type="http://schemas.openxmlformats.org/officeDocument/2006/relationships/hyperlink" Target="https://drive.google.com/file/d/1hsa_LEcMqZWrSOU-XW7aTI4wYJQZ7gav/view?usp=drivesdk" TargetMode="External"/><Relationship Id="rId3683" Type="http://schemas.openxmlformats.org/officeDocument/2006/relationships/hyperlink" Target="https://drive.google.com/file/d/1WX3kE-i1oT7Lv4g6xa6tm2bLj-RxL7dO/view?usp=drivesdk" TargetMode="External"/><Relationship Id="rId1021" Type="http://schemas.openxmlformats.org/officeDocument/2006/relationships/hyperlink" Target="https://drive.google.com/file/d/150JWMNWR1LRdeYuZ42s9uaiSJhOcOcwo/view?usp=drivesdk" TargetMode="External"/><Relationship Id="rId2352" Type="http://schemas.openxmlformats.org/officeDocument/2006/relationships/hyperlink" Target="https://drive.google.com/file/d/1r46ilUfZtRQ2ShHK0gxuAXfK04RE-u0Z/view?usp=drivesdk" TargetMode="External"/><Relationship Id="rId3682" Type="http://schemas.openxmlformats.org/officeDocument/2006/relationships/hyperlink" Target="https://drive.google.com/file/d/1Mc-zN__kqISg1fxjEwPbnFPW-JYiVlRh/view?usp=drivesdk" TargetMode="External"/><Relationship Id="rId1022" Type="http://schemas.openxmlformats.org/officeDocument/2006/relationships/hyperlink" Target="https://drive.google.com/file/d/1Kb5YohCIAu4NKQ2bL8EMkQ57BqwSbflc/view?usp=drivesdk" TargetMode="External"/><Relationship Id="rId2353" Type="http://schemas.openxmlformats.org/officeDocument/2006/relationships/hyperlink" Target="https://drive.google.com/file/d/1llPpuYV8ayoGdaDkKmXBvfFCWKeyS4Sl/view?usp=drivesdk" TargetMode="External"/><Relationship Id="rId3685" Type="http://schemas.openxmlformats.org/officeDocument/2006/relationships/hyperlink" Target="https://drive.google.com/file/d/1dqDPv_H7g5XzfiRfC5nTt-hlgqtBaOIX/view?usp=drivesdk" TargetMode="External"/><Relationship Id="rId1023" Type="http://schemas.openxmlformats.org/officeDocument/2006/relationships/hyperlink" Target="https://drive.google.com/file/d/1VwYUhqCy6lpiBZEPABa2RqdsLpofc3Ph/view?usp=drivesdk" TargetMode="External"/><Relationship Id="rId2354" Type="http://schemas.openxmlformats.org/officeDocument/2006/relationships/hyperlink" Target="https://drive.google.com/file/d/1yCpPRw_XgMLFTd7ehpUa6yI0QFVOeIBc/view?usp=drivesdk" TargetMode="External"/><Relationship Id="rId3684" Type="http://schemas.openxmlformats.org/officeDocument/2006/relationships/hyperlink" Target="https://drive.google.com/file/d/1oKwJk3fLC95gX2hDtMP7ctDvCEcBVfl4/view?usp=drivesdk" TargetMode="External"/><Relationship Id="rId1024" Type="http://schemas.openxmlformats.org/officeDocument/2006/relationships/hyperlink" Target="https://drive.google.com/file/d/1AbQhEEIDRe8lY4F_9lkv7jXDxwV1vo3h/view?usp=drivesdk" TargetMode="External"/><Relationship Id="rId2355" Type="http://schemas.openxmlformats.org/officeDocument/2006/relationships/hyperlink" Target="https://drive.google.com/file/d/1ucV6dnvj11QROeJyB_MTaA51lXz9ti6c/view?usp=drivesdk" TargetMode="External"/><Relationship Id="rId3687" Type="http://schemas.openxmlformats.org/officeDocument/2006/relationships/hyperlink" Target="https://drive.google.com/file/d/1wMONHI0CN2Ew6qhS-Zlgwad7nIwHue9y/view?usp=drivesdk" TargetMode="External"/><Relationship Id="rId1025" Type="http://schemas.openxmlformats.org/officeDocument/2006/relationships/hyperlink" Target="https://drive.google.com/file/d/17VocQLbMOzQXJFVOKTKa0LBnE4eOPOv0/view?usp=drivesdk" TargetMode="External"/><Relationship Id="rId2356" Type="http://schemas.openxmlformats.org/officeDocument/2006/relationships/hyperlink" Target="https://drive.google.com/file/d/1i9ImLLxj10Ht9CFKRnvyPvGdVf7QMyjW/view?usp=drivesdk" TargetMode="External"/><Relationship Id="rId3686" Type="http://schemas.openxmlformats.org/officeDocument/2006/relationships/hyperlink" Target="https://drive.google.com/file/d/1ZDKNiUolGQ4wwMfDnYY3IfpZHw3XwUjQ/view?usp=drivesdk" TargetMode="External"/><Relationship Id="rId8529" Type="http://schemas.openxmlformats.org/officeDocument/2006/relationships/hyperlink" Target="https://drive.google.com/file/d/1e120zqnYKno0O-vE8zRu_Auq639I5YVd/view?usp=drivesdk" TargetMode="External"/><Relationship Id="rId8528" Type="http://schemas.openxmlformats.org/officeDocument/2006/relationships/hyperlink" Target="https://drive.google.com/file/d/1UWTC7S2d1nEQ8wnPBsWE5N49SpMu38gh/view?usp=drivesdk" TargetMode="External"/><Relationship Id="rId8523" Type="http://schemas.openxmlformats.org/officeDocument/2006/relationships/hyperlink" Target="https://drive.google.com/file/d/1Y9cz3kMRjWrd_ntbKKIIQVFDH7yDpetl/view?usp=drivesdk" TargetMode="External"/><Relationship Id="rId8522" Type="http://schemas.openxmlformats.org/officeDocument/2006/relationships/hyperlink" Target="https://drive.google.com/file/d/1CG8EJhTYwzknREwDm8SCkPphQ1_YnLuo/view?usp=drivesdk" TargetMode="External"/><Relationship Id="rId8521" Type="http://schemas.openxmlformats.org/officeDocument/2006/relationships/hyperlink" Target="https://drive.google.com/file/d/1xcSOGl8Ud1LEfdtYDrkqob_rm7mCusMB/view?usp=drivesdk" TargetMode="External"/><Relationship Id="rId8520" Type="http://schemas.openxmlformats.org/officeDocument/2006/relationships/hyperlink" Target="https://drive.google.com/file/d/1AUL9A640tJymRrpRO-P2ItC_ePNJiaVU/view?usp=drivesdk" TargetMode="External"/><Relationship Id="rId8527" Type="http://schemas.openxmlformats.org/officeDocument/2006/relationships/hyperlink" Target="https://drive.google.com/file/d/1TEq36GHizYdNAKZvGlf9vSLPB-n2z1xt/view?usp=drivesdk" TargetMode="External"/><Relationship Id="rId8526" Type="http://schemas.openxmlformats.org/officeDocument/2006/relationships/hyperlink" Target="https://drive.google.com/file/d/1njqzaLeKyWlJC5YWJnV9grsTt_0bTQf1/view?usp=drivesdk" TargetMode="External"/><Relationship Id="rId8525" Type="http://schemas.openxmlformats.org/officeDocument/2006/relationships/hyperlink" Target="https://drive.google.com/file/d/1bxGPKKTa8sWOHi6zzDsxEXakOPHwEpYU/view?usp=drivesdk" TargetMode="External"/><Relationship Id="rId8524" Type="http://schemas.openxmlformats.org/officeDocument/2006/relationships/hyperlink" Target="https://drive.google.com/file/d/1lRFveXPgOZUrIhFMJnVOnONsYiXxXBqU/view?usp=drivesdk" TargetMode="External"/><Relationship Id="rId8519" Type="http://schemas.openxmlformats.org/officeDocument/2006/relationships/hyperlink" Target="https://drive.google.com/file/d/1Vb6gSaAHsBIQCDx5VNjtsIoQ-KYbFnLD/view?usp=drivesdk" TargetMode="External"/><Relationship Id="rId8518" Type="http://schemas.openxmlformats.org/officeDocument/2006/relationships/hyperlink" Target="https://drive.google.com/file/d/1puUQ4COliS-EheZf_syNcZdIEnk8gRfD/view?usp=drivesdk" TargetMode="External"/><Relationship Id="rId8517" Type="http://schemas.openxmlformats.org/officeDocument/2006/relationships/hyperlink" Target="https://drive.google.com/file/d/1Es0hRw1cdgkdbrk3ZTuc-o_FifyzRIoG/view?usp=drivesdk" TargetMode="External"/><Relationship Id="rId8512" Type="http://schemas.openxmlformats.org/officeDocument/2006/relationships/hyperlink" Target="https://drive.google.com/file/d/1mmZeG8_3Udv5PuOL5LmiX-1PIZZaYH7P/view?usp=drivesdk" TargetMode="External"/><Relationship Id="rId8511" Type="http://schemas.openxmlformats.org/officeDocument/2006/relationships/hyperlink" Target="https://drive.google.com/file/d/1SIbkPKknRHM_1XZO8FnVDaRt7TQGBmfd/view?usp=drivesdk" TargetMode="External"/><Relationship Id="rId8510" Type="http://schemas.openxmlformats.org/officeDocument/2006/relationships/hyperlink" Target="https://drive.google.com/file/d/1VTflGFC9i5I1_7CEP5JFqLk3rFqeYVDl/view?usp=drivesdk" TargetMode="External"/><Relationship Id="rId8516" Type="http://schemas.openxmlformats.org/officeDocument/2006/relationships/hyperlink" Target="https://drive.google.com/file/d/1_n672buJePVztZvkEwawhVdHjymU1bLy/view?usp=drivesdk" TargetMode="External"/><Relationship Id="rId8515" Type="http://schemas.openxmlformats.org/officeDocument/2006/relationships/hyperlink" Target="https://drive.google.com/file/d/1Ww1P2oat-0z6tO4RJnwtFcHh-4SueJ-8/view?usp=drivesdk" TargetMode="External"/><Relationship Id="rId8514" Type="http://schemas.openxmlformats.org/officeDocument/2006/relationships/hyperlink" Target="https://drive.google.com/file/d/185RiDRuu4xK0PDfKrtEEyDx96YGck7By/view?usp=drivesdk" TargetMode="External"/><Relationship Id="rId8513" Type="http://schemas.openxmlformats.org/officeDocument/2006/relationships/hyperlink" Target="https://drive.google.com/file/d/1LnPwwO1zR4lp_URA0ctCjPJc87cF_U8L/view?usp=drivesdk" TargetMode="External"/><Relationship Id="rId7219" Type="http://schemas.openxmlformats.org/officeDocument/2006/relationships/hyperlink" Target="https://drive.google.com/file/d/1WHqj9uaz9GL-6OciUzxgHgTIinCegODh/view?usp=drivesdk" TargetMode="External"/><Relationship Id="rId7210" Type="http://schemas.openxmlformats.org/officeDocument/2006/relationships/hyperlink" Target="https://drive.google.com/file/d/1W2M_0VqJmNLLOth9KiosjbhykwoFIG5d/view?usp=drivesdk" TargetMode="External"/><Relationship Id="rId8541" Type="http://schemas.openxmlformats.org/officeDocument/2006/relationships/hyperlink" Target="https://drive.google.com/file/d/1g2Bn_VJs96Wv27TyVoZS1bh0Tav-l9Uw/view?usp=drivesdk" TargetMode="External"/><Relationship Id="rId8540" Type="http://schemas.openxmlformats.org/officeDocument/2006/relationships/hyperlink" Target="https://drive.google.com/file/d/1u22Lg3SnoX1joLqs6dh6H6CdYrZ8CRqA/view?usp=drivesdk" TargetMode="External"/><Relationship Id="rId7214" Type="http://schemas.openxmlformats.org/officeDocument/2006/relationships/hyperlink" Target="https://drive.google.com/file/d/1GJgqWr7dldlAkzpJ9TdJeaKkIQBJS-Qt/view?usp=drivesdk" TargetMode="External"/><Relationship Id="rId8545" Type="http://schemas.openxmlformats.org/officeDocument/2006/relationships/hyperlink" Target="https://drive.google.com/file/d/1jEC_hSdCl5ygNazYNFuumpNlajvXUATP/view?usp=drivesdk" TargetMode="External"/><Relationship Id="rId7213" Type="http://schemas.openxmlformats.org/officeDocument/2006/relationships/hyperlink" Target="https://drive.google.com/file/d/1oz2narIqZYeePT17YXQaGpAiD6gr4JYd/view?usp=drivesdk" TargetMode="External"/><Relationship Id="rId8544" Type="http://schemas.openxmlformats.org/officeDocument/2006/relationships/hyperlink" Target="https://drive.google.com/file/d/11pNfinzr3l9pylhxDKAypwDrQxMbdpvD/view?usp=drivesdk" TargetMode="External"/><Relationship Id="rId7212" Type="http://schemas.openxmlformats.org/officeDocument/2006/relationships/hyperlink" Target="https://drive.google.com/file/d/1TyaqzDmq_PdmPpsE5iJPAvXf0DXC5NFN/view?usp=drivesdk" TargetMode="External"/><Relationship Id="rId8543" Type="http://schemas.openxmlformats.org/officeDocument/2006/relationships/hyperlink" Target="https://drive.google.com/file/d/1A7r6iO9JTbd9vNGCPNjqyzBc_LXIAT2C/view?usp=drivesdk" TargetMode="External"/><Relationship Id="rId7211" Type="http://schemas.openxmlformats.org/officeDocument/2006/relationships/hyperlink" Target="https://drive.google.com/file/d/1IylOrmoMn8GyaJsLa4SyS-6OCh-hszBe/view?usp=drivesdk" TargetMode="External"/><Relationship Id="rId8542" Type="http://schemas.openxmlformats.org/officeDocument/2006/relationships/hyperlink" Target="https://drive.google.com/file/d/150av6kHfe-N_uRwZ9NFYsNEckLJPCABd/view?usp=drivesdk" TargetMode="External"/><Relationship Id="rId7218" Type="http://schemas.openxmlformats.org/officeDocument/2006/relationships/hyperlink" Target="https://drive.google.com/file/d/1t-znni7qN4GgwhnpWqSvWLlh8kQ5iMAC/view?usp=drivesdk" TargetMode="External"/><Relationship Id="rId8549" Type="http://schemas.openxmlformats.org/officeDocument/2006/relationships/hyperlink" Target="https://drive.google.com/file/d/1y-3MjEvnLRYc0qT9EVLldBhAiAGsFtwT/view?usp=drivesdk" TargetMode="External"/><Relationship Id="rId7217" Type="http://schemas.openxmlformats.org/officeDocument/2006/relationships/hyperlink" Target="https://drive.google.com/file/d/1oAu3pVTX6ZqPhsraJbrz3obvTahVP9UT/view?usp=drivesdk" TargetMode="External"/><Relationship Id="rId8548" Type="http://schemas.openxmlformats.org/officeDocument/2006/relationships/hyperlink" Target="https://drive.google.com/file/d/1EVMMfJRwn6JlWXIHeoQ-sjJQB5XOk16H/view?usp=drivesdk" TargetMode="External"/><Relationship Id="rId7216" Type="http://schemas.openxmlformats.org/officeDocument/2006/relationships/hyperlink" Target="https://drive.google.com/file/d/1MGRwqZeGIvY7IkoD0IbXjr_FC6kII-at/view?usp=drivesdk" TargetMode="External"/><Relationship Id="rId8547" Type="http://schemas.openxmlformats.org/officeDocument/2006/relationships/hyperlink" Target="https://drive.google.com/file/d/1lnBrYYwqSi_So89-OIRcIfL3XTApK1LA/view?usp=drivesdk" TargetMode="External"/><Relationship Id="rId7215" Type="http://schemas.openxmlformats.org/officeDocument/2006/relationships/hyperlink" Target="https://drive.google.com/file/d/1EZ2iXAx5f_WDd6RcdmySq-PCwyUF9O9r/view?usp=drivesdk" TargetMode="External"/><Relationship Id="rId8546" Type="http://schemas.openxmlformats.org/officeDocument/2006/relationships/hyperlink" Target="https://drive.google.com/file/d/1hWtufAs-vc4NgHNghgcZt3z1Lk-o0rY8/view?usp=drivesdk" TargetMode="External"/><Relationship Id="rId7209" Type="http://schemas.openxmlformats.org/officeDocument/2006/relationships/hyperlink" Target="https://drive.google.com/file/d/1FuA4obAnSMhYNnpVwvf-Ju8RGKHM3We9/view?usp=drivesdk" TargetMode="External"/><Relationship Id="rId7208" Type="http://schemas.openxmlformats.org/officeDocument/2006/relationships/hyperlink" Target="https://drive.google.com/file/d/1nQPjahBtZIgxdCj2Ln48WYA2Rkv4To4v/view?usp=drivesdk" TargetMode="External"/><Relationship Id="rId8539" Type="http://schemas.openxmlformats.org/officeDocument/2006/relationships/hyperlink" Target="https://drive.google.com/file/d/1bH3CeWUGWYcfSHTEf7Yu1vBB7QIeRt3M/view?usp=drivesdk" TargetMode="External"/><Relationship Id="rId8530" Type="http://schemas.openxmlformats.org/officeDocument/2006/relationships/hyperlink" Target="https://drive.google.com/file/d/1Prvdvnp-aQg9B6-SwcOcPVLxibymPNWJ/view?usp=drivesdk" TargetMode="External"/><Relationship Id="rId7203" Type="http://schemas.openxmlformats.org/officeDocument/2006/relationships/hyperlink" Target="https://drive.google.com/file/d/1VbvCB8V-vMsny4iKwsH6G5JzqjbkPaHL/view?usp=drivesdk" TargetMode="External"/><Relationship Id="rId8534" Type="http://schemas.openxmlformats.org/officeDocument/2006/relationships/hyperlink" Target="https://drive.google.com/file/d/1erYFVWSrGIDzJa57ME1oj_P_-6a7dWgX/view?usp=drivesdk" TargetMode="External"/><Relationship Id="rId7202" Type="http://schemas.openxmlformats.org/officeDocument/2006/relationships/hyperlink" Target="https://drive.google.com/file/d/1lOtA-3tJZW_4QPyr9ITkGJ_jcX-v5Cxb/view?usp=drivesdk" TargetMode="External"/><Relationship Id="rId8533" Type="http://schemas.openxmlformats.org/officeDocument/2006/relationships/hyperlink" Target="https://drive.google.com/file/d/1JXtTa9RtsvdF3UqcV19XD2dSQcWc8WLY/view?usp=drivesdk" TargetMode="External"/><Relationship Id="rId7201" Type="http://schemas.openxmlformats.org/officeDocument/2006/relationships/hyperlink" Target="https://drive.google.com/file/d/13gtA4GgmcGMueEeTbNCmD3hxKKsg2KfU/view?usp=drivesdk" TargetMode="External"/><Relationship Id="rId8532" Type="http://schemas.openxmlformats.org/officeDocument/2006/relationships/hyperlink" Target="https://drive.google.com/file/d/1uyfS__CIYYxXpvsF5qy7q5fKcjxB3egb/view?usp=drivesdk" TargetMode="External"/><Relationship Id="rId7200" Type="http://schemas.openxmlformats.org/officeDocument/2006/relationships/hyperlink" Target="https://drive.google.com/file/d/1kazErsVIFl8QOWdAvVJA6hXTPofLbXsg/view?usp=drivesdk" TargetMode="External"/><Relationship Id="rId8531" Type="http://schemas.openxmlformats.org/officeDocument/2006/relationships/hyperlink" Target="https://drive.google.com/file/d/1XvYjJLuSm08sVatuk4LqDFFrVpwU3LLZ/view?usp=drivesdk" TargetMode="External"/><Relationship Id="rId7207" Type="http://schemas.openxmlformats.org/officeDocument/2006/relationships/hyperlink" Target="https://drive.google.com/file/d/1dG-Pk2LOH56jQXWYxmyKVf6guPG-OiDI/view?usp=drivesdk" TargetMode="External"/><Relationship Id="rId8538" Type="http://schemas.openxmlformats.org/officeDocument/2006/relationships/hyperlink" Target="https://drive.google.com/file/d/1SCx05sOPG_PVXcS8ROyr2PT4ER99Jn7W/view?usp=drivesdk" TargetMode="External"/><Relationship Id="rId7206" Type="http://schemas.openxmlformats.org/officeDocument/2006/relationships/hyperlink" Target="https://drive.google.com/file/d/12kV_OWP87fNluIZzYZxMVrkRG9iAA-3f/view?usp=drivesdk" TargetMode="External"/><Relationship Id="rId8537" Type="http://schemas.openxmlformats.org/officeDocument/2006/relationships/hyperlink" Target="https://drive.google.com/file/d/1_jbKassQ1jMMdGi6OI_o7J5pJIBRk8hU/view?usp=drivesdk" TargetMode="External"/><Relationship Id="rId7205" Type="http://schemas.openxmlformats.org/officeDocument/2006/relationships/hyperlink" Target="https://drive.google.com/file/d/19ZyrwaIf15Q7YgxnhuZIv5pPSzlMSsai/view?usp=drivesdk" TargetMode="External"/><Relationship Id="rId8536" Type="http://schemas.openxmlformats.org/officeDocument/2006/relationships/hyperlink" Target="https://drive.google.com/file/d/1WrGLc2pdNRYwharUxS-uEI5dAeC2wCKQ/view?usp=drivesdk" TargetMode="External"/><Relationship Id="rId7204" Type="http://schemas.openxmlformats.org/officeDocument/2006/relationships/hyperlink" Target="https://drive.google.com/file/d/1yk2jfw8r2ucdxZdPaoPXTfJOgcgqbGB1/view?usp=drivesdk" TargetMode="External"/><Relationship Id="rId8535" Type="http://schemas.openxmlformats.org/officeDocument/2006/relationships/hyperlink" Target="https://drive.google.com/file/d/1eZZ-OntTVi4MlPdZv85qj9eFZtm4o6a2/view?usp=drivesdk" TargetMode="External"/><Relationship Id="rId1090" Type="http://schemas.openxmlformats.org/officeDocument/2006/relationships/hyperlink" Target="https://drive.google.com/file/d/11rXPxb-aDf7YbhWo_HA-XvtG4l_rT6PP/view?usp=drivesdk" TargetMode="External"/><Relationship Id="rId1091" Type="http://schemas.openxmlformats.org/officeDocument/2006/relationships/hyperlink" Target="https://drive.google.com/file/d/1-ZZJPdgIDvCSut_9hu5c3e2b4GDuhUrd/view?usp=drivesdk" TargetMode="External"/><Relationship Id="rId1092" Type="http://schemas.openxmlformats.org/officeDocument/2006/relationships/hyperlink" Target="https://drive.google.com/file/d/1YHFRGRTL4w6X3lhZ9Vriq-4u1DUXvGnB/view?usp=drivesdk" TargetMode="External"/><Relationship Id="rId1093" Type="http://schemas.openxmlformats.org/officeDocument/2006/relationships/hyperlink" Target="https://drive.google.com/file/d/1lD4oyZIjw4XS3SZaStEY-NCy8FfpqXNA/view?usp=drivesdk" TargetMode="External"/><Relationship Id="rId1094" Type="http://schemas.openxmlformats.org/officeDocument/2006/relationships/hyperlink" Target="https://drive.google.com/file/d/1pibogCAfXcAxviGnNP8-ux4ebKfqHzPt/view?usp=drivesdk" TargetMode="External"/><Relationship Id="rId1095" Type="http://schemas.openxmlformats.org/officeDocument/2006/relationships/hyperlink" Target="https://drive.google.com/file/d/1Fw8vCQWP4k3gB0z6wACunTEtccDWKEDM/view?usp=drivesdk" TargetMode="External"/><Relationship Id="rId1096" Type="http://schemas.openxmlformats.org/officeDocument/2006/relationships/hyperlink" Target="https://drive.google.com/file/d/1X5G08pChErXvv_NBM0Hq0Jam_5ixrg7N/view?usp=drivesdk" TargetMode="External"/><Relationship Id="rId1097" Type="http://schemas.openxmlformats.org/officeDocument/2006/relationships/hyperlink" Target="https://drive.google.com/file/d/15wrqcWSY4ZXfGMsfc5ueVRdaI9UJAdJj/view?usp=drivesdk" TargetMode="External"/><Relationship Id="rId1098" Type="http://schemas.openxmlformats.org/officeDocument/2006/relationships/hyperlink" Target="https://drive.google.com/file/d/1q1pYanCEM1lTdnufUfg06Kg8qcPtZV8m/view?usp=drivesdk" TargetMode="External"/><Relationship Id="rId1099" Type="http://schemas.openxmlformats.org/officeDocument/2006/relationships/hyperlink" Target="https://drive.google.com/file/d/1DG_gNH6zOaVNznSZnItJ-hftq1LI8G8y/view?usp=drivesdk" TargetMode="External"/><Relationship Id="rId1080" Type="http://schemas.openxmlformats.org/officeDocument/2006/relationships/hyperlink" Target="https://drive.google.com/file/d/1CXZFFvyx51vNcewEKWdFcY0BE3_aq64c/view?usp=drivesdk" TargetMode="External"/><Relationship Id="rId1081" Type="http://schemas.openxmlformats.org/officeDocument/2006/relationships/hyperlink" Target="https://drive.google.com/file/d/1Nf1ELLCAYtecyvIWOyC6ZU_nhzwRCfQq/view?usp=drivesdk" TargetMode="External"/><Relationship Id="rId1082" Type="http://schemas.openxmlformats.org/officeDocument/2006/relationships/hyperlink" Target="https://drive.google.com/file/d/1WjxXdWo1u2brRtrupmVNrJokssA963qu/view?usp=drivesdk" TargetMode="External"/><Relationship Id="rId1083" Type="http://schemas.openxmlformats.org/officeDocument/2006/relationships/hyperlink" Target="https://drive.google.com/file/d/1TJX8zKyPeyn9ccQq-VhVgby4Ypl6hlgF/view?usp=drivesdk" TargetMode="External"/><Relationship Id="rId1084" Type="http://schemas.openxmlformats.org/officeDocument/2006/relationships/hyperlink" Target="https://drive.google.com/file/d/1Oo31giWrCsEMhBGlQp6ekq_BrEPsx-ql/view?usp=drivesdk" TargetMode="External"/><Relationship Id="rId1085" Type="http://schemas.openxmlformats.org/officeDocument/2006/relationships/hyperlink" Target="https://drive.google.com/file/d/1U2KnNNk7KE2yw2BzKRg6Yy5OewzEpT7c/view?usp=drivesdk" TargetMode="External"/><Relationship Id="rId1086" Type="http://schemas.openxmlformats.org/officeDocument/2006/relationships/hyperlink" Target="https://drive.google.com/file/d/1CQB5aN9K7zMXw5lmm3Xocr6an5inWGdh/view?usp=drivesdk" TargetMode="External"/><Relationship Id="rId1087" Type="http://schemas.openxmlformats.org/officeDocument/2006/relationships/hyperlink" Target="https://drive.google.com/file/d/1KtGhgFxTBwyWpnmCuADGFQXbuezXadJy/view?usp=drivesdk" TargetMode="External"/><Relationship Id="rId1088" Type="http://schemas.openxmlformats.org/officeDocument/2006/relationships/hyperlink" Target="https://drive.google.com/file/d/13u9wWdIyYpO0sW7IP1WgmcQztAKyENSG/view?usp=drivesdk" TargetMode="External"/><Relationship Id="rId1089" Type="http://schemas.openxmlformats.org/officeDocument/2006/relationships/hyperlink" Target="https://drive.google.com/file/d/1LqGypaadfwD6rLD94sE7bC9P752tGIID/view?usp=drivesdk" TargetMode="External"/><Relationship Id="rId8509" Type="http://schemas.openxmlformats.org/officeDocument/2006/relationships/hyperlink" Target="https://drive.google.com/file/d/1NzhQy5k79BhTlMF6Smzhi-E_K8KExX8y/view?usp=drivesdk" TargetMode="External"/><Relationship Id="rId8508" Type="http://schemas.openxmlformats.org/officeDocument/2006/relationships/hyperlink" Target="https://drive.google.com/file/d/1G7teswUCQ3vD9tdAl_IejVt8ws1WARH7/view?usp=drivesdk" TargetMode="External"/><Relationship Id="rId8507" Type="http://schemas.openxmlformats.org/officeDocument/2006/relationships/hyperlink" Target="https://drive.google.com/file/d/1q1-4LrhdsYsFIA8_T-25g1XfEElFu0Dg/view?usp=drivesdk" TargetMode="External"/><Relationship Id="rId8506" Type="http://schemas.openxmlformats.org/officeDocument/2006/relationships/hyperlink" Target="https://drive.google.com/file/d/1nLcfEyDqmVHsvyEpYB0EgqU8BU6tzS5t/view?usp=drivesdk" TargetMode="External"/><Relationship Id="rId8501" Type="http://schemas.openxmlformats.org/officeDocument/2006/relationships/hyperlink" Target="https://drive.google.com/file/d/14zslADvAqb5WhbOmXptR0UxpDhyd3OYv/view?usp=drivesdk" TargetMode="External"/><Relationship Id="rId8500" Type="http://schemas.openxmlformats.org/officeDocument/2006/relationships/hyperlink" Target="https://drive.google.com/file/d/1pvcRsrdW1A0CoNpmJCuM1Hrbm46kwnZG/view?usp=drivesdk" TargetMode="External"/><Relationship Id="rId8505" Type="http://schemas.openxmlformats.org/officeDocument/2006/relationships/hyperlink" Target="https://drive.google.com/file/d/1c07aRE6fP8JqxOVmzB8qEFR9yC77C_sS/view?usp=drivesdk" TargetMode="External"/><Relationship Id="rId8504" Type="http://schemas.openxmlformats.org/officeDocument/2006/relationships/hyperlink" Target="https://drive.google.com/file/d/1xPT9yCYBJjD5LoI6gEWYuqwHcE-z0llL/view?usp=drivesdk" TargetMode="External"/><Relationship Id="rId8503" Type="http://schemas.openxmlformats.org/officeDocument/2006/relationships/hyperlink" Target="https://drive.google.com/file/d/1uBSKkzLtR9kqRRAwHnBJXJsDm6I6W0SO/view?usp=drivesdk" TargetMode="External"/><Relationship Id="rId8502" Type="http://schemas.openxmlformats.org/officeDocument/2006/relationships/hyperlink" Target="https://drive.google.com/file/d/1wlOcMa90ydJ0WPyYaiGsCwxRTkCbPuLt/view?usp=drivesdk" TargetMode="External"/><Relationship Id="rId7272" Type="http://schemas.openxmlformats.org/officeDocument/2006/relationships/hyperlink" Target="https://drive.google.com/file/d/1vXhTYDnTKVyjlDt1gbv9OSRQ9cX5vYoB/view?usp=drivesdk" TargetMode="External"/><Relationship Id="rId7271" Type="http://schemas.openxmlformats.org/officeDocument/2006/relationships/hyperlink" Target="https://drive.google.com/file/d/1purvGGiRhKo3JGg8itw5_XnFxfRbdSYT/view?usp=drivesdk" TargetMode="External"/><Relationship Id="rId7270" Type="http://schemas.openxmlformats.org/officeDocument/2006/relationships/hyperlink" Target="https://drive.google.com/file/d/1o7wd8lA_w4DBrmdbGz3pNUdnPKZQKSZg/view?usp=drivesdk" TargetMode="External"/><Relationship Id="rId7276" Type="http://schemas.openxmlformats.org/officeDocument/2006/relationships/hyperlink" Target="https://drive.google.com/file/d/1k0yAqTiU4ApM_nyr947IlqQKCVeWGBkF/view?usp=drivesdk" TargetMode="External"/><Relationship Id="rId7275" Type="http://schemas.openxmlformats.org/officeDocument/2006/relationships/hyperlink" Target="https://drive.google.com/file/d/1KrSRVYFCRtWtmEKOvzajhLc7slLTTqkS/view?usp=drivesdk" TargetMode="External"/><Relationship Id="rId7274" Type="http://schemas.openxmlformats.org/officeDocument/2006/relationships/hyperlink" Target="https://drive.google.com/file/d/1RSBQlrbqqSozZkOpdPLWvUUj30iHp1Eu/view?usp=drivesdk" TargetMode="External"/><Relationship Id="rId7273" Type="http://schemas.openxmlformats.org/officeDocument/2006/relationships/hyperlink" Target="https://drive.google.com/file/d/1edg8DeLjWWvzwvDs1iwtjfV7JsgijPAt/view?usp=drivesdk" TargetMode="External"/><Relationship Id="rId7279" Type="http://schemas.openxmlformats.org/officeDocument/2006/relationships/hyperlink" Target="https://drive.google.com/file/d/1CqV5Nt0mWrLSIaOVYB6c1fQGRS2wWYNg/view?usp=drivesdk" TargetMode="External"/><Relationship Id="rId7278" Type="http://schemas.openxmlformats.org/officeDocument/2006/relationships/hyperlink" Target="https://drive.google.com/file/d/1z3uhql0O5zAM8JyubzlhiW3aXv3uBRPu/view?usp=drivesdk" TargetMode="External"/><Relationship Id="rId7277" Type="http://schemas.openxmlformats.org/officeDocument/2006/relationships/hyperlink" Target="https://drive.google.com/file/d/1PtEjDZMSa7XPpJTldq8PYhzqPtnPKVqc/view?usp=drivesdk" TargetMode="External"/><Relationship Id="rId7261" Type="http://schemas.openxmlformats.org/officeDocument/2006/relationships/hyperlink" Target="https://drive.google.com/file/d/1vXDpFZuM2Cv-A7kUmd0UoBOwKgq6ps9l/view?usp=drivesdk" TargetMode="External"/><Relationship Id="rId8592" Type="http://schemas.openxmlformats.org/officeDocument/2006/relationships/hyperlink" Target="https://drive.google.com/file/d/1MS1ULAB671-7OnQT2KSQrPtSbx6ryxKl/view?usp=drivesdk" TargetMode="External"/><Relationship Id="rId7260" Type="http://schemas.openxmlformats.org/officeDocument/2006/relationships/hyperlink" Target="https://drive.google.com/file/d/1OCYv3jfKBFHCXCmiCwas-DelQIReUnG4/view?usp=drivesdk" TargetMode="External"/><Relationship Id="rId8591" Type="http://schemas.openxmlformats.org/officeDocument/2006/relationships/hyperlink" Target="https://drive.google.com/file/d/1fckDUliun5ArXs1zrgvACMc32Z7tKT_C/view?usp=drivesdk" TargetMode="External"/><Relationship Id="rId8590" Type="http://schemas.openxmlformats.org/officeDocument/2006/relationships/hyperlink" Target="https://drive.google.com/file/d/12pLSejKb3QGmNRgbfCPCcXFFRMzrLhIW/view?usp=drivesdk" TargetMode="External"/><Relationship Id="rId7265" Type="http://schemas.openxmlformats.org/officeDocument/2006/relationships/hyperlink" Target="https://drive.google.com/file/d/1OZkuRwVcZ2nI9AD8O2JP0iYKLqJoKmvm/view?usp=drivesdk" TargetMode="External"/><Relationship Id="rId8596" Type="http://schemas.openxmlformats.org/officeDocument/2006/relationships/hyperlink" Target="https://drive.google.com/file/d/1Pm1s9syvhTrlM9NxPwT-LPDJu3k8zzp1/view?usp=drivesdk" TargetMode="External"/><Relationship Id="rId7264" Type="http://schemas.openxmlformats.org/officeDocument/2006/relationships/hyperlink" Target="https://drive.google.com/file/d/1eWRmkeIMX1ToDlHRebCl6ULkJTtXDX_d/view?usp=drivesdk" TargetMode="External"/><Relationship Id="rId8595" Type="http://schemas.openxmlformats.org/officeDocument/2006/relationships/hyperlink" Target="https://drive.google.com/file/d/1EDEpvoaRauDQ2Fp1GCsISchPD3ANj9_H/view?usp=drivesdk" TargetMode="External"/><Relationship Id="rId7263" Type="http://schemas.openxmlformats.org/officeDocument/2006/relationships/hyperlink" Target="https://drive.google.com/file/d/1U8eRFRQs4qr-y-wI28AFABMRpjkcXRFR/view?usp=drivesdk" TargetMode="External"/><Relationship Id="rId8594" Type="http://schemas.openxmlformats.org/officeDocument/2006/relationships/hyperlink" Target="https://drive.google.com/file/d/1OgASNdEUYM_VMeKFFbnWuJgQa8X1ci05/view?usp=drivesdk" TargetMode="External"/><Relationship Id="rId7262" Type="http://schemas.openxmlformats.org/officeDocument/2006/relationships/hyperlink" Target="https://drive.google.com/file/d/171gZ13EGF9Z9v9dbNhuNmGrQyIPPm5PT/view?usp=drivesdk" TargetMode="External"/><Relationship Id="rId8593" Type="http://schemas.openxmlformats.org/officeDocument/2006/relationships/hyperlink" Target="https://drive.google.com/file/d/1BHzwVKcYiNlqjONnfMO9GKIBM1RxExYF/view?usp=drivesdk" TargetMode="External"/><Relationship Id="rId7269" Type="http://schemas.openxmlformats.org/officeDocument/2006/relationships/hyperlink" Target="https://drive.google.com/file/d/1FmruIfXi4aSHhpJzjtZxyp6p8kNCUKLy/view?usp=drivesdk" TargetMode="External"/><Relationship Id="rId7268" Type="http://schemas.openxmlformats.org/officeDocument/2006/relationships/hyperlink" Target="https://drive.google.com/file/d/1n4010CH7zf2MBSPpsW-NIY65rr58ICe9/view?usp=drivesdk" TargetMode="External"/><Relationship Id="rId8599" Type="http://schemas.openxmlformats.org/officeDocument/2006/relationships/hyperlink" Target="https://drive.google.com/file/d/1T47HBpu5V3JgB6NVWLRxlI8LV33t1tdX/view?usp=drivesdk" TargetMode="External"/><Relationship Id="rId7267" Type="http://schemas.openxmlformats.org/officeDocument/2006/relationships/hyperlink" Target="https://drive.google.com/file/d/19BKrfvh4ksW8O9JYpt_xdxXlqiw7zVUV/view?usp=drivesdk" TargetMode="External"/><Relationship Id="rId8598" Type="http://schemas.openxmlformats.org/officeDocument/2006/relationships/hyperlink" Target="https://drive.google.com/file/d/1s8LOgJelE0FUIKtNpiA9A68w4BsZR8Co/view?usp=drivesdk" TargetMode="External"/><Relationship Id="rId7266" Type="http://schemas.openxmlformats.org/officeDocument/2006/relationships/hyperlink" Target="https://drive.google.com/file/d/18Rk89Z6e7WCnml5Q4jOysH6-l75NkU1R/view?usp=drivesdk" TargetMode="External"/><Relationship Id="rId8597" Type="http://schemas.openxmlformats.org/officeDocument/2006/relationships/hyperlink" Target="https://drive.google.com/file/d/1ldhwMEwoe_Ld0MLmaUrM1XqznzqcUtWB/view?usp=drivesdk" TargetMode="External"/><Relationship Id="rId7294" Type="http://schemas.openxmlformats.org/officeDocument/2006/relationships/hyperlink" Target="https://drive.google.com/file/d/1nmAT1xdQ8iHMcWnZJW1OzpNv3kMQSIfU/view?usp=drivesdk" TargetMode="External"/><Relationship Id="rId7293" Type="http://schemas.openxmlformats.org/officeDocument/2006/relationships/hyperlink" Target="https://drive.google.com/file/d/1JT0CZNArIcS3TFhKIQmQ0Pns7hIibq_b/view?usp=drivesdk" TargetMode="External"/><Relationship Id="rId7292" Type="http://schemas.openxmlformats.org/officeDocument/2006/relationships/hyperlink" Target="https://drive.google.com/file/d/1bZR9OoU_9fF_Y6lVPJa8tLHkuvs5lBNs/view?usp=drivesdk" TargetMode="External"/><Relationship Id="rId7291" Type="http://schemas.openxmlformats.org/officeDocument/2006/relationships/hyperlink" Target="https://drive.google.com/file/d/1gbEMmUuTTnCl0KyGjjAejeNwBYYB-KSK/view?usp=drivesdk" TargetMode="External"/><Relationship Id="rId7298" Type="http://schemas.openxmlformats.org/officeDocument/2006/relationships/hyperlink" Target="https://drive.google.com/file/d/1CVZiySB3pjObQdhI-WI1vdC4KDNeSc2X/view?usp=drivesdk" TargetMode="External"/><Relationship Id="rId7297" Type="http://schemas.openxmlformats.org/officeDocument/2006/relationships/hyperlink" Target="https://drive.google.com/file/d/1RzJ2sNWnh_umuDFafakUzgzw5yBFpkMt/view?usp=drivesdk" TargetMode="External"/><Relationship Id="rId7296" Type="http://schemas.openxmlformats.org/officeDocument/2006/relationships/hyperlink" Target="https://drive.google.com/file/d/1sIHreQVJGj_6QqOzN14A52bB0av0ZQwg/view?usp=drivesdk" TargetMode="External"/><Relationship Id="rId7295" Type="http://schemas.openxmlformats.org/officeDocument/2006/relationships/hyperlink" Target="https://drive.google.com/file/d/1qSkeSAn0tq52JfWMkrgL0AApjOLMq4e8/view?usp=drivesdk" TargetMode="External"/><Relationship Id="rId7299" Type="http://schemas.openxmlformats.org/officeDocument/2006/relationships/hyperlink" Target="https://drive.google.com/file/d/1Gp21TOjk3roiiiT4tnnb4aQP3IbiXrXc/view?usp=drivesdk" TargetMode="External"/><Relationship Id="rId7290" Type="http://schemas.openxmlformats.org/officeDocument/2006/relationships/hyperlink" Target="https://drive.google.com/file/d/1eAONnPpGpT0bNGX1be3rRH_VQjJP4Jsj/view?usp=drivesdk" TargetMode="External"/><Relationship Id="rId7283" Type="http://schemas.openxmlformats.org/officeDocument/2006/relationships/hyperlink" Target="https://drive.google.com/file/d/1Sd5YmgkmKeBQ2lw0D-3u-Lv4Q1LqCPi9/view?usp=drivesdk" TargetMode="External"/><Relationship Id="rId7282" Type="http://schemas.openxmlformats.org/officeDocument/2006/relationships/hyperlink" Target="https://drive.google.com/file/d/14PMh_Wt-h-dDOQPVAVXNOpqm_j6IqMpa/view?usp=drivesdk" TargetMode="External"/><Relationship Id="rId7281" Type="http://schemas.openxmlformats.org/officeDocument/2006/relationships/hyperlink" Target="https://drive.google.com/file/d/1YmlBVbkVmppUQqjeJh_ZpMu2qS6T5M2d/view?usp=drivesdk" TargetMode="External"/><Relationship Id="rId7280" Type="http://schemas.openxmlformats.org/officeDocument/2006/relationships/hyperlink" Target="https://drive.google.com/file/d/1G1XEhafVEowiDk8U85ibI_XeE1sThBNg/view?usp=drivesdk" TargetMode="External"/><Relationship Id="rId7287" Type="http://schemas.openxmlformats.org/officeDocument/2006/relationships/hyperlink" Target="https://drive.google.com/file/d/1jloD6P_DIpK5mEYHN8sA82MC4y__gj2j/view?usp=drivesdk" TargetMode="External"/><Relationship Id="rId7286" Type="http://schemas.openxmlformats.org/officeDocument/2006/relationships/hyperlink" Target="https://drive.google.com/file/d/105DleTQLElW8ZIUZp9hyuuHCWqQpFNqS/view?usp=drivesdk" TargetMode="External"/><Relationship Id="rId7285" Type="http://schemas.openxmlformats.org/officeDocument/2006/relationships/hyperlink" Target="https://drive.google.com/file/d/1Qqvfeaw7tfg4yfbbAcDVX5LK7b0DfRva/view?usp=drivesdk" TargetMode="External"/><Relationship Id="rId7284" Type="http://schemas.openxmlformats.org/officeDocument/2006/relationships/hyperlink" Target="https://drive.google.com/file/d/1eAUFo3QQQHYADYBjyFNBPKBhhAUPqulf/view?usp=drivesdk" TargetMode="External"/><Relationship Id="rId7289" Type="http://schemas.openxmlformats.org/officeDocument/2006/relationships/hyperlink" Target="https://drive.google.com/file/d/1rIlLrpdRbjmjQhCNLiJ-_JV89NdWRKY1/view?usp=drivesdk" TargetMode="External"/><Relationship Id="rId7288" Type="http://schemas.openxmlformats.org/officeDocument/2006/relationships/hyperlink" Target="https://drive.google.com/file/d/1j7oKs-ELY6Sj0x-i4iDw483TgJElPqCR/view?usp=drivesdk" TargetMode="External"/><Relationship Id="rId7232" Type="http://schemas.openxmlformats.org/officeDocument/2006/relationships/hyperlink" Target="https://drive.google.com/file/d/1SdFd670q67J1ohQlyL4zbbRJVvdMTcFq/view?usp=drivesdk" TargetMode="External"/><Relationship Id="rId8563" Type="http://schemas.openxmlformats.org/officeDocument/2006/relationships/hyperlink" Target="https://drive.google.com/file/d/1YQi226Zxu0LJYJC_OYiMTB-SINd0CMtH/view?usp=drivesdk" TargetMode="External"/><Relationship Id="rId7231" Type="http://schemas.openxmlformats.org/officeDocument/2006/relationships/hyperlink" Target="https://drive.google.com/file/d/1b5n6603IfHn_nicnEva_IsHqP3Ug2-nu/view?usp=drivesdk" TargetMode="External"/><Relationship Id="rId8562" Type="http://schemas.openxmlformats.org/officeDocument/2006/relationships/hyperlink" Target="https://drive.google.com/file/d/1uFsyR-ue34W0Wij4OaFRJTFKPpuW_K3p/view?usp=drivesdk" TargetMode="External"/><Relationship Id="rId7230" Type="http://schemas.openxmlformats.org/officeDocument/2006/relationships/hyperlink" Target="https://drive.google.com/file/d/1fW84dkEoLnQpmbLcEcytv-2VVUTonbIO/view?usp=drivesdk" TargetMode="External"/><Relationship Id="rId8561" Type="http://schemas.openxmlformats.org/officeDocument/2006/relationships/hyperlink" Target="https://drive.google.com/file/d/1hrY27qgel00Jj8sOscnK9V4WjDWwwDvQ/view?usp=drivesdk" TargetMode="External"/><Relationship Id="rId8560" Type="http://schemas.openxmlformats.org/officeDocument/2006/relationships/hyperlink" Target="https://drive.google.com/file/d/1q2g7MChfMDF0Eh-GXJ7c9-XnaZSoJXGQ/view?usp=drivesdk" TargetMode="External"/><Relationship Id="rId7236" Type="http://schemas.openxmlformats.org/officeDocument/2006/relationships/hyperlink" Target="https://drive.google.com/file/d/1eAqCLI0gqVX2F8tilh_5BA_m8PH0oSY8/view?usp=drivesdk" TargetMode="External"/><Relationship Id="rId8567" Type="http://schemas.openxmlformats.org/officeDocument/2006/relationships/hyperlink" Target="https://drive.google.com/file/d/1r_3X22P89AtAakN81l1OAMcx0R6YXumh/view?usp=drivesdk" TargetMode="External"/><Relationship Id="rId7235" Type="http://schemas.openxmlformats.org/officeDocument/2006/relationships/hyperlink" Target="https://drive.google.com/file/d/1ev_aARS8Veq2yZfQjMr8Y05YEPVd1H3N/view?usp=drivesdk" TargetMode="External"/><Relationship Id="rId8566" Type="http://schemas.openxmlformats.org/officeDocument/2006/relationships/hyperlink" Target="https://drive.google.com/file/d/1Ch4KjrmknL1U_JXKUjF6DDnwyHyTC4DW/view?usp=drivesdk" TargetMode="External"/><Relationship Id="rId7234" Type="http://schemas.openxmlformats.org/officeDocument/2006/relationships/hyperlink" Target="https://drive.google.com/file/d/1uVUVaJbfMdwuakNnl-76KFw47VO2l0li/view?usp=drivesdk" TargetMode="External"/><Relationship Id="rId8565" Type="http://schemas.openxmlformats.org/officeDocument/2006/relationships/hyperlink" Target="https://drive.google.com/file/d/1VAD2k0oS4fAZggzNWhMyifxPvJSF4zXu/view?usp=drivesdk" TargetMode="External"/><Relationship Id="rId7233" Type="http://schemas.openxmlformats.org/officeDocument/2006/relationships/hyperlink" Target="https://drive.google.com/file/d/1UjDuJ-x6ttsPyjIhJuKx1XAxiVfJu4HV/view?usp=drivesdk" TargetMode="External"/><Relationship Id="rId8564" Type="http://schemas.openxmlformats.org/officeDocument/2006/relationships/hyperlink" Target="https://drive.google.com/file/d/1HeEZsPzI3NxuXdZFn7NIrXURMr8dt4FV/view?usp=drivesdk" TargetMode="External"/><Relationship Id="rId7239" Type="http://schemas.openxmlformats.org/officeDocument/2006/relationships/hyperlink" Target="https://drive.google.com/file/d/1P_bLrQnYpI27dXXgf4r67yhBYalnsuXu/view?usp=drivesdk" TargetMode="External"/><Relationship Id="rId7238" Type="http://schemas.openxmlformats.org/officeDocument/2006/relationships/hyperlink" Target="https://drive.google.com/file/d/1NTSyG9FvwH4ILR5PhsKKTkI6-_-FpbzB/view?usp=drivesdk" TargetMode="External"/><Relationship Id="rId8569" Type="http://schemas.openxmlformats.org/officeDocument/2006/relationships/hyperlink" Target="https://drive.google.com/file/d/1Ut8vOeLVzk8Q9OjDlGejoD93npFtfSbE/view?usp=drivesdk" TargetMode="External"/><Relationship Id="rId7237" Type="http://schemas.openxmlformats.org/officeDocument/2006/relationships/hyperlink" Target="https://drive.google.com/file/d/17WxQb_IbWpMnOMliVauozZaJb-weu2_w/view?usp=drivesdk" TargetMode="External"/><Relationship Id="rId8568" Type="http://schemas.openxmlformats.org/officeDocument/2006/relationships/hyperlink" Target="https://drive.google.com/file/d/1Y0o_jCi63WpAVI4uAOeu0FlraNSSVZFX/view?usp=drivesdk" TargetMode="External"/><Relationship Id="rId7221" Type="http://schemas.openxmlformats.org/officeDocument/2006/relationships/hyperlink" Target="https://drive.google.com/file/d/1EuCXOXv3fWmIJAP0V978H1s4iNt2IftF/view?usp=drivesdk" TargetMode="External"/><Relationship Id="rId8552" Type="http://schemas.openxmlformats.org/officeDocument/2006/relationships/hyperlink" Target="https://drive.google.com/file/d/1zU_Q46Wl9lh4BDIml_AqY2lTRmWwgllX/view?usp=drivesdk" TargetMode="External"/><Relationship Id="rId7220" Type="http://schemas.openxmlformats.org/officeDocument/2006/relationships/hyperlink" Target="https://drive.google.com/file/d/1vdDlaOdmVv4JzXKAL4exgVj3j14z34ca/view?usp=drivesdk" TargetMode="External"/><Relationship Id="rId8551" Type="http://schemas.openxmlformats.org/officeDocument/2006/relationships/hyperlink" Target="https://drive.google.com/file/d/1M4VG0XAygmRNZXTtLli_1gIp0Oq2nySK/view?usp=drivesdk" TargetMode="External"/><Relationship Id="rId8550" Type="http://schemas.openxmlformats.org/officeDocument/2006/relationships/hyperlink" Target="https://drive.google.com/file/d/1-TwStws7FPTYPh_pYexarDKf713zdBLG/view?usp=drivesdk" TargetMode="External"/><Relationship Id="rId7225" Type="http://schemas.openxmlformats.org/officeDocument/2006/relationships/hyperlink" Target="https://drive.google.com/file/d/1dnESu37GQqkPv1G3YdUfV-PeIQ-_whX3/view?usp=drivesdk" TargetMode="External"/><Relationship Id="rId8556" Type="http://schemas.openxmlformats.org/officeDocument/2006/relationships/hyperlink" Target="https://drive.google.com/file/d/1LnupHuXieyLtl8k3uoBwM0-jf7F2v7xx/view?usp=drivesdk" TargetMode="External"/><Relationship Id="rId7224" Type="http://schemas.openxmlformats.org/officeDocument/2006/relationships/hyperlink" Target="https://drive.google.com/file/d/1TWUvRat1LtNIsjBg0StHgrD_UT_yrh9k/view?usp=drivesdk" TargetMode="External"/><Relationship Id="rId8555" Type="http://schemas.openxmlformats.org/officeDocument/2006/relationships/hyperlink" Target="https://drive.google.com/file/d/1bySpunvk0nQ8e1HvtytgRbG3A7-P4lEH/view?usp=drivesdk" TargetMode="External"/><Relationship Id="rId7223" Type="http://schemas.openxmlformats.org/officeDocument/2006/relationships/hyperlink" Target="https://drive.google.com/file/d/1p-2b_d5xrZvyem4f9udtz6kmqpaq1SSs/view?usp=drivesdk" TargetMode="External"/><Relationship Id="rId8554" Type="http://schemas.openxmlformats.org/officeDocument/2006/relationships/hyperlink" Target="https://drive.google.com/file/d/1F6LFkcAQEmGy-hBp267VsQgh4aOb282D/view?usp=drivesdk" TargetMode="External"/><Relationship Id="rId7222" Type="http://schemas.openxmlformats.org/officeDocument/2006/relationships/hyperlink" Target="https://drive.google.com/file/d/1XgLpDyGEzWdeAVBp_rNl4NZ5m9iz_zz2/view?usp=drivesdk" TargetMode="External"/><Relationship Id="rId8553" Type="http://schemas.openxmlformats.org/officeDocument/2006/relationships/hyperlink" Target="https://drive.google.com/file/d/1aEozuwiBTrtCPXYeyiEPYSuhRfcuYi_p/view?usp=drivesdk" TargetMode="External"/><Relationship Id="rId7229" Type="http://schemas.openxmlformats.org/officeDocument/2006/relationships/hyperlink" Target="https://drive.google.com/file/d/1GWfgDhDsp8TQgUvRFmMcKSCY5halCe6_/view?usp=drivesdk" TargetMode="External"/><Relationship Id="rId7228" Type="http://schemas.openxmlformats.org/officeDocument/2006/relationships/hyperlink" Target="https://drive.google.com/file/d/1NG8HJ4noNtBg_CLZrA8OlhWlJyhsyBQW/view?usp=drivesdk" TargetMode="External"/><Relationship Id="rId8559" Type="http://schemas.openxmlformats.org/officeDocument/2006/relationships/hyperlink" Target="https://drive.google.com/file/d/1vkFgmVJoBEJVO9eLWPr90OO0nM90po8x/view?usp=drivesdk" TargetMode="External"/><Relationship Id="rId7227" Type="http://schemas.openxmlformats.org/officeDocument/2006/relationships/hyperlink" Target="https://drive.google.com/file/d/1T43VxSEDCeVLiaAm0qCJdihEKIH8XYQv/view?usp=drivesdk" TargetMode="External"/><Relationship Id="rId8558" Type="http://schemas.openxmlformats.org/officeDocument/2006/relationships/hyperlink" Target="https://drive.google.com/file/d/1KJFDU83l_R8qmXGX3QKKeFDHguokQpGp/view?usp=drivesdk" TargetMode="External"/><Relationship Id="rId7226" Type="http://schemas.openxmlformats.org/officeDocument/2006/relationships/hyperlink" Target="https://drive.google.com/file/d/1dg9Jn3e5aHnMSDbtveBdKLxUXpcumPF3/view?usp=drivesdk" TargetMode="External"/><Relationship Id="rId8557" Type="http://schemas.openxmlformats.org/officeDocument/2006/relationships/hyperlink" Target="https://drive.google.com/file/d/1AvYMhQbguW_NpsoEdnJcU4uq_8O--RfP/view?usp=drivesdk" TargetMode="External"/><Relationship Id="rId7250" Type="http://schemas.openxmlformats.org/officeDocument/2006/relationships/hyperlink" Target="https://drive.google.com/file/d/1Z7yS92eTpm97B-R9FT7baZ3IJt3f7nVP/view?usp=drivesdk" TargetMode="External"/><Relationship Id="rId8581" Type="http://schemas.openxmlformats.org/officeDocument/2006/relationships/hyperlink" Target="https://drive.google.com/file/d/1u43Z3LB856OgCX1YL-uXKmUiTHSjHw49/view?usp=drivesdk" TargetMode="External"/><Relationship Id="rId8580" Type="http://schemas.openxmlformats.org/officeDocument/2006/relationships/hyperlink" Target="https://drive.google.com/file/d/1T3JQGD2wAE-BpU2JTYf08l-SGZ1GUZC9/view?usp=drivesdk" TargetMode="External"/><Relationship Id="rId7254" Type="http://schemas.openxmlformats.org/officeDocument/2006/relationships/hyperlink" Target="https://drive.google.com/file/d/1FcIf_j-bjEwKMljNAuR-OhO-iUDO7x5h/view?usp=drivesdk" TargetMode="External"/><Relationship Id="rId8585" Type="http://schemas.openxmlformats.org/officeDocument/2006/relationships/hyperlink" Target="https://drive.google.com/file/d/1hD-pTk8Mj-CsXDKwCRPHNRrxG-1s4hCz/view?usp=drivesdk" TargetMode="External"/><Relationship Id="rId7253" Type="http://schemas.openxmlformats.org/officeDocument/2006/relationships/hyperlink" Target="https://drive.google.com/file/d/1wo2xnc5lAe3uVeO9v8fNo8QxKjgRsz7i/view?usp=drivesdk" TargetMode="External"/><Relationship Id="rId8584" Type="http://schemas.openxmlformats.org/officeDocument/2006/relationships/hyperlink" Target="https://drive.google.com/file/d/1cZLYEyIO9Dz6-GHDQXHabNf7B7cffEgj/view?usp=drivesdk" TargetMode="External"/><Relationship Id="rId7252" Type="http://schemas.openxmlformats.org/officeDocument/2006/relationships/hyperlink" Target="https://drive.google.com/file/d/1YjQJP4xNnXEuVAlFDbKFJedxjWjp7Db1/view?usp=drivesdk" TargetMode="External"/><Relationship Id="rId8583" Type="http://schemas.openxmlformats.org/officeDocument/2006/relationships/hyperlink" Target="https://drive.google.com/file/d/1aOS1SDvYGeuqQeWxPxKI9a7yJMTdggJh/view?usp=drivesdk" TargetMode="External"/><Relationship Id="rId7251" Type="http://schemas.openxmlformats.org/officeDocument/2006/relationships/hyperlink" Target="https://drive.google.com/file/d/1BHPjCndzSQP6VXW6PPNdgGVA1N66WAJL/view?usp=drivesdk" TargetMode="External"/><Relationship Id="rId8582" Type="http://schemas.openxmlformats.org/officeDocument/2006/relationships/hyperlink" Target="https://drive.google.com/file/d/1Zg6Nc02uwkYzMH4QwNDRg3Tvb8qhen4E/view?usp=drivesdk" TargetMode="External"/><Relationship Id="rId7258" Type="http://schemas.openxmlformats.org/officeDocument/2006/relationships/hyperlink" Target="https://drive.google.com/file/d/1w5_IW17Efrvj1M3F8z7TiIiwAXeV4s3O/view?usp=drivesdk" TargetMode="External"/><Relationship Id="rId8589" Type="http://schemas.openxmlformats.org/officeDocument/2006/relationships/hyperlink" Target="https://drive.google.com/file/d/1YIKLJSPxqoKxK6Cf6FxZ-A514wrOC9zp/view?usp=drivesdk" TargetMode="External"/><Relationship Id="rId7257" Type="http://schemas.openxmlformats.org/officeDocument/2006/relationships/hyperlink" Target="https://drive.google.com/file/d/1IlNlAG3rS7scICARJNdXRz0Y_ayJRHNF/view?usp=drivesdk" TargetMode="External"/><Relationship Id="rId8588" Type="http://schemas.openxmlformats.org/officeDocument/2006/relationships/hyperlink" Target="https://drive.google.com/file/d/1k5aEC1Kd0suls9rPR7-CCZzBuUOrsn6F/view?usp=drivesdk" TargetMode="External"/><Relationship Id="rId7256" Type="http://schemas.openxmlformats.org/officeDocument/2006/relationships/hyperlink" Target="https://drive.google.com/file/d/1kMDmJIusdAW5niuMm71uKLccKnzejsCZ/view?usp=drivesdk" TargetMode="External"/><Relationship Id="rId8587" Type="http://schemas.openxmlformats.org/officeDocument/2006/relationships/hyperlink" Target="https://drive.google.com/file/d/1buS5loXma06WdBDq-CYjQSiEvGwkVuoc/view?usp=drivesdk" TargetMode="External"/><Relationship Id="rId7255" Type="http://schemas.openxmlformats.org/officeDocument/2006/relationships/hyperlink" Target="https://drive.google.com/file/d/18bP4_pjX0py6lfcNAUdScUdqymjC_eeG/view?usp=drivesdk" TargetMode="External"/><Relationship Id="rId8586" Type="http://schemas.openxmlformats.org/officeDocument/2006/relationships/hyperlink" Target="https://drive.google.com/file/d/1mhUM2_vZrDI-kYBA2IywQN007-TT9hxM/view?usp=drivesdk" TargetMode="External"/><Relationship Id="rId7259" Type="http://schemas.openxmlformats.org/officeDocument/2006/relationships/hyperlink" Target="https://drive.google.com/file/d/1Hp-ppmR1lIuCJIwKQfbnO7Qd1aaY_YAj/view?usp=drivesdk" TargetMode="External"/><Relationship Id="rId8570" Type="http://schemas.openxmlformats.org/officeDocument/2006/relationships/hyperlink" Target="https://drive.google.com/file/d/1ndZGd98q1vQMc9Vjb2n3U28-vBXmCRWx/view?usp=drivesdk" TargetMode="External"/><Relationship Id="rId7243" Type="http://schemas.openxmlformats.org/officeDocument/2006/relationships/hyperlink" Target="https://drive.google.com/file/d/1ZmDgEoPuCl0IHE69dbKn5OOncd4_--nr/view?usp=drivesdk" TargetMode="External"/><Relationship Id="rId8574" Type="http://schemas.openxmlformats.org/officeDocument/2006/relationships/hyperlink" Target="https://drive.google.com/file/d/1cioAGcbtRMbWTApABi7KLXh15aJ5X288/view?usp=drivesdk" TargetMode="External"/><Relationship Id="rId7242" Type="http://schemas.openxmlformats.org/officeDocument/2006/relationships/hyperlink" Target="https://drive.google.com/file/d/1jnOZxZS7KiAMI_O8DxALQUVI7ePy_pIj/view?usp=drivesdk" TargetMode="External"/><Relationship Id="rId8573" Type="http://schemas.openxmlformats.org/officeDocument/2006/relationships/hyperlink" Target="https://drive.google.com/file/d/1EybQzV001ZVN1Wpijy3QEd1aUmL1JbEc/view?usp=drivesdk" TargetMode="External"/><Relationship Id="rId7241" Type="http://schemas.openxmlformats.org/officeDocument/2006/relationships/hyperlink" Target="https://drive.google.com/file/d/10O9zciulXw70nshdXWXqqXcdFalrWkaL/view?usp=drivesdk" TargetMode="External"/><Relationship Id="rId8572" Type="http://schemas.openxmlformats.org/officeDocument/2006/relationships/hyperlink" Target="https://drive.google.com/file/d/1XzzansCScXSCKEDgzcED0QwkiWaQW8Yg/view?usp=drivesdk" TargetMode="External"/><Relationship Id="rId7240" Type="http://schemas.openxmlformats.org/officeDocument/2006/relationships/hyperlink" Target="https://drive.google.com/file/d/1CHYhRs7Oo5KjiBexz_Z8WXbMQS_OqNew/view?usp=drivesdk" TargetMode="External"/><Relationship Id="rId8571" Type="http://schemas.openxmlformats.org/officeDocument/2006/relationships/hyperlink" Target="https://drive.google.com/file/d/1thugXUSS-bypOv7UVkZ-1c9Xyh2KAJQn/view?usp=drivesdk" TargetMode="External"/><Relationship Id="rId7247" Type="http://schemas.openxmlformats.org/officeDocument/2006/relationships/hyperlink" Target="https://drive.google.com/file/d/1u7jCRR_4syTKbkFp5wljvifBPEBFaEY4/view?usp=drivesdk" TargetMode="External"/><Relationship Id="rId8578" Type="http://schemas.openxmlformats.org/officeDocument/2006/relationships/hyperlink" Target="https://drive.google.com/file/d/1QRSVQdXnV1AmYbSFbdFYU8czDF3XiHLr/view?usp=drivesdk" TargetMode="External"/><Relationship Id="rId7246" Type="http://schemas.openxmlformats.org/officeDocument/2006/relationships/hyperlink" Target="https://drive.google.com/file/d/1P03yhSfFcdaK3cbCb1HKsQwAHZFS5o0m/view?usp=drivesdk" TargetMode="External"/><Relationship Id="rId8577" Type="http://schemas.openxmlformats.org/officeDocument/2006/relationships/hyperlink" Target="https://drive.google.com/file/d/1gvgi6EsVk7oQ05DTF-ZocPvpVYtUItcw/view?usp=drivesdk" TargetMode="External"/><Relationship Id="rId7245" Type="http://schemas.openxmlformats.org/officeDocument/2006/relationships/hyperlink" Target="https://drive.google.com/file/d/1qyodFDfePU3FzZ_UCcAQahvrJILJXBjb/view?usp=drivesdk" TargetMode="External"/><Relationship Id="rId8576" Type="http://schemas.openxmlformats.org/officeDocument/2006/relationships/hyperlink" Target="https://drive.google.com/file/d/1bVTwiM7gmXtibUDxjkh-CSll5WvtkcQC/view?usp=drivesdk" TargetMode="External"/><Relationship Id="rId7244" Type="http://schemas.openxmlformats.org/officeDocument/2006/relationships/hyperlink" Target="https://drive.google.com/file/d/1DoNQfd1DAgJtkZs7Gnk2VGUj049G8Wf_/view?usp=drivesdk" TargetMode="External"/><Relationship Id="rId8575" Type="http://schemas.openxmlformats.org/officeDocument/2006/relationships/hyperlink" Target="https://drive.google.com/file/d/14oEaa-Bi2DTkkKi8H5-VbJ59OpsWxfLw/view?usp=drivesdk" TargetMode="External"/><Relationship Id="rId7249" Type="http://schemas.openxmlformats.org/officeDocument/2006/relationships/hyperlink" Target="https://drive.google.com/file/d/11Nh6s56R6Esw5sXgcTlrdMMnGuktQRpw/view?usp=drivesdk" TargetMode="External"/><Relationship Id="rId7248" Type="http://schemas.openxmlformats.org/officeDocument/2006/relationships/hyperlink" Target="https://drive.google.com/file/d/1tBuytkRwTfx5G5skTpktrtS2OTBROBH8/view?usp=drivesdk" TargetMode="External"/><Relationship Id="rId8579" Type="http://schemas.openxmlformats.org/officeDocument/2006/relationships/hyperlink" Target="https://drive.google.com/file/d/13dHK5mN8e5P6fRkarJm1iwjr346WV4JA/view?usp=drivesdk" TargetMode="External"/><Relationship Id="rId2423" Type="http://schemas.openxmlformats.org/officeDocument/2006/relationships/hyperlink" Target="https://drive.google.com/file/d/1o6solgP8cD9t3GbjFGRFKE0XoWjlaTYz/view?usp=drivesdk" TargetMode="External"/><Relationship Id="rId3755" Type="http://schemas.openxmlformats.org/officeDocument/2006/relationships/hyperlink" Target="https://drive.google.com/file/d/1OUqD0DLA0gXZc7cE7XnaFDPlemS8K3r3/view?usp=drivesdk" TargetMode="External"/><Relationship Id="rId2424" Type="http://schemas.openxmlformats.org/officeDocument/2006/relationships/hyperlink" Target="https://drive.google.com/file/d/1OMowgydVe6ih760iJnXAVy5Xvw4hmltb/view?usp=drivesdk" TargetMode="External"/><Relationship Id="rId3754" Type="http://schemas.openxmlformats.org/officeDocument/2006/relationships/hyperlink" Target="https://drive.google.com/file/d/1qivgAIu2OKO8rgwNp0R3ZS1bhm2wfDZs/view?usp=drivesdk" TargetMode="External"/><Relationship Id="rId2425" Type="http://schemas.openxmlformats.org/officeDocument/2006/relationships/hyperlink" Target="https://drive.google.com/file/d/1XoCjETPCXGY3LlsBcsMQBJuWbADYtwdp/view?usp=drivesdk" TargetMode="External"/><Relationship Id="rId3757" Type="http://schemas.openxmlformats.org/officeDocument/2006/relationships/hyperlink" Target="https://drive.google.com/file/d/17Gf0RXGVXUlSMzmwmBD12igi9ARRar8h/view?usp=drivesdk" TargetMode="External"/><Relationship Id="rId2426" Type="http://schemas.openxmlformats.org/officeDocument/2006/relationships/hyperlink" Target="https://drive.google.com/file/d/1TdvtN_f9qbDQn6zqmAzEAPPM5-TrWPd-/view?usp=drivesdk" TargetMode="External"/><Relationship Id="rId3756" Type="http://schemas.openxmlformats.org/officeDocument/2006/relationships/hyperlink" Target="https://drive.google.com/file/d/1-d91pXUzQtBZF-U7i405xn5zLTPS0eCr/view?usp=drivesdk" TargetMode="External"/><Relationship Id="rId2427" Type="http://schemas.openxmlformats.org/officeDocument/2006/relationships/hyperlink" Target="https://drive.google.com/file/d/10xfXO-ZbGJw9ZqGVEgzSXLoZzD8EID9g/view?usp=drivesdk" TargetMode="External"/><Relationship Id="rId3759" Type="http://schemas.openxmlformats.org/officeDocument/2006/relationships/hyperlink" Target="https://drive.google.com/file/d/1zMxQRpdO2huFYTrqTrfepz67gScRgzkc/view?usp=drivesdk" TargetMode="External"/><Relationship Id="rId2428" Type="http://schemas.openxmlformats.org/officeDocument/2006/relationships/hyperlink" Target="https://drive.google.com/file/d/1IdV99K87a8WOj9rhyU5gJFlWGasx3QJL/view?usp=drivesdk" TargetMode="External"/><Relationship Id="rId3758" Type="http://schemas.openxmlformats.org/officeDocument/2006/relationships/hyperlink" Target="https://drive.google.com/file/d/1OPdka7zWHeCOFUsr5rwNR3SnBYVS8n2B/view?usp=drivesdk" TargetMode="External"/><Relationship Id="rId2429" Type="http://schemas.openxmlformats.org/officeDocument/2006/relationships/hyperlink" Target="https://drive.google.com/file/d/1vWB5bC8vCC68NSbhCX60tCyo5fxrqzD_/view?usp=drivesdk" TargetMode="External"/><Relationship Id="rId3751" Type="http://schemas.openxmlformats.org/officeDocument/2006/relationships/hyperlink" Target="https://drive.google.com/file/d/1c2P3PI3YyxkVy5yHfd_0f2OS7gkugndp/view?usp=drivesdk" TargetMode="External"/><Relationship Id="rId2420" Type="http://schemas.openxmlformats.org/officeDocument/2006/relationships/hyperlink" Target="https://drive.google.com/file/d/1HDihEgpbaHVZao0SR7gqX6Ly1oVrATRB/view?usp=drivesdk" TargetMode="External"/><Relationship Id="rId3750" Type="http://schemas.openxmlformats.org/officeDocument/2006/relationships/hyperlink" Target="https://drive.google.com/file/d/1Z6A1PjDTDkoV0CzzbpxMIRpTGSXiN9H0/view?usp=drivesdk" TargetMode="External"/><Relationship Id="rId2421" Type="http://schemas.openxmlformats.org/officeDocument/2006/relationships/hyperlink" Target="https://drive.google.com/file/d/117aYiqYcQhvqlieVWxN4AzLY_3yPP9zl/view?usp=drivesdk" TargetMode="External"/><Relationship Id="rId3753" Type="http://schemas.openxmlformats.org/officeDocument/2006/relationships/hyperlink" Target="https://drive.google.com/file/d/1PjuisACg24H0-5Aj4Grx97VcBclh435g/view?usp=drivesdk" TargetMode="External"/><Relationship Id="rId2422" Type="http://schemas.openxmlformats.org/officeDocument/2006/relationships/hyperlink" Target="https://drive.google.com/file/d/1TmZRaWF4BPE6M_6wUtrv0JBxXtq0n2sj/view?usp=drivesdk" TargetMode="External"/><Relationship Id="rId3752" Type="http://schemas.openxmlformats.org/officeDocument/2006/relationships/hyperlink" Target="https://drive.google.com/file/d/1SZH6RjWa4eytzsK1nizkjdfeW3RgnUhs/view?usp=drivesdk" TargetMode="External"/><Relationship Id="rId2412" Type="http://schemas.openxmlformats.org/officeDocument/2006/relationships/hyperlink" Target="https://drive.google.com/file/d/1JuhT33spqyQn7H8gl26cXie7rMoN75ET/view?usp=drivesdk" TargetMode="External"/><Relationship Id="rId3744" Type="http://schemas.openxmlformats.org/officeDocument/2006/relationships/hyperlink" Target="https://drive.google.com/file/d/1UaaR07D-cZZf5pDwQazVv8JYFBaE4c2y/view?usp=drivesdk" TargetMode="External"/><Relationship Id="rId2413" Type="http://schemas.openxmlformats.org/officeDocument/2006/relationships/hyperlink" Target="https://drive.google.com/file/d/18ckqmY3-zU5WXwS1Qsc5Tcm2TrSv-7kD/view?usp=drivesdk" TargetMode="External"/><Relationship Id="rId3743" Type="http://schemas.openxmlformats.org/officeDocument/2006/relationships/hyperlink" Target="https://drive.google.com/file/d/1ihXljQqHmm0jZ8wXfTTwGL8CR0quz_Jj/view?usp=drivesdk" TargetMode="External"/><Relationship Id="rId2414" Type="http://schemas.openxmlformats.org/officeDocument/2006/relationships/hyperlink" Target="https://drive.google.com/file/d/1BdimLkapuFjHIyyU25GkM5plVeea2Kv2/view?usp=drivesdk" TargetMode="External"/><Relationship Id="rId3746" Type="http://schemas.openxmlformats.org/officeDocument/2006/relationships/hyperlink" Target="https://drive.google.com/file/d/1iXAQ-TRbNSscC-JWbm1gHyjv5EalQEUY/view?usp=drivesdk" TargetMode="External"/><Relationship Id="rId2415" Type="http://schemas.openxmlformats.org/officeDocument/2006/relationships/hyperlink" Target="https://drive.google.com/file/d/1wPnVm8qLzf-1hcKoTcV6Wx9m71y7mizc/view?usp=drivesdk" TargetMode="External"/><Relationship Id="rId3745" Type="http://schemas.openxmlformats.org/officeDocument/2006/relationships/hyperlink" Target="https://drive.google.com/file/d/1bqqspeKxqhNBAZAKBdN41L2hHx4AYSbA/view?usp=drivesdk" TargetMode="External"/><Relationship Id="rId2416" Type="http://schemas.openxmlformats.org/officeDocument/2006/relationships/hyperlink" Target="https://drive.google.com/file/d/1SnTeeHfqmWSYa_j88EtujY5MIuAPjIhW/view?usp=drivesdk" TargetMode="External"/><Relationship Id="rId3748" Type="http://schemas.openxmlformats.org/officeDocument/2006/relationships/hyperlink" Target="https://drive.google.com/file/d/1a6LwcecfdwqORz2kITuETuFA0f6eD6Jx/view?usp=drivesdk" TargetMode="External"/><Relationship Id="rId2417" Type="http://schemas.openxmlformats.org/officeDocument/2006/relationships/hyperlink" Target="https://drive.google.com/file/d/1WFRPHPeCrpUD7lXhs98B-9tRCddRkgcR/view?usp=drivesdk" TargetMode="External"/><Relationship Id="rId3747" Type="http://schemas.openxmlformats.org/officeDocument/2006/relationships/hyperlink" Target="https://drive.google.com/file/d/1FZcmmYQAFG1j2rasmbVtMXyx6Dt-Y2Qj/view?usp=drivesdk" TargetMode="External"/><Relationship Id="rId2418" Type="http://schemas.openxmlformats.org/officeDocument/2006/relationships/hyperlink" Target="https://drive.google.com/file/d/154GkPQk8-jxQ0iKVTvRjmKZhJzKSc3FJ/view?usp=drivesdk" TargetMode="External"/><Relationship Id="rId2419" Type="http://schemas.openxmlformats.org/officeDocument/2006/relationships/hyperlink" Target="https://drive.google.com/file/d/1CaIZiHwqm99yWqSyA6jEoXNozQFVoYrh/view?usp=drivesdk" TargetMode="External"/><Relationship Id="rId3749" Type="http://schemas.openxmlformats.org/officeDocument/2006/relationships/hyperlink" Target="https://drive.google.com/file/d/1L6hrsGlJ_BxK9k1hqJjJYw2h6x_lLhzT/view?usp=drivesdk" TargetMode="External"/><Relationship Id="rId3740" Type="http://schemas.openxmlformats.org/officeDocument/2006/relationships/hyperlink" Target="https://drive.google.com/file/d/1B9TypZdoHmVw5XLLxfSwBMfE-SXLohEV/view?usp=drivesdk" TargetMode="External"/><Relationship Id="rId2410" Type="http://schemas.openxmlformats.org/officeDocument/2006/relationships/hyperlink" Target="https://drive.google.com/file/d/1ZR84KSyde9rffHfqCPoFXgM8HUhCP3Oe/view?usp=drivesdk" TargetMode="External"/><Relationship Id="rId3742" Type="http://schemas.openxmlformats.org/officeDocument/2006/relationships/hyperlink" Target="https://drive.google.com/file/d/1lDkLYZZKKycki_XQo58FhnZcdMW7A1df/view?usp=drivesdk" TargetMode="External"/><Relationship Id="rId2411" Type="http://schemas.openxmlformats.org/officeDocument/2006/relationships/hyperlink" Target="https://drive.google.com/file/d/19x_pmVh8pXFuG5RSVf7zSQcuoIgaGwgg/view?usp=drivesdk" TargetMode="External"/><Relationship Id="rId3741" Type="http://schemas.openxmlformats.org/officeDocument/2006/relationships/hyperlink" Target="https://drive.google.com/file/d/1IlHeWV3AmGl6f59TsMJkZlYbc6TdgzDR/view?usp=drivesdk" TargetMode="External"/><Relationship Id="rId1114" Type="http://schemas.openxmlformats.org/officeDocument/2006/relationships/hyperlink" Target="https://drive.google.com/file/d/1InEPTsJALKLcgyksDvgP5QkRVLDw3486/view?usp=drivesdk" TargetMode="External"/><Relationship Id="rId2445" Type="http://schemas.openxmlformats.org/officeDocument/2006/relationships/hyperlink" Target="https://drive.google.com/file/d/1VCxeT6Mg5CBXZnotQEAmGz4NltR5AtGn/view?usp=drivesdk" TargetMode="External"/><Relationship Id="rId3777" Type="http://schemas.openxmlformats.org/officeDocument/2006/relationships/hyperlink" Target="https://drive.google.com/file/d/1zLd7_lJBTh4TLVyuhNPVFO1O1RiOE66v/view?usp=drivesdk" TargetMode="External"/><Relationship Id="rId1115" Type="http://schemas.openxmlformats.org/officeDocument/2006/relationships/hyperlink" Target="https://drive.google.com/file/d/16t9WlnkWtCIQQzalU53WcQc4zvO__gqg/view?usp=drivesdk" TargetMode="External"/><Relationship Id="rId2446" Type="http://schemas.openxmlformats.org/officeDocument/2006/relationships/hyperlink" Target="https://drive.google.com/file/d/1AE0WXTKLLm5taZucL7-g1Nb71cqB20oV/view?usp=drivesdk" TargetMode="External"/><Relationship Id="rId3776" Type="http://schemas.openxmlformats.org/officeDocument/2006/relationships/hyperlink" Target="https://drive.google.com/file/d/1NIOj_zDzaYjD1n7WMqQA88WkVL28fMM_/view?usp=drivesdk" TargetMode="External"/><Relationship Id="rId1116" Type="http://schemas.openxmlformats.org/officeDocument/2006/relationships/hyperlink" Target="https://drive.google.com/file/d/1cDIVdgD_Vn4RQGNt5kkFyskdOjXBZBZv/view?usp=drivesdk" TargetMode="External"/><Relationship Id="rId2447" Type="http://schemas.openxmlformats.org/officeDocument/2006/relationships/hyperlink" Target="https://drive.google.com/file/d/1gDQz8f2lhkS2dvwdoX8gvZPZagiA4xJJ/view?usp=drivesdk" TargetMode="External"/><Relationship Id="rId3779" Type="http://schemas.openxmlformats.org/officeDocument/2006/relationships/hyperlink" Target="https://drive.google.com/file/d/1fQX8nPE8gfL2LCFu9Iuk6cEJxGjdUi41/view?usp=drivesdk" TargetMode="External"/><Relationship Id="rId1117" Type="http://schemas.openxmlformats.org/officeDocument/2006/relationships/hyperlink" Target="https://drive.google.com/file/d/1GYKZFU4Js1chRe4rmim8MJn5eg7jQj-U/view?usp=drivesdk" TargetMode="External"/><Relationship Id="rId2448" Type="http://schemas.openxmlformats.org/officeDocument/2006/relationships/hyperlink" Target="https://drive.google.com/file/d/1KqquE3aOzVHna6o4flsEtb6FifaDOmn7/view?usp=drivesdk" TargetMode="External"/><Relationship Id="rId3778" Type="http://schemas.openxmlformats.org/officeDocument/2006/relationships/hyperlink" Target="https://drive.google.com/file/d/12-IwRVtDwesAt_nBu6vZeLWGv-Gj-FDy/view?usp=drivesdk" TargetMode="External"/><Relationship Id="rId1118" Type="http://schemas.openxmlformats.org/officeDocument/2006/relationships/hyperlink" Target="https://drive.google.com/file/d/1XE5mQ8fAt5POFGmFA7o2O8npv9k-8bHs/view?usp=drivesdk" TargetMode="External"/><Relationship Id="rId2449" Type="http://schemas.openxmlformats.org/officeDocument/2006/relationships/hyperlink" Target="https://drive.google.com/file/d/1ckvuET9KBzen4dl6MiTQcMNqVRRfStTn/view?usp=drivesdk" TargetMode="External"/><Relationship Id="rId1119" Type="http://schemas.openxmlformats.org/officeDocument/2006/relationships/hyperlink" Target="https://drive.google.com/file/d/13zaiOzFx5KSoLM8Klu-3AoUFcIFLBDfb/view?usp=drivesdk" TargetMode="External"/><Relationship Id="rId3771" Type="http://schemas.openxmlformats.org/officeDocument/2006/relationships/hyperlink" Target="https://drive.google.com/file/d/1KWOj3YKsHWHbmVPi7DkPGQRxpilyKrH_/view?usp=drivesdk" TargetMode="External"/><Relationship Id="rId2440" Type="http://schemas.openxmlformats.org/officeDocument/2006/relationships/hyperlink" Target="https://drive.google.com/file/d/1FHc1vNbjt-cYep4H-mwuFMKT6ssB1-bk/view?usp=drivesdk" TargetMode="External"/><Relationship Id="rId3770" Type="http://schemas.openxmlformats.org/officeDocument/2006/relationships/hyperlink" Target="https://drive.google.com/file/d/1B9I4EyC0b6aGV8I1umimg2ymNvL7Tenh/view?usp=drivesdk" TargetMode="External"/><Relationship Id="rId1110" Type="http://schemas.openxmlformats.org/officeDocument/2006/relationships/hyperlink" Target="https://drive.google.com/file/d/1UuMUJ97k1L06RfjzcZcXEnj9-wFUFB8d/view?usp=drivesdk" TargetMode="External"/><Relationship Id="rId2441" Type="http://schemas.openxmlformats.org/officeDocument/2006/relationships/hyperlink" Target="https://drive.google.com/file/d/10bDOjNX4UPprqBiOHJ3FMeJfgSWzuoXY/view?usp=drivesdk" TargetMode="External"/><Relationship Id="rId3773" Type="http://schemas.openxmlformats.org/officeDocument/2006/relationships/hyperlink" Target="https://drive.google.com/file/d/16gPu70olpFO5_N4Y6TGRiy9bCjOghwnH/view?usp=drivesdk" TargetMode="External"/><Relationship Id="rId1111" Type="http://schemas.openxmlformats.org/officeDocument/2006/relationships/hyperlink" Target="https://drive.google.com/file/d/1DHxz0HHrknIDyU-77m0uRGFLDrEskiAt/view?usp=drivesdk" TargetMode="External"/><Relationship Id="rId2442" Type="http://schemas.openxmlformats.org/officeDocument/2006/relationships/hyperlink" Target="https://drive.google.com/file/d/1zbq20WWyYE-vM2M_CX0aDeuDCRMr17VG/view?usp=drivesdk" TargetMode="External"/><Relationship Id="rId3772" Type="http://schemas.openxmlformats.org/officeDocument/2006/relationships/hyperlink" Target="https://drive.google.com/file/d/1OSQajSJ_W5aZegQJaptpZ15prondYl9B/view?usp=drivesdk" TargetMode="External"/><Relationship Id="rId1112" Type="http://schemas.openxmlformats.org/officeDocument/2006/relationships/hyperlink" Target="https://drive.google.com/file/d/1ZqDHKmWsZZ51gZIg-KgSJALdvsK-X4Cc/view?usp=drivesdk" TargetMode="External"/><Relationship Id="rId2443" Type="http://schemas.openxmlformats.org/officeDocument/2006/relationships/hyperlink" Target="https://drive.google.com/file/d/1m4Wpu53h7aVcU9q_-lFkWveUnv5l8jaD/view?usp=drivesdk" TargetMode="External"/><Relationship Id="rId3775" Type="http://schemas.openxmlformats.org/officeDocument/2006/relationships/hyperlink" Target="https://drive.google.com/file/d/1htrYsNGeR41b3dxYoxax-rbAj9F6Cy8r/view?usp=drivesdk" TargetMode="External"/><Relationship Id="rId1113" Type="http://schemas.openxmlformats.org/officeDocument/2006/relationships/hyperlink" Target="https://drive.google.com/file/d/1mxJrmqZX9WCyfuOouPxst2LvK6LBPmWL/view?usp=drivesdk" TargetMode="External"/><Relationship Id="rId2444" Type="http://schemas.openxmlformats.org/officeDocument/2006/relationships/hyperlink" Target="https://drive.google.com/file/d/1cgfF2HSj8Pbdr-CWwNqruG9EexavtXdE/view?usp=drivesdk" TargetMode="External"/><Relationship Id="rId3774" Type="http://schemas.openxmlformats.org/officeDocument/2006/relationships/hyperlink" Target="https://drive.google.com/file/d/12__nV2OJFrcSy_1qR3JYX4zzVnr2XKkG/view?usp=drivesdk" TargetMode="External"/><Relationship Id="rId1103" Type="http://schemas.openxmlformats.org/officeDocument/2006/relationships/hyperlink" Target="https://drive.google.com/file/d/1kAq5YgOcuWb6fjjXq0jOGggj37Xfj8YV/view?usp=drivesdk" TargetMode="External"/><Relationship Id="rId2434" Type="http://schemas.openxmlformats.org/officeDocument/2006/relationships/hyperlink" Target="https://drive.google.com/file/d/1KaejYWplcBNU9FSjVFJWJCUEJ4xRc6YL/view?usp=drivesdk" TargetMode="External"/><Relationship Id="rId3766" Type="http://schemas.openxmlformats.org/officeDocument/2006/relationships/hyperlink" Target="https://drive.google.com/file/d/1gUL_8s520aAeIrWXiMHe0TnmnvWtvkCY/view?usp=drivesdk" TargetMode="External"/><Relationship Id="rId1104" Type="http://schemas.openxmlformats.org/officeDocument/2006/relationships/hyperlink" Target="https://drive.google.com/file/d/1lPjfM27h6HngpZyjatleBZG_tD2u434V/view?usp=drivesdk" TargetMode="External"/><Relationship Id="rId2435" Type="http://schemas.openxmlformats.org/officeDocument/2006/relationships/hyperlink" Target="https://drive.google.com/file/d/1Hmbj-wLHulyoGZueEjgC0XkcfMQ6JDqo/view?usp=drivesdk" TargetMode="External"/><Relationship Id="rId3765" Type="http://schemas.openxmlformats.org/officeDocument/2006/relationships/hyperlink" Target="https://drive.google.com/file/d/1TET3_QNdxUpiNnwfVogPR2PsdQdZdAbg/view?usp=drivesdk" TargetMode="External"/><Relationship Id="rId1105" Type="http://schemas.openxmlformats.org/officeDocument/2006/relationships/hyperlink" Target="https://drive.google.com/file/d/1eA45BMbO4b9CJ7Pcz9F9EWTdt9dQrdXP/view?usp=drivesdk" TargetMode="External"/><Relationship Id="rId2436" Type="http://schemas.openxmlformats.org/officeDocument/2006/relationships/hyperlink" Target="https://drive.google.com/file/d/1qWD1UlNRxVQiTjW9ev8t-wKZ0t39Szr-/view?usp=drivesdk" TargetMode="External"/><Relationship Id="rId3768" Type="http://schemas.openxmlformats.org/officeDocument/2006/relationships/hyperlink" Target="https://drive.google.com/file/d/1N3GCG6T5TMrlvUVtYn6sW4wHmOHbtwvw/view?usp=drivesdk" TargetMode="External"/><Relationship Id="rId1106" Type="http://schemas.openxmlformats.org/officeDocument/2006/relationships/hyperlink" Target="https://drive.google.com/file/d/1FTFmn2v_DaT3z7jCjDLO0SQAoL5GTomM/view?usp=drivesdk" TargetMode="External"/><Relationship Id="rId2437" Type="http://schemas.openxmlformats.org/officeDocument/2006/relationships/hyperlink" Target="https://drive.google.com/file/d/1dCPssVLxERqd0aWGTl5uJI7e__MhaNMJ/view?usp=drivesdk" TargetMode="External"/><Relationship Id="rId3767" Type="http://schemas.openxmlformats.org/officeDocument/2006/relationships/hyperlink" Target="https://drive.google.com/file/d/1A-DvotCiND511Enf5PmEiL-zDl73YcvR/view?usp=drivesdk" TargetMode="External"/><Relationship Id="rId1107" Type="http://schemas.openxmlformats.org/officeDocument/2006/relationships/hyperlink" Target="https://drive.google.com/file/d/1Hk-ijfIeAvY9Fo473SlnJGTRbXPBj0WZ/view?usp=drivesdk" TargetMode="External"/><Relationship Id="rId2438" Type="http://schemas.openxmlformats.org/officeDocument/2006/relationships/hyperlink" Target="https://drive.google.com/file/d/1wvxNJp7qqBnwzTLO95oZmT5x3NBXNael/view?usp=drivesdk" TargetMode="External"/><Relationship Id="rId1108" Type="http://schemas.openxmlformats.org/officeDocument/2006/relationships/hyperlink" Target="https://drive.google.com/file/d/1UJH-EKVBbiFBYADrxz0fvcXNin-pwEYo/view?usp=drivesdk" TargetMode="External"/><Relationship Id="rId2439" Type="http://schemas.openxmlformats.org/officeDocument/2006/relationships/hyperlink" Target="https://drive.google.com/file/d/1w8XYYF4iPsLnqSNEseL40ZRAooe30cpP/view?usp=drivesdk" TargetMode="External"/><Relationship Id="rId3769" Type="http://schemas.openxmlformats.org/officeDocument/2006/relationships/hyperlink" Target="https://drive.google.com/file/d/1nK_yoeW66CSyJ8B2cn0uLQOlo86rGfJD/view?usp=drivesdk" TargetMode="External"/><Relationship Id="rId1109" Type="http://schemas.openxmlformats.org/officeDocument/2006/relationships/hyperlink" Target="https://drive.google.com/file/d/1_y4M_JdWcISWHREaygqiokJdGGgUVJGP/view?usp=drivesdk" TargetMode="External"/><Relationship Id="rId3760" Type="http://schemas.openxmlformats.org/officeDocument/2006/relationships/hyperlink" Target="https://drive.google.com/file/d/1iLoqQQL0QLXSDHXJSWQlFz5aZ1MFVs1q/view?usp=drivesdk" TargetMode="External"/><Relationship Id="rId2430" Type="http://schemas.openxmlformats.org/officeDocument/2006/relationships/hyperlink" Target="https://drive.google.com/file/d/1_HpWVKID4K21OnfnkaJgKuEa1fRZjx3j/view?usp=drivesdk" TargetMode="External"/><Relationship Id="rId3762" Type="http://schemas.openxmlformats.org/officeDocument/2006/relationships/hyperlink" Target="https://drive.google.com/file/d/1AhkUW1L_cXgfzYS9DEJRd0Vj8QU0h4tK/view?usp=drivesdk" TargetMode="External"/><Relationship Id="rId1100" Type="http://schemas.openxmlformats.org/officeDocument/2006/relationships/hyperlink" Target="https://drive.google.com/file/d/1AloEfDieuDOj0ALPt6ittONsLcP1HanZ/view?usp=drivesdk" TargetMode="External"/><Relationship Id="rId2431" Type="http://schemas.openxmlformats.org/officeDocument/2006/relationships/hyperlink" Target="https://drive.google.com/file/d/1GwnzP0LYvFEdJMAIrDf3ShnqLaenZef6/view?usp=drivesdk" TargetMode="External"/><Relationship Id="rId3761" Type="http://schemas.openxmlformats.org/officeDocument/2006/relationships/hyperlink" Target="https://drive.google.com/file/d/1Xw-Zx4LBTOp0BqkBbcNmTtw1CT_9Pbb4/view?usp=drivesdk" TargetMode="External"/><Relationship Id="rId1101" Type="http://schemas.openxmlformats.org/officeDocument/2006/relationships/hyperlink" Target="https://drive.google.com/file/d/1I7iTStV5KGZSH1PHgN5NargHxmlCP_EV/view?usp=drivesdk" TargetMode="External"/><Relationship Id="rId2432" Type="http://schemas.openxmlformats.org/officeDocument/2006/relationships/hyperlink" Target="https://drive.google.com/file/d/1Ni983k5JWPKgDljEBR3pIEaENGnukRhT/view?usp=drivesdk" TargetMode="External"/><Relationship Id="rId3764" Type="http://schemas.openxmlformats.org/officeDocument/2006/relationships/hyperlink" Target="https://drive.google.com/file/d/1Ly3B1Ln7gN-DnziiXDVWsCJrLxXOtMtu/view?usp=drivesdk" TargetMode="External"/><Relationship Id="rId1102" Type="http://schemas.openxmlformats.org/officeDocument/2006/relationships/hyperlink" Target="https://drive.google.com/file/d/1M4Tb9m4KwI2eg_ulDLKJmLaFaMMzZWEc/view?usp=drivesdk" TargetMode="External"/><Relationship Id="rId2433" Type="http://schemas.openxmlformats.org/officeDocument/2006/relationships/hyperlink" Target="https://drive.google.com/file/d/10nUEoV0rr5FwdTTV5d6K9OsqE5mSewih/view?usp=drivesdk" TargetMode="External"/><Relationship Id="rId3763" Type="http://schemas.openxmlformats.org/officeDocument/2006/relationships/hyperlink" Target="https://drive.google.com/file/d/1pkx3vb6PgGuCjyR9HbW7k3ctHDOQAiRX/view?usp=drivesdk" TargetMode="External"/><Relationship Id="rId3711" Type="http://schemas.openxmlformats.org/officeDocument/2006/relationships/hyperlink" Target="https://drive.google.com/file/d/1L4ATDd0n4asKNR-TRP1qBhIIXzwKyVKy/view?usp=drivesdk" TargetMode="External"/><Relationship Id="rId3710" Type="http://schemas.openxmlformats.org/officeDocument/2006/relationships/hyperlink" Target="https://drive.google.com/file/d/1XJm2XOSxUM__BmBizDo3aLJl3MKD2GqO/view?usp=drivesdk" TargetMode="External"/><Relationship Id="rId3713" Type="http://schemas.openxmlformats.org/officeDocument/2006/relationships/hyperlink" Target="https://drive.google.com/file/d/1us9TymQy7jq_-cC4bWxey1oD6nWswen7/view?usp=drivesdk" TargetMode="External"/><Relationship Id="rId3712" Type="http://schemas.openxmlformats.org/officeDocument/2006/relationships/hyperlink" Target="https://drive.google.com/file/d/1N0WI1PuzTNa_hB3kt1LIwpilx-0y7MuQ/view?usp=drivesdk" TargetMode="External"/><Relationship Id="rId3715" Type="http://schemas.openxmlformats.org/officeDocument/2006/relationships/hyperlink" Target="https://drive.google.com/file/d/1JPZgfnCR6YUTAwpZfWqxHMIZX53J81v_/view?usp=drivesdk" TargetMode="External"/><Relationship Id="rId3714" Type="http://schemas.openxmlformats.org/officeDocument/2006/relationships/hyperlink" Target="https://drive.google.com/file/d/1nxAoob0hw_4TzSSrMTQI_spmbkte3Otk/view?usp=drivesdk" TargetMode="External"/><Relationship Id="rId3717" Type="http://schemas.openxmlformats.org/officeDocument/2006/relationships/hyperlink" Target="https://drive.google.com/file/d/1E47tJL6MLTY5KfwKZGWGTFf110Mcz1Te/view?usp=drivesdk" TargetMode="External"/><Relationship Id="rId3716" Type="http://schemas.openxmlformats.org/officeDocument/2006/relationships/hyperlink" Target="https://drive.google.com/file/d/1uC6yuLUZ1RVva-l_uC-0mIWA0RiboHyE/view?usp=drivesdk" TargetMode="External"/><Relationship Id="rId3719" Type="http://schemas.openxmlformats.org/officeDocument/2006/relationships/hyperlink" Target="https://drive.google.com/file/d/1bSyKWUplqisJvf0h8AEAPOmFz8YJurtn/view?usp=drivesdk" TargetMode="External"/><Relationship Id="rId3718" Type="http://schemas.openxmlformats.org/officeDocument/2006/relationships/hyperlink" Target="https://drive.google.com/file/d/19dd9hAIL_l8tHno_JX4f5meheRLXca5Y/view?usp=drivesdk" TargetMode="External"/><Relationship Id="rId3700" Type="http://schemas.openxmlformats.org/officeDocument/2006/relationships/hyperlink" Target="https://drive.google.com/file/d/1t5oQ3lOLd2-dIlys9h0iEyOIYvpoL9Qq/view?usp=drivesdk" TargetMode="External"/><Relationship Id="rId3702" Type="http://schemas.openxmlformats.org/officeDocument/2006/relationships/hyperlink" Target="https://drive.google.com/file/d/1XiOWMcygZGxr0el6N1yZcSfEyTbyZKF7/view?usp=drivesdk" TargetMode="External"/><Relationship Id="rId3701" Type="http://schemas.openxmlformats.org/officeDocument/2006/relationships/hyperlink" Target="https://drive.google.com/file/d/1Fr1NoXN1uD_baeEDE2oEfrzaZYWlviGu/view?usp=drivesdk" TargetMode="External"/><Relationship Id="rId3704" Type="http://schemas.openxmlformats.org/officeDocument/2006/relationships/hyperlink" Target="https://drive.google.com/file/d/1b8idcfrJwIYt58jJmQdo1Y72C-cVpzbA/view?usp=drivesdk" TargetMode="External"/><Relationship Id="rId3703" Type="http://schemas.openxmlformats.org/officeDocument/2006/relationships/hyperlink" Target="https://drive.google.com/file/d/1U7F6ZQkaazUKcDJyD11txwC7qIYb6fIl/view?usp=drivesdk" TargetMode="External"/><Relationship Id="rId3706" Type="http://schemas.openxmlformats.org/officeDocument/2006/relationships/hyperlink" Target="https://drive.google.com/file/d/1LtxqbPHarxTIFlkZJw9X-Eai1vjhtII5/view?usp=drivesdk" TargetMode="External"/><Relationship Id="rId3705" Type="http://schemas.openxmlformats.org/officeDocument/2006/relationships/hyperlink" Target="https://drive.google.com/file/d/1dRwEJ-Zhi7gDQLimEE7BXEAlMZK_h5Ou/view?usp=drivesdk" TargetMode="External"/><Relationship Id="rId3708" Type="http://schemas.openxmlformats.org/officeDocument/2006/relationships/hyperlink" Target="https://drive.google.com/file/d/1R9uacGgu8XvmTruJLTXjkdkWAnpHjg_D/view?usp=drivesdk" TargetMode="External"/><Relationship Id="rId3707" Type="http://schemas.openxmlformats.org/officeDocument/2006/relationships/hyperlink" Target="https://drive.google.com/file/d/1deUSO2QiXWkfy7tIBKgVRkRz0v3Fwzxv/view?usp=drivesdk" TargetMode="External"/><Relationship Id="rId3709" Type="http://schemas.openxmlformats.org/officeDocument/2006/relationships/hyperlink" Target="https://drive.google.com/file/d/1cGmtsEXlPlum-JPq2ZEZFdtNBySFi97n/view?usp=drivesdk" TargetMode="External"/><Relationship Id="rId2401" Type="http://schemas.openxmlformats.org/officeDocument/2006/relationships/hyperlink" Target="https://drive.google.com/file/d/1Qxef_vOOBZJcxDpkfKWN8t3l-IacRd45/view?usp=drivesdk" TargetMode="External"/><Relationship Id="rId3733" Type="http://schemas.openxmlformats.org/officeDocument/2006/relationships/hyperlink" Target="https://drive.google.com/file/d/1atSMsuDQaamgP3AUgAC7IrCKX6mlG3Q3/view?usp=drivesdk" TargetMode="External"/><Relationship Id="rId2402" Type="http://schemas.openxmlformats.org/officeDocument/2006/relationships/hyperlink" Target="https://drive.google.com/file/d/1t9MLtSR5_aV0pHQvPEaQCpBQBd-VDCI4/view?usp=drivesdk" TargetMode="External"/><Relationship Id="rId3732" Type="http://schemas.openxmlformats.org/officeDocument/2006/relationships/hyperlink" Target="https://drive.google.com/file/d/157Bmse4e0vRhTOlSYPLdciQa98sUmuIM/view?usp=drivesdk" TargetMode="External"/><Relationship Id="rId2403" Type="http://schemas.openxmlformats.org/officeDocument/2006/relationships/hyperlink" Target="https://drive.google.com/file/d/1MJ8LJ_UNubXP8z1V56bzzZFJTMWWJrg4/view?usp=drivesdk" TargetMode="External"/><Relationship Id="rId3735" Type="http://schemas.openxmlformats.org/officeDocument/2006/relationships/hyperlink" Target="https://drive.google.com/file/d/1mDx0SgfAW8Fkzgw_mNEI2CG7FbSu8tDg/view?usp=drivesdk" TargetMode="External"/><Relationship Id="rId2404" Type="http://schemas.openxmlformats.org/officeDocument/2006/relationships/hyperlink" Target="https://drive.google.com/file/d/11ctTWJNaunWgWY0DFVbDSUQGEJ7DhP9-/view?usp=drivesdk" TargetMode="External"/><Relationship Id="rId3734" Type="http://schemas.openxmlformats.org/officeDocument/2006/relationships/hyperlink" Target="https://drive.google.com/file/d/1iP9g28QQ6DkGbAHSG-3AiDrdJILbPlV1/view?usp=drivesdk" TargetMode="External"/><Relationship Id="rId2405" Type="http://schemas.openxmlformats.org/officeDocument/2006/relationships/hyperlink" Target="https://drive.google.com/file/d/1sBKPdi036g_X2WB79lZlHCfzBIkBpVO_/view?usp=drivesdk" TargetMode="External"/><Relationship Id="rId3737" Type="http://schemas.openxmlformats.org/officeDocument/2006/relationships/hyperlink" Target="https://drive.google.com/file/d/1e3QHRbBlQqcZlk_M0oDWRpG5rUNiiWtC/view?usp=drivesdk" TargetMode="External"/><Relationship Id="rId2406" Type="http://schemas.openxmlformats.org/officeDocument/2006/relationships/hyperlink" Target="https://drive.google.com/file/d/10IjYmikA28k4jGo7BA4DRPmVerM03Okx/view?usp=drivesdk" TargetMode="External"/><Relationship Id="rId3736" Type="http://schemas.openxmlformats.org/officeDocument/2006/relationships/hyperlink" Target="https://drive.google.com/file/d/1QkJqpDy9Y2OG7H1Vi-fMRcVZYDWyE_0x/view?usp=drivesdk" TargetMode="External"/><Relationship Id="rId2407" Type="http://schemas.openxmlformats.org/officeDocument/2006/relationships/hyperlink" Target="https://drive.google.com/file/d/1JhFrQpMhuCqQrbJfGQZyC6kgOkmiBUl8/view?usp=drivesdk" TargetMode="External"/><Relationship Id="rId3739" Type="http://schemas.openxmlformats.org/officeDocument/2006/relationships/hyperlink" Target="https://drive.google.com/file/d/1S8Hr1gmEjX6Yzx2qWmRLk2tgOHhNV_hH/view?usp=drivesdk" TargetMode="External"/><Relationship Id="rId2408" Type="http://schemas.openxmlformats.org/officeDocument/2006/relationships/hyperlink" Target="https://drive.google.com/file/d/1qeZYIfupuS864nirm-4UJluJW_tofoHD/view?usp=drivesdk" TargetMode="External"/><Relationship Id="rId3738" Type="http://schemas.openxmlformats.org/officeDocument/2006/relationships/hyperlink" Target="https://drive.google.com/file/d/12sh630Gc7Jl8rrWnL1go08CbPUmkdjAs/view?usp=drivesdk" TargetMode="External"/><Relationship Id="rId2409" Type="http://schemas.openxmlformats.org/officeDocument/2006/relationships/hyperlink" Target="https://drive.google.com/file/d/1O162Q8h07jC1WFcME4rhUfCF6WIzO6mS/view?usp=drivesdk" TargetMode="External"/><Relationship Id="rId3731" Type="http://schemas.openxmlformats.org/officeDocument/2006/relationships/hyperlink" Target="https://drive.google.com/file/d/1OSnBoaI521uUBLamlH6lipvj7pAEzl-B/view?usp=drivesdk" TargetMode="External"/><Relationship Id="rId2400" Type="http://schemas.openxmlformats.org/officeDocument/2006/relationships/hyperlink" Target="https://drive.google.com/file/d/12EL4LSbkOxiktL4oWECUC-wTI_Bcrp9C/view?usp=drivesdk" TargetMode="External"/><Relationship Id="rId3730" Type="http://schemas.openxmlformats.org/officeDocument/2006/relationships/hyperlink" Target="https://drive.google.com/file/d/1E_1MiM1mGtJWAPcfc2rY2NxmgixS7sOy/view?usp=drivesdk" TargetMode="External"/><Relationship Id="rId3722" Type="http://schemas.openxmlformats.org/officeDocument/2006/relationships/hyperlink" Target="https://drive.google.com/file/d/1rllLklUI4w4AlsHGFVsZTqbnz6rfIgGq/view?usp=drivesdk" TargetMode="External"/><Relationship Id="rId3721" Type="http://schemas.openxmlformats.org/officeDocument/2006/relationships/hyperlink" Target="https://drive.google.com/file/d/15qpH2QmD6WTgbZGtVbmENzdkveHk-qGt/view?usp=drivesdk" TargetMode="External"/><Relationship Id="rId3724" Type="http://schemas.openxmlformats.org/officeDocument/2006/relationships/hyperlink" Target="https://drive.google.com/file/d/1H4l6nkLGPc572ssnYHGKwlB-ttppJDf2/view?usp=drivesdk" TargetMode="External"/><Relationship Id="rId3723" Type="http://schemas.openxmlformats.org/officeDocument/2006/relationships/hyperlink" Target="https://drive.google.com/file/d/1v68n5m41aPL4Jfe-FcG2cwyGoYhPjkZv/view?usp=drivesdk" TargetMode="External"/><Relationship Id="rId3726" Type="http://schemas.openxmlformats.org/officeDocument/2006/relationships/hyperlink" Target="https://drive.google.com/file/d/1wxwAmGIfqWOtjhnmp1e9Ikzr4bv5525V/view?usp=drivesdk" TargetMode="External"/><Relationship Id="rId3725" Type="http://schemas.openxmlformats.org/officeDocument/2006/relationships/hyperlink" Target="https://drive.google.com/file/d/1uuNgD0BQt-9PryNKsVhxSVTbkhOfRg8I/view?usp=drivesdk" TargetMode="External"/><Relationship Id="rId3728" Type="http://schemas.openxmlformats.org/officeDocument/2006/relationships/hyperlink" Target="https://drive.google.com/file/d/14rHf9mpCpD8ZWNEOT_V2C1sOnH1Qo0Hx/view?usp=drivesdk" TargetMode="External"/><Relationship Id="rId3727" Type="http://schemas.openxmlformats.org/officeDocument/2006/relationships/hyperlink" Target="https://drive.google.com/file/d/1W8QdkfLdEYTJnihEf06JwMiAo34fxYpd/view?usp=drivesdk" TargetMode="External"/><Relationship Id="rId3729" Type="http://schemas.openxmlformats.org/officeDocument/2006/relationships/hyperlink" Target="https://drive.google.com/file/d/1bzMzC_W7MFDZN05a0cXsroUl4KrRCvTS/view?usp=drivesdk" TargetMode="External"/><Relationship Id="rId3720" Type="http://schemas.openxmlformats.org/officeDocument/2006/relationships/hyperlink" Target="https://drive.google.com/file/d/1EHV6Hfiq48hNtqruiaxZiKz8-Mt0yq8Y/view?usp=drivesdk" TargetMode="External"/><Relationship Id="rId1170" Type="http://schemas.openxmlformats.org/officeDocument/2006/relationships/hyperlink" Target="https://drive.google.com/file/d/1IHb9XMcS9F_wIdPL6f64CYsarJFB3QFh/view?usp=drivesdk" TargetMode="External"/><Relationship Id="rId1171" Type="http://schemas.openxmlformats.org/officeDocument/2006/relationships/hyperlink" Target="https://drive.google.com/file/d/1hssGkateJvJ2NStDwDoTr6RRKa299lks/view?usp=drivesdk" TargetMode="External"/><Relationship Id="rId1172" Type="http://schemas.openxmlformats.org/officeDocument/2006/relationships/hyperlink" Target="https://drive.google.com/file/d/1ahF5qTfnfZ0fDQTVHcChI0G7tKKcHGkV/view?usp=drivesdk" TargetMode="External"/><Relationship Id="rId1173" Type="http://schemas.openxmlformats.org/officeDocument/2006/relationships/hyperlink" Target="https://drive.google.com/file/d/10TknMOsbBPuq-GJSa_tH3f89kWyGEKT9/view?usp=drivesdk" TargetMode="External"/><Relationship Id="rId1174" Type="http://schemas.openxmlformats.org/officeDocument/2006/relationships/hyperlink" Target="https://drive.google.com/file/d/13kFgy_8TiEIqp3m8AkuvTcp3gFzjecKt/view?usp=drivesdk" TargetMode="External"/><Relationship Id="rId1175" Type="http://schemas.openxmlformats.org/officeDocument/2006/relationships/hyperlink" Target="https://drive.google.com/file/d/1Wm0m3LPD-Nwdufdh6AwkFvxij0SUt9R9/view?usp=drivesdk" TargetMode="External"/><Relationship Id="rId1176" Type="http://schemas.openxmlformats.org/officeDocument/2006/relationships/hyperlink" Target="https://drive.google.com/file/d/1aGgDPe-WH43TX3gO7Xza0wl2c-lFrTpg/view?usp=drivesdk" TargetMode="External"/><Relationship Id="rId1177" Type="http://schemas.openxmlformats.org/officeDocument/2006/relationships/hyperlink" Target="https://drive.google.com/file/d/1iV-8wiHgFXLmNl-zCpLa7issCnI19K0j/view?usp=drivesdk" TargetMode="External"/><Relationship Id="rId1178" Type="http://schemas.openxmlformats.org/officeDocument/2006/relationships/hyperlink" Target="https://drive.google.com/file/d/1iystAPHfvPpkaavET3Brgq-0yThiOnL0/view?usp=drivesdk" TargetMode="External"/><Relationship Id="rId1179" Type="http://schemas.openxmlformats.org/officeDocument/2006/relationships/hyperlink" Target="https://drive.google.com/file/d/1KD-J1hFfJZjwLIaHLkPxot16nXpK9aBs/view?usp=drivesdk" TargetMode="External"/><Relationship Id="rId1169" Type="http://schemas.openxmlformats.org/officeDocument/2006/relationships/hyperlink" Target="https://drive.google.com/file/d/1GHtGCizDcJ_yPAr3M_4Ab6Dvsv5AwRyl/view?usp=drivesdk" TargetMode="External"/><Relationship Id="rId2490" Type="http://schemas.openxmlformats.org/officeDocument/2006/relationships/hyperlink" Target="https://drive.google.com/file/d/1k7MwsxTRPy7-Qao7wlK-hoICiODbvS4z/view?usp=drivesdk" TargetMode="External"/><Relationship Id="rId1160" Type="http://schemas.openxmlformats.org/officeDocument/2006/relationships/hyperlink" Target="https://drive.google.com/file/d/1DF2DFJhZDYu-Hv84asdNUwsUCBpIsz3x/view?usp=drivesdk" TargetMode="External"/><Relationship Id="rId2491" Type="http://schemas.openxmlformats.org/officeDocument/2006/relationships/hyperlink" Target="https://drive.google.com/file/d/1dlbzO0OGS4rVhHq-e3-7IQOXNeA3v8Rl/view?usp=drivesdk" TargetMode="External"/><Relationship Id="rId1161" Type="http://schemas.openxmlformats.org/officeDocument/2006/relationships/hyperlink" Target="https://drive.google.com/file/d/1ysS4B4ZoUjQPQZ2VmzpaHjkObmkPeh92/view?usp=drivesdk" TargetMode="External"/><Relationship Id="rId2492" Type="http://schemas.openxmlformats.org/officeDocument/2006/relationships/hyperlink" Target="https://drive.google.com/file/d/1RP17wyr9W45quoGy6h0etLxQe5D4CIG_/view?usp=drivesdk" TargetMode="External"/><Relationship Id="rId1162" Type="http://schemas.openxmlformats.org/officeDocument/2006/relationships/hyperlink" Target="https://drive.google.com/file/d/1Ya3Nv_GL5TkX88dpoQzRyd_1xjMS6n37/view?usp=drivesdk" TargetMode="External"/><Relationship Id="rId2493" Type="http://schemas.openxmlformats.org/officeDocument/2006/relationships/hyperlink" Target="https://drive.google.com/file/d/1K8n0xEwrQTABwK1fIxqVlrW-RtZtJDsK/view?usp=drivesdk" TargetMode="External"/><Relationship Id="rId1163" Type="http://schemas.openxmlformats.org/officeDocument/2006/relationships/hyperlink" Target="https://drive.google.com/file/d/1AahjprDcQg27LD5z2eKSUi3BdkZKXDap/view?usp=drivesdk" TargetMode="External"/><Relationship Id="rId2494" Type="http://schemas.openxmlformats.org/officeDocument/2006/relationships/hyperlink" Target="https://drive.google.com/file/d/1oAFlkx3HUl6m-rkjKulxkZ9FJqvQElPn/view?usp=drivesdk" TargetMode="External"/><Relationship Id="rId1164" Type="http://schemas.openxmlformats.org/officeDocument/2006/relationships/hyperlink" Target="https://drive.google.com/file/d/1XnTohHt7STTknAh3JZukgv-Lh2bZ6ERe/view?usp=drivesdk" TargetMode="External"/><Relationship Id="rId2495" Type="http://schemas.openxmlformats.org/officeDocument/2006/relationships/hyperlink" Target="https://drive.google.com/file/d/1kDyThGMzc8x1sgi3e2RGdZA7s_arJDBQ/view?usp=drivesdk" TargetMode="External"/><Relationship Id="rId1165" Type="http://schemas.openxmlformats.org/officeDocument/2006/relationships/hyperlink" Target="https://drive.google.com/file/d/1HiGMvSENog-XB2dWnktOXQ9gXQ9TwKpL/view?usp=drivesdk" TargetMode="External"/><Relationship Id="rId2496" Type="http://schemas.openxmlformats.org/officeDocument/2006/relationships/hyperlink" Target="https://drive.google.com/file/d/1yjfkQPTIbgWiAmZF4D3DdJvZ15YDo90J/view?usp=drivesdk" TargetMode="External"/><Relationship Id="rId1166" Type="http://schemas.openxmlformats.org/officeDocument/2006/relationships/hyperlink" Target="https://drive.google.com/file/d/1bTGPgjZAvzVXV9UTuEfqdJSLxS0TneB-/view?usp=drivesdk" TargetMode="External"/><Relationship Id="rId2497" Type="http://schemas.openxmlformats.org/officeDocument/2006/relationships/hyperlink" Target="https://drive.google.com/file/d/1-pYSXSiOIRa9cjRmoqTbxTefZQc7fJAs/view?usp=drivesdk" TargetMode="External"/><Relationship Id="rId1167" Type="http://schemas.openxmlformats.org/officeDocument/2006/relationships/hyperlink" Target="https://drive.google.com/file/d/1HIebMbM8hrLmPO3lz4BFqrzowP7HOCXQ/view?usp=drivesdk" TargetMode="External"/><Relationship Id="rId2498" Type="http://schemas.openxmlformats.org/officeDocument/2006/relationships/hyperlink" Target="https://drive.google.com/file/d/1KpID-t8yMrrlH5PQDbObPUFp3x67fJt8/view?usp=drivesdk" TargetMode="External"/><Relationship Id="rId1168" Type="http://schemas.openxmlformats.org/officeDocument/2006/relationships/hyperlink" Target="https://drive.google.com/file/d/1jU6SXxXD4WK_Tb0uVCmzFMhGJ5Z2Hxt0/view?usp=drivesdk" TargetMode="External"/><Relationship Id="rId2499" Type="http://schemas.openxmlformats.org/officeDocument/2006/relationships/hyperlink" Target="https://drive.google.com/file/d/1X3Jnee-PBNnVcFYyC6NUeWYfxXEdWBaX/view?usp=drivesdk" TargetMode="External"/><Relationship Id="rId1190" Type="http://schemas.openxmlformats.org/officeDocument/2006/relationships/hyperlink" Target="https://drive.google.com/file/d/1bsCDSac9g3y6vsoQwYCiGSQqOfoxFW_O/view?usp=drivesdk" TargetMode="External"/><Relationship Id="rId1191" Type="http://schemas.openxmlformats.org/officeDocument/2006/relationships/hyperlink" Target="https://drive.google.com/file/d/1eHikJZ85OSdtrI7ucDO9GF6bNiTwTjvJ/view?usp=drivesdk" TargetMode="External"/><Relationship Id="rId1192" Type="http://schemas.openxmlformats.org/officeDocument/2006/relationships/hyperlink" Target="https://drive.google.com/file/d/1EpIzYzFaarKZU-vAeWSepmlxMrZaRWKX/view?usp=drivesdk" TargetMode="External"/><Relationship Id="rId1193" Type="http://schemas.openxmlformats.org/officeDocument/2006/relationships/hyperlink" Target="https://drive.google.com/file/d/1NK-b72_JtA2IeZPTAtBhP5zXNfG16EkL/view?usp=drivesdk" TargetMode="External"/><Relationship Id="rId1194" Type="http://schemas.openxmlformats.org/officeDocument/2006/relationships/hyperlink" Target="https://drive.google.com/file/d/16rfcehS2m371gdccjb99iog-_NDPMWHh/view?usp=drivesdk" TargetMode="External"/><Relationship Id="rId1195" Type="http://schemas.openxmlformats.org/officeDocument/2006/relationships/hyperlink" Target="https://drive.google.com/file/d/1tKuWcHSA8QK-Hwj7XuvcPis6H-n2Yd4J/view?usp=drivesdk" TargetMode="External"/><Relationship Id="rId1196" Type="http://schemas.openxmlformats.org/officeDocument/2006/relationships/hyperlink" Target="https://drive.google.com/file/d/1gfEcRB_H5TGup8RhQrC91qx93kX_ySgE/view?usp=drivesdk" TargetMode="External"/><Relationship Id="rId1197" Type="http://schemas.openxmlformats.org/officeDocument/2006/relationships/hyperlink" Target="https://drive.google.com/file/d/12LealTrj1zVFLJoGUDW_Xv2yqQvVSrEb/view?usp=drivesdk" TargetMode="External"/><Relationship Id="rId1198" Type="http://schemas.openxmlformats.org/officeDocument/2006/relationships/hyperlink" Target="https://drive.google.com/file/d/1B2BKPMEAgkT38or3V9OltEJTyYiA-gBJ/view?usp=drivesdk" TargetMode="External"/><Relationship Id="rId1199" Type="http://schemas.openxmlformats.org/officeDocument/2006/relationships/hyperlink" Target="https://drive.google.com/file/d/1_5wSfJMDL6xS-RAes5z4NRXlJcgq9bPC/view?usp=drivesdk" TargetMode="External"/><Relationship Id="rId1180" Type="http://schemas.openxmlformats.org/officeDocument/2006/relationships/hyperlink" Target="https://drive.google.com/file/d/1c6EbK8C9CO5ganwyba_OTVS2ZnHefL9N/view?usp=drivesdk" TargetMode="External"/><Relationship Id="rId1181" Type="http://schemas.openxmlformats.org/officeDocument/2006/relationships/hyperlink" Target="https://drive.google.com/file/d/1ktqIs3akSHBaMnaiRahmnf2u58u2e1wE/view?usp=drivesdk" TargetMode="External"/><Relationship Id="rId1182" Type="http://schemas.openxmlformats.org/officeDocument/2006/relationships/hyperlink" Target="https://drive.google.com/file/d/1yKywLutMBgcqhgou2JYCWB2K0ElV2sXG/view?usp=drivesdk" TargetMode="External"/><Relationship Id="rId1183" Type="http://schemas.openxmlformats.org/officeDocument/2006/relationships/hyperlink" Target="https://drive.google.com/file/d/1X8bsDpB3QjS-RZ5X0_1swpwyN8BdxcxQ/view?usp=drivesdk" TargetMode="External"/><Relationship Id="rId1184" Type="http://schemas.openxmlformats.org/officeDocument/2006/relationships/hyperlink" Target="https://drive.google.com/file/d/1ddDYDIsnK7FDAr2LOcySMAnpvLgShtZK/view?usp=drivesdk" TargetMode="External"/><Relationship Id="rId1185" Type="http://schemas.openxmlformats.org/officeDocument/2006/relationships/hyperlink" Target="https://drive.google.com/file/d/1ARvp9acIdmxtB2zfx4V7OqCAedAEG_li/view?usp=drivesdk" TargetMode="External"/><Relationship Id="rId1186" Type="http://schemas.openxmlformats.org/officeDocument/2006/relationships/hyperlink" Target="https://drive.google.com/file/d/1zCL23T1h8D6Jy6EjoRhXfPFwYN6fyTI3/view?usp=drivesdk" TargetMode="External"/><Relationship Id="rId1187" Type="http://schemas.openxmlformats.org/officeDocument/2006/relationships/hyperlink" Target="https://drive.google.com/file/d/1E8RQ7sghKXraSYtaXLlFYiZ8X1-TyDAJ/view?usp=drivesdk" TargetMode="External"/><Relationship Id="rId1188" Type="http://schemas.openxmlformats.org/officeDocument/2006/relationships/hyperlink" Target="https://drive.google.com/file/d/1-JJx5ooM06S86YdHnHxdMPtXkhEypZrB/view?usp=drivesdk" TargetMode="External"/><Relationship Id="rId1189" Type="http://schemas.openxmlformats.org/officeDocument/2006/relationships/hyperlink" Target="https://drive.google.com/file/d/1gjqvLmo2eFkqaWPE7u3Ax9RRnV-0wTgw/view?usp=drivesdk" TargetMode="External"/><Relationship Id="rId1136" Type="http://schemas.openxmlformats.org/officeDocument/2006/relationships/hyperlink" Target="https://drive.google.com/file/d/1k1SlwgFMHRbPe5_Ayqgr2Nxj8CeMlqB0/view?usp=drivesdk" TargetMode="External"/><Relationship Id="rId2467" Type="http://schemas.openxmlformats.org/officeDocument/2006/relationships/hyperlink" Target="https://drive.google.com/file/d/1fW0NWb-DoRv_4ohFdrn8yjqQ0Rd3CJ2j/view?usp=drivesdk" TargetMode="External"/><Relationship Id="rId3799" Type="http://schemas.openxmlformats.org/officeDocument/2006/relationships/hyperlink" Target="https://drive.google.com/file/d/1h9tN3fwllgTWNoWCu95GhQ9mm3B2ucrc/view?usp=drivesdk" TargetMode="External"/><Relationship Id="rId1137" Type="http://schemas.openxmlformats.org/officeDocument/2006/relationships/hyperlink" Target="https://drive.google.com/file/d/1e0CIONXWG8bDkkYy8436TN-vHKyi3_Fn/view?usp=drivesdk" TargetMode="External"/><Relationship Id="rId2468" Type="http://schemas.openxmlformats.org/officeDocument/2006/relationships/hyperlink" Target="https://drive.google.com/file/d/14R0FUsWpIBjjd0AKxT9H3mNNeJgAX44-/view?usp=drivesdk" TargetMode="External"/><Relationship Id="rId3798" Type="http://schemas.openxmlformats.org/officeDocument/2006/relationships/hyperlink" Target="https://drive.google.com/file/d/1ycaUV1MBITCmdBtX_FDTERvtSgTVTQRQ/view?usp=drivesdk" TargetMode="External"/><Relationship Id="rId1138" Type="http://schemas.openxmlformats.org/officeDocument/2006/relationships/hyperlink" Target="https://drive.google.com/file/d/1BpuGL9KxD7-TgeGQ_oAqxl3xr3z-OSlo/view?usp=drivesdk" TargetMode="External"/><Relationship Id="rId2469" Type="http://schemas.openxmlformats.org/officeDocument/2006/relationships/hyperlink" Target="https://drive.google.com/file/d/1RjedHjQYZvLxFSyMPlWRWUIBRfl5wbWw/view?usp=drivesdk" TargetMode="External"/><Relationship Id="rId1139" Type="http://schemas.openxmlformats.org/officeDocument/2006/relationships/hyperlink" Target="https://drive.google.com/file/d/1j4lQMzJm-2yyQSjR4BDCRWF72EpznVTZ/view?usp=drivesdk" TargetMode="External"/><Relationship Id="rId3791" Type="http://schemas.openxmlformats.org/officeDocument/2006/relationships/hyperlink" Target="https://drive.google.com/file/d/1cq2ESp_cLhcL_iXB-tkTNGDJa4UupxkK/view?usp=drivesdk" TargetMode="External"/><Relationship Id="rId2460" Type="http://schemas.openxmlformats.org/officeDocument/2006/relationships/hyperlink" Target="https://drive.google.com/file/d/1qVu_m-k9zJhHY6Ubzhatrku9E0FmbG0W/view?usp=drivesdk" TargetMode="External"/><Relationship Id="rId3790" Type="http://schemas.openxmlformats.org/officeDocument/2006/relationships/hyperlink" Target="https://drive.google.com/file/d/1UTt1FKxlelptNHGRQIGgm7z5FlfXi2UP/view?usp=drivesdk" TargetMode="External"/><Relationship Id="rId1130" Type="http://schemas.openxmlformats.org/officeDocument/2006/relationships/hyperlink" Target="https://drive.google.com/file/d/1tDAyNshGEGq3D1uCAourzcDqpSuCy7v3/view?usp=drivesdk" TargetMode="External"/><Relationship Id="rId2461" Type="http://schemas.openxmlformats.org/officeDocument/2006/relationships/hyperlink" Target="https://drive.google.com/file/d/1EWqhcI4wdOErAQsmjYeKrlTWREh_HX0T/view?usp=drivesdk" TargetMode="External"/><Relationship Id="rId3793" Type="http://schemas.openxmlformats.org/officeDocument/2006/relationships/hyperlink" Target="https://drive.google.com/file/d/1bTBR6Jb8q8Gxm45FfhixxHoH4K8JqCYO/view?usp=drivesdk" TargetMode="External"/><Relationship Id="rId1131" Type="http://schemas.openxmlformats.org/officeDocument/2006/relationships/hyperlink" Target="https://drive.google.com/file/d/1Qq9V5Jq1rZs5iM35XLI7VeftpF7zoFyf/view?usp=drivesdk" TargetMode="External"/><Relationship Id="rId2462" Type="http://schemas.openxmlformats.org/officeDocument/2006/relationships/hyperlink" Target="https://drive.google.com/file/d/1kM2IIGNn3h2F9tL5-2TfhdM71edblLPl/view?usp=drivesdk" TargetMode="External"/><Relationship Id="rId3792" Type="http://schemas.openxmlformats.org/officeDocument/2006/relationships/hyperlink" Target="https://drive.google.com/file/d/1KrDEOaimpi-8Aq_6iVaXdWgTEzyJWXgi/view?usp=drivesdk" TargetMode="External"/><Relationship Id="rId1132" Type="http://schemas.openxmlformats.org/officeDocument/2006/relationships/hyperlink" Target="https://drive.google.com/file/d/1smfYUhlBT4s9gfsVQKDFSknr20PUsfuy/view?usp=drivesdk" TargetMode="External"/><Relationship Id="rId2463" Type="http://schemas.openxmlformats.org/officeDocument/2006/relationships/hyperlink" Target="https://drive.google.com/file/d/10hvzZWRVnZ4-lqqsqQJVuJEOYCrwv_I5/view?usp=drivesdk" TargetMode="External"/><Relationship Id="rId3795" Type="http://schemas.openxmlformats.org/officeDocument/2006/relationships/hyperlink" Target="https://drive.google.com/file/d/1WFv8iW-TDbCYrNCenCAvxPs3IYMnh34-/view?usp=drivesdk" TargetMode="External"/><Relationship Id="rId1133" Type="http://schemas.openxmlformats.org/officeDocument/2006/relationships/hyperlink" Target="https://drive.google.com/file/d/1Lx5BMcEpOVmB5Ou_6jaiHep5GaymrejB/view?usp=drivesdk" TargetMode="External"/><Relationship Id="rId2464" Type="http://schemas.openxmlformats.org/officeDocument/2006/relationships/hyperlink" Target="https://drive.google.com/file/d/1hlaiRDBLTRGb-4mRxsa3JxyOrGMh7HeO/view?usp=drivesdk" TargetMode="External"/><Relationship Id="rId3794" Type="http://schemas.openxmlformats.org/officeDocument/2006/relationships/hyperlink" Target="https://drive.google.com/file/d/12WEnb3L0_dXTk2UeydsxuSEBTSZbBPuw/view?usp=drivesdk" TargetMode="External"/><Relationship Id="rId1134" Type="http://schemas.openxmlformats.org/officeDocument/2006/relationships/hyperlink" Target="https://drive.google.com/file/d/1Vc6N-8UG0RAmgdoJ7o7_Tx1NtCIIWyzp/view?usp=drivesdk" TargetMode="External"/><Relationship Id="rId2465" Type="http://schemas.openxmlformats.org/officeDocument/2006/relationships/hyperlink" Target="https://drive.google.com/file/d/14x5USxw9oGsESCI3Tanf82hUHXgCs3zc/view?usp=drivesdk" TargetMode="External"/><Relationship Id="rId3797" Type="http://schemas.openxmlformats.org/officeDocument/2006/relationships/hyperlink" Target="https://drive.google.com/file/d/1rUdFsLJJz-cCJxwMbXvUlZWwylAZBY95/view?usp=drivesdk" TargetMode="External"/><Relationship Id="rId1135" Type="http://schemas.openxmlformats.org/officeDocument/2006/relationships/hyperlink" Target="https://drive.google.com/file/d/1n5hhj2iIKXOH92NgJPul15bSCaz-sZiw/view?usp=drivesdk" TargetMode="External"/><Relationship Id="rId2466" Type="http://schemas.openxmlformats.org/officeDocument/2006/relationships/hyperlink" Target="https://drive.google.com/file/d/1qTSDUj8Eg7C1f0SUauPxpwaXDwp5SXUI/view?usp=drivesdk" TargetMode="External"/><Relationship Id="rId3796" Type="http://schemas.openxmlformats.org/officeDocument/2006/relationships/hyperlink" Target="https://drive.google.com/file/d/1DNHZXImlu9Fl1nb5NXcPMzu9bLHTMBvt/view?usp=drivesdk" TargetMode="External"/><Relationship Id="rId1125" Type="http://schemas.openxmlformats.org/officeDocument/2006/relationships/hyperlink" Target="https://drive.google.com/file/d/1yMJLEsFObZplr0sZwZhZ3xL8MIhK6xxS/view?usp=drivesdk" TargetMode="External"/><Relationship Id="rId2456" Type="http://schemas.openxmlformats.org/officeDocument/2006/relationships/hyperlink" Target="https://drive.google.com/file/d/1kaasbjZ-iG2qRXnCl9END5iS7kQTwfz1/view?usp=drivesdk" TargetMode="External"/><Relationship Id="rId3788" Type="http://schemas.openxmlformats.org/officeDocument/2006/relationships/hyperlink" Target="https://drive.google.com/file/d/1As6jPMFY3L2kTjeP4O9066OrzRq32kvU/view?usp=drivesdk" TargetMode="External"/><Relationship Id="rId1126" Type="http://schemas.openxmlformats.org/officeDocument/2006/relationships/hyperlink" Target="https://drive.google.com/file/d/1nsYfBIIXBmVGhyki1ELkKS3WzkeTcx7C/view?usp=drivesdk" TargetMode="External"/><Relationship Id="rId2457" Type="http://schemas.openxmlformats.org/officeDocument/2006/relationships/hyperlink" Target="https://drive.google.com/file/d/19GVM0Gosrxv6nxtbHYviOzrMV-ll4xXv/view?usp=drivesdk" TargetMode="External"/><Relationship Id="rId3787" Type="http://schemas.openxmlformats.org/officeDocument/2006/relationships/hyperlink" Target="https://drive.google.com/file/d/10J50vriEhUQ2OW115G0cr8L5juDJ_Cwn/view?usp=drivesdk" TargetMode="External"/><Relationship Id="rId1127" Type="http://schemas.openxmlformats.org/officeDocument/2006/relationships/hyperlink" Target="https://drive.google.com/file/d/1WPcIOX4s8NoyuEQLW6HkE5waXC23Kxec/view?usp=drivesdk" TargetMode="External"/><Relationship Id="rId2458" Type="http://schemas.openxmlformats.org/officeDocument/2006/relationships/hyperlink" Target="https://drive.google.com/file/d/11xZahQA_6xW1kQSHp6RnAWmcLaahMgVa/view?usp=drivesdk" TargetMode="External"/><Relationship Id="rId1128" Type="http://schemas.openxmlformats.org/officeDocument/2006/relationships/hyperlink" Target="https://drive.google.com/file/d/1DyCdM6ghzQkyMzADAdZpUAs38j_-043o/view?usp=drivesdk" TargetMode="External"/><Relationship Id="rId2459" Type="http://schemas.openxmlformats.org/officeDocument/2006/relationships/hyperlink" Target="https://drive.google.com/file/d/1H-54fx2GSUDVSm5sFQqzDEVhvr40DC_B/view?usp=drivesdk" TargetMode="External"/><Relationship Id="rId3789" Type="http://schemas.openxmlformats.org/officeDocument/2006/relationships/hyperlink" Target="https://drive.google.com/file/d/1z137gnEOqV4GiGSd_jyyTWp0Rk3RLqQ9/view?usp=drivesdk" TargetMode="External"/><Relationship Id="rId1129" Type="http://schemas.openxmlformats.org/officeDocument/2006/relationships/hyperlink" Target="https://drive.google.com/file/d/1TaeDql6Fz5YaHXsfdBzP15hhIwJ2dv6L/view?usp=drivesdk" TargetMode="External"/><Relationship Id="rId3780" Type="http://schemas.openxmlformats.org/officeDocument/2006/relationships/hyperlink" Target="https://drive.google.com/file/d/1ZttQ_Y4XAD5Db617qBodZ2LFcCHTAhX2/view?usp=drivesdk" TargetMode="External"/><Relationship Id="rId2450" Type="http://schemas.openxmlformats.org/officeDocument/2006/relationships/hyperlink" Target="https://drive.google.com/file/d/1kUsPS8BRXvBuKfi01GY01r_oncG3AXHZ/view?usp=drivesdk" TargetMode="External"/><Relationship Id="rId3782" Type="http://schemas.openxmlformats.org/officeDocument/2006/relationships/hyperlink" Target="https://drive.google.com/file/d/14mXPZS3r0qllAIz9MEifiWl0j9AUqSZf/view?usp=drivesdk" TargetMode="External"/><Relationship Id="rId1120" Type="http://schemas.openxmlformats.org/officeDocument/2006/relationships/hyperlink" Target="https://drive.google.com/file/d/1qLY6ZpkhXlcg9lv3TOsvbS6cgRcKJsX0/view?usp=drivesdk" TargetMode="External"/><Relationship Id="rId2451" Type="http://schemas.openxmlformats.org/officeDocument/2006/relationships/hyperlink" Target="https://drive.google.com/file/d/1CGW90o7AbZ5WQwQtrqmxbAKQTDKKe8d0/view?usp=drivesdk" TargetMode="External"/><Relationship Id="rId3781" Type="http://schemas.openxmlformats.org/officeDocument/2006/relationships/hyperlink" Target="https://drive.google.com/file/d/1_kWU5sy5gXBJ5MYknp9OxPUjDZ28kUQh/view?usp=drivesdk" TargetMode="External"/><Relationship Id="rId1121" Type="http://schemas.openxmlformats.org/officeDocument/2006/relationships/hyperlink" Target="https://drive.google.com/file/d/18Y-3vWZHjNpyw-IPBp4EIYnaMCznwoKC/view?usp=drivesdk" TargetMode="External"/><Relationship Id="rId2452" Type="http://schemas.openxmlformats.org/officeDocument/2006/relationships/hyperlink" Target="https://drive.google.com/file/d/15DvLDm8XAWZszzCWg47ko8qd9744hGrn/view?usp=drivesdk" TargetMode="External"/><Relationship Id="rId3784" Type="http://schemas.openxmlformats.org/officeDocument/2006/relationships/hyperlink" Target="https://drive.google.com/file/d/1eAfa5xX4gND4jIuonMYnqzVLF2yy_iaf/view?usp=drivesdk" TargetMode="External"/><Relationship Id="rId1122" Type="http://schemas.openxmlformats.org/officeDocument/2006/relationships/hyperlink" Target="https://drive.google.com/file/d/1n1YEtzVD9khOMCfNCC-OH9FH3nNeFVna/view?usp=drivesdk" TargetMode="External"/><Relationship Id="rId2453" Type="http://schemas.openxmlformats.org/officeDocument/2006/relationships/hyperlink" Target="https://drive.google.com/file/d/15BXYUUlTofRmVrFk-hYocmIQjV9ho9fb/view?usp=drivesdk" TargetMode="External"/><Relationship Id="rId3783" Type="http://schemas.openxmlformats.org/officeDocument/2006/relationships/hyperlink" Target="https://drive.google.com/file/d/1ptpDpGMS-HrolXnXmks_n-JflJ-SVdi0/view?usp=drivesdk" TargetMode="External"/><Relationship Id="rId1123" Type="http://schemas.openxmlformats.org/officeDocument/2006/relationships/hyperlink" Target="https://drive.google.com/file/d/1gV2HTjz8BGsKFz60aHlxql8AKYiFa-mi/view?usp=drivesdk" TargetMode="External"/><Relationship Id="rId2454" Type="http://schemas.openxmlformats.org/officeDocument/2006/relationships/hyperlink" Target="https://drive.google.com/file/d/1KEv3pV1uHi_bqbEt1Su9navKy7IvbIcl/view?usp=drivesdk" TargetMode="External"/><Relationship Id="rId3786" Type="http://schemas.openxmlformats.org/officeDocument/2006/relationships/hyperlink" Target="https://drive.google.com/file/d/16ylOI19QtFChHhf3tVjcW2zZ4wjEPMyB/view?usp=drivesdk" TargetMode="External"/><Relationship Id="rId1124" Type="http://schemas.openxmlformats.org/officeDocument/2006/relationships/hyperlink" Target="https://drive.google.com/file/d/1rXt3nDrYyMu4Y1cORy5XkBQF5crzt5w7/view?usp=drivesdk" TargetMode="External"/><Relationship Id="rId2455" Type="http://schemas.openxmlformats.org/officeDocument/2006/relationships/hyperlink" Target="https://drive.google.com/file/d/1-wq9LT979alzoUneB47nKu-lGS_pJ0kD/view?usp=drivesdk" TargetMode="External"/><Relationship Id="rId3785" Type="http://schemas.openxmlformats.org/officeDocument/2006/relationships/hyperlink" Target="https://drive.google.com/file/d/1nhMZUOin9zzIwYBvp-9D58-HEDgTonZc/view?usp=drivesdk" TargetMode="External"/><Relationship Id="rId1158" Type="http://schemas.openxmlformats.org/officeDocument/2006/relationships/hyperlink" Target="https://drive.google.com/file/d/1aJgZ7ObLJHc3xVi37bYNFr_7-L3pqTxC/view?usp=drivesdk" TargetMode="External"/><Relationship Id="rId2489" Type="http://schemas.openxmlformats.org/officeDocument/2006/relationships/hyperlink" Target="https://drive.google.com/file/d/1OadTQcLWqtzRjjtw7J-SeDBevxfV4EGJ/view?usp=drivesdk" TargetMode="External"/><Relationship Id="rId1159" Type="http://schemas.openxmlformats.org/officeDocument/2006/relationships/hyperlink" Target="https://drive.google.com/file/d/1pSvKQ-U6rAi-gO9tpJ2dYxIH8HYu7ocd/view?usp=drivesdk" TargetMode="External"/><Relationship Id="rId2480" Type="http://schemas.openxmlformats.org/officeDocument/2006/relationships/hyperlink" Target="https://drive.google.com/file/d/1lJsdWt9UcPxoVQk9tfVzxgCM34KBk-zt/view?usp=drivesdk" TargetMode="External"/><Relationship Id="rId1150" Type="http://schemas.openxmlformats.org/officeDocument/2006/relationships/hyperlink" Target="https://drive.google.com/file/d/1StiYNkt3JXRv4yWTrfmavHaL9IeWJgh-/view?usp=drivesdk" TargetMode="External"/><Relationship Id="rId2481" Type="http://schemas.openxmlformats.org/officeDocument/2006/relationships/hyperlink" Target="https://drive.google.com/file/d/1WuZnkLgkwIMWOOLxDKzYm0YHZBKanIw9/view?usp=drivesdk" TargetMode="External"/><Relationship Id="rId1151" Type="http://schemas.openxmlformats.org/officeDocument/2006/relationships/hyperlink" Target="https://drive.google.com/file/d/1mP2IffjGnBZLdOPrzAs8LAjWvQqgZSzI/view?usp=drivesdk" TargetMode="External"/><Relationship Id="rId2482" Type="http://schemas.openxmlformats.org/officeDocument/2006/relationships/hyperlink" Target="https://drive.google.com/file/d/1VR5OdeRtJUPOGQrKeiqne2m7i81XJczm/view?usp=drivesdk" TargetMode="External"/><Relationship Id="rId1152" Type="http://schemas.openxmlformats.org/officeDocument/2006/relationships/hyperlink" Target="https://drive.google.com/file/d/1LvxZPfubvRMxmPM2H9l9jPEOZkg_kBzk/view?usp=drivesdk" TargetMode="External"/><Relationship Id="rId2483" Type="http://schemas.openxmlformats.org/officeDocument/2006/relationships/hyperlink" Target="https://drive.google.com/file/d/1dLCc6ZtFZhYCXF-mE9aJWvzC_VEnM4Tl/view?usp=drivesdk" TargetMode="External"/><Relationship Id="rId1153" Type="http://schemas.openxmlformats.org/officeDocument/2006/relationships/hyperlink" Target="https://drive.google.com/file/d/10x9cl0hIjJ2AdRAJmS44jmVezBieWtA_/view?usp=drivesdk" TargetMode="External"/><Relationship Id="rId2484" Type="http://schemas.openxmlformats.org/officeDocument/2006/relationships/hyperlink" Target="https://drive.google.com/file/d/1XxpODvvPviYOh8EriYYz8AunSQqSBPum/view?usp=drivesdk" TargetMode="External"/><Relationship Id="rId1154" Type="http://schemas.openxmlformats.org/officeDocument/2006/relationships/hyperlink" Target="https://drive.google.com/file/d/1Q2Fbfx42I0Ne_Syu_zXkD_4ah-QY4iQF/view?usp=drivesdk" TargetMode="External"/><Relationship Id="rId2485" Type="http://schemas.openxmlformats.org/officeDocument/2006/relationships/hyperlink" Target="https://drive.google.com/file/d/10F_AABHx6QwHN3s0KkGO5KFSStPIhB-C/view?usp=drivesdk" TargetMode="External"/><Relationship Id="rId1155" Type="http://schemas.openxmlformats.org/officeDocument/2006/relationships/hyperlink" Target="https://drive.google.com/file/d/11k2JSuOh_lavswP9fDc8vRXZd31iK-Gk/view?usp=drivesdk" TargetMode="External"/><Relationship Id="rId2486" Type="http://schemas.openxmlformats.org/officeDocument/2006/relationships/hyperlink" Target="https://drive.google.com/file/d/11xkBBsoEngXYsGzTJG_mRH1UDt2AJ-uJ/view?usp=drivesdk" TargetMode="External"/><Relationship Id="rId1156" Type="http://schemas.openxmlformats.org/officeDocument/2006/relationships/hyperlink" Target="https://drive.google.com/file/d/1wxfUmEK8zb5RTlQskHw3TJi8tc8aswN2/view?usp=drivesdk" TargetMode="External"/><Relationship Id="rId2487" Type="http://schemas.openxmlformats.org/officeDocument/2006/relationships/hyperlink" Target="https://drive.google.com/file/d/1Y6TSzkRKVrH7WnXxgnA6XoDR4N4piW2A/view?usp=drivesdk" TargetMode="External"/><Relationship Id="rId1157" Type="http://schemas.openxmlformats.org/officeDocument/2006/relationships/hyperlink" Target="https://drive.google.com/file/d/1prczL5A4S62fZT56mETtqTUwI-yMl3cD/view?usp=drivesdk" TargetMode="External"/><Relationship Id="rId2488" Type="http://schemas.openxmlformats.org/officeDocument/2006/relationships/hyperlink" Target="https://drive.google.com/file/d/11EJklfl0nsQ1tAaJR8fnwF7IKHJXpfIN/view?usp=drivesdk" TargetMode="External"/><Relationship Id="rId1147" Type="http://schemas.openxmlformats.org/officeDocument/2006/relationships/hyperlink" Target="https://drive.google.com/file/d/1Vj_Bbv-I34ZDUkOSulaRfNMo8gU_JDlc/view?usp=drivesdk" TargetMode="External"/><Relationship Id="rId2478" Type="http://schemas.openxmlformats.org/officeDocument/2006/relationships/hyperlink" Target="https://drive.google.com/file/d/1i-b6JVqL0QcGnMPus5Uz05mTbRzAr3OS/view?usp=drivesdk" TargetMode="External"/><Relationship Id="rId1148" Type="http://schemas.openxmlformats.org/officeDocument/2006/relationships/hyperlink" Target="https://drive.google.com/file/d/1Uu8nPGAm0PRKppbHi1w0wGhSyYVu2nUL/view?usp=drivesdk" TargetMode="External"/><Relationship Id="rId2479" Type="http://schemas.openxmlformats.org/officeDocument/2006/relationships/hyperlink" Target="https://drive.google.com/file/d/1DdzrupfAvH6T02AVHh4ABk3Kx6B69eTU/view?usp=drivesdk" TargetMode="External"/><Relationship Id="rId1149" Type="http://schemas.openxmlformats.org/officeDocument/2006/relationships/hyperlink" Target="https://drive.google.com/file/d/18qXoAbJ3v7ugvkDRsMcf24yMqW5HoLhG/view?usp=drivesdk" TargetMode="External"/><Relationship Id="rId2470" Type="http://schemas.openxmlformats.org/officeDocument/2006/relationships/hyperlink" Target="https://drive.google.com/file/d/1ISSsMGvS6-oPGLpaJMahRYrECeP3imi0/view?usp=drivesdk" TargetMode="External"/><Relationship Id="rId1140" Type="http://schemas.openxmlformats.org/officeDocument/2006/relationships/hyperlink" Target="https://drive.google.com/file/d/15I9IiqtBkn9fg3RmtzFLU8Xafuiz7KDB/view?usp=drivesdk" TargetMode="External"/><Relationship Id="rId2471" Type="http://schemas.openxmlformats.org/officeDocument/2006/relationships/hyperlink" Target="https://drive.google.com/file/d/1ph9NxWH67GbfikphY6U5CkYqh2I_VUGK/view?usp=drivesdk" TargetMode="External"/><Relationship Id="rId1141" Type="http://schemas.openxmlformats.org/officeDocument/2006/relationships/hyperlink" Target="https://drive.google.com/file/d/1uZ_rJZo8HzfWOlZ3PVCluCj4r0apMNLJ/view?usp=drivesdk" TargetMode="External"/><Relationship Id="rId2472" Type="http://schemas.openxmlformats.org/officeDocument/2006/relationships/hyperlink" Target="https://drive.google.com/file/d/15YOfSgNDNbh4Ysc1JTI3JSgpKQtwOAuw/view?usp=drivesdk" TargetMode="External"/><Relationship Id="rId1142" Type="http://schemas.openxmlformats.org/officeDocument/2006/relationships/hyperlink" Target="https://drive.google.com/file/d/1tmT0r07JJN7tjqUW6ZalTdjDGgL40kTl/view?usp=drivesdk" TargetMode="External"/><Relationship Id="rId2473" Type="http://schemas.openxmlformats.org/officeDocument/2006/relationships/hyperlink" Target="https://drive.google.com/file/d/1zaAaZHZCyzZ4mrGa4HFYxbrO2dVm7hAA/view?usp=drivesdk" TargetMode="External"/><Relationship Id="rId1143" Type="http://schemas.openxmlformats.org/officeDocument/2006/relationships/hyperlink" Target="https://drive.google.com/file/d/1rY9v8I2kwYfaHoNlprXeGbLWrMJI3v5J/view?usp=drivesdk" TargetMode="External"/><Relationship Id="rId2474" Type="http://schemas.openxmlformats.org/officeDocument/2006/relationships/hyperlink" Target="https://drive.google.com/file/d/1biNdJdO3TRBApaSjwRGhlq8k-NklmbkI/view?usp=drivesdk" TargetMode="External"/><Relationship Id="rId1144" Type="http://schemas.openxmlformats.org/officeDocument/2006/relationships/hyperlink" Target="https://drive.google.com/file/d/1mxWhCepOta2IsCUF9QREcx3J3bX7NhBC/view?usp=drivesdk" TargetMode="External"/><Relationship Id="rId2475" Type="http://schemas.openxmlformats.org/officeDocument/2006/relationships/hyperlink" Target="https://drive.google.com/file/d/1xkd_ni07QY-rHyNhDtaM15E9b85dQv31/view?usp=drivesdk" TargetMode="External"/><Relationship Id="rId1145" Type="http://schemas.openxmlformats.org/officeDocument/2006/relationships/hyperlink" Target="https://drive.google.com/file/d/1zCOsuGiOl1H6TFj-W4gCgHaQ5gO_Z9eV/view?usp=drivesdk" TargetMode="External"/><Relationship Id="rId2476" Type="http://schemas.openxmlformats.org/officeDocument/2006/relationships/hyperlink" Target="https://drive.google.com/file/d/1qKBBIxUo01riWEtoS7ArokhZXzWnTA7B/view?usp=drivesdk" TargetMode="External"/><Relationship Id="rId1146" Type="http://schemas.openxmlformats.org/officeDocument/2006/relationships/hyperlink" Target="https://drive.google.com/file/d/1dGAeezW_gxRoNyjtGfxKZrxbGXzs-lGe/view?usp=drivesdk" TargetMode="External"/><Relationship Id="rId2477" Type="http://schemas.openxmlformats.org/officeDocument/2006/relationships/hyperlink" Target="https://drive.google.com/file/d/1hKQmlBCu1gsOk3l_BO84sjgYsMyHVdE9/view?usp=drivesdk" TargetMode="External"/><Relationship Id="rId7319" Type="http://schemas.openxmlformats.org/officeDocument/2006/relationships/hyperlink" Target="https://drive.google.com/file/d/1xZFHVU2hpfkwOMkZHk2B3HEX5WPQUBaY/view?usp=drivesdk" TargetMode="External"/><Relationship Id="rId7318" Type="http://schemas.openxmlformats.org/officeDocument/2006/relationships/hyperlink" Target="https://drive.google.com/file/d/1dmjZu9lHAQnQDIiIjMjhagTDh8qM2aGA/view?usp=drivesdk" TargetMode="External"/><Relationship Id="rId8649" Type="http://schemas.openxmlformats.org/officeDocument/2006/relationships/hyperlink" Target="https://drive.google.com/file/d/1A7B8pLQWMeXYnV40xtEE7IXB344XwtL3/view?usp=drivesdk" TargetMode="External"/><Relationship Id="rId8640" Type="http://schemas.openxmlformats.org/officeDocument/2006/relationships/hyperlink" Target="https://drive.google.com/file/d/1GQMt_l3iY0GcFXhLHKz5JNB_T8ZV00lA/view?usp=drivesdk" TargetMode="External"/><Relationship Id="rId7313" Type="http://schemas.openxmlformats.org/officeDocument/2006/relationships/hyperlink" Target="https://drive.google.com/file/d/1oF_Z-gRfEM-aTvcD-zFwqamCqfWDPPbd/view?usp=drivesdk" TargetMode="External"/><Relationship Id="rId8644" Type="http://schemas.openxmlformats.org/officeDocument/2006/relationships/hyperlink" Target="https://drive.google.com/file/d/1qw8ADgys_1wEz5DOzQ_rvHt8WLy_Imq4/view?usp=drivesdk" TargetMode="External"/><Relationship Id="rId7312" Type="http://schemas.openxmlformats.org/officeDocument/2006/relationships/hyperlink" Target="https://drive.google.com/file/d/1IEBxbfI89XBamS9r8xY6cUUvz0YglIue/view?usp=drivesdk" TargetMode="External"/><Relationship Id="rId8643" Type="http://schemas.openxmlformats.org/officeDocument/2006/relationships/hyperlink" Target="https://drive.google.com/file/d/1ZgXM7SRnvh0UIwZEcuom1cXPJaHlRdCw/view?usp=drivesdk" TargetMode="External"/><Relationship Id="rId7311" Type="http://schemas.openxmlformats.org/officeDocument/2006/relationships/hyperlink" Target="https://drive.google.com/file/d/1LjRDYk5RAa6FQ44FwPZ1IMNYuvXD9Gg4/view?usp=drivesdk" TargetMode="External"/><Relationship Id="rId8642" Type="http://schemas.openxmlformats.org/officeDocument/2006/relationships/hyperlink" Target="https://drive.google.com/file/d/1x4f3Gswe3N07KEJDgoyuw-mnJHBrsKA-/view?usp=drivesdk" TargetMode="External"/><Relationship Id="rId7310" Type="http://schemas.openxmlformats.org/officeDocument/2006/relationships/hyperlink" Target="https://drive.google.com/file/d/1MeHBHrIMk-pw9ZsZIWBMSXCuAeZ6u654/view?usp=drivesdk" TargetMode="External"/><Relationship Id="rId8641" Type="http://schemas.openxmlformats.org/officeDocument/2006/relationships/hyperlink" Target="https://drive.google.com/file/d/16qEhhVF5DKIBD-CNLsdB9HIzZ7xewPSF/view?usp=drivesdk" TargetMode="External"/><Relationship Id="rId7317" Type="http://schemas.openxmlformats.org/officeDocument/2006/relationships/hyperlink" Target="https://drive.google.com/file/d/1ewqwRsJWTOj5yETm8vKWQhvEshrd1V_B/view?usp=drivesdk" TargetMode="External"/><Relationship Id="rId8648" Type="http://schemas.openxmlformats.org/officeDocument/2006/relationships/hyperlink" Target="https://drive.google.com/file/d/1hhj1xoqsMKUNxqgI52s57A7PY27eVIHh/view?usp=drivesdk" TargetMode="External"/><Relationship Id="rId7316" Type="http://schemas.openxmlformats.org/officeDocument/2006/relationships/hyperlink" Target="https://drive.google.com/file/d/1mnoOIPUWA5jJOxYEuDCAjuZEKREZ6ugU/view?usp=drivesdk" TargetMode="External"/><Relationship Id="rId8647" Type="http://schemas.openxmlformats.org/officeDocument/2006/relationships/hyperlink" Target="https://drive.google.com/file/d/1IcoD3C7BL54PcGztVtPkO0IFSUL_fyJD/view?usp=drivesdk" TargetMode="External"/><Relationship Id="rId7315" Type="http://schemas.openxmlformats.org/officeDocument/2006/relationships/hyperlink" Target="https://drive.google.com/file/d/1gd7XslXEQwL8745HDZkZLTZEl2DTvlnX/view?usp=drivesdk" TargetMode="External"/><Relationship Id="rId8646" Type="http://schemas.openxmlformats.org/officeDocument/2006/relationships/hyperlink" Target="https://drive.google.com/file/d/15MsiR44cLKJb5Oyy_Nz55gGTB5H-p2SI/view?usp=drivesdk" TargetMode="External"/><Relationship Id="rId7314" Type="http://schemas.openxmlformats.org/officeDocument/2006/relationships/hyperlink" Target="https://drive.google.com/file/d/1QBxd4mu1-L_euJIYArYaB_hjKtAvkW2v/view?usp=drivesdk" TargetMode="External"/><Relationship Id="rId8645" Type="http://schemas.openxmlformats.org/officeDocument/2006/relationships/hyperlink" Target="https://drive.google.com/file/d/1Dv3gBQdaMz5X7ewYCMSWIZJU6sER_8NL/view?usp=drivesdk" TargetMode="External"/><Relationship Id="rId7309" Type="http://schemas.openxmlformats.org/officeDocument/2006/relationships/hyperlink" Target="https://drive.google.com/file/d/1lsZGFjtX4ifRcyY46yZY9iBIVAaQ4s_C/view?usp=drivesdk" TargetMode="External"/><Relationship Id="rId7308" Type="http://schemas.openxmlformats.org/officeDocument/2006/relationships/hyperlink" Target="https://drive.google.com/file/d/14_cvQUz43JjCCKBEjOVqmuVC-vNzXYXF/view?usp=drivesdk" TargetMode="External"/><Relationship Id="rId8639" Type="http://schemas.openxmlformats.org/officeDocument/2006/relationships/hyperlink" Target="https://drive.google.com/file/d/1rwgCckiCR5P3TJCfHoElTf_kAnzW58Ye/view?usp=drivesdk" TargetMode="External"/><Relationship Id="rId7307" Type="http://schemas.openxmlformats.org/officeDocument/2006/relationships/hyperlink" Target="https://drive.google.com/file/d/1XkXEU6g94am5J7aI6CkHsHc8s1-3uxiu/view?usp=drivesdk" TargetMode="External"/><Relationship Id="rId8638" Type="http://schemas.openxmlformats.org/officeDocument/2006/relationships/hyperlink" Target="https://drive.google.com/file/d/1E6waf0-w7T8JJpmE0zGtSGoAqrrEzEHX/view?usp=drivesdk" TargetMode="External"/><Relationship Id="rId7302" Type="http://schemas.openxmlformats.org/officeDocument/2006/relationships/hyperlink" Target="https://drive.google.com/file/d/1yHTMsy1ECZh99Htlmg-O1r4okUNsVi85/view?usp=drivesdk" TargetMode="External"/><Relationship Id="rId8633" Type="http://schemas.openxmlformats.org/officeDocument/2006/relationships/hyperlink" Target="https://drive.google.com/file/d/1oOjG-eIqHenjew9MMuMIzy3pp0wRZH8l/view?usp=drivesdk" TargetMode="External"/><Relationship Id="rId7301" Type="http://schemas.openxmlformats.org/officeDocument/2006/relationships/hyperlink" Target="https://drive.google.com/file/d/1hWaMM-YBh3g5NURQeyH-FOjHeD3FcT-m/view?usp=drivesdk" TargetMode="External"/><Relationship Id="rId8632" Type="http://schemas.openxmlformats.org/officeDocument/2006/relationships/hyperlink" Target="https://drive.google.com/file/d/1aI8bNyW5XUK8AJVUl_0Y-OYJ6997V29d/view?usp=drivesdk" TargetMode="External"/><Relationship Id="rId7300" Type="http://schemas.openxmlformats.org/officeDocument/2006/relationships/hyperlink" Target="https://drive.google.com/file/d/1ZahIwUaT2nbFWNmQ4-tuH3nzsiAMhkaO/view?usp=drivesdk" TargetMode="External"/><Relationship Id="rId8631" Type="http://schemas.openxmlformats.org/officeDocument/2006/relationships/hyperlink" Target="https://drive.google.com/file/d/1pltFGakDbd16mW1h1yHuggw-rMRjUGBG/view?usp=drivesdk" TargetMode="External"/><Relationship Id="rId8630" Type="http://schemas.openxmlformats.org/officeDocument/2006/relationships/hyperlink" Target="https://drive.google.com/file/d/1jnddoHrivrmguNRQn0nlL1-LzQzWSpc3/view?usp=drivesdk" TargetMode="External"/><Relationship Id="rId7306" Type="http://schemas.openxmlformats.org/officeDocument/2006/relationships/hyperlink" Target="https://drive.google.com/file/d/1-uzXNYj01yojOvSUJkl3ajOHpxCaB971/view?usp=drivesdk" TargetMode="External"/><Relationship Id="rId8637" Type="http://schemas.openxmlformats.org/officeDocument/2006/relationships/hyperlink" Target="https://drive.google.com/file/d/1lNtP8bZW9kyeFYbg1jZXvMrv8c-O-Hm_/view?usp=drivesdk" TargetMode="External"/><Relationship Id="rId7305" Type="http://schemas.openxmlformats.org/officeDocument/2006/relationships/hyperlink" Target="https://drive.google.com/file/d/1OUYpiIk9qdNYoMvowGMhcVj_a0ESl0GP/view?usp=drivesdk" TargetMode="External"/><Relationship Id="rId8636" Type="http://schemas.openxmlformats.org/officeDocument/2006/relationships/hyperlink" Target="https://drive.google.com/file/d/1gl09f8kA886320XBsX256qpCQnaJJGE1/view?usp=drivesdk" TargetMode="External"/><Relationship Id="rId7304" Type="http://schemas.openxmlformats.org/officeDocument/2006/relationships/hyperlink" Target="https://drive.google.com/file/d/1Gh5AJ-7baAg6sJHrqbRsybT67SW5fUX1/view?usp=drivesdk" TargetMode="External"/><Relationship Id="rId8635" Type="http://schemas.openxmlformats.org/officeDocument/2006/relationships/hyperlink" Target="https://drive.google.com/file/d/14x8CXgKB6TqDQVdtLQsWtX53OFkoe9LN/view?usp=drivesdk" TargetMode="External"/><Relationship Id="rId7303" Type="http://schemas.openxmlformats.org/officeDocument/2006/relationships/hyperlink" Target="https://drive.google.com/file/d/13n2lgDALWm8TofHSCVB1orTR4y3N0x7C/view?usp=drivesdk" TargetMode="External"/><Relationship Id="rId8634" Type="http://schemas.openxmlformats.org/officeDocument/2006/relationships/hyperlink" Target="https://drive.google.com/file/d/1Ri_9v_tS2Ja8GwdisVWGa8MSWjg8SiJH/view?usp=drivesdk" TargetMode="External"/><Relationship Id="rId6009" Type="http://schemas.openxmlformats.org/officeDocument/2006/relationships/hyperlink" Target="https://drive.google.com/file/d/10OWyJTikRmb3o8KL9erPXT21aqNDO382/view?usp=drivesdk" TargetMode="External"/><Relationship Id="rId7331" Type="http://schemas.openxmlformats.org/officeDocument/2006/relationships/hyperlink" Target="https://drive.google.com/file/d/1j3K_Hx6Ar5dHIl02oiVKbxoJE-KxNeE3/view?usp=drivesdk" TargetMode="External"/><Relationship Id="rId8662" Type="http://schemas.openxmlformats.org/officeDocument/2006/relationships/hyperlink" Target="https://drive.google.com/file/d/1FCxzK1tjtjIuBL1zQWTgmJUeE7nzOpHO/view?usp=drivesdk" TargetMode="External"/><Relationship Id="rId6000" Type="http://schemas.openxmlformats.org/officeDocument/2006/relationships/hyperlink" Target="https://drive.google.com/file/d/1CVe_D9P4NJFMSi5mKtv6Dn0njIA1brZZ/view?usp=drivesdk" TargetMode="External"/><Relationship Id="rId7330" Type="http://schemas.openxmlformats.org/officeDocument/2006/relationships/hyperlink" Target="https://drive.google.com/file/d/1JztReUNhmO13xPvRvrH8RECxoa2sV0YQ/view?usp=drivesdk" TargetMode="External"/><Relationship Id="rId8661" Type="http://schemas.openxmlformats.org/officeDocument/2006/relationships/hyperlink" Target="https://drive.google.com/file/d/1Jopx2OC6I_2iRicWkejM0fCfoA8gVcFs/view?usp=drivesdk" TargetMode="External"/><Relationship Id="rId8660" Type="http://schemas.openxmlformats.org/officeDocument/2006/relationships/hyperlink" Target="https://drive.google.com/file/d/1BYYbKhQcAneOuM4y9GyTI1sHIvRsyJvF/view?usp=drivesdk" TargetMode="External"/><Relationship Id="rId6003" Type="http://schemas.openxmlformats.org/officeDocument/2006/relationships/hyperlink" Target="https://drive.google.com/file/d/1thMNfDLKN9Xec_Y34NQCjbXtVw-8Y-LC/view?usp=drivesdk" TargetMode="External"/><Relationship Id="rId7335" Type="http://schemas.openxmlformats.org/officeDocument/2006/relationships/hyperlink" Target="https://drive.google.com/file/d/1jVGzvP4aA5V3VtvteoxK-FMUgPQFpNCm/view?usp=drivesdk" TargetMode="External"/><Relationship Id="rId8666" Type="http://schemas.openxmlformats.org/officeDocument/2006/relationships/hyperlink" Target="https://drive.google.com/file/d/1v1X224SJ1FcJ58z6mN9Y--PFtvn_RzK5/view?usp=drivesdk" TargetMode="External"/><Relationship Id="rId6004" Type="http://schemas.openxmlformats.org/officeDocument/2006/relationships/hyperlink" Target="https://drive.google.com/file/d/12aI7bT7lRAb58FF8Cco9wNII0SsWxny-/view?usp=drivesdk" TargetMode="External"/><Relationship Id="rId7334" Type="http://schemas.openxmlformats.org/officeDocument/2006/relationships/hyperlink" Target="https://drive.google.com/file/d/1cIbX_RQ22lEpWm7pTOVIBNVulLUimkY4/view?usp=drivesdk" TargetMode="External"/><Relationship Id="rId8665" Type="http://schemas.openxmlformats.org/officeDocument/2006/relationships/hyperlink" Target="https://drive.google.com/file/d/11KDsTZn_xAhiP4tdx_WCFu-YTXqKF5Ez/view?usp=drivesdk" TargetMode="External"/><Relationship Id="rId6001" Type="http://schemas.openxmlformats.org/officeDocument/2006/relationships/hyperlink" Target="https://drive.google.com/file/d/1WuzCV2zgKvELlKXBKyAv4UObTTdaANGq/view?usp=drivesdk" TargetMode="External"/><Relationship Id="rId7333" Type="http://schemas.openxmlformats.org/officeDocument/2006/relationships/hyperlink" Target="https://drive.google.com/file/d/1ork1HxzMiUdPTSb8qb7H5ODmkEpxpneY/view?usp=drivesdk" TargetMode="External"/><Relationship Id="rId8664" Type="http://schemas.openxmlformats.org/officeDocument/2006/relationships/hyperlink" Target="https://drive.google.com/file/d/1DFqh7JgCZ_rPxdcvYxdCDGMxxT245NQx/view?usp=drivesdk" TargetMode="External"/><Relationship Id="rId6002" Type="http://schemas.openxmlformats.org/officeDocument/2006/relationships/hyperlink" Target="https://drive.google.com/file/d/11lz6-ZnNREeKxfiWH-CX46oZBNZ0Q1DV/view?usp=drivesdk" TargetMode="External"/><Relationship Id="rId7332" Type="http://schemas.openxmlformats.org/officeDocument/2006/relationships/hyperlink" Target="https://drive.google.com/file/d/1fqbzUidKN0nNpY9iyoH-X-rg1H_j9wqA/view?usp=drivesdk" TargetMode="External"/><Relationship Id="rId8663" Type="http://schemas.openxmlformats.org/officeDocument/2006/relationships/hyperlink" Target="https://drive.google.com/file/d/1OjP9JTqJDv_R9yWl_amFImEjlfwUyrKD/view?usp=drivesdk" TargetMode="External"/><Relationship Id="rId6007" Type="http://schemas.openxmlformats.org/officeDocument/2006/relationships/hyperlink" Target="https://drive.google.com/file/d/1RSNosKKe_cBiC6oGy0WezF_yq42xPTdE/view?usp=drivesdk" TargetMode="External"/><Relationship Id="rId7339" Type="http://schemas.openxmlformats.org/officeDocument/2006/relationships/hyperlink" Target="https://drive.google.com/file/d/1iTa05J7Ieyv0w261VcDabX3o6UynGpGd/view?usp=drivesdk" TargetMode="External"/><Relationship Id="rId6008" Type="http://schemas.openxmlformats.org/officeDocument/2006/relationships/hyperlink" Target="https://drive.google.com/file/d/1TlUCLrfxNwRAuSpCnmQ2MA2FZuoUukrG/view?usp=drivesdk" TargetMode="External"/><Relationship Id="rId7338" Type="http://schemas.openxmlformats.org/officeDocument/2006/relationships/hyperlink" Target="https://drive.google.com/file/d/1Dlzw023zus9ErzU8_QcaiI3iw5rqQ6MM/view?usp=drivesdk" TargetMode="External"/><Relationship Id="rId8669" Type="http://schemas.openxmlformats.org/officeDocument/2006/relationships/hyperlink" Target="https://drive.google.com/file/d/1fVLiG26M47YzdkF4M0CYlu6XoLS1VJAn/view?usp=drivesdk" TargetMode="External"/><Relationship Id="rId6005" Type="http://schemas.openxmlformats.org/officeDocument/2006/relationships/hyperlink" Target="https://drive.google.com/file/d/1iR7FAFnxliOU3wHCVt97Ez225K478thH/view?usp=drivesdk" TargetMode="External"/><Relationship Id="rId7337" Type="http://schemas.openxmlformats.org/officeDocument/2006/relationships/hyperlink" Target="https://drive.google.com/file/d/13NyfkOc1kkw_VmnIkc3qdKtq6bxIMTqw/view?usp=drivesdk" TargetMode="External"/><Relationship Id="rId8668" Type="http://schemas.openxmlformats.org/officeDocument/2006/relationships/hyperlink" Target="https://drive.google.com/file/d/1ZqGampebMiD_hnRJRYWaySg-PR3Un9yT/view?usp=drivesdk" TargetMode="External"/><Relationship Id="rId6006" Type="http://schemas.openxmlformats.org/officeDocument/2006/relationships/hyperlink" Target="https://drive.google.com/file/d/16_mkaBFGtnuAR5ntSL2dFTGGm3G-CZs2/view?usp=drivesdk" TargetMode="External"/><Relationship Id="rId7336" Type="http://schemas.openxmlformats.org/officeDocument/2006/relationships/hyperlink" Target="https://drive.google.com/file/d/1SCiQurZ0NEy0ig7m-8mQMxTQrvMRgTLo/view?usp=drivesdk" TargetMode="External"/><Relationship Id="rId8667" Type="http://schemas.openxmlformats.org/officeDocument/2006/relationships/hyperlink" Target="https://drive.google.com/file/d/1WbMQrkLnDEa-VgUtgnp-VHEmuTvgJtau/view?usp=drivesdk" TargetMode="External"/><Relationship Id="rId7329" Type="http://schemas.openxmlformats.org/officeDocument/2006/relationships/hyperlink" Target="https://drive.google.com/file/d/1ZEoU70Cb3k7pE4cYrk6xP5AXY2l8bwLE/view?usp=drivesdk" TargetMode="External"/><Relationship Id="rId7320" Type="http://schemas.openxmlformats.org/officeDocument/2006/relationships/hyperlink" Target="https://drive.google.com/file/d/1mkNWju6_LqUnPjoEduIzKT9nsL6_MAUL/view?usp=drivesdk" TargetMode="External"/><Relationship Id="rId8651" Type="http://schemas.openxmlformats.org/officeDocument/2006/relationships/hyperlink" Target="https://drive.google.com/file/d/1L0UwRLzoXAXnhoWGKtRX8m2LUIiXXta2/view?usp=drivesdk" TargetMode="External"/><Relationship Id="rId8650" Type="http://schemas.openxmlformats.org/officeDocument/2006/relationships/hyperlink" Target="https://drive.google.com/file/d/1kiucG_mN63asM8OxSKJP8kJg8PFggq0M/view?usp=drivesdk" TargetMode="External"/><Relationship Id="rId7324" Type="http://schemas.openxmlformats.org/officeDocument/2006/relationships/hyperlink" Target="https://drive.google.com/file/d/1SR10Vs_RkDj-Ql3dmbGd2WFRRjuy8l2n/view?usp=drivesdk" TargetMode="External"/><Relationship Id="rId8655" Type="http://schemas.openxmlformats.org/officeDocument/2006/relationships/hyperlink" Target="https://drive.google.com/file/d/1ABj-kxEf9Q_jqNJXtf9VgSgevoMoMYFC/view?usp=drivesdk" TargetMode="External"/><Relationship Id="rId7323" Type="http://schemas.openxmlformats.org/officeDocument/2006/relationships/hyperlink" Target="https://drive.google.com/file/d/1aUssARc9lMArCOf-inZP0Y0DgWn53kpg/view?usp=drivesdk" TargetMode="External"/><Relationship Id="rId8654" Type="http://schemas.openxmlformats.org/officeDocument/2006/relationships/hyperlink" Target="https://drive.google.com/file/d/1uPOBd38CeN63tQElYlMzN5r_ZXmFxgRg/view?usp=drivesdk" TargetMode="External"/><Relationship Id="rId7322" Type="http://schemas.openxmlformats.org/officeDocument/2006/relationships/hyperlink" Target="https://drive.google.com/file/d/1HhzM6X9nGtUuyaIONuOC3qkRfG0smOwg/view?usp=drivesdk" TargetMode="External"/><Relationship Id="rId8653" Type="http://schemas.openxmlformats.org/officeDocument/2006/relationships/hyperlink" Target="https://drive.google.com/file/d/19S67h46Sgr7t1CZ_jZBZxdGpdrGHZ4mn/view?usp=drivesdk" TargetMode="External"/><Relationship Id="rId7321" Type="http://schemas.openxmlformats.org/officeDocument/2006/relationships/hyperlink" Target="https://drive.google.com/file/d/1CScEp7pfWhUmrTOLfB_zdhLage_L0lQo/view?usp=drivesdk" TargetMode="External"/><Relationship Id="rId8652" Type="http://schemas.openxmlformats.org/officeDocument/2006/relationships/hyperlink" Target="https://drive.google.com/file/d/1j6vJEEoGQjuUHgCMHbHuBvh6sTWcdhcw/view?usp=drivesdk" TargetMode="External"/><Relationship Id="rId7328" Type="http://schemas.openxmlformats.org/officeDocument/2006/relationships/hyperlink" Target="https://drive.google.com/file/d/1cmpMoLypCoDKoIKnOGQJAK90uAcz2SLo/view?usp=drivesdk" TargetMode="External"/><Relationship Id="rId8659" Type="http://schemas.openxmlformats.org/officeDocument/2006/relationships/hyperlink" Target="https://drive.google.com/file/d/131GfI2uJOCfppAw2sDCfZob3OYN-bzHu/view?usp=drivesdk" TargetMode="External"/><Relationship Id="rId7327" Type="http://schemas.openxmlformats.org/officeDocument/2006/relationships/hyperlink" Target="https://drive.google.com/file/d/1X3xkA4GfcCUMNDS7ZwPi7bv3k_RwKpBZ/view?usp=drivesdk" TargetMode="External"/><Relationship Id="rId8658" Type="http://schemas.openxmlformats.org/officeDocument/2006/relationships/hyperlink" Target="https://drive.google.com/file/d/1TJHNCQY0wRDYhbUYTrgK75KXvNwWaocf/view?usp=drivesdk" TargetMode="External"/><Relationship Id="rId7326" Type="http://schemas.openxmlformats.org/officeDocument/2006/relationships/hyperlink" Target="https://drive.google.com/file/d/1Et1sm5fwAtmu2bYUKELwGRwYQvTlmwKY/view?usp=drivesdk" TargetMode="External"/><Relationship Id="rId8657" Type="http://schemas.openxmlformats.org/officeDocument/2006/relationships/hyperlink" Target="https://drive.google.com/file/d/1hkdBqu56Cl8UXopbN5DGB1_0-eFCqOYF/view?usp=drivesdk" TargetMode="External"/><Relationship Id="rId7325" Type="http://schemas.openxmlformats.org/officeDocument/2006/relationships/hyperlink" Target="https://drive.google.com/file/d/18JIq65Pvr-EZ0s9-6FyXb-w6sEo-Ycgi/view?usp=drivesdk" TargetMode="External"/><Relationship Id="rId8656" Type="http://schemas.openxmlformats.org/officeDocument/2006/relationships/hyperlink" Target="https://drive.google.com/file/d/1FEOoWpdaccUYcjsouJbOm2bdJJTJSWBH/view?usp=drivesdk" TargetMode="External"/><Relationship Id="rId8608" Type="http://schemas.openxmlformats.org/officeDocument/2006/relationships/hyperlink" Target="https://drive.google.com/file/d/1iCnG_wMFlH2Zt3JiSAqFXaUiiYwIv2ua/view?usp=drivesdk" TargetMode="External"/><Relationship Id="rId8607" Type="http://schemas.openxmlformats.org/officeDocument/2006/relationships/hyperlink" Target="https://drive.google.com/file/d/1y6Zphy6WWfMXbMIDg8_2ltR0UexlR4nV/view?usp=drivesdk" TargetMode="External"/><Relationship Id="rId8606" Type="http://schemas.openxmlformats.org/officeDocument/2006/relationships/hyperlink" Target="https://drive.google.com/file/d/1ejLQbnX0VXVLDZllfbdOPvoZk-7j8bNZ/view?usp=drivesdk" TargetMode="External"/><Relationship Id="rId8605" Type="http://schemas.openxmlformats.org/officeDocument/2006/relationships/hyperlink" Target="https://drive.google.com/file/d/1ay-Skzl5mJxSvMvqpoDkupnamYgT_R8S/view?usp=drivesdk" TargetMode="External"/><Relationship Id="rId8609" Type="http://schemas.openxmlformats.org/officeDocument/2006/relationships/hyperlink" Target="https://drive.google.com/file/d/1_dHYUCRA4GYY_CQZ6cm2LIMdHBRFzub8/view?usp=drivesdk" TargetMode="External"/><Relationship Id="rId8600" Type="http://schemas.openxmlformats.org/officeDocument/2006/relationships/hyperlink" Target="https://drive.google.com/file/d/1rrwA8U1nc_2Vcv4O12Xim1Qvdwgzxvjg/view?usp=drivesdk" TargetMode="External"/><Relationship Id="rId8604" Type="http://schemas.openxmlformats.org/officeDocument/2006/relationships/hyperlink" Target="https://drive.google.com/file/d/1hsyr4LkkGkoaSlGPzUn5Y1vB0in7fgtK/view?usp=drivesdk" TargetMode="External"/><Relationship Id="rId8603" Type="http://schemas.openxmlformats.org/officeDocument/2006/relationships/hyperlink" Target="https://drive.google.com/file/d/1tM7cDXzAHtAzr6x7cZjavLoA4Ea5Emi6/view?usp=drivesdk" TargetMode="External"/><Relationship Id="rId8602" Type="http://schemas.openxmlformats.org/officeDocument/2006/relationships/hyperlink" Target="https://drive.google.com/file/d/1VTQtM-eqPEyhMUvmfE2czhy7yJnC2f0J/view?usp=drivesdk" TargetMode="External"/><Relationship Id="rId8601" Type="http://schemas.openxmlformats.org/officeDocument/2006/relationships/hyperlink" Target="https://drive.google.com/file/d/18FPG0tK27DcmUSi50wm9oiPGVZXe9T9z/view?usp=drivesdk" TargetMode="External"/><Relationship Id="rId8629" Type="http://schemas.openxmlformats.org/officeDocument/2006/relationships/hyperlink" Target="https://drive.google.com/file/d/1wJVi98mbJsGuTOSnB7IYthz38xEyBOTU/view?usp=drivesdk" TargetMode="External"/><Relationship Id="rId8628" Type="http://schemas.openxmlformats.org/officeDocument/2006/relationships/hyperlink" Target="https://drive.google.com/file/d/1ieS6CXgSIUpzDyZuHqi-v_tU0P0bPh8-/view?usp=drivesdk" TargetMode="External"/><Relationship Id="rId8627" Type="http://schemas.openxmlformats.org/officeDocument/2006/relationships/hyperlink" Target="https://drive.google.com/file/d/1hOFeio-1PxFqSC8AOo82N9uqHtKUdKeX/view?usp=drivesdk" TargetMode="External"/><Relationship Id="rId8622" Type="http://schemas.openxmlformats.org/officeDocument/2006/relationships/hyperlink" Target="https://drive.google.com/file/d/1px-GbNj9bQ22Qg3hmkhMH1UAofuTiwBt/view?usp=drivesdk" TargetMode="External"/><Relationship Id="rId8621" Type="http://schemas.openxmlformats.org/officeDocument/2006/relationships/hyperlink" Target="https://drive.google.com/file/d/1TZfmIKw-XPZs9Mt0wYOQWS37Xpx10Qps/view?usp=drivesdk" TargetMode="External"/><Relationship Id="rId8620" Type="http://schemas.openxmlformats.org/officeDocument/2006/relationships/hyperlink" Target="https://drive.google.com/file/d/1W1WB3dvk_YvHjvZxhmKCRhPI4s80L-1n/view?usp=drivesdk" TargetMode="External"/><Relationship Id="rId8626" Type="http://schemas.openxmlformats.org/officeDocument/2006/relationships/hyperlink" Target="https://drive.google.com/file/d/1ElRo33LwqeWzB9Rkytc1zTP7cdALoyeN/view?usp=drivesdk" TargetMode="External"/><Relationship Id="rId8625" Type="http://schemas.openxmlformats.org/officeDocument/2006/relationships/hyperlink" Target="https://drive.google.com/file/d/1Gc4hauGqFx-AMh_oQL0pcaToUWODtCr-/view?usp=drivesdk" TargetMode="External"/><Relationship Id="rId8624" Type="http://schemas.openxmlformats.org/officeDocument/2006/relationships/hyperlink" Target="https://drive.google.com/file/d/1DG-rp07lItCL2RcspR10nZd30O-IdiQH/view?usp=drivesdk" TargetMode="External"/><Relationship Id="rId8623" Type="http://schemas.openxmlformats.org/officeDocument/2006/relationships/hyperlink" Target="https://drive.google.com/file/d/1_DUjhD7iGBBK_74L38yxPYObFB8sFoDp/view?usp=drivesdk" TargetMode="External"/><Relationship Id="rId8619" Type="http://schemas.openxmlformats.org/officeDocument/2006/relationships/hyperlink" Target="https://drive.google.com/file/d/1E2GEjo26FlsT5XsP6Pf6qUmY09c-022F/view?usp=drivesdk" TargetMode="External"/><Relationship Id="rId8618" Type="http://schemas.openxmlformats.org/officeDocument/2006/relationships/hyperlink" Target="https://drive.google.com/file/d/1Ml5OGTCk2kxf9OpsspKeYgfkede028j4/view?usp=drivesdk" TargetMode="External"/><Relationship Id="rId8617" Type="http://schemas.openxmlformats.org/officeDocument/2006/relationships/hyperlink" Target="https://drive.google.com/file/d/16yi0hLMrsmTfAcXajLl3GeQWaj0otzfB/view?usp=drivesdk" TargetMode="External"/><Relationship Id="rId8616" Type="http://schemas.openxmlformats.org/officeDocument/2006/relationships/hyperlink" Target="https://drive.google.com/file/d/1h9Eug9CIpm7zMTJy1iOo31SrGjXMDTrF/view?usp=drivesdk" TargetMode="External"/><Relationship Id="rId8611" Type="http://schemas.openxmlformats.org/officeDocument/2006/relationships/hyperlink" Target="https://drive.google.com/file/d/1woMczfH_2F6QHspGXiDDKGUsYea2GmNR/view?usp=drivesdk" TargetMode="External"/><Relationship Id="rId8610" Type="http://schemas.openxmlformats.org/officeDocument/2006/relationships/hyperlink" Target="https://drive.google.com/file/d/1aVUy4OfVK5xngH04N8sxhTz_yxV_TluH/view?usp=drivesdk" TargetMode="External"/><Relationship Id="rId8615" Type="http://schemas.openxmlformats.org/officeDocument/2006/relationships/hyperlink" Target="https://drive.google.com/file/d/1nTloQ51CcFMyKIrJBrLRuQLQo5NGkjxy/view?usp=drivesdk" TargetMode="External"/><Relationship Id="rId8614" Type="http://schemas.openxmlformats.org/officeDocument/2006/relationships/hyperlink" Target="https://drive.google.com/file/d/1pHNj85SngjH6G6_iVnYlmvkqpuRIQ-NM/view?usp=drivesdk" TargetMode="External"/><Relationship Id="rId8613" Type="http://schemas.openxmlformats.org/officeDocument/2006/relationships/hyperlink" Target="https://drive.google.com/file/d/1tO-YsDAPCmrYLHG0BKvgyW8MUeMlL0Qa/view?usp=drivesdk" TargetMode="External"/><Relationship Id="rId8612" Type="http://schemas.openxmlformats.org/officeDocument/2006/relationships/hyperlink" Target="https://drive.google.com/file/d/1lfBpEWXszcQngNOpOB8GoGJWAvh_bupZ/view?usp=drivesdk" TargetMode="External"/><Relationship Id="rId6061" Type="http://schemas.openxmlformats.org/officeDocument/2006/relationships/hyperlink" Target="https://drive.google.com/file/d/1LHWccB9h3_i2pvwLAJ-B0ZqCaKDCjB_e/view?usp=drivesdk" TargetMode="External"/><Relationship Id="rId7393" Type="http://schemas.openxmlformats.org/officeDocument/2006/relationships/hyperlink" Target="https://drive.google.com/file/d/17XQTBQied5cNk-kS5McN9VmQEzQKV0nx/view?usp=drivesdk" TargetMode="External"/><Relationship Id="rId6062" Type="http://schemas.openxmlformats.org/officeDocument/2006/relationships/hyperlink" Target="https://drive.google.com/file/d/1k8g-uxZf4rnZdEqczU_qX6QBcmncwbfA/view?usp=drivesdk" TargetMode="External"/><Relationship Id="rId7392" Type="http://schemas.openxmlformats.org/officeDocument/2006/relationships/hyperlink" Target="https://drive.google.com/file/d/1X_gwM5wiqjXdFNA0PBWcNE-kYODBJW5P/view?usp=drivesdk" TargetMode="External"/><Relationship Id="rId7391" Type="http://schemas.openxmlformats.org/officeDocument/2006/relationships/hyperlink" Target="https://drive.google.com/file/d/14UVqyazGoX5xIp27ApVHtrFY1NmCpSjI/view?usp=drivesdk" TargetMode="External"/><Relationship Id="rId6060" Type="http://schemas.openxmlformats.org/officeDocument/2006/relationships/hyperlink" Target="https://drive.google.com/file/d/1XqacnzjIvE-9BIUt18y14UGRUUvDV5nF/view?usp=drivesdk" TargetMode="External"/><Relationship Id="rId7390" Type="http://schemas.openxmlformats.org/officeDocument/2006/relationships/hyperlink" Target="https://drive.google.com/file/d/1prRQIacxATBGP37UlXM-AMA92YsJ7l_h/view?usp=drivesdk" TargetMode="External"/><Relationship Id="rId6065" Type="http://schemas.openxmlformats.org/officeDocument/2006/relationships/hyperlink" Target="https://drive.google.com/file/d/1gyPX3qcy73gGEvt2uptFRhhz49XeY76d/view?usp=drivesdk" TargetMode="External"/><Relationship Id="rId7397" Type="http://schemas.openxmlformats.org/officeDocument/2006/relationships/hyperlink" Target="https://drive.google.com/file/d/1HNmPPq0Q4Z6ofOeKR3HRtC5Zq4zucIaK/view?usp=drivesdk" TargetMode="External"/><Relationship Id="rId6066" Type="http://schemas.openxmlformats.org/officeDocument/2006/relationships/hyperlink" Target="https://drive.google.com/file/d/18q4dbRIeHRYuL9gNwC6FQCk-vOnrstWw/view?usp=drivesdk" TargetMode="External"/><Relationship Id="rId7396" Type="http://schemas.openxmlformats.org/officeDocument/2006/relationships/hyperlink" Target="https://drive.google.com/file/d/1TyKA0wcEhBF5zawkCk6y-tHS2yyhf3Tp/view?usp=drivesdk" TargetMode="External"/><Relationship Id="rId6063" Type="http://schemas.openxmlformats.org/officeDocument/2006/relationships/hyperlink" Target="https://drive.google.com/file/d/1zikS2fcGzAlj_WJFrT4Vzt2yujfHWPpC/view?usp=drivesdk" TargetMode="External"/><Relationship Id="rId7395" Type="http://schemas.openxmlformats.org/officeDocument/2006/relationships/hyperlink" Target="https://drive.google.com/file/d/1hUfXe0Icj0JEDgdUK7HIOde0TalHAj72/view?usp=drivesdk" TargetMode="External"/><Relationship Id="rId6064" Type="http://schemas.openxmlformats.org/officeDocument/2006/relationships/hyperlink" Target="https://drive.google.com/file/d/1MawrTMQpmvgW9gvGpKMv936Dk3tVZxHW/view?usp=drivesdk" TargetMode="External"/><Relationship Id="rId7394" Type="http://schemas.openxmlformats.org/officeDocument/2006/relationships/hyperlink" Target="https://drive.google.com/file/d/1XToo7vjznDpsegOK6xtKXEHy37dVYGX5/view?usp=drivesdk" TargetMode="External"/><Relationship Id="rId6069" Type="http://schemas.openxmlformats.org/officeDocument/2006/relationships/hyperlink" Target="https://drive.google.com/file/d/1m6ng7MXIhzi3hu7iuRFXjMXGr5FxDT9X/view?usp=drivesdk" TargetMode="External"/><Relationship Id="rId6067" Type="http://schemas.openxmlformats.org/officeDocument/2006/relationships/hyperlink" Target="https://drive.google.com/file/d/1HYgLN6Jgq2T0Lk0IStt8ne7xm6bMPHqN/view?usp=drivesdk" TargetMode="External"/><Relationship Id="rId7399" Type="http://schemas.openxmlformats.org/officeDocument/2006/relationships/hyperlink" Target="https://drive.google.com/file/d/1F71dHUetRFhd-x-kepJ19M99nxwwJ13L/view?usp=drivesdk" TargetMode="External"/><Relationship Id="rId6068" Type="http://schemas.openxmlformats.org/officeDocument/2006/relationships/hyperlink" Target="https://drive.google.com/file/d/1oJqp8bd8bQHshrE51aOOlB5KvSnu9CBe/view?usp=drivesdk" TargetMode="External"/><Relationship Id="rId7398" Type="http://schemas.openxmlformats.org/officeDocument/2006/relationships/hyperlink" Target="https://drive.google.com/file/d/1fBLlTe7vmTXpXJpLoohANGhw1Ex5Tkjs/view?usp=drivesdk" TargetMode="External"/><Relationship Id="rId6050" Type="http://schemas.openxmlformats.org/officeDocument/2006/relationships/hyperlink" Target="https://drive.google.com/file/d/14BLh8t3nWM8_vz9AE_ewOPPwjfGCw2ry/view?usp=drivesdk" TargetMode="External"/><Relationship Id="rId7382" Type="http://schemas.openxmlformats.org/officeDocument/2006/relationships/hyperlink" Target="https://drive.google.com/file/d/102LUUtdGQ98sVrQNY-zrdzAI3GoJCQQP/view?usp=drivesdk" TargetMode="External"/><Relationship Id="rId6051" Type="http://schemas.openxmlformats.org/officeDocument/2006/relationships/hyperlink" Target="https://drive.google.com/file/d/1fh5FP-e4_vpwex9Xpr1WP2o1fcumV4VB/view?usp=drivesdk" TargetMode="External"/><Relationship Id="rId7381" Type="http://schemas.openxmlformats.org/officeDocument/2006/relationships/hyperlink" Target="https://drive.google.com/file/d/1b4x0iBa2eMJNpZ9dsdAx_ykPx59P1V1M/view?usp=drivesdk" TargetMode="External"/><Relationship Id="rId7380" Type="http://schemas.openxmlformats.org/officeDocument/2006/relationships/hyperlink" Target="https://drive.google.com/file/d/1P2hX9yDU61JIvlU4qDYXPN7MfEDy-Y1Z/view?usp=drivesdk" TargetMode="External"/><Relationship Id="rId6054" Type="http://schemas.openxmlformats.org/officeDocument/2006/relationships/hyperlink" Target="https://drive.google.com/file/d/1SEDYy4CsRFgVQvJBf3fdbOjoGTpggf9t/view?usp=drivesdk" TargetMode="External"/><Relationship Id="rId7386" Type="http://schemas.openxmlformats.org/officeDocument/2006/relationships/hyperlink" Target="https://drive.google.com/file/d/14oXwsC5bicydc9uHVc_P4-_NVhCrwYaF/view?usp=drivesdk" TargetMode="External"/><Relationship Id="rId6055" Type="http://schemas.openxmlformats.org/officeDocument/2006/relationships/hyperlink" Target="https://drive.google.com/file/d/1QkyUCumQP8yGjQGatMriXm8iY0IEiKFR/view?usp=drivesdk" TargetMode="External"/><Relationship Id="rId7385" Type="http://schemas.openxmlformats.org/officeDocument/2006/relationships/hyperlink" Target="https://drive.google.com/file/d/1V8EmO5GxYF3lqv5dr2mPuSOdwXPNmUV0/view?usp=drivesdk" TargetMode="External"/><Relationship Id="rId6052" Type="http://schemas.openxmlformats.org/officeDocument/2006/relationships/hyperlink" Target="https://drive.google.com/file/d/1S6fiTROkjtRM9egtnXiatn7i0SkJAO7Q/view?usp=drivesdk" TargetMode="External"/><Relationship Id="rId7384" Type="http://schemas.openxmlformats.org/officeDocument/2006/relationships/hyperlink" Target="https://drive.google.com/file/d/1UcgUX-YNP1pEfKDcZJldKd3-PGuHfqf8/view?usp=drivesdk" TargetMode="External"/><Relationship Id="rId6053" Type="http://schemas.openxmlformats.org/officeDocument/2006/relationships/hyperlink" Target="https://drive.google.com/file/d/10jv1mDry3ecJ0nS_beSHBC7PI6n11UrR/view?usp=drivesdk" TargetMode="External"/><Relationship Id="rId7383" Type="http://schemas.openxmlformats.org/officeDocument/2006/relationships/hyperlink" Target="https://drive.google.com/file/d/1T0DG3VcL0L9xuOUgXx2Gu1WWDXiR5lmN/view?usp=drivesdk" TargetMode="External"/><Relationship Id="rId6058" Type="http://schemas.openxmlformats.org/officeDocument/2006/relationships/hyperlink" Target="https://drive.google.com/file/d/1SBKQ0RASofpuxFzXCElibpeonp_O9fAI/view?usp=drivesdk" TargetMode="External"/><Relationship Id="rId6059" Type="http://schemas.openxmlformats.org/officeDocument/2006/relationships/hyperlink" Target="https://drive.google.com/file/d/115nieGMsGLxchnDtHcF-Y0hD4ZHbLoyq/view?usp=drivesdk" TargetMode="External"/><Relationship Id="rId7389" Type="http://schemas.openxmlformats.org/officeDocument/2006/relationships/hyperlink" Target="https://drive.google.com/file/d/1a4xeB8_nILu4an3jFa01faIIIBGBGEaH/view?usp=drivesdk" TargetMode="External"/><Relationship Id="rId6056" Type="http://schemas.openxmlformats.org/officeDocument/2006/relationships/hyperlink" Target="https://drive.google.com/file/d/1K5LxAAwJykGcCnyLKQkIL7GHWIoHLjbC/view?usp=drivesdk" TargetMode="External"/><Relationship Id="rId7388" Type="http://schemas.openxmlformats.org/officeDocument/2006/relationships/hyperlink" Target="https://drive.google.com/file/d/1ZHmGhRARSs1f9Bd50q_iZTIB2qjoApKJ/view?usp=drivesdk" TargetMode="External"/><Relationship Id="rId6057" Type="http://schemas.openxmlformats.org/officeDocument/2006/relationships/hyperlink" Target="https://drive.google.com/file/d/1xovF907zSPmF5CvJgTEuB7PrpAHMXwqI/view?usp=drivesdk" TargetMode="External"/><Relationship Id="rId7387" Type="http://schemas.openxmlformats.org/officeDocument/2006/relationships/hyperlink" Target="https://drive.google.com/file/d/1-hfnVgze1ZVRWemjcbYqRuHaCWPGbJES/view?usp=drivesdk" TargetMode="External"/><Relationship Id="rId3810" Type="http://schemas.openxmlformats.org/officeDocument/2006/relationships/hyperlink" Target="https://drive.google.com/file/d/1FCOhXyRNsVIfZz4qLpRkmrzRqesW_dAz/view?usp=drivesdk" TargetMode="External"/><Relationship Id="rId3812" Type="http://schemas.openxmlformats.org/officeDocument/2006/relationships/hyperlink" Target="https://drive.google.com/file/d/1RyCDfnBEAtGVUCppHyvF0TC_5TRv3dxf/view?usp=drivesdk" TargetMode="External"/><Relationship Id="rId3811" Type="http://schemas.openxmlformats.org/officeDocument/2006/relationships/hyperlink" Target="https://drive.google.com/file/d/1lIsT94fFcEP7gBhLHSYQturCvJsE9rlw/view?usp=drivesdk" TargetMode="External"/><Relationship Id="rId3814" Type="http://schemas.openxmlformats.org/officeDocument/2006/relationships/hyperlink" Target="https://drive.google.com/file/d/1DYOKOlWzr3j8rhEAU2kmTgk5ZdYGTPTT/view?usp=drivesdk" TargetMode="External"/><Relationship Id="rId3813" Type="http://schemas.openxmlformats.org/officeDocument/2006/relationships/hyperlink" Target="https://drive.google.com/file/d/16hRj48Jlr1UPkWdEvDIWDCjHM5PyGQIu/view?usp=drivesdk" TargetMode="External"/><Relationship Id="rId3816" Type="http://schemas.openxmlformats.org/officeDocument/2006/relationships/hyperlink" Target="https://drive.google.com/file/d/14W6AShTyczVjLXkY1vC-b6sZIBU6kZau/view?usp=drivesdk" TargetMode="External"/><Relationship Id="rId3815" Type="http://schemas.openxmlformats.org/officeDocument/2006/relationships/hyperlink" Target="https://drive.google.com/file/d/1GaIN7qbBtL-Ccw-zScE4h6lYyca6vQE8/view?usp=drivesdk" TargetMode="External"/><Relationship Id="rId3818" Type="http://schemas.openxmlformats.org/officeDocument/2006/relationships/hyperlink" Target="https://drive.google.com/file/d/175Gr6cREiRL1Gw-dwaocMxNP-jCsivwW/view?usp=drivesdk" TargetMode="External"/><Relationship Id="rId3817" Type="http://schemas.openxmlformats.org/officeDocument/2006/relationships/hyperlink" Target="https://drive.google.com/file/d/1UtugCQEtGO8CLxLchN8P9A9j0dcu-ZVh/view?usp=drivesdk" TargetMode="External"/><Relationship Id="rId3819" Type="http://schemas.openxmlformats.org/officeDocument/2006/relationships/hyperlink" Target="https://drive.google.com/file/d/1MoBeV2A1ztHrL7Fo8w57TqqRsYfenZIL/view?usp=drivesdk" TargetMode="External"/><Relationship Id="rId6090" Type="http://schemas.openxmlformats.org/officeDocument/2006/relationships/hyperlink" Target="https://drive.google.com/file/d/1Y6F86PGyiZi7hJvda_rvpRobYUMwgpZf/view?usp=drivesdk" TargetMode="External"/><Relationship Id="rId6091" Type="http://schemas.openxmlformats.org/officeDocument/2006/relationships/hyperlink" Target="https://drive.google.com/file/d/1QSFBxoL1M6H9Tvs1q0rLjU7VmGBmkNKG/view?usp=drivesdk" TargetMode="External"/><Relationship Id="rId6083" Type="http://schemas.openxmlformats.org/officeDocument/2006/relationships/hyperlink" Target="https://drive.google.com/file/d/1hZBLxEhPdhvW2U3ToYkZH8aY35pMZn-2/view?usp=drivesdk" TargetMode="External"/><Relationship Id="rId6084" Type="http://schemas.openxmlformats.org/officeDocument/2006/relationships/hyperlink" Target="https://drive.google.com/file/d/1ev2uNrYtl0KPYyGFxyol_Hi15w9BD7kZ/view?usp=drivesdk" TargetMode="External"/><Relationship Id="rId6081" Type="http://schemas.openxmlformats.org/officeDocument/2006/relationships/hyperlink" Target="https://drive.google.com/file/d/1H554A6QZLHWbNe07A2mQWfL1P_a-mAKj/view?usp=drivesdk" TargetMode="External"/><Relationship Id="rId6082" Type="http://schemas.openxmlformats.org/officeDocument/2006/relationships/hyperlink" Target="https://drive.google.com/file/d/1l7hXbzqcyp8fMi1zZV2MHvm7ZN5DQY6i/view?usp=drivesdk" TargetMode="External"/><Relationship Id="rId6087" Type="http://schemas.openxmlformats.org/officeDocument/2006/relationships/hyperlink" Target="https://drive.google.com/file/d/1cnQUgG4HkwL7DId-GC_HlIMkWelNQCOe/view?usp=drivesdk" TargetMode="External"/><Relationship Id="rId6088" Type="http://schemas.openxmlformats.org/officeDocument/2006/relationships/hyperlink" Target="https://drive.google.com/file/d/1rLSjauEwoDDy4g2Z_QV60nrDd1gQMrji/view?usp=drivesdk" TargetMode="External"/><Relationship Id="rId6085" Type="http://schemas.openxmlformats.org/officeDocument/2006/relationships/hyperlink" Target="https://drive.google.com/file/d/1ze1BYOd-O0EBUQq68sqvdiojXrM0BOzz/view?usp=drivesdk" TargetMode="External"/><Relationship Id="rId6086" Type="http://schemas.openxmlformats.org/officeDocument/2006/relationships/hyperlink" Target="https://drive.google.com/file/d/14L5dO4MvxS7D12Pu0ZbYjBjqFCD6Dxj2/view?usp=drivesdk" TargetMode="External"/><Relationship Id="rId6089" Type="http://schemas.openxmlformats.org/officeDocument/2006/relationships/hyperlink" Target="https://drive.google.com/file/d/1bhLYgpRgfPeQzmbJvyn6fq4tZp6xcehS/view?usp=drivesdk" TargetMode="External"/><Relationship Id="rId3801" Type="http://schemas.openxmlformats.org/officeDocument/2006/relationships/hyperlink" Target="https://drive.google.com/file/d/1KDYoG-SO_X4OTtJZO6N_zfLg20viYkh8/view?usp=drivesdk" TargetMode="External"/><Relationship Id="rId3800" Type="http://schemas.openxmlformats.org/officeDocument/2006/relationships/hyperlink" Target="https://drive.google.com/file/d/1ZNHg7CRhtCpJVYxV_Vmms6YmkrhEknSE/view?usp=drivesdk" TargetMode="External"/><Relationship Id="rId3803" Type="http://schemas.openxmlformats.org/officeDocument/2006/relationships/hyperlink" Target="https://drive.google.com/file/d/1gBL37H9xfDENLp0EMNCRTcQbjn51mAc3/view?usp=drivesdk" TargetMode="External"/><Relationship Id="rId3802" Type="http://schemas.openxmlformats.org/officeDocument/2006/relationships/hyperlink" Target="https://drive.google.com/file/d/1yyGzQoXgkBibIKOy8-kNYr1vCCdGoypP/view?usp=drivesdk" TargetMode="External"/><Relationship Id="rId3805" Type="http://schemas.openxmlformats.org/officeDocument/2006/relationships/hyperlink" Target="https://drive.google.com/file/d/1AvBJQXCueqMXdYaOCh9gs4v3W1V7hE9m/view?usp=drivesdk" TargetMode="External"/><Relationship Id="rId3804" Type="http://schemas.openxmlformats.org/officeDocument/2006/relationships/hyperlink" Target="https://drive.google.com/file/d/1UGAFIAAo7I8ZrF-Zm1FlZ5yEqEov2rCy/view?usp=drivesdk" TargetMode="External"/><Relationship Id="rId3807" Type="http://schemas.openxmlformats.org/officeDocument/2006/relationships/hyperlink" Target="https://drive.google.com/file/d/12IS6j-0_GXoX4qPefhuzOZ3haEobr30U/view?usp=drivesdk" TargetMode="External"/><Relationship Id="rId3806" Type="http://schemas.openxmlformats.org/officeDocument/2006/relationships/hyperlink" Target="https://drive.google.com/file/d/1s5ovObeJSUFTAxyFwPipI5Om_C8lzI8i/view?usp=drivesdk" TargetMode="External"/><Relationship Id="rId3809" Type="http://schemas.openxmlformats.org/officeDocument/2006/relationships/hyperlink" Target="https://drive.google.com/file/d/1RYmvQ6haWHFc6Dtn7kjYmZiIZG6jNZsk/view?usp=drivesdk" TargetMode="External"/><Relationship Id="rId3808" Type="http://schemas.openxmlformats.org/officeDocument/2006/relationships/hyperlink" Target="https://drive.google.com/file/d/14NEcka3iIkA3xEnFIPTvGtCO6ni5tIJZ/view?usp=drivesdk" TargetMode="External"/><Relationship Id="rId6080" Type="http://schemas.openxmlformats.org/officeDocument/2006/relationships/hyperlink" Target="https://drive.google.com/file/d/1bNIbpbAhOWfhORZY24S1KD1dmDogJAsi/view?usp=drivesdk" TargetMode="External"/><Relationship Id="rId6072" Type="http://schemas.openxmlformats.org/officeDocument/2006/relationships/hyperlink" Target="https://drive.google.com/file/d/1L3NXCvAEo8R9s5B8yNXfap6eJoyK9p7A/view?usp=drivesdk" TargetMode="External"/><Relationship Id="rId6073" Type="http://schemas.openxmlformats.org/officeDocument/2006/relationships/hyperlink" Target="https://drive.google.com/file/d/1lvDyezjTn35oVRlp3_z9zb1GP4efNQZz/view?usp=drivesdk" TargetMode="External"/><Relationship Id="rId6070" Type="http://schemas.openxmlformats.org/officeDocument/2006/relationships/hyperlink" Target="https://drive.google.com/file/d/13TDkCfvTkezrjtVnoAQ5LaVxl8Z0d9mm/view?usp=drivesdk" TargetMode="External"/><Relationship Id="rId6071" Type="http://schemas.openxmlformats.org/officeDocument/2006/relationships/hyperlink" Target="https://drive.google.com/file/d/1dvuWtDtzlaJd5ysxXs16M3V5fJsD4Nvp/view?usp=drivesdk" TargetMode="External"/><Relationship Id="rId6076" Type="http://schemas.openxmlformats.org/officeDocument/2006/relationships/hyperlink" Target="https://drive.google.com/file/d/17dKqcJXFLQr_eWI3voqAlxYGqASEXAh7/view?usp=drivesdk" TargetMode="External"/><Relationship Id="rId6077" Type="http://schemas.openxmlformats.org/officeDocument/2006/relationships/hyperlink" Target="https://drive.google.com/file/d/1Pqt5OarQdjHHYHFoaIhI2OkaMwLG8NKZ/view?usp=drivesdk" TargetMode="External"/><Relationship Id="rId6074" Type="http://schemas.openxmlformats.org/officeDocument/2006/relationships/hyperlink" Target="https://drive.google.com/file/d/1CN70TaVncehQS5uJp5rnN7dP2FsPgAIR/view?usp=drivesdk" TargetMode="External"/><Relationship Id="rId6075" Type="http://schemas.openxmlformats.org/officeDocument/2006/relationships/hyperlink" Target="https://drive.google.com/file/d/1b3C65SRnduuJlhdUR4BwoijlA584zSR9/view?usp=drivesdk" TargetMode="External"/><Relationship Id="rId6078" Type="http://schemas.openxmlformats.org/officeDocument/2006/relationships/hyperlink" Target="https://drive.google.com/file/d/1rBtpHdO7lYJ9KunEBTchcceM1MeOJEYb/view?usp=drivesdk" TargetMode="External"/><Relationship Id="rId6079" Type="http://schemas.openxmlformats.org/officeDocument/2006/relationships/hyperlink" Target="https://drive.google.com/file/d/1MLMMqlsErRhmDWwopN2JVjR6hurjMGC0/view?usp=drivesdk" TargetMode="External"/><Relationship Id="rId8680" Type="http://schemas.openxmlformats.org/officeDocument/2006/relationships/hyperlink" Target="https://drive.google.com/file/d/10PpyoOuHHXj02A4CFbd_Mptk_YgZDXTC/view?usp=drivesdk" TargetMode="External"/><Relationship Id="rId6021" Type="http://schemas.openxmlformats.org/officeDocument/2006/relationships/hyperlink" Target="https://drive.google.com/file/d/15zhQBq4Nlf0ioP5Z1z6hVElbHK7H5ICs/view?usp=drivesdk" TargetMode="External"/><Relationship Id="rId7353" Type="http://schemas.openxmlformats.org/officeDocument/2006/relationships/hyperlink" Target="https://drive.google.com/file/d/16-8Nq4ks3buu7UDzQNJTAFwDWrgKlV7e/view?usp=drivesdk" TargetMode="External"/><Relationship Id="rId8684" Type="http://schemas.openxmlformats.org/officeDocument/2006/relationships/hyperlink" Target="https://drive.google.com/file/d/1DPB131UZCpXt2OUEp8ynSlGkeI8XNnZ9/view?usp=drivesdk" TargetMode="External"/><Relationship Id="rId6022" Type="http://schemas.openxmlformats.org/officeDocument/2006/relationships/hyperlink" Target="https://drive.google.com/file/d/15afx0YeuTuH4-z3aaANAfXFxym7MoZ3b/view?usp=drivesdk" TargetMode="External"/><Relationship Id="rId7352" Type="http://schemas.openxmlformats.org/officeDocument/2006/relationships/hyperlink" Target="https://drive.google.com/file/d/15ezbNY4PXdzVzwJyEnXWuFZ5e_3YICaO/view?usp=drivesdk" TargetMode="External"/><Relationship Id="rId8683" Type="http://schemas.openxmlformats.org/officeDocument/2006/relationships/hyperlink" Target="https://drive.google.com/file/d/1LpRKcWg_3fb_b6y2yrVx6r-djEjRTUri/view?usp=drivesdk" TargetMode="External"/><Relationship Id="rId7351" Type="http://schemas.openxmlformats.org/officeDocument/2006/relationships/hyperlink" Target="https://drive.google.com/file/d/1x0M_fTVwppQc02oQPSZjdFnUY-mRYczi/view?usp=drivesdk" TargetMode="External"/><Relationship Id="rId8682" Type="http://schemas.openxmlformats.org/officeDocument/2006/relationships/hyperlink" Target="https://drive.google.com/file/d/1PCnkYMKRLvEKNHd0uZHn4ekoWmPVhEZc/view?usp=drivesdk" TargetMode="External"/><Relationship Id="rId6020" Type="http://schemas.openxmlformats.org/officeDocument/2006/relationships/hyperlink" Target="https://drive.google.com/file/d/1XLfUAR-KbkiYsjdKrcBTjvvvPKfXh7Fc/view?usp=drivesdk" TargetMode="External"/><Relationship Id="rId7350" Type="http://schemas.openxmlformats.org/officeDocument/2006/relationships/hyperlink" Target="https://drive.google.com/file/d/18-pCXkdWMv2UQK4u6Y2BhlPdrQyengd-/view?usp=drivesdk" TargetMode="External"/><Relationship Id="rId8681" Type="http://schemas.openxmlformats.org/officeDocument/2006/relationships/hyperlink" Target="https://drive.google.com/file/d/1dEaZg_dR-LcjqY9D5yiY4z7dPnwb-i-4/view?usp=drivesdk" TargetMode="External"/><Relationship Id="rId6025" Type="http://schemas.openxmlformats.org/officeDocument/2006/relationships/hyperlink" Target="https://drive.google.com/file/d/1IGOjPyAdwv7YMPTLdEa4xxUu1NFYHdZ1/view?usp=drivesdk" TargetMode="External"/><Relationship Id="rId7357" Type="http://schemas.openxmlformats.org/officeDocument/2006/relationships/hyperlink" Target="https://drive.google.com/file/d/1pDBg39MLZ2Wr-fT8gwwzkf-UJJUMYhvF/view?usp=drivesdk" TargetMode="External"/><Relationship Id="rId8688" Type="http://schemas.openxmlformats.org/officeDocument/2006/relationships/hyperlink" Target="https://drive.google.com/file/d/1su-kU94p3hXW6P90Fhk0x1p0LDZp-0LJ/view?usp=drivesdk" TargetMode="External"/><Relationship Id="rId6026" Type="http://schemas.openxmlformats.org/officeDocument/2006/relationships/hyperlink" Target="https://drive.google.com/file/d/1_sXwBHKl9J-lsfW5C6iwW_zgj5HgWOo7/view?usp=drivesdk" TargetMode="External"/><Relationship Id="rId7356" Type="http://schemas.openxmlformats.org/officeDocument/2006/relationships/hyperlink" Target="https://drive.google.com/file/d/1B1mvOfP5wbA55WwG42468VSFvD36JQY9/view?usp=drivesdk" TargetMode="External"/><Relationship Id="rId8687" Type="http://schemas.openxmlformats.org/officeDocument/2006/relationships/hyperlink" Target="https://drive.google.com/file/d/1lyi3UeoZQJzCtR_dBERD4mmUNZMfbc8s/view?usp=drivesdk" TargetMode="External"/><Relationship Id="rId6023" Type="http://schemas.openxmlformats.org/officeDocument/2006/relationships/hyperlink" Target="https://drive.google.com/file/d/16mKjJuZhu8jfAnLdcQfE4BzZcLuqPDz_/view?usp=drivesdk" TargetMode="External"/><Relationship Id="rId7355" Type="http://schemas.openxmlformats.org/officeDocument/2006/relationships/hyperlink" Target="https://drive.google.com/file/d/1AYl4jUp9QpQ_9SzHRE3uhxhX4kjzuf9-/view?usp=drivesdk" TargetMode="External"/><Relationship Id="rId8686" Type="http://schemas.openxmlformats.org/officeDocument/2006/relationships/hyperlink" Target="https://drive.google.com/file/d/1QgIqHTJ--GjecqOniy0flaenE-Vt2oU9/view?usp=drivesdk" TargetMode="External"/><Relationship Id="rId6024" Type="http://schemas.openxmlformats.org/officeDocument/2006/relationships/hyperlink" Target="https://drive.google.com/file/d/1cEP7P2JMAZgnqKaFJYupWpRuGtk3OCRo/view?usp=drivesdk" TargetMode="External"/><Relationship Id="rId7354" Type="http://schemas.openxmlformats.org/officeDocument/2006/relationships/hyperlink" Target="https://drive.google.com/file/d/1ZwDcDIndNECLJdVE4TDYgfJeGfEJLSiV/view?usp=drivesdk" TargetMode="External"/><Relationship Id="rId8685" Type="http://schemas.openxmlformats.org/officeDocument/2006/relationships/hyperlink" Target="https://drive.google.com/file/d/1BDavmKGVyO8siivCLZ87uZRPsSZjcoML/view?usp=drivesdk" TargetMode="External"/><Relationship Id="rId6029" Type="http://schemas.openxmlformats.org/officeDocument/2006/relationships/hyperlink" Target="https://drive.google.com/file/d/1IyJVFU-D1bDW6v-I_P2zI27BOpEWBdqX/view?usp=drivesdk" TargetMode="External"/><Relationship Id="rId6027" Type="http://schemas.openxmlformats.org/officeDocument/2006/relationships/hyperlink" Target="https://drive.google.com/file/d/1kX0jUtDNx9XEiSY4ugRZYg_FN_jMlKmZ/view?usp=drivesdk" TargetMode="External"/><Relationship Id="rId7359" Type="http://schemas.openxmlformats.org/officeDocument/2006/relationships/hyperlink" Target="https://drive.google.com/file/d/1RJHMIMRag6JhuKUJBT8iNJT6e8DOL1A8/view?usp=drivesdk" TargetMode="External"/><Relationship Id="rId6028" Type="http://schemas.openxmlformats.org/officeDocument/2006/relationships/hyperlink" Target="https://drive.google.com/file/d/1dfbRc2iQtam1h3DgKRpACJp6KjstVkbG/view?usp=drivesdk" TargetMode="External"/><Relationship Id="rId7358" Type="http://schemas.openxmlformats.org/officeDocument/2006/relationships/hyperlink" Target="https://drive.google.com/file/d/1kbddfwlhlDYptZZc3Q4YoKH6SZnc_sw3/view?usp=drivesdk" TargetMode="External"/><Relationship Id="rId8689" Type="http://schemas.openxmlformats.org/officeDocument/2006/relationships/hyperlink" Target="https://drive.google.com/file/d/1dnbU1cHrK4pPNKlxM6YOQiJUJCuyBbwN/view?usp=drivesdk" TargetMode="External"/><Relationship Id="rId6010" Type="http://schemas.openxmlformats.org/officeDocument/2006/relationships/hyperlink" Target="https://drive.google.com/file/d/1DCLrJRAbiJGibrhB1ZdCSf-TC7coBpFh/view?usp=drivesdk" TargetMode="External"/><Relationship Id="rId7342" Type="http://schemas.openxmlformats.org/officeDocument/2006/relationships/hyperlink" Target="https://drive.google.com/file/d/1hj39KeiVqba61ag64H3fUY71KiYwmpJU/view?usp=drivesdk" TargetMode="External"/><Relationship Id="rId8673" Type="http://schemas.openxmlformats.org/officeDocument/2006/relationships/hyperlink" Target="https://drive.google.com/file/d/1OCC8Ny0ixRDnNcuFlE67gdnCtJLD6uhA/view?usp=drivesdk" TargetMode="External"/><Relationship Id="rId6011" Type="http://schemas.openxmlformats.org/officeDocument/2006/relationships/hyperlink" Target="https://drive.google.com/file/d/15SRIYNcLtmsu0acB6v1YG2e6JvJqq5d8/view?usp=drivesdk" TargetMode="External"/><Relationship Id="rId7341" Type="http://schemas.openxmlformats.org/officeDocument/2006/relationships/hyperlink" Target="https://drive.google.com/file/d/1Ta3zHDAy1q9QhkO26dRQ0AN-d-rK0N_Q/view?usp=drivesdk" TargetMode="External"/><Relationship Id="rId8672" Type="http://schemas.openxmlformats.org/officeDocument/2006/relationships/hyperlink" Target="https://drive.google.com/file/d/1PGw7bComJ7GWiGbTaWT508t2KpCYWOFD/view?usp=drivesdk" TargetMode="External"/><Relationship Id="rId7340" Type="http://schemas.openxmlformats.org/officeDocument/2006/relationships/hyperlink" Target="https://drive.google.com/file/d/10cX7SdHW9UjSlE6Wc01Ni_5obLI860VG/view?usp=drivesdk" TargetMode="External"/><Relationship Id="rId8671" Type="http://schemas.openxmlformats.org/officeDocument/2006/relationships/hyperlink" Target="https://drive.google.com/file/d/1GFHMhjhd4lNqVISMZWQaGLMwSruv2FOh/view?usp=drivesdk" TargetMode="External"/><Relationship Id="rId8670" Type="http://schemas.openxmlformats.org/officeDocument/2006/relationships/hyperlink" Target="https://drive.google.com/file/d/1unWGN4L8LvTdzcpJH5XdB7PgwdwozuDw/view?usp=drivesdk" TargetMode="External"/><Relationship Id="rId6014" Type="http://schemas.openxmlformats.org/officeDocument/2006/relationships/hyperlink" Target="https://drive.google.com/file/d/1Vfk2mcJFXlLC_FeUi6DIYugarjnOUrwt/view?usp=drivesdk" TargetMode="External"/><Relationship Id="rId7346" Type="http://schemas.openxmlformats.org/officeDocument/2006/relationships/hyperlink" Target="https://drive.google.com/file/d/1EzDMhC2T3DQZ9akj7tvPybstSrW0c410/view?usp=drivesdk" TargetMode="External"/><Relationship Id="rId8677" Type="http://schemas.openxmlformats.org/officeDocument/2006/relationships/hyperlink" Target="https://drive.google.com/file/d/10I_omqvwEMlKhdlrQgLGlk7XiwBQQFe3/view?usp=drivesdk" TargetMode="External"/><Relationship Id="rId6015" Type="http://schemas.openxmlformats.org/officeDocument/2006/relationships/hyperlink" Target="https://drive.google.com/file/d/1XdvOESbr4HSID_ZXj0li5V7e65RYq_Xa/view?usp=drivesdk" TargetMode="External"/><Relationship Id="rId7345" Type="http://schemas.openxmlformats.org/officeDocument/2006/relationships/hyperlink" Target="https://drive.google.com/file/d/17iUfIpObmETsfqVVkDNYo4KCPbl-sXZg/view?usp=drivesdk" TargetMode="External"/><Relationship Id="rId8676" Type="http://schemas.openxmlformats.org/officeDocument/2006/relationships/hyperlink" Target="https://drive.google.com/file/d/1eokprtGnzXFwvDF1ZSAZATdKBIvk3LFP/view?usp=drivesdk" TargetMode="External"/><Relationship Id="rId6012" Type="http://schemas.openxmlformats.org/officeDocument/2006/relationships/hyperlink" Target="https://drive.google.com/file/d/1ZN3Jn3QoHx-H9U1tnsdDfZrFz_kyV_Jb/view?usp=drivesdk" TargetMode="External"/><Relationship Id="rId7344" Type="http://schemas.openxmlformats.org/officeDocument/2006/relationships/hyperlink" Target="https://drive.google.com/file/d/10aS8kRLLpcCDqK4lbgEsg2kePIRzj4LF/view?usp=drivesdk" TargetMode="External"/><Relationship Id="rId8675" Type="http://schemas.openxmlformats.org/officeDocument/2006/relationships/hyperlink" Target="https://drive.google.com/file/d/1h8OuXUY5_fL9uesZk3nj7hE8beMk_vf7/view?usp=drivesdk" TargetMode="External"/><Relationship Id="rId6013" Type="http://schemas.openxmlformats.org/officeDocument/2006/relationships/hyperlink" Target="https://drive.google.com/file/d/1UJX5ti0qfctMiaw_QqLwDiXDmZ28J-fr/view?usp=drivesdk" TargetMode="External"/><Relationship Id="rId7343" Type="http://schemas.openxmlformats.org/officeDocument/2006/relationships/hyperlink" Target="https://drive.google.com/file/d/162X9_btntVAuIo_4FuIzDZxqoPNRMSns/view?usp=drivesdk" TargetMode="External"/><Relationship Id="rId8674" Type="http://schemas.openxmlformats.org/officeDocument/2006/relationships/hyperlink" Target="https://drive.google.com/file/d/1FwU4eHf2NSW7m5ruNfiXBEgmvUXWt96Q/view?usp=drivesdk" TargetMode="External"/><Relationship Id="rId6018" Type="http://schemas.openxmlformats.org/officeDocument/2006/relationships/hyperlink" Target="https://drive.google.com/file/d/10UoGkemmdaVqgXuFc4xyBw2yn1d_qj91/view?usp=drivesdk" TargetMode="External"/><Relationship Id="rId6019" Type="http://schemas.openxmlformats.org/officeDocument/2006/relationships/hyperlink" Target="https://drive.google.com/file/d/1yDFNqPrw4lB9K53Ny3PywcIHZVgVLIDI/view?usp=drivesdk" TargetMode="External"/><Relationship Id="rId7349" Type="http://schemas.openxmlformats.org/officeDocument/2006/relationships/hyperlink" Target="https://drive.google.com/file/d/1SIcTxx2FqtKWQdWHIq_tJuIPJnTYi7ox/view?usp=drivesdk" TargetMode="External"/><Relationship Id="rId6016" Type="http://schemas.openxmlformats.org/officeDocument/2006/relationships/hyperlink" Target="https://drive.google.com/file/d/10bM9NYtNywhA39_cBLUmuSx2mNMxLeJR/view?usp=drivesdk" TargetMode="External"/><Relationship Id="rId7348" Type="http://schemas.openxmlformats.org/officeDocument/2006/relationships/hyperlink" Target="https://drive.google.com/file/d/1Puehd51Bl4TaKwIsIbKh86ioBVVa66v5/view?usp=drivesdk" TargetMode="External"/><Relationship Id="rId8679" Type="http://schemas.openxmlformats.org/officeDocument/2006/relationships/hyperlink" Target="https://drive.google.com/file/d/1Y-Nl1dGbowyTT3ZdJRUupRO5DHfbM_c9/view?usp=drivesdk" TargetMode="External"/><Relationship Id="rId6017" Type="http://schemas.openxmlformats.org/officeDocument/2006/relationships/hyperlink" Target="https://drive.google.com/file/d/17nhH1GOv0zAPncI7q38L0lcxz4ELqbI6/view?usp=drivesdk" TargetMode="External"/><Relationship Id="rId7347" Type="http://schemas.openxmlformats.org/officeDocument/2006/relationships/hyperlink" Target="https://drive.google.com/file/d/1gwDot-V1fEa-rkybI_N_PoHm1TL_-OGM/view?usp=drivesdk" TargetMode="External"/><Relationship Id="rId8678" Type="http://schemas.openxmlformats.org/officeDocument/2006/relationships/hyperlink" Target="https://drive.google.com/file/d/18o2owmaMrK5-b9f2XTiK6hFKnjn0Fd9W/view?usp=drivesdk" TargetMode="External"/><Relationship Id="rId7371" Type="http://schemas.openxmlformats.org/officeDocument/2006/relationships/hyperlink" Target="https://drive.google.com/file/d/1kUopToiUcWm9n2Rs7uznXZsi9tfSmrzp/view?usp=drivesdk" TargetMode="External"/><Relationship Id="rId6040" Type="http://schemas.openxmlformats.org/officeDocument/2006/relationships/hyperlink" Target="https://drive.google.com/file/d/1Yr1_yu_e46RUunB_hmjqUvxGfvKK4nyj/view?usp=drivesdk" TargetMode="External"/><Relationship Id="rId7370" Type="http://schemas.openxmlformats.org/officeDocument/2006/relationships/hyperlink" Target="https://drive.google.com/file/d/10Da-S868WfdI1lst2rMi4zoOAb8WB5FF/view?usp=drivesdk" TargetMode="External"/><Relationship Id="rId6043" Type="http://schemas.openxmlformats.org/officeDocument/2006/relationships/hyperlink" Target="https://drive.google.com/file/d/1dfcUrgUH9XCFWNVJux-v_4nElfwfMlP7/view?usp=drivesdk" TargetMode="External"/><Relationship Id="rId7375" Type="http://schemas.openxmlformats.org/officeDocument/2006/relationships/hyperlink" Target="https://drive.google.com/file/d/1a5PbdTLlIVn-dbWUrMUa5IGN5t_cSQcd/view?usp=drivesdk" TargetMode="External"/><Relationship Id="rId6044" Type="http://schemas.openxmlformats.org/officeDocument/2006/relationships/hyperlink" Target="https://drive.google.com/file/d/1wRHSZHPJfVCNkfr_jGPUq641fJgkB9aL/view?usp=drivesdk" TargetMode="External"/><Relationship Id="rId7374" Type="http://schemas.openxmlformats.org/officeDocument/2006/relationships/hyperlink" Target="https://drive.google.com/file/d/1yuuJIU3xgn5s8KN5jn9LDmD6vhUIA9_7/view?usp=drivesdk" TargetMode="External"/><Relationship Id="rId6041" Type="http://schemas.openxmlformats.org/officeDocument/2006/relationships/hyperlink" Target="https://drive.google.com/file/d/11E3seHbQBDtWjIwWUvbzdg3q17VaPpH0/view?usp=drivesdk" TargetMode="External"/><Relationship Id="rId7373" Type="http://schemas.openxmlformats.org/officeDocument/2006/relationships/hyperlink" Target="https://drive.google.com/file/d/112M9E194rIKIV3pj9tTxyREbvRdbGGUl/view?usp=drivesdk" TargetMode="External"/><Relationship Id="rId6042" Type="http://schemas.openxmlformats.org/officeDocument/2006/relationships/hyperlink" Target="https://drive.google.com/file/d/1glA0KPYMylcXojlEsKe-CaNLfGxjLJ9q/view?usp=drivesdk" TargetMode="External"/><Relationship Id="rId7372" Type="http://schemas.openxmlformats.org/officeDocument/2006/relationships/hyperlink" Target="https://drive.google.com/file/d/1XXpNMocbfd_W3f2KGUxW2gO4D7l3faB8/view?usp=drivesdk" TargetMode="External"/><Relationship Id="rId6047" Type="http://schemas.openxmlformats.org/officeDocument/2006/relationships/hyperlink" Target="https://drive.google.com/file/d/1YpYKbSllfStQJQ88DrLBsTttekJ_7l8b/view?usp=drivesdk" TargetMode="External"/><Relationship Id="rId7379" Type="http://schemas.openxmlformats.org/officeDocument/2006/relationships/hyperlink" Target="https://drive.google.com/file/d/16T-1td_WIOWKnEZpHnG3kLHrDKCDEoiS/view?usp=drivesdk" TargetMode="External"/><Relationship Id="rId6048" Type="http://schemas.openxmlformats.org/officeDocument/2006/relationships/hyperlink" Target="https://drive.google.com/file/d/1M9840Uwn47ziVq2Opxbz3fIYKI16iqNh/view?usp=drivesdk" TargetMode="External"/><Relationship Id="rId7378" Type="http://schemas.openxmlformats.org/officeDocument/2006/relationships/hyperlink" Target="https://drive.google.com/file/d/1C9Qje10ExVL6KSlavKCYUS4WV9oxRhLd/view?usp=drivesdk" TargetMode="External"/><Relationship Id="rId6045" Type="http://schemas.openxmlformats.org/officeDocument/2006/relationships/hyperlink" Target="https://drive.google.com/file/d/1F69REyesi--UTD47cSX5kp2FNHuPgWK3/view?usp=drivesdk" TargetMode="External"/><Relationship Id="rId7377" Type="http://schemas.openxmlformats.org/officeDocument/2006/relationships/hyperlink" Target="https://drive.google.com/file/d/1iiNsHWDGoUGWmYEtnuqJwGxhLTAjyO_J/view?usp=drivesdk" TargetMode="External"/><Relationship Id="rId6046" Type="http://schemas.openxmlformats.org/officeDocument/2006/relationships/hyperlink" Target="https://drive.google.com/file/d/1xboj29cTftuYPYQz-76Kl7185qbc0lvX/view?usp=drivesdk" TargetMode="External"/><Relationship Id="rId7376" Type="http://schemas.openxmlformats.org/officeDocument/2006/relationships/hyperlink" Target="https://drive.google.com/file/d/1bBpqPIH0RewjOLckuPRqH8hqewwbkdo3/view?usp=drivesdk" TargetMode="External"/><Relationship Id="rId6049" Type="http://schemas.openxmlformats.org/officeDocument/2006/relationships/hyperlink" Target="https://drive.google.com/file/d/1KJD-VhOshIpUAPy6i3YeJMps-Ez0SSsg/view?usp=drivesdk" TargetMode="External"/><Relationship Id="rId7360" Type="http://schemas.openxmlformats.org/officeDocument/2006/relationships/hyperlink" Target="https://drive.google.com/file/d/1JT3NBM5xbHIIArBteQOaKuETLl19MX-a/view?usp=drivesdk" TargetMode="External"/><Relationship Id="rId8691" Type="http://schemas.openxmlformats.org/officeDocument/2006/relationships/hyperlink" Target="https://drive.google.com/file/d/1PoARSw6UTdBMZctXEGJ1BGEWeDaq-Shd/view?usp=drivesdk" TargetMode="External"/><Relationship Id="rId8690" Type="http://schemas.openxmlformats.org/officeDocument/2006/relationships/hyperlink" Target="https://drive.google.com/file/d/1o3PMGjE7J2WM2bN8JRdIykM9pxG_Tfee/view?usp=drivesdk" TargetMode="External"/><Relationship Id="rId6032" Type="http://schemas.openxmlformats.org/officeDocument/2006/relationships/hyperlink" Target="https://drive.google.com/file/d/18Dh4K7AjHD__jTe3pLWPLtm2odxlj5MV/view?usp=drivesdk" TargetMode="External"/><Relationship Id="rId7364" Type="http://schemas.openxmlformats.org/officeDocument/2006/relationships/hyperlink" Target="https://drive.google.com/file/d/1e0Tgosz3sldoSlE8Kf0gtlld0pKuVQCr/view?usp=drivesdk" TargetMode="External"/><Relationship Id="rId8695" Type="http://schemas.openxmlformats.org/officeDocument/2006/relationships/hyperlink" Target="https://drive.google.com/file/d/1rHFc0WOPfCKBQPdkWKT8E15QvbHcLxu0/view?usp=drivesdk" TargetMode="External"/><Relationship Id="rId6033" Type="http://schemas.openxmlformats.org/officeDocument/2006/relationships/hyperlink" Target="https://drive.google.com/file/d/1kk7A8ncW5Xv78ho6tN5-xrcp_P5hA82e/view?usp=drivesdk" TargetMode="External"/><Relationship Id="rId7363" Type="http://schemas.openxmlformats.org/officeDocument/2006/relationships/hyperlink" Target="https://drive.google.com/file/d/1GWo6uU2xa7gC1cVfHWUyVid0nZst-wjj/view?usp=drivesdk" TargetMode="External"/><Relationship Id="rId8694" Type="http://schemas.openxmlformats.org/officeDocument/2006/relationships/hyperlink" Target="https://drive.google.com/file/d/1-ScVwdoD5rA9XiT7mbcmDvX6jma99MH4/view?usp=drivesdk" TargetMode="External"/><Relationship Id="rId6030" Type="http://schemas.openxmlformats.org/officeDocument/2006/relationships/hyperlink" Target="https://drive.google.com/file/d/11srg1R8GBnTmCUKvCjfBUlD2lcPgn6Jv/view?usp=drivesdk" TargetMode="External"/><Relationship Id="rId7362" Type="http://schemas.openxmlformats.org/officeDocument/2006/relationships/hyperlink" Target="https://drive.google.com/file/d/1hytJy06Iem3pa-VRts5_BBfThHW1aAQQ/view?usp=drivesdk" TargetMode="External"/><Relationship Id="rId8693" Type="http://schemas.openxmlformats.org/officeDocument/2006/relationships/hyperlink" Target="https://drive.google.com/file/d/1FJVqMwtPm7TqMxQFNPCyrq8_vL7ZSy2x/view?usp=drivesdk" TargetMode="External"/><Relationship Id="rId6031" Type="http://schemas.openxmlformats.org/officeDocument/2006/relationships/hyperlink" Target="https://drive.google.com/file/d/1I1ZJRLpAWehkOBFzkdebbybwpo9wCuy4/view?usp=drivesdk" TargetMode="External"/><Relationship Id="rId7361" Type="http://schemas.openxmlformats.org/officeDocument/2006/relationships/hyperlink" Target="https://drive.google.com/file/d/1hLeuc0JBEWcO7ZVi2pCJyIb-4SsNKvpW/view?usp=drivesdk" TargetMode="External"/><Relationship Id="rId8692" Type="http://schemas.openxmlformats.org/officeDocument/2006/relationships/hyperlink" Target="https://drive.google.com/file/d/1RVbvJdg2zlPs2k_RquiAFkLq63W_Xeya/view?usp=drivesdk" TargetMode="External"/><Relationship Id="rId6036" Type="http://schemas.openxmlformats.org/officeDocument/2006/relationships/hyperlink" Target="https://drive.google.com/file/d/1D3_SvFV9YhnFzRyd6ccMJaLE6B4M1bjT/view?usp=drivesdk" TargetMode="External"/><Relationship Id="rId7368" Type="http://schemas.openxmlformats.org/officeDocument/2006/relationships/hyperlink" Target="https://drive.google.com/file/d/10XuxnL6MZDI1AUJOBKr3sevUfeok40yx/view?usp=drivesdk" TargetMode="External"/><Relationship Id="rId8699" Type="http://schemas.openxmlformats.org/officeDocument/2006/relationships/hyperlink" Target="https://drive.google.com/file/d/1S1HTL1AzNO_jbnbyy_4u8TBakE673oDo/view?usp=drivesdk" TargetMode="External"/><Relationship Id="rId6037" Type="http://schemas.openxmlformats.org/officeDocument/2006/relationships/hyperlink" Target="https://drive.google.com/file/d/1gxsjcckjDx5o6WxaVCcM8OfyDjUbwzeO/view?usp=drivesdk" TargetMode="External"/><Relationship Id="rId7367" Type="http://schemas.openxmlformats.org/officeDocument/2006/relationships/hyperlink" Target="https://drive.google.com/file/d/1wFwfYqe2JUJdhVQiY5-jo0p_4_7-Gs54/view?usp=drivesdk" TargetMode="External"/><Relationship Id="rId8698" Type="http://schemas.openxmlformats.org/officeDocument/2006/relationships/hyperlink" Target="https://drive.google.com/file/d/1lf7jgSt1GMosqdtgFMfiCmzKlk7rwZjy/view?usp=drivesdk" TargetMode="External"/><Relationship Id="rId6034" Type="http://schemas.openxmlformats.org/officeDocument/2006/relationships/hyperlink" Target="https://drive.google.com/file/d/1pr1QFhtBSzQv7QwIAtE4eaV1KB99QXxl/view?usp=drivesdk" TargetMode="External"/><Relationship Id="rId7366" Type="http://schemas.openxmlformats.org/officeDocument/2006/relationships/hyperlink" Target="https://drive.google.com/file/d/1-HSWkZE69CUaezJXWiSpZJNUgHHaf2qD/view?usp=drivesdk" TargetMode="External"/><Relationship Id="rId8697" Type="http://schemas.openxmlformats.org/officeDocument/2006/relationships/hyperlink" Target="https://drive.google.com/file/d/1W-3rXuRDdTYuYaakoUQOcXllOww2gS7q/view?usp=drivesdk" TargetMode="External"/><Relationship Id="rId6035" Type="http://schemas.openxmlformats.org/officeDocument/2006/relationships/hyperlink" Target="https://drive.google.com/file/d/1a4N6ivqweABsxUVmr30XMSU8yz8nF9or/view?usp=drivesdk" TargetMode="External"/><Relationship Id="rId7365" Type="http://schemas.openxmlformats.org/officeDocument/2006/relationships/hyperlink" Target="https://drive.google.com/file/d/18_sZzmsBKfLXdIoZzj6aHDxA0YnBH23p/view?usp=drivesdk" TargetMode="External"/><Relationship Id="rId8696" Type="http://schemas.openxmlformats.org/officeDocument/2006/relationships/hyperlink" Target="https://drive.google.com/file/d/1JZWpVrW0wyWWN9aSshVpG_LHkv4T-Nj0/view?usp=drivesdk" TargetMode="External"/><Relationship Id="rId6038" Type="http://schemas.openxmlformats.org/officeDocument/2006/relationships/hyperlink" Target="https://drive.google.com/file/d/1GCzHa29_yoyDCuwMZnxopZlf00CEMA0T/view?usp=drivesdk" TargetMode="External"/><Relationship Id="rId6039" Type="http://schemas.openxmlformats.org/officeDocument/2006/relationships/hyperlink" Target="https://drive.google.com/file/d/1yZGBTivGujq-KXdxj5ZLYwp5OUAko_RY/view?usp=drivesdk" TargetMode="External"/><Relationship Id="rId7369" Type="http://schemas.openxmlformats.org/officeDocument/2006/relationships/hyperlink" Target="https://drive.google.com/file/d/100NdQxDUzwVbsyxOODruwh6B-FNN8tzq/view?usp=drivesdk" TargetMode="External"/><Relationship Id="rId1213" Type="http://schemas.openxmlformats.org/officeDocument/2006/relationships/hyperlink" Target="https://drive.google.com/file/d/1fMG7Dwh4sJ7BmdtHR2F1dSBmHxfaRORo/view?usp=drivesdk" TargetMode="External"/><Relationship Id="rId2544" Type="http://schemas.openxmlformats.org/officeDocument/2006/relationships/hyperlink" Target="https://drive.google.com/file/d/15LBcHwO73VAPHZvI_6vefWA3xyfEZy66/view?usp=drivesdk" TargetMode="External"/><Relationship Id="rId3876" Type="http://schemas.openxmlformats.org/officeDocument/2006/relationships/hyperlink" Target="https://drive.google.com/file/d/192EK-0nquhP_GfrzWWyC2fWFVmeQLYqY/view?usp=drivesdk" TargetMode="External"/><Relationship Id="rId1214" Type="http://schemas.openxmlformats.org/officeDocument/2006/relationships/hyperlink" Target="https://drive.google.com/file/d/1OJGliziHqcCw57bP-1yzxVUtrNugGjng/view?usp=drivesdk" TargetMode="External"/><Relationship Id="rId2545" Type="http://schemas.openxmlformats.org/officeDocument/2006/relationships/hyperlink" Target="https://drive.google.com/file/d/1VIc3aTQKYNdozPE95v336nin-9zKNAMT/view?usp=drivesdk" TargetMode="External"/><Relationship Id="rId3875" Type="http://schemas.openxmlformats.org/officeDocument/2006/relationships/hyperlink" Target="https://drive.google.com/file/d/1YljCq3aUtZT8WzTf0Da5LsdXIMBqAyK9/view?usp=drivesdk" TargetMode="External"/><Relationship Id="rId1215" Type="http://schemas.openxmlformats.org/officeDocument/2006/relationships/hyperlink" Target="https://drive.google.com/file/d/1_QyPxHTRV-3usfAxE_R668MoS-GTmoHT/view?usp=drivesdk" TargetMode="External"/><Relationship Id="rId2546" Type="http://schemas.openxmlformats.org/officeDocument/2006/relationships/hyperlink" Target="https://drive.google.com/file/d/1rtU48S7CgZusFSJ0JYYv88KscAzYOvdc/view?usp=drivesdk" TargetMode="External"/><Relationship Id="rId3878" Type="http://schemas.openxmlformats.org/officeDocument/2006/relationships/hyperlink" Target="https://drive.google.com/file/d/1-iCGFA-IO9ronC2gh02BxvT_1uZekUM-/view?usp=drivesdk" TargetMode="External"/><Relationship Id="rId1216" Type="http://schemas.openxmlformats.org/officeDocument/2006/relationships/hyperlink" Target="https://drive.google.com/file/d/17BANCLUpKs2HPm-p9PfWXTtkK7dIBer-/view?usp=drivesdk" TargetMode="External"/><Relationship Id="rId2547" Type="http://schemas.openxmlformats.org/officeDocument/2006/relationships/hyperlink" Target="https://drive.google.com/file/d/1TwBydm_Nyh4LBs4ADQkBf5yd7GyyIxD_/view?usp=drivesdk" TargetMode="External"/><Relationship Id="rId3877" Type="http://schemas.openxmlformats.org/officeDocument/2006/relationships/hyperlink" Target="https://drive.google.com/file/d/1Zn4fvO5sO5Fjz15PL407wHKQQSod-pKb/view?usp=drivesdk" TargetMode="External"/><Relationship Id="rId1217" Type="http://schemas.openxmlformats.org/officeDocument/2006/relationships/hyperlink" Target="https://drive.google.com/file/d/1uUF-NbWXPJw3fzZZ75amatAykbKjLVWp/view?usp=drivesdk" TargetMode="External"/><Relationship Id="rId2548" Type="http://schemas.openxmlformats.org/officeDocument/2006/relationships/hyperlink" Target="https://drive.google.com/file/d/1WTlgiwsPXd0EhabN-Gkwj5NKGEZRfvWu/view?usp=drivesdk" TargetMode="External"/><Relationship Id="rId1218" Type="http://schemas.openxmlformats.org/officeDocument/2006/relationships/hyperlink" Target="https://drive.google.com/file/d/1MIYNAdtPWBnr5-Sjura8AxFrzwsV5qlv/view?usp=drivesdk" TargetMode="External"/><Relationship Id="rId2549" Type="http://schemas.openxmlformats.org/officeDocument/2006/relationships/hyperlink" Target="https://drive.google.com/file/d/15OjRSjxeyh2GgpDhsSfH5c4FBwSDKuWK/view?usp=drivesdk" TargetMode="External"/><Relationship Id="rId3879" Type="http://schemas.openxmlformats.org/officeDocument/2006/relationships/hyperlink" Target="https://drive.google.com/file/d/1Bre5T-CQhN3skW4Ugu98tzYgfnldA7IV/view?usp=drivesdk" TargetMode="External"/><Relationship Id="rId1219" Type="http://schemas.openxmlformats.org/officeDocument/2006/relationships/hyperlink" Target="https://drive.google.com/file/d/1XFQVBhhiwmUza1arkdPN4xWgYUIE9KV3/view?usp=drivesdk" TargetMode="External"/><Relationship Id="rId3870" Type="http://schemas.openxmlformats.org/officeDocument/2006/relationships/hyperlink" Target="https://drive.google.com/file/d/1xuN08KPS8MKLIBpqmIzjz2eloRvrDAz4/view?usp=drivesdk" TargetMode="External"/><Relationship Id="rId2540" Type="http://schemas.openxmlformats.org/officeDocument/2006/relationships/hyperlink" Target="https://drive.google.com/file/d/1UH3IY2dtVqIjeLXDfX_Dlue8-7PAwejr/view?usp=drivesdk" TargetMode="External"/><Relationship Id="rId3872" Type="http://schemas.openxmlformats.org/officeDocument/2006/relationships/hyperlink" Target="https://drive.google.com/file/d/1ojPQ_W-u_brM2MbCHY5aStkLxkFPV-GK/view?usp=drivesdk" TargetMode="External"/><Relationship Id="rId1210" Type="http://schemas.openxmlformats.org/officeDocument/2006/relationships/hyperlink" Target="https://drive.google.com/file/d/1KM_ppt_UCKrK40fsoNtoTIbf6DyFl5Es/view?usp=drivesdk" TargetMode="External"/><Relationship Id="rId2541" Type="http://schemas.openxmlformats.org/officeDocument/2006/relationships/hyperlink" Target="https://drive.google.com/file/d/135WbRLv0AOO3I0Ciu-cuAykLe6Svr7mg/view?usp=drivesdk" TargetMode="External"/><Relationship Id="rId3871" Type="http://schemas.openxmlformats.org/officeDocument/2006/relationships/hyperlink" Target="https://drive.google.com/file/d/1ufs2sJlOW7LlLFCa7PsXAXscZsM9PaVA/view?usp=drivesdk" TargetMode="External"/><Relationship Id="rId1211" Type="http://schemas.openxmlformats.org/officeDocument/2006/relationships/hyperlink" Target="https://drive.google.com/file/d/1uIHkBUraauy8dQjqusTYXG3LfvGtRvOM/view?usp=drivesdk" TargetMode="External"/><Relationship Id="rId2542" Type="http://schemas.openxmlformats.org/officeDocument/2006/relationships/hyperlink" Target="https://drive.google.com/file/d/1DAX3ecs7RM87a4XBvfE53stslHhre4qX/view?usp=drivesdk" TargetMode="External"/><Relationship Id="rId3874" Type="http://schemas.openxmlformats.org/officeDocument/2006/relationships/hyperlink" Target="https://drive.google.com/file/d/1D_uku3XyjMJiESOZ-kfpkuk2hjzVdRcr/view?usp=drivesdk" TargetMode="External"/><Relationship Id="rId1212" Type="http://schemas.openxmlformats.org/officeDocument/2006/relationships/hyperlink" Target="https://drive.google.com/file/d/1K8duLJ8QxH2Ojvj1e4UBpSLSgbNWBDbG/view?usp=drivesdk" TargetMode="External"/><Relationship Id="rId2543" Type="http://schemas.openxmlformats.org/officeDocument/2006/relationships/hyperlink" Target="https://drive.google.com/file/d/1rLAJ1A5IRu8KU05BlDjfdWByDebhgSdx/view?usp=drivesdk" TargetMode="External"/><Relationship Id="rId3873" Type="http://schemas.openxmlformats.org/officeDocument/2006/relationships/hyperlink" Target="https://drive.google.com/file/d/1A1ubEvClWFk13bnVaB1-8YKKlXnzqMeQ/view?usp=drivesdk" TargetMode="External"/><Relationship Id="rId1202" Type="http://schemas.openxmlformats.org/officeDocument/2006/relationships/hyperlink" Target="https://drive.google.com/file/d/1rXP_G85N4TDdyrDmELYQUa18FVXBnsEU/view?usp=drivesdk" TargetMode="External"/><Relationship Id="rId2533" Type="http://schemas.openxmlformats.org/officeDocument/2006/relationships/hyperlink" Target="https://drive.google.com/file/d/1Vq2Rr8NpVljHPA8OsFK4ZHBKSnRehJY4/view?usp=drivesdk" TargetMode="External"/><Relationship Id="rId3865" Type="http://schemas.openxmlformats.org/officeDocument/2006/relationships/hyperlink" Target="https://drive.google.com/file/d/1vhIPgjWY19ZcnJAKahPwA-SSDMFB3JuB/view?usp=drivesdk" TargetMode="External"/><Relationship Id="rId1203" Type="http://schemas.openxmlformats.org/officeDocument/2006/relationships/hyperlink" Target="https://drive.google.com/file/d/1rds5O67ScCUvMUnsFS8zusVUVX1E-mKu/view?usp=drivesdk" TargetMode="External"/><Relationship Id="rId2534" Type="http://schemas.openxmlformats.org/officeDocument/2006/relationships/hyperlink" Target="https://drive.google.com/file/d/18-GGb1FD1YW-I0yZ9CIOeD1O6KU95oAw/view?usp=drivesdk" TargetMode="External"/><Relationship Id="rId3864" Type="http://schemas.openxmlformats.org/officeDocument/2006/relationships/hyperlink" Target="https://drive.google.com/file/d/1dIvgmkjolcbKGNgDv-S_qmLgxYwygWCz/view?usp=drivesdk" TargetMode="External"/><Relationship Id="rId1204" Type="http://schemas.openxmlformats.org/officeDocument/2006/relationships/hyperlink" Target="https://drive.google.com/file/d/1_ELW9OgPgW6K7go8ev6OruulMAaOJtWm/view?usp=drivesdk" TargetMode="External"/><Relationship Id="rId2535" Type="http://schemas.openxmlformats.org/officeDocument/2006/relationships/hyperlink" Target="https://drive.google.com/file/d/1FqkYg-qZZIh2v-yAS8Q1Gex0_h5MU_oI/view?usp=drivesdk" TargetMode="External"/><Relationship Id="rId3867" Type="http://schemas.openxmlformats.org/officeDocument/2006/relationships/hyperlink" Target="https://drive.google.com/file/d/1fJKHhJhYnPppgaSSSYXyIVyqacZGDALu/view?usp=drivesdk" TargetMode="External"/><Relationship Id="rId1205" Type="http://schemas.openxmlformats.org/officeDocument/2006/relationships/hyperlink" Target="https://drive.google.com/file/d/1xXIOfKh3Ph7VQdrVMztgO3Eyfe1iNFus/view?usp=drivesdk" TargetMode="External"/><Relationship Id="rId2536" Type="http://schemas.openxmlformats.org/officeDocument/2006/relationships/hyperlink" Target="https://drive.google.com/file/d/1BIDWe4IdTQX3zBCTWuGI7_A3T03UVZWe/view?usp=drivesdk" TargetMode="External"/><Relationship Id="rId3866" Type="http://schemas.openxmlformats.org/officeDocument/2006/relationships/hyperlink" Target="https://drive.google.com/file/d/1fYjzMlPDVL02DKklfgVqnkQtknpHfW03/view?usp=drivesdk" TargetMode="External"/><Relationship Id="rId1206" Type="http://schemas.openxmlformats.org/officeDocument/2006/relationships/hyperlink" Target="https://drive.google.com/file/d/1Dw_Fop7oaXE2fVUc2YbwVQ6la4eJzIKp/view?usp=drivesdk" TargetMode="External"/><Relationship Id="rId2537" Type="http://schemas.openxmlformats.org/officeDocument/2006/relationships/hyperlink" Target="https://drive.google.com/file/d/1DRF3cLnxGBULe8FgxyJaqe1_kyZ4QLkJ/view?usp=drivesdk" TargetMode="External"/><Relationship Id="rId3869" Type="http://schemas.openxmlformats.org/officeDocument/2006/relationships/hyperlink" Target="https://drive.google.com/file/d/1d0Fd0jMR6MxF9gzUNsqeUMVc1l15fxa-/view?usp=drivesdk" TargetMode="External"/><Relationship Id="rId1207" Type="http://schemas.openxmlformats.org/officeDocument/2006/relationships/hyperlink" Target="https://drive.google.com/file/d/1K0t8g7MlE5zeyzuHgHy9pHE-RJ4j2HdN/view?usp=drivesdk" TargetMode="External"/><Relationship Id="rId2538" Type="http://schemas.openxmlformats.org/officeDocument/2006/relationships/hyperlink" Target="https://drive.google.com/file/d/1oOp7b-I756ONsAAlN0yCWiCKhaQlv0rW/view?usp=drivesdk" TargetMode="External"/><Relationship Id="rId3868" Type="http://schemas.openxmlformats.org/officeDocument/2006/relationships/hyperlink" Target="https://drive.google.com/file/d/1XyH-xRWSUZWrCDrGPaKqgSJV-_AAEp0g/view?usp=drivesdk" TargetMode="External"/><Relationship Id="rId1208" Type="http://schemas.openxmlformats.org/officeDocument/2006/relationships/hyperlink" Target="https://drive.google.com/file/d/1iFbgjwy61w-f39MVyC0D98Pj6AHZTTr6/view?usp=drivesdk" TargetMode="External"/><Relationship Id="rId2539" Type="http://schemas.openxmlformats.org/officeDocument/2006/relationships/hyperlink" Target="https://drive.google.com/file/d/1bQCcfqKTb88_4SIpgkQnciBb9DLAL0HZ/view?usp=drivesdk" TargetMode="External"/><Relationship Id="rId1209" Type="http://schemas.openxmlformats.org/officeDocument/2006/relationships/hyperlink" Target="https://drive.google.com/file/d/15MfYbL603U539yunkwBUTHyCt7FqCCLt/view?usp=drivesdk" TargetMode="External"/><Relationship Id="rId3861" Type="http://schemas.openxmlformats.org/officeDocument/2006/relationships/hyperlink" Target="https://drive.google.com/file/d/1JeisAUwcrfuizTfAIi0QxDqDGr1Ltbqp/view?usp=drivesdk" TargetMode="External"/><Relationship Id="rId2530" Type="http://schemas.openxmlformats.org/officeDocument/2006/relationships/hyperlink" Target="https://drive.google.com/file/d/1LfpGlGqijteJ9lChwOZPQ-vAcxL4eyC5/view?usp=drivesdk" TargetMode="External"/><Relationship Id="rId3860" Type="http://schemas.openxmlformats.org/officeDocument/2006/relationships/hyperlink" Target="https://drive.google.com/file/d/1iRznf6etHXBI3Cze7bcZNXiirI5rXWnd/view?usp=drivesdk" TargetMode="External"/><Relationship Id="rId1200" Type="http://schemas.openxmlformats.org/officeDocument/2006/relationships/hyperlink" Target="https://drive.google.com/file/d/1KhVAOGcL3sIJMSMFACmKmZe263nnR81U/view?usp=drivesdk" TargetMode="External"/><Relationship Id="rId2531" Type="http://schemas.openxmlformats.org/officeDocument/2006/relationships/hyperlink" Target="https://drive.google.com/file/d/1B-GjlkR7XR-OFgEuxzfs8COoq_pi4bE8/view?usp=drivesdk" TargetMode="External"/><Relationship Id="rId3863" Type="http://schemas.openxmlformats.org/officeDocument/2006/relationships/hyperlink" Target="https://drive.google.com/file/d/1pA4wmWo_1_tRtFLjdcIeBgl2eiZWyEo_/view?usp=drivesdk" TargetMode="External"/><Relationship Id="rId1201" Type="http://schemas.openxmlformats.org/officeDocument/2006/relationships/hyperlink" Target="https://drive.google.com/file/d/1ThM9CdVbn4UvOumx424ZzM0fueOUTIkn/view?usp=drivesdk" TargetMode="External"/><Relationship Id="rId2532" Type="http://schemas.openxmlformats.org/officeDocument/2006/relationships/hyperlink" Target="https://drive.google.com/file/d/13x4xJJ9b0-bppxumrJNR0iPO_f5WCTaa/view?usp=drivesdk" TargetMode="External"/><Relationship Id="rId3862" Type="http://schemas.openxmlformats.org/officeDocument/2006/relationships/hyperlink" Target="https://drive.google.com/file/d/1R2_Uew2IgyVt6oTNemX7lDoQzU7TntAw/view?usp=drivesdk" TargetMode="External"/><Relationship Id="rId1235" Type="http://schemas.openxmlformats.org/officeDocument/2006/relationships/hyperlink" Target="https://drive.google.com/file/d/1Z-YaQOzOFKhTUU8Ou2f7kfiDvmc-2r5K/view?usp=drivesdk" TargetMode="External"/><Relationship Id="rId2566" Type="http://schemas.openxmlformats.org/officeDocument/2006/relationships/hyperlink" Target="https://drive.google.com/file/d/1srbvZ1InJ37alBQMeM3XcRwGSOo0O80P/view?usp=drivesdk" TargetMode="External"/><Relationship Id="rId3898" Type="http://schemas.openxmlformats.org/officeDocument/2006/relationships/hyperlink" Target="https://drive.google.com/file/d/164Yj85mKuGCAALocIZ3qrxHoNwg6S2PI/view?usp=drivesdk" TargetMode="External"/><Relationship Id="rId1236" Type="http://schemas.openxmlformats.org/officeDocument/2006/relationships/hyperlink" Target="https://drive.google.com/file/d/1uDwSj7ICxXY_SSmZU63aRgFKF5ggciOj/view?usp=drivesdk" TargetMode="External"/><Relationship Id="rId2567" Type="http://schemas.openxmlformats.org/officeDocument/2006/relationships/hyperlink" Target="https://drive.google.com/file/d/12FgAgl8rFO3nFfje-7Ki-Fl5vRWhfe4k/view?usp=drivesdk" TargetMode="External"/><Relationship Id="rId3897" Type="http://schemas.openxmlformats.org/officeDocument/2006/relationships/hyperlink" Target="https://drive.google.com/file/d/1FXinxsUbUo2Upq1GJhrt6zqWAC6IzvID/view?usp=drivesdk" TargetMode="External"/><Relationship Id="rId1237" Type="http://schemas.openxmlformats.org/officeDocument/2006/relationships/hyperlink" Target="https://drive.google.com/file/d/1Z8-pd1x6zeQTmwV3PCKTsAtw37SSpaPC/view?usp=drivesdk" TargetMode="External"/><Relationship Id="rId2568" Type="http://schemas.openxmlformats.org/officeDocument/2006/relationships/hyperlink" Target="https://drive.google.com/file/d/1PSOj_uGU5aQAR1vDKzcZ2hSuvoC_bfji/view?usp=drivesdk" TargetMode="External"/><Relationship Id="rId1238" Type="http://schemas.openxmlformats.org/officeDocument/2006/relationships/hyperlink" Target="https://drive.google.com/file/d/1j-CD_symi5xKVFraMxw7Khqq8uDWSiYZ/view?usp=drivesdk" TargetMode="External"/><Relationship Id="rId2569" Type="http://schemas.openxmlformats.org/officeDocument/2006/relationships/hyperlink" Target="https://drive.google.com/file/d/1ZAJ17LeZNWjnmhSJ07yTqAnSpH-Nmozz/view?usp=drivesdk" TargetMode="External"/><Relationship Id="rId3899" Type="http://schemas.openxmlformats.org/officeDocument/2006/relationships/hyperlink" Target="https://drive.google.com/file/d/1yhCcLjYQGlhuojrWEKfFwEsMYDcR_zfz/view?usp=drivesdk" TargetMode="External"/><Relationship Id="rId1239" Type="http://schemas.openxmlformats.org/officeDocument/2006/relationships/hyperlink" Target="https://drive.google.com/file/d/1OPDJtEIzPp1QiaTB8nwsR1Uo8tWxtIDQ/view?usp=drivesdk" TargetMode="External"/><Relationship Id="rId3890" Type="http://schemas.openxmlformats.org/officeDocument/2006/relationships/hyperlink" Target="https://drive.google.com/file/d/1yNGsGk9NxL2CdpC4ZaAUopRvxHtQfVfw/view?usp=drivesdk" TargetMode="External"/><Relationship Id="rId2560" Type="http://schemas.openxmlformats.org/officeDocument/2006/relationships/hyperlink" Target="https://drive.google.com/file/d/1MY7YYy5zLlJ9nlR-VOzt9mZbfUC7Rdvv/view?usp=drivesdk" TargetMode="External"/><Relationship Id="rId3892" Type="http://schemas.openxmlformats.org/officeDocument/2006/relationships/hyperlink" Target="https://drive.google.com/file/d/1n23iItOEHSG_DAKaTBYnS43CbFpRYrzN/view?usp=drivesdk" TargetMode="External"/><Relationship Id="rId1230" Type="http://schemas.openxmlformats.org/officeDocument/2006/relationships/hyperlink" Target="https://drive.google.com/file/d/1YntGOobJYyHcU4fKZT2zZWB-_eEzyaeq/view?usp=drivesdk" TargetMode="External"/><Relationship Id="rId2561" Type="http://schemas.openxmlformats.org/officeDocument/2006/relationships/hyperlink" Target="https://drive.google.com/file/d/18sgsj6tuZNEbmFdheMuM8AUJGHyIZQXU/view?usp=drivesdk" TargetMode="External"/><Relationship Id="rId3891" Type="http://schemas.openxmlformats.org/officeDocument/2006/relationships/hyperlink" Target="https://drive.google.com/file/d/1geW1yGM9yoPFhIXfaM3eWU953Kk1cXLI/view?usp=drivesdk" TargetMode="External"/><Relationship Id="rId1231" Type="http://schemas.openxmlformats.org/officeDocument/2006/relationships/hyperlink" Target="https://drive.google.com/file/d/1KhOwlwfmPriGFGOLx2fZt7S75aNK-kIb/view?usp=drivesdk" TargetMode="External"/><Relationship Id="rId2562" Type="http://schemas.openxmlformats.org/officeDocument/2006/relationships/hyperlink" Target="https://drive.google.com/file/d/1xmENywCcrM304xctpqooz9V7_UAEE7Vr/view?usp=drivesdk" TargetMode="External"/><Relationship Id="rId3894" Type="http://schemas.openxmlformats.org/officeDocument/2006/relationships/hyperlink" Target="https://drive.google.com/file/d/1VCcGjSqKALUUIjjTZj3qGPCxF9d3xFr-/view?usp=drivesdk" TargetMode="External"/><Relationship Id="rId1232" Type="http://schemas.openxmlformats.org/officeDocument/2006/relationships/hyperlink" Target="https://drive.google.com/file/d/1ARHE3Rd4b6ObEy3FafZYcNoJidzi_3Vs/view?usp=drivesdk" TargetMode="External"/><Relationship Id="rId2563" Type="http://schemas.openxmlformats.org/officeDocument/2006/relationships/hyperlink" Target="https://drive.google.com/file/d/1CBNCrqw8uvqZDAVQdkLel80PNjNhpsSc/view?usp=drivesdk" TargetMode="External"/><Relationship Id="rId3893" Type="http://schemas.openxmlformats.org/officeDocument/2006/relationships/hyperlink" Target="https://drive.google.com/file/d/18OFYpZk_HaqGIKywhYR7F-ycaV17_ar1/view?usp=drivesdk" TargetMode="External"/><Relationship Id="rId1233" Type="http://schemas.openxmlformats.org/officeDocument/2006/relationships/hyperlink" Target="https://drive.google.com/file/d/146ncsurLBUSgoXGfvE-aZKfZ5yg3bR8h/view?usp=drivesdk" TargetMode="External"/><Relationship Id="rId2564" Type="http://schemas.openxmlformats.org/officeDocument/2006/relationships/hyperlink" Target="https://drive.google.com/file/d/1n7FdMVa9crZRNvOHXkOnWRZkDBa4FPbM/view?usp=drivesdk" TargetMode="External"/><Relationship Id="rId3896" Type="http://schemas.openxmlformats.org/officeDocument/2006/relationships/hyperlink" Target="https://drive.google.com/file/d/18VVnJSUidyCBAKGBnq490K8oLp_vw4te/view?usp=drivesdk" TargetMode="External"/><Relationship Id="rId1234" Type="http://schemas.openxmlformats.org/officeDocument/2006/relationships/hyperlink" Target="https://drive.google.com/file/d/1xsqkfrz_rBO9xEe3pAOmeTtOZIr-f0dW/view?usp=drivesdk" TargetMode="External"/><Relationship Id="rId2565" Type="http://schemas.openxmlformats.org/officeDocument/2006/relationships/hyperlink" Target="https://drive.google.com/file/d/1MObZgDvgTJdFKL8Ci2iQmgNAAAIbKHfa/view?usp=drivesdk" TargetMode="External"/><Relationship Id="rId3895" Type="http://schemas.openxmlformats.org/officeDocument/2006/relationships/hyperlink" Target="https://drive.google.com/file/d/1e3SnOQCRxcaSQwX6vT6BMqCJELLzYYbq/view?usp=drivesdk" TargetMode="External"/><Relationship Id="rId1224" Type="http://schemas.openxmlformats.org/officeDocument/2006/relationships/hyperlink" Target="https://drive.google.com/file/d/1g_tGPDG61C7yJ230Umo6d_YvgvA7vEWC/view?usp=drivesdk" TargetMode="External"/><Relationship Id="rId2555" Type="http://schemas.openxmlformats.org/officeDocument/2006/relationships/hyperlink" Target="https://drive.google.com/file/d/1Y40TuNqa2z6BqxiDxwSMumYuNnEf3PyC/view?usp=drivesdk" TargetMode="External"/><Relationship Id="rId3887" Type="http://schemas.openxmlformats.org/officeDocument/2006/relationships/hyperlink" Target="https://drive.google.com/file/d/1jBis6_dFcu2PjGL8HITe7QJz45ciHNap/view?usp=drivesdk" TargetMode="External"/><Relationship Id="rId1225" Type="http://schemas.openxmlformats.org/officeDocument/2006/relationships/hyperlink" Target="https://drive.google.com/file/d/1HpByJ1Wl37TL-cF9I7gmheBQb5jzrCEE/view?usp=drivesdk" TargetMode="External"/><Relationship Id="rId2556" Type="http://schemas.openxmlformats.org/officeDocument/2006/relationships/hyperlink" Target="https://drive.google.com/file/d/17Luhq-1bZopOJHBr1UYOw1UC77uAc4Zt/view?usp=drivesdk" TargetMode="External"/><Relationship Id="rId3886" Type="http://schemas.openxmlformats.org/officeDocument/2006/relationships/hyperlink" Target="https://drive.google.com/file/d/1OvbJghX_wgnRIYcBA7RgcvHuT-9p5EPs/view?usp=drivesdk" TargetMode="External"/><Relationship Id="rId1226" Type="http://schemas.openxmlformats.org/officeDocument/2006/relationships/hyperlink" Target="https://drive.google.com/file/d/13Z6KFMNBe-90V0WwL5nA96vFDuxxLJ5C/view?usp=drivesdk" TargetMode="External"/><Relationship Id="rId2557" Type="http://schemas.openxmlformats.org/officeDocument/2006/relationships/hyperlink" Target="https://drive.google.com/file/d/1VLvA5FN2OpFcmczDvxYeat1iTDnnu7sR/view?usp=drivesdk" TargetMode="External"/><Relationship Id="rId3889" Type="http://schemas.openxmlformats.org/officeDocument/2006/relationships/hyperlink" Target="https://drive.google.com/file/d/1pEOn2SPyOviTdoCzMr50zqOjGJs1qVvP/view?usp=drivesdk" TargetMode="External"/><Relationship Id="rId1227" Type="http://schemas.openxmlformats.org/officeDocument/2006/relationships/hyperlink" Target="https://drive.google.com/file/d/1nnWhe0gHjLSCvM1tyKXrtzF8s4bB-hsV/view?usp=drivesdk" TargetMode="External"/><Relationship Id="rId2558" Type="http://schemas.openxmlformats.org/officeDocument/2006/relationships/hyperlink" Target="https://drive.google.com/file/d/1hwPlBsBdct_raa3xTGZvz7oK3UmHNfC2/view?usp=drivesdk" TargetMode="External"/><Relationship Id="rId3888" Type="http://schemas.openxmlformats.org/officeDocument/2006/relationships/hyperlink" Target="https://drive.google.com/file/d/1UNcgZDTd674ARqjURkBM2ssvlBx0lR6f/view?usp=drivesdk" TargetMode="External"/><Relationship Id="rId1228" Type="http://schemas.openxmlformats.org/officeDocument/2006/relationships/hyperlink" Target="https://drive.google.com/file/d/1ZqHHkvOogxQl8gh_ESGV3Lm0P4ckGYLe/view?usp=drivesdk" TargetMode="External"/><Relationship Id="rId2559" Type="http://schemas.openxmlformats.org/officeDocument/2006/relationships/hyperlink" Target="https://drive.google.com/file/d/1RjqQZXe6dX5LRZDvTgv5qeZ9iKx3q08c/view?usp=drivesdk" TargetMode="External"/><Relationship Id="rId1229" Type="http://schemas.openxmlformats.org/officeDocument/2006/relationships/hyperlink" Target="https://drive.google.com/file/d/1q5dLxlq3QySa9IUZqmJrEFkmCcxgeB_X/view?usp=drivesdk" TargetMode="External"/><Relationship Id="rId3881" Type="http://schemas.openxmlformats.org/officeDocument/2006/relationships/hyperlink" Target="https://drive.google.com/file/d/1KkOyKnifc-EwIXxzrrUDE4vAefpSTpJ1/view?usp=drivesdk" TargetMode="External"/><Relationship Id="rId2550" Type="http://schemas.openxmlformats.org/officeDocument/2006/relationships/hyperlink" Target="https://drive.google.com/file/d/1WTeo0Ld_Kvh2rRU4bowBtY3vowtgoDOO/view?usp=drivesdk" TargetMode="External"/><Relationship Id="rId3880" Type="http://schemas.openxmlformats.org/officeDocument/2006/relationships/hyperlink" Target="https://drive.google.com/file/d/1vLW4W62brO7xG6TLluWzPNeKOL9pcTV7/view?usp=drivesdk" TargetMode="External"/><Relationship Id="rId1220" Type="http://schemas.openxmlformats.org/officeDocument/2006/relationships/hyperlink" Target="https://drive.google.com/file/d/1m40tGCnwZpWYVbUWTqOzfX5heUeZh__r/view?usp=drivesdk" TargetMode="External"/><Relationship Id="rId2551" Type="http://schemas.openxmlformats.org/officeDocument/2006/relationships/hyperlink" Target="https://drive.google.com/file/d/1Ld-k3XBAIGlM3XKlEJVNgXeizg4DONEQ/view?usp=drivesdk" TargetMode="External"/><Relationship Id="rId3883" Type="http://schemas.openxmlformats.org/officeDocument/2006/relationships/hyperlink" Target="https://drive.google.com/file/d/1ABE4nhmPCrRkzrB6FMbqrV5Cfxdi_D6A/view?usp=drivesdk" TargetMode="External"/><Relationship Id="rId1221" Type="http://schemas.openxmlformats.org/officeDocument/2006/relationships/hyperlink" Target="https://drive.google.com/file/d/1RLwxHdSXmCcd-H6XAlXGwn3fN2HuceHM/view?usp=drivesdk" TargetMode="External"/><Relationship Id="rId2552" Type="http://schemas.openxmlformats.org/officeDocument/2006/relationships/hyperlink" Target="https://drive.google.com/file/d/1veyuZEsugHphSgzTs8992aSTjrA0FY3V/view?usp=drivesdk" TargetMode="External"/><Relationship Id="rId3882" Type="http://schemas.openxmlformats.org/officeDocument/2006/relationships/hyperlink" Target="https://drive.google.com/file/d/1gSHvz2AGvXqYJQR61H6zxebnBnM14AEh/view?usp=drivesdk" TargetMode="External"/><Relationship Id="rId1222" Type="http://schemas.openxmlformats.org/officeDocument/2006/relationships/hyperlink" Target="https://drive.google.com/file/d/1p2qvMuXKdJbZGLXaWSB4Me9wsR6XTk4J/view?usp=drivesdk" TargetMode="External"/><Relationship Id="rId2553" Type="http://schemas.openxmlformats.org/officeDocument/2006/relationships/hyperlink" Target="https://drive.google.com/file/d/13oAIh7XAH0T3AtHnKbu-1pBOJyXs10Cv/view?usp=drivesdk" TargetMode="External"/><Relationship Id="rId3885" Type="http://schemas.openxmlformats.org/officeDocument/2006/relationships/hyperlink" Target="https://drive.google.com/file/d/1NLP43R4jRJWqmarg6rzgPY0-AcLB3PSQ/view?usp=drivesdk" TargetMode="External"/><Relationship Id="rId1223" Type="http://schemas.openxmlformats.org/officeDocument/2006/relationships/hyperlink" Target="https://drive.google.com/file/d/1OoB24sQglAdeOPJWr8HfL4vnwIW7m3N4/view?usp=drivesdk" TargetMode="External"/><Relationship Id="rId2554" Type="http://schemas.openxmlformats.org/officeDocument/2006/relationships/hyperlink" Target="https://drive.google.com/file/d/1BlH3va1rHmczcn6xrA4p9c4hJS4VZedi/view?usp=drivesdk" TargetMode="External"/><Relationship Id="rId3884" Type="http://schemas.openxmlformats.org/officeDocument/2006/relationships/hyperlink" Target="https://drive.google.com/file/d/1DZvHhDZxFOqW4PJJBMbRAqM0935kzMxI/view?usp=drivesdk" TargetMode="External"/><Relationship Id="rId2500" Type="http://schemas.openxmlformats.org/officeDocument/2006/relationships/hyperlink" Target="https://drive.google.com/file/d/1EWbdQ35B-aLM5CENRKqjS6aA1YYD38tw/view?usp=drivesdk" TargetMode="External"/><Relationship Id="rId3832" Type="http://schemas.openxmlformats.org/officeDocument/2006/relationships/hyperlink" Target="https://drive.google.com/file/d/1JHnr-ZkPdolABvrnuJBD0wqWLy1GmKRx/view?usp=drivesdk" TargetMode="External"/><Relationship Id="rId2501" Type="http://schemas.openxmlformats.org/officeDocument/2006/relationships/hyperlink" Target="https://drive.google.com/file/d/1Igo2kExKRSucIL2sqP7mSNb2OL_owa_0/view?usp=drivesdk" TargetMode="External"/><Relationship Id="rId3831" Type="http://schemas.openxmlformats.org/officeDocument/2006/relationships/hyperlink" Target="https://drive.google.com/file/d/1qcJfX75WaMvQnOPJV3wRpDD7gkyaLoUL/view?usp=drivesdk" TargetMode="External"/><Relationship Id="rId2502" Type="http://schemas.openxmlformats.org/officeDocument/2006/relationships/hyperlink" Target="https://drive.google.com/file/d/1hSRSP9Ugkv6rNYlh2U5f-5SEKndV4vmZ/view?usp=drivesdk" TargetMode="External"/><Relationship Id="rId3834" Type="http://schemas.openxmlformats.org/officeDocument/2006/relationships/hyperlink" Target="https://drive.google.com/file/d/17qPTriH5lpTUtqlLDBYGKADDi428W3jP/view?usp=drivesdk" TargetMode="External"/><Relationship Id="rId2503" Type="http://schemas.openxmlformats.org/officeDocument/2006/relationships/hyperlink" Target="https://drive.google.com/file/d/1DYR2g-9BUmIaNPZgqNu8fl74uBexXBvD/view?usp=drivesdk" TargetMode="External"/><Relationship Id="rId3833" Type="http://schemas.openxmlformats.org/officeDocument/2006/relationships/hyperlink" Target="https://drive.google.com/file/d/136Niqrjtdus1RoqoqBdT-5_K6YA1bvcw/view?usp=drivesdk" TargetMode="External"/><Relationship Id="rId2504" Type="http://schemas.openxmlformats.org/officeDocument/2006/relationships/hyperlink" Target="https://drive.google.com/file/d/1bucK0_MdmSUgcm-iwq4m7g2nyBgU2X_T/view?usp=drivesdk" TargetMode="External"/><Relationship Id="rId3836" Type="http://schemas.openxmlformats.org/officeDocument/2006/relationships/hyperlink" Target="https://drive.google.com/file/d/1T5LyFg7cnZZaiKX4Wum3gEAsDZBDtWtC/view?usp=drivesdk" TargetMode="External"/><Relationship Id="rId2505" Type="http://schemas.openxmlformats.org/officeDocument/2006/relationships/hyperlink" Target="https://drive.google.com/file/d/1iw0VE9OiysY6WaOuRK2eTgYE5PmI8yJb/view?usp=drivesdk" TargetMode="External"/><Relationship Id="rId3835" Type="http://schemas.openxmlformats.org/officeDocument/2006/relationships/hyperlink" Target="https://drive.google.com/file/d/17w8WO2s54FR3iBkinkI_L7Fe6iKw0Uq9/view?usp=drivesdk" TargetMode="External"/><Relationship Id="rId2506" Type="http://schemas.openxmlformats.org/officeDocument/2006/relationships/hyperlink" Target="https://drive.google.com/file/d/1jcslkAvattABjOrQ_Ty0jKFo9zqVVqp4/view?usp=drivesdk" TargetMode="External"/><Relationship Id="rId3838" Type="http://schemas.openxmlformats.org/officeDocument/2006/relationships/hyperlink" Target="https://drive.google.com/file/d/1KYjkm2tmw0u_lT2zr3KzO1gLWasf1dVP/view?usp=drivesdk" TargetMode="External"/><Relationship Id="rId2507" Type="http://schemas.openxmlformats.org/officeDocument/2006/relationships/hyperlink" Target="https://drive.google.com/file/d/185lkl1JdHOkVNy6qU_PS11hhW1Ds9ZZf/view?usp=drivesdk" TargetMode="External"/><Relationship Id="rId3837" Type="http://schemas.openxmlformats.org/officeDocument/2006/relationships/hyperlink" Target="https://drive.google.com/file/d/12dJBtHnHl5Ihwfymt0te9GWBkPXgNYF4/view?usp=drivesdk" TargetMode="External"/><Relationship Id="rId2508" Type="http://schemas.openxmlformats.org/officeDocument/2006/relationships/hyperlink" Target="https://drive.google.com/file/d/1K9SNpAtZXqAlivLLLp3vLN3AOprboUmb/view?usp=drivesdk" TargetMode="External"/><Relationship Id="rId2509" Type="http://schemas.openxmlformats.org/officeDocument/2006/relationships/hyperlink" Target="https://drive.google.com/file/d/1vTwUnAb_eEHEitKLejUFMfsQAVAtE9pl/view?usp=drivesdk" TargetMode="External"/><Relationship Id="rId3839" Type="http://schemas.openxmlformats.org/officeDocument/2006/relationships/hyperlink" Target="https://drive.google.com/file/d/1bbpyqYEKnK1jjRG0yqyHL7Bm8HYm8YZy/view?usp=drivesdk" TargetMode="External"/><Relationship Id="rId3830" Type="http://schemas.openxmlformats.org/officeDocument/2006/relationships/hyperlink" Target="https://drive.google.com/file/d/1dGvMGYOvhtwapVlwQ-rpUybQNxImCfbJ/view?usp=drivesdk" TargetMode="External"/><Relationship Id="rId3821" Type="http://schemas.openxmlformats.org/officeDocument/2006/relationships/hyperlink" Target="https://drive.google.com/file/d/1CekK1GnPBDmnrt9qu1t4zqiSGi_mrCqR/view?usp=drivesdk" TargetMode="External"/><Relationship Id="rId3820" Type="http://schemas.openxmlformats.org/officeDocument/2006/relationships/hyperlink" Target="https://drive.google.com/file/d/1R9N6vNJzjxf8CAXQmNeeOx_LoHRyEpcR/view?usp=drivesdk" TargetMode="External"/><Relationship Id="rId3823" Type="http://schemas.openxmlformats.org/officeDocument/2006/relationships/hyperlink" Target="https://drive.google.com/file/d/1G-tMgyOfpA7r67B87GGl6Hxs2wFZM_rd/view?usp=drivesdk" TargetMode="External"/><Relationship Id="rId3822" Type="http://schemas.openxmlformats.org/officeDocument/2006/relationships/hyperlink" Target="https://drive.google.com/file/d/1d1_mIMT3usPsEb_Vz0GhK4WK3tkLSZx5/view?usp=drivesdk" TargetMode="External"/><Relationship Id="rId3825" Type="http://schemas.openxmlformats.org/officeDocument/2006/relationships/hyperlink" Target="https://drive.google.com/file/d/1Dz02_SiDBNd7oguTD2ROayw2IT65png_/view?usp=drivesdk" TargetMode="External"/><Relationship Id="rId3824" Type="http://schemas.openxmlformats.org/officeDocument/2006/relationships/hyperlink" Target="https://drive.google.com/file/d/1rza_6oiXImoMvUqGFGWhCvz02xbaB0jG/view?usp=drivesdk" TargetMode="External"/><Relationship Id="rId3827" Type="http://schemas.openxmlformats.org/officeDocument/2006/relationships/hyperlink" Target="https://drive.google.com/file/d/1kGxUZBTVWz9f8qMmTeg4AGx7dl3bVhIe/view?usp=drivesdk" TargetMode="External"/><Relationship Id="rId3826" Type="http://schemas.openxmlformats.org/officeDocument/2006/relationships/hyperlink" Target="https://drive.google.com/file/d/1q5kRDzA4eo9BweaJggnBdw7fY5yuZTr6/view?usp=drivesdk" TargetMode="External"/><Relationship Id="rId3829" Type="http://schemas.openxmlformats.org/officeDocument/2006/relationships/hyperlink" Target="https://drive.google.com/file/d/1Ns3sbpirwtyMtjBwV_BOOBoSIlVd4KkJ/view?usp=drivesdk" TargetMode="External"/><Relationship Id="rId3828" Type="http://schemas.openxmlformats.org/officeDocument/2006/relationships/hyperlink" Target="https://drive.google.com/file/d/1Rs-SNzbA0oCpkHwsMvTU7E7TNnP2F1uB/view?usp=drivesdk" TargetMode="External"/><Relationship Id="rId6094" Type="http://schemas.openxmlformats.org/officeDocument/2006/relationships/hyperlink" Target="https://drive.google.com/file/d/1RGlwr1MqZ1V3SasZ8NsnYGki6g4TNOVz/view?usp=drivesdk" TargetMode="External"/><Relationship Id="rId6095" Type="http://schemas.openxmlformats.org/officeDocument/2006/relationships/hyperlink" Target="https://drive.google.com/file/d/1WBP0iPsKZ0_emclCjxVsjxXLKccNX4Lp/view?usp=drivesdk" TargetMode="External"/><Relationship Id="rId6092" Type="http://schemas.openxmlformats.org/officeDocument/2006/relationships/hyperlink" Target="https://drive.google.com/file/d/1OZOvw-qhIc2wt_XmxJmC1ZOV7ylek7PP/view?usp=drivesdk" TargetMode="External"/><Relationship Id="rId6093" Type="http://schemas.openxmlformats.org/officeDocument/2006/relationships/hyperlink" Target="https://drive.google.com/file/d/1ayuxOjRjS4fui-PQ9ICXsA6JXhky1-U0/view?usp=drivesdk" TargetMode="External"/><Relationship Id="rId6098" Type="http://schemas.openxmlformats.org/officeDocument/2006/relationships/hyperlink" Target="https://drive.google.com/file/d/1ncBYiYwIsomPPlfjlTmYjcpPYLnWxaCf/view?usp=drivesdk" TargetMode="External"/><Relationship Id="rId6099" Type="http://schemas.openxmlformats.org/officeDocument/2006/relationships/hyperlink" Target="https://drive.google.com/file/d/19c-P-eoUbtLtwMELRPxuKCJxhygY4mfh/view?usp=drivesdk" TargetMode="External"/><Relationship Id="rId6096" Type="http://schemas.openxmlformats.org/officeDocument/2006/relationships/hyperlink" Target="https://drive.google.com/file/d/16Um1R1EN866DLnxNJmz18OqkEhrJTPWh/view?usp=drivesdk" TargetMode="External"/><Relationship Id="rId6097" Type="http://schemas.openxmlformats.org/officeDocument/2006/relationships/hyperlink" Target="https://drive.google.com/file/d/1PwATZOl1f2uQfoohYAHt8rVRijwpWi30/view?usp=drivesdk" TargetMode="External"/><Relationship Id="rId2522" Type="http://schemas.openxmlformats.org/officeDocument/2006/relationships/hyperlink" Target="https://drive.google.com/file/d/1cuUzCXwe0agd6LvbJYFExPUVTLG8Vjej/view?usp=drivesdk" TargetMode="External"/><Relationship Id="rId3854" Type="http://schemas.openxmlformats.org/officeDocument/2006/relationships/hyperlink" Target="https://drive.google.com/file/d/11UWXRbHx23y8HeL6Qu2Qw5Qxx1YIe18J/view?usp=drivesdk" TargetMode="External"/><Relationship Id="rId2523" Type="http://schemas.openxmlformats.org/officeDocument/2006/relationships/hyperlink" Target="https://drive.google.com/file/d/1CPOgHJr-wseuUDD85Wqd0ymoG51v5A5j/view?usp=drivesdk" TargetMode="External"/><Relationship Id="rId3853" Type="http://schemas.openxmlformats.org/officeDocument/2006/relationships/hyperlink" Target="https://drive.google.com/file/d/17SiXpm4Cfp0PtRpPsTzlJETa1d-TeM9l/view?usp=drivesdk" TargetMode="External"/><Relationship Id="rId2524" Type="http://schemas.openxmlformats.org/officeDocument/2006/relationships/hyperlink" Target="https://drive.google.com/file/d/1R03Cg29efsL7IRRfK0oGuJ5RuzcJPEnZ/view?usp=drivesdk" TargetMode="External"/><Relationship Id="rId3856" Type="http://schemas.openxmlformats.org/officeDocument/2006/relationships/hyperlink" Target="https://drive.google.com/file/d/1PJf8z9nSpOyYBRD2yrycafFrsG2hx2Hw/view?usp=drivesdk" TargetMode="External"/><Relationship Id="rId2525" Type="http://schemas.openxmlformats.org/officeDocument/2006/relationships/hyperlink" Target="https://drive.google.com/file/d/1GleqePuVSH_SoD7eAtfEC8j8FfGBFKMq/view?usp=drivesdk" TargetMode="External"/><Relationship Id="rId3855" Type="http://schemas.openxmlformats.org/officeDocument/2006/relationships/hyperlink" Target="https://drive.google.com/file/d/1d4JZjf3IIidxOCR1hu-n1co93RTFg_2D/view?usp=drivesdk" TargetMode="External"/><Relationship Id="rId2526" Type="http://schemas.openxmlformats.org/officeDocument/2006/relationships/hyperlink" Target="https://drive.google.com/file/d/165HThYJ6WcW-_GV-Cb88cPK7-S-xIREQ/view?usp=drivesdk" TargetMode="External"/><Relationship Id="rId3858" Type="http://schemas.openxmlformats.org/officeDocument/2006/relationships/hyperlink" Target="https://drive.google.com/file/d/1sqCamWxzSqxBidWSTboSYlyQAMVbvn5m/view?usp=drivesdk" TargetMode="External"/><Relationship Id="rId2527" Type="http://schemas.openxmlformats.org/officeDocument/2006/relationships/hyperlink" Target="https://drive.google.com/file/d/1rmqD3Y81T4u3xK1hiKuw8r524TjwRJPt/view?usp=drivesdk" TargetMode="External"/><Relationship Id="rId3857" Type="http://schemas.openxmlformats.org/officeDocument/2006/relationships/hyperlink" Target="https://drive.google.com/file/d/1iWDTILM_IV45ZvleR7c3N24Nssf9ScVT/view?usp=drivesdk" TargetMode="External"/><Relationship Id="rId2528" Type="http://schemas.openxmlformats.org/officeDocument/2006/relationships/hyperlink" Target="https://drive.google.com/file/d/1phUuZaNSuEjtdi5xVU4pyAkRcXGk2jeQ/view?usp=drivesdk" TargetMode="External"/><Relationship Id="rId2529" Type="http://schemas.openxmlformats.org/officeDocument/2006/relationships/hyperlink" Target="https://drive.google.com/file/d/1WzmYJRoldXjNWqusdD-M2fPavGxE9BMA/view?usp=drivesdk" TargetMode="External"/><Relationship Id="rId3859" Type="http://schemas.openxmlformats.org/officeDocument/2006/relationships/hyperlink" Target="https://drive.google.com/file/d/12joMolNV6rygUHhyIw4JbEBW2Cn0ZgLR/view?usp=drivesdk" TargetMode="External"/><Relationship Id="rId3850" Type="http://schemas.openxmlformats.org/officeDocument/2006/relationships/hyperlink" Target="https://drive.google.com/file/d/13SouckKQws-ETYZEtunaSbkf-Pqj9UEI/view?usp=drivesdk" TargetMode="External"/><Relationship Id="rId2520" Type="http://schemas.openxmlformats.org/officeDocument/2006/relationships/hyperlink" Target="https://drive.google.com/file/d/18ipcDFx_3Vp20notpAjx8PNJb-WuForh/view?usp=drivesdk" TargetMode="External"/><Relationship Id="rId3852" Type="http://schemas.openxmlformats.org/officeDocument/2006/relationships/hyperlink" Target="https://drive.google.com/file/d/1E5f_7R3-obpI_CewCSc0UxlsL_zti_CH/view?usp=drivesdk" TargetMode="External"/><Relationship Id="rId2521" Type="http://schemas.openxmlformats.org/officeDocument/2006/relationships/hyperlink" Target="https://drive.google.com/file/d/1k5-q3H1JaXtGyKNnZMT0l5qYcXrlMMhx/view?usp=drivesdk" TargetMode="External"/><Relationship Id="rId3851" Type="http://schemas.openxmlformats.org/officeDocument/2006/relationships/hyperlink" Target="https://drive.google.com/file/d/1crb_l8DhiujoUFBVvARUknumxNy40tXf/view?usp=drivesdk" TargetMode="External"/><Relationship Id="rId2511" Type="http://schemas.openxmlformats.org/officeDocument/2006/relationships/hyperlink" Target="https://drive.google.com/file/d/1Wm1-5KwVhihYqSfdBBnP0vupfDleSHTK/view?usp=drivesdk" TargetMode="External"/><Relationship Id="rId3843" Type="http://schemas.openxmlformats.org/officeDocument/2006/relationships/hyperlink" Target="https://drive.google.com/file/d/1JwL39LipzYjKLg0wLo3xsiGUEesnQD3I/view?usp=drivesdk" TargetMode="External"/><Relationship Id="rId2512" Type="http://schemas.openxmlformats.org/officeDocument/2006/relationships/hyperlink" Target="https://drive.google.com/file/d/1nZGp0NLJI-UVcKpTrjJ6OBBe9cTtIxz2/view?usp=drivesdk" TargetMode="External"/><Relationship Id="rId3842" Type="http://schemas.openxmlformats.org/officeDocument/2006/relationships/hyperlink" Target="https://drive.google.com/file/d/1FAfH1D_g4nQMfiZNas1Forognz5gjMdh/view?usp=drivesdk" TargetMode="External"/><Relationship Id="rId2513" Type="http://schemas.openxmlformats.org/officeDocument/2006/relationships/hyperlink" Target="https://drive.google.com/file/d/1zaBtcX5ZZslBR-TxAxPTNWtTRACqWQhj/view?usp=drivesdk" TargetMode="External"/><Relationship Id="rId3845" Type="http://schemas.openxmlformats.org/officeDocument/2006/relationships/hyperlink" Target="https://drive.google.com/file/d/1MdZ6NHlm_YjKCT4aFeK7rBiemqUgebYM/view?usp=drivesdk" TargetMode="External"/><Relationship Id="rId2514" Type="http://schemas.openxmlformats.org/officeDocument/2006/relationships/hyperlink" Target="https://drive.google.com/file/d/1AfX27IOmMc4Nn-Fd9gubajY7ckUvTkAG/view?usp=drivesdk" TargetMode="External"/><Relationship Id="rId3844" Type="http://schemas.openxmlformats.org/officeDocument/2006/relationships/hyperlink" Target="https://drive.google.com/file/d/1SyUGLIeJcD1OGR5R5Z6Ur_1CzH3QwLYD/view?usp=drivesdk" TargetMode="External"/><Relationship Id="rId2515" Type="http://schemas.openxmlformats.org/officeDocument/2006/relationships/hyperlink" Target="https://drive.google.com/file/d/1wxUl7DC6wvFfoK8TDT6YoQPxZhwqjCYp/view?usp=drivesdk" TargetMode="External"/><Relationship Id="rId3847" Type="http://schemas.openxmlformats.org/officeDocument/2006/relationships/hyperlink" Target="https://drive.google.com/file/d/1fXczp6I2Ro9DsJXBKLsCtEF2FoX4OnCf/view?usp=drivesdk" TargetMode="External"/><Relationship Id="rId2516" Type="http://schemas.openxmlformats.org/officeDocument/2006/relationships/hyperlink" Target="https://drive.google.com/file/d/1bJOVcjO3t57gOelKncMz9mLjqnpCHa66/view?usp=drivesdk" TargetMode="External"/><Relationship Id="rId3846" Type="http://schemas.openxmlformats.org/officeDocument/2006/relationships/hyperlink" Target="https://drive.google.com/file/d/1Zult-m0BLY7VVyrlt_0uhMd0c8oFlvZn/view?usp=drivesdk" TargetMode="External"/><Relationship Id="rId2517" Type="http://schemas.openxmlformats.org/officeDocument/2006/relationships/hyperlink" Target="https://drive.google.com/file/d/1l_gmNcxRS7VO2Nrj5aYyArNcK-u4GJ0Z/view?usp=drivesdk" TargetMode="External"/><Relationship Id="rId3849" Type="http://schemas.openxmlformats.org/officeDocument/2006/relationships/hyperlink" Target="https://drive.google.com/file/d/154IN_uIKpowZG1Ba1nkvbFcvJY4u7GD8/view?usp=drivesdk" TargetMode="External"/><Relationship Id="rId2518" Type="http://schemas.openxmlformats.org/officeDocument/2006/relationships/hyperlink" Target="https://drive.google.com/file/d/1-1ICgqeFOuVfCJfXuvd65d9bqSwmwyPM/view?usp=drivesdk" TargetMode="External"/><Relationship Id="rId3848" Type="http://schemas.openxmlformats.org/officeDocument/2006/relationships/hyperlink" Target="https://drive.google.com/file/d/1wliWOw089xKLnQWaMVyyKUnVYEUEyuFa/view?usp=drivesdk" TargetMode="External"/><Relationship Id="rId2519" Type="http://schemas.openxmlformats.org/officeDocument/2006/relationships/hyperlink" Target="https://drive.google.com/file/d/1-vg4uuRRHY9s9Lp_BgviMT9HzER2weFj/view?usp=drivesdk" TargetMode="External"/><Relationship Id="rId3841" Type="http://schemas.openxmlformats.org/officeDocument/2006/relationships/hyperlink" Target="https://drive.google.com/file/d/1VK2w8dfR5XivOqrmp0GWpVztQm7G_7pP/view?usp=drivesdk" TargetMode="External"/><Relationship Id="rId2510" Type="http://schemas.openxmlformats.org/officeDocument/2006/relationships/hyperlink" Target="https://drive.google.com/file/d/12XtOmeLYsb2xwRqkeZQ-WTT8kTb4Y283/view?usp=drivesdk" TargetMode="External"/><Relationship Id="rId3840" Type="http://schemas.openxmlformats.org/officeDocument/2006/relationships/hyperlink" Target="https://drive.google.com/file/d/1_QtWdCdj7jgiPoLBfN2O2-uxZOhpnnKV/view?usp=drivesdk" TargetMode="External"/><Relationship Id="rId1290" Type="http://schemas.openxmlformats.org/officeDocument/2006/relationships/hyperlink" Target="https://drive.google.com/file/d/1hMviNvIuD0PYQFlS7q6pi-gumgM60Gbv/view?usp=drivesdk" TargetMode="External"/><Relationship Id="rId1291" Type="http://schemas.openxmlformats.org/officeDocument/2006/relationships/hyperlink" Target="https://drive.google.com/file/d/1ImayvfH2OYCwepBFdz-_yHnrMJBegpa9/view?usp=drivesdk" TargetMode="External"/><Relationship Id="rId1292" Type="http://schemas.openxmlformats.org/officeDocument/2006/relationships/hyperlink" Target="https://drive.google.com/file/d/1sg7F5GXTFxN9GW55WInZy8eSnz0Pa1kj/view?usp=drivesdk" TargetMode="External"/><Relationship Id="rId1293" Type="http://schemas.openxmlformats.org/officeDocument/2006/relationships/hyperlink" Target="https://drive.google.com/file/d/1WMf-DDDX_8_6IFh3dqjQDr5TPuXMhLsk/view?usp=drivesdk" TargetMode="External"/><Relationship Id="rId1294" Type="http://schemas.openxmlformats.org/officeDocument/2006/relationships/hyperlink" Target="https://drive.google.com/file/d/1tPnumebHsp4-ldJnJ8lGQxx4D9XXeNZu/view?usp=drivesdk" TargetMode="External"/><Relationship Id="rId1295" Type="http://schemas.openxmlformats.org/officeDocument/2006/relationships/hyperlink" Target="https://drive.google.com/file/d/1gsMg5tZdg_l0RGTuBtfB6G4nQW7gx-z2/view?usp=drivesdk" TargetMode="External"/><Relationship Id="rId1296" Type="http://schemas.openxmlformats.org/officeDocument/2006/relationships/hyperlink" Target="https://drive.google.com/file/d/1W_7L2WMkdI5Db3dfEK0VCSNiryjmIoWx/view?usp=drivesdk" TargetMode="External"/><Relationship Id="rId1297" Type="http://schemas.openxmlformats.org/officeDocument/2006/relationships/hyperlink" Target="https://drive.google.com/file/d/1HqcURAFeWqjZ_UvQb_KTY-5Ak9zAhpbg/view?usp=drivesdk" TargetMode="External"/><Relationship Id="rId1298" Type="http://schemas.openxmlformats.org/officeDocument/2006/relationships/hyperlink" Target="https://drive.google.com/file/d/1V4RDsmlQEMuc4gduNorMZ7niNx84Hxpi/view?usp=drivesdk" TargetMode="External"/><Relationship Id="rId1299" Type="http://schemas.openxmlformats.org/officeDocument/2006/relationships/hyperlink" Target="https://drive.google.com/file/d/1yQebGT_OAjr-4jTsh2s1WgSMtTt1P8Kq/view?usp=drivesdk" TargetMode="External"/><Relationship Id="rId1280" Type="http://schemas.openxmlformats.org/officeDocument/2006/relationships/hyperlink" Target="https://drive.google.com/file/d/1u2Lqnycz6PFOR4i5f2o99vTF6SdGgoyr/view?usp=drivesdk" TargetMode="External"/><Relationship Id="rId1281" Type="http://schemas.openxmlformats.org/officeDocument/2006/relationships/hyperlink" Target="https://drive.google.com/file/d/16ax_CQOlNdhqh2cYK1wHu4UL48lZYXWa/view?usp=drivesdk" TargetMode="External"/><Relationship Id="rId1282" Type="http://schemas.openxmlformats.org/officeDocument/2006/relationships/hyperlink" Target="https://drive.google.com/file/d/1QZtDSthC62NM8UN7UfyqXGuu0GV-FRBA/view?usp=drivesdk" TargetMode="External"/><Relationship Id="rId1283" Type="http://schemas.openxmlformats.org/officeDocument/2006/relationships/hyperlink" Target="https://drive.google.com/file/d/1dsaga1ysjZgOH7C0yNJ_g_fdv_MZb94L/view?usp=drivesdk" TargetMode="External"/><Relationship Id="rId1284" Type="http://schemas.openxmlformats.org/officeDocument/2006/relationships/hyperlink" Target="https://drive.google.com/file/d/1Fm_Eb8U9yHwKuAUKjpI3HLzfZ9LKlTuj/view?usp=drivesdk" TargetMode="External"/><Relationship Id="rId1285" Type="http://schemas.openxmlformats.org/officeDocument/2006/relationships/hyperlink" Target="https://drive.google.com/file/d/1KXcKu2wNWsMj9-PxbEXDiT5E7BLMDjU4/view?usp=drivesdk" TargetMode="External"/><Relationship Id="rId1286" Type="http://schemas.openxmlformats.org/officeDocument/2006/relationships/hyperlink" Target="https://drive.google.com/file/d/1yd3w4TQumfbl88iyDL_6_0Af0XedWpwT/view?usp=drivesdk" TargetMode="External"/><Relationship Id="rId1287" Type="http://schemas.openxmlformats.org/officeDocument/2006/relationships/hyperlink" Target="https://drive.google.com/file/d/1nVhs-b_oPtkxxQeFDJd0fsVGLWhxUAtx/view?usp=drivesdk" TargetMode="External"/><Relationship Id="rId1288" Type="http://schemas.openxmlformats.org/officeDocument/2006/relationships/hyperlink" Target="https://drive.google.com/file/d/1ndiiDUfVsn75Tbh-e-ZfpsC-k4VerRvL/view?usp=drivesdk" TargetMode="External"/><Relationship Id="rId1289" Type="http://schemas.openxmlformats.org/officeDocument/2006/relationships/hyperlink" Target="https://drive.google.com/file/d/19aZrCOv6Y36kppQpjz_KtF8DkWLouJfT/view?usp=drivesdk" TargetMode="External"/><Relationship Id="rId8707" Type="http://schemas.openxmlformats.org/officeDocument/2006/relationships/hyperlink" Target="https://drive.google.com/file/d/1N4K513-fB3zxWoEGombRzeRHvD3LXT1W/view?usp=drivesdk" TargetMode="External"/><Relationship Id="rId8706" Type="http://schemas.openxmlformats.org/officeDocument/2006/relationships/hyperlink" Target="https://drive.google.com/file/d/1CkvoCrk1cU9wgXi2clJlgq4dXwIQlDVN/view?usp=drivesdk" TargetMode="External"/><Relationship Id="rId8705" Type="http://schemas.openxmlformats.org/officeDocument/2006/relationships/hyperlink" Target="https://drive.google.com/file/d/1G-RjDvYKD4qQ9n8zHe-z_eurSlLyiFhQ/view?usp=drivesdk" TargetMode="External"/><Relationship Id="rId8704" Type="http://schemas.openxmlformats.org/officeDocument/2006/relationships/hyperlink" Target="https://drive.google.com/file/d/1MV7xkxYpMht1kNsf8fcMgS3WhYNM_3pW/view?usp=drivesdk" TargetMode="External"/><Relationship Id="rId8709" Type="http://schemas.openxmlformats.org/officeDocument/2006/relationships/hyperlink" Target="https://drive.google.com/file/d/1f1k6YhxEOmUB_GmAT_Pwr0K9j2c-kiEI/view?usp=drivesdk" TargetMode="External"/><Relationship Id="rId8708" Type="http://schemas.openxmlformats.org/officeDocument/2006/relationships/hyperlink" Target="https://drive.google.com/file/d/1c71jL1xpGDOevqk0Szy6R1iG7eTDTAaY/view?usp=drivesdk" TargetMode="External"/><Relationship Id="rId8703" Type="http://schemas.openxmlformats.org/officeDocument/2006/relationships/hyperlink" Target="https://drive.google.com/file/d/1NteMDXWGz1gfK3sJ70z2AezMIjxMuGIN/view?usp=drivesdk" TargetMode="External"/><Relationship Id="rId8702" Type="http://schemas.openxmlformats.org/officeDocument/2006/relationships/hyperlink" Target="https://drive.google.com/file/d/1sHGCKqj2zi_-CyHK5pElzx24qGTXg6Ze/view?usp=drivesdk" TargetMode="External"/><Relationship Id="rId8701" Type="http://schemas.openxmlformats.org/officeDocument/2006/relationships/hyperlink" Target="https://drive.google.com/file/d/16-wzGUagjgfRD83ge0gdX6LG3gysaiPV/view?usp=drivesdk" TargetMode="External"/><Relationship Id="rId8700" Type="http://schemas.openxmlformats.org/officeDocument/2006/relationships/hyperlink" Target="https://drive.google.com/file/d/1aSrkLaBpBAoH8Ra79Mks7f8S3dc4a4bG/view?usp=drivesdk" TargetMode="External"/><Relationship Id="rId1257" Type="http://schemas.openxmlformats.org/officeDocument/2006/relationships/hyperlink" Target="https://drive.google.com/file/d/18CfMH0gCPb-W3GZoKWhB6fr46_KFnvPF/view?usp=drivesdk" TargetMode="External"/><Relationship Id="rId2588" Type="http://schemas.openxmlformats.org/officeDocument/2006/relationships/hyperlink" Target="https://drive.google.com/file/d/10ltaa6qDkdmlJ9AHrsSBlCJKppXNosHZ/view?usp=drivesdk" TargetMode="External"/><Relationship Id="rId1258" Type="http://schemas.openxmlformats.org/officeDocument/2006/relationships/hyperlink" Target="https://drive.google.com/file/d/1L--XB6TK2vpS_IUlTyMQWVf1ZOviwDKT/view?usp=drivesdk" TargetMode="External"/><Relationship Id="rId2589" Type="http://schemas.openxmlformats.org/officeDocument/2006/relationships/hyperlink" Target="https://drive.google.com/file/d/1PMnJRfmB8Aehzdp7G2WJ9HVat01qKMXk/view?usp=drivesdk" TargetMode="External"/><Relationship Id="rId1259" Type="http://schemas.openxmlformats.org/officeDocument/2006/relationships/hyperlink" Target="https://drive.google.com/file/d/1x850vnqmLjKAthOmCoOJnCeULOE5Vyo9/view?usp=drivesdk" TargetMode="External"/><Relationship Id="rId2580" Type="http://schemas.openxmlformats.org/officeDocument/2006/relationships/hyperlink" Target="https://drive.google.com/file/d/1dQlyHTHZb17edqkCuBwmO6E0XqVTUGvQ/view?usp=drivesdk" TargetMode="External"/><Relationship Id="rId1250" Type="http://schemas.openxmlformats.org/officeDocument/2006/relationships/hyperlink" Target="https://drive.google.com/file/d/1lJM8fsqhFz6CBwotLuqBkyUpC4hQ8tqs/view?usp=drivesdk" TargetMode="External"/><Relationship Id="rId2581" Type="http://schemas.openxmlformats.org/officeDocument/2006/relationships/hyperlink" Target="https://drive.google.com/file/d/1hc3QfAyG8E-X12Joa3dlKxRLmY6dVuXp/view?usp=drivesdk" TargetMode="External"/><Relationship Id="rId1251" Type="http://schemas.openxmlformats.org/officeDocument/2006/relationships/hyperlink" Target="https://drive.google.com/file/d/1xWNJ2c2bhouRgGbw5KiGCpXd4YtuADY3/view?usp=drivesdk" TargetMode="External"/><Relationship Id="rId2582" Type="http://schemas.openxmlformats.org/officeDocument/2006/relationships/hyperlink" Target="https://drive.google.com/file/d/1elDhnaL2FFkqk8-fqgWE5_SVQYwCZ7T5/view?usp=drivesdk" TargetMode="External"/><Relationship Id="rId1252" Type="http://schemas.openxmlformats.org/officeDocument/2006/relationships/hyperlink" Target="https://drive.google.com/file/d/1Jka3nZf4bvBQEcv3tinDRiczuLeZ4A3S/view?usp=drivesdk" TargetMode="External"/><Relationship Id="rId2583" Type="http://schemas.openxmlformats.org/officeDocument/2006/relationships/hyperlink" Target="https://drive.google.com/file/d/1SA_fy22OpDMDssaVFA6p4xzk8cIoXSaJ/view?usp=drivesdk" TargetMode="External"/><Relationship Id="rId1253" Type="http://schemas.openxmlformats.org/officeDocument/2006/relationships/hyperlink" Target="https://drive.google.com/file/d/1-esOqDMR1igoMQLSMbNEqlbJFqPgr3n5/view?usp=drivesdk" TargetMode="External"/><Relationship Id="rId2584" Type="http://schemas.openxmlformats.org/officeDocument/2006/relationships/hyperlink" Target="https://drive.google.com/file/d/1iqmbbDkypJzzCttMaY2wIolz_UpdZ9J2/view?usp=drivesdk" TargetMode="External"/><Relationship Id="rId1254" Type="http://schemas.openxmlformats.org/officeDocument/2006/relationships/hyperlink" Target="https://drive.google.com/file/d/1ursDEPqz_nLwZ4tjIOLCJ0_yPE6DHiBW/view?usp=drivesdk" TargetMode="External"/><Relationship Id="rId2585" Type="http://schemas.openxmlformats.org/officeDocument/2006/relationships/hyperlink" Target="https://drive.google.com/file/d/1zYN7Pc0D82N0POzOKwfvnmIvA0TEgYFu/view?usp=drivesdk" TargetMode="External"/><Relationship Id="rId1255" Type="http://schemas.openxmlformats.org/officeDocument/2006/relationships/hyperlink" Target="https://drive.google.com/file/d/1pJAl6HYugNjGOr9z79F2_P991ryol5t3/view?usp=drivesdk" TargetMode="External"/><Relationship Id="rId2586" Type="http://schemas.openxmlformats.org/officeDocument/2006/relationships/hyperlink" Target="https://drive.google.com/file/d/1-VMJzdNEE3b9Oazkp-w8Rruiyf6Um2pz/view?usp=drivesdk" TargetMode="External"/><Relationship Id="rId1256" Type="http://schemas.openxmlformats.org/officeDocument/2006/relationships/hyperlink" Target="https://drive.google.com/file/d/1wgQsdZG4kPqOp4zwlTpS7Xvj-8uUImtO/view?usp=drivesdk" TargetMode="External"/><Relationship Id="rId2587" Type="http://schemas.openxmlformats.org/officeDocument/2006/relationships/hyperlink" Target="https://drive.google.com/file/d/1fZE1ENzI9AMs3xWaA-Yk5nRMZaav14er/view?usp=drivesdk" TargetMode="External"/><Relationship Id="rId1246" Type="http://schemas.openxmlformats.org/officeDocument/2006/relationships/hyperlink" Target="https://drive.google.com/file/d/1DpA5PtmabaySNXdAW_5Moa6lceQlGRz3/view?usp=drivesdk" TargetMode="External"/><Relationship Id="rId2577" Type="http://schemas.openxmlformats.org/officeDocument/2006/relationships/hyperlink" Target="https://drive.google.com/file/d/1Ssxk8hdiX7HG3evd4UnHr7KiGVi9wzjg/view?usp=drivesdk" TargetMode="External"/><Relationship Id="rId1247" Type="http://schemas.openxmlformats.org/officeDocument/2006/relationships/hyperlink" Target="https://drive.google.com/file/d/1XgCu6A65c0Emw-RaxU81GN2lO99pk8B-/view?usp=drivesdk" TargetMode="External"/><Relationship Id="rId2578" Type="http://schemas.openxmlformats.org/officeDocument/2006/relationships/hyperlink" Target="https://drive.google.com/file/d/19Hk9quuuL4-6SR5fIu-Qc7iC0ilLS85S/view?usp=drivesdk" TargetMode="External"/><Relationship Id="rId1248" Type="http://schemas.openxmlformats.org/officeDocument/2006/relationships/hyperlink" Target="https://drive.google.com/file/d/17uPcEInQ01tsxTh1I-3Se5HrtkioUUHN/view?usp=drivesdk" TargetMode="External"/><Relationship Id="rId2579" Type="http://schemas.openxmlformats.org/officeDocument/2006/relationships/hyperlink" Target="https://drive.google.com/file/d/1oJ3vVAX9VGoco9Qwt5us4aEOijsB4d1O/view?usp=drivesdk" TargetMode="External"/><Relationship Id="rId1249" Type="http://schemas.openxmlformats.org/officeDocument/2006/relationships/hyperlink" Target="https://drive.google.com/file/d/1-RT93gGiDRj_qPaz29f-G_z9uMrslcfM/view?usp=drivesdk" TargetMode="External"/><Relationship Id="rId2570" Type="http://schemas.openxmlformats.org/officeDocument/2006/relationships/hyperlink" Target="https://drive.google.com/file/d/1n2huOKKzjFFzNL0a_L-BUL7YRFDwZ7_f/view?usp=drivesdk" TargetMode="External"/><Relationship Id="rId1240" Type="http://schemas.openxmlformats.org/officeDocument/2006/relationships/hyperlink" Target="https://drive.google.com/file/d/1DUzhTg8DCRXPMlQAmC5UQh4BQyDmGUez/view?usp=drivesdk" TargetMode="External"/><Relationship Id="rId2571" Type="http://schemas.openxmlformats.org/officeDocument/2006/relationships/hyperlink" Target="https://drive.google.com/file/d/1f5U8WMwtPVFQj2JSww5i_pjgovLERuM_/view?usp=drivesdk" TargetMode="External"/><Relationship Id="rId1241" Type="http://schemas.openxmlformats.org/officeDocument/2006/relationships/hyperlink" Target="https://drive.google.com/file/d/1z_SVuCdYD3rACxRYqnsfvq3UcFTcbSI1/view?usp=drivesdk" TargetMode="External"/><Relationship Id="rId2572" Type="http://schemas.openxmlformats.org/officeDocument/2006/relationships/hyperlink" Target="https://drive.google.com/file/d/1gh5doNkbe_rSaPQAKDbLtVi_Q8g7YQh2/view?usp=drivesdk" TargetMode="External"/><Relationship Id="rId1242" Type="http://schemas.openxmlformats.org/officeDocument/2006/relationships/hyperlink" Target="https://drive.google.com/file/d/1JgC9IcibTi9bpljwt4VeMdiU0c4AX-e2/view?usp=drivesdk" TargetMode="External"/><Relationship Id="rId2573" Type="http://schemas.openxmlformats.org/officeDocument/2006/relationships/hyperlink" Target="https://drive.google.com/file/d/1-NS8EmpXsBj79RlnFEsFpTzpcg88ouiM/view?usp=drivesdk" TargetMode="External"/><Relationship Id="rId1243" Type="http://schemas.openxmlformats.org/officeDocument/2006/relationships/hyperlink" Target="https://drive.google.com/file/d/1R3v5s79liptgWB1S1kjKW9JXqhCjrRcw/view?usp=drivesdk" TargetMode="External"/><Relationship Id="rId2574" Type="http://schemas.openxmlformats.org/officeDocument/2006/relationships/hyperlink" Target="https://drive.google.com/file/d/10VVsxrxBMFExLp1yj5tKYc9iUVSxNBzs/view?usp=drivesdk" TargetMode="External"/><Relationship Id="rId1244" Type="http://schemas.openxmlformats.org/officeDocument/2006/relationships/hyperlink" Target="https://drive.google.com/file/d/1WZqs6D146zAGyegkmTpD7_fHiE63GPVL/view?usp=drivesdk" TargetMode="External"/><Relationship Id="rId2575" Type="http://schemas.openxmlformats.org/officeDocument/2006/relationships/hyperlink" Target="https://drive.google.com/file/d/1u6aMFo7TjszUOeQtSmCbOMTyaD_hE6Nq/view?usp=drivesdk" TargetMode="External"/><Relationship Id="rId1245" Type="http://schemas.openxmlformats.org/officeDocument/2006/relationships/hyperlink" Target="https://drive.google.com/file/d/1Ap0fXVcoMo0jldjVgiy44FiSAcLTj2ir/view?usp=drivesdk" TargetMode="External"/><Relationship Id="rId2576" Type="http://schemas.openxmlformats.org/officeDocument/2006/relationships/hyperlink" Target="https://drive.google.com/file/d/1La8guCdNuPR_FJwqQfKARFF3VDI-Ra7n/view?usp=drivesdk" TargetMode="External"/><Relationship Id="rId1279" Type="http://schemas.openxmlformats.org/officeDocument/2006/relationships/hyperlink" Target="https://drive.google.com/file/d/1NxQbb6MwnQkABIF-81lJqG3mfJ3HuEv_/view?usp=drivesdk" TargetMode="External"/><Relationship Id="rId1270" Type="http://schemas.openxmlformats.org/officeDocument/2006/relationships/hyperlink" Target="https://drive.google.com/file/d/1U8Jfel1Dgk94X7g85hMZa_tCtfcKiHz7/view?usp=drivesdk" TargetMode="External"/><Relationship Id="rId1271" Type="http://schemas.openxmlformats.org/officeDocument/2006/relationships/hyperlink" Target="https://drive.google.com/file/d/15w8SF3PvM0ANS6edW5l-uR54PoA3EGr3/view?usp=drivesdk" TargetMode="External"/><Relationship Id="rId1272" Type="http://schemas.openxmlformats.org/officeDocument/2006/relationships/hyperlink" Target="https://drive.google.com/file/d/17sjobCs5VwpiR4FRaxVL8Tmra1jH30jc/view?usp=drivesdk" TargetMode="External"/><Relationship Id="rId1273" Type="http://schemas.openxmlformats.org/officeDocument/2006/relationships/hyperlink" Target="https://drive.google.com/file/d/16m7-T1SZaJhhQbrJAVpsuZn6PvW3a8K4/view?usp=drivesdk" TargetMode="External"/><Relationship Id="rId1274" Type="http://schemas.openxmlformats.org/officeDocument/2006/relationships/hyperlink" Target="https://drive.google.com/file/d/147CTQSiu2E36UZouijFxBGXfdMdWeq3N/view?usp=drivesdk" TargetMode="External"/><Relationship Id="rId1275" Type="http://schemas.openxmlformats.org/officeDocument/2006/relationships/hyperlink" Target="https://drive.google.com/file/d/13xHIBy4oepVuSgSU5iBy9ArBeLB7Rfjl/view?usp=drivesdk" TargetMode="External"/><Relationship Id="rId1276" Type="http://schemas.openxmlformats.org/officeDocument/2006/relationships/hyperlink" Target="https://drive.google.com/file/d/1SAaZvYOMAVj3t8keG5pW2CC35z1Fhg4K/view?usp=drivesdk" TargetMode="External"/><Relationship Id="rId1277" Type="http://schemas.openxmlformats.org/officeDocument/2006/relationships/hyperlink" Target="https://drive.google.com/file/d/17gKkVPcSLre8ChS5XVUEM6ot-X8N5sOO/view?usp=drivesdk" TargetMode="External"/><Relationship Id="rId1278" Type="http://schemas.openxmlformats.org/officeDocument/2006/relationships/hyperlink" Target="https://drive.google.com/file/d/1LkPO1zs4NV7wI4w3vZg_QUWt1N2VW8Xw/view?usp=drivesdk" TargetMode="External"/><Relationship Id="rId1268" Type="http://schemas.openxmlformats.org/officeDocument/2006/relationships/hyperlink" Target="https://drive.google.com/file/d/1iBQHV57uxRQ-6Zpb5iDOkTOk3WXFTphZ/view?usp=drivesdk" TargetMode="External"/><Relationship Id="rId2599" Type="http://schemas.openxmlformats.org/officeDocument/2006/relationships/hyperlink" Target="https://drive.google.com/file/d/1p_IQftJfreIH7mZVI2I_ppx3U-PZpZ39/view?usp=drivesdk" TargetMode="External"/><Relationship Id="rId1269" Type="http://schemas.openxmlformats.org/officeDocument/2006/relationships/hyperlink" Target="https://drive.google.com/file/d/1owoqM21IA2u5u-ULt2uOHvpeIdqmZqse/view?usp=drivesdk" TargetMode="External"/><Relationship Id="rId2590" Type="http://schemas.openxmlformats.org/officeDocument/2006/relationships/hyperlink" Target="https://drive.google.com/file/d/18gG3Zl2y5nvpwXapJDhW9f1hsXECkvtk/view?usp=drivesdk" TargetMode="External"/><Relationship Id="rId1260" Type="http://schemas.openxmlformats.org/officeDocument/2006/relationships/hyperlink" Target="https://drive.google.com/file/d/1hmKjE7Et6-CxgZ7zNHEvv-P0YSPgLwLa/view?usp=drivesdk" TargetMode="External"/><Relationship Id="rId2591" Type="http://schemas.openxmlformats.org/officeDocument/2006/relationships/hyperlink" Target="https://drive.google.com/file/d/1VmLIR7MfxPm7SWQfNKONS6e3REo-qH9s/view?usp=drivesdk" TargetMode="External"/><Relationship Id="rId1261" Type="http://schemas.openxmlformats.org/officeDocument/2006/relationships/hyperlink" Target="https://drive.google.com/file/d/1TK6n896RUlMfO7Cf3-vN-YDNfasHTZwu/view?usp=drivesdk" TargetMode="External"/><Relationship Id="rId2592" Type="http://schemas.openxmlformats.org/officeDocument/2006/relationships/hyperlink" Target="https://drive.google.com/file/d/1E6arOU2swMOB6krWexSIlsGiXZWZdeim/view?usp=drivesdk" TargetMode="External"/><Relationship Id="rId1262" Type="http://schemas.openxmlformats.org/officeDocument/2006/relationships/hyperlink" Target="https://drive.google.com/file/d/155d7AcnFMqyT9poHTUGnTBZucAsiIsDb/view?usp=drivesdk" TargetMode="External"/><Relationship Id="rId2593" Type="http://schemas.openxmlformats.org/officeDocument/2006/relationships/hyperlink" Target="https://drive.google.com/file/d/1ZTSKlb3tb-Pne6fHu_P6t7-PLJWq8gKM/view?usp=drivesdk" TargetMode="External"/><Relationship Id="rId1263" Type="http://schemas.openxmlformats.org/officeDocument/2006/relationships/hyperlink" Target="https://drive.google.com/file/d/12SNdvdnRgc6UawOyWJk02eKvoJRnuiKL/view?usp=drivesdk" TargetMode="External"/><Relationship Id="rId2594" Type="http://schemas.openxmlformats.org/officeDocument/2006/relationships/hyperlink" Target="https://drive.google.com/file/d/1wpVwgGDEfXtpMQrOw0E2KWwHTBHJNBqi/view?usp=drivesdk" TargetMode="External"/><Relationship Id="rId1264" Type="http://schemas.openxmlformats.org/officeDocument/2006/relationships/hyperlink" Target="https://drive.google.com/file/d/14QX4T6ULDYisz2U8UJZv_Mpsp2IalNGy/view?usp=drivesdk" TargetMode="External"/><Relationship Id="rId2595" Type="http://schemas.openxmlformats.org/officeDocument/2006/relationships/hyperlink" Target="https://drive.google.com/file/d/1126L63NdPRGM9F7n96F69_YnAHApCme4/view?usp=drivesdk" TargetMode="External"/><Relationship Id="rId1265" Type="http://schemas.openxmlformats.org/officeDocument/2006/relationships/hyperlink" Target="https://drive.google.com/file/d/1DykU9rP1WqhCsYN1_VejrgHprcHDYZI0/view?usp=drivesdk" TargetMode="External"/><Relationship Id="rId2596" Type="http://schemas.openxmlformats.org/officeDocument/2006/relationships/hyperlink" Target="https://drive.google.com/file/d/1ncMh-7Xijr3RzRkRRtcSuhCKSn5cPEo0/view?usp=drivesdk" TargetMode="External"/><Relationship Id="rId1266" Type="http://schemas.openxmlformats.org/officeDocument/2006/relationships/hyperlink" Target="https://drive.google.com/file/d/1AnH73YmYRpngL4ykmeQ9ac0LH1wRNgPb/view?usp=drivesdk" TargetMode="External"/><Relationship Id="rId2597" Type="http://schemas.openxmlformats.org/officeDocument/2006/relationships/hyperlink" Target="https://drive.google.com/file/d/1L51ZaYdwRoj3B_leZwXx3kIDA_SXxNRe/view?usp=drivesdk" TargetMode="External"/><Relationship Id="rId1267" Type="http://schemas.openxmlformats.org/officeDocument/2006/relationships/hyperlink" Target="https://drive.google.com/file/d/14J6uXncroHRvmZn6sEGLriSG_P2LaGvo/view?usp=drivesdk" TargetMode="External"/><Relationship Id="rId2598" Type="http://schemas.openxmlformats.org/officeDocument/2006/relationships/hyperlink" Target="https://drive.google.com/file/d/1a1xbvTRa6FbttlSSued_i6Smdqx88XnX/view?usp=drivesdk" TargetMode="External"/><Relationship Id="rId3070" Type="http://schemas.openxmlformats.org/officeDocument/2006/relationships/hyperlink" Target="https://drive.google.com/file/d/10urEoiItKCipsPzzeQm6mZYtgtTzJG37/view?usp=drivesdk" TargetMode="External"/><Relationship Id="rId3072" Type="http://schemas.openxmlformats.org/officeDocument/2006/relationships/hyperlink" Target="https://drive.google.com/file/d/1PNWbJxGrrtgY-06PTr-UxliGM3LZt2Fn/view?usp=drivesdk" TargetMode="External"/><Relationship Id="rId3071" Type="http://schemas.openxmlformats.org/officeDocument/2006/relationships/hyperlink" Target="https://drive.google.com/file/d/1Krax4Ry_TfbJAQJr6NCJeKPjULavVjQ4/view?usp=drivesdk" TargetMode="External"/><Relationship Id="rId3074" Type="http://schemas.openxmlformats.org/officeDocument/2006/relationships/hyperlink" Target="https://drive.google.com/file/d/1oHawI5JecF8AlBXeEq03NxULBZkJTJhR/view?usp=drivesdk" TargetMode="External"/><Relationship Id="rId3073" Type="http://schemas.openxmlformats.org/officeDocument/2006/relationships/hyperlink" Target="https://drive.google.com/file/d/1rXWCcjfv2J3OxcoApJix1y7NXhGDr-Gt/view?usp=drivesdk" TargetMode="External"/><Relationship Id="rId3076" Type="http://schemas.openxmlformats.org/officeDocument/2006/relationships/hyperlink" Target="https://drive.google.com/file/d/1BLfAYytiBgW3MDzqGE8ntDDuPZvaAAcB/view?usp=drivesdk" TargetMode="External"/><Relationship Id="rId3075" Type="http://schemas.openxmlformats.org/officeDocument/2006/relationships/hyperlink" Target="https://drive.google.com/file/d/1yy8R4LqsCNPuCY_GsYpvD5ojUM6wT0fm/view?usp=drivesdk" TargetMode="External"/><Relationship Id="rId3078" Type="http://schemas.openxmlformats.org/officeDocument/2006/relationships/hyperlink" Target="https://drive.google.com/file/d/1lgrLlP4p_9azT5btaBgBFEQ1PAhRCwg4/view?usp=drivesdk" TargetMode="External"/><Relationship Id="rId3077" Type="http://schemas.openxmlformats.org/officeDocument/2006/relationships/hyperlink" Target="https://drive.google.com/file/d/1Y-B8sjNSVXU4PDEYo30WsjwmbWLwMyGN/view?usp=drivesdk" TargetMode="External"/><Relationship Id="rId3079" Type="http://schemas.openxmlformats.org/officeDocument/2006/relationships/hyperlink" Target="https://drive.google.com/file/d/1oyqdtjqoJ0wrBMvZjBB6ETDJtF6zvIk8/view?usp=drivesdk" TargetMode="External"/><Relationship Id="rId4390" Type="http://schemas.openxmlformats.org/officeDocument/2006/relationships/hyperlink" Target="https://drive.google.com/file/d/1ipQNlHPAtv55jl4p9Y3ykI7LHRqyr49E/view?usp=drivesdk" TargetMode="External"/><Relationship Id="rId3061" Type="http://schemas.openxmlformats.org/officeDocument/2006/relationships/hyperlink" Target="https://drive.google.com/file/d/10P3LAk4NauaWLacahXnbhnXqZCArHVTm/view?usp=drivesdk" TargetMode="External"/><Relationship Id="rId4392" Type="http://schemas.openxmlformats.org/officeDocument/2006/relationships/hyperlink" Target="https://drive.google.com/file/d/1EgvHukMjL2kGJMI1ZYLQmtT98pM42KhY/view?usp=drivesdk" TargetMode="External"/><Relationship Id="rId3060" Type="http://schemas.openxmlformats.org/officeDocument/2006/relationships/hyperlink" Target="https://drive.google.com/file/d/1Dq-HJ4hbQcIneizX6QYlMtgBd38UNNR1/view?usp=drivesdk" TargetMode="External"/><Relationship Id="rId4391" Type="http://schemas.openxmlformats.org/officeDocument/2006/relationships/hyperlink" Target="https://drive.google.com/file/d/10ZnepdvZlvXWkBS1EMnzWpOQWGlA0nzn/view?usp=drivesdk" TargetMode="External"/><Relationship Id="rId3063" Type="http://schemas.openxmlformats.org/officeDocument/2006/relationships/hyperlink" Target="https://drive.google.com/file/d/1GA2-pH7hPPIQoOS1u8FD54f_ukVXCfDj/view?usp=drivesdk" TargetMode="External"/><Relationship Id="rId4394" Type="http://schemas.openxmlformats.org/officeDocument/2006/relationships/hyperlink" Target="https://drive.google.com/file/d/1iUy-sTJ1CKmP-8--h_Z64mkj47f6dnxX/view?usp=drivesdk" TargetMode="External"/><Relationship Id="rId3062" Type="http://schemas.openxmlformats.org/officeDocument/2006/relationships/hyperlink" Target="https://drive.google.com/file/d/1kuAxAC8qBhHWoGRhFRwGqu9eEow8-JDj/view?usp=drivesdk" TargetMode="External"/><Relationship Id="rId4393" Type="http://schemas.openxmlformats.org/officeDocument/2006/relationships/hyperlink" Target="https://drive.google.com/file/d/1BXSg3X1CJe9z-EeDY--duroqsUQER5US/view?usp=drivesdk" TargetMode="External"/><Relationship Id="rId3065" Type="http://schemas.openxmlformats.org/officeDocument/2006/relationships/hyperlink" Target="https://drive.google.com/file/d/1zqS2Yw9g0oxvciMTyUVA1ajEF-s2PCd7/view?usp=drivesdk" TargetMode="External"/><Relationship Id="rId4396" Type="http://schemas.openxmlformats.org/officeDocument/2006/relationships/hyperlink" Target="https://drive.google.com/file/d/1vJsGDcMHTyLptAMode5lrOHGH5ZIGwWJ/view?usp=drivesdk" TargetMode="External"/><Relationship Id="rId3064" Type="http://schemas.openxmlformats.org/officeDocument/2006/relationships/hyperlink" Target="https://drive.google.com/file/d/1qrrvB3OwuzEd7gk7u23LDMc7VH0gcxY_/view?usp=drivesdk" TargetMode="External"/><Relationship Id="rId4395" Type="http://schemas.openxmlformats.org/officeDocument/2006/relationships/hyperlink" Target="https://drive.google.com/file/d/1LbuvlRHVjd2YbiA_etZMuybmNBbuJs9t/view?usp=drivesdk" TargetMode="External"/><Relationship Id="rId3067" Type="http://schemas.openxmlformats.org/officeDocument/2006/relationships/hyperlink" Target="https://drive.google.com/file/d/1rERZdLXCEUk9yxQC8I4pL4xyzSlMDDOq/view?usp=drivesdk" TargetMode="External"/><Relationship Id="rId4398" Type="http://schemas.openxmlformats.org/officeDocument/2006/relationships/hyperlink" Target="https://drive.google.com/file/d/1E8TRlOzJPIgSRSwtQxfXPXH1YrKG9NMy/view?usp=drivesdk" TargetMode="External"/><Relationship Id="rId3066" Type="http://schemas.openxmlformats.org/officeDocument/2006/relationships/hyperlink" Target="https://drive.google.com/file/d/1O06xdvXhclNdAaEGhPG7bo7ZBYjnQyxu/view?usp=drivesdk" TargetMode="External"/><Relationship Id="rId4397" Type="http://schemas.openxmlformats.org/officeDocument/2006/relationships/hyperlink" Target="https://drive.google.com/file/d/1CEXfPrwYzTcmRjK__7LNfROlu6qCB8Sb/view?usp=drivesdk" TargetMode="External"/><Relationship Id="rId3069" Type="http://schemas.openxmlformats.org/officeDocument/2006/relationships/hyperlink" Target="https://drive.google.com/file/d/192nhYQzhpMdj6nZKWtgSC0XWAeUj_YKL/view?usp=drivesdk" TargetMode="External"/><Relationship Id="rId3068" Type="http://schemas.openxmlformats.org/officeDocument/2006/relationships/hyperlink" Target="https://drive.google.com/file/d/1sXD7Tu-GBbJMDXgqFHFxff7iPNMIq8IF/view?usp=drivesdk" TargetMode="External"/><Relationship Id="rId4399" Type="http://schemas.openxmlformats.org/officeDocument/2006/relationships/hyperlink" Target="https://drive.google.com/file/d/1GHqk8JebG3bNOcjMDc_AG0EUsTO1410_/view?usp=drivesdk" TargetMode="External"/><Relationship Id="rId3090" Type="http://schemas.openxmlformats.org/officeDocument/2006/relationships/hyperlink" Target="https://drive.google.com/file/d/1UUpTfP3vxDb4KHDBuB4LWrDGVFNAWxXQ/view?usp=drivesdk" TargetMode="External"/><Relationship Id="rId3092" Type="http://schemas.openxmlformats.org/officeDocument/2006/relationships/hyperlink" Target="https://drive.google.com/file/d/1zzdTt8GPz4TM2FmriPIhGrkao7dwbC8B/view?usp=drivesdk" TargetMode="External"/><Relationship Id="rId3091" Type="http://schemas.openxmlformats.org/officeDocument/2006/relationships/hyperlink" Target="https://drive.google.com/file/d/1ZnFh-GVBhKGpH2h-515Ds7ECmr7okcP0/view?usp=drivesdk" TargetMode="External"/><Relationship Id="rId3094" Type="http://schemas.openxmlformats.org/officeDocument/2006/relationships/hyperlink" Target="https://drive.google.com/file/d/1A-CzUxc8HgHkJNDIWJZ3hXMba_SSdqHc/view?usp=drivesdk" TargetMode="External"/><Relationship Id="rId3093" Type="http://schemas.openxmlformats.org/officeDocument/2006/relationships/hyperlink" Target="https://drive.google.com/file/d/10nXrt6S0wUmtYsjAidynJ4lddSXfdCH-/view?usp=drivesdk" TargetMode="External"/><Relationship Id="rId3096" Type="http://schemas.openxmlformats.org/officeDocument/2006/relationships/hyperlink" Target="https://drive.google.com/file/d/1PYFSn_P8g7KI7He5YNi9JbZr56MtjXwt/view?usp=drivesdk" TargetMode="External"/><Relationship Id="rId3095" Type="http://schemas.openxmlformats.org/officeDocument/2006/relationships/hyperlink" Target="https://drive.google.com/file/d/1IgwbO9uYRaS8FNX4wWuIjEfjMrkiwqhF/view?usp=drivesdk" TargetMode="External"/><Relationship Id="rId3098" Type="http://schemas.openxmlformats.org/officeDocument/2006/relationships/hyperlink" Target="https://drive.google.com/file/d/12nXVcGkPq2ed6_IhCFoW1hdiQjLSMWK9/view?usp=drivesdk" TargetMode="External"/><Relationship Id="rId3097" Type="http://schemas.openxmlformats.org/officeDocument/2006/relationships/hyperlink" Target="https://drive.google.com/file/d/13gh7hMpBw9b19KTcsGeI1aUQynPPurv-/view?usp=drivesdk" TargetMode="External"/><Relationship Id="rId3099" Type="http://schemas.openxmlformats.org/officeDocument/2006/relationships/hyperlink" Target="https://drive.google.com/file/d/1J0dXWOjtTTzvU5OxVEv-K6NwMgP84bHU/view?usp=drivesdk" TargetMode="External"/><Relationship Id="rId3081" Type="http://schemas.openxmlformats.org/officeDocument/2006/relationships/hyperlink" Target="https://drive.google.com/file/d/1K3kl6XvBclfmvCrugmhLJueSJ3kPaUVM/view?usp=drivesdk" TargetMode="External"/><Relationship Id="rId3080" Type="http://schemas.openxmlformats.org/officeDocument/2006/relationships/hyperlink" Target="https://drive.google.com/file/d/1qM6kqXZFs2-aDOZOLzCFQI7d_ZpGKdkf/view?usp=drivesdk" TargetMode="External"/><Relationship Id="rId3083" Type="http://schemas.openxmlformats.org/officeDocument/2006/relationships/hyperlink" Target="https://drive.google.com/file/d/1nwnb-hl5OmLKNK3CFJjbsHQnQw6ySJXV/view?usp=drivesdk" TargetMode="External"/><Relationship Id="rId3082" Type="http://schemas.openxmlformats.org/officeDocument/2006/relationships/hyperlink" Target="https://drive.google.com/file/d/1Z6ZjTeV39BOxYOSRTGku1P3mBAx7SNwo/view?usp=drivesdk" TargetMode="External"/><Relationship Id="rId3085" Type="http://schemas.openxmlformats.org/officeDocument/2006/relationships/hyperlink" Target="https://drive.google.com/file/d/1PiLXG36fYgZ5nfNRNgZztzEaYI38oXGm/view?usp=drivesdk" TargetMode="External"/><Relationship Id="rId3084" Type="http://schemas.openxmlformats.org/officeDocument/2006/relationships/hyperlink" Target="https://drive.google.com/file/d/1y-UsvUR0KjcLlBoRVkGTFUVv-2itAiwy/view?usp=drivesdk" TargetMode="External"/><Relationship Id="rId3087" Type="http://schemas.openxmlformats.org/officeDocument/2006/relationships/hyperlink" Target="https://drive.google.com/file/d/16isdAF_uUfhCW11knDLAQMqHnI_sn6mE/view?usp=drivesdk" TargetMode="External"/><Relationship Id="rId3086" Type="http://schemas.openxmlformats.org/officeDocument/2006/relationships/hyperlink" Target="https://drive.google.com/file/d/1GtqU2mZpbgTeraE75iAKgKvn9eXFNH2o/view?usp=drivesdk" TargetMode="External"/><Relationship Id="rId3089" Type="http://schemas.openxmlformats.org/officeDocument/2006/relationships/hyperlink" Target="https://drive.google.com/file/d/1AjAtyns0fnRAiUXLHhbi0HRf5Mw4cO3g/view?usp=drivesdk" TargetMode="External"/><Relationship Id="rId3088" Type="http://schemas.openxmlformats.org/officeDocument/2006/relationships/hyperlink" Target="https://drive.google.com/file/d/1LIX7TIxdrnSfwUOk6ijEMHWyp-doG1a6/view?usp=drivesdk" TargetMode="External"/><Relationship Id="rId3039" Type="http://schemas.openxmlformats.org/officeDocument/2006/relationships/hyperlink" Target="https://drive.google.com/file/d/1gCd1azEaNj3aHcIff2aWjRk2B1aL4srg/view?usp=drivesdk" TargetMode="External"/><Relationship Id="rId5691" Type="http://schemas.openxmlformats.org/officeDocument/2006/relationships/hyperlink" Target="https://drive.google.com/file/d/1iYfcsEG4hf89z5q2D5Gt2YNPcHWKMDZY/view?usp=drivesdk" TargetMode="External"/><Relationship Id="rId5692" Type="http://schemas.openxmlformats.org/officeDocument/2006/relationships/hyperlink" Target="https://drive.google.com/file/d/1R2TCKqzgmFjbMp6qpkX3VEI7ZdHfoqzU/view?usp=drivesdk" TargetMode="External"/><Relationship Id="rId3030" Type="http://schemas.openxmlformats.org/officeDocument/2006/relationships/hyperlink" Target="https://drive.google.com/file/d/12x2fvMT_qOjyv1_NSvHMOAbOmEmp-vAI/view?usp=drivesdk" TargetMode="External"/><Relationship Id="rId4361" Type="http://schemas.openxmlformats.org/officeDocument/2006/relationships/hyperlink" Target="https://drive.google.com/file/d/1EZDMWI0HO8NCgWvj9t167mqckxU7i5VU/view?usp=drivesdk" TargetMode="External"/><Relationship Id="rId4360" Type="http://schemas.openxmlformats.org/officeDocument/2006/relationships/hyperlink" Target="https://drive.google.com/file/d/1bJipStwIXPTIijAaPu-9i7cmrbNFZl4f/view?usp=drivesdk" TargetMode="External"/><Relationship Id="rId5690" Type="http://schemas.openxmlformats.org/officeDocument/2006/relationships/hyperlink" Target="https://drive.google.com/file/d/13uAPIbKDEmQI7YmbOUnJhpcrFz9zH9In/view?usp=drivesdk" TargetMode="External"/><Relationship Id="rId3032" Type="http://schemas.openxmlformats.org/officeDocument/2006/relationships/hyperlink" Target="https://drive.google.com/file/d/1UzgntndMtd0lKVMj5ytaXOcjSwZ32QiZ/view?usp=drivesdk" TargetMode="External"/><Relationship Id="rId4363" Type="http://schemas.openxmlformats.org/officeDocument/2006/relationships/hyperlink" Target="https://drive.google.com/file/d/1jFABQHnNlLlNgLcBjp30rT_NyMD-CgNZ/view?usp=drivesdk" TargetMode="External"/><Relationship Id="rId5695" Type="http://schemas.openxmlformats.org/officeDocument/2006/relationships/hyperlink" Target="https://drive.google.com/file/d/1xrw0f9UIBIYeWjdN-0G-peHrGByfLdlw/view?usp=drivesdk" TargetMode="External"/><Relationship Id="rId3031" Type="http://schemas.openxmlformats.org/officeDocument/2006/relationships/hyperlink" Target="https://drive.google.com/file/d/14tWCZa5pkI8cyFMIIns5QkGIj9xLhzIf/view?usp=drivesdk" TargetMode="External"/><Relationship Id="rId4362" Type="http://schemas.openxmlformats.org/officeDocument/2006/relationships/hyperlink" Target="https://drive.google.com/file/d/1iUYhnD-k3KmhG5xe0wntCkrohWZlE_h5/view?usp=drivesdk" TargetMode="External"/><Relationship Id="rId5696" Type="http://schemas.openxmlformats.org/officeDocument/2006/relationships/hyperlink" Target="https://drive.google.com/file/d/1brqZVn4aaUl3-fqBdn_aLReex0pU_XXf/view?usp=drivesdk" TargetMode="External"/><Relationship Id="rId3034" Type="http://schemas.openxmlformats.org/officeDocument/2006/relationships/hyperlink" Target="https://drive.google.com/file/d/12Ye78MP4aMQYbCJmARTH0h3IMKjOlJkQ/view?usp=drivesdk" TargetMode="External"/><Relationship Id="rId4365" Type="http://schemas.openxmlformats.org/officeDocument/2006/relationships/hyperlink" Target="https://drive.google.com/file/d/15524RBrlvZJ6EAvuG03vf9Z4Cn81VZNr/view?usp=drivesdk" TargetMode="External"/><Relationship Id="rId5693" Type="http://schemas.openxmlformats.org/officeDocument/2006/relationships/hyperlink" Target="https://drive.google.com/file/d/1gw4pFMvbfJTq2oS3vm0rijpKOjFdOCfz/view?usp=drivesdk" TargetMode="External"/><Relationship Id="rId3033" Type="http://schemas.openxmlformats.org/officeDocument/2006/relationships/hyperlink" Target="https://drive.google.com/file/d/1Y7Tm5B8fyL0KrKz9Ug9DHWiVU5dWTzk_/view?usp=drivesdk" TargetMode="External"/><Relationship Id="rId4364" Type="http://schemas.openxmlformats.org/officeDocument/2006/relationships/hyperlink" Target="https://drive.google.com/file/d/1i_9E7mLk8yYmkh8a1yFPZe47E5JWeu0P/view?usp=drivesdk" TargetMode="External"/><Relationship Id="rId5694" Type="http://schemas.openxmlformats.org/officeDocument/2006/relationships/hyperlink" Target="https://drive.google.com/file/d/14FKhPuacRfQx3k_2bsxI48xXUu_k967E/view?usp=drivesdk" TargetMode="External"/><Relationship Id="rId3036" Type="http://schemas.openxmlformats.org/officeDocument/2006/relationships/hyperlink" Target="https://drive.google.com/file/d/1RLxkydtXmmo3ESUaV5YqPDG4jAdd1y8X/view?usp=drivesdk" TargetMode="External"/><Relationship Id="rId4367" Type="http://schemas.openxmlformats.org/officeDocument/2006/relationships/hyperlink" Target="https://drive.google.com/file/d/1SHUX2nW154B2s4DLh0w6HfJrBZFA5f8S/view?usp=drivesdk" TargetMode="External"/><Relationship Id="rId5699" Type="http://schemas.openxmlformats.org/officeDocument/2006/relationships/hyperlink" Target="https://drive.google.com/file/d/1MwOrxUAyThO6BBJdfbikIhPvMVHl10kI/view?usp=drivesdk" TargetMode="External"/><Relationship Id="rId3035" Type="http://schemas.openxmlformats.org/officeDocument/2006/relationships/hyperlink" Target="https://drive.google.com/file/d/1a73mPnit2Ne7zQuJUkpAHJhtI40CdkUN/view?usp=drivesdk" TargetMode="External"/><Relationship Id="rId4366" Type="http://schemas.openxmlformats.org/officeDocument/2006/relationships/hyperlink" Target="https://drive.google.com/file/d/1BB9NdmCuWV3hUbfPUQthtORvFSWDgKtB/view?usp=drivesdk" TargetMode="External"/><Relationship Id="rId3038" Type="http://schemas.openxmlformats.org/officeDocument/2006/relationships/hyperlink" Target="https://drive.google.com/file/d/1R-MeuibLLpyX1H5-nvua7J6hQHMEoExk/view?usp=drivesdk" TargetMode="External"/><Relationship Id="rId4369" Type="http://schemas.openxmlformats.org/officeDocument/2006/relationships/hyperlink" Target="https://drive.google.com/file/d/1MrBl6gYVV4dcfv9x1YcZqharZ8ftnEH6/view?usp=drivesdk" TargetMode="External"/><Relationship Id="rId5697" Type="http://schemas.openxmlformats.org/officeDocument/2006/relationships/hyperlink" Target="https://drive.google.com/file/d/19AzwlUkxDWaNXfjE58ovPwcRrlzwokQH/view?usp=drivesdk" TargetMode="External"/><Relationship Id="rId3037" Type="http://schemas.openxmlformats.org/officeDocument/2006/relationships/hyperlink" Target="https://drive.google.com/file/d/1W2aHuIfRhJrIrGMjcyMxl0mTWmMFEFB0/view?usp=drivesdk" TargetMode="External"/><Relationship Id="rId4368" Type="http://schemas.openxmlformats.org/officeDocument/2006/relationships/hyperlink" Target="https://drive.google.com/file/d/1_WpX8nUOYY8VO7b0OTSJefAvX8bYNLbD/view?usp=drivesdk" TargetMode="External"/><Relationship Id="rId5698" Type="http://schemas.openxmlformats.org/officeDocument/2006/relationships/hyperlink" Target="https://drive.google.com/file/d/1L7zXTjhH-1bZymP1heMOGEV6dhpOh53k/view?usp=drivesdk" TargetMode="External"/><Relationship Id="rId3029" Type="http://schemas.openxmlformats.org/officeDocument/2006/relationships/hyperlink" Target="https://drive.google.com/file/d/1Fc4dX0pMnKx0NqeEx6ZOhkwwDOrOgtBO/view?usp=drivesdk" TargetMode="External"/><Relationship Id="rId3028" Type="http://schemas.openxmlformats.org/officeDocument/2006/relationships/hyperlink" Target="https://drive.google.com/file/d/1yCwjEPCiu-93RvQmtVl3WXcvaOA2M9tE/view?usp=drivesdk" TargetMode="External"/><Relationship Id="rId4359" Type="http://schemas.openxmlformats.org/officeDocument/2006/relationships/hyperlink" Target="https://drive.google.com/file/d/1U8Uo7PNP-0iuF0IZbPRHrYOTBdeoDiOd/view?usp=drivesdk" TargetMode="External"/><Relationship Id="rId5680" Type="http://schemas.openxmlformats.org/officeDocument/2006/relationships/hyperlink" Target="https://drive.google.com/file/d/1htjMi5LShNf2UxBYXhyVCG_fFccuN8Ft/view?usp=drivesdk" TargetMode="External"/><Relationship Id="rId5681" Type="http://schemas.openxmlformats.org/officeDocument/2006/relationships/hyperlink" Target="https://drive.google.com/file/d/1Hex08q5JQt5bKKKCEzaw4pQ-RC_h9gWO/view?usp=drivesdk" TargetMode="External"/><Relationship Id="rId4350" Type="http://schemas.openxmlformats.org/officeDocument/2006/relationships/hyperlink" Target="https://drive.google.com/file/d/10X4K5ysbQ_h6SVnZZ7UEuzBEB8GMUzzY/view?usp=drivesdk" TargetMode="External"/><Relationship Id="rId3021" Type="http://schemas.openxmlformats.org/officeDocument/2006/relationships/hyperlink" Target="https://drive.google.com/file/d/1gh5_V9xAjgqICFkPglJGd2VL56jAXg7W/view?usp=drivesdk" TargetMode="External"/><Relationship Id="rId4352" Type="http://schemas.openxmlformats.org/officeDocument/2006/relationships/hyperlink" Target="https://drive.google.com/file/d/1JzsH2VhPlw_oaPKN6CQBnpSTe__w483p/view?usp=drivesdk" TargetMode="External"/><Relationship Id="rId5684" Type="http://schemas.openxmlformats.org/officeDocument/2006/relationships/hyperlink" Target="https://drive.google.com/file/d/1ody7N-cYZizTlbfj1ulu5rJHQQzkB3-c/view?usp=drivesdk" TargetMode="External"/><Relationship Id="rId3020" Type="http://schemas.openxmlformats.org/officeDocument/2006/relationships/hyperlink" Target="https://drive.google.com/file/d/1srSNj0xtb8dmR9eW3OFmi0UgHBc1etbH/view?usp=drivesdk" TargetMode="External"/><Relationship Id="rId4351" Type="http://schemas.openxmlformats.org/officeDocument/2006/relationships/hyperlink" Target="https://drive.google.com/file/d/1LxfYgvelzxmvtPAaRgFj-y65cuNvceMD/view?usp=drivesdk" TargetMode="External"/><Relationship Id="rId5685" Type="http://schemas.openxmlformats.org/officeDocument/2006/relationships/hyperlink" Target="https://drive.google.com/file/d/1cNPtx-Sj5pssMgxfipjkVX_dE7fDfsgA/view?usp=drivesdk" TargetMode="External"/><Relationship Id="rId3023" Type="http://schemas.openxmlformats.org/officeDocument/2006/relationships/hyperlink" Target="https://drive.google.com/file/d/1C3EdwXvRYmpWqMYAhTU_JZQbt91HkUzu/view?usp=drivesdk" TargetMode="External"/><Relationship Id="rId4354" Type="http://schemas.openxmlformats.org/officeDocument/2006/relationships/hyperlink" Target="https://drive.google.com/file/d/1jFhBeXncv5n_vQaoX-RuIXuiTsIKXOBd/view?usp=drivesdk" TargetMode="External"/><Relationship Id="rId5682" Type="http://schemas.openxmlformats.org/officeDocument/2006/relationships/hyperlink" Target="https://drive.google.com/file/d/1qr57zQ-Wy8rwARRkbuVgnL2RosjikIag/view?usp=drivesdk" TargetMode="External"/><Relationship Id="rId3022" Type="http://schemas.openxmlformats.org/officeDocument/2006/relationships/hyperlink" Target="https://drive.google.com/file/d/1jPCKxH5ppYXURHvsryHQVlVYfH0HnX7Z/view?usp=drivesdk" TargetMode="External"/><Relationship Id="rId4353" Type="http://schemas.openxmlformats.org/officeDocument/2006/relationships/hyperlink" Target="https://drive.google.com/file/d/1LSEQXljqVKWWayLic1aSyoLXO7ZarFkz/view?usp=drivesdk" TargetMode="External"/><Relationship Id="rId5683" Type="http://schemas.openxmlformats.org/officeDocument/2006/relationships/hyperlink" Target="https://drive.google.com/file/d/174CLIH0UQX7fVd73F0oWKxxwBsj7Qpg7/view?usp=drivesdk" TargetMode="External"/><Relationship Id="rId3025" Type="http://schemas.openxmlformats.org/officeDocument/2006/relationships/hyperlink" Target="https://drive.google.com/file/d/1yMlc7nzRUoAzVA4s3qA6QQzqeybuiwkE/view?usp=drivesdk" TargetMode="External"/><Relationship Id="rId4356" Type="http://schemas.openxmlformats.org/officeDocument/2006/relationships/hyperlink" Target="https://drive.google.com/file/d/18MyQ-A1omiTbbrbi0MyISc8Q9fT9VGL2/view?usp=drivesdk" TargetMode="External"/><Relationship Id="rId5688" Type="http://schemas.openxmlformats.org/officeDocument/2006/relationships/hyperlink" Target="https://drive.google.com/file/d/1lYwP5iaLu6Kpo3XWnJkOdnE2YM67Kt4w/view?usp=drivesdk" TargetMode="External"/><Relationship Id="rId3024" Type="http://schemas.openxmlformats.org/officeDocument/2006/relationships/hyperlink" Target="https://drive.google.com/file/d/1_PWEIYZ8K62KT5FLBqP6lbslIhmkyFNz/view?usp=drivesdk" TargetMode="External"/><Relationship Id="rId4355" Type="http://schemas.openxmlformats.org/officeDocument/2006/relationships/hyperlink" Target="https://drive.google.com/file/d/13TrgBuhRDw2Jq7qA8il0TvnZMrWzM4Qe/view?usp=drivesdk" TargetMode="External"/><Relationship Id="rId5689" Type="http://schemas.openxmlformats.org/officeDocument/2006/relationships/hyperlink" Target="https://drive.google.com/file/d/1bGLax_Dx_2JJHVeo7nYKDkOuP-S7f4MD/view?usp=drivesdk" TargetMode="External"/><Relationship Id="rId3027" Type="http://schemas.openxmlformats.org/officeDocument/2006/relationships/hyperlink" Target="https://drive.google.com/file/d/1mOgp9tSCwABFEIOesmUZVPKbi6IeSR-r/view?usp=drivesdk" TargetMode="External"/><Relationship Id="rId4358" Type="http://schemas.openxmlformats.org/officeDocument/2006/relationships/hyperlink" Target="https://drive.google.com/file/d/12rHBULrwKZejptjb2mZChvpdFIfslAkM/view?usp=drivesdk" TargetMode="External"/><Relationship Id="rId5686" Type="http://schemas.openxmlformats.org/officeDocument/2006/relationships/hyperlink" Target="https://drive.google.com/file/d/1PdjRYzXatJnBbwHgHpYtDWxPbVaDdR1Q/view?usp=drivesdk" TargetMode="External"/><Relationship Id="rId3026" Type="http://schemas.openxmlformats.org/officeDocument/2006/relationships/hyperlink" Target="https://drive.google.com/file/d/1PDvu6BLz33W-T7a1i8o6fjqtYusJRVmz/view?usp=drivesdk" TargetMode="External"/><Relationship Id="rId4357" Type="http://schemas.openxmlformats.org/officeDocument/2006/relationships/hyperlink" Target="https://drive.google.com/file/d/1Izt3lyi6PfzXJH21R2627BvQa_7wjaef/view?usp=drivesdk" TargetMode="External"/><Relationship Id="rId5687" Type="http://schemas.openxmlformats.org/officeDocument/2006/relationships/hyperlink" Target="https://drive.google.com/file/d/1M7-dn1mtaoRVzXXPdxe90DVrm0ZTl6hJ/view?usp=drivesdk" TargetMode="External"/><Relationship Id="rId3050" Type="http://schemas.openxmlformats.org/officeDocument/2006/relationships/hyperlink" Target="https://drive.google.com/file/d/1tFWA9diQIAGqO7qSRKjBf9rurlKDwqC8/view?usp=drivesdk" TargetMode="External"/><Relationship Id="rId4381" Type="http://schemas.openxmlformats.org/officeDocument/2006/relationships/hyperlink" Target="https://drive.google.com/file/d/1QE_u7s3bsU2m5Dt_Gx9CQsuGQgL4iA2R/view?usp=drivesdk" TargetMode="External"/><Relationship Id="rId4380" Type="http://schemas.openxmlformats.org/officeDocument/2006/relationships/hyperlink" Target="https://drive.google.com/file/d/1VPCm8adGpb31dn9VWVeB7pI6iboB21ob/view?usp=drivesdk" TargetMode="External"/><Relationship Id="rId3052" Type="http://schemas.openxmlformats.org/officeDocument/2006/relationships/hyperlink" Target="https://drive.google.com/file/d/18LlX8ZlCES08g9Fr955sys--PXUWKUvA/view?usp=drivesdk" TargetMode="External"/><Relationship Id="rId4383" Type="http://schemas.openxmlformats.org/officeDocument/2006/relationships/hyperlink" Target="https://drive.google.com/file/d/1j4IlCdDrf3fpooQ8jBg3RLSArvMnCSsH/view?usp=drivesdk" TargetMode="External"/><Relationship Id="rId3051" Type="http://schemas.openxmlformats.org/officeDocument/2006/relationships/hyperlink" Target="https://drive.google.com/file/d/1yVttwZUSJ_h-YFzI1OEL-vgdmmYrdCGG/view?usp=drivesdk" TargetMode="External"/><Relationship Id="rId4382" Type="http://schemas.openxmlformats.org/officeDocument/2006/relationships/hyperlink" Target="https://drive.google.com/file/d/1zVitWLhIH2NmOcuitprCMoav_0Kee-vC/view?usp=drivesdk" TargetMode="External"/><Relationship Id="rId3054" Type="http://schemas.openxmlformats.org/officeDocument/2006/relationships/hyperlink" Target="https://drive.google.com/file/d/1eSnTfW2GzXriAFexWBWWtU1gwH7Qw3nQ/view?usp=drivesdk" TargetMode="External"/><Relationship Id="rId4385" Type="http://schemas.openxmlformats.org/officeDocument/2006/relationships/hyperlink" Target="https://drive.google.com/file/d/12u1YFM-SWMui9EovhK73mR342fwlxwpB/view?usp=drivesdk" TargetMode="External"/><Relationship Id="rId3053" Type="http://schemas.openxmlformats.org/officeDocument/2006/relationships/hyperlink" Target="https://drive.google.com/file/d/1GkgzImAu5pARFk_CbNzioIqzJ6qzwkoq/view?usp=drivesdk" TargetMode="External"/><Relationship Id="rId4384" Type="http://schemas.openxmlformats.org/officeDocument/2006/relationships/hyperlink" Target="https://drive.google.com/file/d/1O9ID18eLoUAj9FJDzsbdzjGS_pQxTsuv/view?usp=drivesdk" TargetMode="External"/><Relationship Id="rId3056" Type="http://schemas.openxmlformats.org/officeDocument/2006/relationships/hyperlink" Target="https://drive.google.com/file/d/1XnWrlUF5JXP4ATaYvNPjxaJH-UhqEHdI/view?usp=drivesdk" TargetMode="External"/><Relationship Id="rId4387" Type="http://schemas.openxmlformats.org/officeDocument/2006/relationships/hyperlink" Target="https://drive.google.com/file/d/15FSewD2921vfUJK1JWZVtOCUnb5MuIZl/view?usp=drivesdk" TargetMode="External"/><Relationship Id="rId3055" Type="http://schemas.openxmlformats.org/officeDocument/2006/relationships/hyperlink" Target="https://drive.google.com/file/d/1ZxGsKWPTCCvFRkLHbteZVEWSb6k76PNU/view?usp=drivesdk" TargetMode="External"/><Relationship Id="rId4386" Type="http://schemas.openxmlformats.org/officeDocument/2006/relationships/hyperlink" Target="https://drive.google.com/file/d/1jVz7PrfuleoVPDGynwxlT4d9kvS55zMe/view?usp=drivesdk" TargetMode="External"/><Relationship Id="rId3058" Type="http://schemas.openxmlformats.org/officeDocument/2006/relationships/hyperlink" Target="https://drive.google.com/file/d/1Q9E6aHsM5D9j8Y28d7aJZrcWKPeomZ_U/view?usp=drivesdk" TargetMode="External"/><Relationship Id="rId4389" Type="http://schemas.openxmlformats.org/officeDocument/2006/relationships/hyperlink" Target="https://drive.google.com/file/d/1FMYU1M4YtAS1EB0Rx_65OPSdai3wehpB/view?usp=drivesdk" TargetMode="External"/><Relationship Id="rId3057" Type="http://schemas.openxmlformats.org/officeDocument/2006/relationships/hyperlink" Target="https://drive.google.com/file/d/14N5GcDmb62t4mAGW3yaGZQhoa4ToJHEQ/view?usp=drivesdk" TargetMode="External"/><Relationship Id="rId4388" Type="http://schemas.openxmlformats.org/officeDocument/2006/relationships/hyperlink" Target="https://drive.google.com/file/d/193uWZQu2UNxVOWzW54tkT3fd4yc4h7YN/view?usp=drivesdk" TargetMode="External"/><Relationship Id="rId3059" Type="http://schemas.openxmlformats.org/officeDocument/2006/relationships/hyperlink" Target="https://drive.google.com/file/d/17mOhT2SD3dkLmU2K9P3i8vYnrGcMDNsu/view?usp=drivesdk" TargetMode="External"/><Relationship Id="rId4370" Type="http://schemas.openxmlformats.org/officeDocument/2006/relationships/hyperlink" Target="https://drive.google.com/file/d/1pBuZXOP48iaumF0nlqpcCF4uLPmwhwVY/view?usp=drivesdk" TargetMode="External"/><Relationship Id="rId3041" Type="http://schemas.openxmlformats.org/officeDocument/2006/relationships/hyperlink" Target="https://drive.google.com/file/d/1kbAjTR_70qfF3RExIEoWcUvL0NknLWtO/view?usp=drivesdk" TargetMode="External"/><Relationship Id="rId4372" Type="http://schemas.openxmlformats.org/officeDocument/2006/relationships/hyperlink" Target="https://drive.google.com/file/d/1ko26Szt_ZLemsuAKTHxH05DlLkU8KiCY/view?usp=drivesdk" TargetMode="External"/><Relationship Id="rId3040" Type="http://schemas.openxmlformats.org/officeDocument/2006/relationships/hyperlink" Target="https://drive.google.com/file/d/1nvfmn0b06xbfnzBsgOWcBpNLyplJUPs0/view?usp=drivesdk" TargetMode="External"/><Relationship Id="rId4371" Type="http://schemas.openxmlformats.org/officeDocument/2006/relationships/hyperlink" Target="https://drive.google.com/file/d/1iAOI9gjWRaNLFRpfZLPIm3deMBwAQePl/view?usp=drivesdk" TargetMode="External"/><Relationship Id="rId3043" Type="http://schemas.openxmlformats.org/officeDocument/2006/relationships/hyperlink" Target="https://drive.google.com/file/d/1lTO_lM2ZHQxWniSi8wzuDaKl5Ty0VhOp/view?usp=drivesdk" TargetMode="External"/><Relationship Id="rId4374" Type="http://schemas.openxmlformats.org/officeDocument/2006/relationships/hyperlink" Target="https://drive.google.com/file/d/153IBQkttMQPRbLNtWLJ4ridIT3cQvclt/view?usp=drivesdk" TargetMode="External"/><Relationship Id="rId3042" Type="http://schemas.openxmlformats.org/officeDocument/2006/relationships/hyperlink" Target="https://drive.google.com/file/d/1LRxWQFJqaOxHY_9FiNH1Y2k5ilHItWPz/view?usp=drivesdk" TargetMode="External"/><Relationship Id="rId4373" Type="http://schemas.openxmlformats.org/officeDocument/2006/relationships/hyperlink" Target="https://drive.google.com/file/d/104ZA2tvzGCgqH3PJ8ks_IC5grSIKqRdp/view?usp=drivesdk" TargetMode="External"/><Relationship Id="rId3045" Type="http://schemas.openxmlformats.org/officeDocument/2006/relationships/hyperlink" Target="https://drive.google.com/file/d/1T9AseAyW37MFefeEkHEOFOaOV9cceUok/view?usp=drivesdk" TargetMode="External"/><Relationship Id="rId4376" Type="http://schemas.openxmlformats.org/officeDocument/2006/relationships/hyperlink" Target="https://drive.google.com/file/d/1IA94rfRafH1McbiCoMOiSwD2VexQcQB3/view?usp=drivesdk" TargetMode="External"/><Relationship Id="rId3044" Type="http://schemas.openxmlformats.org/officeDocument/2006/relationships/hyperlink" Target="https://drive.google.com/file/d/1fCyHURRBZl_lG28UffdwD5Lova34wDpf/view?usp=drivesdk" TargetMode="External"/><Relationship Id="rId4375" Type="http://schemas.openxmlformats.org/officeDocument/2006/relationships/hyperlink" Target="https://drive.google.com/file/d/1oVQGkJGLVj_7hLjAEQuFxcZER9h9TO8I/view?usp=drivesdk" TargetMode="External"/><Relationship Id="rId3047" Type="http://schemas.openxmlformats.org/officeDocument/2006/relationships/hyperlink" Target="https://drive.google.com/file/d/1IP0yFe-Fx1yJdhTovP5OKVd6oZ3hazRj/view?usp=drivesdk" TargetMode="External"/><Relationship Id="rId4378" Type="http://schemas.openxmlformats.org/officeDocument/2006/relationships/hyperlink" Target="https://drive.google.com/file/d/19fMebUyrz5RhQ4dnkuJkxqJewKFwPvCl/view?usp=drivesdk" TargetMode="External"/><Relationship Id="rId3046" Type="http://schemas.openxmlformats.org/officeDocument/2006/relationships/hyperlink" Target="https://drive.google.com/file/d/19kBVbGQqN9tIK7qgmUbMuLKA_-d9QsR3/view?usp=drivesdk" TargetMode="External"/><Relationship Id="rId4377" Type="http://schemas.openxmlformats.org/officeDocument/2006/relationships/hyperlink" Target="https://drive.google.com/file/d/1jcmPOK5DvowCQM_WKFb6iCFo_WPDcpN0/view?usp=drivesdk" TargetMode="External"/><Relationship Id="rId3049" Type="http://schemas.openxmlformats.org/officeDocument/2006/relationships/hyperlink" Target="https://drive.google.com/file/d/1f6YFkNpqfRNyet5VStFEwtpLDjmAHuxm/view?usp=drivesdk" TargetMode="External"/><Relationship Id="rId3048" Type="http://schemas.openxmlformats.org/officeDocument/2006/relationships/hyperlink" Target="https://drive.google.com/file/d/1_xx2e6qH33S8cA_facdCTihMoeEmhUoI/view?usp=drivesdk" TargetMode="External"/><Relationship Id="rId4379" Type="http://schemas.openxmlformats.org/officeDocument/2006/relationships/hyperlink" Target="https://drive.google.com/file/d/1xIoxUPTD3qw6Bm_yntZzfl2dQ06gUftN/view?usp=drivesdk" TargetMode="External"/><Relationship Id="rId5714" Type="http://schemas.openxmlformats.org/officeDocument/2006/relationships/hyperlink" Target="https://drive.google.com/file/d/1WnbFOhypeI97XRc1oKJ0u7ZlMyvmdJPe/view?usp=drivesdk" TargetMode="External"/><Relationship Id="rId5715" Type="http://schemas.openxmlformats.org/officeDocument/2006/relationships/hyperlink" Target="https://drive.google.com/file/d/1CXxdHeYL-hBCTOFKmryUG-SuuDx_P0e6/view?usp=drivesdk" TargetMode="External"/><Relationship Id="rId5712" Type="http://schemas.openxmlformats.org/officeDocument/2006/relationships/hyperlink" Target="https://drive.google.com/file/d/1uPWsa9TuKOP-Vk0GW-J23CP4d12-m_ln/view?usp=drivesdk" TargetMode="External"/><Relationship Id="rId5713" Type="http://schemas.openxmlformats.org/officeDocument/2006/relationships/hyperlink" Target="https://drive.google.com/file/d/1MvoOe2M92q-jYgxIGj2scgMIa3DuoLSI/view?usp=drivesdk" TargetMode="External"/><Relationship Id="rId5718" Type="http://schemas.openxmlformats.org/officeDocument/2006/relationships/hyperlink" Target="https://drive.google.com/file/d/1_WV4VpIWc--yoqkQ4C7UuLm60LdKdnhQ/view?usp=drivesdk" TargetMode="External"/><Relationship Id="rId5719" Type="http://schemas.openxmlformats.org/officeDocument/2006/relationships/hyperlink" Target="https://drive.google.com/file/d/1vLcLtAS_d1-8WcsRnH8lGW2svMvAOiS8/view?usp=drivesdk" TargetMode="External"/><Relationship Id="rId5716" Type="http://schemas.openxmlformats.org/officeDocument/2006/relationships/hyperlink" Target="https://drive.google.com/file/d/1q9jjhVushKn0XoqFjUz1DVi8Ossf7z-q/view?usp=drivesdk" TargetMode="External"/><Relationship Id="rId5717" Type="http://schemas.openxmlformats.org/officeDocument/2006/relationships/hyperlink" Target="https://drive.google.com/file/d/1UYnQV0NHMcMu8X75I-Hhr-JpGP_oq-ZZ/view?usp=drivesdk" TargetMode="External"/><Relationship Id="rId5710" Type="http://schemas.openxmlformats.org/officeDocument/2006/relationships/hyperlink" Target="https://drive.google.com/file/d/18B7yrVcqAXyyU6mHd3SVixR_NeO6XWLo/view?usp=drivesdk" TargetMode="External"/><Relationship Id="rId5711" Type="http://schemas.openxmlformats.org/officeDocument/2006/relationships/hyperlink" Target="https://drive.google.com/file/d/1ULOKxluoXKqfrbGg7JWmMg2sIq04DY9y/view?usp=drivesdk" TargetMode="External"/><Relationship Id="rId5703" Type="http://schemas.openxmlformats.org/officeDocument/2006/relationships/hyperlink" Target="https://drive.google.com/file/d/1ZDU5flploTBViLc_syruBhVUclmO-UwJ/view?usp=drivesdk" TargetMode="External"/><Relationship Id="rId5704" Type="http://schemas.openxmlformats.org/officeDocument/2006/relationships/hyperlink" Target="https://drive.google.com/file/d/1tP76W-v-_wRJ9XuWeQThb9tShH0JfLjG/view?usp=drivesdk" TargetMode="External"/><Relationship Id="rId5701" Type="http://schemas.openxmlformats.org/officeDocument/2006/relationships/hyperlink" Target="https://drive.google.com/file/d/1IDqtZUsy1mzets26FXMGEFXAZiybQ6Pu/view?usp=drivesdk" TargetMode="External"/><Relationship Id="rId5702" Type="http://schemas.openxmlformats.org/officeDocument/2006/relationships/hyperlink" Target="https://drive.google.com/file/d/1LEfg9Hn35XwsZIBJlN5gmmF2Km5pusvk/view?usp=drivesdk" TargetMode="External"/><Relationship Id="rId5707" Type="http://schemas.openxmlformats.org/officeDocument/2006/relationships/hyperlink" Target="https://drive.google.com/file/d/19HGUbcAYfSfU1ksrrxjlHTy8B35JOFRm/view?usp=drivesdk" TargetMode="External"/><Relationship Id="rId5708" Type="http://schemas.openxmlformats.org/officeDocument/2006/relationships/hyperlink" Target="https://drive.google.com/file/d/1Nyqw0z_2kmxfkzBSm8KLZ74R_ykrCFhn/view?usp=drivesdk" TargetMode="External"/><Relationship Id="rId5705" Type="http://schemas.openxmlformats.org/officeDocument/2006/relationships/hyperlink" Target="https://drive.google.com/file/d/11pNSyxgUCRRE0XLSETxke4hlwSYKeYeE/view?usp=drivesdk" TargetMode="External"/><Relationship Id="rId5706" Type="http://schemas.openxmlformats.org/officeDocument/2006/relationships/hyperlink" Target="https://drive.google.com/file/d/1H62vCJ5kr__6JqxpCHjwbXCNuu5AvDhb/view?usp=drivesdk" TargetMode="External"/><Relationship Id="rId5709" Type="http://schemas.openxmlformats.org/officeDocument/2006/relationships/hyperlink" Target="https://drive.google.com/file/d/1UkXEORgsAMOpdqqZgQ30sNks7MgOd9YL/view?usp=drivesdk" TargetMode="External"/><Relationship Id="rId5700" Type="http://schemas.openxmlformats.org/officeDocument/2006/relationships/hyperlink" Target="https://drive.google.com/file/d/1aet6gvBvWeZoW6WyYVI0mGNNyPoH_ukx/view?usp=drivesdk" TargetMode="External"/><Relationship Id="rId3117" Type="http://schemas.openxmlformats.org/officeDocument/2006/relationships/hyperlink" Target="https://drive.google.com/file/d/1EthhAa1YvCMSCBs2EP9wEuKr9IJMjRtV/view?usp=drivesdk" TargetMode="External"/><Relationship Id="rId4448" Type="http://schemas.openxmlformats.org/officeDocument/2006/relationships/hyperlink" Target="https://drive.google.com/file/d/1JwgE74qLXYYwzztlgYtmXfWmZHNY--gP/view?usp=drivesdk" TargetMode="External"/><Relationship Id="rId3116" Type="http://schemas.openxmlformats.org/officeDocument/2006/relationships/hyperlink" Target="https://drive.google.com/file/d/11VP5Ntvos3Y4HUYMYOomlAmVivrlhsSt/view?usp=drivesdk" TargetMode="External"/><Relationship Id="rId4447" Type="http://schemas.openxmlformats.org/officeDocument/2006/relationships/hyperlink" Target="https://drive.google.com/file/d/1tudl5xbj6roOpygGquJjuD65e_Tgqabb/view?usp=drivesdk" TargetMode="External"/><Relationship Id="rId3119" Type="http://schemas.openxmlformats.org/officeDocument/2006/relationships/hyperlink" Target="https://drive.google.com/file/d/1cvi8ct-0pUXntXKid4RpaqbQovqr6Imb/view?usp=drivesdk" TargetMode="External"/><Relationship Id="rId5778" Type="http://schemas.openxmlformats.org/officeDocument/2006/relationships/hyperlink" Target="https://drive.google.com/file/d/1nYKdtGGZNejwGcHez0-6apSL9aBzUVDz/view?usp=drivesdk" TargetMode="External"/><Relationship Id="rId3118" Type="http://schemas.openxmlformats.org/officeDocument/2006/relationships/hyperlink" Target="https://drive.google.com/file/d/1NajQYUc--GD_ZmSkO0KIrdEMgIf_gfS3/view?usp=drivesdk" TargetMode="External"/><Relationship Id="rId4449" Type="http://schemas.openxmlformats.org/officeDocument/2006/relationships/hyperlink" Target="https://drive.google.com/file/d/1QtVTrDJ6J0sgFWFOmeKZYbS2tTxCeayt/view?usp=drivesdk" TargetMode="External"/><Relationship Id="rId5779" Type="http://schemas.openxmlformats.org/officeDocument/2006/relationships/hyperlink" Target="https://drive.google.com/file/d/17RAy0_yWcvvUk6-TxZ9PhKXsA4SyMutp/view?usp=drivesdk" TargetMode="External"/><Relationship Id="rId4440" Type="http://schemas.openxmlformats.org/officeDocument/2006/relationships/hyperlink" Target="https://drive.google.com/file/d/1HsaJXykzeJv5xBkEQegnSDsaBbu4in3_/view?usp=drivesdk" TargetMode="External"/><Relationship Id="rId5772" Type="http://schemas.openxmlformats.org/officeDocument/2006/relationships/hyperlink" Target="https://drive.google.com/file/d/1v1xAwixR5b89xc3URgA5EEqJgYQmj_9I/view?usp=drivesdk" TargetMode="External"/><Relationship Id="rId5773" Type="http://schemas.openxmlformats.org/officeDocument/2006/relationships/hyperlink" Target="https://drive.google.com/file/d/1vb7cMtP8VsjpnRkRb_npjLNIUfaNfATU/view?usp=drivesdk" TargetMode="External"/><Relationship Id="rId3111" Type="http://schemas.openxmlformats.org/officeDocument/2006/relationships/hyperlink" Target="https://drive.google.com/file/d/1VfZwvOYp4YkG-bh-qcnmD4Zpj8W-kbXP/view?usp=drivesdk" TargetMode="External"/><Relationship Id="rId4442" Type="http://schemas.openxmlformats.org/officeDocument/2006/relationships/hyperlink" Target="https://drive.google.com/file/d/19283lhdYVxpcLnCyCuY8iLNUQMvOTz8d/view?usp=drivesdk" TargetMode="External"/><Relationship Id="rId5770" Type="http://schemas.openxmlformats.org/officeDocument/2006/relationships/hyperlink" Target="https://drive.google.com/file/d/1BMBH2d75QmIh_Fp5gEBfhv2yC5u6ahn_/view?usp=drivesdk" TargetMode="External"/><Relationship Id="rId3110" Type="http://schemas.openxmlformats.org/officeDocument/2006/relationships/hyperlink" Target="https://drive.google.com/file/d/1HTVxEpo-IhXWn5EfnsnGnlDc8BHbiHfA/view?usp=drivesdk" TargetMode="External"/><Relationship Id="rId4441" Type="http://schemas.openxmlformats.org/officeDocument/2006/relationships/hyperlink" Target="https://drive.google.com/file/d/1JiVFMRwLsbyqRc3Y4wjxtr2IjCpEPYxh/view?usp=drivesdk" TargetMode="External"/><Relationship Id="rId5771" Type="http://schemas.openxmlformats.org/officeDocument/2006/relationships/hyperlink" Target="https://drive.google.com/file/d/15Wqdd_brguHujosRHrTmg3hrJxhfOU2a/view?usp=drivesdk" TargetMode="External"/><Relationship Id="rId3113" Type="http://schemas.openxmlformats.org/officeDocument/2006/relationships/hyperlink" Target="https://drive.google.com/file/d/1UtYsCxSPC0vyCmL5oVCQS7ktfr6RDtcU/view?usp=drivesdk" TargetMode="External"/><Relationship Id="rId4444" Type="http://schemas.openxmlformats.org/officeDocument/2006/relationships/hyperlink" Target="https://drive.google.com/file/d/1UNcKmqkE24ZwShx1dfxGu7arfeC3RMXq/view?usp=drivesdk" TargetMode="External"/><Relationship Id="rId5776" Type="http://schemas.openxmlformats.org/officeDocument/2006/relationships/hyperlink" Target="https://drive.google.com/file/d/11yN8ptujC1PV7eciYEBPDiJ6eYxIFMR5/view?usp=drivesdk" TargetMode="External"/><Relationship Id="rId3112" Type="http://schemas.openxmlformats.org/officeDocument/2006/relationships/hyperlink" Target="https://drive.google.com/file/d/1waxIK_DdVHcooaPaIAtQbMtXKJVORn86/view?usp=drivesdk" TargetMode="External"/><Relationship Id="rId4443" Type="http://schemas.openxmlformats.org/officeDocument/2006/relationships/hyperlink" Target="https://drive.google.com/file/d/1t6RyMEqhYQHVUusyekwmMQMcW5ohnIFy/view?usp=drivesdk" TargetMode="External"/><Relationship Id="rId5777" Type="http://schemas.openxmlformats.org/officeDocument/2006/relationships/hyperlink" Target="https://drive.google.com/file/d/1OS9gqDq0avdWvzi846JLqlLcn9rfItvx/view?usp=drivesdk" TargetMode="External"/><Relationship Id="rId3115" Type="http://schemas.openxmlformats.org/officeDocument/2006/relationships/hyperlink" Target="https://drive.google.com/file/d/1EvwHWy7NgKRCF46xVgu2i9Ne6xrnjPjR/view?usp=drivesdk" TargetMode="External"/><Relationship Id="rId4446" Type="http://schemas.openxmlformats.org/officeDocument/2006/relationships/hyperlink" Target="https://drive.google.com/file/d/1ix5JQG58v3OrodgjQFpbMf2jEoT0mPJm/view?usp=drivesdk" TargetMode="External"/><Relationship Id="rId5774" Type="http://schemas.openxmlformats.org/officeDocument/2006/relationships/hyperlink" Target="https://drive.google.com/file/d/1UPGUg3X2_7j8wRG_8FVnbIfQw1_fBZ4g/view?usp=drivesdk" TargetMode="External"/><Relationship Id="rId3114" Type="http://schemas.openxmlformats.org/officeDocument/2006/relationships/hyperlink" Target="https://drive.google.com/file/d/1asiY5tpffKMyvhkthY6O5swST707VpnK/view?usp=drivesdk" TargetMode="External"/><Relationship Id="rId4445" Type="http://schemas.openxmlformats.org/officeDocument/2006/relationships/hyperlink" Target="https://drive.google.com/file/d/1kyjNB7Oln39uuN0uPBytat7chn6m-u7r/view?usp=drivesdk" TargetMode="External"/><Relationship Id="rId5775" Type="http://schemas.openxmlformats.org/officeDocument/2006/relationships/hyperlink" Target="https://drive.google.com/file/d/1leMgRN53OITZE3zkQ7pKdbqXE3UvfrlK/view?usp=drivesdk" TargetMode="External"/><Relationship Id="rId3106" Type="http://schemas.openxmlformats.org/officeDocument/2006/relationships/hyperlink" Target="https://drive.google.com/file/d/1o3DNDY0tkc6QOW73U7XMYYg-pUUioYue/view?usp=drivesdk" TargetMode="External"/><Relationship Id="rId4437" Type="http://schemas.openxmlformats.org/officeDocument/2006/relationships/hyperlink" Target="https://drive.google.com/file/d/1tlerCFsMCttatFxCOBeX5HMxasdMuBsK/view?usp=drivesdk" TargetMode="External"/><Relationship Id="rId5769" Type="http://schemas.openxmlformats.org/officeDocument/2006/relationships/hyperlink" Target="https://drive.google.com/file/d/1KMnkVE-fj5HjniuPR0oKc7raM4HudY7S/view?usp=drivesdk" TargetMode="External"/><Relationship Id="rId3105" Type="http://schemas.openxmlformats.org/officeDocument/2006/relationships/hyperlink" Target="https://drive.google.com/file/d/1L5ggsx3Fr5ZmngJJvhIQuaRSgA4fWXyW/view?usp=drivesdk" TargetMode="External"/><Relationship Id="rId4436" Type="http://schemas.openxmlformats.org/officeDocument/2006/relationships/hyperlink" Target="https://drive.google.com/file/d/1v51GuBvnsfUQDzyQHE1sIfT-CK_JXs0H/view?usp=drivesdk" TargetMode="External"/><Relationship Id="rId3108" Type="http://schemas.openxmlformats.org/officeDocument/2006/relationships/hyperlink" Target="https://drive.google.com/file/d/1HGV0xW6jge5XKN1BzvOHUzb4SCEV-1yj/view?usp=drivesdk" TargetMode="External"/><Relationship Id="rId4439" Type="http://schemas.openxmlformats.org/officeDocument/2006/relationships/hyperlink" Target="https://drive.google.com/file/d/18FhTRVZ_82G0SfyaeBCqVYMBsD4zNaM3/view?usp=drivesdk" TargetMode="External"/><Relationship Id="rId5767" Type="http://schemas.openxmlformats.org/officeDocument/2006/relationships/hyperlink" Target="https://drive.google.com/file/d/1bBWSLDuxkKG56XTWK7nsTwcidRC6oDr-/view?usp=drivesdk" TargetMode="External"/><Relationship Id="rId3107" Type="http://schemas.openxmlformats.org/officeDocument/2006/relationships/hyperlink" Target="https://drive.google.com/file/d/1GfAoOOCrz5tCpugI5T3UDODoLD9TKAnA/view?usp=drivesdk" TargetMode="External"/><Relationship Id="rId4438" Type="http://schemas.openxmlformats.org/officeDocument/2006/relationships/hyperlink" Target="https://drive.google.com/file/d/1_U5nWr5FESEGve6LIdNFQlURmvF8UMD5/view?usp=drivesdk" TargetMode="External"/><Relationship Id="rId5768" Type="http://schemas.openxmlformats.org/officeDocument/2006/relationships/hyperlink" Target="https://drive.google.com/file/d/1szxN3bG4ZzPF93X-0ws1ECNY6RwAxHYe/view?usp=drivesdk" TargetMode="External"/><Relationship Id="rId3109" Type="http://schemas.openxmlformats.org/officeDocument/2006/relationships/hyperlink" Target="https://drive.google.com/file/d/1Lnd8xCuIvoaxL_7Xa68dQvhnEwxzrofW/view?usp=drivesdk" TargetMode="External"/><Relationship Id="rId5761" Type="http://schemas.openxmlformats.org/officeDocument/2006/relationships/hyperlink" Target="https://drive.google.com/file/d/1djY8_GmwBEoJ-Lz-L8cUO9vw_ByaOOT9/view?usp=drivesdk" TargetMode="External"/><Relationship Id="rId5762" Type="http://schemas.openxmlformats.org/officeDocument/2006/relationships/hyperlink" Target="https://drive.google.com/file/d/1RDnPlz3-qL4tDiELPB7G-C1JFGlyPyry/view?usp=drivesdk" TargetMode="External"/><Relationship Id="rId3100" Type="http://schemas.openxmlformats.org/officeDocument/2006/relationships/hyperlink" Target="https://drive.google.com/file/d/1HEtkafB8KrZVZlaCNreekOCEeSmrrLDb/view?usp=drivesdk" TargetMode="External"/><Relationship Id="rId4431" Type="http://schemas.openxmlformats.org/officeDocument/2006/relationships/hyperlink" Target="https://drive.google.com/file/d/1RY5PZVQlNWONY3u1ulEVOsIvzRe45G6T/view?usp=drivesdk" TargetMode="External"/><Relationship Id="rId4430" Type="http://schemas.openxmlformats.org/officeDocument/2006/relationships/hyperlink" Target="https://drive.google.com/file/d/18e402bJbc8rlrJT6kNnsRm3GSqwKjCrK/view?usp=drivesdk" TargetMode="External"/><Relationship Id="rId5760" Type="http://schemas.openxmlformats.org/officeDocument/2006/relationships/hyperlink" Target="https://drive.google.com/file/d/1dlYbQRhYU7N_7dBSJI5i8FbaqM-nzAso/view?usp=drivesdk" TargetMode="External"/><Relationship Id="rId3102" Type="http://schemas.openxmlformats.org/officeDocument/2006/relationships/hyperlink" Target="https://drive.google.com/file/d/1fasZCkZaiiKMWoo6zHxAgaRz0hmpAkAS/view?usp=drivesdk" TargetMode="External"/><Relationship Id="rId4433" Type="http://schemas.openxmlformats.org/officeDocument/2006/relationships/hyperlink" Target="https://drive.google.com/file/d/10fIuh5F12ZSd6K6yHo-uyw_FcBe9ztnB/view?usp=drivesdk" TargetMode="External"/><Relationship Id="rId5765" Type="http://schemas.openxmlformats.org/officeDocument/2006/relationships/hyperlink" Target="https://drive.google.com/file/d/1nuZzVJ2shalsYWmJlI66laD7QAQOrjfz/view?usp=drivesdk" TargetMode="External"/><Relationship Id="rId3101" Type="http://schemas.openxmlformats.org/officeDocument/2006/relationships/hyperlink" Target="https://drive.google.com/file/d/1MUT53c4rGX2aY6QmOwFw_DgGEqzYj7w5/view?usp=drivesdk" TargetMode="External"/><Relationship Id="rId4432" Type="http://schemas.openxmlformats.org/officeDocument/2006/relationships/hyperlink" Target="https://drive.google.com/file/d/1skIiKZJyckVxN5Qt72gyNY9rbw3b8GJj/view?usp=drivesdk" TargetMode="External"/><Relationship Id="rId5766" Type="http://schemas.openxmlformats.org/officeDocument/2006/relationships/hyperlink" Target="https://drive.google.com/file/d/1EA3rM5PUtliN83NUyc3kaht7q6wOneGK/view?usp=drivesdk" TargetMode="External"/><Relationship Id="rId3104" Type="http://schemas.openxmlformats.org/officeDocument/2006/relationships/hyperlink" Target="https://drive.google.com/file/d/1lrB-RdX9Wn1JbRw6nj_f1q0uJNnblXog/view?usp=drivesdk" TargetMode="External"/><Relationship Id="rId4435" Type="http://schemas.openxmlformats.org/officeDocument/2006/relationships/hyperlink" Target="https://drive.google.com/file/d/1jEpiNzh6uh401JmCoPptLI7CqX83RStl/view?usp=drivesdk" TargetMode="External"/><Relationship Id="rId5763" Type="http://schemas.openxmlformats.org/officeDocument/2006/relationships/hyperlink" Target="https://drive.google.com/file/d/1-i3xMlkg5ggpYAcpJCgw2PKFM1UTfWdD/view?usp=drivesdk" TargetMode="External"/><Relationship Id="rId3103" Type="http://schemas.openxmlformats.org/officeDocument/2006/relationships/hyperlink" Target="https://drive.google.com/file/d/1OjdY3AFCGvuIOwO5duivREEU1cgBbT7u/view?usp=drivesdk" TargetMode="External"/><Relationship Id="rId4434" Type="http://schemas.openxmlformats.org/officeDocument/2006/relationships/hyperlink" Target="https://drive.google.com/file/d/1tCmvhIQtKJTYhIjxSJSDA4ldjpxrsbGb/view?usp=drivesdk" TargetMode="External"/><Relationship Id="rId5764" Type="http://schemas.openxmlformats.org/officeDocument/2006/relationships/hyperlink" Target="https://drive.google.com/file/d/1X9iYG5mdeNEaMR7owMc16AXHQ4iJhO6b/view?usp=drivesdk" TargetMode="External"/><Relationship Id="rId3139" Type="http://schemas.openxmlformats.org/officeDocument/2006/relationships/hyperlink" Target="https://drive.google.com/file/d/11t-CM4WJXdM1C9f19uC991_0eZeXbCys/view?usp=drivesdk" TargetMode="External"/><Relationship Id="rId3138" Type="http://schemas.openxmlformats.org/officeDocument/2006/relationships/hyperlink" Target="https://drive.google.com/file/d/1liUTSxemcqdKnTASVY05ssi_I1nV3oOC/view?usp=drivesdk" TargetMode="External"/><Relationship Id="rId4469" Type="http://schemas.openxmlformats.org/officeDocument/2006/relationships/hyperlink" Target="https://drive.google.com/file/d/1GGOw-lT0MXJsKVrchGZzwoe5x3AHrWOo/view?usp=drivesdk" TargetMode="External"/><Relationship Id="rId5790" Type="http://schemas.openxmlformats.org/officeDocument/2006/relationships/hyperlink" Target="https://drive.google.com/file/d/1rooLYRTfcXwzWeS8oDHOOAJruxtouiCs/view?usp=drivesdk" TargetMode="External"/><Relationship Id="rId5791" Type="http://schemas.openxmlformats.org/officeDocument/2006/relationships/hyperlink" Target="https://drive.google.com/file/d/1dw3RkP3r7rV3pGWsucg5spY8oXg_Tw9X/view?usp=drivesdk" TargetMode="External"/><Relationship Id="rId4460" Type="http://schemas.openxmlformats.org/officeDocument/2006/relationships/hyperlink" Target="https://drive.google.com/file/d/1rKPTqGtas9lXSfh4aDK2s9wJh17z9bIp/view?usp=drivesdk" TargetMode="External"/><Relationship Id="rId3131" Type="http://schemas.openxmlformats.org/officeDocument/2006/relationships/hyperlink" Target="https://drive.google.com/file/d/1pekYl7XXV6_ooYEVRXZ8HMh2Kla6G0il/view?usp=drivesdk" TargetMode="External"/><Relationship Id="rId4462" Type="http://schemas.openxmlformats.org/officeDocument/2006/relationships/hyperlink" Target="https://drive.google.com/file/d/1WwDaiP5aQwapShJkNo5kjpCSFWzO7N_H/view?usp=drivesdk" TargetMode="External"/><Relationship Id="rId5794" Type="http://schemas.openxmlformats.org/officeDocument/2006/relationships/hyperlink" Target="https://drive.google.com/file/d/1sA7SxA4rkJCwax1dg9ptVLs4mihmdTlE/view?usp=drivesdk" TargetMode="External"/><Relationship Id="rId3130" Type="http://schemas.openxmlformats.org/officeDocument/2006/relationships/hyperlink" Target="https://drive.google.com/file/d/1ZEwDikLwE30uJvDCg-pE5P6mJnL31Ys6/view?usp=drivesdk" TargetMode="External"/><Relationship Id="rId4461" Type="http://schemas.openxmlformats.org/officeDocument/2006/relationships/hyperlink" Target="https://drive.google.com/file/d/1-571PE494kt0APnRt0yMVlgb4r41aXc0/view?usp=drivesdk" TargetMode="External"/><Relationship Id="rId5795" Type="http://schemas.openxmlformats.org/officeDocument/2006/relationships/hyperlink" Target="https://drive.google.com/file/d/17ud5Gi4bQB0By9v7AtcXSik8MJ_vN2tr/view?usp=drivesdk" TargetMode="External"/><Relationship Id="rId3133" Type="http://schemas.openxmlformats.org/officeDocument/2006/relationships/hyperlink" Target="https://drive.google.com/file/d/1SBhxohAX-x2gG3X2edvlBEOiPe0T2pDe/view?usp=drivesdk" TargetMode="External"/><Relationship Id="rId4464" Type="http://schemas.openxmlformats.org/officeDocument/2006/relationships/hyperlink" Target="https://drive.google.com/file/d/1bIULOw6Go2_8DKnAA0kK-S11Q1BgnAXa/view?usp=drivesdk" TargetMode="External"/><Relationship Id="rId5792" Type="http://schemas.openxmlformats.org/officeDocument/2006/relationships/hyperlink" Target="https://drive.google.com/file/d/1VEU8C7tTVh871wijX0diwx7LBg2MU6yF/view?usp=drivesdk" TargetMode="External"/><Relationship Id="rId3132" Type="http://schemas.openxmlformats.org/officeDocument/2006/relationships/hyperlink" Target="https://drive.google.com/file/d/1lUwwxIMCv5su4EqUKSHJEgGuNh7s-A87/view?usp=drivesdk" TargetMode="External"/><Relationship Id="rId4463" Type="http://schemas.openxmlformats.org/officeDocument/2006/relationships/hyperlink" Target="https://drive.google.com/file/d/1BHmCobvodvxreeiVE_9-yHjis-nnPEMW/view?usp=drivesdk" TargetMode="External"/><Relationship Id="rId5793" Type="http://schemas.openxmlformats.org/officeDocument/2006/relationships/hyperlink" Target="https://drive.google.com/file/d/1bB7WvjcunhC7aQcOhoBvSu7wdrTsH3rH/view?usp=drivesdk" TargetMode="External"/><Relationship Id="rId3135" Type="http://schemas.openxmlformats.org/officeDocument/2006/relationships/hyperlink" Target="https://drive.google.com/file/d/1lGPP_sHDLFwuVgHTtcEOKgWknuAEcx_q/view?usp=drivesdk" TargetMode="External"/><Relationship Id="rId4466" Type="http://schemas.openxmlformats.org/officeDocument/2006/relationships/hyperlink" Target="https://drive.google.com/file/d/1GCVMVQqqv6Dn5q4eZN9Isp6PyqarLUum/view?usp=drivesdk" TargetMode="External"/><Relationship Id="rId5798" Type="http://schemas.openxmlformats.org/officeDocument/2006/relationships/hyperlink" Target="https://drive.google.com/file/d/1tyyKUPShXiXSIEEqia-rwSrUO-muBcT-/view?usp=drivesdk" TargetMode="External"/><Relationship Id="rId3134" Type="http://schemas.openxmlformats.org/officeDocument/2006/relationships/hyperlink" Target="https://drive.google.com/file/d/138rfgRiZbKgVr7VAhCvJVsXXodbCi5wQ/view?usp=drivesdk" TargetMode="External"/><Relationship Id="rId4465" Type="http://schemas.openxmlformats.org/officeDocument/2006/relationships/hyperlink" Target="https://drive.google.com/file/d/1S5baImv3OXHWN533VpF0p9oeEaFxWWEf/view?usp=drivesdk" TargetMode="External"/><Relationship Id="rId5799" Type="http://schemas.openxmlformats.org/officeDocument/2006/relationships/hyperlink" Target="https://drive.google.com/file/d/1lZWX9F01sq3zM5iL6Nr_yyLdEOVb2VG6/view?usp=drivesdk" TargetMode="External"/><Relationship Id="rId3137" Type="http://schemas.openxmlformats.org/officeDocument/2006/relationships/hyperlink" Target="https://drive.google.com/file/d/1-6LFfkk0Neiqz3DqDO17tAzLQWppDJWX/view?usp=drivesdk" TargetMode="External"/><Relationship Id="rId4468" Type="http://schemas.openxmlformats.org/officeDocument/2006/relationships/hyperlink" Target="https://drive.google.com/file/d/1r_KNp16yDmnyV8XcEC_XCeyf8pLxv0ii/view?usp=drivesdk" TargetMode="External"/><Relationship Id="rId5796" Type="http://schemas.openxmlformats.org/officeDocument/2006/relationships/hyperlink" Target="https://drive.google.com/file/d/1Cyztw5abSp8C_QZvP_iEnOAHj0lopo_o/view?usp=drivesdk" TargetMode="External"/><Relationship Id="rId3136" Type="http://schemas.openxmlformats.org/officeDocument/2006/relationships/hyperlink" Target="https://drive.google.com/file/d/1YsMwOHM1XuitgmjqCuQ3xJr8Xgy6gxN5/view?usp=drivesdk" TargetMode="External"/><Relationship Id="rId4467" Type="http://schemas.openxmlformats.org/officeDocument/2006/relationships/hyperlink" Target="https://drive.google.com/file/d/1DhZkO31UwXGr2PmbqvF-__cTOUO6YbbB/view?usp=drivesdk" TargetMode="External"/><Relationship Id="rId5797" Type="http://schemas.openxmlformats.org/officeDocument/2006/relationships/hyperlink" Target="https://drive.google.com/file/d/1uLqaZbg1cmlH75queIlji8GKQ3qxChVf/view?usp=drivesdk" TargetMode="External"/><Relationship Id="rId3128" Type="http://schemas.openxmlformats.org/officeDocument/2006/relationships/hyperlink" Target="https://drive.google.com/file/d/1qfSGmpyfRXfgj4i9hnh7K9FpEegnmooJ/view?usp=drivesdk" TargetMode="External"/><Relationship Id="rId4459" Type="http://schemas.openxmlformats.org/officeDocument/2006/relationships/hyperlink" Target="https://drive.google.com/file/d/1WWCMFUCdBy0KC9fytgZ0AHtflOCMFys8/view?usp=drivesdk" TargetMode="External"/><Relationship Id="rId3127" Type="http://schemas.openxmlformats.org/officeDocument/2006/relationships/hyperlink" Target="https://drive.google.com/file/d/19PzY3RapYBpy1E4jZnF35qGqZ2Ov1SLe/view?usp=drivesdk" TargetMode="External"/><Relationship Id="rId4458" Type="http://schemas.openxmlformats.org/officeDocument/2006/relationships/hyperlink" Target="https://drive.google.com/file/d/1D8RCwOxLJj-qN9RHsUax53mP6FOPuvSs/view?usp=drivesdk" TargetMode="External"/><Relationship Id="rId5789" Type="http://schemas.openxmlformats.org/officeDocument/2006/relationships/hyperlink" Target="https://drive.google.com/file/d/16RjKxqUW_FweDP2fl36crPqnFySrKLHb/view?usp=drivesdk" TargetMode="External"/><Relationship Id="rId3129" Type="http://schemas.openxmlformats.org/officeDocument/2006/relationships/hyperlink" Target="https://drive.google.com/file/d/1aFjOODEfRXk_N204OAuXEsJ2MQNfNPY-/view?usp=drivesdk" TargetMode="External"/><Relationship Id="rId5780" Type="http://schemas.openxmlformats.org/officeDocument/2006/relationships/hyperlink" Target="https://drive.google.com/file/d/1W50Poxv-BnfvMkE8X0-4UJk2bPVhCuhR/view?usp=drivesdk" TargetMode="External"/><Relationship Id="rId3120" Type="http://schemas.openxmlformats.org/officeDocument/2006/relationships/hyperlink" Target="https://drive.google.com/file/d/1_BElP4TLb87BxDIXxgmAp0_yIuxPVAtk/view?usp=drivesdk" TargetMode="External"/><Relationship Id="rId4451" Type="http://schemas.openxmlformats.org/officeDocument/2006/relationships/hyperlink" Target="https://drive.google.com/file/d/1-Zy2MSG2WTQZwKBJg6ykZXdmOoy7jw4L/view?usp=drivesdk" TargetMode="External"/><Relationship Id="rId5783" Type="http://schemas.openxmlformats.org/officeDocument/2006/relationships/hyperlink" Target="https://drive.google.com/file/d/1fTKXbjIvGv9y62d3rowcOZrDN_q59t-3/view?usp=drivesdk" TargetMode="External"/><Relationship Id="rId4450" Type="http://schemas.openxmlformats.org/officeDocument/2006/relationships/hyperlink" Target="https://drive.google.com/file/d/1XlPkgMlq_LjqZDAJIq484exxsm6g-9Nh/view?usp=drivesdk" TargetMode="External"/><Relationship Id="rId5784" Type="http://schemas.openxmlformats.org/officeDocument/2006/relationships/hyperlink" Target="https://drive.google.com/file/d/1K9GgWY7SaELOLc2bEHxjSGWeIa3Z9sMR/view?usp=drivesdk" TargetMode="External"/><Relationship Id="rId3122" Type="http://schemas.openxmlformats.org/officeDocument/2006/relationships/hyperlink" Target="https://drive.google.com/file/d/1ZFxN0Tu3_iJksBxt07u38OAK5DnuuUOQ/view?usp=drivesdk" TargetMode="External"/><Relationship Id="rId4453" Type="http://schemas.openxmlformats.org/officeDocument/2006/relationships/hyperlink" Target="https://drive.google.com/file/d/1RbBv45N8alFJk98dAW-VA0l8rh0tAVh1/view?usp=drivesdk" TargetMode="External"/><Relationship Id="rId5781" Type="http://schemas.openxmlformats.org/officeDocument/2006/relationships/hyperlink" Target="https://drive.google.com/file/d/13dXFz3fz0U7LhOWKUM-B0pmdf7b9BIa8/view?usp=drivesdk" TargetMode="External"/><Relationship Id="rId3121" Type="http://schemas.openxmlformats.org/officeDocument/2006/relationships/hyperlink" Target="https://drive.google.com/file/d/1F28PSYdM4eXKNXlkNNu-q--TI343kBy3/view?usp=drivesdk" TargetMode="External"/><Relationship Id="rId4452" Type="http://schemas.openxmlformats.org/officeDocument/2006/relationships/hyperlink" Target="https://drive.google.com/file/d/19EopycyguBQhHWS30n66cISvQQrZfAX0/view?usp=drivesdk" TargetMode="External"/><Relationship Id="rId5782" Type="http://schemas.openxmlformats.org/officeDocument/2006/relationships/hyperlink" Target="https://drive.google.com/file/d/1ESsOFazVbglUEhn17Dp-BzxN9j8WyiUs/view?usp=drivesdk" TargetMode="External"/><Relationship Id="rId3124" Type="http://schemas.openxmlformats.org/officeDocument/2006/relationships/hyperlink" Target="https://drive.google.com/file/d/1EgGxw12WsaGnimksdiqRseMtN21XBtAM/view?usp=drivesdk" TargetMode="External"/><Relationship Id="rId4455" Type="http://schemas.openxmlformats.org/officeDocument/2006/relationships/hyperlink" Target="https://drive.google.com/file/d/1D6FbjTwqOrGt8tQZbDUJTa5VYvlLnvX7/view?usp=drivesdk" TargetMode="External"/><Relationship Id="rId5787" Type="http://schemas.openxmlformats.org/officeDocument/2006/relationships/hyperlink" Target="https://drive.google.com/file/d/1RZXxFulMF9zTXT0-Pap8PHSxf3eat_-t/view?usp=drivesdk" TargetMode="External"/><Relationship Id="rId3123" Type="http://schemas.openxmlformats.org/officeDocument/2006/relationships/hyperlink" Target="https://drive.google.com/file/d/18pY0WVLSPg9E0_cuYisfUAAvQxnIDctx/view?usp=drivesdk" TargetMode="External"/><Relationship Id="rId4454" Type="http://schemas.openxmlformats.org/officeDocument/2006/relationships/hyperlink" Target="https://drive.google.com/file/d/1Ws87AFiixwFuO79Q9mjz1s7MhgwzM3da/view?usp=drivesdk" TargetMode="External"/><Relationship Id="rId5788" Type="http://schemas.openxmlformats.org/officeDocument/2006/relationships/hyperlink" Target="https://drive.google.com/file/d/1Iem7mV06RzJyIJClb_lTXtrEYvsNx3q9/view?usp=drivesdk" TargetMode="External"/><Relationship Id="rId3126" Type="http://schemas.openxmlformats.org/officeDocument/2006/relationships/hyperlink" Target="https://drive.google.com/file/d/1715uV1cQP3YJB8RO-D5mzudlthidQNY2/view?usp=drivesdk" TargetMode="External"/><Relationship Id="rId4457" Type="http://schemas.openxmlformats.org/officeDocument/2006/relationships/hyperlink" Target="https://drive.google.com/file/d/1oAUTK1bIyLs7-__TU7Do68ZeIURHsjcG/view?usp=drivesdk" TargetMode="External"/><Relationship Id="rId5785" Type="http://schemas.openxmlformats.org/officeDocument/2006/relationships/hyperlink" Target="https://drive.google.com/file/d/1ld1TMJXufcEkU0HEYsJtHpTb2mAfihlV/view?usp=drivesdk" TargetMode="External"/><Relationship Id="rId3125" Type="http://schemas.openxmlformats.org/officeDocument/2006/relationships/hyperlink" Target="https://drive.google.com/file/d/1ceKX8uJBFK5XxN_sBZFqnYrf4QW-zfMC/view?usp=drivesdk" TargetMode="External"/><Relationship Id="rId4456" Type="http://schemas.openxmlformats.org/officeDocument/2006/relationships/hyperlink" Target="https://drive.google.com/file/d/1Yy0SU7PxPsC_TbTEQn0E5yzaiOrFepyB/view?usp=drivesdk" TargetMode="External"/><Relationship Id="rId5786" Type="http://schemas.openxmlformats.org/officeDocument/2006/relationships/hyperlink" Target="https://drive.google.com/file/d/1MLfjG1Ym8Aq7IuUqfSbXTEvb7Ufd8FJf/view?usp=drivesdk" TargetMode="External"/><Relationship Id="rId4404" Type="http://schemas.openxmlformats.org/officeDocument/2006/relationships/hyperlink" Target="https://drive.google.com/file/d/1IH-eOVPbgFK8hhRBb9LjOS2Hwuli3toP/view?usp=drivesdk" TargetMode="External"/><Relationship Id="rId5736" Type="http://schemas.openxmlformats.org/officeDocument/2006/relationships/hyperlink" Target="https://drive.google.com/file/d/1qmXZx-IyIEv4R-yR_wpKirdjHLbZKGY7/view?usp=drivesdk" TargetMode="External"/><Relationship Id="rId4403" Type="http://schemas.openxmlformats.org/officeDocument/2006/relationships/hyperlink" Target="https://drive.google.com/file/d/1jvrZjcdcZ7dJfs4-aJpCeP7bKyVuzEU6/view?usp=drivesdk" TargetMode="External"/><Relationship Id="rId5737" Type="http://schemas.openxmlformats.org/officeDocument/2006/relationships/hyperlink" Target="https://drive.google.com/file/d/1-n07lVCfJpgtkHxLwOt4VqtM_bDhdvNr/view?usp=drivesdk" TargetMode="External"/><Relationship Id="rId4406" Type="http://schemas.openxmlformats.org/officeDocument/2006/relationships/hyperlink" Target="https://drive.google.com/file/d/1Hs_LRD6Kp4EAhp1I0dySXgMg32whhnfD/view?usp=drivesdk" TargetMode="External"/><Relationship Id="rId5734" Type="http://schemas.openxmlformats.org/officeDocument/2006/relationships/hyperlink" Target="https://drive.google.com/file/d/1xvQq7Rcpb3anhQQ-YKWzD37zjWMSz8m5/view?usp=drivesdk" TargetMode="External"/><Relationship Id="rId4405" Type="http://schemas.openxmlformats.org/officeDocument/2006/relationships/hyperlink" Target="https://drive.google.com/file/d/1wBvR33z6p_gIjYhpb6QeY36YgsLTP5Wk/view?usp=drivesdk" TargetMode="External"/><Relationship Id="rId5735" Type="http://schemas.openxmlformats.org/officeDocument/2006/relationships/hyperlink" Target="https://drive.google.com/file/d/1Mf7_nK3DnlomxEgyuWe1yJ3HB47kej7n/view?usp=drivesdk" TargetMode="External"/><Relationship Id="rId4408" Type="http://schemas.openxmlformats.org/officeDocument/2006/relationships/hyperlink" Target="https://drive.google.com/file/d/1pRIkCOFwRc5qrlP2YNwUZk2Ea-H2vCtl/view?usp=drivesdk" TargetMode="External"/><Relationship Id="rId4407" Type="http://schemas.openxmlformats.org/officeDocument/2006/relationships/hyperlink" Target="https://drive.google.com/file/d/1cRsS1avYaLRkRomyEpfFZhAexneEXbdI/view?usp=drivesdk" TargetMode="External"/><Relationship Id="rId5738" Type="http://schemas.openxmlformats.org/officeDocument/2006/relationships/hyperlink" Target="https://drive.google.com/file/d/1qBewLcDHAZFNRAr8pHr8O82KujM-30vw/view?usp=drivesdk" TargetMode="External"/><Relationship Id="rId4409" Type="http://schemas.openxmlformats.org/officeDocument/2006/relationships/hyperlink" Target="https://drive.google.com/file/d/1vfas7OCD5e1j9PsnDHfhjT4ve7sBHnPc/view?usp=drivesdk" TargetMode="External"/><Relationship Id="rId5739" Type="http://schemas.openxmlformats.org/officeDocument/2006/relationships/hyperlink" Target="https://drive.google.com/file/d/10SLMprfN9laxU_Q6dBcfnC1H_Cl98R5C/view?usp=drivesdk" TargetMode="External"/><Relationship Id="rId4400" Type="http://schemas.openxmlformats.org/officeDocument/2006/relationships/hyperlink" Target="https://drive.google.com/file/d/11D7sWotQwQzGpzWJOho6N_cz1vJ33AnM/view?usp=drivesdk" TargetMode="External"/><Relationship Id="rId5732" Type="http://schemas.openxmlformats.org/officeDocument/2006/relationships/hyperlink" Target="https://drive.google.com/file/d/1uOSsPQZdERN1Pfq1S52qQTefEPG3aRxS/view?usp=drivesdk" TargetMode="External"/><Relationship Id="rId5733" Type="http://schemas.openxmlformats.org/officeDocument/2006/relationships/hyperlink" Target="https://drive.google.com/file/d/1EHStJRjIgMzs3ocbvClBQ6IKdAXZMdle/view?usp=drivesdk" TargetMode="External"/><Relationship Id="rId4402" Type="http://schemas.openxmlformats.org/officeDocument/2006/relationships/hyperlink" Target="https://drive.google.com/file/d/1iLyx0-SaZcb8Hg8tt4N9ftQfSVWw9_9k/view?usp=drivesdk" TargetMode="External"/><Relationship Id="rId5730" Type="http://schemas.openxmlformats.org/officeDocument/2006/relationships/hyperlink" Target="https://drive.google.com/file/d/1hJQwQxmHLYXZox8JjP9GgD9LUr607Yf-/view?usp=drivesdk" TargetMode="External"/><Relationship Id="rId4401" Type="http://schemas.openxmlformats.org/officeDocument/2006/relationships/hyperlink" Target="https://drive.google.com/file/d/1dT1a-90rGvQSDY2HKyeawafmCQjp8_TP/view?usp=drivesdk" TargetMode="External"/><Relationship Id="rId5731" Type="http://schemas.openxmlformats.org/officeDocument/2006/relationships/hyperlink" Target="https://drive.google.com/file/d/1BJVgoLXkAsAK1KHixMFsPIczBr3Y_IzO/view?usp=drivesdk" TargetMode="External"/><Relationship Id="rId5725" Type="http://schemas.openxmlformats.org/officeDocument/2006/relationships/hyperlink" Target="https://drive.google.com/file/d/1pY9QQ-Ih9Of12Lq2w47xfXF28MTG_8oz/view?usp=drivesdk" TargetMode="External"/><Relationship Id="rId5726" Type="http://schemas.openxmlformats.org/officeDocument/2006/relationships/hyperlink" Target="https://drive.google.com/file/d/1EqV9ZsCCfimGeRVsEG1pBmPRRFFfgkGE/view?usp=drivesdk" TargetMode="External"/><Relationship Id="rId5723" Type="http://schemas.openxmlformats.org/officeDocument/2006/relationships/hyperlink" Target="https://drive.google.com/file/d/1SHpV6Dkk6XuEmJsEWzLFe0krjOC5QvLP/view?usp=drivesdk" TargetMode="External"/><Relationship Id="rId5724" Type="http://schemas.openxmlformats.org/officeDocument/2006/relationships/hyperlink" Target="https://drive.google.com/file/d/1GT6BQ8ZQXLnKVpnddBTxCi3nm5xJEwig/view?usp=drivesdk" TargetMode="External"/><Relationship Id="rId5729" Type="http://schemas.openxmlformats.org/officeDocument/2006/relationships/hyperlink" Target="https://drive.google.com/file/d/1gxYk3tiT3z-gka7sQ808MCIoh-PZPXzx/view?usp=drivesdk" TargetMode="External"/><Relationship Id="rId5727" Type="http://schemas.openxmlformats.org/officeDocument/2006/relationships/hyperlink" Target="https://drive.google.com/file/d/1wBIOnJUF87RKynPW2Jb-L1cWNBxEvZea/view?usp=drivesdk" TargetMode="External"/><Relationship Id="rId5728" Type="http://schemas.openxmlformats.org/officeDocument/2006/relationships/hyperlink" Target="https://drive.google.com/file/d/1JRf0v4OTgep1q7TBrCSj4SXJa5otx0gV/view?usp=drivesdk" TargetMode="External"/><Relationship Id="rId5721" Type="http://schemas.openxmlformats.org/officeDocument/2006/relationships/hyperlink" Target="https://drive.google.com/file/d/1VCJPoVqc8uPqKxmGXv3G3JDgbEuonHfo/view?usp=drivesdk" TargetMode="External"/><Relationship Id="rId5722" Type="http://schemas.openxmlformats.org/officeDocument/2006/relationships/hyperlink" Target="https://drive.google.com/file/d/1pC0y5puK_2YOxSbcXDbu8M4oHwdgfM2y/view?usp=drivesdk" TargetMode="External"/><Relationship Id="rId5720" Type="http://schemas.openxmlformats.org/officeDocument/2006/relationships/hyperlink" Target="https://drive.google.com/file/d/12Xaf9-Y-t2lOiAxOVXSoF-PdBN6nOH30/view?usp=drivesdk" TargetMode="External"/><Relationship Id="rId4426" Type="http://schemas.openxmlformats.org/officeDocument/2006/relationships/hyperlink" Target="https://drive.google.com/file/d/1dTDviFumhKTJ81nIc_vuW2c8a2_dOQkz/view?usp=drivesdk" TargetMode="External"/><Relationship Id="rId5758" Type="http://schemas.openxmlformats.org/officeDocument/2006/relationships/hyperlink" Target="https://drive.google.com/file/d/1aUiDXyVM4cgiaYXCJ1SFhky97k4EPQO3/view?usp=drivesdk" TargetMode="External"/><Relationship Id="rId4425" Type="http://schemas.openxmlformats.org/officeDocument/2006/relationships/hyperlink" Target="https://drive.google.com/file/d/1SoRgvN5q7LHFqan2RHH5olMcIFB_LK2p/view?usp=drivesdk" TargetMode="External"/><Relationship Id="rId5759" Type="http://schemas.openxmlformats.org/officeDocument/2006/relationships/hyperlink" Target="https://drive.google.com/file/d/1BCp2wA-SW_de05Q8MBpGhJj1csnQbO8P/view?usp=drivesdk" TargetMode="External"/><Relationship Id="rId4428" Type="http://schemas.openxmlformats.org/officeDocument/2006/relationships/hyperlink" Target="https://drive.google.com/file/d/1QZ1x_KOnJdQGinMSESe7LwuSkjz0jnGw/view?usp=drivesdk" TargetMode="External"/><Relationship Id="rId5756" Type="http://schemas.openxmlformats.org/officeDocument/2006/relationships/hyperlink" Target="https://drive.google.com/file/d/1Lhz6WASFGmRFKvocL7OzuAXs2OO_iTYP/view?usp=drivesdk" TargetMode="External"/><Relationship Id="rId4427" Type="http://schemas.openxmlformats.org/officeDocument/2006/relationships/hyperlink" Target="https://drive.google.com/file/d/14sbWWeOKhxNsAKr-xdoFKhHjDHiZoeCP/view?usp=drivesdk" TargetMode="External"/><Relationship Id="rId5757" Type="http://schemas.openxmlformats.org/officeDocument/2006/relationships/hyperlink" Target="https://drive.google.com/file/d/1LVWjyaoQpQE5mVYWOvOAh3dAFfM-erKS/view?usp=drivesdk" TargetMode="External"/><Relationship Id="rId4429" Type="http://schemas.openxmlformats.org/officeDocument/2006/relationships/hyperlink" Target="https://drive.google.com/file/d/1x8g5FiH1nKxU2XTMKZZM6wWFCgwO7wWP/view?usp=drivesdk" TargetMode="External"/><Relationship Id="rId5750" Type="http://schemas.openxmlformats.org/officeDocument/2006/relationships/hyperlink" Target="https://drive.google.com/file/d/1ad4vyDEcAa_TbjpdR86tj9Ew8dy-EE35/view?usp=drivesdk" TargetMode="External"/><Relationship Id="rId5751" Type="http://schemas.openxmlformats.org/officeDocument/2006/relationships/hyperlink" Target="https://drive.google.com/file/d/17YZXd_2FLH2ebFxAZIs2NXXJbbMnGOdP/view?usp=drivesdk" TargetMode="External"/><Relationship Id="rId4420" Type="http://schemas.openxmlformats.org/officeDocument/2006/relationships/hyperlink" Target="https://drive.google.com/file/d/1m73yWtZ380Hryv6x-7dwUB9ZbsfcdUo7/view?usp=drivesdk" TargetMode="External"/><Relationship Id="rId4422" Type="http://schemas.openxmlformats.org/officeDocument/2006/relationships/hyperlink" Target="https://drive.google.com/file/d/13rzwjR4Be3wpLTrpZA8VZeHjuJdmqZR5/view?usp=drivesdk" TargetMode="External"/><Relationship Id="rId5754" Type="http://schemas.openxmlformats.org/officeDocument/2006/relationships/hyperlink" Target="https://drive.google.com/file/d/1O0YXQ3iL_3tHDvr6z2jMf7fpD8SFauTW/view?usp=drivesdk" TargetMode="External"/><Relationship Id="rId4421" Type="http://schemas.openxmlformats.org/officeDocument/2006/relationships/hyperlink" Target="https://drive.google.com/file/d/1yZbY6p1bmB87q6jHc-omPbDBspPJ36bS/view?usp=drivesdk" TargetMode="External"/><Relationship Id="rId5755" Type="http://schemas.openxmlformats.org/officeDocument/2006/relationships/hyperlink" Target="https://drive.google.com/file/d/1UI-yODoTodhiTcavXBLx3PnY-8ryHtvq/view?usp=drivesdk" TargetMode="External"/><Relationship Id="rId4424" Type="http://schemas.openxmlformats.org/officeDocument/2006/relationships/hyperlink" Target="https://drive.google.com/file/d/13PnfE4eKyzzmSFoZBrAK0Y_JsDCmW0iL/view?usp=drivesdk" TargetMode="External"/><Relationship Id="rId5752" Type="http://schemas.openxmlformats.org/officeDocument/2006/relationships/hyperlink" Target="https://drive.google.com/file/d/1shNfWpdbJdTTXlzygRIGyfRiK4LBwapl/view?usp=drivesdk" TargetMode="External"/><Relationship Id="rId4423" Type="http://schemas.openxmlformats.org/officeDocument/2006/relationships/hyperlink" Target="https://drive.google.com/file/d/1gtsCPCEAL9RbNsOnPrHr2jXcWK2tPJ_m/view?usp=drivesdk" TargetMode="External"/><Relationship Id="rId5753" Type="http://schemas.openxmlformats.org/officeDocument/2006/relationships/hyperlink" Target="https://drive.google.com/file/d/1HMJlWLWWELASXU08k8DliUUTGnwHmbth/view?usp=drivesdk" TargetMode="External"/><Relationship Id="rId4415" Type="http://schemas.openxmlformats.org/officeDocument/2006/relationships/hyperlink" Target="https://drive.google.com/file/d/1_PzbUGy-VddnPUptZvhvM0ss59jU_525/view?usp=drivesdk" TargetMode="External"/><Relationship Id="rId5747" Type="http://schemas.openxmlformats.org/officeDocument/2006/relationships/hyperlink" Target="https://drive.google.com/file/d/11K3Rwydzy1CGKRyNnWccAxczJLMe5Voz/view?usp=drivesdk" TargetMode="External"/><Relationship Id="rId4414" Type="http://schemas.openxmlformats.org/officeDocument/2006/relationships/hyperlink" Target="https://drive.google.com/file/d/1kq0KRcnz7PDKmg1c_AQ9bNO9kaIWQosM/view?usp=drivesdk" TargetMode="External"/><Relationship Id="rId5748" Type="http://schemas.openxmlformats.org/officeDocument/2006/relationships/hyperlink" Target="https://drive.google.com/file/d/1ITEC6NY_NkfG0n4RapRF54SY6sc1Pmrd/view?usp=drivesdk" TargetMode="External"/><Relationship Id="rId4417" Type="http://schemas.openxmlformats.org/officeDocument/2006/relationships/hyperlink" Target="https://drive.google.com/file/d/1xRk1Iy_gHpHiwDOZWjvlb3U93wQIiJOj/view?usp=drivesdk" TargetMode="External"/><Relationship Id="rId5745" Type="http://schemas.openxmlformats.org/officeDocument/2006/relationships/hyperlink" Target="https://drive.google.com/file/d/15XRaFUezd-83SDWeTlOEM1eYlGdm3FzS/view?usp=drivesdk" TargetMode="External"/><Relationship Id="rId4416" Type="http://schemas.openxmlformats.org/officeDocument/2006/relationships/hyperlink" Target="https://drive.google.com/file/d/1PS2P5gDbcH1SWLyIwtK8Vy3plu71lcox/view?usp=drivesdk" TargetMode="External"/><Relationship Id="rId5746" Type="http://schemas.openxmlformats.org/officeDocument/2006/relationships/hyperlink" Target="https://drive.google.com/file/d/1ib4Chz_IGcoxMI0ZP0EYjL0h6JiG4Pxu/view?usp=drivesdk" TargetMode="External"/><Relationship Id="rId4419" Type="http://schemas.openxmlformats.org/officeDocument/2006/relationships/hyperlink" Target="https://drive.google.com/file/d/1AixdcLykvtq6zjJflRnjB9MvyznI5wNq/view?usp=drivesdk" TargetMode="External"/><Relationship Id="rId4418" Type="http://schemas.openxmlformats.org/officeDocument/2006/relationships/hyperlink" Target="https://drive.google.com/file/d/1ajhRijsFoereN6KYRHMAyiynlwNCDAmA/view?usp=drivesdk" TargetMode="External"/><Relationship Id="rId5749" Type="http://schemas.openxmlformats.org/officeDocument/2006/relationships/hyperlink" Target="https://drive.google.com/file/d/1Xo6ytLaKhG3VPBkUBinTOppirAs7piU6/view?usp=drivesdk" TargetMode="External"/><Relationship Id="rId5740" Type="http://schemas.openxmlformats.org/officeDocument/2006/relationships/hyperlink" Target="https://drive.google.com/file/d/17bGUsB6ScfEDtePm8runGJ1GhKiQ_U3X/view?usp=drivesdk" TargetMode="External"/><Relationship Id="rId4411" Type="http://schemas.openxmlformats.org/officeDocument/2006/relationships/hyperlink" Target="https://drive.google.com/file/d/1ZDcWK9KrLPHlPlQvbLeFUiaSkVw3FixK/view?usp=drivesdk" TargetMode="External"/><Relationship Id="rId5743" Type="http://schemas.openxmlformats.org/officeDocument/2006/relationships/hyperlink" Target="https://drive.google.com/file/d/1pWJsO0cb_FVoS_5m2o5I7NFQJm1b6oeC/view?usp=drivesdk" TargetMode="External"/><Relationship Id="rId4410" Type="http://schemas.openxmlformats.org/officeDocument/2006/relationships/hyperlink" Target="https://drive.google.com/file/d/1xOsECHbTjl7ce717OVlg2Ey4r-P15t4z/view?usp=drivesdk" TargetMode="External"/><Relationship Id="rId5744" Type="http://schemas.openxmlformats.org/officeDocument/2006/relationships/hyperlink" Target="https://drive.google.com/file/d/1FvDb2vi6y4cpHZml3PT5UyyNvh5t4EoY/view?usp=drivesdk" TargetMode="External"/><Relationship Id="rId4413" Type="http://schemas.openxmlformats.org/officeDocument/2006/relationships/hyperlink" Target="https://drive.google.com/file/d/1PdqAwl6R7hU5qgX9UpKXSHl9t3PtAJ0Z/view?usp=drivesdk" TargetMode="External"/><Relationship Id="rId5741" Type="http://schemas.openxmlformats.org/officeDocument/2006/relationships/hyperlink" Target="https://drive.google.com/file/d/1q_9Y311HSDyle9bVXbqxeFx--xJyO8fF/view?usp=drivesdk" TargetMode="External"/><Relationship Id="rId4412" Type="http://schemas.openxmlformats.org/officeDocument/2006/relationships/hyperlink" Target="https://drive.google.com/file/d/18pcq5xgpxyUjGpLBVUYK6QAOzBiIG40V/view?usp=drivesdk" TargetMode="External"/><Relationship Id="rId5742" Type="http://schemas.openxmlformats.org/officeDocument/2006/relationships/hyperlink" Target="https://drive.google.com/file/d/1Pz8-IT0kh89aYEYn79-x1PZ1rmHmywTD/view?usp=drivesdk" TargetMode="External"/><Relationship Id="rId3191" Type="http://schemas.openxmlformats.org/officeDocument/2006/relationships/hyperlink" Target="https://drive.google.com/file/d/1wp6cUjcy8LthVAkROqOPXCdnnn4k8ZRc/view?usp=drivesdk" TargetMode="External"/><Relationship Id="rId3190" Type="http://schemas.openxmlformats.org/officeDocument/2006/relationships/hyperlink" Target="https://drive.google.com/file/d/1lu42lNOXbc-i7KNvDlMU7cExRmFZK8OW/view?usp=drivesdk" TargetMode="External"/><Relationship Id="rId3193" Type="http://schemas.openxmlformats.org/officeDocument/2006/relationships/hyperlink" Target="https://drive.google.com/file/d/15XaZ1s-JOsF7ERsuCDdsVwqWre0o-1rs/view?usp=drivesdk" TargetMode="External"/><Relationship Id="rId3192" Type="http://schemas.openxmlformats.org/officeDocument/2006/relationships/hyperlink" Target="https://drive.google.com/file/d/1_i6LW0Ho5KTy_MFdtu2P8EzP0XZn17N8/view?usp=drivesdk" TargetMode="External"/><Relationship Id="rId3195" Type="http://schemas.openxmlformats.org/officeDocument/2006/relationships/hyperlink" Target="https://drive.google.com/file/d/1YgYNzdW7W64pQVuV52D1cN6myyEjqRGV/view?usp=drivesdk" TargetMode="External"/><Relationship Id="rId3194" Type="http://schemas.openxmlformats.org/officeDocument/2006/relationships/hyperlink" Target="https://drive.google.com/file/d/1bW72lgCrnes8pZEj7GB1rE4FvJvhTkYv/view?usp=drivesdk" TargetMode="External"/><Relationship Id="rId3197" Type="http://schemas.openxmlformats.org/officeDocument/2006/relationships/hyperlink" Target="https://drive.google.com/file/d/1bJmjbilsHLv40hrUH3o69ErrleCkUbEV/view?usp=drivesdk" TargetMode="External"/><Relationship Id="rId3196" Type="http://schemas.openxmlformats.org/officeDocument/2006/relationships/hyperlink" Target="https://drive.google.com/file/d/1Ok1Uk85tOYQ7JVpQ-_Df4Ywc05u-ez0J/view?usp=drivesdk" TargetMode="External"/><Relationship Id="rId3199" Type="http://schemas.openxmlformats.org/officeDocument/2006/relationships/hyperlink" Target="https://drive.google.com/file/d/1Sgb99B1NyydbOwWY-zB7sMLASCmRqOLN/view?usp=drivesdk" TargetMode="External"/><Relationship Id="rId3198" Type="http://schemas.openxmlformats.org/officeDocument/2006/relationships/hyperlink" Target="https://drive.google.com/file/d/1Kofck-ZAX88rrzvm2WloEVaE_iS39V2O/view?usp=drivesdk" TargetMode="External"/><Relationship Id="rId3180" Type="http://schemas.openxmlformats.org/officeDocument/2006/relationships/hyperlink" Target="https://drive.google.com/file/d/1BhNWNTvoqw9v62JsvraRCkqwKChOQ0l6/view?usp=drivesdk" TargetMode="External"/><Relationship Id="rId3182" Type="http://schemas.openxmlformats.org/officeDocument/2006/relationships/hyperlink" Target="https://drive.google.com/file/d/1JpOojt9my51ubIeZrtAg9MxD6iGcLIE-/view?usp=drivesdk" TargetMode="External"/><Relationship Id="rId3181" Type="http://schemas.openxmlformats.org/officeDocument/2006/relationships/hyperlink" Target="https://drive.google.com/file/d/1yhe5oKOMY-A-2ETJNKYAA15julIASMAp/view?usp=drivesdk" TargetMode="External"/><Relationship Id="rId3184" Type="http://schemas.openxmlformats.org/officeDocument/2006/relationships/hyperlink" Target="https://drive.google.com/file/d/1RqzplZ7HCR7MT8Wc46Ba7ZFqJWYN_4-x/view?usp=drivesdk" TargetMode="External"/><Relationship Id="rId3183" Type="http://schemas.openxmlformats.org/officeDocument/2006/relationships/hyperlink" Target="https://drive.google.com/file/d/1TxTOcYmx7J8axI8UoFLAwjeitpFA--JL/view?usp=drivesdk" TargetMode="External"/><Relationship Id="rId3186" Type="http://schemas.openxmlformats.org/officeDocument/2006/relationships/hyperlink" Target="https://drive.google.com/file/d/1F6ANB9ENG2_7wjTL63agAOvPFHF5zk3K/view?usp=drivesdk" TargetMode="External"/><Relationship Id="rId3185" Type="http://schemas.openxmlformats.org/officeDocument/2006/relationships/hyperlink" Target="https://drive.google.com/file/d/17ZsPyepYV2sBjmbHtxQDf6umJFNFaBAp/view?usp=drivesdk" TargetMode="External"/><Relationship Id="rId3188" Type="http://schemas.openxmlformats.org/officeDocument/2006/relationships/hyperlink" Target="https://drive.google.com/file/d/19I3sSqu3PXwK1j50Z9WVsMg-ZYghH1h6/view?usp=drivesdk" TargetMode="External"/><Relationship Id="rId3187" Type="http://schemas.openxmlformats.org/officeDocument/2006/relationships/hyperlink" Target="https://drive.google.com/file/d/1Fe1upEg1wRH-GonrO64RJrU6JRW4WNAm/view?usp=drivesdk" TargetMode="External"/><Relationship Id="rId3189" Type="http://schemas.openxmlformats.org/officeDocument/2006/relationships/hyperlink" Target="https://drive.google.com/file/d/1DUuDGzd1nMTpyH9wquMNMlLXwrbtrAWq/view?usp=drivesdk" TargetMode="External"/><Relationship Id="rId4480" Type="http://schemas.openxmlformats.org/officeDocument/2006/relationships/hyperlink" Target="https://drive.google.com/file/d/1u7QAUvaDAae2F3pli4nHYvvxliNYd4MZ/view?usp=drivesdk" TargetMode="External"/><Relationship Id="rId3151" Type="http://schemas.openxmlformats.org/officeDocument/2006/relationships/hyperlink" Target="https://drive.google.com/file/d/1OVH1DGT3yk1UxFowlISpmN6GPwR8XDMu/view?usp=drivesdk" TargetMode="External"/><Relationship Id="rId4482" Type="http://schemas.openxmlformats.org/officeDocument/2006/relationships/hyperlink" Target="https://drive.google.com/file/d/1YkOoLy5Em73gVdzvOUPTbDZFTYDvRmJ7/view?usp=drivesdk" TargetMode="External"/><Relationship Id="rId3150" Type="http://schemas.openxmlformats.org/officeDocument/2006/relationships/hyperlink" Target="https://drive.google.com/file/d/1r5PBuc9EyuONTXnheAeIad2nnnOm0Ssk/view?usp=drivesdk" TargetMode="External"/><Relationship Id="rId4481" Type="http://schemas.openxmlformats.org/officeDocument/2006/relationships/hyperlink" Target="https://drive.google.com/file/d/1ejngudfmVqMvnRnkuf1z_pBmRWCS2E8B/view?usp=drivesdk" TargetMode="External"/><Relationship Id="rId3153" Type="http://schemas.openxmlformats.org/officeDocument/2006/relationships/hyperlink" Target="https://drive.google.com/file/d/1T1Kv5tKze8e7YRdhRj267c7DZTf7Vswq/view?usp=drivesdk" TargetMode="External"/><Relationship Id="rId4484" Type="http://schemas.openxmlformats.org/officeDocument/2006/relationships/hyperlink" Target="https://drive.google.com/file/d/1PD8aX5e2_x5egRGeQmPysO6Bfu-s8QoO/view?usp=drivesdk" TargetMode="External"/><Relationship Id="rId3152" Type="http://schemas.openxmlformats.org/officeDocument/2006/relationships/hyperlink" Target="https://drive.google.com/file/d/1xrPi5CXxg-jZ3aTmEQsG97Nd_DGXbTKl/view?usp=drivesdk" TargetMode="External"/><Relationship Id="rId4483" Type="http://schemas.openxmlformats.org/officeDocument/2006/relationships/hyperlink" Target="https://drive.google.com/file/d/1-Avk9NasqQtk8doCMIjmycAkKuqhJuCy/view?usp=drivesdk" TargetMode="External"/><Relationship Id="rId3155" Type="http://schemas.openxmlformats.org/officeDocument/2006/relationships/hyperlink" Target="https://drive.google.com/file/d/1OKR1gRH5Rk-3apz9BDOqZlpJHomnWeKO/view?usp=drivesdk" TargetMode="External"/><Relationship Id="rId4486" Type="http://schemas.openxmlformats.org/officeDocument/2006/relationships/hyperlink" Target="https://drive.google.com/file/d/1ymB0Zv3TDRuP8picHK4Rsr6jNO7V43Ok/view?usp=drivesdk" TargetMode="External"/><Relationship Id="rId3154" Type="http://schemas.openxmlformats.org/officeDocument/2006/relationships/hyperlink" Target="https://drive.google.com/file/d/1arNUVzIeSEtthWKZdcmCoHY5i5XAf7FF/view?usp=drivesdk" TargetMode="External"/><Relationship Id="rId4485" Type="http://schemas.openxmlformats.org/officeDocument/2006/relationships/hyperlink" Target="https://drive.google.com/file/d/1LDMCnen6l0QOOLki1Vouwmr5xZEbKIJ0/view?usp=drivesdk" TargetMode="External"/><Relationship Id="rId3157" Type="http://schemas.openxmlformats.org/officeDocument/2006/relationships/hyperlink" Target="https://drive.google.com/file/d/1-4jy5bGQ1NHcCxVh7SrLXwB4oITwl6tR/view?usp=drivesdk" TargetMode="External"/><Relationship Id="rId4488" Type="http://schemas.openxmlformats.org/officeDocument/2006/relationships/hyperlink" Target="https://drive.google.com/file/d/169HCjmGOLncGN5G-zSfiN5zcDKyFWBsY/view?usp=drivesdk" TargetMode="External"/><Relationship Id="rId3156" Type="http://schemas.openxmlformats.org/officeDocument/2006/relationships/hyperlink" Target="https://drive.google.com/file/d/1e2EGsy0Ydt0RM65igm1Mrhy3Z_O0ZtbD/view?usp=drivesdk" TargetMode="External"/><Relationship Id="rId4487" Type="http://schemas.openxmlformats.org/officeDocument/2006/relationships/hyperlink" Target="https://drive.google.com/file/d/1PdHrsD3di8avR5W4fqYz9FM0OP6qW_wp/view?usp=drivesdk" TargetMode="External"/><Relationship Id="rId3159" Type="http://schemas.openxmlformats.org/officeDocument/2006/relationships/hyperlink" Target="https://drive.google.com/file/d/1T1q6OPzaND-DFDjmKt_IM3k1qgZaMOSo/view?usp=drivesdk" TargetMode="External"/><Relationship Id="rId3158" Type="http://schemas.openxmlformats.org/officeDocument/2006/relationships/hyperlink" Target="https://drive.google.com/file/d/1yn-uZvh0EcSygbFoQG5PFpVgn4o4IuR_/view?usp=drivesdk" TargetMode="External"/><Relationship Id="rId4489" Type="http://schemas.openxmlformats.org/officeDocument/2006/relationships/hyperlink" Target="https://drive.google.com/file/d/1o5SoHxfwhFHaxEXnMy2Pys6h6QBCo6Gu/view?usp=drivesdk" TargetMode="External"/><Relationship Id="rId3149" Type="http://schemas.openxmlformats.org/officeDocument/2006/relationships/hyperlink" Target="https://drive.google.com/file/d/1NwCICzqEXFMo-Hqt4fFBEkFbipjQ7lsl/view?usp=drivesdk" TargetMode="External"/><Relationship Id="rId3140" Type="http://schemas.openxmlformats.org/officeDocument/2006/relationships/hyperlink" Target="https://drive.google.com/file/d/1F4qiQGme_ekSCW6hMazQm5bgwoKhNadW/view?usp=drivesdk" TargetMode="External"/><Relationship Id="rId4471" Type="http://schemas.openxmlformats.org/officeDocument/2006/relationships/hyperlink" Target="https://drive.google.com/file/d/1SV1FPOy8WdPLiyylzN0wntMUb7n8Ipji/view?usp=drivesdk" TargetMode="External"/><Relationship Id="rId4470" Type="http://schemas.openxmlformats.org/officeDocument/2006/relationships/hyperlink" Target="https://drive.google.com/file/d/14W325UkQqpbyX8j656y0rEyCk1d7XoOG/view?usp=drivesdk" TargetMode="External"/><Relationship Id="rId3142" Type="http://schemas.openxmlformats.org/officeDocument/2006/relationships/hyperlink" Target="https://drive.google.com/file/d/1d29NaxOelEtrDsUZXMAA3EIRtz8TRWDR/view?usp=drivesdk" TargetMode="External"/><Relationship Id="rId4473" Type="http://schemas.openxmlformats.org/officeDocument/2006/relationships/hyperlink" Target="https://drive.google.com/file/d/1ercssYplscg-bW2dqeTrusCa6jr2lGMc/view?usp=drivesdk" TargetMode="External"/><Relationship Id="rId3141" Type="http://schemas.openxmlformats.org/officeDocument/2006/relationships/hyperlink" Target="https://drive.google.com/file/d/153Dg9i1et5IrH-_uYMEDWKD-pa0vHmoG/view?usp=drivesdk" TargetMode="External"/><Relationship Id="rId4472" Type="http://schemas.openxmlformats.org/officeDocument/2006/relationships/hyperlink" Target="https://drive.google.com/file/d/1YEtMPqNjk1GugmljlcCPdADh_-Snoq9T/view?usp=drivesdk" TargetMode="External"/><Relationship Id="rId3144" Type="http://schemas.openxmlformats.org/officeDocument/2006/relationships/hyperlink" Target="https://drive.google.com/file/d/1pAYeiVNMbnFJNrmXC6tAMp27n6YeHZmR/view?usp=drivesdk" TargetMode="External"/><Relationship Id="rId4475" Type="http://schemas.openxmlformats.org/officeDocument/2006/relationships/hyperlink" Target="https://drive.google.com/file/d/1835p0cOXIKeTBf93cNH0rSJJAaJKh_Kt/view?usp=drivesdk" TargetMode="External"/><Relationship Id="rId3143" Type="http://schemas.openxmlformats.org/officeDocument/2006/relationships/hyperlink" Target="https://drive.google.com/file/d/1cnAIZH6Z0Ryvz1kn2Pa-QwA3Q_nnq4CT/view?usp=drivesdk" TargetMode="External"/><Relationship Id="rId4474" Type="http://schemas.openxmlformats.org/officeDocument/2006/relationships/hyperlink" Target="https://drive.google.com/file/d/17298sUc9ZCkOqvFvm-p3vEaE6ju66rX7/view?usp=drivesdk" TargetMode="External"/><Relationship Id="rId3146" Type="http://schemas.openxmlformats.org/officeDocument/2006/relationships/hyperlink" Target="https://drive.google.com/file/d/1UOaos0S-McDEYTFR3rtfV99882eRAR3s/view?usp=drivesdk" TargetMode="External"/><Relationship Id="rId4477" Type="http://schemas.openxmlformats.org/officeDocument/2006/relationships/hyperlink" Target="https://drive.google.com/file/d/1im7JAcYndZktMjoP4THAuBhfEjgHXNhg/view?usp=drivesdk" TargetMode="External"/><Relationship Id="rId3145" Type="http://schemas.openxmlformats.org/officeDocument/2006/relationships/hyperlink" Target="https://drive.google.com/file/d/1o5X-hgLARxj3KHuqpyPHcavZPcJi-o_1/view?usp=drivesdk" TargetMode="External"/><Relationship Id="rId4476" Type="http://schemas.openxmlformats.org/officeDocument/2006/relationships/hyperlink" Target="https://drive.google.com/file/d/1NCw0mo0C8z6L8V4SKu_PTnEY9kxjzrf0/view?usp=drivesdk" TargetMode="External"/><Relationship Id="rId3148" Type="http://schemas.openxmlformats.org/officeDocument/2006/relationships/hyperlink" Target="https://drive.google.com/file/d/1mKqmd8Ff8AirSkoBXriOaQi4i-kaHotZ/view?usp=drivesdk" TargetMode="External"/><Relationship Id="rId4479" Type="http://schemas.openxmlformats.org/officeDocument/2006/relationships/hyperlink" Target="https://drive.google.com/file/d/1NtUbvD65-UF3XerxMngF9UBuJxHpiQM4/view?usp=drivesdk" TargetMode="External"/><Relationship Id="rId3147" Type="http://schemas.openxmlformats.org/officeDocument/2006/relationships/hyperlink" Target="https://drive.google.com/file/d/1ktZ64jCmfQSfwfUw6JK2ckCxc3xmLx-v/view?usp=drivesdk" TargetMode="External"/><Relationship Id="rId4478" Type="http://schemas.openxmlformats.org/officeDocument/2006/relationships/hyperlink" Target="https://drive.google.com/file/d/1vwb2VeexzyqAeumYxChrTeqnqV701ifi/view?usp=drivesdk" TargetMode="External"/><Relationship Id="rId3171" Type="http://schemas.openxmlformats.org/officeDocument/2006/relationships/hyperlink" Target="https://drive.google.com/file/d/1RjrIYtCN_6k7VGFD3s9HlRHFZjv6-_O9/view?usp=drivesdk" TargetMode="External"/><Relationship Id="rId3170" Type="http://schemas.openxmlformats.org/officeDocument/2006/relationships/hyperlink" Target="https://drive.google.com/file/d/1yd3SM289f8V89O3dGw-707y915c1xrRG/view?usp=drivesdk" TargetMode="External"/><Relationship Id="rId3173" Type="http://schemas.openxmlformats.org/officeDocument/2006/relationships/hyperlink" Target="https://drive.google.com/file/d/1JkQloowRsZmWvjYGpeuVF_2aMnzBUSbw/view?usp=drivesdk" TargetMode="External"/><Relationship Id="rId3172" Type="http://schemas.openxmlformats.org/officeDocument/2006/relationships/hyperlink" Target="https://drive.google.com/file/d/1d-3gsSswNrPcWAj79M7zsQHO814tSd-v/view?usp=drivesdk" TargetMode="External"/><Relationship Id="rId3175" Type="http://schemas.openxmlformats.org/officeDocument/2006/relationships/hyperlink" Target="https://drive.google.com/file/d/1d4NHcC7gWfzKk3jZTYlvKpfE6SKa-B_b/view?usp=drivesdk" TargetMode="External"/><Relationship Id="rId3174" Type="http://schemas.openxmlformats.org/officeDocument/2006/relationships/hyperlink" Target="https://drive.google.com/file/d/1GLBixhUHr6zSt6gL53gempIeEPJENKy4/view?usp=drivesdk" TargetMode="External"/><Relationship Id="rId3177" Type="http://schemas.openxmlformats.org/officeDocument/2006/relationships/hyperlink" Target="https://drive.google.com/file/d/1hJxY9_ruiJKaoxko465_aUDLaVQrCx9B/view?usp=drivesdk" TargetMode="External"/><Relationship Id="rId3176" Type="http://schemas.openxmlformats.org/officeDocument/2006/relationships/hyperlink" Target="https://drive.google.com/file/d/13hHnS8qJSM0WkuGUkXPN9zsCN5HK-Rlq/view?usp=drivesdk" TargetMode="External"/><Relationship Id="rId3179" Type="http://schemas.openxmlformats.org/officeDocument/2006/relationships/hyperlink" Target="https://drive.google.com/file/d/1aH6V00R9Aps3YS2E7kys4-NrvL1qEjF4/view?usp=drivesdk" TargetMode="External"/><Relationship Id="rId3178" Type="http://schemas.openxmlformats.org/officeDocument/2006/relationships/hyperlink" Target="https://drive.google.com/file/d/1UdwPiSI0eVDCpPy314fgEulmfHakcUsN/view?usp=drivesdk" TargetMode="External"/><Relationship Id="rId3160" Type="http://schemas.openxmlformats.org/officeDocument/2006/relationships/hyperlink" Target="https://drive.google.com/file/d/1T4qpJ99C1tFHYOohXdzNZE6CTecOgUuN/view?usp=drivesdk" TargetMode="External"/><Relationship Id="rId4491" Type="http://schemas.openxmlformats.org/officeDocument/2006/relationships/hyperlink" Target="https://drive.google.com/file/d/1wzZuS_zVzKqoFnQK306UGresEfujOehp/view?usp=drivesdk" TargetMode="External"/><Relationship Id="rId4490" Type="http://schemas.openxmlformats.org/officeDocument/2006/relationships/hyperlink" Target="https://drive.google.com/file/d/1ISAaRX0nbZK8er4HprLdikWfkN4Eso1F/view?usp=drivesdk" TargetMode="External"/><Relationship Id="rId3162" Type="http://schemas.openxmlformats.org/officeDocument/2006/relationships/hyperlink" Target="https://drive.google.com/file/d/13PSEsRtpSX_jarN4MMXs2yggXsHLRsjX/view?usp=drivesdk" TargetMode="External"/><Relationship Id="rId4493" Type="http://schemas.openxmlformats.org/officeDocument/2006/relationships/hyperlink" Target="https://drive.google.com/file/d/1uU-HSlEHznchF35P2Uhr_E9JbC9KIizA/view?usp=drivesdk" TargetMode="External"/><Relationship Id="rId3161" Type="http://schemas.openxmlformats.org/officeDocument/2006/relationships/hyperlink" Target="https://drive.google.com/file/d/10aPeB883Zlj3QomPRN0lhEYAcN8FUeh4/view?usp=drivesdk" TargetMode="External"/><Relationship Id="rId4492" Type="http://schemas.openxmlformats.org/officeDocument/2006/relationships/hyperlink" Target="https://drive.google.com/file/d/1Q_lo8I2r9Mt_FpagkTd99yvfikTVpnff/view?usp=drivesdk" TargetMode="External"/><Relationship Id="rId3164" Type="http://schemas.openxmlformats.org/officeDocument/2006/relationships/hyperlink" Target="https://drive.google.com/file/d/17jZsmZDuorOyi1QxY_vKoyZkNV0DAfWs/view?usp=drivesdk" TargetMode="External"/><Relationship Id="rId4495" Type="http://schemas.openxmlformats.org/officeDocument/2006/relationships/hyperlink" Target="https://drive.google.com/file/d/1I55BYcg7nv0iVekGhy_S3HcjrGqXrHWL/view?usp=drivesdk" TargetMode="External"/><Relationship Id="rId3163" Type="http://schemas.openxmlformats.org/officeDocument/2006/relationships/hyperlink" Target="https://drive.google.com/file/d/1Rppwc-608hxMQNlsc7i_Rb755NDZ0ZFH/view?usp=drivesdk" TargetMode="External"/><Relationship Id="rId4494" Type="http://schemas.openxmlformats.org/officeDocument/2006/relationships/hyperlink" Target="https://drive.google.com/file/d/1iYObdMZd5c8tJbzUdJQdE3if34Ry6Oei/view?usp=drivesdk" TargetMode="External"/><Relationship Id="rId3166" Type="http://schemas.openxmlformats.org/officeDocument/2006/relationships/hyperlink" Target="https://drive.google.com/file/d/1M1ty8MOICEN3DsNC1bwmZPr1FrL1rm2U/view?usp=drivesdk" TargetMode="External"/><Relationship Id="rId4497" Type="http://schemas.openxmlformats.org/officeDocument/2006/relationships/hyperlink" Target="https://drive.google.com/file/d/1X2WzSdzyJobW-bOI-DWwxxr9BUzBPTqR/view?usp=drivesdk" TargetMode="External"/><Relationship Id="rId3165" Type="http://schemas.openxmlformats.org/officeDocument/2006/relationships/hyperlink" Target="https://drive.google.com/file/d/1xvlwg1s8VuUp1SaEH-MiWJntOAoUGlis/view?usp=drivesdk" TargetMode="External"/><Relationship Id="rId4496" Type="http://schemas.openxmlformats.org/officeDocument/2006/relationships/hyperlink" Target="https://drive.google.com/file/d/1CPb4STDNo7z-jCwNeFlG2B-2WP_IdYRz/view?usp=drivesdk" TargetMode="External"/><Relationship Id="rId3168" Type="http://schemas.openxmlformats.org/officeDocument/2006/relationships/hyperlink" Target="https://drive.google.com/file/d/1v_7rH3EO3elzzjDBF4RIMyJ-LJYc_GVh/view?usp=drivesdk" TargetMode="External"/><Relationship Id="rId4499" Type="http://schemas.openxmlformats.org/officeDocument/2006/relationships/hyperlink" Target="https://drive.google.com/file/d/11JtSE6y_VxMlSSL00gvfjMxaQcBunSDk/view?usp=drivesdk" TargetMode="External"/><Relationship Id="rId3167" Type="http://schemas.openxmlformats.org/officeDocument/2006/relationships/hyperlink" Target="https://drive.google.com/file/d/1Huwo9gJBZB-yXQ0-gmVAE828AAMYSUu8/view?usp=drivesdk" TargetMode="External"/><Relationship Id="rId4498" Type="http://schemas.openxmlformats.org/officeDocument/2006/relationships/hyperlink" Target="https://drive.google.com/file/d/1oAzhZ00RNsBwaNmNRHZWDRf3nmPA1JOv/view?usp=drivesdk" TargetMode="External"/><Relationship Id="rId3169" Type="http://schemas.openxmlformats.org/officeDocument/2006/relationships/hyperlink" Target="https://drive.google.com/file/d/1RQsaUXGErjFwoWcedEF6IB4ex2wbS5Nz/view?usp=drivesdk" TargetMode="External"/><Relationship Id="rId8002" Type="http://schemas.openxmlformats.org/officeDocument/2006/relationships/hyperlink" Target="https://drive.google.com/file/d/1oJD4Xqxw3qcNsGKBo-SR-CEJW3bEbKSi/view?usp=drivesdk" TargetMode="External"/><Relationship Id="rId8001" Type="http://schemas.openxmlformats.org/officeDocument/2006/relationships/hyperlink" Target="https://drive.google.com/file/d/1uGR3FUrNVPota_FOGZjGeXs0iVkk2yUM/view?usp=drivesdk" TargetMode="External"/><Relationship Id="rId8000" Type="http://schemas.openxmlformats.org/officeDocument/2006/relationships/hyperlink" Target="https://drive.google.com/file/d/1TrDbXlXxNSIccCGO1YEQgXgA9Yu_4-xY/view?usp=drivesdk" TargetMode="External"/><Relationship Id="rId8006" Type="http://schemas.openxmlformats.org/officeDocument/2006/relationships/hyperlink" Target="https://drive.google.com/file/d/1FNcboWfZE-_3dbcoSRa9lvF7890DCGFO/view?usp=drivesdk" TargetMode="External"/><Relationship Id="rId8005" Type="http://schemas.openxmlformats.org/officeDocument/2006/relationships/hyperlink" Target="https://drive.google.com/file/d/1Cn7px8GdSsUa2ENP2LK-LAApHWpUvDas/view?usp=drivesdk" TargetMode="External"/><Relationship Id="rId8004" Type="http://schemas.openxmlformats.org/officeDocument/2006/relationships/hyperlink" Target="https://drive.google.com/file/d/1eefY-wi9Ro1Tu_L4ktDcmSSKTTS4T33T/view?usp=drivesdk" TargetMode="External"/><Relationship Id="rId8003" Type="http://schemas.openxmlformats.org/officeDocument/2006/relationships/hyperlink" Target="https://drive.google.com/file/d/1IGscxoqMiHjhogCTXD6YSTC3JGLUeGyX/view?usp=drivesdk" TargetMode="External"/><Relationship Id="rId8009" Type="http://schemas.openxmlformats.org/officeDocument/2006/relationships/hyperlink" Target="https://drive.google.com/file/d/1-cyVX_s-YaWoJT_MG1AW-nYUfAz9WOHp/view?usp=drivesdk" TargetMode="External"/><Relationship Id="rId8008" Type="http://schemas.openxmlformats.org/officeDocument/2006/relationships/hyperlink" Target="https://drive.google.com/file/d/1sjBdu4F0uVcF3Ns40Bamdn_R-VCjsqwx/view?usp=drivesdk" TargetMode="External"/><Relationship Id="rId8007" Type="http://schemas.openxmlformats.org/officeDocument/2006/relationships/hyperlink" Target="https://drive.google.com/file/d/1bYzTOwF5909Gra9jFBl9eYGO6NejlwKa/view?usp=drivesdk" TargetMode="External"/><Relationship Id="rId8020" Type="http://schemas.openxmlformats.org/officeDocument/2006/relationships/hyperlink" Target="https://drive.google.com/file/d/1Kz2iDPc3te1m4FpP6nzZn1Bj53LEc_60/view?usp=drivesdk" TargetMode="External"/><Relationship Id="rId8024" Type="http://schemas.openxmlformats.org/officeDocument/2006/relationships/hyperlink" Target="https://drive.google.com/file/d/1yhX3K6eKDOtaWEuZgnUu_lDMV3o6vG-4/view?usp=drivesdk" TargetMode="External"/><Relationship Id="rId8023" Type="http://schemas.openxmlformats.org/officeDocument/2006/relationships/hyperlink" Target="https://drive.google.com/file/d/1zZYBoekQtIZ_8VsqCccz8u_gL6kw9GmK/view?usp=drivesdk" TargetMode="External"/><Relationship Id="rId8022" Type="http://schemas.openxmlformats.org/officeDocument/2006/relationships/hyperlink" Target="https://drive.google.com/file/d/15Olfyd1XAQ0QCoUUd6TIj-75LuG5XnHc/view?usp=drivesdk" TargetMode="External"/><Relationship Id="rId8021" Type="http://schemas.openxmlformats.org/officeDocument/2006/relationships/hyperlink" Target="https://drive.google.com/file/d/1XJ66aGEd27ymesI32uvpDyNgpIzmAsgw/view?usp=drivesdk" TargetMode="External"/><Relationship Id="rId8028" Type="http://schemas.openxmlformats.org/officeDocument/2006/relationships/hyperlink" Target="https://drive.google.com/file/d/1VryTfr8KrObYiYCQj50KGQE9l0QYfpEI/view?usp=drivesdk" TargetMode="External"/><Relationship Id="rId8027" Type="http://schemas.openxmlformats.org/officeDocument/2006/relationships/hyperlink" Target="https://drive.google.com/file/d/1izwwDdvtZvq-IHofvH_HvyHF8paLjZF3/view?usp=drivesdk" TargetMode="External"/><Relationship Id="rId8026" Type="http://schemas.openxmlformats.org/officeDocument/2006/relationships/hyperlink" Target="https://drive.google.com/file/d/1GtAwAhjXoo0VjPqJ23TSyGoqU_E1fwJk/view?usp=drivesdk" TargetMode="External"/><Relationship Id="rId8025" Type="http://schemas.openxmlformats.org/officeDocument/2006/relationships/hyperlink" Target="https://drive.google.com/file/d/1rXdReVapM4nB0d4wE6ly8Neiy6V07PkM/view?usp=drivesdk" TargetMode="External"/><Relationship Id="rId8029" Type="http://schemas.openxmlformats.org/officeDocument/2006/relationships/hyperlink" Target="https://drive.google.com/file/d/1WZ8m_nrWowsa2yc92pMsK6iqRxGhLFnk/view?usp=drivesdk" TargetMode="External"/><Relationship Id="rId8013" Type="http://schemas.openxmlformats.org/officeDocument/2006/relationships/hyperlink" Target="https://drive.google.com/file/d/1drgEq2dwINykavpANNghCNktVc27tK_5/view?usp=drivesdk" TargetMode="External"/><Relationship Id="rId8012" Type="http://schemas.openxmlformats.org/officeDocument/2006/relationships/hyperlink" Target="https://drive.google.com/file/d/18Fo71guEfqB3RR7N5PnxdjD3e1uiggo3/view?usp=drivesdk" TargetMode="External"/><Relationship Id="rId8011" Type="http://schemas.openxmlformats.org/officeDocument/2006/relationships/hyperlink" Target="https://drive.google.com/file/d/16klShS5KD8hrvwz3yJJWNkRN51zYWcQz/view?usp=drivesdk" TargetMode="External"/><Relationship Id="rId8010" Type="http://schemas.openxmlformats.org/officeDocument/2006/relationships/hyperlink" Target="https://drive.google.com/file/d/17kCns6usVvSg_3Svw9EYwGkYc-K-2y7j/view?usp=drivesdk" TargetMode="External"/><Relationship Id="rId8017" Type="http://schemas.openxmlformats.org/officeDocument/2006/relationships/hyperlink" Target="https://drive.google.com/file/d/1K84yVZTTtClywDTXFavf9Dq7lopmrF8U/view?usp=drivesdk" TargetMode="External"/><Relationship Id="rId8016" Type="http://schemas.openxmlformats.org/officeDocument/2006/relationships/hyperlink" Target="https://drive.google.com/file/d/1jH5HTNCexwDZHhtlf_jtOZFBn54xINoH/view?usp=drivesdk" TargetMode="External"/><Relationship Id="rId8015" Type="http://schemas.openxmlformats.org/officeDocument/2006/relationships/hyperlink" Target="https://drive.google.com/file/d/1X0nuzmn3gSSGd7bsIi-fsbLgXN1QMC8F/view?usp=drivesdk" TargetMode="External"/><Relationship Id="rId8014" Type="http://schemas.openxmlformats.org/officeDocument/2006/relationships/hyperlink" Target="https://drive.google.com/file/d/115XdyY2SU-D7YPIkbKD9ZJAFf_KbVbDn/view?usp=drivesdk" TargetMode="External"/><Relationship Id="rId8019" Type="http://schemas.openxmlformats.org/officeDocument/2006/relationships/hyperlink" Target="https://drive.google.com/file/d/1UDw5WbR6nbtCuGJqTbWvl4iLJ3EGlTMk/view?usp=drivesdk" TargetMode="External"/><Relationship Id="rId8018" Type="http://schemas.openxmlformats.org/officeDocument/2006/relationships/hyperlink" Target="https://drive.google.com/file/d/1iPx_5C6iDArHicNujfYywhqLLAzJjdgD/view?usp=drivesdk" TargetMode="External"/><Relationship Id="rId5813" Type="http://schemas.openxmlformats.org/officeDocument/2006/relationships/hyperlink" Target="https://drive.google.com/file/d/1Zk4j-JOxs2nNGKK39Q5oE_ZZytOFM_z7/view?usp=drivesdk" TargetMode="External"/><Relationship Id="rId5814" Type="http://schemas.openxmlformats.org/officeDocument/2006/relationships/hyperlink" Target="https://drive.google.com/file/d/1_JTKsjYtknnLQTpM3LBgvD2toZpmGqjh/view?usp=drivesdk" TargetMode="External"/><Relationship Id="rId5811" Type="http://schemas.openxmlformats.org/officeDocument/2006/relationships/hyperlink" Target="https://drive.google.com/file/d/1-ONUzhXXe5eg7C5CoqdOvxdDoeir39GL/view?usp=drivesdk" TargetMode="External"/><Relationship Id="rId5812" Type="http://schemas.openxmlformats.org/officeDocument/2006/relationships/hyperlink" Target="https://drive.google.com/file/d/1xZNwCChy3uwRD2Z4nDYZmPa5mit5acih/view?usp=drivesdk" TargetMode="External"/><Relationship Id="rId5817" Type="http://schemas.openxmlformats.org/officeDocument/2006/relationships/hyperlink" Target="https://drive.google.com/file/d/107Jqwwh-XEkFPetvXWEotlxcozAciZPE/view?usp=drivesdk" TargetMode="External"/><Relationship Id="rId5818" Type="http://schemas.openxmlformats.org/officeDocument/2006/relationships/hyperlink" Target="https://drive.google.com/file/d/1SagWciasSRuwlH2RmZVd2IbQrAfiTJ0g/view?usp=drivesdk" TargetMode="External"/><Relationship Id="rId5815" Type="http://schemas.openxmlformats.org/officeDocument/2006/relationships/hyperlink" Target="https://drive.google.com/file/d/1lqpPqYUAtWUtVgaEY893MD88qfikzokq/view?usp=drivesdk" TargetMode="External"/><Relationship Id="rId5816" Type="http://schemas.openxmlformats.org/officeDocument/2006/relationships/hyperlink" Target="https://drive.google.com/file/d/1uUY3n7_9KX18fMa9yXXH3cW8cypc77nl/view?usp=drivesdk" TargetMode="External"/><Relationship Id="rId5819" Type="http://schemas.openxmlformats.org/officeDocument/2006/relationships/hyperlink" Target="https://drive.google.com/file/d/1PRsfrXNXmQ5HbZ_jLTrudmr4EMxii14R/view?usp=drivesdk" TargetMode="External"/><Relationship Id="rId8093" Type="http://schemas.openxmlformats.org/officeDocument/2006/relationships/hyperlink" Target="https://drive.google.com/file/d/1s-Qz081hOwVn-75leeb5fDynkQaoEYWc/view?usp=drivesdk" TargetMode="External"/><Relationship Id="rId8092" Type="http://schemas.openxmlformats.org/officeDocument/2006/relationships/hyperlink" Target="https://drive.google.com/file/d/1u2gceu42ACs-ytxVm7AsSs9ujVbNlWn_/view?usp=drivesdk" TargetMode="External"/><Relationship Id="rId8091" Type="http://schemas.openxmlformats.org/officeDocument/2006/relationships/hyperlink" Target="https://drive.google.com/file/d/1tlr-JKtLO_qgwYpNHXO-22Riz1Cj1otT/view?usp=drivesdk" TargetMode="External"/><Relationship Id="rId8090" Type="http://schemas.openxmlformats.org/officeDocument/2006/relationships/hyperlink" Target="https://drive.google.com/file/d/1ekR8jhvzdnU1HHetw6Iuos8HY2n0Hykz/view?usp=drivesdk" TargetMode="External"/><Relationship Id="rId8086" Type="http://schemas.openxmlformats.org/officeDocument/2006/relationships/hyperlink" Target="https://drive.google.com/file/d/10H9OW1DSvmAIRXUhCNfTTd268K1Uu9t_/view?usp=drivesdk" TargetMode="External"/><Relationship Id="rId8085" Type="http://schemas.openxmlformats.org/officeDocument/2006/relationships/hyperlink" Target="https://drive.google.com/file/d/1mTNMqu6z0GGwnURTfOA9ujN1DKAJKvpn/view?usp=drivesdk" TargetMode="External"/><Relationship Id="rId8084" Type="http://schemas.openxmlformats.org/officeDocument/2006/relationships/hyperlink" Target="https://drive.google.com/file/d/1WnrQzRa3uaN0l5ZOerXyUux36ILsED0o/view?usp=drivesdk" TargetMode="External"/><Relationship Id="rId8083" Type="http://schemas.openxmlformats.org/officeDocument/2006/relationships/hyperlink" Target="https://drive.google.com/file/d/1iVoVxPnvAqfKlXRGvhVo1mHbK2KARCXR/view?usp=drivesdk" TargetMode="External"/><Relationship Id="rId8089" Type="http://schemas.openxmlformats.org/officeDocument/2006/relationships/hyperlink" Target="https://drive.google.com/file/d/12o-rMGkQ6ITmu42MGhuass6shx5dOJqC/view?usp=drivesdk" TargetMode="External"/><Relationship Id="rId8088" Type="http://schemas.openxmlformats.org/officeDocument/2006/relationships/hyperlink" Target="https://drive.google.com/file/d/1grLysuXrRR7AN0ZP3j40n_OUT_vjK57x/view?usp=drivesdk" TargetMode="External"/><Relationship Id="rId8087" Type="http://schemas.openxmlformats.org/officeDocument/2006/relationships/hyperlink" Target="https://drive.google.com/file/d/1eRmrbrH0s7C1cQP4MZFy8MaGdaT3NE_x/view?usp=drivesdk" TargetMode="External"/><Relationship Id="rId5810" Type="http://schemas.openxmlformats.org/officeDocument/2006/relationships/hyperlink" Target="https://drive.google.com/file/d/12KH60aplhDwmuzkwniWQcKrJ5oP30b_q/view?usp=drivesdk" TargetMode="External"/><Relationship Id="rId5802" Type="http://schemas.openxmlformats.org/officeDocument/2006/relationships/hyperlink" Target="https://drive.google.com/file/d/1t3soDGMIxqJslCu_AxlH7o3WZ7kH7cN3/view?usp=drivesdk" TargetMode="External"/><Relationship Id="rId5803" Type="http://schemas.openxmlformats.org/officeDocument/2006/relationships/hyperlink" Target="https://drive.google.com/file/d/1nIuBNGP_E70Crw3dfVjQI-W7fTnj0jDf/view?usp=drivesdk" TargetMode="External"/><Relationship Id="rId5800" Type="http://schemas.openxmlformats.org/officeDocument/2006/relationships/hyperlink" Target="https://drive.google.com/file/d/18AM1YMwHRoIJgwJ7kBHRQUTvZWfD8in0/view?usp=drivesdk" TargetMode="External"/><Relationship Id="rId5801" Type="http://schemas.openxmlformats.org/officeDocument/2006/relationships/hyperlink" Target="https://drive.google.com/file/d/1Ba8WvMwPmOTqFZ3Ea3p0kESZrsJh1OhB/view?usp=drivesdk" TargetMode="External"/><Relationship Id="rId5806" Type="http://schemas.openxmlformats.org/officeDocument/2006/relationships/hyperlink" Target="https://drive.google.com/file/d/1_Kap8faNm-dCTbOxZELYhQNXp3OPb272/view?usp=drivesdk" TargetMode="External"/><Relationship Id="rId5807" Type="http://schemas.openxmlformats.org/officeDocument/2006/relationships/hyperlink" Target="https://drive.google.com/file/d/1dD3Zy95fC15BCeVti7YiU2cafle7n7yG/view?usp=drivesdk" TargetMode="External"/><Relationship Id="rId5804" Type="http://schemas.openxmlformats.org/officeDocument/2006/relationships/hyperlink" Target="https://drive.google.com/file/d/1zpNi9CjwsCQ05PVg0mw948Aa7xn39bPc/view?usp=drivesdk" TargetMode="External"/><Relationship Id="rId5805" Type="http://schemas.openxmlformats.org/officeDocument/2006/relationships/hyperlink" Target="https://drive.google.com/file/d/1NcauuNutTkqBuz3NE4pQY4eXN53mw4Ji/view?usp=drivesdk" TargetMode="External"/><Relationship Id="rId5808" Type="http://schemas.openxmlformats.org/officeDocument/2006/relationships/hyperlink" Target="https://drive.google.com/file/d/1ijQeqCPTTL2hVRx2ZUI3ZSg4jEikmarW/view?usp=drivesdk" TargetMode="External"/><Relationship Id="rId5809" Type="http://schemas.openxmlformats.org/officeDocument/2006/relationships/hyperlink" Target="https://drive.google.com/file/d/1OufJWSOD73yvOaNZc1eN8gSU3srmdsTI/view?usp=drivesdk" TargetMode="External"/><Relationship Id="rId8082" Type="http://schemas.openxmlformats.org/officeDocument/2006/relationships/hyperlink" Target="https://drive.google.com/file/d/1N5oWWXe2KwY0VrXXyPC0ZoSOshpsMs0X/view?usp=drivesdk" TargetMode="External"/><Relationship Id="rId8081" Type="http://schemas.openxmlformats.org/officeDocument/2006/relationships/hyperlink" Target="https://drive.google.com/file/d/1IAX_TtiBUaoBgnIeY7DvdX2NgjU68hme/view?usp=drivesdk" TargetMode="External"/><Relationship Id="rId8080" Type="http://schemas.openxmlformats.org/officeDocument/2006/relationships/hyperlink" Target="https://drive.google.com/file/d/1drvDeRNYVGyOUJUpjacO-5EUmCANZBsp/view?usp=drivesdk" TargetMode="External"/><Relationship Id="rId8075" Type="http://schemas.openxmlformats.org/officeDocument/2006/relationships/hyperlink" Target="https://drive.google.com/file/d/1lfCzIaK9oYjsk5Jfq4NN6Hhwjo-dKoxf/view?usp=drivesdk" TargetMode="External"/><Relationship Id="rId8074" Type="http://schemas.openxmlformats.org/officeDocument/2006/relationships/hyperlink" Target="https://drive.google.com/file/d/1XA1BBrITM-qnyWfNepQ4TaRPyE9VrKIr/view?usp=drivesdk" TargetMode="External"/><Relationship Id="rId8073" Type="http://schemas.openxmlformats.org/officeDocument/2006/relationships/hyperlink" Target="https://drive.google.com/file/d/1NQ_vmaC6EquCxXhYGnm4b661RkOLJGCJ/view?usp=drivesdk" TargetMode="External"/><Relationship Id="rId8072" Type="http://schemas.openxmlformats.org/officeDocument/2006/relationships/hyperlink" Target="https://drive.google.com/file/d/1nVIS9Zp8T3W_KK6RJOq112zmS76arnpy/view?usp=drivesdk" TargetMode="External"/><Relationship Id="rId8079" Type="http://schemas.openxmlformats.org/officeDocument/2006/relationships/hyperlink" Target="https://drive.google.com/file/d/1TasV0miZMgTCujP1bl8ve8hgFLt58WNc/view?usp=drivesdk" TargetMode="External"/><Relationship Id="rId8078" Type="http://schemas.openxmlformats.org/officeDocument/2006/relationships/hyperlink" Target="https://drive.google.com/file/d/12o6IsV7bPpTeWzpRUofRBG0faQ4fjfXP/view?usp=drivesdk" TargetMode="External"/><Relationship Id="rId8077" Type="http://schemas.openxmlformats.org/officeDocument/2006/relationships/hyperlink" Target="https://drive.google.com/file/d/1YxWcwSIoCX5gqkNXNuMeDYPREBb57YU0/view?usp=drivesdk" TargetMode="External"/><Relationship Id="rId8076" Type="http://schemas.openxmlformats.org/officeDocument/2006/relationships/hyperlink" Target="https://drive.google.com/file/d/1NhN_Db0ayhA4xbRGMHHKUHHj0EDsIbFG/view?usp=drivesdk" TargetMode="External"/><Relationship Id="rId4503" Type="http://schemas.openxmlformats.org/officeDocument/2006/relationships/hyperlink" Target="https://drive.google.com/file/d/1k8tAJhOV08bSyrPtKE7k23N3aixOpS6G/view?usp=drivesdk" TargetMode="External"/><Relationship Id="rId5835" Type="http://schemas.openxmlformats.org/officeDocument/2006/relationships/hyperlink" Target="https://drive.google.com/file/d/13f3ZF4OntAHMVnTRp4JKNgfeL2NlhrMj/view?usp=drivesdk" TargetMode="External"/><Relationship Id="rId4502" Type="http://schemas.openxmlformats.org/officeDocument/2006/relationships/hyperlink" Target="https://drive.google.com/file/d/1czt0G1UFz7T-SGTLy8jWSnOEl8P1w-N1/view?usp=drivesdk" TargetMode="External"/><Relationship Id="rId5836" Type="http://schemas.openxmlformats.org/officeDocument/2006/relationships/hyperlink" Target="https://drive.google.com/file/d/13waESGPV74DihmGJVLZa2e08zpw_P6VI/view?usp=drivesdk" TargetMode="External"/><Relationship Id="rId4505" Type="http://schemas.openxmlformats.org/officeDocument/2006/relationships/hyperlink" Target="https://drive.google.com/file/d/15cFKiX2Bn5KarXiNkZWoBoshVLRdDMya/view?usp=drivesdk" TargetMode="External"/><Relationship Id="rId5833" Type="http://schemas.openxmlformats.org/officeDocument/2006/relationships/hyperlink" Target="https://drive.google.com/file/d/1Ag76042xPkAyZFvTKUMaKx19zQKkfXBn/view?usp=drivesdk" TargetMode="External"/><Relationship Id="rId4504" Type="http://schemas.openxmlformats.org/officeDocument/2006/relationships/hyperlink" Target="https://drive.google.com/file/d/1ucwHYgwTTojrSeIlM9gobigav5EyhiOV/view?usp=drivesdk" TargetMode="External"/><Relationship Id="rId5834" Type="http://schemas.openxmlformats.org/officeDocument/2006/relationships/hyperlink" Target="https://drive.google.com/file/d/1Rl0_WV8uYhIEuQIRMZ7A-163OzkpKybI/view?usp=drivesdk" TargetMode="External"/><Relationship Id="rId4507" Type="http://schemas.openxmlformats.org/officeDocument/2006/relationships/hyperlink" Target="https://drive.google.com/file/d/17yDN8nEIZCWIJdaR5-h3fpPALkiuDwJR/view?usp=drivesdk" TargetMode="External"/><Relationship Id="rId5839" Type="http://schemas.openxmlformats.org/officeDocument/2006/relationships/hyperlink" Target="https://drive.google.com/file/d/1IOTuYNeaaUEixVrCYJP5NBgAw6PBAiuS/view?usp=drivesdk" TargetMode="External"/><Relationship Id="rId4506" Type="http://schemas.openxmlformats.org/officeDocument/2006/relationships/hyperlink" Target="https://drive.google.com/file/d/1ABPU0Pk57Ps6w5C7gRd7hlxIdwQCn78H/view?usp=drivesdk" TargetMode="External"/><Relationship Id="rId4509" Type="http://schemas.openxmlformats.org/officeDocument/2006/relationships/hyperlink" Target="https://drive.google.com/file/d/1ErpkTfl7DoMXfQm3-pEyYQnL8DPeC00B/view?usp=drivesdk" TargetMode="External"/><Relationship Id="rId5837" Type="http://schemas.openxmlformats.org/officeDocument/2006/relationships/hyperlink" Target="https://drive.google.com/file/d/1iRlDAt2g_1nvhlJDdtksuzp39ig2Mm27/view?usp=drivesdk" TargetMode="External"/><Relationship Id="rId4508" Type="http://schemas.openxmlformats.org/officeDocument/2006/relationships/hyperlink" Target="https://drive.google.com/file/d/1EWqgGUzaLtFw9MlzRYaBoSn8HlayWAS3/view?usp=drivesdk" TargetMode="External"/><Relationship Id="rId5838" Type="http://schemas.openxmlformats.org/officeDocument/2006/relationships/hyperlink" Target="https://drive.google.com/file/d/17pQ0U3JYq0cf2LvVnwLSwpjcgbr4CAwr/view?usp=drivesdk" TargetMode="External"/><Relationship Id="rId5831" Type="http://schemas.openxmlformats.org/officeDocument/2006/relationships/hyperlink" Target="https://drive.google.com/file/d/1S1Aa0YLICXVTGIDC1ivH3K9ksD4_alAT/view?usp=drivesdk" TargetMode="External"/><Relationship Id="rId5832" Type="http://schemas.openxmlformats.org/officeDocument/2006/relationships/hyperlink" Target="https://drive.google.com/file/d/1vtUHI-gnslnx60mbO4E0Fy23_b8-8TVM/view?usp=drivesdk" TargetMode="External"/><Relationship Id="rId4501" Type="http://schemas.openxmlformats.org/officeDocument/2006/relationships/hyperlink" Target="https://drive.google.com/file/d/1UuCy1m02e5B35xi5K9awkfUMqmIRt86p/view?usp=drivesdk" TargetMode="External"/><Relationship Id="rId4500" Type="http://schemas.openxmlformats.org/officeDocument/2006/relationships/hyperlink" Target="https://drive.google.com/file/d/18Mu11NHV1FREPRio6tus3JPtP9wL1kET/view?usp=drivesdk" TargetMode="External"/><Relationship Id="rId5830" Type="http://schemas.openxmlformats.org/officeDocument/2006/relationships/hyperlink" Target="https://drive.google.com/file/d/1vunNhf18CBaNFrAOLuR2zI3d3zJbci6w/view?usp=drivesdk" TargetMode="External"/><Relationship Id="rId5824" Type="http://schemas.openxmlformats.org/officeDocument/2006/relationships/hyperlink" Target="https://drive.google.com/file/d/1M0Y7gzyNY6jTY2lc0mFSKJrhGRtMbIUe/view?usp=drivesdk" TargetMode="External"/><Relationship Id="rId5825" Type="http://schemas.openxmlformats.org/officeDocument/2006/relationships/hyperlink" Target="https://drive.google.com/file/d/1bZfBUfmijpBUk-82oOVpL1MqwkbM5-8I/view?usp=drivesdk" TargetMode="External"/><Relationship Id="rId5822" Type="http://schemas.openxmlformats.org/officeDocument/2006/relationships/hyperlink" Target="https://drive.google.com/file/d/1OMTI-SJ5TAi2eAeRKG3eucU93s6BXX0o/view?usp=drivesdk" TargetMode="External"/><Relationship Id="rId5823" Type="http://schemas.openxmlformats.org/officeDocument/2006/relationships/hyperlink" Target="https://drive.google.com/file/d/1Iol9GcM1G10malNTZSHWkDGDUR7GQYeV/view?usp=drivesdk" TargetMode="External"/><Relationship Id="rId5828" Type="http://schemas.openxmlformats.org/officeDocument/2006/relationships/hyperlink" Target="https://drive.google.com/file/d/1sFhWqW-PqKUeJnk79k1oDevF9eMNc7E2/view?usp=drivesdk" TargetMode="External"/><Relationship Id="rId5829" Type="http://schemas.openxmlformats.org/officeDocument/2006/relationships/hyperlink" Target="https://drive.google.com/file/d/1uXwt2lyv4IA5tOmFT1bGyurPQZHV-MOO/view?usp=drivesdk" TargetMode="External"/><Relationship Id="rId5826" Type="http://schemas.openxmlformats.org/officeDocument/2006/relationships/hyperlink" Target="https://drive.google.com/file/d/1xxshudGr77hnaRyc1m3uPbLgf70venX5/view?usp=drivesdk" TargetMode="External"/><Relationship Id="rId5827" Type="http://schemas.openxmlformats.org/officeDocument/2006/relationships/hyperlink" Target="https://drive.google.com/file/d/1ebOJXEHHCZDzcpTljyyVZ0jYFrnlmKVr/view?usp=drivesdk" TargetMode="External"/><Relationship Id="rId8097" Type="http://schemas.openxmlformats.org/officeDocument/2006/relationships/hyperlink" Target="https://drive.google.com/file/d/1Ze8r4DQAI1mlaE4f7jl2V21WJAJwXZNM/view?usp=drivesdk" TargetMode="External"/><Relationship Id="rId8096" Type="http://schemas.openxmlformats.org/officeDocument/2006/relationships/hyperlink" Target="https://drive.google.com/file/d/1xViva9oIkEp33-e-e-h8QoWfCrhzxHmw/view?usp=drivesdk" TargetMode="External"/><Relationship Id="rId8095" Type="http://schemas.openxmlformats.org/officeDocument/2006/relationships/hyperlink" Target="https://drive.google.com/file/d/18kbluG3HNDgFbepztxUdX33jEZ3KZ6ch/view?usp=drivesdk" TargetMode="External"/><Relationship Id="rId8094" Type="http://schemas.openxmlformats.org/officeDocument/2006/relationships/hyperlink" Target="https://drive.google.com/file/d/1RZ_xzl2PDxfWDWQQUt39bK_dqMp7BxI_/view?usp=drivesdk" TargetMode="External"/><Relationship Id="rId8099" Type="http://schemas.openxmlformats.org/officeDocument/2006/relationships/hyperlink" Target="https://drive.google.com/file/d/10XCngxWof5LcczB0FV2uyEai_ybeMsL-/view?usp=drivesdk" TargetMode="External"/><Relationship Id="rId8098" Type="http://schemas.openxmlformats.org/officeDocument/2006/relationships/hyperlink" Target="https://drive.google.com/file/d/1mqE-EX9pQWMHRergijceOdn75cmJMHGE/view?usp=drivesdk" TargetMode="External"/><Relationship Id="rId5820" Type="http://schemas.openxmlformats.org/officeDocument/2006/relationships/hyperlink" Target="https://drive.google.com/file/d/1Og7MAZYFq8bRtcEUH3R9E690KLbQbUk3/view?usp=drivesdk" TargetMode="External"/><Relationship Id="rId5821" Type="http://schemas.openxmlformats.org/officeDocument/2006/relationships/hyperlink" Target="https://drive.google.com/file/d/1ljCd8FsaIe4XbJlPv6yu04ARu7EdMeVN/view?usp=drivesdk" TargetMode="External"/><Relationship Id="rId8042" Type="http://schemas.openxmlformats.org/officeDocument/2006/relationships/hyperlink" Target="https://drive.google.com/file/d/1qjoqtUQU49BGmOu6Rnaa-6AZ3mNeCPFO/view?usp=drivesdk" TargetMode="External"/><Relationship Id="rId8041" Type="http://schemas.openxmlformats.org/officeDocument/2006/relationships/hyperlink" Target="https://drive.google.com/file/d/1Ea93-MgqcfmgmW4X6MCnHCCu5DbH3yjf/view?usp=drivesdk" TargetMode="External"/><Relationship Id="rId8040" Type="http://schemas.openxmlformats.org/officeDocument/2006/relationships/hyperlink" Target="https://drive.google.com/file/d/1WzLKjmh-aZONzen0saubueveNk0e54a1/view?usp=drivesdk" TargetMode="External"/><Relationship Id="rId8046" Type="http://schemas.openxmlformats.org/officeDocument/2006/relationships/hyperlink" Target="https://drive.google.com/file/d/1yqCWkS2yG9GojNxK4kvsuHLZwt3IK3Bf/view?usp=drivesdk" TargetMode="External"/><Relationship Id="rId8045" Type="http://schemas.openxmlformats.org/officeDocument/2006/relationships/hyperlink" Target="https://drive.google.com/file/d/1V2_aKXrTKFB1rblMEYDMbGvDvKj59zIE/view?usp=drivesdk" TargetMode="External"/><Relationship Id="rId8044" Type="http://schemas.openxmlformats.org/officeDocument/2006/relationships/hyperlink" Target="https://drive.google.com/file/d/1J8FDwAlDMYXr8AP_960pNFwzgYqknC4K/view?usp=drivesdk" TargetMode="External"/><Relationship Id="rId8043" Type="http://schemas.openxmlformats.org/officeDocument/2006/relationships/hyperlink" Target="https://drive.google.com/file/d/1p3Ve90JuDQOgsNmc0xjTifQuSGe6QJ5c/view?usp=drivesdk" TargetMode="External"/><Relationship Id="rId8049" Type="http://schemas.openxmlformats.org/officeDocument/2006/relationships/hyperlink" Target="https://drive.google.com/file/d/1UA8ny6fJm8sJ8FVRdw_kJtuobmnPllYh/view?usp=drivesdk" TargetMode="External"/><Relationship Id="rId8048" Type="http://schemas.openxmlformats.org/officeDocument/2006/relationships/hyperlink" Target="https://drive.google.com/file/d/1lgaWNHdW94sKhxF_Lz1yvsjsY1yql8rv/view?usp=drivesdk" TargetMode="External"/><Relationship Id="rId8047" Type="http://schemas.openxmlformats.org/officeDocument/2006/relationships/hyperlink" Target="https://drive.google.com/file/d/1cPTcDi_FwJ3KWaBPh5kMbfPIzo6y4VZy/view?usp=drivesdk" TargetMode="External"/><Relationship Id="rId8031" Type="http://schemas.openxmlformats.org/officeDocument/2006/relationships/hyperlink" Target="https://drive.google.com/file/d/1dV0_Z0z78LpoFs9uUjj-LColsY-V28V0/view?usp=drivesdk" TargetMode="External"/><Relationship Id="rId8030" Type="http://schemas.openxmlformats.org/officeDocument/2006/relationships/hyperlink" Target="https://drive.google.com/file/d/1qgWNsBYFPmJauo6cwkFG8n6VdfjLcM5w/view?usp=drivesdk" TargetMode="External"/><Relationship Id="rId8035" Type="http://schemas.openxmlformats.org/officeDocument/2006/relationships/hyperlink" Target="https://drive.google.com/file/d/1xqYS53wdLLKoIsieWLQo4FiPSprGpt76/view?usp=drivesdk" TargetMode="External"/><Relationship Id="rId8034" Type="http://schemas.openxmlformats.org/officeDocument/2006/relationships/hyperlink" Target="https://drive.google.com/file/d/1CJlh1fM5Rb8ecwCZW1F9hKiabqF7F3fT/view?usp=drivesdk" TargetMode="External"/><Relationship Id="rId8033" Type="http://schemas.openxmlformats.org/officeDocument/2006/relationships/hyperlink" Target="https://drive.google.com/file/d/1TaU1Y5pjWPj-M905gahg-jXn95gUYeJ_/view?usp=drivesdk" TargetMode="External"/><Relationship Id="rId8032" Type="http://schemas.openxmlformats.org/officeDocument/2006/relationships/hyperlink" Target="https://drive.google.com/file/d/1sEmb7v_0MPpQX_Du8TCc7RgoyNQnGlap/view?usp=drivesdk" TargetMode="External"/><Relationship Id="rId8039" Type="http://schemas.openxmlformats.org/officeDocument/2006/relationships/hyperlink" Target="https://drive.google.com/file/d/1RH6MnNRk1lqv2UoQA1h2Q3qYte3EKmPr/view?usp=drivesdk" TargetMode="External"/><Relationship Id="rId8038" Type="http://schemas.openxmlformats.org/officeDocument/2006/relationships/hyperlink" Target="https://drive.google.com/file/d/1aGGaEtuZ2Xj7EK8pn7UadLNFeXCwC0oT/view?usp=drivesdk" TargetMode="External"/><Relationship Id="rId8037" Type="http://schemas.openxmlformats.org/officeDocument/2006/relationships/hyperlink" Target="https://drive.google.com/file/d/19JNLCP5pkHKniKCIBRZvhUEN0aYkRXa3/view?usp=drivesdk" TargetMode="External"/><Relationship Id="rId8036" Type="http://schemas.openxmlformats.org/officeDocument/2006/relationships/hyperlink" Target="https://drive.google.com/file/d/1q2BDMRIYAyIJxdIU2mpFogTpSWxDYbYj/view?usp=drivesdk" TargetMode="External"/><Relationship Id="rId8071" Type="http://schemas.openxmlformats.org/officeDocument/2006/relationships/hyperlink" Target="https://drive.google.com/file/d/1H0ASE18d1LR2oJZtE0MP1kJPEtxUKTp2/view?usp=drivesdk" TargetMode="External"/><Relationship Id="rId8070" Type="http://schemas.openxmlformats.org/officeDocument/2006/relationships/hyperlink" Target="https://drive.google.com/file/d/1qPBV1TmlYNuV6G1iuz5OZiKDZW08qKv9/view?usp=drivesdk" TargetMode="External"/><Relationship Id="rId8064" Type="http://schemas.openxmlformats.org/officeDocument/2006/relationships/hyperlink" Target="https://drive.google.com/file/d/1T1MFVh-Lf2LE4h6TbDdHUovVu7wwsrLM/view?usp=drivesdk" TargetMode="External"/><Relationship Id="rId8063" Type="http://schemas.openxmlformats.org/officeDocument/2006/relationships/hyperlink" Target="https://drive.google.com/file/d/1HX4kvH9QsWfZq8d52ntzDgodXmDUkVQE/view?usp=drivesdk" TargetMode="External"/><Relationship Id="rId8062" Type="http://schemas.openxmlformats.org/officeDocument/2006/relationships/hyperlink" Target="https://drive.google.com/file/d/1ZDO67AeD6B0bwLDiGmoCQzUc7LZ5bFjc/view?usp=drivesdk" TargetMode="External"/><Relationship Id="rId8061" Type="http://schemas.openxmlformats.org/officeDocument/2006/relationships/hyperlink" Target="https://drive.google.com/file/d/1oc3mVE_bkpUudMta-E-u1YSRgP1R0fhS/view?usp=drivesdk" TargetMode="External"/><Relationship Id="rId8068" Type="http://schemas.openxmlformats.org/officeDocument/2006/relationships/hyperlink" Target="https://drive.google.com/file/d/164h1srou6S7X3VP5wu1lPXZfd1neNDsW/view?usp=drivesdk" TargetMode="External"/><Relationship Id="rId8067" Type="http://schemas.openxmlformats.org/officeDocument/2006/relationships/hyperlink" Target="https://drive.google.com/file/d/13Rqk2bKhea5sqRkHHhZJMG8LHp78DfkK/view?usp=drivesdk" TargetMode="External"/><Relationship Id="rId8066" Type="http://schemas.openxmlformats.org/officeDocument/2006/relationships/hyperlink" Target="https://drive.google.com/file/d/1xVf3W5IF9nOkuFyqVHl-K0Rgi9SmfURI/view?usp=drivesdk" TargetMode="External"/><Relationship Id="rId8065" Type="http://schemas.openxmlformats.org/officeDocument/2006/relationships/hyperlink" Target="https://drive.google.com/file/d/1Lo0o9Le7UWxlWRjxrfTKrStopwTCc6WM/view?usp=drivesdk" TargetMode="External"/><Relationship Id="rId8069" Type="http://schemas.openxmlformats.org/officeDocument/2006/relationships/hyperlink" Target="https://drive.google.com/file/d/13VtD0m96999Uj_XS7J0e7RQwRhIhiIX_/view?usp=drivesdk" TargetMode="External"/><Relationship Id="rId8060" Type="http://schemas.openxmlformats.org/officeDocument/2006/relationships/hyperlink" Target="https://drive.google.com/file/d/14Iyy6QutIPeCc3TDsRzJlGh0Dm1o9KKs/view?usp=drivesdk" TargetMode="External"/><Relationship Id="rId8053" Type="http://schemas.openxmlformats.org/officeDocument/2006/relationships/hyperlink" Target="https://drive.google.com/file/d/1gQCIzQr_3s3CoC1Pjy0UgKgo6USu__4V/view?usp=drivesdk" TargetMode="External"/><Relationship Id="rId8052" Type="http://schemas.openxmlformats.org/officeDocument/2006/relationships/hyperlink" Target="https://drive.google.com/file/d/1WGu3FVpLSJlaeO-3E5Ed5HJHns5h_d_h/view?usp=drivesdk" TargetMode="External"/><Relationship Id="rId8051" Type="http://schemas.openxmlformats.org/officeDocument/2006/relationships/hyperlink" Target="https://drive.google.com/file/d/1wCTsDd7bG3R1OlZL2T_WL4YwpM1BfPFL/view?usp=drivesdk" TargetMode="External"/><Relationship Id="rId8050" Type="http://schemas.openxmlformats.org/officeDocument/2006/relationships/hyperlink" Target="https://drive.google.com/file/d/1147nw4VQa8fg9CLq9T3sIVcUN7HPTEK5/view?usp=drivesdk" TargetMode="External"/><Relationship Id="rId8057" Type="http://schemas.openxmlformats.org/officeDocument/2006/relationships/hyperlink" Target="https://drive.google.com/file/d/10n5lY--Dl2tQyIQG333TplCNUP5yBxl4/view?usp=drivesdk" TargetMode="External"/><Relationship Id="rId8056" Type="http://schemas.openxmlformats.org/officeDocument/2006/relationships/hyperlink" Target="https://drive.google.com/file/d/10SayEfqxCYr6_lRrJ3HBmxQwYyBOgQXF/view?usp=drivesdk" TargetMode="External"/><Relationship Id="rId8055" Type="http://schemas.openxmlformats.org/officeDocument/2006/relationships/hyperlink" Target="https://drive.google.com/file/d/1xy3z_0c-4Eq1CLrVPhG55nttaXOEq6ll/view?usp=drivesdk" TargetMode="External"/><Relationship Id="rId8054" Type="http://schemas.openxmlformats.org/officeDocument/2006/relationships/hyperlink" Target="https://drive.google.com/file/d/1p-vpVeeU3L5Xe6YX8b_0zz4zWalg8BKp/view?usp=drivesdk" TargetMode="External"/><Relationship Id="rId8059" Type="http://schemas.openxmlformats.org/officeDocument/2006/relationships/hyperlink" Target="https://drive.google.com/file/d/1MEau3wEwZxovOzZZBRBEOdV8t5Z6xa6F/view?usp=drivesdk" TargetMode="External"/><Relationship Id="rId8058" Type="http://schemas.openxmlformats.org/officeDocument/2006/relationships/hyperlink" Target="https://drive.google.com/file/d/1mgXZK8DwDBHgot7o8Y7Mv6VRWS7lke0Q/view?usp=drivesdk" TargetMode="External"/><Relationship Id="rId3238" Type="http://schemas.openxmlformats.org/officeDocument/2006/relationships/hyperlink" Target="https://drive.google.com/file/d/1PiOUUayoysgt6DPDf-r8K_SYAr-XTVFg/view?usp=drivesdk" TargetMode="External"/><Relationship Id="rId4569" Type="http://schemas.openxmlformats.org/officeDocument/2006/relationships/hyperlink" Target="https://drive.google.com/file/d/1yH1mJ7o019B6DZQEfiNkqfviviQoTh1s/view?usp=drivesdk" TargetMode="External"/><Relationship Id="rId3237" Type="http://schemas.openxmlformats.org/officeDocument/2006/relationships/hyperlink" Target="https://drive.google.com/file/d/16UTXuqnGQ5ILS-0eN6Ntc5A2sW3FXZBA/view?usp=drivesdk" TargetMode="External"/><Relationship Id="rId4568" Type="http://schemas.openxmlformats.org/officeDocument/2006/relationships/hyperlink" Target="https://drive.google.com/file/d/1CZvpYUCzBVRdpEXQ-qHjHSBupRCGf7wx/view?usp=drivesdk" TargetMode="External"/><Relationship Id="rId5899" Type="http://schemas.openxmlformats.org/officeDocument/2006/relationships/hyperlink" Target="https://drive.google.com/file/d/15scx6M9SE7h5hx7oK-JT9wTV-xJh4hY9/view?usp=drivesdk" TargetMode="External"/><Relationship Id="rId3239" Type="http://schemas.openxmlformats.org/officeDocument/2006/relationships/hyperlink" Target="https://drive.google.com/file/d/1YkBWmbZKulJqVukgZsISMNQq-M-ss5W0/view?usp=drivesdk" TargetMode="External"/><Relationship Id="rId5890" Type="http://schemas.openxmlformats.org/officeDocument/2006/relationships/hyperlink" Target="https://drive.google.com/file/d/1FsIKj4Fa_XbZinIT-tPkKGhzSLpzI18d/view?usp=drivesdk" TargetMode="External"/><Relationship Id="rId3230" Type="http://schemas.openxmlformats.org/officeDocument/2006/relationships/hyperlink" Target="https://drive.google.com/file/d/1vNG19WMXw_gn1b5etm1OfhfNTPT5e1Go/view?usp=drivesdk" TargetMode="External"/><Relationship Id="rId4561" Type="http://schemas.openxmlformats.org/officeDocument/2006/relationships/hyperlink" Target="https://drive.google.com/file/d/1AKnTyZHcgjhKySD7lO3184WVmB_QfrdM/view?usp=drivesdk" TargetMode="External"/><Relationship Id="rId5893" Type="http://schemas.openxmlformats.org/officeDocument/2006/relationships/hyperlink" Target="https://drive.google.com/file/d/1dShZCr5r1HI3k_NYYzndagx51paWCjg9/view?usp=drivesdk" TargetMode="External"/><Relationship Id="rId4560" Type="http://schemas.openxmlformats.org/officeDocument/2006/relationships/hyperlink" Target="https://drive.google.com/file/d/1k3Do6uyonVAiInO9Awk3nkzkJROSC6Ul/view?usp=drivesdk" TargetMode="External"/><Relationship Id="rId5894" Type="http://schemas.openxmlformats.org/officeDocument/2006/relationships/hyperlink" Target="https://drive.google.com/file/d/1Cj3weDAyqFyIYnODILr692SYvrO1-TmI/view?usp=drivesdk" TargetMode="External"/><Relationship Id="rId3232" Type="http://schemas.openxmlformats.org/officeDocument/2006/relationships/hyperlink" Target="https://drive.google.com/file/d/1S4R96utiQXtwFz2wfl3IoaFraDJ_xuF6/view?usp=drivesdk" TargetMode="External"/><Relationship Id="rId4563" Type="http://schemas.openxmlformats.org/officeDocument/2006/relationships/hyperlink" Target="https://drive.google.com/file/d/1arHeCVnn97J9i0FlQuqvSMdLKDv4snPt/view?usp=drivesdk" TargetMode="External"/><Relationship Id="rId5891" Type="http://schemas.openxmlformats.org/officeDocument/2006/relationships/hyperlink" Target="https://drive.google.com/file/d/1DcSO8Gf6qqk2H2zRGM-LnDjgU13iYfoW/view?usp=drivesdk" TargetMode="External"/><Relationship Id="rId3231" Type="http://schemas.openxmlformats.org/officeDocument/2006/relationships/hyperlink" Target="https://drive.google.com/file/d/1YpdQ08w_ZlWm-QIKqaXiPpjeR2RRO8Az/view?usp=drivesdk" TargetMode="External"/><Relationship Id="rId4562" Type="http://schemas.openxmlformats.org/officeDocument/2006/relationships/hyperlink" Target="https://drive.google.com/file/d/1K9Vkspl3Hi0suKfKBGZnWNUJ6PACzeTa/view?usp=drivesdk" TargetMode="External"/><Relationship Id="rId5892" Type="http://schemas.openxmlformats.org/officeDocument/2006/relationships/hyperlink" Target="https://drive.google.com/file/d/1IiHA1N3Rkl6F21vVD0ZTYu5xcf-5UF0O/view?usp=drivesdk" TargetMode="External"/><Relationship Id="rId3234" Type="http://schemas.openxmlformats.org/officeDocument/2006/relationships/hyperlink" Target="https://drive.google.com/file/d/1Fqt-Vo01UGWAFtJOQ_mFnv1-ZL6vQ0qH/view?usp=drivesdk" TargetMode="External"/><Relationship Id="rId4565" Type="http://schemas.openxmlformats.org/officeDocument/2006/relationships/hyperlink" Target="https://drive.google.com/file/d/1QmPhGwpjo7W7p8XFWDtNVZ3FoaD7DFsw/view?usp=drivesdk" TargetMode="External"/><Relationship Id="rId5897" Type="http://schemas.openxmlformats.org/officeDocument/2006/relationships/hyperlink" Target="https://drive.google.com/file/d/1YUpXSAJKbP4mZEj1vhCH7sXzORvgzIfj/view?usp=drivesdk" TargetMode="External"/><Relationship Id="rId3233" Type="http://schemas.openxmlformats.org/officeDocument/2006/relationships/hyperlink" Target="https://drive.google.com/file/d/1UiTneuxXHRa6oRnqkZQCMQGbj2uU5Fa3/view?usp=drivesdk" TargetMode="External"/><Relationship Id="rId4564" Type="http://schemas.openxmlformats.org/officeDocument/2006/relationships/hyperlink" Target="https://drive.google.com/file/d/1GB_VExSiKo1RZCHRynA63ODGzthcZavn/view?usp=drivesdk" TargetMode="External"/><Relationship Id="rId5898" Type="http://schemas.openxmlformats.org/officeDocument/2006/relationships/hyperlink" Target="https://drive.google.com/file/d/1WTeWfVb_oJ5qgpZ7s5Ay4u3kvxnmuxpT/view?usp=drivesdk" TargetMode="External"/><Relationship Id="rId3236" Type="http://schemas.openxmlformats.org/officeDocument/2006/relationships/hyperlink" Target="https://drive.google.com/file/d/1l8-7wPTh4yqa4wdiBoJ-RiJD7H6gcaGS/view?usp=drivesdk" TargetMode="External"/><Relationship Id="rId4567" Type="http://schemas.openxmlformats.org/officeDocument/2006/relationships/hyperlink" Target="https://drive.google.com/file/d/1dtRD7rksR3eV98JpRyWFq1Qw9-yYzFS9/view?usp=drivesdk" TargetMode="External"/><Relationship Id="rId5895" Type="http://schemas.openxmlformats.org/officeDocument/2006/relationships/hyperlink" Target="https://drive.google.com/file/d/1m_RMQZBEykpMHPyiwYgGLWTupUeZsbg0/view?usp=drivesdk" TargetMode="External"/><Relationship Id="rId3235" Type="http://schemas.openxmlformats.org/officeDocument/2006/relationships/hyperlink" Target="https://drive.google.com/file/d/1EQ_J12MWv1eQDIaZohxgVNbFn5SmiITS/view?usp=drivesdk" TargetMode="External"/><Relationship Id="rId4566" Type="http://schemas.openxmlformats.org/officeDocument/2006/relationships/hyperlink" Target="https://drive.google.com/file/d/18ZNgzZv2OC5mySEX6-MMnE4QUSaoharI/view?usp=drivesdk" TargetMode="External"/><Relationship Id="rId5896" Type="http://schemas.openxmlformats.org/officeDocument/2006/relationships/hyperlink" Target="https://drive.google.com/file/d/10sIc1LT541F1QuBtuIqcKm8gHeGR7xcL/view?usp=drivesdk" TargetMode="External"/><Relationship Id="rId3227" Type="http://schemas.openxmlformats.org/officeDocument/2006/relationships/hyperlink" Target="https://drive.google.com/file/d/17aeXnqzudGnS9ylAeacuGr0Kx-_kVA5Q/view?usp=drivesdk" TargetMode="External"/><Relationship Id="rId4558" Type="http://schemas.openxmlformats.org/officeDocument/2006/relationships/hyperlink" Target="https://drive.google.com/file/d/1hpeZNjOb3pv1iSwVJOlZ9W3Lato0cchY/view?usp=drivesdk" TargetMode="External"/><Relationship Id="rId3226" Type="http://schemas.openxmlformats.org/officeDocument/2006/relationships/hyperlink" Target="https://drive.google.com/file/d/1O1QkHoe5SqBXZPpliwq4r7RyP8nAt88D/view?usp=drivesdk" TargetMode="External"/><Relationship Id="rId4557" Type="http://schemas.openxmlformats.org/officeDocument/2006/relationships/hyperlink" Target="https://drive.google.com/file/d/1Cnu7oXmgcY4yb0W382JLeKBZSCeStc-4/view?usp=drivesdk" TargetMode="External"/><Relationship Id="rId3229" Type="http://schemas.openxmlformats.org/officeDocument/2006/relationships/hyperlink" Target="https://drive.google.com/file/d/1Ys4nDi1kpSmeMyzrx58lI1z0FKch6Y6s/view?usp=drivesdk" TargetMode="External"/><Relationship Id="rId5888" Type="http://schemas.openxmlformats.org/officeDocument/2006/relationships/hyperlink" Target="https://drive.google.com/file/d/1AJ9jako7s1gqMeXOsnUniHrPOWQGHL3K/view?usp=drivesdk" TargetMode="External"/><Relationship Id="rId3228" Type="http://schemas.openxmlformats.org/officeDocument/2006/relationships/hyperlink" Target="https://drive.google.com/file/d/1vXR--UYyvY0ce6WEC6nOfCN6T3t95G7D/view?usp=drivesdk" TargetMode="External"/><Relationship Id="rId4559" Type="http://schemas.openxmlformats.org/officeDocument/2006/relationships/hyperlink" Target="https://drive.google.com/file/d/1WAjnqKDLGJ0s_kSPiMNO1EE4sEkrYmTc/view?usp=drivesdk" TargetMode="External"/><Relationship Id="rId5889" Type="http://schemas.openxmlformats.org/officeDocument/2006/relationships/hyperlink" Target="https://drive.google.com/file/d/10tCyiNeNE5dItBo4flLl2wn_1tVP4tK9/view?usp=drivesdk" TargetMode="External"/><Relationship Id="rId4550" Type="http://schemas.openxmlformats.org/officeDocument/2006/relationships/hyperlink" Target="https://drive.google.com/file/d/1MMfohtC_fxWRwv-N1fHa3yyIWwmdBxaz/view?usp=drivesdk" TargetMode="External"/><Relationship Id="rId5882" Type="http://schemas.openxmlformats.org/officeDocument/2006/relationships/hyperlink" Target="https://drive.google.com/file/d/1iWGyE4II8QdQhljhABPE8ftCna8rgaVQ/view?usp=drivesdk" TargetMode="External"/><Relationship Id="rId5883" Type="http://schemas.openxmlformats.org/officeDocument/2006/relationships/hyperlink" Target="https://drive.google.com/file/d/17Z0zn38OtKuDkZ1iAvcNO3RQw4QQvUuj/view?usp=drivesdk" TargetMode="External"/><Relationship Id="rId3221" Type="http://schemas.openxmlformats.org/officeDocument/2006/relationships/hyperlink" Target="https://drive.google.com/file/d/1n4BN1VkwfCPc-3GrPhyme-kLChUKYUTl/view?usp=drivesdk" TargetMode="External"/><Relationship Id="rId4552" Type="http://schemas.openxmlformats.org/officeDocument/2006/relationships/hyperlink" Target="https://drive.google.com/file/d/1dAnQBjrtuPB2fX4gpxbP1og3MIks0pWv/view?usp=drivesdk" TargetMode="External"/><Relationship Id="rId5880" Type="http://schemas.openxmlformats.org/officeDocument/2006/relationships/hyperlink" Target="https://drive.google.com/file/d/1SqrSLukOKy8fYKUtWelblbCIZkpgMuTc/view?usp=drivesdk" TargetMode="External"/><Relationship Id="rId3220" Type="http://schemas.openxmlformats.org/officeDocument/2006/relationships/hyperlink" Target="https://drive.google.com/file/d/182flV2__85mkMoSJH0WTqLKyZASc-pFB/view?usp=drivesdk" TargetMode="External"/><Relationship Id="rId4551" Type="http://schemas.openxmlformats.org/officeDocument/2006/relationships/hyperlink" Target="https://drive.google.com/file/d/1nhRSn67apaVzJOPEfvYy71f3mL6LUgRV/view?usp=drivesdk" TargetMode="External"/><Relationship Id="rId5881" Type="http://schemas.openxmlformats.org/officeDocument/2006/relationships/hyperlink" Target="https://drive.google.com/file/d/1TPVh_aLAAPQZrLSpqG0wwrB40iRbIV-l/view?usp=drivesdk" TargetMode="External"/><Relationship Id="rId3223" Type="http://schemas.openxmlformats.org/officeDocument/2006/relationships/hyperlink" Target="https://drive.google.com/file/d/1KOmIGOipu3_2fDkHyBiE1npnDs_Vl-Bj/view?usp=drivesdk" TargetMode="External"/><Relationship Id="rId4554" Type="http://schemas.openxmlformats.org/officeDocument/2006/relationships/hyperlink" Target="https://drive.google.com/file/d/1bAjrKmM3oZqTmL16Nko2OFTlbQx0A5LL/view?usp=drivesdk" TargetMode="External"/><Relationship Id="rId5886" Type="http://schemas.openxmlformats.org/officeDocument/2006/relationships/hyperlink" Target="https://drive.google.com/file/d/1stLYSryIN9T5YGdHHcHlNrva2FxG2bMy/view?usp=drivesdk" TargetMode="External"/><Relationship Id="rId3222" Type="http://schemas.openxmlformats.org/officeDocument/2006/relationships/hyperlink" Target="https://drive.google.com/file/d/16BgI91xb8p3hpSQVBhQFJloO4HgYmDSf/view?usp=drivesdk" TargetMode="External"/><Relationship Id="rId4553" Type="http://schemas.openxmlformats.org/officeDocument/2006/relationships/hyperlink" Target="https://drive.google.com/file/d/1fquYYZgJCN7ibeEgfEVsfNU3-Z5D-9XW/view?usp=drivesdk" TargetMode="External"/><Relationship Id="rId5887" Type="http://schemas.openxmlformats.org/officeDocument/2006/relationships/hyperlink" Target="https://drive.google.com/file/d/1k73IOf0KXsCpf4FWH23a4jFyQj8-T1Kk/view?usp=drivesdk" TargetMode="External"/><Relationship Id="rId3225" Type="http://schemas.openxmlformats.org/officeDocument/2006/relationships/hyperlink" Target="https://drive.google.com/file/d/1rE693Ix_pd3QqmpfaNudQudJd_DQG-o8/view?usp=drivesdk" TargetMode="External"/><Relationship Id="rId4556" Type="http://schemas.openxmlformats.org/officeDocument/2006/relationships/hyperlink" Target="https://drive.google.com/file/d/1vGaYy4mZbg1MXBonkEMf8dirNPLslo1i/view?usp=drivesdk" TargetMode="External"/><Relationship Id="rId5884" Type="http://schemas.openxmlformats.org/officeDocument/2006/relationships/hyperlink" Target="https://drive.google.com/file/d/1gGB3e-_R3zhLEAflrfZhFd0xV12Jb0EF/view?usp=drivesdk" TargetMode="External"/><Relationship Id="rId3224" Type="http://schemas.openxmlformats.org/officeDocument/2006/relationships/hyperlink" Target="https://drive.google.com/file/d/1diFwbw6tKqCHTwWwY_PaAzHcXNUlbCLt/view?usp=drivesdk" TargetMode="External"/><Relationship Id="rId4555" Type="http://schemas.openxmlformats.org/officeDocument/2006/relationships/hyperlink" Target="https://drive.google.com/file/d/1yobpctTfnApymecXlOfzjlPJF9Ivzf9F/view?usp=drivesdk" TargetMode="External"/><Relationship Id="rId5885" Type="http://schemas.openxmlformats.org/officeDocument/2006/relationships/hyperlink" Target="https://drive.google.com/file/d/1h7ewoERJKtT63CVKJ5vDTwsfRpizasm4/view?usp=drivesdk" TargetMode="External"/><Relationship Id="rId3259" Type="http://schemas.openxmlformats.org/officeDocument/2006/relationships/hyperlink" Target="https://drive.google.com/file/d/12-uTdJQ_VzYwS4lDQD-EoWeAkqX1y2Pb/view?usp=drivesdk" TargetMode="External"/><Relationship Id="rId3250" Type="http://schemas.openxmlformats.org/officeDocument/2006/relationships/hyperlink" Target="https://drive.google.com/file/d/1aHEVchy8swCz098pslRfuOIFY0lBb3SD/view?usp=drivesdk" TargetMode="External"/><Relationship Id="rId4581" Type="http://schemas.openxmlformats.org/officeDocument/2006/relationships/hyperlink" Target="https://drive.google.com/file/d/11UWQx3LAJVRTGdAqdp8yX2iKcnxgdZCf/view?usp=drivesdk" TargetMode="External"/><Relationship Id="rId4580" Type="http://schemas.openxmlformats.org/officeDocument/2006/relationships/hyperlink" Target="https://drive.google.com/file/d/13I4CrsMG019z4vlU9X34j6ZSJS5gTCZu/view?usp=drivesdk" TargetMode="External"/><Relationship Id="rId3252" Type="http://schemas.openxmlformats.org/officeDocument/2006/relationships/hyperlink" Target="https://drive.google.com/file/d/1_cRrVl_-GmvTMlmR8eNX9JBP-gYx7-fL/view?usp=drivesdk" TargetMode="External"/><Relationship Id="rId4583" Type="http://schemas.openxmlformats.org/officeDocument/2006/relationships/hyperlink" Target="https://drive.google.com/file/d/1SrFtYM2gmR9oTsUs7xNNMDo6zc13vg6u/view?usp=drivesdk" TargetMode="External"/><Relationship Id="rId3251" Type="http://schemas.openxmlformats.org/officeDocument/2006/relationships/hyperlink" Target="https://drive.google.com/file/d/1Cq8_RLea6OLih8B2yMaRGfJ58AfPkMeb/view?usp=drivesdk" TargetMode="External"/><Relationship Id="rId4582" Type="http://schemas.openxmlformats.org/officeDocument/2006/relationships/hyperlink" Target="https://drive.google.com/file/d/1LuV8b786-61x5vov8idllMaCmmemA_XY/view?usp=drivesdk" TargetMode="External"/><Relationship Id="rId3254" Type="http://schemas.openxmlformats.org/officeDocument/2006/relationships/hyperlink" Target="https://drive.google.com/file/d/1sPKEOvbDvFQVZxsyfqAI6RlQCL23cgjI/view?usp=drivesdk" TargetMode="External"/><Relationship Id="rId4585" Type="http://schemas.openxmlformats.org/officeDocument/2006/relationships/hyperlink" Target="https://drive.google.com/file/d/1JRXPB3cSX5Pq9kd1ZSOAezTZP5ImjTrR/view?usp=drivesdk" TargetMode="External"/><Relationship Id="rId3253" Type="http://schemas.openxmlformats.org/officeDocument/2006/relationships/hyperlink" Target="https://drive.google.com/file/d/1EJoxr4FmVtU0K9tM5wK3V5sRUK-smDkI/view?usp=drivesdk" TargetMode="External"/><Relationship Id="rId4584" Type="http://schemas.openxmlformats.org/officeDocument/2006/relationships/hyperlink" Target="https://drive.google.com/file/d/12dKiSiiha9gUrkgYaVMMRppbJS3CKwjz/view?usp=drivesdk" TargetMode="External"/><Relationship Id="rId3256" Type="http://schemas.openxmlformats.org/officeDocument/2006/relationships/hyperlink" Target="https://drive.google.com/file/d/13iw58Yi72PjE5E3DwoOzYZ6QjG_stDtx/view?usp=drivesdk" TargetMode="External"/><Relationship Id="rId4587" Type="http://schemas.openxmlformats.org/officeDocument/2006/relationships/hyperlink" Target="https://drive.google.com/file/d/1CAeA3pswEuOm4IaMJMVI8kKOi1ccCUMN/view?usp=drivesdk" TargetMode="External"/><Relationship Id="rId3255" Type="http://schemas.openxmlformats.org/officeDocument/2006/relationships/hyperlink" Target="https://drive.google.com/file/d/1mcb3wStreb9_wict8crIuXwgDgj5ggzv/view?usp=drivesdk" TargetMode="External"/><Relationship Id="rId4586" Type="http://schemas.openxmlformats.org/officeDocument/2006/relationships/hyperlink" Target="https://drive.google.com/file/d/1_vSlV7ijh4G9bEV31KcunI0feV-NmgT2/view?usp=drivesdk" TargetMode="External"/><Relationship Id="rId3258" Type="http://schemas.openxmlformats.org/officeDocument/2006/relationships/hyperlink" Target="https://drive.google.com/file/d/1W2aeq3A6WasjApHA1VVkl10ApKxUBAiO/view?usp=drivesdk" TargetMode="External"/><Relationship Id="rId4589" Type="http://schemas.openxmlformats.org/officeDocument/2006/relationships/hyperlink" Target="https://drive.google.com/file/d/1-Xs70Uy58ClxV9MTG_cHt6N6Jo4hV3KT/view?usp=drivesdk" TargetMode="External"/><Relationship Id="rId3257" Type="http://schemas.openxmlformats.org/officeDocument/2006/relationships/hyperlink" Target="https://drive.google.com/file/d/1BSrtPbJka-4U7wyj9l69W8hnWZETcudx/view?usp=drivesdk" TargetMode="External"/><Relationship Id="rId4588" Type="http://schemas.openxmlformats.org/officeDocument/2006/relationships/hyperlink" Target="https://drive.google.com/file/d/1tmRgraQ_2pES1MvsIoK_3hCp6d4Jjz_x/view?usp=drivesdk" TargetMode="External"/><Relationship Id="rId3249" Type="http://schemas.openxmlformats.org/officeDocument/2006/relationships/hyperlink" Target="https://drive.google.com/file/d/1IjegyygLl9hXs0b5HEblCNcTp7YKLffD/view?usp=drivesdk" TargetMode="External"/><Relationship Id="rId3248" Type="http://schemas.openxmlformats.org/officeDocument/2006/relationships/hyperlink" Target="https://drive.google.com/file/d/1tY6vm4SEXKQjBZx9FO-L00PfkKmcnnZD/view?usp=drivesdk" TargetMode="External"/><Relationship Id="rId4579" Type="http://schemas.openxmlformats.org/officeDocument/2006/relationships/hyperlink" Target="https://drive.google.com/file/d/112EHPSOZNDreNdobYnfsNTr3Ny3GomMS/view?usp=drivesdk" TargetMode="External"/><Relationship Id="rId4570" Type="http://schemas.openxmlformats.org/officeDocument/2006/relationships/hyperlink" Target="https://drive.google.com/file/d/1QzuegUjO-02G3yxdEYffr66icLlRiXAp/view?usp=drivesdk" TargetMode="External"/><Relationship Id="rId3241" Type="http://schemas.openxmlformats.org/officeDocument/2006/relationships/hyperlink" Target="https://drive.google.com/file/d/1Yw_30ikjfo6d1ccSyoLOrzL4X2w-Q5Ah/view?usp=drivesdk" TargetMode="External"/><Relationship Id="rId4572" Type="http://schemas.openxmlformats.org/officeDocument/2006/relationships/hyperlink" Target="https://drive.google.com/file/d/1cBghHIoQPPzRcb0MznusNO2mw53Btqjx/view?usp=drivesdk" TargetMode="External"/><Relationship Id="rId3240" Type="http://schemas.openxmlformats.org/officeDocument/2006/relationships/hyperlink" Target="https://drive.google.com/file/d/1E2omdWhfEmSYevIKSk0Q0OAcjdkiPLB9/view?usp=drivesdk" TargetMode="External"/><Relationship Id="rId4571" Type="http://schemas.openxmlformats.org/officeDocument/2006/relationships/hyperlink" Target="https://drive.google.com/file/d/12FtcnG1vN9cmNyXICDX_H_6m5YqwyyWy/view?usp=drivesdk" TargetMode="External"/><Relationship Id="rId3243" Type="http://schemas.openxmlformats.org/officeDocument/2006/relationships/hyperlink" Target="https://drive.google.com/file/d/1UhFBTpe6YIBCFQVzsonK9RaG7WPRC-YG/view?usp=drivesdk" TargetMode="External"/><Relationship Id="rId4574" Type="http://schemas.openxmlformats.org/officeDocument/2006/relationships/hyperlink" Target="https://drive.google.com/file/d/1cirDBg_RA04XAOM3o3Oggg1oVW5g4pju/view?usp=drivesdk" TargetMode="External"/><Relationship Id="rId3242" Type="http://schemas.openxmlformats.org/officeDocument/2006/relationships/hyperlink" Target="https://drive.google.com/file/d/1zuALcl23xF9f4hLxNNUKuJ7CpMFRiWcS/view?usp=drivesdk" TargetMode="External"/><Relationship Id="rId4573" Type="http://schemas.openxmlformats.org/officeDocument/2006/relationships/hyperlink" Target="https://drive.google.com/file/d/1k8LLGzDT2zFhb0UcswJrxouxWkE5DtYN/view?usp=drivesdk" TargetMode="External"/><Relationship Id="rId3245" Type="http://schemas.openxmlformats.org/officeDocument/2006/relationships/hyperlink" Target="https://drive.google.com/file/d/1fpdlj-svQDdsksvh6hYciiEFavAfUpco/view?usp=drivesdk" TargetMode="External"/><Relationship Id="rId4576" Type="http://schemas.openxmlformats.org/officeDocument/2006/relationships/hyperlink" Target="https://drive.google.com/file/d/1wQvvBJUtKpyuqn0SVb7aeK2722phg5Qf/view?usp=drivesdk" TargetMode="External"/><Relationship Id="rId3244" Type="http://schemas.openxmlformats.org/officeDocument/2006/relationships/hyperlink" Target="https://drive.google.com/file/d/1Ng6kqYRt7W8J1P792TKm7Ke5PPEV9j_s/view?usp=drivesdk" TargetMode="External"/><Relationship Id="rId4575" Type="http://schemas.openxmlformats.org/officeDocument/2006/relationships/hyperlink" Target="https://drive.google.com/file/d/1tZ48mX0Ky23Kxd6NZTEpec5Akjf22u-L/view?usp=drivesdk" TargetMode="External"/><Relationship Id="rId3247" Type="http://schemas.openxmlformats.org/officeDocument/2006/relationships/hyperlink" Target="https://drive.google.com/file/d/1ZS5DCwES_odeJm8Z8pFr5svFU2WNT_jC/view?usp=drivesdk" TargetMode="External"/><Relationship Id="rId4578" Type="http://schemas.openxmlformats.org/officeDocument/2006/relationships/hyperlink" Target="https://drive.google.com/file/d/1l3tDLtOn4zNmopdSBnRusg3yvpjzKuHy/view?usp=drivesdk" TargetMode="External"/><Relationship Id="rId3246" Type="http://schemas.openxmlformats.org/officeDocument/2006/relationships/hyperlink" Target="https://drive.google.com/file/d/1farCpBoY79PD6XlKss1T7MlEO8ZRsdYl/view?usp=drivesdk" TargetMode="External"/><Relationship Id="rId4577" Type="http://schemas.openxmlformats.org/officeDocument/2006/relationships/hyperlink" Target="https://drive.google.com/file/d/1MI1OnOP1vJLSIuD_joGJXnki6EzOG4Fp/view?usp=drivesdk" TargetMode="External"/><Relationship Id="rId4525" Type="http://schemas.openxmlformats.org/officeDocument/2006/relationships/hyperlink" Target="https://drive.google.com/file/d/19ZIsy1IDc0Ilgjl1ViHm_QcxcgtxThW3/view?usp=drivesdk" TargetMode="External"/><Relationship Id="rId5857" Type="http://schemas.openxmlformats.org/officeDocument/2006/relationships/hyperlink" Target="https://drive.google.com/file/d/1iG2qg0OzdRVo-xGA5G_LhFh83R3t0peH/view?usp=drivesdk" TargetMode="External"/><Relationship Id="rId4524" Type="http://schemas.openxmlformats.org/officeDocument/2006/relationships/hyperlink" Target="https://drive.google.com/file/d/1AV7XIbUkRnqX5OTgUu9gES3_giIST5y7/view?usp=drivesdk" TargetMode="External"/><Relationship Id="rId5858" Type="http://schemas.openxmlformats.org/officeDocument/2006/relationships/hyperlink" Target="https://drive.google.com/file/d/1LAr0OGp-kiq5-dWvDNN2TFDa_bof1JH8/view?usp=drivesdk" TargetMode="External"/><Relationship Id="rId4527" Type="http://schemas.openxmlformats.org/officeDocument/2006/relationships/hyperlink" Target="https://drive.google.com/file/d/1BB91PvSddDbaHzv7cWz0mDv96J1sHEq2/view?usp=drivesdk" TargetMode="External"/><Relationship Id="rId5855" Type="http://schemas.openxmlformats.org/officeDocument/2006/relationships/hyperlink" Target="https://drive.google.com/file/d/102Qg10N8lthlvLJ2CHEmRJ8pF_Y-5Et3/view?usp=drivesdk" TargetMode="External"/><Relationship Id="rId4526" Type="http://schemas.openxmlformats.org/officeDocument/2006/relationships/hyperlink" Target="https://drive.google.com/file/d/1m2CTL80YlOdIctLpYBZ9BSzCI_7j-xwD/view?usp=drivesdk" TargetMode="External"/><Relationship Id="rId5856" Type="http://schemas.openxmlformats.org/officeDocument/2006/relationships/hyperlink" Target="https://drive.google.com/file/d/1q_1N4LUF2LlQvDjaqbI-61nFbUo-Anir/view?usp=drivesdk" TargetMode="External"/><Relationship Id="rId4529" Type="http://schemas.openxmlformats.org/officeDocument/2006/relationships/hyperlink" Target="https://drive.google.com/file/d/1R819PbjVleqWihTSDCW79yhELJaXMTU6/view?usp=drivesdk" TargetMode="External"/><Relationship Id="rId4528" Type="http://schemas.openxmlformats.org/officeDocument/2006/relationships/hyperlink" Target="https://drive.google.com/file/d/1o7wfEvbVHj3QCHZ-LjVD1OYh3UDhgmT7/view?usp=drivesdk" TargetMode="External"/><Relationship Id="rId5859" Type="http://schemas.openxmlformats.org/officeDocument/2006/relationships/hyperlink" Target="https://drive.google.com/file/d/1_Z-iz_m21zt0BqPjUEyclLcdlUfLQSOn/view?usp=drivesdk" TargetMode="External"/><Relationship Id="rId5850" Type="http://schemas.openxmlformats.org/officeDocument/2006/relationships/hyperlink" Target="https://drive.google.com/file/d/13oU_HQFmSU65ce7xMHgqGjtZFoDmkXWV/view?usp=drivesdk" TargetMode="External"/><Relationship Id="rId4521" Type="http://schemas.openxmlformats.org/officeDocument/2006/relationships/hyperlink" Target="https://drive.google.com/file/d/1PNfbPVLzelOjlWx0jMDlvIlKXJUpDtYS/view?usp=drivesdk" TargetMode="External"/><Relationship Id="rId5853" Type="http://schemas.openxmlformats.org/officeDocument/2006/relationships/hyperlink" Target="https://drive.google.com/file/d/1xZPl8OPqA-pU0ZVs9XAsR860e66xy6pX/view?usp=drivesdk" TargetMode="External"/><Relationship Id="rId4520" Type="http://schemas.openxmlformats.org/officeDocument/2006/relationships/hyperlink" Target="https://drive.google.com/file/d/16vUA2Q2MgnAzi2zkPir9Q-_IlaOj4kMu/view?usp=drivesdk" TargetMode="External"/><Relationship Id="rId5854" Type="http://schemas.openxmlformats.org/officeDocument/2006/relationships/hyperlink" Target="https://drive.google.com/file/d/1yXYI6xfgl_gGgU2yjvKul5Ryc_dxvQvk/view?usp=drivesdk" TargetMode="External"/><Relationship Id="rId4523" Type="http://schemas.openxmlformats.org/officeDocument/2006/relationships/hyperlink" Target="https://drive.google.com/file/d/1s1nsOQ4vZdJ6oNmPy9D3L0od4RjzbY3L/view?usp=drivesdk" TargetMode="External"/><Relationship Id="rId5851" Type="http://schemas.openxmlformats.org/officeDocument/2006/relationships/hyperlink" Target="https://drive.google.com/file/d/1TPXzQkwljf52MKNSMGbY5r-1A1TBXa-M/view?usp=drivesdk" TargetMode="External"/><Relationship Id="rId4522" Type="http://schemas.openxmlformats.org/officeDocument/2006/relationships/hyperlink" Target="https://drive.google.com/file/d/1WdwrZZr2kIyp42qE43-yDWEmIVWPWa6-/view?usp=drivesdk" TargetMode="External"/><Relationship Id="rId5852" Type="http://schemas.openxmlformats.org/officeDocument/2006/relationships/hyperlink" Target="https://drive.google.com/file/d/1oeu6D_rJrYE64cwzcMk52GbQTEwJeIFK/view?usp=drivesdk" TargetMode="External"/><Relationship Id="rId4514" Type="http://schemas.openxmlformats.org/officeDocument/2006/relationships/hyperlink" Target="https://drive.google.com/file/d/1eDxoRqRs_c9WREpA94H5KwUhwHrPVUi2/view?usp=drivesdk" TargetMode="External"/><Relationship Id="rId5846" Type="http://schemas.openxmlformats.org/officeDocument/2006/relationships/hyperlink" Target="https://drive.google.com/file/d/1Jn_U4Nvi8_kaofRIYT1zPWPLZq_n-5uX/view?usp=drivesdk" TargetMode="External"/><Relationship Id="rId4513" Type="http://schemas.openxmlformats.org/officeDocument/2006/relationships/hyperlink" Target="https://drive.google.com/file/d/1bqGcl0Sbnf0se7KYn1Q9Ta2fmoUiTfZz/view?usp=drivesdk" TargetMode="External"/><Relationship Id="rId5847" Type="http://schemas.openxmlformats.org/officeDocument/2006/relationships/hyperlink" Target="https://drive.google.com/file/d/1iSTIxFyBxm_JlVZ7Z0qEmu-fhN_LJcR-/view?usp=drivesdk" TargetMode="External"/><Relationship Id="rId4516" Type="http://schemas.openxmlformats.org/officeDocument/2006/relationships/hyperlink" Target="https://drive.google.com/file/d/1WfQX99bsRF-PRogEqZmmypNGpJJHlTxr/view?usp=drivesdk" TargetMode="External"/><Relationship Id="rId5844" Type="http://schemas.openxmlformats.org/officeDocument/2006/relationships/hyperlink" Target="https://drive.google.com/file/d/1xc0KjTSum4ZSd79TltCJHsuz7C4sElqG/view?usp=drivesdk" TargetMode="External"/><Relationship Id="rId4515" Type="http://schemas.openxmlformats.org/officeDocument/2006/relationships/hyperlink" Target="https://drive.google.com/file/d/1b2pU4hBjW3utto8D4n37c8p96kaoMThQ/view?usp=drivesdk" TargetMode="External"/><Relationship Id="rId5845" Type="http://schemas.openxmlformats.org/officeDocument/2006/relationships/hyperlink" Target="https://drive.google.com/file/d/1-afMbHeTjwaXyp-Spif_scNHgM4tDJ37/view?usp=drivesdk" TargetMode="External"/><Relationship Id="rId4518" Type="http://schemas.openxmlformats.org/officeDocument/2006/relationships/hyperlink" Target="https://drive.google.com/file/d/1dHgvhUrgJeh36OcHJ-mjfXe8u8WICJje/view?usp=drivesdk" TargetMode="External"/><Relationship Id="rId4517" Type="http://schemas.openxmlformats.org/officeDocument/2006/relationships/hyperlink" Target="https://drive.google.com/file/d/1veJeyvY14z3y3l_Bu5lZIr7vWGLd4zHX/view?usp=drivesdk" TargetMode="External"/><Relationship Id="rId5848" Type="http://schemas.openxmlformats.org/officeDocument/2006/relationships/hyperlink" Target="https://drive.google.com/file/d/11OYef-6i6mKMODhVUEhxTXebk7KrXTFz/view?usp=drivesdk" TargetMode="External"/><Relationship Id="rId4519" Type="http://schemas.openxmlformats.org/officeDocument/2006/relationships/hyperlink" Target="https://drive.google.com/file/d/1HcFtQo_rqx6M0k3AfH_XmFXGnA_yMAVh/view?usp=drivesdk" TargetMode="External"/><Relationship Id="rId5849" Type="http://schemas.openxmlformats.org/officeDocument/2006/relationships/hyperlink" Target="https://drive.google.com/file/d/1EJyyOJCziLwDbgWv-GlVXmyTkn2I3DIZ/view?usp=drivesdk" TargetMode="External"/><Relationship Id="rId4510" Type="http://schemas.openxmlformats.org/officeDocument/2006/relationships/hyperlink" Target="https://drive.google.com/file/d/14T8_kLsV3NAq4aRayMGXvMQVG2YlbV9h/view?usp=drivesdk" TargetMode="External"/><Relationship Id="rId5842" Type="http://schemas.openxmlformats.org/officeDocument/2006/relationships/hyperlink" Target="https://drive.google.com/file/d/1zFe2ZF_1VASAPzjwJFVFqjmRyhbRH9vA/view?usp=drivesdk" TargetMode="External"/><Relationship Id="rId5843" Type="http://schemas.openxmlformats.org/officeDocument/2006/relationships/hyperlink" Target="https://drive.google.com/file/d/1pVmelp17OTxEtOEBUO5qyYl5HtrCVYDf/view?usp=drivesdk" TargetMode="External"/><Relationship Id="rId4512" Type="http://schemas.openxmlformats.org/officeDocument/2006/relationships/hyperlink" Target="https://drive.google.com/file/d/1oFStxA6KQJbExx5Z-RF6Z3-1BJ2IQA6r/view?usp=drivesdk" TargetMode="External"/><Relationship Id="rId5840" Type="http://schemas.openxmlformats.org/officeDocument/2006/relationships/hyperlink" Target="https://drive.google.com/file/d/1RvLsluAorVAfXKb0xApSz8TK4cqJsdQg/view?usp=drivesdk" TargetMode="External"/><Relationship Id="rId4511" Type="http://schemas.openxmlformats.org/officeDocument/2006/relationships/hyperlink" Target="https://drive.google.com/file/d/1DGeh_fqIsWGQ9QN2a5QQnERf49wdqb9H/view?usp=drivesdk" TargetMode="External"/><Relationship Id="rId5841" Type="http://schemas.openxmlformats.org/officeDocument/2006/relationships/hyperlink" Target="https://drive.google.com/file/d/1UMyuhc21AMyasJfEUQVAnw9FdwX8ROZS/view?usp=drivesdk" TargetMode="External"/><Relationship Id="rId3216" Type="http://schemas.openxmlformats.org/officeDocument/2006/relationships/hyperlink" Target="https://drive.google.com/file/d/19Uh_becvfiHdo1dbu0N_nIoC5mhhyrKE/view?usp=drivesdk" TargetMode="External"/><Relationship Id="rId4547" Type="http://schemas.openxmlformats.org/officeDocument/2006/relationships/hyperlink" Target="https://drive.google.com/file/d/1LhID0Tjozkp9xH0lshfBrCkZmLcwPxGb/view?usp=drivesdk" TargetMode="External"/><Relationship Id="rId5879" Type="http://schemas.openxmlformats.org/officeDocument/2006/relationships/hyperlink" Target="https://drive.google.com/file/d/1TP5BnpVhUG1uPQnGfZqli-raCWX7SxMf/view?usp=drivesdk" TargetMode="External"/><Relationship Id="rId3215" Type="http://schemas.openxmlformats.org/officeDocument/2006/relationships/hyperlink" Target="https://drive.google.com/file/d/12Uzk6lsWuKIZNDx5mGfvUzwKHcY4HDuX/view?usp=drivesdk" TargetMode="External"/><Relationship Id="rId4546" Type="http://schemas.openxmlformats.org/officeDocument/2006/relationships/hyperlink" Target="https://drive.google.com/file/d/1IV9p_I7wTT6pJji22GqPOE2w_a9uoPtr/view?usp=drivesdk" TargetMode="External"/><Relationship Id="rId3218" Type="http://schemas.openxmlformats.org/officeDocument/2006/relationships/hyperlink" Target="https://drive.google.com/file/d/1cxHRKwfqZ1LuNVbzcSaVsScPfytfaFZ7/view?usp=drivesdk" TargetMode="External"/><Relationship Id="rId4549" Type="http://schemas.openxmlformats.org/officeDocument/2006/relationships/hyperlink" Target="https://drive.google.com/file/d/1AS-84dWKFz670mxJJtwRz1zYQnr092VG/view?usp=drivesdk" TargetMode="External"/><Relationship Id="rId5877" Type="http://schemas.openxmlformats.org/officeDocument/2006/relationships/hyperlink" Target="https://drive.google.com/file/d/1Qm3wmFHskSw-b_mVD85vXicV38OLn_J9/view?usp=drivesdk" TargetMode="External"/><Relationship Id="rId3217" Type="http://schemas.openxmlformats.org/officeDocument/2006/relationships/hyperlink" Target="https://drive.google.com/file/d/10tlY8IaRAIl0uIfmpt1TcSVGb5Uon8gu/view?usp=drivesdk" TargetMode="External"/><Relationship Id="rId4548" Type="http://schemas.openxmlformats.org/officeDocument/2006/relationships/hyperlink" Target="https://drive.google.com/file/d/1OTF-BgyRUdaLalvE7IaxNab6m579aVPs/view?usp=drivesdk" TargetMode="External"/><Relationship Id="rId5878" Type="http://schemas.openxmlformats.org/officeDocument/2006/relationships/hyperlink" Target="https://drive.google.com/file/d/1E4yAyXof7Od-D2Nycn4siJz-X0TQwpBC/view?usp=drivesdk" TargetMode="External"/><Relationship Id="rId3219" Type="http://schemas.openxmlformats.org/officeDocument/2006/relationships/hyperlink" Target="https://drive.google.com/file/d/1nHo0ArnQkRxT3cPj_PPxVxa2xO3cJfre/view?usp=drivesdk" TargetMode="External"/><Relationship Id="rId5871" Type="http://schemas.openxmlformats.org/officeDocument/2006/relationships/hyperlink" Target="https://drive.google.com/file/d/1GdY1UpkxyYilEKZWfoyqsBhiQ_QDvKUY/view?usp=drivesdk" TargetMode="External"/><Relationship Id="rId5872" Type="http://schemas.openxmlformats.org/officeDocument/2006/relationships/hyperlink" Target="https://drive.google.com/file/d/1k7QUChnrktpo-3ClsnsBP1d9R-n8hNzy/view?usp=drivesdk" TargetMode="External"/><Relationship Id="rId3210" Type="http://schemas.openxmlformats.org/officeDocument/2006/relationships/hyperlink" Target="https://drive.google.com/file/d/1y7Id5ioq8UbEAIhxi7a8Ph-SLF_RS6DN/view?usp=drivesdk" TargetMode="External"/><Relationship Id="rId4541" Type="http://schemas.openxmlformats.org/officeDocument/2006/relationships/hyperlink" Target="https://drive.google.com/file/d/12zqZkEWwfMuorp_Ekz0fH2d6xPOC6KjD/view?usp=drivesdk" TargetMode="External"/><Relationship Id="rId4540" Type="http://schemas.openxmlformats.org/officeDocument/2006/relationships/hyperlink" Target="https://drive.google.com/file/d/1QNcklmKws2IYRB8qA_bNhCZsGCPWwk-B/view?usp=drivesdk" TargetMode="External"/><Relationship Id="rId5870" Type="http://schemas.openxmlformats.org/officeDocument/2006/relationships/hyperlink" Target="https://drive.google.com/file/d/1I_jrDmGcjQOJH7_4qICH5Dt0wTF_4cRR/view?usp=drivesdk" TargetMode="External"/><Relationship Id="rId3212" Type="http://schemas.openxmlformats.org/officeDocument/2006/relationships/hyperlink" Target="https://drive.google.com/file/d/1DKzXLJqL5NZtSrIMS-vJSBay1gN1hb7L/view?usp=drivesdk" TargetMode="External"/><Relationship Id="rId4543" Type="http://schemas.openxmlformats.org/officeDocument/2006/relationships/hyperlink" Target="https://drive.google.com/file/d/1VRgNkZ-pLC75hwNio8qox-2oCzlyPRWk/view?usp=drivesdk" TargetMode="External"/><Relationship Id="rId5875" Type="http://schemas.openxmlformats.org/officeDocument/2006/relationships/hyperlink" Target="https://drive.google.com/file/d/179wm1fAnRIADQiMiuq3Gt6iMN-0GVWKV/view?usp=drivesdk" TargetMode="External"/><Relationship Id="rId3211" Type="http://schemas.openxmlformats.org/officeDocument/2006/relationships/hyperlink" Target="https://drive.google.com/file/d/1YK5Z0idZWSC-B0WOFkyNTiGIahiPjBJM/view?usp=drivesdk" TargetMode="External"/><Relationship Id="rId4542" Type="http://schemas.openxmlformats.org/officeDocument/2006/relationships/hyperlink" Target="https://drive.google.com/file/d/1HGxtf-DvpybVj7GaLtNUg0nnZ9IsBLwA/view?usp=drivesdk" TargetMode="External"/><Relationship Id="rId5876" Type="http://schemas.openxmlformats.org/officeDocument/2006/relationships/hyperlink" Target="https://drive.google.com/file/d/1Us_O1KMl0vSUEB-EsDjiBH4JbgUeF6Ak/view?usp=drivesdk" TargetMode="External"/><Relationship Id="rId3214" Type="http://schemas.openxmlformats.org/officeDocument/2006/relationships/hyperlink" Target="https://drive.google.com/file/d/13dFq9d5cY-EB-RiRFZ7F-HfwWIl_8Quw/view?usp=drivesdk" TargetMode="External"/><Relationship Id="rId4545" Type="http://schemas.openxmlformats.org/officeDocument/2006/relationships/hyperlink" Target="https://drive.google.com/file/d/11DBD8sHcTKHH5GmDRkFL9i2MSQvNZhQt/view?usp=drivesdk" TargetMode="External"/><Relationship Id="rId5873" Type="http://schemas.openxmlformats.org/officeDocument/2006/relationships/hyperlink" Target="https://drive.google.com/file/d/1GHhmUcZyxeZT1sCL8CK81JO-fIsSxtRm/view?usp=drivesdk" TargetMode="External"/><Relationship Id="rId3213" Type="http://schemas.openxmlformats.org/officeDocument/2006/relationships/hyperlink" Target="https://drive.google.com/file/d/1SEJRQlCxwbZDiEmqxkO91IoTNEYRHHXd/view?usp=drivesdk" TargetMode="External"/><Relationship Id="rId4544" Type="http://schemas.openxmlformats.org/officeDocument/2006/relationships/hyperlink" Target="https://drive.google.com/file/d/1A4VqZO9cA9aoMsbUuPajzmlFttG42P2u/view?usp=drivesdk" TargetMode="External"/><Relationship Id="rId5874" Type="http://schemas.openxmlformats.org/officeDocument/2006/relationships/hyperlink" Target="https://drive.google.com/file/d/1OpoI4i1AABAnjug72GOFW8vbrvR3fWcG/view?usp=drivesdk" TargetMode="External"/><Relationship Id="rId3205" Type="http://schemas.openxmlformats.org/officeDocument/2006/relationships/hyperlink" Target="https://drive.google.com/file/d/1krvty4KgQbrg0kZFIWehX-_fLqwDlF0D/view?usp=drivesdk" TargetMode="External"/><Relationship Id="rId4536" Type="http://schemas.openxmlformats.org/officeDocument/2006/relationships/hyperlink" Target="https://drive.google.com/file/d/1C2QgEnkdeXahxzLtP0AnGHzNFeVUcWkD/view?usp=drivesdk" TargetMode="External"/><Relationship Id="rId5868" Type="http://schemas.openxmlformats.org/officeDocument/2006/relationships/hyperlink" Target="https://drive.google.com/file/d/1hmOd8lYmSjVNod6NKLo2bo-Gsnkyyp9S/view?usp=drivesdk" TargetMode="External"/><Relationship Id="rId3204" Type="http://schemas.openxmlformats.org/officeDocument/2006/relationships/hyperlink" Target="https://drive.google.com/file/d/13OS239vuRdrsldb6xS1FySz7dUFpRkcf/view?usp=drivesdk" TargetMode="External"/><Relationship Id="rId4535" Type="http://schemas.openxmlformats.org/officeDocument/2006/relationships/hyperlink" Target="https://drive.google.com/file/d/1f2oblcGqDuRbGcBOxW0gFqsrMl3-vM5i/view?usp=drivesdk" TargetMode="External"/><Relationship Id="rId5869" Type="http://schemas.openxmlformats.org/officeDocument/2006/relationships/hyperlink" Target="https://drive.google.com/file/d/1KbeXg8JADat13ho8q4r5ApaTonn_2S7c/view?usp=drivesdk" TargetMode="External"/><Relationship Id="rId3207" Type="http://schemas.openxmlformats.org/officeDocument/2006/relationships/hyperlink" Target="https://drive.google.com/file/d/1TR8dcOZfYvGxksOWipwh-aJMpqxLmvPH/view?usp=drivesdk" TargetMode="External"/><Relationship Id="rId4538" Type="http://schemas.openxmlformats.org/officeDocument/2006/relationships/hyperlink" Target="https://drive.google.com/file/d/1oVz3GKyzhglDo0H-YTeN2ZqDS5uXSspP/view?usp=drivesdk" TargetMode="External"/><Relationship Id="rId5866" Type="http://schemas.openxmlformats.org/officeDocument/2006/relationships/hyperlink" Target="https://drive.google.com/file/d/1aQWM3Dn4JovsnBfKB9fZ0-gwwU485v7N/view?usp=drivesdk" TargetMode="External"/><Relationship Id="rId3206" Type="http://schemas.openxmlformats.org/officeDocument/2006/relationships/hyperlink" Target="https://drive.google.com/file/d/1ppj13E0CWmt3ETL5uuE2pX8T65nb-44v/view?usp=drivesdk" TargetMode="External"/><Relationship Id="rId4537" Type="http://schemas.openxmlformats.org/officeDocument/2006/relationships/hyperlink" Target="https://drive.google.com/file/d/1b61_nvtqd29z8d6fHJrYKWpEdL8X0i57/view?usp=drivesdk" TargetMode="External"/><Relationship Id="rId5867" Type="http://schemas.openxmlformats.org/officeDocument/2006/relationships/hyperlink" Target="https://drive.google.com/file/d/1uS8Ac1G8mavuAXDzjDsfLbh433M7un52/view?usp=drivesdk" TargetMode="External"/><Relationship Id="rId3209" Type="http://schemas.openxmlformats.org/officeDocument/2006/relationships/hyperlink" Target="https://drive.google.com/file/d/1I5-5j9H6HIBtUnh0CEPIu9BTr2AixroG/view?usp=drivesdk" TargetMode="External"/><Relationship Id="rId3208" Type="http://schemas.openxmlformats.org/officeDocument/2006/relationships/hyperlink" Target="https://drive.google.com/file/d/1K9RO4tMT5i6sy5XpMUM0xoZMp9-2KmmN/view?usp=drivesdk" TargetMode="External"/><Relationship Id="rId4539" Type="http://schemas.openxmlformats.org/officeDocument/2006/relationships/hyperlink" Target="https://drive.google.com/file/d/1djLfTZ7ayEPdJKmC-3y0PK6DZdRD-8Jr/view?usp=drivesdk" TargetMode="External"/><Relationship Id="rId5860" Type="http://schemas.openxmlformats.org/officeDocument/2006/relationships/hyperlink" Target="https://drive.google.com/file/d/1gMMN5jb2uOxsutFIqIwCtHoBk3w76-da/view?usp=drivesdk" TargetMode="External"/><Relationship Id="rId5861" Type="http://schemas.openxmlformats.org/officeDocument/2006/relationships/hyperlink" Target="https://drive.google.com/file/d/1HJbHdqaDODIM4sBsEd_6oSDNyTB3nN9I/view?usp=drivesdk" TargetMode="External"/><Relationship Id="rId4530" Type="http://schemas.openxmlformats.org/officeDocument/2006/relationships/hyperlink" Target="https://drive.google.com/file/d/10oHqeT9FBFuIhKV8riskRmVaPI_qWv7Y/view?usp=drivesdk" TargetMode="External"/><Relationship Id="rId3201" Type="http://schemas.openxmlformats.org/officeDocument/2006/relationships/hyperlink" Target="https://drive.google.com/file/d/1nodFnXHCpZOScupTxgkQ0eeORVl1CKoz/view?usp=drivesdk" TargetMode="External"/><Relationship Id="rId4532" Type="http://schemas.openxmlformats.org/officeDocument/2006/relationships/hyperlink" Target="https://drive.google.com/file/d/17msqWhK0zt5SoTmQcj6_PRh4n8wqPF1v/view?usp=drivesdk" TargetMode="External"/><Relationship Id="rId5864" Type="http://schemas.openxmlformats.org/officeDocument/2006/relationships/hyperlink" Target="https://drive.google.com/file/d/1A_AuX0_mdQSjPzM9FC7blWXyKjNP-7pH/view?usp=drivesdk" TargetMode="External"/><Relationship Id="rId3200" Type="http://schemas.openxmlformats.org/officeDocument/2006/relationships/hyperlink" Target="https://drive.google.com/file/d/1hP9duFBBnwCmbYDzOcObXNAX6NHepz6k/view?usp=drivesdk" TargetMode="External"/><Relationship Id="rId4531" Type="http://schemas.openxmlformats.org/officeDocument/2006/relationships/hyperlink" Target="https://drive.google.com/file/d/1Zz0gVyYAhP76fFLiZBYbB4MwzLRT1Op0/view?usp=drivesdk" TargetMode="External"/><Relationship Id="rId5865" Type="http://schemas.openxmlformats.org/officeDocument/2006/relationships/hyperlink" Target="https://drive.google.com/file/d/1hXo4jbZenoGAut8ImnvIVhWE8smuvgZW/view?usp=drivesdk" TargetMode="External"/><Relationship Id="rId3203" Type="http://schemas.openxmlformats.org/officeDocument/2006/relationships/hyperlink" Target="https://drive.google.com/file/d/1gaH3tx4A2vN4KTK4oJMyPN28Qjn_VKUP/view?usp=drivesdk" TargetMode="External"/><Relationship Id="rId4534" Type="http://schemas.openxmlformats.org/officeDocument/2006/relationships/hyperlink" Target="https://drive.google.com/file/d/1eyg3_HB1VXryhblTjww11g1R3vXyFb5R/view?usp=drivesdk" TargetMode="External"/><Relationship Id="rId5862" Type="http://schemas.openxmlformats.org/officeDocument/2006/relationships/hyperlink" Target="https://drive.google.com/file/d/1x9g3ZqX4cUAhoTOZYCWT_9EcHBZ-2MlM/view?usp=drivesdk" TargetMode="External"/><Relationship Id="rId3202" Type="http://schemas.openxmlformats.org/officeDocument/2006/relationships/hyperlink" Target="https://drive.google.com/file/d/1EyTreQAnzXrSR4DVYxauFS8zHkEsO2tt/view?usp=drivesdk" TargetMode="External"/><Relationship Id="rId4533" Type="http://schemas.openxmlformats.org/officeDocument/2006/relationships/hyperlink" Target="https://drive.google.com/file/d/1wkEDR0iOtPn80Lxm5GBCML5OMBPQZ1QX/view?usp=drivesdk" TargetMode="External"/><Relationship Id="rId5863" Type="http://schemas.openxmlformats.org/officeDocument/2006/relationships/hyperlink" Target="https://drive.google.com/file/d/18KzqIofsgcVw5rhq7FX3r6ZihtOXWhNv/view?usp=drivesdk" TargetMode="External"/><Relationship Id="rId190" Type="http://schemas.openxmlformats.org/officeDocument/2006/relationships/hyperlink" Target="https://drive.google.com/file/d/13kQ7fg8sk31X2ForPHGevl-VXnQDsHpt/view?usp=drivesdk" TargetMode="External"/><Relationship Id="rId194" Type="http://schemas.openxmlformats.org/officeDocument/2006/relationships/hyperlink" Target="https://drive.google.com/file/d/1TeG32JW2XhAmAFBgAyNT_pAaXrG8A50W/view?usp=drivesdk" TargetMode="External"/><Relationship Id="rId193" Type="http://schemas.openxmlformats.org/officeDocument/2006/relationships/hyperlink" Target="https://drive.google.com/file/d/1nGcmW_ZyyxGjKjzbRRvJ4PpJAn1ZmSNe/view?usp=drivesdk" TargetMode="External"/><Relationship Id="rId192" Type="http://schemas.openxmlformats.org/officeDocument/2006/relationships/hyperlink" Target="https://drive.google.com/file/d/1FhN0nmgrCDGt4gZOUHItGdN3QZMrWEl6/view?usp=drivesdk" TargetMode="External"/><Relationship Id="rId191" Type="http://schemas.openxmlformats.org/officeDocument/2006/relationships/hyperlink" Target="https://drive.google.com/file/d/1PauWVe3I-VP6_KHYfR2OL7T6KsEmFdzw/view?usp=drivesdk" TargetMode="External"/><Relationship Id="rId187" Type="http://schemas.openxmlformats.org/officeDocument/2006/relationships/hyperlink" Target="https://drive.google.com/file/d/15k3PI4UfwAmItPXO92CwRZ_i2WNUuqrZ/view?usp=drivesdk" TargetMode="External"/><Relationship Id="rId186" Type="http://schemas.openxmlformats.org/officeDocument/2006/relationships/hyperlink" Target="https://drive.google.com/file/d/1BuyiaIQptvsfPEfXadVzGSOJB9GOds5m/view?usp=drivesdk" TargetMode="External"/><Relationship Id="rId185" Type="http://schemas.openxmlformats.org/officeDocument/2006/relationships/hyperlink" Target="https://drive.google.com/file/d/1WD7eslaH23IzNvyIu3mjglirLVaW4xg_/view?usp=drivesdk" TargetMode="External"/><Relationship Id="rId184" Type="http://schemas.openxmlformats.org/officeDocument/2006/relationships/hyperlink" Target="https://drive.google.com/file/d/1CUByrpU9i0DGProYb_ZZT-8j7LcbiDaC/view?usp=drivesdk" TargetMode="External"/><Relationship Id="rId189" Type="http://schemas.openxmlformats.org/officeDocument/2006/relationships/hyperlink" Target="https://drive.google.com/file/d/1ttE9bEPuME3grP7LxT2RV3ekCFuPjreO/view?usp=drivesdk" TargetMode="External"/><Relationship Id="rId188" Type="http://schemas.openxmlformats.org/officeDocument/2006/relationships/hyperlink" Target="https://drive.google.com/file/d/1aHOf84-gxF02KyzKysA_AdDcHm7q4S5l/view?usp=drivesdk" TargetMode="External"/><Relationship Id="rId183" Type="http://schemas.openxmlformats.org/officeDocument/2006/relationships/hyperlink" Target="https://drive.google.com/file/d/1MQLgt_RLtXkQcg3bTZy138-O0Kjw-hSP/view?usp=drivesdk" TargetMode="External"/><Relationship Id="rId182" Type="http://schemas.openxmlformats.org/officeDocument/2006/relationships/hyperlink" Target="https://drive.google.com/file/d/1WX9G8gnhXdtGkdU_v5POXmBDZ7U-YO5X/view?usp=drivesdk" TargetMode="External"/><Relationship Id="rId181" Type="http://schemas.openxmlformats.org/officeDocument/2006/relationships/hyperlink" Target="https://drive.google.com/file/d/1vASS3Ey5ZKPUdChdR0yHcyHo-V8bJu9-/view?usp=drivesdk" TargetMode="External"/><Relationship Id="rId180" Type="http://schemas.openxmlformats.org/officeDocument/2006/relationships/hyperlink" Target="https://drive.google.com/file/d/1sPCLTFjy3C15ASGV4lg4uGX5l7r3DIIn/view?usp=drivesdk" TargetMode="External"/><Relationship Id="rId176" Type="http://schemas.openxmlformats.org/officeDocument/2006/relationships/hyperlink" Target="https://drive.google.com/file/d/19m1f0sP43tpEjqQ9urBkmY_Em2E-pACe/view?usp=drivesdk" TargetMode="External"/><Relationship Id="rId175" Type="http://schemas.openxmlformats.org/officeDocument/2006/relationships/hyperlink" Target="https://drive.google.com/file/d/10mm5wf04i1S2CKD6rz829uBeky6DmOlW/view?usp=drivesdk" TargetMode="External"/><Relationship Id="rId174" Type="http://schemas.openxmlformats.org/officeDocument/2006/relationships/hyperlink" Target="https://drive.google.com/file/d/1iJDonvHjT6js-SUCIonRcvyIIbQsROXo/view?usp=drivesdk" TargetMode="External"/><Relationship Id="rId173" Type="http://schemas.openxmlformats.org/officeDocument/2006/relationships/hyperlink" Target="https://drive.google.com/file/d/1_AG1AsCbAYc4GbJBGdfHSJ0ZrTkBo0pq/view?usp=drivesdk" TargetMode="External"/><Relationship Id="rId179" Type="http://schemas.openxmlformats.org/officeDocument/2006/relationships/hyperlink" Target="https://drive.google.com/file/d/14lbC5-kjHWZQLyVmM15sfLVo8UfB_gGg/view?usp=drivesdk" TargetMode="External"/><Relationship Id="rId178" Type="http://schemas.openxmlformats.org/officeDocument/2006/relationships/hyperlink" Target="https://drive.google.com/file/d/1x4C7i5wondwZdyzbNIyM0tQpFWEsEtFr/view?usp=drivesdk" TargetMode="External"/><Relationship Id="rId177" Type="http://schemas.openxmlformats.org/officeDocument/2006/relationships/hyperlink" Target="https://drive.google.com/file/d/1bIvXO9xuqn4G9cc0sYK5xMkTHF8Zdrcw/view?usp=drivesdk" TargetMode="External"/><Relationship Id="rId198" Type="http://schemas.openxmlformats.org/officeDocument/2006/relationships/hyperlink" Target="https://drive.google.com/file/d/1SH59E5MEyDnYOzqzs28skmpnJs3MJ1ZL/view?usp=drivesdk" TargetMode="External"/><Relationship Id="rId197" Type="http://schemas.openxmlformats.org/officeDocument/2006/relationships/hyperlink" Target="https://drive.google.com/file/d/1y-mVEY5pyQemtS6wR1m5QFw7uGrdY0NF/view?usp=drivesdk" TargetMode="External"/><Relationship Id="rId196" Type="http://schemas.openxmlformats.org/officeDocument/2006/relationships/hyperlink" Target="https://drive.google.com/file/d/1VLtdKiGoBcctaPr27lmb493cB3fCNpkg/view?usp=drivesdk" TargetMode="External"/><Relationship Id="rId195" Type="http://schemas.openxmlformats.org/officeDocument/2006/relationships/hyperlink" Target="https://drive.google.com/file/d/1JHTWKX80-8glx9GHDNk9eA7iSeQZ_pJ5/view?usp=drivesdk" TargetMode="External"/><Relationship Id="rId199" Type="http://schemas.openxmlformats.org/officeDocument/2006/relationships/hyperlink" Target="https://drive.google.com/file/d/1itEeg76OOcpja5O3Vh2mQswWE0OyYGP9/view?usp=drivesdk" TargetMode="External"/><Relationship Id="rId150" Type="http://schemas.openxmlformats.org/officeDocument/2006/relationships/hyperlink" Target="https://drive.google.com/file/d/1Ni1ZpceX3e984Ga_TtjzvVo0TKNGgWZ0/view?usp=drivesdk" TargetMode="External"/><Relationship Id="rId149" Type="http://schemas.openxmlformats.org/officeDocument/2006/relationships/hyperlink" Target="https://drive.google.com/file/d/1CCtVRS0hO-gmpBWVP0ebudAMXqvChcZy/view?usp=drivesdk" TargetMode="External"/><Relationship Id="rId148" Type="http://schemas.openxmlformats.org/officeDocument/2006/relationships/hyperlink" Target="https://drive.google.com/file/d/1YQLQoedQz978aARMUMIrVjWoMn-8IYvD/view?usp=drivesdk" TargetMode="External"/><Relationship Id="rId3270" Type="http://schemas.openxmlformats.org/officeDocument/2006/relationships/hyperlink" Target="https://drive.google.com/file/d/1s159W4a4eBDAGyCW3c-Rpu0-EnztGvWn/view?usp=drivesdk" TargetMode="External"/><Relationship Id="rId3272" Type="http://schemas.openxmlformats.org/officeDocument/2006/relationships/hyperlink" Target="https://drive.google.com/file/d/1BxFsdYsO6uHZITzUebZ_wztaLYX2sr2K/view?usp=drivesdk" TargetMode="External"/><Relationship Id="rId3271" Type="http://schemas.openxmlformats.org/officeDocument/2006/relationships/hyperlink" Target="https://drive.google.com/file/d/1X9J8NytciymuwGjTRzH5VvSsNbrY-zfe/view?usp=drivesdk" TargetMode="External"/><Relationship Id="rId143" Type="http://schemas.openxmlformats.org/officeDocument/2006/relationships/hyperlink" Target="https://drive.google.com/file/d/1pz8GwVjGp1-guk8SsztKRB7MdWcmUuUj/view?usp=drivesdk" TargetMode="External"/><Relationship Id="rId3274" Type="http://schemas.openxmlformats.org/officeDocument/2006/relationships/hyperlink" Target="https://drive.google.com/file/d/1gq_lNfdKQbFM9XovmBxMWSmL12Ojfb6r/view?usp=drivesdk" TargetMode="External"/><Relationship Id="rId142" Type="http://schemas.openxmlformats.org/officeDocument/2006/relationships/hyperlink" Target="https://drive.google.com/file/d/18DbK4H3jf8RLi2h8tJrMOKqJZKunqHiE/view?usp=drivesdk" TargetMode="External"/><Relationship Id="rId3273" Type="http://schemas.openxmlformats.org/officeDocument/2006/relationships/hyperlink" Target="https://drive.google.com/file/d/12FDGrx4GINEDIvXdwNVnxPNjBNd9mFhl/view?usp=drivesdk" TargetMode="External"/><Relationship Id="rId141" Type="http://schemas.openxmlformats.org/officeDocument/2006/relationships/hyperlink" Target="https://drive.google.com/file/d/1DfknMcxKEH5pPNWxeOAssjLWPB0sQWmm/view?usp=drivesdk" TargetMode="External"/><Relationship Id="rId3276" Type="http://schemas.openxmlformats.org/officeDocument/2006/relationships/hyperlink" Target="https://drive.google.com/file/d/1IzleSXoh5DYWSYbPvFsyxLSX_ARA1_UC/view?usp=drivesdk" TargetMode="External"/><Relationship Id="rId140" Type="http://schemas.openxmlformats.org/officeDocument/2006/relationships/hyperlink" Target="https://drive.google.com/file/d/1n6bQxavIAe_X5c3AoQzRw4FZx0aRY9hc/view?usp=drivesdk" TargetMode="External"/><Relationship Id="rId3275" Type="http://schemas.openxmlformats.org/officeDocument/2006/relationships/hyperlink" Target="https://drive.google.com/file/d/1_jQghLtiwy9jtVAEsdqwvGHpS8d2c6vk/view?usp=drivesdk" TargetMode="External"/><Relationship Id="rId147" Type="http://schemas.openxmlformats.org/officeDocument/2006/relationships/hyperlink" Target="https://drive.google.com/file/d/1jm0kQ8KNQCAgd3rpnzTOrLsQkQir_XvG/view?usp=drivesdk" TargetMode="External"/><Relationship Id="rId3278" Type="http://schemas.openxmlformats.org/officeDocument/2006/relationships/hyperlink" Target="https://drive.google.com/file/d/1JRvV_fGNqVdCYATM7o7RFzzoyoYbVc9k/view?usp=drivesdk" TargetMode="External"/><Relationship Id="rId146" Type="http://schemas.openxmlformats.org/officeDocument/2006/relationships/hyperlink" Target="https://drive.google.com/file/d/1Ibp7NxrjXhaKteWotkn0B_tk3qsOgCXh/view?usp=drivesdk" TargetMode="External"/><Relationship Id="rId3277" Type="http://schemas.openxmlformats.org/officeDocument/2006/relationships/hyperlink" Target="https://drive.google.com/file/d/15g_50JY9z4DMRIZ78hoa7pTeclUed5nq/view?usp=drivesdk" TargetMode="External"/><Relationship Id="rId145" Type="http://schemas.openxmlformats.org/officeDocument/2006/relationships/hyperlink" Target="https://drive.google.com/file/d/1TwjcSzEIzQNysBZBti0U9a3gATekBO3O/view?usp=drivesdk" TargetMode="External"/><Relationship Id="rId144" Type="http://schemas.openxmlformats.org/officeDocument/2006/relationships/hyperlink" Target="https://drive.google.com/file/d/1LDzzGN9cnDns6lQ0eD2TGCHhaMvENGAt/view?usp=drivesdk" TargetMode="External"/><Relationship Id="rId3279" Type="http://schemas.openxmlformats.org/officeDocument/2006/relationships/hyperlink" Target="https://drive.google.com/file/d/1MLK3MyY-JpgfN5uRdtkv_r9a7x83eAH0/view?usp=drivesdk" TargetMode="External"/><Relationship Id="rId139" Type="http://schemas.openxmlformats.org/officeDocument/2006/relationships/hyperlink" Target="https://drive.google.com/file/d/1h29CDPC_3LtXl4Vb3HWsm4q6B-nr_mTr/view?usp=drivesdk" TargetMode="External"/><Relationship Id="rId138" Type="http://schemas.openxmlformats.org/officeDocument/2006/relationships/hyperlink" Target="https://drive.google.com/file/d/12yDVwyxXTChxw1M1wg6ZDRQIacSbzW4z/view?usp=drivesdk" TargetMode="External"/><Relationship Id="rId137" Type="http://schemas.openxmlformats.org/officeDocument/2006/relationships/hyperlink" Target="https://drive.google.com/file/d/1Irtbg4wLPL9uHTa5D0KxJ_IVKXXfx7_N/view?usp=drivesdk" TargetMode="External"/><Relationship Id="rId4590" Type="http://schemas.openxmlformats.org/officeDocument/2006/relationships/hyperlink" Target="https://drive.google.com/file/d/1ecokNCXy5lnqUjamXXck4YskXvgIWQC9/view?usp=drivesdk" TargetMode="External"/><Relationship Id="rId3261" Type="http://schemas.openxmlformats.org/officeDocument/2006/relationships/hyperlink" Target="https://drive.google.com/file/d/1vYF18jw7Uh-9LG7tLB4LZau3ZNQEMXxr/view?usp=drivesdk" TargetMode="External"/><Relationship Id="rId4592" Type="http://schemas.openxmlformats.org/officeDocument/2006/relationships/hyperlink" Target="https://drive.google.com/file/d/1J4d7-i8B6yMiKV6xxa4pfUHuCFSEkFOT/view?usp=drivesdk" TargetMode="External"/><Relationship Id="rId3260" Type="http://schemas.openxmlformats.org/officeDocument/2006/relationships/hyperlink" Target="https://drive.google.com/file/d/1vXYfMZrpfOCM6fE4ADRGQarrqmA_1o3n/view?usp=drivesdk" TargetMode="External"/><Relationship Id="rId4591" Type="http://schemas.openxmlformats.org/officeDocument/2006/relationships/hyperlink" Target="https://drive.google.com/file/d/160f3OiLDHJT-3jSorCKKDgFsGO074m7Y/view?usp=drivesdk" TargetMode="External"/><Relationship Id="rId132" Type="http://schemas.openxmlformats.org/officeDocument/2006/relationships/hyperlink" Target="https://drive.google.com/file/d/1Y2Wied7mXlXg2RtfGFMgoA-8jGm4yZXa/view?usp=drivesdk" TargetMode="External"/><Relationship Id="rId3263" Type="http://schemas.openxmlformats.org/officeDocument/2006/relationships/hyperlink" Target="https://drive.google.com/file/d/1FnRz3NSrjx56gz1gZHpzckcerayOYbqi/view?usp=drivesdk" TargetMode="External"/><Relationship Id="rId4594" Type="http://schemas.openxmlformats.org/officeDocument/2006/relationships/hyperlink" Target="https://drive.google.com/file/d/1IvG610JP1tvwtEcpwMYymo6AWqPbbVko/view?usp=drivesdk" TargetMode="External"/><Relationship Id="rId131" Type="http://schemas.openxmlformats.org/officeDocument/2006/relationships/hyperlink" Target="https://drive.google.com/file/d/1NjsXdocd9oFL9-rotqa3MBO0M4SUe4g1/view?usp=drivesdk" TargetMode="External"/><Relationship Id="rId3262" Type="http://schemas.openxmlformats.org/officeDocument/2006/relationships/hyperlink" Target="https://drive.google.com/file/d/1K97dUqSdiS4cOzotcaYcdgLT8kKhLnxt/view?usp=drivesdk" TargetMode="External"/><Relationship Id="rId4593" Type="http://schemas.openxmlformats.org/officeDocument/2006/relationships/hyperlink" Target="https://drive.google.com/file/d/1RNVfqMDPIVxAGHBFTulxyvR9WGnOevKN/view?usp=drivesdk" TargetMode="External"/><Relationship Id="rId130" Type="http://schemas.openxmlformats.org/officeDocument/2006/relationships/hyperlink" Target="https://drive.google.com/file/d/1QQXVgwjOjsds_wAmk32kswBY-2Xf0w2l/view?usp=drivesdk" TargetMode="External"/><Relationship Id="rId3265" Type="http://schemas.openxmlformats.org/officeDocument/2006/relationships/hyperlink" Target="https://drive.google.com/file/d/1lqlReHk99ZvcFrn0ABynBXeuM-HICUtv/view?usp=drivesdk" TargetMode="External"/><Relationship Id="rId4596" Type="http://schemas.openxmlformats.org/officeDocument/2006/relationships/hyperlink" Target="https://drive.google.com/file/d/1mh7xDPWL6hWryr-Qa7xM2waKfbI4y-q9/view?usp=drivesdk" TargetMode="External"/><Relationship Id="rId3264" Type="http://schemas.openxmlformats.org/officeDocument/2006/relationships/hyperlink" Target="https://drive.google.com/file/d/1PG8AKE80X9vLsKQOwvHvYn6Zp3zVZiuJ/view?usp=drivesdk" TargetMode="External"/><Relationship Id="rId4595" Type="http://schemas.openxmlformats.org/officeDocument/2006/relationships/hyperlink" Target="https://drive.google.com/file/d/1W6DagXUqIWHe1AOvaR6l5qNPn4ttSBft/view?usp=drivesdk" TargetMode="External"/><Relationship Id="rId136" Type="http://schemas.openxmlformats.org/officeDocument/2006/relationships/hyperlink" Target="https://drive.google.com/file/d/1PYzkhitKLCaIrV42LbsTQ5dKPBPy5AF-/view?usp=drivesdk" TargetMode="External"/><Relationship Id="rId3267" Type="http://schemas.openxmlformats.org/officeDocument/2006/relationships/hyperlink" Target="https://drive.google.com/file/d/1_RiP5ckCCqfRurvnKJpcCKF3PIryibco/view?usp=drivesdk" TargetMode="External"/><Relationship Id="rId4598" Type="http://schemas.openxmlformats.org/officeDocument/2006/relationships/hyperlink" Target="https://drive.google.com/file/d/1jLQ2EwIyPbeOLQrsftFRZDy5duedDdjW/view?usp=drivesdk" TargetMode="External"/><Relationship Id="rId135" Type="http://schemas.openxmlformats.org/officeDocument/2006/relationships/hyperlink" Target="https://drive.google.com/file/d/1VuzluHmL2qoytM48GjVL2Vpc3XQpowKH/view?usp=drivesdk" TargetMode="External"/><Relationship Id="rId3266" Type="http://schemas.openxmlformats.org/officeDocument/2006/relationships/hyperlink" Target="https://drive.google.com/file/d/1JHOXftlqpB7TqQWU1_y7RDBQH33Zsil5/view?usp=drivesdk" TargetMode="External"/><Relationship Id="rId4597" Type="http://schemas.openxmlformats.org/officeDocument/2006/relationships/hyperlink" Target="https://drive.google.com/file/d/1Nd7O4CPP4np1QFR2J5AYGA60p2QXkf8M/view?usp=drivesdk" TargetMode="External"/><Relationship Id="rId134" Type="http://schemas.openxmlformats.org/officeDocument/2006/relationships/hyperlink" Target="https://drive.google.com/file/d/1x14pFnnSxp0XuAEYwegWcTSeigpExw8w/view?usp=drivesdk" TargetMode="External"/><Relationship Id="rId3269" Type="http://schemas.openxmlformats.org/officeDocument/2006/relationships/hyperlink" Target="https://drive.google.com/file/d/1QRUnWrA4HNv4WbSyQ6DITI5DmhdmFUnI/view?usp=drivesdk" TargetMode="External"/><Relationship Id="rId133" Type="http://schemas.openxmlformats.org/officeDocument/2006/relationships/hyperlink" Target="https://drive.google.com/file/d/109ziVzpNw3yi4X5sNROTahcbpToXEwdz/view?usp=drivesdk" TargetMode="External"/><Relationship Id="rId3268" Type="http://schemas.openxmlformats.org/officeDocument/2006/relationships/hyperlink" Target="https://drive.google.com/file/d/1PGVrpB3bGKk953dizYe913Bh6EU67inV/view?usp=drivesdk" TargetMode="External"/><Relationship Id="rId4599" Type="http://schemas.openxmlformats.org/officeDocument/2006/relationships/hyperlink" Target="https://drive.google.com/file/d/1vzaBihjaUCjbRnQgPqUcgx8EeLrhO5oe/view?usp=drivesdk" TargetMode="External"/><Relationship Id="rId172" Type="http://schemas.openxmlformats.org/officeDocument/2006/relationships/hyperlink" Target="https://drive.google.com/file/d/1gB4SgLyT4zBKl3cZAQLRW-bqyuMQeHRq/view?usp=drivesdk" TargetMode="External"/><Relationship Id="rId171" Type="http://schemas.openxmlformats.org/officeDocument/2006/relationships/hyperlink" Target="https://drive.google.com/file/d/1qaRk1Tgg-6TOc4JV3WVmTIe6JV3YA7Az/view?usp=drivesdk" TargetMode="External"/><Relationship Id="rId170" Type="http://schemas.openxmlformats.org/officeDocument/2006/relationships/hyperlink" Target="https://drive.google.com/file/d/1IT-Jwwedjpkcz_zMyNAOscCz7B8VA2sT/view?usp=drivesdk" TargetMode="External"/><Relationship Id="rId3290" Type="http://schemas.openxmlformats.org/officeDocument/2006/relationships/hyperlink" Target="https://drive.google.com/file/d/1XMLQ_3Xp0upqL3tWIhTAWRbTzrMjZCBY/view?usp=drivesdk" TargetMode="External"/><Relationship Id="rId3292" Type="http://schemas.openxmlformats.org/officeDocument/2006/relationships/hyperlink" Target="https://drive.google.com/file/d/1UhlhUaajHlqPXNCjyZC_g3HhtoXlyXx5/view?usp=drivesdk" TargetMode="External"/><Relationship Id="rId3291" Type="http://schemas.openxmlformats.org/officeDocument/2006/relationships/hyperlink" Target="https://drive.google.com/file/d/1ROKcWAcdhYos1QXixff9jDNML-QTmlcl/view?usp=drivesdk" TargetMode="External"/><Relationship Id="rId3294" Type="http://schemas.openxmlformats.org/officeDocument/2006/relationships/hyperlink" Target="https://drive.google.com/file/d/1ugkKITMAOFPkOikFPplxOahQw478hEid/view?usp=drivesdk" TargetMode="External"/><Relationship Id="rId3293" Type="http://schemas.openxmlformats.org/officeDocument/2006/relationships/hyperlink" Target="https://drive.google.com/file/d/1UG_I1fvUltc-TZ4C2f9iTigIAHRnlMu7/view?usp=drivesdk" TargetMode="External"/><Relationship Id="rId165" Type="http://schemas.openxmlformats.org/officeDocument/2006/relationships/hyperlink" Target="https://drive.google.com/file/d/1xc1UnZO6zHPDXRGfCKRPLDlIlyr987v0/view?usp=drivesdk" TargetMode="External"/><Relationship Id="rId3296" Type="http://schemas.openxmlformats.org/officeDocument/2006/relationships/hyperlink" Target="https://drive.google.com/file/d/1BsyywWUheOnGMvnDZeb8wvHismQWJAkO/view?usp=drivesdk" TargetMode="External"/><Relationship Id="rId164" Type="http://schemas.openxmlformats.org/officeDocument/2006/relationships/hyperlink" Target="https://drive.google.com/file/d/17_YEiVqGgnrioIGFbdaLNsTj_unoJ8U0/view?usp=drivesdk" TargetMode="External"/><Relationship Id="rId3295" Type="http://schemas.openxmlformats.org/officeDocument/2006/relationships/hyperlink" Target="https://drive.google.com/file/d/1BMzq8HlFpnwAAhMcJRHSVor_ypRu2Mwt/view?usp=drivesdk" TargetMode="External"/><Relationship Id="rId163" Type="http://schemas.openxmlformats.org/officeDocument/2006/relationships/hyperlink" Target="https://drive.google.com/file/d/1TROjeKMSrqQgZyhJ6kABTjY_EMFfHEhs/view?usp=drivesdk" TargetMode="External"/><Relationship Id="rId3298" Type="http://schemas.openxmlformats.org/officeDocument/2006/relationships/hyperlink" Target="https://drive.google.com/file/d/1asyzyhU8CksImQj2pmmKECjsTaYFF6OQ/view?usp=drivesdk" TargetMode="External"/><Relationship Id="rId162" Type="http://schemas.openxmlformats.org/officeDocument/2006/relationships/hyperlink" Target="https://drive.google.com/file/d/1UCQzeodRUX6irjXB39vuFv7IYGsCq5-G/view?usp=drivesdk" TargetMode="External"/><Relationship Id="rId3297" Type="http://schemas.openxmlformats.org/officeDocument/2006/relationships/hyperlink" Target="https://drive.google.com/file/d/1HS7lYYMefxrIxcmyqvYNho8_OjE-8KNU/view?usp=drivesdk" TargetMode="External"/><Relationship Id="rId169" Type="http://schemas.openxmlformats.org/officeDocument/2006/relationships/hyperlink" Target="https://drive.google.com/file/d/1fH-3EqDodXIdH9POA3FdbVNJo1NBGKC1/view?usp=drivesdk" TargetMode="External"/><Relationship Id="rId168" Type="http://schemas.openxmlformats.org/officeDocument/2006/relationships/hyperlink" Target="https://drive.google.com/file/d/1zl-HlJFjdcCIixFThH23knEyiS_rEgWd/view?usp=drivesdk" TargetMode="External"/><Relationship Id="rId3299" Type="http://schemas.openxmlformats.org/officeDocument/2006/relationships/hyperlink" Target="https://drive.google.com/file/d/1E4Ydn9Nl5_uUs-QiyuKfo_oun5S0jQuP/view?usp=drivesdk" TargetMode="External"/><Relationship Id="rId167" Type="http://schemas.openxmlformats.org/officeDocument/2006/relationships/hyperlink" Target="https://drive.google.com/file/d/1az2P3-yMvhmc6lGlLcendPR1tYCKMG6i/view?usp=drivesdk" TargetMode="External"/><Relationship Id="rId166" Type="http://schemas.openxmlformats.org/officeDocument/2006/relationships/hyperlink" Target="https://drive.google.com/file/d/1Fs4vtpyMH4v6PWCyCye9Sm9eHQfO5V0N/view?usp=drivesdk" TargetMode="External"/><Relationship Id="rId161" Type="http://schemas.openxmlformats.org/officeDocument/2006/relationships/hyperlink" Target="https://drive.google.com/file/d/1WT1KTufpvMxZFrmTQiy24RYlXLjj9UFW/view?usp=drivesdk" TargetMode="External"/><Relationship Id="rId160" Type="http://schemas.openxmlformats.org/officeDocument/2006/relationships/hyperlink" Target="https://drive.google.com/file/d/1HN0oXoyZhc7TVi2IOcR-yE310yRfzkjK/view?usp=drivesdk" TargetMode="External"/><Relationship Id="rId159" Type="http://schemas.openxmlformats.org/officeDocument/2006/relationships/hyperlink" Target="https://drive.google.com/file/d/1Ncd_vs_hA7UsWUmmU3ZWKG2AGzk9hBCN/view?usp=drivesdk" TargetMode="External"/><Relationship Id="rId3281" Type="http://schemas.openxmlformats.org/officeDocument/2006/relationships/hyperlink" Target="https://drive.google.com/file/d/1qhJEoSma6q-qQ4oUf1ablTvJq4x35quI/view?usp=drivesdk" TargetMode="External"/><Relationship Id="rId3280" Type="http://schemas.openxmlformats.org/officeDocument/2006/relationships/hyperlink" Target="https://drive.google.com/file/d/13JXDZjGMHUZ39Kieh7sy8DaIMjELSEhv/view?usp=drivesdk" TargetMode="External"/><Relationship Id="rId3283" Type="http://schemas.openxmlformats.org/officeDocument/2006/relationships/hyperlink" Target="https://drive.google.com/file/d/1d4dLF9J_BY9h8Goi20QPPDr6V80UoLD2/view?usp=drivesdk" TargetMode="External"/><Relationship Id="rId3282" Type="http://schemas.openxmlformats.org/officeDocument/2006/relationships/hyperlink" Target="https://drive.google.com/file/d/1wawZMGri-OiNxuW0gUBELT1PfIyAJGy8/view?usp=drivesdk" TargetMode="External"/><Relationship Id="rId154" Type="http://schemas.openxmlformats.org/officeDocument/2006/relationships/hyperlink" Target="https://drive.google.com/file/d/1Yqn21XvJz1dkoNCAJm1EDbHjKstbdwGm/view?usp=drivesdk" TargetMode="External"/><Relationship Id="rId3285" Type="http://schemas.openxmlformats.org/officeDocument/2006/relationships/hyperlink" Target="https://drive.google.com/file/d/1uv6wkxNdant_-LxCpdAmg1AxAoCkegLV/view?usp=drivesdk" TargetMode="External"/><Relationship Id="rId153" Type="http://schemas.openxmlformats.org/officeDocument/2006/relationships/hyperlink" Target="https://drive.google.com/file/d/1q-k4i9dvRjLz1-W-UJyV2LCYrEa5kSGc/view?usp=drivesdk" TargetMode="External"/><Relationship Id="rId3284" Type="http://schemas.openxmlformats.org/officeDocument/2006/relationships/hyperlink" Target="https://drive.google.com/file/d/1OuDm_DHnXHNvXFEUbw8TiseT0QzyE1oc/view?usp=drivesdk" TargetMode="External"/><Relationship Id="rId152" Type="http://schemas.openxmlformats.org/officeDocument/2006/relationships/hyperlink" Target="https://drive.google.com/file/d/1RT19N6691_u-p5KpCFqpi61wyIy0_RNg/view?usp=drivesdk" TargetMode="External"/><Relationship Id="rId3287" Type="http://schemas.openxmlformats.org/officeDocument/2006/relationships/hyperlink" Target="https://drive.google.com/file/d/1gRpUy0r_TKtT_pRl2FrMZ61e9PQSwJra/view?usp=drivesdk" TargetMode="External"/><Relationship Id="rId151" Type="http://schemas.openxmlformats.org/officeDocument/2006/relationships/hyperlink" Target="https://drive.google.com/file/d/1GMGxVcuXx6xX210lxzq-YKktFY6uGAaQ/view?usp=drivesdk" TargetMode="External"/><Relationship Id="rId3286" Type="http://schemas.openxmlformats.org/officeDocument/2006/relationships/hyperlink" Target="https://drive.google.com/file/d/1pEtr33Jso00h-bhEjeRyqsUEMAyoOk2T/view?usp=drivesdk" TargetMode="External"/><Relationship Id="rId158" Type="http://schemas.openxmlformats.org/officeDocument/2006/relationships/hyperlink" Target="https://drive.google.com/file/d/1h1AWaLqBjRXTdzg6pkGW8FEpQn-BLx7f/view?usp=drivesdk" TargetMode="External"/><Relationship Id="rId3289" Type="http://schemas.openxmlformats.org/officeDocument/2006/relationships/hyperlink" Target="https://drive.google.com/file/d/1NIn05XR84HkxzC1deRzhbRIgOMNT8Rk8/view?usp=drivesdk" TargetMode="External"/><Relationship Id="rId157" Type="http://schemas.openxmlformats.org/officeDocument/2006/relationships/hyperlink" Target="https://drive.google.com/file/d/1o6rtpX_5GjlHuEX10vuYZEbu8Fa19G8V/view?usp=drivesdk" TargetMode="External"/><Relationship Id="rId3288" Type="http://schemas.openxmlformats.org/officeDocument/2006/relationships/hyperlink" Target="https://drive.google.com/file/d/1GW2nyS9cgGRzdk7KOE_ItjbXFujr18fp/view?usp=drivesdk" TargetMode="External"/><Relationship Id="rId156" Type="http://schemas.openxmlformats.org/officeDocument/2006/relationships/hyperlink" Target="https://drive.google.com/file/d/1lFGgnX_vy-tewtpfvKzSJ_IvcS_nXbje/view?usp=drivesdk" TargetMode="External"/><Relationship Id="rId155" Type="http://schemas.openxmlformats.org/officeDocument/2006/relationships/hyperlink" Target="https://drive.google.com/file/d/1FcomajZkym5V1NvbrBtzbVPMRtn_fd65/view?usp=drivesdk" TargetMode="External"/><Relationship Id="rId8123" Type="http://schemas.openxmlformats.org/officeDocument/2006/relationships/hyperlink" Target="https://drive.google.com/file/d/1SNtBt2qJfJwuMULP-8bTSCPBnPGDTYW1/view?usp=drivesdk" TargetMode="External"/><Relationship Id="rId8122" Type="http://schemas.openxmlformats.org/officeDocument/2006/relationships/hyperlink" Target="https://drive.google.com/file/d/1JLvK9riVjOgFpTi_uBP-PT0xEzuzHaXq/view?usp=drivesdk" TargetMode="External"/><Relationship Id="rId8121" Type="http://schemas.openxmlformats.org/officeDocument/2006/relationships/hyperlink" Target="https://drive.google.com/file/d/1bH2_RoA3G3bRcOnkOZynso1vr0HH2ggl/view?usp=drivesdk" TargetMode="External"/><Relationship Id="rId8120" Type="http://schemas.openxmlformats.org/officeDocument/2006/relationships/hyperlink" Target="https://drive.google.com/file/d/1629Eh3MIUGhdEV2uZIhEfgLENGOV0C2E/view?usp=drivesdk" TargetMode="External"/><Relationship Id="rId8127" Type="http://schemas.openxmlformats.org/officeDocument/2006/relationships/hyperlink" Target="https://drive.google.com/file/d/1mnvZ0O_KkWewuy0MGOdTVEarD1cHmA7C/view?usp=drivesdk" TargetMode="External"/><Relationship Id="rId8126" Type="http://schemas.openxmlformats.org/officeDocument/2006/relationships/hyperlink" Target="https://drive.google.com/file/d/1BUp29barWNm2XpNqmHHoQw7d4DsUFYok/view?usp=drivesdk" TargetMode="External"/><Relationship Id="rId8125" Type="http://schemas.openxmlformats.org/officeDocument/2006/relationships/hyperlink" Target="https://drive.google.com/file/d/1DHqUq0_9wlaKxDlN7MdB6Ia7zJU9VML4/view?usp=drivesdk" TargetMode="External"/><Relationship Id="rId8124" Type="http://schemas.openxmlformats.org/officeDocument/2006/relationships/hyperlink" Target="https://drive.google.com/file/d/11BL3jNxQ8IG4Zhi9EP7_oZQEuH-q9_NG/view?usp=drivesdk" TargetMode="External"/><Relationship Id="rId8129" Type="http://schemas.openxmlformats.org/officeDocument/2006/relationships/hyperlink" Target="https://drive.google.com/file/d/17thrDhybRaFkILmA25OY3Ryo3AsOlFpT/view?usp=drivesdk" TargetMode="External"/><Relationship Id="rId8128" Type="http://schemas.openxmlformats.org/officeDocument/2006/relationships/hyperlink" Target="https://drive.google.com/file/d/1YTXPwZVwB38aYGP55Sfpy4yeIaphgpbP/view?usp=drivesdk" TargetMode="External"/><Relationship Id="rId8112" Type="http://schemas.openxmlformats.org/officeDocument/2006/relationships/hyperlink" Target="https://drive.google.com/file/d/1fHVHeu7Ici4QGKtJpcXm4Wd3YWNOsBA9/view?usp=drivesdk" TargetMode="External"/><Relationship Id="rId8111" Type="http://schemas.openxmlformats.org/officeDocument/2006/relationships/hyperlink" Target="https://drive.google.com/file/d/13DdR-521RtZhr4OyrZ_5ZRMNzp5ve9dK/view?usp=drivesdk" TargetMode="External"/><Relationship Id="rId8110" Type="http://schemas.openxmlformats.org/officeDocument/2006/relationships/hyperlink" Target="https://drive.google.com/file/d/1UZS6rN5MURQkRMqUOGASp27fStjlu5jt/view?usp=drivesdk" TargetMode="External"/><Relationship Id="rId8116" Type="http://schemas.openxmlformats.org/officeDocument/2006/relationships/hyperlink" Target="https://drive.google.com/file/d/1epxywuhoUrPe6IZrqmisVf5FNrdbNmQT/view?usp=drivesdk" TargetMode="External"/><Relationship Id="rId8115" Type="http://schemas.openxmlformats.org/officeDocument/2006/relationships/hyperlink" Target="https://drive.google.com/file/d/16bOqDXHRRyBgCJ8RoktSETaQLjQt5j3_/view?usp=drivesdk" TargetMode="External"/><Relationship Id="rId8114" Type="http://schemas.openxmlformats.org/officeDocument/2006/relationships/hyperlink" Target="https://drive.google.com/file/d/1mMuWw-TqMb6K6-aJ7bYRQ_2OmpQdMgKv/view?usp=drivesdk" TargetMode="External"/><Relationship Id="rId8113" Type="http://schemas.openxmlformats.org/officeDocument/2006/relationships/hyperlink" Target="https://drive.google.com/file/d/14wPmZl6BbhRGT3DQ8CI3Q_GYdyYnqe6X/view?usp=drivesdk" TargetMode="External"/><Relationship Id="rId8119" Type="http://schemas.openxmlformats.org/officeDocument/2006/relationships/hyperlink" Target="https://drive.google.com/file/d/1Dgb6QorD4S_oIyGLOBTFuMPPqkIUC0Br/view?usp=drivesdk" TargetMode="External"/><Relationship Id="rId8118" Type="http://schemas.openxmlformats.org/officeDocument/2006/relationships/hyperlink" Target="https://drive.google.com/file/d/1B5VX1A9Gc8rD6gXA_8yLVqe-HOdE3lqW/view?usp=drivesdk" TargetMode="External"/><Relationship Id="rId8117" Type="http://schemas.openxmlformats.org/officeDocument/2006/relationships/hyperlink" Target="https://drive.google.com/file/d/1ZD-XBgaB15T-GMFF0SmpLQ0015KGNmUf/view?usp=drivesdk" TargetMode="External"/><Relationship Id="rId8141" Type="http://schemas.openxmlformats.org/officeDocument/2006/relationships/hyperlink" Target="https://drive.google.com/file/d/1E3s_43AF1j5B47zzpGyQ6lC17ONJW9Ro/view?usp=drivesdk" TargetMode="External"/><Relationship Id="rId8140" Type="http://schemas.openxmlformats.org/officeDocument/2006/relationships/hyperlink" Target="https://drive.google.com/file/d/1o5A-KPy1v_GaDwoc6tXPaov8inFAv1tV/view?usp=drivesdk" TargetMode="External"/><Relationship Id="rId8145" Type="http://schemas.openxmlformats.org/officeDocument/2006/relationships/hyperlink" Target="https://drive.google.com/file/d/1JiINrvoTpJ0Hf4kVLnzE7-chW0vXNQng/view?usp=drivesdk" TargetMode="External"/><Relationship Id="rId8144" Type="http://schemas.openxmlformats.org/officeDocument/2006/relationships/hyperlink" Target="https://drive.google.com/file/d/1SvsFpfgYBqTjakYujE7f0h3Q84YW4oP0/view?usp=drivesdk" TargetMode="External"/><Relationship Id="rId8143" Type="http://schemas.openxmlformats.org/officeDocument/2006/relationships/hyperlink" Target="https://drive.google.com/file/d/1vE2sYf8x1GXzFVJmwNjLtQfHEoQTgSy4/view?usp=drivesdk" TargetMode="External"/><Relationship Id="rId8142" Type="http://schemas.openxmlformats.org/officeDocument/2006/relationships/hyperlink" Target="https://drive.google.com/file/d/15KbGgAQi9bMVdGkW_mkI11D6Fj0BM1n0/view?usp=drivesdk" TargetMode="External"/><Relationship Id="rId8149" Type="http://schemas.openxmlformats.org/officeDocument/2006/relationships/hyperlink" Target="https://drive.google.com/file/d/13rbtp4uT4H-k20S4mklbI2VsSY0fyqJA/view?usp=drivesdk" TargetMode="External"/><Relationship Id="rId8148" Type="http://schemas.openxmlformats.org/officeDocument/2006/relationships/hyperlink" Target="https://drive.google.com/file/d/1GefArrrkJ_Vcecvty3-9SM-vcYFwcp5i/view?usp=drivesdk" TargetMode="External"/><Relationship Id="rId8147" Type="http://schemas.openxmlformats.org/officeDocument/2006/relationships/hyperlink" Target="https://drive.google.com/file/d/1ib3jfnyzuHspXNg3Kg3nVtatX_Y33A50/view?usp=drivesdk" TargetMode="External"/><Relationship Id="rId8146" Type="http://schemas.openxmlformats.org/officeDocument/2006/relationships/hyperlink" Target="https://drive.google.com/file/d/1mNjWn8rC5vXZJBX3Lun-HWu_bRsVKcms/view?usp=drivesdk" TargetMode="External"/><Relationship Id="rId8130" Type="http://schemas.openxmlformats.org/officeDocument/2006/relationships/hyperlink" Target="https://drive.google.com/file/d/1onzmX2Trp36_wpNIOtVBYLgrAXZf4rsj/view?usp=drivesdk" TargetMode="External"/><Relationship Id="rId8134" Type="http://schemas.openxmlformats.org/officeDocument/2006/relationships/hyperlink" Target="https://drive.google.com/file/d/1yJxMhSxr0ED0YPEqnj4YKbLzPLXIAriF/view?usp=drivesdk" TargetMode="External"/><Relationship Id="rId8133" Type="http://schemas.openxmlformats.org/officeDocument/2006/relationships/hyperlink" Target="https://drive.google.com/file/d/1uxr_G5GHv9tXaFikYWsYo4q4aZ2DaUWS/view?usp=drivesdk" TargetMode="External"/><Relationship Id="rId8132" Type="http://schemas.openxmlformats.org/officeDocument/2006/relationships/hyperlink" Target="https://drive.google.com/file/d/1KN8LIV8HSX9eHHgp96wHCh_3-Z7AZJII/view?usp=drivesdk" TargetMode="External"/><Relationship Id="rId8131" Type="http://schemas.openxmlformats.org/officeDocument/2006/relationships/hyperlink" Target="https://drive.google.com/file/d/1tIKJ8xWJRToxU-BT3XUfdezn7VVRA3Mz/view?usp=drivesdk" TargetMode="External"/><Relationship Id="rId8138" Type="http://schemas.openxmlformats.org/officeDocument/2006/relationships/hyperlink" Target="https://drive.google.com/file/d/1P6ACEdyW5Wz6XwsF9nUu_brFsNRsfQMF/view?usp=drivesdk" TargetMode="External"/><Relationship Id="rId8137" Type="http://schemas.openxmlformats.org/officeDocument/2006/relationships/hyperlink" Target="https://drive.google.com/file/d/1O-0O0T2N1MccWbVQ84yuMnKXQ2jEuljs/view?usp=drivesdk" TargetMode="External"/><Relationship Id="rId8136" Type="http://schemas.openxmlformats.org/officeDocument/2006/relationships/hyperlink" Target="https://drive.google.com/file/d/1PCQh8aXkygZ06534FUYtCFbyYz6Oph4W/view?usp=drivesdk" TargetMode="External"/><Relationship Id="rId8135" Type="http://schemas.openxmlformats.org/officeDocument/2006/relationships/hyperlink" Target="https://drive.google.com/file/d/1HDPbnYzdAcgu59bPoPVl6hxYDXCQN-r5/view?usp=drivesdk" TargetMode="External"/><Relationship Id="rId8139" Type="http://schemas.openxmlformats.org/officeDocument/2006/relationships/hyperlink" Target="https://drive.google.com/file/d/1Nmk10_Dt6QFi5iEEuYXJSNdzrvlih7dH/view?usp=drivesdk" TargetMode="External"/><Relationship Id="rId8101" Type="http://schemas.openxmlformats.org/officeDocument/2006/relationships/hyperlink" Target="https://drive.google.com/file/d/1b5StIQVDeWE-wTFGlE3gFATDwZMZC-H5/view?usp=drivesdk" TargetMode="External"/><Relationship Id="rId8100" Type="http://schemas.openxmlformats.org/officeDocument/2006/relationships/hyperlink" Target="https://drive.google.com/file/d/1jWpUAsP-4mDQN8oUviNKYfB8qWmBhDFk/view?usp=drivesdk" TargetMode="External"/><Relationship Id="rId8105" Type="http://schemas.openxmlformats.org/officeDocument/2006/relationships/hyperlink" Target="https://drive.google.com/file/d/1VsB7j1s7Um2YtJBlGXKLHva7MTM3gIli/view?usp=drivesdk" TargetMode="External"/><Relationship Id="rId8104" Type="http://schemas.openxmlformats.org/officeDocument/2006/relationships/hyperlink" Target="https://drive.google.com/file/d/1Fj7l4j16stjjwoLJz4g9UWrokdaJzVhY/view?usp=drivesdk" TargetMode="External"/><Relationship Id="rId8103" Type="http://schemas.openxmlformats.org/officeDocument/2006/relationships/hyperlink" Target="https://drive.google.com/file/d/1ylb1lCL-fBPhhezRznCm9MHfi5tuER-R/view?usp=drivesdk" TargetMode="External"/><Relationship Id="rId8102" Type="http://schemas.openxmlformats.org/officeDocument/2006/relationships/hyperlink" Target="https://drive.google.com/file/d/198b-vv4hZoov93ZpPzWZycYo-smN_kas/view?usp=drivesdk" TargetMode="External"/><Relationship Id="rId8109" Type="http://schemas.openxmlformats.org/officeDocument/2006/relationships/hyperlink" Target="https://drive.google.com/file/d/1sjpBwQb4UVMnyUD0DN5aqPV8AW9Riqix/view?usp=drivesdk" TargetMode="External"/><Relationship Id="rId8108" Type="http://schemas.openxmlformats.org/officeDocument/2006/relationships/hyperlink" Target="https://drive.google.com/file/d/1BKx2E7NUcWokKkmr-qc4wDEO7yoQyDr5/view?usp=drivesdk" TargetMode="External"/><Relationship Id="rId8107" Type="http://schemas.openxmlformats.org/officeDocument/2006/relationships/hyperlink" Target="https://drive.google.com/file/d/12Dcjxj7ZO3meGG9HK-Afd7JOHiM-w-MQ/view?usp=drivesdk" TargetMode="External"/><Relationship Id="rId8106" Type="http://schemas.openxmlformats.org/officeDocument/2006/relationships/hyperlink" Target="https://drive.google.com/file/d/1rXXYollP8Sm_4lk57AuXw616XkFGu4qf/view?usp=drivesdk" TargetMode="External"/><Relationship Id="rId4602" Type="http://schemas.openxmlformats.org/officeDocument/2006/relationships/hyperlink" Target="https://drive.google.com/file/d/1pITyArA0l2gtlPFeW1JSYQC_75Ko0IPQ/view?usp=drivesdk" TargetMode="External"/><Relationship Id="rId5934" Type="http://schemas.openxmlformats.org/officeDocument/2006/relationships/hyperlink" Target="https://drive.google.com/file/d/1qnTx9TgNfAePoeIz2nT9jPEvhBiInAwQ/view?usp=drivesdk" TargetMode="External"/><Relationship Id="rId4601" Type="http://schemas.openxmlformats.org/officeDocument/2006/relationships/hyperlink" Target="https://drive.google.com/file/d/1msyxRiPtCUW0gH7jV6_gw3k5--1lXxTs/view?usp=drivesdk" TargetMode="External"/><Relationship Id="rId5935" Type="http://schemas.openxmlformats.org/officeDocument/2006/relationships/hyperlink" Target="https://drive.google.com/file/d/1MFAlMEMiei49tdaewdL3v8dsqNf8nKYO/view?usp=drivesdk" TargetMode="External"/><Relationship Id="rId4604" Type="http://schemas.openxmlformats.org/officeDocument/2006/relationships/hyperlink" Target="https://drive.google.com/file/d/10JxAediTxH5ZuOl3OeSw1kEpRZ4LTuHn/view?usp=drivesdk" TargetMode="External"/><Relationship Id="rId5932" Type="http://schemas.openxmlformats.org/officeDocument/2006/relationships/hyperlink" Target="https://drive.google.com/file/d/1-HeVfO57keq_qTpOE_ZOMRljpfOdld9m/view?usp=drivesdk" TargetMode="External"/><Relationship Id="rId4603" Type="http://schemas.openxmlformats.org/officeDocument/2006/relationships/hyperlink" Target="https://drive.google.com/file/d/1cWsLU3HGFyPen9iaWEu9o7jZyxGkMtJT/view?usp=drivesdk" TargetMode="External"/><Relationship Id="rId5933" Type="http://schemas.openxmlformats.org/officeDocument/2006/relationships/hyperlink" Target="https://drive.google.com/file/d/16uvo5nAYpFaS53rTN10meCWyQdk5KX1u/view?usp=drivesdk" TargetMode="External"/><Relationship Id="rId4606" Type="http://schemas.openxmlformats.org/officeDocument/2006/relationships/hyperlink" Target="https://drive.google.com/file/d/1qR_rUOxunHbmpuobSpXdww7Bh-3HRrX8/view?usp=drivesdk" TargetMode="External"/><Relationship Id="rId5938" Type="http://schemas.openxmlformats.org/officeDocument/2006/relationships/hyperlink" Target="https://drive.google.com/file/d/1PbxUjIJPSMzNbRFUuwjCFLga8R8X2mWP/view?usp=drivesdk" TargetMode="External"/><Relationship Id="rId4605" Type="http://schemas.openxmlformats.org/officeDocument/2006/relationships/hyperlink" Target="https://drive.google.com/file/d/1mUqsN17y_v-Gqb4IKTvYSP9aD0WY2byx/view?usp=drivesdk" TargetMode="External"/><Relationship Id="rId5939" Type="http://schemas.openxmlformats.org/officeDocument/2006/relationships/hyperlink" Target="https://drive.google.com/file/d/1semSoBi8c-05sgetdumma1-KDMe1THYn/view?usp=drivesdk" TargetMode="External"/><Relationship Id="rId4608" Type="http://schemas.openxmlformats.org/officeDocument/2006/relationships/hyperlink" Target="https://drive.google.com/file/d/1U4StjxOCYMbLRYHSOPxyGeQBF03frsCk/view?usp=drivesdk" TargetMode="External"/><Relationship Id="rId5936" Type="http://schemas.openxmlformats.org/officeDocument/2006/relationships/hyperlink" Target="https://drive.google.com/file/d/1DfMPzz86HssVwuUrogHeqtPL5TLjoE2O/view?usp=drivesdk" TargetMode="External"/><Relationship Id="rId4607" Type="http://schemas.openxmlformats.org/officeDocument/2006/relationships/hyperlink" Target="https://drive.google.com/file/d/1izPZA12klj_qqhYDTy5P0u-ebWK7hLiw/view?usp=drivesdk" TargetMode="External"/><Relationship Id="rId5937" Type="http://schemas.openxmlformats.org/officeDocument/2006/relationships/hyperlink" Target="https://drive.google.com/file/d/17dT95kuai241UwGKcEH66A7K7DDh7oIA/view?usp=drivesdk" TargetMode="External"/><Relationship Id="rId4609" Type="http://schemas.openxmlformats.org/officeDocument/2006/relationships/hyperlink" Target="https://drive.google.com/file/d/1rYea1PrTtt07b9kvTOx6lKGJMa33Lvdi/view?usp=drivesdk" TargetMode="External"/><Relationship Id="rId5930" Type="http://schemas.openxmlformats.org/officeDocument/2006/relationships/hyperlink" Target="https://drive.google.com/file/d/11SiEmSv6r5ghjdL9ZiRbmNIUqMyE0pjc/view?usp=drivesdk" TargetMode="External"/><Relationship Id="rId5931" Type="http://schemas.openxmlformats.org/officeDocument/2006/relationships/hyperlink" Target="https://drive.google.com/file/d/1Dl6b8P4fG3v-TTg9wuPMN0esogUmabW_/view?usp=drivesdk" TargetMode="External"/><Relationship Id="rId4600" Type="http://schemas.openxmlformats.org/officeDocument/2006/relationships/hyperlink" Target="https://drive.google.com/file/d/1WQOuthXSjzFFyadXOPf3N5tEMHLm2lUh/view?usp=drivesdk" TargetMode="External"/><Relationship Id="rId5923" Type="http://schemas.openxmlformats.org/officeDocument/2006/relationships/hyperlink" Target="https://drive.google.com/file/d/1QIecxon61GTT317ib_BR-2qvaTSlvSrf/view?usp=drivesdk" TargetMode="External"/><Relationship Id="rId5924" Type="http://schemas.openxmlformats.org/officeDocument/2006/relationships/hyperlink" Target="https://drive.google.com/file/d/1UGbYOqwsVtousO3rV2AH-TK5nIXSuVV3/view?usp=drivesdk" TargetMode="External"/><Relationship Id="rId5921" Type="http://schemas.openxmlformats.org/officeDocument/2006/relationships/hyperlink" Target="https://drive.google.com/file/d/1RPw9rwzpeVfyk40JWVJ32VVOs9ic39fq/view?usp=drivesdk" TargetMode="External"/><Relationship Id="rId5922" Type="http://schemas.openxmlformats.org/officeDocument/2006/relationships/hyperlink" Target="https://drive.google.com/file/d/1pNjBZeHGrdJlkPAIcQMeadtn3OEGfZDC/view?usp=drivesdk" TargetMode="External"/><Relationship Id="rId5927" Type="http://schemas.openxmlformats.org/officeDocument/2006/relationships/hyperlink" Target="https://drive.google.com/file/d/13joRz33MwsrOn-jRj4OPKLp3SSX7NJl1/view?usp=drivesdk" TargetMode="External"/><Relationship Id="rId5928" Type="http://schemas.openxmlformats.org/officeDocument/2006/relationships/hyperlink" Target="https://drive.google.com/file/d/1evVTwQ23pawlpOfmIbH-PUAp4BgEcACf/view?usp=drivesdk" TargetMode="External"/><Relationship Id="rId5925" Type="http://schemas.openxmlformats.org/officeDocument/2006/relationships/hyperlink" Target="https://drive.google.com/file/d/19DE56ioJeNC41I_pCynnGtmwQy_w4dXs/view?usp=drivesdk" TargetMode="External"/><Relationship Id="rId5926" Type="http://schemas.openxmlformats.org/officeDocument/2006/relationships/hyperlink" Target="https://drive.google.com/file/d/1W-xM9F_I6gvbX8KHgFVV2ISzfuKQtQiQ/view?usp=drivesdk" TargetMode="External"/><Relationship Id="rId5929" Type="http://schemas.openxmlformats.org/officeDocument/2006/relationships/hyperlink" Target="https://drive.google.com/file/d/1F3g5Ddqh4HqGvIicJaFUrIyD50IhyyAq/view?usp=drivesdk" TargetMode="External"/><Relationship Id="rId8196" Type="http://schemas.openxmlformats.org/officeDocument/2006/relationships/hyperlink" Target="https://drive.google.com/file/d/1j2NdBaD5ys5fHhUH6VpcoPT5ZPMK7x--/view?usp=drivesdk" TargetMode="External"/><Relationship Id="rId8195" Type="http://schemas.openxmlformats.org/officeDocument/2006/relationships/hyperlink" Target="https://drive.google.com/file/d/1XdyYFJH6FtrDBdY5q8UyAcVoYzUVwDhV/view?usp=drivesdk" TargetMode="External"/><Relationship Id="rId8194" Type="http://schemas.openxmlformats.org/officeDocument/2006/relationships/hyperlink" Target="https://drive.google.com/file/d/14R2VNo7VKmVIUgq_6-npllMrjsqea9SV/view?usp=drivesdk" TargetMode="External"/><Relationship Id="rId8193" Type="http://schemas.openxmlformats.org/officeDocument/2006/relationships/hyperlink" Target="https://drive.google.com/file/d/1WXCZe65fkdfmcrWsSZ-tx7TzM3YT4qhk/view?usp=drivesdk" TargetMode="External"/><Relationship Id="rId8199" Type="http://schemas.openxmlformats.org/officeDocument/2006/relationships/hyperlink" Target="https://drive.google.com/file/d/1_GFiwXlGXipHN0bcyJqwCxt2nVadU-qa/view?usp=drivesdk" TargetMode="External"/><Relationship Id="rId8198" Type="http://schemas.openxmlformats.org/officeDocument/2006/relationships/hyperlink" Target="https://drive.google.com/file/d/16TRch-c8Wmlx7oIl3cip0eG3hvwCasEW/view?usp=drivesdk" TargetMode="External"/><Relationship Id="rId8197" Type="http://schemas.openxmlformats.org/officeDocument/2006/relationships/hyperlink" Target="https://drive.google.com/file/d/1rVVyDQDYFcVjEzivmCQKUuAmuC9AzaLu/view?usp=drivesdk" TargetMode="External"/><Relationship Id="rId5920" Type="http://schemas.openxmlformats.org/officeDocument/2006/relationships/hyperlink" Target="https://drive.google.com/file/d/1ILO3VxUMoyk17wOqmVAqz7TbJ9vJlayK/view?usp=drivesdk" TargetMode="External"/><Relationship Id="rId4624" Type="http://schemas.openxmlformats.org/officeDocument/2006/relationships/hyperlink" Target="https://drive.google.com/file/d/1ZKMc_42vfKncJ_N_kEWCyW3eASik9ZC1/view?usp=drivesdk" TargetMode="External"/><Relationship Id="rId5956" Type="http://schemas.openxmlformats.org/officeDocument/2006/relationships/hyperlink" Target="https://drive.google.com/file/d/188OMfbdzwYqV4AsMD--mQz-IypDSkZWl/view?usp=drivesdk" TargetMode="External"/><Relationship Id="rId4623" Type="http://schemas.openxmlformats.org/officeDocument/2006/relationships/hyperlink" Target="https://drive.google.com/file/d/1VVpf_5msdMEmyWYEXy6Uk8Ea_SY2l6xQ/view?usp=drivesdk" TargetMode="External"/><Relationship Id="rId5957" Type="http://schemas.openxmlformats.org/officeDocument/2006/relationships/hyperlink" Target="https://drive.google.com/file/d/1QQJeyXIvtyiBoY-9PhrC0nt2q1CWmYJv/view?usp=drivesdk" TargetMode="External"/><Relationship Id="rId4626" Type="http://schemas.openxmlformats.org/officeDocument/2006/relationships/hyperlink" Target="https://drive.google.com/file/d/178xpDjLehDkqlyyqF2-hxCvyDe7O_y6K/view?usp=drivesdk" TargetMode="External"/><Relationship Id="rId5954" Type="http://schemas.openxmlformats.org/officeDocument/2006/relationships/hyperlink" Target="https://drive.google.com/file/d/1h1a2b32FzK3jA63NED7fWQzm5TsSRIzY/view?usp=drivesdk" TargetMode="External"/><Relationship Id="rId4625" Type="http://schemas.openxmlformats.org/officeDocument/2006/relationships/hyperlink" Target="https://drive.google.com/file/d/1k6RixNzL8EcSOa7qZmOHF-O5MXBaWFON/view?usp=drivesdk" TargetMode="External"/><Relationship Id="rId5955" Type="http://schemas.openxmlformats.org/officeDocument/2006/relationships/hyperlink" Target="https://drive.google.com/file/d/1d1lIwia2QzBngTiC6QteArNxpIH5BiGR/view?usp=drivesdk" TargetMode="External"/><Relationship Id="rId4628" Type="http://schemas.openxmlformats.org/officeDocument/2006/relationships/hyperlink" Target="https://drive.google.com/file/d/1GOZkFUhiQlkxyJ0-7tFoiu-W1b93W-zS/view?usp=drivesdk" TargetMode="External"/><Relationship Id="rId4627" Type="http://schemas.openxmlformats.org/officeDocument/2006/relationships/hyperlink" Target="https://drive.google.com/file/d/1gZitmesnzB1iMv827IG6b5YMhIhRMV58/view?usp=drivesdk" TargetMode="External"/><Relationship Id="rId5958" Type="http://schemas.openxmlformats.org/officeDocument/2006/relationships/hyperlink" Target="https://drive.google.com/file/d/12f7ds9TqRcUlPZWECw6fNFrB68OIjRDC/view?usp=drivesdk" TargetMode="External"/><Relationship Id="rId4629" Type="http://schemas.openxmlformats.org/officeDocument/2006/relationships/hyperlink" Target="https://drive.google.com/file/d/1Ex4C1NSzqjYWbRBUCHGNJldzmX7lvyXy/view?usp=drivesdk" TargetMode="External"/><Relationship Id="rId5959" Type="http://schemas.openxmlformats.org/officeDocument/2006/relationships/hyperlink" Target="https://drive.google.com/file/d/1hevO5Zg2EVsUq4vdRg05wMmhcu4sYf_D/view?usp=drivesdk" TargetMode="External"/><Relationship Id="rId4620" Type="http://schemas.openxmlformats.org/officeDocument/2006/relationships/hyperlink" Target="https://drive.google.com/file/d/1fNXOhhEjP7Jg4kLxPsuCL0OX3YVFhxN5/view?usp=drivesdk" TargetMode="External"/><Relationship Id="rId5952" Type="http://schemas.openxmlformats.org/officeDocument/2006/relationships/hyperlink" Target="https://drive.google.com/file/d/1zP6Zf-n6hwUR-S_JmwLfuOUl9hD-w4Iz/view?usp=drivesdk" TargetMode="External"/><Relationship Id="rId5953" Type="http://schemas.openxmlformats.org/officeDocument/2006/relationships/hyperlink" Target="https://drive.google.com/file/d/10NtQ0f_-LDe7co9xgmGX5RK2wzUvIs9r/view?usp=drivesdk" TargetMode="External"/><Relationship Id="rId4622" Type="http://schemas.openxmlformats.org/officeDocument/2006/relationships/hyperlink" Target="https://drive.google.com/file/d/1d0R8at3_Lp0u3RdmoCnjp0FJhxq8qbYX/view?usp=drivesdk" TargetMode="External"/><Relationship Id="rId5950" Type="http://schemas.openxmlformats.org/officeDocument/2006/relationships/hyperlink" Target="https://drive.google.com/file/d/1xqh6ZN4p9q3CIKy_nerPcYbnCasbO4Kx/view?usp=drivesdk" TargetMode="External"/><Relationship Id="rId4621" Type="http://schemas.openxmlformats.org/officeDocument/2006/relationships/hyperlink" Target="https://drive.google.com/file/d/1Zw9AqpESw4MJ0MO_zWk308kMudhid0uR/view?usp=drivesdk" TargetMode="External"/><Relationship Id="rId5951" Type="http://schemas.openxmlformats.org/officeDocument/2006/relationships/hyperlink" Target="https://drive.google.com/file/d/1EWETKpC9Bi84h-59DqdykG3ym9l4fSxS/view?usp=drivesdk" TargetMode="External"/><Relationship Id="rId4613" Type="http://schemas.openxmlformats.org/officeDocument/2006/relationships/hyperlink" Target="https://drive.google.com/file/d/1QEK-V7sWbcsdZoBD_SZ8xDBOl462JfUt/view?usp=drivesdk" TargetMode="External"/><Relationship Id="rId5945" Type="http://schemas.openxmlformats.org/officeDocument/2006/relationships/hyperlink" Target="https://drive.google.com/file/d/1sANk39DdQWuryUXicuyEt5-kbBRBKGnH/view?usp=drivesdk" TargetMode="External"/><Relationship Id="rId4612" Type="http://schemas.openxmlformats.org/officeDocument/2006/relationships/hyperlink" Target="https://drive.google.com/file/d/16p_E-PIJkkcUpo-sAXOXpaFx1MW7myhY/view?usp=drivesdk" TargetMode="External"/><Relationship Id="rId5946" Type="http://schemas.openxmlformats.org/officeDocument/2006/relationships/hyperlink" Target="https://drive.google.com/file/d/1xWcmff-sIvquy5XrQgvIIWB6zM6gT5d4/view?usp=drivesdk" TargetMode="External"/><Relationship Id="rId4615" Type="http://schemas.openxmlformats.org/officeDocument/2006/relationships/hyperlink" Target="https://drive.google.com/file/d/1ngtuCX3k2i0Jf-1MaEAkVPsSd3jSiWF3/view?usp=drivesdk" TargetMode="External"/><Relationship Id="rId5943" Type="http://schemas.openxmlformats.org/officeDocument/2006/relationships/hyperlink" Target="https://drive.google.com/file/d/1viTGTcTU5FAxhBSRwMNmTplz8jKd0nMx/view?usp=drivesdk" TargetMode="External"/><Relationship Id="rId4614" Type="http://schemas.openxmlformats.org/officeDocument/2006/relationships/hyperlink" Target="https://drive.google.com/file/d/12jj7JDTH29pFvWQWTbPlKGvBojM-NwRx/view?usp=drivesdk" TargetMode="External"/><Relationship Id="rId5944" Type="http://schemas.openxmlformats.org/officeDocument/2006/relationships/hyperlink" Target="https://drive.google.com/file/d/1Q4BPqQTRuyevZvJRGiKRMKgI_GDr7-7f/view?usp=drivesdk" TargetMode="External"/><Relationship Id="rId4617" Type="http://schemas.openxmlformats.org/officeDocument/2006/relationships/hyperlink" Target="https://drive.google.com/file/d/1HJQGT8lPN-4-wa6OGvNd2wp4ce0Ffo4M/view?usp=drivesdk" TargetMode="External"/><Relationship Id="rId5949" Type="http://schemas.openxmlformats.org/officeDocument/2006/relationships/hyperlink" Target="https://drive.google.com/file/d/1HnLZUs6gRwsERTAEZ6vp86W7vgFCum1D/view?usp=drivesdk" TargetMode="External"/><Relationship Id="rId4616" Type="http://schemas.openxmlformats.org/officeDocument/2006/relationships/hyperlink" Target="https://drive.google.com/file/d/1XycPzIxgWSczK-J8u3U5kZb-vo1ovEDL/view?usp=drivesdk" TargetMode="External"/><Relationship Id="rId4619" Type="http://schemas.openxmlformats.org/officeDocument/2006/relationships/hyperlink" Target="https://drive.google.com/file/d/14iv3qykX22wHaFmZWI-WNQSXfzOqdkP6/view?usp=drivesdk" TargetMode="External"/><Relationship Id="rId5947" Type="http://schemas.openxmlformats.org/officeDocument/2006/relationships/hyperlink" Target="https://drive.google.com/file/d/1A8sIaBA2bfWo7aA3U3Zegv523hTLEQPJ/view?usp=drivesdk" TargetMode="External"/><Relationship Id="rId4618" Type="http://schemas.openxmlformats.org/officeDocument/2006/relationships/hyperlink" Target="https://drive.google.com/file/d/1MoOBFFTC5Ical00PqefReW5myp--gx5x/view?usp=drivesdk" TargetMode="External"/><Relationship Id="rId5948" Type="http://schemas.openxmlformats.org/officeDocument/2006/relationships/hyperlink" Target="https://drive.google.com/file/d/1pp09m5f78nk84Nham3IaSqdDzM7yuP7L/view?usp=drivesdk" TargetMode="External"/><Relationship Id="rId5941" Type="http://schemas.openxmlformats.org/officeDocument/2006/relationships/hyperlink" Target="https://drive.google.com/file/d/12zSj8aCH80CPcU8b_b_6kIUwiQJ-eOpg/view?usp=drivesdk" TargetMode="External"/><Relationship Id="rId5942" Type="http://schemas.openxmlformats.org/officeDocument/2006/relationships/hyperlink" Target="https://drive.google.com/file/d/1GbhM41fBZDobI0dUFsjYmY3mmzpdTvYx/view?usp=drivesdk" TargetMode="External"/><Relationship Id="rId4611" Type="http://schemas.openxmlformats.org/officeDocument/2006/relationships/hyperlink" Target="https://drive.google.com/file/d/13xUWKkERnPnpBWL3EcZesAjWDaitH14e/view?usp=drivesdk" TargetMode="External"/><Relationship Id="rId4610" Type="http://schemas.openxmlformats.org/officeDocument/2006/relationships/hyperlink" Target="https://drive.google.com/file/d/18ylopUqiHLZOYuH5QjfsX5I5RYmQumRb/view?usp=drivesdk" TargetMode="External"/><Relationship Id="rId5940" Type="http://schemas.openxmlformats.org/officeDocument/2006/relationships/hyperlink" Target="https://drive.google.com/file/d/1zRJVF7AwNqgLTZ80UyYwEF-uNQOM-szh/view?usp=drivesdk" TargetMode="External"/><Relationship Id="rId8170" Type="http://schemas.openxmlformats.org/officeDocument/2006/relationships/hyperlink" Target="https://drive.google.com/file/d/1Qv6uVwWUpz5QBri4kUZIUEeWGBstHOlt/view?usp=drivesdk" TargetMode="External"/><Relationship Id="rId8163" Type="http://schemas.openxmlformats.org/officeDocument/2006/relationships/hyperlink" Target="https://drive.google.com/file/d/1stWM5n6xD3_AqM23QQ0e69EsFIhhomz8/view?usp=drivesdk" TargetMode="External"/><Relationship Id="rId8162" Type="http://schemas.openxmlformats.org/officeDocument/2006/relationships/hyperlink" Target="https://drive.google.com/file/d/1KKTfcNmKL1K2Z_xEY7bRikz5XcyilivN/view?usp=drivesdk" TargetMode="External"/><Relationship Id="rId8161" Type="http://schemas.openxmlformats.org/officeDocument/2006/relationships/hyperlink" Target="https://drive.google.com/file/d/13t_kmkjdbtV010rtCdb4UXyBxDht0E37/view?usp=drivesdk" TargetMode="External"/><Relationship Id="rId8160" Type="http://schemas.openxmlformats.org/officeDocument/2006/relationships/hyperlink" Target="https://drive.google.com/file/d/1BqGFD8WXjfFNuT57FZ-x0h8fC5meV9Y1/view?usp=drivesdk" TargetMode="External"/><Relationship Id="rId8167" Type="http://schemas.openxmlformats.org/officeDocument/2006/relationships/hyperlink" Target="https://drive.google.com/file/d/1GPJBJjA9wr14_bI6lh8WYHT-05ueKV7u/view?usp=drivesdk" TargetMode="External"/><Relationship Id="rId8166" Type="http://schemas.openxmlformats.org/officeDocument/2006/relationships/hyperlink" Target="https://drive.google.com/file/d/1OuNqZ-FGg5wU8rN181t_lHxc3LVvAWcw/view?usp=drivesdk" TargetMode="External"/><Relationship Id="rId8165" Type="http://schemas.openxmlformats.org/officeDocument/2006/relationships/hyperlink" Target="https://drive.google.com/file/d/1FcFaRVAjX0asenxJBthWlqokiqLc7P0R/view?usp=drivesdk" TargetMode="External"/><Relationship Id="rId8164" Type="http://schemas.openxmlformats.org/officeDocument/2006/relationships/hyperlink" Target="https://drive.google.com/file/d/1iuFoBgwyNwtybDqFNB0cQTCriyUt4Vv0/view?usp=drivesdk" TargetMode="External"/><Relationship Id="rId8169" Type="http://schemas.openxmlformats.org/officeDocument/2006/relationships/hyperlink" Target="https://drive.google.com/file/d/1DTxyAnhzVufhNsrvJERJVf2vKXA_jZZA/view?usp=drivesdk" TargetMode="External"/><Relationship Id="rId8168" Type="http://schemas.openxmlformats.org/officeDocument/2006/relationships/hyperlink" Target="https://drive.google.com/file/d/1gRZtVuqMVDs_YoU9z_nd41cPA4hXQBzt/view?usp=drivesdk" TargetMode="External"/><Relationship Id="rId8152" Type="http://schemas.openxmlformats.org/officeDocument/2006/relationships/hyperlink" Target="https://drive.google.com/file/d/1Ifhcho7tjo0Zvdm5qAp0YdASGvi6PHaj/view?usp=drivesdk" TargetMode="External"/><Relationship Id="rId8151" Type="http://schemas.openxmlformats.org/officeDocument/2006/relationships/hyperlink" Target="https://drive.google.com/file/d/1_d29Omkp0IPxgwmWfU-2f2km39KOA6_0/view?usp=drivesdk" TargetMode="External"/><Relationship Id="rId8150" Type="http://schemas.openxmlformats.org/officeDocument/2006/relationships/hyperlink" Target="https://drive.google.com/file/d/1IkXPiCB9_h3FCRawJQGa11vPhuqB-SHI/view?usp=drivesdk" TargetMode="External"/><Relationship Id="rId8156" Type="http://schemas.openxmlformats.org/officeDocument/2006/relationships/hyperlink" Target="https://drive.google.com/file/d/1kZpTiAfX0hhKlvttdfFuQ551gvubRjAT/view?usp=drivesdk" TargetMode="External"/><Relationship Id="rId8155" Type="http://schemas.openxmlformats.org/officeDocument/2006/relationships/hyperlink" Target="https://drive.google.com/file/d/134GV6mLskE-OXZJuC6BJrUlrYL1WMmm_/view?usp=drivesdk" TargetMode="External"/><Relationship Id="rId8154" Type="http://schemas.openxmlformats.org/officeDocument/2006/relationships/hyperlink" Target="https://drive.google.com/file/d/1iQ5POX6qDEQPNYr_uLg7Ji_KQTSYxsaw/view?usp=drivesdk" TargetMode="External"/><Relationship Id="rId8153" Type="http://schemas.openxmlformats.org/officeDocument/2006/relationships/hyperlink" Target="https://drive.google.com/file/d/1QWv1Nru-wZPFfZYS3pDB4MxrfipTORh1/view?usp=drivesdk" TargetMode="External"/><Relationship Id="rId8159" Type="http://schemas.openxmlformats.org/officeDocument/2006/relationships/hyperlink" Target="https://drive.google.com/file/d/1dCBsiTjlZpyyZKCcXTD0iORgFZ4xjyBP/view?usp=drivesdk" TargetMode="External"/><Relationship Id="rId8158" Type="http://schemas.openxmlformats.org/officeDocument/2006/relationships/hyperlink" Target="https://drive.google.com/file/d/1UQ4vokGBsLUjZrgknF1MWK4hiHW7pgBH/view?usp=drivesdk" TargetMode="External"/><Relationship Id="rId8157" Type="http://schemas.openxmlformats.org/officeDocument/2006/relationships/hyperlink" Target="https://drive.google.com/file/d/1r16SVtyvwztkAVVIPjN_2g8cj-4XlbTo/view?usp=drivesdk" TargetMode="External"/><Relationship Id="rId5912" Type="http://schemas.openxmlformats.org/officeDocument/2006/relationships/hyperlink" Target="https://drive.google.com/file/d/14V7vYPb2CModpyOF88DSq--NsyqRrs7v/view?usp=drivesdk" TargetMode="External"/><Relationship Id="rId5913" Type="http://schemas.openxmlformats.org/officeDocument/2006/relationships/hyperlink" Target="https://drive.google.com/file/d/1QxILxe3YE0Q1SST0fMzy00wRmravAnaY/view?usp=drivesdk" TargetMode="External"/><Relationship Id="rId5910" Type="http://schemas.openxmlformats.org/officeDocument/2006/relationships/hyperlink" Target="https://drive.google.com/file/d/1W5dwnLQ1d-xCVtHZ0RB0oG40T62tARVY/view?usp=drivesdk" TargetMode="External"/><Relationship Id="rId5911" Type="http://schemas.openxmlformats.org/officeDocument/2006/relationships/hyperlink" Target="https://drive.google.com/file/d/1CnZuozdEbLL2RSgc-1cCU7B3WfVtnmqt/view?usp=drivesdk" TargetMode="External"/><Relationship Id="rId5916" Type="http://schemas.openxmlformats.org/officeDocument/2006/relationships/hyperlink" Target="https://drive.google.com/file/d/1g4K_2_k3BPiE53DT2YYdOw0LO0v9buT2/view?usp=drivesdk" TargetMode="External"/><Relationship Id="rId5917" Type="http://schemas.openxmlformats.org/officeDocument/2006/relationships/hyperlink" Target="https://drive.google.com/file/d/1kEFiq5TfnyMjtTSzN4sziXDFl1YzoRRx/view?usp=drivesdk" TargetMode="External"/><Relationship Id="rId5914" Type="http://schemas.openxmlformats.org/officeDocument/2006/relationships/hyperlink" Target="https://drive.google.com/file/d/1DP1VW6evUQFEOc5N4tm-W0JU3-0GpSdu/view?usp=drivesdk" TargetMode="External"/><Relationship Id="rId5915" Type="http://schemas.openxmlformats.org/officeDocument/2006/relationships/hyperlink" Target="https://drive.google.com/file/d/1TLKflU24qmwFi4nMATuQDDSdETiym4lQ/view?usp=drivesdk" TargetMode="External"/><Relationship Id="rId5918" Type="http://schemas.openxmlformats.org/officeDocument/2006/relationships/hyperlink" Target="https://drive.google.com/file/d/1GqFnyMOZLtmAcrim_DbwfLS6G38E_lLo/view?usp=drivesdk" TargetMode="External"/><Relationship Id="rId5919" Type="http://schemas.openxmlformats.org/officeDocument/2006/relationships/hyperlink" Target="https://drive.google.com/file/d/1T2AL0AFAYrCKdSdSNKwB0kw8kqeN8eqJ/view?usp=drivesdk" TargetMode="External"/><Relationship Id="rId8192" Type="http://schemas.openxmlformats.org/officeDocument/2006/relationships/hyperlink" Target="https://drive.google.com/file/d/1MJSBJ2Ucpr-uxVLQnkwKftCV_p1uIYEJ/view?usp=drivesdk" TargetMode="External"/><Relationship Id="rId8191" Type="http://schemas.openxmlformats.org/officeDocument/2006/relationships/hyperlink" Target="https://drive.google.com/file/d/1JtkeEem8xf8-_jpQe0Nh8Un7kYACacgT/view?usp=drivesdk" TargetMode="External"/><Relationship Id="rId8190" Type="http://schemas.openxmlformats.org/officeDocument/2006/relationships/hyperlink" Target="https://drive.google.com/file/d/1PVCygD1oiG3u2HDTvPQHrmzUMjcUZkDt/view?usp=drivesdk" TargetMode="External"/><Relationship Id="rId8185" Type="http://schemas.openxmlformats.org/officeDocument/2006/relationships/hyperlink" Target="https://drive.google.com/file/d/1YFfmA69fHmBUTTTWwxvwVeg7r3EACBCM/view?usp=drivesdk" TargetMode="External"/><Relationship Id="rId8184" Type="http://schemas.openxmlformats.org/officeDocument/2006/relationships/hyperlink" Target="https://drive.google.com/file/d/1J7sltZoY-jbSV7ZxJkejBLlogTkoeN5C/view?usp=drivesdk" TargetMode="External"/><Relationship Id="rId8183" Type="http://schemas.openxmlformats.org/officeDocument/2006/relationships/hyperlink" Target="https://drive.google.com/file/d/1EBUYUhPeNC4I7ucdydqL60DsYVXkV8O1/view?usp=drivesdk" TargetMode="External"/><Relationship Id="rId8182" Type="http://schemas.openxmlformats.org/officeDocument/2006/relationships/hyperlink" Target="https://drive.google.com/file/d/1G17rRypbwhcWUgsXFkflVfx1gyiUDjwz/view?usp=drivesdk" TargetMode="External"/><Relationship Id="rId8189" Type="http://schemas.openxmlformats.org/officeDocument/2006/relationships/hyperlink" Target="https://drive.google.com/file/d/1Aw2dLRZMP8kpnJVKucUqz7jWlInG1X9n/view?usp=drivesdk" TargetMode="External"/><Relationship Id="rId8188" Type="http://schemas.openxmlformats.org/officeDocument/2006/relationships/hyperlink" Target="https://drive.google.com/file/d/1GrdBC4MMUasOKgBEuFc5TB0xJyGX4Bm6/view?usp=drivesdk" TargetMode="External"/><Relationship Id="rId8187" Type="http://schemas.openxmlformats.org/officeDocument/2006/relationships/hyperlink" Target="https://drive.google.com/file/d/1TFeMt-eURzWNHfpWtzMZF_aYX_cAKYE0/view?usp=drivesdk" TargetMode="External"/><Relationship Id="rId8186" Type="http://schemas.openxmlformats.org/officeDocument/2006/relationships/hyperlink" Target="https://drive.google.com/file/d/1bZdjBFjTSQgrTxzD81xMLQsoxIZsPiAd/view?usp=drivesdk" TargetMode="External"/><Relationship Id="rId5901" Type="http://schemas.openxmlformats.org/officeDocument/2006/relationships/hyperlink" Target="https://drive.google.com/file/d/1aVdjrwLu9UVvNlKmfzLcxYyg1YjjUR4J/view?usp=drivesdk" TargetMode="External"/><Relationship Id="rId5902" Type="http://schemas.openxmlformats.org/officeDocument/2006/relationships/hyperlink" Target="https://drive.google.com/file/d/1KnXCiUfWIWVSU7ej0SQGB9iLrxlfrZR7/view?usp=drivesdk" TargetMode="External"/><Relationship Id="rId5900" Type="http://schemas.openxmlformats.org/officeDocument/2006/relationships/hyperlink" Target="https://drive.google.com/file/d/1HHWn_hvo3hZuNeeg-LnH6phg355MQGpu/view?usp=drivesdk" TargetMode="External"/><Relationship Id="rId5905" Type="http://schemas.openxmlformats.org/officeDocument/2006/relationships/hyperlink" Target="https://drive.google.com/file/d/1PKDDtYb8ARAS7BYLO-uOskPVWgoUjlrI/view?usp=drivesdk" TargetMode="External"/><Relationship Id="rId5906" Type="http://schemas.openxmlformats.org/officeDocument/2006/relationships/hyperlink" Target="https://drive.google.com/file/d/130vYT18lTf_xuYFxC5J3x5yUhgFk22rE/view?usp=drivesdk" TargetMode="External"/><Relationship Id="rId5903" Type="http://schemas.openxmlformats.org/officeDocument/2006/relationships/hyperlink" Target="https://drive.google.com/file/d/18Bvgdr8gs9baP_Yxz_6DAFcGIneJElY0/view?usp=drivesdk" TargetMode="External"/><Relationship Id="rId5904" Type="http://schemas.openxmlformats.org/officeDocument/2006/relationships/hyperlink" Target="https://drive.google.com/file/d/1iAyG0P0SYvbYodo22xayzYU8_cBzEuyz/view?usp=drivesdk" TargetMode="External"/><Relationship Id="rId5909" Type="http://schemas.openxmlformats.org/officeDocument/2006/relationships/hyperlink" Target="https://drive.google.com/file/d/1XJK2hijvbyBI0oyrYzlyvCaGXoGvwOK0/view?usp=drivesdk" TargetMode="External"/><Relationship Id="rId5907" Type="http://schemas.openxmlformats.org/officeDocument/2006/relationships/hyperlink" Target="https://drive.google.com/file/d/1YjYSOqDj0ntw69ffaZa1z977QqhelB5p/view?usp=drivesdk" TargetMode="External"/><Relationship Id="rId5908" Type="http://schemas.openxmlformats.org/officeDocument/2006/relationships/hyperlink" Target="https://drive.google.com/file/d/1aNnIP11ZNZuNekbUaBTXLO7_UX__ENQl/view?usp=drivesdk" TargetMode="External"/><Relationship Id="rId8181" Type="http://schemas.openxmlformats.org/officeDocument/2006/relationships/hyperlink" Target="https://drive.google.com/file/d/1-m6VydCD4AdTSfWx5diFwXgWXi5hFN-c/view?usp=drivesdk" TargetMode="External"/><Relationship Id="rId8180" Type="http://schemas.openxmlformats.org/officeDocument/2006/relationships/hyperlink" Target="https://drive.google.com/file/d/1sN-d-TFh-8tv-QdSCceOnkdhLASjSPQw/view?usp=drivesdk" TargetMode="External"/><Relationship Id="rId8174" Type="http://schemas.openxmlformats.org/officeDocument/2006/relationships/hyperlink" Target="https://drive.google.com/file/d/14G01CH-gAIdSpljnbTqvGQQ63fzO8zZ6/view?usp=drivesdk" TargetMode="External"/><Relationship Id="rId8173" Type="http://schemas.openxmlformats.org/officeDocument/2006/relationships/hyperlink" Target="https://drive.google.com/file/d/1qvRy5BxJJWMGaIXX1h3nXc9w9U8PtHmk/view?usp=drivesdk" TargetMode="External"/><Relationship Id="rId8172" Type="http://schemas.openxmlformats.org/officeDocument/2006/relationships/hyperlink" Target="https://drive.google.com/file/d/1xEzJ__Ye_SJz2mDO_qJLVnffAdOyxrdz/view?usp=drivesdk" TargetMode="External"/><Relationship Id="rId8171" Type="http://schemas.openxmlformats.org/officeDocument/2006/relationships/hyperlink" Target="https://drive.google.com/file/d/1Cv-x2pvml2UD9jwKUXmK0zSEFTR_q7ds/view?usp=drivesdk" TargetMode="External"/><Relationship Id="rId8178" Type="http://schemas.openxmlformats.org/officeDocument/2006/relationships/hyperlink" Target="https://drive.google.com/file/d/1lGjZArroo2WwvC9U4cANw1twXFwQKHMp/view?usp=drivesdk" TargetMode="External"/><Relationship Id="rId8177" Type="http://schemas.openxmlformats.org/officeDocument/2006/relationships/hyperlink" Target="https://drive.google.com/file/d/1JqlErtvjFIQ1At0b-yfTa1sHzfvYcwBO/view?usp=drivesdk" TargetMode="External"/><Relationship Id="rId8176" Type="http://schemas.openxmlformats.org/officeDocument/2006/relationships/hyperlink" Target="https://drive.google.com/file/d/13DjkT_FUX8qF1LVzlxSjuZkGaUuIhlel/view?usp=drivesdk" TargetMode="External"/><Relationship Id="rId8175" Type="http://schemas.openxmlformats.org/officeDocument/2006/relationships/hyperlink" Target="https://drive.google.com/file/d/1bn3mQlV9stiDFHA8_Z1nQrf0wUul-Vxz/view?usp=drivesdk" TargetMode="External"/><Relationship Id="rId8179" Type="http://schemas.openxmlformats.org/officeDocument/2006/relationships/hyperlink" Target="https://drive.google.com/file/d/1cCMucoOU4P88Cf2MZaexYmPk8zQUbIjx/view?usp=drivesdk" TargetMode="External"/><Relationship Id="rId2027" Type="http://schemas.openxmlformats.org/officeDocument/2006/relationships/hyperlink" Target="https://drive.google.com/file/d/15L_pjca_vzVBb0BOnzZ37HmolNakIh0j/view?usp=drivesdk" TargetMode="External"/><Relationship Id="rId3359" Type="http://schemas.openxmlformats.org/officeDocument/2006/relationships/hyperlink" Target="https://drive.google.com/file/d/1tKuIep5vrWv9FB-_hzP5Qkxq0vXK3Ecm/view?usp=drivesdk" TargetMode="External"/><Relationship Id="rId2028" Type="http://schemas.openxmlformats.org/officeDocument/2006/relationships/hyperlink" Target="https://drive.google.com/file/d/1Qj1L_9u0fT0uhXKeiLn63qESPrCCWAFe/view?usp=drivesdk" TargetMode="External"/><Relationship Id="rId3358" Type="http://schemas.openxmlformats.org/officeDocument/2006/relationships/hyperlink" Target="https://drive.google.com/file/d/1OMZ-Ytt1b29Z9_QM6GqJ-L9cf0EYIEet/view?usp=drivesdk" TargetMode="External"/><Relationship Id="rId4689" Type="http://schemas.openxmlformats.org/officeDocument/2006/relationships/hyperlink" Target="https://drive.google.com/file/d/1ClW-nLeOhsUdMu1UifFm4aJ33Z0lQ7Dm/view?usp=drivesdk" TargetMode="External"/><Relationship Id="rId2029" Type="http://schemas.openxmlformats.org/officeDocument/2006/relationships/hyperlink" Target="https://drive.google.com/file/d/1RHn4e_MtP3GVBuOO3fFZxKmwDZoCH5nN/view?usp=drivesdk" TargetMode="External"/><Relationship Id="rId107" Type="http://schemas.openxmlformats.org/officeDocument/2006/relationships/hyperlink" Target="https://drive.google.com/file/d/1rOLBTVZTT60JC5lQMSctKQLefwuh2C5D/view?usp=drivesdk" TargetMode="External"/><Relationship Id="rId106" Type="http://schemas.openxmlformats.org/officeDocument/2006/relationships/hyperlink" Target="https://drive.google.com/file/d/1IPcI1DM4h2hBOHNbSH8LmWJD6G621Ae1/view?usp=drivesdk" TargetMode="External"/><Relationship Id="rId105" Type="http://schemas.openxmlformats.org/officeDocument/2006/relationships/hyperlink" Target="https://drive.google.com/file/d/1Jq6PPtyS9ZTig_Z4eCWVJ76-T1wOGOdL/view?usp=drivesdk" TargetMode="External"/><Relationship Id="rId104" Type="http://schemas.openxmlformats.org/officeDocument/2006/relationships/hyperlink" Target="https://drive.google.com/file/d/1ZBr9CHAongMg0pLleMhwuERkiFxoHoz6/view?usp=drivesdk" TargetMode="External"/><Relationship Id="rId109" Type="http://schemas.openxmlformats.org/officeDocument/2006/relationships/hyperlink" Target="https://drive.google.com/file/d/18PxRW7z5aCOiP5ZknLnsn886e-o1-GvO/view?usp=drivesdk" TargetMode="External"/><Relationship Id="rId4680" Type="http://schemas.openxmlformats.org/officeDocument/2006/relationships/hyperlink" Target="https://drive.google.com/file/d/1cm3FDBoRB474UPdsKBzPlroAP6SKb5KK/view?usp=drivesdk" TargetMode="External"/><Relationship Id="rId108" Type="http://schemas.openxmlformats.org/officeDocument/2006/relationships/hyperlink" Target="https://drive.google.com/file/d/1Y27NEYE6mTyToqMcNaTlOJXcdz2UPbG-/view?usp=drivesdk" TargetMode="External"/><Relationship Id="rId3351" Type="http://schemas.openxmlformats.org/officeDocument/2006/relationships/hyperlink" Target="https://drive.google.com/file/d/1BThy9XXAsd2BaOe-CM8OHJSOZ9KUF6jU/view?usp=drivesdk" TargetMode="External"/><Relationship Id="rId4682" Type="http://schemas.openxmlformats.org/officeDocument/2006/relationships/hyperlink" Target="https://drive.google.com/file/d/1o-XoKu6hlGSHlYsjY5FVpae4uFZPXewU/view?usp=drivesdk" TargetMode="External"/><Relationship Id="rId2020" Type="http://schemas.openxmlformats.org/officeDocument/2006/relationships/hyperlink" Target="https://drive.google.com/file/d/1Ip500WFB4QGcBXmxuvkfLeo4VPlhX-ul/view?usp=drivesdk" TargetMode="External"/><Relationship Id="rId3350" Type="http://schemas.openxmlformats.org/officeDocument/2006/relationships/hyperlink" Target="https://drive.google.com/file/d/1F85_7uSoURdsgo0Yv0yQWw4n0rnThq9g/view?usp=drivesdk" TargetMode="External"/><Relationship Id="rId4681" Type="http://schemas.openxmlformats.org/officeDocument/2006/relationships/hyperlink" Target="https://drive.google.com/file/d/1stUiHhSrZt-v4errWDev94W9aeGbCKvv/view?usp=drivesdk" TargetMode="External"/><Relationship Id="rId2021" Type="http://schemas.openxmlformats.org/officeDocument/2006/relationships/hyperlink" Target="https://drive.google.com/file/d/11hEF43rwvXpOpdxB-VEHL0fQYIyWTU26/view?usp=drivesdk" TargetMode="External"/><Relationship Id="rId3353" Type="http://schemas.openxmlformats.org/officeDocument/2006/relationships/hyperlink" Target="https://drive.google.com/file/d/1l3UKuce6u6C3bG-ikcNnf0w3JeC9jkPe/view?usp=drivesdk" TargetMode="External"/><Relationship Id="rId4684" Type="http://schemas.openxmlformats.org/officeDocument/2006/relationships/hyperlink" Target="https://drive.google.com/file/d/1u1KNTn8nBpgDttkOndn5LP-QN44-mR_F/view?usp=drivesdk" TargetMode="External"/><Relationship Id="rId2022" Type="http://schemas.openxmlformats.org/officeDocument/2006/relationships/hyperlink" Target="https://drive.google.com/file/d/1wAWKyYropr1fTCEsI2-K3yqszQGyk8EC/view?usp=drivesdk" TargetMode="External"/><Relationship Id="rId3352" Type="http://schemas.openxmlformats.org/officeDocument/2006/relationships/hyperlink" Target="https://drive.google.com/file/d/1Pn5n6OT45r39LvgkRJhYEqJadaE_0QIh/view?usp=drivesdk" TargetMode="External"/><Relationship Id="rId4683" Type="http://schemas.openxmlformats.org/officeDocument/2006/relationships/hyperlink" Target="https://drive.google.com/file/d/1R6KvWQYBXCSSTA_1BSH0FddiVPTLpNhe/view?usp=drivesdk" TargetMode="External"/><Relationship Id="rId103" Type="http://schemas.openxmlformats.org/officeDocument/2006/relationships/hyperlink" Target="https://drive.google.com/file/d/15myd8hYiL901AaaMTJZmqKkGjC3ji7B1/view?usp=drivesdk" TargetMode="External"/><Relationship Id="rId2023" Type="http://schemas.openxmlformats.org/officeDocument/2006/relationships/hyperlink" Target="https://drive.google.com/file/d/1ggVUY46_sniplswUnnIgWjGLf-yk6UKk/view?usp=drivesdk" TargetMode="External"/><Relationship Id="rId3355" Type="http://schemas.openxmlformats.org/officeDocument/2006/relationships/hyperlink" Target="https://drive.google.com/file/d/16jWch_TssNkLgw-VrjaOyVzz9DG10yQC/view?usp=drivesdk" TargetMode="External"/><Relationship Id="rId4686" Type="http://schemas.openxmlformats.org/officeDocument/2006/relationships/hyperlink" Target="https://drive.google.com/file/d/1niEGHlEmPdCf4eo6LjwMGg-h_7r1uUjk/view?usp=drivesdk" TargetMode="External"/><Relationship Id="rId102" Type="http://schemas.openxmlformats.org/officeDocument/2006/relationships/hyperlink" Target="https://drive.google.com/file/d/10I2K8y_aH81BVX3r6npXaF9lLINVQ2LV/view?usp=drivesdk" TargetMode="External"/><Relationship Id="rId2024" Type="http://schemas.openxmlformats.org/officeDocument/2006/relationships/hyperlink" Target="https://drive.google.com/file/d/1hVIOCfX8yRwOgpqR3_claWBMqhuCWzws/view?usp=drivesdk" TargetMode="External"/><Relationship Id="rId3354" Type="http://schemas.openxmlformats.org/officeDocument/2006/relationships/hyperlink" Target="https://drive.google.com/file/d/1LJkFwNIiuBygDlIlWlZ8rbSBiDl7SbhY/view?usp=drivesdk" TargetMode="External"/><Relationship Id="rId4685" Type="http://schemas.openxmlformats.org/officeDocument/2006/relationships/hyperlink" Target="https://drive.google.com/file/d/1Km5p7RYkRkBbYEseqNQ1hQeaLMuXuNZM/view?usp=drivesdk" TargetMode="External"/><Relationship Id="rId101" Type="http://schemas.openxmlformats.org/officeDocument/2006/relationships/hyperlink" Target="https://drive.google.com/file/d/19NXrn4sw7D_8bqtH9GjzzEVxAlbxNKiI/view?usp=drivesdk" TargetMode="External"/><Relationship Id="rId2025" Type="http://schemas.openxmlformats.org/officeDocument/2006/relationships/hyperlink" Target="https://drive.google.com/file/d/1IPqBj2CKAG3VVsB6s87qcKIC8QvCR6bL/view?usp=drivesdk" TargetMode="External"/><Relationship Id="rId3357" Type="http://schemas.openxmlformats.org/officeDocument/2006/relationships/hyperlink" Target="https://drive.google.com/file/d/1MDk2WJkm86rfL2tq_i5vOR4rCTOrhRFv/view?usp=drivesdk" TargetMode="External"/><Relationship Id="rId4688" Type="http://schemas.openxmlformats.org/officeDocument/2006/relationships/hyperlink" Target="https://drive.google.com/file/d/19-D4_6mfSHIhS3HvW_yciUGPRPO-yecc/view?usp=drivesdk" TargetMode="External"/><Relationship Id="rId100" Type="http://schemas.openxmlformats.org/officeDocument/2006/relationships/hyperlink" Target="https://drive.google.com/file/d/1bKplbwlpJ7-AbKspzBX_hlGlgZnyRTav/view?usp=drivesdk" TargetMode="External"/><Relationship Id="rId2026" Type="http://schemas.openxmlformats.org/officeDocument/2006/relationships/hyperlink" Target="https://drive.google.com/file/d/1EUHmMDK7_x77IlRmZhBAe9XYh1L03Sn3/view?usp=drivesdk" TargetMode="External"/><Relationship Id="rId3356" Type="http://schemas.openxmlformats.org/officeDocument/2006/relationships/hyperlink" Target="https://drive.google.com/file/d/1Xna30n2SVCQ8wdOZ0MHPCyWc0vFPLFdl/view?usp=drivesdk" TargetMode="External"/><Relationship Id="rId4687" Type="http://schemas.openxmlformats.org/officeDocument/2006/relationships/hyperlink" Target="https://drive.google.com/file/d/1SAyquZ2c2F4KKn9Tc_SbuvJVOpQX6txl/view?usp=drivesdk" TargetMode="External"/><Relationship Id="rId2016" Type="http://schemas.openxmlformats.org/officeDocument/2006/relationships/hyperlink" Target="https://drive.google.com/file/d/1TESbGaKLgqLkCSCLdJYeJEQfnDx8PFW3/view?usp=drivesdk" TargetMode="External"/><Relationship Id="rId3348" Type="http://schemas.openxmlformats.org/officeDocument/2006/relationships/hyperlink" Target="https://drive.google.com/file/d/1eiZ03Pl4w5iSelJOnGuDYoDTI3gd5IBi/view?usp=drivesdk" TargetMode="External"/><Relationship Id="rId4679" Type="http://schemas.openxmlformats.org/officeDocument/2006/relationships/hyperlink" Target="https://drive.google.com/file/d/1lL2sxgH9sMiy3ZfyKbcyhuWyc51Mbjh7/view?usp=drivesdk" TargetMode="External"/><Relationship Id="rId2017" Type="http://schemas.openxmlformats.org/officeDocument/2006/relationships/hyperlink" Target="https://drive.google.com/file/d/1I7bkilseCoK8eFX1ZdhYGWehyNTpB00c/view?usp=drivesdk" TargetMode="External"/><Relationship Id="rId3347" Type="http://schemas.openxmlformats.org/officeDocument/2006/relationships/hyperlink" Target="https://drive.google.com/file/d/11UjCpNQ7KbQ6iI3Y2_rlrdQQacfyCUwU/view?usp=drivesdk" TargetMode="External"/><Relationship Id="rId4678" Type="http://schemas.openxmlformats.org/officeDocument/2006/relationships/hyperlink" Target="https://drive.google.com/file/d/1faEjUiUawhVdxEjV0PpPyvKPbdbpxJTl/view?usp=drivesdk" TargetMode="External"/><Relationship Id="rId2018" Type="http://schemas.openxmlformats.org/officeDocument/2006/relationships/hyperlink" Target="https://drive.google.com/file/d/1GH1IJp7TAqxKdL1aXqWmVMiRsEN91tWV/view?usp=drivesdk" TargetMode="External"/><Relationship Id="rId2019" Type="http://schemas.openxmlformats.org/officeDocument/2006/relationships/hyperlink" Target="https://drive.google.com/file/d/1B2oXMmE3Ou9i-kq1QK6sKpcDPOU7yKF1/view?usp=drivesdk" TargetMode="External"/><Relationship Id="rId3349" Type="http://schemas.openxmlformats.org/officeDocument/2006/relationships/hyperlink" Target="https://drive.google.com/file/d/1uD6Px2t2pp3MWasJm0nCY7gpqS3WIxhs/view?usp=drivesdk" TargetMode="External"/><Relationship Id="rId3340" Type="http://schemas.openxmlformats.org/officeDocument/2006/relationships/hyperlink" Target="https://drive.google.com/file/d/1tZHyCaTjIWsQcJaDPV1n-Zpdz4kq4O-n/view?usp=drivesdk" TargetMode="External"/><Relationship Id="rId4671" Type="http://schemas.openxmlformats.org/officeDocument/2006/relationships/hyperlink" Target="https://drive.google.com/file/d/1yn8oYnizxHoumh5xghZUMrG00QUJO5ho/view?usp=drivesdk" TargetMode="External"/><Relationship Id="rId4670" Type="http://schemas.openxmlformats.org/officeDocument/2006/relationships/hyperlink" Target="https://drive.google.com/file/d/1xJiffEwEs5N-rK5ZhQyguhoEkDjQLadx/view?usp=drivesdk" TargetMode="External"/><Relationship Id="rId2010" Type="http://schemas.openxmlformats.org/officeDocument/2006/relationships/hyperlink" Target="https://drive.google.com/file/d/1NQD-MPlIqfegkjHssmgULi3Jx45v3Xie/view?usp=drivesdk" TargetMode="External"/><Relationship Id="rId3342" Type="http://schemas.openxmlformats.org/officeDocument/2006/relationships/hyperlink" Target="https://drive.google.com/file/d/1g_ZdoJKNnj1zJS0v5LoFizU3FTF__S_H/view?usp=drivesdk" TargetMode="External"/><Relationship Id="rId4673" Type="http://schemas.openxmlformats.org/officeDocument/2006/relationships/hyperlink" Target="https://drive.google.com/file/d/1u7AcFYhV1MPn5bBycSWtT448N_S-lBrO/view?usp=drivesdk" TargetMode="External"/><Relationship Id="rId2011" Type="http://schemas.openxmlformats.org/officeDocument/2006/relationships/hyperlink" Target="https://drive.google.com/file/d/1zbHjwz9M0oqF8xbIHnNaZZZKf0pVrUQI/view?usp=drivesdk" TargetMode="External"/><Relationship Id="rId3341" Type="http://schemas.openxmlformats.org/officeDocument/2006/relationships/hyperlink" Target="https://drive.google.com/file/d/1LrFx4g7iuNESyxHGAlqCvoTJLDcLTmys/view?usp=drivesdk" TargetMode="External"/><Relationship Id="rId4672" Type="http://schemas.openxmlformats.org/officeDocument/2006/relationships/hyperlink" Target="https://drive.google.com/file/d/1cGo_KZ6gWAVa6aiWM_P1VeFigx-cexiA/view?usp=drivesdk" TargetMode="External"/><Relationship Id="rId2012" Type="http://schemas.openxmlformats.org/officeDocument/2006/relationships/hyperlink" Target="https://drive.google.com/file/d/1YLvdTUs2T6vO77Y9egTHF-MkPuA1iylJ/view?usp=drivesdk" TargetMode="External"/><Relationship Id="rId3344" Type="http://schemas.openxmlformats.org/officeDocument/2006/relationships/hyperlink" Target="https://drive.google.com/file/d/1n2Yi2EG5j8o5rlhUU1T6Oo-ub7TdPaLS/view?usp=drivesdk" TargetMode="External"/><Relationship Id="rId4675" Type="http://schemas.openxmlformats.org/officeDocument/2006/relationships/hyperlink" Target="https://drive.google.com/file/d/1amtMEX7dG2IlG97HNRKCnwHFNcl0CmDV/view?usp=drivesdk" TargetMode="External"/><Relationship Id="rId2013" Type="http://schemas.openxmlformats.org/officeDocument/2006/relationships/hyperlink" Target="https://drive.google.com/file/d/17sqS8Hw-nZkBLcbf_PEdQbCVfedX_82Y/view?usp=drivesdk" TargetMode="External"/><Relationship Id="rId3343" Type="http://schemas.openxmlformats.org/officeDocument/2006/relationships/hyperlink" Target="https://drive.google.com/file/d/1_2Wdnib0PJ6nqNCCuuZSpHFiU14WtmX3/view?usp=drivesdk" TargetMode="External"/><Relationship Id="rId4674" Type="http://schemas.openxmlformats.org/officeDocument/2006/relationships/hyperlink" Target="https://drive.google.com/file/d/10LxpSV5EOIESf_9ONTnhuOzWrwRxxVlC/view?usp=drivesdk" TargetMode="External"/><Relationship Id="rId2014" Type="http://schemas.openxmlformats.org/officeDocument/2006/relationships/hyperlink" Target="https://drive.google.com/file/d/1m5fHTGNUNLz8rdlDbqaDHSVhiVDMf787/view?usp=drivesdk" TargetMode="External"/><Relationship Id="rId3346" Type="http://schemas.openxmlformats.org/officeDocument/2006/relationships/hyperlink" Target="https://drive.google.com/file/d/1NBLBPtqYCbxDgzMhzGpGuFK2k-2gCxrP/view?usp=drivesdk" TargetMode="External"/><Relationship Id="rId4677" Type="http://schemas.openxmlformats.org/officeDocument/2006/relationships/hyperlink" Target="https://drive.google.com/file/d/1C8rY_ii7w7zUIwzutHQudaDedTE9uRlZ/view?usp=drivesdk" TargetMode="External"/><Relationship Id="rId2015" Type="http://schemas.openxmlformats.org/officeDocument/2006/relationships/hyperlink" Target="https://drive.google.com/file/d/1FG8ctDkRodmI7znDVafHJQwHHQB9M36t/view?usp=drivesdk" TargetMode="External"/><Relationship Id="rId3345" Type="http://schemas.openxmlformats.org/officeDocument/2006/relationships/hyperlink" Target="https://drive.google.com/file/d/1ZAWKgIiA8RHy--jikz-ZWpeB5ZuqzSL6/view?usp=drivesdk" TargetMode="External"/><Relationship Id="rId4676" Type="http://schemas.openxmlformats.org/officeDocument/2006/relationships/hyperlink" Target="https://drive.google.com/file/d/1Gj52fPpah940ZZu-VI2JH8w1do-RMYgo/view?usp=drivesdk" TargetMode="External"/><Relationship Id="rId2049" Type="http://schemas.openxmlformats.org/officeDocument/2006/relationships/hyperlink" Target="https://drive.google.com/file/d/1NS8AvChcfRdZbezuPWRcAFglXwmjeAWM/view?usp=drivesdk" TargetMode="External"/><Relationship Id="rId129" Type="http://schemas.openxmlformats.org/officeDocument/2006/relationships/hyperlink" Target="https://drive.google.com/file/d/1tSbB2t3wDq4RnGYOWTmqdeiXB9AOZuFW/view?usp=drivesdk" TargetMode="External"/><Relationship Id="rId128" Type="http://schemas.openxmlformats.org/officeDocument/2006/relationships/hyperlink" Target="https://drive.google.com/file/d/1DS9lBj0gIvKuHl2BXqcER9xbMt7s5u70/view?usp=drivesdk" TargetMode="External"/><Relationship Id="rId127" Type="http://schemas.openxmlformats.org/officeDocument/2006/relationships/hyperlink" Target="https://drive.google.com/file/d/1Wo76htKkYdRYFQxJJTjR5Vbf6-735kJs/view?usp=drivesdk" TargetMode="External"/><Relationship Id="rId126" Type="http://schemas.openxmlformats.org/officeDocument/2006/relationships/hyperlink" Target="https://drive.google.com/file/d/1y5YbHHGfba7-cXbxaMJig0YIiy73w7OK/view?usp=drivesdk" TargetMode="External"/><Relationship Id="rId3371" Type="http://schemas.openxmlformats.org/officeDocument/2006/relationships/hyperlink" Target="https://drive.google.com/file/d/1sKnMZ5uxGQKTQdFg3WiCndek0rcudrJU/view?usp=drivesdk" TargetMode="External"/><Relationship Id="rId2040" Type="http://schemas.openxmlformats.org/officeDocument/2006/relationships/hyperlink" Target="https://drive.google.com/file/d/1TlIjT1BdcwQeY0o7HEkb1KE1XmEfZefW/view?usp=drivesdk" TargetMode="External"/><Relationship Id="rId3370" Type="http://schemas.openxmlformats.org/officeDocument/2006/relationships/hyperlink" Target="https://drive.google.com/file/d/1gDO-6CJslqOr1xQ77u7hsO0nQBhG0gcg/view?usp=drivesdk" TargetMode="External"/><Relationship Id="rId121" Type="http://schemas.openxmlformats.org/officeDocument/2006/relationships/hyperlink" Target="https://drive.google.com/file/d/1txlXgwD6d3CV54Suo2vh2MgQQuspuRsp/view?usp=drivesdk" TargetMode="External"/><Relationship Id="rId2041" Type="http://schemas.openxmlformats.org/officeDocument/2006/relationships/hyperlink" Target="https://drive.google.com/file/d/17MKKbIZpwRksmXBio_6TCXP8MA5BDHO8/view?usp=drivesdk" TargetMode="External"/><Relationship Id="rId3373" Type="http://schemas.openxmlformats.org/officeDocument/2006/relationships/hyperlink" Target="https://drive.google.com/file/d/1wJM9aZFMzPHJYz1dvD9GqNwvCJjbB4eR/view?usp=drivesdk" TargetMode="External"/><Relationship Id="rId120" Type="http://schemas.openxmlformats.org/officeDocument/2006/relationships/hyperlink" Target="https://drive.google.com/file/d/1_9gW8Hy1YfamQaOXAYkZ0W96mIRYv0i1/view?usp=drivesdk" TargetMode="External"/><Relationship Id="rId2042" Type="http://schemas.openxmlformats.org/officeDocument/2006/relationships/hyperlink" Target="https://drive.google.com/file/d/1BSdlMqGOLufAxTNqsfIUiRvqs_QPZZQC/view?usp=drivesdk" TargetMode="External"/><Relationship Id="rId3372" Type="http://schemas.openxmlformats.org/officeDocument/2006/relationships/hyperlink" Target="https://drive.google.com/file/d/1B1VQV4edcdqHrDIMV9gmRAfQfaYzV00i/view?usp=drivesdk" TargetMode="External"/><Relationship Id="rId2043" Type="http://schemas.openxmlformats.org/officeDocument/2006/relationships/hyperlink" Target="https://drive.google.com/file/d/1qIB-WdrUNFJU9dA71frnMoY9nHwukMRg/view?usp=drivesdk" TargetMode="External"/><Relationship Id="rId3375" Type="http://schemas.openxmlformats.org/officeDocument/2006/relationships/hyperlink" Target="https://drive.google.com/file/d/1C-eKFs42aaU2sVhOq1aNFJCdGOdYpJ8n/view?usp=drivesdk" TargetMode="External"/><Relationship Id="rId2044" Type="http://schemas.openxmlformats.org/officeDocument/2006/relationships/hyperlink" Target="https://drive.google.com/file/d/1THBBtaV_8xF-oGYw0_dg6Q33XEyBGthu/view?usp=drivesdk" TargetMode="External"/><Relationship Id="rId3374" Type="http://schemas.openxmlformats.org/officeDocument/2006/relationships/hyperlink" Target="https://drive.google.com/file/d/1yIkIdWPGagv7u81D6sSKckyup469yX7q/view?usp=drivesdk" TargetMode="External"/><Relationship Id="rId125" Type="http://schemas.openxmlformats.org/officeDocument/2006/relationships/hyperlink" Target="https://drive.google.com/file/d/1NIBfedX7vIfFPHVs1c6YqQwFNedhqrgo/view?usp=drivesdk" TargetMode="External"/><Relationship Id="rId2045" Type="http://schemas.openxmlformats.org/officeDocument/2006/relationships/hyperlink" Target="https://drive.google.com/file/d/1xX2qcR5YNu7q8gxzgQeu4Ujf4oUP3JBL/view?usp=drivesdk" TargetMode="External"/><Relationship Id="rId3377" Type="http://schemas.openxmlformats.org/officeDocument/2006/relationships/hyperlink" Target="https://drive.google.com/file/d/1IaP0ubi35rrRXBrFkh5RiGrEl5pYyHmt/view?usp=drivesdk" TargetMode="External"/><Relationship Id="rId124" Type="http://schemas.openxmlformats.org/officeDocument/2006/relationships/hyperlink" Target="https://drive.google.com/file/d/1ipPwKO3bKWZ7__y1rlY2yvqb8Un8DKPm/view?usp=drivesdk" TargetMode="External"/><Relationship Id="rId2046" Type="http://schemas.openxmlformats.org/officeDocument/2006/relationships/hyperlink" Target="https://drive.google.com/file/d/1rlABS2qQp_V1K9OdHxG4AhI7hBMckhUT/view?usp=drivesdk" TargetMode="External"/><Relationship Id="rId3376" Type="http://schemas.openxmlformats.org/officeDocument/2006/relationships/hyperlink" Target="https://drive.google.com/file/d/1yDiSV5ALLbT86U75lq4Baf7ogXi4L5wj/view?usp=drivesdk" TargetMode="External"/><Relationship Id="rId123" Type="http://schemas.openxmlformats.org/officeDocument/2006/relationships/hyperlink" Target="https://drive.google.com/file/d/1xLI4M4GcTb3Q2bQfZMpjgri3yiVHZ8Lu/view?usp=drivesdk" TargetMode="External"/><Relationship Id="rId2047" Type="http://schemas.openxmlformats.org/officeDocument/2006/relationships/hyperlink" Target="https://drive.google.com/file/d/1QFe8d5xiyVZ31Iz26ALc4NHFLsoeuL3U/view?usp=drivesdk" TargetMode="External"/><Relationship Id="rId3379" Type="http://schemas.openxmlformats.org/officeDocument/2006/relationships/hyperlink" Target="https://drive.google.com/file/d/1fCdn6tEcV9XZMH05vQGrZxU6XowiVqW0/view?usp=drivesdk" TargetMode="External"/><Relationship Id="rId122" Type="http://schemas.openxmlformats.org/officeDocument/2006/relationships/hyperlink" Target="https://drive.google.com/file/d/1FWw_zfvXrlDtJYH6zISWrWcxr34iMr5D/view?usp=drivesdk" TargetMode="External"/><Relationship Id="rId2048" Type="http://schemas.openxmlformats.org/officeDocument/2006/relationships/hyperlink" Target="https://drive.google.com/file/d/1DNCyFp6lZvW3Mvi8BFL_pSQILapKqgfQ/view?usp=drivesdk" TargetMode="External"/><Relationship Id="rId3378" Type="http://schemas.openxmlformats.org/officeDocument/2006/relationships/hyperlink" Target="https://drive.google.com/file/d/1fsNxuigy27dvCkCfgiaNFSFDYAcK60zl/view?usp=drivesdk" TargetMode="External"/><Relationship Id="rId2038" Type="http://schemas.openxmlformats.org/officeDocument/2006/relationships/hyperlink" Target="https://drive.google.com/file/d/1_lv_-EiIC3IryDZji4MzClf_GI6WSAGs/view?usp=drivesdk" TargetMode="External"/><Relationship Id="rId2039" Type="http://schemas.openxmlformats.org/officeDocument/2006/relationships/hyperlink" Target="https://drive.google.com/file/d/1uTbb22Vi32t0EmAxTT8hB65xmpGRy3uE/view?usp=drivesdk" TargetMode="External"/><Relationship Id="rId3369" Type="http://schemas.openxmlformats.org/officeDocument/2006/relationships/hyperlink" Target="https://drive.google.com/file/d/1pq3oNveex_Len_BMOzIAFI9aG-lOtwAZ/view?usp=drivesdk" TargetMode="External"/><Relationship Id="rId118" Type="http://schemas.openxmlformats.org/officeDocument/2006/relationships/hyperlink" Target="https://drive.google.com/file/d/1_Qz5hGGGsq7-nGgbrNi7LqryJuHlmTCk/view?usp=drivesdk" TargetMode="External"/><Relationship Id="rId117" Type="http://schemas.openxmlformats.org/officeDocument/2006/relationships/hyperlink" Target="https://drive.google.com/file/d/1ngwo9fHrnaK4bbJHHcSDHpXchckFc2ob/view?usp=drivesdk" TargetMode="External"/><Relationship Id="rId116" Type="http://schemas.openxmlformats.org/officeDocument/2006/relationships/hyperlink" Target="https://drive.google.com/file/d/1VaU8ZcZdduZrrFQx13ntYI1RMcStAYFQ/view?usp=drivesdk" TargetMode="External"/><Relationship Id="rId115" Type="http://schemas.openxmlformats.org/officeDocument/2006/relationships/hyperlink" Target="https://drive.google.com/file/d/16kvuYr-RzFzO1cThMgun1sI0yr4UalFr/view?usp=drivesdk" TargetMode="External"/><Relationship Id="rId3360" Type="http://schemas.openxmlformats.org/officeDocument/2006/relationships/hyperlink" Target="https://drive.google.com/file/d/15kLpBdHa-fKIFlSgDZz64jk6l37GT2IO/view?usp=drivesdk" TargetMode="External"/><Relationship Id="rId4691" Type="http://schemas.openxmlformats.org/officeDocument/2006/relationships/hyperlink" Target="https://drive.google.com/file/d/1H6WqpoKc14z6IiHmhMbP3LC3SIqHyZdQ/view?usp=drivesdk" TargetMode="External"/><Relationship Id="rId119" Type="http://schemas.openxmlformats.org/officeDocument/2006/relationships/hyperlink" Target="https://drive.google.com/file/d/11liSWMFrDZStD4IZ-LxxzLVf9kwGyGS5/view?usp=drivesdk" TargetMode="External"/><Relationship Id="rId4690" Type="http://schemas.openxmlformats.org/officeDocument/2006/relationships/hyperlink" Target="https://drive.google.com/file/d/1CgtvN-mzH6ob84pWtWbscKvbd7eYbmpc/view?usp=drivesdk" TargetMode="External"/><Relationship Id="rId110" Type="http://schemas.openxmlformats.org/officeDocument/2006/relationships/hyperlink" Target="https://drive.google.com/file/d/1nPr-Gk1tHu7T58_KxuzasPcjN2JaO5Th/view?usp=drivesdk" TargetMode="External"/><Relationship Id="rId2030" Type="http://schemas.openxmlformats.org/officeDocument/2006/relationships/hyperlink" Target="https://drive.google.com/file/d/1kCHRrGfojAwKH-POxOs89Lwh-wl5Xm0n/view?usp=drivesdk" TargetMode="External"/><Relationship Id="rId3362" Type="http://schemas.openxmlformats.org/officeDocument/2006/relationships/hyperlink" Target="https://drive.google.com/file/d/1NSdmmqePyKzPyROXx9Ev3THcTy-2tzzk/view?usp=drivesdk" TargetMode="External"/><Relationship Id="rId4693" Type="http://schemas.openxmlformats.org/officeDocument/2006/relationships/hyperlink" Target="https://drive.google.com/file/d/1UP7g7vXqVwbR8p3AU9fLx4tsfvvhDz2s/view?usp=drivesdk" TargetMode="External"/><Relationship Id="rId2031" Type="http://schemas.openxmlformats.org/officeDocument/2006/relationships/hyperlink" Target="https://drive.google.com/file/d/1hBJhuuT-POUBSOjzE3P2EHg82yRlFRkB/view?usp=drivesdk" TargetMode="External"/><Relationship Id="rId3361" Type="http://schemas.openxmlformats.org/officeDocument/2006/relationships/hyperlink" Target="https://drive.google.com/file/d/1TKSHpdIhoA7hLcgubuiefHlCHP2MmKPE/view?usp=drivesdk" TargetMode="External"/><Relationship Id="rId4692" Type="http://schemas.openxmlformats.org/officeDocument/2006/relationships/hyperlink" Target="https://drive.google.com/file/d/1YNuU8qhsocOya8_GKzk3glB4qeFHa63i/view?usp=drivesdk" TargetMode="External"/><Relationship Id="rId2032" Type="http://schemas.openxmlformats.org/officeDocument/2006/relationships/hyperlink" Target="https://drive.google.com/file/d/1upjf_cbZv_LiPcBc0PGGtJHvHyxX4dh1/view?usp=drivesdk" TargetMode="External"/><Relationship Id="rId3364" Type="http://schemas.openxmlformats.org/officeDocument/2006/relationships/hyperlink" Target="https://drive.google.com/file/d/1Kg0aEceC4s0Lp1UM2ADBhICNP3ouBBd4/view?usp=drivesdk" TargetMode="External"/><Relationship Id="rId4695" Type="http://schemas.openxmlformats.org/officeDocument/2006/relationships/hyperlink" Target="https://drive.google.com/file/d/1jthCBqhaNP0yFkxlmFEGcfeoe-nXDssh/view?usp=drivesdk" TargetMode="External"/><Relationship Id="rId2033" Type="http://schemas.openxmlformats.org/officeDocument/2006/relationships/hyperlink" Target="https://drive.google.com/file/d/1xLCIEUnnIB01nzZJwRv9A2jnG5W000JZ/view?usp=drivesdk" TargetMode="External"/><Relationship Id="rId3363" Type="http://schemas.openxmlformats.org/officeDocument/2006/relationships/hyperlink" Target="https://drive.google.com/file/d/1XucOThBE6GHV-UJNQMXQ2syw8auQhRLN/view?usp=drivesdk" TargetMode="External"/><Relationship Id="rId4694" Type="http://schemas.openxmlformats.org/officeDocument/2006/relationships/hyperlink" Target="https://drive.google.com/file/d/1qitnKiH15k5EzBbWNfbmksjg8s_95zAw/view?usp=drivesdk" TargetMode="External"/><Relationship Id="rId114" Type="http://schemas.openxmlformats.org/officeDocument/2006/relationships/hyperlink" Target="https://drive.google.com/file/d/1DSYR1sd7S7OH5Nqnu3O2__aYzti_8HXD/view?usp=drivesdk" TargetMode="External"/><Relationship Id="rId2034" Type="http://schemas.openxmlformats.org/officeDocument/2006/relationships/hyperlink" Target="https://drive.google.com/file/d/1pQLPnVCzO9oSoh7U1PFREWiIXVr2Q3Sc/view?usp=drivesdk" TargetMode="External"/><Relationship Id="rId3366" Type="http://schemas.openxmlformats.org/officeDocument/2006/relationships/hyperlink" Target="https://drive.google.com/file/d/1iOBByv0yN3w8_aACUz8kwtY8FDFGfGV5/view?usp=drivesdk" TargetMode="External"/><Relationship Id="rId4697" Type="http://schemas.openxmlformats.org/officeDocument/2006/relationships/hyperlink" Target="https://drive.google.com/file/d/1FEFFAWOZHPziuM-KQWzksY_33LLmGieY/view?usp=drivesdk" TargetMode="External"/><Relationship Id="rId113" Type="http://schemas.openxmlformats.org/officeDocument/2006/relationships/hyperlink" Target="https://drive.google.com/file/d/18SSrwx5fAAsAptrKy8czS3WhTJp3of9f/view?usp=drivesdk" TargetMode="External"/><Relationship Id="rId2035" Type="http://schemas.openxmlformats.org/officeDocument/2006/relationships/hyperlink" Target="https://drive.google.com/file/d/1G1khcS9UKOKi57W_Wy30vWfVmgHYWa71/view?usp=drivesdk" TargetMode="External"/><Relationship Id="rId3365" Type="http://schemas.openxmlformats.org/officeDocument/2006/relationships/hyperlink" Target="https://drive.google.com/file/d/1AxY3XYfp4ek4tOMJgw1Ut2d3ovV9E5Hz/view?usp=drivesdk" TargetMode="External"/><Relationship Id="rId4696" Type="http://schemas.openxmlformats.org/officeDocument/2006/relationships/hyperlink" Target="https://drive.google.com/file/d/1KZFF0G8fxf5S6EZ1h6adHp45ACuvPlrC/view?usp=drivesdk" TargetMode="External"/><Relationship Id="rId112" Type="http://schemas.openxmlformats.org/officeDocument/2006/relationships/hyperlink" Target="https://drive.google.com/file/d/187EKFmTNck64e0DPZURzc-KghBIpMTay/view?usp=drivesdk" TargetMode="External"/><Relationship Id="rId2036" Type="http://schemas.openxmlformats.org/officeDocument/2006/relationships/hyperlink" Target="https://drive.google.com/file/d/15_zrnnFc8x1W0VRq8PTY0adoPvYKCqDZ/view?usp=drivesdk" TargetMode="External"/><Relationship Id="rId3368" Type="http://schemas.openxmlformats.org/officeDocument/2006/relationships/hyperlink" Target="https://drive.google.com/file/d/1z2xLJ3Kb9SYxo0vb0ikKEFoLPmlo-BxC/view?usp=drivesdk" TargetMode="External"/><Relationship Id="rId4699" Type="http://schemas.openxmlformats.org/officeDocument/2006/relationships/hyperlink" Target="https://drive.google.com/file/d/1otX66FGYWBgK_EvOUUuqWkKz-TLqvu5j/view?usp=drivesdk" TargetMode="External"/><Relationship Id="rId111" Type="http://schemas.openxmlformats.org/officeDocument/2006/relationships/hyperlink" Target="https://drive.google.com/file/d/13PFwJiCwF7GXMgpj-cQBUF3lPscJQDKJ/view?usp=drivesdk" TargetMode="External"/><Relationship Id="rId2037" Type="http://schemas.openxmlformats.org/officeDocument/2006/relationships/hyperlink" Target="https://drive.google.com/file/d/1SlFE4B0kVOLvtekcfhpr32djSAJ1Bavf/view?usp=drivesdk" TargetMode="External"/><Relationship Id="rId3367" Type="http://schemas.openxmlformats.org/officeDocument/2006/relationships/hyperlink" Target="https://drive.google.com/file/d/1Veny-C_-tnbWfSVMsC506_EeT0LbR4hy/view?usp=drivesdk" TargetMode="External"/><Relationship Id="rId4698" Type="http://schemas.openxmlformats.org/officeDocument/2006/relationships/hyperlink" Target="https://drive.google.com/file/d/1B8vpZj228SRltbyL5A2y9_ywOkOBLddI/view?usp=drivesdk" TargetMode="External"/><Relationship Id="rId3315" Type="http://schemas.openxmlformats.org/officeDocument/2006/relationships/hyperlink" Target="https://drive.google.com/file/d/1gPTkVTOXCckusnbMSkj3hkYAYKt_P-q_/view?usp=drivesdk" TargetMode="External"/><Relationship Id="rId4646" Type="http://schemas.openxmlformats.org/officeDocument/2006/relationships/hyperlink" Target="https://drive.google.com/file/d/1eJI9uPpOLMXEy6c5HdcqxL0m889HvWi4/view?usp=drivesdk" TargetMode="External"/><Relationship Id="rId5978" Type="http://schemas.openxmlformats.org/officeDocument/2006/relationships/hyperlink" Target="https://drive.google.com/file/d/1UIt2bdbZ8a_cgpPustjz1kAroIVrPBvY/view?usp=drivesdk" TargetMode="External"/><Relationship Id="rId3314" Type="http://schemas.openxmlformats.org/officeDocument/2006/relationships/hyperlink" Target="https://drive.google.com/file/d/1DlozM4anT_cOmuB6YMt5m9Me8TR5n-Hl/view?usp=drivesdk" TargetMode="External"/><Relationship Id="rId4645" Type="http://schemas.openxmlformats.org/officeDocument/2006/relationships/hyperlink" Target="https://drive.google.com/file/d/1QwYC7j198QzWtGDymM-0aThXcnnOqZji/view?usp=drivesdk" TargetMode="External"/><Relationship Id="rId5979" Type="http://schemas.openxmlformats.org/officeDocument/2006/relationships/hyperlink" Target="https://drive.google.com/file/d/1TiBR-FvEhaMBX5UzyzTCNdkCE8tFAczw/view?usp=drivesdk" TargetMode="External"/><Relationship Id="rId3317" Type="http://schemas.openxmlformats.org/officeDocument/2006/relationships/hyperlink" Target="https://drive.google.com/file/d/1Lynr5Hq2YDOCEZ_JxkTRLbnEGHoJAByU/view?usp=drivesdk" TargetMode="External"/><Relationship Id="rId4648" Type="http://schemas.openxmlformats.org/officeDocument/2006/relationships/hyperlink" Target="https://drive.google.com/file/d/1_VuAbCaMQSBMyms1RrryYnbSg7YIczIH/view?usp=drivesdk" TargetMode="External"/><Relationship Id="rId5976" Type="http://schemas.openxmlformats.org/officeDocument/2006/relationships/hyperlink" Target="https://drive.google.com/file/d/1MLZSrRH-qrXtYoWfhsVS0gd_OENLFdM5/view?usp=drivesdk" TargetMode="External"/><Relationship Id="rId3316" Type="http://schemas.openxmlformats.org/officeDocument/2006/relationships/hyperlink" Target="https://drive.google.com/file/d/1ozkAgMTwTIItRpUCxPNf_p2ir_B-4nQg/view?usp=drivesdk" TargetMode="External"/><Relationship Id="rId4647" Type="http://schemas.openxmlformats.org/officeDocument/2006/relationships/hyperlink" Target="https://drive.google.com/file/d/1eSrGbmpsc1KEF1vWXrLxmF10-IYf6LVp/view?usp=drivesdk" TargetMode="External"/><Relationship Id="rId5977" Type="http://schemas.openxmlformats.org/officeDocument/2006/relationships/hyperlink" Target="https://drive.google.com/file/d/1L57hm8r_tBi93ej7CgW-JhC3KnFqIKYk/view?usp=drivesdk" TargetMode="External"/><Relationship Id="rId3319" Type="http://schemas.openxmlformats.org/officeDocument/2006/relationships/hyperlink" Target="https://drive.google.com/file/d/1hTKMGfUDMjvbZ1qYL0Xh67ZE8nwMqPrp/view?usp=drivesdk" TargetMode="External"/><Relationship Id="rId3318" Type="http://schemas.openxmlformats.org/officeDocument/2006/relationships/hyperlink" Target="https://drive.google.com/file/d/1THRclWkKWIWcFjWakuRBTPTxS0hdeFe4/view?usp=drivesdk" TargetMode="External"/><Relationship Id="rId4649" Type="http://schemas.openxmlformats.org/officeDocument/2006/relationships/hyperlink" Target="https://drive.google.com/file/d/1cOCgbcsi-EK5BEzYHB9wN8txwQBoizD_/view?usp=drivesdk" TargetMode="External"/><Relationship Id="rId5970" Type="http://schemas.openxmlformats.org/officeDocument/2006/relationships/hyperlink" Target="https://drive.google.com/file/d/1QMYabsZmg_wuHwiFXV85izTceWb6PV8Q/view?usp=drivesdk" TargetMode="External"/><Relationship Id="rId5971" Type="http://schemas.openxmlformats.org/officeDocument/2006/relationships/hyperlink" Target="https://drive.google.com/file/d/1szZWgcpuxzY5nN_Qv_bgyHmJHbTO0Obj/view?usp=drivesdk" TargetMode="External"/><Relationship Id="rId4640" Type="http://schemas.openxmlformats.org/officeDocument/2006/relationships/hyperlink" Target="https://drive.google.com/file/d/1OYL4Mz-fgzUvO_rztDKVjONIdndDfbDk/view?usp=drivesdk" TargetMode="External"/><Relationship Id="rId3311" Type="http://schemas.openxmlformats.org/officeDocument/2006/relationships/hyperlink" Target="https://drive.google.com/file/d/1RSwn7GdSKIhJZ0lwWxz3cl47OvA624oE/view?usp=drivesdk" TargetMode="External"/><Relationship Id="rId4642" Type="http://schemas.openxmlformats.org/officeDocument/2006/relationships/hyperlink" Target="https://drive.google.com/file/d/16TH_lshRnZlgxolfQAGQExQYxptMvOG9/view?usp=drivesdk" TargetMode="External"/><Relationship Id="rId5974" Type="http://schemas.openxmlformats.org/officeDocument/2006/relationships/hyperlink" Target="https://drive.google.com/file/d/1TdL4nbOvHs6sGXjtnI_5YvQLQKR_uEA6/view?usp=drivesdk" TargetMode="External"/><Relationship Id="rId3310" Type="http://schemas.openxmlformats.org/officeDocument/2006/relationships/hyperlink" Target="https://drive.google.com/file/d/17EcIMYdOuoHnhZShAEcHfW-5gSmWPyeF/view?usp=drivesdk" TargetMode="External"/><Relationship Id="rId4641" Type="http://schemas.openxmlformats.org/officeDocument/2006/relationships/hyperlink" Target="https://drive.google.com/file/d/1JfnTnc0W-w6w0QaCulxaik8yNqd9zbuU/view?usp=drivesdk" TargetMode="External"/><Relationship Id="rId5975" Type="http://schemas.openxmlformats.org/officeDocument/2006/relationships/hyperlink" Target="https://drive.google.com/file/d/1nc6A4HALom2Khxc78lha2U7s-dI_0vQp/view?usp=drivesdk" TargetMode="External"/><Relationship Id="rId3313" Type="http://schemas.openxmlformats.org/officeDocument/2006/relationships/hyperlink" Target="https://drive.google.com/file/d/1ntlW7G4lGL7rSJfnA-wuu-7YNADtJc6T/view?usp=drivesdk" TargetMode="External"/><Relationship Id="rId4644" Type="http://schemas.openxmlformats.org/officeDocument/2006/relationships/hyperlink" Target="https://drive.google.com/file/d/1iDn9lln15M6K4mYgeHDaacLVA1updWyc/view?usp=drivesdk" TargetMode="External"/><Relationship Id="rId5972" Type="http://schemas.openxmlformats.org/officeDocument/2006/relationships/hyperlink" Target="https://drive.google.com/file/d/1LJIFUaGnnfKHKFdFyymjaGMpkedqz4jd/view?usp=drivesdk" TargetMode="External"/><Relationship Id="rId3312" Type="http://schemas.openxmlformats.org/officeDocument/2006/relationships/hyperlink" Target="https://drive.google.com/file/d/1_IeFKhvigs8YY3PhTpcxlK4tsfsoCzjY/view?usp=drivesdk" TargetMode="External"/><Relationship Id="rId4643" Type="http://schemas.openxmlformats.org/officeDocument/2006/relationships/hyperlink" Target="https://drive.google.com/file/d/1vhWQSWYAJ7J8OTYeNnoZrWED3jhbtqsp/view?usp=drivesdk" TargetMode="External"/><Relationship Id="rId5973" Type="http://schemas.openxmlformats.org/officeDocument/2006/relationships/hyperlink" Target="https://drive.google.com/file/d/1k6rKzKi9-nX-D0wTaWbYd-Ge6YxKDoE1/view?usp=drivesdk" TargetMode="External"/><Relationship Id="rId3304" Type="http://schemas.openxmlformats.org/officeDocument/2006/relationships/hyperlink" Target="https://drive.google.com/file/d/1A53BZk4ePidgQWpPYfoKeD5FYWSuLZH6/view?usp=drivesdk" TargetMode="External"/><Relationship Id="rId4635" Type="http://schemas.openxmlformats.org/officeDocument/2006/relationships/hyperlink" Target="https://drive.google.com/file/d/1BfXESSWpNZAM25NHpG_SnWQ9jeXCZ7ja/view?usp=drivesdk" TargetMode="External"/><Relationship Id="rId5967" Type="http://schemas.openxmlformats.org/officeDocument/2006/relationships/hyperlink" Target="https://drive.google.com/file/d/1SU3qWcDZsAkKXSbTqCAJ59VBrR66u-Yb/view?usp=drivesdk" TargetMode="External"/><Relationship Id="rId3303" Type="http://schemas.openxmlformats.org/officeDocument/2006/relationships/hyperlink" Target="https://drive.google.com/file/d/1-duOItrggEicCisEumQIAbS_XC_Re7Hn/view?usp=drivesdk" TargetMode="External"/><Relationship Id="rId4634" Type="http://schemas.openxmlformats.org/officeDocument/2006/relationships/hyperlink" Target="https://drive.google.com/file/d/1Zzmmv9Ni3zar1bPx1ym-GRy8UX-X555s/view?usp=drivesdk" TargetMode="External"/><Relationship Id="rId5968" Type="http://schemas.openxmlformats.org/officeDocument/2006/relationships/hyperlink" Target="https://drive.google.com/file/d/1e_w1J6uX0jrX4QAqd1lPVBgoL1AMD3Zg/view?usp=drivesdk" TargetMode="External"/><Relationship Id="rId3306" Type="http://schemas.openxmlformats.org/officeDocument/2006/relationships/hyperlink" Target="https://drive.google.com/file/d/1BQpD13TYRuNWYyiwogMBeHlw1pKQS1oC/view?usp=drivesdk" TargetMode="External"/><Relationship Id="rId4637" Type="http://schemas.openxmlformats.org/officeDocument/2006/relationships/hyperlink" Target="https://drive.google.com/file/d/1wrywWHFAgqPe9xhvWgM1ElqgEoQ65yGm/view?usp=drivesdk" TargetMode="External"/><Relationship Id="rId5965" Type="http://schemas.openxmlformats.org/officeDocument/2006/relationships/hyperlink" Target="https://drive.google.com/file/d/1FJdmLSUghPQoR7wynWbqf_oM3e9dLedy/view?usp=drivesdk" TargetMode="External"/><Relationship Id="rId3305" Type="http://schemas.openxmlformats.org/officeDocument/2006/relationships/hyperlink" Target="https://drive.google.com/file/d/1utIuKckHUCgmsG8IQyo34UgodcbLlFzS/view?usp=drivesdk" TargetMode="External"/><Relationship Id="rId4636" Type="http://schemas.openxmlformats.org/officeDocument/2006/relationships/hyperlink" Target="https://drive.google.com/file/d/1i14ZeHuK70b8qXktltfBOEjK47u7MGeG/view?usp=drivesdk" TargetMode="External"/><Relationship Id="rId5966" Type="http://schemas.openxmlformats.org/officeDocument/2006/relationships/hyperlink" Target="https://drive.google.com/file/d/1vD4wM29xp_sD-9PGbwXc1Q899OpqbEp7/view?usp=drivesdk" TargetMode="External"/><Relationship Id="rId3308" Type="http://schemas.openxmlformats.org/officeDocument/2006/relationships/hyperlink" Target="https://drive.google.com/file/d/1CzgkXdapRjq-ze_ptjpyV_cW4NJ3Ciic/view?usp=drivesdk" TargetMode="External"/><Relationship Id="rId4639" Type="http://schemas.openxmlformats.org/officeDocument/2006/relationships/hyperlink" Target="https://drive.google.com/file/d/1WHNM2AKYNCo3GDiP2NnUQMhduPulxy4B/view?usp=drivesdk" TargetMode="External"/><Relationship Id="rId3307" Type="http://schemas.openxmlformats.org/officeDocument/2006/relationships/hyperlink" Target="https://drive.google.com/file/d/1ppK0S65UPVtImaUz3jUfwAIM8eDnpYrJ/view?usp=drivesdk" TargetMode="External"/><Relationship Id="rId4638" Type="http://schemas.openxmlformats.org/officeDocument/2006/relationships/hyperlink" Target="https://drive.google.com/file/d/1Q7R8R1wEmEN4-48dXjJPQnfEQ403O3Ue/view?usp=drivesdk" TargetMode="External"/><Relationship Id="rId5969" Type="http://schemas.openxmlformats.org/officeDocument/2006/relationships/hyperlink" Target="https://drive.google.com/file/d/1ofzvPOJGJshQhuUUMmQIZef9-mWiWx8L/view?usp=drivesdk" TargetMode="External"/><Relationship Id="rId3309" Type="http://schemas.openxmlformats.org/officeDocument/2006/relationships/hyperlink" Target="https://drive.google.com/file/d/1nUfaumaHGxWrIXQsto52rE_iQwGD2hz2/view?usp=drivesdk" TargetMode="External"/><Relationship Id="rId5960" Type="http://schemas.openxmlformats.org/officeDocument/2006/relationships/hyperlink" Target="https://drive.google.com/file/d/1mLAiH2cUZHawPrfix1JUL73NM1ZgZYbV/view?usp=drivesdk" TargetMode="External"/><Relationship Id="rId3300" Type="http://schemas.openxmlformats.org/officeDocument/2006/relationships/hyperlink" Target="https://drive.google.com/file/d/1m8BcjO_we67JdQwR16G-RJfnb3D4azWW/view?usp=drivesdk" TargetMode="External"/><Relationship Id="rId4631" Type="http://schemas.openxmlformats.org/officeDocument/2006/relationships/hyperlink" Target="https://drive.google.com/file/d/1UKKK3Ih0fnjVL7oY9ek9xMcmU6g0Be56/view?usp=drivesdk" TargetMode="External"/><Relationship Id="rId5963" Type="http://schemas.openxmlformats.org/officeDocument/2006/relationships/hyperlink" Target="https://drive.google.com/file/d/1OYWFubYhtZIizHo96fQmlaeYyzXAao_I/view?usp=drivesdk" TargetMode="External"/><Relationship Id="rId4630" Type="http://schemas.openxmlformats.org/officeDocument/2006/relationships/hyperlink" Target="https://drive.google.com/file/d/1i2HcIu70pmr5VIrR2iu8BYFAHhsj4xeH/view?usp=drivesdk" TargetMode="External"/><Relationship Id="rId5964" Type="http://schemas.openxmlformats.org/officeDocument/2006/relationships/hyperlink" Target="https://drive.google.com/file/d/1AMSPzWYoNqXMKt6vzdRlf_44DoFT21yj/view?usp=drivesdk" TargetMode="External"/><Relationship Id="rId3302" Type="http://schemas.openxmlformats.org/officeDocument/2006/relationships/hyperlink" Target="https://drive.google.com/file/d/1gsohDCoZe6vkonBHPQomnOsZWjCx4ORx/view?usp=drivesdk" TargetMode="External"/><Relationship Id="rId4633" Type="http://schemas.openxmlformats.org/officeDocument/2006/relationships/hyperlink" Target="https://drive.google.com/file/d/1aUUNU77Hh4F5gGAERNtkDxdB4yJ6uNpt/view?usp=drivesdk" TargetMode="External"/><Relationship Id="rId5961" Type="http://schemas.openxmlformats.org/officeDocument/2006/relationships/hyperlink" Target="https://drive.google.com/file/d/1GM3eSLWmYbBcWhWTZZ2T1cEDGwYOQUVh/view?usp=drivesdk" TargetMode="External"/><Relationship Id="rId3301" Type="http://schemas.openxmlformats.org/officeDocument/2006/relationships/hyperlink" Target="https://drive.google.com/file/d/1GM7uLivka1p7bYQ5kW5c0KnlBmG8bPkS/view?usp=drivesdk" TargetMode="External"/><Relationship Id="rId4632" Type="http://schemas.openxmlformats.org/officeDocument/2006/relationships/hyperlink" Target="https://drive.google.com/file/d/1ARyPmvr8AwOLFTN_qT6-N_TfdssuQIbx/view?usp=drivesdk" TargetMode="External"/><Relationship Id="rId5962" Type="http://schemas.openxmlformats.org/officeDocument/2006/relationships/hyperlink" Target="https://drive.google.com/file/d/1xGHnh1UOcRoSrWgaWsmWlF_ejniOkAbD/view?usp=drivesdk" TargetMode="External"/><Relationship Id="rId2005" Type="http://schemas.openxmlformats.org/officeDocument/2006/relationships/hyperlink" Target="https://drive.google.com/file/d/16ZeUnLaJl0HYd8LUL88TE3w5bdJpV-3b/view?usp=drivesdk" TargetMode="External"/><Relationship Id="rId3337" Type="http://schemas.openxmlformats.org/officeDocument/2006/relationships/hyperlink" Target="https://drive.google.com/file/d/1U0g0PBW0uxGYomZwDUq-r0CkX2lfuuR8/view?usp=drivesdk" TargetMode="External"/><Relationship Id="rId4668" Type="http://schemas.openxmlformats.org/officeDocument/2006/relationships/hyperlink" Target="https://drive.google.com/file/d/1VVi5y-u9J0fjTWy5XsT7r6Jnt_i-C0f2/view?usp=drivesdk" TargetMode="External"/><Relationship Id="rId2006" Type="http://schemas.openxmlformats.org/officeDocument/2006/relationships/hyperlink" Target="https://drive.google.com/file/d/1n7DfpsG3GT_RX2hDIPYru-VcKzPTfA4C/view?usp=drivesdk" TargetMode="External"/><Relationship Id="rId3336" Type="http://schemas.openxmlformats.org/officeDocument/2006/relationships/hyperlink" Target="https://drive.google.com/file/d/1zC8taJsWBvD5qfTMuzMIBql8nsfEuHHS/view?usp=drivesdk" TargetMode="External"/><Relationship Id="rId4667" Type="http://schemas.openxmlformats.org/officeDocument/2006/relationships/hyperlink" Target="https://drive.google.com/file/d/14UO5_v8w-gDU4rYbM67eAAldOqGRu649/view?usp=drivesdk" TargetMode="External"/><Relationship Id="rId2007" Type="http://schemas.openxmlformats.org/officeDocument/2006/relationships/hyperlink" Target="https://drive.google.com/file/d/16w64sM9XWzFDFXNsPNDumeE4ufwICSAl/view?usp=drivesdk" TargetMode="External"/><Relationship Id="rId3339" Type="http://schemas.openxmlformats.org/officeDocument/2006/relationships/hyperlink" Target="https://drive.google.com/file/d/1kJmuuJRcDHE4Slm04WV-1bZw7ipxQxQ4/view?usp=drivesdk" TargetMode="External"/><Relationship Id="rId5998" Type="http://schemas.openxmlformats.org/officeDocument/2006/relationships/hyperlink" Target="https://drive.google.com/file/d/1xX__k1_bhfeoiUeCFSQD7SmZWTfVzii-/view?usp=drivesdk" TargetMode="External"/><Relationship Id="rId2008" Type="http://schemas.openxmlformats.org/officeDocument/2006/relationships/hyperlink" Target="https://drive.google.com/file/d/1KCYCMKk4ubeTaVMVXOm0jPYlpV2CUncQ/view?usp=drivesdk" TargetMode="External"/><Relationship Id="rId3338" Type="http://schemas.openxmlformats.org/officeDocument/2006/relationships/hyperlink" Target="https://drive.google.com/file/d/1ekR3KaqmGVaVuTXuAS9EQWR3j_TBPtMo/view?usp=drivesdk" TargetMode="External"/><Relationship Id="rId4669" Type="http://schemas.openxmlformats.org/officeDocument/2006/relationships/hyperlink" Target="https://drive.google.com/file/d/1CGFA3wO10RVU57jp6-30ycA5LDEvxrWt/view?usp=drivesdk" TargetMode="External"/><Relationship Id="rId5999" Type="http://schemas.openxmlformats.org/officeDocument/2006/relationships/hyperlink" Target="https://drive.google.com/file/d/1_iC5br2nSQ-q_kHg-OETQE6Pyerwv22U/view?usp=drivesdk" TargetMode="External"/><Relationship Id="rId2009" Type="http://schemas.openxmlformats.org/officeDocument/2006/relationships/hyperlink" Target="https://drive.google.com/file/d/1EthJgxyFQPFRDNzIHQp_1V2SzKVjyGjh/view?usp=drivesdk" TargetMode="External"/><Relationship Id="rId4660" Type="http://schemas.openxmlformats.org/officeDocument/2006/relationships/hyperlink" Target="https://drive.google.com/file/d/11zHN9diio6tkYOQri_drNPVbUc15_9Cx/view?usp=drivesdk" TargetMode="External"/><Relationship Id="rId5992" Type="http://schemas.openxmlformats.org/officeDocument/2006/relationships/hyperlink" Target="https://drive.google.com/file/d/1lR-x9BuXKxX9YDm3PqCmCQ4XXGBfvUTP/view?usp=drivesdk" TargetMode="External"/><Relationship Id="rId5993" Type="http://schemas.openxmlformats.org/officeDocument/2006/relationships/hyperlink" Target="https://drive.google.com/file/d/1Iffggr6ytUmPm6IrR0QbsP-odbtkwgRg/view?usp=drivesdk" TargetMode="External"/><Relationship Id="rId3331" Type="http://schemas.openxmlformats.org/officeDocument/2006/relationships/hyperlink" Target="https://drive.google.com/file/d/12cbdQt2Hnty4XMRs66OK4e0_IX4Rs6DZ/view?usp=drivesdk" TargetMode="External"/><Relationship Id="rId4662" Type="http://schemas.openxmlformats.org/officeDocument/2006/relationships/hyperlink" Target="https://drive.google.com/file/d/14GUnmjaJ7Lf_cZJyfaPyTV0Q-gU5uvzI/view?usp=drivesdk" TargetMode="External"/><Relationship Id="rId5990" Type="http://schemas.openxmlformats.org/officeDocument/2006/relationships/hyperlink" Target="https://drive.google.com/file/d/1wSD-GZ5jdaMt-8FfvYvW7OCesDMPS4IK/view?usp=drivesdk" TargetMode="External"/><Relationship Id="rId2000" Type="http://schemas.openxmlformats.org/officeDocument/2006/relationships/hyperlink" Target="https://drive.google.com/file/d/1bLrjB2__aDVWm-GMGccGz9pXHRmFfToW/view?usp=drivesdk" TargetMode="External"/><Relationship Id="rId3330" Type="http://schemas.openxmlformats.org/officeDocument/2006/relationships/hyperlink" Target="https://drive.google.com/file/d/1ngdG7eRihr-p-Wt9Jr_ayR4WMPxNRySU/view?usp=drivesdk" TargetMode="External"/><Relationship Id="rId4661" Type="http://schemas.openxmlformats.org/officeDocument/2006/relationships/hyperlink" Target="https://drive.google.com/file/d/1pv4yxm2J6C0NhC0TnTNGFb-QfJr0JW1Q/view?usp=drivesdk" TargetMode="External"/><Relationship Id="rId5991" Type="http://schemas.openxmlformats.org/officeDocument/2006/relationships/hyperlink" Target="https://drive.google.com/file/d/1k2l27cfYC4oNIthaQXeUNinXfWYNKZ3F/view?usp=drivesdk" TargetMode="External"/><Relationship Id="rId2001" Type="http://schemas.openxmlformats.org/officeDocument/2006/relationships/hyperlink" Target="https://drive.google.com/file/d/1EI8zL8TcbMJXP0K8-r1KWNwxvZ91rzsT/view?usp=drivesdk" TargetMode="External"/><Relationship Id="rId3333" Type="http://schemas.openxmlformats.org/officeDocument/2006/relationships/hyperlink" Target="https://drive.google.com/file/d/11o44H0z2Wym9w1IMqy0_XMqVHHDmUvys/view?usp=drivesdk" TargetMode="External"/><Relationship Id="rId4664" Type="http://schemas.openxmlformats.org/officeDocument/2006/relationships/hyperlink" Target="https://drive.google.com/file/d/1X3fZMpy1n8Pc-FtCWOpRNsrKL3dofAfo/view?usp=drivesdk" TargetMode="External"/><Relationship Id="rId5996" Type="http://schemas.openxmlformats.org/officeDocument/2006/relationships/hyperlink" Target="https://drive.google.com/file/d/15HQSjtqpCrSC99ZxYk9oUuVuGz_bXBqe/view?usp=drivesdk" TargetMode="External"/><Relationship Id="rId2002" Type="http://schemas.openxmlformats.org/officeDocument/2006/relationships/hyperlink" Target="https://drive.google.com/file/d/1MetrtdublZhfDKj7f8fM0n7k2uorRf9c/view?usp=drivesdk" TargetMode="External"/><Relationship Id="rId3332" Type="http://schemas.openxmlformats.org/officeDocument/2006/relationships/hyperlink" Target="https://drive.google.com/file/d/1CaFNLm-zjX31JB7g9XDmY1WKjYZ94BB4/view?usp=drivesdk" TargetMode="External"/><Relationship Id="rId4663" Type="http://schemas.openxmlformats.org/officeDocument/2006/relationships/hyperlink" Target="https://drive.google.com/file/d/1ulx-CKyvRGewBG9G38PlsOyeN4JSwANB/view?usp=drivesdk" TargetMode="External"/><Relationship Id="rId5997" Type="http://schemas.openxmlformats.org/officeDocument/2006/relationships/hyperlink" Target="https://drive.google.com/file/d/1glWDGNYpiRAk0IE-BViS_weNhAr_AEDM/view?usp=drivesdk" TargetMode="External"/><Relationship Id="rId2003" Type="http://schemas.openxmlformats.org/officeDocument/2006/relationships/hyperlink" Target="https://drive.google.com/file/d/1NWPN3asHw975fdhVQgYZ93hopeYka0eK/view?usp=drivesdk" TargetMode="External"/><Relationship Id="rId3335" Type="http://schemas.openxmlformats.org/officeDocument/2006/relationships/hyperlink" Target="https://drive.google.com/file/d/1wPablLNWKj3FZl5nqBjAu_V1TiOUK1Po/view?usp=drivesdk" TargetMode="External"/><Relationship Id="rId4666" Type="http://schemas.openxmlformats.org/officeDocument/2006/relationships/hyperlink" Target="https://drive.google.com/file/d/1uuVppCRL6F6REyfabDtuMI63dqiD2R4k/view?usp=drivesdk" TargetMode="External"/><Relationship Id="rId5994" Type="http://schemas.openxmlformats.org/officeDocument/2006/relationships/hyperlink" Target="https://drive.google.com/file/d/1WZ0EjegcyAcozD0jL2fvz8jUFl2KVqyp/view?usp=drivesdk" TargetMode="External"/><Relationship Id="rId2004" Type="http://schemas.openxmlformats.org/officeDocument/2006/relationships/hyperlink" Target="https://drive.google.com/file/d/1fawZs_wxfDj8Tol4MnHCyrl0B85EF8gb/view?usp=drivesdk" TargetMode="External"/><Relationship Id="rId3334" Type="http://schemas.openxmlformats.org/officeDocument/2006/relationships/hyperlink" Target="https://drive.google.com/file/d/1iuCLrgKQX3S2J7J4RZnaqOkD6dmjWKkO/view?usp=drivesdk" TargetMode="External"/><Relationship Id="rId4665" Type="http://schemas.openxmlformats.org/officeDocument/2006/relationships/hyperlink" Target="https://drive.google.com/file/d/1CheaSTxjRHl1cM1vCAaWiCRc_5irSAY1/view?usp=drivesdk" TargetMode="External"/><Relationship Id="rId5995" Type="http://schemas.openxmlformats.org/officeDocument/2006/relationships/hyperlink" Target="https://drive.google.com/file/d/1LlO63nXY5i3OaN4lPq5UWsI972r6Y3Yt/view?usp=drivesdk" TargetMode="External"/><Relationship Id="rId3326" Type="http://schemas.openxmlformats.org/officeDocument/2006/relationships/hyperlink" Target="https://drive.google.com/file/d/1qkw8ZM-GlqXRJGQ4Eb4c1qroT3Bhngjs/view?usp=drivesdk" TargetMode="External"/><Relationship Id="rId4657" Type="http://schemas.openxmlformats.org/officeDocument/2006/relationships/hyperlink" Target="https://drive.google.com/file/d/1O9-rLxNVUiTWl8eIZBHs5EygqFE7J3AR/view?usp=drivesdk" TargetMode="External"/><Relationship Id="rId5989" Type="http://schemas.openxmlformats.org/officeDocument/2006/relationships/hyperlink" Target="https://drive.google.com/file/d/11Yey_wgJTKio7nGDAiWJ2Q1QipSyCRGX/view?usp=drivesdk" TargetMode="External"/><Relationship Id="rId3325" Type="http://schemas.openxmlformats.org/officeDocument/2006/relationships/hyperlink" Target="https://drive.google.com/file/d/1Obia8Aq7SO1wOxxwJqMTHkouOokYEFCa/view?usp=drivesdk" TargetMode="External"/><Relationship Id="rId4656" Type="http://schemas.openxmlformats.org/officeDocument/2006/relationships/hyperlink" Target="https://drive.google.com/file/d/1HrsZU8X-QLJfMFJ0jHj8DgMGlZuiJ-8E/view?usp=drivesdk" TargetMode="External"/><Relationship Id="rId3328" Type="http://schemas.openxmlformats.org/officeDocument/2006/relationships/hyperlink" Target="https://drive.google.com/file/d/1jeGBzdNO2SgKzXWn3MEDLNEfCuj5Sk1m/view?usp=drivesdk" TargetMode="External"/><Relationship Id="rId4659" Type="http://schemas.openxmlformats.org/officeDocument/2006/relationships/hyperlink" Target="https://drive.google.com/file/d/1YvjM2RasvuXeZmJOTg2LsDqadJ9aXVl4/view?usp=drivesdk" TargetMode="External"/><Relationship Id="rId5987" Type="http://schemas.openxmlformats.org/officeDocument/2006/relationships/hyperlink" Target="https://drive.google.com/file/d/1d9_cW58LtRpq7wTlpE2ueOKEklIPMVvK/view?usp=drivesdk" TargetMode="External"/><Relationship Id="rId3327" Type="http://schemas.openxmlformats.org/officeDocument/2006/relationships/hyperlink" Target="https://drive.google.com/file/d/1obIkzYVHiCw0RhxL863s4baHeWRykHzq/view?usp=drivesdk" TargetMode="External"/><Relationship Id="rId4658" Type="http://schemas.openxmlformats.org/officeDocument/2006/relationships/hyperlink" Target="https://drive.google.com/file/d/1PMMtKgVYGcghgfIwcalw5QnU8hEd0fYj/view?usp=drivesdk" TargetMode="External"/><Relationship Id="rId5988" Type="http://schemas.openxmlformats.org/officeDocument/2006/relationships/hyperlink" Target="https://drive.google.com/file/d/1WDsF0NDzATZVEyqz9HozZCcwz6tAmDtM/view?usp=drivesdk" TargetMode="External"/><Relationship Id="rId3329" Type="http://schemas.openxmlformats.org/officeDocument/2006/relationships/hyperlink" Target="https://drive.google.com/file/d/1-dNB7jfyW2DhBLfm7kmxqaBXRAcaHiK5/view?usp=drivesdk" TargetMode="External"/><Relationship Id="rId5981" Type="http://schemas.openxmlformats.org/officeDocument/2006/relationships/hyperlink" Target="https://drive.google.com/file/d/1kYfd_rU8QSqOWgX1o86aIBohXSFYWMpW/view?usp=drivesdk" TargetMode="External"/><Relationship Id="rId5982" Type="http://schemas.openxmlformats.org/officeDocument/2006/relationships/hyperlink" Target="https://drive.google.com/file/d/1noyls-K520m4MjTVR_VAtPJHjLdbi3G3/view?usp=drivesdk" TargetMode="External"/><Relationship Id="rId3320" Type="http://schemas.openxmlformats.org/officeDocument/2006/relationships/hyperlink" Target="https://drive.google.com/file/d/1B_hRmCZlsZXMVfXE721IsrPYou5XQloI/view?usp=drivesdk" TargetMode="External"/><Relationship Id="rId4651" Type="http://schemas.openxmlformats.org/officeDocument/2006/relationships/hyperlink" Target="https://drive.google.com/file/d/1yslutZkQaTEcIrrKoISLaiUKAF_gtNGY/view?usp=drivesdk" TargetMode="External"/><Relationship Id="rId4650" Type="http://schemas.openxmlformats.org/officeDocument/2006/relationships/hyperlink" Target="https://drive.google.com/file/d/1043u1UKNL80LZXA13oejrYum8t4p4AMl/view?usp=drivesdk" TargetMode="External"/><Relationship Id="rId5980" Type="http://schemas.openxmlformats.org/officeDocument/2006/relationships/hyperlink" Target="https://drive.google.com/file/d/19q2M1Dk6YP2GuLCSDcsRshLh5Z5iJn9-/view?usp=drivesdk" TargetMode="External"/><Relationship Id="rId3322" Type="http://schemas.openxmlformats.org/officeDocument/2006/relationships/hyperlink" Target="https://drive.google.com/file/d/1YXEAfXoPL4ndp_SMsibSY81rJzZmDdPs/view?usp=drivesdk" TargetMode="External"/><Relationship Id="rId4653" Type="http://schemas.openxmlformats.org/officeDocument/2006/relationships/hyperlink" Target="https://drive.google.com/file/d/1cGvdbMDhHQT1g40rVJtIuaqwc33wjkzs/view?usp=drivesdk" TargetMode="External"/><Relationship Id="rId5985" Type="http://schemas.openxmlformats.org/officeDocument/2006/relationships/hyperlink" Target="https://drive.google.com/file/d/1Dj_5_zqzyRP3Ty6eFsAGt_Cl6dFTnYrp/view?usp=drivesdk" TargetMode="External"/><Relationship Id="rId3321" Type="http://schemas.openxmlformats.org/officeDocument/2006/relationships/hyperlink" Target="https://drive.google.com/file/d/1k_kYv4K3d0L8o2iiXCWP-ujcNPeGd9o6/view?usp=drivesdk" TargetMode="External"/><Relationship Id="rId4652" Type="http://schemas.openxmlformats.org/officeDocument/2006/relationships/hyperlink" Target="https://drive.google.com/file/d/16xsP5DooiLo1ty_JZ9L6xyxuSiyvX3ep/view?usp=drivesdk" TargetMode="External"/><Relationship Id="rId5986" Type="http://schemas.openxmlformats.org/officeDocument/2006/relationships/hyperlink" Target="https://drive.google.com/file/d/1N1xn3B6MCtZBG36eUwj9-y08R5dTaTCA/view?usp=drivesdk" TargetMode="External"/><Relationship Id="rId3324" Type="http://schemas.openxmlformats.org/officeDocument/2006/relationships/hyperlink" Target="https://drive.google.com/file/d/1nY5V5bfqg9CsXtjE8TQ7MRpc6kYxmMSa/view?usp=drivesdk" TargetMode="External"/><Relationship Id="rId4655" Type="http://schemas.openxmlformats.org/officeDocument/2006/relationships/hyperlink" Target="https://drive.google.com/file/d/1eC7I21p_ivup4Cbvh_opislh6dtu_kEQ/view?usp=drivesdk" TargetMode="External"/><Relationship Id="rId5983" Type="http://schemas.openxmlformats.org/officeDocument/2006/relationships/hyperlink" Target="https://drive.google.com/file/d/1KQyKtBmtUQGI3gJ5SnIg7NkZI6jsGY_z/view?usp=drivesdk" TargetMode="External"/><Relationship Id="rId3323" Type="http://schemas.openxmlformats.org/officeDocument/2006/relationships/hyperlink" Target="https://drive.google.com/file/d/1b_dJMpAtFmPYtw8rwSl1my6r2YXAdrVe/view?usp=drivesdk" TargetMode="External"/><Relationship Id="rId4654" Type="http://schemas.openxmlformats.org/officeDocument/2006/relationships/hyperlink" Target="https://drive.google.com/file/d/1nsEYrHucrPW_XqeguNrOt26Km36ny09E/view?usp=drivesdk" TargetMode="External"/><Relationship Id="rId5984" Type="http://schemas.openxmlformats.org/officeDocument/2006/relationships/hyperlink" Target="https://drive.google.com/file/d/1maZdRtEPVskT_mfiszbHhEYS6pI7OGmz/view?usp=drivesdk" TargetMode="External"/><Relationship Id="rId2090" Type="http://schemas.openxmlformats.org/officeDocument/2006/relationships/hyperlink" Target="https://drive.google.com/file/d/1OtfU9eHfUrwYVC6vj46V9q8JgY7WxoC5/view?usp=drivesdk" TargetMode="External"/><Relationship Id="rId2091" Type="http://schemas.openxmlformats.org/officeDocument/2006/relationships/hyperlink" Target="https://drive.google.com/file/d/1H7g84Ifhey0ARfoejYB4DR-9jpB1HKVl/view?usp=drivesdk" TargetMode="External"/><Relationship Id="rId2092" Type="http://schemas.openxmlformats.org/officeDocument/2006/relationships/hyperlink" Target="https://drive.google.com/file/d/1DSW8RnuP1LcjIoWqZE6jWTxRzctaMM3S/view?usp=drivesdk" TargetMode="External"/><Relationship Id="rId2093" Type="http://schemas.openxmlformats.org/officeDocument/2006/relationships/hyperlink" Target="https://drive.google.com/file/d/1fZnqmpdeiwfMsB1ESNz_SbhnyXrX1l9P/view?usp=drivesdk" TargetMode="External"/><Relationship Id="rId2094" Type="http://schemas.openxmlformats.org/officeDocument/2006/relationships/hyperlink" Target="https://drive.google.com/file/d/1PqEGViZrCpUNQPN6zzkNCMP_bueHvD4w/view?usp=drivesdk" TargetMode="External"/><Relationship Id="rId2095" Type="http://schemas.openxmlformats.org/officeDocument/2006/relationships/hyperlink" Target="https://drive.google.com/file/d/1oUYvTmSP5n1rQhnaOQt7gmeZIBZ32Axq/view?usp=drivesdk" TargetMode="External"/><Relationship Id="rId2096" Type="http://schemas.openxmlformats.org/officeDocument/2006/relationships/hyperlink" Target="https://drive.google.com/file/d/1szmkO28P8Wl9TXW8zD-Mp4tJ_nX1bJEN/view?usp=drivesdk" TargetMode="External"/><Relationship Id="rId2097" Type="http://schemas.openxmlformats.org/officeDocument/2006/relationships/hyperlink" Target="https://drive.google.com/file/d/13ztqaa-_zB5Zr4xGe4d19nr0a91KUSqc/view?usp=drivesdk" TargetMode="External"/><Relationship Id="rId2098" Type="http://schemas.openxmlformats.org/officeDocument/2006/relationships/hyperlink" Target="https://drive.google.com/file/d/1tpa5RbZwOTgyaOEbC2aDAgQGdieIx2bm/view?usp=drivesdk" TargetMode="External"/><Relationship Id="rId2099" Type="http://schemas.openxmlformats.org/officeDocument/2006/relationships/hyperlink" Target="https://drive.google.com/file/d/127PrakLOhgODF4sQ0k_TsoVzFnKQ6oSB/view?usp=drivesdk" TargetMode="External"/><Relationship Id="rId3391" Type="http://schemas.openxmlformats.org/officeDocument/2006/relationships/hyperlink" Target="https://drive.google.com/file/d/1-WYTpy6_0DIjtInKIEXrsDJ8LDkT4oZw/view?usp=drivesdk" TargetMode="External"/><Relationship Id="rId2060" Type="http://schemas.openxmlformats.org/officeDocument/2006/relationships/hyperlink" Target="https://drive.google.com/file/d/1QGKcnsJKzPJGJGWzFqiiA5IRRNbv17eF/view?usp=drivesdk" TargetMode="External"/><Relationship Id="rId3390" Type="http://schemas.openxmlformats.org/officeDocument/2006/relationships/hyperlink" Target="https://drive.google.com/file/d/1pXId8c0x6KpDP99THEgzSVPYc4D-s5MP/view?usp=drivesdk" TargetMode="External"/><Relationship Id="rId2061" Type="http://schemas.openxmlformats.org/officeDocument/2006/relationships/hyperlink" Target="https://drive.google.com/file/d/1nZtF_LVEc1QZfw9F_DT9UlENCBszgjvi/view?usp=drivesdk" TargetMode="External"/><Relationship Id="rId3393" Type="http://schemas.openxmlformats.org/officeDocument/2006/relationships/hyperlink" Target="https://drive.google.com/file/d/1JK3wSiH038AndKi2-YQ8M2kWH-E1HSNO/view?usp=drivesdk" TargetMode="External"/><Relationship Id="rId2062" Type="http://schemas.openxmlformats.org/officeDocument/2006/relationships/hyperlink" Target="https://drive.google.com/file/d/18a7ShNfhKKQzwmyPrpM0ZOHpErq5Z-8W/view?usp=drivesdk" TargetMode="External"/><Relationship Id="rId3392" Type="http://schemas.openxmlformats.org/officeDocument/2006/relationships/hyperlink" Target="https://drive.google.com/file/d/1pMjAnSVQjiSOhTETzEhRnZKFVJNqB8Hz/view?usp=drivesdk" TargetMode="External"/><Relationship Id="rId2063" Type="http://schemas.openxmlformats.org/officeDocument/2006/relationships/hyperlink" Target="https://drive.google.com/file/d/1TwV6aG9BejOfXw4FBcdxcU2EyJicU7_p/view?usp=drivesdk" TargetMode="External"/><Relationship Id="rId3395" Type="http://schemas.openxmlformats.org/officeDocument/2006/relationships/hyperlink" Target="https://drive.google.com/file/d/1bHF1gxjXsY2qABh0wWySQXmPlEibwBgq/view?usp=drivesdk" TargetMode="External"/><Relationship Id="rId2064" Type="http://schemas.openxmlformats.org/officeDocument/2006/relationships/hyperlink" Target="https://drive.google.com/file/d/1_w4E6OXBFA9tPciGe11xhkHHQXpINcC-/view?usp=drivesdk" TargetMode="External"/><Relationship Id="rId3394" Type="http://schemas.openxmlformats.org/officeDocument/2006/relationships/hyperlink" Target="https://drive.google.com/file/d/1A33T9RaXdpjRofDBKN-fu2q-Nk5lfU31/view?usp=drivesdk" TargetMode="External"/><Relationship Id="rId2065" Type="http://schemas.openxmlformats.org/officeDocument/2006/relationships/hyperlink" Target="https://drive.google.com/file/d/15yy7yn7A3IrRr9XwJzFeirQc7rHDmehg/view?usp=drivesdk" TargetMode="External"/><Relationship Id="rId3397" Type="http://schemas.openxmlformats.org/officeDocument/2006/relationships/hyperlink" Target="https://drive.google.com/file/d/1WBMKIcJnzNEo2qMpqBtWP1el8F1Rhj4G/view?usp=drivesdk" TargetMode="External"/><Relationship Id="rId2066" Type="http://schemas.openxmlformats.org/officeDocument/2006/relationships/hyperlink" Target="https://drive.google.com/file/d/1Vbd5KHAXuyyUaxQOHnEdiFg65juHh227/view?usp=drivesdk" TargetMode="External"/><Relationship Id="rId3396" Type="http://schemas.openxmlformats.org/officeDocument/2006/relationships/hyperlink" Target="https://drive.google.com/file/d/1QEK8RjvSKpkIld87ir_ZvsViwyHSdt7C/view?usp=drivesdk" TargetMode="External"/><Relationship Id="rId2067" Type="http://schemas.openxmlformats.org/officeDocument/2006/relationships/hyperlink" Target="https://drive.google.com/file/d/1hKOSHdJfxaaHzOGkmz-wV3yBLsMNeBbQ/view?usp=drivesdk" TargetMode="External"/><Relationship Id="rId3399" Type="http://schemas.openxmlformats.org/officeDocument/2006/relationships/hyperlink" Target="https://drive.google.com/file/d/17pPi9w1l24SDxSIdIz2FWUie3Oy8jZii/view?usp=drivesdk" TargetMode="External"/><Relationship Id="rId2068" Type="http://schemas.openxmlformats.org/officeDocument/2006/relationships/hyperlink" Target="https://drive.google.com/file/d/1cpgmgQVeP8PvuimT-2N9it42_yf_cM3F/view?usp=drivesdk" TargetMode="External"/><Relationship Id="rId3398" Type="http://schemas.openxmlformats.org/officeDocument/2006/relationships/hyperlink" Target="https://drive.google.com/file/d/1gHi7XTXUgSzjeljZy7qBT3_8PjYsMG8d/view?usp=drivesdk" TargetMode="External"/><Relationship Id="rId2069" Type="http://schemas.openxmlformats.org/officeDocument/2006/relationships/hyperlink" Target="https://drive.google.com/file/d/1RuEHuoNDT6UQiOJcCZr1RLYdBzHASzoV/view?usp=drivesdk" TargetMode="External"/><Relationship Id="rId3380" Type="http://schemas.openxmlformats.org/officeDocument/2006/relationships/hyperlink" Target="https://drive.google.com/file/d/12d_JY_XOSBuN4ZgfHyJKSrz7SeJzl-Dj/view?usp=drivesdk" TargetMode="External"/><Relationship Id="rId2050" Type="http://schemas.openxmlformats.org/officeDocument/2006/relationships/hyperlink" Target="https://drive.google.com/file/d/1wNDN0Rg040d-8rC8CFy-YT_jCys8H-a8/view?usp=drivesdk" TargetMode="External"/><Relationship Id="rId3382" Type="http://schemas.openxmlformats.org/officeDocument/2006/relationships/hyperlink" Target="https://drive.google.com/file/d/1kkzH78aYYZb-QdpV0mg8VIlHBxx-eZPo/view?usp=drivesdk" TargetMode="External"/><Relationship Id="rId2051" Type="http://schemas.openxmlformats.org/officeDocument/2006/relationships/hyperlink" Target="https://drive.google.com/file/d/1C2e_VxtZKpKk4oOskeUwOvNPzk6a5SwC/view?usp=drivesdk" TargetMode="External"/><Relationship Id="rId3381" Type="http://schemas.openxmlformats.org/officeDocument/2006/relationships/hyperlink" Target="https://drive.google.com/file/d/1zsTzGI3w-xkYngbobwHrqONbhcOe5Edp/view?usp=drivesdk" TargetMode="External"/><Relationship Id="rId2052" Type="http://schemas.openxmlformats.org/officeDocument/2006/relationships/hyperlink" Target="https://drive.google.com/file/d/1QOu-ylrSa4JdqztBwfPC4XxDuu9ZRev6/view?usp=drivesdk" TargetMode="External"/><Relationship Id="rId3384" Type="http://schemas.openxmlformats.org/officeDocument/2006/relationships/hyperlink" Target="https://drive.google.com/file/d/11Sf7_vpjTW6L9vQzu1lxZ0WP5oGaq3jM/view?usp=drivesdk" TargetMode="External"/><Relationship Id="rId2053" Type="http://schemas.openxmlformats.org/officeDocument/2006/relationships/hyperlink" Target="https://drive.google.com/file/d/1yvAC8DLFNAEfbtdkmoRxxH_0lYkqSree/view?usp=drivesdk" TargetMode="External"/><Relationship Id="rId3383" Type="http://schemas.openxmlformats.org/officeDocument/2006/relationships/hyperlink" Target="https://drive.google.com/file/d/1Ogfez6pfoRjsvI5zuH0pwaNVLGK77k7b/view?usp=drivesdk" TargetMode="External"/><Relationship Id="rId2054" Type="http://schemas.openxmlformats.org/officeDocument/2006/relationships/hyperlink" Target="https://drive.google.com/file/d/1Jc_Qik7jAJ-GSMgBIiC7uuJzU7w1aTNj/view?usp=drivesdk" TargetMode="External"/><Relationship Id="rId3386" Type="http://schemas.openxmlformats.org/officeDocument/2006/relationships/hyperlink" Target="https://drive.google.com/file/d/1VkAgHsYpd22yZ3m_mattzHNGNg3AdPNs/view?usp=drivesdk" TargetMode="External"/><Relationship Id="rId2055" Type="http://schemas.openxmlformats.org/officeDocument/2006/relationships/hyperlink" Target="https://drive.google.com/file/d/1EOGlSaZpdB9Rsms9PXjxtiw-PWsoCf9-/view?usp=drivesdk" TargetMode="External"/><Relationship Id="rId3385" Type="http://schemas.openxmlformats.org/officeDocument/2006/relationships/hyperlink" Target="https://drive.google.com/file/d/1RSyyhIzJpr0nWvesQWkIVncVTwZMwE_G/view?usp=drivesdk" TargetMode="External"/><Relationship Id="rId2056" Type="http://schemas.openxmlformats.org/officeDocument/2006/relationships/hyperlink" Target="https://drive.google.com/file/d/1e-qhhQhQK66sYTAfiQJErPhOKHb5k3Bv/view?usp=drivesdk" TargetMode="External"/><Relationship Id="rId3388" Type="http://schemas.openxmlformats.org/officeDocument/2006/relationships/hyperlink" Target="https://drive.google.com/file/d/1E-VbbN5aDHjoacH8a-ijI_zugk8AQhon/view?usp=drivesdk" TargetMode="External"/><Relationship Id="rId2057" Type="http://schemas.openxmlformats.org/officeDocument/2006/relationships/hyperlink" Target="https://drive.google.com/file/d/1wR1FZHNCPAFDSYmvL64Yz0C-fGPJA-Sm/view?usp=drivesdk" TargetMode="External"/><Relationship Id="rId3387" Type="http://schemas.openxmlformats.org/officeDocument/2006/relationships/hyperlink" Target="https://drive.google.com/file/d/19ZJuUvANQk9j3JuyLBhFHeRNhf0r2bad/view?usp=drivesdk" TargetMode="External"/><Relationship Id="rId2058" Type="http://schemas.openxmlformats.org/officeDocument/2006/relationships/hyperlink" Target="https://drive.google.com/file/d/1ybe1bOeflnAGNJa0e--mE5fQUASdMAn5/view?usp=drivesdk" TargetMode="External"/><Relationship Id="rId2059" Type="http://schemas.openxmlformats.org/officeDocument/2006/relationships/hyperlink" Target="https://drive.google.com/file/d/1gKzm0o7vcW7r62Y7uAYf4P99l3w954h3/view?usp=drivesdk" TargetMode="External"/><Relationship Id="rId3389" Type="http://schemas.openxmlformats.org/officeDocument/2006/relationships/hyperlink" Target="https://drive.google.com/file/d/1NXXPkK4mzWDvPH_3ET1pV4VRmBfZ-KPT/view?usp=drivesdk" TargetMode="External"/><Relationship Id="rId2080" Type="http://schemas.openxmlformats.org/officeDocument/2006/relationships/hyperlink" Target="https://drive.google.com/file/d/1pD3nlqpoOUFrpEXV-gjXqtxBONnHnk_v/view?usp=drivesdk" TargetMode="External"/><Relationship Id="rId2081" Type="http://schemas.openxmlformats.org/officeDocument/2006/relationships/hyperlink" Target="https://drive.google.com/file/d/1Hg9pWIbhBAF_E15AdqCtk4--jKEMl9h0/view?usp=drivesdk" TargetMode="External"/><Relationship Id="rId2082" Type="http://schemas.openxmlformats.org/officeDocument/2006/relationships/hyperlink" Target="https://drive.google.com/file/d/1dDrlsG0fwJO2t_tTwkhZhzhuZSvGsYD-/view?usp=drivesdk" TargetMode="External"/><Relationship Id="rId2083" Type="http://schemas.openxmlformats.org/officeDocument/2006/relationships/hyperlink" Target="https://drive.google.com/file/d/10o-e3C4TqEvhcbK7BDO8XAp4y24Ynwmm/view?usp=drivesdk" TargetMode="External"/><Relationship Id="rId2084" Type="http://schemas.openxmlformats.org/officeDocument/2006/relationships/hyperlink" Target="https://drive.google.com/file/d/1rjJumA7ILp-Eb2dTUbmboOUTxXHAQwKJ/view?usp=drivesdk" TargetMode="External"/><Relationship Id="rId2085" Type="http://schemas.openxmlformats.org/officeDocument/2006/relationships/hyperlink" Target="https://drive.google.com/file/d/1cuIkbMgjwNf8JNzCm_NwyGBCa2UUZkPp/view?usp=drivesdk" TargetMode="External"/><Relationship Id="rId2086" Type="http://schemas.openxmlformats.org/officeDocument/2006/relationships/hyperlink" Target="https://drive.google.com/file/d/1CoPPNgR3z4glmYkHbjYaE8t4AHS2JbWO/view?usp=drivesdk" TargetMode="External"/><Relationship Id="rId2087" Type="http://schemas.openxmlformats.org/officeDocument/2006/relationships/hyperlink" Target="https://drive.google.com/file/d/1pKpZ_Yu03lHTrw-XMR8vqM70fF15-CfN/view?usp=drivesdk" TargetMode="External"/><Relationship Id="rId2088" Type="http://schemas.openxmlformats.org/officeDocument/2006/relationships/hyperlink" Target="https://drive.google.com/file/d/1LmX-jfZLhyDpbaSUd2rxy4RVEs1QT8s9/view?usp=drivesdk" TargetMode="External"/><Relationship Id="rId2089" Type="http://schemas.openxmlformats.org/officeDocument/2006/relationships/hyperlink" Target="https://drive.google.com/file/d/171EDK7kPUNsBJkAXvwPtiR86sPd5KNg6/view?usp=drivesdk" TargetMode="External"/><Relationship Id="rId2070" Type="http://schemas.openxmlformats.org/officeDocument/2006/relationships/hyperlink" Target="https://drive.google.com/file/d/19UyccxNu3SKOB5hDNkrxqciH8Ws2aYSh/view?usp=drivesdk" TargetMode="External"/><Relationship Id="rId2071" Type="http://schemas.openxmlformats.org/officeDocument/2006/relationships/hyperlink" Target="https://drive.google.com/file/d/1FomIbA9Oth0ih8GtAAd1mn1nYC181OiZ/view?usp=drivesdk" TargetMode="External"/><Relationship Id="rId2072" Type="http://schemas.openxmlformats.org/officeDocument/2006/relationships/hyperlink" Target="https://drive.google.com/file/d/10GkPc89_NjGpMpN7yvcOINj2IQ8IT9cx/view?usp=drivesdk" TargetMode="External"/><Relationship Id="rId2073" Type="http://schemas.openxmlformats.org/officeDocument/2006/relationships/hyperlink" Target="https://drive.google.com/file/d/1MkvDvqszJOUFGztT25zvT2MNEzkon90R/view?usp=drivesdk" TargetMode="External"/><Relationship Id="rId2074" Type="http://schemas.openxmlformats.org/officeDocument/2006/relationships/hyperlink" Target="https://drive.google.com/file/d/1_FoayqJVMcbJ4RpnptpngNY3xtvGTkx7/view?usp=drivesdk" TargetMode="External"/><Relationship Id="rId2075" Type="http://schemas.openxmlformats.org/officeDocument/2006/relationships/hyperlink" Target="https://drive.google.com/file/d/1OYyVnyleeC_hQKGcpMxCjA47DUTJ22fp/view?usp=drivesdk" TargetMode="External"/><Relationship Id="rId2076" Type="http://schemas.openxmlformats.org/officeDocument/2006/relationships/hyperlink" Target="https://drive.google.com/file/d/1trGPymbZ4zDnUgS-w1mkRVBoX1ABR9-R/view?usp=drivesdk" TargetMode="External"/><Relationship Id="rId2077" Type="http://schemas.openxmlformats.org/officeDocument/2006/relationships/hyperlink" Target="https://drive.google.com/file/d/1tv1V6s_CwfqTKFBG16HRS5Q2sxi1ixVm/view?usp=drivesdk" TargetMode="External"/><Relationship Id="rId2078" Type="http://schemas.openxmlformats.org/officeDocument/2006/relationships/hyperlink" Target="https://drive.google.com/file/d/1k83ACQRnS7KRaADCwd-O_g6tR4YrGS09/view?usp=drivesdk" TargetMode="External"/><Relationship Id="rId2079" Type="http://schemas.openxmlformats.org/officeDocument/2006/relationships/hyperlink" Target="https://drive.google.com/file/d/1qnjrGyz_H0UrzWhyvIQAMArk-TBChTOE/view?usp=drivesdk" TargetMode="External"/><Relationship Id="rId8240" Type="http://schemas.openxmlformats.org/officeDocument/2006/relationships/hyperlink" Target="https://drive.google.com/file/d/1eywBANkyxUWxxHkrtmHY32Z5RBR_vgVO/view?usp=drivesdk" TargetMode="External"/><Relationship Id="rId8244" Type="http://schemas.openxmlformats.org/officeDocument/2006/relationships/hyperlink" Target="https://drive.google.com/file/d/1d4gnZ8mDwnNpoQeJbAF0Qe8HcuCOO0Zb/view?usp=drivesdk" TargetMode="External"/><Relationship Id="rId8243" Type="http://schemas.openxmlformats.org/officeDocument/2006/relationships/hyperlink" Target="https://drive.google.com/file/d/1p9CgoHlqsIGGPEjH5TZ7U7jOLs6FbtI0/view?usp=drivesdk" TargetMode="External"/><Relationship Id="rId8242" Type="http://schemas.openxmlformats.org/officeDocument/2006/relationships/hyperlink" Target="https://drive.google.com/file/d/1IU5DwGTNoCpoUET0WBtwM2VDwDOpWdC4/view?usp=drivesdk" TargetMode="External"/><Relationship Id="rId8241" Type="http://schemas.openxmlformats.org/officeDocument/2006/relationships/hyperlink" Target="https://drive.google.com/file/d/1Y8zGtzuGW8YoBJ1MRjk0bNKRHBjzZJLH/view?usp=drivesdk" TargetMode="External"/><Relationship Id="rId8248" Type="http://schemas.openxmlformats.org/officeDocument/2006/relationships/hyperlink" Target="https://drive.google.com/file/d/18cOev0ZUBByJRAO908fH6WqflwINuHgJ/view?usp=drivesdk" TargetMode="External"/><Relationship Id="rId8247" Type="http://schemas.openxmlformats.org/officeDocument/2006/relationships/hyperlink" Target="https://drive.google.com/file/d/19RdFyCcX6QqZbN_tYyjXkAsOPVk-a2z4/view?usp=drivesdk" TargetMode="External"/><Relationship Id="rId8246" Type="http://schemas.openxmlformats.org/officeDocument/2006/relationships/hyperlink" Target="https://drive.google.com/file/d/1jW0E4tZNcS1DEDHnLPyWItDVaN6ldUGm/view?usp=drivesdk" TargetMode="External"/><Relationship Id="rId8245" Type="http://schemas.openxmlformats.org/officeDocument/2006/relationships/hyperlink" Target="https://drive.google.com/file/d/1k9crhruWtOOTgUxEDiRXvrHe_cd7TPzd/view?usp=drivesdk" TargetMode="External"/><Relationship Id="rId8249" Type="http://schemas.openxmlformats.org/officeDocument/2006/relationships/hyperlink" Target="https://drive.google.com/file/d/1S2ZCa1s9R-680qNUReozThROSAgP1-Jw/view?usp=drivesdk" TargetMode="External"/><Relationship Id="rId8233" Type="http://schemas.openxmlformats.org/officeDocument/2006/relationships/hyperlink" Target="https://drive.google.com/file/d/1n-XFITc7iwaV_CNSA1kWrhZJMF9J43_F/view?usp=drivesdk" TargetMode="External"/><Relationship Id="rId8232" Type="http://schemas.openxmlformats.org/officeDocument/2006/relationships/hyperlink" Target="https://drive.google.com/file/d/13kSDmCmq5WMvK2KTHlWZAWzg_3XSLgeq/view?usp=drivesdk" TargetMode="External"/><Relationship Id="rId8231" Type="http://schemas.openxmlformats.org/officeDocument/2006/relationships/hyperlink" Target="https://drive.google.com/file/d/1YnBzTIqvxQB7FPdx3xQwMu9L4swlCXCG/view?usp=drivesdk" TargetMode="External"/><Relationship Id="rId8230" Type="http://schemas.openxmlformats.org/officeDocument/2006/relationships/hyperlink" Target="https://drive.google.com/file/d/16DwY0yVZA9Qa2J7l3Ld5_Fiz2jEyEF6d/view?usp=drivesdk" TargetMode="External"/><Relationship Id="rId8237" Type="http://schemas.openxmlformats.org/officeDocument/2006/relationships/hyperlink" Target="https://drive.google.com/file/d/11fH2tAlMiklJmtpuDwz1OEMSEdfwg9Fc/view?usp=drivesdk" TargetMode="External"/><Relationship Id="rId8236" Type="http://schemas.openxmlformats.org/officeDocument/2006/relationships/hyperlink" Target="https://drive.google.com/file/d/1mTTjGgqBTm8xLp18YzsWVwXTss6qq8V2/view?usp=drivesdk" TargetMode="External"/><Relationship Id="rId8235" Type="http://schemas.openxmlformats.org/officeDocument/2006/relationships/hyperlink" Target="https://drive.google.com/file/d/1Q1Db3Cprcu8BC2snEzKIz7K31mn5n1G5/view?usp=drivesdk" TargetMode="External"/><Relationship Id="rId8234" Type="http://schemas.openxmlformats.org/officeDocument/2006/relationships/hyperlink" Target="https://drive.google.com/file/d/1K-tD0ek352dFs02ESZSWVOQcEx-YKDDF/view?usp=drivesdk" TargetMode="External"/><Relationship Id="rId8239" Type="http://schemas.openxmlformats.org/officeDocument/2006/relationships/hyperlink" Target="https://drive.google.com/file/d/1Zo4sjBPTw5FED6OtQab9EvoHlWmg1yHW/view?usp=drivesdk" TargetMode="External"/><Relationship Id="rId8238" Type="http://schemas.openxmlformats.org/officeDocument/2006/relationships/hyperlink" Target="https://drive.google.com/file/d/1a4tjjjBWTPeHH94sT8yH6cwxQKo_Oh7z/view?usp=drivesdk" TargetMode="External"/><Relationship Id="rId8262" Type="http://schemas.openxmlformats.org/officeDocument/2006/relationships/hyperlink" Target="https://drive.google.com/file/d/1W92pC2SOmJ27lk8OkcpnsN5XUHmPCuXY/view?usp=drivesdk" TargetMode="External"/><Relationship Id="rId8261" Type="http://schemas.openxmlformats.org/officeDocument/2006/relationships/hyperlink" Target="https://drive.google.com/file/d/1k0fEZC-MHbn4N2o-CKvsep2vIxjExvGk/view?usp=drivesdk" TargetMode="External"/><Relationship Id="rId8260" Type="http://schemas.openxmlformats.org/officeDocument/2006/relationships/hyperlink" Target="https://drive.google.com/file/d/1q69drXlbLPrbGu7fuSi9rSpghMTG1nwr/view?usp=drivesdk" TargetMode="External"/><Relationship Id="rId8266" Type="http://schemas.openxmlformats.org/officeDocument/2006/relationships/hyperlink" Target="https://drive.google.com/file/d/1Qbku7T3NMJzaFjGwq-OlhqJtN3tN7lcM/view?usp=drivesdk" TargetMode="External"/><Relationship Id="rId8265" Type="http://schemas.openxmlformats.org/officeDocument/2006/relationships/hyperlink" Target="https://drive.google.com/file/d/1_xBNkvLvs6roy2VUA27LhXSq6yC3Odrf/view?usp=drivesdk" TargetMode="External"/><Relationship Id="rId8264" Type="http://schemas.openxmlformats.org/officeDocument/2006/relationships/hyperlink" Target="https://drive.google.com/file/d/1PaHzQIXYyJaz1FPos9JDid7dbCcVB4WL/view?usp=drivesdk" TargetMode="External"/><Relationship Id="rId8263" Type="http://schemas.openxmlformats.org/officeDocument/2006/relationships/hyperlink" Target="https://drive.google.com/file/d/1GtqzFMHUi5nPhldlBR3zBLUui6prH-OB/view?usp=drivesdk" TargetMode="External"/><Relationship Id="rId8269" Type="http://schemas.openxmlformats.org/officeDocument/2006/relationships/hyperlink" Target="https://drive.google.com/file/d/1mWcLatEAjbhsKQIAOpyimFeR7wuyaUoZ/view?usp=drivesdk" TargetMode="External"/><Relationship Id="rId8268" Type="http://schemas.openxmlformats.org/officeDocument/2006/relationships/hyperlink" Target="https://drive.google.com/file/d/1qjKZMFLbw1oUghB-SOd6fF_6WOjhGHV2/view?usp=drivesdk" TargetMode="External"/><Relationship Id="rId8267" Type="http://schemas.openxmlformats.org/officeDocument/2006/relationships/hyperlink" Target="https://drive.google.com/file/d/1EnoCnlMI0_vLotSaYPOK7ET_B25JXdQ2/view?usp=drivesdk" TargetMode="External"/><Relationship Id="rId8251" Type="http://schemas.openxmlformats.org/officeDocument/2006/relationships/hyperlink" Target="https://drive.google.com/file/d/1_anjf7bP5Zz-eBuOz6q4wgUibp6cOTDk/view?usp=drivesdk" TargetMode="External"/><Relationship Id="rId8250" Type="http://schemas.openxmlformats.org/officeDocument/2006/relationships/hyperlink" Target="https://drive.google.com/file/d/1PMzd5qMJPAa-yTf1-fghv1ZHzvKxmJnR/view?usp=drivesdk" TargetMode="External"/><Relationship Id="rId8255" Type="http://schemas.openxmlformats.org/officeDocument/2006/relationships/hyperlink" Target="https://drive.google.com/file/d/1fsyHNqvJzE44VMqYjVRL986Scqq3aZLy/view?usp=drivesdk" TargetMode="External"/><Relationship Id="rId8254" Type="http://schemas.openxmlformats.org/officeDocument/2006/relationships/hyperlink" Target="https://drive.google.com/file/d/1tC1xIsYXdf48JfON3nBTsz__STyoU9JF/view?usp=drivesdk" TargetMode="External"/><Relationship Id="rId8253" Type="http://schemas.openxmlformats.org/officeDocument/2006/relationships/hyperlink" Target="https://drive.google.com/file/d/11G23BJVsvJvbv0cGY-7DcavRCPtXGf6y/view?usp=drivesdk" TargetMode="External"/><Relationship Id="rId8252" Type="http://schemas.openxmlformats.org/officeDocument/2006/relationships/hyperlink" Target="https://drive.google.com/file/d/16qvZO05_hCW6T9f9HRhtBjGoEfCQIBBW/view?usp=drivesdk" TargetMode="External"/><Relationship Id="rId8259" Type="http://schemas.openxmlformats.org/officeDocument/2006/relationships/hyperlink" Target="https://drive.google.com/file/d/1X2lmG9FckRAbtWgcrNqLhY7HDtNLMwrc/view?usp=drivesdk" TargetMode="External"/><Relationship Id="rId8258" Type="http://schemas.openxmlformats.org/officeDocument/2006/relationships/hyperlink" Target="https://drive.google.com/file/d/1k9cFII7VAYKvpFWuvZOEtYWDybmxb55o/view?usp=drivesdk" TargetMode="External"/><Relationship Id="rId8257" Type="http://schemas.openxmlformats.org/officeDocument/2006/relationships/hyperlink" Target="https://drive.google.com/file/d/1GDraq1sYTBf8GczYc2-EXVc5WP1BgJen/view?usp=drivesdk" TargetMode="External"/><Relationship Id="rId8256" Type="http://schemas.openxmlformats.org/officeDocument/2006/relationships/hyperlink" Target="https://drive.google.com/file/d/1-1TeuSdD3aWL5_rQqHoWf9ur5Dt46gRi/view?usp=drivesdk" TargetMode="External"/><Relationship Id="rId8209" Type="http://schemas.openxmlformats.org/officeDocument/2006/relationships/hyperlink" Target="https://drive.google.com/file/d/1pW9UneqrjOHGDCGQsgIIAYSf43WlL-iM/view?usp=drivesdk" TargetMode="External"/><Relationship Id="rId8200" Type="http://schemas.openxmlformats.org/officeDocument/2006/relationships/hyperlink" Target="https://drive.google.com/file/d/19QYRB-oC6U8zsxec7XQGv1oY2yFmKPuJ/view?usp=drivesdk" TargetMode="External"/><Relationship Id="rId8204" Type="http://schemas.openxmlformats.org/officeDocument/2006/relationships/hyperlink" Target="https://drive.google.com/file/d/1Bm4KU4U0YRNuEHYEc8neGRNCMU_WAcKB/view?usp=drivesdk" TargetMode="External"/><Relationship Id="rId8203" Type="http://schemas.openxmlformats.org/officeDocument/2006/relationships/hyperlink" Target="https://drive.google.com/file/d/1DcG0V_k4bOLqa85doyMRtRqWn8__vknK/view?usp=drivesdk" TargetMode="External"/><Relationship Id="rId8202" Type="http://schemas.openxmlformats.org/officeDocument/2006/relationships/hyperlink" Target="https://drive.google.com/file/d/1ZlQdRqB_HTWXY2Ut0vyos-dU1PdfUKb3/view?usp=drivesdk" TargetMode="External"/><Relationship Id="rId8201" Type="http://schemas.openxmlformats.org/officeDocument/2006/relationships/hyperlink" Target="https://drive.google.com/file/d/1Yum6Uwo8sQ-Oh33L2LEoqhRRA0WDyGTg/view?usp=drivesdk" TargetMode="External"/><Relationship Id="rId8208" Type="http://schemas.openxmlformats.org/officeDocument/2006/relationships/hyperlink" Target="https://drive.google.com/file/d/1ddwlT-YazhByuMsaGxCeTmF9jmSBASDk/view?usp=drivesdk" TargetMode="External"/><Relationship Id="rId8207" Type="http://schemas.openxmlformats.org/officeDocument/2006/relationships/hyperlink" Target="https://drive.google.com/file/d/1AK0nXwHDqsVpPSzzZxdW-FG8QmpdSr6z/view?usp=drivesdk" TargetMode="External"/><Relationship Id="rId8206" Type="http://schemas.openxmlformats.org/officeDocument/2006/relationships/hyperlink" Target="https://drive.google.com/file/d/1UZxZpBtnrKOgyCY_Wy8F_Nn2bCO9atE7/view?usp=drivesdk" TargetMode="External"/><Relationship Id="rId8205" Type="http://schemas.openxmlformats.org/officeDocument/2006/relationships/hyperlink" Target="https://drive.google.com/file/d/1KNBW_NMNvZXFEeBv4n1fZfdtDzs5gCbC/view?usp=drivesdk" TargetMode="External"/><Relationship Id="rId8222" Type="http://schemas.openxmlformats.org/officeDocument/2006/relationships/hyperlink" Target="https://drive.google.com/file/d/1BSixTUStPPAJYCVzxo87fvLs8HybrNTC/view?usp=drivesdk" TargetMode="External"/><Relationship Id="rId8221" Type="http://schemas.openxmlformats.org/officeDocument/2006/relationships/hyperlink" Target="https://drive.google.com/file/d/18ctSLBMnyXnBMgVknf0cQIEzjo0Gl7H_/view?usp=drivesdk" TargetMode="External"/><Relationship Id="rId8220" Type="http://schemas.openxmlformats.org/officeDocument/2006/relationships/hyperlink" Target="https://drive.google.com/file/d/1zKkkxAZo1871TNn4sVJWmW9y8GklCDn4/view?usp=drivesdk" TargetMode="External"/><Relationship Id="rId8226" Type="http://schemas.openxmlformats.org/officeDocument/2006/relationships/hyperlink" Target="https://drive.google.com/file/d/1PNb1kSxuDEmglVUVaI1kK9_QDU4RqlGz/view?usp=drivesdk" TargetMode="External"/><Relationship Id="rId8225" Type="http://schemas.openxmlformats.org/officeDocument/2006/relationships/hyperlink" Target="https://drive.google.com/file/d/1kFa-UAvfhKNrrvH3crsvpQLH_LyWa-SC/view?usp=drivesdk" TargetMode="External"/><Relationship Id="rId8224" Type="http://schemas.openxmlformats.org/officeDocument/2006/relationships/hyperlink" Target="https://drive.google.com/file/d/1TRUVSNBbbqe2rUuMZIDM3g-NjnacDyCY/view?usp=drivesdk" TargetMode="External"/><Relationship Id="rId8223" Type="http://schemas.openxmlformats.org/officeDocument/2006/relationships/hyperlink" Target="https://drive.google.com/file/d/1JVp_4o6ghUhgVbqmeM3t6mvlyie9kKjB/view?usp=drivesdk" TargetMode="External"/><Relationship Id="rId8229" Type="http://schemas.openxmlformats.org/officeDocument/2006/relationships/hyperlink" Target="https://drive.google.com/file/d/18d_yRTaIONA3EGA4_W4x62A-BGKRKCdP/view?usp=drivesdk" TargetMode="External"/><Relationship Id="rId8228" Type="http://schemas.openxmlformats.org/officeDocument/2006/relationships/hyperlink" Target="https://drive.google.com/file/d/1Qemt0A495hFeMSsmFg3s_jPHZI9K8xxR/view?usp=drivesdk" TargetMode="External"/><Relationship Id="rId8227" Type="http://schemas.openxmlformats.org/officeDocument/2006/relationships/hyperlink" Target="https://drive.google.com/file/d/1X6OW_ekpp6g-MUphpI3ivD3X48FyOyRY/view?usp=drivesdk" TargetMode="External"/><Relationship Id="rId8211" Type="http://schemas.openxmlformats.org/officeDocument/2006/relationships/hyperlink" Target="https://drive.google.com/file/d/1a4Kj7hGmLrwnPFMmyRaf4q2q6eKXFSiW/view?usp=drivesdk" TargetMode="External"/><Relationship Id="rId8210" Type="http://schemas.openxmlformats.org/officeDocument/2006/relationships/hyperlink" Target="https://drive.google.com/file/d/1BV0Q_MFHf12Z1rdR_PsKOHKPp65Ja_H-/view?usp=drivesdk" TargetMode="External"/><Relationship Id="rId8215" Type="http://schemas.openxmlformats.org/officeDocument/2006/relationships/hyperlink" Target="https://drive.google.com/file/d/1VsW6gFGTsXaFABYx2rW2QDI5LoTBSdr6/view?usp=drivesdk" TargetMode="External"/><Relationship Id="rId8214" Type="http://schemas.openxmlformats.org/officeDocument/2006/relationships/hyperlink" Target="https://drive.google.com/file/d/1kbvp6sQASkpVZcwTRGn7SV8Tj4JwYSX_/view?usp=drivesdk" TargetMode="External"/><Relationship Id="rId8213" Type="http://schemas.openxmlformats.org/officeDocument/2006/relationships/hyperlink" Target="https://drive.google.com/file/d/1H2v4-IFS8YzKjdbphmEFoDpLoO_Qo3ra/view?usp=drivesdk" TargetMode="External"/><Relationship Id="rId8212" Type="http://schemas.openxmlformats.org/officeDocument/2006/relationships/hyperlink" Target="https://drive.google.com/file/d/1x8wRoEyIkn07DDwGgEMIV1PfGKGkW6Jz/view?usp=drivesdk" TargetMode="External"/><Relationship Id="rId8219" Type="http://schemas.openxmlformats.org/officeDocument/2006/relationships/hyperlink" Target="https://drive.google.com/file/d/1pwYchU9AkZYjfe1buqHXoJY5OUr0-2Wt/view?usp=drivesdk" TargetMode="External"/><Relationship Id="rId8218" Type="http://schemas.openxmlformats.org/officeDocument/2006/relationships/hyperlink" Target="https://drive.google.com/file/d/1obUjHoacG-nX2oCU_0axLZZMTQJmGEr_/view?usp=drivesdk" TargetMode="External"/><Relationship Id="rId8217" Type="http://schemas.openxmlformats.org/officeDocument/2006/relationships/hyperlink" Target="https://drive.google.com/file/d/1FSuAuyxWPB1c1uo_jP1nF7TO6h_g6ReV/view?usp=drivesdk" TargetMode="External"/><Relationship Id="rId8216" Type="http://schemas.openxmlformats.org/officeDocument/2006/relationships/hyperlink" Target="https://drive.google.com/file/d/1BhWBfuZn2I2bH6em1dYz1jgh0dUKleOm/view?usp=drivesdk" TargetMode="External"/><Relationship Id="rId4723" Type="http://schemas.openxmlformats.org/officeDocument/2006/relationships/hyperlink" Target="https://drive.google.com/file/d/11VO3vTT3m6u4KRR4iUlqCtUq2hxP8dLO/view?usp=drivesdk" TargetMode="External"/><Relationship Id="rId4722" Type="http://schemas.openxmlformats.org/officeDocument/2006/relationships/hyperlink" Target="https://drive.google.com/file/d/1KVyQLfaYn3--x8rg8AV7BXxLwA6tP6tH/view?usp=drivesdk" TargetMode="External"/><Relationship Id="rId4725" Type="http://schemas.openxmlformats.org/officeDocument/2006/relationships/hyperlink" Target="https://drive.google.com/file/d/1paK8gBD8-RvTY_jeitxh6dtSr3lsRfyM/view?usp=drivesdk" TargetMode="External"/><Relationship Id="rId4724" Type="http://schemas.openxmlformats.org/officeDocument/2006/relationships/hyperlink" Target="https://drive.google.com/file/d/1M6UJSbxyTqyJehMb9dNKX6kQ4u7kUoIy/view?usp=drivesdk" TargetMode="External"/><Relationship Id="rId4727" Type="http://schemas.openxmlformats.org/officeDocument/2006/relationships/hyperlink" Target="https://drive.google.com/file/d/1tLUya7ZQWfWOGewPxjJnnse0Ff8ptd7G/view?usp=drivesdk" TargetMode="External"/><Relationship Id="rId4726" Type="http://schemas.openxmlformats.org/officeDocument/2006/relationships/hyperlink" Target="https://drive.google.com/file/d/1VA0ekUzBCgHDWDEFAd_0wyeg1TxE0ndv/view?usp=drivesdk" TargetMode="External"/><Relationship Id="rId4729" Type="http://schemas.openxmlformats.org/officeDocument/2006/relationships/hyperlink" Target="https://drive.google.com/file/d/1EHAd9B2COATDZE-G_vWPq3ooyvQPhofv/view?usp=drivesdk" TargetMode="External"/><Relationship Id="rId4728" Type="http://schemas.openxmlformats.org/officeDocument/2006/relationships/hyperlink" Target="https://drive.google.com/file/d/1w12Jf5wSQzclwjLcZHvbKwkpsT5ZRg3b/view?usp=drivesdk" TargetMode="External"/><Relationship Id="rId4721" Type="http://schemas.openxmlformats.org/officeDocument/2006/relationships/hyperlink" Target="https://drive.google.com/file/d/12M4Q-u-YJM-OCM_EcOXA809BQmg1FrDu/view?usp=drivesdk" TargetMode="External"/><Relationship Id="rId4720" Type="http://schemas.openxmlformats.org/officeDocument/2006/relationships/hyperlink" Target="https://drive.google.com/file/d/1GuAnAm_5R1ExcBf0qpMfxu9hN0YSPEkp/view?usp=drivesdk" TargetMode="External"/><Relationship Id="rId4712" Type="http://schemas.openxmlformats.org/officeDocument/2006/relationships/hyperlink" Target="https://drive.google.com/file/d/1UOQ6e7nKKUvV-5y_j7BqtRxMbT868r2K/view?usp=drivesdk" TargetMode="External"/><Relationship Id="rId4711" Type="http://schemas.openxmlformats.org/officeDocument/2006/relationships/hyperlink" Target="https://drive.google.com/file/d/1qUkWuYXruVMj6yrS_hFG_HYtMG29cvq8/view?usp=drivesdk" TargetMode="External"/><Relationship Id="rId4714" Type="http://schemas.openxmlformats.org/officeDocument/2006/relationships/hyperlink" Target="https://drive.google.com/file/d/1sUPxhZXPSrEo51tK2Y_ka1wuw7noTj6B/view?usp=drivesdk" TargetMode="External"/><Relationship Id="rId4713" Type="http://schemas.openxmlformats.org/officeDocument/2006/relationships/hyperlink" Target="https://drive.google.com/file/d/1XiNwweDTC2SDKIVkV0SS3UAGkxhXnQZ8/view?usp=drivesdk" TargetMode="External"/><Relationship Id="rId4716" Type="http://schemas.openxmlformats.org/officeDocument/2006/relationships/hyperlink" Target="https://drive.google.com/file/d/16cVaYWRrscBxazGY2mzdMgB2Y8QCfjG8/view?usp=drivesdk" TargetMode="External"/><Relationship Id="rId4715" Type="http://schemas.openxmlformats.org/officeDocument/2006/relationships/hyperlink" Target="https://drive.google.com/file/d/10V1bhcurppJLz-OTl_tmJEmEz50SRXXV/view?usp=drivesdk" TargetMode="External"/><Relationship Id="rId4718" Type="http://schemas.openxmlformats.org/officeDocument/2006/relationships/hyperlink" Target="https://drive.google.com/file/d/1YCuagmO_2b6DCz5ZkXTKEaj8Y47wAYsK/view?usp=drivesdk" TargetMode="External"/><Relationship Id="rId4717" Type="http://schemas.openxmlformats.org/officeDocument/2006/relationships/hyperlink" Target="https://drive.google.com/file/d/1CYuhDjEuR5RxDxRZjeJ4T4MwlCp8li8J/view?usp=drivesdk" TargetMode="External"/><Relationship Id="rId4719" Type="http://schemas.openxmlformats.org/officeDocument/2006/relationships/hyperlink" Target="https://drive.google.com/file/d/1eaX7-R0_zSFkic0khlHhUjTdYrT2q3sG/view?usp=drivesdk" TargetMode="External"/><Relationship Id="rId4710" Type="http://schemas.openxmlformats.org/officeDocument/2006/relationships/hyperlink" Target="https://drive.google.com/file/d/1rG29kXr4QDuwODrBSDbzgwSasRr41Hwl/view?usp=drivesdk" TargetMode="External"/><Relationship Id="rId3414" Type="http://schemas.openxmlformats.org/officeDocument/2006/relationships/hyperlink" Target="https://drive.google.com/file/d/1IrnJvi8EUu2VeSqAKFIy9Q7f-dlKP3GI/view?usp=drivesdk" TargetMode="External"/><Relationship Id="rId4745" Type="http://schemas.openxmlformats.org/officeDocument/2006/relationships/hyperlink" Target="https://drive.google.com/file/d/11g-FNJRyPWa8R0Ll0Bq_59n2VkTf-Irb/view?usp=drivesdk" TargetMode="External"/><Relationship Id="rId3413" Type="http://schemas.openxmlformats.org/officeDocument/2006/relationships/hyperlink" Target="https://drive.google.com/file/d/19p0Gd5vGkMSqvdavAVcoNFbK7Lbzhn1Q/view?usp=drivesdk" TargetMode="External"/><Relationship Id="rId4744" Type="http://schemas.openxmlformats.org/officeDocument/2006/relationships/hyperlink" Target="https://drive.google.com/file/d/1v2QmEu2w6KI6QPBkgSlPq-zXEOhSk31D/view?usp=drivesdk" TargetMode="External"/><Relationship Id="rId3416" Type="http://schemas.openxmlformats.org/officeDocument/2006/relationships/hyperlink" Target="https://drive.google.com/file/d/11svDGaJp1ZAfheajvRXvFAd4XlfpbNok/view?usp=drivesdk" TargetMode="External"/><Relationship Id="rId4747" Type="http://schemas.openxmlformats.org/officeDocument/2006/relationships/hyperlink" Target="https://drive.google.com/file/d/1oOGVESojWngljZmzGxpPx7jw0XLiIIRe/view?usp=drivesdk" TargetMode="External"/><Relationship Id="rId3415" Type="http://schemas.openxmlformats.org/officeDocument/2006/relationships/hyperlink" Target="https://drive.google.com/file/d/1JpR6FmvY4_vH9PgEASXEsPhenByoUqsB/view?usp=drivesdk" TargetMode="External"/><Relationship Id="rId4746" Type="http://schemas.openxmlformats.org/officeDocument/2006/relationships/hyperlink" Target="https://drive.google.com/file/d/1vxR034WshlDkiqVt6g5YLMScSCQbEcMq/view?usp=drivesdk" TargetMode="External"/><Relationship Id="rId3418" Type="http://schemas.openxmlformats.org/officeDocument/2006/relationships/hyperlink" Target="https://drive.google.com/file/d/11rbJMyFBv-SHtlFEQUwk4L8slGn4bW91/view?usp=drivesdk" TargetMode="External"/><Relationship Id="rId4749" Type="http://schemas.openxmlformats.org/officeDocument/2006/relationships/hyperlink" Target="https://drive.google.com/file/d/1sxmu1QbJuPfL4rWvhzdzoquglP7XCMmR/view?usp=drivesdk" TargetMode="External"/><Relationship Id="rId3417" Type="http://schemas.openxmlformats.org/officeDocument/2006/relationships/hyperlink" Target="https://drive.google.com/file/d/1BUergYR_0ubhM72BAvDr-1mjb_zY47vP/view?usp=drivesdk" TargetMode="External"/><Relationship Id="rId4748" Type="http://schemas.openxmlformats.org/officeDocument/2006/relationships/hyperlink" Target="https://drive.google.com/file/d/1uD2zRX-Qqs9l8cJtk6NEta5hNKCz_hZN/view?usp=drivesdk" TargetMode="External"/><Relationship Id="rId3419" Type="http://schemas.openxmlformats.org/officeDocument/2006/relationships/hyperlink" Target="https://drive.google.com/file/d/1rE4kkSVmj3ebnzwTekXzK-0CkuTn1O7j/view?usp=drivesdk" TargetMode="External"/><Relationship Id="rId3410" Type="http://schemas.openxmlformats.org/officeDocument/2006/relationships/hyperlink" Target="https://drive.google.com/file/d/1HHmmCK_nwi554bYUlm1HXcmU5eUdyn-f/view?usp=drivesdk" TargetMode="External"/><Relationship Id="rId4741" Type="http://schemas.openxmlformats.org/officeDocument/2006/relationships/hyperlink" Target="https://drive.google.com/file/d/16Yzzg6JFdtULc9sqvG1FDsXsQY1Sf6b6/view?usp=drivesdk" TargetMode="External"/><Relationship Id="rId4740" Type="http://schemas.openxmlformats.org/officeDocument/2006/relationships/hyperlink" Target="https://drive.google.com/file/d/1oqzveiUPMzd2-oDfXf2BOVV2oPNKdJJr/view?usp=drivesdk" TargetMode="External"/><Relationship Id="rId3412" Type="http://schemas.openxmlformats.org/officeDocument/2006/relationships/hyperlink" Target="https://drive.google.com/file/d/1k601smTcNbKQRrgw1e4Yeot2L_blratp/view?usp=drivesdk" TargetMode="External"/><Relationship Id="rId4743" Type="http://schemas.openxmlformats.org/officeDocument/2006/relationships/hyperlink" Target="https://drive.google.com/file/d/1wuWGOq0teRjehBuezirpISzvZwD2b6sK/view?usp=drivesdk" TargetMode="External"/><Relationship Id="rId3411" Type="http://schemas.openxmlformats.org/officeDocument/2006/relationships/hyperlink" Target="https://drive.google.com/file/d/1fWUz73IXs1Kx59nYscBMOgMxwHBtGotc/view?usp=drivesdk" TargetMode="External"/><Relationship Id="rId4742" Type="http://schemas.openxmlformats.org/officeDocument/2006/relationships/hyperlink" Target="https://drive.google.com/file/d/1gd3iHF9zq0PNPjpi3X-xjH2xHZWygy7R/view?usp=drivesdk" TargetMode="External"/><Relationship Id="rId3403" Type="http://schemas.openxmlformats.org/officeDocument/2006/relationships/hyperlink" Target="https://drive.google.com/file/d/1veXbIEZexonJwsztDGIQqp_TViVK15Vk/view?usp=drivesdk" TargetMode="External"/><Relationship Id="rId4734" Type="http://schemas.openxmlformats.org/officeDocument/2006/relationships/hyperlink" Target="https://drive.google.com/file/d/1HJu0-x4-aTYKM548VUrdEeQ-smKjs491/view?usp=drivesdk" TargetMode="External"/><Relationship Id="rId3402" Type="http://schemas.openxmlformats.org/officeDocument/2006/relationships/hyperlink" Target="https://drive.google.com/file/d/17t_1KmMgw_Z7DkD1M97GVnofnUCsKMpW/view?usp=drivesdk" TargetMode="External"/><Relationship Id="rId4733" Type="http://schemas.openxmlformats.org/officeDocument/2006/relationships/hyperlink" Target="https://drive.google.com/file/d/1V2lufJKqOBZvW4RcDVc1MgUmmyj-zbXE/view?usp=drivesdk" TargetMode="External"/><Relationship Id="rId3405" Type="http://schemas.openxmlformats.org/officeDocument/2006/relationships/hyperlink" Target="https://drive.google.com/file/d/1_Q-8OizVI7JqPmaL1LV67mJGsoBSoM_v/view?usp=drivesdk" TargetMode="External"/><Relationship Id="rId4736" Type="http://schemas.openxmlformats.org/officeDocument/2006/relationships/hyperlink" Target="https://drive.google.com/file/d/1LkLGHSuZWptnnulTlkij2Eunk4rDWNRx/view?usp=drivesdk" TargetMode="External"/><Relationship Id="rId3404" Type="http://schemas.openxmlformats.org/officeDocument/2006/relationships/hyperlink" Target="https://drive.google.com/file/d/1Y51ODyDGmnwAl2PLXYpB-V37DasBTNCf/view?usp=drivesdk" TargetMode="External"/><Relationship Id="rId4735" Type="http://schemas.openxmlformats.org/officeDocument/2006/relationships/hyperlink" Target="https://drive.google.com/file/d/1UGTT4sX7ntyfLQLNzi9fQyUIKCe52dDc/view?usp=drivesdk" TargetMode="External"/><Relationship Id="rId3407" Type="http://schemas.openxmlformats.org/officeDocument/2006/relationships/hyperlink" Target="https://drive.google.com/file/d/1HiVxRqinI86FTlPfckTrX2clHOzGlKqn/view?usp=drivesdk" TargetMode="External"/><Relationship Id="rId4738" Type="http://schemas.openxmlformats.org/officeDocument/2006/relationships/hyperlink" Target="https://drive.google.com/file/d/1tfQ-zAN8NheklCVMCzt6oLpS7VIcedV4/view?usp=drivesdk" TargetMode="External"/><Relationship Id="rId3406" Type="http://schemas.openxmlformats.org/officeDocument/2006/relationships/hyperlink" Target="https://drive.google.com/file/d/1zNzNq8JTCGalmW1boK96Bu8qEBZS0Ihp/view?usp=drivesdk" TargetMode="External"/><Relationship Id="rId4737" Type="http://schemas.openxmlformats.org/officeDocument/2006/relationships/hyperlink" Target="https://drive.google.com/file/d/1qntFiCcGk2xyb_Wl3LIWk4ODa7uALfoZ/view?usp=drivesdk" TargetMode="External"/><Relationship Id="rId3409" Type="http://schemas.openxmlformats.org/officeDocument/2006/relationships/hyperlink" Target="https://drive.google.com/file/d/1SYoWxCItwZdULEb6E-WHGMJqnyJNOovA/view?usp=drivesdk" TargetMode="External"/><Relationship Id="rId3408" Type="http://schemas.openxmlformats.org/officeDocument/2006/relationships/hyperlink" Target="https://drive.google.com/file/d/1bn2TDEJNqe4Byq8DwB7XX5133RDFh2w7/view?usp=drivesdk" TargetMode="External"/><Relationship Id="rId4739" Type="http://schemas.openxmlformats.org/officeDocument/2006/relationships/hyperlink" Target="https://drive.google.com/file/d/1J7QxcgewxgQoyYYhnqy1sD9w7PdMtvso/view?usp=drivesdk" TargetMode="External"/><Relationship Id="rId4730" Type="http://schemas.openxmlformats.org/officeDocument/2006/relationships/hyperlink" Target="https://drive.google.com/file/d/1TjQo6HDXLArF4nLWdadKpzkckCcaTH4c/view?usp=drivesdk" TargetMode="External"/><Relationship Id="rId3401" Type="http://schemas.openxmlformats.org/officeDocument/2006/relationships/hyperlink" Target="https://drive.google.com/file/d/1J5vMIIBw5aaZ1YFZQDMUz9YAAyObRGAL/view?usp=drivesdk" TargetMode="External"/><Relationship Id="rId4732" Type="http://schemas.openxmlformats.org/officeDocument/2006/relationships/hyperlink" Target="https://drive.google.com/file/d/15VtO_B_HpMWeNhsYv8oHAW36u5SAjWXo/view?usp=drivesdk" TargetMode="External"/><Relationship Id="rId3400" Type="http://schemas.openxmlformats.org/officeDocument/2006/relationships/hyperlink" Target="https://drive.google.com/file/d/1kq7ae6ouUky_YaZUty8_9ZgI4oUSv04m/view?usp=drivesdk" TargetMode="External"/><Relationship Id="rId4731" Type="http://schemas.openxmlformats.org/officeDocument/2006/relationships/hyperlink" Target="https://drive.google.com/file/d/19T9W963_PPKwpowjGVQS2FcnWgWr3H0F/view?usp=drivesdk" TargetMode="External"/><Relationship Id="rId8291" Type="http://schemas.openxmlformats.org/officeDocument/2006/relationships/hyperlink" Target="https://drive.google.com/file/d/1UNQn0ayIchND9sVNsptxkWXZ_5aeZQtB/view?usp=drivesdk" TargetMode="External"/><Relationship Id="rId8290" Type="http://schemas.openxmlformats.org/officeDocument/2006/relationships/hyperlink" Target="https://drive.google.com/file/d/1BNCjg437sRG-TWafmizpwa8DHrhhyLzr/view?usp=drivesdk" TargetMode="External"/><Relationship Id="rId8284" Type="http://schemas.openxmlformats.org/officeDocument/2006/relationships/hyperlink" Target="https://drive.google.com/file/d/1EakOJr3TdoSdjbq0xT2q6Rj0308a-wt6/view?usp=drivesdk" TargetMode="External"/><Relationship Id="rId8283" Type="http://schemas.openxmlformats.org/officeDocument/2006/relationships/hyperlink" Target="https://drive.google.com/file/d/1I8FrubIPeJLW7vteQ19ouaiU5YMhPnum/view?usp=drivesdk" TargetMode="External"/><Relationship Id="rId8282" Type="http://schemas.openxmlformats.org/officeDocument/2006/relationships/hyperlink" Target="https://drive.google.com/file/d/1jqCg9Mtp1_4fbFXNcojerEqEmvVgLfcE/view?usp=drivesdk" TargetMode="External"/><Relationship Id="rId8281" Type="http://schemas.openxmlformats.org/officeDocument/2006/relationships/hyperlink" Target="https://drive.google.com/file/d/1tWHt4DWURDoeuTBPmuTWfkY52reewVx5/view?usp=drivesdk" TargetMode="External"/><Relationship Id="rId8288" Type="http://schemas.openxmlformats.org/officeDocument/2006/relationships/hyperlink" Target="https://drive.google.com/file/d/1fylCXPFk-FwkuKGGJZDfg0oPClOB3lXA/view?usp=drivesdk" TargetMode="External"/><Relationship Id="rId8287" Type="http://schemas.openxmlformats.org/officeDocument/2006/relationships/hyperlink" Target="https://drive.google.com/file/d/17x5as8QIlDQsJvLlsy2YmSeyFnKvpE7C/view?usp=drivesdk" TargetMode="External"/><Relationship Id="rId8286" Type="http://schemas.openxmlformats.org/officeDocument/2006/relationships/hyperlink" Target="https://drive.google.com/file/d/1iYV7eEVW9CoIab2MTFSdmLHNIH3wYkhE/view?usp=drivesdk" TargetMode="External"/><Relationship Id="rId8285" Type="http://schemas.openxmlformats.org/officeDocument/2006/relationships/hyperlink" Target="https://drive.google.com/file/d/1cHmfB_OnZhDUVp8RQHjN0TRK2jomUSl4/view?usp=drivesdk" TargetMode="External"/><Relationship Id="rId8289" Type="http://schemas.openxmlformats.org/officeDocument/2006/relationships/hyperlink" Target="https://drive.google.com/file/d/12oM1mGaVKod1yExmmk_pNqAcfs6leLtT/view?usp=drivesdk" TargetMode="External"/><Relationship Id="rId8280" Type="http://schemas.openxmlformats.org/officeDocument/2006/relationships/hyperlink" Target="https://drive.google.com/file/d/149Uoj_Cn1oPDcRD-673fdbXWUcmFoUbD/view?usp=drivesdk" TargetMode="External"/><Relationship Id="rId8273" Type="http://schemas.openxmlformats.org/officeDocument/2006/relationships/hyperlink" Target="https://drive.google.com/file/d/1kuWB3u_Gsdnf5jwJSzGXmELPElKyjHxn/view?usp=drivesdk" TargetMode="External"/><Relationship Id="rId8272" Type="http://schemas.openxmlformats.org/officeDocument/2006/relationships/hyperlink" Target="https://drive.google.com/file/d/1uePj_tawzBoOhU4VBoT1xa2D29utpGF4/view?usp=drivesdk" TargetMode="External"/><Relationship Id="rId8271" Type="http://schemas.openxmlformats.org/officeDocument/2006/relationships/hyperlink" Target="https://drive.google.com/file/d/11E-tDt_kw5RISpozo1GOLhcv8ptBBg9O/view?usp=drivesdk" TargetMode="External"/><Relationship Id="rId8270" Type="http://schemas.openxmlformats.org/officeDocument/2006/relationships/hyperlink" Target="https://drive.google.com/file/d/1-TykRVMNTmMNpEWOzPPOr5F8XJIZTZ30/view?usp=drivesdk" TargetMode="External"/><Relationship Id="rId8277" Type="http://schemas.openxmlformats.org/officeDocument/2006/relationships/hyperlink" Target="https://drive.google.com/file/d/106s_jogM35qMmYg5e9Xq8_lty_KPWoJY/view?usp=drivesdk" TargetMode="External"/><Relationship Id="rId8276" Type="http://schemas.openxmlformats.org/officeDocument/2006/relationships/hyperlink" Target="https://drive.google.com/file/d/1_uTV4MDVmJzgjBtbp2iU8UaNKZrATY0n/view?usp=drivesdk" TargetMode="External"/><Relationship Id="rId8275" Type="http://schemas.openxmlformats.org/officeDocument/2006/relationships/hyperlink" Target="https://drive.google.com/file/d/1PrO0w77Au_Onv6diCPnpPyTErvW32ZXq/view?usp=drivesdk" TargetMode="External"/><Relationship Id="rId8274" Type="http://schemas.openxmlformats.org/officeDocument/2006/relationships/hyperlink" Target="https://drive.google.com/file/d/1XC7Tx_hpZiZikYwot23E0CFW6Zf9fkU3/view?usp=drivesdk" TargetMode="External"/><Relationship Id="rId8279" Type="http://schemas.openxmlformats.org/officeDocument/2006/relationships/hyperlink" Target="https://drive.google.com/file/d/1gh21b8rdtc4OXAfQteZI6yilnQ7M-Seg/view?usp=drivesdk" TargetMode="External"/><Relationship Id="rId8278" Type="http://schemas.openxmlformats.org/officeDocument/2006/relationships/hyperlink" Target="https://drive.google.com/file/d/1JC1xL4FfSfvyKDvSPqjF-lk9PhTz2TN5/view?usp=drivesdk" TargetMode="External"/><Relationship Id="rId4701" Type="http://schemas.openxmlformats.org/officeDocument/2006/relationships/hyperlink" Target="https://drive.google.com/file/d/1gTAqg3NVEkeH1g4CFhSCSeMqgi4GblTL/view?usp=drivesdk" TargetMode="External"/><Relationship Id="rId4700" Type="http://schemas.openxmlformats.org/officeDocument/2006/relationships/hyperlink" Target="https://drive.google.com/file/d/1zhyUACHairMEH2mFhtlyl0_SxQ9KxrKH/view?usp=drivesdk" TargetMode="External"/><Relationship Id="rId4703" Type="http://schemas.openxmlformats.org/officeDocument/2006/relationships/hyperlink" Target="https://drive.google.com/file/d/1CiOUUKPh_h3DrFjlhzFuvi30em1KFFSe/view?usp=drivesdk" TargetMode="External"/><Relationship Id="rId4702" Type="http://schemas.openxmlformats.org/officeDocument/2006/relationships/hyperlink" Target="https://drive.google.com/file/d/1Bqf5ZPb4mq9_cm_drw0bL1AzTITg_FSI/view?usp=drivesdk" TargetMode="External"/><Relationship Id="rId4705" Type="http://schemas.openxmlformats.org/officeDocument/2006/relationships/hyperlink" Target="https://drive.google.com/file/d/19Gq4lcRsiGIc3UtGEV3-Dqvs-i5F2hFA/view?usp=drivesdk" TargetMode="External"/><Relationship Id="rId4704" Type="http://schemas.openxmlformats.org/officeDocument/2006/relationships/hyperlink" Target="https://drive.google.com/file/d/1YL0Zk6nE4p9zi_DH6b-SpS9nYl_FAQij/view?usp=drivesdk" TargetMode="External"/><Relationship Id="rId4707" Type="http://schemas.openxmlformats.org/officeDocument/2006/relationships/hyperlink" Target="https://drive.google.com/file/d/1BKzaMvbowbdurzS_mYOgKYXYGqjTUahd/view?usp=drivesdk" TargetMode="External"/><Relationship Id="rId4706" Type="http://schemas.openxmlformats.org/officeDocument/2006/relationships/hyperlink" Target="https://drive.google.com/file/d/163AGRakbsQc31h3qFho-Xp3CCSf4ULxX/view?usp=drivesdk" TargetMode="External"/><Relationship Id="rId4709" Type="http://schemas.openxmlformats.org/officeDocument/2006/relationships/hyperlink" Target="https://drive.google.com/file/d/1abmUM4apQfEiR1caEPPrxDJrEUn6zwl2/view?usp=drivesdk" TargetMode="External"/><Relationship Id="rId4708" Type="http://schemas.openxmlformats.org/officeDocument/2006/relationships/hyperlink" Target="https://drive.google.com/file/d/1tMgIFWw1_l8UHZoycDqyruiqVCGExEwt/view?usp=drivesdk" TargetMode="External"/><Relationship Id="rId8295" Type="http://schemas.openxmlformats.org/officeDocument/2006/relationships/hyperlink" Target="https://drive.google.com/file/d/1rMrj1JbhRt9a3p2vXcKtkKWOBpDAHdEG/view?usp=drivesdk" TargetMode="External"/><Relationship Id="rId8294" Type="http://schemas.openxmlformats.org/officeDocument/2006/relationships/hyperlink" Target="https://drive.google.com/file/d/1kyE49ZwahHKNtnWbM7AsmglVf0epYC94/view?usp=drivesdk" TargetMode="External"/><Relationship Id="rId8293" Type="http://schemas.openxmlformats.org/officeDocument/2006/relationships/hyperlink" Target="https://drive.google.com/file/d/1rEXyvP-C4f58kfxv3aeq5xs__c5ZtyVT/view?usp=drivesdk" TargetMode="External"/><Relationship Id="rId8292" Type="http://schemas.openxmlformats.org/officeDocument/2006/relationships/hyperlink" Target="https://drive.google.com/file/d/15RHDBeDMaiV1_NFLvxCcYho5yZHJjPjg/view?usp=drivesdk" TargetMode="External"/><Relationship Id="rId8299" Type="http://schemas.openxmlformats.org/officeDocument/2006/relationships/hyperlink" Target="https://drive.google.com/file/d/1LFQWx3lM8ltYUboqMt0fxC5iZKQoFp03/view?usp=drivesdk" TargetMode="External"/><Relationship Id="rId8298" Type="http://schemas.openxmlformats.org/officeDocument/2006/relationships/hyperlink" Target="https://drive.google.com/file/d/1zl78se0QrxlHGlpThC3V-dgKf9iM_XO1/view?usp=drivesdk" TargetMode="External"/><Relationship Id="rId8297" Type="http://schemas.openxmlformats.org/officeDocument/2006/relationships/hyperlink" Target="https://drive.google.com/file/d/1kIJ9Iqh-_spOjYODOY6Vp1igHBaatHKP/view?usp=drivesdk" TargetMode="External"/><Relationship Id="rId8296" Type="http://schemas.openxmlformats.org/officeDocument/2006/relationships/hyperlink" Target="https://drive.google.com/file/d/1kzj0hA4ZyXehE_dZCKS9nOYqXMGqguZ0/view?usp=drivesdk" TargetMode="External"/><Relationship Id="rId2148" Type="http://schemas.openxmlformats.org/officeDocument/2006/relationships/hyperlink" Target="https://drive.google.com/file/d/19_pDhVx6b2pMJxfT2DiIOCoTRn8O4a5o/view?usp=drivesdk" TargetMode="External"/><Relationship Id="rId2149" Type="http://schemas.openxmlformats.org/officeDocument/2006/relationships/hyperlink" Target="https://drive.google.com/file/d/14A8DTyTZhJ3yvDo_QXWcraRdF17X6c4r/view?usp=drivesdk" TargetMode="External"/><Relationship Id="rId3479" Type="http://schemas.openxmlformats.org/officeDocument/2006/relationships/hyperlink" Target="https://drive.google.com/file/d/1HoTJ9r9ABzqsBEmcpjbIP8K_zdBLIgPG/view?usp=drivesdk" TargetMode="External"/><Relationship Id="rId3470" Type="http://schemas.openxmlformats.org/officeDocument/2006/relationships/hyperlink" Target="https://drive.google.com/file/d/1ANbmw0of3UCQk-lPCVvgXnUG7fcM-QfC/view?usp=drivesdk" TargetMode="External"/><Relationship Id="rId2140" Type="http://schemas.openxmlformats.org/officeDocument/2006/relationships/hyperlink" Target="https://drive.google.com/file/d/1vsOD4F3BY0VlM7uovxkM91b1Yk-8Mpe4/view?usp=drivesdk" TargetMode="External"/><Relationship Id="rId3472" Type="http://schemas.openxmlformats.org/officeDocument/2006/relationships/hyperlink" Target="https://drive.google.com/file/d/150HwHU8QSSWYOLtlPJaABBiTCZhRDXDr/view?usp=drivesdk" TargetMode="External"/><Relationship Id="rId2141" Type="http://schemas.openxmlformats.org/officeDocument/2006/relationships/hyperlink" Target="https://drive.google.com/file/d/1-9QRk5hlKGpDkd6Z3bod6JkIn7dCd0hh/view?usp=drivesdk" TargetMode="External"/><Relationship Id="rId3471" Type="http://schemas.openxmlformats.org/officeDocument/2006/relationships/hyperlink" Target="https://drive.google.com/file/d/14pl0D2v2UaqonlyExqZG5q_KHM9kgAob/view?usp=drivesdk" TargetMode="External"/><Relationship Id="rId2142" Type="http://schemas.openxmlformats.org/officeDocument/2006/relationships/hyperlink" Target="https://drive.google.com/file/d/184yT73aoUPsLEOZopr7ZcEN09bEhYL21/view?usp=drivesdk" TargetMode="External"/><Relationship Id="rId3474" Type="http://schemas.openxmlformats.org/officeDocument/2006/relationships/hyperlink" Target="https://drive.google.com/file/d/1w8u092qlGgeC2o9-9OQXz4NoxbyMLUZw/view?usp=drivesdk" TargetMode="External"/><Relationship Id="rId2143" Type="http://schemas.openxmlformats.org/officeDocument/2006/relationships/hyperlink" Target="https://drive.google.com/file/d/14MBCQ1jRFhqmQGLremowYOiv57hFhKaP/view?usp=drivesdk" TargetMode="External"/><Relationship Id="rId3473" Type="http://schemas.openxmlformats.org/officeDocument/2006/relationships/hyperlink" Target="https://drive.google.com/file/d/1ZIIIv__W662xf1Xp9mY16O6nkYHZE_We/view?usp=drivesdk" TargetMode="External"/><Relationship Id="rId2144" Type="http://schemas.openxmlformats.org/officeDocument/2006/relationships/hyperlink" Target="https://drive.google.com/file/d/1MF9I_0nP7oVLjKO7zcH9SP2oSUVR1rni/view?usp=drivesdk" TargetMode="External"/><Relationship Id="rId3476" Type="http://schemas.openxmlformats.org/officeDocument/2006/relationships/hyperlink" Target="https://drive.google.com/file/d/1xjQYAD1ecVBmbA-5SvnJTWbIPw6vvlDF/view?usp=drivesdk" TargetMode="External"/><Relationship Id="rId2145" Type="http://schemas.openxmlformats.org/officeDocument/2006/relationships/hyperlink" Target="https://drive.google.com/file/d/179hU_fNAgY5TNM0EdtyAq3b-whX_6MtR/view?usp=drivesdk" TargetMode="External"/><Relationship Id="rId3475" Type="http://schemas.openxmlformats.org/officeDocument/2006/relationships/hyperlink" Target="https://drive.google.com/file/d/1M5_zmQfaxLf9GquHXSVv4bfU9xEK6u9q/view?usp=drivesdk" TargetMode="External"/><Relationship Id="rId2146" Type="http://schemas.openxmlformats.org/officeDocument/2006/relationships/hyperlink" Target="https://drive.google.com/file/d/1xwZqDt7Zi3BkHEKgiZCI5tdHkXfOKVvv/view?usp=drivesdk" TargetMode="External"/><Relationship Id="rId3478" Type="http://schemas.openxmlformats.org/officeDocument/2006/relationships/hyperlink" Target="https://drive.google.com/file/d/1jTFV-P-NGWPgkhvKVU3FKjGtCd5oQYr6/view?usp=drivesdk" TargetMode="External"/><Relationship Id="rId2147" Type="http://schemas.openxmlformats.org/officeDocument/2006/relationships/hyperlink" Target="https://drive.google.com/file/d/1nffpvW6NRJHZ7aHZXXDntOsHxo63ylya/view?usp=drivesdk" TargetMode="External"/><Relationship Id="rId3477" Type="http://schemas.openxmlformats.org/officeDocument/2006/relationships/hyperlink" Target="https://drive.google.com/file/d/1sSF8ChpqpzQTJUXgAQKpJFTiZ9wmgmXM/view?usp=drivesdk" TargetMode="External"/><Relationship Id="rId2137" Type="http://schemas.openxmlformats.org/officeDocument/2006/relationships/hyperlink" Target="https://drive.google.com/file/d/1R0TklRGlbqJhE5ctTNLAs_sbdmOfHVD6/view?usp=drivesdk" TargetMode="External"/><Relationship Id="rId3469" Type="http://schemas.openxmlformats.org/officeDocument/2006/relationships/hyperlink" Target="https://drive.google.com/file/d/1ljGGxr3TFHu3SbAjCEOQFOnrxH01KVD7/view?usp=drivesdk" TargetMode="External"/><Relationship Id="rId2138" Type="http://schemas.openxmlformats.org/officeDocument/2006/relationships/hyperlink" Target="https://drive.google.com/file/d/1teybSQNlcAPl0l2ZncQdz9cO9DKd7cAg/view?usp=drivesdk" TargetMode="External"/><Relationship Id="rId3468" Type="http://schemas.openxmlformats.org/officeDocument/2006/relationships/hyperlink" Target="https://drive.google.com/file/d/1quAsAYTsPf8ZTS3aM1IwTQk9wiJvZBV9/view?usp=drivesdk" TargetMode="External"/><Relationship Id="rId4799" Type="http://schemas.openxmlformats.org/officeDocument/2006/relationships/hyperlink" Target="https://drive.google.com/file/d/1UXTXKjphjnOeru7Jeoc-MxpmIVoXcjnA/view?usp=drivesdk" TargetMode="External"/><Relationship Id="rId2139" Type="http://schemas.openxmlformats.org/officeDocument/2006/relationships/hyperlink" Target="https://drive.google.com/file/d/1sSVgPjXW9bYPe1Rjl8fE84nwGu6TH-WO/view?usp=drivesdk" TargetMode="External"/><Relationship Id="rId4790" Type="http://schemas.openxmlformats.org/officeDocument/2006/relationships/hyperlink" Target="https://drive.google.com/file/d/1xRyi7mRqdeqN8DSyvP_d9HW5II-UUZIk/view?usp=drivesdk" TargetMode="External"/><Relationship Id="rId3461" Type="http://schemas.openxmlformats.org/officeDocument/2006/relationships/hyperlink" Target="https://drive.google.com/file/d/1TrZBezZdtW-ftUciTQHwMY5ZB50eaL9q/view?usp=drivesdk" TargetMode="External"/><Relationship Id="rId4792" Type="http://schemas.openxmlformats.org/officeDocument/2006/relationships/hyperlink" Target="https://drive.google.com/file/d/1qRy_TPhXuMyle9cmz3uO7Zg87Amw_CW9/view?usp=drivesdk" TargetMode="External"/><Relationship Id="rId2130" Type="http://schemas.openxmlformats.org/officeDocument/2006/relationships/hyperlink" Target="https://drive.google.com/file/d/1SfgPBi3bJ3-i7QCuv5Bye0jxeM4jMldS/view?usp=drivesdk" TargetMode="External"/><Relationship Id="rId3460" Type="http://schemas.openxmlformats.org/officeDocument/2006/relationships/hyperlink" Target="https://drive.google.com/file/d/1pz9MVzKGFAN6Rv3C7SSjj_8uF061IkDJ/view?usp=drivesdk" TargetMode="External"/><Relationship Id="rId4791" Type="http://schemas.openxmlformats.org/officeDocument/2006/relationships/hyperlink" Target="https://drive.google.com/file/d/1CWxvDJpmHEODBZ4kYEvy8h4fpUl_8P2X/view?usp=drivesdk" TargetMode="External"/><Relationship Id="rId2131" Type="http://schemas.openxmlformats.org/officeDocument/2006/relationships/hyperlink" Target="https://drive.google.com/file/d/1k-87W8EQdN_vQR6z-SWScx-cWrsRMiYl/view?usp=drivesdk" TargetMode="External"/><Relationship Id="rId3463" Type="http://schemas.openxmlformats.org/officeDocument/2006/relationships/hyperlink" Target="https://drive.google.com/file/d/11H7uR_lsIVJhSWRyM247J3eNsPze5l3b/view?usp=drivesdk" TargetMode="External"/><Relationship Id="rId4794" Type="http://schemas.openxmlformats.org/officeDocument/2006/relationships/hyperlink" Target="https://drive.google.com/file/d/1LC2-UcydEyH9IL2nYrQMpTDLB79z17aA/view?usp=drivesdk" TargetMode="External"/><Relationship Id="rId2132" Type="http://schemas.openxmlformats.org/officeDocument/2006/relationships/hyperlink" Target="https://drive.google.com/file/d/14dFiVqI37VK7TJi3mCo-Zy8ak2_zF9wN/view?usp=drivesdk" TargetMode="External"/><Relationship Id="rId3462" Type="http://schemas.openxmlformats.org/officeDocument/2006/relationships/hyperlink" Target="https://drive.google.com/file/d/1qybNKr7TW0j756Cp04jwP2CjG6sRNoRg/view?usp=drivesdk" TargetMode="External"/><Relationship Id="rId4793" Type="http://schemas.openxmlformats.org/officeDocument/2006/relationships/hyperlink" Target="https://drive.google.com/file/d/1TTdD8ubc5fTADo8IGl88RVLuNQPHUI9Z/view?usp=drivesdk" TargetMode="External"/><Relationship Id="rId2133" Type="http://schemas.openxmlformats.org/officeDocument/2006/relationships/hyperlink" Target="https://drive.google.com/file/d/1GsfBYdqo-cKIKqO0J0V15-OirjsSlujW/view?usp=drivesdk" TargetMode="External"/><Relationship Id="rId3465" Type="http://schemas.openxmlformats.org/officeDocument/2006/relationships/hyperlink" Target="https://drive.google.com/file/d/18Bb56JJn5kcfQX3XElzcpt_lqMxDEWef/view?usp=drivesdk" TargetMode="External"/><Relationship Id="rId4796" Type="http://schemas.openxmlformats.org/officeDocument/2006/relationships/hyperlink" Target="https://drive.google.com/file/d/1PcxcrDkHoI4vRtMXJdtGCNMzUKh2Jsf2/view?usp=drivesdk" TargetMode="External"/><Relationship Id="rId2134" Type="http://schemas.openxmlformats.org/officeDocument/2006/relationships/hyperlink" Target="https://drive.google.com/file/d/1a4FY8GeQIXzUxop2eYz5jccapW2j6WNJ/view?usp=drivesdk" TargetMode="External"/><Relationship Id="rId3464" Type="http://schemas.openxmlformats.org/officeDocument/2006/relationships/hyperlink" Target="https://drive.google.com/file/d/1ypMDm4ovpnSdGNmiws3c7CXsExYJLBwF/view?usp=drivesdk" TargetMode="External"/><Relationship Id="rId4795" Type="http://schemas.openxmlformats.org/officeDocument/2006/relationships/hyperlink" Target="https://drive.google.com/file/d/12fhIUQKUZ7HePelIICxOMkO41ySVcXuz/view?usp=drivesdk" TargetMode="External"/><Relationship Id="rId2135" Type="http://schemas.openxmlformats.org/officeDocument/2006/relationships/hyperlink" Target="https://drive.google.com/file/d/1T9DiP8GQQZbw1RU863V9W7dkEflj_ddR/view?usp=drivesdk" TargetMode="External"/><Relationship Id="rId3467" Type="http://schemas.openxmlformats.org/officeDocument/2006/relationships/hyperlink" Target="https://drive.google.com/file/d/1i3o-IBQfYwKrA6Up_SxBLoQIQZAIOFJi/view?usp=drivesdk" TargetMode="External"/><Relationship Id="rId4798" Type="http://schemas.openxmlformats.org/officeDocument/2006/relationships/hyperlink" Target="https://drive.google.com/file/d/1BophhUVcacrA5jgmNd_sDQVwwghPYgpk/view?usp=drivesdk" TargetMode="External"/><Relationship Id="rId2136" Type="http://schemas.openxmlformats.org/officeDocument/2006/relationships/hyperlink" Target="https://drive.google.com/file/d/1FoOSCAGUF1n04lnSsVDMTQf8SJiZDy-8/view?usp=drivesdk" TargetMode="External"/><Relationship Id="rId3466" Type="http://schemas.openxmlformats.org/officeDocument/2006/relationships/hyperlink" Target="https://drive.google.com/file/d/1n1cQaO8ooAVZ_r--y1KKKiGfUn4VvaD5/view?usp=drivesdk" TargetMode="External"/><Relationship Id="rId4797" Type="http://schemas.openxmlformats.org/officeDocument/2006/relationships/hyperlink" Target="https://drive.google.com/file/d/1VgoQ__mbqPZAgSdd6Fqli3vxtOzU69yz/view?usp=drivesdk" TargetMode="External"/><Relationship Id="rId3490" Type="http://schemas.openxmlformats.org/officeDocument/2006/relationships/hyperlink" Target="https://drive.google.com/file/d/1kI1x-3Qg6ESIQc3OUEUtfyTdCGX-aLwe/view?usp=drivesdk" TargetMode="External"/><Relationship Id="rId2160" Type="http://schemas.openxmlformats.org/officeDocument/2006/relationships/hyperlink" Target="https://drive.google.com/file/d/1EgG-tBASCX_EUmkzqGam6W3JOK8uz3wD/view?usp=drivesdk" TargetMode="External"/><Relationship Id="rId3492" Type="http://schemas.openxmlformats.org/officeDocument/2006/relationships/hyperlink" Target="https://drive.google.com/file/d/1LxBmesyPNmZIk7w2H5fyoBa5rzroBbZ6/view?usp=drivesdk" TargetMode="External"/><Relationship Id="rId2161" Type="http://schemas.openxmlformats.org/officeDocument/2006/relationships/hyperlink" Target="https://drive.google.com/file/d/1fVQhbKHee3d7TACI4Z4ZrJMGv_fimB6p/view?usp=drivesdk" TargetMode="External"/><Relationship Id="rId3491" Type="http://schemas.openxmlformats.org/officeDocument/2006/relationships/hyperlink" Target="https://drive.google.com/file/d/1t0OtxmVXdxb3vQFf7mpKCgliIkoK9gfW/view?usp=drivesdk" TargetMode="External"/><Relationship Id="rId2162" Type="http://schemas.openxmlformats.org/officeDocument/2006/relationships/hyperlink" Target="https://drive.google.com/file/d/1C6YQkaa2G-6u8DJatU9Gzg16UMk7C78V/view?usp=drivesdk" TargetMode="External"/><Relationship Id="rId3494" Type="http://schemas.openxmlformats.org/officeDocument/2006/relationships/hyperlink" Target="https://drive.google.com/file/d/1LMTtyO6nVZLBcrdfIet5Uxp6lqUnLoud/view?usp=drivesdk" TargetMode="External"/><Relationship Id="rId2163" Type="http://schemas.openxmlformats.org/officeDocument/2006/relationships/hyperlink" Target="https://drive.google.com/file/d/17B1EkX1_kRBL3fBg25W7lYj4VTg-K5pZ/view?usp=drivesdk" TargetMode="External"/><Relationship Id="rId3493" Type="http://schemas.openxmlformats.org/officeDocument/2006/relationships/hyperlink" Target="https://drive.google.com/file/d/1UWW3BbqFyx_LP9kYiEJELQi8RkiW708s/view?usp=drivesdk" TargetMode="External"/><Relationship Id="rId2164" Type="http://schemas.openxmlformats.org/officeDocument/2006/relationships/hyperlink" Target="https://drive.google.com/file/d/1BdDeCVKea64i1gT4Lj1PzsIw-DjMcSQa/view?usp=drivesdk" TargetMode="External"/><Relationship Id="rId3496" Type="http://schemas.openxmlformats.org/officeDocument/2006/relationships/hyperlink" Target="https://drive.google.com/file/d/1EC1qRycAQcqi1lC3rrYGFw3gv7_oSVj8/view?usp=drivesdk" TargetMode="External"/><Relationship Id="rId2165" Type="http://schemas.openxmlformats.org/officeDocument/2006/relationships/hyperlink" Target="https://drive.google.com/file/d/1Dn05mYJNNJ5_UMnvpBLQBMmtDPAPjgQ8/view?usp=drivesdk" TargetMode="External"/><Relationship Id="rId3495" Type="http://schemas.openxmlformats.org/officeDocument/2006/relationships/hyperlink" Target="https://drive.google.com/file/d/1PjTEZZ4UXH0I8pOKbN2rd-gTtw5DmKcb/view?usp=drivesdk" TargetMode="External"/><Relationship Id="rId2166" Type="http://schemas.openxmlformats.org/officeDocument/2006/relationships/hyperlink" Target="https://drive.google.com/file/d/1WHUD02XtWRA3s_VaBGa1Yj_XBZHiKDIb/view?usp=drivesdk" TargetMode="External"/><Relationship Id="rId3498" Type="http://schemas.openxmlformats.org/officeDocument/2006/relationships/hyperlink" Target="https://drive.google.com/file/d/1TGDLm4e_a28hXqGdukYfKw4M_wAvxBLF/view?usp=drivesdk" TargetMode="External"/><Relationship Id="rId2167" Type="http://schemas.openxmlformats.org/officeDocument/2006/relationships/hyperlink" Target="https://drive.google.com/file/d/1Ejw0xM-h7jKbtr5QlPiYEEgdY8KDgQe6/view?usp=drivesdk" TargetMode="External"/><Relationship Id="rId3497" Type="http://schemas.openxmlformats.org/officeDocument/2006/relationships/hyperlink" Target="https://drive.google.com/file/d/1OtDSEHx9PVWQ_kPyu4h8DMQHk6v1-_R_/view?usp=drivesdk" TargetMode="External"/><Relationship Id="rId2168" Type="http://schemas.openxmlformats.org/officeDocument/2006/relationships/hyperlink" Target="https://drive.google.com/file/d/10U5RJSWWAzln2roJXK-vp4CmfHtN0C8B/view?usp=drivesdk" TargetMode="External"/><Relationship Id="rId2169" Type="http://schemas.openxmlformats.org/officeDocument/2006/relationships/hyperlink" Target="https://drive.google.com/file/d/1Kag1gwUMImmkWGTHPY6CKIgxglhlSPbc/view?usp=drivesdk" TargetMode="External"/><Relationship Id="rId3499" Type="http://schemas.openxmlformats.org/officeDocument/2006/relationships/hyperlink" Target="https://drive.google.com/file/d/1-Gmzl7Pdenxpnr04kShCztZRkimpPFTV/view?usp=drivesdk" TargetMode="External"/><Relationship Id="rId2159" Type="http://schemas.openxmlformats.org/officeDocument/2006/relationships/hyperlink" Target="https://drive.google.com/file/d/1Jm2aCDUyORrUQaYnOQtoSh7nahfmFJk5/view?usp=drivesdk" TargetMode="External"/><Relationship Id="rId3481" Type="http://schemas.openxmlformats.org/officeDocument/2006/relationships/hyperlink" Target="https://drive.google.com/file/d/1OgmEY29kf570CYCc36_RDuD-hxil4dB_/view?usp=drivesdk" TargetMode="External"/><Relationship Id="rId2150" Type="http://schemas.openxmlformats.org/officeDocument/2006/relationships/hyperlink" Target="https://drive.google.com/file/d/1rHaGnuLJuNmCP5E7uDQ7RNO7GUK_sEX2/view?usp=drivesdk" TargetMode="External"/><Relationship Id="rId3480" Type="http://schemas.openxmlformats.org/officeDocument/2006/relationships/hyperlink" Target="https://drive.google.com/file/d/1icgk_b7IIktR0gql2pJ3fhSQeupKla-k/view?usp=drivesdk" TargetMode="External"/><Relationship Id="rId2151" Type="http://schemas.openxmlformats.org/officeDocument/2006/relationships/hyperlink" Target="https://drive.google.com/file/d/1M1FFBd78N89t7YAXlHHsw_6iM6HY_vt4/view?usp=drivesdk" TargetMode="External"/><Relationship Id="rId3483" Type="http://schemas.openxmlformats.org/officeDocument/2006/relationships/hyperlink" Target="https://drive.google.com/file/d/1CnG2kZWvX-WWG0JP5MddsuaM6AWQmtvZ/view?usp=drivesdk" TargetMode="External"/><Relationship Id="rId2152" Type="http://schemas.openxmlformats.org/officeDocument/2006/relationships/hyperlink" Target="https://drive.google.com/file/d/1NCof7L5sx-ny_VQlIbjqjixYRNKnq4zO/view?usp=drivesdk" TargetMode="External"/><Relationship Id="rId3482" Type="http://schemas.openxmlformats.org/officeDocument/2006/relationships/hyperlink" Target="https://drive.google.com/file/d/1CLnitvdSTcx3imGI8XHt5qvWOrgZWhUp/view?usp=drivesdk" TargetMode="External"/><Relationship Id="rId2153" Type="http://schemas.openxmlformats.org/officeDocument/2006/relationships/hyperlink" Target="https://drive.google.com/file/d/1ewLw1qcHhb0_PAX36tivygUxGcp2De6A/view?usp=drivesdk" TargetMode="External"/><Relationship Id="rId3485" Type="http://schemas.openxmlformats.org/officeDocument/2006/relationships/hyperlink" Target="https://drive.google.com/file/d/1pSmBDHlT2AWu0OcVNDTE39ipXf7AhbRq/view?usp=drivesdk" TargetMode="External"/><Relationship Id="rId2154" Type="http://schemas.openxmlformats.org/officeDocument/2006/relationships/hyperlink" Target="https://drive.google.com/file/d/1yKA9uW34A18CA4qhWbjUh4ThHIYAIaEj/view?usp=drivesdk" TargetMode="External"/><Relationship Id="rId3484" Type="http://schemas.openxmlformats.org/officeDocument/2006/relationships/hyperlink" Target="https://drive.google.com/file/d/1GoBfKDWSxD8qrojVI_AZCYSpMpBDoDxf/view?usp=drivesdk" TargetMode="External"/><Relationship Id="rId2155" Type="http://schemas.openxmlformats.org/officeDocument/2006/relationships/hyperlink" Target="https://drive.google.com/file/d/17C9v66Rc_IDhfFcnltglTqEHM1vkcxOq/view?usp=drivesdk" TargetMode="External"/><Relationship Id="rId3487" Type="http://schemas.openxmlformats.org/officeDocument/2006/relationships/hyperlink" Target="https://drive.google.com/file/d/1ktuhm3ZNpi0CKl_KGATnhengbAlqSZP7/view?usp=drivesdk" TargetMode="External"/><Relationship Id="rId2156" Type="http://schemas.openxmlformats.org/officeDocument/2006/relationships/hyperlink" Target="https://drive.google.com/file/d/1AqA3dCJSGJJkIwdvotjtdN1BMO881mEQ/view?usp=drivesdk" TargetMode="External"/><Relationship Id="rId3486" Type="http://schemas.openxmlformats.org/officeDocument/2006/relationships/hyperlink" Target="https://drive.google.com/file/d/1pCgKCopzShTqTLQKzXva7LfotcKXwkPX/view?usp=drivesdk" TargetMode="External"/><Relationship Id="rId2157" Type="http://schemas.openxmlformats.org/officeDocument/2006/relationships/hyperlink" Target="https://drive.google.com/file/d/1Jf7U-YKD9VW41xY13tq-Ke-xVooZFMH7/view?usp=drivesdk" TargetMode="External"/><Relationship Id="rId3489" Type="http://schemas.openxmlformats.org/officeDocument/2006/relationships/hyperlink" Target="https://drive.google.com/file/d/1O-qdYd5CEsrsOWfzSPj67fouhU7v64SF/view?usp=drivesdk" TargetMode="External"/><Relationship Id="rId2158" Type="http://schemas.openxmlformats.org/officeDocument/2006/relationships/hyperlink" Target="https://drive.google.com/file/d/1el8Cd-lj1Dt8cgxCbtMea8Ww_NvJYDnr/view?usp=drivesdk" TargetMode="External"/><Relationship Id="rId3488" Type="http://schemas.openxmlformats.org/officeDocument/2006/relationships/hyperlink" Target="https://drive.google.com/file/d/1dhycuwzj0kdgQ4ikxFXq58MfuSCRyYLG/view?usp=drivesdk" TargetMode="External"/><Relationship Id="rId2104" Type="http://schemas.openxmlformats.org/officeDocument/2006/relationships/hyperlink" Target="https://drive.google.com/file/d/1QAHrYDNvtCnjVinWh8SEM5N1jE-gLcyX/view?usp=drivesdk" TargetMode="External"/><Relationship Id="rId3436" Type="http://schemas.openxmlformats.org/officeDocument/2006/relationships/hyperlink" Target="https://drive.google.com/file/d/1OrhbFrHPK9cz5B53II78a8QFqliCiA73/view?usp=drivesdk" TargetMode="External"/><Relationship Id="rId4767" Type="http://schemas.openxmlformats.org/officeDocument/2006/relationships/hyperlink" Target="https://drive.google.com/file/d/1nSq9gMUv8t5yKrLSFRypfujX0zBGgPZJ/view?usp=drivesdk" TargetMode="External"/><Relationship Id="rId2105" Type="http://schemas.openxmlformats.org/officeDocument/2006/relationships/hyperlink" Target="https://drive.google.com/file/d/1MFjLdt1Y9aKn-MuBdZyxUcyqfEkZ4h-o/view?usp=drivesdk" TargetMode="External"/><Relationship Id="rId3435" Type="http://schemas.openxmlformats.org/officeDocument/2006/relationships/hyperlink" Target="https://drive.google.com/file/d/1LvBNimLTVFey_9IZ-I4K_HHT5y7dsm98/view?usp=drivesdk" TargetMode="External"/><Relationship Id="rId4766" Type="http://schemas.openxmlformats.org/officeDocument/2006/relationships/hyperlink" Target="https://drive.google.com/file/d/1l602W-hnjgcZSYwElpxY_BbFprzN2DX_/view?usp=drivesdk" TargetMode="External"/><Relationship Id="rId2106" Type="http://schemas.openxmlformats.org/officeDocument/2006/relationships/hyperlink" Target="https://drive.google.com/file/d/1qjk0Epyi-LoRgoXJqL2frkg8n6TgnAjr/view?usp=drivesdk" TargetMode="External"/><Relationship Id="rId3438" Type="http://schemas.openxmlformats.org/officeDocument/2006/relationships/hyperlink" Target="https://drive.google.com/file/d/1ZqQZY-c-rbuLqucSI8P4Ugg-VBztCTcf/view?usp=drivesdk" TargetMode="External"/><Relationship Id="rId4769" Type="http://schemas.openxmlformats.org/officeDocument/2006/relationships/hyperlink" Target="https://drive.google.com/file/d/1mVkcCmozOqPXqbPrdgXVr7RaC0GZPpTC/view?usp=drivesdk" TargetMode="External"/><Relationship Id="rId2107" Type="http://schemas.openxmlformats.org/officeDocument/2006/relationships/hyperlink" Target="https://drive.google.com/file/d/1spz9xdXL0VHU-cK2_Jejie0cl-66oLIO/view?usp=drivesdk" TargetMode="External"/><Relationship Id="rId3437" Type="http://schemas.openxmlformats.org/officeDocument/2006/relationships/hyperlink" Target="https://drive.google.com/file/d/1q3rT0bRsfZu2SlKLnJapwaSqwQ2dhNlj/view?usp=drivesdk" TargetMode="External"/><Relationship Id="rId4768" Type="http://schemas.openxmlformats.org/officeDocument/2006/relationships/hyperlink" Target="https://drive.google.com/file/d/1vyOGW0xYYCfzRwFUSGfLaQI7yYn9uHI8/view?usp=drivesdk" TargetMode="External"/><Relationship Id="rId2108" Type="http://schemas.openxmlformats.org/officeDocument/2006/relationships/hyperlink" Target="https://drive.google.com/file/d/1ca6WVGApYQ3M3terkJWzoSiw_G46cipa/view?usp=drivesdk" TargetMode="External"/><Relationship Id="rId2109" Type="http://schemas.openxmlformats.org/officeDocument/2006/relationships/hyperlink" Target="https://drive.google.com/file/d/1Cbbe69nN7-PSvOJQ8GhTYuszM8KlAQzq/view?usp=drivesdk" TargetMode="External"/><Relationship Id="rId3439" Type="http://schemas.openxmlformats.org/officeDocument/2006/relationships/hyperlink" Target="https://drive.google.com/file/d/1FkP_XWbI5yqLGIeqHCLWsSMVib1uz8cs/view?usp=drivesdk" TargetMode="External"/><Relationship Id="rId3430" Type="http://schemas.openxmlformats.org/officeDocument/2006/relationships/hyperlink" Target="https://drive.google.com/file/d/15X3SOvQla4A6uyOdk8rU8GIqlqiM7hE_/view?usp=drivesdk" TargetMode="External"/><Relationship Id="rId4761" Type="http://schemas.openxmlformats.org/officeDocument/2006/relationships/hyperlink" Target="https://drive.google.com/file/d/1ZV-EfQlZ_8AcJOELJVMQK6tF0S_kDJ2U/view?usp=drivesdk" TargetMode="External"/><Relationship Id="rId4760" Type="http://schemas.openxmlformats.org/officeDocument/2006/relationships/hyperlink" Target="https://drive.google.com/file/d/1qOg-n_6wanSizDuCg12H3q5slfrCO-WH/view?usp=drivesdk" TargetMode="External"/><Relationship Id="rId2100" Type="http://schemas.openxmlformats.org/officeDocument/2006/relationships/hyperlink" Target="https://drive.google.com/file/d/1T44wKA-_l_gne0oOCdw2hAky6ACx625W/view?usp=drivesdk" TargetMode="External"/><Relationship Id="rId3432" Type="http://schemas.openxmlformats.org/officeDocument/2006/relationships/hyperlink" Target="https://drive.google.com/file/d/1B3aGivq5qypDT5eYJnUlIH4T3vP1lQsH/view?usp=drivesdk" TargetMode="External"/><Relationship Id="rId4763" Type="http://schemas.openxmlformats.org/officeDocument/2006/relationships/hyperlink" Target="https://drive.google.com/file/d/1NC58IBz9cS6eqALxykf-PvhrMbso1i_0/view?usp=drivesdk" TargetMode="External"/><Relationship Id="rId2101" Type="http://schemas.openxmlformats.org/officeDocument/2006/relationships/hyperlink" Target="https://drive.google.com/file/d/13XRe4yZrRTmurFx2Jk8I_LICY8rcoIic/view?usp=drivesdk" TargetMode="External"/><Relationship Id="rId3431" Type="http://schemas.openxmlformats.org/officeDocument/2006/relationships/hyperlink" Target="https://drive.google.com/file/d/1ebxSFP8qbNAkMFhbLN4gBUazDyQFXC9w/view?usp=drivesdk" TargetMode="External"/><Relationship Id="rId4762" Type="http://schemas.openxmlformats.org/officeDocument/2006/relationships/hyperlink" Target="https://drive.google.com/file/d/1ssW9YsQNlyTG-o8w430BWwNB2ugUmCNW/view?usp=drivesdk" TargetMode="External"/><Relationship Id="rId2102" Type="http://schemas.openxmlformats.org/officeDocument/2006/relationships/hyperlink" Target="https://drive.google.com/file/d/1PSL2TOfEnPLJX6wITQdhWerzzxAqcc18/view?usp=drivesdk" TargetMode="External"/><Relationship Id="rId3434" Type="http://schemas.openxmlformats.org/officeDocument/2006/relationships/hyperlink" Target="https://drive.google.com/file/d/1RyXnBn_XiIKPGrvUN3EX6iwAD1QOOoup/view?usp=drivesdk" TargetMode="External"/><Relationship Id="rId4765" Type="http://schemas.openxmlformats.org/officeDocument/2006/relationships/hyperlink" Target="https://drive.google.com/file/d/1ytZdK1eef9CfwjWmPu9KsDLZt1gcYBl4/view?usp=drivesdk" TargetMode="External"/><Relationship Id="rId2103" Type="http://schemas.openxmlformats.org/officeDocument/2006/relationships/hyperlink" Target="https://drive.google.com/file/d/1D2Sd3ynklnhEHy_hifCAmK7F4nQYROag/view?usp=drivesdk" TargetMode="External"/><Relationship Id="rId3433" Type="http://schemas.openxmlformats.org/officeDocument/2006/relationships/hyperlink" Target="https://drive.google.com/file/d/13HzKOkVmkT0kfiZPPhftI3EbADZAZOog/view?usp=drivesdk" TargetMode="External"/><Relationship Id="rId4764" Type="http://schemas.openxmlformats.org/officeDocument/2006/relationships/hyperlink" Target="https://drive.google.com/file/d/1KJHMemO-OdWfQEKYoHIoFlgb3wL7PUdo/view?usp=drivesdk" TargetMode="External"/><Relationship Id="rId3425" Type="http://schemas.openxmlformats.org/officeDocument/2006/relationships/hyperlink" Target="https://drive.google.com/file/d/1UzqvaoA2lEGOGe23Dcrlg1H3fDWz6BpB/view?usp=drivesdk" TargetMode="External"/><Relationship Id="rId4756" Type="http://schemas.openxmlformats.org/officeDocument/2006/relationships/hyperlink" Target="https://drive.google.com/file/d/1p2TYAMFfs5pVsfLOOHwKxSon2cUAPQSI/view?usp=drivesdk" TargetMode="External"/><Relationship Id="rId3424" Type="http://schemas.openxmlformats.org/officeDocument/2006/relationships/hyperlink" Target="https://drive.google.com/file/d/15DOTb0gABxVZbemTZhUg4HRhqz3BkRcc/view?usp=drivesdk" TargetMode="External"/><Relationship Id="rId4755" Type="http://schemas.openxmlformats.org/officeDocument/2006/relationships/hyperlink" Target="https://drive.google.com/file/d/1IP1YkU-NhHxERSTkeDsKXo9GiKC0nd_Y/view?usp=drivesdk" TargetMode="External"/><Relationship Id="rId3427" Type="http://schemas.openxmlformats.org/officeDocument/2006/relationships/hyperlink" Target="https://drive.google.com/file/d/1WZBLwL2X6YNwTweTKa6pJC5n1pQv1bUw/view?usp=drivesdk" TargetMode="External"/><Relationship Id="rId4758" Type="http://schemas.openxmlformats.org/officeDocument/2006/relationships/hyperlink" Target="https://drive.google.com/file/d/1d7mCnhUyKZdKeZYk7sgjbhC3jW2PGRtg/view?usp=drivesdk" TargetMode="External"/><Relationship Id="rId3426" Type="http://schemas.openxmlformats.org/officeDocument/2006/relationships/hyperlink" Target="https://drive.google.com/file/d/1Uoch_DabJzLu1tQdXM0W5HBnumRtm618/view?usp=drivesdk" TargetMode="External"/><Relationship Id="rId4757" Type="http://schemas.openxmlformats.org/officeDocument/2006/relationships/hyperlink" Target="https://drive.google.com/file/d/1Lu4fwtF9Vo2Qzx8OBSS5O-UnyyoMmnGi/view?usp=drivesdk" TargetMode="External"/><Relationship Id="rId3429" Type="http://schemas.openxmlformats.org/officeDocument/2006/relationships/hyperlink" Target="https://drive.google.com/file/d/18s_XmS_V1m69m4eGWHZeT8tnMmmBhRkA/view?usp=drivesdk" TargetMode="External"/><Relationship Id="rId3428" Type="http://schemas.openxmlformats.org/officeDocument/2006/relationships/hyperlink" Target="https://drive.google.com/file/d/1WFjZV6CWB9aWNScR19vqdcTy2EPSbgwX/view?usp=drivesdk" TargetMode="External"/><Relationship Id="rId4759" Type="http://schemas.openxmlformats.org/officeDocument/2006/relationships/hyperlink" Target="https://drive.google.com/file/d/1JIKMISGicyMuClhRVLxzwmQD_7ZwK9MV/view?usp=drivesdk" TargetMode="External"/><Relationship Id="rId4750" Type="http://schemas.openxmlformats.org/officeDocument/2006/relationships/hyperlink" Target="https://drive.google.com/file/d/14ugL9LXBv24yfd_7c9TrdhPG6By9CQqO/view?usp=drivesdk" TargetMode="External"/><Relationship Id="rId3421" Type="http://schemas.openxmlformats.org/officeDocument/2006/relationships/hyperlink" Target="https://drive.google.com/file/d/1YfnhMh8PHPfL3cefYzotUuAN-7O0p08C/view?usp=drivesdk" TargetMode="External"/><Relationship Id="rId4752" Type="http://schemas.openxmlformats.org/officeDocument/2006/relationships/hyperlink" Target="https://drive.google.com/file/d/1waoWf9u0jKuCx776cM-1gKmtICxk3Vpl/view?usp=drivesdk" TargetMode="External"/><Relationship Id="rId3420" Type="http://schemas.openxmlformats.org/officeDocument/2006/relationships/hyperlink" Target="https://drive.google.com/file/d/1nP8t821BIYin8o_6VUjAvno9L-2KBIKH/view?usp=drivesdk" TargetMode="External"/><Relationship Id="rId4751" Type="http://schemas.openxmlformats.org/officeDocument/2006/relationships/hyperlink" Target="https://drive.google.com/file/d/1l5PmMXJTPwWaQxQHXSzbhnoN__y_y-VF/view?usp=drivesdk" TargetMode="External"/><Relationship Id="rId3423" Type="http://schemas.openxmlformats.org/officeDocument/2006/relationships/hyperlink" Target="https://drive.google.com/file/d/1uv6h3TzkJbu7lXbyOm9uYCxRHUpGpoMR/view?usp=drivesdk" TargetMode="External"/><Relationship Id="rId4754" Type="http://schemas.openxmlformats.org/officeDocument/2006/relationships/hyperlink" Target="https://drive.google.com/file/d/13_sWFueep7_D0y2s9uKTMVsrFuNEQusP/view?usp=drivesdk" TargetMode="External"/><Relationship Id="rId3422" Type="http://schemas.openxmlformats.org/officeDocument/2006/relationships/hyperlink" Target="https://drive.google.com/file/d/1bkgyztYYGhdFzORG2LH5gBoVkDzX36pb/view?usp=drivesdk" TargetMode="External"/><Relationship Id="rId4753" Type="http://schemas.openxmlformats.org/officeDocument/2006/relationships/hyperlink" Target="https://drive.google.com/file/d/1_cUBqagvaqVRo6Y4UyssB00ibmfqigCR/view?usp=drivesdk" TargetMode="External"/><Relationship Id="rId2126" Type="http://schemas.openxmlformats.org/officeDocument/2006/relationships/hyperlink" Target="https://drive.google.com/file/d/1vr38e-ac3w2edg6aFAfWB-s_eDIS4tx-/view?usp=drivesdk" TargetMode="External"/><Relationship Id="rId3458" Type="http://schemas.openxmlformats.org/officeDocument/2006/relationships/hyperlink" Target="https://drive.google.com/file/d/1MzQemy_Di_F2JTTXc_JbuyzRxDo9x6Co/view?usp=drivesdk" TargetMode="External"/><Relationship Id="rId4789" Type="http://schemas.openxmlformats.org/officeDocument/2006/relationships/hyperlink" Target="https://drive.google.com/file/d/17cy-FEnOmSs7acabrqmQkOZ2Iy0paMM1/view?usp=drivesdk" TargetMode="External"/><Relationship Id="rId2127" Type="http://schemas.openxmlformats.org/officeDocument/2006/relationships/hyperlink" Target="https://drive.google.com/file/d/1ZQjNsu9xy9oQCP9I9PGz1wKBK8Ir3C53/view?usp=drivesdk" TargetMode="External"/><Relationship Id="rId3457" Type="http://schemas.openxmlformats.org/officeDocument/2006/relationships/hyperlink" Target="https://drive.google.com/file/d/1WeXmoeRbulaygWwrF9pRKSmVkIBV1HwP/view?usp=drivesdk" TargetMode="External"/><Relationship Id="rId4788" Type="http://schemas.openxmlformats.org/officeDocument/2006/relationships/hyperlink" Target="https://drive.google.com/file/d/17JxktiZkmThB13k5QothZBq-VCF_n2Sb/view?usp=drivesdk" TargetMode="External"/><Relationship Id="rId2128" Type="http://schemas.openxmlformats.org/officeDocument/2006/relationships/hyperlink" Target="https://drive.google.com/file/d/1Ecj1GMGjPnehGdZpWd8W3kqCYmdprqpg/view?usp=drivesdk" TargetMode="External"/><Relationship Id="rId2129" Type="http://schemas.openxmlformats.org/officeDocument/2006/relationships/hyperlink" Target="https://drive.google.com/file/d/18LqOMF11t5cM8TxOWsx3puT6D6R2EA9x/view?usp=drivesdk" TargetMode="External"/><Relationship Id="rId3459" Type="http://schemas.openxmlformats.org/officeDocument/2006/relationships/hyperlink" Target="https://drive.google.com/file/d/1QqlVtD_nf2rfSQnzT4FaTBcQcL1fsR54/view?usp=drivesdk" TargetMode="External"/><Relationship Id="rId3450" Type="http://schemas.openxmlformats.org/officeDocument/2006/relationships/hyperlink" Target="https://drive.google.com/file/d/1t3MXlPrQZcr46gD9S9E960CF8fC0_WK7/view?usp=drivesdk" TargetMode="External"/><Relationship Id="rId4781" Type="http://schemas.openxmlformats.org/officeDocument/2006/relationships/hyperlink" Target="https://drive.google.com/file/d/1u7oUV57pKJYCYHrp2I8pWJxCkXDulQFB/view?usp=drivesdk" TargetMode="External"/><Relationship Id="rId4780" Type="http://schemas.openxmlformats.org/officeDocument/2006/relationships/hyperlink" Target="https://drive.google.com/file/d/13h4FM9cysiRrrhmy4wu418hUMmfGHeUJ/view?usp=drivesdk" TargetMode="External"/><Relationship Id="rId2120" Type="http://schemas.openxmlformats.org/officeDocument/2006/relationships/hyperlink" Target="https://drive.google.com/file/d/1VfPZ86fJcaaGE9rsmIPXQkF35ix-U3wh/view?usp=drivesdk" TargetMode="External"/><Relationship Id="rId3452" Type="http://schemas.openxmlformats.org/officeDocument/2006/relationships/hyperlink" Target="https://drive.google.com/file/d/1AvRddJnHV2M2trEplhfX4trJULydzna_/view?usp=drivesdk" TargetMode="External"/><Relationship Id="rId4783" Type="http://schemas.openxmlformats.org/officeDocument/2006/relationships/hyperlink" Target="https://drive.google.com/file/d/1M2okS6uzHS2O0VkjvWGTP1TXWj291YP-/view?usp=drivesdk" TargetMode="External"/><Relationship Id="rId2121" Type="http://schemas.openxmlformats.org/officeDocument/2006/relationships/hyperlink" Target="https://drive.google.com/file/d/1UrrbZQq3bUFtJYny6gYHe8iO5Thz4QT8/view?usp=drivesdk" TargetMode="External"/><Relationship Id="rId3451" Type="http://schemas.openxmlformats.org/officeDocument/2006/relationships/hyperlink" Target="https://drive.google.com/file/d/1YwDOC1EhhG0A-VVtVIFwCgyg9VuSpidj/view?usp=drivesdk" TargetMode="External"/><Relationship Id="rId4782" Type="http://schemas.openxmlformats.org/officeDocument/2006/relationships/hyperlink" Target="https://drive.google.com/file/d/17LLAe1uIsvnVE27e0pxjiA7yqg5UDy4M/view?usp=drivesdk" TargetMode="External"/><Relationship Id="rId2122" Type="http://schemas.openxmlformats.org/officeDocument/2006/relationships/hyperlink" Target="https://drive.google.com/file/d/1n5a4kHm7Z_GQBzsWkIg_gX5cJyfppzRD/view?usp=drivesdk" TargetMode="External"/><Relationship Id="rId3454" Type="http://schemas.openxmlformats.org/officeDocument/2006/relationships/hyperlink" Target="https://drive.google.com/file/d/1q_QNNFjI4Lndl_nZiZT0nQRhb_jJeu8i/view?usp=drivesdk" TargetMode="External"/><Relationship Id="rId4785" Type="http://schemas.openxmlformats.org/officeDocument/2006/relationships/hyperlink" Target="https://drive.google.com/file/d/1G2jvqADhd2VXsvSSWxCA6ywne038LpC3/view?usp=drivesdk" TargetMode="External"/><Relationship Id="rId2123" Type="http://schemas.openxmlformats.org/officeDocument/2006/relationships/hyperlink" Target="https://drive.google.com/file/d/1RM2_-oJnZAdRWqO19P07sdxrMXJIc788/view?usp=drivesdk" TargetMode="External"/><Relationship Id="rId3453" Type="http://schemas.openxmlformats.org/officeDocument/2006/relationships/hyperlink" Target="https://drive.google.com/file/d/1jCOgvWyxOGws5sPVTTK-OXSG0qrPgYjq/view?usp=drivesdk" TargetMode="External"/><Relationship Id="rId4784" Type="http://schemas.openxmlformats.org/officeDocument/2006/relationships/hyperlink" Target="https://drive.google.com/file/d/1eJZYZOEbUJFRfjPslQud9YO_2PEObGaw/view?usp=drivesdk" TargetMode="External"/><Relationship Id="rId2124" Type="http://schemas.openxmlformats.org/officeDocument/2006/relationships/hyperlink" Target="https://drive.google.com/file/d/1vtqRGDEDeKsR-hDNHioeA0H0AK9WPpNM/view?usp=drivesdk" TargetMode="External"/><Relationship Id="rId3456" Type="http://schemas.openxmlformats.org/officeDocument/2006/relationships/hyperlink" Target="https://drive.google.com/file/d/1oeA-ZaiLrwz65B7_Ydqv4hpSoq_UTWnd/view?usp=drivesdk" TargetMode="External"/><Relationship Id="rId4787" Type="http://schemas.openxmlformats.org/officeDocument/2006/relationships/hyperlink" Target="https://drive.google.com/file/d/1NOokN8AVPX0Ftr8XJhANOR3W-10ZGNPq/view?usp=drivesdk" TargetMode="External"/><Relationship Id="rId2125" Type="http://schemas.openxmlformats.org/officeDocument/2006/relationships/hyperlink" Target="https://drive.google.com/file/d/13lZL4P1keyyrzkq_ZjN0ee3leVlSsiQt/view?usp=drivesdk" TargetMode="External"/><Relationship Id="rId3455" Type="http://schemas.openxmlformats.org/officeDocument/2006/relationships/hyperlink" Target="https://drive.google.com/file/d/1kzcgPbXteg1kCYTaFeQZrP0bLexI-PP7/view?usp=drivesdk" TargetMode="External"/><Relationship Id="rId4786" Type="http://schemas.openxmlformats.org/officeDocument/2006/relationships/hyperlink" Target="https://drive.google.com/file/d/13My_QvXFV2E-BNJ1e9lA3cm357Duakzg/view?usp=drivesdk" TargetMode="External"/><Relationship Id="rId2115" Type="http://schemas.openxmlformats.org/officeDocument/2006/relationships/hyperlink" Target="https://drive.google.com/file/d/1UIjUXr1MNYJlj1ac6WgkHnljLP3VvM4L/view?usp=drivesdk" TargetMode="External"/><Relationship Id="rId3447" Type="http://schemas.openxmlformats.org/officeDocument/2006/relationships/hyperlink" Target="https://drive.google.com/file/d/18spY0oobgtW8SqCeh2bykl4PwAtfCcjp/view?usp=drivesdk" TargetMode="External"/><Relationship Id="rId4778" Type="http://schemas.openxmlformats.org/officeDocument/2006/relationships/hyperlink" Target="https://drive.google.com/file/d/1FOWKLw_jjwO-GWko4SsyLp8TJXzstpDw/view?usp=drivesdk" TargetMode="External"/><Relationship Id="rId2116" Type="http://schemas.openxmlformats.org/officeDocument/2006/relationships/hyperlink" Target="https://drive.google.com/file/d/1ejN0W0-t8uBO11n1GHaEpEmBBoPBkuyo/view?usp=drivesdk" TargetMode="External"/><Relationship Id="rId3446" Type="http://schemas.openxmlformats.org/officeDocument/2006/relationships/hyperlink" Target="https://drive.google.com/file/d/1L7rznUYLTMUr6TRkp1WamaRvD2BmmF6l/view?usp=drivesdk" TargetMode="External"/><Relationship Id="rId4777" Type="http://schemas.openxmlformats.org/officeDocument/2006/relationships/hyperlink" Target="https://drive.google.com/file/d/1ChciQRBaY3dxo5CBNB29xJDywzznjCLY/view?usp=drivesdk" TargetMode="External"/><Relationship Id="rId2117" Type="http://schemas.openxmlformats.org/officeDocument/2006/relationships/hyperlink" Target="https://drive.google.com/file/d/1LoMgSYQgzvijp3elYPuq_pfJ_KQZLOZS/view?usp=drivesdk" TargetMode="External"/><Relationship Id="rId3449" Type="http://schemas.openxmlformats.org/officeDocument/2006/relationships/hyperlink" Target="https://drive.google.com/file/d/1ReX2_qzulmQO_aoX8gYr2bvpmgh7Goxg/view?usp=drivesdk" TargetMode="External"/><Relationship Id="rId2118" Type="http://schemas.openxmlformats.org/officeDocument/2006/relationships/hyperlink" Target="https://drive.google.com/file/d/1DBVietRi1QWuPiv6IYKSMWNfoNU13DAC/view?usp=drivesdk" TargetMode="External"/><Relationship Id="rId3448" Type="http://schemas.openxmlformats.org/officeDocument/2006/relationships/hyperlink" Target="https://drive.google.com/file/d/1cqQBS2j1XRyxjZy6hMfgp2yTzyPZl8xk/view?usp=drivesdk" TargetMode="External"/><Relationship Id="rId4779" Type="http://schemas.openxmlformats.org/officeDocument/2006/relationships/hyperlink" Target="https://drive.google.com/file/d/1ean2Z8NBSQByQrN-T1R4YxtexQLf2Zcz/view?usp=drivesdk" TargetMode="External"/><Relationship Id="rId2119" Type="http://schemas.openxmlformats.org/officeDocument/2006/relationships/hyperlink" Target="https://drive.google.com/file/d/1GlI5hHi1T4z-Ue0ZaLM5ld5FHVURNdam/view?usp=drivesdk" TargetMode="External"/><Relationship Id="rId4770" Type="http://schemas.openxmlformats.org/officeDocument/2006/relationships/hyperlink" Target="https://drive.google.com/file/d/1EMGxmRFm-nkb2KozAqmpG0oY8FMzRqM2/view?usp=drivesdk" TargetMode="External"/><Relationship Id="rId3441" Type="http://schemas.openxmlformats.org/officeDocument/2006/relationships/hyperlink" Target="https://drive.google.com/file/d/1i--H7YoT38_-rOL5AZcfrsWDIBxwMkn-/view?usp=drivesdk" TargetMode="External"/><Relationship Id="rId4772" Type="http://schemas.openxmlformats.org/officeDocument/2006/relationships/hyperlink" Target="https://drive.google.com/file/d/1BrfQoP3KQomAdfNYOWPc0dkDah6MxA1o/view?usp=drivesdk" TargetMode="External"/><Relationship Id="rId2110" Type="http://schemas.openxmlformats.org/officeDocument/2006/relationships/hyperlink" Target="https://drive.google.com/file/d/1pfk5vnHgAAL89v-XAHLl8Ewvxm2Oot4h/view?usp=drivesdk" TargetMode="External"/><Relationship Id="rId3440" Type="http://schemas.openxmlformats.org/officeDocument/2006/relationships/hyperlink" Target="https://drive.google.com/file/d/1Jn7khLCA1pxVhAtnQHNuVDrYsz4o1EGg/view?usp=drivesdk" TargetMode="External"/><Relationship Id="rId4771" Type="http://schemas.openxmlformats.org/officeDocument/2006/relationships/hyperlink" Target="https://drive.google.com/file/d/1DfwQOaNajof_u85-ZDyicXSRs4EU7tCI/view?usp=drivesdk" TargetMode="External"/><Relationship Id="rId2111" Type="http://schemas.openxmlformats.org/officeDocument/2006/relationships/hyperlink" Target="https://drive.google.com/file/d/1XsTBZoC4FSUTesCEl6w5YXxZXiHieRok/view?usp=drivesdk" TargetMode="External"/><Relationship Id="rId3443" Type="http://schemas.openxmlformats.org/officeDocument/2006/relationships/hyperlink" Target="https://drive.google.com/file/d/1lzAPxkEp2WUlecC81CAQN6CpvDAITMQx/view?usp=drivesdk" TargetMode="External"/><Relationship Id="rId4774" Type="http://schemas.openxmlformats.org/officeDocument/2006/relationships/hyperlink" Target="https://drive.google.com/file/d/1u2WZTHIETu9bBEp4J_77qOI-5wDdeJ6s/view?usp=drivesdk" TargetMode="External"/><Relationship Id="rId2112" Type="http://schemas.openxmlformats.org/officeDocument/2006/relationships/hyperlink" Target="https://drive.google.com/file/d/1FSgChvJzsqmgxVsxS7fn1VsitR7saXsP/view?usp=drivesdk" TargetMode="External"/><Relationship Id="rId3442" Type="http://schemas.openxmlformats.org/officeDocument/2006/relationships/hyperlink" Target="https://drive.google.com/file/d/1Z68Bgrow8f_M5qeZxSY4E8g6gm13O_BZ/view?usp=drivesdk" TargetMode="External"/><Relationship Id="rId4773" Type="http://schemas.openxmlformats.org/officeDocument/2006/relationships/hyperlink" Target="https://drive.google.com/file/d/1mvOfWITtv8ZjBAZKUohlvFXOKzDQWRAH/view?usp=drivesdk" TargetMode="External"/><Relationship Id="rId2113" Type="http://schemas.openxmlformats.org/officeDocument/2006/relationships/hyperlink" Target="https://drive.google.com/file/d/1GbjPl8PScVLZ9fRBEO3UFv__mdO0VghD/view?usp=drivesdk" TargetMode="External"/><Relationship Id="rId3445" Type="http://schemas.openxmlformats.org/officeDocument/2006/relationships/hyperlink" Target="https://drive.google.com/file/d/1YlHynL9VEtTRyVZydZFqZfszdvej6onx/view?usp=drivesdk" TargetMode="External"/><Relationship Id="rId4776" Type="http://schemas.openxmlformats.org/officeDocument/2006/relationships/hyperlink" Target="https://drive.google.com/file/d/1McjRn0EU-ZFFIgvaNKZXuLTEXNRJV6yj/view?usp=drivesdk" TargetMode="External"/><Relationship Id="rId2114" Type="http://schemas.openxmlformats.org/officeDocument/2006/relationships/hyperlink" Target="https://drive.google.com/file/d/1Da5G8MfCiohyIkJ7hzt8O87b7DiWJuO7/view?usp=drivesdk" TargetMode="External"/><Relationship Id="rId3444" Type="http://schemas.openxmlformats.org/officeDocument/2006/relationships/hyperlink" Target="https://drive.google.com/file/d/1M5hbzCB6xgOMw8WG0wcYITdnp_qe7ouJ/view?usp=drivesdk" TargetMode="External"/><Relationship Id="rId4775" Type="http://schemas.openxmlformats.org/officeDocument/2006/relationships/hyperlink" Target="https://drive.google.com/file/d/1PouMqQKBeq1sH7yS_dHKG8B2JLpF9nvf/view?usp=drivesdk" TargetMode="External"/><Relationship Id="rId5251" Type="http://schemas.openxmlformats.org/officeDocument/2006/relationships/hyperlink" Target="https://drive.google.com/file/d/1MDPkvZtu8Ao8SWC2u3vZPFupbJH5Gjge/view?usp=drivesdk" TargetMode="External"/><Relationship Id="rId6582" Type="http://schemas.openxmlformats.org/officeDocument/2006/relationships/hyperlink" Target="https://drive.google.com/file/d/19K7hPZsLbhg2cwAoieoHidPDsgMORolV/view?usp=drivesdk" TargetMode="External"/><Relationship Id="rId5252" Type="http://schemas.openxmlformats.org/officeDocument/2006/relationships/hyperlink" Target="https://drive.google.com/file/d/1yiSB1fmWsvRrzFf-R1r0FtyEAq_w7afF/view?usp=drivesdk" TargetMode="External"/><Relationship Id="rId6583" Type="http://schemas.openxmlformats.org/officeDocument/2006/relationships/hyperlink" Target="https://drive.google.com/file/d/1C_41IfDaM2aEsjwKb7w9FK1hAs57G14G/view?usp=drivesdk" TargetMode="External"/><Relationship Id="rId6580" Type="http://schemas.openxmlformats.org/officeDocument/2006/relationships/hyperlink" Target="https://drive.google.com/file/d/1EVowMA5enH4hDxXMoZVRPFarPZYGBthW/view?usp=drivesdk" TargetMode="External"/><Relationship Id="rId5250" Type="http://schemas.openxmlformats.org/officeDocument/2006/relationships/hyperlink" Target="https://drive.google.com/file/d/1WQzTgq-TNYzhHMrDirnVqMjcv7ZDsNTH/view?usp=drivesdk" TargetMode="External"/><Relationship Id="rId6581" Type="http://schemas.openxmlformats.org/officeDocument/2006/relationships/hyperlink" Target="https://drive.google.com/file/d/13UHrx2AD3gazkccfVo97bF9Lwo5p18w0/view?usp=drivesdk" TargetMode="External"/><Relationship Id="rId5255" Type="http://schemas.openxmlformats.org/officeDocument/2006/relationships/hyperlink" Target="https://drive.google.com/file/d/1kzNC0h4xffV0dJVYc1E2VUaWkjBxre3h/view?usp=drivesdk" TargetMode="External"/><Relationship Id="rId6586" Type="http://schemas.openxmlformats.org/officeDocument/2006/relationships/hyperlink" Target="https://drive.google.com/file/d/1wR4PPTUqq6qEhb4bbNW8dTB1romhN8ng/view?usp=drivesdk" TargetMode="External"/><Relationship Id="rId5256" Type="http://schemas.openxmlformats.org/officeDocument/2006/relationships/hyperlink" Target="https://drive.google.com/file/d/1Vo86qb9hIC8DYdcdGpRRPwZ4AJMuSug3/view?usp=drivesdk" TargetMode="External"/><Relationship Id="rId6587" Type="http://schemas.openxmlformats.org/officeDocument/2006/relationships/hyperlink" Target="https://drive.google.com/file/d/1yKoPeguDHFiEzlo09ehHuhILWpXD5G-h/view?usp=drivesdk" TargetMode="External"/><Relationship Id="rId5253" Type="http://schemas.openxmlformats.org/officeDocument/2006/relationships/hyperlink" Target="https://drive.google.com/file/d/1vOBbFzXS7FG3A8QtnoTtP2OhSQNKjUrN/view?usp=drivesdk" TargetMode="External"/><Relationship Id="rId6584" Type="http://schemas.openxmlformats.org/officeDocument/2006/relationships/hyperlink" Target="https://drive.google.com/file/d/1y1M9F_r1g_5sbZDNrZS5D2HOXzI4ESqg/view?usp=drivesdk" TargetMode="External"/><Relationship Id="rId5254" Type="http://schemas.openxmlformats.org/officeDocument/2006/relationships/hyperlink" Target="https://drive.google.com/file/d/1VQY8_dGchj9jyw59lIx3tygQiAW2CoNZ/view?usp=drivesdk" TargetMode="External"/><Relationship Id="rId6585" Type="http://schemas.openxmlformats.org/officeDocument/2006/relationships/hyperlink" Target="https://drive.google.com/file/d/1cvfjNVXsNopyHMYbYRyBEzsH3OrVXt_A/view?usp=drivesdk" TargetMode="External"/><Relationship Id="rId5259" Type="http://schemas.openxmlformats.org/officeDocument/2006/relationships/hyperlink" Target="https://drive.google.com/file/d/1uVQFfg6lQkmYSVTxaVMywFx9-pop7JI-/view?usp=drivesdk" TargetMode="External"/><Relationship Id="rId5257" Type="http://schemas.openxmlformats.org/officeDocument/2006/relationships/hyperlink" Target="https://drive.google.com/file/d/1wosqtoHJ_ON4MBAYjeKYI5d5puczrM4R/view?usp=drivesdk" TargetMode="External"/><Relationship Id="rId6588" Type="http://schemas.openxmlformats.org/officeDocument/2006/relationships/hyperlink" Target="https://drive.google.com/file/d/1WxpJBmNt1xK4zZpCsbPoCiCv7tc-gv98/view?usp=drivesdk" TargetMode="External"/><Relationship Id="rId5258" Type="http://schemas.openxmlformats.org/officeDocument/2006/relationships/hyperlink" Target="https://drive.google.com/file/d/18r9DC1T2WR1awzUa0jA6nS4WTnqdi3iD/view?usp=drivesdk" TargetMode="External"/><Relationship Id="rId6589" Type="http://schemas.openxmlformats.org/officeDocument/2006/relationships/hyperlink" Target="https://drive.google.com/file/d/15FWGMHIgxR4ae6BOexymborIM9uuyq3V/view?usp=drivesdk" TargetMode="External"/><Relationship Id="rId5240" Type="http://schemas.openxmlformats.org/officeDocument/2006/relationships/hyperlink" Target="https://drive.google.com/file/d/12x3hf9-hOlpfwTDGxuKsj_K7M0qlAWCY/view?usp=drivesdk" TargetMode="External"/><Relationship Id="rId6571" Type="http://schemas.openxmlformats.org/officeDocument/2006/relationships/hyperlink" Target="https://drive.google.com/file/d/1-Vd87Tyv0VjoJpR85P_5FXYJMQorFlG8/view?usp=drivesdk" TargetMode="External"/><Relationship Id="rId5241" Type="http://schemas.openxmlformats.org/officeDocument/2006/relationships/hyperlink" Target="https://drive.google.com/file/d/1JWGgoOBk2fptb0lXX26lGf-bs94CUa7w/view?usp=drivesdk" TargetMode="External"/><Relationship Id="rId6572" Type="http://schemas.openxmlformats.org/officeDocument/2006/relationships/hyperlink" Target="https://drive.google.com/file/d/11VycxqkZsybyTKrRRKlamHxsBP7K-O4C/view?usp=drivesdk" TargetMode="External"/><Relationship Id="rId6570" Type="http://schemas.openxmlformats.org/officeDocument/2006/relationships/hyperlink" Target="https://drive.google.com/file/d/1iq_6sm7a0FKCrlAsFGz-d8WaAlEAcR8I/view?usp=drivesdk" TargetMode="External"/><Relationship Id="rId5244" Type="http://schemas.openxmlformats.org/officeDocument/2006/relationships/hyperlink" Target="https://drive.google.com/file/d/1T_wg_lG6aJDrR9J_oE23VDlSdPu9dOIl/view?usp=drivesdk" TargetMode="External"/><Relationship Id="rId6575" Type="http://schemas.openxmlformats.org/officeDocument/2006/relationships/hyperlink" Target="https://drive.google.com/file/d/1BOT_NQld6BUA7TGZ1mDzpxcZACNpPpas/view?usp=drivesdk" TargetMode="External"/><Relationship Id="rId5245" Type="http://schemas.openxmlformats.org/officeDocument/2006/relationships/hyperlink" Target="https://drive.google.com/file/d/1T4XX521io83dUVq7I8wCV1uF60VZ4aGH/view?usp=drivesdk" TargetMode="External"/><Relationship Id="rId6576" Type="http://schemas.openxmlformats.org/officeDocument/2006/relationships/hyperlink" Target="https://drive.google.com/file/d/1Tk9m3-Tfbpqz0uY8LwOKJwgHewe2NZc6/view?usp=drivesdk" TargetMode="External"/><Relationship Id="rId5242" Type="http://schemas.openxmlformats.org/officeDocument/2006/relationships/hyperlink" Target="https://drive.google.com/file/d/1uhN3JhEPE576PtaNCa9hRR-JTCj603kq/view?usp=drivesdk" TargetMode="External"/><Relationship Id="rId6573" Type="http://schemas.openxmlformats.org/officeDocument/2006/relationships/hyperlink" Target="https://drive.google.com/file/d/1yd4KzDkjosiR8PDS5V_d7FNxzjXVT3Fd/view?usp=drivesdk" TargetMode="External"/><Relationship Id="rId5243" Type="http://schemas.openxmlformats.org/officeDocument/2006/relationships/hyperlink" Target="https://drive.google.com/file/d/1DkCtgraBAdjjVojn5-9wHS02s_q739tD/view?usp=drivesdk" TargetMode="External"/><Relationship Id="rId6574" Type="http://schemas.openxmlformats.org/officeDocument/2006/relationships/hyperlink" Target="https://drive.google.com/file/d/1fvkTZfugx2wcf11GeByjHgifpGOt0mJv/view?usp=drivesdk" TargetMode="External"/><Relationship Id="rId5248" Type="http://schemas.openxmlformats.org/officeDocument/2006/relationships/hyperlink" Target="https://drive.google.com/file/d/1HjuLcVQNPDOe6tgbmb4JQ1GaAbvKzi9R/view?usp=drivesdk" TargetMode="External"/><Relationship Id="rId6579" Type="http://schemas.openxmlformats.org/officeDocument/2006/relationships/hyperlink" Target="https://drive.google.com/file/d/1sEC8UGxwX9sgLfSL5o-u0WepuffHKLHj/view?usp=drivesdk" TargetMode="External"/><Relationship Id="rId5249" Type="http://schemas.openxmlformats.org/officeDocument/2006/relationships/hyperlink" Target="https://drive.google.com/file/d/1xZesskvNrejGHd7lwZ_xRNkNFk2JBBQq/view?usp=drivesdk" TargetMode="External"/><Relationship Id="rId5246" Type="http://schemas.openxmlformats.org/officeDocument/2006/relationships/hyperlink" Target="https://drive.google.com/file/d/1-48cvMCiv-496eolqne8e-y4NsbIxHGR/view?usp=drivesdk" TargetMode="External"/><Relationship Id="rId6577" Type="http://schemas.openxmlformats.org/officeDocument/2006/relationships/hyperlink" Target="https://drive.google.com/file/d/1iRlCa6pDn8CGDdMZEIXHDpT6Bcf_KdIm/view?usp=drivesdk" TargetMode="External"/><Relationship Id="rId5247" Type="http://schemas.openxmlformats.org/officeDocument/2006/relationships/hyperlink" Target="https://drive.google.com/file/d/1L4Wkkb1oX5gI1B4QUEDdb99sPBOYNywq/view?usp=drivesdk" TargetMode="External"/><Relationship Id="rId6578" Type="http://schemas.openxmlformats.org/officeDocument/2006/relationships/hyperlink" Target="https://drive.google.com/file/d/1aIdH3TBFj-uVpng1qhU0yT0F1spHRmAE/view?usp=drivesdk" TargetMode="External"/><Relationship Id="rId5270" Type="http://schemas.openxmlformats.org/officeDocument/2006/relationships/hyperlink" Target="https://drive.google.com/file/d/1tfWsaqectrqwlPEOWGKn5H4_mrKm0Cml/view?usp=drivesdk" TargetMode="External"/><Relationship Id="rId5273" Type="http://schemas.openxmlformats.org/officeDocument/2006/relationships/hyperlink" Target="https://drive.google.com/file/d/10kK04JuG6DyKJi-7thqWUg4OXiy404Pv/view?usp=drivesdk" TargetMode="External"/><Relationship Id="rId5274" Type="http://schemas.openxmlformats.org/officeDocument/2006/relationships/hyperlink" Target="https://drive.google.com/file/d/1FIREybvfAuWqVhM5mDossFtG89y-hIHf/view?usp=drivesdk" TargetMode="External"/><Relationship Id="rId5271" Type="http://schemas.openxmlformats.org/officeDocument/2006/relationships/hyperlink" Target="https://drive.google.com/file/d/1HXBaCGfMCQzlYlrzG_Q5zMPWl2jkbIXn/view?usp=drivesdk" TargetMode="External"/><Relationship Id="rId5272" Type="http://schemas.openxmlformats.org/officeDocument/2006/relationships/hyperlink" Target="https://drive.google.com/file/d/15DpVREnJ2nO6d8GEZdehrWm0DMWzBGtl/view?usp=drivesdk" TargetMode="External"/><Relationship Id="rId5277" Type="http://schemas.openxmlformats.org/officeDocument/2006/relationships/hyperlink" Target="https://drive.google.com/file/d/1hloFwsgkk8528ko5vQYgETL9RQjVR-Ao/view?usp=drivesdk" TargetMode="External"/><Relationship Id="rId5278" Type="http://schemas.openxmlformats.org/officeDocument/2006/relationships/hyperlink" Target="https://drive.google.com/file/d/1ULSqfT49NpDgPgeX-6mwLSP_HrwZWq_A/view?usp=drivesdk" TargetMode="External"/><Relationship Id="rId5275" Type="http://schemas.openxmlformats.org/officeDocument/2006/relationships/hyperlink" Target="https://drive.google.com/file/d/1VsC525oouEgHOmzaggApwoWhoMLBIAWp/view?usp=drivesdk" TargetMode="External"/><Relationship Id="rId5276" Type="http://schemas.openxmlformats.org/officeDocument/2006/relationships/hyperlink" Target="https://drive.google.com/file/d/18cqyxrK0ZUmNT14Gwh5VECCyBTf6s_wi/view?usp=drivesdk" TargetMode="External"/><Relationship Id="rId5279" Type="http://schemas.openxmlformats.org/officeDocument/2006/relationships/hyperlink" Target="https://drive.google.com/file/d/1iQMvU0fK3AW29SThWywZ-6CyKPqlnZK9/view?usp=drivesdk" TargetMode="External"/><Relationship Id="rId6590" Type="http://schemas.openxmlformats.org/officeDocument/2006/relationships/hyperlink" Target="https://drive.google.com/file/d/1Rsnnu7piuj7_sSGF2l1cFwf6Pb-bMYt4/view?usp=drivesdk" TargetMode="External"/><Relationship Id="rId5262" Type="http://schemas.openxmlformats.org/officeDocument/2006/relationships/hyperlink" Target="https://drive.google.com/file/d/1KE71a7x4GNL5ZJGXt2qxSxTDURzeVnhh/view?usp=drivesdk" TargetMode="External"/><Relationship Id="rId6593" Type="http://schemas.openxmlformats.org/officeDocument/2006/relationships/hyperlink" Target="https://drive.google.com/file/d/1VNCMCvUHXsKtQDK8TA7uEP3vnaFw1qQg/view?usp=drivesdk" TargetMode="External"/><Relationship Id="rId5263" Type="http://schemas.openxmlformats.org/officeDocument/2006/relationships/hyperlink" Target="https://drive.google.com/file/d/1won2OPiHvesReqOOgj83jqp1O1CFZ-w-/view?usp=drivesdk" TargetMode="External"/><Relationship Id="rId6594" Type="http://schemas.openxmlformats.org/officeDocument/2006/relationships/hyperlink" Target="https://drive.google.com/file/d/1bKKyTJLoW2H8f3VdiosDJbqGMp_sPQDw/view?usp=drivesdk" TargetMode="External"/><Relationship Id="rId5260" Type="http://schemas.openxmlformats.org/officeDocument/2006/relationships/hyperlink" Target="https://drive.google.com/file/d/1iORXRiuhBxsGb0Q-7BEknmMbljFAscKB/view?usp=drivesdk" TargetMode="External"/><Relationship Id="rId6591" Type="http://schemas.openxmlformats.org/officeDocument/2006/relationships/hyperlink" Target="https://drive.google.com/file/d/1ndymf6lOMMvEPvbauBb_vwuz6Re7plrm/view?usp=drivesdk" TargetMode="External"/><Relationship Id="rId5261" Type="http://schemas.openxmlformats.org/officeDocument/2006/relationships/hyperlink" Target="https://drive.google.com/file/d/1FxOISt3RDduLuDoXXwYlf3E9y7GNZlYW/view?usp=drivesdk" TargetMode="External"/><Relationship Id="rId6592" Type="http://schemas.openxmlformats.org/officeDocument/2006/relationships/hyperlink" Target="https://drive.google.com/file/d/1jnn7Jc6dealvGoBBB_xhrA2mwEVdRECM/view?usp=drivesdk" TargetMode="External"/><Relationship Id="rId5266" Type="http://schemas.openxmlformats.org/officeDocument/2006/relationships/hyperlink" Target="https://drive.google.com/file/d/1iN2V5tf097xsDJxWKtkb4SjRGLXPAaqz/view?usp=drivesdk" TargetMode="External"/><Relationship Id="rId6597" Type="http://schemas.openxmlformats.org/officeDocument/2006/relationships/hyperlink" Target="https://drive.google.com/file/d/1mMBZJNNHbn6qGtVmkNtXL0zaNVIHfCEM/view?usp=drivesdk" TargetMode="External"/><Relationship Id="rId5267" Type="http://schemas.openxmlformats.org/officeDocument/2006/relationships/hyperlink" Target="https://drive.google.com/file/d/1CDY-_cI897VIWz5UQOhbb9XmsTHeMmgX/view?usp=drivesdk" TargetMode="External"/><Relationship Id="rId6598" Type="http://schemas.openxmlformats.org/officeDocument/2006/relationships/hyperlink" Target="https://drive.google.com/file/d/1o7JyhkU8kol4yuKreZpBzDbrUbPqt0Tj/view?usp=drivesdk" TargetMode="External"/><Relationship Id="rId5264" Type="http://schemas.openxmlformats.org/officeDocument/2006/relationships/hyperlink" Target="https://drive.google.com/file/d/1TzD0bTqSKD24sCjizKlAEFCm9McNAzOi/view?usp=drivesdk" TargetMode="External"/><Relationship Id="rId6595" Type="http://schemas.openxmlformats.org/officeDocument/2006/relationships/hyperlink" Target="https://drive.google.com/file/d/1VZv1admkU3NZGmRXR2iDz8somJqhn92I/view?usp=drivesdk" TargetMode="External"/><Relationship Id="rId5265" Type="http://schemas.openxmlformats.org/officeDocument/2006/relationships/hyperlink" Target="https://drive.google.com/file/d/1KK-qbU6PoNbw65lKF-stEZck0e_Jrr3x/view?usp=drivesdk" TargetMode="External"/><Relationship Id="rId6596" Type="http://schemas.openxmlformats.org/officeDocument/2006/relationships/hyperlink" Target="https://drive.google.com/file/d/1KAGrLj7MaypQazW9nsUPP-VHe7tTubyC/view?usp=drivesdk" TargetMode="External"/><Relationship Id="rId5268" Type="http://schemas.openxmlformats.org/officeDocument/2006/relationships/hyperlink" Target="https://drive.google.com/file/d/12OaLHJ3lJfOZqRbQjK57C9uihWn_izO8/view?usp=drivesdk" TargetMode="External"/><Relationship Id="rId6599" Type="http://schemas.openxmlformats.org/officeDocument/2006/relationships/hyperlink" Target="https://drive.google.com/file/d/1zz5m66GMowRkCsLrG05epTsn7DuKSEpd/view?usp=drivesdk" TargetMode="External"/><Relationship Id="rId5269" Type="http://schemas.openxmlformats.org/officeDocument/2006/relationships/hyperlink" Target="https://drive.google.com/file/d/1zSGqWfbrgahvJf1EEJ3tk_XyiaOOYCTX/view?usp=drivesdk" TargetMode="External"/><Relationship Id="rId5219" Type="http://schemas.openxmlformats.org/officeDocument/2006/relationships/hyperlink" Target="https://drive.google.com/file/d/1b0w4kaksyFK12hlA2Cf0Nw1OzOCdmOsQ/view?usp=drivesdk" TargetMode="External"/><Relationship Id="rId5217" Type="http://schemas.openxmlformats.org/officeDocument/2006/relationships/hyperlink" Target="https://drive.google.com/file/d/1yrvqZebE-28OZoFNO9qzosf1xebJt5xs/view?usp=drivesdk" TargetMode="External"/><Relationship Id="rId6548" Type="http://schemas.openxmlformats.org/officeDocument/2006/relationships/hyperlink" Target="https://drive.google.com/file/d/19q0MMmQMAbdNipX3C96YynHNF_my9xqn/view?usp=drivesdk" TargetMode="External"/><Relationship Id="rId5218" Type="http://schemas.openxmlformats.org/officeDocument/2006/relationships/hyperlink" Target="https://drive.google.com/file/d/1Qw9Qoaf4r-So6gnE5e6IJuFwHtK5SjBZ/view?usp=drivesdk" TargetMode="External"/><Relationship Id="rId6549" Type="http://schemas.openxmlformats.org/officeDocument/2006/relationships/hyperlink" Target="https://drive.google.com/file/d/1VQgqbn3hrrVkkAANNTbB6H15oE-l-itz/view?usp=drivesdk" TargetMode="External"/><Relationship Id="rId7879" Type="http://schemas.openxmlformats.org/officeDocument/2006/relationships/hyperlink" Target="https://drive.google.com/file/d/1nwsY7CK8WDbQsdYuHZDzHJEgdUDYeT4H/view?usp=drivesdk" TargetMode="External"/><Relationship Id="rId392" Type="http://schemas.openxmlformats.org/officeDocument/2006/relationships/hyperlink" Target="https://drive.google.com/file/d/1OiloctkcPf3xbAk1xWuOJ4odSRiS3RUV/view?usp=drivesdk" TargetMode="External"/><Relationship Id="rId391" Type="http://schemas.openxmlformats.org/officeDocument/2006/relationships/hyperlink" Target="https://drive.google.com/file/d/1zHflsxAHKE1jCrHaG0zpVakMcxKWx4Qt/view?usp=drivesdk" TargetMode="External"/><Relationship Id="rId390" Type="http://schemas.openxmlformats.org/officeDocument/2006/relationships/hyperlink" Target="https://drive.google.com/file/d/10vVuh9MNpwqWablcrdgqR-XMkX4wsuu-/view?usp=drivesdk" TargetMode="External"/><Relationship Id="rId7870" Type="http://schemas.openxmlformats.org/officeDocument/2006/relationships/hyperlink" Target="https://drive.google.com/file/d/15cl4NowxwIyerdYWbNzmGTbbFOKUaHu6/view?usp=drivesdk" TargetMode="External"/><Relationship Id="rId385" Type="http://schemas.openxmlformats.org/officeDocument/2006/relationships/hyperlink" Target="https://drive.google.com/file/d/1c-0wt9aPoSCj5C5jbHHfuNK-g_Spaz-O/view?usp=drivesdk" TargetMode="External"/><Relationship Id="rId5211" Type="http://schemas.openxmlformats.org/officeDocument/2006/relationships/hyperlink" Target="https://drive.google.com/file/d/1M3ucLBg5_TlZJMGGsp-J_VQ4H-MC8nOy/view?usp=drivesdk" TargetMode="External"/><Relationship Id="rId6542" Type="http://schemas.openxmlformats.org/officeDocument/2006/relationships/hyperlink" Target="https://drive.google.com/file/d/1dxA6oZ-IP2PnUmJxspyiGNXwJ-QwJXnR/view?usp=drivesdk" TargetMode="External"/><Relationship Id="rId7874" Type="http://schemas.openxmlformats.org/officeDocument/2006/relationships/hyperlink" Target="https://drive.google.com/file/d/1IU3zCpaiPJxBxz3BPz9Pbzgpr4QEl0Za/view?usp=drivesdk" TargetMode="External"/><Relationship Id="rId384" Type="http://schemas.openxmlformats.org/officeDocument/2006/relationships/hyperlink" Target="https://drive.google.com/file/d/14YtiQuQOfzo8pYKkewBmvPH8qIGr-Qta/view?usp=drivesdk" TargetMode="External"/><Relationship Id="rId5212" Type="http://schemas.openxmlformats.org/officeDocument/2006/relationships/hyperlink" Target="https://drive.google.com/file/d/1IKrUwxhsLnuPHRQtocOMJunjqe1k2NCZ/view?usp=drivesdk" TargetMode="External"/><Relationship Id="rId6543" Type="http://schemas.openxmlformats.org/officeDocument/2006/relationships/hyperlink" Target="https://drive.google.com/file/d/18YIR_q8E9IQxwmm6_1qbJv0jITsob9eR/view?usp=drivesdk" TargetMode="External"/><Relationship Id="rId7873" Type="http://schemas.openxmlformats.org/officeDocument/2006/relationships/hyperlink" Target="https://drive.google.com/file/d/1fGvo2d3FHKHePKiwt1LD4RLLo0NZUYSo/view?usp=drivesdk" TargetMode="External"/><Relationship Id="rId383" Type="http://schemas.openxmlformats.org/officeDocument/2006/relationships/hyperlink" Target="https://drive.google.com/file/d/1JtnMiV5vAZucv816NIYGFnRg_PIRxzAN/view?usp=drivesdk" TargetMode="External"/><Relationship Id="rId6540" Type="http://schemas.openxmlformats.org/officeDocument/2006/relationships/hyperlink" Target="https://drive.google.com/file/d/15umVfU3i_H_x3pNUpwcC3artr9Xa9SMX/view?usp=drivesdk" TargetMode="External"/><Relationship Id="rId7872" Type="http://schemas.openxmlformats.org/officeDocument/2006/relationships/hyperlink" Target="https://drive.google.com/file/d/1ztXfn-5QZquO9s0FG11bUZUZvJ5e67Bl/view?usp=drivesdk" TargetMode="External"/><Relationship Id="rId382" Type="http://schemas.openxmlformats.org/officeDocument/2006/relationships/hyperlink" Target="https://drive.google.com/file/d/1WYG5vf96QGbzvny0Vw-rtjwxY_rfTWae/view?usp=drivesdk" TargetMode="External"/><Relationship Id="rId5210" Type="http://schemas.openxmlformats.org/officeDocument/2006/relationships/hyperlink" Target="https://drive.google.com/file/d/1D9Br2qLU46MgSDS34IgLyF7Skw24HMEJ/view?usp=drivesdk" TargetMode="External"/><Relationship Id="rId6541" Type="http://schemas.openxmlformats.org/officeDocument/2006/relationships/hyperlink" Target="https://drive.google.com/file/d/1t8GgCBHYkpUWoxR8e4zUZRka49YpksL5/view?usp=drivesdk" TargetMode="External"/><Relationship Id="rId7871" Type="http://schemas.openxmlformats.org/officeDocument/2006/relationships/hyperlink" Target="https://drive.google.com/file/d/1mlJwTCnQRD3pCxn_JgBvE3Xo5pYm-mCJ/view?usp=drivesdk" TargetMode="External"/><Relationship Id="rId389" Type="http://schemas.openxmlformats.org/officeDocument/2006/relationships/hyperlink" Target="https://drive.google.com/file/d/1yEFSO9i_FbMUzXT6LhNLRdt4OOafaCJV/view?usp=drivesdk" TargetMode="External"/><Relationship Id="rId5215" Type="http://schemas.openxmlformats.org/officeDocument/2006/relationships/hyperlink" Target="https://drive.google.com/file/d/1AINs4QpLuhHuAltRRMx5FK2sWFku0WU6/view?usp=drivesdk" TargetMode="External"/><Relationship Id="rId6546" Type="http://schemas.openxmlformats.org/officeDocument/2006/relationships/hyperlink" Target="https://drive.google.com/file/d/1NZzwJGGpbewFRWc-ym56tKl5QJFbzIj6/view?usp=drivesdk" TargetMode="External"/><Relationship Id="rId7878" Type="http://schemas.openxmlformats.org/officeDocument/2006/relationships/hyperlink" Target="https://drive.google.com/file/d/1F92pr_iY8XOng3FLfwDcA6eZHDBqvNzq/view?usp=drivesdk" TargetMode="External"/><Relationship Id="rId388" Type="http://schemas.openxmlformats.org/officeDocument/2006/relationships/hyperlink" Target="https://drive.google.com/file/d/1kfx95C_exvah7ccgLesWvzBog2e7lOGi/view?usp=drivesdk" TargetMode="External"/><Relationship Id="rId5216" Type="http://schemas.openxmlformats.org/officeDocument/2006/relationships/hyperlink" Target="https://drive.google.com/file/d/1vBPCSDO821qXFAPUxk_G3a0xeLNIOl8A/view?usp=drivesdk" TargetMode="External"/><Relationship Id="rId6547" Type="http://schemas.openxmlformats.org/officeDocument/2006/relationships/hyperlink" Target="https://drive.google.com/file/d/1bgxILD6T3fsy4e1S-0PNgNeNLgNew7pE/view?usp=drivesdk" TargetMode="External"/><Relationship Id="rId7877" Type="http://schemas.openxmlformats.org/officeDocument/2006/relationships/hyperlink" Target="https://drive.google.com/file/d/1VFQL0Vrhl7GRkTzuUWShcy_xzLFJCYr_/view?usp=drivesdk" TargetMode="External"/><Relationship Id="rId387" Type="http://schemas.openxmlformats.org/officeDocument/2006/relationships/hyperlink" Target="https://drive.google.com/file/d/14RA40LkQivvYpbEzE3zNjKKdPQ6UEd9b/view?usp=drivesdk" TargetMode="External"/><Relationship Id="rId5213" Type="http://schemas.openxmlformats.org/officeDocument/2006/relationships/hyperlink" Target="https://drive.google.com/file/d/1gb-eZSVcNLb2p5W6Br0zePat29NBaNmv/view?usp=drivesdk" TargetMode="External"/><Relationship Id="rId6544" Type="http://schemas.openxmlformats.org/officeDocument/2006/relationships/hyperlink" Target="https://drive.google.com/file/d/1ttsLWWdBZcrNa2cLOLK8jSn4ZLi2FDGY/view?usp=drivesdk" TargetMode="External"/><Relationship Id="rId7876" Type="http://schemas.openxmlformats.org/officeDocument/2006/relationships/hyperlink" Target="https://drive.google.com/file/d/1P8uA8rrxR4GORMqKHLSzz2ZTLKeUHE5N/view?usp=drivesdk" TargetMode="External"/><Relationship Id="rId386" Type="http://schemas.openxmlformats.org/officeDocument/2006/relationships/hyperlink" Target="https://drive.google.com/file/d/1ihMcf2-bITCOn-p4ljp6mCCs_ac_NM_c/view?usp=drivesdk" TargetMode="External"/><Relationship Id="rId5214" Type="http://schemas.openxmlformats.org/officeDocument/2006/relationships/hyperlink" Target="https://drive.google.com/file/d/1tzfzCJAqzbvXan1XOEahof6KqAUyR0cn/view?usp=drivesdk" TargetMode="External"/><Relationship Id="rId6545" Type="http://schemas.openxmlformats.org/officeDocument/2006/relationships/hyperlink" Target="https://drive.google.com/file/d/1mCFLkIwqZvkFUpvG-EMnbeD2JmFcf1MA/view?usp=drivesdk" TargetMode="External"/><Relationship Id="rId7875" Type="http://schemas.openxmlformats.org/officeDocument/2006/relationships/hyperlink" Target="https://drive.google.com/file/d/1G1OreAFcl2Bweo4KW5H6bVNzus9mG3B9/view?usp=drivesdk" TargetMode="External"/><Relationship Id="rId5208" Type="http://schemas.openxmlformats.org/officeDocument/2006/relationships/hyperlink" Target="https://drive.google.com/file/d/1-_ayfE66-u02LtGn7etQExeRGyn7lhlY/view?usp=drivesdk" TargetMode="External"/><Relationship Id="rId6539" Type="http://schemas.openxmlformats.org/officeDocument/2006/relationships/hyperlink" Target="https://drive.google.com/file/d/1BHtwcx111-FxlIWSEIjYe7zu8BBvp8Uk/view?usp=drivesdk" TargetMode="External"/><Relationship Id="rId5209" Type="http://schemas.openxmlformats.org/officeDocument/2006/relationships/hyperlink" Target="https://drive.google.com/file/d/1JTBpWmVcU-gDk7z53gzRvspJ4Ec8BxnW/view?usp=drivesdk" TargetMode="External"/><Relationship Id="rId5206" Type="http://schemas.openxmlformats.org/officeDocument/2006/relationships/hyperlink" Target="https://drive.google.com/file/d/1VRDDlDtxs7ix5tLGjTYx7N4vRz2vL0Kk/view?usp=drivesdk" TargetMode="External"/><Relationship Id="rId6537" Type="http://schemas.openxmlformats.org/officeDocument/2006/relationships/hyperlink" Target="https://drive.google.com/file/d/1hhY2xfz2eOX0hJW6uz5ktpPha8fkMvlI/view?usp=drivesdk" TargetMode="External"/><Relationship Id="rId7869" Type="http://schemas.openxmlformats.org/officeDocument/2006/relationships/hyperlink" Target="https://drive.google.com/file/d/13-iQ9aZTiLFa8H6WEqogCF60AOt9Avfe/view?usp=drivesdk" TargetMode="External"/><Relationship Id="rId5207" Type="http://schemas.openxmlformats.org/officeDocument/2006/relationships/hyperlink" Target="https://drive.google.com/file/d/1AWyV5pVKedPO3UOpbgH74QfMqdcHVQ4b/view?usp=drivesdk" TargetMode="External"/><Relationship Id="rId6538" Type="http://schemas.openxmlformats.org/officeDocument/2006/relationships/hyperlink" Target="https://drive.google.com/file/d/1n1c2DtV97AbR-138IPEEY6ngAg0fVtX3/view?usp=drivesdk" TargetMode="External"/><Relationship Id="rId7868" Type="http://schemas.openxmlformats.org/officeDocument/2006/relationships/hyperlink" Target="https://drive.google.com/file/d/1b4PJghNN_10EJpQLOyKwlZpBb7ITYVA4/view?usp=drivesdk" TargetMode="External"/><Relationship Id="rId381" Type="http://schemas.openxmlformats.org/officeDocument/2006/relationships/hyperlink" Target="https://drive.google.com/file/d/1nlJ17AgNm--dFJuGtHMhIxonfCq9hQyt/view?usp=drivesdk" TargetMode="External"/><Relationship Id="rId380" Type="http://schemas.openxmlformats.org/officeDocument/2006/relationships/hyperlink" Target="https://drive.google.com/file/d/1FPIyMiwzGpuYyMGkhLaTvtxEB8-vSHUQ/view?usp=drivesdk" TargetMode="External"/><Relationship Id="rId379" Type="http://schemas.openxmlformats.org/officeDocument/2006/relationships/hyperlink" Target="https://drive.google.com/file/d/1kZ_R8QSlNUpuqpR3bRK4UlK_S8LQSE4G/view?usp=drivesdk" TargetMode="External"/><Relationship Id="rId374" Type="http://schemas.openxmlformats.org/officeDocument/2006/relationships/hyperlink" Target="https://drive.google.com/file/d/1VToYPnpy8yUDLeSedd6iJxZjotdUeaI9/view?usp=drivesdk" TargetMode="External"/><Relationship Id="rId5200" Type="http://schemas.openxmlformats.org/officeDocument/2006/relationships/hyperlink" Target="https://drive.google.com/file/d/1rLvVYn6EkJyZz2wb6L2S0b-ZWtjlyH3F/view?usp=drivesdk" TargetMode="External"/><Relationship Id="rId6531" Type="http://schemas.openxmlformats.org/officeDocument/2006/relationships/hyperlink" Target="https://drive.google.com/file/d/1Vi6b8lHfmIM0RwKTVXBRl55xPLcKWQNw/view?usp=drivesdk" TargetMode="External"/><Relationship Id="rId7863" Type="http://schemas.openxmlformats.org/officeDocument/2006/relationships/hyperlink" Target="https://drive.google.com/file/d/1h0UIeQ4Ho9x5aI45GMnW8BBFsFnNGlEz/view?usp=drivesdk" TargetMode="External"/><Relationship Id="rId373" Type="http://schemas.openxmlformats.org/officeDocument/2006/relationships/hyperlink" Target="https://drive.google.com/file/d/1FJw9bn5cRcwTVkPnGpCuxFqISUeqHLgr/view?usp=drivesdk" TargetMode="External"/><Relationship Id="rId5201" Type="http://schemas.openxmlformats.org/officeDocument/2006/relationships/hyperlink" Target="https://drive.google.com/file/d/1OaEdXqNwFtcsxDwZ_F0-G_-SIgcsThFZ/view?usp=drivesdk" TargetMode="External"/><Relationship Id="rId6532" Type="http://schemas.openxmlformats.org/officeDocument/2006/relationships/hyperlink" Target="https://drive.google.com/file/d/1PC2BpqmGGFr582LlBpuOrrsNSiwIZ7Cv/view?usp=drivesdk" TargetMode="External"/><Relationship Id="rId7862" Type="http://schemas.openxmlformats.org/officeDocument/2006/relationships/hyperlink" Target="https://drive.google.com/file/d/1mjIvwHYQV_4FC_ft1v9Rk7yxpYd6hLfL/view?usp=drivesdk" TargetMode="External"/><Relationship Id="rId372" Type="http://schemas.openxmlformats.org/officeDocument/2006/relationships/hyperlink" Target="https://drive.google.com/file/d/1UqMhfSaeiC2KatKTPTbhUxhij01yuAdy/view?usp=drivesdk" TargetMode="External"/><Relationship Id="rId7861" Type="http://schemas.openxmlformats.org/officeDocument/2006/relationships/hyperlink" Target="https://drive.google.com/file/d/10wKzIAn8DQOXiyOIHQZSdcwdTKlBeOng/view?usp=drivesdk" TargetMode="External"/><Relationship Id="rId371" Type="http://schemas.openxmlformats.org/officeDocument/2006/relationships/hyperlink" Target="https://drive.google.com/file/d/1GVlFWs78tiSnFVxhrlrOstN0DBqum02c/view?usp=drivesdk" TargetMode="External"/><Relationship Id="rId6530" Type="http://schemas.openxmlformats.org/officeDocument/2006/relationships/hyperlink" Target="https://drive.google.com/file/d/1dPwhIv9xBBC6vpfcI2TO9Frg8Rh41KKY/view?usp=drivesdk" TargetMode="External"/><Relationship Id="rId7860" Type="http://schemas.openxmlformats.org/officeDocument/2006/relationships/hyperlink" Target="https://drive.google.com/file/d/1m582090XDrV-kNUE1Hl03ULiQy2C0wbA/view?usp=drivesdk" TargetMode="External"/><Relationship Id="rId378" Type="http://schemas.openxmlformats.org/officeDocument/2006/relationships/hyperlink" Target="https://drive.google.com/file/d/1ustgRDY2Mvno8CLo3bfa7P4obTSFYfq0/view?usp=drivesdk" TargetMode="External"/><Relationship Id="rId5204" Type="http://schemas.openxmlformats.org/officeDocument/2006/relationships/hyperlink" Target="https://drive.google.com/file/d/1dN6UEZ_CmHU6uo7cbOJr7tplaIalkzu0/view?usp=drivesdk" TargetMode="External"/><Relationship Id="rId6535" Type="http://schemas.openxmlformats.org/officeDocument/2006/relationships/hyperlink" Target="https://drive.google.com/file/d/1OSCphhfO_aav8Ng704OYcb-0qdbXZVWB/view?usp=drivesdk" TargetMode="External"/><Relationship Id="rId7867" Type="http://schemas.openxmlformats.org/officeDocument/2006/relationships/hyperlink" Target="https://drive.google.com/file/d/1fMBX51jfBSLnJOJLvqQIkeWcjWChNYA6/view?usp=drivesdk" TargetMode="External"/><Relationship Id="rId377" Type="http://schemas.openxmlformats.org/officeDocument/2006/relationships/hyperlink" Target="https://drive.google.com/file/d/1vdLhEHCKbpozt-R4JbA9TxCG20xn2guq/view?usp=drivesdk" TargetMode="External"/><Relationship Id="rId5205" Type="http://schemas.openxmlformats.org/officeDocument/2006/relationships/hyperlink" Target="https://drive.google.com/file/d/1cZe2I2z2wgDiHqiFA2C9ohuoPTyclXle/view?usp=drivesdk" TargetMode="External"/><Relationship Id="rId6536" Type="http://schemas.openxmlformats.org/officeDocument/2006/relationships/hyperlink" Target="https://drive.google.com/file/d/1aI3Jkbwv7s6G61BY_xxgDh5ABaiX1jfl/view?usp=drivesdk" TargetMode="External"/><Relationship Id="rId7866" Type="http://schemas.openxmlformats.org/officeDocument/2006/relationships/hyperlink" Target="https://drive.google.com/file/d/1-d04PeBRjtCTCaKuQUQF3jgx8wPFuPYz/view?usp=drivesdk" TargetMode="External"/><Relationship Id="rId376" Type="http://schemas.openxmlformats.org/officeDocument/2006/relationships/hyperlink" Target="https://drive.google.com/file/d/1ubAku3ZT1qw6eHVgx26NWC-oJ1_FZYAA/view?usp=drivesdk" TargetMode="External"/><Relationship Id="rId5202" Type="http://schemas.openxmlformats.org/officeDocument/2006/relationships/hyperlink" Target="https://drive.google.com/file/d/1jD9Ta_Dzn4jNQ-Ms3RlizswtbhVTNKzw/view?usp=drivesdk" TargetMode="External"/><Relationship Id="rId6533" Type="http://schemas.openxmlformats.org/officeDocument/2006/relationships/hyperlink" Target="https://drive.google.com/file/d/1ZPPfvN3uZZQ4w-Abab-lUaW8asZJ-Ju2/view?usp=drivesdk" TargetMode="External"/><Relationship Id="rId7865" Type="http://schemas.openxmlformats.org/officeDocument/2006/relationships/hyperlink" Target="https://drive.google.com/file/d/1XriCRI7E2CLKISZ0-FlZaRr68a9HDovy/view?usp=drivesdk" TargetMode="External"/><Relationship Id="rId375" Type="http://schemas.openxmlformats.org/officeDocument/2006/relationships/hyperlink" Target="https://drive.google.com/file/d/1UREHB6wFszIjf1pgRJ0d0mGvR0SLtwgI/view?usp=drivesdk" TargetMode="External"/><Relationship Id="rId5203" Type="http://schemas.openxmlformats.org/officeDocument/2006/relationships/hyperlink" Target="https://drive.google.com/file/d/1cOqExEz4MDGJmMKjyz8L-zB0qB0UZUfb/view?usp=drivesdk" TargetMode="External"/><Relationship Id="rId6534" Type="http://schemas.openxmlformats.org/officeDocument/2006/relationships/hyperlink" Target="https://drive.google.com/file/d/1yt7Oci5NogbH6ctjaNZfhy3ayr362FcL/view?usp=drivesdk" TargetMode="External"/><Relationship Id="rId7864" Type="http://schemas.openxmlformats.org/officeDocument/2006/relationships/hyperlink" Target="https://drive.google.com/file/d/1t8b3_ap4t1LLt6ioO8PbWRSFZzPZtF1d/view?usp=drivesdk" TargetMode="External"/><Relationship Id="rId5239" Type="http://schemas.openxmlformats.org/officeDocument/2006/relationships/hyperlink" Target="https://drive.google.com/file/d/1pWcWJpuVj-ACDHkPwteMbq7smNz65XDG/view?usp=drivesdk" TargetMode="External"/><Relationship Id="rId6560" Type="http://schemas.openxmlformats.org/officeDocument/2006/relationships/hyperlink" Target="https://drive.google.com/file/d/1JMvumSPS1-YRaAKE1cfqgoptTVTCzNef/view?usp=drivesdk" TargetMode="External"/><Relationship Id="rId7892" Type="http://schemas.openxmlformats.org/officeDocument/2006/relationships/hyperlink" Target="https://drive.google.com/file/d/1Uw-EX6B81HVBJreupldFOvqh-UpKiSw_/view?usp=drivesdk" TargetMode="External"/><Relationship Id="rId5230" Type="http://schemas.openxmlformats.org/officeDocument/2006/relationships/hyperlink" Target="https://drive.google.com/file/d/18cuqMzt8ZNxQpLECH3TefmTBJhvnZDnm/view?usp=drivesdk" TargetMode="External"/><Relationship Id="rId6561" Type="http://schemas.openxmlformats.org/officeDocument/2006/relationships/hyperlink" Target="https://drive.google.com/file/d/1a_g6slbRM5WYzEzhb0D7ssnAVIk84m4O/view?usp=drivesdk" TargetMode="External"/><Relationship Id="rId7891" Type="http://schemas.openxmlformats.org/officeDocument/2006/relationships/hyperlink" Target="https://drive.google.com/file/d/1fjXhICL4pviOKtn_illMrSxnfWorNbCK/view?usp=drivesdk" TargetMode="External"/><Relationship Id="rId7890" Type="http://schemas.openxmlformats.org/officeDocument/2006/relationships/hyperlink" Target="https://drive.google.com/file/d/1He18eggKUuPw0Zx0Ku2eg0CvYO3fdN_c/view?usp=drivesdk" TargetMode="External"/><Relationship Id="rId5233" Type="http://schemas.openxmlformats.org/officeDocument/2006/relationships/hyperlink" Target="https://drive.google.com/file/d/1ao3PFYStasRlajXwJ8t5JSnfeli0hzVs/view?usp=drivesdk" TargetMode="External"/><Relationship Id="rId6564" Type="http://schemas.openxmlformats.org/officeDocument/2006/relationships/hyperlink" Target="https://drive.google.com/file/d/1f_xVQ3hxY4XMat_70W_AG_sXFGxJQokv/view?usp=drivesdk" TargetMode="External"/><Relationship Id="rId7896" Type="http://schemas.openxmlformats.org/officeDocument/2006/relationships/hyperlink" Target="https://drive.google.com/file/d/1VlGMV9Tdq4TPgrI7PEzuw6dAwkjdACUr/view?usp=drivesdk" TargetMode="External"/><Relationship Id="rId5234" Type="http://schemas.openxmlformats.org/officeDocument/2006/relationships/hyperlink" Target="https://drive.google.com/file/d/1-kJGOs0C6HO60EDnKmIUu06qR1JhFhCa/view?usp=drivesdk" TargetMode="External"/><Relationship Id="rId6565" Type="http://schemas.openxmlformats.org/officeDocument/2006/relationships/hyperlink" Target="https://drive.google.com/file/d/1Ml7XcwGl0B8z9rG9iAaIl3J-zKctPmHy/view?usp=drivesdk" TargetMode="External"/><Relationship Id="rId7895" Type="http://schemas.openxmlformats.org/officeDocument/2006/relationships/hyperlink" Target="https://drive.google.com/file/d/12sjdRW6o7GkVXfgfNOP_N9O90PM9RCE_/view?usp=drivesdk" TargetMode="External"/><Relationship Id="rId5231" Type="http://schemas.openxmlformats.org/officeDocument/2006/relationships/hyperlink" Target="https://drive.google.com/file/d/1s6i2nqihWp8WqbEDzmu5BYbB5FP4oaYF/view?usp=drivesdk" TargetMode="External"/><Relationship Id="rId6562" Type="http://schemas.openxmlformats.org/officeDocument/2006/relationships/hyperlink" Target="https://drive.google.com/file/d/1tRdmqcTPpGZBlp_PlqakRR5GdVIp_m3t/view?usp=drivesdk" TargetMode="External"/><Relationship Id="rId7894" Type="http://schemas.openxmlformats.org/officeDocument/2006/relationships/hyperlink" Target="https://drive.google.com/file/d/1O5cnNMx9D5v7EVUwwl3x-UfHWdmi6iw2/view?usp=drivesdk" TargetMode="External"/><Relationship Id="rId5232" Type="http://schemas.openxmlformats.org/officeDocument/2006/relationships/hyperlink" Target="https://drive.google.com/file/d/1tCnTg7LSnYL9CbdqHJrQF2oAflQb7lud/view?usp=drivesdk" TargetMode="External"/><Relationship Id="rId6563" Type="http://schemas.openxmlformats.org/officeDocument/2006/relationships/hyperlink" Target="https://drive.google.com/file/d/1McOMjWkPztyPmxGezshumWaf3TI_WRc5/view?usp=drivesdk" TargetMode="External"/><Relationship Id="rId7893" Type="http://schemas.openxmlformats.org/officeDocument/2006/relationships/hyperlink" Target="https://drive.google.com/file/d/1b_XE_-mwOOG1V9ImDaOQ66LX1jX7IxfX/view?usp=drivesdk" TargetMode="External"/><Relationship Id="rId5237" Type="http://schemas.openxmlformats.org/officeDocument/2006/relationships/hyperlink" Target="https://drive.google.com/file/d/1SgS9l2qDfmQaAg9e5FRMehTK0BxhPEaK/view?usp=drivesdk" TargetMode="External"/><Relationship Id="rId6568" Type="http://schemas.openxmlformats.org/officeDocument/2006/relationships/hyperlink" Target="https://drive.google.com/file/d/1vqMttGEr0HnCD78BzNp_9lHILFUSvJZs/view?usp=drivesdk" TargetMode="External"/><Relationship Id="rId5238" Type="http://schemas.openxmlformats.org/officeDocument/2006/relationships/hyperlink" Target="https://drive.google.com/file/d/1moRmZBIroEAkeWek8G2U-8gfXz5hA95z/view?usp=drivesdk" TargetMode="External"/><Relationship Id="rId6569" Type="http://schemas.openxmlformats.org/officeDocument/2006/relationships/hyperlink" Target="https://drive.google.com/file/d/1-yCJ6PQ386ACu7iBb4KxgpxX4VJWLhic/view?usp=drivesdk" TargetMode="External"/><Relationship Id="rId7899" Type="http://schemas.openxmlformats.org/officeDocument/2006/relationships/hyperlink" Target="https://drive.google.com/file/d/1IkhilyaHe60mDI9D50NR-QR3Uf9nDPum/view?usp=drivesdk" TargetMode="External"/><Relationship Id="rId5235" Type="http://schemas.openxmlformats.org/officeDocument/2006/relationships/hyperlink" Target="https://drive.google.com/file/d/1CL-RcwbATKhjoua7ZlTxehX6RYXUgWby/view?usp=drivesdk" TargetMode="External"/><Relationship Id="rId6566" Type="http://schemas.openxmlformats.org/officeDocument/2006/relationships/hyperlink" Target="https://drive.google.com/file/d/1oJIEwV0N4cm-8SwNMyXnWU25mrgeSD1x/view?usp=drivesdk" TargetMode="External"/><Relationship Id="rId7898" Type="http://schemas.openxmlformats.org/officeDocument/2006/relationships/hyperlink" Target="https://drive.google.com/file/d/1vUGeXxRsHBzliTqeL6gmgYAxUJ2ESW1S/view?usp=drivesdk" TargetMode="External"/><Relationship Id="rId5236" Type="http://schemas.openxmlformats.org/officeDocument/2006/relationships/hyperlink" Target="https://drive.google.com/file/d/1TmpnovNs1FQawBP_RFNBOggrNFSlIZx4/view?usp=drivesdk" TargetMode="External"/><Relationship Id="rId6567" Type="http://schemas.openxmlformats.org/officeDocument/2006/relationships/hyperlink" Target="https://drive.google.com/file/d/1Qho7B5wfwmUDoZh_ThMNF-yaaNWlzNgx/view?usp=drivesdk" TargetMode="External"/><Relationship Id="rId7897" Type="http://schemas.openxmlformats.org/officeDocument/2006/relationships/hyperlink" Target="https://drive.google.com/file/d/17ulPa7f2viI2ZJ1ko6WwBMy42VDKbdFX/view?usp=drivesdk" TargetMode="External"/><Relationship Id="rId5228" Type="http://schemas.openxmlformats.org/officeDocument/2006/relationships/hyperlink" Target="https://drive.google.com/file/d/1BbhzWETHs3_fKWu7Fd9T_DsEo_7AzY2z/view?usp=drivesdk" TargetMode="External"/><Relationship Id="rId6559" Type="http://schemas.openxmlformats.org/officeDocument/2006/relationships/hyperlink" Target="https://drive.google.com/file/d/1n8EbklrcIkq_-wXOjpY6cO0hQ3yb5Zja/view?usp=drivesdk" TargetMode="External"/><Relationship Id="rId5229" Type="http://schemas.openxmlformats.org/officeDocument/2006/relationships/hyperlink" Target="https://drive.google.com/file/d/1U0srSS1bnC8rLCRXgfX-tsNAWbHUS0kz/view?usp=drivesdk" TargetMode="External"/><Relationship Id="rId7881" Type="http://schemas.openxmlformats.org/officeDocument/2006/relationships/hyperlink" Target="https://drive.google.com/file/d/1iUQ6NMxJm1ImrOZzdS3gbwyRSIINMqvU/view?usp=drivesdk" TargetMode="External"/><Relationship Id="rId6550" Type="http://schemas.openxmlformats.org/officeDocument/2006/relationships/hyperlink" Target="https://drive.google.com/file/d/11G9Gh2PZb8gEFMZWLScbFH_VWgfmknPL/view?usp=drivesdk" TargetMode="External"/><Relationship Id="rId7880" Type="http://schemas.openxmlformats.org/officeDocument/2006/relationships/hyperlink" Target="https://drive.google.com/file/d/1d4rI4bMqkpreszXN4ljx46qhAQ_-Ehpx/view?usp=drivesdk" TargetMode="External"/><Relationship Id="rId396" Type="http://schemas.openxmlformats.org/officeDocument/2006/relationships/hyperlink" Target="https://drive.google.com/file/d/1ipvE8eOg7KmLGYdepmjQBnS4Suq8zjNj/view?usp=drivesdk" TargetMode="External"/><Relationship Id="rId5222" Type="http://schemas.openxmlformats.org/officeDocument/2006/relationships/hyperlink" Target="https://drive.google.com/file/d/19Ik3jdKaY55wtALPXABh3tjjrs3u5c3I/view?usp=drivesdk" TargetMode="External"/><Relationship Id="rId6553" Type="http://schemas.openxmlformats.org/officeDocument/2006/relationships/hyperlink" Target="https://drive.google.com/file/d/19cILgQPYqA2eup1lDNJgRt62Gkk5bH7v/view?usp=drivesdk" TargetMode="External"/><Relationship Id="rId7885" Type="http://schemas.openxmlformats.org/officeDocument/2006/relationships/hyperlink" Target="https://drive.google.com/file/d/1WKvXCbqUiDz3DVOPsz928-YxFzDm3k2a/view?usp=drivesdk" TargetMode="External"/><Relationship Id="rId395" Type="http://schemas.openxmlformats.org/officeDocument/2006/relationships/hyperlink" Target="https://drive.google.com/file/d/1fNVXu4Ek-rOZv4jwc9Ux0C7tXOILlhPl/view?usp=drivesdk" TargetMode="External"/><Relationship Id="rId5223" Type="http://schemas.openxmlformats.org/officeDocument/2006/relationships/hyperlink" Target="https://drive.google.com/file/d/1-t_RkSTk-G8-OAtVYSAq4kvpdGUgq3cE/view?usp=drivesdk" TargetMode="External"/><Relationship Id="rId6554" Type="http://schemas.openxmlformats.org/officeDocument/2006/relationships/hyperlink" Target="https://drive.google.com/file/d/1DUjANEo1p38WCIISv4fKfCQWEHeWECzj/view?usp=drivesdk" TargetMode="External"/><Relationship Id="rId7884" Type="http://schemas.openxmlformats.org/officeDocument/2006/relationships/hyperlink" Target="https://drive.google.com/file/d/1yw5w9NWJtqJXeHf5J4VN4o66zuehh5oO/view?usp=drivesdk" TargetMode="External"/><Relationship Id="rId394" Type="http://schemas.openxmlformats.org/officeDocument/2006/relationships/hyperlink" Target="https://drive.google.com/file/d/13SSOwLnsRKPfN07xy8JQsQIdEXPe6Yom/view?usp=drivesdk" TargetMode="External"/><Relationship Id="rId5220" Type="http://schemas.openxmlformats.org/officeDocument/2006/relationships/hyperlink" Target="https://drive.google.com/file/d/1YhmZf8yxtzvyLv7WE_Xy5QMnWbVodwJM/view?usp=drivesdk" TargetMode="External"/><Relationship Id="rId6551" Type="http://schemas.openxmlformats.org/officeDocument/2006/relationships/hyperlink" Target="https://drive.google.com/file/d/1cLNjxnWar86LIRDA6ovOxYkQqwDfiRVd/view?usp=drivesdk" TargetMode="External"/><Relationship Id="rId7883" Type="http://schemas.openxmlformats.org/officeDocument/2006/relationships/hyperlink" Target="https://drive.google.com/file/d/1KRuK4zQoThND0vlPTNyrN37ImbHnevWL/view?usp=drivesdk" TargetMode="External"/><Relationship Id="rId393" Type="http://schemas.openxmlformats.org/officeDocument/2006/relationships/hyperlink" Target="https://drive.google.com/file/d/1o77O5IB3AcJza4Xf731ok5RDr_n8rPh5/view?usp=drivesdk" TargetMode="External"/><Relationship Id="rId5221" Type="http://schemas.openxmlformats.org/officeDocument/2006/relationships/hyperlink" Target="https://drive.google.com/file/d/1OjF0_yKtzx14lLnBC803rMVlJ0XK9NUf/view?usp=drivesdk" TargetMode="External"/><Relationship Id="rId6552" Type="http://schemas.openxmlformats.org/officeDocument/2006/relationships/hyperlink" Target="https://drive.google.com/file/d/1ZsRM2Ypki4U9MOHv01dgnOI-ZTwY4CGF/view?usp=drivesdk" TargetMode="External"/><Relationship Id="rId7882" Type="http://schemas.openxmlformats.org/officeDocument/2006/relationships/hyperlink" Target="https://drive.google.com/file/d/1qZlBH1yppLJ6UeTEVs7tDZndPXAtytBl/view?usp=drivesdk" TargetMode="External"/><Relationship Id="rId5226" Type="http://schemas.openxmlformats.org/officeDocument/2006/relationships/hyperlink" Target="https://drive.google.com/file/d/1YJF-Cr3A1nMYXwThYizKXXmqPGvc66sT/view?usp=drivesdk" TargetMode="External"/><Relationship Id="rId6557" Type="http://schemas.openxmlformats.org/officeDocument/2006/relationships/hyperlink" Target="https://drive.google.com/file/d/1-rOG1xkDxEtRT5Sz2sIlqVkmKBsUhW3d/view?usp=drivesdk" TargetMode="External"/><Relationship Id="rId7889" Type="http://schemas.openxmlformats.org/officeDocument/2006/relationships/hyperlink" Target="https://drive.google.com/file/d/1xNOif-FrL31sP5Qb7F8m0NJEcEbHIHTE/view?usp=drivesdk" TargetMode="External"/><Relationship Id="rId399" Type="http://schemas.openxmlformats.org/officeDocument/2006/relationships/hyperlink" Target="https://drive.google.com/file/d/1ceI4QeLrfbOtAk6zD7-rK8L-pcoCtcW-/view?usp=drivesdk" TargetMode="External"/><Relationship Id="rId5227" Type="http://schemas.openxmlformats.org/officeDocument/2006/relationships/hyperlink" Target="https://drive.google.com/file/d/1C9fuNyngIbb6fX_MqJckKuDfmcJOHljl/view?usp=drivesdk" TargetMode="External"/><Relationship Id="rId6558" Type="http://schemas.openxmlformats.org/officeDocument/2006/relationships/hyperlink" Target="https://drive.google.com/file/d/1OZuYig2AjQbwK3v-YUOmHSpjikathQr6/view?usp=drivesdk" TargetMode="External"/><Relationship Id="rId7888" Type="http://schemas.openxmlformats.org/officeDocument/2006/relationships/hyperlink" Target="https://drive.google.com/file/d/1tTSjgra0yQ3SAKeA6Y-qhxVcqpi8A3Vn/view?usp=drivesdk" TargetMode="External"/><Relationship Id="rId398" Type="http://schemas.openxmlformats.org/officeDocument/2006/relationships/hyperlink" Target="https://drive.google.com/file/d/1SN_FNaZEg0v301wHzv2xpslcrtwhTBP9/view?usp=drivesdk" TargetMode="External"/><Relationship Id="rId5224" Type="http://schemas.openxmlformats.org/officeDocument/2006/relationships/hyperlink" Target="https://drive.google.com/file/d/1A9mzAjDL-yYltmHvrZHlLZBNCCXUG2zF/view?usp=drivesdk" TargetMode="External"/><Relationship Id="rId6555" Type="http://schemas.openxmlformats.org/officeDocument/2006/relationships/hyperlink" Target="https://drive.google.com/file/d/19iaw5jQbrYfrVs2fpu8cDsnAe5Qp9X5D/view?usp=drivesdk" TargetMode="External"/><Relationship Id="rId7887" Type="http://schemas.openxmlformats.org/officeDocument/2006/relationships/hyperlink" Target="https://drive.google.com/file/d/1PLp5qsmJtHpWDvBUkeUsdUPFwNu4yen7/view?usp=drivesdk" TargetMode="External"/><Relationship Id="rId397" Type="http://schemas.openxmlformats.org/officeDocument/2006/relationships/hyperlink" Target="https://drive.google.com/file/d/1q18rPRPfainyz2zgFupId8sZB2Obfw_v/view?usp=drivesdk" TargetMode="External"/><Relationship Id="rId5225" Type="http://schemas.openxmlformats.org/officeDocument/2006/relationships/hyperlink" Target="https://drive.google.com/file/d/1Ano1dC92BrKmLomE6qT0UNNPAlR_X4xs/view?usp=drivesdk" TargetMode="External"/><Relationship Id="rId6556" Type="http://schemas.openxmlformats.org/officeDocument/2006/relationships/hyperlink" Target="https://drive.google.com/file/d/1ch6Bz5HmFOIDfk3_JOmCUkBqo1cKz_9n/view?usp=drivesdk" TargetMode="External"/><Relationship Id="rId7886" Type="http://schemas.openxmlformats.org/officeDocument/2006/relationships/hyperlink" Target="https://drive.google.com/file/d/1pndaX_ofk8mc2q445BaKRamlzitivClb/view?usp=drivesdk" TargetMode="External"/><Relationship Id="rId1730" Type="http://schemas.openxmlformats.org/officeDocument/2006/relationships/hyperlink" Target="https://drive.google.com/file/d/11Ajf5F0IsYcjvdXRLDOSYXpk3Y11B8IG/view?usp=drivesdk" TargetMode="External"/><Relationship Id="rId1731" Type="http://schemas.openxmlformats.org/officeDocument/2006/relationships/hyperlink" Target="https://drive.google.com/file/d/1rINbTnl08rViPehSb1ytLWhsZnbw-iwo/view?usp=drivesdk" TargetMode="External"/><Relationship Id="rId1732" Type="http://schemas.openxmlformats.org/officeDocument/2006/relationships/hyperlink" Target="https://drive.google.com/file/d/1QKuuVbeSSQaX3zbNU1pAZB-O5ETEB9Va/view?usp=drivesdk" TargetMode="External"/><Relationship Id="rId1733" Type="http://schemas.openxmlformats.org/officeDocument/2006/relationships/hyperlink" Target="https://drive.google.com/file/d/1lQbH4VDuTpOVhNEc1U55-F2GRje3ND9o/view?usp=drivesdk" TargetMode="External"/><Relationship Id="rId1734" Type="http://schemas.openxmlformats.org/officeDocument/2006/relationships/hyperlink" Target="https://drive.google.com/file/d/1notenSNV87T2aOu8ATRl3ej4PNxuGyAh/view?usp=drivesdk" TargetMode="External"/><Relationship Id="rId1735" Type="http://schemas.openxmlformats.org/officeDocument/2006/relationships/hyperlink" Target="https://drive.google.com/file/d/1aTe2_WbcWNc8iDqcHibG9xbUZkB8qJcF/view?usp=drivesdk" TargetMode="External"/><Relationship Id="rId1736" Type="http://schemas.openxmlformats.org/officeDocument/2006/relationships/hyperlink" Target="https://drive.google.com/file/d/1OtYi8aOHTg7E4EmuTCXtOWhzddyIoGt2/view?usp=drivesdk" TargetMode="External"/><Relationship Id="rId1737" Type="http://schemas.openxmlformats.org/officeDocument/2006/relationships/hyperlink" Target="https://drive.google.com/file/d/1CccbWzf5YSo6lAqUEewSn_qJWRTuOvU6/view?usp=drivesdk" TargetMode="External"/><Relationship Id="rId1738" Type="http://schemas.openxmlformats.org/officeDocument/2006/relationships/hyperlink" Target="https://drive.google.com/file/d/1jInUn1ri4J3y2IScDLe1kvLNOgfHcJZ7/view?usp=drivesdk" TargetMode="External"/><Relationship Id="rId1739" Type="http://schemas.openxmlformats.org/officeDocument/2006/relationships/hyperlink" Target="https://drive.google.com/file/d/16P7y5BLbYmSITy6x10Wr0bw9MBj3FBaO/view?usp=drivesdk" TargetMode="External"/><Relationship Id="rId1720" Type="http://schemas.openxmlformats.org/officeDocument/2006/relationships/hyperlink" Target="https://drive.google.com/file/d/1qO-kg_lOmm7Iai1F-0EMYmWbq-OkQgNq/view?usp=drivesdk" TargetMode="External"/><Relationship Id="rId1721" Type="http://schemas.openxmlformats.org/officeDocument/2006/relationships/hyperlink" Target="https://drive.google.com/file/d/15XkiEvRx4u_CL8v6l5F2BJLga08-mGpO/view?usp=drivesdk" TargetMode="External"/><Relationship Id="rId1722" Type="http://schemas.openxmlformats.org/officeDocument/2006/relationships/hyperlink" Target="https://drive.google.com/file/d/16IdoPm7golra8pX1BuwMsb9vr6xTQP6c/view?usp=drivesdk" TargetMode="External"/><Relationship Id="rId1723" Type="http://schemas.openxmlformats.org/officeDocument/2006/relationships/hyperlink" Target="https://drive.google.com/file/d/183DbD7T4et5urlclrIUll95mXtgcIEUb/view?usp=drivesdk" TargetMode="External"/><Relationship Id="rId1724" Type="http://schemas.openxmlformats.org/officeDocument/2006/relationships/hyperlink" Target="https://drive.google.com/file/d/1ZkwvbKs_pExsiDPX1_4-3ZBCyi9twXtY/view?usp=drivesdk" TargetMode="External"/><Relationship Id="rId1725" Type="http://schemas.openxmlformats.org/officeDocument/2006/relationships/hyperlink" Target="https://drive.google.com/file/d/1k7QPFafwHf-dB6sBgvR1aDb1_VroHgfK/view?usp=drivesdk" TargetMode="External"/><Relationship Id="rId1726" Type="http://schemas.openxmlformats.org/officeDocument/2006/relationships/hyperlink" Target="https://drive.google.com/file/d/1xHYDcL1XWfmh6JpCsqQYiGLN--N3Nh1u/view?usp=drivesdk" TargetMode="External"/><Relationship Id="rId1727" Type="http://schemas.openxmlformats.org/officeDocument/2006/relationships/hyperlink" Target="https://drive.google.com/file/d/1QIdjOiBiJSsGEVf0a9CXPy5hzAacJPov/view?usp=drivesdk" TargetMode="External"/><Relationship Id="rId1728" Type="http://schemas.openxmlformats.org/officeDocument/2006/relationships/hyperlink" Target="https://drive.google.com/file/d/1VDb2VA6YzUikfnFiWdisdLdEUaApH8jZ/view?usp=drivesdk" TargetMode="External"/><Relationship Id="rId1729" Type="http://schemas.openxmlformats.org/officeDocument/2006/relationships/hyperlink" Target="https://drive.google.com/file/d/1K03dXskInMfRnKM67HvdC83gg5HUTtoy/view?usp=drivesdk" TargetMode="External"/><Relationship Id="rId1752" Type="http://schemas.openxmlformats.org/officeDocument/2006/relationships/hyperlink" Target="https://drive.google.com/file/d/159W_egN_vWY9zM_Rq0ZxmP55ZOrxTjYK/view?usp=drivesdk" TargetMode="External"/><Relationship Id="rId1753" Type="http://schemas.openxmlformats.org/officeDocument/2006/relationships/hyperlink" Target="https://drive.google.com/file/d/1Q-vfo7wwjA3V0b54qcW7OB3tCqpJfl5r/view?usp=drivesdk" TargetMode="External"/><Relationship Id="rId1754" Type="http://schemas.openxmlformats.org/officeDocument/2006/relationships/hyperlink" Target="https://drive.google.com/file/d/1TBRN6T3qYpiiEJymhCTuMgJ7I0bEh2vs/view?usp=drivesdk" TargetMode="External"/><Relationship Id="rId1755" Type="http://schemas.openxmlformats.org/officeDocument/2006/relationships/hyperlink" Target="https://drive.google.com/file/d/1PRC_lcgpom0Ed7ORL-ABAb51w2k1oNOQ/view?usp=drivesdk" TargetMode="External"/><Relationship Id="rId1756" Type="http://schemas.openxmlformats.org/officeDocument/2006/relationships/hyperlink" Target="https://drive.google.com/file/d/1VNBcL0jX3u-L7MAnvMav4i44C4xeEA2o/view?usp=drivesdk" TargetMode="External"/><Relationship Id="rId1757" Type="http://schemas.openxmlformats.org/officeDocument/2006/relationships/hyperlink" Target="https://drive.google.com/file/d/1_9DoE3jlqelmsb81Qgt6SyJqhLRN2pUF/view?usp=drivesdk" TargetMode="External"/><Relationship Id="rId1758" Type="http://schemas.openxmlformats.org/officeDocument/2006/relationships/hyperlink" Target="https://drive.google.com/file/d/1iG53cJ7WoPH4_8Z2Xr8NXSkrZ6awf638/view?usp=drivesdk" TargetMode="External"/><Relationship Id="rId1759" Type="http://schemas.openxmlformats.org/officeDocument/2006/relationships/hyperlink" Target="https://drive.google.com/file/d/1OAc50vBXxwJrMoDPXTZxziaWE9eW-Q4O/view?usp=drivesdk" TargetMode="External"/><Relationship Id="rId1750" Type="http://schemas.openxmlformats.org/officeDocument/2006/relationships/hyperlink" Target="https://drive.google.com/file/d/1bA3I0kv1hsBj863Q3745P_t665ORsEr6/view?usp=drivesdk" TargetMode="External"/><Relationship Id="rId1751" Type="http://schemas.openxmlformats.org/officeDocument/2006/relationships/hyperlink" Target="https://drive.google.com/file/d/143RkfXbDYPDx5lGHF8YFkS2XfXobCWr1/view?usp=drivesdk" TargetMode="External"/><Relationship Id="rId1741" Type="http://schemas.openxmlformats.org/officeDocument/2006/relationships/hyperlink" Target="https://drive.google.com/file/d/1vEf0wfWnRqcF61HSyfrjre1y6Vmn46eT/view?usp=drivesdk" TargetMode="External"/><Relationship Id="rId1742" Type="http://schemas.openxmlformats.org/officeDocument/2006/relationships/hyperlink" Target="https://drive.google.com/file/d/1Jc0BuzC2AHj1g7Fq12QhGdTDuXr2S3ZR/view?usp=drivesdk" TargetMode="External"/><Relationship Id="rId1743" Type="http://schemas.openxmlformats.org/officeDocument/2006/relationships/hyperlink" Target="https://drive.google.com/file/d/1weImYDtSDzVrs4262oN_6_Fb0ck4k-cn/view?usp=drivesdk" TargetMode="External"/><Relationship Id="rId1744" Type="http://schemas.openxmlformats.org/officeDocument/2006/relationships/hyperlink" Target="https://drive.google.com/file/d/1b9R_5HDVXeG2MSbtJOWORiIg_gZ2FI4u/view?usp=drivesdk" TargetMode="External"/><Relationship Id="rId1745" Type="http://schemas.openxmlformats.org/officeDocument/2006/relationships/hyperlink" Target="https://drive.google.com/file/d/1gSQTOadBmExteJK3E18T8Zl6_QYE-WIJ/view?usp=drivesdk" TargetMode="External"/><Relationship Id="rId1746" Type="http://schemas.openxmlformats.org/officeDocument/2006/relationships/hyperlink" Target="https://drive.google.com/file/d/1syQvWzOFFXcJJMuSruSPSvDOj23mKn8L/view?usp=drivesdk" TargetMode="External"/><Relationship Id="rId1747" Type="http://schemas.openxmlformats.org/officeDocument/2006/relationships/hyperlink" Target="https://drive.google.com/file/d/1LdgH0p3gD2ayxYZUxW5yS9-9btySR918/view?usp=drivesdk" TargetMode="External"/><Relationship Id="rId1748" Type="http://schemas.openxmlformats.org/officeDocument/2006/relationships/hyperlink" Target="https://drive.google.com/file/d/1oQW5Xa20YxN8F7oEYDTOEewt29olh0FG/view?usp=drivesdk" TargetMode="External"/><Relationship Id="rId1749" Type="http://schemas.openxmlformats.org/officeDocument/2006/relationships/hyperlink" Target="https://drive.google.com/file/d/1bYR5W91uW21MRKNFWj_UDW1Ov5-_ZApw/view?usp=drivesdk" TargetMode="External"/><Relationship Id="rId1740" Type="http://schemas.openxmlformats.org/officeDocument/2006/relationships/hyperlink" Target="https://drive.google.com/file/d/1iQgvAlZoYNznkRFHIkH6IaRGp--j_W5R/view?usp=drivesdk" TargetMode="External"/><Relationship Id="rId5291" Type="http://schemas.openxmlformats.org/officeDocument/2006/relationships/hyperlink" Target="https://drive.google.com/file/d/1gIi1q01PPT8P7NFw1MzYuyKm_3AQPScS/view?usp=drivesdk" TargetMode="External"/><Relationship Id="rId5292" Type="http://schemas.openxmlformats.org/officeDocument/2006/relationships/hyperlink" Target="https://drive.google.com/file/d/1Eif0daeaCwTpEr0i7Im-gbvSl_H1EyR9/view?usp=drivesdk" TargetMode="External"/><Relationship Id="rId5290" Type="http://schemas.openxmlformats.org/officeDocument/2006/relationships/hyperlink" Target="https://drive.google.com/file/d/1e5_2H10Ax_NiR3CeiTsvgg9TYtl8XAfy/view?usp=drivesdk" TargetMode="External"/><Relationship Id="rId5295" Type="http://schemas.openxmlformats.org/officeDocument/2006/relationships/hyperlink" Target="https://drive.google.com/file/d/1rVPyMkY3tvE2EnRu83eU94IMkmdYylXc/view?usp=drivesdk" TargetMode="External"/><Relationship Id="rId5296" Type="http://schemas.openxmlformats.org/officeDocument/2006/relationships/hyperlink" Target="https://drive.google.com/file/d/1_RaJf7xb-nBYDUfL0zv7-b9b1Qszq2HF/view?usp=drivesdk" TargetMode="External"/><Relationship Id="rId5293" Type="http://schemas.openxmlformats.org/officeDocument/2006/relationships/hyperlink" Target="https://drive.google.com/file/d/1OBNiz-LSx4yOvvsDjFQ_K9b_PyTueMb-/view?usp=drivesdk" TargetMode="External"/><Relationship Id="rId5294" Type="http://schemas.openxmlformats.org/officeDocument/2006/relationships/hyperlink" Target="https://drive.google.com/file/d/1d42y8ptTG6rT94-8Y5FDEHxi4G16azMU/view?usp=drivesdk" TargetMode="External"/><Relationship Id="rId5299" Type="http://schemas.openxmlformats.org/officeDocument/2006/relationships/hyperlink" Target="https://drive.google.com/file/d/173OmOF1IkqiNNWd7pWNozFtkMyCsW9ch/view?usp=drivesdk" TargetMode="External"/><Relationship Id="rId5297" Type="http://schemas.openxmlformats.org/officeDocument/2006/relationships/hyperlink" Target="https://drive.google.com/file/d/1wLBQWcV1nIeAx57p5fgWk2cAwWMK-FBk/view?usp=drivesdk" TargetMode="External"/><Relationship Id="rId5298" Type="http://schemas.openxmlformats.org/officeDocument/2006/relationships/hyperlink" Target="https://drive.google.com/file/d/1t3BSjtiLLUeVrk0z74iKUsDeB8_c5p0Y/view?usp=drivesdk" TargetMode="External"/><Relationship Id="rId5280" Type="http://schemas.openxmlformats.org/officeDocument/2006/relationships/hyperlink" Target="https://drive.google.com/file/d/14ifsUN_l-E7ehRQj6eGHHjZgcSvJy9QA/view?usp=drivesdk" TargetMode="External"/><Relationship Id="rId5281" Type="http://schemas.openxmlformats.org/officeDocument/2006/relationships/hyperlink" Target="https://drive.google.com/file/d/1sRw2NxB12xhuBKelUVPT-5gfpplhAtQy/view?usp=drivesdk" TargetMode="External"/><Relationship Id="rId5284" Type="http://schemas.openxmlformats.org/officeDocument/2006/relationships/hyperlink" Target="https://drive.google.com/file/d/1tjNzPenu5C9Kiae0mc58Htqfu1c-RPAq/view?usp=drivesdk" TargetMode="External"/><Relationship Id="rId5285" Type="http://schemas.openxmlformats.org/officeDocument/2006/relationships/hyperlink" Target="https://drive.google.com/file/d/1oGK9j8v2XNyaWa-slPsuReiq_9OSbv92/view?usp=drivesdk" TargetMode="External"/><Relationship Id="rId5282" Type="http://schemas.openxmlformats.org/officeDocument/2006/relationships/hyperlink" Target="https://drive.google.com/file/d/1-vwkY4qC4QJcpraC6oXNFABEKv3HEzCA/view?usp=drivesdk" TargetMode="External"/><Relationship Id="rId5283" Type="http://schemas.openxmlformats.org/officeDocument/2006/relationships/hyperlink" Target="https://drive.google.com/file/d/1rjUVBGfXWIJSvj5hjrwk1mEahnutkmzD/view?usp=drivesdk" TargetMode="External"/><Relationship Id="rId5288" Type="http://schemas.openxmlformats.org/officeDocument/2006/relationships/hyperlink" Target="https://drive.google.com/file/d/1b16-5FfsD6OzwHSGvEmRI3sGNxThVRZD/view?usp=drivesdk" TargetMode="External"/><Relationship Id="rId5289" Type="http://schemas.openxmlformats.org/officeDocument/2006/relationships/hyperlink" Target="https://drive.google.com/file/d/1ST8tFUBRQFABFrIhg2dGAewetdlC5ptY/view?usp=drivesdk" TargetMode="External"/><Relationship Id="rId5286" Type="http://schemas.openxmlformats.org/officeDocument/2006/relationships/hyperlink" Target="https://drive.google.com/file/d/1Mro1bwCFLo3sqZD0EvhQZycLxePBWSUa/view?usp=drivesdk" TargetMode="External"/><Relationship Id="rId5287" Type="http://schemas.openxmlformats.org/officeDocument/2006/relationships/hyperlink" Target="https://drive.google.com/file/d/1dvRjLxat0c37JN5r3_vghW7hEHzHrWaf/view?usp=drivesdk" TargetMode="External"/><Relationship Id="rId1710" Type="http://schemas.openxmlformats.org/officeDocument/2006/relationships/hyperlink" Target="https://drive.google.com/file/d/1GFB7pbGQJpPkAk0VtsDJsosPBBB8ifP9/view?usp=drivesdk" TargetMode="External"/><Relationship Id="rId1711" Type="http://schemas.openxmlformats.org/officeDocument/2006/relationships/hyperlink" Target="https://drive.google.com/file/d/1lypq91V04-oEjbhAI5QiVlFLpZVJMqAZ/view?usp=drivesdk" TargetMode="External"/><Relationship Id="rId1712" Type="http://schemas.openxmlformats.org/officeDocument/2006/relationships/hyperlink" Target="https://drive.google.com/file/d/13dqwcgFHvl184jVJgIV6QBgLyvplC3k1/view?usp=drivesdk" TargetMode="External"/><Relationship Id="rId1713" Type="http://schemas.openxmlformats.org/officeDocument/2006/relationships/hyperlink" Target="https://drive.google.com/file/d/1ApvU1KeSVibNmYeH20ssymr-zmB9Ha4P/view?usp=drivesdk" TargetMode="External"/><Relationship Id="rId1714" Type="http://schemas.openxmlformats.org/officeDocument/2006/relationships/hyperlink" Target="https://drive.google.com/file/d/1YJZtOfZbfGJWCUezIWE3p82M9EuMwTAF/view?usp=drivesdk" TargetMode="External"/><Relationship Id="rId1715" Type="http://schemas.openxmlformats.org/officeDocument/2006/relationships/hyperlink" Target="https://drive.google.com/file/d/13QdYwFfQpJVUrwKLmjT-FSja0EBhsZBM/view?usp=drivesdk" TargetMode="External"/><Relationship Id="rId1716" Type="http://schemas.openxmlformats.org/officeDocument/2006/relationships/hyperlink" Target="https://drive.google.com/file/d/1KKHa6L0513fugARd2N6e5X1llbnyz21f/view?usp=drivesdk" TargetMode="External"/><Relationship Id="rId1717" Type="http://schemas.openxmlformats.org/officeDocument/2006/relationships/hyperlink" Target="https://drive.google.com/file/d/1Aw5k6HxbsvK8UU47zUD-0a4uHhrJVzVZ/view?usp=drivesdk" TargetMode="External"/><Relationship Id="rId1718" Type="http://schemas.openxmlformats.org/officeDocument/2006/relationships/hyperlink" Target="https://drive.google.com/file/d/18vud3RReaFpF-UUiZm7aICskHtbWIV-t/view?usp=drivesdk" TargetMode="External"/><Relationship Id="rId1719" Type="http://schemas.openxmlformats.org/officeDocument/2006/relationships/hyperlink" Target="https://drive.google.com/file/d/1kclvKzwDIpbEljO5AfCZvIj_Ewusvc34/view?usp=drivesdk" TargetMode="External"/><Relationship Id="rId1700" Type="http://schemas.openxmlformats.org/officeDocument/2006/relationships/hyperlink" Target="https://drive.google.com/file/d/1jZ2Kedg_NT6K6S80r9v3HGbqbi6bjjBK/view?usp=drivesdk" TargetMode="External"/><Relationship Id="rId1701" Type="http://schemas.openxmlformats.org/officeDocument/2006/relationships/hyperlink" Target="https://drive.google.com/file/d/1PIcx9kftOWWpa4Bucu2XUPzSmX8gK2qf/view?usp=drivesdk" TargetMode="External"/><Relationship Id="rId1702" Type="http://schemas.openxmlformats.org/officeDocument/2006/relationships/hyperlink" Target="https://drive.google.com/file/d/1T83lopoLlU9HmDZYyWi20eFq-jrH6KaV/view?usp=drivesdk" TargetMode="External"/><Relationship Id="rId1703" Type="http://schemas.openxmlformats.org/officeDocument/2006/relationships/hyperlink" Target="https://drive.google.com/file/d/1ZCJL_zsDiDD2lHCITjWauZbAztpZXyzn/view?usp=drivesdk" TargetMode="External"/><Relationship Id="rId1704" Type="http://schemas.openxmlformats.org/officeDocument/2006/relationships/hyperlink" Target="https://drive.google.com/file/d/1FSPOl4Wf1XNeZZuo61CNlW6rLdzVpRW9/view?usp=drivesdk" TargetMode="External"/><Relationship Id="rId1705" Type="http://schemas.openxmlformats.org/officeDocument/2006/relationships/hyperlink" Target="https://drive.google.com/file/d/1wvEUoro-4qB4RlaCrVXqQVAtwC9Lku5B/view?usp=drivesdk" TargetMode="External"/><Relationship Id="rId1706" Type="http://schemas.openxmlformats.org/officeDocument/2006/relationships/hyperlink" Target="https://drive.google.com/file/d/1rZGz3W8e9zjHiIwk_9aUY-Vwj4O7-koX/view?usp=drivesdk" TargetMode="External"/><Relationship Id="rId1707" Type="http://schemas.openxmlformats.org/officeDocument/2006/relationships/hyperlink" Target="https://drive.google.com/file/d/1Qy01IO2Lyw1zXSBSDTlHHAtHMbhQ4f-c/view?usp=drivesdk" TargetMode="External"/><Relationship Id="rId1708" Type="http://schemas.openxmlformats.org/officeDocument/2006/relationships/hyperlink" Target="https://drive.google.com/file/d/1rCMWK5GO1DqsPpgBFvh1Do2PbDBDnVwi/view?usp=drivesdk" TargetMode="External"/><Relationship Id="rId1709" Type="http://schemas.openxmlformats.org/officeDocument/2006/relationships/hyperlink" Target="https://drive.google.com/file/d/1KfEw88URiIdeGwLbj5D6KSlFR69avv1v/view?usp=drivesdk" TargetMode="External"/><Relationship Id="rId40" Type="http://schemas.openxmlformats.org/officeDocument/2006/relationships/hyperlink" Target="https://drive.google.com/file/d/1SquGhr1_bRYrIQLbfMLe1WdpEvApLpph/view?usp=drivesdk" TargetMode="External"/><Relationship Id="rId42" Type="http://schemas.openxmlformats.org/officeDocument/2006/relationships/hyperlink" Target="https://drive.google.com/file/d/1AWSz7gJoTcAXTCq7z0h-78aL0ItK1BGn/view?usp=drivesdk" TargetMode="External"/><Relationship Id="rId41" Type="http://schemas.openxmlformats.org/officeDocument/2006/relationships/hyperlink" Target="https://drive.google.com/file/d/15SZhoeq8f8gimpXDT6pz2jf_Qe3Ojp5E/view?usp=drivesdk" TargetMode="External"/><Relationship Id="rId44" Type="http://schemas.openxmlformats.org/officeDocument/2006/relationships/hyperlink" Target="https://drive.google.com/file/d/19r78Yo91r7Q3C9MEmDaUa3X3fGE3J5RP/view?usp=drivesdk" TargetMode="External"/><Relationship Id="rId43" Type="http://schemas.openxmlformats.org/officeDocument/2006/relationships/hyperlink" Target="https://drive.google.com/file/d/1qkq7_tCsmaSl3eGvRFp2XSiyMGZSZo8b/view?usp=drivesdk" TargetMode="External"/><Relationship Id="rId46" Type="http://schemas.openxmlformats.org/officeDocument/2006/relationships/hyperlink" Target="https://drive.google.com/file/d/1b3jXZtenpfnnxobOMtZsSF0qzFN7lu7y/view?usp=drivesdk" TargetMode="External"/><Relationship Id="rId45" Type="http://schemas.openxmlformats.org/officeDocument/2006/relationships/hyperlink" Target="https://drive.google.com/file/d/15A1Gvtquyax7P2A3Y0p8RWcuKD-43tln/view?usp=drivesdk" TargetMode="External"/><Relationship Id="rId48" Type="http://schemas.openxmlformats.org/officeDocument/2006/relationships/hyperlink" Target="https://drive.google.com/file/d/1vJPOrkaSpXbhAuB0-Mp4dLaAYATD8MO4/view?usp=drivesdk" TargetMode="External"/><Relationship Id="rId47" Type="http://schemas.openxmlformats.org/officeDocument/2006/relationships/hyperlink" Target="https://drive.google.com/file/d/1Bld8Hf1e7nWs5iO7NalH006dJlrSa-pJ/view?usp=drivesdk" TargetMode="External"/><Relationship Id="rId49" Type="http://schemas.openxmlformats.org/officeDocument/2006/relationships/hyperlink" Target="https://drive.google.com/file/d/1FI4A-p9W5E9SgDeaPVB8CCNn1NojMIPm/view?usp=drivesdk" TargetMode="External"/><Relationship Id="rId31" Type="http://schemas.openxmlformats.org/officeDocument/2006/relationships/hyperlink" Target="https://drive.google.com/file/d/1jlurjWw517zD5poPwWh3DfQ7OQKjnCOb/view?usp=drivesdk" TargetMode="External"/><Relationship Id="rId30" Type="http://schemas.openxmlformats.org/officeDocument/2006/relationships/hyperlink" Target="https://drive.google.com/file/d/1Lha5TTcN_Pr42o2WTiT6zYHxjTMexhTV/view?usp=drivesdk" TargetMode="External"/><Relationship Id="rId33" Type="http://schemas.openxmlformats.org/officeDocument/2006/relationships/hyperlink" Target="https://drive.google.com/file/d/1tz-o6eaQ_a1VLVt0Pt9yN7yOOG6HdkOX/view?usp=drivesdk" TargetMode="External"/><Relationship Id="rId32" Type="http://schemas.openxmlformats.org/officeDocument/2006/relationships/hyperlink" Target="https://drive.google.com/file/d/1od1eElj9ATmTKDulCCgjFVyQZhD2H8HL/view?usp=drivesdk" TargetMode="External"/><Relationship Id="rId35" Type="http://schemas.openxmlformats.org/officeDocument/2006/relationships/hyperlink" Target="https://drive.google.com/file/d/1bz9pdfUZzalCpeEfq8Gbq9tGNP9oYTc5/view?usp=drivesdk" TargetMode="External"/><Relationship Id="rId34" Type="http://schemas.openxmlformats.org/officeDocument/2006/relationships/hyperlink" Target="https://drive.google.com/file/d/12rfLnoS_z1SmkqUdPK7L8EpSxkODw0Zo/view?usp=drivesdk" TargetMode="External"/><Relationship Id="rId37" Type="http://schemas.openxmlformats.org/officeDocument/2006/relationships/hyperlink" Target="https://drive.google.com/file/d/1chygdYyrNmFDfUq2sEnq2OShuvD5LpDH/view?usp=drivesdk" TargetMode="External"/><Relationship Id="rId36" Type="http://schemas.openxmlformats.org/officeDocument/2006/relationships/hyperlink" Target="https://drive.google.com/file/d/1BNDQ9Bhnu1xryFQfg8RkPtDtV810S3o4/view?usp=drivesdk" TargetMode="External"/><Relationship Id="rId39" Type="http://schemas.openxmlformats.org/officeDocument/2006/relationships/hyperlink" Target="https://drive.google.com/file/d/12Umxn_lucsRTGMBLpnHV2SL0DLcHu-_P/view?usp=drivesdk" TargetMode="External"/><Relationship Id="rId38" Type="http://schemas.openxmlformats.org/officeDocument/2006/relationships/hyperlink" Target="https://drive.google.com/file/d/1MTtoqAn4xX2eyvgNwz6opE1rOdkG2GKt/view?usp=drivesdk" TargetMode="External"/><Relationship Id="rId20" Type="http://schemas.openxmlformats.org/officeDocument/2006/relationships/hyperlink" Target="https://drive.google.com/file/d/1Id_JTuQqjcHncP_bdyGYYJAG3EvMvOJV/view?usp=drivesdk" TargetMode="External"/><Relationship Id="rId22" Type="http://schemas.openxmlformats.org/officeDocument/2006/relationships/hyperlink" Target="https://drive.google.com/file/d/1xrb2JkSEEXLQ-3yQS9IlLsTDlG2lYDPR/view?usp=drivesdk" TargetMode="External"/><Relationship Id="rId21" Type="http://schemas.openxmlformats.org/officeDocument/2006/relationships/hyperlink" Target="https://drive.google.com/file/d/1EVX1oMsKDUkjqnGtbYnBXkOQQNYod5X-/view?usp=drivesdk" TargetMode="External"/><Relationship Id="rId24" Type="http://schemas.openxmlformats.org/officeDocument/2006/relationships/hyperlink" Target="https://drive.google.com/file/d/1gamwQpNPbBsSkg_3uk20CclCUDAmgn5V/view?usp=drivesdk" TargetMode="External"/><Relationship Id="rId23" Type="http://schemas.openxmlformats.org/officeDocument/2006/relationships/hyperlink" Target="https://drive.google.com/file/d/1MZVLEM23cXX_bqbDjgbaUAU8C7uvYqQj/view?usp=drivesdk" TargetMode="External"/><Relationship Id="rId26" Type="http://schemas.openxmlformats.org/officeDocument/2006/relationships/hyperlink" Target="https://drive.google.com/file/d/1gr3yn12FcbBhPqoBrAWaugVbDvPrTKSY/view?usp=drivesdk" TargetMode="External"/><Relationship Id="rId25" Type="http://schemas.openxmlformats.org/officeDocument/2006/relationships/hyperlink" Target="https://drive.google.com/file/d/1IfDdFEJS-Wh62hbcSaMaB2tNwM4Wta4P/view?usp=drivesdk" TargetMode="External"/><Relationship Id="rId28" Type="http://schemas.openxmlformats.org/officeDocument/2006/relationships/hyperlink" Target="https://drive.google.com/file/d/1sDFq88GV7d1ApCl1P8gtcsHnwA7Skmmr/view?usp=drivesdk" TargetMode="External"/><Relationship Id="rId27" Type="http://schemas.openxmlformats.org/officeDocument/2006/relationships/hyperlink" Target="https://drive.google.com/file/d/11MXYFSq-ohu1U0LI7S-TsOOw26wynmlX/view?usp=drivesdk" TargetMode="External"/><Relationship Id="rId29" Type="http://schemas.openxmlformats.org/officeDocument/2006/relationships/hyperlink" Target="https://drive.google.com/file/d/1nieb4OvTyV3BjQrCR-faQiE2MCIYxs7F/view?usp=drivesdk" TargetMode="External"/><Relationship Id="rId11" Type="http://schemas.openxmlformats.org/officeDocument/2006/relationships/hyperlink" Target="https://drive.google.com/file/d/1X9I-1mitWWJ5qGDBmiUunQgtasSkWw5z/view?usp=drivesdk" TargetMode="External"/><Relationship Id="rId10" Type="http://schemas.openxmlformats.org/officeDocument/2006/relationships/hyperlink" Target="https://drive.google.com/file/d/1RreReL6ZAt1bd-DbVPWfm3MH9MqT-_6j/view?usp=drivesdk" TargetMode="External"/><Relationship Id="rId13" Type="http://schemas.openxmlformats.org/officeDocument/2006/relationships/hyperlink" Target="https://drive.google.com/file/d/1P1kdqgovLonzxjL154dmdV59M2yXGgj0/view?usp=drivesdk" TargetMode="External"/><Relationship Id="rId12" Type="http://schemas.openxmlformats.org/officeDocument/2006/relationships/hyperlink" Target="https://drive.google.com/file/d/1jeYbno8xK6PsB9_FS95sji12DeOylYuf/view?usp=drivesdk" TargetMode="External"/><Relationship Id="rId15" Type="http://schemas.openxmlformats.org/officeDocument/2006/relationships/hyperlink" Target="https://drive.google.com/file/d/1po3eC4p5DS60kF7kvmjQQwVQBNKusN9m/view?usp=drivesdk" TargetMode="External"/><Relationship Id="rId14" Type="http://schemas.openxmlformats.org/officeDocument/2006/relationships/hyperlink" Target="https://drive.google.com/file/d/1z8AA3FBmON2akVcvIhKS4T7Bnl0ecRZP/view?usp=drivesdk" TargetMode="External"/><Relationship Id="rId17" Type="http://schemas.openxmlformats.org/officeDocument/2006/relationships/hyperlink" Target="https://drive.google.com/file/d/1zqcc4RPX9cKuva5_FRhGYleZd4XS15rM/view?usp=drivesdk" TargetMode="External"/><Relationship Id="rId16" Type="http://schemas.openxmlformats.org/officeDocument/2006/relationships/hyperlink" Target="https://drive.google.com/file/d/1fhrnuLHHUqpLAiYMTn_nW0UCz2igXLdo/view?usp=drivesdk" TargetMode="External"/><Relationship Id="rId19" Type="http://schemas.openxmlformats.org/officeDocument/2006/relationships/hyperlink" Target="https://drive.google.com/file/d/1LxK9esT26XUrSsEZU4Pm86U2sfu0J232/view?usp=drivesdk" TargetMode="External"/><Relationship Id="rId18" Type="http://schemas.openxmlformats.org/officeDocument/2006/relationships/hyperlink" Target="https://drive.google.com/file/d/13xSuc3I_kmtMgTAOYuTYVBjIlxvvcjBA/view?usp=drivesdk" TargetMode="External"/><Relationship Id="rId84" Type="http://schemas.openxmlformats.org/officeDocument/2006/relationships/hyperlink" Target="https://drive.google.com/file/d/1yxp-ayI59RkTKuRcNLw7rulKtQJ9x_xT/view?usp=drivesdk" TargetMode="External"/><Relationship Id="rId1774" Type="http://schemas.openxmlformats.org/officeDocument/2006/relationships/hyperlink" Target="https://drive.google.com/file/d/1qnZRF9xD9u3r2vyI70gJYd_KcnOuAjKG/view?usp=drivesdk" TargetMode="External"/><Relationship Id="rId83" Type="http://schemas.openxmlformats.org/officeDocument/2006/relationships/hyperlink" Target="https://drive.google.com/file/d/15dN4L9wlo2oeywlDbAawAANSWsJ5ZLFo/view?usp=drivesdk" TargetMode="External"/><Relationship Id="rId1775" Type="http://schemas.openxmlformats.org/officeDocument/2006/relationships/hyperlink" Target="https://drive.google.com/file/d/1XZpkF23p9p9F4xQoolmg8WVnUfkMZTiP/view?usp=drivesdk" TargetMode="External"/><Relationship Id="rId86" Type="http://schemas.openxmlformats.org/officeDocument/2006/relationships/hyperlink" Target="https://drive.google.com/file/d/1WtjxEDxYxWUe85z_o-IEY2lvmk3TkGTp/view?usp=drivesdk" TargetMode="External"/><Relationship Id="rId1776" Type="http://schemas.openxmlformats.org/officeDocument/2006/relationships/hyperlink" Target="https://drive.google.com/file/d/12fHTHnmUv5MEN6vqn5afVZfskNvM9Kxf/view?usp=drivesdk" TargetMode="External"/><Relationship Id="rId85" Type="http://schemas.openxmlformats.org/officeDocument/2006/relationships/hyperlink" Target="https://drive.google.com/file/d/11PeY1d-1EBRFHfHKpa4gSlUKR4Sp9IR-/view?usp=drivesdk" TargetMode="External"/><Relationship Id="rId1777" Type="http://schemas.openxmlformats.org/officeDocument/2006/relationships/hyperlink" Target="https://drive.google.com/file/d/1wsh_NhtSNSfFIZTBJV6dGKzq13zJLM37/view?usp=drivesdk" TargetMode="External"/><Relationship Id="rId88" Type="http://schemas.openxmlformats.org/officeDocument/2006/relationships/hyperlink" Target="https://drive.google.com/file/d/1wRxOM5jwxYZtoatgr0hpp5Gp5RLznFQO/view?usp=drivesdk" TargetMode="External"/><Relationship Id="rId1778" Type="http://schemas.openxmlformats.org/officeDocument/2006/relationships/hyperlink" Target="https://drive.google.com/file/d/1tAUj4wtZ9yNoIcLyjNzSvPe280E19hqR/view?usp=drivesdk" TargetMode="External"/><Relationship Id="rId87" Type="http://schemas.openxmlformats.org/officeDocument/2006/relationships/hyperlink" Target="https://drive.google.com/file/d/1WO5LbN6xQiftTE6NUNtqmEqfrE33dDph/view?usp=drivesdk" TargetMode="External"/><Relationship Id="rId1779" Type="http://schemas.openxmlformats.org/officeDocument/2006/relationships/hyperlink" Target="https://drive.google.com/file/d/1q89k8KEoalukseGY8roAvRNGMastb9VC/view?usp=drivesdk" TargetMode="External"/><Relationship Id="rId89" Type="http://schemas.openxmlformats.org/officeDocument/2006/relationships/hyperlink" Target="https://drive.google.com/file/d/1efDvB7dT6J-rIK3OPw82pZWF6sdJ4Gbn/view?usp=drivesdk" TargetMode="External"/><Relationship Id="rId80" Type="http://schemas.openxmlformats.org/officeDocument/2006/relationships/hyperlink" Target="https://drive.google.com/file/d/1tpKVnw9ktDtP3TlsDWDwtPPWqseqO1cF/view?usp=drivesdk" TargetMode="External"/><Relationship Id="rId82" Type="http://schemas.openxmlformats.org/officeDocument/2006/relationships/hyperlink" Target="https://drive.google.com/file/d/1wFOz_Piw5lnpUWHIpw4eo2wXGqE9IBy5/view?usp=drivesdk" TargetMode="External"/><Relationship Id="rId81" Type="http://schemas.openxmlformats.org/officeDocument/2006/relationships/hyperlink" Target="https://drive.google.com/file/d/1djY9HZEpfbzQwDjj95YjFDs_-ZPi8biJ/view?usp=drivesdk" TargetMode="External"/><Relationship Id="rId1770" Type="http://schemas.openxmlformats.org/officeDocument/2006/relationships/hyperlink" Target="https://drive.google.com/file/d/1Uc2dSpZKDakw6_7cNR1VeBeUZdeDr4FJ/view?usp=drivesdk" TargetMode="External"/><Relationship Id="rId1771" Type="http://schemas.openxmlformats.org/officeDocument/2006/relationships/hyperlink" Target="https://drive.google.com/file/d/1iYqy6AOQlE4bUcWIGqb_8GAJJfngw_0O/view?usp=drivesdk" TargetMode="External"/><Relationship Id="rId1772" Type="http://schemas.openxmlformats.org/officeDocument/2006/relationships/hyperlink" Target="https://drive.google.com/file/d/1mipL1M-xVAkkoOsHD2Wl1RxRUaOU_hlB/view?usp=drivesdk" TargetMode="External"/><Relationship Id="rId1773" Type="http://schemas.openxmlformats.org/officeDocument/2006/relationships/hyperlink" Target="https://drive.google.com/file/d/1HSi3eZ3n9Jwpd40Qn-EcWhCS1t1oW9BS/view?usp=drivesdk" TargetMode="External"/><Relationship Id="rId73" Type="http://schemas.openxmlformats.org/officeDocument/2006/relationships/hyperlink" Target="https://drive.google.com/file/d/1zPVneTGXemwB66ly_XwbzLvSHuUjIwsg/view?usp=drivesdk" TargetMode="External"/><Relationship Id="rId1763" Type="http://schemas.openxmlformats.org/officeDocument/2006/relationships/hyperlink" Target="https://drive.google.com/file/d/1arzR1__eNYmfNvoz0ErkQwrsIgZ7FOXH/view?usp=drivesdk" TargetMode="External"/><Relationship Id="rId72" Type="http://schemas.openxmlformats.org/officeDocument/2006/relationships/hyperlink" Target="https://drive.google.com/file/d/1ORCbq4YSHL3ywcHu0tIBIzuT1B_eosql/view?usp=drivesdk" TargetMode="External"/><Relationship Id="rId1764" Type="http://schemas.openxmlformats.org/officeDocument/2006/relationships/hyperlink" Target="https://drive.google.com/file/d/1EffrsS4YbldFPUJb_gP5wNJERzdXP4QP/view?usp=drivesdk" TargetMode="External"/><Relationship Id="rId75" Type="http://schemas.openxmlformats.org/officeDocument/2006/relationships/hyperlink" Target="https://drive.google.com/file/d/13VLoRZz7VwFeDwSmyRQNmDCs_MrJVKBI/view?usp=drivesdk" TargetMode="External"/><Relationship Id="rId1765" Type="http://schemas.openxmlformats.org/officeDocument/2006/relationships/hyperlink" Target="https://drive.google.com/file/d/1t3wBDjeZgue08jI3Q46d6nJ4QrbWox9F/view?usp=drivesdk" TargetMode="External"/><Relationship Id="rId74" Type="http://schemas.openxmlformats.org/officeDocument/2006/relationships/hyperlink" Target="https://drive.google.com/file/d/14iDfHvlLitI6Yk_O4D3I2a2t2B1Kge0R/view?usp=drivesdk" TargetMode="External"/><Relationship Id="rId1766" Type="http://schemas.openxmlformats.org/officeDocument/2006/relationships/hyperlink" Target="https://drive.google.com/file/d/1lTRicnbIOilu4BCFpi64ot53PxIBqIbD/view?usp=drivesdk" TargetMode="External"/><Relationship Id="rId77" Type="http://schemas.openxmlformats.org/officeDocument/2006/relationships/hyperlink" Target="https://drive.google.com/file/d/191LIuWGwoKAviBnWmzRxMBqCZj_NCTyS/view?usp=drivesdk" TargetMode="External"/><Relationship Id="rId1767" Type="http://schemas.openxmlformats.org/officeDocument/2006/relationships/hyperlink" Target="https://drive.google.com/file/d/1TU3k4IWqPKjvqgehSapyk_K41d-I4ZQk/view?usp=drivesdk" TargetMode="External"/><Relationship Id="rId76" Type="http://schemas.openxmlformats.org/officeDocument/2006/relationships/hyperlink" Target="https://drive.google.com/file/d/1V6VNg7xExLfLS3TBxb5tKapPJPv8ZHW0/view?usp=drivesdk" TargetMode="External"/><Relationship Id="rId1768" Type="http://schemas.openxmlformats.org/officeDocument/2006/relationships/hyperlink" Target="https://drive.google.com/file/d/1xJn9aCXUCXIUzMn5dFnNg3M5HzxnhBEk/view?usp=drivesdk" TargetMode="External"/><Relationship Id="rId79" Type="http://schemas.openxmlformats.org/officeDocument/2006/relationships/hyperlink" Target="https://drive.google.com/file/d/107kYG3WjtBEIrXGM8juur3SnzmYc0Tz7/view?usp=drivesdk" TargetMode="External"/><Relationship Id="rId1769" Type="http://schemas.openxmlformats.org/officeDocument/2006/relationships/hyperlink" Target="https://drive.google.com/file/d/1pUyOV21heTSV7mby5gqn_9g85UBo4x0L/view?usp=drivesdk" TargetMode="External"/><Relationship Id="rId78" Type="http://schemas.openxmlformats.org/officeDocument/2006/relationships/hyperlink" Target="https://drive.google.com/file/d/1c7ODWusKm6KAnFs-mBA7XCkw4AF87apE/view?usp=drivesdk" TargetMode="External"/><Relationship Id="rId71" Type="http://schemas.openxmlformats.org/officeDocument/2006/relationships/hyperlink" Target="https://drive.google.com/file/d/1NNq8fhWoawUaVaraqEwTWcdYjCKyKqne/view?usp=drivesdk" TargetMode="External"/><Relationship Id="rId70" Type="http://schemas.openxmlformats.org/officeDocument/2006/relationships/hyperlink" Target="https://drive.google.com/file/d/14n2W9gAao_ROCAqUWixtwt9ADq0sof7O/view?usp=drivesdk" TargetMode="External"/><Relationship Id="rId1760" Type="http://schemas.openxmlformats.org/officeDocument/2006/relationships/hyperlink" Target="https://drive.google.com/file/d/1pDLO7GD7fe1DNoFgM7leZWLKL6PuelHo/view?usp=drivesdk" TargetMode="External"/><Relationship Id="rId1761" Type="http://schemas.openxmlformats.org/officeDocument/2006/relationships/hyperlink" Target="https://drive.google.com/file/d/17-z5t6W0Cc_3O20CFk6j1YZnu6qpLnxu/view?usp=drivesdk" TargetMode="External"/><Relationship Id="rId1762" Type="http://schemas.openxmlformats.org/officeDocument/2006/relationships/hyperlink" Target="https://drive.google.com/file/d/12dLwV-mI0qQhVbX7pYCo8FDe8ehk8lHe/view?usp=drivesdk" TargetMode="External"/><Relationship Id="rId62" Type="http://schemas.openxmlformats.org/officeDocument/2006/relationships/hyperlink" Target="https://drive.google.com/file/d/1BBcuxUV6YSTt80ShBofa0bgXwZdFCv5f/view?usp=drivesdk" TargetMode="External"/><Relationship Id="rId1796" Type="http://schemas.openxmlformats.org/officeDocument/2006/relationships/hyperlink" Target="https://drive.google.com/file/d/1Ol2csDYib_iNzL_BmSseXnmtEIX_8Oq9/view?usp=drivesdk" TargetMode="External"/><Relationship Id="rId61" Type="http://schemas.openxmlformats.org/officeDocument/2006/relationships/hyperlink" Target="https://drive.google.com/file/d/1ksbyMjWfJmsCE2l9FHjrFmAopTrE_RjY/view?usp=drivesdk" TargetMode="External"/><Relationship Id="rId1797" Type="http://schemas.openxmlformats.org/officeDocument/2006/relationships/hyperlink" Target="https://drive.google.com/file/d/1-xcrALjRzl5Zgb9f7csg4Wyohg7HezTQ/view?usp=drivesdk" TargetMode="External"/><Relationship Id="rId64" Type="http://schemas.openxmlformats.org/officeDocument/2006/relationships/hyperlink" Target="https://drive.google.com/file/d/1yQsaGvDE9vv5Sq48b387BrLrlJO0pwbK/view?usp=drivesdk" TargetMode="External"/><Relationship Id="rId1798" Type="http://schemas.openxmlformats.org/officeDocument/2006/relationships/hyperlink" Target="https://drive.google.com/file/d/1A4E4XjAtd0KrXdQ7z98rYEjpZMZ_5Qgv/view?usp=drivesdk" TargetMode="External"/><Relationship Id="rId63" Type="http://schemas.openxmlformats.org/officeDocument/2006/relationships/hyperlink" Target="https://drive.google.com/file/d/1kiOv5EZYCqFVFBvKE0rue7aKifA4vVDH/view?usp=drivesdk" TargetMode="External"/><Relationship Id="rId1799" Type="http://schemas.openxmlformats.org/officeDocument/2006/relationships/hyperlink" Target="https://drive.google.com/file/d/1tdxbdqR5URn5HH_oVWesx1dceN3Ffs9B/view?usp=drivesdk" TargetMode="External"/><Relationship Id="rId66" Type="http://schemas.openxmlformats.org/officeDocument/2006/relationships/hyperlink" Target="https://drive.google.com/file/d/1FZOzl1M--t1qty8Lb8mKL7shMts_C_DG/view?usp=drivesdk" TargetMode="External"/><Relationship Id="rId65" Type="http://schemas.openxmlformats.org/officeDocument/2006/relationships/hyperlink" Target="https://drive.google.com/file/d/1HZ9IqmYw5b-jSkZ7sAp2eRZfGVeQtEnf/view?usp=drivesdk" TargetMode="External"/><Relationship Id="rId68" Type="http://schemas.openxmlformats.org/officeDocument/2006/relationships/hyperlink" Target="https://drive.google.com/file/d/1xg6ar74QEOtFWOzRKkzb7wNgzPtukHMH/view?usp=drivesdk" TargetMode="External"/><Relationship Id="rId67" Type="http://schemas.openxmlformats.org/officeDocument/2006/relationships/hyperlink" Target="https://drive.google.com/file/d/1kSRBLk_B3qrgEJV8PzPVPSOHN7bwHmrX/view?usp=drivesdk" TargetMode="External"/><Relationship Id="rId60" Type="http://schemas.openxmlformats.org/officeDocument/2006/relationships/hyperlink" Target="https://drive.google.com/file/d/1pPNz2B0gzPzKhnZKvvqK65sAE1zhpKnt/view?usp=drivesdk" TargetMode="External"/><Relationship Id="rId69" Type="http://schemas.openxmlformats.org/officeDocument/2006/relationships/hyperlink" Target="https://drive.google.com/file/d/1nU2Sqj1FUr_7-5sUOAB_aMFdLy1gxUou/view?usp=drivesdk" TargetMode="External"/><Relationship Id="rId1790" Type="http://schemas.openxmlformats.org/officeDocument/2006/relationships/hyperlink" Target="https://drive.google.com/file/d/1OEeP023B07NmKn1yhDedoaGbgsIeivAZ/view?usp=drivesdk" TargetMode="External"/><Relationship Id="rId1791" Type="http://schemas.openxmlformats.org/officeDocument/2006/relationships/hyperlink" Target="https://drive.google.com/file/d/1Ef6LmBJGdaopzTElgP_u9Xjxo5IXYqGx/view?usp=drivesdk" TargetMode="External"/><Relationship Id="rId1792" Type="http://schemas.openxmlformats.org/officeDocument/2006/relationships/hyperlink" Target="https://drive.google.com/file/d/11kV3riVch0Dl7Q-3AzoXBKy4fHBBafFu/view?usp=drivesdk" TargetMode="External"/><Relationship Id="rId1793" Type="http://schemas.openxmlformats.org/officeDocument/2006/relationships/hyperlink" Target="https://drive.google.com/file/d/1vY1W63vunR8GVfSilGt00ekvMhUg-a_A/view?usp=drivesdk" TargetMode="External"/><Relationship Id="rId1794" Type="http://schemas.openxmlformats.org/officeDocument/2006/relationships/hyperlink" Target="https://drive.google.com/file/d/1u1yr2b0rgV3CIMBsa3KYAhbtWoXhrVSd/view?usp=drivesdk" TargetMode="External"/><Relationship Id="rId1795" Type="http://schemas.openxmlformats.org/officeDocument/2006/relationships/hyperlink" Target="https://drive.google.com/file/d/1A0mLH-yqodbTTWnOv26_8ipY_63ybDBO/view?usp=drivesdk" TargetMode="External"/><Relationship Id="rId51" Type="http://schemas.openxmlformats.org/officeDocument/2006/relationships/hyperlink" Target="https://drive.google.com/file/d/11wStp9LDyTuau0qlkynX4vFmXQvCDvD8/view?usp=drivesdk" TargetMode="External"/><Relationship Id="rId1785" Type="http://schemas.openxmlformats.org/officeDocument/2006/relationships/hyperlink" Target="https://drive.google.com/file/d/1TFD4UdM2ZtJdRGwunEZwhB4hxU7lY3xG/view?usp=drivesdk" TargetMode="External"/><Relationship Id="rId50" Type="http://schemas.openxmlformats.org/officeDocument/2006/relationships/hyperlink" Target="https://drive.google.com/file/d/1g2BrnqxeGI839K1DLU8IL5NpQbLO6anl/view?usp=drivesdk" TargetMode="External"/><Relationship Id="rId1786" Type="http://schemas.openxmlformats.org/officeDocument/2006/relationships/hyperlink" Target="https://drive.google.com/file/d/11O1op4pVxnJgJoP2-lFU8neyC62pTzrY/view?usp=drivesdk" TargetMode="External"/><Relationship Id="rId53" Type="http://schemas.openxmlformats.org/officeDocument/2006/relationships/hyperlink" Target="https://drive.google.com/file/d/1hqWXOsuryVCApmOics4nQPuM6lsv2uiv/view?usp=drivesdk" TargetMode="External"/><Relationship Id="rId1787" Type="http://schemas.openxmlformats.org/officeDocument/2006/relationships/hyperlink" Target="https://drive.google.com/file/d/1VPMU-BpOpCBN_ttQk3MtcQF-RuvxyCKp/view?usp=drivesdk" TargetMode="External"/><Relationship Id="rId52" Type="http://schemas.openxmlformats.org/officeDocument/2006/relationships/hyperlink" Target="https://drive.google.com/file/d/1PDUobO4otw9z-RabMGhJHwtVN2KKYA2q/view?usp=drivesdk" TargetMode="External"/><Relationship Id="rId1788" Type="http://schemas.openxmlformats.org/officeDocument/2006/relationships/hyperlink" Target="https://drive.google.com/file/d/1dNR179rE5m9kSa3ecGP3X3s4nHHStmoV/view?usp=drivesdk" TargetMode="External"/><Relationship Id="rId55" Type="http://schemas.openxmlformats.org/officeDocument/2006/relationships/hyperlink" Target="https://drive.google.com/file/d/1F-5E6GuslBV2Mb8NRUlIZrtqGb8IJfiW/view?usp=drivesdk" TargetMode="External"/><Relationship Id="rId1789" Type="http://schemas.openxmlformats.org/officeDocument/2006/relationships/hyperlink" Target="https://drive.google.com/file/d/12l3a769HUb-HjwnwTO7Utpawoqxslx33/view?usp=drivesdk" TargetMode="External"/><Relationship Id="rId54" Type="http://schemas.openxmlformats.org/officeDocument/2006/relationships/hyperlink" Target="https://drive.google.com/file/d/1JqARNDFUAuYUxCHisKhHwZ-PqZxXrmaO/view?usp=drivesdk" TargetMode="External"/><Relationship Id="rId57" Type="http://schemas.openxmlformats.org/officeDocument/2006/relationships/hyperlink" Target="https://drive.google.com/file/d/1vHbIFzvGvQoYw2VXSkVEABf8xdAW6RDm/view?usp=drivesdk" TargetMode="External"/><Relationship Id="rId56" Type="http://schemas.openxmlformats.org/officeDocument/2006/relationships/hyperlink" Target="https://drive.google.com/file/d/1rmmME-EQ_Eubo5ONzLbKRhaSggZ3OVoX/view?usp=drivesdk" TargetMode="External"/><Relationship Id="rId59" Type="http://schemas.openxmlformats.org/officeDocument/2006/relationships/hyperlink" Target="https://drive.google.com/file/d/1rKav1ml4BqHtUpFy2S4jJCTo88CJgjNC/view?usp=drivesdk" TargetMode="External"/><Relationship Id="rId58" Type="http://schemas.openxmlformats.org/officeDocument/2006/relationships/hyperlink" Target="https://drive.google.com/file/d/1hcHcjuqcrzjJecPOKulgttZUYNQB4obD/view?usp=drivesdk" TargetMode="External"/><Relationship Id="rId1780" Type="http://schemas.openxmlformats.org/officeDocument/2006/relationships/hyperlink" Target="https://drive.google.com/file/d/11zERHooJFG_h81EG1KkwEgI7GQTCvjEz/view?usp=drivesdk" TargetMode="External"/><Relationship Id="rId1781" Type="http://schemas.openxmlformats.org/officeDocument/2006/relationships/hyperlink" Target="https://drive.google.com/file/d/1ZhB_uwDqn-mbiRUACfqS_-fgxyxz_2MR/view?usp=drivesdk" TargetMode="External"/><Relationship Id="rId1782" Type="http://schemas.openxmlformats.org/officeDocument/2006/relationships/hyperlink" Target="https://drive.google.com/file/d/1riTmb7PTpxVSNuRlIejf94gGu_2Oc-4h/view?usp=drivesdk" TargetMode="External"/><Relationship Id="rId1783" Type="http://schemas.openxmlformats.org/officeDocument/2006/relationships/hyperlink" Target="https://drive.google.com/file/d/1YOiHc7B7enEVx1csImjKgTcL5haw2Wr0/view?usp=drivesdk" TargetMode="External"/><Relationship Id="rId1784" Type="http://schemas.openxmlformats.org/officeDocument/2006/relationships/hyperlink" Target="https://drive.google.com/file/d/14fCQpk863GPOYh96rUOmP0CsZovXKXGx/view?usp=drivesdk" TargetMode="External"/><Relationship Id="rId6627" Type="http://schemas.openxmlformats.org/officeDocument/2006/relationships/hyperlink" Target="https://drive.google.com/file/d/1Xg4g2bz3A6mNiohN2G60Iv5gkXzqy_tB/view?usp=drivesdk" TargetMode="External"/><Relationship Id="rId7959" Type="http://schemas.openxmlformats.org/officeDocument/2006/relationships/hyperlink" Target="https://drive.google.com/file/d/153kWQ9tRyO47vA6-593vlBR7iZq7vRHn/view?usp=drivesdk" TargetMode="External"/><Relationship Id="rId6628" Type="http://schemas.openxmlformats.org/officeDocument/2006/relationships/hyperlink" Target="https://drive.google.com/file/d/1ZI9qKLsaFi4yW95mLd2UqOC6fdqYEjl4/view?usp=drivesdk" TargetMode="External"/><Relationship Id="rId7958" Type="http://schemas.openxmlformats.org/officeDocument/2006/relationships/hyperlink" Target="https://drive.google.com/file/d/1_bQaYI-EIAjOYHF6qaAqTK9GRuVHD6vu/view?usp=drivesdk" TargetMode="External"/><Relationship Id="rId6625" Type="http://schemas.openxmlformats.org/officeDocument/2006/relationships/hyperlink" Target="https://drive.google.com/file/d/1XUo7Eo84D1HBopbPUdVVLm88H1tS6O2C/view?usp=drivesdk" TargetMode="External"/><Relationship Id="rId7957" Type="http://schemas.openxmlformats.org/officeDocument/2006/relationships/hyperlink" Target="https://drive.google.com/file/d/1BH4uN6u9uoRcp5HORENp4GfK3yK2gE4C/view?usp=drivesdk" TargetMode="External"/><Relationship Id="rId6626" Type="http://schemas.openxmlformats.org/officeDocument/2006/relationships/hyperlink" Target="https://drive.google.com/file/d/176qArEwSzbgWi6Zmm8_q5_v8MoBpNxi4/view?usp=drivesdk" TargetMode="External"/><Relationship Id="rId7956" Type="http://schemas.openxmlformats.org/officeDocument/2006/relationships/hyperlink" Target="https://drive.google.com/file/d/1qXhC1SozbcZtcN3BtJLaziW5pb-gfQj9/view?usp=drivesdk" TargetMode="External"/><Relationship Id="rId6629" Type="http://schemas.openxmlformats.org/officeDocument/2006/relationships/hyperlink" Target="https://drive.google.com/file/d/1xL1XBGAHQp8KI15oFhOkII2q5g-rc73c/view?usp=drivesdk" TargetMode="External"/><Relationship Id="rId349" Type="http://schemas.openxmlformats.org/officeDocument/2006/relationships/hyperlink" Target="https://drive.google.com/file/d/18gx1mNtvUZ5DXSNOs3psQrmtQAvRqFzr/view?usp=drivesdk" TargetMode="External"/><Relationship Id="rId348" Type="http://schemas.openxmlformats.org/officeDocument/2006/relationships/hyperlink" Target="https://drive.google.com/file/d/1OBnf2Cf-7zTOQNdwpCCVqphvLPDLui1Z/view?usp=drivesdk" TargetMode="External"/><Relationship Id="rId347" Type="http://schemas.openxmlformats.org/officeDocument/2006/relationships/hyperlink" Target="https://drive.google.com/file/d/1DaZVlKbqf9OxFc1Cx7hvyXOjLCeqNeC6/view?usp=drivesdk" TargetMode="External"/><Relationship Id="rId346" Type="http://schemas.openxmlformats.org/officeDocument/2006/relationships/hyperlink" Target="https://drive.google.com/file/d/1gSSyMbooU81lCnm5o_tjfFFGEo9TPd57/view?usp=drivesdk" TargetMode="External"/><Relationship Id="rId341" Type="http://schemas.openxmlformats.org/officeDocument/2006/relationships/hyperlink" Target="https://drive.google.com/file/d/1MTXkDDtLuMhTrHMkCeGeEq9gfoCwJ-MT/view?usp=drivesdk" TargetMode="External"/><Relationship Id="rId7951" Type="http://schemas.openxmlformats.org/officeDocument/2006/relationships/hyperlink" Target="https://drive.google.com/file/d/1EwetAaUcMBETNBTCaNHqe9_We-SKYRwl/view?usp=drivesdk" TargetMode="External"/><Relationship Id="rId340" Type="http://schemas.openxmlformats.org/officeDocument/2006/relationships/hyperlink" Target="https://drive.google.com/file/d/1qxZkp5BDJEO0SxM1CXIMjcL7HLJmMxRy/view?usp=drivesdk" TargetMode="External"/><Relationship Id="rId6620" Type="http://schemas.openxmlformats.org/officeDocument/2006/relationships/hyperlink" Target="https://drive.google.com/file/d/1kVkpzX8llcgY8KAmVwvvshJ4fpPi4-y_/view?usp=drivesdk" TargetMode="External"/><Relationship Id="rId7950" Type="http://schemas.openxmlformats.org/officeDocument/2006/relationships/hyperlink" Target="https://drive.google.com/file/d/1AVyBi3aC_660OyvDSJ6q4hLP_WF2AjOg/view?usp=drivesdk" TargetMode="External"/><Relationship Id="rId345" Type="http://schemas.openxmlformats.org/officeDocument/2006/relationships/hyperlink" Target="https://drive.google.com/file/d/18mYAB9SpHCDNL5Cv3UhvwkutyP4KUd2c/view?usp=drivesdk" TargetMode="External"/><Relationship Id="rId6623" Type="http://schemas.openxmlformats.org/officeDocument/2006/relationships/hyperlink" Target="https://drive.google.com/file/d/1NlJORNR6CsXjqnixMWxFXVpFZ_QwNC4H/view?usp=drivesdk" TargetMode="External"/><Relationship Id="rId7955" Type="http://schemas.openxmlformats.org/officeDocument/2006/relationships/hyperlink" Target="https://drive.google.com/file/d/1AucvovjK_33_FJA-27CKBcc-kup9b1sx/view?usp=drivesdk" TargetMode="External"/><Relationship Id="rId344" Type="http://schemas.openxmlformats.org/officeDocument/2006/relationships/hyperlink" Target="https://drive.google.com/file/d/1XQ0RPqE6c2ji8hudjg-783ZQrnDeRPjj/view?usp=drivesdk" TargetMode="External"/><Relationship Id="rId6624" Type="http://schemas.openxmlformats.org/officeDocument/2006/relationships/hyperlink" Target="https://drive.google.com/file/d/1P_kkwq0P-O4jRCd6K_vibxvj7lWLBlCE/view?usp=drivesdk" TargetMode="External"/><Relationship Id="rId7954" Type="http://schemas.openxmlformats.org/officeDocument/2006/relationships/hyperlink" Target="https://drive.google.com/file/d/1qy_MQw5MPVPv2vcowYbgD02Do_6Lg56l/view?usp=drivesdk" TargetMode="External"/><Relationship Id="rId343" Type="http://schemas.openxmlformats.org/officeDocument/2006/relationships/hyperlink" Target="https://drive.google.com/file/d/1Lb-a2_U5wgcITv1M-6WKVf22I-hh9o2L/view?usp=drivesdk" TargetMode="External"/><Relationship Id="rId6621" Type="http://schemas.openxmlformats.org/officeDocument/2006/relationships/hyperlink" Target="https://drive.google.com/file/d/1JX9b_LIPcTi3uVFJn_wWJy50hzBAJRHz/view?usp=drivesdk" TargetMode="External"/><Relationship Id="rId7953" Type="http://schemas.openxmlformats.org/officeDocument/2006/relationships/hyperlink" Target="https://drive.google.com/file/d/1VwAj-kEA_Sed7bgUgyv6oHxtHnlvBsb2/view?usp=drivesdk" TargetMode="External"/><Relationship Id="rId342" Type="http://schemas.openxmlformats.org/officeDocument/2006/relationships/hyperlink" Target="https://drive.google.com/file/d/1FNjPrIJAQu_dl3Kh673ceHeWCoqTIZUz/view?usp=drivesdk" TargetMode="External"/><Relationship Id="rId6622" Type="http://schemas.openxmlformats.org/officeDocument/2006/relationships/hyperlink" Target="https://drive.google.com/file/d/1Te-qX-shfnDgF7kt6ycWNOYJGQFmj4sP/view?usp=drivesdk" TargetMode="External"/><Relationship Id="rId7952" Type="http://schemas.openxmlformats.org/officeDocument/2006/relationships/hyperlink" Target="https://drive.google.com/file/d/11K0-dC_3RahbHPV1dtDEmuKCmC0poTK_/view?usp=drivesdk" TargetMode="External"/><Relationship Id="rId6616" Type="http://schemas.openxmlformats.org/officeDocument/2006/relationships/hyperlink" Target="https://drive.google.com/file/d/1guMoe_izxmjIdv2WBr62NhEO9Ypmuvx4/view?usp=drivesdk" TargetMode="External"/><Relationship Id="rId7948" Type="http://schemas.openxmlformats.org/officeDocument/2006/relationships/hyperlink" Target="https://drive.google.com/file/d/174HnVYXA8xe54F_7dKgGIOyK9fVryx_x/view?usp=drivesdk" TargetMode="External"/><Relationship Id="rId6617" Type="http://schemas.openxmlformats.org/officeDocument/2006/relationships/hyperlink" Target="https://drive.google.com/file/d/1uvtu6yVRUkvJkiSGVvmDx-24rXU_cfcZ/view?usp=drivesdk" TargetMode="External"/><Relationship Id="rId7947" Type="http://schemas.openxmlformats.org/officeDocument/2006/relationships/hyperlink" Target="https://drive.google.com/file/d/1IB9NncEGS6P7VnBJi4d25tfdhCx7JUck/view?usp=drivesdk" TargetMode="External"/><Relationship Id="rId6614" Type="http://schemas.openxmlformats.org/officeDocument/2006/relationships/hyperlink" Target="https://drive.google.com/file/d/17mriPMlIXDWuaiGxmrFVmjfI9nOSIUDC/view?usp=drivesdk" TargetMode="External"/><Relationship Id="rId7946" Type="http://schemas.openxmlformats.org/officeDocument/2006/relationships/hyperlink" Target="https://drive.google.com/file/d/18Z_nRrkTxheuOFIDy8XaNi0H9X_VnRB-/view?usp=drivesdk" TargetMode="External"/><Relationship Id="rId6615" Type="http://schemas.openxmlformats.org/officeDocument/2006/relationships/hyperlink" Target="https://drive.google.com/file/d/1-OmSbyvrQUlxFMJwIHtjUMAV6Bc_ZSku/view?usp=drivesdk" TargetMode="External"/><Relationship Id="rId7945" Type="http://schemas.openxmlformats.org/officeDocument/2006/relationships/hyperlink" Target="https://drive.google.com/file/d/1tADx5z__sOLZUSqfJnlEKsbpAfuDkoiO/view?usp=drivesdk" TargetMode="External"/><Relationship Id="rId6618" Type="http://schemas.openxmlformats.org/officeDocument/2006/relationships/hyperlink" Target="https://drive.google.com/file/d/1IWqeezgp2kEb8nTyz7H6YKW_7o6baw-V/view?usp=drivesdk" TargetMode="External"/><Relationship Id="rId6619" Type="http://schemas.openxmlformats.org/officeDocument/2006/relationships/hyperlink" Target="https://drive.google.com/file/d/1Wmzc9hB8jX7PIr2oVEuGSv9S4kT6eKMU/view?usp=drivesdk" TargetMode="External"/><Relationship Id="rId7949" Type="http://schemas.openxmlformats.org/officeDocument/2006/relationships/hyperlink" Target="https://drive.google.com/file/d/1IPB0CpKgJg5fzP4Ocze_SDa5tWndrMH8/view?usp=drivesdk" TargetMode="External"/><Relationship Id="rId338" Type="http://schemas.openxmlformats.org/officeDocument/2006/relationships/hyperlink" Target="https://drive.google.com/file/d/12-c00F1KuvSf2YLoyeIs-vCtVUWBRADS/view?usp=drivesdk" TargetMode="External"/><Relationship Id="rId337" Type="http://schemas.openxmlformats.org/officeDocument/2006/relationships/hyperlink" Target="https://drive.google.com/file/d/1gSm0D7y8X1zonn_vsg1biVr2jiWyuYSw/view?usp=drivesdk" TargetMode="External"/><Relationship Id="rId336" Type="http://schemas.openxmlformats.org/officeDocument/2006/relationships/hyperlink" Target="https://drive.google.com/file/d/1PThs28YMQ5pGo8Yciz27KlICoR-eEwD0/view?usp=drivesdk" TargetMode="External"/><Relationship Id="rId335" Type="http://schemas.openxmlformats.org/officeDocument/2006/relationships/hyperlink" Target="https://drive.google.com/file/d/1phl4BW7F1eWRFynVGdg0PUAfkXaWUKwh/view?usp=drivesdk" TargetMode="External"/><Relationship Id="rId339" Type="http://schemas.openxmlformats.org/officeDocument/2006/relationships/hyperlink" Target="https://drive.google.com/file/d/1yPZ2L_kAZXBmWyNhIS92yAD8HwJsHKTy/view?usp=drivesdk" TargetMode="External"/><Relationship Id="rId330" Type="http://schemas.openxmlformats.org/officeDocument/2006/relationships/hyperlink" Target="https://drive.google.com/file/d/1ESRDHCJQfnAeeSZndbEmucF6fYAcB2Wm/view?usp=drivesdk" TargetMode="External"/><Relationship Id="rId7940" Type="http://schemas.openxmlformats.org/officeDocument/2006/relationships/hyperlink" Target="https://drive.google.com/file/d/1xVc-hAiIlhnhFO07GbPV0NU_ydsRpzGp/view?usp=drivesdk" TargetMode="External"/><Relationship Id="rId334" Type="http://schemas.openxmlformats.org/officeDocument/2006/relationships/hyperlink" Target="https://drive.google.com/file/d/13R-AnxUTFnFT1BcRcuB4x174BkTckSex/view?usp=drivesdk" TargetMode="External"/><Relationship Id="rId6612" Type="http://schemas.openxmlformats.org/officeDocument/2006/relationships/hyperlink" Target="https://drive.google.com/file/d/1-aIYZHjbaxjGujnDyU6VTfHaI_LWwM_P/view?usp=drivesdk" TargetMode="External"/><Relationship Id="rId7944" Type="http://schemas.openxmlformats.org/officeDocument/2006/relationships/hyperlink" Target="https://drive.google.com/file/d/1-nHpg7gbhTLHcElTwC1q1a5zg9O7Wpdd/view?usp=drivesdk" TargetMode="External"/><Relationship Id="rId333" Type="http://schemas.openxmlformats.org/officeDocument/2006/relationships/hyperlink" Target="https://drive.google.com/file/d/18eDr7r40UgzoV5N-EzXSe3t4a5tC3ymf/view?usp=drivesdk" TargetMode="External"/><Relationship Id="rId6613" Type="http://schemas.openxmlformats.org/officeDocument/2006/relationships/hyperlink" Target="https://drive.google.com/file/d/13BTL0yx5Yr-tKcfIe7dH6BnAXsL97Znz/view?usp=drivesdk" TargetMode="External"/><Relationship Id="rId7943" Type="http://schemas.openxmlformats.org/officeDocument/2006/relationships/hyperlink" Target="https://drive.google.com/file/d/1tm5l4E8U9GGy6ddN3nCyUGP9pPgX3Egz/view?usp=drivesdk" TargetMode="External"/><Relationship Id="rId332" Type="http://schemas.openxmlformats.org/officeDocument/2006/relationships/hyperlink" Target="https://drive.google.com/file/d/1wn8UflQedR3wQ8awiIcrRbP0hnDAFaLi/view?usp=drivesdk" TargetMode="External"/><Relationship Id="rId6610" Type="http://schemas.openxmlformats.org/officeDocument/2006/relationships/hyperlink" Target="https://drive.google.com/file/d/1q-tmlosZ1fPsO2uSWU62uwrZMuJT-aCx/view?usp=drivesdk" TargetMode="External"/><Relationship Id="rId7942" Type="http://schemas.openxmlformats.org/officeDocument/2006/relationships/hyperlink" Target="https://drive.google.com/file/d/151M15m1dL9-mQ60scihB6SiPvs-dZroe/view?usp=drivesdk" TargetMode="External"/><Relationship Id="rId331" Type="http://schemas.openxmlformats.org/officeDocument/2006/relationships/hyperlink" Target="https://drive.google.com/file/d/1XBgpDQGRx11mcTylBfIMnNc18mseqvSQ/view?usp=drivesdk" TargetMode="External"/><Relationship Id="rId6611" Type="http://schemas.openxmlformats.org/officeDocument/2006/relationships/hyperlink" Target="https://drive.google.com/file/d/1sGroNmCdK465r-21WQ0kmIRUPp2BmKww/view?usp=drivesdk" TargetMode="External"/><Relationship Id="rId7941" Type="http://schemas.openxmlformats.org/officeDocument/2006/relationships/hyperlink" Target="https://drive.google.com/file/d/1rn1bZS2lPc87evPeYxvXI4fAi9KNBoo1/view?usp=drivesdk" TargetMode="External"/><Relationship Id="rId5318" Type="http://schemas.openxmlformats.org/officeDocument/2006/relationships/hyperlink" Target="https://drive.google.com/file/d/1Dx8Mi12b0pgtq8n6aRh24lMBpxT-pRnj/view?usp=drivesdk" TargetMode="External"/><Relationship Id="rId6649" Type="http://schemas.openxmlformats.org/officeDocument/2006/relationships/hyperlink" Target="https://drive.google.com/file/d/1lBzRqzF-dId10gXZ3KCiFcok4KSbzc_7/view?usp=drivesdk" TargetMode="External"/><Relationship Id="rId5319" Type="http://schemas.openxmlformats.org/officeDocument/2006/relationships/hyperlink" Target="https://drive.google.com/file/d/1LywVnwz3l9VBz3XRW0nurufxjTpnGbKt/view?usp=drivesdk" TargetMode="External"/><Relationship Id="rId5316" Type="http://schemas.openxmlformats.org/officeDocument/2006/relationships/hyperlink" Target="https://drive.google.com/file/d/1vVXgz7As6WxrZEFMxWH1_8oPaVdZ9x29/view?usp=drivesdk" TargetMode="External"/><Relationship Id="rId6647" Type="http://schemas.openxmlformats.org/officeDocument/2006/relationships/hyperlink" Target="https://drive.google.com/file/d/1NzXXNppKQZF56rpr3op9KcUuQeeiUrrt/view?usp=drivesdk" TargetMode="External"/><Relationship Id="rId7979" Type="http://schemas.openxmlformats.org/officeDocument/2006/relationships/hyperlink" Target="https://drive.google.com/file/d/1ONRmft1BK5HT9U6mutdBXYuqVUMh4Zdm/view?usp=drivesdk" TargetMode="External"/><Relationship Id="rId5317" Type="http://schemas.openxmlformats.org/officeDocument/2006/relationships/hyperlink" Target="https://drive.google.com/file/d/1nVZKsDjEDvmmC8azc1PhC6bFvDVIvsAE/view?usp=drivesdk" TargetMode="External"/><Relationship Id="rId6648" Type="http://schemas.openxmlformats.org/officeDocument/2006/relationships/hyperlink" Target="https://drive.google.com/file/d/1iCmoLjSNN3HbMp1DzmmpgY23_WT2IFPK/view?usp=drivesdk" TargetMode="External"/><Relationship Id="rId7978" Type="http://schemas.openxmlformats.org/officeDocument/2006/relationships/hyperlink" Target="https://drive.google.com/file/d/1xcQOs19TcLVGntLEhMieIVdd-6eDmB9l/view?usp=drivesdk" TargetMode="External"/><Relationship Id="rId370" Type="http://schemas.openxmlformats.org/officeDocument/2006/relationships/hyperlink" Target="https://drive.google.com/file/d/1L5EySXjG63kg1t-RyzdXUyr2iVpw-B8T/view?usp=drivesdk" TargetMode="External"/><Relationship Id="rId369" Type="http://schemas.openxmlformats.org/officeDocument/2006/relationships/hyperlink" Target="https://drive.google.com/file/d/1eqPKoGAuIyiQoFwsDWZKM9XphAEnOU9m/view?usp=drivesdk" TargetMode="External"/><Relationship Id="rId368" Type="http://schemas.openxmlformats.org/officeDocument/2006/relationships/hyperlink" Target="https://drive.google.com/file/d/1-p0IQYs1Xc33FsMw4CurE31OMrDvu_KG/view?usp=drivesdk" TargetMode="External"/><Relationship Id="rId363" Type="http://schemas.openxmlformats.org/officeDocument/2006/relationships/hyperlink" Target="https://drive.google.com/file/d/1ePuMTrFwdPI8ohl7XYL2dMBul-nW_WCO/view?usp=drivesdk" TargetMode="External"/><Relationship Id="rId5310" Type="http://schemas.openxmlformats.org/officeDocument/2006/relationships/hyperlink" Target="https://drive.google.com/file/d/1T5YFE8Y8nCfKKfWn86ncMccQlFGbhUkr/view?usp=drivesdk" TargetMode="External"/><Relationship Id="rId6641" Type="http://schemas.openxmlformats.org/officeDocument/2006/relationships/hyperlink" Target="https://drive.google.com/file/d/11cdijP-IQqQa-YNmO3jHVsysKZY4yVG3/view?usp=drivesdk" TargetMode="External"/><Relationship Id="rId7973" Type="http://schemas.openxmlformats.org/officeDocument/2006/relationships/hyperlink" Target="https://drive.google.com/file/d/1wbqA3Jk-C7IXEuzMoMy3DixaAT9lMtOj/view?usp=drivesdk" TargetMode="External"/><Relationship Id="rId362" Type="http://schemas.openxmlformats.org/officeDocument/2006/relationships/hyperlink" Target="https://drive.google.com/file/d/1brnWtAxa6Y3v-fDwzhpWLSJ3Maa_d0hP/view?usp=drivesdk" TargetMode="External"/><Relationship Id="rId5311" Type="http://schemas.openxmlformats.org/officeDocument/2006/relationships/hyperlink" Target="https://drive.google.com/file/d/1Rh8CUYe8gy-EZVQj6Z5nMs19IoVI3aA7/view?usp=drivesdk" TargetMode="External"/><Relationship Id="rId6642" Type="http://schemas.openxmlformats.org/officeDocument/2006/relationships/hyperlink" Target="https://drive.google.com/file/d/1J4ORIKS8jWXRM2sVf_6w9853Voj0Ek92/view?usp=drivesdk" TargetMode="External"/><Relationship Id="rId7972" Type="http://schemas.openxmlformats.org/officeDocument/2006/relationships/hyperlink" Target="https://drive.google.com/file/d/1I_qQ-bnjsWwS9Ss7vdqLf8OeHdteD6tl/view?usp=drivesdk" TargetMode="External"/><Relationship Id="rId361" Type="http://schemas.openxmlformats.org/officeDocument/2006/relationships/hyperlink" Target="https://drive.google.com/file/d/1psvHCToU2C0IXAy0uxolRI2Pnj3ZQlVx/view?usp=drivesdk" TargetMode="External"/><Relationship Id="rId7971" Type="http://schemas.openxmlformats.org/officeDocument/2006/relationships/hyperlink" Target="https://drive.google.com/file/d/1VURlNYKkCiw1R8NkHuD638t21X1FQo5-/view?usp=drivesdk" TargetMode="External"/><Relationship Id="rId360" Type="http://schemas.openxmlformats.org/officeDocument/2006/relationships/hyperlink" Target="https://drive.google.com/file/d/1gY5SKbfDkJEDdhrgsW9I55-gJm-x_1fc/view?usp=drivesdk" TargetMode="External"/><Relationship Id="rId6640" Type="http://schemas.openxmlformats.org/officeDocument/2006/relationships/hyperlink" Target="https://drive.google.com/file/d/1rfsPYVjmoPCHnuBG1bFqcZYZ4bj74O4d/view?usp=drivesdk" TargetMode="External"/><Relationship Id="rId7970" Type="http://schemas.openxmlformats.org/officeDocument/2006/relationships/hyperlink" Target="https://drive.google.com/file/d/1C7JCeo1-48qRjSVuFV5EG30bcKV7_Vl4/view?usp=drivesdk" TargetMode="External"/><Relationship Id="rId367" Type="http://schemas.openxmlformats.org/officeDocument/2006/relationships/hyperlink" Target="https://drive.google.com/file/d/1MpQAR_SPJi5PiDY19Z7UZ9uggPq9xfxN/view?usp=drivesdk" TargetMode="External"/><Relationship Id="rId5314" Type="http://schemas.openxmlformats.org/officeDocument/2006/relationships/hyperlink" Target="https://drive.google.com/file/d/1X-XNNpB5SX3oA61NJdVwn3IN5J0BFSIT/view?usp=drivesdk" TargetMode="External"/><Relationship Id="rId6645" Type="http://schemas.openxmlformats.org/officeDocument/2006/relationships/hyperlink" Target="https://drive.google.com/file/d/1gmG317qdjSSPgO9t1i0Sh1KSnO9s9hfD/view?usp=drivesdk" TargetMode="External"/><Relationship Id="rId7977" Type="http://schemas.openxmlformats.org/officeDocument/2006/relationships/hyperlink" Target="https://drive.google.com/file/d/1p9rHwNW0GPbFQEhdZ4_YMd28CuomOIdo/view?usp=drivesdk" TargetMode="External"/><Relationship Id="rId366" Type="http://schemas.openxmlformats.org/officeDocument/2006/relationships/hyperlink" Target="https://drive.google.com/file/d/1Xo4EwZILSNEhjOrKOc_rJYjA5_I_46nB/view?usp=drivesdk" TargetMode="External"/><Relationship Id="rId5315" Type="http://schemas.openxmlformats.org/officeDocument/2006/relationships/hyperlink" Target="https://drive.google.com/file/d/1xa8XmPDzIRVw2FhpoFn4_GgX2PA6IOzU/view?usp=drivesdk" TargetMode="External"/><Relationship Id="rId6646" Type="http://schemas.openxmlformats.org/officeDocument/2006/relationships/hyperlink" Target="https://drive.google.com/file/d/1BOVHlE0qCCcyNG-msYz_S4GEt--GL5zc/view?usp=drivesdk" TargetMode="External"/><Relationship Id="rId7976" Type="http://schemas.openxmlformats.org/officeDocument/2006/relationships/hyperlink" Target="https://drive.google.com/file/d/1aQhVPNwdibMd6lI-QFrbysdxyO1vYEdN/view?usp=drivesdk" TargetMode="External"/><Relationship Id="rId365" Type="http://schemas.openxmlformats.org/officeDocument/2006/relationships/hyperlink" Target="https://drive.google.com/file/d/12oguQMUyExtAVtlPEQLt9I9sozSsEBt6/view?usp=drivesdk" TargetMode="External"/><Relationship Id="rId5312" Type="http://schemas.openxmlformats.org/officeDocument/2006/relationships/hyperlink" Target="https://drive.google.com/file/d/1qSANr60YqUkr-EYlpptEAzjrUZ_9liYN/view?usp=drivesdk" TargetMode="External"/><Relationship Id="rId6643" Type="http://schemas.openxmlformats.org/officeDocument/2006/relationships/hyperlink" Target="https://drive.google.com/file/d/1k85kazkdJp2QpH_T5Ec8mGD9eud1PVyG/view?usp=drivesdk" TargetMode="External"/><Relationship Id="rId7975" Type="http://schemas.openxmlformats.org/officeDocument/2006/relationships/hyperlink" Target="https://drive.google.com/file/d/1wftB3E8P4htrC1dEv67BVUHzhvPKrPS-/view?usp=drivesdk" TargetMode="External"/><Relationship Id="rId364" Type="http://schemas.openxmlformats.org/officeDocument/2006/relationships/hyperlink" Target="https://drive.google.com/file/d/1kLCnytf_RcQLcL4LDH-w3ZsLaM9yJvrr/view?usp=drivesdk" TargetMode="External"/><Relationship Id="rId5313" Type="http://schemas.openxmlformats.org/officeDocument/2006/relationships/hyperlink" Target="https://drive.google.com/file/d/1x3XjxVfNrhUjl2APe395aEFE6XzMlqx1/view?usp=drivesdk" TargetMode="External"/><Relationship Id="rId6644" Type="http://schemas.openxmlformats.org/officeDocument/2006/relationships/hyperlink" Target="https://drive.google.com/file/d/18yFX-hnXmjDPx4R8STLGMWW3UB4-imxU/view?usp=drivesdk" TargetMode="External"/><Relationship Id="rId7974" Type="http://schemas.openxmlformats.org/officeDocument/2006/relationships/hyperlink" Target="https://drive.google.com/file/d/1w36V-EsRgFSdhIXIcV4eAvp0bOTKuAMz/view?usp=drivesdk" TargetMode="External"/><Relationship Id="rId95" Type="http://schemas.openxmlformats.org/officeDocument/2006/relationships/hyperlink" Target="https://drive.google.com/file/d/1hoqbmbgsaU2-rTy7Gd7dw1rHdbZfD353/view?usp=drivesdk" TargetMode="External"/><Relationship Id="rId5307" Type="http://schemas.openxmlformats.org/officeDocument/2006/relationships/hyperlink" Target="https://drive.google.com/file/d/1kVpIoR3mMRAAx_i5_BkTVOYT-P88G-Pk/view?usp=drivesdk" TargetMode="External"/><Relationship Id="rId6638" Type="http://schemas.openxmlformats.org/officeDocument/2006/relationships/hyperlink" Target="https://drive.google.com/file/d/1quSgmflssSRv26sKbxy89oXdwCHTGtVo/view?usp=drivesdk" TargetMode="External"/><Relationship Id="rId94" Type="http://schemas.openxmlformats.org/officeDocument/2006/relationships/hyperlink" Target="https://drive.google.com/file/d/1DRIYzAO3gnO800uAuYPfUWaC_zZpHDw2/view?usp=drivesdk" TargetMode="External"/><Relationship Id="rId5308" Type="http://schemas.openxmlformats.org/officeDocument/2006/relationships/hyperlink" Target="https://drive.google.com/file/d/1NV8eU7B5oEOVPurlLJkvU-iH7KPI7CsV/view?usp=drivesdk" TargetMode="External"/><Relationship Id="rId6639" Type="http://schemas.openxmlformats.org/officeDocument/2006/relationships/hyperlink" Target="https://drive.google.com/file/d/1RiKedg9b7KEMRgqSV_N-mpc10F5v1-in/view?usp=drivesdk" TargetMode="External"/><Relationship Id="rId7969" Type="http://schemas.openxmlformats.org/officeDocument/2006/relationships/hyperlink" Target="https://drive.google.com/file/d/1k1KEhS6j_su6sk74aRUAtLREn2Kv_HTP/view?usp=drivesdk" TargetMode="External"/><Relationship Id="rId97" Type="http://schemas.openxmlformats.org/officeDocument/2006/relationships/hyperlink" Target="https://drive.google.com/file/d/1CbkqX7ZZTYVC1jLQLfqU4zjcDC4CKvB0/view?usp=drivesdk" TargetMode="External"/><Relationship Id="rId5305" Type="http://schemas.openxmlformats.org/officeDocument/2006/relationships/hyperlink" Target="https://drive.google.com/file/d/1x9uiGqDegArn00ETl-9rEV3t8whuJfkd/view?usp=drivesdk" TargetMode="External"/><Relationship Id="rId6636" Type="http://schemas.openxmlformats.org/officeDocument/2006/relationships/hyperlink" Target="https://drive.google.com/file/d/1EPhfydfzm27IPj5mKeS_WebvZWTAF2RO/view?usp=drivesdk" TargetMode="External"/><Relationship Id="rId7968" Type="http://schemas.openxmlformats.org/officeDocument/2006/relationships/hyperlink" Target="https://drive.google.com/file/d/1lxZ28xh92g6aBbV5YFB1e7GXRWvdfIcO/view?usp=drivesdk" TargetMode="External"/><Relationship Id="rId96" Type="http://schemas.openxmlformats.org/officeDocument/2006/relationships/hyperlink" Target="https://drive.google.com/file/d/1MLaeZRohUlcsRJAMp5sEpaYRqTwMBHfX/view?usp=drivesdk" TargetMode="External"/><Relationship Id="rId5306" Type="http://schemas.openxmlformats.org/officeDocument/2006/relationships/hyperlink" Target="https://drive.google.com/file/d/11kHoS7mndnxmZO5-3LRYDJzZBJ9t96-1/view?usp=drivesdk" TargetMode="External"/><Relationship Id="rId6637" Type="http://schemas.openxmlformats.org/officeDocument/2006/relationships/hyperlink" Target="https://drive.google.com/file/d/1lElPjA-s9pqm8ZY8kElzqimDY3IuSJl3/view?usp=drivesdk" TargetMode="External"/><Relationship Id="rId7967" Type="http://schemas.openxmlformats.org/officeDocument/2006/relationships/hyperlink" Target="https://drive.google.com/file/d/1aTIsYR0ik9YTsSDLOQmUws3okKVZE4w9/view?usp=drivesdk" TargetMode="External"/><Relationship Id="rId99" Type="http://schemas.openxmlformats.org/officeDocument/2006/relationships/hyperlink" Target="https://drive.google.com/file/d/1xGvWCRn7VchrhnArssu8I4DbS3V8F2oa/view?usp=drivesdk" TargetMode="External"/><Relationship Id="rId98" Type="http://schemas.openxmlformats.org/officeDocument/2006/relationships/hyperlink" Target="https://drive.google.com/file/d/1l2FqPHyYhqi7TX2G_EXdxXsh68hHbmEM/view?usp=drivesdk" TargetMode="External"/><Relationship Id="rId5309" Type="http://schemas.openxmlformats.org/officeDocument/2006/relationships/hyperlink" Target="https://drive.google.com/file/d/1EWgNxHXbughOYistTV78flWWcHgSTjDk/view?usp=drivesdk" TargetMode="External"/><Relationship Id="rId91" Type="http://schemas.openxmlformats.org/officeDocument/2006/relationships/hyperlink" Target="https://drive.google.com/file/d/1gJsYVhpu4Ak6TB76IZ7jLl-GlVAVt8IW/view?usp=drivesdk" TargetMode="External"/><Relationship Id="rId90" Type="http://schemas.openxmlformats.org/officeDocument/2006/relationships/hyperlink" Target="https://drive.google.com/file/d/1NtXcLOXwNHah1i5-aXOJMiBB-o3f1p-z/view?usp=drivesdk" TargetMode="External"/><Relationship Id="rId93" Type="http://schemas.openxmlformats.org/officeDocument/2006/relationships/hyperlink" Target="https://drive.google.com/file/d/1h_UA8YvB7oYldsCWjTIOyQoFeSKFxJsA/view?usp=drivesdk" TargetMode="External"/><Relationship Id="rId92" Type="http://schemas.openxmlformats.org/officeDocument/2006/relationships/hyperlink" Target="https://drive.google.com/file/d/15ZwdZuEtdHNliFao3vu9ro1Gc8IOMWVo/view?usp=drivesdk" TargetMode="External"/><Relationship Id="rId359" Type="http://schemas.openxmlformats.org/officeDocument/2006/relationships/hyperlink" Target="https://drive.google.com/file/d/1Rng3_vh5EsMf7PovYSUP_-OBAbcUxqzd/view?usp=drivesdk" TargetMode="External"/><Relationship Id="rId358" Type="http://schemas.openxmlformats.org/officeDocument/2006/relationships/hyperlink" Target="https://drive.google.com/file/d/1oNSV0rVIhXSQurDkRLtBx5utHqZhxqD8/view?usp=drivesdk" TargetMode="External"/><Relationship Id="rId357" Type="http://schemas.openxmlformats.org/officeDocument/2006/relationships/hyperlink" Target="https://drive.google.com/file/d/13h8EvXju1M58LpN3E84D2RZXGKSvAjM7/view?usp=drivesdk" TargetMode="External"/><Relationship Id="rId352" Type="http://schemas.openxmlformats.org/officeDocument/2006/relationships/hyperlink" Target="https://drive.google.com/file/d/1ABNEI0_Wg2vWWasIbEw7IGJj7Gx7SWZ0/view?usp=drivesdk" TargetMode="External"/><Relationship Id="rId6630" Type="http://schemas.openxmlformats.org/officeDocument/2006/relationships/hyperlink" Target="https://drive.google.com/file/d/15-1tZSJZF-UtvqHJCPTfGkVErYYEJ9Ov/view?usp=drivesdk" TargetMode="External"/><Relationship Id="rId7962" Type="http://schemas.openxmlformats.org/officeDocument/2006/relationships/hyperlink" Target="https://drive.google.com/file/d/1bBzvws5zPXs14IluM8AxytbLwR35odMe/view?usp=drivesdk" TargetMode="External"/><Relationship Id="rId351" Type="http://schemas.openxmlformats.org/officeDocument/2006/relationships/hyperlink" Target="https://drive.google.com/file/d/1qXOyKOEhd5oUGAAaYxOJqZzchWYAr4Rg/view?usp=drivesdk" TargetMode="External"/><Relationship Id="rId5300" Type="http://schemas.openxmlformats.org/officeDocument/2006/relationships/hyperlink" Target="https://drive.google.com/file/d/1dSqNX6A4M-B-EiN_JsRjXIRXJp7DVA2S/view?usp=drivesdk" TargetMode="External"/><Relationship Id="rId6631" Type="http://schemas.openxmlformats.org/officeDocument/2006/relationships/hyperlink" Target="https://drive.google.com/file/d/1JWcoG8YR2BEVOczvJK-fZaoYLDPbmHDe/view?usp=drivesdk" TargetMode="External"/><Relationship Id="rId7961" Type="http://schemas.openxmlformats.org/officeDocument/2006/relationships/hyperlink" Target="https://drive.google.com/file/d/1ImAGxtrS2j7R9uiMd_g0_kyUfwttEYug/view?usp=drivesdk" TargetMode="External"/><Relationship Id="rId350" Type="http://schemas.openxmlformats.org/officeDocument/2006/relationships/hyperlink" Target="https://drive.google.com/file/d/1iYa75w2a7u-TOLPiYvhyIlK-dkBTKvMx/view?usp=drivesdk" TargetMode="External"/><Relationship Id="rId7960" Type="http://schemas.openxmlformats.org/officeDocument/2006/relationships/hyperlink" Target="https://drive.google.com/file/d/11UPHnIJHCQPDM6hLGRl2_n8N07LDWiNl/view?usp=drivesdk" TargetMode="External"/><Relationship Id="rId356" Type="http://schemas.openxmlformats.org/officeDocument/2006/relationships/hyperlink" Target="https://drive.google.com/file/d/1ioXJJvRppqp7NyOIsmwh-_mG39dAet_3/view?usp=drivesdk" TargetMode="External"/><Relationship Id="rId5303" Type="http://schemas.openxmlformats.org/officeDocument/2006/relationships/hyperlink" Target="https://drive.google.com/file/d/1lQR_OUZgTvZUiX93Nff_w4WnciP3OqL7/view?usp=drivesdk" TargetMode="External"/><Relationship Id="rId6634" Type="http://schemas.openxmlformats.org/officeDocument/2006/relationships/hyperlink" Target="https://drive.google.com/file/d/12NvtggywHMdBt5mjUpSdJ7eTaxaSVw3R/view?usp=drivesdk" TargetMode="External"/><Relationship Id="rId7966" Type="http://schemas.openxmlformats.org/officeDocument/2006/relationships/hyperlink" Target="https://drive.google.com/file/d/19zy6_YdRZACppwqQX8v0vgyJgR8yhKBv/view?usp=drivesdk" TargetMode="External"/><Relationship Id="rId355" Type="http://schemas.openxmlformats.org/officeDocument/2006/relationships/hyperlink" Target="https://drive.google.com/file/d/1U55cEQxGzJoNP8pyPiLP9De6gfkljZnU/view?usp=drivesdk" TargetMode="External"/><Relationship Id="rId5304" Type="http://schemas.openxmlformats.org/officeDocument/2006/relationships/hyperlink" Target="https://drive.google.com/file/d/1OD7aXEVUK8rQ1LgdOdxEomjet12_1_dk/view?usp=drivesdk" TargetMode="External"/><Relationship Id="rId6635" Type="http://schemas.openxmlformats.org/officeDocument/2006/relationships/hyperlink" Target="https://drive.google.com/file/d/1CNyIswxlvuumRzVbFmo0Oakn5JQWlxkp/view?usp=drivesdk" TargetMode="External"/><Relationship Id="rId7965" Type="http://schemas.openxmlformats.org/officeDocument/2006/relationships/hyperlink" Target="https://drive.google.com/file/d/1jsqHof9cchlgTi1lcE078oSovBccMSQw/view?usp=drivesdk" TargetMode="External"/><Relationship Id="rId354" Type="http://schemas.openxmlformats.org/officeDocument/2006/relationships/hyperlink" Target="https://drive.google.com/file/d/1KtCBKdhZ5mmTRPRc58HOXSxurYSeIjl_/view?usp=drivesdk" TargetMode="External"/><Relationship Id="rId5301" Type="http://schemas.openxmlformats.org/officeDocument/2006/relationships/hyperlink" Target="https://drive.google.com/file/d/17nud_tS2F3s39_h639zvvQ7fD2AFCwNt/view?usp=drivesdk" TargetMode="External"/><Relationship Id="rId6632" Type="http://schemas.openxmlformats.org/officeDocument/2006/relationships/hyperlink" Target="https://drive.google.com/file/d/1BPICp1twP6zwTkfwtNHEDh2C8FlyI-oe/view?usp=drivesdk" TargetMode="External"/><Relationship Id="rId7964" Type="http://schemas.openxmlformats.org/officeDocument/2006/relationships/hyperlink" Target="https://drive.google.com/file/d/1JGJjmnuIgfzzbEzd7mVyYY7zN-gAH32o/view?usp=drivesdk" TargetMode="External"/><Relationship Id="rId353" Type="http://schemas.openxmlformats.org/officeDocument/2006/relationships/hyperlink" Target="https://drive.google.com/file/d/1zjrc89vSG27YQLn1CW9hFzTCzDWktbws/view?usp=drivesdk" TargetMode="External"/><Relationship Id="rId5302" Type="http://schemas.openxmlformats.org/officeDocument/2006/relationships/hyperlink" Target="https://drive.google.com/file/d/13OgzxGD9dqV_vNXEEbGc7cJAg1PbRrqO/view?usp=drivesdk" TargetMode="External"/><Relationship Id="rId6633" Type="http://schemas.openxmlformats.org/officeDocument/2006/relationships/hyperlink" Target="https://drive.google.com/file/d/16cZJ1V61QzX8fcq9M29-mtQdc-2cgW9e/view?usp=drivesdk" TargetMode="External"/><Relationship Id="rId7963" Type="http://schemas.openxmlformats.org/officeDocument/2006/relationships/hyperlink" Target="https://drive.google.com/file/d/13G8V3x76K8aBSPwR_TFTpiJAStciLB6x/view?usp=drivesdk" TargetMode="External"/><Relationship Id="rId7915" Type="http://schemas.openxmlformats.org/officeDocument/2006/relationships/hyperlink" Target="https://drive.google.com/file/d/10ZNn5A0MiMj__0Lwn62Dme_CBDqWi5rh/view?usp=drivesdk" TargetMode="External"/><Relationship Id="rId7914" Type="http://schemas.openxmlformats.org/officeDocument/2006/relationships/hyperlink" Target="https://drive.google.com/file/d/1ywfOLLFVWPdrbNG1nygmH3aujDhDvptf/view?usp=drivesdk" TargetMode="External"/><Relationship Id="rId7913" Type="http://schemas.openxmlformats.org/officeDocument/2006/relationships/hyperlink" Target="https://drive.google.com/file/d/1tFc_kVudCmqQNSfYmM2WkLvAvRnnAYm-/view?usp=drivesdk" TargetMode="External"/><Relationship Id="rId7912" Type="http://schemas.openxmlformats.org/officeDocument/2006/relationships/hyperlink" Target="https://drive.google.com/file/d/1h4qS6AFRsGDkto-C_Gr6xfAuP4J-zBB8/view?usp=drivesdk" TargetMode="External"/><Relationship Id="rId7919" Type="http://schemas.openxmlformats.org/officeDocument/2006/relationships/hyperlink" Target="https://drive.google.com/file/d/1zp85NV2ekpyyt5YmVJoAkjU84ccLRbez/view?usp=drivesdk" TargetMode="External"/><Relationship Id="rId7918" Type="http://schemas.openxmlformats.org/officeDocument/2006/relationships/hyperlink" Target="https://drive.google.com/file/d/1DzrS9zROI2zzk4ABLFpU1xvZc-jG6J9X/view?usp=drivesdk" TargetMode="External"/><Relationship Id="rId7917" Type="http://schemas.openxmlformats.org/officeDocument/2006/relationships/hyperlink" Target="https://drive.google.com/file/d/1cBl8ZGtpajEeorEASUNSkyFzOXyBbUtM/view?usp=drivesdk" TargetMode="External"/><Relationship Id="rId7916" Type="http://schemas.openxmlformats.org/officeDocument/2006/relationships/hyperlink" Target="https://drive.google.com/file/d/1oziI32XPX_NfBNmDJ-jEI_6_MtoYQuvL/view?usp=drivesdk" TargetMode="External"/><Relationship Id="rId305" Type="http://schemas.openxmlformats.org/officeDocument/2006/relationships/hyperlink" Target="https://drive.google.com/file/d/1LGurqhU_DEj01NDIcdYPXmVsdHrDRIvb/view?usp=drivesdk" TargetMode="External"/><Relationship Id="rId304" Type="http://schemas.openxmlformats.org/officeDocument/2006/relationships/hyperlink" Target="https://drive.google.com/file/d/1w7t_KItQbzmSNST-45fDvvu2B90a22yp/view?usp=drivesdk" TargetMode="External"/><Relationship Id="rId303" Type="http://schemas.openxmlformats.org/officeDocument/2006/relationships/hyperlink" Target="https://drive.google.com/file/d/1KYZZOOhigRy8wDKwXsJ66KbpqunLl6i4/view?usp=drivesdk" TargetMode="External"/><Relationship Id="rId302" Type="http://schemas.openxmlformats.org/officeDocument/2006/relationships/hyperlink" Target="https://drive.google.com/file/d/1joet6IufkrnmxKtdWegMz3eR09ov3OK1/view?usp=drivesdk" TargetMode="External"/><Relationship Id="rId309" Type="http://schemas.openxmlformats.org/officeDocument/2006/relationships/hyperlink" Target="https://drive.google.com/file/d/1V9v2RgBisWKQcOofj1St_FkiijrHTTmA/view?usp=drivesdk" TargetMode="External"/><Relationship Id="rId308" Type="http://schemas.openxmlformats.org/officeDocument/2006/relationships/hyperlink" Target="https://drive.google.com/file/d/1yFu5ChYL5grIYAOQgpfDFcTyzmhSJkGn/view?usp=drivesdk" TargetMode="External"/><Relationship Id="rId307" Type="http://schemas.openxmlformats.org/officeDocument/2006/relationships/hyperlink" Target="https://drive.google.com/file/d/1Chf_X9BH5E-fHpCGgwpmdj4SCqr6OVD-/view?usp=drivesdk" TargetMode="External"/><Relationship Id="rId306" Type="http://schemas.openxmlformats.org/officeDocument/2006/relationships/hyperlink" Target="https://drive.google.com/file/d/16B_vvoWJAmCgPKydXc9E0KueAusZDzSF/view?usp=drivesdk" TargetMode="External"/><Relationship Id="rId301" Type="http://schemas.openxmlformats.org/officeDocument/2006/relationships/hyperlink" Target="https://drive.google.com/file/d/1kpXN57NZt6HKzqjtURMAibTwDXYSJq0G/view?usp=drivesdk" TargetMode="External"/><Relationship Id="rId7911" Type="http://schemas.openxmlformats.org/officeDocument/2006/relationships/hyperlink" Target="https://drive.google.com/file/d/1hQTQnCtSArbXdB9BA8SNBgdVDuKXTNqT/view?usp=drivesdk" TargetMode="External"/><Relationship Id="rId300" Type="http://schemas.openxmlformats.org/officeDocument/2006/relationships/hyperlink" Target="https://drive.google.com/file/d/1BS-pA5g7XVwhA7OvmD2_uI1y5D03BznT/view?usp=drivesdk" TargetMode="External"/><Relationship Id="rId7910" Type="http://schemas.openxmlformats.org/officeDocument/2006/relationships/hyperlink" Target="https://drive.google.com/file/d/1hCE1nJLBwE5NPn6KD9Vj6AStbZw6p8Xe/view?usp=drivesdk" TargetMode="External"/><Relationship Id="rId7904" Type="http://schemas.openxmlformats.org/officeDocument/2006/relationships/hyperlink" Target="https://drive.google.com/file/d/1S98B9ZtwbH_DK2k5McKR5qGkHGyCFgFl/view?usp=drivesdk" TargetMode="External"/><Relationship Id="rId7903" Type="http://schemas.openxmlformats.org/officeDocument/2006/relationships/hyperlink" Target="https://drive.google.com/file/d/1Y5tYVFY2FfFCcsneOFpPdcXluxV9ajfx/view?usp=drivesdk" TargetMode="External"/><Relationship Id="rId7902" Type="http://schemas.openxmlformats.org/officeDocument/2006/relationships/hyperlink" Target="https://drive.google.com/file/d/1SkyHXDa-31WTN4-2dDHuY1o1kECA3Y4d/view?usp=drivesdk" TargetMode="External"/><Relationship Id="rId7901" Type="http://schemas.openxmlformats.org/officeDocument/2006/relationships/hyperlink" Target="https://drive.google.com/file/d/1GvjKTdqVOYX81FjMSSZq_-Nk1x9a4n7w/view?usp=drivesdk" TargetMode="External"/><Relationship Id="rId7908" Type="http://schemas.openxmlformats.org/officeDocument/2006/relationships/hyperlink" Target="https://drive.google.com/file/d/1__NJpnzMbrbTkaF8GRfxavDjIynmm6Sx/view?usp=drivesdk" TargetMode="External"/><Relationship Id="rId7907" Type="http://schemas.openxmlformats.org/officeDocument/2006/relationships/hyperlink" Target="https://drive.google.com/file/d/1eZmHiyoHwLDeMu2EIAWerGlAZe0-1DoS/view?usp=drivesdk" TargetMode="External"/><Relationship Id="rId7906" Type="http://schemas.openxmlformats.org/officeDocument/2006/relationships/hyperlink" Target="https://drive.google.com/file/d/1GaqsigP1zo8tFcg__4h-SsCPF2qvGJ4s/view?usp=drivesdk" TargetMode="External"/><Relationship Id="rId7905" Type="http://schemas.openxmlformats.org/officeDocument/2006/relationships/hyperlink" Target="https://drive.google.com/file/d/1aPrJchwUd6K0GDXLiRAtaAr-rE8Hw5zr/view?usp=drivesdk" TargetMode="External"/><Relationship Id="rId7909" Type="http://schemas.openxmlformats.org/officeDocument/2006/relationships/hyperlink" Target="https://drive.google.com/file/d/16BVIGU0qrRy1ChcSQnFt-cGuoh2oBXDs/view?usp=drivesdk" TargetMode="External"/><Relationship Id="rId7900" Type="http://schemas.openxmlformats.org/officeDocument/2006/relationships/hyperlink" Target="https://drive.google.com/file/d/1fz-Y8B8OIT7-S9Tc_uzkQpJTP2mWsiqw/view?usp=drivesdk" TargetMode="External"/><Relationship Id="rId6605" Type="http://schemas.openxmlformats.org/officeDocument/2006/relationships/hyperlink" Target="https://drive.google.com/file/d/1XHcX4rD7ojbV7yHtkFqbHYpFU3FUnI9Q/view?usp=drivesdk" TargetMode="External"/><Relationship Id="rId7937" Type="http://schemas.openxmlformats.org/officeDocument/2006/relationships/hyperlink" Target="https://drive.google.com/file/d/1I3YCbmcNUM66e_bbCQgn9higl8_TEpQV/view?usp=drivesdk" TargetMode="External"/><Relationship Id="rId6606" Type="http://schemas.openxmlformats.org/officeDocument/2006/relationships/hyperlink" Target="https://drive.google.com/file/d/1iqYjoUmkO1-qIgTOn5aafxZTx-YS6Kxt/view?usp=drivesdk" TargetMode="External"/><Relationship Id="rId7936" Type="http://schemas.openxmlformats.org/officeDocument/2006/relationships/hyperlink" Target="https://drive.google.com/file/d/1QlpKBC5L5skJqRWLauF72kb9on0V3LT3/view?usp=drivesdk" TargetMode="External"/><Relationship Id="rId6603" Type="http://schemas.openxmlformats.org/officeDocument/2006/relationships/hyperlink" Target="https://drive.google.com/file/d/1RxzOmHTfDI00oL_RwOP_ICs3C-dKyHbu/view?usp=drivesdk" TargetMode="External"/><Relationship Id="rId7935" Type="http://schemas.openxmlformats.org/officeDocument/2006/relationships/hyperlink" Target="https://drive.google.com/file/d/1R1-RVUjNjt6IKo6YAsNG9l0TrDnB7_ra/view?usp=drivesdk" TargetMode="External"/><Relationship Id="rId6604" Type="http://schemas.openxmlformats.org/officeDocument/2006/relationships/hyperlink" Target="https://drive.google.com/file/d/1Whm3Xjh2AJAzlhSgDyRmySU4RIgmpMHX/view?usp=drivesdk" TargetMode="External"/><Relationship Id="rId7934" Type="http://schemas.openxmlformats.org/officeDocument/2006/relationships/hyperlink" Target="https://drive.google.com/file/d/1A-SP2rm2Ih_ayv4XcI8ddB75_YelKGfV/view?usp=drivesdk" TargetMode="External"/><Relationship Id="rId6609" Type="http://schemas.openxmlformats.org/officeDocument/2006/relationships/hyperlink" Target="https://drive.google.com/file/d/11J1FPCo7Z00GKt0I0mkn8mdmPvDOdJ86/view?usp=drivesdk" TargetMode="External"/><Relationship Id="rId6607" Type="http://schemas.openxmlformats.org/officeDocument/2006/relationships/hyperlink" Target="https://drive.google.com/file/d/1mRYG0VB0JBGCawetLHtc_9Lsz8VMtpyS/view?usp=drivesdk" TargetMode="External"/><Relationship Id="rId7939" Type="http://schemas.openxmlformats.org/officeDocument/2006/relationships/hyperlink" Target="https://drive.google.com/file/d/1DBOYkdXuW0hXmVAXptPCcgp_7xucrd2B/view?usp=drivesdk" TargetMode="External"/><Relationship Id="rId6608" Type="http://schemas.openxmlformats.org/officeDocument/2006/relationships/hyperlink" Target="https://drive.google.com/file/d/1VLsIhUYDN52CdKD_u4sHccFFOXu2vhdC/view?usp=drivesdk" TargetMode="External"/><Relationship Id="rId7938" Type="http://schemas.openxmlformats.org/officeDocument/2006/relationships/hyperlink" Target="https://drive.google.com/file/d/1UkTC-XYcRNpBFUWC6nkmNQEZl1OIJs1j/view?usp=drivesdk" TargetMode="External"/><Relationship Id="rId327" Type="http://schemas.openxmlformats.org/officeDocument/2006/relationships/hyperlink" Target="https://drive.google.com/file/d/1S02FHGoG_Qsbll81ShQn71x_pS7qhBhe/view?usp=drivesdk" TargetMode="External"/><Relationship Id="rId326" Type="http://schemas.openxmlformats.org/officeDocument/2006/relationships/hyperlink" Target="https://drive.google.com/file/d/1fmYaPb1RjVJj1udWV8GMcB1r5rfavJVM/view?usp=drivesdk" TargetMode="External"/><Relationship Id="rId325" Type="http://schemas.openxmlformats.org/officeDocument/2006/relationships/hyperlink" Target="https://drive.google.com/file/d/1jULNiJxGpNhEKtc-XAJTUA06VNJ3-Urg/view?usp=drivesdk" TargetMode="External"/><Relationship Id="rId324" Type="http://schemas.openxmlformats.org/officeDocument/2006/relationships/hyperlink" Target="https://drive.google.com/file/d/1opJcxFomWYMw_H0XDdvxnQdXptqOpihF/view?usp=drivesdk" TargetMode="External"/><Relationship Id="rId329" Type="http://schemas.openxmlformats.org/officeDocument/2006/relationships/hyperlink" Target="https://drive.google.com/file/d/1nMxClwyK5J1maYGQYEf2fAOeDbx_ngG1/view?usp=drivesdk" TargetMode="External"/><Relationship Id="rId328" Type="http://schemas.openxmlformats.org/officeDocument/2006/relationships/hyperlink" Target="https://drive.google.com/file/d/1dhpUOYb6TZqrB2ERQCzqSUsEUYeSLGdD/view?usp=drivesdk" TargetMode="External"/><Relationship Id="rId323" Type="http://schemas.openxmlformats.org/officeDocument/2006/relationships/hyperlink" Target="https://drive.google.com/file/d/1g9VdfnngUm2V-ZAtETbVvzZ2-qz7eDvU/view?usp=drivesdk" TargetMode="External"/><Relationship Id="rId6601" Type="http://schemas.openxmlformats.org/officeDocument/2006/relationships/hyperlink" Target="https://drive.google.com/file/d/1cFqOw6OB87bG-V8Wyljf2JDqSS5pz6z0/view?usp=drivesdk" TargetMode="External"/><Relationship Id="rId7933" Type="http://schemas.openxmlformats.org/officeDocument/2006/relationships/hyperlink" Target="https://drive.google.com/file/d/1-ppppF475iRBYJKxrO7kyykntlWkPUJp/view?usp=drivesdk" TargetMode="External"/><Relationship Id="rId322" Type="http://schemas.openxmlformats.org/officeDocument/2006/relationships/hyperlink" Target="https://drive.google.com/file/d/1WH2N5FXCH4yKCbOOAgIs8VlKNGaib6zF/view?usp=drivesdk" TargetMode="External"/><Relationship Id="rId6602" Type="http://schemas.openxmlformats.org/officeDocument/2006/relationships/hyperlink" Target="https://drive.google.com/file/d/1o7lBeT4-EPFC3ZMqhXXQgYv2PEvOczJQ/view?usp=drivesdk" TargetMode="External"/><Relationship Id="rId7932" Type="http://schemas.openxmlformats.org/officeDocument/2006/relationships/hyperlink" Target="https://drive.google.com/file/d/1yFJ1jE6DZP7NaDou20nVAYAZrClcftNq/view?usp=drivesdk" TargetMode="External"/><Relationship Id="rId321" Type="http://schemas.openxmlformats.org/officeDocument/2006/relationships/hyperlink" Target="https://drive.google.com/file/d/1bmGLkz3ISXubn5q_yojU44o28r1g0L7S/view?usp=drivesdk" TargetMode="External"/><Relationship Id="rId7931" Type="http://schemas.openxmlformats.org/officeDocument/2006/relationships/hyperlink" Target="https://drive.google.com/file/d/1vcB1TgTKX9HkZKHgYv8VwATVcEjqSKjJ/view?usp=drivesdk" TargetMode="External"/><Relationship Id="rId320" Type="http://schemas.openxmlformats.org/officeDocument/2006/relationships/hyperlink" Target="https://drive.google.com/file/d/1XyKULy6Stl_HXHMac5k4X08H_uU0fLcE/view?usp=drivesdk" TargetMode="External"/><Relationship Id="rId6600" Type="http://schemas.openxmlformats.org/officeDocument/2006/relationships/hyperlink" Target="https://drive.google.com/file/d/1iuAOjqCjJB72Cvg2ZjkuqYt054wL_bH-/view?usp=drivesdk" TargetMode="External"/><Relationship Id="rId7930" Type="http://schemas.openxmlformats.org/officeDocument/2006/relationships/hyperlink" Target="https://drive.google.com/file/d/12kIm1W0nfy0-X6PxQuUaK0qaBxc0U_5R/view?usp=drivesdk" TargetMode="External"/><Relationship Id="rId7926" Type="http://schemas.openxmlformats.org/officeDocument/2006/relationships/hyperlink" Target="https://drive.google.com/file/d/1M4pr5BzSZzrE4i9_5D_jjevbg6jWKiUR/view?usp=drivesdk" TargetMode="External"/><Relationship Id="rId7925" Type="http://schemas.openxmlformats.org/officeDocument/2006/relationships/hyperlink" Target="https://drive.google.com/file/d/1jEOEOk3Ka1lp9dWc07n7FaxjLtbmZWMn/view?usp=drivesdk" TargetMode="External"/><Relationship Id="rId7924" Type="http://schemas.openxmlformats.org/officeDocument/2006/relationships/hyperlink" Target="https://drive.google.com/file/d/1TnMG5Pt16w0_vHhdCdUPrdPBIS7yM0Bk/view?usp=drivesdk" TargetMode="External"/><Relationship Id="rId7923" Type="http://schemas.openxmlformats.org/officeDocument/2006/relationships/hyperlink" Target="https://drive.google.com/file/d/11mpLY4FVUkCJtOO9lu3V4gVPWYi1uqn_/view?usp=drivesdk" TargetMode="External"/><Relationship Id="rId7929" Type="http://schemas.openxmlformats.org/officeDocument/2006/relationships/hyperlink" Target="https://drive.google.com/file/d/1JXdD_0YiMiTn2AbmtR4t894CTdi1LxG4/view?usp=drivesdk" TargetMode="External"/><Relationship Id="rId7928" Type="http://schemas.openxmlformats.org/officeDocument/2006/relationships/hyperlink" Target="https://drive.google.com/file/d/1lXGyi3UitsUlpYG9kLLJn1zVCpGx0-gl/view?usp=drivesdk" TargetMode="External"/><Relationship Id="rId7927" Type="http://schemas.openxmlformats.org/officeDocument/2006/relationships/hyperlink" Target="https://drive.google.com/file/d/16taCIXneYjgdKPPjT4lDRo2-89zrEPDW/view?usp=drivesdk" TargetMode="External"/><Relationship Id="rId316" Type="http://schemas.openxmlformats.org/officeDocument/2006/relationships/hyperlink" Target="https://drive.google.com/file/d/1kCQNfrC51Q7oSat162Hk-qHAJkAZZCZ6/view?usp=drivesdk" TargetMode="External"/><Relationship Id="rId315" Type="http://schemas.openxmlformats.org/officeDocument/2006/relationships/hyperlink" Target="https://drive.google.com/file/d/1B5qkoVhxUToXv6pQM2wt47LXmKmq8X7s/view?usp=drivesdk" TargetMode="External"/><Relationship Id="rId314" Type="http://schemas.openxmlformats.org/officeDocument/2006/relationships/hyperlink" Target="https://drive.google.com/file/d/1dabdXhFy0bmU7jjLQC4tu8P_2ptU8Ym4/view?usp=drivesdk" TargetMode="External"/><Relationship Id="rId313" Type="http://schemas.openxmlformats.org/officeDocument/2006/relationships/hyperlink" Target="https://drive.google.com/file/d/1oIfh6hc_a4S2vW1snlKwc6dfY1pXwDoq/view?usp=drivesdk" TargetMode="External"/><Relationship Id="rId319" Type="http://schemas.openxmlformats.org/officeDocument/2006/relationships/hyperlink" Target="https://drive.google.com/file/d/1zaE67nRl64hqC7bfJqDIsi6oXYLWqCf9/view?usp=drivesdk" TargetMode="External"/><Relationship Id="rId318" Type="http://schemas.openxmlformats.org/officeDocument/2006/relationships/hyperlink" Target="https://drive.google.com/file/d/18B0jTrS4WAnAcSld2o62_BgbDiMajHj-/view?usp=drivesdk" TargetMode="External"/><Relationship Id="rId317" Type="http://schemas.openxmlformats.org/officeDocument/2006/relationships/hyperlink" Target="https://drive.google.com/file/d/1z_EaRwBtjxdvCFbhOG0LPWrZvmUzCL9q/view?usp=drivesdk" TargetMode="External"/><Relationship Id="rId312" Type="http://schemas.openxmlformats.org/officeDocument/2006/relationships/hyperlink" Target="https://drive.google.com/file/d/13znXCCiOjPwNRwWIdD3mN9ys6AjDAF8Z/view?usp=drivesdk" TargetMode="External"/><Relationship Id="rId7922" Type="http://schemas.openxmlformats.org/officeDocument/2006/relationships/hyperlink" Target="https://drive.google.com/file/d/10fjkhF7nvhj7-5sRmxA8BPve12xgYXcJ/view?usp=drivesdk" TargetMode="External"/><Relationship Id="rId311" Type="http://schemas.openxmlformats.org/officeDocument/2006/relationships/hyperlink" Target="https://drive.google.com/file/d/1r9bYyvtg0c9HGZxQ9T8aQ6GSqTsP-Rzx/view?usp=drivesdk" TargetMode="External"/><Relationship Id="rId7921" Type="http://schemas.openxmlformats.org/officeDocument/2006/relationships/hyperlink" Target="https://drive.google.com/file/d/1y8DCgHF4MN4IWAN4pijmHM7SRym7l-CX/view?usp=drivesdk" TargetMode="External"/><Relationship Id="rId310" Type="http://schemas.openxmlformats.org/officeDocument/2006/relationships/hyperlink" Target="https://drive.google.com/file/d/1sDpdsAS1Sxnf2C178vwHRxoiTtdilZfm/view?usp=drivesdk" TargetMode="External"/><Relationship Id="rId7920" Type="http://schemas.openxmlformats.org/officeDocument/2006/relationships/hyperlink" Target="https://drive.google.com/file/d/1Vwpx9z4KoGtj9cc0xJZmABRc3xubRu1v/view?usp=drivesdk" TargetMode="External"/><Relationship Id="rId4040" Type="http://schemas.openxmlformats.org/officeDocument/2006/relationships/hyperlink" Target="https://drive.google.com/file/d/1OBsM5IdTrNO-ys7wpFJAV7DLqLoKHiuN/view?usp=drivesdk" TargetMode="External"/><Relationship Id="rId5372" Type="http://schemas.openxmlformats.org/officeDocument/2006/relationships/hyperlink" Target="https://drive.google.com/file/d/1SbNvxpiTS9As21yjA_G2POSKCvTPOCu7/view?usp=drivesdk" TargetMode="External"/><Relationship Id="rId5373" Type="http://schemas.openxmlformats.org/officeDocument/2006/relationships/hyperlink" Target="https://drive.google.com/file/d/10luXLecu5C9x_mPvxi-vC10DxzGVHuuE/view?usp=drivesdk" TargetMode="External"/><Relationship Id="rId4042" Type="http://schemas.openxmlformats.org/officeDocument/2006/relationships/hyperlink" Target="https://drive.google.com/file/d/1Zrq_74wIELvLmUL5Yb0WlncWuEoNUJek/view?usp=drivesdk" TargetMode="External"/><Relationship Id="rId5370" Type="http://schemas.openxmlformats.org/officeDocument/2006/relationships/hyperlink" Target="https://drive.google.com/file/d/1hN1nfpZN_nPag8k8LhG1BIY5yOlopCA2/view?usp=drivesdk" TargetMode="External"/><Relationship Id="rId4041" Type="http://schemas.openxmlformats.org/officeDocument/2006/relationships/hyperlink" Target="https://drive.google.com/file/d/1KrcK55CDyfsRwi2jyR51e2td4s-FrOOZ/view?usp=drivesdk" TargetMode="External"/><Relationship Id="rId5371" Type="http://schemas.openxmlformats.org/officeDocument/2006/relationships/hyperlink" Target="https://drive.google.com/file/d/1OcpxwU3ZLQGRV6ttU7I8K9_TGXVESd8v/view?usp=drivesdk" TargetMode="External"/><Relationship Id="rId4044" Type="http://schemas.openxmlformats.org/officeDocument/2006/relationships/hyperlink" Target="https://drive.google.com/file/d/1mW4IVWtFswZ3Q9ajf8sQKJfgGEN6h5mg/view?usp=drivesdk" TargetMode="External"/><Relationship Id="rId5376" Type="http://schemas.openxmlformats.org/officeDocument/2006/relationships/hyperlink" Target="https://drive.google.com/file/d/1JsCRaxKX5h0hEdPyEwDLMXBVNjRmNkNn/view?usp=drivesdk" TargetMode="External"/><Relationship Id="rId4043" Type="http://schemas.openxmlformats.org/officeDocument/2006/relationships/hyperlink" Target="https://drive.google.com/file/d/1e2uiMijVjHfFT1MCtcbgYgbYg3ljPZKz/view?usp=drivesdk" TargetMode="External"/><Relationship Id="rId5377" Type="http://schemas.openxmlformats.org/officeDocument/2006/relationships/hyperlink" Target="https://drive.google.com/file/d/1Ghagxq_xWVe8RP7jrVbjYjaWQCM43ppF/view?usp=drivesdk" TargetMode="External"/><Relationship Id="rId4046" Type="http://schemas.openxmlformats.org/officeDocument/2006/relationships/hyperlink" Target="https://drive.google.com/file/d/1oYMA5FfnRWh4hRI4UBiV43vfsv1anjRv/view?usp=drivesdk" TargetMode="External"/><Relationship Id="rId5374" Type="http://schemas.openxmlformats.org/officeDocument/2006/relationships/hyperlink" Target="https://drive.google.com/file/d/1pl9s8SK-D_ueZeWOSqFPISQUdJBGkguu/view?usp=drivesdk" TargetMode="External"/><Relationship Id="rId4045" Type="http://schemas.openxmlformats.org/officeDocument/2006/relationships/hyperlink" Target="https://drive.google.com/file/d/14KLWzmmL396hedpKJ4iXy3ru9C5Artup/view?usp=drivesdk" TargetMode="External"/><Relationship Id="rId5375" Type="http://schemas.openxmlformats.org/officeDocument/2006/relationships/hyperlink" Target="https://drive.google.com/file/d/1BRo3e81z5AgNAZn_uAQ4ayTPoGh8P4NE/view?usp=drivesdk" TargetMode="External"/><Relationship Id="rId4048" Type="http://schemas.openxmlformats.org/officeDocument/2006/relationships/hyperlink" Target="https://drive.google.com/file/d/1niBnvRcWrjfd2FQqjuQn-crw-UVqXBmP/view?usp=drivesdk" TargetMode="External"/><Relationship Id="rId4047" Type="http://schemas.openxmlformats.org/officeDocument/2006/relationships/hyperlink" Target="https://drive.google.com/file/d/1fYkW3btLoZI6jA8__7sucY6kuFhbk75U/view?usp=drivesdk" TargetMode="External"/><Relationship Id="rId5378" Type="http://schemas.openxmlformats.org/officeDocument/2006/relationships/hyperlink" Target="https://drive.google.com/file/d/15ytsEwwAMl6o5cCrxZ0PXNCrhXEeoFbb/view?usp=drivesdk" TargetMode="External"/><Relationship Id="rId4049" Type="http://schemas.openxmlformats.org/officeDocument/2006/relationships/hyperlink" Target="https://drive.google.com/file/d/15dU1fmO-w2Yqg8hOxDFIPNfWRTtG8tZM/view?usp=drivesdk" TargetMode="External"/><Relationship Id="rId5379" Type="http://schemas.openxmlformats.org/officeDocument/2006/relationships/hyperlink" Target="https://drive.google.com/file/d/1B_0o59bBfurwU9mBHDxmL0ya-2cVbaEA/view?usp=drivesdk" TargetMode="External"/><Relationship Id="rId5361" Type="http://schemas.openxmlformats.org/officeDocument/2006/relationships/hyperlink" Target="https://drive.google.com/file/d/1P0-9KyhcRyZJzsPqFbU1O98j1sSxeL0B/view?usp=drivesdk" TargetMode="External"/><Relationship Id="rId6692" Type="http://schemas.openxmlformats.org/officeDocument/2006/relationships/hyperlink" Target="https://drive.google.com/file/d/1eiZvQ5lDH2ZrGfBtpWYg7LSXy8jUl9mL/view?usp=drivesdk" TargetMode="External"/><Relationship Id="rId5362" Type="http://schemas.openxmlformats.org/officeDocument/2006/relationships/hyperlink" Target="https://drive.google.com/file/d/16FRa0zLuvrPO4bR47wrmcTQNjB4HQa0U/view?usp=drivesdk" TargetMode="External"/><Relationship Id="rId6693" Type="http://schemas.openxmlformats.org/officeDocument/2006/relationships/hyperlink" Target="https://drive.google.com/file/d/1RArWD2YSfTHnzIdaTa_SmRqclUoE8zxs/view?usp=drivesdk" TargetMode="External"/><Relationship Id="rId4031" Type="http://schemas.openxmlformats.org/officeDocument/2006/relationships/hyperlink" Target="https://drive.google.com/file/d/1P3qwJkPriKdmK856eokd2ziC1Gg02sZp/view?usp=drivesdk" TargetMode="External"/><Relationship Id="rId6690" Type="http://schemas.openxmlformats.org/officeDocument/2006/relationships/hyperlink" Target="https://drive.google.com/file/d/1-DLEC0W3XmRHgiEPMMJvpTYd1E_CeBcO/view?usp=drivesdk" TargetMode="External"/><Relationship Id="rId4030" Type="http://schemas.openxmlformats.org/officeDocument/2006/relationships/hyperlink" Target="https://drive.google.com/file/d/1dUv-DvwUhojZXM8fZQ7JG9NbJnn2vVVZ/view?usp=drivesdk" TargetMode="External"/><Relationship Id="rId5360" Type="http://schemas.openxmlformats.org/officeDocument/2006/relationships/hyperlink" Target="https://drive.google.com/file/d/1YkWf35B27OdqWj9oTsWgSYXUFbyS6Fte/view?usp=drivesdk" TargetMode="External"/><Relationship Id="rId6691" Type="http://schemas.openxmlformats.org/officeDocument/2006/relationships/hyperlink" Target="https://drive.google.com/file/d/1kPIQm-gHi_uUj3hEbrHa11Vy8SiDjEb0/view?usp=drivesdk" TargetMode="External"/><Relationship Id="rId297" Type="http://schemas.openxmlformats.org/officeDocument/2006/relationships/hyperlink" Target="https://drive.google.com/file/d/1dVsesq67JhvVfpky9-fWrp7fQ5hPS0v1/view?usp=drivesdk" TargetMode="External"/><Relationship Id="rId4033" Type="http://schemas.openxmlformats.org/officeDocument/2006/relationships/hyperlink" Target="https://drive.google.com/file/d/1LimzUU3UbFKtYsV4UM7qABWU6O34Nvdn/view?usp=drivesdk" TargetMode="External"/><Relationship Id="rId5365" Type="http://schemas.openxmlformats.org/officeDocument/2006/relationships/hyperlink" Target="https://drive.google.com/file/d/12hVMlg4rpWi6zKaT3IGwPmoFQg4Xlx1r/view?usp=drivesdk" TargetMode="External"/><Relationship Id="rId6696" Type="http://schemas.openxmlformats.org/officeDocument/2006/relationships/hyperlink" Target="https://drive.google.com/file/d/1YGq-F4FlJlDmLOvhSwjpEl3D6QYKxJ25/view?usp=drivesdk" TargetMode="External"/><Relationship Id="rId296" Type="http://schemas.openxmlformats.org/officeDocument/2006/relationships/hyperlink" Target="https://drive.google.com/file/d/1sjsWya4c4PcwQRBqJUND0Az-s0VGQRdj/view?usp=drivesdk" TargetMode="External"/><Relationship Id="rId4032" Type="http://schemas.openxmlformats.org/officeDocument/2006/relationships/hyperlink" Target="https://drive.google.com/file/d/11sZdhxJYzszgdhL4Y7s-r4zGtbslEIEw/view?usp=drivesdk" TargetMode="External"/><Relationship Id="rId5366" Type="http://schemas.openxmlformats.org/officeDocument/2006/relationships/hyperlink" Target="https://drive.google.com/file/d/1oAN_eYQFbgdPb9g1wzpdX8vWubmocSoc/view?usp=drivesdk" TargetMode="External"/><Relationship Id="rId6697" Type="http://schemas.openxmlformats.org/officeDocument/2006/relationships/hyperlink" Target="https://drive.google.com/file/d/1WuWAdbRO5awD78_uLwtBDZBy1XZa6wih/view?usp=drivesdk" TargetMode="External"/><Relationship Id="rId295" Type="http://schemas.openxmlformats.org/officeDocument/2006/relationships/hyperlink" Target="https://drive.google.com/file/d/1ne1WgiN-Z7LTpaFvbIHSndG768QIVXIR/view?usp=drivesdk" TargetMode="External"/><Relationship Id="rId4035" Type="http://schemas.openxmlformats.org/officeDocument/2006/relationships/hyperlink" Target="https://drive.google.com/file/d/1eIxopJKPpLsL9O3RyxeioPYzbmIn3agU/view?usp=drivesdk" TargetMode="External"/><Relationship Id="rId5363" Type="http://schemas.openxmlformats.org/officeDocument/2006/relationships/hyperlink" Target="https://drive.google.com/file/d/1CUnvNk-EvoXZPw6gglWocR0DVbNbAiyM/view?usp=drivesdk" TargetMode="External"/><Relationship Id="rId6694" Type="http://schemas.openxmlformats.org/officeDocument/2006/relationships/hyperlink" Target="https://drive.google.com/file/d/1wzTgC4nk4OwjSb46oqqvkLzxUVnegf5l/view?usp=drivesdk" TargetMode="External"/><Relationship Id="rId294" Type="http://schemas.openxmlformats.org/officeDocument/2006/relationships/hyperlink" Target="https://drive.google.com/file/d/1V9VenznnkY8Wtfsm_D5TAnkMYwVhsi7_/view?usp=drivesdk" TargetMode="External"/><Relationship Id="rId4034" Type="http://schemas.openxmlformats.org/officeDocument/2006/relationships/hyperlink" Target="https://drive.google.com/file/d/1Zw1TzSpbLSCVkIrWRqNURBD5zApMUZAf/view?usp=drivesdk" TargetMode="External"/><Relationship Id="rId5364" Type="http://schemas.openxmlformats.org/officeDocument/2006/relationships/hyperlink" Target="https://drive.google.com/file/d/1RXiT4iJPsNWVt57mNzBd3sPa5d6juS3O/view?usp=drivesdk" TargetMode="External"/><Relationship Id="rId6695" Type="http://schemas.openxmlformats.org/officeDocument/2006/relationships/hyperlink" Target="https://drive.google.com/file/d/1pbgTH_rwA7rNuxGSRDKCEvd4swE0qJ0F/view?usp=drivesdk" TargetMode="External"/><Relationship Id="rId4037" Type="http://schemas.openxmlformats.org/officeDocument/2006/relationships/hyperlink" Target="https://drive.google.com/file/d/1ybcb1dLordHrxsx8qU0RD8sRs2MiQnUx/view?usp=drivesdk" TargetMode="External"/><Relationship Id="rId5369" Type="http://schemas.openxmlformats.org/officeDocument/2006/relationships/hyperlink" Target="https://drive.google.com/file/d/1Xd94iEngiJIzv4n9dtjxRd0L2TCA9-WJ/view?usp=drivesdk" TargetMode="External"/><Relationship Id="rId4036" Type="http://schemas.openxmlformats.org/officeDocument/2006/relationships/hyperlink" Target="https://drive.google.com/file/d/17lBQrhhSheXa-owX_zDm0wj9VlaDz2Rg/view?usp=drivesdk" TargetMode="External"/><Relationship Id="rId299" Type="http://schemas.openxmlformats.org/officeDocument/2006/relationships/hyperlink" Target="https://drive.google.com/file/d/1URINqejnP9aA0Uu-omI3yxIW-EApLnwX/view?usp=drivesdk" TargetMode="External"/><Relationship Id="rId4039" Type="http://schemas.openxmlformats.org/officeDocument/2006/relationships/hyperlink" Target="https://drive.google.com/file/d/1AZF260Pahh8pBQ4ehfrIBy6G3yXncstS/view?usp=drivesdk" TargetMode="External"/><Relationship Id="rId5367" Type="http://schemas.openxmlformats.org/officeDocument/2006/relationships/hyperlink" Target="https://drive.google.com/file/d/18Q1Ok5_fvRTkUikp4S1p544B_B0VGvgj/view?usp=drivesdk" TargetMode="External"/><Relationship Id="rId6698" Type="http://schemas.openxmlformats.org/officeDocument/2006/relationships/hyperlink" Target="https://drive.google.com/file/d/1ND538lj1kXfrsN3hwFc5hIqUzZhGE4cv/view?usp=drivesdk" TargetMode="External"/><Relationship Id="rId298" Type="http://schemas.openxmlformats.org/officeDocument/2006/relationships/hyperlink" Target="https://drive.google.com/file/d/1dHDrQXYVHV0yYdxnOzk8qi2EJmLTh2E4/view?usp=drivesdk" TargetMode="External"/><Relationship Id="rId4038" Type="http://schemas.openxmlformats.org/officeDocument/2006/relationships/hyperlink" Target="https://drive.google.com/file/d/1fu7d-I6krIH_3dtBSKGohzJYo8Hogji0/view?usp=drivesdk" TargetMode="External"/><Relationship Id="rId5368" Type="http://schemas.openxmlformats.org/officeDocument/2006/relationships/hyperlink" Target="https://drive.google.com/file/d/1kmY-3oCF_4RJ0j0Z53nvW7XG1ZsKmSUa/view?usp=drivesdk" TargetMode="External"/><Relationship Id="rId6699" Type="http://schemas.openxmlformats.org/officeDocument/2006/relationships/hyperlink" Target="https://drive.google.com/file/d/1FDyOgx-0F0eBnLu1VFxIi-rRbl1ZlxAi/view?usp=drivesdk" TargetMode="External"/><Relationship Id="rId5390" Type="http://schemas.openxmlformats.org/officeDocument/2006/relationships/hyperlink" Target="https://drive.google.com/file/d/1bao7EfCFGFZaTC4Ia8NEXv4kNKnuziyF/view?usp=drivesdk" TargetMode="External"/><Relationship Id="rId5391" Type="http://schemas.openxmlformats.org/officeDocument/2006/relationships/hyperlink" Target="https://drive.google.com/file/d/1r9-vw0gH6lUBVxbbGPUR86HQcSQwXJKi/view?usp=drivesdk" TargetMode="External"/><Relationship Id="rId4060" Type="http://schemas.openxmlformats.org/officeDocument/2006/relationships/hyperlink" Target="https://drive.google.com/file/d/19RN-hhDDWhR5lsqPBiTeLziYeQf1hOXq/view?usp=drivesdk" TargetMode="External"/><Relationship Id="rId4062" Type="http://schemas.openxmlformats.org/officeDocument/2006/relationships/hyperlink" Target="https://drive.google.com/file/d/1NXeLdPvfrKxEKo0bDdDTpTYfr8d2aADS/view?usp=drivesdk" TargetMode="External"/><Relationship Id="rId5394" Type="http://schemas.openxmlformats.org/officeDocument/2006/relationships/hyperlink" Target="https://drive.google.com/file/d/1JsW33ftSRqbuPzHX-lJMj8V0vzVtEc7k/view?usp=drivesdk" TargetMode="External"/><Relationship Id="rId4061" Type="http://schemas.openxmlformats.org/officeDocument/2006/relationships/hyperlink" Target="https://drive.google.com/file/d/1ottzwiC-dmSmOlaOroMboM7SAZP05WvV/view?usp=drivesdk" TargetMode="External"/><Relationship Id="rId5395" Type="http://schemas.openxmlformats.org/officeDocument/2006/relationships/hyperlink" Target="https://drive.google.com/file/d/1igyn2d-vwh7NzDJAaaCcYDyW8r8XsLw9/view?usp=drivesdk" TargetMode="External"/><Relationship Id="rId4064" Type="http://schemas.openxmlformats.org/officeDocument/2006/relationships/hyperlink" Target="https://drive.google.com/file/d/11h7k_bT6oIN1tnrFMYQdmuQpl2PMEYlk/view?usp=drivesdk" TargetMode="External"/><Relationship Id="rId5392" Type="http://schemas.openxmlformats.org/officeDocument/2006/relationships/hyperlink" Target="https://drive.google.com/file/d/1eoztvVYIz4Q2PJNIk0sPr05gEkfmWP_i/view?usp=drivesdk" TargetMode="External"/><Relationship Id="rId4063" Type="http://schemas.openxmlformats.org/officeDocument/2006/relationships/hyperlink" Target="https://drive.google.com/file/d/1detd-wpxi_2n0C4ay49UjOQYNH0WgENV/view?usp=drivesdk" TargetMode="External"/><Relationship Id="rId5393" Type="http://schemas.openxmlformats.org/officeDocument/2006/relationships/hyperlink" Target="https://drive.google.com/file/d/19uSzhGWTEwTcYDEHmi_LJEe15MJcBQP_/view?usp=drivesdk" TargetMode="External"/><Relationship Id="rId4066" Type="http://schemas.openxmlformats.org/officeDocument/2006/relationships/hyperlink" Target="https://drive.google.com/file/d/1r-__QvctSgY9Yqpc6Zao08TOhTTxwXGx/view?usp=drivesdk" TargetMode="External"/><Relationship Id="rId5398" Type="http://schemas.openxmlformats.org/officeDocument/2006/relationships/hyperlink" Target="https://drive.google.com/file/d/1BHnBFCLHoM0CDBXn9M11GoMy90zkwJZj/view?usp=drivesdk" TargetMode="External"/><Relationship Id="rId4065" Type="http://schemas.openxmlformats.org/officeDocument/2006/relationships/hyperlink" Target="https://drive.google.com/file/d/1CX2ZxL0tmBuryIFSQQ3v6_nJ-DHc6hwA/view?usp=drivesdk" TargetMode="External"/><Relationship Id="rId5399" Type="http://schemas.openxmlformats.org/officeDocument/2006/relationships/hyperlink" Target="https://drive.google.com/file/d/1SUTvL4Gud_vtpv5VD1s9TUaQMWSQoo-8/view?usp=drivesdk" TargetMode="External"/><Relationship Id="rId4068" Type="http://schemas.openxmlformats.org/officeDocument/2006/relationships/hyperlink" Target="https://drive.google.com/file/d/1oxMYvoejuFW3jPNEBZT2wetXjlh9cnxP/view?usp=drivesdk" TargetMode="External"/><Relationship Id="rId5396" Type="http://schemas.openxmlformats.org/officeDocument/2006/relationships/hyperlink" Target="https://drive.google.com/file/d/1NZRnaN6vmZkNiJsmgottapoG0KkjAdpy/view?usp=drivesdk" TargetMode="External"/><Relationship Id="rId4067" Type="http://schemas.openxmlformats.org/officeDocument/2006/relationships/hyperlink" Target="https://drive.google.com/file/d/1k7cfmRg-ZxJ6DWHcL3HJweb27Td2YdwY/view?usp=drivesdk" TargetMode="External"/><Relationship Id="rId5397" Type="http://schemas.openxmlformats.org/officeDocument/2006/relationships/hyperlink" Target="https://drive.google.com/file/d/1kpeB-XwhIGXlBanhtiOQPSsQRcdzcWE2/view?usp=drivesdk" TargetMode="External"/><Relationship Id="rId4069" Type="http://schemas.openxmlformats.org/officeDocument/2006/relationships/hyperlink" Target="https://drive.google.com/file/d/1LO3lPy4KDxYyw5onsrg_LT99l_KErNu7/view?usp=drivesdk" TargetMode="External"/><Relationship Id="rId5380" Type="http://schemas.openxmlformats.org/officeDocument/2006/relationships/hyperlink" Target="https://drive.google.com/file/d/1tElfuuN975UDbrXYgp2Wt28bRDw79qGG/view?usp=drivesdk" TargetMode="External"/><Relationship Id="rId4051" Type="http://schemas.openxmlformats.org/officeDocument/2006/relationships/hyperlink" Target="https://drive.google.com/file/d/1iSK4mENt-USw74nquTsx2Oczz3AzS6no/view?usp=drivesdk" TargetMode="External"/><Relationship Id="rId5383" Type="http://schemas.openxmlformats.org/officeDocument/2006/relationships/hyperlink" Target="https://drive.google.com/file/d/1YCGPU5SwOAPcjYURDmRHydcJU96ACwr1/view?usp=drivesdk" TargetMode="External"/><Relationship Id="rId4050" Type="http://schemas.openxmlformats.org/officeDocument/2006/relationships/hyperlink" Target="https://drive.google.com/file/d/1WX1Co3eiIXdyHsd0zZdc4O-3WOHspGXC/view?usp=drivesdk" TargetMode="External"/><Relationship Id="rId5384" Type="http://schemas.openxmlformats.org/officeDocument/2006/relationships/hyperlink" Target="https://drive.google.com/file/d/1NqVwozxsxZVJxmCBcWb-cy3SoFAQRfVu/view?usp=drivesdk" TargetMode="External"/><Relationship Id="rId4053" Type="http://schemas.openxmlformats.org/officeDocument/2006/relationships/hyperlink" Target="https://drive.google.com/file/d/18-et7S6HZH07RmH5Be_4mjOMWjn169sn/view?usp=drivesdk" TargetMode="External"/><Relationship Id="rId5381" Type="http://schemas.openxmlformats.org/officeDocument/2006/relationships/hyperlink" Target="https://drive.google.com/file/d/1qd_0-FJ-FDOjj1e7y908-vOOj188VveC/view?usp=drivesdk" TargetMode="External"/><Relationship Id="rId4052" Type="http://schemas.openxmlformats.org/officeDocument/2006/relationships/hyperlink" Target="https://drive.google.com/file/d/1O8YJ7JBQDdsdfrtvS9Pn_pmaZ8EEmHXG/view?usp=drivesdk" TargetMode="External"/><Relationship Id="rId5382" Type="http://schemas.openxmlformats.org/officeDocument/2006/relationships/hyperlink" Target="https://drive.google.com/file/d/1Q-iWeo32lqpS1k4sP6AwgbWtxNiUtg49/view?usp=drivesdk" TargetMode="External"/><Relationship Id="rId4055" Type="http://schemas.openxmlformats.org/officeDocument/2006/relationships/hyperlink" Target="https://drive.google.com/file/d/1q-T0DOxUxm-nrPS9hW8SIclx6VGIf8ab/view?usp=drivesdk" TargetMode="External"/><Relationship Id="rId5387" Type="http://schemas.openxmlformats.org/officeDocument/2006/relationships/hyperlink" Target="https://drive.google.com/file/d/1o-fvsdZ3FamuGJ_trDEfYG--_lYeJlsU/view?usp=drivesdk" TargetMode="External"/><Relationship Id="rId4054" Type="http://schemas.openxmlformats.org/officeDocument/2006/relationships/hyperlink" Target="https://drive.google.com/file/d/1cUz_lOgmH3nFQnA0Hv0bSRsEHVI9DzAN/view?usp=drivesdk" TargetMode="External"/><Relationship Id="rId5388" Type="http://schemas.openxmlformats.org/officeDocument/2006/relationships/hyperlink" Target="https://drive.google.com/file/d/17DnsT9gBd9dQ0d3jI056C1GhLMZgBOOE/view?usp=drivesdk" TargetMode="External"/><Relationship Id="rId4057" Type="http://schemas.openxmlformats.org/officeDocument/2006/relationships/hyperlink" Target="https://drive.google.com/file/d/1sgrVoV85cFH9bt0MhNdQnPS9qS8oblzz/view?usp=drivesdk" TargetMode="External"/><Relationship Id="rId5385" Type="http://schemas.openxmlformats.org/officeDocument/2006/relationships/hyperlink" Target="https://drive.google.com/file/d/1STHjZWqlXqF-Hh9dGeDrg2LOmTfCkWJt/view?usp=drivesdk" TargetMode="External"/><Relationship Id="rId4056" Type="http://schemas.openxmlformats.org/officeDocument/2006/relationships/hyperlink" Target="https://drive.google.com/file/d/1AyBn8gdfftGIJMiJIOUv16RJN1y-6dyz/view?usp=drivesdk" TargetMode="External"/><Relationship Id="rId5386" Type="http://schemas.openxmlformats.org/officeDocument/2006/relationships/hyperlink" Target="https://drive.google.com/file/d/1ZL-x51jCagRaX4AyrBf9ezuNrjDGjDIL/view?usp=drivesdk" TargetMode="External"/><Relationship Id="rId4059" Type="http://schemas.openxmlformats.org/officeDocument/2006/relationships/hyperlink" Target="https://drive.google.com/file/d/1CpEEshmYNc_tYYO2JkzV4hzCKxE9JNqW/view?usp=drivesdk" TargetMode="External"/><Relationship Id="rId4058" Type="http://schemas.openxmlformats.org/officeDocument/2006/relationships/hyperlink" Target="https://drive.google.com/file/d/1MIb9ZXaRnSzL_aAF5R1VY9I774brL0GS/view?usp=drivesdk" TargetMode="External"/><Relationship Id="rId5389" Type="http://schemas.openxmlformats.org/officeDocument/2006/relationships/hyperlink" Target="https://drive.google.com/file/d/134y3pszutfBQjD70ItwQ_8y4hVfqO-AI/view?usp=drivesdk" TargetMode="External"/><Relationship Id="rId4008" Type="http://schemas.openxmlformats.org/officeDocument/2006/relationships/hyperlink" Target="https://drive.google.com/file/d/1GhioyZyE3ly7bq__-2jWv8AP_TGm3zXB/view?usp=drivesdk" TargetMode="External"/><Relationship Id="rId4007" Type="http://schemas.openxmlformats.org/officeDocument/2006/relationships/hyperlink" Target="https://drive.google.com/file/d/1nnSWpVr0Ec3VhTPOSXxRPieK9Tri_LQQ/view?usp=drivesdk" TargetMode="External"/><Relationship Id="rId5338" Type="http://schemas.openxmlformats.org/officeDocument/2006/relationships/hyperlink" Target="https://drive.google.com/file/d/1jUPimvh4E3D08aXntHiSQSAg8paVWtve/view?usp=drivesdk" TargetMode="External"/><Relationship Id="rId6669" Type="http://schemas.openxmlformats.org/officeDocument/2006/relationships/hyperlink" Target="https://drive.google.com/file/d/19vexS_zyAd31lHor0THL2CPVDfImhC2W/view?usp=drivesdk" TargetMode="External"/><Relationship Id="rId4009" Type="http://schemas.openxmlformats.org/officeDocument/2006/relationships/hyperlink" Target="https://drive.google.com/file/d/11bLJ9mFlmrkg5HohiT4PQB3jCGQNmSKk/view?usp=drivesdk" TargetMode="External"/><Relationship Id="rId5339" Type="http://schemas.openxmlformats.org/officeDocument/2006/relationships/hyperlink" Target="https://drive.google.com/file/d/1hPYHaqjkqNr7vRLWGMyMM4cAGQOcZaVs/view?usp=drivesdk" TargetMode="External"/><Relationship Id="rId271" Type="http://schemas.openxmlformats.org/officeDocument/2006/relationships/hyperlink" Target="https://drive.google.com/file/d/1ypqHFb67aFPx7ypfBUIP37k3-HEBYhxA/view?usp=drivesdk" TargetMode="External"/><Relationship Id="rId270" Type="http://schemas.openxmlformats.org/officeDocument/2006/relationships/hyperlink" Target="https://drive.google.com/file/d/1DyUjnMalFzmVw59GRld-HTGd3AEZ0nDJ/view?usp=drivesdk" TargetMode="External"/><Relationship Id="rId269" Type="http://schemas.openxmlformats.org/officeDocument/2006/relationships/hyperlink" Target="https://drive.google.com/file/d/13y1wSAclML1Yc3C9t37_szEBsFj8rL1n/view?usp=drivesdk" TargetMode="External"/><Relationship Id="rId7991" Type="http://schemas.openxmlformats.org/officeDocument/2006/relationships/hyperlink" Target="https://drive.google.com/file/d/1yadIr2X2qJMvVA0DE8NWnlNnxwiqY7ic/view?usp=drivesdk" TargetMode="External"/><Relationship Id="rId6660" Type="http://schemas.openxmlformats.org/officeDocument/2006/relationships/hyperlink" Target="https://drive.google.com/file/d/1iupCN1JOsxeL2MYmHRI1ho4Jdzz_1hYt/view?usp=drivesdk" TargetMode="External"/><Relationship Id="rId7990" Type="http://schemas.openxmlformats.org/officeDocument/2006/relationships/hyperlink" Target="https://drive.google.com/file/d/13Tr8iQ2eyG0NmWZukVg0n52rTL0qupJ1/view?usp=drivesdk" TargetMode="External"/><Relationship Id="rId264" Type="http://schemas.openxmlformats.org/officeDocument/2006/relationships/hyperlink" Target="https://drive.google.com/file/d/1NSg7B1vhl3CsAFJv_0NlO14m6X4hIsyu/view?usp=drivesdk" TargetMode="External"/><Relationship Id="rId4000" Type="http://schemas.openxmlformats.org/officeDocument/2006/relationships/hyperlink" Target="https://drive.google.com/file/d/195BPE2n5b4qlMzd7TSZQFTd7JiSnTwhn/view?usp=drivesdk" TargetMode="External"/><Relationship Id="rId5332" Type="http://schemas.openxmlformats.org/officeDocument/2006/relationships/hyperlink" Target="https://drive.google.com/file/d/1lO9ViOOsROPq_C8e4pQoOVWMP_Z16UwO/view?usp=drivesdk" TargetMode="External"/><Relationship Id="rId6663" Type="http://schemas.openxmlformats.org/officeDocument/2006/relationships/hyperlink" Target="https://drive.google.com/file/d/1dmQWzEY9tcz5Dt6MiP5B9Lcjc2FP2ENt/view?usp=drivesdk" TargetMode="External"/><Relationship Id="rId7995" Type="http://schemas.openxmlformats.org/officeDocument/2006/relationships/hyperlink" Target="https://drive.google.com/file/d/1W3xQJPuVlf0gcoCovEtcM2xvZSSGQEkQ/view?usp=drivesdk" TargetMode="External"/><Relationship Id="rId263" Type="http://schemas.openxmlformats.org/officeDocument/2006/relationships/hyperlink" Target="https://drive.google.com/file/d/1uXT9drwdT1mQ-pqDzYT0b5vlpxrEANNQ/view?usp=drivesdk" TargetMode="External"/><Relationship Id="rId5333" Type="http://schemas.openxmlformats.org/officeDocument/2006/relationships/hyperlink" Target="https://drive.google.com/file/d/1VygAAw760alZ6Ha3qjbIx7p_y1MmlPgX/view?usp=drivesdk" TargetMode="External"/><Relationship Id="rId6664" Type="http://schemas.openxmlformats.org/officeDocument/2006/relationships/hyperlink" Target="https://drive.google.com/file/d/10HJ3yoz6OO2vFvhDgxTyBGPik_r09hoe/view?usp=drivesdk" TargetMode="External"/><Relationship Id="rId7994" Type="http://schemas.openxmlformats.org/officeDocument/2006/relationships/hyperlink" Target="https://drive.google.com/file/d/1E82rN_giDpg8Kmx2EID3wxhxIQQTwE-m/view?usp=drivesdk" TargetMode="External"/><Relationship Id="rId262" Type="http://schemas.openxmlformats.org/officeDocument/2006/relationships/hyperlink" Target="https://drive.google.com/file/d/19qBy48IV72t0QUHxLHyaVxhePMVCcZDm/view?usp=drivesdk" TargetMode="External"/><Relationship Id="rId4002" Type="http://schemas.openxmlformats.org/officeDocument/2006/relationships/hyperlink" Target="https://drive.google.com/file/d/1YJpeKb7esAdnBv1vzITCi6XeY5Q9Uzik/view?usp=drivesdk" TargetMode="External"/><Relationship Id="rId5330" Type="http://schemas.openxmlformats.org/officeDocument/2006/relationships/hyperlink" Target="https://drive.google.com/file/d/1NuASnHsdiXsOeTqvgdbcVLpoz_-fsU3Y/view?usp=drivesdk" TargetMode="External"/><Relationship Id="rId6661" Type="http://schemas.openxmlformats.org/officeDocument/2006/relationships/hyperlink" Target="https://drive.google.com/file/d/1UqVAE_Us738QI6wK14LxZ8dy213YD1dl/view?usp=drivesdk" TargetMode="External"/><Relationship Id="rId7993" Type="http://schemas.openxmlformats.org/officeDocument/2006/relationships/hyperlink" Target="https://drive.google.com/file/d/1tkcNQQp38tExV06Ak10CEVq0lx7cYLgE/view?usp=drivesdk" TargetMode="External"/><Relationship Id="rId261" Type="http://schemas.openxmlformats.org/officeDocument/2006/relationships/hyperlink" Target="https://drive.google.com/file/d/1lXeEbALILITWlQbKWwhIifgH6EljDgjF/view?usp=drivesdk" TargetMode="External"/><Relationship Id="rId4001" Type="http://schemas.openxmlformats.org/officeDocument/2006/relationships/hyperlink" Target="https://drive.google.com/file/d/1Pt1MYmQHpujXEfUlOlbGQTGwV9g8c9CP/view?usp=drivesdk" TargetMode="External"/><Relationship Id="rId5331" Type="http://schemas.openxmlformats.org/officeDocument/2006/relationships/hyperlink" Target="https://drive.google.com/file/d/1ttky3fhoZ9iXIxZ6REWVNX1lhdVQJ6zU/view?usp=drivesdk" TargetMode="External"/><Relationship Id="rId6662" Type="http://schemas.openxmlformats.org/officeDocument/2006/relationships/hyperlink" Target="https://drive.google.com/file/d/1on10OSX0BlNVv_uF4Ek92QWk8CHKg3gA/view?usp=drivesdk" TargetMode="External"/><Relationship Id="rId7992" Type="http://schemas.openxmlformats.org/officeDocument/2006/relationships/hyperlink" Target="https://drive.google.com/file/d/1TgFEjFBJa6SGIQWXJ6YssmZW64vI-NpK/view?usp=drivesdk" TargetMode="External"/><Relationship Id="rId268" Type="http://schemas.openxmlformats.org/officeDocument/2006/relationships/hyperlink" Target="https://drive.google.com/file/d/1oH5WtnDcypWfOn7fk7XjoVXlMZ1QWkKU/view?usp=drivesdk" TargetMode="External"/><Relationship Id="rId4004" Type="http://schemas.openxmlformats.org/officeDocument/2006/relationships/hyperlink" Target="https://drive.google.com/file/d/1o0vlhy1PGzNDRQBjIGroZYPspqgBa_26/view?usp=drivesdk" TargetMode="External"/><Relationship Id="rId5336" Type="http://schemas.openxmlformats.org/officeDocument/2006/relationships/hyperlink" Target="https://drive.google.com/file/d/1LrcA-fNLrW1ZL6ctDYKJkZ2RHSpmc00d/view?usp=drivesdk" TargetMode="External"/><Relationship Id="rId6667" Type="http://schemas.openxmlformats.org/officeDocument/2006/relationships/hyperlink" Target="https://drive.google.com/file/d/1llXHDrz2aupLvY0PK0CpFBLGWrvRNWKh/view?usp=drivesdk" TargetMode="External"/><Relationship Id="rId7999" Type="http://schemas.openxmlformats.org/officeDocument/2006/relationships/hyperlink" Target="https://drive.google.com/file/d/1RptCL58pgQFtsTh_QfvxyzqLpLLJoHB9/view?usp=drivesdk" TargetMode="External"/><Relationship Id="rId267" Type="http://schemas.openxmlformats.org/officeDocument/2006/relationships/hyperlink" Target="https://drive.google.com/file/d/1y5298JbdsDLq6GTPDe6W_gmfwZOSlhuL/view?usp=drivesdk" TargetMode="External"/><Relationship Id="rId4003" Type="http://schemas.openxmlformats.org/officeDocument/2006/relationships/hyperlink" Target="https://drive.google.com/file/d/1FLhSCPwj-0ZAiJ5Ki6bZciMeXNSj0gsm/view?usp=drivesdk" TargetMode="External"/><Relationship Id="rId5337" Type="http://schemas.openxmlformats.org/officeDocument/2006/relationships/hyperlink" Target="https://drive.google.com/file/d/1n7MW7jRiiWo9kph-S0xxXcn89oqSTGcQ/view?usp=drivesdk" TargetMode="External"/><Relationship Id="rId6668" Type="http://schemas.openxmlformats.org/officeDocument/2006/relationships/hyperlink" Target="https://drive.google.com/file/d/1rRhdNM5FdcNAfpsSnMw7pZQV9NW0Dmaw/view?usp=drivesdk" TargetMode="External"/><Relationship Id="rId7998" Type="http://schemas.openxmlformats.org/officeDocument/2006/relationships/hyperlink" Target="https://drive.google.com/file/d/1SU7-Zq7rFactZxLZQJCFsUI5tiPqBLAh/view?usp=drivesdk" TargetMode="External"/><Relationship Id="rId266" Type="http://schemas.openxmlformats.org/officeDocument/2006/relationships/hyperlink" Target="https://drive.google.com/file/d/1gFZFWKEjIWmpC0IxiwIXDso-ANRuHNFK/view?usp=drivesdk" TargetMode="External"/><Relationship Id="rId4006" Type="http://schemas.openxmlformats.org/officeDocument/2006/relationships/hyperlink" Target="https://drive.google.com/file/d/1FCjLWFzzYJi3TEVpgIkfS2D0NP7n4BEE/view?usp=drivesdk" TargetMode="External"/><Relationship Id="rId5334" Type="http://schemas.openxmlformats.org/officeDocument/2006/relationships/hyperlink" Target="https://drive.google.com/file/d/1dE_cwDeMQ-1Q4-uIymbXYHU9CsDb46Ci/view?usp=drivesdk" TargetMode="External"/><Relationship Id="rId6665" Type="http://schemas.openxmlformats.org/officeDocument/2006/relationships/hyperlink" Target="https://drive.google.com/file/d/1I6CLmnDYtNMIiHYGsyiR5XCp7gB58f1J/view?usp=drivesdk" TargetMode="External"/><Relationship Id="rId7997" Type="http://schemas.openxmlformats.org/officeDocument/2006/relationships/hyperlink" Target="https://drive.google.com/file/d/1AtdiPypRPdqezjdXf3ZAWdLjgJH4mAIi/view?usp=drivesdk" TargetMode="External"/><Relationship Id="rId265" Type="http://schemas.openxmlformats.org/officeDocument/2006/relationships/hyperlink" Target="https://drive.google.com/file/d/1SEsZpNd-RDr_p0NDcngZvFuhnYaXMeTH/view?usp=drivesdk" TargetMode="External"/><Relationship Id="rId4005" Type="http://schemas.openxmlformats.org/officeDocument/2006/relationships/hyperlink" Target="https://drive.google.com/file/d/14OEcWgkdXOlwF4bEmwCd0otEsgAX27C6/view?usp=drivesdk" TargetMode="External"/><Relationship Id="rId5335" Type="http://schemas.openxmlformats.org/officeDocument/2006/relationships/hyperlink" Target="https://drive.google.com/file/d/1qAZzTNftGX132zWqx6rtUChD_Cl8iwVP/view?usp=drivesdk" TargetMode="External"/><Relationship Id="rId6666" Type="http://schemas.openxmlformats.org/officeDocument/2006/relationships/hyperlink" Target="https://drive.google.com/file/d/1ND_HKQtJQc7ebeEbvy7dhlCxpGyXUoKV/view?usp=drivesdk" TargetMode="External"/><Relationship Id="rId7996" Type="http://schemas.openxmlformats.org/officeDocument/2006/relationships/hyperlink" Target="https://drive.google.com/file/d/10BECxjegbmmU848KbZTpkbLRFGvopV1P/view?usp=drivesdk" TargetMode="External"/><Relationship Id="rId5329" Type="http://schemas.openxmlformats.org/officeDocument/2006/relationships/hyperlink" Target="https://drive.google.com/file/d/1BiF0mhszJW-PlblAlRb942xCt7aPOh2o/view?usp=drivesdk" TargetMode="External"/><Relationship Id="rId5327" Type="http://schemas.openxmlformats.org/officeDocument/2006/relationships/hyperlink" Target="https://drive.google.com/file/d/1_HtSrLrn_iahle0nOev7NdZEEAbj6zLR/view?usp=drivesdk" TargetMode="External"/><Relationship Id="rId6658" Type="http://schemas.openxmlformats.org/officeDocument/2006/relationships/hyperlink" Target="https://drive.google.com/file/d/1W1dOMVWfUCJ6Xf5PPw1ElyxMM6EHe-RQ/view?usp=drivesdk" TargetMode="External"/><Relationship Id="rId5328" Type="http://schemas.openxmlformats.org/officeDocument/2006/relationships/hyperlink" Target="https://drive.google.com/file/d/1zUTMZ1OUfyBFxUF95lEm5nU20sQe7k_Y/view?usp=drivesdk" TargetMode="External"/><Relationship Id="rId6659" Type="http://schemas.openxmlformats.org/officeDocument/2006/relationships/hyperlink" Target="https://drive.google.com/file/d/1p6C1aNiOWbPHG7noohh57yHOYT55B6EN/view?usp=drivesdk" TargetMode="External"/><Relationship Id="rId7989" Type="http://schemas.openxmlformats.org/officeDocument/2006/relationships/hyperlink" Target="https://drive.google.com/file/d/1IT2p81NV6zmRJhpAWmW_rgge8qT0rwf1/view?usp=drivesdk" TargetMode="External"/><Relationship Id="rId260" Type="http://schemas.openxmlformats.org/officeDocument/2006/relationships/hyperlink" Target="https://drive.google.com/file/d/17ibNGyNRX_BfdKjirNU11-f5grGZRY6U/view?usp=drivesdk" TargetMode="External"/><Relationship Id="rId259" Type="http://schemas.openxmlformats.org/officeDocument/2006/relationships/hyperlink" Target="https://drive.google.com/file/d/181AUxMNDDBTOhic0t3GkBm8y7qdNQhLG/view?usp=drivesdk" TargetMode="External"/><Relationship Id="rId258" Type="http://schemas.openxmlformats.org/officeDocument/2006/relationships/hyperlink" Target="https://drive.google.com/file/d/1s_VUTBcq4VCcPKOqWbaHc9P7OTvM0Pod/view?usp=drivesdk" TargetMode="External"/><Relationship Id="rId7980" Type="http://schemas.openxmlformats.org/officeDocument/2006/relationships/hyperlink" Target="https://drive.google.com/file/d/14WnCzZpybGzAEM5PFqZWTGGCxUk22XJm/view?usp=drivesdk" TargetMode="External"/><Relationship Id="rId253" Type="http://schemas.openxmlformats.org/officeDocument/2006/relationships/hyperlink" Target="https://drive.google.com/file/d/1JZZPL16lJ3nBdwuqVl5nvoN5Ltl1VFme/view?usp=drivesdk" TargetMode="External"/><Relationship Id="rId5321" Type="http://schemas.openxmlformats.org/officeDocument/2006/relationships/hyperlink" Target="https://drive.google.com/file/d/13UruzL-6f6pT0PSPBAhPY7XbBOAL8evg/view?usp=drivesdk" TargetMode="External"/><Relationship Id="rId6652" Type="http://schemas.openxmlformats.org/officeDocument/2006/relationships/hyperlink" Target="https://drive.google.com/file/d/1n41edd243gw5D9mQg8_Ket4hQsAdgI-c/view?usp=drivesdk" TargetMode="External"/><Relationship Id="rId7984" Type="http://schemas.openxmlformats.org/officeDocument/2006/relationships/hyperlink" Target="https://drive.google.com/file/d/1VYNcRJNWq1b3zL6xH6GmpRSKWUpYkAG-/view?usp=drivesdk" TargetMode="External"/><Relationship Id="rId252" Type="http://schemas.openxmlformats.org/officeDocument/2006/relationships/hyperlink" Target="https://drive.google.com/file/d/16BgGXClLmxiavhTqfJGQ6pG8vT_InFYe/view?usp=drivesdk" TargetMode="External"/><Relationship Id="rId5322" Type="http://schemas.openxmlformats.org/officeDocument/2006/relationships/hyperlink" Target="https://drive.google.com/file/d/1k-kjdVSTRgTFIEOt-zOJ6f-plQkdu7K7/view?usp=drivesdk" TargetMode="External"/><Relationship Id="rId6653" Type="http://schemas.openxmlformats.org/officeDocument/2006/relationships/hyperlink" Target="https://drive.google.com/file/d/13gogmlFRHr_Kcc_pPeqoOV0ic_kBD7I0/view?usp=drivesdk" TargetMode="External"/><Relationship Id="rId7983" Type="http://schemas.openxmlformats.org/officeDocument/2006/relationships/hyperlink" Target="https://drive.google.com/file/d/14Om6ZsZfzG6yLJ7QkY9rrSOETdzx-jgN/view?usp=drivesdk" TargetMode="External"/><Relationship Id="rId251" Type="http://schemas.openxmlformats.org/officeDocument/2006/relationships/hyperlink" Target="https://drive.google.com/file/d/1s3D_fzDtk46fjdVHPLBgM6ohIrjvyczp/view?usp=drivesdk" TargetMode="External"/><Relationship Id="rId6650" Type="http://schemas.openxmlformats.org/officeDocument/2006/relationships/hyperlink" Target="https://drive.google.com/file/d/1UTwH1c8TwN_1T9iqyt-0NJeKRHiDn3e5/view?usp=drivesdk" TargetMode="External"/><Relationship Id="rId7982" Type="http://schemas.openxmlformats.org/officeDocument/2006/relationships/hyperlink" Target="https://drive.google.com/file/d/1i4RSF6F6yqdsNcHEdWE0IDyuR-32d8qF/view?usp=drivesdk" TargetMode="External"/><Relationship Id="rId250" Type="http://schemas.openxmlformats.org/officeDocument/2006/relationships/hyperlink" Target="https://drive.google.com/file/d/1Qufotx7BMu60C9Eyux_gLz8727WU94kS/view?usp=drivesdk" TargetMode="External"/><Relationship Id="rId5320" Type="http://schemas.openxmlformats.org/officeDocument/2006/relationships/hyperlink" Target="https://drive.google.com/file/d/1qyZaU9gDdiekRzcm_-pvcBeGkl4lelA1/view?usp=drivesdk" TargetMode="External"/><Relationship Id="rId6651" Type="http://schemas.openxmlformats.org/officeDocument/2006/relationships/hyperlink" Target="https://drive.google.com/file/d/1kLOyU7hcZEd9Q6jtWL3S8X6Dre-pN9k8/view?usp=drivesdk" TargetMode="External"/><Relationship Id="rId7981" Type="http://schemas.openxmlformats.org/officeDocument/2006/relationships/hyperlink" Target="https://drive.google.com/file/d/10GePOnYe7GnDw6wcU3x5VfJwrJ6Y4iaa/view?usp=drivesdk" TargetMode="External"/><Relationship Id="rId257" Type="http://schemas.openxmlformats.org/officeDocument/2006/relationships/hyperlink" Target="https://drive.google.com/file/d/1dbbR_9fjMxENXowpsARKioxNKeleWQmG/view?usp=drivesdk" TargetMode="External"/><Relationship Id="rId5325" Type="http://schemas.openxmlformats.org/officeDocument/2006/relationships/hyperlink" Target="https://drive.google.com/file/d/1KkkGifKxIHRpRrUJbJuYgnJFf2IrRd-z/view?usp=drivesdk" TargetMode="External"/><Relationship Id="rId6656" Type="http://schemas.openxmlformats.org/officeDocument/2006/relationships/hyperlink" Target="https://drive.google.com/file/d/1fusSvRfeo3KF1kdkqU7-V6MbtRVTAjce/view?usp=drivesdk" TargetMode="External"/><Relationship Id="rId7988" Type="http://schemas.openxmlformats.org/officeDocument/2006/relationships/hyperlink" Target="https://drive.google.com/file/d/1SC8OuGCHhvYfjThGQhCCK-f7wcLGvLmi/view?usp=drivesdk" TargetMode="External"/><Relationship Id="rId256" Type="http://schemas.openxmlformats.org/officeDocument/2006/relationships/hyperlink" Target="https://drive.google.com/file/d/1CLHzHf7CZSnFH7Nry17OZF_DAgFUdsS5/view?usp=drivesdk" TargetMode="External"/><Relationship Id="rId5326" Type="http://schemas.openxmlformats.org/officeDocument/2006/relationships/hyperlink" Target="https://drive.google.com/file/d/1W9-9sh4-pjWyQ6ix84rfZ5peZkximq6l/view?usp=drivesdk" TargetMode="External"/><Relationship Id="rId6657" Type="http://schemas.openxmlformats.org/officeDocument/2006/relationships/hyperlink" Target="https://drive.google.com/file/d/1Nty9wzj2oL75Wveao14ohb91WSAcynGJ/view?usp=drivesdk" TargetMode="External"/><Relationship Id="rId7987" Type="http://schemas.openxmlformats.org/officeDocument/2006/relationships/hyperlink" Target="https://drive.google.com/file/d/1lAHXS9BfU91n02CB8shUFYBaJlf44Whs/view?usp=drivesdk" TargetMode="External"/><Relationship Id="rId255" Type="http://schemas.openxmlformats.org/officeDocument/2006/relationships/hyperlink" Target="https://drive.google.com/file/d/1vSBa1WIbAkMXW91555pZzvsLNfLYoEAA/view?usp=drivesdk" TargetMode="External"/><Relationship Id="rId5323" Type="http://schemas.openxmlformats.org/officeDocument/2006/relationships/hyperlink" Target="https://drive.google.com/file/d/1k8bwzFZSPu6vveg3QUIQjs8dCPqUF0iw/view?usp=drivesdk" TargetMode="External"/><Relationship Id="rId6654" Type="http://schemas.openxmlformats.org/officeDocument/2006/relationships/hyperlink" Target="https://drive.google.com/file/d/1k-kh_-vpbcyiwJz2fCKZj4oWIXmctytH/view?usp=drivesdk" TargetMode="External"/><Relationship Id="rId7986" Type="http://schemas.openxmlformats.org/officeDocument/2006/relationships/hyperlink" Target="https://drive.google.com/file/d/1blZIsb6wn2CV1Xnp9xye1WTay2NUkQD5/view?usp=drivesdk" TargetMode="External"/><Relationship Id="rId254" Type="http://schemas.openxmlformats.org/officeDocument/2006/relationships/hyperlink" Target="https://drive.google.com/file/d/1lAKqHtXHeT0jc3Ueq6VgkFwDQKmIa-AA/view?usp=drivesdk" TargetMode="External"/><Relationship Id="rId5324" Type="http://schemas.openxmlformats.org/officeDocument/2006/relationships/hyperlink" Target="https://drive.google.com/file/d/1fQV1VNcOhi5DKEW0IYgWxzbDvhh7HURC/view?usp=drivesdk" TargetMode="External"/><Relationship Id="rId6655" Type="http://schemas.openxmlformats.org/officeDocument/2006/relationships/hyperlink" Target="https://drive.google.com/file/d/1TnIhdkcWrn9dlM09dIlPUNnuxwUHE0ck/view?usp=drivesdk" TargetMode="External"/><Relationship Id="rId7985" Type="http://schemas.openxmlformats.org/officeDocument/2006/relationships/hyperlink" Target="https://drive.google.com/file/d/1-1Aq2Vrm3NxNjMFGdgp32Pvk69nDO2HK/view?usp=drivesdk" TargetMode="External"/><Relationship Id="rId4029" Type="http://schemas.openxmlformats.org/officeDocument/2006/relationships/hyperlink" Target="https://drive.google.com/file/d/17VBlk5y1uLp1VMtnnddpyRATdVarPdQt/view?usp=drivesdk" TargetMode="External"/><Relationship Id="rId293" Type="http://schemas.openxmlformats.org/officeDocument/2006/relationships/hyperlink" Target="https://drive.google.com/file/d/1Zl-4P2csltoN1geeVPJsRkTb-g29Tv-D/view?usp=drivesdk" TargetMode="External"/><Relationship Id="rId292" Type="http://schemas.openxmlformats.org/officeDocument/2006/relationships/hyperlink" Target="https://drive.google.com/file/d/18-4mUj0Slo_gRa9FeSPD9VT6ZfOkDAOG/view?usp=drivesdk" TargetMode="External"/><Relationship Id="rId291" Type="http://schemas.openxmlformats.org/officeDocument/2006/relationships/hyperlink" Target="https://drive.google.com/file/d/17dV9Q0DGq39iUG-Jvo1TvaaSjS4QA4B_/view?usp=drivesdk" TargetMode="External"/><Relationship Id="rId290" Type="http://schemas.openxmlformats.org/officeDocument/2006/relationships/hyperlink" Target="https://drive.google.com/file/d/1S5tXSq1mK2Bp_cYIFPAmmhDvx2gFw9Uq/view?usp=drivesdk" TargetMode="External"/><Relationship Id="rId5350" Type="http://schemas.openxmlformats.org/officeDocument/2006/relationships/hyperlink" Target="https://drive.google.com/file/d/1LjuY8LrC8UotifGR4aZopOvzW-rsmD5b/view?usp=drivesdk" TargetMode="External"/><Relationship Id="rId6681" Type="http://schemas.openxmlformats.org/officeDocument/2006/relationships/hyperlink" Target="https://drive.google.com/file/d/1OCqs0YonMoenfxCljbI0z7NXleK7ToDX/view?usp=drivesdk" TargetMode="External"/><Relationship Id="rId5351" Type="http://schemas.openxmlformats.org/officeDocument/2006/relationships/hyperlink" Target="https://drive.google.com/file/d/1cJjz0pv0mWwq-yxiONfj1_DcGNX_htVM/view?usp=drivesdk" TargetMode="External"/><Relationship Id="rId6682" Type="http://schemas.openxmlformats.org/officeDocument/2006/relationships/hyperlink" Target="https://drive.google.com/file/d/1n-b91itdAFy6hi_Rctu2RcjHv-zBWIYC/view?usp=drivesdk" TargetMode="External"/><Relationship Id="rId4020" Type="http://schemas.openxmlformats.org/officeDocument/2006/relationships/hyperlink" Target="https://drive.google.com/file/d/15vTB1egI_1ycKiF9rgMR3qvEtiy_NCjr/view?usp=drivesdk" TargetMode="External"/><Relationship Id="rId6680" Type="http://schemas.openxmlformats.org/officeDocument/2006/relationships/hyperlink" Target="https://drive.google.com/file/d/1lZYky4M2ohC9kSZoYZX9ewGbbZTwTdyU/view?usp=drivesdk" TargetMode="External"/><Relationship Id="rId286" Type="http://schemas.openxmlformats.org/officeDocument/2006/relationships/hyperlink" Target="https://drive.google.com/file/d/1_c5fv8bLm7shCj6WWcPcFBW4Otun6jcj/view?usp=drivesdk" TargetMode="External"/><Relationship Id="rId4022" Type="http://schemas.openxmlformats.org/officeDocument/2006/relationships/hyperlink" Target="https://drive.google.com/file/d/1lv7nsNjbJ843ZoJYhYi3jVYDfmvL_XA_/view?usp=drivesdk" TargetMode="External"/><Relationship Id="rId5354" Type="http://schemas.openxmlformats.org/officeDocument/2006/relationships/hyperlink" Target="https://drive.google.com/file/d/11oNQeFpTJcDwMaqWZRDf5_NmYqfD-VQj/view?usp=drivesdk" TargetMode="External"/><Relationship Id="rId6685" Type="http://schemas.openxmlformats.org/officeDocument/2006/relationships/hyperlink" Target="https://drive.google.com/file/d/1uzgfxGJ0RvfFXvUHg1W6cZMyOO9LVzPQ/view?usp=drivesdk" TargetMode="External"/><Relationship Id="rId285" Type="http://schemas.openxmlformats.org/officeDocument/2006/relationships/hyperlink" Target="https://drive.google.com/file/d/1RL5jW7O5pt_6Fc5iddSoDvk5BQ0-7UTY/view?usp=drivesdk" TargetMode="External"/><Relationship Id="rId4021" Type="http://schemas.openxmlformats.org/officeDocument/2006/relationships/hyperlink" Target="https://drive.google.com/file/d/10VqBNiSrraA1VohhgJRZ9OFGMnbEdMvV/view?usp=drivesdk" TargetMode="External"/><Relationship Id="rId5355" Type="http://schemas.openxmlformats.org/officeDocument/2006/relationships/hyperlink" Target="https://drive.google.com/file/d/1hCJ2kPjJNGjPqGi9Ij0Rxwa6rgw9LtjW/view?usp=drivesdk" TargetMode="External"/><Relationship Id="rId6686" Type="http://schemas.openxmlformats.org/officeDocument/2006/relationships/hyperlink" Target="https://drive.google.com/file/d/1MXdnmdMQApPVjaFPCYWKFLUtfU3m_PCV/view?usp=drivesdk" TargetMode="External"/><Relationship Id="rId284" Type="http://schemas.openxmlformats.org/officeDocument/2006/relationships/hyperlink" Target="https://drive.google.com/file/d/1BEkNCf88WXLBTMaiYsEeak4xMM2dLaBA/view?usp=drivesdk" TargetMode="External"/><Relationship Id="rId4024" Type="http://schemas.openxmlformats.org/officeDocument/2006/relationships/hyperlink" Target="https://drive.google.com/file/d/1OpI_rlMqCGfCO57zj1V3O34g4cD-P6t2/view?usp=drivesdk" TargetMode="External"/><Relationship Id="rId5352" Type="http://schemas.openxmlformats.org/officeDocument/2006/relationships/hyperlink" Target="https://drive.google.com/file/d/1WPfMQODHgiJUB1ctIVh-0vljNclZaJck/view?usp=drivesdk" TargetMode="External"/><Relationship Id="rId6683" Type="http://schemas.openxmlformats.org/officeDocument/2006/relationships/hyperlink" Target="https://drive.google.com/file/d/1KtAFAjU7OSKYkxHZHcZMPxezmPkg85E7/view?usp=drivesdk" TargetMode="External"/><Relationship Id="rId283" Type="http://schemas.openxmlformats.org/officeDocument/2006/relationships/hyperlink" Target="https://drive.google.com/file/d/1dXor0qidWJElsQidV_PzmCHDgkZZQaL0/view?usp=drivesdk" TargetMode="External"/><Relationship Id="rId4023" Type="http://schemas.openxmlformats.org/officeDocument/2006/relationships/hyperlink" Target="https://drive.google.com/file/d/1F2nm9ccI_fTsCJTbtDRG1eiRGEsCw94F/view?usp=drivesdk" TargetMode="External"/><Relationship Id="rId5353" Type="http://schemas.openxmlformats.org/officeDocument/2006/relationships/hyperlink" Target="https://drive.google.com/file/d/1LO8BVKIWz-WuZvDFWz0RXfomZYQtQUJo/view?usp=drivesdk" TargetMode="External"/><Relationship Id="rId6684" Type="http://schemas.openxmlformats.org/officeDocument/2006/relationships/hyperlink" Target="https://drive.google.com/file/d/1bm-Z3piz4EsuHJlsU8nGgdcHnrdzq4VP/view?usp=drivesdk" TargetMode="External"/><Relationship Id="rId4026" Type="http://schemas.openxmlformats.org/officeDocument/2006/relationships/hyperlink" Target="https://drive.google.com/file/d/1JEUBreMqOtq1Bx2GflSmUts_Rcvv30qX/view?usp=drivesdk" TargetMode="External"/><Relationship Id="rId5358" Type="http://schemas.openxmlformats.org/officeDocument/2006/relationships/hyperlink" Target="https://drive.google.com/file/d/1-e6P5PVmfJX4Ie0sDz1cht_7YBpPXgPL/view?usp=drivesdk" TargetMode="External"/><Relationship Id="rId6689" Type="http://schemas.openxmlformats.org/officeDocument/2006/relationships/hyperlink" Target="https://drive.google.com/file/d/16RBq4BOnUjrFGnmCnXTxXtZpVjL2ttHU/view?usp=drivesdk" TargetMode="External"/><Relationship Id="rId289" Type="http://schemas.openxmlformats.org/officeDocument/2006/relationships/hyperlink" Target="https://drive.google.com/file/d/1X2uP1DR73gm3HPnHVNmt9gLTpmxvzn1j/view?usp=drivesdk" TargetMode="External"/><Relationship Id="rId4025" Type="http://schemas.openxmlformats.org/officeDocument/2006/relationships/hyperlink" Target="https://drive.google.com/file/d/1H4dGJeqfd8Jhw6UnES6o4n3_i9WtGNqy/view?usp=drivesdk" TargetMode="External"/><Relationship Id="rId5359" Type="http://schemas.openxmlformats.org/officeDocument/2006/relationships/hyperlink" Target="https://drive.google.com/file/d/1fuwOk8kKUZbDLq60a0kcyCYXIfSrYDo5/view?usp=drivesdk" TargetMode="External"/><Relationship Id="rId288" Type="http://schemas.openxmlformats.org/officeDocument/2006/relationships/hyperlink" Target="https://drive.google.com/file/d/1FkA6hRlMdUnlU-M3oe231l1E2miVyg-B/view?usp=drivesdk" TargetMode="External"/><Relationship Id="rId4028" Type="http://schemas.openxmlformats.org/officeDocument/2006/relationships/hyperlink" Target="https://drive.google.com/file/d/1InD6LWOvqLMR9S5msHdjaguxiQw9H8Tu/view?usp=drivesdk" TargetMode="External"/><Relationship Id="rId5356" Type="http://schemas.openxmlformats.org/officeDocument/2006/relationships/hyperlink" Target="https://drive.google.com/file/d/1GqOlotoxo1i9-PNpDsr5xHYoeIxH2XYw/view?usp=drivesdk" TargetMode="External"/><Relationship Id="rId6687" Type="http://schemas.openxmlformats.org/officeDocument/2006/relationships/hyperlink" Target="https://drive.google.com/file/d/1UiUjet5-2PD-9XtPMqbMq4LIVVUuWIvq/view?usp=drivesdk" TargetMode="External"/><Relationship Id="rId287" Type="http://schemas.openxmlformats.org/officeDocument/2006/relationships/hyperlink" Target="https://drive.google.com/file/d/14xzjW6dpS7_1Op5tBVbkFB35vJnArTTn/view?usp=drivesdk" TargetMode="External"/><Relationship Id="rId4027" Type="http://schemas.openxmlformats.org/officeDocument/2006/relationships/hyperlink" Target="https://drive.google.com/file/d/1nIITbw66hC8DVkGZeE1qejiSJo-bL-Dr/view?usp=drivesdk" TargetMode="External"/><Relationship Id="rId5357" Type="http://schemas.openxmlformats.org/officeDocument/2006/relationships/hyperlink" Target="https://drive.google.com/file/d/1lKAXn_fEHVCSWHUJV7QtR3-DrcG_VbcK/view?usp=drivesdk" TargetMode="External"/><Relationship Id="rId6688" Type="http://schemas.openxmlformats.org/officeDocument/2006/relationships/hyperlink" Target="https://drive.google.com/file/d/1zEl3nuvwVdqEgdheyfG2g7MM3RDEwVH5/view?usp=drivesdk" TargetMode="External"/><Relationship Id="rId4019" Type="http://schemas.openxmlformats.org/officeDocument/2006/relationships/hyperlink" Target="https://drive.google.com/file/d/1p0xHu6aWORH0_K73MPD4pEvs3UWEjKi3/view?usp=drivesdk" TargetMode="External"/><Relationship Id="rId4018" Type="http://schemas.openxmlformats.org/officeDocument/2006/relationships/hyperlink" Target="https://drive.google.com/file/d/11iuZR4fN7wyZjW9tczIkSDOUBedWZD3O/view?usp=drivesdk" TargetMode="External"/><Relationship Id="rId5349" Type="http://schemas.openxmlformats.org/officeDocument/2006/relationships/hyperlink" Target="https://drive.google.com/file/d/1vSeuvlra4tL6eHXc2YwKM7bd20zTzErC/view?usp=drivesdk" TargetMode="External"/><Relationship Id="rId282" Type="http://schemas.openxmlformats.org/officeDocument/2006/relationships/hyperlink" Target="https://drive.google.com/file/d/1gkGv4rwYUHEP__VaqrWZopQMtPeqe_JR/view?usp=drivesdk" TargetMode="External"/><Relationship Id="rId281" Type="http://schemas.openxmlformats.org/officeDocument/2006/relationships/hyperlink" Target="https://drive.google.com/file/d/1s4KdPhhue1lSl-XwL6yG6TzrWozOBATo/view?usp=drivesdk" TargetMode="External"/><Relationship Id="rId280" Type="http://schemas.openxmlformats.org/officeDocument/2006/relationships/hyperlink" Target="https://drive.google.com/file/d/1wBoSwfvrxpfBDJw715KtvW2vXhzTjknw/view?usp=drivesdk" TargetMode="External"/><Relationship Id="rId6670" Type="http://schemas.openxmlformats.org/officeDocument/2006/relationships/hyperlink" Target="https://drive.google.com/file/d/1i9rDS3Yol8nUSUwOo21N1ajMNoVzm-We/view?usp=drivesdk" TargetMode="External"/><Relationship Id="rId5340" Type="http://schemas.openxmlformats.org/officeDocument/2006/relationships/hyperlink" Target="https://drive.google.com/file/d/1TP2P8tDk0wrY8o8D2eRhO8CgNqxxqhNz/view?usp=drivesdk" TargetMode="External"/><Relationship Id="rId6671" Type="http://schemas.openxmlformats.org/officeDocument/2006/relationships/hyperlink" Target="https://drive.google.com/file/d/1UZhtT1SR2du_S2be4fd2aKohJwibKPMg/view?usp=drivesdk" TargetMode="External"/><Relationship Id="rId275" Type="http://schemas.openxmlformats.org/officeDocument/2006/relationships/hyperlink" Target="https://drive.google.com/file/d/1rUuahE-4SaLi4TYYPpNH3YsyumLQYIFS/view?usp=drivesdk" TargetMode="External"/><Relationship Id="rId4011" Type="http://schemas.openxmlformats.org/officeDocument/2006/relationships/hyperlink" Target="https://drive.google.com/file/d/1UBGk7GMPGFlej7hCJ-g1au59KmDPhNR2/view?usp=drivesdk" TargetMode="External"/><Relationship Id="rId5343" Type="http://schemas.openxmlformats.org/officeDocument/2006/relationships/hyperlink" Target="https://drive.google.com/file/d/1WGwu086ReAVEk38t_gs0OOHQ1E4dQ-Kl/view?usp=drivesdk" TargetMode="External"/><Relationship Id="rId6674" Type="http://schemas.openxmlformats.org/officeDocument/2006/relationships/hyperlink" Target="https://drive.google.com/file/d/1bQKBJ2setQHLY7ALAMM6-4C7uaRrL2WO/view?usp=drivesdk" TargetMode="External"/><Relationship Id="rId274" Type="http://schemas.openxmlformats.org/officeDocument/2006/relationships/hyperlink" Target="https://drive.google.com/file/d/1jwUi_58RS0xvkxrzK_F6d_ukvlFPBIV7/view?usp=drivesdk" TargetMode="External"/><Relationship Id="rId4010" Type="http://schemas.openxmlformats.org/officeDocument/2006/relationships/hyperlink" Target="https://drive.google.com/file/d/1_XAtnKNPwPwONi4mDzgPF11QUdtnJLv5/view?usp=drivesdk" TargetMode="External"/><Relationship Id="rId5344" Type="http://schemas.openxmlformats.org/officeDocument/2006/relationships/hyperlink" Target="https://drive.google.com/file/d/1_t_EVCpVACybPETQcA0mafgQuVfgabwG/view?usp=drivesdk" TargetMode="External"/><Relationship Id="rId6675" Type="http://schemas.openxmlformats.org/officeDocument/2006/relationships/hyperlink" Target="https://drive.google.com/file/d/1KFAsfmwcXJ_Zl5dkcx82qpbD4shLDF_k/view?usp=drivesdk" TargetMode="External"/><Relationship Id="rId273" Type="http://schemas.openxmlformats.org/officeDocument/2006/relationships/hyperlink" Target="https://drive.google.com/file/d/1MIEnWzUIAOzbqSfOOkBI5DxB65z3_Pyh/view?usp=drivesdk" TargetMode="External"/><Relationship Id="rId4013" Type="http://schemas.openxmlformats.org/officeDocument/2006/relationships/hyperlink" Target="https://drive.google.com/file/d/1gsMlwKn-XR7Ky9vLa4p3cUw1v6KmiBM0/view?usp=drivesdk" TargetMode="External"/><Relationship Id="rId5341" Type="http://schemas.openxmlformats.org/officeDocument/2006/relationships/hyperlink" Target="https://drive.google.com/file/d/1AwRRd-fgf8mJnoPiMMDG7n89hjLr7513/view?usp=drivesdk" TargetMode="External"/><Relationship Id="rId6672" Type="http://schemas.openxmlformats.org/officeDocument/2006/relationships/hyperlink" Target="https://drive.google.com/file/d/13hAPFnb9jKoMt3q0Ap8s_vyQg_xq12zn/view?usp=drivesdk" TargetMode="External"/><Relationship Id="rId272" Type="http://schemas.openxmlformats.org/officeDocument/2006/relationships/hyperlink" Target="https://drive.google.com/file/d/1awtlHqPMV75vXM4568_qdpZj9SbZXIOb/view?usp=drivesdk" TargetMode="External"/><Relationship Id="rId4012" Type="http://schemas.openxmlformats.org/officeDocument/2006/relationships/hyperlink" Target="https://drive.google.com/file/d/12SZx6yfgLMi-V8yUWPRopW1DUgJ9cPDN/view?usp=drivesdk" TargetMode="External"/><Relationship Id="rId5342" Type="http://schemas.openxmlformats.org/officeDocument/2006/relationships/hyperlink" Target="https://drive.google.com/file/d/1xtp6xhuxb7e5KSWg0Q-aJWrQR9IxxM_C/view?usp=drivesdk" TargetMode="External"/><Relationship Id="rId6673" Type="http://schemas.openxmlformats.org/officeDocument/2006/relationships/hyperlink" Target="https://drive.google.com/file/d/1rKlMndusJ1HZVLu8j6EZvtShr9bjZjxd/view?usp=drivesdk" TargetMode="External"/><Relationship Id="rId279" Type="http://schemas.openxmlformats.org/officeDocument/2006/relationships/hyperlink" Target="https://drive.google.com/file/d/1jisCvYSj1ii3LV7_zL_CB3cRDs12EeUG/view?usp=drivesdk" TargetMode="External"/><Relationship Id="rId4015" Type="http://schemas.openxmlformats.org/officeDocument/2006/relationships/hyperlink" Target="https://drive.google.com/file/d/1avkMpzRZYlSmjr26PP-kwRaDqMm-xUhm/view?usp=drivesdk" TargetMode="External"/><Relationship Id="rId5347" Type="http://schemas.openxmlformats.org/officeDocument/2006/relationships/hyperlink" Target="https://drive.google.com/file/d/1d5dWQqwaB4DA24fsk2Sh78UvBsry6j1v/view?usp=drivesdk" TargetMode="External"/><Relationship Id="rId6678" Type="http://schemas.openxmlformats.org/officeDocument/2006/relationships/hyperlink" Target="https://drive.google.com/file/d/1eA211z5HcF6drIWSngL2X8LV_f6GCHpB/view?usp=drivesdk" TargetMode="External"/><Relationship Id="rId278" Type="http://schemas.openxmlformats.org/officeDocument/2006/relationships/hyperlink" Target="https://drive.google.com/file/d/161rTVmEUtQ7Kh1OxEtpBCT0QNnM7UiPj/view?usp=drivesdk" TargetMode="External"/><Relationship Id="rId4014" Type="http://schemas.openxmlformats.org/officeDocument/2006/relationships/hyperlink" Target="https://drive.google.com/file/d/1fQXVag7yNkP86vtxpBjQD20soNlBCm84/view?usp=drivesdk" TargetMode="External"/><Relationship Id="rId5348" Type="http://schemas.openxmlformats.org/officeDocument/2006/relationships/hyperlink" Target="https://drive.google.com/file/d/14HOeDUlUXlNkOh8fNGDyrE9Ye0IGAF9m/view?usp=drivesdk" TargetMode="External"/><Relationship Id="rId6679" Type="http://schemas.openxmlformats.org/officeDocument/2006/relationships/hyperlink" Target="https://drive.google.com/file/d/18rum7tQRwrARRrhyZ9Bq5mSUsH8NSmZ7/view?usp=drivesdk" TargetMode="External"/><Relationship Id="rId277" Type="http://schemas.openxmlformats.org/officeDocument/2006/relationships/hyperlink" Target="https://drive.google.com/file/d/1xNWdzwEdcdw6k8EyJDhwTh3w3MCMIZQp/view?usp=drivesdk" TargetMode="External"/><Relationship Id="rId4017" Type="http://schemas.openxmlformats.org/officeDocument/2006/relationships/hyperlink" Target="https://drive.google.com/file/d/1Hh1ixXDC3LpFevTy3m_tskp7zhLEr_ik/view?usp=drivesdk" TargetMode="External"/><Relationship Id="rId5345" Type="http://schemas.openxmlformats.org/officeDocument/2006/relationships/hyperlink" Target="https://drive.google.com/file/d/10kPf8cA5sS5jQSo0LFbL8Q28nAEihhOr/view?usp=drivesdk" TargetMode="External"/><Relationship Id="rId6676" Type="http://schemas.openxmlformats.org/officeDocument/2006/relationships/hyperlink" Target="https://drive.google.com/file/d/1zIjavmF-Ke_uOKAsB73GP9qbYXqfYsdi/view?usp=drivesdk" TargetMode="External"/><Relationship Id="rId276" Type="http://schemas.openxmlformats.org/officeDocument/2006/relationships/hyperlink" Target="https://drive.google.com/file/d/1uhmu0U4OhivWtO1Cs9_H2JLfFdjrH1HZ/view?usp=drivesdk" TargetMode="External"/><Relationship Id="rId4016" Type="http://schemas.openxmlformats.org/officeDocument/2006/relationships/hyperlink" Target="https://drive.google.com/file/d/1PU6JcV0bAvq-fDN3pTgmU9r_eQ19F0oo/view?usp=drivesdk" TargetMode="External"/><Relationship Id="rId5346" Type="http://schemas.openxmlformats.org/officeDocument/2006/relationships/hyperlink" Target="https://drive.google.com/file/d/1KWHYVxkWPaJtCX6WkUCc5sEDR6sIDHAp/view?usp=drivesdk" TargetMode="External"/><Relationship Id="rId6677" Type="http://schemas.openxmlformats.org/officeDocument/2006/relationships/hyperlink" Target="https://drive.google.com/file/d/1gqYXMp48AhV4DRtzlyisb7QwjkU4ANgS/view?usp=drivesdk" TargetMode="External"/><Relationship Id="rId1851" Type="http://schemas.openxmlformats.org/officeDocument/2006/relationships/hyperlink" Target="https://drive.google.com/file/d/1wz7oBDM98MUqk4kA2NdBItbDyFqK4hYR/view?usp=drivesdk" TargetMode="External"/><Relationship Id="rId1852" Type="http://schemas.openxmlformats.org/officeDocument/2006/relationships/hyperlink" Target="https://drive.google.com/file/d/1W1Swx8Sobh9We4GR649VK_foHbxeyTSq/view?usp=drivesdk" TargetMode="External"/><Relationship Id="rId1853" Type="http://schemas.openxmlformats.org/officeDocument/2006/relationships/hyperlink" Target="https://drive.google.com/file/d/1oCnt5OJ-oIvoU1q4LJlQfOMnqthVEKTM/view?usp=drivesdk" TargetMode="External"/><Relationship Id="rId1854" Type="http://schemas.openxmlformats.org/officeDocument/2006/relationships/hyperlink" Target="https://drive.google.com/file/d/1aBHcgM0QzJa6ZapPH4XFH5clUn_oqLNB/view?usp=drivesdk" TargetMode="External"/><Relationship Id="rId1855" Type="http://schemas.openxmlformats.org/officeDocument/2006/relationships/hyperlink" Target="https://drive.google.com/file/d/1iBl3jOMU5XzwMWtnTm5s2pP9yRxkGwCs/view?usp=drivesdk" TargetMode="External"/><Relationship Id="rId1856" Type="http://schemas.openxmlformats.org/officeDocument/2006/relationships/hyperlink" Target="https://drive.google.com/file/d/1TqQbkafUt0JCIp06fzKZo_zMJlqJX1Ss/view?usp=drivesdk" TargetMode="External"/><Relationship Id="rId1857" Type="http://schemas.openxmlformats.org/officeDocument/2006/relationships/hyperlink" Target="https://drive.google.com/file/d/1vX_jkuDTbZnC2RO3fErkLjvmViWIuDXy/view?usp=drivesdk" TargetMode="External"/><Relationship Id="rId1858" Type="http://schemas.openxmlformats.org/officeDocument/2006/relationships/hyperlink" Target="https://drive.google.com/file/d/1mmH7ZiVWCLOSpeXOcW-wdbjem0b5Q-y4/view?usp=drivesdk" TargetMode="External"/><Relationship Id="rId1859" Type="http://schemas.openxmlformats.org/officeDocument/2006/relationships/hyperlink" Target="https://drive.google.com/file/d/1wwSDccO4809l9xfEyd18b8n6ftwYIrlH/view?usp=drivesdk" TargetMode="External"/><Relationship Id="rId1850" Type="http://schemas.openxmlformats.org/officeDocument/2006/relationships/hyperlink" Target="https://drive.google.com/file/d/1fC98OF2t4MYak2qgwWcPfstaBzosCIKG/view?usp=drivesdk" TargetMode="External"/><Relationship Id="rId1840" Type="http://schemas.openxmlformats.org/officeDocument/2006/relationships/hyperlink" Target="https://drive.google.com/file/d/1c8FekfKA_QBacmmqCDvMGCg0dXZ4mwe4/view?usp=drivesdk" TargetMode="External"/><Relationship Id="rId1841" Type="http://schemas.openxmlformats.org/officeDocument/2006/relationships/hyperlink" Target="https://drive.google.com/file/d/11zD19DNavt_-h_X4Zy2KO5RWi3rd8Q-k/view?usp=drivesdk" TargetMode="External"/><Relationship Id="rId1842" Type="http://schemas.openxmlformats.org/officeDocument/2006/relationships/hyperlink" Target="https://drive.google.com/file/d/1hy0L3An3zDvSfeJKHenKTmPla3eBK5Gl/view?usp=drivesdk" TargetMode="External"/><Relationship Id="rId1843" Type="http://schemas.openxmlformats.org/officeDocument/2006/relationships/hyperlink" Target="https://drive.google.com/file/d/1zBj1eMKJcr6HnSRa3kg8iOLERZxRdvKq/view?usp=drivesdk" TargetMode="External"/><Relationship Id="rId1844" Type="http://schemas.openxmlformats.org/officeDocument/2006/relationships/hyperlink" Target="https://drive.google.com/file/d/1SHSxNOoVcdfrTLRSBXR9I-UdoL8mc1LI/view?usp=drivesdk" TargetMode="External"/><Relationship Id="rId1845" Type="http://schemas.openxmlformats.org/officeDocument/2006/relationships/hyperlink" Target="https://drive.google.com/file/d/1priOoB3ePntx9MiIzi1hFj266wyadDVv/view?usp=drivesdk" TargetMode="External"/><Relationship Id="rId1846" Type="http://schemas.openxmlformats.org/officeDocument/2006/relationships/hyperlink" Target="https://drive.google.com/file/d/1jEWYs6Lpu7-NgjPEPKPiPR7myW6OOHE6/view?usp=drivesdk" TargetMode="External"/><Relationship Id="rId1847" Type="http://schemas.openxmlformats.org/officeDocument/2006/relationships/hyperlink" Target="https://drive.google.com/file/d/1vd8sePpWUJKhETZ5efDbMhvHh_ctgx1X/view?usp=drivesdk" TargetMode="External"/><Relationship Id="rId1848" Type="http://schemas.openxmlformats.org/officeDocument/2006/relationships/hyperlink" Target="https://drive.google.com/file/d/1BuTZFXXzXO6m0fnzWJBcNY0hREoHl-NY/view?usp=drivesdk" TargetMode="External"/><Relationship Id="rId1849" Type="http://schemas.openxmlformats.org/officeDocument/2006/relationships/hyperlink" Target="https://drive.google.com/file/d/1Xm4RbXbhQSpUhyjwnZtckmAJyKhZHZJC/view?usp=drivesdk" TargetMode="External"/><Relationship Id="rId1873" Type="http://schemas.openxmlformats.org/officeDocument/2006/relationships/hyperlink" Target="https://drive.google.com/file/d/1fTga4Dkr5GlOF7U5z16O9XishnaYGIzr/view?usp=drivesdk" TargetMode="External"/><Relationship Id="rId1874" Type="http://schemas.openxmlformats.org/officeDocument/2006/relationships/hyperlink" Target="https://drive.google.com/file/d/12AmGbg-qnO1S1e3rQ5gDowQnKE2ezxsj/view?usp=drivesdk" TargetMode="External"/><Relationship Id="rId1875" Type="http://schemas.openxmlformats.org/officeDocument/2006/relationships/hyperlink" Target="https://drive.google.com/file/d/1Ci2ttZPc0-Bek0Na1dfeVEyf58d4W6t7/view?usp=drivesdk" TargetMode="External"/><Relationship Id="rId1876" Type="http://schemas.openxmlformats.org/officeDocument/2006/relationships/hyperlink" Target="https://drive.google.com/file/d/1KYtHmeeKEMrurFw0GiCDRWqiY0npkwq2/view?usp=drivesdk" TargetMode="External"/><Relationship Id="rId1877" Type="http://schemas.openxmlformats.org/officeDocument/2006/relationships/hyperlink" Target="https://drive.google.com/file/d/1nSiUfrQ_uHMh2sNnXw4aVBu_3k_0d4Yg/view?usp=drivesdk" TargetMode="External"/><Relationship Id="rId1878" Type="http://schemas.openxmlformats.org/officeDocument/2006/relationships/hyperlink" Target="https://drive.google.com/file/d/1BUfmz5eMdbeUXKKltfY5CnWXiJZJ4o5o/view?usp=drivesdk" TargetMode="External"/><Relationship Id="rId1879" Type="http://schemas.openxmlformats.org/officeDocument/2006/relationships/hyperlink" Target="https://drive.google.com/file/d/1SiDmjF1FWtQKlEP5aTGjCgq-6RDSjiVp/view?usp=drivesdk" TargetMode="External"/><Relationship Id="rId1870" Type="http://schemas.openxmlformats.org/officeDocument/2006/relationships/hyperlink" Target="https://drive.google.com/file/d/1DjcWdfI4O_d5-MH4oCSuRunFezWMtXUk/view?usp=drivesdk" TargetMode="External"/><Relationship Id="rId1871" Type="http://schemas.openxmlformats.org/officeDocument/2006/relationships/hyperlink" Target="https://drive.google.com/file/d/1f58F4OJK2jdJsjaXzXG781KjCJQt-lnd/view?usp=drivesdk" TargetMode="External"/><Relationship Id="rId1872" Type="http://schemas.openxmlformats.org/officeDocument/2006/relationships/hyperlink" Target="https://drive.google.com/file/d/1jEFXGbDmaIekLtbPvgR_7cgLqqbcrQNV/view?usp=drivesdk" TargetMode="External"/><Relationship Id="rId1862" Type="http://schemas.openxmlformats.org/officeDocument/2006/relationships/hyperlink" Target="https://drive.google.com/file/d/1Zw8Q_Xe0xiry1PJ9BbTqLTwspp3YaCh9/view?usp=drivesdk" TargetMode="External"/><Relationship Id="rId1863" Type="http://schemas.openxmlformats.org/officeDocument/2006/relationships/hyperlink" Target="https://drive.google.com/file/d/12982F2SuPGfb3AAuNIfk4gbDaG30bM-A/view?usp=drivesdk" TargetMode="External"/><Relationship Id="rId1864" Type="http://schemas.openxmlformats.org/officeDocument/2006/relationships/hyperlink" Target="https://drive.google.com/file/d/10Nhw1RMztLCVhmoaJLbgQ2GMIeKBYbz5/view?usp=drivesdk" TargetMode="External"/><Relationship Id="rId1865" Type="http://schemas.openxmlformats.org/officeDocument/2006/relationships/hyperlink" Target="https://drive.google.com/file/d/17vk3Swsvju1fHYSIVybFiL66uzJ1xXsb/view?usp=drivesdk" TargetMode="External"/><Relationship Id="rId1866" Type="http://schemas.openxmlformats.org/officeDocument/2006/relationships/hyperlink" Target="https://drive.google.com/file/d/1lgKWIIT5VNBM5TlX-DR5QuFHby37PxAv/view?usp=drivesdk" TargetMode="External"/><Relationship Id="rId1867" Type="http://schemas.openxmlformats.org/officeDocument/2006/relationships/hyperlink" Target="https://drive.google.com/file/d/1X3DvdU6-1Q6Xr0PB9tDlMrWuIonnqA3n/view?usp=drivesdk" TargetMode="External"/><Relationship Id="rId1868" Type="http://schemas.openxmlformats.org/officeDocument/2006/relationships/hyperlink" Target="https://drive.google.com/file/d/1HPW88a0t5_5rIGPIN82I6FXE5Lqz-8ji/view?usp=drivesdk" TargetMode="External"/><Relationship Id="rId1869" Type="http://schemas.openxmlformats.org/officeDocument/2006/relationships/hyperlink" Target="https://drive.google.com/file/d/1X0tsjllhenyOS_4qnRFb0KrxTszgU96x/view?usp=drivesdk" TargetMode="External"/><Relationship Id="rId1860" Type="http://schemas.openxmlformats.org/officeDocument/2006/relationships/hyperlink" Target="https://drive.google.com/file/d/1Lh-5E6AkJUAhzmKbqBDXTDEMs_WVdwsh/view?usp=drivesdk" TargetMode="External"/><Relationship Id="rId1861" Type="http://schemas.openxmlformats.org/officeDocument/2006/relationships/hyperlink" Target="https://drive.google.com/file/d/18ftXVtAtoNRsdHtdlv_Jc6mFk96gwwRS/view?usp=drivesdk" TargetMode="External"/><Relationship Id="rId1810" Type="http://schemas.openxmlformats.org/officeDocument/2006/relationships/hyperlink" Target="https://drive.google.com/file/d/1YeF6jotIjO9DTHjg3q5MYR626wkExSXf/view?usp=drivesdk" TargetMode="External"/><Relationship Id="rId1811" Type="http://schemas.openxmlformats.org/officeDocument/2006/relationships/hyperlink" Target="https://drive.google.com/file/d/1bBV9ybUvNIrR7DwC5HTcMoxa-YtCt-dj/view?usp=drivesdk" TargetMode="External"/><Relationship Id="rId1812" Type="http://schemas.openxmlformats.org/officeDocument/2006/relationships/hyperlink" Target="https://drive.google.com/file/d/12gJlfaM5uTtCFFaRcKgRKZ0hfKkGZQPx/view?usp=drivesdk" TargetMode="External"/><Relationship Id="rId1813" Type="http://schemas.openxmlformats.org/officeDocument/2006/relationships/hyperlink" Target="https://drive.google.com/file/d/18qvmAsX5g2H_gVxbPDQLfiVVsKLojHfX/view?usp=drivesdk" TargetMode="External"/><Relationship Id="rId1814" Type="http://schemas.openxmlformats.org/officeDocument/2006/relationships/hyperlink" Target="https://drive.google.com/file/d/1r4lz_nlbuvlbwLMePerHYYf0QgAVirCp/view?usp=drivesdk" TargetMode="External"/><Relationship Id="rId1815" Type="http://schemas.openxmlformats.org/officeDocument/2006/relationships/hyperlink" Target="https://drive.google.com/file/d/1NsL-SB5KxTw8uK5RJg5kLGwk7dvDrL6T/view?usp=drivesdk" TargetMode="External"/><Relationship Id="rId1816" Type="http://schemas.openxmlformats.org/officeDocument/2006/relationships/hyperlink" Target="https://drive.google.com/file/d/129xpofL45ddl_yMUTxGh3GMxSGZT0N6D/view?usp=drivesdk" TargetMode="External"/><Relationship Id="rId1817" Type="http://schemas.openxmlformats.org/officeDocument/2006/relationships/hyperlink" Target="https://drive.google.com/file/d/1KqTQaA7HcGgYJk4JyFnmUJU0_VHutoFh/view?usp=drivesdk" TargetMode="External"/><Relationship Id="rId1818" Type="http://schemas.openxmlformats.org/officeDocument/2006/relationships/hyperlink" Target="https://drive.google.com/file/d/1Bh9doDpmibEr4ncglNZ4DdWKm7KFRxJZ/view?usp=drivesdk" TargetMode="External"/><Relationship Id="rId1819" Type="http://schemas.openxmlformats.org/officeDocument/2006/relationships/hyperlink" Target="https://drive.google.com/file/d/1-QVwwR6tSY7ey4lfNZNPf80N1htcZ47T/view?usp=drivesdk" TargetMode="External"/><Relationship Id="rId4080" Type="http://schemas.openxmlformats.org/officeDocument/2006/relationships/hyperlink" Target="https://drive.google.com/file/d/1BSWxKI7eSOCCZcljkvZWKnVPe031nV95/view?usp=drivesdk" TargetMode="External"/><Relationship Id="rId4082" Type="http://schemas.openxmlformats.org/officeDocument/2006/relationships/hyperlink" Target="https://drive.google.com/file/d/1o--UJXNcVqlcIXOTZ16urVAsRUGMoi32/view?usp=drivesdk" TargetMode="External"/><Relationship Id="rId4081" Type="http://schemas.openxmlformats.org/officeDocument/2006/relationships/hyperlink" Target="https://drive.google.com/file/d/1Mk3z08Kaa2kZlrCPmGMFgmmevCL0tw9F/view?usp=drivesdk" TargetMode="External"/><Relationship Id="rId4084" Type="http://schemas.openxmlformats.org/officeDocument/2006/relationships/hyperlink" Target="https://drive.google.com/file/d/11suK5qfG3xYI1LX15aVBS_CYqSdqyF1L/view?usp=drivesdk" TargetMode="External"/><Relationship Id="rId4083" Type="http://schemas.openxmlformats.org/officeDocument/2006/relationships/hyperlink" Target="https://drive.google.com/file/d/1tZoJoiAFgnh_pJg337BhKcUetpWGZHnp/view?usp=drivesdk" TargetMode="External"/><Relationship Id="rId4086" Type="http://schemas.openxmlformats.org/officeDocument/2006/relationships/hyperlink" Target="https://drive.google.com/file/d/1SL9G4nCoOl2kDzJTujs57vjWNm5zC1O5/view?usp=drivesdk" TargetMode="External"/><Relationship Id="rId4085" Type="http://schemas.openxmlformats.org/officeDocument/2006/relationships/hyperlink" Target="https://drive.google.com/file/d/1SEO5y2iYXCYvbmMPHSWio5iAvP2OorPh/view?usp=drivesdk" TargetMode="External"/><Relationship Id="rId4088" Type="http://schemas.openxmlformats.org/officeDocument/2006/relationships/hyperlink" Target="https://drive.google.com/file/d/1S9EXdakRV-xyI1WDYeeilbJrw8GEHn2m/view?usp=drivesdk" TargetMode="External"/><Relationship Id="rId4087" Type="http://schemas.openxmlformats.org/officeDocument/2006/relationships/hyperlink" Target="https://drive.google.com/file/d/1hE3HFL6fYJ7HCoJvaRN2G_VXdnXj-GOp/view?usp=drivesdk" TargetMode="External"/><Relationship Id="rId4089" Type="http://schemas.openxmlformats.org/officeDocument/2006/relationships/hyperlink" Target="https://drive.google.com/file/d/1vVdx90gLUpuiz90ZtfGOkxMEhRXi-UKg/view?usp=drivesdk" TargetMode="External"/><Relationship Id="rId1800" Type="http://schemas.openxmlformats.org/officeDocument/2006/relationships/hyperlink" Target="https://drive.google.com/file/d/1AHX_S3vTZPVtKHlTEx2_ql3bFWnllUs5/view?usp=drivesdk" TargetMode="External"/><Relationship Id="rId1801" Type="http://schemas.openxmlformats.org/officeDocument/2006/relationships/hyperlink" Target="https://drive.google.com/file/d/1RUMPdGt5poVm51h-VoelxF6bfPLGIpbU/view?usp=drivesdk" TargetMode="External"/><Relationship Id="rId1802" Type="http://schemas.openxmlformats.org/officeDocument/2006/relationships/hyperlink" Target="https://drive.google.com/file/d/1ASCRKkIBxVUaJKiUfnvFLhEtppASfMIb/view?usp=drivesdk" TargetMode="External"/><Relationship Id="rId1803" Type="http://schemas.openxmlformats.org/officeDocument/2006/relationships/hyperlink" Target="https://drive.google.com/file/d/1LKWgrzO4PmR36xIrHPPvpz_htL-MkxZd/view?usp=drivesdk" TargetMode="External"/><Relationship Id="rId1804" Type="http://schemas.openxmlformats.org/officeDocument/2006/relationships/hyperlink" Target="https://drive.google.com/file/d/1Z6iQlkfNDXTcakCIQRNZpAASlsKD48bR/view?usp=drivesdk" TargetMode="External"/><Relationship Id="rId1805" Type="http://schemas.openxmlformats.org/officeDocument/2006/relationships/hyperlink" Target="https://drive.google.com/file/d/112sALxPkW0g7NNE-kjHEXDbOHhOqeZJZ/view?usp=drivesdk" TargetMode="External"/><Relationship Id="rId1806" Type="http://schemas.openxmlformats.org/officeDocument/2006/relationships/hyperlink" Target="https://drive.google.com/file/d/1LSTLyWGwW2mysfRGf6obo3e4jtUXRUlL/view?usp=drivesdk" TargetMode="External"/><Relationship Id="rId1807" Type="http://schemas.openxmlformats.org/officeDocument/2006/relationships/hyperlink" Target="https://drive.google.com/file/d/1C-dg3QXi7PiNOBOaj43qMSWLBLUW_fy8/view?usp=drivesdk" TargetMode="External"/><Relationship Id="rId1808" Type="http://schemas.openxmlformats.org/officeDocument/2006/relationships/hyperlink" Target="https://drive.google.com/file/d/1BsjMeHr-rQb3YyrMR3zbhscaPPphfi5f/view?usp=drivesdk" TargetMode="External"/><Relationship Id="rId1809" Type="http://schemas.openxmlformats.org/officeDocument/2006/relationships/hyperlink" Target="https://drive.google.com/file/d/1Wbng6n8AKLesX6wjUEDe8Qi8n_4-rcBL/view?usp=drivesdk" TargetMode="External"/><Relationship Id="rId4071" Type="http://schemas.openxmlformats.org/officeDocument/2006/relationships/hyperlink" Target="https://drive.google.com/file/d/15ktVsOOf3eROW19qIKSfg7hboHOvy-gJ/view?usp=drivesdk" TargetMode="External"/><Relationship Id="rId4070" Type="http://schemas.openxmlformats.org/officeDocument/2006/relationships/hyperlink" Target="https://drive.google.com/file/d/1ScXt2Foyb6lCEGBWYN5ekbiEkODsRQLD/view?usp=drivesdk" TargetMode="External"/><Relationship Id="rId4073" Type="http://schemas.openxmlformats.org/officeDocument/2006/relationships/hyperlink" Target="https://drive.google.com/file/d/1T88u3-3OU7gZDT_3pJNq-KBnCUmSFhPR/view?usp=drivesdk" TargetMode="External"/><Relationship Id="rId4072" Type="http://schemas.openxmlformats.org/officeDocument/2006/relationships/hyperlink" Target="https://drive.google.com/file/d/1gN9MHNJ65vl8UagH-FCoWu7WydEwc9PR/view?usp=drivesdk" TargetMode="External"/><Relationship Id="rId4075" Type="http://schemas.openxmlformats.org/officeDocument/2006/relationships/hyperlink" Target="https://drive.google.com/file/d/1997lKUNflmtkCuUBtIcJu59injmJs0-9/view?usp=drivesdk" TargetMode="External"/><Relationship Id="rId4074" Type="http://schemas.openxmlformats.org/officeDocument/2006/relationships/hyperlink" Target="https://drive.google.com/file/d/13a1LS0ct0uOox906k8QXvWi_PiPdR3Ij/view?usp=drivesdk" TargetMode="External"/><Relationship Id="rId4077" Type="http://schemas.openxmlformats.org/officeDocument/2006/relationships/hyperlink" Target="https://drive.google.com/file/d/1DpbLEx4sZ0zmq-O-j9QQwXGd4FTsajJh/view?usp=drivesdk" TargetMode="External"/><Relationship Id="rId4076" Type="http://schemas.openxmlformats.org/officeDocument/2006/relationships/hyperlink" Target="https://drive.google.com/file/d/1KOIouKFKFSybzQzI_9zuIOPBxJdwHu51/view?usp=drivesdk" TargetMode="External"/><Relationship Id="rId4079" Type="http://schemas.openxmlformats.org/officeDocument/2006/relationships/hyperlink" Target="https://drive.google.com/file/d/1LH4I7p1CBC8IYM3qDm4O7V8rfUjYBJY-/view?usp=drivesdk" TargetMode="External"/><Relationship Id="rId4078" Type="http://schemas.openxmlformats.org/officeDocument/2006/relationships/hyperlink" Target="https://drive.google.com/file/d/1oEmcpr706bmx5PnzCsLFewCaG2OOPi5Q/view?usp=drivesdk" TargetMode="External"/><Relationship Id="rId1830" Type="http://schemas.openxmlformats.org/officeDocument/2006/relationships/hyperlink" Target="https://drive.google.com/file/d/1cmt--JskXUztcSpEQ2Egav64pX1WWdY7/view?usp=drivesdk" TargetMode="External"/><Relationship Id="rId1831" Type="http://schemas.openxmlformats.org/officeDocument/2006/relationships/hyperlink" Target="https://drive.google.com/file/d/1W7Rvsv6hR0G1r7PUweQEXcchjk-6trxN/view?usp=drivesdk" TargetMode="External"/><Relationship Id="rId1832" Type="http://schemas.openxmlformats.org/officeDocument/2006/relationships/hyperlink" Target="https://drive.google.com/file/d/1cHQghi0MgdWFT2vziDQOOvxPw4WivY2a/view?usp=drivesdk" TargetMode="External"/><Relationship Id="rId1833" Type="http://schemas.openxmlformats.org/officeDocument/2006/relationships/hyperlink" Target="https://drive.google.com/file/d/1njelYDN1ETu9YC-3Ue8jRYhYOzWWMYmA/view?usp=drivesdk" TargetMode="External"/><Relationship Id="rId1834" Type="http://schemas.openxmlformats.org/officeDocument/2006/relationships/hyperlink" Target="https://drive.google.com/file/d/1gNeURtjJDDZhl_5x6qbJagodaN8pRR8F/view?usp=drivesdk" TargetMode="External"/><Relationship Id="rId1835" Type="http://schemas.openxmlformats.org/officeDocument/2006/relationships/hyperlink" Target="https://drive.google.com/file/d/1lxeYeZ-0MBxaolOI6m2ccd82ZcZCAAcH/view?usp=drivesdk" TargetMode="External"/><Relationship Id="rId1836" Type="http://schemas.openxmlformats.org/officeDocument/2006/relationships/hyperlink" Target="https://drive.google.com/file/d/1ka8JX_SCaFoTctA6mMU6v-yfGe-bHXss/view?usp=drivesdk" TargetMode="External"/><Relationship Id="rId1837" Type="http://schemas.openxmlformats.org/officeDocument/2006/relationships/hyperlink" Target="https://drive.google.com/file/d/1H16knJzP4o_XDqmFheIjAwRJEWGtv01t/view?usp=drivesdk" TargetMode="External"/><Relationship Id="rId1838" Type="http://schemas.openxmlformats.org/officeDocument/2006/relationships/hyperlink" Target="https://drive.google.com/file/d/1y4BC6SIhBv0gTcOHZV1rsD6bBYWQ4_Q1/view?usp=drivesdk" TargetMode="External"/><Relationship Id="rId1839" Type="http://schemas.openxmlformats.org/officeDocument/2006/relationships/hyperlink" Target="https://drive.google.com/file/d/11WT3GYAwNzvDE2vk4ulIzfNqM3yr2djN/view?usp=drivesdk" TargetMode="External"/><Relationship Id="rId1820" Type="http://schemas.openxmlformats.org/officeDocument/2006/relationships/hyperlink" Target="https://drive.google.com/file/d/1yu22I_7VY-A14O3694j0IAzGGgEzY6IL/view?usp=drivesdk" TargetMode="External"/><Relationship Id="rId1821" Type="http://schemas.openxmlformats.org/officeDocument/2006/relationships/hyperlink" Target="https://drive.google.com/file/d/17TDlnprWaO-rlqDbcxbpW9AQ74uX1y1Z/view?usp=drivesdk" TargetMode="External"/><Relationship Id="rId1822" Type="http://schemas.openxmlformats.org/officeDocument/2006/relationships/hyperlink" Target="https://drive.google.com/file/d/1-8CbIciYchocgycpg7H5GLPKheaQ18RX/view?usp=drivesdk" TargetMode="External"/><Relationship Id="rId1823" Type="http://schemas.openxmlformats.org/officeDocument/2006/relationships/hyperlink" Target="https://drive.google.com/file/d/16bvYG51vIq0Db1mR8CMw46AwMONaOpvP/view?usp=drivesdk" TargetMode="External"/><Relationship Id="rId1824" Type="http://schemas.openxmlformats.org/officeDocument/2006/relationships/hyperlink" Target="https://drive.google.com/file/d/1OHZ6heKdYV95Jjuoq4yKrZMSl3on8XT-/view?usp=drivesdk" TargetMode="External"/><Relationship Id="rId1825" Type="http://schemas.openxmlformats.org/officeDocument/2006/relationships/hyperlink" Target="https://drive.google.com/file/d/1eBUADu2w6Tfc_Q_VMQ3izdjbscfz14yg/view?usp=drivesdk" TargetMode="External"/><Relationship Id="rId1826" Type="http://schemas.openxmlformats.org/officeDocument/2006/relationships/hyperlink" Target="https://drive.google.com/file/d/1hgBhbgKdfGhiI8v01jYyHjWgUyQheWkj/view?usp=drivesdk" TargetMode="External"/><Relationship Id="rId1827" Type="http://schemas.openxmlformats.org/officeDocument/2006/relationships/hyperlink" Target="https://drive.google.com/file/d/14qpqGGvs0MeDgLS0eeOA5YxuoH8A9ZUs/view?usp=drivesdk" TargetMode="External"/><Relationship Id="rId1828" Type="http://schemas.openxmlformats.org/officeDocument/2006/relationships/hyperlink" Target="https://drive.google.com/file/d/17ZZPvyZqHQUtHXe7K9BzA0-TOPRhHAre/view?usp=drivesdk" TargetMode="External"/><Relationship Id="rId1829" Type="http://schemas.openxmlformats.org/officeDocument/2006/relationships/hyperlink" Target="https://drive.google.com/file/d/12tNYlByCJTNGGZbXS0WfX5DCilMz6gew/view?usp=drivesdk" TargetMode="External"/><Relationship Id="rId4091" Type="http://schemas.openxmlformats.org/officeDocument/2006/relationships/hyperlink" Target="https://drive.google.com/file/d/1SbyLUszEgFepim42QQJbWMVB26yAkU56/view?usp=drivesdk" TargetMode="External"/><Relationship Id="rId4090" Type="http://schemas.openxmlformats.org/officeDocument/2006/relationships/hyperlink" Target="https://drive.google.com/file/d/15ewRYJZhUzhO2HMW3fEKApc2bhN3qhp6/view?usp=drivesdk" TargetMode="External"/><Relationship Id="rId4093" Type="http://schemas.openxmlformats.org/officeDocument/2006/relationships/hyperlink" Target="https://drive.google.com/file/d/1NBNeS0tIvX4VCwZBOnPZT8occLYxAAl6/view?usp=drivesdk" TargetMode="External"/><Relationship Id="rId4092" Type="http://schemas.openxmlformats.org/officeDocument/2006/relationships/hyperlink" Target="https://drive.google.com/file/d/1yy33f2wucpIMR6xncSXG6tAg2SNZnlBe/view?usp=drivesdk" TargetMode="External"/><Relationship Id="rId4095" Type="http://schemas.openxmlformats.org/officeDocument/2006/relationships/hyperlink" Target="https://drive.google.com/file/d/1NaE9pW-TeX6deEgYToZqQFWMZWyyYbVg/view?usp=drivesdk" TargetMode="External"/><Relationship Id="rId4094" Type="http://schemas.openxmlformats.org/officeDocument/2006/relationships/hyperlink" Target="https://drive.google.com/file/d/1-4wxH19qtUs2FRbIu7ArhGvuVNZr0l9Y/view?usp=drivesdk" TargetMode="External"/><Relationship Id="rId4097" Type="http://schemas.openxmlformats.org/officeDocument/2006/relationships/hyperlink" Target="https://drive.google.com/file/d/1r35VxVp9Scj2yM0DO8qO6K-hVZtH-9DT/view?usp=drivesdk" TargetMode="External"/><Relationship Id="rId4096" Type="http://schemas.openxmlformats.org/officeDocument/2006/relationships/hyperlink" Target="https://drive.google.com/file/d/16cj47qOnuvTIvwWGkhrFc9nbte22_0Eg/view?usp=drivesdk" TargetMode="External"/><Relationship Id="rId4099" Type="http://schemas.openxmlformats.org/officeDocument/2006/relationships/hyperlink" Target="https://drive.google.com/file/d/1X4f2x7sd0sVCIXtY9UQ9uNpdF4elAUGh/view?usp=drivesdk" TargetMode="External"/><Relationship Id="rId4098" Type="http://schemas.openxmlformats.org/officeDocument/2006/relationships/hyperlink" Target="https://drive.google.com/file/d/1CYMcDjKZZhwfNOUup3LDiCL4II5NR-Z3/view?usp=drivesdk" TargetMode="External"/><Relationship Id="rId1895" Type="http://schemas.openxmlformats.org/officeDocument/2006/relationships/hyperlink" Target="https://drive.google.com/file/d/1WHtgitCgE6Ki2domU22t155pJ56fzH_V/view?usp=drivesdk" TargetMode="External"/><Relationship Id="rId1896" Type="http://schemas.openxmlformats.org/officeDocument/2006/relationships/hyperlink" Target="https://drive.google.com/file/d/16emTJN_KTBa17rVwlwv_85wYXPSdM8D7/view?usp=drivesdk" TargetMode="External"/><Relationship Id="rId1897" Type="http://schemas.openxmlformats.org/officeDocument/2006/relationships/hyperlink" Target="https://drive.google.com/file/d/1AqbMH2vVTqK7vG_KmWY7uKL8wxLNMicm/view?usp=drivesdk" TargetMode="External"/><Relationship Id="rId1898" Type="http://schemas.openxmlformats.org/officeDocument/2006/relationships/hyperlink" Target="https://drive.google.com/file/d/1lYuvuo2zjh0lTaz-SbYx1om4PvmexujE/view?usp=drivesdk" TargetMode="External"/><Relationship Id="rId1899" Type="http://schemas.openxmlformats.org/officeDocument/2006/relationships/hyperlink" Target="https://drive.google.com/file/d/156HCeyuh9eb7-BJY5xFN-1lG4kXjhPWa/view?usp=drivesdk" TargetMode="External"/><Relationship Id="rId1890" Type="http://schemas.openxmlformats.org/officeDocument/2006/relationships/hyperlink" Target="https://drive.google.com/file/d/1iorPZQWTCbz21JCZmsQhaKI5daw-ZIeU/view?usp=drivesdk" TargetMode="External"/><Relationship Id="rId1891" Type="http://schemas.openxmlformats.org/officeDocument/2006/relationships/hyperlink" Target="https://drive.google.com/file/d/109ahIkC5WgaFtTQu18_byhsuHoM2aI5A/view?usp=drivesdk" TargetMode="External"/><Relationship Id="rId1892" Type="http://schemas.openxmlformats.org/officeDocument/2006/relationships/hyperlink" Target="https://drive.google.com/file/d/1VGNCjagyFaIJ7uM25ANT-gSFCmqvPCXz/view?usp=drivesdk" TargetMode="External"/><Relationship Id="rId1893" Type="http://schemas.openxmlformats.org/officeDocument/2006/relationships/hyperlink" Target="https://drive.google.com/file/d/18dasuZAA3hgbkxnLU8LY1U2jaaOCWaE9/view?usp=drivesdk" TargetMode="External"/><Relationship Id="rId1894" Type="http://schemas.openxmlformats.org/officeDocument/2006/relationships/hyperlink" Target="https://drive.google.com/file/d/1BgpiYDOsn5nZmlygnanHUoyYBX5ecidM/view?usp=drivesdk" TargetMode="External"/><Relationship Id="rId1884" Type="http://schemas.openxmlformats.org/officeDocument/2006/relationships/hyperlink" Target="https://drive.google.com/file/d/1FNTNvoIG07DX9U_KjXPRtNBa8n9ybNUs/view?usp=drivesdk" TargetMode="External"/><Relationship Id="rId1885" Type="http://schemas.openxmlformats.org/officeDocument/2006/relationships/hyperlink" Target="https://drive.google.com/file/d/1gYRYUNjuhjKS26KSDPLehaMPh7UpuLJf/view?usp=drivesdk" TargetMode="External"/><Relationship Id="rId1886" Type="http://schemas.openxmlformats.org/officeDocument/2006/relationships/hyperlink" Target="https://drive.google.com/file/d/1HXcfw3fvhrncZ7f8dHDGBUaUYVzYsWB7/view?usp=drivesdk" TargetMode="External"/><Relationship Id="rId1887" Type="http://schemas.openxmlformats.org/officeDocument/2006/relationships/hyperlink" Target="https://drive.google.com/file/d/1AmHKrUuhQvUAMmKwuqKXYUQBFBewKppg/view?usp=drivesdk" TargetMode="External"/><Relationship Id="rId1888" Type="http://schemas.openxmlformats.org/officeDocument/2006/relationships/hyperlink" Target="https://drive.google.com/file/d/1zy2gXB_cdYy-HQeOKuHkUgcNcZvXoQFy/view?usp=drivesdk" TargetMode="External"/><Relationship Id="rId1889" Type="http://schemas.openxmlformats.org/officeDocument/2006/relationships/hyperlink" Target="https://drive.google.com/file/d/10Ttp3UoLK1gyh_-fvNm6eg6zVN9HD569/view?usp=drivesdk" TargetMode="External"/><Relationship Id="rId1880" Type="http://schemas.openxmlformats.org/officeDocument/2006/relationships/hyperlink" Target="https://drive.google.com/file/d/1UxX9G5QfLytV0AR2Yfiy4ovkqk1iKEWG/view?usp=drivesdk" TargetMode="External"/><Relationship Id="rId1881" Type="http://schemas.openxmlformats.org/officeDocument/2006/relationships/hyperlink" Target="https://drive.google.com/file/d/19If5PvDM0s48eQEbDm0DWOf30GqJVFbG/view?usp=drivesdk" TargetMode="External"/><Relationship Id="rId1882" Type="http://schemas.openxmlformats.org/officeDocument/2006/relationships/hyperlink" Target="https://drive.google.com/file/d/1U-QU_3r5X0iMAg7ulsyNng68gzADlHqT/view?usp=drivesdk" TargetMode="External"/><Relationship Id="rId1883" Type="http://schemas.openxmlformats.org/officeDocument/2006/relationships/hyperlink" Target="https://drive.google.com/file/d/14ylX-Hr_4cLpCnvj_ddSxCyracbX-Cc0/view?usp=drivesdk" TargetMode="External"/><Relationship Id="rId5417" Type="http://schemas.openxmlformats.org/officeDocument/2006/relationships/hyperlink" Target="https://drive.google.com/file/d/1idgA8IkOyNIFpRlcZuseXLA98rJFXRCd/view?usp=drivesdk" TargetMode="External"/><Relationship Id="rId6748" Type="http://schemas.openxmlformats.org/officeDocument/2006/relationships/hyperlink" Target="https://drive.google.com/file/d/1__C-g5cMJIWnoXL9zabrF9eKpWhhESiY/view?usp=drivesdk" TargetMode="External"/><Relationship Id="rId5418" Type="http://schemas.openxmlformats.org/officeDocument/2006/relationships/hyperlink" Target="https://drive.google.com/file/d/1iax8u3ZYy59eJfJ5IejtMZiX_Ew0QqE1/view?usp=drivesdk" TargetMode="External"/><Relationship Id="rId6749" Type="http://schemas.openxmlformats.org/officeDocument/2006/relationships/hyperlink" Target="https://drive.google.com/file/d/1QlAXrru9FFAQg-LrgHfvjMmBGoL0WHuZ/view?usp=drivesdk" TargetMode="External"/><Relationship Id="rId5415" Type="http://schemas.openxmlformats.org/officeDocument/2006/relationships/hyperlink" Target="https://drive.google.com/file/d/14cPNT-sf5jlvanbVWtY23R4MbNp423Iz/view?usp=drivesdk" TargetMode="External"/><Relationship Id="rId6746" Type="http://schemas.openxmlformats.org/officeDocument/2006/relationships/hyperlink" Target="https://drive.google.com/file/d/1q9CbkiuIzzt7qmzQfExP8QOEHGD1sOKZ/view?usp=drivesdk" TargetMode="External"/><Relationship Id="rId5416" Type="http://schemas.openxmlformats.org/officeDocument/2006/relationships/hyperlink" Target="https://drive.google.com/file/d/1A1RyktZ-8RGmOaIjmwrCDlc-XNbP3YU5/view?usp=drivesdk" TargetMode="External"/><Relationship Id="rId6747" Type="http://schemas.openxmlformats.org/officeDocument/2006/relationships/hyperlink" Target="https://drive.google.com/file/d/1hJxuZtnr5skcuz0uQfmVaZO91FEV3Blb/view?usp=drivesdk" TargetMode="External"/><Relationship Id="rId5419" Type="http://schemas.openxmlformats.org/officeDocument/2006/relationships/hyperlink" Target="https://drive.google.com/file/d/1p4q5iPBO_L3Z5JGSizXQ1XwQWKMNuMWa/view?usp=drivesdk" TargetMode="External"/><Relationship Id="rId228" Type="http://schemas.openxmlformats.org/officeDocument/2006/relationships/hyperlink" Target="https://drive.google.com/file/d/1hUe7z7wKCGbi4scR9H0298DY9pBrVIEj/view?usp=drivesdk" TargetMode="External"/><Relationship Id="rId227" Type="http://schemas.openxmlformats.org/officeDocument/2006/relationships/hyperlink" Target="https://drive.google.com/file/d/1dOQeOrV-eiqkZvNWewY9GeNZU9oHOXWQ/view?usp=drivesdk" TargetMode="External"/><Relationship Id="rId226" Type="http://schemas.openxmlformats.org/officeDocument/2006/relationships/hyperlink" Target="https://drive.google.com/file/d/18XGulaLjl2HXSBNSV3OYrL9Mw5hVA2N8/view?usp=drivesdk" TargetMode="External"/><Relationship Id="rId225" Type="http://schemas.openxmlformats.org/officeDocument/2006/relationships/hyperlink" Target="https://drive.google.com/file/d/1HPGAO2SymiCpcFxSv7xpBbhO6_PU7RxS/view?usp=drivesdk" TargetMode="External"/><Relationship Id="rId229" Type="http://schemas.openxmlformats.org/officeDocument/2006/relationships/hyperlink" Target="https://drive.google.com/file/d/1q5QS2bDdi96ewwWVrQtIvg-mwXcJ5P6G/view?usp=drivesdk" TargetMode="External"/><Relationship Id="rId220" Type="http://schemas.openxmlformats.org/officeDocument/2006/relationships/hyperlink" Target="https://drive.google.com/file/d/1w_E5DgH25jd_6z7b4hc2KNnNR6ZBsuVF/view?usp=drivesdk" TargetMode="External"/><Relationship Id="rId6740" Type="http://schemas.openxmlformats.org/officeDocument/2006/relationships/hyperlink" Target="https://drive.google.com/file/d/1j-gi18uTlngGB1VnFCSOka-LTH8kXEbt/view?usp=drivesdk" TargetMode="External"/><Relationship Id="rId5410" Type="http://schemas.openxmlformats.org/officeDocument/2006/relationships/hyperlink" Target="https://drive.google.com/file/d/1klI-TYJxgXvyY8zTimWdvCDm3raSrGDZ/view?usp=drivesdk" TargetMode="External"/><Relationship Id="rId6741" Type="http://schemas.openxmlformats.org/officeDocument/2006/relationships/hyperlink" Target="https://drive.google.com/file/d/1Z20ZnnbnlQIGbbe3aE9V3el51JMwrMNS/view?usp=drivesdk" TargetMode="External"/><Relationship Id="rId224" Type="http://schemas.openxmlformats.org/officeDocument/2006/relationships/hyperlink" Target="https://drive.google.com/file/d/1g702a0FlXBDMghzT7QcMAGYPx6Y9aGmV/view?usp=drivesdk" TargetMode="External"/><Relationship Id="rId5413" Type="http://schemas.openxmlformats.org/officeDocument/2006/relationships/hyperlink" Target="https://drive.google.com/file/d/1NPffhPvOq5MV5MZlImAMtK9VyX80TR8W/view?usp=drivesdk" TargetMode="External"/><Relationship Id="rId6744" Type="http://schemas.openxmlformats.org/officeDocument/2006/relationships/hyperlink" Target="https://drive.google.com/file/d/1xsVU5R4-K44GJ2x6ZkmWhsa3w9bA9Jz_/view?usp=drivesdk" TargetMode="External"/><Relationship Id="rId223" Type="http://schemas.openxmlformats.org/officeDocument/2006/relationships/hyperlink" Target="https://drive.google.com/file/d/1aJIitc_RboPspFI2qppP_Q9UhI5fLf5P/view?usp=drivesdk" TargetMode="External"/><Relationship Id="rId5414" Type="http://schemas.openxmlformats.org/officeDocument/2006/relationships/hyperlink" Target="https://drive.google.com/file/d/1B2ixySZp2rUYKXdkXwPV80PLJu_cRp_5/view?usp=drivesdk" TargetMode="External"/><Relationship Id="rId6745" Type="http://schemas.openxmlformats.org/officeDocument/2006/relationships/hyperlink" Target="https://drive.google.com/file/d/1GeNbIraxDeZYjeUN1J0ehv5H7Ffy7KSD/view?usp=drivesdk" TargetMode="External"/><Relationship Id="rId222" Type="http://schemas.openxmlformats.org/officeDocument/2006/relationships/hyperlink" Target="https://drive.google.com/file/d/1tJel-MlJOXT-d45Vyen7-WJv5M_-HWeH/view?usp=drivesdk" TargetMode="External"/><Relationship Id="rId5411" Type="http://schemas.openxmlformats.org/officeDocument/2006/relationships/hyperlink" Target="https://drive.google.com/file/d/1vf862wPDeruaAv3AqDe0lHmQrGDP8PCJ/view?usp=drivesdk" TargetMode="External"/><Relationship Id="rId6742" Type="http://schemas.openxmlformats.org/officeDocument/2006/relationships/hyperlink" Target="https://drive.google.com/file/d/12nWN-YN78qWndtA8Tobowk47PLRIS0DN/view?usp=drivesdk" TargetMode="External"/><Relationship Id="rId221" Type="http://schemas.openxmlformats.org/officeDocument/2006/relationships/hyperlink" Target="https://drive.google.com/file/d/15e24Y3PyLLW2PT3RuMH9eG9bk74Dv7xg/view?usp=drivesdk" TargetMode="External"/><Relationship Id="rId5412" Type="http://schemas.openxmlformats.org/officeDocument/2006/relationships/hyperlink" Target="https://drive.google.com/file/d/1X2GxETWk8yYwK64UbKfs_gF3jtWkxIbW/view?usp=drivesdk" TargetMode="External"/><Relationship Id="rId6743" Type="http://schemas.openxmlformats.org/officeDocument/2006/relationships/hyperlink" Target="https://drive.google.com/file/d/1RYt_hN24BfhwITl2OaKFexbzpR2vzagz/view?usp=drivesdk" TargetMode="External"/><Relationship Id="rId5406" Type="http://schemas.openxmlformats.org/officeDocument/2006/relationships/hyperlink" Target="https://drive.google.com/file/d/1J8srCv0CEJ_Gk4zPZRuOV58AanGS0CLM/view?usp=drivesdk" TargetMode="External"/><Relationship Id="rId6737" Type="http://schemas.openxmlformats.org/officeDocument/2006/relationships/hyperlink" Target="https://drive.google.com/file/d/1CDLMdlsE8ZEMdI-OCxIr_6kDnXhkC6sC/view?usp=drivesdk" TargetMode="External"/><Relationship Id="rId5407" Type="http://schemas.openxmlformats.org/officeDocument/2006/relationships/hyperlink" Target="https://drive.google.com/file/d/193itgal4--4mo42qdQLov0naTvkgr4ul/view?usp=drivesdk" TargetMode="External"/><Relationship Id="rId6738" Type="http://schemas.openxmlformats.org/officeDocument/2006/relationships/hyperlink" Target="https://drive.google.com/file/d/19P_TolMySHWMbluegJ07B1U5ONwS25QY/view?usp=drivesdk" TargetMode="External"/><Relationship Id="rId5404" Type="http://schemas.openxmlformats.org/officeDocument/2006/relationships/hyperlink" Target="https://drive.google.com/file/d/1k3LLHQMrWqGozvRJdKm3z_NkX1X3ad3k/view?usp=drivesdk" TargetMode="External"/><Relationship Id="rId6735" Type="http://schemas.openxmlformats.org/officeDocument/2006/relationships/hyperlink" Target="https://drive.google.com/file/d/1FyUFvRRkb36NCGGc3oe_vMfEceHLHBT_/view?usp=drivesdk" TargetMode="External"/><Relationship Id="rId5405" Type="http://schemas.openxmlformats.org/officeDocument/2006/relationships/hyperlink" Target="https://drive.google.com/file/d/1Kr4WkjeWp4XGs57oXWXPYeWDpHTywVN9/view?usp=drivesdk" TargetMode="External"/><Relationship Id="rId6736" Type="http://schemas.openxmlformats.org/officeDocument/2006/relationships/hyperlink" Target="https://drive.google.com/file/d/1SuRsDqC9Qy0r4kbg6qGW-4z80O-7NWPD/view?usp=drivesdk" TargetMode="External"/><Relationship Id="rId5408" Type="http://schemas.openxmlformats.org/officeDocument/2006/relationships/hyperlink" Target="https://drive.google.com/file/d/1Fa--CzEWs-nhG9EeaTgzHuRMQ_uiyXy5/view?usp=drivesdk" TargetMode="External"/><Relationship Id="rId6739" Type="http://schemas.openxmlformats.org/officeDocument/2006/relationships/hyperlink" Target="https://drive.google.com/file/d/1RU0qfNTO0-xKI-Jn-9Orp8iEBwhusDeN/view?usp=drivesdk" TargetMode="External"/><Relationship Id="rId5409" Type="http://schemas.openxmlformats.org/officeDocument/2006/relationships/hyperlink" Target="https://drive.google.com/file/d/1LK91sqjjvneoAWQBkqahaymLfjCw7-Li/view?usp=drivesdk" TargetMode="External"/><Relationship Id="rId217" Type="http://schemas.openxmlformats.org/officeDocument/2006/relationships/hyperlink" Target="https://drive.google.com/file/d/1pZ5A71MKxug_hQXGYt5s5lH561N5PtOC/view?usp=drivesdk" TargetMode="External"/><Relationship Id="rId216" Type="http://schemas.openxmlformats.org/officeDocument/2006/relationships/hyperlink" Target="https://drive.google.com/file/d/1vNc9wUL8sZhk834vPV5xBD52dRffCuKA/view?usp=drivesdk" TargetMode="External"/><Relationship Id="rId215" Type="http://schemas.openxmlformats.org/officeDocument/2006/relationships/hyperlink" Target="https://drive.google.com/file/d/1QFm0CnLrx1naep3hZDLEnjAteq_7mFON/view?usp=drivesdk" TargetMode="External"/><Relationship Id="rId214" Type="http://schemas.openxmlformats.org/officeDocument/2006/relationships/hyperlink" Target="https://drive.google.com/file/d/1ItRaxXxJtnQrN9xfklBvqwOWq_cgsdOh/view?usp=drivesdk" TargetMode="External"/><Relationship Id="rId219" Type="http://schemas.openxmlformats.org/officeDocument/2006/relationships/hyperlink" Target="https://drive.google.com/file/d/1m6lVyXRFJZIBB49oNx-5-16uECo2aU-0/view?usp=drivesdk" TargetMode="External"/><Relationship Id="rId218" Type="http://schemas.openxmlformats.org/officeDocument/2006/relationships/hyperlink" Target="https://drive.google.com/file/d/1EJfKk4sX4PCmVGV_ZdlQ0SvgQh_70t09/view?usp=drivesdk" TargetMode="External"/><Relationship Id="rId6730" Type="http://schemas.openxmlformats.org/officeDocument/2006/relationships/hyperlink" Target="https://drive.google.com/file/d/1fMjHqWANKMLaV8TZR21Cxx6GIUEGFhF6/view?usp=drivesdk" TargetMode="External"/><Relationship Id="rId213" Type="http://schemas.openxmlformats.org/officeDocument/2006/relationships/hyperlink" Target="https://drive.google.com/file/d/1jtIryyOz_x-6y9E6nvMSP7gOJ8p1A0VN/view?usp=drivesdk" TargetMode="External"/><Relationship Id="rId5402" Type="http://schemas.openxmlformats.org/officeDocument/2006/relationships/hyperlink" Target="https://drive.google.com/file/d/1kyjq8G3XFe2UE7-VEV57EpawvslFj2CD/view?usp=drivesdk" TargetMode="External"/><Relationship Id="rId6733" Type="http://schemas.openxmlformats.org/officeDocument/2006/relationships/hyperlink" Target="https://drive.google.com/file/d/1Zcu3ZZW2yDaxK7Q_1tJlOfxRztqHetX3/view?usp=drivesdk" TargetMode="External"/><Relationship Id="rId212" Type="http://schemas.openxmlformats.org/officeDocument/2006/relationships/hyperlink" Target="https://drive.google.com/file/d/19fKSgjDQuShwp1KseAOtvuy50QCwI23T/view?usp=drivesdk" TargetMode="External"/><Relationship Id="rId5403" Type="http://schemas.openxmlformats.org/officeDocument/2006/relationships/hyperlink" Target="https://drive.google.com/file/d/1GxHJDKS2hBepqz-IibJzD14_iTDhSJ6p/view?usp=drivesdk" TargetMode="External"/><Relationship Id="rId6734" Type="http://schemas.openxmlformats.org/officeDocument/2006/relationships/hyperlink" Target="https://drive.google.com/file/d/13ybuUyPQSOFFHmQIjYec3Us9GbQWHnb9/view?usp=drivesdk" TargetMode="External"/><Relationship Id="rId211" Type="http://schemas.openxmlformats.org/officeDocument/2006/relationships/hyperlink" Target="https://drive.google.com/file/d/1s3YjRjzngDIZSSMPyafrkFcs0bxzpWso/view?usp=drivesdk" TargetMode="External"/><Relationship Id="rId5400" Type="http://schemas.openxmlformats.org/officeDocument/2006/relationships/hyperlink" Target="https://drive.google.com/file/d/1bbixTdgoTMRZgrCN8KVz_duTBtSUrggB/view?usp=drivesdk" TargetMode="External"/><Relationship Id="rId6731" Type="http://schemas.openxmlformats.org/officeDocument/2006/relationships/hyperlink" Target="https://drive.google.com/file/d/1An4m13cuIVdbQLvi95jU4drGhXW5ewAR/view?usp=drivesdk" TargetMode="External"/><Relationship Id="rId210" Type="http://schemas.openxmlformats.org/officeDocument/2006/relationships/hyperlink" Target="https://drive.google.com/file/d/1G0o_q6XJn9yl8Od60OCz6y-luc5J5Uxf/view?usp=drivesdk" TargetMode="External"/><Relationship Id="rId5401" Type="http://schemas.openxmlformats.org/officeDocument/2006/relationships/hyperlink" Target="https://drive.google.com/file/d/1k7MJfrrfF3E7_byEajq9Um3JbjUutY1h/view?usp=drivesdk" TargetMode="External"/><Relationship Id="rId6732" Type="http://schemas.openxmlformats.org/officeDocument/2006/relationships/hyperlink" Target="https://drive.google.com/file/d/1LO83RKW5s4c_EuSnJAREzgeIPvIwYw8I/view?usp=drivesdk" TargetMode="External"/><Relationship Id="rId4107" Type="http://schemas.openxmlformats.org/officeDocument/2006/relationships/hyperlink" Target="https://drive.google.com/file/d/1W-M2jVUjwVCU5aZhNhkR0buOAQY-PTA7/view?usp=drivesdk" TargetMode="External"/><Relationship Id="rId5439" Type="http://schemas.openxmlformats.org/officeDocument/2006/relationships/hyperlink" Target="https://drive.google.com/file/d/1M6Ii5PXHua7TuSmFzLx5BORZ78t95mEy/view?usp=drivesdk" TargetMode="External"/><Relationship Id="rId4106" Type="http://schemas.openxmlformats.org/officeDocument/2006/relationships/hyperlink" Target="https://drive.google.com/file/d/1lHLTD_XFDff8Clek98fVXomF7oDz3RQj/view?usp=drivesdk" TargetMode="External"/><Relationship Id="rId4109" Type="http://schemas.openxmlformats.org/officeDocument/2006/relationships/hyperlink" Target="https://drive.google.com/file/d/1-Q74RBA2Z0fJiPzMuB9qp1VwxaTCCFoI/view?usp=drivesdk" TargetMode="External"/><Relationship Id="rId5437" Type="http://schemas.openxmlformats.org/officeDocument/2006/relationships/hyperlink" Target="https://drive.google.com/file/d/13WedUIv4DNkhwfumpr59a6_EcohTkTr9/view?usp=drivesdk" TargetMode="External"/><Relationship Id="rId6768" Type="http://schemas.openxmlformats.org/officeDocument/2006/relationships/hyperlink" Target="https://drive.google.com/file/d/1k06CnzFsTPC86S3Bu3UKufGfd4jOoekw/view?usp=drivesdk" TargetMode="External"/><Relationship Id="rId4108" Type="http://schemas.openxmlformats.org/officeDocument/2006/relationships/hyperlink" Target="https://drive.google.com/file/d/1N38gyJC1rmXxey6EdsWk-w7Cf5vjIaW9/view?usp=drivesdk" TargetMode="External"/><Relationship Id="rId5438" Type="http://schemas.openxmlformats.org/officeDocument/2006/relationships/hyperlink" Target="https://drive.google.com/file/d/156VPWC6TqUhYHPFDztiftGwWrfxpHGxk/view?usp=drivesdk" TargetMode="External"/><Relationship Id="rId6769" Type="http://schemas.openxmlformats.org/officeDocument/2006/relationships/hyperlink" Target="https://drive.google.com/file/d/1D9sMD-8-qAWU1GTK7VoUVv-ZKe8Bl35l/view?usp=drivesdk" TargetMode="External"/><Relationship Id="rId249" Type="http://schemas.openxmlformats.org/officeDocument/2006/relationships/hyperlink" Target="https://drive.google.com/file/d/1IKu-6nvMEJPJMkKwUNt7zo2QEllDmRtt/view?usp=drivesdk" TargetMode="External"/><Relationship Id="rId248" Type="http://schemas.openxmlformats.org/officeDocument/2006/relationships/hyperlink" Target="https://drive.google.com/file/d/1dUsCenhWrf5T8KBaF5XvJOcJ9uAuC7M8/view?usp=drivesdk" TargetMode="External"/><Relationship Id="rId247" Type="http://schemas.openxmlformats.org/officeDocument/2006/relationships/hyperlink" Target="https://drive.google.com/file/d/1GfszsXJOtjLeiMbBA2mYwOBOIi7WKn6n/view?usp=drivesdk" TargetMode="External"/><Relationship Id="rId242" Type="http://schemas.openxmlformats.org/officeDocument/2006/relationships/hyperlink" Target="https://drive.google.com/file/d/1PHxmbEU2GU65ku6PPh7Fl9waNT30MV4o/view?usp=drivesdk" TargetMode="External"/><Relationship Id="rId5431" Type="http://schemas.openxmlformats.org/officeDocument/2006/relationships/hyperlink" Target="https://drive.google.com/file/d/1L1JYaNBWBpXKSSjbxFtjP609hWt89jlT/view?usp=drivesdk" TargetMode="External"/><Relationship Id="rId6762" Type="http://schemas.openxmlformats.org/officeDocument/2006/relationships/hyperlink" Target="https://drive.google.com/file/d/1zxLsy1CTY6bEkBnUsOJCjkZYv-BGmGEr/view?usp=drivesdk" TargetMode="External"/><Relationship Id="rId241" Type="http://schemas.openxmlformats.org/officeDocument/2006/relationships/hyperlink" Target="https://drive.google.com/file/d/1VxWNQtT3pJ1Ou6bd81wuxmEFPAYs_7VC/view?usp=drivesdk" TargetMode="External"/><Relationship Id="rId5432" Type="http://schemas.openxmlformats.org/officeDocument/2006/relationships/hyperlink" Target="https://drive.google.com/file/d/1AHgj-yKghoaNiqbbuJkx9A8jPoxFII4m/view?usp=drivesdk" TargetMode="External"/><Relationship Id="rId6763" Type="http://schemas.openxmlformats.org/officeDocument/2006/relationships/hyperlink" Target="https://drive.google.com/file/d/1fqSvnskGlkj_1_EHEH6GA8jj5ww4Q9d1/view?usp=drivesdk" TargetMode="External"/><Relationship Id="rId240" Type="http://schemas.openxmlformats.org/officeDocument/2006/relationships/hyperlink" Target="https://drive.google.com/file/d/11gcWMwInfrqw8_fTUEVohMOSQAKbJXDG/view?usp=drivesdk" TargetMode="External"/><Relationship Id="rId4101" Type="http://schemas.openxmlformats.org/officeDocument/2006/relationships/hyperlink" Target="https://drive.google.com/file/d/1_5RpMxV3at4BGwvwPhJUfVLl5AL1bCGv/view?usp=drivesdk" TargetMode="External"/><Relationship Id="rId6760" Type="http://schemas.openxmlformats.org/officeDocument/2006/relationships/hyperlink" Target="https://drive.google.com/file/d/1Qzt3rDkIkRXZZIHj-Aca1kYNhDACFx_w/view?usp=drivesdk" TargetMode="External"/><Relationship Id="rId4100" Type="http://schemas.openxmlformats.org/officeDocument/2006/relationships/hyperlink" Target="https://drive.google.com/file/d/1AcJfaXiT-UdIHfBibIyTyxOIKSk-cUGc/view?usp=drivesdk" TargetMode="External"/><Relationship Id="rId5430" Type="http://schemas.openxmlformats.org/officeDocument/2006/relationships/hyperlink" Target="https://drive.google.com/file/d/19bbGBG0i9SScnrDL_32I63teUChzdrPp/view?usp=drivesdk" TargetMode="External"/><Relationship Id="rId6761" Type="http://schemas.openxmlformats.org/officeDocument/2006/relationships/hyperlink" Target="https://drive.google.com/file/d/1idC33nUVzr_KpFTGdJC3pRerDInzvgzf/view?usp=drivesdk" TargetMode="External"/><Relationship Id="rId246" Type="http://schemas.openxmlformats.org/officeDocument/2006/relationships/hyperlink" Target="https://drive.google.com/file/d/121vl9HjHYLKh1mDjhAuY3vSkVRZYSbLr/view?usp=drivesdk" TargetMode="External"/><Relationship Id="rId4103" Type="http://schemas.openxmlformats.org/officeDocument/2006/relationships/hyperlink" Target="https://drive.google.com/file/d/1bY5LCH6Tfb9Kr-z4dr72NBhNW59eu5cu/view?usp=drivesdk" TargetMode="External"/><Relationship Id="rId5435" Type="http://schemas.openxmlformats.org/officeDocument/2006/relationships/hyperlink" Target="https://drive.google.com/file/d/16A8BDqLp9IZuofm4EoM_4iCSnuxhVa4c/view?usp=drivesdk" TargetMode="External"/><Relationship Id="rId6766" Type="http://schemas.openxmlformats.org/officeDocument/2006/relationships/hyperlink" Target="https://drive.google.com/file/d/1t0vOabnoQdWolBXgW8MUYSTc1FAfS74x/view?usp=drivesdk" TargetMode="External"/><Relationship Id="rId245" Type="http://schemas.openxmlformats.org/officeDocument/2006/relationships/hyperlink" Target="https://drive.google.com/file/d/1ZVaKXCSuFeol_0eI7guBBEG6gmbv-_eM/view?usp=drivesdk" TargetMode="External"/><Relationship Id="rId4102" Type="http://schemas.openxmlformats.org/officeDocument/2006/relationships/hyperlink" Target="https://drive.google.com/file/d/1fQJDxkkb-Y1RJZbJ_iLFPKthtnV4K_Nm/view?usp=drivesdk" TargetMode="External"/><Relationship Id="rId5436" Type="http://schemas.openxmlformats.org/officeDocument/2006/relationships/hyperlink" Target="https://drive.google.com/file/d/19QGwcIZqY-y6oBVASV0aER8iK3wqkAKJ/view?usp=drivesdk" TargetMode="External"/><Relationship Id="rId6767" Type="http://schemas.openxmlformats.org/officeDocument/2006/relationships/hyperlink" Target="https://drive.google.com/file/d/1EoyPbF0nDR-G36Ziye9adI99uzORwB8w/view?usp=drivesdk" TargetMode="External"/><Relationship Id="rId244" Type="http://schemas.openxmlformats.org/officeDocument/2006/relationships/hyperlink" Target="https://drive.google.com/file/d/1qrRcIqLMtu0zHEuF5XtrjqqgKLI_4oIi/view?usp=drivesdk" TargetMode="External"/><Relationship Id="rId4105" Type="http://schemas.openxmlformats.org/officeDocument/2006/relationships/hyperlink" Target="https://drive.google.com/file/d/1O4BVMLdtGTEY8iMxLcXWYaprPXnc9RSx/view?usp=drivesdk" TargetMode="External"/><Relationship Id="rId5433" Type="http://schemas.openxmlformats.org/officeDocument/2006/relationships/hyperlink" Target="https://drive.google.com/file/d/1jHhllbhNxLTjTGBJ2eu9fI831vBLtIHL/view?usp=drivesdk" TargetMode="External"/><Relationship Id="rId6764" Type="http://schemas.openxmlformats.org/officeDocument/2006/relationships/hyperlink" Target="https://drive.google.com/file/d/1E9zRwUbBlTwRQSACdb72CAX8olxfUXCI/view?usp=drivesdk" TargetMode="External"/><Relationship Id="rId243" Type="http://schemas.openxmlformats.org/officeDocument/2006/relationships/hyperlink" Target="https://drive.google.com/file/d/1_HZLjpxArTicTk83uKw5XuTevtCoAUB0/view?usp=drivesdk" TargetMode="External"/><Relationship Id="rId4104" Type="http://schemas.openxmlformats.org/officeDocument/2006/relationships/hyperlink" Target="https://drive.google.com/file/d/15A6t-wcZO2hpOcQ88RCvOq91As3zuBde/view?usp=drivesdk" TargetMode="External"/><Relationship Id="rId5434" Type="http://schemas.openxmlformats.org/officeDocument/2006/relationships/hyperlink" Target="https://drive.google.com/file/d/14o85JuJQs71aavil2x9wTVU4mmvAbDi2/view?usp=drivesdk" TargetMode="External"/><Relationship Id="rId6765" Type="http://schemas.openxmlformats.org/officeDocument/2006/relationships/hyperlink" Target="https://drive.google.com/file/d/1FHmfXurU6RQKBuNohFQqgU-DIzSdYnBK/view?usp=drivesdk" TargetMode="External"/><Relationship Id="rId5428" Type="http://schemas.openxmlformats.org/officeDocument/2006/relationships/hyperlink" Target="https://drive.google.com/file/d/16hVYi-PhGjwJA5kAjzuJumWiAxtAfaSE/view?usp=drivesdk" TargetMode="External"/><Relationship Id="rId6759" Type="http://schemas.openxmlformats.org/officeDocument/2006/relationships/hyperlink" Target="https://drive.google.com/file/d/1vLBm9iGQO6_Yhrp3cyZcUlO5kI0fQPww/view?usp=drivesdk" TargetMode="External"/><Relationship Id="rId5429" Type="http://schemas.openxmlformats.org/officeDocument/2006/relationships/hyperlink" Target="https://drive.google.com/file/d/1utNwYEe8VwXP_ZUSoSpCaa-2YspQPvaj/view?usp=drivesdk" TargetMode="External"/><Relationship Id="rId5426" Type="http://schemas.openxmlformats.org/officeDocument/2006/relationships/hyperlink" Target="https://drive.google.com/file/d/134PdlAdhBrDC7p0RWanvFXDABsCD_-R1/view?usp=drivesdk" TargetMode="External"/><Relationship Id="rId6757" Type="http://schemas.openxmlformats.org/officeDocument/2006/relationships/hyperlink" Target="https://drive.google.com/file/d/1qX89RF12UGL0sUeZfux0nUmEjbx7LGOE/view?usp=drivesdk" TargetMode="External"/><Relationship Id="rId5427" Type="http://schemas.openxmlformats.org/officeDocument/2006/relationships/hyperlink" Target="https://drive.google.com/file/d/10RT97jPQqLJswwv0GLBcBnJ9HGh0tF5j/view?usp=drivesdk" TargetMode="External"/><Relationship Id="rId6758" Type="http://schemas.openxmlformats.org/officeDocument/2006/relationships/hyperlink" Target="https://drive.google.com/file/d/190xyOuOlcrwYGwOiE612Z7FPqBOCHY6O/view?usp=drivesdk" TargetMode="External"/><Relationship Id="rId239" Type="http://schemas.openxmlformats.org/officeDocument/2006/relationships/hyperlink" Target="https://drive.google.com/file/d/1ERTQhFopRAIm1tG5n0PUUsBBKwzAK3jU/view?usp=drivesdk" TargetMode="External"/><Relationship Id="rId238" Type="http://schemas.openxmlformats.org/officeDocument/2006/relationships/hyperlink" Target="https://drive.google.com/file/d/1N_iENXoP9B6tnrSfiJ29nf46lkIDTRua/view?usp=drivesdk" TargetMode="External"/><Relationship Id="rId237" Type="http://schemas.openxmlformats.org/officeDocument/2006/relationships/hyperlink" Target="https://drive.google.com/file/d/1yEZ6yarEqcYTL9H7hxxAt2_RLMJ0uk1-/view?usp=drivesdk" TargetMode="External"/><Relationship Id="rId236" Type="http://schemas.openxmlformats.org/officeDocument/2006/relationships/hyperlink" Target="https://drive.google.com/file/d/1vwXnbsDqVjXTgKUxrDRH3R10Jl9Q8ERX/view?usp=drivesdk" TargetMode="External"/><Relationship Id="rId231" Type="http://schemas.openxmlformats.org/officeDocument/2006/relationships/hyperlink" Target="https://drive.google.com/file/d/1G5IeUZP855A23-syWW4yukDEZYXGxL2b/view?usp=drivesdk" TargetMode="External"/><Relationship Id="rId5420" Type="http://schemas.openxmlformats.org/officeDocument/2006/relationships/hyperlink" Target="https://drive.google.com/file/d/1EnptCADZl1VEHBPTX0Rr-PVNvxWQI7QB/view?usp=drivesdk" TargetMode="External"/><Relationship Id="rId6751" Type="http://schemas.openxmlformats.org/officeDocument/2006/relationships/hyperlink" Target="https://drive.google.com/file/d/1krSVwjhYscql2Vr4n3dWuEWcbPW5jpOR/view?usp=drivesdk" TargetMode="External"/><Relationship Id="rId230" Type="http://schemas.openxmlformats.org/officeDocument/2006/relationships/hyperlink" Target="https://drive.google.com/file/d/1p7c8cXbD12fa9kXAQwC1N2WE7N-Tsvis/view?usp=drivesdk" TargetMode="External"/><Relationship Id="rId5421" Type="http://schemas.openxmlformats.org/officeDocument/2006/relationships/hyperlink" Target="https://drive.google.com/file/d/1MvkV1ddiXtXOjWdeooN9vYqo0RC1JjeP/view?usp=drivesdk" TargetMode="External"/><Relationship Id="rId6752" Type="http://schemas.openxmlformats.org/officeDocument/2006/relationships/hyperlink" Target="https://drive.google.com/file/d/1gZmUE-0ZbAKSJ_50_lykQt3C4bgoGiTk/view?usp=drivesdk" TargetMode="External"/><Relationship Id="rId6750" Type="http://schemas.openxmlformats.org/officeDocument/2006/relationships/hyperlink" Target="https://drive.google.com/file/d/1dKiBgHeSfAH18ajbQ-_xmMUyAiWXKFx3/view?usp=drivesdk" TargetMode="External"/><Relationship Id="rId235" Type="http://schemas.openxmlformats.org/officeDocument/2006/relationships/hyperlink" Target="https://drive.google.com/file/d/1T_uLHrq_W7vmBaXkxGrJxm996rlet0I_/view?usp=drivesdk" TargetMode="External"/><Relationship Id="rId5424" Type="http://schemas.openxmlformats.org/officeDocument/2006/relationships/hyperlink" Target="https://drive.google.com/file/d/1SBfiPL_Djq55xRLfwlgcNE6sa1SIRyOf/view?usp=drivesdk" TargetMode="External"/><Relationship Id="rId6755" Type="http://schemas.openxmlformats.org/officeDocument/2006/relationships/hyperlink" Target="https://drive.google.com/file/d/15b67J9CJaPqJ_ko16jIA8qsabkA-Ua99/view?usp=drivesdk" TargetMode="External"/><Relationship Id="rId234" Type="http://schemas.openxmlformats.org/officeDocument/2006/relationships/hyperlink" Target="https://drive.google.com/file/d/10Jz6zyYsPCXg7jljGOUaf11zlpzBbpZB/view?usp=drivesdk" TargetMode="External"/><Relationship Id="rId5425" Type="http://schemas.openxmlformats.org/officeDocument/2006/relationships/hyperlink" Target="https://drive.google.com/file/d/1PFbF44HHEaaQkFyxoX_bIgwkE8LDqD3B/view?usp=drivesdk" TargetMode="External"/><Relationship Id="rId6756" Type="http://schemas.openxmlformats.org/officeDocument/2006/relationships/hyperlink" Target="https://drive.google.com/file/d/1TIduPUaZV6rVet3l44jWGGaslqHiEw_K/view?usp=drivesdk" TargetMode="External"/><Relationship Id="rId233" Type="http://schemas.openxmlformats.org/officeDocument/2006/relationships/hyperlink" Target="https://drive.google.com/file/d/1tXx-ZZkUJSaf-FXq6IJXH0hL_LztRBZn/view?usp=drivesdk" TargetMode="External"/><Relationship Id="rId5422" Type="http://schemas.openxmlformats.org/officeDocument/2006/relationships/hyperlink" Target="https://drive.google.com/file/d/1IaTqa9CmfZK55bGoFGNPoKQopo82Pj7l/view?usp=drivesdk" TargetMode="External"/><Relationship Id="rId6753" Type="http://schemas.openxmlformats.org/officeDocument/2006/relationships/hyperlink" Target="https://drive.google.com/file/d/1RG-6FCnFUINLS2KO16lk_x9Qu__8vvjz/view?usp=drivesdk" TargetMode="External"/><Relationship Id="rId232" Type="http://schemas.openxmlformats.org/officeDocument/2006/relationships/hyperlink" Target="https://drive.google.com/file/d/1xfSUj85SlqZ0tDVKNgAzL_i_zFMSriM0/view?usp=drivesdk" TargetMode="External"/><Relationship Id="rId5423" Type="http://schemas.openxmlformats.org/officeDocument/2006/relationships/hyperlink" Target="https://drive.google.com/file/d/1ekmSHzlTAWhYqT6vFzkQHybQ_OoKg1uU/view?usp=drivesdk" TargetMode="External"/><Relationship Id="rId6754" Type="http://schemas.openxmlformats.org/officeDocument/2006/relationships/hyperlink" Target="https://drive.google.com/file/d/16Wtyp73_9pAc0Rzxj2yRjQiXvC0BHjif/view?usp=drivesdk" TargetMode="External"/><Relationship Id="rId6704" Type="http://schemas.openxmlformats.org/officeDocument/2006/relationships/hyperlink" Target="https://drive.google.com/file/d/1mb9Wa-LuGmfxjNxtKVDv6Gb2eejaJmLR/view?usp=drivesdk" TargetMode="External"/><Relationship Id="rId6705" Type="http://schemas.openxmlformats.org/officeDocument/2006/relationships/hyperlink" Target="https://drive.google.com/file/d/1xCpmF_3cyt4enmLn5IO6FvZXhRCkesNB/view?usp=drivesdk" TargetMode="External"/><Relationship Id="rId6702" Type="http://schemas.openxmlformats.org/officeDocument/2006/relationships/hyperlink" Target="https://drive.google.com/file/d/1uMVY3wMY0lvfIOll8Ruii-hSgNK7eHs1/view?usp=drivesdk" TargetMode="External"/><Relationship Id="rId6703" Type="http://schemas.openxmlformats.org/officeDocument/2006/relationships/hyperlink" Target="https://drive.google.com/file/d/1MMWPmubGfA7G6XuOuMerQtyXc2WF5Xje/view?usp=drivesdk" TargetMode="External"/><Relationship Id="rId6708" Type="http://schemas.openxmlformats.org/officeDocument/2006/relationships/hyperlink" Target="https://drive.google.com/file/d/1-B6A9Usf7gtCgA_d-Lr22ossNgn4Er7J/view?usp=drivesdk" TargetMode="External"/><Relationship Id="rId6709" Type="http://schemas.openxmlformats.org/officeDocument/2006/relationships/hyperlink" Target="https://drive.google.com/file/d/1_JKusPf6jzuSCcYkY_IzrzaB0qn86lJ1/view?usp=drivesdk" TargetMode="External"/><Relationship Id="rId6706" Type="http://schemas.openxmlformats.org/officeDocument/2006/relationships/hyperlink" Target="https://drive.google.com/file/d/1Zm_1C1rsnIeudQ4keeu3oH-ZrZcPNZt-/view?usp=drivesdk" TargetMode="External"/><Relationship Id="rId6707" Type="http://schemas.openxmlformats.org/officeDocument/2006/relationships/hyperlink" Target="https://drive.google.com/file/d/1PfS2OxFKhHlLYsKA3flcNWEY6JXA-1XG/view?usp=drivesdk" TargetMode="External"/><Relationship Id="rId6700" Type="http://schemas.openxmlformats.org/officeDocument/2006/relationships/hyperlink" Target="https://drive.google.com/file/d/1kP2w923i9pZhH1EWO4H22KmSReLtAsmV/view?usp=drivesdk" TargetMode="External"/><Relationship Id="rId6701" Type="http://schemas.openxmlformats.org/officeDocument/2006/relationships/hyperlink" Target="https://drive.google.com/file/d/1Nie0zyKkzAZ8n5Q83TI2ANeCr9tBDWj5/view?usp=drivesdk" TargetMode="External"/><Relationship Id="rId6726" Type="http://schemas.openxmlformats.org/officeDocument/2006/relationships/hyperlink" Target="https://drive.google.com/file/d/1HeMNzzB-xZMrGrWKeGIcXtR7dAW0TzV8/view?usp=drivesdk" TargetMode="External"/><Relationship Id="rId6727" Type="http://schemas.openxmlformats.org/officeDocument/2006/relationships/hyperlink" Target="https://drive.google.com/file/d/1aLTfp9n_KEL0kLz7ZgtvE1eOmoYDf_y-/view?usp=drivesdk" TargetMode="External"/><Relationship Id="rId6724" Type="http://schemas.openxmlformats.org/officeDocument/2006/relationships/hyperlink" Target="https://drive.google.com/file/d/1QsOZjV-zO2MdDiP6J8em6jFRyKUHQQlu/view?usp=drivesdk" TargetMode="External"/><Relationship Id="rId6725" Type="http://schemas.openxmlformats.org/officeDocument/2006/relationships/hyperlink" Target="https://drive.google.com/file/d/1CtixdiWAn2rigWDW7wkCnrJsD6ZjLmKW/view?usp=drivesdk" TargetMode="External"/><Relationship Id="rId6728" Type="http://schemas.openxmlformats.org/officeDocument/2006/relationships/hyperlink" Target="https://drive.google.com/file/d/10ngyr44P59ZOP6L93pMi1kmJq8I-19hI/view?usp=drivesdk" TargetMode="External"/><Relationship Id="rId6729" Type="http://schemas.openxmlformats.org/officeDocument/2006/relationships/hyperlink" Target="https://drive.google.com/file/d/1PNgmeNSQDTSvXrJod2KCRZNVpbGeK0Jc/view?usp=drivesdk" TargetMode="External"/><Relationship Id="rId206" Type="http://schemas.openxmlformats.org/officeDocument/2006/relationships/hyperlink" Target="https://drive.google.com/file/d/1LjMLgM4iHIDNQeuKXBgsfpNoqrqf8zyj/view?usp=drivesdk" TargetMode="External"/><Relationship Id="rId205" Type="http://schemas.openxmlformats.org/officeDocument/2006/relationships/hyperlink" Target="https://drive.google.com/file/d/1NboNljmVEmlxnB3CLc_PgLVHXvC7Sxoy/view?usp=drivesdk" TargetMode="External"/><Relationship Id="rId204" Type="http://schemas.openxmlformats.org/officeDocument/2006/relationships/hyperlink" Target="https://drive.google.com/file/d/1OynTcZgFGOk9uutAsQAtTvSPyNJWQkV9/view?usp=drivesdk" TargetMode="External"/><Relationship Id="rId203" Type="http://schemas.openxmlformats.org/officeDocument/2006/relationships/hyperlink" Target="https://drive.google.com/file/d/17DAq2OS5_6wUSetsjxlXxh3dD9d8FNsE/view?usp=drivesdk" TargetMode="External"/><Relationship Id="rId209" Type="http://schemas.openxmlformats.org/officeDocument/2006/relationships/hyperlink" Target="https://drive.google.com/file/d/1mtm2HLXNFBMSY1bJkUTF1GjELilhf1co/view?usp=drivesdk" TargetMode="External"/><Relationship Id="rId208" Type="http://schemas.openxmlformats.org/officeDocument/2006/relationships/hyperlink" Target="https://drive.google.com/file/d/1-Gw6o2ROBOHhmgHvfmX0A-rjN_owES4C/view?usp=drivesdk" TargetMode="External"/><Relationship Id="rId207" Type="http://schemas.openxmlformats.org/officeDocument/2006/relationships/hyperlink" Target="https://drive.google.com/file/d/14RmcZML1yfQo61xTQ0A2YJYnXDalbL_1/view?usp=drivesdk" TargetMode="External"/><Relationship Id="rId202" Type="http://schemas.openxmlformats.org/officeDocument/2006/relationships/hyperlink" Target="https://drive.google.com/file/d/1MbVEkrvl-JtUmw-HJgoZKLmeRMO2m0hY/view?usp=drivesdk" TargetMode="External"/><Relationship Id="rId6722" Type="http://schemas.openxmlformats.org/officeDocument/2006/relationships/hyperlink" Target="https://drive.google.com/file/d/1w-m6-DXS2lwS1DUelahs8NEtE5TQx8_6/view?usp=drivesdk" TargetMode="External"/><Relationship Id="rId201" Type="http://schemas.openxmlformats.org/officeDocument/2006/relationships/hyperlink" Target="https://drive.google.com/file/d/1XMEjHAeDpDyEh-p73ran-1ZDx4DWTIQ4/view?usp=drivesdk" TargetMode="External"/><Relationship Id="rId6723" Type="http://schemas.openxmlformats.org/officeDocument/2006/relationships/hyperlink" Target="https://drive.google.com/file/d/141y46Yxui2HEl1NV-rZ1tnXSSip38UwP/view?usp=drivesdk" TargetMode="External"/><Relationship Id="rId200" Type="http://schemas.openxmlformats.org/officeDocument/2006/relationships/hyperlink" Target="https://drive.google.com/file/d/1S4k0Hb8rl6XTVw75djA3P-NDpsF9RPB_/view?usp=drivesdk" TargetMode="External"/><Relationship Id="rId6720" Type="http://schemas.openxmlformats.org/officeDocument/2006/relationships/hyperlink" Target="https://drive.google.com/file/d/1r0okeA-RxdgzA5tmQIUs2ZGy2wRQ_Yd7/view?usp=drivesdk" TargetMode="External"/><Relationship Id="rId6721" Type="http://schemas.openxmlformats.org/officeDocument/2006/relationships/hyperlink" Target="https://drive.google.com/file/d/1NUsKNSMvrENJWWt1jeKG1jWU8kj2ojMm/view?usp=drivesdk" TargetMode="External"/><Relationship Id="rId6715" Type="http://schemas.openxmlformats.org/officeDocument/2006/relationships/hyperlink" Target="https://drive.google.com/file/d/16bdr0Gh_2pfrY1mF6Wa9O3ohkmuJkb21/view?usp=drivesdk" TargetMode="External"/><Relationship Id="rId6716" Type="http://schemas.openxmlformats.org/officeDocument/2006/relationships/hyperlink" Target="https://drive.google.com/file/d/1xTJzko66wvcXvowYIlOmoJtN-u2W4_cZ/view?usp=drivesdk" TargetMode="External"/><Relationship Id="rId6713" Type="http://schemas.openxmlformats.org/officeDocument/2006/relationships/hyperlink" Target="https://drive.google.com/file/d/1AfoHu1UoZ1AdUZ0oXjyMuSicZVWx9qNv/view?usp=drivesdk" TargetMode="External"/><Relationship Id="rId6714" Type="http://schemas.openxmlformats.org/officeDocument/2006/relationships/hyperlink" Target="https://drive.google.com/file/d/19CDZvMTZfNybePQs_oK_Nzfo3GuGfmDv/view?usp=drivesdk" TargetMode="External"/><Relationship Id="rId6719" Type="http://schemas.openxmlformats.org/officeDocument/2006/relationships/hyperlink" Target="https://drive.google.com/file/d/1MYVqu-6oz0smjbby7EcfvcnmcjAGnI0g/view?usp=drivesdk" TargetMode="External"/><Relationship Id="rId6717" Type="http://schemas.openxmlformats.org/officeDocument/2006/relationships/hyperlink" Target="https://drive.google.com/file/d/1N7gF7IhlP9UaIZXfaARi2XUQ-35OcbsP/view?usp=drivesdk" TargetMode="External"/><Relationship Id="rId6718" Type="http://schemas.openxmlformats.org/officeDocument/2006/relationships/hyperlink" Target="https://drive.google.com/file/d/1WU3qc0q9JVSaBIKk-DllPi6cNJ2mhHK2/view?usp=drivesdk" TargetMode="External"/><Relationship Id="rId6711" Type="http://schemas.openxmlformats.org/officeDocument/2006/relationships/hyperlink" Target="https://drive.google.com/file/d/1xQyw20YtXpAQpw72RHrRGGuLOawrnBgI/view?usp=drivesdk" TargetMode="External"/><Relationship Id="rId6712" Type="http://schemas.openxmlformats.org/officeDocument/2006/relationships/hyperlink" Target="https://drive.google.com/file/d/1GKSTj4OAkAF1tK1OBfS7PwPA4vhpHxYN/view?usp=drivesdk" TargetMode="External"/><Relationship Id="rId6710" Type="http://schemas.openxmlformats.org/officeDocument/2006/relationships/hyperlink" Target="https://drive.google.com/file/d/1uQHwPXT-7F7u0cHbH1kWOCmO9FBk1aUW/view?usp=drivesdk" TargetMode="External"/><Relationship Id="rId5490" Type="http://schemas.openxmlformats.org/officeDocument/2006/relationships/hyperlink" Target="https://drive.google.com/file/d/1hRMg3ePog-Mp65ZyaXxHs8attoiSpEXa/view?usp=drivesdk" TargetMode="External"/><Relationship Id="rId4161" Type="http://schemas.openxmlformats.org/officeDocument/2006/relationships/hyperlink" Target="https://drive.google.com/file/d/1luXhT0Np6Gr1Ys1lD48DX9cQ6dvK_Xgj/view?usp=drivesdk" TargetMode="External"/><Relationship Id="rId5493" Type="http://schemas.openxmlformats.org/officeDocument/2006/relationships/hyperlink" Target="https://drive.google.com/file/d/1HgbnQNH43rFKk34H3KSyU9qG6Ydlf_3U/view?usp=drivesdk" TargetMode="External"/><Relationship Id="rId4160" Type="http://schemas.openxmlformats.org/officeDocument/2006/relationships/hyperlink" Target="https://drive.google.com/file/d/1By1VpyMa5E7XdSuP2nAe44mvk25MviKk/view?usp=drivesdk" TargetMode="External"/><Relationship Id="rId5494" Type="http://schemas.openxmlformats.org/officeDocument/2006/relationships/hyperlink" Target="https://drive.google.com/file/d/1acC6ueFx5bY9H37XZjBs1Cd6fanNt-Jt/view?usp=drivesdk" TargetMode="External"/><Relationship Id="rId4163" Type="http://schemas.openxmlformats.org/officeDocument/2006/relationships/hyperlink" Target="https://drive.google.com/file/d/1Msk7_rbEc6yoFL7QGVKTzQ4QmAv8Ocwy/view?usp=drivesdk" TargetMode="External"/><Relationship Id="rId5491" Type="http://schemas.openxmlformats.org/officeDocument/2006/relationships/hyperlink" Target="https://drive.google.com/file/d/1VplFBo_M8CnLwg6Um-uUokhTl8PdISQi/view?usp=drivesdk" TargetMode="External"/><Relationship Id="rId4162" Type="http://schemas.openxmlformats.org/officeDocument/2006/relationships/hyperlink" Target="https://drive.google.com/file/d/1zR3x39bqZLneIODWlQvZLMew4h7VH1bw/view?usp=drivesdk" TargetMode="External"/><Relationship Id="rId5492" Type="http://schemas.openxmlformats.org/officeDocument/2006/relationships/hyperlink" Target="https://drive.google.com/file/d/18ywVqkQsYXVGvyMHfEVBUL9bHVi_jepS/view?usp=drivesdk" TargetMode="External"/><Relationship Id="rId4165" Type="http://schemas.openxmlformats.org/officeDocument/2006/relationships/hyperlink" Target="https://drive.google.com/file/d/1VPqmOkXKqnDhmmleLj7nXWng55Bg_WiN/view?usp=drivesdk" TargetMode="External"/><Relationship Id="rId5497" Type="http://schemas.openxmlformats.org/officeDocument/2006/relationships/hyperlink" Target="https://drive.google.com/file/d/1tyJtV0qrM9E4yW3S2AK7Lth4il0LNLwp/view?usp=drivesdk" TargetMode="External"/><Relationship Id="rId4164" Type="http://schemas.openxmlformats.org/officeDocument/2006/relationships/hyperlink" Target="https://drive.google.com/file/d/1ftx-fV_6VwXOP6QBf84J9hP3ViNNFWJ2/view?usp=drivesdk" TargetMode="External"/><Relationship Id="rId5498" Type="http://schemas.openxmlformats.org/officeDocument/2006/relationships/hyperlink" Target="https://drive.google.com/file/d/1sjMkLCjGXzI0bOkMbQbSWh7T7O2MflLZ/view?usp=drivesdk" TargetMode="External"/><Relationship Id="rId4167" Type="http://schemas.openxmlformats.org/officeDocument/2006/relationships/hyperlink" Target="https://drive.google.com/file/d/1H0D8nabi4UHw0gQIKieco0rjqELRCINR/view?usp=drivesdk" TargetMode="External"/><Relationship Id="rId5495" Type="http://schemas.openxmlformats.org/officeDocument/2006/relationships/hyperlink" Target="https://drive.google.com/file/d/1vLwxgiamSoI2wIuTa_Wcl3hysRECA0Oe/view?usp=drivesdk" TargetMode="External"/><Relationship Id="rId4166" Type="http://schemas.openxmlformats.org/officeDocument/2006/relationships/hyperlink" Target="https://drive.google.com/file/d/1HIOVawIPNtL-v4GbxhzVYTxaMIKA2xfk/view?usp=drivesdk" TargetMode="External"/><Relationship Id="rId5496" Type="http://schemas.openxmlformats.org/officeDocument/2006/relationships/hyperlink" Target="https://drive.google.com/file/d/11i6IjXb7CUG4q4aoT36fNFZnlWr2LjQd/view?usp=drivesdk" TargetMode="External"/><Relationship Id="rId4169" Type="http://schemas.openxmlformats.org/officeDocument/2006/relationships/hyperlink" Target="https://drive.google.com/file/d/1qHvOfVkgOMyUarZPzrt-37rvjq1F3-Jw/view?usp=drivesdk" TargetMode="External"/><Relationship Id="rId4168" Type="http://schemas.openxmlformats.org/officeDocument/2006/relationships/hyperlink" Target="https://drive.google.com/file/d/13DCGngTy-C6uBrHv_2QDoJ_WmRlTNtuc/view?usp=drivesdk" TargetMode="External"/><Relationship Id="rId5499" Type="http://schemas.openxmlformats.org/officeDocument/2006/relationships/hyperlink" Target="https://drive.google.com/file/d/1KJ8VzKgp45DtfEUxzq9HPiuluTExiGDN/view?usp=drivesdk" TargetMode="External"/><Relationship Id="rId4150" Type="http://schemas.openxmlformats.org/officeDocument/2006/relationships/hyperlink" Target="https://drive.google.com/file/d/1Fh_EPbyD_fMyHgdbOe-fNvcGe3hoNNy4/view?usp=drivesdk" TargetMode="External"/><Relationship Id="rId5482" Type="http://schemas.openxmlformats.org/officeDocument/2006/relationships/hyperlink" Target="https://drive.google.com/file/d/1qFT1kb8ltulp2f0dvwOdQd4fqYNUpojB/view?usp=drivesdk" TargetMode="External"/><Relationship Id="rId5483" Type="http://schemas.openxmlformats.org/officeDocument/2006/relationships/hyperlink" Target="https://drive.google.com/file/d/1XKzMIN1fZETqS5uohA73XaSCWR6z1cfe/view?usp=drivesdk" TargetMode="External"/><Relationship Id="rId4152" Type="http://schemas.openxmlformats.org/officeDocument/2006/relationships/hyperlink" Target="https://drive.google.com/file/d/1IkBNFS78kDRMpNWjFr2ZBpKMnCf-7KHz/view?usp=drivesdk" TargetMode="External"/><Relationship Id="rId5480" Type="http://schemas.openxmlformats.org/officeDocument/2006/relationships/hyperlink" Target="https://drive.google.com/file/d/12qixH4sSOZ-IjdRGkkx56L1spo3ejf61/view?usp=drivesdk" TargetMode="External"/><Relationship Id="rId4151" Type="http://schemas.openxmlformats.org/officeDocument/2006/relationships/hyperlink" Target="https://drive.google.com/file/d/1xA2NKDhrHYWQIRBBXtjX2G-nKEg0-ts-/view?usp=drivesdk" TargetMode="External"/><Relationship Id="rId5481" Type="http://schemas.openxmlformats.org/officeDocument/2006/relationships/hyperlink" Target="https://drive.google.com/file/d/1C62wFcULjGcD-hZA2bl9XcqEmiAt5vsJ/view?usp=drivesdk" TargetMode="External"/><Relationship Id="rId4154" Type="http://schemas.openxmlformats.org/officeDocument/2006/relationships/hyperlink" Target="https://drive.google.com/file/d/1oCSPXrqEzEiImGjMIrMDz_MAgZtrE_MX/view?usp=drivesdk" TargetMode="External"/><Relationship Id="rId5486" Type="http://schemas.openxmlformats.org/officeDocument/2006/relationships/hyperlink" Target="https://drive.google.com/file/d/1h949kXP7gB6lu6zee-DgmynaK9u1gFXt/view?usp=drivesdk" TargetMode="External"/><Relationship Id="rId4153" Type="http://schemas.openxmlformats.org/officeDocument/2006/relationships/hyperlink" Target="https://drive.google.com/file/d/1E8xe_sz-RTK9GwpyiYzy1WzxmUO0k8AJ/view?usp=drivesdk" TargetMode="External"/><Relationship Id="rId5487" Type="http://schemas.openxmlformats.org/officeDocument/2006/relationships/hyperlink" Target="https://drive.google.com/file/d/18PPtGCgLtDbUzFfpVNa9T0MBvji2iheh/view?usp=drivesdk" TargetMode="External"/><Relationship Id="rId4156" Type="http://schemas.openxmlformats.org/officeDocument/2006/relationships/hyperlink" Target="https://drive.google.com/file/d/1e0_7WIMvO1fCv8R7mvD5AZh7GyGduMB0/view?usp=drivesdk" TargetMode="External"/><Relationship Id="rId5484" Type="http://schemas.openxmlformats.org/officeDocument/2006/relationships/hyperlink" Target="https://drive.google.com/file/d/1Vn4A8AZdiz4N8V39hqaJr3WKf8HvF_IN/view?usp=drivesdk" TargetMode="External"/><Relationship Id="rId4155" Type="http://schemas.openxmlformats.org/officeDocument/2006/relationships/hyperlink" Target="https://drive.google.com/file/d/1s0j0cxX7FZqvbhZJj1ONe6r1FLMQj0oN/view?usp=drivesdk" TargetMode="External"/><Relationship Id="rId5485" Type="http://schemas.openxmlformats.org/officeDocument/2006/relationships/hyperlink" Target="https://drive.google.com/file/d/1QHmrVhPKcTjNJagkSjIfe6R33Qg206Rk/view?usp=drivesdk" TargetMode="External"/><Relationship Id="rId4158" Type="http://schemas.openxmlformats.org/officeDocument/2006/relationships/hyperlink" Target="https://drive.google.com/file/d/1f7h1B4vGSD0LlOdxBOHzmuuAGkT7vsPb/view?usp=drivesdk" TargetMode="External"/><Relationship Id="rId4157" Type="http://schemas.openxmlformats.org/officeDocument/2006/relationships/hyperlink" Target="https://drive.google.com/file/d/1wuQZ4qnjAxJtVdQfVIEYkfrNCvvL6FZO/view?usp=drivesdk" TargetMode="External"/><Relationship Id="rId5488" Type="http://schemas.openxmlformats.org/officeDocument/2006/relationships/hyperlink" Target="https://drive.google.com/file/d/1P_UhJngpN6ApnVIKXryPA2cUPWLcV1wi/view?usp=drivesdk" TargetMode="External"/><Relationship Id="rId4159" Type="http://schemas.openxmlformats.org/officeDocument/2006/relationships/hyperlink" Target="https://drive.google.com/file/d/1YbAVTvWSRaWvhG4qkYpGkODpY31_Z9Ge/view?usp=drivesdk" TargetMode="External"/><Relationship Id="rId5489" Type="http://schemas.openxmlformats.org/officeDocument/2006/relationships/hyperlink" Target="https://drive.google.com/file/d/10NdbOAznGjYXq0DT0F59FumthKJ6rkYV/view?usp=drivesdk" TargetMode="External"/><Relationship Id="rId1910" Type="http://schemas.openxmlformats.org/officeDocument/2006/relationships/hyperlink" Target="https://drive.google.com/file/d/1nUN-eDJGvm_dQjgKEJZipf-pqLppFREm/view?usp=drivesdk" TargetMode="External"/><Relationship Id="rId1911" Type="http://schemas.openxmlformats.org/officeDocument/2006/relationships/hyperlink" Target="https://drive.google.com/file/d/1fyg5l3HQC4hdA1SEPvtp9edUgF_mXf0s/view?usp=drivesdk" TargetMode="External"/><Relationship Id="rId1912" Type="http://schemas.openxmlformats.org/officeDocument/2006/relationships/hyperlink" Target="https://drive.google.com/file/d/1LmWFdJCk_RjoaxCkpIYkVwblMvjLpTa6/view?usp=drivesdk" TargetMode="External"/><Relationship Id="rId1913" Type="http://schemas.openxmlformats.org/officeDocument/2006/relationships/hyperlink" Target="https://drive.google.com/file/d/1WXLP35v4bsODlh8NI0BeK_PLLyjGpYC6/view?usp=drivesdk" TargetMode="External"/><Relationship Id="rId1914" Type="http://schemas.openxmlformats.org/officeDocument/2006/relationships/hyperlink" Target="https://drive.google.com/file/d/1xGQzLAzmNpGto2DLdfp4bPnct8M0rSSg/view?usp=drivesdk" TargetMode="External"/><Relationship Id="rId1915" Type="http://schemas.openxmlformats.org/officeDocument/2006/relationships/hyperlink" Target="https://drive.google.com/file/d/1TI5qJB4rYp0zg5ZV22mCQgGy1mVx5X6M/view?usp=drivesdk" TargetMode="External"/><Relationship Id="rId1916" Type="http://schemas.openxmlformats.org/officeDocument/2006/relationships/hyperlink" Target="https://drive.google.com/file/d/1-vmCmO7O8NGToAG1T0xObZTxASxOkozW/view?usp=drivesdk" TargetMode="External"/><Relationship Id="rId1917" Type="http://schemas.openxmlformats.org/officeDocument/2006/relationships/hyperlink" Target="https://drive.google.com/file/d/1ANmd_6CyeFXL_OENahsTlMY3tE29wMBa/view?usp=drivesdk" TargetMode="External"/><Relationship Id="rId1918" Type="http://schemas.openxmlformats.org/officeDocument/2006/relationships/hyperlink" Target="https://drive.google.com/file/d/1K8oz0gh-1KwSISfzvtcMspGEhDVUoa_d/view?usp=drivesdk" TargetMode="External"/><Relationship Id="rId1919" Type="http://schemas.openxmlformats.org/officeDocument/2006/relationships/hyperlink" Target="https://drive.google.com/file/d/1oM0NKTowgDaTVl4q_tfMc_GjwsFTklSr/view?usp=drivesdk" TargetMode="External"/><Relationship Id="rId4181" Type="http://schemas.openxmlformats.org/officeDocument/2006/relationships/hyperlink" Target="https://drive.google.com/file/d/1l6fvfOQVxB86nk7kzMBAOuj69fNUrSy2/view?usp=drivesdk" TargetMode="External"/><Relationship Id="rId4180" Type="http://schemas.openxmlformats.org/officeDocument/2006/relationships/hyperlink" Target="https://drive.google.com/file/d/1-mke9U57uQO1f3GJrdDMLZQrmpZXKg_H/view?usp=drivesdk" TargetMode="External"/><Relationship Id="rId4183" Type="http://schemas.openxmlformats.org/officeDocument/2006/relationships/hyperlink" Target="https://drive.google.com/file/d/18TXHt7wc2D3JJ8F2MowV35f4ShLDTmN-/view?usp=drivesdk" TargetMode="External"/><Relationship Id="rId4182" Type="http://schemas.openxmlformats.org/officeDocument/2006/relationships/hyperlink" Target="https://drive.google.com/file/d/1GKpu9cOukT9hMyiX_y1UvcNo16OHzaSx/view?usp=drivesdk" TargetMode="External"/><Relationship Id="rId4185" Type="http://schemas.openxmlformats.org/officeDocument/2006/relationships/hyperlink" Target="https://drive.google.com/file/d/1AgFm8tAiywo8QAPE6Bjx2bQlm3xQa936/view?usp=drivesdk" TargetMode="External"/><Relationship Id="rId4184" Type="http://schemas.openxmlformats.org/officeDocument/2006/relationships/hyperlink" Target="https://drive.google.com/file/d/1HofC64AvsfrpGF7buyk84YDdGWGzeQg3/view?usp=drivesdk" TargetMode="External"/><Relationship Id="rId4187" Type="http://schemas.openxmlformats.org/officeDocument/2006/relationships/hyperlink" Target="https://drive.google.com/file/d/11y8Wt82NDCccIRVTUyzoK1U-2QZMSBTx/view?usp=drivesdk" TargetMode="External"/><Relationship Id="rId4186" Type="http://schemas.openxmlformats.org/officeDocument/2006/relationships/hyperlink" Target="https://drive.google.com/file/d/12u-J9gWsnrINeSadSrHjtKsHkJ8y7RBF/view?usp=drivesdk" TargetMode="External"/><Relationship Id="rId4189" Type="http://schemas.openxmlformats.org/officeDocument/2006/relationships/hyperlink" Target="https://drive.google.com/file/d/1e4AC6TCh9UdvXQE6B3HzR17WkgIGfGh2/view?usp=drivesdk" TargetMode="External"/><Relationship Id="rId4188" Type="http://schemas.openxmlformats.org/officeDocument/2006/relationships/hyperlink" Target="https://drive.google.com/file/d/11V1_elpGKOXhgLtpGMMX6aVcjOCt-HP4/view?usp=drivesdk" TargetMode="External"/><Relationship Id="rId1900" Type="http://schemas.openxmlformats.org/officeDocument/2006/relationships/hyperlink" Target="https://drive.google.com/file/d/1NxctyxXfFeB7jPc9srpMwWcFvPycSGEG/view?usp=drivesdk" TargetMode="External"/><Relationship Id="rId1901" Type="http://schemas.openxmlformats.org/officeDocument/2006/relationships/hyperlink" Target="https://drive.google.com/file/d/1r041GzlMdudBcE7wd5FsroOdbNNLOY-X/view?usp=drivesdk" TargetMode="External"/><Relationship Id="rId1902" Type="http://schemas.openxmlformats.org/officeDocument/2006/relationships/hyperlink" Target="https://drive.google.com/file/d/1gAEcT5o5Ilg1wGHgmdqhWM7nSNmcCMaY/view?usp=drivesdk" TargetMode="External"/><Relationship Id="rId1903" Type="http://schemas.openxmlformats.org/officeDocument/2006/relationships/hyperlink" Target="https://drive.google.com/file/d/1XgnWdNaFUkuNZPWfD82J6jrr4aLCrPW_/view?usp=drivesdk" TargetMode="External"/><Relationship Id="rId1904" Type="http://schemas.openxmlformats.org/officeDocument/2006/relationships/hyperlink" Target="https://drive.google.com/file/d/1vY3OwA96D5WMBSpCHGG2f91Xa7LbDzIc/view?usp=drivesdk" TargetMode="External"/><Relationship Id="rId1905" Type="http://schemas.openxmlformats.org/officeDocument/2006/relationships/hyperlink" Target="https://drive.google.com/file/d/1g0nKJ3ulINfmkOcRV8wsfDTKWkUzscdk/view?usp=drivesdk" TargetMode="External"/><Relationship Id="rId1906" Type="http://schemas.openxmlformats.org/officeDocument/2006/relationships/hyperlink" Target="https://drive.google.com/file/d/1aXwzpuxl74kNmleICZq3tl7g5Zl_G--C/view?usp=drivesdk" TargetMode="External"/><Relationship Id="rId1907" Type="http://schemas.openxmlformats.org/officeDocument/2006/relationships/hyperlink" Target="https://drive.google.com/file/d/1v0L06GZCqzQwO2rGct7cCmMLNeXoK4Po/view?usp=drivesdk" TargetMode="External"/><Relationship Id="rId1908" Type="http://schemas.openxmlformats.org/officeDocument/2006/relationships/hyperlink" Target="https://drive.google.com/file/d/1edlsg75UzS3UYNH9m9yj9R19Eha6QGay/view?usp=drivesdk" TargetMode="External"/><Relationship Id="rId1909" Type="http://schemas.openxmlformats.org/officeDocument/2006/relationships/hyperlink" Target="https://drive.google.com/file/d/1wWlcxVkRhiq-NP66wC2ndqdru5iECFa3/view?usp=drivesdk" TargetMode="External"/><Relationship Id="rId4170" Type="http://schemas.openxmlformats.org/officeDocument/2006/relationships/hyperlink" Target="https://drive.google.com/file/d/1cxPfvKY_adUyWC6gQG3z6-qzXvhKeM0b/view?usp=drivesdk" TargetMode="External"/><Relationship Id="rId4172" Type="http://schemas.openxmlformats.org/officeDocument/2006/relationships/hyperlink" Target="https://drive.google.com/file/d/1UaVdQQeeh2mqhz3RQeKXBtM0r3sSiQWS/view?usp=drivesdk" TargetMode="External"/><Relationship Id="rId4171" Type="http://schemas.openxmlformats.org/officeDocument/2006/relationships/hyperlink" Target="https://drive.google.com/file/d/10mvyb6qaJ8XkaiyzPxHLPZi8NeKUmfJo/view?usp=drivesdk" TargetMode="External"/><Relationship Id="rId4174" Type="http://schemas.openxmlformats.org/officeDocument/2006/relationships/hyperlink" Target="https://drive.google.com/file/d/16meI_h9Pcu2fdxc3lYHHwpTTq3uBUb5N/view?usp=drivesdk" TargetMode="External"/><Relationship Id="rId4173" Type="http://schemas.openxmlformats.org/officeDocument/2006/relationships/hyperlink" Target="https://drive.google.com/file/d/1BSpS0DicMbmvt0nCMNjJHymn5Bl1gYP3/view?usp=drivesdk" TargetMode="External"/><Relationship Id="rId4176" Type="http://schemas.openxmlformats.org/officeDocument/2006/relationships/hyperlink" Target="https://drive.google.com/file/d/13_HyqnESBN0uwtmZ0Irr29YRz2bi7wOM/view?usp=drivesdk" TargetMode="External"/><Relationship Id="rId4175" Type="http://schemas.openxmlformats.org/officeDocument/2006/relationships/hyperlink" Target="https://drive.google.com/file/d/1sd6HvnQElhV-VQVAEeVOtyeB81CJPY7K/view?usp=drivesdk" TargetMode="External"/><Relationship Id="rId4178" Type="http://schemas.openxmlformats.org/officeDocument/2006/relationships/hyperlink" Target="https://drive.google.com/file/d/1in_EIEmIlj0ReVewszQtPJComeQtsQRL/view?usp=drivesdk" TargetMode="External"/><Relationship Id="rId4177" Type="http://schemas.openxmlformats.org/officeDocument/2006/relationships/hyperlink" Target="https://drive.google.com/file/d/1-pZRUvQR2UZQh3Q1Layzs-G4endAvE37/view?usp=drivesdk" TargetMode="External"/><Relationship Id="rId4179" Type="http://schemas.openxmlformats.org/officeDocument/2006/relationships/hyperlink" Target="https://drive.google.com/file/d/1oHOucUOwS2vvhullig_6hdVQ8ELZ2cue/view?usp=drivesdk" TargetMode="External"/><Relationship Id="rId4129" Type="http://schemas.openxmlformats.org/officeDocument/2006/relationships/hyperlink" Target="https://drive.google.com/file/d/1onAVcL6DCRFCJviQQS0cPen2fxEZu01V/view?usp=drivesdk" TargetMode="External"/><Relationship Id="rId4128" Type="http://schemas.openxmlformats.org/officeDocument/2006/relationships/hyperlink" Target="https://drive.google.com/file/d/1TaaoNyGtGNcu0QBEz9RgVJpaxf3ZSPpS/view?usp=drivesdk" TargetMode="External"/><Relationship Id="rId5459" Type="http://schemas.openxmlformats.org/officeDocument/2006/relationships/hyperlink" Target="https://drive.google.com/file/d/1DMv7iWa4qKJcXb-2iT7smYbZsb2GVj8J/view?usp=drivesdk" TargetMode="External"/><Relationship Id="rId6780" Type="http://schemas.openxmlformats.org/officeDocument/2006/relationships/hyperlink" Target="https://drive.google.com/file/d/1FwynLgbnKTIWe7iIH5K-0udXB_TLbMfQ/view?usp=drivesdk" TargetMode="External"/><Relationship Id="rId5450" Type="http://schemas.openxmlformats.org/officeDocument/2006/relationships/hyperlink" Target="https://drive.google.com/file/d/12T_ZSjm2abN41FBdJ2huXockBcyrJo5U/view?usp=drivesdk" TargetMode="External"/><Relationship Id="rId6781" Type="http://schemas.openxmlformats.org/officeDocument/2006/relationships/hyperlink" Target="https://drive.google.com/file/d/1aMSkS2Nl1SIb9jBbEhTrj2ztfTmk-Snm/view?usp=drivesdk" TargetMode="External"/><Relationship Id="rId4121" Type="http://schemas.openxmlformats.org/officeDocument/2006/relationships/hyperlink" Target="https://drive.google.com/file/d/1MLd8LuErI9wIMdgvaAXPf6D_PTkfJfZS/view?usp=drivesdk" TargetMode="External"/><Relationship Id="rId5453" Type="http://schemas.openxmlformats.org/officeDocument/2006/relationships/hyperlink" Target="https://drive.google.com/file/d/17ZVSn6zT32BsnlANrA_ePAQaiPRDmBbm/view?usp=drivesdk" TargetMode="External"/><Relationship Id="rId6784" Type="http://schemas.openxmlformats.org/officeDocument/2006/relationships/hyperlink" Target="https://drive.google.com/file/d/1suw1t7zmnJRUlqb00O8wciHaFGOhi7BK/view?usp=drivesdk" TargetMode="External"/><Relationship Id="rId4120" Type="http://schemas.openxmlformats.org/officeDocument/2006/relationships/hyperlink" Target="https://drive.google.com/file/d/18HwvH14iN66GvsGMB9zcjPqFoKm69O9p/view?usp=drivesdk" TargetMode="External"/><Relationship Id="rId5454" Type="http://schemas.openxmlformats.org/officeDocument/2006/relationships/hyperlink" Target="https://drive.google.com/file/d/1auM0dDnWVQpA1GwVZVKCv7W9jv7E46yq/view?usp=drivesdk" TargetMode="External"/><Relationship Id="rId6785" Type="http://schemas.openxmlformats.org/officeDocument/2006/relationships/hyperlink" Target="https://drive.google.com/file/d/16Q2PsNQWmpmp0BW6s490305Z7Cnj2T9p/view?usp=drivesdk" TargetMode="External"/><Relationship Id="rId4123" Type="http://schemas.openxmlformats.org/officeDocument/2006/relationships/hyperlink" Target="https://drive.google.com/file/d/1MLjSnC91eaWhWOUh6hCnY63SwXrBooq4/view?usp=drivesdk" TargetMode="External"/><Relationship Id="rId5451" Type="http://schemas.openxmlformats.org/officeDocument/2006/relationships/hyperlink" Target="https://drive.google.com/file/d/1jMH0sapBaLKm184ktGePe-HjMNNqNE4Y/view?usp=drivesdk" TargetMode="External"/><Relationship Id="rId6782" Type="http://schemas.openxmlformats.org/officeDocument/2006/relationships/hyperlink" Target="https://drive.google.com/file/d/1r5SOxnkHirn5iqz-OBtZCl-s9dbCXpvJ/view?usp=drivesdk" TargetMode="External"/><Relationship Id="rId4122" Type="http://schemas.openxmlformats.org/officeDocument/2006/relationships/hyperlink" Target="https://drive.google.com/file/d/1acKbyQRHjEnRvdP79Get-2B7ssiLMI4u/view?usp=drivesdk" TargetMode="External"/><Relationship Id="rId5452" Type="http://schemas.openxmlformats.org/officeDocument/2006/relationships/hyperlink" Target="https://drive.google.com/file/d/1BpNyWf2YAfg78MxhSxtxedV8vbUnr7R6/view?usp=drivesdk" TargetMode="External"/><Relationship Id="rId6783" Type="http://schemas.openxmlformats.org/officeDocument/2006/relationships/hyperlink" Target="https://drive.google.com/file/d/1ThOCNCG5lpwSTxMWvVvhnWhk0svX5t7B/view?usp=drivesdk" TargetMode="External"/><Relationship Id="rId4125" Type="http://schemas.openxmlformats.org/officeDocument/2006/relationships/hyperlink" Target="https://drive.google.com/file/d/1o7vgdcThc0p70Yxlq00-0q55aJuRV9Ka/view?usp=drivesdk" TargetMode="External"/><Relationship Id="rId5457" Type="http://schemas.openxmlformats.org/officeDocument/2006/relationships/hyperlink" Target="https://drive.google.com/file/d/1ZV6ECt_nE6ELjZHD7a6b0pXDmkzaUbLL/view?usp=drivesdk" TargetMode="External"/><Relationship Id="rId6788" Type="http://schemas.openxmlformats.org/officeDocument/2006/relationships/hyperlink" Target="https://drive.google.com/file/d/17P2a8RLPr837E2Wg52qnrn2kkguW8Wjh/view?usp=drivesdk" TargetMode="External"/><Relationship Id="rId4124" Type="http://schemas.openxmlformats.org/officeDocument/2006/relationships/hyperlink" Target="https://drive.google.com/file/d/1HWuJr0JpZIq0FvCHJI2auYIP0C45MbDz/view?usp=drivesdk" TargetMode="External"/><Relationship Id="rId5458" Type="http://schemas.openxmlformats.org/officeDocument/2006/relationships/hyperlink" Target="https://drive.google.com/file/d/1NQrBqKR3iydnIQyH6W3z8h6MMX54rYDt/view?usp=drivesdk" TargetMode="External"/><Relationship Id="rId6789" Type="http://schemas.openxmlformats.org/officeDocument/2006/relationships/hyperlink" Target="https://drive.google.com/file/d/1C0KMhCB8rp1D99X6GuAn3NDYfXlKZL0_/view?usp=drivesdk" TargetMode="External"/><Relationship Id="rId4127" Type="http://schemas.openxmlformats.org/officeDocument/2006/relationships/hyperlink" Target="https://drive.google.com/file/d/1MYOSaljlDXGVk-e7f0OjYH05CFz20c0y/view?usp=drivesdk" TargetMode="External"/><Relationship Id="rId5455" Type="http://schemas.openxmlformats.org/officeDocument/2006/relationships/hyperlink" Target="https://drive.google.com/file/d/1DGxOIzYfcYvQOjY92g7tWj4AeHlh0Tjy/view?usp=drivesdk" TargetMode="External"/><Relationship Id="rId6786" Type="http://schemas.openxmlformats.org/officeDocument/2006/relationships/hyperlink" Target="https://drive.google.com/file/d/1i-7ILgpdBs59sNwadHK9aTPUlih7N4sz/view?usp=drivesdk" TargetMode="External"/><Relationship Id="rId4126" Type="http://schemas.openxmlformats.org/officeDocument/2006/relationships/hyperlink" Target="https://drive.google.com/file/d/1gD07tIJGrW-ezHZWDaQqT0jmCnyjaxRi/view?usp=drivesdk" TargetMode="External"/><Relationship Id="rId5456" Type="http://schemas.openxmlformats.org/officeDocument/2006/relationships/hyperlink" Target="https://drive.google.com/file/d/19jbppFVUfYAj_zrCBZYQECqnyK2T2dOP/view?usp=drivesdk" TargetMode="External"/><Relationship Id="rId6787" Type="http://schemas.openxmlformats.org/officeDocument/2006/relationships/hyperlink" Target="https://drive.google.com/file/d/1zMDPpW5kHLuwpBNbX_M8KFoZDkl9qKF7/view?usp=drivesdk" TargetMode="External"/><Relationship Id="rId4118" Type="http://schemas.openxmlformats.org/officeDocument/2006/relationships/hyperlink" Target="https://drive.google.com/file/d/1h5k1FfV2zPecn2m_9pZNUB6liivN5yq7/view?usp=drivesdk" TargetMode="External"/><Relationship Id="rId4117" Type="http://schemas.openxmlformats.org/officeDocument/2006/relationships/hyperlink" Target="https://drive.google.com/file/d/1xuoUXAU6TCkR1a3hiFYIWkMuVohviiKJ/view?usp=drivesdk" TargetMode="External"/><Relationship Id="rId5448" Type="http://schemas.openxmlformats.org/officeDocument/2006/relationships/hyperlink" Target="https://drive.google.com/file/d/1glor-SJqZMOYSd2FlPUTvh6xGJ5oU_N2/view?usp=drivesdk" TargetMode="External"/><Relationship Id="rId6779" Type="http://schemas.openxmlformats.org/officeDocument/2006/relationships/hyperlink" Target="https://drive.google.com/file/d/1fK5hk806gHKmTe_wCNF1VLX6NPKn8PPP/view?usp=drivesdk" TargetMode="External"/><Relationship Id="rId4119" Type="http://schemas.openxmlformats.org/officeDocument/2006/relationships/hyperlink" Target="https://drive.google.com/file/d/1GeJe02bd2PfIFXSg5tN1reeXnUDqURJt/view?usp=drivesdk" TargetMode="External"/><Relationship Id="rId5449" Type="http://schemas.openxmlformats.org/officeDocument/2006/relationships/hyperlink" Target="https://drive.google.com/file/d/1cs_2Rjjcv-PuCPaSG7F112meUL0VwU3U/view?usp=drivesdk" TargetMode="External"/><Relationship Id="rId6770" Type="http://schemas.openxmlformats.org/officeDocument/2006/relationships/hyperlink" Target="https://drive.google.com/file/d/10k0NCAvLqSkwbW_2B-CwPPTj7cDzoEnR/view?usp=drivesdk" TargetMode="External"/><Relationship Id="rId4110" Type="http://schemas.openxmlformats.org/officeDocument/2006/relationships/hyperlink" Target="https://drive.google.com/file/d/1gm8eDwkWeLAFT0wh9qvJ84HI6x_VYrvM/view?usp=drivesdk" TargetMode="External"/><Relationship Id="rId5442" Type="http://schemas.openxmlformats.org/officeDocument/2006/relationships/hyperlink" Target="https://drive.google.com/file/d/17avCAQye7eqrLay7htFT107Z9Ysyo8CP/view?usp=drivesdk" TargetMode="External"/><Relationship Id="rId6773" Type="http://schemas.openxmlformats.org/officeDocument/2006/relationships/hyperlink" Target="https://drive.google.com/file/d/1rPJjfSBfEWN_JztuEh9947DfTfDQEgnb/view?usp=drivesdk" TargetMode="External"/><Relationship Id="rId5443" Type="http://schemas.openxmlformats.org/officeDocument/2006/relationships/hyperlink" Target="https://drive.google.com/file/d/1sFdVT6myvmKQrc5l2rjxUyMxPr1taofi/view?usp=drivesdk" TargetMode="External"/><Relationship Id="rId6774" Type="http://schemas.openxmlformats.org/officeDocument/2006/relationships/hyperlink" Target="https://drive.google.com/file/d/1oT20RC0Q13Hq-Phjz0SdFxmhRnq20HFq/view?usp=drivesdk" TargetMode="External"/><Relationship Id="rId4112" Type="http://schemas.openxmlformats.org/officeDocument/2006/relationships/hyperlink" Target="https://drive.google.com/file/d/1MS2AhYwV1Tu5ApMBmzT_fmk0bmvp1sov/view?usp=drivesdk" TargetMode="External"/><Relationship Id="rId5440" Type="http://schemas.openxmlformats.org/officeDocument/2006/relationships/hyperlink" Target="https://drive.google.com/file/d/1lRSXlr6_7kSShca1cGmCUTKymwWRk1va/view?usp=drivesdk" TargetMode="External"/><Relationship Id="rId6771" Type="http://schemas.openxmlformats.org/officeDocument/2006/relationships/hyperlink" Target="https://drive.google.com/file/d/14_ZeeRKrY5kKYeY3Q-8SicaIZ5GHcZaU/view?usp=drivesdk" TargetMode="External"/><Relationship Id="rId4111" Type="http://schemas.openxmlformats.org/officeDocument/2006/relationships/hyperlink" Target="https://drive.google.com/file/d/1k9SLyFOOwhBDpvwEmaIf509Q4sgTeNwV/view?usp=drivesdk" TargetMode="External"/><Relationship Id="rId5441" Type="http://schemas.openxmlformats.org/officeDocument/2006/relationships/hyperlink" Target="https://drive.google.com/file/d/1PScFz_MTO2sWNWhQInReuINmnA-SLcX0/view?usp=drivesdk" TargetMode="External"/><Relationship Id="rId6772" Type="http://schemas.openxmlformats.org/officeDocument/2006/relationships/hyperlink" Target="https://drive.google.com/file/d/15VamrsqF71uRwp_aLCVc5eMn-xDp-JLC/view?usp=drivesdk" TargetMode="External"/><Relationship Id="rId4114" Type="http://schemas.openxmlformats.org/officeDocument/2006/relationships/hyperlink" Target="https://drive.google.com/file/d/1y5n-mDTHaK8FKwJN39srOoOtiDdJymYl/view?usp=drivesdk" TargetMode="External"/><Relationship Id="rId5446" Type="http://schemas.openxmlformats.org/officeDocument/2006/relationships/hyperlink" Target="https://drive.google.com/file/d/1uT1V_SFmQ9OtedwfzNOaGGoBvHE3-kHH/view?usp=drivesdk" TargetMode="External"/><Relationship Id="rId6777" Type="http://schemas.openxmlformats.org/officeDocument/2006/relationships/hyperlink" Target="https://drive.google.com/file/d/1__azyx13DnHY94S1Ly4Ufta1LKEx4xJh/view?usp=drivesdk" TargetMode="External"/><Relationship Id="rId4113" Type="http://schemas.openxmlformats.org/officeDocument/2006/relationships/hyperlink" Target="https://drive.google.com/file/d/1Bu5tO9hgoMBnlyVYh5ODL6MFhG0BXXj9/view?usp=drivesdk" TargetMode="External"/><Relationship Id="rId5447" Type="http://schemas.openxmlformats.org/officeDocument/2006/relationships/hyperlink" Target="https://drive.google.com/file/d/1uyI_prYRwe97bbGZAdNaw85wSgYi7Gry/view?usp=drivesdk" TargetMode="External"/><Relationship Id="rId6778" Type="http://schemas.openxmlformats.org/officeDocument/2006/relationships/hyperlink" Target="https://drive.google.com/file/d/1IBd3ey49RM3oIfcDu9svW8Qu8Jez6fMe/view?usp=drivesdk" TargetMode="External"/><Relationship Id="rId4116" Type="http://schemas.openxmlformats.org/officeDocument/2006/relationships/hyperlink" Target="https://drive.google.com/file/d/1-vnclv_PWJz55YdsZcNgqaXaRWZdvPqq/view?usp=drivesdk" TargetMode="External"/><Relationship Id="rId5444" Type="http://schemas.openxmlformats.org/officeDocument/2006/relationships/hyperlink" Target="https://drive.google.com/file/d/1CovnRZvYkKVz5bGpG0XDJF08Zvsl59D1/view?usp=drivesdk" TargetMode="External"/><Relationship Id="rId6775" Type="http://schemas.openxmlformats.org/officeDocument/2006/relationships/hyperlink" Target="https://drive.google.com/file/d/19k6LMsAsrImDJlxUq_dzkaC9WsJjd6de/view?usp=drivesdk" TargetMode="External"/><Relationship Id="rId4115" Type="http://schemas.openxmlformats.org/officeDocument/2006/relationships/hyperlink" Target="https://drive.google.com/file/d/1u4O4l6eHei1lPeC2icSR2RbSG91iBYdr/view?usp=drivesdk" TargetMode="External"/><Relationship Id="rId5445" Type="http://schemas.openxmlformats.org/officeDocument/2006/relationships/hyperlink" Target="https://drive.google.com/file/d/1xT6iJngh_C62IUDpMRyw022gKTC04IvF/view?usp=drivesdk" TargetMode="External"/><Relationship Id="rId6776" Type="http://schemas.openxmlformats.org/officeDocument/2006/relationships/hyperlink" Target="https://drive.google.com/file/d/1lT5l3RTuWc15mbgmaA1lFfd74V7A2tr0/view?usp=drivesdk" TargetMode="External"/><Relationship Id="rId5471" Type="http://schemas.openxmlformats.org/officeDocument/2006/relationships/hyperlink" Target="https://drive.google.com/file/d/1BFOXe4cnLpLOadpWjUeiOKinSglvFSYi/view?usp=drivesdk" TargetMode="External"/><Relationship Id="rId5472" Type="http://schemas.openxmlformats.org/officeDocument/2006/relationships/hyperlink" Target="https://drive.google.com/file/d/1aEw5LO2g2A5oU2Srl_Crfa6O2eTnRVdA/view?usp=drivesdk" TargetMode="External"/><Relationship Id="rId4141" Type="http://schemas.openxmlformats.org/officeDocument/2006/relationships/hyperlink" Target="https://drive.google.com/file/d/1kL9mhxOyjOUv2T-jStuoZs69MPV6dBod/view?usp=drivesdk" TargetMode="External"/><Relationship Id="rId4140" Type="http://schemas.openxmlformats.org/officeDocument/2006/relationships/hyperlink" Target="https://drive.google.com/file/d/1X1G5aO2BqXebc3CdjYoYRCWv2ZVojTzZ/view?usp=drivesdk" TargetMode="External"/><Relationship Id="rId5470" Type="http://schemas.openxmlformats.org/officeDocument/2006/relationships/hyperlink" Target="https://drive.google.com/file/d/1MyaGOAlwia9ArV5yF3hG9Fmb2b4BstME/view?usp=drivesdk" TargetMode="External"/><Relationship Id="rId4143" Type="http://schemas.openxmlformats.org/officeDocument/2006/relationships/hyperlink" Target="https://drive.google.com/file/d/12ZB-OOVADK61nrR5UDtd41b5lLJO0fXZ/view?usp=drivesdk" TargetMode="External"/><Relationship Id="rId5475" Type="http://schemas.openxmlformats.org/officeDocument/2006/relationships/hyperlink" Target="https://drive.google.com/file/d/1JV-UrHk7W18O4KIEMrFih7Y27OmPcMHS/view?usp=drivesdk" TargetMode="External"/><Relationship Id="rId4142" Type="http://schemas.openxmlformats.org/officeDocument/2006/relationships/hyperlink" Target="https://drive.google.com/file/d/1RocG51oEyqOahER1lUksUFZ7F-RZptqs/view?usp=drivesdk" TargetMode="External"/><Relationship Id="rId5476" Type="http://schemas.openxmlformats.org/officeDocument/2006/relationships/hyperlink" Target="https://drive.google.com/file/d/1E9GcC9RNAqadZWfe3nTcoU2BzqfLbopD/view?usp=drivesdk" TargetMode="External"/><Relationship Id="rId4145" Type="http://schemas.openxmlformats.org/officeDocument/2006/relationships/hyperlink" Target="https://drive.google.com/file/d/1eGGshUMbSlTLP5ROuHLIX3zVB3e4W6al/view?usp=drivesdk" TargetMode="External"/><Relationship Id="rId5473" Type="http://schemas.openxmlformats.org/officeDocument/2006/relationships/hyperlink" Target="https://drive.google.com/file/d/1vkzG9qKk_hnL4W3Mek0r6psmvQK-o5kd/view?usp=drivesdk" TargetMode="External"/><Relationship Id="rId4144" Type="http://schemas.openxmlformats.org/officeDocument/2006/relationships/hyperlink" Target="https://drive.google.com/file/d/10Fxi1h2iUoUI-Y4AZlLlc7x2NeNB160K/view?usp=drivesdk" TargetMode="External"/><Relationship Id="rId5474" Type="http://schemas.openxmlformats.org/officeDocument/2006/relationships/hyperlink" Target="https://drive.google.com/file/d/16yYapwoj4tgTbstDzA6N-vc-3MvLyelH/view?usp=drivesdk" TargetMode="External"/><Relationship Id="rId4147" Type="http://schemas.openxmlformats.org/officeDocument/2006/relationships/hyperlink" Target="https://drive.google.com/file/d/1gPwBivPdUQU8CxZ5J7yYCvzcoO0sFyEe/view?usp=drivesdk" TargetMode="External"/><Relationship Id="rId5479" Type="http://schemas.openxmlformats.org/officeDocument/2006/relationships/hyperlink" Target="https://drive.google.com/file/d/1s-X9xy5z5WJFqVNwx9joyz_kYz2aC253/view?usp=drivesdk" TargetMode="External"/><Relationship Id="rId4146" Type="http://schemas.openxmlformats.org/officeDocument/2006/relationships/hyperlink" Target="https://drive.google.com/file/d/1rPD3zlvU2xnJzrPMqlLbwqeZ1GT-V7lb/view?usp=drivesdk" TargetMode="External"/><Relationship Id="rId4149" Type="http://schemas.openxmlformats.org/officeDocument/2006/relationships/hyperlink" Target="https://drive.google.com/file/d/1PJEzeUXcrZLtOX1LqDz9CZJ1apWr1Der/view?usp=drivesdk" TargetMode="External"/><Relationship Id="rId5477" Type="http://schemas.openxmlformats.org/officeDocument/2006/relationships/hyperlink" Target="https://drive.google.com/file/d/1yRgP7vt0It0_BggvTr6Hkg45MfMsuddD/view?usp=drivesdk" TargetMode="External"/><Relationship Id="rId4148" Type="http://schemas.openxmlformats.org/officeDocument/2006/relationships/hyperlink" Target="https://drive.google.com/file/d/1dkzit2IEBwEjwTU5t8CbarlYuvpUG3Xh/view?usp=drivesdk" TargetMode="External"/><Relationship Id="rId5478" Type="http://schemas.openxmlformats.org/officeDocument/2006/relationships/hyperlink" Target="https://drive.google.com/file/d/1hTniZqyc5XftQENhcpZJ_pxOaUKdVClw/view?usp=drivesdk" TargetMode="External"/><Relationship Id="rId4139" Type="http://schemas.openxmlformats.org/officeDocument/2006/relationships/hyperlink" Target="https://drive.google.com/file/d/1bLjMWsnND9DOiacLyZNhqIYSzuQMkJGG/view?usp=drivesdk" TargetMode="External"/><Relationship Id="rId5460" Type="http://schemas.openxmlformats.org/officeDocument/2006/relationships/hyperlink" Target="https://drive.google.com/file/d/1qtbS5sCPGw2ZUqRbE-dygOp6j59UNiG1/view?usp=drivesdk" TargetMode="External"/><Relationship Id="rId6791" Type="http://schemas.openxmlformats.org/officeDocument/2006/relationships/hyperlink" Target="https://drive.google.com/file/d/1VLphpuHSem2t8U3OwTrmOHjZ-WykS2p0/view?usp=drivesdk" TargetMode="External"/><Relationship Id="rId5461" Type="http://schemas.openxmlformats.org/officeDocument/2006/relationships/hyperlink" Target="https://drive.google.com/file/d/14-Gyw_Gs1grCW-W6bbCMMxnHSLytE8Zf/view?usp=drivesdk" TargetMode="External"/><Relationship Id="rId6792" Type="http://schemas.openxmlformats.org/officeDocument/2006/relationships/hyperlink" Target="https://drive.google.com/file/d/1080-BgC5THzGCk5yoCKRzgvThU2uGg22/view?usp=drivesdk" TargetMode="External"/><Relationship Id="rId4130" Type="http://schemas.openxmlformats.org/officeDocument/2006/relationships/hyperlink" Target="https://drive.google.com/file/d/1H0ldJB8qsAl8qvnkDmiNDFygBpgUTdWu/view?usp=drivesdk" TargetMode="External"/><Relationship Id="rId6790" Type="http://schemas.openxmlformats.org/officeDocument/2006/relationships/hyperlink" Target="https://drive.google.com/file/d/1wNt-_2UxGGn1WIU1mbCh_Vp_GEH3Vk4B/view?usp=drivesdk" TargetMode="External"/><Relationship Id="rId4132" Type="http://schemas.openxmlformats.org/officeDocument/2006/relationships/hyperlink" Target="https://drive.google.com/file/d/1DvJVMFPdSgYCQ7dpNX7geLvG6zDI6RIc/view?usp=drivesdk" TargetMode="External"/><Relationship Id="rId5464" Type="http://schemas.openxmlformats.org/officeDocument/2006/relationships/hyperlink" Target="https://drive.google.com/file/d/1aG3hM-SQHZewz2H_ab88D0TokoWOdBYR/view?usp=drivesdk" TargetMode="External"/><Relationship Id="rId6795" Type="http://schemas.openxmlformats.org/officeDocument/2006/relationships/hyperlink" Target="https://drive.google.com/file/d/1vwnvI7TNu6AploAMwcvaQmIv-Fq4yphf/view?usp=drivesdk" TargetMode="External"/><Relationship Id="rId4131" Type="http://schemas.openxmlformats.org/officeDocument/2006/relationships/hyperlink" Target="https://drive.google.com/file/d/1NqujbMFmIcHx8BxwNCMptkz63hmUExRi/view?usp=drivesdk" TargetMode="External"/><Relationship Id="rId5465" Type="http://schemas.openxmlformats.org/officeDocument/2006/relationships/hyperlink" Target="https://drive.google.com/file/d/1IuPXoxa4XWM9PAAhiyJi1MwffE6MoywA/view?usp=drivesdk" TargetMode="External"/><Relationship Id="rId6796" Type="http://schemas.openxmlformats.org/officeDocument/2006/relationships/hyperlink" Target="https://drive.google.com/file/d/1QF_P6FZ0TEdCBdro0DHXhijTNAKxOEHR/view?usp=drivesdk" TargetMode="External"/><Relationship Id="rId4134" Type="http://schemas.openxmlformats.org/officeDocument/2006/relationships/hyperlink" Target="https://drive.google.com/file/d/1MtHPcKdPv8yvNX8KfGgRIwKJrb_cEodJ/view?usp=drivesdk" TargetMode="External"/><Relationship Id="rId5462" Type="http://schemas.openxmlformats.org/officeDocument/2006/relationships/hyperlink" Target="https://drive.google.com/file/d/1I4Hj5R1jAMIbpTH3zBgdyuva4ons0Lya/view?usp=drivesdk" TargetMode="External"/><Relationship Id="rId6793" Type="http://schemas.openxmlformats.org/officeDocument/2006/relationships/hyperlink" Target="https://drive.google.com/file/d/17lKxscsc1ZcQmGsdzSXMHFWqXfhuGQc0/view?usp=drivesdk" TargetMode="External"/><Relationship Id="rId4133" Type="http://schemas.openxmlformats.org/officeDocument/2006/relationships/hyperlink" Target="https://drive.google.com/file/d/15TPcbPwxJellQOFowDLP7ND-dkaMfTzP/view?usp=drivesdk" TargetMode="External"/><Relationship Id="rId5463" Type="http://schemas.openxmlformats.org/officeDocument/2006/relationships/hyperlink" Target="https://drive.google.com/file/d/1OBX0YWmWCpqH6FHeDYsxuWXiTafxniYt/view?usp=drivesdk" TargetMode="External"/><Relationship Id="rId6794" Type="http://schemas.openxmlformats.org/officeDocument/2006/relationships/hyperlink" Target="https://drive.google.com/file/d/1TdTSqMkZEFg8t253nyyhrAmvkaDoov_z/view?usp=drivesdk" TargetMode="External"/><Relationship Id="rId4136" Type="http://schemas.openxmlformats.org/officeDocument/2006/relationships/hyperlink" Target="https://drive.google.com/file/d/1Zmdfv1-F0KBbThE_coGqiBr9qZ-4EH6f/view?usp=drivesdk" TargetMode="External"/><Relationship Id="rId5468" Type="http://schemas.openxmlformats.org/officeDocument/2006/relationships/hyperlink" Target="https://drive.google.com/file/d/1RUKBrhLDdqqXah9NOGxoorvOZpGh-5O0/view?usp=drivesdk" TargetMode="External"/><Relationship Id="rId6799" Type="http://schemas.openxmlformats.org/officeDocument/2006/relationships/hyperlink" Target="https://drive.google.com/file/d/1eJ44PPG7DMCq4BL79d0UwYDGzzE52dno/view?usp=drivesdk" TargetMode="External"/><Relationship Id="rId4135" Type="http://schemas.openxmlformats.org/officeDocument/2006/relationships/hyperlink" Target="https://drive.google.com/file/d/1iodGRNoy--LjfYvlwVRQGhhiZ-UTHET6/view?usp=drivesdk" TargetMode="External"/><Relationship Id="rId5469" Type="http://schemas.openxmlformats.org/officeDocument/2006/relationships/hyperlink" Target="https://drive.google.com/file/d/1Q7-jpTSDIVUY8b0X2x0jVq5p0caJCk5g/view?usp=drivesdk" TargetMode="External"/><Relationship Id="rId4138" Type="http://schemas.openxmlformats.org/officeDocument/2006/relationships/hyperlink" Target="https://drive.google.com/file/d/1cE3BMpRJeaHbtPO6rKUvREWDAoGRAGr2/view?usp=drivesdk" TargetMode="External"/><Relationship Id="rId5466" Type="http://schemas.openxmlformats.org/officeDocument/2006/relationships/hyperlink" Target="https://drive.google.com/file/d/12sVbiB9_c2nVEbiJzLuKsZCHaTQrIz3t/view?usp=drivesdk" TargetMode="External"/><Relationship Id="rId6797" Type="http://schemas.openxmlformats.org/officeDocument/2006/relationships/hyperlink" Target="https://drive.google.com/file/d/1w2Sx0KT2GF3c7smJsXNZNzVf0hUHNV88/view?usp=drivesdk" TargetMode="External"/><Relationship Id="rId4137" Type="http://schemas.openxmlformats.org/officeDocument/2006/relationships/hyperlink" Target="https://drive.google.com/file/d/1STbpgGpI2_xovZk_BERgcjOKXvjQp2F6/view?usp=drivesdk" TargetMode="External"/><Relationship Id="rId5467" Type="http://schemas.openxmlformats.org/officeDocument/2006/relationships/hyperlink" Target="https://drive.google.com/file/d/1RW-MYQUB_4nk62kJv52-WEEuXzBvIrWk/view?usp=drivesdk" TargetMode="External"/><Relationship Id="rId6798" Type="http://schemas.openxmlformats.org/officeDocument/2006/relationships/hyperlink" Target="https://drive.google.com/file/d/1MgTIpB3t9tF06F93jNxsWvWMIIF9O9GZ/view?usp=drivesdk" TargetMode="External"/><Relationship Id="rId1972" Type="http://schemas.openxmlformats.org/officeDocument/2006/relationships/hyperlink" Target="https://drive.google.com/file/d/1PCrOnVrtDXzyt7rwOaNrfCt59BRBTQOo/view?usp=drivesdk" TargetMode="External"/><Relationship Id="rId1973" Type="http://schemas.openxmlformats.org/officeDocument/2006/relationships/hyperlink" Target="https://drive.google.com/file/d/11zA1OzNVmhNlgYJVtLTgX6CFqJPLkcuE/view?usp=drivesdk" TargetMode="External"/><Relationship Id="rId1974" Type="http://schemas.openxmlformats.org/officeDocument/2006/relationships/hyperlink" Target="https://drive.google.com/file/d/1G2eoILHHX35U6T3CB3g6RyYGaWBei_EW/view?usp=drivesdk" TargetMode="External"/><Relationship Id="rId1975" Type="http://schemas.openxmlformats.org/officeDocument/2006/relationships/hyperlink" Target="https://drive.google.com/file/d/1rM0McZCVOtHJy84kc1kvRj5qc1pMCyC7/view?usp=drivesdk" TargetMode="External"/><Relationship Id="rId1976" Type="http://schemas.openxmlformats.org/officeDocument/2006/relationships/hyperlink" Target="https://drive.google.com/file/d/1SLQ587lU2D6Xc7s7jMS_Wm_kdclEcHQE/view?usp=drivesdk" TargetMode="External"/><Relationship Id="rId1977" Type="http://schemas.openxmlformats.org/officeDocument/2006/relationships/hyperlink" Target="https://drive.google.com/file/d/1haREiZfFPJtYT9tTOXHSvjEjmEHhu8vF/view?usp=drivesdk" TargetMode="External"/><Relationship Id="rId1978" Type="http://schemas.openxmlformats.org/officeDocument/2006/relationships/hyperlink" Target="https://drive.google.com/file/d/1-jFILwKL3sXaNgTv6ufC0Za8hmXuj1nC/view?usp=drivesdk" TargetMode="External"/><Relationship Id="rId1979" Type="http://schemas.openxmlformats.org/officeDocument/2006/relationships/hyperlink" Target="https://drive.google.com/file/d/1SRRgYFNt9L1WkFPrqQUhel9ThAw1v65U/view?usp=drivesdk" TargetMode="External"/><Relationship Id="rId1970" Type="http://schemas.openxmlformats.org/officeDocument/2006/relationships/hyperlink" Target="https://drive.google.com/file/d/1kCUM0BWBLGzAYbUEgvMUgra05sTfK_vc/view?usp=drivesdk" TargetMode="External"/><Relationship Id="rId1971" Type="http://schemas.openxmlformats.org/officeDocument/2006/relationships/hyperlink" Target="https://drive.google.com/file/d/14qqd5qtFactAv-70c-M2MU2G70cA51l1/view?usp=drivesdk" TargetMode="External"/><Relationship Id="rId1961" Type="http://schemas.openxmlformats.org/officeDocument/2006/relationships/hyperlink" Target="https://drive.google.com/file/d/1He8T9u9ZuDqXM2EVoMrky0Ds0anf8vIe/view?usp=drivesdk" TargetMode="External"/><Relationship Id="rId1962" Type="http://schemas.openxmlformats.org/officeDocument/2006/relationships/hyperlink" Target="https://drive.google.com/file/d/1mNmZ9Lb_yDEmD3Z_Nu5iIwDNihZvlIUg/view?usp=drivesdk" TargetMode="External"/><Relationship Id="rId1963" Type="http://schemas.openxmlformats.org/officeDocument/2006/relationships/hyperlink" Target="https://drive.google.com/file/d/1fCrOWrk-rfKy83XwjczZA1ZTIJRRvqMR/view?usp=drivesdk" TargetMode="External"/><Relationship Id="rId1964" Type="http://schemas.openxmlformats.org/officeDocument/2006/relationships/hyperlink" Target="https://drive.google.com/file/d/165xCs546yce01ETfQfS0x-jGikM04hwY/view?usp=drivesdk" TargetMode="External"/><Relationship Id="rId1965" Type="http://schemas.openxmlformats.org/officeDocument/2006/relationships/hyperlink" Target="https://drive.google.com/file/d/1H3doVZ1EETUpL5E02cwYGPv8KdU4mett/view?usp=drivesdk" TargetMode="External"/><Relationship Id="rId1966" Type="http://schemas.openxmlformats.org/officeDocument/2006/relationships/hyperlink" Target="https://drive.google.com/file/d/1pXs51LXBm4y-mOIcflawLcnyZRz73VgQ/view?usp=drivesdk" TargetMode="External"/><Relationship Id="rId1967" Type="http://schemas.openxmlformats.org/officeDocument/2006/relationships/hyperlink" Target="https://drive.google.com/file/d/1d75XOZR3zFNrIX5e-gFZ-_BsCKADDZad/view?usp=drivesdk" TargetMode="External"/><Relationship Id="rId1968" Type="http://schemas.openxmlformats.org/officeDocument/2006/relationships/hyperlink" Target="https://drive.google.com/file/d/1O84yGH4zqCx5M6PMTZYhG9BUqMRjjyRp/view?usp=drivesdk" TargetMode="External"/><Relationship Id="rId1969" Type="http://schemas.openxmlformats.org/officeDocument/2006/relationships/hyperlink" Target="https://drive.google.com/file/d/1M9trYLC9PhOApVINmHbHrVXiS23so10T/view?usp=drivesdk" TargetMode="External"/><Relationship Id="rId1960" Type="http://schemas.openxmlformats.org/officeDocument/2006/relationships/hyperlink" Target="https://drive.google.com/file/d/14tg7Z2P_TymuoTHSmr3AMMFfNq9_2swx/view?usp=drivesdk" TargetMode="External"/><Relationship Id="rId1994" Type="http://schemas.openxmlformats.org/officeDocument/2006/relationships/hyperlink" Target="https://drive.google.com/file/d/1N0kZFCZYO5WToG-FHnImJoPfYmTJBTJI/view?usp=drivesdk" TargetMode="External"/><Relationship Id="rId1995" Type="http://schemas.openxmlformats.org/officeDocument/2006/relationships/hyperlink" Target="https://drive.google.com/file/d/1J_V09A1RmkL7e7FuldU4n3m9tDMvfr6j/view?usp=drivesdk" TargetMode="External"/><Relationship Id="rId1996" Type="http://schemas.openxmlformats.org/officeDocument/2006/relationships/hyperlink" Target="https://drive.google.com/file/d/1_-NpEmFuTlj0xwawN_EUGtXYx3Hs98lx/view?usp=drivesdk" TargetMode="External"/><Relationship Id="rId1997" Type="http://schemas.openxmlformats.org/officeDocument/2006/relationships/hyperlink" Target="https://drive.google.com/file/d/1PTl8YgMH3xRFmNdgSL9qjXtGWtWE-J2r/view?usp=drivesdk" TargetMode="External"/><Relationship Id="rId1998" Type="http://schemas.openxmlformats.org/officeDocument/2006/relationships/hyperlink" Target="https://drive.google.com/file/d/1HnDPChV3vf0ekqXAGjI9pp9ylZ7dIsJp/view?usp=drivesdk" TargetMode="External"/><Relationship Id="rId1999" Type="http://schemas.openxmlformats.org/officeDocument/2006/relationships/hyperlink" Target="https://drive.google.com/file/d/1DA5cVfRthBjPLfaqCbBHJwbPumRyN4Kl/view?usp=drivesdk" TargetMode="External"/><Relationship Id="rId1990" Type="http://schemas.openxmlformats.org/officeDocument/2006/relationships/hyperlink" Target="https://drive.google.com/file/d/1z1kCpwdXem4mgbXZuKNo096nZeOVHGa8/view?usp=drivesdk" TargetMode="External"/><Relationship Id="rId1991" Type="http://schemas.openxmlformats.org/officeDocument/2006/relationships/hyperlink" Target="https://drive.google.com/file/d/1tyraTqt759wnNgzZJnVgQfZs8esEAEx2/view?usp=drivesdk" TargetMode="External"/><Relationship Id="rId1992" Type="http://schemas.openxmlformats.org/officeDocument/2006/relationships/hyperlink" Target="https://drive.google.com/file/d/1JmGxT-JptFlSYNdO3xuNg2SnXJinTpLH/view?usp=drivesdk" TargetMode="External"/><Relationship Id="rId1993" Type="http://schemas.openxmlformats.org/officeDocument/2006/relationships/hyperlink" Target="https://drive.google.com/file/d/1xuRfn__pSVwDTh1-aEGpSmVQvJA-A9h0/view?usp=drivesdk" TargetMode="External"/><Relationship Id="rId1983" Type="http://schemas.openxmlformats.org/officeDocument/2006/relationships/hyperlink" Target="https://drive.google.com/file/d/1MmApsx3B5fYuewkxgJAOFYmaTl93Ua0w/view?usp=drivesdk" TargetMode="External"/><Relationship Id="rId1984" Type="http://schemas.openxmlformats.org/officeDocument/2006/relationships/hyperlink" Target="https://drive.google.com/file/d/195LiJxgNwMepOOfPQEzhD_e-6W7c10AP/view?usp=drivesdk" TargetMode="External"/><Relationship Id="rId1985" Type="http://schemas.openxmlformats.org/officeDocument/2006/relationships/hyperlink" Target="https://drive.google.com/file/d/1UMDVyIf1pdmjXvO1s0ujgipmLEV4u2UW/view?usp=drivesdk" TargetMode="External"/><Relationship Id="rId1986" Type="http://schemas.openxmlformats.org/officeDocument/2006/relationships/hyperlink" Target="https://drive.google.com/file/d/1C36oJfGtaP60ARgJwhtpfK9qS048hQrv/view?usp=drivesdk" TargetMode="External"/><Relationship Id="rId1987" Type="http://schemas.openxmlformats.org/officeDocument/2006/relationships/hyperlink" Target="https://drive.google.com/file/d/1auj4fqYq6tWagh794ptsmV-uFwana9Ss/view?usp=drivesdk" TargetMode="External"/><Relationship Id="rId1988" Type="http://schemas.openxmlformats.org/officeDocument/2006/relationships/hyperlink" Target="https://drive.google.com/file/d/1b8DtxT1jjpNalH1-s7iSdqwXWQvat2Rr/view?usp=drivesdk" TargetMode="External"/><Relationship Id="rId1989" Type="http://schemas.openxmlformats.org/officeDocument/2006/relationships/hyperlink" Target="https://drive.google.com/file/d/1dzqblaIQoQSYEK96_ZpRZmcUeQK65tTC/view?usp=drivesdk" TargetMode="External"/><Relationship Id="rId1980" Type="http://schemas.openxmlformats.org/officeDocument/2006/relationships/hyperlink" Target="https://drive.google.com/file/d/1znXZ3FQEKnZ-Fx1XUhTeZ4ABnZ0f4pfy/view?usp=drivesdk" TargetMode="External"/><Relationship Id="rId1981" Type="http://schemas.openxmlformats.org/officeDocument/2006/relationships/hyperlink" Target="https://drive.google.com/file/d/1mlQ-SJmHTDCmUQ8eR5SAueaVdcKKvKH_/view?usp=drivesdk" TargetMode="External"/><Relationship Id="rId1982" Type="http://schemas.openxmlformats.org/officeDocument/2006/relationships/hyperlink" Target="https://drive.google.com/file/d/1nD_DaWs86CcQ8eljVO3eSAMZBGQNHlIv/view?usp=drivesdk" TargetMode="External"/><Relationship Id="rId1930" Type="http://schemas.openxmlformats.org/officeDocument/2006/relationships/hyperlink" Target="https://drive.google.com/file/d/1cg1bSBsDTYSIZ9vkGfHGi0gG_KQkMcLI/view?usp=drivesdk" TargetMode="External"/><Relationship Id="rId1931" Type="http://schemas.openxmlformats.org/officeDocument/2006/relationships/hyperlink" Target="https://drive.google.com/file/d/1L58o49VbaPZd9ga3dSLMK9KN5vrE0RUv/view?usp=drivesdk" TargetMode="External"/><Relationship Id="rId1932" Type="http://schemas.openxmlformats.org/officeDocument/2006/relationships/hyperlink" Target="https://drive.google.com/file/d/17Xz13yK7ICcFiJElVwaelJnvmE1bWxeO/view?usp=drivesdk" TargetMode="External"/><Relationship Id="rId1933" Type="http://schemas.openxmlformats.org/officeDocument/2006/relationships/hyperlink" Target="https://drive.google.com/file/d/1D91pkBNPY2K_PU4hPjbN06RN3RHeb7cK/view?usp=drivesdk" TargetMode="External"/><Relationship Id="rId1934" Type="http://schemas.openxmlformats.org/officeDocument/2006/relationships/hyperlink" Target="https://drive.google.com/file/d/16lNkJWp_x8GaRLozGgia_OaUxJ2D8ivg/view?usp=drivesdk" TargetMode="External"/><Relationship Id="rId1935" Type="http://schemas.openxmlformats.org/officeDocument/2006/relationships/hyperlink" Target="https://drive.google.com/file/d/1uo7exp0Fo84xuiIAdRx5SX68kYJOpYen/view?usp=drivesdk" TargetMode="External"/><Relationship Id="rId1936" Type="http://schemas.openxmlformats.org/officeDocument/2006/relationships/hyperlink" Target="https://drive.google.com/file/d/1f3eV-CZCdo7aWtztMnV-juEeJZNInBPv/view?usp=drivesdk" TargetMode="External"/><Relationship Id="rId1937" Type="http://schemas.openxmlformats.org/officeDocument/2006/relationships/hyperlink" Target="https://drive.google.com/file/d/13uRcZ3DujO086M921kuiSg1pKJdCGxpI/view?usp=drivesdk" TargetMode="External"/><Relationship Id="rId1938" Type="http://schemas.openxmlformats.org/officeDocument/2006/relationships/hyperlink" Target="https://drive.google.com/file/d/1VS5HFyJ2LW3ahwQv3Mu6a4kVK3dedtX4/view?usp=drivesdk" TargetMode="External"/><Relationship Id="rId1939" Type="http://schemas.openxmlformats.org/officeDocument/2006/relationships/hyperlink" Target="https://drive.google.com/file/d/1RWIjsh-C5LaeSe3FPS0Hl248Y1_T6_mJ/view?usp=drivesdk" TargetMode="External"/><Relationship Id="rId1920" Type="http://schemas.openxmlformats.org/officeDocument/2006/relationships/hyperlink" Target="https://drive.google.com/file/d/1cFPqDaYlrSZQPMYA7_0pGu57jqtn8r3g/view?usp=drivesdk" TargetMode="External"/><Relationship Id="rId1921" Type="http://schemas.openxmlformats.org/officeDocument/2006/relationships/hyperlink" Target="https://drive.google.com/file/d/1DfSacC7bzKUzyOxlwKM-fGdLueaHAnYq/view?usp=drivesdk" TargetMode="External"/><Relationship Id="rId1922" Type="http://schemas.openxmlformats.org/officeDocument/2006/relationships/hyperlink" Target="https://drive.google.com/file/d/1_aNl1lAvxc4F2g_a26vS_0mjc2UeHdZd/view?usp=drivesdk" TargetMode="External"/><Relationship Id="rId1923" Type="http://schemas.openxmlformats.org/officeDocument/2006/relationships/hyperlink" Target="https://drive.google.com/file/d/1ddbBbsxSWU-lSzRr4U20dEqKyCPnaYwp/view?usp=drivesdk" TargetMode="External"/><Relationship Id="rId1924" Type="http://schemas.openxmlformats.org/officeDocument/2006/relationships/hyperlink" Target="https://drive.google.com/file/d/1d_b87xoZGDth-3-V59IBIvd977WJMy-1/view?usp=drivesdk" TargetMode="External"/><Relationship Id="rId1925" Type="http://schemas.openxmlformats.org/officeDocument/2006/relationships/hyperlink" Target="https://drive.google.com/file/d/1EiX-QlL-6Eo5S4kwoFwLCtRTlU1-PvXn/view?usp=drivesdk" TargetMode="External"/><Relationship Id="rId1926" Type="http://schemas.openxmlformats.org/officeDocument/2006/relationships/hyperlink" Target="https://drive.google.com/file/d/1zkTXXNaSXtRnZWo-AodLntqeyU_DCBak/view?usp=drivesdk" TargetMode="External"/><Relationship Id="rId1927" Type="http://schemas.openxmlformats.org/officeDocument/2006/relationships/hyperlink" Target="https://drive.google.com/file/d/1lNc57xWSLWgXxwx_ret2lS88N7yOQRlw/view?usp=drivesdk" TargetMode="External"/><Relationship Id="rId1928" Type="http://schemas.openxmlformats.org/officeDocument/2006/relationships/hyperlink" Target="https://drive.google.com/file/d/1peW1yYAaFxveMUiCDLOGfSmgQHrrlXnc/view?usp=drivesdk" TargetMode="External"/><Relationship Id="rId1929" Type="http://schemas.openxmlformats.org/officeDocument/2006/relationships/hyperlink" Target="https://drive.google.com/file/d/1TjLyvzq-TCKU5Ljjq9qwyWkK_9p7-ths/view?usp=drivesdk" TargetMode="External"/><Relationship Id="rId4190" Type="http://schemas.openxmlformats.org/officeDocument/2006/relationships/hyperlink" Target="https://drive.google.com/file/d/16K4Q_fz1ThkKtLVLTSHD_AjhBrUakjrF/view?usp=drivesdk" TargetMode="External"/><Relationship Id="rId4192" Type="http://schemas.openxmlformats.org/officeDocument/2006/relationships/hyperlink" Target="https://drive.google.com/file/d/1lwnf9Mno_5xmbzIXFg4gHwI9DqNtxS98/view?usp=drivesdk" TargetMode="External"/><Relationship Id="rId4191" Type="http://schemas.openxmlformats.org/officeDocument/2006/relationships/hyperlink" Target="https://drive.google.com/file/d/1gTcDA2EajyijXUcPLq_dcVtcPjZMk_F4/view?usp=drivesdk" TargetMode="External"/><Relationship Id="rId4194" Type="http://schemas.openxmlformats.org/officeDocument/2006/relationships/hyperlink" Target="https://drive.google.com/file/d/1ap4_inhJOexWE9pYOnnuoVW-0JxTbILK/view?usp=drivesdk" TargetMode="External"/><Relationship Id="rId4193" Type="http://schemas.openxmlformats.org/officeDocument/2006/relationships/hyperlink" Target="https://drive.google.com/file/d/1V-9otNqimBjo4vD1wDcxYropNkPfrToe/view?usp=drivesdk" TargetMode="External"/><Relationship Id="rId4196" Type="http://schemas.openxmlformats.org/officeDocument/2006/relationships/hyperlink" Target="https://drive.google.com/file/d/15skXIK0aWXT7vcAzQlV-rJUK4jRwr40J/view?usp=drivesdk" TargetMode="External"/><Relationship Id="rId4195" Type="http://schemas.openxmlformats.org/officeDocument/2006/relationships/hyperlink" Target="https://drive.google.com/file/d/1v8gv3AyPRoFd3lfLLuEajEE_-P6gSfWU/view?usp=drivesdk" TargetMode="External"/><Relationship Id="rId4198" Type="http://schemas.openxmlformats.org/officeDocument/2006/relationships/hyperlink" Target="https://drive.google.com/file/d/1012jR0Wd3ql5Hq341Dvc8vtbiSVyLEAG/view?usp=drivesdk" TargetMode="External"/><Relationship Id="rId4197" Type="http://schemas.openxmlformats.org/officeDocument/2006/relationships/hyperlink" Target="https://drive.google.com/file/d/1XL2rvADIWZ4KpD_nEXWj3OmyEmCf02ds/view?usp=drivesdk" TargetMode="External"/><Relationship Id="rId4199" Type="http://schemas.openxmlformats.org/officeDocument/2006/relationships/hyperlink" Target="https://drive.google.com/file/d/1ehZoD7wHki3BAJk1lV2c2kfjY0UNPGrp/view?usp=drivesdk" TargetMode="External"/><Relationship Id="rId1950" Type="http://schemas.openxmlformats.org/officeDocument/2006/relationships/hyperlink" Target="https://drive.google.com/file/d/1pG-eD4skmmHXRlxbphkDwamso7GAcr8N/view?usp=drivesdk" TargetMode="External"/><Relationship Id="rId1951" Type="http://schemas.openxmlformats.org/officeDocument/2006/relationships/hyperlink" Target="https://drive.google.com/file/d/1b2OpJAEVtNqsZpByn-IvCRG6tgzg2m3L/view?usp=drivesdk" TargetMode="External"/><Relationship Id="rId1952" Type="http://schemas.openxmlformats.org/officeDocument/2006/relationships/hyperlink" Target="https://drive.google.com/file/d/12-UzweT4YNhobi7_pEWLhcm3e-h1qgkP/view?usp=drivesdk" TargetMode="External"/><Relationship Id="rId1953" Type="http://schemas.openxmlformats.org/officeDocument/2006/relationships/hyperlink" Target="https://drive.google.com/file/d/1Wdmufx-r65kM1ekzOuO6mmP8FsqF7sxx/view?usp=drivesdk" TargetMode="External"/><Relationship Id="rId1954" Type="http://schemas.openxmlformats.org/officeDocument/2006/relationships/hyperlink" Target="https://drive.google.com/file/d/1zWbkm6KshS0MiT0EziagiSSPiGp2M57M/view?usp=drivesdk" TargetMode="External"/><Relationship Id="rId1955" Type="http://schemas.openxmlformats.org/officeDocument/2006/relationships/hyperlink" Target="https://drive.google.com/file/d/1FL1blVS7Qt6oiI4dOFG42H4bb4QeU66_/view?usp=drivesdk" TargetMode="External"/><Relationship Id="rId1956" Type="http://schemas.openxmlformats.org/officeDocument/2006/relationships/hyperlink" Target="https://drive.google.com/file/d/1RYaDzEpjkWhZg6MfzWby_p76atieCzr3/view?usp=drivesdk" TargetMode="External"/><Relationship Id="rId1957" Type="http://schemas.openxmlformats.org/officeDocument/2006/relationships/hyperlink" Target="https://drive.google.com/file/d/1Pgud-VCjLfq3tEWHglBauJ42adryzxVz/view?usp=drivesdk" TargetMode="External"/><Relationship Id="rId1958" Type="http://schemas.openxmlformats.org/officeDocument/2006/relationships/hyperlink" Target="https://drive.google.com/file/d/1FssiLp5sIO5kiMlLLpT6Y5pibgktp5Ea/view?usp=drivesdk" TargetMode="External"/><Relationship Id="rId1959" Type="http://schemas.openxmlformats.org/officeDocument/2006/relationships/hyperlink" Target="https://drive.google.com/file/d/16j8Y2c2sGnA4zEKtIMo6rFsxyRU5TDsG/view?usp=drivesdk" TargetMode="External"/><Relationship Id="rId1940" Type="http://schemas.openxmlformats.org/officeDocument/2006/relationships/hyperlink" Target="https://drive.google.com/file/d/1EDlBTERQgcnobGH0zWnB2UBeq-xnXXBX/view?usp=drivesdk" TargetMode="External"/><Relationship Id="rId1941" Type="http://schemas.openxmlformats.org/officeDocument/2006/relationships/hyperlink" Target="https://drive.google.com/file/d/1tbWcMj_hZ6ptmRMaCsPas7EQrYdnPNMl/view?usp=drivesdk" TargetMode="External"/><Relationship Id="rId1942" Type="http://schemas.openxmlformats.org/officeDocument/2006/relationships/hyperlink" Target="https://drive.google.com/file/d/1994lnxD2eEs2uyB5UV0bR5jLpeGBDIIZ/view?usp=drivesdk" TargetMode="External"/><Relationship Id="rId1943" Type="http://schemas.openxmlformats.org/officeDocument/2006/relationships/hyperlink" Target="https://drive.google.com/file/d/1UyD7I1SteFvKsyo0Nbp-bCT99aD5D3Un/view?usp=drivesdk" TargetMode="External"/><Relationship Id="rId1944" Type="http://schemas.openxmlformats.org/officeDocument/2006/relationships/hyperlink" Target="https://drive.google.com/file/d/1Y91PZCuMwkSXl40zt1ZTno-vw4fVPaQD/view?usp=drivesdk" TargetMode="External"/><Relationship Id="rId1945" Type="http://schemas.openxmlformats.org/officeDocument/2006/relationships/hyperlink" Target="https://drive.google.com/file/d/1OuFtUE_mB6DHfaFItInVrCi9nxpo4YLJ/view?usp=drivesdk" TargetMode="External"/><Relationship Id="rId1946" Type="http://schemas.openxmlformats.org/officeDocument/2006/relationships/hyperlink" Target="https://drive.google.com/file/d/1mDBpL7v-amVQgHtpQRm7aEuhoeifJnAA/view?usp=drivesdk" TargetMode="External"/><Relationship Id="rId1947" Type="http://schemas.openxmlformats.org/officeDocument/2006/relationships/hyperlink" Target="https://drive.google.com/file/d/1OPDhkjCjWKw06oGklREBdI3vXXXEUPTP/view?usp=drivesdk" TargetMode="External"/><Relationship Id="rId1948" Type="http://schemas.openxmlformats.org/officeDocument/2006/relationships/hyperlink" Target="https://drive.google.com/file/d/1OJL-5bMERmSkc_q8REzPHnniY88Rfe2X/view?usp=drivesdk" TargetMode="External"/><Relationship Id="rId1949" Type="http://schemas.openxmlformats.org/officeDocument/2006/relationships/hyperlink" Target="https://drive.google.com/file/d/1AFadky5r2WLLyne2WIfoHisUan96b82U/view?usp=drivesdk" TargetMode="External"/><Relationship Id="rId509" Type="http://schemas.openxmlformats.org/officeDocument/2006/relationships/hyperlink" Target="https://drive.google.com/file/d/1eaB166KHnktypyyd5aoaldUhVGaadrXH/view?usp=drivesdk" TargetMode="External"/><Relationship Id="rId508" Type="http://schemas.openxmlformats.org/officeDocument/2006/relationships/hyperlink" Target="https://drive.google.com/file/d/1nez_T95FjhcCQlnfNdfZzqaYmy8glKiW/view?usp=drivesdk" TargetMode="External"/><Relationship Id="rId503" Type="http://schemas.openxmlformats.org/officeDocument/2006/relationships/hyperlink" Target="https://drive.google.com/file/d/1rJ6Ftk5MK7ELXL8d33hq-h2Q9RtOd4IL/view?usp=drivesdk" TargetMode="External"/><Relationship Id="rId502" Type="http://schemas.openxmlformats.org/officeDocument/2006/relationships/hyperlink" Target="https://drive.google.com/file/d/1PS3Oo-nLjEvXT5Lyfa-qEsGprPGPmsCo/view?usp=drivesdk" TargetMode="External"/><Relationship Id="rId501" Type="http://schemas.openxmlformats.org/officeDocument/2006/relationships/hyperlink" Target="https://drive.google.com/file/d/1vyUKwF9Dz4EqFEHQOfS9cz91zdp6rPJJ/view?usp=drivesdk" TargetMode="External"/><Relationship Id="rId500" Type="http://schemas.openxmlformats.org/officeDocument/2006/relationships/hyperlink" Target="https://drive.google.com/file/d/1cfFoc-O5bXM_fMSZlIs7pxOFLUYcH9s8/view?usp=drivesdk" TargetMode="External"/><Relationship Id="rId507" Type="http://schemas.openxmlformats.org/officeDocument/2006/relationships/hyperlink" Target="https://drive.google.com/file/d/1qsQ-wpvXEcMFf1BSi61p5voeOjOcVElw/view?usp=drivesdk" TargetMode="External"/><Relationship Id="rId506" Type="http://schemas.openxmlformats.org/officeDocument/2006/relationships/hyperlink" Target="https://drive.google.com/file/d/1sHeXO1n3vlQ7J6Sgg58WLTGygdEOodlT/view?usp=drivesdk" TargetMode="External"/><Relationship Id="rId505" Type="http://schemas.openxmlformats.org/officeDocument/2006/relationships/hyperlink" Target="https://drive.google.com/file/d/1e0DnUrrQTa2fCgosfJ5wn6seXpBMinNe/view?usp=drivesdk" TargetMode="External"/><Relationship Id="rId504" Type="http://schemas.openxmlformats.org/officeDocument/2006/relationships/hyperlink" Target="https://drive.google.com/file/d/1qjRZzZBtTRAhQQMExt-46w2GepCCEt6G/view?usp=drivesdk" TargetMode="External"/><Relationship Id="rId6803" Type="http://schemas.openxmlformats.org/officeDocument/2006/relationships/hyperlink" Target="https://drive.google.com/file/d/1Vsfq7rIlhKYx0x-opxw6ngTV6Gy0uORp/view?usp=drivesdk" TargetMode="External"/><Relationship Id="rId6804" Type="http://schemas.openxmlformats.org/officeDocument/2006/relationships/hyperlink" Target="https://drive.google.com/file/d/1u0JquNApTPEkfNcLCCVt-mtM2uVOgChF/view?usp=drivesdk" TargetMode="External"/><Relationship Id="rId6801" Type="http://schemas.openxmlformats.org/officeDocument/2006/relationships/hyperlink" Target="https://drive.google.com/file/d/1S6pABNUL6G4Iz9VG7eLsL4QOmbNdgBL9/view?usp=drivesdk" TargetMode="External"/><Relationship Id="rId6802" Type="http://schemas.openxmlformats.org/officeDocument/2006/relationships/hyperlink" Target="https://drive.google.com/file/d/1UkI8WYW35-2O2WCP4aN6rveMWpk5cudt/view?usp=drivesdk" TargetMode="External"/><Relationship Id="rId6807" Type="http://schemas.openxmlformats.org/officeDocument/2006/relationships/hyperlink" Target="https://drive.google.com/file/d/1PKXyTk9HxRj0Ak6fvHiX9fFDqFjVT4T3/view?usp=drivesdk" TargetMode="External"/><Relationship Id="rId6808" Type="http://schemas.openxmlformats.org/officeDocument/2006/relationships/hyperlink" Target="https://drive.google.com/file/d/1G2CgTzomrDydtgmb49vigTtrQEH6wDgy/view?usp=drivesdk" TargetMode="External"/><Relationship Id="rId6805" Type="http://schemas.openxmlformats.org/officeDocument/2006/relationships/hyperlink" Target="https://drive.google.com/file/d/1p5fg9D5gdKyLtI1UYzh-2U4971V1YfFP/view?usp=drivesdk" TargetMode="External"/><Relationship Id="rId6806" Type="http://schemas.openxmlformats.org/officeDocument/2006/relationships/hyperlink" Target="https://drive.google.com/file/d/1foDUK6VjInw-muEBDx7f3PJys4jXjn4p/view?usp=drivesdk" TargetMode="External"/><Relationship Id="rId6809" Type="http://schemas.openxmlformats.org/officeDocument/2006/relationships/hyperlink" Target="https://drive.google.com/file/d/1DGzyHdGvYHTLYWgQ5aZjWq2pFUI-sUKR/view?usp=drivesdk" TargetMode="External"/><Relationship Id="rId525" Type="http://schemas.openxmlformats.org/officeDocument/2006/relationships/hyperlink" Target="https://drive.google.com/file/d/1OU9AkE-VfNfEzcONT2JwDU7mTJCTQjWm/view?usp=drivesdk" TargetMode="External"/><Relationship Id="rId524" Type="http://schemas.openxmlformats.org/officeDocument/2006/relationships/hyperlink" Target="https://drive.google.com/file/d/1WKArMNnvAIH4EsqMRaJ3bOBDPIn8ZP_V/view?usp=drivesdk" TargetMode="External"/><Relationship Id="rId523" Type="http://schemas.openxmlformats.org/officeDocument/2006/relationships/hyperlink" Target="https://drive.google.com/file/d/1eEMcpyIbqmzXlrJXhdfhYJznrDX12Pqm/view?usp=drivesdk" TargetMode="External"/><Relationship Id="rId522" Type="http://schemas.openxmlformats.org/officeDocument/2006/relationships/hyperlink" Target="https://drive.google.com/file/d/16-dskiusODAwng_aleLFc1wq7-UFTKks/view?usp=drivesdk" TargetMode="External"/><Relationship Id="rId529" Type="http://schemas.openxmlformats.org/officeDocument/2006/relationships/hyperlink" Target="https://drive.google.com/file/d/1V9G8ZiRRieE7BIie1MmHvlH2XZosviIq/view?usp=drivesdk" TargetMode="External"/><Relationship Id="rId528" Type="http://schemas.openxmlformats.org/officeDocument/2006/relationships/hyperlink" Target="https://drive.google.com/file/d/1pdCPmJLVCcGM_taH-rySebx0ZYcPuiFL/view?usp=drivesdk" TargetMode="External"/><Relationship Id="rId527" Type="http://schemas.openxmlformats.org/officeDocument/2006/relationships/hyperlink" Target="https://drive.google.com/file/d/1NIHEn5u89DR8Tlf6z3nRALlOr2p4xrRI/view?usp=drivesdk" TargetMode="External"/><Relationship Id="rId526" Type="http://schemas.openxmlformats.org/officeDocument/2006/relationships/hyperlink" Target="https://drive.google.com/file/d/1G6UqT0S2McoAazMOtLPOfs6RL7CKRaMl/view?usp=drivesdk" TargetMode="External"/><Relationship Id="rId521" Type="http://schemas.openxmlformats.org/officeDocument/2006/relationships/hyperlink" Target="https://drive.google.com/file/d/1oVuFlYSpeVREDg1qgG6tPU-W97ahuqBD/view?usp=drivesdk" TargetMode="External"/><Relationship Id="rId520" Type="http://schemas.openxmlformats.org/officeDocument/2006/relationships/hyperlink" Target="https://drive.google.com/file/d/1YvswTxfqZNl2xvCPXEPzKQD93Z2ma97c/view?usp=drivesdk" TargetMode="External"/><Relationship Id="rId6800" Type="http://schemas.openxmlformats.org/officeDocument/2006/relationships/hyperlink" Target="https://drive.google.com/file/d/1JIwE9dwgsxjGbXHpdqUbq8YHv6LJ1Amp/view?usp=drivesdk" TargetMode="External"/><Relationship Id="rId519" Type="http://schemas.openxmlformats.org/officeDocument/2006/relationships/hyperlink" Target="https://drive.google.com/file/d/1jIqaPCVCR1ghpvuWz1nMW66Fu8oNdJKr/view?usp=drivesdk" TargetMode="External"/><Relationship Id="rId514" Type="http://schemas.openxmlformats.org/officeDocument/2006/relationships/hyperlink" Target="https://drive.google.com/file/d/1IHXB2dlE9e-_F9lmQiJXOxXZlyNP4NY0/view?usp=drivesdk" TargetMode="External"/><Relationship Id="rId513" Type="http://schemas.openxmlformats.org/officeDocument/2006/relationships/hyperlink" Target="https://drive.google.com/file/d/1MGOK-FtlSJBZOx_7wco5GtB_yCx6gjiV/view?usp=drivesdk" TargetMode="External"/><Relationship Id="rId512" Type="http://schemas.openxmlformats.org/officeDocument/2006/relationships/hyperlink" Target="https://drive.google.com/file/d/1c9q9TSQGKl9VMWa3BJYKVqI_jCsHlZBE/view?usp=drivesdk" TargetMode="External"/><Relationship Id="rId511" Type="http://schemas.openxmlformats.org/officeDocument/2006/relationships/hyperlink" Target="https://drive.google.com/file/d/1pBJa3SavvvwMFtg4pLZXwS3Cskt58dQy/view?usp=drivesdk" TargetMode="External"/><Relationship Id="rId518" Type="http://schemas.openxmlformats.org/officeDocument/2006/relationships/hyperlink" Target="https://drive.google.com/file/d/1Ob0O67aD3GFCs1LN6hM6xecTmzjzbw5A/view?usp=drivesdk" TargetMode="External"/><Relationship Id="rId517" Type="http://schemas.openxmlformats.org/officeDocument/2006/relationships/hyperlink" Target="https://drive.google.com/file/d/1uV6xO382MBgxFNNagdLNchE5-odvtltp/view?usp=drivesdk" TargetMode="External"/><Relationship Id="rId516" Type="http://schemas.openxmlformats.org/officeDocument/2006/relationships/hyperlink" Target="https://drive.google.com/file/d/1o6gD1b9NNGeaFdv8TW5BJHyELGfPY4-g/view?usp=drivesdk" TargetMode="External"/><Relationship Id="rId515" Type="http://schemas.openxmlformats.org/officeDocument/2006/relationships/hyperlink" Target="https://drive.google.com/file/d/12YSWo0FSgHEhriRwlK_L9EnMrAsO9bF6/view?usp=drivesdk" TargetMode="External"/><Relationship Id="rId510" Type="http://schemas.openxmlformats.org/officeDocument/2006/relationships/hyperlink" Target="https://drive.google.com/file/d/1DoMXWIZPT6mnfQYUe4sDZaDxCoiEpr84/view?usp=drivesdk" TargetMode="External"/><Relationship Id="rId4206" Type="http://schemas.openxmlformats.org/officeDocument/2006/relationships/hyperlink" Target="https://drive.google.com/file/d/1aLU_dyPpzp8lkDfy_32EJTg4DmfytGkX/view?usp=drivesdk" TargetMode="External"/><Relationship Id="rId5538" Type="http://schemas.openxmlformats.org/officeDocument/2006/relationships/hyperlink" Target="https://drive.google.com/file/d/1qmYWOUJH-uMLHXMAV3YjaBC_yKs8MDNY/view?usp=drivesdk" TargetMode="External"/><Relationship Id="rId6869" Type="http://schemas.openxmlformats.org/officeDocument/2006/relationships/hyperlink" Target="https://drive.google.com/file/d/1WUQK7UUxHiaJ-H2UAxbwKQCDdiJzXzwr/view?usp=drivesdk" TargetMode="External"/><Relationship Id="rId4205" Type="http://schemas.openxmlformats.org/officeDocument/2006/relationships/hyperlink" Target="https://drive.google.com/file/d/1WAzn_e5aU4uCCRWdpBesHemeDqPRgLMD/view?usp=drivesdk" TargetMode="External"/><Relationship Id="rId5539" Type="http://schemas.openxmlformats.org/officeDocument/2006/relationships/hyperlink" Target="https://drive.google.com/file/d/1aW8clrohi-dC9LWpV04Jyz9w4a0HeX6v/view?usp=drivesdk" TargetMode="External"/><Relationship Id="rId4208" Type="http://schemas.openxmlformats.org/officeDocument/2006/relationships/hyperlink" Target="https://drive.google.com/file/d/1sgBe2KO2zvTxoH0DjOBwHbgRdu4DFb-G/view?usp=drivesdk" TargetMode="External"/><Relationship Id="rId5536" Type="http://schemas.openxmlformats.org/officeDocument/2006/relationships/hyperlink" Target="https://drive.google.com/file/d/1r9fb79TOt2BPHWP3htlZK_GVxolTvVFF/view?usp=drivesdk" TargetMode="External"/><Relationship Id="rId6867" Type="http://schemas.openxmlformats.org/officeDocument/2006/relationships/hyperlink" Target="https://drive.google.com/file/d/17dP70irU-pqKWEpPwwptrKkvFLdGRqXF/view?usp=drivesdk" TargetMode="External"/><Relationship Id="rId4207" Type="http://schemas.openxmlformats.org/officeDocument/2006/relationships/hyperlink" Target="https://drive.google.com/file/d/1LWL6APL3gb4Uo4lBLaecVly1lhFjA7Db/view?usp=drivesdk" TargetMode="External"/><Relationship Id="rId5537" Type="http://schemas.openxmlformats.org/officeDocument/2006/relationships/hyperlink" Target="https://drive.google.com/file/d/19Bxg3_ghGxwdKJluaCGmdyzCDAA7B-ra/view?usp=drivesdk" TargetMode="External"/><Relationship Id="rId6868" Type="http://schemas.openxmlformats.org/officeDocument/2006/relationships/hyperlink" Target="https://drive.google.com/file/d/1Gscu-7PEgupSNBJNt-_NrFCMXbwZsuTG/view?usp=drivesdk" TargetMode="External"/><Relationship Id="rId590" Type="http://schemas.openxmlformats.org/officeDocument/2006/relationships/hyperlink" Target="https://drive.google.com/file/d/18rAp9_VXU16SICPFsSCmMxnDE_jSw1ge/view?usp=drivesdk" TargetMode="External"/><Relationship Id="rId4209" Type="http://schemas.openxmlformats.org/officeDocument/2006/relationships/hyperlink" Target="https://drive.google.com/file/d/1UTHgwWr53DFDZn0WzjD6wyh5FmWZR1Ff/view?usp=drivesdk" TargetMode="External"/><Relationship Id="rId589" Type="http://schemas.openxmlformats.org/officeDocument/2006/relationships/hyperlink" Target="https://drive.google.com/file/d/1bjUeoXwHfQSvMPyoqgEI6MTj9PEXEIwg/view?usp=drivesdk" TargetMode="External"/><Relationship Id="rId588" Type="http://schemas.openxmlformats.org/officeDocument/2006/relationships/hyperlink" Target="https://drive.google.com/file/d/10Qjk4CTMuhh89g7N37HE9a27IHAqOEWo/view?usp=drivesdk" TargetMode="External"/><Relationship Id="rId583" Type="http://schemas.openxmlformats.org/officeDocument/2006/relationships/hyperlink" Target="https://drive.google.com/file/d/1OvKYXjQ97gCh0zCuQlzGssgi3t2emgsY/view?usp=drivesdk" TargetMode="External"/><Relationship Id="rId5530" Type="http://schemas.openxmlformats.org/officeDocument/2006/relationships/hyperlink" Target="https://drive.google.com/file/d/1Rr_jGyh9N7edE0WYMf1PBZVv1Y5NyRL3/view?usp=drivesdk" TargetMode="External"/><Relationship Id="rId6861" Type="http://schemas.openxmlformats.org/officeDocument/2006/relationships/hyperlink" Target="https://drive.google.com/file/d/1TOX1gf6LdH3wUEqYNDRaRrkdOduPkFjg/view?usp=drivesdk" TargetMode="External"/><Relationship Id="rId582" Type="http://schemas.openxmlformats.org/officeDocument/2006/relationships/hyperlink" Target="https://drive.google.com/file/d/1MfFhUnIyAKzF_eIFh4KaDMSQjs8I7fmS/view?usp=drivesdk" TargetMode="External"/><Relationship Id="rId5531" Type="http://schemas.openxmlformats.org/officeDocument/2006/relationships/hyperlink" Target="https://drive.google.com/file/d/1-V8cFd04KPYISwE4SukZa7JJJuqKUmAE/view?usp=drivesdk" TargetMode="External"/><Relationship Id="rId6862" Type="http://schemas.openxmlformats.org/officeDocument/2006/relationships/hyperlink" Target="https://drive.google.com/file/d/1rMkzYY8GpcTqVxsaX4srEh06p_3LqdF6/view?usp=drivesdk" TargetMode="External"/><Relationship Id="rId581" Type="http://schemas.openxmlformats.org/officeDocument/2006/relationships/hyperlink" Target="https://drive.google.com/file/d/1ot09aI_Ny7MVggvdGp8UK0NcJ4vFi781/view?usp=drivesdk" TargetMode="External"/><Relationship Id="rId4200" Type="http://schemas.openxmlformats.org/officeDocument/2006/relationships/hyperlink" Target="https://drive.google.com/file/d/1AZ3AThOnOT3ogyzPATHjkv_Gc_a4S_-t/view?usp=drivesdk" TargetMode="External"/><Relationship Id="rId580" Type="http://schemas.openxmlformats.org/officeDocument/2006/relationships/hyperlink" Target="https://drive.google.com/file/d/1BF-a2oQGKUbR_tTDyY8p09AnesThAGtK/view?usp=drivesdk" TargetMode="External"/><Relationship Id="rId6860" Type="http://schemas.openxmlformats.org/officeDocument/2006/relationships/hyperlink" Target="https://drive.google.com/file/d/1TkFYQZxiGlnOm2Ae2Ao5VKpRM0zgzhD8/view?usp=drivesdk" TargetMode="External"/><Relationship Id="rId587" Type="http://schemas.openxmlformats.org/officeDocument/2006/relationships/hyperlink" Target="https://drive.google.com/file/d/1LQYGNs8B98_YuJJEhs4xVQF82HAJkmDJ/view?usp=drivesdk" TargetMode="External"/><Relationship Id="rId4202" Type="http://schemas.openxmlformats.org/officeDocument/2006/relationships/hyperlink" Target="https://drive.google.com/file/d/1ToClmiMIUZtQjLiWZXste_u3WZmilb-v/view?usp=drivesdk" TargetMode="External"/><Relationship Id="rId5534" Type="http://schemas.openxmlformats.org/officeDocument/2006/relationships/hyperlink" Target="https://drive.google.com/file/d/1c0SFbRl5B8TyBIkKx5tAvQo-fbhOa52n/view?usp=drivesdk" TargetMode="External"/><Relationship Id="rId6865" Type="http://schemas.openxmlformats.org/officeDocument/2006/relationships/hyperlink" Target="https://drive.google.com/file/d/1bKnNJr_ynN4Q5_DyBTFIItfDhKFzMVcD/view?usp=drivesdk" TargetMode="External"/><Relationship Id="rId586" Type="http://schemas.openxmlformats.org/officeDocument/2006/relationships/hyperlink" Target="https://drive.google.com/file/d/1Gd-iRiYEyPZBvCVINEu4b-HDmMVV_SDZ/view?usp=drivesdk" TargetMode="External"/><Relationship Id="rId4201" Type="http://schemas.openxmlformats.org/officeDocument/2006/relationships/hyperlink" Target="https://drive.google.com/file/d/1EvrNTKvsp74IHe5BbqHcPoB-rsdvZz3p/view?usp=drivesdk" TargetMode="External"/><Relationship Id="rId5535" Type="http://schemas.openxmlformats.org/officeDocument/2006/relationships/hyperlink" Target="https://drive.google.com/file/d/1GZtFMvIgjgs-bfNu49FURyDedG3Ar-kP/view?usp=drivesdk" TargetMode="External"/><Relationship Id="rId6866" Type="http://schemas.openxmlformats.org/officeDocument/2006/relationships/hyperlink" Target="https://drive.google.com/file/d/1kbQrVTar2_JZta8izfx_hQR0D8tfj_IX/view?usp=drivesdk" TargetMode="External"/><Relationship Id="rId585" Type="http://schemas.openxmlformats.org/officeDocument/2006/relationships/hyperlink" Target="https://drive.google.com/file/d/1ZV2zaSbYEsYM1crIIQivBDtWUIuLq0t3/view?usp=drivesdk" TargetMode="External"/><Relationship Id="rId4204" Type="http://schemas.openxmlformats.org/officeDocument/2006/relationships/hyperlink" Target="https://drive.google.com/file/d/1hP88vfI3D2oTqEIkv8N5zNMQq8qWDpxy/view?usp=drivesdk" TargetMode="External"/><Relationship Id="rId5532" Type="http://schemas.openxmlformats.org/officeDocument/2006/relationships/hyperlink" Target="https://drive.google.com/file/d/1YtNCXgjoYk4_wLkKw-EtLLLP7ElLM2nX/view?usp=drivesdk" TargetMode="External"/><Relationship Id="rId6863" Type="http://schemas.openxmlformats.org/officeDocument/2006/relationships/hyperlink" Target="https://drive.google.com/file/d/1rgvpLdDDh1wGo2VDMQjsW2PRf9Sf_MMW/view?usp=drivesdk" TargetMode="External"/><Relationship Id="rId584" Type="http://schemas.openxmlformats.org/officeDocument/2006/relationships/hyperlink" Target="https://drive.google.com/file/d/16afb_79c7NCqZaVlFxuJK5wtK81-w0ZZ/view?usp=drivesdk" TargetMode="External"/><Relationship Id="rId4203" Type="http://schemas.openxmlformats.org/officeDocument/2006/relationships/hyperlink" Target="https://drive.google.com/file/d/1YvAO9TlQXLHOpFhnlNawIMsYRZ4bGdxn/view?usp=drivesdk" TargetMode="External"/><Relationship Id="rId5533" Type="http://schemas.openxmlformats.org/officeDocument/2006/relationships/hyperlink" Target="https://drive.google.com/file/d/1JXItjC3P37OrzkOOK8HY3KhKL_mKP2lT/view?usp=drivesdk" TargetMode="External"/><Relationship Id="rId6864" Type="http://schemas.openxmlformats.org/officeDocument/2006/relationships/hyperlink" Target="https://drive.google.com/file/d/1bBRsHC0IXI_rghF4p8jQJt_VFyQEZ4Cw/view?usp=drivesdk" TargetMode="External"/><Relationship Id="rId5527" Type="http://schemas.openxmlformats.org/officeDocument/2006/relationships/hyperlink" Target="https://drive.google.com/file/d/1l8bqQNM3MppisQr4l14ubllQmOLuzOs0/view?usp=drivesdk" TargetMode="External"/><Relationship Id="rId6858" Type="http://schemas.openxmlformats.org/officeDocument/2006/relationships/hyperlink" Target="https://drive.google.com/file/d/1NWlQviLEWrvp6SsvxINobCpS8TzySqTv/view?usp=drivesdk" TargetMode="External"/><Relationship Id="rId5528" Type="http://schemas.openxmlformats.org/officeDocument/2006/relationships/hyperlink" Target="https://drive.google.com/file/d/1ozEP6LdDtkWNbXs4OCG1G4ChZ7s5pthP/view?usp=drivesdk" TargetMode="External"/><Relationship Id="rId6859" Type="http://schemas.openxmlformats.org/officeDocument/2006/relationships/hyperlink" Target="https://drive.google.com/file/d/1aRUvEyL58LMmxXBwNrfLUFEcNs7yTX8S/view?usp=drivesdk" TargetMode="External"/><Relationship Id="rId5525" Type="http://schemas.openxmlformats.org/officeDocument/2006/relationships/hyperlink" Target="https://drive.google.com/file/d/1cCao_7qwYFFgKaVJC8T1K68f-pVlbi4l/view?usp=drivesdk" TargetMode="External"/><Relationship Id="rId6856" Type="http://schemas.openxmlformats.org/officeDocument/2006/relationships/hyperlink" Target="https://drive.google.com/file/d/1PHG4Q2Rfh8s6jdWn083jVJpgHwLoYIDz/view?usp=drivesdk" TargetMode="External"/><Relationship Id="rId5526" Type="http://schemas.openxmlformats.org/officeDocument/2006/relationships/hyperlink" Target="https://drive.google.com/file/d/1nVxVAObyb-Ef4mhItx-YOT79D0Be_7LL/view?usp=drivesdk" TargetMode="External"/><Relationship Id="rId6857" Type="http://schemas.openxmlformats.org/officeDocument/2006/relationships/hyperlink" Target="https://drive.google.com/file/d/1x_n8_JgITYRMVHo6J_U-jUQAjAafEfmB/view?usp=drivesdk" TargetMode="External"/><Relationship Id="rId5529" Type="http://schemas.openxmlformats.org/officeDocument/2006/relationships/hyperlink" Target="https://drive.google.com/file/d/1Sme3Y7_3zwpJ75kdS8jvJI9w7a5Pcw_4/view?usp=drivesdk" TargetMode="External"/><Relationship Id="rId579" Type="http://schemas.openxmlformats.org/officeDocument/2006/relationships/hyperlink" Target="https://drive.google.com/file/d/1EKjnbBGbfWCg7r72I2VeXqqAmGtc7yko/view?usp=drivesdk" TargetMode="External"/><Relationship Id="rId578" Type="http://schemas.openxmlformats.org/officeDocument/2006/relationships/hyperlink" Target="https://drive.google.com/file/d/1dV7admZeGnLu9y-DPeMrwHReEpcaDo6k/view?usp=drivesdk" TargetMode="External"/><Relationship Id="rId577" Type="http://schemas.openxmlformats.org/officeDocument/2006/relationships/hyperlink" Target="https://drive.google.com/file/d/1rOPLcn-CNZaL0lq9AOEn6WN_-NMdvHh2/view?usp=drivesdk" TargetMode="External"/><Relationship Id="rId572" Type="http://schemas.openxmlformats.org/officeDocument/2006/relationships/hyperlink" Target="https://drive.google.com/file/d/1xtCNJpkgteaXmsSPqOOiJ7F5QNSpamtO/view?usp=drivesdk" TargetMode="External"/><Relationship Id="rId6850" Type="http://schemas.openxmlformats.org/officeDocument/2006/relationships/hyperlink" Target="https://drive.google.com/file/d/1enPyKb4xM0V-pSWfQlM0R1YnoJeJzP0E/view?usp=drivesdk" TargetMode="External"/><Relationship Id="rId571" Type="http://schemas.openxmlformats.org/officeDocument/2006/relationships/hyperlink" Target="https://drive.google.com/file/d/1t1SZ9TiwtB3W0Sc9Y0HpqTy95S7NR7RD/view?usp=drivesdk" TargetMode="External"/><Relationship Id="rId5520" Type="http://schemas.openxmlformats.org/officeDocument/2006/relationships/hyperlink" Target="https://drive.google.com/file/d/1jSM6KXEltIatwiJwQhX_OzeJAYMa3RI6/view?usp=drivesdk" TargetMode="External"/><Relationship Id="rId6851" Type="http://schemas.openxmlformats.org/officeDocument/2006/relationships/hyperlink" Target="https://drive.google.com/file/d/1C7QGbFqR6i9ALd8pmIm6e3qD_nZzdM04/view?usp=drivesdk" TargetMode="External"/><Relationship Id="rId570" Type="http://schemas.openxmlformats.org/officeDocument/2006/relationships/hyperlink" Target="https://drive.google.com/file/d/1JO4JUTlzWCipQ991KQR0Q87o9NY1ME9d/view?usp=drivesdk" TargetMode="External"/><Relationship Id="rId576" Type="http://schemas.openxmlformats.org/officeDocument/2006/relationships/hyperlink" Target="https://drive.google.com/file/d/1-WXK_rq0kKT9i61g7iV8BycD1ZQNeI3s/view?usp=drivesdk" TargetMode="External"/><Relationship Id="rId5523" Type="http://schemas.openxmlformats.org/officeDocument/2006/relationships/hyperlink" Target="https://drive.google.com/file/d/1Uod1uTvKArUthh_gKKy-eJnH7JRfxFUK/view?usp=drivesdk" TargetMode="External"/><Relationship Id="rId6854" Type="http://schemas.openxmlformats.org/officeDocument/2006/relationships/hyperlink" Target="https://drive.google.com/file/d/1-VllVEwJ54U4l_92ISEG4u-kGzAjtVvD/view?usp=drivesdk" TargetMode="External"/><Relationship Id="rId575" Type="http://schemas.openxmlformats.org/officeDocument/2006/relationships/hyperlink" Target="https://drive.google.com/file/d/1Z3v6yapUa9SgAgdfDfghtH3w02mZMPgh/view?usp=drivesdk" TargetMode="External"/><Relationship Id="rId5524" Type="http://schemas.openxmlformats.org/officeDocument/2006/relationships/hyperlink" Target="https://drive.google.com/file/d/1QcYFYg2zds0PGp0z6mQ_9oXNnn9r_8Lh/view?usp=drivesdk" TargetMode="External"/><Relationship Id="rId6855" Type="http://schemas.openxmlformats.org/officeDocument/2006/relationships/hyperlink" Target="https://drive.google.com/file/d/1YfDV6uLAfWN-ByXutclFTh94wDpvBgB9/view?usp=drivesdk" TargetMode="External"/><Relationship Id="rId574" Type="http://schemas.openxmlformats.org/officeDocument/2006/relationships/hyperlink" Target="https://drive.google.com/file/d/167AnF_51iYNfSZqMN79kCTRxng2BXQ9j/view?usp=drivesdk" TargetMode="External"/><Relationship Id="rId5521" Type="http://schemas.openxmlformats.org/officeDocument/2006/relationships/hyperlink" Target="https://drive.google.com/file/d/1dSPj82gbBBAYJvFNCK3jUYEJIVXMjt6w/view?usp=drivesdk" TargetMode="External"/><Relationship Id="rId6852" Type="http://schemas.openxmlformats.org/officeDocument/2006/relationships/hyperlink" Target="https://drive.google.com/file/d/1MXP1XCy9bT6W34iBzeAmTOkK4o8TjByw/view?usp=drivesdk" TargetMode="External"/><Relationship Id="rId573" Type="http://schemas.openxmlformats.org/officeDocument/2006/relationships/hyperlink" Target="https://drive.google.com/file/d/1raIPeVTg1Vv5T4WcqO0RMYaIKn-A6DaZ/view?usp=drivesdk" TargetMode="External"/><Relationship Id="rId5522" Type="http://schemas.openxmlformats.org/officeDocument/2006/relationships/hyperlink" Target="https://drive.google.com/file/d/1iMKxv-pPeK5wuDAPIhv06GyOPp3GleoL/view?usp=drivesdk" TargetMode="External"/><Relationship Id="rId6853" Type="http://schemas.openxmlformats.org/officeDocument/2006/relationships/hyperlink" Target="https://drive.google.com/file/d/1Yo9cDOXHPEAhPVX9xdp3GEizWAOe3gXm/view?usp=drivesdk" TargetMode="External"/><Relationship Id="rId4228" Type="http://schemas.openxmlformats.org/officeDocument/2006/relationships/hyperlink" Target="https://drive.google.com/file/d/1dpbS6nvJZz42YudFJvB_sXeciIcE68X6/view?usp=drivesdk" TargetMode="External"/><Relationship Id="rId4227" Type="http://schemas.openxmlformats.org/officeDocument/2006/relationships/hyperlink" Target="https://drive.google.com/file/d/1ArpSXL_Djj21YvbUbhOBiaV5otcK99wa/view?usp=drivesdk" TargetMode="External"/><Relationship Id="rId5558" Type="http://schemas.openxmlformats.org/officeDocument/2006/relationships/hyperlink" Target="https://drive.google.com/file/d/1k68iXsLZWGDDeuZAK30aPnGPZmoOnukF/view?usp=drivesdk" TargetMode="External"/><Relationship Id="rId6889" Type="http://schemas.openxmlformats.org/officeDocument/2006/relationships/hyperlink" Target="https://drive.google.com/file/d/1R7IMCZeUkQoDe0BMYPUq98_-lOkHOppj/view?usp=drivesdk" TargetMode="External"/><Relationship Id="rId4229" Type="http://schemas.openxmlformats.org/officeDocument/2006/relationships/hyperlink" Target="https://drive.google.com/file/d/1R-U4LFIyTgLrEsGx3--LUlDcNTbsw32x/view?usp=drivesdk" TargetMode="External"/><Relationship Id="rId5559" Type="http://schemas.openxmlformats.org/officeDocument/2006/relationships/hyperlink" Target="https://drive.google.com/file/d/1okCL23B_7KTNP359ytoW_tWXEODhYQGb/view?usp=drivesdk" TargetMode="External"/><Relationship Id="rId6880" Type="http://schemas.openxmlformats.org/officeDocument/2006/relationships/hyperlink" Target="https://drive.google.com/file/d/1ypBP38-KeSHCQAJ8vcP1rvtq3df-tLHS/view?usp=drivesdk" TargetMode="External"/><Relationship Id="rId4220" Type="http://schemas.openxmlformats.org/officeDocument/2006/relationships/hyperlink" Target="https://drive.google.com/file/d/1GZSj_WM2-8PexZihHPhaQ7ecZaQKcrxn/view?usp=drivesdk" TargetMode="External"/><Relationship Id="rId5552" Type="http://schemas.openxmlformats.org/officeDocument/2006/relationships/hyperlink" Target="https://drive.google.com/file/d/1L11rGcGvbj68nwtjLgTVi9o3Dt-csgax/view?usp=drivesdk" TargetMode="External"/><Relationship Id="rId6883" Type="http://schemas.openxmlformats.org/officeDocument/2006/relationships/hyperlink" Target="https://drive.google.com/file/d/1AWKqjvPUOzIUsycZWgnzaM7otge1Noli/view?usp=drivesdk" TargetMode="External"/><Relationship Id="rId5553" Type="http://schemas.openxmlformats.org/officeDocument/2006/relationships/hyperlink" Target="https://drive.google.com/file/d/1uZFCQl7dKZbOAG_8ERKjNTl0yn8Yj1kA/view?usp=drivesdk" TargetMode="External"/><Relationship Id="rId6884" Type="http://schemas.openxmlformats.org/officeDocument/2006/relationships/hyperlink" Target="https://drive.google.com/file/d/1RaRsZUjuJAu5KFKkuynNFzKLhY1bZPOv/view?usp=drivesdk" TargetMode="External"/><Relationship Id="rId4222" Type="http://schemas.openxmlformats.org/officeDocument/2006/relationships/hyperlink" Target="https://drive.google.com/file/d/19U6aaP0llEZ2fyIiE7x2S0U6wj-xQUiI/view?usp=drivesdk" TargetMode="External"/><Relationship Id="rId5550" Type="http://schemas.openxmlformats.org/officeDocument/2006/relationships/hyperlink" Target="https://drive.google.com/file/d/19xFQ37ICAZ-s88xKBF_hrYzBmpyWZCe9/view?usp=drivesdk" TargetMode="External"/><Relationship Id="rId6881" Type="http://schemas.openxmlformats.org/officeDocument/2006/relationships/hyperlink" Target="https://drive.google.com/file/d/1RZbgcRB8_QcvU9SeISaKGG76ri7_75QD/view?usp=drivesdk" TargetMode="External"/><Relationship Id="rId4221" Type="http://schemas.openxmlformats.org/officeDocument/2006/relationships/hyperlink" Target="https://drive.google.com/file/d/1QJ_9U2jvoU8eLMlhp2oV0yhBe-Fk7005/view?usp=drivesdk" TargetMode="External"/><Relationship Id="rId5551" Type="http://schemas.openxmlformats.org/officeDocument/2006/relationships/hyperlink" Target="https://drive.google.com/file/d/1FeH1ByBa8HlqgBg1PqX0Xp-SAtskuyym/view?usp=drivesdk" TargetMode="External"/><Relationship Id="rId6882" Type="http://schemas.openxmlformats.org/officeDocument/2006/relationships/hyperlink" Target="https://drive.google.com/file/d/1ThCnmPAkFf0NJ3mpKSdZ3YUdKlUuk4TD/view?usp=drivesdk" TargetMode="External"/><Relationship Id="rId4224" Type="http://schemas.openxmlformats.org/officeDocument/2006/relationships/hyperlink" Target="https://drive.google.com/file/d/1xJVwcjWkD7SP-SfaKZat0jewajK9lVjE/view?usp=drivesdk" TargetMode="External"/><Relationship Id="rId5556" Type="http://schemas.openxmlformats.org/officeDocument/2006/relationships/hyperlink" Target="https://drive.google.com/file/d/14n-uIJyhrLjzYsaCZHu43q-GWbmFCDt3/view?usp=drivesdk" TargetMode="External"/><Relationship Id="rId6887" Type="http://schemas.openxmlformats.org/officeDocument/2006/relationships/hyperlink" Target="https://drive.google.com/file/d/1eV2OEbHN7SDtaKVMMGO0TcdzKC-LZtAg/view?usp=drivesdk" TargetMode="External"/><Relationship Id="rId4223" Type="http://schemas.openxmlformats.org/officeDocument/2006/relationships/hyperlink" Target="https://drive.google.com/file/d/18941O8N637JUP81gQsmPdx685IjRkjQZ/view?usp=drivesdk" TargetMode="External"/><Relationship Id="rId5557" Type="http://schemas.openxmlformats.org/officeDocument/2006/relationships/hyperlink" Target="https://drive.google.com/file/d/1B5o6igYWV3-RMaPIFP-L-ttCuORF54DJ/view?usp=drivesdk" TargetMode="External"/><Relationship Id="rId6888" Type="http://schemas.openxmlformats.org/officeDocument/2006/relationships/hyperlink" Target="https://drive.google.com/file/d/1UO6zAWq8siTSJmWtbZ5a1J3FnXYubY3X/view?usp=drivesdk" TargetMode="External"/><Relationship Id="rId4226" Type="http://schemas.openxmlformats.org/officeDocument/2006/relationships/hyperlink" Target="https://drive.google.com/file/d/1Nh3a1T6IB1Hk8mUwLQJoRSB0Tck5f23H/view?usp=drivesdk" TargetMode="External"/><Relationship Id="rId5554" Type="http://schemas.openxmlformats.org/officeDocument/2006/relationships/hyperlink" Target="https://drive.google.com/file/d/1fPrE3kkqNUh5UCSpp17NbMU-XI8c4qFT/view?usp=drivesdk" TargetMode="External"/><Relationship Id="rId6885" Type="http://schemas.openxmlformats.org/officeDocument/2006/relationships/hyperlink" Target="https://drive.google.com/file/d/1d1QCLdiO-06negds-PXKyRJkPI7DKl8L/view?usp=drivesdk" TargetMode="External"/><Relationship Id="rId4225" Type="http://schemas.openxmlformats.org/officeDocument/2006/relationships/hyperlink" Target="https://drive.google.com/file/d/1LoZlFWR9j4jb2607C6kF3kgddLKABX-u/view?usp=drivesdk" TargetMode="External"/><Relationship Id="rId5555" Type="http://schemas.openxmlformats.org/officeDocument/2006/relationships/hyperlink" Target="https://drive.google.com/file/d/1kenkduUt7PYbXiaZOazrGK4yvxghQpV_/view?usp=drivesdk" TargetMode="External"/><Relationship Id="rId6886" Type="http://schemas.openxmlformats.org/officeDocument/2006/relationships/hyperlink" Target="https://drive.google.com/file/d/1aSC7iW4Htt--A9J3i5SZbjQmfQ7gPmuI/view?usp=drivesdk" TargetMode="External"/><Relationship Id="rId4217" Type="http://schemas.openxmlformats.org/officeDocument/2006/relationships/hyperlink" Target="https://drive.google.com/file/d/1E2aVuUbboNHbWLRgISYOviQCvfL_T8-t/view?usp=drivesdk" TargetMode="External"/><Relationship Id="rId5549" Type="http://schemas.openxmlformats.org/officeDocument/2006/relationships/hyperlink" Target="https://drive.google.com/file/d/1thk1ev52l8qa958x6unsv7l9d9UUmeXz/view?usp=drivesdk" TargetMode="External"/><Relationship Id="rId4216" Type="http://schemas.openxmlformats.org/officeDocument/2006/relationships/hyperlink" Target="https://drive.google.com/file/d/1Ufj04Q773CBFcAJEtE6DAdfbB1KeJygX/view?usp=drivesdk" TargetMode="External"/><Relationship Id="rId4219" Type="http://schemas.openxmlformats.org/officeDocument/2006/relationships/hyperlink" Target="https://drive.google.com/file/d/1g4e4TRRyEbTcdOCaLAe3dWHc_IicVwgN/view?usp=drivesdk" TargetMode="External"/><Relationship Id="rId5547" Type="http://schemas.openxmlformats.org/officeDocument/2006/relationships/hyperlink" Target="https://drive.google.com/file/d/1GUcC_ZG8Y2ND6gBUheTHXv4SKntxjSXH/view?usp=drivesdk" TargetMode="External"/><Relationship Id="rId6878" Type="http://schemas.openxmlformats.org/officeDocument/2006/relationships/hyperlink" Target="https://drive.google.com/file/d/1D_HCyhn8FIQfWkeGEBVDXEzWQgJcbBB_/view?usp=drivesdk" TargetMode="External"/><Relationship Id="rId4218" Type="http://schemas.openxmlformats.org/officeDocument/2006/relationships/hyperlink" Target="https://drive.google.com/file/d/1c04rR_dRRzpV9eETxoKBcysbsA_yYkk_/view?usp=drivesdk" TargetMode="External"/><Relationship Id="rId5548" Type="http://schemas.openxmlformats.org/officeDocument/2006/relationships/hyperlink" Target="https://drive.google.com/file/d/14DjPsuOvztcuspCrDEFKWjb6qmYSn6qu/view?usp=drivesdk" TargetMode="External"/><Relationship Id="rId6879" Type="http://schemas.openxmlformats.org/officeDocument/2006/relationships/hyperlink" Target="https://drive.google.com/file/d/15bVcYjef-1oKnGJ-VvHO7cWltz4AlWKr/view?usp=drivesdk" TargetMode="External"/><Relationship Id="rId599" Type="http://schemas.openxmlformats.org/officeDocument/2006/relationships/hyperlink" Target="https://drive.google.com/file/d/1PwAkY1AVtSIGK5fapX_caKwJKT29f8SP/view?usp=drivesdk" TargetMode="External"/><Relationship Id="rId594" Type="http://schemas.openxmlformats.org/officeDocument/2006/relationships/hyperlink" Target="https://drive.google.com/file/d/1Zy0vrplB0fF4F8JjUQVvcqeOa8e3dZoB/view?usp=drivesdk" TargetMode="External"/><Relationship Id="rId5541" Type="http://schemas.openxmlformats.org/officeDocument/2006/relationships/hyperlink" Target="https://drive.google.com/file/d/1tSCNT9WbDIj4tHE04dDhiMwXanbIUAtg/view?usp=drivesdk" TargetMode="External"/><Relationship Id="rId6872" Type="http://schemas.openxmlformats.org/officeDocument/2006/relationships/hyperlink" Target="https://drive.google.com/file/d/1nKbsb6SXqIObatsF8Vqv0Fq7wgh0e7DF/view?usp=drivesdk" TargetMode="External"/><Relationship Id="rId593" Type="http://schemas.openxmlformats.org/officeDocument/2006/relationships/hyperlink" Target="https://drive.google.com/file/d/16SaTE-hZ3wl2Qc14ASaJZFQmibzRScQK/view?usp=drivesdk" TargetMode="External"/><Relationship Id="rId5542" Type="http://schemas.openxmlformats.org/officeDocument/2006/relationships/hyperlink" Target="https://drive.google.com/file/d/1Fu0XHzMKzzlDYxzLMvcezwL81mqy-Who/view?usp=drivesdk" TargetMode="External"/><Relationship Id="rId6873" Type="http://schemas.openxmlformats.org/officeDocument/2006/relationships/hyperlink" Target="https://drive.google.com/file/d/1tlFJsMr2GhzASJrfU94lliHQoyTpr1vx/view?usp=drivesdk" TargetMode="External"/><Relationship Id="rId592" Type="http://schemas.openxmlformats.org/officeDocument/2006/relationships/hyperlink" Target="https://drive.google.com/file/d/1QApdynO_0YMhf5WUYj0HHygSOJmCW5ay/view?usp=drivesdk" TargetMode="External"/><Relationship Id="rId4211" Type="http://schemas.openxmlformats.org/officeDocument/2006/relationships/hyperlink" Target="https://drive.google.com/file/d/1CzWeQ-DZcLrOYAKygg1ZcJRUekoGp8Z7/view?usp=drivesdk" TargetMode="External"/><Relationship Id="rId6870" Type="http://schemas.openxmlformats.org/officeDocument/2006/relationships/hyperlink" Target="https://drive.google.com/file/d/12IO2mNoPfe9-mMrRR2Uyrvqg6KpH4tVA/view?usp=drivesdk" TargetMode="External"/><Relationship Id="rId591" Type="http://schemas.openxmlformats.org/officeDocument/2006/relationships/hyperlink" Target="https://drive.google.com/file/d/1F-Bfsx4K5C6uHd9gduy-B1E-UUwu4-me/view?usp=drivesdk" TargetMode="External"/><Relationship Id="rId4210" Type="http://schemas.openxmlformats.org/officeDocument/2006/relationships/hyperlink" Target="https://drive.google.com/file/d/1QYTTeAsF7TJ5OcNunTPwPy73TRzEVBjU/view?usp=drivesdk" TargetMode="External"/><Relationship Id="rId5540" Type="http://schemas.openxmlformats.org/officeDocument/2006/relationships/hyperlink" Target="https://drive.google.com/file/d/1JDez0vdsBJVihuGw29GjTaBGFVdQ3Kno/view?usp=drivesdk" TargetMode="External"/><Relationship Id="rId6871" Type="http://schemas.openxmlformats.org/officeDocument/2006/relationships/hyperlink" Target="https://drive.google.com/file/d/1kKs3JxOKpv8FkveaZxzbKYcfxzr-pBoM/view?usp=drivesdk" TargetMode="External"/><Relationship Id="rId598" Type="http://schemas.openxmlformats.org/officeDocument/2006/relationships/hyperlink" Target="https://drive.google.com/file/d/1rHrZhy3ghurc0GAi6rPD7fAQPCnLqjcy/view?usp=drivesdk" TargetMode="External"/><Relationship Id="rId4213" Type="http://schemas.openxmlformats.org/officeDocument/2006/relationships/hyperlink" Target="https://drive.google.com/file/d/1AHEX9xPWXketfXtZKhfiKl1hWZDrP1MN/view?usp=drivesdk" TargetMode="External"/><Relationship Id="rId5545" Type="http://schemas.openxmlformats.org/officeDocument/2006/relationships/hyperlink" Target="https://drive.google.com/file/d/1mgpzc5tCzJSRTZBVKboh0ywqJMRbS8oK/view?usp=drivesdk" TargetMode="External"/><Relationship Id="rId6876" Type="http://schemas.openxmlformats.org/officeDocument/2006/relationships/hyperlink" Target="https://drive.google.com/file/d/1kX_cwoo7fbVfiGrQ6PMUtqVTHVYM26Xt/view?usp=drivesdk" TargetMode="External"/><Relationship Id="rId597" Type="http://schemas.openxmlformats.org/officeDocument/2006/relationships/hyperlink" Target="https://drive.google.com/file/d/1SVXWPLtt0IOCXq8yCJDlJBWxo55XJj4G/view?usp=drivesdk" TargetMode="External"/><Relationship Id="rId4212" Type="http://schemas.openxmlformats.org/officeDocument/2006/relationships/hyperlink" Target="https://drive.google.com/file/d/1wBay0zZ6ruAawjN-fWOi73L19G-aUIF7/view?usp=drivesdk" TargetMode="External"/><Relationship Id="rId5546" Type="http://schemas.openxmlformats.org/officeDocument/2006/relationships/hyperlink" Target="https://drive.google.com/file/d/1LNTrYABmIb9-7dbGYBCdo-14QBpyZE9-/view?usp=drivesdk" TargetMode="External"/><Relationship Id="rId6877" Type="http://schemas.openxmlformats.org/officeDocument/2006/relationships/hyperlink" Target="https://drive.google.com/file/d/19qaPa4YeaqYwBQKAle1aYraHZ_IxcMfz/view?usp=drivesdk" TargetMode="External"/><Relationship Id="rId596" Type="http://schemas.openxmlformats.org/officeDocument/2006/relationships/hyperlink" Target="https://drive.google.com/file/d/1UsqmBngLMDeAVWI-MT7ohggAPRAnpXmc/view?usp=drivesdk" TargetMode="External"/><Relationship Id="rId4215" Type="http://schemas.openxmlformats.org/officeDocument/2006/relationships/hyperlink" Target="https://drive.google.com/file/d/1mkQVx9pJqNvkcOPyC7jx36dLR-lrFMWl/view?usp=drivesdk" TargetMode="External"/><Relationship Id="rId5543" Type="http://schemas.openxmlformats.org/officeDocument/2006/relationships/hyperlink" Target="https://drive.google.com/file/d/1usIc4zowqiRuPp45RcsmgKvVjgj09KrM/view?usp=drivesdk" TargetMode="External"/><Relationship Id="rId6874" Type="http://schemas.openxmlformats.org/officeDocument/2006/relationships/hyperlink" Target="https://drive.google.com/file/d/1fLHA7ua0gvBMCICCqAt1XfnoiARQpwSW/view?usp=drivesdk" TargetMode="External"/><Relationship Id="rId595" Type="http://schemas.openxmlformats.org/officeDocument/2006/relationships/hyperlink" Target="https://drive.google.com/file/d/1YzZvrUrtTbjw1yEKLlyuhmuHsqnWYQKC/view?usp=drivesdk" TargetMode="External"/><Relationship Id="rId4214" Type="http://schemas.openxmlformats.org/officeDocument/2006/relationships/hyperlink" Target="https://drive.google.com/file/d/1sM2nkgLpYvFAaEPJUphH85xECFVHYC9R/view?usp=drivesdk" TargetMode="External"/><Relationship Id="rId5544" Type="http://schemas.openxmlformats.org/officeDocument/2006/relationships/hyperlink" Target="https://drive.google.com/file/d/1WaHw8xhIHL78JAm2MsmlhLHj8qTHYdSY/view?usp=drivesdk" TargetMode="External"/><Relationship Id="rId6875" Type="http://schemas.openxmlformats.org/officeDocument/2006/relationships/hyperlink" Target="https://drive.google.com/file/d/1VXwBTDd-LRy6o0dKwo-BhHxEuNe-i7tF/view?usp=drivesdk" TargetMode="External"/><Relationship Id="rId6825" Type="http://schemas.openxmlformats.org/officeDocument/2006/relationships/hyperlink" Target="https://drive.google.com/file/d/1aQdebOFgXsVOBHFuSpY9Ele7qK7LA0H9/view?usp=drivesdk" TargetMode="External"/><Relationship Id="rId6826" Type="http://schemas.openxmlformats.org/officeDocument/2006/relationships/hyperlink" Target="https://drive.google.com/file/d/1KsNXQsdCPwemBhArJ5nF1fhgzB3eTObk/view?usp=drivesdk" TargetMode="External"/><Relationship Id="rId6823" Type="http://schemas.openxmlformats.org/officeDocument/2006/relationships/hyperlink" Target="https://drive.google.com/file/d/1BrfMWP1eHRZtwmQhq-Uby4MU4Pp_REPn/view?usp=drivesdk" TargetMode="External"/><Relationship Id="rId6824" Type="http://schemas.openxmlformats.org/officeDocument/2006/relationships/hyperlink" Target="https://drive.google.com/file/d/1Q_2v68xVeHJap3JwoyXHuh9gxaIInZ0x/view?usp=drivesdk" TargetMode="External"/><Relationship Id="rId6829" Type="http://schemas.openxmlformats.org/officeDocument/2006/relationships/hyperlink" Target="https://drive.google.com/file/d/1NL_rWSqePWjVVixIaoIWXNg4ng3WQbkm/view?usp=drivesdk" TargetMode="External"/><Relationship Id="rId6827" Type="http://schemas.openxmlformats.org/officeDocument/2006/relationships/hyperlink" Target="https://drive.google.com/file/d/1kGnTF5SeP_lCfniemiWPUsRSRwITO4rE/view?usp=drivesdk" TargetMode="External"/><Relationship Id="rId6828" Type="http://schemas.openxmlformats.org/officeDocument/2006/relationships/hyperlink" Target="https://drive.google.com/file/d/164zfl5CpJYR90coJCvJon5TbJcJlfTFp/view?usp=drivesdk" TargetMode="External"/><Relationship Id="rId547" Type="http://schemas.openxmlformats.org/officeDocument/2006/relationships/hyperlink" Target="https://drive.google.com/file/d/17gQ3e6lxdYzTY4K-tvd2KHeE3PJncdDo/view?usp=drivesdk" TargetMode="External"/><Relationship Id="rId546" Type="http://schemas.openxmlformats.org/officeDocument/2006/relationships/hyperlink" Target="https://drive.google.com/file/d/1CXgfW6-iTEU641swHvLJcSvvopF0HNXk/view?usp=drivesdk" TargetMode="External"/><Relationship Id="rId545" Type="http://schemas.openxmlformats.org/officeDocument/2006/relationships/hyperlink" Target="https://drive.google.com/file/d/1x414Nlzx27Vl_JfEmhRs3DaMuyXPNzGT/view?usp=drivesdk" TargetMode="External"/><Relationship Id="rId544" Type="http://schemas.openxmlformats.org/officeDocument/2006/relationships/hyperlink" Target="https://drive.google.com/file/d/1sGedivjivqqHncWcABXAdrWv3lKzLPXH/view?usp=drivesdk" TargetMode="External"/><Relationship Id="rId549" Type="http://schemas.openxmlformats.org/officeDocument/2006/relationships/hyperlink" Target="https://drive.google.com/file/d/19Nx0KMwC0dovx-g6KgQoQ37VTsiPbkih/view?usp=drivesdk" TargetMode="External"/><Relationship Id="rId548" Type="http://schemas.openxmlformats.org/officeDocument/2006/relationships/hyperlink" Target="https://drive.google.com/file/d/1lNTdeuUUQ_Ylvu1TFDKr1cNheQK3NM2q/view?usp=drivesdk" TargetMode="External"/><Relationship Id="rId543" Type="http://schemas.openxmlformats.org/officeDocument/2006/relationships/hyperlink" Target="https://drive.google.com/file/d/1hbx9vYDMeEPFpRy8PbHguAQYgIYg_2EF/view?usp=drivesdk" TargetMode="External"/><Relationship Id="rId6821" Type="http://schemas.openxmlformats.org/officeDocument/2006/relationships/hyperlink" Target="https://drive.google.com/file/d/1BcJytkcNitM7BrkbWMaVYKS2PP7B5XY9/view?usp=drivesdk" TargetMode="External"/><Relationship Id="rId542" Type="http://schemas.openxmlformats.org/officeDocument/2006/relationships/hyperlink" Target="https://drive.google.com/file/d/1nVCCChWoeaRmto3-6eHv_MNApqMG4Koj/view?usp=drivesdk" TargetMode="External"/><Relationship Id="rId6822" Type="http://schemas.openxmlformats.org/officeDocument/2006/relationships/hyperlink" Target="https://drive.google.com/file/d/1vPEb71T_ISEfw8J8fFYi8uq2hiiNvTsJ/view?usp=drivesdk" TargetMode="External"/><Relationship Id="rId541" Type="http://schemas.openxmlformats.org/officeDocument/2006/relationships/hyperlink" Target="https://drive.google.com/file/d/1rT-sYNr-ee95liadCsKTno_q71Tr6sjl/view?usp=drivesdk" TargetMode="External"/><Relationship Id="rId540" Type="http://schemas.openxmlformats.org/officeDocument/2006/relationships/hyperlink" Target="https://drive.google.com/file/d/1uNGarivkFOPCWI1TAQE0tc1CxleAUjzf/view?usp=drivesdk" TargetMode="External"/><Relationship Id="rId6820" Type="http://schemas.openxmlformats.org/officeDocument/2006/relationships/hyperlink" Target="https://drive.google.com/file/d/10h6oRulTLZ79Ap40jePOJ5EsX0HgWCKM/view?usp=drivesdk" TargetMode="External"/><Relationship Id="rId6814" Type="http://schemas.openxmlformats.org/officeDocument/2006/relationships/hyperlink" Target="https://drive.google.com/file/d/1qQdWqqlXOxTyyYpkgHipU0R9rCrrhBeU/view?usp=drivesdk" TargetMode="External"/><Relationship Id="rId6815" Type="http://schemas.openxmlformats.org/officeDocument/2006/relationships/hyperlink" Target="https://drive.google.com/file/d/1xY1A8MtSHF70ThSr5rTiguvfbxAWAOod/view?usp=drivesdk" TargetMode="External"/><Relationship Id="rId6812" Type="http://schemas.openxmlformats.org/officeDocument/2006/relationships/hyperlink" Target="https://drive.google.com/file/d/1MREJLSrCn0pGhI9CSqHRhUzPRnc7Ejfq/view?usp=drivesdk" TargetMode="External"/><Relationship Id="rId6813" Type="http://schemas.openxmlformats.org/officeDocument/2006/relationships/hyperlink" Target="https://drive.google.com/file/d/1QOv7RkHnC_57KAgPdFXfYWRdsddWRX2O/view?usp=drivesdk" TargetMode="External"/><Relationship Id="rId6818" Type="http://schemas.openxmlformats.org/officeDocument/2006/relationships/hyperlink" Target="https://drive.google.com/file/d/1PsChZwJ3iwWVXQvmK6lztmdH2x3EfqHX/view?usp=drivesdk" TargetMode="External"/><Relationship Id="rId6819" Type="http://schemas.openxmlformats.org/officeDocument/2006/relationships/hyperlink" Target="https://drive.google.com/file/d/1WkiiLQzMtBkn_k4ZNNQo6DBYeNITJlMr/view?usp=drivesdk" TargetMode="External"/><Relationship Id="rId6816" Type="http://schemas.openxmlformats.org/officeDocument/2006/relationships/hyperlink" Target="https://drive.google.com/file/d/1tEn5_F1m30pEzztJHExntvEf8eLyOrnL/view?usp=drivesdk" TargetMode="External"/><Relationship Id="rId6817" Type="http://schemas.openxmlformats.org/officeDocument/2006/relationships/hyperlink" Target="https://drive.google.com/file/d/1PWHYUBwNpPqUhve4qf2BOyIXLwSrKRya/view?usp=drivesdk" TargetMode="External"/><Relationship Id="rId536" Type="http://schemas.openxmlformats.org/officeDocument/2006/relationships/hyperlink" Target="https://drive.google.com/file/d/1ktKlZqv8gQ_lF6UFzn-TcAFE9zL0yRN4/view?usp=drivesdk" TargetMode="External"/><Relationship Id="rId535" Type="http://schemas.openxmlformats.org/officeDocument/2006/relationships/hyperlink" Target="https://drive.google.com/file/d/12zBP5bXfdSMjcC_UJARH_PsM7E_xq5Ey/view?usp=drivesdk" TargetMode="External"/><Relationship Id="rId534" Type="http://schemas.openxmlformats.org/officeDocument/2006/relationships/hyperlink" Target="https://drive.google.com/file/d/1MZAVH7eJouZq66PpG-R92_AObfhvGB76/view?usp=drivesdk" TargetMode="External"/><Relationship Id="rId533" Type="http://schemas.openxmlformats.org/officeDocument/2006/relationships/hyperlink" Target="https://drive.google.com/file/d/1PGQ_ajQayCaIR0MRYh429UKcWu9TSUwo/view?usp=drivesdk" TargetMode="External"/><Relationship Id="rId539" Type="http://schemas.openxmlformats.org/officeDocument/2006/relationships/hyperlink" Target="https://drive.google.com/file/d/1yyqooragcSrhC4L2c8ZiUz_IXalpxz4K/view?usp=drivesdk" TargetMode="External"/><Relationship Id="rId538" Type="http://schemas.openxmlformats.org/officeDocument/2006/relationships/hyperlink" Target="https://drive.google.com/file/d/1mKgv1tZlYoEnh7xS5yeB3KH4Mqww8jZo/view?usp=drivesdk" TargetMode="External"/><Relationship Id="rId537" Type="http://schemas.openxmlformats.org/officeDocument/2006/relationships/hyperlink" Target="https://drive.google.com/file/d/1MilaL_-Bd4ilmnOg90dkTHUX8vgGfesE/view?usp=drivesdk" TargetMode="External"/><Relationship Id="rId532" Type="http://schemas.openxmlformats.org/officeDocument/2006/relationships/hyperlink" Target="https://drive.google.com/file/d/1_Ysvvk8FjoBBs4BkS9NuSs0wswE_kxKm/view?usp=drivesdk" TargetMode="External"/><Relationship Id="rId6810" Type="http://schemas.openxmlformats.org/officeDocument/2006/relationships/hyperlink" Target="https://drive.google.com/file/d/1mC2z1O9JLuF4Hlmhot1OK9ZoxA_Glo_x/view?usp=drivesdk" TargetMode="External"/><Relationship Id="rId531" Type="http://schemas.openxmlformats.org/officeDocument/2006/relationships/hyperlink" Target="https://drive.google.com/file/d/1zVO78jtp4_Av_k_Oa3-SRBrE3e56v4hn/view?usp=drivesdk" TargetMode="External"/><Relationship Id="rId6811" Type="http://schemas.openxmlformats.org/officeDocument/2006/relationships/hyperlink" Target="https://drive.google.com/file/d/1MVuxcqmdjvj9QJgamlh07I6h4IGq14pF/view?usp=drivesdk" TargetMode="External"/><Relationship Id="rId530" Type="http://schemas.openxmlformats.org/officeDocument/2006/relationships/hyperlink" Target="https://drive.google.com/file/d/11q3Qj5_IXQlBvx9qgLb7xTnzHggF2Xbw/view?usp=drivesdk" TargetMode="External"/><Relationship Id="rId5516" Type="http://schemas.openxmlformats.org/officeDocument/2006/relationships/hyperlink" Target="https://drive.google.com/file/d/1PCDvhfh00-4Uto8GYhT9KBHU06gKYczp/view?usp=drivesdk" TargetMode="External"/><Relationship Id="rId6847" Type="http://schemas.openxmlformats.org/officeDocument/2006/relationships/hyperlink" Target="https://drive.google.com/file/d/1SR34dFwYAUuK6RczVfuZY0M--APCAC2T/view?usp=drivesdk" TargetMode="External"/><Relationship Id="rId5517" Type="http://schemas.openxmlformats.org/officeDocument/2006/relationships/hyperlink" Target="https://drive.google.com/file/d/1R5gtxoqsY6uHTpoQT2jGAxQ2Az6zN-wJ/view?usp=drivesdk" TargetMode="External"/><Relationship Id="rId6848" Type="http://schemas.openxmlformats.org/officeDocument/2006/relationships/hyperlink" Target="https://drive.google.com/file/d/1AGwvhJ34pDYlJ_eSI8E_5WkV2onPCnqo/view?usp=drivesdk" TargetMode="External"/><Relationship Id="rId5514" Type="http://schemas.openxmlformats.org/officeDocument/2006/relationships/hyperlink" Target="https://drive.google.com/file/d/1JBLEgrDWyi_3pmREqeygas-rBRjoDUzP/view?usp=drivesdk" TargetMode="External"/><Relationship Id="rId6845" Type="http://schemas.openxmlformats.org/officeDocument/2006/relationships/hyperlink" Target="https://drive.google.com/file/d/1lzrqW4YYvfRL7DMUae1oLfAZEZFp-8jw/view?usp=drivesdk" TargetMode="External"/><Relationship Id="rId5515" Type="http://schemas.openxmlformats.org/officeDocument/2006/relationships/hyperlink" Target="https://drive.google.com/file/d/1dkldZaO-Qrxukds3yVbLg705W7ialGww/view?usp=drivesdk" TargetMode="External"/><Relationship Id="rId6846" Type="http://schemas.openxmlformats.org/officeDocument/2006/relationships/hyperlink" Target="https://drive.google.com/file/d/16f3PzEnoymSY8PqayjKPTY2xB0_MD29C/view?usp=drivesdk" TargetMode="External"/><Relationship Id="rId5518" Type="http://schemas.openxmlformats.org/officeDocument/2006/relationships/hyperlink" Target="https://drive.google.com/file/d/1-4ECas_rCBhHfputVileLNRm6eaWDA__/view?usp=drivesdk" TargetMode="External"/><Relationship Id="rId6849" Type="http://schemas.openxmlformats.org/officeDocument/2006/relationships/hyperlink" Target="https://drive.google.com/file/d/1gNfmWLj3ll5wncwZfFQuFR6TWR4TNweF/view?usp=drivesdk" TargetMode="External"/><Relationship Id="rId5519" Type="http://schemas.openxmlformats.org/officeDocument/2006/relationships/hyperlink" Target="https://drive.google.com/file/d/1vXDB0WKIubVlO26FALOkRJ1s60rB1rG1/view?usp=drivesdk" TargetMode="External"/><Relationship Id="rId569" Type="http://schemas.openxmlformats.org/officeDocument/2006/relationships/hyperlink" Target="https://drive.google.com/file/d/1CBfSj9E5bmvC905csP75BhlUjRFZE6wl/view?usp=drivesdk" TargetMode="External"/><Relationship Id="rId568" Type="http://schemas.openxmlformats.org/officeDocument/2006/relationships/hyperlink" Target="https://drive.google.com/file/d/1cSc4ukppUQQlz0FKjyZkAJHq3qHs-H2g/view?usp=drivesdk" TargetMode="External"/><Relationship Id="rId567" Type="http://schemas.openxmlformats.org/officeDocument/2006/relationships/hyperlink" Target="https://drive.google.com/file/d/17lWrfD6vBvWiAljK9UJpkW4qTPYMtad4/view?usp=drivesdk" TargetMode="External"/><Relationship Id="rId566" Type="http://schemas.openxmlformats.org/officeDocument/2006/relationships/hyperlink" Target="https://drive.google.com/file/d/1ZUtJ-F8EehV-60PYIgYQ7eONE2b4TBmz/view?usp=drivesdk" TargetMode="External"/><Relationship Id="rId561" Type="http://schemas.openxmlformats.org/officeDocument/2006/relationships/hyperlink" Target="https://drive.google.com/file/d/1c3LWMwv8AxrLmUlviqO5K-PeNQgPM9JY/view?usp=drivesdk" TargetMode="External"/><Relationship Id="rId560" Type="http://schemas.openxmlformats.org/officeDocument/2006/relationships/hyperlink" Target="https://drive.google.com/file/d/1Tu-EsSZCNmk_cRzr6UJWw0ta2E9Pm-4G/view?usp=drivesdk" TargetMode="External"/><Relationship Id="rId6840" Type="http://schemas.openxmlformats.org/officeDocument/2006/relationships/hyperlink" Target="https://drive.google.com/file/d/1Orq-EC6zlaK9ma_4gRRhXZz2S-vxBBS-/view?usp=drivesdk" TargetMode="External"/><Relationship Id="rId565" Type="http://schemas.openxmlformats.org/officeDocument/2006/relationships/hyperlink" Target="https://drive.google.com/file/d/1edgIWVgK6Jj7CCQNxyJ6LgqqDAa2XQOw/view?usp=drivesdk" TargetMode="External"/><Relationship Id="rId5512" Type="http://schemas.openxmlformats.org/officeDocument/2006/relationships/hyperlink" Target="https://drive.google.com/file/d/17UV9quIxT7z3Zsm-aMRgZ0DX1oJDYuIk/view?usp=drivesdk" TargetMode="External"/><Relationship Id="rId6843" Type="http://schemas.openxmlformats.org/officeDocument/2006/relationships/hyperlink" Target="https://drive.google.com/file/d/1TKvQ0pHlJ4PXAM3uYYDBqG47PKsAB2uE/view?usp=drivesdk" TargetMode="External"/><Relationship Id="rId564" Type="http://schemas.openxmlformats.org/officeDocument/2006/relationships/hyperlink" Target="https://drive.google.com/file/d/1g6cyWkMa7e9GBo-PAGfwjLdoB0dzL_LG/view?usp=drivesdk" TargetMode="External"/><Relationship Id="rId5513" Type="http://schemas.openxmlformats.org/officeDocument/2006/relationships/hyperlink" Target="https://drive.google.com/file/d/1fZ_wzUexFSq4jY4uvw-zHp34-IDVebxc/view?usp=drivesdk" TargetMode="External"/><Relationship Id="rId6844" Type="http://schemas.openxmlformats.org/officeDocument/2006/relationships/hyperlink" Target="https://drive.google.com/file/d/1CCD57_HS89xe-TZim54-YojPdUvpPJaR/view?usp=drivesdk" TargetMode="External"/><Relationship Id="rId563" Type="http://schemas.openxmlformats.org/officeDocument/2006/relationships/hyperlink" Target="https://drive.google.com/file/d/16K0O2NZzL7SbHsi4Z3LNRK4rxQtk70uj/view?usp=drivesdk" TargetMode="External"/><Relationship Id="rId5510" Type="http://schemas.openxmlformats.org/officeDocument/2006/relationships/hyperlink" Target="https://drive.google.com/file/d/1wITRIQSmh0pVRT-QiDAnCGEneNzVD9QY/view?usp=drivesdk" TargetMode="External"/><Relationship Id="rId6841" Type="http://schemas.openxmlformats.org/officeDocument/2006/relationships/hyperlink" Target="https://drive.google.com/file/d/1aKVuSQwVH_uAdUVeudVmAc1IROaIGkLC/view?usp=drivesdk" TargetMode="External"/><Relationship Id="rId562" Type="http://schemas.openxmlformats.org/officeDocument/2006/relationships/hyperlink" Target="https://drive.google.com/file/d/1Xc86eDtW1_VD8AwrZUuQcfbsrSBni_7x/view?usp=drivesdk" TargetMode="External"/><Relationship Id="rId5511" Type="http://schemas.openxmlformats.org/officeDocument/2006/relationships/hyperlink" Target="https://drive.google.com/file/d/1kwi6kuTIJkBbw8vczeUU9xd9ywWjZi3P/view?usp=drivesdk" TargetMode="External"/><Relationship Id="rId6842" Type="http://schemas.openxmlformats.org/officeDocument/2006/relationships/hyperlink" Target="https://drive.google.com/file/d/1EDlL_8RSUjYHK9vno41BqXKUvIZDlNpA/view?usp=drivesdk" TargetMode="External"/><Relationship Id="rId5505" Type="http://schemas.openxmlformats.org/officeDocument/2006/relationships/hyperlink" Target="https://drive.google.com/file/d/1l5OKL6AvwtjTwZSdimpWqJGpkXsdm0t9/view?usp=drivesdk" TargetMode="External"/><Relationship Id="rId6836" Type="http://schemas.openxmlformats.org/officeDocument/2006/relationships/hyperlink" Target="https://drive.google.com/file/d/1bkWdNdeYUgKHNcTaHf9OoIBADu6LRCz0/view?usp=drivesdk" TargetMode="External"/><Relationship Id="rId5506" Type="http://schemas.openxmlformats.org/officeDocument/2006/relationships/hyperlink" Target="https://drive.google.com/file/d/1dk21gY0Y24_aMb_1DJMT-x-tRYveAdsb/view?usp=drivesdk" TargetMode="External"/><Relationship Id="rId6837" Type="http://schemas.openxmlformats.org/officeDocument/2006/relationships/hyperlink" Target="https://drive.google.com/file/d/1RNeSeG_zzKmkEY1dEQTMKmPpsoomrNU8/view?usp=drivesdk" TargetMode="External"/><Relationship Id="rId5503" Type="http://schemas.openxmlformats.org/officeDocument/2006/relationships/hyperlink" Target="https://drive.google.com/file/d/1nlRmrqg4rmxM-3IHyTmL860uEKsxhYCw/view?usp=drivesdk" TargetMode="External"/><Relationship Id="rId6834" Type="http://schemas.openxmlformats.org/officeDocument/2006/relationships/hyperlink" Target="https://drive.google.com/file/d/1YKp7VNIvMvLw-tFS_YlnfbbjnwCrxurQ/view?usp=drivesdk" TargetMode="External"/><Relationship Id="rId5504" Type="http://schemas.openxmlformats.org/officeDocument/2006/relationships/hyperlink" Target="https://drive.google.com/file/d/14PQr4PWLhZNnWh7DsvcZ2fBJwc9JoUP0/view?usp=drivesdk" TargetMode="External"/><Relationship Id="rId6835" Type="http://schemas.openxmlformats.org/officeDocument/2006/relationships/hyperlink" Target="https://drive.google.com/file/d/1HAU-OEUfw0j-UFEdwpuI1km5pWr0zTn6/view?usp=drivesdk" TargetMode="External"/><Relationship Id="rId5509" Type="http://schemas.openxmlformats.org/officeDocument/2006/relationships/hyperlink" Target="https://drive.google.com/file/d/19SD4N7P1Sx649v7EWZ6bBNMmT-0_6STm/view?usp=drivesdk" TargetMode="External"/><Relationship Id="rId5507" Type="http://schemas.openxmlformats.org/officeDocument/2006/relationships/hyperlink" Target="https://drive.google.com/file/d/1fujub09U5AVZYXoJ3DB2Op0pfbF-yaHi/view?usp=drivesdk" TargetMode="External"/><Relationship Id="rId6838" Type="http://schemas.openxmlformats.org/officeDocument/2006/relationships/hyperlink" Target="https://drive.google.com/file/d/1XtcH_U9XQEks6rxFW4Q483EQCejwEBvl/view?usp=drivesdk" TargetMode="External"/><Relationship Id="rId5508" Type="http://schemas.openxmlformats.org/officeDocument/2006/relationships/hyperlink" Target="https://drive.google.com/file/d/16gRLs6h_1mZVYI4CwElAguvkG7c37MEY/view?usp=drivesdk" TargetMode="External"/><Relationship Id="rId6839" Type="http://schemas.openxmlformats.org/officeDocument/2006/relationships/hyperlink" Target="https://drive.google.com/file/d/1V2BGZO1savSC3AP4lWHjnCRA2Ox0Yf99/view?usp=drivesdk" TargetMode="External"/><Relationship Id="rId558" Type="http://schemas.openxmlformats.org/officeDocument/2006/relationships/hyperlink" Target="https://drive.google.com/file/d/1zpXXG7ovA3KiAT7WyMukAWhTVXSngSm4/view?usp=drivesdk" TargetMode="External"/><Relationship Id="rId557" Type="http://schemas.openxmlformats.org/officeDocument/2006/relationships/hyperlink" Target="https://drive.google.com/file/d/197Q85Elqg_NqCYKf_yOZlkV_LsvAUJZi/view?usp=drivesdk" TargetMode="External"/><Relationship Id="rId556" Type="http://schemas.openxmlformats.org/officeDocument/2006/relationships/hyperlink" Target="https://drive.google.com/file/d/1CPzSALBhTJYtx3RkMdFUk6vMBFJMmM8h/view?usp=drivesdk" TargetMode="External"/><Relationship Id="rId555" Type="http://schemas.openxmlformats.org/officeDocument/2006/relationships/hyperlink" Target="https://drive.google.com/file/d/1msctWiDIBeCHLOvJRpW_aweEArB82tS2/view?usp=drivesdk" TargetMode="External"/><Relationship Id="rId559" Type="http://schemas.openxmlformats.org/officeDocument/2006/relationships/hyperlink" Target="https://drive.google.com/file/d/1l7Ha8cLHp8_8nM9nYwJV72bX0WYZa5NG/view?usp=drivesdk" TargetMode="External"/><Relationship Id="rId550" Type="http://schemas.openxmlformats.org/officeDocument/2006/relationships/hyperlink" Target="https://drive.google.com/file/d/1L4tUoO7l1KV_qjIN2QHOmeZGu7sCxq87/view?usp=drivesdk" TargetMode="External"/><Relationship Id="rId554" Type="http://schemas.openxmlformats.org/officeDocument/2006/relationships/hyperlink" Target="https://drive.google.com/file/d/1R_yJMdjRI75ZFl5tIrggiWDOwBUibovT/view?usp=drivesdk" TargetMode="External"/><Relationship Id="rId5501" Type="http://schemas.openxmlformats.org/officeDocument/2006/relationships/hyperlink" Target="https://drive.google.com/file/d/1ms2mijefDpE6BzHriJGR_m0wKVX_ZP90/view?usp=drivesdk" TargetMode="External"/><Relationship Id="rId6832" Type="http://schemas.openxmlformats.org/officeDocument/2006/relationships/hyperlink" Target="https://drive.google.com/file/d/1mdZNe5uZQn2v4b9Otb60Ulh8VUFWXvKQ/view?usp=drivesdk" TargetMode="External"/><Relationship Id="rId553" Type="http://schemas.openxmlformats.org/officeDocument/2006/relationships/hyperlink" Target="https://drive.google.com/file/d/1Q6ercdkZyuh2YHK0KSg6STaRmT2hIQJz/view?usp=drivesdk" TargetMode="External"/><Relationship Id="rId5502" Type="http://schemas.openxmlformats.org/officeDocument/2006/relationships/hyperlink" Target="https://drive.google.com/file/d/1XoQgcujLmI4rfgizVsJOgK-L_gg7egy3/view?usp=drivesdk" TargetMode="External"/><Relationship Id="rId6833" Type="http://schemas.openxmlformats.org/officeDocument/2006/relationships/hyperlink" Target="https://drive.google.com/file/d/1wjdEifL4e6tA5gHuD9ndm4rL5WHfrMUA/view?usp=drivesdk" TargetMode="External"/><Relationship Id="rId552" Type="http://schemas.openxmlformats.org/officeDocument/2006/relationships/hyperlink" Target="https://drive.google.com/file/d/1ebug7D0ua_TG3KrCkM2stc6xphI9Xky4/view?usp=drivesdk" TargetMode="External"/><Relationship Id="rId6830" Type="http://schemas.openxmlformats.org/officeDocument/2006/relationships/hyperlink" Target="https://drive.google.com/file/d/1BM76J074wZGxG-uA7zZo4ek7_Jm0mMs6/view?usp=drivesdk" TargetMode="External"/><Relationship Id="rId551" Type="http://schemas.openxmlformats.org/officeDocument/2006/relationships/hyperlink" Target="https://drive.google.com/file/d/1x_OTLapBfdE2K5r-7iiPBoEvKr1DxY7R/view?usp=drivesdk" TargetMode="External"/><Relationship Id="rId5500" Type="http://schemas.openxmlformats.org/officeDocument/2006/relationships/hyperlink" Target="https://drive.google.com/file/d/1jFrc8_pb7bTtELJmnTQRFMYtQY_6eHu4/view?usp=drivesdk" TargetMode="External"/><Relationship Id="rId6831" Type="http://schemas.openxmlformats.org/officeDocument/2006/relationships/hyperlink" Target="https://drive.google.com/file/d/1LE9IcvpFbcEkhiZNjT692ZLHPxifviS1/view?usp=drivesdk" TargetMode="External"/><Relationship Id="rId4280" Type="http://schemas.openxmlformats.org/officeDocument/2006/relationships/hyperlink" Target="https://drive.google.com/file/d/1CYqClRb25dV8lxwkq496qV4HanuFfnLQ/view?usp=drivesdk" TargetMode="External"/><Relationship Id="rId4282" Type="http://schemas.openxmlformats.org/officeDocument/2006/relationships/hyperlink" Target="https://drive.google.com/file/d/1WyfJylS1UQ3vdhBvpw6js8LuhdcjGGMT/view?usp=drivesdk" TargetMode="External"/><Relationship Id="rId4281" Type="http://schemas.openxmlformats.org/officeDocument/2006/relationships/hyperlink" Target="https://drive.google.com/file/d/1quNO2QeUG6uaXmTS4dtg5fiqfQndBfiL/view?usp=drivesdk" TargetMode="External"/><Relationship Id="rId4284" Type="http://schemas.openxmlformats.org/officeDocument/2006/relationships/hyperlink" Target="https://drive.google.com/file/d/1Q-Vg22ZeLojE79KMw3GeYdyonQlemufO/view?usp=drivesdk" TargetMode="External"/><Relationship Id="rId4283" Type="http://schemas.openxmlformats.org/officeDocument/2006/relationships/hyperlink" Target="https://drive.google.com/file/d/1HC_MPchfE3TZ0tpCYiRJxp09bLHo6dlC/view?usp=drivesdk" TargetMode="External"/><Relationship Id="rId4286" Type="http://schemas.openxmlformats.org/officeDocument/2006/relationships/hyperlink" Target="https://drive.google.com/file/d/1-VMexsio4Trm9RfMV0YQlGTIzXF6QQdt/view?usp=drivesdk" TargetMode="External"/><Relationship Id="rId4285" Type="http://schemas.openxmlformats.org/officeDocument/2006/relationships/hyperlink" Target="https://drive.google.com/file/d/174BA8z2kGi-duLghEZX2h5lwMlU7Zcl_/view?usp=drivesdk" TargetMode="External"/><Relationship Id="rId4288" Type="http://schemas.openxmlformats.org/officeDocument/2006/relationships/hyperlink" Target="https://drive.google.com/file/d/1jvxSaCCtgdu2ACbUFAAaPjPHnETVmQFn/view?usp=drivesdk" TargetMode="External"/><Relationship Id="rId4287" Type="http://schemas.openxmlformats.org/officeDocument/2006/relationships/hyperlink" Target="https://drive.google.com/file/d/1t2LqpnxiXi0LsbPEpOCcbb5eFlWcOhJC/view?usp=drivesdk" TargetMode="External"/><Relationship Id="rId4289" Type="http://schemas.openxmlformats.org/officeDocument/2006/relationships/hyperlink" Target="https://drive.google.com/file/d/1ixPo5Z-FaD4jRyW5z2l9TTNq4y3ro6Ij/view?usp=drivesdk" TargetMode="External"/><Relationship Id="rId4271" Type="http://schemas.openxmlformats.org/officeDocument/2006/relationships/hyperlink" Target="https://drive.google.com/file/d/1XiZtt-V_LtbpVaqtO6i3Rk5fsUpIIBF_/view?usp=drivesdk" TargetMode="External"/><Relationship Id="rId4270" Type="http://schemas.openxmlformats.org/officeDocument/2006/relationships/hyperlink" Target="https://drive.google.com/file/d/1WnHadFtv6vKsYuBEnjb99O5-pg6XjByB/view?usp=drivesdk" TargetMode="External"/><Relationship Id="rId4273" Type="http://schemas.openxmlformats.org/officeDocument/2006/relationships/hyperlink" Target="https://drive.google.com/file/d/1-A8RO3t34quxQzuGYHF-Kp0-KEvtPyPT/view?usp=drivesdk" TargetMode="External"/><Relationship Id="rId4272" Type="http://schemas.openxmlformats.org/officeDocument/2006/relationships/hyperlink" Target="https://drive.google.com/file/d/1Ttlzujl7berfzpv3q1roi2RL43PXlYae/view?usp=drivesdk" TargetMode="External"/><Relationship Id="rId4275" Type="http://schemas.openxmlformats.org/officeDocument/2006/relationships/hyperlink" Target="https://drive.google.com/file/d/1xKhHjINW5ljFXQGpjcnzlJUWORCAqkIP/view?usp=drivesdk" TargetMode="External"/><Relationship Id="rId4274" Type="http://schemas.openxmlformats.org/officeDocument/2006/relationships/hyperlink" Target="https://drive.google.com/file/d/1QHsbEDrPgmUUbVJUtYQWR5jb7LAqbMWW/view?usp=drivesdk" TargetMode="External"/><Relationship Id="rId4277" Type="http://schemas.openxmlformats.org/officeDocument/2006/relationships/hyperlink" Target="https://drive.google.com/file/d/19OTqWEomnOmE5xT6T25g_mHb_pQLBwKa/view?usp=drivesdk" TargetMode="External"/><Relationship Id="rId4276" Type="http://schemas.openxmlformats.org/officeDocument/2006/relationships/hyperlink" Target="https://drive.google.com/file/d/1RvnUYOv_p66D58Ix4ra1XMRW9vIJUxOs/view?usp=drivesdk" TargetMode="External"/><Relationship Id="rId4279" Type="http://schemas.openxmlformats.org/officeDocument/2006/relationships/hyperlink" Target="https://drive.google.com/file/d/1-Ky7BeKdd63uY_iAm4LQsG1jIAP7KRrl/view?usp=drivesdk" TargetMode="External"/><Relationship Id="rId4278" Type="http://schemas.openxmlformats.org/officeDocument/2006/relationships/hyperlink" Target="https://drive.google.com/file/d/16T9zTPdr_j9cH3aan2i07N0U_dQmSKDe/view?usp=drivesdk" TargetMode="External"/><Relationship Id="rId4291" Type="http://schemas.openxmlformats.org/officeDocument/2006/relationships/hyperlink" Target="https://drive.google.com/file/d/1oy5f_hT_zRiPDfoRPbZdRlIIJ_dleX_n/view?usp=drivesdk" TargetMode="External"/><Relationship Id="rId4290" Type="http://schemas.openxmlformats.org/officeDocument/2006/relationships/hyperlink" Target="https://drive.google.com/file/d/1Do7EaRf2u-UBZrV1w0EA72yrbLD5xBFV/view?usp=drivesdk" TargetMode="External"/><Relationship Id="rId4293" Type="http://schemas.openxmlformats.org/officeDocument/2006/relationships/hyperlink" Target="https://drive.google.com/file/d/1yIUReukGGScDca3sqalS1ygShylmlR51/view?usp=drivesdk" TargetMode="External"/><Relationship Id="rId4292" Type="http://schemas.openxmlformats.org/officeDocument/2006/relationships/hyperlink" Target="https://drive.google.com/file/d/1yiG4hXPtrqrDCk4R6TgtedjHQOKEz5uk/view?usp=drivesdk" TargetMode="External"/><Relationship Id="rId4295" Type="http://schemas.openxmlformats.org/officeDocument/2006/relationships/hyperlink" Target="https://drive.google.com/file/d/1sm5AKvaeYUYlRID68PXgwz2tQy9gQkMF/view?usp=drivesdk" TargetMode="External"/><Relationship Id="rId4294" Type="http://schemas.openxmlformats.org/officeDocument/2006/relationships/hyperlink" Target="https://drive.google.com/file/d/1dPXGQ8-HhoNoI2AqvU9_eF4y9DDPtM7B/view?usp=drivesdk" TargetMode="External"/><Relationship Id="rId4297" Type="http://schemas.openxmlformats.org/officeDocument/2006/relationships/hyperlink" Target="https://drive.google.com/file/d/1LFIVe5OyAeRg-pHjgufHr57AU3ATGPN3/view?usp=drivesdk" TargetMode="External"/><Relationship Id="rId4296" Type="http://schemas.openxmlformats.org/officeDocument/2006/relationships/hyperlink" Target="https://drive.google.com/file/d/1G73y-zrF_SHaayIk2w0OrHlBRO1bNofH/view?usp=drivesdk" TargetMode="External"/><Relationship Id="rId4299" Type="http://schemas.openxmlformats.org/officeDocument/2006/relationships/hyperlink" Target="https://drive.google.com/file/d/1SkLaJepkr6SfuQ4hUDMlyjYbCVT71bOM/view?usp=drivesdk" TargetMode="External"/><Relationship Id="rId4298" Type="http://schemas.openxmlformats.org/officeDocument/2006/relationships/hyperlink" Target="https://drive.google.com/file/d/13U4yTj7pOzMhCPd-NJVsd94TxgJRSZA4/view?usp=drivesdk" TargetMode="External"/><Relationship Id="rId4249" Type="http://schemas.openxmlformats.org/officeDocument/2006/relationships/hyperlink" Target="https://drive.google.com/file/d/1eYnyNx1XhUoNteQ77i50z7Z4UUar5GrT/view?usp=drivesdk" TargetMode="External"/><Relationship Id="rId5570" Type="http://schemas.openxmlformats.org/officeDocument/2006/relationships/hyperlink" Target="https://drive.google.com/file/d/1V21-2n4N7IMZ3ZrQfZzo_OOeK-1ax4ch/view?usp=drivesdk" TargetMode="External"/><Relationship Id="rId5571" Type="http://schemas.openxmlformats.org/officeDocument/2006/relationships/hyperlink" Target="https://drive.google.com/file/d/11lFQJu-wWmFjueEpDFrmEZVqE7LZL72Y/view?usp=drivesdk" TargetMode="External"/><Relationship Id="rId4240" Type="http://schemas.openxmlformats.org/officeDocument/2006/relationships/hyperlink" Target="https://drive.google.com/file/d/1_-ccGeUUqIwNTldOhI5B7OBGzTicwA1P/view?usp=drivesdk" TargetMode="External"/><Relationship Id="rId4242" Type="http://schemas.openxmlformats.org/officeDocument/2006/relationships/hyperlink" Target="https://drive.google.com/file/d/1vJs9wen2odyJO9Qf1L8yPw8WYKeAVZT6/view?usp=drivesdk" TargetMode="External"/><Relationship Id="rId5574" Type="http://schemas.openxmlformats.org/officeDocument/2006/relationships/hyperlink" Target="https://drive.google.com/file/d/1v1CPqK3OAa897pCEVXvzIZOxFAY8eJli/view?usp=drivesdk" TargetMode="External"/><Relationship Id="rId4241" Type="http://schemas.openxmlformats.org/officeDocument/2006/relationships/hyperlink" Target="https://drive.google.com/file/d/1WxerROhq8PBaamEPsVN57Cg858zulWNq/view?usp=drivesdk" TargetMode="External"/><Relationship Id="rId5575" Type="http://schemas.openxmlformats.org/officeDocument/2006/relationships/hyperlink" Target="https://drive.google.com/file/d/17kOp0dYU6-qirXLrgRQBJp6J8hAKY0DQ/view?usp=drivesdk" TargetMode="External"/><Relationship Id="rId4244" Type="http://schemas.openxmlformats.org/officeDocument/2006/relationships/hyperlink" Target="https://drive.google.com/file/d/1oThfI1g5QG3RVvHgT8bYHb4dJD2ORkfg/view?usp=drivesdk" TargetMode="External"/><Relationship Id="rId5572" Type="http://schemas.openxmlformats.org/officeDocument/2006/relationships/hyperlink" Target="https://drive.google.com/file/d/1XZDCYFRVgUHhTLmveycqEPDQXaPOS2RQ/view?usp=drivesdk" TargetMode="External"/><Relationship Id="rId4243" Type="http://schemas.openxmlformats.org/officeDocument/2006/relationships/hyperlink" Target="https://drive.google.com/file/d/1U3SGXVxXn11hh3RTmZjsgylUk3gN8Fne/view?usp=drivesdk" TargetMode="External"/><Relationship Id="rId5573" Type="http://schemas.openxmlformats.org/officeDocument/2006/relationships/hyperlink" Target="https://drive.google.com/file/d/1tp_ihXo6UZsy_m_I9MxSDllDGMMZ2z0Z/view?usp=drivesdk" TargetMode="External"/><Relationship Id="rId4246" Type="http://schemas.openxmlformats.org/officeDocument/2006/relationships/hyperlink" Target="https://drive.google.com/file/d/1doXKX9zVMT5iw2R7YZUCbFJBDs2IJOjg/view?usp=drivesdk" TargetMode="External"/><Relationship Id="rId5578" Type="http://schemas.openxmlformats.org/officeDocument/2006/relationships/hyperlink" Target="https://drive.google.com/file/d/1EVKiqm9oc-ps1-A6XZBkLfJGlI7ZvIu_/view?usp=drivesdk" TargetMode="External"/><Relationship Id="rId4245" Type="http://schemas.openxmlformats.org/officeDocument/2006/relationships/hyperlink" Target="https://drive.google.com/file/d/1jTuoEsINZuSu9GwT9h4ZlrejlegCTLcS/view?usp=drivesdk" TargetMode="External"/><Relationship Id="rId5579" Type="http://schemas.openxmlformats.org/officeDocument/2006/relationships/hyperlink" Target="https://drive.google.com/file/d/1NqJ__9W5dr5AKOSvZ_5KA6M0LyRFoH2w/view?usp=drivesdk" TargetMode="External"/><Relationship Id="rId4248" Type="http://schemas.openxmlformats.org/officeDocument/2006/relationships/hyperlink" Target="https://drive.google.com/file/d/1L5tBY1d_R39OzxfTRub3mDwvyUCFLFmb/view?usp=drivesdk" TargetMode="External"/><Relationship Id="rId5576" Type="http://schemas.openxmlformats.org/officeDocument/2006/relationships/hyperlink" Target="https://drive.google.com/file/d/11OIjJ0HV3Ftnykw7XFNpEetWZuSjbGGu/view?usp=drivesdk" TargetMode="External"/><Relationship Id="rId4247" Type="http://schemas.openxmlformats.org/officeDocument/2006/relationships/hyperlink" Target="https://drive.google.com/file/d/14db7kjfsgsgmtXVGuDmLrlPZo34a1rlO/view?usp=drivesdk" TargetMode="External"/><Relationship Id="rId5577" Type="http://schemas.openxmlformats.org/officeDocument/2006/relationships/hyperlink" Target="https://drive.google.com/file/d/1ZRQ4rqphH9RRNcqSOBf-V6sMDp5vUVuC/view?usp=drivesdk" TargetMode="External"/><Relationship Id="rId4239" Type="http://schemas.openxmlformats.org/officeDocument/2006/relationships/hyperlink" Target="https://drive.google.com/file/d/1lWs-4_3eiAC2mEZeFb7Kv7-4xf6ghncb/view?usp=drivesdk" TargetMode="External"/><Relationship Id="rId4238" Type="http://schemas.openxmlformats.org/officeDocument/2006/relationships/hyperlink" Target="https://drive.google.com/file/d/1u0jriRLM0OAIb0cPBG8T5qi63zTbZniM/view?usp=drivesdk" TargetMode="External"/><Relationship Id="rId5569" Type="http://schemas.openxmlformats.org/officeDocument/2006/relationships/hyperlink" Target="https://drive.google.com/file/d/11Rj_EZdkBTNElbiTE9V87HzpQ8syXdQZ/view?usp=drivesdk" TargetMode="External"/><Relationship Id="rId6890" Type="http://schemas.openxmlformats.org/officeDocument/2006/relationships/hyperlink" Target="https://drive.google.com/file/d/1F0FYHl28jQCWxjUNi3IMSiqp2Q04t8JG/view?usp=drivesdk" TargetMode="External"/><Relationship Id="rId5560" Type="http://schemas.openxmlformats.org/officeDocument/2006/relationships/hyperlink" Target="https://drive.google.com/file/d/1n0qN5DyBXeY1-RXjvxKusT-dBnKbIrlo/view?usp=drivesdk" TargetMode="External"/><Relationship Id="rId6891" Type="http://schemas.openxmlformats.org/officeDocument/2006/relationships/hyperlink" Target="https://drive.google.com/file/d/1Al7Z9wMHWgPEY1kEWPECxe8jgfpn8tvD/view?usp=drivesdk" TargetMode="External"/><Relationship Id="rId495" Type="http://schemas.openxmlformats.org/officeDocument/2006/relationships/hyperlink" Target="https://drive.google.com/file/d/1ACstemdMQ_9DjMNzEetCutXuyChSmYo7/view?usp=drivesdk" TargetMode="External"/><Relationship Id="rId4231" Type="http://schemas.openxmlformats.org/officeDocument/2006/relationships/hyperlink" Target="https://drive.google.com/file/d/1YucDG8rRAHniZvuX-QV6WXmLONFIkKho/view?usp=drivesdk" TargetMode="External"/><Relationship Id="rId5563" Type="http://schemas.openxmlformats.org/officeDocument/2006/relationships/hyperlink" Target="https://drive.google.com/file/d/10oUN9uZ1V6MQeXx1OZ2GrgINRH12d57f/view?usp=drivesdk" TargetMode="External"/><Relationship Id="rId6894" Type="http://schemas.openxmlformats.org/officeDocument/2006/relationships/hyperlink" Target="https://drive.google.com/file/d/1zk8GyRuft6C4TPgV1YpMKKqD8jvcn3Wy/view?usp=drivesdk" TargetMode="External"/><Relationship Id="rId494" Type="http://schemas.openxmlformats.org/officeDocument/2006/relationships/hyperlink" Target="https://drive.google.com/file/d/11KiBLEZoMnQe5_TBWG41Q-FDPEdxtgAo/view?usp=drivesdk" TargetMode="External"/><Relationship Id="rId4230" Type="http://schemas.openxmlformats.org/officeDocument/2006/relationships/hyperlink" Target="https://drive.google.com/file/d/1Z4bZZUG6IkPCUigpZiNXUJG2glAKigW1/view?usp=drivesdk" TargetMode="External"/><Relationship Id="rId5564" Type="http://schemas.openxmlformats.org/officeDocument/2006/relationships/hyperlink" Target="https://drive.google.com/file/d/1lpaEOK9IJgr-e0NX7ou_SfhPK94ni_H9/view?usp=drivesdk" TargetMode="External"/><Relationship Id="rId6895" Type="http://schemas.openxmlformats.org/officeDocument/2006/relationships/hyperlink" Target="https://drive.google.com/file/d/1vWbWGc6RNVSMwSeR3hs9rkfEMT1YerVJ/view?usp=drivesdk" TargetMode="External"/><Relationship Id="rId493" Type="http://schemas.openxmlformats.org/officeDocument/2006/relationships/hyperlink" Target="https://drive.google.com/file/d/1GeYtoRCzpRlr_PEHNSZdhaMsOOhegNUe/view?usp=drivesdk" TargetMode="External"/><Relationship Id="rId4233" Type="http://schemas.openxmlformats.org/officeDocument/2006/relationships/hyperlink" Target="https://drive.google.com/file/d/1Le_aI6gLH-SZM72G4FZmFd-e7MyNLF-U/view?usp=drivesdk" TargetMode="External"/><Relationship Id="rId5561" Type="http://schemas.openxmlformats.org/officeDocument/2006/relationships/hyperlink" Target="https://drive.google.com/file/d/1r_ifQTw5TkwBiEi4qcUbe42xTUsm31xv/view?usp=drivesdk" TargetMode="External"/><Relationship Id="rId6892" Type="http://schemas.openxmlformats.org/officeDocument/2006/relationships/hyperlink" Target="https://drive.google.com/file/d/1LRNMTbD-y0gc7cu6_tfxnx85WUfkuaoH/view?usp=drivesdk" TargetMode="External"/><Relationship Id="rId492" Type="http://schemas.openxmlformats.org/officeDocument/2006/relationships/hyperlink" Target="https://drive.google.com/file/d/1IWPVPA1hNDdMdlKxhqhSpg-lgQQZ4rFO/view?usp=drivesdk" TargetMode="External"/><Relationship Id="rId4232" Type="http://schemas.openxmlformats.org/officeDocument/2006/relationships/hyperlink" Target="https://drive.google.com/file/d/1nSlVRaiFMw2mYZo0O3F9rUAGwFY6i9BA/view?usp=drivesdk" TargetMode="External"/><Relationship Id="rId5562" Type="http://schemas.openxmlformats.org/officeDocument/2006/relationships/hyperlink" Target="https://drive.google.com/file/d/1VK_LyHGMIz6pUTC7UvNhlBifKDhiPDNw/view?usp=drivesdk" TargetMode="External"/><Relationship Id="rId6893" Type="http://schemas.openxmlformats.org/officeDocument/2006/relationships/hyperlink" Target="https://drive.google.com/file/d/1E6YFyN1sRrr1mldN8ZSnidSNRSvowB_h/view?usp=drivesdk" TargetMode="External"/><Relationship Id="rId499" Type="http://schemas.openxmlformats.org/officeDocument/2006/relationships/hyperlink" Target="https://drive.google.com/file/d/1mzIKZEIQeL5-1yoKR1CODFYmuHp6VZ5p/view?usp=drivesdk" TargetMode="External"/><Relationship Id="rId4235" Type="http://schemas.openxmlformats.org/officeDocument/2006/relationships/hyperlink" Target="https://drive.google.com/file/d/1xyYEHzWWouHmnm85NpdGCEJv1c5bXv5C/view?usp=drivesdk" TargetMode="External"/><Relationship Id="rId5567" Type="http://schemas.openxmlformats.org/officeDocument/2006/relationships/hyperlink" Target="https://drive.google.com/file/d/1w15HeqSwBLO28HANHZ-wS8z9xk6AXgdn/view?usp=drivesdk" TargetMode="External"/><Relationship Id="rId6898" Type="http://schemas.openxmlformats.org/officeDocument/2006/relationships/hyperlink" Target="https://drive.google.com/file/d/1Y4GsEKZqUHyV_vA3AYYkyFa7QcDDrVSV/view?usp=drivesdk" TargetMode="External"/><Relationship Id="rId498" Type="http://schemas.openxmlformats.org/officeDocument/2006/relationships/hyperlink" Target="https://drive.google.com/file/d/152LK0t-e_jG0vqm1XlKlJknACuvQx_xt/view?usp=drivesdk" TargetMode="External"/><Relationship Id="rId4234" Type="http://schemas.openxmlformats.org/officeDocument/2006/relationships/hyperlink" Target="https://drive.google.com/file/d/1OMhDvBIsEs7wnM1YcAgvyUKAQ1h1SaTi/view?usp=drivesdk" TargetMode="External"/><Relationship Id="rId5568" Type="http://schemas.openxmlformats.org/officeDocument/2006/relationships/hyperlink" Target="https://drive.google.com/file/d/13AA3p5BF-dgPumXQOQIXYs1F4Ays5g0o/view?usp=drivesdk" TargetMode="External"/><Relationship Id="rId6899" Type="http://schemas.openxmlformats.org/officeDocument/2006/relationships/hyperlink" Target="https://drive.google.com/file/d/16NHv79LeVkqEeTPc2bAYRbbgFO2OZUkX/view?usp=drivesdk" TargetMode="External"/><Relationship Id="rId497" Type="http://schemas.openxmlformats.org/officeDocument/2006/relationships/hyperlink" Target="https://drive.google.com/file/d/1DSH9RXdmD5riYTtkW0bZiomjMt0aT4Pj/view?usp=drivesdk" TargetMode="External"/><Relationship Id="rId4237" Type="http://schemas.openxmlformats.org/officeDocument/2006/relationships/hyperlink" Target="https://drive.google.com/file/d/14RbVBDB253_wE_IYEyizPIscS77euEUg/view?usp=drivesdk" TargetMode="External"/><Relationship Id="rId5565" Type="http://schemas.openxmlformats.org/officeDocument/2006/relationships/hyperlink" Target="https://drive.google.com/file/d/1dvWUziVHm-azytUotUgrabWa78j0wHXQ/view?usp=drivesdk" TargetMode="External"/><Relationship Id="rId6896" Type="http://schemas.openxmlformats.org/officeDocument/2006/relationships/hyperlink" Target="https://drive.google.com/file/d/1kOOzgKFDlI5S38J90JzYp_mMFHwXqPlG/view?usp=drivesdk" TargetMode="External"/><Relationship Id="rId496" Type="http://schemas.openxmlformats.org/officeDocument/2006/relationships/hyperlink" Target="https://drive.google.com/file/d/1p8F67_4qKc2vGXZUXiQ5_PY0WyDRS19p/view?usp=drivesdk" TargetMode="External"/><Relationship Id="rId4236" Type="http://schemas.openxmlformats.org/officeDocument/2006/relationships/hyperlink" Target="https://drive.google.com/file/d/1EJ9QuttLoyGReyJqbWOgrLuwKz6ORKg7/view?usp=drivesdk" TargetMode="External"/><Relationship Id="rId5566" Type="http://schemas.openxmlformats.org/officeDocument/2006/relationships/hyperlink" Target="https://drive.google.com/file/d/1vum_vkqxyXXbzrLnhPu73o0_Is4nV-t6/view?usp=drivesdk" TargetMode="External"/><Relationship Id="rId6897" Type="http://schemas.openxmlformats.org/officeDocument/2006/relationships/hyperlink" Target="https://drive.google.com/file/d/1L_uKZ0UmPepmOAVn7ZU8uRJ-H1XWeJtX/view?usp=drivesdk" TargetMode="External"/><Relationship Id="rId4260" Type="http://schemas.openxmlformats.org/officeDocument/2006/relationships/hyperlink" Target="https://drive.google.com/file/d/1AF9MqrBbcW_2F_6ciX-alHqDLLweEnZc/view?usp=drivesdk" TargetMode="External"/><Relationship Id="rId5592" Type="http://schemas.openxmlformats.org/officeDocument/2006/relationships/hyperlink" Target="https://drive.google.com/file/d/1TchB8FoDVMkMeD8DcYQXf6QwJBdNp_CL/view?usp=drivesdk" TargetMode="External"/><Relationship Id="rId5593" Type="http://schemas.openxmlformats.org/officeDocument/2006/relationships/hyperlink" Target="https://drive.google.com/file/d/1b-0qaRUGVZOUoqeEJnHhNgwBZfcxmKr5/view?usp=drivesdk" TargetMode="External"/><Relationship Id="rId4262" Type="http://schemas.openxmlformats.org/officeDocument/2006/relationships/hyperlink" Target="https://drive.google.com/file/d/1dOCIti1AV5hfkc9IWiCz5AiJ9XjmF4-k/view?usp=drivesdk" TargetMode="External"/><Relationship Id="rId5590" Type="http://schemas.openxmlformats.org/officeDocument/2006/relationships/hyperlink" Target="https://drive.google.com/file/d/1W9-MMaVGbQca1PfmY0AE7WIAzZGeFiMf/view?usp=drivesdk" TargetMode="External"/><Relationship Id="rId4261" Type="http://schemas.openxmlformats.org/officeDocument/2006/relationships/hyperlink" Target="https://drive.google.com/file/d/1dta3XqFTjP6E9isZwcNGR1d6WzVTLdlU/view?usp=drivesdk" TargetMode="External"/><Relationship Id="rId5591" Type="http://schemas.openxmlformats.org/officeDocument/2006/relationships/hyperlink" Target="https://drive.google.com/file/d/11AyQ_Fy5SlOzejCF0EdkpONysyAIGHGH/view?usp=drivesdk" TargetMode="External"/><Relationship Id="rId4264" Type="http://schemas.openxmlformats.org/officeDocument/2006/relationships/hyperlink" Target="https://drive.google.com/file/d/1uKGD-lV0b9aIAERyq0PwIcbdJH84cMdZ/view?usp=drivesdk" TargetMode="External"/><Relationship Id="rId5596" Type="http://schemas.openxmlformats.org/officeDocument/2006/relationships/hyperlink" Target="https://drive.google.com/file/d/1oTmmBgoYOLw0Jpxk-b3a81eT9g666O0k/view?usp=drivesdk" TargetMode="External"/><Relationship Id="rId4263" Type="http://schemas.openxmlformats.org/officeDocument/2006/relationships/hyperlink" Target="https://drive.google.com/file/d/1SlHQWJ8jvW2oP8WAnjZFkaZCCQvWzxjb/view?usp=drivesdk" TargetMode="External"/><Relationship Id="rId5597" Type="http://schemas.openxmlformats.org/officeDocument/2006/relationships/hyperlink" Target="https://drive.google.com/file/d/1ZFQX-AQqdHaSQfmx8M3myRZgQY9BVeIK/view?usp=drivesdk" TargetMode="External"/><Relationship Id="rId4266" Type="http://schemas.openxmlformats.org/officeDocument/2006/relationships/hyperlink" Target="https://drive.google.com/file/d/17xXLwxlyg4-O4T999E81GqHXtayzwnpO/view?usp=drivesdk" TargetMode="External"/><Relationship Id="rId5594" Type="http://schemas.openxmlformats.org/officeDocument/2006/relationships/hyperlink" Target="https://drive.google.com/file/d/1EYpURShlCptfMb0Stl5sGWSgghou6Mcc/view?usp=drivesdk" TargetMode="External"/><Relationship Id="rId4265" Type="http://schemas.openxmlformats.org/officeDocument/2006/relationships/hyperlink" Target="https://drive.google.com/file/d/12mhVt9ajf2_qQJVfzadwmvTKWzyKvd4W/view?usp=drivesdk" TargetMode="External"/><Relationship Id="rId5595" Type="http://schemas.openxmlformats.org/officeDocument/2006/relationships/hyperlink" Target="https://drive.google.com/file/d/13R8UhfkU9Wgb2_U8eNlQfQE89i8oLfyz/view?usp=drivesdk" TargetMode="External"/><Relationship Id="rId4268" Type="http://schemas.openxmlformats.org/officeDocument/2006/relationships/hyperlink" Target="https://drive.google.com/file/d/17cQQPxI8sZVSeWxLGE-1_563HjsDJkVo/view?usp=drivesdk" TargetMode="External"/><Relationship Id="rId4267" Type="http://schemas.openxmlformats.org/officeDocument/2006/relationships/hyperlink" Target="https://drive.google.com/file/d/1fEMZjcY1OdkCPrnwD6xvU5eK20Rs_VI0/view?usp=drivesdk" TargetMode="External"/><Relationship Id="rId5598" Type="http://schemas.openxmlformats.org/officeDocument/2006/relationships/hyperlink" Target="https://drive.google.com/file/d/15tTrGbsiHOfwk-0g2IblDS3UcNV7ortj/view?usp=drivesdk" TargetMode="External"/><Relationship Id="rId4269" Type="http://schemas.openxmlformats.org/officeDocument/2006/relationships/hyperlink" Target="https://drive.google.com/file/d/1J08i5042HBWqCHQLfN3XQ2ubcU8hpp_y/view?usp=drivesdk" TargetMode="External"/><Relationship Id="rId5599" Type="http://schemas.openxmlformats.org/officeDocument/2006/relationships/hyperlink" Target="https://drive.google.com/file/d/1SM1caSJnU66Sk6Z9w13DTA085xTDjjPb/view?usp=drivesdk" TargetMode="External"/><Relationship Id="rId5581" Type="http://schemas.openxmlformats.org/officeDocument/2006/relationships/hyperlink" Target="https://drive.google.com/file/d/12cXJ2a2cf4J490vx6GHh4PgZKW9PHJI-/view?usp=drivesdk" TargetMode="External"/><Relationship Id="rId5582" Type="http://schemas.openxmlformats.org/officeDocument/2006/relationships/hyperlink" Target="https://drive.google.com/file/d/1_X4uNFhRyo-Zqm0Pem4jgHr2dICqrveR/view?usp=drivesdk" TargetMode="External"/><Relationship Id="rId4251" Type="http://schemas.openxmlformats.org/officeDocument/2006/relationships/hyperlink" Target="https://drive.google.com/file/d/1ofyr1uPm3v5xczTYPvpaNQfSjyOHgHHL/view?usp=drivesdk" TargetMode="External"/><Relationship Id="rId4250" Type="http://schemas.openxmlformats.org/officeDocument/2006/relationships/hyperlink" Target="https://drive.google.com/file/d/1ph-BAl-OpSrkRiVAGCyRNb3iFebmFnm6/view?usp=drivesdk" TargetMode="External"/><Relationship Id="rId5580" Type="http://schemas.openxmlformats.org/officeDocument/2006/relationships/hyperlink" Target="https://drive.google.com/file/d/1IXtk0jaAf50XQi8CbX6C3WPXYvm_DSWL/view?usp=drivesdk" TargetMode="External"/><Relationship Id="rId4253" Type="http://schemas.openxmlformats.org/officeDocument/2006/relationships/hyperlink" Target="https://drive.google.com/file/d/1WU8uTexKdyLkBy8Rk3yIseI0CsgS4O3m/view?usp=drivesdk" TargetMode="External"/><Relationship Id="rId5585" Type="http://schemas.openxmlformats.org/officeDocument/2006/relationships/hyperlink" Target="https://drive.google.com/file/d/1rmjQPGHIZsZAE3b_lzkOZsm6vEz2_yIj/view?usp=drivesdk" TargetMode="External"/><Relationship Id="rId4252" Type="http://schemas.openxmlformats.org/officeDocument/2006/relationships/hyperlink" Target="https://drive.google.com/file/d/1FtkLUkaP_1yCsjcp5doKmjsaBT9Hl6XT/view?usp=drivesdk" TargetMode="External"/><Relationship Id="rId5586" Type="http://schemas.openxmlformats.org/officeDocument/2006/relationships/hyperlink" Target="https://drive.google.com/file/d/1Zic2air5-8LkSQdg6codXz9Cz5yFubmS/view?usp=drivesdk" TargetMode="External"/><Relationship Id="rId4255" Type="http://schemas.openxmlformats.org/officeDocument/2006/relationships/hyperlink" Target="https://drive.google.com/file/d/1RuS3katCxlbry0AB3S9VFzAiWaTsdSRR/view?usp=drivesdk" TargetMode="External"/><Relationship Id="rId5583" Type="http://schemas.openxmlformats.org/officeDocument/2006/relationships/hyperlink" Target="https://drive.google.com/file/d/1_IqumkWSaNvPhcpxZ3gQwP8QYTtJCkdh/view?usp=drivesdk" TargetMode="External"/><Relationship Id="rId4254" Type="http://schemas.openxmlformats.org/officeDocument/2006/relationships/hyperlink" Target="https://drive.google.com/file/d/1Jmx4GtUCpNwL8qLElp9eOgiDBMowiCbp/view?usp=drivesdk" TargetMode="External"/><Relationship Id="rId5584" Type="http://schemas.openxmlformats.org/officeDocument/2006/relationships/hyperlink" Target="https://drive.google.com/file/d/1i3xNiwIoQqpUl9uXVx5JkqCWhU71Vzny/view?usp=drivesdk" TargetMode="External"/><Relationship Id="rId4257" Type="http://schemas.openxmlformats.org/officeDocument/2006/relationships/hyperlink" Target="https://drive.google.com/file/d/1nf3H7MTFoUFrf9xfbqoeS_sgUH92F5Qv/view?usp=drivesdk" TargetMode="External"/><Relationship Id="rId5589" Type="http://schemas.openxmlformats.org/officeDocument/2006/relationships/hyperlink" Target="https://drive.google.com/file/d/1Dz0Sydfgh1XhMdq7GnxjFfyS-r0RJqQ3/view?usp=drivesdk" TargetMode="External"/><Relationship Id="rId4256" Type="http://schemas.openxmlformats.org/officeDocument/2006/relationships/hyperlink" Target="https://drive.google.com/file/d/1sKoooQdbSxMsQNTYh2awwUhglx6Yyb0y/view?usp=drivesdk" TargetMode="External"/><Relationship Id="rId4259" Type="http://schemas.openxmlformats.org/officeDocument/2006/relationships/hyperlink" Target="https://drive.google.com/file/d/1asp0cyhGD7esD-YyVvpMzI0azY-MxvIm/view?usp=drivesdk" TargetMode="External"/><Relationship Id="rId5587" Type="http://schemas.openxmlformats.org/officeDocument/2006/relationships/hyperlink" Target="https://drive.google.com/file/d/1Hsjo1o-LAN15OaZKE4pdLJM-rckTj1YP/view?usp=drivesdk" TargetMode="External"/><Relationship Id="rId4258" Type="http://schemas.openxmlformats.org/officeDocument/2006/relationships/hyperlink" Target="https://drive.google.com/file/d/1NUnPIZYxxki2esQZyz4BcwybqQUV8VZb/view?usp=drivesdk" TargetMode="External"/><Relationship Id="rId5588" Type="http://schemas.openxmlformats.org/officeDocument/2006/relationships/hyperlink" Target="https://drive.google.com/file/d/1WwPphMpMbF-NaPK-bV_C62h_FJZIMafj/view?usp=drivesdk" TargetMode="External"/><Relationship Id="rId6902" Type="http://schemas.openxmlformats.org/officeDocument/2006/relationships/hyperlink" Target="https://drive.google.com/file/d/1oo9iAFUlVd4gamdqSBqnJenC6dTUrwja/view?usp=drivesdk" TargetMode="External"/><Relationship Id="rId6903" Type="http://schemas.openxmlformats.org/officeDocument/2006/relationships/hyperlink" Target="https://drive.google.com/file/d/1KlT1R8vcza0vw-HaaxdU622PfLSHdSZi/view?usp=drivesdk" TargetMode="External"/><Relationship Id="rId6900" Type="http://schemas.openxmlformats.org/officeDocument/2006/relationships/hyperlink" Target="https://drive.google.com/file/d/11It4w3hW4JFk2TZM9tmEJQKMNZsnRLNJ/view?usp=drivesdk" TargetMode="External"/><Relationship Id="rId6901" Type="http://schemas.openxmlformats.org/officeDocument/2006/relationships/hyperlink" Target="https://drive.google.com/file/d/1dcJ6NWBERYR-LaihxseQbHsgIC0h984n/view?usp=drivesdk" TargetMode="External"/><Relationship Id="rId6906" Type="http://schemas.openxmlformats.org/officeDocument/2006/relationships/hyperlink" Target="https://drive.google.com/file/d/1kp4ydzZyKNbnezqv2ZUYexfkQ6sfDSod/view?usp=drivesdk" TargetMode="External"/><Relationship Id="rId6907" Type="http://schemas.openxmlformats.org/officeDocument/2006/relationships/hyperlink" Target="https://drive.google.com/file/d/1Q-xG_wsCiipffoXhYov3AUgeMCz1yTqj/view?usp=drivesdk" TargetMode="External"/><Relationship Id="rId6904" Type="http://schemas.openxmlformats.org/officeDocument/2006/relationships/hyperlink" Target="https://drive.google.com/file/d/1A3MjFJcWoNkmGjZLAyx0Ot_emidlw6xs/view?usp=drivesdk" TargetMode="External"/><Relationship Id="rId6905" Type="http://schemas.openxmlformats.org/officeDocument/2006/relationships/hyperlink" Target="https://drive.google.com/file/d/1v4qAGXJiw8yTIwWGb60S1NViFAZwmwUF/view?usp=drivesdk" TargetMode="External"/><Relationship Id="rId6908" Type="http://schemas.openxmlformats.org/officeDocument/2006/relationships/hyperlink" Target="https://drive.google.com/file/d/1LsMG7iBov9BZyffeUWlK48vpDG6hbdOA/view?usp=drivesdk" TargetMode="External"/><Relationship Id="rId6909" Type="http://schemas.openxmlformats.org/officeDocument/2006/relationships/hyperlink" Target="https://drive.google.com/file/d/1cTrPUsyAwVEmtMiJyU0xhKP62C45Oi2S/view?usp=drivesdk" TargetMode="External"/><Relationship Id="rId6924" Type="http://schemas.openxmlformats.org/officeDocument/2006/relationships/hyperlink" Target="https://drive.google.com/file/d/1o2taTCK_oXkxcQhm3us-8rt--D95tIyW/view?usp=drivesdk" TargetMode="External"/><Relationship Id="rId6925" Type="http://schemas.openxmlformats.org/officeDocument/2006/relationships/hyperlink" Target="https://drive.google.com/file/d/1DmGGbCKJCx7hpyoI8MZsF8ediXMnvPVU/view?usp=drivesdk" TargetMode="External"/><Relationship Id="rId6922" Type="http://schemas.openxmlformats.org/officeDocument/2006/relationships/hyperlink" Target="https://drive.google.com/file/d/1K7Z7uBvsZ8kGrYzrtNh62QlsSPW9JMID/view?usp=drivesdk" TargetMode="External"/><Relationship Id="rId6923" Type="http://schemas.openxmlformats.org/officeDocument/2006/relationships/hyperlink" Target="https://drive.google.com/file/d/1mEW_2RWO9_bgMQqr__u5CsfWO5kH756q/view?usp=drivesdk" TargetMode="External"/><Relationship Id="rId6928" Type="http://schemas.openxmlformats.org/officeDocument/2006/relationships/hyperlink" Target="https://drive.google.com/file/d/1BCGmk0xK4lqplZVCwuhA7Tc2FLBlZO0P/view?usp=drivesdk" TargetMode="External"/><Relationship Id="rId6929" Type="http://schemas.openxmlformats.org/officeDocument/2006/relationships/hyperlink" Target="https://drive.google.com/file/d/1Lcw0VPwf4eHkumBY_pKFz9kaGdwt56r7/view?usp=drivesdk" TargetMode="External"/><Relationship Id="rId6926" Type="http://schemas.openxmlformats.org/officeDocument/2006/relationships/hyperlink" Target="https://drive.google.com/file/d/1Hm5cNHlErS5OJmHVPWzswM34wiLhxelr/view?usp=drivesdk" TargetMode="External"/><Relationship Id="rId6927" Type="http://schemas.openxmlformats.org/officeDocument/2006/relationships/hyperlink" Target="https://drive.google.com/file/d/1FVc8kxRKBt_L7EdaKi5jCr6wzTIIyd05/view?usp=drivesdk" TargetMode="External"/><Relationship Id="rId409" Type="http://schemas.openxmlformats.org/officeDocument/2006/relationships/hyperlink" Target="https://drive.google.com/file/d/1R4ARzhvHHZw2yC82y17fTkqBAqklyZyD/view?usp=drivesdk" TargetMode="External"/><Relationship Id="rId404" Type="http://schemas.openxmlformats.org/officeDocument/2006/relationships/hyperlink" Target="https://drive.google.com/file/d/18fzJmkPbyi-3ErX3JgdGWwMVTRT0aPrW/view?usp=drivesdk" TargetMode="External"/><Relationship Id="rId403" Type="http://schemas.openxmlformats.org/officeDocument/2006/relationships/hyperlink" Target="https://drive.google.com/file/d/1XC6f2K-8xQI_HnKadCAgY2c0a2xEeLmB/view?usp=drivesdk" TargetMode="External"/><Relationship Id="rId402" Type="http://schemas.openxmlformats.org/officeDocument/2006/relationships/hyperlink" Target="https://drive.google.com/file/d/1SxTzqCrlQfZ7ipaxtl2c0LO4RrzuEKsY/view?usp=drivesdk" TargetMode="External"/><Relationship Id="rId401" Type="http://schemas.openxmlformats.org/officeDocument/2006/relationships/hyperlink" Target="https://drive.google.com/file/d/1M0C1iYe5DdZ4y4EEi5f1fTZ1gDenwPtq/view?usp=drivesdk" TargetMode="External"/><Relationship Id="rId408" Type="http://schemas.openxmlformats.org/officeDocument/2006/relationships/hyperlink" Target="https://drive.google.com/file/d/1p6TGVGfkBoc2upXHu5Yj5dXFMgJRpMWU/view?usp=drivesdk" TargetMode="External"/><Relationship Id="rId407" Type="http://schemas.openxmlformats.org/officeDocument/2006/relationships/hyperlink" Target="https://drive.google.com/file/d/1sSf-Vw5wwXKbo6r-_rVcoR1ff1wXdLjz/view?usp=drivesdk" TargetMode="External"/><Relationship Id="rId406" Type="http://schemas.openxmlformats.org/officeDocument/2006/relationships/hyperlink" Target="https://drive.google.com/file/d/1m-PXgXHGMoBlb8U2RbdpbJdYU9BVPWb6/view?usp=drivesdk" TargetMode="External"/><Relationship Id="rId405" Type="http://schemas.openxmlformats.org/officeDocument/2006/relationships/hyperlink" Target="https://drive.google.com/file/d/11OpR9ZBlRXU27BdGahhwvXodZJ1KzYtQ/view?usp=drivesdk" TargetMode="External"/><Relationship Id="rId400" Type="http://schemas.openxmlformats.org/officeDocument/2006/relationships/hyperlink" Target="https://drive.google.com/file/d/1aSImnj4w8l88bUBQguFaap8JQ8LGtowx/view?usp=drivesdk" TargetMode="External"/><Relationship Id="rId6920" Type="http://schemas.openxmlformats.org/officeDocument/2006/relationships/hyperlink" Target="https://drive.google.com/file/d/1KhbX0qQobys6j1n9w5kjIDeQ_3Hz_xdj/view?usp=drivesdk" TargetMode="External"/><Relationship Id="rId6921" Type="http://schemas.openxmlformats.org/officeDocument/2006/relationships/hyperlink" Target="https://drive.google.com/file/d/1foZVa_piULro_noaisCgYhIWVae0LEw2/view?usp=drivesdk" TargetMode="External"/><Relationship Id="rId6913" Type="http://schemas.openxmlformats.org/officeDocument/2006/relationships/hyperlink" Target="https://drive.google.com/file/d/1W9wjsZk8PlJFatRLgjSn54-cJed_cIrO/view?usp=drivesdk" TargetMode="External"/><Relationship Id="rId6914" Type="http://schemas.openxmlformats.org/officeDocument/2006/relationships/hyperlink" Target="https://drive.google.com/file/d/1j2wpVoxlOVrEC91Gwa1HYqKkpJkUMsLi/view?usp=drivesdk" TargetMode="External"/><Relationship Id="rId6911" Type="http://schemas.openxmlformats.org/officeDocument/2006/relationships/hyperlink" Target="https://drive.google.com/file/d/11diZViGWqvrwzg0I_nK5j46huDjpDIkv/view?usp=drivesdk" TargetMode="External"/><Relationship Id="rId6912" Type="http://schemas.openxmlformats.org/officeDocument/2006/relationships/hyperlink" Target="https://drive.google.com/file/d/1rXXfAX4lJCuB-4oWvN5uo32oNqJeAtqN/view?usp=drivesdk" TargetMode="External"/><Relationship Id="rId6917" Type="http://schemas.openxmlformats.org/officeDocument/2006/relationships/hyperlink" Target="https://drive.google.com/file/d/16eCJPqvi-RAuoIXcLJO8uHz7IUt8Rloc/view?usp=drivesdk" TargetMode="External"/><Relationship Id="rId6918" Type="http://schemas.openxmlformats.org/officeDocument/2006/relationships/hyperlink" Target="https://drive.google.com/file/d/12RpkK3CYUovN_BZBHVMn54bizsj_5B5N/view?usp=drivesdk" TargetMode="External"/><Relationship Id="rId6915" Type="http://schemas.openxmlformats.org/officeDocument/2006/relationships/hyperlink" Target="https://drive.google.com/file/d/1lwJ2g9Gj9-vb5sdbEofUFD3BA_nJ_BQT/view?usp=drivesdk" TargetMode="External"/><Relationship Id="rId6916" Type="http://schemas.openxmlformats.org/officeDocument/2006/relationships/hyperlink" Target="https://drive.google.com/file/d/1WR1SNsTY3cXM_LTq-21wzI7UONfwK_d8/view?usp=drivesdk" TargetMode="External"/><Relationship Id="rId6919" Type="http://schemas.openxmlformats.org/officeDocument/2006/relationships/hyperlink" Target="https://drive.google.com/file/d/1l3-5VlUHq8_8Uu_HJzlc5FOJ_k_fxl75/view?usp=drivesdk" TargetMode="External"/><Relationship Id="rId6910" Type="http://schemas.openxmlformats.org/officeDocument/2006/relationships/hyperlink" Target="https://drive.google.com/file/d/1s8Xk2rInoyfpE2kkSuMVTctQYJRDyOG_/view?usp=drivesdk" TargetMode="External"/><Relationship Id="rId4327" Type="http://schemas.openxmlformats.org/officeDocument/2006/relationships/hyperlink" Target="https://drive.google.com/file/d/1ulg-Y6X4EdTFKrvOKwRBfriJzO3wyRmZ/view?usp=drivesdk" TargetMode="External"/><Relationship Id="rId5659" Type="http://schemas.openxmlformats.org/officeDocument/2006/relationships/hyperlink" Target="https://drive.google.com/file/d/1Dv_32NVv7C4Ao3CX_FGJ0uenx76zoQzd/view?usp=drivesdk" TargetMode="External"/><Relationship Id="rId4326" Type="http://schemas.openxmlformats.org/officeDocument/2006/relationships/hyperlink" Target="https://drive.google.com/file/d/15mnxwSh1a7jRFXrmoybUDuoNUc-urzy-/view?usp=drivesdk" TargetMode="External"/><Relationship Id="rId4329" Type="http://schemas.openxmlformats.org/officeDocument/2006/relationships/hyperlink" Target="https://drive.google.com/file/d/1eMafeOfErXsx6Rx9mBtu39haMqCbTYYM/view?usp=drivesdk" TargetMode="External"/><Relationship Id="rId5657" Type="http://schemas.openxmlformats.org/officeDocument/2006/relationships/hyperlink" Target="https://drive.google.com/file/d/1hicANaPyq1eu5BXwHggTK_3HQljRtsU-/view?usp=drivesdk" TargetMode="External"/><Relationship Id="rId6988" Type="http://schemas.openxmlformats.org/officeDocument/2006/relationships/hyperlink" Target="https://drive.google.com/file/d/18GRiUSuFAlJOvi-v3TY_x-Bdu3Q9Rjyu/view?usp=drivesdk" TargetMode="External"/><Relationship Id="rId4328" Type="http://schemas.openxmlformats.org/officeDocument/2006/relationships/hyperlink" Target="https://drive.google.com/file/d/1m88XYw5FOihnI-_jMAh-2o_vETqvUED-/view?usp=drivesdk" TargetMode="External"/><Relationship Id="rId5658" Type="http://schemas.openxmlformats.org/officeDocument/2006/relationships/hyperlink" Target="https://drive.google.com/file/d/18grq4Fn4HmMhCXtD3MCNf7LFLWsno4U-/view?usp=drivesdk" TargetMode="External"/><Relationship Id="rId6989" Type="http://schemas.openxmlformats.org/officeDocument/2006/relationships/hyperlink" Target="https://drive.google.com/file/d/1cZ7n5RnLrcB5IR4rjB3CXd5YbgzfqhjT/view?usp=drivesdk" TargetMode="External"/><Relationship Id="rId469" Type="http://schemas.openxmlformats.org/officeDocument/2006/relationships/hyperlink" Target="https://drive.google.com/file/d/1JuvLc2r0tVkozzvtsb6-HY4Ibx-J-atJ/view?usp=drivesdk" TargetMode="External"/><Relationship Id="rId468" Type="http://schemas.openxmlformats.org/officeDocument/2006/relationships/hyperlink" Target="https://drive.google.com/file/d/1LcUuFNHSU-PVGvTWISgjgvEGpOsnZ3Oq/view?usp=drivesdk" TargetMode="External"/><Relationship Id="rId467" Type="http://schemas.openxmlformats.org/officeDocument/2006/relationships/hyperlink" Target="https://drive.google.com/file/d/1wKAU1MeqiTkWa0-Y0sx_BgQFtb5N1fcS/view?usp=drivesdk" TargetMode="External"/><Relationship Id="rId462" Type="http://schemas.openxmlformats.org/officeDocument/2006/relationships/hyperlink" Target="https://drive.google.com/file/d/1zQh45DNjobNI-otE6ydvoIEzCs0de1jx/view?usp=drivesdk" TargetMode="External"/><Relationship Id="rId5651" Type="http://schemas.openxmlformats.org/officeDocument/2006/relationships/hyperlink" Target="https://drive.google.com/file/d/1ZxSHTSqvJj7N7y8dfoFNssTDFajm1Hy0/view?usp=drivesdk" TargetMode="External"/><Relationship Id="rId6982" Type="http://schemas.openxmlformats.org/officeDocument/2006/relationships/hyperlink" Target="https://drive.google.com/file/d/1vTXXl5Q4e3n4TjoSu3r1kwsVlWcK2t9f/view?usp=drivesdk" TargetMode="External"/><Relationship Id="rId461" Type="http://schemas.openxmlformats.org/officeDocument/2006/relationships/hyperlink" Target="https://drive.google.com/file/d/1eu5U5JtRT41Av32FpqSeXfZEeNZj6EiB/view?usp=drivesdk" TargetMode="External"/><Relationship Id="rId5652" Type="http://schemas.openxmlformats.org/officeDocument/2006/relationships/hyperlink" Target="https://drive.google.com/file/d/13Kvztt8atP9thLrF3AndbzEypVDVFDHT/view?usp=drivesdk" TargetMode="External"/><Relationship Id="rId6983" Type="http://schemas.openxmlformats.org/officeDocument/2006/relationships/hyperlink" Target="https://drive.google.com/file/d/1scOoKvHTjwqn9TIA1dUjIiFfMR42RbL-/view?usp=drivesdk" TargetMode="External"/><Relationship Id="rId460" Type="http://schemas.openxmlformats.org/officeDocument/2006/relationships/hyperlink" Target="https://drive.google.com/file/d/1EZBf6g36Wz0rnasLJ6rhUKFE0ec0-dXH/view?usp=drivesdk" TargetMode="External"/><Relationship Id="rId4321" Type="http://schemas.openxmlformats.org/officeDocument/2006/relationships/hyperlink" Target="https://drive.google.com/file/d/1dlFEDE-gKkfXKW5KVCu3rHEBnchfblZR/view?usp=drivesdk" TargetMode="External"/><Relationship Id="rId6980" Type="http://schemas.openxmlformats.org/officeDocument/2006/relationships/hyperlink" Target="https://drive.google.com/file/d/1z7fe5Y6kOU-39ZgIi3iQDo8NccyTydGt/view?usp=drivesdk" TargetMode="External"/><Relationship Id="rId4320" Type="http://schemas.openxmlformats.org/officeDocument/2006/relationships/hyperlink" Target="https://drive.google.com/file/d/1avZtJMeL6wM7uqkbIzB2bJ33bgjNylTI/view?usp=drivesdk" TargetMode="External"/><Relationship Id="rId5650" Type="http://schemas.openxmlformats.org/officeDocument/2006/relationships/hyperlink" Target="https://drive.google.com/file/d/1qfliXuSZIoq9JhnUE9ImvppPms6Bh771/view?usp=drivesdk" TargetMode="External"/><Relationship Id="rId6981" Type="http://schemas.openxmlformats.org/officeDocument/2006/relationships/hyperlink" Target="https://drive.google.com/file/d/1di9RVUOJa8MKbsdoIli5QcXxz2uIRgqQ/view?usp=drivesdk" TargetMode="External"/><Relationship Id="rId466" Type="http://schemas.openxmlformats.org/officeDocument/2006/relationships/hyperlink" Target="https://drive.google.com/file/d/1WjN06x978aws3E7EMkxzAdncOmNlLIhl/view?usp=drivesdk" TargetMode="External"/><Relationship Id="rId4323" Type="http://schemas.openxmlformats.org/officeDocument/2006/relationships/hyperlink" Target="https://drive.google.com/file/d/1RGHmy15nQ_15Tx2nPiKOVKH7OwxMRiD_/view?usp=drivesdk" TargetMode="External"/><Relationship Id="rId5655" Type="http://schemas.openxmlformats.org/officeDocument/2006/relationships/hyperlink" Target="https://drive.google.com/file/d/1lp4vChcdf8wumyvO9_oNPFwvjXsBFSKm/view?usp=drivesdk" TargetMode="External"/><Relationship Id="rId6986" Type="http://schemas.openxmlformats.org/officeDocument/2006/relationships/hyperlink" Target="https://drive.google.com/file/d/1dzdTD1VrD1snfWOYCajZq0Ps01RqWyMe/view?usp=drivesdk" TargetMode="External"/><Relationship Id="rId465" Type="http://schemas.openxmlformats.org/officeDocument/2006/relationships/hyperlink" Target="https://drive.google.com/file/d/1kuKYodghb0R3bZKVTBpn6IW5LMtzr2Ay/view?usp=drivesdk" TargetMode="External"/><Relationship Id="rId4322" Type="http://schemas.openxmlformats.org/officeDocument/2006/relationships/hyperlink" Target="https://drive.google.com/file/d/1egZhIPTi2Y97rOMdBNoeeWRTVVLmgjhf/view?usp=drivesdk" TargetMode="External"/><Relationship Id="rId5656" Type="http://schemas.openxmlformats.org/officeDocument/2006/relationships/hyperlink" Target="https://drive.google.com/file/d/1WrxesLz3qu59rD-QAUmlShj7HrL7URVA/view?usp=drivesdk" TargetMode="External"/><Relationship Id="rId6987" Type="http://schemas.openxmlformats.org/officeDocument/2006/relationships/hyperlink" Target="https://drive.google.com/file/d/1EWd0eoZ7twWTbHsAh3EbRA7oKk1KmZnH/view?usp=drivesdk" TargetMode="External"/><Relationship Id="rId464" Type="http://schemas.openxmlformats.org/officeDocument/2006/relationships/hyperlink" Target="https://drive.google.com/file/d/1lJR92CkKLUtmhWdILklMjDrn3kRxUF8a/view?usp=drivesdk" TargetMode="External"/><Relationship Id="rId4325" Type="http://schemas.openxmlformats.org/officeDocument/2006/relationships/hyperlink" Target="https://drive.google.com/file/d/1gfTyKq2mHiDzSWIbRnv3cTNNPfOxM7bu/view?usp=drivesdk" TargetMode="External"/><Relationship Id="rId5653" Type="http://schemas.openxmlformats.org/officeDocument/2006/relationships/hyperlink" Target="https://drive.google.com/file/d/1lK8O3-NBWU39NgcwSS0917JeEpPVva8u/view?usp=drivesdk" TargetMode="External"/><Relationship Id="rId6984" Type="http://schemas.openxmlformats.org/officeDocument/2006/relationships/hyperlink" Target="https://drive.google.com/file/d/13EFWPC6Boj0AAMzqQTEMTboIsj7xZZ_E/view?usp=drivesdk" TargetMode="External"/><Relationship Id="rId463" Type="http://schemas.openxmlformats.org/officeDocument/2006/relationships/hyperlink" Target="https://drive.google.com/file/d/16VtUW__JaEjzbOCEIzKS_Fwh72UqvFy6/view?usp=drivesdk" TargetMode="External"/><Relationship Id="rId4324" Type="http://schemas.openxmlformats.org/officeDocument/2006/relationships/hyperlink" Target="https://drive.google.com/file/d/1IHBv9ZdoRRov7VfzEtpsdQAeBbS80Z-H/view?usp=drivesdk" TargetMode="External"/><Relationship Id="rId5654" Type="http://schemas.openxmlformats.org/officeDocument/2006/relationships/hyperlink" Target="https://drive.google.com/file/d/1NgDHLawEQK5147DFZIuTf2QTHVjvld3i/view?usp=drivesdk" TargetMode="External"/><Relationship Id="rId6985" Type="http://schemas.openxmlformats.org/officeDocument/2006/relationships/hyperlink" Target="https://drive.google.com/file/d/1hiB0R4-VDuNu7ihhJUbhJQT9G078nVoN/view?usp=drivesdk" TargetMode="External"/><Relationship Id="rId4316" Type="http://schemas.openxmlformats.org/officeDocument/2006/relationships/hyperlink" Target="https://drive.google.com/file/d/1FIL2Fjdp-A2dLEOh2iSqz7eCwcOqUfl6/view?usp=drivesdk" TargetMode="External"/><Relationship Id="rId5648" Type="http://schemas.openxmlformats.org/officeDocument/2006/relationships/hyperlink" Target="https://drive.google.com/file/d/1JxwGGRCGSfgkWOWnFE-vAGemKPIeJor1/view?usp=drivesdk" TargetMode="External"/><Relationship Id="rId6979" Type="http://schemas.openxmlformats.org/officeDocument/2006/relationships/hyperlink" Target="https://drive.google.com/file/d/1WGlr2gwy_0kmC3G1ppYEtzMxZcGcDjxP/view?usp=drivesdk" TargetMode="External"/><Relationship Id="rId4315" Type="http://schemas.openxmlformats.org/officeDocument/2006/relationships/hyperlink" Target="https://drive.google.com/file/d/1P6bZvfhOWnC4NejRKuZEJdUsAnv-070l/view?usp=drivesdk" TargetMode="External"/><Relationship Id="rId5649" Type="http://schemas.openxmlformats.org/officeDocument/2006/relationships/hyperlink" Target="https://drive.google.com/file/d/1Ym6UNmR-cxNE8jH3tobsiexhubthpA3t/view?usp=drivesdk" TargetMode="External"/><Relationship Id="rId4318" Type="http://schemas.openxmlformats.org/officeDocument/2006/relationships/hyperlink" Target="https://drive.google.com/file/d/1oiLDnnjV-s4BGsiNQ2mxXUy86ttOXqEK/view?usp=drivesdk" TargetMode="External"/><Relationship Id="rId5646" Type="http://schemas.openxmlformats.org/officeDocument/2006/relationships/hyperlink" Target="https://drive.google.com/file/d/1YTP9iPgMN6MM0sUw1figEpp9m8mhnS5S/view?usp=drivesdk" TargetMode="External"/><Relationship Id="rId6977" Type="http://schemas.openxmlformats.org/officeDocument/2006/relationships/hyperlink" Target="https://drive.google.com/file/d/17LlwyIOr8JQ82vSpP5xx0f3sTeDGcuo-/view?usp=drivesdk" TargetMode="External"/><Relationship Id="rId4317" Type="http://schemas.openxmlformats.org/officeDocument/2006/relationships/hyperlink" Target="https://drive.google.com/file/d/1czPhjrfQxWXnyPI3cHuC5D1zo_KPsjwI/view?usp=drivesdk" TargetMode="External"/><Relationship Id="rId5647" Type="http://schemas.openxmlformats.org/officeDocument/2006/relationships/hyperlink" Target="https://drive.google.com/file/d/1FxhB8Nl4HWIlsn4psT9BYmR9BCpOpvR3/view?usp=drivesdk" TargetMode="External"/><Relationship Id="rId6978" Type="http://schemas.openxmlformats.org/officeDocument/2006/relationships/hyperlink" Target="https://drive.google.com/file/d/1O018WG0NIuZBxXvCVIZw-VLfXaHp8jLk/view?usp=drivesdk" TargetMode="External"/><Relationship Id="rId4319" Type="http://schemas.openxmlformats.org/officeDocument/2006/relationships/hyperlink" Target="https://drive.google.com/file/d/1_G17mB5IC9Wu9sVOnJDp2FXQeeq-iT20/view?usp=drivesdk" TargetMode="External"/><Relationship Id="rId459" Type="http://schemas.openxmlformats.org/officeDocument/2006/relationships/hyperlink" Target="https://drive.google.com/file/d/1BqCxS14rr-paa51GqmcOiCRlDeIl171A/view?usp=drivesdk" TargetMode="External"/><Relationship Id="rId458" Type="http://schemas.openxmlformats.org/officeDocument/2006/relationships/hyperlink" Target="https://drive.google.com/file/d/1GiBDMGiYpB9aCuoOC7B24Fapqq_sC9nY/view?usp=drivesdk" TargetMode="External"/><Relationship Id="rId457" Type="http://schemas.openxmlformats.org/officeDocument/2006/relationships/hyperlink" Target="https://drive.google.com/file/d/1mSosHA6913EGUAuiUNWQ3AC607e7ZpNl/view?usp=drivesdk" TargetMode="External"/><Relationship Id="rId456" Type="http://schemas.openxmlformats.org/officeDocument/2006/relationships/hyperlink" Target="https://drive.google.com/file/d/17Z68fg8W4DooJug6CcmFoMvRqLpoaqM4/view?usp=drivesdk" TargetMode="External"/><Relationship Id="rId451" Type="http://schemas.openxmlformats.org/officeDocument/2006/relationships/hyperlink" Target="https://drive.google.com/file/d/1Ov0A6IJEj_gP_Y9OIa-qw7hBuvPlseBS/view?usp=drivesdk" TargetMode="External"/><Relationship Id="rId5640" Type="http://schemas.openxmlformats.org/officeDocument/2006/relationships/hyperlink" Target="https://drive.google.com/file/d/1iSbUbL76g8rhsblhb5-LuD-hHZ4JvKgA/view?usp=drivesdk" TargetMode="External"/><Relationship Id="rId6971" Type="http://schemas.openxmlformats.org/officeDocument/2006/relationships/hyperlink" Target="https://drive.google.com/file/d/1sRH02PtBUszVLznbJrMWlZpJGPIvrqpc/view?usp=drivesdk" TargetMode="External"/><Relationship Id="rId450" Type="http://schemas.openxmlformats.org/officeDocument/2006/relationships/hyperlink" Target="https://drive.google.com/file/d/1oFu3XFdoSLWFsOenFW7dKy0twKtsh74E/view?usp=drivesdk" TargetMode="External"/><Relationship Id="rId5641" Type="http://schemas.openxmlformats.org/officeDocument/2006/relationships/hyperlink" Target="https://drive.google.com/file/d/1Etq3lv48kZvM7pYYXCxceNfkyzZv4F_j/view?usp=drivesdk" TargetMode="External"/><Relationship Id="rId6972" Type="http://schemas.openxmlformats.org/officeDocument/2006/relationships/hyperlink" Target="https://drive.google.com/file/d/1Kc2J9_21xxh4zGOdR0m52lKZv0tg7YdQ/view?usp=drivesdk" TargetMode="External"/><Relationship Id="rId4310" Type="http://schemas.openxmlformats.org/officeDocument/2006/relationships/hyperlink" Target="https://drive.google.com/file/d/1J9fQDolCqZ3yLQnQ9ep61J1L_uZQcvTU/view?usp=drivesdk" TargetMode="External"/><Relationship Id="rId6970" Type="http://schemas.openxmlformats.org/officeDocument/2006/relationships/hyperlink" Target="https://drive.google.com/file/d/1f5V-UpmzDCxBvtc-Q7x7Gx-8GcLNSb-1/view?usp=drivesdk" TargetMode="External"/><Relationship Id="rId455" Type="http://schemas.openxmlformats.org/officeDocument/2006/relationships/hyperlink" Target="https://drive.google.com/file/d/1dh7t5UCMFdu1vClD3N7U387N-PqlnIQj/view?usp=drivesdk" TargetMode="External"/><Relationship Id="rId4312" Type="http://schemas.openxmlformats.org/officeDocument/2006/relationships/hyperlink" Target="https://drive.google.com/file/d/1CDkr3LPI8CTsufhU8mpH_hf7PYDmlSUb/view?usp=drivesdk" TargetMode="External"/><Relationship Id="rId5644" Type="http://schemas.openxmlformats.org/officeDocument/2006/relationships/hyperlink" Target="https://drive.google.com/file/d/1_zt0uTCnIKsU3iFSZib7KeVBJyvx2QFj/view?usp=drivesdk" TargetMode="External"/><Relationship Id="rId6975" Type="http://schemas.openxmlformats.org/officeDocument/2006/relationships/hyperlink" Target="https://drive.google.com/file/d/13C6QS9pO1M3HpsCUpvflvSaD56T0-TxM/view?usp=drivesdk" TargetMode="External"/><Relationship Id="rId454" Type="http://schemas.openxmlformats.org/officeDocument/2006/relationships/hyperlink" Target="https://drive.google.com/file/d/1FzNyVPr_UTniT7wJ9AEMMO07gP59iqmD/view?usp=drivesdk" TargetMode="External"/><Relationship Id="rId4311" Type="http://schemas.openxmlformats.org/officeDocument/2006/relationships/hyperlink" Target="https://drive.google.com/file/d/1jILku8ddWjwPOr8XTsuDETtTW3W-IRgN/view?usp=drivesdk" TargetMode="External"/><Relationship Id="rId5645" Type="http://schemas.openxmlformats.org/officeDocument/2006/relationships/hyperlink" Target="https://drive.google.com/file/d/13IL4dRyD7uuITf7Ud4NZXetQ5yD8Qk9S/view?usp=drivesdk" TargetMode="External"/><Relationship Id="rId6976" Type="http://schemas.openxmlformats.org/officeDocument/2006/relationships/hyperlink" Target="https://drive.google.com/file/d/1EBuxd4UPPFIKXQ2gkMR-Ys7kVR1nVmqf/view?usp=drivesdk" TargetMode="External"/><Relationship Id="rId453" Type="http://schemas.openxmlformats.org/officeDocument/2006/relationships/hyperlink" Target="https://drive.google.com/file/d/17AkjFNbFPRu4VpU3swwAYKiv7X65axuM/view?usp=drivesdk" TargetMode="External"/><Relationship Id="rId4314" Type="http://schemas.openxmlformats.org/officeDocument/2006/relationships/hyperlink" Target="https://drive.google.com/file/d/1c0uQh4Iu9UkkqrnE2kBBjBjGr0qIbUKr/view?usp=drivesdk" TargetMode="External"/><Relationship Id="rId5642" Type="http://schemas.openxmlformats.org/officeDocument/2006/relationships/hyperlink" Target="https://drive.google.com/file/d/1XdHzv2rwEf5cbJZJq3_HveZEd-5wdSsX/view?usp=drivesdk" TargetMode="External"/><Relationship Id="rId6973" Type="http://schemas.openxmlformats.org/officeDocument/2006/relationships/hyperlink" Target="https://drive.google.com/file/d/11SrdYLnKBrAScXaQmuxHqfO3VGj2yqcW/view?usp=drivesdk" TargetMode="External"/><Relationship Id="rId452" Type="http://schemas.openxmlformats.org/officeDocument/2006/relationships/hyperlink" Target="https://drive.google.com/file/d/1ZKGDNg_e132ClMAAeOxtQLm0EAmhQQmU/view?usp=drivesdk" TargetMode="External"/><Relationship Id="rId4313" Type="http://schemas.openxmlformats.org/officeDocument/2006/relationships/hyperlink" Target="https://drive.google.com/file/d/12Xo8brSbBLB1gNXj7QLjshzxQGm1i05Q/view?usp=drivesdk" TargetMode="External"/><Relationship Id="rId5643" Type="http://schemas.openxmlformats.org/officeDocument/2006/relationships/hyperlink" Target="https://drive.google.com/file/d/1oAZDSx6X1LEzYwYF1AgtquCizwQmJANZ/view?usp=drivesdk" TargetMode="External"/><Relationship Id="rId6974" Type="http://schemas.openxmlformats.org/officeDocument/2006/relationships/hyperlink" Target="https://drive.google.com/file/d/1f1nBmdooP7VGYjZD_WlpFiXnIKbs8mwz/view?usp=drivesdk" TargetMode="External"/><Relationship Id="rId3018" Type="http://schemas.openxmlformats.org/officeDocument/2006/relationships/hyperlink" Target="https://drive.google.com/file/d/1rQrtg-xxT1aFIzgaKSB7Y-sEh3IYUv49/view?usp=drivesdk" TargetMode="External"/><Relationship Id="rId4349" Type="http://schemas.openxmlformats.org/officeDocument/2006/relationships/hyperlink" Target="https://drive.google.com/file/d/1muBPVtQDRSiqxsDVD2v9qFQb5_aomES9/view?usp=drivesdk" TargetMode="External"/><Relationship Id="rId3017" Type="http://schemas.openxmlformats.org/officeDocument/2006/relationships/hyperlink" Target="https://drive.google.com/file/d/16sLrCijYkhlCnjS2-58RQYT-A8pcDjxN/view?usp=drivesdk" TargetMode="External"/><Relationship Id="rId4348" Type="http://schemas.openxmlformats.org/officeDocument/2006/relationships/hyperlink" Target="https://drive.google.com/file/d/1ebRRBsN0Zbm2Cyxj98jU4SxYIg0okQVH/view?usp=drivesdk" TargetMode="External"/><Relationship Id="rId5679" Type="http://schemas.openxmlformats.org/officeDocument/2006/relationships/hyperlink" Target="https://drive.google.com/file/d/1XIGuJqOO57MfenS_rEnyhtuqgokw4xTZ/view?usp=drivesdk" TargetMode="External"/><Relationship Id="rId3019" Type="http://schemas.openxmlformats.org/officeDocument/2006/relationships/hyperlink" Target="https://drive.google.com/file/d/14H5B-n4r9nWwwW5-PdtZBmVXWPyEGzbc/view?usp=drivesdk" TargetMode="External"/><Relationship Id="rId491" Type="http://schemas.openxmlformats.org/officeDocument/2006/relationships/hyperlink" Target="https://drive.google.com/file/d/1QbmB6pJx4fm6-ftrWAVCnWfya-ISXwY2/view?usp=drivesdk" TargetMode="External"/><Relationship Id="rId490" Type="http://schemas.openxmlformats.org/officeDocument/2006/relationships/hyperlink" Target="https://drive.google.com/file/d/1Vs8a9y7ABoD2K4QYDkijKvKl_D3ywWq7/view?usp=drivesdk" TargetMode="External"/><Relationship Id="rId489" Type="http://schemas.openxmlformats.org/officeDocument/2006/relationships/hyperlink" Target="https://drive.google.com/file/d/1l8UOSuDFIq-JezYFmneAYYdGbB62xfoZ/view?usp=drivesdk" TargetMode="External"/><Relationship Id="rId5670" Type="http://schemas.openxmlformats.org/officeDocument/2006/relationships/hyperlink" Target="https://drive.google.com/file/d/12SD2i6Kkr8klVwxwF1efxRYnq0mbd6KV/view?usp=drivesdk" TargetMode="External"/><Relationship Id="rId484" Type="http://schemas.openxmlformats.org/officeDocument/2006/relationships/hyperlink" Target="https://drive.google.com/file/d/1eAsZJPuf8uBu_nkag3qu8HlGGdYTkk0Q/view?usp=drivesdk" TargetMode="External"/><Relationship Id="rId3010" Type="http://schemas.openxmlformats.org/officeDocument/2006/relationships/hyperlink" Target="https://drive.google.com/file/d/1YHx0ujggmwuu9inu5VOy_H9t3BLJmi2z/view?usp=drivesdk" TargetMode="External"/><Relationship Id="rId4341" Type="http://schemas.openxmlformats.org/officeDocument/2006/relationships/hyperlink" Target="https://drive.google.com/file/d/1GS5yXoGWh7IuXRUH5SFoWd993OwGVWo-/view?usp=drivesdk" TargetMode="External"/><Relationship Id="rId5673" Type="http://schemas.openxmlformats.org/officeDocument/2006/relationships/hyperlink" Target="https://drive.google.com/file/d/1Xj3EXx1jfqHRg3_ZTPZH7zLSKG-BDjsB/view?usp=drivesdk" TargetMode="External"/><Relationship Id="rId483" Type="http://schemas.openxmlformats.org/officeDocument/2006/relationships/hyperlink" Target="https://drive.google.com/file/d/1gJFpq5s_d6Ry7Da2spYxMu8lPdeSxgsz/view?usp=drivesdk" TargetMode="External"/><Relationship Id="rId4340" Type="http://schemas.openxmlformats.org/officeDocument/2006/relationships/hyperlink" Target="https://drive.google.com/file/d/1QMKncC7jSg4zcE2_NCmjdOw5z0MSqeuY/view?usp=drivesdk" TargetMode="External"/><Relationship Id="rId5674" Type="http://schemas.openxmlformats.org/officeDocument/2006/relationships/hyperlink" Target="https://drive.google.com/file/d/1xj9wJ1M08OmDjqCuVq2TmXNxR3LX0ac3/view?usp=drivesdk" TargetMode="External"/><Relationship Id="rId482" Type="http://schemas.openxmlformats.org/officeDocument/2006/relationships/hyperlink" Target="https://drive.google.com/file/d/1vcBogvkG0lswE_0csefcaJcSdqLS2pUB/view?usp=drivesdk" TargetMode="External"/><Relationship Id="rId3012" Type="http://schemas.openxmlformats.org/officeDocument/2006/relationships/hyperlink" Target="https://drive.google.com/file/d/11ktykueHvKPNtUeJ9xhOPygbYsvBOueM/view?usp=drivesdk" TargetMode="External"/><Relationship Id="rId4343" Type="http://schemas.openxmlformats.org/officeDocument/2006/relationships/hyperlink" Target="https://drive.google.com/file/d/1ScsjtTjhef6eR4GqJ6WrndKzSBn4mj4p/view?usp=drivesdk" TargetMode="External"/><Relationship Id="rId5671" Type="http://schemas.openxmlformats.org/officeDocument/2006/relationships/hyperlink" Target="https://drive.google.com/file/d/1sZNopzNJw50FZGPPN99gIbzQXFSR-U5P/view?usp=drivesdk" TargetMode="External"/><Relationship Id="rId481" Type="http://schemas.openxmlformats.org/officeDocument/2006/relationships/hyperlink" Target="https://drive.google.com/file/d/13FDhRC8QyyVqFulEqZ2w1WemeOU1dJcG/view?usp=drivesdk" TargetMode="External"/><Relationship Id="rId3011" Type="http://schemas.openxmlformats.org/officeDocument/2006/relationships/hyperlink" Target="https://drive.google.com/file/d/1pOQWPe9rye40Jy-6QKunD-c229aE6xDn/view?usp=drivesdk" TargetMode="External"/><Relationship Id="rId4342" Type="http://schemas.openxmlformats.org/officeDocument/2006/relationships/hyperlink" Target="https://drive.google.com/file/d/1GYRsSiWwkXGCHDe9vm8lrLPx0Z1_AAM8/view?usp=drivesdk" TargetMode="External"/><Relationship Id="rId5672" Type="http://schemas.openxmlformats.org/officeDocument/2006/relationships/hyperlink" Target="https://drive.google.com/file/d/1sdXUQ0EQ8Yd1_BfIGjy6cbgeBZFwxtvi/view?usp=drivesdk" TargetMode="External"/><Relationship Id="rId488" Type="http://schemas.openxmlformats.org/officeDocument/2006/relationships/hyperlink" Target="https://drive.google.com/file/d/101IoKoBc4cVyNZFWybaDnS3I7RyHXLgp/view?usp=drivesdk" TargetMode="External"/><Relationship Id="rId3014" Type="http://schemas.openxmlformats.org/officeDocument/2006/relationships/hyperlink" Target="https://drive.google.com/file/d/1Q2w_AM5RwFLmF8hzfVamcLz_79Flpp5o/view?usp=drivesdk" TargetMode="External"/><Relationship Id="rId4345" Type="http://schemas.openxmlformats.org/officeDocument/2006/relationships/hyperlink" Target="https://drive.google.com/file/d/1ZLj-c593_bRY2m0GrA-86RQjJwW2IqVe/view?usp=drivesdk" TargetMode="External"/><Relationship Id="rId5677" Type="http://schemas.openxmlformats.org/officeDocument/2006/relationships/hyperlink" Target="https://drive.google.com/file/d/1jA_XecRCs8wU-O7cEwL6_wJ3GIAbbYNQ/view?usp=drivesdk" TargetMode="External"/><Relationship Id="rId487" Type="http://schemas.openxmlformats.org/officeDocument/2006/relationships/hyperlink" Target="https://drive.google.com/file/d/14T_k91OOtdlEh0fyqdDcPhf3JJFA5oCy/view?usp=drivesdk" TargetMode="External"/><Relationship Id="rId3013" Type="http://schemas.openxmlformats.org/officeDocument/2006/relationships/hyperlink" Target="https://drive.google.com/file/d/1mPqPEvdOd9GFPh35KDjk1vGvJhDEh57q/view?usp=drivesdk" TargetMode="External"/><Relationship Id="rId4344" Type="http://schemas.openxmlformats.org/officeDocument/2006/relationships/hyperlink" Target="https://drive.google.com/file/d/1qdECEDLhbOkgfCbJ0huVe_QWeu2Vlvvb/view?usp=drivesdk" TargetMode="External"/><Relationship Id="rId5678" Type="http://schemas.openxmlformats.org/officeDocument/2006/relationships/hyperlink" Target="https://drive.google.com/file/d/1Mv_pjnDD5MsrwhrmuLfiJ7qv7hJ4zewC/view?usp=drivesdk" TargetMode="External"/><Relationship Id="rId486" Type="http://schemas.openxmlformats.org/officeDocument/2006/relationships/hyperlink" Target="https://drive.google.com/file/d/1PHaMDV4PL11xt6u_0tEYJe_SswDIKPti/view?usp=drivesdk" TargetMode="External"/><Relationship Id="rId3016" Type="http://schemas.openxmlformats.org/officeDocument/2006/relationships/hyperlink" Target="https://drive.google.com/file/d/14cF8ZynDbwdcU9MtqzACMbGgX5cUjKqg/view?usp=drivesdk" TargetMode="External"/><Relationship Id="rId4347" Type="http://schemas.openxmlformats.org/officeDocument/2006/relationships/hyperlink" Target="https://drive.google.com/file/d/1MCqnBA_QPset8NQRJ_WO-iQauj7wmy7U/view?usp=drivesdk" TargetMode="External"/><Relationship Id="rId5675" Type="http://schemas.openxmlformats.org/officeDocument/2006/relationships/hyperlink" Target="https://drive.google.com/file/d/15EIdwgl_ubytkZm5E2A8ZWcF-1dXFdzc/view?usp=drivesdk" TargetMode="External"/><Relationship Id="rId485" Type="http://schemas.openxmlformats.org/officeDocument/2006/relationships/hyperlink" Target="https://drive.google.com/file/d/15LFm341_5bPcaNQpSelL8ir5RQ9XBhB2/view?usp=drivesdk" TargetMode="External"/><Relationship Id="rId3015" Type="http://schemas.openxmlformats.org/officeDocument/2006/relationships/hyperlink" Target="https://drive.google.com/file/d/1AJfmG2WumWFw82JNIDF00lldNSAllu1H/view?usp=drivesdk" TargetMode="External"/><Relationship Id="rId4346" Type="http://schemas.openxmlformats.org/officeDocument/2006/relationships/hyperlink" Target="https://drive.google.com/file/d/1XoJ--gCd8R5B_4pDt7VF5mJuUsUKBq_w/view?usp=drivesdk" TargetMode="External"/><Relationship Id="rId5676" Type="http://schemas.openxmlformats.org/officeDocument/2006/relationships/hyperlink" Target="https://drive.google.com/file/d/1BB_0jAQrXP9bLHBPFioMzv0JDbNxCOhN/view?usp=drivesdk" TargetMode="External"/><Relationship Id="rId3007" Type="http://schemas.openxmlformats.org/officeDocument/2006/relationships/hyperlink" Target="https://drive.google.com/file/d/1d-2NrPPrAP3PZYdreLabyHLlSUfjze0m/view?usp=drivesdk" TargetMode="External"/><Relationship Id="rId4338" Type="http://schemas.openxmlformats.org/officeDocument/2006/relationships/hyperlink" Target="https://drive.google.com/file/d/16q1ibar1UMuuutkm21Z4g6QdALXDddLz/view?usp=drivesdk" TargetMode="External"/><Relationship Id="rId3006" Type="http://schemas.openxmlformats.org/officeDocument/2006/relationships/hyperlink" Target="https://drive.google.com/file/d/1ueTtvvIuhzaSV8bbA4cKK9Xqz7gHzrWo/view?usp=drivesdk" TargetMode="External"/><Relationship Id="rId4337" Type="http://schemas.openxmlformats.org/officeDocument/2006/relationships/hyperlink" Target="https://drive.google.com/file/d/1K9ooPJGdPJaR6W9zDqR7JGgev50qNPu2/view?usp=drivesdk" TargetMode="External"/><Relationship Id="rId3009" Type="http://schemas.openxmlformats.org/officeDocument/2006/relationships/hyperlink" Target="https://drive.google.com/file/d/1TCPM143Kf7UAoAXl1xS3dYAPte9SiOdO/view?usp=drivesdk" TargetMode="External"/><Relationship Id="rId5668" Type="http://schemas.openxmlformats.org/officeDocument/2006/relationships/hyperlink" Target="https://drive.google.com/file/d/13r81bLG-rkuLmCOtBvKHxJezpHxpEBwG/view?usp=drivesdk" TargetMode="External"/><Relationship Id="rId6999" Type="http://schemas.openxmlformats.org/officeDocument/2006/relationships/hyperlink" Target="https://drive.google.com/file/d/1vlJ5CKuDNBjnpEGXt3vomRnsQryRE33Y/view?usp=drivesdk" TargetMode="External"/><Relationship Id="rId3008" Type="http://schemas.openxmlformats.org/officeDocument/2006/relationships/hyperlink" Target="https://drive.google.com/file/d/1LXTeoUE8ADcG6ZOsn4Ux26Ps9jZiG-vO/view?usp=drivesdk" TargetMode="External"/><Relationship Id="rId4339" Type="http://schemas.openxmlformats.org/officeDocument/2006/relationships/hyperlink" Target="https://drive.google.com/file/d/18rkkdDfBrmEwx805fl7-i20d5Ok0WIaB/view?usp=drivesdk" TargetMode="External"/><Relationship Id="rId5669" Type="http://schemas.openxmlformats.org/officeDocument/2006/relationships/hyperlink" Target="https://drive.google.com/file/d/11GIIdgtLjfYVpC8E48CBPYmGs6aKHV4c/view?usp=drivesdk" TargetMode="External"/><Relationship Id="rId480" Type="http://schemas.openxmlformats.org/officeDocument/2006/relationships/hyperlink" Target="https://drive.google.com/file/d/1YmHPPbaq5E4VaBf7bMlrkplv24IcND7B/view?usp=drivesdk" TargetMode="External"/><Relationship Id="rId479" Type="http://schemas.openxmlformats.org/officeDocument/2006/relationships/hyperlink" Target="https://drive.google.com/file/d/1ZmCsuSTlWK5DQ4l28CxMhEwh9DBETh_8/view?usp=drivesdk" TargetMode="External"/><Relationship Id="rId478" Type="http://schemas.openxmlformats.org/officeDocument/2006/relationships/hyperlink" Target="https://drive.google.com/file/d/10p3mi70p1JQpZx18GEr49PL3ESjBkx1b/view?usp=drivesdk" TargetMode="External"/><Relationship Id="rId6990" Type="http://schemas.openxmlformats.org/officeDocument/2006/relationships/hyperlink" Target="https://drive.google.com/file/d/19Q1TkyJmwB0sGBlCt2hSGuVeFoRKYWk2/view?usp=drivesdk" TargetMode="External"/><Relationship Id="rId473" Type="http://schemas.openxmlformats.org/officeDocument/2006/relationships/hyperlink" Target="https://drive.google.com/file/d/14m_RRdU0FVYgaU-xHu41AvdCk6hKGlCt/view?usp=drivesdk" TargetMode="External"/><Relationship Id="rId4330" Type="http://schemas.openxmlformats.org/officeDocument/2006/relationships/hyperlink" Target="https://drive.google.com/file/d/1CpRWT1oQVT0HMBVaXRVpZwFV7mJKDxfD/view?usp=drivesdk" TargetMode="External"/><Relationship Id="rId5662" Type="http://schemas.openxmlformats.org/officeDocument/2006/relationships/hyperlink" Target="https://drive.google.com/file/d/1JUNRaRuI7b7gtvzXxnlUHr-cUZVOLIpv/view?usp=drivesdk" TargetMode="External"/><Relationship Id="rId6993" Type="http://schemas.openxmlformats.org/officeDocument/2006/relationships/hyperlink" Target="https://drive.google.com/file/d/1aF9NicgQCCjB0xkVpqxC9jBhUHuGiuZw/view?usp=drivesdk" TargetMode="External"/><Relationship Id="rId472" Type="http://schemas.openxmlformats.org/officeDocument/2006/relationships/hyperlink" Target="https://drive.google.com/file/d/1cWrakcH9lOFX0oaA-lo8dbHtvguAlS5C/view?usp=drivesdk" TargetMode="External"/><Relationship Id="rId5663" Type="http://schemas.openxmlformats.org/officeDocument/2006/relationships/hyperlink" Target="https://drive.google.com/file/d/1i63qnFfe44AygEzFgVcMGHWuvOFps7dn/view?usp=drivesdk" TargetMode="External"/><Relationship Id="rId6994" Type="http://schemas.openxmlformats.org/officeDocument/2006/relationships/hyperlink" Target="https://drive.google.com/file/d/1qJbrEnHkj3ngD2ToiXYOzCagYwQD-Uw5/view?usp=drivesdk" TargetMode="External"/><Relationship Id="rId471" Type="http://schemas.openxmlformats.org/officeDocument/2006/relationships/hyperlink" Target="https://drive.google.com/file/d/1infjfT_0IC7JMj38myxwuo4GeBE9KFiY/view?usp=drivesdk" TargetMode="External"/><Relationship Id="rId3001" Type="http://schemas.openxmlformats.org/officeDocument/2006/relationships/hyperlink" Target="https://drive.google.com/file/d/1c-rAnHRheRVTJv33-LR8DlvoHbci4ZMs/view?usp=drivesdk" TargetMode="External"/><Relationship Id="rId4332" Type="http://schemas.openxmlformats.org/officeDocument/2006/relationships/hyperlink" Target="https://drive.google.com/file/d/1GPW5Lsv8DGPqU9pTvAFUgXA4JgykBoUr/view?usp=drivesdk" TargetMode="External"/><Relationship Id="rId5660" Type="http://schemas.openxmlformats.org/officeDocument/2006/relationships/hyperlink" Target="https://drive.google.com/file/d/147kfvEVgmGlssMsFmZLMToZ8lo-4l_lq/view?usp=drivesdk" TargetMode="External"/><Relationship Id="rId6991" Type="http://schemas.openxmlformats.org/officeDocument/2006/relationships/hyperlink" Target="https://drive.google.com/file/d/1JWzkXqNHjHDOdmCLlpOzbefmSkmA8_kN/view?usp=drivesdk" TargetMode="External"/><Relationship Id="rId470" Type="http://schemas.openxmlformats.org/officeDocument/2006/relationships/hyperlink" Target="https://drive.google.com/file/d/1VNlG2bNZFDdVaBRtW4cxNrEFidcEIM-1/view?usp=drivesdk" TargetMode="External"/><Relationship Id="rId3000" Type="http://schemas.openxmlformats.org/officeDocument/2006/relationships/hyperlink" Target="https://drive.google.com/file/d/1qZ-WGcIBkqRtLZtMwGg-lfkW6ShbozOe/view?usp=drivesdk" TargetMode="External"/><Relationship Id="rId4331" Type="http://schemas.openxmlformats.org/officeDocument/2006/relationships/hyperlink" Target="https://drive.google.com/file/d/1eP6NHwFz8v-6IWoE65eD_x3ps2YeZwHv/view?usp=drivesdk" TargetMode="External"/><Relationship Id="rId5661" Type="http://schemas.openxmlformats.org/officeDocument/2006/relationships/hyperlink" Target="https://drive.google.com/file/d/1gRwtD42OENspmmxylJeq3V-_VddxBZct/view?usp=drivesdk" TargetMode="External"/><Relationship Id="rId6992" Type="http://schemas.openxmlformats.org/officeDocument/2006/relationships/hyperlink" Target="https://drive.google.com/file/d/18y4spIYbVbr-7bz32a5L9XYSg90aNLT3/view?usp=drivesdk" TargetMode="External"/><Relationship Id="rId477" Type="http://schemas.openxmlformats.org/officeDocument/2006/relationships/hyperlink" Target="https://drive.google.com/file/d/18bFg23I2_fjMK1Y6deSR-1VaoJQe2qFh/view?usp=drivesdk" TargetMode="External"/><Relationship Id="rId3003" Type="http://schemas.openxmlformats.org/officeDocument/2006/relationships/hyperlink" Target="https://drive.google.com/file/d/1RPMrLXh_7RTnociaeEbGh8kSuLaO4za4/view?usp=drivesdk" TargetMode="External"/><Relationship Id="rId4334" Type="http://schemas.openxmlformats.org/officeDocument/2006/relationships/hyperlink" Target="https://drive.google.com/file/d/1bD_crwUtPyCr6PfIhPGaEpKAyum0t9bF/view?usp=drivesdk" TargetMode="External"/><Relationship Id="rId5666" Type="http://schemas.openxmlformats.org/officeDocument/2006/relationships/hyperlink" Target="https://drive.google.com/file/d/1Bs_0ZUy7iKxNfmDuJhtZrd0C5QaWjYif/view?usp=drivesdk" TargetMode="External"/><Relationship Id="rId6997" Type="http://schemas.openxmlformats.org/officeDocument/2006/relationships/hyperlink" Target="https://drive.google.com/file/d/1KtzVpdISHorw5QsF1E8ZID93nwZFg04G/view?usp=drivesdk" TargetMode="External"/><Relationship Id="rId476" Type="http://schemas.openxmlformats.org/officeDocument/2006/relationships/hyperlink" Target="https://drive.google.com/file/d/1GRqbvBE2eFSrf9_GRwSbptFWzgJJ5t_b/view?usp=drivesdk" TargetMode="External"/><Relationship Id="rId3002" Type="http://schemas.openxmlformats.org/officeDocument/2006/relationships/hyperlink" Target="https://drive.google.com/file/d/1IyhFTyVBAaKPMQErAYEJQ6V4XQUroXU1/view?usp=drivesdk" TargetMode="External"/><Relationship Id="rId4333" Type="http://schemas.openxmlformats.org/officeDocument/2006/relationships/hyperlink" Target="https://drive.google.com/file/d/1kNO_OwxmRMlUEJHXGqneno4dzfwZ-BNG/view?usp=drivesdk" TargetMode="External"/><Relationship Id="rId5667" Type="http://schemas.openxmlformats.org/officeDocument/2006/relationships/hyperlink" Target="https://drive.google.com/file/d/1BNPtHj4Xl06txPrMl6A8oc_RIE6Pxc5c/view?usp=drivesdk" TargetMode="External"/><Relationship Id="rId6998" Type="http://schemas.openxmlformats.org/officeDocument/2006/relationships/hyperlink" Target="https://drive.google.com/file/d/1DVtG1-Aioe494FAU57yhd9sH0657okkJ/view?usp=drivesdk" TargetMode="External"/><Relationship Id="rId475" Type="http://schemas.openxmlformats.org/officeDocument/2006/relationships/hyperlink" Target="https://drive.google.com/file/d/1gJV_hHW8TxVbflLGno7gb8260enXq82Y/view?usp=drivesdk" TargetMode="External"/><Relationship Id="rId3005" Type="http://schemas.openxmlformats.org/officeDocument/2006/relationships/hyperlink" Target="https://drive.google.com/file/d/1DY5aZMJdfKf8MJkJMvqv13pKDJsNU8sr/view?usp=drivesdk" TargetMode="External"/><Relationship Id="rId4336" Type="http://schemas.openxmlformats.org/officeDocument/2006/relationships/hyperlink" Target="https://drive.google.com/file/d/1GFvy1W0xPlDyDnZpk-K1IAS038MEyqH6/view?usp=drivesdk" TargetMode="External"/><Relationship Id="rId5664" Type="http://schemas.openxmlformats.org/officeDocument/2006/relationships/hyperlink" Target="https://drive.google.com/file/d/1PR-RMRqXGF8hhhkAW63jeuR8N7AIUm8X/view?usp=drivesdk" TargetMode="External"/><Relationship Id="rId6995" Type="http://schemas.openxmlformats.org/officeDocument/2006/relationships/hyperlink" Target="https://drive.google.com/file/d/1BZOl7AX-j4KHinmRGoTJVTxssQ31_TnR/view?usp=drivesdk" TargetMode="External"/><Relationship Id="rId474" Type="http://schemas.openxmlformats.org/officeDocument/2006/relationships/hyperlink" Target="https://drive.google.com/file/d/1j0ETUisAy9sm2xNM0iXxDKXR0VhfHQuf/view?usp=drivesdk" TargetMode="External"/><Relationship Id="rId3004" Type="http://schemas.openxmlformats.org/officeDocument/2006/relationships/hyperlink" Target="https://drive.google.com/file/d/1ruLxjnGq49lM646N0ZyDJ3DAKrILXsib/view?usp=drivesdk" TargetMode="External"/><Relationship Id="rId4335" Type="http://schemas.openxmlformats.org/officeDocument/2006/relationships/hyperlink" Target="https://drive.google.com/file/d/17IDdyRPNi9iXOOUl-yNbda9PaI3XdN1X/view?usp=drivesdk" TargetMode="External"/><Relationship Id="rId5665" Type="http://schemas.openxmlformats.org/officeDocument/2006/relationships/hyperlink" Target="https://drive.google.com/file/d/1AboTiyla1EfocJNDndJcmwGESORtFUFL/view?usp=drivesdk" TargetMode="External"/><Relationship Id="rId6996" Type="http://schemas.openxmlformats.org/officeDocument/2006/relationships/hyperlink" Target="https://drive.google.com/file/d/1EU8P3hoMYLL_rv3er_wiFMv-HgaR-P42/view?usp=drivesdk" TargetMode="External"/><Relationship Id="rId5615" Type="http://schemas.openxmlformats.org/officeDocument/2006/relationships/hyperlink" Target="https://drive.google.com/file/d/1wH4gPhX6BRNI-I1vTZ9NhWAKDsya6-tS/view?usp=drivesdk" TargetMode="External"/><Relationship Id="rId6946" Type="http://schemas.openxmlformats.org/officeDocument/2006/relationships/hyperlink" Target="https://drive.google.com/file/d/1yQmuSe7z02ebZAomC4XTEzy7JuOysCK_/view?usp=drivesdk" TargetMode="External"/><Relationship Id="rId5616" Type="http://schemas.openxmlformats.org/officeDocument/2006/relationships/hyperlink" Target="https://drive.google.com/file/d/1Fso39uDwFoInKZ5MDw_CjPrNcLPdzCS3/view?usp=drivesdk" TargetMode="External"/><Relationship Id="rId6947" Type="http://schemas.openxmlformats.org/officeDocument/2006/relationships/hyperlink" Target="https://drive.google.com/file/d/1z3j6E1UPOYUlmSh-o_e0uPZm5RnoVr3S/view?usp=drivesdk" TargetMode="External"/><Relationship Id="rId5613" Type="http://schemas.openxmlformats.org/officeDocument/2006/relationships/hyperlink" Target="https://drive.google.com/file/d/1PogrXnCWT-i-WGi490ILbu55BlGCM2Xy/view?usp=drivesdk" TargetMode="External"/><Relationship Id="rId6944" Type="http://schemas.openxmlformats.org/officeDocument/2006/relationships/hyperlink" Target="https://drive.google.com/file/d/14nafHN-1tt-44twbT4pCXnlBCdy-B-xB/view?usp=drivesdk" TargetMode="External"/><Relationship Id="rId5614" Type="http://schemas.openxmlformats.org/officeDocument/2006/relationships/hyperlink" Target="https://drive.google.com/file/d/1sU85a9M2xbCOz5Bot3-toIMyzlC-ngoB/view?usp=drivesdk" TargetMode="External"/><Relationship Id="rId6945" Type="http://schemas.openxmlformats.org/officeDocument/2006/relationships/hyperlink" Target="https://drive.google.com/file/d/1UodqRLxjKzQ01abDtAZzHN_4gIdzRTH9/view?usp=drivesdk" TargetMode="External"/><Relationship Id="rId5619" Type="http://schemas.openxmlformats.org/officeDocument/2006/relationships/hyperlink" Target="https://drive.google.com/file/d/1LDqYxoqSwhXTWXkfM9mYFcSPd3hm8IkQ/view?usp=drivesdk" TargetMode="External"/><Relationship Id="rId5617" Type="http://schemas.openxmlformats.org/officeDocument/2006/relationships/hyperlink" Target="https://drive.google.com/file/d/1CXKw_h9stsXE64-pLP6Hl7mEWI2E91es/view?usp=drivesdk" TargetMode="External"/><Relationship Id="rId6948" Type="http://schemas.openxmlformats.org/officeDocument/2006/relationships/hyperlink" Target="https://drive.google.com/file/d/1VQraX3cM7Yf34gV-yi0o8ZS8thN29eMw/view?usp=drivesdk" TargetMode="External"/><Relationship Id="rId5618" Type="http://schemas.openxmlformats.org/officeDocument/2006/relationships/hyperlink" Target="https://drive.google.com/file/d/13WJVymEzQxDZ0RyYILbUrmJNwVefKKKc/view?usp=drivesdk" TargetMode="External"/><Relationship Id="rId6949" Type="http://schemas.openxmlformats.org/officeDocument/2006/relationships/hyperlink" Target="https://drive.google.com/file/d/1Rf9TsLxBiPC5dO8mdlkhmwXnT1hwyV9b/view?usp=drivesdk" TargetMode="External"/><Relationship Id="rId426" Type="http://schemas.openxmlformats.org/officeDocument/2006/relationships/hyperlink" Target="https://drive.google.com/file/d/18ZA1SN2F0l9akHRv7CnWHppMXe1juSWA/view?usp=drivesdk" TargetMode="External"/><Relationship Id="rId425" Type="http://schemas.openxmlformats.org/officeDocument/2006/relationships/hyperlink" Target="https://drive.google.com/file/d/19_ovZ8UHBK6HjPi5GeeRy3pP7XY5SkOV/view?usp=drivesdk" TargetMode="External"/><Relationship Id="rId424" Type="http://schemas.openxmlformats.org/officeDocument/2006/relationships/hyperlink" Target="https://drive.google.com/file/d/1jMGMYBa1-OeZMfHqjkPfJAw-ekyppzfG/view?usp=drivesdk" TargetMode="External"/><Relationship Id="rId423" Type="http://schemas.openxmlformats.org/officeDocument/2006/relationships/hyperlink" Target="https://drive.google.com/file/d/17K20z8NpzyQpAjXVKRBLiG5EAA1lP1Lx/view?usp=drivesdk" TargetMode="External"/><Relationship Id="rId429" Type="http://schemas.openxmlformats.org/officeDocument/2006/relationships/hyperlink" Target="https://drive.google.com/file/d/1lzNjJsJCUQeGLY_AdFB9N8kttpB_s-y3/view?usp=drivesdk" TargetMode="External"/><Relationship Id="rId428" Type="http://schemas.openxmlformats.org/officeDocument/2006/relationships/hyperlink" Target="https://drive.google.com/file/d/1FmY8j0R8j_mZgNituu-sbESdXyZu939R/view?usp=drivesdk" TargetMode="External"/><Relationship Id="rId427" Type="http://schemas.openxmlformats.org/officeDocument/2006/relationships/hyperlink" Target="https://drive.google.com/file/d/1ma8GkxGgGpqg-XsNM-Pzl-pDTqQSepoP/view?usp=drivesdk" TargetMode="External"/><Relationship Id="rId422" Type="http://schemas.openxmlformats.org/officeDocument/2006/relationships/hyperlink" Target="https://drive.google.com/file/d/1IMFfJNvgnpZ1jATeTfaLp6V-abKjWpgN/view?usp=drivesdk" TargetMode="External"/><Relationship Id="rId5611" Type="http://schemas.openxmlformats.org/officeDocument/2006/relationships/hyperlink" Target="https://drive.google.com/file/d/1sQpSgXLbh6Hrd5IK_cRRjhzmO8i_UFGT/view?usp=drivesdk" TargetMode="External"/><Relationship Id="rId6942" Type="http://schemas.openxmlformats.org/officeDocument/2006/relationships/hyperlink" Target="https://drive.google.com/file/d/15WWLGLmd1WrUImyCUaOP7y8_EmQFzizm/view?usp=drivesdk" TargetMode="External"/><Relationship Id="rId421" Type="http://schemas.openxmlformats.org/officeDocument/2006/relationships/hyperlink" Target="https://drive.google.com/file/d/16jIiJ1-6Z5FdjqPcqjRyi8oqFYigdNbf/view?usp=drivesdk" TargetMode="External"/><Relationship Id="rId5612" Type="http://schemas.openxmlformats.org/officeDocument/2006/relationships/hyperlink" Target="https://drive.google.com/file/d/1IdyMtVJ5N5XArzXbTErtIfQYv7il5UX1/view?usp=drivesdk" TargetMode="External"/><Relationship Id="rId6943" Type="http://schemas.openxmlformats.org/officeDocument/2006/relationships/hyperlink" Target="https://drive.google.com/file/d/15WRZRmzAxIz3z7R9bvPul4cZTDZJ7Cj1/view?usp=drivesdk" TargetMode="External"/><Relationship Id="rId420" Type="http://schemas.openxmlformats.org/officeDocument/2006/relationships/hyperlink" Target="https://drive.google.com/file/d/10G1ycqPPQoOhzhcBJ39tJjr43bxhci63/view?usp=drivesdk" TargetMode="External"/><Relationship Id="rId6940" Type="http://schemas.openxmlformats.org/officeDocument/2006/relationships/hyperlink" Target="https://drive.google.com/file/d/1qefryhuMR9ygAr6sHM9o9bqY39aauSZa/view?usp=drivesdk" TargetMode="External"/><Relationship Id="rId5610" Type="http://schemas.openxmlformats.org/officeDocument/2006/relationships/hyperlink" Target="https://drive.google.com/file/d/1yVasd0v9Mb_mGfgq_5VoCuKKGNbZuMkt/view?usp=drivesdk" TargetMode="External"/><Relationship Id="rId6941" Type="http://schemas.openxmlformats.org/officeDocument/2006/relationships/hyperlink" Target="https://drive.google.com/file/d/1W92HY0bfRpsMSDGP2inXbDtX-XzNPzWJ/view?usp=drivesdk" TargetMode="External"/><Relationship Id="rId5604" Type="http://schemas.openxmlformats.org/officeDocument/2006/relationships/hyperlink" Target="https://drive.google.com/file/d/1RjIkIbO358DFQKSR2kKN44kkzToOTSY6/view?usp=drivesdk" TargetMode="External"/><Relationship Id="rId6935" Type="http://schemas.openxmlformats.org/officeDocument/2006/relationships/hyperlink" Target="https://drive.google.com/file/d/1WgczzyBwLPJtHWvez95CHk5mkXRiLMcI/view?usp=drivesdk" TargetMode="External"/><Relationship Id="rId5605" Type="http://schemas.openxmlformats.org/officeDocument/2006/relationships/hyperlink" Target="https://drive.google.com/file/d/1q7FrbhOheHqqCTDLMEGAkhz8tmy-aivC/view?usp=drivesdk" TargetMode="External"/><Relationship Id="rId6936" Type="http://schemas.openxmlformats.org/officeDocument/2006/relationships/hyperlink" Target="https://drive.google.com/file/d/1InTsT5PJaV_INoWWDMtzyKTUHTikvLav/view?usp=drivesdk" TargetMode="External"/><Relationship Id="rId5602" Type="http://schemas.openxmlformats.org/officeDocument/2006/relationships/hyperlink" Target="https://drive.google.com/file/d/13KoUkaNn5tD_BVgTkOpLl2jRciwm2XjF/view?usp=drivesdk" TargetMode="External"/><Relationship Id="rId6933" Type="http://schemas.openxmlformats.org/officeDocument/2006/relationships/hyperlink" Target="https://drive.google.com/file/d/1Er7XAOkHqvam9COUZ0H5xLPxA0EgiVcv/view?usp=drivesdk" TargetMode="External"/><Relationship Id="rId5603" Type="http://schemas.openxmlformats.org/officeDocument/2006/relationships/hyperlink" Target="https://drive.google.com/file/d/1TBgqd6BUDNGeKCEsaMA1nFrwPywb6RCc/view?usp=drivesdk" TargetMode="External"/><Relationship Id="rId6934" Type="http://schemas.openxmlformats.org/officeDocument/2006/relationships/hyperlink" Target="https://drive.google.com/file/d/1IzJ4fqVSI4NlIAm8J0JCa39kBL4wj6eV/view?usp=drivesdk" TargetMode="External"/><Relationship Id="rId5608" Type="http://schemas.openxmlformats.org/officeDocument/2006/relationships/hyperlink" Target="https://drive.google.com/file/d/1r1w5WXehqSkKTsZTPBCqVRCDyE84Z4M4/view?usp=drivesdk" TargetMode="External"/><Relationship Id="rId6939" Type="http://schemas.openxmlformats.org/officeDocument/2006/relationships/hyperlink" Target="https://drive.google.com/file/d/1QC9KFGnzIJl8T0mRgN_yzBN9F4VPFTbe/view?usp=drivesdk" TargetMode="External"/><Relationship Id="rId5609" Type="http://schemas.openxmlformats.org/officeDocument/2006/relationships/hyperlink" Target="https://drive.google.com/file/d/1fjgRwExxM4whwpylyK5bjC4HeHkUF7xz/view?usp=drivesdk" TargetMode="External"/><Relationship Id="rId5606" Type="http://schemas.openxmlformats.org/officeDocument/2006/relationships/hyperlink" Target="https://drive.google.com/file/d/12xcxNUzZi9Nn7KsAeQyehO56QayWTteu/view?usp=drivesdk" TargetMode="External"/><Relationship Id="rId6937" Type="http://schemas.openxmlformats.org/officeDocument/2006/relationships/hyperlink" Target="https://drive.google.com/file/d/1NS-PDpUv8WZotiHJghGocvY0R0cH-MG3/view?usp=drivesdk" TargetMode="External"/><Relationship Id="rId5607" Type="http://schemas.openxmlformats.org/officeDocument/2006/relationships/hyperlink" Target="https://drive.google.com/file/d/1A9qPmbVkMvNtzDOwpV9tZOyRh7k-0nJs/view?usp=drivesdk" TargetMode="External"/><Relationship Id="rId6938" Type="http://schemas.openxmlformats.org/officeDocument/2006/relationships/hyperlink" Target="https://drive.google.com/file/d/1xdTvDKprx9kpMBnurx0B5RTMfdxf78ft/view?usp=drivesdk" TargetMode="External"/><Relationship Id="rId415" Type="http://schemas.openxmlformats.org/officeDocument/2006/relationships/hyperlink" Target="https://drive.google.com/file/d/15eAlK5rT73U0vyVOfD9-cM6R-YUF_NiC/view?usp=drivesdk" TargetMode="External"/><Relationship Id="rId414" Type="http://schemas.openxmlformats.org/officeDocument/2006/relationships/hyperlink" Target="https://drive.google.com/file/d/17PcxK06OuEfboTcakFph-38fcq2_DzGJ/view?usp=drivesdk" TargetMode="External"/><Relationship Id="rId413" Type="http://schemas.openxmlformats.org/officeDocument/2006/relationships/hyperlink" Target="https://drive.google.com/file/d/1UAhrqOHy7MgfMcwu0F4SKvNGcClTTmhw/view?usp=drivesdk" TargetMode="External"/><Relationship Id="rId412" Type="http://schemas.openxmlformats.org/officeDocument/2006/relationships/hyperlink" Target="https://drive.google.com/file/d/1Tsg7uh8NjoQj0Q5kI8vwZWBefO2oQimv/view?usp=drivesdk" TargetMode="External"/><Relationship Id="rId419" Type="http://schemas.openxmlformats.org/officeDocument/2006/relationships/hyperlink" Target="https://drive.google.com/file/d/11gm-Aqj7sjAtEZYuVz4CI5Txi9ui63vF/view?usp=drivesdk" TargetMode="External"/><Relationship Id="rId418" Type="http://schemas.openxmlformats.org/officeDocument/2006/relationships/hyperlink" Target="https://drive.google.com/file/d/11nV1p_tjSWc0DCyHYfiottUeGhqNjdmN/view?usp=drivesdk" TargetMode="External"/><Relationship Id="rId417" Type="http://schemas.openxmlformats.org/officeDocument/2006/relationships/hyperlink" Target="https://drive.google.com/file/d/1inBTSQuWY7hVongCqbf1vx1kCUOQzqgy/view?usp=drivesdk" TargetMode="External"/><Relationship Id="rId416" Type="http://schemas.openxmlformats.org/officeDocument/2006/relationships/hyperlink" Target="https://drive.google.com/file/d/1b7Hi1sXLtXPx22AjW0LcQvIUXta-HdWl/view?usp=drivesdk" TargetMode="External"/><Relationship Id="rId411" Type="http://schemas.openxmlformats.org/officeDocument/2006/relationships/hyperlink" Target="https://drive.google.com/file/d/1tUKDWfHEQwXMOrAtTnOdXJtKuRX3c-Gk/view?usp=drivesdk" TargetMode="External"/><Relationship Id="rId5600" Type="http://schemas.openxmlformats.org/officeDocument/2006/relationships/hyperlink" Target="https://drive.google.com/file/d/1HsdE4Vrjr5xf-zLzOkSpweJ1V_nD9WVE/view?usp=drivesdk" TargetMode="External"/><Relationship Id="rId6931" Type="http://schemas.openxmlformats.org/officeDocument/2006/relationships/hyperlink" Target="https://drive.google.com/file/d/1nAy9TpJl1yPAiSbluPfImjnx_hULQ0uv/view?usp=drivesdk" TargetMode="External"/><Relationship Id="rId410" Type="http://schemas.openxmlformats.org/officeDocument/2006/relationships/hyperlink" Target="https://drive.google.com/file/d/1y1P2xUzENZKqBJz_hSBYlk--BGQdYCVM/view?usp=drivesdk" TargetMode="External"/><Relationship Id="rId5601" Type="http://schemas.openxmlformats.org/officeDocument/2006/relationships/hyperlink" Target="https://drive.google.com/file/d/1fxk_GX2_ZxALn1UXMbFm9XZGvYOby3ny/view?usp=drivesdk" TargetMode="External"/><Relationship Id="rId6932" Type="http://schemas.openxmlformats.org/officeDocument/2006/relationships/hyperlink" Target="https://drive.google.com/file/d/1DYwO5Wkw_MPEi5YIz9SSxfJPwBKZcWnt/view?usp=drivesdk" TargetMode="External"/><Relationship Id="rId6930" Type="http://schemas.openxmlformats.org/officeDocument/2006/relationships/hyperlink" Target="https://drive.google.com/file/d/19S7rIOtokUUOlOX6wQk1B3yiEszJ4Mdw/view?usp=drivesdk" TargetMode="External"/><Relationship Id="rId4305" Type="http://schemas.openxmlformats.org/officeDocument/2006/relationships/hyperlink" Target="https://drive.google.com/file/d/17zhWIR0XoHPg8Dn5Pqm_eq3_5CZ6j4fq/view?usp=drivesdk" TargetMode="External"/><Relationship Id="rId5637" Type="http://schemas.openxmlformats.org/officeDocument/2006/relationships/hyperlink" Target="https://drive.google.com/file/d/1PBwSm5uq1KfGh4PCwp_9ck4_ZxkTZcwf/view?usp=drivesdk" TargetMode="External"/><Relationship Id="rId6968" Type="http://schemas.openxmlformats.org/officeDocument/2006/relationships/hyperlink" Target="https://drive.google.com/file/d/1-jlmhTLj98klf0ywMkT5kLuVS8kb7cib/view?usp=drivesdk" TargetMode="External"/><Relationship Id="rId4304" Type="http://schemas.openxmlformats.org/officeDocument/2006/relationships/hyperlink" Target="https://drive.google.com/file/d/1IecyARftrtZFF4pYa6Zlx4Aj0g7KNdKp/view?usp=drivesdk" TargetMode="External"/><Relationship Id="rId5638" Type="http://schemas.openxmlformats.org/officeDocument/2006/relationships/hyperlink" Target="https://drive.google.com/file/d/1J50AWLm5Lsih2OadevhR22RHEAwpZ9HK/view?usp=drivesdk" TargetMode="External"/><Relationship Id="rId6969" Type="http://schemas.openxmlformats.org/officeDocument/2006/relationships/hyperlink" Target="https://drive.google.com/file/d/1ntGXFWGR-E9BIzzxMGCz9a3M9cq5FKpN/view?usp=drivesdk" TargetMode="External"/><Relationship Id="rId4307" Type="http://schemas.openxmlformats.org/officeDocument/2006/relationships/hyperlink" Target="https://drive.google.com/file/d/1SxvnVu_RKgk4ka-24MhETaabzMa6pUCm/view?usp=drivesdk" TargetMode="External"/><Relationship Id="rId5635" Type="http://schemas.openxmlformats.org/officeDocument/2006/relationships/hyperlink" Target="https://drive.google.com/file/d/1PwRFESn48UZOY2zcM3gbfMMyoZU5iFS3/view?usp=drivesdk" TargetMode="External"/><Relationship Id="rId6966" Type="http://schemas.openxmlformats.org/officeDocument/2006/relationships/hyperlink" Target="https://drive.google.com/file/d/1-2JLFBfU1Bge6z8IgbjvALahyslc01zU/view?usp=drivesdk" TargetMode="External"/><Relationship Id="rId4306" Type="http://schemas.openxmlformats.org/officeDocument/2006/relationships/hyperlink" Target="https://drive.google.com/file/d/1J5r945snOwvSk_4xzul8XiFyE0wCGXwC/view?usp=drivesdk" TargetMode="External"/><Relationship Id="rId5636" Type="http://schemas.openxmlformats.org/officeDocument/2006/relationships/hyperlink" Target="https://drive.google.com/file/d/1alFSdiGjQE2ERC_iS9qFoqLDHFabgxx5/view?usp=drivesdk" TargetMode="External"/><Relationship Id="rId6967" Type="http://schemas.openxmlformats.org/officeDocument/2006/relationships/hyperlink" Target="https://drive.google.com/file/d/1vVzjDZRbaR96nKFxiR4d2zLLdC3XWq7L/view?usp=drivesdk" TargetMode="External"/><Relationship Id="rId4309" Type="http://schemas.openxmlformats.org/officeDocument/2006/relationships/hyperlink" Target="https://drive.google.com/file/d/1uwprnLyU0k2GXaqNgn_iYIhorElu_zm8/view?usp=drivesdk" TargetMode="External"/><Relationship Id="rId4308" Type="http://schemas.openxmlformats.org/officeDocument/2006/relationships/hyperlink" Target="https://drive.google.com/file/d/1xKcrGx_HBhEAtQ8QMjs8gNfo5HqsEWAA/view?usp=drivesdk" TargetMode="External"/><Relationship Id="rId5639" Type="http://schemas.openxmlformats.org/officeDocument/2006/relationships/hyperlink" Target="https://drive.google.com/file/d/1P9ZbbqgnX8LLBfQ2quqM3cV-JSB4OSKE/view?usp=drivesdk" TargetMode="External"/><Relationship Id="rId448" Type="http://schemas.openxmlformats.org/officeDocument/2006/relationships/hyperlink" Target="https://drive.google.com/file/d/1XdQBAtSH087GJJSiKMaMscAkEeTMr854/view?usp=drivesdk" TargetMode="External"/><Relationship Id="rId447" Type="http://schemas.openxmlformats.org/officeDocument/2006/relationships/hyperlink" Target="https://drive.google.com/file/d/1YP2nCf1XTwyde8MDxM4T50yB50Tx0R7m/view?usp=drivesdk" TargetMode="External"/><Relationship Id="rId446" Type="http://schemas.openxmlformats.org/officeDocument/2006/relationships/hyperlink" Target="https://drive.google.com/file/d/147YP44VDSTgSRIVD6CaRLWG8wbdr45tl/view?usp=drivesdk" TargetMode="External"/><Relationship Id="rId445" Type="http://schemas.openxmlformats.org/officeDocument/2006/relationships/hyperlink" Target="https://drive.google.com/file/d/1x8A4t9zGJG1nOiMwPcThlBCRoNhfhrAj/view?usp=drivesdk" TargetMode="External"/><Relationship Id="rId449" Type="http://schemas.openxmlformats.org/officeDocument/2006/relationships/hyperlink" Target="https://drive.google.com/file/d/1dY0VbYlUxeb3NaBjmCkSHVDBn5M8_OcG/view?usp=drivesdk" TargetMode="External"/><Relationship Id="rId440" Type="http://schemas.openxmlformats.org/officeDocument/2006/relationships/hyperlink" Target="https://drive.google.com/file/d/1wQsP9N3XQ4NuItrgzfqXsxGzhfAHce_M/view?usp=drivesdk" TargetMode="External"/><Relationship Id="rId6960" Type="http://schemas.openxmlformats.org/officeDocument/2006/relationships/hyperlink" Target="https://drive.google.com/file/d/1MRrz7bItSJI5-NKCHl4DssGw1AOkuRG2/view?usp=drivesdk" TargetMode="External"/><Relationship Id="rId5630" Type="http://schemas.openxmlformats.org/officeDocument/2006/relationships/hyperlink" Target="https://drive.google.com/file/d/1aacxRWr8oGTVQLhrBlOrqQd4UrIWnVYQ/view?usp=drivesdk" TargetMode="External"/><Relationship Id="rId6961" Type="http://schemas.openxmlformats.org/officeDocument/2006/relationships/hyperlink" Target="https://drive.google.com/file/d/1bdzBto4gf4u3GQ5fC0FArY-4qDEvryBa/view?usp=drivesdk" TargetMode="External"/><Relationship Id="rId444" Type="http://schemas.openxmlformats.org/officeDocument/2006/relationships/hyperlink" Target="https://drive.google.com/file/d/1Aw1Svten7NOkijlHF_iPvzUurv0sCuKE/view?usp=drivesdk" TargetMode="External"/><Relationship Id="rId4301" Type="http://schemas.openxmlformats.org/officeDocument/2006/relationships/hyperlink" Target="https://drive.google.com/file/d/1XhdNHBUCmo7gwPxkDX07q6NLr1_sljAn/view?usp=drivesdk" TargetMode="External"/><Relationship Id="rId5633" Type="http://schemas.openxmlformats.org/officeDocument/2006/relationships/hyperlink" Target="https://drive.google.com/file/d/1StxmQP8q23CXKJmXv-yVXIe7VuhP5emD/view?usp=drivesdk" TargetMode="External"/><Relationship Id="rId6964" Type="http://schemas.openxmlformats.org/officeDocument/2006/relationships/hyperlink" Target="https://drive.google.com/file/d/1Tdtxf3u5MMl-R3RMkfXzT7NsLTR4Fxgt/view?usp=drivesdk" TargetMode="External"/><Relationship Id="rId443" Type="http://schemas.openxmlformats.org/officeDocument/2006/relationships/hyperlink" Target="https://drive.google.com/file/d/1lFCERdQjHbgeDbYen2FfsV7fEXoI5mst/view?usp=drivesdk" TargetMode="External"/><Relationship Id="rId4300" Type="http://schemas.openxmlformats.org/officeDocument/2006/relationships/hyperlink" Target="https://drive.google.com/file/d/10remnPyjV3GG8MThHHVlasPNT_7JW7XP/view?usp=drivesdk" TargetMode="External"/><Relationship Id="rId5634" Type="http://schemas.openxmlformats.org/officeDocument/2006/relationships/hyperlink" Target="https://drive.google.com/file/d/1PdWZulTXmohyRexRrM4E5-Th3ZbiT4Yz/view?usp=drivesdk" TargetMode="External"/><Relationship Id="rId6965" Type="http://schemas.openxmlformats.org/officeDocument/2006/relationships/hyperlink" Target="https://drive.google.com/file/d/1EbfAgD115yONxIvcYGiMfUUNqyuHvdta/view?usp=drivesdk" TargetMode="External"/><Relationship Id="rId442" Type="http://schemas.openxmlformats.org/officeDocument/2006/relationships/hyperlink" Target="https://drive.google.com/file/d/1c9c7FD7FvxAwGJlKdCwIEscmbQRQpDyV/view?usp=drivesdk" TargetMode="External"/><Relationship Id="rId4303" Type="http://schemas.openxmlformats.org/officeDocument/2006/relationships/hyperlink" Target="https://drive.google.com/file/d/13WkiPg4x7H0mdg_lD7Nm8KA_rednK2J1/view?usp=drivesdk" TargetMode="External"/><Relationship Id="rId5631" Type="http://schemas.openxmlformats.org/officeDocument/2006/relationships/hyperlink" Target="https://drive.google.com/file/d/1qr1oAyIo_mie9MkY7eaLTIqxImKw8LRP/view?usp=drivesdk" TargetMode="External"/><Relationship Id="rId6962" Type="http://schemas.openxmlformats.org/officeDocument/2006/relationships/hyperlink" Target="https://drive.google.com/file/d/1HcJbmzFHGvRgNqXic-cXKHVvG0d3Az-n/view?usp=drivesdk" TargetMode="External"/><Relationship Id="rId441" Type="http://schemas.openxmlformats.org/officeDocument/2006/relationships/hyperlink" Target="https://drive.google.com/file/d/15d_K3mQ6OejMBIVLQMVO28h1VOAwlu4O/view?usp=drivesdk" TargetMode="External"/><Relationship Id="rId4302" Type="http://schemas.openxmlformats.org/officeDocument/2006/relationships/hyperlink" Target="https://drive.google.com/file/d/1DutS1T4XeizERo7Xjnfa8xwhqcQ49k2W/view?usp=drivesdk" TargetMode="External"/><Relationship Id="rId5632" Type="http://schemas.openxmlformats.org/officeDocument/2006/relationships/hyperlink" Target="https://drive.google.com/file/d/1tuh0XeuYuHDuXtyuGWteLA7eUe_GscWP/view?usp=drivesdk" TargetMode="External"/><Relationship Id="rId6963" Type="http://schemas.openxmlformats.org/officeDocument/2006/relationships/hyperlink" Target="https://drive.google.com/file/d/1Qc3nuKARwTytxzD5avPxm0Kd-GjRt6M9/view?usp=drivesdk" TargetMode="External"/><Relationship Id="rId5626" Type="http://schemas.openxmlformats.org/officeDocument/2006/relationships/hyperlink" Target="https://drive.google.com/file/d/1AStBEgeqfAYTeellPQX0SI_ugQr6irg8/view?usp=drivesdk" TargetMode="External"/><Relationship Id="rId6957" Type="http://schemas.openxmlformats.org/officeDocument/2006/relationships/hyperlink" Target="https://drive.google.com/file/d/1p1bShpK641p6lvtlSUUmgBprEVj_-dTk/view?usp=drivesdk" TargetMode="External"/><Relationship Id="rId5627" Type="http://schemas.openxmlformats.org/officeDocument/2006/relationships/hyperlink" Target="https://drive.google.com/file/d/1wNreoKsLgrnvEBwrGVEPBxKYSYy9xDpO/view?usp=drivesdk" TargetMode="External"/><Relationship Id="rId6958" Type="http://schemas.openxmlformats.org/officeDocument/2006/relationships/hyperlink" Target="https://drive.google.com/file/d/1MWOnPk0PinYsAD6KfLHrK78MWUKPtpt6/view?usp=drivesdk" TargetMode="External"/><Relationship Id="rId5624" Type="http://schemas.openxmlformats.org/officeDocument/2006/relationships/hyperlink" Target="https://drive.google.com/file/d/1u0nYpE65Y0Tp2jEVNVmi557JBv_auPDK/view?usp=drivesdk" TargetMode="External"/><Relationship Id="rId6955" Type="http://schemas.openxmlformats.org/officeDocument/2006/relationships/hyperlink" Target="https://drive.google.com/file/d/1nQgVEpn-D1RCTj4fXkMSp0FuuYFcGXUn/view?usp=drivesdk" TargetMode="External"/><Relationship Id="rId5625" Type="http://schemas.openxmlformats.org/officeDocument/2006/relationships/hyperlink" Target="https://drive.google.com/file/d/1zFL1unQh4GId6wzPmv9F8MUTRjAu6R9_/view?usp=drivesdk" TargetMode="External"/><Relationship Id="rId6956" Type="http://schemas.openxmlformats.org/officeDocument/2006/relationships/hyperlink" Target="https://drive.google.com/file/d/13qLeCivYRDWk_HN_5IQd69jM3N34tVqT/view?usp=drivesdk" TargetMode="External"/><Relationship Id="rId5628" Type="http://schemas.openxmlformats.org/officeDocument/2006/relationships/hyperlink" Target="https://drive.google.com/file/d/17d2r4rh1CZewkhWgd2zU2iXxTnb0kxdC/view?usp=drivesdk" TargetMode="External"/><Relationship Id="rId6959" Type="http://schemas.openxmlformats.org/officeDocument/2006/relationships/hyperlink" Target="https://drive.google.com/file/d/1snytJUMarwXlhrtC-Tt3cdxcbtqgy5ss/view?usp=drivesdk" TargetMode="External"/><Relationship Id="rId5629" Type="http://schemas.openxmlformats.org/officeDocument/2006/relationships/hyperlink" Target="https://drive.google.com/file/d/1lcdQt6-vT9PAG9vbNjkXjyKAtD_-AD81/view?usp=drivesdk" TargetMode="External"/><Relationship Id="rId437" Type="http://schemas.openxmlformats.org/officeDocument/2006/relationships/hyperlink" Target="https://drive.google.com/file/d/1rd2Go9bNweCvqOErvk4P_KWiPFmueGNa/view?usp=drivesdk" TargetMode="External"/><Relationship Id="rId436" Type="http://schemas.openxmlformats.org/officeDocument/2006/relationships/hyperlink" Target="https://drive.google.com/file/d/1sRUJ6i9ybFZW__I3m_k9riQi5UGjQkA4/view?usp=drivesdk" TargetMode="External"/><Relationship Id="rId435" Type="http://schemas.openxmlformats.org/officeDocument/2006/relationships/hyperlink" Target="https://drive.google.com/file/d/1cTGpWBexBaJDiZae_SYhsKaKo3GBTfss/view?usp=drivesdk" TargetMode="External"/><Relationship Id="rId434" Type="http://schemas.openxmlformats.org/officeDocument/2006/relationships/hyperlink" Target="https://drive.google.com/file/d/1QUH4Ty1OOkaL0uEjjhBD4XYiI6WaKinF/view?usp=drivesdk" TargetMode="External"/><Relationship Id="rId439" Type="http://schemas.openxmlformats.org/officeDocument/2006/relationships/hyperlink" Target="https://drive.google.com/file/d/1rctaXsi1L2-uOEAl0dddgR96gXDcDz_L/view?usp=drivesdk" TargetMode="External"/><Relationship Id="rId438" Type="http://schemas.openxmlformats.org/officeDocument/2006/relationships/hyperlink" Target="https://drive.google.com/file/d/1OTJIMZb5VfBpgeni5f9_MIa1kCbg5f-s/view?usp=drivesdk" TargetMode="External"/><Relationship Id="rId6950" Type="http://schemas.openxmlformats.org/officeDocument/2006/relationships/hyperlink" Target="https://drive.google.com/file/d/1oQGC5T4-rhM5twHk540wUTlX17U7iR8a/view?usp=drivesdk" TargetMode="External"/><Relationship Id="rId433" Type="http://schemas.openxmlformats.org/officeDocument/2006/relationships/hyperlink" Target="https://drive.google.com/file/d/1_WzgdlhOw7cXYbag9rwXP3vcEg0Qm6YE/view?usp=drivesdk" TargetMode="External"/><Relationship Id="rId5622" Type="http://schemas.openxmlformats.org/officeDocument/2006/relationships/hyperlink" Target="https://drive.google.com/file/d/1O75fB3RX1UEg0VcRb9V395W8AX2IoLHj/view?usp=drivesdk" TargetMode="External"/><Relationship Id="rId6953" Type="http://schemas.openxmlformats.org/officeDocument/2006/relationships/hyperlink" Target="https://drive.google.com/file/d/1YFamuTimrA7eE8NrJAoQHmkFIfE92k3K/view?usp=drivesdk" TargetMode="External"/><Relationship Id="rId432" Type="http://schemas.openxmlformats.org/officeDocument/2006/relationships/hyperlink" Target="https://drive.google.com/file/d/1QcA2P9OzOgN2Gm7AjDaof0_E1ua4W1uH/view?usp=drivesdk" TargetMode="External"/><Relationship Id="rId5623" Type="http://schemas.openxmlformats.org/officeDocument/2006/relationships/hyperlink" Target="https://drive.google.com/file/d/15-P5RpuPMwyXnc5krEYnmG4h-lsxvQwz/view?usp=drivesdk" TargetMode="External"/><Relationship Id="rId6954" Type="http://schemas.openxmlformats.org/officeDocument/2006/relationships/hyperlink" Target="https://drive.google.com/file/d/1HlZBCOkJmrKNY68q5QXYUUpRFyiOQX5l/view?usp=drivesdk" TargetMode="External"/><Relationship Id="rId431" Type="http://schemas.openxmlformats.org/officeDocument/2006/relationships/hyperlink" Target="https://drive.google.com/file/d/1WZ27j5DfLdCYdG2ZgKGYWJrb5sZYyPMb/view?usp=drivesdk" TargetMode="External"/><Relationship Id="rId5620" Type="http://schemas.openxmlformats.org/officeDocument/2006/relationships/hyperlink" Target="https://drive.google.com/file/d/1_39u1tTkIAZWsUXbO7v-LLpBwSmznRtA/view?usp=drivesdk" TargetMode="External"/><Relationship Id="rId6951" Type="http://schemas.openxmlformats.org/officeDocument/2006/relationships/hyperlink" Target="https://drive.google.com/file/d/1cjYU7TsDcmyPeF3TKKxafm_fiB16U-FS/view?usp=drivesdk" TargetMode="External"/><Relationship Id="rId430" Type="http://schemas.openxmlformats.org/officeDocument/2006/relationships/hyperlink" Target="https://drive.google.com/file/d/1ip4-VBwUC5qBr9kVxgBnTlqOZ09kGMMY/view?usp=drivesdk" TargetMode="External"/><Relationship Id="rId5621" Type="http://schemas.openxmlformats.org/officeDocument/2006/relationships/hyperlink" Target="https://drive.google.com/file/d/18l9SPhGj3sEEpgIqp0wQe7P96_eTvIsG/view?usp=drivesdk" TargetMode="External"/><Relationship Id="rId6952" Type="http://schemas.openxmlformats.org/officeDocument/2006/relationships/hyperlink" Target="https://drive.google.com/file/d/1V6vkX4TctjswSAFGKvYxLzJBUugepcmW/view?usp=drivesdk" TargetMode="External"/><Relationship Id="rId6108" Type="http://schemas.openxmlformats.org/officeDocument/2006/relationships/hyperlink" Target="https://drive.google.com/file/d/13mD98tAHPTg_GkigVwMQy4q5pjB4A4f4/view?usp=drivesdk" TargetMode="External"/><Relationship Id="rId6109" Type="http://schemas.openxmlformats.org/officeDocument/2006/relationships/hyperlink" Target="https://drive.google.com/file/d/1Gbnc9frrjoXezZxJo6D4hiKHyzfMvXEQ/view?usp=drivesdk" TargetMode="External"/><Relationship Id="rId7439" Type="http://schemas.openxmlformats.org/officeDocument/2006/relationships/hyperlink" Target="https://drive.google.com/file/d/1sSi2fUlVv9WTRW5w-YcoAxEe-kXIHNI4/view?usp=drivesdk" TargetMode="External"/><Relationship Id="rId7430" Type="http://schemas.openxmlformats.org/officeDocument/2006/relationships/hyperlink" Target="https://drive.google.com/file/d/1Ijepx6gT0ZwnG20cE1KtXs0AJ-cvSzzK/view?usp=drivesdk" TargetMode="External"/><Relationship Id="rId8761" Type="http://schemas.openxmlformats.org/officeDocument/2006/relationships/hyperlink" Target="https://drive.google.com/file/d/1qa0HFKLspu_7k75-RCet6qzlAlWJn-3H/view?usp=drivesdk" TargetMode="External"/><Relationship Id="rId8760" Type="http://schemas.openxmlformats.org/officeDocument/2006/relationships/hyperlink" Target="https://drive.google.com/file/d/1LsUaIUEH_AWZWixTPAa33dok8mcd0Ksh/view?usp=drivesdk" TargetMode="External"/><Relationship Id="rId6102" Type="http://schemas.openxmlformats.org/officeDocument/2006/relationships/hyperlink" Target="https://drive.google.com/file/d/1R_TclGe0_Z3R93YxKLTAw64PhJoT1U7W/view?usp=drivesdk" TargetMode="External"/><Relationship Id="rId7434" Type="http://schemas.openxmlformats.org/officeDocument/2006/relationships/hyperlink" Target="https://drive.google.com/file/d/1uczHDXQo7INwsnptZzzYeaajUUraD3-q/view?usp=drivesdk" TargetMode="External"/><Relationship Id="rId8765" Type="http://schemas.openxmlformats.org/officeDocument/2006/relationships/hyperlink" Target="https://drive.google.com/file/d/1BJJmZ4djncAurTicirjeMLeQFbtOl8CX/view?usp=drivesdk" TargetMode="External"/><Relationship Id="rId6103" Type="http://schemas.openxmlformats.org/officeDocument/2006/relationships/hyperlink" Target="https://drive.google.com/file/d/1i72vI0Lq0gvjUSP7OsstAbom2L14Mts2/view?usp=drivesdk" TargetMode="External"/><Relationship Id="rId7433" Type="http://schemas.openxmlformats.org/officeDocument/2006/relationships/hyperlink" Target="https://drive.google.com/file/d/1-y-N3WGTNmh4Ars4IVaHH93UpZjqPEMu/view?usp=drivesdk" TargetMode="External"/><Relationship Id="rId8764" Type="http://schemas.openxmlformats.org/officeDocument/2006/relationships/hyperlink" Target="https://drive.google.com/file/d/1FcomeF2trEDYxQ08Ku5zrxUvs8Jh3001/view?usp=drivesdk" TargetMode="External"/><Relationship Id="rId6100" Type="http://schemas.openxmlformats.org/officeDocument/2006/relationships/hyperlink" Target="https://drive.google.com/file/d/1Oa8tyUzGybUp2zxtiHFC2SDRdrjZHjyN/view?usp=drivesdk" TargetMode="External"/><Relationship Id="rId7432" Type="http://schemas.openxmlformats.org/officeDocument/2006/relationships/hyperlink" Target="https://drive.google.com/file/d/1Of95KT2VT43ytoP61tPyBG3mw8i1QV4c/view?usp=drivesdk" TargetMode="External"/><Relationship Id="rId8763" Type="http://schemas.openxmlformats.org/officeDocument/2006/relationships/hyperlink" Target="https://drive.google.com/file/d/1R15gkR-rIy8MYC9d8cLq_JyCGB6Czh8E/view?usp=drivesdk" TargetMode="External"/><Relationship Id="rId6101" Type="http://schemas.openxmlformats.org/officeDocument/2006/relationships/hyperlink" Target="https://drive.google.com/file/d/16m8IFwnyTdGv7AHkHQtkoVIQqh4L7MtR/view?usp=drivesdk" TargetMode="External"/><Relationship Id="rId7431" Type="http://schemas.openxmlformats.org/officeDocument/2006/relationships/hyperlink" Target="https://drive.google.com/file/d/1QgcYVwOpDr8ff7Fk62Qxtsm4qL96Hfej/view?usp=drivesdk" TargetMode="External"/><Relationship Id="rId8762" Type="http://schemas.openxmlformats.org/officeDocument/2006/relationships/hyperlink" Target="https://drive.google.com/file/d/1ClbiLdcxBju3kunyOR9pUvc4RJI8H92J/view?usp=drivesdk" TargetMode="External"/><Relationship Id="rId6106" Type="http://schemas.openxmlformats.org/officeDocument/2006/relationships/hyperlink" Target="https://drive.google.com/file/d/1v20C5zqTHG3xyveATyuqCLL8PZLl5KQe/view?usp=drivesdk" TargetMode="External"/><Relationship Id="rId7438" Type="http://schemas.openxmlformats.org/officeDocument/2006/relationships/hyperlink" Target="https://drive.google.com/file/d/1AA57LDVMdxsoFyfIuCje-8csc0S2724s/view?usp=drivesdk" TargetMode="External"/><Relationship Id="rId8769" Type="http://schemas.openxmlformats.org/officeDocument/2006/relationships/hyperlink" Target="https://drive.google.com/file/d/1xwkrNq_Ulg7WX2G4GCg1u9TbPH2S_P5S/view?usp=drivesdk" TargetMode="External"/><Relationship Id="rId6107" Type="http://schemas.openxmlformats.org/officeDocument/2006/relationships/hyperlink" Target="https://drive.google.com/file/d/1NNFauQMcA7KlEfAeLpNbvps6-cUiKY0B/view?usp=drivesdk" TargetMode="External"/><Relationship Id="rId7437" Type="http://schemas.openxmlformats.org/officeDocument/2006/relationships/hyperlink" Target="https://drive.google.com/file/d/16D3Gt41Jjm4yHccqUKACu_PsznOaLb18/view?usp=drivesdk" TargetMode="External"/><Relationship Id="rId8768" Type="http://schemas.openxmlformats.org/officeDocument/2006/relationships/hyperlink" Target="https://drive.google.com/file/d/1huk3kHzJRX83cDqZALE15po724H_6UAF/view?usp=drivesdk" TargetMode="External"/><Relationship Id="rId6104" Type="http://schemas.openxmlformats.org/officeDocument/2006/relationships/hyperlink" Target="https://drive.google.com/file/d/1epzv0YWYJ61_wqtg6Xmrpd-qvNUFSEVU/view?usp=drivesdk" TargetMode="External"/><Relationship Id="rId7436" Type="http://schemas.openxmlformats.org/officeDocument/2006/relationships/hyperlink" Target="https://drive.google.com/file/d/1-NXL9opl5f8UPlLD9418-sE8d0hDSUYl/view?usp=drivesdk" TargetMode="External"/><Relationship Id="rId8767" Type="http://schemas.openxmlformats.org/officeDocument/2006/relationships/hyperlink" Target="https://drive.google.com/file/d/1UDGZAjZL3AtuYz_7o_dpERO4cciTi8vC/view?usp=drivesdk" TargetMode="External"/><Relationship Id="rId6105" Type="http://schemas.openxmlformats.org/officeDocument/2006/relationships/hyperlink" Target="https://drive.google.com/file/d/1_QbBjwILEwz6fQ2W99T-ngyaFPEjAVbw/view?usp=drivesdk" TargetMode="External"/><Relationship Id="rId7435" Type="http://schemas.openxmlformats.org/officeDocument/2006/relationships/hyperlink" Target="https://drive.google.com/file/d/1dxVklw6h5INPcJfBytUaWvfSlMoNOAzx/view?usp=drivesdk" TargetMode="External"/><Relationship Id="rId8766" Type="http://schemas.openxmlformats.org/officeDocument/2006/relationships/hyperlink" Target="https://drive.google.com/file/d/1gIFWPucKrNXumyXgL4McsJYOACFJjUGG/view?usp=drivesdk" TargetMode="External"/><Relationship Id="rId7429" Type="http://schemas.openxmlformats.org/officeDocument/2006/relationships/hyperlink" Target="https://drive.google.com/file/d/1S16dUtJO8RtSWdHh9cW4YqtCEE8J8m5Z/view?usp=drivesdk" TargetMode="External"/><Relationship Id="rId7428" Type="http://schemas.openxmlformats.org/officeDocument/2006/relationships/hyperlink" Target="https://drive.google.com/file/d/1TU8YECojLtbORw2TLJ6CNnq9q2yRm5q0/view?usp=drivesdk" TargetMode="External"/><Relationship Id="rId8759" Type="http://schemas.openxmlformats.org/officeDocument/2006/relationships/hyperlink" Target="https://drive.google.com/file/d/1j-OwFLdl_oDESgi9Qhvo6gpUJAS1R7c4/view?usp=drivesdk" TargetMode="External"/><Relationship Id="rId8750" Type="http://schemas.openxmlformats.org/officeDocument/2006/relationships/hyperlink" Target="https://drive.google.com/file/d/1GjypbVD4CosaB2mAtX39EqNArVICxsLl/view?usp=drivesdk" TargetMode="External"/><Relationship Id="rId7423" Type="http://schemas.openxmlformats.org/officeDocument/2006/relationships/hyperlink" Target="https://drive.google.com/file/d/1_N5mFoG5gml4Rn-whXa8wkglDMTTA4MA/view?usp=drivesdk" TargetMode="External"/><Relationship Id="rId8754" Type="http://schemas.openxmlformats.org/officeDocument/2006/relationships/hyperlink" Target="https://drive.google.com/file/d/1fufrevwv9c2ywVTzzs5pnkZr4sTDttsu/view?usp=drivesdk" TargetMode="External"/><Relationship Id="rId7422" Type="http://schemas.openxmlformats.org/officeDocument/2006/relationships/hyperlink" Target="https://drive.google.com/file/d/1lxNZCO4kXTOu6tnL7Vmw7YnijFwOH2lz/view?usp=drivesdk" TargetMode="External"/><Relationship Id="rId8753" Type="http://schemas.openxmlformats.org/officeDocument/2006/relationships/hyperlink" Target="https://drive.google.com/file/d/1EFE5DpA6cp2cYybEY6LoUWKDH--clUFI/view?usp=drivesdk" TargetMode="External"/><Relationship Id="rId7421" Type="http://schemas.openxmlformats.org/officeDocument/2006/relationships/hyperlink" Target="https://drive.google.com/file/d/19sLK4Dm8seq1-NkcTg4Zl3MjYuPouXfb/view?usp=drivesdk" TargetMode="External"/><Relationship Id="rId8752" Type="http://schemas.openxmlformats.org/officeDocument/2006/relationships/hyperlink" Target="https://drive.google.com/file/d/14PTUNxRY35AcTuz84H6aOyP-TAu7hB_i/view?usp=drivesdk" TargetMode="External"/><Relationship Id="rId7420" Type="http://schemas.openxmlformats.org/officeDocument/2006/relationships/hyperlink" Target="https://drive.google.com/file/d/1UAOMWP8xEQG4UDqydsqwyOd8fUqMXkWm/view?usp=drivesdk" TargetMode="External"/><Relationship Id="rId8751" Type="http://schemas.openxmlformats.org/officeDocument/2006/relationships/hyperlink" Target="https://drive.google.com/file/d/1KeS0On91CJlLrgTvMptTH9JoSabx-E-c/view?usp=drivesdk" TargetMode="External"/><Relationship Id="rId7427" Type="http://schemas.openxmlformats.org/officeDocument/2006/relationships/hyperlink" Target="https://drive.google.com/file/d/1UxColFBirgtHJxWpsQBIKAV4licQOZFi/view?usp=drivesdk" TargetMode="External"/><Relationship Id="rId8758" Type="http://schemas.openxmlformats.org/officeDocument/2006/relationships/hyperlink" Target="https://drive.google.com/file/d/1TQ9F5jk4SugXCat32gkiWfqDCWxAGQ0q/view?usp=drivesdk" TargetMode="External"/><Relationship Id="rId7426" Type="http://schemas.openxmlformats.org/officeDocument/2006/relationships/hyperlink" Target="https://drive.google.com/file/d/1gPO7XY79xcmAit0JtNZXO90amCSJdfGm/view?usp=drivesdk" TargetMode="External"/><Relationship Id="rId8757" Type="http://schemas.openxmlformats.org/officeDocument/2006/relationships/hyperlink" Target="https://drive.google.com/file/d/18NHmaZwtbyKT6nX4ICW4GFMAOtWEIYzO/view?usp=drivesdk" TargetMode="External"/><Relationship Id="rId7425" Type="http://schemas.openxmlformats.org/officeDocument/2006/relationships/hyperlink" Target="https://drive.google.com/file/d/1wIG2S6_0POc0Lgnyco_yx7QfmHSZI8qQ/view?usp=drivesdk" TargetMode="External"/><Relationship Id="rId8756" Type="http://schemas.openxmlformats.org/officeDocument/2006/relationships/hyperlink" Target="https://drive.google.com/file/d/1qZN0M89yr2TGBp803E-5pwVC2RFcH_zh/view?usp=drivesdk" TargetMode="External"/><Relationship Id="rId7424" Type="http://schemas.openxmlformats.org/officeDocument/2006/relationships/hyperlink" Target="https://drive.google.com/file/d/1RGhVdMr66Kk-ZcUs_SOibv08tIDA0khl/view?usp=drivesdk" TargetMode="External"/><Relationship Id="rId8755" Type="http://schemas.openxmlformats.org/officeDocument/2006/relationships/hyperlink" Target="https://drive.google.com/file/d/1mVjkLKvUE32bOBDy4No5SJC-i6uTNFcj/view?usp=drivesdk" TargetMode="External"/><Relationship Id="rId6120" Type="http://schemas.openxmlformats.org/officeDocument/2006/relationships/hyperlink" Target="https://drive.google.com/file/d/1fbyzbie1_BVk3baAKNK1Uiwkaxq71JQI/view?usp=drivesdk" TargetMode="External"/><Relationship Id="rId7452" Type="http://schemas.openxmlformats.org/officeDocument/2006/relationships/hyperlink" Target="https://drive.google.com/file/d/1ySjhthVEajcKTDA8JmSFSO4u2brnPKIh/view?usp=drivesdk" TargetMode="External"/><Relationship Id="rId8783" Type="http://schemas.openxmlformats.org/officeDocument/2006/relationships/hyperlink" Target="https://drive.google.com/file/d/17aWsT51m_QJMK4bsGYWpxzyU-1WlArGF/view?usp=drivesdk" TargetMode="External"/><Relationship Id="rId6121" Type="http://schemas.openxmlformats.org/officeDocument/2006/relationships/hyperlink" Target="https://drive.google.com/file/d/1RjFQ7LnkaKT0Mfhv5r_QIAGy7PTxJn1u/view?usp=drivesdk" TargetMode="External"/><Relationship Id="rId7451" Type="http://schemas.openxmlformats.org/officeDocument/2006/relationships/hyperlink" Target="https://drive.google.com/file/d/11H3OUqfkfueEzjbzJ_xP3my3JPPUtub-/view?usp=drivesdk" TargetMode="External"/><Relationship Id="rId8782" Type="http://schemas.openxmlformats.org/officeDocument/2006/relationships/hyperlink" Target="https://drive.google.com/file/d/1EXy_zVE-ApFqLVE9V0k-oJEhEn-g0qAK/view?usp=drivesdk" TargetMode="External"/><Relationship Id="rId7450" Type="http://schemas.openxmlformats.org/officeDocument/2006/relationships/hyperlink" Target="https://drive.google.com/file/d/1GnB0k3iwTqmDnubqbULlqLYXs8CASczP/view?usp=drivesdk" TargetMode="External"/><Relationship Id="rId8781" Type="http://schemas.openxmlformats.org/officeDocument/2006/relationships/hyperlink" Target="https://drive.google.com/file/d/1nUPrLtZqaFJKGPFBxXaD8aQ-wgeN-CzO/view?usp=drivesdk" TargetMode="External"/><Relationship Id="rId8780" Type="http://schemas.openxmlformats.org/officeDocument/2006/relationships/hyperlink" Target="https://drive.google.com/file/d/1e7VrG_3uEUwE207aKsf3MMUGP8Tl2Jbb/view?usp=drivesdk" TargetMode="External"/><Relationship Id="rId6124" Type="http://schemas.openxmlformats.org/officeDocument/2006/relationships/hyperlink" Target="https://drive.google.com/file/d/1B4gxllg2305Kb3fVS4RJA4DSe2krnxUm/view?usp=drivesdk" TargetMode="External"/><Relationship Id="rId7456" Type="http://schemas.openxmlformats.org/officeDocument/2006/relationships/hyperlink" Target="https://drive.google.com/file/d/1V2G__TyqWXcjl2jwIO-ZjlcMzhx_pdRL/view?usp=drivesdk" TargetMode="External"/><Relationship Id="rId8787" Type="http://schemas.openxmlformats.org/officeDocument/2006/relationships/hyperlink" Target="https://drive.google.com/file/d/1h_cOrLAUSwb6Z8cKpwAX5AoW39IGKFFA/view?usp=drivesdk" TargetMode="External"/><Relationship Id="rId6125" Type="http://schemas.openxmlformats.org/officeDocument/2006/relationships/hyperlink" Target="https://drive.google.com/file/d/13zZUurUEOvKuIX-be1_4zmXxEinVAPLh/view?usp=drivesdk" TargetMode="External"/><Relationship Id="rId7455" Type="http://schemas.openxmlformats.org/officeDocument/2006/relationships/hyperlink" Target="https://drive.google.com/file/d/1p3zns77rgvQmLBqafhd64XjPgf-EGNGn/view?usp=drivesdk" TargetMode="External"/><Relationship Id="rId8786" Type="http://schemas.openxmlformats.org/officeDocument/2006/relationships/hyperlink" Target="https://drive.google.com/file/d/1qqw8a_DlmYKNcSvKPg20Noqwe_yFOkQE/view?usp=drivesdk" TargetMode="External"/><Relationship Id="rId6122" Type="http://schemas.openxmlformats.org/officeDocument/2006/relationships/hyperlink" Target="https://drive.google.com/file/d/1IfHAAkvy80nhE64tx2GmVE53PBghvmAp/view?usp=drivesdk" TargetMode="External"/><Relationship Id="rId7454" Type="http://schemas.openxmlformats.org/officeDocument/2006/relationships/hyperlink" Target="https://drive.google.com/file/d/1nu9AT8jAykdOL6rCNLdthQ_2zeRKCacW/view?usp=drivesdk" TargetMode="External"/><Relationship Id="rId8785" Type="http://schemas.openxmlformats.org/officeDocument/2006/relationships/hyperlink" Target="https://drive.google.com/file/d/1dyqxsMgswLmJROJRl9_kv6Y3K2V3g-uX/view?usp=drivesdk" TargetMode="External"/><Relationship Id="rId6123" Type="http://schemas.openxmlformats.org/officeDocument/2006/relationships/hyperlink" Target="https://drive.google.com/file/d/1KHJMlLOpKqDkPoDyiybNGi67CBqVk-KJ/view?usp=drivesdk" TargetMode="External"/><Relationship Id="rId7453" Type="http://schemas.openxmlformats.org/officeDocument/2006/relationships/hyperlink" Target="https://drive.google.com/file/d/1x9XPLfNelVqu7mf_0g41GgUjUI1Iy9JG/view?usp=drivesdk" TargetMode="External"/><Relationship Id="rId8784" Type="http://schemas.openxmlformats.org/officeDocument/2006/relationships/hyperlink" Target="https://drive.google.com/file/d/1lEbFMD4kYxwYnva2EKLbFKO3XseulSm4/view?usp=drivesdk" TargetMode="External"/><Relationship Id="rId6128" Type="http://schemas.openxmlformats.org/officeDocument/2006/relationships/hyperlink" Target="https://drive.google.com/file/d/1N1-hLZEnHQiO06H1u4kMchEXX_0GidRg/view?usp=drivesdk" TargetMode="External"/><Relationship Id="rId6129" Type="http://schemas.openxmlformats.org/officeDocument/2006/relationships/hyperlink" Target="https://drive.google.com/file/d/1R3wztfImWYImnf5iMlcoN8DQ5BHr7gv8/view?usp=drivesdk" TargetMode="External"/><Relationship Id="rId7459" Type="http://schemas.openxmlformats.org/officeDocument/2006/relationships/hyperlink" Target="https://drive.google.com/file/d/1WJkZl4f3bpy97Lmo-jLTyLKFHnqYkOSC/view?usp=drivesdk" TargetMode="External"/><Relationship Id="rId6126" Type="http://schemas.openxmlformats.org/officeDocument/2006/relationships/hyperlink" Target="https://drive.google.com/file/d/1TQ4s2IqrQLb1k9rtNWwSLrKdQnXrWWGS/view?usp=drivesdk" TargetMode="External"/><Relationship Id="rId7458" Type="http://schemas.openxmlformats.org/officeDocument/2006/relationships/hyperlink" Target="https://drive.google.com/file/d/19SBZO3YXQvOBNbPzZ2yz1ZoKVj3wmmRn/view?usp=drivesdk" TargetMode="External"/><Relationship Id="rId8789" Type="http://schemas.openxmlformats.org/officeDocument/2006/relationships/hyperlink" Target="https://drive.google.com/file/d/1LDVzk7LQd8GpFk9GwX-eXve8rTFPSf7F/view?usp=drivesdk" TargetMode="External"/><Relationship Id="rId6127" Type="http://schemas.openxmlformats.org/officeDocument/2006/relationships/hyperlink" Target="https://drive.google.com/file/d/1MhdeKGE9ns40WJP3lMYeojVHCXIs7-rS/view?usp=drivesdk" TargetMode="External"/><Relationship Id="rId7457" Type="http://schemas.openxmlformats.org/officeDocument/2006/relationships/hyperlink" Target="https://drive.google.com/file/d/1zkM2dBzgfg1H0oAXkQCglIFmdcSmCyuA/view?usp=drivesdk" TargetMode="External"/><Relationship Id="rId8788" Type="http://schemas.openxmlformats.org/officeDocument/2006/relationships/hyperlink" Target="https://drive.google.com/file/d/18uLZxfO4Mh0rT-Bm9qnLjBtDLvnPmQiP/view?usp=drivesdk" TargetMode="External"/><Relationship Id="rId6119" Type="http://schemas.openxmlformats.org/officeDocument/2006/relationships/hyperlink" Target="https://drive.google.com/file/d/1QjWh6PTTm3FPmyKpHBDtGJ3MmhwQ_dnr/view?usp=drivesdk" TargetMode="External"/><Relationship Id="rId7441" Type="http://schemas.openxmlformats.org/officeDocument/2006/relationships/hyperlink" Target="https://drive.google.com/file/d/176tee1EPSs8LQMU66O-4OhqD4z2MRzQU/view?usp=drivesdk" TargetMode="External"/><Relationship Id="rId8772" Type="http://schemas.openxmlformats.org/officeDocument/2006/relationships/hyperlink" Target="https://drive.google.com/file/d/1yGTvTcMtgNibCt8gLddux9UH6CCRIqwk/view?usp=drivesdk" TargetMode="External"/><Relationship Id="rId6110" Type="http://schemas.openxmlformats.org/officeDocument/2006/relationships/hyperlink" Target="https://drive.google.com/file/d/1i9WmoFI_ZSpamvndQYE78MvQ_tz_bixz/view?usp=drivesdk" TargetMode="External"/><Relationship Id="rId7440" Type="http://schemas.openxmlformats.org/officeDocument/2006/relationships/hyperlink" Target="https://drive.google.com/file/d/1zMObaZgr-KH2b0qmXY_FHk-DqioS8J8L/view?usp=drivesdk" TargetMode="External"/><Relationship Id="rId8771" Type="http://schemas.openxmlformats.org/officeDocument/2006/relationships/hyperlink" Target="https://drive.google.com/file/d/1ehgSgswZI0ES93HffNFG6s67bsQd-U4r/view?usp=drivesdk" TargetMode="External"/><Relationship Id="rId8770" Type="http://schemas.openxmlformats.org/officeDocument/2006/relationships/hyperlink" Target="https://drive.google.com/file/d/1hgfernUeyOX5I5NiJKc-XeuRHUFrBuYA/view?usp=drivesdk" TargetMode="External"/><Relationship Id="rId6113" Type="http://schemas.openxmlformats.org/officeDocument/2006/relationships/hyperlink" Target="https://drive.google.com/file/d/1-I0wKp5EG-kk5Iiwlw1P4QHu9yzkYFOI/view?usp=drivesdk" TargetMode="External"/><Relationship Id="rId7445" Type="http://schemas.openxmlformats.org/officeDocument/2006/relationships/hyperlink" Target="https://drive.google.com/file/d/1MFKGh5FPlgxTGEZs5UCrnsaWMY9KEARI/view?usp=drivesdk" TargetMode="External"/><Relationship Id="rId8776" Type="http://schemas.openxmlformats.org/officeDocument/2006/relationships/hyperlink" Target="https://drive.google.com/file/d/1LB_LYuJA0k_q5L3cQ_BIkKU5J1hSrc0K/view?usp=drivesdk" TargetMode="External"/><Relationship Id="rId6114" Type="http://schemas.openxmlformats.org/officeDocument/2006/relationships/hyperlink" Target="https://drive.google.com/file/d/1PRydXN55hSEQMKeVlichLB4PfSbdKEJn/view?usp=drivesdk" TargetMode="External"/><Relationship Id="rId7444" Type="http://schemas.openxmlformats.org/officeDocument/2006/relationships/hyperlink" Target="https://drive.google.com/file/d/1gwiq_KoCt6PLfZHnpRCWRUJJprdCHIC1/view?usp=drivesdk" TargetMode="External"/><Relationship Id="rId8775" Type="http://schemas.openxmlformats.org/officeDocument/2006/relationships/hyperlink" Target="https://drive.google.com/file/d/11I2U40oVpNWbVNfMvF1AKYTtbFcG2Mlz/view?usp=drivesdk" TargetMode="External"/><Relationship Id="rId6111" Type="http://schemas.openxmlformats.org/officeDocument/2006/relationships/hyperlink" Target="https://drive.google.com/file/d/1kXR_-v7YJV_cEMfSeO8qY67teZucAH6N/view?usp=drivesdk" TargetMode="External"/><Relationship Id="rId7443" Type="http://schemas.openxmlformats.org/officeDocument/2006/relationships/hyperlink" Target="https://drive.google.com/file/d/11zoRqkR-cKB_jl-TXRMwT5h8HvEbJNZv/view?usp=drivesdk" TargetMode="External"/><Relationship Id="rId8774" Type="http://schemas.openxmlformats.org/officeDocument/2006/relationships/hyperlink" Target="https://drive.google.com/file/d/1-7bEmMJ3rkkaiEa1FTjbBYh1xACiV_rA/view?usp=drivesdk" TargetMode="External"/><Relationship Id="rId6112" Type="http://schemas.openxmlformats.org/officeDocument/2006/relationships/hyperlink" Target="https://drive.google.com/file/d/1I9qy45FqVQAqxNrxlp-CcYTHH9YjPq0V/view?usp=drivesdk" TargetMode="External"/><Relationship Id="rId7442" Type="http://schemas.openxmlformats.org/officeDocument/2006/relationships/hyperlink" Target="https://drive.google.com/file/d/1fKPsKFU2MSTv7wfnINW_CNEuFqLaXkg-/view?usp=drivesdk" TargetMode="External"/><Relationship Id="rId8773" Type="http://schemas.openxmlformats.org/officeDocument/2006/relationships/hyperlink" Target="https://drive.google.com/file/d/1WjWwBCda5nKtkwGKQ0uX_3aJzAysbvF0/view?usp=drivesdk" TargetMode="External"/><Relationship Id="rId6117" Type="http://schemas.openxmlformats.org/officeDocument/2006/relationships/hyperlink" Target="https://drive.google.com/file/d/176oPfoyhlxRHlBig-KzU8GRK8rQAy8c2/view?usp=drivesdk" TargetMode="External"/><Relationship Id="rId7449" Type="http://schemas.openxmlformats.org/officeDocument/2006/relationships/hyperlink" Target="https://drive.google.com/file/d/1ScT3mhdev3s-0dFZlL3u2X_ogS697r-f/view?usp=drivesdk" TargetMode="External"/><Relationship Id="rId6118" Type="http://schemas.openxmlformats.org/officeDocument/2006/relationships/hyperlink" Target="https://drive.google.com/file/d/1jEqEeuBWbY2UBgJXsceMACpoF2L94TxZ/view?usp=drivesdk" TargetMode="External"/><Relationship Id="rId7448" Type="http://schemas.openxmlformats.org/officeDocument/2006/relationships/hyperlink" Target="https://drive.google.com/file/d/1Hp9I1Lo5Wgubd-44te7NrJE9dKKzbDb0/view?usp=drivesdk" TargetMode="External"/><Relationship Id="rId8779" Type="http://schemas.openxmlformats.org/officeDocument/2006/relationships/hyperlink" Target="https://drive.google.com/file/d/1T7O4PP3wXe3Qba5VnVud7OoyMD9nzRSP/view?usp=drivesdk" TargetMode="External"/><Relationship Id="rId6115" Type="http://schemas.openxmlformats.org/officeDocument/2006/relationships/hyperlink" Target="https://drive.google.com/file/d/1wNFJ9SBPiH8-75c4y7B3GZlkvuuftWvt/view?usp=drivesdk" TargetMode="External"/><Relationship Id="rId7447" Type="http://schemas.openxmlformats.org/officeDocument/2006/relationships/hyperlink" Target="https://drive.google.com/file/d/1wL7qVUhBISIPw035NVNhjYd0Z77qBUJL/view?usp=drivesdk" TargetMode="External"/><Relationship Id="rId8778" Type="http://schemas.openxmlformats.org/officeDocument/2006/relationships/hyperlink" Target="https://drive.google.com/file/d/1kMohElB0b3NdtNjgziep4ykOhP-VkS95/view?usp=drivesdk" TargetMode="External"/><Relationship Id="rId6116" Type="http://schemas.openxmlformats.org/officeDocument/2006/relationships/hyperlink" Target="https://drive.google.com/file/d/1DzdvYH00nlFqfg3ana8fy-BUgUxQQFr_/view?usp=drivesdk" TargetMode="External"/><Relationship Id="rId7446" Type="http://schemas.openxmlformats.org/officeDocument/2006/relationships/hyperlink" Target="https://drive.google.com/file/d/1RfnAzWmcvXIlZzs_1OMTeTvIbHF57qpB/view?usp=drivesdk" TargetMode="External"/><Relationship Id="rId8777" Type="http://schemas.openxmlformats.org/officeDocument/2006/relationships/hyperlink" Target="https://drive.google.com/file/d/1xWbX5oLAA7fKsh1DSMgaAe1df8rX6ASw/view?usp=drivesdk" TargetMode="External"/><Relationship Id="rId8729" Type="http://schemas.openxmlformats.org/officeDocument/2006/relationships/hyperlink" Target="https://drive.google.com/file/d/1aSex9UK69BGKA_FtwFFHfFjEeandhSG4/view?usp=drivesdk" TargetMode="External"/><Relationship Id="rId8728" Type="http://schemas.openxmlformats.org/officeDocument/2006/relationships/hyperlink" Target="https://drive.google.com/file/d/1MG5U8ry6rsWaBwnKb4MMR9RIV-mPXdWS/view?usp=drivesdk" TargetMode="External"/><Relationship Id="rId8727" Type="http://schemas.openxmlformats.org/officeDocument/2006/relationships/hyperlink" Target="https://drive.google.com/file/d/1bfGwRBSNIxDO4U_hdJQ3_vzZUqz1nPqJ/view?usp=drivesdk" TargetMode="External"/><Relationship Id="rId8726" Type="http://schemas.openxmlformats.org/officeDocument/2006/relationships/hyperlink" Target="https://drive.google.com/file/d/1Xy6agGlFkCTmUzsW-k0EnCw53lUdO4SC/view?usp=drivesdk" TargetMode="External"/><Relationship Id="rId1" Type="http://schemas.openxmlformats.org/officeDocument/2006/relationships/hyperlink" Target="https://drive.google.com/file/d/15LVjdIQeAz1dtrLONiI7zgvf5KQYDRqc/view?usp=drivesdk" TargetMode="External"/><Relationship Id="rId2" Type="http://schemas.openxmlformats.org/officeDocument/2006/relationships/hyperlink" Target="https://drive.google.com/file/d/1sfFu9ebHiaEDOGJgejoulShoLLtBnDcc/view?usp=drivesdk" TargetMode="External"/><Relationship Id="rId3" Type="http://schemas.openxmlformats.org/officeDocument/2006/relationships/hyperlink" Target="https://drive.google.com/file/d/1sga34ZNIy_xwRlchqMD0maAB8SgZu54z/view?usp=drivesdk" TargetMode="External"/><Relationship Id="rId4" Type="http://schemas.openxmlformats.org/officeDocument/2006/relationships/hyperlink" Target="https://drive.google.com/file/d/1aE4wvmPulWNCVlDO7m8bKc3H8CR9pKnw/view?usp=drivesdk" TargetMode="External"/><Relationship Id="rId9" Type="http://schemas.openxmlformats.org/officeDocument/2006/relationships/hyperlink" Target="https://drive.google.com/file/d/1gy4FkB6-3CDtdLUf7zeKzFmMSXE9EZrp/view?usp=drivesdk" TargetMode="External"/><Relationship Id="rId8721" Type="http://schemas.openxmlformats.org/officeDocument/2006/relationships/hyperlink" Target="https://drive.google.com/file/d/1zeVDbmUDyU_i8Rfif7-adj8IFp8PRwe8/view?usp=drivesdk" TargetMode="External"/><Relationship Id="rId8720" Type="http://schemas.openxmlformats.org/officeDocument/2006/relationships/hyperlink" Target="https://drive.google.com/file/d/1p1AFy4HyiNytXVNnE_23nAgec0xDn8Vk/view?usp=drivesdk" TargetMode="External"/><Relationship Id="rId5" Type="http://schemas.openxmlformats.org/officeDocument/2006/relationships/hyperlink" Target="https://drive.google.com/file/d/1aeqXtzWkjTwOgwYJzHFkVgcqCxRF-tpG/view?usp=drivesdk" TargetMode="External"/><Relationship Id="rId8725" Type="http://schemas.openxmlformats.org/officeDocument/2006/relationships/hyperlink" Target="https://drive.google.com/file/d/1Wvch4uH5ofbi0ZiDpV-IqrxWzWBGw787/view?usp=drivesdk" TargetMode="External"/><Relationship Id="rId6" Type="http://schemas.openxmlformats.org/officeDocument/2006/relationships/hyperlink" Target="https://drive.google.com/file/d/1RLoMo5-tVwdXCAHoAZtXRVL0oKUM1m_B/view?usp=drivesdk" TargetMode="External"/><Relationship Id="rId8724" Type="http://schemas.openxmlformats.org/officeDocument/2006/relationships/hyperlink" Target="https://drive.google.com/file/d/1JBCSEYJHvgjqhClQBRks9TYwbBfbnT--/view?usp=drivesdk" TargetMode="External"/><Relationship Id="rId7" Type="http://schemas.openxmlformats.org/officeDocument/2006/relationships/hyperlink" Target="https://drive.google.com/file/d/1j9k78GTHBr3sU77NF45ZJSV_7lChxZkh/view?usp=drivesdk" TargetMode="External"/><Relationship Id="rId8723" Type="http://schemas.openxmlformats.org/officeDocument/2006/relationships/hyperlink" Target="https://drive.google.com/file/d/1ILL2NmF4A4O0KAZGBORcfZDncDWD-7o_/view?usp=drivesdk" TargetMode="External"/><Relationship Id="rId8" Type="http://schemas.openxmlformats.org/officeDocument/2006/relationships/hyperlink" Target="https://drive.google.com/file/d/1B2sm1ZcxXX2I2gJUG6Lh6UlbUCOaD8yB/view?usp=drivesdk" TargetMode="External"/><Relationship Id="rId8722" Type="http://schemas.openxmlformats.org/officeDocument/2006/relationships/hyperlink" Target="https://drive.google.com/file/d/1VAgwkrd2TdVLxd81hMbH-gyhtoB6exlr/view?usp=drivesdk" TargetMode="External"/><Relationship Id="rId8718" Type="http://schemas.openxmlformats.org/officeDocument/2006/relationships/hyperlink" Target="https://drive.google.com/file/d/11si47p1WkFQ4PpbStK8LCvemUkzL431_/view?usp=drivesdk" TargetMode="External"/><Relationship Id="rId8717" Type="http://schemas.openxmlformats.org/officeDocument/2006/relationships/hyperlink" Target="https://drive.google.com/file/d/1u6n7hH7oEcbT1LBxfaDOaujpzlyEJNgS/view?usp=drivesdk" TargetMode="External"/><Relationship Id="rId8716" Type="http://schemas.openxmlformats.org/officeDocument/2006/relationships/hyperlink" Target="https://drive.google.com/file/d/1L9mPrvdSU5AvWqBwAQYJ7kVPjEocituS/view?usp=drivesdk" TargetMode="External"/><Relationship Id="rId8715" Type="http://schemas.openxmlformats.org/officeDocument/2006/relationships/hyperlink" Target="https://drive.google.com/file/d/1r2QkJ7JoG91K5WwHtmWSq9IkwO9ky8D5/view?usp=drivesdk" TargetMode="External"/><Relationship Id="rId8719" Type="http://schemas.openxmlformats.org/officeDocument/2006/relationships/hyperlink" Target="https://drive.google.com/file/d/1hfeyFzg0ras_tLKOxIixr793_TC3ShLF/view?usp=drivesdk" TargetMode="External"/><Relationship Id="rId8710" Type="http://schemas.openxmlformats.org/officeDocument/2006/relationships/hyperlink" Target="https://drive.google.com/file/d/1dJ9Bv6Wcah0FFRxWRoJfGiQiokEb3jwN/view?usp=drivesdk" TargetMode="External"/><Relationship Id="rId8714" Type="http://schemas.openxmlformats.org/officeDocument/2006/relationships/hyperlink" Target="https://drive.google.com/file/d/12SHFnIMU9tHuQzvIZrNIkibApxKHPAbN/view?usp=drivesdk" TargetMode="External"/><Relationship Id="rId8713" Type="http://schemas.openxmlformats.org/officeDocument/2006/relationships/hyperlink" Target="https://drive.google.com/file/d/1AV-aISacUkNDxhzRUggoFvoWvL_AUkrB/view?usp=drivesdk" TargetMode="External"/><Relationship Id="rId8712" Type="http://schemas.openxmlformats.org/officeDocument/2006/relationships/hyperlink" Target="https://drive.google.com/file/d/1dJJWWK4qWjJnbPNXokKgq6WLcrBD9AV1/view?usp=drivesdk" TargetMode="External"/><Relationship Id="rId8711" Type="http://schemas.openxmlformats.org/officeDocument/2006/relationships/hyperlink" Target="https://drive.google.com/file/d/1GFwaAMGbf_yYpSVEnpb2pBCLmnMw6b9s/view?usp=drivesdk" TargetMode="External"/><Relationship Id="rId7419" Type="http://schemas.openxmlformats.org/officeDocument/2006/relationships/hyperlink" Target="https://drive.google.com/file/d/1iuaHhBGuWigHkAgBnts6034mVASgjV0w/view?usp=drivesdk" TargetMode="External"/><Relationship Id="rId7418" Type="http://schemas.openxmlformats.org/officeDocument/2006/relationships/hyperlink" Target="https://drive.google.com/file/d/1qTLvK13qihJcjDcnLg7LsNQd18E0ZmaT/view?usp=drivesdk" TargetMode="External"/><Relationship Id="rId8749" Type="http://schemas.openxmlformats.org/officeDocument/2006/relationships/hyperlink" Target="https://drive.google.com/file/d/1ACMLhhjvZnnTTvY051nAIyCvHYlZsX28/view?usp=drivesdk" TargetMode="External"/><Relationship Id="rId7417" Type="http://schemas.openxmlformats.org/officeDocument/2006/relationships/hyperlink" Target="https://drive.google.com/file/d/1IEeRZ6xSUR8Nbh65Xyn_RogH4xXqWxHb/view?usp=drivesdk" TargetMode="External"/><Relationship Id="rId8748" Type="http://schemas.openxmlformats.org/officeDocument/2006/relationships/hyperlink" Target="https://drive.google.com/file/d/1W9stAiBWw8Q0awvBqOCDbFd52njZOFrd/view?usp=drivesdk" TargetMode="External"/><Relationship Id="rId7412" Type="http://schemas.openxmlformats.org/officeDocument/2006/relationships/hyperlink" Target="https://drive.google.com/file/d/1T9UboKViWKfL-uwSCJ-FYMDKMASIG_Fm/view?usp=drivesdk" TargetMode="External"/><Relationship Id="rId8743" Type="http://schemas.openxmlformats.org/officeDocument/2006/relationships/hyperlink" Target="https://drive.google.com/file/d/1n5d6DA5IG10wmL1EOguED8gpOyOa24B8/view?usp=drivesdk" TargetMode="External"/><Relationship Id="rId7411" Type="http://schemas.openxmlformats.org/officeDocument/2006/relationships/hyperlink" Target="https://drive.google.com/file/d/1MyIP2IzDdLPZcetU8H5HlEw2Uf_r7kCI/view?usp=drivesdk" TargetMode="External"/><Relationship Id="rId8742" Type="http://schemas.openxmlformats.org/officeDocument/2006/relationships/hyperlink" Target="https://drive.google.com/file/d/1VpU63yNc0fZwDxreVUxyMw-RQ8F4APKk/view?usp=drivesdk" TargetMode="External"/><Relationship Id="rId7410" Type="http://schemas.openxmlformats.org/officeDocument/2006/relationships/hyperlink" Target="https://drive.google.com/file/d/1E5vYj4Psf0dv2iLdG_3Wl-sGk-MC9QgD/view?usp=drivesdk" TargetMode="External"/><Relationship Id="rId8741" Type="http://schemas.openxmlformats.org/officeDocument/2006/relationships/hyperlink" Target="https://drive.google.com/file/d/1DNf7GStfZFdrmGca4_Ngue1Olz1Wj5Ix/view?usp=drivesdk" TargetMode="External"/><Relationship Id="rId8740" Type="http://schemas.openxmlformats.org/officeDocument/2006/relationships/hyperlink" Target="https://drive.google.com/file/d/1ZFQy4DU_jhwTkb1e32T1sb2Glx06d4Ld/view?usp=drivesdk" TargetMode="External"/><Relationship Id="rId7416" Type="http://schemas.openxmlformats.org/officeDocument/2006/relationships/hyperlink" Target="https://drive.google.com/file/d/1MIEnnmOREyHWF3lL7ytAWcLzCREUg4-y/view?usp=drivesdk" TargetMode="External"/><Relationship Id="rId8747" Type="http://schemas.openxmlformats.org/officeDocument/2006/relationships/hyperlink" Target="https://drive.google.com/file/d/1IaHn48sUNvSZE6ChMhLu6cahHtmqySAQ/view?usp=drivesdk" TargetMode="External"/><Relationship Id="rId7415" Type="http://schemas.openxmlformats.org/officeDocument/2006/relationships/hyperlink" Target="https://drive.google.com/file/d/14dvZmKFno_MnvH3md7kIUJfxraWAF95O/view?usp=drivesdk" TargetMode="External"/><Relationship Id="rId8746" Type="http://schemas.openxmlformats.org/officeDocument/2006/relationships/hyperlink" Target="https://drive.google.com/file/d/1rFJ35TEEa4fZEiMsGl9mdvN7ekIdsh6N/view?usp=drivesdk" TargetMode="External"/><Relationship Id="rId7414" Type="http://schemas.openxmlformats.org/officeDocument/2006/relationships/hyperlink" Target="https://drive.google.com/file/d/13FIU76_MxjXZgQRgHjEQNUfh1y8BSnqU/view?usp=drivesdk" TargetMode="External"/><Relationship Id="rId8745" Type="http://schemas.openxmlformats.org/officeDocument/2006/relationships/hyperlink" Target="https://drive.google.com/file/d/12D9eexKL9PA88B1ed0qyj-MrpyFyUBee/view?usp=drivesdk" TargetMode="External"/><Relationship Id="rId7413" Type="http://schemas.openxmlformats.org/officeDocument/2006/relationships/hyperlink" Target="https://drive.google.com/file/d/1Hnr8gTxtVYOmhvymDJBqSPS3S9mvIlef/view?usp=drivesdk" TargetMode="External"/><Relationship Id="rId8744" Type="http://schemas.openxmlformats.org/officeDocument/2006/relationships/hyperlink" Target="https://drive.google.com/file/d/1BiCs2C-KaWuQ37Q6PLfRUFyY2hlcAU4v/view?usp=drivesdk" TargetMode="External"/><Relationship Id="rId7409" Type="http://schemas.openxmlformats.org/officeDocument/2006/relationships/hyperlink" Target="https://drive.google.com/file/d/1gVDreCCszltJJ5S5l1CZqyAWDqg3g23R/view?usp=drivesdk" TargetMode="External"/><Relationship Id="rId7408" Type="http://schemas.openxmlformats.org/officeDocument/2006/relationships/hyperlink" Target="https://drive.google.com/file/d/15UqxWnDmXuPIbVaM1TEj93vUiRqZJ65J/view?usp=drivesdk" TargetMode="External"/><Relationship Id="rId8739" Type="http://schemas.openxmlformats.org/officeDocument/2006/relationships/hyperlink" Target="https://drive.google.com/file/d/1P-lm3HURbEyDtJOKtfs7QQKIxIQVgBEX/view?usp=drivesdk" TargetMode="External"/><Relationship Id="rId7407" Type="http://schemas.openxmlformats.org/officeDocument/2006/relationships/hyperlink" Target="https://drive.google.com/file/d/1N7DioVE8nVNarXeoUxlzEfbz2wPB95Wq/view?usp=drivesdk" TargetMode="External"/><Relationship Id="rId8738" Type="http://schemas.openxmlformats.org/officeDocument/2006/relationships/hyperlink" Target="https://drive.google.com/file/d/1YE-OA3DkoLwixL8UeI2w0vRvBPjlyG_r/view?usp=drivesdk" TargetMode="External"/><Relationship Id="rId7406" Type="http://schemas.openxmlformats.org/officeDocument/2006/relationships/hyperlink" Target="https://drive.google.com/file/d/1aCRcA9ey74llzSZMRc5qatA9L79XZp8O/view?usp=drivesdk" TargetMode="External"/><Relationship Id="rId8737" Type="http://schemas.openxmlformats.org/officeDocument/2006/relationships/hyperlink" Target="https://drive.google.com/file/d/1Q5XtFuv9rz2bqg9uS7lIYhGHmJ7POdnK/view?usp=drivesdk" TargetMode="External"/><Relationship Id="rId7401" Type="http://schemas.openxmlformats.org/officeDocument/2006/relationships/hyperlink" Target="https://drive.google.com/file/d/1OASDUe14ehzCiPNR6g1AR5_iIVCQGKPR/view?usp=drivesdk" TargetMode="External"/><Relationship Id="rId8732" Type="http://schemas.openxmlformats.org/officeDocument/2006/relationships/hyperlink" Target="https://drive.google.com/file/d/1wkTf8kj1PamwGhnpMwbPp0iLjWSxm76n/view?usp=drivesdk" TargetMode="External"/><Relationship Id="rId7400" Type="http://schemas.openxmlformats.org/officeDocument/2006/relationships/hyperlink" Target="https://drive.google.com/file/d/18d4Xav4QKIhg_cao1uMV-fi5x2CiSv9m/view?usp=drivesdk" TargetMode="External"/><Relationship Id="rId8731" Type="http://schemas.openxmlformats.org/officeDocument/2006/relationships/hyperlink" Target="https://drive.google.com/file/d/1KmEgceW8_PX7jVxBL9IJbTY4G5FMpJhZ/view?usp=drivesdk" TargetMode="External"/><Relationship Id="rId8730" Type="http://schemas.openxmlformats.org/officeDocument/2006/relationships/hyperlink" Target="https://drive.google.com/file/d/1leyD01ipoE6FsWRfwXTE2iXIsxeMXuDY/view?usp=drivesdk" TargetMode="External"/><Relationship Id="rId7405" Type="http://schemas.openxmlformats.org/officeDocument/2006/relationships/hyperlink" Target="https://drive.google.com/file/d/1sWrxlxzOgpyq8NRYbXVqiVMhcCVFOz1Y/view?usp=drivesdk" TargetMode="External"/><Relationship Id="rId8736" Type="http://schemas.openxmlformats.org/officeDocument/2006/relationships/hyperlink" Target="https://drive.google.com/file/d/1Wd-Gx1eAgYw29oQMOSgMkvQ2iDU2KrUx/view?usp=drivesdk" TargetMode="External"/><Relationship Id="rId7404" Type="http://schemas.openxmlformats.org/officeDocument/2006/relationships/hyperlink" Target="https://drive.google.com/file/d/1OHTbSmxmxYabF6Cv-EjGyQ4T9EPPGLI5/view?usp=drivesdk" TargetMode="External"/><Relationship Id="rId8735" Type="http://schemas.openxmlformats.org/officeDocument/2006/relationships/hyperlink" Target="https://drive.google.com/file/d/1xSiq0v4IEjfvlkod4vEijROL3xXtxl0z/view?usp=drivesdk" TargetMode="External"/><Relationship Id="rId7403" Type="http://schemas.openxmlformats.org/officeDocument/2006/relationships/hyperlink" Target="https://drive.google.com/file/d/1NOlPhIzleJkK9mhS1c5FO0KodZdZ3A7g/view?usp=drivesdk" TargetMode="External"/><Relationship Id="rId8734" Type="http://schemas.openxmlformats.org/officeDocument/2006/relationships/hyperlink" Target="https://drive.google.com/file/d/1_CLMqLAskV4VS3L6VjFhFQpA8uArnOqJ/view?usp=drivesdk" TargetMode="External"/><Relationship Id="rId7402" Type="http://schemas.openxmlformats.org/officeDocument/2006/relationships/hyperlink" Target="https://drive.google.com/file/d/10WRVMfrt6osVDiQdvutaSyrMWwElOEXy/view?usp=drivesdk" TargetMode="External"/><Relationship Id="rId8733" Type="http://schemas.openxmlformats.org/officeDocument/2006/relationships/hyperlink" Target="https://drive.google.com/file/d/1z0CU5QkWf9HdxbN3k2mDyOmoi0cP3WV3/view?usp=drivesdk" TargetMode="External"/><Relationship Id="rId3911" Type="http://schemas.openxmlformats.org/officeDocument/2006/relationships/hyperlink" Target="https://drive.google.com/file/d/1RgkO1TidRd2F4MjZz0JZcPMd1W0eL4ag/view?usp=drivesdk" TargetMode="External"/><Relationship Id="rId3910" Type="http://schemas.openxmlformats.org/officeDocument/2006/relationships/hyperlink" Target="https://drive.google.com/file/d/1o66T7xkQ-WxJ6VQ-1XRP-jTDZdDTLs9P/view?usp=drivesdk" TargetMode="External"/><Relationship Id="rId3913" Type="http://schemas.openxmlformats.org/officeDocument/2006/relationships/hyperlink" Target="https://drive.google.com/file/d/1tknJEyOCFWwXXmz-DX4XoU1xkjDM29mB/view?usp=drivesdk" TargetMode="External"/><Relationship Id="rId3912" Type="http://schemas.openxmlformats.org/officeDocument/2006/relationships/hyperlink" Target="https://drive.google.com/file/d/1C8JY0RJrToXMiJSU8wWW214CxnnvZ8qO/view?usp=drivesdk" TargetMode="External"/><Relationship Id="rId3915" Type="http://schemas.openxmlformats.org/officeDocument/2006/relationships/hyperlink" Target="https://drive.google.com/file/d/1KfAFa3Zh9KIKNSGh7f5YD-UpG-mu0RAi/view?usp=drivesdk" TargetMode="External"/><Relationship Id="rId3914" Type="http://schemas.openxmlformats.org/officeDocument/2006/relationships/hyperlink" Target="https://drive.google.com/file/d/11_qcIgz88fl4JMJK_71FQW0mYhW9B_Mq/view?usp=drivesdk" TargetMode="External"/><Relationship Id="rId3917" Type="http://schemas.openxmlformats.org/officeDocument/2006/relationships/hyperlink" Target="https://drive.google.com/file/d/1NvoAv50dUCvSPuDInf8-lwFH9NylOWG0/view?usp=drivesdk" TargetMode="External"/><Relationship Id="rId3916" Type="http://schemas.openxmlformats.org/officeDocument/2006/relationships/hyperlink" Target="https://drive.google.com/file/d/1ZPY_f7vUMxOi6hh_sQVljiPz1gtRN_cD/view?usp=drivesdk" TargetMode="External"/><Relationship Id="rId3919" Type="http://schemas.openxmlformats.org/officeDocument/2006/relationships/hyperlink" Target="https://drive.google.com/file/d/1x3LJj_xc2CxTQxFFJKXQXQxhE4mtAHfL/view?usp=drivesdk" TargetMode="External"/><Relationship Id="rId3918" Type="http://schemas.openxmlformats.org/officeDocument/2006/relationships/hyperlink" Target="https://drive.google.com/file/d/11TtvGm60JIOncxkpVH7euKh6fdOFi1TV/view?usp=drivesdk" TargetMode="External"/><Relationship Id="rId6190" Type="http://schemas.openxmlformats.org/officeDocument/2006/relationships/hyperlink" Target="https://drive.google.com/file/d/1tYu-oBEkQrghMH0AJQoUMfAtGNcSr7Gv/view?usp=drivesdk" TargetMode="External"/><Relationship Id="rId6182" Type="http://schemas.openxmlformats.org/officeDocument/2006/relationships/hyperlink" Target="https://drive.google.com/file/d/1dZ9c1U7jVBFRGNlbf2o4TEPsFKw_YAL5/view?usp=drivesdk" TargetMode="External"/><Relationship Id="rId6183" Type="http://schemas.openxmlformats.org/officeDocument/2006/relationships/hyperlink" Target="https://drive.google.com/file/d/1oMVy8Yb-pZoxUfv1bMqNY27ZEmi7ljt-/view?usp=drivesdk" TargetMode="External"/><Relationship Id="rId6180" Type="http://schemas.openxmlformats.org/officeDocument/2006/relationships/hyperlink" Target="https://drive.google.com/file/d/1VoqWKgFHoWK0FvLMsQUClsY4lXrSP4sV/view?usp=drivesdk" TargetMode="External"/><Relationship Id="rId6181" Type="http://schemas.openxmlformats.org/officeDocument/2006/relationships/hyperlink" Target="https://drive.google.com/file/d/1cKKA6DKhDZTZMB_AlJSLcgUvgCt5ovcO/view?usp=drivesdk" TargetMode="External"/><Relationship Id="rId6186" Type="http://schemas.openxmlformats.org/officeDocument/2006/relationships/hyperlink" Target="https://drive.google.com/file/d/1Mo9qgvA2W4_9FViph1HDHKxJGnDzN1EM/view?usp=drivesdk" TargetMode="External"/><Relationship Id="rId6187" Type="http://schemas.openxmlformats.org/officeDocument/2006/relationships/hyperlink" Target="https://drive.google.com/file/d/1B-9U3l8rwaLKneZvlhUzhBcuao8x0qkm/view?usp=drivesdk" TargetMode="External"/><Relationship Id="rId6184" Type="http://schemas.openxmlformats.org/officeDocument/2006/relationships/hyperlink" Target="https://drive.google.com/file/d/1Ctbni6Fvkxn1rSOtWtxenQntnsJwhUbH/view?usp=drivesdk" TargetMode="External"/><Relationship Id="rId6185" Type="http://schemas.openxmlformats.org/officeDocument/2006/relationships/hyperlink" Target="https://drive.google.com/file/d/1LLODYLXnFElZoCGMMRFq_oEpfsMW0Ggn/view?usp=drivesdk" TargetMode="External"/><Relationship Id="rId6188" Type="http://schemas.openxmlformats.org/officeDocument/2006/relationships/hyperlink" Target="https://drive.google.com/file/d/1CMSs4LUgFIoZnxh0_bl_F3XO-FhsPuCx/view?usp=drivesdk" TargetMode="External"/><Relationship Id="rId6189" Type="http://schemas.openxmlformats.org/officeDocument/2006/relationships/hyperlink" Target="https://drive.google.com/file/d/1gwVu5wZ6DZNy6lEJD9IpwXOXnjLBejvG/view?usp=drivesdk" TargetMode="External"/><Relationship Id="rId3900" Type="http://schemas.openxmlformats.org/officeDocument/2006/relationships/hyperlink" Target="https://drive.google.com/file/d/1tbvJT7iAevZ6EUB8HTCdILUwSsfI_Hei/view?usp=drivesdk" TargetMode="External"/><Relationship Id="rId3902" Type="http://schemas.openxmlformats.org/officeDocument/2006/relationships/hyperlink" Target="https://drive.google.com/file/d/1siJOTNCP6yQWj-UEwYVGhmz4LxY4iLzf/view?usp=drivesdk" TargetMode="External"/><Relationship Id="rId3901" Type="http://schemas.openxmlformats.org/officeDocument/2006/relationships/hyperlink" Target="https://drive.google.com/file/d/13D1_UKXmAW3Sx4l3ZJABBWI9Hi1laaPF/view?usp=drivesdk" TargetMode="External"/><Relationship Id="rId3904" Type="http://schemas.openxmlformats.org/officeDocument/2006/relationships/hyperlink" Target="https://drive.google.com/file/d/1NaRS69-aPMyPaptmQB4S95KteVgZNYht/view?usp=drivesdk" TargetMode="External"/><Relationship Id="rId3903" Type="http://schemas.openxmlformats.org/officeDocument/2006/relationships/hyperlink" Target="https://drive.google.com/file/d/1ykAphPyluLwmIjXblI1hPf_aW-eoFCrM/view?usp=drivesdk" TargetMode="External"/><Relationship Id="rId3906" Type="http://schemas.openxmlformats.org/officeDocument/2006/relationships/hyperlink" Target="https://drive.google.com/file/d/1h4smVz0tQ-mHUhVaqsFuDoL60lcyPFAK/view?usp=drivesdk" TargetMode="External"/><Relationship Id="rId3905" Type="http://schemas.openxmlformats.org/officeDocument/2006/relationships/hyperlink" Target="https://drive.google.com/file/d/15wchgWMcoDNxxbE4Ya-eXhpD_JM-3SKE/view?usp=drivesdk" TargetMode="External"/><Relationship Id="rId3908" Type="http://schemas.openxmlformats.org/officeDocument/2006/relationships/hyperlink" Target="https://drive.google.com/file/d/11oXOVuy7bxZlSZV2TnUD-Hw3MiRaQxMp/view?usp=drivesdk" TargetMode="External"/><Relationship Id="rId3907" Type="http://schemas.openxmlformats.org/officeDocument/2006/relationships/hyperlink" Target="https://drive.google.com/file/d/10XmY7HiBsk_vMFIaB4_nRcdc4PGA-842/view?usp=drivesdk" TargetMode="External"/><Relationship Id="rId3909" Type="http://schemas.openxmlformats.org/officeDocument/2006/relationships/hyperlink" Target="https://drive.google.com/file/d/1Ehbtb_vYX6TTuiXXre0hMqMd-aFFClDT/view?usp=drivesdk" TargetMode="External"/><Relationship Id="rId6171" Type="http://schemas.openxmlformats.org/officeDocument/2006/relationships/hyperlink" Target="https://drive.google.com/file/d/1hFT3ltPVz-qNLEFPsArIli1EBu0njR4f/view?usp=drivesdk" TargetMode="External"/><Relationship Id="rId6172" Type="http://schemas.openxmlformats.org/officeDocument/2006/relationships/hyperlink" Target="https://drive.google.com/file/d/1pkNEgjQpHt-a_J0Y7RMia-UZ9pLjuUgx/view?usp=drivesdk" TargetMode="External"/><Relationship Id="rId6170" Type="http://schemas.openxmlformats.org/officeDocument/2006/relationships/hyperlink" Target="https://drive.google.com/file/d/13HKQvnt3Pm5MoxNuIKVtiMwRFKtytvqc/view?usp=drivesdk" TargetMode="External"/><Relationship Id="rId6175" Type="http://schemas.openxmlformats.org/officeDocument/2006/relationships/hyperlink" Target="https://drive.google.com/file/d/1h0tVzitF8CgTjk8pKcox76EzUsK3ryvk/view?usp=drivesdk" TargetMode="External"/><Relationship Id="rId6176" Type="http://schemas.openxmlformats.org/officeDocument/2006/relationships/hyperlink" Target="https://drive.google.com/file/d/1BwW7F9Y4H0RPD8bmqG4UPdIlGpkJmRPm/view?usp=drivesdk" TargetMode="External"/><Relationship Id="rId6173" Type="http://schemas.openxmlformats.org/officeDocument/2006/relationships/hyperlink" Target="https://drive.google.com/file/d/1MSRbK3tFKooHgaB1krydhW8QIp6zCbGi/view?usp=drivesdk" TargetMode="External"/><Relationship Id="rId6174" Type="http://schemas.openxmlformats.org/officeDocument/2006/relationships/hyperlink" Target="https://drive.google.com/file/d/1AkPY0tEutvEhU4vMycaEQSNYNrdZ3yr7/view?usp=drivesdk" TargetMode="External"/><Relationship Id="rId6179" Type="http://schemas.openxmlformats.org/officeDocument/2006/relationships/hyperlink" Target="https://drive.google.com/file/d/1Lbou5B1uIWn_WGyfRcykHWOWoQwT7_1R/view?usp=drivesdk" TargetMode="External"/><Relationship Id="rId6177" Type="http://schemas.openxmlformats.org/officeDocument/2006/relationships/hyperlink" Target="https://drive.google.com/file/d/1VOcKOuSZDbT8cHwmwqR_WBzaUDqrIbcr/view?usp=drivesdk" TargetMode="External"/><Relationship Id="rId6178" Type="http://schemas.openxmlformats.org/officeDocument/2006/relationships/hyperlink" Target="https://drive.google.com/file/d/1VJtvYu_XL84ipnn3RHtioRgPOh931lPQ/view?usp=drivesdk" TargetMode="External"/><Relationship Id="rId3931" Type="http://schemas.openxmlformats.org/officeDocument/2006/relationships/hyperlink" Target="https://drive.google.com/file/d/1GC69-OHwbRvUJj5lx2plgbBr8mZXw8JJ/view?usp=drivesdk" TargetMode="External"/><Relationship Id="rId2600" Type="http://schemas.openxmlformats.org/officeDocument/2006/relationships/hyperlink" Target="https://drive.google.com/file/d/1eC-AkqiQf3rmSc4mGcL76YcOOo_PtpyG/view?usp=drivesdk" TargetMode="External"/><Relationship Id="rId3930" Type="http://schemas.openxmlformats.org/officeDocument/2006/relationships/hyperlink" Target="https://drive.google.com/file/d/1WS__-s0tO6v1ZuJ5x5PnOQ3lGJa3fc5e/view?usp=drivesdk" TargetMode="External"/><Relationship Id="rId2601" Type="http://schemas.openxmlformats.org/officeDocument/2006/relationships/hyperlink" Target="https://drive.google.com/file/d/1jF1CgYrY08GwnNa-HDfbu-EWunpqT87E/view?usp=drivesdk" TargetMode="External"/><Relationship Id="rId3933" Type="http://schemas.openxmlformats.org/officeDocument/2006/relationships/hyperlink" Target="https://drive.google.com/file/d/1c99HuAEHheYw9J0rBz11JgohuqDSWWN2/view?usp=drivesdk" TargetMode="External"/><Relationship Id="rId2602" Type="http://schemas.openxmlformats.org/officeDocument/2006/relationships/hyperlink" Target="https://drive.google.com/file/d/1g7go_d2zGS_haWORqNN3jAoIW8glW-ql/view?usp=drivesdk" TargetMode="External"/><Relationship Id="rId3932" Type="http://schemas.openxmlformats.org/officeDocument/2006/relationships/hyperlink" Target="https://drive.google.com/file/d/1TZXqI-VxrIPHv5rHQP3_7QMC8jD9Igjb/view?usp=drivesdk" TargetMode="External"/><Relationship Id="rId2603" Type="http://schemas.openxmlformats.org/officeDocument/2006/relationships/hyperlink" Target="https://drive.google.com/file/d/1huIPyGlinwGh05LrVsHEvOdL3pQLZCHG/view?usp=drivesdk" TargetMode="External"/><Relationship Id="rId3935" Type="http://schemas.openxmlformats.org/officeDocument/2006/relationships/hyperlink" Target="https://drive.google.com/file/d/1klih4lrdDDLJLB79etAE4X1hLF1MkOZ0/view?usp=drivesdk" TargetMode="External"/><Relationship Id="rId2604" Type="http://schemas.openxmlformats.org/officeDocument/2006/relationships/hyperlink" Target="https://drive.google.com/file/d/1UZTUHxvsUIAuLRBntma6Mn84b7HGXHzV/view?usp=drivesdk" TargetMode="External"/><Relationship Id="rId3934" Type="http://schemas.openxmlformats.org/officeDocument/2006/relationships/hyperlink" Target="https://drive.google.com/file/d/1Oeg3KKoD6sqM_cIU0doS3OT_L5tYSM5A/view?usp=drivesdk" TargetMode="External"/><Relationship Id="rId2605" Type="http://schemas.openxmlformats.org/officeDocument/2006/relationships/hyperlink" Target="https://drive.google.com/file/d/1tZumkO0texpm-VZY3OrVahSG9qNC2EzD/view?usp=drivesdk" TargetMode="External"/><Relationship Id="rId3937" Type="http://schemas.openxmlformats.org/officeDocument/2006/relationships/hyperlink" Target="https://drive.google.com/file/d/12n_FcO02qctVN7JKbgeJc4nJYb2mI6wW/view?usp=drivesdk" TargetMode="External"/><Relationship Id="rId2606" Type="http://schemas.openxmlformats.org/officeDocument/2006/relationships/hyperlink" Target="https://drive.google.com/file/d/1c7bX12Hq3K5Utc-OzctW7ayGIbkS3I1S/view?usp=drivesdk" TargetMode="External"/><Relationship Id="rId3936" Type="http://schemas.openxmlformats.org/officeDocument/2006/relationships/hyperlink" Target="https://drive.google.com/file/d/1D92uAG3asacErl00FIRg2s9mcU5dxR4G/view?usp=drivesdk" TargetMode="External"/><Relationship Id="rId808" Type="http://schemas.openxmlformats.org/officeDocument/2006/relationships/hyperlink" Target="https://drive.google.com/file/d/1mSu-iuiBBVA9YcMPSoS0ao40n7HkuQNE/view?usp=drivesdk" TargetMode="External"/><Relationship Id="rId2607" Type="http://schemas.openxmlformats.org/officeDocument/2006/relationships/hyperlink" Target="https://drive.google.com/file/d/1jRryKc7PqBdvh4GNHyyslTQThvTjwjUS/view?usp=drivesdk" TargetMode="External"/><Relationship Id="rId3939" Type="http://schemas.openxmlformats.org/officeDocument/2006/relationships/hyperlink" Target="https://drive.google.com/file/d/1BYhkGaeReSlHP8lc5iwUQP5bENhoAWmn/view?usp=drivesdk" TargetMode="External"/><Relationship Id="rId807" Type="http://schemas.openxmlformats.org/officeDocument/2006/relationships/hyperlink" Target="https://drive.google.com/file/d/1ByO7nPYip69Em4QeTcCmI9i6xJTHHwVt/view?usp=drivesdk" TargetMode="External"/><Relationship Id="rId2608" Type="http://schemas.openxmlformats.org/officeDocument/2006/relationships/hyperlink" Target="https://drive.google.com/file/d/12seBVXcBhgT01WO45AOWzHYwff5x8FrW/view?usp=drivesdk" TargetMode="External"/><Relationship Id="rId3938" Type="http://schemas.openxmlformats.org/officeDocument/2006/relationships/hyperlink" Target="https://drive.google.com/file/d/1CuPmqg1Rz4M8sicyx0paLDr9s01honLZ/view?usp=drivesdk" TargetMode="External"/><Relationship Id="rId806" Type="http://schemas.openxmlformats.org/officeDocument/2006/relationships/hyperlink" Target="https://drive.google.com/file/d/1Z2g5lz5m0ZaliApC8xm_vlABUpw3S2Gt/view?usp=drivesdk" TargetMode="External"/><Relationship Id="rId2609" Type="http://schemas.openxmlformats.org/officeDocument/2006/relationships/hyperlink" Target="https://drive.google.com/file/d/1UjkvoF6T_mnAH-wISOa0hw1B6rmF-eCb/view?usp=drivesdk" TargetMode="External"/><Relationship Id="rId805" Type="http://schemas.openxmlformats.org/officeDocument/2006/relationships/hyperlink" Target="https://drive.google.com/file/d/1qv8pqYN8HDKg2XCWXWBnjgoA10cJZTtX/view?usp=drivesdk" TargetMode="External"/><Relationship Id="rId809" Type="http://schemas.openxmlformats.org/officeDocument/2006/relationships/hyperlink" Target="https://drive.google.com/file/d/19ba6ZlvuUM6JnJc-cWXCtNaWWm6CX1LX/view?usp=drivesdk" TargetMode="External"/><Relationship Id="rId800" Type="http://schemas.openxmlformats.org/officeDocument/2006/relationships/hyperlink" Target="https://drive.google.com/file/d/1-8_2uki5ubDQUbX8NhcwM0UXCK00gACd/view?usp=drivesdk" TargetMode="External"/><Relationship Id="rId804" Type="http://schemas.openxmlformats.org/officeDocument/2006/relationships/hyperlink" Target="https://drive.google.com/file/d/18cUxti698wEl2sY1cltjp-I9yCnvIeTh/view?usp=drivesdk" TargetMode="External"/><Relationship Id="rId803" Type="http://schemas.openxmlformats.org/officeDocument/2006/relationships/hyperlink" Target="https://drive.google.com/file/d/1tloo9JXF_FvbeqA9I49DbflrfJWqJ0ur/view?usp=drivesdk" TargetMode="External"/><Relationship Id="rId802" Type="http://schemas.openxmlformats.org/officeDocument/2006/relationships/hyperlink" Target="https://drive.google.com/file/d/10F999MzluXHRxuFDC1OZS2jsStdx830z/view?usp=drivesdk" TargetMode="External"/><Relationship Id="rId801" Type="http://schemas.openxmlformats.org/officeDocument/2006/relationships/hyperlink" Target="https://drive.google.com/file/d/1u8FvnCJ8znVuBoNVQMioDGiBmtIozd_d/view?usp=drivesdk" TargetMode="External"/><Relationship Id="rId3920" Type="http://schemas.openxmlformats.org/officeDocument/2006/relationships/hyperlink" Target="https://drive.google.com/file/d/1akqKnuGu5fxuFH1fu3qXDAaRND-HqQcP/view?usp=drivesdk" TargetMode="External"/><Relationship Id="rId3922" Type="http://schemas.openxmlformats.org/officeDocument/2006/relationships/hyperlink" Target="https://drive.google.com/file/d/1T1Hra-qHfOWajMyNmLG8nurEvFaDzEVt/view?usp=drivesdk" TargetMode="External"/><Relationship Id="rId3921" Type="http://schemas.openxmlformats.org/officeDocument/2006/relationships/hyperlink" Target="https://drive.google.com/file/d/1FTo-vITqU4Hd41vxS33Grm7cgrBZdeRs/view?usp=drivesdk" TargetMode="External"/><Relationship Id="rId3924" Type="http://schemas.openxmlformats.org/officeDocument/2006/relationships/hyperlink" Target="https://drive.google.com/file/d/1Sojmp5Qqp_fA-1NvsUg8YI6qA0DJMkzF/view?usp=drivesdk" TargetMode="External"/><Relationship Id="rId3923" Type="http://schemas.openxmlformats.org/officeDocument/2006/relationships/hyperlink" Target="https://drive.google.com/file/d/1ySfwusvkdyVb09GM_NNNEmzA7NQamkU4/view?usp=drivesdk" TargetMode="External"/><Relationship Id="rId3926" Type="http://schemas.openxmlformats.org/officeDocument/2006/relationships/hyperlink" Target="https://drive.google.com/file/d/1-fnbGD6lY09Rm4HWR8Zer103KnGnDafD/view?usp=drivesdk" TargetMode="External"/><Relationship Id="rId3925" Type="http://schemas.openxmlformats.org/officeDocument/2006/relationships/hyperlink" Target="https://drive.google.com/file/d/17g2N0ZyxfmuKrJ23KAkU_pW05oui1H_1/view?usp=drivesdk" TargetMode="External"/><Relationship Id="rId3928" Type="http://schemas.openxmlformats.org/officeDocument/2006/relationships/hyperlink" Target="https://drive.google.com/file/d/1nqtxwwou2x1M4z92usdtmAgpNuaDRJDx/view?usp=drivesdk" TargetMode="External"/><Relationship Id="rId3927" Type="http://schemas.openxmlformats.org/officeDocument/2006/relationships/hyperlink" Target="https://drive.google.com/file/d/1dVo4fiiM_A5cWKrkkVDODDZw0X9chL0l/view?usp=drivesdk" TargetMode="External"/><Relationship Id="rId3929" Type="http://schemas.openxmlformats.org/officeDocument/2006/relationships/hyperlink" Target="https://drive.google.com/file/d/1kIV7yPd9dilBA4oaIUR4zFGe_Vid85aj/view?usp=drivesdk" TargetMode="External"/><Relationship Id="rId6193" Type="http://schemas.openxmlformats.org/officeDocument/2006/relationships/hyperlink" Target="https://drive.google.com/file/d/1qVG-ZYHLvip9lKOOeWxVFfUVsZCaSBGl/view?usp=drivesdk" TargetMode="External"/><Relationship Id="rId6194" Type="http://schemas.openxmlformats.org/officeDocument/2006/relationships/hyperlink" Target="https://drive.google.com/file/d/1EFjmhqN7E-LrbrQ62QqvL60nheqac07N/view?usp=drivesdk" TargetMode="External"/><Relationship Id="rId6191" Type="http://schemas.openxmlformats.org/officeDocument/2006/relationships/hyperlink" Target="https://drive.google.com/file/d/1bQWQpyUTQb-EPad9ogl5zTTfOIj9O06C/view?usp=drivesdk" TargetMode="External"/><Relationship Id="rId6192" Type="http://schemas.openxmlformats.org/officeDocument/2006/relationships/hyperlink" Target="https://drive.google.com/file/d/1OGyzko4P40JsvoeAtQ7DYDEqA7yYla7w/view?usp=drivesdk" TargetMode="External"/><Relationship Id="rId6197" Type="http://schemas.openxmlformats.org/officeDocument/2006/relationships/hyperlink" Target="https://drive.google.com/file/d/1O4Sx-wmRY1gp_OSXaI221kWfJgqVazz2/view?usp=drivesdk" TargetMode="External"/><Relationship Id="rId6198" Type="http://schemas.openxmlformats.org/officeDocument/2006/relationships/hyperlink" Target="https://drive.google.com/file/d/1cDQeP_Kf6BPPIxrNu2WvmagV87dXeoAr/view?usp=drivesdk" TargetMode="External"/><Relationship Id="rId6195" Type="http://schemas.openxmlformats.org/officeDocument/2006/relationships/hyperlink" Target="https://drive.google.com/file/d/1fgZ6d3XjZTGpZ2njh0er6ikQlWp78DCx/view?usp=drivesdk" TargetMode="External"/><Relationship Id="rId6196" Type="http://schemas.openxmlformats.org/officeDocument/2006/relationships/hyperlink" Target="https://drive.google.com/file/d/1QpEcq6Q3CZW8vSllztUs-RcuZEgR1P10/view?usp=drivesdk" TargetMode="External"/><Relationship Id="rId6199" Type="http://schemas.openxmlformats.org/officeDocument/2006/relationships/hyperlink" Target="https://drive.google.com/file/d/1jIvtX3A5udorWWRw4uQbC4ehcIUSMC7s/view?usp=drivesdk" TargetMode="External"/><Relationship Id="rId7470" Type="http://schemas.openxmlformats.org/officeDocument/2006/relationships/hyperlink" Target="https://drive.google.com/file/d/1bdCx1bVLw5z5_Ku1P8ehIZet2OAjTVI7/view?usp=drivesdk" TargetMode="External"/><Relationship Id="rId6142" Type="http://schemas.openxmlformats.org/officeDocument/2006/relationships/hyperlink" Target="https://drive.google.com/file/d/13Z63ep967QM4TSngZAT0K6I1lgeeJyth/view?usp=drivesdk" TargetMode="External"/><Relationship Id="rId7474" Type="http://schemas.openxmlformats.org/officeDocument/2006/relationships/hyperlink" Target="https://drive.google.com/file/d/1jb6gy_gJoqFrNJmkULM8DuF2YSg9ZeBl/view?usp=drivesdk" TargetMode="External"/><Relationship Id="rId6143" Type="http://schemas.openxmlformats.org/officeDocument/2006/relationships/hyperlink" Target="https://drive.google.com/file/d/1mpG2P9xz0Cq_5zEvXEKqYR0kGZf3Q5uw/view?usp=drivesdk" TargetMode="External"/><Relationship Id="rId7473" Type="http://schemas.openxmlformats.org/officeDocument/2006/relationships/hyperlink" Target="https://drive.google.com/file/d/1FStxbA1hf7YK6GRvbDx-4HWEH9lQPgqY/view?usp=drivesdk" TargetMode="External"/><Relationship Id="rId6140" Type="http://schemas.openxmlformats.org/officeDocument/2006/relationships/hyperlink" Target="https://drive.google.com/file/d/1elmCfazCs2iSWS2bd60FYtzB4dctPGat/view?usp=drivesdk" TargetMode="External"/><Relationship Id="rId7472" Type="http://schemas.openxmlformats.org/officeDocument/2006/relationships/hyperlink" Target="https://drive.google.com/file/d/1_RPwgO1yeTdj7OFL85GjQJvfq7ExrCAk/view?usp=drivesdk" TargetMode="External"/><Relationship Id="rId6141" Type="http://schemas.openxmlformats.org/officeDocument/2006/relationships/hyperlink" Target="https://drive.google.com/file/d/1h0BAzbpZ9fZ2_dqfXLz57CdL1HqAItiD/view?usp=drivesdk" TargetMode="External"/><Relationship Id="rId7471" Type="http://schemas.openxmlformats.org/officeDocument/2006/relationships/hyperlink" Target="https://drive.google.com/file/d/11lo_epVt0S0qloV2rnp6-8FCahG7PSrR/view?usp=drivesdk" TargetMode="External"/><Relationship Id="rId6146" Type="http://schemas.openxmlformats.org/officeDocument/2006/relationships/hyperlink" Target="https://drive.google.com/file/d/1u3Jdz0ZihoypyMVI8p4ekt1WzWnSe4SM/view?usp=drivesdk" TargetMode="External"/><Relationship Id="rId7478" Type="http://schemas.openxmlformats.org/officeDocument/2006/relationships/hyperlink" Target="https://drive.google.com/file/d/1Gpi1JdudmG4U7kpoouYOTmKrDuOiNgba/view?usp=drivesdk" TargetMode="External"/><Relationship Id="rId6147" Type="http://schemas.openxmlformats.org/officeDocument/2006/relationships/hyperlink" Target="https://drive.google.com/file/d/1y41A4B24jVwVCBHgRuX2YWc9rvG7vZmr/view?usp=drivesdk" TargetMode="External"/><Relationship Id="rId7477" Type="http://schemas.openxmlformats.org/officeDocument/2006/relationships/hyperlink" Target="https://drive.google.com/file/d/1BwfDyoDiYwHbpaWq4yB_LAStFZ5uRLTz/view?usp=drivesdk" TargetMode="External"/><Relationship Id="rId6144" Type="http://schemas.openxmlformats.org/officeDocument/2006/relationships/hyperlink" Target="https://drive.google.com/file/d/14wBu7j0WSu1rGxzcdbDtnKxdJ3M-8b0A/view?usp=drivesdk" TargetMode="External"/><Relationship Id="rId7476" Type="http://schemas.openxmlformats.org/officeDocument/2006/relationships/hyperlink" Target="https://drive.google.com/file/d/1N7X4ncn81A825CsYmWg1rmF3CONmA4B1/view?usp=drivesdk" TargetMode="External"/><Relationship Id="rId6145" Type="http://schemas.openxmlformats.org/officeDocument/2006/relationships/hyperlink" Target="https://drive.google.com/file/d/1_IKygdKHEpj65TKngvxVmdLCaUpXHbqQ/view?usp=drivesdk" TargetMode="External"/><Relationship Id="rId7475" Type="http://schemas.openxmlformats.org/officeDocument/2006/relationships/hyperlink" Target="https://drive.google.com/file/d/1llZJQ2th9Q1SRU8qaHzwRkn3g4eYT7MZ/view?usp=drivesdk" TargetMode="External"/><Relationship Id="rId6148" Type="http://schemas.openxmlformats.org/officeDocument/2006/relationships/hyperlink" Target="https://drive.google.com/file/d/1VKJIYY1_UFLm8DwALxOVpzDjgo7f22fS/view?usp=drivesdk" TargetMode="External"/><Relationship Id="rId6149" Type="http://schemas.openxmlformats.org/officeDocument/2006/relationships/hyperlink" Target="https://drive.google.com/file/d/1ToxIqaempqm82BlTroro__VlmZdV9SCH/view?usp=drivesdk" TargetMode="External"/><Relationship Id="rId7479" Type="http://schemas.openxmlformats.org/officeDocument/2006/relationships/hyperlink" Target="https://drive.google.com/file/d/1S-G5L7xtT5vAz3KhiMxm-WADbIcjFN7e/view?usp=drivesdk" TargetMode="External"/><Relationship Id="rId8790" Type="http://schemas.openxmlformats.org/officeDocument/2006/relationships/hyperlink" Target="https://drive.google.com/file/d/1gYnNMIyHRtZEwlBmqTpp4XL6dp6Q0YJT/view?usp=drivesdk" TargetMode="External"/><Relationship Id="rId6131" Type="http://schemas.openxmlformats.org/officeDocument/2006/relationships/hyperlink" Target="https://drive.google.com/file/d/1dG4YQ3fwYfwXBlsf8EVVrfbQBFYjuaMP/view?usp=drivesdk" TargetMode="External"/><Relationship Id="rId7463" Type="http://schemas.openxmlformats.org/officeDocument/2006/relationships/hyperlink" Target="https://drive.google.com/file/d/16qaRLHXyE2FHOx3cWJ8uvMTKWTsUxYq5/view?usp=drivesdk" TargetMode="External"/><Relationship Id="rId8794" Type="http://schemas.openxmlformats.org/officeDocument/2006/relationships/hyperlink" Target="https://drive.google.com/file/d/1_OsWxntCqXq2T2QUQ9bL37TRqZnhqAki/view?usp=drivesdk" TargetMode="External"/><Relationship Id="rId6132" Type="http://schemas.openxmlformats.org/officeDocument/2006/relationships/hyperlink" Target="https://drive.google.com/file/d/1lxgnRvxpWMrMmnRKrRteW_A0IueHhA6K/view?usp=drivesdk" TargetMode="External"/><Relationship Id="rId7462" Type="http://schemas.openxmlformats.org/officeDocument/2006/relationships/hyperlink" Target="https://drive.google.com/file/d/1aNfHCLYeg7tjagMAL0ys-fh-_ZnacOyc/view?usp=drivesdk" TargetMode="External"/><Relationship Id="rId8793" Type="http://schemas.openxmlformats.org/officeDocument/2006/relationships/hyperlink" Target="https://drive.google.com/file/d/1C0DbeGJ-J8oAkifprVvoAzXg1fXWifUf/view?usp=drivesdk" TargetMode="External"/><Relationship Id="rId7461" Type="http://schemas.openxmlformats.org/officeDocument/2006/relationships/hyperlink" Target="https://drive.google.com/file/d/1C3SQ5DOhmXbpKKKE22nK58mzwzdqdgG7/view?usp=drivesdk" TargetMode="External"/><Relationship Id="rId8792" Type="http://schemas.openxmlformats.org/officeDocument/2006/relationships/hyperlink" Target="https://drive.google.com/file/d/1qfyhlG_Ys7JY0IbDjhBQO-4etUWIes3a/view?usp=drivesdk" TargetMode="External"/><Relationship Id="rId6130" Type="http://schemas.openxmlformats.org/officeDocument/2006/relationships/hyperlink" Target="https://drive.google.com/file/d/1f6ap0jedT72BzT0shrx5XKkjsQRMGIra/view?usp=drivesdk" TargetMode="External"/><Relationship Id="rId7460" Type="http://schemas.openxmlformats.org/officeDocument/2006/relationships/hyperlink" Target="https://drive.google.com/file/d/1waYLR03M2u0RjQ8bxIuKfB3y-M-mIDON/view?usp=drivesdk" TargetMode="External"/><Relationship Id="rId8791" Type="http://schemas.openxmlformats.org/officeDocument/2006/relationships/hyperlink" Target="https://drive.google.com/file/d/1IzEJ7DeGa8RHSWo2iZQEA6q1oRe0VCbp/view?usp=drivesdk" TargetMode="External"/><Relationship Id="rId6135" Type="http://schemas.openxmlformats.org/officeDocument/2006/relationships/hyperlink" Target="https://drive.google.com/file/d/10WVOTuM7_mbOwU-shmouh6PmCZAveolg/view?usp=drivesdk" TargetMode="External"/><Relationship Id="rId7467" Type="http://schemas.openxmlformats.org/officeDocument/2006/relationships/hyperlink" Target="https://drive.google.com/file/d/11qSq5_APo0O8WTicMoIlWJlDGNfwOC0F/view?usp=drivesdk" TargetMode="External"/><Relationship Id="rId8798" Type="http://schemas.openxmlformats.org/officeDocument/2006/relationships/hyperlink" Target="https://drive.google.com/file/d/1Qnw-3Yqltat8KcFFxZwq8JZG21IqVaXy/view?usp=drivesdk" TargetMode="External"/><Relationship Id="rId6136" Type="http://schemas.openxmlformats.org/officeDocument/2006/relationships/hyperlink" Target="https://drive.google.com/file/d/1xUKeNY9qg-6XNkLkU6H3f9gjnPoVWqgV/view?usp=drivesdk" TargetMode="External"/><Relationship Id="rId7466" Type="http://schemas.openxmlformats.org/officeDocument/2006/relationships/hyperlink" Target="https://drive.google.com/file/d/1G5Q1IL34O_6O601HYSUUaZWle4paro9Y/view?usp=drivesdk" TargetMode="External"/><Relationship Id="rId8797" Type="http://schemas.openxmlformats.org/officeDocument/2006/relationships/hyperlink" Target="https://drive.google.com/file/d/1WO3OTvBcGQ-N_OnTKOatM7Of0poJWEM4/view?usp=drivesdk" TargetMode="External"/><Relationship Id="rId6133" Type="http://schemas.openxmlformats.org/officeDocument/2006/relationships/hyperlink" Target="https://drive.google.com/file/d/17bb6v1lGlXF-ZU8Ft2BKMUssifwQ4cEN/view?usp=drivesdk" TargetMode="External"/><Relationship Id="rId7465" Type="http://schemas.openxmlformats.org/officeDocument/2006/relationships/hyperlink" Target="https://drive.google.com/file/d/1o3d5Tcit6XqWhh588dyCmxOSNDhxwjTg/view?usp=drivesdk" TargetMode="External"/><Relationship Id="rId8796" Type="http://schemas.openxmlformats.org/officeDocument/2006/relationships/hyperlink" Target="https://drive.google.com/file/d/1MbYizd-Z90ESKTZwe1y2XerQu5zOCX1d/view?usp=drivesdk" TargetMode="External"/><Relationship Id="rId6134" Type="http://schemas.openxmlformats.org/officeDocument/2006/relationships/hyperlink" Target="https://drive.google.com/file/d/1cqc9H3A3ewQy6tMu8W2gnl_fE4t2Ypds/view?usp=drivesdk" TargetMode="External"/><Relationship Id="rId7464" Type="http://schemas.openxmlformats.org/officeDocument/2006/relationships/hyperlink" Target="https://drive.google.com/file/d/1XfaU_FEB4kdvlh3uLiMPQwXi4oU_21me/view?usp=drivesdk" TargetMode="External"/><Relationship Id="rId8795" Type="http://schemas.openxmlformats.org/officeDocument/2006/relationships/hyperlink" Target="https://drive.google.com/file/d/1Wu3xyU937oCZ264TUM43gCurWQ3v4Zu8/view?usp=drivesdk" TargetMode="External"/><Relationship Id="rId6139" Type="http://schemas.openxmlformats.org/officeDocument/2006/relationships/hyperlink" Target="https://drive.google.com/file/d/1Nx9aeSESh8TA07k8yfHeIf9dmQH240U-/view?usp=drivesdk" TargetMode="External"/><Relationship Id="rId6137" Type="http://schemas.openxmlformats.org/officeDocument/2006/relationships/hyperlink" Target="https://drive.google.com/file/d/1IdkXmO8HYh5l0Kt6mRAY3lGo41ghno39/view?usp=drivesdk" TargetMode="External"/><Relationship Id="rId7469" Type="http://schemas.openxmlformats.org/officeDocument/2006/relationships/hyperlink" Target="https://drive.google.com/file/d/1GhFBhq3UBOveyZDctF-oDfyH8E92k30I/view?usp=drivesdk" TargetMode="External"/><Relationship Id="rId6138" Type="http://schemas.openxmlformats.org/officeDocument/2006/relationships/hyperlink" Target="https://drive.google.com/file/d/1qQ0uBng8ZK3sYFU_Qa4Y5fep5A-8G-IS/view?usp=drivesdk" TargetMode="External"/><Relationship Id="rId7468" Type="http://schemas.openxmlformats.org/officeDocument/2006/relationships/hyperlink" Target="https://drive.google.com/file/d/17_NcnZg7zMVw6OzbgDDLWIGrJysuKF_C/view?usp=drivesdk" TargetMode="External"/><Relationship Id="rId8799" Type="http://schemas.openxmlformats.org/officeDocument/2006/relationships/hyperlink" Target="https://drive.google.com/file/d/1cqaAbgyLXqoMVLtHX9oKK2mH8IfwLLph/view?usp=drivesdk" TargetMode="External"/><Relationship Id="rId6160" Type="http://schemas.openxmlformats.org/officeDocument/2006/relationships/hyperlink" Target="https://drive.google.com/file/d/1HxxHRjdBUdyOklnLOjR_Mg-1NRa6N2IL/view?usp=drivesdk" TargetMode="External"/><Relationship Id="rId7492" Type="http://schemas.openxmlformats.org/officeDocument/2006/relationships/hyperlink" Target="https://drive.google.com/file/d/1tlQzJP0vUybs6RVdz-uXZgtdDoEUUn7-/view?usp=drivesdk" TargetMode="External"/><Relationship Id="rId6161" Type="http://schemas.openxmlformats.org/officeDocument/2006/relationships/hyperlink" Target="https://drive.google.com/file/d/1cp4k18277jBy9O0zRaOGL-edUZBYFg3K/view?usp=drivesdk" TargetMode="External"/><Relationship Id="rId7491" Type="http://schemas.openxmlformats.org/officeDocument/2006/relationships/hyperlink" Target="https://drive.google.com/file/d/1ceLMQZWlz-l50Fj6qEIFMbNPhx_1Za-F/view?usp=drivesdk" TargetMode="External"/><Relationship Id="rId7490" Type="http://schemas.openxmlformats.org/officeDocument/2006/relationships/hyperlink" Target="https://drive.google.com/file/d/1dZh9t3PNwf5_REh2Lm1nKF3M2_bPfOuZ/view?usp=drivesdk" TargetMode="External"/><Relationship Id="rId6164" Type="http://schemas.openxmlformats.org/officeDocument/2006/relationships/hyperlink" Target="https://drive.google.com/file/d/1nEgRf2QqmnDkvdz23XWG_Evq_HPGXdum/view?usp=drivesdk" TargetMode="External"/><Relationship Id="rId7496" Type="http://schemas.openxmlformats.org/officeDocument/2006/relationships/hyperlink" Target="https://drive.google.com/file/d/1kpsNVJEruX5XuGgXAYCQUvmxS9TVD08Q/view?usp=drivesdk" TargetMode="External"/><Relationship Id="rId6165" Type="http://schemas.openxmlformats.org/officeDocument/2006/relationships/hyperlink" Target="https://drive.google.com/file/d/1ULSX9mXDaLgcdThx79ECnZkuVuFob7Tp/view?usp=drivesdk" TargetMode="External"/><Relationship Id="rId7495" Type="http://schemas.openxmlformats.org/officeDocument/2006/relationships/hyperlink" Target="https://drive.google.com/file/d/1nNdfxerLpU_EY6caxMb8WpEjfeYpIUwt/view?usp=drivesdk" TargetMode="External"/><Relationship Id="rId6162" Type="http://schemas.openxmlformats.org/officeDocument/2006/relationships/hyperlink" Target="https://drive.google.com/file/d/15Si0nwc-I_tDEsJ8fKtXzENykM1OCQAU/view?usp=drivesdk" TargetMode="External"/><Relationship Id="rId7494" Type="http://schemas.openxmlformats.org/officeDocument/2006/relationships/hyperlink" Target="https://drive.google.com/file/d/1lxcFW4JB7D7rfaVOWl9aCpTN--2DcgKV/view?usp=drivesdk" TargetMode="External"/><Relationship Id="rId6163" Type="http://schemas.openxmlformats.org/officeDocument/2006/relationships/hyperlink" Target="https://drive.google.com/file/d/1fj8zRMV7gsz9k8gxG-H2ULHInkzX2qkc/view?usp=drivesdk" TargetMode="External"/><Relationship Id="rId7493" Type="http://schemas.openxmlformats.org/officeDocument/2006/relationships/hyperlink" Target="https://drive.google.com/file/d/1qLFQ32l07OotLq5WxeORCVkyPhpS_9L_/view?usp=drivesdk" TargetMode="External"/><Relationship Id="rId6168" Type="http://schemas.openxmlformats.org/officeDocument/2006/relationships/hyperlink" Target="https://drive.google.com/file/d/13SutD2fI_kjaf_AHNjCfs4SB36CGmS9X/view?usp=drivesdk" TargetMode="External"/><Relationship Id="rId6169" Type="http://schemas.openxmlformats.org/officeDocument/2006/relationships/hyperlink" Target="https://drive.google.com/file/d/1sWZoTBq4pZDwTt7VCQOUah7D7DUWVL3p/view?usp=drivesdk" TargetMode="External"/><Relationship Id="rId7499" Type="http://schemas.openxmlformats.org/officeDocument/2006/relationships/hyperlink" Target="https://drive.google.com/file/d/1FlF0v12WXEpbR7kewFKfKOht7pe5T7-m/view?usp=drivesdk" TargetMode="External"/><Relationship Id="rId6166" Type="http://schemas.openxmlformats.org/officeDocument/2006/relationships/hyperlink" Target="https://drive.google.com/file/d/1R54NtdC4ldJEdmIQXcX-HfK-eX0tUhay/view?usp=drivesdk" TargetMode="External"/><Relationship Id="rId7498" Type="http://schemas.openxmlformats.org/officeDocument/2006/relationships/hyperlink" Target="https://drive.google.com/file/d/1LysQd53Mj6d5CpHcXMZnF-2GYESWhttM/view?usp=drivesdk" TargetMode="External"/><Relationship Id="rId6167" Type="http://schemas.openxmlformats.org/officeDocument/2006/relationships/hyperlink" Target="https://drive.google.com/file/d/1rhhA6wguszIVMHZMWt6E96uaTcVNjvy4/view?usp=drivesdk" TargetMode="External"/><Relationship Id="rId7497" Type="http://schemas.openxmlformats.org/officeDocument/2006/relationships/hyperlink" Target="https://drive.google.com/file/d/1askRFQEc-aM9c7k2AMZA5NpE-IiUavF3/view?usp=drivesdk" TargetMode="External"/><Relationship Id="rId7481" Type="http://schemas.openxmlformats.org/officeDocument/2006/relationships/hyperlink" Target="https://drive.google.com/file/d/1yr4RyHDqcQLZ4Hk0lx3zES4A9VMOl5oz/view?usp=drivesdk" TargetMode="External"/><Relationship Id="rId6150" Type="http://schemas.openxmlformats.org/officeDocument/2006/relationships/hyperlink" Target="https://drive.google.com/file/d/1Uer7rK2bMjw6eOn6rUuEeJclzfPiZAZN/view?usp=drivesdk" TargetMode="External"/><Relationship Id="rId7480" Type="http://schemas.openxmlformats.org/officeDocument/2006/relationships/hyperlink" Target="https://drive.google.com/file/d/1fgREsUPh3dE0ote4DHrHYvS7pUT1LUKU/view?usp=drivesdk" TargetMode="External"/><Relationship Id="rId6153" Type="http://schemas.openxmlformats.org/officeDocument/2006/relationships/hyperlink" Target="https://drive.google.com/file/d/1TyfuT0qfNdJqYZIGTbYkLIjstrzY_mcj/view?usp=drivesdk" TargetMode="External"/><Relationship Id="rId7485" Type="http://schemas.openxmlformats.org/officeDocument/2006/relationships/hyperlink" Target="https://drive.google.com/file/d/1QBaHZcYQWqczAiiGYhyn5rlE0_gZfPrn/view?usp=drivesdk" TargetMode="External"/><Relationship Id="rId6154" Type="http://schemas.openxmlformats.org/officeDocument/2006/relationships/hyperlink" Target="https://drive.google.com/file/d/17wXFr4OypmKT5HtP7ipfDZRsDc9AiNIx/view?usp=drivesdk" TargetMode="External"/><Relationship Id="rId7484" Type="http://schemas.openxmlformats.org/officeDocument/2006/relationships/hyperlink" Target="https://drive.google.com/file/d/1cv7QkDRVaVE9q7fpxxJhjpcNcYjmd2Si/view?usp=drivesdk" TargetMode="External"/><Relationship Id="rId6151" Type="http://schemas.openxmlformats.org/officeDocument/2006/relationships/hyperlink" Target="https://drive.google.com/file/d/1T2K_qL5VClJYDMEG9ROgdBtlZmtEYEkU/view?usp=drivesdk" TargetMode="External"/><Relationship Id="rId7483" Type="http://schemas.openxmlformats.org/officeDocument/2006/relationships/hyperlink" Target="https://drive.google.com/file/d/1LkZUG1Fa2nAiC8Jvb_wz48l2PT_WvJ5O/view?usp=drivesdk" TargetMode="External"/><Relationship Id="rId6152" Type="http://schemas.openxmlformats.org/officeDocument/2006/relationships/hyperlink" Target="https://drive.google.com/file/d/1KG5etw5McxC37F3uSPeRMusf7mj4eLnV/view?usp=drivesdk" TargetMode="External"/><Relationship Id="rId7482" Type="http://schemas.openxmlformats.org/officeDocument/2006/relationships/hyperlink" Target="https://drive.google.com/file/d/1TOU-MWB49i_BDDMrgq6taGD6m65Daw96/view?usp=drivesdk" TargetMode="External"/><Relationship Id="rId6157" Type="http://schemas.openxmlformats.org/officeDocument/2006/relationships/hyperlink" Target="https://drive.google.com/file/d/1tCxSpU9_zQfVKp-lfk6zrDDion4vBQWz/view?usp=drivesdk" TargetMode="External"/><Relationship Id="rId7489" Type="http://schemas.openxmlformats.org/officeDocument/2006/relationships/hyperlink" Target="https://drive.google.com/file/d/14F5kAIS6HogR6pFFbrgg3SDrt-M-TvS_/view?usp=drivesdk" TargetMode="External"/><Relationship Id="rId6158" Type="http://schemas.openxmlformats.org/officeDocument/2006/relationships/hyperlink" Target="https://drive.google.com/file/d/1iWCymwo6hW_lTlX_GL7AUT9-iR5Wr-2m/view?usp=drivesdk" TargetMode="External"/><Relationship Id="rId7488" Type="http://schemas.openxmlformats.org/officeDocument/2006/relationships/hyperlink" Target="https://drive.google.com/file/d/1loHYLHEXM_4y8xM_ChpjuF9LEyEdrLhk/view?usp=drivesdk" TargetMode="External"/><Relationship Id="rId6155" Type="http://schemas.openxmlformats.org/officeDocument/2006/relationships/hyperlink" Target="https://drive.google.com/file/d/1rEipYf2Feh68xm_7E-R8VmUoLDY7hdUR/view?usp=drivesdk" TargetMode="External"/><Relationship Id="rId7487" Type="http://schemas.openxmlformats.org/officeDocument/2006/relationships/hyperlink" Target="https://drive.google.com/file/d/11G8ECPYele2RHcMABEdqJbddDvRM_BTt/view?usp=drivesdk" TargetMode="External"/><Relationship Id="rId6156" Type="http://schemas.openxmlformats.org/officeDocument/2006/relationships/hyperlink" Target="https://drive.google.com/file/d/1icul6LHgLo_hZKwsI07i_Tp4lp4yGjQ8/view?usp=drivesdk" TargetMode="External"/><Relationship Id="rId7486" Type="http://schemas.openxmlformats.org/officeDocument/2006/relationships/hyperlink" Target="https://drive.google.com/file/d/1X4vDdNsiRWhHKCSDUNbgKfEbOqXBdIRs/view?usp=drivesdk" TargetMode="External"/><Relationship Id="rId6159" Type="http://schemas.openxmlformats.org/officeDocument/2006/relationships/hyperlink" Target="https://drive.google.com/file/d/1It-v1WpV4EW4Fuy-7CdSpoJX-EFlGASr/view?usp=drivesdk" TargetMode="External"/><Relationship Id="rId1334" Type="http://schemas.openxmlformats.org/officeDocument/2006/relationships/hyperlink" Target="https://drive.google.com/file/d/1SDrv2rNfagCi81rrH1yQBLi2eu9xpolu/view?usp=drivesdk" TargetMode="External"/><Relationship Id="rId2665" Type="http://schemas.openxmlformats.org/officeDocument/2006/relationships/hyperlink" Target="https://drive.google.com/file/d/1WPLJPhzCjzWuKs1_qOO99yjEaLmlWTUf/view?usp=drivesdk" TargetMode="External"/><Relationship Id="rId3997" Type="http://schemas.openxmlformats.org/officeDocument/2006/relationships/hyperlink" Target="https://drive.google.com/file/d/1SxlqnYubyRVUUorsgzQd-XAU8eKraojA/view?usp=drivesdk" TargetMode="External"/><Relationship Id="rId1335" Type="http://schemas.openxmlformats.org/officeDocument/2006/relationships/hyperlink" Target="https://drive.google.com/file/d/1MtvNx-0l5Pp9Ff96_MoYLTKxr6aaQ0VY/view?usp=drivesdk" TargetMode="External"/><Relationship Id="rId2666" Type="http://schemas.openxmlformats.org/officeDocument/2006/relationships/hyperlink" Target="https://drive.google.com/file/d/1u6zXMnoF9A8BgGhP7qu6yV8z2Pxflogv/view?usp=drivesdk" TargetMode="External"/><Relationship Id="rId3996" Type="http://schemas.openxmlformats.org/officeDocument/2006/relationships/hyperlink" Target="https://drive.google.com/file/d/121JblkgJNgN7m2nnReJiSazfU2kTMlKH/view?usp=drivesdk" TargetMode="External"/><Relationship Id="rId1336" Type="http://schemas.openxmlformats.org/officeDocument/2006/relationships/hyperlink" Target="https://drive.google.com/file/d/1opu9FRI6gE6YJgEl8EUumOd2yzwtfQRh/view?usp=drivesdk" TargetMode="External"/><Relationship Id="rId2667" Type="http://schemas.openxmlformats.org/officeDocument/2006/relationships/hyperlink" Target="https://drive.google.com/file/d/11jZ4FHYgWqxYOiRcJKovozwlEMRChsPy/view?usp=drivesdk" TargetMode="External"/><Relationship Id="rId3999" Type="http://schemas.openxmlformats.org/officeDocument/2006/relationships/hyperlink" Target="https://drive.google.com/file/d/1iN-YyCLsNulw9jCFCycDqUawA8VEkA0a/view?usp=drivesdk" TargetMode="External"/><Relationship Id="rId1337" Type="http://schemas.openxmlformats.org/officeDocument/2006/relationships/hyperlink" Target="https://drive.google.com/file/d/1ZLy9GWRqOttL42ZR834L0DgSHVa0Qns4/view?usp=drivesdk" TargetMode="External"/><Relationship Id="rId2668" Type="http://schemas.openxmlformats.org/officeDocument/2006/relationships/hyperlink" Target="https://drive.google.com/file/d/1DHtTfEJ5OJgDPtJwTa-GyALfcATEtqBA/view?usp=drivesdk" TargetMode="External"/><Relationship Id="rId3998" Type="http://schemas.openxmlformats.org/officeDocument/2006/relationships/hyperlink" Target="https://drive.google.com/file/d/10YlUFfIaPtGrjs0Tz4Sj5v5xMhqKlCw6/view?usp=drivesdk" TargetMode="External"/><Relationship Id="rId1338" Type="http://schemas.openxmlformats.org/officeDocument/2006/relationships/hyperlink" Target="https://drive.google.com/file/d/1YixipcPTPd8ZBKkXDdRdFw5Y8dxbHD_u/view?usp=drivesdk" TargetMode="External"/><Relationship Id="rId2669" Type="http://schemas.openxmlformats.org/officeDocument/2006/relationships/hyperlink" Target="https://drive.google.com/file/d/1CvXqk0HlMsj27VSv9McQKa1g7mSAkXeN/view?usp=drivesdk" TargetMode="External"/><Relationship Id="rId1339" Type="http://schemas.openxmlformats.org/officeDocument/2006/relationships/hyperlink" Target="https://drive.google.com/file/d/1M6XVXGNfUu9tB2xgYbBstPavsYOfJU2F/view?usp=drivesdk" TargetMode="External"/><Relationship Id="rId745" Type="http://schemas.openxmlformats.org/officeDocument/2006/relationships/hyperlink" Target="https://drive.google.com/file/d/1bmUU6_6YgfFBBjdjn5sML9lJsHLqMwda/view?usp=drivesdk" TargetMode="External"/><Relationship Id="rId744" Type="http://schemas.openxmlformats.org/officeDocument/2006/relationships/hyperlink" Target="https://drive.google.com/file/d/1rh5muAdxHReDB42XYsu9HhMBOxc1oTMb/view?usp=drivesdk" TargetMode="External"/><Relationship Id="rId743" Type="http://schemas.openxmlformats.org/officeDocument/2006/relationships/hyperlink" Target="https://drive.google.com/file/d/1gjcMZPzw2tTnI14qS7k8cGyK2gkW90rx/view?usp=drivesdk" TargetMode="External"/><Relationship Id="rId742" Type="http://schemas.openxmlformats.org/officeDocument/2006/relationships/hyperlink" Target="https://drive.google.com/file/d/1B6wA63FT3Gu7Lb7OZSHBg0j6VV9YatXm/view?usp=drivesdk" TargetMode="External"/><Relationship Id="rId749" Type="http://schemas.openxmlformats.org/officeDocument/2006/relationships/hyperlink" Target="https://drive.google.com/file/d/1AhuIp_q54xrD1xAxMXNCgJvBC0tM8RR7/view?usp=drivesdk" TargetMode="External"/><Relationship Id="rId748" Type="http://schemas.openxmlformats.org/officeDocument/2006/relationships/hyperlink" Target="https://drive.google.com/file/d/16DG2_4wKFJupcu6Vs4b5Bd-ZSGrGTg7h/view?usp=drivesdk" TargetMode="External"/><Relationship Id="rId747" Type="http://schemas.openxmlformats.org/officeDocument/2006/relationships/hyperlink" Target="https://drive.google.com/file/d/1fq2Jwho7md2zJlDduzjTeXU_-xZiISDZ/view?usp=drivesdk" TargetMode="External"/><Relationship Id="rId746" Type="http://schemas.openxmlformats.org/officeDocument/2006/relationships/hyperlink" Target="https://drive.google.com/file/d/1ZxuOLyAdOFUv1JE6is1o6D3VZigxJqm7/view?usp=drivesdk" TargetMode="External"/><Relationship Id="rId3991" Type="http://schemas.openxmlformats.org/officeDocument/2006/relationships/hyperlink" Target="https://drive.google.com/file/d/1Dn-6zZ9oRB7GuQg-9XYQ0dccMLqNyGNO/view?usp=drivesdk" TargetMode="External"/><Relationship Id="rId2660" Type="http://schemas.openxmlformats.org/officeDocument/2006/relationships/hyperlink" Target="https://drive.google.com/file/d/1mSfy6VGbjnbW3RarHHdUrUs5P1UJhlPB/view?usp=drivesdk" TargetMode="External"/><Relationship Id="rId3990" Type="http://schemas.openxmlformats.org/officeDocument/2006/relationships/hyperlink" Target="https://drive.google.com/file/d/1zjra6ZjS2-arRJ5FkZpzBGlsYaTf62Cq/view?usp=drivesdk" TargetMode="External"/><Relationship Id="rId741" Type="http://schemas.openxmlformats.org/officeDocument/2006/relationships/hyperlink" Target="https://drive.google.com/file/d/14ecZ9P2i9k57IZzv7yJAudvLp50eslf6/view?usp=drivesdk" TargetMode="External"/><Relationship Id="rId1330" Type="http://schemas.openxmlformats.org/officeDocument/2006/relationships/hyperlink" Target="https://drive.google.com/file/d/1tPSoj3J2uzN80mc8eCMUyvUJLEkpFE1E/view?usp=drivesdk" TargetMode="External"/><Relationship Id="rId2661" Type="http://schemas.openxmlformats.org/officeDocument/2006/relationships/hyperlink" Target="https://drive.google.com/file/d/1O6l-Jfx4tiWTMi4lJVT2h-ZOHF-8dIEd/view?usp=drivesdk" TargetMode="External"/><Relationship Id="rId3993" Type="http://schemas.openxmlformats.org/officeDocument/2006/relationships/hyperlink" Target="https://drive.google.com/file/d/17b-IdJVBEzmT_esbhDLsythjAxHpqAo4/view?usp=drivesdk" TargetMode="External"/><Relationship Id="rId740" Type="http://schemas.openxmlformats.org/officeDocument/2006/relationships/hyperlink" Target="https://drive.google.com/file/d/1VGrTCgOOSt261noTSOnplEWYZ8VlkGeR/view?usp=drivesdk" TargetMode="External"/><Relationship Id="rId1331" Type="http://schemas.openxmlformats.org/officeDocument/2006/relationships/hyperlink" Target="https://drive.google.com/file/d/1eY9ACmbJ8kvo7CWed-O9JeIuD750fl8C/view?usp=drivesdk" TargetMode="External"/><Relationship Id="rId2662" Type="http://schemas.openxmlformats.org/officeDocument/2006/relationships/hyperlink" Target="https://drive.google.com/file/d/1Eql9L-mIOpsZ9YYzcQXetnFnqOGx2AIV/view?usp=drivesdk" TargetMode="External"/><Relationship Id="rId3992" Type="http://schemas.openxmlformats.org/officeDocument/2006/relationships/hyperlink" Target="https://drive.google.com/file/d/1I8yQKnpfCV5wqx0HWY-SEIYBezYWtJP3/view?usp=drivesdk" TargetMode="External"/><Relationship Id="rId1332" Type="http://schemas.openxmlformats.org/officeDocument/2006/relationships/hyperlink" Target="https://drive.google.com/file/d/1YmiNyd27Vh29LGHhRz8sOkJmanoikf-D/view?usp=drivesdk" TargetMode="External"/><Relationship Id="rId2663" Type="http://schemas.openxmlformats.org/officeDocument/2006/relationships/hyperlink" Target="https://drive.google.com/file/d/1LirJQ7aE_rLsfjGUEn-UMbHwsmJCjmpA/view?usp=drivesdk" TargetMode="External"/><Relationship Id="rId3995" Type="http://schemas.openxmlformats.org/officeDocument/2006/relationships/hyperlink" Target="https://drive.google.com/file/d/1aauQksY8HC_YWJHjrALQvcxTEdGBvTXg/view?usp=drivesdk" TargetMode="External"/><Relationship Id="rId1333" Type="http://schemas.openxmlformats.org/officeDocument/2006/relationships/hyperlink" Target="https://drive.google.com/file/d/1_70qNzqdca8pRiuGTciXzY9i6IzNR1EU/view?usp=drivesdk" TargetMode="External"/><Relationship Id="rId2664" Type="http://schemas.openxmlformats.org/officeDocument/2006/relationships/hyperlink" Target="https://drive.google.com/file/d/1stpeM6mbm9JaHZqc_ehHp2TutVb1larh/view?usp=drivesdk" TargetMode="External"/><Relationship Id="rId3994" Type="http://schemas.openxmlformats.org/officeDocument/2006/relationships/hyperlink" Target="https://drive.google.com/file/d/1BtUw4fPT6Lv6ZN2aBrsjDrtBH6KLzdaq/view?usp=drivesdk" TargetMode="External"/><Relationship Id="rId1323" Type="http://schemas.openxmlformats.org/officeDocument/2006/relationships/hyperlink" Target="https://drive.google.com/file/d/17Z9ze16QeeaSvNaUHbv5ZZzkSiQUMMcO/view?usp=drivesdk" TargetMode="External"/><Relationship Id="rId2654" Type="http://schemas.openxmlformats.org/officeDocument/2006/relationships/hyperlink" Target="https://drive.google.com/file/d/1hqIkNsh53HwjzOOBR05H29uRGEo2iF7L/view?usp=drivesdk" TargetMode="External"/><Relationship Id="rId3986" Type="http://schemas.openxmlformats.org/officeDocument/2006/relationships/hyperlink" Target="https://drive.google.com/file/d/1pxVsIggc1tMaqwwWOhHhfrKbf5sp3Siw/view?usp=drivesdk" TargetMode="External"/><Relationship Id="rId1324" Type="http://schemas.openxmlformats.org/officeDocument/2006/relationships/hyperlink" Target="https://drive.google.com/file/d/1CPLmO5LuzDu2e0fzEr2ddeqGjCf4nWYy/view?usp=drivesdk" TargetMode="External"/><Relationship Id="rId2655" Type="http://schemas.openxmlformats.org/officeDocument/2006/relationships/hyperlink" Target="https://drive.google.com/file/d/1cLm8hGMmV1yS8fI5MmhY5Py7ATOHsG7i/view?usp=drivesdk" TargetMode="External"/><Relationship Id="rId3985" Type="http://schemas.openxmlformats.org/officeDocument/2006/relationships/hyperlink" Target="https://drive.google.com/file/d/1jBfDThrpf8_RqfBy8DWOkXZ2PC3Zs6U1/view?usp=drivesdk" TargetMode="External"/><Relationship Id="rId1325" Type="http://schemas.openxmlformats.org/officeDocument/2006/relationships/hyperlink" Target="https://drive.google.com/file/d/1R3u533ukheGHbAHol0bxrL9CsWrKV7Qf/view?usp=drivesdk" TargetMode="External"/><Relationship Id="rId2656" Type="http://schemas.openxmlformats.org/officeDocument/2006/relationships/hyperlink" Target="https://drive.google.com/file/d/19swKTJPufV0wfUj35R33kuELZ5CuNi8x/view?usp=drivesdk" TargetMode="External"/><Relationship Id="rId3988" Type="http://schemas.openxmlformats.org/officeDocument/2006/relationships/hyperlink" Target="https://drive.google.com/file/d/1tzUv5QJ_7EaKJ9b1YmnQoJFR_nzjyvez/view?usp=drivesdk" TargetMode="External"/><Relationship Id="rId1326" Type="http://schemas.openxmlformats.org/officeDocument/2006/relationships/hyperlink" Target="https://drive.google.com/file/d/1NiVj5vRd80i8K-vaWjltKhtgcxYX_-5U/view?usp=drivesdk" TargetMode="External"/><Relationship Id="rId2657" Type="http://schemas.openxmlformats.org/officeDocument/2006/relationships/hyperlink" Target="https://drive.google.com/file/d/1U07rz8GuO5ZeKg8my51fBK4PAQ485tvl/view?usp=drivesdk" TargetMode="External"/><Relationship Id="rId3987" Type="http://schemas.openxmlformats.org/officeDocument/2006/relationships/hyperlink" Target="https://drive.google.com/file/d/1QhfdOZVAGpNRqEf3AZYuuyXXlZs2n-rr/view?usp=drivesdk" TargetMode="External"/><Relationship Id="rId1327" Type="http://schemas.openxmlformats.org/officeDocument/2006/relationships/hyperlink" Target="https://drive.google.com/file/d/19_2Q4uD6iVPYli4IvMbaWT8qfYkn2xps/view?usp=drivesdk" TargetMode="External"/><Relationship Id="rId2658" Type="http://schemas.openxmlformats.org/officeDocument/2006/relationships/hyperlink" Target="https://drive.google.com/file/d/1kqJjpL-Nl74J7kTD4Z1-qc3qiQfvf_8x/view?usp=drivesdk" TargetMode="External"/><Relationship Id="rId1328" Type="http://schemas.openxmlformats.org/officeDocument/2006/relationships/hyperlink" Target="https://drive.google.com/file/d/1OCl4V2W2uEmdyc3f_z-eZjFUDqRIq6R_/view?usp=drivesdk" TargetMode="External"/><Relationship Id="rId2659" Type="http://schemas.openxmlformats.org/officeDocument/2006/relationships/hyperlink" Target="https://drive.google.com/file/d/1rYmNtj4hOm6IPz0vleu27lOqbvn6Uq3G/view?usp=drivesdk" TargetMode="External"/><Relationship Id="rId3989" Type="http://schemas.openxmlformats.org/officeDocument/2006/relationships/hyperlink" Target="https://drive.google.com/file/d/14VzAKsO7Ah3doSil5Xo81nlBZQFfJMSy/view?usp=drivesdk" TargetMode="External"/><Relationship Id="rId1329" Type="http://schemas.openxmlformats.org/officeDocument/2006/relationships/hyperlink" Target="https://drive.google.com/file/d/1hiuvQJymxVT_7MXFljq9GDU9u-K2gAFd/view?usp=drivesdk" TargetMode="External"/><Relationship Id="rId739" Type="http://schemas.openxmlformats.org/officeDocument/2006/relationships/hyperlink" Target="https://drive.google.com/file/d/1lrf8UTv9yVoDDMhp4bsBKy6nw_3nWZ1h/view?usp=drivesdk" TargetMode="External"/><Relationship Id="rId734" Type="http://schemas.openxmlformats.org/officeDocument/2006/relationships/hyperlink" Target="https://drive.google.com/file/d/1Ujr2hajNlE3J_km_eQXDADXotkCVeWao/view?usp=drivesdk" TargetMode="External"/><Relationship Id="rId733" Type="http://schemas.openxmlformats.org/officeDocument/2006/relationships/hyperlink" Target="https://drive.google.com/file/d/1SOeFjvV3td9ddpoRZjFu2tj3wLUyNhb4/view?usp=drivesdk" TargetMode="External"/><Relationship Id="rId732" Type="http://schemas.openxmlformats.org/officeDocument/2006/relationships/hyperlink" Target="https://drive.google.com/file/d/16jur8XuJvhbyQTnfQVu57FAglssSsIZ4/view?usp=drivesdk" TargetMode="External"/><Relationship Id="rId731" Type="http://schemas.openxmlformats.org/officeDocument/2006/relationships/hyperlink" Target="https://drive.google.com/file/d/1Cr02djF3mR-tpBqctPKvu0vN0Z5tQWT5/view?usp=drivesdk" TargetMode="External"/><Relationship Id="rId738" Type="http://schemas.openxmlformats.org/officeDocument/2006/relationships/hyperlink" Target="https://drive.google.com/file/d/1bgCxWoDZdvJp0fUXKOCLEJ7kAEA90RlK/view?usp=drivesdk" TargetMode="External"/><Relationship Id="rId737" Type="http://schemas.openxmlformats.org/officeDocument/2006/relationships/hyperlink" Target="https://drive.google.com/file/d/1qwg74YrtRkPJRECLZqjjpzyCU99NuSpf/view?usp=drivesdk" TargetMode="External"/><Relationship Id="rId736" Type="http://schemas.openxmlformats.org/officeDocument/2006/relationships/hyperlink" Target="https://drive.google.com/file/d/1p8Z2FP_RCqXwG4eksfS3P67sgLoXgj8F/view?usp=drivesdk" TargetMode="External"/><Relationship Id="rId735" Type="http://schemas.openxmlformats.org/officeDocument/2006/relationships/hyperlink" Target="https://drive.google.com/file/d/1MHLr0dzYQuOFF1DygPBmfFbIQX1ppGc8/view?usp=drivesdk" TargetMode="External"/><Relationship Id="rId3980" Type="http://schemas.openxmlformats.org/officeDocument/2006/relationships/hyperlink" Target="https://drive.google.com/file/d/1oTG1_vWabjbTNlFJUDwmobZbN7NrK4_r/view?usp=drivesdk" TargetMode="External"/><Relationship Id="rId730" Type="http://schemas.openxmlformats.org/officeDocument/2006/relationships/hyperlink" Target="https://drive.google.com/file/d/1Am4EyJ1CkEXol_jBc0LV8v880Xyg73wb/view?usp=drivesdk" TargetMode="External"/><Relationship Id="rId2650" Type="http://schemas.openxmlformats.org/officeDocument/2006/relationships/hyperlink" Target="https://drive.google.com/file/d/1MLM_75aidDFjLNiaZ6_3nWfC6aEtP6Ek/view?usp=drivesdk" TargetMode="External"/><Relationship Id="rId3982" Type="http://schemas.openxmlformats.org/officeDocument/2006/relationships/hyperlink" Target="https://drive.google.com/file/d/1e6jx8dhpm4WyRdOfxTIv6CEszY2-Bvpr/view?usp=drivesdk" TargetMode="External"/><Relationship Id="rId1320" Type="http://schemas.openxmlformats.org/officeDocument/2006/relationships/hyperlink" Target="https://drive.google.com/file/d/1eiPjT77r8wM29AUFPBMMK1DYRN100b8J/view?usp=drivesdk" TargetMode="External"/><Relationship Id="rId2651" Type="http://schemas.openxmlformats.org/officeDocument/2006/relationships/hyperlink" Target="https://drive.google.com/file/d/1CA4kqmC9WbFXcJAF_fD5x00CW3b8zVoh/view?usp=drivesdk" TargetMode="External"/><Relationship Id="rId3981" Type="http://schemas.openxmlformats.org/officeDocument/2006/relationships/hyperlink" Target="https://drive.google.com/file/d/1FeuNg2Z4AvM6_lCxqQTFshLjk5fNIUQX/view?usp=drivesdk" TargetMode="External"/><Relationship Id="rId1321" Type="http://schemas.openxmlformats.org/officeDocument/2006/relationships/hyperlink" Target="https://drive.google.com/file/d/1EiTfQxuDBHpL6-XV1apJ_uDubKwVo1Ak/view?usp=drivesdk" TargetMode="External"/><Relationship Id="rId2652" Type="http://schemas.openxmlformats.org/officeDocument/2006/relationships/hyperlink" Target="https://drive.google.com/file/d/1T6Y29P4aIuAvxzlgfAuu-ISRyOGXVFcs/view?usp=drivesdk" TargetMode="External"/><Relationship Id="rId3984" Type="http://schemas.openxmlformats.org/officeDocument/2006/relationships/hyperlink" Target="https://drive.google.com/file/d/1GFMZ1lHId0XNjbM-TPjYhGNdJh_ugTBx/view?usp=drivesdk" TargetMode="External"/><Relationship Id="rId1322" Type="http://schemas.openxmlformats.org/officeDocument/2006/relationships/hyperlink" Target="https://drive.google.com/file/d/1ho0rpkR_yMpOI2_bmKaQh_WGMLGYw4re/view?usp=drivesdk" TargetMode="External"/><Relationship Id="rId2653" Type="http://schemas.openxmlformats.org/officeDocument/2006/relationships/hyperlink" Target="https://drive.google.com/file/d/1Oa5hvgYihfBHhD9FB4iA_iARUQ4STrZh/view?usp=drivesdk" TargetMode="External"/><Relationship Id="rId3983" Type="http://schemas.openxmlformats.org/officeDocument/2006/relationships/hyperlink" Target="https://drive.google.com/file/d/1w2Zv6061wJ836N-r_1u-uoWWMO4uqssm/view?usp=drivesdk" TargetMode="External"/><Relationship Id="rId1356" Type="http://schemas.openxmlformats.org/officeDocument/2006/relationships/hyperlink" Target="https://drive.google.com/file/d/1tpDiW87itb5BucHI2qDpWYToEi3Qb-G2/view?usp=drivesdk" TargetMode="External"/><Relationship Id="rId2687" Type="http://schemas.openxmlformats.org/officeDocument/2006/relationships/hyperlink" Target="https://drive.google.com/file/d/1u943Qt9r8_psu-d3OMfItQc3IqUVmZVn/view?usp=drivesdk" TargetMode="External"/><Relationship Id="rId1357" Type="http://schemas.openxmlformats.org/officeDocument/2006/relationships/hyperlink" Target="https://drive.google.com/file/d/178qlnDvuuoFbGTarLDyi9qbzYm7wwOro/view?usp=drivesdk" TargetMode="External"/><Relationship Id="rId2688" Type="http://schemas.openxmlformats.org/officeDocument/2006/relationships/hyperlink" Target="https://drive.google.com/file/d/1JjefetUVHObAeuqsOtxd4w1v2QZhxEZa/view?usp=drivesdk" TargetMode="External"/><Relationship Id="rId1358" Type="http://schemas.openxmlformats.org/officeDocument/2006/relationships/hyperlink" Target="https://drive.google.com/file/d/1ek17p3_XFHS2dH-Rra4J4nsYxtQ1iAov/view?usp=drivesdk" TargetMode="External"/><Relationship Id="rId2689" Type="http://schemas.openxmlformats.org/officeDocument/2006/relationships/hyperlink" Target="https://drive.google.com/file/d/1hY5nrvY6prJGFgAdFqJc1I90k37_PGm9/view?usp=drivesdk" TargetMode="External"/><Relationship Id="rId1359" Type="http://schemas.openxmlformats.org/officeDocument/2006/relationships/hyperlink" Target="https://drive.google.com/file/d/1A-435EQO4QaUz3ZAqfb8YLyHmYPTT_t5/view?usp=drivesdk" TargetMode="External"/><Relationship Id="rId767" Type="http://schemas.openxmlformats.org/officeDocument/2006/relationships/hyperlink" Target="https://drive.google.com/file/d/1JrIVDvhgT12UVlEjh_TI9toZG5-fxOW_/view?usp=drivesdk" TargetMode="External"/><Relationship Id="rId766" Type="http://schemas.openxmlformats.org/officeDocument/2006/relationships/hyperlink" Target="https://drive.google.com/file/d/18rwKpsQSf1iwEBpG5kBGo-5AiQnlk2pv/view?usp=drivesdk" TargetMode="External"/><Relationship Id="rId765" Type="http://schemas.openxmlformats.org/officeDocument/2006/relationships/hyperlink" Target="https://drive.google.com/file/d/1stQPzeMCHpxU1ULSqUARIudThC-47vb5/view?usp=drivesdk" TargetMode="External"/><Relationship Id="rId764" Type="http://schemas.openxmlformats.org/officeDocument/2006/relationships/hyperlink" Target="https://drive.google.com/file/d/19ZkDXBk_FHK9017ybgzuQwEeF1CIcT1n/view?usp=drivesdk" TargetMode="External"/><Relationship Id="rId769" Type="http://schemas.openxmlformats.org/officeDocument/2006/relationships/hyperlink" Target="https://drive.google.com/file/d/1_z0aCMEufjbNabic478Wao-6T2wql2__/view?usp=drivesdk" TargetMode="External"/><Relationship Id="rId768" Type="http://schemas.openxmlformats.org/officeDocument/2006/relationships/hyperlink" Target="https://drive.google.com/file/d/1MC1URKc0H9fk6WzHRzk9R12b2jDxIsxy/view?usp=drivesdk" TargetMode="External"/><Relationship Id="rId2680" Type="http://schemas.openxmlformats.org/officeDocument/2006/relationships/hyperlink" Target="https://drive.google.com/file/d/1WVqqW0YjSosKa0ViqQwbGtIQfdXX6wMi/view?usp=drivesdk" TargetMode="External"/><Relationship Id="rId1350" Type="http://schemas.openxmlformats.org/officeDocument/2006/relationships/hyperlink" Target="https://drive.google.com/file/d/1im34S_ve8JeiYnjnPiw1ZyEGDP9oV2av/view?usp=drivesdk" TargetMode="External"/><Relationship Id="rId2681" Type="http://schemas.openxmlformats.org/officeDocument/2006/relationships/hyperlink" Target="https://drive.google.com/file/d/1mnCGpnuyNyeFJWecBK3tOxwAbeoAA-DC/view?usp=drivesdk" TargetMode="External"/><Relationship Id="rId1351" Type="http://schemas.openxmlformats.org/officeDocument/2006/relationships/hyperlink" Target="https://drive.google.com/file/d/1T_08r4M0Dg_xWxTocsIsjmzKO8fKEEKd/view?usp=drivesdk" TargetMode="External"/><Relationship Id="rId2682" Type="http://schemas.openxmlformats.org/officeDocument/2006/relationships/hyperlink" Target="https://drive.google.com/file/d/1KWswKOiOm_OdwsrwjNg_jNHMU09pVZXv/view?usp=drivesdk" TargetMode="External"/><Relationship Id="rId763" Type="http://schemas.openxmlformats.org/officeDocument/2006/relationships/hyperlink" Target="https://drive.google.com/file/d/1h_CJIy0HI_pr12xEe_rKAfI65Evv0NZt/view?usp=drivesdk" TargetMode="External"/><Relationship Id="rId1352" Type="http://schemas.openxmlformats.org/officeDocument/2006/relationships/hyperlink" Target="https://drive.google.com/file/d/1tlfXbEBdncPRbm1L0w3X9HfbZNdI5VvY/view?usp=drivesdk" TargetMode="External"/><Relationship Id="rId2683" Type="http://schemas.openxmlformats.org/officeDocument/2006/relationships/hyperlink" Target="https://drive.google.com/file/d/1hvhsjh2db-v25fh7SB-4KMn9YCsJSa0m/view?usp=drivesdk" TargetMode="External"/><Relationship Id="rId762" Type="http://schemas.openxmlformats.org/officeDocument/2006/relationships/hyperlink" Target="https://drive.google.com/file/d/17Nb5rmqNa5sO-oDosSYNUYqSk67A5B-1/view?usp=drivesdk" TargetMode="External"/><Relationship Id="rId1353" Type="http://schemas.openxmlformats.org/officeDocument/2006/relationships/hyperlink" Target="https://drive.google.com/file/d/1OGu4zfAG81TJwxem73OWPhspInZXgkz9/view?usp=drivesdk" TargetMode="External"/><Relationship Id="rId2684" Type="http://schemas.openxmlformats.org/officeDocument/2006/relationships/hyperlink" Target="https://drive.google.com/file/d/1BFfwYCaU5b_7PxV80wYx4ddlVzen6UWD/view?usp=drivesdk" TargetMode="External"/><Relationship Id="rId761" Type="http://schemas.openxmlformats.org/officeDocument/2006/relationships/hyperlink" Target="https://drive.google.com/file/d/1vc8hHKzgaf-6t8ddUKa3YMUB2IaTMldt/view?usp=drivesdk" TargetMode="External"/><Relationship Id="rId1354" Type="http://schemas.openxmlformats.org/officeDocument/2006/relationships/hyperlink" Target="https://drive.google.com/file/d/1WaGktvz6nL-DWhsH1wFHR_8uXoJLnpSp/view?usp=drivesdk" TargetMode="External"/><Relationship Id="rId2685" Type="http://schemas.openxmlformats.org/officeDocument/2006/relationships/hyperlink" Target="https://drive.google.com/file/d/1dGKc2EAaselFz-Xoq8BcSi9w-Ov6USGI/view?usp=drivesdk" TargetMode="External"/><Relationship Id="rId760" Type="http://schemas.openxmlformats.org/officeDocument/2006/relationships/hyperlink" Target="https://drive.google.com/file/d/1RPq2pbUJpNTXb36eASGgtSINSQYwkU27/view?usp=drivesdk" TargetMode="External"/><Relationship Id="rId1355" Type="http://schemas.openxmlformats.org/officeDocument/2006/relationships/hyperlink" Target="https://drive.google.com/file/d/19crQ_mPKzqt8tQ_6oinsu3wPt3vvKkl6/view?usp=drivesdk" TargetMode="External"/><Relationship Id="rId2686" Type="http://schemas.openxmlformats.org/officeDocument/2006/relationships/hyperlink" Target="https://drive.google.com/file/d/1J1rU9P0PZOAGJBIMJr53tER6kQsBWVY3/view?usp=drivesdk" TargetMode="External"/><Relationship Id="rId1345" Type="http://schemas.openxmlformats.org/officeDocument/2006/relationships/hyperlink" Target="https://drive.google.com/file/d/1KpftgqUDt26BPgZeRZYBqLmQBFKJMsyV/view?usp=drivesdk" TargetMode="External"/><Relationship Id="rId2676" Type="http://schemas.openxmlformats.org/officeDocument/2006/relationships/hyperlink" Target="https://drive.google.com/file/d/1nb33jcjw55LbgrNope85p4B2dGCLcHaH/view?usp=drivesdk" TargetMode="External"/><Relationship Id="rId1346" Type="http://schemas.openxmlformats.org/officeDocument/2006/relationships/hyperlink" Target="https://drive.google.com/file/d/1HhalZN6MCJNvxA0FMrf17rIZPJixg8yI/view?usp=drivesdk" TargetMode="External"/><Relationship Id="rId2677" Type="http://schemas.openxmlformats.org/officeDocument/2006/relationships/hyperlink" Target="https://drive.google.com/file/d/1GwTqI1Ag1PNgwGWc9ZahJQ09Sb02WiVz/view?usp=drivesdk" TargetMode="External"/><Relationship Id="rId1347" Type="http://schemas.openxmlformats.org/officeDocument/2006/relationships/hyperlink" Target="https://drive.google.com/file/d/1uhJApORMhR_tne8UrEaEXN4fifF6gaCd/view?usp=drivesdk" TargetMode="External"/><Relationship Id="rId2678" Type="http://schemas.openxmlformats.org/officeDocument/2006/relationships/hyperlink" Target="https://drive.google.com/file/d/1dSwsxjkgPvXT5FzLUkP6K_qKUKV2mkuG/view?usp=drivesdk" TargetMode="External"/><Relationship Id="rId1348" Type="http://schemas.openxmlformats.org/officeDocument/2006/relationships/hyperlink" Target="https://drive.google.com/file/d/1ajFur8QKy9__043As2e-YW4Cyk6GB0rW/view?usp=drivesdk" TargetMode="External"/><Relationship Id="rId2679" Type="http://schemas.openxmlformats.org/officeDocument/2006/relationships/hyperlink" Target="https://drive.google.com/file/d/1ylfmGazfZTxWE_XY3v7us5oOx56pKYzt/view?usp=drivesdk" TargetMode="External"/><Relationship Id="rId1349" Type="http://schemas.openxmlformats.org/officeDocument/2006/relationships/hyperlink" Target="https://drive.google.com/file/d/1Q9G14HOWkSaCnjqLI0cP5jRpxXB6bVIi/view?usp=drivesdk" TargetMode="External"/><Relationship Id="rId756" Type="http://schemas.openxmlformats.org/officeDocument/2006/relationships/hyperlink" Target="https://drive.google.com/file/d/1n1IVWA64WxS6SM_F1qmPq3fVaNnAoWde/view?usp=drivesdk" TargetMode="External"/><Relationship Id="rId755" Type="http://schemas.openxmlformats.org/officeDocument/2006/relationships/hyperlink" Target="https://drive.google.com/file/d/1yD6Tkc-YmMyeLO1dnt1vdQxBKqAhQV3U/view?usp=drivesdk" TargetMode="External"/><Relationship Id="rId754" Type="http://schemas.openxmlformats.org/officeDocument/2006/relationships/hyperlink" Target="https://drive.google.com/file/d/1jjRZFuCx1A6rLLI1FU2xBSa1Ue4kpcAk/view?usp=drivesdk" TargetMode="External"/><Relationship Id="rId753" Type="http://schemas.openxmlformats.org/officeDocument/2006/relationships/hyperlink" Target="https://drive.google.com/file/d/18De4hRVap5HDDie4v1Db8QfbqAWq74m5/view?usp=drivesdk" TargetMode="External"/><Relationship Id="rId759" Type="http://schemas.openxmlformats.org/officeDocument/2006/relationships/hyperlink" Target="https://drive.google.com/file/d/1jbT43oCfT7hLXA1IDPfaEKugRpZLqUKA/view?usp=drivesdk" TargetMode="External"/><Relationship Id="rId758" Type="http://schemas.openxmlformats.org/officeDocument/2006/relationships/hyperlink" Target="https://drive.google.com/file/d/1Tuw4o8Qm0fLi2dGPTZpX1_dB5VvX4w4N/view?usp=drivesdk" TargetMode="External"/><Relationship Id="rId757" Type="http://schemas.openxmlformats.org/officeDocument/2006/relationships/hyperlink" Target="https://drive.google.com/file/d/1r2Lj9fh7SeG_apmIxHxIRWn4IrLns_1S/view?usp=drivesdk" TargetMode="External"/><Relationship Id="rId2670" Type="http://schemas.openxmlformats.org/officeDocument/2006/relationships/hyperlink" Target="https://drive.google.com/file/d/1GJlp85uk-AgoUNXaGwysj0D2d1Pnc4s4/view?usp=drivesdk" TargetMode="External"/><Relationship Id="rId1340" Type="http://schemas.openxmlformats.org/officeDocument/2006/relationships/hyperlink" Target="https://drive.google.com/file/d/1E9nXP-DXU8qsx4367QaV-iuSK7LmYBr7/view?usp=drivesdk" TargetMode="External"/><Relationship Id="rId2671" Type="http://schemas.openxmlformats.org/officeDocument/2006/relationships/hyperlink" Target="https://drive.google.com/file/d/1ElzFt0xy5RSYCGSQlylpgbiBDsy8Vzu7/view?usp=drivesdk" TargetMode="External"/><Relationship Id="rId752" Type="http://schemas.openxmlformats.org/officeDocument/2006/relationships/hyperlink" Target="https://drive.google.com/file/d/1BUwnRu9skbiOm1D5F0-xGy-cVzdrsG-e/view?usp=drivesdk" TargetMode="External"/><Relationship Id="rId1341" Type="http://schemas.openxmlformats.org/officeDocument/2006/relationships/hyperlink" Target="https://drive.google.com/file/d/1NGT8M04ajgbU006juQRUtBAmUQDdcQ3u/view?usp=drivesdk" TargetMode="External"/><Relationship Id="rId2672" Type="http://schemas.openxmlformats.org/officeDocument/2006/relationships/hyperlink" Target="https://drive.google.com/file/d/15K3saG7evgqWu02BGcQ6ZckwfkV9Hrnk/view?usp=drivesdk" TargetMode="External"/><Relationship Id="rId751" Type="http://schemas.openxmlformats.org/officeDocument/2006/relationships/hyperlink" Target="https://drive.google.com/file/d/1ELoyDvyW2Ogh-rOVP8czilkuhF60EO2l/view?usp=drivesdk" TargetMode="External"/><Relationship Id="rId1342" Type="http://schemas.openxmlformats.org/officeDocument/2006/relationships/hyperlink" Target="https://drive.google.com/file/d/1YPJpauXpHss05Aq7uJJ0T7WEimafmjYw/view?usp=drivesdk" TargetMode="External"/><Relationship Id="rId2673" Type="http://schemas.openxmlformats.org/officeDocument/2006/relationships/hyperlink" Target="https://drive.google.com/file/d/1mkZMTzHxbDz7JoaklekdD5qRmnxcy_lR/view?usp=drivesdk" TargetMode="External"/><Relationship Id="rId750" Type="http://schemas.openxmlformats.org/officeDocument/2006/relationships/hyperlink" Target="https://drive.google.com/file/d/1bO6OnEf4KD46KlE8WX09gA9vf7y-7srX/view?usp=drivesdk" TargetMode="External"/><Relationship Id="rId1343" Type="http://schemas.openxmlformats.org/officeDocument/2006/relationships/hyperlink" Target="https://drive.google.com/file/d/13DhK2qo04wTpqySJqU9m7ZhGf6h0Wpq8/view?usp=drivesdk" TargetMode="External"/><Relationship Id="rId2674" Type="http://schemas.openxmlformats.org/officeDocument/2006/relationships/hyperlink" Target="https://drive.google.com/file/d/1PwI9q35ZGFEoUMfsQ45gFEF50Dyqmb5v/view?usp=drivesdk" TargetMode="External"/><Relationship Id="rId1344" Type="http://schemas.openxmlformats.org/officeDocument/2006/relationships/hyperlink" Target="https://drive.google.com/file/d/1EQ1C7TKMLUcsT20_fT25-oGmSjEaItrT/view?usp=drivesdk" TargetMode="External"/><Relationship Id="rId2675" Type="http://schemas.openxmlformats.org/officeDocument/2006/relationships/hyperlink" Target="https://drive.google.com/file/d/1srQTEsI1VlcEa2-yHxaGSVlF4EdygR0h/view?usp=drivesdk" TargetMode="External"/><Relationship Id="rId2621" Type="http://schemas.openxmlformats.org/officeDocument/2006/relationships/hyperlink" Target="https://drive.google.com/file/d/17-huqtmHG9CV_GLng_pHfnAqTTxGSm9v/view?usp=drivesdk" TargetMode="External"/><Relationship Id="rId3953" Type="http://schemas.openxmlformats.org/officeDocument/2006/relationships/hyperlink" Target="https://drive.google.com/file/d/1hnHYvrvIrVGBB1f5zF_V4gTHde6Hmfs1/view?usp=drivesdk" TargetMode="External"/><Relationship Id="rId2622" Type="http://schemas.openxmlformats.org/officeDocument/2006/relationships/hyperlink" Target="https://drive.google.com/file/d/1rEWTbdfqxT9Dz2it7s1bcCA3inTI5Uet/view?usp=drivesdk" TargetMode="External"/><Relationship Id="rId3952" Type="http://schemas.openxmlformats.org/officeDocument/2006/relationships/hyperlink" Target="https://drive.google.com/file/d/1mUaXSuLiWcttS4SEXjbo1ZsT8qoyBpnk/view?usp=drivesdk" TargetMode="External"/><Relationship Id="rId2623" Type="http://schemas.openxmlformats.org/officeDocument/2006/relationships/hyperlink" Target="https://drive.google.com/file/d/1JOXlcDz0rtntq0LyO2SoG1hoWrzFcGMc/view?usp=drivesdk" TargetMode="External"/><Relationship Id="rId3955" Type="http://schemas.openxmlformats.org/officeDocument/2006/relationships/hyperlink" Target="https://drive.google.com/file/d/1gCI5I9CuvVLsrPdeo4aWNXMjmELD-v0S/view?usp=drivesdk" TargetMode="External"/><Relationship Id="rId2624" Type="http://schemas.openxmlformats.org/officeDocument/2006/relationships/hyperlink" Target="https://drive.google.com/file/d/1wMD8xicCDRBYy7jz51-zi_fkvqoa20pl/view?usp=drivesdk" TargetMode="External"/><Relationship Id="rId3954" Type="http://schemas.openxmlformats.org/officeDocument/2006/relationships/hyperlink" Target="https://drive.google.com/file/d/18AhVQtv-vI-AqypnWZvXslzFo5RdxCfD/view?usp=drivesdk" TargetMode="External"/><Relationship Id="rId2625" Type="http://schemas.openxmlformats.org/officeDocument/2006/relationships/hyperlink" Target="https://drive.google.com/file/d/1C0xozftwehwH9RRf3t5ogizjqLOm9OQZ/view?usp=drivesdk" TargetMode="External"/><Relationship Id="rId3957" Type="http://schemas.openxmlformats.org/officeDocument/2006/relationships/hyperlink" Target="https://drive.google.com/file/d/1JwAUeM3ev6ejWKLEixWleKGj6E8Rl_W4/view?usp=drivesdk" TargetMode="External"/><Relationship Id="rId2626" Type="http://schemas.openxmlformats.org/officeDocument/2006/relationships/hyperlink" Target="https://drive.google.com/file/d/11tu4Lf2CDMmKoouEtlmzHrCDxfVYhdgR/view?usp=drivesdk" TargetMode="External"/><Relationship Id="rId3956" Type="http://schemas.openxmlformats.org/officeDocument/2006/relationships/hyperlink" Target="https://drive.google.com/file/d/1E8BYt2-VvsnsA3fCR4etU4TeWfSET0ZD/view?usp=drivesdk" TargetMode="External"/><Relationship Id="rId2627" Type="http://schemas.openxmlformats.org/officeDocument/2006/relationships/hyperlink" Target="https://drive.google.com/file/d/17G8Mr9Moidf0LOCy77pHOo4NTSCiHiDW/view?usp=drivesdk" TargetMode="External"/><Relationship Id="rId3959" Type="http://schemas.openxmlformats.org/officeDocument/2006/relationships/hyperlink" Target="https://drive.google.com/file/d/1U-VKGWagtX2JM-piUx0fagfES02n-QOn/view?usp=drivesdk" TargetMode="External"/><Relationship Id="rId2628" Type="http://schemas.openxmlformats.org/officeDocument/2006/relationships/hyperlink" Target="https://drive.google.com/file/d/1kMGu_ivTck2BOYclQtCROpUouEH7jXz2/view?usp=drivesdk" TargetMode="External"/><Relationship Id="rId3958" Type="http://schemas.openxmlformats.org/officeDocument/2006/relationships/hyperlink" Target="https://drive.google.com/file/d/1nUIBtbKWPMzDc-wLiopiIqqGXW-_KxS-/view?usp=drivesdk" TargetMode="External"/><Relationship Id="rId709" Type="http://schemas.openxmlformats.org/officeDocument/2006/relationships/hyperlink" Target="https://drive.google.com/file/d/1doNofCmMWFmxCLb8-80DcbSoKNZ_O4Uv/view?usp=drivesdk" TargetMode="External"/><Relationship Id="rId2629" Type="http://schemas.openxmlformats.org/officeDocument/2006/relationships/hyperlink" Target="https://drive.google.com/file/d/1NdWBySq2BSOHnkCxXyyLqMBusdL5sD2P/view?usp=drivesdk" TargetMode="External"/><Relationship Id="rId708" Type="http://schemas.openxmlformats.org/officeDocument/2006/relationships/hyperlink" Target="https://drive.google.com/file/d/1gBjQ1nR_smtw_WEHjX3Ok5me_xmVWKap/view?usp=drivesdk" TargetMode="External"/><Relationship Id="rId707" Type="http://schemas.openxmlformats.org/officeDocument/2006/relationships/hyperlink" Target="https://drive.google.com/file/d/135zjjugG2gl8wPnxmf9BQsW9dKAVZ0Yy/view?usp=drivesdk" TargetMode="External"/><Relationship Id="rId706" Type="http://schemas.openxmlformats.org/officeDocument/2006/relationships/hyperlink" Target="https://drive.google.com/file/d/1nYoQVJE_v5qpLUnKf5m5JCuyvuOsR-6_/view?usp=drivesdk" TargetMode="External"/><Relationship Id="rId701" Type="http://schemas.openxmlformats.org/officeDocument/2006/relationships/hyperlink" Target="https://drive.google.com/file/d/1j4SJ5X40ScedV_zeu1xCeigzn0d3R0UW/view?usp=drivesdk" TargetMode="External"/><Relationship Id="rId700" Type="http://schemas.openxmlformats.org/officeDocument/2006/relationships/hyperlink" Target="https://drive.google.com/file/d/1_IJBROS-QZ2mXP2ZNLtSh1zYHVsAZl8p/view?usp=drivesdk" TargetMode="External"/><Relationship Id="rId705" Type="http://schemas.openxmlformats.org/officeDocument/2006/relationships/hyperlink" Target="https://drive.google.com/file/d/1aG70--GYC8VzKST2GKDyhl-jf8bnPukO/view?usp=drivesdk" TargetMode="External"/><Relationship Id="rId704" Type="http://schemas.openxmlformats.org/officeDocument/2006/relationships/hyperlink" Target="https://drive.google.com/file/d/1-QgWUTcfGVgiF5q_jXHXZck6V4jvQW06/view?usp=drivesdk" TargetMode="External"/><Relationship Id="rId703" Type="http://schemas.openxmlformats.org/officeDocument/2006/relationships/hyperlink" Target="https://drive.google.com/file/d/1UEiTDYXHSDh1thnggBR7z8Kj0H5rUwDu/view?usp=drivesdk" TargetMode="External"/><Relationship Id="rId702" Type="http://schemas.openxmlformats.org/officeDocument/2006/relationships/hyperlink" Target="https://drive.google.com/file/d/1Jt7Dd0XJ98_vhfuG1w65KrH5h-F-q2qU/view?usp=drivesdk" TargetMode="External"/><Relationship Id="rId3951" Type="http://schemas.openxmlformats.org/officeDocument/2006/relationships/hyperlink" Target="https://drive.google.com/file/d/1X7YkduCUS5e4eBzsj9wmlcsgxMMpAOzL/view?usp=drivesdk" TargetMode="External"/><Relationship Id="rId2620" Type="http://schemas.openxmlformats.org/officeDocument/2006/relationships/hyperlink" Target="https://drive.google.com/file/d/1rfHjS2nfN2X8BHZbUpitZh8OrAoTUeBA/view?usp=drivesdk" TargetMode="External"/><Relationship Id="rId3950" Type="http://schemas.openxmlformats.org/officeDocument/2006/relationships/hyperlink" Target="https://drive.google.com/file/d/1_8OnuG5XLx8gR_eUaTdLBJzMqCjxa6Jn/view?usp=drivesdk" TargetMode="External"/><Relationship Id="rId2610" Type="http://schemas.openxmlformats.org/officeDocument/2006/relationships/hyperlink" Target="https://drive.google.com/file/d/1bokqAh_4p_X9WHuwbPTLVrmdDtm5NWKt/view?usp=drivesdk" TargetMode="External"/><Relationship Id="rId3942" Type="http://schemas.openxmlformats.org/officeDocument/2006/relationships/hyperlink" Target="https://drive.google.com/file/d/1K-RDMQ8VDBvRLz_dhMKYkMiAz0e8WU_1/view?usp=drivesdk" TargetMode="External"/><Relationship Id="rId2611" Type="http://schemas.openxmlformats.org/officeDocument/2006/relationships/hyperlink" Target="https://drive.google.com/file/d/1TgsrZNvZn2I2gFtGeicDVv0oMAN-fBIp/view?usp=drivesdk" TargetMode="External"/><Relationship Id="rId3941" Type="http://schemas.openxmlformats.org/officeDocument/2006/relationships/hyperlink" Target="https://drive.google.com/file/d/1n2jj4a5VwXV3snYLJzsWFVK_kFR1zf2W/view?usp=drivesdk" TargetMode="External"/><Relationship Id="rId2612" Type="http://schemas.openxmlformats.org/officeDocument/2006/relationships/hyperlink" Target="https://drive.google.com/file/d/1vigFYN7Km2853dupBNEeMeLFF2_K21ES/view?usp=drivesdk" TargetMode="External"/><Relationship Id="rId3944" Type="http://schemas.openxmlformats.org/officeDocument/2006/relationships/hyperlink" Target="https://drive.google.com/file/d/1YI9E5jh5qbypWic8CH9fYkPB1cL2jUBc/view?usp=drivesdk" TargetMode="External"/><Relationship Id="rId2613" Type="http://schemas.openxmlformats.org/officeDocument/2006/relationships/hyperlink" Target="https://drive.google.com/file/d/1YD-zym7EfboIih2xLlHSiQcPSw9bko7F/view?usp=drivesdk" TargetMode="External"/><Relationship Id="rId3943" Type="http://schemas.openxmlformats.org/officeDocument/2006/relationships/hyperlink" Target="https://drive.google.com/file/d/1e57OIY-ud6bXhN0jPu4LisiBPmc24fMq/view?usp=drivesdk" TargetMode="External"/><Relationship Id="rId2614" Type="http://schemas.openxmlformats.org/officeDocument/2006/relationships/hyperlink" Target="https://drive.google.com/file/d/1jaL1azdzpEYHVPG9CwPW4nYXYx9okdft/view?usp=drivesdk" TargetMode="External"/><Relationship Id="rId3946" Type="http://schemas.openxmlformats.org/officeDocument/2006/relationships/hyperlink" Target="https://drive.google.com/file/d/1XVlxF0FV_y2jaHGqEzY6RN4vC29BjPH_/view?usp=drivesdk" TargetMode="External"/><Relationship Id="rId2615" Type="http://schemas.openxmlformats.org/officeDocument/2006/relationships/hyperlink" Target="https://drive.google.com/file/d/1nhb1FkO1d5I1zAjWjhR9DNHWW60DMpeX/view?usp=drivesdk" TargetMode="External"/><Relationship Id="rId3945" Type="http://schemas.openxmlformats.org/officeDocument/2006/relationships/hyperlink" Target="https://drive.google.com/file/d/12wntdniHc0SxVtdZI54eb53EyuEYf__a/view?usp=drivesdk" TargetMode="External"/><Relationship Id="rId2616" Type="http://schemas.openxmlformats.org/officeDocument/2006/relationships/hyperlink" Target="https://drive.google.com/file/d/1NUCPwi2q8ilViUgN--oL4cxmak4xD9Ki/view?usp=drivesdk" TargetMode="External"/><Relationship Id="rId3948" Type="http://schemas.openxmlformats.org/officeDocument/2006/relationships/hyperlink" Target="https://drive.google.com/file/d/10n6svtXzt461selx4ZstEaq15zSUocGz/view?usp=drivesdk" TargetMode="External"/><Relationship Id="rId2617" Type="http://schemas.openxmlformats.org/officeDocument/2006/relationships/hyperlink" Target="https://drive.google.com/file/d/1YvOZkugZ7kjpkiO20jbMHIIhkJHvKwfJ/view?usp=drivesdk" TargetMode="External"/><Relationship Id="rId3947" Type="http://schemas.openxmlformats.org/officeDocument/2006/relationships/hyperlink" Target="https://drive.google.com/file/d/1h8pL4Ph777o_lSIHXdoJY9544dtw4dtw/view?usp=drivesdk" TargetMode="External"/><Relationship Id="rId2618" Type="http://schemas.openxmlformats.org/officeDocument/2006/relationships/hyperlink" Target="https://drive.google.com/file/d/1iLY2yKJVAlrKPKUZV7NxuS_oNeLeKv2P/view?usp=drivesdk" TargetMode="External"/><Relationship Id="rId2619" Type="http://schemas.openxmlformats.org/officeDocument/2006/relationships/hyperlink" Target="https://drive.google.com/file/d/1rw8rVk5QA-J0LC6ozO5hQl8n7x6OyVNI/view?usp=drivesdk" TargetMode="External"/><Relationship Id="rId3949" Type="http://schemas.openxmlformats.org/officeDocument/2006/relationships/hyperlink" Target="https://drive.google.com/file/d/1fggJe62HUoUH5qPgwfykyAVTeJTxL45R/view?usp=drivesdk" TargetMode="External"/><Relationship Id="rId3940" Type="http://schemas.openxmlformats.org/officeDocument/2006/relationships/hyperlink" Target="https://drive.google.com/file/d/1vKhKMzaZJVKy3pPDu4SUL05jv6c8jp9L/view?usp=drivesdk" TargetMode="External"/><Relationship Id="rId1312" Type="http://schemas.openxmlformats.org/officeDocument/2006/relationships/hyperlink" Target="https://drive.google.com/file/d/1v057Lq4K96z2aScu5mOxL2AlVqsYaBhN/view?usp=drivesdk" TargetMode="External"/><Relationship Id="rId2643" Type="http://schemas.openxmlformats.org/officeDocument/2006/relationships/hyperlink" Target="https://drive.google.com/file/d/1oH-2t_-QTWOykqWNui51IDzCnW2AlzXv/view?usp=drivesdk" TargetMode="External"/><Relationship Id="rId3975" Type="http://schemas.openxmlformats.org/officeDocument/2006/relationships/hyperlink" Target="https://drive.google.com/file/d/1hkOaxdUVFE_qvmUfFG5gzI6NZ1tBhdX0/view?usp=drivesdk" TargetMode="External"/><Relationship Id="rId1313" Type="http://schemas.openxmlformats.org/officeDocument/2006/relationships/hyperlink" Target="https://drive.google.com/file/d/1Dn1QLh4pyU_a4tDD3c-8zEliq80ENrQf/view?usp=drivesdk" TargetMode="External"/><Relationship Id="rId2644" Type="http://schemas.openxmlformats.org/officeDocument/2006/relationships/hyperlink" Target="https://drive.google.com/file/d/1aKeE6mpYIXlvc2F0DBCYBlDjsFGBucqi/view?usp=drivesdk" TargetMode="External"/><Relationship Id="rId3974" Type="http://schemas.openxmlformats.org/officeDocument/2006/relationships/hyperlink" Target="https://drive.google.com/file/d/1OcU_PuAEAk1aMYCnNU2IWzH97CloR9gC/view?usp=drivesdk" TargetMode="External"/><Relationship Id="rId1314" Type="http://schemas.openxmlformats.org/officeDocument/2006/relationships/hyperlink" Target="https://drive.google.com/file/d/1fSYvOE8DxiKldLeqViYV2qITXdTbALtM/view?usp=drivesdk" TargetMode="External"/><Relationship Id="rId2645" Type="http://schemas.openxmlformats.org/officeDocument/2006/relationships/hyperlink" Target="https://drive.google.com/file/d/1gNk100ECtoipRo_w-rdmmLqRG_Iva1eF/view?usp=drivesdk" TargetMode="External"/><Relationship Id="rId3977" Type="http://schemas.openxmlformats.org/officeDocument/2006/relationships/hyperlink" Target="https://drive.google.com/file/d/1gwtnR56R6tqwpLSEBx85AxIj2ylnTWVj/view?usp=drivesdk" TargetMode="External"/><Relationship Id="rId1315" Type="http://schemas.openxmlformats.org/officeDocument/2006/relationships/hyperlink" Target="https://drive.google.com/file/d/1cbPnc9SVeNgjfGGnWFh_TprY4B-937NM/view?usp=drivesdk" TargetMode="External"/><Relationship Id="rId2646" Type="http://schemas.openxmlformats.org/officeDocument/2006/relationships/hyperlink" Target="https://drive.google.com/file/d/1Dw_tDseRwcUqsNsA1xUiZc35Pal0QQNL/view?usp=drivesdk" TargetMode="External"/><Relationship Id="rId3976" Type="http://schemas.openxmlformats.org/officeDocument/2006/relationships/hyperlink" Target="https://drive.google.com/file/d/155wllZqaVr4ympBHd4Txt4uI9DwnOFeW/view?usp=drivesdk" TargetMode="External"/><Relationship Id="rId1316" Type="http://schemas.openxmlformats.org/officeDocument/2006/relationships/hyperlink" Target="https://drive.google.com/file/d/181yieASZ1ptOvCCm8R19g9iu4hLHSIaW/view?usp=drivesdk" TargetMode="External"/><Relationship Id="rId2647" Type="http://schemas.openxmlformats.org/officeDocument/2006/relationships/hyperlink" Target="https://drive.google.com/file/d/1Eyq-EE1x04xor0P0cT9RC8Q0bV7c-gEl/view?usp=drivesdk" TargetMode="External"/><Relationship Id="rId3979" Type="http://schemas.openxmlformats.org/officeDocument/2006/relationships/hyperlink" Target="https://drive.google.com/file/d/1Wx5kL6DD_gt95VR3ib6ewOEOUZjZvhHj/view?usp=drivesdk" TargetMode="External"/><Relationship Id="rId1317" Type="http://schemas.openxmlformats.org/officeDocument/2006/relationships/hyperlink" Target="https://drive.google.com/file/d/1kvEJ3B82l9T_tViGbgCpgC_ojE4Yotxk/view?usp=drivesdk" TargetMode="External"/><Relationship Id="rId2648" Type="http://schemas.openxmlformats.org/officeDocument/2006/relationships/hyperlink" Target="https://drive.google.com/file/d/10bjw9q1dL-xePvj6gvmmD5jaQmyEBWkq/view?usp=drivesdk" TargetMode="External"/><Relationship Id="rId3978" Type="http://schemas.openxmlformats.org/officeDocument/2006/relationships/hyperlink" Target="https://drive.google.com/file/d/1Y87eEKLj49dJw8ymAal9cb5NiIbN7Wu2/view?usp=drivesdk" TargetMode="External"/><Relationship Id="rId1318" Type="http://schemas.openxmlformats.org/officeDocument/2006/relationships/hyperlink" Target="https://drive.google.com/file/d/11XlU97Or0-Zn8eNMiFA12sBmjAiuibDK/view?usp=drivesdk" TargetMode="External"/><Relationship Id="rId2649" Type="http://schemas.openxmlformats.org/officeDocument/2006/relationships/hyperlink" Target="https://drive.google.com/file/d/1w7LkJJpWhRPYfGUR9dJxm5ATumTfHvr1/view?usp=drivesdk" TargetMode="External"/><Relationship Id="rId1319" Type="http://schemas.openxmlformats.org/officeDocument/2006/relationships/hyperlink" Target="https://drive.google.com/file/d/1hJ7Wmg5aTYwH2wpX-z1jH2DHi9ANSoC5/view?usp=drivesdk" TargetMode="External"/><Relationship Id="rId729" Type="http://schemas.openxmlformats.org/officeDocument/2006/relationships/hyperlink" Target="https://drive.google.com/file/d/1DQP1rVHXXTy64j26IlsSGLphgZWUr7IQ/view?usp=drivesdk" TargetMode="External"/><Relationship Id="rId728" Type="http://schemas.openxmlformats.org/officeDocument/2006/relationships/hyperlink" Target="https://drive.google.com/file/d/1lZaFNRYKJmHdpTa_dB9uf-KwGIFGbjCW/view?usp=drivesdk" TargetMode="External"/><Relationship Id="rId723" Type="http://schemas.openxmlformats.org/officeDocument/2006/relationships/hyperlink" Target="https://drive.google.com/file/d/1wjIbZayuL3SVTAa9Aq-8-K1yYdcLU0gW/view?usp=drivesdk" TargetMode="External"/><Relationship Id="rId722" Type="http://schemas.openxmlformats.org/officeDocument/2006/relationships/hyperlink" Target="https://drive.google.com/file/d/14I7u4OatIc2VidkmyHcsQHd1kA1JtAA_/view?usp=drivesdk" TargetMode="External"/><Relationship Id="rId721" Type="http://schemas.openxmlformats.org/officeDocument/2006/relationships/hyperlink" Target="https://drive.google.com/file/d/1LqRgxMx-yGhh2qQRrwrkdyKFc44EDKFf/view?usp=drivesdk" TargetMode="External"/><Relationship Id="rId720" Type="http://schemas.openxmlformats.org/officeDocument/2006/relationships/hyperlink" Target="https://drive.google.com/file/d/1Z2DWgubMwC6NoWNiKD2B77E3PXFV8kse/view?usp=drivesdk" TargetMode="External"/><Relationship Id="rId727" Type="http://schemas.openxmlformats.org/officeDocument/2006/relationships/hyperlink" Target="https://drive.google.com/file/d/1P0fSfWc09otltoDGdZpX-eRp-MfIZdKr/view?usp=drivesdk" TargetMode="External"/><Relationship Id="rId726" Type="http://schemas.openxmlformats.org/officeDocument/2006/relationships/hyperlink" Target="https://drive.google.com/file/d/1-PrsV6sxlVwkywtV0LituvoZxp-r00Vf/view?usp=drivesdk" TargetMode="External"/><Relationship Id="rId725" Type="http://schemas.openxmlformats.org/officeDocument/2006/relationships/hyperlink" Target="https://drive.google.com/file/d/1tPRWY_0HS3YSsMvL_RqgB1b1rIVE47H1/view?usp=drivesdk" TargetMode="External"/><Relationship Id="rId724" Type="http://schemas.openxmlformats.org/officeDocument/2006/relationships/hyperlink" Target="https://drive.google.com/file/d/1tn6RPDFWz9RmZAbmMK1TivOEAFXjaHQ_/view?usp=drivesdk" TargetMode="External"/><Relationship Id="rId3971" Type="http://schemas.openxmlformats.org/officeDocument/2006/relationships/hyperlink" Target="https://drive.google.com/file/d/1syk9SS0ocC0YpY9yDMmibFmqLtFUAE7g/view?usp=drivesdk" TargetMode="External"/><Relationship Id="rId2640" Type="http://schemas.openxmlformats.org/officeDocument/2006/relationships/hyperlink" Target="https://drive.google.com/file/d/1i2QlvBHkH-wp2KgoQataAHSrcNtq4RDb/view?usp=drivesdk" TargetMode="External"/><Relationship Id="rId3970" Type="http://schemas.openxmlformats.org/officeDocument/2006/relationships/hyperlink" Target="https://drive.google.com/file/d/1lGgjm4bhpYJllq_RHbAdAJr_S-0VXwUj/view?usp=drivesdk" TargetMode="External"/><Relationship Id="rId1310" Type="http://schemas.openxmlformats.org/officeDocument/2006/relationships/hyperlink" Target="https://drive.google.com/file/d/1o0SUK76A3eTxmZFbRmmhZvCyRCwFWSM8/view?usp=drivesdk" TargetMode="External"/><Relationship Id="rId2641" Type="http://schemas.openxmlformats.org/officeDocument/2006/relationships/hyperlink" Target="https://drive.google.com/file/d/16vlECuWt9OtpFAIOj3QjK2NOq_307JPx/view?usp=drivesdk" TargetMode="External"/><Relationship Id="rId3973" Type="http://schemas.openxmlformats.org/officeDocument/2006/relationships/hyperlink" Target="https://drive.google.com/file/d/19sezQkAZwmIhZwAxz28P1SN-9ET4vFc-/view?usp=drivesdk" TargetMode="External"/><Relationship Id="rId1311" Type="http://schemas.openxmlformats.org/officeDocument/2006/relationships/hyperlink" Target="https://drive.google.com/file/d/1gaTLULYaYukc-_CpxE6UlvpS469yB2EQ/view?usp=drivesdk" TargetMode="External"/><Relationship Id="rId2642" Type="http://schemas.openxmlformats.org/officeDocument/2006/relationships/hyperlink" Target="https://drive.google.com/file/d/1omAD6B6q2gDS-eLx98U5JmKiFpGsxeeB/view?usp=drivesdk" TargetMode="External"/><Relationship Id="rId3972" Type="http://schemas.openxmlformats.org/officeDocument/2006/relationships/hyperlink" Target="https://drive.google.com/file/d/1c5RxnYR18CjywFavhLPJv-8HudyUoxTt/view?usp=drivesdk" TargetMode="External"/><Relationship Id="rId1301" Type="http://schemas.openxmlformats.org/officeDocument/2006/relationships/hyperlink" Target="https://drive.google.com/file/d/11JrXfz6AdEo6AcibzECOv7MkZXJOaKsd/view?usp=drivesdk" TargetMode="External"/><Relationship Id="rId2632" Type="http://schemas.openxmlformats.org/officeDocument/2006/relationships/hyperlink" Target="https://drive.google.com/file/d/1x_k6Ej9ROlOz8j23AtorzIiVhvsdZBf5/view?usp=drivesdk" TargetMode="External"/><Relationship Id="rId3964" Type="http://schemas.openxmlformats.org/officeDocument/2006/relationships/hyperlink" Target="https://drive.google.com/file/d/1vosa10mIRQfuwkPP_LsdK5ZyVewPHNav/view?usp=drivesdk" TargetMode="External"/><Relationship Id="rId1302" Type="http://schemas.openxmlformats.org/officeDocument/2006/relationships/hyperlink" Target="https://drive.google.com/file/d/17_iBEoOYwHSurA3eU5Eo5yZh0QN2ivGD/view?usp=drivesdk" TargetMode="External"/><Relationship Id="rId2633" Type="http://schemas.openxmlformats.org/officeDocument/2006/relationships/hyperlink" Target="https://drive.google.com/file/d/1iHV5gIy_RLIeK_8PlhXIEIB-M87x-lyw/view?usp=drivesdk" TargetMode="External"/><Relationship Id="rId3963" Type="http://schemas.openxmlformats.org/officeDocument/2006/relationships/hyperlink" Target="https://drive.google.com/file/d/1nHZgJIFdZGoTpMm2Wnf2nAjOEeEUMguu/view?usp=drivesdk" TargetMode="External"/><Relationship Id="rId1303" Type="http://schemas.openxmlformats.org/officeDocument/2006/relationships/hyperlink" Target="https://drive.google.com/file/d/1n5KZOPjoY-9Q8MEBKRdHDWw1JyUfSw8X/view?usp=drivesdk" TargetMode="External"/><Relationship Id="rId2634" Type="http://schemas.openxmlformats.org/officeDocument/2006/relationships/hyperlink" Target="https://drive.google.com/file/d/1PtKTSiBWKuFPoqxJI7mAiilMffsRCsm5/view?usp=drivesdk" TargetMode="External"/><Relationship Id="rId3966" Type="http://schemas.openxmlformats.org/officeDocument/2006/relationships/hyperlink" Target="https://drive.google.com/file/d/1Qdfepl7wlD4qgoErGidNhOeoQHpXu6px/view?usp=drivesdk" TargetMode="External"/><Relationship Id="rId1304" Type="http://schemas.openxmlformats.org/officeDocument/2006/relationships/hyperlink" Target="https://drive.google.com/file/d/1CGauk0SnMfVFswQaGH5yQ3dkR31OMD6c/view?usp=drivesdk" TargetMode="External"/><Relationship Id="rId2635" Type="http://schemas.openxmlformats.org/officeDocument/2006/relationships/hyperlink" Target="https://drive.google.com/file/d/1YlDR09UHqbVynw-fMQ1RyY43SA53tBrd/view?usp=drivesdk" TargetMode="External"/><Relationship Id="rId3965" Type="http://schemas.openxmlformats.org/officeDocument/2006/relationships/hyperlink" Target="https://drive.google.com/file/d/1bS_kbwWnaHYS_dQhqgBfmVtAfIJCDN3y/view?usp=drivesdk" TargetMode="External"/><Relationship Id="rId1305" Type="http://schemas.openxmlformats.org/officeDocument/2006/relationships/hyperlink" Target="https://drive.google.com/file/d/1xT0OlbtIeyLfCaPkIDGqplCz5bHVm9nb/view?usp=drivesdk" TargetMode="External"/><Relationship Id="rId2636" Type="http://schemas.openxmlformats.org/officeDocument/2006/relationships/hyperlink" Target="https://drive.google.com/file/d/1Ebsj9M8umEw6q6SSAcXYdqp9lr4mdPIS/view?usp=drivesdk" TargetMode="External"/><Relationship Id="rId3968" Type="http://schemas.openxmlformats.org/officeDocument/2006/relationships/hyperlink" Target="https://drive.google.com/file/d/1fENQdYon8L5W8nS7KulYM22-WXGlem55/view?usp=drivesdk" TargetMode="External"/><Relationship Id="rId1306" Type="http://schemas.openxmlformats.org/officeDocument/2006/relationships/hyperlink" Target="https://drive.google.com/file/d/16CNPfPr7mGDgJQdO2svZdrh1NkgCNkkY/view?usp=drivesdk" TargetMode="External"/><Relationship Id="rId2637" Type="http://schemas.openxmlformats.org/officeDocument/2006/relationships/hyperlink" Target="https://drive.google.com/file/d/1QCyg0p9KNSdqiRMZ-_iL8Fs9Fk7NxJFm/view?usp=drivesdk" TargetMode="External"/><Relationship Id="rId3967" Type="http://schemas.openxmlformats.org/officeDocument/2006/relationships/hyperlink" Target="https://drive.google.com/file/d/1iB7-QtHQv9_k998e8gqIUdgFWjd3nNx9/view?usp=drivesdk" TargetMode="External"/><Relationship Id="rId1307" Type="http://schemas.openxmlformats.org/officeDocument/2006/relationships/hyperlink" Target="https://drive.google.com/file/d/13sYvn0Xd-ekqeZF_33UFMX6xEMg4SQMQ/view?usp=drivesdk" TargetMode="External"/><Relationship Id="rId2638" Type="http://schemas.openxmlformats.org/officeDocument/2006/relationships/hyperlink" Target="https://drive.google.com/file/d/1cIM2JKqMhof7u8FeFBlc6BFwGi1hNkhn/view?usp=drivesdk" TargetMode="External"/><Relationship Id="rId1308" Type="http://schemas.openxmlformats.org/officeDocument/2006/relationships/hyperlink" Target="https://drive.google.com/file/d/1xIIV_U2y-if-2eKt1fVNtBlOBm3XZtik/view?usp=drivesdk" TargetMode="External"/><Relationship Id="rId2639" Type="http://schemas.openxmlformats.org/officeDocument/2006/relationships/hyperlink" Target="https://drive.google.com/file/d/10MzKaCIAADq_8B9kqvb-iz-cw-BzQEI4/view?usp=drivesdk" TargetMode="External"/><Relationship Id="rId3969" Type="http://schemas.openxmlformats.org/officeDocument/2006/relationships/hyperlink" Target="https://drive.google.com/file/d/1gKLlggNp7NKRBkQ7EwqiDY78qMIrIztB/view?usp=drivesdk" TargetMode="External"/><Relationship Id="rId1309" Type="http://schemas.openxmlformats.org/officeDocument/2006/relationships/hyperlink" Target="https://drive.google.com/file/d/17bP8rF2zKOkEy4bijfJ6wSrMFzXWvmAM/view?usp=drivesdk" TargetMode="External"/><Relationship Id="rId719" Type="http://schemas.openxmlformats.org/officeDocument/2006/relationships/hyperlink" Target="https://drive.google.com/file/d/1cJ0A21nJcLPuiQYv1raJ1l7W3bsUJd3o/view?usp=drivesdk" TargetMode="External"/><Relationship Id="rId718" Type="http://schemas.openxmlformats.org/officeDocument/2006/relationships/hyperlink" Target="https://drive.google.com/file/d/1zOlU6wT2SqYB1CBp_WJ-Kvg7FYpUCDv5/view?usp=drivesdk" TargetMode="External"/><Relationship Id="rId717" Type="http://schemas.openxmlformats.org/officeDocument/2006/relationships/hyperlink" Target="https://drive.google.com/file/d/1y2eCAzsuyNtnugJNvivqwZsj-rTeU-sc/view?usp=drivesdk" TargetMode="External"/><Relationship Id="rId712" Type="http://schemas.openxmlformats.org/officeDocument/2006/relationships/hyperlink" Target="https://drive.google.com/file/d/1KYnOAp2qOO4Nvvf5SqdrBZn-rXwYkXUj/view?usp=drivesdk" TargetMode="External"/><Relationship Id="rId711" Type="http://schemas.openxmlformats.org/officeDocument/2006/relationships/hyperlink" Target="https://drive.google.com/file/d/151eXtm8N0JQPw2DXkOw3uLZeQgTq4H8C/view?usp=drivesdk" TargetMode="External"/><Relationship Id="rId710" Type="http://schemas.openxmlformats.org/officeDocument/2006/relationships/hyperlink" Target="https://drive.google.com/file/d/1Y8ucXEkS6Pe5jh3rtTciE9gdclZ9zOid/view?usp=drivesdk" TargetMode="External"/><Relationship Id="rId716" Type="http://schemas.openxmlformats.org/officeDocument/2006/relationships/hyperlink" Target="https://drive.google.com/file/d/1mom1YDncJlsEc4L6yG1rDktrRySWUGmd/view?usp=drivesdk" TargetMode="External"/><Relationship Id="rId715" Type="http://schemas.openxmlformats.org/officeDocument/2006/relationships/hyperlink" Target="https://drive.google.com/file/d/1OBSfM4OaG-GoOrPFH2pYeb3Bsam1QLuy/view?usp=drivesdk" TargetMode="External"/><Relationship Id="rId714" Type="http://schemas.openxmlformats.org/officeDocument/2006/relationships/hyperlink" Target="https://drive.google.com/file/d/1jAH3YSGWDxrGLZ9Ad85Z2Yp7tGFd84v8/view?usp=drivesdk" TargetMode="External"/><Relationship Id="rId713" Type="http://schemas.openxmlformats.org/officeDocument/2006/relationships/hyperlink" Target="https://drive.google.com/file/d/1UJy1Yk5fXxE537SQSGiP7SEie9TZCANW/view?usp=drivesdk" TargetMode="External"/><Relationship Id="rId3960" Type="http://schemas.openxmlformats.org/officeDocument/2006/relationships/hyperlink" Target="https://drive.google.com/file/d/1UiXBJU99pviGSvtBn3um2ngRR2IdNRuB/view?usp=drivesdk" TargetMode="External"/><Relationship Id="rId2630" Type="http://schemas.openxmlformats.org/officeDocument/2006/relationships/hyperlink" Target="https://drive.google.com/file/d/1hYVyP1qq0FSiCxvLq31RIQSJpH4RmPbt/view?usp=drivesdk" TargetMode="External"/><Relationship Id="rId3962" Type="http://schemas.openxmlformats.org/officeDocument/2006/relationships/hyperlink" Target="https://drive.google.com/file/d/101YV3wE451kskr7E7FKc1-P0fGOz3ZdJ/view?usp=drivesdk" TargetMode="External"/><Relationship Id="rId1300" Type="http://schemas.openxmlformats.org/officeDocument/2006/relationships/hyperlink" Target="https://drive.google.com/file/d/198NSkqUEs_8xRxxbc73vf_CTlbRmpul_/view?usp=drivesdk" TargetMode="External"/><Relationship Id="rId2631" Type="http://schemas.openxmlformats.org/officeDocument/2006/relationships/hyperlink" Target="https://drive.google.com/file/d/1wuXhhwRAH22pMc7_iIWA_-0Mk1ZUt7Mi/view?usp=drivesdk" TargetMode="External"/><Relationship Id="rId3961" Type="http://schemas.openxmlformats.org/officeDocument/2006/relationships/hyperlink" Target="https://drive.google.com/file/d/11U4IAwuKqQau-4Gz5wVAHe-lKRj4XtME/view?usp=drivesdk" TargetMode="External"/><Relationship Id="rId8806" Type="http://schemas.openxmlformats.org/officeDocument/2006/relationships/drawing" Target="../drawings/drawing1.xml"/><Relationship Id="rId8805" Type="http://schemas.openxmlformats.org/officeDocument/2006/relationships/hyperlink" Target="https://drive.google.com/file/d/1_W1jxU_lhTB6wOWFNXUL6MbOLvHN6kWU/view?usp=drivesdk" TargetMode="External"/><Relationship Id="rId8804" Type="http://schemas.openxmlformats.org/officeDocument/2006/relationships/hyperlink" Target="https://drive.google.com/file/d/1ph5TVCJXA5O1K0Mf7mOH1DZ6D2z1XM8f/view?usp=drivesdk" TargetMode="External"/><Relationship Id="rId8803" Type="http://schemas.openxmlformats.org/officeDocument/2006/relationships/hyperlink" Target="https://drive.google.com/file/d/1P2Zm5bmn327bk7ECrGxidymc143UW3bB/view?usp=drivesdk" TargetMode="External"/><Relationship Id="rId8802" Type="http://schemas.openxmlformats.org/officeDocument/2006/relationships/hyperlink" Target="https://drive.google.com/file/d/1QzDCQnbxVzpOL5QZoNNqZrlNyKmyuSkR/view?usp=drivesdk" TargetMode="External"/><Relationship Id="rId8801" Type="http://schemas.openxmlformats.org/officeDocument/2006/relationships/hyperlink" Target="https://drive.google.com/file/d/1OrL2yvHCrKgE8GHYoWRX-J9XpAq1xrhp/view?usp=drivesdk" TargetMode="External"/><Relationship Id="rId8800" Type="http://schemas.openxmlformats.org/officeDocument/2006/relationships/hyperlink" Target="https://drive.google.com/file/d/14O22HZeWavd7BeIoDOR4uCmprZisYvoo/view?usp=drivesdk" TargetMode="External"/><Relationship Id="rId1378" Type="http://schemas.openxmlformats.org/officeDocument/2006/relationships/hyperlink" Target="https://drive.google.com/file/d/1AznlfPiE5JOLo43rACq1MBgb98f4FVTH/view?usp=drivesdk" TargetMode="External"/><Relationship Id="rId1379" Type="http://schemas.openxmlformats.org/officeDocument/2006/relationships/hyperlink" Target="https://drive.google.com/file/d/13yho8srp5pVHYJfFYRi6a8-zR3NJnnpc/view?usp=drivesdk" TargetMode="External"/><Relationship Id="rId789" Type="http://schemas.openxmlformats.org/officeDocument/2006/relationships/hyperlink" Target="https://drive.google.com/file/d/1Qqkc3YicjlraXk5sQ7BWtpA9JOfQixsd/view?usp=drivesdk" TargetMode="External"/><Relationship Id="rId788" Type="http://schemas.openxmlformats.org/officeDocument/2006/relationships/hyperlink" Target="https://drive.google.com/file/d/1Z3H5YRqzawwpr231VLEA6gOrI7cwR0a7/view?usp=drivesdk" TargetMode="External"/><Relationship Id="rId787" Type="http://schemas.openxmlformats.org/officeDocument/2006/relationships/hyperlink" Target="https://drive.google.com/file/d/1GlZGnE8ygXNRZ5uUru0vaO1QDai1NMTl/view?usp=drivesdk" TargetMode="External"/><Relationship Id="rId786" Type="http://schemas.openxmlformats.org/officeDocument/2006/relationships/hyperlink" Target="https://drive.google.com/file/d/1rSz_eqgsfID32-aGkyqFD_BZXJk4BRSW/view?usp=drivesdk" TargetMode="External"/><Relationship Id="rId781" Type="http://schemas.openxmlformats.org/officeDocument/2006/relationships/hyperlink" Target="https://drive.google.com/file/d/1QB9vn8psTKrA6QYsw0zuu7-qOvMElXSD/view?usp=drivesdk" TargetMode="External"/><Relationship Id="rId1370" Type="http://schemas.openxmlformats.org/officeDocument/2006/relationships/hyperlink" Target="https://drive.google.com/file/d/1eo_L-2M5uprHmPfbEY20ypB9lk1uVpaN/view?usp=drivesdk" TargetMode="External"/><Relationship Id="rId780" Type="http://schemas.openxmlformats.org/officeDocument/2006/relationships/hyperlink" Target="https://drive.google.com/file/d/1JmQJfh3Yn47rmwn8EEar_vleVJntXP_5/view?usp=drivesdk" TargetMode="External"/><Relationship Id="rId1371" Type="http://schemas.openxmlformats.org/officeDocument/2006/relationships/hyperlink" Target="https://drive.google.com/file/d/13350HQULTAUYwIarmtCcXWXlJ_jE5dAA/view?usp=drivesdk" TargetMode="External"/><Relationship Id="rId1372" Type="http://schemas.openxmlformats.org/officeDocument/2006/relationships/hyperlink" Target="https://drive.google.com/file/d/1Knzog5--PMPc8_lbDwaD8OqRmuAMyeP7/view?usp=drivesdk" TargetMode="External"/><Relationship Id="rId1373" Type="http://schemas.openxmlformats.org/officeDocument/2006/relationships/hyperlink" Target="https://drive.google.com/file/d/1UxT_PMBkXjTQymwzYwanr5h5A-ao-_rG/view?usp=drivesdk" TargetMode="External"/><Relationship Id="rId785" Type="http://schemas.openxmlformats.org/officeDocument/2006/relationships/hyperlink" Target="https://drive.google.com/file/d/15PvzJtoF3dEv0v5oG2bFQbCrH89cYBmS/view?usp=drivesdk" TargetMode="External"/><Relationship Id="rId1374" Type="http://schemas.openxmlformats.org/officeDocument/2006/relationships/hyperlink" Target="https://drive.google.com/file/d/1Bi3sl-gWpWuA49JphmZzG26TlgEoGCDc/view?usp=drivesdk" TargetMode="External"/><Relationship Id="rId784" Type="http://schemas.openxmlformats.org/officeDocument/2006/relationships/hyperlink" Target="https://drive.google.com/file/d/1WH6Ie0M4iA9ZwQDgQB07iqHfCOlxk_6Q/view?usp=drivesdk" TargetMode="External"/><Relationship Id="rId1375" Type="http://schemas.openxmlformats.org/officeDocument/2006/relationships/hyperlink" Target="https://drive.google.com/file/d/1iQL3H8IWcA94CY90JaEUcTT37-uVFJZz/view?usp=drivesdk" TargetMode="External"/><Relationship Id="rId783" Type="http://schemas.openxmlformats.org/officeDocument/2006/relationships/hyperlink" Target="https://drive.google.com/file/d/1eP3JPUzflLHzrHqych5zdHbvolVIC1pU/view?usp=drivesdk" TargetMode="External"/><Relationship Id="rId1376" Type="http://schemas.openxmlformats.org/officeDocument/2006/relationships/hyperlink" Target="https://drive.google.com/file/d/15Czpiv7k4nHnuVVOPNLzyBQO46S-fClV/view?usp=drivesdk" TargetMode="External"/><Relationship Id="rId782" Type="http://schemas.openxmlformats.org/officeDocument/2006/relationships/hyperlink" Target="https://drive.google.com/file/d/1qt0Ikw5S48LWKqoUJAVhYmhNfLzdW9-R/view?usp=drivesdk" TargetMode="External"/><Relationship Id="rId1377" Type="http://schemas.openxmlformats.org/officeDocument/2006/relationships/hyperlink" Target="https://drive.google.com/file/d/1h1etXo2C0j8s3ttttNUEQ7vW7B5sTA85/view?usp=drivesdk" TargetMode="External"/><Relationship Id="rId1367" Type="http://schemas.openxmlformats.org/officeDocument/2006/relationships/hyperlink" Target="https://drive.google.com/file/d/1sEJwQ0gbxFzEu66gEXDh_dAvhyWu5xa_/view?usp=drivesdk" TargetMode="External"/><Relationship Id="rId2698" Type="http://schemas.openxmlformats.org/officeDocument/2006/relationships/hyperlink" Target="https://drive.google.com/file/d/13Ywchq9-UhAIewHMAHyTC7rPpjYbFZja/view?usp=drivesdk" TargetMode="External"/><Relationship Id="rId1368" Type="http://schemas.openxmlformats.org/officeDocument/2006/relationships/hyperlink" Target="https://drive.google.com/file/d/13mfx0UwzU0FGe37YtWS6CDQ1e2Q3zUpM/view?usp=drivesdk" TargetMode="External"/><Relationship Id="rId2699" Type="http://schemas.openxmlformats.org/officeDocument/2006/relationships/hyperlink" Target="https://drive.google.com/file/d/1UsrTolhir8nKsdpuZ7uLd_bb1urwqdou/view?usp=drivesdk" TargetMode="External"/><Relationship Id="rId1369" Type="http://schemas.openxmlformats.org/officeDocument/2006/relationships/hyperlink" Target="https://drive.google.com/file/d/1AOGRoezkxY3fJmUsth-SUqqLJ-sjEq3o/view?usp=drivesdk" TargetMode="External"/><Relationship Id="rId778" Type="http://schemas.openxmlformats.org/officeDocument/2006/relationships/hyperlink" Target="https://drive.google.com/file/d/1c30Z6lkNJiFrQNNVqiBqqYxbGZjiZINz/view?usp=drivesdk" TargetMode="External"/><Relationship Id="rId777" Type="http://schemas.openxmlformats.org/officeDocument/2006/relationships/hyperlink" Target="https://drive.google.com/file/d/1wHZrto6pU_oe8Tt5ALJB7X9CHzQxS_IW/view?usp=drivesdk" TargetMode="External"/><Relationship Id="rId776" Type="http://schemas.openxmlformats.org/officeDocument/2006/relationships/hyperlink" Target="https://drive.google.com/file/d/1hhna53_wVyegr7yHOcwctfuj1OToC_e2/view?usp=drivesdk" TargetMode="External"/><Relationship Id="rId775" Type="http://schemas.openxmlformats.org/officeDocument/2006/relationships/hyperlink" Target="https://drive.google.com/file/d/1YUNCjgImAQswMQLgoGrJZ1gCVgUCOGqZ/view?usp=drivesdk" TargetMode="External"/><Relationship Id="rId779" Type="http://schemas.openxmlformats.org/officeDocument/2006/relationships/hyperlink" Target="https://drive.google.com/file/d/1rZ_25Ia2Tyy1tX1A9M83TpjrEHU4Xhdc/view?usp=drivesdk" TargetMode="External"/><Relationship Id="rId770" Type="http://schemas.openxmlformats.org/officeDocument/2006/relationships/hyperlink" Target="https://drive.google.com/file/d/1Ho1e4BXwKneeitcsdRJUodIOGNhUXIV5/view?usp=drivesdk" TargetMode="External"/><Relationship Id="rId2690" Type="http://schemas.openxmlformats.org/officeDocument/2006/relationships/hyperlink" Target="https://drive.google.com/file/d/1RkbP-FClkXDQZRojzyHfxAEheJii1tFT/view?usp=drivesdk" TargetMode="External"/><Relationship Id="rId1360" Type="http://schemas.openxmlformats.org/officeDocument/2006/relationships/hyperlink" Target="https://drive.google.com/file/d/12eU6Zxbdj_Cgn9spO6Z8P55x9ykXrpZk/view?usp=drivesdk" TargetMode="External"/><Relationship Id="rId2691" Type="http://schemas.openxmlformats.org/officeDocument/2006/relationships/hyperlink" Target="https://drive.google.com/file/d/1pLVPdPZTVlxL-OmigL69Gn2Mgf2LUTv2/view?usp=drivesdk" TargetMode="External"/><Relationship Id="rId1361" Type="http://schemas.openxmlformats.org/officeDocument/2006/relationships/hyperlink" Target="https://drive.google.com/file/d/1uFezy2G1WlKLSKnn7EWbehTE7lrlJhSl/view?usp=drivesdk" TargetMode="External"/><Relationship Id="rId2692" Type="http://schemas.openxmlformats.org/officeDocument/2006/relationships/hyperlink" Target="https://drive.google.com/file/d/1MFmvVuSrt6iA4s6iQkJ4qAbz957y2a3E/view?usp=drivesdk" TargetMode="External"/><Relationship Id="rId1362" Type="http://schemas.openxmlformats.org/officeDocument/2006/relationships/hyperlink" Target="https://drive.google.com/file/d/1-8vxiZ2MjEWetAjFRn1PltooJaOiRc_h/view?usp=drivesdk" TargetMode="External"/><Relationship Id="rId2693" Type="http://schemas.openxmlformats.org/officeDocument/2006/relationships/hyperlink" Target="https://drive.google.com/file/d/1ayfIxPMdJQ9lGXq9GyRLZKFim0_YA6ZB/view?usp=drivesdk" TargetMode="External"/><Relationship Id="rId774" Type="http://schemas.openxmlformats.org/officeDocument/2006/relationships/hyperlink" Target="https://drive.google.com/file/d/1P9_uNUjnapDHv2q9HReZ0CMC8MqzO6MP/view?usp=drivesdk" TargetMode="External"/><Relationship Id="rId1363" Type="http://schemas.openxmlformats.org/officeDocument/2006/relationships/hyperlink" Target="https://drive.google.com/file/d/1D-m5rhjHE89xkD2W2D5ZWiRdGb6jlihV/view?usp=drivesdk" TargetMode="External"/><Relationship Id="rId2694" Type="http://schemas.openxmlformats.org/officeDocument/2006/relationships/hyperlink" Target="https://drive.google.com/file/d/1xRRQCb3s5h5DQtszAvOLzFuKZ1Bo5vZc/view?usp=drivesdk" TargetMode="External"/><Relationship Id="rId773" Type="http://schemas.openxmlformats.org/officeDocument/2006/relationships/hyperlink" Target="https://drive.google.com/file/d/1oT8MYx-vVY0B1z3kQki-lxh1a3mg8FYu/view?usp=drivesdk" TargetMode="External"/><Relationship Id="rId1364" Type="http://schemas.openxmlformats.org/officeDocument/2006/relationships/hyperlink" Target="https://drive.google.com/file/d/1NEMb_NZ5VsPxAFOMmTJj3TvBevMOGpHB/view?usp=drivesdk" TargetMode="External"/><Relationship Id="rId2695" Type="http://schemas.openxmlformats.org/officeDocument/2006/relationships/hyperlink" Target="https://drive.google.com/file/d/1IFWEjoh7drOFcKq2gaDAWrXD6tJ567ID/view?usp=drivesdk" TargetMode="External"/><Relationship Id="rId772" Type="http://schemas.openxmlformats.org/officeDocument/2006/relationships/hyperlink" Target="https://drive.google.com/file/d/1AKCCfrXIORdIafMwp-QG44Le7wRgg1Yv/view?usp=drivesdk" TargetMode="External"/><Relationship Id="rId1365" Type="http://schemas.openxmlformats.org/officeDocument/2006/relationships/hyperlink" Target="https://drive.google.com/file/d/11lZe2yL4GtAs_NfxWM9_lKsOKUi3MEQd/view?usp=drivesdk" TargetMode="External"/><Relationship Id="rId2696" Type="http://schemas.openxmlformats.org/officeDocument/2006/relationships/hyperlink" Target="https://drive.google.com/file/d/1ql0evL3LgzVCFlXUR-z485gb0JIHyto1/view?usp=drivesdk" TargetMode="External"/><Relationship Id="rId771" Type="http://schemas.openxmlformats.org/officeDocument/2006/relationships/hyperlink" Target="https://drive.google.com/file/d/1caV2kw1Dtf2kuL7ZaAal6cgU94gMrvOK/view?usp=drivesdk" TargetMode="External"/><Relationship Id="rId1366" Type="http://schemas.openxmlformats.org/officeDocument/2006/relationships/hyperlink" Target="https://drive.google.com/file/d/13nDSQvM33grCIBW_x3IyxNzMkVF-gfFe/view?usp=drivesdk" TargetMode="External"/><Relationship Id="rId2697" Type="http://schemas.openxmlformats.org/officeDocument/2006/relationships/hyperlink" Target="https://drive.google.com/file/d/1EqN2sdb7_DzJiwG557yx1JdVyeu6cQmj/view?usp=drivesdk" TargetMode="External"/><Relationship Id="rId1390" Type="http://schemas.openxmlformats.org/officeDocument/2006/relationships/hyperlink" Target="https://drive.google.com/file/d/1zR19Bhmzo4Zl5eb73-fOJU4Da0ArVGEr/view?usp=drivesdk" TargetMode="External"/><Relationship Id="rId1391" Type="http://schemas.openxmlformats.org/officeDocument/2006/relationships/hyperlink" Target="https://drive.google.com/file/d/1123X5S7GYZZl46b5WUX-_iHE0-KYb9N8/view?usp=drivesdk" TargetMode="External"/><Relationship Id="rId1392" Type="http://schemas.openxmlformats.org/officeDocument/2006/relationships/hyperlink" Target="https://drive.google.com/file/d/1PK67SGWDeNxqGxrw0UGVOkWt0EJXWISE/view?usp=drivesdk" TargetMode="External"/><Relationship Id="rId1393" Type="http://schemas.openxmlformats.org/officeDocument/2006/relationships/hyperlink" Target="https://drive.google.com/file/d/17EIioctBIe8-TVHeQuAKUwoKL__EKbH0/view?usp=drivesdk" TargetMode="External"/><Relationship Id="rId1394" Type="http://schemas.openxmlformats.org/officeDocument/2006/relationships/hyperlink" Target="https://drive.google.com/file/d/1S1bLDjboRgr2UsCD0TYOjXR_6SFbAkW2/view?usp=drivesdk" TargetMode="External"/><Relationship Id="rId1395" Type="http://schemas.openxmlformats.org/officeDocument/2006/relationships/hyperlink" Target="https://drive.google.com/file/d/15zs1JcRlbzBfte2wMORG6H0DqqiQjmTj/view?usp=drivesdk" TargetMode="External"/><Relationship Id="rId1396" Type="http://schemas.openxmlformats.org/officeDocument/2006/relationships/hyperlink" Target="https://drive.google.com/file/d/1C59RAlB7s8bBruHEhetMwEPU3IlkShq6/view?usp=drivesdk" TargetMode="External"/><Relationship Id="rId1397" Type="http://schemas.openxmlformats.org/officeDocument/2006/relationships/hyperlink" Target="https://drive.google.com/file/d/18uZ8KkdUWR9lfSG-VP9rM0V1WinfuwiI/view?usp=drivesdk" TargetMode="External"/><Relationship Id="rId1398" Type="http://schemas.openxmlformats.org/officeDocument/2006/relationships/hyperlink" Target="https://drive.google.com/file/d/1G__XNdhQW1tyQIDvdff0uOj4nBca9uPb/view?usp=drivesdk" TargetMode="External"/><Relationship Id="rId1399" Type="http://schemas.openxmlformats.org/officeDocument/2006/relationships/hyperlink" Target="https://drive.google.com/file/d/1NTOjRISO1IVFp8sfG8Dg54CEgN8EjLWI/view?usp=drivesdk" TargetMode="External"/><Relationship Id="rId1389" Type="http://schemas.openxmlformats.org/officeDocument/2006/relationships/hyperlink" Target="https://drive.google.com/file/d/1XtwIxwZ3T1_PT1WVaaU6NTNzxXd_wcTR/view?usp=drivesdk" TargetMode="External"/><Relationship Id="rId799" Type="http://schemas.openxmlformats.org/officeDocument/2006/relationships/hyperlink" Target="https://drive.google.com/file/d/1sIBXCu5v6E17ezxxd-ujddMbGBdMOh7p/view?usp=drivesdk" TargetMode="External"/><Relationship Id="rId798" Type="http://schemas.openxmlformats.org/officeDocument/2006/relationships/hyperlink" Target="https://drive.google.com/file/d/1WO84WXlBj4jfvu15Gbm0pNk8iK1c6RJY/view?usp=drivesdk" TargetMode="External"/><Relationship Id="rId797" Type="http://schemas.openxmlformats.org/officeDocument/2006/relationships/hyperlink" Target="https://drive.google.com/file/d/19La2sx1RSmbRHXZaR3NzMY3_Xr-5fw43/view?usp=drivesdk" TargetMode="External"/><Relationship Id="rId1380" Type="http://schemas.openxmlformats.org/officeDocument/2006/relationships/hyperlink" Target="https://drive.google.com/file/d/1BcVr2bZFmxoI0Dii_CcTOZD3sNXsQTyD/view?usp=drivesdk" TargetMode="External"/><Relationship Id="rId792" Type="http://schemas.openxmlformats.org/officeDocument/2006/relationships/hyperlink" Target="https://drive.google.com/file/d/1VsKDu5uIWc4U78jodBGRNUmEyMXiIpt7/view?usp=drivesdk" TargetMode="External"/><Relationship Id="rId1381" Type="http://schemas.openxmlformats.org/officeDocument/2006/relationships/hyperlink" Target="https://drive.google.com/file/d/1gHUIeFHY6wDfWmZ_3Q8iuy31THGSJBet/view?usp=drivesdk" TargetMode="External"/><Relationship Id="rId791" Type="http://schemas.openxmlformats.org/officeDocument/2006/relationships/hyperlink" Target="https://drive.google.com/file/d/1MktOGRZdm-uKjjfrisGGS_h7kzs05XQY/view?usp=drivesdk" TargetMode="External"/><Relationship Id="rId1382" Type="http://schemas.openxmlformats.org/officeDocument/2006/relationships/hyperlink" Target="https://drive.google.com/file/d/1zHUvtexEqU2PYGqI2EAHDEa51_-bssKz/view?usp=drivesdk" TargetMode="External"/><Relationship Id="rId790" Type="http://schemas.openxmlformats.org/officeDocument/2006/relationships/hyperlink" Target="https://drive.google.com/file/d/1dSog2cEM6l0lgy7Tps5STTx19FICAQ4m/view?usp=drivesdk" TargetMode="External"/><Relationship Id="rId1383" Type="http://schemas.openxmlformats.org/officeDocument/2006/relationships/hyperlink" Target="https://drive.google.com/file/d/1czmUuI5F2GP_p7rSvGTwuVITec7J0GB2/view?usp=drivesdk" TargetMode="External"/><Relationship Id="rId1384" Type="http://schemas.openxmlformats.org/officeDocument/2006/relationships/hyperlink" Target="https://drive.google.com/file/d/1MBlYCmKFA7AhL8iCdXiSzGaozSYspH1M/view?usp=drivesdk" TargetMode="External"/><Relationship Id="rId796" Type="http://schemas.openxmlformats.org/officeDocument/2006/relationships/hyperlink" Target="https://drive.google.com/file/d/1oWBEPV3IX1qXCylMlUubnV8EXcOa2g71/view?usp=drivesdk" TargetMode="External"/><Relationship Id="rId1385" Type="http://schemas.openxmlformats.org/officeDocument/2006/relationships/hyperlink" Target="https://drive.google.com/file/d/1UuFfu0uInJRXt4KIpETCEy_bdbxGFaOq/view?usp=drivesdk" TargetMode="External"/><Relationship Id="rId795" Type="http://schemas.openxmlformats.org/officeDocument/2006/relationships/hyperlink" Target="https://drive.google.com/file/d/1h3fR-rHK13e4evewpu3u4EXhewsG5MMj/view?usp=drivesdk" TargetMode="External"/><Relationship Id="rId1386" Type="http://schemas.openxmlformats.org/officeDocument/2006/relationships/hyperlink" Target="https://drive.google.com/file/d/1b1ugSk4cnlBd033UFaHoN2Y2DX145P4P/view?usp=drivesdk" TargetMode="External"/><Relationship Id="rId794" Type="http://schemas.openxmlformats.org/officeDocument/2006/relationships/hyperlink" Target="https://drive.google.com/file/d/1Bmey6nBYGZ3g-V98U1ropffmU47F-w4H/view?usp=drivesdk" TargetMode="External"/><Relationship Id="rId1387" Type="http://schemas.openxmlformats.org/officeDocument/2006/relationships/hyperlink" Target="https://drive.google.com/file/d/1-mqDe3oLJeaAiQdBCvhZqjXtEwNGAfIQ/view?usp=drivesdk" TargetMode="External"/><Relationship Id="rId793" Type="http://schemas.openxmlformats.org/officeDocument/2006/relationships/hyperlink" Target="https://drive.google.com/file/d/1_EKDTZV3w4_4nlM1njnrFhRja0Us5xB-/view?usp=drivesdk" TargetMode="External"/><Relationship Id="rId1388" Type="http://schemas.openxmlformats.org/officeDocument/2006/relationships/hyperlink" Target="https://drive.google.com/file/d/1b2YxSynw-rQiCa--vORx3unSmmAGdZGw/view?usp=drivesdk" TargetMode="External"/><Relationship Id="rId6229" Type="http://schemas.openxmlformats.org/officeDocument/2006/relationships/hyperlink" Target="https://drive.google.com/file/d/1fIKT4KriwslF4kySmsfgHXFGrvktI8o5/view?usp=drivesdk" TargetMode="External"/><Relationship Id="rId7551" Type="http://schemas.openxmlformats.org/officeDocument/2006/relationships/hyperlink" Target="https://drive.google.com/file/d/1QUdxEhSyelIiEM2pxsfIGNWl9vI4ZYQc/view?usp=drivesdk" TargetMode="External"/><Relationship Id="rId6220" Type="http://schemas.openxmlformats.org/officeDocument/2006/relationships/hyperlink" Target="https://drive.google.com/file/d/1Gnf-78lXpXX0TaKxleHVdYDRGOaiRKj6/view?usp=drivesdk" TargetMode="External"/><Relationship Id="rId7550" Type="http://schemas.openxmlformats.org/officeDocument/2006/relationships/hyperlink" Target="https://drive.google.com/file/d/14mfR6iYoUEMk5i9AADqhdzs3tQVml-jc/view?usp=drivesdk" TargetMode="External"/><Relationship Id="rId6223" Type="http://schemas.openxmlformats.org/officeDocument/2006/relationships/hyperlink" Target="https://drive.google.com/file/d/1ukg-nB5b0t_QYBuOxZBN3Bj64jQNnjus/view?usp=drivesdk" TargetMode="External"/><Relationship Id="rId7555" Type="http://schemas.openxmlformats.org/officeDocument/2006/relationships/hyperlink" Target="https://drive.google.com/file/d/1g0EM_r9YTUcQtZ52B43mmDadEtBAZK_k/view?usp=drivesdk" TargetMode="External"/><Relationship Id="rId6224" Type="http://schemas.openxmlformats.org/officeDocument/2006/relationships/hyperlink" Target="https://drive.google.com/file/d/1ercO4303hb2X-fOGkrXbgbCZ02MnEMvN/view?usp=drivesdk" TargetMode="External"/><Relationship Id="rId7554" Type="http://schemas.openxmlformats.org/officeDocument/2006/relationships/hyperlink" Target="https://drive.google.com/file/d/1Fvpz-0FLkwK9B4Mat5wQTpm1yb28QiWt/view?usp=drivesdk" TargetMode="External"/><Relationship Id="rId6221" Type="http://schemas.openxmlformats.org/officeDocument/2006/relationships/hyperlink" Target="https://drive.google.com/file/d/1SCfzZQiWyRVkg5BUrT3KF482gby6qMON/view?usp=drivesdk" TargetMode="External"/><Relationship Id="rId7553" Type="http://schemas.openxmlformats.org/officeDocument/2006/relationships/hyperlink" Target="https://drive.google.com/file/d/1FcnvjCY0bG_YWgXbEAMcupUliQ5eXx2w/view?usp=drivesdk" TargetMode="External"/><Relationship Id="rId6222" Type="http://schemas.openxmlformats.org/officeDocument/2006/relationships/hyperlink" Target="https://drive.google.com/file/d/1dnT9J53z41g6HQgJJaeHOkcqLHPTL_rl/view?usp=drivesdk" TargetMode="External"/><Relationship Id="rId7552" Type="http://schemas.openxmlformats.org/officeDocument/2006/relationships/hyperlink" Target="https://drive.google.com/file/d/1_ZVCM1npiy4BgCjnrONe_1jaN_cXCngV/view?usp=drivesdk" TargetMode="External"/><Relationship Id="rId6227" Type="http://schemas.openxmlformats.org/officeDocument/2006/relationships/hyperlink" Target="https://drive.google.com/file/d/1EA0xyBN0Gc8ccN-01raMZnNgs036DAB6/view?usp=drivesdk" TargetMode="External"/><Relationship Id="rId7559" Type="http://schemas.openxmlformats.org/officeDocument/2006/relationships/hyperlink" Target="https://drive.google.com/file/d/1qRNFWjOlLdgECbCtXQk_ttS7r78bjKXy/view?usp=drivesdk" TargetMode="External"/><Relationship Id="rId6228" Type="http://schemas.openxmlformats.org/officeDocument/2006/relationships/hyperlink" Target="https://drive.google.com/file/d/1OvuIFYEL-Q6Cg5ZsFn9n96Uzqov0mmmP/view?usp=drivesdk" TargetMode="External"/><Relationship Id="rId7558" Type="http://schemas.openxmlformats.org/officeDocument/2006/relationships/hyperlink" Target="https://drive.google.com/file/d/1MgOFgFrmsr6Xj176GYdDL_t_MbvpoJqY/view?usp=drivesdk" TargetMode="External"/><Relationship Id="rId6225" Type="http://schemas.openxmlformats.org/officeDocument/2006/relationships/hyperlink" Target="https://drive.google.com/file/d/1cn4rOaJMZb-YvBNMicwxNdcLji_Oozcl/view?usp=drivesdk" TargetMode="External"/><Relationship Id="rId7557" Type="http://schemas.openxmlformats.org/officeDocument/2006/relationships/hyperlink" Target="https://drive.google.com/file/d/1fH2ToJvaHF86MYRmvrLv46Qt-p8EOTZ1/view?usp=drivesdk" TargetMode="External"/><Relationship Id="rId6226" Type="http://schemas.openxmlformats.org/officeDocument/2006/relationships/hyperlink" Target="https://drive.google.com/file/d/1aGqAPWIlXP128nk6yZKkndu185X75PoW/view?usp=drivesdk" TargetMode="External"/><Relationship Id="rId7556" Type="http://schemas.openxmlformats.org/officeDocument/2006/relationships/hyperlink" Target="https://drive.google.com/file/d/1DS_yS85MFAE5tY3UdxLTk5k7-6H7qxhU/view?usp=drivesdk" TargetMode="External"/><Relationship Id="rId6218" Type="http://schemas.openxmlformats.org/officeDocument/2006/relationships/hyperlink" Target="https://drive.google.com/file/d/1FIq3rYyt56MVvuGxsSV9Kt0ODAUgOjgE/view?usp=drivesdk" TargetMode="External"/><Relationship Id="rId6219" Type="http://schemas.openxmlformats.org/officeDocument/2006/relationships/hyperlink" Target="https://drive.google.com/file/d/13T4r5RI0TwGHAr9r5kFRf1jxtCKCrQ7g/view?usp=drivesdk" TargetMode="External"/><Relationship Id="rId7549" Type="http://schemas.openxmlformats.org/officeDocument/2006/relationships/hyperlink" Target="https://drive.google.com/file/d/1pqTACPpE2PxbJFw4E4_dr2s2uGj0tT41/view?usp=drivesdk" TargetMode="External"/><Relationship Id="rId7540" Type="http://schemas.openxmlformats.org/officeDocument/2006/relationships/hyperlink" Target="https://drive.google.com/file/d/1mxyfiE2lIHAsUZBotus8cfADb9Fu0fwg/view?usp=drivesdk" TargetMode="External"/><Relationship Id="rId6212" Type="http://schemas.openxmlformats.org/officeDocument/2006/relationships/hyperlink" Target="https://drive.google.com/file/d/1apBndpvjx4gxlHKu4fsR67_izaVMpcs_/view?usp=drivesdk" TargetMode="External"/><Relationship Id="rId7544" Type="http://schemas.openxmlformats.org/officeDocument/2006/relationships/hyperlink" Target="https://drive.google.com/file/d/1AjMxXy_S92GudS0vgCZVbxTFNNdguEMz/view?usp=drivesdk" TargetMode="External"/><Relationship Id="rId6213" Type="http://schemas.openxmlformats.org/officeDocument/2006/relationships/hyperlink" Target="https://drive.google.com/file/d/1qh8bOpTObvZZSuH8tpM_BFp41UsKIgvH/view?usp=drivesdk" TargetMode="External"/><Relationship Id="rId7543" Type="http://schemas.openxmlformats.org/officeDocument/2006/relationships/hyperlink" Target="https://drive.google.com/file/d/1Z5-dMyivlX7kfj4Yr6woH-i0BaYBXZ7k/view?usp=drivesdk" TargetMode="External"/><Relationship Id="rId6210" Type="http://schemas.openxmlformats.org/officeDocument/2006/relationships/hyperlink" Target="https://drive.google.com/file/d/18rHVaWejeLIWhXcCmGg-o6vr5aluwbwi/view?usp=drivesdk" TargetMode="External"/><Relationship Id="rId7542" Type="http://schemas.openxmlformats.org/officeDocument/2006/relationships/hyperlink" Target="https://drive.google.com/file/d/1KcshJ7ELElYlaRibHU5l_8xC0t2EaV9k/view?usp=drivesdk" TargetMode="External"/><Relationship Id="rId6211" Type="http://schemas.openxmlformats.org/officeDocument/2006/relationships/hyperlink" Target="https://drive.google.com/file/d/11CNABVZhn_7_DVtQEdiGYTJLwoHiF1gd/view?usp=drivesdk" TargetMode="External"/><Relationship Id="rId7541" Type="http://schemas.openxmlformats.org/officeDocument/2006/relationships/hyperlink" Target="https://drive.google.com/file/d/1xsQXVQhQKu9EZWoFSfllQ8pkQ3gbe_Kk/view?usp=drivesdk" TargetMode="External"/><Relationship Id="rId6216" Type="http://schemas.openxmlformats.org/officeDocument/2006/relationships/hyperlink" Target="https://drive.google.com/file/d/1gbR7R2vBQ_IEMfQotHvpH3jiAlKbrUwK/view?usp=drivesdk" TargetMode="External"/><Relationship Id="rId7548" Type="http://schemas.openxmlformats.org/officeDocument/2006/relationships/hyperlink" Target="https://drive.google.com/file/d/1quwMsuW2otqg9i5mJCdZ4jm8yoba3Baj/view?usp=drivesdk" TargetMode="External"/><Relationship Id="rId6217" Type="http://schemas.openxmlformats.org/officeDocument/2006/relationships/hyperlink" Target="https://drive.google.com/file/d/17RPtX_J0hJNTXzMgpjPNJadBlvytma6E/view?usp=drivesdk" TargetMode="External"/><Relationship Id="rId7547" Type="http://schemas.openxmlformats.org/officeDocument/2006/relationships/hyperlink" Target="https://drive.google.com/file/d/1WUUIoogaad276y2kZTazpHq-K37Ohusd/view?usp=drivesdk" TargetMode="External"/><Relationship Id="rId6214" Type="http://schemas.openxmlformats.org/officeDocument/2006/relationships/hyperlink" Target="https://drive.google.com/file/d/1hC17d8vCZjXDYi75ZtS34WXLQ1RIZ72t/view?usp=drivesdk" TargetMode="External"/><Relationship Id="rId7546" Type="http://schemas.openxmlformats.org/officeDocument/2006/relationships/hyperlink" Target="https://drive.google.com/file/d/11KKjPhuTapX6OkUBo5Ngz52ijclkkvLS/view?usp=drivesdk" TargetMode="External"/><Relationship Id="rId6215" Type="http://schemas.openxmlformats.org/officeDocument/2006/relationships/hyperlink" Target="https://drive.google.com/file/d/1F6pXeOrXJlOsQdZSxyp9gmmn4HbJ16wK/view?usp=drivesdk" TargetMode="External"/><Relationship Id="rId7545" Type="http://schemas.openxmlformats.org/officeDocument/2006/relationships/hyperlink" Target="https://drive.google.com/file/d/1R_XlAAFG0ujBDuW66qdkHXNlYwEYH8ez/view?usp=drivesdk" TargetMode="External"/><Relationship Id="rId6241" Type="http://schemas.openxmlformats.org/officeDocument/2006/relationships/hyperlink" Target="https://drive.google.com/file/d/1tR9k_PHedZ-WXmPNKyB8WKv8Ys4O4WXu/view?usp=drivesdk" TargetMode="External"/><Relationship Id="rId7573" Type="http://schemas.openxmlformats.org/officeDocument/2006/relationships/hyperlink" Target="https://drive.google.com/file/d/1SSok7hNHZwO_v-No7Ja8_Yht4sXHyd2H/view?usp=drivesdk" TargetMode="External"/><Relationship Id="rId6242" Type="http://schemas.openxmlformats.org/officeDocument/2006/relationships/hyperlink" Target="https://drive.google.com/file/d/1so-BQl4PG3t6PvyKjRX0HMV5ZoUxyJWZ/view?usp=drivesdk" TargetMode="External"/><Relationship Id="rId7572" Type="http://schemas.openxmlformats.org/officeDocument/2006/relationships/hyperlink" Target="https://drive.google.com/file/d/1CoPZGM9uZjfdBIMNOKSOhIT0T-DgSanZ/view?usp=drivesdk" TargetMode="External"/><Relationship Id="rId7571" Type="http://schemas.openxmlformats.org/officeDocument/2006/relationships/hyperlink" Target="https://drive.google.com/file/d/1MUzOZ2rQSAVyztefY3e0HLfuPkdcCyHJ/view?usp=drivesdk" TargetMode="External"/><Relationship Id="rId6240" Type="http://schemas.openxmlformats.org/officeDocument/2006/relationships/hyperlink" Target="https://drive.google.com/file/d/14IfU-gGHt_p1-sy5Y5c4xmqgUKva5xAr/view?usp=drivesdk" TargetMode="External"/><Relationship Id="rId7570" Type="http://schemas.openxmlformats.org/officeDocument/2006/relationships/hyperlink" Target="https://drive.google.com/file/d/1TJCwBIEcgrzu_pDkBq4kGFbmOuD9QziA/view?usp=drivesdk" TargetMode="External"/><Relationship Id="rId6245" Type="http://schemas.openxmlformats.org/officeDocument/2006/relationships/hyperlink" Target="https://drive.google.com/file/d/11S6HBQNDQ36d2iwyJLmn8dqcpo2HSQal/view?usp=drivesdk" TargetMode="External"/><Relationship Id="rId7577" Type="http://schemas.openxmlformats.org/officeDocument/2006/relationships/hyperlink" Target="https://drive.google.com/file/d/1Rgm2wNq8gIwhzIJWS2xaMmegsgU8oSE0/view?usp=drivesdk" TargetMode="External"/><Relationship Id="rId6246" Type="http://schemas.openxmlformats.org/officeDocument/2006/relationships/hyperlink" Target="https://drive.google.com/file/d/1jBt5jIc6mRCPN08H1JHJQ_81CD0O9e0t/view?usp=drivesdk" TargetMode="External"/><Relationship Id="rId7576" Type="http://schemas.openxmlformats.org/officeDocument/2006/relationships/hyperlink" Target="https://drive.google.com/file/d/1sdBoCKC9g0_W_CsBKV6vAtpjl_ATv_tt/view?usp=drivesdk" TargetMode="External"/><Relationship Id="rId6243" Type="http://schemas.openxmlformats.org/officeDocument/2006/relationships/hyperlink" Target="https://drive.google.com/file/d/1JS3udE0A0PT51Dlu5jC71VTEfKTETNsB/view?usp=drivesdk" TargetMode="External"/><Relationship Id="rId7575" Type="http://schemas.openxmlformats.org/officeDocument/2006/relationships/hyperlink" Target="https://drive.google.com/file/d/1vYQ93vSE6PeNpCGhI3i8GGt21gp7kvGs/view?usp=drivesdk" TargetMode="External"/><Relationship Id="rId6244" Type="http://schemas.openxmlformats.org/officeDocument/2006/relationships/hyperlink" Target="https://drive.google.com/file/d/1E-pHqqolg4rqaULpXMEEO7BtJAUr1VYU/view?usp=drivesdk" TargetMode="External"/><Relationship Id="rId7574" Type="http://schemas.openxmlformats.org/officeDocument/2006/relationships/hyperlink" Target="https://drive.google.com/file/d/1NfLgkUpSH-1bCb3Ut8f4btRmpOII_5hF/view?usp=drivesdk" TargetMode="External"/><Relationship Id="rId6249" Type="http://schemas.openxmlformats.org/officeDocument/2006/relationships/hyperlink" Target="https://drive.google.com/file/d/1z4PT6lW9OYmMTJrcX-bXNkzm_Eceu-EG/view?usp=drivesdk" TargetMode="External"/><Relationship Id="rId6247" Type="http://schemas.openxmlformats.org/officeDocument/2006/relationships/hyperlink" Target="https://drive.google.com/file/d/1irU_iFIErfarMprYiEb5UmPnFTuX_Mej/view?usp=drivesdk" TargetMode="External"/><Relationship Id="rId7579" Type="http://schemas.openxmlformats.org/officeDocument/2006/relationships/hyperlink" Target="https://drive.google.com/file/d/1dBUDk3_9AqKsJYv8QyW9Qtruk1Y2fV58/view?usp=drivesdk" TargetMode="External"/><Relationship Id="rId6248" Type="http://schemas.openxmlformats.org/officeDocument/2006/relationships/hyperlink" Target="https://drive.google.com/file/d/1F66DO7db_-ZI12k4AFh9cQfsXc5MW3Fm/view?usp=drivesdk" TargetMode="External"/><Relationship Id="rId7578" Type="http://schemas.openxmlformats.org/officeDocument/2006/relationships/hyperlink" Target="https://drive.google.com/file/d/15giPjxbixr1tJqTuOXOasCG4Yf4I7B1D/view?usp=drivesdk" TargetMode="External"/><Relationship Id="rId6230" Type="http://schemas.openxmlformats.org/officeDocument/2006/relationships/hyperlink" Target="https://drive.google.com/file/d/1d_zJE2ka30zwy2jHQdqUY82dEaKFo8mj/view?usp=drivesdk" TargetMode="External"/><Relationship Id="rId7562" Type="http://schemas.openxmlformats.org/officeDocument/2006/relationships/hyperlink" Target="https://drive.google.com/file/d/14X-ZL8JsGiyVUzMHxJsl2v3iuHYuNays/view?usp=drivesdk" TargetMode="External"/><Relationship Id="rId6231" Type="http://schemas.openxmlformats.org/officeDocument/2006/relationships/hyperlink" Target="https://drive.google.com/file/d/145Ij_w--ImzttuOuKXs2lUl3BVe-_HK8/view?usp=drivesdk" TargetMode="External"/><Relationship Id="rId7561" Type="http://schemas.openxmlformats.org/officeDocument/2006/relationships/hyperlink" Target="https://drive.google.com/file/d/1vTKuufFF_m7uucq9YmDx2MmuSnobTDXt/view?usp=drivesdk" TargetMode="External"/><Relationship Id="rId7560" Type="http://schemas.openxmlformats.org/officeDocument/2006/relationships/hyperlink" Target="https://drive.google.com/file/d/1YM58_sfKfUkqi79o6_ThZP0EozaP_DBZ/view?usp=drivesdk" TargetMode="External"/><Relationship Id="rId6234" Type="http://schemas.openxmlformats.org/officeDocument/2006/relationships/hyperlink" Target="https://drive.google.com/file/d/19Y0xX9HW69A62L2LYixawoCsmGVZTcZl/view?usp=drivesdk" TargetMode="External"/><Relationship Id="rId7566" Type="http://schemas.openxmlformats.org/officeDocument/2006/relationships/hyperlink" Target="https://drive.google.com/file/d/1pTUgIozrJsfB-OdYVaVy-SKZfsfwGw1A/view?usp=drivesdk" TargetMode="External"/><Relationship Id="rId6235" Type="http://schemas.openxmlformats.org/officeDocument/2006/relationships/hyperlink" Target="https://drive.google.com/file/d/1MyM3LcTTxOXam5IENZJBgLhvS0N2kZ9e/view?usp=drivesdk" TargetMode="External"/><Relationship Id="rId7565" Type="http://schemas.openxmlformats.org/officeDocument/2006/relationships/hyperlink" Target="https://drive.google.com/file/d/1dKnrgR7A39tPc-1woipv3UPqA_wtIdKp/view?usp=drivesdk" TargetMode="External"/><Relationship Id="rId6232" Type="http://schemas.openxmlformats.org/officeDocument/2006/relationships/hyperlink" Target="https://drive.google.com/file/d/1b1dvR0G1XGIm9XamgdETp0CVz2YcdblG/view?usp=drivesdk" TargetMode="External"/><Relationship Id="rId7564" Type="http://schemas.openxmlformats.org/officeDocument/2006/relationships/hyperlink" Target="https://drive.google.com/file/d/1sWgSN-WPrrK8FONv8VBKpNWlHD28mFlQ/view?usp=drivesdk" TargetMode="External"/><Relationship Id="rId6233" Type="http://schemas.openxmlformats.org/officeDocument/2006/relationships/hyperlink" Target="https://drive.google.com/file/d/1o88x3AK9Jq3gWXsFjR_x4sJGG-YL4IIl/view?usp=drivesdk" TargetMode="External"/><Relationship Id="rId7563" Type="http://schemas.openxmlformats.org/officeDocument/2006/relationships/hyperlink" Target="https://drive.google.com/file/d/133kPmmrSYm0kPqeaiTcWnr3fMxTnbncb/view?usp=drivesdk" TargetMode="External"/><Relationship Id="rId6238" Type="http://schemas.openxmlformats.org/officeDocument/2006/relationships/hyperlink" Target="https://drive.google.com/file/d/1gEiRaElQ0CwzCLSJ0CNBOizxrOVnfdU7/view?usp=drivesdk" TargetMode="External"/><Relationship Id="rId6239" Type="http://schemas.openxmlformats.org/officeDocument/2006/relationships/hyperlink" Target="https://drive.google.com/file/d/19w1QEunQ5-MnYumBhAli82dCzWQ0Jl9u/view?usp=drivesdk" TargetMode="External"/><Relationship Id="rId7569" Type="http://schemas.openxmlformats.org/officeDocument/2006/relationships/hyperlink" Target="https://drive.google.com/file/d/1t7_0RIem8PePXO03B8_F8DV6SVxKViP6/view?usp=drivesdk" TargetMode="External"/><Relationship Id="rId6236" Type="http://schemas.openxmlformats.org/officeDocument/2006/relationships/hyperlink" Target="https://drive.google.com/file/d/1QLB97AY6KVvugNDSq4lJ0tSkQ6SLFOZd/view?usp=drivesdk" TargetMode="External"/><Relationship Id="rId7568" Type="http://schemas.openxmlformats.org/officeDocument/2006/relationships/hyperlink" Target="https://drive.google.com/file/d/10yG1vGr9I7Y4ErMz8XYwHUhVmHPc47gq/view?usp=drivesdk" TargetMode="External"/><Relationship Id="rId6237" Type="http://schemas.openxmlformats.org/officeDocument/2006/relationships/hyperlink" Target="https://drive.google.com/file/d/1v_unMVo-T1NuSSK8soLvrvnM3HfWQe9H/view?usp=drivesdk" TargetMode="External"/><Relationship Id="rId7567" Type="http://schemas.openxmlformats.org/officeDocument/2006/relationships/hyperlink" Target="https://drive.google.com/file/d/1nyAj8QgOt6KWZQmwraTI4MF-LnMTT2Fp/view?usp=drivesdk" TargetMode="External"/><Relationship Id="rId7519" Type="http://schemas.openxmlformats.org/officeDocument/2006/relationships/hyperlink" Target="https://drive.google.com/file/d/1ln6ZCgdbcPg_lXaxSDiUEgQMAOig1Yfw/view?usp=drivesdk" TargetMode="External"/><Relationship Id="rId7518" Type="http://schemas.openxmlformats.org/officeDocument/2006/relationships/hyperlink" Target="https://drive.google.com/file/d/1VrJdw26oswXc3k0OvKo3XWz4miSOMZJu/view?usp=drivesdk" TargetMode="External"/><Relationship Id="rId7517" Type="http://schemas.openxmlformats.org/officeDocument/2006/relationships/hyperlink" Target="https://drive.google.com/file/d/1bNYM-_BO_YjTwaj24sEvSHjAcexvi9A2/view?usp=drivesdk" TargetMode="External"/><Relationship Id="rId7516" Type="http://schemas.openxmlformats.org/officeDocument/2006/relationships/hyperlink" Target="https://drive.google.com/file/d/1FHZ9cyt5jl5wnKY8isnLC_vyRI3R18Q0/view?usp=drivesdk" TargetMode="External"/><Relationship Id="rId7511" Type="http://schemas.openxmlformats.org/officeDocument/2006/relationships/hyperlink" Target="https://drive.google.com/file/d/1lnaG1J3s0AqPL4HcOln78bT9aRFKBEtv/view?usp=drivesdk" TargetMode="External"/><Relationship Id="rId7510" Type="http://schemas.openxmlformats.org/officeDocument/2006/relationships/hyperlink" Target="https://drive.google.com/file/d/1XWvIb6zMq-0rgAbjnUXuvj1DytcpVvIU/view?usp=drivesdk" TargetMode="External"/><Relationship Id="rId7515" Type="http://schemas.openxmlformats.org/officeDocument/2006/relationships/hyperlink" Target="https://drive.google.com/file/d/1niPChLWqqFgWkGpSw6b92opsfGC58xXg/view?usp=drivesdk" TargetMode="External"/><Relationship Id="rId7514" Type="http://schemas.openxmlformats.org/officeDocument/2006/relationships/hyperlink" Target="https://drive.google.com/file/d/19T3y4IRy6wiJvJMn2Ipol05wW9n53Zkv/view?usp=drivesdk" TargetMode="External"/><Relationship Id="rId7513" Type="http://schemas.openxmlformats.org/officeDocument/2006/relationships/hyperlink" Target="https://drive.google.com/file/d/1NO5fgevjVqhJ0LKw6G--dz9DufhQpKSg/view?usp=drivesdk" TargetMode="External"/><Relationship Id="rId7512" Type="http://schemas.openxmlformats.org/officeDocument/2006/relationships/hyperlink" Target="https://drive.google.com/file/d/1yNtcLbqB3Cxtv1R14VqXIw2zGAE795cv/view?usp=drivesdk" TargetMode="External"/><Relationship Id="rId7508" Type="http://schemas.openxmlformats.org/officeDocument/2006/relationships/hyperlink" Target="https://drive.google.com/file/d/1Wshiqi3VVATkbm35xb7P8332r8XMhbhF/view?usp=drivesdk" TargetMode="External"/><Relationship Id="rId7507" Type="http://schemas.openxmlformats.org/officeDocument/2006/relationships/hyperlink" Target="https://drive.google.com/file/d/1jnznNJJ3iKVH5-5482Ky1gTeHJkFWA01/view?usp=drivesdk" TargetMode="External"/><Relationship Id="rId7506" Type="http://schemas.openxmlformats.org/officeDocument/2006/relationships/hyperlink" Target="https://drive.google.com/file/d/1UP5zoYRlOh-CoDCKnb5SpcyXcfrd8e1x/view?usp=drivesdk" TargetMode="External"/><Relationship Id="rId7505" Type="http://schemas.openxmlformats.org/officeDocument/2006/relationships/hyperlink" Target="https://drive.google.com/file/d/1Mg2xqnYH9PtzlQXErCCpngAx2dlhq7l4/view?usp=drivesdk" TargetMode="External"/><Relationship Id="rId7509" Type="http://schemas.openxmlformats.org/officeDocument/2006/relationships/hyperlink" Target="https://drive.google.com/file/d/1bCl81ArLGGT1IcNRgwz26gEq7hfgq5yl/view?usp=drivesdk" TargetMode="External"/><Relationship Id="rId7500" Type="http://schemas.openxmlformats.org/officeDocument/2006/relationships/hyperlink" Target="https://drive.google.com/file/d/1QCF3zEjfCE26NWveUdO2-tsIZpZ6pIOz/view?usp=drivesdk" TargetMode="External"/><Relationship Id="rId7504" Type="http://schemas.openxmlformats.org/officeDocument/2006/relationships/hyperlink" Target="https://drive.google.com/file/d/1ppMrNdk6lBZVVV-OzyT901kNuDI-LqTV/view?usp=drivesdk" TargetMode="External"/><Relationship Id="rId7503" Type="http://schemas.openxmlformats.org/officeDocument/2006/relationships/hyperlink" Target="https://drive.google.com/file/d/1YQI4hr2KLKOMmfICaAY9F4h-bk5rEGou/view?usp=drivesdk" TargetMode="External"/><Relationship Id="rId7502" Type="http://schemas.openxmlformats.org/officeDocument/2006/relationships/hyperlink" Target="https://drive.google.com/file/d/153XiRwM_JS2HcxvxWCNwfZYZNpzZkFO6/view?usp=drivesdk" TargetMode="External"/><Relationship Id="rId7501" Type="http://schemas.openxmlformats.org/officeDocument/2006/relationships/hyperlink" Target="https://drive.google.com/file/d/1kmR8WsZC0QjQhJAUKXD0ImJCh_TvV20E/view?usp=drivesdk" TargetMode="External"/><Relationship Id="rId6209" Type="http://schemas.openxmlformats.org/officeDocument/2006/relationships/hyperlink" Target="https://drive.google.com/file/d/16XJasKJV96lEyJti1T6c4MFOTwH6yI4X/view?usp=drivesdk" TargetMode="External"/><Relationship Id="rId6207" Type="http://schemas.openxmlformats.org/officeDocument/2006/relationships/hyperlink" Target="https://drive.google.com/file/d/150LcZpMELuMymVCCe1Zh2ote5mZ0SVPk/view?usp=drivesdk" TargetMode="External"/><Relationship Id="rId7539" Type="http://schemas.openxmlformats.org/officeDocument/2006/relationships/hyperlink" Target="https://drive.google.com/file/d/1UcwhDXGKF1vNcwI_aHmN95AYrfggL3yY/view?usp=drivesdk" TargetMode="External"/><Relationship Id="rId6208" Type="http://schemas.openxmlformats.org/officeDocument/2006/relationships/hyperlink" Target="https://drive.google.com/file/d/1TbWPDpB3T1iU-oWI1UmQ7cXhp3jQBkZk/view?usp=drivesdk" TargetMode="External"/><Relationship Id="rId7538" Type="http://schemas.openxmlformats.org/officeDocument/2006/relationships/hyperlink" Target="https://drive.google.com/file/d/1v1ytZs30zd-vUGGNcbL4soWJ9OEZApv3/view?usp=drivesdk" TargetMode="External"/><Relationship Id="rId6201" Type="http://schemas.openxmlformats.org/officeDocument/2006/relationships/hyperlink" Target="https://drive.google.com/file/d/1ZmDZ-vGj2L6Oxo9ePU22boO5epQgvLN-/view?usp=drivesdk" TargetMode="External"/><Relationship Id="rId7533" Type="http://schemas.openxmlformats.org/officeDocument/2006/relationships/hyperlink" Target="https://drive.google.com/file/d/1SJWh7YkNhyN99jxyy_9Hwoq7E7HF9eFm/view?usp=drivesdk" TargetMode="External"/><Relationship Id="rId6202" Type="http://schemas.openxmlformats.org/officeDocument/2006/relationships/hyperlink" Target="https://drive.google.com/file/d/1xehRY8C5ZcComK330M7pX_Ut5FBUPQQ_/view?usp=drivesdk" TargetMode="External"/><Relationship Id="rId7532" Type="http://schemas.openxmlformats.org/officeDocument/2006/relationships/hyperlink" Target="https://drive.google.com/file/d/1rIaixN2Ydux_MGqs01YfzeNQ6o2S8IdS/view?usp=drivesdk" TargetMode="External"/><Relationship Id="rId7531" Type="http://schemas.openxmlformats.org/officeDocument/2006/relationships/hyperlink" Target="https://drive.google.com/file/d/1bLzvxOL7Dz7zYHIFivqHt9R3016OW1-J/view?usp=drivesdk" TargetMode="External"/><Relationship Id="rId6200" Type="http://schemas.openxmlformats.org/officeDocument/2006/relationships/hyperlink" Target="https://drive.google.com/file/d/1wXOzGv_8w4PLk0H9zc0H2SNW1FR_Jb5L/view?usp=drivesdk" TargetMode="External"/><Relationship Id="rId7530" Type="http://schemas.openxmlformats.org/officeDocument/2006/relationships/hyperlink" Target="https://drive.google.com/file/d/11rb4JKxZ34Fu-62n-73bbymr7qzzvIp5/view?usp=drivesdk" TargetMode="External"/><Relationship Id="rId6205" Type="http://schemas.openxmlformats.org/officeDocument/2006/relationships/hyperlink" Target="https://drive.google.com/file/d/1B-bAh0vx3aUZrCbe_qGKG3vdw6La_13X/view?usp=drivesdk" TargetMode="External"/><Relationship Id="rId7537" Type="http://schemas.openxmlformats.org/officeDocument/2006/relationships/hyperlink" Target="https://drive.google.com/file/d/1BQYAYeWH6ymV1A4TNBLDbTnp_33ZUYuk/view?usp=drivesdk" TargetMode="External"/><Relationship Id="rId6206" Type="http://schemas.openxmlformats.org/officeDocument/2006/relationships/hyperlink" Target="https://drive.google.com/file/d/1rDoeyMHD7DLpY4mPMe1dEoG-W_SbYJUk/view?usp=drivesdk" TargetMode="External"/><Relationship Id="rId7536" Type="http://schemas.openxmlformats.org/officeDocument/2006/relationships/hyperlink" Target="https://drive.google.com/file/d/1PI7g_c7nWXpbnOnUn9vJPBHyfyMd0M5P/view?usp=drivesdk" TargetMode="External"/><Relationship Id="rId6203" Type="http://schemas.openxmlformats.org/officeDocument/2006/relationships/hyperlink" Target="https://drive.google.com/file/d/1t5_EW_4qQO92ZMlEkx6l6j0KhqIhV0XD/view?usp=drivesdk" TargetMode="External"/><Relationship Id="rId7535" Type="http://schemas.openxmlformats.org/officeDocument/2006/relationships/hyperlink" Target="https://drive.google.com/file/d/1YOsCyODy1Qbucss498NgdXy3ludphXsY/view?usp=drivesdk" TargetMode="External"/><Relationship Id="rId6204" Type="http://schemas.openxmlformats.org/officeDocument/2006/relationships/hyperlink" Target="https://drive.google.com/file/d/1oLgXJAYXWt7eAvPJdxMr_lV9JXxzPQo7/view?usp=drivesdk" TargetMode="External"/><Relationship Id="rId7534" Type="http://schemas.openxmlformats.org/officeDocument/2006/relationships/hyperlink" Target="https://drive.google.com/file/d/1P6GFfh2-jZTXx7jycRVNPNs9E4ihumeK/view?usp=drivesdk" TargetMode="External"/><Relationship Id="rId7529" Type="http://schemas.openxmlformats.org/officeDocument/2006/relationships/hyperlink" Target="https://drive.google.com/file/d/1_NC0PDCvjGG3zuJwF5kZt3YRHSFwr6j2/view?usp=drivesdk" TargetMode="External"/><Relationship Id="rId7528" Type="http://schemas.openxmlformats.org/officeDocument/2006/relationships/hyperlink" Target="https://drive.google.com/file/d/1ckENmmJDZb5Nc7i6F5XGlDWliXnh9XUc/view?usp=drivesdk" TargetMode="External"/><Relationship Id="rId7527" Type="http://schemas.openxmlformats.org/officeDocument/2006/relationships/hyperlink" Target="https://drive.google.com/file/d/1UOqu9uzlNDOX3jecn2bkDfjY0-woMzkj/view?usp=drivesdk" TargetMode="External"/><Relationship Id="rId7522" Type="http://schemas.openxmlformats.org/officeDocument/2006/relationships/hyperlink" Target="https://drive.google.com/file/d/1-R861Svmy0egDRWm54F7EsLs5LfwI8JH/view?usp=drivesdk" TargetMode="External"/><Relationship Id="rId7521" Type="http://schemas.openxmlformats.org/officeDocument/2006/relationships/hyperlink" Target="https://drive.google.com/file/d/1nWV7Y903w3DfQC8dw79Fjlmu-P6z3-KW/view?usp=drivesdk" TargetMode="External"/><Relationship Id="rId7520" Type="http://schemas.openxmlformats.org/officeDocument/2006/relationships/hyperlink" Target="https://drive.google.com/file/d/1y__WTLdcB4OjfEGfog6a9zhgtVKNm45y/view?usp=drivesdk" TargetMode="External"/><Relationship Id="rId7526" Type="http://schemas.openxmlformats.org/officeDocument/2006/relationships/hyperlink" Target="https://drive.google.com/file/d/189zIgUVkbnyQ4WHzPAGjr1Xxzigk8kkp/view?usp=drivesdk" TargetMode="External"/><Relationship Id="rId7525" Type="http://schemas.openxmlformats.org/officeDocument/2006/relationships/hyperlink" Target="https://drive.google.com/file/d/1_APl60UdYqEmI5OnGXQh9eXsjKKxnlQE/view?usp=drivesdk" TargetMode="External"/><Relationship Id="rId7524" Type="http://schemas.openxmlformats.org/officeDocument/2006/relationships/hyperlink" Target="https://drive.google.com/file/d/1IS7shkDmFhVG8eLYTCMB1_-s-ZBw-_iP/view?usp=drivesdk" TargetMode="External"/><Relationship Id="rId7523" Type="http://schemas.openxmlformats.org/officeDocument/2006/relationships/hyperlink" Target="https://drive.google.com/file/d/1HKv7PTC9rqFS8OJr9YR0aZ2ad2t_dYPf/view?usp=drivesdk" TargetMode="External"/><Relationship Id="rId2700" Type="http://schemas.openxmlformats.org/officeDocument/2006/relationships/hyperlink" Target="https://drive.google.com/file/d/1n7z7c9cvyyr17ghDhLZxThg-GcJNsXp8/view?usp=drivesdk" TargetMode="External"/><Relationship Id="rId2701" Type="http://schemas.openxmlformats.org/officeDocument/2006/relationships/hyperlink" Target="https://drive.google.com/file/d/1S0sXz6dXpVQjbjbPnwxC9yNXe4dkh4ry/view?usp=drivesdk" TargetMode="External"/><Relationship Id="rId2702" Type="http://schemas.openxmlformats.org/officeDocument/2006/relationships/hyperlink" Target="https://drive.google.com/file/d/1tCb-CenHIt4bcCa7LTGrBSSSZzhUs0tM/view?usp=drivesdk" TargetMode="External"/><Relationship Id="rId2703" Type="http://schemas.openxmlformats.org/officeDocument/2006/relationships/hyperlink" Target="https://drive.google.com/file/d/1VV2O-ExD_n61WaJSURHhQkTZ6BLKfgHS/view?usp=drivesdk" TargetMode="External"/><Relationship Id="rId2704" Type="http://schemas.openxmlformats.org/officeDocument/2006/relationships/hyperlink" Target="https://drive.google.com/file/d/1XEitFL39CLmEyKvZhf5M7OiY6eB20xuK/view?usp=drivesdk" TargetMode="External"/><Relationship Id="rId2705" Type="http://schemas.openxmlformats.org/officeDocument/2006/relationships/hyperlink" Target="https://drive.google.com/file/d/1G2MscrKRuGolGnvdqLsbhNG-1GwQoL6Q/view?usp=drivesdk" TargetMode="External"/><Relationship Id="rId2706" Type="http://schemas.openxmlformats.org/officeDocument/2006/relationships/hyperlink" Target="https://drive.google.com/file/d/1n22I7XzHeSaOvTU2E1h5S9YSBYekPFf8/view?usp=drivesdk" TargetMode="External"/><Relationship Id="rId2707" Type="http://schemas.openxmlformats.org/officeDocument/2006/relationships/hyperlink" Target="https://drive.google.com/file/d/1lKkGfaR8wbK3GBj1vEZK3k-BUdE1mK5A/view?usp=drivesdk" TargetMode="External"/><Relationship Id="rId2708" Type="http://schemas.openxmlformats.org/officeDocument/2006/relationships/hyperlink" Target="https://drive.google.com/file/d/1Q8OsAfacI-XZUvHjPF8lNJtoWU7bmedz/view?usp=drivesdk" TargetMode="External"/><Relationship Id="rId2709" Type="http://schemas.openxmlformats.org/officeDocument/2006/relationships/hyperlink" Target="https://drive.google.com/file/d/1nMjY6C2BjL-cdxBSg2NQR5Od9V0Srb01/view?usp=drivesdk" TargetMode="External"/><Relationship Id="rId6292" Type="http://schemas.openxmlformats.org/officeDocument/2006/relationships/hyperlink" Target="https://drive.google.com/file/d/1OBCNkPg0CH7QGiQ6OnjUsPz2mMasafbD/view?usp=drivesdk" TargetMode="External"/><Relationship Id="rId6293" Type="http://schemas.openxmlformats.org/officeDocument/2006/relationships/hyperlink" Target="https://drive.google.com/file/d/1d7SfewJOuHXbcoKoyZVyvYxghS0M0C3G/view?usp=drivesdk" TargetMode="External"/><Relationship Id="rId6290" Type="http://schemas.openxmlformats.org/officeDocument/2006/relationships/hyperlink" Target="https://drive.google.com/file/d/1zPckekeGwpb1OufM4H9TnjwpQD3DMvGM/view?usp=drivesdk" TargetMode="External"/><Relationship Id="rId6291" Type="http://schemas.openxmlformats.org/officeDocument/2006/relationships/hyperlink" Target="https://drive.google.com/file/d/1h-9xtuylDj79NRMMnQNW-IB1VdSMMFrE/view?usp=drivesdk" TargetMode="External"/><Relationship Id="rId6296" Type="http://schemas.openxmlformats.org/officeDocument/2006/relationships/hyperlink" Target="https://drive.google.com/file/d/183RVGR-saYLOfX4mlD6n-LO9y6TYRwUv/view?usp=drivesdk" TargetMode="External"/><Relationship Id="rId6297" Type="http://schemas.openxmlformats.org/officeDocument/2006/relationships/hyperlink" Target="https://drive.google.com/file/d/11xcQ5gbruebR1-fO3uIY1swf7D7gwvIV/view?usp=drivesdk" TargetMode="External"/><Relationship Id="rId6294" Type="http://schemas.openxmlformats.org/officeDocument/2006/relationships/hyperlink" Target="https://drive.google.com/file/d/1fengIsbWXGLg_RxvE_wQgsJQrsuQR_u9/view?usp=drivesdk" TargetMode="External"/><Relationship Id="rId6295" Type="http://schemas.openxmlformats.org/officeDocument/2006/relationships/hyperlink" Target="https://drive.google.com/file/d/14GcrKMLd9vHzt-vKBv4vd1ipB5j6rYnI/view?usp=drivesdk" TargetMode="External"/><Relationship Id="rId6298" Type="http://schemas.openxmlformats.org/officeDocument/2006/relationships/hyperlink" Target="https://drive.google.com/file/d/1Mjo9oO2LYuECLnXfNfLFozhvQ4e_Cn0e/view?usp=drivesdk" TargetMode="External"/><Relationship Id="rId6299" Type="http://schemas.openxmlformats.org/officeDocument/2006/relationships/hyperlink" Target="https://drive.google.com/file/d/1AtW4A2JsI4KQTnliL6pwNO0mse0NlVCn/view?usp=drivesdk" TargetMode="External"/><Relationship Id="rId2720" Type="http://schemas.openxmlformats.org/officeDocument/2006/relationships/hyperlink" Target="https://drive.google.com/file/d/1JTs3oQMLDKSU9-I7mgcN15BeO4-ubWFD/view?usp=drivesdk" TargetMode="External"/><Relationship Id="rId2721" Type="http://schemas.openxmlformats.org/officeDocument/2006/relationships/hyperlink" Target="https://drive.google.com/file/d/1JkeT_F8MQfm1Jf_5X-fzKBiJf1_0-b9t/view?usp=drivesdk" TargetMode="External"/><Relationship Id="rId2722" Type="http://schemas.openxmlformats.org/officeDocument/2006/relationships/hyperlink" Target="https://drive.google.com/file/d/1IaNOxoiiyZ5hkL55cjXvszTJjWrkXznU/view?usp=drivesdk" TargetMode="External"/><Relationship Id="rId2723" Type="http://schemas.openxmlformats.org/officeDocument/2006/relationships/hyperlink" Target="https://drive.google.com/file/d/15r5f3ZY1wRTJwQPjTXLuyqSIH3YkOa5r/view?usp=drivesdk" TargetMode="External"/><Relationship Id="rId2724" Type="http://schemas.openxmlformats.org/officeDocument/2006/relationships/hyperlink" Target="https://drive.google.com/file/d/1JgN5aALTYXG0PeR0D-bFX_u4VXs0y_hj/view?usp=drivesdk" TargetMode="External"/><Relationship Id="rId2725" Type="http://schemas.openxmlformats.org/officeDocument/2006/relationships/hyperlink" Target="https://drive.google.com/file/d/1pnx3Lxm1D4av_-JixCxFucwwCaNDbUG1/view?usp=drivesdk" TargetMode="External"/><Relationship Id="rId2726" Type="http://schemas.openxmlformats.org/officeDocument/2006/relationships/hyperlink" Target="https://drive.google.com/file/d/1fwm9PYLyb7k7HRBI55h6edmlM9hc01Ph/view?usp=drivesdk" TargetMode="External"/><Relationship Id="rId2727" Type="http://schemas.openxmlformats.org/officeDocument/2006/relationships/hyperlink" Target="https://drive.google.com/file/d/13-PqazkhWe-FfQFhyAFglieTyxQj4PZ-/view?usp=drivesdk" TargetMode="External"/><Relationship Id="rId2728" Type="http://schemas.openxmlformats.org/officeDocument/2006/relationships/hyperlink" Target="https://drive.google.com/file/d/124Tq1rau5aZmlSBhQqJQAWo-kmAzZbjA/view?usp=drivesdk" TargetMode="External"/><Relationship Id="rId2729" Type="http://schemas.openxmlformats.org/officeDocument/2006/relationships/hyperlink" Target="https://drive.google.com/file/d/1c1-c6LjMMoUg1gSGjEID1plkPdqlK53f/view?usp=drivesdk" TargetMode="External"/><Relationship Id="rId2710" Type="http://schemas.openxmlformats.org/officeDocument/2006/relationships/hyperlink" Target="https://drive.google.com/file/d/15wYRCObSSP6ruVd_wnDRbFn3kDikj-tt/view?usp=drivesdk" TargetMode="External"/><Relationship Id="rId2711" Type="http://schemas.openxmlformats.org/officeDocument/2006/relationships/hyperlink" Target="https://drive.google.com/file/d/18fOsxb6WJEEWWwqkVN3eYb-tkswOT8WL/view?usp=drivesdk" TargetMode="External"/><Relationship Id="rId2712" Type="http://schemas.openxmlformats.org/officeDocument/2006/relationships/hyperlink" Target="https://drive.google.com/file/d/17oKgVWeB82TfQf7XVECvEs-sv8dAtFQe/view?usp=drivesdk" TargetMode="External"/><Relationship Id="rId2713" Type="http://schemas.openxmlformats.org/officeDocument/2006/relationships/hyperlink" Target="https://drive.google.com/file/d/1EvoEkhxgekOzy-0Q2Opd0ElBwklZT5fD/view?usp=drivesdk" TargetMode="External"/><Relationship Id="rId2714" Type="http://schemas.openxmlformats.org/officeDocument/2006/relationships/hyperlink" Target="https://drive.google.com/file/d/1vnt-4cXc9fFHjbZXNPFOs1sMnpjj_zW8/view?usp=drivesdk" TargetMode="External"/><Relationship Id="rId2715" Type="http://schemas.openxmlformats.org/officeDocument/2006/relationships/hyperlink" Target="https://drive.google.com/file/d/1EbxMFlQs9EgsHLXDL1WBx5SIFGBInprE/view?usp=drivesdk" TargetMode="External"/><Relationship Id="rId2716" Type="http://schemas.openxmlformats.org/officeDocument/2006/relationships/hyperlink" Target="https://drive.google.com/file/d/1itAVWhhYooTZEfUTFbQjzvl3fh49t-YZ/view?usp=drivesdk" TargetMode="External"/><Relationship Id="rId2717" Type="http://schemas.openxmlformats.org/officeDocument/2006/relationships/hyperlink" Target="https://drive.google.com/file/d/1s3rqvmhqZReuIt6V29ikQHt7BFskwSmq/view?usp=drivesdk" TargetMode="External"/><Relationship Id="rId2718" Type="http://schemas.openxmlformats.org/officeDocument/2006/relationships/hyperlink" Target="https://drive.google.com/file/d/1Zpo6uoEPjHRSDzrf0Fk0zFEq9UUlQuTj/view?usp=drivesdk" TargetMode="External"/><Relationship Id="rId2719" Type="http://schemas.openxmlformats.org/officeDocument/2006/relationships/hyperlink" Target="https://drive.google.com/file/d/1s_3GEf4kIh48kyJHAnDdFxjLwgF_WF4Y/view?usp=drivesdk" TargetMode="External"/><Relationship Id="rId7591" Type="http://schemas.openxmlformats.org/officeDocument/2006/relationships/hyperlink" Target="https://drive.google.com/file/d/1UOeLcdZUFsJhqpCUV7YvIG5DX1UZZCgo/view?usp=drivesdk" TargetMode="External"/><Relationship Id="rId6260" Type="http://schemas.openxmlformats.org/officeDocument/2006/relationships/hyperlink" Target="https://drive.google.com/file/d/165mKGNAWQK1EoIsZYMvuXkxwEcmOpEx7/view?usp=drivesdk" TargetMode="External"/><Relationship Id="rId7590" Type="http://schemas.openxmlformats.org/officeDocument/2006/relationships/hyperlink" Target="https://drive.google.com/file/d/1aTwFwgyEaPpXmIl-9KzsMzXcgKcJrK5Y/view?usp=drivesdk" TargetMode="External"/><Relationship Id="rId6263" Type="http://schemas.openxmlformats.org/officeDocument/2006/relationships/hyperlink" Target="https://drive.google.com/file/d/1w05pLiFj8bsgtUEjcDtS2hfF80bDjMOm/view?usp=drivesdk" TargetMode="External"/><Relationship Id="rId7595" Type="http://schemas.openxmlformats.org/officeDocument/2006/relationships/hyperlink" Target="https://drive.google.com/file/d/1FDzj1W-zh6R73AOd0P11xlxi4ncaZEHA/view?usp=drivesdk" TargetMode="External"/><Relationship Id="rId6264" Type="http://schemas.openxmlformats.org/officeDocument/2006/relationships/hyperlink" Target="https://drive.google.com/file/d/1Ohf2IwHD150Podb1X2KMXSLkVnOgW2RD/view?usp=drivesdk" TargetMode="External"/><Relationship Id="rId7594" Type="http://schemas.openxmlformats.org/officeDocument/2006/relationships/hyperlink" Target="https://drive.google.com/file/d/1-m1I5biLh5Sp9st9L55m0TxaNbqXzf0i/view?usp=drivesdk" TargetMode="External"/><Relationship Id="rId6261" Type="http://schemas.openxmlformats.org/officeDocument/2006/relationships/hyperlink" Target="https://drive.google.com/file/d/1IsaV59r_8cLeKVHIRU55zc6I0hyWA4z7/view?usp=drivesdk" TargetMode="External"/><Relationship Id="rId7593" Type="http://schemas.openxmlformats.org/officeDocument/2006/relationships/hyperlink" Target="https://drive.google.com/file/d/1L9WMV6hHzwChg9bH1qJyCpRyVgV78DKk/view?usp=drivesdk" TargetMode="External"/><Relationship Id="rId6262" Type="http://schemas.openxmlformats.org/officeDocument/2006/relationships/hyperlink" Target="https://drive.google.com/file/d/1kSBLhs2Z1JZx5zQvdcmIq6IIcWPZpkDk/view?usp=drivesdk" TargetMode="External"/><Relationship Id="rId7592" Type="http://schemas.openxmlformats.org/officeDocument/2006/relationships/hyperlink" Target="https://drive.google.com/file/d/1f6BCsrnWDnZyr5FQiSrgI44lvvOvk_8G/view?usp=drivesdk" TargetMode="External"/><Relationship Id="rId6267" Type="http://schemas.openxmlformats.org/officeDocument/2006/relationships/hyperlink" Target="https://drive.google.com/file/d/1icxzSvxuma6FIxwrAEFVdZK2UsL7FzUQ/view?usp=drivesdk" TargetMode="External"/><Relationship Id="rId7599" Type="http://schemas.openxmlformats.org/officeDocument/2006/relationships/hyperlink" Target="https://drive.google.com/file/d/1oETYhnzVMznRwHu7jLcuZEIad7X7YmRw/view?usp=drivesdk" TargetMode="External"/><Relationship Id="rId6268" Type="http://schemas.openxmlformats.org/officeDocument/2006/relationships/hyperlink" Target="https://drive.google.com/file/d/18Myuz4bZEBgR83Se1R0YoL2k6jXpMDMo/view?usp=drivesdk" TargetMode="External"/><Relationship Id="rId7598" Type="http://schemas.openxmlformats.org/officeDocument/2006/relationships/hyperlink" Target="https://drive.google.com/file/d/1MAf_fhxwKHXfR7LBmjVORvmB8BQuBdSE/view?usp=drivesdk" TargetMode="External"/><Relationship Id="rId6265" Type="http://schemas.openxmlformats.org/officeDocument/2006/relationships/hyperlink" Target="https://drive.google.com/file/d/1uywa3Us5e1WGh8lwSPyGiLK3ZATj7gOf/view?usp=drivesdk" TargetMode="External"/><Relationship Id="rId7597" Type="http://schemas.openxmlformats.org/officeDocument/2006/relationships/hyperlink" Target="https://drive.google.com/file/d/1eYYNczZEbjfltWv3rSMr5UwEjFA2dxtq/view?usp=drivesdk" TargetMode="External"/><Relationship Id="rId6266" Type="http://schemas.openxmlformats.org/officeDocument/2006/relationships/hyperlink" Target="https://drive.google.com/file/d/1YannEHd1wZ8zzt-D1sZ7DI-q1SF21svM/view?usp=drivesdk" TargetMode="External"/><Relationship Id="rId7596" Type="http://schemas.openxmlformats.org/officeDocument/2006/relationships/hyperlink" Target="https://drive.google.com/file/d/1KzROQAMlHiIeRRdvfpZaBjWoD-rQk_D-/view?usp=drivesdk" TargetMode="External"/><Relationship Id="rId6269" Type="http://schemas.openxmlformats.org/officeDocument/2006/relationships/hyperlink" Target="https://drive.google.com/file/d/1uUjf4ri457ymZROykEy7MDcynTb57bO0/view?usp=drivesdk" TargetMode="External"/><Relationship Id="rId7580" Type="http://schemas.openxmlformats.org/officeDocument/2006/relationships/hyperlink" Target="https://drive.google.com/file/d/10gp_oXqnLymuNbkfYUMfnGTGE8G8P7hd/view?usp=drivesdk" TargetMode="External"/><Relationship Id="rId6252" Type="http://schemas.openxmlformats.org/officeDocument/2006/relationships/hyperlink" Target="https://drive.google.com/file/d/16rTqv7qg8FZETYwMGalVT2goraIHVg8a/view?usp=drivesdk" TargetMode="External"/><Relationship Id="rId7584" Type="http://schemas.openxmlformats.org/officeDocument/2006/relationships/hyperlink" Target="https://drive.google.com/file/d/1UZvM1Lsse62NNFA47mEipqFVr_7tPzHi/view?usp=drivesdk" TargetMode="External"/><Relationship Id="rId6253" Type="http://schemas.openxmlformats.org/officeDocument/2006/relationships/hyperlink" Target="https://drive.google.com/file/d/1EvRv6rdYoMhwTzEW4q-RH54d-n2XPxEf/view?usp=drivesdk" TargetMode="External"/><Relationship Id="rId7583" Type="http://schemas.openxmlformats.org/officeDocument/2006/relationships/hyperlink" Target="https://drive.google.com/file/d/1oRW70xWYmdci0-mQ1yLKUC92zSDivcMG/view?usp=drivesdk" TargetMode="External"/><Relationship Id="rId6250" Type="http://schemas.openxmlformats.org/officeDocument/2006/relationships/hyperlink" Target="https://drive.google.com/file/d/1LDTPSIprkt39GIiSOiqpu3IKbpeS9TLf/view?usp=drivesdk" TargetMode="External"/><Relationship Id="rId7582" Type="http://schemas.openxmlformats.org/officeDocument/2006/relationships/hyperlink" Target="https://drive.google.com/file/d/1bmBDwdxKalOio5exqN-lIUQedaWpFUlH/view?usp=drivesdk" TargetMode="External"/><Relationship Id="rId6251" Type="http://schemas.openxmlformats.org/officeDocument/2006/relationships/hyperlink" Target="https://drive.google.com/file/d/18txIr5Bcnnt5FfI-cj_1zk7tnzsWsF_7/view?usp=drivesdk" TargetMode="External"/><Relationship Id="rId7581" Type="http://schemas.openxmlformats.org/officeDocument/2006/relationships/hyperlink" Target="https://drive.google.com/file/d/1acUJaeGddbBhLs2Jc5b4JzjeeaiXP7Ok/view?usp=drivesdk" TargetMode="External"/><Relationship Id="rId6256" Type="http://schemas.openxmlformats.org/officeDocument/2006/relationships/hyperlink" Target="https://drive.google.com/file/d/1LVr4WlXu1fzmhD7EOVLZl3seSnnWivfW/view?usp=drivesdk" TargetMode="External"/><Relationship Id="rId7588" Type="http://schemas.openxmlformats.org/officeDocument/2006/relationships/hyperlink" Target="https://drive.google.com/file/d/1y9mV1D5YhUo_4R4DQ-vc6U_ULT8feIU1/view?usp=drivesdk" TargetMode="External"/><Relationship Id="rId6257" Type="http://schemas.openxmlformats.org/officeDocument/2006/relationships/hyperlink" Target="https://drive.google.com/file/d/1C3GW0_FUcKLeG0P_pFiHbSmYVv2M1QGx/view?usp=drivesdk" TargetMode="External"/><Relationship Id="rId7587" Type="http://schemas.openxmlformats.org/officeDocument/2006/relationships/hyperlink" Target="https://drive.google.com/file/d/1voO-k39lqMi9R8H_AY34-qtSC6X2SvRy/view?usp=drivesdk" TargetMode="External"/><Relationship Id="rId6254" Type="http://schemas.openxmlformats.org/officeDocument/2006/relationships/hyperlink" Target="https://drive.google.com/file/d/1gUQ_pLtQifQNNI4rjTxxOjU_-BIo_Z5P/view?usp=drivesdk" TargetMode="External"/><Relationship Id="rId7586" Type="http://schemas.openxmlformats.org/officeDocument/2006/relationships/hyperlink" Target="https://drive.google.com/file/d/1TOiEcSzSd3HoQjQp7BHo4emFZ3AmDAIp/view?usp=drivesdk" TargetMode="External"/><Relationship Id="rId6255" Type="http://schemas.openxmlformats.org/officeDocument/2006/relationships/hyperlink" Target="https://drive.google.com/file/d/1Q0EK51-CCJ_oI2k_NL991-_-JDtLOWw7/view?usp=drivesdk" TargetMode="External"/><Relationship Id="rId7585" Type="http://schemas.openxmlformats.org/officeDocument/2006/relationships/hyperlink" Target="https://drive.google.com/file/d/1wffAYCowtHa_EfOk1u0toPL9y8DRzmUy/view?usp=drivesdk" TargetMode="External"/><Relationship Id="rId6258" Type="http://schemas.openxmlformats.org/officeDocument/2006/relationships/hyperlink" Target="https://drive.google.com/file/d/16DPRdc6X6F49ZVZ3ZMdtygNFIGsUow0z/view?usp=drivesdk" TargetMode="External"/><Relationship Id="rId6259" Type="http://schemas.openxmlformats.org/officeDocument/2006/relationships/hyperlink" Target="https://drive.google.com/file/d/14LQwZztyAuogaJD2sPveWIOo4NQmJ3My/view?usp=drivesdk" TargetMode="External"/><Relationship Id="rId7589" Type="http://schemas.openxmlformats.org/officeDocument/2006/relationships/hyperlink" Target="https://drive.google.com/file/d/1SqMVZbTBO4lamEwGSS-sqm7ogF-EtQ5J/view?usp=drivesdk" TargetMode="External"/><Relationship Id="rId6281" Type="http://schemas.openxmlformats.org/officeDocument/2006/relationships/hyperlink" Target="https://drive.google.com/file/d/1WTD_QnHmPgoXaXk7zPAaHzW9ONLc5moY/view?usp=drivesdk" TargetMode="External"/><Relationship Id="rId6282" Type="http://schemas.openxmlformats.org/officeDocument/2006/relationships/hyperlink" Target="https://drive.google.com/file/d/1FgpIxxEtqKiJhaZMDJAJrfnqIvarEOV8/view?usp=drivesdk" TargetMode="External"/><Relationship Id="rId6280" Type="http://schemas.openxmlformats.org/officeDocument/2006/relationships/hyperlink" Target="https://drive.google.com/file/d/1rmXOhs8-p0V0fixTwrr2F2nWdQExrCWn/view?usp=drivesdk" TargetMode="External"/><Relationship Id="rId6285" Type="http://schemas.openxmlformats.org/officeDocument/2006/relationships/hyperlink" Target="https://drive.google.com/file/d/1adb-3SfV5Aq_D2OVi_Xp0aASTtU72rs8/view?usp=drivesdk" TargetMode="External"/><Relationship Id="rId6286" Type="http://schemas.openxmlformats.org/officeDocument/2006/relationships/hyperlink" Target="https://drive.google.com/file/d/1FFWimyRXkMdDP3eEP0dVeUa0ZrxoYQEF/view?usp=drivesdk" TargetMode="External"/><Relationship Id="rId6283" Type="http://schemas.openxmlformats.org/officeDocument/2006/relationships/hyperlink" Target="https://drive.google.com/file/d/1QzjG4k1qWRflUHWz7zL_lIlckpOlsxvY/view?usp=drivesdk" TargetMode="External"/><Relationship Id="rId6284" Type="http://schemas.openxmlformats.org/officeDocument/2006/relationships/hyperlink" Target="https://drive.google.com/file/d/16K-egn3ZHVFrPER30Q1lTnrsldat1LJs/view?usp=drivesdk" TargetMode="External"/><Relationship Id="rId6289" Type="http://schemas.openxmlformats.org/officeDocument/2006/relationships/hyperlink" Target="https://drive.google.com/file/d/1A9u05fqnXJ9gC9YL3iBuN81wrERqnjY9/view?usp=drivesdk" TargetMode="External"/><Relationship Id="rId6287" Type="http://schemas.openxmlformats.org/officeDocument/2006/relationships/hyperlink" Target="https://drive.google.com/file/d/1roH98r5JTFyzXif-_vph4zkLfeZESSPa/view?usp=drivesdk" TargetMode="External"/><Relationship Id="rId6288" Type="http://schemas.openxmlformats.org/officeDocument/2006/relationships/hyperlink" Target="https://drive.google.com/file/d/1z6PyWJAClwlRHqXPL4Fd0u3AOztM756u/view?usp=drivesdk" TargetMode="External"/><Relationship Id="rId6270" Type="http://schemas.openxmlformats.org/officeDocument/2006/relationships/hyperlink" Target="https://drive.google.com/file/d/1zc1gRL8KOOsMr2b_jXu0oFVeC7W5JuMh/view?usp=drivesdk" TargetMode="External"/><Relationship Id="rId6271" Type="http://schemas.openxmlformats.org/officeDocument/2006/relationships/hyperlink" Target="https://drive.google.com/file/d/1NxbWdoMUJ9FQ_O616xAEwg-bxucCe6GJ/view?usp=drivesdk" TargetMode="External"/><Relationship Id="rId6274" Type="http://schemas.openxmlformats.org/officeDocument/2006/relationships/hyperlink" Target="https://drive.google.com/file/d/1rx3K4ypDxn0yzIIPQNoQTSKgCdAatOr5/view?usp=drivesdk" TargetMode="External"/><Relationship Id="rId6275" Type="http://schemas.openxmlformats.org/officeDocument/2006/relationships/hyperlink" Target="https://drive.google.com/file/d/11Y32UKTF5Kl_Xd689sfCVYZRMA_loqLp/view?usp=drivesdk" TargetMode="External"/><Relationship Id="rId6272" Type="http://schemas.openxmlformats.org/officeDocument/2006/relationships/hyperlink" Target="https://drive.google.com/file/d/11fjX8jnSxDrUhvClo7nL9A-KT6Hge0Ms/view?usp=drivesdk" TargetMode="External"/><Relationship Id="rId6273" Type="http://schemas.openxmlformats.org/officeDocument/2006/relationships/hyperlink" Target="https://drive.google.com/file/d/1AIh-5cPwADAvQ3fMJCer1NQ5w1COtUUG/view?usp=drivesdk" TargetMode="External"/><Relationship Id="rId6278" Type="http://schemas.openxmlformats.org/officeDocument/2006/relationships/hyperlink" Target="https://drive.google.com/file/d/1C9h84z8GcYv4qoraqXX2xxLM-2_drDj7/view?usp=drivesdk" TargetMode="External"/><Relationship Id="rId6279" Type="http://schemas.openxmlformats.org/officeDocument/2006/relationships/hyperlink" Target="https://drive.google.com/file/d/1TK46Ddk3-Qs3sXbd2YugpHn2soNdIsdZ/view?usp=drivesdk" TargetMode="External"/><Relationship Id="rId6276" Type="http://schemas.openxmlformats.org/officeDocument/2006/relationships/hyperlink" Target="https://drive.google.com/file/d/1pDz36z3Kn6mwKEFYwZ24tUHEXV7ZTzfb/view?usp=drivesdk" TargetMode="External"/><Relationship Id="rId6277" Type="http://schemas.openxmlformats.org/officeDocument/2006/relationships/hyperlink" Target="https://drive.google.com/file/d/1FC19mkWsrC9WfQfQg8h4ZYwrkVRBACZb/view?usp=drivesdk" TargetMode="External"/><Relationship Id="rId1455" Type="http://schemas.openxmlformats.org/officeDocument/2006/relationships/hyperlink" Target="https://drive.google.com/file/d/1HvM8gtJICu4UmpiIVssMda2cfqxtDSwJ/view?usp=drivesdk" TargetMode="External"/><Relationship Id="rId2786" Type="http://schemas.openxmlformats.org/officeDocument/2006/relationships/hyperlink" Target="https://drive.google.com/file/d/1Vs1y_gKlhEJ2EVeWX-IY4kan3SG4ygFY/view?usp=drivesdk" TargetMode="External"/><Relationship Id="rId1456" Type="http://schemas.openxmlformats.org/officeDocument/2006/relationships/hyperlink" Target="https://drive.google.com/file/d/197NS95Jg71astMpSSFBrAtcGx6Wz4Oav/view?usp=drivesdk" TargetMode="External"/><Relationship Id="rId2787" Type="http://schemas.openxmlformats.org/officeDocument/2006/relationships/hyperlink" Target="https://drive.google.com/file/d/13fxnUqb7xC9yZj0OtOSVgStL1HWiFkA1/view?usp=drivesdk" TargetMode="External"/><Relationship Id="rId1457" Type="http://schemas.openxmlformats.org/officeDocument/2006/relationships/hyperlink" Target="https://drive.google.com/file/d/1graB0-xx2xDLD0YkNGGM4LYPTlSBILOk/view?usp=drivesdk" TargetMode="External"/><Relationship Id="rId2788" Type="http://schemas.openxmlformats.org/officeDocument/2006/relationships/hyperlink" Target="https://drive.google.com/file/d/1oFpJwNJEmKt7ZdBEwePJ5Tf5Rqy-hkrb/view?usp=drivesdk" TargetMode="External"/><Relationship Id="rId1458" Type="http://schemas.openxmlformats.org/officeDocument/2006/relationships/hyperlink" Target="https://drive.google.com/file/d/1rUDELwk6AG_qwmg08M6dmqudmeXXNKES/view?usp=drivesdk" TargetMode="External"/><Relationship Id="rId2789" Type="http://schemas.openxmlformats.org/officeDocument/2006/relationships/hyperlink" Target="https://drive.google.com/file/d/1Yyrl96E-P98wJdASggmResqkQlE5HTCG/view?usp=drivesdk" TargetMode="External"/><Relationship Id="rId1459" Type="http://schemas.openxmlformats.org/officeDocument/2006/relationships/hyperlink" Target="https://drive.google.com/file/d/1asqqqYpGhlHLc9pgKJ0Ofp8hl9n4CgGa/view?usp=drivesdk" TargetMode="External"/><Relationship Id="rId629" Type="http://schemas.openxmlformats.org/officeDocument/2006/relationships/hyperlink" Target="https://drive.google.com/file/d/1eYqBKnprUcRAWAjCqt5jstmsEco91sKS/view?usp=drivesdk" TargetMode="External"/><Relationship Id="rId624" Type="http://schemas.openxmlformats.org/officeDocument/2006/relationships/hyperlink" Target="https://drive.google.com/file/d/1x-dGtKhDB2fEbl-MDzwBeJpKhGwrRYnr/view?usp=drivesdk" TargetMode="External"/><Relationship Id="rId623" Type="http://schemas.openxmlformats.org/officeDocument/2006/relationships/hyperlink" Target="https://drive.google.com/file/d/1A2DfEE04hqGhM630WZTwnNVCziZ4BF0V/view?usp=drivesdk" TargetMode="External"/><Relationship Id="rId622" Type="http://schemas.openxmlformats.org/officeDocument/2006/relationships/hyperlink" Target="https://drive.google.com/file/d/1fKao5svhPHdSJK5mGzn1qXxcEyGJxfPV/view?usp=drivesdk" TargetMode="External"/><Relationship Id="rId621" Type="http://schemas.openxmlformats.org/officeDocument/2006/relationships/hyperlink" Target="https://drive.google.com/file/d/1ia0hUdfnHPsVPXCdYVnVleUSK10OXDbp/view?usp=drivesdk" TargetMode="External"/><Relationship Id="rId628" Type="http://schemas.openxmlformats.org/officeDocument/2006/relationships/hyperlink" Target="https://drive.google.com/file/d/1BEkSaEESFa3ziKvhAvVW1DCO2XuhT_8Z/view?usp=drivesdk" TargetMode="External"/><Relationship Id="rId627" Type="http://schemas.openxmlformats.org/officeDocument/2006/relationships/hyperlink" Target="https://drive.google.com/file/d/117HNGicC1Xt-z1iuodQrrkhqyqPAZTbL/view?usp=drivesdk" TargetMode="External"/><Relationship Id="rId626" Type="http://schemas.openxmlformats.org/officeDocument/2006/relationships/hyperlink" Target="https://drive.google.com/file/d/1Kdqm3drqIareQlYaxm1BMzLQnYItkiHZ/view?usp=drivesdk" TargetMode="External"/><Relationship Id="rId625" Type="http://schemas.openxmlformats.org/officeDocument/2006/relationships/hyperlink" Target="https://drive.google.com/file/d/1c3euW7xm9TI5SD-0gKibsO8iRkZMS0U_/view?usp=drivesdk" TargetMode="External"/><Relationship Id="rId2780" Type="http://schemas.openxmlformats.org/officeDocument/2006/relationships/hyperlink" Target="https://drive.google.com/file/d/1bJHeI__orb6GLIxJhPycyj0Xykpe5yyQ/view?usp=drivesdk" TargetMode="External"/><Relationship Id="rId1450" Type="http://schemas.openxmlformats.org/officeDocument/2006/relationships/hyperlink" Target="https://drive.google.com/file/d/1LW7ELRNGLnBjuf7K9wy7LGYLyQF4KL8P/view?usp=drivesdk" TargetMode="External"/><Relationship Id="rId2781" Type="http://schemas.openxmlformats.org/officeDocument/2006/relationships/hyperlink" Target="https://drive.google.com/file/d/1NGCk4R1duamhMW5wrELJhUPRLyuLUYWh/view?usp=drivesdk" TargetMode="External"/><Relationship Id="rId620" Type="http://schemas.openxmlformats.org/officeDocument/2006/relationships/hyperlink" Target="https://drive.google.com/file/d/1od65PDXqihrHdGwM4h1FkilHUYG20obc/view?usp=drivesdk" TargetMode="External"/><Relationship Id="rId1451" Type="http://schemas.openxmlformats.org/officeDocument/2006/relationships/hyperlink" Target="https://drive.google.com/file/d/1aT7Jif7I9cjTL1jKR-shjWZw5HuEOIVy/view?usp=drivesdk" TargetMode="External"/><Relationship Id="rId2782" Type="http://schemas.openxmlformats.org/officeDocument/2006/relationships/hyperlink" Target="https://drive.google.com/file/d/11SgYSJ9DfbiHLCUmrEDI7THa458HmQ9i/view?usp=drivesdk" TargetMode="External"/><Relationship Id="rId1452" Type="http://schemas.openxmlformats.org/officeDocument/2006/relationships/hyperlink" Target="https://drive.google.com/file/d/1rQ8Ynt3Jt__NNB_1utUkzAI8kGvswD-a/view?usp=drivesdk" TargetMode="External"/><Relationship Id="rId2783" Type="http://schemas.openxmlformats.org/officeDocument/2006/relationships/hyperlink" Target="https://drive.google.com/file/d/1gQi5ZuEZG7WzcJrpUSHaiVxq6TkPmuNJ/view?usp=drivesdk" TargetMode="External"/><Relationship Id="rId1453" Type="http://schemas.openxmlformats.org/officeDocument/2006/relationships/hyperlink" Target="https://drive.google.com/file/d/1e1zsgQmZTh9DBWDgCoWAhIunD9a8GQB4/view?usp=drivesdk" TargetMode="External"/><Relationship Id="rId2784" Type="http://schemas.openxmlformats.org/officeDocument/2006/relationships/hyperlink" Target="https://drive.google.com/file/d/1HexAwVO0Wfr66tu4b4FNhUNqq_FJzj4T/view?usp=drivesdk" TargetMode="External"/><Relationship Id="rId1454" Type="http://schemas.openxmlformats.org/officeDocument/2006/relationships/hyperlink" Target="https://drive.google.com/file/d/1quum9MrOeNQLy2LeBnPyGjPZu15MEkAo/view?usp=drivesdk" TargetMode="External"/><Relationship Id="rId2785" Type="http://schemas.openxmlformats.org/officeDocument/2006/relationships/hyperlink" Target="https://drive.google.com/file/d/11BMKUjkRo2UoXtG_cWIvD1hR4Y2bovtD/view?usp=drivesdk" TargetMode="External"/><Relationship Id="rId1444" Type="http://schemas.openxmlformats.org/officeDocument/2006/relationships/hyperlink" Target="https://drive.google.com/file/d/1oLUCAxG7SzoK2PSyWwOzvl9-NoeHUw9z/view?usp=drivesdk" TargetMode="External"/><Relationship Id="rId2775" Type="http://schemas.openxmlformats.org/officeDocument/2006/relationships/hyperlink" Target="https://drive.google.com/file/d/1aeXvAu-mmQDRtUP2iBwNuCtpMIa3i3xC/view?usp=drivesdk" TargetMode="External"/><Relationship Id="rId1445" Type="http://schemas.openxmlformats.org/officeDocument/2006/relationships/hyperlink" Target="https://drive.google.com/file/d/1X6NehDd4Pda6x4XpnEV5j3EJFY9Y2kLo/view?usp=drivesdk" TargetMode="External"/><Relationship Id="rId2776" Type="http://schemas.openxmlformats.org/officeDocument/2006/relationships/hyperlink" Target="https://drive.google.com/file/d/1IRuvpL56gcrAmaT_V3LfYLaZES6idIbN/view?usp=drivesdk" TargetMode="External"/><Relationship Id="rId1446" Type="http://schemas.openxmlformats.org/officeDocument/2006/relationships/hyperlink" Target="https://drive.google.com/file/d/1BDIzXEVKEIYB3msxdX75SqoxPO6NPIJK/view?usp=drivesdk" TargetMode="External"/><Relationship Id="rId2777" Type="http://schemas.openxmlformats.org/officeDocument/2006/relationships/hyperlink" Target="https://drive.google.com/file/d/1DqG_p7nOx77JMWRPyxkpRN-8ZNg42gWs/view?usp=drivesdk" TargetMode="External"/><Relationship Id="rId1447" Type="http://schemas.openxmlformats.org/officeDocument/2006/relationships/hyperlink" Target="https://drive.google.com/file/d/1LHZHWlKw5rU-IVdR_Ru3lQBYZSEk-oAc/view?usp=drivesdk" TargetMode="External"/><Relationship Id="rId2778" Type="http://schemas.openxmlformats.org/officeDocument/2006/relationships/hyperlink" Target="https://drive.google.com/file/d/1wNK8YgmaWpAZlseWGiFvuIaKh3yYgRSe/view?usp=drivesdk" TargetMode="External"/><Relationship Id="rId1448" Type="http://schemas.openxmlformats.org/officeDocument/2006/relationships/hyperlink" Target="https://drive.google.com/file/d/1I_Xmxrf35HlBIdtwRclj8Vd8y0WNWuqK/view?usp=drivesdk" TargetMode="External"/><Relationship Id="rId2779" Type="http://schemas.openxmlformats.org/officeDocument/2006/relationships/hyperlink" Target="https://drive.google.com/file/d/1_O9UQkQpyEukBZ9ph3x7B97CeKR_sLl1/view?usp=drivesdk" TargetMode="External"/><Relationship Id="rId1449" Type="http://schemas.openxmlformats.org/officeDocument/2006/relationships/hyperlink" Target="https://drive.google.com/file/d/1ZrJjPvjobzoebZ9AbP83OGJ1fbpqVMC_/view?usp=drivesdk" TargetMode="External"/><Relationship Id="rId619" Type="http://schemas.openxmlformats.org/officeDocument/2006/relationships/hyperlink" Target="https://drive.google.com/file/d/1gprugMgx3oTK14P4e_D2wgUPFvjyCw_Y/view?usp=drivesdk" TargetMode="External"/><Relationship Id="rId618" Type="http://schemas.openxmlformats.org/officeDocument/2006/relationships/hyperlink" Target="https://drive.google.com/file/d/19Kwf467ASJgZeCHVs4VYRgESOe3sUADe/view?usp=drivesdk" TargetMode="External"/><Relationship Id="rId613" Type="http://schemas.openxmlformats.org/officeDocument/2006/relationships/hyperlink" Target="https://drive.google.com/file/d/1KzmvDoErN95xDZRSMIAUVeJtzUI10PrC/view?usp=drivesdk" TargetMode="External"/><Relationship Id="rId612" Type="http://schemas.openxmlformats.org/officeDocument/2006/relationships/hyperlink" Target="https://drive.google.com/file/d/1Hc5yezk8dg3HtacgBKWHIZuj6XCi6yYM/view?usp=drivesdk" TargetMode="External"/><Relationship Id="rId611" Type="http://schemas.openxmlformats.org/officeDocument/2006/relationships/hyperlink" Target="https://drive.google.com/file/d/1eynpm2--ZWqG9SRrPlabKmNLbfb-Khvx/view?usp=drivesdk" TargetMode="External"/><Relationship Id="rId610" Type="http://schemas.openxmlformats.org/officeDocument/2006/relationships/hyperlink" Target="https://drive.google.com/file/d/18CD9-MQMjkKT4lyWx66ZR1EU3kHuy0OC/view?usp=drivesdk" TargetMode="External"/><Relationship Id="rId617" Type="http://schemas.openxmlformats.org/officeDocument/2006/relationships/hyperlink" Target="https://drive.google.com/file/d/1MmDKfnRKLEbwG6atShfGHeiZEH_yJztl/view?usp=drivesdk" TargetMode="External"/><Relationship Id="rId616" Type="http://schemas.openxmlformats.org/officeDocument/2006/relationships/hyperlink" Target="https://drive.google.com/file/d/1RrfpNepgVGdd7z1wgD-LtOE_i1zx50jO/view?usp=drivesdk" TargetMode="External"/><Relationship Id="rId615" Type="http://schemas.openxmlformats.org/officeDocument/2006/relationships/hyperlink" Target="https://drive.google.com/file/d/1HVnwTfS1bIvN79rLpA__r7Hr39NAilTR/view?usp=drivesdk" TargetMode="External"/><Relationship Id="rId614" Type="http://schemas.openxmlformats.org/officeDocument/2006/relationships/hyperlink" Target="https://drive.google.com/file/d/1q83-nR2c0r8003Ochil9EmHsU0ioztNi/view?usp=drivesdk" TargetMode="External"/><Relationship Id="rId2770" Type="http://schemas.openxmlformats.org/officeDocument/2006/relationships/hyperlink" Target="https://drive.google.com/file/d/1wD1YBOO5Vvv0aqA-6AdgunowWdBDrHtB/view?usp=drivesdk" TargetMode="External"/><Relationship Id="rId1440" Type="http://schemas.openxmlformats.org/officeDocument/2006/relationships/hyperlink" Target="https://drive.google.com/file/d/1na1w66aHHcPt0_1pmY510A6bLtaAmLfm/view?usp=drivesdk" TargetMode="External"/><Relationship Id="rId2771" Type="http://schemas.openxmlformats.org/officeDocument/2006/relationships/hyperlink" Target="https://drive.google.com/file/d/18LtGY-zL_-VuGkcT0PsuHsrxyA613lz3/view?usp=drivesdk" TargetMode="External"/><Relationship Id="rId1441" Type="http://schemas.openxmlformats.org/officeDocument/2006/relationships/hyperlink" Target="https://drive.google.com/file/d/1aFjIc5tMVxxUKi1GhsECuAnTk4eMkWjk/view?usp=drivesdk" TargetMode="External"/><Relationship Id="rId2772" Type="http://schemas.openxmlformats.org/officeDocument/2006/relationships/hyperlink" Target="https://drive.google.com/file/d/1mi0aM-xvISp4Gw_E_J8HFpynLl7Ik-Rj/view?usp=drivesdk" TargetMode="External"/><Relationship Id="rId1442" Type="http://schemas.openxmlformats.org/officeDocument/2006/relationships/hyperlink" Target="https://drive.google.com/file/d/1IHapgVg4HURK6DGpMJHmI5w5GRLLEMiv/view?usp=drivesdk" TargetMode="External"/><Relationship Id="rId2773" Type="http://schemas.openxmlformats.org/officeDocument/2006/relationships/hyperlink" Target="https://drive.google.com/file/d/1LjGWSmzBiYDFNfvxan13Ot34G0I03eIr/view?usp=drivesdk" TargetMode="External"/><Relationship Id="rId1443" Type="http://schemas.openxmlformats.org/officeDocument/2006/relationships/hyperlink" Target="https://drive.google.com/file/d/1gbzsdWzBGrRRxDvMkdyklMxJBOOhN_vg/view?usp=drivesdk" TargetMode="External"/><Relationship Id="rId2774" Type="http://schemas.openxmlformats.org/officeDocument/2006/relationships/hyperlink" Target="https://drive.google.com/file/d/1zm259T4WjfamhjvnOQrQ7fxgkVCjKBNb/view?usp=drivesdk" TargetMode="External"/><Relationship Id="rId1477" Type="http://schemas.openxmlformats.org/officeDocument/2006/relationships/hyperlink" Target="https://drive.google.com/file/d/1MptuK1Kpn9hw5PaRRe3Pes4uuhaCoBJV/view?usp=drivesdk" TargetMode="External"/><Relationship Id="rId1478" Type="http://schemas.openxmlformats.org/officeDocument/2006/relationships/hyperlink" Target="https://drive.google.com/file/d/13M9gUhcQ2VyQpq_YMTOw6Ac_42WJq2fv/view?usp=drivesdk" TargetMode="External"/><Relationship Id="rId1479" Type="http://schemas.openxmlformats.org/officeDocument/2006/relationships/hyperlink" Target="https://drive.google.com/file/d/1FJlAd1TC-vxeREsMiQ0LBZiGijEbHJdO/view?usp=drivesdk" TargetMode="External"/><Relationship Id="rId646" Type="http://schemas.openxmlformats.org/officeDocument/2006/relationships/hyperlink" Target="https://drive.google.com/file/d/1NEopjbVd6x_n1wuwcHfZZkYdjerAxieK/view?usp=drivesdk" TargetMode="External"/><Relationship Id="rId645" Type="http://schemas.openxmlformats.org/officeDocument/2006/relationships/hyperlink" Target="https://drive.google.com/file/d/1TNH_w_xaxGAIKv7xPfhSnu8Q79BTuK8e/view?usp=drivesdk" TargetMode="External"/><Relationship Id="rId644" Type="http://schemas.openxmlformats.org/officeDocument/2006/relationships/hyperlink" Target="https://drive.google.com/file/d/1WUAv4VVrUmtd3Z9II_5V8gkQngkwVHvD/view?usp=drivesdk" TargetMode="External"/><Relationship Id="rId643" Type="http://schemas.openxmlformats.org/officeDocument/2006/relationships/hyperlink" Target="https://drive.google.com/file/d/1Y7R2PRDimF4DcOo30QklukfrcsHtP1fd/view?usp=drivesdk" TargetMode="External"/><Relationship Id="rId649" Type="http://schemas.openxmlformats.org/officeDocument/2006/relationships/hyperlink" Target="https://drive.google.com/file/d/1IG9SjvDUf_SYEKlTM7EE6Ji5mDXiiRU7/view?usp=drivesdk" TargetMode="External"/><Relationship Id="rId648" Type="http://schemas.openxmlformats.org/officeDocument/2006/relationships/hyperlink" Target="https://drive.google.com/file/d/1XQZDIXhdoBruKJHXJlnYClPQ8ghjizu_/view?usp=drivesdk" TargetMode="External"/><Relationship Id="rId647" Type="http://schemas.openxmlformats.org/officeDocument/2006/relationships/hyperlink" Target="https://drive.google.com/file/d/1iRpBaRYRW7XCbmSxlamFGySzWE1qoSgE/view?usp=drivesdk" TargetMode="External"/><Relationship Id="rId1470" Type="http://schemas.openxmlformats.org/officeDocument/2006/relationships/hyperlink" Target="https://drive.google.com/file/d/154M_gMXGykNvEHoiFd20zJrH_wOrPK-2/view?usp=drivesdk" TargetMode="External"/><Relationship Id="rId1471" Type="http://schemas.openxmlformats.org/officeDocument/2006/relationships/hyperlink" Target="https://drive.google.com/file/d/1QOqtb2rEsXlmkal-mGO5Wig99DOkeY9c/view?usp=drivesdk" TargetMode="External"/><Relationship Id="rId1472" Type="http://schemas.openxmlformats.org/officeDocument/2006/relationships/hyperlink" Target="https://drive.google.com/file/d/1XeMesQQwOTcT746hushp4i2izXOXZw07/view?usp=drivesdk" TargetMode="External"/><Relationship Id="rId642" Type="http://schemas.openxmlformats.org/officeDocument/2006/relationships/hyperlink" Target="https://drive.google.com/file/d/1rk50I9XQ_dXMLbsPHJEYV0jIFlYOJrki/view?usp=drivesdk" TargetMode="External"/><Relationship Id="rId1473" Type="http://schemas.openxmlformats.org/officeDocument/2006/relationships/hyperlink" Target="https://drive.google.com/file/d/1YGXN3yPpC4E8rEr58dCGRJU6ewvQ52Ey/view?usp=drivesdk" TargetMode="External"/><Relationship Id="rId641" Type="http://schemas.openxmlformats.org/officeDocument/2006/relationships/hyperlink" Target="https://drive.google.com/file/d/1hQNQnWzdD1zn-q-vxO8cVu-rz9Bczgyh/view?usp=drivesdk" TargetMode="External"/><Relationship Id="rId1474" Type="http://schemas.openxmlformats.org/officeDocument/2006/relationships/hyperlink" Target="https://drive.google.com/file/d/1NXK6t0ddC6YEDR0HWE24iBMzP8yDMowU/view?usp=drivesdk" TargetMode="External"/><Relationship Id="rId640" Type="http://schemas.openxmlformats.org/officeDocument/2006/relationships/hyperlink" Target="https://drive.google.com/file/d/1brsiTB3ulv8v1dX8K34P9fxHlnp3JRiI/view?usp=drivesdk" TargetMode="External"/><Relationship Id="rId1475" Type="http://schemas.openxmlformats.org/officeDocument/2006/relationships/hyperlink" Target="https://drive.google.com/file/d/1V3izR-bfp4xfjtYSHAkCsIi1nKzHcA9w/view?usp=drivesdk" TargetMode="External"/><Relationship Id="rId1476" Type="http://schemas.openxmlformats.org/officeDocument/2006/relationships/hyperlink" Target="https://drive.google.com/file/d/1SXSk2mXk12ZvNJRINo43Hc7SWB1pWUnc/view?usp=drivesdk" TargetMode="External"/><Relationship Id="rId1466" Type="http://schemas.openxmlformats.org/officeDocument/2006/relationships/hyperlink" Target="https://drive.google.com/file/d/1j_BHY5GbeCZMqLS3nc9jwITDJlu_zMhl/view?usp=drivesdk" TargetMode="External"/><Relationship Id="rId2797" Type="http://schemas.openxmlformats.org/officeDocument/2006/relationships/hyperlink" Target="https://drive.google.com/file/d/17H-O1ztPL8joP6hJKUnRhWXojRS8DJjc/view?usp=drivesdk" TargetMode="External"/><Relationship Id="rId1467" Type="http://schemas.openxmlformats.org/officeDocument/2006/relationships/hyperlink" Target="https://drive.google.com/file/d/10qqQAJD7b8s_wx0bBWB9HxpwF1_-6d8d/view?usp=drivesdk" TargetMode="External"/><Relationship Id="rId2798" Type="http://schemas.openxmlformats.org/officeDocument/2006/relationships/hyperlink" Target="https://drive.google.com/file/d/169dG9Tah_CvNsqw_UFPWNZ6-7N5lWG0T/view?usp=drivesdk" TargetMode="External"/><Relationship Id="rId1468" Type="http://schemas.openxmlformats.org/officeDocument/2006/relationships/hyperlink" Target="https://drive.google.com/file/d/1PmJI5BScL8v6FzJVT-Br1wHd7yIEBfoF/view?usp=drivesdk" TargetMode="External"/><Relationship Id="rId2799" Type="http://schemas.openxmlformats.org/officeDocument/2006/relationships/hyperlink" Target="https://drive.google.com/file/d/1xIlQv0e76Pi4qBGzTy2ZagwpDtJpIxWv/view?usp=drivesdk" TargetMode="External"/><Relationship Id="rId1469" Type="http://schemas.openxmlformats.org/officeDocument/2006/relationships/hyperlink" Target="https://drive.google.com/file/d/1tIvSPX3gT2RdmMVSyF5dWae2IGlypOsU/view?usp=drivesdk" TargetMode="External"/><Relationship Id="rId635" Type="http://schemas.openxmlformats.org/officeDocument/2006/relationships/hyperlink" Target="https://drive.google.com/file/d/1vEsepoRxs9TXcXRDsPTLh3P6anCDUAiT/view?usp=drivesdk" TargetMode="External"/><Relationship Id="rId634" Type="http://schemas.openxmlformats.org/officeDocument/2006/relationships/hyperlink" Target="https://drive.google.com/file/d/1xC-maUvgMnDj3-_djZcnWPkK_WqAHsr6/view?usp=drivesdk" TargetMode="External"/><Relationship Id="rId633" Type="http://schemas.openxmlformats.org/officeDocument/2006/relationships/hyperlink" Target="https://drive.google.com/file/d/1-ffUY-eKL2xJ2nYHc-6uqnQU0cJZIJOh/view?usp=drivesdk" TargetMode="External"/><Relationship Id="rId632" Type="http://schemas.openxmlformats.org/officeDocument/2006/relationships/hyperlink" Target="https://drive.google.com/file/d/1zybISvJ82nzIqDNlh9fE18vJZg2ZwVKF/view?usp=drivesdk" TargetMode="External"/><Relationship Id="rId639" Type="http://schemas.openxmlformats.org/officeDocument/2006/relationships/hyperlink" Target="https://drive.google.com/file/d/1RfbwyKAUgcTKKyB4Ku7FKIslBfZsFPxz/view?usp=drivesdk" TargetMode="External"/><Relationship Id="rId638" Type="http://schemas.openxmlformats.org/officeDocument/2006/relationships/hyperlink" Target="https://drive.google.com/file/d/1fSvStvBviOGjyDeaaTD2TJtn44DiXjmA/view?usp=drivesdk" TargetMode="External"/><Relationship Id="rId637" Type="http://schemas.openxmlformats.org/officeDocument/2006/relationships/hyperlink" Target="https://drive.google.com/file/d/1oL2QrYbo3Haw54RE_l5axjC4KKN44gK5/view?usp=drivesdk" TargetMode="External"/><Relationship Id="rId636" Type="http://schemas.openxmlformats.org/officeDocument/2006/relationships/hyperlink" Target="https://drive.google.com/file/d/1enUhxU9uxEQjpeK4QQT9kGQphduHcOcu/view?usp=drivesdk" TargetMode="External"/><Relationship Id="rId2790" Type="http://schemas.openxmlformats.org/officeDocument/2006/relationships/hyperlink" Target="https://drive.google.com/file/d/1yCQeAY0CbCc8js4pSu99TrZj5geQD988/view?usp=drivesdk" TargetMode="External"/><Relationship Id="rId1460" Type="http://schemas.openxmlformats.org/officeDocument/2006/relationships/hyperlink" Target="https://drive.google.com/file/d/1AwVq1Vfs55pAeZc0Jd8SgzB4_L6UNsLB/view?usp=drivesdk" TargetMode="External"/><Relationship Id="rId2791" Type="http://schemas.openxmlformats.org/officeDocument/2006/relationships/hyperlink" Target="https://drive.google.com/file/d/1nlOoySKCKFGuNfsZRdmmiU4quZLiyuJf/view?usp=drivesdk" TargetMode="External"/><Relationship Id="rId1461" Type="http://schemas.openxmlformats.org/officeDocument/2006/relationships/hyperlink" Target="https://drive.google.com/file/d/1PqwK4aGRXiqpPfOqc4BE-8ueKA-QQpiT/view?usp=drivesdk" TargetMode="External"/><Relationship Id="rId2792" Type="http://schemas.openxmlformats.org/officeDocument/2006/relationships/hyperlink" Target="https://drive.google.com/file/d/1jMe8bt_50axwAUw7wA4ZB9xgoKKxVcpS/view?usp=drivesdk" TargetMode="External"/><Relationship Id="rId631" Type="http://schemas.openxmlformats.org/officeDocument/2006/relationships/hyperlink" Target="https://drive.google.com/file/d/1WCNHpzBeWcpzn-vebXvnLBQ_ocawUlcO/view?usp=drivesdk" TargetMode="External"/><Relationship Id="rId1462" Type="http://schemas.openxmlformats.org/officeDocument/2006/relationships/hyperlink" Target="https://drive.google.com/file/d/1l7LCmOTPzRWr1RFo7YcoZfCbMcIVwWZR/view?usp=drivesdk" TargetMode="External"/><Relationship Id="rId2793" Type="http://schemas.openxmlformats.org/officeDocument/2006/relationships/hyperlink" Target="https://drive.google.com/file/d/1DmjeDY7beBmkdvN7AqEslxziFkibANLM/view?usp=drivesdk" TargetMode="External"/><Relationship Id="rId630" Type="http://schemas.openxmlformats.org/officeDocument/2006/relationships/hyperlink" Target="https://drive.google.com/file/d/1QyCV3qRXz4J7NpHW1Ucq4Z5O374PN_fJ/view?usp=drivesdk" TargetMode="External"/><Relationship Id="rId1463" Type="http://schemas.openxmlformats.org/officeDocument/2006/relationships/hyperlink" Target="https://drive.google.com/file/d/1yBydr1inmG0wqyFowbOiRLoI1mNYjclV/view?usp=drivesdk" TargetMode="External"/><Relationship Id="rId2794" Type="http://schemas.openxmlformats.org/officeDocument/2006/relationships/hyperlink" Target="https://drive.google.com/file/d/1AcTVlAouJ_IA4RXzEgfAhNAon0CFcphZ/view?usp=drivesdk" TargetMode="External"/><Relationship Id="rId1464" Type="http://schemas.openxmlformats.org/officeDocument/2006/relationships/hyperlink" Target="https://drive.google.com/file/d/13RhcH3zUrIquCuaScGXYmlzS7l5fOyVN/view?usp=drivesdk" TargetMode="External"/><Relationship Id="rId2795" Type="http://schemas.openxmlformats.org/officeDocument/2006/relationships/hyperlink" Target="https://drive.google.com/file/d/1qnb4tOT92Z1BTTnxiPDeKWJi1yMqZmau/view?usp=drivesdk" TargetMode="External"/><Relationship Id="rId1465" Type="http://schemas.openxmlformats.org/officeDocument/2006/relationships/hyperlink" Target="https://drive.google.com/file/d/1dUKUORfqeDWfpnBJ3xft2bs-V_oOqM1O/view?usp=drivesdk" TargetMode="External"/><Relationship Id="rId2796" Type="http://schemas.openxmlformats.org/officeDocument/2006/relationships/hyperlink" Target="https://drive.google.com/file/d/1kKuZKe0mcrXOaS2edmCKzVKbB6zSqp-J/view?usp=drivesdk" TargetMode="External"/><Relationship Id="rId1411" Type="http://schemas.openxmlformats.org/officeDocument/2006/relationships/hyperlink" Target="https://drive.google.com/file/d/1-m_HPjm4R9UggJl0BaYY65Z8mcV7Z6MI/view?usp=drivesdk" TargetMode="External"/><Relationship Id="rId2742" Type="http://schemas.openxmlformats.org/officeDocument/2006/relationships/hyperlink" Target="https://drive.google.com/file/d/1_AxgSNWH6C47AiBL8Igps7LNH65c3Tov/view?usp=drivesdk" TargetMode="External"/><Relationship Id="rId1412" Type="http://schemas.openxmlformats.org/officeDocument/2006/relationships/hyperlink" Target="https://drive.google.com/file/d/1CtRdn81BnXFGChMEO1kIHCLj3nnP3ohx/view?usp=drivesdk" TargetMode="External"/><Relationship Id="rId2743" Type="http://schemas.openxmlformats.org/officeDocument/2006/relationships/hyperlink" Target="https://drive.google.com/file/d/1uTwIHhFt7KVhP3dG5AH8gG1KWwqMxczu/view?usp=drivesdk" TargetMode="External"/><Relationship Id="rId1413" Type="http://schemas.openxmlformats.org/officeDocument/2006/relationships/hyperlink" Target="https://drive.google.com/file/d/1czoyE2qdta2oaDvaiXY6X0GwsZckdLvc/view?usp=drivesdk" TargetMode="External"/><Relationship Id="rId2744" Type="http://schemas.openxmlformats.org/officeDocument/2006/relationships/hyperlink" Target="https://drive.google.com/file/d/1ZJQjveN6VlHP81uUJRiCzR73tUVMmUv5/view?usp=drivesdk" TargetMode="External"/><Relationship Id="rId1414" Type="http://schemas.openxmlformats.org/officeDocument/2006/relationships/hyperlink" Target="https://drive.google.com/file/d/1bCj0kZpoTER6lNkFLaa5a_YAqTNjanxD/view?usp=drivesdk" TargetMode="External"/><Relationship Id="rId2745" Type="http://schemas.openxmlformats.org/officeDocument/2006/relationships/hyperlink" Target="https://drive.google.com/file/d/14Z4s2FyycYI91DCz-eQnkImA5GVtvU3h/view?usp=drivesdk" TargetMode="External"/><Relationship Id="rId1415" Type="http://schemas.openxmlformats.org/officeDocument/2006/relationships/hyperlink" Target="https://drive.google.com/file/d/1ZLZ5wS8F7JQK-zQWsHxiujYj3Ygt-yAb/view?usp=drivesdk" TargetMode="External"/><Relationship Id="rId2746" Type="http://schemas.openxmlformats.org/officeDocument/2006/relationships/hyperlink" Target="https://drive.google.com/file/d/1rwHbl6hbUd8pTb7wqJG3FU3cQ3EXihte/view?usp=drivesdk" TargetMode="External"/><Relationship Id="rId1416" Type="http://schemas.openxmlformats.org/officeDocument/2006/relationships/hyperlink" Target="https://drive.google.com/file/d/1P3vO3LDxQH-4mO4xECP-hhta2E_GXOY2/view?usp=drivesdk" TargetMode="External"/><Relationship Id="rId2747" Type="http://schemas.openxmlformats.org/officeDocument/2006/relationships/hyperlink" Target="https://drive.google.com/file/d/1hLGrF3IV75AVSSbgzsTwyUXoYDEkIJkd/view?usp=drivesdk" TargetMode="External"/><Relationship Id="rId1417" Type="http://schemas.openxmlformats.org/officeDocument/2006/relationships/hyperlink" Target="https://drive.google.com/file/d/1-WI4sCjHJvYWcsRmLW_k_g7EJtBn-UMK/view?usp=drivesdk" TargetMode="External"/><Relationship Id="rId2748" Type="http://schemas.openxmlformats.org/officeDocument/2006/relationships/hyperlink" Target="https://drive.google.com/file/d/1nvtV-S-n4uSQvoCtN8a_8jxC2a9oeqiZ/view?usp=drivesdk" TargetMode="External"/><Relationship Id="rId1418" Type="http://schemas.openxmlformats.org/officeDocument/2006/relationships/hyperlink" Target="https://drive.google.com/file/d/1G2PIjEpOehT4lJb3otGl7009pjAjKEAM/view?usp=drivesdk" TargetMode="External"/><Relationship Id="rId2749" Type="http://schemas.openxmlformats.org/officeDocument/2006/relationships/hyperlink" Target="https://drive.google.com/file/d/12JIEQi9neQ5Vm1RYQe3gKCdMJ5JO3Z4x/view?usp=drivesdk" TargetMode="External"/><Relationship Id="rId1419" Type="http://schemas.openxmlformats.org/officeDocument/2006/relationships/hyperlink" Target="https://drive.google.com/file/d/1CjUXRdabREudfVqDlqhdyC4AgmJ0HCkT/view?usp=drivesdk" TargetMode="External"/><Relationship Id="rId2740" Type="http://schemas.openxmlformats.org/officeDocument/2006/relationships/hyperlink" Target="https://drive.google.com/file/d/13SzDBC9Py2ZLmRF5la6IWEZ4RWCdOBZW/view?usp=drivesdk" TargetMode="External"/><Relationship Id="rId1410" Type="http://schemas.openxmlformats.org/officeDocument/2006/relationships/hyperlink" Target="https://drive.google.com/file/d/19BTFHKlAxImN6Nc3Do2W0C1CwWlWHauv/view?usp=drivesdk" TargetMode="External"/><Relationship Id="rId2741" Type="http://schemas.openxmlformats.org/officeDocument/2006/relationships/hyperlink" Target="https://drive.google.com/file/d/1Y-kyjcBnlxZ1DfIvIqHEXUBj9NMosx5L/view?usp=drivesdk" TargetMode="External"/><Relationship Id="rId1400" Type="http://schemas.openxmlformats.org/officeDocument/2006/relationships/hyperlink" Target="https://drive.google.com/file/d/1P_8jYKA8liErStN58cbv-MF8S1rLhb8L/view?usp=drivesdk" TargetMode="External"/><Relationship Id="rId2731" Type="http://schemas.openxmlformats.org/officeDocument/2006/relationships/hyperlink" Target="https://drive.google.com/file/d/1iIErAQi4GPQ77kU3QOPnETpjb4jjKMpC/view?usp=drivesdk" TargetMode="External"/><Relationship Id="rId1401" Type="http://schemas.openxmlformats.org/officeDocument/2006/relationships/hyperlink" Target="https://drive.google.com/file/d/1_ZIap32-KO7S7hKnYt_z3K8tooYQotOU/view?usp=drivesdk" TargetMode="External"/><Relationship Id="rId2732" Type="http://schemas.openxmlformats.org/officeDocument/2006/relationships/hyperlink" Target="https://drive.google.com/file/d/1aJw4aWjC2cAX-ATH47g3Bl5Mccgq7xEh/view?usp=drivesdk" TargetMode="External"/><Relationship Id="rId1402" Type="http://schemas.openxmlformats.org/officeDocument/2006/relationships/hyperlink" Target="https://drive.google.com/file/d/1PDfK8_e5ZinAxYMv8HppLzct_wNLi58r/view?usp=drivesdk" TargetMode="External"/><Relationship Id="rId2733" Type="http://schemas.openxmlformats.org/officeDocument/2006/relationships/hyperlink" Target="https://drive.google.com/file/d/1san6Z9rx8CY9TSqA8IO6CjtGiQ6W6SwD/view?usp=drivesdk" TargetMode="External"/><Relationship Id="rId1403" Type="http://schemas.openxmlformats.org/officeDocument/2006/relationships/hyperlink" Target="https://drive.google.com/file/d/1GgaoC_XoNkk_ixqy4EyzxW5XEsH4K0v1/view?usp=drivesdk" TargetMode="External"/><Relationship Id="rId2734" Type="http://schemas.openxmlformats.org/officeDocument/2006/relationships/hyperlink" Target="https://drive.google.com/file/d/1YAptD3nf_SK1_cSWmmeJ9-PhdoDh9kLS/view?usp=drivesdk" TargetMode="External"/><Relationship Id="rId1404" Type="http://schemas.openxmlformats.org/officeDocument/2006/relationships/hyperlink" Target="https://drive.google.com/file/d/17fXdEpaYK3JPmOmUeUgIscXfClUFkjOb/view?usp=drivesdk" TargetMode="External"/><Relationship Id="rId2735" Type="http://schemas.openxmlformats.org/officeDocument/2006/relationships/hyperlink" Target="https://drive.google.com/file/d/1M5gLIX2K62wo-uqraLMkvEyJ6C4GCQfW/view?usp=drivesdk" TargetMode="External"/><Relationship Id="rId1405" Type="http://schemas.openxmlformats.org/officeDocument/2006/relationships/hyperlink" Target="https://drive.google.com/file/d/17mvbkYNxbZIm_1gjXX3rqe1yV3gO4cZW/view?usp=drivesdk" TargetMode="External"/><Relationship Id="rId2736" Type="http://schemas.openxmlformats.org/officeDocument/2006/relationships/hyperlink" Target="https://drive.google.com/file/d/1tYmlDQCTEt7qQAheC8ajSWm4AMUntWcM/view?usp=drivesdk" TargetMode="External"/><Relationship Id="rId1406" Type="http://schemas.openxmlformats.org/officeDocument/2006/relationships/hyperlink" Target="https://drive.google.com/file/d/1_-wJef4yIWwNuhE9w8cgd3e4zWKt6OqU/view?usp=drivesdk" TargetMode="External"/><Relationship Id="rId2737" Type="http://schemas.openxmlformats.org/officeDocument/2006/relationships/hyperlink" Target="https://drive.google.com/file/d/1rowy1Mx5DgAIlH-cfDWivTAro8okiz6-/view?usp=drivesdk" TargetMode="External"/><Relationship Id="rId1407" Type="http://schemas.openxmlformats.org/officeDocument/2006/relationships/hyperlink" Target="https://drive.google.com/file/d/1cc0BajsmljAdp8YmLcmY0ky_okBbkweF/view?usp=drivesdk" TargetMode="External"/><Relationship Id="rId2738" Type="http://schemas.openxmlformats.org/officeDocument/2006/relationships/hyperlink" Target="https://drive.google.com/file/d/1YGGHjvEz1xIf_OvXPydAqzgXWws4UjjO/view?usp=drivesdk" TargetMode="External"/><Relationship Id="rId1408" Type="http://schemas.openxmlformats.org/officeDocument/2006/relationships/hyperlink" Target="https://drive.google.com/file/d/1UYX3YLXegcKSNWHLabm8OkSyK34guNO9/view?usp=drivesdk" TargetMode="External"/><Relationship Id="rId2739" Type="http://schemas.openxmlformats.org/officeDocument/2006/relationships/hyperlink" Target="https://drive.google.com/file/d/1j0gJf6YwGYJRumLl-uCbV6e8yiVLLQSd/view?usp=drivesdk" TargetMode="External"/><Relationship Id="rId1409" Type="http://schemas.openxmlformats.org/officeDocument/2006/relationships/hyperlink" Target="https://drive.google.com/file/d/1CDyzWaKbTw_8VLAzPf4FSTjdw9Q0tnXq/view?usp=drivesdk" TargetMode="External"/><Relationship Id="rId2730" Type="http://schemas.openxmlformats.org/officeDocument/2006/relationships/hyperlink" Target="https://drive.google.com/file/d/1A0tzSZLIXRjtcaWOWuydibLtmPIul-7u/view?usp=drivesdk" TargetMode="External"/><Relationship Id="rId1433" Type="http://schemas.openxmlformats.org/officeDocument/2006/relationships/hyperlink" Target="https://drive.google.com/file/d/1wZ5Sci2LTJH_e9QdvBTOrr0lX775hbQ_/view?usp=drivesdk" TargetMode="External"/><Relationship Id="rId2764" Type="http://schemas.openxmlformats.org/officeDocument/2006/relationships/hyperlink" Target="https://drive.google.com/file/d/15zj62fsfQjhHNCqMSwmiF_binLRx5YSn/view?usp=drivesdk" TargetMode="External"/><Relationship Id="rId1434" Type="http://schemas.openxmlformats.org/officeDocument/2006/relationships/hyperlink" Target="https://drive.google.com/file/d/17FIO3fllvC5vGEahwBfpUaI7u4MF_qlS/view?usp=drivesdk" TargetMode="External"/><Relationship Id="rId2765" Type="http://schemas.openxmlformats.org/officeDocument/2006/relationships/hyperlink" Target="https://drive.google.com/file/d/1AcafD5LSvmuJhsF9Qgt8c9NzlBfm__R7/view?usp=drivesdk" TargetMode="External"/><Relationship Id="rId1435" Type="http://schemas.openxmlformats.org/officeDocument/2006/relationships/hyperlink" Target="https://drive.google.com/file/d/1KSmtnIDbPBR5puMW0WpJ51HMY69iz7yc/view?usp=drivesdk" TargetMode="External"/><Relationship Id="rId2766" Type="http://schemas.openxmlformats.org/officeDocument/2006/relationships/hyperlink" Target="https://drive.google.com/file/d/1FcC98Qyyz6MwpKUlVCS0RlogVeRJaUAK/view?usp=drivesdk" TargetMode="External"/><Relationship Id="rId1436" Type="http://schemas.openxmlformats.org/officeDocument/2006/relationships/hyperlink" Target="https://drive.google.com/file/d/1aqW2bYfWSAPe-BAnjg_gDpZsmFtvJpTd/view?usp=drivesdk" TargetMode="External"/><Relationship Id="rId2767" Type="http://schemas.openxmlformats.org/officeDocument/2006/relationships/hyperlink" Target="https://drive.google.com/file/d/1NAxEUMjTEr9UMygGex5xwH4TwNtW-eXg/view?usp=drivesdk" TargetMode="External"/><Relationship Id="rId1437" Type="http://schemas.openxmlformats.org/officeDocument/2006/relationships/hyperlink" Target="https://drive.google.com/file/d/1jD1P0bapKQv1PKG6PhfYaaq1SP79Lw5t/view?usp=drivesdk" TargetMode="External"/><Relationship Id="rId2768" Type="http://schemas.openxmlformats.org/officeDocument/2006/relationships/hyperlink" Target="https://drive.google.com/file/d/1wQf7Sy7mp2akZbbyClj54PvrphWDaVyj/view?usp=drivesdk" TargetMode="External"/><Relationship Id="rId1438" Type="http://schemas.openxmlformats.org/officeDocument/2006/relationships/hyperlink" Target="https://drive.google.com/file/d/1gFKJI_uZtqN861k-c2-WIaNxwf9d_-J4/view?usp=drivesdk" TargetMode="External"/><Relationship Id="rId2769" Type="http://schemas.openxmlformats.org/officeDocument/2006/relationships/hyperlink" Target="https://drive.google.com/file/d/1tCe0gR9rESQAA6IEgSYb4zh55sOdEhAB/view?usp=drivesdk" TargetMode="External"/><Relationship Id="rId1439" Type="http://schemas.openxmlformats.org/officeDocument/2006/relationships/hyperlink" Target="https://drive.google.com/file/d/1hyEXRdMCbXqzGQHSYYKAQv0p_ox22BLj/view?usp=drivesdk" TargetMode="External"/><Relationship Id="rId609" Type="http://schemas.openxmlformats.org/officeDocument/2006/relationships/hyperlink" Target="https://drive.google.com/file/d/1J4DiY6jH_3jkSN2Cjm1hxM2LmfHNL8yS/view?usp=drivesdk" TargetMode="External"/><Relationship Id="rId608" Type="http://schemas.openxmlformats.org/officeDocument/2006/relationships/hyperlink" Target="https://drive.google.com/file/d/1QR0PkDcq2jVLnKVCMR5F2uW_afk0C9G6/view?usp=drivesdk" TargetMode="External"/><Relationship Id="rId607" Type="http://schemas.openxmlformats.org/officeDocument/2006/relationships/hyperlink" Target="https://drive.google.com/file/d/1XpSG_CyIZmqaiQq303wOkHvDo8m1vdnO/view?usp=drivesdk" TargetMode="External"/><Relationship Id="rId602" Type="http://schemas.openxmlformats.org/officeDocument/2006/relationships/hyperlink" Target="https://drive.google.com/file/d/1gjFi1rTNFsqrapjVdNna0N70eb8b-Gbv/view?usp=drivesdk" TargetMode="External"/><Relationship Id="rId601" Type="http://schemas.openxmlformats.org/officeDocument/2006/relationships/hyperlink" Target="https://drive.google.com/file/d/1eBI_C4uz_pB5PbQ02KgyZSGDMfoYFrEV/view?usp=drivesdk" TargetMode="External"/><Relationship Id="rId600" Type="http://schemas.openxmlformats.org/officeDocument/2006/relationships/hyperlink" Target="https://drive.google.com/file/d/1lSMPZS9e3gZqo-q-YoR6YADs-PxS2Cn6/view?usp=drivesdk" TargetMode="External"/><Relationship Id="rId606" Type="http://schemas.openxmlformats.org/officeDocument/2006/relationships/hyperlink" Target="https://drive.google.com/file/d/13zgpU74gf1hMKC0gnHHJuDFF5cJAjv90/view?usp=drivesdk" TargetMode="External"/><Relationship Id="rId605" Type="http://schemas.openxmlformats.org/officeDocument/2006/relationships/hyperlink" Target="https://drive.google.com/file/d/1rWGTWuFrzF0l11D4Wcy9GQ3rx3wD1RrG/view?usp=drivesdk" TargetMode="External"/><Relationship Id="rId604" Type="http://schemas.openxmlformats.org/officeDocument/2006/relationships/hyperlink" Target="https://drive.google.com/file/d/1bxNuHECZnLtxHSEW-LEH1H8UN305v07M/view?usp=drivesdk" TargetMode="External"/><Relationship Id="rId603" Type="http://schemas.openxmlformats.org/officeDocument/2006/relationships/hyperlink" Target="https://drive.google.com/file/d/1X52QnVvAFI9fJyWqqBG9Lv8ginwF3hJZ/view?usp=drivesdk" TargetMode="External"/><Relationship Id="rId2760" Type="http://schemas.openxmlformats.org/officeDocument/2006/relationships/hyperlink" Target="https://drive.google.com/file/d/1WFnEzQnZO3DaC7PqgL489XCYTAgLtotA/view?usp=drivesdk" TargetMode="External"/><Relationship Id="rId1430" Type="http://schemas.openxmlformats.org/officeDocument/2006/relationships/hyperlink" Target="https://drive.google.com/file/d/1Xp6d8GkZ6zvJNDNMVQxNlPT0156FJd-Q/view?usp=drivesdk" TargetMode="External"/><Relationship Id="rId2761" Type="http://schemas.openxmlformats.org/officeDocument/2006/relationships/hyperlink" Target="https://drive.google.com/file/d/1maJV4IP6SLRNbzjN3GpKbCiYGKcT2GIx/view?usp=drivesdk" TargetMode="External"/><Relationship Id="rId1431" Type="http://schemas.openxmlformats.org/officeDocument/2006/relationships/hyperlink" Target="https://drive.google.com/file/d/12HMlKaL2IKATnRWFAbv3XtF5AZyWnfLU/view?usp=drivesdk" TargetMode="External"/><Relationship Id="rId2762" Type="http://schemas.openxmlformats.org/officeDocument/2006/relationships/hyperlink" Target="https://drive.google.com/file/d/1J9G4eqhTVJnJXQpJj_R6LMGJcK2tKFig/view?usp=drivesdk" TargetMode="External"/><Relationship Id="rId1432" Type="http://schemas.openxmlformats.org/officeDocument/2006/relationships/hyperlink" Target="https://drive.google.com/file/d/1qwFtee1GPBDFkX56ouZWTCHBDg5sbgxM/view?usp=drivesdk" TargetMode="External"/><Relationship Id="rId2763" Type="http://schemas.openxmlformats.org/officeDocument/2006/relationships/hyperlink" Target="https://drive.google.com/file/d/1DaF9moLo5sidapo1bMm7BYJx3OjAjGlF/view?usp=drivesdk" TargetMode="External"/><Relationship Id="rId1422" Type="http://schemas.openxmlformats.org/officeDocument/2006/relationships/hyperlink" Target="https://drive.google.com/file/d/1I9nOrGbbf-FIIMUyoCwbbwnZTGeRFmYW/view?usp=drivesdk" TargetMode="External"/><Relationship Id="rId2753" Type="http://schemas.openxmlformats.org/officeDocument/2006/relationships/hyperlink" Target="https://drive.google.com/file/d/1Reev1uaeQa4VUnLBSQApcyzquAtBjJ5N/view?usp=drivesdk" TargetMode="External"/><Relationship Id="rId1423" Type="http://schemas.openxmlformats.org/officeDocument/2006/relationships/hyperlink" Target="https://drive.google.com/file/d/1ZHJcNhs_eBrollBNwYHyBNiAiFEF28Db/view?usp=drivesdk" TargetMode="External"/><Relationship Id="rId2754" Type="http://schemas.openxmlformats.org/officeDocument/2006/relationships/hyperlink" Target="https://drive.google.com/file/d/1P3Mobu8uGs69vMEi-iF37WlGlV2i4XfH/view?usp=drivesdk" TargetMode="External"/><Relationship Id="rId1424" Type="http://schemas.openxmlformats.org/officeDocument/2006/relationships/hyperlink" Target="https://drive.google.com/file/d/1sOsheBNg5fWhht9vlLMcvdY1B70oDdvB/view?usp=drivesdk" TargetMode="External"/><Relationship Id="rId2755" Type="http://schemas.openxmlformats.org/officeDocument/2006/relationships/hyperlink" Target="https://drive.google.com/file/d/1AwRHGdMSci-TLJ-KX__xX9-LXZMMami8/view?usp=drivesdk" TargetMode="External"/><Relationship Id="rId1425" Type="http://schemas.openxmlformats.org/officeDocument/2006/relationships/hyperlink" Target="https://drive.google.com/file/d/10KWvo__ycRq0aYVKaoPZ22T0ovtizTpB/view?usp=drivesdk" TargetMode="External"/><Relationship Id="rId2756" Type="http://schemas.openxmlformats.org/officeDocument/2006/relationships/hyperlink" Target="https://drive.google.com/file/d/12W9oxQ-F_FhQSqxeSiYfltl87dPJV2jV/view?usp=drivesdk" TargetMode="External"/><Relationship Id="rId1426" Type="http://schemas.openxmlformats.org/officeDocument/2006/relationships/hyperlink" Target="https://drive.google.com/file/d/1FofRVCNnTPIrDiZgwLdFZ5zp4AoeYjuq/view?usp=drivesdk" TargetMode="External"/><Relationship Id="rId2757" Type="http://schemas.openxmlformats.org/officeDocument/2006/relationships/hyperlink" Target="https://drive.google.com/file/d/1k2aHMES2WeEMIPsNWWMQZhUFHn_ECUCn/view?usp=drivesdk" TargetMode="External"/><Relationship Id="rId1427" Type="http://schemas.openxmlformats.org/officeDocument/2006/relationships/hyperlink" Target="https://drive.google.com/file/d/13Yn9CfxP5znXAz99461idI4ob4-7feLx/view?usp=drivesdk" TargetMode="External"/><Relationship Id="rId2758" Type="http://schemas.openxmlformats.org/officeDocument/2006/relationships/hyperlink" Target="https://drive.google.com/file/d/14qKO1WzfdvCgj8oesJseV0HUroEM7ior/view?usp=drivesdk" TargetMode="External"/><Relationship Id="rId1428" Type="http://schemas.openxmlformats.org/officeDocument/2006/relationships/hyperlink" Target="https://drive.google.com/file/d/1gHpNoR_p5zi5AiLJWwmkH3VIdMzTNRCa/view?usp=drivesdk" TargetMode="External"/><Relationship Id="rId2759" Type="http://schemas.openxmlformats.org/officeDocument/2006/relationships/hyperlink" Target="https://drive.google.com/file/d/1eZ1YZLFMEWDBDHnC0OQ1X452y67LVBCB/view?usp=drivesdk" TargetMode="External"/><Relationship Id="rId1429" Type="http://schemas.openxmlformats.org/officeDocument/2006/relationships/hyperlink" Target="https://drive.google.com/file/d/1ppVm4pCf7PYnpObWoaYoCyIWKCZsKRsh/view?usp=drivesdk" TargetMode="External"/><Relationship Id="rId2750" Type="http://schemas.openxmlformats.org/officeDocument/2006/relationships/hyperlink" Target="https://drive.google.com/file/d/1NCYjmtCojvliDla4bZHjG1EdbPl4YMGx/view?usp=drivesdk" TargetMode="External"/><Relationship Id="rId1420" Type="http://schemas.openxmlformats.org/officeDocument/2006/relationships/hyperlink" Target="https://drive.google.com/file/d/1YrtJv7tq9bNUpAjrjiojtnzHq439eMD_/view?usp=drivesdk" TargetMode="External"/><Relationship Id="rId2751" Type="http://schemas.openxmlformats.org/officeDocument/2006/relationships/hyperlink" Target="https://drive.google.com/file/d/1pHLr5HOj66hvxybJ7u5CC5TIEEwIAMJj/view?usp=drivesdk" TargetMode="External"/><Relationship Id="rId1421" Type="http://schemas.openxmlformats.org/officeDocument/2006/relationships/hyperlink" Target="https://drive.google.com/file/d/1Tx3izNOC58mh0a2VoEGVac64n1iW59kQ/view?usp=drivesdk" TargetMode="External"/><Relationship Id="rId2752" Type="http://schemas.openxmlformats.org/officeDocument/2006/relationships/hyperlink" Target="https://drive.google.com/file/d/1ocyt8b6j1GJ-hViEpQX1cveGjP0w9K-j/view?usp=drivesdk" TargetMode="External"/><Relationship Id="rId699" Type="http://schemas.openxmlformats.org/officeDocument/2006/relationships/hyperlink" Target="https://drive.google.com/file/d/1EzcfRjKlIyG7exMkiP5ddK2_Okcj3pin/view?usp=drivesdk" TargetMode="External"/><Relationship Id="rId698" Type="http://schemas.openxmlformats.org/officeDocument/2006/relationships/hyperlink" Target="https://drive.google.com/file/d/1dZBPvW-Boc5lbIoZLvcJceDyZFqvoAIh/view?usp=drivesdk" TargetMode="External"/><Relationship Id="rId693" Type="http://schemas.openxmlformats.org/officeDocument/2006/relationships/hyperlink" Target="https://drive.google.com/file/d/1-s_I3ndSC8A19s5OZ1lsIFlWzxtuvKpJ/view?usp=drivesdk" TargetMode="External"/><Relationship Id="rId692" Type="http://schemas.openxmlformats.org/officeDocument/2006/relationships/hyperlink" Target="https://drive.google.com/file/d/1wmwmH0bWs0v_UivXnSR3IR0sB7CoBzuF/view?usp=drivesdk" TargetMode="External"/><Relationship Id="rId691" Type="http://schemas.openxmlformats.org/officeDocument/2006/relationships/hyperlink" Target="https://drive.google.com/file/d/170pAXzIa4GR9n7JUQzmErALTtOEEUlDH/view?usp=drivesdk" TargetMode="External"/><Relationship Id="rId690" Type="http://schemas.openxmlformats.org/officeDocument/2006/relationships/hyperlink" Target="https://drive.google.com/file/d/1J63aAT5aea0w3xuQBKu52sN-Q7tl16X6/view?usp=drivesdk" TargetMode="External"/><Relationship Id="rId697" Type="http://schemas.openxmlformats.org/officeDocument/2006/relationships/hyperlink" Target="https://drive.google.com/file/d/1zpq_OSsFD5wjR5_EMcUI0LYrXKRcuT5v/view?usp=drivesdk" TargetMode="External"/><Relationship Id="rId696" Type="http://schemas.openxmlformats.org/officeDocument/2006/relationships/hyperlink" Target="https://drive.google.com/file/d/1I3lzqPh_gSNtP6bEDno01V6KMAw90FPT/view?usp=drivesdk" TargetMode="External"/><Relationship Id="rId695" Type="http://schemas.openxmlformats.org/officeDocument/2006/relationships/hyperlink" Target="https://drive.google.com/file/d/1jkAcUSFLeaFgDeXooh4OlyR1gzKs3y3Q/view?usp=drivesdk" TargetMode="External"/><Relationship Id="rId694" Type="http://schemas.openxmlformats.org/officeDocument/2006/relationships/hyperlink" Target="https://drive.google.com/file/d/1g6b6k0E4yeRjQfIkoPjWkpSmCI4XELGi/view?usp=drivesdk" TargetMode="External"/><Relationship Id="rId7618" Type="http://schemas.openxmlformats.org/officeDocument/2006/relationships/hyperlink" Target="https://drive.google.com/file/d/1Gao5u_R9W6oaU7viiQiHMuvRgMJe4N8I/view?usp=drivesdk" TargetMode="External"/><Relationship Id="rId7617" Type="http://schemas.openxmlformats.org/officeDocument/2006/relationships/hyperlink" Target="https://drive.google.com/file/d/1zBhS6IYbonUCHFUmMmD_vvwOV9XoY4eH/view?usp=drivesdk" TargetMode="External"/><Relationship Id="rId7616" Type="http://schemas.openxmlformats.org/officeDocument/2006/relationships/hyperlink" Target="https://drive.google.com/file/d/186fymdSdwGy-XZ9ANl_36YIVZ2eAJ4V5/view?usp=drivesdk" TargetMode="External"/><Relationship Id="rId7615" Type="http://schemas.openxmlformats.org/officeDocument/2006/relationships/hyperlink" Target="https://drive.google.com/file/d/1bL6sBGdHhFu5SHEG2BET5Xk9ytjX5xAz/view?usp=drivesdk" TargetMode="External"/><Relationship Id="rId7619" Type="http://schemas.openxmlformats.org/officeDocument/2006/relationships/hyperlink" Target="https://drive.google.com/file/d/1qD5LhAR3YW78BCPdmeYaRBuRn260qS_p/view?usp=drivesdk" TargetMode="External"/><Relationship Id="rId7610" Type="http://schemas.openxmlformats.org/officeDocument/2006/relationships/hyperlink" Target="https://drive.google.com/file/d/1MvQM-9HcznkBGlCsd4lKdgfzcoYJGIFN/view?usp=drivesdk" TargetMode="External"/><Relationship Id="rId7614" Type="http://schemas.openxmlformats.org/officeDocument/2006/relationships/hyperlink" Target="https://drive.google.com/file/d/1K4hRntrWSFM3KReIKbU0rPZYGJDHrZ6H/view?usp=drivesdk" TargetMode="External"/><Relationship Id="rId7613" Type="http://schemas.openxmlformats.org/officeDocument/2006/relationships/hyperlink" Target="https://drive.google.com/file/d/1oCb7q98dMsT98x6UZLxkFkEI9_l_xv8Q/view?usp=drivesdk" TargetMode="External"/><Relationship Id="rId7612" Type="http://schemas.openxmlformats.org/officeDocument/2006/relationships/hyperlink" Target="https://drive.google.com/file/d/1PB_vZRBL2Hd9nMvbByDUuStEbyqmndFU/view?usp=drivesdk" TargetMode="External"/><Relationship Id="rId7611" Type="http://schemas.openxmlformats.org/officeDocument/2006/relationships/hyperlink" Target="https://drive.google.com/file/d/1sqdySw3TnVbPNQRPLmGAHJ037qYcKjoO/view?usp=drivesdk" TargetMode="External"/><Relationship Id="rId7607" Type="http://schemas.openxmlformats.org/officeDocument/2006/relationships/hyperlink" Target="https://drive.google.com/file/d/1aWq5vzTL-AP5QlT3d5fy7OwJ8hf_NC7n/view?usp=drivesdk" TargetMode="External"/><Relationship Id="rId7606" Type="http://schemas.openxmlformats.org/officeDocument/2006/relationships/hyperlink" Target="https://drive.google.com/file/d/1Koh18AocuNGwNugWV-oMqJ610NeRW35s/view?usp=drivesdk" TargetMode="External"/><Relationship Id="rId7605" Type="http://schemas.openxmlformats.org/officeDocument/2006/relationships/hyperlink" Target="https://drive.google.com/file/d/1QPpcTwPqGGld58YjzT1apmaO3VrcJUL9/view?usp=drivesdk" TargetMode="External"/><Relationship Id="rId7604" Type="http://schemas.openxmlformats.org/officeDocument/2006/relationships/hyperlink" Target="https://drive.google.com/file/d/19qkNOXAapEkL9RbC7H0dZYTQ-XKA-hv9/view?usp=drivesdk" TargetMode="External"/><Relationship Id="rId7609" Type="http://schemas.openxmlformats.org/officeDocument/2006/relationships/hyperlink" Target="https://drive.google.com/file/d/1WgYoXxXi8vcUdcPu5fFyg6SKdtd6e3o3/view?usp=drivesdk" TargetMode="External"/><Relationship Id="rId7608" Type="http://schemas.openxmlformats.org/officeDocument/2006/relationships/hyperlink" Target="https://drive.google.com/file/d/1aeyat_f_qC5LWYa5DEW62s97234bgEYv/view?usp=drivesdk" TargetMode="External"/><Relationship Id="rId7603" Type="http://schemas.openxmlformats.org/officeDocument/2006/relationships/hyperlink" Target="https://drive.google.com/file/d/1nXyJ103RCXvhDy36aIPomPc7WjKHCfIo/view?usp=drivesdk" TargetMode="External"/><Relationship Id="rId7602" Type="http://schemas.openxmlformats.org/officeDocument/2006/relationships/hyperlink" Target="https://drive.google.com/file/d/1N8PI89HAvumJ6SUttpQOAMj-9SXhrLpS/view?usp=drivesdk" TargetMode="External"/><Relationship Id="rId7601" Type="http://schemas.openxmlformats.org/officeDocument/2006/relationships/hyperlink" Target="https://drive.google.com/file/d/15kWonjv1VY7cOF9bi7UmlY1xjEYHaYRi/view?usp=drivesdk" TargetMode="External"/><Relationship Id="rId7600" Type="http://schemas.openxmlformats.org/officeDocument/2006/relationships/hyperlink" Target="https://drive.google.com/file/d/1g6f3FtrjXBJBiwfuhvnb_GYGO_UG1ZvO/view?usp=drivesdk" TargetMode="External"/><Relationship Id="rId1499" Type="http://schemas.openxmlformats.org/officeDocument/2006/relationships/hyperlink" Target="https://drive.google.com/file/d/1jI4UjpXJ70XS1h6uOE-kF4FNjglBTYum/view?usp=drivesdk" TargetMode="External"/><Relationship Id="rId668" Type="http://schemas.openxmlformats.org/officeDocument/2006/relationships/hyperlink" Target="https://drive.google.com/file/d/1ffmAL4VCXKwgv72GIS1HaVoAXfWrDZM2/view?usp=drivesdk" TargetMode="External"/><Relationship Id="rId667" Type="http://schemas.openxmlformats.org/officeDocument/2006/relationships/hyperlink" Target="https://drive.google.com/file/d/1laMKE4igaP1w7x8v5XeIFEvAoay85hYi/view?usp=drivesdk" TargetMode="External"/><Relationship Id="rId666" Type="http://schemas.openxmlformats.org/officeDocument/2006/relationships/hyperlink" Target="https://drive.google.com/file/d/1ceuM5bIYR3U_Dy2trPdvfgRkEOe4zPlu/view?usp=drivesdk" TargetMode="External"/><Relationship Id="rId665" Type="http://schemas.openxmlformats.org/officeDocument/2006/relationships/hyperlink" Target="https://drive.google.com/file/d/1csZ2lf6Q_rwqmFLSmrbFKNQF4uDkfvC6/view?usp=drivesdk" TargetMode="External"/><Relationship Id="rId669" Type="http://schemas.openxmlformats.org/officeDocument/2006/relationships/hyperlink" Target="https://drive.google.com/file/d/1yaZXBOXY_F-m2nPcKxyq7bQ3DZQZKX3j/view?usp=drivesdk" TargetMode="External"/><Relationship Id="rId1490" Type="http://schemas.openxmlformats.org/officeDocument/2006/relationships/hyperlink" Target="https://drive.google.com/file/d/1K56GAcWvIrU4TsVuE5TuVsW0WZO-urnT/view?usp=drivesdk" TargetMode="External"/><Relationship Id="rId660" Type="http://schemas.openxmlformats.org/officeDocument/2006/relationships/hyperlink" Target="https://drive.google.com/file/d/1bMysNNJ-JR99JpVlSWaTjOaXHkZkpKTK/view?usp=drivesdk" TargetMode="External"/><Relationship Id="rId1491" Type="http://schemas.openxmlformats.org/officeDocument/2006/relationships/hyperlink" Target="https://drive.google.com/file/d/1Zq2jXA0BlDf6-Ph1h3vQiwc0BcXbalOP/view?usp=drivesdk" TargetMode="External"/><Relationship Id="rId1492" Type="http://schemas.openxmlformats.org/officeDocument/2006/relationships/hyperlink" Target="https://drive.google.com/file/d/1mFMf9zl2fuAh451CcDwnF_c993mCgZFq/view?usp=drivesdk" TargetMode="External"/><Relationship Id="rId1493" Type="http://schemas.openxmlformats.org/officeDocument/2006/relationships/hyperlink" Target="https://drive.google.com/file/d/10ZjQVUR4Q3ZSk6tmF0ATLhekMWKS00xJ/view?usp=drivesdk" TargetMode="External"/><Relationship Id="rId1494" Type="http://schemas.openxmlformats.org/officeDocument/2006/relationships/hyperlink" Target="https://drive.google.com/file/d/1Cx1s9KyjlVSPmPsmW_F7kcaM_0Hhga-l/view?usp=drivesdk" TargetMode="External"/><Relationship Id="rId664" Type="http://schemas.openxmlformats.org/officeDocument/2006/relationships/hyperlink" Target="https://drive.google.com/file/d/1uTLbrQIxp7fRQNcrJjJBYc1aDto8ABWO/view?usp=drivesdk" TargetMode="External"/><Relationship Id="rId1495" Type="http://schemas.openxmlformats.org/officeDocument/2006/relationships/hyperlink" Target="https://drive.google.com/file/d/1sWtN_GwgHnUMw3YOw9ToE-jv_xeAjKsA/view?usp=drivesdk" TargetMode="External"/><Relationship Id="rId663" Type="http://schemas.openxmlformats.org/officeDocument/2006/relationships/hyperlink" Target="https://drive.google.com/file/d/1Cv4dHvHZX50RmSL4za4dHdj-LFnydBgk/view?usp=drivesdk" TargetMode="External"/><Relationship Id="rId1496" Type="http://schemas.openxmlformats.org/officeDocument/2006/relationships/hyperlink" Target="https://drive.google.com/file/d/1x_Cl6yJsUJHCUo2m0Jcy3VMyIxPss2rN/view?usp=drivesdk" TargetMode="External"/><Relationship Id="rId662" Type="http://schemas.openxmlformats.org/officeDocument/2006/relationships/hyperlink" Target="https://drive.google.com/file/d/1sI5w1sJk9D02bv0tTayNFSTKXQ6eQu5Y/view?usp=drivesdk" TargetMode="External"/><Relationship Id="rId1497" Type="http://schemas.openxmlformats.org/officeDocument/2006/relationships/hyperlink" Target="https://drive.google.com/file/d/1M39tpEGHLfnbRB6989ZxdZC9l80iWXhb/view?usp=drivesdk" TargetMode="External"/><Relationship Id="rId661" Type="http://schemas.openxmlformats.org/officeDocument/2006/relationships/hyperlink" Target="https://drive.google.com/file/d/159WjAxhNnzc35qYl6DKAxEjvw48kwvSC/view?usp=drivesdk" TargetMode="External"/><Relationship Id="rId1498" Type="http://schemas.openxmlformats.org/officeDocument/2006/relationships/hyperlink" Target="https://drive.google.com/file/d/1q0uS6fWoCb9-Z3O8h1QeAWdaIvDXh-SB/view?usp=drivesdk" TargetMode="External"/><Relationship Id="rId1488" Type="http://schemas.openxmlformats.org/officeDocument/2006/relationships/hyperlink" Target="https://drive.google.com/file/d/13OdbCAyq_aqDZmb9L3PRNEtzLHpdZkYk/view?usp=drivesdk" TargetMode="External"/><Relationship Id="rId1489" Type="http://schemas.openxmlformats.org/officeDocument/2006/relationships/hyperlink" Target="https://drive.google.com/file/d/1PLxPlc4afbuogfNmXS-aWqhp-yaS2U6o/view?usp=drivesdk" TargetMode="External"/><Relationship Id="rId657" Type="http://schemas.openxmlformats.org/officeDocument/2006/relationships/hyperlink" Target="https://drive.google.com/file/d/1NpB0TD0hpsok2xINOBDLJmqYZRNq0Xiv/view?usp=drivesdk" TargetMode="External"/><Relationship Id="rId656" Type="http://schemas.openxmlformats.org/officeDocument/2006/relationships/hyperlink" Target="https://drive.google.com/file/d/1UJuiRQWk2uW8IkvGEZD-fCnxmNopu2wS/view?usp=drivesdk" TargetMode="External"/><Relationship Id="rId655" Type="http://schemas.openxmlformats.org/officeDocument/2006/relationships/hyperlink" Target="https://drive.google.com/file/d/1Ic1-DqI3L2Om4NOLjYvCssQOzXh1vqzx/view?usp=drivesdk" TargetMode="External"/><Relationship Id="rId654" Type="http://schemas.openxmlformats.org/officeDocument/2006/relationships/hyperlink" Target="https://drive.google.com/file/d/1qk6Aq63KFNKRSyQEArP3dtVur66tTYyp/view?usp=drivesdk" TargetMode="External"/><Relationship Id="rId659" Type="http://schemas.openxmlformats.org/officeDocument/2006/relationships/hyperlink" Target="https://drive.google.com/file/d/177D8Cur5BlE6iQLamAdJLZ6O5oQIv4F-/view?usp=drivesdk" TargetMode="External"/><Relationship Id="rId658" Type="http://schemas.openxmlformats.org/officeDocument/2006/relationships/hyperlink" Target="https://drive.google.com/file/d/1c8aN2kPKhS_wQnALNnuPMazm4bbTgM8y/view?usp=drivesdk" TargetMode="External"/><Relationship Id="rId1480" Type="http://schemas.openxmlformats.org/officeDocument/2006/relationships/hyperlink" Target="https://drive.google.com/file/d/1zJ2S5AFpU3KnOIDDsQzg4fZp5GmojJ38/view?usp=drivesdk" TargetMode="External"/><Relationship Id="rId1481" Type="http://schemas.openxmlformats.org/officeDocument/2006/relationships/hyperlink" Target="https://drive.google.com/file/d/1eLFqkJSJue2BPBIwTCwkRRhSQIeTBnuF/view?usp=drivesdk" TargetMode="External"/><Relationship Id="rId1482" Type="http://schemas.openxmlformats.org/officeDocument/2006/relationships/hyperlink" Target="https://drive.google.com/file/d/1l91TkakHLVI8Qkji2H2N8VyWsji_U-oA/view?usp=drivesdk" TargetMode="External"/><Relationship Id="rId1483" Type="http://schemas.openxmlformats.org/officeDocument/2006/relationships/hyperlink" Target="https://drive.google.com/file/d/1fTlwGLMJAWDqvD6WTK3NProEP82WXzDM/view?usp=drivesdk" TargetMode="External"/><Relationship Id="rId653" Type="http://schemas.openxmlformats.org/officeDocument/2006/relationships/hyperlink" Target="https://drive.google.com/file/d/1qNuR3m_VMY9qdWRPAvkO0tadI2Di9H6F/view?usp=drivesdk" TargetMode="External"/><Relationship Id="rId1484" Type="http://schemas.openxmlformats.org/officeDocument/2006/relationships/hyperlink" Target="https://drive.google.com/file/d/1R2yg83QRMwZep55mEi3KPV9E_SwJsBLg/view?usp=drivesdk" TargetMode="External"/><Relationship Id="rId652" Type="http://schemas.openxmlformats.org/officeDocument/2006/relationships/hyperlink" Target="https://drive.google.com/file/d/1Pz2Tsw2iSgf4wQNtu0DbkQJumTecpZ9t/view?usp=drivesdk" TargetMode="External"/><Relationship Id="rId1485" Type="http://schemas.openxmlformats.org/officeDocument/2006/relationships/hyperlink" Target="https://drive.google.com/file/d/1Y_0E9f-cP9R_o0CaruCmBniDJKAg38Jr/view?usp=drivesdk" TargetMode="External"/><Relationship Id="rId651" Type="http://schemas.openxmlformats.org/officeDocument/2006/relationships/hyperlink" Target="https://drive.google.com/file/d/1BRKyj605dlmLrypcj7ll9eM0uIr4wTUV/view?usp=drivesdk" TargetMode="External"/><Relationship Id="rId1486" Type="http://schemas.openxmlformats.org/officeDocument/2006/relationships/hyperlink" Target="https://drive.google.com/file/d/1o0RxLKAYnnMWcB85jaV1AtDQkPPRl2oA/view?usp=drivesdk" TargetMode="External"/><Relationship Id="rId650" Type="http://schemas.openxmlformats.org/officeDocument/2006/relationships/hyperlink" Target="https://drive.google.com/file/d/10rSYfR6oF2N6lwcEm6WP20fZBJapTPXt/view?usp=drivesdk" TargetMode="External"/><Relationship Id="rId1487" Type="http://schemas.openxmlformats.org/officeDocument/2006/relationships/hyperlink" Target="https://drive.google.com/file/d/13UlL8qmxyv6Sr9917NfGw5-gP0eXaYUc/view?usp=drivesdk" TargetMode="External"/><Relationship Id="rId689" Type="http://schemas.openxmlformats.org/officeDocument/2006/relationships/hyperlink" Target="https://drive.google.com/file/d/1fWR9nSYpJa4aE5h6H_X0ZPc2M1I_RG4S/view?usp=drivesdk" TargetMode="External"/><Relationship Id="rId688" Type="http://schemas.openxmlformats.org/officeDocument/2006/relationships/hyperlink" Target="https://drive.google.com/file/d/10K3FoQ9KzRwzmboUrpXR7IjG3dMlYdIb/view?usp=drivesdk" TargetMode="External"/><Relationship Id="rId687" Type="http://schemas.openxmlformats.org/officeDocument/2006/relationships/hyperlink" Target="https://drive.google.com/file/d/1Pe6DrXHaLkixuVbj583y-R1qZHLxnqeq/view?usp=drivesdk" TargetMode="External"/><Relationship Id="rId682" Type="http://schemas.openxmlformats.org/officeDocument/2006/relationships/hyperlink" Target="https://drive.google.com/file/d/15TRQwKO9LhBrno0pQ9p6ZqGJSBWsj8Gk/view?usp=drivesdk" TargetMode="External"/><Relationship Id="rId681" Type="http://schemas.openxmlformats.org/officeDocument/2006/relationships/hyperlink" Target="https://drive.google.com/file/d/1cgqrI9lAoxCnIam5z3in-wz2vMKfot7z/view?usp=drivesdk" TargetMode="External"/><Relationship Id="rId680" Type="http://schemas.openxmlformats.org/officeDocument/2006/relationships/hyperlink" Target="https://drive.google.com/file/d/1Memj5sVMsaZsFOdReWzwVRELkr6MRs-q/view?usp=drivesdk" TargetMode="External"/><Relationship Id="rId686" Type="http://schemas.openxmlformats.org/officeDocument/2006/relationships/hyperlink" Target="https://drive.google.com/file/d/1qSB5D8mWv92JYwdlnbi6EJwsznilY0p5/view?usp=drivesdk" TargetMode="External"/><Relationship Id="rId685" Type="http://schemas.openxmlformats.org/officeDocument/2006/relationships/hyperlink" Target="https://drive.google.com/file/d/1P_XnNMBOvJmFlNIYhBS7JPDWNRZCs2t4/view?usp=drivesdk" TargetMode="External"/><Relationship Id="rId684" Type="http://schemas.openxmlformats.org/officeDocument/2006/relationships/hyperlink" Target="https://drive.google.com/file/d/1pNlsY-jYeNFEnUSoZie4TfHiyF6E6amR/view?usp=drivesdk" TargetMode="External"/><Relationship Id="rId683" Type="http://schemas.openxmlformats.org/officeDocument/2006/relationships/hyperlink" Target="https://drive.google.com/file/d/102LX6P4vf6ajr2MR618FiUjFl4wx6e7x/view?usp=drivesdk" TargetMode="External"/><Relationship Id="rId679" Type="http://schemas.openxmlformats.org/officeDocument/2006/relationships/hyperlink" Target="https://drive.google.com/file/d/1jyzB_HMrX1ntM9Jc-lThBnkV4JEj7tBy/view?usp=drivesdk" TargetMode="External"/><Relationship Id="rId678" Type="http://schemas.openxmlformats.org/officeDocument/2006/relationships/hyperlink" Target="https://drive.google.com/file/d/1jIG0-eo-46ZKKJ5NSbbL1Q82q90bdG5E/view?usp=drivesdk" TargetMode="External"/><Relationship Id="rId677" Type="http://schemas.openxmlformats.org/officeDocument/2006/relationships/hyperlink" Target="https://drive.google.com/file/d/17uJTiPUbmxJQb_O2es_3GbUWmPh6-HAq/view?usp=drivesdk" TargetMode="External"/><Relationship Id="rId676" Type="http://schemas.openxmlformats.org/officeDocument/2006/relationships/hyperlink" Target="https://drive.google.com/file/d/12sx9RLzEDDnRqa61MBJawQuUbLqdpz94/view?usp=drivesdk" TargetMode="External"/><Relationship Id="rId671" Type="http://schemas.openxmlformats.org/officeDocument/2006/relationships/hyperlink" Target="https://drive.google.com/file/d/1FjPoYWeMTuBiguVOYaEEAdh7kBumJZMk/view?usp=drivesdk" TargetMode="External"/><Relationship Id="rId670" Type="http://schemas.openxmlformats.org/officeDocument/2006/relationships/hyperlink" Target="https://drive.google.com/file/d/1YqFK1opEwgQzg-01EJ0SJ3cxKDub2uE3/view?usp=drivesdk" TargetMode="External"/><Relationship Id="rId675" Type="http://schemas.openxmlformats.org/officeDocument/2006/relationships/hyperlink" Target="https://drive.google.com/file/d/1cLxVXgx_4Qc8wbeMWGunX-s7yBfwZMxH/view?usp=drivesdk" TargetMode="External"/><Relationship Id="rId674" Type="http://schemas.openxmlformats.org/officeDocument/2006/relationships/hyperlink" Target="https://drive.google.com/file/d/13jRyygMncmPm5wbJLyQm5C9JJvBqp3Pg/view?usp=drivesdk" TargetMode="External"/><Relationship Id="rId673" Type="http://schemas.openxmlformats.org/officeDocument/2006/relationships/hyperlink" Target="https://drive.google.com/file/d/1OI4AHM3-aHByAIbvoNZzfNKfZKjQ5npY/view?usp=drivesdk" TargetMode="External"/><Relationship Id="rId672" Type="http://schemas.openxmlformats.org/officeDocument/2006/relationships/hyperlink" Target="https://drive.google.com/file/d/1jtTjxqeuzhoTyjJPjOAJVXv6ynYIl_AM/view?usp=drivesdk" TargetMode="External"/><Relationship Id="rId5019" Type="http://schemas.openxmlformats.org/officeDocument/2006/relationships/hyperlink" Target="https://drive.google.com/file/d/1_S4YTiJm70qhzGAkjrEm2BIrwv9CdHbZ/view?usp=drivesdk" TargetMode="External"/><Relationship Id="rId6340" Type="http://schemas.openxmlformats.org/officeDocument/2006/relationships/hyperlink" Target="https://drive.google.com/file/d/1-jgzpydZj0Wx8WGK8NNK_wc2xkoJjEDz/view?usp=drivesdk" TargetMode="External"/><Relationship Id="rId7672" Type="http://schemas.openxmlformats.org/officeDocument/2006/relationships/hyperlink" Target="https://drive.google.com/file/d/1bYztJ7giv1H7agOVNzswoXPHHI98ufcd/view?usp=drivesdk" TargetMode="External"/><Relationship Id="rId5010" Type="http://schemas.openxmlformats.org/officeDocument/2006/relationships/hyperlink" Target="https://drive.google.com/file/d/16nlBvBMaj86yxQ8Fj8FgJzjp2T9EE7wx/view?usp=drivesdk" TargetMode="External"/><Relationship Id="rId6341" Type="http://schemas.openxmlformats.org/officeDocument/2006/relationships/hyperlink" Target="https://drive.google.com/file/d/1qSbsGXeqf3cl5fGBgn7gGWI92GYWOpE9/view?usp=drivesdk" TargetMode="External"/><Relationship Id="rId7671" Type="http://schemas.openxmlformats.org/officeDocument/2006/relationships/hyperlink" Target="https://drive.google.com/file/d/1LgL9PlRrLXPrem9mFhkvIFvQKlQ1L3J9/view?usp=drivesdk" TargetMode="External"/><Relationship Id="rId7670" Type="http://schemas.openxmlformats.org/officeDocument/2006/relationships/hyperlink" Target="https://drive.google.com/file/d/18uEk-uYEV4Hr_ZrLz-Y8qfVXtSzls9Uf/view?usp=drivesdk" TargetMode="External"/><Relationship Id="rId5013" Type="http://schemas.openxmlformats.org/officeDocument/2006/relationships/hyperlink" Target="https://drive.google.com/file/d/1g9fU5p4N9wxztSyEUKmla6czzbHfPKgJ/view?usp=drivesdk" TargetMode="External"/><Relationship Id="rId6344" Type="http://schemas.openxmlformats.org/officeDocument/2006/relationships/hyperlink" Target="https://drive.google.com/file/d/1snyqMxVdTI6lyCraWLSXHJyp3-Q4zHjo/view?usp=drivesdk" TargetMode="External"/><Relationship Id="rId7676" Type="http://schemas.openxmlformats.org/officeDocument/2006/relationships/hyperlink" Target="https://drive.google.com/file/d/1hkuBmcx6PzJtjwn6xqJGK5aYcYd0s6Xi/view?usp=drivesdk" TargetMode="External"/><Relationship Id="rId5014" Type="http://schemas.openxmlformats.org/officeDocument/2006/relationships/hyperlink" Target="https://drive.google.com/file/d/1LUvS2B6U8x2k1S2LJ17-qZQd_Hjjzrh7/view?usp=drivesdk" TargetMode="External"/><Relationship Id="rId6345" Type="http://schemas.openxmlformats.org/officeDocument/2006/relationships/hyperlink" Target="https://drive.google.com/file/d/1_kAZyO-Ga3snsttcX92l5sLYQ66FDOpU/view?usp=drivesdk" TargetMode="External"/><Relationship Id="rId7675" Type="http://schemas.openxmlformats.org/officeDocument/2006/relationships/hyperlink" Target="https://drive.google.com/file/d/1OxGdFZFyCllBeuX6JYOqzURrKf4sexyj/view?usp=drivesdk" TargetMode="External"/><Relationship Id="rId5011" Type="http://schemas.openxmlformats.org/officeDocument/2006/relationships/hyperlink" Target="https://drive.google.com/file/d/1g_uh2rLAGzu_dNMPUj9lSPAuzsQRK3M9/view?usp=drivesdk" TargetMode="External"/><Relationship Id="rId6342" Type="http://schemas.openxmlformats.org/officeDocument/2006/relationships/hyperlink" Target="https://drive.google.com/file/d/1dTPKqCKnzdDkrkdt01DMCgB_ExCfyaQR/view?usp=drivesdk" TargetMode="External"/><Relationship Id="rId7674" Type="http://schemas.openxmlformats.org/officeDocument/2006/relationships/hyperlink" Target="https://drive.google.com/file/d/1z5RgmIVYzDwsGdmfEo3TY2IyxA912ep6/view?usp=drivesdk" TargetMode="External"/><Relationship Id="rId5012" Type="http://schemas.openxmlformats.org/officeDocument/2006/relationships/hyperlink" Target="https://drive.google.com/file/d/1TzRxzZPka_ZmG_sJHwMOiEkEyy-_5HYt/view?usp=drivesdk" TargetMode="External"/><Relationship Id="rId6343" Type="http://schemas.openxmlformats.org/officeDocument/2006/relationships/hyperlink" Target="https://drive.google.com/file/d/1F5_oztxj7mgvAdHlhqGEf7VJcTF7O_bt/view?usp=drivesdk" TargetMode="External"/><Relationship Id="rId7673" Type="http://schemas.openxmlformats.org/officeDocument/2006/relationships/hyperlink" Target="https://drive.google.com/file/d/11fkO5Kdw-OLH8ky2PRubwJmK-GM5x5gA/view?usp=drivesdk" TargetMode="External"/><Relationship Id="rId5017" Type="http://schemas.openxmlformats.org/officeDocument/2006/relationships/hyperlink" Target="https://drive.google.com/file/d/1AJAXsG2tKSIuMG3GbAJ-1FpG4yZlGgXX/view?usp=drivesdk" TargetMode="External"/><Relationship Id="rId6348" Type="http://schemas.openxmlformats.org/officeDocument/2006/relationships/hyperlink" Target="https://drive.google.com/file/d/1TOXuO3O-YYJYB8hvYsR3KbqMacLDTpSi/view?usp=drivesdk" TargetMode="External"/><Relationship Id="rId5018" Type="http://schemas.openxmlformats.org/officeDocument/2006/relationships/hyperlink" Target="https://drive.google.com/file/d/1h843bdHOm4Z8CJvenXvM5fRklVpwOzYl/view?usp=drivesdk" TargetMode="External"/><Relationship Id="rId6349" Type="http://schemas.openxmlformats.org/officeDocument/2006/relationships/hyperlink" Target="https://drive.google.com/file/d/1ZzbNjNr1FsnrTGY5r8y_V-jn8rxmmLNp/view?usp=drivesdk" TargetMode="External"/><Relationship Id="rId7679" Type="http://schemas.openxmlformats.org/officeDocument/2006/relationships/hyperlink" Target="https://drive.google.com/file/d/1r3wOSZTFNY6KWnKg0IKA6SWLaImFWzo8/view?usp=drivesdk" TargetMode="External"/><Relationship Id="rId5015" Type="http://schemas.openxmlformats.org/officeDocument/2006/relationships/hyperlink" Target="https://drive.google.com/file/d/1_2j2kgWSmoJK6a-wEtFDJfzzn_nX7tJK/view?usp=drivesdk" TargetMode="External"/><Relationship Id="rId6346" Type="http://schemas.openxmlformats.org/officeDocument/2006/relationships/hyperlink" Target="https://drive.google.com/file/d/1SQbUSlJHTZFwV5Pvo6PwGLBt84Kx2e-R/view?usp=drivesdk" TargetMode="External"/><Relationship Id="rId7678" Type="http://schemas.openxmlformats.org/officeDocument/2006/relationships/hyperlink" Target="https://drive.google.com/file/d/1jE8TgveWk2hw7WWB0NzPckBulwVj5nRj/view?usp=drivesdk" TargetMode="External"/><Relationship Id="rId5016" Type="http://schemas.openxmlformats.org/officeDocument/2006/relationships/hyperlink" Target="https://drive.google.com/file/d/1mkkkhOJILvTzcsW__4n3B1nBnrtPhlvI/view?usp=drivesdk" TargetMode="External"/><Relationship Id="rId6347" Type="http://schemas.openxmlformats.org/officeDocument/2006/relationships/hyperlink" Target="https://drive.google.com/file/d/1YLQGxf_Piin3X99knTtSdfFfECvsLGBE/view?usp=drivesdk" TargetMode="External"/><Relationship Id="rId7677" Type="http://schemas.openxmlformats.org/officeDocument/2006/relationships/hyperlink" Target="https://drive.google.com/file/d/1VdcaGHJC6BzPGE2bJiHGTno-GOaDpl5f/view?usp=drivesdk" TargetMode="External"/><Relationship Id="rId5008" Type="http://schemas.openxmlformats.org/officeDocument/2006/relationships/hyperlink" Target="https://drive.google.com/file/d/1o7QB-85CRbmyi1pZc6RQwLxqiILkGtLx/view?usp=drivesdk" TargetMode="External"/><Relationship Id="rId6339" Type="http://schemas.openxmlformats.org/officeDocument/2006/relationships/hyperlink" Target="https://drive.google.com/file/d/17aZoqaWC7GHseoavLBEzfJBEhLcoBsXZ/view?usp=drivesdk" TargetMode="External"/><Relationship Id="rId5009" Type="http://schemas.openxmlformats.org/officeDocument/2006/relationships/hyperlink" Target="https://drive.google.com/file/d/1GC0qXeVFdrls3oyzQ_McgCAQFhaHvNj9/view?usp=drivesdk" TargetMode="External"/><Relationship Id="rId7661" Type="http://schemas.openxmlformats.org/officeDocument/2006/relationships/hyperlink" Target="https://drive.google.com/file/d/13SAbs9pTn0URT20S9qVVVz9eksnZ7sxM/view?usp=drivesdk" TargetMode="External"/><Relationship Id="rId6330" Type="http://schemas.openxmlformats.org/officeDocument/2006/relationships/hyperlink" Target="https://drive.google.com/file/d/1FLOX9x0W6FObdAdZh1HUXnGkCvkjvtrS/view?usp=drivesdk" TargetMode="External"/><Relationship Id="rId7660" Type="http://schemas.openxmlformats.org/officeDocument/2006/relationships/hyperlink" Target="https://drive.google.com/file/d/1NRojxhlo8TVqYjh6R8ywFq8EKNkM8WcT/view?usp=drivesdk" TargetMode="External"/><Relationship Id="rId5002" Type="http://schemas.openxmlformats.org/officeDocument/2006/relationships/hyperlink" Target="https://drive.google.com/file/d/137QlLBopGzA_3m3G9zuEjnrs4EywNKzG/view?usp=drivesdk" TargetMode="External"/><Relationship Id="rId6333" Type="http://schemas.openxmlformats.org/officeDocument/2006/relationships/hyperlink" Target="https://drive.google.com/file/d/1xKZVh-aOkKOv7rxKLDju945155wzOXXx/view?usp=drivesdk" TargetMode="External"/><Relationship Id="rId7665" Type="http://schemas.openxmlformats.org/officeDocument/2006/relationships/hyperlink" Target="https://drive.google.com/file/d/1jxiGL-DbNDuruu3T2Tfgsu-pqxlQizuC/view?usp=drivesdk" TargetMode="External"/><Relationship Id="rId5003" Type="http://schemas.openxmlformats.org/officeDocument/2006/relationships/hyperlink" Target="https://drive.google.com/file/d/1ibz2xGN3Y-S9xnu_7_rNPPlVhzYZwOWD/view?usp=drivesdk" TargetMode="External"/><Relationship Id="rId6334" Type="http://schemas.openxmlformats.org/officeDocument/2006/relationships/hyperlink" Target="https://drive.google.com/file/d/1nc2b40_YtO59YWATG3hKq46-jBnfpKu3/view?usp=drivesdk" TargetMode="External"/><Relationship Id="rId7664" Type="http://schemas.openxmlformats.org/officeDocument/2006/relationships/hyperlink" Target="https://drive.google.com/file/d/1rHFzgtNU22yN1hqjXHe53xHIZ1YqQWFZ/view?usp=drivesdk" TargetMode="External"/><Relationship Id="rId5000" Type="http://schemas.openxmlformats.org/officeDocument/2006/relationships/hyperlink" Target="https://drive.google.com/file/d/1H-o25tAC4yCtGds6u-vozqsTBEL6MVOi/view?usp=drivesdk" TargetMode="External"/><Relationship Id="rId6331" Type="http://schemas.openxmlformats.org/officeDocument/2006/relationships/hyperlink" Target="https://drive.google.com/file/d/1qOsw7u1fEAswhVQGahAWQ8lyQ3zMfA1b/view?usp=drivesdk" TargetMode="External"/><Relationship Id="rId7663" Type="http://schemas.openxmlformats.org/officeDocument/2006/relationships/hyperlink" Target="https://drive.google.com/file/d/1yI0aqaGdd8zoIuvSvikG6raIph6osRjy/view?usp=drivesdk" TargetMode="External"/><Relationship Id="rId5001" Type="http://schemas.openxmlformats.org/officeDocument/2006/relationships/hyperlink" Target="https://drive.google.com/file/d/1PpH9qTeJ44JANrQyrzFbYtKQO6NzgRNN/view?usp=drivesdk" TargetMode="External"/><Relationship Id="rId6332" Type="http://schemas.openxmlformats.org/officeDocument/2006/relationships/hyperlink" Target="https://drive.google.com/file/d/19Jyx0IsXmiA96C9CwWDg6HenhlgcNeVC/view?usp=drivesdk" TargetMode="External"/><Relationship Id="rId7662" Type="http://schemas.openxmlformats.org/officeDocument/2006/relationships/hyperlink" Target="https://drive.google.com/file/d/1IrplOd-BeMMU15F4_I1HmErey6tpXQD_/view?usp=drivesdk" TargetMode="External"/><Relationship Id="rId5006" Type="http://schemas.openxmlformats.org/officeDocument/2006/relationships/hyperlink" Target="https://drive.google.com/file/d/1UU-58HQb3PkN2YBsm9B56dV_Do2svmcH/view?usp=drivesdk" TargetMode="External"/><Relationship Id="rId6337" Type="http://schemas.openxmlformats.org/officeDocument/2006/relationships/hyperlink" Target="https://drive.google.com/file/d/10fWNxtDtQKkUQlFmx7i0CNeM6O8TUPZp/view?usp=drivesdk" TargetMode="External"/><Relationship Id="rId7669" Type="http://schemas.openxmlformats.org/officeDocument/2006/relationships/hyperlink" Target="https://drive.google.com/file/d/1I34EF7u8HPDTznWEtZsqJAo4DhO5tFRc/view?usp=drivesdk" TargetMode="External"/><Relationship Id="rId5007" Type="http://schemas.openxmlformats.org/officeDocument/2006/relationships/hyperlink" Target="https://drive.google.com/file/d/1O9lBpv0F8u4j2-W71e4k29W3k5ffMrPu/view?usp=drivesdk" TargetMode="External"/><Relationship Id="rId6338" Type="http://schemas.openxmlformats.org/officeDocument/2006/relationships/hyperlink" Target="https://drive.google.com/file/d/1zG2M8iUV6F3tVz6MSe7Fp4Bjjbs1jLzF/view?usp=drivesdk" TargetMode="External"/><Relationship Id="rId7668" Type="http://schemas.openxmlformats.org/officeDocument/2006/relationships/hyperlink" Target="https://drive.google.com/file/d/1wPPpjS8DzIhns8JHhldR7AcrMNi4zMBc/view?usp=drivesdk" TargetMode="External"/><Relationship Id="rId5004" Type="http://schemas.openxmlformats.org/officeDocument/2006/relationships/hyperlink" Target="https://drive.google.com/file/d/1kfL8N14MZv8ObLa74OGlUhPinJ5iSAJN/view?usp=drivesdk" TargetMode="External"/><Relationship Id="rId6335" Type="http://schemas.openxmlformats.org/officeDocument/2006/relationships/hyperlink" Target="https://drive.google.com/file/d/1jxKrD4WRHG7PD9zQHk5TP16cKadhdkMm/view?usp=drivesdk" TargetMode="External"/><Relationship Id="rId7667" Type="http://schemas.openxmlformats.org/officeDocument/2006/relationships/hyperlink" Target="https://drive.google.com/file/d/1HgqpjKGK24CWnEzl09a40kNXCFviCMmK/view?usp=drivesdk" TargetMode="External"/><Relationship Id="rId5005" Type="http://schemas.openxmlformats.org/officeDocument/2006/relationships/hyperlink" Target="https://drive.google.com/file/d/1KMssrAjsnS2MzAYDc5tMyeLb3ksaXFCA/view?usp=drivesdk" TargetMode="External"/><Relationship Id="rId6336" Type="http://schemas.openxmlformats.org/officeDocument/2006/relationships/hyperlink" Target="https://drive.google.com/file/d/1pu7WX2sNLR5sIsUspM3k7NT_F76yFQGU/view?usp=drivesdk" TargetMode="External"/><Relationship Id="rId7666" Type="http://schemas.openxmlformats.org/officeDocument/2006/relationships/hyperlink" Target="https://drive.google.com/file/d/1xO1gr9nd6a2jmen6yNAkz6KBj2WB7fT-/view?usp=drivesdk" TargetMode="External"/><Relationship Id="rId7690" Type="http://schemas.openxmlformats.org/officeDocument/2006/relationships/hyperlink" Target="https://drive.google.com/file/d/17sLcMHIzPVu9z1VgWDTc3YGk73AhfSgG/view?usp=drivesdk" TargetMode="External"/><Relationship Id="rId5031" Type="http://schemas.openxmlformats.org/officeDocument/2006/relationships/hyperlink" Target="https://drive.google.com/file/d/1aZCckTL_48f_9V1HvQii61O5gCjnYnWE/view?usp=drivesdk" TargetMode="External"/><Relationship Id="rId6362" Type="http://schemas.openxmlformats.org/officeDocument/2006/relationships/hyperlink" Target="https://drive.google.com/file/d/1vfhkr8nmkbIi1gUKkB9MOvYb82_AvsRK/view?usp=drivesdk" TargetMode="External"/><Relationship Id="rId7694" Type="http://schemas.openxmlformats.org/officeDocument/2006/relationships/hyperlink" Target="https://drive.google.com/file/d/1TVnknnnLhWkWBAsDaXlGMywWJoY7Hu1M/view?usp=drivesdk" TargetMode="External"/><Relationship Id="rId5032" Type="http://schemas.openxmlformats.org/officeDocument/2006/relationships/hyperlink" Target="https://drive.google.com/file/d/1R8MRRe85v2CWYvfzznQJHSzIEiVER6Nc/view?usp=drivesdk" TargetMode="External"/><Relationship Id="rId6363" Type="http://schemas.openxmlformats.org/officeDocument/2006/relationships/hyperlink" Target="https://drive.google.com/file/d/1Y1p4_osoeNvkYeEHo8pRB0QFgINwHHRf/view?usp=drivesdk" TargetMode="External"/><Relationship Id="rId7693" Type="http://schemas.openxmlformats.org/officeDocument/2006/relationships/hyperlink" Target="https://drive.google.com/file/d/10waFW1QoVuaDhVcPAFslvN6_x5ido0sW/view?usp=drivesdk" TargetMode="External"/><Relationship Id="rId6360" Type="http://schemas.openxmlformats.org/officeDocument/2006/relationships/hyperlink" Target="https://drive.google.com/file/d/1Yhh5fvsab0-eEL_JLk4QUrswSqlh1b2w/view?usp=drivesdk" TargetMode="External"/><Relationship Id="rId7692" Type="http://schemas.openxmlformats.org/officeDocument/2006/relationships/hyperlink" Target="https://drive.google.com/file/d/1VpW2wQ-HfNwPjgn6vYI1QUT8RuRGa_Zc/view?usp=drivesdk" TargetMode="External"/><Relationship Id="rId5030" Type="http://schemas.openxmlformats.org/officeDocument/2006/relationships/hyperlink" Target="https://drive.google.com/file/d/1UZFCE_nweReGFUF6BEcH8nFv03UM_yQG/view?usp=drivesdk" TargetMode="External"/><Relationship Id="rId6361" Type="http://schemas.openxmlformats.org/officeDocument/2006/relationships/hyperlink" Target="https://drive.google.com/file/d/1-g5v4RYow82vvAbgH32SjGQmIJCCDGMY/view?usp=drivesdk" TargetMode="External"/><Relationship Id="rId7691" Type="http://schemas.openxmlformats.org/officeDocument/2006/relationships/hyperlink" Target="https://drive.google.com/file/d/1vj6RzAiHtsvVKkF1RsRUM_-p2bjGXsRh/view?usp=drivesdk" TargetMode="External"/><Relationship Id="rId5035" Type="http://schemas.openxmlformats.org/officeDocument/2006/relationships/hyperlink" Target="https://drive.google.com/file/d/1JmOz_KiKso91kipwUDN5CKaBQ2KvdX7S/view?usp=drivesdk" TargetMode="External"/><Relationship Id="rId6366" Type="http://schemas.openxmlformats.org/officeDocument/2006/relationships/hyperlink" Target="https://drive.google.com/file/d/1LfdOomQlOYxBcremv2Z_QlgUtkIXCE49/view?usp=drivesdk" TargetMode="External"/><Relationship Id="rId7698" Type="http://schemas.openxmlformats.org/officeDocument/2006/relationships/hyperlink" Target="https://drive.google.com/file/d/1QNNzrd0UwPyT8aAM6Kl96O8Dlvnn3mGm/view?usp=drivesdk" TargetMode="External"/><Relationship Id="rId5036" Type="http://schemas.openxmlformats.org/officeDocument/2006/relationships/hyperlink" Target="https://drive.google.com/file/d/1YK7HIkqcvNG7iJNEShPzQg2wN3N5CJHg/view?usp=drivesdk" TargetMode="External"/><Relationship Id="rId6367" Type="http://schemas.openxmlformats.org/officeDocument/2006/relationships/hyperlink" Target="https://drive.google.com/file/d/1hyf7IoiDV-tRKWKjO9E2DaRPEAD3HsrK/view?usp=drivesdk" TargetMode="External"/><Relationship Id="rId7697" Type="http://schemas.openxmlformats.org/officeDocument/2006/relationships/hyperlink" Target="https://drive.google.com/file/d/1G-XHXX3VPwXM0eSMfbE4CJdzBFhO1_8F/view?usp=drivesdk" TargetMode="External"/><Relationship Id="rId5033" Type="http://schemas.openxmlformats.org/officeDocument/2006/relationships/hyperlink" Target="https://drive.google.com/file/d/1cqc8TMLRedccI7sCrc2J5rqmBGvLqQ28/view?usp=drivesdk" TargetMode="External"/><Relationship Id="rId6364" Type="http://schemas.openxmlformats.org/officeDocument/2006/relationships/hyperlink" Target="https://drive.google.com/file/d/1lM_zvhH2XhqCwqDJRgD5FsvlROCHVe7C/view?usp=drivesdk" TargetMode="External"/><Relationship Id="rId7696" Type="http://schemas.openxmlformats.org/officeDocument/2006/relationships/hyperlink" Target="https://drive.google.com/file/d/1xE1UuyqHavmC0Q0TLdDzh84_6ZdLbgW0/view?usp=drivesdk" TargetMode="External"/><Relationship Id="rId5034" Type="http://schemas.openxmlformats.org/officeDocument/2006/relationships/hyperlink" Target="https://drive.google.com/file/d/1HMQks5bblL1K8PueDW27EmDtIXVqTASt/view?usp=drivesdk" TargetMode="External"/><Relationship Id="rId6365" Type="http://schemas.openxmlformats.org/officeDocument/2006/relationships/hyperlink" Target="https://drive.google.com/file/d/1dpqCpLVeQhqBoNcLyOwlFEbEgQwowFsZ/view?usp=drivesdk" TargetMode="External"/><Relationship Id="rId7695" Type="http://schemas.openxmlformats.org/officeDocument/2006/relationships/hyperlink" Target="https://drive.google.com/file/d/181hJyETIor1-OuDuoZygl4YA5QM4kp38/view?usp=drivesdk" TargetMode="External"/><Relationship Id="rId5039" Type="http://schemas.openxmlformats.org/officeDocument/2006/relationships/hyperlink" Target="https://drive.google.com/file/d/1r1qnkjGlQHmHmx5Z18ia7AP8u2PC9UY1/view?usp=drivesdk" TargetMode="External"/><Relationship Id="rId5037" Type="http://schemas.openxmlformats.org/officeDocument/2006/relationships/hyperlink" Target="https://drive.google.com/file/d/1yadKGmZsMvXxQTp3vx_bclKss9RLL_8Y/view?usp=drivesdk" TargetMode="External"/><Relationship Id="rId6368" Type="http://schemas.openxmlformats.org/officeDocument/2006/relationships/hyperlink" Target="https://drive.google.com/file/d/1ZL9gg8VbyuA0ly81-835e8Y0eTEooeWH/view?usp=drivesdk" TargetMode="External"/><Relationship Id="rId5038" Type="http://schemas.openxmlformats.org/officeDocument/2006/relationships/hyperlink" Target="https://drive.google.com/file/d/1we2mQmi17f1jNwVMAeSydcmLeZEd6xEy/view?usp=drivesdk" TargetMode="External"/><Relationship Id="rId6369" Type="http://schemas.openxmlformats.org/officeDocument/2006/relationships/hyperlink" Target="https://drive.google.com/file/d/18lChKaFB8qdbayP4R7x3EqtPeJPjEFnu/view?usp=drivesdk" TargetMode="External"/><Relationship Id="rId7699" Type="http://schemas.openxmlformats.org/officeDocument/2006/relationships/hyperlink" Target="https://drive.google.com/file/d/14lR6KO0sYu1C-SNFAhwQfIOS9ceOk_yJ/view?usp=drivesdk" TargetMode="External"/><Relationship Id="rId5020" Type="http://schemas.openxmlformats.org/officeDocument/2006/relationships/hyperlink" Target="https://drive.google.com/file/d/1e9xsAaqQ9FHpe37bMyEiTJp9Qte_KdQT/view?usp=drivesdk" TargetMode="External"/><Relationship Id="rId6351" Type="http://schemas.openxmlformats.org/officeDocument/2006/relationships/hyperlink" Target="https://drive.google.com/file/d/1BbmZRfWz3DtIRgEBXbvhi2AFsY_yPmPV/view?usp=drivesdk" TargetMode="External"/><Relationship Id="rId7683" Type="http://schemas.openxmlformats.org/officeDocument/2006/relationships/hyperlink" Target="https://drive.google.com/file/d/1cdEfDQnM1ULtvCEoGRVB-SQcLlBoZT6J/view?usp=drivesdk" TargetMode="External"/><Relationship Id="rId5021" Type="http://schemas.openxmlformats.org/officeDocument/2006/relationships/hyperlink" Target="https://drive.google.com/file/d/1M_tVs4Ar-kg4CItlsYi_s7xMO0-7_dH8/view?usp=drivesdk" TargetMode="External"/><Relationship Id="rId6352" Type="http://schemas.openxmlformats.org/officeDocument/2006/relationships/hyperlink" Target="https://drive.google.com/file/d/1_XIb8XExYy3JZxeSCF-JlRxgRx2GbqlJ/view?usp=drivesdk" TargetMode="External"/><Relationship Id="rId7682" Type="http://schemas.openxmlformats.org/officeDocument/2006/relationships/hyperlink" Target="https://drive.google.com/file/d/1bUyI5Mb0SlYc1VWKLqSjhmCKlNq4QZxk/view?usp=drivesdk" TargetMode="External"/><Relationship Id="rId7681" Type="http://schemas.openxmlformats.org/officeDocument/2006/relationships/hyperlink" Target="https://drive.google.com/file/d/1_fpbfBhkdpinej5txCM3Z_L0GYAP403u/view?usp=drivesdk" TargetMode="External"/><Relationship Id="rId6350" Type="http://schemas.openxmlformats.org/officeDocument/2006/relationships/hyperlink" Target="https://drive.google.com/file/d/1g-zUU15CT_GZvTFVt8s7QdzkamLQ8BGl/view?usp=drivesdk" TargetMode="External"/><Relationship Id="rId7680" Type="http://schemas.openxmlformats.org/officeDocument/2006/relationships/hyperlink" Target="https://drive.google.com/file/d/1_6prcvOK4bR8-1HbkkmIPm6Y7jPN4bUO/view?usp=drivesdk" TargetMode="External"/><Relationship Id="rId5024" Type="http://schemas.openxmlformats.org/officeDocument/2006/relationships/hyperlink" Target="https://drive.google.com/file/d/1kKZ91XOUYDiGnVfcjyOHvQtyUDIY3y1v/view?usp=drivesdk" TargetMode="External"/><Relationship Id="rId6355" Type="http://schemas.openxmlformats.org/officeDocument/2006/relationships/hyperlink" Target="https://drive.google.com/file/d/1KatKxm3a4R-g2nnmIVwhovAdQJFwyE5b/view?usp=drivesdk" TargetMode="External"/><Relationship Id="rId7687" Type="http://schemas.openxmlformats.org/officeDocument/2006/relationships/hyperlink" Target="https://drive.google.com/file/d/1xu3cP-TflhV2WguehWA7NKzERSR-T9a9/view?usp=drivesdk" TargetMode="External"/><Relationship Id="rId5025" Type="http://schemas.openxmlformats.org/officeDocument/2006/relationships/hyperlink" Target="https://drive.google.com/file/d/1isBg9eCSdEvskGIQcs8iOZ4hEn0bxn_e/view?usp=drivesdk" TargetMode="External"/><Relationship Id="rId6356" Type="http://schemas.openxmlformats.org/officeDocument/2006/relationships/hyperlink" Target="https://drive.google.com/file/d/17CeD0vY2pC0VTlHZ1WEyxXcsLdA_K8o8/view?usp=drivesdk" TargetMode="External"/><Relationship Id="rId7686" Type="http://schemas.openxmlformats.org/officeDocument/2006/relationships/hyperlink" Target="https://drive.google.com/file/d/1Fv75IHA5EqpZ9z9MbEiP8v-Q_U7XlepU/view?usp=drivesdk" TargetMode="External"/><Relationship Id="rId5022" Type="http://schemas.openxmlformats.org/officeDocument/2006/relationships/hyperlink" Target="https://drive.google.com/file/d/16Oe3AIVx0AhsyU-zvEh5kx7eCIfJa06z/view?usp=drivesdk" TargetMode="External"/><Relationship Id="rId6353" Type="http://schemas.openxmlformats.org/officeDocument/2006/relationships/hyperlink" Target="https://drive.google.com/file/d/1nksBf289ZIQwdkzqhqB_FgD6w0wsZ-ZO/view?usp=drivesdk" TargetMode="External"/><Relationship Id="rId7685" Type="http://schemas.openxmlformats.org/officeDocument/2006/relationships/hyperlink" Target="https://drive.google.com/file/d/1SU_XBCXthBG-geBOPjXUaVBDycfqkkso/view?usp=drivesdk" TargetMode="External"/><Relationship Id="rId5023" Type="http://schemas.openxmlformats.org/officeDocument/2006/relationships/hyperlink" Target="https://drive.google.com/file/d/1_V8XkWjXuo9Nj5WjHxIkP_x0IKIGAQi8/view?usp=drivesdk" TargetMode="External"/><Relationship Id="rId6354" Type="http://schemas.openxmlformats.org/officeDocument/2006/relationships/hyperlink" Target="https://drive.google.com/file/d/19YVSwzqoQUfFs0TTHDh3v2Togt_D-Xh5/view?usp=drivesdk" TargetMode="External"/><Relationship Id="rId7684" Type="http://schemas.openxmlformats.org/officeDocument/2006/relationships/hyperlink" Target="https://drive.google.com/file/d/15JiqylSh3WJCzptBdEDkzFvyvmR9oNCO/view?usp=drivesdk" TargetMode="External"/><Relationship Id="rId5028" Type="http://schemas.openxmlformats.org/officeDocument/2006/relationships/hyperlink" Target="https://drive.google.com/file/d/1FlwP0uyXHRIlhgsVu1jnM9tbJZFp--hQ/view?usp=drivesdk" TargetMode="External"/><Relationship Id="rId6359" Type="http://schemas.openxmlformats.org/officeDocument/2006/relationships/hyperlink" Target="https://drive.google.com/file/d/1oB7HKPsXjPc2BIZfEBp0FQRyFdX0wOO7/view?usp=drivesdk" TargetMode="External"/><Relationship Id="rId5029" Type="http://schemas.openxmlformats.org/officeDocument/2006/relationships/hyperlink" Target="https://drive.google.com/file/d/1picOcIvWS9yhZgG8u_0M2V9GDkfcQsai/view?usp=drivesdk" TargetMode="External"/><Relationship Id="rId5026" Type="http://schemas.openxmlformats.org/officeDocument/2006/relationships/hyperlink" Target="https://drive.google.com/file/d/1YhmUt0gbqxOACtxA1h6SypAmWNshY02h/view?usp=drivesdk" TargetMode="External"/><Relationship Id="rId6357" Type="http://schemas.openxmlformats.org/officeDocument/2006/relationships/hyperlink" Target="https://drive.google.com/file/d/1Jypsuqne3m1nn6n8MHgFJYBucBCAITaA/view?usp=drivesdk" TargetMode="External"/><Relationship Id="rId7689" Type="http://schemas.openxmlformats.org/officeDocument/2006/relationships/hyperlink" Target="https://drive.google.com/file/d/123xk-20ToF50JdAwYG_cc8O6PZbDN_OC/view?usp=drivesdk" TargetMode="External"/><Relationship Id="rId5027" Type="http://schemas.openxmlformats.org/officeDocument/2006/relationships/hyperlink" Target="https://drive.google.com/file/d/1rmwr7gd1F7quE400CQOF-u9fIXYLswTG/view?usp=drivesdk" TargetMode="External"/><Relationship Id="rId6358" Type="http://schemas.openxmlformats.org/officeDocument/2006/relationships/hyperlink" Target="https://drive.google.com/file/d/1Llvq3udIMF9QL1pYBF1Au3gsgwuDxwL4/view?usp=drivesdk" TargetMode="External"/><Relationship Id="rId7688" Type="http://schemas.openxmlformats.org/officeDocument/2006/relationships/hyperlink" Target="https://drive.google.com/file/d/1QAsw-w6kLVvn64KCSfmjCU_PvF4l_Z5X/view?usp=drivesdk" TargetMode="External"/><Relationship Id="rId6308" Type="http://schemas.openxmlformats.org/officeDocument/2006/relationships/hyperlink" Target="https://drive.google.com/file/d/1auNsciKKhQKNBRNKKy7exQo_aWCXy7jd/view?usp=drivesdk" TargetMode="External"/><Relationship Id="rId6309" Type="http://schemas.openxmlformats.org/officeDocument/2006/relationships/hyperlink" Target="https://drive.google.com/file/d/1dKAFTga1jDYp3Fn008evaDUbFAxeWCp3/view?usp=drivesdk" TargetMode="External"/><Relationship Id="rId7639" Type="http://schemas.openxmlformats.org/officeDocument/2006/relationships/hyperlink" Target="https://drive.google.com/file/d/1UFRbCmw6q602LpGzrob20z6QE2G412vn/view?usp=drivesdk" TargetMode="External"/><Relationship Id="rId6306" Type="http://schemas.openxmlformats.org/officeDocument/2006/relationships/hyperlink" Target="https://drive.google.com/file/d/1OG8E5Pn1onkznxHqdS8Ns7U3-J79LBQt/view?usp=drivesdk" TargetMode="External"/><Relationship Id="rId7638" Type="http://schemas.openxmlformats.org/officeDocument/2006/relationships/hyperlink" Target="https://drive.google.com/file/d/1VCcpEs3yQ3VOffouw-e7c4u1RbE4e1Bc/view?usp=drivesdk" TargetMode="External"/><Relationship Id="rId6307" Type="http://schemas.openxmlformats.org/officeDocument/2006/relationships/hyperlink" Target="https://drive.google.com/file/d/1RVxOqqVuXSVTRzgwvyGrI2kEQcymC0qC/view?usp=drivesdk" TargetMode="External"/><Relationship Id="rId7637" Type="http://schemas.openxmlformats.org/officeDocument/2006/relationships/hyperlink" Target="https://drive.google.com/file/d/1hCvzl-GVPB0QB0LrE7dM-Xi6EzPZ8J3K/view?usp=drivesdk" TargetMode="External"/><Relationship Id="rId6300" Type="http://schemas.openxmlformats.org/officeDocument/2006/relationships/hyperlink" Target="https://drive.google.com/file/d/1FxrwtkwhzPhynLkhZ1QaZvNJjY2a1iX1/view?usp=drivesdk" TargetMode="External"/><Relationship Id="rId7632" Type="http://schemas.openxmlformats.org/officeDocument/2006/relationships/hyperlink" Target="https://drive.google.com/file/d/1tgfHlYAjZzkowIgGNCejrC539fO_bcbW/view?usp=drivesdk" TargetMode="External"/><Relationship Id="rId6301" Type="http://schemas.openxmlformats.org/officeDocument/2006/relationships/hyperlink" Target="https://drive.google.com/file/d/16AhiZiD718JmmSj8s1NOyp7VgB7Dm7oA/view?usp=drivesdk" TargetMode="External"/><Relationship Id="rId7631" Type="http://schemas.openxmlformats.org/officeDocument/2006/relationships/hyperlink" Target="https://drive.google.com/file/d/10mU-mX0VcuHBEIc25ZAbNOK8XCVl0DQ2/view?usp=drivesdk" TargetMode="External"/><Relationship Id="rId7630" Type="http://schemas.openxmlformats.org/officeDocument/2006/relationships/hyperlink" Target="https://drive.google.com/file/d/1zF1_--vEDZf5C4g9PardAZwJwEuzcNAY/view?usp=drivesdk" TargetMode="External"/><Relationship Id="rId6304" Type="http://schemas.openxmlformats.org/officeDocument/2006/relationships/hyperlink" Target="https://drive.google.com/file/d/1_WPnhfSfWY94UWVBfoG0CIASBjAdPePw/view?usp=drivesdk" TargetMode="External"/><Relationship Id="rId7636" Type="http://schemas.openxmlformats.org/officeDocument/2006/relationships/hyperlink" Target="https://drive.google.com/file/d/1hTv1-4Jh9MP_OCjSwe_YWmaX-y9VvR8g/view?usp=drivesdk" TargetMode="External"/><Relationship Id="rId6305" Type="http://schemas.openxmlformats.org/officeDocument/2006/relationships/hyperlink" Target="https://drive.google.com/file/d/1stL1OMJAVgNwmS6ezLRtZSRzO4I7eBqu/view?usp=drivesdk" TargetMode="External"/><Relationship Id="rId7635" Type="http://schemas.openxmlformats.org/officeDocument/2006/relationships/hyperlink" Target="https://drive.google.com/file/d/16McHQDw5CNtK_OFhqIjTZ46hjcyukyDO/view?usp=drivesdk" TargetMode="External"/><Relationship Id="rId6302" Type="http://schemas.openxmlformats.org/officeDocument/2006/relationships/hyperlink" Target="https://drive.google.com/file/d/1eV7V4ox4c5PqnotYxkDCAzaTJ-fZYOxg/view?usp=drivesdk" TargetMode="External"/><Relationship Id="rId7634" Type="http://schemas.openxmlformats.org/officeDocument/2006/relationships/hyperlink" Target="https://drive.google.com/file/d/17T23SoU4zgJhsDMKpfyZFEYXUQG33Blt/view?usp=drivesdk" TargetMode="External"/><Relationship Id="rId6303" Type="http://schemas.openxmlformats.org/officeDocument/2006/relationships/hyperlink" Target="https://drive.google.com/file/d/1auPyfElZK0jJg9_YVH5CpHQwwjLkR2KL/view?usp=drivesdk" TargetMode="External"/><Relationship Id="rId7633" Type="http://schemas.openxmlformats.org/officeDocument/2006/relationships/hyperlink" Target="https://drive.google.com/file/d/1Qh9CFZ_GfFHs3X6GBvp8ZuYxt1J83mDW/view?usp=drivesdk" TargetMode="External"/><Relationship Id="rId7629" Type="http://schemas.openxmlformats.org/officeDocument/2006/relationships/hyperlink" Target="https://drive.google.com/file/d/1bUfSOuB0vb1528v1lwM2vFs_svhmRyJV/view?usp=drivesdk" TargetMode="External"/><Relationship Id="rId7628" Type="http://schemas.openxmlformats.org/officeDocument/2006/relationships/hyperlink" Target="https://drive.google.com/file/d/1rQ8Hu18FTVRbdBqLw-SG9lx9A3Igw7mC/view?usp=drivesdk" TargetMode="External"/><Relationship Id="rId7627" Type="http://schemas.openxmlformats.org/officeDocument/2006/relationships/hyperlink" Target="https://drive.google.com/file/d/1vhXXDw_PoXcw6ynLBo6dlqNqTdIx0ZyC/view?usp=drivesdk" TargetMode="External"/><Relationship Id="rId7626" Type="http://schemas.openxmlformats.org/officeDocument/2006/relationships/hyperlink" Target="https://drive.google.com/file/d/1pyBokoKq4OUhQlXgjcioHH_MOlkNMrpN/view?usp=drivesdk" TargetMode="External"/><Relationship Id="rId7621" Type="http://schemas.openxmlformats.org/officeDocument/2006/relationships/hyperlink" Target="https://drive.google.com/file/d/1X9lDqVjnZa-8JM2EJHGIn8Jk02OD-Fxj/view?usp=drivesdk" TargetMode="External"/><Relationship Id="rId7620" Type="http://schemas.openxmlformats.org/officeDocument/2006/relationships/hyperlink" Target="https://drive.google.com/file/d/1fx_S9WF2AJaq548zREmvVJV7qmSovkE7/view?usp=drivesdk" TargetMode="External"/><Relationship Id="rId7625" Type="http://schemas.openxmlformats.org/officeDocument/2006/relationships/hyperlink" Target="https://drive.google.com/file/d/1WOMxrl4z172zckhKHJ9XuKL1zNqdepIt/view?usp=drivesdk" TargetMode="External"/><Relationship Id="rId7624" Type="http://schemas.openxmlformats.org/officeDocument/2006/relationships/hyperlink" Target="https://drive.google.com/file/d/1ZWYSb8D5dW7kpNQ9cbvLoqWDOXBi1wci/view?usp=drivesdk" TargetMode="External"/><Relationship Id="rId7623" Type="http://schemas.openxmlformats.org/officeDocument/2006/relationships/hyperlink" Target="https://drive.google.com/file/d/1k8tVLP4zpuRurZqUWltoVf28CmfApHD_/view?usp=drivesdk" TargetMode="External"/><Relationship Id="rId7622" Type="http://schemas.openxmlformats.org/officeDocument/2006/relationships/hyperlink" Target="https://drive.google.com/file/d/1vD02m-XkFnW9lWvTd2AEC-2euei3spQA/view?usp=drivesdk" TargetMode="External"/><Relationship Id="rId6328" Type="http://schemas.openxmlformats.org/officeDocument/2006/relationships/hyperlink" Target="https://drive.google.com/file/d/16aa9A31yCc_BiKVDY97QsqW06ELqd4cj/view?usp=drivesdk" TargetMode="External"/><Relationship Id="rId6329" Type="http://schemas.openxmlformats.org/officeDocument/2006/relationships/hyperlink" Target="https://drive.google.com/file/d/1QsbQVNXQlrCY0G1sHPK4JrHQ2Hrikz4_/view?usp=drivesdk" TargetMode="External"/><Relationship Id="rId7659" Type="http://schemas.openxmlformats.org/officeDocument/2006/relationships/hyperlink" Target="https://drive.google.com/file/d/1GSv0MsGsVgpEPvFg7HG-B52I4sL5_tXX/view?usp=drivesdk" TargetMode="External"/><Relationship Id="rId7650" Type="http://schemas.openxmlformats.org/officeDocument/2006/relationships/hyperlink" Target="https://drive.google.com/file/d/1Jsx3HFeOkVT6SS6vJMSjladry_hKQSpH/view?usp=drivesdk" TargetMode="External"/><Relationship Id="rId6322" Type="http://schemas.openxmlformats.org/officeDocument/2006/relationships/hyperlink" Target="https://drive.google.com/file/d/1GC69DfCKPuKdcLLrVNcVV4dncXY4WOSr/view?usp=drivesdk" TargetMode="External"/><Relationship Id="rId7654" Type="http://schemas.openxmlformats.org/officeDocument/2006/relationships/hyperlink" Target="https://drive.google.com/file/d/1XybumMIEp6F-YH28X-A2K2A5JDON2xX5/view?usp=drivesdk" TargetMode="External"/><Relationship Id="rId6323" Type="http://schemas.openxmlformats.org/officeDocument/2006/relationships/hyperlink" Target="https://drive.google.com/file/d/1Voku5h5xJ3dmMOla8Zn0rjD8YaoGFhhC/view?usp=drivesdk" TargetMode="External"/><Relationship Id="rId7653" Type="http://schemas.openxmlformats.org/officeDocument/2006/relationships/hyperlink" Target="https://drive.google.com/file/d/1g3E4Jw4jPqZqLip0im2gPkEjwfBOCu3q/view?usp=drivesdk" TargetMode="External"/><Relationship Id="rId6320" Type="http://schemas.openxmlformats.org/officeDocument/2006/relationships/hyperlink" Target="https://drive.google.com/file/d/1k9qtfiuVEUUHiGcoDYJovaBLnIoSztPB/view?usp=drivesdk" TargetMode="External"/><Relationship Id="rId7652" Type="http://schemas.openxmlformats.org/officeDocument/2006/relationships/hyperlink" Target="https://drive.google.com/file/d/1by39YKDEOp2wyneMmq47bOVeIAmcROiy/view?usp=drivesdk" TargetMode="External"/><Relationship Id="rId6321" Type="http://schemas.openxmlformats.org/officeDocument/2006/relationships/hyperlink" Target="https://drive.google.com/file/d/1DhXCo1Mu6Sv2Vrj2Ne9hTR1ieBNY6Kwy/view?usp=drivesdk" TargetMode="External"/><Relationship Id="rId7651" Type="http://schemas.openxmlformats.org/officeDocument/2006/relationships/hyperlink" Target="https://drive.google.com/file/d/1hBFTdr-3xF_j_BCb5D-ru2dYOXZtNMdf/view?usp=drivesdk" TargetMode="External"/><Relationship Id="rId6326" Type="http://schemas.openxmlformats.org/officeDocument/2006/relationships/hyperlink" Target="https://drive.google.com/file/d/1B8e5587hfmDlasjS6ACAwW3h2196Lc7I/view?usp=drivesdk" TargetMode="External"/><Relationship Id="rId7658" Type="http://schemas.openxmlformats.org/officeDocument/2006/relationships/hyperlink" Target="https://drive.google.com/file/d/1cojE-_F2X0cPaUR_VKkjQYADYpp4GtiH/view?usp=drivesdk" TargetMode="External"/><Relationship Id="rId6327" Type="http://schemas.openxmlformats.org/officeDocument/2006/relationships/hyperlink" Target="https://drive.google.com/file/d/1b5HdCc5rbFgJ421POkfn8nQiGUjoavcm/view?usp=drivesdk" TargetMode="External"/><Relationship Id="rId7657" Type="http://schemas.openxmlformats.org/officeDocument/2006/relationships/hyperlink" Target="https://drive.google.com/file/d/1asc1dE9p35GydnCwbTPO-VqONNsOQlOi/view?usp=drivesdk" TargetMode="External"/><Relationship Id="rId6324" Type="http://schemas.openxmlformats.org/officeDocument/2006/relationships/hyperlink" Target="https://drive.google.com/file/d/1xZiTyiOmIr_rlKyfgbOVsKgrG1Fblr39/view?usp=drivesdk" TargetMode="External"/><Relationship Id="rId7656" Type="http://schemas.openxmlformats.org/officeDocument/2006/relationships/hyperlink" Target="https://drive.google.com/file/d/13V7KP2xzi93fkMlnJ2lBr3P8BOVrjhPr/view?usp=drivesdk" TargetMode="External"/><Relationship Id="rId6325" Type="http://schemas.openxmlformats.org/officeDocument/2006/relationships/hyperlink" Target="https://drive.google.com/file/d/1EHbANMJD2kh_yTCxXIP9ZIwgvATj1V9Y/view?usp=drivesdk" TargetMode="External"/><Relationship Id="rId7655" Type="http://schemas.openxmlformats.org/officeDocument/2006/relationships/hyperlink" Target="https://drive.google.com/file/d/1KHhq41hv81mOg32txwa5S5tNKq74dIqm/view?usp=drivesdk" TargetMode="External"/><Relationship Id="rId6319" Type="http://schemas.openxmlformats.org/officeDocument/2006/relationships/hyperlink" Target="https://drive.google.com/file/d/1sPz_LHXmoS_ff06_ccF9y5mgeXYyyeDr/view?usp=drivesdk" TargetMode="External"/><Relationship Id="rId6317" Type="http://schemas.openxmlformats.org/officeDocument/2006/relationships/hyperlink" Target="https://drive.google.com/file/d/1L_VmEWR7DrRd8Kidxgi6hVeTcLi02HX2/view?usp=drivesdk" TargetMode="External"/><Relationship Id="rId7649" Type="http://schemas.openxmlformats.org/officeDocument/2006/relationships/hyperlink" Target="https://drive.google.com/file/d/1DbeL5SnHfSsWLHsNVNsEycfYVG-LUeMq/view?usp=drivesdk" TargetMode="External"/><Relationship Id="rId6318" Type="http://schemas.openxmlformats.org/officeDocument/2006/relationships/hyperlink" Target="https://drive.google.com/file/d/1lZRYrrgPKU-kyLf0C_hOF7dzAFVkBlDu/view?usp=drivesdk" TargetMode="External"/><Relationship Id="rId7648" Type="http://schemas.openxmlformats.org/officeDocument/2006/relationships/hyperlink" Target="https://drive.google.com/file/d/1V2dG2CRGMZ5eqoSlY3YSYe00Uv6XcgDy/view?usp=drivesdk" TargetMode="External"/><Relationship Id="rId6311" Type="http://schemas.openxmlformats.org/officeDocument/2006/relationships/hyperlink" Target="https://drive.google.com/file/d/1dnrmaVHdi2DtHavk1LNU6lrPcZtQZ83f/view?usp=drivesdk" TargetMode="External"/><Relationship Id="rId7643" Type="http://schemas.openxmlformats.org/officeDocument/2006/relationships/hyperlink" Target="https://drive.google.com/file/d/1kwvZcSSuuoz_LKgiEHhAHdmAJCds_uKZ/view?usp=drivesdk" TargetMode="External"/><Relationship Id="rId6312" Type="http://schemas.openxmlformats.org/officeDocument/2006/relationships/hyperlink" Target="https://drive.google.com/file/d/1IY3gRQI_oI1seVDBJNyQ0n1LtAMx1182/view?usp=drivesdk" TargetMode="External"/><Relationship Id="rId7642" Type="http://schemas.openxmlformats.org/officeDocument/2006/relationships/hyperlink" Target="https://drive.google.com/file/d/1p0ngHgzT-ckwCcBDGvwRiLb0jFbwzVJ9/view?usp=drivesdk" TargetMode="External"/><Relationship Id="rId7641" Type="http://schemas.openxmlformats.org/officeDocument/2006/relationships/hyperlink" Target="https://drive.google.com/file/d/1oL5oDQeN0CFiWCn0H6hAS_a3WR-Cm1uU/view?usp=drivesdk" TargetMode="External"/><Relationship Id="rId6310" Type="http://schemas.openxmlformats.org/officeDocument/2006/relationships/hyperlink" Target="https://drive.google.com/file/d/1cBoJd8keRlmPCOSi0GYpsgDJyAboHyHd/view?usp=drivesdk" TargetMode="External"/><Relationship Id="rId7640" Type="http://schemas.openxmlformats.org/officeDocument/2006/relationships/hyperlink" Target="https://drive.google.com/file/d/1ERfgf6BRQ695cwWPDzylJORGb5kl7osw/view?usp=drivesdk" TargetMode="External"/><Relationship Id="rId6315" Type="http://schemas.openxmlformats.org/officeDocument/2006/relationships/hyperlink" Target="https://drive.google.com/file/d/1HUM-TXs7Aa0BEVpNKPMUQXOYH4fmTgXj/view?usp=drivesdk" TargetMode="External"/><Relationship Id="rId7647" Type="http://schemas.openxmlformats.org/officeDocument/2006/relationships/hyperlink" Target="https://drive.google.com/file/d/12sGbGim6rGdCQtqX2uNIh5R5696atq5K/view?usp=drivesdk" TargetMode="External"/><Relationship Id="rId6316" Type="http://schemas.openxmlformats.org/officeDocument/2006/relationships/hyperlink" Target="https://drive.google.com/file/d/1jnaojKGqOMD25QRyxtAGoznA1owvw_q3/view?usp=drivesdk" TargetMode="External"/><Relationship Id="rId7646" Type="http://schemas.openxmlformats.org/officeDocument/2006/relationships/hyperlink" Target="https://drive.google.com/file/d/1prCs4BDz5I3WBl5tminMpUQDBVnaJyTe/view?usp=drivesdk" TargetMode="External"/><Relationship Id="rId6313" Type="http://schemas.openxmlformats.org/officeDocument/2006/relationships/hyperlink" Target="https://drive.google.com/file/d/1iZR8koKMRpRMsM1U9F-BDXgChwCQVNpS/view?usp=drivesdk" TargetMode="External"/><Relationship Id="rId7645" Type="http://schemas.openxmlformats.org/officeDocument/2006/relationships/hyperlink" Target="https://drive.google.com/file/d/17sEr8FBGpK9ffCnNrwCrBZ95-I3N9zrR/view?usp=drivesdk" TargetMode="External"/><Relationship Id="rId6314" Type="http://schemas.openxmlformats.org/officeDocument/2006/relationships/hyperlink" Target="https://drive.google.com/file/d/18jHRpHJ1G5QYP7QFRMz7_iiAvadZ4kfu/view?usp=drivesdk" TargetMode="External"/><Relationship Id="rId7644" Type="http://schemas.openxmlformats.org/officeDocument/2006/relationships/hyperlink" Target="https://drive.google.com/file/d/1bOVkhGTFlbJyUdLgSNm3ZSmrT6PWLs6R/view?usp=drivesdk" TargetMode="External"/><Relationship Id="rId2820" Type="http://schemas.openxmlformats.org/officeDocument/2006/relationships/hyperlink" Target="https://drive.google.com/file/d/1eDWViQQ59u5IS9G3oHY6Lqdd5qR0rdZN/view?usp=drivesdk" TargetMode="External"/><Relationship Id="rId2821" Type="http://schemas.openxmlformats.org/officeDocument/2006/relationships/hyperlink" Target="https://drive.google.com/file/d/1Ia-y4i6hCnxyuMmmggoj6SCok6vNTZnF/view?usp=drivesdk" TargetMode="External"/><Relationship Id="rId2822" Type="http://schemas.openxmlformats.org/officeDocument/2006/relationships/hyperlink" Target="https://drive.google.com/file/d/1PZfXuqTf5wE9Y7WdJ0oz_ABTaAbazpMD/view?usp=drivesdk" TargetMode="External"/><Relationship Id="rId2823" Type="http://schemas.openxmlformats.org/officeDocument/2006/relationships/hyperlink" Target="https://drive.google.com/file/d/1NgJpF4PXjhlThbR2b1dDIn9g8xu9oyuV/view?usp=drivesdk" TargetMode="External"/><Relationship Id="rId2824" Type="http://schemas.openxmlformats.org/officeDocument/2006/relationships/hyperlink" Target="https://drive.google.com/file/d/1INlbO4g4m0NAeW5JaWVDfDYOf69ois_i/view?usp=drivesdk" TargetMode="External"/><Relationship Id="rId2825" Type="http://schemas.openxmlformats.org/officeDocument/2006/relationships/hyperlink" Target="https://drive.google.com/file/d/17PlpyPiTZkdOaIBxuaWOxmdoGzRLS1lV/view?usp=drivesdk" TargetMode="External"/><Relationship Id="rId2826" Type="http://schemas.openxmlformats.org/officeDocument/2006/relationships/hyperlink" Target="https://drive.google.com/file/d/1EaispDkksuOd9BFqcrIZTx_ao-fDOYGo/view?usp=drivesdk" TargetMode="External"/><Relationship Id="rId2827" Type="http://schemas.openxmlformats.org/officeDocument/2006/relationships/hyperlink" Target="https://drive.google.com/file/d/12qCJHxAxNgnYQWbWhEpU8ZVZFNvYqj6W/view?usp=drivesdk" TargetMode="External"/><Relationship Id="rId2828" Type="http://schemas.openxmlformats.org/officeDocument/2006/relationships/hyperlink" Target="https://drive.google.com/file/d/1YNmOANrjJu7A1omfxrdHvgwdd8TR8rmz/view?usp=drivesdk" TargetMode="External"/><Relationship Id="rId2829" Type="http://schemas.openxmlformats.org/officeDocument/2006/relationships/hyperlink" Target="https://drive.google.com/file/d/1bGuOLgc5FVf2J7fpAxyVcA6xYAPYw07L/view?usp=drivesdk" TargetMode="External"/><Relationship Id="rId5093" Type="http://schemas.openxmlformats.org/officeDocument/2006/relationships/hyperlink" Target="https://drive.google.com/file/d/1hpNWExtpXJu1n6PTbDTSfVl5_CfIuAxK/view?usp=drivesdk" TargetMode="External"/><Relationship Id="rId5094" Type="http://schemas.openxmlformats.org/officeDocument/2006/relationships/hyperlink" Target="https://drive.google.com/file/d/1U6am6zEyk0KsuG3kOkuTmaHbkfbsUADE/view?usp=drivesdk" TargetMode="External"/><Relationship Id="rId5091" Type="http://schemas.openxmlformats.org/officeDocument/2006/relationships/hyperlink" Target="https://drive.google.com/file/d/1Z1F42IEyZ3x7mT3-uxh-wlwquCyqm74H/view?usp=drivesdk" TargetMode="External"/><Relationship Id="rId5092" Type="http://schemas.openxmlformats.org/officeDocument/2006/relationships/hyperlink" Target="https://drive.google.com/file/d/1JvqxQEb_z_1KUWHkYdTsU3xFqLzy0wC8/view?usp=drivesdk" TargetMode="External"/><Relationship Id="rId5097" Type="http://schemas.openxmlformats.org/officeDocument/2006/relationships/hyperlink" Target="https://drive.google.com/file/d/1rfK8nDLn8kslPdc2BgJumGLObSNCCG9R/view?usp=drivesdk" TargetMode="External"/><Relationship Id="rId5098" Type="http://schemas.openxmlformats.org/officeDocument/2006/relationships/hyperlink" Target="https://drive.google.com/file/d/1PiqJReYsnT1v1kor-WriRqSx9LXJmBKw/view?usp=drivesdk" TargetMode="External"/><Relationship Id="rId5095" Type="http://schemas.openxmlformats.org/officeDocument/2006/relationships/hyperlink" Target="https://drive.google.com/file/d/1FFuxpztmzajT9XyGxn2ENJX-3rSSKrEJ/view?usp=drivesdk" TargetMode="External"/><Relationship Id="rId5096" Type="http://schemas.openxmlformats.org/officeDocument/2006/relationships/hyperlink" Target="https://drive.google.com/file/d/1zV0CleaQX58U1Dgl8uh4xccxS3lDgiHH/view?usp=drivesdk" TargetMode="External"/><Relationship Id="rId5099" Type="http://schemas.openxmlformats.org/officeDocument/2006/relationships/hyperlink" Target="https://drive.google.com/file/d/1Dx4FnZwbJXq5ggANwlLxNQ8Rwn6lnUn5/view?usp=drivesdk" TargetMode="External"/><Relationship Id="rId2810" Type="http://schemas.openxmlformats.org/officeDocument/2006/relationships/hyperlink" Target="https://drive.google.com/file/d/1ma45jFLUObWt6VU3UljWexqeLhiXuvxx/view?usp=drivesdk" TargetMode="External"/><Relationship Id="rId2811" Type="http://schemas.openxmlformats.org/officeDocument/2006/relationships/hyperlink" Target="https://drive.google.com/file/d/1zOXl34M-OMg2ldjip839a_vrMPLGGqDv/view?usp=drivesdk" TargetMode="External"/><Relationship Id="rId2812" Type="http://schemas.openxmlformats.org/officeDocument/2006/relationships/hyperlink" Target="https://drive.google.com/file/d/1GVz1VerureXYoso3QhsFDV0BQEFaOwas/view?usp=drivesdk" TargetMode="External"/><Relationship Id="rId2813" Type="http://schemas.openxmlformats.org/officeDocument/2006/relationships/hyperlink" Target="https://drive.google.com/file/d/1oy0SaBDBESMkuwcuJGqbQIEHhsDM1OjF/view?usp=drivesdk" TargetMode="External"/><Relationship Id="rId2814" Type="http://schemas.openxmlformats.org/officeDocument/2006/relationships/hyperlink" Target="https://drive.google.com/file/d/1uYkvujLeD72imXb-aUk1EMtL8DcELZOm/view?usp=drivesdk" TargetMode="External"/><Relationship Id="rId2815" Type="http://schemas.openxmlformats.org/officeDocument/2006/relationships/hyperlink" Target="https://drive.google.com/file/d/1pWlrwYpHQdRd1K2oPk-ilvKU1Yz0xV-m/view?usp=drivesdk" TargetMode="External"/><Relationship Id="rId2816" Type="http://schemas.openxmlformats.org/officeDocument/2006/relationships/hyperlink" Target="https://drive.google.com/file/d/16zTrrYK6KdfqTQukv6nsWT5d8u_A3ovK/view?usp=drivesdk" TargetMode="External"/><Relationship Id="rId2817" Type="http://schemas.openxmlformats.org/officeDocument/2006/relationships/hyperlink" Target="https://drive.google.com/file/d/1L0o3rLYYD9hHKIaNOX-twxvOU_Rhdy9M/view?usp=drivesdk" TargetMode="External"/><Relationship Id="rId2818" Type="http://schemas.openxmlformats.org/officeDocument/2006/relationships/hyperlink" Target="https://drive.google.com/file/d/1yUOaRNV3cj07oJgEUwbImNYRf9TPlzKD/view?usp=drivesdk" TargetMode="External"/><Relationship Id="rId2819" Type="http://schemas.openxmlformats.org/officeDocument/2006/relationships/hyperlink" Target="https://drive.google.com/file/d/14VjcqD_lZf_xUNh7A38yJI-0-Rj_W5sc/view?usp=drivesdk" TargetMode="External"/><Relationship Id="rId5090" Type="http://schemas.openxmlformats.org/officeDocument/2006/relationships/hyperlink" Target="https://drive.google.com/file/d/1rX4C0or12EsBXFgZTtf9aB8-G4ySLOdx/view?usp=drivesdk" TargetMode="External"/><Relationship Id="rId5082" Type="http://schemas.openxmlformats.org/officeDocument/2006/relationships/hyperlink" Target="https://drive.google.com/file/d/1riCYo_x-YhhJpN5LJ3wQlulNqLyRulGG/view?usp=drivesdk" TargetMode="External"/><Relationship Id="rId5083" Type="http://schemas.openxmlformats.org/officeDocument/2006/relationships/hyperlink" Target="https://drive.google.com/file/d/1A6jpZRoHHG1P1VwoBGsFasXLE3ZxXVXn/view?usp=drivesdk" TargetMode="External"/><Relationship Id="rId5080" Type="http://schemas.openxmlformats.org/officeDocument/2006/relationships/hyperlink" Target="https://drive.google.com/file/d/1oDi3v-dXldMOjjicFm2IjAM-erjBM1Hh/view?usp=drivesdk" TargetMode="External"/><Relationship Id="rId5081" Type="http://schemas.openxmlformats.org/officeDocument/2006/relationships/hyperlink" Target="https://drive.google.com/file/d/1V88gYP1J44YF3m2258jAzHBN8VtChiLk/view?usp=drivesdk" TargetMode="External"/><Relationship Id="rId5086" Type="http://schemas.openxmlformats.org/officeDocument/2006/relationships/hyperlink" Target="https://drive.google.com/file/d/1dw_qrB7bEmpfoDyXKV6Hmwe33d8BED5-/view?usp=drivesdk" TargetMode="External"/><Relationship Id="rId5087" Type="http://schemas.openxmlformats.org/officeDocument/2006/relationships/hyperlink" Target="https://drive.google.com/file/d/1IvXc2aguzp-oNG2RVygYqJLteKQcqUUO/view?usp=drivesdk" TargetMode="External"/><Relationship Id="rId5084" Type="http://schemas.openxmlformats.org/officeDocument/2006/relationships/hyperlink" Target="https://drive.google.com/file/d/1B1xNxctjvnYcGjRckA1s_RpCCuL4Jj5U/view?usp=drivesdk" TargetMode="External"/><Relationship Id="rId5085" Type="http://schemas.openxmlformats.org/officeDocument/2006/relationships/hyperlink" Target="https://drive.google.com/file/d/1Lb9OBuYSwHMHRNzseItPE70DkvjVJSZh/view?usp=drivesdk" TargetMode="External"/><Relationship Id="rId5088" Type="http://schemas.openxmlformats.org/officeDocument/2006/relationships/hyperlink" Target="https://drive.google.com/file/d/19EptwAoGqZi8a6zkBrUO70cUxreMOzn0/view?usp=drivesdk" TargetMode="External"/><Relationship Id="rId5089" Type="http://schemas.openxmlformats.org/officeDocument/2006/relationships/hyperlink" Target="https://drive.google.com/file/d/1dH9iqKuobb3bNcj0QEaWZWpKgI9Cxi-x/view?usp=drivesdk" TargetMode="External"/><Relationship Id="rId1510" Type="http://schemas.openxmlformats.org/officeDocument/2006/relationships/hyperlink" Target="https://drive.google.com/file/d/1Y4mybGj-MHwBpH_7dlR3h2wY54PduXAi/view?usp=drivesdk" TargetMode="External"/><Relationship Id="rId2841" Type="http://schemas.openxmlformats.org/officeDocument/2006/relationships/hyperlink" Target="https://drive.google.com/file/d/1v3MYNfF6aUgn6bKjhRCBP6D3q6k7ghle/view?usp=drivesdk" TargetMode="External"/><Relationship Id="rId1511" Type="http://schemas.openxmlformats.org/officeDocument/2006/relationships/hyperlink" Target="https://drive.google.com/file/d/1tP_weSdU-UjmLFsAZQsQGXZge82T1g1C/view?usp=drivesdk" TargetMode="External"/><Relationship Id="rId2842" Type="http://schemas.openxmlformats.org/officeDocument/2006/relationships/hyperlink" Target="https://drive.google.com/file/d/1DVHoDll8X3xr-UK4N5lNYMn8kyC3W-V4/view?usp=drivesdk" TargetMode="External"/><Relationship Id="rId1512" Type="http://schemas.openxmlformats.org/officeDocument/2006/relationships/hyperlink" Target="https://drive.google.com/file/d/1Zn7nEiVllmLKwzOfc3NyBK19-1hUbS19/view?usp=drivesdk" TargetMode="External"/><Relationship Id="rId2843" Type="http://schemas.openxmlformats.org/officeDocument/2006/relationships/hyperlink" Target="https://drive.google.com/file/d/1T1094e1Q4rkunKQibGSdxLHiNBeOWjla/view?usp=drivesdk" TargetMode="External"/><Relationship Id="rId1513" Type="http://schemas.openxmlformats.org/officeDocument/2006/relationships/hyperlink" Target="https://drive.google.com/file/d/1aHA5dP-6zzXtWGkAoSgDiBfMzWXtUqux/view?usp=drivesdk" TargetMode="External"/><Relationship Id="rId2844" Type="http://schemas.openxmlformats.org/officeDocument/2006/relationships/hyperlink" Target="https://drive.google.com/file/d/1HHkqK3M2rhkgKR82cWTyHhGG3ffmtPw1/view?usp=drivesdk" TargetMode="External"/><Relationship Id="rId1514" Type="http://schemas.openxmlformats.org/officeDocument/2006/relationships/hyperlink" Target="https://drive.google.com/file/d/1kFBHA0rbCmP6FNliItWTAeHDE4Ud0OgU/view?usp=drivesdk" TargetMode="External"/><Relationship Id="rId2845" Type="http://schemas.openxmlformats.org/officeDocument/2006/relationships/hyperlink" Target="https://drive.google.com/file/d/1DJbcHyIMdXuLRLMxvkvZYpc5Ly5SecpU/view?usp=drivesdk" TargetMode="External"/><Relationship Id="rId1515" Type="http://schemas.openxmlformats.org/officeDocument/2006/relationships/hyperlink" Target="https://drive.google.com/file/d/14j-ciXEiL1LYcgPC7r65WheA9c6fr3GU/view?usp=drivesdk" TargetMode="External"/><Relationship Id="rId2846" Type="http://schemas.openxmlformats.org/officeDocument/2006/relationships/hyperlink" Target="https://drive.google.com/file/d/1VFc4v3qN8AnS7BbfNpH-giYOzG_kD6lx/view?usp=drivesdk" TargetMode="External"/><Relationship Id="rId1516" Type="http://schemas.openxmlformats.org/officeDocument/2006/relationships/hyperlink" Target="https://drive.google.com/file/d/1H0FVkD6HSWM-McnnW7bXJhdh_XlDyn0o/view?usp=drivesdk" TargetMode="External"/><Relationship Id="rId2847" Type="http://schemas.openxmlformats.org/officeDocument/2006/relationships/hyperlink" Target="https://drive.google.com/file/d/1l6oYBnaA53FcMGCuTn9afRbv9hfuqc8p/view?usp=drivesdk" TargetMode="External"/><Relationship Id="rId1517" Type="http://schemas.openxmlformats.org/officeDocument/2006/relationships/hyperlink" Target="https://drive.google.com/file/d/1YElrLlsF51osBy1Ov8ncNjbe_h4SLcXB/view?usp=drivesdk" TargetMode="External"/><Relationship Id="rId2848" Type="http://schemas.openxmlformats.org/officeDocument/2006/relationships/hyperlink" Target="https://drive.google.com/file/d/1a27nGRhwosUX8TeRkBIWV3P54DS0_EtS/view?usp=drivesdk" TargetMode="External"/><Relationship Id="rId1518" Type="http://schemas.openxmlformats.org/officeDocument/2006/relationships/hyperlink" Target="https://drive.google.com/file/d/1vjkqJdZHR72AybDfAS8cvnG2zbd-RhSn/view?usp=drivesdk" TargetMode="External"/><Relationship Id="rId2849" Type="http://schemas.openxmlformats.org/officeDocument/2006/relationships/hyperlink" Target="https://drive.google.com/file/d/1ZVVb09ZUQ8BaSrK-gSL45ruBCKL2xlTo/view?usp=drivesdk" TargetMode="External"/><Relationship Id="rId1519" Type="http://schemas.openxmlformats.org/officeDocument/2006/relationships/hyperlink" Target="https://drive.google.com/file/d/1ImLgSCZZ4v6AC5UfSY--X-hhsfUn-Oyo/view?usp=drivesdk" TargetMode="External"/><Relationship Id="rId2840" Type="http://schemas.openxmlformats.org/officeDocument/2006/relationships/hyperlink" Target="https://drive.google.com/file/d/103d__loBFiyxQ0lnfWlT-jvIEaYH987s/view?usp=drivesdk" TargetMode="External"/><Relationship Id="rId2830" Type="http://schemas.openxmlformats.org/officeDocument/2006/relationships/hyperlink" Target="https://drive.google.com/file/d/1JX00PwsDaH5jogHgiLXp665PtwmI3bLS/view?usp=drivesdk" TargetMode="External"/><Relationship Id="rId1500" Type="http://schemas.openxmlformats.org/officeDocument/2006/relationships/hyperlink" Target="https://drive.google.com/file/d/1EORgJOEQVwEyDS8TzNuiT6QmmYGQGZwI/view?usp=drivesdk" TargetMode="External"/><Relationship Id="rId2831" Type="http://schemas.openxmlformats.org/officeDocument/2006/relationships/hyperlink" Target="https://drive.google.com/file/d/1FH3N5wmdSnBePjHgkGKyM10pH28_QtzH/view?usp=drivesdk" TargetMode="External"/><Relationship Id="rId1501" Type="http://schemas.openxmlformats.org/officeDocument/2006/relationships/hyperlink" Target="https://drive.google.com/file/d/1GTybb2bVvMEXxEtAAxaidhCe_CKlU99W/view?usp=drivesdk" TargetMode="External"/><Relationship Id="rId2832" Type="http://schemas.openxmlformats.org/officeDocument/2006/relationships/hyperlink" Target="https://drive.google.com/file/d/19uooOyypQMN7pi7onW1VoQkB0Cdz45iI/view?usp=drivesdk" TargetMode="External"/><Relationship Id="rId1502" Type="http://schemas.openxmlformats.org/officeDocument/2006/relationships/hyperlink" Target="https://drive.google.com/file/d/1JjiHlimxDnCNyME1knZwW34RrqRMp-qT/view?usp=drivesdk" TargetMode="External"/><Relationship Id="rId2833" Type="http://schemas.openxmlformats.org/officeDocument/2006/relationships/hyperlink" Target="https://drive.google.com/file/d/18edwGJdCw4fu2mgAGkpeRRNHPr7MjU2f/view?usp=drivesdk" TargetMode="External"/><Relationship Id="rId1503" Type="http://schemas.openxmlformats.org/officeDocument/2006/relationships/hyperlink" Target="https://drive.google.com/file/d/1Wpq6ACh_fI4in2k4ZjJRXCoev6wSfSmW/view?usp=drivesdk" TargetMode="External"/><Relationship Id="rId2834" Type="http://schemas.openxmlformats.org/officeDocument/2006/relationships/hyperlink" Target="https://drive.google.com/file/d/1o9i16MRd8K4LBdBVT5byaPkySFVZ5YSP/view?usp=drivesdk" TargetMode="External"/><Relationship Id="rId1504" Type="http://schemas.openxmlformats.org/officeDocument/2006/relationships/hyperlink" Target="https://drive.google.com/file/d/1jUXXgiw5ecexKZB03djmZEIsP72zpTGH/view?usp=drivesdk" TargetMode="External"/><Relationship Id="rId2835" Type="http://schemas.openxmlformats.org/officeDocument/2006/relationships/hyperlink" Target="https://drive.google.com/file/d/1eu0sto1bncrqxYkr31y2nDnqpgXDP_pO/view?usp=drivesdk" TargetMode="External"/><Relationship Id="rId1505" Type="http://schemas.openxmlformats.org/officeDocument/2006/relationships/hyperlink" Target="https://drive.google.com/file/d/15PG3ItfqA1mO1lRkhWaCOK4c2PdLVBzC/view?usp=drivesdk" TargetMode="External"/><Relationship Id="rId2836" Type="http://schemas.openxmlformats.org/officeDocument/2006/relationships/hyperlink" Target="https://drive.google.com/file/d/1hMZX6ZonzDT9sDmYyrWny_8P0nboBnGG/view?usp=drivesdk" TargetMode="External"/><Relationship Id="rId1506" Type="http://schemas.openxmlformats.org/officeDocument/2006/relationships/hyperlink" Target="https://drive.google.com/file/d/1lMi5Zf4ar9UabwPs0l_eVFJ1BpGsIKiQ/view?usp=drivesdk" TargetMode="External"/><Relationship Id="rId2837" Type="http://schemas.openxmlformats.org/officeDocument/2006/relationships/hyperlink" Target="https://drive.google.com/file/d/1-zi3Sp_HyjptYQz3c2xTFcgNIZVNQC2B/view?usp=drivesdk" TargetMode="External"/><Relationship Id="rId1507" Type="http://schemas.openxmlformats.org/officeDocument/2006/relationships/hyperlink" Target="https://drive.google.com/file/d/1zoIntICNHgYj8bPdtOoa300zWFX64R3-/view?usp=drivesdk" TargetMode="External"/><Relationship Id="rId2838" Type="http://schemas.openxmlformats.org/officeDocument/2006/relationships/hyperlink" Target="https://drive.google.com/file/d/1bKwVZziZikU-SFnhdcEji2BqYbGn82Xb/view?usp=drivesdk" TargetMode="External"/><Relationship Id="rId1508" Type="http://schemas.openxmlformats.org/officeDocument/2006/relationships/hyperlink" Target="https://drive.google.com/file/d/19H-veVugHmMcGX5f5pkifO5UHHDxn3Z5/view?usp=drivesdk" TargetMode="External"/><Relationship Id="rId2839" Type="http://schemas.openxmlformats.org/officeDocument/2006/relationships/hyperlink" Target="https://drive.google.com/file/d/1xKNNpdtRPtMZsLaN5fkkBHdJGkOpgdBi/view?usp=drivesdk" TargetMode="External"/><Relationship Id="rId1509" Type="http://schemas.openxmlformats.org/officeDocument/2006/relationships/hyperlink" Target="https://drive.google.com/file/d/1w8KG68PlSpQOpwEP2SY_IOgeQ5LA3h3N/view?usp=drivesdk" TargetMode="External"/><Relationship Id="rId6380" Type="http://schemas.openxmlformats.org/officeDocument/2006/relationships/hyperlink" Target="https://drive.google.com/file/d/1im8-joCMNFD53daeHUkXdKcKH_jGiEzv/view?usp=drivesdk" TargetMode="External"/><Relationship Id="rId5050" Type="http://schemas.openxmlformats.org/officeDocument/2006/relationships/hyperlink" Target="https://drive.google.com/file/d/1MmnQf7Z-YZnmUWVQ_oGwJfjFfDdxd5E8/view?usp=drivesdk" TargetMode="External"/><Relationship Id="rId6381" Type="http://schemas.openxmlformats.org/officeDocument/2006/relationships/hyperlink" Target="https://drive.google.com/file/d/1lNa3HY6aiMC7AWvWo0xiAbnhNSorqabT/view?usp=drivesdk" TargetMode="External"/><Relationship Id="rId5053" Type="http://schemas.openxmlformats.org/officeDocument/2006/relationships/hyperlink" Target="https://drive.google.com/file/d/1zaSBkxMlmnz6gfaA7R7pqoJJUCZd_GOo/view?usp=drivesdk" TargetMode="External"/><Relationship Id="rId6384" Type="http://schemas.openxmlformats.org/officeDocument/2006/relationships/hyperlink" Target="https://drive.google.com/file/d/1pyknxLA4pVg0ekTHWUS6mx4lMab-F4JW/view?usp=drivesdk" TargetMode="External"/><Relationship Id="rId5054" Type="http://schemas.openxmlformats.org/officeDocument/2006/relationships/hyperlink" Target="https://drive.google.com/file/d/1K49ax5nfkJQHq8iKr4b5WZADLj3GDVgI/view?usp=drivesdk" TargetMode="External"/><Relationship Id="rId6385" Type="http://schemas.openxmlformats.org/officeDocument/2006/relationships/hyperlink" Target="https://drive.google.com/file/d/1DaUbXcUGEIaLpknwkD9ZXcGPrKF_araG/view?usp=drivesdk" TargetMode="External"/><Relationship Id="rId5051" Type="http://schemas.openxmlformats.org/officeDocument/2006/relationships/hyperlink" Target="https://drive.google.com/file/d/1gG12429wuinc4sxNLvSQUBf5jLiH5p1t/view?usp=drivesdk" TargetMode="External"/><Relationship Id="rId6382" Type="http://schemas.openxmlformats.org/officeDocument/2006/relationships/hyperlink" Target="https://drive.google.com/file/d/1i9yQemsJrSPO9QjHGh-tAXddeD0Q3rm9/view?usp=drivesdk" TargetMode="External"/><Relationship Id="rId5052" Type="http://schemas.openxmlformats.org/officeDocument/2006/relationships/hyperlink" Target="https://drive.google.com/file/d/1rfwC7g-IKzW1pWiiOD987EFlY1L-1wFW/view?usp=drivesdk" TargetMode="External"/><Relationship Id="rId6383" Type="http://schemas.openxmlformats.org/officeDocument/2006/relationships/hyperlink" Target="https://drive.google.com/file/d/1Vttk5_B-Dg87_G9mM8lL49dREPLsnr3q/view?usp=drivesdk" TargetMode="External"/><Relationship Id="rId5057" Type="http://schemas.openxmlformats.org/officeDocument/2006/relationships/hyperlink" Target="https://drive.google.com/file/d/1i-3E5CXilnSsSAxfQfCfTzIx9FeHvkOb/view?usp=drivesdk" TargetMode="External"/><Relationship Id="rId6388" Type="http://schemas.openxmlformats.org/officeDocument/2006/relationships/hyperlink" Target="https://drive.google.com/file/d/1lRh2ZruN4hsxXj5YkhcZeerm6wV_D6Wy/view?usp=drivesdk" TargetMode="External"/><Relationship Id="rId5058" Type="http://schemas.openxmlformats.org/officeDocument/2006/relationships/hyperlink" Target="https://drive.google.com/file/d/11cwHnFQ48OuaKsfiB5oT9Wvdu6709pcO/view?usp=drivesdk" TargetMode="External"/><Relationship Id="rId6389" Type="http://schemas.openxmlformats.org/officeDocument/2006/relationships/hyperlink" Target="https://drive.google.com/file/d/1oy9upi9wgogkY4Y-SLh_tJRJ03diVqlm/view?usp=drivesdk" TargetMode="External"/><Relationship Id="rId5055" Type="http://schemas.openxmlformats.org/officeDocument/2006/relationships/hyperlink" Target="https://drive.google.com/file/d/1oG6SgqBdoKVzKKQuUZMPRXReMIvXTeOm/view?usp=drivesdk" TargetMode="External"/><Relationship Id="rId6386" Type="http://schemas.openxmlformats.org/officeDocument/2006/relationships/hyperlink" Target="https://drive.google.com/file/d/1KaLvfcGGvNHB6lkvrpqNZ-paOOknVTJh/view?usp=drivesdk" TargetMode="External"/><Relationship Id="rId5056" Type="http://schemas.openxmlformats.org/officeDocument/2006/relationships/hyperlink" Target="https://drive.google.com/file/d/1wGZob4e33bYuDp1TbMJeouWvIQP37m_O/view?usp=drivesdk" TargetMode="External"/><Relationship Id="rId6387" Type="http://schemas.openxmlformats.org/officeDocument/2006/relationships/hyperlink" Target="https://drive.google.com/file/d/1uSUF-uAUO12F_9VsDyJTIJT1TsDeVTiR/view?usp=drivesdk" TargetMode="External"/><Relationship Id="rId5059" Type="http://schemas.openxmlformats.org/officeDocument/2006/relationships/hyperlink" Target="https://drive.google.com/file/d/1OVqhjsKjDUSmn3UnwtjqGAGkLp9Ibh_E/view?usp=drivesdk" TargetMode="External"/><Relationship Id="rId6370" Type="http://schemas.openxmlformats.org/officeDocument/2006/relationships/hyperlink" Target="https://drive.google.com/file/d/1jISfVRokReyelHw7H5DEpM7ywJwpy-Q-/view?usp=drivesdk" TargetMode="External"/><Relationship Id="rId5042" Type="http://schemas.openxmlformats.org/officeDocument/2006/relationships/hyperlink" Target="https://drive.google.com/file/d/1y04UC8CM2PWfwY9dqePIEyHHnmmBfUV-/view?usp=drivesdk" TargetMode="External"/><Relationship Id="rId6373" Type="http://schemas.openxmlformats.org/officeDocument/2006/relationships/hyperlink" Target="https://drive.google.com/file/d/1afnwoj2MnT_gUQkRtJE8EEjNQ05_Tn17/view?usp=drivesdk" TargetMode="External"/><Relationship Id="rId5043" Type="http://schemas.openxmlformats.org/officeDocument/2006/relationships/hyperlink" Target="https://drive.google.com/file/d/1-0MvXUYFRApmMd5DM4F1ARH_rI5-xhKg/view?usp=drivesdk" TargetMode="External"/><Relationship Id="rId6374" Type="http://schemas.openxmlformats.org/officeDocument/2006/relationships/hyperlink" Target="https://drive.google.com/file/d/1CYm7baFHrDFlp3Yzsnak4x6k-nwAHTL5/view?usp=drivesdk" TargetMode="External"/><Relationship Id="rId5040" Type="http://schemas.openxmlformats.org/officeDocument/2006/relationships/hyperlink" Target="https://drive.google.com/file/d/1F1HLX_tgSBzfhH5dZS9rNoOG7kFHJkUn/view?usp=drivesdk" TargetMode="External"/><Relationship Id="rId6371" Type="http://schemas.openxmlformats.org/officeDocument/2006/relationships/hyperlink" Target="https://drive.google.com/file/d/1B1RMxeYjePfb2rNYs1BzABwFyLy-1fJV/view?usp=drivesdk" TargetMode="External"/><Relationship Id="rId5041" Type="http://schemas.openxmlformats.org/officeDocument/2006/relationships/hyperlink" Target="https://drive.google.com/file/d/1aRp5C_sJ-IbMGCl0EZQ54uZEoyl5bJL0/view?usp=drivesdk" TargetMode="External"/><Relationship Id="rId6372" Type="http://schemas.openxmlformats.org/officeDocument/2006/relationships/hyperlink" Target="https://drive.google.com/file/d/1Oie8oM0le3rtpbrXtmXP4lMzZk4C1mmh/view?usp=drivesdk" TargetMode="External"/><Relationship Id="rId5046" Type="http://schemas.openxmlformats.org/officeDocument/2006/relationships/hyperlink" Target="https://drive.google.com/file/d/1Bvqa_pocxFSXWXx0RlpY6pQBF46Z7BwC/view?usp=drivesdk" TargetMode="External"/><Relationship Id="rId6377" Type="http://schemas.openxmlformats.org/officeDocument/2006/relationships/hyperlink" Target="https://drive.google.com/file/d/1L9nwIeieRNFQ4VNjAgh5cNEwkHB-XQUR/view?usp=drivesdk" TargetMode="External"/><Relationship Id="rId5047" Type="http://schemas.openxmlformats.org/officeDocument/2006/relationships/hyperlink" Target="https://drive.google.com/file/d/1BbOUdXKp4EhUv89tzxBqAaYueZ54VQE4/view?usp=drivesdk" TargetMode="External"/><Relationship Id="rId6378" Type="http://schemas.openxmlformats.org/officeDocument/2006/relationships/hyperlink" Target="https://drive.google.com/file/d/1ccCh5K4EgIDT0ITEEMGQfNFfj1zBEqST/view?usp=drivesdk" TargetMode="External"/><Relationship Id="rId5044" Type="http://schemas.openxmlformats.org/officeDocument/2006/relationships/hyperlink" Target="https://drive.google.com/file/d/1pN2glfhSuUwD6mBq0OkLGfAV38XHuqL9/view?usp=drivesdk" TargetMode="External"/><Relationship Id="rId6375" Type="http://schemas.openxmlformats.org/officeDocument/2006/relationships/hyperlink" Target="https://drive.google.com/file/d/1bcDN9zANrCKcLS2JqC4E1v2_5TgCO8eS/view?usp=drivesdk" TargetMode="External"/><Relationship Id="rId5045" Type="http://schemas.openxmlformats.org/officeDocument/2006/relationships/hyperlink" Target="https://drive.google.com/file/d/1NOMhoOw-bGAzWeM1EfSbFep3115gqsRO/view?usp=drivesdk" TargetMode="External"/><Relationship Id="rId6376" Type="http://schemas.openxmlformats.org/officeDocument/2006/relationships/hyperlink" Target="https://drive.google.com/file/d/1n9ToBR6w1n9DRvKhAUhwneNC7NiL6yea/view?usp=drivesdk" TargetMode="External"/><Relationship Id="rId5048" Type="http://schemas.openxmlformats.org/officeDocument/2006/relationships/hyperlink" Target="https://drive.google.com/file/d/1H_OG_GTTgOSpes3jvfqfwl24sgYozdkD/view?usp=drivesdk" TargetMode="External"/><Relationship Id="rId6379" Type="http://schemas.openxmlformats.org/officeDocument/2006/relationships/hyperlink" Target="https://drive.google.com/file/d/1H7Gs0tHc1bDCAtSy0Tu-vFgDnUejEHoL/view?usp=drivesdk" TargetMode="External"/><Relationship Id="rId5049" Type="http://schemas.openxmlformats.org/officeDocument/2006/relationships/hyperlink" Target="https://drive.google.com/file/d/1o-KWUbUYk2ZtmWwXNvTYfpZex7DZMWQ8/view?usp=drivesdk" TargetMode="External"/><Relationship Id="rId2800" Type="http://schemas.openxmlformats.org/officeDocument/2006/relationships/hyperlink" Target="https://drive.google.com/file/d/1ZtJIbHLxusttXomKgMZLPHX05Vn5MhT7/view?usp=drivesdk" TargetMode="External"/><Relationship Id="rId2801" Type="http://schemas.openxmlformats.org/officeDocument/2006/relationships/hyperlink" Target="https://drive.google.com/file/d/1o9I9OjqH3YEH28kngEN7OUpp5n7Aiua7/view?usp=drivesdk" TargetMode="External"/><Relationship Id="rId2802" Type="http://schemas.openxmlformats.org/officeDocument/2006/relationships/hyperlink" Target="https://drive.google.com/file/d/1ZBQ6ABCxSvCTKJjTjXbRPqd3FdMsnqGh/view?usp=drivesdk" TargetMode="External"/><Relationship Id="rId2803" Type="http://schemas.openxmlformats.org/officeDocument/2006/relationships/hyperlink" Target="https://drive.google.com/file/d/1jRXR-y67-wkc0Vh6BEhMcDlF_Bk4f2BE/view?usp=drivesdk" TargetMode="External"/><Relationship Id="rId2804" Type="http://schemas.openxmlformats.org/officeDocument/2006/relationships/hyperlink" Target="https://drive.google.com/file/d/18DFGGe3vFZx9JdNbwxXcKcEUX889UKMA/view?usp=drivesdk" TargetMode="External"/><Relationship Id="rId2805" Type="http://schemas.openxmlformats.org/officeDocument/2006/relationships/hyperlink" Target="https://drive.google.com/file/d/1mpQK0YahHyKoE_w2O1PjdpxOlGCYghwo/view?usp=drivesdk" TargetMode="External"/><Relationship Id="rId2806" Type="http://schemas.openxmlformats.org/officeDocument/2006/relationships/hyperlink" Target="https://drive.google.com/file/d/1rgpeLlxBRnGevBnN_ZYA8edQ79m6vCn3/view?usp=drivesdk" TargetMode="External"/><Relationship Id="rId2807" Type="http://schemas.openxmlformats.org/officeDocument/2006/relationships/hyperlink" Target="https://drive.google.com/file/d/11_7pie6vR2afsIN_PS13M7sIkAg_j8h-/view?usp=drivesdk" TargetMode="External"/><Relationship Id="rId2808" Type="http://schemas.openxmlformats.org/officeDocument/2006/relationships/hyperlink" Target="https://drive.google.com/file/d/1hi2P_GKohDYGM7V71Mapg0v-ZfqmEhjO/view?usp=drivesdk" TargetMode="External"/><Relationship Id="rId2809" Type="http://schemas.openxmlformats.org/officeDocument/2006/relationships/hyperlink" Target="https://drive.google.com/file/d/1SmmcPsx6MFKUdx6c9gwZfYeXyXtpS2on/view?usp=drivesdk" TargetMode="External"/><Relationship Id="rId5071" Type="http://schemas.openxmlformats.org/officeDocument/2006/relationships/hyperlink" Target="https://drive.google.com/file/d/1UA4CC532p_4Oez04n2Y0rEO9fR68S-_7/view?usp=drivesdk" TargetMode="External"/><Relationship Id="rId5072" Type="http://schemas.openxmlformats.org/officeDocument/2006/relationships/hyperlink" Target="https://drive.google.com/file/d/1yQ98tbn3cTTBMphvpwqIaI-4fMIBEVNE/view?usp=drivesdk" TargetMode="External"/><Relationship Id="rId5070" Type="http://schemas.openxmlformats.org/officeDocument/2006/relationships/hyperlink" Target="https://drive.google.com/file/d/1xWMLLl8wASVXumUe8SH4jt-xrDjhgcBb/view?usp=drivesdk" TargetMode="External"/><Relationship Id="rId5075" Type="http://schemas.openxmlformats.org/officeDocument/2006/relationships/hyperlink" Target="https://drive.google.com/file/d/1AuqzNZpKCPwWneKDcpK5t1PsaVAocxZF/view?usp=drivesdk" TargetMode="External"/><Relationship Id="rId5076" Type="http://schemas.openxmlformats.org/officeDocument/2006/relationships/hyperlink" Target="https://drive.google.com/file/d/1cv8t9ITZnqZQxzWFRZ-7bs4JgNTjhjIm/view?usp=drivesdk" TargetMode="External"/><Relationship Id="rId5073" Type="http://schemas.openxmlformats.org/officeDocument/2006/relationships/hyperlink" Target="https://drive.google.com/file/d/1SJFB7tsAB22Em_05YLWgB-nZ8WX5MVIM/view?usp=drivesdk" TargetMode="External"/><Relationship Id="rId5074" Type="http://schemas.openxmlformats.org/officeDocument/2006/relationships/hyperlink" Target="https://drive.google.com/file/d/1ldYR9UI2JsH7cmqSNVIAqOczhFflVCIP/view?usp=drivesdk" TargetMode="External"/><Relationship Id="rId5079" Type="http://schemas.openxmlformats.org/officeDocument/2006/relationships/hyperlink" Target="https://drive.google.com/file/d/1Ub8o6QSgeG579aJWsyC0PuOqUFJvzZTD/view?usp=drivesdk" TargetMode="External"/><Relationship Id="rId5077" Type="http://schemas.openxmlformats.org/officeDocument/2006/relationships/hyperlink" Target="https://drive.google.com/file/d/1lpzq5rORQm4O3EAjmDxEr8IvtT0o9n86/view?usp=drivesdk" TargetMode="External"/><Relationship Id="rId5078" Type="http://schemas.openxmlformats.org/officeDocument/2006/relationships/hyperlink" Target="https://drive.google.com/file/d/1HqDeIlLdFIS3Youe-Wf5oEcBXXjc6CjC/view?usp=drivesdk" TargetMode="External"/><Relationship Id="rId5060" Type="http://schemas.openxmlformats.org/officeDocument/2006/relationships/hyperlink" Target="https://drive.google.com/file/d/1KEm0K0_AaDBWl0TfrRMhSVq0yL_342yR/view?usp=drivesdk" TargetMode="External"/><Relationship Id="rId6391" Type="http://schemas.openxmlformats.org/officeDocument/2006/relationships/hyperlink" Target="https://drive.google.com/file/d/1_8zpBZ7F1fKylcrJBvW0aoEeMXTsx3IY/view?usp=drivesdk" TargetMode="External"/><Relationship Id="rId5061" Type="http://schemas.openxmlformats.org/officeDocument/2006/relationships/hyperlink" Target="https://drive.google.com/file/d/19qFHD7kjgY3PrgCm8tqTb1qczPRBmOsd/view?usp=drivesdk" TargetMode="External"/><Relationship Id="rId6392" Type="http://schemas.openxmlformats.org/officeDocument/2006/relationships/hyperlink" Target="https://drive.google.com/file/d/1zvKtmb4lkd4rQ109icygRMHjggOcPWE4/view?usp=drivesdk" TargetMode="External"/><Relationship Id="rId6390" Type="http://schemas.openxmlformats.org/officeDocument/2006/relationships/hyperlink" Target="https://drive.google.com/file/d/1xreftT6trFsbgoNBdRtFsPFzX8K4fpg0/view?usp=drivesdk" TargetMode="External"/><Relationship Id="rId5064" Type="http://schemas.openxmlformats.org/officeDocument/2006/relationships/hyperlink" Target="https://drive.google.com/file/d/19-DmraMq7-ySRFoD_Jj2isTzSUJEznZo/view?usp=drivesdk" TargetMode="External"/><Relationship Id="rId6395" Type="http://schemas.openxmlformats.org/officeDocument/2006/relationships/hyperlink" Target="https://drive.google.com/file/d/1ESUygTptd0tffYeifK4wunBUJFdihFAX/view?usp=drivesdk" TargetMode="External"/><Relationship Id="rId5065" Type="http://schemas.openxmlformats.org/officeDocument/2006/relationships/hyperlink" Target="https://drive.google.com/file/d/1ixrFfuRzbhRTb_8gyzUFX1LRWqF80DEX/view?usp=drivesdk" TargetMode="External"/><Relationship Id="rId6396" Type="http://schemas.openxmlformats.org/officeDocument/2006/relationships/hyperlink" Target="https://drive.google.com/file/d/1J4BqBFhRQwn3y21toIBbVpQTDE09CbHV/view?usp=drivesdk" TargetMode="External"/><Relationship Id="rId5062" Type="http://schemas.openxmlformats.org/officeDocument/2006/relationships/hyperlink" Target="https://drive.google.com/file/d/1m86SpbFIyon3pvFfMGFp6m-13LXE-OVO/view?usp=drivesdk" TargetMode="External"/><Relationship Id="rId6393" Type="http://schemas.openxmlformats.org/officeDocument/2006/relationships/hyperlink" Target="https://drive.google.com/file/d/154P7PJM8u0Gpb9vqL23-MXVyLYPoDOhV/view?usp=drivesdk" TargetMode="External"/><Relationship Id="rId5063" Type="http://schemas.openxmlformats.org/officeDocument/2006/relationships/hyperlink" Target="https://drive.google.com/file/d/1m8rbnpJzuNmWJDqNvQtgZjxJ0EBsyvto/view?usp=drivesdk" TargetMode="External"/><Relationship Id="rId6394" Type="http://schemas.openxmlformats.org/officeDocument/2006/relationships/hyperlink" Target="https://drive.google.com/file/d/1l1N1dk_cBvE2epMX-wCQc6V5XM7vhNI0/view?usp=drivesdk" TargetMode="External"/><Relationship Id="rId5068" Type="http://schemas.openxmlformats.org/officeDocument/2006/relationships/hyperlink" Target="https://drive.google.com/file/d/1mK4mmG6dKrWAaoEiLKZBjp10CGCamOFu/view?usp=drivesdk" TargetMode="External"/><Relationship Id="rId6399" Type="http://schemas.openxmlformats.org/officeDocument/2006/relationships/hyperlink" Target="https://drive.google.com/file/d/1FRzUg4Y1DPT0p7ctjfA5sH3GsLY8k1zU/view?usp=drivesdk" TargetMode="External"/><Relationship Id="rId5069" Type="http://schemas.openxmlformats.org/officeDocument/2006/relationships/hyperlink" Target="https://drive.google.com/file/d/1wARMN3bE1FHx4_3JFBCUsicQWNyk53NJ/view?usp=drivesdk" TargetMode="External"/><Relationship Id="rId5066" Type="http://schemas.openxmlformats.org/officeDocument/2006/relationships/hyperlink" Target="https://drive.google.com/file/d/1FTtodXdhaTfTMuHlREaBumSBunKiamYC/view?usp=drivesdk" TargetMode="External"/><Relationship Id="rId6397" Type="http://schemas.openxmlformats.org/officeDocument/2006/relationships/hyperlink" Target="https://drive.google.com/file/d/1f5Jpoo3BYotK9_3aSGBJNTuTxN23xtFm/view?usp=drivesdk" TargetMode="External"/><Relationship Id="rId5067" Type="http://schemas.openxmlformats.org/officeDocument/2006/relationships/hyperlink" Target="https://drive.google.com/file/d/194E8yXwGGgH3zfieHVjUIvGwB5Pyb-nD/view?usp=drivesdk" TargetMode="External"/><Relationship Id="rId6398" Type="http://schemas.openxmlformats.org/officeDocument/2006/relationships/hyperlink" Target="https://drive.google.com/file/d/1vbFTtd3YbjxGicuHHX_s7PwysG49JX_1/view?usp=drivesdk" TargetMode="External"/><Relationship Id="rId1576" Type="http://schemas.openxmlformats.org/officeDocument/2006/relationships/hyperlink" Target="https://drive.google.com/file/d/1gxM8BgK7HVbHgdeTChXtScEgpmKWrTXq/view?usp=drivesdk" TargetMode="External"/><Relationship Id="rId1577" Type="http://schemas.openxmlformats.org/officeDocument/2006/relationships/hyperlink" Target="https://drive.google.com/file/d/1K3emJw4DbStCMXoc1KQWbjrOWjjQ3Gsp/view?usp=drivesdk" TargetMode="External"/><Relationship Id="rId1578" Type="http://schemas.openxmlformats.org/officeDocument/2006/relationships/hyperlink" Target="https://drive.google.com/file/d/196fYmBD-PyhCqnxI-kI_EpU9nq6I1gI1/view?usp=drivesdk" TargetMode="External"/><Relationship Id="rId1579" Type="http://schemas.openxmlformats.org/officeDocument/2006/relationships/hyperlink" Target="https://drive.google.com/file/d/1cmGZVNaACB3KeOHiagZkRzDygAOpocfm/view?usp=drivesdk" TargetMode="External"/><Relationship Id="rId987" Type="http://schemas.openxmlformats.org/officeDocument/2006/relationships/hyperlink" Target="https://drive.google.com/file/d/1hMNa0IIW5dJN7640Roz7ZPlDpjQ4g42a/view?usp=drivesdk" TargetMode="External"/><Relationship Id="rId986" Type="http://schemas.openxmlformats.org/officeDocument/2006/relationships/hyperlink" Target="https://drive.google.com/file/d/1lY-JzliW0QvF9EWeUGQgANTLGnmJx26S/view?usp=drivesdk" TargetMode="External"/><Relationship Id="rId985" Type="http://schemas.openxmlformats.org/officeDocument/2006/relationships/hyperlink" Target="https://drive.google.com/file/d/1z-fHHY5m0imXKwwMEewOZzlYkerRJ8iL/view?usp=drivesdk" TargetMode="External"/><Relationship Id="rId984" Type="http://schemas.openxmlformats.org/officeDocument/2006/relationships/hyperlink" Target="https://drive.google.com/file/d/1gQI2G86oWnDm2tIricYOZbecUUNJoZBB/view?usp=drivesdk" TargetMode="External"/><Relationship Id="rId989" Type="http://schemas.openxmlformats.org/officeDocument/2006/relationships/hyperlink" Target="https://drive.google.com/file/d/1b4Z8kXNYZAiamGpflqEVVPFSUkQCBUmC/view?usp=drivesdk" TargetMode="External"/><Relationship Id="rId988" Type="http://schemas.openxmlformats.org/officeDocument/2006/relationships/hyperlink" Target="https://drive.google.com/file/d/16PQrDgrgsfVr33XxmdLEEseuL2pHi-89/view?usp=drivesdk" TargetMode="External"/><Relationship Id="rId1570" Type="http://schemas.openxmlformats.org/officeDocument/2006/relationships/hyperlink" Target="https://drive.google.com/file/d/1PtIKmdIxAWlMB4gGC9gEzoukdtal1-wx/view?usp=drivesdk" TargetMode="External"/><Relationship Id="rId1571" Type="http://schemas.openxmlformats.org/officeDocument/2006/relationships/hyperlink" Target="https://drive.google.com/file/d/1QejMcgjIQVfapUHW_XJixJKHkBT6p8Ib/view?usp=drivesdk" TargetMode="External"/><Relationship Id="rId983" Type="http://schemas.openxmlformats.org/officeDocument/2006/relationships/hyperlink" Target="https://drive.google.com/file/d/1Fmyr6UBeUeb_FOi3mFIjF4ISoG5SbiHK/view?usp=drivesdk" TargetMode="External"/><Relationship Id="rId1572" Type="http://schemas.openxmlformats.org/officeDocument/2006/relationships/hyperlink" Target="https://drive.google.com/file/d/1KYT5KoJM5n2fRF-S3LX6PkTnn0_YSCKf/view?usp=drivesdk" TargetMode="External"/><Relationship Id="rId982" Type="http://schemas.openxmlformats.org/officeDocument/2006/relationships/hyperlink" Target="https://drive.google.com/file/d/1Gd2_UpsRtQiAkZVYkcGZmXkFDM8cZGgr/view?usp=drivesdk" TargetMode="External"/><Relationship Id="rId1573" Type="http://schemas.openxmlformats.org/officeDocument/2006/relationships/hyperlink" Target="https://drive.google.com/file/d/1PWfjAZ_c9Pv_L590ntM2cndTCM9AZWge/view?usp=drivesdk" TargetMode="External"/><Relationship Id="rId981" Type="http://schemas.openxmlformats.org/officeDocument/2006/relationships/hyperlink" Target="https://drive.google.com/file/d/12TN6H3LvgvDnZR8pWQZghAxg57UY4shP/view?usp=drivesdk" TargetMode="External"/><Relationship Id="rId1574" Type="http://schemas.openxmlformats.org/officeDocument/2006/relationships/hyperlink" Target="https://drive.google.com/file/d/1zVrV1FEqtBO4wdXDcJGQ6IjKxTIGP4TS/view?usp=drivesdk" TargetMode="External"/><Relationship Id="rId980" Type="http://schemas.openxmlformats.org/officeDocument/2006/relationships/hyperlink" Target="https://drive.google.com/file/d/123POp9xZBfp9IUBq9k9Y5AdkX_8CJond/view?usp=drivesdk" TargetMode="External"/><Relationship Id="rId1575" Type="http://schemas.openxmlformats.org/officeDocument/2006/relationships/hyperlink" Target="https://drive.google.com/file/d/190Nk7a-JO7KMLRgrAPDk2xLlolciLG3M/view?usp=drivesdk" TargetMode="External"/><Relationship Id="rId1565" Type="http://schemas.openxmlformats.org/officeDocument/2006/relationships/hyperlink" Target="https://drive.google.com/file/d/1P3rdExeeUPVOdDDZLTKE_RpusQSV9XdQ/view?usp=drivesdk" TargetMode="External"/><Relationship Id="rId2896" Type="http://schemas.openxmlformats.org/officeDocument/2006/relationships/hyperlink" Target="https://drive.google.com/file/d/1Sx4tlVKaI98E433X_vM0rfWZm1Q5EfMv/view?usp=drivesdk" TargetMode="External"/><Relationship Id="rId1566" Type="http://schemas.openxmlformats.org/officeDocument/2006/relationships/hyperlink" Target="https://drive.google.com/file/d/1IVCSMw3NTj1u0UgrIua0zAp3Wbpn-FG6/view?usp=drivesdk" TargetMode="External"/><Relationship Id="rId2897" Type="http://schemas.openxmlformats.org/officeDocument/2006/relationships/hyperlink" Target="https://drive.google.com/file/d/1BAcLyqhiKLfCX6HCebLxmwhoVIBchLfB/view?usp=drivesdk" TargetMode="External"/><Relationship Id="rId1567" Type="http://schemas.openxmlformats.org/officeDocument/2006/relationships/hyperlink" Target="https://drive.google.com/file/d/115vbKgVskG3LCxz8xr52y-B-5ym0Ns4W/view?usp=drivesdk" TargetMode="External"/><Relationship Id="rId2898" Type="http://schemas.openxmlformats.org/officeDocument/2006/relationships/hyperlink" Target="https://drive.google.com/file/d/1jGUhlzWp-pqy2WKaBYNvl-321ISgG4Ra/view?usp=drivesdk" TargetMode="External"/><Relationship Id="rId1568" Type="http://schemas.openxmlformats.org/officeDocument/2006/relationships/hyperlink" Target="https://drive.google.com/file/d/1P7STTLWAFMh4JrP4JCMkLS-XuaAbErkz/view?usp=drivesdk" TargetMode="External"/><Relationship Id="rId2899" Type="http://schemas.openxmlformats.org/officeDocument/2006/relationships/hyperlink" Target="https://drive.google.com/file/d/1946go_MKgJZP3eqKxNENmWQDgdZ1wqUz/view?usp=drivesdk" TargetMode="External"/><Relationship Id="rId1569" Type="http://schemas.openxmlformats.org/officeDocument/2006/relationships/hyperlink" Target="https://drive.google.com/file/d/1lNA4Cuk9LJrV_lNCawyfcEGCl6Ekq8EW/view?usp=drivesdk" TargetMode="External"/><Relationship Id="rId976" Type="http://schemas.openxmlformats.org/officeDocument/2006/relationships/hyperlink" Target="https://drive.google.com/file/d/1XCFQYusigHiCBpjm3UJHK7jgCN4sSbmD/view?usp=drivesdk" TargetMode="External"/><Relationship Id="rId975" Type="http://schemas.openxmlformats.org/officeDocument/2006/relationships/hyperlink" Target="https://drive.google.com/file/d/1bh8Jt1DIZMa8SGpVLYlugZbt2jiktldL/view?usp=drivesdk" TargetMode="External"/><Relationship Id="rId974" Type="http://schemas.openxmlformats.org/officeDocument/2006/relationships/hyperlink" Target="https://drive.google.com/file/d/1-RwD38iKtyoKE7Vb32SM8AKEoRu1k1cJ/view?usp=drivesdk" TargetMode="External"/><Relationship Id="rId973" Type="http://schemas.openxmlformats.org/officeDocument/2006/relationships/hyperlink" Target="https://drive.google.com/file/d/1_flAYf6Nyvd41jQQauvMs6tTalJ_qw8D/view?usp=drivesdk" TargetMode="External"/><Relationship Id="rId979" Type="http://schemas.openxmlformats.org/officeDocument/2006/relationships/hyperlink" Target="https://drive.google.com/file/d/1cvops_5ik6dyitlYBk2nsU1_slBequ_E/view?usp=drivesdk" TargetMode="External"/><Relationship Id="rId978" Type="http://schemas.openxmlformats.org/officeDocument/2006/relationships/hyperlink" Target="https://drive.google.com/file/d/1O0gwGHw2CgwszJGN5dc2b-sebiD-Jssb/view?usp=drivesdk" TargetMode="External"/><Relationship Id="rId977" Type="http://schemas.openxmlformats.org/officeDocument/2006/relationships/hyperlink" Target="https://drive.google.com/file/d/1G-OQrXFIYlnmLj5GPBfIBnmACq3KJpNu/view?usp=drivesdk" TargetMode="External"/><Relationship Id="rId2890" Type="http://schemas.openxmlformats.org/officeDocument/2006/relationships/hyperlink" Target="https://drive.google.com/file/d/1XiTJH6OwD963bKdxKg_U0mZbso6y3LOG/view?usp=drivesdk" TargetMode="External"/><Relationship Id="rId1560" Type="http://schemas.openxmlformats.org/officeDocument/2006/relationships/hyperlink" Target="https://drive.google.com/file/d/18LMGkG9Y3ERdCTvf8iLA3vlgVWVGnKL4/view?usp=drivesdk" TargetMode="External"/><Relationship Id="rId2891" Type="http://schemas.openxmlformats.org/officeDocument/2006/relationships/hyperlink" Target="https://drive.google.com/file/d/1tKYtoG9oRGHumID91PN12uY30XtnZzeb/view?usp=drivesdk" TargetMode="External"/><Relationship Id="rId972" Type="http://schemas.openxmlformats.org/officeDocument/2006/relationships/hyperlink" Target="https://drive.google.com/file/d/1hvFwkewXsMV5-O2vP1xDc0OgBu0snR0b/view?usp=drivesdk" TargetMode="External"/><Relationship Id="rId1561" Type="http://schemas.openxmlformats.org/officeDocument/2006/relationships/hyperlink" Target="https://drive.google.com/file/d/1kFVy3SKfw6FIbQ1S8H1igssGJAN5prfA/view?usp=drivesdk" TargetMode="External"/><Relationship Id="rId2892" Type="http://schemas.openxmlformats.org/officeDocument/2006/relationships/hyperlink" Target="https://drive.google.com/file/d/1JtHdw62TTs-Mi8rF5g20fF_axBY_hxD9/view?usp=drivesdk" TargetMode="External"/><Relationship Id="rId971" Type="http://schemas.openxmlformats.org/officeDocument/2006/relationships/hyperlink" Target="https://drive.google.com/file/d/1J_y93TX-pQlOeME-7wRLcnzJEfRhi5HH/view?usp=drivesdk" TargetMode="External"/><Relationship Id="rId1562" Type="http://schemas.openxmlformats.org/officeDocument/2006/relationships/hyperlink" Target="https://drive.google.com/file/d/1CGkpUcfi8nY2rD4l6pq-x8D095SFHC8m/view?usp=drivesdk" TargetMode="External"/><Relationship Id="rId2893" Type="http://schemas.openxmlformats.org/officeDocument/2006/relationships/hyperlink" Target="https://drive.google.com/file/d/1WPCcxU8vBRH--_YWPRIwAxdFrK9QOCjo/view?usp=drivesdk" TargetMode="External"/><Relationship Id="rId970" Type="http://schemas.openxmlformats.org/officeDocument/2006/relationships/hyperlink" Target="https://drive.google.com/file/d/1YWtM31TgcuVWOOvZoxzxgUOhAoXR9f0m/view?usp=drivesdk" TargetMode="External"/><Relationship Id="rId1563" Type="http://schemas.openxmlformats.org/officeDocument/2006/relationships/hyperlink" Target="https://drive.google.com/file/d/1eOas9eusj51B3CYwDZwRODScCOJxZa6t/view?usp=drivesdk" TargetMode="External"/><Relationship Id="rId2894" Type="http://schemas.openxmlformats.org/officeDocument/2006/relationships/hyperlink" Target="https://drive.google.com/file/d/1Seu2W0qMNa9mST5RY8YGnIqt5Q9Act3i/view?usp=drivesdk" TargetMode="External"/><Relationship Id="rId1564" Type="http://schemas.openxmlformats.org/officeDocument/2006/relationships/hyperlink" Target="https://drive.google.com/file/d/1y7rKy69yH0MBAU_C6jJPLaWwJZP01Tcj/view?usp=drivesdk" TargetMode="External"/><Relationship Id="rId2895" Type="http://schemas.openxmlformats.org/officeDocument/2006/relationships/hyperlink" Target="https://drive.google.com/file/d/1zx11BNBlYsl36ePqPkGDbyfHQsAJCynJ/view?usp=drivesdk" TargetMode="External"/><Relationship Id="rId1598" Type="http://schemas.openxmlformats.org/officeDocument/2006/relationships/hyperlink" Target="https://drive.google.com/file/d/1tdpLaQ9E24ulFra7-XTuVJgQ04Kn0lsu/view?usp=drivesdk" TargetMode="External"/><Relationship Id="rId1599" Type="http://schemas.openxmlformats.org/officeDocument/2006/relationships/hyperlink" Target="https://drive.google.com/file/d/1R-6Nj2lb34dcDIQClnpVBLOaOjzFvBc0/view?usp=drivesdk" TargetMode="External"/><Relationship Id="rId1590" Type="http://schemas.openxmlformats.org/officeDocument/2006/relationships/hyperlink" Target="https://drive.google.com/file/d/13bLnU11LPFskj--DULmSyv9cZP-rzxd0/view?usp=drivesdk" TargetMode="External"/><Relationship Id="rId1591" Type="http://schemas.openxmlformats.org/officeDocument/2006/relationships/hyperlink" Target="https://drive.google.com/file/d/1tcG96F35XdGeM_PrPNQ1_yKYexTs-Bzj/view?usp=drivesdk" TargetMode="External"/><Relationship Id="rId1592" Type="http://schemas.openxmlformats.org/officeDocument/2006/relationships/hyperlink" Target="https://drive.google.com/file/d/1eG9aYvoiiqtZ5B5rnOei2LZjn9YqJ7AW/view?usp=drivesdk" TargetMode="External"/><Relationship Id="rId1593" Type="http://schemas.openxmlformats.org/officeDocument/2006/relationships/hyperlink" Target="https://drive.google.com/file/d/1PRsKGvKAWZRRLE6q6zW1Imgk_uurbQlo/view?usp=drivesdk" TargetMode="External"/><Relationship Id="rId1594" Type="http://schemas.openxmlformats.org/officeDocument/2006/relationships/hyperlink" Target="https://drive.google.com/file/d/1wd6kb3UwlKCEKNMBcnOnMD0LA-OhTnQw/view?usp=drivesdk" TargetMode="External"/><Relationship Id="rId1595" Type="http://schemas.openxmlformats.org/officeDocument/2006/relationships/hyperlink" Target="https://drive.google.com/file/d/1FET9XQPhXVrtxbTNJ9IlNmHgoXZ6grpF/view?usp=drivesdk" TargetMode="External"/><Relationship Id="rId1596" Type="http://schemas.openxmlformats.org/officeDocument/2006/relationships/hyperlink" Target="https://drive.google.com/file/d/1ktg51-eWmt6Q4sHmGofHiXfkBksk-oAt/view?usp=drivesdk" TargetMode="External"/><Relationship Id="rId1597" Type="http://schemas.openxmlformats.org/officeDocument/2006/relationships/hyperlink" Target="https://drive.google.com/file/d/1UQF_g-2OP1dwC6__MCiGwEM5e6S5L8ax/view?usp=drivesdk" TargetMode="External"/><Relationship Id="rId1587" Type="http://schemas.openxmlformats.org/officeDocument/2006/relationships/hyperlink" Target="https://drive.google.com/file/d/1OdcpzB39JvPF9x-3avksUcw6UK5dsbhB/view?usp=drivesdk" TargetMode="External"/><Relationship Id="rId1588" Type="http://schemas.openxmlformats.org/officeDocument/2006/relationships/hyperlink" Target="https://drive.google.com/file/d/1LI2eRelL7Ja75PwxdjwxCq3s6GvHJJES/view?usp=drivesdk" TargetMode="External"/><Relationship Id="rId1589" Type="http://schemas.openxmlformats.org/officeDocument/2006/relationships/hyperlink" Target="https://drive.google.com/file/d/1MJvdU1IZNrJugnCJ0Ht8wRAV1t0kgpAf/view?usp=drivesdk" TargetMode="External"/><Relationship Id="rId998" Type="http://schemas.openxmlformats.org/officeDocument/2006/relationships/hyperlink" Target="https://drive.google.com/file/d/1TJJM4OnECviehgc8WurqwvVjosA6ofsm/view?usp=drivesdk" TargetMode="External"/><Relationship Id="rId997" Type="http://schemas.openxmlformats.org/officeDocument/2006/relationships/hyperlink" Target="https://drive.google.com/file/d/1APuHJEs4R8D7uuBECTH7Ehc8IH8-Gwzg/view?usp=drivesdk" TargetMode="External"/><Relationship Id="rId996" Type="http://schemas.openxmlformats.org/officeDocument/2006/relationships/hyperlink" Target="https://drive.google.com/file/d/1VVcsJlXtVcmEl6XQC5eeqMMmtVOhHbXl/view?usp=drivesdk" TargetMode="External"/><Relationship Id="rId995" Type="http://schemas.openxmlformats.org/officeDocument/2006/relationships/hyperlink" Target="https://drive.google.com/file/d/1NxXmfCfGqbVU9Lq9HTFLOCmpYKKBcshj/view?usp=drivesdk" TargetMode="External"/><Relationship Id="rId999" Type="http://schemas.openxmlformats.org/officeDocument/2006/relationships/hyperlink" Target="https://drive.google.com/file/d/1TXxa0bhQ4Ty5diPp4Ogya5wHPXTzKmf8/view?usp=drivesdk" TargetMode="External"/><Relationship Id="rId990" Type="http://schemas.openxmlformats.org/officeDocument/2006/relationships/hyperlink" Target="https://drive.google.com/file/d/1izsGYhVbGVjZyHewC64kesb-O-DPKaIG/view?usp=drivesdk" TargetMode="External"/><Relationship Id="rId1580" Type="http://schemas.openxmlformats.org/officeDocument/2006/relationships/hyperlink" Target="https://drive.google.com/file/d/1vtjcrBgYKAdrYTTvEFSJc5Ht9f2cjqc4/view?usp=drivesdk" TargetMode="External"/><Relationship Id="rId1581" Type="http://schemas.openxmlformats.org/officeDocument/2006/relationships/hyperlink" Target="https://drive.google.com/file/d/1JGyYUZZrpRlgCZf529H56rZa4IUH5C-o/view?usp=drivesdk" TargetMode="External"/><Relationship Id="rId1582" Type="http://schemas.openxmlformats.org/officeDocument/2006/relationships/hyperlink" Target="https://drive.google.com/file/d/1PPhoZJmdy51GKy7k1PuyCEbk3z_LkhBC/view?usp=drivesdk" TargetMode="External"/><Relationship Id="rId994" Type="http://schemas.openxmlformats.org/officeDocument/2006/relationships/hyperlink" Target="https://drive.google.com/file/d/1d5gVc25ECOhnflJCs0r2iqxB7UwBn6E6/view?usp=drivesdk" TargetMode="External"/><Relationship Id="rId1583" Type="http://schemas.openxmlformats.org/officeDocument/2006/relationships/hyperlink" Target="https://drive.google.com/file/d/1CmxiCZhKKC76r0Q9mWDan0G_pqqe4e4S/view?usp=drivesdk" TargetMode="External"/><Relationship Id="rId993" Type="http://schemas.openxmlformats.org/officeDocument/2006/relationships/hyperlink" Target="https://drive.google.com/file/d/194aC96PJ4JQKU43XB-xuBNHZyF9SIgw4/view?usp=drivesdk" TargetMode="External"/><Relationship Id="rId1584" Type="http://schemas.openxmlformats.org/officeDocument/2006/relationships/hyperlink" Target="https://drive.google.com/file/d/1H6eNvfb8i7eY4IzdTmkPOyF-bu3adcqm/view?usp=drivesdk" TargetMode="External"/><Relationship Id="rId992" Type="http://schemas.openxmlformats.org/officeDocument/2006/relationships/hyperlink" Target="https://drive.google.com/file/d/1Ya4--59eGokUhBobj-LcajD4JCku2QR6/view?usp=drivesdk" TargetMode="External"/><Relationship Id="rId1585" Type="http://schemas.openxmlformats.org/officeDocument/2006/relationships/hyperlink" Target="https://drive.google.com/file/d/1h3NZz4_cTYox8BNyQf2KcqgL4NJQ-9Au/view?usp=drivesdk" TargetMode="External"/><Relationship Id="rId991" Type="http://schemas.openxmlformats.org/officeDocument/2006/relationships/hyperlink" Target="https://drive.google.com/file/d/1MbMRlzVPtxH0mUh4GUfEB-b8OzQDe-8b/view?usp=drivesdk" TargetMode="External"/><Relationship Id="rId1586" Type="http://schemas.openxmlformats.org/officeDocument/2006/relationships/hyperlink" Target="https://drive.google.com/file/d/1NWp3rUN3Jcy-eSNcQAeemJdrpTYupLNF/view?usp=drivesdk" TargetMode="External"/><Relationship Id="rId1532" Type="http://schemas.openxmlformats.org/officeDocument/2006/relationships/hyperlink" Target="https://drive.google.com/file/d/1UhVGPYHA0z6dN8399V8QzhtBqpWi2Qzp/view?usp=drivesdk" TargetMode="External"/><Relationship Id="rId2863" Type="http://schemas.openxmlformats.org/officeDocument/2006/relationships/hyperlink" Target="https://drive.google.com/file/d/1aSVBnc7AlqbOb7LyBlzPLAr0CAB7Hfvz/view?usp=drivesdk" TargetMode="External"/><Relationship Id="rId1533" Type="http://schemas.openxmlformats.org/officeDocument/2006/relationships/hyperlink" Target="https://drive.google.com/file/d/1HRseGaM9aB3vyIME_9tDLEtcBtgfQSWE/view?usp=drivesdk" TargetMode="External"/><Relationship Id="rId2864" Type="http://schemas.openxmlformats.org/officeDocument/2006/relationships/hyperlink" Target="https://drive.google.com/file/d/1lOmZkNyuzLeMX5OoVcJ-V8Tg63V_r9BB/view?usp=drivesdk" TargetMode="External"/><Relationship Id="rId1534" Type="http://schemas.openxmlformats.org/officeDocument/2006/relationships/hyperlink" Target="https://drive.google.com/file/d/1HJAF9A6USfUwKGfaXvfSXpo2DlDQSQpI/view?usp=drivesdk" TargetMode="External"/><Relationship Id="rId2865" Type="http://schemas.openxmlformats.org/officeDocument/2006/relationships/hyperlink" Target="https://drive.google.com/file/d/1WgrCquJLitb7TB4tfMaatI5jl3SVc8G_/view?usp=drivesdk" TargetMode="External"/><Relationship Id="rId1535" Type="http://schemas.openxmlformats.org/officeDocument/2006/relationships/hyperlink" Target="https://drive.google.com/file/d/1zB0vVk7tUctB8B4SvVVe-nc456d6eEsv/view?usp=drivesdk" TargetMode="External"/><Relationship Id="rId2866" Type="http://schemas.openxmlformats.org/officeDocument/2006/relationships/hyperlink" Target="https://drive.google.com/file/d/1p99Fha5u3dd_ozKnGDwML2IA2gOJ6dJX/view?usp=drivesdk" TargetMode="External"/><Relationship Id="rId1536" Type="http://schemas.openxmlformats.org/officeDocument/2006/relationships/hyperlink" Target="https://drive.google.com/file/d/1YMWQIWrqUNs0ZPkv92JUTICNiaVAl-Te/view?usp=drivesdk" TargetMode="External"/><Relationship Id="rId2867" Type="http://schemas.openxmlformats.org/officeDocument/2006/relationships/hyperlink" Target="https://drive.google.com/file/d/1uQHQM1xmwXs3gVFECMqqEIQ4Rt267SpL/view?usp=drivesdk" TargetMode="External"/><Relationship Id="rId1537" Type="http://schemas.openxmlformats.org/officeDocument/2006/relationships/hyperlink" Target="https://drive.google.com/file/d/1ybH7wubt2OXLIgy6yOIGKev03dkusNA2/view?usp=drivesdk" TargetMode="External"/><Relationship Id="rId2868" Type="http://schemas.openxmlformats.org/officeDocument/2006/relationships/hyperlink" Target="https://drive.google.com/file/d/1eK-cdhu6ggDRBXhmL1AG_iMaCH0SfrAX/view?usp=drivesdk" TargetMode="External"/><Relationship Id="rId1538" Type="http://schemas.openxmlformats.org/officeDocument/2006/relationships/hyperlink" Target="https://drive.google.com/file/d/1TVr-Tc6KWnBTlsgWjMFAdhVqwrpOs7ik/view?usp=drivesdk" TargetMode="External"/><Relationship Id="rId2869" Type="http://schemas.openxmlformats.org/officeDocument/2006/relationships/hyperlink" Target="https://drive.google.com/file/d/1Ei2cZRbExrFuOw1ddN85OjaTy_kQlzy7/view?usp=drivesdk" TargetMode="External"/><Relationship Id="rId1539" Type="http://schemas.openxmlformats.org/officeDocument/2006/relationships/hyperlink" Target="https://drive.google.com/file/d/1P52Hwh4arnVAmE5o1jCxwhregnLT8KXf/view?usp=drivesdk" TargetMode="External"/><Relationship Id="rId949" Type="http://schemas.openxmlformats.org/officeDocument/2006/relationships/hyperlink" Target="https://drive.google.com/file/d/1XwpzWNMLT5vFtYztn3PNI9jS4BqrnyO2/view?usp=drivesdk" TargetMode="External"/><Relationship Id="rId948" Type="http://schemas.openxmlformats.org/officeDocument/2006/relationships/hyperlink" Target="https://drive.google.com/file/d/1m5Tz2VaE_D35WsVemhCMatuS7r3ezXmq/view?usp=drivesdk" TargetMode="External"/><Relationship Id="rId943" Type="http://schemas.openxmlformats.org/officeDocument/2006/relationships/hyperlink" Target="https://drive.google.com/file/d/1KAV6tp76FOIt4-v1RvEnoDbPIwHoaL3p/view?usp=drivesdk" TargetMode="External"/><Relationship Id="rId942" Type="http://schemas.openxmlformats.org/officeDocument/2006/relationships/hyperlink" Target="https://drive.google.com/file/d/1PDV85RJLxLpvBsZM_qo4_yZmfFMou1NG/view?usp=drivesdk" TargetMode="External"/><Relationship Id="rId941" Type="http://schemas.openxmlformats.org/officeDocument/2006/relationships/hyperlink" Target="https://drive.google.com/file/d/1dxx0_ynT4PT8TQa2JOoxhSxCWM003C2z/view?usp=drivesdk" TargetMode="External"/><Relationship Id="rId940" Type="http://schemas.openxmlformats.org/officeDocument/2006/relationships/hyperlink" Target="https://drive.google.com/file/d/1-5cfVLnyn4Rvu0SKqzNuam4QbCzusjxs/view?usp=drivesdk" TargetMode="External"/><Relationship Id="rId947" Type="http://schemas.openxmlformats.org/officeDocument/2006/relationships/hyperlink" Target="https://drive.google.com/file/d/1ah2SkHgTOpSGbHvid6e2fa0VK0ldu1m1/view?usp=drivesdk" TargetMode="External"/><Relationship Id="rId946" Type="http://schemas.openxmlformats.org/officeDocument/2006/relationships/hyperlink" Target="https://drive.google.com/file/d/1Leuyl4UC1HFbkZLEkWB-Bkt4n9B9lQLc/view?usp=drivesdk" TargetMode="External"/><Relationship Id="rId945" Type="http://schemas.openxmlformats.org/officeDocument/2006/relationships/hyperlink" Target="https://drive.google.com/file/d/1F67LqS7Xa3T0LOwAXQ5zr159sNuaSQZw/view?usp=drivesdk" TargetMode="External"/><Relationship Id="rId944" Type="http://schemas.openxmlformats.org/officeDocument/2006/relationships/hyperlink" Target="https://drive.google.com/file/d/1FJBCHJz4mH3HTlncdl_nBMXLfGtLcqMG/view?usp=drivesdk" TargetMode="External"/><Relationship Id="rId2860" Type="http://schemas.openxmlformats.org/officeDocument/2006/relationships/hyperlink" Target="https://drive.google.com/file/d/1Bt4TNfo8TQKlN4JlRtufqOvuWnHqIr8U/view?usp=drivesdk" TargetMode="External"/><Relationship Id="rId1530" Type="http://schemas.openxmlformats.org/officeDocument/2006/relationships/hyperlink" Target="https://drive.google.com/file/d/1Gmi0JNZWemGmZrVqr_BnF3QTHzP5L4Yq/view?usp=drivesdk" TargetMode="External"/><Relationship Id="rId2861" Type="http://schemas.openxmlformats.org/officeDocument/2006/relationships/hyperlink" Target="https://drive.google.com/file/d/14u2HWTiqcAOXA4dDS95QXTldSi93dnVr/view?usp=drivesdk" TargetMode="External"/><Relationship Id="rId1531" Type="http://schemas.openxmlformats.org/officeDocument/2006/relationships/hyperlink" Target="https://drive.google.com/file/d/1Qx9ZHeHFPYNQl-3F5_vbX3qIS1PQSYV-/view?usp=drivesdk" TargetMode="External"/><Relationship Id="rId2862" Type="http://schemas.openxmlformats.org/officeDocument/2006/relationships/hyperlink" Target="https://drive.google.com/file/d/18-99WZ9cHxxO74GBFgJv-t0Mx_1aM5zN/view?usp=drivesdk" TargetMode="External"/><Relationship Id="rId1521" Type="http://schemas.openxmlformats.org/officeDocument/2006/relationships/hyperlink" Target="https://drive.google.com/file/d/1R5hyKOlY6QDbtYrvA7cIrzr5ybzd_RFv/view?usp=drivesdk" TargetMode="External"/><Relationship Id="rId2852" Type="http://schemas.openxmlformats.org/officeDocument/2006/relationships/hyperlink" Target="https://drive.google.com/file/d/1VmzFFlj9sC-3zl0IL4O8CZ9VxfDI1pzI/view?usp=drivesdk" TargetMode="External"/><Relationship Id="rId1522" Type="http://schemas.openxmlformats.org/officeDocument/2006/relationships/hyperlink" Target="https://drive.google.com/file/d/1QAjXeChHNiOtTvJ-d3sinAHnxe6hWITU/view?usp=drivesdk" TargetMode="External"/><Relationship Id="rId2853" Type="http://schemas.openxmlformats.org/officeDocument/2006/relationships/hyperlink" Target="https://drive.google.com/file/d/17Dbc8PkNnITnPfuh4T09bI5_98MyrGHC/view?usp=drivesdk" TargetMode="External"/><Relationship Id="rId1523" Type="http://schemas.openxmlformats.org/officeDocument/2006/relationships/hyperlink" Target="https://drive.google.com/file/d/1AvvdRzkH5qHiKzS1Ntur9dRCRzB1WI8K/view?usp=drivesdk" TargetMode="External"/><Relationship Id="rId2854" Type="http://schemas.openxmlformats.org/officeDocument/2006/relationships/hyperlink" Target="https://drive.google.com/file/d/19GRoYGtbI0rqCSTRw0QHRb5svxCOaR7l/view?usp=drivesdk" TargetMode="External"/><Relationship Id="rId1524" Type="http://schemas.openxmlformats.org/officeDocument/2006/relationships/hyperlink" Target="https://drive.google.com/file/d/18uPE2q_Ijx23Z54qjbZKJ_Dv5OB-tys3/view?usp=drivesdk" TargetMode="External"/><Relationship Id="rId2855" Type="http://schemas.openxmlformats.org/officeDocument/2006/relationships/hyperlink" Target="https://drive.google.com/file/d/1nVim-H_Jtg6tyQ9bdl3nGDzC_4D4vOmH/view?usp=drivesdk" TargetMode="External"/><Relationship Id="rId1525" Type="http://schemas.openxmlformats.org/officeDocument/2006/relationships/hyperlink" Target="https://drive.google.com/file/d/1zrelbjTO9B-blpStQoCY_Q-zdKERUQAk/view?usp=drivesdk" TargetMode="External"/><Relationship Id="rId2856" Type="http://schemas.openxmlformats.org/officeDocument/2006/relationships/hyperlink" Target="https://drive.google.com/file/d/10JI2ahWyOnUSqnezmp5bgYCv8_qlXO-W/view?usp=drivesdk" TargetMode="External"/><Relationship Id="rId1526" Type="http://schemas.openxmlformats.org/officeDocument/2006/relationships/hyperlink" Target="https://drive.google.com/file/d/1G_ZNckT8M4trwE2gvnWXmETOF2p8Alf8/view?usp=drivesdk" TargetMode="External"/><Relationship Id="rId2857" Type="http://schemas.openxmlformats.org/officeDocument/2006/relationships/hyperlink" Target="https://drive.google.com/file/d/1ltcrxYDtA4U_pgnyqjwLBS-dfq54udNp/view?usp=drivesdk" TargetMode="External"/><Relationship Id="rId1527" Type="http://schemas.openxmlformats.org/officeDocument/2006/relationships/hyperlink" Target="https://drive.google.com/file/d/1QjWO8CT7qDQzN8MKChpkdSsUAzLaebVN/view?usp=drivesdk" TargetMode="External"/><Relationship Id="rId2858" Type="http://schemas.openxmlformats.org/officeDocument/2006/relationships/hyperlink" Target="https://drive.google.com/file/d/19r2ZYocRTZUO3nrpuDMEJfYZOc2sZtkD/view?usp=drivesdk" TargetMode="External"/><Relationship Id="rId1528" Type="http://schemas.openxmlformats.org/officeDocument/2006/relationships/hyperlink" Target="https://drive.google.com/file/d/1mXrcoFg3qHP01Ois3E--soE_jHL2_h3q/view?usp=drivesdk" TargetMode="External"/><Relationship Id="rId2859" Type="http://schemas.openxmlformats.org/officeDocument/2006/relationships/hyperlink" Target="https://drive.google.com/file/d/1BjlwRWltS0pT_G8NvXUa0A6g2o-SywOJ/view?usp=drivesdk" TargetMode="External"/><Relationship Id="rId1529" Type="http://schemas.openxmlformats.org/officeDocument/2006/relationships/hyperlink" Target="https://drive.google.com/file/d/1gIkbfbWGQgSDtssBeb-umkxRvIuEh5y0/view?usp=drivesdk" TargetMode="External"/><Relationship Id="rId939" Type="http://schemas.openxmlformats.org/officeDocument/2006/relationships/hyperlink" Target="https://drive.google.com/file/d/1snSHX6Dw3V-BA5DJ82KIwEnkVHiQungO/view?usp=drivesdk" TargetMode="External"/><Relationship Id="rId938" Type="http://schemas.openxmlformats.org/officeDocument/2006/relationships/hyperlink" Target="https://drive.google.com/file/d/1dgS0NRHkww1dzstVsL7BHhD7epQwa4YP/view?usp=drivesdk" TargetMode="External"/><Relationship Id="rId937" Type="http://schemas.openxmlformats.org/officeDocument/2006/relationships/hyperlink" Target="https://drive.google.com/file/d/1KCh-BqYC49UIbsTO5CDnEdO74Ucf1x6Y/view?usp=drivesdk" TargetMode="External"/><Relationship Id="rId932" Type="http://schemas.openxmlformats.org/officeDocument/2006/relationships/hyperlink" Target="https://drive.google.com/file/d/1PLvLdMeluxbAHiTDL7MhAFR7a0Hz9dgN/view?usp=drivesdk" TargetMode="External"/><Relationship Id="rId931" Type="http://schemas.openxmlformats.org/officeDocument/2006/relationships/hyperlink" Target="https://drive.google.com/file/d/1FpM0J01G1IAnE-MaXEiLPX-E5P4Wibbp/view?usp=drivesdk" TargetMode="External"/><Relationship Id="rId930" Type="http://schemas.openxmlformats.org/officeDocument/2006/relationships/hyperlink" Target="https://drive.google.com/file/d/1upSMd20gM3k2ZMHVzp656d961KbFDiW1/view?usp=drivesdk" TargetMode="External"/><Relationship Id="rId936" Type="http://schemas.openxmlformats.org/officeDocument/2006/relationships/hyperlink" Target="https://drive.google.com/file/d/1t3rYB2UIBjcV3EtdB3zvH2W_jKkFvDK8/view?usp=drivesdk" TargetMode="External"/><Relationship Id="rId935" Type="http://schemas.openxmlformats.org/officeDocument/2006/relationships/hyperlink" Target="https://drive.google.com/file/d/1BWO-2NT6uwYrx_H-KNNo-ykLnBzO4Ok-/view?usp=drivesdk" TargetMode="External"/><Relationship Id="rId934" Type="http://schemas.openxmlformats.org/officeDocument/2006/relationships/hyperlink" Target="https://drive.google.com/file/d/1fEWj12Ks3_G4LXi9HXVcLHqDZjR4LNEd/view?usp=drivesdk" TargetMode="External"/><Relationship Id="rId933" Type="http://schemas.openxmlformats.org/officeDocument/2006/relationships/hyperlink" Target="https://drive.google.com/file/d/1i0gZR4I8GQIyXkhat635lG3k7_ynyCJB/view?usp=drivesdk" TargetMode="External"/><Relationship Id="rId2850" Type="http://schemas.openxmlformats.org/officeDocument/2006/relationships/hyperlink" Target="https://drive.google.com/file/d/1TEnPpTCxEXzf1GA7kSawo4iWWvkRygJH/view?usp=drivesdk" TargetMode="External"/><Relationship Id="rId1520" Type="http://schemas.openxmlformats.org/officeDocument/2006/relationships/hyperlink" Target="https://drive.google.com/file/d/14xiL7FkEqFJ789HAi73eZvSlajaWPvdV/view?usp=drivesdk" TargetMode="External"/><Relationship Id="rId2851" Type="http://schemas.openxmlformats.org/officeDocument/2006/relationships/hyperlink" Target="https://drive.google.com/file/d/1-7d1Bc8yBvBXPBDJa7k2oHQD4opykHjd/view?usp=drivesdk" TargetMode="External"/><Relationship Id="rId1554" Type="http://schemas.openxmlformats.org/officeDocument/2006/relationships/hyperlink" Target="https://drive.google.com/file/d/1b1fHJKxilhUS92E_HC6lNoOAnS8kWv63/view?usp=drivesdk" TargetMode="External"/><Relationship Id="rId2885" Type="http://schemas.openxmlformats.org/officeDocument/2006/relationships/hyperlink" Target="https://drive.google.com/file/d/1knL40XCKZNjOqaP4Ae7IyAm3lNqzRsH0/view?usp=drivesdk" TargetMode="External"/><Relationship Id="rId1555" Type="http://schemas.openxmlformats.org/officeDocument/2006/relationships/hyperlink" Target="https://drive.google.com/file/d/1CoArtKsCTKfnsKSOMSWkpBlJ1i9aGONy/view?usp=drivesdk" TargetMode="External"/><Relationship Id="rId2886" Type="http://schemas.openxmlformats.org/officeDocument/2006/relationships/hyperlink" Target="https://drive.google.com/file/d/1CSRQUCB9IEsYd34O2d9m7bFgAa2v9j3f/view?usp=drivesdk" TargetMode="External"/><Relationship Id="rId1556" Type="http://schemas.openxmlformats.org/officeDocument/2006/relationships/hyperlink" Target="https://drive.google.com/file/d/1qCZVMEvt7yJ1jeqNhA8A-mCmcmR2mSd7/view?usp=drivesdk" TargetMode="External"/><Relationship Id="rId2887" Type="http://schemas.openxmlformats.org/officeDocument/2006/relationships/hyperlink" Target="https://drive.google.com/file/d/1eahH9IYzwlNvjdwONbitHnxEWg9_uNK8/view?usp=drivesdk" TargetMode="External"/><Relationship Id="rId1557" Type="http://schemas.openxmlformats.org/officeDocument/2006/relationships/hyperlink" Target="https://drive.google.com/file/d/14Xp503Be0Zf55aSqfi8sqdwOni5AOqSx/view?usp=drivesdk" TargetMode="External"/><Relationship Id="rId2888" Type="http://schemas.openxmlformats.org/officeDocument/2006/relationships/hyperlink" Target="https://drive.google.com/file/d/1UZLBVpVMQLT-OAm1CJeRb3jcFSY655r9/view?usp=drivesdk" TargetMode="External"/><Relationship Id="rId1558" Type="http://schemas.openxmlformats.org/officeDocument/2006/relationships/hyperlink" Target="https://drive.google.com/file/d/1HUJnCd-I9QNpi5MH4AGqJTXqHtMU7pG_/view?usp=drivesdk" TargetMode="External"/><Relationship Id="rId2889" Type="http://schemas.openxmlformats.org/officeDocument/2006/relationships/hyperlink" Target="https://drive.google.com/file/d/1-17kv38wjvhfhFgs8I1Tfr56fB7p25qe/view?usp=drivesdk" TargetMode="External"/><Relationship Id="rId1559" Type="http://schemas.openxmlformats.org/officeDocument/2006/relationships/hyperlink" Target="https://drive.google.com/file/d/1vOSvHbYIqZfm15-aH9UDw6mUbvbrmGbP/view?usp=drivesdk" TargetMode="External"/><Relationship Id="rId965" Type="http://schemas.openxmlformats.org/officeDocument/2006/relationships/hyperlink" Target="https://drive.google.com/file/d/1SkYMT6535Ttu8tZPZs0RUHriNrRKYkQZ/view?usp=drivesdk" TargetMode="External"/><Relationship Id="rId964" Type="http://schemas.openxmlformats.org/officeDocument/2006/relationships/hyperlink" Target="https://drive.google.com/file/d/1x4k3IiWYZq7AtNr4ru_PKctcLMyoq3aJ/view?usp=drivesdk" TargetMode="External"/><Relationship Id="rId963" Type="http://schemas.openxmlformats.org/officeDocument/2006/relationships/hyperlink" Target="https://drive.google.com/file/d/1y2qsDlk50ikn6vP8G-crCyejdDYu5a0Q/view?usp=drivesdk" TargetMode="External"/><Relationship Id="rId962" Type="http://schemas.openxmlformats.org/officeDocument/2006/relationships/hyperlink" Target="https://drive.google.com/file/d/1jcw3kgERvyMOgUD8Pif27suLkAv_CGky/view?usp=drivesdk" TargetMode="External"/><Relationship Id="rId969" Type="http://schemas.openxmlformats.org/officeDocument/2006/relationships/hyperlink" Target="https://drive.google.com/file/d/1jFWl2RoDUN8r6wfoRQb6ssP-VOWe_za4/view?usp=drivesdk" TargetMode="External"/><Relationship Id="rId968" Type="http://schemas.openxmlformats.org/officeDocument/2006/relationships/hyperlink" Target="https://drive.google.com/file/d/1jcOfAAzYLbzBXHlzvmSeAwIXzNHoo8lB/view?usp=drivesdk" TargetMode="External"/><Relationship Id="rId967" Type="http://schemas.openxmlformats.org/officeDocument/2006/relationships/hyperlink" Target="https://drive.google.com/file/d/1y7yj30tc7w39HHxQU3Vly9WiA2ZZUf2M/view?usp=drivesdk" TargetMode="External"/><Relationship Id="rId966" Type="http://schemas.openxmlformats.org/officeDocument/2006/relationships/hyperlink" Target="https://drive.google.com/file/d/1mE7QtRRYCeJ3d3xoj12MTk5zYX_3J5PA/view?usp=drivesdk" TargetMode="External"/><Relationship Id="rId2880" Type="http://schemas.openxmlformats.org/officeDocument/2006/relationships/hyperlink" Target="https://drive.google.com/file/d/1DqzfwSHWONImdna3_oqyKfevOZzSFRyV/view?usp=drivesdk" TargetMode="External"/><Relationship Id="rId961" Type="http://schemas.openxmlformats.org/officeDocument/2006/relationships/hyperlink" Target="https://drive.google.com/file/d/1iUQe1J0ZFZsM5pJNxWfbK9g81N5QItzT/view?usp=drivesdk" TargetMode="External"/><Relationship Id="rId1550" Type="http://schemas.openxmlformats.org/officeDocument/2006/relationships/hyperlink" Target="https://drive.google.com/file/d/14tCeqSJJTFedC_l6gujI3QK-46KuE7Hq/view?usp=drivesdk" TargetMode="External"/><Relationship Id="rId2881" Type="http://schemas.openxmlformats.org/officeDocument/2006/relationships/hyperlink" Target="https://drive.google.com/file/d/17MF3UzpEdRQx8agPzCMJBLErp-IiMM9O/view?usp=drivesdk" TargetMode="External"/><Relationship Id="rId960" Type="http://schemas.openxmlformats.org/officeDocument/2006/relationships/hyperlink" Target="https://drive.google.com/file/d/1x1mROX5ntw-dLuS16onb07mJbhWYp7nq/view?usp=drivesdk" TargetMode="External"/><Relationship Id="rId1551" Type="http://schemas.openxmlformats.org/officeDocument/2006/relationships/hyperlink" Target="https://drive.google.com/file/d/1HvTPs9frD7af5T_YhA58Xocl_LiPUlaM/view?usp=drivesdk" TargetMode="External"/><Relationship Id="rId2882" Type="http://schemas.openxmlformats.org/officeDocument/2006/relationships/hyperlink" Target="https://drive.google.com/file/d/1kjal1XFuXZUjeKKA6MrC_DEHz5ijjtq8/view?usp=drivesdk" TargetMode="External"/><Relationship Id="rId1552" Type="http://schemas.openxmlformats.org/officeDocument/2006/relationships/hyperlink" Target="https://drive.google.com/file/d/1-wMqsI7iTrB__bLOlbfLjPBu8qsx_AuC/view?usp=drivesdk" TargetMode="External"/><Relationship Id="rId2883" Type="http://schemas.openxmlformats.org/officeDocument/2006/relationships/hyperlink" Target="https://drive.google.com/file/d/1ECnx4a7fCffNJt79_b8dBd_lUP6pHb_P/view?usp=drivesdk" TargetMode="External"/><Relationship Id="rId1553" Type="http://schemas.openxmlformats.org/officeDocument/2006/relationships/hyperlink" Target="https://drive.google.com/file/d/1PRkKdehpF7cvv9fhh5rfI1eLdqmMuf21/view?usp=drivesdk" TargetMode="External"/><Relationship Id="rId2884" Type="http://schemas.openxmlformats.org/officeDocument/2006/relationships/hyperlink" Target="https://drive.google.com/file/d/14Sebn6V_k9lVfW6Q2YYp3mFle5-cIQT3/view?usp=drivesdk" TargetMode="External"/><Relationship Id="rId1543" Type="http://schemas.openxmlformats.org/officeDocument/2006/relationships/hyperlink" Target="https://drive.google.com/file/d/1dlWvP8e8gz6t98mhL48pz5Ts6AGmR3no/view?usp=drivesdk" TargetMode="External"/><Relationship Id="rId2874" Type="http://schemas.openxmlformats.org/officeDocument/2006/relationships/hyperlink" Target="https://drive.google.com/file/d/1KWGTMDkeeZOSkJm3r4-V1njhMZlAXZFP/view?usp=drivesdk" TargetMode="External"/><Relationship Id="rId1544" Type="http://schemas.openxmlformats.org/officeDocument/2006/relationships/hyperlink" Target="https://drive.google.com/file/d/12V1v0h4OwSWBufOQSqQXtv7HaXTT9Nce/view?usp=drivesdk" TargetMode="External"/><Relationship Id="rId2875" Type="http://schemas.openxmlformats.org/officeDocument/2006/relationships/hyperlink" Target="https://drive.google.com/file/d/1eNlXYBB3f-V3RCoYpMJoHxRFqkZgAcym/view?usp=drivesdk" TargetMode="External"/><Relationship Id="rId1545" Type="http://schemas.openxmlformats.org/officeDocument/2006/relationships/hyperlink" Target="https://drive.google.com/file/d/1m4O9lKr7_vL6nzcNszJjAWSRqZ7JJuYd/view?usp=drivesdk" TargetMode="External"/><Relationship Id="rId2876" Type="http://schemas.openxmlformats.org/officeDocument/2006/relationships/hyperlink" Target="https://drive.google.com/file/d/1ZUW0TiJTnPD3i97QN_Udc66NRtwNzIKg/view?usp=drivesdk" TargetMode="External"/><Relationship Id="rId1546" Type="http://schemas.openxmlformats.org/officeDocument/2006/relationships/hyperlink" Target="https://drive.google.com/file/d/1cBClAGuzTdqc427FSxNvQyXJ0AwrL_iu/view?usp=drivesdk" TargetMode="External"/><Relationship Id="rId2877" Type="http://schemas.openxmlformats.org/officeDocument/2006/relationships/hyperlink" Target="https://drive.google.com/file/d/1hAVbYb-mX5-VQW-Q5jdK39YwwwalrYr0/view?usp=drivesdk" TargetMode="External"/><Relationship Id="rId1547" Type="http://schemas.openxmlformats.org/officeDocument/2006/relationships/hyperlink" Target="https://drive.google.com/file/d/1ZbcBCI86NVMmcoirtEoGrYdj084N6voG/view?usp=drivesdk" TargetMode="External"/><Relationship Id="rId2878" Type="http://schemas.openxmlformats.org/officeDocument/2006/relationships/hyperlink" Target="https://drive.google.com/file/d/1majxA8HRA9MXmwVklJTT9Df-IFdhSEz4/view?usp=drivesdk" TargetMode="External"/><Relationship Id="rId1548" Type="http://schemas.openxmlformats.org/officeDocument/2006/relationships/hyperlink" Target="https://drive.google.com/file/d/1QtSNqugiCcjjypHfsCJBQaDruVsqPDAM/view?usp=drivesdk" TargetMode="External"/><Relationship Id="rId2879" Type="http://schemas.openxmlformats.org/officeDocument/2006/relationships/hyperlink" Target="https://drive.google.com/file/d/1AT8wPKXerGH6PI9v8ZaIX7cK-CWAEkw2/view?usp=drivesdk" TargetMode="External"/><Relationship Id="rId1549" Type="http://schemas.openxmlformats.org/officeDocument/2006/relationships/hyperlink" Target="https://drive.google.com/file/d/1-J8gAilMpObqPs7BocC7s0G6yU9JrocP/view?usp=drivesdk" TargetMode="External"/><Relationship Id="rId959" Type="http://schemas.openxmlformats.org/officeDocument/2006/relationships/hyperlink" Target="https://drive.google.com/file/d/1nNsMcbkIUTEuhY2K36u4zqmWN0CNwxqR/view?usp=drivesdk" TargetMode="External"/><Relationship Id="rId954" Type="http://schemas.openxmlformats.org/officeDocument/2006/relationships/hyperlink" Target="https://drive.google.com/file/d/1BKR6JzGPJji2BDJ6DQADwbdc6wsJplpf/view?usp=drivesdk" TargetMode="External"/><Relationship Id="rId953" Type="http://schemas.openxmlformats.org/officeDocument/2006/relationships/hyperlink" Target="https://drive.google.com/file/d/1JhkTI1M5Yh19kyTQPa8wngPQBNZgNNhP/view?usp=drivesdk" TargetMode="External"/><Relationship Id="rId952" Type="http://schemas.openxmlformats.org/officeDocument/2006/relationships/hyperlink" Target="https://drive.google.com/file/d/1OrtB5_5yJVlZCrOBvIMj0tbZzyZ2nwuD/view?usp=drivesdk" TargetMode="External"/><Relationship Id="rId951" Type="http://schemas.openxmlformats.org/officeDocument/2006/relationships/hyperlink" Target="https://drive.google.com/file/d/1LMZMu0po7ByDX6nVUWLLAqpYW5Culi3v/view?usp=drivesdk" TargetMode="External"/><Relationship Id="rId958" Type="http://schemas.openxmlformats.org/officeDocument/2006/relationships/hyperlink" Target="https://drive.google.com/file/d/16ry4HG9GYsAuCIrAuojXOkcBuIG1mqLI/view?usp=drivesdk" TargetMode="External"/><Relationship Id="rId957" Type="http://schemas.openxmlformats.org/officeDocument/2006/relationships/hyperlink" Target="https://drive.google.com/file/d/1Bd707afPlK4zpux5otgCk-NeGqomIJeU/view?usp=drivesdk" TargetMode="External"/><Relationship Id="rId956" Type="http://schemas.openxmlformats.org/officeDocument/2006/relationships/hyperlink" Target="https://drive.google.com/file/d/1UHhsOOZn1ryjPtVpn2bRrtJf6tTx2fA1/view?usp=drivesdk" TargetMode="External"/><Relationship Id="rId955" Type="http://schemas.openxmlformats.org/officeDocument/2006/relationships/hyperlink" Target="https://drive.google.com/file/d/1pnfSpHX2dZmApWwY6xovXvEH8BEI25-N/view?usp=drivesdk" TargetMode="External"/><Relationship Id="rId950" Type="http://schemas.openxmlformats.org/officeDocument/2006/relationships/hyperlink" Target="https://drive.google.com/file/d/1elKTatSA2-fgKMywqROK-IoBL_z6Jo0H/view?usp=drivesdk" TargetMode="External"/><Relationship Id="rId2870" Type="http://schemas.openxmlformats.org/officeDocument/2006/relationships/hyperlink" Target="https://drive.google.com/file/d/1W-GBjLCwF0dCmMxwulrbTPngQ9n8XVhZ/view?usp=drivesdk" TargetMode="External"/><Relationship Id="rId1540" Type="http://schemas.openxmlformats.org/officeDocument/2006/relationships/hyperlink" Target="https://drive.google.com/file/d/1rO9kd3sSFUB9WfsF997U7Vq_cJDOcIGP/view?usp=drivesdk" TargetMode="External"/><Relationship Id="rId2871" Type="http://schemas.openxmlformats.org/officeDocument/2006/relationships/hyperlink" Target="https://drive.google.com/file/d/1egkKxe8F9hedFPHQHWQjViksN1Ec5Olq/view?usp=drivesdk" TargetMode="External"/><Relationship Id="rId1541" Type="http://schemas.openxmlformats.org/officeDocument/2006/relationships/hyperlink" Target="https://drive.google.com/file/d/1KP-OtQzTdA_ZupKaezd2A8ntmBdD9rYu/view?usp=drivesdk" TargetMode="External"/><Relationship Id="rId2872" Type="http://schemas.openxmlformats.org/officeDocument/2006/relationships/hyperlink" Target="https://drive.google.com/file/d/1Dl9WyPyufd1LJkJWJQBOj_xDpoQQWU_p/view?usp=drivesdk" TargetMode="External"/><Relationship Id="rId1542" Type="http://schemas.openxmlformats.org/officeDocument/2006/relationships/hyperlink" Target="https://drive.google.com/file/d/1Q-eGlOx7trrqIfOGHQaajnJPdN5R1RXf/view?usp=drivesdk" TargetMode="External"/><Relationship Id="rId2873" Type="http://schemas.openxmlformats.org/officeDocument/2006/relationships/hyperlink" Target="https://drive.google.com/file/d/1sCtC7O4ISPaRuFuVUWMemC0iwE81sSzo/view?usp=drivesdk" TargetMode="External"/><Relationship Id="rId7717" Type="http://schemas.openxmlformats.org/officeDocument/2006/relationships/hyperlink" Target="https://drive.google.com/file/d/1GQU6Vk9cVBrbV3WnYVZd7JeixvWN9Qje/view?usp=drivesdk" TargetMode="External"/><Relationship Id="rId7716" Type="http://schemas.openxmlformats.org/officeDocument/2006/relationships/hyperlink" Target="https://drive.google.com/file/d/1bbbwSbOUTq6aW19402bfZ87-wu882ILa/view?usp=drivesdk" TargetMode="External"/><Relationship Id="rId7715" Type="http://schemas.openxmlformats.org/officeDocument/2006/relationships/hyperlink" Target="https://drive.google.com/file/d/1fRtrITf9mNIDO1JWeS0CWGG7UaEvkm9n/view?usp=drivesdk" TargetMode="External"/><Relationship Id="rId7714" Type="http://schemas.openxmlformats.org/officeDocument/2006/relationships/hyperlink" Target="https://drive.google.com/file/d/1Hv5P2us6ir2MYibnZoXsP6Aah4NN75bP/view?usp=drivesdk" TargetMode="External"/><Relationship Id="rId7719" Type="http://schemas.openxmlformats.org/officeDocument/2006/relationships/hyperlink" Target="https://drive.google.com/file/d/1O764CJD3eNWEBlKgLtAXEjHSJiPnr8uC/view?usp=drivesdk" TargetMode="External"/><Relationship Id="rId7718" Type="http://schemas.openxmlformats.org/officeDocument/2006/relationships/hyperlink" Target="https://drive.google.com/file/d/1Ceij5sqIOpKJNdQ6G5R7QuuBlFIWRpGY/view?usp=drivesdk" TargetMode="External"/><Relationship Id="rId7713" Type="http://schemas.openxmlformats.org/officeDocument/2006/relationships/hyperlink" Target="https://drive.google.com/file/d/1f8hTn1fslT6rGNHTzCiooBzH7RVj9FZq/view?usp=drivesdk" TargetMode="External"/><Relationship Id="rId7712" Type="http://schemas.openxmlformats.org/officeDocument/2006/relationships/hyperlink" Target="https://drive.google.com/file/d/11nbGqVQtLNRCSzIJEzqmAcbuprcPL18T/view?usp=drivesdk" TargetMode="External"/><Relationship Id="rId7711" Type="http://schemas.openxmlformats.org/officeDocument/2006/relationships/hyperlink" Target="https://drive.google.com/file/d/1mJxLxxBRQm50Kgetz7VzfVNqqMV5s37m/view?usp=drivesdk" TargetMode="External"/><Relationship Id="rId7710" Type="http://schemas.openxmlformats.org/officeDocument/2006/relationships/hyperlink" Target="https://drive.google.com/file/d/13W8sVhDECCjJpBgk_BF6x3BEUD3KNK1Q/view?usp=drivesdk" TargetMode="External"/><Relationship Id="rId7706" Type="http://schemas.openxmlformats.org/officeDocument/2006/relationships/hyperlink" Target="https://drive.google.com/file/d/1xFPvd-rCC40k8ZSWb5O5erFburDTikpK/view?usp=drivesdk" TargetMode="External"/><Relationship Id="rId7705" Type="http://schemas.openxmlformats.org/officeDocument/2006/relationships/hyperlink" Target="https://drive.google.com/file/d/1gWy_8DSPL-5yRW2ysre_w9tdLVnXmKlY/view?usp=drivesdk" TargetMode="External"/><Relationship Id="rId7704" Type="http://schemas.openxmlformats.org/officeDocument/2006/relationships/hyperlink" Target="https://drive.google.com/file/d/1Jg6CG_59tn2Ht_Ko6gPZLnscndU8gCZ7/view?usp=drivesdk" TargetMode="External"/><Relationship Id="rId7703" Type="http://schemas.openxmlformats.org/officeDocument/2006/relationships/hyperlink" Target="https://drive.google.com/file/d/1nIDZsrakrRe3vL_NV4npkMLUV7jwMCQ0/view?usp=drivesdk" TargetMode="External"/><Relationship Id="rId7709" Type="http://schemas.openxmlformats.org/officeDocument/2006/relationships/hyperlink" Target="https://drive.google.com/file/d/1zOt2k8wmWB3wIb610-wy2cb-JOu7GVcU/view?usp=drivesdk" TargetMode="External"/><Relationship Id="rId7708" Type="http://schemas.openxmlformats.org/officeDocument/2006/relationships/hyperlink" Target="https://drive.google.com/file/d/1F9DWaIe4hpz9xjTYVwEQxVCu0CcUUArp/view?usp=drivesdk" TargetMode="External"/><Relationship Id="rId7707" Type="http://schemas.openxmlformats.org/officeDocument/2006/relationships/hyperlink" Target="https://drive.google.com/file/d/1A8bypYUWOSve0r7wMzOebZF_VU2HjX-0/view?usp=drivesdk" TargetMode="External"/><Relationship Id="rId7702" Type="http://schemas.openxmlformats.org/officeDocument/2006/relationships/hyperlink" Target="https://drive.google.com/file/d/1Wc4dZNHp2kE6c2wXjrRb26eKufqbNwnx/view?usp=drivesdk" TargetMode="External"/><Relationship Id="rId7701" Type="http://schemas.openxmlformats.org/officeDocument/2006/relationships/hyperlink" Target="https://drive.google.com/file/d/11LI5Ona2KG157Rq1PghoKNTHUvOvdqhq/view?usp=drivesdk" TargetMode="External"/><Relationship Id="rId7700" Type="http://schemas.openxmlformats.org/officeDocument/2006/relationships/hyperlink" Target="https://drive.google.com/file/d/1W_G6IA3BvldBI38T7n6-QIQ5Y-sP7Bo1/view?usp=drivesdk" TargetMode="External"/><Relationship Id="rId6407" Type="http://schemas.openxmlformats.org/officeDocument/2006/relationships/hyperlink" Target="https://drive.google.com/file/d/11-szw74h1XwtA7ka9YXwyBSo9n8XINxt/view?usp=drivesdk" TargetMode="External"/><Relationship Id="rId7739" Type="http://schemas.openxmlformats.org/officeDocument/2006/relationships/hyperlink" Target="https://drive.google.com/file/d/1P6FkeKlOG_0yE7OZkwPqenVkfTXlqaA5/view?usp=drivesdk" TargetMode="External"/><Relationship Id="rId6408" Type="http://schemas.openxmlformats.org/officeDocument/2006/relationships/hyperlink" Target="https://drive.google.com/file/d/1sRD9nofLfOJH9KruLqQ6Mz3GDkd-kiCB/view?usp=drivesdk" TargetMode="External"/><Relationship Id="rId7738" Type="http://schemas.openxmlformats.org/officeDocument/2006/relationships/hyperlink" Target="https://drive.google.com/file/d/1rj9pw9h4yPCkwCEYMMz-uy4vYCp2_fLN/view?usp=drivesdk" TargetMode="External"/><Relationship Id="rId6405" Type="http://schemas.openxmlformats.org/officeDocument/2006/relationships/hyperlink" Target="https://drive.google.com/file/d/1VWiK77qdOsXQwQLlLPukuVfe3YstZVsm/view?usp=drivesdk" TargetMode="External"/><Relationship Id="rId7737" Type="http://schemas.openxmlformats.org/officeDocument/2006/relationships/hyperlink" Target="https://drive.google.com/file/d/1zYwbmsKCL-_xamaQFERxjKyC0VANusQ6/view?usp=drivesdk" TargetMode="External"/><Relationship Id="rId6406" Type="http://schemas.openxmlformats.org/officeDocument/2006/relationships/hyperlink" Target="https://drive.google.com/file/d/16Fla_nHedoiteKz-4BeASxr92pByzIYu/view?usp=drivesdk" TargetMode="External"/><Relationship Id="rId7736" Type="http://schemas.openxmlformats.org/officeDocument/2006/relationships/hyperlink" Target="https://drive.google.com/file/d/1CsD0ST2gRnbfZcg9MUnNePaXJWxzE31X/view?usp=drivesdk" TargetMode="External"/><Relationship Id="rId6409" Type="http://schemas.openxmlformats.org/officeDocument/2006/relationships/hyperlink" Target="https://drive.google.com/file/d/13HURvk6gD0PXCH6fR0DoH2LqwAwfNeaN/view?usp=drivesdk" TargetMode="External"/><Relationship Id="rId7731" Type="http://schemas.openxmlformats.org/officeDocument/2006/relationships/hyperlink" Target="https://drive.google.com/file/d/1Gj3eJdbXbWF8dasaSokltPdi7FFDLq5D/view?usp=drivesdk" TargetMode="External"/><Relationship Id="rId6400" Type="http://schemas.openxmlformats.org/officeDocument/2006/relationships/hyperlink" Target="https://drive.google.com/file/d/11J8hJrRoCFFM6fvia2vWxVptN_AEoPiq/view?usp=drivesdk" TargetMode="External"/><Relationship Id="rId7730" Type="http://schemas.openxmlformats.org/officeDocument/2006/relationships/hyperlink" Target="https://drive.google.com/file/d/18LCVegz_yUPg3lj1K_BPQzb1_w_Fq-A0/view?usp=drivesdk" TargetMode="External"/><Relationship Id="rId6403" Type="http://schemas.openxmlformats.org/officeDocument/2006/relationships/hyperlink" Target="https://drive.google.com/file/d/1aN4sw2Fv50E1A9wIbw4XnTvFz4X_2iUA/view?usp=drivesdk" TargetMode="External"/><Relationship Id="rId7735" Type="http://schemas.openxmlformats.org/officeDocument/2006/relationships/hyperlink" Target="https://drive.google.com/file/d/1ABAQCTqbJ_75OhpDVTyxQ17MNBCFCFKC/view?usp=drivesdk" TargetMode="External"/><Relationship Id="rId6404" Type="http://schemas.openxmlformats.org/officeDocument/2006/relationships/hyperlink" Target="https://drive.google.com/file/d/1qQMQxlrfJmPcJKzPooQUY4skYpggvBvj/view?usp=drivesdk" TargetMode="External"/><Relationship Id="rId7734" Type="http://schemas.openxmlformats.org/officeDocument/2006/relationships/hyperlink" Target="https://drive.google.com/file/d/1j78ezpVlG75M7xWfHD9W-JD-YAAEqVIJ/view?usp=drivesdk" TargetMode="External"/><Relationship Id="rId6401" Type="http://schemas.openxmlformats.org/officeDocument/2006/relationships/hyperlink" Target="https://drive.google.com/file/d/1CbAVgS85kK5c_6phob_IQQGe6IxBlucd/view?usp=drivesdk" TargetMode="External"/><Relationship Id="rId7733" Type="http://schemas.openxmlformats.org/officeDocument/2006/relationships/hyperlink" Target="https://drive.google.com/file/d/1KYX1iE1sLhdVz49CMC0NtyFjSUfll8D4/view?usp=drivesdk" TargetMode="External"/><Relationship Id="rId6402" Type="http://schemas.openxmlformats.org/officeDocument/2006/relationships/hyperlink" Target="https://drive.google.com/file/d/1M64Po3HMqHF7Uham1PLFxlSzZi0tmLH5/view?usp=drivesdk" TargetMode="External"/><Relationship Id="rId7732" Type="http://schemas.openxmlformats.org/officeDocument/2006/relationships/hyperlink" Target="https://drive.google.com/file/d/19znib3_dqiMjFizdtBXFsqK4ILPvF6MX/view?usp=drivesdk" TargetMode="External"/><Relationship Id="rId7728" Type="http://schemas.openxmlformats.org/officeDocument/2006/relationships/hyperlink" Target="https://drive.google.com/file/d/1I4x4Q-YttH4TBs8O88vBvpQci-2d7fOt/view?usp=drivesdk" TargetMode="External"/><Relationship Id="rId7727" Type="http://schemas.openxmlformats.org/officeDocument/2006/relationships/hyperlink" Target="https://drive.google.com/file/d/1EYmMxajLOuLd2r_NoK_XAo9wuM4BgskH/view?usp=drivesdk" TargetMode="External"/><Relationship Id="rId7726" Type="http://schemas.openxmlformats.org/officeDocument/2006/relationships/hyperlink" Target="https://drive.google.com/file/d/14wi_p_JgaPnJ52tFwsiow2jyFw0gypeW/view?usp=drivesdk" TargetMode="External"/><Relationship Id="rId7725" Type="http://schemas.openxmlformats.org/officeDocument/2006/relationships/hyperlink" Target="https://drive.google.com/file/d/1hDGpas4LUOr32C_H2thlfQt_F4Us6bEG/view?usp=drivesdk" TargetMode="External"/><Relationship Id="rId7729" Type="http://schemas.openxmlformats.org/officeDocument/2006/relationships/hyperlink" Target="https://drive.google.com/file/d/1sCFH9zzNoF8jOB6udd_lYhKItcHLQZ6t/view?usp=drivesdk" TargetMode="External"/><Relationship Id="rId7720" Type="http://schemas.openxmlformats.org/officeDocument/2006/relationships/hyperlink" Target="https://drive.google.com/file/d/1_s2b7EeiKlpv5B_1utlhq37nqDVTPU5k/view?usp=drivesdk" TargetMode="External"/><Relationship Id="rId7724" Type="http://schemas.openxmlformats.org/officeDocument/2006/relationships/hyperlink" Target="https://drive.google.com/file/d/1hXuDthxqXenzbDaq2-ymk0OggSDcEFzy/view?usp=drivesdk" TargetMode="External"/><Relationship Id="rId7723" Type="http://schemas.openxmlformats.org/officeDocument/2006/relationships/hyperlink" Target="https://drive.google.com/file/d/1F29jCzY4J8NyvaXpu7CLrmtVq3wqWfNW/view?usp=drivesdk" TargetMode="External"/><Relationship Id="rId7722" Type="http://schemas.openxmlformats.org/officeDocument/2006/relationships/hyperlink" Target="https://drive.google.com/file/d/1shfRD-Ff3OxErOSp5ZyTYpukFjqDiKtZ/view?usp=drivesdk" TargetMode="External"/><Relationship Id="rId7721" Type="http://schemas.openxmlformats.org/officeDocument/2006/relationships/hyperlink" Target="https://drive.google.com/file/d/1e3eA-Tq0USt5ZVZjblZ71b9OB11XZ2ig/view?usp=drivesdk" TargetMode="External"/><Relationship Id="rId5130" Type="http://schemas.openxmlformats.org/officeDocument/2006/relationships/hyperlink" Target="https://drive.google.com/file/d/1c-C7CZEh4CMbPOq7yclyGRoeUrAcXUrz/view?usp=drivesdk" TargetMode="External"/><Relationship Id="rId6461" Type="http://schemas.openxmlformats.org/officeDocument/2006/relationships/hyperlink" Target="https://drive.google.com/file/d/1Cx32vzcs3BQ0i9YON2OJCEPriZnA_1vN/view?usp=drivesdk" TargetMode="External"/><Relationship Id="rId7793" Type="http://schemas.openxmlformats.org/officeDocument/2006/relationships/hyperlink" Target="https://drive.google.com/file/d/1P_S7wWAkQfd-VrJXFbCuOp5Ht-0fnX8W/view?usp=drivesdk" TargetMode="External"/><Relationship Id="rId5131" Type="http://schemas.openxmlformats.org/officeDocument/2006/relationships/hyperlink" Target="https://drive.google.com/file/d/1oaEzfXZvxmLg_JLzOnTKQiArrtZqT0eE/view?usp=drivesdk" TargetMode="External"/><Relationship Id="rId6462" Type="http://schemas.openxmlformats.org/officeDocument/2006/relationships/hyperlink" Target="https://drive.google.com/file/d/15ZB8CBrngl7j1HENeFn6YvImJ4wbOERB/view?usp=drivesdk" TargetMode="External"/><Relationship Id="rId7792" Type="http://schemas.openxmlformats.org/officeDocument/2006/relationships/hyperlink" Target="https://drive.google.com/file/d/1rFnVqreRlFmPLj6SeV_ruCeMP0xzUawr/view?usp=drivesdk" TargetMode="External"/><Relationship Id="rId7791" Type="http://schemas.openxmlformats.org/officeDocument/2006/relationships/hyperlink" Target="https://drive.google.com/file/d/1dbZAh68O-0jEQG9yoVZT9TzhDoQ2iHtJ/view?usp=drivesdk" TargetMode="External"/><Relationship Id="rId6460" Type="http://schemas.openxmlformats.org/officeDocument/2006/relationships/hyperlink" Target="https://drive.google.com/file/d/1UVDh0b2hafquRpvJ1pkPhOyoIFXc6NgL/view?usp=drivesdk" TargetMode="External"/><Relationship Id="rId7790" Type="http://schemas.openxmlformats.org/officeDocument/2006/relationships/hyperlink" Target="https://drive.google.com/file/d/1H8o_UMYekZAdLNDidR3LZr89TyE0-IOM/view?usp=drivesdk" TargetMode="External"/><Relationship Id="rId5134" Type="http://schemas.openxmlformats.org/officeDocument/2006/relationships/hyperlink" Target="https://drive.google.com/file/d/1R9CNwQkndp4zzWz503tL4nIvMRWKkaim/view?usp=drivesdk" TargetMode="External"/><Relationship Id="rId6465" Type="http://schemas.openxmlformats.org/officeDocument/2006/relationships/hyperlink" Target="https://drive.google.com/file/d/1tT7nTcZsPuOSRrAG1W0tfEChEbo2bk2p/view?usp=drivesdk" TargetMode="External"/><Relationship Id="rId7797" Type="http://schemas.openxmlformats.org/officeDocument/2006/relationships/hyperlink" Target="https://drive.google.com/file/d/14s4MreeL4D5IKlZHgLusHtTMDvHXVGbJ/view?usp=drivesdk" TargetMode="External"/><Relationship Id="rId5135" Type="http://schemas.openxmlformats.org/officeDocument/2006/relationships/hyperlink" Target="https://drive.google.com/file/d/1Mmk0HQ6iAHRIG8Pkph888f4f8lwfLKkX/view?usp=drivesdk" TargetMode="External"/><Relationship Id="rId6466" Type="http://schemas.openxmlformats.org/officeDocument/2006/relationships/hyperlink" Target="https://drive.google.com/file/d/1u2M4TS9Hd9ZASgPTwK3ZtGebKSMhSqdF/view?usp=drivesdk" TargetMode="External"/><Relationship Id="rId7796" Type="http://schemas.openxmlformats.org/officeDocument/2006/relationships/hyperlink" Target="https://drive.google.com/file/d/1mSNtEmRSf7tiXgGhqRY0S6iTwisaobMb/view?usp=drivesdk" TargetMode="External"/><Relationship Id="rId5132" Type="http://schemas.openxmlformats.org/officeDocument/2006/relationships/hyperlink" Target="https://drive.google.com/file/d/1CLMIvLptOihfNlNqKE2lhU_BSsu0Swls/view?usp=drivesdk" TargetMode="External"/><Relationship Id="rId6463" Type="http://schemas.openxmlformats.org/officeDocument/2006/relationships/hyperlink" Target="https://drive.google.com/file/d/1vbsxNiALPCjy8zU1IHMLUeW3ES_s_FOC/view?usp=drivesdk" TargetMode="External"/><Relationship Id="rId7795" Type="http://schemas.openxmlformats.org/officeDocument/2006/relationships/hyperlink" Target="https://drive.google.com/file/d/1AllheQ_R2GRbaTtLGbZmLDA0Lt7JQ5cI/view?usp=drivesdk" TargetMode="External"/><Relationship Id="rId5133" Type="http://schemas.openxmlformats.org/officeDocument/2006/relationships/hyperlink" Target="https://drive.google.com/file/d/1TDAtk_dK2bqUFHR8aXYiboiNjl69WszX/view?usp=drivesdk" TargetMode="External"/><Relationship Id="rId6464" Type="http://schemas.openxmlformats.org/officeDocument/2006/relationships/hyperlink" Target="https://drive.google.com/file/d/1-ELnSJ5UlMTkG8yIlzHKg6qTJb7t5SZ2/view?usp=drivesdk" TargetMode="External"/><Relationship Id="rId7794" Type="http://schemas.openxmlformats.org/officeDocument/2006/relationships/hyperlink" Target="https://drive.google.com/file/d/11h2EoOc0BkKhbJoh6dxdDcpWnmbHEOwL/view?usp=drivesdk" TargetMode="External"/><Relationship Id="rId5138" Type="http://schemas.openxmlformats.org/officeDocument/2006/relationships/hyperlink" Target="https://drive.google.com/file/d/1kqcyaN2PSYSX0zUlSslpoHRR5HZIOzX7/view?usp=drivesdk" TargetMode="External"/><Relationship Id="rId6469" Type="http://schemas.openxmlformats.org/officeDocument/2006/relationships/hyperlink" Target="https://drive.google.com/file/d/1j--O8NVftHR1P7tPYcgsVQBDaXUKNCIi/view?usp=drivesdk" TargetMode="External"/><Relationship Id="rId5139" Type="http://schemas.openxmlformats.org/officeDocument/2006/relationships/hyperlink" Target="https://drive.google.com/file/d/1tyr7guau_Tr49WGw_Cij4XKQF1zK0-DE/view?usp=drivesdk" TargetMode="External"/><Relationship Id="rId5136" Type="http://schemas.openxmlformats.org/officeDocument/2006/relationships/hyperlink" Target="https://drive.google.com/file/d/11ivQ8DpEc7GVdQSqbrs26netEo30_6hw/view?usp=drivesdk" TargetMode="External"/><Relationship Id="rId6467" Type="http://schemas.openxmlformats.org/officeDocument/2006/relationships/hyperlink" Target="https://drive.google.com/file/d/1aohdwlv-FR48jHxpAnwh7oqJufXWCCqh/view?usp=drivesdk" TargetMode="External"/><Relationship Id="rId7799" Type="http://schemas.openxmlformats.org/officeDocument/2006/relationships/hyperlink" Target="https://drive.google.com/file/d/1FnJU-CBEVokhaHxIU7LJ7Wz8KaUzoLvs/view?usp=drivesdk" TargetMode="External"/><Relationship Id="rId5137" Type="http://schemas.openxmlformats.org/officeDocument/2006/relationships/hyperlink" Target="https://drive.google.com/file/d/1pTxArkJH0d3_CNKZO1rUiXUGAF6OVZER/view?usp=drivesdk" TargetMode="External"/><Relationship Id="rId6468" Type="http://schemas.openxmlformats.org/officeDocument/2006/relationships/hyperlink" Target="https://drive.google.com/file/d/1zwSFGgIgIZ3GIo94CVPP2hB-18n7y0TX/view?usp=drivesdk" TargetMode="External"/><Relationship Id="rId7798" Type="http://schemas.openxmlformats.org/officeDocument/2006/relationships/hyperlink" Target="https://drive.google.com/file/d/1e6WX7Ti232_opSogLTTHHHQZKoFa3e8i/view?usp=drivesdk" TargetMode="External"/><Relationship Id="rId5129" Type="http://schemas.openxmlformats.org/officeDocument/2006/relationships/hyperlink" Target="https://drive.google.com/file/d/1fpbkpoZinZYQ7O4E7MQUO6TSgzABzyHI/view?usp=drivesdk" TargetMode="External"/><Relationship Id="rId6450" Type="http://schemas.openxmlformats.org/officeDocument/2006/relationships/hyperlink" Target="https://drive.google.com/file/d/1U4U_kkbC4j52fSvrT3pgcQYFhDqVJWAz/view?usp=drivesdk" TargetMode="External"/><Relationship Id="rId7782" Type="http://schemas.openxmlformats.org/officeDocument/2006/relationships/hyperlink" Target="https://drive.google.com/file/d/1TRASKrFkhM9-kgXzBFnDYBGOKvYRO9ib/view?usp=drivesdk" TargetMode="External"/><Relationship Id="rId5120" Type="http://schemas.openxmlformats.org/officeDocument/2006/relationships/hyperlink" Target="https://drive.google.com/file/d/1Oo0sAuLu8elCm4uitv6XcLalyhzx0VmQ/view?usp=drivesdk" TargetMode="External"/><Relationship Id="rId6451" Type="http://schemas.openxmlformats.org/officeDocument/2006/relationships/hyperlink" Target="https://drive.google.com/file/d/1KkKFlqtrvgu8yL8NYC9ebBjIeBrgb-M_/view?usp=drivesdk" TargetMode="External"/><Relationship Id="rId7781" Type="http://schemas.openxmlformats.org/officeDocument/2006/relationships/hyperlink" Target="https://drive.google.com/file/d/1gkWecDtO6E4Z7f_1x8zQsXPcg0ORQyM7/view?usp=drivesdk" TargetMode="External"/><Relationship Id="rId7780" Type="http://schemas.openxmlformats.org/officeDocument/2006/relationships/hyperlink" Target="https://drive.google.com/file/d/1GFx19q69O8ZJN0qB8cR-_tujEXY0i2AL/view?usp=drivesdk" TargetMode="External"/><Relationship Id="rId5123" Type="http://schemas.openxmlformats.org/officeDocument/2006/relationships/hyperlink" Target="https://drive.google.com/file/d/1bzp2-DvmtJH1zvhXXqOxaKUxNCHpyY3p/view?usp=drivesdk" TargetMode="External"/><Relationship Id="rId6454" Type="http://schemas.openxmlformats.org/officeDocument/2006/relationships/hyperlink" Target="https://drive.google.com/file/d/1ycTGhurESVt-bUhkgTjeUn4PCSJokpGB/view?usp=drivesdk" TargetMode="External"/><Relationship Id="rId7786" Type="http://schemas.openxmlformats.org/officeDocument/2006/relationships/hyperlink" Target="https://drive.google.com/file/d/1we31v4iYjainOXISQOFO9V1gYctzyaP3/view?usp=drivesdk" TargetMode="External"/><Relationship Id="rId5124" Type="http://schemas.openxmlformats.org/officeDocument/2006/relationships/hyperlink" Target="https://drive.google.com/file/d/1c1jDprTEinhroi0WiKR3DW683eP49uv-/view?usp=drivesdk" TargetMode="External"/><Relationship Id="rId6455" Type="http://schemas.openxmlformats.org/officeDocument/2006/relationships/hyperlink" Target="https://drive.google.com/file/d/1QTLMMrlLCOAkQKfakqpNmAncBopJxdwL/view?usp=drivesdk" TargetMode="External"/><Relationship Id="rId7785" Type="http://schemas.openxmlformats.org/officeDocument/2006/relationships/hyperlink" Target="https://drive.google.com/file/d/1xnEG7L2DbNJY6bHc5n9yVzWnz_5QU1U2/view?usp=drivesdk" TargetMode="External"/><Relationship Id="rId5121" Type="http://schemas.openxmlformats.org/officeDocument/2006/relationships/hyperlink" Target="https://drive.google.com/file/d/1VxV0vXdaJFYK1r83NBd4SzO_6Gr5dzTF/view?usp=drivesdk" TargetMode="External"/><Relationship Id="rId6452" Type="http://schemas.openxmlformats.org/officeDocument/2006/relationships/hyperlink" Target="https://drive.google.com/file/d/1VFmnQg-fEN91kru4HWYvIPMJ1Zs_T1jC/view?usp=drivesdk" TargetMode="External"/><Relationship Id="rId7784" Type="http://schemas.openxmlformats.org/officeDocument/2006/relationships/hyperlink" Target="https://drive.google.com/file/d/1dRaFl1GBwI1cMZ1n47zdH00oT8wfDmcZ/view?usp=drivesdk" TargetMode="External"/><Relationship Id="rId5122" Type="http://schemas.openxmlformats.org/officeDocument/2006/relationships/hyperlink" Target="https://drive.google.com/file/d/1KHvgM2R6XuDIYtfoJ7QCQEf4cVM97iN7/view?usp=drivesdk" TargetMode="External"/><Relationship Id="rId6453" Type="http://schemas.openxmlformats.org/officeDocument/2006/relationships/hyperlink" Target="https://drive.google.com/file/d/1V299PwzqhPmlryJMaarOlqkIvKCaH99M/view?usp=drivesdk" TargetMode="External"/><Relationship Id="rId7783" Type="http://schemas.openxmlformats.org/officeDocument/2006/relationships/hyperlink" Target="https://drive.google.com/file/d/1SM-nyz2Fhfhz_iCH_S3_A3XabI0ISnG1/view?usp=drivesdk" TargetMode="External"/><Relationship Id="rId5127" Type="http://schemas.openxmlformats.org/officeDocument/2006/relationships/hyperlink" Target="https://drive.google.com/file/d/1kkt5-RdIFtE9mYp_x0C9kIBFOiajq9Xe/view?usp=drivesdk" TargetMode="External"/><Relationship Id="rId6458" Type="http://schemas.openxmlformats.org/officeDocument/2006/relationships/hyperlink" Target="https://drive.google.com/file/d/1tX06DTgWN_qNbETnGY7rNHZSkxphcRQE/view?usp=drivesdk" TargetMode="External"/><Relationship Id="rId5128" Type="http://schemas.openxmlformats.org/officeDocument/2006/relationships/hyperlink" Target="https://drive.google.com/file/d/1ipIZIoRFnmszK8FU-93SoVrr31igWeQ2/view?usp=drivesdk" TargetMode="External"/><Relationship Id="rId6459" Type="http://schemas.openxmlformats.org/officeDocument/2006/relationships/hyperlink" Target="https://drive.google.com/file/d/1k34iqQ59GnBf5b4cy-ZgACZH0e368qoS/view?usp=drivesdk" TargetMode="External"/><Relationship Id="rId7789" Type="http://schemas.openxmlformats.org/officeDocument/2006/relationships/hyperlink" Target="https://drive.google.com/file/d/1jpCrnKguvQAlksjlfUto41l2fGpicyXf/view?usp=drivesdk" TargetMode="External"/><Relationship Id="rId5125" Type="http://schemas.openxmlformats.org/officeDocument/2006/relationships/hyperlink" Target="https://drive.google.com/file/d/1GUpDEBRXtANo-k8xdVLI4JDRFdNAejyV/view?usp=drivesdk" TargetMode="External"/><Relationship Id="rId6456" Type="http://schemas.openxmlformats.org/officeDocument/2006/relationships/hyperlink" Target="https://drive.google.com/file/d/1xbhGHETeT7GxH3BM1wkBU6s99m9Ixj38/view?usp=drivesdk" TargetMode="External"/><Relationship Id="rId7788" Type="http://schemas.openxmlformats.org/officeDocument/2006/relationships/hyperlink" Target="https://drive.google.com/file/d/1ssE1n_FKEfglmoAh3ZVptMz-SO4G0jIB/view?usp=drivesdk" TargetMode="External"/><Relationship Id="rId5126" Type="http://schemas.openxmlformats.org/officeDocument/2006/relationships/hyperlink" Target="https://drive.google.com/file/d/12DxG1MWuWk6HG9UR84FU7upwA59QIF0B/view?usp=drivesdk" TargetMode="External"/><Relationship Id="rId6457" Type="http://schemas.openxmlformats.org/officeDocument/2006/relationships/hyperlink" Target="https://drive.google.com/file/d/1MkJLrBBJCX1Ybddt-3QuDF3x9dFC-6VI/view?usp=drivesdk" TargetMode="External"/><Relationship Id="rId7787" Type="http://schemas.openxmlformats.org/officeDocument/2006/relationships/hyperlink" Target="https://drive.google.com/file/d/1w0GWYM0JR6SV0fBTUTJGNCknVnMLgnZO/view?usp=drivesdk" TargetMode="External"/><Relationship Id="rId6480" Type="http://schemas.openxmlformats.org/officeDocument/2006/relationships/hyperlink" Target="https://drive.google.com/file/d/1PYn2SIsjArjnrgqu_ZjelcAHGrI4U2a2/view?usp=drivesdk" TargetMode="External"/><Relationship Id="rId5152" Type="http://schemas.openxmlformats.org/officeDocument/2006/relationships/hyperlink" Target="https://drive.google.com/file/d/1pACBEUGx9ykm_35k3XVFmSlRPfodkSiH/view?usp=drivesdk" TargetMode="External"/><Relationship Id="rId6483" Type="http://schemas.openxmlformats.org/officeDocument/2006/relationships/hyperlink" Target="https://drive.google.com/file/d/1tnYvOlCCkK3XLHRuTRh9UA59uBI7AbJM/view?usp=drivesdk" TargetMode="External"/><Relationship Id="rId5153" Type="http://schemas.openxmlformats.org/officeDocument/2006/relationships/hyperlink" Target="https://drive.google.com/file/d/1JsebVhfZ6lCyH9Wn0V_8-xL2cUDJYWYr/view?usp=drivesdk" TargetMode="External"/><Relationship Id="rId6484" Type="http://schemas.openxmlformats.org/officeDocument/2006/relationships/hyperlink" Target="https://drive.google.com/file/d/1cV6JgK3kSRSa3hLlPmdWz1cDHE2UGi0Z/view?usp=drivesdk" TargetMode="External"/><Relationship Id="rId5150" Type="http://schemas.openxmlformats.org/officeDocument/2006/relationships/hyperlink" Target="https://drive.google.com/file/d/1zpOKHowmiWkUv7PLs0a6n-psbESlRJOl/view?usp=drivesdk" TargetMode="External"/><Relationship Id="rId6481" Type="http://schemas.openxmlformats.org/officeDocument/2006/relationships/hyperlink" Target="https://drive.google.com/file/d/17ykqWLOr2Fw3fFBYQjaT8mjmwyX9FEFZ/view?usp=drivesdk" TargetMode="External"/><Relationship Id="rId5151" Type="http://schemas.openxmlformats.org/officeDocument/2006/relationships/hyperlink" Target="https://drive.google.com/file/d/1o0BI6w_Do074wzLYxc43K7f9aLt5Jm7M/view?usp=drivesdk" TargetMode="External"/><Relationship Id="rId6482" Type="http://schemas.openxmlformats.org/officeDocument/2006/relationships/hyperlink" Target="https://drive.google.com/file/d/1kZxkJMNPvlxNDebVwBy3mBZbhxxLCrPX/view?usp=drivesdk" TargetMode="External"/><Relationship Id="rId5156" Type="http://schemas.openxmlformats.org/officeDocument/2006/relationships/hyperlink" Target="https://drive.google.com/file/d/1sSzmJTgHPZEjrGeD5CUuzyvQfun-kxUj/view?usp=drivesdk" TargetMode="External"/><Relationship Id="rId6487" Type="http://schemas.openxmlformats.org/officeDocument/2006/relationships/hyperlink" Target="https://drive.google.com/file/d/16Kcn9mgl4PNIaL_e7Ye6Dqo-diP5ZE0y/view?usp=drivesdk" TargetMode="External"/><Relationship Id="rId5157" Type="http://schemas.openxmlformats.org/officeDocument/2006/relationships/hyperlink" Target="https://drive.google.com/file/d/1kNBDwFdrQj9lWISPd55KrAyDoRZ05RS-/view?usp=drivesdk" TargetMode="External"/><Relationship Id="rId6488" Type="http://schemas.openxmlformats.org/officeDocument/2006/relationships/hyperlink" Target="https://drive.google.com/file/d/1NpnYmv4UWrRNG3QSK7ZUc2bOCkylcmx_/view?usp=drivesdk" TargetMode="External"/><Relationship Id="rId5154" Type="http://schemas.openxmlformats.org/officeDocument/2006/relationships/hyperlink" Target="https://drive.google.com/file/d/1YZ3toDZYzZ9---GnkTe8lwFC84S0i-mN/view?usp=drivesdk" TargetMode="External"/><Relationship Id="rId6485" Type="http://schemas.openxmlformats.org/officeDocument/2006/relationships/hyperlink" Target="https://drive.google.com/file/d/1EmFKc3xLOHDJ-3St0RjLXZuGq1DZR5U4/view?usp=drivesdk" TargetMode="External"/><Relationship Id="rId5155" Type="http://schemas.openxmlformats.org/officeDocument/2006/relationships/hyperlink" Target="https://drive.google.com/file/d/1KmOD0PNmeSz5e0b8Yr7ddFMC5iCNOlEM/view?usp=drivesdk" TargetMode="External"/><Relationship Id="rId6486" Type="http://schemas.openxmlformats.org/officeDocument/2006/relationships/hyperlink" Target="https://drive.google.com/file/d/1eeiGBL3w9QOdRoxTDeVAgE9-_-WhqWt2/view?usp=drivesdk" TargetMode="External"/><Relationship Id="rId5158" Type="http://schemas.openxmlformats.org/officeDocument/2006/relationships/hyperlink" Target="https://drive.google.com/file/d/1_aH1NDzOyZmPFzZjQj3k9Y2D9X-dWLmA/view?usp=drivesdk" TargetMode="External"/><Relationship Id="rId6489" Type="http://schemas.openxmlformats.org/officeDocument/2006/relationships/hyperlink" Target="https://drive.google.com/file/d/1vFcd3muxo4aTssjh1HaiFYdEWJ1NRDt1/view?usp=drivesdk" TargetMode="External"/><Relationship Id="rId5159" Type="http://schemas.openxmlformats.org/officeDocument/2006/relationships/hyperlink" Target="https://drive.google.com/file/d/15JbWu0TDUZkWDjJPHmfr7RJDARcEkZcX/view?usp=drivesdk" TargetMode="External"/><Relationship Id="rId5141" Type="http://schemas.openxmlformats.org/officeDocument/2006/relationships/hyperlink" Target="https://drive.google.com/file/d/18T67ARgd-GUJKSE7-BNc6yTB01S1l8mu/view?usp=drivesdk" TargetMode="External"/><Relationship Id="rId6472" Type="http://schemas.openxmlformats.org/officeDocument/2006/relationships/hyperlink" Target="https://drive.google.com/file/d/15TTIofllYCHFyfuU91QCXJNaJwiHFRkU/view?usp=drivesdk" TargetMode="External"/><Relationship Id="rId5142" Type="http://schemas.openxmlformats.org/officeDocument/2006/relationships/hyperlink" Target="https://drive.google.com/file/d/1F2ULRJHNKgnM6eXWWT0RFR26zTt-JuBJ/view?usp=drivesdk" TargetMode="External"/><Relationship Id="rId6473" Type="http://schemas.openxmlformats.org/officeDocument/2006/relationships/hyperlink" Target="https://drive.google.com/file/d/1RSsGgJH6j0_ZKCbc9OzQD05oCkSuRx_P/view?usp=drivesdk" TargetMode="External"/><Relationship Id="rId6470" Type="http://schemas.openxmlformats.org/officeDocument/2006/relationships/hyperlink" Target="https://drive.google.com/file/d/1ZbW0_xiO-9qVy9kIO8qvOX9OGZeXI5uq/view?usp=drivesdk" TargetMode="External"/><Relationship Id="rId5140" Type="http://schemas.openxmlformats.org/officeDocument/2006/relationships/hyperlink" Target="https://drive.google.com/file/d/1nehJARYCJGIVzABn6Ch0vuytSkCKcDbv/view?usp=drivesdk" TargetMode="External"/><Relationship Id="rId6471" Type="http://schemas.openxmlformats.org/officeDocument/2006/relationships/hyperlink" Target="https://drive.google.com/file/d/1wR4JuNB1XTufRbkLquClt6bdA4WH7-i-/view?usp=drivesdk" TargetMode="External"/><Relationship Id="rId5145" Type="http://schemas.openxmlformats.org/officeDocument/2006/relationships/hyperlink" Target="https://drive.google.com/file/d/1DplDq47z5SkeZqrDbkFCrCZ4ZeLjtk6d/view?usp=drivesdk" TargetMode="External"/><Relationship Id="rId6476" Type="http://schemas.openxmlformats.org/officeDocument/2006/relationships/hyperlink" Target="https://drive.google.com/file/d/1JXzZ9G3-1EczTK-raXy3gLnEQaVlQojv/view?usp=drivesdk" TargetMode="External"/><Relationship Id="rId5146" Type="http://schemas.openxmlformats.org/officeDocument/2006/relationships/hyperlink" Target="https://drive.google.com/file/d/1Wh2Vo99VlySO5C7GqC0qx4nLKOHfLlSX/view?usp=drivesdk" TargetMode="External"/><Relationship Id="rId6477" Type="http://schemas.openxmlformats.org/officeDocument/2006/relationships/hyperlink" Target="https://drive.google.com/file/d/16t7-vCdYTe7rPtxQsX6WpstHtIn6Tkdr/view?usp=drivesdk" TargetMode="External"/><Relationship Id="rId5143" Type="http://schemas.openxmlformats.org/officeDocument/2006/relationships/hyperlink" Target="https://drive.google.com/file/d/18ZtTyGz7X6TeUgam-WxyMyfATnUdgwYN/view?usp=drivesdk" TargetMode="External"/><Relationship Id="rId6474" Type="http://schemas.openxmlformats.org/officeDocument/2006/relationships/hyperlink" Target="https://drive.google.com/file/d/17JOYhSnrMrDlRg1G_3OBMZ_lp5staVGO/view?usp=drivesdk" TargetMode="External"/><Relationship Id="rId5144" Type="http://schemas.openxmlformats.org/officeDocument/2006/relationships/hyperlink" Target="https://drive.google.com/file/d/1evWGZlPzZly9WhhlMfHB39AQ2_3Tojt7/view?usp=drivesdk" TargetMode="External"/><Relationship Id="rId6475" Type="http://schemas.openxmlformats.org/officeDocument/2006/relationships/hyperlink" Target="https://drive.google.com/file/d/1fPNGz5de65zpLa51C58_JUfxCD3Zn12F/view?usp=drivesdk" TargetMode="External"/><Relationship Id="rId5149" Type="http://schemas.openxmlformats.org/officeDocument/2006/relationships/hyperlink" Target="https://drive.google.com/file/d/1TlFYr-L8k0eOpD56YabtFuPzM92ZdsOT/view?usp=drivesdk" TargetMode="External"/><Relationship Id="rId5147" Type="http://schemas.openxmlformats.org/officeDocument/2006/relationships/hyperlink" Target="https://drive.google.com/file/d/1JjxQ9W-y-devks6Jm68wcqf51rY4PZfg/view?usp=drivesdk" TargetMode="External"/><Relationship Id="rId6478" Type="http://schemas.openxmlformats.org/officeDocument/2006/relationships/hyperlink" Target="https://drive.google.com/file/d/1X__748BChPnsZaJpByBlTPOeX4HxFfUY/view?usp=drivesdk" TargetMode="External"/><Relationship Id="rId5148" Type="http://schemas.openxmlformats.org/officeDocument/2006/relationships/hyperlink" Target="https://drive.google.com/file/d/1qnCVyCMyo6_srFhuI7Ed5nuvxU5CsNuY/view?usp=drivesdk" TargetMode="External"/><Relationship Id="rId6479" Type="http://schemas.openxmlformats.org/officeDocument/2006/relationships/hyperlink" Target="https://drive.google.com/file/d/1uD7ki3YAT-vu5e65iPlozwkThxsZ7NBz/view?usp=drivesdk" TargetMode="External"/><Relationship Id="rId6429" Type="http://schemas.openxmlformats.org/officeDocument/2006/relationships/hyperlink" Target="https://drive.google.com/file/d/1fXeisU4shigRnQ_EBOnY7x6Ch-Dv75st/view?usp=drivesdk" TargetMode="External"/><Relationship Id="rId6427" Type="http://schemas.openxmlformats.org/officeDocument/2006/relationships/hyperlink" Target="https://drive.google.com/file/d/1grGlmKqna90eh-Ab8JxojBn1xabnT2Zu/view?usp=drivesdk" TargetMode="External"/><Relationship Id="rId7759" Type="http://schemas.openxmlformats.org/officeDocument/2006/relationships/hyperlink" Target="https://drive.google.com/file/d/1f1imWt1D2DG4CbgEw6WMfUOfLqFUfmcr/view?usp=drivesdk" TargetMode="External"/><Relationship Id="rId6428" Type="http://schemas.openxmlformats.org/officeDocument/2006/relationships/hyperlink" Target="https://drive.google.com/file/d/14bdOIjO6qNNi5k_LCXwlK5JKJa-kUMws/view?usp=drivesdk" TargetMode="External"/><Relationship Id="rId7758" Type="http://schemas.openxmlformats.org/officeDocument/2006/relationships/hyperlink" Target="https://drive.google.com/file/d/1wffY9EpM_2t26Ck_8flypsq_G_sJeIUT/view?usp=drivesdk" TargetMode="External"/><Relationship Id="rId6421" Type="http://schemas.openxmlformats.org/officeDocument/2006/relationships/hyperlink" Target="https://drive.google.com/file/d/1KoOxHhs2IP97NuU_EzenC_lvbA8Q5OV4/view?usp=drivesdk" TargetMode="External"/><Relationship Id="rId7753" Type="http://schemas.openxmlformats.org/officeDocument/2006/relationships/hyperlink" Target="https://drive.google.com/file/d/1OJTONHVkXoJrCOOinlely81QMiQNFW22/view?usp=drivesdk" TargetMode="External"/><Relationship Id="rId6422" Type="http://schemas.openxmlformats.org/officeDocument/2006/relationships/hyperlink" Target="https://drive.google.com/file/d/1kZofildpP7IaE2tiGZk1itCq1h2CKo1w/view?usp=drivesdk" TargetMode="External"/><Relationship Id="rId7752" Type="http://schemas.openxmlformats.org/officeDocument/2006/relationships/hyperlink" Target="https://drive.google.com/file/d/1mCN05-Ese1qXjvBwHcPEDSKYsEYRPuG7/view?usp=drivesdk" TargetMode="External"/><Relationship Id="rId7751" Type="http://schemas.openxmlformats.org/officeDocument/2006/relationships/hyperlink" Target="https://drive.google.com/file/d/1bHFHQQFFqrtgWu7bnW5C-qQpE0CGVpXY/view?usp=drivesdk" TargetMode="External"/><Relationship Id="rId6420" Type="http://schemas.openxmlformats.org/officeDocument/2006/relationships/hyperlink" Target="https://drive.google.com/file/d/1qrsHptdIIPMNR9Rwrp38Kl5oykI98EkC/view?usp=drivesdk" TargetMode="External"/><Relationship Id="rId7750" Type="http://schemas.openxmlformats.org/officeDocument/2006/relationships/hyperlink" Target="https://drive.google.com/file/d/1Ve1rwe190u9wea61R3I2opduliSZRezV/view?usp=drivesdk" TargetMode="External"/><Relationship Id="rId6425" Type="http://schemas.openxmlformats.org/officeDocument/2006/relationships/hyperlink" Target="https://drive.google.com/file/d/1EdOGPodBhfOFfFJICd265kapETvoZ94F/view?usp=drivesdk" TargetMode="External"/><Relationship Id="rId7757" Type="http://schemas.openxmlformats.org/officeDocument/2006/relationships/hyperlink" Target="https://drive.google.com/file/d/18iH3CkyL5prpeNIPtb67RM3w31ES5Vue/view?usp=drivesdk" TargetMode="External"/><Relationship Id="rId6426" Type="http://schemas.openxmlformats.org/officeDocument/2006/relationships/hyperlink" Target="https://drive.google.com/file/d/1oOGv3xv84ZR9zRBE58AWaCjDw5JJnE9T/view?usp=drivesdk" TargetMode="External"/><Relationship Id="rId7756" Type="http://schemas.openxmlformats.org/officeDocument/2006/relationships/hyperlink" Target="https://drive.google.com/file/d/1DzE6bTD2kPxKk-a9uHNujTumwLkgeS-s/view?usp=drivesdk" TargetMode="External"/><Relationship Id="rId6423" Type="http://schemas.openxmlformats.org/officeDocument/2006/relationships/hyperlink" Target="https://drive.google.com/file/d/1-N8tr3blopiw36L0O1NwSZvcfN2NLLgj/view?usp=drivesdk" TargetMode="External"/><Relationship Id="rId7755" Type="http://schemas.openxmlformats.org/officeDocument/2006/relationships/hyperlink" Target="https://drive.google.com/file/d/1XvcWm-rnO35GbesqTyU-5vVPuK2XgOgv/view?usp=drivesdk" TargetMode="External"/><Relationship Id="rId6424" Type="http://schemas.openxmlformats.org/officeDocument/2006/relationships/hyperlink" Target="https://drive.google.com/file/d/19ZTRq96iqtM6BAUG_w8xEmJijzxeo1A1/view?usp=drivesdk" TargetMode="External"/><Relationship Id="rId7754" Type="http://schemas.openxmlformats.org/officeDocument/2006/relationships/hyperlink" Target="https://drive.google.com/file/d/1KqRxR_6AbggBtomIof_WWoYdsDXrXrxh/view?usp=drivesdk" TargetMode="External"/><Relationship Id="rId6418" Type="http://schemas.openxmlformats.org/officeDocument/2006/relationships/hyperlink" Target="https://drive.google.com/file/d/1mKtwwHjXO0tQAa-xdxwmf3wlXeCpCZjS/view?usp=drivesdk" TargetMode="External"/><Relationship Id="rId6419" Type="http://schemas.openxmlformats.org/officeDocument/2006/relationships/hyperlink" Target="https://drive.google.com/file/d/11vSFlLuyy1koF4_XTeZEbiPZu2R76xL6/view?usp=drivesdk" TargetMode="External"/><Relationship Id="rId7749" Type="http://schemas.openxmlformats.org/officeDocument/2006/relationships/hyperlink" Target="https://drive.google.com/file/d/1BI7VzSiYPBUdHlJL076LLNyNAprJjwOM/view?usp=drivesdk" TargetMode="External"/><Relationship Id="rId6416" Type="http://schemas.openxmlformats.org/officeDocument/2006/relationships/hyperlink" Target="https://drive.google.com/file/d/1cqzRFQCdXWjf3aXzr6sP0TCVUPXZh2nJ/view?usp=drivesdk" TargetMode="External"/><Relationship Id="rId7748" Type="http://schemas.openxmlformats.org/officeDocument/2006/relationships/hyperlink" Target="https://drive.google.com/file/d/1Tsb_Umd64NQw_loklPv7rsLmRGlTOKX6/view?usp=drivesdk" TargetMode="External"/><Relationship Id="rId6417" Type="http://schemas.openxmlformats.org/officeDocument/2006/relationships/hyperlink" Target="https://drive.google.com/file/d/15Zj3oCKFUrZaawA_FuRUa9WAn6nJ3IS9/view?usp=drivesdk" TargetMode="External"/><Relationship Id="rId7747" Type="http://schemas.openxmlformats.org/officeDocument/2006/relationships/hyperlink" Target="https://drive.google.com/file/d/1MwFo61hUrwjbeCaLuk2rKffSOj-Xl4iD/view?usp=drivesdk" TargetMode="External"/><Relationship Id="rId6410" Type="http://schemas.openxmlformats.org/officeDocument/2006/relationships/hyperlink" Target="https://drive.google.com/file/d/1l9JZ0gbDfxOsgSCJt5uklHmCrHF-1TRq/view?usp=drivesdk" TargetMode="External"/><Relationship Id="rId7742" Type="http://schemas.openxmlformats.org/officeDocument/2006/relationships/hyperlink" Target="https://drive.google.com/file/d/1CpPtYByaM4AImnFLky4A4ovUn9oEzE1l/view?usp=drivesdk" TargetMode="External"/><Relationship Id="rId6411" Type="http://schemas.openxmlformats.org/officeDocument/2006/relationships/hyperlink" Target="https://drive.google.com/file/d/1Tpmk7Iz6VxJpClCPToF7d1zJZn4FZ2j6/view?usp=drivesdk" TargetMode="External"/><Relationship Id="rId7741" Type="http://schemas.openxmlformats.org/officeDocument/2006/relationships/hyperlink" Target="https://drive.google.com/file/d/17SyYgVxWotfAxYnOi-2OnSVb5K94X7FE/view?usp=drivesdk" TargetMode="External"/><Relationship Id="rId7740" Type="http://schemas.openxmlformats.org/officeDocument/2006/relationships/hyperlink" Target="https://drive.google.com/file/d/1V2JRKh_rM0v7PFEF1AstSb_W6k088ZRu/view?usp=drivesdk" TargetMode="External"/><Relationship Id="rId6414" Type="http://schemas.openxmlformats.org/officeDocument/2006/relationships/hyperlink" Target="https://drive.google.com/file/d/1EF49ZCKELizM32KkUrovSOhLs1ECY5iU/view?usp=drivesdk" TargetMode="External"/><Relationship Id="rId7746" Type="http://schemas.openxmlformats.org/officeDocument/2006/relationships/hyperlink" Target="https://drive.google.com/file/d/13ES43xyQB2HsaMKJwi3sASa7FaNt_ZoM/view?usp=drivesdk" TargetMode="External"/><Relationship Id="rId6415" Type="http://schemas.openxmlformats.org/officeDocument/2006/relationships/hyperlink" Target="https://drive.google.com/file/d/1gdTVCCm6-8vvke7xumjrzY-O7rgBpAfB/view?usp=drivesdk" TargetMode="External"/><Relationship Id="rId7745" Type="http://schemas.openxmlformats.org/officeDocument/2006/relationships/hyperlink" Target="https://drive.google.com/file/d/1vBNBpfTJfNlitg6bLWDnLWyMsKK1ZJuq/view?usp=drivesdk" TargetMode="External"/><Relationship Id="rId6412" Type="http://schemas.openxmlformats.org/officeDocument/2006/relationships/hyperlink" Target="https://drive.google.com/file/d/1GwzHJmlyATskU-S1sTlIQTSxVnNDnWZZ/view?usp=drivesdk" TargetMode="External"/><Relationship Id="rId7744" Type="http://schemas.openxmlformats.org/officeDocument/2006/relationships/hyperlink" Target="https://drive.google.com/file/d/1vvUMDzZnxuYOY-hZF8qOsLTw1maDrZQj/view?usp=drivesdk" TargetMode="External"/><Relationship Id="rId6413" Type="http://schemas.openxmlformats.org/officeDocument/2006/relationships/hyperlink" Target="https://drive.google.com/file/d/1cpC6Zolxci4K5t-Ka4eg0wKP1GXp8F9z/view?usp=drivesdk" TargetMode="External"/><Relationship Id="rId7743" Type="http://schemas.openxmlformats.org/officeDocument/2006/relationships/hyperlink" Target="https://drive.google.com/file/d/1Jxp01-ceDRqIaqgq72VHZPeKx2vDxqfn/view?usp=drivesdk" TargetMode="External"/><Relationship Id="rId5118" Type="http://schemas.openxmlformats.org/officeDocument/2006/relationships/hyperlink" Target="https://drive.google.com/file/d/1WuzF3vyDuSLpWcj-v6UFhsVNF5L70eEz/view?usp=drivesdk" TargetMode="External"/><Relationship Id="rId6449" Type="http://schemas.openxmlformats.org/officeDocument/2006/relationships/hyperlink" Target="https://drive.google.com/file/d/1H03ofFq_QO1vJvYbNmh_atvkkjkriNoM/view?usp=drivesdk" TargetMode="External"/><Relationship Id="rId5119" Type="http://schemas.openxmlformats.org/officeDocument/2006/relationships/hyperlink" Target="https://drive.google.com/file/d/1fwwA0XUzKcX9S2XPlWmg75eAcyN9h7B7/view?usp=drivesdk" TargetMode="External"/><Relationship Id="rId7771" Type="http://schemas.openxmlformats.org/officeDocument/2006/relationships/hyperlink" Target="https://drive.google.com/file/d/1P-qET5BVKOaQuG956df4op9HgnvN5URz/view?usp=drivesdk" TargetMode="External"/><Relationship Id="rId6440" Type="http://schemas.openxmlformats.org/officeDocument/2006/relationships/hyperlink" Target="https://drive.google.com/file/d/16Ig-jlvIVI0LeGV8dIopZL2TuiijyIu2/view?usp=drivesdk" TargetMode="External"/><Relationship Id="rId7770" Type="http://schemas.openxmlformats.org/officeDocument/2006/relationships/hyperlink" Target="https://drive.google.com/file/d/1ianzdeYUbHMLRjNwN7TWj64ey23PxB_k/view?usp=drivesdk" TargetMode="External"/><Relationship Id="rId5112" Type="http://schemas.openxmlformats.org/officeDocument/2006/relationships/hyperlink" Target="https://drive.google.com/file/d/1KDPnkLYBM46EcYsMETIzhgBoTWf02_i7/view?usp=drivesdk" TargetMode="External"/><Relationship Id="rId6443" Type="http://schemas.openxmlformats.org/officeDocument/2006/relationships/hyperlink" Target="https://drive.google.com/file/d/1soJ2YgTDaZg4O1uQhFA12gbYkd0il1B0/view?usp=drivesdk" TargetMode="External"/><Relationship Id="rId7775" Type="http://schemas.openxmlformats.org/officeDocument/2006/relationships/hyperlink" Target="https://drive.google.com/file/d/1CZhDoIPpfr5-ExpA3piMJkMOoVl58BB_/view?usp=drivesdk" TargetMode="External"/><Relationship Id="rId5113" Type="http://schemas.openxmlformats.org/officeDocument/2006/relationships/hyperlink" Target="https://drive.google.com/file/d/1FekryZGqNVdDvaaWuSRLwkVw1EdSa5PE/view?usp=drivesdk" TargetMode="External"/><Relationship Id="rId6444" Type="http://schemas.openxmlformats.org/officeDocument/2006/relationships/hyperlink" Target="https://drive.google.com/file/d/1wFBpMo2jrCy9W2Kufj8Zb5nhhRfx6Eup/view?usp=drivesdk" TargetMode="External"/><Relationship Id="rId7774" Type="http://schemas.openxmlformats.org/officeDocument/2006/relationships/hyperlink" Target="https://drive.google.com/file/d/10gHTrqHuWALwOwLaXbNH6utRZ-ZpQ132/view?usp=drivesdk" TargetMode="External"/><Relationship Id="rId5110" Type="http://schemas.openxmlformats.org/officeDocument/2006/relationships/hyperlink" Target="https://drive.google.com/file/d/1zN-8G9dWdFNgx-znQWbVb2SpVxH6CGmv/view?usp=drivesdk" TargetMode="External"/><Relationship Id="rId6441" Type="http://schemas.openxmlformats.org/officeDocument/2006/relationships/hyperlink" Target="https://drive.google.com/file/d/1752vq8cYr2k8Yme-iGiNHuwhL4VBVq9B/view?usp=drivesdk" TargetMode="External"/><Relationship Id="rId7773" Type="http://schemas.openxmlformats.org/officeDocument/2006/relationships/hyperlink" Target="https://drive.google.com/file/d/1MQdeAIMibBFDvFPWZrYx5hzSYYdqyJNC/view?usp=drivesdk" TargetMode="External"/><Relationship Id="rId5111" Type="http://schemas.openxmlformats.org/officeDocument/2006/relationships/hyperlink" Target="https://drive.google.com/file/d/1_WAZSXB_TVvYmVbugRV-863IvHT4jkzV/view?usp=drivesdk" TargetMode="External"/><Relationship Id="rId6442" Type="http://schemas.openxmlformats.org/officeDocument/2006/relationships/hyperlink" Target="https://drive.google.com/file/d/1J5VY55zAUbFbWT3-ItXfzFX_rfgRqINp/view?usp=drivesdk" TargetMode="External"/><Relationship Id="rId7772" Type="http://schemas.openxmlformats.org/officeDocument/2006/relationships/hyperlink" Target="https://drive.google.com/file/d/1dMG95B9SiLh4SsxuPBSDg1q219z1I0g2/view?usp=drivesdk" TargetMode="External"/><Relationship Id="rId5116" Type="http://schemas.openxmlformats.org/officeDocument/2006/relationships/hyperlink" Target="https://drive.google.com/file/d/1xwXy3h7IeRJ09Egi6xzKu81JvsGzhK3h/view?usp=drivesdk" TargetMode="External"/><Relationship Id="rId6447" Type="http://schemas.openxmlformats.org/officeDocument/2006/relationships/hyperlink" Target="https://drive.google.com/file/d/11yJdnWe1Kf1u2bHS3_OgwbN7yMo6jBQu/view?usp=drivesdk" TargetMode="External"/><Relationship Id="rId7779" Type="http://schemas.openxmlformats.org/officeDocument/2006/relationships/hyperlink" Target="https://drive.google.com/file/d/19A_54oL1NkXA2vpScHytxP6tGGRbzM2d/view?usp=drivesdk" TargetMode="External"/><Relationship Id="rId5117" Type="http://schemas.openxmlformats.org/officeDocument/2006/relationships/hyperlink" Target="https://drive.google.com/file/d/1J2sZKg_HXaVA7npVL2YCHh4OVZnVpINw/view?usp=drivesdk" TargetMode="External"/><Relationship Id="rId6448" Type="http://schemas.openxmlformats.org/officeDocument/2006/relationships/hyperlink" Target="https://drive.google.com/file/d/1uVJjUZ5PDzvpmlQCGx2FpSvrUO6Ky-j1/view?usp=drivesdk" TargetMode="External"/><Relationship Id="rId7778" Type="http://schemas.openxmlformats.org/officeDocument/2006/relationships/hyperlink" Target="https://drive.google.com/file/d/1t-xTMzRmkyZSAdKiAPmyTdRWPQLccJf_/view?usp=drivesdk" TargetMode="External"/><Relationship Id="rId5114" Type="http://schemas.openxmlformats.org/officeDocument/2006/relationships/hyperlink" Target="https://drive.google.com/file/d/1k-x-JE6AvHJ2bAlw5Xso86xBPtZfN-_R/view?usp=drivesdk" TargetMode="External"/><Relationship Id="rId6445" Type="http://schemas.openxmlformats.org/officeDocument/2006/relationships/hyperlink" Target="https://drive.google.com/file/d/1D8xYhQBaGaCVoDNKMj9kK2NXVaBJQMrP/view?usp=drivesdk" TargetMode="External"/><Relationship Id="rId7777" Type="http://schemas.openxmlformats.org/officeDocument/2006/relationships/hyperlink" Target="https://drive.google.com/file/d/1gGiVn7_okwHnqZEVA7cftOnib5zrdu7M/view?usp=drivesdk" TargetMode="External"/><Relationship Id="rId5115" Type="http://schemas.openxmlformats.org/officeDocument/2006/relationships/hyperlink" Target="https://drive.google.com/file/d/1gSS_Pb3_Rm3dcCbHQMqeTmf1Ks-h3PH8/view?usp=drivesdk" TargetMode="External"/><Relationship Id="rId6446" Type="http://schemas.openxmlformats.org/officeDocument/2006/relationships/hyperlink" Target="https://drive.google.com/file/d/1TcbzFWVr_tPA2eCPXHtl9i9EBsfHbwBc/view?usp=drivesdk" TargetMode="External"/><Relationship Id="rId7776" Type="http://schemas.openxmlformats.org/officeDocument/2006/relationships/hyperlink" Target="https://drive.google.com/file/d/1iae0_hCOEisNgkLhfc1qm42ovIZQEeeH/view?usp=drivesdk" TargetMode="External"/><Relationship Id="rId5109" Type="http://schemas.openxmlformats.org/officeDocument/2006/relationships/hyperlink" Target="https://drive.google.com/file/d/1EEVOl7EpXthlXVFfbsfuuhofjxTWffWE/view?usp=drivesdk" TargetMode="External"/><Relationship Id="rId5107" Type="http://schemas.openxmlformats.org/officeDocument/2006/relationships/hyperlink" Target="https://drive.google.com/file/d/15sksaYZOC90moHWD1LfXxrA4Am0E5FoB/view?usp=drivesdk" TargetMode="External"/><Relationship Id="rId6438" Type="http://schemas.openxmlformats.org/officeDocument/2006/relationships/hyperlink" Target="https://drive.google.com/file/d/1NDE7Wa7bB-5ETrP2N9ceaiNdk0n_kpFe/view?usp=drivesdk" TargetMode="External"/><Relationship Id="rId5108" Type="http://schemas.openxmlformats.org/officeDocument/2006/relationships/hyperlink" Target="https://drive.google.com/file/d/16exfb8c92Yil09COpNmohsy_PtJr_gqG/view?usp=drivesdk" TargetMode="External"/><Relationship Id="rId6439" Type="http://schemas.openxmlformats.org/officeDocument/2006/relationships/hyperlink" Target="https://drive.google.com/file/d/1vaLf-I_5mWa_zgLK6fN98vEcN3m4tgAe/view?usp=drivesdk" TargetMode="External"/><Relationship Id="rId7769" Type="http://schemas.openxmlformats.org/officeDocument/2006/relationships/hyperlink" Target="https://drive.google.com/file/d/1f_Rm5Z7kNbaAoykSBgV0X44VErvqWcd7/view?usp=drivesdk" TargetMode="External"/><Relationship Id="rId7760" Type="http://schemas.openxmlformats.org/officeDocument/2006/relationships/hyperlink" Target="https://drive.google.com/file/d/1hiKQXlLROUuSX3Rm5Aqa3q_0sPWhIJbQ/view?usp=drivesdk" TargetMode="External"/><Relationship Id="rId5101" Type="http://schemas.openxmlformats.org/officeDocument/2006/relationships/hyperlink" Target="https://drive.google.com/file/d/1EGodW5dTUNLPzndU5NvO4G6F0qAVlzR9/view?usp=drivesdk" TargetMode="External"/><Relationship Id="rId6432" Type="http://schemas.openxmlformats.org/officeDocument/2006/relationships/hyperlink" Target="https://drive.google.com/file/d/1o9f-jh80AKW8dtSBYZe-zq0d7Q4kYN94/view?usp=drivesdk" TargetMode="External"/><Relationship Id="rId7764" Type="http://schemas.openxmlformats.org/officeDocument/2006/relationships/hyperlink" Target="https://drive.google.com/file/d/1UAhYauulvfa64MOf_updTNOZMJ8P-TpO/view?usp=drivesdk" TargetMode="External"/><Relationship Id="rId5102" Type="http://schemas.openxmlformats.org/officeDocument/2006/relationships/hyperlink" Target="https://drive.google.com/file/d/1KMVFVUeSpooC9GSnSntsZJYIbdviHKzl/view?usp=drivesdk" TargetMode="External"/><Relationship Id="rId6433" Type="http://schemas.openxmlformats.org/officeDocument/2006/relationships/hyperlink" Target="https://drive.google.com/file/d/1OpN0T8HFtk5HvppCU871Rqxfg5v7rfZ3/view?usp=drivesdk" TargetMode="External"/><Relationship Id="rId7763" Type="http://schemas.openxmlformats.org/officeDocument/2006/relationships/hyperlink" Target="https://drive.google.com/file/d/1WoW8oDtKblrJ9uQGHn5kD2gdg7BOEDab/view?usp=drivesdk" TargetMode="External"/><Relationship Id="rId6430" Type="http://schemas.openxmlformats.org/officeDocument/2006/relationships/hyperlink" Target="https://drive.google.com/file/d/1TueCM6P9Ljh0R7Fna19kPbao7hvuYIbU/view?usp=drivesdk" TargetMode="External"/><Relationship Id="rId7762" Type="http://schemas.openxmlformats.org/officeDocument/2006/relationships/hyperlink" Target="https://drive.google.com/file/d/15UyAHZTFq7P37BHkZzuqGqa5w4jWv9oP/view?usp=drivesdk" TargetMode="External"/><Relationship Id="rId5100" Type="http://schemas.openxmlformats.org/officeDocument/2006/relationships/hyperlink" Target="https://drive.google.com/file/d/1jipexGsBFyUFwYft25tCIhct-Ovpt4vg/view?usp=drivesdk" TargetMode="External"/><Relationship Id="rId6431" Type="http://schemas.openxmlformats.org/officeDocument/2006/relationships/hyperlink" Target="https://drive.google.com/file/d/1WEmHVaO3PLv0LmTDRq22KaKgphHKJ7qF/view?usp=drivesdk" TargetMode="External"/><Relationship Id="rId7761" Type="http://schemas.openxmlformats.org/officeDocument/2006/relationships/hyperlink" Target="https://drive.google.com/file/d/12BpTKnEUnRT2A0y6WSWpXroPpZmZm36f/view?usp=drivesdk" TargetMode="External"/><Relationship Id="rId5105" Type="http://schemas.openxmlformats.org/officeDocument/2006/relationships/hyperlink" Target="https://drive.google.com/file/d/17Hw5TDPGNKKA3541TQc-d5H41FoMNxSc/view?usp=drivesdk" TargetMode="External"/><Relationship Id="rId6436" Type="http://schemas.openxmlformats.org/officeDocument/2006/relationships/hyperlink" Target="https://drive.google.com/file/d/1GS4GpElTFuxspynt99t3MeOex0ST9j1H/view?usp=drivesdk" TargetMode="External"/><Relationship Id="rId7768" Type="http://schemas.openxmlformats.org/officeDocument/2006/relationships/hyperlink" Target="https://drive.google.com/file/d/1K4y_Ii2WY-AB4Xi6RupcCo7DDOhuJGu_/view?usp=drivesdk" TargetMode="External"/><Relationship Id="rId5106" Type="http://schemas.openxmlformats.org/officeDocument/2006/relationships/hyperlink" Target="https://drive.google.com/file/d/1WAzvBii6CHnXGcp2vfRu7CuANMRK9PhY/view?usp=drivesdk" TargetMode="External"/><Relationship Id="rId6437" Type="http://schemas.openxmlformats.org/officeDocument/2006/relationships/hyperlink" Target="https://drive.google.com/file/d/1W-97gicsxiMjkZ1BBCpJVmf1dOISIpRV/view?usp=drivesdk" TargetMode="External"/><Relationship Id="rId7767" Type="http://schemas.openxmlformats.org/officeDocument/2006/relationships/hyperlink" Target="https://drive.google.com/file/d/1VytKk-wuYXaeerTaIDoqEaufosRUBAuQ/view?usp=drivesdk" TargetMode="External"/><Relationship Id="rId5103" Type="http://schemas.openxmlformats.org/officeDocument/2006/relationships/hyperlink" Target="https://drive.google.com/file/d/1LuYBCYOYxfNqRrUkbFimN_wCrbGFQD--/view?usp=drivesdk" TargetMode="External"/><Relationship Id="rId6434" Type="http://schemas.openxmlformats.org/officeDocument/2006/relationships/hyperlink" Target="https://drive.google.com/file/d/1tkfMMwajbecGOK5szuYGaLOnCpDXkH_D/view?usp=drivesdk" TargetMode="External"/><Relationship Id="rId7766" Type="http://schemas.openxmlformats.org/officeDocument/2006/relationships/hyperlink" Target="https://drive.google.com/file/d/1LyeCguNEJv6U960r36vMcV3loem4cMnx/view?usp=drivesdk" TargetMode="External"/><Relationship Id="rId5104" Type="http://schemas.openxmlformats.org/officeDocument/2006/relationships/hyperlink" Target="https://drive.google.com/file/d/16BHtmEv7kOWRL4YnK5BunOtW_8yNnzR8/view?usp=drivesdk" TargetMode="External"/><Relationship Id="rId6435" Type="http://schemas.openxmlformats.org/officeDocument/2006/relationships/hyperlink" Target="https://drive.google.com/file/d/14BvbX7VM6wTwTKrjGik6xJ6zVECEQp9T/view?usp=drivesdk" TargetMode="External"/><Relationship Id="rId7765" Type="http://schemas.openxmlformats.org/officeDocument/2006/relationships/hyperlink" Target="https://drive.google.com/file/d/1YLjLji7S-0LRw6w1MQYrr5yWUFDP0zJh/view?usp=drivesdk" TargetMode="External"/><Relationship Id="rId2940" Type="http://schemas.openxmlformats.org/officeDocument/2006/relationships/hyperlink" Target="https://drive.google.com/file/d/1CkYO1AR_lfL89AVlkgYD4ZUZPubnaIag/view?usp=drivesdk" TargetMode="External"/><Relationship Id="rId1610" Type="http://schemas.openxmlformats.org/officeDocument/2006/relationships/hyperlink" Target="https://drive.google.com/file/d/1HoV23zTM2qpgb51U52sgSUUmcbfY2Hnd/view?usp=drivesdk" TargetMode="External"/><Relationship Id="rId2941" Type="http://schemas.openxmlformats.org/officeDocument/2006/relationships/hyperlink" Target="https://drive.google.com/file/d/19pBkQbguf5_ZMo4hu2iclwClWMsP_cm3/view?usp=drivesdk" TargetMode="External"/><Relationship Id="rId1611" Type="http://schemas.openxmlformats.org/officeDocument/2006/relationships/hyperlink" Target="https://drive.google.com/file/d/1xfYBg3INsy3-VMKyL-ElXYusybEiJ6z8/view?usp=drivesdk" TargetMode="External"/><Relationship Id="rId2942" Type="http://schemas.openxmlformats.org/officeDocument/2006/relationships/hyperlink" Target="https://drive.google.com/file/d/1ivEkj5PHjuP1vRxManELcmkXgasHmhNG/view?usp=drivesdk" TargetMode="External"/><Relationship Id="rId1612" Type="http://schemas.openxmlformats.org/officeDocument/2006/relationships/hyperlink" Target="https://drive.google.com/file/d/1Ygg13RU1dAcd-7lddmNNL4-OVXQIZpju/view?usp=drivesdk" TargetMode="External"/><Relationship Id="rId2943" Type="http://schemas.openxmlformats.org/officeDocument/2006/relationships/hyperlink" Target="https://drive.google.com/file/d/12funQLA3TYjgLqWfPQB_CsTeo44nhBTB/view?usp=drivesdk" TargetMode="External"/><Relationship Id="rId1613" Type="http://schemas.openxmlformats.org/officeDocument/2006/relationships/hyperlink" Target="https://drive.google.com/file/d/1wDgdwPuEA16UbBrYvsF0DnfLPS0FCUJS/view?usp=drivesdk" TargetMode="External"/><Relationship Id="rId2944" Type="http://schemas.openxmlformats.org/officeDocument/2006/relationships/hyperlink" Target="https://drive.google.com/file/d/1zWWNSQdgPYLCgu9aI9PE412JJfs7RjYx/view?usp=drivesdk" TargetMode="External"/><Relationship Id="rId1614" Type="http://schemas.openxmlformats.org/officeDocument/2006/relationships/hyperlink" Target="https://drive.google.com/file/d/10ZOxkBOFHitDZDC8FdSXzmpIYzdBOxKs/view?usp=drivesdk" TargetMode="External"/><Relationship Id="rId2945" Type="http://schemas.openxmlformats.org/officeDocument/2006/relationships/hyperlink" Target="https://drive.google.com/file/d/1DuQT8-76zRXlOdWn3JX2O9xw5IaTzLCQ/view?usp=drivesdk" TargetMode="External"/><Relationship Id="rId1615" Type="http://schemas.openxmlformats.org/officeDocument/2006/relationships/hyperlink" Target="https://drive.google.com/file/d/1GZXpm_z3WJTcjxv4HTPQOZ_cBcLCXIe1/view?usp=drivesdk" TargetMode="External"/><Relationship Id="rId2946" Type="http://schemas.openxmlformats.org/officeDocument/2006/relationships/hyperlink" Target="https://drive.google.com/file/d/1ZGjGKTtFlVV9k22DcUrEjUgzzoCDSsud/view?usp=drivesdk" TargetMode="External"/><Relationship Id="rId1616" Type="http://schemas.openxmlformats.org/officeDocument/2006/relationships/hyperlink" Target="https://drive.google.com/file/d/1QlLysQrCP22HMapQ9L7p267r4SvbytqM/view?usp=drivesdk" TargetMode="External"/><Relationship Id="rId2947" Type="http://schemas.openxmlformats.org/officeDocument/2006/relationships/hyperlink" Target="https://drive.google.com/file/d/1g_4IQUTTzM6td3zGJ4hzWhFuuG-W2RDm/view?usp=drivesdk" TargetMode="External"/><Relationship Id="rId907" Type="http://schemas.openxmlformats.org/officeDocument/2006/relationships/hyperlink" Target="https://drive.google.com/file/d/1enPQV4dXuT6Vj_6VqqO5JTbeoz4uHqpI/view?usp=drivesdk" TargetMode="External"/><Relationship Id="rId1617" Type="http://schemas.openxmlformats.org/officeDocument/2006/relationships/hyperlink" Target="https://drive.google.com/file/d/1lkOePmJ55mkh8nuMk8imYp76oBllN-kF/view?usp=drivesdk" TargetMode="External"/><Relationship Id="rId2948" Type="http://schemas.openxmlformats.org/officeDocument/2006/relationships/hyperlink" Target="https://drive.google.com/file/d/11vQIFzVO2I3oRldVz-uqaeyqw2UDkQz7/view?usp=drivesdk" TargetMode="External"/><Relationship Id="rId906" Type="http://schemas.openxmlformats.org/officeDocument/2006/relationships/hyperlink" Target="https://drive.google.com/file/d/1zBMsfdMH-9pU9xiQdxfO6fJfKiZCQjHv/view?usp=drivesdk" TargetMode="External"/><Relationship Id="rId1618" Type="http://schemas.openxmlformats.org/officeDocument/2006/relationships/hyperlink" Target="https://drive.google.com/file/d/1MGXy_Cf-SZP6-MYLIJx-GPpd4RNxW4AF/view?usp=drivesdk" TargetMode="External"/><Relationship Id="rId2949" Type="http://schemas.openxmlformats.org/officeDocument/2006/relationships/hyperlink" Target="https://drive.google.com/file/d/1nKggvbjnHKmh_pB7Zd2r3k1Zcymuf8dg/view?usp=drivesdk" TargetMode="External"/><Relationship Id="rId905" Type="http://schemas.openxmlformats.org/officeDocument/2006/relationships/hyperlink" Target="https://drive.google.com/file/d/1Z5dMURs4kZ9Ns9AtZkhOs1ZmGey14-M5/view?usp=drivesdk" TargetMode="External"/><Relationship Id="rId1619" Type="http://schemas.openxmlformats.org/officeDocument/2006/relationships/hyperlink" Target="https://drive.google.com/file/d/1AVdGDcyVcBV35DYT5XmVCWqPe2Y0w3uk/view?usp=drivesdk" TargetMode="External"/><Relationship Id="rId904" Type="http://schemas.openxmlformats.org/officeDocument/2006/relationships/hyperlink" Target="https://drive.google.com/file/d/1egQE_a3Jp4o0tA2PiFVlGisMKakhUC1I/view?usp=drivesdk" TargetMode="External"/><Relationship Id="rId909" Type="http://schemas.openxmlformats.org/officeDocument/2006/relationships/hyperlink" Target="https://drive.google.com/file/d/1ZCUSZ1ckVbitcOCCFQ-at39P0B4PH_6I/view?usp=drivesdk" TargetMode="External"/><Relationship Id="rId908" Type="http://schemas.openxmlformats.org/officeDocument/2006/relationships/hyperlink" Target="https://drive.google.com/file/d/1vb_oCLKRj-YtD5_C2c7Xq7xbIoB8Eq7C/view?usp=drivesdk" TargetMode="External"/><Relationship Id="rId903" Type="http://schemas.openxmlformats.org/officeDocument/2006/relationships/hyperlink" Target="https://drive.google.com/file/d/1rQbAbnsbgvlxSl9tCaRdxcZPGTyCROVk/view?usp=drivesdk" TargetMode="External"/><Relationship Id="rId902" Type="http://schemas.openxmlformats.org/officeDocument/2006/relationships/hyperlink" Target="https://drive.google.com/file/d/1lFIMu66dbHIr1LLWTpobxRQTn18lsagL/view?usp=drivesdk" TargetMode="External"/><Relationship Id="rId901" Type="http://schemas.openxmlformats.org/officeDocument/2006/relationships/hyperlink" Target="https://drive.google.com/file/d/1PsX1MxwAMY3hIosFF-r3g63r0EUEPjdI/view?usp=drivesdk" TargetMode="External"/><Relationship Id="rId900" Type="http://schemas.openxmlformats.org/officeDocument/2006/relationships/hyperlink" Target="https://drive.google.com/file/d/1UNw7XoyDHaw5xkhdKTThhGZubiIQ8gqK/view?usp=drivesdk" TargetMode="External"/><Relationship Id="rId2930" Type="http://schemas.openxmlformats.org/officeDocument/2006/relationships/hyperlink" Target="https://drive.google.com/file/d/1d2vWDeN47pNZUSD22AGyNwHUds-V5IBA/view?usp=drivesdk" TargetMode="External"/><Relationship Id="rId1600" Type="http://schemas.openxmlformats.org/officeDocument/2006/relationships/hyperlink" Target="https://drive.google.com/file/d/1cQgROJlTwKvQdbWh0UBReXRnn5AqLt-9/view?usp=drivesdk" TargetMode="External"/><Relationship Id="rId2931" Type="http://schemas.openxmlformats.org/officeDocument/2006/relationships/hyperlink" Target="https://drive.google.com/file/d/198oA7q2Tphrx0LOGYk-Rpc92ulzE6g3p/view?usp=drivesdk" TargetMode="External"/><Relationship Id="rId1601" Type="http://schemas.openxmlformats.org/officeDocument/2006/relationships/hyperlink" Target="https://drive.google.com/file/d/1W378AFQ8zjJuO2CZxB0rF5L7VMRQNo2-/view?usp=drivesdk" TargetMode="External"/><Relationship Id="rId2932" Type="http://schemas.openxmlformats.org/officeDocument/2006/relationships/hyperlink" Target="https://drive.google.com/file/d/121UA7Mszy_GbpCy0b1WnVe0oIIpy83Dm/view?usp=drivesdk" TargetMode="External"/><Relationship Id="rId1602" Type="http://schemas.openxmlformats.org/officeDocument/2006/relationships/hyperlink" Target="https://drive.google.com/file/d/1hgBhFYVkq5npBGRg8ds12iWXLLnmhST4/view?usp=drivesdk" TargetMode="External"/><Relationship Id="rId2933" Type="http://schemas.openxmlformats.org/officeDocument/2006/relationships/hyperlink" Target="https://drive.google.com/file/d/1Ror1mjD9H-MvTa7oz6JCLm2hSZeDP5ab/view?usp=drivesdk" TargetMode="External"/><Relationship Id="rId1603" Type="http://schemas.openxmlformats.org/officeDocument/2006/relationships/hyperlink" Target="https://drive.google.com/file/d/1a977EUY627kmgCBIeaUZaMfkix4WaTSU/view?usp=drivesdk" TargetMode="External"/><Relationship Id="rId2934" Type="http://schemas.openxmlformats.org/officeDocument/2006/relationships/hyperlink" Target="https://drive.google.com/file/d/1TgelFFqoD3gcP_rUiljs5RIF_UFOYMHp/view?usp=drivesdk" TargetMode="External"/><Relationship Id="rId1604" Type="http://schemas.openxmlformats.org/officeDocument/2006/relationships/hyperlink" Target="https://drive.google.com/file/d/1HELLF1_4JltOvFiOL-kzxYDYdXtJSdKV/view?usp=drivesdk" TargetMode="External"/><Relationship Id="rId2935" Type="http://schemas.openxmlformats.org/officeDocument/2006/relationships/hyperlink" Target="https://drive.google.com/file/d/1JdKSel7BB080EKbu3WCaU76czDjBvvjg/view?usp=drivesdk" TargetMode="External"/><Relationship Id="rId1605" Type="http://schemas.openxmlformats.org/officeDocument/2006/relationships/hyperlink" Target="https://drive.google.com/file/d/1e7U7M7o6Wcmxb-cSZiOjGfAYfmNKxiHe/view?usp=drivesdk" TargetMode="External"/><Relationship Id="rId2936" Type="http://schemas.openxmlformats.org/officeDocument/2006/relationships/hyperlink" Target="https://drive.google.com/file/d/11bjB585f8Qch5DZEq5PdQ4SYv5PiuSHs/view?usp=drivesdk" TargetMode="External"/><Relationship Id="rId1606" Type="http://schemas.openxmlformats.org/officeDocument/2006/relationships/hyperlink" Target="https://drive.google.com/file/d/1lVjY76N0WKj-zEMuApoSMYiFYbJXIqKX/view?usp=drivesdk" TargetMode="External"/><Relationship Id="rId2937" Type="http://schemas.openxmlformats.org/officeDocument/2006/relationships/hyperlink" Target="https://drive.google.com/file/d/1tVSIvDuc5IyUXi0dEsAAeeKWtKaM_EVV/view?usp=drivesdk" TargetMode="External"/><Relationship Id="rId1607" Type="http://schemas.openxmlformats.org/officeDocument/2006/relationships/hyperlink" Target="https://drive.google.com/file/d/1_iVZgoP64bNOmRcj7gHRw9lPEWYHRhh9/view?usp=drivesdk" TargetMode="External"/><Relationship Id="rId2938" Type="http://schemas.openxmlformats.org/officeDocument/2006/relationships/hyperlink" Target="https://drive.google.com/file/d/1jZOsNkPT_to7Of3Yn55AZedjggS8bQ5N/view?usp=drivesdk" TargetMode="External"/><Relationship Id="rId1608" Type="http://schemas.openxmlformats.org/officeDocument/2006/relationships/hyperlink" Target="https://drive.google.com/file/d/1z9025Ge6J3VMU7OcLzVL3KFsZj1mcwbr/view?usp=drivesdk" TargetMode="External"/><Relationship Id="rId2939" Type="http://schemas.openxmlformats.org/officeDocument/2006/relationships/hyperlink" Target="https://drive.google.com/file/d/1k6PQPUibw5Ipk25cnYtHZtme-sR94-Qu/view?usp=drivesdk" TargetMode="External"/><Relationship Id="rId1609" Type="http://schemas.openxmlformats.org/officeDocument/2006/relationships/hyperlink" Target="https://drive.google.com/file/d/1U4Ml35ej1BEzMSuZU0UX2rtjshypcpAk/view?usp=drivesdk" TargetMode="External"/><Relationship Id="rId1631" Type="http://schemas.openxmlformats.org/officeDocument/2006/relationships/hyperlink" Target="https://drive.google.com/file/d/13VhodsnUpSwAV7eSVrlK_-4L0D9ptlFN/view?usp=drivesdk" TargetMode="External"/><Relationship Id="rId2962" Type="http://schemas.openxmlformats.org/officeDocument/2006/relationships/hyperlink" Target="https://drive.google.com/file/d/1y6qSt7qiIH9l3UYO6kWiPLC7YijuWHaE/view?usp=drivesdk" TargetMode="External"/><Relationship Id="rId1632" Type="http://schemas.openxmlformats.org/officeDocument/2006/relationships/hyperlink" Target="https://drive.google.com/file/d/1GmMM39u0GWI9cHliYqTb37XXrbWNz-en/view?usp=drivesdk" TargetMode="External"/><Relationship Id="rId2963" Type="http://schemas.openxmlformats.org/officeDocument/2006/relationships/hyperlink" Target="https://drive.google.com/file/d/1V6-yuhWSKerQzw266qrKtm74pAVHXrIL/view?usp=drivesdk" TargetMode="External"/><Relationship Id="rId1633" Type="http://schemas.openxmlformats.org/officeDocument/2006/relationships/hyperlink" Target="https://drive.google.com/file/d/1taEzXe4EUzf9qJOOOTO6A79dRkKsXjGb/view?usp=drivesdk" TargetMode="External"/><Relationship Id="rId2964" Type="http://schemas.openxmlformats.org/officeDocument/2006/relationships/hyperlink" Target="https://drive.google.com/file/d/1TnSZOT1Hz-vLIuYUHfLAPuaLrqUNEzY2/view?usp=drivesdk" TargetMode="External"/><Relationship Id="rId1634" Type="http://schemas.openxmlformats.org/officeDocument/2006/relationships/hyperlink" Target="https://drive.google.com/file/d/18Dnk5u21SvtfF7LjWNMMFii0j_J7s7lO/view?usp=drivesdk" TargetMode="External"/><Relationship Id="rId2965" Type="http://schemas.openxmlformats.org/officeDocument/2006/relationships/hyperlink" Target="https://drive.google.com/file/d/183ooDyklndURt5iUegTO_a9z-fQRZdhB/view?usp=drivesdk" TargetMode="External"/><Relationship Id="rId1635" Type="http://schemas.openxmlformats.org/officeDocument/2006/relationships/hyperlink" Target="https://drive.google.com/file/d/1gt7qj4GN_wK19NMCKZnavDuwmhlIoRq3/view?usp=drivesdk" TargetMode="External"/><Relationship Id="rId2966" Type="http://schemas.openxmlformats.org/officeDocument/2006/relationships/hyperlink" Target="https://drive.google.com/file/d/12bUXNO_P5rgqgeRZyI1Rw6XZ9doWJbAW/view?usp=drivesdk" TargetMode="External"/><Relationship Id="rId1636" Type="http://schemas.openxmlformats.org/officeDocument/2006/relationships/hyperlink" Target="https://drive.google.com/file/d/1SK6KdHRv_Z6fBUaBAyKc3MCY8N0iUQCN/view?usp=drivesdk" TargetMode="External"/><Relationship Id="rId2967" Type="http://schemas.openxmlformats.org/officeDocument/2006/relationships/hyperlink" Target="https://drive.google.com/file/d/1YEyqDq30dW_ydiZYLAIIT5ESxoDh2Gys/view?usp=drivesdk" TargetMode="External"/><Relationship Id="rId1637" Type="http://schemas.openxmlformats.org/officeDocument/2006/relationships/hyperlink" Target="https://drive.google.com/file/d/1HI9dcQusO-H-lQsL-AdPy6gcGr14OS1_/view?usp=drivesdk" TargetMode="External"/><Relationship Id="rId2968" Type="http://schemas.openxmlformats.org/officeDocument/2006/relationships/hyperlink" Target="https://drive.google.com/file/d/177QkZ9xr-svZfZVQE9GO3pmRsrMlrC5n/view?usp=drivesdk" TargetMode="External"/><Relationship Id="rId1638" Type="http://schemas.openxmlformats.org/officeDocument/2006/relationships/hyperlink" Target="https://drive.google.com/file/d/1FYZZMzzW8mJDo7E7N_zEq_tNznSyUvvY/view?usp=drivesdk" TargetMode="External"/><Relationship Id="rId2969" Type="http://schemas.openxmlformats.org/officeDocument/2006/relationships/hyperlink" Target="https://drive.google.com/file/d/1eFHWK1KMnSdp6OjmKO8T-4liMXpU5gv2/view?usp=drivesdk" TargetMode="External"/><Relationship Id="rId929" Type="http://schemas.openxmlformats.org/officeDocument/2006/relationships/hyperlink" Target="https://drive.google.com/file/d/17RcHRpNsQlwNClQ-9gXAyCL888lWUbgz/view?usp=drivesdk" TargetMode="External"/><Relationship Id="rId1639" Type="http://schemas.openxmlformats.org/officeDocument/2006/relationships/hyperlink" Target="https://drive.google.com/file/d/1giSoYFB5JiLEhtp_q6P3kBnhFRZKreoo/view?usp=drivesdk" TargetMode="External"/><Relationship Id="rId928" Type="http://schemas.openxmlformats.org/officeDocument/2006/relationships/hyperlink" Target="https://drive.google.com/file/d/1CkLhbtD--YMrC5rEkGTL1KewxVDn-96b/view?usp=drivesdk" TargetMode="External"/><Relationship Id="rId927" Type="http://schemas.openxmlformats.org/officeDocument/2006/relationships/hyperlink" Target="https://drive.google.com/file/d/19dnaACYZ3D0Jg-q4hpGQgp5xPLl-LZxv/view?usp=drivesdk" TargetMode="External"/><Relationship Id="rId926" Type="http://schemas.openxmlformats.org/officeDocument/2006/relationships/hyperlink" Target="https://drive.google.com/file/d/1Tb3afX9pL1o6Bouv_6b1QFJTriyojLey/view?usp=drivesdk" TargetMode="External"/><Relationship Id="rId921" Type="http://schemas.openxmlformats.org/officeDocument/2006/relationships/hyperlink" Target="https://drive.google.com/file/d/1SbK9x54AJro3AGcIOiq4Bjf3pSZLkJHX/view?usp=drivesdk" TargetMode="External"/><Relationship Id="rId920" Type="http://schemas.openxmlformats.org/officeDocument/2006/relationships/hyperlink" Target="https://drive.google.com/file/d/1yUZ3xu2Nwm1bvUbl-KIYk5QoJUWzfXh1/view?usp=drivesdk" TargetMode="External"/><Relationship Id="rId925" Type="http://schemas.openxmlformats.org/officeDocument/2006/relationships/hyperlink" Target="https://drive.google.com/file/d/1CINfjqHVX69C9UGhJnH_DtGNgaLb8pIM/view?usp=drivesdk" TargetMode="External"/><Relationship Id="rId924" Type="http://schemas.openxmlformats.org/officeDocument/2006/relationships/hyperlink" Target="https://drive.google.com/file/d/17B6yEcxXjyHXYoXVOIge6VTSEihRrLHN/view?usp=drivesdk" TargetMode="External"/><Relationship Id="rId923" Type="http://schemas.openxmlformats.org/officeDocument/2006/relationships/hyperlink" Target="https://drive.google.com/file/d/1Ce2nRj28FLS8ipr7F7WYliuJCud04U4I/view?usp=drivesdk" TargetMode="External"/><Relationship Id="rId922" Type="http://schemas.openxmlformats.org/officeDocument/2006/relationships/hyperlink" Target="https://drive.google.com/file/d/1xuhciIDXWoJvt3Kcobv3C12XHOGcDb9x/view?usp=drivesdk" TargetMode="External"/><Relationship Id="rId2960" Type="http://schemas.openxmlformats.org/officeDocument/2006/relationships/hyperlink" Target="https://drive.google.com/file/d/1PzpsXw2Mst7QE4wuCzNQyQJ24CAO3uvN/view?usp=drivesdk" TargetMode="External"/><Relationship Id="rId1630" Type="http://schemas.openxmlformats.org/officeDocument/2006/relationships/hyperlink" Target="https://drive.google.com/file/d/1UE4nTmakeR5_QegHvXlqMuixsZ8-einJ/view?usp=drivesdk" TargetMode="External"/><Relationship Id="rId2961" Type="http://schemas.openxmlformats.org/officeDocument/2006/relationships/hyperlink" Target="https://drive.google.com/file/d/1_N0fN_zsycvrV5wWdeBLm2DGLJp8IMJo/view?usp=drivesdk" TargetMode="External"/><Relationship Id="rId1620" Type="http://schemas.openxmlformats.org/officeDocument/2006/relationships/hyperlink" Target="https://drive.google.com/file/d/1Wxm-jRaHu5EXv0RM5tdMSlRLaP8KHoJS/view?usp=drivesdk" TargetMode="External"/><Relationship Id="rId2951" Type="http://schemas.openxmlformats.org/officeDocument/2006/relationships/hyperlink" Target="https://drive.google.com/file/d/1q4uxZBUc_j9ggFfH1C_AEvEAvJCP6_7O/view?usp=drivesdk" TargetMode="External"/><Relationship Id="rId1621" Type="http://schemas.openxmlformats.org/officeDocument/2006/relationships/hyperlink" Target="https://drive.google.com/file/d/1oXibBu9NyvjQpBTdYKpTTrn03Cruhuzf/view?usp=drivesdk" TargetMode="External"/><Relationship Id="rId2952" Type="http://schemas.openxmlformats.org/officeDocument/2006/relationships/hyperlink" Target="https://drive.google.com/file/d/1RvbZtlxZl9CmOsaGfXvY7rqqlaWC7If3/view?usp=drivesdk" TargetMode="External"/><Relationship Id="rId1622" Type="http://schemas.openxmlformats.org/officeDocument/2006/relationships/hyperlink" Target="https://drive.google.com/file/d/1Z6dkh4nBW0bsqfhWsPE-bvdkMWr3RW2R/view?usp=drivesdk" TargetMode="External"/><Relationship Id="rId2953" Type="http://schemas.openxmlformats.org/officeDocument/2006/relationships/hyperlink" Target="https://drive.google.com/file/d/1D4i-IjyatC9DkEqbhOhEWZR2w2Vux9pd/view?usp=drivesdk" TargetMode="External"/><Relationship Id="rId1623" Type="http://schemas.openxmlformats.org/officeDocument/2006/relationships/hyperlink" Target="https://drive.google.com/file/d/1vdKB1WEB2ScxO8ikkdw2d2LHNKev4P6j/view?usp=drivesdk" TargetMode="External"/><Relationship Id="rId2954" Type="http://schemas.openxmlformats.org/officeDocument/2006/relationships/hyperlink" Target="https://drive.google.com/file/d/1VaFBKHxj-7LkEAmYr8DSsPkNNxVTQMKe/view?usp=drivesdk" TargetMode="External"/><Relationship Id="rId1624" Type="http://schemas.openxmlformats.org/officeDocument/2006/relationships/hyperlink" Target="https://drive.google.com/file/d/1jFh5wx8E8DkaRV2RjknPzO6YmVnMIeq8/view?usp=drivesdk" TargetMode="External"/><Relationship Id="rId2955" Type="http://schemas.openxmlformats.org/officeDocument/2006/relationships/hyperlink" Target="https://drive.google.com/file/d/1XuHrxt6wVd72LSoWB0ffAceggnZ4-Qdy/view?usp=drivesdk" TargetMode="External"/><Relationship Id="rId1625" Type="http://schemas.openxmlformats.org/officeDocument/2006/relationships/hyperlink" Target="https://drive.google.com/file/d/1cxjZ0CjHghZqCcPyJjxDdAfw3Ppr9Pjw/view?usp=drivesdk" TargetMode="External"/><Relationship Id="rId2956" Type="http://schemas.openxmlformats.org/officeDocument/2006/relationships/hyperlink" Target="https://drive.google.com/file/d/1n2UK41ZRHRs24bWiqBPmXnz8zQ_4Gm5V/view?usp=drivesdk" TargetMode="External"/><Relationship Id="rId1626" Type="http://schemas.openxmlformats.org/officeDocument/2006/relationships/hyperlink" Target="https://drive.google.com/file/d/1EiCIufnEvfUsSrzODyZrO5LxIeMq0qIC/view?usp=drivesdk" TargetMode="External"/><Relationship Id="rId2957" Type="http://schemas.openxmlformats.org/officeDocument/2006/relationships/hyperlink" Target="https://drive.google.com/file/d/1oKwX3P0wtPBYnUTQhDUPgV1Yjkz6lT3V/view?usp=drivesdk" TargetMode="External"/><Relationship Id="rId1627" Type="http://schemas.openxmlformats.org/officeDocument/2006/relationships/hyperlink" Target="https://drive.google.com/file/d/1TLlfBKnF3SJkyxkQrAJ_W-uCGAxT6HNF/view?usp=drivesdk" TargetMode="External"/><Relationship Id="rId2958" Type="http://schemas.openxmlformats.org/officeDocument/2006/relationships/hyperlink" Target="https://drive.google.com/file/d/17Rhp2s1HRXIsVDPqkwAZ1vyH4mmaP7WV/view?usp=drivesdk" TargetMode="External"/><Relationship Id="rId918" Type="http://schemas.openxmlformats.org/officeDocument/2006/relationships/hyperlink" Target="https://drive.google.com/file/d/1wqW5_5dSs7qBJlO3KN0aVpVuLd-oqlUw/view?usp=drivesdk" TargetMode="External"/><Relationship Id="rId1628" Type="http://schemas.openxmlformats.org/officeDocument/2006/relationships/hyperlink" Target="https://drive.google.com/file/d/1QKhqi1p1oGlnJr7HgQ3ETdCHcyOIZ66j/view?usp=drivesdk" TargetMode="External"/><Relationship Id="rId2959" Type="http://schemas.openxmlformats.org/officeDocument/2006/relationships/hyperlink" Target="https://drive.google.com/file/d/13cqG2QBbJ8DarE2uboIZhvjmIP355hTR/view?usp=drivesdk" TargetMode="External"/><Relationship Id="rId917" Type="http://schemas.openxmlformats.org/officeDocument/2006/relationships/hyperlink" Target="https://drive.google.com/file/d/1BuyszF1Axw5xDDUMXo3VxgE6ScotU15X/view?usp=drivesdk" TargetMode="External"/><Relationship Id="rId1629" Type="http://schemas.openxmlformats.org/officeDocument/2006/relationships/hyperlink" Target="https://drive.google.com/file/d/1JZ9eO4cUmmoj26nIKE2YB-nGKGNgvJG4/view?usp=drivesdk" TargetMode="External"/><Relationship Id="rId916" Type="http://schemas.openxmlformats.org/officeDocument/2006/relationships/hyperlink" Target="https://drive.google.com/file/d/1PdtdRzZQkMbCnKUeHQiXSj0zJKojkaKV/view?usp=drivesdk" TargetMode="External"/><Relationship Id="rId915" Type="http://schemas.openxmlformats.org/officeDocument/2006/relationships/hyperlink" Target="https://drive.google.com/file/d/1FUgOi5MRkEInMm-9p0kotovMTDcT8XA5/view?usp=drivesdk" TargetMode="External"/><Relationship Id="rId919" Type="http://schemas.openxmlformats.org/officeDocument/2006/relationships/hyperlink" Target="https://drive.google.com/file/d/13ORWmwuWstCUW-h8M3MTstfrLLkcYCSm/view?usp=drivesdk" TargetMode="External"/><Relationship Id="rId910" Type="http://schemas.openxmlformats.org/officeDocument/2006/relationships/hyperlink" Target="https://drive.google.com/file/d/1aMhQ6wSP3kBt3uNBZj07mSKcoRsJRCgt/view?usp=drivesdk" TargetMode="External"/><Relationship Id="rId914" Type="http://schemas.openxmlformats.org/officeDocument/2006/relationships/hyperlink" Target="https://drive.google.com/file/d/1NwCLQuSHiGipyVnFQFIEgU6_RyjZgWoL/view?usp=drivesdk" TargetMode="External"/><Relationship Id="rId913" Type="http://schemas.openxmlformats.org/officeDocument/2006/relationships/hyperlink" Target="https://drive.google.com/file/d/1Axig49eqWshDGCnB8LIYRSZdFOReto2y/view?usp=drivesdk" TargetMode="External"/><Relationship Id="rId912" Type="http://schemas.openxmlformats.org/officeDocument/2006/relationships/hyperlink" Target="https://drive.google.com/file/d/1hfvDmJE7a2c-TqZV4HPO0iavBLPs7ScQ/view?usp=drivesdk" TargetMode="External"/><Relationship Id="rId911" Type="http://schemas.openxmlformats.org/officeDocument/2006/relationships/hyperlink" Target="https://drive.google.com/file/d/1qpJV6HUATDkKsrHqphqaNi8g5WMSsDQF/view?usp=drivesdk" TargetMode="External"/><Relationship Id="rId2950" Type="http://schemas.openxmlformats.org/officeDocument/2006/relationships/hyperlink" Target="https://drive.google.com/file/d/1iHPDo-cW_RH-f6Bcmbe3s0USCX_rt8je/view?usp=drivesdk" TargetMode="External"/><Relationship Id="rId2900" Type="http://schemas.openxmlformats.org/officeDocument/2006/relationships/hyperlink" Target="https://drive.google.com/file/d/1VCoVO9hWQCjJ1BbTGAFGqbC-Yp4jlrrW/view?usp=drivesdk" TargetMode="External"/><Relationship Id="rId2901" Type="http://schemas.openxmlformats.org/officeDocument/2006/relationships/hyperlink" Target="https://drive.google.com/file/d/1BELsV3MvfZkVHDq--ekQi-wP4u4l3H02/view?usp=drivesdk" TargetMode="External"/><Relationship Id="rId2902" Type="http://schemas.openxmlformats.org/officeDocument/2006/relationships/hyperlink" Target="https://drive.google.com/file/d/142U3W8y-4j3IojC1Ny9ClXAD_asfTDHD/view?usp=drivesdk" TargetMode="External"/><Relationship Id="rId2903" Type="http://schemas.openxmlformats.org/officeDocument/2006/relationships/hyperlink" Target="https://drive.google.com/file/d/1sYtqOF3guHA9mf1iYmUcxRI0jDLX4ah9/view?usp=drivesdk" TargetMode="External"/><Relationship Id="rId2904" Type="http://schemas.openxmlformats.org/officeDocument/2006/relationships/hyperlink" Target="https://drive.google.com/file/d/1_2Xoi0zLfNpTZzdxzIy25yvGlCXlNq8K/view?usp=drivesdk" TargetMode="External"/><Relationship Id="rId2905" Type="http://schemas.openxmlformats.org/officeDocument/2006/relationships/hyperlink" Target="https://drive.google.com/file/d/1GRGKeIsyeKOtubcN4N5j0Nq4YewBfMou/view?usp=drivesdk" TargetMode="External"/><Relationship Id="rId2906" Type="http://schemas.openxmlformats.org/officeDocument/2006/relationships/hyperlink" Target="https://drive.google.com/file/d/1eU00XA0Mu_Sk-nAJqCVp5-zKPejF_3Ip/view?usp=drivesdk" TargetMode="External"/><Relationship Id="rId2907" Type="http://schemas.openxmlformats.org/officeDocument/2006/relationships/hyperlink" Target="https://drive.google.com/file/d/1OIGnG2rBrQZ_VYRAOjBzM_-e5NP9Kiky/view?usp=drivesdk" TargetMode="External"/><Relationship Id="rId2908" Type="http://schemas.openxmlformats.org/officeDocument/2006/relationships/hyperlink" Target="https://drive.google.com/file/d/1G1_kun6y2_FMxttnNsFI4fvdrlUtyH1t/view?usp=drivesdk" TargetMode="External"/><Relationship Id="rId2909" Type="http://schemas.openxmlformats.org/officeDocument/2006/relationships/hyperlink" Target="https://drive.google.com/file/d/1ipxDYcrYYq6fKpbXX743sWZoNEjfkfWF/view?usp=drivesdk" TargetMode="External"/><Relationship Id="rId5170" Type="http://schemas.openxmlformats.org/officeDocument/2006/relationships/hyperlink" Target="https://drive.google.com/file/d/1BijLvjkbiv_M0YLX04AeYkwV3cMj5XMZ/view?usp=drivesdk" TargetMode="External"/><Relationship Id="rId5171" Type="http://schemas.openxmlformats.org/officeDocument/2006/relationships/hyperlink" Target="https://drive.google.com/file/d/1dhCpPPyZWs7RYKeZM3XWor9fC39ZXet6/view?usp=drivesdk" TargetMode="External"/><Relationship Id="rId5174" Type="http://schemas.openxmlformats.org/officeDocument/2006/relationships/hyperlink" Target="https://drive.google.com/file/d/1SoJ87RDJbwAcjtNhNvypUJuaAXlg-klv/view?usp=drivesdk" TargetMode="External"/><Relationship Id="rId5175" Type="http://schemas.openxmlformats.org/officeDocument/2006/relationships/hyperlink" Target="https://drive.google.com/file/d/1XwrQE7c7Dx2lCJ-LRBRyV-MxVIWVaDH2/view?usp=drivesdk" TargetMode="External"/><Relationship Id="rId5172" Type="http://schemas.openxmlformats.org/officeDocument/2006/relationships/hyperlink" Target="https://drive.google.com/file/d/1YBIXVTT72woiYOFq3EsUOkOLMGUuFOSt/view?usp=drivesdk" TargetMode="External"/><Relationship Id="rId5173" Type="http://schemas.openxmlformats.org/officeDocument/2006/relationships/hyperlink" Target="https://drive.google.com/file/d/1safrBTcgGtUbztYJggkfmKrxv3t9baEc/view?usp=drivesdk" TargetMode="External"/><Relationship Id="rId5178" Type="http://schemas.openxmlformats.org/officeDocument/2006/relationships/hyperlink" Target="https://drive.google.com/file/d/1-lX3jEYNduzmW72LT49W_C2nctrcbkbx/view?usp=drivesdk" TargetMode="External"/><Relationship Id="rId5179" Type="http://schemas.openxmlformats.org/officeDocument/2006/relationships/hyperlink" Target="https://drive.google.com/file/d/1NNfUYwhPVTpX0DJP--EN_9zXFSfjfgMY/view?usp=drivesdk" TargetMode="External"/><Relationship Id="rId5176" Type="http://schemas.openxmlformats.org/officeDocument/2006/relationships/hyperlink" Target="https://drive.google.com/file/d/1CdK_9FrtCFtELTB1KTnlCHSS3EvQtjtc/view?usp=drivesdk" TargetMode="External"/><Relationship Id="rId5177" Type="http://schemas.openxmlformats.org/officeDocument/2006/relationships/hyperlink" Target="https://drive.google.com/file/d/1ezY43s-mx3qdn_NMAbnuYa_O74UoXkCg/view?usp=drivesdk" TargetMode="External"/><Relationship Id="rId6490" Type="http://schemas.openxmlformats.org/officeDocument/2006/relationships/hyperlink" Target="https://drive.google.com/file/d/10nfCQQ2O-RES_-1au2G63pJ4zK4sBlMv/view?usp=drivesdk" TargetMode="External"/><Relationship Id="rId5160" Type="http://schemas.openxmlformats.org/officeDocument/2006/relationships/hyperlink" Target="https://drive.google.com/file/d/1fkpGpf05Uluw9pMjpm7rJXmDN4CnlMd0/view?usp=drivesdk" TargetMode="External"/><Relationship Id="rId6491" Type="http://schemas.openxmlformats.org/officeDocument/2006/relationships/hyperlink" Target="https://drive.google.com/file/d/1IcIKm9OA_Yg7cjcawxNqEhx6QMh2Urqp/view?usp=drivesdk" TargetMode="External"/><Relationship Id="rId5163" Type="http://schemas.openxmlformats.org/officeDocument/2006/relationships/hyperlink" Target="https://drive.google.com/file/d/1U8cfDtY-CiChs6BbUfiZ7vNjj349OGRc/view?usp=drivesdk" TargetMode="External"/><Relationship Id="rId6494" Type="http://schemas.openxmlformats.org/officeDocument/2006/relationships/hyperlink" Target="https://drive.google.com/file/d/1IL_pt4A5faXBPzP2ESfrS8iz4g5N_4gI/view?usp=drivesdk" TargetMode="External"/><Relationship Id="rId5164" Type="http://schemas.openxmlformats.org/officeDocument/2006/relationships/hyperlink" Target="https://drive.google.com/file/d/1wstba8pBEB0c6E7sMESLJndxtCP_R_G_/view?usp=drivesdk" TargetMode="External"/><Relationship Id="rId6495" Type="http://schemas.openxmlformats.org/officeDocument/2006/relationships/hyperlink" Target="https://drive.google.com/file/d/1VLb28ugcNZP_lC7rtrc8tECGdvX0O_uC/view?usp=drivesdk" TargetMode="External"/><Relationship Id="rId5161" Type="http://schemas.openxmlformats.org/officeDocument/2006/relationships/hyperlink" Target="https://drive.google.com/file/d/1_ONzcfWBB6bqfJg6LU8EFXx-C5YujoZS/view?usp=drivesdk" TargetMode="External"/><Relationship Id="rId6492" Type="http://schemas.openxmlformats.org/officeDocument/2006/relationships/hyperlink" Target="https://drive.google.com/file/d/1W9EghoQC0ByXuXK7q6X1KxAccoYAgup4/view?usp=drivesdk" TargetMode="External"/><Relationship Id="rId5162" Type="http://schemas.openxmlformats.org/officeDocument/2006/relationships/hyperlink" Target="https://drive.google.com/file/d/1MrFNVF7y38C7yVMlFhEVcAbo_58B_Mt0/view?usp=drivesdk" TargetMode="External"/><Relationship Id="rId6493" Type="http://schemas.openxmlformats.org/officeDocument/2006/relationships/hyperlink" Target="https://drive.google.com/file/d/1WCuMxGMWa74KRfS1JBAwhYJ2oTgTj8GF/view?usp=drivesdk" TargetMode="External"/><Relationship Id="rId5167" Type="http://schemas.openxmlformats.org/officeDocument/2006/relationships/hyperlink" Target="https://drive.google.com/file/d/1RVnlB8kWxU5YMxC-l5KBfjaNR066-j9_/view?usp=drivesdk" TargetMode="External"/><Relationship Id="rId6498" Type="http://schemas.openxmlformats.org/officeDocument/2006/relationships/hyperlink" Target="https://drive.google.com/file/d/1DnfljrzBg07fXSnJcRH8amXTDqKSkucz/view?usp=drivesdk" TargetMode="External"/><Relationship Id="rId5168" Type="http://schemas.openxmlformats.org/officeDocument/2006/relationships/hyperlink" Target="https://drive.google.com/file/d/1flDfO-0BQGt1mgqqYSOJltxA95FB-NDV/view?usp=drivesdk" TargetMode="External"/><Relationship Id="rId6499" Type="http://schemas.openxmlformats.org/officeDocument/2006/relationships/hyperlink" Target="https://drive.google.com/file/d/1_nJGlyYqgHuf543lGIcJwh3eCUOO2SvW/view?usp=drivesdk" TargetMode="External"/><Relationship Id="rId5165" Type="http://schemas.openxmlformats.org/officeDocument/2006/relationships/hyperlink" Target="https://drive.google.com/file/d/15-rsnWpTr-ZW1Et-_9DfqDH_pT8uxPwS/view?usp=drivesdk" TargetMode="External"/><Relationship Id="rId6496" Type="http://schemas.openxmlformats.org/officeDocument/2006/relationships/hyperlink" Target="https://drive.google.com/file/d/1WCorYQEum02m6nluKiOKvescJDBAv31r/view?usp=drivesdk" TargetMode="External"/><Relationship Id="rId5166" Type="http://schemas.openxmlformats.org/officeDocument/2006/relationships/hyperlink" Target="https://drive.google.com/file/d/10QEVo9ra7qWMG1O7Ts8g2A2AYF_r5ebR/view?usp=drivesdk" TargetMode="External"/><Relationship Id="rId6497" Type="http://schemas.openxmlformats.org/officeDocument/2006/relationships/hyperlink" Target="https://drive.google.com/file/d/16NmIpdkBkGtaJXpn1omg8Hv6etEqazrl/view?usp=drivesdk" TargetMode="External"/><Relationship Id="rId5169" Type="http://schemas.openxmlformats.org/officeDocument/2006/relationships/hyperlink" Target="https://drive.google.com/file/d/1B1AQREbNcOyDwj0Q4p-gER7ft4W5za1h/view?usp=drivesdk" TargetMode="External"/><Relationship Id="rId2920" Type="http://schemas.openxmlformats.org/officeDocument/2006/relationships/hyperlink" Target="https://drive.google.com/file/d/1F-UMvutUwJ1lhNaPmxoK6ZD3Yq-bY4Fv/view?usp=drivesdk" TargetMode="External"/><Relationship Id="rId2921" Type="http://schemas.openxmlformats.org/officeDocument/2006/relationships/hyperlink" Target="https://drive.google.com/file/d/1Easrul55LQDgc3vCoa8bM50XIJvLfj0f/view?usp=drivesdk" TargetMode="External"/><Relationship Id="rId2922" Type="http://schemas.openxmlformats.org/officeDocument/2006/relationships/hyperlink" Target="https://drive.google.com/file/d/1MjtUprPOBnm2-iPfS4ZxoJZwyVKDKQK2/view?usp=drivesdk" TargetMode="External"/><Relationship Id="rId2923" Type="http://schemas.openxmlformats.org/officeDocument/2006/relationships/hyperlink" Target="https://drive.google.com/file/d/1tUlTi2EQL0SWno3pE11200w8LkS0dYb8/view?usp=drivesdk" TargetMode="External"/><Relationship Id="rId2924" Type="http://schemas.openxmlformats.org/officeDocument/2006/relationships/hyperlink" Target="https://drive.google.com/file/d/1FAkJctXb1uFjYBEtyLV9-gveVNbQdlWY/view?usp=drivesdk" TargetMode="External"/><Relationship Id="rId2925" Type="http://schemas.openxmlformats.org/officeDocument/2006/relationships/hyperlink" Target="https://drive.google.com/file/d/1h3JQSd7jaI7Z0eBwOCG21jeyHcdBOAGF/view?usp=drivesdk" TargetMode="External"/><Relationship Id="rId2926" Type="http://schemas.openxmlformats.org/officeDocument/2006/relationships/hyperlink" Target="https://drive.google.com/file/d/1LgKicnIHCsczuJVArEEKMoeYz3tuE0Qg/view?usp=drivesdk" TargetMode="External"/><Relationship Id="rId2927" Type="http://schemas.openxmlformats.org/officeDocument/2006/relationships/hyperlink" Target="https://drive.google.com/file/d/1yKaBaq69OXJTV_U2LDcID8phlLmgODFa/view?usp=drivesdk" TargetMode="External"/><Relationship Id="rId2928" Type="http://schemas.openxmlformats.org/officeDocument/2006/relationships/hyperlink" Target="https://drive.google.com/file/d/1x8NMfJvDvmMUlNR4ewleUjRToky6vgcI/view?usp=drivesdk" TargetMode="External"/><Relationship Id="rId2929" Type="http://schemas.openxmlformats.org/officeDocument/2006/relationships/hyperlink" Target="https://drive.google.com/file/d/1XzZ81AYy8nTZ76gnvHi3qHGFCFAyxvyc/view?usp=drivesdk" TargetMode="External"/><Relationship Id="rId5192" Type="http://schemas.openxmlformats.org/officeDocument/2006/relationships/hyperlink" Target="https://drive.google.com/file/d/1OLEO7WYgXRWs9RErIrN5-UJHqFA2Pcxd/view?usp=drivesdk" TargetMode="External"/><Relationship Id="rId5193" Type="http://schemas.openxmlformats.org/officeDocument/2006/relationships/hyperlink" Target="https://drive.google.com/file/d/1GbR9N9ZsoFLUXo9E9bwuanxHJRwqQgdp/view?usp=drivesdk" TargetMode="External"/><Relationship Id="rId5190" Type="http://schemas.openxmlformats.org/officeDocument/2006/relationships/hyperlink" Target="https://drive.google.com/file/d/1EjBeSR_U2WbY3uCjU1gS7dslEdYJ3Nx1/view?usp=drivesdk" TargetMode="External"/><Relationship Id="rId5191" Type="http://schemas.openxmlformats.org/officeDocument/2006/relationships/hyperlink" Target="https://drive.google.com/file/d/12kp7v1miei4YNj2t2NpGiGxjNj5378op/view?usp=drivesdk" TargetMode="External"/><Relationship Id="rId5196" Type="http://schemas.openxmlformats.org/officeDocument/2006/relationships/hyperlink" Target="https://drive.google.com/file/d/1JI85VU22Kd-EkazjKxgmEp-hX1lDF5tF/view?usp=drivesdk" TargetMode="External"/><Relationship Id="rId5197" Type="http://schemas.openxmlformats.org/officeDocument/2006/relationships/hyperlink" Target="https://drive.google.com/file/d/13ec2qV7zHsR_8BxBQDy4aVApwkvAC2cr/view?usp=drivesdk" TargetMode="External"/><Relationship Id="rId5194" Type="http://schemas.openxmlformats.org/officeDocument/2006/relationships/hyperlink" Target="https://drive.google.com/file/d/1AXE5_Nr3ceUlabSUIMDy4X7xiFyV4K19/view?usp=drivesdk" TargetMode="External"/><Relationship Id="rId5195" Type="http://schemas.openxmlformats.org/officeDocument/2006/relationships/hyperlink" Target="https://drive.google.com/file/d/1r_u1tXmX17cv5Ka6hMDYEHAq-aOJOpRh/view?usp=drivesdk" TargetMode="External"/><Relationship Id="rId5198" Type="http://schemas.openxmlformats.org/officeDocument/2006/relationships/hyperlink" Target="https://drive.google.com/file/d/1irAmC9rjbWo2od7m3wld0aAZSyNo2Fmf/view?usp=drivesdk" TargetMode="External"/><Relationship Id="rId5199" Type="http://schemas.openxmlformats.org/officeDocument/2006/relationships/hyperlink" Target="https://drive.google.com/file/d/13IErop1H40QeyN2ViWbcl2iXa4ZN2XQe/view?usp=drivesdk" TargetMode="External"/><Relationship Id="rId2910" Type="http://schemas.openxmlformats.org/officeDocument/2006/relationships/hyperlink" Target="https://drive.google.com/file/d/1YIzZ_3FU2s_LmGxUUCM1KSQiihQpHp96/view?usp=drivesdk" TargetMode="External"/><Relationship Id="rId2911" Type="http://schemas.openxmlformats.org/officeDocument/2006/relationships/hyperlink" Target="https://drive.google.com/file/d/1Zg_ZnHTY1o8zpOhWY_15vxGWWV7bJetI/view?usp=drivesdk" TargetMode="External"/><Relationship Id="rId2912" Type="http://schemas.openxmlformats.org/officeDocument/2006/relationships/hyperlink" Target="https://drive.google.com/file/d/1nlLRRcU4aWX3gBnTfm6CxJiBkA1sxgyw/view?usp=drivesdk" TargetMode="External"/><Relationship Id="rId2913" Type="http://schemas.openxmlformats.org/officeDocument/2006/relationships/hyperlink" Target="https://drive.google.com/file/d/1rAo2q8Y_ZEKMJ5leMC4GKCkhNFmL2UEU/view?usp=drivesdk" TargetMode="External"/><Relationship Id="rId2914" Type="http://schemas.openxmlformats.org/officeDocument/2006/relationships/hyperlink" Target="https://drive.google.com/file/d/1mijoS9Cov-pY4z0Aerh9shXXn8eBjH3j/view?usp=drivesdk" TargetMode="External"/><Relationship Id="rId2915" Type="http://schemas.openxmlformats.org/officeDocument/2006/relationships/hyperlink" Target="https://drive.google.com/file/d/1ml4fwDhN8woblC3Iqck50ohDz7DEJI62/view?usp=drivesdk" TargetMode="External"/><Relationship Id="rId2916" Type="http://schemas.openxmlformats.org/officeDocument/2006/relationships/hyperlink" Target="https://drive.google.com/file/d/1u0KZkOjY5RByMjiWfgISGMWnmEg9DRjo/view?usp=drivesdk" TargetMode="External"/><Relationship Id="rId2917" Type="http://schemas.openxmlformats.org/officeDocument/2006/relationships/hyperlink" Target="https://drive.google.com/file/d/1FS0j-nHwk59PGjf5A4aMQb7az-jLeUM0/view?usp=drivesdk" TargetMode="External"/><Relationship Id="rId2918" Type="http://schemas.openxmlformats.org/officeDocument/2006/relationships/hyperlink" Target="https://drive.google.com/file/d/1oQmQPPRv3LJNJ8gscQKaADv-Xq82Cd1c/view?usp=drivesdk" TargetMode="External"/><Relationship Id="rId2919" Type="http://schemas.openxmlformats.org/officeDocument/2006/relationships/hyperlink" Target="https://drive.google.com/file/d/1l3zbzMuAS-guDKbhjE4ZIXxJfDawFyAM/view?usp=drivesdk" TargetMode="External"/><Relationship Id="rId5181" Type="http://schemas.openxmlformats.org/officeDocument/2006/relationships/hyperlink" Target="https://drive.google.com/file/d/10fhRLri-6ghaBJvD51tWionxa-69i0-o/view?usp=drivesdk" TargetMode="External"/><Relationship Id="rId5182" Type="http://schemas.openxmlformats.org/officeDocument/2006/relationships/hyperlink" Target="https://drive.google.com/file/d/17PsqjYf5zwsUyFAZjfe_szirHa1w5orY/view?usp=drivesdk" TargetMode="External"/><Relationship Id="rId5180" Type="http://schemas.openxmlformats.org/officeDocument/2006/relationships/hyperlink" Target="https://drive.google.com/file/d/1v6kv9MizB4AbyK5H-7K3UQoN8QZ3yHGr/view?usp=drivesdk" TargetMode="External"/><Relationship Id="rId5185" Type="http://schemas.openxmlformats.org/officeDocument/2006/relationships/hyperlink" Target="https://drive.google.com/file/d/1dm0ctlYAnMgxy2DTbEsjKVcHXoZy4sFD/view?usp=drivesdk" TargetMode="External"/><Relationship Id="rId5186" Type="http://schemas.openxmlformats.org/officeDocument/2006/relationships/hyperlink" Target="https://drive.google.com/file/d/1YZRbMA4WuIOfbOk1djDTOIbY0PWKCZNK/view?usp=drivesdk" TargetMode="External"/><Relationship Id="rId5183" Type="http://schemas.openxmlformats.org/officeDocument/2006/relationships/hyperlink" Target="https://drive.google.com/file/d/1eZwQaeBWpF4UwsmaSMCiIdrUAX_F0AZz/view?usp=drivesdk" TargetMode="External"/><Relationship Id="rId5184" Type="http://schemas.openxmlformats.org/officeDocument/2006/relationships/hyperlink" Target="https://drive.google.com/file/d/1e4aJKOW_QvJiiplS6SyCGB1XP8-O3H-N/view?usp=drivesdk" TargetMode="External"/><Relationship Id="rId5189" Type="http://schemas.openxmlformats.org/officeDocument/2006/relationships/hyperlink" Target="https://drive.google.com/file/d/1XcrXnrYQ6oYwpv8nMHX7Kf0oNkE17S4s/view?usp=drivesdk" TargetMode="External"/><Relationship Id="rId5187" Type="http://schemas.openxmlformats.org/officeDocument/2006/relationships/hyperlink" Target="https://drive.google.com/file/d/1olD8JOHFz1X5wuYKM2rX9tt4FcWo1yf6/view?usp=drivesdk" TargetMode="External"/><Relationship Id="rId5188" Type="http://schemas.openxmlformats.org/officeDocument/2006/relationships/hyperlink" Target="https://drive.google.com/file/d/1BtbfEuIdmust5UiLuG_6niELM_nQWe7q/view?usp=drivesdk" TargetMode="External"/><Relationship Id="rId1697" Type="http://schemas.openxmlformats.org/officeDocument/2006/relationships/hyperlink" Target="https://drive.google.com/file/d/112d6sWewG72a5kkT0CsvJlja_LTheNyW/view?usp=drivesdk" TargetMode="External"/><Relationship Id="rId1698" Type="http://schemas.openxmlformats.org/officeDocument/2006/relationships/hyperlink" Target="https://drive.google.com/file/d/1LLsIlWhWekt0_RzlzOPIUqnLpS2dyFyT/view?usp=drivesdk" TargetMode="External"/><Relationship Id="rId1699" Type="http://schemas.openxmlformats.org/officeDocument/2006/relationships/hyperlink" Target="https://drive.google.com/file/d/1yI3X6pGkarjZ_yN3h3Vcg6snr-5wG_H8/view?usp=drivesdk" TargetMode="External"/><Relationship Id="rId866" Type="http://schemas.openxmlformats.org/officeDocument/2006/relationships/hyperlink" Target="https://drive.google.com/file/d/1U45W1eOq1Oc0UgESbW-EdPzjdLrSuw1k/view?usp=drivesdk" TargetMode="External"/><Relationship Id="rId865" Type="http://schemas.openxmlformats.org/officeDocument/2006/relationships/hyperlink" Target="https://drive.google.com/file/d/1RmAfrxLMUOnEUxQ2yHB4bWBkmC75v9vd/view?usp=drivesdk" TargetMode="External"/><Relationship Id="rId864" Type="http://schemas.openxmlformats.org/officeDocument/2006/relationships/hyperlink" Target="https://drive.google.com/file/d/1hh_bjo_kUgNf_4ktZf3VpzCZj3-bUwYR/view?usp=drivesdk" TargetMode="External"/><Relationship Id="rId863" Type="http://schemas.openxmlformats.org/officeDocument/2006/relationships/hyperlink" Target="https://drive.google.com/file/d/1eibPv32epE2F1g0ZuIUCn0-_KGa1mu8W/view?usp=drivesdk" TargetMode="External"/><Relationship Id="rId869" Type="http://schemas.openxmlformats.org/officeDocument/2006/relationships/hyperlink" Target="https://drive.google.com/file/d/1BmNkJqbEpQnLQ9PtN8IJZd92wGfN6mof/view?usp=drivesdk" TargetMode="External"/><Relationship Id="rId868" Type="http://schemas.openxmlformats.org/officeDocument/2006/relationships/hyperlink" Target="https://drive.google.com/file/d/1BKeLHW9uD2_aDL82DTvipArGc7Km7hLG/view?usp=drivesdk" TargetMode="External"/><Relationship Id="rId867" Type="http://schemas.openxmlformats.org/officeDocument/2006/relationships/hyperlink" Target="https://drive.google.com/file/d/1FMcA8rJ9FYDkTHUsizi91LFSFYcsPgdT/view?usp=drivesdk" TargetMode="External"/><Relationship Id="rId1690" Type="http://schemas.openxmlformats.org/officeDocument/2006/relationships/hyperlink" Target="https://drive.google.com/file/d/1M6xCrOGkkPUgnJSGThQuQcTGfaOFkhEi/view?usp=drivesdk" TargetMode="External"/><Relationship Id="rId1691" Type="http://schemas.openxmlformats.org/officeDocument/2006/relationships/hyperlink" Target="https://drive.google.com/file/d/1MRhD2PdqGW9m2O0WPnZXSg5-Xj8yJ4SV/view?usp=drivesdk" TargetMode="External"/><Relationship Id="rId1692" Type="http://schemas.openxmlformats.org/officeDocument/2006/relationships/hyperlink" Target="https://drive.google.com/file/d/1ArtmxPUwmIibSSmYMx2HcNf996yo12U9/view?usp=drivesdk" TargetMode="External"/><Relationship Id="rId862" Type="http://schemas.openxmlformats.org/officeDocument/2006/relationships/hyperlink" Target="https://drive.google.com/file/d/1ThA4-0ONChwHBDQLexNA4GjvyNlQFvx1/view?usp=drivesdk" TargetMode="External"/><Relationship Id="rId1693" Type="http://schemas.openxmlformats.org/officeDocument/2006/relationships/hyperlink" Target="https://drive.google.com/file/d/1mafo0X_SovcWVD15E724CqmuohmVIObc/view?usp=drivesdk" TargetMode="External"/><Relationship Id="rId861" Type="http://schemas.openxmlformats.org/officeDocument/2006/relationships/hyperlink" Target="https://drive.google.com/file/d/1HrzLZVRKhtGDW_QYG9EukpudIMQa8ave/view?usp=drivesdk" TargetMode="External"/><Relationship Id="rId1694" Type="http://schemas.openxmlformats.org/officeDocument/2006/relationships/hyperlink" Target="https://drive.google.com/file/d/10om2ABaxf1ln_vycWg0GyiryeVMVmvl1/view?usp=drivesdk" TargetMode="External"/><Relationship Id="rId860" Type="http://schemas.openxmlformats.org/officeDocument/2006/relationships/hyperlink" Target="https://drive.google.com/file/d/1Pd9kNf4JuJUXvFodUXucW96sdrYS_ttg/view?usp=drivesdk" TargetMode="External"/><Relationship Id="rId1695" Type="http://schemas.openxmlformats.org/officeDocument/2006/relationships/hyperlink" Target="https://drive.google.com/file/d/1jwpG-35s1Ouz3hHTY-YFQn86mFlVhZ3Y/view?usp=drivesdk" TargetMode="External"/><Relationship Id="rId1696" Type="http://schemas.openxmlformats.org/officeDocument/2006/relationships/hyperlink" Target="https://drive.google.com/file/d/1XwkE6JoRoOEQ6Uc6sdAZGgEADNJ9KvOM/view?usp=drivesdk" TargetMode="External"/><Relationship Id="rId1686" Type="http://schemas.openxmlformats.org/officeDocument/2006/relationships/hyperlink" Target="https://drive.google.com/file/d/1tpFl5Exp48K_IkoC54KZe9lqHzAbzWAl/view?usp=drivesdk" TargetMode="External"/><Relationship Id="rId1687" Type="http://schemas.openxmlformats.org/officeDocument/2006/relationships/hyperlink" Target="https://drive.google.com/file/d/1gugM9zHdkJqCiz_vi-ei-JaS5X9mXCLq/view?usp=drivesdk" TargetMode="External"/><Relationship Id="rId1688" Type="http://schemas.openxmlformats.org/officeDocument/2006/relationships/hyperlink" Target="https://drive.google.com/file/d/13r6y0lh7glk1ud6v3eKzxAmi_nLOVC5Y/view?usp=drivesdk" TargetMode="External"/><Relationship Id="rId1689" Type="http://schemas.openxmlformats.org/officeDocument/2006/relationships/hyperlink" Target="https://drive.google.com/file/d/18ELHkJNHOirIABaB_U_B_vdoDZku-fAy/view?usp=drivesdk" TargetMode="External"/><Relationship Id="rId855" Type="http://schemas.openxmlformats.org/officeDocument/2006/relationships/hyperlink" Target="https://drive.google.com/file/d/14H7SQVohI4pShQTy15img9IDsyV8nyQH/view?usp=drivesdk" TargetMode="External"/><Relationship Id="rId854" Type="http://schemas.openxmlformats.org/officeDocument/2006/relationships/hyperlink" Target="https://drive.google.com/file/d/1GSBONG08WTTCfXXQ9l1ss_XvOp4hnMu2/view?usp=drivesdk" TargetMode="External"/><Relationship Id="rId853" Type="http://schemas.openxmlformats.org/officeDocument/2006/relationships/hyperlink" Target="https://drive.google.com/file/d/152I82JHjrn102QGqTXha787mV-oJYtMb/view?usp=drivesdk" TargetMode="External"/><Relationship Id="rId852" Type="http://schemas.openxmlformats.org/officeDocument/2006/relationships/hyperlink" Target="https://drive.google.com/file/d/1-wp_wt-qB5Lydc40VFsgv7XzfovVtSZf/view?usp=drivesdk" TargetMode="External"/><Relationship Id="rId859" Type="http://schemas.openxmlformats.org/officeDocument/2006/relationships/hyperlink" Target="https://drive.google.com/file/d/1TIx2xnxAwEvJ92u_IooCSXfEwBU2lsDT/view?usp=drivesdk" TargetMode="External"/><Relationship Id="rId858" Type="http://schemas.openxmlformats.org/officeDocument/2006/relationships/hyperlink" Target="https://drive.google.com/file/d/1ogeavBuzGdR_sQsyfMLDpNjFuY9BAr19/view?usp=drivesdk" TargetMode="External"/><Relationship Id="rId857" Type="http://schemas.openxmlformats.org/officeDocument/2006/relationships/hyperlink" Target="https://drive.google.com/file/d/1auJMfL4Wdx80K4Mb3-YL8HNaiT6jeP15/view?usp=drivesdk" TargetMode="External"/><Relationship Id="rId856" Type="http://schemas.openxmlformats.org/officeDocument/2006/relationships/hyperlink" Target="https://drive.google.com/file/d/1fJPXx6Md0weLUVL83fE_3t254Ro74-QL/view?usp=drivesdk" TargetMode="External"/><Relationship Id="rId1680" Type="http://schemas.openxmlformats.org/officeDocument/2006/relationships/hyperlink" Target="https://drive.google.com/file/d/1osTsy7Zw7s5yeDJNc39S7V9YT5MLJX_9/view?usp=drivesdk" TargetMode="External"/><Relationship Id="rId1681" Type="http://schemas.openxmlformats.org/officeDocument/2006/relationships/hyperlink" Target="https://drive.google.com/file/d/13L3AqRP4yb4ifdkR5mdoCXb-MlPmY4ab/view?usp=drivesdk" TargetMode="External"/><Relationship Id="rId851" Type="http://schemas.openxmlformats.org/officeDocument/2006/relationships/hyperlink" Target="https://drive.google.com/file/d/1Iib8sp5xx3aQk_sgKNzQRoCQaz43NLLx/view?usp=drivesdk" TargetMode="External"/><Relationship Id="rId1682" Type="http://schemas.openxmlformats.org/officeDocument/2006/relationships/hyperlink" Target="https://drive.google.com/file/d/1FwmsuBPXgAM5Ta9678qNTfEGkAZROgKv/view?usp=drivesdk" TargetMode="External"/><Relationship Id="rId850" Type="http://schemas.openxmlformats.org/officeDocument/2006/relationships/hyperlink" Target="https://drive.google.com/file/d/1paGe3-qdpAlcqtIzrj5ctaxjbErSxeMx/view?usp=drivesdk" TargetMode="External"/><Relationship Id="rId1683" Type="http://schemas.openxmlformats.org/officeDocument/2006/relationships/hyperlink" Target="https://drive.google.com/file/d/13aBKF6lKdN-Chu3DzKe9rEuVxggPxSpq/view?usp=drivesdk" TargetMode="External"/><Relationship Id="rId1684" Type="http://schemas.openxmlformats.org/officeDocument/2006/relationships/hyperlink" Target="https://drive.google.com/file/d/11docLgJYoWNSQUZfYi2OBjykpNSQXLEX/view?usp=drivesdk" TargetMode="External"/><Relationship Id="rId1685" Type="http://schemas.openxmlformats.org/officeDocument/2006/relationships/hyperlink" Target="https://drive.google.com/file/d/1HlPs3lrPV2F0JFTh8acK7rqxmz6l3yki/view?usp=drivesdk" TargetMode="External"/><Relationship Id="rId888" Type="http://schemas.openxmlformats.org/officeDocument/2006/relationships/hyperlink" Target="https://drive.google.com/file/d/1acH5ApdcRxAuzLObTYfhqrty_Z24_C5M/view?usp=drivesdk" TargetMode="External"/><Relationship Id="rId887" Type="http://schemas.openxmlformats.org/officeDocument/2006/relationships/hyperlink" Target="https://drive.google.com/file/d/1w49upiwP8maoRKGTQV4gH7jT70Ha89ft/view?usp=drivesdk" TargetMode="External"/><Relationship Id="rId886" Type="http://schemas.openxmlformats.org/officeDocument/2006/relationships/hyperlink" Target="https://drive.google.com/file/d/11Mu9fmMwlXiO21-gTmMwa_EJXeTp0JOd/view?usp=drivesdk" TargetMode="External"/><Relationship Id="rId885" Type="http://schemas.openxmlformats.org/officeDocument/2006/relationships/hyperlink" Target="https://drive.google.com/file/d/1wZ0tMMPq7yZlL1RvaUDNAt4sIzsrq6Tr/view?usp=drivesdk" TargetMode="External"/><Relationship Id="rId889" Type="http://schemas.openxmlformats.org/officeDocument/2006/relationships/hyperlink" Target="https://drive.google.com/file/d/1NYq-gEPs2VTnRBMXIPvtCvQiZwmewqLr/view?usp=drivesdk" TargetMode="External"/><Relationship Id="rId880" Type="http://schemas.openxmlformats.org/officeDocument/2006/relationships/hyperlink" Target="https://drive.google.com/file/d/1dnoKdTH3xi8V_BClK2gVqOk7nh2VJoL5/view?usp=drivesdk" TargetMode="External"/><Relationship Id="rId884" Type="http://schemas.openxmlformats.org/officeDocument/2006/relationships/hyperlink" Target="https://drive.google.com/file/d/1fU-rW0E1cur4-ov-G-3uC9fAdjHKMgg6/view?usp=drivesdk" TargetMode="External"/><Relationship Id="rId883" Type="http://schemas.openxmlformats.org/officeDocument/2006/relationships/hyperlink" Target="https://drive.google.com/file/d/1CnHYWrJMulkUsBMHhsCUUJNN9qMp_olp/view?usp=drivesdk" TargetMode="External"/><Relationship Id="rId882" Type="http://schemas.openxmlformats.org/officeDocument/2006/relationships/hyperlink" Target="https://drive.google.com/file/d/1cbsovYY3mcSxyVQUjO-IjvFVZIGRieVG/view?usp=drivesdk" TargetMode="External"/><Relationship Id="rId881" Type="http://schemas.openxmlformats.org/officeDocument/2006/relationships/hyperlink" Target="https://drive.google.com/file/d/1ssh3wZallF9XkrtTPXrp8fGp8LwzIrsp/view?usp=drivesdk" TargetMode="External"/><Relationship Id="rId877" Type="http://schemas.openxmlformats.org/officeDocument/2006/relationships/hyperlink" Target="https://drive.google.com/file/d/1W_wVBCTFAzNrmAFaPM6tJYC4VxM2DpQh/view?usp=drivesdk" TargetMode="External"/><Relationship Id="rId876" Type="http://schemas.openxmlformats.org/officeDocument/2006/relationships/hyperlink" Target="https://drive.google.com/file/d/1zsunJMx-_UZKZUFYPNylS2qG8xvkP7GJ/view?usp=drivesdk" TargetMode="External"/><Relationship Id="rId875" Type="http://schemas.openxmlformats.org/officeDocument/2006/relationships/hyperlink" Target="https://drive.google.com/file/d/1-ewXtDKs6vE79PblLfeXNpqYELicGd5d/view?usp=drivesdk" TargetMode="External"/><Relationship Id="rId874" Type="http://schemas.openxmlformats.org/officeDocument/2006/relationships/hyperlink" Target="https://drive.google.com/file/d/1r0WoWQtJNdjWQwyhceYJOuieoH5n2YWU/view?usp=drivesdk" TargetMode="External"/><Relationship Id="rId879" Type="http://schemas.openxmlformats.org/officeDocument/2006/relationships/hyperlink" Target="https://drive.google.com/file/d/1LPc6AEgsZD0RJCR1xJ53aQffjbV4jQuc/view?usp=drivesdk" TargetMode="External"/><Relationship Id="rId878" Type="http://schemas.openxmlformats.org/officeDocument/2006/relationships/hyperlink" Target="https://drive.google.com/file/d/1LNf3szNc9E8A8zrQDLrXi9pNTqdEzqoh/view?usp=drivesdk" TargetMode="External"/><Relationship Id="rId873" Type="http://schemas.openxmlformats.org/officeDocument/2006/relationships/hyperlink" Target="https://drive.google.com/file/d/17CS1hakNHZ-CiMzM9CVW0wQomIgbIdqp/view?usp=drivesdk" TargetMode="External"/><Relationship Id="rId872" Type="http://schemas.openxmlformats.org/officeDocument/2006/relationships/hyperlink" Target="https://drive.google.com/file/d/12pqJfFnS0E5lnoLGoibxf5P5BsXuY30V/view?usp=drivesdk" TargetMode="External"/><Relationship Id="rId871" Type="http://schemas.openxmlformats.org/officeDocument/2006/relationships/hyperlink" Target="https://drive.google.com/file/d/13kdkRj5Zo2Dp-CvseiNiDe3T9pNwIbeu/view?usp=drivesdk" TargetMode="External"/><Relationship Id="rId870" Type="http://schemas.openxmlformats.org/officeDocument/2006/relationships/hyperlink" Target="https://drive.google.com/file/d/1_NDrVlfy_3QZKOK9q8XzIrmtCR2grclL/view?usp=drivesdk" TargetMode="External"/><Relationship Id="rId1653" Type="http://schemas.openxmlformats.org/officeDocument/2006/relationships/hyperlink" Target="https://drive.google.com/file/d/1_B_INvgL4FXEhYb6-vIrQ3u2z3hhQHff/view?usp=drivesdk" TargetMode="External"/><Relationship Id="rId2984" Type="http://schemas.openxmlformats.org/officeDocument/2006/relationships/hyperlink" Target="https://drive.google.com/file/d/1i6loPhvNlkkRixzPkcWecEDyRllu5_mm/view?usp=drivesdk" TargetMode="External"/><Relationship Id="rId1654" Type="http://schemas.openxmlformats.org/officeDocument/2006/relationships/hyperlink" Target="https://drive.google.com/file/d/1QdM6ZhnclgHwFZ0VADVTskbYNjiWJl6K/view?usp=drivesdk" TargetMode="External"/><Relationship Id="rId2985" Type="http://schemas.openxmlformats.org/officeDocument/2006/relationships/hyperlink" Target="https://drive.google.com/file/d/1HAbuMBL-WwGoZtepRqRS2TnE3H658UBs/view?usp=drivesdk" TargetMode="External"/><Relationship Id="rId1655" Type="http://schemas.openxmlformats.org/officeDocument/2006/relationships/hyperlink" Target="https://drive.google.com/file/d/1e_FbB-26oT_s83F7qBZdb6UZAuvs7sVd/view?usp=drivesdk" TargetMode="External"/><Relationship Id="rId2986" Type="http://schemas.openxmlformats.org/officeDocument/2006/relationships/hyperlink" Target="https://drive.google.com/file/d/10O4enob3ARdJKwZYTnfaCi4l2SgvcwNu/view?usp=drivesdk" TargetMode="External"/><Relationship Id="rId1656" Type="http://schemas.openxmlformats.org/officeDocument/2006/relationships/hyperlink" Target="https://drive.google.com/file/d/1WwYBtGYDyb79-ZILgwyvqich4BDpVZ6q/view?usp=drivesdk" TargetMode="External"/><Relationship Id="rId2987" Type="http://schemas.openxmlformats.org/officeDocument/2006/relationships/hyperlink" Target="https://drive.google.com/file/d/1-YEgfaD4GWhpbvHoLSiPpf9NKTopmIgk/view?usp=drivesdk" TargetMode="External"/><Relationship Id="rId1657" Type="http://schemas.openxmlformats.org/officeDocument/2006/relationships/hyperlink" Target="https://drive.google.com/file/d/1IYLUACrky05-yFEspGTeCEltk9RhBTUd/view?usp=drivesdk" TargetMode="External"/><Relationship Id="rId2988" Type="http://schemas.openxmlformats.org/officeDocument/2006/relationships/hyperlink" Target="https://drive.google.com/file/d/1jz1Gse5vyJKYQb_XVIWZhEhUnYN4Q3Jy/view?usp=drivesdk" TargetMode="External"/><Relationship Id="rId1658" Type="http://schemas.openxmlformats.org/officeDocument/2006/relationships/hyperlink" Target="https://drive.google.com/file/d/1pI1UzKSfxQiK3bXabgMI8zhGuEtQ-ppw/view?usp=drivesdk" TargetMode="External"/><Relationship Id="rId2989" Type="http://schemas.openxmlformats.org/officeDocument/2006/relationships/hyperlink" Target="https://drive.google.com/file/d/12HDZNNrUljXBr7JkFfUyoc3Hjk78KixX/view?usp=drivesdk" TargetMode="External"/><Relationship Id="rId1659" Type="http://schemas.openxmlformats.org/officeDocument/2006/relationships/hyperlink" Target="https://drive.google.com/file/d/1wRWOApq4rpQk0TeDiqQHeejIt3UCma0D/view?usp=drivesdk" TargetMode="External"/><Relationship Id="rId829" Type="http://schemas.openxmlformats.org/officeDocument/2006/relationships/hyperlink" Target="https://drive.google.com/file/d/1GuWIwiGBM0TbRtY2VIwAvYLdprIP7eCr/view?usp=drivesdk" TargetMode="External"/><Relationship Id="rId828" Type="http://schemas.openxmlformats.org/officeDocument/2006/relationships/hyperlink" Target="https://drive.google.com/file/d/1dzSbKLvi8pTXjjtEO33e1UGq6beeNrz6/view?usp=drivesdk" TargetMode="External"/><Relationship Id="rId827" Type="http://schemas.openxmlformats.org/officeDocument/2006/relationships/hyperlink" Target="https://drive.google.com/file/d/1voAasojaaiEPtOjYrWUWoZGVrnvrHqjU/view?usp=drivesdk" TargetMode="External"/><Relationship Id="rId822" Type="http://schemas.openxmlformats.org/officeDocument/2006/relationships/hyperlink" Target="https://drive.google.com/file/d/1fg7CCdWwOq-zH6rEDJMIqdNCZAZfCQCC/view?usp=drivesdk" TargetMode="External"/><Relationship Id="rId821" Type="http://schemas.openxmlformats.org/officeDocument/2006/relationships/hyperlink" Target="https://drive.google.com/file/d/1WaP86jiSgUt6bIMy_ELsz1xdj_3VPgoj/view?usp=drivesdk" TargetMode="External"/><Relationship Id="rId820" Type="http://schemas.openxmlformats.org/officeDocument/2006/relationships/hyperlink" Target="https://drive.google.com/file/d/1H2dFkGVJW99bWpvxl6kaIsR7m-wmlNeP/view?usp=drivesdk" TargetMode="External"/><Relationship Id="rId826" Type="http://schemas.openxmlformats.org/officeDocument/2006/relationships/hyperlink" Target="https://drive.google.com/file/d/1Li6cZsR86XYl3HNiRVQXcXzXlsXQ001J/view?usp=drivesdk" TargetMode="External"/><Relationship Id="rId825" Type="http://schemas.openxmlformats.org/officeDocument/2006/relationships/hyperlink" Target="https://drive.google.com/file/d/1Ewul27YdSEgs8yf2j9Tfn0bcDkmHjxsb/view?usp=drivesdk" TargetMode="External"/><Relationship Id="rId824" Type="http://schemas.openxmlformats.org/officeDocument/2006/relationships/hyperlink" Target="https://drive.google.com/file/d/1NN7I-JPEhIm4HwdM-haczDQJbeWC-cDj/view?usp=drivesdk" TargetMode="External"/><Relationship Id="rId823" Type="http://schemas.openxmlformats.org/officeDocument/2006/relationships/hyperlink" Target="https://drive.google.com/file/d/1aShgThmMAqFHyQqKTQwyuLWQ09fLsdaQ/view?usp=drivesdk" TargetMode="External"/><Relationship Id="rId2980" Type="http://schemas.openxmlformats.org/officeDocument/2006/relationships/hyperlink" Target="https://drive.google.com/file/d/1VPTA56buWnFmPbt4PnUGedPIzQgwVHBm/view?usp=drivesdk" TargetMode="External"/><Relationship Id="rId1650" Type="http://schemas.openxmlformats.org/officeDocument/2006/relationships/hyperlink" Target="https://drive.google.com/file/d/16XmGcBCPo5gWQNwkS2Zfhe3JOjDm_xB4/view?usp=drivesdk" TargetMode="External"/><Relationship Id="rId2981" Type="http://schemas.openxmlformats.org/officeDocument/2006/relationships/hyperlink" Target="https://drive.google.com/file/d/1mbt18Py5e-9LI1u07BkTJi43Ol4weZzH/view?usp=drivesdk" TargetMode="External"/><Relationship Id="rId1651" Type="http://schemas.openxmlformats.org/officeDocument/2006/relationships/hyperlink" Target="https://drive.google.com/file/d/1f_N5RZksshSP_KFa6ZgJCzbp20MPDE3O/view?usp=drivesdk" TargetMode="External"/><Relationship Id="rId2982" Type="http://schemas.openxmlformats.org/officeDocument/2006/relationships/hyperlink" Target="https://drive.google.com/file/d/1cH09rEeHTFUW7JiY-6I80I0Y594Jx3JJ/view?usp=drivesdk" TargetMode="External"/><Relationship Id="rId1652" Type="http://schemas.openxmlformats.org/officeDocument/2006/relationships/hyperlink" Target="https://drive.google.com/file/d/1o3qGelBTANt4Y_5Ijp-H-kFi28l3prQm/view?usp=drivesdk" TargetMode="External"/><Relationship Id="rId2983" Type="http://schemas.openxmlformats.org/officeDocument/2006/relationships/hyperlink" Target="https://drive.google.com/file/d/1wkzWuvt2f66W7vsWddtAxjmwPD3ZM7Az/view?usp=drivesdk" TargetMode="External"/><Relationship Id="rId1642" Type="http://schemas.openxmlformats.org/officeDocument/2006/relationships/hyperlink" Target="https://drive.google.com/file/d/1MtK7wXbgml0837tjJbKCmzIkWS1WSFNR/view?usp=drivesdk" TargetMode="External"/><Relationship Id="rId2973" Type="http://schemas.openxmlformats.org/officeDocument/2006/relationships/hyperlink" Target="https://drive.google.com/file/d/1ith_PzTOPM6DuOodcuU2IfWZ072TyKqN/view?usp=drivesdk" TargetMode="External"/><Relationship Id="rId1643" Type="http://schemas.openxmlformats.org/officeDocument/2006/relationships/hyperlink" Target="https://drive.google.com/file/d/1hOP76FZUnFN1IRP6-aS73hGqdibr0EX_/view?usp=drivesdk" TargetMode="External"/><Relationship Id="rId2974" Type="http://schemas.openxmlformats.org/officeDocument/2006/relationships/hyperlink" Target="https://drive.google.com/file/d/1SNPtdGs0DD8m8w7V2-KMnlxLr-3EStMo/view?usp=drivesdk" TargetMode="External"/><Relationship Id="rId1644" Type="http://schemas.openxmlformats.org/officeDocument/2006/relationships/hyperlink" Target="https://drive.google.com/file/d/1V2BQW8p6qw-_MKp__Jq7M4OmX9toEhsF/view?usp=drivesdk" TargetMode="External"/><Relationship Id="rId2975" Type="http://schemas.openxmlformats.org/officeDocument/2006/relationships/hyperlink" Target="https://drive.google.com/file/d/1TJR-GIGnourLMjGFsyzayyP_9-xQmvvo/view?usp=drivesdk" TargetMode="External"/><Relationship Id="rId1645" Type="http://schemas.openxmlformats.org/officeDocument/2006/relationships/hyperlink" Target="https://drive.google.com/file/d/1h1HTdy0g5x3VINB-BWdkRNHjgwvPUE4h/view?usp=drivesdk" TargetMode="External"/><Relationship Id="rId2976" Type="http://schemas.openxmlformats.org/officeDocument/2006/relationships/hyperlink" Target="https://drive.google.com/file/d/1G5Gv_eNgtl2PhJk4AefMyFamGDfiLUEW/view?usp=drivesdk" TargetMode="External"/><Relationship Id="rId1646" Type="http://schemas.openxmlformats.org/officeDocument/2006/relationships/hyperlink" Target="https://drive.google.com/file/d/1l8ArnXWZr-zv3joyPp1St_VgrNM-eg6V/view?usp=drivesdk" TargetMode="External"/><Relationship Id="rId2977" Type="http://schemas.openxmlformats.org/officeDocument/2006/relationships/hyperlink" Target="https://drive.google.com/file/d/1uXMyNwPHZ7KS5GQZNrL0_lCfhO5ZCR3E/view?usp=drivesdk" TargetMode="External"/><Relationship Id="rId1647" Type="http://schemas.openxmlformats.org/officeDocument/2006/relationships/hyperlink" Target="https://drive.google.com/file/d/1puKMAkzHCbUVnDPAUHWcWFUh17dZ2X22/view?usp=drivesdk" TargetMode="External"/><Relationship Id="rId2978" Type="http://schemas.openxmlformats.org/officeDocument/2006/relationships/hyperlink" Target="https://drive.google.com/file/d/1boy0f9-NVKASP_o2UfwL2LPiPDxRFozI/view?usp=drivesdk" TargetMode="External"/><Relationship Id="rId1648" Type="http://schemas.openxmlformats.org/officeDocument/2006/relationships/hyperlink" Target="https://drive.google.com/file/d/1QIpUdozRonQyLDnufO2WhJxUN215bqF-/view?usp=drivesdk" TargetMode="External"/><Relationship Id="rId2979" Type="http://schemas.openxmlformats.org/officeDocument/2006/relationships/hyperlink" Target="https://drive.google.com/file/d/1YVCRvfNojKh3-mErXzUvJpR6vILpySLu/view?usp=drivesdk" TargetMode="External"/><Relationship Id="rId1649" Type="http://schemas.openxmlformats.org/officeDocument/2006/relationships/hyperlink" Target="https://drive.google.com/file/d/12Fuh0PAd5VRN_27iIxYu3SJ8Wy73boXx/view?usp=drivesdk" TargetMode="External"/><Relationship Id="rId819" Type="http://schemas.openxmlformats.org/officeDocument/2006/relationships/hyperlink" Target="https://drive.google.com/file/d/1JtsLvO58r4JCdzxrcmufK0sXbl3okJB4/view?usp=drivesdk" TargetMode="External"/><Relationship Id="rId818" Type="http://schemas.openxmlformats.org/officeDocument/2006/relationships/hyperlink" Target="https://drive.google.com/file/d/1Jut4sb5CAiaohBKL4mOiygtUuI-3zJM5/view?usp=drivesdk" TargetMode="External"/><Relationship Id="rId817" Type="http://schemas.openxmlformats.org/officeDocument/2006/relationships/hyperlink" Target="https://drive.google.com/file/d/1nlGJBJ_3TCiCYzWHfhx7oUBkLd52zDYi/view?usp=drivesdk" TargetMode="External"/><Relationship Id="rId816" Type="http://schemas.openxmlformats.org/officeDocument/2006/relationships/hyperlink" Target="https://drive.google.com/file/d/1c_HUmqnj6E-gp-k9hXiTKqZimbV9ZX_N/view?usp=drivesdk" TargetMode="External"/><Relationship Id="rId811" Type="http://schemas.openxmlformats.org/officeDocument/2006/relationships/hyperlink" Target="https://drive.google.com/file/d/1raPjURmp7wEtP3-y8KFLk57sh47_ZU_d/view?usp=drivesdk" TargetMode="External"/><Relationship Id="rId810" Type="http://schemas.openxmlformats.org/officeDocument/2006/relationships/hyperlink" Target="https://drive.google.com/file/d/1OUxrQbPhAyd78TAQBkEND3dYO-pH006H/view?usp=drivesdk" TargetMode="External"/><Relationship Id="rId815" Type="http://schemas.openxmlformats.org/officeDocument/2006/relationships/hyperlink" Target="https://drive.google.com/file/d/1UNTiftbyabRsSS0aKbTPFxJ7VJKifHuI/view?usp=drivesdk" TargetMode="External"/><Relationship Id="rId814" Type="http://schemas.openxmlformats.org/officeDocument/2006/relationships/hyperlink" Target="https://drive.google.com/file/d/1Bv6g6ZKYhdeQfGPG5IeIQsGAIsFKXEiQ/view?usp=drivesdk" TargetMode="External"/><Relationship Id="rId813" Type="http://schemas.openxmlformats.org/officeDocument/2006/relationships/hyperlink" Target="https://drive.google.com/file/d/13nGlYht8AlsCU5JwalR8DTDR6a72dEjn/view?usp=drivesdk" TargetMode="External"/><Relationship Id="rId812" Type="http://schemas.openxmlformats.org/officeDocument/2006/relationships/hyperlink" Target="https://drive.google.com/file/d/1GNb7WLz1SrEPhtuNp1pzBfJI8aitfupb/view?usp=drivesdk" TargetMode="External"/><Relationship Id="rId2970" Type="http://schemas.openxmlformats.org/officeDocument/2006/relationships/hyperlink" Target="https://drive.google.com/file/d/1LGg5PrmDLiEB2QOn8GQsVe08pLAqHFtN/view?usp=drivesdk" TargetMode="External"/><Relationship Id="rId1640" Type="http://schemas.openxmlformats.org/officeDocument/2006/relationships/hyperlink" Target="https://drive.google.com/file/d/1HOlvDuLGiUbX-vbd54GJW3NTq6AC62s2/view?usp=drivesdk" TargetMode="External"/><Relationship Id="rId2971" Type="http://schemas.openxmlformats.org/officeDocument/2006/relationships/hyperlink" Target="https://drive.google.com/file/d/1yW2EUz93Z6V1WzWrT90zuLs2X73IV1De/view?usp=drivesdk" TargetMode="External"/><Relationship Id="rId1641" Type="http://schemas.openxmlformats.org/officeDocument/2006/relationships/hyperlink" Target="https://drive.google.com/file/d/1XPjLxxDexaRUSw9_VgIpjE8h7YM12v6D/view?usp=drivesdk" TargetMode="External"/><Relationship Id="rId2972" Type="http://schemas.openxmlformats.org/officeDocument/2006/relationships/hyperlink" Target="https://drive.google.com/file/d/1f3Ojb8vWfNttgpd4z5MtmOGNfXybtEp9/view?usp=drivesdk" TargetMode="External"/><Relationship Id="rId1675" Type="http://schemas.openxmlformats.org/officeDocument/2006/relationships/hyperlink" Target="https://drive.google.com/file/d/1pD7R_C4mhAM_nT8cMHhHVQzb7PgxH3On/view?usp=drivesdk" TargetMode="External"/><Relationship Id="rId1676" Type="http://schemas.openxmlformats.org/officeDocument/2006/relationships/hyperlink" Target="https://drive.google.com/file/d/15RJb_Qg-TmOZeT_SQKkII5J2NWJgYWN-/view?usp=drivesdk" TargetMode="External"/><Relationship Id="rId1677" Type="http://schemas.openxmlformats.org/officeDocument/2006/relationships/hyperlink" Target="https://drive.google.com/file/d/1gb4adXttNXNfyTzA-06i2dlioRl-QRPs/view?usp=drivesdk" TargetMode="External"/><Relationship Id="rId1678" Type="http://schemas.openxmlformats.org/officeDocument/2006/relationships/hyperlink" Target="https://drive.google.com/file/d/11UNt4HL5AI5pGxPFTfQjuBdB5o5G2u_3/view?usp=drivesdk" TargetMode="External"/><Relationship Id="rId1679" Type="http://schemas.openxmlformats.org/officeDocument/2006/relationships/hyperlink" Target="https://drive.google.com/file/d/1CSythDvtH95LWOvirIiIPu84gnxtLpu5/view?usp=drivesdk" TargetMode="External"/><Relationship Id="rId849" Type="http://schemas.openxmlformats.org/officeDocument/2006/relationships/hyperlink" Target="https://drive.google.com/file/d/10ecp6SNQzufakJrBWs5_ppyAfrxVS8or/view?usp=drivesdk" TargetMode="External"/><Relationship Id="rId844" Type="http://schemas.openxmlformats.org/officeDocument/2006/relationships/hyperlink" Target="https://drive.google.com/file/d/11a96mAV46-tVzMUsJnKauYYDqTcVVq57/view?usp=drivesdk" TargetMode="External"/><Relationship Id="rId843" Type="http://schemas.openxmlformats.org/officeDocument/2006/relationships/hyperlink" Target="https://drive.google.com/file/d/1WFrPxDJj_rxwFhkAmqif5VjQenq3Rbdl/view?usp=drivesdk" TargetMode="External"/><Relationship Id="rId842" Type="http://schemas.openxmlformats.org/officeDocument/2006/relationships/hyperlink" Target="https://drive.google.com/file/d/12qJZSfMvOGOLLeUVcc8-LuwRNDyr5h7S/view?usp=drivesdk" TargetMode="External"/><Relationship Id="rId841" Type="http://schemas.openxmlformats.org/officeDocument/2006/relationships/hyperlink" Target="https://drive.google.com/file/d/1B7iiaUCTInIqMMXeyUVnfRp5DBd3tLUu/view?usp=drivesdk" TargetMode="External"/><Relationship Id="rId848" Type="http://schemas.openxmlformats.org/officeDocument/2006/relationships/hyperlink" Target="https://drive.google.com/file/d/1A_JTBoC37RRz9Fr89sEPveTcsdJU0SFS/view?usp=drivesdk" TargetMode="External"/><Relationship Id="rId847" Type="http://schemas.openxmlformats.org/officeDocument/2006/relationships/hyperlink" Target="https://drive.google.com/file/d/1ZRNVVO5gKTR1LclIl2gLTS6Ff65TENEz/view?usp=drivesdk" TargetMode="External"/><Relationship Id="rId846" Type="http://schemas.openxmlformats.org/officeDocument/2006/relationships/hyperlink" Target="https://drive.google.com/file/d/1k_YNr8SGousPBa6thOo6EPk_u5cpQqsm/view?usp=drivesdk" TargetMode="External"/><Relationship Id="rId845" Type="http://schemas.openxmlformats.org/officeDocument/2006/relationships/hyperlink" Target="https://drive.google.com/file/d/1_q-tYY64cnNRPYUsqb5pCFwmV11qnG9L/view?usp=drivesdk" TargetMode="External"/><Relationship Id="rId1670" Type="http://schemas.openxmlformats.org/officeDocument/2006/relationships/hyperlink" Target="https://drive.google.com/file/d/1cYYUDq9bMYutZa8lZ-FjGrv1ypJQq8b8/view?usp=drivesdk" TargetMode="External"/><Relationship Id="rId840" Type="http://schemas.openxmlformats.org/officeDocument/2006/relationships/hyperlink" Target="https://drive.google.com/file/d/1_y6lt1IJM-DRgOiEcdT6ZwlbJz_JNrrj/view?usp=drivesdk" TargetMode="External"/><Relationship Id="rId1671" Type="http://schemas.openxmlformats.org/officeDocument/2006/relationships/hyperlink" Target="https://drive.google.com/file/d/1UrFJnN3hhDT1b_yzEp5zlUDBGEcE67Np/view?usp=drivesdk" TargetMode="External"/><Relationship Id="rId1672" Type="http://schemas.openxmlformats.org/officeDocument/2006/relationships/hyperlink" Target="https://drive.google.com/file/d/1GefoQQexNV5sqw-M1VcBSizVfWR6bLD4/view?usp=drivesdk" TargetMode="External"/><Relationship Id="rId1673" Type="http://schemas.openxmlformats.org/officeDocument/2006/relationships/hyperlink" Target="https://drive.google.com/file/d/1HXvuTrXTyjd_nAiTO9nRkCVBC8pFITuS/view?usp=drivesdk" TargetMode="External"/><Relationship Id="rId1674" Type="http://schemas.openxmlformats.org/officeDocument/2006/relationships/hyperlink" Target="https://drive.google.com/file/d/1jaebJMYT_Yw_enm6OuU-jbYd_tTb_kvR/view?usp=drivesdk" TargetMode="External"/><Relationship Id="rId1664" Type="http://schemas.openxmlformats.org/officeDocument/2006/relationships/hyperlink" Target="https://drive.google.com/file/d/1jAEe_z9XqEiSvzKWh0yLbO7dJo_yNyQh/view?usp=drivesdk" TargetMode="External"/><Relationship Id="rId2995" Type="http://schemas.openxmlformats.org/officeDocument/2006/relationships/hyperlink" Target="https://drive.google.com/file/d/1xSH5zgvVsxqFDfH827C2MX7rdw_x-YUa/view?usp=drivesdk" TargetMode="External"/><Relationship Id="rId1665" Type="http://schemas.openxmlformats.org/officeDocument/2006/relationships/hyperlink" Target="https://drive.google.com/file/d/1QtswYt6KHxfNB1t9CqBWfBg_XFFSH4yt/view?usp=drivesdk" TargetMode="External"/><Relationship Id="rId2996" Type="http://schemas.openxmlformats.org/officeDocument/2006/relationships/hyperlink" Target="https://drive.google.com/file/d/1TbkfKAxR_UCgQsyulqLxJUWElpgq__Ne/view?usp=drivesdk" TargetMode="External"/><Relationship Id="rId1666" Type="http://schemas.openxmlformats.org/officeDocument/2006/relationships/hyperlink" Target="https://drive.google.com/file/d/1LBKMU5uD7J6yXlPjhrfIzAho3Zkal8nU/view?usp=drivesdk" TargetMode="External"/><Relationship Id="rId2997" Type="http://schemas.openxmlformats.org/officeDocument/2006/relationships/hyperlink" Target="https://drive.google.com/file/d/1bzPEO2RAQfXzKEmPHP5arFOoSgDFT258/view?usp=drivesdk" TargetMode="External"/><Relationship Id="rId1667" Type="http://schemas.openxmlformats.org/officeDocument/2006/relationships/hyperlink" Target="https://drive.google.com/file/d/1q1UMY6T5liDNd_KkT266jQ0tBktWDpwM/view?usp=drivesdk" TargetMode="External"/><Relationship Id="rId2998" Type="http://schemas.openxmlformats.org/officeDocument/2006/relationships/hyperlink" Target="https://drive.google.com/file/d/1PsHN1TSKKQ24qNGgYdgPSmNQuaQvGpW-/view?usp=drivesdk" TargetMode="External"/><Relationship Id="rId1668" Type="http://schemas.openxmlformats.org/officeDocument/2006/relationships/hyperlink" Target="https://drive.google.com/file/d/1ahu_WotEkNGl_lCR-9GnHoTt7uXMngnE/view?usp=drivesdk" TargetMode="External"/><Relationship Id="rId2999" Type="http://schemas.openxmlformats.org/officeDocument/2006/relationships/hyperlink" Target="https://drive.google.com/file/d/1Y69AXgCKKTsh5sbFaHZ4p2Mpk5Y6aToj/view?usp=drivesdk" TargetMode="External"/><Relationship Id="rId1669" Type="http://schemas.openxmlformats.org/officeDocument/2006/relationships/hyperlink" Target="https://drive.google.com/file/d/1DWWeIHf8funRkofhU1SqZPJf7jQnsCnf/view?usp=drivesdk" TargetMode="External"/><Relationship Id="rId839" Type="http://schemas.openxmlformats.org/officeDocument/2006/relationships/hyperlink" Target="https://drive.google.com/file/d/1JtPUjT2AkieTgnxedreRylghKXVIcFa_/view?usp=drivesdk" TargetMode="External"/><Relationship Id="rId838" Type="http://schemas.openxmlformats.org/officeDocument/2006/relationships/hyperlink" Target="https://drive.google.com/file/d/1QEyoG9R9olM8jEzW8oBoLu0GxYR4cF7t/view?usp=drivesdk" TargetMode="External"/><Relationship Id="rId833" Type="http://schemas.openxmlformats.org/officeDocument/2006/relationships/hyperlink" Target="https://drive.google.com/file/d/1zLXS2ICSXiAFzsPx7DCMsYe8hdX-rp1T/view?usp=drivesdk" TargetMode="External"/><Relationship Id="rId832" Type="http://schemas.openxmlformats.org/officeDocument/2006/relationships/hyperlink" Target="https://drive.google.com/file/d/1hKxvWVRmeRDq1XyCWFTZ08dcb69N4Aa0/view?usp=drivesdk" TargetMode="External"/><Relationship Id="rId831" Type="http://schemas.openxmlformats.org/officeDocument/2006/relationships/hyperlink" Target="https://drive.google.com/file/d/1TtM47KervD9pPhP13sIlHmt0YmY_tF_r/view?usp=drivesdk" TargetMode="External"/><Relationship Id="rId830" Type="http://schemas.openxmlformats.org/officeDocument/2006/relationships/hyperlink" Target="https://drive.google.com/file/d/1C-BZO8Fzp2gAT8a5Sou7LqYYYxpGPCPq/view?usp=drivesdk" TargetMode="External"/><Relationship Id="rId837" Type="http://schemas.openxmlformats.org/officeDocument/2006/relationships/hyperlink" Target="https://drive.google.com/file/d/1u6FaAucHuDC84IyOCpdi2h1ZlhuTTGtP/view?usp=drivesdk" TargetMode="External"/><Relationship Id="rId836" Type="http://schemas.openxmlformats.org/officeDocument/2006/relationships/hyperlink" Target="https://drive.google.com/file/d/1TcD631htQLdD9CFN4nopDAnUTsVMtfDw/view?usp=drivesdk" TargetMode="External"/><Relationship Id="rId835" Type="http://schemas.openxmlformats.org/officeDocument/2006/relationships/hyperlink" Target="https://drive.google.com/file/d/1xDrgq0Q4AZs9C3JBxRyozS_rM0-z3EJx/view?usp=drivesdk" TargetMode="External"/><Relationship Id="rId834" Type="http://schemas.openxmlformats.org/officeDocument/2006/relationships/hyperlink" Target="https://drive.google.com/file/d/1KwUJPJm1AAhe-wJVb1WYaF5Augl6fUWh/view?usp=drivesdk" TargetMode="External"/><Relationship Id="rId2990" Type="http://schemas.openxmlformats.org/officeDocument/2006/relationships/hyperlink" Target="https://drive.google.com/file/d/1flbJcm3LLuo8ZQwvGKQaDWFwRgItMyFd/view?usp=drivesdk" TargetMode="External"/><Relationship Id="rId1660" Type="http://schemas.openxmlformats.org/officeDocument/2006/relationships/hyperlink" Target="https://drive.google.com/file/d/1VIpLSmPH-SDc-igEHQ_RC85mQHDhhKyL/view?usp=drivesdk" TargetMode="External"/><Relationship Id="rId2991" Type="http://schemas.openxmlformats.org/officeDocument/2006/relationships/hyperlink" Target="https://drive.google.com/file/d/1RMVOyXQkUQNwX8JMGmLdlDY3wJt6i-6x/view?usp=drivesdk" TargetMode="External"/><Relationship Id="rId1661" Type="http://schemas.openxmlformats.org/officeDocument/2006/relationships/hyperlink" Target="https://drive.google.com/file/d/1p6hwNweufZrucYS8uZ2QBkC6d44CGeHU/view?usp=drivesdk" TargetMode="External"/><Relationship Id="rId2992" Type="http://schemas.openxmlformats.org/officeDocument/2006/relationships/hyperlink" Target="https://drive.google.com/file/d/1uH1yNgDKiolkPKmToKA8RpG70DiF8OrM/view?usp=drivesdk" TargetMode="External"/><Relationship Id="rId1662" Type="http://schemas.openxmlformats.org/officeDocument/2006/relationships/hyperlink" Target="https://drive.google.com/file/d/1q23_r2V5NJYCU64HFZRff8OHNzzq7N_v/view?usp=drivesdk" TargetMode="External"/><Relationship Id="rId2993" Type="http://schemas.openxmlformats.org/officeDocument/2006/relationships/hyperlink" Target="https://drive.google.com/file/d/1G1nbWeCxxEQJAqU2AEcsoEnNdRm2HMqJ/view?usp=drivesdk" TargetMode="External"/><Relationship Id="rId1663" Type="http://schemas.openxmlformats.org/officeDocument/2006/relationships/hyperlink" Target="https://drive.google.com/file/d/1lG34wV2AEhgx8u47p_mUUmy7SnAcKI9m/view?usp=drivesdk" TargetMode="External"/><Relationship Id="rId2994" Type="http://schemas.openxmlformats.org/officeDocument/2006/relationships/hyperlink" Target="https://drive.google.com/file/d/1-U6O9XbGxiU7U1nDBv8G523m1OS7RgSO/view?usp=drivesdk" TargetMode="External"/><Relationship Id="rId6506" Type="http://schemas.openxmlformats.org/officeDocument/2006/relationships/hyperlink" Target="https://drive.google.com/file/d/1WnBgFP2A4E88ax8hVILuk-38mZUtMdjZ/view?usp=drivesdk" TargetMode="External"/><Relationship Id="rId7838" Type="http://schemas.openxmlformats.org/officeDocument/2006/relationships/hyperlink" Target="https://drive.google.com/file/d/1GIurl_hT2KhulP4wxQwA9c3v6x_zxOZl/view?usp=drivesdk" TargetMode="External"/><Relationship Id="rId6507" Type="http://schemas.openxmlformats.org/officeDocument/2006/relationships/hyperlink" Target="https://drive.google.com/file/d/1mjek7c4xiV2rJ2d16pXM1fG18L2zv6Ox/view?usp=drivesdk" TargetMode="External"/><Relationship Id="rId7837" Type="http://schemas.openxmlformats.org/officeDocument/2006/relationships/hyperlink" Target="https://drive.google.com/file/d/1-SpdQd_g-Xd1JICLbt3jHqWQhyXl2z6Y/view?usp=drivesdk" TargetMode="External"/><Relationship Id="rId6504" Type="http://schemas.openxmlformats.org/officeDocument/2006/relationships/hyperlink" Target="https://drive.google.com/file/d/12VGqIjDI8YSPHayXu5qBBgaU0futYdv0/view?usp=drivesdk" TargetMode="External"/><Relationship Id="rId7836" Type="http://schemas.openxmlformats.org/officeDocument/2006/relationships/hyperlink" Target="https://drive.google.com/file/d/173NfquAUQAivXxe9qRdv9S3VuMQWU5hd/view?usp=drivesdk" TargetMode="External"/><Relationship Id="rId6505" Type="http://schemas.openxmlformats.org/officeDocument/2006/relationships/hyperlink" Target="https://drive.google.com/file/d/1Z61PEACf-JjHBhtGVK3NC9RGX-Dv2y9I/view?usp=drivesdk" TargetMode="External"/><Relationship Id="rId7835" Type="http://schemas.openxmlformats.org/officeDocument/2006/relationships/hyperlink" Target="https://drive.google.com/file/d/1LXdd8fr6_sG3uM45HAaW4YG5YNXWyTJV/view?usp=drivesdk" TargetMode="External"/><Relationship Id="rId6508" Type="http://schemas.openxmlformats.org/officeDocument/2006/relationships/hyperlink" Target="https://drive.google.com/file/d/1hh1KUFPjLfK5TGaTqlf0or64HkYNIgae/view?usp=drivesdk" TargetMode="External"/><Relationship Id="rId6509" Type="http://schemas.openxmlformats.org/officeDocument/2006/relationships/hyperlink" Target="https://drive.google.com/file/d/10WSwKWcMHtJri5uyyjuAFs6UVZ4CJ02d/view?usp=drivesdk" TargetMode="External"/><Relationship Id="rId7839" Type="http://schemas.openxmlformats.org/officeDocument/2006/relationships/hyperlink" Target="https://drive.google.com/file/d/1ovLmrjqYHnxyqPCqqgB5IoN2gy4obUPS/view?usp=drivesdk" TargetMode="External"/><Relationship Id="rId7830" Type="http://schemas.openxmlformats.org/officeDocument/2006/relationships/hyperlink" Target="https://drive.google.com/file/d/1nreCtVlwqeVuFeEMjJJt0oUkvISLgSu-/view?usp=drivesdk" TargetMode="External"/><Relationship Id="rId6502" Type="http://schemas.openxmlformats.org/officeDocument/2006/relationships/hyperlink" Target="https://drive.google.com/file/d/1SwV_0AdjlW-DfEYHXy0qiAG5WI2RCP7i/view?usp=drivesdk" TargetMode="External"/><Relationship Id="rId7834" Type="http://schemas.openxmlformats.org/officeDocument/2006/relationships/hyperlink" Target="https://drive.google.com/file/d/1Bd1I0a_xwuby8h4mKUPIR-BPMe76_kIX/view?usp=drivesdk" TargetMode="External"/><Relationship Id="rId6503" Type="http://schemas.openxmlformats.org/officeDocument/2006/relationships/hyperlink" Target="https://drive.google.com/file/d/1_0R5htEBh2ir8cJN2e6K2RvCtgTqiYXI/view?usp=drivesdk" TargetMode="External"/><Relationship Id="rId7833" Type="http://schemas.openxmlformats.org/officeDocument/2006/relationships/hyperlink" Target="https://drive.google.com/file/d/1pzBp49NsQu_jeZv4fKmcSYGyEBgSVgzR/view?usp=drivesdk" TargetMode="External"/><Relationship Id="rId6500" Type="http://schemas.openxmlformats.org/officeDocument/2006/relationships/hyperlink" Target="https://drive.google.com/file/d/1Ehb_uQVUne0dLiABosY5ls0R2jQXDzqD/view?usp=drivesdk" TargetMode="External"/><Relationship Id="rId7832" Type="http://schemas.openxmlformats.org/officeDocument/2006/relationships/hyperlink" Target="https://drive.google.com/file/d/1d3M7vFY2JW8Fb0nUyvAbbsNiSRJkmp-9/view?usp=drivesdk" TargetMode="External"/><Relationship Id="rId6501" Type="http://schemas.openxmlformats.org/officeDocument/2006/relationships/hyperlink" Target="https://drive.google.com/file/d/1DktGu0h2W4xjXbZoE1ZJBvqvqQzBx4V0/view?usp=drivesdk" TargetMode="External"/><Relationship Id="rId7831" Type="http://schemas.openxmlformats.org/officeDocument/2006/relationships/hyperlink" Target="https://drive.google.com/file/d/19hX_rpLAil8fchDY585rcK2yLHpof1Mf/view?usp=drivesdk" TargetMode="External"/><Relationship Id="rId7827" Type="http://schemas.openxmlformats.org/officeDocument/2006/relationships/hyperlink" Target="https://drive.google.com/file/d/1ab3_yyL3XpgC3vm4W1iJCB8y58xscya1/view?usp=drivesdk" TargetMode="External"/><Relationship Id="rId7826" Type="http://schemas.openxmlformats.org/officeDocument/2006/relationships/hyperlink" Target="https://drive.google.com/file/d/1cwK0SAug9v2IUMsuPqwHz7mOtAANTCM5/view?usp=drivesdk" TargetMode="External"/><Relationship Id="rId7825" Type="http://schemas.openxmlformats.org/officeDocument/2006/relationships/hyperlink" Target="https://drive.google.com/file/d/1GZZAWJMI0CUI9ExLBXzIk-Vd98EX2AW0/view?usp=drivesdk" TargetMode="External"/><Relationship Id="rId7824" Type="http://schemas.openxmlformats.org/officeDocument/2006/relationships/hyperlink" Target="https://drive.google.com/file/d/1SIXWveC4gE0fySv0SVnjmc_l6BKtGNtD/view?usp=drivesdk" TargetMode="External"/><Relationship Id="rId7829" Type="http://schemas.openxmlformats.org/officeDocument/2006/relationships/hyperlink" Target="https://drive.google.com/file/d/1PG6nilMOLoAsHmdzBzw8JvacJOtsjkRw/view?usp=drivesdk" TargetMode="External"/><Relationship Id="rId7828" Type="http://schemas.openxmlformats.org/officeDocument/2006/relationships/hyperlink" Target="https://drive.google.com/file/d/1vXXZwEC5FgYzzk0uaWHDGoBUMg-EQPXQ/view?usp=drivesdk" TargetMode="External"/><Relationship Id="rId7823" Type="http://schemas.openxmlformats.org/officeDocument/2006/relationships/hyperlink" Target="https://drive.google.com/file/d/19VnBft1ag4OCSz4e3de-IT-RzDFKId-J/view?usp=drivesdk" TargetMode="External"/><Relationship Id="rId7822" Type="http://schemas.openxmlformats.org/officeDocument/2006/relationships/hyperlink" Target="https://drive.google.com/file/d/1KnjYFfV9aLYAMGPDSCCm8xhXrM-mIzds/view?usp=drivesdk" TargetMode="External"/><Relationship Id="rId7821" Type="http://schemas.openxmlformats.org/officeDocument/2006/relationships/hyperlink" Target="https://drive.google.com/file/d/1P2odHZaejp67xc-MHnd8Pyz-7Rx0MDaz/view?usp=drivesdk" TargetMode="External"/><Relationship Id="rId7820" Type="http://schemas.openxmlformats.org/officeDocument/2006/relationships/hyperlink" Target="https://drive.google.com/file/d/1bUtIG7vQkhiMc49wBtnE5rC3C7FExPbh/view?usp=drivesdk" TargetMode="External"/><Relationship Id="rId6528" Type="http://schemas.openxmlformats.org/officeDocument/2006/relationships/hyperlink" Target="https://drive.google.com/file/d/1Yex2NDB4MJBZqOVSZimA5mjJjjhJVHY0/view?usp=drivesdk" TargetMode="External"/><Relationship Id="rId6529" Type="http://schemas.openxmlformats.org/officeDocument/2006/relationships/hyperlink" Target="https://drive.google.com/file/d/1-whdPgWq5bMDv5li4FtXvptnpEzwZOrj/view?usp=drivesdk" TargetMode="External"/><Relationship Id="rId7859" Type="http://schemas.openxmlformats.org/officeDocument/2006/relationships/hyperlink" Target="https://drive.google.com/file/d/1QU1vY7j1H-OPVjfKwe6NQmDMx03paui6/view?usp=drivesdk" TargetMode="External"/><Relationship Id="rId6526" Type="http://schemas.openxmlformats.org/officeDocument/2006/relationships/hyperlink" Target="https://drive.google.com/file/d/1qa2hKRJ7TqKv9Ig94TIbrs8F1lLkHx4k/view?usp=drivesdk" TargetMode="External"/><Relationship Id="rId7858" Type="http://schemas.openxmlformats.org/officeDocument/2006/relationships/hyperlink" Target="https://drive.google.com/file/d/119e9yLbe3nm1oNDyXRCoVsgoObMWN3I0/view?usp=drivesdk" TargetMode="External"/><Relationship Id="rId6527" Type="http://schemas.openxmlformats.org/officeDocument/2006/relationships/hyperlink" Target="https://drive.google.com/file/d/1QIoWQYfV7_Yo3FnEJpVlxugW-y88z6Pj/view?usp=drivesdk" TargetMode="External"/><Relationship Id="rId7857" Type="http://schemas.openxmlformats.org/officeDocument/2006/relationships/hyperlink" Target="https://drive.google.com/file/d/19GyGq6wJO_9FBxQ12aYOMv4VLE5KfHdw/view?usp=drivesdk" TargetMode="External"/><Relationship Id="rId6520" Type="http://schemas.openxmlformats.org/officeDocument/2006/relationships/hyperlink" Target="https://drive.google.com/file/d/1SwQ085O9JuCSltOVkvUKjG9mdFCfYI1R/view?usp=drivesdk" TargetMode="External"/><Relationship Id="rId7852" Type="http://schemas.openxmlformats.org/officeDocument/2006/relationships/hyperlink" Target="https://drive.google.com/file/d/1BCDWJl2SS0IUNIT6aH6MfLq3eHlD5sap/view?usp=drivesdk" TargetMode="External"/><Relationship Id="rId6521" Type="http://schemas.openxmlformats.org/officeDocument/2006/relationships/hyperlink" Target="https://drive.google.com/file/d/1m2FN-X06RVFdl1sLLvh8BJOiA5xk2v1H/view?usp=drivesdk" TargetMode="External"/><Relationship Id="rId7851" Type="http://schemas.openxmlformats.org/officeDocument/2006/relationships/hyperlink" Target="https://drive.google.com/file/d/18KZa9aOnc-m_MGmq3Q28f-gMekAssQYp/view?usp=drivesdk" TargetMode="External"/><Relationship Id="rId7850" Type="http://schemas.openxmlformats.org/officeDocument/2006/relationships/hyperlink" Target="https://drive.google.com/file/d/1o4-N-UNfOdegmk-N4cv7fpnY0-EZE0fr/view?usp=drivesdk" TargetMode="External"/><Relationship Id="rId6524" Type="http://schemas.openxmlformats.org/officeDocument/2006/relationships/hyperlink" Target="https://drive.google.com/file/d/1kRPrgaKhGgtMszUpK1fQQe25yuHQeW5a/view?usp=drivesdk" TargetMode="External"/><Relationship Id="rId7856" Type="http://schemas.openxmlformats.org/officeDocument/2006/relationships/hyperlink" Target="https://drive.google.com/file/d/15kZs1gguKZXwgP0AuJ0J_qlcJCFlWAx9/view?usp=drivesdk" TargetMode="External"/><Relationship Id="rId6525" Type="http://schemas.openxmlformats.org/officeDocument/2006/relationships/hyperlink" Target="https://drive.google.com/file/d/1bScM8It6I8vnS4N68T_XL0aJnW87es4g/view?usp=drivesdk" TargetMode="External"/><Relationship Id="rId7855" Type="http://schemas.openxmlformats.org/officeDocument/2006/relationships/hyperlink" Target="https://drive.google.com/file/d/1tV7gRv-4w3ATDiM-0F3PvANenh-mi7t_/view?usp=drivesdk" TargetMode="External"/><Relationship Id="rId6522" Type="http://schemas.openxmlformats.org/officeDocument/2006/relationships/hyperlink" Target="https://drive.google.com/file/d/1hLDGNeBUq-G7M2F2hoDbVWk4IaFg7Ioe/view?usp=drivesdk" TargetMode="External"/><Relationship Id="rId7854" Type="http://schemas.openxmlformats.org/officeDocument/2006/relationships/hyperlink" Target="https://drive.google.com/file/d/1zSrS34bntOqHM9HV1Mp1ul1TTD6v-auW/view?usp=drivesdk" TargetMode="External"/><Relationship Id="rId6523" Type="http://schemas.openxmlformats.org/officeDocument/2006/relationships/hyperlink" Target="https://drive.google.com/file/d/1CX_BKj0t-SJ1t7NT0xpboWZs120JXQbi/view?usp=drivesdk" TargetMode="External"/><Relationship Id="rId7853" Type="http://schemas.openxmlformats.org/officeDocument/2006/relationships/hyperlink" Target="https://drive.google.com/file/d/1TaTF7G6vqiI3leejpGK3qaYoHyBlCkLI/view?usp=drivesdk" TargetMode="External"/><Relationship Id="rId6517" Type="http://schemas.openxmlformats.org/officeDocument/2006/relationships/hyperlink" Target="https://drive.google.com/file/d/1vgmaibQf2koM4BEPG5nZ5N4NDcb3A_3M/view?usp=drivesdk" TargetMode="External"/><Relationship Id="rId7849" Type="http://schemas.openxmlformats.org/officeDocument/2006/relationships/hyperlink" Target="https://drive.google.com/file/d/1pMVQPgKIg09UuWxMLYxqpXTlq5RYu9yb/view?usp=drivesdk" TargetMode="External"/><Relationship Id="rId6518" Type="http://schemas.openxmlformats.org/officeDocument/2006/relationships/hyperlink" Target="https://drive.google.com/file/d/1hKlQ71dNjbMYZanzAEVCCD3q73edeeW6/view?usp=drivesdk" TargetMode="External"/><Relationship Id="rId7848" Type="http://schemas.openxmlformats.org/officeDocument/2006/relationships/hyperlink" Target="https://drive.google.com/file/d/1hZX19htqX2UNc47g5ixRWIUDeBVKXqpf/view?usp=drivesdk" TargetMode="External"/><Relationship Id="rId6515" Type="http://schemas.openxmlformats.org/officeDocument/2006/relationships/hyperlink" Target="https://drive.google.com/file/d/1ngdrgRUD7YoRglfsu4qJ0dVEtr9jfosl/view?usp=drivesdk" TargetMode="External"/><Relationship Id="rId7847" Type="http://schemas.openxmlformats.org/officeDocument/2006/relationships/hyperlink" Target="https://drive.google.com/file/d/1x4f-hVT6sSEY--lg1ft96WFZNdoep-fg/view?usp=drivesdk" TargetMode="External"/><Relationship Id="rId6516" Type="http://schemas.openxmlformats.org/officeDocument/2006/relationships/hyperlink" Target="https://drive.google.com/file/d/1BnsRUqUDqKMXkVwoXuOeD4SMS0xrddJA/view?usp=drivesdk" TargetMode="External"/><Relationship Id="rId7846" Type="http://schemas.openxmlformats.org/officeDocument/2006/relationships/hyperlink" Target="https://drive.google.com/file/d/1BHhmpu92c1yL4hHSFpbEcrAu1jlPfW39/view?usp=drivesdk" TargetMode="External"/><Relationship Id="rId6519" Type="http://schemas.openxmlformats.org/officeDocument/2006/relationships/hyperlink" Target="https://drive.google.com/file/d/13cijkGu8R39kh49bI-qeAXXRI_U-8-dc/view?usp=drivesdk" TargetMode="External"/><Relationship Id="rId7841" Type="http://schemas.openxmlformats.org/officeDocument/2006/relationships/hyperlink" Target="https://drive.google.com/file/d/15gKGiwrEohkk0bD1woMAFDVk-BhF139J/view?usp=drivesdk" TargetMode="External"/><Relationship Id="rId6510" Type="http://schemas.openxmlformats.org/officeDocument/2006/relationships/hyperlink" Target="https://drive.google.com/file/d/1hl-dyUix7x8vpq4smf7G0VSiX8owVjsO/view?usp=drivesdk" TargetMode="External"/><Relationship Id="rId7840" Type="http://schemas.openxmlformats.org/officeDocument/2006/relationships/hyperlink" Target="https://drive.google.com/file/d/1ZX4wFNFit-Cl-M6YCOxfHFUIwRZcXEBx/view?usp=drivesdk" TargetMode="External"/><Relationship Id="rId6513" Type="http://schemas.openxmlformats.org/officeDocument/2006/relationships/hyperlink" Target="https://drive.google.com/file/d/1_LLMQIp3td6sKWvSi8NWd6b0fY216VUk/view?usp=drivesdk" TargetMode="External"/><Relationship Id="rId7845" Type="http://schemas.openxmlformats.org/officeDocument/2006/relationships/hyperlink" Target="https://drive.google.com/file/d/1uVkWJw7ibsuAhMA-t3HaueuRqvDJFCcL/view?usp=drivesdk" TargetMode="External"/><Relationship Id="rId6514" Type="http://schemas.openxmlformats.org/officeDocument/2006/relationships/hyperlink" Target="https://drive.google.com/file/d/1adUdMuh5dKMK1AXQ5yxsevVyQlHR0zj1/view?usp=drivesdk" TargetMode="External"/><Relationship Id="rId7844" Type="http://schemas.openxmlformats.org/officeDocument/2006/relationships/hyperlink" Target="https://drive.google.com/file/d/1PqDLTaTpCBIo8nWZ4tvOVGmKj-lnCUlJ/view?usp=drivesdk" TargetMode="External"/><Relationship Id="rId6511" Type="http://schemas.openxmlformats.org/officeDocument/2006/relationships/hyperlink" Target="https://drive.google.com/file/d/1RPxuBChaQF7o0jGzMtXKIKUUW-zCSFgy/view?usp=drivesdk" TargetMode="External"/><Relationship Id="rId7843" Type="http://schemas.openxmlformats.org/officeDocument/2006/relationships/hyperlink" Target="https://drive.google.com/file/d/10RXd60JaktbXL-4fWga1R_NrJHqWnBxW/view?usp=drivesdk" TargetMode="External"/><Relationship Id="rId6512" Type="http://schemas.openxmlformats.org/officeDocument/2006/relationships/hyperlink" Target="https://drive.google.com/file/d/1y6Ru2yFZJKICXbiLD1Lt2_rRpT5u2RzM/view?usp=drivesdk" TargetMode="External"/><Relationship Id="rId7842" Type="http://schemas.openxmlformats.org/officeDocument/2006/relationships/hyperlink" Target="https://drive.google.com/file/d/1kzspDWe7vK1WvJo-GyZW7_u7fNi7nh3a/view?usp=drivesdk" TargetMode="External"/><Relationship Id="rId899" Type="http://schemas.openxmlformats.org/officeDocument/2006/relationships/hyperlink" Target="https://drive.google.com/file/d/1WOMkqvZP-MehGixaYXtU8e_xCtBGEl8Z/view?usp=drivesdk" TargetMode="External"/><Relationship Id="rId898" Type="http://schemas.openxmlformats.org/officeDocument/2006/relationships/hyperlink" Target="https://drive.google.com/file/d/17CenhmWmr-6DD7CWlWq7mK-xyF4FOaIE/view?usp=drivesdk" TargetMode="External"/><Relationship Id="rId897" Type="http://schemas.openxmlformats.org/officeDocument/2006/relationships/hyperlink" Target="https://drive.google.com/file/d/1c72UYruGyvXVN8hFRurI_CQ0uIbKoPhV/view?usp=drivesdk" TargetMode="External"/><Relationship Id="rId896" Type="http://schemas.openxmlformats.org/officeDocument/2006/relationships/hyperlink" Target="https://drive.google.com/file/d/1bGDPjZobcCbFgfVd-YIbaodij2CZYJyq/view?usp=drivesdk" TargetMode="External"/><Relationship Id="rId891" Type="http://schemas.openxmlformats.org/officeDocument/2006/relationships/hyperlink" Target="https://drive.google.com/file/d/1Xsn7DUEkpXOCA9jRMWte_xIfxWCtJxMy/view?usp=drivesdk" TargetMode="External"/><Relationship Id="rId890" Type="http://schemas.openxmlformats.org/officeDocument/2006/relationships/hyperlink" Target="https://drive.google.com/file/d/1VKyjz21t936JjhOBpAM0ixOHxjsv92r1/view?usp=drivesdk" TargetMode="External"/><Relationship Id="rId895" Type="http://schemas.openxmlformats.org/officeDocument/2006/relationships/hyperlink" Target="https://drive.google.com/file/d/1ilsgBxTaXDP6vm1Lcd63DWv2sXIhRvLJ/view?usp=drivesdk" TargetMode="External"/><Relationship Id="rId894" Type="http://schemas.openxmlformats.org/officeDocument/2006/relationships/hyperlink" Target="https://drive.google.com/file/d/1L93upptTh6J8KwNXlM6zZHVVS5mSwr9r/view?usp=drivesdk" TargetMode="External"/><Relationship Id="rId893" Type="http://schemas.openxmlformats.org/officeDocument/2006/relationships/hyperlink" Target="https://drive.google.com/file/d/1RG-tGqFQWU4oWO92YKA4SC81vbMVNDcQ/view?usp=drivesdk" TargetMode="External"/><Relationship Id="rId892" Type="http://schemas.openxmlformats.org/officeDocument/2006/relationships/hyperlink" Target="https://drive.google.com/file/d/1NxCUQKONAEhn9sGz1IS2HJESGdpRVa3d/view?usp=drivesdk" TargetMode="External"/><Relationship Id="rId7816" Type="http://schemas.openxmlformats.org/officeDocument/2006/relationships/hyperlink" Target="https://drive.google.com/file/d/1Ki48BoWS4kR34Kgali60nAxrQ_cHZlsQ/view?usp=drivesdk" TargetMode="External"/><Relationship Id="rId7815" Type="http://schemas.openxmlformats.org/officeDocument/2006/relationships/hyperlink" Target="https://drive.google.com/file/d/1ARnxA8H3MRNsNRf_ajsDquYk7jwD8EMz/view?usp=drivesdk" TargetMode="External"/><Relationship Id="rId7814" Type="http://schemas.openxmlformats.org/officeDocument/2006/relationships/hyperlink" Target="https://drive.google.com/file/d/1cmEsL14icTI09Zm6kgqvmbV_BejkAtsy/view?usp=drivesdk" TargetMode="External"/><Relationship Id="rId7813" Type="http://schemas.openxmlformats.org/officeDocument/2006/relationships/hyperlink" Target="https://drive.google.com/file/d/12MggFbu-IPdpxF83DWq03rWwq-YD8aO5/view?usp=drivesdk" TargetMode="External"/><Relationship Id="rId7819" Type="http://schemas.openxmlformats.org/officeDocument/2006/relationships/hyperlink" Target="https://drive.google.com/file/d/1xSpLTsHbalwdUlIP1d36ZMy4rLEpjrep/view?usp=drivesdk" TargetMode="External"/><Relationship Id="rId7818" Type="http://schemas.openxmlformats.org/officeDocument/2006/relationships/hyperlink" Target="https://drive.google.com/file/d/1mgDU2V6TthnBMC7IXV9miL5pb5TK9pHg/view?usp=drivesdk" TargetMode="External"/><Relationship Id="rId7817" Type="http://schemas.openxmlformats.org/officeDocument/2006/relationships/hyperlink" Target="https://drive.google.com/file/d/1K6vjnCzHJvLNi7TUGavVwyhfBirZkgb2/view?usp=drivesdk" TargetMode="External"/><Relationship Id="rId7812" Type="http://schemas.openxmlformats.org/officeDocument/2006/relationships/hyperlink" Target="https://drive.google.com/file/d/1dwUCigra4_XKn9TdhSiotOwAhaVBNNaf/view?usp=drivesdk" TargetMode="External"/><Relationship Id="rId7811" Type="http://schemas.openxmlformats.org/officeDocument/2006/relationships/hyperlink" Target="https://drive.google.com/file/d/1sO1hw9p-XlwEI-AtOvdkWiIpwt5Fc3d_/view?usp=drivesdk" TargetMode="External"/><Relationship Id="rId7810" Type="http://schemas.openxmlformats.org/officeDocument/2006/relationships/hyperlink" Target="https://drive.google.com/file/d/1Ex8OT5s2giYZAJQ7aGIjcHPALysp9OmK/view?usp=drivesdk" TargetMode="External"/><Relationship Id="rId7805" Type="http://schemas.openxmlformats.org/officeDocument/2006/relationships/hyperlink" Target="https://drive.google.com/file/d/16Ey9_-uO--lK-V5IDvVK6Y0rwwBUO_8O/view?usp=drivesdk" TargetMode="External"/><Relationship Id="rId7804" Type="http://schemas.openxmlformats.org/officeDocument/2006/relationships/hyperlink" Target="https://drive.google.com/file/d/15YEVkvbBlYOGVmmokdqxmujQBy1B9uqY/view?usp=drivesdk" TargetMode="External"/><Relationship Id="rId7803" Type="http://schemas.openxmlformats.org/officeDocument/2006/relationships/hyperlink" Target="https://drive.google.com/file/d/1pbb492ZeRaXpGnGF4FUq9by6fubskSD_/view?usp=drivesdk" TargetMode="External"/><Relationship Id="rId7802" Type="http://schemas.openxmlformats.org/officeDocument/2006/relationships/hyperlink" Target="https://drive.google.com/file/d/1Y5pyE_X27erZjiPPdJzJEN4JaqkQhJ9u/view?usp=drivesdk" TargetMode="External"/><Relationship Id="rId7809" Type="http://schemas.openxmlformats.org/officeDocument/2006/relationships/hyperlink" Target="https://drive.google.com/file/d/1P_n8qagngx4rnCv5UlTW6X2d-8UM_tWD/view?usp=drivesdk" TargetMode="External"/><Relationship Id="rId7808" Type="http://schemas.openxmlformats.org/officeDocument/2006/relationships/hyperlink" Target="https://drive.google.com/file/d/1z2OqIABvG7DotoIEug7iV-wmzFhrnCGI/view?usp=drivesdk" TargetMode="External"/><Relationship Id="rId7807" Type="http://schemas.openxmlformats.org/officeDocument/2006/relationships/hyperlink" Target="https://drive.google.com/file/d/1a5eyDU2cuVuWWi1mE_YI402TGHsb38hi/view?usp=drivesdk" TargetMode="External"/><Relationship Id="rId7806" Type="http://schemas.openxmlformats.org/officeDocument/2006/relationships/hyperlink" Target="https://drive.google.com/file/d/1crtQQTGquAnk1BuSyXbbVv2fOMp5b5gr/view?usp=drivesdk" TargetMode="External"/><Relationship Id="rId7801" Type="http://schemas.openxmlformats.org/officeDocument/2006/relationships/hyperlink" Target="https://drive.google.com/file/d/1-KRdtW0u98x0WmPOdYFgrPrsVo8s17ck/view?usp=drivesdk" TargetMode="External"/><Relationship Id="rId7800" Type="http://schemas.openxmlformats.org/officeDocument/2006/relationships/hyperlink" Target="https://drive.google.com/file/d/104rdprUXga45zC0BULdTbQk1xI0N4Ys2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25"/>
    <col customWidth="1" min="3" max="3" width="35.38"/>
    <col customWidth="1" min="4" max="4" width="0.63"/>
    <col customWidth="1" min="5" max="5" width="4.88"/>
    <col customWidth="1" min="6" max="6" width="34.0"/>
    <col customWidth="1" min="8" max="8" width="20.63"/>
    <col customWidth="1" min="9" max="9" width="14.75"/>
    <col customWidth="1" min="11" max="11" width="15.88"/>
  </cols>
  <sheetData>
    <row r="1" ht="14.25" customHeight="1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I1" s="1" t="s">
        <v>0</v>
      </c>
      <c r="J1" s="1" t="s">
        <v>4</v>
      </c>
      <c r="O1" s="3" t="s">
        <v>5</v>
      </c>
    </row>
    <row r="2" ht="14.25" customHeight="1">
      <c r="A2" s="4" t="str">
        <f>IFERROR(__xludf.DUMMYFUNCTION("IMPORTRANGE(""15HtHVB4HfOr9e85EgbOGbz9CBwWnXg3pbCytGTA64P4"",""TCB Pics Formatted!A2:A"")"),"2. Twix")</f>
        <v>2. Twix</v>
      </c>
      <c r="B2" s="4" t="str">
        <f>IFERROR(__xludf.DUMMYFUNCTION("ARRAYFORMULA(IF(A2:A9265&lt;&gt;"""", REGEXREPLACE(A2:A9265, ""(\d+)\.[^,]*?(,|$)"", ""$1$2""), """"))"),"2")</f>
        <v>2</v>
      </c>
      <c r="C2" s="5" t="str">
        <f>IFERROR(__xludf.DUMMYFUNCTION("IMPORTRANGE(""15HtHVB4HfOr9e85EgbOGbz9CBwWnXg3pbCytGTA64P4"",""TCBPicsInput!D2:D"")"),"https://drive.google.com/file/d/19j_wpnElmOlztUmpZNpWKnGZaGo7kU2l/view?usp=drivesdk")</f>
        <v>https://drive.google.com/file/d/19j_wpnElmOlztUmpZNpWKnGZaGo7kU2l/view?usp=drivesdk</v>
      </c>
      <c r="D2" s="2"/>
      <c r="E2" s="6">
        <v>1.0</v>
      </c>
      <c r="F2" s="7"/>
      <c r="I2" s="4" t="str">
        <f>IFERROR(__xludf.DUMMYFUNCTION("IMPORTRANGE(""15HtHVB4HfOr9e85EgbOGbz9CBwWnXg3pbCytGTA64P4"",""CatDatabase!A:A"")"),"")</f>
        <v/>
      </c>
      <c r="M2" s="4" t="s">
        <v>6</v>
      </c>
      <c r="O2" s="3" t="s">
        <v>7</v>
      </c>
    </row>
    <row r="3" ht="14.25" customHeight="1">
      <c r="A3" s="4" t="str">
        <f>IFERROR(__xludf.DUMMYFUNCTION("""COMPUTED_VALUE"""),"31. Scraggle")</f>
        <v>31. Scraggle</v>
      </c>
      <c r="B3" s="4" t="str">
        <f>IFERROR(__xludf.DUMMYFUNCTION("""COMPUTED_VALUE"""),"31")</f>
        <v>31</v>
      </c>
      <c r="C3" s="5" t="str">
        <f>IFERROR(__xludf.DUMMYFUNCTION("""COMPUTED_VALUE"""),"https://drive.google.com/file/d/15LVjdIQeAz1dtrLONiI7zgvf5KQYDRqc/view?usp=drivesdk")</f>
        <v>https://drive.google.com/file/d/15LVjdIQeAz1dtrLONiI7zgvf5KQYDRqc/view?usp=drivesdk</v>
      </c>
      <c r="D3" s="2"/>
      <c r="E3" s="6">
        <v>2.0</v>
      </c>
      <c r="F3" s="2"/>
      <c r="I3" s="3" t="str">
        <f>IFERROR(__xludf.DUMMYFUNCTION("""COMPUTED_VALUE"""),"1. Microwave")</f>
        <v>1. Microwave</v>
      </c>
      <c r="J3" s="4">
        <f>IFERROR(__xludf.DUMMYFUNCTION("if(ISBLANK(I3),"""",SUMPRODUCT(REGEXMATCH(A:A, ""(?i)\b"" &amp; I3 &amp; ""\b"") * 1))"),2163.0)</f>
        <v>2163</v>
      </c>
      <c r="K3" s="8" t="s">
        <v>8</v>
      </c>
      <c r="L3" s="3" t="s">
        <v>7</v>
      </c>
      <c r="M3" s="4">
        <v>2082.0</v>
      </c>
      <c r="O3" s="3" t="s">
        <v>9</v>
      </c>
    </row>
    <row r="4" ht="14.25" customHeight="1">
      <c r="A4" s="4" t="str">
        <f>IFERROR(__xludf.DUMMYFUNCTION("""COMPUTED_VALUE"""),"2. Twix")</f>
        <v>2. Twix</v>
      </c>
      <c r="B4" s="4" t="str">
        <f>IFERROR(__xludf.DUMMYFUNCTION("""COMPUTED_VALUE"""),"2")</f>
        <v>2</v>
      </c>
      <c r="C4" s="5" t="str">
        <f>IFERROR(__xludf.DUMMYFUNCTION("""COMPUTED_VALUE"""),"https://drive.google.com/file/d/1sfFu9ebHiaEDOGJgejoulShoLLtBnDcc/view?usp=drivesdk")</f>
        <v>https://drive.google.com/file/d/1sfFu9ebHiaEDOGJgejoulShoLLtBnDcc/view?usp=drivesdk</v>
      </c>
      <c r="D4" s="2"/>
      <c r="E4" s="6">
        <v>4.0</v>
      </c>
      <c r="F4" s="2"/>
      <c r="I4" s="3" t="str">
        <f>IFERROR(__xludf.DUMMYFUNCTION("""COMPUTED_VALUE"""),"2. Twix")</f>
        <v>2. Twix</v>
      </c>
      <c r="J4" s="4">
        <f>IFERROR(__xludf.DUMMYFUNCTION("if(ISBLANK(I4),"""",SUMPRODUCT(REGEXMATCH(A:A, ""(?i)\b"" &amp; I4 &amp; ""\b"") * 1))"),1076.0)</f>
        <v>1076</v>
      </c>
      <c r="K4" s="9">
        <f>SUM(J3:J200)/COUNTA(I3:I200)</f>
        <v>77.80405405</v>
      </c>
      <c r="L4" s="3" t="s">
        <v>9</v>
      </c>
      <c r="M4" s="4">
        <v>1012.0</v>
      </c>
      <c r="O4" s="3" t="s">
        <v>10</v>
      </c>
    </row>
    <row r="5" ht="14.25" customHeight="1">
      <c r="A5" s="4" t="str">
        <f>IFERROR(__xludf.DUMMYFUNCTION("""COMPUTED_VALUE"""),"2. Twix")</f>
        <v>2. Twix</v>
      </c>
      <c r="B5" s="4" t="str">
        <f>IFERROR(__xludf.DUMMYFUNCTION("""COMPUTED_VALUE"""),"2")</f>
        <v>2</v>
      </c>
      <c r="C5" s="5" t="str">
        <f>IFERROR(__xludf.DUMMYFUNCTION("""COMPUTED_VALUE"""),"https://drive.google.com/file/d/1sga34ZNIy_xwRlchqMD0maAB8SgZu54z/view?usp=drivesdk")</f>
        <v>https://drive.google.com/file/d/1sga34ZNIy_xwRlchqMD0maAB8SgZu54z/view?usp=drivesdk</v>
      </c>
      <c r="D5" s="2"/>
      <c r="E5" s="6">
        <v>5.0</v>
      </c>
      <c r="F5" s="2"/>
      <c r="I5" s="3" t="str">
        <f>IFERROR(__xludf.DUMMYFUNCTION("""COMPUTED_VALUE"""),"3. Ford F-150")</f>
        <v>3. Ford F-150</v>
      </c>
      <c r="J5" s="4">
        <f>IFERROR(__xludf.DUMMYFUNCTION("if(ISBLANK(I5),"""",SUMPRODUCT(REGEXMATCH(A:A, ""(?i)\b"" &amp; I5 &amp; ""\b"") * 1))"),49.0)</f>
        <v>49</v>
      </c>
      <c r="L5" s="3" t="s">
        <v>11</v>
      </c>
      <c r="M5" s="4">
        <v>558.0</v>
      </c>
      <c r="O5" s="3" t="s">
        <v>12</v>
      </c>
    </row>
    <row r="6" ht="14.25" customHeight="1">
      <c r="A6" s="4" t="str">
        <f>IFERROR(__xludf.DUMMYFUNCTION("""COMPUTED_VALUE"""),"2. Twix")</f>
        <v>2. Twix</v>
      </c>
      <c r="B6" s="4" t="str">
        <f>IFERROR(__xludf.DUMMYFUNCTION("""COMPUTED_VALUE"""),"2")</f>
        <v>2</v>
      </c>
      <c r="C6" s="5" t="str">
        <f>IFERROR(__xludf.DUMMYFUNCTION("""COMPUTED_VALUE"""),"https://drive.google.com/file/d/1aE4wvmPulWNCVlDO7m8bKc3H8CR9pKnw/view?usp=drivesdk")</f>
        <v>https://drive.google.com/file/d/1aE4wvmPulWNCVlDO7m8bKc3H8CR9pKnw/view?usp=drivesdk</v>
      </c>
      <c r="D6" s="2"/>
      <c r="E6" s="6">
        <v>6.0</v>
      </c>
      <c r="F6" s="2"/>
      <c r="I6" s="3" t="str">
        <f>IFERROR(__xludf.DUMMYFUNCTION("""COMPUTED_VALUE"""),"4. Eggs")</f>
        <v>4. Eggs</v>
      </c>
      <c r="J6" s="4">
        <f>IFERROR(__xludf.DUMMYFUNCTION("if(ISBLANK(I6),"""",SUMPRODUCT(REGEXMATCH(A:A, ""(?i)\b"" &amp; I6 &amp; ""\b"") * 1))"),515.0)</f>
        <v>515</v>
      </c>
      <c r="L6" s="3" t="s">
        <v>12</v>
      </c>
      <c r="M6" s="4">
        <v>504.0</v>
      </c>
      <c r="O6" s="3" t="s">
        <v>11</v>
      </c>
    </row>
    <row r="7" ht="14.25" customHeight="1">
      <c r="A7" s="4" t="str">
        <f>IFERROR(__xludf.DUMMYFUNCTION("""COMPUTED_VALUE"""),"2. Twix")</f>
        <v>2. Twix</v>
      </c>
      <c r="B7" s="4" t="str">
        <f>IFERROR(__xludf.DUMMYFUNCTION("""COMPUTED_VALUE"""),"2")</f>
        <v>2</v>
      </c>
      <c r="C7" s="5" t="str">
        <f>IFERROR(__xludf.DUMMYFUNCTION("""COMPUTED_VALUE"""),"https://drive.google.com/file/d/1aeqXtzWkjTwOgwYJzHFkVgcqCxRF-tpG/view?usp=drivesdk")</f>
        <v>https://drive.google.com/file/d/1aeqXtzWkjTwOgwYJzHFkVgcqCxRF-tpG/view?usp=drivesdk</v>
      </c>
      <c r="D7" s="2"/>
      <c r="E7" s="6">
        <v>7.0</v>
      </c>
      <c r="F7" s="2"/>
      <c r="I7" s="3" t="str">
        <f>IFERROR(__xludf.DUMMYFUNCTION("""COMPUTED_VALUE"""),"5. Eraser")</f>
        <v>5. Eraser</v>
      </c>
      <c r="J7" s="4">
        <f>IFERROR(__xludf.DUMMYFUNCTION("if(ISBLANK(I7),"""",SUMPRODUCT(REGEXMATCH(A:A, ""(?i)\b"" &amp; I7 &amp; ""\b"") * 1))"),568.0)</f>
        <v>568</v>
      </c>
      <c r="L7" s="3" t="s">
        <v>13</v>
      </c>
      <c r="M7" s="4">
        <v>452.0</v>
      </c>
      <c r="O7" s="3" t="s">
        <v>14</v>
      </c>
    </row>
    <row r="8" ht="14.25" customHeight="1">
      <c r="A8" s="4" t="str">
        <f>IFERROR(__xludf.DUMMYFUNCTION("""COMPUTED_VALUE"""),"2. Twix")</f>
        <v>2. Twix</v>
      </c>
      <c r="B8" s="4" t="str">
        <f>IFERROR(__xludf.DUMMYFUNCTION("""COMPUTED_VALUE"""),"2")</f>
        <v>2</v>
      </c>
      <c r="C8" s="5" t="str">
        <f>IFERROR(__xludf.DUMMYFUNCTION("""COMPUTED_VALUE"""),"https://drive.google.com/file/d/1RLoMo5-tVwdXCAHoAZtXRVL0oKUM1m_B/view?usp=drivesdk")</f>
        <v>https://drive.google.com/file/d/1RLoMo5-tVwdXCAHoAZtXRVL0oKUM1m_B/view?usp=drivesdk</v>
      </c>
      <c r="D8" s="2"/>
      <c r="E8" s="6">
        <v>8.0</v>
      </c>
      <c r="F8" s="2"/>
      <c r="I8" s="3" t="str">
        <f>IFERROR(__xludf.DUMMYFUNCTION("""COMPUTED_VALUE"""),"6. Snickers")</f>
        <v>6. Snickers</v>
      </c>
      <c r="J8" s="4">
        <f>IFERROR(__xludf.DUMMYFUNCTION("if(ISBLANK(I8),"""",SUMPRODUCT(REGEXMATCH(A:A, ""(?i)\b"" &amp; I8 &amp; ""\b"") * 1))"),130.0)</f>
        <v>130</v>
      </c>
      <c r="L8" s="3" t="s">
        <v>5</v>
      </c>
      <c r="M8" s="4">
        <v>383.0</v>
      </c>
      <c r="O8" s="3" t="s">
        <v>15</v>
      </c>
    </row>
    <row r="9" ht="14.25" customHeight="1">
      <c r="A9" s="4" t="str">
        <f>IFERROR(__xludf.DUMMYFUNCTION("""COMPUTED_VALUE"""),"5. Eraser, 4. Eggs")</f>
        <v>5. Eraser, 4. Eggs</v>
      </c>
      <c r="B9" s="4" t="str">
        <f>IFERROR(__xludf.DUMMYFUNCTION("""COMPUTED_VALUE"""),"5, 4")</f>
        <v>5, 4</v>
      </c>
      <c r="C9" s="5" t="str">
        <f>IFERROR(__xludf.DUMMYFUNCTION("""COMPUTED_VALUE"""),"https://drive.google.com/file/d/1j9k78GTHBr3sU77NF45ZJSV_7lChxZkh/view?usp=drivesdk")</f>
        <v>https://drive.google.com/file/d/1j9k78GTHBr3sU77NF45ZJSV_7lChxZkh/view?usp=drivesdk</v>
      </c>
      <c r="D9" s="2"/>
      <c r="E9" s="6">
        <v>9.0</v>
      </c>
      <c r="F9" s="2"/>
      <c r="I9" s="3" t="str">
        <f>IFERROR(__xludf.DUMMYFUNCTION("""COMPUTED_VALUE"""),"7. Hershey")</f>
        <v>7. Hershey</v>
      </c>
      <c r="J9" s="4">
        <f>IFERROR(__xludf.DUMMYFUNCTION("if(ISBLANK(I9),"""",SUMPRODUCT(REGEXMATCH(A:A, ""(?i)\b"" &amp; I9 &amp; ""\b"") * 1))"),28.0)</f>
        <v>28</v>
      </c>
      <c r="L9" s="3" t="s">
        <v>16</v>
      </c>
      <c r="M9" s="4">
        <v>336.0</v>
      </c>
      <c r="O9" s="3" t="s">
        <v>17</v>
      </c>
    </row>
    <row r="10" ht="14.25" customHeight="1">
      <c r="A10" s="4" t="str">
        <f>IFERROR(__xludf.DUMMYFUNCTION("""COMPUTED_VALUE"""),"5. Eraser")</f>
        <v>5. Eraser</v>
      </c>
      <c r="B10" s="4" t="str">
        <f>IFERROR(__xludf.DUMMYFUNCTION("""COMPUTED_VALUE"""),"5")</f>
        <v>5</v>
      </c>
      <c r="C10" s="5" t="str">
        <f>IFERROR(__xludf.DUMMYFUNCTION("""COMPUTED_VALUE"""),"https://drive.google.com/file/d/1B2sm1ZcxXX2I2gJUG6Lh6UlbUCOaD8yB/view?usp=drivesdk")</f>
        <v>https://drive.google.com/file/d/1B2sm1ZcxXX2I2gJUG6Lh6UlbUCOaD8yB/view?usp=drivesdk</v>
      </c>
      <c r="D10" s="2"/>
      <c r="E10" s="6">
        <v>10.0</v>
      </c>
      <c r="F10" s="2"/>
      <c r="I10" s="3" t="str">
        <f>IFERROR(__xludf.DUMMYFUNCTION("""COMPUTED_VALUE"""),"8. Pencil")</f>
        <v>8. Pencil</v>
      </c>
      <c r="J10" s="4">
        <f>IFERROR(__xludf.DUMMYFUNCTION("if(ISBLANK(I10),"""",SUMPRODUCT(REGEXMATCH(A:A, ""(?i)\b"" &amp; I10 &amp; ""\b"") * 1))"),35.0)</f>
        <v>35</v>
      </c>
      <c r="L10" s="3" t="s">
        <v>18</v>
      </c>
      <c r="M10" s="4">
        <v>324.0</v>
      </c>
      <c r="O10" s="3" t="s">
        <v>19</v>
      </c>
    </row>
    <row r="11" ht="14.25" customHeight="1">
      <c r="A11" s="4" t="str">
        <f>IFERROR(__xludf.DUMMYFUNCTION("""COMPUTED_VALUE"""),"35. Stove")</f>
        <v>35. Stove</v>
      </c>
      <c r="B11" s="4" t="str">
        <f>IFERROR(__xludf.DUMMYFUNCTION("""COMPUTED_VALUE"""),"35")</f>
        <v>35</v>
      </c>
      <c r="C11" s="5" t="str">
        <f>IFERROR(__xludf.DUMMYFUNCTION("""COMPUTED_VALUE"""),"https://drive.google.com/file/d/1gy4FkB6-3CDtdLUf7zeKzFmMSXE9EZrp/view?usp=drivesdk")</f>
        <v>https://drive.google.com/file/d/1gy4FkB6-3CDtdLUf7zeKzFmMSXE9EZrp/view?usp=drivesdk</v>
      </c>
      <c r="D11" s="2"/>
      <c r="E11" s="6">
        <v>11.0</v>
      </c>
      <c r="F11" s="2"/>
      <c r="I11" s="3" t="str">
        <f>IFERROR(__xludf.DUMMYFUNCTION("""COMPUTED_VALUE"""),"9. Melvin")</f>
        <v>9. Melvin</v>
      </c>
      <c r="J11" s="4">
        <f>IFERROR(__xludf.DUMMYFUNCTION("if(ISBLANK(I11),"""",SUMPRODUCT(REGEXMATCH(A:A, ""(?i)\b"" &amp; I11 &amp; ""\b"") * 1))"),38.0)</f>
        <v>38</v>
      </c>
      <c r="L11" s="3" t="s">
        <v>20</v>
      </c>
      <c r="M11" s="4">
        <v>278.0</v>
      </c>
      <c r="O11" s="3" t="s">
        <v>21</v>
      </c>
    </row>
    <row r="12" ht="14.25" customHeight="1">
      <c r="A12" s="4" t="str">
        <f>IFERROR(__xludf.DUMMYFUNCTION("""COMPUTED_VALUE"""),"1. Microwave")</f>
        <v>1. Microwave</v>
      </c>
      <c r="B12" s="4" t="str">
        <f>IFERROR(__xludf.DUMMYFUNCTION("""COMPUTED_VALUE"""),"1")</f>
        <v>1</v>
      </c>
      <c r="C12" s="5" t="str">
        <f>IFERROR(__xludf.DUMMYFUNCTION("""COMPUTED_VALUE"""),"https://drive.google.com/file/d/1RreReL6ZAt1bd-DbVPWfm3MH9MqT-_6j/view?usp=drivesdk")</f>
        <v>https://drive.google.com/file/d/1RreReL6ZAt1bd-DbVPWfm3MH9MqT-_6j/view?usp=drivesdk</v>
      </c>
      <c r="D12" s="2"/>
      <c r="E12" s="6">
        <v>12.0</v>
      </c>
      <c r="F12" s="2"/>
      <c r="I12" s="3" t="str">
        <f>IFERROR(__xludf.DUMMYFUNCTION("""COMPUTED_VALUE"""),"10. Alaska")</f>
        <v>10. Alaska</v>
      </c>
      <c r="J12" s="4">
        <f>IFERROR(__xludf.DUMMYFUNCTION("if(ISBLANK(I12),"""",SUMPRODUCT(REGEXMATCH(A:A, ""(?i)\b"" &amp; I12 &amp; ""\b"") * 1))"),8.0)</f>
        <v>8</v>
      </c>
      <c r="L12" s="3" t="s">
        <v>22</v>
      </c>
      <c r="M12" s="4">
        <v>259.0</v>
      </c>
      <c r="O12" s="3" t="s">
        <v>23</v>
      </c>
    </row>
    <row r="13" ht="14.25" customHeight="1">
      <c r="A13" s="4" t="str">
        <f>IFERROR(__xludf.DUMMYFUNCTION("""COMPUTED_VALUE"""),"2. Twix")</f>
        <v>2. Twix</v>
      </c>
      <c r="B13" s="4" t="str">
        <f>IFERROR(__xludf.DUMMYFUNCTION("""COMPUTED_VALUE"""),"2")</f>
        <v>2</v>
      </c>
      <c r="C13" s="5" t="str">
        <f>IFERROR(__xludf.DUMMYFUNCTION("""COMPUTED_VALUE"""),"https://drive.google.com/file/d/1X9I-1mitWWJ5qGDBmiUunQgtasSkWw5z/view?usp=drivesdk")</f>
        <v>https://drive.google.com/file/d/1X9I-1mitWWJ5qGDBmiUunQgtasSkWw5z/view?usp=drivesdk</v>
      </c>
      <c r="D13" s="2"/>
      <c r="E13" s="6">
        <v>13.0</v>
      </c>
      <c r="F13" s="2"/>
      <c r="I13" s="3" t="str">
        <f>IFERROR(__xludf.DUMMYFUNCTION("""COMPUTED_VALUE"""),"11. Laufey")</f>
        <v>11. Laufey</v>
      </c>
      <c r="J13" s="4">
        <f>IFERROR(__xludf.DUMMYFUNCTION("if(ISBLANK(I13),"""",SUMPRODUCT(REGEXMATCH(A:A, ""(?i)\b"" &amp; I13 &amp; ""\b"") * 1))"),3.0)</f>
        <v>3</v>
      </c>
      <c r="L13" s="3" t="s">
        <v>24</v>
      </c>
      <c r="M13" s="4">
        <v>211.0</v>
      </c>
      <c r="O13" s="3" t="s">
        <v>16</v>
      </c>
    </row>
    <row r="14" ht="14.25" customHeight="1">
      <c r="A14" s="4" t="str">
        <f>IFERROR(__xludf.DUMMYFUNCTION("""COMPUTED_VALUE"""),"2. Twix")</f>
        <v>2. Twix</v>
      </c>
      <c r="B14" s="4" t="str">
        <f>IFERROR(__xludf.DUMMYFUNCTION("""COMPUTED_VALUE"""),"2")</f>
        <v>2</v>
      </c>
      <c r="C14" s="5" t="str">
        <f>IFERROR(__xludf.DUMMYFUNCTION("""COMPUTED_VALUE"""),"https://drive.google.com/file/d/1jeYbno8xK6PsB9_FS95sji12DeOylYuf/view?usp=drivesdk")</f>
        <v>https://drive.google.com/file/d/1jeYbno8xK6PsB9_FS95sji12DeOylYuf/view?usp=drivesdk</v>
      </c>
      <c r="D14" s="2"/>
      <c r="E14" s="6">
        <v>14.0</v>
      </c>
      <c r="F14" s="2"/>
      <c r="I14" s="3" t="str">
        <f>IFERROR(__xludf.DUMMYFUNCTION("""COMPUTED_VALUE"""),"12. Faye")</f>
        <v>12. Faye</v>
      </c>
      <c r="J14" s="4">
        <f>IFERROR(__xludf.DUMMYFUNCTION("if(ISBLANK(I14),"""",SUMPRODUCT(REGEXMATCH(A:A, ""(?i)\b"" &amp; I14 &amp; ""\b"") * 1))"),339.0)</f>
        <v>339</v>
      </c>
      <c r="L14" s="3" t="s">
        <v>25</v>
      </c>
      <c r="M14" s="4">
        <v>209.0</v>
      </c>
      <c r="O14" s="3" t="s">
        <v>26</v>
      </c>
    </row>
    <row r="15" ht="14.25" customHeight="1">
      <c r="A15" s="4" t="str">
        <f>IFERROR(__xludf.DUMMYFUNCTION("""COMPUTED_VALUE"""),"2. Twix")</f>
        <v>2. Twix</v>
      </c>
      <c r="B15" s="4" t="str">
        <f>IFERROR(__xludf.DUMMYFUNCTION("""COMPUTED_VALUE"""),"2")</f>
        <v>2</v>
      </c>
      <c r="C15" s="5" t="str">
        <f>IFERROR(__xludf.DUMMYFUNCTION("""COMPUTED_VALUE"""),"https://drive.google.com/file/d/1P1kdqgovLonzxjL154dmdV59M2yXGgj0/view?usp=drivesdk")</f>
        <v>https://drive.google.com/file/d/1P1kdqgovLonzxjL154dmdV59M2yXGgj0/view?usp=drivesdk</v>
      </c>
      <c r="D15" s="2"/>
      <c r="E15" s="6">
        <v>15.0</v>
      </c>
      <c r="F15" s="2"/>
      <c r="I15" s="3" t="str">
        <f>IFERROR(__xludf.DUMMYFUNCTION("""COMPUTED_VALUE"""),"13. Lionel")</f>
        <v>13. Lionel</v>
      </c>
      <c r="J15" s="4">
        <f>IFERROR(__xludf.DUMMYFUNCTION("if(ISBLANK(I15),"""",SUMPRODUCT(REGEXMATCH(A:A, ""(?i)\b"" &amp; I15 &amp; ""\b"") * 1))"),3.0)</f>
        <v>3</v>
      </c>
      <c r="L15" s="3" t="s">
        <v>27</v>
      </c>
      <c r="M15" s="4">
        <v>201.0</v>
      </c>
      <c r="O15" s="3" t="s">
        <v>28</v>
      </c>
    </row>
    <row r="16" ht="14.25" customHeight="1">
      <c r="A16" s="4" t="str">
        <f>IFERROR(__xludf.DUMMYFUNCTION("""COMPUTED_VALUE"""),"1. Microwave")</f>
        <v>1. Microwave</v>
      </c>
      <c r="B16" s="4" t="str">
        <f>IFERROR(__xludf.DUMMYFUNCTION("""COMPUTED_VALUE"""),"1")</f>
        <v>1</v>
      </c>
      <c r="C16" s="5" t="str">
        <f>IFERROR(__xludf.DUMMYFUNCTION("""COMPUTED_VALUE"""),"https://drive.google.com/file/d/1z8AA3FBmON2akVcvIhKS4T7Bnl0ecRZP/view?usp=drivesdk")</f>
        <v>https://drive.google.com/file/d/1z8AA3FBmON2akVcvIhKS4T7Bnl0ecRZP/view?usp=drivesdk</v>
      </c>
      <c r="D16" s="2"/>
      <c r="E16" s="6">
        <v>16.0</v>
      </c>
      <c r="F16" s="2"/>
      <c r="I16" s="3" t="str">
        <f>IFERROR(__xludf.DUMMYFUNCTION("""COMPUTED_VALUE"""),"14. Pencil 2")</f>
        <v>14. Pencil 2</v>
      </c>
      <c r="J16" s="4">
        <f>IFERROR(__xludf.DUMMYFUNCTION("if(ISBLANK(I16),"""",SUMPRODUCT(REGEXMATCH(A:A, ""(?i)\b"" &amp; I16 &amp; ""\b"") * 1))"),1.0)</f>
        <v>1</v>
      </c>
      <c r="L16" s="3" t="s">
        <v>29</v>
      </c>
      <c r="M16" s="4">
        <v>184.0</v>
      </c>
      <c r="O16" s="3" t="s">
        <v>30</v>
      </c>
    </row>
    <row r="17" ht="14.25" customHeight="1">
      <c r="A17" s="4" t="str">
        <f>IFERROR(__xludf.DUMMYFUNCTION("""COMPUTED_VALUE"""),"1. Microwave")</f>
        <v>1. Microwave</v>
      </c>
      <c r="B17" s="4" t="str">
        <f>IFERROR(__xludf.DUMMYFUNCTION("""COMPUTED_VALUE"""),"1")</f>
        <v>1</v>
      </c>
      <c r="C17" s="5" t="str">
        <f>IFERROR(__xludf.DUMMYFUNCTION("""COMPUTED_VALUE"""),"https://drive.google.com/file/d/1po3eC4p5DS60kF7kvmjQQwVQBNKusN9m/view?usp=drivesdk")</f>
        <v>https://drive.google.com/file/d/1po3eC4p5DS60kF7kvmjQQwVQBNKusN9m/view?usp=drivesdk</v>
      </c>
      <c r="D17" s="2"/>
      <c r="E17" s="6">
        <v>17.0</v>
      </c>
      <c r="F17" s="2"/>
      <c r="I17" s="3" t="str">
        <f>IFERROR(__xludf.DUMMYFUNCTION("""COMPUTED_VALUE"""),"15. Snowball")</f>
        <v>15. Snowball</v>
      </c>
      <c r="J17" s="4">
        <f>IFERROR(__xludf.DUMMYFUNCTION("if(ISBLANK(I17),"""",SUMPRODUCT(REGEXMATCH(A:A, ""(?i)\b"" &amp; I17 &amp; ""\b"") * 1))"),1.0)</f>
        <v>1</v>
      </c>
      <c r="L17" s="3" t="s">
        <v>31</v>
      </c>
      <c r="M17" s="4">
        <v>183.0</v>
      </c>
      <c r="O17" s="3" t="s">
        <v>32</v>
      </c>
    </row>
    <row r="18" ht="14.25" customHeight="1">
      <c r="A18" s="4" t="str">
        <f>IFERROR(__xludf.DUMMYFUNCTION("""COMPUTED_VALUE"""),"1. Microwave")</f>
        <v>1. Microwave</v>
      </c>
      <c r="B18" s="4" t="str">
        <f>IFERROR(__xludf.DUMMYFUNCTION("""COMPUTED_VALUE"""),"1")</f>
        <v>1</v>
      </c>
      <c r="C18" s="5" t="str">
        <f>IFERROR(__xludf.DUMMYFUNCTION("""COMPUTED_VALUE"""),"https://drive.google.com/file/d/1fhrnuLHHUqpLAiYMTn_nW0UCz2igXLdo/view?usp=drivesdk")</f>
        <v>https://drive.google.com/file/d/1fhrnuLHHUqpLAiYMTn_nW0UCz2igXLdo/view?usp=drivesdk</v>
      </c>
      <c r="D18" s="2"/>
      <c r="E18" s="6">
        <v>18.0</v>
      </c>
      <c r="F18" s="2"/>
      <c r="I18" s="3" t="str">
        <f>IFERROR(__xludf.DUMMYFUNCTION("""COMPUTED_VALUE"""),"16. Marley")</f>
        <v>16. Marley</v>
      </c>
      <c r="J18" s="4">
        <f>IFERROR(__xludf.DUMMYFUNCTION("if(ISBLANK(I18),"""",SUMPRODUCT(REGEXMATCH(A:A, ""(?i)\b"" &amp; I18 &amp; ""\b"") * 1))"),1.0)</f>
        <v>1</v>
      </c>
      <c r="L18" s="3" t="s">
        <v>33</v>
      </c>
      <c r="M18" s="4">
        <v>151.0</v>
      </c>
      <c r="O18" s="3" t="s">
        <v>34</v>
      </c>
    </row>
    <row r="19" ht="14.25" customHeight="1">
      <c r="A19" s="4" t="str">
        <f>IFERROR(__xludf.DUMMYFUNCTION("""COMPUTED_VALUE"""),"1. Microwave")</f>
        <v>1. Microwave</v>
      </c>
      <c r="B19" s="4" t="str">
        <f>IFERROR(__xludf.DUMMYFUNCTION("""COMPUTED_VALUE"""),"1")</f>
        <v>1</v>
      </c>
      <c r="C19" s="5" t="str">
        <f>IFERROR(__xludf.DUMMYFUNCTION("""COMPUTED_VALUE"""),"https://drive.google.com/file/d/1zqcc4RPX9cKuva5_FRhGYleZd4XS15rM/view?usp=drivesdk")</f>
        <v>https://drive.google.com/file/d/1zqcc4RPX9cKuva5_FRhGYleZd4XS15rM/view?usp=drivesdk</v>
      </c>
      <c r="D19" s="2"/>
      <c r="E19" s="6">
        <v>19.0</v>
      </c>
      <c r="F19" s="2"/>
      <c r="I19" s="3" t="str">
        <f>IFERROR(__xludf.DUMMYFUNCTION("""COMPUTED_VALUE"""),"17. Bobbie")</f>
        <v>17. Bobbie</v>
      </c>
      <c r="J19" s="4">
        <f>IFERROR(__xludf.DUMMYFUNCTION("if(ISBLANK(I19),"""",SUMPRODUCT(REGEXMATCH(A:A, ""(?i)\b"" &amp; I19 &amp; ""\b"") * 1))"),79.0)</f>
        <v>79</v>
      </c>
      <c r="L19" s="3" t="s">
        <v>35</v>
      </c>
      <c r="M19" s="4">
        <v>145.0</v>
      </c>
      <c r="O19" s="3" t="s">
        <v>36</v>
      </c>
    </row>
    <row r="20" ht="14.25" customHeight="1">
      <c r="A20" s="4" t="str">
        <f>IFERROR(__xludf.DUMMYFUNCTION("""COMPUTED_VALUE"""),"1. Microwave")</f>
        <v>1. Microwave</v>
      </c>
      <c r="B20" s="4" t="str">
        <f>IFERROR(__xludf.DUMMYFUNCTION("""COMPUTED_VALUE"""),"1")</f>
        <v>1</v>
      </c>
      <c r="C20" s="5" t="str">
        <f>IFERROR(__xludf.DUMMYFUNCTION("""COMPUTED_VALUE"""),"https://drive.google.com/file/d/13xSuc3I_kmtMgTAOYuTYVBjIlxvvcjBA/view?usp=drivesdk")</f>
        <v>https://drive.google.com/file/d/13xSuc3I_kmtMgTAOYuTYVBjIlxvvcjBA/view?usp=drivesdk</v>
      </c>
      <c r="D20" s="2"/>
      <c r="E20" s="6">
        <v>20.0</v>
      </c>
      <c r="F20" s="2"/>
      <c r="I20" s="3" t="str">
        <f>IFERROR(__xludf.DUMMYFUNCTION("""COMPUTED_VALUE"""),"18. Porkchop")</f>
        <v>18. Porkchop</v>
      </c>
      <c r="J20" s="4">
        <f>IFERROR(__xludf.DUMMYFUNCTION("if(ISBLANK(I20),"""",SUMPRODUCT(REGEXMATCH(A:A, ""(?i)\b"" &amp; I20 &amp; ""\b"") * 1))"),2.0)</f>
        <v>2</v>
      </c>
      <c r="L20" s="3" t="s">
        <v>37</v>
      </c>
      <c r="M20" s="4">
        <v>134.0</v>
      </c>
      <c r="O20" s="3" t="s">
        <v>38</v>
      </c>
    </row>
    <row r="21" ht="14.25" customHeight="1">
      <c r="A21" s="4" t="str">
        <f>IFERROR(__xludf.DUMMYFUNCTION("""COMPUTED_VALUE"""),"5. Eraser")</f>
        <v>5. Eraser</v>
      </c>
      <c r="B21" s="4" t="str">
        <f>IFERROR(__xludf.DUMMYFUNCTION("""COMPUTED_VALUE"""),"5")</f>
        <v>5</v>
      </c>
      <c r="C21" s="5" t="str">
        <f>IFERROR(__xludf.DUMMYFUNCTION("""COMPUTED_VALUE"""),"https://drive.google.com/file/d/1LxK9esT26XUrSsEZU4Pm86U2sfu0J232/view?usp=drivesdk")</f>
        <v>https://drive.google.com/file/d/1LxK9esT26XUrSsEZU4Pm86U2sfu0J232/view?usp=drivesdk</v>
      </c>
      <c r="D21" s="2"/>
      <c r="E21" s="6">
        <v>21.0</v>
      </c>
      <c r="F21" s="2"/>
      <c r="I21" s="3" t="str">
        <f>IFERROR(__xludf.DUMMYFUNCTION("""COMPUTED_VALUE"""),"19. Rolo")</f>
        <v>19. Rolo</v>
      </c>
      <c r="J21" s="4">
        <f>IFERROR(__xludf.DUMMYFUNCTION("if(ISBLANK(I21),"""",SUMPRODUCT(REGEXMATCH(A:A, ""(?i)\b"" &amp; I21 &amp; ""\b"") * 1))"),37.0)</f>
        <v>37</v>
      </c>
      <c r="L21" s="3" t="s">
        <v>39</v>
      </c>
      <c r="M21" s="4">
        <v>128.0</v>
      </c>
      <c r="O21" s="3" t="s">
        <v>37</v>
      </c>
    </row>
    <row r="22" ht="14.25" customHeight="1">
      <c r="A22" s="4" t="str">
        <f>IFERROR(__xludf.DUMMYFUNCTION("""COMPUTED_VALUE"""),"4. Eggs")</f>
        <v>4. Eggs</v>
      </c>
      <c r="B22" s="4" t="str">
        <f>IFERROR(__xludf.DUMMYFUNCTION("""COMPUTED_VALUE"""),"4")</f>
        <v>4</v>
      </c>
      <c r="C22" s="5" t="str">
        <f>IFERROR(__xludf.DUMMYFUNCTION("""COMPUTED_VALUE"""),"https://drive.google.com/file/d/1Id_JTuQqjcHncP_bdyGYYJAG3EvMvOJV/view?usp=drivesdk")</f>
        <v>https://drive.google.com/file/d/1Id_JTuQqjcHncP_bdyGYYJAG3EvMvOJV/view?usp=drivesdk</v>
      </c>
      <c r="D22" s="2"/>
      <c r="E22" s="6">
        <v>22.0</v>
      </c>
      <c r="F22" s="2"/>
      <c r="I22" s="3" t="str">
        <f>IFERROR(__xludf.DUMMYFUNCTION("""COMPUTED_VALUE"""),"20. Citlali")</f>
        <v>20. Citlali</v>
      </c>
      <c r="J22" s="4">
        <f>IFERROR(__xludf.DUMMYFUNCTION("if(ISBLANK(I22),"""",SUMPRODUCT(REGEXMATCH(A:A, ""(?i)\b"" &amp; I22 &amp; ""\b"") * 1))"),142.0)</f>
        <v>142</v>
      </c>
      <c r="L22" s="3" t="s">
        <v>40</v>
      </c>
      <c r="M22" s="4">
        <v>125.0</v>
      </c>
      <c r="O22" s="3" t="s">
        <v>41</v>
      </c>
    </row>
    <row r="23" ht="14.25" customHeight="1">
      <c r="A23" s="4" t="str">
        <f>IFERROR(__xludf.DUMMYFUNCTION("""COMPUTED_VALUE"""),"2. Twix")</f>
        <v>2. Twix</v>
      </c>
      <c r="B23" s="4" t="str">
        <f>IFERROR(__xludf.DUMMYFUNCTION("""COMPUTED_VALUE"""),"2")</f>
        <v>2</v>
      </c>
      <c r="C23" s="5" t="str">
        <f>IFERROR(__xludf.DUMMYFUNCTION("""COMPUTED_VALUE"""),"https://drive.google.com/file/d/1EVX1oMsKDUkjqnGtbYnBXkOQQNYod5X-/view?usp=drivesdk")</f>
        <v>https://drive.google.com/file/d/1EVX1oMsKDUkjqnGtbYnBXkOQQNYod5X-/view?usp=drivesdk</v>
      </c>
      <c r="D23" s="2"/>
      <c r="E23" s="6">
        <v>23.0</v>
      </c>
      <c r="F23" s="2"/>
      <c r="I23" s="3" t="str">
        <f>IFERROR(__xludf.DUMMYFUNCTION("""COMPUTED_VALUE"""),"21. Paquini")</f>
        <v>21. Paquini</v>
      </c>
      <c r="J23" s="4">
        <f>IFERROR(__xludf.DUMMYFUNCTION("if(ISBLANK(I23),"""",SUMPRODUCT(REGEXMATCH(A:A, ""(?i)\b"" &amp; I23 &amp; ""\b"") * 1))"),64.0)</f>
        <v>64</v>
      </c>
      <c r="L23" s="3" t="s">
        <v>14</v>
      </c>
      <c r="M23" s="4">
        <v>119.0</v>
      </c>
      <c r="O23" s="3" t="s">
        <v>42</v>
      </c>
    </row>
    <row r="24" ht="14.25" customHeight="1">
      <c r="A24" s="4" t="str">
        <f>IFERROR(__xludf.DUMMYFUNCTION("""COMPUTED_VALUE"""),"1. Microwave")</f>
        <v>1. Microwave</v>
      </c>
      <c r="B24" s="4" t="str">
        <f>IFERROR(__xludf.DUMMYFUNCTION("""COMPUTED_VALUE"""),"1")</f>
        <v>1</v>
      </c>
      <c r="C24" s="5" t="str">
        <f>IFERROR(__xludf.DUMMYFUNCTION("""COMPUTED_VALUE"""),"https://drive.google.com/file/d/1xrb2JkSEEXLQ-3yQS9IlLsTDlG2lYDPR/view?usp=drivesdk")</f>
        <v>https://drive.google.com/file/d/1xrb2JkSEEXLQ-3yQS9IlLsTDlG2lYDPR/view?usp=drivesdk</v>
      </c>
      <c r="D24" s="2"/>
      <c r="E24" s="6">
        <v>24.0</v>
      </c>
      <c r="F24" s="2"/>
      <c r="I24" s="3" t="str">
        <f>IFERROR(__xludf.DUMMYFUNCTION("""COMPUTED_VALUE"""),"22. Glockenspiel")</f>
        <v>22. Glockenspiel</v>
      </c>
      <c r="J24" s="4">
        <f>IFERROR(__xludf.DUMMYFUNCTION("if(ISBLANK(I24),"""",SUMPRODUCT(REGEXMATCH(A:A, ""(?i)\b"" &amp; I24 &amp; ""\b"") * 1))"),37.0)</f>
        <v>37</v>
      </c>
      <c r="L24" s="3" t="s">
        <v>43</v>
      </c>
      <c r="M24" s="4">
        <v>117.0</v>
      </c>
      <c r="O24" s="3" t="s">
        <v>44</v>
      </c>
    </row>
    <row r="25" ht="14.25" customHeight="1">
      <c r="A25" s="4" t="str">
        <f>IFERROR(__xludf.DUMMYFUNCTION("""COMPUTED_VALUE"""),"1. Microwave")</f>
        <v>1. Microwave</v>
      </c>
      <c r="B25" s="4" t="str">
        <f>IFERROR(__xludf.DUMMYFUNCTION("""COMPUTED_VALUE"""),"1")</f>
        <v>1</v>
      </c>
      <c r="C25" s="5" t="str">
        <f>IFERROR(__xludf.DUMMYFUNCTION("""COMPUTED_VALUE"""),"https://drive.google.com/file/d/1MZVLEM23cXX_bqbDjgbaUAU8C7uvYqQj/view?usp=drivesdk")</f>
        <v>https://drive.google.com/file/d/1MZVLEM23cXX_bqbDjgbaUAU8C7uvYqQj/view?usp=drivesdk</v>
      </c>
      <c r="D25" s="2"/>
      <c r="E25" s="6">
        <v>25.0</v>
      </c>
      <c r="F25" s="2"/>
      <c r="I25" s="3" t="str">
        <f>IFERROR(__xludf.DUMMYFUNCTION("""COMPUTED_VALUE"""),"23. Tlacuilo")</f>
        <v>23. Tlacuilo</v>
      </c>
      <c r="J25" s="4">
        <f>IFERROR(__xludf.DUMMYFUNCTION("if(ISBLANK(I25),"""",SUMPRODUCT(REGEXMATCH(A:A, ""(?i)\b"" &amp; I25 &amp; ""\b"") * 1))"),7.0)</f>
        <v>7</v>
      </c>
      <c r="L25" s="3" t="s">
        <v>45</v>
      </c>
      <c r="M25" s="4">
        <v>110.0</v>
      </c>
      <c r="O25" s="3" t="s">
        <v>46</v>
      </c>
    </row>
    <row r="26" ht="14.25" customHeight="1">
      <c r="A26" s="4" t="str">
        <f>IFERROR(__xludf.DUMMYFUNCTION("""COMPUTED_VALUE"""),"1. Microwave")</f>
        <v>1. Microwave</v>
      </c>
      <c r="B26" s="4" t="str">
        <f>IFERROR(__xludf.DUMMYFUNCTION("""COMPUTED_VALUE"""),"1")</f>
        <v>1</v>
      </c>
      <c r="C26" s="5" t="str">
        <f>IFERROR(__xludf.DUMMYFUNCTION("""COMPUTED_VALUE"""),"https://drive.google.com/file/d/1gamwQpNPbBsSkg_3uk20CclCUDAmgn5V/view?usp=drivesdk")</f>
        <v>https://drive.google.com/file/d/1gamwQpNPbBsSkg_3uk20CclCUDAmgn5V/view?usp=drivesdk</v>
      </c>
      <c r="D26" s="2"/>
      <c r="E26" s="6">
        <v>26.0</v>
      </c>
      <c r="F26" s="2"/>
      <c r="I26" s="3" t="str">
        <f>IFERROR(__xludf.DUMMYFUNCTION("""COMPUTED_VALUE"""),"24. Garfield")</f>
        <v>24. Garfield</v>
      </c>
      <c r="J26" s="4">
        <f>IFERROR(__xludf.DUMMYFUNCTION("if(ISBLANK(I26),"""",SUMPRODUCT(REGEXMATCH(A:A, ""(?i)\b"" &amp; I26 &amp; ""\b"") * 1))"),30.0)</f>
        <v>30</v>
      </c>
      <c r="L26" s="3" t="s">
        <v>47</v>
      </c>
      <c r="M26" s="4">
        <v>107.0</v>
      </c>
      <c r="O26" s="3" t="s">
        <v>48</v>
      </c>
    </row>
    <row r="27" ht="14.25" customHeight="1">
      <c r="A27" s="4" t="str">
        <f>IFERROR(__xludf.DUMMYFUNCTION("""COMPUTED_VALUE"""),"1. Microwave")</f>
        <v>1. Microwave</v>
      </c>
      <c r="B27" s="4" t="str">
        <f>IFERROR(__xludf.DUMMYFUNCTION("""COMPUTED_VALUE"""),"1")</f>
        <v>1</v>
      </c>
      <c r="C27" s="5" t="str">
        <f>IFERROR(__xludf.DUMMYFUNCTION("""COMPUTED_VALUE"""),"https://drive.google.com/file/d/1IfDdFEJS-Wh62hbcSaMaB2tNwM4Wta4P/view?usp=drivesdk")</f>
        <v>https://drive.google.com/file/d/1IfDdFEJS-Wh62hbcSaMaB2tNwM4Wta4P/view?usp=drivesdk</v>
      </c>
      <c r="D27" s="2"/>
      <c r="E27" s="6">
        <v>27.0</v>
      </c>
      <c r="F27" s="2"/>
      <c r="I27" s="3" t="str">
        <f>IFERROR(__xludf.DUMMYFUNCTION("""COMPUTED_VALUE"""),"25. Aphrodite")</f>
        <v>25. Aphrodite</v>
      </c>
      <c r="J27" s="4">
        <f>IFERROR(__xludf.DUMMYFUNCTION("if(ISBLANK(I27),"""",SUMPRODUCT(REGEXMATCH(A:A, ""(?i)\b"" &amp; I27 &amp; ""\b"") * 1))"),4.0)</f>
        <v>4</v>
      </c>
      <c r="L27" s="3" t="s">
        <v>49</v>
      </c>
      <c r="M27" s="4">
        <v>103.0</v>
      </c>
      <c r="O27" s="3" t="s">
        <v>50</v>
      </c>
    </row>
    <row r="28" ht="14.25" customHeight="1">
      <c r="A28" s="4" t="str">
        <f>IFERROR(__xludf.DUMMYFUNCTION("""COMPUTED_VALUE"""),"1. Microwave")</f>
        <v>1. Microwave</v>
      </c>
      <c r="B28" s="4" t="str">
        <f>IFERROR(__xludf.DUMMYFUNCTION("""COMPUTED_VALUE"""),"1")</f>
        <v>1</v>
      </c>
      <c r="C28" s="5" t="str">
        <f>IFERROR(__xludf.DUMMYFUNCTION("""COMPUTED_VALUE"""),"https://drive.google.com/file/d/1gr3yn12FcbBhPqoBrAWaugVbDvPrTKSY/view?usp=drivesdk")</f>
        <v>https://drive.google.com/file/d/1gr3yn12FcbBhPqoBrAWaugVbDvPrTKSY/view?usp=drivesdk</v>
      </c>
      <c r="D28" s="2"/>
      <c r="E28" s="6">
        <v>28.0</v>
      </c>
      <c r="F28" s="2"/>
      <c r="I28" s="3" t="str">
        <f>IFERROR(__xludf.DUMMYFUNCTION("""COMPUTED_VALUE"""),"26. Tang")</f>
        <v>26. Tang</v>
      </c>
      <c r="J28" s="4">
        <f>IFERROR(__xludf.DUMMYFUNCTION("if(ISBLANK(I28),"""",SUMPRODUCT(REGEXMATCH(A:A, ""(?i)\b"" &amp; I28 &amp; ""\b"") * 1))"),8.0)</f>
        <v>8</v>
      </c>
      <c r="L28" s="3" t="s">
        <v>51</v>
      </c>
      <c r="M28" s="4">
        <v>95.0</v>
      </c>
      <c r="O28" s="3" t="s">
        <v>39</v>
      </c>
    </row>
    <row r="29" ht="14.25" customHeight="1">
      <c r="A29" s="4" t="str">
        <f>IFERROR(__xludf.DUMMYFUNCTION("""COMPUTED_VALUE"""),"1. Microwave")</f>
        <v>1. Microwave</v>
      </c>
      <c r="B29" s="4" t="str">
        <f>IFERROR(__xludf.DUMMYFUNCTION("""COMPUTED_VALUE"""),"1")</f>
        <v>1</v>
      </c>
      <c r="C29" s="5" t="str">
        <f>IFERROR(__xludf.DUMMYFUNCTION("""COMPUTED_VALUE"""),"https://drive.google.com/file/d/11MXYFSq-ohu1U0LI7S-TsOOw26wynmlX/view?usp=drivesdk")</f>
        <v>https://drive.google.com/file/d/11MXYFSq-ohu1U0LI7S-TsOOw26wynmlX/view?usp=drivesdk</v>
      </c>
      <c r="D29" s="2"/>
      <c r="E29" s="6">
        <v>29.0</v>
      </c>
      <c r="F29" s="2"/>
      <c r="I29" s="3" t="str">
        <f>IFERROR(__xludf.DUMMYFUNCTION("""COMPUTED_VALUE"""),"27. Angel")</f>
        <v>27. Angel</v>
      </c>
      <c r="J29" s="4">
        <f>IFERROR(__xludf.DUMMYFUNCTION("if(ISBLANK(I29),"""",SUMPRODUCT(REGEXMATCH(A:A, ""(?i)\b"" &amp; I29 &amp; ""\b"") * 1))"),132.0)</f>
        <v>132</v>
      </c>
      <c r="L29" s="3" t="s">
        <v>52</v>
      </c>
      <c r="M29" s="4">
        <v>85.0</v>
      </c>
      <c r="O29" s="3" t="s">
        <v>53</v>
      </c>
    </row>
    <row r="30" ht="14.25" customHeight="1">
      <c r="A30" s="4" t="str">
        <f>IFERROR(__xludf.DUMMYFUNCTION("""COMPUTED_VALUE"""),"2. Twix")</f>
        <v>2. Twix</v>
      </c>
      <c r="B30" s="4" t="str">
        <f>IFERROR(__xludf.DUMMYFUNCTION("""COMPUTED_VALUE"""),"2")</f>
        <v>2</v>
      </c>
      <c r="C30" s="5" t="str">
        <f>IFERROR(__xludf.DUMMYFUNCTION("""COMPUTED_VALUE"""),"https://drive.google.com/file/d/1sDFq88GV7d1ApCl1P8gtcsHnwA7Skmmr/view?usp=drivesdk")</f>
        <v>https://drive.google.com/file/d/1sDFq88GV7d1ApCl1P8gtcsHnwA7Skmmr/view?usp=drivesdk</v>
      </c>
      <c r="D30" s="2"/>
      <c r="E30" s="6">
        <v>30.0</v>
      </c>
      <c r="F30" s="2"/>
      <c r="I30" s="3" t="str">
        <f>IFERROR(__xludf.DUMMYFUNCTION("""COMPUTED_VALUE"""),"28. Friga")</f>
        <v>28. Friga</v>
      </c>
      <c r="J30" s="4">
        <f>IFERROR(__xludf.DUMMYFUNCTION("if(ISBLANK(I30),"""",SUMPRODUCT(REGEXMATCH(A:A, ""(?i)\b"" &amp; I30 &amp; ""\b"") * 1))"),3.0)</f>
        <v>3</v>
      </c>
      <c r="L30" s="3" t="s">
        <v>54</v>
      </c>
      <c r="M30" s="4">
        <v>85.0</v>
      </c>
      <c r="O30" s="3" t="s">
        <v>35</v>
      </c>
    </row>
    <row r="31" ht="14.25" customHeight="1">
      <c r="A31" s="4" t="str">
        <f>IFERROR(__xludf.DUMMYFUNCTION("""COMPUTED_VALUE"""),"1. Microwave")</f>
        <v>1. Microwave</v>
      </c>
      <c r="B31" s="4" t="str">
        <f>IFERROR(__xludf.DUMMYFUNCTION("""COMPUTED_VALUE"""),"1")</f>
        <v>1</v>
      </c>
      <c r="C31" s="5" t="str">
        <f>IFERROR(__xludf.DUMMYFUNCTION("""COMPUTED_VALUE"""),"https://drive.google.com/file/d/1nieb4OvTyV3BjQrCR-faQiE2MCIYxs7F/view?usp=drivesdk")</f>
        <v>https://drive.google.com/file/d/1nieb4OvTyV3BjQrCR-faQiE2MCIYxs7F/view?usp=drivesdk</v>
      </c>
      <c r="D31" s="2"/>
      <c r="E31" s="6">
        <v>31.0</v>
      </c>
      <c r="F31" s="2"/>
      <c r="I31" s="3" t="str">
        <f>IFERROR(__xludf.DUMMYFUNCTION("""COMPUTED_VALUE"""),"29. Ginger")</f>
        <v>29. Ginger</v>
      </c>
      <c r="J31" s="4">
        <f>IFERROR(__xludf.DUMMYFUNCTION("if(ISBLANK(I31),"""",SUMPRODUCT(REGEXMATCH(A:A, ""(?i)\b"" &amp; I31 &amp; ""\b"") * 1))"),154.0)</f>
        <v>154</v>
      </c>
      <c r="L31" s="3" t="s">
        <v>55</v>
      </c>
      <c r="M31" s="4">
        <v>80.0</v>
      </c>
      <c r="O31" s="3" t="s">
        <v>43</v>
      </c>
    </row>
    <row r="32" ht="14.25" customHeight="1">
      <c r="A32" s="4" t="str">
        <f>IFERROR(__xludf.DUMMYFUNCTION("""COMPUTED_VALUE"""),"4. Eggs")</f>
        <v>4. Eggs</v>
      </c>
      <c r="B32" s="4" t="str">
        <f>IFERROR(__xludf.DUMMYFUNCTION("""COMPUTED_VALUE"""),"4")</f>
        <v>4</v>
      </c>
      <c r="C32" s="5" t="str">
        <f>IFERROR(__xludf.DUMMYFUNCTION("""COMPUTED_VALUE"""),"https://drive.google.com/file/d/1Lha5TTcN_Pr42o2WTiT6zYHxjTMexhTV/view?usp=drivesdk")</f>
        <v>https://drive.google.com/file/d/1Lha5TTcN_Pr42o2WTiT6zYHxjTMexhTV/view?usp=drivesdk</v>
      </c>
      <c r="D32" s="2"/>
      <c r="E32" s="6">
        <v>32.0</v>
      </c>
      <c r="F32" s="2"/>
      <c r="I32" s="3" t="str">
        <f>IFERROR(__xludf.DUMMYFUNCTION("""COMPUTED_VALUE"""),"30. Pepper")</f>
        <v>30. Pepper</v>
      </c>
      <c r="J32" s="4">
        <f>IFERROR(__xludf.DUMMYFUNCTION("if(ISBLANK(I32),"""",SUMPRODUCT(REGEXMATCH(A:A, ""(?i)\b"" &amp; I32 &amp; ""\b"") * 1))"),125.0)</f>
        <v>125</v>
      </c>
      <c r="L32" s="3" t="s">
        <v>34</v>
      </c>
      <c r="M32" s="4">
        <v>79.0</v>
      </c>
      <c r="O32" s="3" t="s">
        <v>56</v>
      </c>
    </row>
    <row r="33" ht="14.25" customHeight="1">
      <c r="A33" s="4" t="str">
        <f>IFERROR(__xludf.DUMMYFUNCTION("""COMPUTED_VALUE"""),"1. Microwave")</f>
        <v>1. Microwave</v>
      </c>
      <c r="B33" s="4" t="str">
        <f>IFERROR(__xludf.DUMMYFUNCTION("""COMPUTED_VALUE"""),"1")</f>
        <v>1</v>
      </c>
      <c r="C33" s="5" t="str">
        <f>IFERROR(__xludf.DUMMYFUNCTION("""COMPUTED_VALUE"""),"https://drive.google.com/file/d/1jlurjWw517zD5poPwWh3DfQ7OQKjnCOb/view?usp=drivesdk")</f>
        <v>https://drive.google.com/file/d/1jlurjWw517zD5poPwWh3DfQ7OQKjnCOb/view?usp=drivesdk</v>
      </c>
      <c r="D33" s="2"/>
      <c r="E33" s="6">
        <v>33.0</v>
      </c>
      <c r="F33" s="2"/>
      <c r="I33" s="3" t="str">
        <f>IFERROR(__xludf.DUMMYFUNCTION("""COMPUTED_VALUE"""),"31. Scraggle")</f>
        <v>31. Scraggle</v>
      </c>
      <c r="J33" s="4">
        <f>IFERROR(__xludf.DUMMYFUNCTION("if(ISBLANK(I33),"""",SUMPRODUCT(REGEXMATCH(A:A, ""(?i)\b"" &amp; I33 &amp; ""\b"") * 1))"),27.0)</f>
        <v>27</v>
      </c>
      <c r="L33" s="3" t="s">
        <v>57</v>
      </c>
      <c r="M33" s="4">
        <v>77.0</v>
      </c>
      <c r="O33" s="3" t="s">
        <v>58</v>
      </c>
    </row>
    <row r="34" ht="14.25" customHeight="1">
      <c r="A34" s="4" t="str">
        <f>IFERROR(__xludf.DUMMYFUNCTION("""COMPUTED_VALUE"""),"2. Twix")</f>
        <v>2. Twix</v>
      </c>
      <c r="B34" s="4" t="str">
        <f>IFERROR(__xludf.DUMMYFUNCTION("""COMPUTED_VALUE"""),"2")</f>
        <v>2</v>
      </c>
      <c r="C34" s="5" t="str">
        <f>IFERROR(__xludf.DUMMYFUNCTION("""COMPUTED_VALUE"""),"https://drive.google.com/file/d/1od1eElj9ATmTKDulCCgjFVyQZhD2H8HL/view?usp=drivesdk")</f>
        <v>https://drive.google.com/file/d/1od1eElj9ATmTKDulCCgjFVyQZhD2H8HL/view?usp=drivesdk</v>
      </c>
      <c r="D34" s="2"/>
      <c r="E34" s="6">
        <v>34.0</v>
      </c>
      <c r="F34" s="2"/>
      <c r="I34" s="3" t="str">
        <f>IFERROR(__xludf.DUMMYFUNCTION("""COMPUTED_VALUE"""),"32. Noir")</f>
        <v>32. Noir</v>
      </c>
      <c r="J34" s="4">
        <f>IFERROR(__xludf.DUMMYFUNCTION("if(ISBLANK(I34),"""",SUMPRODUCT(REGEXMATCH(A:A, ""(?i)\b"" &amp; I34 &amp; ""\b"") * 1))"),76.0)</f>
        <v>76</v>
      </c>
      <c r="L34" s="3" t="s">
        <v>58</v>
      </c>
      <c r="M34" s="4">
        <v>73.0</v>
      </c>
      <c r="O34" s="3" t="s">
        <v>57</v>
      </c>
    </row>
    <row r="35" ht="14.25" customHeight="1">
      <c r="A35" s="4" t="str">
        <f>IFERROR(__xludf.DUMMYFUNCTION("""COMPUTED_VALUE"""),"1. Microwave")</f>
        <v>1. Microwave</v>
      </c>
      <c r="B35" s="4" t="str">
        <f>IFERROR(__xludf.DUMMYFUNCTION("""COMPUTED_VALUE"""),"1")</f>
        <v>1</v>
      </c>
      <c r="C35" s="5" t="str">
        <f>IFERROR(__xludf.DUMMYFUNCTION("""COMPUTED_VALUE"""),"https://drive.google.com/file/d/1tz-o6eaQ_a1VLVt0Pt9yN7yOOG6HdkOX/view?usp=drivesdk")</f>
        <v>https://drive.google.com/file/d/1tz-o6eaQ_a1VLVt0Pt9yN7yOOG6HdkOX/view?usp=drivesdk</v>
      </c>
      <c r="D35" s="2"/>
      <c r="E35" s="6">
        <v>35.0</v>
      </c>
      <c r="F35" s="2"/>
      <c r="I35" s="3" t="str">
        <f>IFERROR(__xludf.DUMMYFUNCTION("""COMPUTED_VALUE"""),"33. Zee")</f>
        <v>33. Zee</v>
      </c>
      <c r="J35" s="4">
        <f>IFERROR(__xludf.DUMMYFUNCTION("if(ISBLANK(I35),"""",SUMPRODUCT(REGEXMATCH(A:A, ""(?i)\b"" &amp; I35 &amp; ""\b"") * 1))"),87.0)</f>
        <v>87</v>
      </c>
      <c r="L35" s="3" t="s">
        <v>59</v>
      </c>
      <c r="M35" s="4">
        <v>68.0</v>
      </c>
      <c r="O35" s="3" t="s">
        <v>60</v>
      </c>
    </row>
    <row r="36" ht="14.25" customHeight="1">
      <c r="A36" s="4" t="str">
        <f>IFERROR(__xludf.DUMMYFUNCTION("""COMPUTED_VALUE"""),"35. Stove")</f>
        <v>35. Stove</v>
      </c>
      <c r="B36" s="4" t="str">
        <f>IFERROR(__xludf.DUMMYFUNCTION("""COMPUTED_VALUE"""),"35")</f>
        <v>35</v>
      </c>
      <c r="C36" s="5" t="str">
        <f>IFERROR(__xludf.DUMMYFUNCTION("""COMPUTED_VALUE"""),"https://drive.google.com/file/d/12rfLnoS_z1SmkqUdPK7L8EpSxkODw0Zo/view?usp=drivesdk")</f>
        <v>https://drive.google.com/file/d/12rfLnoS_z1SmkqUdPK7L8EpSxkODw0Zo/view?usp=drivesdk</v>
      </c>
      <c r="D36" s="2"/>
      <c r="E36" s="6">
        <v>36.0</v>
      </c>
      <c r="F36" s="2"/>
      <c r="I36" s="3" t="str">
        <f>IFERROR(__xludf.DUMMYFUNCTION("""COMPUTED_VALUE"""),"34. Oreo 2")</f>
        <v>34. Oreo 2</v>
      </c>
      <c r="J36" s="4">
        <f>IFERROR(__xludf.DUMMYFUNCTION("if(ISBLANK(I36),"""",SUMPRODUCT(REGEXMATCH(A:A, ""(?i)\b"" &amp; I36 &amp; ""\b"") * 1))"),1.0)</f>
        <v>1</v>
      </c>
      <c r="L36" s="3" t="s">
        <v>61</v>
      </c>
      <c r="M36" s="4">
        <v>66.0</v>
      </c>
      <c r="O36" s="3" t="s">
        <v>62</v>
      </c>
    </row>
    <row r="37" ht="14.25" customHeight="1">
      <c r="A37" s="4" t="str">
        <f>IFERROR(__xludf.DUMMYFUNCTION("""COMPUTED_VALUE"""),"1. Microwave")</f>
        <v>1. Microwave</v>
      </c>
      <c r="B37" s="4" t="str">
        <f>IFERROR(__xludf.DUMMYFUNCTION("""COMPUTED_VALUE"""),"1")</f>
        <v>1</v>
      </c>
      <c r="C37" s="5" t="str">
        <f>IFERROR(__xludf.DUMMYFUNCTION("""COMPUTED_VALUE"""),"https://drive.google.com/file/d/1bz9pdfUZzalCpeEfq8Gbq9tGNP9oYTc5/view?usp=drivesdk")</f>
        <v>https://drive.google.com/file/d/1bz9pdfUZzalCpeEfq8Gbq9tGNP9oYTc5/view?usp=drivesdk</v>
      </c>
      <c r="D37" s="2"/>
      <c r="E37" s="6">
        <v>37.0</v>
      </c>
      <c r="F37" s="2"/>
      <c r="I37" s="3" t="str">
        <f>IFERROR(__xludf.DUMMYFUNCTION("""COMPUTED_VALUE"""),"35. Stove")</f>
        <v>35. Stove</v>
      </c>
      <c r="J37" s="4">
        <f>IFERROR(__xludf.DUMMYFUNCTION("if(ISBLANK(I37),"""",SUMPRODUCT(REGEXMATCH(A:A, ""(?i)\b"" &amp; I37 &amp; ""\b"") * 1))"),44.0)</f>
        <v>44</v>
      </c>
      <c r="L37" s="3" t="s">
        <v>63</v>
      </c>
      <c r="M37" s="4">
        <v>64.0</v>
      </c>
      <c r="O37" s="3" t="s">
        <v>64</v>
      </c>
    </row>
    <row r="38" ht="14.25" customHeight="1">
      <c r="A38" s="4" t="str">
        <f>IFERROR(__xludf.DUMMYFUNCTION("""COMPUTED_VALUE"""),"1. Microwave")</f>
        <v>1. Microwave</v>
      </c>
      <c r="B38" s="4" t="str">
        <f>IFERROR(__xludf.DUMMYFUNCTION("""COMPUTED_VALUE"""),"1")</f>
        <v>1</v>
      </c>
      <c r="C38" s="5" t="str">
        <f>IFERROR(__xludf.DUMMYFUNCTION("""COMPUTED_VALUE"""),"https://drive.google.com/file/d/1BNDQ9Bhnu1xryFQfg8RkPtDtV810S3o4/view?usp=drivesdk")</f>
        <v>https://drive.google.com/file/d/1BNDQ9Bhnu1xryFQfg8RkPtDtV810S3o4/view?usp=drivesdk</v>
      </c>
      <c r="D38" s="2"/>
      <c r="E38" s="6">
        <v>38.0</v>
      </c>
      <c r="F38" s="2"/>
      <c r="I38" s="3" t="str">
        <f>IFERROR(__xludf.DUMMYFUNCTION("""COMPUTED_VALUE"""),"36. Scringle")</f>
        <v>36. Scringle</v>
      </c>
      <c r="J38" s="4">
        <f>IFERROR(__xludf.DUMMYFUNCTION("if(ISBLANK(I38),"""",SUMPRODUCT(REGEXMATCH(A:A, ""(?i)\b"" &amp; I38 &amp; ""\b"") * 1))"),31.0)</f>
        <v>31</v>
      </c>
      <c r="L38" s="3" t="s">
        <v>41</v>
      </c>
      <c r="M38" s="4">
        <v>63.0</v>
      </c>
      <c r="O38" s="3" t="s">
        <v>65</v>
      </c>
    </row>
    <row r="39" ht="14.25" customHeight="1">
      <c r="A39" s="4" t="str">
        <f>IFERROR(__xludf.DUMMYFUNCTION("""COMPUTED_VALUE"""),"5. Eraser, 4. Eggs")</f>
        <v>5. Eraser, 4. Eggs</v>
      </c>
      <c r="B39" s="4" t="str">
        <f>IFERROR(__xludf.DUMMYFUNCTION("""COMPUTED_VALUE"""),"5, 4")</f>
        <v>5, 4</v>
      </c>
      <c r="C39" s="5" t="str">
        <f>IFERROR(__xludf.DUMMYFUNCTION("""COMPUTED_VALUE"""),"https://drive.google.com/file/d/1chygdYyrNmFDfUq2sEnq2OShuvD5LpDH/view?usp=drivesdk")</f>
        <v>https://drive.google.com/file/d/1chygdYyrNmFDfUq2sEnq2OShuvD5LpDH/view?usp=drivesdk</v>
      </c>
      <c r="D39" s="2"/>
      <c r="E39" s="6">
        <v>39.0</v>
      </c>
      <c r="F39" s="2"/>
      <c r="I39" s="3" t="str">
        <f>IFERROR(__xludf.DUMMYFUNCTION("""COMPUTED_VALUE"""),"37. Dingus")</f>
        <v>37. Dingus</v>
      </c>
      <c r="J39" s="4">
        <f>IFERROR(__xludf.DUMMYFUNCTION("if(ISBLANK(I39),"""",SUMPRODUCT(REGEXMATCH(A:A, ""(?i)\b"" &amp; I39 &amp; ""\b"") * 1))"),7.0)</f>
        <v>7</v>
      </c>
      <c r="L39" s="3" t="s">
        <v>66</v>
      </c>
      <c r="M39" s="4">
        <v>63.0</v>
      </c>
      <c r="O39" s="3" t="s">
        <v>25</v>
      </c>
    </row>
    <row r="40" ht="14.25" customHeight="1">
      <c r="A40" s="4" t="str">
        <f>IFERROR(__xludf.DUMMYFUNCTION("""COMPUTED_VALUE"""),"7. Hershey")</f>
        <v>7. Hershey</v>
      </c>
      <c r="B40" s="4" t="str">
        <f>IFERROR(__xludf.DUMMYFUNCTION("""COMPUTED_VALUE"""),"7")</f>
        <v>7</v>
      </c>
      <c r="C40" s="5" t="str">
        <f>IFERROR(__xludf.DUMMYFUNCTION("""COMPUTED_VALUE"""),"https://drive.google.com/file/d/1MTtoqAn4xX2eyvgNwz6opE1rOdkG2GKt/view?usp=drivesdk")</f>
        <v>https://drive.google.com/file/d/1MTtoqAn4xX2eyvgNwz6opE1rOdkG2GKt/view?usp=drivesdk</v>
      </c>
      <c r="D40" s="2"/>
      <c r="E40" s="6">
        <v>40.0</v>
      </c>
      <c r="F40" s="2"/>
      <c r="I40" s="3" t="str">
        <f>IFERROR(__xludf.DUMMYFUNCTION("""COMPUTED_VALUE"""),"38. Winston")</f>
        <v>38. Winston</v>
      </c>
      <c r="J40" s="4">
        <f>IFERROR(__xludf.DUMMYFUNCTION("if(ISBLANK(I40),"""",SUMPRODUCT(REGEXMATCH(A:A, ""(?i)\b"" &amp; I40 &amp; ""\b"") * 1))"),209.0)</f>
        <v>209</v>
      </c>
      <c r="L40" s="3" t="s">
        <v>67</v>
      </c>
      <c r="M40" s="4">
        <v>57.0</v>
      </c>
      <c r="O40" s="3" t="s">
        <v>24</v>
      </c>
    </row>
    <row r="41" ht="14.25" customHeight="1">
      <c r="A41" s="4" t="str">
        <f>IFERROR(__xludf.DUMMYFUNCTION("""COMPUTED_VALUE"""),"7. Hershey")</f>
        <v>7. Hershey</v>
      </c>
      <c r="B41" s="4" t="str">
        <f>IFERROR(__xludf.DUMMYFUNCTION("""COMPUTED_VALUE"""),"7")</f>
        <v>7</v>
      </c>
      <c r="C41" s="5" t="str">
        <f>IFERROR(__xludf.DUMMYFUNCTION("""COMPUTED_VALUE"""),"https://drive.google.com/file/d/12Umxn_lucsRTGMBLpnHV2SL0DLcHu-_P/view?usp=drivesdk")</f>
        <v>https://drive.google.com/file/d/12Umxn_lucsRTGMBLpnHV2SL0DLcHu-_P/view?usp=drivesdk</v>
      </c>
      <c r="D41" s="2"/>
      <c r="E41" s="6">
        <v>41.0</v>
      </c>
      <c r="F41" s="2"/>
      <c r="I41" s="3" t="str">
        <f>IFERROR(__xludf.DUMMYFUNCTION("""COMPUTED_VALUE"""),"39. Radar")</f>
        <v>39. Radar</v>
      </c>
      <c r="J41" s="4">
        <f>IFERROR(__xludf.DUMMYFUNCTION("if(ISBLANK(I41),"""",SUMPRODUCT(REGEXMATCH(A:A, ""(?i)\b"" &amp; I41 &amp; ""\b"") * 1))"),211.0)</f>
        <v>211</v>
      </c>
      <c r="L41" s="3" t="s">
        <v>68</v>
      </c>
      <c r="M41" s="4">
        <v>50.0</v>
      </c>
      <c r="O41" s="3" t="s">
        <v>29</v>
      </c>
    </row>
    <row r="42" ht="14.25" customHeight="1">
      <c r="A42" s="4" t="str">
        <f>IFERROR(__xludf.DUMMYFUNCTION("""COMPUTED_VALUE"""),"2. Twix")</f>
        <v>2. Twix</v>
      </c>
      <c r="B42" s="4" t="str">
        <f>IFERROR(__xludf.DUMMYFUNCTION("""COMPUTED_VALUE"""),"2")</f>
        <v>2</v>
      </c>
      <c r="C42" s="5" t="str">
        <f>IFERROR(__xludf.DUMMYFUNCTION("""COMPUTED_VALUE"""),"https://drive.google.com/file/d/1SquGhr1_bRYrIQLbfMLe1WdpEvApLpph/view?usp=drivesdk")</f>
        <v>https://drive.google.com/file/d/1SquGhr1_bRYrIQLbfMLe1WdpEvApLpph/view?usp=drivesdk</v>
      </c>
      <c r="D42" s="2"/>
      <c r="E42" s="6">
        <v>42.0</v>
      </c>
      <c r="F42" s="2"/>
      <c r="I42" s="3" t="str">
        <f>IFERROR(__xludf.DUMMYFUNCTION("""COMPUTED_VALUE"""),"40. Dumpster")</f>
        <v>40. Dumpster</v>
      </c>
      <c r="J42" s="4">
        <f>IFERROR(__xludf.DUMMYFUNCTION("if(ISBLANK(I42),"""",SUMPRODUCT(REGEXMATCH(A:A, ""(?i)\b"" &amp; I42 &amp; ""\b"") * 1))"),184.0)</f>
        <v>184</v>
      </c>
      <c r="L42" s="3" t="s">
        <v>69</v>
      </c>
      <c r="M42" s="4">
        <v>47.0</v>
      </c>
      <c r="O42" s="3" t="s">
        <v>20</v>
      </c>
    </row>
    <row r="43" ht="14.25" customHeight="1">
      <c r="A43" s="4" t="str">
        <f>IFERROR(__xludf.DUMMYFUNCTION("""COMPUTED_VALUE"""),"2. Twix")</f>
        <v>2. Twix</v>
      </c>
      <c r="B43" s="4" t="str">
        <f>IFERROR(__xludf.DUMMYFUNCTION("""COMPUTED_VALUE"""),"2")</f>
        <v>2</v>
      </c>
      <c r="C43" s="5" t="str">
        <f>IFERROR(__xludf.DUMMYFUNCTION("""COMPUTED_VALUE"""),"https://drive.google.com/file/d/15SZhoeq8f8gimpXDT6pz2jf_Qe3Ojp5E/view?usp=drivesdk")</f>
        <v>https://drive.google.com/file/d/15SZhoeq8f8gimpXDT6pz2jf_Qe3Ojp5E/view?usp=drivesdk</v>
      </c>
      <c r="D43" s="2"/>
      <c r="E43" s="6">
        <v>43.0</v>
      </c>
      <c r="F43" s="2"/>
      <c r="I43" s="3" t="str">
        <f>IFERROR(__xludf.DUMMYFUNCTION("""COMPUTED_VALUE"""),"41. Gregory")</f>
        <v>41. Gregory</v>
      </c>
      <c r="J43" s="4">
        <f>IFERROR(__xludf.DUMMYFUNCTION("if(ISBLANK(I43),"""",SUMPRODUCT(REGEXMATCH(A:A, ""(?i)\b"" &amp; I43 &amp; ""\b"") * 1))"),285.0)</f>
        <v>285</v>
      </c>
      <c r="L43" s="3" t="s">
        <v>70</v>
      </c>
      <c r="M43" s="4">
        <v>46.0</v>
      </c>
      <c r="O43" s="3" t="s">
        <v>18</v>
      </c>
    </row>
    <row r="44" ht="14.25" customHeight="1">
      <c r="A44" s="4" t="str">
        <f>IFERROR(__xludf.DUMMYFUNCTION("""COMPUTED_VALUE"""),"4. Eggs")</f>
        <v>4. Eggs</v>
      </c>
      <c r="B44" s="4" t="str">
        <f>IFERROR(__xludf.DUMMYFUNCTION("""COMPUTED_VALUE"""),"4")</f>
        <v>4</v>
      </c>
      <c r="C44" s="5" t="str">
        <f>IFERROR(__xludf.DUMMYFUNCTION("""COMPUTED_VALUE"""),"https://drive.google.com/file/d/1AWSz7gJoTcAXTCq7z0h-78aL0ItK1BGn/view?usp=drivesdk")</f>
        <v>https://drive.google.com/file/d/1AWSz7gJoTcAXTCq7z0h-78aL0ItK1BGn/view?usp=drivesdk</v>
      </c>
      <c r="D44" s="2"/>
      <c r="E44" s="6">
        <v>44.0</v>
      </c>
      <c r="F44" s="2"/>
      <c r="I44" s="3" t="str">
        <f>IFERROR(__xludf.DUMMYFUNCTION("""COMPUTED_VALUE"""),"42. Rubber")</f>
        <v>42. Rubber</v>
      </c>
      <c r="J44" s="4">
        <f>IFERROR(__xludf.DUMMYFUNCTION("if(ISBLANK(I44),"""",SUMPRODUCT(REGEXMATCH(A:A, ""(?i)\b"" &amp; I44 &amp; ""\b"") * 1))"),325.0)</f>
        <v>325</v>
      </c>
      <c r="L44" s="3" t="s">
        <v>71</v>
      </c>
      <c r="M44" s="4">
        <v>46.0</v>
      </c>
      <c r="O44" s="3" t="s">
        <v>47</v>
      </c>
    </row>
    <row r="45" ht="14.25" customHeight="1">
      <c r="A45" s="4" t="str">
        <f>IFERROR(__xludf.DUMMYFUNCTION("""COMPUTED_VALUE"""),"2. Twix")</f>
        <v>2. Twix</v>
      </c>
      <c r="B45" s="4" t="str">
        <f>IFERROR(__xludf.DUMMYFUNCTION("""COMPUTED_VALUE"""),"2")</f>
        <v>2</v>
      </c>
      <c r="C45" s="5" t="str">
        <f>IFERROR(__xludf.DUMMYFUNCTION("""COMPUTED_VALUE"""),"https://drive.google.com/file/d/1qkq7_tCsmaSl3eGvRFp2XSiyMGZSZo8b/view?usp=drivesdk")</f>
        <v>https://drive.google.com/file/d/1qkq7_tCsmaSl3eGvRFp2XSiyMGZSZo8b/view?usp=drivesdk</v>
      </c>
      <c r="D45" s="2"/>
      <c r="E45" s="6">
        <v>45.0</v>
      </c>
      <c r="F45" s="2"/>
      <c r="I45" s="3" t="str">
        <f>IFERROR(__xludf.DUMMYFUNCTION("""COMPUTED_VALUE"""),"43. Bruno")</f>
        <v>43. Bruno</v>
      </c>
      <c r="J45" s="4">
        <f>IFERROR(__xludf.DUMMYFUNCTION("if(ISBLANK(I45),"""",SUMPRODUCT(REGEXMATCH(A:A, ""(?i)\b"" &amp; I45 &amp; ""\b"") * 1))"),107.0)</f>
        <v>107</v>
      </c>
      <c r="L45" s="3" t="s">
        <v>10</v>
      </c>
      <c r="M45" s="4">
        <v>45.0</v>
      </c>
      <c r="O45" s="3" t="s">
        <v>27</v>
      </c>
    </row>
    <row r="46" ht="14.25" customHeight="1">
      <c r="A46" s="4" t="str">
        <f>IFERROR(__xludf.DUMMYFUNCTION("""COMPUTED_VALUE"""),"1. Microwave")</f>
        <v>1. Microwave</v>
      </c>
      <c r="B46" s="4" t="str">
        <f>IFERROR(__xludf.DUMMYFUNCTION("""COMPUTED_VALUE"""),"1")</f>
        <v>1</v>
      </c>
      <c r="C46" s="5" t="str">
        <f>IFERROR(__xludf.DUMMYFUNCTION("""COMPUTED_VALUE"""),"https://drive.google.com/file/d/19r78Yo91r7Q3C9MEmDaUa3X3fGE3J5RP/view?usp=drivesdk")</f>
        <v>https://drive.google.com/file/d/19r78Yo91r7Q3C9MEmDaUa3X3fGE3J5RP/view?usp=drivesdk</v>
      </c>
      <c r="D46" s="2"/>
      <c r="E46" s="6">
        <v>46.0</v>
      </c>
      <c r="F46" s="2"/>
      <c r="I46" s="3" t="str">
        <f>IFERROR(__xludf.DUMMYFUNCTION("""COMPUTED_VALUE"""),"44. Shitbag Cuntface")</f>
        <v>44. Shitbag Cuntface</v>
      </c>
      <c r="J46" s="4">
        <f>IFERROR(__xludf.DUMMYFUNCTION("if(ISBLANK(I46),"""",SUMPRODUCT(REGEXMATCH(A:A, ""(?i)\b"" &amp; I46 &amp; ""\b"") * 1))"),201.0)</f>
        <v>201</v>
      </c>
      <c r="L46" s="3" t="s">
        <v>72</v>
      </c>
      <c r="M46" s="4">
        <v>45.0</v>
      </c>
      <c r="O46" s="3" t="s">
        <v>13</v>
      </c>
    </row>
    <row r="47" ht="14.25" customHeight="1">
      <c r="A47" s="4" t="str">
        <f>IFERROR(__xludf.DUMMYFUNCTION("""COMPUTED_VALUE"""),"5. Eraser")</f>
        <v>5. Eraser</v>
      </c>
      <c r="B47" s="4" t="str">
        <f>IFERROR(__xludf.DUMMYFUNCTION("""COMPUTED_VALUE"""),"5")</f>
        <v>5</v>
      </c>
      <c r="C47" s="5" t="str">
        <f>IFERROR(__xludf.DUMMYFUNCTION("""COMPUTED_VALUE"""),"https://drive.google.com/file/d/15A1Gvtquyax7P2A3Y0p8RWcuKD-43tln/view?usp=drivesdk")</f>
        <v>https://drive.google.com/file/d/15A1Gvtquyax7P2A3Y0p8RWcuKD-43tln/view?usp=drivesdk</v>
      </c>
      <c r="D47" s="2"/>
      <c r="E47" s="6">
        <v>47.0</v>
      </c>
      <c r="F47" s="2"/>
      <c r="I47" s="3" t="str">
        <f>IFERROR(__xludf.DUMMYFUNCTION("""COMPUTED_VALUE"""),"45. Boots")</f>
        <v>45. Boots</v>
      </c>
      <c r="J47" s="4">
        <f>IFERROR(__xludf.DUMMYFUNCTION("if(ISBLANK(I47),"""",SUMPRODUCT(REGEXMATCH(A:A, ""(?i)\b"" &amp; I47 &amp; ""\b"") * 1))"),459.0)</f>
        <v>459</v>
      </c>
      <c r="L47" s="3" t="s">
        <v>73</v>
      </c>
      <c r="M47" s="4">
        <v>45.0</v>
      </c>
      <c r="O47" s="3" t="s">
        <v>52</v>
      </c>
    </row>
    <row r="48" ht="14.25" customHeight="1">
      <c r="A48" s="4" t="str">
        <f>IFERROR(__xludf.DUMMYFUNCTION("""COMPUTED_VALUE"""),"1. Microwave")</f>
        <v>1. Microwave</v>
      </c>
      <c r="B48" s="4" t="str">
        <f>IFERROR(__xludf.DUMMYFUNCTION("""COMPUTED_VALUE"""),"1")</f>
        <v>1</v>
      </c>
      <c r="C48" s="5" t="str">
        <f>IFERROR(__xludf.DUMMYFUNCTION("""COMPUTED_VALUE"""),"https://drive.google.com/file/d/1b3jXZtenpfnnxobOMtZsSF0qzFN7lu7y/view?usp=drivesdk")</f>
        <v>https://drive.google.com/file/d/1b3jXZtenpfnnxobOMtZsSF0qzFN7lu7y/view?usp=drivesdk</v>
      </c>
      <c r="D48" s="2"/>
      <c r="E48" s="6">
        <v>48.0</v>
      </c>
      <c r="F48" s="2"/>
      <c r="I48" s="3" t="str">
        <f>IFERROR(__xludf.DUMMYFUNCTION("""COMPUTED_VALUE"""),"46. Princess")</f>
        <v>46. Princess</v>
      </c>
      <c r="J48" s="4">
        <f>IFERROR(__xludf.DUMMYFUNCTION("if(ISBLANK(I48),"""",SUMPRODUCT(REGEXMATCH(A:A, ""(?i)\b"" &amp; I48 &amp; ""\b"") * 1))"),85.0)</f>
        <v>85</v>
      </c>
      <c r="L48" s="3" t="s">
        <v>62</v>
      </c>
      <c r="M48" s="4">
        <v>43.0</v>
      </c>
      <c r="O48" s="3" t="s">
        <v>22</v>
      </c>
    </row>
    <row r="49" ht="14.25" customHeight="1">
      <c r="A49" s="4" t="str">
        <f>IFERROR(__xludf.DUMMYFUNCTION("""COMPUTED_VALUE"""),"1. Microwave")</f>
        <v>1. Microwave</v>
      </c>
      <c r="B49" s="4" t="str">
        <f>IFERROR(__xludf.DUMMYFUNCTION("""COMPUTED_VALUE"""),"1")</f>
        <v>1</v>
      </c>
      <c r="C49" s="5" t="str">
        <f>IFERROR(__xludf.DUMMYFUNCTION("""COMPUTED_VALUE"""),"https://drive.google.com/file/d/1Bld8Hf1e7nWs5iO7NalH006dJlrSa-pJ/view?usp=drivesdk")</f>
        <v>https://drive.google.com/file/d/1Bld8Hf1e7nWs5iO7NalH006dJlrSa-pJ/view?usp=drivesdk</v>
      </c>
      <c r="D49" s="2"/>
      <c r="E49" s="6">
        <v>49.0</v>
      </c>
      <c r="F49" s="2"/>
      <c r="I49" s="3" t="str">
        <f>IFERROR(__xludf.DUMMYFUNCTION("""COMPUTED_VALUE"""),"47. Nefarious")</f>
        <v>47. Nefarious</v>
      </c>
      <c r="J49" s="4">
        <f>IFERROR(__xludf.DUMMYFUNCTION("if(ISBLANK(I49),"""",SUMPRODUCT(REGEXMATCH(A:A, ""(?i)\b"" &amp; I49 &amp; ""\b"") * 1))"),259.0)</f>
        <v>259</v>
      </c>
      <c r="L49" s="3" t="s">
        <v>74</v>
      </c>
      <c r="M49" s="4">
        <v>42.0</v>
      </c>
      <c r="O49" s="3" t="s">
        <v>75</v>
      </c>
    </row>
    <row r="50" ht="14.25" customHeight="1">
      <c r="A50" s="4" t="str">
        <f>IFERROR(__xludf.DUMMYFUNCTION("""COMPUTED_VALUE"""),"1. Microwave")</f>
        <v>1. Microwave</v>
      </c>
      <c r="B50" s="4" t="str">
        <f>IFERROR(__xludf.DUMMYFUNCTION("""COMPUTED_VALUE"""),"1")</f>
        <v>1</v>
      </c>
      <c r="C50" s="5" t="str">
        <f>IFERROR(__xludf.DUMMYFUNCTION("""COMPUTED_VALUE"""),"https://drive.google.com/file/d/1vJPOrkaSpXbhAuB0-Mp4dLaAYATD8MO4/view?usp=drivesdk")</f>
        <v>https://drive.google.com/file/d/1vJPOrkaSpXbhAuB0-Mp4dLaAYATD8MO4/view?usp=drivesdk</v>
      </c>
      <c r="D50" s="2"/>
      <c r="E50" s="6">
        <v>50.0</v>
      </c>
      <c r="F50" s="2"/>
      <c r="I50" s="3" t="str">
        <f>IFERROR(__xludf.DUMMYFUNCTION("""COMPUTED_VALUE"""),"48. Houdini")</f>
        <v>48. Houdini</v>
      </c>
      <c r="J50" s="4">
        <f>IFERROR(__xludf.DUMMYFUNCTION("if(ISBLANK(I50),"""",SUMPRODUCT(REGEXMATCH(A:A, ""(?i)\b"" &amp; I50 &amp; ""\b"") * 1))"),13.0)</f>
        <v>13</v>
      </c>
      <c r="L50" s="3" t="s">
        <v>19</v>
      </c>
      <c r="M50" s="4">
        <v>38.0</v>
      </c>
      <c r="O50" s="3" t="s">
        <v>67</v>
      </c>
    </row>
    <row r="51" ht="14.25" customHeight="1">
      <c r="A51" s="4" t="str">
        <f>IFERROR(__xludf.DUMMYFUNCTION("""COMPUTED_VALUE"""),"2. Twix")</f>
        <v>2. Twix</v>
      </c>
      <c r="B51" s="4" t="str">
        <f>IFERROR(__xludf.DUMMYFUNCTION("""COMPUTED_VALUE"""),"2")</f>
        <v>2</v>
      </c>
      <c r="C51" s="5" t="str">
        <f>IFERROR(__xludf.DUMMYFUNCTION("""COMPUTED_VALUE"""),"https://drive.google.com/file/d/1FI4A-p9W5E9SgDeaPVB8CCNn1NojMIPm/view?usp=drivesdk")</f>
        <v>https://drive.google.com/file/d/1FI4A-p9W5E9SgDeaPVB8CCNn1NojMIPm/view?usp=drivesdk</v>
      </c>
      <c r="D51" s="2"/>
      <c r="E51" s="6">
        <v>51.0</v>
      </c>
      <c r="F51" s="2"/>
      <c r="I51" s="3" t="str">
        <f>IFERROR(__xludf.DUMMYFUNCTION("""COMPUTED_VALUE"""),"49. Freya")</f>
        <v>49. Freya</v>
      </c>
      <c r="J51" s="4">
        <f>IFERROR(__xludf.DUMMYFUNCTION("if(ISBLANK(I51),"""",SUMPRODUCT(REGEXMATCH(A:A, ""(?i)\b"" &amp; I51 &amp; ""\b"") * 1))"),57.0)</f>
        <v>57</v>
      </c>
      <c r="L51" s="3" t="s">
        <v>38</v>
      </c>
      <c r="M51" s="4">
        <v>37.0</v>
      </c>
      <c r="O51" s="3" t="s">
        <v>69</v>
      </c>
    </row>
    <row r="52" ht="14.25" customHeight="1">
      <c r="A52" s="4" t="str">
        <f>IFERROR(__xludf.DUMMYFUNCTION("""COMPUTED_VALUE"""),"2. Twix")</f>
        <v>2. Twix</v>
      </c>
      <c r="B52" s="4" t="str">
        <f>IFERROR(__xludf.DUMMYFUNCTION("""COMPUTED_VALUE"""),"2")</f>
        <v>2</v>
      </c>
      <c r="C52" s="5" t="str">
        <f>IFERROR(__xludf.DUMMYFUNCTION("""COMPUTED_VALUE"""),"https://drive.google.com/file/d/1g2BrnqxeGI839K1DLU8IL5NpQbLO6anl/view?usp=drivesdk")</f>
        <v>https://drive.google.com/file/d/1g2BrnqxeGI839K1DLU8IL5NpQbLO6anl/view?usp=drivesdk</v>
      </c>
      <c r="D52" s="2"/>
      <c r="E52" s="6">
        <v>52.0</v>
      </c>
      <c r="F52" s="2"/>
      <c r="I52" s="3" t="str">
        <f>IFERROR(__xludf.DUMMYFUNCTION("""COMPUTED_VALUE"""),"50. Thor")</f>
        <v>50. Thor</v>
      </c>
      <c r="J52" s="4">
        <f>IFERROR(__xludf.DUMMYFUNCTION("if(ISBLANK(I52),"""",SUMPRODUCT(REGEXMATCH(A:A, ""(?i)\b"" &amp; I52 &amp; ""\b"") * 1))"),47.0)</f>
        <v>47</v>
      </c>
      <c r="L52" s="3" t="s">
        <v>42</v>
      </c>
      <c r="M52" s="4">
        <v>37.0</v>
      </c>
      <c r="O52" s="3" t="s">
        <v>76</v>
      </c>
    </row>
    <row r="53" ht="14.25" customHeight="1">
      <c r="A53" s="4" t="str">
        <f>IFERROR(__xludf.DUMMYFUNCTION("""COMPUTED_VALUE"""),"2. Twix")</f>
        <v>2. Twix</v>
      </c>
      <c r="B53" s="4" t="str">
        <f>IFERROR(__xludf.DUMMYFUNCTION("""COMPUTED_VALUE"""),"2")</f>
        <v>2</v>
      </c>
      <c r="C53" s="5" t="str">
        <f>IFERROR(__xludf.DUMMYFUNCTION("""COMPUTED_VALUE"""),"https://drive.google.com/file/d/11wStp9LDyTuau0qlkynX4vFmXQvCDvD8/view?usp=drivesdk")</f>
        <v>https://drive.google.com/file/d/11wStp9LDyTuau0qlkynX4vFmXQvCDvD8/view?usp=drivesdk</v>
      </c>
      <c r="D53" s="2"/>
      <c r="E53" s="6">
        <v>53.0</v>
      </c>
      <c r="F53" s="2"/>
      <c r="I53" s="3" t="str">
        <f>IFERROR(__xludf.DUMMYFUNCTION("""COMPUTED_VALUE"""),"51. Odin")</f>
        <v>51. Odin</v>
      </c>
      <c r="J53" s="4">
        <f>IFERROR(__xludf.DUMMYFUNCTION("if(ISBLANK(I53),"""",SUMPRODUCT(REGEXMATCH(A:A, ""(?i)\b"" &amp; I53 &amp; ""\b"") * 1))"),9.0)</f>
        <v>9</v>
      </c>
      <c r="L53" s="3" t="s">
        <v>77</v>
      </c>
      <c r="M53" s="4">
        <v>37.0</v>
      </c>
      <c r="O53" s="3" t="s">
        <v>78</v>
      </c>
    </row>
    <row r="54" ht="14.25" customHeight="1">
      <c r="A54" s="4" t="str">
        <f>IFERROR(__xludf.DUMMYFUNCTION("""COMPUTED_VALUE"""),"4. Eggs, 2. Twix")</f>
        <v>4. Eggs, 2. Twix</v>
      </c>
      <c r="B54" s="4" t="str">
        <f>IFERROR(__xludf.DUMMYFUNCTION("""COMPUTED_VALUE"""),"4, 2")</f>
        <v>4, 2</v>
      </c>
      <c r="C54" s="5" t="str">
        <f>IFERROR(__xludf.DUMMYFUNCTION("""COMPUTED_VALUE"""),"https://drive.google.com/file/d/1PDUobO4otw9z-RabMGhJHwtVN2KKYA2q/view?usp=drivesdk")</f>
        <v>https://drive.google.com/file/d/1PDUobO4otw9z-RabMGhJHwtVN2KKYA2q/view?usp=drivesdk</v>
      </c>
      <c r="D54" s="2"/>
      <c r="E54" s="6">
        <v>54.0</v>
      </c>
      <c r="F54" s="2"/>
      <c r="I54" s="3" t="str">
        <f>IFERROR(__xludf.DUMMYFUNCTION("""COMPUTED_VALUE"""),"52. Voidling")</f>
        <v>52. Voidling</v>
      </c>
      <c r="J54" s="4">
        <f>IFERROR(__xludf.DUMMYFUNCTION("if(ISBLANK(I54),"""",SUMPRODUCT(REGEXMATCH(A:A, ""(?i)\b"" &amp; I54 &amp; ""\b"") * 1))"),15.0)</f>
        <v>15</v>
      </c>
      <c r="L54" s="3" t="s">
        <v>79</v>
      </c>
      <c r="M54" s="4">
        <v>37.0</v>
      </c>
      <c r="O54" s="3" t="s">
        <v>80</v>
      </c>
    </row>
    <row r="55" ht="14.25" customHeight="1">
      <c r="A55" s="4" t="str">
        <f>IFERROR(__xludf.DUMMYFUNCTION("""COMPUTED_VALUE"""),"1. Microwave")</f>
        <v>1. Microwave</v>
      </c>
      <c r="B55" s="4" t="str">
        <f>IFERROR(__xludf.DUMMYFUNCTION("""COMPUTED_VALUE"""),"1")</f>
        <v>1</v>
      </c>
      <c r="C55" s="5" t="str">
        <f>IFERROR(__xludf.DUMMYFUNCTION("""COMPUTED_VALUE"""),"https://drive.google.com/file/d/1hqWXOsuryVCApmOics4nQPuM6lsv2uiv/view?usp=drivesdk")</f>
        <v>https://drive.google.com/file/d/1hqWXOsuryVCApmOics4nQPuM6lsv2uiv/view?usp=drivesdk</v>
      </c>
      <c r="D55" s="2"/>
      <c r="E55" s="6">
        <v>55.0</v>
      </c>
      <c r="F55" s="2"/>
      <c r="I55" s="3" t="str">
        <f>IFERROR(__xludf.DUMMYFUNCTION("""COMPUTED_VALUE"""),"53. Piggy")</f>
        <v>53. Piggy</v>
      </c>
      <c r="J55" s="4">
        <f>IFERROR(__xludf.DUMMYFUNCTION("if(ISBLANK(I55),"""",SUMPRODUCT(REGEXMATCH(A:A, ""(?i)\b"" &amp; I55 &amp; ""\b"") * 1))"),3.0)</f>
        <v>3</v>
      </c>
      <c r="L55" s="3" t="s">
        <v>17</v>
      </c>
      <c r="M55" s="4">
        <v>35.0</v>
      </c>
      <c r="O55" s="3" t="s">
        <v>81</v>
      </c>
    </row>
    <row r="56" ht="14.25" customHeight="1">
      <c r="A56" s="4" t="str">
        <f>IFERROR(__xludf.DUMMYFUNCTION("""COMPUTED_VALUE"""),"1. Microwave")</f>
        <v>1. Microwave</v>
      </c>
      <c r="B56" s="4" t="str">
        <f>IFERROR(__xludf.DUMMYFUNCTION("""COMPUTED_VALUE"""),"1")</f>
        <v>1</v>
      </c>
      <c r="C56" s="5" t="str">
        <f>IFERROR(__xludf.DUMMYFUNCTION("""COMPUTED_VALUE"""),"https://drive.google.com/file/d/1JqARNDFUAuYUxCHisKhHwZ-PqZxXrmaO/view?usp=drivesdk")</f>
        <v>https://drive.google.com/file/d/1JqARNDFUAuYUxCHisKhHwZ-PqZxXrmaO/view?usp=drivesdk</v>
      </c>
      <c r="D56" s="2"/>
      <c r="E56" s="6">
        <v>56.0</v>
      </c>
      <c r="F56" s="2"/>
      <c r="I56" s="3" t="str">
        <f>IFERROR(__xludf.DUMMYFUNCTION("""COMPUTED_VALUE"""),"54. Tommy")</f>
        <v>54. Tommy</v>
      </c>
      <c r="J56" s="4">
        <f>IFERROR(__xludf.DUMMYFUNCTION("if(ISBLANK(I56),"""",SUMPRODUCT(REGEXMATCH(A:A, ""(?i)\b"" &amp; I56 &amp; ""\b"") * 1))"),2.0)</f>
        <v>2</v>
      </c>
      <c r="L56" s="3" t="s">
        <v>82</v>
      </c>
      <c r="M56" s="4">
        <v>34.0</v>
      </c>
      <c r="O56" s="3" t="s">
        <v>83</v>
      </c>
    </row>
    <row r="57" ht="14.25" customHeight="1">
      <c r="A57" s="4" t="str">
        <f>IFERROR(__xludf.DUMMYFUNCTION("""COMPUTED_VALUE"""),"1. Microwave")</f>
        <v>1. Microwave</v>
      </c>
      <c r="B57" s="4" t="str">
        <f>IFERROR(__xludf.DUMMYFUNCTION("""COMPUTED_VALUE"""),"1")</f>
        <v>1</v>
      </c>
      <c r="C57" s="5" t="str">
        <f>IFERROR(__xludf.DUMMYFUNCTION("""COMPUTED_VALUE"""),"https://drive.google.com/file/d/1F-5E6GuslBV2Mb8NRUlIZrtqGb8IJfiW/view?usp=drivesdk")</f>
        <v>https://drive.google.com/file/d/1F-5E6GuslBV2Mb8NRUlIZrtqGb8IJfiW/view?usp=drivesdk</v>
      </c>
      <c r="D57" s="2"/>
      <c r="E57" s="6">
        <v>57.0</v>
      </c>
      <c r="F57" s="2"/>
      <c r="I57" s="3" t="str">
        <f>IFERROR(__xludf.DUMMYFUNCTION("""COMPUTED_VALUE"""),"55. Callie")</f>
        <v>55. Callie</v>
      </c>
      <c r="J57" s="4">
        <f>IFERROR(__xludf.DUMMYFUNCTION("if(ISBLANK(I57),"""",SUMPRODUCT(REGEXMATCH(A:A, ""(?i)\b"" &amp; I57 &amp; ""\b"") * 1))"),3.0)</f>
        <v>3</v>
      </c>
      <c r="L57" s="3" t="s">
        <v>46</v>
      </c>
      <c r="M57" s="4">
        <v>30.0</v>
      </c>
      <c r="O57" s="3" t="s">
        <v>84</v>
      </c>
    </row>
    <row r="58" ht="14.25" customHeight="1">
      <c r="A58" s="4" t="str">
        <f>IFERROR(__xludf.DUMMYFUNCTION("""COMPUTED_VALUE"""),"1. Microwave")</f>
        <v>1. Microwave</v>
      </c>
      <c r="B58" s="4" t="str">
        <f>IFERROR(__xludf.DUMMYFUNCTION("""COMPUTED_VALUE"""),"1")</f>
        <v>1</v>
      </c>
      <c r="C58" s="5" t="str">
        <f>IFERROR(__xludf.DUMMYFUNCTION("""COMPUTED_VALUE"""),"https://drive.google.com/file/d/1rmmME-EQ_Eubo5ONzLbKRhaSggZ3OVoX/view?usp=drivesdk")</f>
        <v>https://drive.google.com/file/d/1rmmME-EQ_Eubo5ONzLbKRhaSggZ3OVoX/view?usp=drivesdk</v>
      </c>
      <c r="D58" s="2"/>
      <c r="E58" s="6">
        <v>58.0</v>
      </c>
      <c r="F58" s="2"/>
      <c r="I58" s="3" t="str">
        <f>IFERROR(__xludf.DUMMYFUNCTION("""COMPUTED_VALUE"""),"56. Lard")</f>
        <v>56. Lard</v>
      </c>
      <c r="J58" s="4">
        <f>IFERROR(__xludf.DUMMYFUNCTION("if(ISBLANK(I58),"""",SUMPRODUCT(REGEXMATCH(A:A, ""(?i)\b"" &amp; I58 &amp; ""\b"") * 1))"),2.0)</f>
        <v>2</v>
      </c>
      <c r="L58" s="3" t="s">
        <v>85</v>
      </c>
      <c r="M58" s="4">
        <v>30.0</v>
      </c>
      <c r="O58" s="3" t="s">
        <v>86</v>
      </c>
    </row>
    <row r="59" ht="14.25" customHeight="1">
      <c r="A59" s="4" t="str">
        <f>IFERROR(__xludf.DUMMYFUNCTION("""COMPUTED_VALUE"""),"1. Microwave")</f>
        <v>1. Microwave</v>
      </c>
      <c r="B59" s="4" t="str">
        <f>IFERROR(__xludf.DUMMYFUNCTION("""COMPUTED_VALUE"""),"1")</f>
        <v>1</v>
      </c>
      <c r="C59" s="5" t="str">
        <f>IFERROR(__xludf.DUMMYFUNCTION("""COMPUTED_VALUE"""),"https://drive.google.com/file/d/1vHbIFzvGvQoYw2VXSkVEABf8xdAW6RDm/view?usp=drivesdk")</f>
        <v>https://drive.google.com/file/d/1vHbIFzvGvQoYw2VXSkVEABf8xdAW6RDm/view?usp=drivesdk</v>
      </c>
      <c r="D59" s="2"/>
      <c r="E59" s="6">
        <v>59.0</v>
      </c>
      <c r="F59" s="2"/>
      <c r="I59" s="3" t="str">
        <f>IFERROR(__xludf.DUMMYFUNCTION("""COMPUTED_VALUE"""),"57. Airbus A320 Neo")</f>
        <v>57. Airbus A320 Neo</v>
      </c>
      <c r="J59" s="4">
        <f>IFERROR(__xludf.DUMMYFUNCTION("if(ISBLANK(I59),"""",SUMPRODUCT(REGEXMATCH(A:A, ""(?i)\b"" &amp; I59 &amp; ""\b"") * 1))"),18.0)</f>
        <v>18</v>
      </c>
      <c r="L59" s="3" t="s">
        <v>15</v>
      </c>
      <c r="M59" s="4">
        <v>28.0</v>
      </c>
      <c r="O59" s="3" t="s">
        <v>31</v>
      </c>
    </row>
    <row r="60" ht="14.25" customHeight="1">
      <c r="A60" s="4" t="str">
        <f>IFERROR(__xludf.DUMMYFUNCTION("""COMPUTED_VALUE"""),"2. Twix")</f>
        <v>2. Twix</v>
      </c>
      <c r="B60" s="4" t="str">
        <f>IFERROR(__xludf.DUMMYFUNCTION("""COMPUTED_VALUE"""),"2")</f>
        <v>2</v>
      </c>
      <c r="C60" s="5" t="str">
        <f>IFERROR(__xludf.DUMMYFUNCTION("""COMPUTED_VALUE"""),"https://drive.google.com/file/d/1hcHcjuqcrzjJecPOKulgttZUYNQB4obD/view?usp=drivesdk")</f>
        <v>https://drive.google.com/file/d/1hcHcjuqcrzjJecPOKulgttZUYNQB4obD/view?usp=drivesdk</v>
      </c>
      <c r="D60" s="2"/>
      <c r="E60" s="6">
        <v>61.0</v>
      </c>
      <c r="F60" s="2"/>
      <c r="I60" s="3" t="str">
        <f>IFERROR(__xludf.DUMMYFUNCTION("""COMPUTED_VALUE"""),"58. Eden")</f>
        <v>58. Eden</v>
      </c>
      <c r="J60" s="4">
        <f>IFERROR(__xludf.DUMMYFUNCTION("if(ISBLANK(I60),"""",SUMPRODUCT(REGEXMATCH(A:A, ""(?i)\b"" &amp; I60 &amp; ""\b"") * 1))"),186.0)</f>
        <v>186</v>
      </c>
      <c r="L60" s="3" t="s">
        <v>87</v>
      </c>
      <c r="M60" s="4">
        <v>28.0</v>
      </c>
      <c r="O60" s="3" t="s">
        <v>88</v>
      </c>
    </row>
    <row r="61" ht="14.25" customHeight="1">
      <c r="A61" s="4" t="str">
        <f>IFERROR(__xludf.DUMMYFUNCTION("""COMPUTED_VALUE"""),"1. Microwave")</f>
        <v>1. Microwave</v>
      </c>
      <c r="B61" s="4" t="str">
        <f>IFERROR(__xludf.DUMMYFUNCTION("""COMPUTED_VALUE"""),"1")</f>
        <v>1</v>
      </c>
      <c r="C61" s="5" t="str">
        <f>IFERROR(__xludf.DUMMYFUNCTION("""COMPUTED_VALUE"""),"https://drive.google.com/file/d/1rKav1ml4BqHtUpFy2S4jJCTo88CJgjNC/view?usp=drivesdk")</f>
        <v>https://drive.google.com/file/d/1rKav1ml4BqHtUpFy2S4jJCTo88CJgjNC/view?usp=drivesdk</v>
      </c>
      <c r="D61" s="2"/>
      <c r="E61" s="6">
        <v>62.0</v>
      </c>
      <c r="F61" s="2"/>
      <c r="I61" s="3" t="str">
        <f>IFERROR(__xludf.DUMMYFUNCTION("""COMPUTED_VALUE"""),"59. Creamsicle")</f>
        <v>59. Creamsicle</v>
      </c>
      <c r="J61" s="4">
        <f>IFERROR(__xludf.DUMMYFUNCTION("if(ISBLANK(I61),"""",SUMPRODUCT(REGEXMATCH(A:A, ""(?i)\b"" &amp; I61 &amp; ""\b"") * 1))"),4.0)</f>
        <v>4</v>
      </c>
      <c r="L61" s="3" t="s">
        <v>56</v>
      </c>
      <c r="M61" s="4">
        <v>27.0</v>
      </c>
      <c r="O61" s="3" t="s">
        <v>89</v>
      </c>
    </row>
    <row r="62" ht="14.25" customHeight="1">
      <c r="A62" s="4" t="str">
        <f>IFERROR(__xludf.DUMMYFUNCTION("""COMPUTED_VALUE"""),"27. Angel, 30. Pepper")</f>
        <v>27. Angel, 30. Pepper</v>
      </c>
      <c r="B62" s="4" t="str">
        <f>IFERROR(__xludf.DUMMYFUNCTION("""COMPUTED_VALUE"""),"27, 30")</f>
        <v>27, 30</v>
      </c>
      <c r="C62" s="5" t="str">
        <f>IFERROR(__xludf.DUMMYFUNCTION("""COMPUTED_VALUE"""),"https://drive.google.com/file/d/1pPNz2B0gzPzKhnZKvvqK65sAE1zhpKnt/view?usp=drivesdk")</f>
        <v>https://drive.google.com/file/d/1pPNz2B0gzPzKhnZKvvqK65sAE1zhpKnt/view?usp=drivesdk</v>
      </c>
      <c r="D62" s="2"/>
      <c r="E62" s="6">
        <v>63.0</v>
      </c>
      <c r="F62" s="2"/>
      <c r="I62" s="3" t="str">
        <f>IFERROR(__xludf.DUMMYFUNCTION("""COMPUTED_VALUE"""),"60. Redacted")</f>
        <v>60. Redacted</v>
      </c>
      <c r="J62" s="4">
        <f>IFERROR(__xludf.DUMMYFUNCTION("if(ISBLANK(I62),"""",SUMPRODUCT(REGEXMATCH(A:A, ""(?i)\b"" &amp; I62 &amp; ""\b"") * 1))"),2.0)</f>
        <v>2</v>
      </c>
      <c r="L62" s="3" t="s">
        <v>90</v>
      </c>
      <c r="M62" s="4">
        <v>27.0</v>
      </c>
      <c r="O62" s="3" t="s">
        <v>45</v>
      </c>
    </row>
    <row r="63" ht="14.25" customHeight="1">
      <c r="A63" s="4" t="str">
        <f>IFERROR(__xludf.DUMMYFUNCTION("""COMPUTED_VALUE"""),"2. Twix")</f>
        <v>2. Twix</v>
      </c>
      <c r="B63" s="4" t="str">
        <f>IFERROR(__xludf.DUMMYFUNCTION("""COMPUTED_VALUE"""),"2")</f>
        <v>2</v>
      </c>
      <c r="C63" s="5" t="str">
        <f>IFERROR(__xludf.DUMMYFUNCTION("""COMPUTED_VALUE"""),"https://drive.google.com/file/d/1ksbyMjWfJmsCE2l9FHjrFmAopTrE_RjY/view?usp=drivesdk")</f>
        <v>https://drive.google.com/file/d/1ksbyMjWfJmsCE2l9FHjrFmAopTrE_RjY/view?usp=drivesdk</v>
      </c>
      <c r="D63" s="2"/>
      <c r="E63" s="6">
        <v>64.0</v>
      </c>
      <c r="F63" s="2"/>
      <c r="I63" s="3" t="str">
        <f>IFERROR(__xludf.DUMMYFUNCTION("""COMPUTED_VALUE"""),"61. Cassie")</f>
        <v>61. Cassie</v>
      </c>
      <c r="J63" s="4">
        <f>IFERROR(__xludf.DUMMYFUNCTION("if(ISBLANK(I63),"""",SUMPRODUCT(REGEXMATCH(A:A, ""(?i)\b"" &amp; I63 &amp; ""\b"") * 1))"),112.0)</f>
        <v>112</v>
      </c>
      <c r="L63" s="3" t="s">
        <v>91</v>
      </c>
      <c r="M63" s="4">
        <v>26.0</v>
      </c>
      <c r="O63" s="3" t="s">
        <v>54</v>
      </c>
    </row>
    <row r="64" ht="14.25" customHeight="1">
      <c r="A64" s="4" t="str">
        <f>IFERROR(__xludf.DUMMYFUNCTION("""COMPUTED_VALUE"""),"2. Twix")</f>
        <v>2. Twix</v>
      </c>
      <c r="B64" s="4" t="str">
        <f>IFERROR(__xludf.DUMMYFUNCTION("""COMPUTED_VALUE"""),"2")</f>
        <v>2</v>
      </c>
      <c r="C64" s="5" t="str">
        <f>IFERROR(__xludf.DUMMYFUNCTION("""COMPUTED_VALUE"""),"https://drive.google.com/file/d/1BBcuxUV6YSTt80ShBofa0bgXwZdFCv5f/view?usp=drivesdk")</f>
        <v>https://drive.google.com/file/d/1BBcuxUV6YSTt80ShBofa0bgXwZdFCv5f/view?usp=drivesdk</v>
      </c>
      <c r="D64" s="2"/>
      <c r="E64" s="6">
        <v>65.0</v>
      </c>
      <c r="F64" s="2"/>
      <c r="I64" s="3" t="str">
        <f>IFERROR(__xludf.DUMMYFUNCTION("""COMPUTED_VALUE"""),"62. Gorygreg")</f>
        <v>62. Gorygreg</v>
      </c>
      <c r="J64" s="4">
        <f>IFERROR(__xludf.DUMMYFUNCTION("if(ISBLANK(I64),"""",SUMPRODUCT(REGEXMATCH(A:A, ""(?i)\b"" &amp; I64 &amp; ""\b"") * 1))"),85.0)</f>
        <v>85</v>
      </c>
      <c r="L64" s="3" t="s">
        <v>92</v>
      </c>
      <c r="M64" s="4">
        <v>26.0</v>
      </c>
      <c r="O64" s="3" t="s">
        <v>93</v>
      </c>
    </row>
    <row r="65" ht="14.25" customHeight="1">
      <c r="A65" s="4" t="str">
        <f>IFERROR(__xludf.DUMMYFUNCTION("""COMPUTED_VALUE"""),"2. Twix")</f>
        <v>2. Twix</v>
      </c>
      <c r="B65" s="4" t="str">
        <f>IFERROR(__xludf.DUMMYFUNCTION("""COMPUTED_VALUE"""),"2")</f>
        <v>2</v>
      </c>
      <c r="C65" s="5" t="str">
        <f>IFERROR(__xludf.DUMMYFUNCTION("""COMPUTED_VALUE"""),"https://drive.google.com/file/d/1kiOv5EZYCqFVFBvKE0rue7aKifA4vVDH/view?usp=drivesdk")</f>
        <v>https://drive.google.com/file/d/1kiOv5EZYCqFVFBvKE0rue7aKifA4vVDH/view?usp=drivesdk</v>
      </c>
      <c r="D65" s="2"/>
      <c r="E65" s="6">
        <v>66.0</v>
      </c>
      <c r="F65" s="2"/>
      <c r="I65" s="3" t="str">
        <f>IFERROR(__xludf.DUMMYFUNCTION("""COMPUTED_VALUE"""),"63. Mr Stinky")</f>
        <v>63. Mr Stinky</v>
      </c>
      <c r="J65" s="4">
        <f>IFERROR(__xludf.DUMMYFUNCTION("if(ISBLANK(I65),"""",SUMPRODUCT(REGEXMATCH(A:A, ""(?i)\b"" &amp; I65 &amp; ""\b"") * 1))"),10.0)</f>
        <v>10</v>
      </c>
      <c r="L65" s="3" t="s">
        <v>94</v>
      </c>
      <c r="M65" s="4">
        <v>26.0</v>
      </c>
      <c r="O65" s="3" t="s">
        <v>77</v>
      </c>
    </row>
    <row r="66" ht="14.25" customHeight="1">
      <c r="A66" s="4" t="str">
        <f>IFERROR(__xludf.DUMMYFUNCTION("""COMPUTED_VALUE"""),"2. Twix")</f>
        <v>2. Twix</v>
      </c>
      <c r="B66" s="4" t="str">
        <f>IFERROR(__xludf.DUMMYFUNCTION("""COMPUTED_VALUE"""),"2")</f>
        <v>2</v>
      </c>
      <c r="C66" s="5" t="str">
        <f>IFERROR(__xludf.DUMMYFUNCTION("""COMPUTED_VALUE"""),"https://drive.google.com/file/d/1yQsaGvDE9vv5Sq48b387BrLrlJO0pwbK/view?usp=drivesdk")</f>
        <v>https://drive.google.com/file/d/1yQsaGvDE9vv5Sq48b387BrLrlJO0pwbK/view?usp=drivesdk</v>
      </c>
      <c r="D66" s="2"/>
      <c r="E66" s="6">
        <v>67.0</v>
      </c>
      <c r="F66" s="2"/>
      <c r="I66" s="3" t="str">
        <f>IFERROR(__xludf.DUMMYFUNCTION("""COMPUTED_VALUE"""),"0. NotACat")</f>
        <v>0. NotACat</v>
      </c>
      <c r="J66" s="4">
        <f>IFERROR(__xludf.DUMMYFUNCTION("if(ISBLANK(I66),"""",SUMPRODUCT(REGEXMATCH(A:A, ""(?i)\b"" &amp; I66 &amp; ""\b"") * 1))"),386.0)</f>
        <v>386</v>
      </c>
      <c r="L66" s="3" t="s">
        <v>64</v>
      </c>
      <c r="M66" s="4">
        <v>25.0</v>
      </c>
      <c r="O66" s="3" t="s">
        <v>95</v>
      </c>
    </row>
    <row r="67" ht="14.25" customHeight="1">
      <c r="A67" s="4" t="str">
        <f>IFERROR(__xludf.DUMMYFUNCTION("""COMPUTED_VALUE"""),"5. Eraser")</f>
        <v>5. Eraser</v>
      </c>
      <c r="B67" s="4" t="str">
        <f>IFERROR(__xludf.DUMMYFUNCTION("""COMPUTED_VALUE"""),"5")</f>
        <v>5</v>
      </c>
      <c r="C67" s="5" t="str">
        <f>IFERROR(__xludf.DUMMYFUNCTION("""COMPUTED_VALUE"""),"https://drive.google.com/file/d/1HZ9IqmYw5b-jSkZ7sAp2eRZfGVeQtEnf/view?usp=drivesdk")</f>
        <v>https://drive.google.com/file/d/1HZ9IqmYw5b-jSkZ7sAp2eRZfGVeQtEnf/view?usp=drivesdk</v>
      </c>
      <c r="D67" s="2"/>
      <c r="E67" s="6">
        <v>68.0</v>
      </c>
      <c r="F67" s="2"/>
      <c r="I67" s="3" t="str">
        <f>IFERROR(__xludf.DUMMYFUNCTION("""COMPUTED_VALUE"""),"64. Ernie")</f>
        <v>64. Ernie</v>
      </c>
      <c r="J67" s="4">
        <f>IFERROR(__xludf.DUMMYFUNCTION("if(ISBLANK(I67),"""",SUMPRODUCT(REGEXMATCH(A:A, ""(?i)\b"" &amp; I67 &amp; ""\b"") * 1))"),37.0)</f>
        <v>37</v>
      </c>
      <c r="L67" s="3" t="s">
        <v>96</v>
      </c>
      <c r="M67" s="4">
        <v>25.0</v>
      </c>
      <c r="O67" s="3" t="s">
        <v>97</v>
      </c>
    </row>
    <row r="68" ht="14.25" customHeight="1">
      <c r="A68" s="4" t="str">
        <f>IFERROR(__xludf.DUMMYFUNCTION("""COMPUTED_VALUE"""),"5. Eraser")</f>
        <v>5. Eraser</v>
      </c>
      <c r="B68" s="4" t="str">
        <f>IFERROR(__xludf.DUMMYFUNCTION("""COMPUTED_VALUE"""),"5")</f>
        <v>5</v>
      </c>
      <c r="C68" s="5" t="str">
        <f>IFERROR(__xludf.DUMMYFUNCTION("""COMPUTED_VALUE"""),"https://drive.google.com/file/d/1FZOzl1M--t1qty8Lb8mKL7shMts_C_DG/view?usp=drivesdk")</f>
        <v>https://drive.google.com/file/d/1FZOzl1M--t1qty8Lb8mKL7shMts_C_DG/view?usp=drivesdk</v>
      </c>
      <c r="D68" s="2"/>
      <c r="E68" s="6">
        <v>69.0</v>
      </c>
      <c r="F68" s="2"/>
      <c r="I68" s="3" t="str">
        <f>IFERROR(__xludf.DUMMYFUNCTION("""COMPUTED_VALUE"""),"65. Tepi")</f>
        <v>65. Tepi</v>
      </c>
      <c r="J68" s="4">
        <f>IFERROR(__xludf.DUMMYFUNCTION("if(ISBLANK(I68),"""",SUMPRODUCT(REGEXMATCH(A:A, ""(?i)\b"" &amp; I68 &amp; ""\b"") * 1))"),34.0)</f>
        <v>34</v>
      </c>
      <c r="L68" s="3" t="s">
        <v>98</v>
      </c>
      <c r="M68" s="4">
        <v>25.0</v>
      </c>
      <c r="O68" s="3" t="s">
        <v>99</v>
      </c>
    </row>
    <row r="69" ht="14.25" customHeight="1">
      <c r="A69" s="4" t="str">
        <f>IFERROR(__xludf.DUMMYFUNCTION("""COMPUTED_VALUE"""),"4. Eggs")</f>
        <v>4. Eggs</v>
      </c>
      <c r="B69" s="4" t="str">
        <f>IFERROR(__xludf.DUMMYFUNCTION("""COMPUTED_VALUE"""),"4")</f>
        <v>4</v>
      </c>
      <c r="C69" s="5" t="str">
        <f>IFERROR(__xludf.DUMMYFUNCTION("""COMPUTED_VALUE"""),"https://drive.google.com/file/d/1kSRBLk_B3qrgEJV8PzPVPSOHN7bwHmrX/view?usp=drivesdk")</f>
        <v>https://drive.google.com/file/d/1kSRBLk_B3qrgEJV8PzPVPSOHN7bwHmrX/view?usp=drivesdk</v>
      </c>
      <c r="D69" s="2"/>
      <c r="E69" s="6">
        <v>70.0</v>
      </c>
      <c r="F69" s="2"/>
      <c r="I69" s="3" t="str">
        <f>IFERROR(__xludf.DUMMYFUNCTION("""COMPUTED_VALUE"""),"66. Toblerone")</f>
        <v>66. Toblerone</v>
      </c>
      <c r="J69" s="4">
        <f>IFERROR(__xludf.DUMMYFUNCTION("if(ISBLANK(I69),"""",SUMPRODUCT(REGEXMATCH(A:A, ""(?i)\b"" &amp; I69 &amp; ""\b"") * 1))"),19.0)</f>
        <v>19</v>
      </c>
      <c r="L69" s="3" t="s">
        <v>100</v>
      </c>
      <c r="M69" s="4">
        <v>24.0</v>
      </c>
      <c r="O69" s="3" t="s">
        <v>101</v>
      </c>
    </row>
    <row r="70" ht="14.25" customHeight="1">
      <c r="A70" s="4" t="str">
        <f>IFERROR(__xludf.DUMMYFUNCTION("""COMPUTED_VALUE"""),"1. Microwave")</f>
        <v>1. Microwave</v>
      </c>
      <c r="B70" s="4" t="str">
        <f>IFERROR(__xludf.DUMMYFUNCTION("""COMPUTED_VALUE"""),"1")</f>
        <v>1</v>
      </c>
      <c r="C70" s="5" t="str">
        <f>IFERROR(__xludf.DUMMYFUNCTION("""COMPUTED_VALUE"""),"https://drive.google.com/file/d/1xg6ar74QEOtFWOzRKkzb7wNgzPtukHMH/view?usp=drivesdk")</f>
        <v>https://drive.google.com/file/d/1xg6ar74QEOtFWOzRKkzb7wNgzPtukHMH/view?usp=drivesdk</v>
      </c>
      <c r="D70" s="2"/>
      <c r="E70" s="6">
        <v>71.0</v>
      </c>
      <c r="F70" s="2"/>
      <c r="I70" s="3" t="str">
        <f>IFERROR(__xludf.DUMMYFUNCTION("""COMPUTED_VALUE"""),"67. Waffles")</f>
        <v>67. Waffles</v>
      </c>
      <c r="J70" s="4">
        <f>IFERROR(__xludf.DUMMYFUNCTION("if(ISBLANK(I70),"""",SUMPRODUCT(REGEXMATCH(A:A, ""(?i)\b"" &amp; I70 &amp; ""\b"") * 1))"),17.0)</f>
        <v>17</v>
      </c>
      <c r="L70" s="3" t="s">
        <v>102</v>
      </c>
      <c r="M70" s="4">
        <v>24.0</v>
      </c>
      <c r="O70" s="3" t="s">
        <v>103</v>
      </c>
    </row>
    <row r="71" ht="14.25" customHeight="1">
      <c r="A71" s="4" t="str">
        <f>IFERROR(__xludf.DUMMYFUNCTION("""COMPUTED_VALUE"""),"1. Microwave")</f>
        <v>1. Microwave</v>
      </c>
      <c r="B71" s="4" t="str">
        <f>IFERROR(__xludf.DUMMYFUNCTION("""COMPUTED_VALUE"""),"1")</f>
        <v>1</v>
      </c>
      <c r="C71" s="5" t="str">
        <f>IFERROR(__xludf.DUMMYFUNCTION("""COMPUTED_VALUE"""),"https://drive.google.com/file/d/1nU2Sqj1FUr_7-5sUOAB_aMFdLy1gxUou/view?usp=drivesdk")</f>
        <v>https://drive.google.com/file/d/1nU2Sqj1FUr_7-5sUOAB_aMFdLy1gxUou/view?usp=drivesdk</v>
      </c>
      <c r="D71" s="2"/>
      <c r="E71" s="6">
        <v>72.0</v>
      </c>
      <c r="F71" s="2"/>
      <c r="I71" s="3" t="str">
        <f>IFERROR(__xludf.DUMMYFUNCTION("""COMPUTED_VALUE"""),"68. Unnamed Noir Child")</f>
        <v>68. Unnamed Noir Child</v>
      </c>
      <c r="J71" s="4">
        <f>IFERROR(__xludf.DUMMYFUNCTION("if(ISBLANK(I71),"""",SUMPRODUCT(REGEXMATCH(A:A, ""(?i)\b"" &amp; I71 &amp; ""\b"") * 1))"),16.0)</f>
        <v>16</v>
      </c>
      <c r="L71" s="3" t="s">
        <v>104</v>
      </c>
      <c r="M71" s="4">
        <v>24.0</v>
      </c>
      <c r="O71" s="3" t="s">
        <v>105</v>
      </c>
    </row>
    <row r="72" ht="14.25" customHeight="1">
      <c r="A72" s="4" t="str">
        <f>IFERROR(__xludf.DUMMYFUNCTION("""COMPUTED_VALUE"""),"1. Microwave")</f>
        <v>1. Microwave</v>
      </c>
      <c r="B72" s="4" t="str">
        <f>IFERROR(__xludf.DUMMYFUNCTION("""COMPUTED_VALUE"""),"1")</f>
        <v>1</v>
      </c>
      <c r="C72" s="5" t="str">
        <f>IFERROR(__xludf.DUMMYFUNCTION("""COMPUTED_VALUE"""),"https://drive.google.com/file/d/14n2W9gAao_ROCAqUWixtwt9ADq0sof7O/view?usp=drivesdk")</f>
        <v>https://drive.google.com/file/d/14n2W9gAao_ROCAqUWixtwt9ADq0sof7O/view?usp=drivesdk</v>
      </c>
      <c r="D72" s="2"/>
      <c r="E72" s="6">
        <v>73.0</v>
      </c>
      <c r="F72" s="2"/>
      <c r="I72" s="3" t="str">
        <f>IFERROR(__xludf.DUMMYFUNCTION("""COMPUTED_VALUE"""),"69. Kinder")</f>
        <v>69. Kinder</v>
      </c>
      <c r="J72" s="4">
        <f>IFERROR(__xludf.DUMMYFUNCTION("if(ISBLANK(I72),"""",SUMPRODUCT(REGEXMATCH(A:A, ""(?i)\b"" &amp; I72 &amp; ""\b"") * 1))"),6.0)</f>
        <v>6</v>
      </c>
      <c r="L72" s="3" t="s">
        <v>106</v>
      </c>
      <c r="M72" s="4">
        <v>20.0</v>
      </c>
      <c r="O72" s="3" t="s">
        <v>107</v>
      </c>
    </row>
    <row r="73" ht="14.25" customHeight="1">
      <c r="A73" s="4" t="str">
        <f>IFERROR(__xludf.DUMMYFUNCTION("""COMPUTED_VALUE"""),"1. Microwave")</f>
        <v>1. Microwave</v>
      </c>
      <c r="B73" s="4" t="str">
        <f>IFERROR(__xludf.DUMMYFUNCTION("""COMPUTED_VALUE"""),"1")</f>
        <v>1</v>
      </c>
      <c r="C73" s="5" t="str">
        <f>IFERROR(__xludf.DUMMYFUNCTION("""COMPUTED_VALUE"""),"https://drive.google.com/file/d/1NNq8fhWoawUaVaraqEwTWcdYjCKyKqne/view?usp=drivesdk")</f>
        <v>https://drive.google.com/file/d/1NNq8fhWoawUaVaraqEwTWcdYjCKyKqne/view?usp=drivesdk</v>
      </c>
      <c r="D73" s="2"/>
      <c r="E73" s="6">
        <v>74.0</v>
      </c>
      <c r="F73" s="2"/>
      <c r="I73" s="3" t="str">
        <f>IFERROR(__xludf.DUMMYFUNCTION("""COMPUTED_VALUE"""),"70. Enchilada")</f>
        <v>70. Enchilada</v>
      </c>
      <c r="J73" s="4">
        <f>IFERROR(__xludf.DUMMYFUNCTION("if(ISBLANK(I73),"""",SUMPRODUCT(REGEXMATCH(A:A, ""(?i)\b"" &amp; I73 &amp; ""\b"") * 1))"),1.0)</f>
        <v>1</v>
      </c>
      <c r="L73" s="3" t="s">
        <v>108</v>
      </c>
      <c r="M73" s="4">
        <v>20.0</v>
      </c>
      <c r="O73" s="3" t="s">
        <v>109</v>
      </c>
    </row>
    <row r="74" ht="14.25" customHeight="1">
      <c r="A74" s="4" t="str">
        <f>IFERROR(__xludf.DUMMYFUNCTION("""COMPUTED_VALUE"""),"2. Twix")</f>
        <v>2. Twix</v>
      </c>
      <c r="B74" s="4" t="str">
        <f>IFERROR(__xludf.DUMMYFUNCTION("""COMPUTED_VALUE"""),"2")</f>
        <v>2</v>
      </c>
      <c r="C74" s="5" t="str">
        <f>IFERROR(__xludf.DUMMYFUNCTION("""COMPUTED_VALUE"""),"https://drive.google.com/file/d/1ORCbq4YSHL3ywcHu0tIBIzuT1B_eosql/view?usp=drivesdk")</f>
        <v>https://drive.google.com/file/d/1ORCbq4YSHL3ywcHu0tIBIzuT1B_eosql/view?usp=drivesdk</v>
      </c>
      <c r="D74" s="2"/>
      <c r="E74" s="6">
        <v>75.0</v>
      </c>
      <c r="F74" s="2"/>
      <c r="I74" s="3" t="str">
        <f>IFERROR(__xludf.DUMMYFUNCTION("""COMPUTED_VALUE"""),"71. Robin")</f>
        <v>71. Robin</v>
      </c>
      <c r="J74" s="4">
        <f>IFERROR(__xludf.DUMMYFUNCTION("if(ISBLANK(I74),"""",SUMPRODUCT(REGEXMATCH(A:A, ""(?i)\b"" &amp; I74 &amp; ""\b"") * 1))"),11.0)</f>
        <v>11</v>
      </c>
      <c r="L74" s="3" t="s">
        <v>110</v>
      </c>
      <c r="M74" s="4">
        <v>20.0</v>
      </c>
      <c r="O74" s="3" t="s">
        <v>55</v>
      </c>
    </row>
    <row r="75" ht="14.25" customHeight="1">
      <c r="A75" s="4" t="str">
        <f>IFERROR(__xludf.DUMMYFUNCTION("""COMPUTED_VALUE"""),"2. Twix, 5. Eraser")</f>
        <v>2. Twix, 5. Eraser</v>
      </c>
      <c r="B75" s="4" t="str">
        <f>IFERROR(__xludf.DUMMYFUNCTION("""COMPUTED_VALUE"""),"2, 5")</f>
        <v>2, 5</v>
      </c>
      <c r="C75" s="5" t="str">
        <f>IFERROR(__xludf.DUMMYFUNCTION("""COMPUTED_VALUE"""),"https://drive.google.com/file/d/1zPVneTGXemwB66ly_XwbzLvSHuUjIwsg/view?usp=drivesdk")</f>
        <v>https://drive.google.com/file/d/1zPVneTGXemwB66ly_XwbzLvSHuUjIwsg/view?usp=drivesdk</v>
      </c>
      <c r="D75" s="2"/>
      <c r="E75" s="6">
        <v>76.0</v>
      </c>
      <c r="F75" s="2"/>
      <c r="I75" s="3" t="str">
        <f>IFERROR(__xludf.DUMMYFUNCTION("""COMPUTED_VALUE"""),"72. Mr Sir")</f>
        <v>72. Mr Sir</v>
      </c>
      <c r="J75" s="4">
        <f>IFERROR(__xludf.DUMMYFUNCTION("if(ISBLANK(I75),"""",SUMPRODUCT(REGEXMATCH(A:A, ""(?i)\b"" &amp; I75 &amp; ""\b"") * 1))"),1.0)</f>
        <v>1</v>
      </c>
      <c r="L75" s="3" t="s">
        <v>97</v>
      </c>
      <c r="M75" s="4">
        <v>19.0</v>
      </c>
      <c r="O75" s="3" t="s">
        <v>111</v>
      </c>
    </row>
    <row r="76" ht="14.25" customHeight="1">
      <c r="A76" s="4" t="str">
        <f>IFERROR(__xludf.DUMMYFUNCTION("""COMPUTED_VALUE"""),"4. Eggs, 5. Eraser")</f>
        <v>4. Eggs, 5. Eraser</v>
      </c>
      <c r="B76" s="4" t="str">
        <f>IFERROR(__xludf.DUMMYFUNCTION("""COMPUTED_VALUE"""),"4, 5")</f>
        <v>4, 5</v>
      </c>
      <c r="C76" s="5" t="str">
        <f>IFERROR(__xludf.DUMMYFUNCTION("""COMPUTED_VALUE"""),"https://drive.google.com/file/d/14iDfHvlLitI6Yk_O4D3I2a2t2B1Kge0R/view?usp=drivesdk")</f>
        <v>https://drive.google.com/file/d/14iDfHvlLitI6Yk_O4D3I2a2t2B1Kge0R/view?usp=drivesdk</v>
      </c>
      <c r="D76" s="2"/>
      <c r="E76" s="6">
        <v>77.0</v>
      </c>
      <c r="F76" s="2"/>
      <c r="I76" s="3" t="str">
        <f>IFERROR(__xludf.DUMMYFUNCTION("""COMPUTED_VALUE"""),"73. Coronavirus")</f>
        <v>73. Coronavirus</v>
      </c>
      <c r="J76" s="4">
        <f>IFERROR(__xludf.DUMMYFUNCTION("if(ISBLANK(I76),"""",SUMPRODUCT(REGEXMATCH(A:A, ""(?i)\b"" &amp; I76 &amp; ""\b"") * 1))"),80.0)</f>
        <v>80</v>
      </c>
      <c r="L76" s="3" t="s">
        <v>112</v>
      </c>
      <c r="M76" s="4">
        <v>19.0</v>
      </c>
      <c r="O76" s="3" t="s">
        <v>112</v>
      </c>
    </row>
    <row r="77" ht="14.25" customHeight="1">
      <c r="A77" s="4" t="str">
        <f>IFERROR(__xludf.DUMMYFUNCTION("""COMPUTED_VALUE"""),"2. Twix")</f>
        <v>2. Twix</v>
      </c>
      <c r="B77" s="4" t="str">
        <f>IFERROR(__xludf.DUMMYFUNCTION("""COMPUTED_VALUE"""),"2")</f>
        <v>2</v>
      </c>
      <c r="C77" s="5" t="str">
        <f>IFERROR(__xludf.DUMMYFUNCTION("""COMPUTED_VALUE"""),"https://drive.google.com/file/d/13VLoRZz7VwFeDwSmyRQNmDCs_MrJVKBI/view?usp=drivesdk")</f>
        <v>https://drive.google.com/file/d/13VLoRZz7VwFeDwSmyRQNmDCs_MrJVKBI/view?usp=drivesdk</v>
      </c>
      <c r="D77" s="2"/>
      <c r="E77" s="6">
        <v>78.0</v>
      </c>
      <c r="F77" s="2"/>
      <c r="I77" s="3" t="str">
        <f>IFERROR(__xludf.DUMMYFUNCTION("""COMPUTED_VALUE"""),"75. Musketeer")</f>
        <v>75. Musketeer</v>
      </c>
      <c r="J77" s="4">
        <f>IFERROR(__xludf.DUMMYFUNCTION("if(ISBLANK(I77),"""",SUMPRODUCT(REGEXMATCH(A:A, ""(?i)\b"" &amp; I77 &amp; ""\b"") * 1))"),8.0)</f>
        <v>8</v>
      </c>
      <c r="L77" s="3" t="s">
        <v>113</v>
      </c>
      <c r="M77" s="4">
        <v>19.0</v>
      </c>
      <c r="O77" s="3" t="s">
        <v>114</v>
      </c>
    </row>
    <row r="78" ht="14.25" customHeight="1">
      <c r="A78" s="4" t="str">
        <f>IFERROR(__xludf.DUMMYFUNCTION("""COMPUTED_VALUE"""),"2. Twix")</f>
        <v>2. Twix</v>
      </c>
      <c r="B78" s="4" t="str">
        <f>IFERROR(__xludf.DUMMYFUNCTION("""COMPUTED_VALUE"""),"2")</f>
        <v>2</v>
      </c>
      <c r="C78" s="5" t="str">
        <f>IFERROR(__xludf.DUMMYFUNCTION("""COMPUTED_VALUE"""),"https://drive.google.com/file/d/1V6VNg7xExLfLS3TBxb5tKapPJPv8ZHW0/view?usp=drivesdk")</f>
        <v>https://drive.google.com/file/d/1V6VNg7xExLfLS3TBxb5tKapPJPv8ZHW0/view?usp=drivesdk</v>
      </c>
      <c r="D78" s="2"/>
      <c r="E78" s="6">
        <v>79.0</v>
      </c>
      <c r="F78" s="2"/>
      <c r="I78" s="3" t="str">
        <f>IFERROR(__xludf.DUMMYFUNCTION("""COMPUTED_VALUE"""),"76. Eezard")</f>
        <v>76. Eezard</v>
      </c>
      <c r="J78" s="4">
        <f>IFERROR(__xludf.DUMMYFUNCTION("if(ISBLANK(I78),"""",SUMPRODUCT(REGEXMATCH(A:A, ""(?i)\b"" &amp; I78 &amp; ""\b"") * 1))"),19.0)</f>
        <v>19</v>
      </c>
      <c r="L78" s="3" t="s">
        <v>115</v>
      </c>
      <c r="M78" s="4">
        <v>19.0</v>
      </c>
      <c r="O78" s="3" t="s">
        <v>100</v>
      </c>
    </row>
    <row r="79" ht="14.25" customHeight="1">
      <c r="A79" s="4" t="str">
        <f>IFERROR(__xludf.DUMMYFUNCTION("""COMPUTED_VALUE"""),"2. Twix")</f>
        <v>2. Twix</v>
      </c>
      <c r="B79" s="4" t="str">
        <f>IFERROR(__xludf.DUMMYFUNCTION("""COMPUTED_VALUE"""),"2")</f>
        <v>2</v>
      </c>
      <c r="C79" s="5" t="str">
        <f>IFERROR(__xludf.DUMMYFUNCTION("""COMPUTED_VALUE"""),"https://drive.google.com/file/d/191LIuWGwoKAviBnWmzRxMBqCZj_NCTyS/view?usp=drivesdk")</f>
        <v>https://drive.google.com/file/d/191LIuWGwoKAviBnWmzRxMBqCZj_NCTyS/view?usp=drivesdk</v>
      </c>
      <c r="D79" s="2"/>
      <c r="E79" s="6">
        <v>80.0</v>
      </c>
      <c r="F79" s="2"/>
      <c r="I79" s="3" t="str">
        <f>IFERROR(__xludf.DUMMYFUNCTION("""COMPUTED_VALUE"""),"77. Ooni")</f>
        <v>77. Ooni</v>
      </c>
      <c r="J79" s="4">
        <f>IFERROR(__xludf.DUMMYFUNCTION("if(ISBLANK(I79),"""",SUMPRODUCT(REGEXMATCH(A:A, ""(?i)\b"" &amp; I79 &amp; ""\b"") * 1))"),5.0)</f>
        <v>5</v>
      </c>
      <c r="L79" s="3" t="s">
        <v>116</v>
      </c>
      <c r="M79" s="4">
        <v>19.0</v>
      </c>
      <c r="O79" s="3" t="s">
        <v>117</v>
      </c>
    </row>
    <row r="80" ht="14.25" customHeight="1">
      <c r="A80" s="4" t="str">
        <f>IFERROR(__xludf.DUMMYFUNCTION("""COMPUTED_VALUE"""),"1. Microwave")</f>
        <v>1. Microwave</v>
      </c>
      <c r="B80" s="4" t="str">
        <f>IFERROR(__xludf.DUMMYFUNCTION("""COMPUTED_VALUE"""),"1")</f>
        <v>1</v>
      </c>
      <c r="C80" s="5" t="str">
        <f>IFERROR(__xludf.DUMMYFUNCTION("""COMPUTED_VALUE"""),"https://drive.google.com/file/d/1c7ODWusKm6KAnFs-mBA7XCkw4AF87apE/view?usp=drivesdk")</f>
        <v>https://drive.google.com/file/d/1c7ODWusKm6KAnFs-mBA7XCkw4AF87apE/view?usp=drivesdk</v>
      </c>
      <c r="D80" s="2"/>
      <c r="E80" s="6">
        <v>81.0</v>
      </c>
      <c r="F80" s="2"/>
      <c r="I80" s="3" t="str">
        <f>IFERROR(__xludf.DUMMYFUNCTION("""COMPUTED_VALUE"""),"78. Ed Sheeran")</f>
        <v>78. Ed Sheeran</v>
      </c>
      <c r="J80" s="4">
        <f>IFERROR(__xludf.DUMMYFUNCTION("if(ISBLANK(I80),"""",SUMPRODUCT(REGEXMATCH(A:A, ""(?i)\b"" &amp; I80 &amp; ""\b"") * 1))"),24.0)</f>
        <v>24</v>
      </c>
      <c r="L80" s="3" t="s">
        <v>86</v>
      </c>
      <c r="M80" s="4">
        <v>18.0</v>
      </c>
      <c r="O80" s="3" t="s">
        <v>63</v>
      </c>
    </row>
    <row r="81" ht="14.25" customHeight="1">
      <c r="A81" s="4" t="str">
        <f>IFERROR(__xludf.DUMMYFUNCTION("""COMPUTED_VALUE"""),"6. Snickers")</f>
        <v>6. Snickers</v>
      </c>
      <c r="B81" s="4" t="str">
        <f>IFERROR(__xludf.DUMMYFUNCTION("""COMPUTED_VALUE"""),"6")</f>
        <v>6</v>
      </c>
      <c r="C81" s="5" t="str">
        <f>IFERROR(__xludf.DUMMYFUNCTION("""COMPUTED_VALUE"""),"https://drive.google.com/file/d/107kYG3WjtBEIrXGM8juur3SnzmYc0Tz7/view?usp=drivesdk")</f>
        <v>https://drive.google.com/file/d/107kYG3WjtBEIrXGM8juur3SnzmYc0Tz7/view?usp=drivesdk</v>
      </c>
      <c r="D81" s="2"/>
      <c r="E81" s="6">
        <v>82.0</v>
      </c>
      <c r="F81" s="2"/>
      <c r="I81" s="3" t="str">
        <f>IFERROR(__xludf.DUMMYFUNCTION("""COMPUTED_VALUE"""),"79. Leaflet")</f>
        <v>79. Leaflet</v>
      </c>
      <c r="J81" s="4">
        <f>IFERROR(__xludf.DUMMYFUNCTION("if(ISBLANK(I81),"""",SUMPRODUCT(REGEXMATCH(A:A, ""(?i)\b"" &amp; I81 &amp; ""\b"") * 1))"),11.0)</f>
        <v>11</v>
      </c>
      <c r="L81" s="3" t="s">
        <v>99</v>
      </c>
      <c r="M81" s="4">
        <v>17.0</v>
      </c>
      <c r="O81" s="3" t="s">
        <v>118</v>
      </c>
    </row>
    <row r="82" ht="14.25" customHeight="1">
      <c r="A82" s="4" t="str">
        <f>IFERROR(__xludf.DUMMYFUNCTION("""COMPUTED_VALUE"""),"1. Microwave")</f>
        <v>1. Microwave</v>
      </c>
      <c r="B82" s="4" t="str">
        <f>IFERROR(__xludf.DUMMYFUNCTION("""COMPUTED_VALUE"""),"1")</f>
        <v>1</v>
      </c>
      <c r="C82" s="5" t="str">
        <f>IFERROR(__xludf.DUMMYFUNCTION("""COMPUTED_VALUE"""),"https://drive.google.com/file/d/1tpKVnw9ktDtP3TlsDWDwtPPWqseqO1cF/view?usp=drivesdk")</f>
        <v>https://drive.google.com/file/d/1tpKVnw9ktDtP3TlsDWDwtPPWqseqO1cF/view?usp=drivesdk</v>
      </c>
      <c r="D82" s="2"/>
      <c r="E82" s="6">
        <v>83.0</v>
      </c>
      <c r="F82" s="2"/>
      <c r="I82" s="3" t="str">
        <f>IFERROR(__xludf.DUMMYFUNCTION("""COMPUTED_VALUE"""),"80. Atzi")</f>
        <v>80. Atzi</v>
      </c>
      <c r="J82" s="4">
        <f>IFERROR(__xludf.DUMMYFUNCTION("if(ISBLANK(I82),"""",SUMPRODUCT(REGEXMATCH(A:A, ""(?i)\b"" &amp; I82 &amp; ""\b"") * 1))"),65.0)</f>
        <v>65</v>
      </c>
      <c r="L82" s="3" t="s">
        <v>101</v>
      </c>
      <c r="M82" s="4">
        <v>16.0</v>
      </c>
      <c r="O82" s="3" t="s">
        <v>119</v>
      </c>
    </row>
    <row r="83" ht="14.25" customHeight="1">
      <c r="A83" s="4" t="str">
        <f>IFERROR(__xludf.DUMMYFUNCTION("""COMPUTED_VALUE"""),"1. Microwave")</f>
        <v>1. Microwave</v>
      </c>
      <c r="B83" s="4" t="str">
        <f>IFERROR(__xludf.DUMMYFUNCTION("""COMPUTED_VALUE"""),"1")</f>
        <v>1</v>
      </c>
      <c r="C83" s="5" t="str">
        <f>IFERROR(__xludf.DUMMYFUNCTION("""COMPUTED_VALUE"""),"https://drive.google.com/file/d/1djY9HZEpfbzQwDjj95YjFDs_-ZPi8biJ/view?usp=drivesdk")</f>
        <v>https://drive.google.com/file/d/1djY9HZEpfbzQwDjj95YjFDs_-ZPi8biJ/view?usp=drivesdk</v>
      </c>
      <c r="D83" s="2"/>
      <c r="E83" s="6">
        <v>84.0</v>
      </c>
      <c r="F83" s="2"/>
      <c r="I83" s="3" t="str">
        <f>IFERROR(__xludf.DUMMYFUNCTION("""COMPUTED_VALUE"""),"81. Ehecatl")</f>
        <v>81. Ehecatl</v>
      </c>
      <c r="J83" s="4">
        <f>IFERROR(__xludf.DUMMYFUNCTION("if(ISBLANK(I83),"""",SUMPRODUCT(REGEXMATCH(A:A, ""(?i)\b"" &amp; I83 &amp; ""\b"") * 1))"),4.0)</f>
        <v>4</v>
      </c>
      <c r="L83" s="3" t="s">
        <v>120</v>
      </c>
      <c r="M83" s="4">
        <v>16.0</v>
      </c>
      <c r="O83" s="3" t="s">
        <v>121</v>
      </c>
    </row>
    <row r="84" ht="14.25" customHeight="1">
      <c r="A84" s="4" t="str">
        <f>IFERROR(__xludf.DUMMYFUNCTION("""COMPUTED_VALUE"""),"1. Microwave")</f>
        <v>1. Microwave</v>
      </c>
      <c r="B84" s="4" t="str">
        <f>IFERROR(__xludf.DUMMYFUNCTION("""COMPUTED_VALUE"""),"1")</f>
        <v>1</v>
      </c>
      <c r="C84" s="5" t="str">
        <f>IFERROR(__xludf.DUMMYFUNCTION("""COMPUTED_VALUE"""),"https://drive.google.com/file/d/1wFOz_Piw5lnpUWHIpw4eo2wXGqE9IBy5/view?usp=drivesdk")</f>
        <v>https://drive.google.com/file/d/1wFOz_Piw5lnpUWHIpw4eo2wXGqE9IBy5/view?usp=drivesdk</v>
      </c>
      <c r="D84" s="2"/>
      <c r="E84" s="6">
        <v>85.0</v>
      </c>
      <c r="F84" s="2"/>
      <c r="I84" s="3" t="str">
        <f>IFERROR(__xludf.DUMMYFUNCTION("""COMPUTED_VALUE"""),"82. Tlatecuini")</f>
        <v>82. Tlatecuini</v>
      </c>
      <c r="J84" s="4">
        <f>IFERROR(__xludf.DUMMYFUNCTION("if(ISBLANK(I84),"""",SUMPRODUCT(REGEXMATCH(A:A, ""(?i)\b"" &amp; I84 &amp; ""\b"") * 1))"),3.0)</f>
        <v>3</v>
      </c>
      <c r="L84" s="3" t="s">
        <v>78</v>
      </c>
      <c r="M84" s="4">
        <v>15.0</v>
      </c>
      <c r="O84" s="3" t="s">
        <v>122</v>
      </c>
    </row>
    <row r="85" ht="14.25" customHeight="1">
      <c r="A85" s="4" t="str">
        <f>IFERROR(__xludf.DUMMYFUNCTION("""COMPUTED_VALUE"""),"1. Microwave")</f>
        <v>1. Microwave</v>
      </c>
      <c r="B85" s="4" t="str">
        <f>IFERROR(__xludf.DUMMYFUNCTION("""COMPUTED_VALUE"""),"1")</f>
        <v>1</v>
      </c>
      <c r="C85" s="5" t="str">
        <f>IFERROR(__xludf.DUMMYFUNCTION("""COMPUTED_VALUE"""),"https://drive.google.com/file/d/15dN4L9wlo2oeywlDbAawAANSWsJ5ZLFo/view?usp=drivesdk")</f>
        <v>https://drive.google.com/file/d/15dN4L9wlo2oeywlDbAawAANSWsJ5ZLFo/view?usp=drivesdk</v>
      </c>
      <c r="D85" s="2"/>
      <c r="E85" s="6">
        <v>89.0</v>
      </c>
      <c r="F85" s="2"/>
      <c r="I85" s="3" t="str">
        <f>IFERROR(__xludf.DUMMYFUNCTION("""COMPUTED_VALUE"""),"83. Mixtli")</f>
        <v>83. Mixtli</v>
      </c>
      <c r="J85" s="4">
        <f>IFERROR(__xludf.DUMMYFUNCTION("if(ISBLANK(I85),"""",SUMPRODUCT(REGEXMATCH(A:A, ""(?i)\b"" &amp; I85 &amp; ""\b"") * 1))"),4.0)</f>
        <v>4</v>
      </c>
      <c r="L85" s="3" t="s">
        <v>123</v>
      </c>
      <c r="M85" s="4">
        <v>14.0</v>
      </c>
      <c r="O85" s="3" t="s">
        <v>124</v>
      </c>
    </row>
    <row r="86" ht="14.25" customHeight="1">
      <c r="A86" s="4" t="str">
        <f>IFERROR(__xludf.DUMMYFUNCTION("""COMPUTED_VALUE"""),"1. Microwave")</f>
        <v>1. Microwave</v>
      </c>
      <c r="B86" s="4" t="str">
        <f>IFERROR(__xludf.DUMMYFUNCTION("""COMPUTED_VALUE"""),"1")</f>
        <v>1</v>
      </c>
      <c r="C86" s="5" t="str">
        <f>IFERROR(__xludf.DUMMYFUNCTION("""COMPUTED_VALUE"""),"https://drive.google.com/file/d/1yxp-ayI59RkTKuRcNLw7rulKtQJ9x_xT/view?usp=drivesdk")</f>
        <v>https://drive.google.com/file/d/1yxp-ayI59RkTKuRcNLw7rulKtQJ9x_xT/view?usp=drivesdk</v>
      </c>
      <c r="D86" s="2"/>
      <c r="E86" s="6">
        <v>91.0</v>
      </c>
      <c r="F86" s="2"/>
      <c r="I86" s="3" t="str">
        <f>IFERROR(__xludf.DUMMYFUNCTION("""COMPUTED_VALUE"""),"84. Maddox")</f>
        <v>84. Maddox</v>
      </c>
      <c r="J86" s="4">
        <f>IFERROR(__xludf.DUMMYFUNCTION("if(ISBLANK(I86),"""",SUMPRODUCT(REGEXMATCH(A:A, ""(?i)\b"" &amp; I86 &amp; ""\b"") * 1))"),13.0)</f>
        <v>13</v>
      </c>
      <c r="L86" s="3" t="s">
        <v>125</v>
      </c>
      <c r="M86" s="4">
        <v>14.0</v>
      </c>
      <c r="O86" s="3" t="s">
        <v>96</v>
      </c>
    </row>
    <row r="87" ht="14.25" customHeight="1">
      <c r="A87" s="4" t="str">
        <f>IFERROR(__xludf.DUMMYFUNCTION("""COMPUTED_VALUE"""),"14. Pencil 2")</f>
        <v>14. Pencil 2</v>
      </c>
      <c r="B87" s="4" t="str">
        <f>IFERROR(__xludf.DUMMYFUNCTION("""COMPUTED_VALUE"""),"14")</f>
        <v>14</v>
      </c>
      <c r="C87" s="5" t="str">
        <f>IFERROR(__xludf.DUMMYFUNCTION("""COMPUTED_VALUE"""),"https://drive.google.com/file/d/11PeY1d-1EBRFHfHKpa4gSlUKR4Sp9IR-/view?usp=drivesdk")</f>
        <v>https://drive.google.com/file/d/11PeY1d-1EBRFHfHKpa4gSlUKR4Sp9IR-/view?usp=drivesdk</v>
      </c>
      <c r="D87" s="2"/>
      <c r="E87" s="6">
        <v>92.0</v>
      </c>
      <c r="F87" s="2"/>
      <c r="I87" s="3" t="str">
        <f>IFERROR(__xludf.DUMMYFUNCTION("""COMPUTED_VALUE"""),"85. Pallas")</f>
        <v>85. Pallas</v>
      </c>
      <c r="J87" s="4">
        <f>IFERROR(__xludf.DUMMYFUNCTION("if(ISBLANK(I87),"""",SUMPRODUCT(REGEXMATCH(A:A, ""(?i)\b"" &amp; I87 &amp; ""\b"") * 1))"),9.0)</f>
        <v>9</v>
      </c>
      <c r="L87" s="3" t="s">
        <v>126</v>
      </c>
      <c r="M87" s="4">
        <v>14.0</v>
      </c>
      <c r="O87" s="3" t="s">
        <v>91</v>
      </c>
    </row>
    <row r="88" ht="14.25" customHeight="1">
      <c r="A88" s="4" t="str">
        <f>IFERROR(__xludf.DUMMYFUNCTION("""COMPUTED_VALUE"""),"6. Snickers")</f>
        <v>6. Snickers</v>
      </c>
      <c r="B88" s="4" t="str">
        <f>IFERROR(__xludf.DUMMYFUNCTION("""COMPUTED_VALUE"""),"6")</f>
        <v>6</v>
      </c>
      <c r="C88" s="5" t="str">
        <f>IFERROR(__xludf.DUMMYFUNCTION("""COMPUTED_VALUE"""),"https://drive.google.com/file/d/1WtjxEDxYxWUe85z_o-IEY2lvmk3TkGTp/view?usp=drivesdk")</f>
        <v>https://drive.google.com/file/d/1WtjxEDxYxWUe85z_o-IEY2lvmk3TkGTp/view?usp=drivesdk</v>
      </c>
      <c r="D88" s="2"/>
      <c r="E88" s="6">
        <v>93.0</v>
      </c>
      <c r="F88" s="2"/>
      <c r="I88" s="3" t="str">
        <f>IFERROR(__xludf.DUMMYFUNCTION("""COMPUTED_VALUE"""),"86. Honda")</f>
        <v>86. Honda</v>
      </c>
      <c r="J88" s="4">
        <f>IFERROR(__xludf.DUMMYFUNCTION("if(ISBLANK(I88),"""",SUMPRODUCT(REGEXMATCH(A:A, ""(?i)\b"" &amp; I88 &amp; ""\b"") * 1))"),25.0)</f>
        <v>25</v>
      </c>
      <c r="L88" s="3" t="s">
        <v>75</v>
      </c>
      <c r="M88" s="4">
        <v>13.0</v>
      </c>
      <c r="O88" s="3" t="s">
        <v>49</v>
      </c>
    </row>
    <row r="89" ht="14.25" customHeight="1">
      <c r="A89" s="4" t="str">
        <f>IFERROR(__xludf.DUMMYFUNCTION("""COMPUTED_VALUE"""),"6. Snickers")</f>
        <v>6. Snickers</v>
      </c>
      <c r="B89" s="4" t="str">
        <f>IFERROR(__xludf.DUMMYFUNCTION("""COMPUTED_VALUE"""),"6")</f>
        <v>6</v>
      </c>
      <c r="C89" s="5" t="str">
        <f>IFERROR(__xludf.DUMMYFUNCTION("""COMPUTED_VALUE"""),"https://drive.google.com/file/d/1WO5LbN6xQiftTE6NUNtqmEqfrE33dDph/view?usp=drivesdk")</f>
        <v>https://drive.google.com/file/d/1WO5LbN6xQiftTE6NUNtqmEqfrE33dDph/view?usp=drivesdk</v>
      </c>
      <c r="D89" s="2"/>
      <c r="E89" s="6">
        <v>94.0</v>
      </c>
      <c r="F89" s="2"/>
      <c r="I89" s="3" t="str">
        <f>IFERROR(__xludf.DUMMYFUNCTION("""COMPUTED_VALUE"""),"87. Bandit")</f>
        <v>87. Bandit</v>
      </c>
      <c r="J89" s="4">
        <f>IFERROR(__xludf.DUMMYFUNCTION("if(ISBLANK(I89),"""",SUMPRODUCT(REGEXMATCH(A:A, ""(?i)\b"" &amp; I89 &amp; ""\b"") * 1))"),26.0)</f>
        <v>26</v>
      </c>
      <c r="L89" s="3" t="s">
        <v>95</v>
      </c>
      <c r="M89" s="4">
        <v>13.0</v>
      </c>
      <c r="O89" s="3" t="s">
        <v>72</v>
      </c>
    </row>
    <row r="90" ht="14.25" customHeight="1">
      <c r="A90" s="4" t="str">
        <f>IFERROR(__xludf.DUMMYFUNCTION("""COMPUTED_VALUE"""),"2. Twix")</f>
        <v>2. Twix</v>
      </c>
      <c r="B90" s="4" t="str">
        <f>IFERROR(__xludf.DUMMYFUNCTION("""COMPUTED_VALUE"""),"2")</f>
        <v>2</v>
      </c>
      <c r="C90" s="5" t="str">
        <f>IFERROR(__xludf.DUMMYFUNCTION("""COMPUTED_VALUE"""),"https://drive.google.com/file/d/1wRxOM5jwxYZtoatgr0hpp5Gp5RLznFQO/view?usp=drivesdk")</f>
        <v>https://drive.google.com/file/d/1wRxOM5jwxYZtoatgr0hpp5Gp5RLznFQO/view?usp=drivesdk</v>
      </c>
      <c r="D90" s="2"/>
      <c r="E90" s="6">
        <v>95.0</v>
      </c>
      <c r="F90" s="2"/>
      <c r="I90" s="3" t="str">
        <f>IFERROR(__xludf.DUMMYFUNCTION("""COMPUTED_VALUE"""),"88. Vincente")</f>
        <v>88. Vincente</v>
      </c>
      <c r="J90" s="4">
        <f>IFERROR(__xludf.DUMMYFUNCTION("if(ISBLANK(I90),"""",SUMPRODUCT(REGEXMATCH(A:A, ""(?i)\b"" &amp; I90 &amp; ""\b"") * 1))"),125.0)</f>
        <v>125</v>
      </c>
      <c r="L90" s="3" t="s">
        <v>122</v>
      </c>
      <c r="M90" s="4">
        <v>13.0</v>
      </c>
      <c r="O90" s="3" t="s">
        <v>106</v>
      </c>
    </row>
    <row r="91" ht="14.25" customHeight="1">
      <c r="A91" s="4" t="str">
        <f>IFERROR(__xludf.DUMMYFUNCTION("""COMPUTED_VALUE"""),"1. Microwave")</f>
        <v>1. Microwave</v>
      </c>
      <c r="B91" s="4" t="str">
        <f>IFERROR(__xludf.DUMMYFUNCTION("""COMPUTED_VALUE"""),"1")</f>
        <v>1</v>
      </c>
      <c r="C91" s="5" t="str">
        <f>IFERROR(__xludf.DUMMYFUNCTION("""COMPUTED_VALUE"""),"https://drive.google.com/file/d/1efDvB7dT6J-rIK3OPw82pZWF6sdJ4Gbn/view?usp=drivesdk")</f>
        <v>https://drive.google.com/file/d/1efDvB7dT6J-rIK3OPw82pZWF6sdJ4Gbn/view?usp=drivesdk</v>
      </c>
      <c r="D91" s="2"/>
      <c r="E91" s="6">
        <v>96.0</v>
      </c>
      <c r="F91" s="2"/>
      <c r="I91" s="3" t="str">
        <f>IFERROR(__xludf.DUMMYFUNCTION("""COMPUTED_VALUE"""),"89. Petal")</f>
        <v>89. Petal</v>
      </c>
      <c r="J91" s="4">
        <f>IFERROR(__xludf.DUMMYFUNCTION("if(ISBLANK(I91),"""",SUMPRODUCT(REGEXMATCH(A:A, ""(?i)\b"" &amp; I91 &amp; ""\b"") * 1))"),45.0)</f>
        <v>45</v>
      </c>
      <c r="L91" s="3" t="s">
        <v>127</v>
      </c>
      <c r="M91" s="4">
        <v>13.0</v>
      </c>
      <c r="O91" s="3" t="s">
        <v>128</v>
      </c>
    </row>
    <row r="92" ht="14.25" customHeight="1">
      <c r="A92" s="4" t="str">
        <f>IFERROR(__xludf.DUMMYFUNCTION("""COMPUTED_VALUE"""),"1. Microwave")</f>
        <v>1. Microwave</v>
      </c>
      <c r="B92" s="4" t="str">
        <f>IFERROR(__xludf.DUMMYFUNCTION("""COMPUTED_VALUE"""),"1")</f>
        <v>1</v>
      </c>
      <c r="C92" s="5" t="str">
        <f>IFERROR(__xludf.DUMMYFUNCTION("""COMPUTED_VALUE"""),"https://drive.google.com/file/d/1NtXcLOXwNHah1i5-aXOJMiBB-o3f1p-z/view?usp=drivesdk")</f>
        <v>https://drive.google.com/file/d/1NtXcLOXwNHah1i5-aXOJMiBB-o3f1p-z/view?usp=drivesdk</v>
      </c>
      <c r="D92" s="2"/>
      <c r="E92" s="6">
        <v>97.0</v>
      </c>
      <c r="F92" s="2"/>
      <c r="I92" s="3" t="str">
        <f>IFERROR(__xludf.DUMMYFUNCTION("""COMPUTED_VALUE"""),"90. Chimichanga")</f>
        <v>90. Chimichanga</v>
      </c>
      <c r="J92" s="4">
        <f>IFERROR(__xludf.DUMMYFUNCTION("if(ISBLANK(I92),"""",SUMPRODUCT(REGEXMATCH(A:A, ""(?i)\b"" &amp; I92 &amp; ""\b"") * 1))"),20.0)</f>
        <v>20</v>
      </c>
      <c r="L92" s="3" t="s">
        <v>107</v>
      </c>
      <c r="M92" s="4">
        <v>11.0</v>
      </c>
      <c r="O92" s="3" t="s">
        <v>123</v>
      </c>
    </row>
    <row r="93" ht="14.25" customHeight="1">
      <c r="A93" s="4" t="str">
        <f>IFERROR(__xludf.DUMMYFUNCTION("""COMPUTED_VALUE"""),"1. Microwave")</f>
        <v>1. Microwave</v>
      </c>
      <c r="B93" s="4" t="str">
        <f>IFERROR(__xludf.DUMMYFUNCTION("""COMPUTED_VALUE"""),"1")</f>
        <v>1</v>
      </c>
      <c r="C93" s="5" t="str">
        <f>IFERROR(__xludf.DUMMYFUNCTION("""COMPUTED_VALUE"""),"https://drive.google.com/file/d/1gJsYVhpu4Ak6TB76IZ7jLl-GlVAVt8IW/view?usp=drivesdk")</f>
        <v>https://drive.google.com/file/d/1gJsYVhpu4Ak6TB76IZ7jLl-GlVAVt8IW/view?usp=drivesdk</v>
      </c>
      <c r="D93" s="2"/>
      <c r="E93" s="6">
        <v>98.0</v>
      </c>
      <c r="F93" s="2"/>
      <c r="I93" s="3" t="str">
        <f>IFERROR(__xludf.DUMMYFUNCTION("""COMPUTED_VALUE"""),"91. Butter")</f>
        <v>91. Butter</v>
      </c>
      <c r="J93" s="4">
        <f>IFERROR(__xludf.DUMMYFUNCTION("if(ISBLANK(I93),"""",SUMPRODUCT(REGEXMATCH(A:A, ""(?i)\b"" &amp; I93 &amp; ""\b"") * 1))"),4.0)</f>
        <v>4</v>
      </c>
      <c r="L93" s="3" t="s">
        <v>117</v>
      </c>
      <c r="M93" s="4">
        <v>11.0</v>
      </c>
      <c r="O93" s="3" t="s">
        <v>102</v>
      </c>
    </row>
    <row r="94" ht="14.25" customHeight="1">
      <c r="A94" s="4" t="str">
        <f>IFERROR(__xludf.DUMMYFUNCTION("""COMPUTED_VALUE"""),"1. Microwave")</f>
        <v>1. Microwave</v>
      </c>
      <c r="B94" s="4" t="str">
        <f>IFERROR(__xludf.DUMMYFUNCTION("""COMPUTED_VALUE"""),"1")</f>
        <v>1</v>
      </c>
      <c r="C94" s="5" t="str">
        <f>IFERROR(__xludf.DUMMYFUNCTION("""COMPUTED_VALUE"""),"https://drive.google.com/file/d/15ZwdZuEtdHNliFao3vu9ro1Gc8IOMWVo/view?usp=drivesdk")</f>
        <v>https://drive.google.com/file/d/15ZwdZuEtdHNliFao3vu9ro1Gc8IOMWVo/view?usp=drivesdk</v>
      </c>
      <c r="D94" s="2"/>
      <c r="E94" s="6">
        <v>99.0</v>
      </c>
      <c r="F94" s="2"/>
      <c r="I94" s="3" t="str">
        <f>IFERROR(__xludf.DUMMYFUNCTION("""COMPUTED_VALUE"""),"92. Cloudy")</f>
        <v>92. Cloudy</v>
      </c>
      <c r="J94" s="4">
        <f>IFERROR(__xludf.DUMMYFUNCTION("if(ISBLANK(I94),"""",SUMPRODUCT(REGEXMATCH(A:A, ""(?i)\b"" &amp; I94 &amp; ""\b"") * 1))"),14.0)</f>
        <v>14</v>
      </c>
      <c r="L94" s="3" t="s">
        <v>129</v>
      </c>
      <c r="M94" s="4">
        <v>11.0</v>
      </c>
      <c r="O94" s="3" t="s">
        <v>82</v>
      </c>
    </row>
    <row r="95" ht="14.25" customHeight="1">
      <c r="A95" s="4" t="str">
        <f>IFERROR(__xludf.DUMMYFUNCTION("""COMPUTED_VALUE"""),"1. Microwave")</f>
        <v>1. Microwave</v>
      </c>
      <c r="B95" s="4" t="str">
        <f>IFERROR(__xludf.DUMMYFUNCTION("""COMPUTED_VALUE"""),"1")</f>
        <v>1</v>
      </c>
      <c r="C95" s="5" t="str">
        <f>IFERROR(__xludf.DUMMYFUNCTION("""COMPUTED_VALUE"""),"https://drive.google.com/file/d/1h_UA8YvB7oYldsCWjTIOyQoFeSKFxJsA/view?usp=drivesdk")</f>
        <v>https://drive.google.com/file/d/1h_UA8YvB7oYldsCWjTIOyQoFeSKFxJsA/view?usp=drivesdk</v>
      </c>
      <c r="D95" s="2"/>
      <c r="E95" s="6">
        <v>100.0</v>
      </c>
      <c r="F95" s="2"/>
      <c r="I95" s="3" t="str">
        <f>IFERROR(__xludf.DUMMYFUNCTION("""COMPUTED_VALUE"""),"93. Meatball")</f>
        <v>93. Meatball</v>
      </c>
      <c r="J95" s="4">
        <f>IFERROR(__xludf.DUMMYFUNCTION("if(ISBLANK(I95),"""",SUMPRODUCT(REGEXMATCH(A:A, ""(?i)\b"" &amp; I95 &amp; ""\b"") * 1))"),24.0)</f>
        <v>24</v>
      </c>
      <c r="L95" s="3" t="s">
        <v>130</v>
      </c>
      <c r="M95" s="4">
        <v>11.0</v>
      </c>
      <c r="O95" s="3" t="s">
        <v>40</v>
      </c>
    </row>
    <row r="96" ht="14.25" customHeight="1">
      <c r="A96" s="4" t="str">
        <f>IFERROR(__xludf.DUMMYFUNCTION("""COMPUTED_VALUE"""),"1. Microwave")</f>
        <v>1. Microwave</v>
      </c>
      <c r="B96" s="4" t="str">
        <f>IFERROR(__xludf.DUMMYFUNCTION("""COMPUTED_VALUE"""),"1")</f>
        <v>1</v>
      </c>
      <c r="C96" s="5" t="str">
        <f>IFERROR(__xludf.DUMMYFUNCTION("""COMPUTED_VALUE"""),"https://drive.google.com/file/d/1DRIYzAO3gnO800uAuYPfUWaC_zZpHDw2/view?usp=drivesdk")</f>
        <v>https://drive.google.com/file/d/1DRIYzAO3gnO800uAuYPfUWaC_zZpHDw2/view?usp=drivesdk</v>
      </c>
      <c r="D96" s="2"/>
      <c r="E96" s="6">
        <v>101.0</v>
      </c>
      <c r="F96" s="2"/>
      <c r="I96" s="3" t="str">
        <f>IFERROR(__xludf.DUMMYFUNCTION("""COMPUTED_VALUE"""),"94. Itztli")</f>
        <v>94. Itztli</v>
      </c>
      <c r="J96" s="4">
        <f>IFERROR(__xludf.DUMMYFUNCTION("if(ISBLANK(I96),"""",SUMPRODUCT(REGEXMATCH(A:A, ""(?i)\b"" &amp; I96 &amp; ""\b"") * 1))"),41.0)</f>
        <v>41</v>
      </c>
      <c r="L96" s="3" t="s">
        <v>131</v>
      </c>
      <c r="M96" s="4">
        <v>11.0</v>
      </c>
      <c r="O96" s="3" t="s">
        <v>120</v>
      </c>
    </row>
    <row r="97" ht="14.25" customHeight="1">
      <c r="A97" s="4" t="str">
        <f>IFERROR(__xludf.DUMMYFUNCTION("""COMPUTED_VALUE"""),"1. Microwave")</f>
        <v>1. Microwave</v>
      </c>
      <c r="B97" s="4" t="str">
        <f>IFERROR(__xludf.DUMMYFUNCTION("""COMPUTED_VALUE"""),"1")</f>
        <v>1</v>
      </c>
      <c r="C97" s="5" t="str">
        <f>IFERROR(__xludf.DUMMYFUNCTION("""COMPUTED_VALUE"""),"https://drive.google.com/file/d/1hoqbmbgsaU2-rTy7Gd7dw1rHdbZfD353/view?usp=drivesdk")</f>
        <v>https://drive.google.com/file/d/1hoqbmbgsaU2-rTy7Gd7dw1rHdbZfD353/view?usp=drivesdk</v>
      </c>
      <c r="D97" s="2"/>
      <c r="E97" s="6">
        <v>102.0</v>
      </c>
      <c r="F97" s="2"/>
      <c r="I97" s="3" t="str">
        <f>IFERROR(__xludf.DUMMYFUNCTION("""COMPUTED_VALUE"""),"95. Ariel")</f>
        <v>95. Ariel</v>
      </c>
      <c r="J97" s="4">
        <f>IFERROR(__xludf.DUMMYFUNCTION("if(ISBLANK(I97),"""",SUMPRODUCT(REGEXMATCH(A:A, ""(?i)\b"" &amp; I97 &amp; ""\b"") * 1))"),135.0)</f>
        <v>135</v>
      </c>
      <c r="L97" s="3" t="s">
        <v>93</v>
      </c>
      <c r="M97" s="4">
        <v>10.0</v>
      </c>
      <c r="O97" s="3" t="s">
        <v>113</v>
      </c>
    </row>
    <row r="98" ht="14.25" customHeight="1">
      <c r="A98" s="4" t="str">
        <f>IFERROR(__xludf.DUMMYFUNCTION("""COMPUTED_VALUE"""),"1. Microwave")</f>
        <v>1. Microwave</v>
      </c>
      <c r="B98" s="4" t="str">
        <f>IFERROR(__xludf.DUMMYFUNCTION("""COMPUTED_VALUE"""),"1")</f>
        <v>1</v>
      </c>
      <c r="C98" s="5" t="str">
        <f>IFERROR(__xludf.DUMMYFUNCTION("""COMPUTED_VALUE"""),"https://drive.google.com/file/d/1MLaeZRohUlcsRJAMp5sEpaYRqTwMBHfX/view?usp=drivesdk")</f>
        <v>https://drive.google.com/file/d/1MLaeZRohUlcsRJAMp5sEpaYRqTwMBHfX/view?usp=drivesdk</v>
      </c>
      <c r="D98" s="2"/>
      <c r="E98" s="6">
        <v>103.0</v>
      </c>
      <c r="F98" s="2"/>
      <c r="I98" s="3" t="str">
        <f>IFERROR(__xludf.DUMMYFUNCTION("""COMPUTED_VALUE"""),"96. Barbie")</f>
        <v>96. Barbie</v>
      </c>
      <c r="J98" s="4">
        <f>IFERROR(__xludf.DUMMYFUNCTION("if(ISBLANK(I98),"""",SUMPRODUCT(REGEXMATCH(A:A, ""(?i)\b"" &amp; I98 &amp; ""\b"") * 1))"),16.0)</f>
        <v>16</v>
      </c>
      <c r="L98" s="3" t="s">
        <v>132</v>
      </c>
      <c r="M98" s="4">
        <v>10.0</v>
      </c>
      <c r="O98" s="3" t="s">
        <v>133</v>
      </c>
    </row>
    <row r="99" ht="14.25" customHeight="1">
      <c r="A99" s="4" t="str">
        <f>IFERROR(__xludf.DUMMYFUNCTION("""COMPUTED_VALUE"""),"2. Twix")</f>
        <v>2. Twix</v>
      </c>
      <c r="B99" s="4" t="str">
        <f>IFERROR(__xludf.DUMMYFUNCTION("""COMPUTED_VALUE"""),"2")</f>
        <v>2</v>
      </c>
      <c r="C99" s="5" t="str">
        <f>IFERROR(__xludf.DUMMYFUNCTION("""COMPUTED_VALUE"""),"https://drive.google.com/file/d/1CbkqX7ZZTYVC1jLQLfqU4zjcDC4CKvB0/view?usp=drivesdk")</f>
        <v>https://drive.google.com/file/d/1CbkqX7ZZTYVC1jLQLfqU4zjcDC4CKvB0/view?usp=drivesdk</v>
      </c>
      <c r="D99" s="2"/>
      <c r="E99" s="6">
        <v>104.0</v>
      </c>
      <c r="F99" s="2"/>
      <c r="I99" s="3" t="str">
        <f>IFERROR(__xludf.DUMMYFUNCTION("""COMPUTED_VALUE"""),"97.  Simba")</f>
        <v>97.  Simba</v>
      </c>
      <c r="J99" s="4">
        <f>IFERROR(__xludf.DUMMYFUNCTION("if(ISBLANK(I99),"""",SUMPRODUCT(REGEXMATCH(A:A, ""(?i)\b"" &amp; I99 &amp; ""\b"") * 1))"),20.0)</f>
        <v>20</v>
      </c>
      <c r="L99" s="3" t="s">
        <v>76</v>
      </c>
      <c r="M99" s="4">
        <v>9.0</v>
      </c>
      <c r="O99" s="3" t="s">
        <v>33</v>
      </c>
    </row>
    <row r="100" ht="14.25" customHeight="1">
      <c r="A100" s="4" t="str">
        <f>IFERROR(__xludf.DUMMYFUNCTION("""COMPUTED_VALUE"""),"2. Twix")</f>
        <v>2. Twix</v>
      </c>
      <c r="B100" s="4" t="str">
        <f>IFERROR(__xludf.DUMMYFUNCTION("""COMPUTED_VALUE"""),"2")</f>
        <v>2</v>
      </c>
      <c r="C100" s="5" t="str">
        <f>IFERROR(__xludf.DUMMYFUNCTION("""COMPUTED_VALUE"""),"https://drive.google.com/file/d/1l2FqPHyYhqi7TX2G_EXdxXsh68hHbmEM/view?usp=drivesdk")</f>
        <v>https://drive.google.com/file/d/1l2FqPHyYhqi7TX2G_EXdxXsh68hHbmEM/view?usp=drivesdk</v>
      </c>
      <c r="D100" s="2"/>
      <c r="E100" s="6">
        <v>105.0</v>
      </c>
      <c r="F100" s="2"/>
      <c r="I100" s="3" t="str">
        <f>IFERROR(__xludf.DUMMYFUNCTION("""COMPUTED_VALUE"""),"98. Timon")</f>
        <v>98. Timon</v>
      </c>
      <c r="J100" s="4">
        <f>IFERROR(__xludf.DUMMYFUNCTION("if(ISBLANK(I100),"""",SUMPRODUCT(REGEXMATCH(A:A, ""(?i)\b"" &amp; I100 &amp; ""\b"") * 1))"),10.0)</f>
        <v>10</v>
      </c>
      <c r="L100" s="3" t="s">
        <v>124</v>
      </c>
      <c r="M100" s="4">
        <v>9.0</v>
      </c>
      <c r="O100" s="3" t="s">
        <v>70</v>
      </c>
    </row>
    <row r="101" ht="14.25" customHeight="1">
      <c r="A101" s="4" t="str">
        <f>IFERROR(__xludf.DUMMYFUNCTION("""COMPUTED_VALUE"""),"2. Twix")</f>
        <v>2. Twix</v>
      </c>
      <c r="B101" s="4" t="str">
        <f>IFERROR(__xludf.DUMMYFUNCTION("""COMPUTED_VALUE"""),"2")</f>
        <v>2</v>
      </c>
      <c r="C101" s="5" t="str">
        <f>IFERROR(__xludf.DUMMYFUNCTION("""COMPUTED_VALUE"""),"https://drive.google.com/file/d/1xGvWCRn7VchrhnArssu8I4DbS3V8F2oa/view?usp=drivesdk")</f>
        <v>https://drive.google.com/file/d/1xGvWCRn7VchrhnArssu8I4DbS3V8F2oa/view?usp=drivesdk</v>
      </c>
      <c r="D101" s="2"/>
      <c r="E101" s="6">
        <v>106.0</v>
      </c>
      <c r="F101" s="2"/>
      <c r="I101" s="3" t="str">
        <f>IFERROR(__xludf.DUMMYFUNCTION("""COMPUTED_VALUE"""),"99. Nezhui")</f>
        <v>99. Nezhui</v>
      </c>
      <c r="J101" s="4">
        <f>IFERROR(__xludf.DUMMYFUNCTION("if(ISBLANK(I101),"""",SUMPRODUCT(REGEXMATCH(A:A, ""(?i)\b"" &amp; I101 &amp; ""\b"") * 1))"),173.0)</f>
        <v>173</v>
      </c>
      <c r="L101" s="3" t="s">
        <v>133</v>
      </c>
      <c r="M101" s="4">
        <v>9.0</v>
      </c>
      <c r="O101" s="3" t="s">
        <v>74</v>
      </c>
    </row>
    <row r="102" ht="14.25" customHeight="1">
      <c r="A102" s="4" t="str">
        <f>IFERROR(__xludf.DUMMYFUNCTION("""COMPUTED_VALUE"""),"1. Microwave")</f>
        <v>1. Microwave</v>
      </c>
      <c r="B102" s="4" t="str">
        <f>IFERROR(__xludf.DUMMYFUNCTION("""COMPUTED_VALUE"""),"1")</f>
        <v>1</v>
      </c>
      <c r="C102" s="5" t="str">
        <f>IFERROR(__xludf.DUMMYFUNCTION("""COMPUTED_VALUE"""),"https://drive.google.com/file/d/1bKplbwlpJ7-AbKspzBX_hlGlgZnyRTav/view?usp=drivesdk")</f>
        <v>https://drive.google.com/file/d/1bKplbwlpJ7-AbKspzBX_hlGlgZnyRTav/view?usp=drivesdk</v>
      </c>
      <c r="D102" s="2"/>
      <c r="E102" s="6">
        <v>107.0</v>
      </c>
      <c r="F102" s="2"/>
      <c r="I102" s="3" t="str">
        <f>IFERROR(__xludf.DUMMYFUNCTION("""COMPUTED_VALUE"""),"100. Coatl")</f>
        <v>100. Coatl</v>
      </c>
      <c r="J102" s="4">
        <f>IFERROR(__xludf.DUMMYFUNCTION("if(ISBLANK(I102),"""",SUMPRODUCT(REGEXMATCH(A:A, ""(?i)\b"" &amp; I102 &amp; ""\b"") * 1))"),47.0)</f>
        <v>47</v>
      </c>
      <c r="L102" s="3" t="s">
        <v>21</v>
      </c>
      <c r="M102" s="4">
        <v>8.0</v>
      </c>
      <c r="O102" s="3" t="s">
        <v>98</v>
      </c>
    </row>
    <row r="103" ht="14.25" customHeight="1">
      <c r="A103" s="4" t="str">
        <f>IFERROR(__xludf.DUMMYFUNCTION("""COMPUTED_VALUE"""),"1. Microwave")</f>
        <v>1. Microwave</v>
      </c>
      <c r="B103" s="4" t="str">
        <f>IFERROR(__xludf.DUMMYFUNCTION("""COMPUTED_VALUE"""),"1")</f>
        <v>1</v>
      </c>
      <c r="C103" s="5" t="str">
        <f>IFERROR(__xludf.DUMMYFUNCTION("""COMPUTED_VALUE"""),"https://drive.google.com/file/d/19NXrn4sw7D_8bqtH9GjzzEVxAlbxNKiI/view?usp=drivesdk")</f>
        <v>https://drive.google.com/file/d/19NXrn4sw7D_8bqtH9GjzzEVxAlbxNKiI/view?usp=drivesdk</v>
      </c>
      <c r="D103" s="2"/>
      <c r="E103" s="6">
        <v>108.0</v>
      </c>
      <c r="F103" s="2"/>
      <c r="I103" s="3" t="str">
        <f>IFERROR(__xludf.DUMMYFUNCTION("""COMPUTED_VALUE"""),"101. Nori")</f>
        <v>101. Nori</v>
      </c>
      <c r="J103" s="4">
        <f>IFERROR(__xludf.DUMMYFUNCTION("if(ISBLANK(I103),"""",SUMPRODUCT(REGEXMATCH(A:A, ""(?i)\b"" &amp; I103 &amp; ""\b"") * 1))"),43.0)</f>
        <v>43</v>
      </c>
      <c r="L103" s="3" t="s">
        <v>50</v>
      </c>
      <c r="M103" s="4">
        <v>8.0</v>
      </c>
      <c r="O103" s="3" t="s">
        <v>115</v>
      </c>
    </row>
    <row r="104" ht="14.25" customHeight="1">
      <c r="A104" s="4" t="str">
        <f>IFERROR(__xludf.DUMMYFUNCTION("""COMPUTED_VALUE"""),"1. Microwave")</f>
        <v>1. Microwave</v>
      </c>
      <c r="B104" s="4" t="str">
        <f>IFERROR(__xludf.DUMMYFUNCTION("""COMPUTED_VALUE"""),"1")</f>
        <v>1</v>
      </c>
      <c r="C104" s="5" t="str">
        <f>IFERROR(__xludf.DUMMYFUNCTION("""COMPUTED_VALUE"""),"https://drive.google.com/file/d/10I2K8y_aH81BVX3r6npXaF9lLINVQ2LV/view?usp=drivesdk")</f>
        <v>https://drive.google.com/file/d/10I2K8y_aH81BVX3r6npXaF9lLINVQ2LV/view?usp=drivesdk</v>
      </c>
      <c r="D104" s="2"/>
      <c r="E104" s="6">
        <v>109.0</v>
      </c>
      <c r="F104" s="2"/>
      <c r="I104" s="3" t="str">
        <f>IFERROR(__xludf.DUMMYFUNCTION("""COMPUTED_VALUE"""),"102. Keaton")</f>
        <v>102. Keaton</v>
      </c>
      <c r="J104" s="4">
        <f>IFERROR(__xludf.DUMMYFUNCTION("if(ISBLANK(I104),"""",SUMPRODUCT(REGEXMATCH(A:A, ""(?i)\b"" &amp; I104 &amp; ""\b"") * 1))"),25.0)</f>
        <v>25</v>
      </c>
      <c r="L104" s="3" t="s">
        <v>111</v>
      </c>
      <c r="M104" s="4">
        <v>8.0</v>
      </c>
      <c r="O104" s="3" t="s">
        <v>127</v>
      </c>
    </row>
    <row r="105" ht="14.25" customHeight="1">
      <c r="A105" s="4" t="str">
        <f>IFERROR(__xludf.DUMMYFUNCTION("""COMPUTED_VALUE"""),"1. Microwave")</f>
        <v>1. Microwave</v>
      </c>
      <c r="B105" s="4" t="str">
        <f>IFERROR(__xludf.DUMMYFUNCTION("""COMPUTED_VALUE"""),"1")</f>
        <v>1</v>
      </c>
      <c r="C105" s="5" t="str">
        <f>IFERROR(__xludf.DUMMYFUNCTION("""COMPUTED_VALUE"""),"https://drive.google.com/file/d/15myd8hYiL901AaaMTJZmqKkGjC3ji7B1/view?usp=drivesdk")</f>
        <v>https://drive.google.com/file/d/15myd8hYiL901AaaMTJZmqKkGjC3ji7B1/view?usp=drivesdk</v>
      </c>
      <c r="D105" s="2"/>
      <c r="E105" s="6">
        <v>110.0</v>
      </c>
      <c r="F105" s="2"/>
      <c r="I105" s="3" t="str">
        <f>IFERROR(__xludf.DUMMYFUNCTION("""COMPUTED_VALUE"""),"103. Bea")</f>
        <v>103. Bea</v>
      </c>
      <c r="J105" s="4">
        <f>IFERROR(__xludf.DUMMYFUNCTION("if(ISBLANK(I105),"""",SUMPRODUCT(REGEXMATCH(A:A, ""(?i)\b"" &amp; I105 &amp; ""\b"") * 1))"),19.0)</f>
        <v>19</v>
      </c>
      <c r="L105" s="3" t="s">
        <v>134</v>
      </c>
      <c r="M105" s="4">
        <v>8.0</v>
      </c>
    </row>
    <row r="106" ht="14.25" customHeight="1">
      <c r="A106" s="4" t="str">
        <f>IFERROR(__xludf.DUMMYFUNCTION("""COMPUTED_VALUE"""),"1. Microwave")</f>
        <v>1. Microwave</v>
      </c>
      <c r="B106" s="4" t="str">
        <f>IFERROR(__xludf.DUMMYFUNCTION("""COMPUTED_VALUE"""),"1")</f>
        <v>1</v>
      </c>
      <c r="C106" s="5" t="str">
        <f>IFERROR(__xludf.DUMMYFUNCTION("""COMPUTED_VALUE"""),"https://drive.google.com/file/d/1ZBr9CHAongMg0pLleMhwuERkiFxoHoz6/view?usp=drivesdk")</f>
        <v>https://drive.google.com/file/d/1ZBr9CHAongMg0pLleMhwuERkiFxoHoz6/view?usp=drivesdk</v>
      </c>
      <c r="D106" s="2"/>
      <c r="E106" s="6">
        <v>111.0</v>
      </c>
      <c r="F106" s="2"/>
      <c r="I106" s="3" t="str">
        <f>IFERROR(__xludf.DUMMYFUNCTION("""COMPUTED_VALUE"""),"104. Joji")</f>
        <v>104. Joji</v>
      </c>
      <c r="J106" s="4">
        <f>IFERROR(__xludf.DUMMYFUNCTION("if(ISBLANK(I106),"""",SUMPRODUCT(REGEXMATCH(A:A, ""(?i)\b"" &amp; I106 &amp; ""\b"") * 1))"),13.0)</f>
        <v>13</v>
      </c>
      <c r="L106" s="3" t="s">
        <v>135</v>
      </c>
      <c r="M106" s="4">
        <v>8.0</v>
      </c>
    </row>
    <row r="107" ht="14.25" customHeight="1">
      <c r="A107" s="4" t="str">
        <f>IFERROR(__xludf.DUMMYFUNCTION("""COMPUTED_VALUE"""),"4. Eggs")</f>
        <v>4. Eggs</v>
      </c>
      <c r="B107" s="4" t="str">
        <f>IFERROR(__xludf.DUMMYFUNCTION("""COMPUTED_VALUE"""),"4")</f>
        <v>4</v>
      </c>
      <c r="C107" s="5" t="str">
        <f>IFERROR(__xludf.DUMMYFUNCTION("""COMPUTED_VALUE"""),"https://drive.google.com/file/d/1Jq6PPtyS9ZTig_Z4eCWVJ76-T1wOGOdL/view?usp=drivesdk")</f>
        <v>https://drive.google.com/file/d/1Jq6PPtyS9ZTig_Z4eCWVJ76-T1wOGOdL/view?usp=drivesdk</v>
      </c>
      <c r="D107" s="2"/>
      <c r="E107" s="6">
        <v>112.0</v>
      </c>
      <c r="F107" s="2"/>
      <c r="I107" s="3" t="str">
        <f>IFERROR(__xludf.DUMMYFUNCTION("""COMPUTED_VALUE"""),"105. Chilton")</f>
        <v>105. Chilton</v>
      </c>
      <c r="J107" s="4">
        <f>IFERROR(__xludf.DUMMYFUNCTION("if(ISBLANK(I107),"""",SUMPRODUCT(REGEXMATCH(A:A, ""(?i)\b"" &amp; I107 &amp; ""\b"") * 1))"),70.0)</f>
        <v>70</v>
      </c>
      <c r="L107" s="3" t="s">
        <v>44</v>
      </c>
      <c r="M107" s="4">
        <v>7.0</v>
      </c>
    </row>
    <row r="108" ht="14.25" customHeight="1">
      <c r="A108" s="4" t="str">
        <f>IFERROR(__xludf.DUMMYFUNCTION("""COMPUTED_VALUE"""),"4. Eggs")</f>
        <v>4. Eggs</v>
      </c>
      <c r="B108" s="4" t="str">
        <f>IFERROR(__xludf.DUMMYFUNCTION("""COMPUTED_VALUE"""),"4")</f>
        <v>4</v>
      </c>
      <c r="C108" s="5" t="str">
        <f>IFERROR(__xludf.DUMMYFUNCTION("""COMPUTED_VALUE"""),"https://drive.google.com/file/d/1IPcI1DM4h2hBOHNbSH8LmWJD6G621Ae1/view?usp=drivesdk")</f>
        <v>https://drive.google.com/file/d/1IPcI1DM4h2hBOHNbSH8LmWJD6G621Ae1/view?usp=drivesdk</v>
      </c>
      <c r="D108" s="2"/>
      <c r="E108" s="6">
        <v>113.0</v>
      </c>
      <c r="F108" s="2"/>
      <c r="I108" s="3" t="str">
        <f>IFERROR(__xludf.DUMMYFUNCTION("""COMPUTED_VALUE"""),"106. Ami")</f>
        <v>106. Ami</v>
      </c>
      <c r="J108" s="4">
        <f>IFERROR(__xludf.DUMMYFUNCTION("if(ISBLANK(I108),"""",SUMPRODUCT(REGEXMATCH(A:A, ""(?i)\b"" &amp; I108 &amp; ""\b"") * 1))"),64.0)</f>
        <v>64</v>
      </c>
      <c r="L108" s="3" t="s">
        <v>65</v>
      </c>
      <c r="M108" s="4">
        <v>7.0</v>
      </c>
    </row>
    <row r="109" ht="14.25" customHeight="1">
      <c r="A109" s="4" t="str">
        <f>IFERROR(__xludf.DUMMYFUNCTION("""COMPUTED_VALUE"""),"1. Microwave")</f>
        <v>1. Microwave</v>
      </c>
      <c r="B109" s="4" t="str">
        <f>IFERROR(__xludf.DUMMYFUNCTION("""COMPUTED_VALUE"""),"1")</f>
        <v>1</v>
      </c>
      <c r="C109" s="5" t="str">
        <f>IFERROR(__xludf.DUMMYFUNCTION("""COMPUTED_VALUE"""),"https://drive.google.com/file/d/1rOLBTVZTT60JC5lQMSctKQLefwuh2C5D/view?usp=drivesdk")</f>
        <v>https://drive.google.com/file/d/1rOLBTVZTT60JC5lQMSctKQLefwuh2C5D/view?usp=drivesdk</v>
      </c>
      <c r="D109" s="2"/>
      <c r="E109" s="6">
        <v>114.0</v>
      </c>
      <c r="F109" s="2"/>
      <c r="I109" s="3" t="str">
        <f>IFERROR(__xludf.DUMMYFUNCTION("""COMPUTED_VALUE"""),"107. Miztli")</f>
        <v>107. Miztli</v>
      </c>
      <c r="J109" s="4">
        <f>IFERROR(__xludf.DUMMYFUNCTION("if(ISBLANK(I109),"""",SUMPRODUCT(REGEXMATCH(A:A, ""(?i)\b"" &amp; I109 &amp; ""\b"") * 1))"),1.0)</f>
        <v>1</v>
      </c>
      <c r="L109" s="3" t="s">
        <v>136</v>
      </c>
      <c r="M109" s="4">
        <v>7.0</v>
      </c>
    </row>
    <row r="110" ht="14.25" customHeight="1">
      <c r="A110" s="4" t="str">
        <f>IFERROR(__xludf.DUMMYFUNCTION("""COMPUTED_VALUE"""),"1. Microwave")</f>
        <v>1. Microwave</v>
      </c>
      <c r="B110" s="4" t="str">
        <f>IFERROR(__xludf.DUMMYFUNCTION("""COMPUTED_VALUE"""),"1")</f>
        <v>1</v>
      </c>
      <c r="C110" s="5" t="str">
        <f>IFERROR(__xludf.DUMMYFUNCTION("""COMPUTED_VALUE"""),"https://drive.google.com/file/d/1Y27NEYE6mTyToqMcNaTlOJXcdz2UPbG-/view?usp=drivesdk")</f>
        <v>https://drive.google.com/file/d/1Y27NEYE6mTyToqMcNaTlOJXcdz2UPbG-/view?usp=drivesdk</v>
      </c>
      <c r="D110" s="2"/>
      <c r="E110" s="6">
        <v>115.0</v>
      </c>
      <c r="F110" s="2"/>
      <c r="I110" s="3" t="str">
        <f>IFERROR(__xludf.DUMMYFUNCTION("""COMPUTED_VALUE"""),"108. Mazatl")</f>
        <v>108. Mazatl</v>
      </c>
      <c r="J110" s="4">
        <f>IFERROR(__xludf.DUMMYFUNCTION("if(ISBLANK(I110),"""",SUMPRODUCT(REGEXMATCH(A:A, ""(?i)\b"" &amp; I110 &amp; ""\b"") * 1))"),40.0)</f>
        <v>40</v>
      </c>
      <c r="L110" s="3" t="s">
        <v>103</v>
      </c>
      <c r="M110" s="4">
        <v>6.0</v>
      </c>
    </row>
    <row r="111" ht="14.25" customHeight="1">
      <c r="A111" s="4" t="str">
        <f>IFERROR(__xludf.DUMMYFUNCTION("""COMPUTED_VALUE"""),"1. Microwave")</f>
        <v>1. Microwave</v>
      </c>
      <c r="B111" s="4" t="str">
        <f>IFERROR(__xludf.DUMMYFUNCTION("""COMPUTED_VALUE"""),"1")</f>
        <v>1</v>
      </c>
      <c r="C111" s="5" t="str">
        <f>IFERROR(__xludf.DUMMYFUNCTION("""COMPUTED_VALUE"""),"https://drive.google.com/file/d/18PxRW7z5aCOiP5ZknLnsn886e-o1-GvO/view?usp=drivesdk")</f>
        <v>https://drive.google.com/file/d/18PxRW7z5aCOiP5ZknLnsn886e-o1-GvO/view?usp=drivesdk</v>
      </c>
      <c r="D111" s="2"/>
      <c r="E111" s="6">
        <v>116.0</v>
      </c>
      <c r="F111" s="2"/>
      <c r="I111" s="3" t="str">
        <f>IFERROR(__xludf.DUMMYFUNCTION("""COMPUTED_VALUE"""),"109. Tlalli")</f>
        <v>109. Tlalli</v>
      </c>
      <c r="J111" s="4">
        <f>IFERROR(__xludf.DUMMYFUNCTION("if(ISBLANK(I111),"""",SUMPRODUCT(REGEXMATCH(A:A, ""(?i)\b"" &amp; I111 &amp; ""\b"") * 1))"),47.0)</f>
        <v>47</v>
      </c>
      <c r="L111" s="3" t="s">
        <v>137</v>
      </c>
      <c r="M111" s="4">
        <v>6.0</v>
      </c>
    </row>
    <row r="112" ht="14.25" customHeight="1">
      <c r="A112" s="4" t="str">
        <f>IFERROR(__xludf.DUMMYFUNCTION("""COMPUTED_VALUE"""),"1. Microwave")</f>
        <v>1. Microwave</v>
      </c>
      <c r="B112" s="4" t="str">
        <f>IFERROR(__xludf.DUMMYFUNCTION("""COMPUTED_VALUE"""),"1")</f>
        <v>1</v>
      </c>
      <c r="C112" s="5" t="str">
        <f>IFERROR(__xludf.DUMMYFUNCTION("""COMPUTED_VALUE"""),"https://drive.google.com/file/d/1nPr-Gk1tHu7T58_KxuzasPcjN2JaO5Th/view?usp=drivesdk")</f>
        <v>https://drive.google.com/file/d/1nPr-Gk1tHu7T58_KxuzasPcjN2JaO5Th/view?usp=drivesdk</v>
      </c>
      <c r="D112" s="2"/>
      <c r="E112" s="6">
        <v>117.0</v>
      </c>
      <c r="F112" s="2"/>
      <c r="I112" s="3" t="str">
        <f>IFERROR(__xludf.DUMMYFUNCTION("""COMPUTED_VALUE"""),"110. Ahua")</f>
        <v>110. Ahua</v>
      </c>
      <c r="J112" s="4">
        <f>IFERROR(__xludf.DUMMYFUNCTION("if(ISBLANK(I112),"""",SUMPRODUCT(REGEXMATCH(A:A, ""(?i)\b"" &amp; I112 &amp; ""\b"") * 1))"),24.0)</f>
        <v>24</v>
      </c>
      <c r="L112" s="3" t="s">
        <v>114</v>
      </c>
      <c r="M112" s="4">
        <v>5.0</v>
      </c>
    </row>
    <row r="113" ht="14.25" customHeight="1">
      <c r="A113" s="4" t="str">
        <f>IFERROR(__xludf.DUMMYFUNCTION("""COMPUTED_VALUE"""),"1. Microwave")</f>
        <v>1. Microwave</v>
      </c>
      <c r="B113" s="4" t="str">
        <f>IFERROR(__xludf.DUMMYFUNCTION("""COMPUTED_VALUE"""),"1")</f>
        <v>1</v>
      </c>
      <c r="C113" s="5" t="str">
        <f>IFERROR(__xludf.DUMMYFUNCTION("""COMPUTED_VALUE"""),"https://drive.google.com/file/d/13PFwJiCwF7GXMgpj-cQBUF3lPscJQDKJ/view?usp=drivesdk")</f>
        <v>https://drive.google.com/file/d/13PFwJiCwF7GXMgpj-cQBUF3lPscJQDKJ/view?usp=drivesdk</v>
      </c>
      <c r="D113" s="2"/>
      <c r="E113" s="6">
        <v>118.0</v>
      </c>
      <c r="F113" s="2"/>
      <c r="I113" s="3" t="str">
        <f>IFERROR(__xludf.DUMMYFUNCTION("""COMPUTED_VALUE"""),"111. Mayatl")</f>
        <v>111. Mayatl</v>
      </c>
      <c r="J113" s="4">
        <f>IFERROR(__xludf.DUMMYFUNCTION("if(ISBLANK(I113),"""",SUMPRODUCT(REGEXMATCH(A:A, ""(?i)\b"" &amp; I113 &amp; ""\b"") * 1))"),72.0)</f>
        <v>72</v>
      </c>
      <c r="L113" s="3" t="s">
        <v>138</v>
      </c>
      <c r="M113" s="4">
        <v>5.0</v>
      </c>
    </row>
    <row r="114" ht="14.25" customHeight="1">
      <c r="A114" s="4" t="str">
        <f>IFERROR(__xludf.DUMMYFUNCTION("""COMPUTED_VALUE"""),"1. Microwave")</f>
        <v>1. Microwave</v>
      </c>
      <c r="B114" s="4" t="str">
        <f>IFERROR(__xludf.DUMMYFUNCTION("""COMPUTED_VALUE"""),"1")</f>
        <v>1</v>
      </c>
      <c r="C114" s="5" t="str">
        <f>IFERROR(__xludf.DUMMYFUNCTION("""COMPUTED_VALUE"""),"https://drive.google.com/file/d/187EKFmTNck64e0DPZURzc-KghBIpMTay/view?usp=drivesdk")</f>
        <v>https://drive.google.com/file/d/187EKFmTNck64e0DPZURzc-KghBIpMTay/view?usp=drivesdk</v>
      </c>
      <c r="D114" s="2"/>
      <c r="E114" s="6">
        <v>119.0</v>
      </c>
      <c r="F114" s="2"/>
      <c r="I114" s="3" t="str">
        <f>IFERROR(__xludf.DUMMYFUNCTION("""COMPUTED_VALUE"""),"113. Ty")</f>
        <v>113. Ty</v>
      </c>
      <c r="J114" s="4">
        <f>IFERROR(__xludf.DUMMYFUNCTION("if(ISBLANK(I114),"""",SUMPRODUCT(REGEXMATCH(A:A, ""(?i)\b"" &amp; I114 &amp; ""\b"") * 1))"),1.0)</f>
        <v>1</v>
      </c>
      <c r="L114" s="3" t="s">
        <v>139</v>
      </c>
      <c r="M114" s="4">
        <v>5.0</v>
      </c>
    </row>
    <row r="115" ht="14.25" customHeight="1">
      <c r="A115" s="4" t="str">
        <f>IFERROR(__xludf.DUMMYFUNCTION("""COMPUTED_VALUE"""),"1. Microwave")</f>
        <v>1. Microwave</v>
      </c>
      <c r="B115" s="4" t="str">
        <f>IFERROR(__xludf.DUMMYFUNCTION("""COMPUTED_VALUE"""),"1")</f>
        <v>1</v>
      </c>
      <c r="C115" s="5" t="str">
        <f>IFERROR(__xludf.DUMMYFUNCTION("""COMPUTED_VALUE"""),"https://drive.google.com/file/d/18SSrwx5fAAsAptrKy8czS3WhTJp3of9f/view?usp=drivesdk")</f>
        <v>https://drive.google.com/file/d/18SSrwx5fAAsAptrKy8czS3WhTJp3of9f/view?usp=drivesdk</v>
      </c>
      <c r="D115" s="2"/>
      <c r="E115" s="6">
        <v>120.0</v>
      </c>
      <c r="F115" s="2"/>
      <c r="I115" s="3" t="str">
        <f>IFERROR(__xludf.DUMMYFUNCTION("""COMPUTED_VALUE"""),"114. Elision")</f>
        <v>114. Elision</v>
      </c>
      <c r="J115" s="4">
        <f>IFERROR(__xludf.DUMMYFUNCTION("if(ISBLANK(I115),"""",SUMPRODUCT(REGEXMATCH(A:A, ""(?i)\b"" &amp; I115 &amp; ""\b"") * 1))"),15.0)</f>
        <v>15</v>
      </c>
      <c r="L115" s="3" t="s">
        <v>140</v>
      </c>
      <c r="M115" s="4">
        <v>5.0</v>
      </c>
    </row>
    <row r="116" ht="14.25" customHeight="1">
      <c r="A116" s="4" t="str">
        <f>IFERROR(__xludf.DUMMYFUNCTION("""COMPUTED_VALUE"""),"1. Microwave")</f>
        <v>1. Microwave</v>
      </c>
      <c r="B116" s="4" t="str">
        <f>IFERROR(__xludf.DUMMYFUNCTION("""COMPUTED_VALUE"""),"1")</f>
        <v>1</v>
      </c>
      <c r="C116" s="5" t="str">
        <f>IFERROR(__xludf.DUMMYFUNCTION("""COMPUTED_VALUE"""),"https://drive.google.com/file/d/1DSYR1sd7S7OH5Nqnu3O2__aYzti_8HXD/view?usp=drivesdk")</f>
        <v>https://drive.google.com/file/d/1DSYR1sd7S7OH5Nqnu3O2__aYzti_8HXD/view?usp=drivesdk</v>
      </c>
      <c r="D116" s="2"/>
      <c r="E116" s="6">
        <v>121.0</v>
      </c>
      <c r="F116" s="2"/>
      <c r="I116" s="3" t="str">
        <f>IFERROR(__xludf.DUMMYFUNCTION("""COMPUTED_VALUE"""),"115. Toothless")</f>
        <v>115. Toothless</v>
      </c>
      <c r="J116" s="4">
        <f>IFERROR(__xludf.DUMMYFUNCTION("if(ISBLANK(I116),"""",SUMPRODUCT(REGEXMATCH(A:A, ""(?i)\b"" &amp; I116 &amp; ""\b"") * 1))"),95.0)</f>
        <v>95</v>
      </c>
      <c r="L116" s="3" t="s">
        <v>141</v>
      </c>
      <c r="M116" s="4">
        <v>5.0</v>
      </c>
    </row>
    <row r="117" ht="14.25" customHeight="1">
      <c r="A117" s="4" t="str">
        <f>IFERROR(__xludf.DUMMYFUNCTION("""COMPUTED_VALUE"""),"32. Noir")</f>
        <v>32. Noir</v>
      </c>
      <c r="B117" s="4" t="str">
        <f>IFERROR(__xludf.DUMMYFUNCTION("""COMPUTED_VALUE"""),"32")</f>
        <v>32</v>
      </c>
      <c r="C117" s="5" t="str">
        <f>IFERROR(__xludf.DUMMYFUNCTION("""COMPUTED_VALUE"""),"https://drive.google.com/file/d/16kvuYr-RzFzO1cThMgun1sI0yr4UalFr/view?usp=drivesdk")</f>
        <v>https://drive.google.com/file/d/16kvuYr-RzFzO1cThMgun1sI0yr4UalFr/view?usp=drivesdk</v>
      </c>
      <c r="D117" s="2"/>
      <c r="E117" s="6">
        <v>122.0</v>
      </c>
      <c r="F117" s="2"/>
      <c r="I117" s="3" t="str">
        <f>IFERROR(__xludf.DUMMYFUNCTION("""COMPUTED_VALUE"""),"116. Itzel")</f>
        <v>116. Itzel</v>
      </c>
      <c r="J117" s="4">
        <f>IFERROR(__xludf.DUMMYFUNCTION("if(ISBLANK(I117),"""",SUMPRODUCT(REGEXMATCH(A:A, ""(?i)\b"" &amp; I117 &amp; ""\b"") * 1))"),94.0)</f>
        <v>94</v>
      </c>
      <c r="L117" s="3" t="s">
        <v>48</v>
      </c>
      <c r="M117" s="4">
        <v>4.0</v>
      </c>
    </row>
    <row r="118" ht="14.25" customHeight="1">
      <c r="A118" s="4" t="str">
        <f>IFERROR(__xludf.DUMMYFUNCTION("""COMPUTED_VALUE"""),"33. Zee")</f>
        <v>33. Zee</v>
      </c>
      <c r="B118" s="4" t="str">
        <f>IFERROR(__xludf.DUMMYFUNCTION("""COMPUTED_VALUE"""),"33")</f>
        <v>33</v>
      </c>
      <c r="C118" s="5" t="str">
        <f>IFERROR(__xludf.DUMMYFUNCTION("""COMPUTED_VALUE"""),"https://drive.google.com/file/d/1VaU8ZcZdduZrrFQx13ntYI1RMcStAYFQ/view?usp=drivesdk")</f>
        <v>https://drive.google.com/file/d/1VaU8ZcZdduZrrFQx13ntYI1RMcStAYFQ/view?usp=drivesdk</v>
      </c>
      <c r="D118" s="2"/>
      <c r="E118" s="6">
        <v>123.0</v>
      </c>
      <c r="F118" s="2"/>
      <c r="I118" s="3" t="str">
        <f>IFERROR(__xludf.DUMMYFUNCTION("""COMPUTED_VALUE"""),"117. Chance")</f>
        <v>117. Chance</v>
      </c>
      <c r="J118" s="4">
        <f>IFERROR(__xludf.DUMMYFUNCTION("if(ISBLANK(I118),"""",SUMPRODUCT(REGEXMATCH(A:A, ""(?i)\b"" &amp; I118 &amp; ""\b"") * 1))"),5.0)</f>
        <v>5</v>
      </c>
      <c r="L118" s="3" t="s">
        <v>88</v>
      </c>
      <c r="M118" s="4">
        <v>4.0</v>
      </c>
    </row>
    <row r="119" ht="14.25" customHeight="1">
      <c r="A119" s="4" t="str">
        <f>IFERROR(__xludf.DUMMYFUNCTION("""COMPUTED_VALUE"""),"2. Twix")</f>
        <v>2. Twix</v>
      </c>
      <c r="B119" s="4" t="str">
        <f>IFERROR(__xludf.DUMMYFUNCTION("""COMPUTED_VALUE"""),"2")</f>
        <v>2</v>
      </c>
      <c r="C119" s="5" t="str">
        <f>IFERROR(__xludf.DUMMYFUNCTION("""COMPUTED_VALUE"""),"https://drive.google.com/file/d/1ngwo9fHrnaK4bbJHHcSDHpXchckFc2ob/view?usp=drivesdk")</f>
        <v>https://drive.google.com/file/d/1ngwo9fHrnaK4bbJHHcSDHpXchckFc2ob/view?usp=drivesdk</v>
      </c>
      <c r="D119" s="2"/>
      <c r="E119" s="6">
        <v>124.0</v>
      </c>
      <c r="F119" s="2"/>
      <c r="I119" s="3" t="str">
        <f>IFERROR(__xludf.DUMMYFUNCTION("""COMPUTED_VALUE"""),"118. Stinker")</f>
        <v>118. Stinker</v>
      </c>
      <c r="J119" s="4">
        <f>IFERROR(__xludf.DUMMYFUNCTION("if(ISBLANK(I119),"""",SUMPRODUCT(REGEXMATCH(A:A, ""(?i)\b"" &amp; I119 &amp; ""\b"") * 1))"),6.0)</f>
        <v>6</v>
      </c>
      <c r="L119" s="3" t="s">
        <v>118</v>
      </c>
      <c r="M119" s="4">
        <v>4.0</v>
      </c>
    </row>
    <row r="120" ht="14.25" customHeight="1">
      <c r="A120" s="4" t="str">
        <f>IFERROR(__xludf.DUMMYFUNCTION("""COMPUTED_VALUE"""),"1. Microwave")</f>
        <v>1. Microwave</v>
      </c>
      <c r="B120" s="4" t="str">
        <f>IFERROR(__xludf.DUMMYFUNCTION("""COMPUTED_VALUE"""),"1")</f>
        <v>1</v>
      </c>
      <c r="C120" s="5" t="str">
        <f>IFERROR(__xludf.DUMMYFUNCTION("""COMPUTED_VALUE"""),"https://drive.google.com/file/d/1_Qz5hGGGsq7-nGgbrNi7LqryJuHlmTCk/view?usp=drivesdk")</f>
        <v>https://drive.google.com/file/d/1_Qz5hGGGsq7-nGgbrNi7LqryJuHlmTCk/view?usp=drivesdk</v>
      </c>
      <c r="D120" s="2"/>
      <c r="E120" s="6">
        <v>125.0</v>
      </c>
      <c r="F120" s="2"/>
      <c r="I120" s="3" t="str">
        <f>IFERROR(__xludf.DUMMYFUNCTION("""COMPUTED_VALUE"""),"119. Wing")</f>
        <v>119. Wing</v>
      </c>
      <c r="J120" s="4">
        <f>IFERROR(__xludf.DUMMYFUNCTION("if(ISBLANK(I120),"""",SUMPRODUCT(REGEXMATCH(A:A, ""(?i)\b"" &amp; I120 &amp; ""\b"") * 1))"),1.0)</f>
        <v>1</v>
      </c>
      <c r="L120" s="3" t="s">
        <v>121</v>
      </c>
      <c r="M120" s="4">
        <v>4.0</v>
      </c>
    </row>
    <row r="121" ht="14.25" customHeight="1">
      <c r="A121" s="4" t="str">
        <f>IFERROR(__xludf.DUMMYFUNCTION("""COMPUTED_VALUE"""),"1. Microwave")</f>
        <v>1. Microwave</v>
      </c>
      <c r="B121" s="4" t="str">
        <f>IFERROR(__xludf.DUMMYFUNCTION("""COMPUTED_VALUE"""),"1")</f>
        <v>1</v>
      </c>
      <c r="C121" s="5" t="str">
        <f>IFERROR(__xludf.DUMMYFUNCTION("""COMPUTED_VALUE"""),"https://drive.google.com/file/d/11liSWMFrDZStD4IZ-LxxzLVf9kwGyGS5/view?usp=drivesdk")</f>
        <v>https://drive.google.com/file/d/11liSWMFrDZStD4IZ-LxxzLVf9kwGyGS5/view?usp=drivesdk</v>
      </c>
      <c r="D121" s="2"/>
      <c r="E121" s="6">
        <v>126.0</v>
      </c>
      <c r="F121" s="2"/>
      <c r="I121" s="3" t="str">
        <f>IFERROR(__xludf.DUMMYFUNCTION("""COMPUTED_VALUE"""),"120. Stop")</f>
        <v>120. Stop</v>
      </c>
      <c r="J121" s="4">
        <f>IFERROR(__xludf.DUMMYFUNCTION("if(ISBLANK(I121),"""",SUMPRODUCT(REGEXMATCH(A:A, ""(?i)\b"" &amp; I121 &amp; ""\b"") * 1))"),2.0)</f>
        <v>2</v>
      </c>
      <c r="L121" s="3" t="s">
        <v>128</v>
      </c>
      <c r="M121" s="4">
        <v>4.0</v>
      </c>
    </row>
    <row r="122" ht="14.25" customHeight="1">
      <c r="A122" s="4" t="str">
        <f>IFERROR(__xludf.DUMMYFUNCTION("""COMPUTED_VALUE"""),"5. Eraser, 4. Eggs")</f>
        <v>5. Eraser, 4. Eggs</v>
      </c>
      <c r="B122" s="4" t="str">
        <f>IFERROR(__xludf.DUMMYFUNCTION("""COMPUTED_VALUE"""),"5, 4")</f>
        <v>5, 4</v>
      </c>
      <c r="C122" s="5" t="str">
        <f>IFERROR(__xludf.DUMMYFUNCTION("""COMPUTED_VALUE"""),"https://drive.google.com/file/d/1_9gW8Hy1YfamQaOXAYkZ0W96mIRYv0i1/view?usp=drivesdk")</f>
        <v>https://drive.google.com/file/d/1_9gW8Hy1YfamQaOXAYkZ0W96mIRYv0i1/view?usp=drivesdk</v>
      </c>
      <c r="D122" s="2"/>
      <c r="E122" s="6">
        <v>127.0</v>
      </c>
      <c r="F122" s="2"/>
      <c r="I122" s="3" t="str">
        <f>IFERROR(__xludf.DUMMYFUNCTION("""COMPUTED_VALUE"""),"121. Spongebop")</f>
        <v>121. Spongebop</v>
      </c>
      <c r="J122" s="4">
        <f>IFERROR(__xludf.DUMMYFUNCTION("if(ISBLANK(I122),"""",SUMPRODUCT(REGEXMATCH(A:A, ""(?i)\b"" &amp; I122 &amp; ""\b"") * 1))"),11.0)</f>
        <v>11</v>
      </c>
      <c r="L122" s="3" t="s">
        <v>142</v>
      </c>
      <c r="M122" s="4">
        <v>4.0</v>
      </c>
    </row>
    <row r="123" ht="14.25" customHeight="1">
      <c r="A123" s="4" t="str">
        <f>IFERROR(__xludf.DUMMYFUNCTION("""COMPUTED_VALUE"""),"2. Twix")</f>
        <v>2. Twix</v>
      </c>
      <c r="B123" s="4" t="str">
        <f>IFERROR(__xludf.DUMMYFUNCTION("""COMPUTED_VALUE"""),"2")</f>
        <v>2</v>
      </c>
      <c r="C123" s="5" t="str">
        <f>IFERROR(__xludf.DUMMYFUNCTION("""COMPUTED_VALUE"""),"https://drive.google.com/file/d/1txlXgwD6d3CV54Suo2vh2MgQQuspuRsp/view?usp=drivesdk")</f>
        <v>https://drive.google.com/file/d/1txlXgwD6d3CV54Suo2vh2MgQQuspuRsp/view?usp=drivesdk</v>
      </c>
      <c r="D123" s="2"/>
      <c r="E123" s="6">
        <v>128.0</v>
      </c>
      <c r="F123" s="2"/>
      <c r="I123" s="3" t="str">
        <f>IFERROR(__xludf.DUMMYFUNCTION("""COMPUTED_VALUE"""),"122. BDubs")</f>
        <v>122. BDubs</v>
      </c>
      <c r="J123" s="4">
        <f>IFERROR(__xludf.DUMMYFUNCTION("if(ISBLANK(I123),"""",SUMPRODUCT(REGEXMATCH(A:A, ""(?i)\b"" &amp; I123 &amp; ""\b"") * 1))"),4.0)</f>
        <v>4</v>
      </c>
      <c r="L123" s="3" t="s">
        <v>143</v>
      </c>
      <c r="M123" s="4">
        <v>4.0</v>
      </c>
    </row>
    <row r="124" ht="14.25" customHeight="1">
      <c r="A124" s="4" t="str">
        <f>IFERROR(__xludf.DUMMYFUNCTION("""COMPUTED_VALUE"""),"36. Scringle, 31. Scraggle")</f>
        <v>36. Scringle, 31. Scraggle</v>
      </c>
      <c r="B124" s="4" t="str">
        <f>IFERROR(__xludf.DUMMYFUNCTION("""COMPUTED_VALUE"""),"36, 31")</f>
        <v>36, 31</v>
      </c>
      <c r="C124" s="5" t="str">
        <f>IFERROR(__xludf.DUMMYFUNCTION("""COMPUTED_VALUE"""),"https://drive.google.com/file/d/1FWw_zfvXrlDtJYH6zISWrWcxr34iMr5D/view?usp=drivesdk")</f>
        <v>https://drive.google.com/file/d/1FWw_zfvXrlDtJYH6zISWrWcxr34iMr5D/view?usp=drivesdk</v>
      </c>
      <c r="D124" s="2"/>
      <c r="E124" s="6">
        <v>129.0</v>
      </c>
      <c r="F124" s="2"/>
      <c r="I124" s="3" t="str">
        <f>IFERROR(__xludf.DUMMYFUNCTION("""COMPUTED_VALUE"""),"123. Temiquini")</f>
        <v>123. Temiquini</v>
      </c>
      <c r="J124" s="4">
        <f>IFERROR(__xludf.DUMMYFUNCTION("if(ISBLANK(I124),"""",SUMPRODUCT(REGEXMATCH(A:A, ""(?i)\b"" &amp; I124 &amp; ""\b"") * 1))"),37.0)</f>
        <v>37</v>
      </c>
      <c r="L124" s="3" t="s">
        <v>144</v>
      </c>
      <c r="M124" s="4">
        <v>4.0</v>
      </c>
    </row>
    <row r="125" ht="14.25" customHeight="1">
      <c r="A125" s="4" t="str">
        <f>IFERROR(__xludf.DUMMYFUNCTION("""COMPUTED_VALUE"""),"31. Scraggle, 36. Scringle")</f>
        <v>31. Scraggle, 36. Scringle</v>
      </c>
      <c r="B125" s="4" t="str">
        <f>IFERROR(__xludf.DUMMYFUNCTION("""COMPUTED_VALUE"""),"31, 36")</f>
        <v>31, 36</v>
      </c>
      <c r="C125" s="5" t="str">
        <f>IFERROR(__xludf.DUMMYFUNCTION("""COMPUTED_VALUE"""),"https://drive.google.com/file/d/1xLI4M4GcTb3Q2bQfZMpjgri3yiVHZ8Lu/view?usp=drivesdk")</f>
        <v>https://drive.google.com/file/d/1xLI4M4GcTb3Q2bQfZMpjgri3yiVHZ8Lu/view?usp=drivesdk</v>
      </c>
      <c r="D125" s="2"/>
      <c r="E125" s="6">
        <v>130.0</v>
      </c>
      <c r="F125" s="2"/>
      <c r="I125" s="3" t="str">
        <f>IFERROR(__xludf.DUMMYFUNCTION("""COMPUTED_VALUE"""),"124. Yumi")</f>
        <v>124. Yumi</v>
      </c>
      <c r="J125" s="4">
        <f>IFERROR(__xludf.DUMMYFUNCTION("if(ISBLANK(I125),"""",SUMPRODUCT(REGEXMATCH(A:A, ""(?i)\b"" &amp; I125 &amp; ""\b"") * 1))"),27.0)</f>
        <v>27</v>
      </c>
      <c r="L125" s="3" t="s">
        <v>145</v>
      </c>
      <c r="M125" s="4">
        <v>4.0</v>
      </c>
    </row>
    <row r="126" ht="14.25" customHeight="1">
      <c r="A126" s="4" t="str">
        <f>IFERROR(__xludf.DUMMYFUNCTION("""COMPUTED_VALUE"""),"31. Scraggle, 37. Dingus")</f>
        <v>31. Scraggle, 37. Dingus</v>
      </c>
      <c r="B126" s="4" t="str">
        <f>IFERROR(__xludf.DUMMYFUNCTION("""COMPUTED_VALUE"""),"31, 37")</f>
        <v>31, 37</v>
      </c>
      <c r="C126" s="5" t="str">
        <f>IFERROR(__xludf.DUMMYFUNCTION("""COMPUTED_VALUE"""),"https://drive.google.com/file/d/1ipPwKO3bKWZ7__y1rlY2yvqb8Un8DKPm/view?usp=drivesdk")</f>
        <v>https://drive.google.com/file/d/1ipPwKO3bKWZ7__y1rlY2yvqb8Un8DKPm/view?usp=drivesdk</v>
      </c>
      <c r="D126" s="2"/>
      <c r="E126" s="6">
        <v>131.0</v>
      </c>
      <c r="F126" s="2"/>
      <c r="I126" s="3" t="str">
        <f>IFERROR(__xludf.DUMMYFUNCTION("""COMPUTED_VALUE"""),"125. Conan Gray")</f>
        <v>125. Conan Gray</v>
      </c>
      <c r="J126" s="4">
        <f>IFERROR(__xludf.DUMMYFUNCTION("if(ISBLANK(I126),"""",SUMPRODUCT(REGEXMATCH(A:A, ""(?i)\b"" &amp; I126 &amp; ""\b"") * 1))"),45.0)</f>
        <v>45</v>
      </c>
      <c r="L126" s="3" t="s">
        <v>23</v>
      </c>
      <c r="M126" s="4">
        <v>3.0</v>
      </c>
    </row>
    <row r="127" ht="14.25" customHeight="1">
      <c r="A127" s="4" t="str">
        <f>IFERROR(__xludf.DUMMYFUNCTION("""COMPUTED_VALUE"""),"3. Ford F-150")</f>
        <v>3. Ford F-150</v>
      </c>
      <c r="B127" s="4" t="str">
        <f>IFERROR(__xludf.DUMMYFUNCTION("""COMPUTED_VALUE"""),"3")</f>
        <v>3</v>
      </c>
      <c r="C127" s="5" t="str">
        <f>IFERROR(__xludf.DUMMYFUNCTION("""COMPUTED_VALUE"""),"https://drive.google.com/file/d/1NIBfedX7vIfFPHVs1c6YqQwFNedhqrgo/view?usp=drivesdk")</f>
        <v>https://drive.google.com/file/d/1NIBfedX7vIfFPHVs1c6YqQwFNedhqrgo/view?usp=drivesdk</v>
      </c>
      <c r="D127" s="2"/>
      <c r="E127" s="6">
        <v>132.0</v>
      </c>
      <c r="F127" s="2"/>
      <c r="I127" s="3" t="str">
        <f>IFERROR(__xludf.DUMMYFUNCTION("""COMPUTED_VALUE"""),"126. Tax Evasion")</f>
        <v>126. Tax Evasion</v>
      </c>
      <c r="J127" s="4">
        <f>IFERROR(__xludf.DUMMYFUNCTION("if(ISBLANK(I127),"""",SUMPRODUCT(REGEXMATCH(A:A, ""(?i)\b"" &amp; I127 &amp; ""\b"") * 1))"),20.0)</f>
        <v>20</v>
      </c>
      <c r="L127" s="3" t="s">
        <v>26</v>
      </c>
      <c r="M127" s="4">
        <v>3.0</v>
      </c>
    </row>
    <row r="128" ht="14.25" customHeight="1">
      <c r="A128" s="4" t="str">
        <f>IFERROR(__xludf.DUMMYFUNCTION("""COMPUTED_VALUE"""),"3. Ford F-150")</f>
        <v>3. Ford F-150</v>
      </c>
      <c r="B128" s="4" t="str">
        <f>IFERROR(__xludf.DUMMYFUNCTION("""COMPUTED_VALUE"""),"3")</f>
        <v>3</v>
      </c>
      <c r="C128" s="5" t="str">
        <f>IFERROR(__xludf.DUMMYFUNCTION("""COMPUTED_VALUE"""),"https://drive.google.com/file/d/1y5YbHHGfba7-cXbxaMJig0YIiy73w7OK/view?usp=drivesdk")</f>
        <v>https://drive.google.com/file/d/1y5YbHHGfba7-cXbxaMJig0YIiy73w7OK/view?usp=drivesdk</v>
      </c>
      <c r="D128" s="2"/>
      <c r="E128" s="6">
        <v>133.0</v>
      </c>
      <c r="F128" s="2"/>
      <c r="I128" s="3" t="str">
        <f>IFERROR(__xludf.DUMMYFUNCTION("""COMPUTED_VALUE"""),"127. Eleanor")</f>
        <v>127. Eleanor</v>
      </c>
      <c r="J128" s="4">
        <f>IFERROR(__xludf.DUMMYFUNCTION("if(ISBLANK(I128),"""",SUMPRODUCT(REGEXMATCH(A:A, ""(?i)\b"" &amp; I128 &amp; ""\b"") * 1))"),40.0)</f>
        <v>40</v>
      </c>
      <c r="L128" s="3" t="s">
        <v>53</v>
      </c>
      <c r="M128" s="4">
        <v>3.0</v>
      </c>
    </row>
    <row r="129" ht="14.25" customHeight="1">
      <c r="A129" s="4" t="str">
        <f>IFERROR(__xludf.DUMMYFUNCTION("""COMPUTED_VALUE"""),"1. Microwave")</f>
        <v>1. Microwave</v>
      </c>
      <c r="B129" s="4" t="str">
        <f>IFERROR(__xludf.DUMMYFUNCTION("""COMPUTED_VALUE"""),"1")</f>
        <v>1</v>
      </c>
      <c r="C129" s="5" t="str">
        <f>IFERROR(__xludf.DUMMYFUNCTION("""COMPUTED_VALUE"""),"https://drive.google.com/file/d/1Wo76htKkYdRYFQxJJTjR5Vbf6-735kJs/view?usp=drivesdk")</f>
        <v>https://drive.google.com/file/d/1Wo76htKkYdRYFQxJJTjR5Vbf6-735kJs/view?usp=drivesdk</v>
      </c>
      <c r="D129" s="2"/>
      <c r="E129" s="6">
        <v>134.0</v>
      </c>
      <c r="F129" s="2"/>
      <c r="I129" s="3" t="str">
        <f>IFERROR(__xludf.DUMMYFUNCTION("""COMPUTED_VALUE"""),"128. Sinatra")</f>
        <v>128. Sinatra</v>
      </c>
      <c r="J129" s="4">
        <f>IFERROR(__xludf.DUMMYFUNCTION("if(ISBLANK(I129),"""",SUMPRODUCT(REGEXMATCH(A:A, ""(?i)\b"" &amp; I129 &amp; ""\b"") * 1))"),30.0)</f>
        <v>30</v>
      </c>
      <c r="L129" s="3" t="s">
        <v>80</v>
      </c>
      <c r="M129" s="4">
        <v>3.0</v>
      </c>
    </row>
    <row r="130" ht="14.25" customHeight="1">
      <c r="A130" s="4" t="str">
        <f>IFERROR(__xludf.DUMMYFUNCTION("""COMPUTED_VALUE"""),"36. Scringle")</f>
        <v>36. Scringle</v>
      </c>
      <c r="B130" s="4" t="str">
        <f>IFERROR(__xludf.DUMMYFUNCTION("""COMPUTED_VALUE"""),"36")</f>
        <v>36</v>
      </c>
      <c r="C130" s="5" t="str">
        <f>IFERROR(__xludf.DUMMYFUNCTION("""COMPUTED_VALUE"""),"https://drive.google.com/file/d/1DS9lBj0gIvKuHl2BXqcER9xbMt7s5u70/view?usp=drivesdk")</f>
        <v>https://drive.google.com/file/d/1DS9lBj0gIvKuHl2BXqcER9xbMt7s5u70/view?usp=drivesdk</v>
      </c>
      <c r="D130" s="2"/>
      <c r="E130" s="6">
        <v>135.0</v>
      </c>
      <c r="F130" s="2"/>
      <c r="I130" s="3" t="str">
        <f>IFERROR(__xludf.DUMMYFUNCTION("""COMPUTED_VALUE"""),"129. Charles")</f>
        <v>129. Charles</v>
      </c>
      <c r="J130" s="4">
        <f>IFERROR(__xludf.DUMMYFUNCTION("if(ISBLANK(I130),"""",SUMPRODUCT(REGEXMATCH(A:A, ""(?i)\b"" &amp; I130 &amp; ""\b"") * 1))"),15.0)</f>
        <v>15</v>
      </c>
      <c r="L130" s="3" t="s">
        <v>83</v>
      </c>
      <c r="M130" s="4">
        <v>3.0</v>
      </c>
    </row>
    <row r="131" ht="14.25" customHeight="1">
      <c r="A131" s="4" t="str">
        <f>IFERROR(__xludf.DUMMYFUNCTION("""COMPUTED_VALUE"""),"20. Citlali")</f>
        <v>20. Citlali</v>
      </c>
      <c r="B131" s="4" t="str">
        <f>IFERROR(__xludf.DUMMYFUNCTION("""COMPUTED_VALUE"""),"20")</f>
        <v>20</v>
      </c>
      <c r="C131" s="5" t="str">
        <f>IFERROR(__xludf.DUMMYFUNCTION("""COMPUTED_VALUE"""),"https://drive.google.com/file/d/1tSbB2t3wDq4RnGYOWTmqdeiXB9AOZuFW/view?usp=drivesdk")</f>
        <v>https://drive.google.com/file/d/1tSbB2t3wDq4RnGYOWTmqdeiXB9AOZuFW/view?usp=drivesdk</v>
      </c>
      <c r="D131" s="2"/>
      <c r="E131" s="6">
        <v>136.0</v>
      </c>
      <c r="F131" s="2"/>
      <c r="I131" s="3" t="str">
        <f>IFERROR(__xludf.DUMMYFUNCTION("""COMPUTED_VALUE"""),"130. Skipper")</f>
        <v>130. Skipper</v>
      </c>
      <c r="J131" s="4">
        <f>IFERROR(__xludf.DUMMYFUNCTION("if(ISBLANK(I131),"""",SUMPRODUCT(REGEXMATCH(A:A, ""(?i)\b"" &amp; I131 &amp; ""\b"") * 1))"),8.0)</f>
        <v>8</v>
      </c>
      <c r="L131" s="3" t="s">
        <v>119</v>
      </c>
      <c r="M131" s="4">
        <v>3.0</v>
      </c>
    </row>
    <row r="132" ht="14.25" customHeight="1">
      <c r="A132" s="4" t="str">
        <f>IFERROR(__xludf.DUMMYFUNCTION("""COMPUTED_VALUE"""),"20. Citlali")</f>
        <v>20. Citlali</v>
      </c>
      <c r="B132" s="4" t="str">
        <f>IFERROR(__xludf.DUMMYFUNCTION("""COMPUTED_VALUE"""),"20")</f>
        <v>20</v>
      </c>
      <c r="C132" s="5" t="str">
        <f>IFERROR(__xludf.DUMMYFUNCTION("""COMPUTED_VALUE"""),"https://drive.google.com/file/d/1QQXVgwjOjsds_wAmk32kswBY-2Xf0w2l/view?usp=drivesdk")</f>
        <v>https://drive.google.com/file/d/1QQXVgwjOjsds_wAmk32kswBY-2Xf0w2l/view?usp=drivesdk</v>
      </c>
      <c r="D132" s="2"/>
      <c r="E132" s="6">
        <v>137.0</v>
      </c>
      <c r="F132" s="2"/>
      <c r="I132" s="3" t="str">
        <f>IFERROR(__xludf.DUMMYFUNCTION("""COMPUTED_VALUE"""),"131. Jazzy")</f>
        <v>131. Jazzy</v>
      </c>
      <c r="J132" s="4">
        <f>IFERROR(__xludf.DUMMYFUNCTION("if(ISBLANK(I132),"""",SUMPRODUCT(REGEXMATCH(A:A, ""(?i)\b"" &amp; I132 &amp; ""\b"") * 1))"),4.0)</f>
        <v>4</v>
      </c>
      <c r="L132" s="3" t="s">
        <v>146</v>
      </c>
      <c r="M132" s="4">
        <v>3.0</v>
      </c>
    </row>
    <row r="133" ht="14.25" customHeight="1">
      <c r="A133" s="4" t="str">
        <f>IFERROR(__xludf.DUMMYFUNCTION("""COMPUTED_VALUE"""),"20. Citlali")</f>
        <v>20. Citlali</v>
      </c>
      <c r="B133" s="4" t="str">
        <f>IFERROR(__xludf.DUMMYFUNCTION("""COMPUTED_VALUE"""),"20")</f>
        <v>20</v>
      </c>
      <c r="C133" s="5" t="str">
        <f>IFERROR(__xludf.DUMMYFUNCTION("""COMPUTED_VALUE"""),"https://drive.google.com/file/d/1NjsXdocd9oFL9-rotqa3MBO0M4SUe4g1/view?usp=drivesdk")</f>
        <v>https://drive.google.com/file/d/1NjsXdocd9oFL9-rotqa3MBO0M4SUe4g1/view?usp=drivesdk</v>
      </c>
      <c r="D133" s="2"/>
      <c r="E133" s="6">
        <v>138.0</v>
      </c>
      <c r="F133" s="2"/>
      <c r="I133" s="3" t="str">
        <f>IFERROR(__xludf.DUMMYFUNCTION("""COMPUTED_VALUE"""),"132. Kelley")</f>
        <v>132. Kelley</v>
      </c>
      <c r="J133" s="4">
        <f>IFERROR(__xludf.DUMMYFUNCTION("if(ISBLANK(I133),"""",SUMPRODUCT(REGEXMATCH(A:A, ""(?i)\b"" &amp; I133 &amp; ""\b"") * 1))"),14.0)</f>
        <v>14</v>
      </c>
      <c r="L133" s="3" t="s">
        <v>147</v>
      </c>
      <c r="M133" s="4">
        <v>3.0</v>
      </c>
    </row>
    <row r="134" ht="14.25" customHeight="1">
      <c r="A134" s="4" t="str">
        <f>IFERROR(__xludf.DUMMYFUNCTION("""COMPUTED_VALUE"""),"1. Microwave")</f>
        <v>1. Microwave</v>
      </c>
      <c r="B134" s="4" t="str">
        <f>IFERROR(__xludf.DUMMYFUNCTION("""COMPUTED_VALUE"""),"1")</f>
        <v>1</v>
      </c>
      <c r="C134" s="5" t="str">
        <f>IFERROR(__xludf.DUMMYFUNCTION("""COMPUTED_VALUE"""),"https://drive.google.com/file/d/1Y2Wied7mXlXg2RtfGFMgoA-8jGm4yZXa/view?usp=drivesdk")</f>
        <v>https://drive.google.com/file/d/1Y2Wied7mXlXg2RtfGFMgoA-8jGm4yZXa/view?usp=drivesdk</v>
      </c>
      <c r="D134" s="2"/>
      <c r="E134" s="6">
        <v>139.0</v>
      </c>
      <c r="F134" s="2"/>
      <c r="I134" s="3" t="str">
        <f>IFERROR(__xludf.DUMMYFUNCTION("""COMPUTED_VALUE"""),"133. Fluff")</f>
        <v>133. Fluff</v>
      </c>
      <c r="J134" s="4">
        <f>IFERROR(__xludf.DUMMYFUNCTION("if(ISBLANK(I134),"""",SUMPRODUCT(REGEXMATCH(A:A, ""(?i)\b"" &amp; I134 &amp; ""\b"") * 1))"),8.0)</f>
        <v>8</v>
      </c>
      <c r="L134" s="3" t="s">
        <v>36</v>
      </c>
      <c r="M134" s="4">
        <v>2.0</v>
      </c>
    </row>
    <row r="135" ht="14.25" customHeight="1">
      <c r="A135" s="4" t="str">
        <f>IFERROR(__xludf.DUMMYFUNCTION("""COMPUTED_VALUE"""),"5. Eraser")</f>
        <v>5. Eraser</v>
      </c>
      <c r="B135" s="4" t="str">
        <f>IFERROR(__xludf.DUMMYFUNCTION("""COMPUTED_VALUE"""),"5")</f>
        <v>5</v>
      </c>
      <c r="C135" s="5" t="str">
        <f>IFERROR(__xludf.DUMMYFUNCTION("""COMPUTED_VALUE"""),"https://drive.google.com/file/d/109ziVzpNw3yi4X5sNROTahcbpToXEwdz/view?usp=drivesdk")</f>
        <v>https://drive.google.com/file/d/109ziVzpNw3yi4X5sNROTahcbpToXEwdz/view?usp=drivesdk</v>
      </c>
      <c r="D135" s="2"/>
      <c r="E135" s="6">
        <v>140.0</v>
      </c>
      <c r="F135" s="2"/>
      <c r="I135" s="3" t="str">
        <f>IFERROR(__xludf.DUMMYFUNCTION("""COMPUTED_VALUE"""),"134. Kacie")</f>
        <v>134. Kacie</v>
      </c>
      <c r="J135" s="4">
        <f>IFERROR(__xludf.DUMMYFUNCTION("if(ISBLANK(I135),"""",SUMPRODUCT(REGEXMATCH(A:A, ""(?i)\b"" &amp; I135 &amp; ""\b"") * 1))"),5.0)</f>
        <v>5</v>
      </c>
      <c r="L135" s="3" t="s">
        <v>81</v>
      </c>
      <c r="M135" s="4">
        <v>2.0</v>
      </c>
    </row>
    <row r="136" ht="14.25" customHeight="1">
      <c r="A136" s="4" t="str">
        <f>IFERROR(__xludf.DUMMYFUNCTION("""COMPUTED_VALUE"""),"2. Twix")</f>
        <v>2. Twix</v>
      </c>
      <c r="B136" s="4" t="str">
        <f>IFERROR(__xludf.DUMMYFUNCTION("""COMPUTED_VALUE"""),"2")</f>
        <v>2</v>
      </c>
      <c r="C136" s="5" t="str">
        <f>IFERROR(__xludf.DUMMYFUNCTION("""COMPUTED_VALUE"""),"https://drive.google.com/file/d/1x14pFnnSxp0XuAEYwegWcTSeigpExw8w/view?usp=drivesdk")</f>
        <v>https://drive.google.com/file/d/1x14pFnnSxp0XuAEYwegWcTSeigpExw8w/view?usp=drivesdk</v>
      </c>
      <c r="D136" s="2"/>
      <c r="E136" s="6">
        <v>141.0</v>
      </c>
      <c r="F136" s="2"/>
      <c r="I136" s="3" t="str">
        <f>IFERROR(__xludf.DUMMYFUNCTION("""COMPUTED_VALUE"""),"135. Tumor")</f>
        <v>135. Tumor</v>
      </c>
      <c r="J136" s="4">
        <f>IFERROR(__xludf.DUMMYFUNCTION("if(ISBLANK(I136),"""",SUMPRODUCT(REGEXMATCH(A:A, ""(?i)\b"" &amp; I136 &amp; ""\b"") * 1))"),2.0)</f>
        <v>2</v>
      </c>
      <c r="L136" s="3" t="s">
        <v>84</v>
      </c>
      <c r="M136" s="4">
        <v>2.0</v>
      </c>
    </row>
    <row r="137" ht="14.25" customHeight="1">
      <c r="A137" s="4" t="str">
        <f>IFERROR(__xludf.DUMMYFUNCTION("""COMPUTED_VALUE"""),"6. Snickers")</f>
        <v>6. Snickers</v>
      </c>
      <c r="B137" s="4" t="str">
        <f>IFERROR(__xludf.DUMMYFUNCTION("""COMPUTED_VALUE"""),"6")</f>
        <v>6</v>
      </c>
      <c r="C137" s="5" t="str">
        <f>IFERROR(__xludf.DUMMYFUNCTION("""COMPUTED_VALUE"""),"https://drive.google.com/file/d/1VuzluHmL2qoytM48GjVL2Vpc3XQpowKH/view?usp=drivesdk")</f>
        <v>https://drive.google.com/file/d/1VuzluHmL2qoytM48GjVL2Vpc3XQpowKH/view?usp=drivesdk</v>
      </c>
      <c r="D137" s="2"/>
      <c r="E137" s="6">
        <v>142.0</v>
      </c>
      <c r="F137" s="2"/>
      <c r="I137" s="3" t="str">
        <f>IFERROR(__xludf.DUMMYFUNCTION("""COMPUTED_VALUE"""),"136. Henry")</f>
        <v>136. Henry</v>
      </c>
      <c r="J137" s="4">
        <f>IFERROR(__xludf.DUMMYFUNCTION("if(ISBLANK(I137),"""",SUMPRODUCT(REGEXMATCH(A:A, ""(?i)\b"" &amp; I137 &amp; ""\b"") * 1))"),3.0)</f>
        <v>3</v>
      </c>
      <c r="L137" s="3" t="s">
        <v>89</v>
      </c>
      <c r="M137" s="4">
        <v>2.0</v>
      </c>
    </row>
    <row r="138" ht="14.25" customHeight="1">
      <c r="A138" s="4" t="str">
        <f>IFERROR(__xludf.DUMMYFUNCTION("""COMPUTED_VALUE"""),"6. Snickers")</f>
        <v>6. Snickers</v>
      </c>
      <c r="B138" s="4" t="str">
        <f>IFERROR(__xludf.DUMMYFUNCTION("""COMPUTED_VALUE"""),"6")</f>
        <v>6</v>
      </c>
      <c r="C138" s="5" t="str">
        <f>IFERROR(__xludf.DUMMYFUNCTION("""COMPUTED_VALUE"""),"https://drive.google.com/file/d/1PYzkhitKLCaIrV42LbsTQ5dKPBPy5AF-/view?usp=drivesdk")</f>
        <v>https://drive.google.com/file/d/1PYzkhitKLCaIrV42LbsTQ5dKPBPy5AF-/view?usp=drivesdk</v>
      </c>
      <c r="D138" s="2"/>
      <c r="E138" s="6">
        <v>143.0</v>
      </c>
      <c r="F138" s="2"/>
      <c r="I138" s="3" t="str">
        <f>IFERROR(__xludf.DUMMYFUNCTION("""COMPUTED_VALUE"""),"137. Harpy")</f>
        <v>137. Harpy</v>
      </c>
      <c r="J138" s="4">
        <f>IFERROR(__xludf.DUMMYFUNCTION("if(ISBLANK(I138),"""",SUMPRODUCT(REGEXMATCH(A:A, ""(?i)\b"" &amp; I138 &amp; ""\b"") * 1))"),14.0)</f>
        <v>14</v>
      </c>
      <c r="L138" s="3" t="s">
        <v>148</v>
      </c>
      <c r="M138" s="4">
        <v>2.0</v>
      </c>
    </row>
    <row r="139" ht="14.25" customHeight="1">
      <c r="A139" s="4" t="str">
        <f>IFERROR(__xludf.DUMMYFUNCTION("""COMPUTED_VALUE"""),"38. Winston, 40. Dumpster")</f>
        <v>38. Winston, 40. Dumpster</v>
      </c>
      <c r="B139" s="4" t="str">
        <f>IFERROR(__xludf.DUMMYFUNCTION("""COMPUTED_VALUE"""),"38, 40")</f>
        <v>38, 40</v>
      </c>
      <c r="C139" s="5" t="str">
        <f>IFERROR(__xludf.DUMMYFUNCTION("""COMPUTED_VALUE"""),"https://drive.google.com/file/d/1Irtbg4wLPL9uHTa5D0KxJ_IVKXXfx7_N/view?usp=drivesdk")</f>
        <v>https://drive.google.com/file/d/1Irtbg4wLPL9uHTa5D0KxJ_IVKXXfx7_N/view?usp=drivesdk</v>
      </c>
      <c r="D139" s="2"/>
      <c r="E139" s="6">
        <v>145.0</v>
      </c>
      <c r="F139" s="2"/>
      <c r="I139" s="3" t="str">
        <f>IFERROR(__xludf.DUMMYFUNCTION("""COMPUTED_VALUE"""),"138. Hare")</f>
        <v>138. Hare</v>
      </c>
      <c r="J139" s="4">
        <f>IFERROR(__xludf.DUMMYFUNCTION("if(ISBLANK(I139),"""",SUMPRODUCT(REGEXMATCH(A:A, ""(?i)\b"" &amp; I139 &amp; ""\b"") * 1))"),10.0)</f>
        <v>10</v>
      </c>
      <c r="L139" s="3" t="s">
        <v>149</v>
      </c>
      <c r="M139" s="4">
        <v>2.0</v>
      </c>
    </row>
    <row r="140" ht="14.25" customHeight="1">
      <c r="A140" s="4" t="str">
        <f>IFERROR(__xludf.DUMMYFUNCTION("""COMPUTED_VALUE"""),"40. Dumpster")</f>
        <v>40. Dumpster</v>
      </c>
      <c r="B140" s="4" t="str">
        <f>IFERROR(__xludf.DUMMYFUNCTION("""COMPUTED_VALUE"""),"40")</f>
        <v>40</v>
      </c>
      <c r="C140" s="5" t="str">
        <f>IFERROR(__xludf.DUMMYFUNCTION("""COMPUTED_VALUE"""),"https://drive.google.com/file/d/12yDVwyxXTChxw1M1wg6ZDRQIacSbzW4z/view?usp=drivesdk")</f>
        <v>https://drive.google.com/file/d/12yDVwyxXTChxw1M1wg6ZDRQIacSbzW4z/view?usp=drivesdk</v>
      </c>
      <c r="D140" s="2"/>
      <c r="E140" s="6">
        <v>147.0</v>
      </c>
      <c r="F140" s="2"/>
      <c r="I140" s="3" t="str">
        <f>IFERROR(__xludf.DUMMYFUNCTION("""COMPUTED_VALUE"""),"139. Hound")</f>
        <v>139. Hound</v>
      </c>
      <c r="J140" s="4">
        <f>IFERROR(__xludf.DUMMYFUNCTION("if(ISBLANK(I140),"""",SUMPRODUCT(REGEXMATCH(A:A, ""(?i)\b"" &amp; I140 &amp; ""\b"") * 1))"),9.0)</f>
        <v>9</v>
      </c>
      <c r="L140" s="3" t="s">
        <v>28</v>
      </c>
      <c r="M140" s="4">
        <v>1.0</v>
      </c>
    </row>
    <row r="141" ht="14.25" customHeight="1">
      <c r="A141" s="4" t="str">
        <f>IFERROR(__xludf.DUMMYFUNCTION("""COMPUTED_VALUE"""),"40. Dumpster")</f>
        <v>40. Dumpster</v>
      </c>
      <c r="B141" s="4" t="str">
        <f>IFERROR(__xludf.DUMMYFUNCTION("""COMPUTED_VALUE"""),"40")</f>
        <v>40</v>
      </c>
      <c r="C141" s="5" t="str">
        <f>IFERROR(__xludf.DUMMYFUNCTION("""COMPUTED_VALUE"""),"https://drive.google.com/file/d/1h29CDPC_3LtXl4Vb3HWsm4q6B-nr_mTr/view?usp=drivesdk")</f>
        <v>https://drive.google.com/file/d/1h29CDPC_3LtXl4Vb3HWsm4q6B-nr_mTr/view?usp=drivesdk</v>
      </c>
      <c r="D141" s="2"/>
      <c r="E141" s="6">
        <v>148.0</v>
      </c>
      <c r="F141" s="2"/>
      <c r="I141" s="3" t="str">
        <f>IFERROR(__xludf.DUMMYFUNCTION("""COMPUTED_VALUE"""),"140. Gordon")</f>
        <v>140. Gordon</v>
      </c>
      <c r="J141" s="4">
        <f>IFERROR(__xludf.DUMMYFUNCTION("if(ISBLANK(I141),"""",SUMPRODUCT(REGEXMATCH(A:A, ""(?i)\b"" &amp; I141 &amp; ""\b"") * 1))"),5.0)</f>
        <v>5</v>
      </c>
      <c r="L141" s="3" t="s">
        <v>30</v>
      </c>
      <c r="M141" s="4">
        <v>1.0</v>
      </c>
    </row>
    <row r="142" ht="14.25" customHeight="1">
      <c r="A142" s="4" t="str">
        <f>IFERROR(__xludf.DUMMYFUNCTION("""COMPUTED_VALUE"""),"27. Angel")</f>
        <v>27. Angel</v>
      </c>
      <c r="B142" s="4" t="str">
        <f>IFERROR(__xludf.DUMMYFUNCTION("""COMPUTED_VALUE"""),"27")</f>
        <v>27</v>
      </c>
      <c r="C142" s="5" t="str">
        <f>IFERROR(__xludf.DUMMYFUNCTION("""COMPUTED_VALUE"""),"https://drive.google.com/file/d/1n6bQxavIAe_X5c3AoQzRw4FZx0aRY9hc/view?usp=drivesdk")</f>
        <v>https://drive.google.com/file/d/1n6bQxavIAe_X5c3AoQzRw4FZx0aRY9hc/view?usp=drivesdk</v>
      </c>
      <c r="D142" s="2"/>
      <c r="E142" s="6">
        <v>149.0</v>
      </c>
      <c r="F142" s="2"/>
      <c r="I142" s="3" t="str">
        <f>IFERROR(__xludf.DUMMYFUNCTION("""COMPUTED_VALUE"""),"141. Kamahalan")</f>
        <v>141. Kamahalan</v>
      </c>
      <c r="J142" s="4">
        <f>IFERROR(__xludf.DUMMYFUNCTION("if(ISBLANK(I142),"""",SUMPRODUCT(REGEXMATCH(A:A, ""(?i)\b"" &amp; I142 &amp; ""\b"") * 1))"),64.0)</f>
        <v>64</v>
      </c>
      <c r="L142" s="3" t="s">
        <v>32</v>
      </c>
      <c r="M142" s="4">
        <v>1.0</v>
      </c>
    </row>
    <row r="143" ht="14.25" customHeight="1">
      <c r="A143" s="4" t="str">
        <f>IFERROR(__xludf.DUMMYFUNCTION("""COMPUTED_VALUE"""),"30. Pepper")</f>
        <v>30. Pepper</v>
      </c>
      <c r="B143" s="4" t="str">
        <f>IFERROR(__xludf.DUMMYFUNCTION("""COMPUTED_VALUE"""),"30")</f>
        <v>30</v>
      </c>
      <c r="C143" s="5" t="str">
        <f>IFERROR(__xludf.DUMMYFUNCTION("""COMPUTED_VALUE"""),"https://drive.google.com/file/d/1DfknMcxKEH5pPNWxeOAssjLWPB0sQWmm/view?usp=drivesdk")</f>
        <v>https://drive.google.com/file/d/1DfknMcxKEH5pPNWxeOAssjLWPB0sQWmm/view?usp=drivesdk</v>
      </c>
      <c r="D143" s="2"/>
      <c r="E143" s="6">
        <v>150.0</v>
      </c>
      <c r="F143" s="2"/>
      <c r="I143" s="3" t="str">
        <f>IFERROR(__xludf.DUMMYFUNCTION("""COMPUTED_VALUE"""),"142. Teddy")</f>
        <v>142. Teddy</v>
      </c>
      <c r="J143" s="4">
        <f>IFERROR(__xludf.DUMMYFUNCTION("if(ISBLANK(I143),"""",SUMPRODUCT(REGEXMATCH(A:A, ""(?i)\b"" &amp; I143 &amp; ""\b"") * 1))"),4.0)</f>
        <v>4</v>
      </c>
      <c r="L143" s="3" t="s">
        <v>60</v>
      </c>
      <c r="M143" s="4">
        <v>1.0</v>
      </c>
    </row>
    <row r="144" ht="14.25" customHeight="1">
      <c r="A144" s="4" t="str">
        <f>IFERROR(__xludf.DUMMYFUNCTION("""COMPUTED_VALUE"""),"29. Ginger")</f>
        <v>29. Ginger</v>
      </c>
      <c r="B144" s="4" t="str">
        <f>IFERROR(__xludf.DUMMYFUNCTION("""COMPUTED_VALUE"""),"29")</f>
        <v>29</v>
      </c>
      <c r="C144" s="5" t="str">
        <f>IFERROR(__xludf.DUMMYFUNCTION("""COMPUTED_VALUE"""),"https://drive.google.com/file/d/18DbK4H3jf8RLi2h8tJrMOKqJZKunqHiE/view?usp=drivesdk")</f>
        <v>https://drive.google.com/file/d/18DbK4H3jf8RLi2h8tJrMOKqJZKunqHiE/view?usp=drivesdk</v>
      </c>
      <c r="D144" s="2"/>
      <c r="E144" s="6">
        <v>151.0</v>
      </c>
      <c r="F144" s="2"/>
      <c r="I144" s="3" t="str">
        <f>IFERROR(__xludf.DUMMYFUNCTION("""COMPUTED_VALUE"""),"143. Timothy")</f>
        <v>143. Timothy</v>
      </c>
      <c r="J144" s="4">
        <f>IFERROR(__xludf.DUMMYFUNCTION("if(ISBLANK(I144),"""",SUMPRODUCT(REGEXMATCH(A:A, ""(?i)\b"" &amp; I144 &amp; ""\b"") * 1))"),4.0)</f>
        <v>4</v>
      </c>
      <c r="L144" s="3" t="s">
        <v>105</v>
      </c>
      <c r="M144" s="4">
        <v>1.0</v>
      </c>
    </row>
    <row r="145" ht="14.25" customHeight="1">
      <c r="A145" s="4" t="str">
        <f>IFERROR(__xludf.DUMMYFUNCTION("""COMPUTED_VALUE"""),"36. Scringle, 31. Scraggle")</f>
        <v>36. Scringle, 31. Scraggle</v>
      </c>
      <c r="B145" s="4" t="str">
        <f>IFERROR(__xludf.DUMMYFUNCTION("""COMPUTED_VALUE"""),"36, 31")</f>
        <v>36, 31</v>
      </c>
      <c r="C145" s="5" t="str">
        <f>IFERROR(__xludf.DUMMYFUNCTION("""COMPUTED_VALUE"""),"https://drive.google.com/file/d/1pz8GwVjGp1-guk8SsztKRB7MdWcmUuUj/view?usp=drivesdk")</f>
        <v>https://drive.google.com/file/d/1pz8GwVjGp1-guk8SsztKRB7MdWcmUuUj/view?usp=drivesdk</v>
      </c>
      <c r="D145" s="2"/>
      <c r="E145" s="6">
        <v>154.0</v>
      </c>
      <c r="F145" s="2"/>
      <c r="I145" s="3" t="str">
        <f>IFERROR(__xludf.DUMMYFUNCTION("""COMPUTED_VALUE"""),"144. Peats")</f>
        <v>144. Peats</v>
      </c>
      <c r="J145" s="4">
        <f>IFERROR(__xludf.DUMMYFUNCTION("if(ISBLANK(I145),"""",SUMPRODUCT(REGEXMATCH(A:A, ""(?i)\b"" &amp; I145 &amp; ""\b"") * 1))"),10.0)</f>
        <v>10</v>
      </c>
      <c r="L145" s="3" t="s">
        <v>109</v>
      </c>
      <c r="M145" s="4">
        <v>1.0</v>
      </c>
    </row>
    <row r="146" ht="14.25" customHeight="1">
      <c r="A146" s="4" t="str">
        <f>IFERROR(__xludf.DUMMYFUNCTION("""COMPUTED_VALUE"""),"36. Scringle, 31. Scraggle")</f>
        <v>36. Scringle, 31. Scraggle</v>
      </c>
      <c r="B146" s="4" t="str">
        <f>IFERROR(__xludf.DUMMYFUNCTION("""COMPUTED_VALUE"""),"36, 31")</f>
        <v>36, 31</v>
      </c>
      <c r="C146" s="5" t="str">
        <f>IFERROR(__xludf.DUMMYFUNCTION("""COMPUTED_VALUE"""),"https://drive.google.com/file/d/1LDzzGN9cnDns6lQ0eD2TGCHhaMvENGAt/view?usp=drivesdk")</f>
        <v>https://drive.google.com/file/d/1LDzzGN9cnDns6lQ0eD2TGCHhaMvENGAt/view?usp=drivesdk</v>
      </c>
      <c r="D146" s="2"/>
      <c r="E146" s="6">
        <v>155.0</v>
      </c>
      <c r="F146" s="2"/>
      <c r="I146" s="3" t="str">
        <f>IFERROR(__xludf.DUMMYFUNCTION("""COMPUTED_VALUE"""),"145. Bagel")</f>
        <v>145. Bagel</v>
      </c>
      <c r="J146" s="4">
        <f>IFERROR(__xludf.DUMMYFUNCTION("if(ISBLANK(I146),"""",SUMPRODUCT(REGEXMATCH(A:A, ""(?i)\b"" &amp; I146 &amp; ""\b"") * 1))"),1.0)</f>
        <v>1</v>
      </c>
      <c r="L146" s="3" t="s">
        <v>150</v>
      </c>
      <c r="M146" s="4">
        <v>1.0</v>
      </c>
    </row>
    <row r="147" ht="14.25" customHeight="1">
      <c r="A147" s="4" t="str">
        <f>IFERROR(__xludf.DUMMYFUNCTION("""COMPUTED_VALUE"""),"36. Scringle")</f>
        <v>36. Scringle</v>
      </c>
      <c r="B147" s="4" t="str">
        <f>IFERROR(__xludf.DUMMYFUNCTION("""COMPUTED_VALUE"""),"36")</f>
        <v>36</v>
      </c>
      <c r="C147" s="5" t="str">
        <f>IFERROR(__xludf.DUMMYFUNCTION("""COMPUTED_VALUE"""),"https://drive.google.com/file/d/1TwjcSzEIzQNysBZBti0U9a3gATekBO3O/view?usp=drivesdk")</f>
        <v>https://drive.google.com/file/d/1TwjcSzEIzQNysBZBti0U9a3gATekBO3O/view?usp=drivesdk</v>
      </c>
      <c r="D147" s="2"/>
      <c r="E147" s="6">
        <v>156.0</v>
      </c>
      <c r="F147" s="2"/>
      <c r="I147" s="3" t="str">
        <f>IFERROR(__xludf.DUMMYFUNCTION("""COMPUTED_VALUE"""),"146. Monsieur Stanky")</f>
        <v>146. Monsieur Stanky</v>
      </c>
      <c r="J147" s="4">
        <f>IFERROR(__xludf.DUMMYFUNCTION("if(ISBLANK(I147),"""",SUMPRODUCT(REGEXMATCH(A:A, ""(?i)\b"" &amp; I147 &amp; ""\b"") * 1))"),27.0)</f>
        <v>27</v>
      </c>
      <c r="L147" s="3" t="s">
        <v>151</v>
      </c>
      <c r="M147" s="4">
        <v>1.0</v>
      </c>
    </row>
    <row r="148" ht="14.25" customHeight="1">
      <c r="A148" s="4" t="str">
        <f>IFERROR(__xludf.DUMMYFUNCTION("""COMPUTED_VALUE"""),"40. Dumpster")</f>
        <v>40. Dumpster</v>
      </c>
      <c r="B148" s="4" t="str">
        <f>IFERROR(__xludf.DUMMYFUNCTION("""COMPUTED_VALUE"""),"40")</f>
        <v>40</v>
      </c>
      <c r="C148" s="5" t="str">
        <f>IFERROR(__xludf.DUMMYFUNCTION("""COMPUTED_VALUE"""),"https://drive.google.com/file/d/1Ibp7NxrjXhaKteWotkn0B_tk3qsOgCXh/view?usp=drivesdk")</f>
        <v>https://drive.google.com/file/d/1Ibp7NxrjXhaKteWotkn0B_tk3qsOgCXh/view?usp=drivesdk</v>
      </c>
      <c r="D148" s="2"/>
      <c r="E148" s="6">
        <v>157.0</v>
      </c>
      <c r="F148" s="2"/>
      <c r="I148" s="3" t="str">
        <f>IFERROR(__xludf.DUMMYFUNCTION("""COMPUTED_VALUE"""),"147. Tenextic")</f>
        <v>147. Tenextic</v>
      </c>
      <c r="J148" s="4">
        <f>IFERROR(__xludf.DUMMYFUNCTION("if(ISBLANK(I148),"""",SUMPRODUCT(REGEXMATCH(A:A, ""(?i)\b"" &amp; I148 &amp; ""\b"") * 1))"),8.0)</f>
        <v>8</v>
      </c>
      <c r="L148" s="3" t="s">
        <v>152</v>
      </c>
      <c r="M148" s="4">
        <v>1.0</v>
      </c>
    </row>
    <row r="149" ht="14.25" customHeight="1">
      <c r="A149" s="4" t="str">
        <f>IFERROR(__xludf.DUMMYFUNCTION("""COMPUTED_VALUE"""),"44. Shitbag Cuntface")</f>
        <v>44. Shitbag Cuntface</v>
      </c>
      <c r="B149" s="4" t="str">
        <f>IFERROR(__xludf.DUMMYFUNCTION("""COMPUTED_VALUE"""),"44")</f>
        <v>44</v>
      </c>
      <c r="C149" s="5" t="str">
        <f>IFERROR(__xludf.DUMMYFUNCTION("""COMPUTED_VALUE"""),"https://drive.google.com/file/d/1jm0kQ8KNQCAgd3rpnzTOrLsQkQir_XvG/view?usp=drivesdk")</f>
        <v>https://drive.google.com/file/d/1jm0kQ8KNQCAgd3rpnzTOrLsQkQir_XvG/view?usp=drivesdk</v>
      </c>
      <c r="D149" s="2"/>
      <c r="E149" s="6">
        <v>158.0</v>
      </c>
      <c r="F149" s="2"/>
      <c r="I149" s="3" t="str">
        <f>IFERROR(__xludf.DUMMYFUNCTION("""COMPUTED_VALUE"""),"148. Neyo")</f>
        <v>148. Neyo</v>
      </c>
      <c r="J149" s="4">
        <f>IFERROR(__xludf.DUMMYFUNCTION("if(ISBLANK(I149),"""",SUMPRODUCT(REGEXMATCH(A:A, ""(?i)\b"" &amp; I149 &amp; ""\b"") * 1))"),3.0)</f>
        <v>3</v>
      </c>
      <c r="L149" s="3" t="s">
        <v>153</v>
      </c>
      <c r="M149" s="4">
        <v>1.0</v>
      </c>
    </row>
    <row r="150" ht="14.25" customHeight="1">
      <c r="A150" s="4" t="str">
        <f>IFERROR(__xludf.DUMMYFUNCTION("""COMPUTED_VALUE"""),"46. Princess")</f>
        <v>46. Princess</v>
      </c>
      <c r="B150" s="4" t="str">
        <f>IFERROR(__xludf.DUMMYFUNCTION("""COMPUTED_VALUE"""),"46")</f>
        <v>46</v>
      </c>
      <c r="C150" s="5" t="str">
        <f>IFERROR(__xludf.DUMMYFUNCTION("""COMPUTED_VALUE"""),"https://drive.google.com/file/d/1YQLQoedQz978aARMUMIrVjWoMn-8IYvD/view?usp=drivesdk")</f>
        <v>https://drive.google.com/file/d/1YQLQoedQz978aARMUMIrVjWoMn-8IYvD/view?usp=drivesdk</v>
      </c>
      <c r="D150" s="2"/>
      <c r="E150" s="6">
        <v>159.0</v>
      </c>
      <c r="F150" s="2"/>
      <c r="I150" s="3" t="str">
        <f>IFERROR(__xludf.DUMMYFUNCTION("""COMPUTED_VALUE"""),"149. Mango")</f>
        <v>149. Mango</v>
      </c>
    </row>
    <row r="151" ht="14.25" customHeight="1">
      <c r="A151" s="4" t="str">
        <f>IFERROR(__xludf.DUMMYFUNCTION("""COMPUTED_VALUE"""),"46. Princess")</f>
        <v>46. Princess</v>
      </c>
      <c r="B151" s="4" t="str">
        <f>IFERROR(__xludf.DUMMYFUNCTION("""COMPUTED_VALUE"""),"46")</f>
        <v>46</v>
      </c>
      <c r="C151" s="5" t="str">
        <f>IFERROR(__xludf.DUMMYFUNCTION("""COMPUTED_VALUE"""),"https://drive.google.com/file/d/1CCtVRS0hO-gmpBWVP0ebudAMXqvChcZy/view?usp=drivesdk")</f>
        <v>https://drive.google.com/file/d/1CCtVRS0hO-gmpBWVP0ebudAMXqvChcZy/view?usp=drivesdk</v>
      </c>
      <c r="D151" s="2"/>
      <c r="E151" s="6">
        <v>160.0</v>
      </c>
      <c r="F151" s="2"/>
      <c r="I151" s="4"/>
    </row>
    <row r="152" ht="14.25" customHeight="1">
      <c r="A152" s="4" t="str">
        <f>IFERROR(__xludf.DUMMYFUNCTION("""COMPUTED_VALUE"""),"38. Winston")</f>
        <v>38. Winston</v>
      </c>
      <c r="B152" s="4" t="str">
        <f>IFERROR(__xludf.DUMMYFUNCTION("""COMPUTED_VALUE"""),"38")</f>
        <v>38</v>
      </c>
      <c r="C152" s="5" t="str">
        <f>IFERROR(__xludf.DUMMYFUNCTION("""COMPUTED_VALUE"""),"https://drive.google.com/file/d/1Ni1ZpceX3e984Ga_TtjzvVo0TKNGgWZ0/view?usp=drivesdk")</f>
        <v>https://drive.google.com/file/d/1Ni1ZpceX3e984Ga_TtjzvVo0TKNGgWZ0/view?usp=drivesdk</v>
      </c>
      <c r="D152" s="2"/>
      <c r="E152" s="6">
        <v>161.0</v>
      </c>
      <c r="F152" s="2"/>
      <c r="I152" s="4"/>
    </row>
    <row r="153" ht="14.25" customHeight="1">
      <c r="A153" s="4" t="str">
        <f>IFERROR(__xludf.DUMMYFUNCTION("""COMPUTED_VALUE"""),"12. Faye, 40. Dumpster")</f>
        <v>12. Faye, 40. Dumpster</v>
      </c>
      <c r="B153" s="4" t="str">
        <f>IFERROR(__xludf.DUMMYFUNCTION("""COMPUTED_VALUE"""),"12, 40")</f>
        <v>12, 40</v>
      </c>
      <c r="C153" s="5" t="str">
        <f>IFERROR(__xludf.DUMMYFUNCTION("""COMPUTED_VALUE"""),"https://drive.google.com/file/d/1GMGxVcuXx6xX210lxzq-YKktFY6uGAaQ/view?usp=drivesdk")</f>
        <v>https://drive.google.com/file/d/1GMGxVcuXx6xX210lxzq-YKktFY6uGAaQ/view?usp=drivesdk</v>
      </c>
      <c r="D153" s="2"/>
      <c r="E153" s="6">
        <v>162.0</v>
      </c>
      <c r="F153" s="2"/>
      <c r="I153" s="4"/>
    </row>
    <row r="154" ht="14.25" customHeight="1">
      <c r="A154" s="4" t="str">
        <f>IFERROR(__xludf.DUMMYFUNCTION("""COMPUTED_VALUE"""),"40. Dumpster")</f>
        <v>40. Dumpster</v>
      </c>
      <c r="B154" s="4" t="str">
        <f>IFERROR(__xludf.DUMMYFUNCTION("""COMPUTED_VALUE"""),"40")</f>
        <v>40</v>
      </c>
      <c r="C154" s="5" t="str">
        <f>IFERROR(__xludf.DUMMYFUNCTION("""COMPUTED_VALUE"""),"https://drive.google.com/file/d/1RT19N6691_u-p5KpCFqpi61wyIy0_RNg/view?usp=drivesdk")</f>
        <v>https://drive.google.com/file/d/1RT19N6691_u-p5KpCFqpi61wyIy0_RNg/view?usp=drivesdk</v>
      </c>
      <c r="D154" s="2"/>
      <c r="E154" s="6">
        <v>163.0</v>
      </c>
      <c r="F154" s="2"/>
      <c r="I154" s="4"/>
    </row>
    <row r="155" ht="14.25" customHeight="1">
      <c r="A155" s="4" t="str">
        <f>IFERROR(__xludf.DUMMYFUNCTION("""COMPUTED_VALUE"""),"38. Winston")</f>
        <v>38. Winston</v>
      </c>
      <c r="B155" s="4" t="str">
        <f>IFERROR(__xludf.DUMMYFUNCTION("""COMPUTED_VALUE"""),"38")</f>
        <v>38</v>
      </c>
      <c r="C155" s="5" t="str">
        <f>IFERROR(__xludf.DUMMYFUNCTION("""COMPUTED_VALUE"""),"https://drive.google.com/file/d/1q-k4i9dvRjLz1-W-UJyV2LCYrEa5kSGc/view?usp=drivesdk")</f>
        <v>https://drive.google.com/file/d/1q-k4i9dvRjLz1-W-UJyV2LCYrEa5kSGc/view?usp=drivesdk</v>
      </c>
      <c r="D155" s="2"/>
      <c r="E155" s="6">
        <v>164.0</v>
      </c>
      <c r="F155" s="2"/>
      <c r="I155" s="4"/>
    </row>
    <row r="156" ht="14.25" customHeight="1">
      <c r="A156" s="4" t="str">
        <f>IFERROR(__xludf.DUMMYFUNCTION("""COMPUTED_VALUE"""),"46. Princess")</f>
        <v>46. Princess</v>
      </c>
      <c r="B156" s="4" t="str">
        <f>IFERROR(__xludf.DUMMYFUNCTION("""COMPUTED_VALUE"""),"46")</f>
        <v>46</v>
      </c>
      <c r="C156" s="5" t="str">
        <f>IFERROR(__xludf.DUMMYFUNCTION("""COMPUTED_VALUE"""),"https://drive.google.com/file/d/1Yqn21XvJz1dkoNCAJm1EDbHjKstbdwGm/view?usp=drivesdk")</f>
        <v>https://drive.google.com/file/d/1Yqn21XvJz1dkoNCAJm1EDbHjKstbdwGm/view?usp=drivesdk</v>
      </c>
      <c r="D156" s="2"/>
      <c r="E156" s="6">
        <v>165.0</v>
      </c>
      <c r="F156" s="2"/>
      <c r="I156" s="4"/>
    </row>
    <row r="157" ht="14.25" customHeight="1">
      <c r="A157" s="4" t="str">
        <f>IFERROR(__xludf.DUMMYFUNCTION("""COMPUTED_VALUE"""),"46. Princess")</f>
        <v>46. Princess</v>
      </c>
      <c r="B157" s="4" t="str">
        <f>IFERROR(__xludf.DUMMYFUNCTION("""COMPUTED_VALUE"""),"46")</f>
        <v>46</v>
      </c>
      <c r="C157" s="5" t="str">
        <f>IFERROR(__xludf.DUMMYFUNCTION("""COMPUTED_VALUE"""),"https://drive.google.com/file/d/1FcomajZkym5V1NvbrBtzbVPMRtn_fd65/view?usp=drivesdk")</f>
        <v>https://drive.google.com/file/d/1FcomajZkym5V1NvbrBtzbVPMRtn_fd65/view?usp=drivesdk</v>
      </c>
      <c r="D157" s="2"/>
      <c r="E157" s="6">
        <v>166.0</v>
      </c>
      <c r="F157" s="2"/>
      <c r="I157" s="4"/>
    </row>
    <row r="158" ht="14.25" customHeight="1">
      <c r="A158" s="4" t="str">
        <f>IFERROR(__xludf.DUMMYFUNCTION("""COMPUTED_VALUE"""),"44. Shitbag Cuntface")</f>
        <v>44. Shitbag Cuntface</v>
      </c>
      <c r="B158" s="4" t="str">
        <f>IFERROR(__xludf.DUMMYFUNCTION("""COMPUTED_VALUE"""),"44")</f>
        <v>44</v>
      </c>
      <c r="C158" s="5" t="str">
        <f>IFERROR(__xludf.DUMMYFUNCTION("""COMPUTED_VALUE"""),"https://drive.google.com/file/d/1lFGgnX_vy-tewtpfvKzSJ_IvcS_nXbje/view?usp=drivesdk")</f>
        <v>https://drive.google.com/file/d/1lFGgnX_vy-tewtpfvKzSJ_IvcS_nXbje/view?usp=drivesdk</v>
      </c>
      <c r="D158" s="2"/>
      <c r="E158" s="6">
        <v>167.0</v>
      </c>
      <c r="F158" s="2"/>
      <c r="I158" s="4"/>
    </row>
    <row r="159" ht="14.25" customHeight="1">
      <c r="A159" s="4" t="str">
        <f>IFERROR(__xludf.DUMMYFUNCTION("""COMPUTED_VALUE"""),"44. Shitbag Cuntface")</f>
        <v>44. Shitbag Cuntface</v>
      </c>
      <c r="B159" s="4" t="str">
        <f>IFERROR(__xludf.DUMMYFUNCTION("""COMPUTED_VALUE"""),"44")</f>
        <v>44</v>
      </c>
      <c r="C159" s="5" t="str">
        <f>IFERROR(__xludf.DUMMYFUNCTION("""COMPUTED_VALUE"""),"https://drive.google.com/file/d/1o6rtpX_5GjlHuEX10vuYZEbu8Fa19G8V/view?usp=drivesdk")</f>
        <v>https://drive.google.com/file/d/1o6rtpX_5GjlHuEX10vuYZEbu8Fa19G8V/view?usp=drivesdk</v>
      </c>
      <c r="D159" s="2"/>
      <c r="E159" s="6">
        <v>168.0</v>
      </c>
      <c r="F159" s="2"/>
      <c r="I159" s="4"/>
    </row>
    <row r="160" ht="14.25" customHeight="1">
      <c r="A160" s="4" t="str">
        <f>IFERROR(__xludf.DUMMYFUNCTION("""COMPUTED_VALUE"""),"41. Gregory")</f>
        <v>41. Gregory</v>
      </c>
      <c r="B160" s="4" t="str">
        <f>IFERROR(__xludf.DUMMYFUNCTION("""COMPUTED_VALUE"""),"41")</f>
        <v>41</v>
      </c>
      <c r="C160" s="5" t="str">
        <f>IFERROR(__xludf.DUMMYFUNCTION("""COMPUTED_VALUE"""),"https://drive.google.com/file/d/1h1AWaLqBjRXTdzg6pkGW8FEpQn-BLx7f/view?usp=drivesdk")</f>
        <v>https://drive.google.com/file/d/1h1AWaLqBjRXTdzg6pkGW8FEpQn-BLx7f/view?usp=drivesdk</v>
      </c>
      <c r="D160" s="2"/>
      <c r="E160" s="6">
        <v>169.0</v>
      </c>
      <c r="F160" s="2"/>
      <c r="I160" s="4"/>
    </row>
    <row r="161" ht="14.25" customHeight="1">
      <c r="A161" s="4" t="str">
        <f>IFERROR(__xludf.DUMMYFUNCTION("""COMPUTED_VALUE"""),"41. Gregory")</f>
        <v>41. Gregory</v>
      </c>
      <c r="B161" s="4" t="str">
        <f>IFERROR(__xludf.DUMMYFUNCTION("""COMPUTED_VALUE"""),"41")</f>
        <v>41</v>
      </c>
      <c r="C161" s="5" t="str">
        <f>IFERROR(__xludf.DUMMYFUNCTION("""COMPUTED_VALUE"""),"https://drive.google.com/file/d/1Ncd_vs_hA7UsWUmmU3ZWKG2AGzk9hBCN/view?usp=drivesdk")</f>
        <v>https://drive.google.com/file/d/1Ncd_vs_hA7UsWUmmU3ZWKG2AGzk9hBCN/view?usp=drivesdk</v>
      </c>
      <c r="D161" s="2"/>
      <c r="E161" s="6">
        <v>170.0</v>
      </c>
      <c r="F161" s="2"/>
      <c r="I161" s="4"/>
    </row>
    <row r="162" ht="14.25" customHeight="1">
      <c r="A162" s="4" t="str">
        <f>IFERROR(__xludf.DUMMYFUNCTION("""COMPUTED_VALUE"""),"41. Gregory")</f>
        <v>41. Gregory</v>
      </c>
      <c r="B162" s="4" t="str">
        <f>IFERROR(__xludf.DUMMYFUNCTION("""COMPUTED_VALUE"""),"41")</f>
        <v>41</v>
      </c>
      <c r="C162" s="5" t="str">
        <f>IFERROR(__xludf.DUMMYFUNCTION("""COMPUTED_VALUE"""),"https://drive.google.com/file/d/1HN0oXoyZhc7TVi2IOcR-yE310yRfzkjK/view?usp=drivesdk")</f>
        <v>https://drive.google.com/file/d/1HN0oXoyZhc7TVi2IOcR-yE310yRfzkjK/view?usp=drivesdk</v>
      </c>
      <c r="D162" s="2"/>
      <c r="E162" s="6">
        <v>171.0</v>
      </c>
      <c r="F162" s="2"/>
      <c r="I162" s="4"/>
    </row>
    <row r="163" ht="14.25" customHeight="1">
      <c r="A163" s="4" t="str">
        <f>IFERROR(__xludf.DUMMYFUNCTION("""COMPUTED_VALUE"""),"12. Faye")</f>
        <v>12. Faye</v>
      </c>
      <c r="B163" s="4" t="str">
        <f>IFERROR(__xludf.DUMMYFUNCTION("""COMPUTED_VALUE"""),"12")</f>
        <v>12</v>
      </c>
      <c r="C163" s="5" t="str">
        <f>IFERROR(__xludf.DUMMYFUNCTION("""COMPUTED_VALUE"""),"https://drive.google.com/file/d/1WT1KTufpvMxZFrmTQiy24RYlXLjj9UFW/view?usp=drivesdk")</f>
        <v>https://drive.google.com/file/d/1WT1KTufpvMxZFrmTQiy24RYlXLjj9UFW/view?usp=drivesdk</v>
      </c>
      <c r="D163" s="2"/>
      <c r="E163" s="6">
        <v>172.0</v>
      </c>
      <c r="F163" s="2"/>
      <c r="I163" s="4"/>
    </row>
    <row r="164" ht="14.25" customHeight="1">
      <c r="A164" s="4" t="str">
        <f>IFERROR(__xludf.DUMMYFUNCTION("""COMPUTED_VALUE"""),"41. Gregory")</f>
        <v>41. Gregory</v>
      </c>
      <c r="B164" s="4" t="str">
        <f>IFERROR(__xludf.DUMMYFUNCTION("""COMPUTED_VALUE"""),"41")</f>
        <v>41</v>
      </c>
      <c r="C164" s="5" t="str">
        <f>IFERROR(__xludf.DUMMYFUNCTION("""COMPUTED_VALUE"""),"https://drive.google.com/file/d/1UCQzeodRUX6irjXB39vuFv7IYGsCq5-G/view?usp=drivesdk")</f>
        <v>https://drive.google.com/file/d/1UCQzeodRUX6irjXB39vuFv7IYGsCq5-G/view?usp=drivesdk</v>
      </c>
      <c r="D164" s="2"/>
      <c r="E164" s="6">
        <v>173.0</v>
      </c>
      <c r="F164" s="2"/>
      <c r="I164" s="4"/>
    </row>
    <row r="165" ht="14.25" customHeight="1">
      <c r="A165" s="4" t="str">
        <f>IFERROR(__xludf.DUMMYFUNCTION("""COMPUTED_VALUE"""),"42. Rubber")</f>
        <v>42. Rubber</v>
      </c>
      <c r="B165" s="4" t="str">
        <f>IFERROR(__xludf.DUMMYFUNCTION("""COMPUTED_VALUE"""),"42")</f>
        <v>42</v>
      </c>
      <c r="C165" s="5" t="str">
        <f>IFERROR(__xludf.DUMMYFUNCTION("""COMPUTED_VALUE"""),"https://drive.google.com/file/d/1TROjeKMSrqQgZyhJ6kABTjY_EMFfHEhs/view?usp=drivesdk")</f>
        <v>https://drive.google.com/file/d/1TROjeKMSrqQgZyhJ6kABTjY_EMFfHEhs/view?usp=drivesdk</v>
      </c>
      <c r="D165" s="2"/>
      <c r="E165" s="6">
        <v>174.0</v>
      </c>
      <c r="F165" s="2"/>
      <c r="I165" s="4"/>
    </row>
    <row r="166" ht="14.25" customHeight="1">
      <c r="A166" s="4" t="str">
        <f>IFERROR(__xludf.DUMMYFUNCTION("""COMPUTED_VALUE"""),"39. Radar")</f>
        <v>39. Radar</v>
      </c>
      <c r="B166" s="4" t="str">
        <f>IFERROR(__xludf.DUMMYFUNCTION("""COMPUTED_VALUE"""),"39")</f>
        <v>39</v>
      </c>
      <c r="C166" s="5" t="str">
        <f>IFERROR(__xludf.DUMMYFUNCTION("""COMPUTED_VALUE"""),"https://drive.google.com/file/d/17_YEiVqGgnrioIGFbdaLNsTj_unoJ8U0/view?usp=drivesdk")</f>
        <v>https://drive.google.com/file/d/17_YEiVqGgnrioIGFbdaLNsTj_unoJ8U0/view?usp=drivesdk</v>
      </c>
      <c r="D166" s="2"/>
      <c r="E166" s="6">
        <v>176.0</v>
      </c>
      <c r="F166" s="2"/>
      <c r="I166" s="4"/>
    </row>
    <row r="167" ht="14.25" customHeight="1">
      <c r="A167" s="4" t="str">
        <f>IFERROR(__xludf.DUMMYFUNCTION("""COMPUTED_VALUE"""),"1. Microwave")</f>
        <v>1. Microwave</v>
      </c>
      <c r="B167" s="4" t="str">
        <f>IFERROR(__xludf.DUMMYFUNCTION("""COMPUTED_VALUE"""),"1")</f>
        <v>1</v>
      </c>
      <c r="C167" s="5" t="str">
        <f>IFERROR(__xludf.DUMMYFUNCTION("""COMPUTED_VALUE"""),"https://drive.google.com/file/d/1xc1UnZO6zHPDXRGfCKRPLDlIlyr987v0/view?usp=drivesdk")</f>
        <v>https://drive.google.com/file/d/1xc1UnZO6zHPDXRGfCKRPLDlIlyr987v0/view?usp=drivesdk</v>
      </c>
      <c r="D167" s="2"/>
      <c r="E167" s="6">
        <v>177.0</v>
      </c>
      <c r="F167" s="2"/>
      <c r="I167" s="4"/>
    </row>
    <row r="168" ht="14.25" customHeight="1">
      <c r="A168" s="4" t="str">
        <f>IFERROR(__xludf.DUMMYFUNCTION("""COMPUTED_VALUE"""),"1. Microwave")</f>
        <v>1. Microwave</v>
      </c>
      <c r="B168" s="4" t="str">
        <f>IFERROR(__xludf.DUMMYFUNCTION("""COMPUTED_VALUE"""),"1")</f>
        <v>1</v>
      </c>
      <c r="C168" s="5" t="str">
        <f>IFERROR(__xludf.DUMMYFUNCTION("""COMPUTED_VALUE"""),"https://drive.google.com/file/d/1Fs4vtpyMH4v6PWCyCye9Sm9eHQfO5V0N/view?usp=drivesdk")</f>
        <v>https://drive.google.com/file/d/1Fs4vtpyMH4v6PWCyCye9Sm9eHQfO5V0N/view?usp=drivesdk</v>
      </c>
      <c r="D168" s="2"/>
      <c r="E168" s="6">
        <v>178.0</v>
      </c>
      <c r="F168" s="2"/>
      <c r="I168" s="4"/>
    </row>
    <row r="169" ht="14.25" customHeight="1">
      <c r="A169" s="4" t="str">
        <f>IFERROR(__xludf.DUMMYFUNCTION("""COMPUTED_VALUE"""),"35. Stove")</f>
        <v>35. Stove</v>
      </c>
      <c r="B169" s="4" t="str">
        <f>IFERROR(__xludf.DUMMYFUNCTION("""COMPUTED_VALUE"""),"35")</f>
        <v>35</v>
      </c>
      <c r="C169" s="5" t="str">
        <f>IFERROR(__xludf.DUMMYFUNCTION("""COMPUTED_VALUE"""),"https://drive.google.com/file/d/1az2P3-yMvhmc6lGlLcendPR1tYCKMG6i/view?usp=drivesdk")</f>
        <v>https://drive.google.com/file/d/1az2P3-yMvhmc6lGlLcendPR1tYCKMG6i/view?usp=drivesdk</v>
      </c>
      <c r="D169" s="2"/>
      <c r="E169" s="6">
        <v>179.0</v>
      </c>
      <c r="F169" s="2"/>
      <c r="I169" s="4"/>
    </row>
    <row r="170" ht="14.25" customHeight="1">
      <c r="A170" s="4" t="str">
        <f>IFERROR(__xludf.DUMMYFUNCTION("""COMPUTED_VALUE"""),"35. Stove")</f>
        <v>35. Stove</v>
      </c>
      <c r="B170" s="4" t="str">
        <f>IFERROR(__xludf.DUMMYFUNCTION("""COMPUTED_VALUE"""),"35")</f>
        <v>35</v>
      </c>
      <c r="C170" s="5" t="str">
        <f>IFERROR(__xludf.DUMMYFUNCTION("""COMPUTED_VALUE"""),"https://drive.google.com/file/d/1zl-HlJFjdcCIixFThH23knEyiS_rEgWd/view?usp=drivesdk")</f>
        <v>https://drive.google.com/file/d/1zl-HlJFjdcCIixFThH23knEyiS_rEgWd/view?usp=drivesdk</v>
      </c>
      <c r="D170" s="2"/>
      <c r="E170" s="6">
        <v>180.0</v>
      </c>
      <c r="F170" s="2"/>
      <c r="I170" s="4"/>
    </row>
    <row r="171" ht="14.25" customHeight="1">
      <c r="A171" s="4" t="str">
        <f>IFERROR(__xludf.DUMMYFUNCTION("""COMPUTED_VALUE"""),"35. Stove")</f>
        <v>35. Stove</v>
      </c>
      <c r="B171" s="4" t="str">
        <f>IFERROR(__xludf.DUMMYFUNCTION("""COMPUTED_VALUE"""),"35")</f>
        <v>35</v>
      </c>
      <c r="C171" s="5" t="str">
        <f>IFERROR(__xludf.DUMMYFUNCTION("""COMPUTED_VALUE"""),"https://drive.google.com/file/d/1fH-3EqDodXIdH9POA3FdbVNJo1NBGKC1/view?usp=drivesdk")</f>
        <v>https://drive.google.com/file/d/1fH-3EqDodXIdH9POA3FdbVNJo1NBGKC1/view?usp=drivesdk</v>
      </c>
      <c r="D171" s="2"/>
      <c r="E171" s="6">
        <v>181.0</v>
      </c>
      <c r="F171" s="2"/>
      <c r="I171" s="4"/>
    </row>
    <row r="172" ht="14.25" customHeight="1">
      <c r="A172" s="4" t="str">
        <f>IFERROR(__xludf.DUMMYFUNCTION("""COMPUTED_VALUE"""),"35. Stove")</f>
        <v>35. Stove</v>
      </c>
      <c r="B172" s="4" t="str">
        <f>IFERROR(__xludf.DUMMYFUNCTION("""COMPUTED_VALUE"""),"35")</f>
        <v>35</v>
      </c>
      <c r="C172" s="5" t="str">
        <f>IFERROR(__xludf.DUMMYFUNCTION("""COMPUTED_VALUE"""),"https://drive.google.com/file/d/1IT-Jwwedjpkcz_zMyNAOscCz7B8VA2sT/view?usp=drivesdk")</f>
        <v>https://drive.google.com/file/d/1IT-Jwwedjpkcz_zMyNAOscCz7B8VA2sT/view?usp=drivesdk</v>
      </c>
      <c r="D172" s="2"/>
      <c r="E172" s="6">
        <v>182.0</v>
      </c>
      <c r="F172" s="2"/>
      <c r="I172" s="4"/>
    </row>
    <row r="173" ht="14.25" customHeight="1">
      <c r="A173" s="4" t="str">
        <f>IFERROR(__xludf.DUMMYFUNCTION("""COMPUTED_VALUE"""),"35. Stove")</f>
        <v>35. Stove</v>
      </c>
      <c r="B173" s="4" t="str">
        <f>IFERROR(__xludf.DUMMYFUNCTION("""COMPUTED_VALUE"""),"35")</f>
        <v>35</v>
      </c>
      <c r="C173" s="5" t="str">
        <f>IFERROR(__xludf.DUMMYFUNCTION("""COMPUTED_VALUE"""),"https://drive.google.com/file/d/1qaRk1Tgg-6TOc4JV3WVmTIe6JV3YA7Az/view?usp=drivesdk")</f>
        <v>https://drive.google.com/file/d/1qaRk1Tgg-6TOc4JV3WVmTIe6JV3YA7Az/view?usp=drivesdk</v>
      </c>
      <c r="D173" s="2"/>
      <c r="E173" s="6">
        <v>183.0</v>
      </c>
      <c r="F173" s="2"/>
      <c r="I173" s="4"/>
    </row>
    <row r="174" ht="14.25" customHeight="1">
      <c r="A174" s="4" t="str">
        <f>IFERROR(__xludf.DUMMYFUNCTION("""COMPUTED_VALUE"""),"2. Twix")</f>
        <v>2. Twix</v>
      </c>
      <c r="B174" s="4" t="str">
        <f>IFERROR(__xludf.DUMMYFUNCTION("""COMPUTED_VALUE"""),"2")</f>
        <v>2</v>
      </c>
      <c r="C174" s="5" t="str">
        <f>IFERROR(__xludf.DUMMYFUNCTION("""COMPUTED_VALUE"""),"https://drive.google.com/file/d/1gB4SgLyT4zBKl3cZAQLRW-bqyuMQeHRq/view?usp=drivesdk")</f>
        <v>https://drive.google.com/file/d/1gB4SgLyT4zBKl3cZAQLRW-bqyuMQeHRq/view?usp=drivesdk</v>
      </c>
      <c r="D174" s="2"/>
      <c r="E174" s="6">
        <v>184.0</v>
      </c>
      <c r="F174" s="2"/>
      <c r="I174" s="4"/>
    </row>
    <row r="175" ht="14.25" customHeight="1">
      <c r="A175" s="4" t="str">
        <f>IFERROR(__xludf.DUMMYFUNCTION("""COMPUTED_VALUE"""),"2. Twix")</f>
        <v>2. Twix</v>
      </c>
      <c r="B175" s="4" t="str">
        <f>IFERROR(__xludf.DUMMYFUNCTION("""COMPUTED_VALUE"""),"2")</f>
        <v>2</v>
      </c>
      <c r="C175" s="5" t="str">
        <f>IFERROR(__xludf.DUMMYFUNCTION("""COMPUTED_VALUE"""),"https://drive.google.com/file/d/1_AG1AsCbAYc4GbJBGdfHSJ0ZrTkBo0pq/view?usp=drivesdk")</f>
        <v>https://drive.google.com/file/d/1_AG1AsCbAYc4GbJBGdfHSJ0ZrTkBo0pq/view?usp=drivesdk</v>
      </c>
      <c r="D175" s="2"/>
      <c r="E175" s="6">
        <v>185.0</v>
      </c>
      <c r="F175" s="2"/>
      <c r="I175" s="4"/>
    </row>
    <row r="176" ht="14.25" customHeight="1">
      <c r="A176" s="4" t="str">
        <f>IFERROR(__xludf.DUMMYFUNCTION("""COMPUTED_VALUE"""),"2. Twix")</f>
        <v>2. Twix</v>
      </c>
      <c r="B176" s="4" t="str">
        <f>IFERROR(__xludf.DUMMYFUNCTION("""COMPUTED_VALUE"""),"2")</f>
        <v>2</v>
      </c>
      <c r="C176" s="5" t="str">
        <f>IFERROR(__xludf.DUMMYFUNCTION("""COMPUTED_VALUE"""),"https://drive.google.com/file/d/1iJDonvHjT6js-SUCIonRcvyIIbQsROXo/view?usp=drivesdk")</f>
        <v>https://drive.google.com/file/d/1iJDonvHjT6js-SUCIonRcvyIIbQsROXo/view?usp=drivesdk</v>
      </c>
      <c r="D176" s="2"/>
      <c r="E176" s="6">
        <v>186.0</v>
      </c>
      <c r="F176" s="2"/>
      <c r="I176" s="4"/>
    </row>
    <row r="177" ht="14.25" customHeight="1">
      <c r="A177" s="4" t="str">
        <f>IFERROR(__xludf.DUMMYFUNCTION("""COMPUTED_VALUE"""),"2. Twix")</f>
        <v>2. Twix</v>
      </c>
      <c r="B177" s="4" t="str">
        <f>IFERROR(__xludf.DUMMYFUNCTION("""COMPUTED_VALUE"""),"2")</f>
        <v>2</v>
      </c>
      <c r="C177" s="5" t="str">
        <f>IFERROR(__xludf.DUMMYFUNCTION("""COMPUTED_VALUE"""),"https://drive.google.com/file/d/10mm5wf04i1S2CKD6rz829uBeky6DmOlW/view?usp=drivesdk")</f>
        <v>https://drive.google.com/file/d/10mm5wf04i1S2CKD6rz829uBeky6DmOlW/view?usp=drivesdk</v>
      </c>
      <c r="D177" s="2"/>
      <c r="E177" s="6">
        <v>187.0</v>
      </c>
      <c r="F177" s="2"/>
      <c r="I177" s="4"/>
    </row>
    <row r="178" ht="14.25" customHeight="1">
      <c r="A178" s="4" t="str">
        <f>IFERROR(__xludf.DUMMYFUNCTION("""COMPUTED_VALUE"""),"2. Twix")</f>
        <v>2. Twix</v>
      </c>
      <c r="B178" s="4" t="str">
        <f>IFERROR(__xludf.DUMMYFUNCTION("""COMPUTED_VALUE"""),"2")</f>
        <v>2</v>
      </c>
      <c r="C178" s="5" t="str">
        <f>IFERROR(__xludf.DUMMYFUNCTION("""COMPUTED_VALUE"""),"https://drive.google.com/file/d/19m1f0sP43tpEjqQ9urBkmY_Em2E-pACe/view?usp=drivesdk")</f>
        <v>https://drive.google.com/file/d/19m1f0sP43tpEjqQ9urBkmY_Em2E-pACe/view?usp=drivesdk</v>
      </c>
      <c r="D178" s="2"/>
      <c r="E178" s="6">
        <v>188.0</v>
      </c>
      <c r="F178" s="2"/>
      <c r="I178" s="4"/>
    </row>
    <row r="179" ht="14.25" customHeight="1">
      <c r="A179" s="4" t="str">
        <f>IFERROR(__xludf.DUMMYFUNCTION("""COMPUTED_VALUE"""),"2. Twix")</f>
        <v>2. Twix</v>
      </c>
      <c r="B179" s="4" t="str">
        <f>IFERROR(__xludf.DUMMYFUNCTION("""COMPUTED_VALUE"""),"2")</f>
        <v>2</v>
      </c>
      <c r="C179" s="5" t="str">
        <f>IFERROR(__xludf.DUMMYFUNCTION("""COMPUTED_VALUE"""),"https://drive.google.com/file/d/1bIvXO9xuqn4G9cc0sYK5xMkTHF8Zdrcw/view?usp=drivesdk")</f>
        <v>https://drive.google.com/file/d/1bIvXO9xuqn4G9cc0sYK5xMkTHF8Zdrcw/view?usp=drivesdk</v>
      </c>
      <c r="D179" s="2"/>
      <c r="E179" s="6">
        <v>189.0</v>
      </c>
      <c r="F179" s="2"/>
      <c r="I179" s="4"/>
    </row>
    <row r="180" ht="14.25" customHeight="1">
      <c r="A180" s="4" t="str">
        <f>IFERROR(__xludf.DUMMYFUNCTION("""COMPUTED_VALUE"""),"2. Twix")</f>
        <v>2. Twix</v>
      </c>
      <c r="B180" s="4" t="str">
        <f>IFERROR(__xludf.DUMMYFUNCTION("""COMPUTED_VALUE"""),"2")</f>
        <v>2</v>
      </c>
      <c r="C180" s="5" t="str">
        <f>IFERROR(__xludf.DUMMYFUNCTION("""COMPUTED_VALUE"""),"https://drive.google.com/file/d/1x4C7i5wondwZdyzbNIyM0tQpFWEsEtFr/view?usp=drivesdk")</f>
        <v>https://drive.google.com/file/d/1x4C7i5wondwZdyzbNIyM0tQpFWEsEtFr/view?usp=drivesdk</v>
      </c>
      <c r="D180" s="2"/>
      <c r="E180" s="6">
        <v>190.0</v>
      </c>
      <c r="F180" s="2"/>
      <c r="I180" s="4"/>
    </row>
    <row r="181" ht="14.25" customHeight="1">
      <c r="A181" s="4" t="str">
        <f>IFERROR(__xludf.DUMMYFUNCTION("""COMPUTED_VALUE"""),"2. Twix")</f>
        <v>2. Twix</v>
      </c>
      <c r="B181" s="4" t="str">
        <f>IFERROR(__xludf.DUMMYFUNCTION("""COMPUTED_VALUE"""),"2")</f>
        <v>2</v>
      </c>
      <c r="C181" s="5" t="str">
        <f>IFERROR(__xludf.DUMMYFUNCTION("""COMPUTED_VALUE"""),"https://drive.google.com/file/d/14lbC5-kjHWZQLyVmM15sfLVo8UfB_gGg/view?usp=drivesdk")</f>
        <v>https://drive.google.com/file/d/14lbC5-kjHWZQLyVmM15sfLVo8UfB_gGg/view?usp=drivesdk</v>
      </c>
      <c r="D181" s="2"/>
      <c r="E181" s="6">
        <v>191.0</v>
      </c>
      <c r="F181" s="2"/>
      <c r="I181" s="4"/>
    </row>
    <row r="182" ht="14.25" customHeight="1">
      <c r="A182" s="4" t="str">
        <f>IFERROR(__xludf.DUMMYFUNCTION("""COMPUTED_VALUE"""),"2. Twix")</f>
        <v>2. Twix</v>
      </c>
      <c r="B182" s="4" t="str">
        <f>IFERROR(__xludf.DUMMYFUNCTION("""COMPUTED_VALUE"""),"2")</f>
        <v>2</v>
      </c>
      <c r="C182" s="5" t="str">
        <f>IFERROR(__xludf.DUMMYFUNCTION("""COMPUTED_VALUE"""),"https://drive.google.com/file/d/1sPCLTFjy3C15ASGV4lg4uGX5l7r3DIIn/view?usp=drivesdk")</f>
        <v>https://drive.google.com/file/d/1sPCLTFjy3C15ASGV4lg4uGX5l7r3DIIn/view?usp=drivesdk</v>
      </c>
      <c r="D182" s="2"/>
      <c r="E182" s="6">
        <v>193.0</v>
      </c>
      <c r="F182" s="2"/>
      <c r="I182" s="4"/>
    </row>
    <row r="183" ht="14.25" customHeight="1">
      <c r="A183" s="4" t="str">
        <f>IFERROR(__xludf.DUMMYFUNCTION("""COMPUTED_VALUE"""),"2. Twix")</f>
        <v>2. Twix</v>
      </c>
      <c r="B183" s="4" t="str">
        <f>IFERROR(__xludf.DUMMYFUNCTION("""COMPUTED_VALUE"""),"2")</f>
        <v>2</v>
      </c>
      <c r="C183" s="5" t="str">
        <f>IFERROR(__xludf.DUMMYFUNCTION("""COMPUTED_VALUE"""),"https://drive.google.com/file/d/1vASS3Ey5ZKPUdChdR0yHcyHo-V8bJu9-/view?usp=drivesdk")</f>
        <v>https://drive.google.com/file/d/1vASS3Ey5ZKPUdChdR0yHcyHo-V8bJu9-/view?usp=drivesdk</v>
      </c>
      <c r="D183" s="2"/>
      <c r="E183" s="6">
        <v>194.0</v>
      </c>
      <c r="F183" s="2"/>
      <c r="I183" s="4"/>
    </row>
    <row r="184" ht="14.25" customHeight="1">
      <c r="A184" s="4" t="str">
        <f>IFERROR(__xludf.DUMMYFUNCTION("""COMPUTED_VALUE"""),"29. Ginger")</f>
        <v>29. Ginger</v>
      </c>
      <c r="B184" s="4" t="str">
        <f>IFERROR(__xludf.DUMMYFUNCTION("""COMPUTED_VALUE"""),"29")</f>
        <v>29</v>
      </c>
      <c r="C184" s="5" t="str">
        <f>IFERROR(__xludf.DUMMYFUNCTION("""COMPUTED_VALUE"""),"https://drive.google.com/file/d/1WX9G8gnhXdtGkdU_v5POXmBDZ7U-YO5X/view?usp=drivesdk")</f>
        <v>https://drive.google.com/file/d/1WX9G8gnhXdtGkdU_v5POXmBDZ7U-YO5X/view?usp=drivesdk</v>
      </c>
      <c r="D184" s="2"/>
      <c r="E184" s="6">
        <v>195.0</v>
      </c>
      <c r="F184" s="2"/>
      <c r="I184" s="4"/>
    </row>
    <row r="185" ht="14.25" customHeight="1">
      <c r="A185" s="4" t="str">
        <f>IFERROR(__xludf.DUMMYFUNCTION("""COMPUTED_VALUE"""),"32. Noir")</f>
        <v>32. Noir</v>
      </c>
      <c r="B185" s="4" t="str">
        <f>IFERROR(__xludf.DUMMYFUNCTION("""COMPUTED_VALUE"""),"32")</f>
        <v>32</v>
      </c>
      <c r="C185" s="5" t="str">
        <f>IFERROR(__xludf.DUMMYFUNCTION("""COMPUTED_VALUE"""),"https://drive.google.com/file/d/1MQLgt_RLtXkQcg3bTZy138-O0Kjw-hSP/view?usp=drivesdk")</f>
        <v>https://drive.google.com/file/d/1MQLgt_RLtXkQcg3bTZy138-O0Kjw-hSP/view?usp=drivesdk</v>
      </c>
      <c r="D185" s="2"/>
      <c r="E185" s="6">
        <v>197.0</v>
      </c>
      <c r="F185" s="2"/>
      <c r="I185" s="4"/>
    </row>
    <row r="186" ht="14.25" customHeight="1">
      <c r="A186" s="4" t="str">
        <f>IFERROR(__xludf.DUMMYFUNCTION("""COMPUTED_VALUE"""),"32. Noir")</f>
        <v>32. Noir</v>
      </c>
      <c r="B186" s="4" t="str">
        <f>IFERROR(__xludf.DUMMYFUNCTION("""COMPUTED_VALUE"""),"32")</f>
        <v>32</v>
      </c>
      <c r="C186" s="5" t="str">
        <f>IFERROR(__xludf.DUMMYFUNCTION("""COMPUTED_VALUE"""),"https://drive.google.com/file/d/1CUByrpU9i0DGProYb_ZZT-8j7LcbiDaC/view?usp=drivesdk")</f>
        <v>https://drive.google.com/file/d/1CUByrpU9i0DGProYb_ZZT-8j7LcbiDaC/view?usp=drivesdk</v>
      </c>
      <c r="D186" s="2"/>
      <c r="E186" s="6">
        <v>198.0</v>
      </c>
      <c r="F186" s="2"/>
      <c r="I186" s="4"/>
    </row>
    <row r="187" ht="14.25" customHeight="1">
      <c r="A187" s="4" t="str">
        <f>IFERROR(__xludf.DUMMYFUNCTION("""COMPUTED_VALUE"""),"29. Ginger")</f>
        <v>29. Ginger</v>
      </c>
      <c r="B187" s="4" t="str">
        <f>IFERROR(__xludf.DUMMYFUNCTION("""COMPUTED_VALUE"""),"29")</f>
        <v>29</v>
      </c>
      <c r="C187" s="5" t="str">
        <f>IFERROR(__xludf.DUMMYFUNCTION("""COMPUTED_VALUE"""),"https://drive.google.com/file/d/1WD7eslaH23IzNvyIu3mjglirLVaW4xg_/view?usp=drivesdk")</f>
        <v>https://drive.google.com/file/d/1WD7eslaH23IzNvyIu3mjglirLVaW4xg_/view?usp=drivesdk</v>
      </c>
      <c r="D187" s="2"/>
      <c r="E187" s="6">
        <v>199.0</v>
      </c>
      <c r="F187" s="2"/>
      <c r="I187" s="4"/>
    </row>
    <row r="188" ht="14.25" customHeight="1">
      <c r="A188" s="4" t="str">
        <f>IFERROR(__xludf.DUMMYFUNCTION("""COMPUTED_VALUE"""),"29. Ginger")</f>
        <v>29. Ginger</v>
      </c>
      <c r="B188" s="4" t="str">
        <f>IFERROR(__xludf.DUMMYFUNCTION("""COMPUTED_VALUE"""),"29")</f>
        <v>29</v>
      </c>
      <c r="C188" s="5" t="str">
        <f>IFERROR(__xludf.DUMMYFUNCTION("""COMPUTED_VALUE"""),"https://drive.google.com/file/d/1BuyiaIQptvsfPEfXadVzGSOJB9GOds5m/view?usp=drivesdk")</f>
        <v>https://drive.google.com/file/d/1BuyiaIQptvsfPEfXadVzGSOJB9GOds5m/view?usp=drivesdk</v>
      </c>
      <c r="D188" s="2"/>
      <c r="E188" s="6">
        <v>200.0</v>
      </c>
      <c r="F188" s="2"/>
      <c r="I188" s="4"/>
    </row>
    <row r="189" ht="14.25" customHeight="1">
      <c r="A189" s="4" t="str">
        <f>IFERROR(__xludf.DUMMYFUNCTION("""COMPUTED_VALUE"""),"27. Angel")</f>
        <v>27. Angel</v>
      </c>
      <c r="B189" s="4" t="str">
        <f>IFERROR(__xludf.DUMMYFUNCTION("""COMPUTED_VALUE"""),"27")</f>
        <v>27</v>
      </c>
      <c r="C189" s="5" t="str">
        <f>IFERROR(__xludf.DUMMYFUNCTION("""COMPUTED_VALUE"""),"https://drive.google.com/file/d/15k3PI4UfwAmItPXO92CwRZ_i2WNUuqrZ/view?usp=drivesdk")</f>
        <v>https://drive.google.com/file/d/15k3PI4UfwAmItPXO92CwRZ_i2WNUuqrZ/view?usp=drivesdk</v>
      </c>
      <c r="D189" s="2"/>
      <c r="E189" s="6">
        <v>201.0</v>
      </c>
      <c r="F189" s="2"/>
      <c r="I189" s="4"/>
    </row>
    <row r="190" ht="14.25" customHeight="1">
      <c r="A190" s="4" t="str">
        <f>IFERROR(__xludf.DUMMYFUNCTION("""COMPUTED_VALUE"""),"27. Angel")</f>
        <v>27. Angel</v>
      </c>
      <c r="B190" s="4" t="str">
        <f>IFERROR(__xludf.DUMMYFUNCTION("""COMPUTED_VALUE"""),"27")</f>
        <v>27</v>
      </c>
      <c r="C190" s="5" t="str">
        <f>IFERROR(__xludf.DUMMYFUNCTION("""COMPUTED_VALUE"""),"https://drive.google.com/file/d/1aHOf84-gxF02KyzKysA_AdDcHm7q4S5l/view?usp=drivesdk")</f>
        <v>https://drive.google.com/file/d/1aHOf84-gxF02KyzKysA_AdDcHm7q4S5l/view?usp=drivesdk</v>
      </c>
      <c r="D190" s="2"/>
      <c r="E190" s="6">
        <v>202.0</v>
      </c>
      <c r="F190" s="2"/>
      <c r="I190" s="4"/>
    </row>
    <row r="191" ht="14.25" customHeight="1">
      <c r="A191" s="4" t="str">
        <f>IFERROR(__xludf.DUMMYFUNCTION("""COMPUTED_VALUE"""),"27. Angel")</f>
        <v>27. Angel</v>
      </c>
      <c r="B191" s="4" t="str">
        <f>IFERROR(__xludf.DUMMYFUNCTION("""COMPUTED_VALUE"""),"27")</f>
        <v>27</v>
      </c>
      <c r="C191" s="5" t="str">
        <f>IFERROR(__xludf.DUMMYFUNCTION("""COMPUTED_VALUE"""),"https://drive.google.com/file/d/1ttE9bEPuME3grP7LxT2RV3ekCFuPjreO/view?usp=drivesdk")</f>
        <v>https://drive.google.com/file/d/1ttE9bEPuME3grP7LxT2RV3ekCFuPjreO/view?usp=drivesdk</v>
      </c>
      <c r="D191" s="2"/>
      <c r="E191" s="6">
        <v>203.0</v>
      </c>
      <c r="F191" s="2"/>
      <c r="I191" s="4"/>
    </row>
    <row r="192" ht="14.25" customHeight="1">
      <c r="A192" s="4" t="str">
        <f>IFERROR(__xludf.DUMMYFUNCTION("""COMPUTED_VALUE"""),"27. Angel")</f>
        <v>27. Angel</v>
      </c>
      <c r="B192" s="4" t="str">
        <f>IFERROR(__xludf.DUMMYFUNCTION("""COMPUTED_VALUE"""),"27")</f>
        <v>27</v>
      </c>
      <c r="C192" s="5" t="str">
        <f>IFERROR(__xludf.DUMMYFUNCTION("""COMPUTED_VALUE"""),"https://drive.google.com/file/d/13kQ7fg8sk31X2ForPHGevl-VXnQDsHpt/view?usp=drivesdk")</f>
        <v>https://drive.google.com/file/d/13kQ7fg8sk31X2ForPHGevl-VXnQDsHpt/view?usp=drivesdk</v>
      </c>
      <c r="D192" s="2"/>
      <c r="E192" s="6">
        <v>204.0</v>
      </c>
      <c r="F192" s="2"/>
      <c r="I192" s="4"/>
    </row>
    <row r="193" ht="14.25" customHeight="1">
      <c r="A193" s="4" t="str">
        <f>IFERROR(__xludf.DUMMYFUNCTION("""COMPUTED_VALUE"""),"47. Nefarious, 44. Shitbag Cuntface, 61. Cassie")</f>
        <v>47. Nefarious, 44. Shitbag Cuntface, 61. Cassie</v>
      </c>
      <c r="B193" s="4" t="str">
        <f>IFERROR(__xludf.DUMMYFUNCTION("""COMPUTED_VALUE"""),"47, 44, 61")</f>
        <v>47, 44, 61</v>
      </c>
      <c r="C193" s="5" t="str">
        <f>IFERROR(__xludf.DUMMYFUNCTION("""COMPUTED_VALUE"""),"https://drive.google.com/file/d/1PauWVe3I-VP6_KHYfR2OL7T6KsEmFdzw/view?usp=drivesdk")</f>
        <v>https://drive.google.com/file/d/1PauWVe3I-VP6_KHYfR2OL7T6KsEmFdzw/view?usp=drivesdk</v>
      </c>
      <c r="D193" s="2"/>
      <c r="E193" s="6">
        <v>205.0</v>
      </c>
      <c r="F193" s="2"/>
      <c r="I193" s="4"/>
    </row>
    <row r="194" ht="14.25" customHeight="1">
      <c r="A194" s="4" t="str">
        <f>IFERROR(__xludf.DUMMYFUNCTION("""COMPUTED_VALUE"""),"47. Nefarious, 44. Shitbag Cuntface, 61. Cassie")</f>
        <v>47. Nefarious, 44. Shitbag Cuntface, 61. Cassie</v>
      </c>
      <c r="B194" s="4" t="str">
        <f>IFERROR(__xludf.DUMMYFUNCTION("""COMPUTED_VALUE"""),"47, 44, 61")</f>
        <v>47, 44, 61</v>
      </c>
      <c r="C194" s="5" t="str">
        <f>IFERROR(__xludf.DUMMYFUNCTION("""COMPUTED_VALUE"""),"https://drive.google.com/file/d/1FhN0nmgrCDGt4gZOUHItGdN3QZMrWEl6/view?usp=drivesdk")</f>
        <v>https://drive.google.com/file/d/1FhN0nmgrCDGt4gZOUHItGdN3QZMrWEl6/view?usp=drivesdk</v>
      </c>
      <c r="D194" s="2"/>
      <c r="E194" s="6">
        <v>206.0</v>
      </c>
      <c r="F194" s="2"/>
      <c r="I194" s="4"/>
    </row>
    <row r="195" ht="14.25" customHeight="1">
      <c r="A195" s="4" t="str">
        <f>IFERROR(__xludf.DUMMYFUNCTION("""COMPUTED_VALUE"""),"47. Nefarious, 44. Shitbag Cuntface, 61. Cassie")</f>
        <v>47. Nefarious, 44. Shitbag Cuntface, 61. Cassie</v>
      </c>
      <c r="B195" s="4" t="str">
        <f>IFERROR(__xludf.DUMMYFUNCTION("""COMPUTED_VALUE"""),"47, 44, 61")</f>
        <v>47, 44, 61</v>
      </c>
      <c r="C195" s="5" t="str">
        <f>IFERROR(__xludf.DUMMYFUNCTION("""COMPUTED_VALUE"""),"https://drive.google.com/file/d/1nGcmW_ZyyxGjKjzbRRvJ4PpJAn1ZmSNe/view?usp=drivesdk")</f>
        <v>https://drive.google.com/file/d/1nGcmW_ZyyxGjKjzbRRvJ4PpJAn1ZmSNe/view?usp=drivesdk</v>
      </c>
      <c r="D195" s="2"/>
      <c r="E195" s="6">
        <v>207.0</v>
      </c>
      <c r="F195" s="2"/>
      <c r="I195" s="4"/>
    </row>
    <row r="196" ht="14.25" customHeight="1">
      <c r="A196" s="4" t="str">
        <f>IFERROR(__xludf.DUMMYFUNCTION("""COMPUTED_VALUE"""),"1. Microwave")</f>
        <v>1. Microwave</v>
      </c>
      <c r="B196" s="4" t="str">
        <f>IFERROR(__xludf.DUMMYFUNCTION("""COMPUTED_VALUE"""),"1")</f>
        <v>1</v>
      </c>
      <c r="C196" s="5" t="str">
        <f>IFERROR(__xludf.DUMMYFUNCTION("""COMPUTED_VALUE"""),"https://drive.google.com/file/d/1TeG32JW2XhAmAFBgAyNT_pAaXrG8A50W/view?usp=drivesdk")</f>
        <v>https://drive.google.com/file/d/1TeG32JW2XhAmAFBgAyNT_pAaXrG8A50W/view?usp=drivesdk</v>
      </c>
      <c r="D196" s="2"/>
      <c r="E196" s="6">
        <v>208.0</v>
      </c>
      <c r="F196" s="2"/>
      <c r="I196" s="4"/>
    </row>
    <row r="197" ht="14.25" customHeight="1">
      <c r="A197" s="4" t="str">
        <f>IFERROR(__xludf.DUMMYFUNCTION("""COMPUTED_VALUE"""),"3. Ford F-150")</f>
        <v>3. Ford F-150</v>
      </c>
      <c r="B197" s="4" t="str">
        <f>IFERROR(__xludf.DUMMYFUNCTION("""COMPUTED_VALUE"""),"3")</f>
        <v>3</v>
      </c>
      <c r="C197" s="5" t="str">
        <f>IFERROR(__xludf.DUMMYFUNCTION("""COMPUTED_VALUE"""),"https://drive.google.com/file/d/1JHTWKX80-8glx9GHDNk9eA7iSeQZ_pJ5/view?usp=drivesdk")</f>
        <v>https://drive.google.com/file/d/1JHTWKX80-8glx9GHDNk9eA7iSeQZ_pJ5/view?usp=drivesdk</v>
      </c>
      <c r="D197" s="2"/>
      <c r="E197" s="6">
        <v>209.0</v>
      </c>
      <c r="F197" s="2"/>
      <c r="I197" s="4"/>
    </row>
    <row r="198" ht="14.25" customHeight="1">
      <c r="A198" s="4" t="str">
        <f>IFERROR(__xludf.DUMMYFUNCTION("""COMPUTED_VALUE"""),"3. Ford F-150")</f>
        <v>3. Ford F-150</v>
      </c>
      <c r="B198" s="4" t="str">
        <f>IFERROR(__xludf.DUMMYFUNCTION("""COMPUTED_VALUE"""),"3")</f>
        <v>3</v>
      </c>
      <c r="C198" s="5" t="str">
        <f>IFERROR(__xludf.DUMMYFUNCTION("""COMPUTED_VALUE"""),"https://drive.google.com/file/d/1VLtdKiGoBcctaPr27lmb493cB3fCNpkg/view?usp=drivesdk")</f>
        <v>https://drive.google.com/file/d/1VLtdKiGoBcctaPr27lmb493cB3fCNpkg/view?usp=drivesdk</v>
      </c>
      <c r="D198" s="2"/>
      <c r="E198" s="6">
        <v>210.0</v>
      </c>
      <c r="F198" s="2"/>
      <c r="I198" s="4"/>
    </row>
    <row r="199" ht="14.25" customHeight="1">
      <c r="A199" s="4" t="str">
        <f>IFERROR(__xludf.DUMMYFUNCTION("""COMPUTED_VALUE"""),"3. Ford F-150")</f>
        <v>3. Ford F-150</v>
      </c>
      <c r="B199" s="4" t="str">
        <f>IFERROR(__xludf.DUMMYFUNCTION("""COMPUTED_VALUE"""),"3")</f>
        <v>3</v>
      </c>
      <c r="C199" s="5" t="str">
        <f>IFERROR(__xludf.DUMMYFUNCTION("""COMPUTED_VALUE"""),"https://drive.google.com/file/d/1y-mVEY5pyQemtS6wR1m5QFw7uGrdY0NF/view?usp=drivesdk")</f>
        <v>https://drive.google.com/file/d/1y-mVEY5pyQemtS6wR1m5QFw7uGrdY0NF/view?usp=drivesdk</v>
      </c>
      <c r="D199" s="2"/>
      <c r="E199" s="6">
        <v>211.0</v>
      </c>
      <c r="F199" s="2"/>
      <c r="I199" s="4"/>
    </row>
    <row r="200" ht="14.25" customHeight="1">
      <c r="A200" s="4" t="str">
        <f>IFERROR(__xludf.DUMMYFUNCTION("""COMPUTED_VALUE"""),"3. Ford F-150")</f>
        <v>3. Ford F-150</v>
      </c>
      <c r="B200" s="4" t="str">
        <f>IFERROR(__xludf.DUMMYFUNCTION("""COMPUTED_VALUE"""),"3")</f>
        <v>3</v>
      </c>
      <c r="C200" s="5" t="str">
        <f>IFERROR(__xludf.DUMMYFUNCTION("""COMPUTED_VALUE"""),"https://drive.google.com/file/d/1SH59E5MEyDnYOzqzs28skmpnJs3MJ1ZL/view?usp=drivesdk")</f>
        <v>https://drive.google.com/file/d/1SH59E5MEyDnYOzqzs28skmpnJs3MJ1ZL/view?usp=drivesdk</v>
      </c>
      <c r="D200" s="2"/>
      <c r="E200" s="6">
        <v>212.0</v>
      </c>
      <c r="F200" s="2"/>
      <c r="I200" s="4"/>
    </row>
    <row r="201" ht="1.5" customHeight="1">
      <c r="A201" s="4" t="str">
        <f>IFERROR(__xludf.DUMMYFUNCTION("""COMPUTED_VALUE"""),"3. Ford F-150")</f>
        <v>3. Ford F-150</v>
      </c>
      <c r="B201" s="4" t="str">
        <f>IFERROR(__xludf.DUMMYFUNCTION("""COMPUTED_VALUE"""),"3")</f>
        <v>3</v>
      </c>
      <c r="C201" s="5" t="str">
        <f>IFERROR(__xludf.DUMMYFUNCTION("""COMPUTED_VALUE"""),"https://drive.google.com/file/d/1itEeg76OOcpja5O3Vh2mQswWE0OyYGP9/view?usp=drivesdk")</f>
        <v>https://drive.google.com/file/d/1itEeg76OOcpja5O3Vh2mQswWE0OyYGP9/view?usp=drivesdk</v>
      </c>
      <c r="D201" s="2"/>
      <c r="E201" s="6">
        <v>213.0</v>
      </c>
      <c r="F201" s="2"/>
      <c r="I201" s="4"/>
    </row>
    <row r="202" ht="1.5" customHeight="1">
      <c r="A202" s="4" t="str">
        <f>IFERROR(__xludf.DUMMYFUNCTION("""COMPUTED_VALUE"""),"1. Microwave")</f>
        <v>1. Microwave</v>
      </c>
      <c r="B202" s="4" t="str">
        <f>IFERROR(__xludf.DUMMYFUNCTION("""COMPUTED_VALUE"""),"1")</f>
        <v>1</v>
      </c>
      <c r="C202" s="5" t="str">
        <f>IFERROR(__xludf.DUMMYFUNCTION("""COMPUTED_VALUE"""),"https://drive.google.com/file/d/1S4k0Hb8rl6XTVw75djA3P-NDpsF9RPB_/view?usp=drivesdk")</f>
        <v>https://drive.google.com/file/d/1S4k0Hb8rl6XTVw75djA3P-NDpsF9RPB_/view?usp=drivesdk</v>
      </c>
      <c r="D202" s="2"/>
      <c r="E202" s="6">
        <v>214.0</v>
      </c>
      <c r="F202" s="2"/>
      <c r="I202" s="4"/>
    </row>
    <row r="203" ht="1.5" customHeight="1">
      <c r="A203" s="4" t="str">
        <f>IFERROR(__xludf.DUMMYFUNCTION("""COMPUTED_VALUE"""),"2. Twix")</f>
        <v>2. Twix</v>
      </c>
      <c r="B203" s="4" t="str">
        <f>IFERROR(__xludf.DUMMYFUNCTION("""COMPUTED_VALUE"""),"2")</f>
        <v>2</v>
      </c>
      <c r="C203" s="5" t="str">
        <f>IFERROR(__xludf.DUMMYFUNCTION("""COMPUTED_VALUE"""),"https://drive.google.com/file/d/1XMEjHAeDpDyEh-p73ran-1ZDx4DWTIQ4/view?usp=drivesdk")</f>
        <v>https://drive.google.com/file/d/1XMEjHAeDpDyEh-p73ran-1ZDx4DWTIQ4/view?usp=drivesdk</v>
      </c>
      <c r="D203" s="2"/>
      <c r="E203" s="6">
        <v>215.0</v>
      </c>
      <c r="F203" s="2"/>
      <c r="I203" s="4"/>
    </row>
    <row r="204" ht="1.5" customHeight="1">
      <c r="A204" s="4" t="str">
        <f>IFERROR(__xludf.DUMMYFUNCTION("""COMPUTED_VALUE"""),"1. Microwave")</f>
        <v>1. Microwave</v>
      </c>
      <c r="B204" s="4" t="str">
        <f>IFERROR(__xludf.DUMMYFUNCTION("""COMPUTED_VALUE"""),"1")</f>
        <v>1</v>
      </c>
      <c r="C204" s="5" t="str">
        <f>IFERROR(__xludf.DUMMYFUNCTION("""COMPUTED_VALUE"""),"https://drive.google.com/file/d/1MbVEkrvl-JtUmw-HJgoZKLmeRMO2m0hY/view?usp=drivesdk")</f>
        <v>https://drive.google.com/file/d/1MbVEkrvl-JtUmw-HJgoZKLmeRMO2m0hY/view?usp=drivesdk</v>
      </c>
      <c r="D204" s="2"/>
      <c r="E204" s="6">
        <v>216.0</v>
      </c>
      <c r="F204" s="2"/>
      <c r="I204" s="4"/>
    </row>
    <row r="205" ht="1.5" customHeight="1">
      <c r="A205" s="4" t="str">
        <f>IFERROR(__xludf.DUMMYFUNCTION("""COMPUTED_VALUE"""),"1. Microwave")</f>
        <v>1. Microwave</v>
      </c>
      <c r="B205" s="4" t="str">
        <f>IFERROR(__xludf.DUMMYFUNCTION("""COMPUTED_VALUE"""),"1")</f>
        <v>1</v>
      </c>
      <c r="C205" s="5" t="str">
        <f>IFERROR(__xludf.DUMMYFUNCTION("""COMPUTED_VALUE"""),"https://drive.google.com/file/d/17DAq2OS5_6wUSetsjxlXxh3dD9d8FNsE/view?usp=drivesdk")</f>
        <v>https://drive.google.com/file/d/17DAq2OS5_6wUSetsjxlXxh3dD9d8FNsE/view?usp=drivesdk</v>
      </c>
      <c r="D205" s="2"/>
      <c r="E205" s="6">
        <v>217.0</v>
      </c>
      <c r="F205" s="2"/>
      <c r="I205" s="4"/>
    </row>
    <row r="206" ht="1.5" customHeight="1">
      <c r="A206" s="4" t="str">
        <f>IFERROR(__xludf.DUMMYFUNCTION("""COMPUTED_VALUE"""),"1. Microwave")</f>
        <v>1. Microwave</v>
      </c>
      <c r="B206" s="4" t="str">
        <f>IFERROR(__xludf.DUMMYFUNCTION("""COMPUTED_VALUE"""),"1")</f>
        <v>1</v>
      </c>
      <c r="C206" s="5" t="str">
        <f>IFERROR(__xludf.DUMMYFUNCTION("""COMPUTED_VALUE"""),"https://drive.google.com/file/d/1OynTcZgFGOk9uutAsQAtTvSPyNJWQkV9/view?usp=drivesdk")</f>
        <v>https://drive.google.com/file/d/1OynTcZgFGOk9uutAsQAtTvSPyNJWQkV9/view?usp=drivesdk</v>
      </c>
      <c r="D206" s="2"/>
      <c r="E206" s="6">
        <v>218.0</v>
      </c>
      <c r="F206" s="2"/>
      <c r="I206" s="4"/>
    </row>
    <row r="207" ht="1.5" customHeight="1">
      <c r="A207" s="4" t="str">
        <f>IFERROR(__xludf.DUMMYFUNCTION("""COMPUTED_VALUE"""),"5. Eraser")</f>
        <v>5. Eraser</v>
      </c>
      <c r="B207" s="4" t="str">
        <f>IFERROR(__xludf.DUMMYFUNCTION("""COMPUTED_VALUE"""),"5")</f>
        <v>5</v>
      </c>
      <c r="C207" s="5" t="str">
        <f>IFERROR(__xludf.DUMMYFUNCTION("""COMPUTED_VALUE"""),"https://drive.google.com/file/d/1NboNljmVEmlxnB3CLc_PgLVHXvC7Sxoy/view?usp=drivesdk")</f>
        <v>https://drive.google.com/file/d/1NboNljmVEmlxnB3CLc_PgLVHXvC7Sxoy/view?usp=drivesdk</v>
      </c>
      <c r="D207" s="2"/>
      <c r="E207" s="6">
        <v>219.0</v>
      </c>
      <c r="F207" s="2"/>
      <c r="I207" s="4"/>
    </row>
    <row r="208" ht="1.5" customHeight="1">
      <c r="A208" s="4" t="str">
        <f>IFERROR(__xludf.DUMMYFUNCTION("""COMPUTED_VALUE"""),"1. Microwave")</f>
        <v>1. Microwave</v>
      </c>
      <c r="B208" s="4" t="str">
        <f>IFERROR(__xludf.DUMMYFUNCTION("""COMPUTED_VALUE"""),"1")</f>
        <v>1</v>
      </c>
      <c r="C208" s="5" t="str">
        <f>IFERROR(__xludf.DUMMYFUNCTION("""COMPUTED_VALUE"""),"https://drive.google.com/file/d/1LjMLgM4iHIDNQeuKXBgsfpNoqrqf8zyj/view?usp=drivesdk")</f>
        <v>https://drive.google.com/file/d/1LjMLgM4iHIDNQeuKXBgsfpNoqrqf8zyj/view?usp=drivesdk</v>
      </c>
      <c r="D208" s="2"/>
      <c r="E208" s="6">
        <v>221.0</v>
      </c>
      <c r="F208" s="2"/>
      <c r="I208" s="4"/>
    </row>
    <row r="209" ht="1.5" customHeight="1">
      <c r="A209" s="4" t="str">
        <f>IFERROR(__xludf.DUMMYFUNCTION("""COMPUTED_VALUE"""),"1. Microwave")</f>
        <v>1. Microwave</v>
      </c>
      <c r="B209" s="4" t="str">
        <f>IFERROR(__xludf.DUMMYFUNCTION("""COMPUTED_VALUE"""),"1")</f>
        <v>1</v>
      </c>
      <c r="C209" s="5" t="str">
        <f>IFERROR(__xludf.DUMMYFUNCTION("""COMPUTED_VALUE"""),"https://drive.google.com/file/d/14RmcZML1yfQo61xTQ0A2YJYnXDalbL_1/view?usp=drivesdk")</f>
        <v>https://drive.google.com/file/d/14RmcZML1yfQo61xTQ0A2YJYnXDalbL_1/view?usp=drivesdk</v>
      </c>
      <c r="D209" s="2"/>
      <c r="E209" s="6">
        <v>222.0</v>
      </c>
      <c r="F209" s="2"/>
      <c r="I209" s="4"/>
    </row>
    <row r="210" ht="1.5" customHeight="1">
      <c r="A210" s="4" t="str">
        <f>IFERROR(__xludf.DUMMYFUNCTION("""COMPUTED_VALUE"""),"1. Microwave")</f>
        <v>1. Microwave</v>
      </c>
      <c r="B210" s="4" t="str">
        <f>IFERROR(__xludf.DUMMYFUNCTION("""COMPUTED_VALUE"""),"1")</f>
        <v>1</v>
      </c>
      <c r="C210" s="5" t="str">
        <f>IFERROR(__xludf.DUMMYFUNCTION("""COMPUTED_VALUE"""),"https://drive.google.com/file/d/1-Gw6o2ROBOHhmgHvfmX0A-rjN_owES4C/view?usp=drivesdk")</f>
        <v>https://drive.google.com/file/d/1-Gw6o2ROBOHhmgHvfmX0A-rjN_owES4C/view?usp=drivesdk</v>
      </c>
      <c r="D210" s="2"/>
      <c r="E210" s="6">
        <v>223.0</v>
      </c>
      <c r="F210" s="2"/>
      <c r="I210" s="4"/>
    </row>
    <row r="211" ht="1.5" customHeight="1">
      <c r="A211" s="4" t="str">
        <f>IFERROR(__xludf.DUMMYFUNCTION("""COMPUTED_VALUE"""),"1. Microwave")</f>
        <v>1. Microwave</v>
      </c>
      <c r="B211" s="4" t="str">
        <f>IFERROR(__xludf.DUMMYFUNCTION("""COMPUTED_VALUE"""),"1")</f>
        <v>1</v>
      </c>
      <c r="C211" s="5" t="str">
        <f>IFERROR(__xludf.DUMMYFUNCTION("""COMPUTED_VALUE"""),"https://drive.google.com/file/d/1mtm2HLXNFBMSY1bJkUTF1GjELilhf1co/view?usp=drivesdk")</f>
        <v>https://drive.google.com/file/d/1mtm2HLXNFBMSY1bJkUTF1GjELilhf1co/view?usp=drivesdk</v>
      </c>
      <c r="D211" s="2"/>
      <c r="E211" s="6">
        <v>224.0</v>
      </c>
      <c r="F211" s="2"/>
      <c r="I211" s="4"/>
    </row>
    <row r="212" ht="1.5" customHeight="1">
      <c r="A212" s="4" t="str">
        <f>IFERROR(__xludf.DUMMYFUNCTION("""COMPUTED_VALUE"""),"8. Pencil")</f>
        <v>8. Pencil</v>
      </c>
      <c r="B212" s="4" t="str">
        <f>IFERROR(__xludf.DUMMYFUNCTION("""COMPUTED_VALUE"""),"8")</f>
        <v>8</v>
      </c>
      <c r="C212" s="5" t="str">
        <f>IFERROR(__xludf.DUMMYFUNCTION("""COMPUTED_VALUE"""),"https://drive.google.com/file/d/1G0o_q6XJn9yl8Od60OCz6y-luc5J5Uxf/view?usp=drivesdk")</f>
        <v>https://drive.google.com/file/d/1G0o_q6XJn9yl8Od60OCz6y-luc5J5Uxf/view?usp=drivesdk</v>
      </c>
      <c r="D212" s="2"/>
      <c r="E212" s="6">
        <v>225.0</v>
      </c>
      <c r="F212" s="2"/>
      <c r="I212" s="4"/>
    </row>
    <row r="213" ht="1.5" customHeight="1">
      <c r="A213" s="4" t="str">
        <f>IFERROR(__xludf.DUMMYFUNCTION("""COMPUTED_VALUE"""),"8. Pencil")</f>
        <v>8. Pencil</v>
      </c>
      <c r="B213" s="4" t="str">
        <f>IFERROR(__xludf.DUMMYFUNCTION("""COMPUTED_VALUE"""),"8")</f>
        <v>8</v>
      </c>
      <c r="C213" s="5" t="str">
        <f>IFERROR(__xludf.DUMMYFUNCTION("""COMPUTED_VALUE"""),"https://drive.google.com/file/d/1s3YjRjzngDIZSSMPyafrkFcs0bxzpWso/view?usp=drivesdk")</f>
        <v>https://drive.google.com/file/d/1s3YjRjzngDIZSSMPyafrkFcs0bxzpWso/view?usp=drivesdk</v>
      </c>
      <c r="D213" s="2"/>
      <c r="E213" s="6">
        <v>226.0</v>
      </c>
      <c r="F213" s="2"/>
      <c r="I213" s="4"/>
    </row>
    <row r="214" ht="1.5" customHeight="1">
      <c r="A214" s="4" t="str">
        <f>IFERROR(__xludf.DUMMYFUNCTION("""COMPUTED_VALUE"""),"9. Melvin")</f>
        <v>9. Melvin</v>
      </c>
      <c r="B214" s="4" t="str">
        <f>IFERROR(__xludf.DUMMYFUNCTION("""COMPUTED_VALUE"""),"9")</f>
        <v>9</v>
      </c>
      <c r="C214" s="5" t="str">
        <f>IFERROR(__xludf.DUMMYFUNCTION("""COMPUTED_VALUE"""),"https://drive.google.com/file/d/19fKSgjDQuShwp1KseAOtvuy50QCwI23T/view?usp=drivesdk")</f>
        <v>https://drive.google.com/file/d/19fKSgjDQuShwp1KseAOtvuy50QCwI23T/view?usp=drivesdk</v>
      </c>
      <c r="D214" s="2"/>
      <c r="E214" s="6">
        <v>227.0</v>
      </c>
      <c r="F214" s="2"/>
      <c r="I214" s="4"/>
    </row>
    <row r="215" ht="1.5" customHeight="1">
      <c r="A215" s="4" t="str">
        <f>IFERROR(__xludf.DUMMYFUNCTION("""COMPUTED_VALUE"""),"10. Alaska")</f>
        <v>10. Alaska</v>
      </c>
      <c r="B215" s="4" t="str">
        <f>IFERROR(__xludf.DUMMYFUNCTION("""COMPUTED_VALUE"""),"10")</f>
        <v>10</v>
      </c>
      <c r="C215" s="5" t="str">
        <f>IFERROR(__xludf.DUMMYFUNCTION("""COMPUTED_VALUE"""),"https://drive.google.com/file/d/1jtIryyOz_x-6y9E6nvMSP7gOJ8p1A0VN/view?usp=drivesdk")</f>
        <v>https://drive.google.com/file/d/1jtIryyOz_x-6y9E6nvMSP7gOJ8p1A0VN/view?usp=drivesdk</v>
      </c>
      <c r="D215" s="2"/>
      <c r="E215" s="6">
        <v>228.0</v>
      </c>
      <c r="F215" s="2"/>
      <c r="I215" s="4"/>
    </row>
    <row r="216" ht="1.5" customHeight="1">
      <c r="A216" s="4" t="str">
        <f>IFERROR(__xludf.DUMMYFUNCTION("""COMPUTED_VALUE"""),"11. Laufey")</f>
        <v>11. Laufey</v>
      </c>
      <c r="B216" s="4" t="str">
        <f>IFERROR(__xludf.DUMMYFUNCTION("""COMPUTED_VALUE"""),"11")</f>
        <v>11</v>
      </c>
      <c r="C216" s="5" t="str">
        <f>IFERROR(__xludf.DUMMYFUNCTION("""COMPUTED_VALUE"""),"https://drive.google.com/file/d/1ItRaxXxJtnQrN9xfklBvqwOWq_cgsdOh/view?usp=drivesdk")</f>
        <v>https://drive.google.com/file/d/1ItRaxXxJtnQrN9xfklBvqwOWq_cgsdOh/view?usp=drivesdk</v>
      </c>
      <c r="D216" s="2"/>
      <c r="E216" s="6">
        <v>229.0</v>
      </c>
      <c r="F216" s="2"/>
      <c r="I216" s="4"/>
    </row>
    <row r="217" ht="1.5" customHeight="1">
      <c r="A217" s="4" t="str">
        <f>IFERROR(__xludf.DUMMYFUNCTION("""COMPUTED_VALUE"""),"15. Snowball")</f>
        <v>15. Snowball</v>
      </c>
      <c r="B217" s="4" t="str">
        <f>IFERROR(__xludf.DUMMYFUNCTION("""COMPUTED_VALUE"""),"15")</f>
        <v>15</v>
      </c>
      <c r="C217" s="5" t="str">
        <f>IFERROR(__xludf.DUMMYFUNCTION("""COMPUTED_VALUE"""),"https://drive.google.com/file/d/1QFm0CnLrx1naep3hZDLEnjAteq_7mFON/view?usp=drivesdk")</f>
        <v>https://drive.google.com/file/d/1QFm0CnLrx1naep3hZDLEnjAteq_7mFON/view?usp=drivesdk</v>
      </c>
      <c r="D217" s="2"/>
      <c r="E217" s="6">
        <v>231.0</v>
      </c>
      <c r="F217" s="2"/>
      <c r="I217" s="4"/>
    </row>
    <row r="218" ht="1.5" customHeight="1">
      <c r="A218" s="4" t="str">
        <f>IFERROR(__xludf.DUMMYFUNCTION("""COMPUTED_VALUE"""),"34. Oreo 2")</f>
        <v>34. Oreo 2</v>
      </c>
      <c r="B218" s="4" t="str">
        <f>IFERROR(__xludf.DUMMYFUNCTION("""COMPUTED_VALUE"""),"34")</f>
        <v>34</v>
      </c>
      <c r="C218" s="5" t="str">
        <f>IFERROR(__xludf.DUMMYFUNCTION("""COMPUTED_VALUE"""),"https://drive.google.com/file/d/1vNc9wUL8sZhk834vPV5xBD52dRffCuKA/view?usp=drivesdk")</f>
        <v>https://drive.google.com/file/d/1vNc9wUL8sZhk834vPV5xBD52dRffCuKA/view?usp=drivesdk</v>
      </c>
      <c r="D218" s="2"/>
      <c r="E218" s="6">
        <v>232.0</v>
      </c>
      <c r="F218" s="2"/>
      <c r="I218" s="4"/>
    </row>
    <row r="219" ht="1.5" customHeight="1">
      <c r="A219" s="4" t="str">
        <f>IFERROR(__xludf.DUMMYFUNCTION("""COMPUTED_VALUE"""),"16. Marley")</f>
        <v>16. Marley</v>
      </c>
      <c r="B219" s="4" t="str">
        <f>IFERROR(__xludf.DUMMYFUNCTION("""COMPUTED_VALUE"""),"16")</f>
        <v>16</v>
      </c>
      <c r="C219" s="5" t="str">
        <f>IFERROR(__xludf.DUMMYFUNCTION("""COMPUTED_VALUE"""),"https://drive.google.com/file/d/1pZ5A71MKxug_hQXGYt5s5lH561N5PtOC/view?usp=drivesdk")</f>
        <v>https://drive.google.com/file/d/1pZ5A71MKxug_hQXGYt5s5lH561N5PtOC/view?usp=drivesdk</v>
      </c>
      <c r="D219" s="2"/>
      <c r="E219" s="6">
        <v>233.0</v>
      </c>
      <c r="F219" s="2"/>
      <c r="I219" s="4"/>
    </row>
    <row r="220" ht="1.5" customHeight="1">
      <c r="A220" s="4" t="str">
        <f>IFERROR(__xludf.DUMMYFUNCTION("""COMPUTED_VALUE"""),"19. Rolo")</f>
        <v>19. Rolo</v>
      </c>
      <c r="B220" s="4" t="str">
        <f>IFERROR(__xludf.DUMMYFUNCTION("""COMPUTED_VALUE"""),"19")</f>
        <v>19</v>
      </c>
      <c r="C220" s="5" t="str">
        <f>IFERROR(__xludf.DUMMYFUNCTION("""COMPUTED_VALUE"""),"https://drive.google.com/file/d/1EJfKk4sX4PCmVGV_ZdlQ0SvgQh_70t09/view?usp=drivesdk")</f>
        <v>https://drive.google.com/file/d/1EJfKk4sX4PCmVGV_ZdlQ0SvgQh_70t09/view?usp=drivesdk</v>
      </c>
      <c r="D220" s="2"/>
      <c r="E220" s="6">
        <v>234.0</v>
      </c>
      <c r="F220" s="2"/>
      <c r="I220" s="4"/>
    </row>
    <row r="221" ht="1.5" customHeight="1">
      <c r="A221" s="4" t="str">
        <f>IFERROR(__xludf.DUMMYFUNCTION("""COMPUTED_VALUE"""),"21. Paquini")</f>
        <v>21. Paquini</v>
      </c>
      <c r="B221" s="4" t="str">
        <f>IFERROR(__xludf.DUMMYFUNCTION("""COMPUTED_VALUE"""),"21")</f>
        <v>21</v>
      </c>
      <c r="C221" s="5" t="str">
        <f>IFERROR(__xludf.DUMMYFUNCTION("""COMPUTED_VALUE"""),"https://drive.google.com/file/d/1m6lVyXRFJZIBB49oNx-5-16uECo2aU-0/view?usp=drivesdk")</f>
        <v>https://drive.google.com/file/d/1m6lVyXRFJZIBB49oNx-5-16uECo2aU-0/view?usp=drivesdk</v>
      </c>
      <c r="D221" s="2"/>
      <c r="E221" s="6">
        <v>235.0</v>
      </c>
      <c r="F221" s="2"/>
      <c r="I221" s="4"/>
    </row>
    <row r="222" ht="1.5" customHeight="1">
      <c r="A222" s="4" t="str">
        <f>IFERROR(__xludf.DUMMYFUNCTION("""COMPUTED_VALUE"""),"17. Bobbie")</f>
        <v>17. Bobbie</v>
      </c>
      <c r="B222" s="4" t="str">
        <f>IFERROR(__xludf.DUMMYFUNCTION("""COMPUTED_VALUE"""),"17")</f>
        <v>17</v>
      </c>
      <c r="C222" s="5" t="str">
        <f>IFERROR(__xludf.DUMMYFUNCTION("""COMPUTED_VALUE"""),"https://drive.google.com/file/d/1w_E5DgH25jd_6z7b4hc2KNnNR6ZBsuVF/view?usp=drivesdk")</f>
        <v>https://drive.google.com/file/d/1w_E5DgH25jd_6z7b4hc2KNnNR6ZBsuVF/view?usp=drivesdk</v>
      </c>
      <c r="D222" s="2"/>
      <c r="E222" s="6">
        <v>236.0</v>
      </c>
      <c r="F222" s="2"/>
      <c r="I222" s="4"/>
    </row>
    <row r="223" ht="1.5" customHeight="1">
      <c r="A223" s="4" t="str">
        <f>IFERROR(__xludf.DUMMYFUNCTION("""COMPUTED_VALUE"""),"2. Twix, 7. Hershey")</f>
        <v>2. Twix, 7. Hershey</v>
      </c>
      <c r="B223" s="4" t="str">
        <f>IFERROR(__xludf.DUMMYFUNCTION("""COMPUTED_VALUE"""),"2, 7")</f>
        <v>2, 7</v>
      </c>
      <c r="C223" s="5" t="str">
        <f>IFERROR(__xludf.DUMMYFUNCTION("""COMPUTED_VALUE"""),"https://drive.google.com/file/d/15e24Y3PyLLW2PT3RuMH9eG9bk74Dv7xg/view?usp=drivesdk")</f>
        <v>https://drive.google.com/file/d/15e24Y3PyLLW2PT3RuMH9eG9bk74Dv7xg/view?usp=drivesdk</v>
      </c>
      <c r="D223" s="2"/>
      <c r="E223" s="6">
        <v>237.0</v>
      </c>
      <c r="F223" s="2"/>
      <c r="I223" s="4"/>
    </row>
    <row r="224" ht="1.5" customHeight="1">
      <c r="A224" s="4" t="str">
        <f>IFERROR(__xludf.DUMMYFUNCTION("""COMPUTED_VALUE"""),"7. Hershey")</f>
        <v>7. Hershey</v>
      </c>
      <c r="B224" s="4" t="str">
        <f>IFERROR(__xludf.DUMMYFUNCTION("""COMPUTED_VALUE"""),"7")</f>
        <v>7</v>
      </c>
      <c r="C224" s="5" t="str">
        <f>IFERROR(__xludf.DUMMYFUNCTION("""COMPUTED_VALUE"""),"https://drive.google.com/file/d/1tJel-MlJOXT-d45Vyen7-WJv5M_-HWeH/view?usp=drivesdk")</f>
        <v>https://drive.google.com/file/d/1tJel-MlJOXT-d45Vyen7-WJv5M_-HWeH/view?usp=drivesdk</v>
      </c>
      <c r="D224" s="2"/>
      <c r="E224" s="6">
        <v>238.0</v>
      </c>
      <c r="F224" s="2"/>
      <c r="I224" s="4"/>
    </row>
    <row r="225" ht="1.5" customHeight="1">
      <c r="A225" s="4" t="str">
        <f>IFERROR(__xludf.DUMMYFUNCTION("""COMPUTED_VALUE"""),"22. Glockenspiel")</f>
        <v>22. Glockenspiel</v>
      </c>
      <c r="B225" s="4" t="str">
        <f>IFERROR(__xludf.DUMMYFUNCTION("""COMPUTED_VALUE"""),"22")</f>
        <v>22</v>
      </c>
      <c r="C225" s="5" t="str">
        <f>IFERROR(__xludf.DUMMYFUNCTION("""COMPUTED_VALUE"""),"https://drive.google.com/file/d/1aJIitc_RboPspFI2qppP_Q9UhI5fLf5P/view?usp=drivesdk")</f>
        <v>https://drive.google.com/file/d/1aJIitc_RboPspFI2qppP_Q9UhI5fLf5P/view?usp=drivesdk</v>
      </c>
      <c r="D225" s="2"/>
      <c r="E225" s="6">
        <v>239.0</v>
      </c>
      <c r="F225" s="2"/>
      <c r="I225" s="4"/>
    </row>
    <row r="226" ht="1.5" customHeight="1">
      <c r="A226" s="4" t="str">
        <f>IFERROR(__xludf.DUMMYFUNCTION("""COMPUTED_VALUE"""),"22. Glockenspiel")</f>
        <v>22. Glockenspiel</v>
      </c>
      <c r="B226" s="4" t="str">
        <f>IFERROR(__xludf.DUMMYFUNCTION("""COMPUTED_VALUE"""),"22")</f>
        <v>22</v>
      </c>
      <c r="C226" s="5" t="str">
        <f>IFERROR(__xludf.DUMMYFUNCTION("""COMPUTED_VALUE"""),"https://drive.google.com/file/d/1g702a0FlXBDMghzT7QcMAGYPx6Y9aGmV/view?usp=drivesdk")</f>
        <v>https://drive.google.com/file/d/1g702a0FlXBDMghzT7QcMAGYPx6Y9aGmV/view?usp=drivesdk</v>
      </c>
      <c r="D226" s="2"/>
      <c r="E226" s="6">
        <v>240.0</v>
      </c>
      <c r="F226" s="2"/>
      <c r="I226" s="4"/>
    </row>
    <row r="227" ht="1.5" customHeight="1">
      <c r="A227" s="4" t="str">
        <f>IFERROR(__xludf.DUMMYFUNCTION("""COMPUTED_VALUE"""),"22. Glockenspiel")</f>
        <v>22. Glockenspiel</v>
      </c>
      <c r="B227" s="4" t="str">
        <f>IFERROR(__xludf.DUMMYFUNCTION("""COMPUTED_VALUE"""),"22")</f>
        <v>22</v>
      </c>
      <c r="C227" s="5" t="str">
        <f>IFERROR(__xludf.DUMMYFUNCTION("""COMPUTED_VALUE"""),"https://drive.google.com/file/d/1HPGAO2SymiCpcFxSv7xpBbhO6_PU7RxS/view?usp=drivesdk")</f>
        <v>https://drive.google.com/file/d/1HPGAO2SymiCpcFxSv7xpBbhO6_PU7RxS/view?usp=drivesdk</v>
      </c>
      <c r="D227" s="2"/>
      <c r="E227" s="6">
        <v>241.0</v>
      </c>
      <c r="F227" s="2"/>
      <c r="I227" s="4"/>
    </row>
    <row r="228" ht="1.5" customHeight="1">
      <c r="A228" s="4" t="str">
        <f>IFERROR(__xludf.DUMMYFUNCTION("""COMPUTED_VALUE"""),"23. Tlacuilo")</f>
        <v>23. Tlacuilo</v>
      </c>
      <c r="B228" s="4" t="str">
        <f>IFERROR(__xludf.DUMMYFUNCTION("""COMPUTED_VALUE"""),"23")</f>
        <v>23</v>
      </c>
      <c r="C228" s="5" t="str">
        <f>IFERROR(__xludf.DUMMYFUNCTION("""COMPUTED_VALUE"""),"https://drive.google.com/file/d/18XGulaLjl2HXSBNSV3OYrL9Mw5hVA2N8/view?usp=drivesdk")</f>
        <v>https://drive.google.com/file/d/18XGulaLjl2HXSBNSV3OYrL9Mw5hVA2N8/view?usp=drivesdk</v>
      </c>
      <c r="D228" s="2"/>
      <c r="E228" s="6">
        <v>242.0</v>
      </c>
      <c r="F228" s="2"/>
      <c r="I228" s="4"/>
    </row>
    <row r="229" ht="1.5" customHeight="1">
      <c r="A229" s="4" t="str">
        <f>IFERROR(__xludf.DUMMYFUNCTION("""COMPUTED_VALUE"""),"23. Tlacuilo")</f>
        <v>23. Tlacuilo</v>
      </c>
      <c r="B229" s="4" t="str">
        <f>IFERROR(__xludf.DUMMYFUNCTION("""COMPUTED_VALUE"""),"23")</f>
        <v>23</v>
      </c>
      <c r="C229" s="5" t="str">
        <f>IFERROR(__xludf.DUMMYFUNCTION("""COMPUTED_VALUE"""),"https://drive.google.com/file/d/1dOQeOrV-eiqkZvNWewY9GeNZU9oHOXWQ/view?usp=drivesdk")</f>
        <v>https://drive.google.com/file/d/1dOQeOrV-eiqkZvNWewY9GeNZU9oHOXWQ/view?usp=drivesdk</v>
      </c>
      <c r="D229" s="2"/>
      <c r="E229" s="6">
        <v>243.0</v>
      </c>
      <c r="F229" s="2"/>
      <c r="I229" s="4"/>
    </row>
    <row r="230" ht="1.5" customHeight="1">
      <c r="A230" s="4" t="str">
        <f>IFERROR(__xludf.DUMMYFUNCTION("""COMPUTED_VALUE"""),"24. Garfield, 26. Tang, 52. Voidling, 53. Piggy, 25. Aphrodite, 54. Tommy")</f>
        <v>24. Garfield, 26. Tang, 52. Voidling, 53. Piggy, 25. Aphrodite, 54. Tommy</v>
      </c>
      <c r="B230" s="4" t="str">
        <f>IFERROR(__xludf.DUMMYFUNCTION("""COMPUTED_VALUE"""),"24, 26, 52, 53, 25, 54")</f>
        <v>24, 26, 52, 53, 25, 54</v>
      </c>
      <c r="C230" s="5" t="str">
        <f>IFERROR(__xludf.DUMMYFUNCTION("""COMPUTED_VALUE"""),"https://drive.google.com/file/d/1hUe7z7wKCGbi4scR9H0298DY9pBrVIEj/view?usp=drivesdk")</f>
        <v>https://drive.google.com/file/d/1hUe7z7wKCGbi4scR9H0298DY9pBrVIEj/view?usp=drivesdk</v>
      </c>
      <c r="D230" s="2"/>
      <c r="E230" s="6">
        <v>244.0</v>
      </c>
      <c r="F230" s="2"/>
      <c r="I230" s="4"/>
    </row>
    <row r="231" ht="1.5" customHeight="1">
      <c r="A231" s="4" t="str">
        <f>IFERROR(__xludf.DUMMYFUNCTION("""COMPUTED_VALUE"""),"51. Odin")</f>
        <v>51. Odin</v>
      </c>
      <c r="B231" s="4" t="str">
        <f>IFERROR(__xludf.DUMMYFUNCTION("""COMPUTED_VALUE"""),"51")</f>
        <v>51</v>
      </c>
      <c r="C231" s="5" t="str">
        <f>IFERROR(__xludf.DUMMYFUNCTION("""COMPUTED_VALUE"""),"https://drive.google.com/file/d/1q5QS2bDdi96ewwWVrQtIvg-mwXcJ5P6G/view?usp=drivesdk")</f>
        <v>https://drive.google.com/file/d/1q5QS2bDdi96ewwWVrQtIvg-mwXcJ5P6G/view?usp=drivesdk</v>
      </c>
      <c r="D231" s="2"/>
      <c r="E231" s="6">
        <v>245.0</v>
      </c>
      <c r="F231" s="2"/>
      <c r="I231" s="4"/>
    </row>
    <row r="232" ht="1.5" customHeight="1">
      <c r="A232" s="4" t="str">
        <f>IFERROR(__xludf.DUMMYFUNCTION("""COMPUTED_VALUE"""),"28. Friga")</f>
        <v>28. Friga</v>
      </c>
      <c r="B232" s="4" t="str">
        <f>IFERROR(__xludf.DUMMYFUNCTION("""COMPUTED_VALUE"""),"28")</f>
        <v>28</v>
      </c>
      <c r="C232" s="5" t="str">
        <f>IFERROR(__xludf.DUMMYFUNCTION("""COMPUTED_VALUE"""),"https://drive.google.com/file/d/1p7c8cXbD12fa9kXAQwC1N2WE7N-Tsvis/view?usp=drivesdk")</f>
        <v>https://drive.google.com/file/d/1p7c8cXbD12fa9kXAQwC1N2WE7N-Tsvis/view?usp=drivesdk</v>
      </c>
      <c r="D232" s="2"/>
      <c r="E232" s="6">
        <v>246.0</v>
      </c>
      <c r="F232" s="2"/>
      <c r="I232" s="4"/>
    </row>
    <row r="233" ht="1.5" customHeight="1">
      <c r="A233" s="4" t="str">
        <f>IFERROR(__xludf.DUMMYFUNCTION("""COMPUTED_VALUE"""),"49. Freya")</f>
        <v>49. Freya</v>
      </c>
      <c r="B233" s="4" t="str">
        <f>IFERROR(__xludf.DUMMYFUNCTION("""COMPUTED_VALUE"""),"49")</f>
        <v>49</v>
      </c>
      <c r="C233" s="5" t="str">
        <f>IFERROR(__xludf.DUMMYFUNCTION("""COMPUTED_VALUE"""),"https://drive.google.com/file/d/1G5IeUZP855A23-syWW4yukDEZYXGxL2b/view?usp=drivesdk")</f>
        <v>https://drive.google.com/file/d/1G5IeUZP855A23-syWW4yukDEZYXGxL2b/view?usp=drivesdk</v>
      </c>
      <c r="D233" s="2"/>
      <c r="E233" s="6">
        <v>247.0</v>
      </c>
      <c r="F233" s="2"/>
      <c r="I233" s="4"/>
    </row>
    <row r="234" ht="1.5" customHeight="1">
      <c r="A234" s="4" t="str">
        <f>IFERROR(__xludf.DUMMYFUNCTION("""COMPUTED_VALUE"""),"55. Callie")</f>
        <v>55. Callie</v>
      </c>
      <c r="B234" s="4" t="str">
        <f>IFERROR(__xludf.DUMMYFUNCTION("""COMPUTED_VALUE"""),"55")</f>
        <v>55</v>
      </c>
      <c r="C234" s="5" t="str">
        <f>IFERROR(__xludf.DUMMYFUNCTION("""COMPUTED_VALUE"""),"https://drive.google.com/file/d/1xfSUj85SlqZ0tDVKNgAzL_i_zFMSriM0/view?usp=drivesdk")</f>
        <v>https://drive.google.com/file/d/1xfSUj85SlqZ0tDVKNgAzL_i_zFMSriM0/view?usp=drivesdk</v>
      </c>
      <c r="D234" s="2"/>
      <c r="E234" s="6">
        <v>249.0</v>
      </c>
      <c r="F234" s="2"/>
      <c r="I234" s="4"/>
    </row>
    <row r="235" ht="1.5" customHeight="1">
      <c r="A235" s="4" t="str">
        <f>IFERROR(__xludf.DUMMYFUNCTION("""COMPUTED_VALUE"""),"43. Bruno")</f>
        <v>43. Bruno</v>
      </c>
      <c r="B235" s="4" t="str">
        <f>IFERROR(__xludf.DUMMYFUNCTION("""COMPUTED_VALUE"""),"43")</f>
        <v>43</v>
      </c>
      <c r="C235" s="5" t="str">
        <f>IFERROR(__xludf.DUMMYFUNCTION("""COMPUTED_VALUE"""),"https://drive.google.com/file/d/1tXx-ZZkUJSaf-FXq6IJXH0hL_LztRBZn/view?usp=drivesdk")</f>
        <v>https://drive.google.com/file/d/1tXx-ZZkUJSaf-FXq6IJXH0hL_LztRBZn/view?usp=drivesdk</v>
      </c>
      <c r="D235" s="2"/>
      <c r="E235" s="6">
        <v>250.0</v>
      </c>
      <c r="F235" s="2"/>
      <c r="I235" s="4"/>
    </row>
    <row r="236" ht="1.5" customHeight="1">
      <c r="A236" s="4" t="str">
        <f>IFERROR(__xludf.DUMMYFUNCTION("""COMPUTED_VALUE"""),"56. Lard")</f>
        <v>56. Lard</v>
      </c>
      <c r="B236" s="4" t="str">
        <f>IFERROR(__xludf.DUMMYFUNCTION("""COMPUTED_VALUE"""),"56")</f>
        <v>56</v>
      </c>
      <c r="C236" s="5" t="str">
        <f>IFERROR(__xludf.DUMMYFUNCTION("""COMPUTED_VALUE"""),"https://drive.google.com/file/d/10Jz6zyYsPCXg7jljGOUaf11zlpzBbpZB/view?usp=drivesdk")</f>
        <v>https://drive.google.com/file/d/10Jz6zyYsPCXg7jljGOUaf11zlpzBbpZB/view?usp=drivesdk</v>
      </c>
      <c r="D236" s="2"/>
      <c r="E236" s="6">
        <v>251.0</v>
      </c>
      <c r="F236" s="2"/>
      <c r="I236" s="4"/>
    </row>
    <row r="237" ht="1.5" customHeight="1">
      <c r="A237" s="4" t="str">
        <f>IFERROR(__xludf.DUMMYFUNCTION("""COMPUTED_VALUE"""),"1. Microwave")</f>
        <v>1. Microwave</v>
      </c>
      <c r="B237" s="4" t="str">
        <f>IFERROR(__xludf.DUMMYFUNCTION("""COMPUTED_VALUE"""),"1")</f>
        <v>1</v>
      </c>
      <c r="C237" s="5" t="str">
        <f>IFERROR(__xludf.DUMMYFUNCTION("""COMPUTED_VALUE"""),"https://drive.google.com/file/d/1T_uLHrq_W7vmBaXkxGrJxm996rlet0I_/view?usp=drivesdk")</f>
        <v>https://drive.google.com/file/d/1T_uLHrq_W7vmBaXkxGrJxm996rlet0I_/view?usp=drivesdk</v>
      </c>
      <c r="D237" s="2"/>
      <c r="E237" s="6">
        <v>252.0</v>
      </c>
      <c r="F237" s="2"/>
      <c r="I237" s="4"/>
    </row>
    <row r="238" ht="1.5" customHeight="1">
      <c r="A238" s="4" t="str">
        <f>IFERROR(__xludf.DUMMYFUNCTION("""COMPUTED_VALUE"""),"1. Microwave")</f>
        <v>1. Microwave</v>
      </c>
      <c r="B238" s="4" t="str">
        <f>IFERROR(__xludf.DUMMYFUNCTION("""COMPUTED_VALUE"""),"1")</f>
        <v>1</v>
      </c>
      <c r="C238" s="5" t="str">
        <f>IFERROR(__xludf.DUMMYFUNCTION("""COMPUTED_VALUE"""),"https://drive.google.com/file/d/1vwXnbsDqVjXTgKUxrDRH3R10Jl9Q8ERX/view?usp=drivesdk")</f>
        <v>https://drive.google.com/file/d/1vwXnbsDqVjXTgKUxrDRH3R10Jl9Q8ERX/view?usp=drivesdk</v>
      </c>
      <c r="D238" s="2"/>
      <c r="E238" s="6">
        <v>256.0</v>
      </c>
      <c r="F238" s="2"/>
      <c r="I238" s="4"/>
    </row>
    <row r="239" ht="1.5" customHeight="1">
      <c r="A239" s="4" t="str">
        <f>IFERROR(__xludf.DUMMYFUNCTION("""COMPUTED_VALUE"""),"1. Microwave")</f>
        <v>1. Microwave</v>
      </c>
      <c r="B239" s="4" t="str">
        <f>IFERROR(__xludf.DUMMYFUNCTION("""COMPUTED_VALUE"""),"1")</f>
        <v>1</v>
      </c>
      <c r="C239" s="5" t="str">
        <f>IFERROR(__xludf.DUMMYFUNCTION("""COMPUTED_VALUE"""),"https://drive.google.com/file/d/1yEZ6yarEqcYTL9H7hxxAt2_RLMJ0uk1-/view?usp=drivesdk")</f>
        <v>https://drive.google.com/file/d/1yEZ6yarEqcYTL9H7hxxAt2_RLMJ0uk1-/view?usp=drivesdk</v>
      </c>
      <c r="D239" s="2"/>
      <c r="E239" s="6">
        <v>257.0</v>
      </c>
      <c r="F239" s="2"/>
      <c r="I239" s="4"/>
    </row>
    <row r="240" ht="1.5" customHeight="1">
      <c r="A240" s="4" t="str">
        <f>IFERROR(__xludf.DUMMYFUNCTION("""COMPUTED_VALUE"""),"1. Microwave")</f>
        <v>1. Microwave</v>
      </c>
      <c r="B240" s="4" t="str">
        <f>IFERROR(__xludf.DUMMYFUNCTION("""COMPUTED_VALUE"""),"1")</f>
        <v>1</v>
      </c>
      <c r="C240" s="5" t="str">
        <f>IFERROR(__xludf.DUMMYFUNCTION("""COMPUTED_VALUE"""),"https://drive.google.com/file/d/1N_iENXoP9B6tnrSfiJ29nf46lkIDTRua/view?usp=drivesdk")</f>
        <v>https://drive.google.com/file/d/1N_iENXoP9B6tnrSfiJ29nf46lkIDTRua/view?usp=drivesdk</v>
      </c>
      <c r="D240" s="2"/>
      <c r="E240" s="6">
        <v>258.0</v>
      </c>
      <c r="F240" s="2"/>
      <c r="I240" s="4"/>
    </row>
    <row r="241" ht="1.5" customHeight="1">
      <c r="A241" s="4" t="str">
        <f>IFERROR(__xludf.DUMMYFUNCTION("""COMPUTED_VALUE"""),"5. Eraser")</f>
        <v>5. Eraser</v>
      </c>
      <c r="B241" s="4" t="str">
        <f>IFERROR(__xludf.DUMMYFUNCTION("""COMPUTED_VALUE"""),"5")</f>
        <v>5</v>
      </c>
      <c r="C241" s="5" t="str">
        <f>IFERROR(__xludf.DUMMYFUNCTION("""COMPUTED_VALUE"""),"https://drive.google.com/file/d/1ERTQhFopRAIm1tG5n0PUUsBBKwzAK3jU/view?usp=drivesdk")</f>
        <v>https://drive.google.com/file/d/1ERTQhFopRAIm1tG5n0PUUsBBKwzAK3jU/view?usp=drivesdk</v>
      </c>
      <c r="D241" s="2"/>
      <c r="E241" s="6">
        <v>259.0</v>
      </c>
      <c r="F241" s="2"/>
      <c r="I241" s="4"/>
    </row>
    <row r="242" ht="1.5" customHeight="1">
      <c r="A242" s="4" t="str">
        <f>IFERROR(__xludf.DUMMYFUNCTION("""COMPUTED_VALUE"""),"4. Eggs")</f>
        <v>4. Eggs</v>
      </c>
      <c r="B242" s="4" t="str">
        <f>IFERROR(__xludf.DUMMYFUNCTION("""COMPUTED_VALUE"""),"4")</f>
        <v>4</v>
      </c>
      <c r="C242" s="5" t="str">
        <f>IFERROR(__xludf.DUMMYFUNCTION("""COMPUTED_VALUE"""),"https://drive.google.com/file/d/11gcWMwInfrqw8_fTUEVohMOSQAKbJXDG/view?usp=drivesdk")</f>
        <v>https://drive.google.com/file/d/11gcWMwInfrqw8_fTUEVohMOSQAKbJXDG/view?usp=drivesdk</v>
      </c>
      <c r="D242" s="2"/>
      <c r="E242" s="6">
        <v>260.0</v>
      </c>
      <c r="F242" s="2"/>
      <c r="I242" s="4"/>
    </row>
    <row r="243" ht="1.5" customHeight="1">
      <c r="A243" s="4" t="str">
        <f>IFERROR(__xludf.DUMMYFUNCTION("""COMPUTED_VALUE"""),"2. Twix")</f>
        <v>2. Twix</v>
      </c>
      <c r="B243" s="4" t="str">
        <f>IFERROR(__xludf.DUMMYFUNCTION("""COMPUTED_VALUE"""),"2")</f>
        <v>2</v>
      </c>
      <c r="C243" s="5" t="str">
        <f>IFERROR(__xludf.DUMMYFUNCTION("""COMPUTED_VALUE"""),"https://drive.google.com/file/d/1VxWNQtT3pJ1Ou6bd81wuxmEFPAYs_7VC/view?usp=drivesdk")</f>
        <v>https://drive.google.com/file/d/1VxWNQtT3pJ1Ou6bd81wuxmEFPAYs_7VC/view?usp=drivesdk</v>
      </c>
      <c r="D243" s="2"/>
      <c r="E243" s="6">
        <v>261.0</v>
      </c>
      <c r="F243" s="2"/>
      <c r="I243" s="4"/>
    </row>
    <row r="244" ht="1.5" customHeight="1">
      <c r="A244" s="4" t="str">
        <f>IFERROR(__xludf.DUMMYFUNCTION("""COMPUTED_VALUE"""),"2. Twix")</f>
        <v>2. Twix</v>
      </c>
      <c r="B244" s="4" t="str">
        <f>IFERROR(__xludf.DUMMYFUNCTION("""COMPUTED_VALUE"""),"2")</f>
        <v>2</v>
      </c>
      <c r="C244" s="5" t="str">
        <f>IFERROR(__xludf.DUMMYFUNCTION("""COMPUTED_VALUE"""),"https://drive.google.com/file/d/1PHxmbEU2GU65ku6PPh7Fl9waNT30MV4o/view?usp=drivesdk")</f>
        <v>https://drive.google.com/file/d/1PHxmbEU2GU65ku6PPh7Fl9waNT30MV4o/view?usp=drivesdk</v>
      </c>
      <c r="D244" s="2"/>
      <c r="E244" s="6">
        <v>262.0</v>
      </c>
      <c r="F244" s="2"/>
      <c r="I244" s="4"/>
    </row>
    <row r="245" ht="1.5" customHeight="1">
      <c r="A245" s="4" t="str">
        <f>IFERROR(__xludf.DUMMYFUNCTION("""COMPUTED_VALUE"""),"5. Eraser")</f>
        <v>5. Eraser</v>
      </c>
      <c r="B245" s="4" t="str">
        <f>IFERROR(__xludf.DUMMYFUNCTION("""COMPUTED_VALUE"""),"5")</f>
        <v>5</v>
      </c>
      <c r="C245" s="5" t="str">
        <f>IFERROR(__xludf.DUMMYFUNCTION("""COMPUTED_VALUE"""),"https://drive.google.com/file/d/1_HZLjpxArTicTk83uKw5XuTevtCoAUB0/view?usp=drivesdk")</f>
        <v>https://drive.google.com/file/d/1_HZLjpxArTicTk83uKw5XuTevtCoAUB0/view?usp=drivesdk</v>
      </c>
      <c r="D245" s="2"/>
      <c r="E245" s="6">
        <v>263.0</v>
      </c>
      <c r="F245" s="2"/>
      <c r="I245" s="4"/>
    </row>
    <row r="246" ht="1.5" customHeight="1">
      <c r="A246" s="4" t="str">
        <f>IFERROR(__xludf.DUMMYFUNCTION("""COMPUTED_VALUE"""),"1. Microwave")</f>
        <v>1. Microwave</v>
      </c>
      <c r="B246" s="4" t="str">
        <f>IFERROR(__xludf.DUMMYFUNCTION("""COMPUTED_VALUE"""),"1")</f>
        <v>1</v>
      </c>
      <c r="C246" s="5" t="str">
        <f>IFERROR(__xludf.DUMMYFUNCTION("""COMPUTED_VALUE"""),"https://drive.google.com/file/d/1qrRcIqLMtu0zHEuF5XtrjqqgKLI_4oIi/view?usp=drivesdk")</f>
        <v>https://drive.google.com/file/d/1qrRcIqLMtu0zHEuF5XtrjqqgKLI_4oIi/view?usp=drivesdk</v>
      </c>
      <c r="D246" s="2"/>
      <c r="E246" s="6">
        <v>264.0</v>
      </c>
      <c r="F246" s="2"/>
      <c r="I246" s="4"/>
    </row>
    <row r="247" ht="1.5" customHeight="1">
      <c r="A247" s="4" t="str">
        <f>IFERROR(__xludf.DUMMYFUNCTION("""COMPUTED_VALUE"""),"2. Twix")</f>
        <v>2. Twix</v>
      </c>
      <c r="B247" s="4" t="str">
        <f>IFERROR(__xludf.DUMMYFUNCTION("""COMPUTED_VALUE"""),"2")</f>
        <v>2</v>
      </c>
      <c r="C247" s="5" t="str">
        <f>IFERROR(__xludf.DUMMYFUNCTION("""COMPUTED_VALUE"""),"https://drive.google.com/file/d/1ZVaKXCSuFeol_0eI7guBBEG6gmbv-_eM/view?usp=drivesdk")</f>
        <v>https://drive.google.com/file/d/1ZVaKXCSuFeol_0eI7guBBEG6gmbv-_eM/view?usp=drivesdk</v>
      </c>
      <c r="D247" s="2"/>
      <c r="E247" s="6">
        <v>265.0</v>
      </c>
      <c r="F247" s="2"/>
      <c r="I247" s="4"/>
    </row>
    <row r="248" ht="1.5" customHeight="1">
      <c r="A248" s="4" t="str">
        <f>IFERROR(__xludf.DUMMYFUNCTION("""COMPUTED_VALUE"""),"5. Eraser")</f>
        <v>5. Eraser</v>
      </c>
      <c r="B248" s="4" t="str">
        <f>IFERROR(__xludf.DUMMYFUNCTION("""COMPUTED_VALUE"""),"5")</f>
        <v>5</v>
      </c>
      <c r="C248" s="5" t="str">
        <f>IFERROR(__xludf.DUMMYFUNCTION("""COMPUTED_VALUE"""),"https://drive.google.com/file/d/121vl9HjHYLKh1mDjhAuY3vSkVRZYSbLr/view?usp=drivesdk")</f>
        <v>https://drive.google.com/file/d/121vl9HjHYLKh1mDjhAuY3vSkVRZYSbLr/view?usp=drivesdk</v>
      </c>
      <c r="D248" s="2"/>
      <c r="E248" s="6">
        <v>266.0</v>
      </c>
      <c r="F248" s="2"/>
      <c r="I248" s="4"/>
    </row>
    <row r="249" ht="1.5" customHeight="1">
      <c r="A249" s="4" t="str">
        <f>IFERROR(__xludf.DUMMYFUNCTION("""COMPUTED_VALUE"""),"7. Hershey")</f>
        <v>7. Hershey</v>
      </c>
      <c r="B249" s="4" t="str">
        <f>IFERROR(__xludf.DUMMYFUNCTION("""COMPUTED_VALUE"""),"7")</f>
        <v>7</v>
      </c>
      <c r="C249" s="5" t="str">
        <f>IFERROR(__xludf.DUMMYFUNCTION("""COMPUTED_VALUE"""),"https://drive.google.com/file/d/1GfszsXJOtjLeiMbBA2mYwOBOIi7WKn6n/view?usp=drivesdk")</f>
        <v>https://drive.google.com/file/d/1GfszsXJOtjLeiMbBA2mYwOBOIi7WKn6n/view?usp=drivesdk</v>
      </c>
      <c r="D249" s="2"/>
      <c r="E249" s="6">
        <v>267.0</v>
      </c>
      <c r="F249" s="2"/>
      <c r="I249" s="4"/>
    </row>
    <row r="250" ht="1.5" customHeight="1">
      <c r="A250" s="4" t="str">
        <f>IFERROR(__xludf.DUMMYFUNCTION("""COMPUTED_VALUE"""),"1. Microwave")</f>
        <v>1. Microwave</v>
      </c>
      <c r="B250" s="4" t="str">
        <f>IFERROR(__xludf.DUMMYFUNCTION("""COMPUTED_VALUE"""),"1")</f>
        <v>1</v>
      </c>
      <c r="C250" s="5" t="str">
        <f>IFERROR(__xludf.DUMMYFUNCTION("""COMPUTED_VALUE"""),"https://drive.google.com/file/d/1dUsCenhWrf5T8KBaF5XvJOcJ9uAuC7M8/view?usp=drivesdk")</f>
        <v>https://drive.google.com/file/d/1dUsCenhWrf5T8KBaF5XvJOcJ9uAuC7M8/view?usp=drivesdk</v>
      </c>
      <c r="D250" s="2"/>
      <c r="E250" s="6">
        <v>268.0</v>
      </c>
      <c r="F250" s="2"/>
      <c r="I250" s="4"/>
    </row>
    <row r="251" ht="1.5" customHeight="1">
      <c r="A251" s="4" t="str">
        <f>IFERROR(__xludf.DUMMYFUNCTION("""COMPUTED_VALUE"""),"1. Microwave")</f>
        <v>1. Microwave</v>
      </c>
      <c r="B251" s="4" t="str">
        <f>IFERROR(__xludf.DUMMYFUNCTION("""COMPUTED_VALUE"""),"1")</f>
        <v>1</v>
      </c>
      <c r="C251" s="5" t="str">
        <f>IFERROR(__xludf.DUMMYFUNCTION("""COMPUTED_VALUE"""),"https://drive.google.com/file/d/1IKu-6nvMEJPJMkKwUNt7zo2QEllDmRtt/view?usp=drivesdk")</f>
        <v>https://drive.google.com/file/d/1IKu-6nvMEJPJMkKwUNt7zo2QEllDmRtt/view?usp=drivesdk</v>
      </c>
      <c r="D251" s="2"/>
      <c r="E251" s="6">
        <v>273.0</v>
      </c>
      <c r="F251" s="2"/>
      <c r="I251" s="4"/>
    </row>
    <row r="252" ht="1.5" customHeight="1">
      <c r="A252" s="4" t="str">
        <f>IFERROR(__xludf.DUMMYFUNCTION("""COMPUTED_VALUE"""),"1. Microwave")</f>
        <v>1. Microwave</v>
      </c>
      <c r="B252" s="4" t="str">
        <f>IFERROR(__xludf.DUMMYFUNCTION("""COMPUTED_VALUE"""),"1")</f>
        <v>1</v>
      </c>
      <c r="C252" s="5" t="str">
        <f>IFERROR(__xludf.DUMMYFUNCTION("""COMPUTED_VALUE"""),"https://drive.google.com/file/d/1Qufotx7BMu60C9Eyux_gLz8727WU94kS/view?usp=drivesdk")</f>
        <v>https://drive.google.com/file/d/1Qufotx7BMu60C9Eyux_gLz8727WU94kS/view?usp=drivesdk</v>
      </c>
      <c r="D252" s="2"/>
      <c r="E252" s="6">
        <v>274.0</v>
      </c>
      <c r="F252" s="2"/>
      <c r="I252" s="4"/>
    </row>
    <row r="253" ht="1.5" customHeight="1">
      <c r="A253" s="4" t="str">
        <f>IFERROR(__xludf.DUMMYFUNCTION("""COMPUTED_VALUE"""),"1. Microwave")</f>
        <v>1. Microwave</v>
      </c>
      <c r="B253" s="4" t="str">
        <f>IFERROR(__xludf.DUMMYFUNCTION("""COMPUTED_VALUE"""),"1")</f>
        <v>1</v>
      </c>
      <c r="C253" s="5" t="str">
        <f>IFERROR(__xludf.DUMMYFUNCTION("""COMPUTED_VALUE"""),"https://drive.google.com/file/d/1s3D_fzDtk46fjdVHPLBgM6ohIrjvyczp/view?usp=drivesdk")</f>
        <v>https://drive.google.com/file/d/1s3D_fzDtk46fjdVHPLBgM6ohIrjvyczp/view?usp=drivesdk</v>
      </c>
      <c r="D253" s="2"/>
      <c r="E253" s="6">
        <v>275.0</v>
      </c>
      <c r="F253" s="2"/>
      <c r="I253" s="4"/>
    </row>
    <row r="254" ht="1.5" customHeight="1">
      <c r="A254" s="4" t="str">
        <f>IFERROR(__xludf.DUMMYFUNCTION("""COMPUTED_VALUE"""),"5. Eraser")</f>
        <v>5. Eraser</v>
      </c>
      <c r="B254" s="4" t="str">
        <f>IFERROR(__xludf.DUMMYFUNCTION("""COMPUTED_VALUE"""),"5")</f>
        <v>5</v>
      </c>
      <c r="C254" s="5" t="str">
        <f>IFERROR(__xludf.DUMMYFUNCTION("""COMPUTED_VALUE"""),"https://drive.google.com/file/d/16BgGXClLmxiavhTqfJGQ6pG8vT_InFYe/view?usp=drivesdk")</f>
        <v>https://drive.google.com/file/d/16BgGXClLmxiavhTqfJGQ6pG8vT_InFYe/view?usp=drivesdk</v>
      </c>
      <c r="D254" s="2"/>
      <c r="E254" s="6">
        <v>281.0</v>
      </c>
      <c r="F254" s="2"/>
      <c r="I254" s="4"/>
    </row>
    <row r="255" ht="1.5" customHeight="1">
      <c r="A255" s="4" t="str">
        <f>IFERROR(__xludf.DUMMYFUNCTION("""COMPUTED_VALUE"""),"2. Twix")</f>
        <v>2. Twix</v>
      </c>
      <c r="B255" s="4" t="str">
        <f>IFERROR(__xludf.DUMMYFUNCTION("""COMPUTED_VALUE"""),"2")</f>
        <v>2</v>
      </c>
      <c r="C255" s="5" t="str">
        <f>IFERROR(__xludf.DUMMYFUNCTION("""COMPUTED_VALUE"""),"https://drive.google.com/file/d/1JZZPL16lJ3nBdwuqVl5nvoN5Ltl1VFme/view?usp=drivesdk")</f>
        <v>https://drive.google.com/file/d/1JZZPL16lJ3nBdwuqVl5nvoN5Ltl1VFme/view?usp=drivesdk</v>
      </c>
      <c r="D255" s="2"/>
      <c r="E255" s="6">
        <v>282.0</v>
      </c>
      <c r="F255" s="2"/>
      <c r="I255" s="4"/>
    </row>
    <row r="256" ht="1.5" customHeight="1">
      <c r="A256" s="4" t="str">
        <f>IFERROR(__xludf.DUMMYFUNCTION("""COMPUTED_VALUE"""),"39. Radar")</f>
        <v>39. Radar</v>
      </c>
      <c r="B256" s="4" t="str">
        <f>IFERROR(__xludf.DUMMYFUNCTION("""COMPUTED_VALUE"""),"39")</f>
        <v>39</v>
      </c>
      <c r="C256" s="5" t="str">
        <f>IFERROR(__xludf.DUMMYFUNCTION("""COMPUTED_VALUE"""),"https://drive.google.com/file/d/1lAKqHtXHeT0jc3Ueq6VgkFwDQKmIa-AA/view?usp=drivesdk")</f>
        <v>https://drive.google.com/file/d/1lAKqHtXHeT0jc3Ueq6VgkFwDQKmIa-AA/view?usp=drivesdk</v>
      </c>
      <c r="D256" s="2"/>
      <c r="E256" s="6">
        <v>283.0</v>
      </c>
      <c r="F256" s="2"/>
      <c r="I256" s="4"/>
    </row>
    <row r="257" ht="1.5" customHeight="1">
      <c r="A257" s="4" t="str">
        <f>IFERROR(__xludf.DUMMYFUNCTION("""COMPUTED_VALUE"""),"40. Dumpster")</f>
        <v>40. Dumpster</v>
      </c>
      <c r="B257" s="4" t="str">
        <f>IFERROR(__xludf.DUMMYFUNCTION("""COMPUTED_VALUE"""),"40")</f>
        <v>40</v>
      </c>
      <c r="C257" s="5" t="str">
        <f>IFERROR(__xludf.DUMMYFUNCTION("""COMPUTED_VALUE"""),"https://drive.google.com/file/d/1vSBa1WIbAkMXW91555pZzvsLNfLYoEAA/view?usp=drivesdk")</f>
        <v>https://drive.google.com/file/d/1vSBa1WIbAkMXW91555pZzvsLNfLYoEAA/view?usp=drivesdk</v>
      </c>
      <c r="D257" s="2"/>
      <c r="E257" s="6">
        <v>284.0</v>
      </c>
      <c r="F257" s="2"/>
      <c r="I257" s="4"/>
    </row>
    <row r="258" ht="1.5" customHeight="1">
      <c r="A258" s="4" t="str">
        <f>IFERROR(__xludf.DUMMYFUNCTION("""COMPUTED_VALUE"""),"44. Shitbag Cuntface, 39. Radar")</f>
        <v>44. Shitbag Cuntface, 39. Radar</v>
      </c>
      <c r="B258" s="4" t="str">
        <f>IFERROR(__xludf.DUMMYFUNCTION("""COMPUTED_VALUE"""),"44, 39")</f>
        <v>44, 39</v>
      </c>
      <c r="C258" s="5" t="str">
        <f>IFERROR(__xludf.DUMMYFUNCTION("""COMPUTED_VALUE"""),"https://drive.google.com/file/d/1CLHzHf7CZSnFH7Nry17OZF_DAgFUdsS5/view?usp=drivesdk")</f>
        <v>https://drive.google.com/file/d/1CLHzHf7CZSnFH7Nry17OZF_DAgFUdsS5/view?usp=drivesdk</v>
      </c>
      <c r="D258" s="2"/>
      <c r="E258" s="6">
        <v>285.0</v>
      </c>
      <c r="F258" s="2"/>
      <c r="I258" s="4"/>
    </row>
    <row r="259" ht="1.5" customHeight="1">
      <c r="A259" s="4" t="str">
        <f>IFERROR(__xludf.DUMMYFUNCTION("""COMPUTED_VALUE"""),"44. Shitbag Cuntface")</f>
        <v>44. Shitbag Cuntface</v>
      </c>
      <c r="B259" s="4" t="str">
        <f>IFERROR(__xludf.DUMMYFUNCTION("""COMPUTED_VALUE"""),"44")</f>
        <v>44</v>
      </c>
      <c r="C259" s="5" t="str">
        <f>IFERROR(__xludf.DUMMYFUNCTION("""COMPUTED_VALUE"""),"https://drive.google.com/file/d/1dbbR_9fjMxENXowpsARKioxNKeleWQmG/view?usp=drivesdk")</f>
        <v>https://drive.google.com/file/d/1dbbR_9fjMxENXowpsARKioxNKeleWQmG/view?usp=drivesdk</v>
      </c>
      <c r="D259" s="2"/>
      <c r="E259" s="6">
        <v>286.0</v>
      </c>
      <c r="F259" s="2"/>
      <c r="I259" s="4"/>
    </row>
    <row r="260" ht="1.5" customHeight="1">
      <c r="A260" s="4" t="str">
        <f>IFERROR(__xludf.DUMMYFUNCTION("""COMPUTED_VALUE"""),"39. Radar")</f>
        <v>39. Radar</v>
      </c>
      <c r="B260" s="4" t="str">
        <f>IFERROR(__xludf.DUMMYFUNCTION("""COMPUTED_VALUE"""),"39")</f>
        <v>39</v>
      </c>
      <c r="C260" s="5" t="str">
        <f>IFERROR(__xludf.DUMMYFUNCTION("""COMPUTED_VALUE"""),"https://drive.google.com/file/d/1s_VUTBcq4VCcPKOqWbaHc9P7OTvM0Pod/view?usp=drivesdk")</f>
        <v>https://drive.google.com/file/d/1s_VUTBcq4VCcPKOqWbaHc9P7OTvM0Pod/view?usp=drivesdk</v>
      </c>
      <c r="D260" s="2"/>
      <c r="E260" s="6">
        <v>287.0</v>
      </c>
      <c r="F260" s="2"/>
      <c r="I260" s="4"/>
    </row>
    <row r="261" ht="1.5" customHeight="1">
      <c r="A261" s="4" t="str">
        <f>IFERROR(__xludf.DUMMYFUNCTION("""COMPUTED_VALUE"""),"12. Faye, 46. Princess")</f>
        <v>12. Faye, 46. Princess</v>
      </c>
      <c r="B261" s="4" t="str">
        <f>IFERROR(__xludf.DUMMYFUNCTION("""COMPUTED_VALUE"""),"12, 46")</f>
        <v>12, 46</v>
      </c>
      <c r="C261" s="5" t="str">
        <f>IFERROR(__xludf.DUMMYFUNCTION("""COMPUTED_VALUE"""),"https://drive.google.com/file/d/181AUxMNDDBTOhic0t3GkBm8y7qdNQhLG/view?usp=drivesdk")</f>
        <v>https://drive.google.com/file/d/181AUxMNDDBTOhic0t3GkBm8y7qdNQhLG/view?usp=drivesdk</v>
      </c>
      <c r="D261" s="2"/>
      <c r="E261" s="6">
        <v>288.0</v>
      </c>
      <c r="F261" s="2"/>
      <c r="I261" s="4"/>
    </row>
    <row r="262" ht="1.5" customHeight="1">
      <c r="A262" s="4" t="str">
        <f>IFERROR(__xludf.DUMMYFUNCTION("""COMPUTED_VALUE"""),"40. Dumpster")</f>
        <v>40. Dumpster</v>
      </c>
      <c r="B262" s="4" t="str">
        <f>IFERROR(__xludf.DUMMYFUNCTION("""COMPUTED_VALUE"""),"40")</f>
        <v>40</v>
      </c>
      <c r="C262" s="5" t="str">
        <f>IFERROR(__xludf.DUMMYFUNCTION("""COMPUTED_VALUE"""),"https://drive.google.com/file/d/17ibNGyNRX_BfdKjirNU11-f5grGZRY6U/view?usp=drivesdk")</f>
        <v>https://drive.google.com/file/d/17ibNGyNRX_BfdKjirNU11-f5grGZRY6U/view?usp=drivesdk</v>
      </c>
      <c r="D262" s="2"/>
      <c r="E262" s="6">
        <v>289.0</v>
      </c>
      <c r="F262" s="2"/>
      <c r="I262" s="4"/>
    </row>
    <row r="263" ht="1.5" customHeight="1">
      <c r="A263" s="4" t="str">
        <f>IFERROR(__xludf.DUMMYFUNCTION("""COMPUTED_VALUE"""),"47. Nefarious, 46. Princess")</f>
        <v>47. Nefarious, 46. Princess</v>
      </c>
      <c r="B263" s="4" t="str">
        <f>IFERROR(__xludf.DUMMYFUNCTION("""COMPUTED_VALUE"""),"47, 46")</f>
        <v>47, 46</v>
      </c>
      <c r="C263" s="5" t="str">
        <f>IFERROR(__xludf.DUMMYFUNCTION("""COMPUTED_VALUE"""),"https://drive.google.com/file/d/1lXeEbALILITWlQbKWwhIifgH6EljDgjF/view?usp=drivesdk")</f>
        <v>https://drive.google.com/file/d/1lXeEbALILITWlQbKWwhIifgH6EljDgjF/view?usp=drivesdk</v>
      </c>
      <c r="D263" s="2"/>
      <c r="E263" s="6">
        <v>290.0</v>
      </c>
      <c r="F263" s="2"/>
      <c r="I263" s="4"/>
    </row>
    <row r="264" ht="1.5" customHeight="1">
      <c r="A264" s="4" t="str">
        <f>IFERROR(__xludf.DUMMYFUNCTION("""COMPUTED_VALUE"""),"47. Nefarious, 46. Princess, 38. Winston, 61. Cassie")</f>
        <v>47. Nefarious, 46. Princess, 38. Winston, 61. Cassie</v>
      </c>
      <c r="B264" s="4" t="str">
        <f>IFERROR(__xludf.DUMMYFUNCTION("""COMPUTED_VALUE"""),"47, 46, 38, 61")</f>
        <v>47, 46, 38, 61</v>
      </c>
      <c r="C264" s="5" t="str">
        <f>IFERROR(__xludf.DUMMYFUNCTION("""COMPUTED_VALUE"""),"https://drive.google.com/file/d/19qBy48IV72t0QUHxLHyaVxhePMVCcZDm/view?usp=drivesdk")</f>
        <v>https://drive.google.com/file/d/19qBy48IV72t0QUHxLHyaVxhePMVCcZDm/view?usp=drivesdk</v>
      </c>
      <c r="D264" s="2"/>
      <c r="E264" s="6">
        <v>291.0</v>
      </c>
      <c r="F264" s="2"/>
      <c r="I264" s="4"/>
    </row>
    <row r="265" ht="1.5" customHeight="1">
      <c r="A265" s="4" t="str">
        <f>IFERROR(__xludf.DUMMYFUNCTION("""COMPUTED_VALUE"""),"57. Airbus A320 Neo")</f>
        <v>57. Airbus A320 Neo</v>
      </c>
      <c r="B265" s="4" t="str">
        <f>IFERROR(__xludf.DUMMYFUNCTION("""COMPUTED_VALUE"""),"57")</f>
        <v>57</v>
      </c>
      <c r="C265" s="5" t="str">
        <f>IFERROR(__xludf.DUMMYFUNCTION("""COMPUTED_VALUE"""),"https://drive.google.com/file/d/1uXT9drwdT1mQ-pqDzYT0b5vlpxrEANNQ/view?usp=drivesdk")</f>
        <v>https://drive.google.com/file/d/1uXT9drwdT1mQ-pqDzYT0b5vlpxrEANNQ/view?usp=drivesdk</v>
      </c>
      <c r="D265" s="2"/>
      <c r="E265" s="6">
        <v>292.0</v>
      </c>
      <c r="F265" s="2"/>
      <c r="I265" s="4"/>
    </row>
    <row r="266" ht="1.5" customHeight="1">
      <c r="A266" s="4" t="str">
        <f>IFERROR(__xludf.DUMMYFUNCTION("""COMPUTED_VALUE"""),"47. Nefarious")</f>
        <v>47. Nefarious</v>
      </c>
      <c r="B266" s="4" t="str">
        <f>IFERROR(__xludf.DUMMYFUNCTION("""COMPUTED_VALUE"""),"47")</f>
        <v>47</v>
      </c>
      <c r="C266" s="5" t="str">
        <f>IFERROR(__xludf.DUMMYFUNCTION("""COMPUTED_VALUE"""),"https://drive.google.com/file/d/1NSg7B1vhl3CsAFJv_0NlO14m6X4hIsyu/view?usp=drivesdk")</f>
        <v>https://drive.google.com/file/d/1NSg7B1vhl3CsAFJv_0NlO14m6X4hIsyu/view?usp=drivesdk</v>
      </c>
      <c r="D266" s="2"/>
      <c r="E266" s="6">
        <v>293.0</v>
      </c>
      <c r="F266" s="2"/>
      <c r="I266" s="4"/>
    </row>
    <row r="267" ht="1.5" customHeight="1">
      <c r="A267" s="4" t="str">
        <f>IFERROR(__xludf.DUMMYFUNCTION("""COMPUTED_VALUE"""),"41. Gregory")</f>
        <v>41. Gregory</v>
      </c>
      <c r="B267" s="4" t="str">
        <f>IFERROR(__xludf.DUMMYFUNCTION("""COMPUTED_VALUE"""),"41")</f>
        <v>41</v>
      </c>
      <c r="C267" s="5" t="str">
        <f>IFERROR(__xludf.DUMMYFUNCTION("""COMPUTED_VALUE"""),"https://drive.google.com/file/d/1SEsZpNd-RDr_p0NDcngZvFuhnYaXMeTH/view?usp=drivesdk")</f>
        <v>https://drive.google.com/file/d/1SEsZpNd-RDr_p0NDcngZvFuhnYaXMeTH/view?usp=drivesdk</v>
      </c>
      <c r="D267" s="2"/>
      <c r="E267" s="6">
        <v>294.0</v>
      </c>
      <c r="F267" s="2"/>
      <c r="I267" s="4"/>
    </row>
    <row r="268" ht="1.5" customHeight="1">
      <c r="A268" s="4" t="str">
        <f>IFERROR(__xludf.DUMMYFUNCTION("""COMPUTED_VALUE"""),"41. Gregory, 12. Faye, 58. Eden")</f>
        <v>41. Gregory, 12. Faye, 58. Eden</v>
      </c>
      <c r="B268" s="4" t="str">
        <f>IFERROR(__xludf.DUMMYFUNCTION("""COMPUTED_VALUE"""),"41, 12, 58")</f>
        <v>41, 12, 58</v>
      </c>
      <c r="C268" s="5" t="str">
        <f>IFERROR(__xludf.DUMMYFUNCTION("""COMPUTED_VALUE"""),"https://drive.google.com/file/d/1gFZFWKEjIWmpC0IxiwIXDso-ANRuHNFK/view?usp=drivesdk")</f>
        <v>https://drive.google.com/file/d/1gFZFWKEjIWmpC0IxiwIXDso-ANRuHNFK/view?usp=drivesdk</v>
      </c>
      <c r="D268" s="2"/>
      <c r="E268" s="6">
        <v>295.0</v>
      </c>
      <c r="F268" s="2"/>
      <c r="I268" s="4"/>
    </row>
    <row r="269" ht="1.5" customHeight="1">
      <c r="A269" s="4" t="str">
        <f>IFERROR(__xludf.DUMMYFUNCTION("""COMPUTED_VALUE"""),"12. Faye, 41. Gregory")</f>
        <v>12. Faye, 41. Gregory</v>
      </c>
      <c r="B269" s="4" t="str">
        <f>IFERROR(__xludf.DUMMYFUNCTION("""COMPUTED_VALUE"""),"12, 41")</f>
        <v>12, 41</v>
      </c>
      <c r="C269" s="5" t="str">
        <f>IFERROR(__xludf.DUMMYFUNCTION("""COMPUTED_VALUE"""),"https://drive.google.com/file/d/1y5298JbdsDLq6GTPDe6W_gmfwZOSlhuL/view?usp=drivesdk")</f>
        <v>https://drive.google.com/file/d/1y5298JbdsDLq6GTPDe6W_gmfwZOSlhuL/view?usp=drivesdk</v>
      </c>
      <c r="D269" s="2"/>
      <c r="E269" s="6">
        <v>296.0</v>
      </c>
      <c r="F269" s="2"/>
      <c r="I269" s="4"/>
    </row>
    <row r="270" ht="1.5" customHeight="1">
      <c r="A270" s="4" t="str">
        <f>IFERROR(__xludf.DUMMYFUNCTION("""COMPUTED_VALUE"""),"47. Nefarious")</f>
        <v>47. Nefarious</v>
      </c>
      <c r="B270" s="4" t="str">
        <f>IFERROR(__xludf.DUMMYFUNCTION("""COMPUTED_VALUE"""),"47")</f>
        <v>47</v>
      </c>
      <c r="C270" s="5" t="str">
        <f>IFERROR(__xludf.DUMMYFUNCTION("""COMPUTED_VALUE"""),"https://drive.google.com/file/d/1oH5WtnDcypWfOn7fk7XjoVXlMZ1QWkKU/view?usp=drivesdk")</f>
        <v>https://drive.google.com/file/d/1oH5WtnDcypWfOn7fk7XjoVXlMZ1QWkKU/view?usp=drivesdk</v>
      </c>
      <c r="D270" s="2"/>
      <c r="E270" s="6">
        <v>297.0</v>
      </c>
      <c r="F270" s="2"/>
      <c r="I270" s="4"/>
    </row>
    <row r="271" ht="1.5" customHeight="1">
      <c r="A271" s="4" t="str">
        <f>IFERROR(__xludf.DUMMYFUNCTION("""COMPUTED_VALUE"""),"41. Gregory")</f>
        <v>41. Gregory</v>
      </c>
      <c r="B271" s="4" t="str">
        <f>IFERROR(__xludf.DUMMYFUNCTION("""COMPUTED_VALUE"""),"41")</f>
        <v>41</v>
      </c>
      <c r="C271" s="5" t="str">
        <f>IFERROR(__xludf.DUMMYFUNCTION("""COMPUTED_VALUE"""),"https://drive.google.com/file/d/13y1wSAclML1Yc3C9t37_szEBsFj8rL1n/view?usp=drivesdk")</f>
        <v>https://drive.google.com/file/d/13y1wSAclML1Yc3C9t37_szEBsFj8rL1n/view?usp=drivesdk</v>
      </c>
      <c r="D271" s="2"/>
      <c r="E271" s="6">
        <v>298.0</v>
      </c>
      <c r="F271" s="2"/>
      <c r="I271" s="4"/>
    </row>
    <row r="272" ht="1.5" customHeight="1">
      <c r="A272" s="4" t="str">
        <f>IFERROR(__xludf.DUMMYFUNCTION("""COMPUTED_VALUE"""),"12. Faye")</f>
        <v>12. Faye</v>
      </c>
      <c r="B272" s="4" t="str">
        <f>IFERROR(__xludf.DUMMYFUNCTION("""COMPUTED_VALUE"""),"12")</f>
        <v>12</v>
      </c>
      <c r="C272" s="5" t="str">
        <f>IFERROR(__xludf.DUMMYFUNCTION("""COMPUTED_VALUE"""),"https://drive.google.com/file/d/1DyUjnMalFzmVw59GRld-HTGd3AEZ0nDJ/view?usp=drivesdk")</f>
        <v>https://drive.google.com/file/d/1DyUjnMalFzmVw59GRld-HTGd3AEZ0nDJ/view?usp=drivesdk</v>
      </c>
      <c r="D272" s="2"/>
      <c r="E272" s="6">
        <v>299.0</v>
      </c>
      <c r="F272" s="2"/>
      <c r="I272" s="4"/>
    </row>
    <row r="273" ht="1.5" customHeight="1">
      <c r="A273" s="4" t="str">
        <f>IFERROR(__xludf.DUMMYFUNCTION("""COMPUTED_VALUE"""),"40. Dumpster, 46. Princess")</f>
        <v>40. Dumpster, 46. Princess</v>
      </c>
      <c r="B273" s="4" t="str">
        <f>IFERROR(__xludf.DUMMYFUNCTION("""COMPUTED_VALUE"""),"40, 46")</f>
        <v>40, 46</v>
      </c>
      <c r="C273" s="5" t="str">
        <f>IFERROR(__xludf.DUMMYFUNCTION("""COMPUTED_VALUE"""),"https://drive.google.com/file/d/1ypqHFb67aFPx7ypfBUIP37k3-HEBYhxA/view?usp=drivesdk")</f>
        <v>https://drive.google.com/file/d/1ypqHFb67aFPx7ypfBUIP37k3-HEBYhxA/view?usp=drivesdk</v>
      </c>
      <c r="D273" s="2"/>
      <c r="E273" s="6">
        <v>300.0</v>
      </c>
      <c r="F273" s="2"/>
      <c r="I273" s="4"/>
    </row>
    <row r="274" ht="1.5" customHeight="1">
      <c r="A274" s="4" t="str">
        <f>IFERROR(__xludf.DUMMYFUNCTION("""COMPUTED_VALUE"""),"57. Airbus A320 Neo, 39. Radar")</f>
        <v>57. Airbus A320 Neo, 39. Radar</v>
      </c>
      <c r="B274" s="4" t="str">
        <f>IFERROR(__xludf.DUMMYFUNCTION("""COMPUTED_VALUE"""),"57, 39")</f>
        <v>57, 39</v>
      </c>
      <c r="C274" s="5" t="str">
        <f>IFERROR(__xludf.DUMMYFUNCTION("""COMPUTED_VALUE"""),"https://drive.google.com/file/d/1awtlHqPMV75vXM4568_qdpZj9SbZXIOb/view?usp=drivesdk")</f>
        <v>https://drive.google.com/file/d/1awtlHqPMV75vXM4568_qdpZj9SbZXIOb/view?usp=drivesdk</v>
      </c>
      <c r="D274" s="2"/>
      <c r="E274" s="6">
        <v>301.0</v>
      </c>
      <c r="F274" s="2"/>
      <c r="I274" s="4"/>
    </row>
    <row r="275" ht="1.5" customHeight="1">
      <c r="A275" s="4" t="str">
        <f>IFERROR(__xludf.DUMMYFUNCTION("""COMPUTED_VALUE"""),"57. Airbus A320 Neo")</f>
        <v>57. Airbus A320 Neo</v>
      </c>
      <c r="B275" s="4" t="str">
        <f>IFERROR(__xludf.DUMMYFUNCTION("""COMPUTED_VALUE"""),"57")</f>
        <v>57</v>
      </c>
      <c r="C275" s="5" t="str">
        <f>IFERROR(__xludf.DUMMYFUNCTION("""COMPUTED_VALUE"""),"https://drive.google.com/file/d/1MIEnWzUIAOzbqSfOOkBI5DxB65z3_Pyh/view?usp=drivesdk")</f>
        <v>https://drive.google.com/file/d/1MIEnWzUIAOzbqSfOOkBI5DxB65z3_Pyh/view?usp=drivesdk</v>
      </c>
      <c r="D275" s="2"/>
      <c r="E275" s="6">
        <v>302.0</v>
      </c>
      <c r="F275" s="2"/>
      <c r="I275" s="4"/>
    </row>
    <row r="276" ht="1.5" customHeight="1">
      <c r="A276" s="4" t="str">
        <f>IFERROR(__xludf.DUMMYFUNCTION("""COMPUTED_VALUE"""),"20. Citlali")</f>
        <v>20. Citlali</v>
      </c>
      <c r="B276" s="4" t="str">
        <f>IFERROR(__xludf.DUMMYFUNCTION("""COMPUTED_VALUE"""),"20")</f>
        <v>20</v>
      </c>
      <c r="C276" s="5" t="str">
        <f>IFERROR(__xludf.DUMMYFUNCTION("""COMPUTED_VALUE"""),"https://drive.google.com/file/d/1jwUi_58RS0xvkxrzK_F6d_ukvlFPBIV7/view?usp=drivesdk")</f>
        <v>https://drive.google.com/file/d/1jwUi_58RS0xvkxrzK_F6d_ukvlFPBIV7/view?usp=drivesdk</v>
      </c>
      <c r="D276" s="2"/>
      <c r="E276" s="6">
        <v>306.0</v>
      </c>
      <c r="F276" s="2"/>
      <c r="I276" s="4"/>
    </row>
    <row r="277" ht="1.5" customHeight="1">
      <c r="A277" s="4" t="str">
        <f>IFERROR(__xludf.DUMMYFUNCTION("""COMPUTED_VALUE"""),"20. Citlali")</f>
        <v>20. Citlali</v>
      </c>
      <c r="B277" s="4" t="str">
        <f>IFERROR(__xludf.DUMMYFUNCTION("""COMPUTED_VALUE"""),"20")</f>
        <v>20</v>
      </c>
      <c r="C277" s="5" t="str">
        <f>IFERROR(__xludf.DUMMYFUNCTION("""COMPUTED_VALUE"""),"https://drive.google.com/file/d/1rUuahE-4SaLi4TYYPpNH3YsyumLQYIFS/view?usp=drivesdk")</f>
        <v>https://drive.google.com/file/d/1rUuahE-4SaLi4TYYPpNH3YsyumLQYIFS/view?usp=drivesdk</v>
      </c>
      <c r="D277" s="2"/>
      <c r="E277" s="6">
        <v>307.0</v>
      </c>
      <c r="F277" s="2"/>
      <c r="I277" s="4"/>
    </row>
    <row r="278" ht="1.5" customHeight="1">
      <c r="A278" s="4" t="str">
        <f>IFERROR(__xludf.DUMMYFUNCTION("""COMPUTED_VALUE"""),"1. Microwave")</f>
        <v>1. Microwave</v>
      </c>
      <c r="B278" s="4" t="str">
        <f>IFERROR(__xludf.DUMMYFUNCTION("""COMPUTED_VALUE"""),"1")</f>
        <v>1</v>
      </c>
      <c r="C278" s="5" t="str">
        <f>IFERROR(__xludf.DUMMYFUNCTION("""COMPUTED_VALUE"""),"https://drive.google.com/file/d/1uhmu0U4OhivWtO1Cs9_H2JLfFdjrH1HZ/view?usp=drivesdk")</f>
        <v>https://drive.google.com/file/d/1uhmu0U4OhivWtO1Cs9_H2JLfFdjrH1HZ/view?usp=drivesdk</v>
      </c>
      <c r="D278" s="2"/>
      <c r="E278" s="6">
        <v>308.0</v>
      </c>
      <c r="F278" s="2"/>
      <c r="I278" s="4"/>
    </row>
    <row r="279" ht="1.5" customHeight="1">
      <c r="A279" s="4" t="str">
        <f>IFERROR(__xludf.DUMMYFUNCTION("""COMPUTED_VALUE"""),"1. Microwave")</f>
        <v>1. Microwave</v>
      </c>
      <c r="B279" s="4" t="str">
        <f>IFERROR(__xludf.DUMMYFUNCTION("""COMPUTED_VALUE"""),"1")</f>
        <v>1</v>
      </c>
      <c r="C279" s="5" t="str">
        <f>IFERROR(__xludf.DUMMYFUNCTION("""COMPUTED_VALUE"""),"https://drive.google.com/file/d/1xNWdzwEdcdw6k8EyJDhwTh3w3MCMIZQp/view?usp=drivesdk")</f>
        <v>https://drive.google.com/file/d/1xNWdzwEdcdw6k8EyJDhwTh3w3MCMIZQp/view?usp=drivesdk</v>
      </c>
      <c r="D279" s="2"/>
      <c r="E279" s="6">
        <v>309.0</v>
      </c>
      <c r="F279" s="2"/>
      <c r="I279" s="4"/>
    </row>
    <row r="280" ht="1.5" customHeight="1">
      <c r="A280" s="4" t="str">
        <f>IFERROR(__xludf.DUMMYFUNCTION("""COMPUTED_VALUE"""),"1. Microwave")</f>
        <v>1. Microwave</v>
      </c>
      <c r="B280" s="4" t="str">
        <f>IFERROR(__xludf.DUMMYFUNCTION("""COMPUTED_VALUE"""),"1")</f>
        <v>1</v>
      </c>
      <c r="C280" s="5" t="str">
        <f>IFERROR(__xludf.DUMMYFUNCTION("""COMPUTED_VALUE"""),"https://drive.google.com/file/d/161rTVmEUtQ7Kh1OxEtpBCT0QNnM7UiPj/view?usp=drivesdk")</f>
        <v>https://drive.google.com/file/d/161rTVmEUtQ7Kh1OxEtpBCT0QNnM7UiPj/view?usp=drivesdk</v>
      </c>
      <c r="D280" s="2"/>
      <c r="E280" s="6">
        <v>310.0</v>
      </c>
      <c r="F280" s="2"/>
      <c r="I280" s="4"/>
    </row>
    <row r="281" ht="1.5" customHeight="1">
      <c r="A281" s="4" t="str">
        <f>IFERROR(__xludf.DUMMYFUNCTION("""COMPUTED_VALUE"""),"1. Microwave")</f>
        <v>1. Microwave</v>
      </c>
      <c r="B281" s="4" t="str">
        <f>IFERROR(__xludf.DUMMYFUNCTION("""COMPUTED_VALUE"""),"1")</f>
        <v>1</v>
      </c>
      <c r="C281" s="5" t="str">
        <f>IFERROR(__xludf.DUMMYFUNCTION("""COMPUTED_VALUE"""),"https://drive.google.com/file/d/1jisCvYSj1ii3LV7_zL_CB3cRDs12EeUG/view?usp=drivesdk")</f>
        <v>https://drive.google.com/file/d/1jisCvYSj1ii3LV7_zL_CB3cRDs12EeUG/view?usp=drivesdk</v>
      </c>
      <c r="D281" s="2"/>
      <c r="E281" s="6">
        <v>311.0</v>
      </c>
      <c r="F281" s="2"/>
      <c r="I281" s="4"/>
    </row>
    <row r="282" ht="1.5" customHeight="1">
      <c r="A282" s="4" t="str">
        <f>IFERROR(__xludf.DUMMYFUNCTION("""COMPUTED_VALUE"""),"1. Microwave")</f>
        <v>1. Microwave</v>
      </c>
      <c r="B282" s="4" t="str">
        <f>IFERROR(__xludf.DUMMYFUNCTION("""COMPUTED_VALUE"""),"1")</f>
        <v>1</v>
      </c>
      <c r="C282" s="5" t="str">
        <f>IFERROR(__xludf.DUMMYFUNCTION("""COMPUTED_VALUE"""),"https://drive.google.com/file/d/1wBoSwfvrxpfBDJw715KtvW2vXhzTjknw/view?usp=drivesdk")</f>
        <v>https://drive.google.com/file/d/1wBoSwfvrxpfBDJw715KtvW2vXhzTjknw/view?usp=drivesdk</v>
      </c>
      <c r="D282" s="2"/>
      <c r="E282" s="6">
        <v>312.0</v>
      </c>
      <c r="F282" s="2"/>
      <c r="I282" s="4"/>
    </row>
    <row r="283" ht="1.5" customHeight="1">
      <c r="A283" s="4" t="str">
        <f>IFERROR(__xludf.DUMMYFUNCTION("""COMPUTED_VALUE"""),"1. Microwave")</f>
        <v>1. Microwave</v>
      </c>
      <c r="B283" s="4" t="str">
        <f>IFERROR(__xludf.DUMMYFUNCTION("""COMPUTED_VALUE"""),"1")</f>
        <v>1</v>
      </c>
      <c r="C283" s="5" t="str">
        <f>IFERROR(__xludf.DUMMYFUNCTION("""COMPUTED_VALUE"""),"https://drive.google.com/file/d/1s4KdPhhue1lSl-XwL6yG6TzrWozOBATo/view?usp=drivesdk")</f>
        <v>https://drive.google.com/file/d/1s4KdPhhue1lSl-XwL6yG6TzrWozOBATo/view?usp=drivesdk</v>
      </c>
      <c r="D283" s="2"/>
      <c r="E283" s="6">
        <v>313.0</v>
      </c>
      <c r="F283" s="2"/>
      <c r="I283" s="4"/>
    </row>
    <row r="284" ht="1.5" customHeight="1">
      <c r="A284" s="4" t="str">
        <f>IFERROR(__xludf.DUMMYFUNCTION("""COMPUTED_VALUE"""),"39. Radar")</f>
        <v>39. Radar</v>
      </c>
      <c r="B284" s="4" t="str">
        <f>IFERROR(__xludf.DUMMYFUNCTION("""COMPUTED_VALUE"""),"39")</f>
        <v>39</v>
      </c>
      <c r="C284" s="5" t="str">
        <f>IFERROR(__xludf.DUMMYFUNCTION("""COMPUTED_VALUE"""),"https://drive.google.com/file/d/1gkGv4rwYUHEP__VaqrWZopQMtPeqe_JR/view?usp=drivesdk")</f>
        <v>https://drive.google.com/file/d/1gkGv4rwYUHEP__VaqrWZopQMtPeqe_JR/view?usp=drivesdk</v>
      </c>
      <c r="D284" s="2"/>
      <c r="E284" s="6">
        <v>314.0</v>
      </c>
      <c r="F284" s="2"/>
      <c r="I284" s="4"/>
    </row>
    <row r="285" ht="1.5" customHeight="1">
      <c r="A285" s="4" t="str">
        <f>IFERROR(__xludf.DUMMYFUNCTION("""COMPUTED_VALUE"""),"45. Boots, 40. Dumpster, 44. Shitbag Cuntface, 38. Winston")</f>
        <v>45. Boots, 40. Dumpster, 44. Shitbag Cuntface, 38. Winston</v>
      </c>
      <c r="B285" s="4" t="str">
        <f>IFERROR(__xludf.DUMMYFUNCTION("""COMPUTED_VALUE"""),"45, 40, 44, 38")</f>
        <v>45, 40, 44, 38</v>
      </c>
      <c r="C285" s="5" t="str">
        <f>IFERROR(__xludf.DUMMYFUNCTION("""COMPUTED_VALUE"""),"https://drive.google.com/file/d/1dXor0qidWJElsQidV_PzmCHDgkZZQaL0/view?usp=drivesdk")</f>
        <v>https://drive.google.com/file/d/1dXor0qidWJElsQidV_PzmCHDgkZZQaL0/view?usp=drivesdk</v>
      </c>
      <c r="D285" s="2"/>
      <c r="E285" s="6">
        <v>315.0</v>
      </c>
      <c r="F285" s="2"/>
      <c r="I285" s="4"/>
    </row>
    <row r="286" ht="1.5" customHeight="1">
      <c r="A286" s="4" t="str">
        <f>IFERROR(__xludf.DUMMYFUNCTION("""COMPUTED_VALUE"""),"44. Shitbag Cuntface, 38. Winston")</f>
        <v>44. Shitbag Cuntface, 38. Winston</v>
      </c>
      <c r="B286" s="4" t="str">
        <f>IFERROR(__xludf.DUMMYFUNCTION("""COMPUTED_VALUE"""),"44, 38")</f>
        <v>44, 38</v>
      </c>
      <c r="C286" s="5" t="str">
        <f>IFERROR(__xludf.DUMMYFUNCTION("""COMPUTED_VALUE"""),"https://drive.google.com/file/d/1BEkNCf88WXLBTMaiYsEeak4xMM2dLaBA/view?usp=drivesdk")</f>
        <v>https://drive.google.com/file/d/1BEkNCf88WXLBTMaiYsEeak4xMM2dLaBA/view?usp=drivesdk</v>
      </c>
      <c r="D286" s="2"/>
      <c r="E286" s="6">
        <v>316.0</v>
      </c>
      <c r="F286" s="2"/>
      <c r="I286" s="4"/>
    </row>
    <row r="287" ht="1.5" customHeight="1">
      <c r="A287" s="4" t="str">
        <f>IFERROR(__xludf.DUMMYFUNCTION("""COMPUTED_VALUE"""),"45. Boots, 44. Shitbag Cuntface, 38. Winston")</f>
        <v>45. Boots, 44. Shitbag Cuntface, 38. Winston</v>
      </c>
      <c r="B287" s="4" t="str">
        <f>IFERROR(__xludf.DUMMYFUNCTION("""COMPUTED_VALUE"""),"45, 44, 38")</f>
        <v>45, 44, 38</v>
      </c>
      <c r="C287" s="5" t="str">
        <f>IFERROR(__xludf.DUMMYFUNCTION("""COMPUTED_VALUE"""),"https://drive.google.com/file/d/1RL5jW7O5pt_6Fc5iddSoDvk5BQ0-7UTY/view?usp=drivesdk")</f>
        <v>https://drive.google.com/file/d/1RL5jW7O5pt_6Fc5iddSoDvk5BQ0-7UTY/view?usp=drivesdk</v>
      </c>
      <c r="D287" s="2"/>
      <c r="E287" s="6">
        <v>317.0</v>
      </c>
      <c r="F287" s="2"/>
      <c r="I287" s="4"/>
    </row>
    <row r="288" ht="1.5" customHeight="1">
      <c r="A288" s="4" t="str">
        <f>IFERROR(__xludf.DUMMYFUNCTION("""COMPUTED_VALUE"""),"44. Shitbag Cuntface, 39. Radar")</f>
        <v>44. Shitbag Cuntface, 39. Radar</v>
      </c>
      <c r="B288" s="4" t="str">
        <f>IFERROR(__xludf.DUMMYFUNCTION("""COMPUTED_VALUE"""),"44, 39")</f>
        <v>44, 39</v>
      </c>
      <c r="C288" s="5" t="str">
        <f>IFERROR(__xludf.DUMMYFUNCTION("""COMPUTED_VALUE"""),"https://drive.google.com/file/d/1_c5fv8bLm7shCj6WWcPcFBW4Otun6jcj/view?usp=drivesdk")</f>
        <v>https://drive.google.com/file/d/1_c5fv8bLm7shCj6WWcPcFBW4Otun6jcj/view?usp=drivesdk</v>
      </c>
      <c r="D288" s="2"/>
      <c r="E288" s="6">
        <v>318.0</v>
      </c>
      <c r="F288" s="2"/>
      <c r="I288" s="4"/>
    </row>
    <row r="289" ht="1.5" customHeight="1">
      <c r="A289" s="4" t="str">
        <f>IFERROR(__xludf.DUMMYFUNCTION("""COMPUTED_VALUE"""),"39. Radar, 44. Shitbag Cuntface")</f>
        <v>39. Radar, 44. Shitbag Cuntface</v>
      </c>
      <c r="B289" s="4" t="str">
        <f>IFERROR(__xludf.DUMMYFUNCTION("""COMPUTED_VALUE"""),"39, 44")</f>
        <v>39, 44</v>
      </c>
      <c r="C289" s="5" t="str">
        <f>IFERROR(__xludf.DUMMYFUNCTION("""COMPUTED_VALUE"""),"https://drive.google.com/file/d/14xzjW6dpS7_1Op5tBVbkFB35vJnArTTn/view?usp=drivesdk")</f>
        <v>https://drive.google.com/file/d/14xzjW6dpS7_1Op5tBVbkFB35vJnArTTn/view?usp=drivesdk</v>
      </c>
      <c r="D289" s="2"/>
      <c r="E289" s="6">
        <v>319.0</v>
      </c>
      <c r="F289" s="2"/>
      <c r="I289" s="4"/>
    </row>
    <row r="290" ht="1.5" customHeight="1">
      <c r="A290" s="4" t="str">
        <f>IFERROR(__xludf.DUMMYFUNCTION("""COMPUTED_VALUE"""),"44. Shitbag Cuntface, 38. Winston")</f>
        <v>44. Shitbag Cuntface, 38. Winston</v>
      </c>
      <c r="B290" s="4" t="str">
        <f>IFERROR(__xludf.DUMMYFUNCTION("""COMPUTED_VALUE"""),"44, 38")</f>
        <v>44, 38</v>
      </c>
      <c r="C290" s="5" t="str">
        <f>IFERROR(__xludf.DUMMYFUNCTION("""COMPUTED_VALUE"""),"https://drive.google.com/file/d/1FkA6hRlMdUnlU-M3oe231l1E2miVyg-B/view?usp=drivesdk")</f>
        <v>https://drive.google.com/file/d/1FkA6hRlMdUnlU-M3oe231l1E2miVyg-B/view?usp=drivesdk</v>
      </c>
      <c r="D290" s="2"/>
      <c r="E290" s="6">
        <v>320.0</v>
      </c>
      <c r="F290" s="2"/>
      <c r="I290" s="4"/>
    </row>
    <row r="291" ht="1.5" customHeight="1">
      <c r="A291" s="4" t="str">
        <f>IFERROR(__xludf.DUMMYFUNCTION("""COMPUTED_VALUE"""),"44. Shitbag Cuntface, 38. Winston")</f>
        <v>44. Shitbag Cuntface, 38. Winston</v>
      </c>
      <c r="B291" s="4" t="str">
        <f>IFERROR(__xludf.DUMMYFUNCTION("""COMPUTED_VALUE"""),"44, 38")</f>
        <v>44, 38</v>
      </c>
      <c r="C291" s="5" t="str">
        <f>IFERROR(__xludf.DUMMYFUNCTION("""COMPUTED_VALUE"""),"https://drive.google.com/file/d/1X2uP1DR73gm3HPnHVNmt9gLTpmxvzn1j/view?usp=drivesdk")</f>
        <v>https://drive.google.com/file/d/1X2uP1DR73gm3HPnHVNmt9gLTpmxvzn1j/view?usp=drivesdk</v>
      </c>
      <c r="D291" s="2"/>
      <c r="E291" s="6">
        <v>321.0</v>
      </c>
      <c r="F291" s="2"/>
      <c r="I291" s="4"/>
    </row>
    <row r="292" ht="1.5" customHeight="1">
      <c r="A292" s="4" t="str">
        <f>IFERROR(__xludf.DUMMYFUNCTION("""COMPUTED_VALUE"""),"41. Gregory, 61. Cassie")</f>
        <v>41. Gregory, 61. Cassie</v>
      </c>
      <c r="B292" s="4" t="str">
        <f>IFERROR(__xludf.DUMMYFUNCTION("""COMPUTED_VALUE"""),"41, 61")</f>
        <v>41, 61</v>
      </c>
      <c r="C292" s="5" t="str">
        <f>IFERROR(__xludf.DUMMYFUNCTION("""COMPUTED_VALUE"""),"https://drive.google.com/file/d/1S5tXSq1mK2Bp_cYIFPAmmhDvx2gFw9Uq/view?usp=drivesdk")</f>
        <v>https://drive.google.com/file/d/1S5tXSq1mK2Bp_cYIFPAmmhDvx2gFw9Uq/view?usp=drivesdk</v>
      </c>
      <c r="D292" s="2"/>
      <c r="E292" s="6">
        <v>322.0</v>
      </c>
      <c r="F292" s="2"/>
      <c r="I292" s="4"/>
    </row>
    <row r="293" ht="1.5" customHeight="1">
      <c r="A293" s="4" t="str">
        <f>IFERROR(__xludf.DUMMYFUNCTION("""COMPUTED_VALUE"""),"12. Faye, 45. Boots, 46. Princess")</f>
        <v>12. Faye, 45. Boots, 46. Princess</v>
      </c>
      <c r="B293" s="4" t="str">
        <f>IFERROR(__xludf.DUMMYFUNCTION("""COMPUTED_VALUE"""),"12, 45, 46")</f>
        <v>12, 45, 46</v>
      </c>
      <c r="C293" s="5" t="str">
        <f>IFERROR(__xludf.DUMMYFUNCTION("""COMPUTED_VALUE"""),"https://drive.google.com/file/d/17dV9Q0DGq39iUG-Jvo1TvaaSjS4QA4B_/view?usp=drivesdk")</f>
        <v>https://drive.google.com/file/d/17dV9Q0DGq39iUG-Jvo1TvaaSjS4QA4B_/view?usp=drivesdk</v>
      </c>
      <c r="D293" s="2"/>
      <c r="E293" s="6">
        <v>323.0</v>
      </c>
      <c r="F293" s="2"/>
      <c r="I293" s="4"/>
    </row>
    <row r="294" ht="1.5" customHeight="1">
      <c r="A294" s="4" t="str">
        <f>IFERROR(__xludf.DUMMYFUNCTION("""COMPUTED_VALUE"""),"61. Cassie")</f>
        <v>61. Cassie</v>
      </c>
      <c r="B294" s="4" t="str">
        <f>IFERROR(__xludf.DUMMYFUNCTION("""COMPUTED_VALUE"""),"61")</f>
        <v>61</v>
      </c>
      <c r="C294" s="5" t="str">
        <f>IFERROR(__xludf.DUMMYFUNCTION("""COMPUTED_VALUE"""),"https://drive.google.com/file/d/18-4mUj0Slo_gRa9FeSPD9VT6ZfOkDAOG/view?usp=drivesdk")</f>
        <v>https://drive.google.com/file/d/18-4mUj0Slo_gRa9FeSPD9VT6ZfOkDAOG/view?usp=drivesdk</v>
      </c>
      <c r="D294" s="2"/>
      <c r="E294" s="6">
        <v>324.0</v>
      </c>
      <c r="F294" s="2"/>
      <c r="I294" s="4"/>
    </row>
    <row r="295" ht="1.5" customHeight="1">
      <c r="A295" s="4" t="str">
        <f>IFERROR(__xludf.DUMMYFUNCTION("""COMPUTED_VALUE"""),"61. Cassie, 41. Gregory")</f>
        <v>61. Cassie, 41. Gregory</v>
      </c>
      <c r="B295" s="4" t="str">
        <f>IFERROR(__xludf.DUMMYFUNCTION("""COMPUTED_VALUE"""),"61, 41")</f>
        <v>61, 41</v>
      </c>
      <c r="C295" s="5" t="str">
        <f>IFERROR(__xludf.DUMMYFUNCTION("""COMPUTED_VALUE"""),"https://drive.google.com/file/d/1Zl-4P2csltoN1geeVPJsRkTb-g29Tv-D/view?usp=drivesdk")</f>
        <v>https://drive.google.com/file/d/1Zl-4P2csltoN1geeVPJsRkTb-g29Tv-D/view?usp=drivesdk</v>
      </c>
      <c r="D295" s="2"/>
      <c r="E295" s="6">
        <v>325.0</v>
      </c>
      <c r="F295" s="2"/>
      <c r="I295" s="4"/>
    </row>
    <row r="296" ht="1.5" customHeight="1">
      <c r="A296" s="4" t="str">
        <f>IFERROR(__xludf.DUMMYFUNCTION("""COMPUTED_VALUE"""),"41. Gregory, 61. Cassie, 38. Winston")</f>
        <v>41. Gregory, 61. Cassie, 38. Winston</v>
      </c>
      <c r="B296" s="4" t="str">
        <f>IFERROR(__xludf.DUMMYFUNCTION("""COMPUTED_VALUE"""),"41, 61, 38")</f>
        <v>41, 61, 38</v>
      </c>
      <c r="C296" s="5" t="str">
        <f>IFERROR(__xludf.DUMMYFUNCTION("""COMPUTED_VALUE"""),"https://drive.google.com/file/d/1V9VenznnkY8Wtfsm_D5TAnkMYwVhsi7_/view?usp=drivesdk")</f>
        <v>https://drive.google.com/file/d/1V9VenznnkY8Wtfsm_D5TAnkMYwVhsi7_/view?usp=drivesdk</v>
      </c>
      <c r="D296" s="2"/>
      <c r="E296" s="6">
        <v>326.0</v>
      </c>
      <c r="F296" s="2"/>
      <c r="I296" s="4"/>
    </row>
    <row r="297" ht="1.5" customHeight="1">
      <c r="A297" s="4" t="str">
        <f>IFERROR(__xludf.DUMMYFUNCTION("""COMPUTED_VALUE"""),"41. Gregory, 61. Cassie, 38. Winston")</f>
        <v>41. Gregory, 61. Cassie, 38. Winston</v>
      </c>
      <c r="B297" s="4" t="str">
        <f>IFERROR(__xludf.DUMMYFUNCTION("""COMPUTED_VALUE"""),"41, 61, 38")</f>
        <v>41, 61, 38</v>
      </c>
      <c r="C297" s="5" t="str">
        <f>IFERROR(__xludf.DUMMYFUNCTION("""COMPUTED_VALUE"""),"https://drive.google.com/file/d/1ne1WgiN-Z7LTpaFvbIHSndG768QIVXIR/view?usp=drivesdk")</f>
        <v>https://drive.google.com/file/d/1ne1WgiN-Z7LTpaFvbIHSndG768QIVXIR/view?usp=drivesdk</v>
      </c>
      <c r="D297" s="2"/>
      <c r="E297" s="6">
        <v>327.0</v>
      </c>
      <c r="F297" s="2"/>
      <c r="I297" s="4"/>
    </row>
    <row r="298" ht="1.5" customHeight="1">
      <c r="A298" s="4" t="str">
        <f>IFERROR(__xludf.DUMMYFUNCTION("""COMPUTED_VALUE"""),"37. Dingus")</f>
        <v>37. Dingus</v>
      </c>
      <c r="B298" s="4" t="str">
        <f>IFERROR(__xludf.DUMMYFUNCTION("""COMPUTED_VALUE"""),"37")</f>
        <v>37</v>
      </c>
      <c r="C298" s="5" t="str">
        <f>IFERROR(__xludf.DUMMYFUNCTION("""COMPUTED_VALUE"""),"https://drive.google.com/file/d/1sjsWya4c4PcwQRBqJUND0Az-s0VGQRdj/view?usp=drivesdk")</f>
        <v>https://drive.google.com/file/d/1sjsWya4c4PcwQRBqJUND0Az-s0VGQRdj/view?usp=drivesdk</v>
      </c>
      <c r="D298" s="2"/>
      <c r="E298" s="6">
        <v>328.0</v>
      </c>
      <c r="F298" s="2"/>
      <c r="I298" s="4"/>
    </row>
    <row r="299" ht="1.5" customHeight="1">
      <c r="A299" s="4" t="str">
        <f>IFERROR(__xludf.DUMMYFUNCTION("""COMPUTED_VALUE"""),"37. Dingus")</f>
        <v>37. Dingus</v>
      </c>
      <c r="B299" s="4" t="str">
        <f>IFERROR(__xludf.DUMMYFUNCTION("""COMPUTED_VALUE"""),"37")</f>
        <v>37</v>
      </c>
      <c r="C299" s="5" t="str">
        <f>IFERROR(__xludf.DUMMYFUNCTION("""COMPUTED_VALUE"""),"https://drive.google.com/file/d/1dVsesq67JhvVfpky9-fWrp7fQ5hPS0v1/view?usp=drivesdk")</f>
        <v>https://drive.google.com/file/d/1dVsesq67JhvVfpky9-fWrp7fQ5hPS0v1/view?usp=drivesdk</v>
      </c>
      <c r="D299" s="2"/>
      <c r="E299" s="6">
        <v>329.0</v>
      </c>
      <c r="F299" s="2"/>
      <c r="I299" s="4"/>
    </row>
    <row r="300" ht="1.5" customHeight="1">
      <c r="A300" s="4" t="str">
        <f>IFERROR(__xludf.DUMMYFUNCTION("""COMPUTED_VALUE"""),"36. Scringle, 37. Dingus")</f>
        <v>36. Scringle, 37. Dingus</v>
      </c>
      <c r="B300" s="4" t="str">
        <f>IFERROR(__xludf.DUMMYFUNCTION("""COMPUTED_VALUE"""),"36, 37")</f>
        <v>36, 37</v>
      </c>
      <c r="C300" s="5" t="str">
        <f>IFERROR(__xludf.DUMMYFUNCTION("""COMPUTED_VALUE"""),"https://drive.google.com/file/d/1dHDrQXYVHV0yYdxnOzk8qi2EJmLTh2E4/view?usp=drivesdk")</f>
        <v>https://drive.google.com/file/d/1dHDrQXYVHV0yYdxnOzk8qi2EJmLTh2E4/view?usp=drivesdk</v>
      </c>
      <c r="D300" s="2"/>
      <c r="E300" s="6">
        <v>330.0</v>
      </c>
      <c r="F300" s="2"/>
      <c r="I300" s="4"/>
    </row>
    <row r="301" ht="1.5" customHeight="1">
      <c r="A301" s="4" t="str">
        <f>IFERROR(__xludf.DUMMYFUNCTION("""COMPUTED_VALUE"""),"36. Scringle, 37. Dingus")</f>
        <v>36. Scringle, 37. Dingus</v>
      </c>
      <c r="B301" s="4" t="str">
        <f>IFERROR(__xludf.DUMMYFUNCTION("""COMPUTED_VALUE"""),"36, 37")</f>
        <v>36, 37</v>
      </c>
      <c r="C301" s="5" t="str">
        <f>IFERROR(__xludf.DUMMYFUNCTION("""COMPUTED_VALUE"""),"https://drive.google.com/file/d/1URINqejnP9aA0Uu-omI3yxIW-EApLnwX/view?usp=drivesdk")</f>
        <v>https://drive.google.com/file/d/1URINqejnP9aA0Uu-omI3yxIW-EApLnwX/view?usp=drivesdk</v>
      </c>
      <c r="D301" s="2"/>
      <c r="E301" s="6">
        <v>331.0</v>
      </c>
      <c r="F301" s="2"/>
      <c r="I301" s="4"/>
    </row>
    <row r="302" ht="1.5" customHeight="1">
      <c r="A302" s="4" t="str">
        <f>IFERROR(__xludf.DUMMYFUNCTION("""COMPUTED_VALUE"""),"2. Twix")</f>
        <v>2. Twix</v>
      </c>
      <c r="B302" s="4" t="str">
        <f>IFERROR(__xludf.DUMMYFUNCTION("""COMPUTED_VALUE"""),"2")</f>
        <v>2</v>
      </c>
      <c r="C302" s="5" t="str">
        <f>IFERROR(__xludf.DUMMYFUNCTION("""COMPUTED_VALUE"""),"https://drive.google.com/file/d/1BS-pA5g7XVwhA7OvmD2_uI1y5D03BznT/view?usp=drivesdk")</f>
        <v>https://drive.google.com/file/d/1BS-pA5g7XVwhA7OvmD2_uI1y5D03BznT/view?usp=drivesdk</v>
      </c>
      <c r="D302" s="2"/>
      <c r="E302" s="6">
        <v>336.0</v>
      </c>
      <c r="F302" s="2"/>
      <c r="I302" s="4"/>
    </row>
    <row r="303" ht="1.5" customHeight="1">
      <c r="A303" s="4" t="str">
        <f>IFERROR(__xludf.DUMMYFUNCTION("""COMPUTED_VALUE"""),"2. Twix")</f>
        <v>2. Twix</v>
      </c>
      <c r="B303" s="4" t="str">
        <f>IFERROR(__xludf.DUMMYFUNCTION("""COMPUTED_VALUE"""),"2")</f>
        <v>2</v>
      </c>
      <c r="C303" s="5" t="str">
        <f>IFERROR(__xludf.DUMMYFUNCTION("""COMPUTED_VALUE"""),"https://drive.google.com/file/d/1kpXN57NZt6HKzqjtURMAibTwDXYSJq0G/view?usp=drivesdk")</f>
        <v>https://drive.google.com/file/d/1kpXN57NZt6HKzqjtURMAibTwDXYSJq0G/view?usp=drivesdk</v>
      </c>
      <c r="D303" s="2"/>
      <c r="E303" s="6">
        <v>338.0</v>
      </c>
      <c r="F303" s="2"/>
      <c r="I303" s="4"/>
    </row>
    <row r="304" ht="1.5" customHeight="1">
      <c r="A304" s="4" t="str">
        <f>IFERROR(__xludf.DUMMYFUNCTION("""COMPUTED_VALUE"""),"2. Twix")</f>
        <v>2. Twix</v>
      </c>
      <c r="B304" s="4" t="str">
        <f>IFERROR(__xludf.DUMMYFUNCTION("""COMPUTED_VALUE"""),"2")</f>
        <v>2</v>
      </c>
      <c r="C304" s="5" t="str">
        <f>IFERROR(__xludf.DUMMYFUNCTION("""COMPUTED_VALUE"""),"https://drive.google.com/file/d/1joet6IufkrnmxKtdWegMz3eR09ov3OK1/view?usp=drivesdk")</f>
        <v>https://drive.google.com/file/d/1joet6IufkrnmxKtdWegMz3eR09ov3OK1/view?usp=drivesdk</v>
      </c>
      <c r="D304" s="2"/>
      <c r="E304" s="6">
        <v>339.0</v>
      </c>
      <c r="F304" s="2"/>
      <c r="I304" s="4"/>
    </row>
    <row r="305" ht="1.5" customHeight="1">
      <c r="A305" s="4" t="str">
        <f>IFERROR(__xludf.DUMMYFUNCTION("""COMPUTED_VALUE"""),"2. Twix")</f>
        <v>2. Twix</v>
      </c>
      <c r="B305" s="4" t="str">
        <f>IFERROR(__xludf.DUMMYFUNCTION("""COMPUTED_VALUE"""),"2")</f>
        <v>2</v>
      </c>
      <c r="C305" s="5" t="str">
        <f>IFERROR(__xludf.DUMMYFUNCTION("""COMPUTED_VALUE"""),"https://drive.google.com/file/d/1KYZZOOhigRy8wDKwXsJ66KbpqunLl6i4/view?usp=drivesdk")</f>
        <v>https://drive.google.com/file/d/1KYZZOOhigRy8wDKwXsJ66KbpqunLl6i4/view?usp=drivesdk</v>
      </c>
      <c r="D305" s="2"/>
      <c r="E305" s="6">
        <v>340.0</v>
      </c>
      <c r="F305" s="2"/>
      <c r="I305" s="4"/>
    </row>
    <row r="306" ht="1.5" customHeight="1">
      <c r="A306" s="4" t="str">
        <f>IFERROR(__xludf.DUMMYFUNCTION("""COMPUTED_VALUE"""),"1. Microwave")</f>
        <v>1. Microwave</v>
      </c>
      <c r="B306" s="4" t="str">
        <f>IFERROR(__xludf.DUMMYFUNCTION("""COMPUTED_VALUE"""),"1")</f>
        <v>1</v>
      </c>
      <c r="C306" s="5" t="str">
        <f>IFERROR(__xludf.DUMMYFUNCTION("""COMPUTED_VALUE"""),"https://drive.google.com/file/d/1w7t_KItQbzmSNST-45fDvvu2B90a22yp/view?usp=drivesdk")</f>
        <v>https://drive.google.com/file/d/1w7t_KItQbzmSNST-45fDvvu2B90a22yp/view?usp=drivesdk</v>
      </c>
      <c r="D306" s="2"/>
      <c r="E306" s="6">
        <v>341.0</v>
      </c>
      <c r="F306" s="2"/>
      <c r="I306" s="4"/>
    </row>
    <row r="307" ht="1.5" customHeight="1">
      <c r="A307" s="4" t="str">
        <f>IFERROR(__xludf.DUMMYFUNCTION("""COMPUTED_VALUE"""),"1. Microwave")</f>
        <v>1. Microwave</v>
      </c>
      <c r="B307" s="4" t="str">
        <f>IFERROR(__xludf.DUMMYFUNCTION("""COMPUTED_VALUE"""),"1")</f>
        <v>1</v>
      </c>
      <c r="C307" s="5" t="str">
        <f>IFERROR(__xludf.DUMMYFUNCTION("""COMPUTED_VALUE"""),"https://drive.google.com/file/d/1LGurqhU_DEj01NDIcdYPXmVsdHrDRIvb/view?usp=drivesdk")</f>
        <v>https://drive.google.com/file/d/1LGurqhU_DEj01NDIcdYPXmVsdHrDRIvb/view?usp=drivesdk</v>
      </c>
      <c r="D307" s="2"/>
      <c r="E307" s="6">
        <v>342.0</v>
      </c>
      <c r="F307" s="2"/>
      <c r="I307" s="4"/>
    </row>
    <row r="308" ht="1.5" customHeight="1">
      <c r="A308" s="4" t="str">
        <f>IFERROR(__xludf.DUMMYFUNCTION("""COMPUTED_VALUE"""),"1. Microwave")</f>
        <v>1. Microwave</v>
      </c>
      <c r="B308" s="4" t="str">
        <f>IFERROR(__xludf.DUMMYFUNCTION("""COMPUTED_VALUE"""),"1")</f>
        <v>1</v>
      </c>
      <c r="C308" s="5" t="str">
        <f>IFERROR(__xludf.DUMMYFUNCTION("""COMPUTED_VALUE"""),"https://drive.google.com/file/d/16B_vvoWJAmCgPKydXc9E0KueAusZDzSF/view?usp=drivesdk")</f>
        <v>https://drive.google.com/file/d/16B_vvoWJAmCgPKydXc9E0KueAusZDzSF/view?usp=drivesdk</v>
      </c>
      <c r="D308" s="2"/>
      <c r="E308" s="6">
        <v>343.0</v>
      </c>
      <c r="F308" s="2"/>
      <c r="I308" s="4"/>
    </row>
    <row r="309" ht="1.5" customHeight="1">
      <c r="A309" s="4" t="str">
        <f>IFERROR(__xludf.DUMMYFUNCTION("""COMPUTED_VALUE"""),"48. Houdini")</f>
        <v>48. Houdini</v>
      </c>
      <c r="B309" s="4" t="str">
        <f>IFERROR(__xludf.DUMMYFUNCTION("""COMPUTED_VALUE"""),"48")</f>
        <v>48</v>
      </c>
      <c r="C309" s="5" t="str">
        <f>IFERROR(__xludf.DUMMYFUNCTION("""COMPUTED_VALUE"""),"https://drive.google.com/file/d/1Chf_X9BH5E-fHpCGgwpmdj4SCqr6OVD-/view?usp=drivesdk")</f>
        <v>https://drive.google.com/file/d/1Chf_X9BH5E-fHpCGgwpmdj4SCqr6OVD-/view?usp=drivesdk</v>
      </c>
      <c r="D309" s="2"/>
      <c r="E309" s="6">
        <v>345.0</v>
      </c>
      <c r="F309" s="2"/>
      <c r="I309" s="4"/>
    </row>
    <row r="310" ht="1.5" customHeight="1">
      <c r="A310" s="4" t="str">
        <f>IFERROR(__xludf.DUMMYFUNCTION("""COMPUTED_VALUE"""),"40. Dumpster")</f>
        <v>40. Dumpster</v>
      </c>
      <c r="B310" s="4" t="str">
        <f>IFERROR(__xludf.DUMMYFUNCTION("""COMPUTED_VALUE"""),"40")</f>
        <v>40</v>
      </c>
      <c r="C310" s="5" t="str">
        <f>IFERROR(__xludf.DUMMYFUNCTION("""COMPUTED_VALUE"""),"https://drive.google.com/file/d/1yFu5ChYL5grIYAOQgpfDFcTyzmhSJkGn/view?usp=drivesdk")</f>
        <v>https://drive.google.com/file/d/1yFu5ChYL5grIYAOQgpfDFcTyzmhSJkGn/view?usp=drivesdk</v>
      </c>
      <c r="D310" s="2"/>
      <c r="E310" s="6">
        <v>346.0</v>
      </c>
      <c r="F310" s="2"/>
      <c r="I310" s="4"/>
    </row>
    <row r="311" ht="1.5" customHeight="1">
      <c r="A311" s="4" t="str">
        <f>IFERROR(__xludf.DUMMYFUNCTION("""COMPUTED_VALUE"""),"35. Stove")</f>
        <v>35. Stove</v>
      </c>
      <c r="B311" s="4" t="str">
        <f>IFERROR(__xludf.DUMMYFUNCTION("""COMPUTED_VALUE"""),"35")</f>
        <v>35</v>
      </c>
      <c r="C311" s="5" t="str">
        <f>IFERROR(__xludf.DUMMYFUNCTION("""COMPUTED_VALUE"""),"https://drive.google.com/file/d/1V9v2RgBisWKQcOofj1St_FkiijrHTTmA/view?usp=drivesdk")</f>
        <v>https://drive.google.com/file/d/1V9v2RgBisWKQcOofj1St_FkiijrHTTmA/view?usp=drivesdk</v>
      </c>
      <c r="D311" s="2"/>
      <c r="E311" s="6">
        <v>347.0</v>
      </c>
      <c r="F311" s="2"/>
      <c r="I311" s="4"/>
    </row>
    <row r="312" ht="1.5" customHeight="1">
      <c r="A312" s="4" t="str">
        <f>IFERROR(__xludf.DUMMYFUNCTION("""COMPUTED_VALUE"""),"27. Angel")</f>
        <v>27. Angel</v>
      </c>
      <c r="B312" s="4" t="str">
        <f>IFERROR(__xludf.DUMMYFUNCTION("""COMPUTED_VALUE"""),"27")</f>
        <v>27</v>
      </c>
      <c r="C312" s="5" t="str">
        <f>IFERROR(__xludf.DUMMYFUNCTION("""COMPUTED_VALUE"""),"https://drive.google.com/file/d/1sDpdsAS1Sxnf2C178vwHRxoiTtdilZfm/view?usp=drivesdk")</f>
        <v>https://drive.google.com/file/d/1sDpdsAS1Sxnf2C178vwHRxoiTtdilZfm/view?usp=drivesdk</v>
      </c>
      <c r="D312" s="2"/>
      <c r="E312" s="6">
        <v>354.0</v>
      </c>
      <c r="F312" s="2"/>
      <c r="I312" s="4"/>
    </row>
    <row r="313" ht="1.5" customHeight="1">
      <c r="A313" s="4" t="str">
        <f>IFERROR(__xludf.DUMMYFUNCTION("""COMPUTED_VALUE"""),"27. Angel")</f>
        <v>27. Angel</v>
      </c>
      <c r="B313" s="4" t="str">
        <f>IFERROR(__xludf.DUMMYFUNCTION("""COMPUTED_VALUE"""),"27")</f>
        <v>27</v>
      </c>
      <c r="C313" s="5" t="str">
        <f>IFERROR(__xludf.DUMMYFUNCTION("""COMPUTED_VALUE"""),"https://drive.google.com/file/d/1r9bYyvtg0c9HGZxQ9T8aQ6GSqTsP-Rzx/view?usp=drivesdk")</f>
        <v>https://drive.google.com/file/d/1r9bYyvtg0c9HGZxQ9T8aQ6GSqTsP-Rzx/view?usp=drivesdk</v>
      </c>
      <c r="D313" s="2"/>
      <c r="E313" s="6">
        <v>355.0</v>
      </c>
      <c r="F313" s="2"/>
      <c r="I313" s="4"/>
    </row>
    <row r="314" ht="1.5" customHeight="1">
      <c r="A314" s="4" t="str">
        <f>IFERROR(__xludf.DUMMYFUNCTION("""COMPUTED_VALUE"""),"2. Twix")</f>
        <v>2. Twix</v>
      </c>
      <c r="B314" s="4" t="str">
        <f>IFERROR(__xludf.DUMMYFUNCTION("""COMPUTED_VALUE"""),"2")</f>
        <v>2</v>
      </c>
      <c r="C314" s="5" t="str">
        <f>IFERROR(__xludf.DUMMYFUNCTION("""COMPUTED_VALUE"""),"https://drive.google.com/file/d/13znXCCiOjPwNRwWIdD3mN9ys6AjDAF8Z/view?usp=drivesdk")</f>
        <v>https://drive.google.com/file/d/13znXCCiOjPwNRwWIdD3mN9ys6AjDAF8Z/view?usp=drivesdk</v>
      </c>
      <c r="D314" s="2"/>
      <c r="E314" s="6">
        <v>357.0</v>
      </c>
      <c r="F314" s="2"/>
      <c r="I314" s="4"/>
    </row>
    <row r="315" ht="1.5" customHeight="1">
      <c r="A315" s="4" t="str">
        <f>IFERROR(__xludf.DUMMYFUNCTION("""COMPUTED_VALUE"""),"2. Twix")</f>
        <v>2. Twix</v>
      </c>
      <c r="B315" s="4" t="str">
        <f>IFERROR(__xludf.DUMMYFUNCTION("""COMPUTED_VALUE"""),"2")</f>
        <v>2</v>
      </c>
      <c r="C315" s="5" t="str">
        <f>IFERROR(__xludf.DUMMYFUNCTION("""COMPUTED_VALUE"""),"https://drive.google.com/file/d/1oIfh6hc_a4S2vW1snlKwc6dfY1pXwDoq/view?usp=drivesdk")</f>
        <v>https://drive.google.com/file/d/1oIfh6hc_a4S2vW1snlKwc6dfY1pXwDoq/view?usp=drivesdk</v>
      </c>
      <c r="D315" s="2"/>
      <c r="E315" s="6">
        <v>359.0</v>
      </c>
      <c r="F315" s="2"/>
      <c r="I315" s="4"/>
    </row>
    <row r="316" ht="1.5" customHeight="1">
      <c r="A316" s="4" t="str">
        <f>IFERROR(__xludf.DUMMYFUNCTION("""COMPUTED_VALUE"""),"2. Twix")</f>
        <v>2. Twix</v>
      </c>
      <c r="B316" s="4" t="str">
        <f>IFERROR(__xludf.DUMMYFUNCTION("""COMPUTED_VALUE"""),"2")</f>
        <v>2</v>
      </c>
      <c r="C316" s="5" t="str">
        <f>IFERROR(__xludf.DUMMYFUNCTION("""COMPUTED_VALUE"""),"https://drive.google.com/file/d/1dabdXhFy0bmU7jjLQC4tu8P_2ptU8Ym4/view?usp=drivesdk")</f>
        <v>https://drive.google.com/file/d/1dabdXhFy0bmU7jjLQC4tu8P_2ptU8Ym4/view?usp=drivesdk</v>
      </c>
      <c r="D316" s="2"/>
      <c r="E316" s="6">
        <v>360.0</v>
      </c>
      <c r="F316" s="2"/>
      <c r="I316" s="4"/>
    </row>
    <row r="317" ht="1.5" customHeight="1">
      <c r="A317" s="4" t="str">
        <f>IFERROR(__xludf.DUMMYFUNCTION("""COMPUTED_VALUE"""),"2. Twix")</f>
        <v>2. Twix</v>
      </c>
      <c r="B317" s="4" t="str">
        <f>IFERROR(__xludf.DUMMYFUNCTION("""COMPUTED_VALUE"""),"2")</f>
        <v>2</v>
      </c>
      <c r="C317" s="5" t="str">
        <f>IFERROR(__xludf.DUMMYFUNCTION("""COMPUTED_VALUE"""),"https://drive.google.com/file/d/1B5qkoVhxUToXv6pQM2wt47LXmKmq8X7s/view?usp=drivesdk")</f>
        <v>https://drive.google.com/file/d/1B5qkoVhxUToXv6pQM2wt47LXmKmq8X7s/view?usp=drivesdk</v>
      </c>
      <c r="D317" s="2"/>
      <c r="E317" s="6">
        <v>361.0</v>
      </c>
      <c r="F317" s="2"/>
      <c r="I317" s="4"/>
    </row>
    <row r="318" ht="1.5" customHeight="1">
      <c r="A318" s="4" t="str">
        <f>IFERROR(__xludf.DUMMYFUNCTION("""COMPUTED_VALUE"""),"2. Twix")</f>
        <v>2. Twix</v>
      </c>
      <c r="B318" s="4" t="str">
        <f>IFERROR(__xludf.DUMMYFUNCTION("""COMPUTED_VALUE"""),"2")</f>
        <v>2</v>
      </c>
      <c r="C318" s="5" t="str">
        <f>IFERROR(__xludf.DUMMYFUNCTION("""COMPUTED_VALUE"""),"https://drive.google.com/file/d/1kCQNfrC51Q7oSat162Hk-qHAJkAZZCZ6/view?usp=drivesdk")</f>
        <v>https://drive.google.com/file/d/1kCQNfrC51Q7oSat162Hk-qHAJkAZZCZ6/view?usp=drivesdk</v>
      </c>
      <c r="D318" s="2"/>
      <c r="E318" s="6">
        <v>362.0</v>
      </c>
      <c r="F318" s="2"/>
      <c r="I318" s="4"/>
    </row>
    <row r="319" ht="1.5" customHeight="1">
      <c r="A319" s="4" t="str">
        <f>IFERROR(__xludf.DUMMYFUNCTION("""COMPUTED_VALUE"""),"5. Eraser")</f>
        <v>5. Eraser</v>
      </c>
      <c r="B319" s="4" t="str">
        <f>IFERROR(__xludf.DUMMYFUNCTION("""COMPUTED_VALUE"""),"5")</f>
        <v>5</v>
      </c>
      <c r="C319" s="10" t="str">
        <f>IFERROR(__xludf.DUMMYFUNCTION("""COMPUTED_VALUE"""),"https://drive.google.com/file/d/1z_EaRwBtjxdvCFbhOG0LPWrZvmUzCL9q/view?usp=drivesdk")</f>
        <v>https://drive.google.com/file/d/1z_EaRwBtjxdvCFbhOG0LPWrZvmUzCL9q/view?usp=drivesdk</v>
      </c>
      <c r="D319" s="2"/>
      <c r="E319" s="6">
        <v>373.0</v>
      </c>
      <c r="F319" s="2"/>
      <c r="I319" s="4"/>
    </row>
    <row r="320" ht="1.5" customHeight="1">
      <c r="A320" s="4" t="str">
        <f>IFERROR(__xludf.DUMMYFUNCTION("""COMPUTED_VALUE"""),"5. Eraser")</f>
        <v>5. Eraser</v>
      </c>
      <c r="B320" s="4" t="str">
        <f>IFERROR(__xludf.DUMMYFUNCTION("""COMPUTED_VALUE"""),"5")</f>
        <v>5</v>
      </c>
      <c r="C320" s="5" t="str">
        <f>IFERROR(__xludf.DUMMYFUNCTION("""COMPUTED_VALUE"""),"https://drive.google.com/file/d/18B0jTrS4WAnAcSld2o62_BgbDiMajHj-/view?usp=drivesdk")</f>
        <v>https://drive.google.com/file/d/18B0jTrS4WAnAcSld2o62_BgbDiMajHj-/view?usp=drivesdk</v>
      </c>
      <c r="D320" s="2"/>
      <c r="E320" s="6">
        <v>374.0</v>
      </c>
      <c r="F320" s="2"/>
      <c r="I320" s="4"/>
    </row>
    <row r="321" ht="1.5" customHeight="1">
      <c r="A321" s="4" t="str">
        <f>IFERROR(__xludf.DUMMYFUNCTION("""COMPUTED_VALUE"""),"5. Eraser")</f>
        <v>5. Eraser</v>
      </c>
      <c r="B321" s="4" t="str">
        <f>IFERROR(__xludf.DUMMYFUNCTION("""COMPUTED_VALUE"""),"5")</f>
        <v>5</v>
      </c>
      <c r="C321" s="5" t="str">
        <f>IFERROR(__xludf.DUMMYFUNCTION("""COMPUTED_VALUE"""),"https://drive.google.com/file/d/1zaE67nRl64hqC7bfJqDIsi6oXYLWqCf9/view?usp=drivesdk")</f>
        <v>https://drive.google.com/file/d/1zaE67nRl64hqC7bfJqDIsi6oXYLWqCf9/view?usp=drivesdk</v>
      </c>
      <c r="D321" s="2"/>
      <c r="E321" s="6">
        <v>375.0</v>
      </c>
      <c r="F321" s="2"/>
      <c r="I321" s="4"/>
    </row>
    <row r="322" ht="1.5" customHeight="1">
      <c r="A322" s="4" t="str">
        <f>IFERROR(__xludf.DUMMYFUNCTION("""COMPUTED_VALUE"""),"5. Eraser")</f>
        <v>5. Eraser</v>
      </c>
      <c r="B322" s="4" t="str">
        <f>IFERROR(__xludf.DUMMYFUNCTION("""COMPUTED_VALUE"""),"5")</f>
        <v>5</v>
      </c>
      <c r="C322" s="5" t="str">
        <f>IFERROR(__xludf.DUMMYFUNCTION("""COMPUTED_VALUE"""),"https://drive.google.com/file/d/1XyKULy6Stl_HXHMac5k4X08H_uU0fLcE/view?usp=drivesdk")</f>
        <v>https://drive.google.com/file/d/1XyKULy6Stl_HXHMac5k4X08H_uU0fLcE/view?usp=drivesdk</v>
      </c>
      <c r="D322" s="2"/>
      <c r="E322" s="6">
        <v>376.0</v>
      </c>
      <c r="F322" s="2"/>
      <c r="I322" s="4"/>
    </row>
    <row r="323" ht="1.5" customHeight="1">
      <c r="A323" s="4" t="str">
        <f>IFERROR(__xludf.DUMMYFUNCTION("""COMPUTED_VALUE"""),"1. Microwave")</f>
        <v>1. Microwave</v>
      </c>
      <c r="B323" s="4" t="str">
        <f>IFERROR(__xludf.DUMMYFUNCTION("""COMPUTED_VALUE"""),"1")</f>
        <v>1</v>
      </c>
      <c r="C323" s="5" t="str">
        <f>IFERROR(__xludf.DUMMYFUNCTION("""COMPUTED_VALUE"""),"https://drive.google.com/file/d/1bmGLkz3ISXubn5q_yojU44o28r1g0L7S/view?usp=drivesdk")</f>
        <v>https://drive.google.com/file/d/1bmGLkz3ISXubn5q_yojU44o28r1g0L7S/view?usp=drivesdk</v>
      </c>
      <c r="D323" s="2"/>
      <c r="E323" s="11">
        <v>377.0</v>
      </c>
      <c r="F323" s="2"/>
      <c r="I323" s="4"/>
    </row>
    <row r="324" ht="1.5" customHeight="1">
      <c r="A324" s="4" t="str">
        <f>IFERROR(__xludf.DUMMYFUNCTION("""COMPUTED_VALUE"""),"27. Angel")</f>
        <v>27. Angel</v>
      </c>
      <c r="B324" s="4" t="str">
        <f>IFERROR(__xludf.DUMMYFUNCTION("""COMPUTED_VALUE"""),"27")</f>
        <v>27</v>
      </c>
      <c r="C324" s="5" t="str">
        <f>IFERROR(__xludf.DUMMYFUNCTION("""COMPUTED_VALUE"""),"https://drive.google.com/file/d/1WH2N5FXCH4yKCbOOAgIs8VlKNGaib6zF/view?usp=drivesdk")</f>
        <v>https://drive.google.com/file/d/1WH2N5FXCH4yKCbOOAgIs8VlKNGaib6zF/view?usp=drivesdk</v>
      </c>
      <c r="D324" s="2"/>
      <c r="E324" s="6">
        <v>378.0</v>
      </c>
      <c r="F324" s="2"/>
      <c r="I324" s="4"/>
    </row>
    <row r="325" ht="1.5" customHeight="1">
      <c r="A325" s="4" t="str">
        <f>IFERROR(__xludf.DUMMYFUNCTION("""COMPUTED_VALUE"""),"50. Thor")</f>
        <v>50. Thor</v>
      </c>
      <c r="B325" s="4" t="str">
        <f>IFERROR(__xludf.DUMMYFUNCTION("""COMPUTED_VALUE"""),"50")</f>
        <v>50</v>
      </c>
      <c r="C325" s="5" t="str">
        <f>IFERROR(__xludf.DUMMYFUNCTION("""COMPUTED_VALUE"""),"https://drive.google.com/file/d/1g9VdfnngUm2V-ZAtETbVvzZ2-qz7eDvU/view?usp=drivesdk")</f>
        <v>https://drive.google.com/file/d/1g9VdfnngUm2V-ZAtETbVvzZ2-qz7eDvU/view?usp=drivesdk</v>
      </c>
      <c r="D325" s="2"/>
      <c r="E325" s="6">
        <v>379.0</v>
      </c>
      <c r="F325" s="2"/>
      <c r="I325" s="4"/>
    </row>
    <row r="326" ht="1.5" customHeight="1">
      <c r="A326" s="4" t="str">
        <f>IFERROR(__xludf.DUMMYFUNCTION("""COMPUTED_VALUE"""),"50. Thor, 49. Freya")</f>
        <v>50. Thor, 49. Freya</v>
      </c>
      <c r="B326" s="4" t="str">
        <f>IFERROR(__xludf.DUMMYFUNCTION("""COMPUTED_VALUE"""),"50, 49")</f>
        <v>50, 49</v>
      </c>
      <c r="C326" s="5" t="str">
        <f>IFERROR(__xludf.DUMMYFUNCTION("""COMPUTED_VALUE"""),"https://drive.google.com/file/d/1opJcxFomWYMw_H0XDdvxnQdXptqOpihF/view?usp=drivesdk")</f>
        <v>https://drive.google.com/file/d/1opJcxFomWYMw_H0XDdvxnQdXptqOpihF/view?usp=drivesdk</v>
      </c>
      <c r="D326" s="2"/>
      <c r="E326" s="6">
        <v>380.0</v>
      </c>
      <c r="F326" s="2"/>
      <c r="I326" s="4"/>
    </row>
    <row r="327" ht="1.5" customHeight="1">
      <c r="A327" s="4" t="str">
        <f>IFERROR(__xludf.DUMMYFUNCTION("""COMPUTED_VALUE"""),"50. Thor, 49. Freya")</f>
        <v>50. Thor, 49. Freya</v>
      </c>
      <c r="B327" s="4" t="str">
        <f>IFERROR(__xludf.DUMMYFUNCTION("""COMPUTED_VALUE"""),"50, 49")</f>
        <v>50, 49</v>
      </c>
      <c r="C327" s="5" t="str">
        <f>IFERROR(__xludf.DUMMYFUNCTION("""COMPUTED_VALUE"""),"https://drive.google.com/file/d/1jULNiJxGpNhEKtc-XAJTUA06VNJ3-Urg/view?usp=drivesdk")</f>
        <v>https://drive.google.com/file/d/1jULNiJxGpNhEKtc-XAJTUA06VNJ3-Urg/view?usp=drivesdk</v>
      </c>
      <c r="D327" s="2"/>
      <c r="E327" s="6">
        <v>381.0</v>
      </c>
      <c r="F327" s="2"/>
      <c r="I327" s="4"/>
    </row>
    <row r="328" ht="1.5" customHeight="1">
      <c r="A328" s="4" t="str">
        <f>IFERROR(__xludf.DUMMYFUNCTION("""COMPUTED_VALUE"""),"50. Thor, 49. Freya")</f>
        <v>50. Thor, 49. Freya</v>
      </c>
      <c r="B328" s="4" t="str">
        <f>IFERROR(__xludf.DUMMYFUNCTION("""COMPUTED_VALUE"""),"50, 49")</f>
        <v>50, 49</v>
      </c>
      <c r="C328" s="5" t="str">
        <f>IFERROR(__xludf.DUMMYFUNCTION("""COMPUTED_VALUE"""),"https://drive.google.com/file/d/1fmYaPb1RjVJj1udWV8GMcB1r5rfavJVM/view?usp=drivesdk")</f>
        <v>https://drive.google.com/file/d/1fmYaPb1RjVJj1udWV8GMcB1r5rfavJVM/view?usp=drivesdk</v>
      </c>
      <c r="D328" s="2"/>
      <c r="E328" s="11">
        <v>382.0</v>
      </c>
      <c r="F328" s="2"/>
      <c r="I328" s="4"/>
    </row>
    <row r="329" ht="1.5" customHeight="1">
      <c r="A329" s="4" t="str">
        <f>IFERROR(__xludf.DUMMYFUNCTION("""COMPUTED_VALUE"""),"30. Pepper")</f>
        <v>30. Pepper</v>
      </c>
      <c r="B329" s="4" t="str">
        <f>IFERROR(__xludf.DUMMYFUNCTION("""COMPUTED_VALUE"""),"30")</f>
        <v>30</v>
      </c>
      <c r="C329" s="5" t="str">
        <f>IFERROR(__xludf.DUMMYFUNCTION("""COMPUTED_VALUE"""),"https://drive.google.com/file/d/1S02FHGoG_Qsbll81ShQn71x_pS7qhBhe/view?usp=drivesdk")</f>
        <v>https://drive.google.com/file/d/1S02FHGoG_Qsbll81ShQn71x_pS7qhBhe/view?usp=drivesdk</v>
      </c>
      <c r="D329" s="2"/>
      <c r="E329" s="6">
        <v>383.0</v>
      </c>
      <c r="F329" s="2"/>
      <c r="I329" s="4"/>
    </row>
    <row r="330" ht="1.5" customHeight="1">
      <c r="A330" s="4" t="str">
        <f>IFERROR(__xludf.DUMMYFUNCTION("""COMPUTED_VALUE"""),"2. Twix")</f>
        <v>2. Twix</v>
      </c>
      <c r="B330" s="4" t="str">
        <f>IFERROR(__xludf.DUMMYFUNCTION("""COMPUTED_VALUE"""),"2")</f>
        <v>2</v>
      </c>
      <c r="C330" s="5" t="str">
        <f>IFERROR(__xludf.DUMMYFUNCTION("""COMPUTED_VALUE"""),"https://drive.google.com/file/d/1dhpUOYb6TZqrB2ERQCzqSUsEUYeSLGdD/view?usp=drivesdk")</f>
        <v>https://drive.google.com/file/d/1dhpUOYb6TZqrB2ERQCzqSUsEUYeSLGdD/view?usp=drivesdk</v>
      </c>
      <c r="D330" s="2"/>
      <c r="E330" s="6">
        <v>384.0</v>
      </c>
      <c r="F330" s="2"/>
      <c r="I330" s="4"/>
    </row>
    <row r="331" ht="1.5" customHeight="1">
      <c r="A331" s="4" t="str">
        <f>IFERROR(__xludf.DUMMYFUNCTION("""COMPUTED_VALUE"""),"58. Eden, 45. Boots")</f>
        <v>58. Eden, 45. Boots</v>
      </c>
      <c r="B331" s="4" t="str">
        <f>IFERROR(__xludf.DUMMYFUNCTION("""COMPUTED_VALUE"""),"58, 45")</f>
        <v>58, 45</v>
      </c>
      <c r="C331" s="5" t="str">
        <f>IFERROR(__xludf.DUMMYFUNCTION("""COMPUTED_VALUE"""),"https://drive.google.com/file/d/1nMxClwyK5J1maYGQYEf2fAOeDbx_ngG1/view?usp=drivesdk")</f>
        <v>https://drive.google.com/file/d/1nMxClwyK5J1maYGQYEf2fAOeDbx_ngG1/view?usp=drivesdk</v>
      </c>
      <c r="D331" s="2"/>
      <c r="E331" s="6">
        <v>385.0</v>
      </c>
      <c r="F331" s="2"/>
      <c r="I331" s="4"/>
    </row>
    <row r="332" ht="1.5" customHeight="1">
      <c r="A332" s="4" t="str">
        <f>IFERROR(__xludf.DUMMYFUNCTION("""COMPUTED_VALUE"""),"58. Eden")</f>
        <v>58. Eden</v>
      </c>
      <c r="B332" s="4" t="str">
        <f>IFERROR(__xludf.DUMMYFUNCTION("""COMPUTED_VALUE"""),"58")</f>
        <v>58</v>
      </c>
      <c r="C332" s="5" t="str">
        <f>IFERROR(__xludf.DUMMYFUNCTION("""COMPUTED_VALUE"""),"https://drive.google.com/file/d/1ESRDHCJQfnAeeSZndbEmucF6fYAcB2Wm/view?usp=drivesdk")</f>
        <v>https://drive.google.com/file/d/1ESRDHCJQfnAeeSZndbEmucF6fYAcB2Wm/view?usp=drivesdk</v>
      </c>
      <c r="D332" s="2"/>
      <c r="E332" s="6">
        <v>386.0</v>
      </c>
      <c r="F332" s="2"/>
      <c r="I332" s="4"/>
    </row>
    <row r="333" ht="1.5" customHeight="1">
      <c r="A333" s="4" t="str">
        <f>IFERROR(__xludf.DUMMYFUNCTION("""COMPUTED_VALUE"""),"12. Faye")</f>
        <v>12. Faye</v>
      </c>
      <c r="B333" s="4" t="str">
        <f>IFERROR(__xludf.DUMMYFUNCTION("""COMPUTED_VALUE"""),"12")</f>
        <v>12</v>
      </c>
      <c r="C333" s="5" t="str">
        <f>IFERROR(__xludf.DUMMYFUNCTION("""COMPUTED_VALUE"""),"https://drive.google.com/file/d/1XBgpDQGRx11mcTylBfIMnNc18mseqvSQ/view?usp=drivesdk")</f>
        <v>https://drive.google.com/file/d/1XBgpDQGRx11mcTylBfIMnNc18mseqvSQ/view?usp=drivesdk</v>
      </c>
      <c r="D333" s="2"/>
      <c r="E333" s="11">
        <v>387.0</v>
      </c>
      <c r="F333" s="2"/>
      <c r="I333" s="4"/>
    </row>
    <row r="334" ht="1.5" customHeight="1">
      <c r="A334" s="4" t="str">
        <f>IFERROR(__xludf.DUMMYFUNCTION("""COMPUTED_VALUE"""),"45. Boots")</f>
        <v>45. Boots</v>
      </c>
      <c r="B334" s="4" t="str">
        <f>IFERROR(__xludf.DUMMYFUNCTION("""COMPUTED_VALUE"""),"45")</f>
        <v>45</v>
      </c>
      <c r="C334" s="5" t="str">
        <f>IFERROR(__xludf.DUMMYFUNCTION("""COMPUTED_VALUE"""),"https://drive.google.com/file/d/1wn8UflQedR3wQ8awiIcrRbP0hnDAFaLi/view?usp=drivesdk")</f>
        <v>https://drive.google.com/file/d/1wn8UflQedR3wQ8awiIcrRbP0hnDAFaLi/view?usp=drivesdk</v>
      </c>
      <c r="D334" s="2"/>
      <c r="E334" s="6">
        <v>388.0</v>
      </c>
      <c r="F334" s="2"/>
      <c r="I334" s="4"/>
    </row>
    <row r="335" ht="1.5" customHeight="1">
      <c r="A335" s="4" t="str">
        <f>IFERROR(__xludf.DUMMYFUNCTION("""COMPUTED_VALUE"""),"40. Dumpster")</f>
        <v>40. Dumpster</v>
      </c>
      <c r="B335" s="4" t="str">
        <f>IFERROR(__xludf.DUMMYFUNCTION("""COMPUTED_VALUE"""),"40")</f>
        <v>40</v>
      </c>
      <c r="C335" s="5" t="str">
        <f>IFERROR(__xludf.DUMMYFUNCTION("""COMPUTED_VALUE"""),"https://drive.google.com/file/d/18eDr7r40UgzoV5N-EzXSe3t4a5tC3ymf/view?usp=drivesdk")</f>
        <v>https://drive.google.com/file/d/18eDr7r40UgzoV5N-EzXSe3t4a5tC3ymf/view?usp=drivesdk</v>
      </c>
      <c r="D335" s="2"/>
      <c r="E335" s="6">
        <v>389.0</v>
      </c>
      <c r="F335" s="2"/>
      <c r="I335" s="4"/>
    </row>
    <row r="336" ht="1.5" customHeight="1">
      <c r="A336" s="4" t="str">
        <f>IFERROR(__xludf.DUMMYFUNCTION("""COMPUTED_VALUE"""),"32. Noir")</f>
        <v>32. Noir</v>
      </c>
      <c r="B336" s="4" t="str">
        <f>IFERROR(__xludf.DUMMYFUNCTION("""COMPUTED_VALUE"""),"32")</f>
        <v>32</v>
      </c>
      <c r="C336" s="5" t="str">
        <f>IFERROR(__xludf.DUMMYFUNCTION("""COMPUTED_VALUE"""),"https://drive.google.com/file/d/13R-AnxUTFnFT1BcRcuB4x174BkTckSex/view?usp=drivesdk")</f>
        <v>https://drive.google.com/file/d/13R-AnxUTFnFT1BcRcuB4x174BkTckSex/view?usp=drivesdk</v>
      </c>
      <c r="D336" s="2"/>
      <c r="E336" s="6">
        <v>390.0</v>
      </c>
      <c r="F336" s="2"/>
      <c r="I336" s="4"/>
    </row>
    <row r="337" ht="1.5" customHeight="1">
      <c r="A337" s="4" t="str">
        <f>IFERROR(__xludf.DUMMYFUNCTION("""COMPUTED_VALUE"""),"32. Noir")</f>
        <v>32. Noir</v>
      </c>
      <c r="B337" s="4" t="str">
        <f>IFERROR(__xludf.DUMMYFUNCTION("""COMPUTED_VALUE"""),"32")</f>
        <v>32</v>
      </c>
      <c r="C337" s="5" t="str">
        <f>IFERROR(__xludf.DUMMYFUNCTION("""COMPUTED_VALUE"""),"https://drive.google.com/file/d/1phl4BW7F1eWRFynVGdg0PUAfkXaWUKwh/view?usp=drivesdk")</f>
        <v>https://drive.google.com/file/d/1phl4BW7F1eWRFynVGdg0PUAfkXaWUKwh/view?usp=drivesdk</v>
      </c>
      <c r="D337" s="2"/>
      <c r="E337" s="6">
        <v>391.0</v>
      </c>
      <c r="F337" s="2"/>
      <c r="I337" s="4"/>
    </row>
    <row r="338" ht="1.5" customHeight="1">
      <c r="A338" s="4" t="str">
        <f>IFERROR(__xludf.DUMMYFUNCTION("""COMPUTED_VALUE"""),"27. Angel")</f>
        <v>27. Angel</v>
      </c>
      <c r="B338" s="4" t="str">
        <f>IFERROR(__xludf.DUMMYFUNCTION("""COMPUTED_VALUE"""),"27")</f>
        <v>27</v>
      </c>
      <c r="C338" s="5" t="str">
        <f>IFERROR(__xludf.DUMMYFUNCTION("""COMPUTED_VALUE"""),"https://drive.google.com/file/d/1PThs28YMQ5pGo8Yciz27KlICoR-eEwD0/view?usp=drivesdk")</f>
        <v>https://drive.google.com/file/d/1PThs28YMQ5pGo8Yciz27KlICoR-eEwD0/view?usp=drivesdk</v>
      </c>
      <c r="D338" s="2"/>
      <c r="E338" s="11">
        <v>392.0</v>
      </c>
      <c r="F338" s="2"/>
      <c r="I338" s="4"/>
    </row>
    <row r="339" ht="1.5" customHeight="1">
      <c r="A339" s="4" t="str">
        <f>IFERROR(__xludf.DUMMYFUNCTION("""COMPUTED_VALUE"""),"32. Noir")</f>
        <v>32. Noir</v>
      </c>
      <c r="B339" s="4" t="str">
        <f>IFERROR(__xludf.DUMMYFUNCTION("""COMPUTED_VALUE"""),"32")</f>
        <v>32</v>
      </c>
      <c r="C339" s="5" t="str">
        <f>IFERROR(__xludf.DUMMYFUNCTION("""COMPUTED_VALUE"""),"https://drive.google.com/file/d/1gSm0D7y8X1zonn_vsg1biVr2jiWyuYSw/view?usp=drivesdk")</f>
        <v>https://drive.google.com/file/d/1gSm0D7y8X1zonn_vsg1biVr2jiWyuYSw/view?usp=drivesdk</v>
      </c>
      <c r="D339" s="2"/>
      <c r="E339" s="6">
        <v>393.0</v>
      </c>
      <c r="F339" s="2"/>
      <c r="I339" s="4"/>
    </row>
    <row r="340" ht="1.5" customHeight="1">
      <c r="A340" s="4" t="str">
        <f>IFERROR(__xludf.DUMMYFUNCTION("""COMPUTED_VALUE"""),"50. Thor")</f>
        <v>50. Thor</v>
      </c>
      <c r="B340" s="4" t="str">
        <f>IFERROR(__xludf.DUMMYFUNCTION("""COMPUTED_VALUE"""),"50")</f>
        <v>50</v>
      </c>
      <c r="C340" s="5" t="str">
        <f>IFERROR(__xludf.DUMMYFUNCTION("""COMPUTED_VALUE"""),"https://drive.google.com/file/d/12-c00F1KuvSf2YLoyeIs-vCtVUWBRADS/view?usp=drivesdk")</f>
        <v>https://drive.google.com/file/d/12-c00F1KuvSf2YLoyeIs-vCtVUWBRADS/view?usp=drivesdk</v>
      </c>
      <c r="D340" s="2"/>
      <c r="E340" s="6">
        <v>394.0</v>
      </c>
      <c r="F340" s="2"/>
      <c r="I340" s="4"/>
    </row>
    <row r="341" ht="1.5" customHeight="1">
      <c r="A341" s="4" t="str">
        <f>IFERROR(__xludf.DUMMYFUNCTION("""COMPUTED_VALUE"""),"59. Creamsicle")</f>
        <v>59. Creamsicle</v>
      </c>
      <c r="B341" s="4" t="str">
        <f>IFERROR(__xludf.DUMMYFUNCTION("""COMPUTED_VALUE"""),"59")</f>
        <v>59</v>
      </c>
      <c r="C341" s="5" t="str">
        <f>IFERROR(__xludf.DUMMYFUNCTION("""COMPUTED_VALUE"""),"https://drive.google.com/file/d/1yPZ2L_kAZXBmWyNhIS92yAD8HwJsHKTy/view?usp=drivesdk")</f>
        <v>https://drive.google.com/file/d/1yPZ2L_kAZXBmWyNhIS92yAD8HwJsHKTy/view?usp=drivesdk</v>
      </c>
      <c r="D341" s="2"/>
      <c r="E341" s="11">
        <v>395.0</v>
      </c>
      <c r="F341" s="2"/>
      <c r="I341" s="4"/>
    </row>
    <row r="342" ht="1.5" customHeight="1">
      <c r="A342" s="4" t="str">
        <f>IFERROR(__xludf.DUMMYFUNCTION("""COMPUTED_VALUE"""),"60. Redacted")</f>
        <v>60. Redacted</v>
      </c>
      <c r="B342" s="4" t="str">
        <f>IFERROR(__xludf.DUMMYFUNCTION("""COMPUTED_VALUE"""),"60")</f>
        <v>60</v>
      </c>
      <c r="C342" s="5" t="str">
        <f>IFERROR(__xludf.DUMMYFUNCTION("""COMPUTED_VALUE"""),"https://drive.google.com/file/d/1qxZkp5BDJEO0SxM1CXIMjcL7HLJmMxRy/view?usp=drivesdk")</f>
        <v>https://drive.google.com/file/d/1qxZkp5BDJEO0SxM1CXIMjcL7HLJmMxRy/view?usp=drivesdk</v>
      </c>
      <c r="D342" s="2"/>
      <c r="E342" s="6">
        <v>396.0</v>
      </c>
      <c r="F342" s="2"/>
      <c r="I342" s="4"/>
    </row>
    <row r="343" ht="1.5" customHeight="1">
      <c r="A343" s="4" t="str">
        <f>IFERROR(__xludf.DUMMYFUNCTION("""COMPUTED_VALUE"""),"13. Lionel")</f>
        <v>13. Lionel</v>
      </c>
      <c r="B343" s="4" t="str">
        <f>IFERROR(__xludf.DUMMYFUNCTION("""COMPUTED_VALUE"""),"13")</f>
        <v>13</v>
      </c>
      <c r="C343" s="5" t="str">
        <f>IFERROR(__xludf.DUMMYFUNCTION("""COMPUTED_VALUE"""),"https://drive.google.com/file/d/1MTXkDDtLuMhTrHMkCeGeEq9gfoCwJ-MT/view?usp=drivesdk")</f>
        <v>https://drive.google.com/file/d/1MTXkDDtLuMhTrHMkCeGeEq9gfoCwJ-MT/view?usp=drivesdk</v>
      </c>
      <c r="D343" s="2"/>
      <c r="E343" s="6">
        <v>397.0</v>
      </c>
      <c r="F343" s="2"/>
      <c r="I343" s="4"/>
    </row>
    <row r="344" ht="1.5" customHeight="1">
      <c r="A344" s="4" t="str">
        <f>IFERROR(__xludf.DUMMYFUNCTION("""COMPUTED_VALUE"""),"13. Lionel")</f>
        <v>13. Lionel</v>
      </c>
      <c r="B344" s="4" t="str">
        <f>IFERROR(__xludf.DUMMYFUNCTION("""COMPUTED_VALUE"""),"13")</f>
        <v>13</v>
      </c>
      <c r="C344" s="5" t="str">
        <f>IFERROR(__xludf.DUMMYFUNCTION("""COMPUTED_VALUE"""),"https://drive.google.com/file/d/1FNjPrIJAQu_dl3Kh673ceHeWCoqTIZUz/view?usp=drivesdk")</f>
        <v>https://drive.google.com/file/d/1FNjPrIJAQu_dl3Kh673ceHeWCoqTIZUz/view?usp=drivesdk</v>
      </c>
      <c r="D344" s="2"/>
      <c r="E344" s="11">
        <v>398.0</v>
      </c>
      <c r="F344" s="2"/>
      <c r="I344" s="4"/>
    </row>
    <row r="345" ht="1.5" customHeight="1">
      <c r="A345" s="4" t="str">
        <f>IFERROR(__xludf.DUMMYFUNCTION("""COMPUTED_VALUE"""),"13. Lionel")</f>
        <v>13. Lionel</v>
      </c>
      <c r="B345" s="4" t="str">
        <f>IFERROR(__xludf.DUMMYFUNCTION("""COMPUTED_VALUE"""),"13")</f>
        <v>13</v>
      </c>
      <c r="C345" s="5" t="str">
        <f>IFERROR(__xludf.DUMMYFUNCTION("""COMPUTED_VALUE"""),"https://drive.google.com/file/d/1Lb-a2_U5wgcITv1M-6WKVf22I-hh9o2L/view?usp=drivesdk")</f>
        <v>https://drive.google.com/file/d/1Lb-a2_U5wgcITv1M-6WKVf22I-hh9o2L/view?usp=drivesdk</v>
      </c>
      <c r="D345" s="2"/>
      <c r="E345" s="6">
        <v>399.0</v>
      </c>
      <c r="F345" s="2"/>
      <c r="I345" s="4"/>
    </row>
    <row r="346" ht="1.5" customHeight="1">
      <c r="A346" s="4" t="str">
        <f>IFERROR(__xludf.DUMMYFUNCTION("""COMPUTED_VALUE"""),"18. Porkchop, 10. Alaska")</f>
        <v>18. Porkchop, 10. Alaska</v>
      </c>
      <c r="B346" s="4" t="str">
        <f>IFERROR(__xludf.DUMMYFUNCTION("""COMPUTED_VALUE"""),"18, 10")</f>
        <v>18, 10</v>
      </c>
      <c r="C346" s="5" t="str">
        <f>IFERROR(__xludf.DUMMYFUNCTION("""COMPUTED_VALUE"""),"https://drive.google.com/file/d/1XQ0RPqE6c2ji8hudjg-783ZQrnDeRPjj/view?usp=drivesdk")</f>
        <v>https://drive.google.com/file/d/1XQ0RPqE6c2ji8hudjg-783ZQrnDeRPjj/view?usp=drivesdk</v>
      </c>
      <c r="D346" s="2"/>
      <c r="E346" s="6">
        <v>400.0</v>
      </c>
      <c r="F346" s="2"/>
      <c r="I346" s="4"/>
    </row>
    <row r="347" ht="1.5" customHeight="1">
      <c r="A347" s="4" t="str">
        <f>IFERROR(__xludf.DUMMYFUNCTION("""COMPUTED_VALUE"""),"18. Porkchop")</f>
        <v>18. Porkchop</v>
      </c>
      <c r="B347" s="4" t="str">
        <f>IFERROR(__xludf.DUMMYFUNCTION("""COMPUTED_VALUE"""),"18")</f>
        <v>18</v>
      </c>
      <c r="C347" s="5" t="str">
        <f>IFERROR(__xludf.DUMMYFUNCTION("""COMPUTED_VALUE"""),"https://drive.google.com/file/d/18mYAB9SpHCDNL5Cv3UhvwkutyP4KUd2c/view?usp=drivesdk")</f>
        <v>https://drive.google.com/file/d/18mYAB9SpHCDNL5Cv3UhvwkutyP4KUd2c/view?usp=drivesdk</v>
      </c>
      <c r="D347" s="2"/>
      <c r="E347" s="11">
        <v>401.0</v>
      </c>
      <c r="F347" s="2"/>
      <c r="I347" s="4"/>
    </row>
    <row r="348" ht="1.5" customHeight="1">
      <c r="A348" s="4" t="str">
        <f>IFERROR(__xludf.DUMMYFUNCTION("""COMPUTED_VALUE"""),"1. Microwave")</f>
        <v>1. Microwave</v>
      </c>
      <c r="B348" s="4" t="str">
        <f>IFERROR(__xludf.DUMMYFUNCTION("""COMPUTED_VALUE"""),"1")</f>
        <v>1</v>
      </c>
      <c r="C348" s="5" t="str">
        <f>IFERROR(__xludf.DUMMYFUNCTION("""COMPUTED_VALUE"""),"https://drive.google.com/file/d/1gSSyMbooU81lCnm5o_tjfFFGEo9TPd57/view?usp=drivesdk")</f>
        <v>https://drive.google.com/file/d/1gSSyMbooU81lCnm5o_tjfFFGEo9TPd57/view?usp=drivesdk</v>
      </c>
      <c r="D348" s="2"/>
      <c r="E348" s="6">
        <v>402.0</v>
      </c>
      <c r="F348" s="2"/>
      <c r="I348" s="4"/>
    </row>
    <row r="349" ht="1.5" customHeight="1">
      <c r="A349" s="4" t="str">
        <f>IFERROR(__xludf.DUMMYFUNCTION("""COMPUTED_VALUE"""),"1. Microwave")</f>
        <v>1. Microwave</v>
      </c>
      <c r="B349" s="4" t="str">
        <f>IFERROR(__xludf.DUMMYFUNCTION("""COMPUTED_VALUE"""),"1")</f>
        <v>1</v>
      </c>
      <c r="C349" s="5" t="str">
        <f>IFERROR(__xludf.DUMMYFUNCTION("""COMPUTED_VALUE"""),"https://drive.google.com/file/d/1DaZVlKbqf9OxFc1Cx7hvyXOjLCeqNeC6/view?usp=drivesdk")</f>
        <v>https://drive.google.com/file/d/1DaZVlKbqf9OxFc1Cx7hvyXOjLCeqNeC6/view?usp=drivesdk</v>
      </c>
      <c r="D349" s="2"/>
      <c r="E349" s="6">
        <v>403.0</v>
      </c>
      <c r="F349" s="2"/>
      <c r="I349" s="4"/>
    </row>
    <row r="350" ht="1.5" customHeight="1">
      <c r="A350" s="4" t="str">
        <f>IFERROR(__xludf.DUMMYFUNCTION("""COMPUTED_VALUE"""),"1. Microwave")</f>
        <v>1. Microwave</v>
      </c>
      <c r="B350" s="4" t="str">
        <f>IFERROR(__xludf.DUMMYFUNCTION("""COMPUTED_VALUE"""),"1")</f>
        <v>1</v>
      </c>
      <c r="C350" s="5" t="str">
        <f>IFERROR(__xludf.DUMMYFUNCTION("""COMPUTED_VALUE"""),"https://drive.google.com/file/d/1OBnf2Cf-7zTOQNdwpCCVqphvLPDLui1Z/view?usp=drivesdk")</f>
        <v>https://drive.google.com/file/d/1OBnf2Cf-7zTOQNdwpCCVqphvLPDLui1Z/view?usp=drivesdk</v>
      </c>
      <c r="D350" s="2"/>
      <c r="E350" s="6">
        <v>404.0</v>
      </c>
      <c r="F350" s="2"/>
      <c r="I350" s="4"/>
    </row>
    <row r="351" ht="1.5" customHeight="1">
      <c r="A351" s="4" t="str">
        <f>IFERROR(__xludf.DUMMYFUNCTION("""COMPUTED_VALUE"""),"5. Eraser")</f>
        <v>5. Eraser</v>
      </c>
      <c r="B351" s="4" t="str">
        <f>IFERROR(__xludf.DUMMYFUNCTION("""COMPUTED_VALUE"""),"5")</f>
        <v>5</v>
      </c>
      <c r="C351" s="5" t="str">
        <f>IFERROR(__xludf.DUMMYFUNCTION("""COMPUTED_VALUE"""),"https://drive.google.com/file/d/18gx1mNtvUZ5DXSNOs3psQrmtQAvRqFzr/view?usp=drivesdk")</f>
        <v>https://drive.google.com/file/d/18gx1mNtvUZ5DXSNOs3psQrmtQAvRqFzr/view?usp=drivesdk</v>
      </c>
      <c r="D351" s="2"/>
      <c r="E351" s="11">
        <v>405.0</v>
      </c>
      <c r="F351" s="2"/>
      <c r="I351" s="4"/>
    </row>
    <row r="352" ht="1.5" customHeight="1">
      <c r="A352" s="4" t="str">
        <f>IFERROR(__xludf.DUMMYFUNCTION("""COMPUTED_VALUE"""),"4. Eggs")</f>
        <v>4. Eggs</v>
      </c>
      <c r="B352" s="4" t="str">
        <f>IFERROR(__xludf.DUMMYFUNCTION("""COMPUTED_VALUE"""),"4")</f>
        <v>4</v>
      </c>
      <c r="C352" s="5" t="str">
        <f>IFERROR(__xludf.DUMMYFUNCTION("""COMPUTED_VALUE"""),"https://drive.google.com/file/d/1iYa75w2a7u-TOLPiYvhyIlK-dkBTKvMx/view?usp=drivesdk")</f>
        <v>https://drive.google.com/file/d/1iYa75w2a7u-TOLPiYvhyIlK-dkBTKvMx/view?usp=drivesdk</v>
      </c>
      <c r="D352" s="2"/>
      <c r="E352" s="6">
        <v>406.0</v>
      </c>
      <c r="F352" s="2"/>
      <c r="I352" s="4"/>
    </row>
    <row r="353" ht="1.5" customHeight="1">
      <c r="A353" s="4" t="str">
        <f>IFERROR(__xludf.DUMMYFUNCTION("""COMPUTED_VALUE"""),"5. Eraser")</f>
        <v>5. Eraser</v>
      </c>
      <c r="B353" s="4" t="str">
        <f>IFERROR(__xludf.DUMMYFUNCTION("""COMPUTED_VALUE"""),"5")</f>
        <v>5</v>
      </c>
      <c r="C353" s="5" t="str">
        <f>IFERROR(__xludf.DUMMYFUNCTION("""COMPUTED_VALUE"""),"https://drive.google.com/file/d/1qXOyKOEhd5oUGAAaYxOJqZzchWYAr4Rg/view?usp=drivesdk")</f>
        <v>https://drive.google.com/file/d/1qXOyKOEhd5oUGAAaYxOJqZzchWYAr4Rg/view?usp=drivesdk</v>
      </c>
      <c r="D353" s="2"/>
      <c r="E353" s="6">
        <v>407.0</v>
      </c>
      <c r="F353" s="2"/>
      <c r="I353" s="4"/>
    </row>
    <row r="354" ht="1.5" customHeight="1">
      <c r="A354" s="4" t="str">
        <f>IFERROR(__xludf.DUMMYFUNCTION("""COMPUTED_VALUE"""),"5. Eraser")</f>
        <v>5. Eraser</v>
      </c>
      <c r="B354" s="4" t="str">
        <f>IFERROR(__xludf.DUMMYFUNCTION("""COMPUTED_VALUE"""),"5")</f>
        <v>5</v>
      </c>
      <c r="C354" s="5" t="str">
        <f>IFERROR(__xludf.DUMMYFUNCTION("""COMPUTED_VALUE"""),"https://drive.google.com/file/d/1ABNEI0_Wg2vWWasIbEw7IGJj7Gx7SWZ0/view?usp=drivesdk")</f>
        <v>https://drive.google.com/file/d/1ABNEI0_Wg2vWWasIbEw7IGJj7Gx7SWZ0/view?usp=drivesdk</v>
      </c>
      <c r="D354" s="2"/>
      <c r="E354" s="11">
        <v>408.0</v>
      </c>
      <c r="F354" s="2"/>
      <c r="I354" s="4"/>
    </row>
    <row r="355" ht="1.5" customHeight="1">
      <c r="A355" s="4" t="str">
        <f>IFERROR(__xludf.DUMMYFUNCTION("""COMPUTED_VALUE"""),"5. Eraser")</f>
        <v>5. Eraser</v>
      </c>
      <c r="B355" s="4" t="str">
        <f>IFERROR(__xludf.DUMMYFUNCTION("""COMPUTED_VALUE"""),"5")</f>
        <v>5</v>
      </c>
      <c r="C355" s="5" t="str">
        <f>IFERROR(__xludf.DUMMYFUNCTION("""COMPUTED_VALUE"""),"https://drive.google.com/file/d/1zjrc89vSG27YQLn1CW9hFzTCzDWktbws/view?usp=drivesdk")</f>
        <v>https://drive.google.com/file/d/1zjrc89vSG27YQLn1CW9hFzTCzDWktbws/view?usp=drivesdk</v>
      </c>
      <c r="D355" s="2"/>
      <c r="E355" s="6">
        <v>409.0</v>
      </c>
      <c r="F355" s="2"/>
      <c r="I355" s="4"/>
    </row>
    <row r="356" ht="1.5" customHeight="1">
      <c r="A356" s="4" t="str">
        <f>IFERROR(__xludf.DUMMYFUNCTION("""COMPUTED_VALUE"""),"5. Eraser")</f>
        <v>5. Eraser</v>
      </c>
      <c r="B356" s="4" t="str">
        <f>IFERROR(__xludf.DUMMYFUNCTION("""COMPUTED_VALUE"""),"5")</f>
        <v>5</v>
      </c>
      <c r="C356" s="5" t="str">
        <f>IFERROR(__xludf.DUMMYFUNCTION("""COMPUTED_VALUE"""),"https://drive.google.com/file/d/1KtCBKdhZ5mmTRPRc58HOXSxurYSeIjl_/view?usp=drivesdk")</f>
        <v>https://drive.google.com/file/d/1KtCBKdhZ5mmTRPRc58HOXSxurYSeIjl_/view?usp=drivesdk</v>
      </c>
      <c r="D356" s="2"/>
      <c r="E356" s="6">
        <v>410.0</v>
      </c>
      <c r="F356" s="2"/>
      <c r="I356" s="4"/>
    </row>
    <row r="357" ht="1.5" customHeight="1">
      <c r="A357" s="4" t="str">
        <f>IFERROR(__xludf.DUMMYFUNCTION("""COMPUTED_VALUE"""),"65. Tepi")</f>
        <v>65. Tepi</v>
      </c>
      <c r="B357" s="4" t="str">
        <f>IFERROR(__xludf.DUMMYFUNCTION("""COMPUTED_VALUE"""),"65")</f>
        <v>65</v>
      </c>
      <c r="C357" s="5" t="str">
        <f>IFERROR(__xludf.DUMMYFUNCTION("""COMPUTED_VALUE"""),"https://drive.google.com/file/d/1U55cEQxGzJoNP8pyPiLP9De6gfkljZnU/view?usp=drivesdk")</f>
        <v>https://drive.google.com/file/d/1U55cEQxGzJoNP8pyPiLP9De6gfkljZnU/view?usp=drivesdk</v>
      </c>
      <c r="D357" s="2"/>
      <c r="E357" s="11">
        <v>411.0</v>
      </c>
      <c r="F357" s="2"/>
      <c r="I357" s="4"/>
    </row>
    <row r="358" ht="1.5" customHeight="1">
      <c r="A358" s="4" t="str">
        <f>IFERROR(__xludf.DUMMYFUNCTION("""COMPUTED_VALUE"""),"39. Radar, 38. Winston, 42. Rubber")</f>
        <v>39. Radar, 38. Winston, 42. Rubber</v>
      </c>
      <c r="B358" s="4" t="str">
        <f>IFERROR(__xludf.DUMMYFUNCTION("""COMPUTED_VALUE"""),"39, 38, 42")</f>
        <v>39, 38, 42</v>
      </c>
      <c r="C358" s="5" t="str">
        <f>IFERROR(__xludf.DUMMYFUNCTION("""COMPUTED_VALUE"""),"https://drive.google.com/file/d/1ioXJJvRppqp7NyOIsmwh-_mG39dAet_3/view?usp=drivesdk")</f>
        <v>https://drive.google.com/file/d/1ioXJJvRppqp7NyOIsmwh-_mG39dAet_3/view?usp=drivesdk</v>
      </c>
      <c r="D358" s="2"/>
      <c r="E358" s="6">
        <v>412.0</v>
      </c>
      <c r="F358" s="2"/>
      <c r="I358" s="4"/>
    </row>
    <row r="359" ht="1.5" customHeight="1">
      <c r="A359" s="4" t="str">
        <f>IFERROR(__xludf.DUMMYFUNCTION("""COMPUTED_VALUE"""),"39. Radar, 38. Winston, 42. Rubber")</f>
        <v>39. Radar, 38. Winston, 42. Rubber</v>
      </c>
      <c r="B359" s="4" t="str">
        <f>IFERROR(__xludf.DUMMYFUNCTION("""COMPUTED_VALUE"""),"39, 38, 42")</f>
        <v>39, 38, 42</v>
      </c>
      <c r="C359" s="5" t="str">
        <f>IFERROR(__xludf.DUMMYFUNCTION("""COMPUTED_VALUE"""),"https://drive.google.com/file/d/13h8EvXju1M58LpN3E84D2RZXGKSvAjM7/view?usp=drivesdk")</f>
        <v>https://drive.google.com/file/d/13h8EvXju1M58LpN3E84D2RZXGKSvAjM7/view?usp=drivesdk</v>
      </c>
      <c r="D359" s="2"/>
      <c r="E359" s="6">
        <v>413.0</v>
      </c>
      <c r="F359" s="2"/>
      <c r="I359" s="4"/>
    </row>
    <row r="360" ht="1.5" customHeight="1">
      <c r="A360" s="4" t="str">
        <f>IFERROR(__xludf.DUMMYFUNCTION("""COMPUTED_VALUE"""),"12. Faye")</f>
        <v>12. Faye</v>
      </c>
      <c r="B360" s="4" t="str">
        <f>IFERROR(__xludf.DUMMYFUNCTION("""COMPUTED_VALUE"""),"12")</f>
        <v>12</v>
      </c>
      <c r="C360" s="5" t="str">
        <f>IFERROR(__xludf.DUMMYFUNCTION("""COMPUTED_VALUE"""),"https://drive.google.com/file/d/1oNSV0rVIhXSQurDkRLtBx5utHqZhxqD8/view?usp=drivesdk")</f>
        <v>https://drive.google.com/file/d/1oNSV0rVIhXSQurDkRLtBx5utHqZhxqD8/view?usp=drivesdk</v>
      </c>
      <c r="D360" s="2"/>
      <c r="E360" s="11">
        <v>414.0</v>
      </c>
      <c r="F360" s="2"/>
      <c r="I360" s="4"/>
    </row>
    <row r="361" ht="1.5" customHeight="1">
      <c r="A361" s="4" t="str">
        <f>IFERROR(__xludf.DUMMYFUNCTION("""COMPUTED_VALUE"""),"39. Radar, 42. Rubber")</f>
        <v>39. Radar, 42. Rubber</v>
      </c>
      <c r="B361" s="4" t="str">
        <f>IFERROR(__xludf.DUMMYFUNCTION("""COMPUTED_VALUE"""),"39, 42")</f>
        <v>39, 42</v>
      </c>
      <c r="C361" s="5" t="str">
        <f>IFERROR(__xludf.DUMMYFUNCTION("""COMPUTED_VALUE"""),"https://drive.google.com/file/d/1Rng3_vh5EsMf7PovYSUP_-OBAbcUxqzd/view?usp=drivesdk")</f>
        <v>https://drive.google.com/file/d/1Rng3_vh5EsMf7PovYSUP_-OBAbcUxqzd/view?usp=drivesdk</v>
      </c>
      <c r="D361" s="2"/>
      <c r="E361" s="6">
        <v>415.0</v>
      </c>
      <c r="F361" s="2"/>
      <c r="I361" s="4"/>
    </row>
    <row r="362" ht="1.5" customHeight="1">
      <c r="A362" s="4" t="str">
        <f>IFERROR(__xludf.DUMMYFUNCTION("""COMPUTED_VALUE"""),"39. Radar, 42. Rubber")</f>
        <v>39. Radar, 42. Rubber</v>
      </c>
      <c r="B362" s="4" t="str">
        <f>IFERROR(__xludf.DUMMYFUNCTION("""COMPUTED_VALUE"""),"39, 42")</f>
        <v>39, 42</v>
      </c>
      <c r="C362" s="5" t="str">
        <f>IFERROR(__xludf.DUMMYFUNCTION("""COMPUTED_VALUE"""),"https://drive.google.com/file/d/1gY5SKbfDkJEDdhrgsW9I55-gJm-x_1fc/view?usp=drivesdk")</f>
        <v>https://drive.google.com/file/d/1gY5SKbfDkJEDdhrgsW9I55-gJm-x_1fc/view?usp=drivesdk</v>
      </c>
      <c r="D362" s="2"/>
      <c r="E362" s="6">
        <v>416.0</v>
      </c>
      <c r="F362" s="2"/>
      <c r="I362" s="4"/>
    </row>
    <row r="363" ht="1.5" customHeight="1">
      <c r="A363" s="4" t="str">
        <f>IFERROR(__xludf.DUMMYFUNCTION("""COMPUTED_VALUE"""),"58. Eden")</f>
        <v>58. Eden</v>
      </c>
      <c r="B363" s="4" t="str">
        <f>IFERROR(__xludf.DUMMYFUNCTION("""COMPUTED_VALUE"""),"58")</f>
        <v>58</v>
      </c>
      <c r="C363" s="5" t="str">
        <f>IFERROR(__xludf.DUMMYFUNCTION("""COMPUTED_VALUE"""),"https://drive.google.com/file/d/1psvHCToU2C0IXAy0uxolRI2Pnj3ZQlVx/view?usp=drivesdk")</f>
        <v>https://drive.google.com/file/d/1psvHCToU2C0IXAy0uxolRI2Pnj3ZQlVx/view?usp=drivesdk</v>
      </c>
      <c r="D363" s="2"/>
      <c r="E363" s="6">
        <v>417.0</v>
      </c>
      <c r="F363" s="2"/>
      <c r="I363" s="4"/>
    </row>
    <row r="364" ht="1.5" customHeight="1">
      <c r="A364" s="4" t="str">
        <f>IFERROR(__xludf.DUMMYFUNCTION("""COMPUTED_VALUE"""),"61. Cassie, 62. Gorygreg")</f>
        <v>61. Cassie, 62. Gorygreg</v>
      </c>
      <c r="B364" s="4" t="str">
        <f>IFERROR(__xludf.DUMMYFUNCTION("""COMPUTED_VALUE"""),"61, 62")</f>
        <v>61, 62</v>
      </c>
      <c r="C364" s="5" t="str">
        <f>IFERROR(__xludf.DUMMYFUNCTION("""COMPUTED_VALUE"""),"https://drive.google.com/file/d/1brnWtAxa6Y3v-fDwzhpWLSJ3Maa_d0hP/view?usp=drivesdk")</f>
        <v>https://drive.google.com/file/d/1brnWtAxa6Y3v-fDwzhpWLSJ3Maa_d0hP/view?usp=drivesdk</v>
      </c>
      <c r="D364" s="2"/>
      <c r="E364" s="11">
        <v>418.0</v>
      </c>
      <c r="F364" s="2"/>
      <c r="I364" s="4"/>
    </row>
    <row r="365" ht="1.5" customHeight="1">
      <c r="A365" s="4" t="str">
        <f>IFERROR(__xludf.DUMMYFUNCTION("""COMPUTED_VALUE"""),"61. Cassie, 62. Gorygreg")</f>
        <v>61. Cassie, 62. Gorygreg</v>
      </c>
      <c r="B365" s="4" t="str">
        <f>IFERROR(__xludf.DUMMYFUNCTION("""COMPUTED_VALUE"""),"61, 62")</f>
        <v>61, 62</v>
      </c>
      <c r="C365" s="5" t="str">
        <f>IFERROR(__xludf.DUMMYFUNCTION("""COMPUTED_VALUE"""),"https://drive.google.com/file/d/1ePuMTrFwdPI8ohl7XYL2dMBul-nW_WCO/view?usp=drivesdk")</f>
        <v>https://drive.google.com/file/d/1ePuMTrFwdPI8ohl7XYL2dMBul-nW_WCO/view?usp=drivesdk</v>
      </c>
      <c r="D365" s="2"/>
      <c r="E365" s="6">
        <v>419.0</v>
      </c>
      <c r="F365" s="2"/>
      <c r="I365" s="4"/>
    </row>
    <row r="366" ht="1.5" customHeight="1">
      <c r="A366" s="4" t="str">
        <f>IFERROR(__xludf.DUMMYFUNCTION("""COMPUTED_VALUE"""),"61. Cassie, 62. Gorygreg")</f>
        <v>61. Cassie, 62. Gorygreg</v>
      </c>
      <c r="B366" s="4" t="str">
        <f>IFERROR(__xludf.DUMMYFUNCTION("""COMPUTED_VALUE"""),"61, 62")</f>
        <v>61, 62</v>
      </c>
      <c r="C366" s="5" t="str">
        <f>IFERROR(__xludf.DUMMYFUNCTION("""COMPUTED_VALUE"""),"https://drive.google.com/file/d/1kLCnytf_RcQLcL4LDH-w3ZsLaM9yJvrr/view?usp=drivesdk")</f>
        <v>https://drive.google.com/file/d/1kLCnytf_RcQLcL4LDH-w3ZsLaM9yJvrr/view?usp=drivesdk</v>
      </c>
      <c r="D366" s="2"/>
      <c r="E366" s="6">
        <v>420.0</v>
      </c>
      <c r="F366" s="2"/>
      <c r="I366" s="4"/>
    </row>
    <row r="367" ht="1.5" customHeight="1">
      <c r="A367" s="4" t="str">
        <f>IFERROR(__xludf.DUMMYFUNCTION("""COMPUTED_VALUE"""),"45. Boots, 41. Gregory, 40. Dumpster, 42. Rubber")</f>
        <v>45. Boots, 41. Gregory, 40. Dumpster, 42. Rubber</v>
      </c>
      <c r="B367" s="4" t="str">
        <f>IFERROR(__xludf.DUMMYFUNCTION("""COMPUTED_VALUE"""),"45, 41, 40, 42")</f>
        <v>45, 41, 40, 42</v>
      </c>
      <c r="C367" s="5" t="str">
        <f>IFERROR(__xludf.DUMMYFUNCTION("""COMPUTED_VALUE"""),"https://drive.google.com/file/d/12oguQMUyExtAVtlPEQLt9I9sozSsEBt6/view?usp=drivesdk")</f>
        <v>https://drive.google.com/file/d/12oguQMUyExtAVtlPEQLt9I9sozSsEBt6/view?usp=drivesdk</v>
      </c>
      <c r="D367" s="2"/>
      <c r="E367" s="11">
        <v>421.0</v>
      </c>
      <c r="F367" s="2"/>
      <c r="I367" s="4"/>
    </row>
    <row r="368" ht="1.5" customHeight="1">
      <c r="A368" s="4" t="str">
        <f>IFERROR(__xludf.DUMMYFUNCTION("""COMPUTED_VALUE"""),"43. Bruno, 38. Winston")</f>
        <v>43. Bruno, 38. Winston</v>
      </c>
      <c r="B368" s="4" t="str">
        <f>IFERROR(__xludf.DUMMYFUNCTION("""COMPUTED_VALUE"""),"43, 38")</f>
        <v>43, 38</v>
      </c>
      <c r="C368" s="5" t="str">
        <f>IFERROR(__xludf.DUMMYFUNCTION("""COMPUTED_VALUE"""),"https://drive.google.com/file/d/1Xo4EwZILSNEhjOrKOc_rJYjA5_I_46nB/view?usp=drivesdk")</f>
        <v>https://drive.google.com/file/d/1Xo4EwZILSNEhjOrKOc_rJYjA5_I_46nB/view?usp=drivesdk</v>
      </c>
      <c r="D368" s="2"/>
      <c r="E368" s="6">
        <v>422.0</v>
      </c>
      <c r="F368" s="2"/>
      <c r="I368" s="4"/>
    </row>
    <row r="369" ht="1.5" customHeight="1">
      <c r="A369" s="4" t="str">
        <f>IFERROR(__xludf.DUMMYFUNCTION("""COMPUTED_VALUE"""),"43. Bruno")</f>
        <v>43. Bruno</v>
      </c>
      <c r="B369" s="4" t="str">
        <f>IFERROR(__xludf.DUMMYFUNCTION("""COMPUTED_VALUE"""),"43")</f>
        <v>43</v>
      </c>
      <c r="C369" s="5" t="str">
        <f>IFERROR(__xludf.DUMMYFUNCTION("""COMPUTED_VALUE"""),"https://drive.google.com/file/d/1MpQAR_SPJi5PiDY19Z7UZ9uggPq9xfxN/view?usp=drivesdk")</f>
        <v>https://drive.google.com/file/d/1MpQAR_SPJi5PiDY19Z7UZ9uggPq9xfxN/view?usp=drivesdk</v>
      </c>
      <c r="D369" s="2"/>
      <c r="E369" s="6">
        <v>423.0</v>
      </c>
      <c r="F369" s="2"/>
      <c r="I369" s="4"/>
    </row>
    <row r="370" ht="1.5" customHeight="1">
      <c r="A370" s="4" t="str">
        <f>IFERROR(__xludf.DUMMYFUNCTION("""COMPUTED_VALUE"""),"45. Boots, 44. Shitbag Cuntface, 39. Radar, 41. Gregory")</f>
        <v>45. Boots, 44. Shitbag Cuntface, 39. Radar, 41. Gregory</v>
      </c>
      <c r="B370" s="4" t="str">
        <f>IFERROR(__xludf.DUMMYFUNCTION("""COMPUTED_VALUE"""),"45, 44, 39, 41")</f>
        <v>45, 44, 39, 41</v>
      </c>
      <c r="C370" s="5" t="str">
        <f>IFERROR(__xludf.DUMMYFUNCTION("""COMPUTED_VALUE"""),"https://drive.google.com/file/d/1-p0IQYs1Xc33FsMw4CurE31OMrDvu_KG/view?usp=drivesdk")</f>
        <v>https://drive.google.com/file/d/1-p0IQYs1Xc33FsMw4CurE31OMrDvu_KG/view?usp=drivesdk</v>
      </c>
      <c r="D370" s="2"/>
      <c r="E370" s="11">
        <v>424.0</v>
      </c>
      <c r="F370" s="2"/>
      <c r="I370" s="4"/>
    </row>
    <row r="371" ht="1.5" customHeight="1">
      <c r="A371" s="4" t="str">
        <f>IFERROR(__xludf.DUMMYFUNCTION("""COMPUTED_VALUE"""),"61. Cassie, 58. Eden, 44. Shitbag Cuntface, 40. Dumpster, 12. Faye, 45. Boots, 39. Radar, 42. Rubber, 41. Gregory, 77. Ooni")</f>
        <v>61. Cassie, 58. Eden, 44. Shitbag Cuntface, 40. Dumpster, 12. Faye, 45. Boots, 39. Radar, 42. Rubber, 41. Gregory, 77. Ooni</v>
      </c>
      <c r="B371" s="4" t="str">
        <f>IFERROR(__xludf.DUMMYFUNCTION("""COMPUTED_VALUE"""),"61, 58, 44, 40, 12, 45, 39, 42, 41, 77")</f>
        <v>61, 58, 44, 40, 12, 45, 39, 42, 41, 77</v>
      </c>
      <c r="C371" s="5" t="str">
        <f>IFERROR(__xludf.DUMMYFUNCTION("""COMPUTED_VALUE"""),"https://drive.google.com/file/d/1eqPKoGAuIyiQoFwsDWZKM9XphAEnOU9m/view?usp=drivesdk")</f>
        <v>https://drive.google.com/file/d/1eqPKoGAuIyiQoFwsDWZKM9XphAEnOU9m/view?usp=drivesdk</v>
      </c>
      <c r="D371" s="2"/>
      <c r="E371" s="6">
        <v>425.0</v>
      </c>
      <c r="F371" s="2"/>
      <c r="I371" s="4"/>
    </row>
    <row r="372" ht="1.5" customHeight="1">
      <c r="A372" s="4" t="str">
        <f>IFERROR(__xludf.DUMMYFUNCTION("""COMPUTED_VALUE"""),"61. Cassie, 58. Eden, 44. Shitbag Cuntface, 40. Dumpster, 12. Faye, 45. Boots, 39. Radar, 42. Rubber, 41. Gregory, 77. Ooni")</f>
        <v>61. Cassie, 58. Eden, 44. Shitbag Cuntface, 40. Dumpster, 12. Faye, 45. Boots, 39. Radar, 42. Rubber, 41. Gregory, 77. Ooni</v>
      </c>
      <c r="B372" s="4" t="str">
        <f>IFERROR(__xludf.DUMMYFUNCTION("""COMPUTED_VALUE"""),"61, 58, 44, 40, 12, 45, 39, 42, 41, 77")</f>
        <v>61, 58, 44, 40, 12, 45, 39, 42, 41, 77</v>
      </c>
      <c r="C372" s="5" t="str">
        <f>IFERROR(__xludf.DUMMYFUNCTION("""COMPUTED_VALUE"""),"https://drive.google.com/file/d/1L5EySXjG63kg1t-RyzdXUyr2iVpw-B8T/view?usp=drivesdk")</f>
        <v>https://drive.google.com/file/d/1L5EySXjG63kg1t-RyzdXUyr2iVpw-B8T/view?usp=drivesdk</v>
      </c>
      <c r="D372" s="2"/>
      <c r="E372" s="6">
        <v>426.0</v>
      </c>
      <c r="F372" s="2"/>
      <c r="I372" s="4"/>
    </row>
    <row r="373" ht="1.5" customHeight="1">
      <c r="A373" s="4" t="str">
        <f>IFERROR(__xludf.DUMMYFUNCTION("""COMPUTED_VALUE"""),"61. Cassie, 62. Gorygreg")</f>
        <v>61. Cassie, 62. Gorygreg</v>
      </c>
      <c r="B373" s="4" t="str">
        <f>IFERROR(__xludf.DUMMYFUNCTION("""COMPUTED_VALUE"""),"61, 62")</f>
        <v>61, 62</v>
      </c>
      <c r="C373" s="5" t="str">
        <f>IFERROR(__xludf.DUMMYFUNCTION("""COMPUTED_VALUE"""),"https://drive.google.com/file/d/1GVlFWs78tiSnFVxhrlrOstN0DBqum02c/view?usp=drivesdk")</f>
        <v>https://drive.google.com/file/d/1GVlFWs78tiSnFVxhrlrOstN0DBqum02c/view?usp=drivesdk</v>
      </c>
      <c r="D373" s="2"/>
      <c r="E373" s="11">
        <v>427.0</v>
      </c>
      <c r="F373" s="2"/>
      <c r="I373" s="4"/>
    </row>
    <row r="374" ht="1.5" customHeight="1">
      <c r="A374" s="4" t="str">
        <f>IFERROR(__xludf.DUMMYFUNCTION("""COMPUTED_VALUE"""),"61. Cassie")</f>
        <v>61. Cassie</v>
      </c>
      <c r="B374" s="4" t="str">
        <f>IFERROR(__xludf.DUMMYFUNCTION("""COMPUTED_VALUE"""),"61")</f>
        <v>61</v>
      </c>
      <c r="C374" s="5" t="str">
        <f>IFERROR(__xludf.DUMMYFUNCTION("""COMPUTED_VALUE"""),"https://drive.google.com/file/d/1UqMhfSaeiC2KatKTPTbhUxhij01yuAdy/view?usp=drivesdk")</f>
        <v>https://drive.google.com/file/d/1UqMhfSaeiC2KatKTPTbhUxhij01yuAdy/view?usp=drivesdk</v>
      </c>
      <c r="D374" s="2"/>
      <c r="E374" s="6">
        <v>428.0</v>
      </c>
      <c r="F374" s="2"/>
      <c r="I374" s="4"/>
    </row>
    <row r="375" ht="1.5" customHeight="1">
      <c r="A375" s="4" t="str">
        <f>IFERROR(__xludf.DUMMYFUNCTION("""COMPUTED_VALUE"""),"61. Cassie, 62. Gorygreg, 146. Monsieur Stanky")</f>
        <v>61. Cassie, 62. Gorygreg, 146. Monsieur Stanky</v>
      </c>
      <c r="B375" s="4" t="str">
        <f>IFERROR(__xludf.DUMMYFUNCTION("""COMPUTED_VALUE"""),"61, 62, 146")</f>
        <v>61, 62, 146</v>
      </c>
      <c r="C375" s="5" t="str">
        <f>IFERROR(__xludf.DUMMYFUNCTION("""COMPUTED_VALUE"""),"https://drive.google.com/file/d/1FJw9bn5cRcwTVkPnGpCuxFqISUeqHLgr/view?usp=drivesdk")</f>
        <v>https://drive.google.com/file/d/1FJw9bn5cRcwTVkPnGpCuxFqISUeqHLgr/view?usp=drivesdk</v>
      </c>
      <c r="D375" s="2"/>
      <c r="E375" s="6">
        <v>429.0</v>
      </c>
      <c r="F375" s="2"/>
      <c r="I375" s="4"/>
    </row>
    <row r="376" ht="1.5" customHeight="1">
      <c r="A376" s="4" t="str">
        <f>IFERROR(__xludf.DUMMYFUNCTION("""COMPUTED_VALUE"""),"38. Winston, 62. Gorygreg, 146. Monsieur Stanky")</f>
        <v>38. Winston, 62. Gorygreg, 146. Monsieur Stanky</v>
      </c>
      <c r="B376" s="4" t="str">
        <f>IFERROR(__xludf.DUMMYFUNCTION("""COMPUTED_VALUE"""),"38, 62, 146")</f>
        <v>38, 62, 146</v>
      </c>
      <c r="C376" s="5" t="str">
        <f>IFERROR(__xludf.DUMMYFUNCTION("""COMPUTED_VALUE"""),"https://drive.google.com/file/d/1VToYPnpy8yUDLeSedd6iJxZjotdUeaI9/view?usp=drivesdk")</f>
        <v>https://drive.google.com/file/d/1VToYPnpy8yUDLeSedd6iJxZjotdUeaI9/view?usp=drivesdk</v>
      </c>
      <c r="D376" s="2"/>
      <c r="E376" s="6">
        <v>430.0</v>
      </c>
      <c r="F376" s="2"/>
      <c r="I376" s="4"/>
    </row>
    <row r="377" ht="1.5" customHeight="1">
      <c r="A377" s="4" t="str">
        <f>IFERROR(__xludf.DUMMYFUNCTION("""COMPUTED_VALUE"""),"45. Boots, 61. Cassie")</f>
        <v>45. Boots, 61. Cassie</v>
      </c>
      <c r="B377" s="4" t="str">
        <f>IFERROR(__xludf.DUMMYFUNCTION("""COMPUTED_VALUE"""),"45, 61")</f>
        <v>45, 61</v>
      </c>
      <c r="C377" s="5" t="str">
        <f>IFERROR(__xludf.DUMMYFUNCTION("""COMPUTED_VALUE"""),"https://drive.google.com/file/d/1UREHB6wFszIjf1pgRJ0d0mGvR0SLtwgI/view?usp=drivesdk")</f>
        <v>https://drive.google.com/file/d/1UREHB6wFszIjf1pgRJ0d0mGvR0SLtwgI/view?usp=drivesdk</v>
      </c>
      <c r="D377" s="2"/>
      <c r="E377" s="11">
        <v>431.0</v>
      </c>
      <c r="F377" s="2"/>
      <c r="I377" s="4"/>
    </row>
    <row r="378" ht="1.5" customHeight="1">
      <c r="A378" s="4" t="str">
        <f>IFERROR(__xludf.DUMMYFUNCTION("""COMPUTED_VALUE"""),"45. Boots, 61. Cassie")</f>
        <v>45. Boots, 61. Cassie</v>
      </c>
      <c r="B378" s="4" t="str">
        <f>IFERROR(__xludf.DUMMYFUNCTION("""COMPUTED_VALUE"""),"45, 61")</f>
        <v>45, 61</v>
      </c>
      <c r="C378" s="5" t="str">
        <f>IFERROR(__xludf.DUMMYFUNCTION("""COMPUTED_VALUE"""),"https://drive.google.com/file/d/1ubAku3ZT1qw6eHVgx26NWC-oJ1_FZYAA/view?usp=drivesdk")</f>
        <v>https://drive.google.com/file/d/1ubAku3ZT1qw6eHVgx26NWC-oJ1_FZYAA/view?usp=drivesdk</v>
      </c>
      <c r="D378" s="2"/>
      <c r="E378" s="6">
        <v>432.0</v>
      </c>
      <c r="F378" s="2"/>
      <c r="I378" s="4"/>
    </row>
    <row r="379" ht="1.5" customHeight="1">
      <c r="A379" s="4" t="str">
        <f>IFERROR(__xludf.DUMMYFUNCTION("""COMPUTED_VALUE"""),"27. Angel")</f>
        <v>27. Angel</v>
      </c>
      <c r="B379" s="4" t="str">
        <f>IFERROR(__xludf.DUMMYFUNCTION("""COMPUTED_VALUE"""),"27")</f>
        <v>27</v>
      </c>
      <c r="C379" s="5" t="str">
        <f>IFERROR(__xludf.DUMMYFUNCTION("""COMPUTED_VALUE"""),"https://drive.google.com/file/d/1vdLhEHCKbpozt-R4JbA9TxCG20xn2guq/view?usp=drivesdk")</f>
        <v>https://drive.google.com/file/d/1vdLhEHCKbpozt-R4JbA9TxCG20xn2guq/view?usp=drivesdk</v>
      </c>
      <c r="D379" s="2"/>
      <c r="E379" s="6">
        <v>433.0</v>
      </c>
      <c r="F379" s="2"/>
      <c r="I379" s="4"/>
    </row>
    <row r="380" ht="1.5" customHeight="1">
      <c r="A380" s="4" t="str">
        <f>IFERROR(__xludf.DUMMYFUNCTION("""COMPUTED_VALUE"""),"27. Angel, 30. Pepper, 29. Ginger")</f>
        <v>27. Angel, 30. Pepper, 29. Ginger</v>
      </c>
      <c r="B380" s="4" t="str">
        <f>IFERROR(__xludf.DUMMYFUNCTION("""COMPUTED_VALUE"""),"27, 30, 29")</f>
        <v>27, 30, 29</v>
      </c>
      <c r="C380" s="5" t="str">
        <f>IFERROR(__xludf.DUMMYFUNCTION("""COMPUTED_VALUE"""),"https://drive.google.com/file/d/1ustgRDY2Mvno8CLo3bfa7P4obTSFYfq0/view?usp=drivesdk")</f>
        <v>https://drive.google.com/file/d/1ustgRDY2Mvno8CLo3bfa7P4obTSFYfq0/view?usp=drivesdk</v>
      </c>
      <c r="D380" s="2"/>
      <c r="E380" s="11">
        <v>434.0</v>
      </c>
      <c r="F380" s="2"/>
      <c r="I380" s="4"/>
    </row>
    <row r="381" ht="1.5" customHeight="1">
      <c r="A381" s="4" t="str">
        <f>IFERROR(__xludf.DUMMYFUNCTION("""COMPUTED_VALUE"""),"33. Zee")</f>
        <v>33. Zee</v>
      </c>
      <c r="B381" s="4" t="str">
        <f>IFERROR(__xludf.DUMMYFUNCTION("""COMPUTED_VALUE"""),"33")</f>
        <v>33</v>
      </c>
      <c r="C381" s="5" t="str">
        <f>IFERROR(__xludf.DUMMYFUNCTION("""COMPUTED_VALUE"""),"https://drive.google.com/file/d/1kZ_R8QSlNUpuqpR3bRK4UlK_S8LQSE4G/view?usp=drivesdk")</f>
        <v>https://drive.google.com/file/d/1kZ_R8QSlNUpuqpR3bRK4UlK_S8LQSE4G/view?usp=drivesdk</v>
      </c>
      <c r="D381" s="2"/>
      <c r="E381" s="6">
        <v>435.0</v>
      </c>
      <c r="F381" s="2"/>
      <c r="I381" s="4"/>
    </row>
    <row r="382" ht="1.5" customHeight="1">
      <c r="A382" s="4" t="str">
        <f>IFERROR(__xludf.DUMMYFUNCTION("""COMPUTED_VALUE"""),"30. Pepper")</f>
        <v>30. Pepper</v>
      </c>
      <c r="B382" s="4" t="str">
        <f>IFERROR(__xludf.DUMMYFUNCTION("""COMPUTED_VALUE"""),"30")</f>
        <v>30</v>
      </c>
      <c r="C382" s="5" t="str">
        <f>IFERROR(__xludf.DUMMYFUNCTION("""COMPUTED_VALUE"""),"https://drive.google.com/file/d/1FPIyMiwzGpuYyMGkhLaTvtxEB8-vSHUQ/view?usp=drivesdk")</f>
        <v>https://drive.google.com/file/d/1FPIyMiwzGpuYyMGkhLaTvtxEB8-vSHUQ/view?usp=drivesdk</v>
      </c>
      <c r="D382" s="2"/>
      <c r="E382" s="6">
        <v>436.0</v>
      </c>
      <c r="F382" s="2"/>
      <c r="I382" s="4"/>
    </row>
    <row r="383" ht="1.5" customHeight="1">
      <c r="A383" s="4" t="str">
        <f>IFERROR(__xludf.DUMMYFUNCTION("""COMPUTED_VALUE"""),"29. Ginger")</f>
        <v>29. Ginger</v>
      </c>
      <c r="B383" s="4" t="str">
        <f>IFERROR(__xludf.DUMMYFUNCTION("""COMPUTED_VALUE"""),"29")</f>
        <v>29</v>
      </c>
      <c r="C383" s="5" t="str">
        <f>IFERROR(__xludf.DUMMYFUNCTION("""COMPUTED_VALUE"""),"https://drive.google.com/file/d/1nlJ17AgNm--dFJuGtHMhIxonfCq9hQyt/view?usp=drivesdk")</f>
        <v>https://drive.google.com/file/d/1nlJ17AgNm--dFJuGtHMhIxonfCq9hQyt/view?usp=drivesdk</v>
      </c>
      <c r="D383" s="2"/>
      <c r="E383" s="11">
        <v>437.0</v>
      </c>
      <c r="F383" s="2"/>
      <c r="I383" s="4"/>
    </row>
    <row r="384" ht="1.5" customHeight="1">
      <c r="A384" s="4" t="str">
        <f>IFERROR(__xludf.DUMMYFUNCTION("""COMPUTED_VALUE"""),"33. Zee")</f>
        <v>33. Zee</v>
      </c>
      <c r="B384" s="4" t="str">
        <f>IFERROR(__xludf.DUMMYFUNCTION("""COMPUTED_VALUE"""),"33")</f>
        <v>33</v>
      </c>
      <c r="C384" s="5" t="str">
        <f>IFERROR(__xludf.DUMMYFUNCTION("""COMPUTED_VALUE"""),"https://drive.google.com/file/d/1WYG5vf96QGbzvny0Vw-rtjwxY_rfTWae/view?usp=drivesdk")</f>
        <v>https://drive.google.com/file/d/1WYG5vf96QGbzvny0Vw-rtjwxY_rfTWae/view?usp=drivesdk</v>
      </c>
      <c r="D384" s="2"/>
      <c r="E384" s="6">
        <v>438.0</v>
      </c>
      <c r="F384" s="2"/>
      <c r="I384" s="4"/>
    </row>
    <row r="385" ht="1.5" customHeight="1">
      <c r="A385" s="4" t="str">
        <f>IFERROR(__xludf.DUMMYFUNCTION("""COMPUTED_VALUE"""),"146. Monsieur Stanky")</f>
        <v>146. Monsieur Stanky</v>
      </c>
      <c r="B385" s="4" t="str">
        <f>IFERROR(__xludf.DUMMYFUNCTION("""COMPUTED_VALUE"""),"146")</f>
        <v>146</v>
      </c>
      <c r="C385" s="5" t="str">
        <f>IFERROR(__xludf.DUMMYFUNCTION("""COMPUTED_VALUE"""),"https://drive.google.com/file/d/1JtnMiV5vAZucv816NIYGFnRg_PIRxzAN/view?usp=drivesdk")</f>
        <v>https://drive.google.com/file/d/1JtnMiV5vAZucv816NIYGFnRg_PIRxzAN/view?usp=drivesdk</v>
      </c>
      <c r="D385" s="2"/>
      <c r="E385" s="11">
        <v>439.0</v>
      </c>
      <c r="F385" s="2"/>
      <c r="I385" s="4"/>
    </row>
    <row r="386" ht="1.5" customHeight="1">
      <c r="A386" s="4" t="str">
        <f>IFERROR(__xludf.DUMMYFUNCTION("""COMPUTED_VALUE"""),"146. Monsieur Stanky")</f>
        <v>146. Monsieur Stanky</v>
      </c>
      <c r="B386" s="4" t="str">
        <f>IFERROR(__xludf.DUMMYFUNCTION("""COMPUTED_VALUE"""),"146")</f>
        <v>146</v>
      </c>
      <c r="C386" s="5" t="str">
        <f>IFERROR(__xludf.DUMMYFUNCTION("""COMPUTED_VALUE"""),"https://drive.google.com/file/d/14YtiQuQOfzo8pYKkewBmvPH8qIGr-Qta/view?usp=drivesdk")</f>
        <v>https://drive.google.com/file/d/14YtiQuQOfzo8pYKkewBmvPH8qIGr-Qta/view?usp=drivesdk</v>
      </c>
      <c r="D386" s="2"/>
      <c r="E386" s="6">
        <v>440.0</v>
      </c>
      <c r="F386" s="2"/>
      <c r="I386" s="4"/>
    </row>
    <row r="387" ht="1.5" customHeight="1">
      <c r="A387" s="4" t="str">
        <f>IFERROR(__xludf.DUMMYFUNCTION("""COMPUTED_VALUE"""),"146. Monsieur Stanky")</f>
        <v>146. Monsieur Stanky</v>
      </c>
      <c r="B387" s="4" t="str">
        <f>IFERROR(__xludf.DUMMYFUNCTION("""COMPUTED_VALUE"""),"146")</f>
        <v>146</v>
      </c>
      <c r="C387" s="5" t="str">
        <f>IFERROR(__xludf.DUMMYFUNCTION("""COMPUTED_VALUE"""),"https://drive.google.com/file/d/1c-0wt9aPoSCj5C5jbHHfuNK-g_Spaz-O/view?usp=drivesdk")</f>
        <v>https://drive.google.com/file/d/1c-0wt9aPoSCj5C5jbHHfuNK-g_Spaz-O/view?usp=drivesdk</v>
      </c>
      <c r="D387" s="2"/>
      <c r="E387" s="6">
        <v>441.0</v>
      </c>
      <c r="F387" s="2"/>
      <c r="I387" s="4"/>
    </row>
    <row r="388" ht="1.5" customHeight="1">
      <c r="A388" s="4" t="str">
        <f>IFERROR(__xludf.DUMMYFUNCTION("""COMPUTED_VALUE"""),"146. Monsieur Stanky")</f>
        <v>146. Monsieur Stanky</v>
      </c>
      <c r="B388" s="4" t="str">
        <f>IFERROR(__xludf.DUMMYFUNCTION("""COMPUTED_VALUE"""),"146")</f>
        <v>146</v>
      </c>
      <c r="C388" s="5" t="str">
        <f>IFERROR(__xludf.DUMMYFUNCTION("""COMPUTED_VALUE"""),"https://drive.google.com/file/d/1ihMcf2-bITCOn-p4ljp6mCCs_ac_NM_c/view?usp=drivesdk")</f>
        <v>https://drive.google.com/file/d/1ihMcf2-bITCOn-p4ljp6mCCs_ac_NM_c/view?usp=drivesdk</v>
      </c>
      <c r="D388" s="2"/>
      <c r="E388" s="11">
        <v>442.0</v>
      </c>
      <c r="F388" s="2"/>
      <c r="I388" s="4"/>
    </row>
    <row r="389" ht="1.5" customHeight="1">
      <c r="A389" s="4" t="str">
        <f>IFERROR(__xludf.DUMMYFUNCTION("""COMPUTED_VALUE"""),"146. Monsieur Stanky")</f>
        <v>146. Monsieur Stanky</v>
      </c>
      <c r="B389" s="4" t="str">
        <f>IFERROR(__xludf.DUMMYFUNCTION("""COMPUTED_VALUE"""),"146")</f>
        <v>146</v>
      </c>
      <c r="C389" s="5" t="str">
        <f>IFERROR(__xludf.DUMMYFUNCTION("""COMPUTED_VALUE"""),"https://drive.google.com/file/d/14RA40LkQivvYpbEzE3zNjKKdPQ6UEd9b/view?usp=drivesdk")</f>
        <v>https://drive.google.com/file/d/14RA40LkQivvYpbEzE3zNjKKdPQ6UEd9b/view?usp=drivesdk</v>
      </c>
      <c r="D389" s="2"/>
      <c r="E389" s="6">
        <v>443.0</v>
      </c>
      <c r="F389" s="2"/>
      <c r="I389" s="4"/>
    </row>
    <row r="390" ht="1.5" customHeight="1">
      <c r="A390" s="4" t="str">
        <f>IFERROR(__xludf.DUMMYFUNCTION("""COMPUTED_VALUE"""),"8. Pencil")</f>
        <v>8. Pencil</v>
      </c>
      <c r="B390" s="4" t="str">
        <f>IFERROR(__xludf.DUMMYFUNCTION("""COMPUTED_VALUE"""),"8")</f>
        <v>8</v>
      </c>
      <c r="C390" s="5" t="str">
        <f>IFERROR(__xludf.DUMMYFUNCTION("""COMPUTED_VALUE"""),"https://drive.google.com/file/d/1kfx95C_exvah7ccgLesWvzBog2e7lOGi/view?usp=drivesdk")</f>
        <v>https://drive.google.com/file/d/1kfx95C_exvah7ccgLesWvzBog2e7lOGi/view?usp=drivesdk</v>
      </c>
      <c r="D390" s="2"/>
      <c r="E390" s="6">
        <v>444.0</v>
      </c>
      <c r="F390" s="2"/>
      <c r="I390" s="4"/>
    </row>
    <row r="391" ht="1.5" customHeight="1">
      <c r="A391" s="4" t="str">
        <f>IFERROR(__xludf.DUMMYFUNCTION("""COMPUTED_VALUE"""),"8. Pencil")</f>
        <v>8. Pencil</v>
      </c>
      <c r="B391" s="4" t="str">
        <f>IFERROR(__xludf.DUMMYFUNCTION("""COMPUTED_VALUE"""),"8")</f>
        <v>8</v>
      </c>
      <c r="C391" s="5" t="str">
        <f>IFERROR(__xludf.DUMMYFUNCTION("""COMPUTED_VALUE"""),"https://drive.google.com/file/d/1yEFSO9i_FbMUzXT6LhNLRdt4OOafaCJV/view?usp=drivesdk")</f>
        <v>https://drive.google.com/file/d/1yEFSO9i_FbMUzXT6LhNLRdt4OOafaCJV/view?usp=drivesdk</v>
      </c>
      <c r="D391" s="2"/>
      <c r="E391" s="6">
        <v>445.0</v>
      </c>
      <c r="F391" s="2"/>
      <c r="I391" s="4"/>
    </row>
    <row r="392" ht="1.5" customHeight="1">
      <c r="A392" s="4" t="str">
        <f>IFERROR(__xludf.DUMMYFUNCTION("""COMPUTED_VALUE"""),"8. Pencil")</f>
        <v>8. Pencil</v>
      </c>
      <c r="B392" s="4" t="str">
        <f>IFERROR(__xludf.DUMMYFUNCTION("""COMPUTED_VALUE"""),"8")</f>
        <v>8</v>
      </c>
      <c r="C392" s="5" t="str">
        <f>IFERROR(__xludf.DUMMYFUNCTION("""COMPUTED_VALUE"""),"https://drive.google.com/file/d/10vVuh9MNpwqWablcrdgqR-XMkX4wsuu-/view?usp=drivesdk")</f>
        <v>https://drive.google.com/file/d/10vVuh9MNpwqWablcrdgqR-XMkX4wsuu-/view?usp=drivesdk</v>
      </c>
      <c r="D392" s="2"/>
      <c r="E392" s="11">
        <v>446.0</v>
      </c>
      <c r="F392" s="2"/>
      <c r="I392" s="4"/>
    </row>
    <row r="393" ht="1.5" customHeight="1">
      <c r="A393" s="4" t="str">
        <f>IFERROR(__xludf.DUMMYFUNCTION("""COMPUTED_VALUE"""),"8. Pencil")</f>
        <v>8. Pencil</v>
      </c>
      <c r="B393" s="4" t="str">
        <f>IFERROR(__xludf.DUMMYFUNCTION("""COMPUTED_VALUE"""),"8")</f>
        <v>8</v>
      </c>
      <c r="C393" s="5" t="str">
        <f>IFERROR(__xludf.DUMMYFUNCTION("""COMPUTED_VALUE"""),"https://drive.google.com/file/d/1zHflsxAHKE1jCrHaG0zpVakMcxKWx4Qt/view?usp=drivesdk")</f>
        <v>https://drive.google.com/file/d/1zHflsxAHKE1jCrHaG0zpVakMcxKWx4Qt/view?usp=drivesdk</v>
      </c>
      <c r="D393" s="2"/>
      <c r="E393" s="6">
        <v>447.0</v>
      </c>
      <c r="F393" s="2"/>
      <c r="I393" s="4"/>
    </row>
    <row r="394" ht="1.5" customHeight="1">
      <c r="A394" s="4" t="str">
        <f>IFERROR(__xludf.DUMMYFUNCTION("""COMPUTED_VALUE"""),"8. Pencil")</f>
        <v>8. Pencil</v>
      </c>
      <c r="B394" s="4" t="str">
        <f>IFERROR(__xludf.DUMMYFUNCTION("""COMPUTED_VALUE"""),"8")</f>
        <v>8</v>
      </c>
      <c r="C394" s="5" t="str">
        <f>IFERROR(__xludf.DUMMYFUNCTION("""COMPUTED_VALUE"""),"https://drive.google.com/file/d/1OiloctkcPf3xbAk1xWuOJ4odSRiS3RUV/view?usp=drivesdk")</f>
        <v>https://drive.google.com/file/d/1OiloctkcPf3xbAk1xWuOJ4odSRiS3RUV/view?usp=drivesdk</v>
      </c>
      <c r="D394" s="2"/>
      <c r="E394" s="6">
        <v>448.0</v>
      </c>
      <c r="F394" s="2"/>
      <c r="I394" s="4"/>
    </row>
    <row r="395" ht="1.5" customHeight="1">
      <c r="A395" s="4" t="str">
        <f>IFERROR(__xludf.DUMMYFUNCTION("""COMPUTED_VALUE"""),"8. Pencil")</f>
        <v>8. Pencil</v>
      </c>
      <c r="B395" s="4" t="str">
        <f>IFERROR(__xludf.DUMMYFUNCTION("""COMPUTED_VALUE"""),"8")</f>
        <v>8</v>
      </c>
      <c r="C395" s="5" t="str">
        <f>IFERROR(__xludf.DUMMYFUNCTION("""COMPUTED_VALUE"""),"https://drive.google.com/file/d/1o77O5IB3AcJza4Xf731ok5RDr_n8rPh5/view?usp=drivesdk")</f>
        <v>https://drive.google.com/file/d/1o77O5IB3AcJza4Xf731ok5RDr_n8rPh5/view?usp=drivesdk</v>
      </c>
      <c r="D395" s="2"/>
      <c r="E395" s="6">
        <v>449.0</v>
      </c>
      <c r="F395" s="2"/>
      <c r="I395" s="4"/>
    </row>
    <row r="396" ht="1.5" customHeight="1">
      <c r="A396" s="4" t="str">
        <f>IFERROR(__xludf.DUMMYFUNCTION("""COMPUTED_VALUE"""),"8. Pencil")</f>
        <v>8. Pencil</v>
      </c>
      <c r="B396" s="4" t="str">
        <f>IFERROR(__xludf.DUMMYFUNCTION("""COMPUTED_VALUE"""),"8")</f>
        <v>8</v>
      </c>
      <c r="C396" s="5" t="str">
        <f>IFERROR(__xludf.DUMMYFUNCTION("""COMPUTED_VALUE"""),"https://drive.google.com/file/d/13SSOwLnsRKPfN07xy8JQsQIdEXPe6Yom/view?usp=drivesdk")</f>
        <v>https://drive.google.com/file/d/13SSOwLnsRKPfN07xy8JQsQIdEXPe6Yom/view?usp=drivesdk</v>
      </c>
      <c r="D396" s="2"/>
      <c r="E396" s="11">
        <v>450.0</v>
      </c>
      <c r="F396" s="2"/>
      <c r="I396" s="4"/>
    </row>
    <row r="397" ht="1.5" customHeight="1">
      <c r="A397" s="4" t="str">
        <f>IFERROR(__xludf.DUMMYFUNCTION("""COMPUTED_VALUE"""),"8. Pencil")</f>
        <v>8. Pencil</v>
      </c>
      <c r="B397" s="4" t="str">
        <f>IFERROR(__xludf.DUMMYFUNCTION("""COMPUTED_VALUE"""),"8")</f>
        <v>8</v>
      </c>
      <c r="C397" s="5" t="str">
        <f>IFERROR(__xludf.DUMMYFUNCTION("""COMPUTED_VALUE"""),"https://drive.google.com/file/d/1fNVXu4Ek-rOZv4jwc9Ux0C7tXOILlhPl/view?usp=drivesdk")</f>
        <v>https://drive.google.com/file/d/1fNVXu4Ek-rOZv4jwc9Ux0C7tXOILlhPl/view?usp=drivesdk</v>
      </c>
      <c r="D397" s="2"/>
      <c r="E397" s="6">
        <v>451.0</v>
      </c>
      <c r="F397" s="2"/>
      <c r="I397" s="4"/>
    </row>
    <row r="398" ht="1.5" customHeight="1">
      <c r="A398" s="4" t="str">
        <f>IFERROR(__xludf.DUMMYFUNCTION("""COMPUTED_VALUE"""),"8. Pencil")</f>
        <v>8. Pencil</v>
      </c>
      <c r="B398" s="4" t="str">
        <f>IFERROR(__xludf.DUMMYFUNCTION("""COMPUTED_VALUE"""),"8")</f>
        <v>8</v>
      </c>
      <c r="C398" s="5" t="str">
        <f>IFERROR(__xludf.DUMMYFUNCTION("""COMPUTED_VALUE"""),"https://drive.google.com/file/d/1ipvE8eOg7KmLGYdepmjQBnS4Suq8zjNj/view?usp=drivesdk")</f>
        <v>https://drive.google.com/file/d/1ipvE8eOg7KmLGYdepmjQBnS4Suq8zjNj/view?usp=drivesdk</v>
      </c>
      <c r="D398" s="2"/>
      <c r="E398" s="6">
        <v>452.0</v>
      </c>
      <c r="F398" s="2"/>
      <c r="I398" s="4"/>
    </row>
    <row r="399" ht="1.5" customHeight="1">
      <c r="A399" s="4" t="str">
        <f>IFERROR(__xludf.DUMMYFUNCTION("""COMPUTED_VALUE"""),"8. Pencil")</f>
        <v>8. Pencil</v>
      </c>
      <c r="B399" s="4" t="str">
        <f>IFERROR(__xludf.DUMMYFUNCTION("""COMPUTED_VALUE"""),"8")</f>
        <v>8</v>
      </c>
      <c r="C399" s="5" t="str">
        <f>IFERROR(__xludf.DUMMYFUNCTION("""COMPUTED_VALUE"""),"https://drive.google.com/file/d/1q18rPRPfainyz2zgFupId8sZB2Obfw_v/view?usp=drivesdk")</f>
        <v>https://drive.google.com/file/d/1q18rPRPfainyz2zgFupId8sZB2Obfw_v/view?usp=drivesdk</v>
      </c>
      <c r="D399" s="2"/>
      <c r="E399" s="6">
        <v>453.0</v>
      </c>
      <c r="F399" s="2"/>
      <c r="I399" s="4"/>
    </row>
    <row r="400" ht="1.5" customHeight="1">
      <c r="A400" s="4" t="str">
        <f>IFERROR(__xludf.DUMMYFUNCTION("""COMPUTED_VALUE"""),"8. Pencil")</f>
        <v>8. Pencil</v>
      </c>
      <c r="B400" s="4" t="str">
        <f>IFERROR(__xludf.DUMMYFUNCTION("""COMPUTED_VALUE"""),"8")</f>
        <v>8</v>
      </c>
      <c r="C400" s="5" t="str">
        <f>IFERROR(__xludf.DUMMYFUNCTION("""COMPUTED_VALUE"""),"https://drive.google.com/file/d/1SN_FNaZEg0v301wHzv2xpslcrtwhTBP9/view?usp=drivesdk")</f>
        <v>https://drive.google.com/file/d/1SN_FNaZEg0v301wHzv2xpslcrtwhTBP9/view?usp=drivesdk</v>
      </c>
      <c r="D400" s="2"/>
      <c r="E400" s="11">
        <v>454.0</v>
      </c>
      <c r="F400" s="2"/>
      <c r="I400" s="4"/>
    </row>
    <row r="401" ht="1.5" customHeight="1">
      <c r="A401" s="4" t="str">
        <f>IFERROR(__xludf.DUMMYFUNCTION("""COMPUTED_VALUE"""),"8. Pencil")</f>
        <v>8. Pencil</v>
      </c>
      <c r="B401" s="4" t="str">
        <f>IFERROR(__xludf.DUMMYFUNCTION("""COMPUTED_VALUE"""),"8")</f>
        <v>8</v>
      </c>
      <c r="C401" s="5" t="str">
        <f>IFERROR(__xludf.DUMMYFUNCTION("""COMPUTED_VALUE"""),"https://drive.google.com/file/d/1ceI4QeLrfbOtAk6zD7-rK8L-pcoCtcW-/view?usp=drivesdk")</f>
        <v>https://drive.google.com/file/d/1ceI4QeLrfbOtAk6zD7-rK8L-pcoCtcW-/view?usp=drivesdk</v>
      </c>
      <c r="D401" s="2"/>
      <c r="E401" s="6">
        <v>455.0</v>
      </c>
      <c r="F401" s="2"/>
      <c r="I401" s="4"/>
    </row>
    <row r="402" ht="1.5" customHeight="1">
      <c r="A402" s="4" t="str">
        <f>IFERROR(__xludf.DUMMYFUNCTION("""COMPUTED_VALUE"""),"8. Pencil")</f>
        <v>8. Pencil</v>
      </c>
      <c r="B402" s="4" t="str">
        <f>IFERROR(__xludf.DUMMYFUNCTION("""COMPUTED_VALUE"""),"8")</f>
        <v>8</v>
      </c>
      <c r="C402" s="5" t="str">
        <f>IFERROR(__xludf.DUMMYFUNCTION("""COMPUTED_VALUE"""),"https://drive.google.com/file/d/1aSImnj4w8l88bUBQguFaap8JQ8LGtowx/view?usp=drivesdk")</f>
        <v>https://drive.google.com/file/d/1aSImnj4w8l88bUBQguFaap8JQ8LGtowx/view?usp=drivesdk</v>
      </c>
      <c r="D402" s="2"/>
      <c r="E402" s="6">
        <v>456.0</v>
      </c>
      <c r="F402" s="2"/>
      <c r="I402" s="4"/>
    </row>
    <row r="403" ht="1.5" customHeight="1">
      <c r="A403" s="4" t="str">
        <f>IFERROR(__xludf.DUMMYFUNCTION("""COMPUTED_VALUE"""),"1. Microwave")</f>
        <v>1. Microwave</v>
      </c>
      <c r="B403" s="4" t="str">
        <f>IFERROR(__xludf.DUMMYFUNCTION("""COMPUTED_VALUE"""),"1")</f>
        <v>1</v>
      </c>
      <c r="C403" s="5" t="str">
        <f>IFERROR(__xludf.DUMMYFUNCTION("""COMPUTED_VALUE"""),"https://drive.google.com/file/d/1M0C1iYe5DdZ4y4EEi5f1fTZ1gDenwPtq/view?usp=drivesdk")</f>
        <v>https://drive.google.com/file/d/1M0C1iYe5DdZ4y4EEi5f1fTZ1gDenwPtq/view?usp=drivesdk</v>
      </c>
      <c r="D403" s="2"/>
      <c r="E403" s="6">
        <v>457.0</v>
      </c>
      <c r="F403" s="2"/>
      <c r="I403" s="4"/>
    </row>
    <row r="404" ht="1.5" customHeight="1">
      <c r="A404" s="4" t="str">
        <f>IFERROR(__xludf.DUMMYFUNCTION("""COMPUTED_VALUE"""),"1. Microwave")</f>
        <v>1. Microwave</v>
      </c>
      <c r="B404" s="4" t="str">
        <f>IFERROR(__xludf.DUMMYFUNCTION("""COMPUTED_VALUE"""),"1")</f>
        <v>1</v>
      </c>
      <c r="C404" s="5" t="str">
        <f>IFERROR(__xludf.DUMMYFUNCTION("""COMPUTED_VALUE"""),"https://drive.google.com/file/d/1SxTzqCrlQfZ7ipaxtl2c0LO4RrzuEKsY/view?usp=drivesdk")</f>
        <v>https://drive.google.com/file/d/1SxTzqCrlQfZ7ipaxtl2c0LO4RrzuEKsY/view?usp=drivesdk</v>
      </c>
      <c r="D404" s="2"/>
      <c r="E404" s="11">
        <v>458.0</v>
      </c>
      <c r="F404" s="2"/>
      <c r="I404" s="4"/>
    </row>
    <row r="405" ht="1.5" customHeight="1">
      <c r="A405" s="4" t="str">
        <f>IFERROR(__xludf.DUMMYFUNCTION("""COMPUTED_VALUE"""),"1. Microwave")</f>
        <v>1. Microwave</v>
      </c>
      <c r="B405" s="4" t="str">
        <f>IFERROR(__xludf.DUMMYFUNCTION("""COMPUTED_VALUE"""),"1")</f>
        <v>1</v>
      </c>
      <c r="C405" s="5" t="str">
        <f>IFERROR(__xludf.DUMMYFUNCTION("""COMPUTED_VALUE"""),"https://drive.google.com/file/d/1XC6f2K-8xQI_HnKadCAgY2c0a2xEeLmB/view?usp=drivesdk")</f>
        <v>https://drive.google.com/file/d/1XC6f2K-8xQI_HnKadCAgY2c0a2xEeLmB/view?usp=drivesdk</v>
      </c>
      <c r="D405" s="2"/>
      <c r="E405" s="6">
        <v>460.0</v>
      </c>
      <c r="F405" s="2"/>
      <c r="I405" s="4"/>
    </row>
    <row r="406" ht="1.5" customHeight="1">
      <c r="A406" s="4" t="str">
        <f>IFERROR(__xludf.DUMMYFUNCTION("""COMPUTED_VALUE"""),"8. Pencil")</f>
        <v>8. Pencil</v>
      </c>
      <c r="B406" s="4" t="str">
        <f>IFERROR(__xludf.DUMMYFUNCTION("""COMPUTED_VALUE"""),"8")</f>
        <v>8</v>
      </c>
      <c r="C406" s="5" t="str">
        <f>IFERROR(__xludf.DUMMYFUNCTION("""COMPUTED_VALUE"""),"https://drive.google.com/file/d/18fzJmkPbyi-3ErX3JgdGWwMVTRT0aPrW/view?usp=drivesdk")</f>
        <v>https://drive.google.com/file/d/18fzJmkPbyi-3ErX3JgdGWwMVTRT0aPrW/view?usp=drivesdk</v>
      </c>
      <c r="D406" s="2"/>
      <c r="E406" s="6">
        <v>461.0</v>
      </c>
      <c r="F406" s="2"/>
      <c r="I406" s="4"/>
    </row>
    <row r="407" ht="1.5" customHeight="1">
      <c r="A407" s="4" t="str">
        <f>IFERROR(__xludf.DUMMYFUNCTION("""COMPUTED_VALUE"""),"8. Pencil")</f>
        <v>8. Pencil</v>
      </c>
      <c r="B407" s="4" t="str">
        <f>IFERROR(__xludf.DUMMYFUNCTION("""COMPUTED_VALUE"""),"8")</f>
        <v>8</v>
      </c>
      <c r="C407" s="5" t="str">
        <f>IFERROR(__xludf.DUMMYFUNCTION("""COMPUTED_VALUE"""),"https://drive.google.com/file/d/11OpR9ZBlRXU27BdGahhwvXodZJ1KzYtQ/view?usp=drivesdk")</f>
        <v>https://drive.google.com/file/d/11OpR9ZBlRXU27BdGahhwvXodZJ1KzYtQ/view?usp=drivesdk</v>
      </c>
      <c r="D407" s="2"/>
      <c r="E407" s="11">
        <v>462.0</v>
      </c>
      <c r="F407" s="2"/>
      <c r="I407" s="4"/>
    </row>
    <row r="408" ht="1.5" customHeight="1">
      <c r="A408" s="4" t="str">
        <f>IFERROR(__xludf.DUMMYFUNCTION("""COMPUTED_VALUE"""),"8. Pencil")</f>
        <v>8. Pencil</v>
      </c>
      <c r="B408" s="4" t="str">
        <f>IFERROR(__xludf.DUMMYFUNCTION("""COMPUTED_VALUE"""),"8")</f>
        <v>8</v>
      </c>
      <c r="C408" s="5" t="str">
        <f>IFERROR(__xludf.DUMMYFUNCTION("""COMPUTED_VALUE"""),"https://drive.google.com/file/d/1m-PXgXHGMoBlb8U2RbdpbJdYU9BVPWb6/view?usp=drivesdk")</f>
        <v>https://drive.google.com/file/d/1m-PXgXHGMoBlb8U2RbdpbJdYU9BVPWb6/view?usp=drivesdk</v>
      </c>
      <c r="D408" s="2"/>
      <c r="E408" s="6">
        <v>463.0</v>
      </c>
      <c r="F408" s="2"/>
      <c r="I408" s="4"/>
    </row>
    <row r="409" ht="1.5" customHeight="1">
      <c r="A409" s="4" t="str">
        <f>IFERROR(__xludf.DUMMYFUNCTION("""COMPUTED_VALUE"""),"8. Pencil")</f>
        <v>8. Pencil</v>
      </c>
      <c r="B409" s="4" t="str">
        <f>IFERROR(__xludf.DUMMYFUNCTION("""COMPUTED_VALUE"""),"8")</f>
        <v>8</v>
      </c>
      <c r="C409" s="5" t="str">
        <f>IFERROR(__xludf.DUMMYFUNCTION("""COMPUTED_VALUE"""),"https://drive.google.com/file/d/1sSf-Vw5wwXKbo6r-_rVcoR1ff1wXdLjz/view?usp=drivesdk")</f>
        <v>https://drive.google.com/file/d/1sSf-Vw5wwXKbo6r-_rVcoR1ff1wXdLjz/view?usp=drivesdk</v>
      </c>
      <c r="D409" s="2"/>
      <c r="E409" s="6">
        <v>464.0</v>
      </c>
      <c r="F409" s="2"/>
      <c r="I409" s="4"/>
    </row>
    <row r="410" ht="1.5" customHeight="1">
      <c r="A410" s="4" t="str">
        <f>IFERROR(__xludf.DUMMYFUNCTION("""COMPUTED_VALUE"""),"8. Pencil")</f>
        <v>8. Pencil</v>
      </c>
      <c r="B410" s="4" t="str">
        <f>IFERROR(__xludf.DUMMYFUNCTION("""COMPUTED_VALUE"""),"8")</f>
        <v>8</v>
      </c>
      <c r="C410" s="5" t="str">
        <f>IFERROR(__xludf.DUMMYFUNCTION("""COMPUTED_VALUE"""),"https://drive.google.com/file/d/1p6TGVGfkBoc2upXHu5Yj5dXFMgJRpMWU/view?usp=drivesdk")</f>
        <v>https://drive.google.com/file/d/1p6TGVGfkBoc2upXHu5Yj5dXFMgJRpMWU/view?usp=drivesdk</v>
      </c>
      <c r="D410" s="2"/>
      <c r="E410" s="6">
        <v>465.0</v>
      </c>
      <c r="F410" s="2"/>
      <c r="I410" s="4"/>
    </row>
    <row r="411" ht="1.5" customHeight="1">
      <c r="A411" s="4" t="str">
        <f>IFERROR(__xludf.DUMMYFUNCTION("""COMPUTED_VALUE"""),"8. Pencil")</f>
        <v>8. Pencil</v>
      </c>
      <c r="B411" s="4" t="str">
        <f>IFERROR(__xludf.DUMMYFUNCTION("""COMPUTED_VALUE"""),"8")</f>
        <v>8</v>
      </c>
      <c r="C411" s="5" t="str">
        <f>IFERROR(__xludf.DUMMYFUNCTION("""COMPUTED_VALUE"""),"https://drive.google.com/file/d/1R4ARzhvHHZw2yC82y17fTkqBAqklyZyD/view?usp=drivesdk")</f>
        <v>https://drive.google.com/file/d/1R4ARzhvHHZw2yC82y17fTkqBAqklyZyD/view?usp=drivesdk</v>
      </c>
      <c r="D411" s="2"/>
      <c r="E411" s="11">
        <v>466.0</v>
      </c>
      <c r="F411" s="2"/>
      <c r="I411" s="4"/>
    </row>
    <row r="412" ht="1.5" customHeight="1">
      <c r="A412" s="4" t="str">
        <f>IFERROR(__xludf.DUMMYFUNCTION("""COMPUTED_VALUE"""),"8. Pencil")</f>
        <v>8. Pencil</v>
      </c>
      <c r="B412" s="4" t="str">
        <f>IFERROR(__xludf.DUMMYFUNCTION("""COMPUTED_VALUE"""),"8")</f>
        <v>8</v>
      </c>
      <c r="C412" s="5" t="str">
        <f>IFERROR(__xludf.DUMMYFUNCTION("""COMPUTED_VALUE"""),"https://drive.google.com/file/d/1y1P2xUzENZKqBJz_hSBYlk--BGQdYCVM/view?usp=drivesdk")</f>
        <v>https://drive.google.com/file/d/1y1P2xUzENZKqBJz_hSBYlk--BGQdYCVM/view?usp=drivesdk</v>
      </c>
      <c r="D412" s="2"/>
      <c r="E412" s="6">
        <v>467.0</v>
      </c>
      <c r="F412" s="2"/>
      <c r="I412" s="4"/>
    </row>
    <row r="413" ht="1.5" customHeight="1">
      <c r="A413" s="4" t="str">
        <f>IFERROR(__xludf.DUMMYFUNCTION("""COMPUTED_VALUE"""),"8. Pencil")</f>
        <v>8. Pencil</v>
      </c>
      <c r="B413" s="4" t="str">
        <f>IFERROR(__xludf.DUMMYFUNCTION("""COMPUTED_VALUE"""),"8")</f>
        <v>8</v>
      </c>
      <c r="C413" s="5" t="str">
        <f>IFERROR(__xludf.DUMMYFUNCTION("""COMPUTED_VALUE"""),"https://drive.google.com/file/d/1tUKDWfHEQwXMOrAtTnOdXJtKuRX3c-Gk/view?usp=drivesdk")</f>
        <v>https://drive.google.com/file/d/1tUKDWfHEQwXMOrAtTnOdXJtKuRX3c-Gk/view?usp=drivesdk</v>
      </c>
      <c r="D413" s="2"/>
      <c r="E413" s="6">
        <v>468.0</v>
      </c>
      <c r="F413" s="2"/>
      <c r="I413" s="4"/>
    </row>
    <row r="414" ht="1.5" customHeight="1">
      <c r="A414" s="4" t="str">
        <f>IFERROR(__xludf.DUMMYFUNCTION("""COMPUTED_VALUE"""),"8. Pencil")</f>
        <v>8. Pencil</v>
      </c>
      <c r="B414" s="4" t="str">
        <f>IFERROR(__xludf.DUMMYFUNCTION("""COMPUTED_VALUE"""),"8")</f>
        <v>8</v>
      </c>
      <c r="C414" s="5" t="str">
        <f>IFERROR(__xludf.DUMMYFUNCTION("""COMPUTED_VALUE"""),"https://drive.google.com/file/d/1Tsg7uh8NjoQj0Q5kI8vwZWBefO2oQimv/view?usp=drivesdk")</f>
        <v>https://drive.google.com/file/d/1Tsg7uh8NjoQj0Q5kI8vwZWBefO2oQimv/view?usp=drivesdk</v>
      </c>
      <c r="D414" s="2"/>
      <c r="E414" s="6">
        <v>469.0</v>
      </c>
      <c r="F414" s="2"/>
      <c r="I414" s="4"/>
    </row>
    <row r="415" ht="1.5" customHeight="1">
      <c r="A415" s="4" t="str">
        <f>IFERROR(__xludf.DUMMYFUNCTION("""COMPUTED_VALUE"""),"8. Pencil")</f>
        <v>8. Pencil</v>
      </c>
      <c r="B415" s="4" t="str">
        <f>IFERROR(__xludf.DUMMYFUNCTION("""COMPUTED_VALUE"""),"8")</f>
        <v>8</v>
      </c>
      <c r="C415" s="5" t="str">
        <f>IFERROR(__xludf.DUMMYFUNCTION("""COMPUTED_VALUE"""),"https://drive.google.com/file/d/1UAhrqOHy7MgfMcwu0F4SKvNGcClTTmhw/view?usp=drivesdk")</f>
        <v>https://drive.google.com/file/d/1UAhrqOHy7MgfMcwu0F4SKvNGcClTTmhw/view?usp=drivesdk</v>
      </c>
      <c r="D415" s="2"/>
      <c r="E415" s="11">
        <v>470.0</v>
      </c>
      <c r="F415" s="2"/>
      <c r="I415" s="4"/>
    </row>
    <row r="416" ht="1.5" customHeight="1">
      <c r="A416" s="4" t="str">
        <f>IFERROR(__xludf.DUMMYFUNCTION("""COMPUTED_VALUE"""),"2. Twix")</f>
        <v>2. Twix</v>
      </c>
      <c r="B416" s="4" t="str">
        <f>IFERROR(__xludf.DUMMYFUNCTION("""COMPUTED_VALUE"""),"2")</f>
        <v>2</v>
      </c>
      <c r="C416" s="5" t="str">
        <f>IFERROR(__xludf.DUMMYFUNCTION("""COMPUTED_VALUE"""),"https://drive.google.com/file/d/17PcxK06OuEfboTcakFph-38fcq2_DzGJ/view?usp=drivesdk")</f>
        <v>https://drive.google.com/file/d/17PcxK06OuEfboTcakFph-38fcq2_DzGJ/view?usp=drivesdk</v>
      </c>
      <c r="D416" s="2"/>
      <c r="E416" s="6">
        <v>471.0</v>
      </c>
      <c r="F416" s="2"/>
      <c r="I416" s="4"/>
    </row>
    <row r="417" ht="1.5" customHeight="1">
      <c r="A417" s="4" t="str">
        <f>IFERROR(__xludf.DUMMYFUNCTION("""COMPUTED_VALUE"""),"1. Microwave")</f>
        <v>1. Microwave</v>
      </c>
      <c r="B417" s="4" t="str">
        <f>IFERROR(__xludf.DUMMYFUNCTION("""COMPUTED_VALUE"""),"1")</f>
        <v>1</v>
      </c>
      <c r="C417" s="5" t="str">
        <f>IFERROR(__xludf.DUMMYFUNCTION("""COMPUTED_VALUE"""),"https://drive.google.com/file/d/15eAlK5rT73U0vyVOfD9-cM6R-YUF_NiC/view?usp=drivesdk")</f>
        <v>https://drive.google.com/file/d/15eAlK5rT73U0vyVOfD9-cM6R-YUF_NiC/view?usp=drivesdk</v>
      </c>
      <c r="D417" s="2"/>
      <c r="E417" s="11">
        <v>472.0</v>
      </c>
      <c r="F417" s="2"/>
      <c r="I417" s="4"/>
    </row>
    <row r="418" ht="1.5" customHeight="1">
      <c r="A418" s="4" t="str">
        <f>IFERROR(__xludf.DUMMYFUNCTION("""COMPUTED_VALUE"""),"4. Eggs, 5. Eraser")</f>
        <v>4. Eggs, 5. Eraser</v>
      </c>
      <c r="B418" s="4" t="str">
        <f>IFERROR(__xludf.DUMMYFUNCTION("""COMPUTED_VALUE"""),"4, 5")</f>
        <v>4, 5</v>
      </c>
      <c r="C418" s="5" t="str">
        <f>IFERROR(__xludf.DUMMYFUNCTION("""COMPUTED_VALUE"""),"https://drive.google.com/file/d/1b7Hi1sXLtXPx22AjW0LcQvIUXta-HdWl/view?usp=drivesdk")</f>
        <v>https://drive.google.com/file/d/1b7Hi1sXLtXPx22AjW0LcQvIUXta-HdWl/view?usp=drivesdk</v>
      </c>
      <c r="D418" s="2"/>
      <c r="E418" s="6">
        <v>473.0</v>
      </c>
      <c r="F418" s="2"/>
      <c r="I418" s="4"/>
    </row>
    <row r="419" ht="1.5" customHeight="1">
      <c r="A419" s="4" t="str">
        <f>IFERROR(__xludf.DUMMYFUNCTION("""COMPUTED_VALUE"""),"2. Twix")</f>
        <v>2. Twix</v>
      </c>
      <c r="B419" s="4" t="str">
        <f>IFERROR(__xludf.DUMMYFUNCTION("""COMPUTED_VALUE"""),"2")</f>
        <v>2</v>
      </c>
      <c r="C419" s="5" t="str">
        <f>IFERROR(__xludf.DUMMYFUNCTION("""COMPUTED_VALUE"""),"https://drive.google.com/file/d/1inBTSQuWY7hVongCqbf1vx1kCUOQzqgy/view?usp=drivesdk")</f>
        <v>https://drive.google.com/file/d/1inBTSQuWY7hVongCqbf1vx1kCUOQzqgy/view?usp=drivesdk</v>
      </c>
      <c r="D419" s="2"/>
      <c r="E419" s="6">
        <v>474.0</v>
      </c>
      <c r="F419" s="2"/>
      <c r="I419" s="4"/>
    </row>
    <row r="420" ht="1.5" customHeight="1">
      <c r="A420" s="4" t="str">
        <f>IFERROR(__xludf.DUMMYFUNCTION("""COMPUTED_VALUE"""),"2. Twix")</f>
        <v>2. Twix</v>
      </c>
      <c r="B420" s="4" t="str">
        <f>IFERROR(__xludf.DUMMYFUNCTION("""COMPUTED_VALUE"""),"2")</f>
        <v>2</v>
      </c>
      <c r="C420" s="5" t="str">
        <f>IFERROR(__xludf.DUMMYFUNCTION("""COMPUTED_VALUE"""),"https://drive.google.com/file/d/11nV1p_tjSWc0DCyHYfiottUeGhqNjdmN/view?usp=drivesdk")</f>
        <v>https://drive.google.com/file/d/11nV1p_tjSWc0DCyHYfiottUeGhqNjdmN/view?usp=drivesdk</v>
      </c>
      <c r="D420" s="2"/>
      <c r="E420" s="6">
        <v>475.0</v>
      </c>
      <c r="F420" s="2"/>
      <c r="I420" s="4"/>
    </row>
    <row r="421" ht="1.5" customHeight="1">
      <c r="A421" s="4" t="str">
        <f>IFERROR(__xludf.DUMMYFUNCTION("""COMPUTED_VALUE"""),"2. Twix")</f>
        <v>2. Twix</v>
      </c>
      <c r="B421" s="4" t="str">
        <f>IFERROR(__xludf.DUMMYFUNCTION("""COMPUTED_VALUE"""),"2")</f>
        <v>2</v>
      </c>
      <c r="C421" s="5" t="str">
        <f>IFERROR(__xludf.DUMMYFUNCTION("""COMPUTED_VALUE"""),"https://drive.google.com/file/d/11gm-Aqj7sjAtEZYuVz4CI5Txi9ui63vF/view?usp=drivesdk")</f>
        <v>https://drive.google.com/file/d/11gm-Aqj7sjAtEZYuVz4CI5Txi9ui63vF/view?usp=drivesdk</v>
      </c>
      <c r="D421" s="2"/>
      <c r="E421" s="11">
        <v>476.0</v>
      </c>
      <c r="F421" s="2"/>
      <c r="I421" s="4"/>
    </row>
    <row r="422" ht="1.5" customHeight="1">
      <c r="A422" s="4" t="str">
        <f>IFERROR(__xludf.DUMMYFUNCTION("""COMPUTED_VALUE"""),"2. Twix")</f>
        <v>2. Twix</v>
      </c>
      <c r="B422" s="4" t="str">
        <f>IFERROR(__xludf.DUMMYFUNCTION("""COMPUTED_VALUE"""),"2")</f>
        <v>2</v>
      </c>
      <c r="C422" s="5" t="str">
        <f>IFERROR(__xludf.DUMMYFUNCTION("""COMPUTED_VALUE"""),"https://drive.google.com/file/d/10G1ycqPPQoOhzhcBJ39tJjr43bxhci63/view?usp=drivesdk")</f>
        <v>https://drive.google.com/file/d/10G1ycqPPQoOhzhcBJ39tJjr43bxhci63/view?usp=drivesdk</v>
      </c>
      <c r="D422" s="2"/>
      <c r="E422" s="6">
        <v>477.0</v>
      </c>
      <c r="F422" s="2"/>
      <c r="I422" s="4"/>
    </row>
    <row r="423" ht="1.5" customHeight="1">
      <c r="A423" s="4" t="str">
        <f>IFERROR(__xludf.DUMMYFUNCTION("""COMPUTED_VALUE"""),"2. Twix")</f>
        <v>2. Twix</v>
      </c>
      <c r="B423" s="4" t="str">
        <f>IFERROR(__xludf.DUMMYFUNCTION("""COMPUTED_VALUE"""),"2")</f>
        <v>2</v>
      </c>
      <c r="C423" s="5" t="str">
        <f>IFERROR(__xludf.DUMMYFUNCTION("""COMPUTED_VALUE"""),"https://drive.google.com/file/d/16jIiJ1-6Z5FdjqPcqjRyi8oqFYigdNbf/view?usp=drivesdk")</f>
        <v>https://drive.google.com/file/d/16jIiJ1-6Z5FdjqPcqjRyi8oqFYigdNbf/view?usp=drivesdk</v>
      </c>
      <c r="D423" s="2"/>
      <c r="E423" s="11">
        <v>478.0</v>
      </c>
      <c r="F423" s="2"/>
      <c r="I423" s="4"/>
    </row>
    <row r="424" ht="1.5" customHeight="1">
      <c r="A424" s="4" t="str">
        <f>IFERROR(__xludf.DUMMYFUNCTION("""COMPUTED_VALUE"""),"2. Twix")</f>
        <v>2. Twix</v>
      </c>
      <c r="B424" s="4" t="str">
        <f>IFERROR(__xludf.DUMMYFUNCTION("""COMPUTED_VALUE"""),"2")</f>
        <v>2</v>
      </c>
      <c r="C424" s="5" t="str">
        <f>IFERROR(__xludf.DUMMYFUNCTION("""COMPUTED_VALUE"""),"https://drive.google.com/file/d/1IMFfJNvgnpZ1jATeTfaLp6V-abKjWpgN/view?usp=drivesdk")</f>
        <v>https://drive.google.com/file/d/1IMFfJNvgnpZ1jATeTfaLp6V-abKjWpgN/view?usp=drivesdk</v>
      </c>
      <c r="D424" s="2"/>
      <c r="E424" s="6">
        <v>479.0</v>
      </c>
      <c r="F424" s="2"/>
      <c r="I424" s="4"/>
    </row>
    <row r="425" ht="1.5" customHeight="1">
      <c r="A425" s="4" t="str">
        <f>IFERROR(__xludf.DUMMYFUNCTION("""COMPUTED_VALUE"""),"2. Twix")</f>
        <v>2. Twix</v>
      </c>
      <c r="B425" s="4" t="str">
        <f>IFERROR(__xludf.DUMMYFUNCTION("""COMPUTED_VALUE"""),"2")</f>
        <v>2</v>
      </c>
      <c r="C425" s="5" t="str">
        <f>IFERROR(__xludf.DUMMYFUNCTION("""COMPUTED_VALUE"""),"https://drive.google.com/file/d/17K20z8NpzyQpAjXVKRBLiG5EAA1lP1Lx/view?usp=drivesdk")</f>
        <v>https://drive.google.com/file/d/17K20z8NpzyQpAjXVKRBLiG5EAA1lP1Lx/view?usp=drivesdk</v>
      </c>
      <c r="D425" s="2"/>
      <c r="E425" s="6">
        <v>480.0</v>
      </c>
      <c r="F425" s="2"/>
      <c r="I425" s="4"/>
    </row>
    <row r="426" ht="1.5" customHeight="1">
      <c r="A426" s="4" t="str">
        <f>IFERROR(__xludf.DUMMYFUNCTION("""COMPUTED_VALUE"""),"2. Twix")</f>
        <v>2. Twix</v>
      </c>
      <c r="B426" s="4" t="str">
        <f>IFERROR(__xludf.DUMMYFUNCTION("""COMPUTED_VALUE"""),"2")</f>
        <v>2</v>
      </c>
      <c r="C426" s="5" t="str">
        <f>IFERROR(__xludf.DUMMYFUNCTION("""COMPUTED_VALUE"""),"https://drive.google.com/file/d/1jMGMYBa1-OeZMfHqjkPfJAw-ekyppzfG/view?usp=drivesdk")</f>
        <v>https://drive.google.com/file/d/1jMGMYBa1-OeZMfHqjkPfJAw-ekyppzfG/view?usp=drivesdk</v>
      </c>
      <c r="D426" s="2"/>
      <c r="E426" s="6">
        <v>481.0</v>
      </c>
      <c r="F426" s="2"/>
      <c r="I426" s="4"/>
    </row>
    <row r="427" ht="1.5" customHeight="1">
      <c r="A427" s="4" t="str">
        <f>IFERROR(__xludf.DUMMYFUNCTION("""COMPUTED_VALUE"""),"2. Twix")</f>
        <v>2. Twix</v>
      </c>
      <c r="B427" s="4" t="str">
        <f>IFERROR(__xludf.DUMMYFUNCTION("""COMPUTED_VALUE"""),"2")</f>
        <v>2</v>
      </c>
      <c r="C427" s="5" t="str">
        <f>IFERROR(__xludf.DUMMYFUNCTION("""COMPUTED_VALUE"""),"https://drive.google.com/file/d/19_ovZ8UHBK6HjPi5GeeRy3pP7XY5SkOV/view?usp=drivesdk")</f>
        <v>https://drive.google.com/file/d/19_ovZ8UHBK6HjPi5GeeRy3pP7XY5SkOV/view?usp=drivesdk</v>
      </c>
      <c r="D427" s="2"/>
      <c r="E427" s="11">
        <v>482.0</v>
      </c>
      <c r="F427" s="2"/>
      <c r="I427" s="4"/>
    </row>
    <row r="428" ht="1.5" customHeight="1">
      <c r="A428" s="4" t="str">
        <f>IFERROR(__xludf.DUMMYFUNCTION("""COMPUTED_VALUE"""),"9. Melvin")</f>
        <v>9. Melvin</v>
      </c>
      <c r="B428" s="4" t="str">
        <f>IFERROR(__xludf.DUMMYFUNCTION("""COMPUTED_VALUE"""),"9")</f>
        <v>9</v>
      </c>
      <c r="C428" s="5" t="str">
        <f>IFERROR(__xludf.DUMMYFUNCTION("""COMPUTED_VALUE"""),"https://drive.google.com/file/d/18ZA1SN2F0l9akHRv7CnWHppMXe1juSWA/view?usp=drivesdk")</f>
        <v>https://drive.google.com/file/d/18ZA1SN2F0l9akHRv7CnWHppMXe1juSWA/view?usp=drivesdk</v>
      </c>
      <c r="D428" s="2"/>
      <c r="E428" s="6">
        <v>483.0</v>
      </c>
      <c r="F428" s="2"/>
      <c r="I428" s="4"/>
    </row>
    <row r="429" ht="1.5" customHeight="1">
      <c r="A429" s="4" t="str">
        <f>IFERROR(__xludf.DUMMYFUNCTION("""COMPUTED_VALUE"""),"9. Melvin")</f>
        <v>9. Melvin</v>
      </c>
      <c r="B429" s="4" t="str">
        <f>IFERROR(__xludf.DUMMYFUNCTION("""COMPUTED_VALUE"""),"9")</f>
        <v>9</v>
      </c>
      <c r="C429" s="5" t="str">
        <f>IFERROR(__xludf.DUMMYFUNCTION("""COMPUTED_VALUE"""),"https://drive.google.com/file/d/1ma8GkxGgGpqg-XsNM-Pzl-pDTqQSepoP/view?usp=drivesdk")</f>
        <v>https://drive.google.com/file/d/1ma8GkxGgGpqg-XsNM-Pzl-pDTqQSepoP/view?usp=drivesdk</v>
      </c>
      <c r="D429" s="2"/>
      <c r="E429" s="11">
        <v>484.0</v>
      </c>
      <c r="F429" s="2"/>
      <c r="I429" s="4"/>
    </row>
    <row r="430" ht="1.5" customHeight="1">
      <c r="A430" s="4" t="str">
        <f>IFERROR(__xludf.DUMMYFUNCTION("""COMPUTED_VALUE"""),"9. Melvin")</f>
        <v>9. Melvin</v>
      </c>
      <c r="B430" s="4" t="str">
        <f>IFERROR(__xludf.DUMMYFUNCTION("""COMPUTED_VALUE"""),"9")</f>
        <v>9</v>
      </c>
      <c r="C430" s="5" t="str">
        <f>IFERROR(__xludf.DUMMYFUNCTION("""COMPUTED_VALUE"""),"https://drive.google.com/file/d/1FmY8j0R8j_mZgNituu-sbESdXyZu939R/view?usp=drivesdk")</f>
        <v>https://drive.google.com/file/d/1FmY8j0R8j_mZgNituu-sbESdXyZu939R/view?usp=drivesdk</v>
      </c>
      <c r="D430" s="2"/>
      <c r="E430" s="6">
        <v>485.0</v>
      </c>
      <c r="F430" s="2"/>
      <c r="I430" s="4"/>
    </row>
    <row r="431" ht="1.5" customHeight="1">
      <c r="A431" s="4" t="str">
        <f>IFERROR(__xludf.DUMMYFUNCTION("""COMPUTED_VALUE"""),"9. Melvin")</f>
        <v>9. Melvin</v>
      </c>
      <c r="B431" s="4" t="str">
        <f>IFERROR(__xludf.DUMMYFUNCTION("""COMPUTED_VALUE"""),"9")</f>
        <v>9</v>
      </c>
      <c r="C431" s="5" t="str">
        <f>IFERROR(__xludf.DUMMYFUNCTION("""COMPUTED_VALUE"""),"https://drive.google.com/file/d/1lzNjJsJCUQeGLY_AdFB9N8kttpB_s-y3/view?usp=drivesdk")</f>
        <v>https://drive.google.com/file/d/1lzNjJsJCUQeGLY_AdFB9N8kttpB_s-y3/view?usp=drivesdk</v>
      </c>
      <c r="D431" s="2"/>
      <c r="E431" s="6">
        <v>486.0</v>
      </c>
      <c r="F431" s="2"/>
      <c r="I431" s="4"/>
    </row>
    <row r="432" ht="1.5" customHeight="1">
      <c r="A432" s="4" t="str">
        <f>IFERROR(__xludf.DUMMYFUNCTION("""COMPUTED_VALUE"""),"9. Melvin")</f>
        <v>9. Melvin</v>
      </c>
      <c r="B432" s="4" t="str">
        <f>IFERROR(__xludf.DUMMYFUNCTION("""COMPUTED_VALUE"""),"9")</f>
        <v>9</v>
      </c>
      <c r="C432" s="5" t="str">
        <f>IFERROR(__xludf.DUMMYFUNCTION("""COMPUTED_VALUE"""),"https://drive.google.com/file/d/1ip4-VBwUC5qBr9kVxgBnTlqOZ09kGMMY/view?usp=drivesdk")</f>
        <v>https://drive.google.com/file/d/1ip4-VBwUC5qBr9kVxgBnTlqOZ09kGMMY/view?usp=drivesdk</v>
      </c>
      <c r="D432" s="2"/>
      <c r="E432" s="6">
        <v>487.0</v>
      </c>
      <c r="F432" s="2"/>
      <c r="I432" s="4"/>
    </row>
    <row r="433" ht="1.5" customHeight="1">
      <c r="A433" s="4" t="str">
        <f>IFERROR(__xludf.DUMMYFUNCTION("""COMPUTED_VALUE"""),"2. Twix")</f>
        <v>2. Twix</v>
      </c>
      <c r="B433" s="4" t="str">
        <f>IFERROR(__xludf.DUMMYFUNCTION("""COMPUTED_VALUE"""),"2")</f>
        <v>2</v>
      </c>
      <c r="C433" s="5" t="str">
        <f>IFERROR(__xludf.DUMMYFUNCTION("""COMPUTED_VALUE"""),"https://drive.google.com/file/d/1WZ27j5DfLdCYdG2ZgKGYWJrb5sZYyPMb/view?usp=drivesdk")</f>
        <v>https://drive.google.com/file/d/1WZ27j5DfLdCYdG2ZgKGYWJrb5sZYyPMb/view?usp=drivesdk</v>
      </c>
      <c r="D433" s="2"/>
      <c r="E433" s="11">
        <v>488.0</v>
      </c>
      <c r="F433" s="2"/>
      <c r="I433" s="4"/>
    </row>
    <row r="434" ht="1.5" customHeight="1">
      <c r="A434" s="4" t="str">
        <f>IFERROR(__xludf.DUMMYFUNCTION("""COMPUTED_VALUE"""),"1. Microwave")</f>
        <v>1. Microwave</v>
      </c>
      <c r="B434" s="4" t="str">
        <f>IFERROR(__xludf.DUMMYFUNCTION("""COMPUTED_VALUE"""),"1")</f>
        <v>1</v>
      </c>
      <c r="C434" s="5" t="str">
        <f>IFERROR(__xludf.DUMMYFUNCTION("""COMPUTED_VALUE"""),"https://drive.google.com/file/d/1QcA2P9OzOgN2Gm7AjDaof0_E1ua4W1uH/view?usp=drivesdk")</f>
        <v>https://drive.google.com/file/d/1QcA2P9OzOgN2Gm7AjDaof0_E1ua4W1uH/view?usp=drivesdk</v>
      </c>
      <c r="D434" s="2"/>
      <c r="E434" s="6">
        <v>489.0</v>
      </c>
      <c r="F434" s="2"/>
      <c r="I434" s="4"/>
    </row>
    <row r="435" ht="1.5" customHeight="1">
      <c r="A435" s="4" t="str">
        <f>IFERROR(__xludf.DUMMYFUNCTION("""COMPUTED_VALUE"""),"2. Twix")</f>
        <v>2. Twix</v>
      </c>
      <c r="B435" s="4" t="str">
        <f>IFERROR(__xludf.DUMMYFUNCTION("""COMPUTED_VALUE"""),"2")</f>
        <v>2</v>
      </c>
      <c r="C435" s="5" t="str">
        <f>IFERROR(__xludf.DUMMYFUNCTION("""COMPUTED_VALUE"""),"https://drive.google.com/file/d/1_WzgdlhOw7cXYbag9rwXP3vcEg0Qm6YE/view?usp=drivesdk")</f>
        <v>https://drive.google.com/file/d/1_WzgdlhOw7cXYbag9rwXP3vcEg0Qm6YE/view?usp=drivesdk</v>
      </c>
      <c r="D435" s="12"/>
      <c r="E435" s="11">
        <v>490.0</v>
      </c>
      <c r="F435" s="2"/>
      <c r="I435" s="4"/>
    </row>
    <row r="436" ht="1.5" customHeight="1">
      <c r="A436" s="4" t="str">
        <f>IFERROR(__xludf.DUMMYFUNCTION("""COMPUTED_VALUE"""),"2. Twix")</f>
        <v>2. Twix</v>
      </c>
      <c r="B436" s="4" t="str">
        <f>IFERROR(__xludf.DUMMYFUNCTION("""COMPUTED_VALUE"""),"2")</f>
        <v>2</v>
      </c>
      <c r="C436" s="5" t="str">
        <f>IFERROR(__xludf.DUMMYFUNCTION("""COMPUTED_VALUE"""),"https://drive.google.com/file/d/1QUH4Ty1OOkaL0uEjjhBD4XYiI6WaKinF/view?usp=drivesdk")</f>
        <v>https://drive.google.com/file/d/1QUH4Ty1OOkaL0uEjjhBD4XYiI6WaKinF/view?usp=drivesdk</v>
      </c>
      <c r="D436" s="12"/>
      <c r="E436" s="6">
        <v>491.0</v>
      </c>
      <c r="F436" s="2"/>
      <c r="I436" s="4"/>
    </row>
    <row r="437" ht="1.5" customHeight="1">
      <c r="A437" s="4" t="str">
        <f>IFERROR(__xludf.DUMMYFUNCTION("""COMPUTED_VALUE"""),"2. Twix")</f>
        <v>2. Twix</v>
      </c>
      <c r="B437" s="4" t="str">
        <f>IFERROR(__xludf.DUMMYFUNCTION("""COMPUTED_VALUE"""),"2")</f>
        <v>2</v>
      </c>
      <c r="C437" s="5" t="str">
        <f>IFERROR(__xludf.DUMMYFUNCTION("""COMPUTED_VALUE"""),"https://drive.google.com/file/d/1cTGpWBexBaJDiZae_SYhsKaKo3GBTfss/view?usp=drivesdk")</f>
        <v>https://drive.google.com/file/d/1cTGpWBexBaJDiZae_SYhsKaKo3GBTfss/view?usp=drivesdk</v>
      </c>
      <c r="D437" s="12"/>
      <c r="E437" s="6">
        <v>492.0</v>
      </c>
      <c r="F437" s="2"/>
      <c r="I437" s="4"/>
    </row>
    <row r="438" ht="1.5" customHeight="1">
      <c r="A438" s="4" t="str">
        <f>IFERROR(__xludf.DUMMYFUNCTION("""COMPUTED_VALUE"""),"1. Microwave")</f>
        <v>1. Microwave</v>
      </c>
      <c r="B438" s="4" t="str">
        <f>IFERROR(__xludf.DUMMYFUNCTION("""COMPUTED_VALUE"""),"1")</f>
        <v>1</v>
      </c>
      <c r="C438" s="5" t="str">
        <f>IFERROR(__xludf.DUMMYFUNCTION("""COMPUTED_VALUE"""),"https://drive.google.com/file/d/1sRUJ6i9ybFZW__I3m_k9riQi5UGjQkA4/view?usp=drivesdk")</f>
        <v>https://drive.google.com/file/d/1sRUJ6i9ybFZW__I3m_k9riQi5UGjQkA4/view?usp=drivesdk</v>
      </c>
      <c r="D438" s="12"/>
      <c r="E438" s="6">
        <v>493.0</v>
      </c>
      <c r="F438" s="2"/>
      <c r="I438" s="4"/>
    </row>
    <row r="439" ht="1.5" customHeight="1">
      <c r="A439" s="4" t="str">
        <f>IFERROR(__xludf.DUMMYFUNCTION("""COMPUTED_VALUE"""),"1. Microwave")</f>
        <v>1. Microwave</v>
      </c>
      <c r="B439" s="4" t="str">
        <f>IFERROR(__xludf.DUMMYFUNCTION("""COMPUTED_VALUE"""),"1")</f>
        <v>1</v>
      </c>
      <c r="C439" s="5" t="str">
        <f>IFERROR(__xludf.DUMMYFUNCTION("""COMPUTED_VALUE"""),"https://drive.google.com/file/d/1rd2Go9bNweCvqOErvk4P_KWiPFmueGNa/view?usp=drivesdk")</f>
        <v>https://drive.google.com/file/d/1rd2Go9bNweCvqOErvk4P_KWiPFmueGNa/view?usp=drivesdk</v>
      </c>
      <c r="D439" s="12"/>
      <c r="E439" s="11">
        <v>494.0</v>
      </c>
      <c r="F439" s="2"/>
      <c r="I439" s="4"/>
    </row>
    <row r="440" ht="1.5" customHeight="1">
      <c r="A440" s="4" t="str">
        <f>IFERROR(__xludf.DUMMYFUNCTION("""COMPUTED_VALUE"""),"2. Twix")</f>
        <v>2. Twix</v>
      </c>
      <c r="B440" s="4" t="str">
        <f>IFERROR(__xludf.DUMMYFUNCTION("""COMPUTED_VALUE"""),"2")</f>
        <v>2</v>
      </c>
      <c r="C440" s="5" t="str">
        <f>IFERROR(__xludf.DUMMYFUNCTION("""COMPUTED_VALUE"""),"https://drive.google.com/file/d/1OTJIMZb5VfBpgeni5f9_MIa1kCbg5f-s/view?usp=drivesdk")</f>
        <v>https://drive.google.com/file/d/1OTJIMZb5VfBpgeni5f9_MIa1kCbg5f-s/view?usp=drivesdk</v>
      </c>
      <c r="D440" s="12"/>
      <c r="E440" s="6">
        <v>495.0</v>
      </c>
      <c r="F440" s="2"/>
      <c r="I440" s="4"/>
    </row>
    <row r="441" ht="1.5" customHeight="1">
      <c r="A441" s="4" t="str">
        <f>IFERROR(__xludf.DUMMYFUNCTION("""COMPUTED_VALUE"""),"2. Twix")</f>
        <v>2. Twix</v>
      </c>
      <c r="B441" s="4" t="str">
        <f>IFERROR(__xludf.DUMMYFUNCTION("""COMPUTED_VALUE"""),"2")</f>
        <v>2</v>
      </c>
      <c r="C441" s="5" t="str">
        <f>IFERROR(__xludf.DUMMYFUNCTION("""COMPUTED_VALUE"""),"https://drive.google.com/file/d/1rctaXsi1L2-uOEAl0dddgR96gXDcDz_L/view?usp=drivesdk")</f>
        <v>https://drive.google.com/file/d/1rctaXsi1L2-uOEAl0dddgR96gXDcDz_L/view?usp=drivesdk</v>
      </c>
      <c r="D441" s="12"/>
      <c r="E441" s="11">
        <v>496.0</v>
      </c>
      <c r="F441" s="2"/>
      <c r="I441" s="4"/>
    </row>
    <row r="442" ht="1.5" customHeight="1">
      <c r="A442" s="4" t="str">
        <f>IFERROR(__xludf.DUMMYFUNCTION("""COMPUTED_VALUE"""),"2. Twix")</f>
        <v>2. Twix</v>
      </c>
      <c r="B442" s="4" t="str">
        <f>IFERROR(__xludf.DUMMYFUNCTION("""COMPUTED_VALUE"""),"2")</f>
        <v>2</v>
      </c>
      <c r="C442" s="5" t="str">
        <f>IFERROR(__xludf.DUMMYFUNCTION("""COMPUTED_VALUE"""),"https://drive.google.com/file/d/1wQsP9N3XQ4NuItrgzfqXsxGzhfAHce_M/view?usp=drivesdk")</f>
        <v>https://drive.google.com/file/d/1wQsP9N3XQ4NuItrgzfqXsxGzhfAHce_M/view?usp=drivesdk</v>
      </c>
      <c r="D442" s="12"/>
      <c r="E442" s="6">
        <v>497.0</v>
      </c>
      <c r="F442" s="2"/>
      <c r="I442" s="4"/>
    </row>
    <row r="443" ht="1.5" customHeight="1">
      <c r="A443" s="4" t="str">
        <f>IFERROR(__xludf.DUMMYFUNCTION("""COMPUTED_VALUE"""),"2. Twix")</f>
        <v>2. Twix</v>
      </c>
      <c r="B443" s="4" t="str">
        <f>IFERROR(__xludf.DUMMYFUNCTION("""COMPUTED_VALUE"""),"2")</f>
        <v>2</v>
      </c>
      <c r="C443" s="5" t="str">
        <f>IFERROR(__xludf.DUMMYFUNCTION("""COMPUTED_VALUE"""),"https://drive.google.com/file/d/15d_K3mQ6OejMBIVLQMVO28h1VOAwlu4O/view?usp=drivesdk")</f>
        <v>https://drive.google.com/file/d/15d_K3mQ6OejMBIVLQMVO28h1VOAwlu4O/view?usp=drivesdk</v>
      </c>
      <c r="D443" s="12"/>
      <c r="E443" s="6">
        <v>498.0</v>
      </c>
      <c r="F443" s="2"/>
      <c r="I443" s="4"/>
    </row>
    <row r="444" ht="1.5" customHeight="1">
      <c r="A444" s="4" t="str">
        <f>IFERROR(__xludf.DUMMYFUNCTION("""COMPUTED_VALUE"""),"2. Twix")</f>
        <v>2. Twix</v>
      </c>
      <c r="B444" s="4" t="str">
        <f>IFERROR(__xludf.DUMMYFUNCTION("""COMPUTED_VALUE"""),"2")</f>
        <v>2</v>
      </c>
      <c r="C444" s="5" t="str">
        <f>IFERROR(__xludf.DUMMYFUNCTION("""COMPUTED_VALUE"""),"https://drive.google.com/file/d/1c9c7FD7FvxAwGJlKdCwIEscmbQRQpDyV/view?usp=drivesdk")</f>
        <v>https://drive.google.com/file/d/1c9c7FD7FvxAwGJlKdCwIEscmbQRQpDyV/view?usp=drivesdk</v>
      </c>
      <c r="D444" s="12"/>
      <c r="E444" s="6">
        <v>499.0</v>
      </c>
      <c r="F444" s="2"/>
      <c r="I444" s="4"/>
    </row>
    <row r="445" ht="1.5" customHeight="1">
      <c r="A445" s="4" t="str">
        <f>IFERROR(__xludf.DUMMYFUNCTION("""COMPUTED_VALUE"""),"2. Twix")</f>
        <v>2. Twix</v>
      </c>
      <c r="B445" s="4" t="str">
        <f>IFERROR(__xludf.DUMMYFUNCTION("""COMPUTED_VALUE"""),"2")</f>
        <v>2</v>
      </c>
      <c r="C445" s="5" t="str">
        <f>IFERROR(__xludf.DUMMYFUNCTION("""COMPUTED_VALUE"""),"https://drive.google.com/file/d/1lFCERdQjHbgeDbYen2FfsV7fEXoI5mst/view?usp=drivesdk")</f>
        <v>https://drive.google.com/file/d/1lFCERdQjHbgeDbYen2FfsV7fEXoI5mst/view?usp=drivesdk</v>
      </c>
      <c r="D445" s="12"/>
      <c r="E445" s="11">
        <v>500.0</v>
      </c>
      <c r="F445" s="2"/>
      <c r="I445" s="4"/>
    </row>
    <row r="446" ht="1.5" customHeight="1">
      <c r="A446" s="4" t="str">
        <f>IFERROR(__xludf.DUMMYFUNCTION("""COMPUTED_VALUE"""),"2. Twix")</f>
        <v>2. Twix</v>
      </c>
      <c r="B446" s="4" t="str">
        <f>IFERROR(__xludf.DUMMYFUNCTION("""COMPUTED_VALUE"""),"2")</f>
        <v>2</v>
      </c>
      <c r="C446" s="5" t="str">
        <f>IFERROR(__xludf.DUMMYFUNCTION("""COMPUTED_VALUE"""),"https://drive.google.com/file/d/1Aw1Svten7NOkijlHF_iPvzUurv0sCuKE/view?usp=drivesdk")</f>
        <v>https://drive.google.com/file/d/1Aw1Svten7NOkijlHF_iPvzUurv0sCuKE/view?usp=drivesdk</v>
      </c>
      <c r="D446" s="12"/>
      <c r="E446" s="6">
        <v>501.0</v>
      </c>
      <c r="F446" s="2"/>
      <c r="I446" s="4"/>
    </row>
    <row r="447" ht="1.5" customHeight="1">
      <c r="A447" s="4" t="str">
        <f>IFERROR(__xludf.DUMMYFUNCTION("""COMPUTED_VALUE"""),"2. Twix")</f>
        <v>2. Twix</v>
      </c>
      <c r="B447" s="4" t="str">
        <f>IFERROR(__xludf.DUMMYFUNCTION("""COMPUTED_VALUE"""),"2")</f>
        <v>2</v>
      </c>
      <c r="C447" s="5" t="str">
        <f>IFERROR(__xludf.DUMMYFUNCTION("""COMPUTED_VALUE"""),"https://drive.google.com/file/d/1x8A4t9zGJG1nOiMwPcThlBCRoNhfhrAj/view?usp=drivesdk")</f>
        <v>https://drive.google.com/file/d/1x8A4t9zGJG1nOiMwPcThlBCRoNhfhrAj/view?usp=drivesdk</v>
      </c>
      <c r="D447" s="12"/>
      <c r="E447" s="11">
        <v>502.0</v>
      </c>
      <c r="F447" s="2"/>
      <c r="I447" s="4"/>
    </row>
    <row r="448" ht="1.5" customHeight="1">
      <c r="A448" s="4" t="str">
        <f>IFERROR(__xludf.DUMMYFUNCTION("""COMPUTED_VALUE"""),"5. Eraser")</f>
        <v>5. Eraser</v>
      </c>
      <c r="B448" s="4" t="str">
        <f>IFERROR(__xludf.DUMMYFUNCTION("""COMPUTED_VALUE"""),"5")</f>
        <v>5</v>
      </c>
      <c r="C448" s="5" t="str">
        <f>IFERROR(__xludf.DUMMYFUNCTION("""COMPUTED_VALUE"""),"https://drive.google.com/file/d/147YP44VDSTgSRIVD6CaRLWG8wbdr45tl/view?usp=drivesdk")</f>
        <v>https://drive.google.com/file/d/147YP44VDSTgSRIVD6CaRLWG8wbdr45tl/view?usp=drivesdk</v>
      </c>
      <c r="D448" s="12"/>
      <c r="E448" s="6">
        <v>503.0</v>
      </c>
      <c r="F448" s="2"/>
      <c r="I448" s="4"/>
    </row>
    <row r="449" ht="1.5" customHeight="1">
      <c r="A449" s="4" t="str">
        <f>IFERROR(__xludf.DUMMYFUNCTION("""COMPUTED_VALUE"""),"4. Eggs")</f>
        <v>4. Eggs</v>
      </c>
      <c r="B449" s="4" t="str">
        <f>IFERROR(__xludf.DUMMYFUNCTION("""COMPUTED_VALUE"""),"4")</f>
        <v>4</v>
      </c>
      <c r="C449" s="5" t="str">
        <f>IFERROR(__xludf.DUMMYFUNCTION("""COMPUTED_VALUE"""),"https://drive.google.com/file/d/1YP2nCf1XTwyde8MDxM4T50yB50Tx0R7m/view?usp=drivesdk")</f>
        <v>https://drive.google.com/file/d/1YP2nCf1XTwyde8MDxM4T50yB50Tx0R7m/view?usp=drivesdk</v>
      </c>
      <c r="D449" s="12"/>
      <c r="E449" s="6">
        <v>504.0</v>
      </c>
      <c r="F449" s="2"/>
      <c r="I449" s="4"/>
    </row>
    <row r="450" ht="1.5" customHeight="1">
      <c r="A450" s="4" t="str">
        <f>IFERROR(__xludf.DUMMYFUNCTION("""COMPUTED_VALUE"""),"2. Twix")</f>
        <v>2. Twix</v>
      </c>
      <c r="B450" s="4" t="str">
        <f>IFERROR(__xludf.DUMMYFUNCTION("""COMPUTED_VALUE"""),"2")</f>
        <v>2</v>
      </c>
      <c r="C450" s="5" t="str">
        <f>IFERROR(__xludf.DUMMYFUNCTION("""COMPUTED_VALUE"""),"https://drive.google.com/file/d/1XdQBAtSH087GJJSiKMaMscAkEeTMr854/view?usp=drivesdk")</f>
        <v>https://drive.google.com/file/d/1XdQBAtSH087GJJSiKMaMscAkEeTMr854/view?usp=drivesdk</v>
      </c>
      <c r="D450" s="12"/>
      <c r="E450" s="6">
        <v>505.0</v>
      </c>
      <c r="F450" s="2"/>
      <c r="I450" s="4"/>
    </row>
    <row r="451" ht="1.5" customHeight="1">
      <c r="A451" s="4" t="str">
        <f>IFERROR(__xludf.DUMMYFUNCTION("""COMPUTED_VALUE"""),"1. Microwave")</f>
        <v>1. Microwave</v>
      </c>
      <c r="B451" s="4" t="str">
        <f>IFERROR(__xludf.DUMMYFUNCTION("""COMPUTED_VALUE"""),"1")</f>
        <v>1</v>
      </c>
      <c r="C451" s="5" t="str">
        <f>IFERROR(__xludf.DUMMYFUNCTION("""COMPUTED_VALUE"""),"https://drive.google.com/file/d/1dY0VbYlUxeb3NaBjmCkSHVDBn5M8_OcG/view?usp=drivesdk")</f>
        <v>https://drive.google.com/file/d/1dY0VbYlUxeb3NaBjmCkSHVDBn5M8_OcG/view?usp=drivesdk</v>
      </c>
      <c r="D451" s="12"/>
      <c r="E451" s="11">
        <v>506.0</v>
      </c>
      <c r="F451" s="2"/>
      <c r="I451" s="4"/>
    </row>
    <row r="452" ht="1.5" customHeight="1">
      <c r="A452" s="4" t="str">
        <f>IFERROR(__xludf.DUMMYFUNCTION("""COMPUTED_VALUE"""),"1. Microwave")</f>
        <v>1. Microwave</v>
      </c>
      <c r="B452" s="4" t="str">
        <f>IFERROR(__xludf.DUMMYFUNCTION("""COMPUTED_VALUE"""),"1")</f>
        <v>1</v>
      </c>
      <c r="C452" s="5" t="str">
        <f>IFERROR(__xludf.DUMMYFUNCTION("""COMPUTED_VALUE"""),"https://drive.google.com/file/d/1oFu3XFdoSLWFsOenFW7dKy0twKtsh74E/view?usp=drivesdk")</f>
        <v>https://drive.google.com/file/d/1oFu3XFdoSLWFsOenFW7dKy0twKtsh74E/view?usp=drivesdk</v>
      </c>
      <c r="D452" s="12"/>
      <c r="E452" s="6">
        <v>507.0</v>
      </c>
      <c r="F452" s="2"/>
      <c r="I452" s="4"/>
    </row>
    <row r="453" ht="1.5" customHeight="1">
      <c r="A453" s="4" t="str">
        <f>IFERROR(__xludf.DUMMYFUNCTION("""COMPUTED_VALUE"""),"2. Twix")</f>
        <v>2. Twix</v>
      </c>
      <c r="B453" s="4" t="str">
        <f>IFERROR(__xludf.DUMMYFUNCTION("""COMPUTED_VALUE"""),"2")</f>
        <v>2</v>
      </c>
      <c r="C453" s="5" t="str">
        <f>IFERROR(__xludf.DUMMYFUNCTION("""COMPUTED_VALUE"""),"https://drive.google.com/file/d/1Ov0A6IJEj_gP_Y9OIa-qw7hBuvPlseBS/view?usp=drivesdk")</f>
        <v>https://drive.google.com/file/d/1Ov0A6IJEj_gP_Y9OIa-qw7hBuvPlseBS/view?usp=drivesdk</v>
      </c>
      <c r="D453" s="12"/>
      <c r="E453" s="11">
        <v>508.0</v>
      </c>
      <c r="F453" s="2"/>
      <c r="I453" s="4"/>
    </row>
    <row r="454" ht="1.5" customHeight="1">
      <c r="A454" s="4" t="str">
        <f>IFERROR(__xludf.DUMMYFUNCTION("""COMPUTED_VALUE"""),"5. Eraser")</f>
        <v>5. Eraser</v>
      </c>
      <c r="B454" s="4" t="str">
        <f>IFERROR(__xludf.DUMMYFUNCTION("""COMPUTED_VALUE"""),"5")</f>
        <v>5</v>
      </c>
      <c r="C454" s="5" t="str">
        <f>IFERROR(__xludf.DUMMYFUNCTION("""COMPUTED_VALUE"""),"https://drive.google.com/file/d/1ZKGDNg_e132ClMAAeOxtQLm0EAmhQQmU/view?usp=drivesdk")</f>
        <v>https://drive.google.com/file/d/1ZKGDNg_e132ClMAAeOxtQLm0EAmhQQmU/view?usp=drivesdk</v>
      </c>
      <c r="D454" s="12"/>
      <c r="E454" s="6">
        <v>509.0</v>
      </c>
      <c r="F454" s="2"/>
      <c r="I454" s="4"/>
    </row>
    <row r="455" ht="1.5" customHeight="1">
      <c r="A455" s="4" t="str">
        <f>IFERROR(__xludf.DUMMYFUNCTION("""COMPUTED_VALUE"""),"2. Twix, 5. Eraser")</f>
        <v>2. Twix, 5. Eraser</v>
      </c>
      <c r="B455" s="4" t="str">
        <f>IFERROR(__xludf.DUMMYFUNCTION("""COMPUTED_VALUE"""),"2, 5")</f>
        <v>2, 5</v>
      </c>
      <c r="C455" s="5" t="str">
        <f>IFERROR(__xludf.DUMMYFUNCTION("""COMPUTED_VALUE"""),"https://drive.google.com/file/d/17AkjFNbFPRu4VpU3swwAYKiv7X65axuM/view?usp=drivesdk")</f>
        <v>https://drive.google.com/file/d/17AkjFNbFPRu4VpU3swwAYKiv7X65axuM/view?usp=drivesdk</v>
      </c>
      <c r="D455" s="12"/>
      <c r="E455" s="6">
        <v>510.0</v>
      </c>
      <c r="F455" s="2"/>
      <c r="I455" s="4"/>
    </row>
    <row r="456" ht="1.5" customHeight="1">
      <c r="A456" s="4" t="str">
        <f>IFERROR(__xludf.DUMMYFUNCTION("""COMPUTED_VALUE"""),"1. Microwave")</f>
        <v>1. Microwave</v>
      </c>
      <c r="B456" s="4" t="str">
        <f>IFERROR(__xludf.DUMMYFUNCTION("""COMPUTED_VALUE"""),"1")</f>
        <v>1</v>
      </c>
      <c r="C456" s="5" t="str">
        <f>IFERROR(__xludf.DUMMYFUNCTION("""COMPUTED_VALUE"""),"https://drive.google.com/file/d/1FzNyVPr_UTniT7wJ9AEMMO07gP59iqmD/view?usp=drivesdk")</f>
        <v>https://drive.google.com/file/d/1FzNyVPr_UTniT7wJ9AEMMO07gP59iqmD/view?usp=drivesdk</v>
      </c>
      <c r="D456" s="12"/>
      <c r="E456" s="6">
        <v>511.0</v>
      </c>
      <c r="F456" s="2"/>
      <c r="I456" s="4"/>
    </row>
    <row r="457" ht="1.5" customHeight="1">
      <c r="A457" s="4" t="str">
        <f>IFERROR(__xludf.DUMMYFUNCTION("""COMPUTED_VALUE"""),"1. Microwave")</f>
        <v>1. Microwave</v>
      </c>
      <c r="B457" s="4" t="str">
        <f>IFERROR(__xludf.DUMMYFUNCTION("""COMPUTED_VALUE"""),"1")</f>
        <v>1</v>
      </c>
      <c r="C457" s="5" t="str">
        <f>IFERROR(__xludf.DUMMYFUNCTION("""COMPUTED_VALUE"""),"https://drive.google.com/file/d/1dh7t5UCMFdu1vClD3N7U387N-PqlnIQj/view?usp=drivesdk")</f>
        <v>https://drive.google.com/file/d/1dh7t5UCMFdu1vClD3N7U387N-PqlnIQj/view?usp=drivesdk</v>
      </c>
      <c r="D457" s="12"/>
      <c r="E457" s="11">
        <v>512.0</v>
      </c>
      <c r="F457" s="2"/>
      <c r="I457" s="4"/>
    </row>
    <row r="458" ht="1.5" customHeight="1">
      <c r="A458" s="4" t="str">
        <f>IFERROR(__xludf.DUMMYFUNCTION("""COMPUTED_VALUE"""),"2. Twix")</f>
        <v>2. Twix</v>
      </c>
      <c r="B458" s="4" t="str">
        <f>IFERROR(__xludf.DUMMYFUNCTION("""COMPUTED_VALUE"""),"2")</f>
        <v>2</v>
      </c>
      <c r="C458" s="5" t="str">
        <f>IFERROR(__xludf.DUMMYFUNCTION("""COMPUTED_VALUE"""),"https://drive.google.com/file/d/17Z68fg8W4DooJug6CcmFoMvRqLpoaqM4/view?usp=drivesdk")</f>
        <v>https://drive.google.com/file/d/17Z68fg8W4DooJug6CcmFoMvRqLpoaqM4/view?usp=drivesdk</v>
      </c>
      <c r="D458" s="12"/>
      <c r="E458" s="6">
        <v>513.0</v>
      </c>
      <c r="F458" s="2"/>
      <c r="I458" s="4"/>
    </row>
    <row r="459" ht="1.5" customHeight="1">
      <c r="A459" s="4" t="str">
        <f>IFERROR(__xludf.DUMMYFUNCTION("""COMPUTED_VALUE"""),"0. NotACat")</f>
        <v>0. NotACat</v>
      </c>
      <c r="B459" s="4" t="str">
        <f>IFERROR(__xludf.DUMMYFUNCTION("""COMPUTED_VALUE"""),"0")</f>
        <v>0</v>
      </c>
      <c r="C459" s="5" t="str">
        <f>IFERROR(__xludf.DUMMYFUNCTION("""COMPUTED_VALUE"""),"https://drive.google.com/file/d/1mSosHA6913EGUAuiUNWQ3AC607e7ZpNl/view?usp=drivesdk")</f>
        <v>https://drive.google.com/file/d/1mSosHA6913EGUAuiUNWQ3AC607e7ZpNl/view?usp=drivesdk</v>
      </c>
      <c r="D459" s="12"/>
      <c r="E459" s="11">
        <v>514.0</v>
      </c>
      <c r="F459" s="2"/>
      <c r="I459" s="4"/>
    </row>
    <row r="460" ht="1.5" customHeight="1">
      <c r="A460" s="4" t="str">
        <f>IFERROR(__xludf.DUMMYFUNCTION("""COMPUTED_VALUE"""),"1. Microwave")</f>
        <v>1. Microwave</v>
      </c>
      <c r="B460" s="4" t="str">
        <f>IFERROR(__xludf.DUMMYFUNCTION("""COMPUTED_VALUE"""),"1")</f>
        <v>1</v>
      </c>
      <c r="C460" s="5" t="str">
        <f>IFERROR(__xludf.DUMMYFUNCTION("""COMPUTED_VALUE"""),"https://drive.google.com/file/d/1GiBDMGiYpB9aCuoOC7B24Fapqq_sC9nY/view?usp=drivesdk")</f>
        <v>https://drive.google.com/file/d/1GiBDMGiYpB9aCuoOC7B24Fapqq_sC9nY/view?usp=drivesdk</v>
      </c>
      <c r="D460" s="12"/>
      <c r="E460" s="6">
        <v>515.0</v>
      </c>
      <c r="F460" s="2"/>
      <c r="I460" s="4"/>
    </row>
    <row r="461" ht="1.5" customHeight="1">
      <c r="A461" s="4" t="str">
        <f>IFERROR(__xludf.DUMMYFUNCTION("""COMPUTED_VALUE"""),"1. Microwave")</f>
        <v>1. Microwave</v>
      </c>
      <c r="B461" s="4" t="str">
        <f>IFERROR(__xludf.DUMMYFUNCTION("""COMPUTED_VALUE"""),"1")</f>
        <v>1</v>
      </c>
      <c r="C461" s="5" t="str">
        <f>IFERROR(__xludf.DUMMYFUNCTION("""COMPUTED_VALUE"""),"https://drive.google.com/file/d/1BqCxS14rr-paa51GqmcOiCRlDeIl171A/view?usp=drivesdk")</f>
        <v>https://drive.google.com/file/d/1BqCxS14rr-paa51GqmcOiCRlDeIl171A/view?usp=drivesdk</v>
      </c>
      <c r="D461" s="12"/>
      <c r="E461" s="6">
        <v>516.0</v>
      </c>
      <c r="F461" s="2"/>
      <c r="I461" s="4"/>
    </row>
    <row r="462" ht="1.5" customHeight="1">
      <c r="A462" s="4" t="str">
        <f>IFERROR(__xludf.DUMMYFUNCTION("""COMPUTED_VALUE"""),"1. Microwave")</f>
        <v>1. Microwave</v>
      </c>
      <c r="B462" s="4" t="str">
        <f>IFERROR(__xludf.DUMMYFUNCTION("""COMPUTED_VALUE"""),"1")</f>
        <v>1</v>
      </c>
      <c r="C462" s="5" t="str">
        <f>IFERROR(__xludf.DUMMYFUNCTION("""COMPUTED_VALUE"""),"https://drive.google.com/file/d/1EZBf6g36Wz0rnasLJ6rhUKFE0ec0-dXH/view?usp=drivesdk")</f>
        <v>https://drive.google.com/file/d/1EZBf6g36Wz0rnasLJ6rhUKFE0ec0-dXH/view?usp=drivesdk</v>
      </c>
      <c r="D462" s="12"/>
      <c r="E462" s="6">
        <v>517.0</v>
      </c>
      <c r="F462" s="2"/>
      <c r="I462" s="4"/>
    </row>
    <row r="463" ht="1.5" customHeight="1">
      <c r="A463" s="4" t="str">
        <f>IFERROR(__xludf.DUMMYFUNCTION("""COMPUTED_VALUE"""),"30. Pepper")</f>
        <v>30. Pepper</v>
      </c>
      <c r="B463" s="4" t="str">
        <f>IFERROR(__xludf.DUMMYFUNCTION("""COMPUTED_VALUE"""),"30")</f>
        <v>30</v>
      </c>
      <c r="C463" s="5" t="str">
        <f>IFERROR(__xludf.DUMMYFUNCTION("""COMPUTED_VALUE"""),"https://drive.google.com/file/d/1eu5U5JtRT41Av32FpqSeXfZEeNZj6EiB/view?usp=drivesdk")</f>
        <v>https://drive.google.com/file/d/1eu5U5JtRT41Av32FpqSeXfZEeNZj6EiB/view?usp=drivesdk</v>
      </c>
      <c r="D463" s="12"/>
      <c r="E463" s="11">
        <v>518.0</v>
      </c>
      <c r="F463" s="2"/>
      <c r="I463" s="4"/>
    </row>
    <row r="464" ht="1.5" customHeight="1">
      <c r="A464" s="4" t="str">
        <f>IFERROR(__xludf.DUMMYFUNCTION("""COMPUTED_VALUE"""),"3. Ford F-150")</f>
        <v>3. Ford F-150</v>
      </c>
      <c r="B464" s="4" t="str">
        <f>IFERROR(__xludf.DUMMYFUNCTION("""COMPUTED_VALUE"""),"3")</f>
        <v>3</v>
      </c>
      <c r="C464" s="5" t="str">
        <f>IFERROR(__xludf.DUMMYFUNCTION("""COMPUTED_VALUE"""),"https://drive.google.com/file/d/1zQh45DNjobNI-otE6ydvoIEzCs0de1jx/view?usp=drivesdk")</f>
        <v>https://drive.google.com/file/d/1zQh45DNjobNI-otE6ydvoIEzCs0de1jx/view?usp=drivesdk</v>
      </c>
      <c r="D464" s="12"/>
      <c r="E464" s="11">
        <v>520.0</v>
      </c>
      <c r="F464" s="2"/>
      <c r="I464" s="4"/>
    </row>
    <row r="465" ht="1.5" customHeight="1">
      <c r="A465" s="4" t="str">
        <f>IFERROR(__xludf.DUMMYFUNCTION("""COMPUTED_VALUE"""),"9. Melvin")</f>
        <v>9. Melvin</v>
      </c>
      <c r="B465" s="4" t="str">
        <f>IFERROR(__xludf.DUMMYFUNCTION("""COMPUTED_VALUE"""),"9")</f>
        <v>9</v>
      </c>
      <c r="C465" s="5" t="str">
        <f>IFERROR(__xludf.DUMMYFUNCTION("""COMPUTED_VALUE"""),"https://drive.google.com/file/d/16VtUW__JaEjzbOCEIzKS_Fwh72UqvFy6/view?usp=drivesdk")</f>
        <v>https://drive.google.com/file/d/16VtUW__JaEjzbOCEIzKS_Fwh72UqvFy6/view?usp=drivesdk</v>
      </c>
      <c r="D465" s="12"/>
      <c r="E465" s="6">
        <v>521.0</v>
      </c>
      <c r="F465" s="2"/>
      <c r="I465" s="4"/>
    </row>
    <row r="466" ht="1.5" customHeight="1">
      <c r="A466" s="4" t="str">
        <f>IFERROR(__xludf.DUMMYFUNCTION("""COMPUTED_VALUE"""),"9. Melvin")</f>
        <v>9. Melvin</v>
      </c>
      <c r="B466" s="4" t="str">
        <f>IFERROR(__xludf.DUMMYFUNCTION("""COMPUTED_VALUE"""),"9")</f>
        <v>9</v>
      </c>
      <c r="C466" s="5" t="str">
        <f>IFERROR(__xludf.DUMMYFUNCTION("""COMPUTED_VALUE"""),"https://drive.google.com/file/d/1lJR92CkKLUtmhWdILklMjDrn3kRxUF8a/view?usp=drivesdk")</f>
        <v>https://drive.google.com/file/d/1lJR92CkKLUtmhWdILklMjDrn3kRxUF8a/view?usp=drivesdk</v>
      </c>
      <c r="D466" s="12"/>
      <c r="E466" s="6">
        <v>522.0</v>
      </c>
      <c r="F466" s="2"/>
      <c r="I466" s="4"/>
    </row>
    <row r="467" ht="1.5" customHeight="1">
      <c r="A467" s="4" t="str">
        <f>IFERROR(__xludf.DUMMYFUNCTION("""COMPUTED_VALUE"""),"9. Melvin")</f>
        <v>9. Melvin</v>
      </c>
      <c r="B467" s="4" t="str">
        <f>IFERROR(__xludf.DUMMYFUNCTION("""COMPUTED_VALUE"""),"9")</f>
        <v>9</v>
      </c>
      <c r="C467" s="5" t="str">
        <f>IFERROR(__xludf.DUMMYFUNCTION("""COMPUTED_VALUE"""),"https://drive.google.com/file/d/1kuKYodghb0R3bZKVTBpn6IW5LMtzr2Ay/view?usp=drivesdk")</f>
        <v>https://drive.google.com/file/d/1kuKYodghb0R3bZKVTBpn6IW5LMtzr2Ay/view?usp=drivesdk</v>
      </c>
      <c r="D467" s="12"/>
      <c r="E467" s="6">
        <v>523.0</v>
      </c>
      <c r="F467" s="2"/>
      <c r="I467" s="4"/>
    </row>
    <row r="468" ht="1.5" customHeight="1">
      <c r="A468" s="4" t="str">
        <f>IFERROR(__xludf.DUMMYFUNCTION("""COMPUTED_VALUE"""),"9. Melvin")</f>
        <v>9. Melvin</v>
      </c>
      <c r="B468" s="4" t="str">
        <f>IFERROR(__xludf.DUMMYFUNCTION("""COMPUTED_VALUE"""),"9")</f>
        <v>9</v>
      </c>
      <c r="C468" s="5" t="str">
        <f>IFERROR(__xludf.DUMMYFUNCTION("""COMPUTED_VALUE"""),"https://drive.google.com/file/d/1WjN06x978aws3E7EMkxzAdncOmNlLIhl/view?usp=drivesdk")</f>
        <v>https://drive.google.com/file/d/1WjN06x978aws3E7EMkxzAdncOmNlLIhl/view?usp=drivesdk</v>
      </c>
      <c r="D468" s="12"/>
      <c r="E468" s="11">
        <v>524.0</v>
      </c>
      <c r="F468" s="2"/>
      <c r="I468" s="4"/>
    </row>
    <row r="469" ht="1.5" customHeight="1">
      <c r="A469" s="4" t="str">
        <f>IFERROR(__xludf.DUMMYFUNCTION("""COMPUTED_VALUE"""),"5. Eraser")</f>
        <v>5. Eraser</v>
      </c>
      <c r="B469" s="4" t="str">
        <f>IFERROR(__xludf.DUMMYFUNCTION("""COMPUTED_VALUE"""),"5")</f>
        <v>5</v>
      </c>
      <c r="C469" s="5" t="str">
        <f>IFERROR(__xludf.DUMMYFUNCTION("""COMPUTED_VALUE"""),"https://drive.google.com/file/d/1wKAU1MeqiTkWa0-Y0sx_BgQFtb5N1fcS/view?usp=drivesdk")</f>
        <v>https://drive.google.com/file/d/1wKAU1MeqiTkWa0-Y0sx_BgQFtb5N1fcS/view?usp=drivesdk</v>
      </c>
      <c r="D469" s="12"/>
      <c r="E469" s="6">
        <v>525.0</v>
      </c>
      <c r="F469" s="2"/>
      <c r="I469" s="4"/>
    </row>
    <row r="470" ht="1.5" customHeight="1">
      <c r="A470" s="4" t="str">
        <f>IFERROR(__xludf.DUMMYFUNCTION("""COMPUTED_VALUE"""),"3. Ford F-150")</f>
        <v>3. Ford F-150</v>
      </c>
      <c r="B470" s="4" t="str">
        <f>IFERROR(__xludf.DUMMYFUNCTION("""COMPUTED_VALUE"""),"3")</f>
        <v>3</v>
      </c>
      <c r="C470" s="5" t="str">
        <f>IFERROR(__xludf.DUMMYFUNCTION("""COMPUTED_VALUE"""),"https://drive.google.com/file/d/1LcUuFNHSU-PVGvTWISgjgvEGpOsnZ3Oq/view?usp=drivesdk")</f>
        <v>https://drive.google.com/file/d/1LcUuFNHSU-PVGvTWISgjgvEGpOsnZ3Oq/view?usp=drivesdk</v>
      </c>
      <c r="D470" s="12"/>
      <c r="E470" s="11">
        <v>526.0</v>
      </c>
      <c r="F470" s="2"/>
      <c r="I470" s="4"/>
    </row>
    <row r="471" ht="1.5" customHeight="1">
      <c r="A471" s="4" t="str">
        <f>IFERROR(__xludf.DUMMYFUNCTION("""COMPUTED_VALUE"""),"4. Eggs, 5. Eraser")</f>
        <v>4. Eggs, 5. Eraser</v>
      </c>
      <c r="B471" s="4" t="str">
        <f>IFERROR(__xludf.DUMMYFUNCTION("""COMPUTED_VALUE"""),"4, 5")</f>
        <v>4, 5</v>
      </c>
      <c r="C471" s="5" t="str">
        <f>IFERROR(__xludf.DUMMYFUNCTION("""COMPUTED_VALUE"""),"https://drive.google.com/file/d/1JuvLc2r0tVkozzvtsb6-HY4Ibx-J-atJ/view?usp=drivesdk")</f>
        <v>https://drive.google.com/file/d/1JuvLc2r0tVkozzvtsb6-HY4Ibx-J-atJ/view?usp=drivesdk</v>
      </c>
      <c r="D471" s="12"/>
      <c r="E471" s="6">
        <v>527.0</v>
      </c>
      <c r="F471" s="2"/>
      <c r="I471" s="4"/>
    </row>
    <row r="472" ht="1.5" customHeight="1">
      <c r="A472" s="4" t="str">
        <f>IFERROR(__xludf.DUMMYFUNCTION("""COMPUTED_VALUE"""),"5. Eraser")</f>
        <v>5. Eraser</v>
      </c>
      <c r="B472" s="4" t="str">
        <f>IFERROR(__xludf.DUMMYFUNCTION("""COMPUTED_VALUE"""),"5")</f>
        <v>5</v>
      </c>
      <c r="C472" s="5" t="str">
        <f>IFERROR(__xludf.DUMMYFUNCTION("""COMPUTED_VALUE"""),"https://drive.google.com/file/d/1VNlG2bNZFDdVaBRtW4cxNrEFidcEIM-1/view?usp=drivesdk")</f>
        <v>https://drive.google.com/file/d/1VNlG2bNZFDdVaBRtW4cxNrEFidcEIM-1/view?usp=drivesdk</v>
      </c>
      <c r="D472" s="12"/>
      <c r="E472" s="6">
        <v>528.0</v>
      </c>
      <c r="F472" s="2"/>
      <c r="I472" s="4"/>
    </row>
    <row r="473" ht="1.5" customHeight="1">
      <c r="A473" s="4" t="str">
        <f>IFERROR(__xludf.DUMMYFUNCTION("""COMPUTED_VALUE"""),"4. Eggs, 5. Eraser")</f>
        <v>4. Eggs, 5. Eraser</v>
      </c>
      <c r="B473" s="4" t="str">
        <f>IFERROR(__xludf.DUMMYFUNCTION("""COMPUTED_VALUE"""),"4, 5")</f>
        <v>4, 5</v>
      </c>
      <c r="C473" s="5" t="str">
        <f>IFERROR(__xludf.DUMMYFUNCTION("""COMPUTED_VALUE"""),"https://drive.google.com/file/d/1infjfT_0IC7JMj38myxwuo4GeBE9KFiY/view?usp=drivesdk")</f>
        <v>https://drive.google.com/file/d/1infjfT_0IC7JMj38myxwuo4GeBE9KFiY/view?usp=drivesdk</v>
      </c>
      <c r="D473" s="12"/>
      <c r="E473" s="6">
        <v>529.0</v>
      </c>
      <c r="F473" s="2"/>
      <c r="I473" s="4"/>
    </row>
    <row r="474" ht="1.5" customHeight="1">
      <c r="A474" s="4" t="str">
        <f>IFERROR(__xludf.DUMMYFUNCTION("""COMPUTED_VALUE"""),"9. Melvin")</f>
        <v>9. Melvin</v>
      </c>
      <c r="B474" s="4" t="str">
        <f>IFERROR(__xludf.DUMMYFUNCTION("""COMPUTED_VALUE"""),"9")</f>
        <v>9</v>
      </c>
      <c r="C474" s="5" t="str">
        <f>IFERROR(__xludf.DUMMYFUNCTION("""COMPUTED_VALUE"""),"https://drive.google.com/file/d/1cWrakcH9lOFX0oaA-lo8dbHtvguAlS5C/view?usp=drivesdk")</f>
        <v>https://drive.google.com/file/d/1cWrakcH9lOFX0oaA-lo8dbHtvguAlS5C/view?usp=drivesdk</v>
      </c>
      <c r="D474" s="12"/>
      <c r="E474" s="11">
        <v>530.0</v>
      </c>
      <c r="F474" s="2"/>
      <c r="I474" s="4"/>
    </row>
    <row r="475" ht="1.5" customHeight="1">
      <c r="A475" s="4" t="str">
        <f>IFERROR(__xludf.DUMMYFUNCTION("""COMPUTED_VALUE"""),"5. Eraser")</f>
        <v>5. Eraser</v>
      </c>
      <c r="B475" s="4" t="str">
        <f>IFERROR(__xludf.DUMMYFUNCTION("""COMPUTED_VALUE"""),"5")</f>
        <v>5</v>
      </c>
      <c r="C475" s="5" t="str">
        <f>IFERROR(__xludf.DUMMYFUNCTION("""COMPUTED_VALUE"""),"https://drive.google.com/file/d/14m_RRdU0FVYgaU-xHu41AvdCk6hKGlCt/view?usp=drivesdk")</f>
        <v>https://drive.google.com/file/d/14m_RRdU0FVYgaU-xHu41AvdCk6hKGlCt/view?usp=drivesdk</v>
      </c>
      <c r="D475" s="12"/>
      <c r="E475" s="6">
        <v>531.0</v>
      </c>
      <c r="F475" s="2"/>
      <c r="I475" s="4"/>
    </row>
    <row r="476" ht="1.5" customHeight="1">
      <c r="A476" s="4" t="str">
        <f>IFERROR(__xludf.DUMMYFUNCTION("""COMPUTED_VALUE"""),"9. Melvin")</f>
        <v>9. Melvin</v>
      </c>
      <c r="B476" s="4" t="str">
        <f>IFERROR(__xludf.DUMMYFUNCTION("""COMPUTED_VALUE"""),"9")</f>
        <v>9</v>
      </c>
      <c r="C476" s="5" t="str">
        <f>IFERROR(__xludf.DUMMYFUNCTION("""COMPUTED_VALUE"""),"https://drive.google.com/file/d/1j0ETUisAy9sm2xNM0iXxDKXR0VhfHQuf/view?usp=drivesdk")</f>
        <v>https://drive.google.com/file/d/1j0ETUisAy9sm2xNM0iXxDKXR0VhfHQuf/view?usp=drivesdk</v>
      </c>
      <c r="D476" s="12"/>
      <c r="E476" s="11">
        <v>532.0</v>
      </c>
      <c r="F476" s="2"/>
      <c r="I476" s="4"/>
    </row>
    <row r="477" ht="1.5" customHeight="1">
      <c r="A477" s="4" t="str">
        <f>IFERROR(__xludf.DUMMYFUNCTION("""COMPUTED_VALUE"""),"5. Eraser")</f>
        <v>5. Eraser</v>
      </c>
      <c r="B477" s="4" t="str">
        <f>IFERROR(__xludf.DUMMYFUNCTION("""COMPUTED_VALUE"""),"5")</f>
        <v>5</v>
      </c>
      <c r="C477" s="5" t="str">
        <f>IFERROR(__xludf.DUMMYFUNCTION("""COMPUTED_VALUE"""),"https://drive.google.com/file/d/1gJV_hHW8TxVbflLGno7gb8260enXq82Y/view?usp=drivesdk")</f>
        <v>https://drive.google.com/file/d/1gJV_hHW8TxVbflLGno7gb8260enXq82Y/view?usp=drivesdk</v>
      </c>
      <c r="D477" s="12"/>
      <c r="E477" s="6">
        <v>533.0</v>
      </c>
      <c r="F477" s="2"/>
      <c r="I477" s="4"/>
    </row>
    <row r="478" ht="1.5" customHeight="1">
      <c r="A478" s="4" t="str">
        <f>IFERROR(__xludf.DUMMYFUNCTION("""COMPUTED_VALUE"""),"3. Ford F-150")</f>
        <v>3. Ford F-150</v>
      </c>
      <c r="B478" s="4" t="str">
        <f>IFERROR(__xludf.DUMMYFUNCTION("""COMPUTED_VALUE"""),"3")</f>
        <v>3</v>
      </c>
      <c r="C478" s="5" t="str">
        <f>IFERROR(__xludf.DUMMYFUNCTION("""COMPUTED_VALUE"""),"https://drive.google.com/file/d/1GRqbvBE2eFSrf9_GRwSbptFWzgJJ5t_b/view?usp=drivesdk")</f>
        <v>https://drive.google.com/file/d/1GRqbvBE2eFSrf9_GRwSbptFWzgJJ5t_b/view?usp=drivesdk</v>
      </c>
      <c r="D478" s="12"/>
      <c r="E478" s="6">
        <v>534.0</v>
      </c>
      <c r="F478" s="2"/>
      <c r="I478" s="4"/>
    </row>
    <row r="479" ht="1.5" customHeight="1">
      <c r="A479" s="4" t="str">
        <f>IFERROR(__xludf.DUMMYFUNCTION("""COMPUTED_VALUE"""),"9. Melvin")</f>
        <v>9. Melvin</v>
      </c>
      <c r="B479" s="4" t="str">
        <f>IFERROR(__xludf.DUMMYFUNCTION("""COMPUTED_VALUE"""),"9")</f>
        <v>9</v>
      </c>
      <c r="C479" s="5" t="str">
        <f>IFERROR(__xludf.DUMMYFUNCTION("""COMPUTED_VALUE"""),"https://drive.google.com/file/d/18bFg23I2_fjMK1Y6deSR-1VaoJQe2qFh/view?usp=drivesdk")</f>
        <v>https://drive.google.com/file/d/18bFg23I2_fjMK1Y6deSR-1VaoJQe2qFh/view?usp=drivesdk</v>
      </c>
      <c r="D479" s="12"/>
      <c r="E479" s="6">
        <v>535.0</v>
      </c>
      <c r="F479" s="2"/>
      <c r="I479" s="4"/>
    </row>
    <row r="480" ht="1.5" customHeight="1">
      <c r="A480" s="4" t="str">
        <f>IFERROR(__xludf.DUMMYFUNCTION("""COMPUTED_VALUE"""),"9. Melvin")</f>
        <v>9. Melvin</v>
      </c>
      <c r="B480" s="4" t="str">
        <f>IFERROR(__xludf.DUMMYFUNCTION("""COMPUTED_VALUE"""),"9")</f>
        <v>9</v>
      </c>
      <c r="C480" s="5" t="str">
        <f>IFERROR(__xludf.DUMMYFUNCTION("""COMPUTED_VALUE"""),"https://drive.google.com/file/d/10p3mi70p1JQpZx18GEr49PL3ESjBkx1b/view?usp=drivesdk")</f>
        <v>https://drive.google.com/file/d/10p3mi70p1JQpZx18GEr49PL3ESjBkx1b/view?usp=drivesdk</v>
      </c>
      <c r="D480" s="12"/>
      <c r="E480" s="11">
        <v>536.0</v>
      </c>
      <c r="F480" s="2"/>
      <c r="I480" s="4"/>
    </row>
    <row r="481" ht="1.5" customHeight="1">
      <c r="A481" s="4" t="str">
        <f>IFERROR(__xludf.DUMMYFUNCTION("""COMPUTED_VALUE"""),"4. Eggs")</f>
        <v>4. Eggs</v>
      </c>
      <c r="B481" s="4" t="str">
        <f>IFERROR(__xludf.DUMMYFUNCTION("""COMPUTED_VALUE"""),"4")</f>
        <v>4</v>
      </c>
      <c r="C481" s="5" t="str">
        <f>IFERROR(__xludf.DUMMYFUNCTION("""COMPUTED_VALUE"""),"https://drive.google.com/file/d/1ZmCsuSTlWK5DQ4l28CxMhEwh9DBETh_8/view?usp=drivesdk")</f>
        <v>https://drive.google.com/file/d/1ZmCsuSTlWK5DQ4l28CxMhEwh9DBETh_8/view?usp=drivesdk</v>
      </c>
      <c r="D481" s="12"/>
      <c r="E481" s="6">
        <v>537.0</v>
      </c>
      <c r="F481" s="2"/>
      <c r="I481" s="4"/>
    </row>
    <row r="482" ht="1.5" customHeight="1">
      <c r="A482" s="4" t="str">
        <f>IFERROR(__xludf.DUMMYFUNCTION("""COMPUTED_VALUE"""),"2. Twix")</f>
        <v>2. Twix</v>
      </c>
      <c r="B482" s="4" t="str">
        <f>IFERROR(__xludf.DUMMYFUNCTION("""COMPUTED_VALUE"""),"2")</f>
        <v>2</v>
      </c>
      <c r="C482" s="5" t="str">
        <f>IFERROR(__xludf.DUMMYFUNCTION("""COMPUTED_VALUE"""),"https://drive.google.com/file/d/1YmHPPbaq5E4VaBf7bMlrkplv24IcND7B/view?usp=drivesdk")</f>
        <v>https://drive.google.com/file/d/1YmHPPbaq5E4VaBf7bMlrkplv24IcND7B/view?usp=drivesdk</v>
      </c>
      <c r="D482" s="12"/>
      <c r="E482" s="11">
        <v>538.0</v>
      </c>
      <c r="F482" s="2"/>
      <c r="I482" s="4"/>
    </row>
    <row r="483" ht="1.5" customHeight="1">
      <c r="A483" s="4" t="str">
        <f>IFERROR(__xludf.DUMMYFUNCTION("""COMPUTED_VALUE"""),"4. Eggs")</f>
        <v>4. Eggs</v>
      </c>
      <c r="B483" s="4" t="str">
        <f>IFERROR(__xludf.DUMMYFUNCTION("""COMPUTED_VALUE"""),"4")</f>
        <v>4</v>
      </c>
      <c r="C483" s="5" t="str">
        <f>IFERROR(__xludf.DUMMYFUNCTION("""COMPUTED_VALUE"""),"https://drive.google.com/file/d/13FDhRC8QyyVqFulEqZ2w1WemeOU1dJcG/view?usp=drivesdk")</f>
        <v>https://drive.google.com/file/d/13FDhRC8QyyVqFulEqZ2w1WemeOU1dJcG/view?usp=drivesdk</v>
      </c>
      <c r="D483" s="12"/>
      <c r="E483" s="6">
        <v>539.0</v>
      </c>
      <c r="F483" s="2"/>
      <c r="I483" s="4"/>
    </row>
    <row r="484" ht="1.5" customHeight="1">
      <c r="A484" s="4" t="str">
        <f>IFERROR(__xludf.DUMMYFUNCTION("""COMPUTED_VALUE"""),"4. Eggs")</f>
        <v>4. Eggs</v>
      </c>
      <c r="B484" s="4" t="str">
        <f>IFERROR(__xludf.DUMMYFUNCTION("""COMPUTED_VALUE"""),"4")</f>
        <v>4</v>
      </c>
      <c r="C484" s="5" t="str">
        <f>IFERROR(__xludf.DUMMYFUNCTION("""COMPUTED_VALUE"""),"https://drive.google.com/file/d/1vcBogvkG0lswE_0csefcaJcSdqLS2pUB/view?usp=drivesdk")</f>
        <v>https://drive.google.com/file/d/1vcBogvkG0lswE_0csefcaJcSdqLS2pUB/view?usp=drivesdk</v>
      </c>
      <c r="D484" s="12"/>
      <c r="E484" s="6">
        <v>540.0</v>
      </c>
      <c r="F484" s="2"/>
      <c r="I484" s="4"/>
    </row>
    <row r="485" ht="1.5" customHeight="1">
      <c r="A485" s="4" t="str">
        <f>IFERROR(__xludf.DUMMYFUNCTION("""COMPUTED_VALUE"""),"9. Melvin")</f>
        <v>9. Melvin</v>
      </c>
      <c r="B485" s="4" t="str">
        <f>IFERROR(__xludf.DUMMYFUNCTION("""COMPUTED_VALUE"""),"9")</f>
        <v>9</v>
      </c>
      <c r="C485" s="5" t="str">
        <f>IFERROR(__xludf.DUMMYFUNCTION("""COMPUTED_VALUE"""),"https://drive.google.com/file/d/1gJFpq5s_d6Ry7Da2spYxMu8lPdeSxgsz/view?usp=drivesdk")</f>
        <v>https://drive.google.com/file/d/1gJFpq5s_d6Ry7Da2spYxMu8lPdeSxgsz/view?usp=drivesdk</v>
      </c>
      <c r="D485" s="12"/>
      <c r="E485" s="6">
        <v>541.0</v>
      </c>
      <c r="F485" s="2"/>
      <c r="I485" s="4"/>
    </row>
    <row r="486" ht="1.5" customHeight="1">
      <c r="A486" s="4" t="str">
        <f>IFERROR(__xludf.DUMMYFUNCTION("""COMPUTED_VALUE"""),"9. Melvin")</f>
        <v>9. Melvin</v>
      </c>
      <c r="B486" s="4" t="str">
        <f>IFERROR(__xludf.DUMMYFUNCTION("""COMPUTED_VALUE"""),"9")</f>
        <v>9</v>
      </c>
      <c r="C486" s="5" t="str">
        <f>IFERROR(__xludf.DUMMYFUNCTION("""COMPUTED_VALUE"""),"https://drive.google.com/file/d/1eAsZJPuf8uBu_nkag3qu8HlGGdYTkk0Q/view?usp=drivesdk")</f>
        <v>https://drive.google.com/file/d/1eAsZJPuf8uBu_nkag3qu8HlGGdYTkk0Q/view?usp=drivesdk</v>
      </c>
      <c r="D486" s="12"/>
      <c r="E486" s="11">
        <v>542.0</v>
      </c>
      <c r="F486" s="2"/>
      <c r="I486" s="4"/>
    </row>
    <row r="487" ht="1.5" customHeight="1">
      <c r="A487" s="4" t="str">
        <f>IFERROR(__xludf.DUMMYFUNCTION("""COMPUTED_VALUE"""),"4. Eggs")</f>
        <v>4. Eggs</v>
      </c>
      <c r="B487" s="4" t="str">
        <f>IFERROR(__xludf.DUMMYFUNCTION("""COMPUTED_VALUE"""),"4")</f>
        <v>4</v>
      </c>
      <c r="C487" s="5" t="str">
        <f>IFERROR(__xludf.DUMMYFUNCTION("""COMPUTED_VALUE"""),"https://drive.google.com/file/d/15LFm341_5bPcaNQpSelL8ir5RQ9XBhB2/view?usp=drivesdk")</f>
        <v>https://drive.google.com/file/d/15LFm341_5bPcaNQpSelL8ir5RQ9XBhB2/view?usp=drivesdk</v>
      </c>
      <c r="D487" s="12"/>
      <c r="E487" s="6">
        <v>543.0</v>
      </c>
      <c r="F487" s="2"/>
      <c r="I487" s="4"/>
    </row>
    <row r="488" ht="1.5" customHeight="1">
      <c r="A488" s="4" t="str">
        <f>IFERROR(__xludf.DUMMYFUNCTION("""COMPUTED_VALUE"""),"4. Eggs")</f>
        <v>4. Eggs</v>
      </c>
      <c r="B488" s="4" t="str">
        <f>IFERROR(__xludf.DUMMYFUNCTION("""COMPUTED_VALUE"""),"4")</f>
        <v>4</v>
      </c>
      <c r="C488" s="5" t="str">
        <f>IFERROR(__xludf.DUMMYFUNCTION("""COMPUTED_VALUE"""),"https://drive.google.com/file/d/1PHaMDV4PL11xt6u_0tEYJe_SswDIKPti/view?usp=drivesdk")</f>
        <v>https://drive.google.com/file/d/1PHaMDV4PL11xt6u_0tEYJe_SswDIKPti/view?usp=drivesdk</v>
      </c>
      <c r="D488" s="12"/>
      <c r="E488" s="11">
        <v>544.0</v>
      </c>
      <c r="F488" s="2"/>
      <c r="I488" s="4"/>
    </row>
    <row r="489" ht="1.5" customHeight="1">
      <c r="A489" s="4" t="str">
        <f>IFERROR(__xludf.DUMMYFUNCTION("""COMPUTED_VALUE"""),"9. Melvin")</f>
        <v>9. Melvin</v>
      </c>
      <c r="B489" s="4" t="str">
        <f>IFERROR(__xludf.DUMMYFUNCTION("""COMPUTED_VALUE"""),"9")</f>
        <v>9</v>
      </c>
      <c r="C489" s="5" t="str">
        <f>IFERROR(__xludf.DUMMYFUNCTION("""COMPUTED_VALUE"""),"https://drive.google.com/file/d/14T_k91OOtdlEh0fyqdDcPhf3JJFA5oCy/view?usp=drivesdk")</f>
        <v>https://drive.google.com/file/d/14T_k91OOtdlEh0fyqdDcPhf3JJFA5oCy/view?usp=drivesdk</v>
      </c>
      <c r="D489" s="12"/>
      <c r="E489" s="6">
        <v>545.0</v>
      </c>
      <c r="F489" s="2"/>
      <c r="I489" s="4"/>
    </row>
    <row r="490" ht="1.5" customHeight="1">
      <c r="A490" s="4" t="str">
        <f>IFERROR(__xludf.DUMMYFUNCTION("""COMPUTED_VALUE"""),"4. Eggs")</f>
        <v>4. Eggs</v>
      </c>
      <c r="B490" s="4" t="str">
        <f>IFERROR(__xludf.DUMMYFUNCTION("""COMPUTED_VALUE"""),"4")</f>
        <v>4</v>
      </c>
      <c r="C490" s="5" t="str">
        <f>IFERROR(__xludf.DUMMYFUNCTION("""COMPUTED_VALUE"""),"https://drive.google.com/file/d/101IoKoBc4cVyNZFWybaDnS3I7RyHXLgp/view?usp=drivesdk")</f>
        <v>https://drive.google.com/file/d/101IoKoBc4cVyNZFWybaDnS3I7RyHXLgp/view?usp=drivesdk</v>
      </c>
      <c r="D490" s="12"/>
      <c r="E490" s="6">
        <v>546.0</v>
      </c>
      <c r="F490" s="2"/>
      <c r="I490" s="4"/>
    </row>
    <row r="491" ht="1.5" customHeight="1">
      <c r="A491" s="4" t="str">
        <f>IFERROR(__xludf.DUMMYFUNCTION("""COMPUTED_VALUE"""),"4. Eggs")</f>
        <v>4. Eggs</v>
      </c>
      <c r="B491" s="4" t="str">
        <f>IFERROR(__xludf.DUMMYFUNCTION("""COMPUTED_VALUE"""),"4")</f>
        <v>4</v>
      </c>
      <c r="C491" s="5" t="str">
        <f>IFERROR(__xludf.DUMMYFUNCTION("""COMPUTED_VALUE"""),"https://drive.google.com/file/d/1l8UOSuDFIq-JezYFmneAYYdGbB62xfoZ/view?usp=drivesdk")</f>
        <v>https://drive.google.com/file/d/1l8UOSuDFIq-JezYFmneAYYdGbB62xfoZ/view?usp=drivesdk</v>
      </c>
      <c r="D491" s="12"/>
      <c r="E491" s="6">
        <v>547.0</v>
      </c>
      <c r="F491" s="2"/>
      <c r="I491" s="4"/>
    </row>
    <row r="492" ht="1.5" customHeight="1">
      <c r="A492" s="4" t="str">
        <f>IFERROR(__xludf.DUMMYFUNCTION("""COMPUTED_VALUE"""),"4. Eggs")</f>
        <v>4. Eggs</v>
      </c>
      <c r="B492" s="4" t="str">
        <f>IFERROR(__xludf.DUMMYFUNCTION("""COMPUTED_VALUE"""),"4")</f>
        <v>4</v>
      </c>
      <c r="C492" s="5" t="str">
        <f>IFERROR(__xludf.DUMMYFUNCTION("""COMPUTED_VALUE"""),"https://drive.google.com/file/d/1Vs8a9y7ABoD2K4QYDkijKvKl_D3ywWq7/view?usp=drivesdk")</f>
        <v>https://drive.google.com/file/d/1Vs8a9y7ABoD2K4QYDkijKvKl_D3ywWq7/view?usp=drivesdk</v>
      </c>
      <c r="D492" s="12"/>
      <c r="E492" s="11">
        <v>548.0</v>
      </c>
      <c r="F492" s="2"/>
      <c r="I492" s="4"/>
    </row>
    <row r="493" ht="1.5" customHeight="1">
      <c r="A493" s="4" t="str">
        <f>IFERROR(__xludf.DUMMYFUNCTION("""COMPUTED_VALUE"""),"4. Eggs")</f>
        <v>4. Eggs</v>
      </c>
      <c r="B493" s="4" t="str">
        <f>IFERROR(__xludf.DUMMYFUNCTION("""COMPUTED_VALUE"""),"4")</f>
        <v>4</v>
      </c>
      <c r="C493" s="5" t="str">
        <f>IFERROR(__xludf.DUMMYFUNCTION("""COMPUTED_VALUE"""),"https://drive.google.com/file/d/1QbmB6pJx4fm6-ftrWAVCnWfya-ISXwY2/view?usp=drivesdk")</f>
        <v>https://drive.google.com/file/d/1QbmB6pJx4fm6-ftrWAVCnWfya-ISXwY2/view?usp=drivesdk</v>
      </c>
      <c r="D493" s="12"/>
      <c r="E493" s="6">
        <v>549.0</v>
      </c>
      <c r="F493" s="2"/>
      <c r="I493" s="4"/>
    </row>
    <row r="494" ht="1.5" customHeight="1">
      <c r="A494" s="4" t="str">
        <f>IFERROR(__xludf.DUMMYFUNCTION("""COMPUTED_VALUE"""),"4. Eggs")</f>
        <v>4. Eggs</v>
      </c>
      <c r="B494" s="4" t="str">
        <f>IFERROR(__xludf.DUMMYFUNCTION("""COMPUTED_VALUE"""),"4")</f>
        <v>4</v>
      </c>
      <c r="C494" s="5" t="str">
        <f>IFERROR(__xludf.DUMMYFUNCTION("""COMPUTED_VALUE"""),"https://drive.google.com/file/d/1IWPVPA1hNDdMdlKxhqhSpg-lgQQZ4rFO/view?usp=drivesdk")</f>
        <v>https://drive.google.com/file/d/1IWPVPA1hNDdMdlKxhqhSpg-lgQQZ4rFO/view?usp=drivesdk</v>
      </c>
      <c r="D494" s="12"/>
      <c r="E494" s="11">
        <v>550.0</v>
      </c>
      <c r="F494" s="2"/>
      <c r="I494" s="4"/>
    </row>
    <row r="495" ht="1.5" customHeight="1">
      <c r="A495" s="4" t="str">
        <f>IFERROR(__xludf.DUMMYFUNCTION("""COMPUTED_VALUE"""),"9. Melvin")</f>
        <v>9. Melvin</v>
      </c>
      <c r="B495" s="4" t="str">
        <f>IFERROR(__xludf.DUMMYFUNCTION("""COMPUTED_VALUE"""),"9")</f>
        <v>9</v>
      </c>
      <c r="C495" s="5" t="str">
        <f>IFERROR(__xludf.DUMMYFUNCTION("""COMPUTED_VALUE"""),"https://drive.google.com/file/d/1GeYtoRCzpRlr_PEHNSZdhaMsOOhegNUe/view?usp=drivesdk")</f>
        <v>https://drive.google.com/file/d/1GeYtoRCzpRlr_PEHNSZdhaMsOOhegNUe/view?usp=drivesdk</v>
      </c>
      <c r="D495" s="12"/>
      <c r="E495" s="6">
        <v>551.0</v>
      </c>
      <c r="F495" s="2"/>
      <c r="I495" s="4"/>
    </row>
    <row r="496" ht="1.5" customHeight="1">
      <c r="A496" s="4" t="str">
        <f>IFERROR(__xludf.DUMMYFUNCTION("""COMPUTED_VALUE"""),"4. Eggs")</f>
        <v>4. Eggs</v>
      </c>
      <c r="B496" s="4" t="str">
        <f>IFERROR(__xludf.DUMMYFUNCTION("""COMPUTED_VALUE"""),"4")</f>
        <v>4</v>
      </c>
      <c r="C496" s="5" t="str">
        <f>IFERROR(__xludf.DUMMYFUNCTION("""COMPUTED_VALUE"""),"https://drive.google.com/file/d/11KiBLEZoMnQe5_TBWG41Q-FDPEdxtgAo/view?usp=drivesdk")</f>
        <v>https://drive.google.com/file/d/11KiBLEZoMnQe5_TBWG41Q-FDPEdxtgAo/view?usp=drivesdk</v>
      </c>
      <c r="D496" s="12"/>
      <c r="E496" s="6">
        <v>552.0</v>
      </c>
      <c r="F496" s="2"/>
      <c r="I496" s="4"/>
    </row>
    <row r="497" ht="1.5" customHeight="1">
      <c r="A497" s="4" t="str">
        <f>IFERROR(__xludf.DUMMYFUNCTION("""COMPUTED_VALUE"""),"4. Eggs")</f>
        <v>4. Eggs</v>
      </c>
      <c r="B497" s="4" t="str">
        <f>IFERROR(__xludf.DUMMYFUNCTION("""COMPUTED_VALUE"""),"4")</f>
        <v>4</v>
      </c>
      <c r="C497" s="5" t="str">
        <f>IFERROR(__xludf.DUMMYFUNCTION("""COMPUTED_VALUE"""),"https://drive.google.com/file/d/1ACstemdMQ_9DjMNzEetCutXuyChSmYo7/view?usp=drivesdk")</f>
        <v>https://drive.google.com/file/d/1ACstemdMQ_9DjMNzEetCutXuyChSmYo7/view?usp=drivesdk</v>
      </c>
      <c r="D497" s="12"/>
      <c r="E497" s="6">
        <v>553.0</v>
      </c>
      <c r="F497" s="2"/>
      <c r="I497" s="4"/>
    </row>
    <row r="498" ht="1.5" customHeight="1">
      <c r="A498" s="4" t="str">
        <f>IFERROR(__xludf.DUMMYFUNCTION("""COMPUTED_VALUE"""),"4. Eggs")</f>
        <v>4. Eggs</v>
      </c>
      <c r="B498" s="4" t="str">
        <f>IFERROR(__xludf.DUMMYFUNCTION("""COMPUTED_VALUE"""),"4")</f>
        <v>4</v>
      </c>
      <c r="C498" s="5" t="str">
        <f>IFERROR(__xludf.DUMMYFUNCTION("""COMPUTED_VALUE"""),"https://drive.google.com/file/d/1p8F67_4qKc2vGXZUXiQ5_PY0WyDRS19p/view?usp=drivesdk")</f>
        <v>https://drive.google.com/file/d/1p8F67_4qKc2vGXZUXiQ5_PY0WyDRS19p/view?usp=drivesdk</v>
      </c>
      <c r="D498" s="12"/>
      <c r="E498" s="11">
        <v>554.0</v>
      </c>
      <c r="F498" s="2"/>
      <c r="I498" s="4"/>
    </row>
    <row r="499" ht="1.5" customHeight="1">
      <c r="A499" s="4" t="str">
        <f>IFERROR(__xludf.DUMMYFUNCTION("""COMPUTED_VALUE"""),"4. Eggs")</f>
        <v>4. Eggs</v>
      </c>
      <c r="B499" s="4" t="str">
        <f>IFERROR(__xludf.DUMMYFUNCTION("""COMPUTED_VALUE"""),"4")</f>
        <v>4</v>
      </c>
      <c r="C499" s="5" t="str">
        <f>IFERROR(__xludf.DUMMYFUNCTION("""COMPUTED_VALUE"""),"https://drive.google.com/file/d/1DSH9RXdmD5riYTtkW0bZiomjMt0aT4Pj/view?usp=drivesdk")</f>
        <v>https://drive.google.com/file/d/1DSH9RXdmD5riYTtkW0bZiomjMt0aT4Pj/view?usp=drivesdk</v>
      </c>
      <c r="D499" s="12"/>
      <c r="E499" s="6">
        <v>555.0</v>
      </c>
      <c r="F499" s="2"/>
      <c r="I499" s="4"/>
    </row>
    <row r="500" ht="1.5" customHeight="1">
      <c r="A500" s="4" t="str">
        <f>IFERROR(__xludf.DUMMYFUNCTION("""COMPUTED_VALUE"""),"4. Eggs")</f>
        <v>4. Eggs</v>
      </c>
      <c r="B500" s="4" t="str">
        <f>IFERROR(__xludf.DUMMYFUNCTION("""COMPUTED_VALUE"""),"4")</f>
        <v>4</v>
      </c>
      <c r="C500" s="5" t="str">
        <f>IFERROR(__xludf.DUMMYFUNCTION("""COMPUTED_VALUE"""),"https://drive.google.com/file/d/152LK0t-e_jG0vqm1XlKlJknACuvQx_xt/view?usp=drivesdk")</f>
        <v>https://drive.google.com/file/d/152LK0t-e_jG0vqm1XlKlJknACuvQx_xt/view?usp=drivesdk</v>
      </c>
      <c r="D500" s="12"/>
      <c r="E500" s="11">
        <v>556.0</v>
      </c>
      <c r="F500" s="2"/>
      <c r="I500" s="4"/>
    </row>
    <row r="501" ht="1.5" customHeight="1">
      <c r="A501" s="4" t="str">
        <f>IFERROR(__xludf.DUMMYFUNCTION("""COMPUTED_VALUE"""),"52. Voidling")</f>
        <v>52. Voidling</v>
      </c>
      <c r="B501" s="4" t="str">
        <f>IFERROR(__xludf.DUMMYFUNCTION("""COMPUTED_VALUE"""),"52")</f>
        <v>52</v>
      </c>
      <c r="C501" s="5" t="str">
        <f>IFERROR(__xludf.DUMMYFUNCTION("""COMPUTED_VALUE"""),"https://drive.google.com/file/d/1mzIKZEIQeL5-1yoKR1CODFYmuHp6VZ5p/view?usp=drivesdk")</f>
        <v>https://drive.google.com/file/d/1mzIKZEIQeL5-1yoKR1CODFYmuHp6VZ5p/view?usp=drivesdk</v>
      </c>
      <c r="D501" s="12"/>
      <c r="E501" s="6">
        <v>557.0</v>
      </c>
      <c r="F501" s="2"/>
      <c r="I501" s="4"/>
    </row>
    <row r="502" ht="1.5" customHeight="1">
      <c r="A502" s="4" t="str">
        <f>IFERROR(__xludf.DUMMYFUNCTION("""COMPUTED_VALUE"""),"4. Eggs")</f>
        <v>4. Eggs</v>
      </c>
      <c r="B502" s="4" t="str">
        <f>IFERROR(__xludf.DUMMYFUNCTION("""COMPUTED_VALUE"""),"4")</f>
        <v>4</v>
      </c>
      <c r="C502" s="5" t="str">
        <f>IFERROR(__xludf.DUMMYFUNCTION("""COMPUTED_VALUE"""),"https://drive.google.com/file/d/1cfFoc-O5bXM_fMSZlIs7pxOFLUYcH9s8/view?usp=drivesdk")</f>
        <v>https://drive.google.com/file/d/1cfFoc-O5bXM_fMSZlIs7pxOFLUYcH9s8/view?usp=drivesdk</v>
      </c>
      <c r="D502" s="12"/>
      <c r="E502" s="6">
        <v>558.0</v>
      </c>
      <c r="F502" s="2"/>
      <c r="I502" s="4"/>
    </row>
    <row r="503" ht="1.5" customHeight="1">
      <c r="A503" s="4" t="str">
        <f>IFERROR(__xludf.DUMMYFUNCTION("""COMPUTED_VALUE"""),"2. Twix")</f>
        <v>2. Twix</v>
      </c>
      <c r="B503" s="4" t="str">
        <f>IFERROR(__xludf.DUMMYFUNCTION("""COMPUTED_VALUE"""),"2")</f>
        <v>2</v>
      </c>
      <c r="C503" s="5" t="str">
        <f>IFERROR(__xludf.DUMMYFUNCTION("""COMPUTED_VALUE"""),"https://drive.google.com/file/d/1vyUKwF9Dz4EqFEHQOfS9cz91zdp6rPJJ/view?usp=drivesdk")</f>
        <v>https://drive.google.com/file/d/1vyUKwF9Dz4EqFEHQOfS9cz91zdp6rPJJ/view?usp=drivesdk</v>
      </c>
      <c r="D503" s="12"/>
      <c r="E503" s="6">
        <v>559.0</v>
      </c>
      <c r="F503" s="2"/>
      <c r="I503" s="4"/>
    </row>
    <row r="504" ht="1.5" customHeight="1">
      <c r="A504" s="4" t="str">
        <f>IFERROR(__xludf.DUMMYFUNCTION("""COMPUTED_VALUE"""),"2. Twix")</f>
        <v>2. Twix</v>
      </c>
      <c r="B504" s="4" t="str">
        <f>IFERROR(__xludf.DUMMYFUNCTION("""COMPUTED_VALUE"""),"2")</f>
        <v>2</v>
      </c>
      <c r="C504" s="5" t="str">
        <f>IFERROR(__xludf.DUMMYFUNCTION("""COMPUTED_VALUE"""),"https://drive.google.com/file/d/1PS3Oo-nLjEvXT5Lyfa-qEsGprPGPmsCo/view?usp=drivesdk")</f>
        <v>https://drive.google.com/file/d/1PS3Oo-nLjEvXT5Lyfa-qEsGprPGPmsCo/view?usp=drivesdk</v>
      </c>
      <c r="D504" s="12"/>
      <c r="E504" s="11">
        <v>560.0</v>
      </c>
      <c r="F504" s="2"/>
      <c r="I504" s="4"/>
    </row>
    <row r="505" ht="1.5" customHeight="1">
      <c r="A505" s="4" t="str">
        <f>IFERROR(__xludf.DUMMYFUNCTION("""COMPUTED_VALUE"""),"4. Eggs")</f>
        <v>4. Eggs</v>
      </c>
      <c r="B505" s="4" t="str">
        <f>IFERROR(__xludf.DUMMYFUNCTION("""COMPUTED_VALUE"""),"4")</f>
        <v>4</v>
      </c>
      <c r="C505" s="5" t="str">
        <f>IFERROR(__xludf.DUMMYFUNCTION("""COMPUTED_VALUE"""),"https://drive.google.com/file/d/1rJ6Ftk5MK7ELXL8d33hq-h2Q9RtOd4IL/view?usp=drivesdk")</f>
        <v>https://drive.google.com/file/d/1rJ6Ftk5MK7ELXL8d33hq-h2Q9RtOd4IL/view?usp=drivesdk</v>
      </c>
      <c r="D505" s="12"/>
      <c r="E505" s="6">
        <v>561.0</v>
      </c>
      <c r="F505" s="2"/>
      <c r="I505" s="4"/>
    </row>
    <row r="506" ht="1.5" customHeight="1">
      <c r="A506" s="4" t="str">
        <f>IFERROR(__xludf.DUMMYFUNCTION("""COMPUTED_VALUE"""),"4. Eggs")</f>
        <v>4. Eggs</v>
      </c>
      <c r="B506" s="4" t="str">
        <f>IFERROR(__xludf.DUMMYFUNCTION("""COMPUTED_VALUE"""),"4")</f>
        <v>4</v>
      </c>
      <c r="C506" s="5" t="str">
        <f>IFERROR(__xludf.DUMMYFUNCTION("""COMPUTED_VALUE"""),"https://drive.google.com/file/d/1qjRZzZBtTRAhQQMExt-46w2GepCCEt6G/view?usp=drivesdk")</f>
        <v>https://drive.google.com/file/d/1qjRZzZBtTRAhQQMExt-46w2GepCCEt6G/view?usp=drivesdk</v>
      </c>
      <c r="D506" s="12"/>
      <c r="E506" s="11">
        <v>562.0</v>
      </c>
      <c r="F506" s="2"/>
      <c r="I506" s="4"/>
    </row>
    <row r="507" ht="1.5" customHeight="1">
      <c r="A507" s="4" t="str">
        <f>IFERROR(__xludf.DUMMYFUNCTION("""COMPUTED_VALUE"""),"4. Eggs")</f>
        <v>4. Eggs</v>
      </c>
      <c r="B507" s="4" t="str">
        <f>IFERROR(__xludf.DUMMYFUNCTION("""COMPUTED_VALUE"""),"4")</f>
        <v>4</v>
      </c>
      <c r="C507" s="5" t="str">
        <f>IFERROR(__xludf.DUMMYFUNCTION("""COMPUTED_VALUE"""),"https://drive.google.com/file/d/1e0DnUrrQTa2fCgosfJ5wn6seXpBMinNe/view?usp=drivesdk")</f>
        <v>https://drive.google.com/file/d/1e0DnUrrQTa2fCgosfJ5wn6seXpBMinNe/view?usp=drivesdk</v>
      </c>
      <c r="D507" s="12"/>
      <c r="E507" s="6">
        <v>563.0</v>
      </c>
      <c r="F507" s="2"/>
      <c r="I507" s="4"/>
    </row>
    <row r="508" ht="1.5" customHeight="1">
      <c r="A508" s="4" t="str">
        <f>IFERROR(__xludf.DUMMYFUNCTION("""COMPUTED_VALUE"""),"52. Voidling")</f>
        <v>52. Voidling</v>
      </c>
      <c r="B508" s="4" t="str">
        <f>IFERROR(__xludf.DUMMYFUNCTION("""COMPUTED_VALUE"""),"52")</f>
        <v>52</v>
      </c>
      <c r="C508" s="5" t="str">
        <f>IFERROR(__xludf.DUMMYFUNCTION("""COMPUTED_VALUE"""),"https://drive.google.com/file/d/1sHeXO1n3vlQ7J6Sgg58WLTGygdEOodlT/view?usp=drivesdk")</f>
        <v>https://drive.google.com/file/d/1sHeXO1n3vlQ7J6Sgg58WLTGygdEOodlT/view?usp=drivesdk</v>
      </c>
      <c r="D508" s="12"/>
      <c r="E508" s="6">
        <v>564.0</v>
      </c>
      <c r="F508" s="2"/>
      <c r="I508" s="4"/>
    </row>
    <row r="509" ht="1.5" customHeight="1">
      <c r="A509" s="4" t="str">
        <f>IFERROR(__xludf.DUMMYFUNCTION("""COMPUTED_VALUE"""),"24. Garfield")</f>
        <v>24. Garfield</v>
      </c>
      <c r="B509" s="4" t="str">
        <f>IFERROR(__xludf.DUMMYFUNCTION("""COMPUTED_VALUE"""),"24")</f>
        <v>24</v>
      </c>
      <c r="C509" s="5" t="str">
        <f>IFERROR(__xludf.DUMMYFUNCTION("""COMPUTED_VALUE"""),"https://drive.google.com/file/d/1qsQ-wpvXEcMFf1BSi61p5voeOjOcVElw/view?usp=drivesdk")</f>
        <v>https://drive.google.com/file/d/1qsQ-wpvXEcMFf1BSi61p5voeOjOcVElw/view?usp=drivesdk</v>
      </c>
      <c r="D509" s="12"/>
      <c r="E509" s="6">
        <v>565.0</v>
      </c>
      <c r="F509" s="2"/>
      <c r="I509" s="4"/>
    </row>
    <row r="510" ht="1.5" customHeight="1">
      <c r="A510" s="4" t="str">
        <f>IFERROR(__xludf.DUMMYFUNCTION("""COMPUTED_VALUE"""),"24. Garfield")</f>
        <v>24. Garfield</v>
      </c>
      <c r="B510" s="4" t="str">
        <f>IFERROR(__xludf.DUMMYFUNCTION("""COMPUTED_VALUE"""),"24")</f>
        <v>24</v>
      </c>
      <c r="C510" s="5" t="str">
        <f>IFERROR(__xludf.DUMMYFUNCTION("""COMPUTED_VALUE"""),"https://drive.google.com/file/d/1nez_T95FjhcCQlnfNdfZzqaYmy8glKiW/view?usp=drivesdk")</f>
        <v>https://drive.google.com/file/d/1nez_T95FjhcCQlnfNdfZzqaYmy8glKiW/view?usp=drivesdk</v>
      </c>
      <c r="D510" s="12"/>
      <c r="E510" s="11">
        <v>566.0</v>
      </c>
      <c r="F510" s="2"/>
      <c r="I510" s="4"/>
    </row>
    <row r="511" ht="1.5" customHeight="1">
      <c r="A511" s="4" t="str">
        <f>IFERROR(__xludf.DUMMYFUNCTION("""COMPUTED_VALUE"""),"52. Voidling")</f>
        <v>52. Voidling</v>
      </c>
      <c r="B511" s="4" t="str">
        <f>IFERROR(__xludf.DUMMYFUNCTION("""COMPUTED_VALUE"""),"52")</f>
        <v>52</v>
      </c>
      <c r="C511" s="5" t="str">
        <f>IFERROR(__xludf.DUMMYFUNCTION("""COMPUTED_VALUE"""),"https://drive.google.com/file/d/1eaB166KHnktypyyd5aoaldUhVGaadrXH/view?usp=drivesdk")</f>
        <v>https://drive.google.com/file/d/1eaB166KHnktypyyd5aoaldUhVGaadrXH/view?usp=drivesdk</v>
      </c>
      <c r="D511" s="12"/>
      <c r="E511" s="6">
        <v>567.0</v>
      </c>
      <c r="F511" s="2"/>
      <c r="I511" s="4"/>
    </row>
    <row r="512" ht="1.5" customHeight="1">
      <c r="A512" s="4" t="str">
        <f>IFERROR(__xludf.DUMMYFUNCTION("""COMPUTED_VALUE"""),"24. Garfield")</f>
        <v>24. Garfield</v>
      </c>
      <c r="B512" s="4" t="str">
        <f>IFERROR(__xludf.DUMMYFUNCTION("""COMPUTED_VALUE"""),"24")</f>
        <v>24</v>
      </c>
      <c r="C512" s="5" t="str">
        <f>IFERROR(__xludf.DUMMYFUNCTION("""COMPUTED_VALUE"""),"https://drive.google.com/file/d/1DoMXWIZPT6mnfQYUe4sDZaDxCoiEpr84/view?usp=drivesdk")</f>
        <v>https://drive.google.com/file/d/1DoMXWIZPT6mnfQYUe4sDZaDxCoiEpr84/view?usp=drivesdk</v>
      </c>
      <c r="D512" s="12"/>
      <c r="E512" s="11">
        <v>568.0</v>
      </c>
      <c r="F512" s="2"/>
      <c r="I512" s="4"/>
    </row>
    <row r="513" ht="1.5" customHeight="1">
      <c r="A513" s="4" t="str">
        <f>IFERROR(__xludf.DUMMYFUNCTION("""COMPUTED_VALUE"""),"24. Garfield, 26. Tang")</f>
        <v>24. Garfield, 26. Tang</v>
      </c>
      <c r="B513" s="4" t="str">
        <f>IFERROR(__xludf.DUMMYFUNCTION("""COMPUTED_VALUE"""),"24, 26")</f>
        <v>24, 26</v>
      </c>
      <c r="C513" s="5" t="str">
        <f>IFERROR(__xludf.DUMMYFUNCTION("""COMPUTED_VALUE"""),"https://drive.google.com/file/d/1pBJa3SavvvwMFtg4pLZXwS3Cskt58dQy/view?usp=drivesdk")</f>
        <v>https://drive.google.com/file/d/1pBJa3SavvvwMFtg4pLZXwS3Cskt58dQy/view?usp=drivesdk</v>
      </c>
      <c r="D513" s="12"/>
      <c r="E513" s="6">
        <v>569.0</v>
      </c>
      <c r="F513" s="2"/>
      <c r="I513" s="4"/>
    </row>
    <row r="514" ht="1.5" customHeight="1">
      <c r="A514" s="4" t="str">
        <f>IFERROR(__xludf.DUMMYFUNCTION("""COMPUTED_VALUE"""),"2. Twix")</f>
        <v>2. Twix</v>
      </c>
      <c r="B514" s="4" t="str">
        <f>IFERROR(__xludf.DUMMYFUNCTION("""COMPUTED_VALUE"""),"2")</f>
        <v>2</v>
      </c>
      <c r="C514" s="5" t="str">
        <f>IFERROR(__xludf.DUMMYFUNCTION("""COMPUTED_VALUE"""),"https://drive.google.com/file/d/1c9q9TSQGKl9VMWa3BJYKVqI_jCsHlZBE/view?usp=drivesdk")</f>
        <v>https://drive.google.com/file/d/1c9q9TSQGKl9VMWa3BJYKVqI_jCsHlZBE/view?usp=drivesdk</v>
      </c>
      <c r="D514" s="12"/>
      <c r="E514" s="6">
        <v>570.0</v>
      </c>
      <c r="F514" s="2"/>
      <c r="I514" s="4"/>
    </row>
    <row r="515" ht="1.5" customHeight="1">
      <c r="A515" s="4" t="str">
        <f>IFERROR(__xludf.DUMMYFUNCTION("""COMPUTED_VALUE"""),"25. Aphrodite")</f>
        <v>25. Aphrodite</v>
      </c>
      <c r="B515" s="4" t="str">
        <f>IFERROR(__xludf.DUMMYFUNCTION("""COMPUTED_VALUE"""),"25")</f>
        <v>25</v>
      </c>
      <c r="C515" s="5" t="str">
        <f>IFERROR(__xludf.DUMMYFUNCTION("""COMPUTED_VALUE"""),"https://drive.google.com/file/d/1MGOK-FtlSJBZOx_7wco5GtB_yCx6gjiV/view?usp=drivesdk")</f>
        <v>https://drive.google.com/file/d/1MGOK-FtlSJBZOx_7wco5GtB_yCx6gjiV/view?usp=drivesdk</v>
      </c>
      <c r="D515" s="12"/>
      <c r="E515" s="6">
        <v>571.0</v>
      </c>
      <c r="F515" s="2"/>
      <c r="I515" s="4"/>
    </row>
    <row r="516" ht="1.5" customHeight="1">
      <c r="A516" s="4" t="str">
        <f>IFERROR(__xludf.DUMMYFUNCTION("""COMPUTED_VALUE"""),"24. Garfield")</f>
        <v>24. Garfield</v>
      </c>
      <c r="B516" s="4" t="str">
        <f>IFERROR(__xludf.DUMMYFUNCTION("""COMPUTED_VALUE"""),"24")</f>
        <v>24</v>
      </c>
      <c r="C516" s="5" t="str">
        <f>IFERROR(__xludf.DUMMYFUNCTION("""COMPUTED_VALUE"""),"https://drive.google.com/file/d/1IHXB2dlE9e-_F9lmQiJXOxXZlyNP4NY0/view?usp=drivesdk")</f>
        <v>https://drive.google.com/file/d/1IHXB2dlE9e-_F9lmQiJXOxXZlyNP4NY0/view?usp=drivesdk</v>
      </c>
      <c r="D516" s="12"/>
      <c r="E516" s="11">
        <v>572.0</v>
      </c>
      <c r="F516" s="2"/>
      <c r="I516" s="4"/>
    </row>
    <row r="517" ht="1.5" customHeight="1">
      <c r="A517" s="4" t="str">
        <f>IFERROR(__xludf.DUMMYFUNCTION("""COMPUTED_VALUE"""),"24. Garfield")</f>
        <v>24. Garfield</v>
      </c>
      <c r="B517" s="4" t="str">
        <f>IFERROR(__xludf.DUMMYFUNCTION("""COMPUTED_VALUE"""),"24")</f>
        <v>24</v>
      </c>
      <c r="C517" s="5" t="str">
        <f>IFERROR(__xludf.DUMMYFUNCTION("""COMPUTED_VALUE"""),"https://drive.google.com/file/d/12YSWo0FSgHEhriRwlK_L9EnMrAsO9bF6/view?usp=drivesdk")</f>
        <v>https://drive.google.com/file/d/12YSWo0FSgHEhriRwlK_L9EnMrAsO9bF6/view?usp=drivesdk</v>
      </c>
      <c r="D517" s="12"/>
      <c r="E517" s="6">
        <v>573.0</v>
      </c>
      <c r="F517" s="2"/>
      <c r="I517" s="4"/>
    </row>
    <row r="518" ht="1.5" customHeight="1">
      <c r="A518" s="4" t="str">
        <f>IFERROR(__xludf.DUMMYFUNCTION("""COMPUTED_VALUE"""),"25. Aphrodite")</f>
        <v>25. Aphrodite</v>
      </c>
      <c r="B518" s="4" t="str">
        <f>IFERROR(__xludf.DUMMYFUNCTION("""COMPUTED_VALUE"""),"25")</f>
        <v>25</v>
      </c>
      <c r="C518" s="5" t="str">
        <f>IFERROR(__xludf.DUMMYFUNCTION("""COMPUTED_VALUE"""),"https://drive.google.com/file/d/1o6gD1b9NNGeaFdv8TW5BJHyELGfPY4-g/view?usp=drivesdk")</f>
        <v>https://drive.google.com/file/d/1o6gD1b9NNGeaFdv8TW5BJHyELGfPY4-g/view?usp=drivesdk</v>
      </c>
      <c r="D518" s="12"/>
      <c r="E518" s="11">
        <v>574.0</v>
      </c>
      <c r="F518" s="2"/>
      <c r="I518" s="4"/>
    </row>
    <row r="519" ht="1.5" customHeight="1">
      <c r="A519" s="4" t="str">
        <f>IFERROR(__xludf.DUMMYFUNCTION("""COMPUTED_VALUE"""),"2. Twix")</f>
        <v>2. Twix</v>
      </c>
      <c r="B519" s="4" t="str">
        <f>IFERROR(__xludf.DUMMYFUNCTION("""COMPUTED_VALUE"""),"2")</f>
        <v>2</v>
      </c>
      <c r="C519" s="5" t="str">
        <f>IFERROR(__xludf.DUMMYFUNCTION("""COMPUTED_VALUE"""),"https://drive.google.com/file/d/1uV6xO382MBgxFNNagdLNchE5-odvtltp/view?usp=drivesdk")</f>
        <v>https://drive.google.com/file/d/1uV6xO382MBgxFNNagdLNchE5-odvtltp/view?usp=drivesdk</v>
      </c>
      <c r="D519" s="12"/>
      <c r="E519" s="6">
        <v>575.0</v>
      </c>
      <c r="F519" s="2"/>
      <c r="I519" s="4"/>
    </row>
    <row r="520" ht="1.5" customHeight="1">
      <c r="A520" s="4" t="str">
        <f>IFERROR(__xludf.DUMMYFUNCTION("""COMPUTED_VALUE"""),"24. Garfield, 26. Tang")</f>
        <v>24. Garfield, 26. Tang</v>
      </c>
      <c r="B520" s="4" t="str">
        <f>IFERROR(__xludf.DUMMYFUNCTION("""COMPUTED_VALUE"""),"24, 26")</f>
        <v>24, 26</v>
      </c>
      <c r="C520" s="5" t="str">
        <f>IFERROR(__xludf.DUMMYFUNCTION("""COMPUTED_VALUE"""),"https://drive.google.com/file/d/1Ob0O67aD3GFCs1LN6hM6xecTmzjzbw5A/view?usp=drivesdk")</f>
        <v>https://drive.google.com/file/d/1Ob0O67aD3GFCs1LN6hM6xecTmzjzbw5A/view?usp=drivesdk</v>
      </c>
      <c r="D520" s="12"/>
      <c r="E520" s="6">
        <v>576.0</v>
      </c>
      <c r="F520" s="2"/>
      <c r="I520" s="4"/>
    </row>
    <row r="521" ht="1.5" customHeight="1">
      <c r="A521" s="4" t="str">
        <f>IFERROR(__xludf.DUMMYFUNCTION("""COMPUTED_VALUE"""),"24. Garfield")</f>
        <v>24. Garfield</v>
      </c>
      <c r="B521" s="4" t="str">
        <f>IFERROR(__xludf.DUMMYFUNCTION("""COMPUTED_VALUE"""),"24")</f>
        <v>24</v>
      </c>
      <c r="C521" s="5" t="str">
        <f>IFERROR(__xludf.DUMMYFUNCTION("""COMPUTED_VALUE"""),"https://drive.google.com/file/d/1jIqaPCVCR1ghpvuWz1nMW66Fu8oNdJKr/view?usp=drivesdk")</f>
        <v>https://drive.google.com/file/d/1jIqaPCVCR1ghpvuWz1nMW66Fu8oNdJKr/view?usp=drivesdk</v>
      </c>
      <c r="D521" s="12"/>
      <c r="E521" s="6">
        <v>577.0</v>
      </c>
      <c r="F521" s="2"/>
      <c r="I521" s="4"/>
    </row>
    <row r="522" ht="1.5" customHeight="1">
      <c r="A522" s="4" t="str">
        <f>IFERROR(__xludf.DUMMYFUNCTION("""COMPUTED_VALUE"""),"2. Twix")</f>
        <v>2. Twix</v>
      </c>
      <c r="B522" s="4" t="str">
        <f>IFERROR(__xludf.DUMMYFUNCTION("""COMPUTED_VALUE"""),"2")</f>
        <v>2</v>
      </c>
      <c r="C522" s="5" t="str">
        <f>IFERROR(__xludf.DUMMYFUNCTION("""COMPUTED_VALUE"""),"https://drive.google.com/file/d/1YvswTxfqZNl2xvCPXEPzKQD93Z2ma97c/view?usp=drivesdk")</f>
        <v>https://drive.google.com/file/d/1YvswTxfqZNl2xvCPXEPzKQD93Z2ma97c/view?usp=drivesdk</v>
      </c>
      <c r="D522" s="12"/>
      <c r="E522" s="11">
        <v>578.0</v>
      </c>
      <c r="F522" s="2"/>
      <c r="I522" s="4"/>
    </row>
    <row r="523" ht="1.5" customHeight="1">
      <c r="A523" s="4" t="str">
        <f>IFERROR(__xludf.DUMMYFUNCTION("""COMPUTED_VALUE"""),"26. Tang, 53. Piggy")</f>
        <v>26. Tang, 53. Piggy</v>
      </c>
      <c r="B523" s="4" t="str">
        <f>IFERROR(__xludf.DUMMYFUNCTION("""COMPUTED_VALUE"""),"26, 53")</f>
        <v>26, 53</v>
      </c>
      <c r="C523" s="5" t="str">
        <f>IFERROR(__xludf.DUMMYFUNCTION("""COMPUTED_VALUE"""),"https://drive.google.com/file/d/1oVuFlYSpeVREDg1qgG6tPU-W97ahuqBD/view?usp=drivesdk")</f>
        <v>https://drive.google.com/file/d/1oVuFlYSpeVREDg1qgG6tPU-W97ahuqBD/view?usp=drivesdk</v>
      </c>
      <c r="D523" s="12"/>
      <c r="E523" s="6">
        <v>579.0</v>
      </c>
      <c r="F523" s="2"/>
      <c r="I523" s="4"/>
    </row>
    <row r="524" ht="1.5" customHeight="1">
      <c r="A524" s="4" t="str">
        <f>IFERROR(__xludf.DUMMYFUNCTION("""COMPUTED_VALUE"""),"24. Garfield, 26. Tang")</f>
        <v>24. Garfield, 26. Tang</v>
      </c>
      <c r="B524" s="4" t="str">
        <f>IFERROR(__xludf.DUMMYFUNCTION("""COMPUTED_VALUE"""),"24, 26")</f>
        <v>24, 26</v>
      </c>
      <c r="C524" s="5" t="str">
        <f>IFERROR(__xludf.DUMMYFUNCTION("""COMPUTED_VALUE"""),"https://drive.google.com/file/d/16-dskiusODAwng_aleLFc1wq7-UFTKks/view?usp=drivesdk")</f>
        <v>https://drive.google.com/file/d/16-dskiusODAwng_aleLFc1wq7-UFTKks/view?usp=drivesdk</v>
      </c>
      <c r="D524" s="12"/>
      <c r="E524" s="11">
        <v>580.0</v>
      </c>
      <c r="F524" s="2"/>
      <c r="I524" s="4"/>
    </row>
    <row r="525" ht="1.5" customHeight="1">
      <c r="A525" s="4" t="str">
        <f>IFERROR(__xludf.DUMMYFUNCTION("""COMPUTED_VALUE"""),"26. Tang, 53. Piggy")</f>
        <v>26. Tang, 53. Piggy</v>
      </c>
      <c r="B525" s="4" t="str">
        <f>IFERROR(__xludf.DUMMYFUNCTION("""COMPUTED_VALUE"""),"26, 53")</f>
        <v>26, 53</v>
      </c>
      <c r="C525" s="5" t="str">
        <f>IFERROR(__xludf.DUMMYFUNCTION("""COMPUTED_VALUE"""),"https://drive.google.com/file/d/1eEMcpyIbqmzXlrJXhdfhYJznrDX12Pqm/view?usp=drivesdk")</f>
        <v>https://drive.google.com/file/d/1eEMcpyIbqmzXlrJXhdfhYJznrDX12Pqm/view?usp=drivesdk</v>
      </c>
      <c r="D525" s="12"/>
      <c r="E525" s="6">
        <v>581.0</v>
      </c>
      <c r="F525" s="2"/>
      <c r="I525" s="4"/>
    </row>
    <row r="526" ht="1.5" customHeight="1">
      <c r="A526" s="4" t="str">
        <f>IFERROR(__xludf.DUMMYFUNCTION("""COMPUTED_VALUE"""),"24. Garfield")</f>
        <v>24. Garfield</v>
      </c>
      <c r="B526" s="4" t="str">
        <f>IFERROR(__xludf.DUMMYFUNCTION("""COMPUTED_VALUE"""),"24")</f>
        <v>24</v>
      </c>
      <c r="C526" s="5" t="str">
        <f>IFERROR(__xludf.DUMMYFUNCTION("""COMPUTED_VALUE"""),"https://drive.google.com/file/d/1WKArMNnvAIH4EsqMRaJ3bOBDPIn8ZP_V/view?usp=drivesdk")</f>
        <v>https://drive.google.com/file/d/1WKArMNnvAIH4EsqMRaJ3bOBDPIn8ZP_V/view?usp=drivesdk</v>
      </c>
      <c r="D526" s="12"/>
      <c r="E526" s="6">
        <v>582.0</v>
      </c>
      <c r="F526" s="2"/>
      <c r="I526" s="4"/>
    </row>
    <row r="527" ht="1.5" customHeight="1">
      <c r="A527" s="4" t="str">
        <f>IFERROR(__xludf.DUMMYFUNCTION("""COMPUTED_VALUE"""),"2. Twix")</f>
        <v>2. Twix</v>
      </c>
      <c r="B527" s="4" t="str">
        <f>IFERROR(__xludf.DUMMYFUNCTION("""COMPUTED_VALUE"""),"2")</f>
        <v>2</v>
      </c>
      <c r="C527" s="5" t="str">
        <f>IFERROR(__xludf.DUMMYFUNCTION("""COMPUTED_VALUE"""),"https://drive.google.com/file/d/1OU9AkE-VfNfEzcONT2JwDU7mTJCTQjWm/view?usp=drivesdk")</f>
        <v>https://drive.google.com/file/d/1OU9AkE-VfNfEzcONT2JwDU7mTJCTQjWm/view?usp=drivesdk</v>
      </c>
      <c r="D527" s="12"/>
      <c r="E527" s="6">
        <v>583.0</v>
      </c>
      <c r="F527" s="2"/>
      <c r="I527" s="4"/>
    </row>
    <row r="528" ht="1.5" customHeight="1">
      <c r="A528" s="4" t="str">
        <f>IFERROR(__xludf.DUMMYFUNCTION("""COMPUTED_VALUE"""),"2. Twix")</f>
        <v>2. Twix</v>
      </c>
      <c r="B528" s="4" t="str">
        <f>IFERROR(__xludf.DUMMYFUNCTION("""COMPUTED_VALUE"""),"2")</f>
        <v>2</v>
      </c>
      <c r="C528" s="5" t="str">
        <f>IFERROR(__xludf.DUMMYFUNCTION("""COMPUTED_VALUE"""),"https://drive.google.com/file/d/1G6UqT0S2McoAazMOtLPOfs6RL7CKRaMl/view?usp=drivesdk")</f>
        <v>https://drive.google.com/file/d/1G6UqT0S2McoAazMOtLPOfs6RL7CKRaMl/view?usp=drivesdk</v>
      </c>
      <c r="D528" s="12"/>
      <c r="E528" s="11">
        <v>584.0</v>
      </c>
      <c r="F528" s="2"/>
      <c r="I528" s="4"/>
    </row>
    <row r="529" ht="1.5" customHeight="1">
      <c r="A529" s="4" t="str">
        <f>IFERROR(__xludf.DUMMYFUNCTION("""COMPUTED_VALUE"""),"2. Twix")</f>
        <v>2. Twix</v>
      </c>
      <c r="B529" s="4" t="str">
        <f>IFERROR(__xludf.DUMMYFUNCTION("""COMPUTED_VALUE"""),"2")</f>
        <v>2</v>
      </c>
      <c r="C529" s="5" t="str">
        <f>IFERROR(__xludf.DUMMYFUNCTION("""COMPUTED_VALUE"""),"https://drive.google.com/file/d/1NIHEn5u89DR8Tlf6z3nRALlOr2p4xrRI/view?usp=drivesdk")</f>
        <v>https://drive.google.com/file/d/1NIHEn5u89DR8Tlf6z3nRALlOr2p4xrRI/view?usp=drivesdk</v>
      </c>
      <c r="D529" s="12"/>
      <c r="E529" s="6">
        <v>585.0</v>
      </c>
      <c r="F529" s="2"/>
      <c r="I529" s="4"/>
    </row>
    <row r="530" ht="1.5" customHeight="1">
      <c r="A530" s="4" t="str">
        <f>IFERROR(__xludf.DUMMYFUNCTION("""COMPUTED_VALUE"""),"2. Twix")</f>
        <v>2. Twix</v>
      </c>
      <c r="B530" s="4" t="str">
        <f>IFERROR(__xludf.DUMMYFUNCTION("""COMPUTED_VALUE"""),"2")</f>
        <v>2</v>
      </c>
      <c r="C530" s="5" t="str">
        <f>IFERROR(__xludf.DUMMYFUNCTION("""COMPUTED_VALUE"""),"https://drive.google.com/file/d/1pdCPmJLVCcGM_taH-rySebx0ZYcPuiFL/view?usp=drivesdk")</f>
        <v>https://drive.google.com/file/d/1pdCPmJLVCcGM_taH-rySebx0ZYcPuiFL/view?usp=drivesdk</v>
      </c>
      <c r="D530" s="12"/>
      <c r="E530" s="11">
        <v>586.0</v>
      </c>
      <c r="F530" s="2"/>
      <c r="I530" s="4"/>
    </row>
    <row r="531" ht="1.5" customHeight="1">
      <c r="A531" s="4" t="str">
        <f>IFERROR(__xludf.DUMMYFUNCTION("""COMPUTED_VALUE"""),"2. Twix")</f>
        <v>2. Twix</v>
      </c>
      <c r="B531" s="4" t="str">
        <f>IFERROR(__xludf.DUMMYFUNCTION("""COMPUTED_VALUE"""),"2")</f>
        <v>2</v>
      </c>
      <c r="C531" s="5" t="str">
        <f>IFERROR(__xludf.DUMMYFUNCTION("""COMPUTED_VALUE"""),"https://drive.google.com/file/d/1V9G8ZiRRieE7BIie1MmHvlH2XZosviIq/view?usp=drivesdk")</f>
        <v>https://drive.google.com/file/d/1V9G8ZiRRieE7BIie1MmHvlH2XZosviIq/view?usp=drivesdk</v>
      </c>
      <c r="D531" s="12"/>
      <c r="E531" s="6">
        <v>587.0</v>
      </c>
      <c r="F531" s="2"/>
      <c r="I531" s="4"/>
    </row>
    <row r="532" ht="1.5" customHeight="1">
      <c r="A532" s="4" t="str">
        <f>IFERROR(__xludf.DUMMYFUNCTION("""COMPUTED_VALUE"""),"2. Twix")</f>
        <v>2. Twix</v>
      </c>
      <c r="B532" s="4" t="str">
        <f>IFERROR(__xludf.DUMMYFUNCTION("""COMPUTED_VALUE"""),"2")</f>
        <v>2</v>
      </c>
      <c r="C532" s="5" t="str">
        <f>IFERROR(__xludf.DUMMYFUNCTION("""COMPUTED_VALUE"""),"https://drive.google.com/file/d/11q3Qj5_IXQlBvx9qgLb7xTnzHggF2Xbw/view?usp=drivesdk")</f>
        <v>https://drive.google.com/file/d/11q3Qj5_IXQlBvx9qgLb7xTnzHggF2Xbw/view?usp=drivesdk</v>
      </c>
      <c r="D532" s="12"/>
      <c r="E532" s="6">
        <v>588.0</v>
      </c>
      <c r="F532" s="2"/>
      <c r="I532" s="4"/>
    </row>
    <row r="533" ht="1.5" customHeight="1">
      <c r="A533" s="4" t="str">
        <f>IFERROR(__xludf.DUMMYFUNCTION("""COMPUTED_VALUE"""),"2. Twix")</f>
        <v>2. Twix</v>
      </c>
      <c r="B533" s="4" t="str">
        <f>IFERROR(__xludf.DUMMYFUNCTION("""COMPUTED_VALUE"""),"2")</f>
        <v>2</v>
      </c>
      <c r="C533" s="5" t="str">
        <f>IFERROR(__xludf.DUMMYFUNCTION("""COMPUTED_VALUE"""),"https://drive.google.com/file/d/1zVO78jtp4_Av_k_Oa3-SRBrE3e56v4hn/view?usp=drivesdk")</f>
        <v>https://drive.google.com/file/d/1zVO78jtp4_Av_k_Oa3-SRBrE3e56v4hn/view?usp=drivesdk</v>
      </c>
      <c r="D533" s="12"/>
      <c r="E533" s="6">
        <v>589.0</v>
      </c>
      <c r="F533" s="2"/>
      <c r="I533" s="4"/>
    </row>
    <row r="534" ht="1.5" customHeight="1">
      <c r="A534" s="4" t="str">
        <f>IFERROR(__xludf.DUMMYFUNCTION("""COMPUTED_VALUE"""),"2. Twix")</f>
        <v>2. Twix</v>
      </c>
      <c r="B534" s="4" t="str">
        <f>IFERROR(__xludf.DUMMYFUNCTION("""COMPUTED_VALUE"""),"2")</f>
        <v>2</v>
      </c>
      <c r="C534" s="5" t="str">
        <f>IFERROR(__xludf.DUMMYFUNCTION("""COMPUTED_VALUE"""),"https://drive.google.com/file/d/1_Ysvvk8FjoBBs4BkS9NuSs0wswE_kxKm/view?usp=drivesdk")</f>
        <v>https://drive.google.com/file/d/1_Ysvvk8FjoBBs4BkS9NuSs0wswE_kxKm/view?usp=drivesdk</v>
      </c>
      <c r="D534" s="12"/>
      <c r="E534" s="11">
        <v>590.0</v>
      </c>
      <c r="F534" s="2"/>
      <c r="I534" s="4"/>
    </row>
    <row r="535" ht="1.5" customHeight="1">
      <c r="A535" s="4" t="str">
        <f>IFERROR(__xludf.DUMMYFUNCTION("""COMPUTED_VALUE"""),"2. Twix")</f>
        <v>2. Twix</v>
      </c>
      <c r="B535" s="4" t="str">
        <f>IFERROR(__xludf.DUMMYFUNCTION("""COMPUTED_VALUE"""),"2")</f>
        <v>2</v>
      </c>
      <c r="C535" s="5" t="str">
        <f>IFERROR(__xludf.DUMMYFUNCTION("""COMPUTED_VALUE"""),"https://drive.google.com/file/d/1PGQ_ajQayCaIR0MRYh429UKcWu9TSUwo/view?usp=drivesdk")</f>
        <v>https://drive.google.com/file/d/1PGQ_ajQayCaIR0MRYh429UKcWu9TSUwo/view?usp=drivesdk</v>
      </c>
      <c r="D535" s="12"/>
      <c r="E535" s="6">
        <v>591.0</v>
      </c>
      <c r="F535" s="2"/>
      <c r="I535" s="4"/>
    </row>
    <row r="536" ht="1.5" customHeight="1">
      <c r="A536" s="4" t="str">
        <f>IFERROR(__xludf.DUMMYFUNCTION("""COMPUTED_VALUE"""),"2. Twix")</f>
        <v>2. Twix</v>
      </c>
      <c r="B536" s="4" t="str">
        <f>IFERROR(__xludf.DUMMYFUNCTION("""COMPUTED_VALUE"""),"2")</f>
        <v>2</v>
      </c>
      <c r="C536" s="5" t="str">
        <f>IFERROR(__xludf.DUMMYFUNCTION("""COMPUTED_VALUE"""),"https://drive.google.com/file/d/1MZAVH7eJouZq66PpG-R92_AObfhvGB76/view?usp=drivesdk")</f>
        <v>https://drive.google.com/file/d/1MZAVH7eJouZq66PpG-R92_AObfhvGB76/view?usp=drivesdk</v>
      </c>
      <c r="D536" s="12"/>
      <c r="E536" s="11">
        <v>592.0</v>
      </c>
      <c r="F536" s="2"/>
      <c r="I536" s="4"/>
    </row>
    <row r="537" ht="1.5" customHeight="1">
      <c r="A537" s="4" t="str">
        <f>IFERROR(__xludf.DUMMYFUNCTION("""COMPUTED_VALUE"""),"2. Twix")</f>
        <v>2. Twix</v>
      </c>
      <c r="B537" s="4" t="str">
        <f>IFERROR(__xludf.DUMMYFUNCTION("""COMPUTED_VALUE"""),"2")</f>
        <v>2</v>
      </c>
      <c r="C537" s="5" t="str">
        <f>IFERROR(__xludf.DUMMYFUNCTION("""COMPUTED_VALUE"""),"https://drive.google.com/file/d/12zBP5bXfdSMjcC_UJARH_PsM7E_xq5Ey/view?usp=drivesdk")</f>
        <v>https://drive.google.com/file/d/12zBP5bXfdSMjcC_UJARH_PsM7E_xq5Ey/view?usp=drivesdk</v>
      </c>
      <c r="D537" s="12"/>
      <c r="E537" s="6">
        <v>593.0</v>
      </c>
      <c r="F537" s="2"/>
      <c r="I537" s="4"/>
    </row>
    <row r="538" ht="1.5" customHeight="1">
      <c r="A538" s="4" t="str">
        <f>IFERROR(__xludf.DUMMYFUNCTION("""COMPUTED_VALUE"""),"2. Twix")</f>
        <v>2. Twix</v>
      </c>
      <c r="B538" s="4" t="str">
        <f>IFERROR(__xludf.DUMMYFUNCTION("""COMPUTED_VALUE"""),"2")</f>
        <v>2</v>
      </c>
      <c r="C538" s="5" t="str">
        <f>IFERROR(__xludf.DUMMYFUNCTION("""COMPUTED_VALUE"""),"https://drive.google.com/file/d/1ktKlZqv8gQ_lF6UFzn-TcAFE9zL0yRN4/view?usp=drivesdk")</f>
        <v>https://drive.google.com/file/d/1ktKlZqv8gQ_lF6UFzn-TcAFE9zL0yRN4/view?usp=drivesdk</v>
      </c>
      <c r="D538" s="12"/>
      <c r="E538" s="6">
        <v>594.0</v>
      </c>
      <c r="F538" s="2"/>
      <c r="I538" s="4"/>
    </row>
    <row r="539" ht="1.5" customHeight="1">
      <c r="A539" s="4" t="str">
        <f>IFERROR(__xludf.DUMMYFUNCTION("""COMPUTED_VALUE"""),"2. Twix")</f>
        <v>2. Twix</v>
      </c>
      <c r="B539" s="4" t="str">
        <f>IFERROR(__xludf.DUMMYFUNCTION("""COMPUTED_VALUE"""),"2")</f>
        <v>2</v>
      </c>
      <c r="C539" s="5" t="str">
        <f>IFERROR(__xludf.DUMMYFUNCTION("""COMPUTED_VALUE"""),"https://drive.google.com/file/d/1MilaL_-Bd4ilmnOg90dkTHUX8vgGfesE/view?usp=drivesdk")</f>
        <v>https://drive.google.com/file/d/1MilaL_-Bd4ilmnOg90dkTHUX8vgGfesE/view?usp=drivesdk</v>
      </c>
      <c r="D539" s="12"/>
      <c r="E539" s="6">
        <v>595.0</v>
      </c>
      <c r="F539" s="2"/>
      <c r="I539" s="4"/>
    </row>
    <row r="540" ht="1.5" customHeight="1">
      <c r="A540" s="4" t="str">
        <f>IFERROR(__xludf.DUMMYFUNCTION("""COMPUTED_VALUE"""),"2. Twix")</f>
        <v>2. Twix</v>
      </c>
      <c r="B540" s="4" t="str">
        <f>IFERROR(__xludf.DUMMYFUNCTION("""COMPUTED_VALUE"""),"2")</f>
        <v>2</v>
      </c>
      <c r="C540" s="5" t="str">
        <f>IFERROR(__xludf.DUMMYFUNCTION("""COMPUTED_VALUE"""),"https://drive.google.com/file/d/1mKgv1tZlYoEnh7xS5yeB3KH4Mqww8jZo/view?usp=drivesdk")</f>
        <v>https://drive.google.com/file/d/1mKgv1tZlYoEnh7xS5yeB3KH4Mqww8jZo/view?usp=drivesdk</v>
      </c>
      <c r="D540" s="12"/>
      <c r="E540" s="11">
        <v>596.0</v>
      </c>
      <c r="F540" s="2"/>
      <c r="I540" s="4"/>
    </row>
    <row r="541" ht="1.5" customHeight="1">
      <c r="A541" s="4" t="str">
        <f>IFERROR(__xludf.DUMMYFUNCTION("""COMPUTED_VALUE"""),"2. Twix")</f>
        <v>2. Twix</v>
      </c>
      <c r="B541" s="4" t="str">
        <f>IFERROR(__xludf.DUMMYFUNCTION("""COMPUTED_VALUE"""),"2")</f>
        <v>2</v>
      </c>
      <c r="C541" s="5" t="str">
        <f>IFERROR(__xludf.DUMMYFUNCTION("""COMPUTED_VALUE"""),"https://drive.google.com/file/d/1yyqooragcSrhC4L2c8ZiUz_IXalpxz4K/view?usp=drivesdk")</f>
        <v>https://drive.google.com/file/d/1yyqooragcSrhC4L2c8ZiUz_IXalpxz4K/view?usp=drivesdk</v>
      </c>
      <c r="D541" s="12"/>
      <c r="E541" s="6">
        <v>597.0</v>
      </c>
      <c r="F541" s="2"/>
      <c r="I541" s="4"/>
    </row>
    <row r="542" ht="1.5" customHeight="1">
      <c r="A542" s="4" t="str">
        <f>IFERROR(__xludf.DUMMYFUNCTION("""COMPUTED_VALUE"""),"2. Twix")</f>
        <v>2. Twix</v>
      </c>
      <c r="B542" s="4" t="str">
        <f>IFERROR(__xludf.DUMMYFUNCTION("""COMPUTED_VALUE"""),"2")</f>
        <v>2</v>
      </c>
      <c r="C542" s="5" t="str">
        <f>IFERROR(__xludf.DUMMYFUNCTION("""COMPUTED_VALUE"""),"https://drive.google.com/file/d/1uNGarivkFOPCWI1TAQE0tc1CxleAUjzf/view?usp=drivesdk")</f>
        <v>https://drive.google.com/file/d/1uNGarivkFOPCWI1TAQE0tc1CxleAUjzf/view?usp=drivesdk</v>
      </c>
      <c r="D542" s="12"/>
      <c r="E542" s="11">
        <v>598.0</v>
      </c>
      <c r="F542" s="2"/>
      <c r="I542" s="4"/>
    </row>
    <row r="543" ht="1.5" customHeight="1">
      <c r="A543" s="4" t="str">
        <f>IFERROR(__xludf.DUMMYFUNCTION("""COMPUTED_VALUE"""),"2. Twix")</f>
        <v>2. Twix</v>
      </c>
      <c r="B543" s="4" t="str">
        <f>IFERROR(__xludf.DUMMYFUNCTION("""COMPUTED_VALUE"""),"2")</f>
        <v>2</v>
      </c>
      <c r="C543" s="5" t="str">
        <f>IFERROR(__xludf.DUMMYFUNCTION("""COMPUTED_VALUE"""),"https://drive.google.com/file/d/1rT-sYNr-ee95liadCsKTno_q71Tr6sjl/view?usp=drivesdk")</f>
        <v>https://drive.google.com/file/d/1rT-sYNr-ee95liadCsKTno_q71Tr6sjl/view?usp=drivesdk</v>
      </c>
      <c r="D543" s="12"/>
      <c r="E543" s="6">
        <v>599.0</v>
      </c>
      <c r="F543" s="2"/>
      <c r="I543" s="4"/>
    </row>
    <row r="544" ht="1.5" customHeight="1">
      <c r="A544" s="4" t="str">
        <f>IFERROR(__xludf.DUMMYFUNCTION("""COMPUTED_VALUE"""),"3. Ford F-150")</f>
        <v>3. Ford F-150</v>
      </c>
      <c r="B544" s="4" t="str">
        <f>IFERROR(__xludf.DUMMYFUNCTION("""COMPUTED_VALUE"""),"3")</f>
        <v>3</v>
      </c>
      <c r="C544" s="5" t="str">
        <f>IFERROR(__xludf.DUMMYFUNCTION("""COMPUTED_VALUE"""),"https://drive.google.com/file/d/1nVCCChWoeaRmto3-6eHv_MNApqMG4Koj/view?usp=drivesdk")</f>
        <v>https://drive.google.com/file/d/1nVCCChWoeaRmto3-6eHv_MNApqMG4Koj/view?usp=drivesdk</v>
      </c>
      <c r="D544" s="12"/>
      <c r="E544" s="6">
        <v>600.0</v>
      </c>
      <c r="F544" s="2"/>
      <c r="I544" s="4"/>
    </row>
    <row r="545" ht="1.5" customHeight="1">
      <c r="A545" s="4" t="str">
        <f>IFERROR(__xludf.DUMMYFUNCTION("""COMPUTED_VALUE"""),"3. Ford F-150")</f>
        <v>3. Ford F-150</v>
      </c>
      <c r="B545" s="4" t="str">
        <f>IFERROR(__xludf.DUMMYFUNCTION("""COMPUTED_VALUE"""),"3")</f>
        <v>3</v>
      </c>
      <c r="C545" s="5" t="str">
        <f>IFERROR(__xludf.DUMMYFUNCTION("""COMPUTED_VALUE"""),"https://drive.google.com/file/d/1hbx9vYDMeEPFpRy8PbHguAQYgIYg_2EF/view?usp=drivesdk")</f>
        <v>https://drive.google.com/file/d/1hbx9vYDMeEPFpRy8PbHguAQYgIYg_2EF/view?usp=drivesdk</v>
      </c>
      <c r="D545" s="12"/>
      <c r="E545" s="6">
        <v>601.0</v>
      </c>
      <c r="F545" s="2"/>
      <c r="I545" s="4"/>
    </row>
    <row r="546" ht="1.5" customHeight="1">
      <c r="A546" s="4" t="str">
        <f>IFERROR(__xludf.DUMMYFUNCTION("""COMPUTED_VALUE"""),"3. Ford F-150")</f>
        <v>3. Ford F-150</v>
      </c>
      <c r="B546" s="4" t="str">
        <f>IFERROR(__xludf.DUMMYFUNCTION("""COMPUTED_VALUE"""),"3")</f>
        <v>3</v>
      </c>
      <c r="C546" s="5" t="str">
        <f>IFERROR(__xludf.DUMMYFUNCTION("""COMPUTED_VALUE"""),"https://drive.google.com/file/d/1sGedivjivqqHncWcABXAdrWv3lKzLPXH/view?usp=drivesdk")</f>
        <v>https://drive.google.com/file/d/1sGedivjivqqHncWcABXAdrWv3lKzLPXH/view?usp=drivesdk</v>
      </c>
      <c r="D546" s="12"/>
      <c r="E546" s="11">
        <v>602.0</v>
      </c>
      <c r="F546" s="2"/>
      <c r="I546" s="4"/>
    </row>
    <row r="547" ht="1.5" customHeight="1">
      <c r="A547" s="4" t="str">
        <f>IFERROR(__xludf.DUMMYFUNCTION("""COMPUTED_VALUE"""),"1. Microwave")</f>
        <v>1. Microwave</v>
      </c>
      <c r="B547" s="4" t="str">
        <f>IFERROR(__xludf.DUMMYFUNCTION("""COMPUTED_VALUE"""),"1")</f>
        <v>1</v>
      </c>
      <c r="C547" s="5" t="str">
        <f>IFERROR(__xludf.DUMMYFUNCTION("""COMPUTED_VALUE"""),"https://drive.google.com/file/d/1x414Nlzx27Vl_JfEmhRs3DaMuyXPNzGT/view?usp=drivesdk")</f>
        <v>https://drive.google.com/file/d/1x414Nlzx27Vl_JfEmhRs3DaMuyXPNzGT/view?usp=drivesdk</v>
      </c>
      <c r="D547" s="12"/>
      <c r="E547" s="6">
        <v>603.0</v>
      </c>
      <c r="F547" s="2"/>
      <c r="I547" s="4"/>
    </row>
    <row r="548" ht="1.5" customHeight="1">
      <c r="A548" s="4" t="str">
        <f>IFERROR(__xludf.DUMMYFUNCTION("""COMPUTED_VALUE"""),"1. Microwave")</f>
        <v>1. Microwave</v>
      </c>
      <c r="B548" s="4" t="str">
        <f>IFERROR(__xludf.DUMMYFUNCTION("""COMPUTED_VALUE"""),"1")</f>
        <v>1</v>
      </c>
      <c r="C548" s="5" t="str">
        <f>IFERROR(__xludf.DUMMYFUNCTION("""COMPUTED_VALUE"""),"https://drive.google.com/file/d/1CXgfW6-iTEU641swHvLJcSvvopF0HNXk/view?usp=drivesdk")</f>
        <v>https://drive.google.com/file/d/1CXgfW6-iTEU641swHvLJcSvvopF0HNXk/view?usp=drivesdk</v>
      </c>
      <c r="D548" s="12"/>
      <c r="E548" s="11">
        <v>604.0</v>
      </c>
      <c r="F548" s="2"/>
      <c r="I548" s="4"/>
    </row>
    <row r="549" ht="1.5" customHeight="1">
      <c r="A549" s="4" t="str">
        <f>IFERROR(__xludf.DUMMYFUNCTION("""COMPUTED_VALUE"""),"1. Microwave")</f>
        <v>1. Microwave</v>
      </c>
      <c r="B549" s="4" t="str">
        <f>IFERROR(__xludf.DUMMYFUNCTION("""COMPUTED_VALUE"""),"1")</f>
        <v>1</v>
      </c>
      <c r="C549" s="5" t="str">
        <f>IFERROR(__xludf.DUMMYFUNCTION("""COMPUTED_VALUE"""),"https://drive.google.com/file/d/17gQ3e6lxdYzTY4K-tvd2KHeE3PJncdDo/view?usp=drivesdk")</f>
        <v>https://drive.google.com/file/d/17gQ3e6lxdYzTY4K-tvd2KHeE3PJncdDo/view?usp=drivesdk</v>
      </c>
      <c r="D549" s="12"/>
      <c r="E549" s="6">
        <v>605.0</v>
      </c>
      <c r="F549" s="2"/>
      <c r="I549" s="4"/>
    </row>
    <row r="550" ht="1.5" customHeight="1">
      <c r="A550" s="4" t="str">
        <f>IFERROR(__xludf.DUMMYFUNCTION("""COMPUTED_VALUE"""),"3. Ford F-150")</f>
        <v>3. Ford F-150</v>
      </c>
      <c r="B550" s="4" t="str">
        <f>IFERROR(__xludf.DUMMYFUNCTION("""COMPUTED_VALUE"""),"3")</f>
        <v>3</v>
      </c>
      <c r="C550" s="5" t="str">
        <f>IFERROR(__xludf.DUMMYFUNCTION("""COMPUTED_VALUE"""),"https://drive.google.com/file/d/1lNTdeuUUQ_Ylvu1TFDKr1cNheQK3NM2q/view?usp=drivesdk")</f>
        <v>https://drive.google.com/file/d/1lNTdeuUUQ_Ylvu1TFDKr1cNheQK3NM2q/view?usp=drivesdk</v>
      </c>
      <c r="D550" s="12"/>
      <c r="E550" s="6">
        <v>606.0</v>
      </c>
      <c r="F550" s="2"/>
      <c r="I550" s="4"/>
    </row>
    <row r="551" ht="1.5" customHeight="1">
      <c r="A551" s="4" t="str">
        <f>IFERROR(__xludf.DUMMYFUNCTION("""COMPUTED_VALUE"""),"2. Twix")</f>
        <v>2. Twix</v>
      </c>
      <c r="B551" s="4" t="str">
        <f>IFERROR(__xludf.DUMMYFUNCTION("""COMPUTED_VALUE"""),"2")</f>
        <v>2</v>
      </c>
      <c r="C551" s="5" t="str">
        <f>IFERROR(__xludf.DUMMYFUNCTION("""COMPUTED_VALUE"""),"https://drive.google.com/file/d/19Nx0KMwC0dovx-g6KgQoQ37VTsiPbkih/view?usp=drivesdk")</f>
        <v>https://drive.google.com/file/d/19Nx0KMwC0dovx-g6KgQoQ37VTsiPbkih/view?usp=drivesdk</v>
      </c>
      <c r="D551" s="12"/>
      <c r="E551" s="6">
        <v>607.0</v>
      </c>
      <c r="F551" s="2"/>
      <c r="I551" s="4"/>
    </row>
    <row r="552" ht="1.5" customHeight="1">
      <c r="A552" s="4" t="str">
        <f>IFERROR(__xludf.DUMMYFUNCTION("""COMPUTED_VALUE"""),"2. Twix")</f>
        <v>2. Twix</v>
      </c>
      <c r="B552" s="4" t="str">
        <f>IFERROR(__xludf.DUMMYFUNCTION("""COMPUTED_VALUE"""),"2")</f>
        <v>2</v>
      </c>
      <c r="C552" s="5" t="str">
        <f>IFERROR(__xludf.DUMMYFUNCTION("""COMPUTED_VALUE"""),"https://drive.google.com/file/d/1L4tUoO7l1KV_qjIN2QHOmeZGu7sCxq87/view?usp=drivesdk")</f>
        <v>https://drive.google.com/file/d/1L4tUoO7l1KV_qjIN2QHOmeZGu7sCxq87/view?usp=drivesdk</v>
      </c>
      <c r="D552" s="12"/>
      <c r="E552" s="11">
        <v>608.0</v>
      </c>
      <c r="F552" s="2"/>
      <c r="I552" s="4"/>
    </row>
    <row r="553" ht="1.5" customHeight="1">
      <c r="A553" s="4" t="str">
        <f>IFERROR(__xludf.DUMMYFUNCTION("""COMPUTED_VALUE"""),"3. Ford F-150")</f>
        <v>3. Ford F-150</v>
      </c>
      <c r="B553" s="4" t="str">
        <f>IFERROR(__xludf.DUMMYFUNCTION("""COMPUTED_VALUE"""),"3")</f>
        <v>3</v>
      </c>
      <c r="C553" s="5" t="str">
        <f>IFERROR(__xludf.DUMMYFUNCTION("""COMPUTED_VALUE"""),"https://drive.google.com/file/d/1x_OTLapBfdE2K5r-7iiPBoEvKr1DxY7R/view?usp=drivesdk")</f>
        <v>https://drive.google.com/file/d/1x_OTLapBfdE2K5r-7iiPBoEvKr1DxY7R/view?usp=drivesdk</v>
      </c>
      <c r="D553" s="12"/>
      <c r="E553" s="6">
        <v>609.0</v>
      </c>
      <c r="F553" s="2"/>
      <c r="I553" s="4"/>
    </row>
    <row r="554" ht="1.5" customHeight="1">
      <c r="A554" s="4" t="str">
        <f>IFERROR(__xludf.DUMMYFUNCTION("""COMPUTED_VALUE"""),"2. Twix")</f>
        <v>2. Twix</v>
      </c>
      <c r="B554" s="4" t="str">
        <f>IFERROR(__xludf.DUMMYFUNCTION("""COMPUTED_VALUE"""),"2")</f>
        <v>2</v>
      </c>
      <c r="C554" s="5" t="str">
        <f>IFERROR(__xludf.DUMMYFUNCTION("""COMPUTED_VALUE"""),"https://drive.google.com/file/d/1ebug7D0ua_TG3KrCkM2stc6xphI9Xky4/view?usp=drivesdk")</f>
        <v>https://drive.google.com/file/d/1ebug7D0ua_TG3KrCkM2stc6xphI9Xky4/view?usp=drivesdk</v>
      </c>
      <c r="D554" s="12"/>
      <c r="E554" s="11">
        <v>610.0</v>
      </c>
      <c r="F554" s="2"/>
      <c r="I554" s="4"/>
    </row>
    <row r="555" ht="1.5" customHeight="1">
      <c r="A555" s="4" t="str">
        <f>IFERROR(__xludf.DUMMYFUNCTION("""COMPUTED_VALUE"""),"2. Twix")</f>
        <v>2. Twix</v>
      </c>
      <c r="B555" s="4" t="str">
        <f>IFERROR(__xludf.DUMMYFUNCTION("""COMPUTED_VALUE"""),"2")</f>
        <v>2</v>
      </c>
      <c r="C555" s="5" t="str">
        <f>IFERROR(__xludf.DUMMYFUNCTION("""COMPUTED_VALUE"""),"https://drive.google.com/file/d/1Q6ercdkZyuh2YHK0KSg6STaRmT2hIQJz/view?usp=drivesdk")</f>
        <v>https://drive.google.com/file/d/1Q6ercdkZyuh2YHK0KSg6STaRmT2hIQJz/view?usp=drivesdk</v>
      </c>
      <c r="D555" s="12"/>
      <c r="E555" s="6">
        <v>611.0</v>
      </c>
      <c r="F555" s="2"/>
      <c r="I555" s="4"/>
    </row>
    <row r="556" ht="1.5" customHeight="1">
      <c r="A556" s="4" t="str">
        <f>IFERROR(__xludf.DUMMYFUNCTION("""COMPUTED_VALUE"""),"3. Ford F-150")</f>
        <v>3. Ford F-150</v>
      </c>
      <c r="B556" s="4" t="str">
        <f>IFERROR(__xludf.DUMMYFUNCTION("""COMPUTED_VALUE"""),"3")</f>
        <v>3</v>
      </c>
      <c r="C556" s="5" t="str">
        <f>IFERROR(__xludf.DUMMYFUNCTION("""COMPUTED_VALUE"""),"https://drive.google.com/file/d/1R_yJMdjRI75ZFl5tIrggiWDOwBUibovT/view?usp=drivesdk")</f>
        <v>https://drive.google.com/file/d/1R_yJMdjRI75ZFl5tIrggiWDOwBUibovT/view?usp=drivesdk</v>
      </c>
      <c r="D556" s="12"/>
      <c r="E556" s="6">
        <v>612.0</v>
      </c>
      <c r="F556" s="2"/>
      <c r="I556" s="4"/>
    </row>
    <row r="557" ht="1.5" customHeight="1">
      <c r="A557" s="4" t="str">
        <f>IFERROR(__xludf.DUMMYFUNCTION("""COMPUTED_VALUE"""),"2. Twix")</f>
        <v>2. Twix</v>
      </c>
      <c r="B557" s="4" t="str">
        <f>IFERROR(__xludf.DUMMYFUNCTION("""COMPUTED_VALUE"""),"2")</f>
        <v>2</v>
      </c>
      <c r="C557" s="5" t="str">
        <f>IFERROR(__xludf.DUMMYFUNCTION("""COMPUTED_VALUE"""),"https://drive.google.com/file/d/1msctWiDIBeCHLOvJRpW_aweEArB82tS2/view?usp=drivesdk")</f>
        <v>https://drive.google.com/file/d/1msctWiDIBeCHLOvJRpW_aweEArB82tS2/view?usp=drivesdk</v>
      </c>
      <c r="D557" s="12"/>
      <c r="E557" s="6">
        <v>613.0</v>
      </c>
      <c r="F557" s="2"/>
      <c r="I557" s="4"/>
    </row>
    <row r="558" ht="1.5" customHeight="1">
      <c r="A558" s="4" t="str">
        <f>IFERROR(__xludf.DUMMYFUNCTION("""COMPUTED_VALUE"""),"3. Ford F-150")</f>
        <v>3. Ford F-150</v>
      </c>
      <c r="B558" s="4" t="str">
        <f>IFERROR(__xludf.DUMMYFUNCTION("""COMPUTED_VALUE"""),"3")</f>
        <v>3</v>
      </c>
      <c r="C558" s="5" t="str">
        <f>IFERROR(__xludf.DUMMYFUNCTION("""COMPUTED_VALUE"""),"https://drive.google.com/file/d/1CPzSALBhTJYtx3RkMdFUk6vMBFJMmM8h/view?usp=drivesdk")</f>
        <v>https://drive.google.com/file/d/1CPzSALBhTJYtx3RkMdFUk6vMBFJMmM8h/view?usp=drivesdk</v>
      </c>
      <c r="D558" s="12"/>
      <c r="E558" s="11">
        <v>614.0</v>
      </c>
      <c r="F558" s="2"/>
      <c r="I558" s="4"/>
    </row>
    <row r="559" ht="1.5" customHeight="1">
      <c r="A559" s="4" t="str">
        <f>IFERROR(__xludf.DUMMYFUNCTION("""COMPUTED_VALUE"""),"2. Twix")</f>
        <v>2. Twix</v>
      </c>
      <c r="B559" s="4" t="str">
        <f>IFERROR(__xludf.DUMMYFUNCTION("""COMPUTED_VALUE"""),"2")</f>
        <v>2</v>
      </c>
      <c r="C559" s="5" t="str">
        <f>IFERROR(__xludf.DUMMYFUNCTION("""COMPUTED_VALUE"""),"https://drive.google.com/file/d/197Q85Elqg_NqCYKf_yOZlkV_LsvAUJZi/view?usp=drivesdk")</f>
        <v>https://drive.google.com/file/d/197Q85Elqg_NqCYKf_yOZlkV_LsvAUJZi/view?usp=drivesdk</v>
      </c>
      <c r="D559" s="12"/>
      <c r="E559" s="6">
        <v>615.0</v>
      </c>
      <c r="F559" s="2"/>
      <c r="I559" s="4"/>
    </row>
    <row r="560" ht="1.5" customHeight="1">
      <c r="A560" s="4" t="str">
        <f>IFERROR(__xludf.DUMMYFUNCTION("""COMPUTED_VALUE"""),"4. Eggs")</f>
        <v>4. Eggs</v>
      </c>
      <c r="B560" s="4" t="str">
        <f>IFERROR(__xludf.DUMMYFUNCTION("""COMPUTED_VALUE"""),"4")</f>
        <v>4</v>
      </c>
      <c r="C560" s="5" t="str">
        <f>IFERROR(__xludf.DUMMYFUNCTION("""COMPUTED_VALUE"""),"https://drive.google.com/file/d/1zpXXG7ovA3KiAT7WyMukAWhTVXSngSm4/view?usp=drivesdk")</f>
        <v>https://drive.google.com/file/d/1zpXXG7ovA3KiAT7WyMukAWhTVXSngSm4/view?usp=drivesdk</v>
      </c>
      <c r="D560" s="12"/>
      <c r="E560" s="11">
        <v>616.0</v>
      </c>
      <c r="F560" s="2"/>
      <c r="I560" s="4"/>
    </row>
    <row r="561" ht="1.5" customHeight="1">
      <c r="A561" s="4" t="str">
        <f>IFERROR(__xludf.DUMMYFUNCTION("""COMPUTED_VALUE"""),"3. Ford F-150")</f>
        <v>3. Ford F-150</v>
      </c>
      <c r="B561" s="4" t="str">
        <f>IFERROR(__xludf.DUMMYFUNCTION("""COMPUTED_VALUE"""),"3")</f>
        <v>3</v>
      </c>
      <c r="C561" s="5" t="str">
        <f>IFERROR(__xludf.DUMMYFUNCTION("""COMPUTED_VALUE"""),"https://drive.google.com/file/d/1l7Ha8cLHp8_8nM9nYwJV72bX0WYZa5NG/view?usp=drivesdk")</f>
        <v>https://drive.google.com/file/d/1l7Ha8cLHp8_8nM9nYwJV72bX0WYZa5NG/view?usp=drivesdk</v>
      </c>
      <c r="D561" s="12"/>
      <c r="E561" s="6">
        <v>617.0</v>
      </c>
      <c r="F561" s="2"/>
      <c r="I561" s="4"/>
    </row>
    <row r="562" ht="1.5" customHeight="1">
      <c r="A562" s="4" t="str">
        <f>IFERROR(__xludf.DUMMYFUNCTION("""COMPUTED_VALUE"""),"3. Ford F-150")</f>
        <v>3. Ford F-150</v>
      </c>
      <c r="B562" s="4" t="str">
        <f>IFERROR(__xludf.DUMMYFUNCTION("""COMPUTED_VALUE"""),"3")</f>
        <v>3</v>
      </c>
      <c r="C562" s="5" t="str">
        <f>IFERROR(__xludf.DUMMYFUNCTION("""COMPUTED_VALUE"""),"https://drive.google.com/file/d/1Tu-EsSZCNmk_cRzr6UJWw0ta2E9Pm-4G/view?usp=drivesdk")</f>
        <v>https://drive.google.com/file/d/1Tu-EsSZCNmk_cRzr6UJWw0ta2E9Pm-4G/view?usp=drivesdk</v>
      </c>
      <c r="D562" s="12"/>
      <c r="E562" s="6">
        <v>618.0</v>
      </c>
      <c r="F562" s="2"/>
      <c r="I562" s="4"/>
    </row>
    <row r="563" ht="1.5" customHeight="1">
      <c r="A563" s="4" t="str">
        <f>IFERROR(__xludf.DUMMYFUNCTION("""COMPUTED_VALUE"""),"5. Eraser")</f>
        <v>5. Eraser</v>
      </c>
      <c r="B563" s="4" t="str">
        <f>IFERROR(__xludf.DUMMYFUNCTION("""COMPUTED_VALUE"""),"5")</f>
        <v>5</v>
      </c>
      <c r="C563" s="5" t="str">
        <f>IFERROR(__xludf.DUMMYFUNCTION("""COMPUTED_VALUE"""),"https://drive.google.com/file/d/1c3LWMwv8AxrLmUlviqO5K-PeNQgPM9JY/view?usp=drivesdk")</f>
        <v>https://drive.google.com/file/d/1c3LWMwv8AxrLmUlviqO5K-PeNQgPM9JY/view?usp=drivesdk</v>
      </c>
      <c r="D563" s="12"/>
      <c r="E563" s="6">
        <v>619.0</v>
      </c>
      <c r="F563" s="2"/>
      <c r="I563" s="4"/>
    </row>
    <row r="564" ht="1.5" customHeight="1">
      <c r="A564" s="4" t="str">
        <f>IFERROR(__xludf.DUMMYFUNCTION("""COMPUTED_VALUE"""),"5. Eraser")</f>
        <v>5. Eraser</v>
      </c>
      <c r="B564" s="4" t="str">
        <f>IFERROR(__xludf.DUMMYFUNCTION("""COMPUTED_VALUE"""),"5")</f>
        <v>5</v>
      </c>
      <c r="C564" s="5" t="str">
        <f>IFERROR(__xludf.DUMMYFUNCTION("""COMPUTED_VALUE"""),"https://drive.google.com/file/d/1Xc86eDtW1_VD8AwrZUuQcfbsrSBni_7x/view?usp=drivesdk")</f>
        <v>https://drive.google.com/file/d/1Xc86eDtW1_VD8AwrZUuQcfbsrSBni_7x/view?usp=drivesdk</v>
      </c>
      <c r="D564" s="12"/>
      <c r="E564" s="11">
        <v>620.0</v>
      </c>
      <c r="F564" s="2"/>
      <c r="I564" s="4"/>
    </row>
    <row r="565" ht="1.5" customHeight="1">
      <c r="A565" s="4" t="str">
        <f>IFERROR(__xludf.DUMMYFUNCTION("""COMPUTED_VALUE"""),"5. Eraser, 4. Eggs")</f>
        <v>5. Eraser, 4. Eggs</v>
      </c>
      <c r="B565" s="4" t="str">
        <f>IFERROR(__xludf.DUMMYFUNCTION("""COMPUTED_VALUE"""),"5, 4")</f>
        <v>5, 4</v>
      </c>
      <c r="C565" s="5" t="str">
        <f>IFERROR(__xludf.DUMMYFUNCTION("""COMPUTED_VALUE"""),"https://drive.google.com/file/d/16K0O2NZzL7SbHsi4Z3LNRK4rxQtk70uj/view?usp=drivesdk")</f>
        <v>https://drive.google.com/file/d/16K0O2NZzL7SbHsi4Z3LNRK4rxQtk70uj/view?usp=drivesdk</v>
      </c>
      <c r="D565" s="12"/>
      <c r="E565" s="6">
        <v>621.0</v>
      </c>
      <c r="F565" s="2"/>
      <c r="I565" s="4"/>
    </row>
    <row r="566" ht="1.5" customHeight="1">
      <c r="A566" s="4" t="str">
        <f>IFERROR(__xludf.DUMMYFUNCTION("""COMPUTED_VALUE"""),"5. Eraser")</f>
        <v>5. Eraser</v>
      </c>
      <c r="B566" s="4" t="str">
        <f>IFERROR(__xludf.DUMMYFUNCTION("""COMPUTED_VALUE"""),"5")</f>
        <v>5</v>
      </c>
      <c r="C566" s="5" t="str">
        <f>IFERROR(__xludf.DUMMYFUNCTION("""COMPUTED_VALUE"""),"https://drive.google.com/file/d/1g6cyWkMa7e9GBo-PAGfwjLdoB0dzL_LG/view?usp=drivesdk")</f>
        <v>https://drive.google.com/file/d/1g6cyWkMa7e9GBo-PAGfwjLdoB0dzL_LG/view?usp=drivesdk</v>
      </c>
      <c r="D566" s="12"/>
      <c r="E566" s="11">
        <v>622.0</v>
      </c>
      <c r="F566" s="2"/>
      <c r="I566" s="4"/>
    </row>
    <row r="567" ht="1.5" customHeight="1">
      <c r="A567" s="4" t="str">
        <f>IFERROR(__xludf.DUMMYFUNCTION("""COMPUTED_VALUE"""),"3. Ford F-150")</f>
        <v>3. Ford F-150</v>
      </c>
      <c r="B567" s="4" t="str">
        <f>IFERROR(__xludf.DUMMYFUNCTION("""COMPUTED_VALUE"""),"3")</f>
        <v>3</v>
      </c>
      <c r="C567" s="5" t="str">
        <f>IFERROR(__xludf.DUMMYFUNCTION("""COMPUTED_VALUE"""),"https://drive.google.com/file/d/1edgIWVgK6Jj7CCQNxyJ6LgqqDAa2XQOw/view?usp=drivesdk")</f>
        <v>https://drive.google.com/file/d/1edgIWVgK6Jj7CCQNxyJ6LgqqDAa2XQOw/view?usp=drivesdk</v>
      </c>
      <c r="D567" s="12"/>
      <c r="E567" s="6">
        <v>623.0</v>
      </c>
      <c r="F567" s="2"/>
      <c r="I567" s="4"/>
    </row>
    <row r="568" ht="1.5" customHeight="1">
      <c r="A568" s="4" t="str">
        <f>IFERROR(__xludf.DUMMYFUNCTION("""COMPUTED_VALUE"""),"5. Eraser")</f>
        <v>5. Eraser</v>
      </c>
      <c r="B568" s="4" t="str">
        <f>IFERROR(__xludf.DUMMYFUNCTION("""COMPUTED_VALUE"""),"5")</f>
        <v>5</v>
      </c>
      <c r="C568" s="5" t="str">
        <f>IFERROR(__xludf.DUMMYFUNCTION("""COMPUTED_VALUE"""),"https://drive.google.com/file/d/1ZUtJ-F8EehV-60PYIgYQ7eONE2b4TBmz/view?usp=drivesdk")</f>
        <v>https://drive.google.com/file/d/1ZUtJ-F8EehV-60PYIgYQ7eONE2b4TBmz/view?usp=drivesdk</v>
      </c>
      <c r="D568" s="12"/>
      <c r="E568" s="6">
        <v>624.0</v>
      </c>
      <c r="F568" s="2"/>
      <c r="I568" s="4"/>
    </row>
    <row r="569" ht="1.5" customHeight="1">
      <c r="A569" s="4" t="str">
        <f>IFERROR(__xludf.DUMMYFUNCTION("""COMPUTED_VALUE"""),"3. Ford F-150")</f>
        <v>3. Ford F-150</v>
      </c>
      <c r="B569" s="4" t="str">
        <f>IFERROR(__xludf.DUMMYFUNCTION("""COMPUTED_VALUE"""),"3")</f>
        <v>3</v>
      </c>
      <c r="C569" s="5" t="str">
        <f>IFERROR(__xludf.DUMMYFUNCTION("""COMPUTED_VALUE"""),"https://drive.google.com/file/d/17lWrfD6vBvWiAljK9UJpkW4qTPYMtad4/view?usp=drivesdk")</f>
        <v>https://drive.google.com/file/d/17lWrfD6vBvWiAljK9UJpkW4qTPYMtad4/view?usp=drivesdk</v>
      </c>
      <c r="D569" s="12"/>
      <c r="E569" s="6">
        <v>625.0</v>
      </c>
      <c r="F569" s="2"/>
      <c r="I569" s="4"/>
    </row>
    <row r="570" ht="1.5" customHeight="1">
      <c r="A570" s="4" t="str">
        <f>IFERROR(__xludf.DUMMYFUNCTION("""COMPUTED_VALUE"""),"5. Eraser, 4. Eggs")</f>
        <v>5. Eraser, 4. Eggs</v>
      </c>
      <c r="B570" s="4" t="str">
        <f>IFERROR(__xludf.DUMMYFUNCTION("""COMPUTED_VALUE"""),"5, 4")</f>
        <v>5, 4</v>
      </c>
      <c r="C570" s="5" t="str">
        <f>IFERROR(__xludf.DUMMYFUNCTION("""COMPUTED_VALUE"""),"https://drive.google.com/file/d/1cSc4ukppUQQlz0FKjyZkAJHq3qHs-H2g/view?usp=drivesdk")</f>
        <v>https://drive.google.com/file/d/1cSc4ukppUQQlz0FKjyZkAJHq3qHs-H2g/view?usp=drivesdk</v>
      </c>
      <c r="D570" s="12"/>
      <c r="E570" s="11">
        <v>626.0</v>
      </c>
      <c r="F570" s="2"/>
      <c r="I570" s="4"/>
    </row>
    <row r="571" ht="1.5" customHeight="1">
      <c r="A571" s="4" t="str">
        <f>IFERROR(__xludf.DUMMYFUNCTION("""COMPUTED_VALUE"""),"5. Eraser")</f>
        <v>5. Eraser</v>
      </c>
      <c r="B571" s="4" t="str">
        <f>IFERROR(__xludf.DUMMYFUNCTION("""COMPUTED_VALUE"""),"5")</f>
        <v>5</v>
      </c>
      <c r="C571" s="5" t="str">
        <f>IFERROR(__xludf.DUMMYFUNCTION("""COMPUTED_VALUE"""),"https://drive.google.com/file/d/1CBfSj9E5bmvC905csP75BhlUjRFZE6wl/view?usp=drivesdk")</f>
        <v>https://drive.google.com/file/d/1CBfSj9E5bmvC905csP75BhlUjRFZE6wl/view?usp=drivesdk</v>
      </c>
      <c r="D571" s="12"/>
      <c r="E571" s="6">
        <v>627.0</v>
      </c>
      <c r="F571" s="2"/>
      <c r="I571" s="4"/>
    </row>
    <row r="572" ht="1.5" customHeight="1">
      <c r="A572" s="4" t="str">
        <f>IFERROR(__xludf.DUMMYFUNCTION("""COMPUTED_VALUE"""),"5. Eraser, 4. Eggs")</f>
        <v>5. Eraser, 4. Eggs</v>
      </c>
      <c r="B572" s="4" t="str">
        <f>IFERROR(__xludf.DUMMYFUNCTION("""COMPUTED_VALUE"""),"5, 4")</f>
        <v>5, 4</v>
      </c>
      <c r="C572" s="5" t="str">
        <f>IFERROR(__xludf.DUMMYFUNCTION("""COMPUTED_VALUE"""),"https://drive.google.com/file/d/1JO4JUTlzWCipQ991KQR0Q87o9NY1ME9d/view?usp=drivesdk")</f>
        <v>https://drive.google.com/file/d/1JO4JUTlzWCipQ991KQR0Q87o9NY1ME9d/view?usp=drivesdk</v>
      </c>
      <c r="D572" s="12"/>
      <c r="E572" s="11">
        <v>628.0</v>
      </c>
      <c r="F572" s="2"/>
      <c r="I572" s="4"/>
    </row>
    <row r="573" ht="1.5" customHeight="1">
      <c r="A573" s="4" t="str">
        <f>IFERROR(__xludf.DUMMYFUNCTION("""COMPUTED_VALUE"""),"5. Eraser")</f>
        <v>5. Eraser</v>
      </c>
      <c r="B573" s="4" t="str">
        <f>IFERROR(__xludf.DUMMYFUNCTION("""COMPUTED_VALUE"""),"5")</f>
        <v>5</v>
      </c>
      <c r="C573" s="5" t="str">
        <f>IFERROR(__xludf.DUMMYFUNCTION("""COMPUTED_VALUE"""),"https://drive.google.com/file/d/1t1SZ9TiwtB3W0Sc9Y0HpqTy95S7NR7RD/view?usp=drivesdk")</f>
        <v>https://drive.google.com/file/d/1t1SZ9TiwtB3W0Sc9Y0HpqTy95S7NR7RD/view?usp=drivesdk</v>
      </c>
      <c r="D573" s="12"/>
      <c r="E573" s="6">
        <v>629.0</v>
      </c>
      <c r="F573" s="2"/>
      <c r="I573" s="4"/>
    </row>
    <row r="574" ht="1.5" customHeight="1">
      <c r="A574" s="4" t="str">
        <f>IFERROR(__xludf.DUMMYFUNCTION("""COMPUTED_VALUE"""),"3. Ford F-150")</f>
        <v>3. Ford F-150</v>
      </c>
      <c r="B574" s="4" t="str">
        <f>IFERROR(__xludf.DUMMYFUNCTION("""COMPUTED_VALUE"""),"3")</f>
        <v>3</v>
      </c>
      <c r="C574" s="5" t="str">
        <f>IFERROR(__xludf.DUMMYFUNCTION("""COMPUTED_VALUE"""),"https://drive.google.com/file/d/1xtCNJpkgteaXmsSPqOOiJ7F5QNSpamtO/view?usp=drivesdk")</f>
        <v>https://drive.google.com/file/d/1xtCNJpkgteaXmsSPqOOiJ7F5QNSpamtO/view?usp=drivesdk</v>
      </c>
      <c r="D574" s="12"/>
      <c r="E574" s="6">
        <v>630.0</v>
      </c>
      <c r="F574" s="2"/>
      <c r="I574" s="4"/>
    </row>
    <row r="575" ht="1.5" customHeight="1">
      <c r="A575" s="4" t="str">
        <f>IFERROR(__xludf.DUMMYFUNCTION("""COMPUTED_VALUE"""),"3. Ford F-150")</f>
        <v>3. Ford F-150</v>
      </c>
      <c r="B575" s="4" t="str">
        <f>IFERROR(__xludf.DUMMYFUNCTION("""COMPUTED_VALUE"""),"3")</f>
        <v>3</v>
      </c>
      <c r="C575" s="5" t="str">
        <f>IFERROR(__xludf.DUMMYFUNCTION("""COMPUTED_VALUE"""),"https://drive.google.com/file/d/1raIPeVTg1Vv5T4WcqO0RMYaIKn-A6DaZ/view?usp=drivesdk")</f>
        <v>https://drive.google.com/file/d/1raIPeVTg1Vv5T4WcqO0RMYaIKn-A6DaZ/view?usp=drivesdk</v>
      </c>
      <c r="D575" s="12"/>
      <c r="E575" s="6">
        <v>631.0</v>
      </c>
      <c r="F575" s="2"/>
      <c r="I575" s="4"/>
    </row>
    <row r="576" ht="1.5" customHeight="1">
      <c r="A576" s="4" t="str">
        <f>IFERROR(__xludf.DUMMYFUNCTION("""COMPUTED_VALUE"""),"2. Twix")</f>
        <v>2. Twix</v>
      </c>
      <c r="B576" s="4" t="str">
        <f>IFERROR(__xludf.DUMMYFUNCTION("""COMPUTED_VALUE"""),"2")</f>
        <v>2</v>
      </c>
      <c r="C576" s="5" t="str">
        <f>IFERROR(__xludf.DUMMYFUNCTION("""COMPUTED_VALUE"""),"https://drive.google.com/file/d/167AnF_51iYNfSZqMN79kCTRxng2BXQ9j/view?usp=drivesdk")</f>
        <v>https://drive.google.com/file/d/167AnF_51iYNfSZqMN79kCTRxng2BXQ9j/view?usp=drivesdk</v>
      </c>
      <c r="D576" s="12"/>
      <c r="E576" s="11">
        <v>632.0</v>
      </c>
      <c r="F576" s="2"/>
      <c r="I576" s="4"/>
    </row>
    <row r="577" ht="1.5" customHeight="1">
      <c r="A577" s="4" t="str">
        <f>IFERROR(__xludf.DUMMYFUNCTION("""COMPUTED_VALUE"""),"2. Twix")</f>
        <v>2. Twix</v>
      </c>
      <c r="B577" s="4" t="str">
        <f>IFERROR(__xludf.DUMMYFUNCTION("""COMPUTED_VALUE"""),"2")</f>
        <v>2</v>
      </c>
      <c r="C577" s="5" t="str">
        <f>IFERROR(__xludf.DUMMYFUNCTION("""COMPUTED_VALUE"""),"https://drive.google.com/file/d/1Z3v6yapUa9SgAgdfDfghtH3w02mZMPgh/view?usp=drivesdk")</f>
        <v>https://drive.google.com/file/d/1Z3v6yapUa9SgAgdfDfghtH3w02mZMPgh/view?usp=drivesdk</v>
      </c>
      <c r="D577" s="12"/>
      <c r="E577" s="6">
        <v>633.0</v>
      </c>
      <c r="F577" s="2"/>
      <c r="I577" s="4"/>
    </row>
    <row r="578" ht="1.5" customHeight="1">
      <c r="A578" s="4" t="str">
        <f>IFERROR(__xludf.DUMMYFUNCTION("""COMPUTED_VALUE"""),"2. Twix")</f>
        <v>2. Twix</v>
      </c>
      <c r="B578" s="4" t="str">
        <f>IFERROR(__xludf.DUMMYFUNCTION("""COMPUTED_VALUE"""),"2")</f>
        <v>2</v>
      </c>
      <c r="C578" s="5" t="str">
        <f>IFERROR(__xludf.DUMMYFUNCTION("""COMPUTED_VALUE"""),"https://drive.google.com/file/d/1-WXK_rq0kKT9i61g7iV8BycD1ZQNeI3s/view?usp=drivesdk")</f>
        <v>https://drive.google.com/file/d/1-WXK_rq0kKT9i61g7iV8BycD1ZQNeI3s/view?usp=drivesdk</v>
      </c>
      <c r="D578" s="12"/>
      <c r="E578" s="11">
        <v>634.0</v>
      </c>
      <c r="F578" s="2"/>
      <c r="I578" s="4"/>
    </row>
    <row r="579" ht="1.5" customHeight="1">
      <c r="A579" s="4" t="str">
        <f>IFERROR(__xludf.DUMMYFUNCTION("""COMPUTED_VALUE"""),"2. Twix")</f>
        <v>2. Twix</v>
      </c>
      <c r="B579" s="4" t="str">
        <f>IFERROR(__xludf.DUMMYFUNCTION("""COMPUTED_VALUE"""),"2")</f>
        <v>2</v>
      </c>
      <c r="C579" s="5" t="str">
        <f>IFERROR(__xludf.DUMMYFUNCTION("""COMPUTED_VALUE"""),"https://drive.google.com/file/d/1rOPLcn-CNZaL0lq9AOEn6WN_-NMdvHh2/view?usp=drivesdk")</f>
        <v>https://drive.google.com/file/d/1rOPLcn-CNZaL0lq9AOEn6WN_-NMdvHh2/view?usp=drivesdk</v>
      </c>
      <c r="D579" s="12"/>
      <c r="E579" s="6">
        <v>635.0</v>
      </c>
      <c r="F579" s="2"/>
      <c r="I579" s="4"/>
    </row>
    <row r="580" ht="1.5" customHeight="1">
      <c r="A580" s="4" t="str">
        <f>IFERROR(__xludf.DUMMYFUNCTION("""COMPUTED_VALUE"""),"2. Twix")</f>
        <v>2. Twix</v>
      </c>
      <c r="B580" s="4" t="str">
        <f>IFERROR(__xludf.DUMMYFUNCTION("""COMPUTED_VALUE"""),"2")</f>
        <v>2</v>
      </c>
      <c r="C580" s="5" t="str">
        <f>IFERROR(__xludf.DUMMYFUNCTION("""COMPUTED_VALUE"""),"https://drive.google.com/file/d/1dV7admZeGnLu9y-DPeMrwHReEpcaDo6k/view?usp=drivesdk")</f>
        <v>https://drive.google.com/file/d/1dV7admZeGnLu9y-DPeMrwHReEpcaDo6k/view?usp=drivesdk</v>
      </c>
      <c r="D580" s="12"/>
      <c r="E580" s="6">
        <v>636.0</v>
      </c>
      <c r="F580" s="2"/>
      <c r="I580" s="4"/>
    </row>
    <row r="581" ht="1.5" customHeight="1">
      <c r="A581" s="4" t="str">
        <f>IFERROR(__xludf.DUMMYFUNCTION("""COMPUTED_VALUE"""),"5. Eraser, 4. Eggs")</f>
        <v>5. Eraser, 4. Eggs</v>
      </c>
      <c r="B581" s="4" t="str">
        <f>IFERROR(__xludf.DUMMYFUNCTION("""COMPUTED_VALUE"""),"5, 4")</f>
        <v>5, 4</v>
      </c>
      <c r="C581" s="5" t="str">
        <f>IFERROR(__xludf.DUMMYFUNCTION("""COMPUTED_VALUE"""),"https://drive.google.com/file/d/1EKjnbBGbfWCg7r72I2VeXqqAmGtc7yko/view?usp=drivesdk")</f>
        <v>https://drive.google.com/file/d/1EKjnbBGbfWCg7r72I2VeXqqAmGtc7yko/view?usp=drivesdk</v>
      </c>
      <c r="D581" s="12"/>
      <c r="E581" s="6">
        <v>637.0</v>
      </c>
      <c r="F581" s="2"/>
      <c r="I581" s="4"/>
    </row>
    <row r="582" ht="1.5" customHeight="1">
      <c r="A582" s="4" t="str">
        <f>IFERROR(__xludf.DUMMYFUNCTION("""COMPUTED_VALUE"""),"5. Eraser, 4. Eggs")</f>
        <v>5. Eraser, 4. Eggs</v>
      </c>
      <c r="B582" s="4" t="str">
        <f>IFERROR(__xludf.DUMMYFUNCTION("""COMPUTED_VALUE"""),"5, 4")</f>
        <v>5, 4</v>
      </c>
      <c r="C582" s="5" t="str">
        <f>IFERROR(__xludf.DUMMYFUNCTION("""COMPUTED_VALUE"""),"https://drive.google.com/file/d/1BF-a2oQGKUbR_tTDyY8p09AnesThAGtK/view?usp=drivesdk")</f>
        <v>https://drive.google.com/file/d/1BF-a2oQGKUbR_tTDyY8p09AnesThAGtK/view?usp=drivesdk</v>
      </c>
      <c r="D582" s="12"/>
      <c r="E582" s="11">
        <v>638.0</v>
      </c>
      <c r="F582" s="2"/>
      <c r="I582" s="4"/>
    </row>
    <row r="583" ht="1.5" customHeight="1">
      <c r="A583" s="4" t="str">
        <f>IFERROR(__xludf.DUMMYFUNCTION("""COMPUTED_VALUE"""),"2. Twix")</f>
        <v>2. Twix</v>
      </c>
      <c r="B583" s="4" t="str">
        <f>IFERROR(__xludf.DUMMYFUNCTION("""COMPUTED_VALUE"""),"2")</f>
        <v>2</v>
      </c>
      <c r="C583" s="5" t="str">
        <f>IFERROR(__xludf.DUMMYFUNCTION("""COMPUTED_VALUE"""),"https://drive.google.com/file/d/1ot09aI_Ny7MVggvdGp8UK0NcJ4vFi781/view?usp=drivesdk")</f>
        <v>https://drive.google.com/file/d/1ot09aI_Ny7MVggvdGp8UK0NcJ4vFi781/view?usp=drivesdk</v>
      </c>
      <c r="D583" s="12"/>
      <c r="E583" s="6">
        <v>639.0</v>
      </c>
      <c r="F583" s="2"/>
      <c r="I583" s="4"/>
    </row>
    <row r="584" ht="1.5" customHeight="1">
      <c r="A584" s="4" t="str">
        <f>IFERROR(__xludf.DUMMYFUNCTION("""COMPUTED_VALUE"""),"5. Eraser, 4. Eggs")</f>
        <v>5. Eraser, 4. Eggs</v>
      </c>
      <c r="B584" s="4" t="str">
        <f>IFERROR(__xludf.DUMMYFUNCTION("""COMPUTED_VALUE"""),"5, 4")</f>
        <v>5, 4</v>
      </c>
      <c r="C584" s="5" t="str">
        <f>IFERROR(__xludf.DUMMYFUNCTION("""COMPUTED_VALUE"""),"https://drive.google.com/file/d/1MfFhUnIyAKzF_eIFh4KaDMSQjs8I7fmS/view?usp=drivesdk")</f>
        <v>https://drive.google.com/file/d/1MfFhUnIyAKzF_eIFh4KaDMSQjs8I7fmS/view?usp=drivesdk</v>
      </c>
      <c r="D584" s="12"/>
      <c r="E584" s="11">
        <v>640.0</v>
      </c>
      <c r="F584" s="2"/>
      <c r="I584" s="4"/>
    </row>
    <row r="585" ht="1.5" customHeight="1">
      <c r="A585" s="4" t="str">
        <f>IFERROR(__xludf.DUMMYFUNCTION("""COMPUTED_VALUE"""),"2. Twix")</f>
        <v>2. Twix</v>
      </c>
      <c r="B585" s="4" t="str">
        <f>IFERROR(__xludf.DUMMYFUNCTION("""COMPUTED_VALUE"""),"2")</f>
        <v>2</v>
      </c>
      <c r="C585" s="5" t="str">
        <f>IFERROR(__xludf.DUMMYFUNCTION("""COMPUTED_VALUE"""),"https://drive.google.com/file/d/1OvKYXjQ97gCh0zCuQlzGssgi3t2emgsY/view?usp=drivesdk")</f>
        <v>https://drive.google.com/file/d/1OvKYXjQ97gCh0zCuQlzGssgi3t2emgsY/view?usp=drivesdk</v>
      </c>
      <c r="D585" s="12"/>
      <c r="E585" s="6">
        <v>641.0</v>
      </c>
      <c r="F585" s="2"/>
      <c r="I585" s="4"/>
    </row>
    <row r="586" ht="1.5" customHeight="1">
      <c r="A586" s="4" t="str">
        <f>IFERROR(__xludf.DUMMYFUNCTION("""COMPUTED_VALUE"""),"2. Twix")</f>
        <v>2. Twix</v>
      </c>
      <c r="B586" s="4" t="str">
        <f>IFERROR(__xludf.DUMMYFUNCTION("""COMPUTED_VALUE"""),"2")</f>
        <v>2</v>
      </c>
      <c r="C586" s="5" t="str">
        <f>IFERROR(__xludf.DUMMYFUNCTION("""COMPUTED_VALUE"""),"https://drive.google.com/file/d/16afb_79c7NCqZaVlFxuJK5wtK81-w0ZZ/view?usp=drivesdk")</f>
        <v>https://drive.google.com/file/d/16afb_79c7NCqZaVlFxuJK5wtK81-w0ZZ/view?usp=drivesdk</v>
      </c>
      <c r="D586" s="12"/>
      <c r="E586" s="6">
        <v>642.0</v>
      </c>
      <c r="F586" s="2"/>
      <c r="I586" s="4"/>
    </row>
    <row r="587" ht="1.5" customHeight="1">
      <c r="A587" s="4" t="str">
        <f>IFERROR(__xludf.DUMMYFUNCTION("""COMPUTED_VALUE"""),"2. Twix")</f>
        <v>2. Twix</v>
      </c>
      <c r="B587" s="4" t="str">
        <f>IFERROR(__xludf.DUMMYFUNCTION("""COMPUTED_VALUE"""),"2")</f>
        <v>2</v>
      </c>
      <c r="C587" s="5" t="str">
        <f>IFERROR(__xludf.DUMMYFUNCTION("""COMPUTED_VALUE"""),"https://drive.google.com/file/d/1ZV2zaSbYEsYM1crIIQivBDtWUIuLq0t3/view?usp=drivesdk")</f>
        <v>https://drive.google.com/file/d/1ZV2zaSbYEsYM1crIIQivBDtWUIuLq0t3/view?usp=drivesdk</v>
      </c>
      <c r="D587" s="12"/>
      <c r="E587" s="6">
        <v>643.0</v>
      </c>
      <c r="F587" s="2"/>
      <c r="I587" s="4"/>
    </row>
    <row r="588" ht="1.5" customHeight="1">
      <c r="A588" s="4" t="str">
        <f>IFERROR(__xludf.DUMMYFUNCTION("""COMPUTED_VALUE"""),"5. Eraser")</f>
        <v>5. Eraser</v>
      </c>
      <c r="B588" s="4" t="str">
        <f>IFERROR(__xludf.DUMMYFUNCTION("""COMPUTED_VALUE"""),"5")</f>
        <v>5</v>
      </c>
      <c r="C588" s="5" t="str">
        <f>IFERROR(__xludf.DUMMYFUNCTION("""COMPUTED_VALUE"""),"https://drive.google.com/file/d/1Gd-iRiYEyPZBvCVINEu4b-HDmMVV_SDZ/view?usp=drivesdk")</f>
        <v>https://drive.google.com/file/d/1Gd-iRiYEyPZBvCVINEu4b-HDmMVV_SDZ/view?usp=drivesdk</v>
      </c>
      <c r="D588" s="12"/>
      <c r="E588" s="11">
        <v>644.0</v>
      </c>
      <c r="F588" s="2"/>
      <c r="I588" s="4"/>
    </row>
    <row r="589" ht="1.5" customHeight="1">
      <c r="A589" s="4" t="str">
        <f>IFERROR(__xludf.DUMMYFUNCTION("""COMPUTED_VALUE"""),"5. Eraser, 4. Eggs")</f>
        <v>5. Eraser, 4. Eggs</v>
      </c>
      <c r="B589" s="4" t="str">
        <f>IFERROR(__xludf.DUMMYFUNCTION("""COMPUTED_VALUE"""),"5, 4")</f>
        <v>5, 4</v>
      </c>
      <c r="C589" s="5" t="str">
        <f>IFERROR(__xludf.DUMMYFUNCTION("""COMPUTED_VALUE"""),"https://drive.google.com/file/d/1LQYGNs8B98_YuJJEhs4xVQF82HAJkmDJ/view?usp=drivesdk")</f>
        <v>https://drive.google.com/file/d/1LQYGNs8B98_YuJJEhs4xVQF82HAJkmDJ/view?usp=drivesdk</v>
      </c>
      <c r="D589" s="12"/>
      <c r="E589" s="6">
        <v>645.0</v>
      </c>
      <c r="F589" s="2"/>
      <c r="I589" s="4"/>
    </row>
    <row r="590" ht="1.5" customHeight="1">
      <c r="A590" s="4" t="str">
        <f>IFERROR(__xludf.DUMMYFUNCTION("""COMPUTED_VALUE"""),"2. Twix")</f>
        <v>2. Twix</v>
      </c>
      <c r="B590" s="4" t="str">
        <f>IFERROR(__xludf.DUMMYFUNCTION("""COMPUTED_VALUE"""),"2")</f>
        <v>2</v>
      </c>
      <c r="C590" s="5" t="str">
        <f>IFERROR(__xludf.DUMMYFUNCTION("""COMPUTED_VALUE"""),"https://drive.google.com/file/d/10Qjk4CTMuhh89g7N37HE9a27IHAqOEWo/view?usp=drivesdk")</f>
        <v>https://drive.google.com/file/d/10Qjk4CTMuhh89g7N37HE9a27IHAqOEWo/view?usp=drivesdk</v>
      </c>
      <c r="D590" s="12"/>
      <c r="E590" s="11">
        <v>646.0</v>
      </c>
      <c r="F590" s="2"/>
      <c r="I590" s="4"/>
    </row>
    <row r="591" ht="1.5" customHeight="1">
      <c r="A591" s="4" t="str">
        <f>IFERROR(__xludf.DUMMYFUNCTION("""COMPUTED_VALUE"""),"4. Eggs")</f>
        <v>4. Eggs</v>
      </c>
      <c r="B591" s="4" t="str">
        <f>IFERROR(__xludf.DUMMYFUNCTION("""COMPUTED_VALUE"""),"4")</f>
        <v>4</v>
      </c>
      <c r="C591" s="5" t="str">
        <f>IFERROR(__xludf.DUMMYFUNCTION("""COMPUTED_VALUE"""),"https://drive.google.com/file/d/1bjUeoXwHfQSvMPyoqgEI6MTj9PEXEIwg/view?usp=drivesdk")</f>
        <v>https://drive.google.com/file/d/1bjUeoXwHfQSvMPyoqgEI6MTj9PEXEIwg/view?usp=drivesdk</v>
      </c>
      <c r="D591" s="12"/>
      <c r="E591" s="6">
        <v>647.0</v>
      </c>
      <c r="F591" s="2"/>
      <c r="I591" s="4"/>
    </row>
    <row r="592" ht="1.5" customHeight="1">
      <c r="A592" s="4" t="str">
        <f>IFERROR(__xludf.DUMMYFUNCTION("""COMPUTED_VALUE"""),"5. Eraser, 4. Eggs")</f>
        <v>5. Eraser, 4. Eggs</v>
      </c>
      <c r="B592" s="4" t="str">
        <f>IFERROR(__xludf.DUMMYFUNCTION("""COMPUTED_VALUE"""),"5, 4")</f>
        <v>5, 4</v>
      </c>
      <c r="C592" s="5" t="str">
        <f>IFERROR(__xludf.DUMMYFUNCTION("""COMPUTED_VALUE"""),"https://drive.google.com/file/d/18rAp9_VXU16SICPFsSCmMxnDE_jSw1ge/view?usp=drivesdk")</f>
        <v>https://drive.google.com/file/d/18rAp9_VXU16SICPFsSCmMxnDE_jSw1ge/view?usp=drivesdk</v>
      </c>
      <c r="D592" s="12"/>
      <c r="E592" s="6">
        <v>648.0</v>
      </c>
      <c r="F592" s="2"/>
      <c r="I592" s="4"/>
    </row>
    <row r="593" ht="1.5" customHeight="1">
      <c r="A593" s="4" t="str">
        <f>IFERROR(__xludf.DUMMYFUNCTION("""COMPUTED_VALUE"""),"2. Twix")</f>
        <v>2. Twix</v>
      </c>
      <c r="B593" s="4" t="str">
        <f>IFERROR(__xludf.DUMMYFUNCTION("""COMPUTED_VALUE"""),"2")</f>
        <v>2</v>
      </c>
      <c r="C593" s="5" t="str">
        <f>IFERROR(__xludf.DUMMYFUNCTION("""COMPUTED_VALUE"""),"https://drive.google.com/file/d/1F-Bfsx4K5C6uHd9gduy-B1E-UUwu4-me/view?usp=drivesdk")</f>
        <v>https://drive.google.com/file/d/1F-Bfsx4K5C6uHd9gduy-B1E-UUwu4-me/view?usp=drivesdk</v>
      </c>
      <c r="D593" s="12"/>
      <c r="E593" s="6">
        <v>649.0</v>
      </c>
      <c r="F593" s="2"/>
      <c r="I593" s="4"/>
    </row>
    <row r="594" ht="1.5" customHeight="1">
      <c r="A594" s="4" t="str">
        <f>IFERROR(__xludf.DUMMYFUNCTION("""COMPUTED_VALUE"""),"2. Twix")</f>
        <v>2. Twix</v>
      </c>
      <c r="B594" s="4" t="str">
        <f>IFERROR(__xludf.DUMMYFUNCTION("""COMPUTED_VALUE"""),"2")</f>
        <v>2</v>
      </c>
      <c r="C594" s="5" t="str">
        <f>IFERROR(__xludf.DUMMYFUNCTION("""COMPUTED_VALUE"""),"https://drive.google.com/file/d/1QApdynO_0YMhf5WUYj0HHygSOJmCW5ay/view?usp=drivesdk")</f>
        <v>https://drive.google.com/file/d/1QApdynO_0YMhf5WUYj0HHygSOJmCW5ay/view?usp=drivesdk</v>
      </c>
      <c r="D594" s="12"/>
      <c r="E594" s="11">
        <v>650.0</v>
      </c>
      <c r="F594" s="2"/>
      <c r="I594" s="4"/>
    </row>
    <row r="595" ht="1.5" customHeight="1">
      <c r="A595" s="4" t="str">
        <f>IFERROR(__xludf.DUMMYFUNCTION("""COMPUTED_VALUE"""),"2. Twix")</f>
        <v>2. Twix</v>
      </c>
      <c r="B595" s="4" t="str">
        <f>IFERROR(__xludf.DUMMYFUNCTION("""COMPUTED_VALUE"""),"2")</f>
        <v>2</v>
      </c>
      <c r="C595" s="5" t="str">
        <f>IFERROR(__xludf.DUMMYFUNCTION("""COMPUTED_VALUE"""),"https://drive.google.com/file/d/16SaTE-hZ3wl2Qc14ASaJZFQmibzRScQK/view?usp=drivesdk")</f>
        <v>https://drive.google.com/file/d/16SaTE-hZ3wl2Qc14ASaJZFQmibzRScQK/view?usp=drivesdk</v>
      </c>
      <c r="D595" s="12"/>
      <c r="E595" s="6">
        <v>651.0</v>
      </c>
      <c r="F595" s="2"/>
      <c r="I595" s="4"/>
    </row>
    <row r="596" ht="1.5" customHeight="1">
      <c r="A596" s="4" t="str">
        <f>IFERROR(__xludf.DUMMYFUNCTION("""COMPUTED_VALUE"""),"2. Twix")</f>
        <v>2. Twix</v>
      </c>
      <c r="B596" s="4" t="str">
        <f>IFERROR(__xludf.DUMMYFUNCTION("""COMPUTED_VALUE"""),"2")</f>
        <v>2</v>
      </c>
      <c r="C596" s="5" t="str">
        <f>IFERROR(__xludf.DUMMYFUNCTION("""COMPUTED_VALUE"""),"https://drive.google.com/file/d/1Zy0vrplB0fF4F8JjUQVvcqeOa8e3dZoB/view?usp=drivesdk")</f>
        <v>https://drive.google.com/file/d/1Zy0vrplB0fF4F8JjUQVvcqeOa8e3dZoB/view?usp=drivesdk</v>
      </c>
      <c r="D596" s="12"/>
      <c r="E596" s="11">
        <v>652.0</v>
      </c>
      <c r="F596" s="2"/>
      <c r="I596" s="4"/>
    </row>
    <row r="597" ht="1.5" customHeight="1">
      <c r="A597" s="4" t="str">
        <f>IFERROR(__xludf.DUMMYFUNCTION("""COMPUTED_VALUE"""),"2. Twix")</f>
        <v>2. Twix</v>
      </c>
      <c r="B597" s="4" t="str">
        <f>IFERROR(__xludf.DUMMYFUNCTION("""COMPUTED_VALUE"""),"2")</f>
        <v>2</v>
      </c>
      <c r="C597" s="5" t="str">
        <f>IFERROR(__xludf.DUMMYFUNCTION("""COMPUTED_VALUE"""),"https://drive.google.com/file/d/1YzZvrUrtTbjw1yEKLlyuhmuHsqnWYQKC/view?usp=drivesdk")</f>
        <v>https://drive.google.com/file/d/1YzZvrUrtTbjw1yEKLlyuhmuHsqnWYQKC/view?usp=drivesdk</v>
      </c>
      <c r="D597" s="12"/>
      <c r="E597" s="6">
        <v>653.0</v>
      </c>
      <c r="F597" s="2"/>
      <c r="I597" s="4"/>
    </row>
    <row r="598" ht="1.5" customHeight="1">
      <c r="A598" s="4" t="str">
        <f>IFERROR(__xludf.DUMMYFUNCTION("""COMPUTED_VALUE"""),"2. Twix")</f>
        <v>2. Twix</v>
      </c>
      <c r="B598" s="4" t="str">
        <f>IFERROR(__xludf.DUMMYFUNCTION("""COMPUTED_VALUE"""),"2")</f>
        <v>2</v>
      </c>
      <c r="C598" s="5" t="str">
        <f>IFERROR(__xludf.DUMMYFUNCTION("""COMPUTED_VALUE"""),"https://drive.google.com/file/d/1UsqmBngLMDeAVWI-MT7ohggAPRAnpXmc/view?usp=drivesdk")</f>
        <v>https://drive.google.com/file/d/1UsqmBngLMDeAVWI-MT7ohggAPRAnpXmc/view?usp=drivesdk</v>
      </c>
      <c r="D598" s="12"/>
      <c r="E598" s="6">
        <v>654.0</v>
      </c>
      <c r="F598" s="2"/>
      <c r="I598" s="4"/>
    </row>
    <row r="599" ht="1.5" customHeight="1">
      <c r="A599" s="4" t="str">
        <f>IFERROR(__xludf.DUMMYFUNCTION("""COMPUTED_VALUE"""),"2. Twix")</f>
        <v>2. Twix</v>
      </c>
      <c r="B599" s="4" t="str">
        <f>IFERROR(__xludf.DUMMYFUNCTION("""COMPUTED_VALUE"""),"2")</f>
        <v>2</v>
      </c>
      <c r="C599" s="5" t="str">
        <f>IFERROR(__xludf.DUMMYFUNCTION("""COMPUTED_VALUE"""),"https://drive.google.com/file/d/1SVXWPLtt0IOCXq8yCJDlJBWxo55XJj4G/view?usp=drivesdk")</f>
        <v>https://drive.google.com/file/d/1SVXWPLtt0IOCXq8yCJDlJBWxo55XJj4G/view?usp=drivesdk</v>
      </c>
      <c r="D599" s="12"/>
      <c r="E599" s="6">
        <v>655.0</v>
      </c>
      <c r="F599" s="2"/>
      <c r="I599" s="4"/>
    </row>
    <row r="600" ht="1.5" customHeight="1">
      <c r="A600" s="4" t="str">
        <f>IFERROR(__xludf.DUMMYFUNCTION("""COMPUTED_VALUE"""),"2. Twix")</f>
        <v>2. Twix</v>
      </c>
      <c r="B600" s="4" t="str">
        <f>IFERROR(__xludf.DUMMYFUNCTION("""COMPUTED_VALUE"""),"2")</f>
        <v>2</v>
      </c>
      <c r="C600" s="5" t="str">
        <f>IFERROR(__xludf.DUMMYFUNCTION("""COMPUTED_VALUE"""),"https://drive.google.com/file/d/1rHrZhy3ghurc0GAi6rPD7fAQPCnLqjcy/view?usp=drivesdk")</f>
        <v>https://drive.google.com/file/d/1rHrZhy3ghurc0GAi6rPD7fAQPCnLqjcy/view?usp=drivesdk</v>
      </c>
      <c r="D600" s="12"/>
      <c r="E600" s="11">
        <v>656.0</v>
      </c>
      <c r="F600" s="2"/>
      <c r="I600" s="4"/>
    </row>
    <row r="601" ht="1.5" customHeight="1">
      <c r="A601" s="4" t="str">
        <f>IFERROR(__xludf.DUMMYFUNCTION("""COMPUTED_VALUE"""),"2. Twix")</f>
        <v>2. Twix</v>
      </c>
      <c r="B601" s="4" t="str">
        <f>IFERROR(__xludf.DUMMYFUNCTION("""COMPUTED_VALUE"""),"2")</f>
        <v>2</v>
      </c>
      <c r="C601" s="5" t="str">
        <f>IFERROR(__xludf.DUMMYFUNCTION("""COMPUTED_VALUE"""),"https://drive.google.com/file/d/1PwAkY1AVtSIGK5fapX_caKwJKT29f8SP/view?usp=drivesdk")</f>
        <v>https://drive.google.com/file/d/1PwAkY1AVtSIGK5fapX_caKwJKT29f8SP/view?usp=drivesdk</v>
      </c>
      <c r="D601" s="12"/>
      <c r="E601" s="6">
        <v>657.0</v>
      </c>
      <c r="F601" s="2"/>
      <c r="I601" s="4"/>
    </row>
    <row r="602" ht="1.5" customHeight="1">
      <c r="A602" s="4" t="str">
        <f>IFERROR(__xludf.DUMMYFUNCTION("""COMPUTED_VALUE"""),"2. Twix")</f>
        <v>2. Twix</v>
      </c>
      <c r="B602" s="4" t="str">
        <f>IFERROR(__xludf.DUMMYFUNCTION("""COMPUTED_VALUE"""),"2")</f>
        <v>2</v>
      </c>
      <c r="C602" s="5" t="str">
        <f>IFERROR(__xludf.DUMMYFUNCTION("""COMPUTED_VALUE"""),"https://drive.google.com/file/d/1lSMPZS9e3gZqo-q-YoR6YADs-PxS2Cn6/view?usp=drivesdk")</f>
        <v>https://drive.google.com/file/d/1lSMPZS9e3gZqo-q-YoR6YADs-PxS2Cn6/view?usp=drivesdk</v>
      </c>
      <c r="D602" s="12"/>
      <c r="E602" s="11">
        <v>658.0</v>
      </c>
      <c r="F602" s="2"/>
      <c r="I602" s="4"/>
    </row>
    <row r="603" ht="1.5" customHeight="1">
      <c r="A603" s="4" t="str">
        <f>IFERROR(__xludf.DUMMYFUNCTION("""COMPUTED_VALUE"""),"2. Twix")</f>
        <v>2. Twix</v>
      </c>
      <c r="B603" s="4" t="str">
        <f>IFERROR(__xludf.DUMMYFUNCTION("""COMPUTED_VALUE"""),"2")</f>
        <v>2</v>
      </c>
      <c r="C603" s="5" t="str">
        <f>IFERROR(__xludf.DUMMYFUNCTION("""COMPUTED_VALUE"""),"https://drive.google.com/file/d/1eBI_C4uz_pB5PbQ02KgyZSGDMfoYFrEV/view?usp=drivesdk")</f>
        <v>https://drive.google.com/file/d/1eBI_C4uz_pB5PbQ02KgyZSGDMfoYFrEV/view?usp=drivesdk</v>
      </c>
      <c r="D603" s="12"/>
      <c r="E603" s="6">
        <v>659.0</v>
      </c>
      <c r="F603" s="2"/>
      <c r="I603" s="4"/>
    </row>
    <row r="604" ht="1.5" customHeight="1">
      <c r="A604" s="4" t="str">
        <f>IFERROR(__xludf.DUMMYFUNCTION("""COMPUTED_VALUE"""),"2. Twix")</f>
        <v>2. Twix</v>
      </c>
      <c r="B604" s="4" t="str">
        <f>IFERROR(__xludf.DUMMYFUNCTION("""COMPUTED_VALUE"""),"2")</f>
        <v>2</v>
      </c>
      <c r="C604" s="5" t="str">
        <f>IFERROR(__xludf.DUMMYFUNCTION("""COMPUTED_VALUE"""),"https://drive.google.com/file/d/1gjFi1rTNFsqrapjVdNna0N70eb8b-Gbv/view?usp=drivesdk")</f>
        <v>https://drive.google.com/file/d/1gjFi1rTNFsqrapjVdNna0N70eb8b-Gbv/view?usp=drivesdk</v>
      </c>
      <c r="D604" s="12"/>
      <c r="E604" s="6">
        <v>660.0</v>
      </c>
      <c r="F604" s="2"/>
      <c r="I604" s="4"/>
    </row>
    <row r="605" ht="1.5" customHeight="1">
      <c r="A605" s="4" t="str">
        <f>IFERROR(__xludf.DUMMYFUNCTION("""COMPUTED_VALUE"""),"2. Twix")</f>
        <v>2. Twix</v>
      </c>
      <c r="B605" s="4" t="str">
        <f>IFERROR(__xludf.DUMMYFUNCTION("""COMPUTED_VALUE"""),"2")</f>
        <v>2</v>
      </c>
      <c r="C605" s="5" t="str">
        <f>IFERROR(__xludf.DUMMYFUNCTION("""COMPUTED_VALUE"""),"https://drive.google.com/file/d/1X52QnVvAFI9fJyWqqBG9Lv8ginwF3hJZ/view?usp=drivesdk")</f>
        <v>https://drive.google.com/file/d/1X52QnVvAFI9fJyWqqBG9Lv8ginwF3hJZ/view?usp=drivesdk</v>
      </c>
      <c r="D605" s="12"/>
      <c r="E605" s="6">
        <v>661.0</v>
      </c>
      <c r="F605" s="2"/>
      <c r="I605" s="4"/>
    </row>
    <row r="606" ht="1.5" customHeight="1">
      <c r="A606" s="4" t="str">
        <f>IFERROR(__xludf.DUMMYFUNCTION("""COMPUTED_VALUE"""),"2. Twix")</f>
        <v>2. Twix</v>
      </c>
      <c r="B606" s="4" t="str">
        <f>IFERROR(__xludf.DUMMYFUNCTION("""COMPUTED_VALUE"""),"2")</f>
        <v>2</v>
      </c>
      <c r="C606" s="5" t="str">
        <f>IFERROR(__xludf.DUMMYFUNCTION("""COMPUTED_VALUE"""),"https://drive.google.com/file/d/1bxNuHECZnLtxHSEW-LEH1H8UN305v07M/view?usp=drivesdk")</f>
        <v>https://drive.google.com/file/d/1bxNuHECZnLtxHSEW-LEH1H8UN305v07M/view?usp=drivesdk</v>
      </c>
      <c r="D606" s="12"/>
      <c r="E606" s="11">
        <v>662.0</v>
      </c>
      <c r="F606" s="2"/>
      <c r="I606" s="4"/>
    </row>
    <row r="607" ht="1.5" customHeight="1">
      <c r="A607" s="4" t="str">
        <f>IFERROR(__xludf.DUMMYFUNCTION("""COMPUTED_VALUE"""),"2. Twix")</f>
        <v>2. Twix</v>
      </c>
      <c r="B607" s="4" t="str">
        <f>IFERROR(__xludf.DUMMYFUNCTION("""COMPUTED_VALUE"""),"2")</f>
        <v>2</v>
      </c>
      <c r="C607" s="5" t="str">
        <f>IFERROR(__xludf.DUMMYFUNCTION("""COMPUTED_VALUE"""),"https://drive.google.com/file/d/1rWGTWuFrzF0l11D4Wcy9GQ3rx3wD1RrG/view?usp=drivesdk")</f>
        <v>https://drive.google.com/file/d/1rWGTWuFrzF0l11D4Wcy9GQ3rx3wD1RrG/view?usp=drivesdk</v>
      </c>
      <c r="D607" s="12"/>
      <c r="E607" s="6">
        <v>663.0</v>
      </c>
      <c r="F607" s="2"/>
      <c r="I607" s="4"/>
    </row>
    <row r="608" ht="1.5" customHeight="1">
      <c r="A608" s="4" t="str">
        <f>IFERROR(__xludf.DUMMYFUNCTION("""COMPUTED_VALUE"""),"2. Twix")</f>
        <v>2. Twix</v>
      </c>
      <c r="B608" s="4" t="str">
        <f>IFERROR(__xludf.DUMMYFUNCTION("""COMPUTED_VALUE"""),"2")</f>
        <v>2</v>
      </c>
      <c r="C608" s="5" t="str">
        <f>IFERROR(__xludf.DUMMYFUNCTION("""COMPUTED_VALUE"""),"https://drive.google.com/file/d/13zgpU74gf1hMKC0gnHHJuDFF5cJAjv90/view?usp=drivesdk")</f>
        <v>https://drive.google.com/file/d/13zgpU74gf1hMKC0gnHHJuDFF5cJAjv90/view?usp=drivesdk</v>
      </c>
      <c r="D608" s="12"/>
      <c r="E608" s="11">
        <v>664.0</v>
      </c>
      <c r="F608" s="2"/>
      <c r="I608" s="4"/>
    </row>
    <row r="609" ht="1.5" customHeight="1">
      <c r="A609" s="4" t="str">
        <f>IFERROR(__xludf.DUMMYFUNCTION("""COMPUTED_VALUE"""),"2. Twix")</f>
        <v>2. Twix</v>
      </c>
      <c r="B609" s="4" t="str">
        <f>IFERROR(__xludf.DUMMYFUNCTION("""COMPUTED_VALUE"""),"2")</f>
        <v>2</v>
      </c>
      <c r="C609" s="5" t="str">
        <f>IFERROR(__xludf.DUMMYFUNCTION("""COMPUTED_VALUE"""),"https://drive.google.com/file/d/1XpSG_CyIZmqaiQq303wOkHvDo8m1vdnO/view?usp=drivesdk")</f>
        <v>https://drive.google.com/file/d/1XpSG_CyIZmqaiQq303wOkHvDo8m1vdnO/view?usp=drivesdk</v>
      </c>
      <c r="D609" s="12"/>
      <c r="E609" s="6">
        <v>665.0</v>
      </c>
      <c r="F609" s="2"/>
      <c r="I609" s="4"/>
    </row>
    <row r="610" ht="1.5" customHeight="1">
      <c r="A610" s="4" t="str">
        <f>IFERROR(__xludf.DUMMYFUNCTION("""COMPUTED_VALUE"""),"2. Twix")</f>
        <v>2. Twix</v>
      </c>
      <c r="B610" s="4" t="str">
        <f>IFERROR(__xludf.DUMMYFUNCTION("""COMPUTED_VALUE"""),"2")</f>
        <v>2</v>
      </c>
      <c r="C610" s="5" t="str">
        <f>IFERROR(__xludf.DUMMYFUNCTION("""COMPUTED_VALUE"""),"https://drive.google.com/file/d/1QR0PkDcq2jVLnKVCMR5F2uW_afk0C9G6/view?usp=drivesdk")</f>
        <v>https://drive.google.com/file/d/1QR0PkDcq2jVLnKVCMR5F2uW_afk0C9G6/view?usp=drivesdk</v>
      </c>
      <c r="D610" s="12"/>
      <c r="E610" s="6">
        <v>666.0</v>
      </c>
      <c r="F610" s="2"/>
      <c r="I610" s="4"/>
    </row>
    <row r="611" ht="1.5" customHeight="1">
      <c r="A611" s="4" t="str">
        <f>IFERROR(__xludf.DUMMYFUNCTION("""COMPUTED_VALUE"""),"2. Twix")</f>
        <v>2. Twix</v>
      </c>
      <c r="B611" s="4" t="str">
        <f>IFERROR(__xludf.DUMMYFUNCTION("""COMPUTED_VALUE"""),"2")</f>
        <v>2</v>
      </c>
      <c r="C611" s="5" t="str">
        <f>IFERROR(__xludf.DUMMYFUNCTION("""COMPUTED_VALUE"""),"https://drive.google.com/file/d/1J4DiY6jH_3jkSN2Cjm1hxM2LmfHNL8yS/view?usp=drivesdk")</f>
        <v>https://drive.google.com/file/d/1J4DiY6jH_3jkSN2Cjm1hxM2LmfHNL8yS/view?usp=drivesdk</v>
      </c>
      <c r="D611" s="12"/>
      <c r="E611" s="6">
        <v>667.0</v>
      </c>
      <c r="F611" s="2"/>
      <c r="I611" s="4"/>
    </row>
    <row r="612" ht="1.5" customHeight="1">
      <c r="A612" s="4" t="str">
        <f>IFERROR(__xludf.DUMMYFUNCTION("""COMPUTED_VALUE"""),"2. Twix")</f>
        <v>2. Twix</v>
      </c>
      <c r="B612" s="4" t="str">
        <f>IFERROR(__xludf.DUMMYFUNCTION("""COMPUTED_VALUE"""),"2")</f>
        <v>2</v>
      </c>
      <c r="C612" s="5" t="str">
        <f>IFERROR(__xludf.DUMMYFUNCTION("""COMPUTED_VALUE"""),"https://drive.google.com/file/d/18CD9-MQMjkKT4lyWx66ZR1EU3kHuy0OC/view?usp=drivesdk")</f>
        <v>https://drive.google.com/file/d/18CD9-MQMjkKT4lyWx66ZR1EU3kHuy0OC/view?usp=drivesdk</v>
      </c>
      <c r="D612" s="12"/>
      <c r="E612" s="11">
        <v>668.0</v>
      </c>
      <c r="F612" s="2"/>
      <c r="I612" s="4"/>
    </row>
    <row r="613" ht="1.5" customHeight="1">
      <c r="A613" s="4" t="str">
        <f>IFERROR(__xludf.DUMMYFUNCTION("""COMPUTED_VALUE"""),"2. Twix")</f>
        <v>2. Twix</v>
      </c>
      <c r="B613" s="4" t="str">
        <f>IFERROR(__xludf.DUMMYFUNCTION("""COMPUTED_VALUE"""),"2")</f>
        <v>2</v>
      </c>
      <c r="C613" s="5" t="str">
        <f>IFERROR(__xludf.DUMMYFUNCTION("""COMPUTED_VALUE"""),"https://drive.google.com/file/d/1eynpm2--ZWqG9SRrPlabKmNLbfb-Khvx/view?usp=drivesdk")</f>
        <v>https://drive.google.com/file/d/1eynpm2--ZWqG9SRrPlabKmNLbfb-Khvx/view?usp=drivesdk</v>
      </c>
      <c r="D613" s="12"/>
      <c r="E613" s="6">
        <v>669.0</v>
      </c>
      <c r="F613" s="2"/>
      <c r="I613" s="4"/>
    </row>
    <row r="614" ht="1.5" customHeight="1">
      <c r="A614" s="4" t="str">
        <f>IFERROR(__xludf.DUMMYFUNCTION("""COMPUTED_VALUE"""),"2. Twix")</f>
        <v>2. Twix</v>
      </c>
      <c r="B614" s="4" t="str">
        <f>IFERROR(__xludf.DUMMYFUNCTION("""COMPUTED_VALUE"""),"2")</f>
        <v>2</v>
      </c>
      <c r="C614" s="5" t="str">
        <f>IFERROR(__xludf.DUMMYFUNCTION("""COMPUTED_VALUE"""),"https://drive.google.com/file/d/1Hc5yezk8dg3HtacgBKWHIZuj6XCi6yYM/view?usp=drivesdk")</f>
        <v>https://drive.google.com/file/d/1Hc5yezk8dg3HtacgBKWHIZuj6XCi6yYM/view?usp=drivesdk</v>
      </c>
      <c r="D614" s="12"/>
      <c r="E614" s="11">
        <v>670.0</v>
      </c>
      <c r="F614" s="2"/>
      <c r="I614" s="4"/>
    </row>
    <row r="615" ht="1.5" customHeight="1">
      <c r="A615" s="4" t="str">
        <f>IFERROR(__xludf.DUMMYFUNCTION("""COMPUTED_VALUE"""),"2. Twix")</f>
        <v>2. Twix</v>
      </c>
      <c r="B615" s="4" t="str">
        <f>IFERROR(__xludf.DUMMYFUNCTION("""COMPUTED_VALUE"""),"2")</f>
        <v>2</v>
      </c>
      <c r="C615" s="5" t="str">
        <f>IFERROR(__xludf.DUMMYFUNCTION("""COMPUTED_VALUE"""),"https://drive.google.com/file/d/1KzmvDoErN95xDZRSMIAUVeJtzUI10PrC/view?usp=drivesdk")</f>
        <v>https://drive.google.com/file/d/1KzmvDoErN95xDZRSMIAUVeJtzUI10PrC/view?usp=drivesdk</v>
      </c>
      <c r="D615" s="12"/>
      <c r="E615" s="6">
        <v>671.0</v>
      </c>
      <c r="F615" s="2"/>
      <c r="I615" s="4"/>
    </row>
    <row r="616" ht="1.5" customHeight="1">
      <c r="A616" s="4" t="str">
        <f>IFERROR(__xludf.DUMMYFUNCTION("""COMPUTED_VALUE"""),"2. Twix")</f>
        <v>2. Twix</v>
      </c>
      <c r="B616" s="4" t="str">
        <f>IFERROR(__xludf.DUMMYFUNCTION("""COMPUTED_VALUE"""),"2")</f>
        <v>2</v>
      </c>
      <c r="C616" s="5" t="str">
        <f>IFERROR(__xludf.DUMMYFUNCTION("""COMPUTED_VALUE"""),"https://drive.google.com/file/d/1q83-nR2c0r8003Ochil9EmHsU0ioztNi/view?usp=drivesdk")</f>
        <v>https://drive.google.com/file/d/1q83-nR2c0r8003Ochil9EmHsU0ioztNi/view?usp=drivesdk</v>
      </c>
      <c r="D616" s="12"/>
      <c r="E616" s="6">
        <v>672.0</v>
      </c>
      <c r="F616" s="2"/>
      <c r="I616" s="4"/>
    </row>
    <row r="617" ht="1.5" customHeight="1">
      <c r="A617" s="4" t="str">
        <f>IFERROR(__xludf.DUMMYFUNCTION("""COMPUTED_VALUE"""),"2. Twix")</f>
        <v>2. Twix</v>
      </c>
      <c r="B617" s="4" t="str">
        <f>IFERROR(__xludf.DUMMYFUNCTION("""COMPUTED_VALUE"""),"2")</f>
        <v>2</v>
      </c>
      <c r="C617" s="5" t="str">
        <f>IFERROR(__xludf.DUMMYFUNCTION("""COMPUTED_VALUE"""),"https://drive.google.com/file/d/1HVnwTfS1bIvN79rLpA__r7Hr39NAilTR/view?usp=drivesdk")</f>
        <v>https://drive.google.com/file/d/1HVnwTfS1bIvN79rLpA__r7Hr39NAilTR/view?usp=drivesdk</v>
      </c>
      <c r="D617" s="12"/>
      <c r="E617" s="6">
        <v>673.0</v>
      </c>
      <c r="F617" s="2"/>
      <c r="I617" s="4"/>
    </row>
    <row r="618" ht="1.5" customHeight="1">
      <c r="A618" s="4" t="str">
        <f>IFERROR(__xludf.DUMMYFUNCTION("""COMPUTED_VALUE"""),"2. Twix")</f>
        <v>2. Twix</v>
      </c>
      <c r="B618" s="4" t="str">
        <f>IFERROR(__xludf.DUMMYFUNCTION("""COMPUTED_VALUE"""),"2")</f>
        <v>2</v>
      </c>
      <c r="C618" s="5" t="str">
        <f>IFERROR(__xludf.DUMMYFUNCTION("""COMPUTED_VALUE"""),"https://drive.google.com/file/d/1RrfpNepgVGdd7z1wgD-LtOE_i1zx50jO/view?usp=drivesdk")</f>
        <v>https://drive.google.com/file/d/1RrfpNepgVGdd7z1wgD-LtOE_i1zx50jO/view?usp=drivesdk</v>
      </c>
      <c r="D618" s="12"/>
      <c r="E618" s="11">
        <v>674.0</v>
      </c>
      <c r="F618" s="2"/>
      <c r="I618" s="4"/>
    </row>
    <row r="619" ht="1.5" customHeight="1">
      <c r="A619" s="4" t="str">
        <f>IFERROR(__xludf.DUMMYFUNCTION("""COMPUTED_VALUE"""),"2. Twix")</f>
        <v>2. Twix</v>
      </c>
      <c r="B619" s="4" t="str">
        <f>IFERROR(__xludf.DUMMYFUNCTION("""COMPUTED_VALUE"""),"2")</f>
        <v>2</v>
      </c>
      <c r="C619" s="5" t="str">
        <f>IFERROR(__xludf.DUMMYFUNCTION("""COMPUTED_VALUE"""),"https://drive.google.com/file/d/1MmDKfnRKLEbwG6atShfGHeiZEH_yJztl/view?usp=drivesdk")</f>
        <v>https://drive.google.com/file/d/1MmDKfnRKLEbwG6atShfGHeiZEH_yJztl/view?usp=drivesdk</v>
      </c>
      <c r="D619" s="12"/>
      <c r="E619" s="6">
        <v>675.0</v>
      </c>
      <c r="F619" s="2"/>
      <c r="I619" s="4"/>
    </row>
    <row r="620" ht="1.5" customHeight="1">
      <c r="A620" s="4" t="str">
        <f>IFERROR(__xludf.DUMMYFUNCTION("""COMPUTED_VALUE"""),"2. Twix")</f>
        <v>2. Twix</v>
      </c>
      <c r="B620" s="4" t="str">
        <f>IFERROR(__xludf.DUMMYFUNCTION("""COMPUTED_VALUE"""),"2")</f>
        <v>2</v>
      </c>
      <c r="C620" s="5" t="str">
        <f>IFERROR(__xludf.DUMMYFUNCTION("""COMPUTED_VALUE"""),"https://drive.google.com/file/d/19Kwf467ASJgZeCHVs4VYRgESOe3sUADe/view?usp=drivesdk")</f>
        <v>https://drive.google.com/file/d/19Kwf467ASJgZeCHVs4VYRgESOe3sUADe/view?usp=drivesdk</v>
      </c>
      <c r="D620" s="12"/>
      <c r="E620" s="11">
        <v>676.0</v>
      </c>
      <c r="F620" s="2"/>
      <c r="I620" s="4"/>
    </row>
    <row r="621" ht="1.5" customHeight="1">
      <c r="A621" s="4" t="str">
        <f>IFERROR(__xludf.DUMMYFUNCTION("""COMPUTED_VALUE"""),"2. Twix")</f>
        <v>2. Twix</v>
      </c>
      <c r="B621" s="4" t="str">
        <f>IFERROR(__xludf.DUMMYFUNCTION("""COMPUTED_VALUE"""),"2")</f>
        <v>2</v>
      </c>
      <c r="C621" s="5" t="str">
        <f>IFERROR(__xludf.DUMMYFUNCTION("""COMPUTED_VALUE"""),"https://drive.google.com/file/d/1gprugMgx3oTK14P4e_D2wgUPFvjyCw_Y/view?usp=drivesdk")</f>
        <v>https://drive.google.com/file/d/1gprugMgx3oTK14P4e_D2wgUPFvjyCw_Y/view?usp=drivesdk</v>
      </c>
      <c r="D621" s="12"/>
      <c r="E621" s="6">
        <v>677.0</v>
      </c>
      <c r="F621" s="2"/>
      <c r="I621" s="4"/>
    </row>
    <row r="622" ht="1.5" customHeight="1">
      <c r="A622" s="4" t="str">
        <f>IFERROR(__xludf.DUMMYFUNCTION("""COMPUTED_VALUE"""),"2. Twix")</f>
        <v>2. Twix</v>
      </c>
      <c r="B622" s="4" t="str">
        <f>IFERROR(__xludf.DUMMYFUNCTION("""COMPUTED_VALUE"""),"2")</f>
        <v>2</v>
      </c>
      <c r="C622" s="5" t="str">
        <f>IFERROR(__xludf.DUMMYFUNCTION("""COMPUTED_VALUE"""),"https://drive.google.com/file/d/1od65PDXqihrHdGwM4h1FkilHUYG20obc/view?usp=drivesdk")</f>
        <v>https://drive.google.com/file/d/1od65PDXqihrHdGwM4h1FkilHUYG20obc/view?usp=drivesdk</v>
      </c>
      <c r="D622" s="12"/>
      <c r="E622" s="6">
        <v>678.0</v>
      </c>
      <c r="F622" s="2"/>
      <c r="I622" s="4"/>
    </row>
    <row r="623" ht="1.5" customHeight="1">
      <c r="A623" s="4" t="str">
        <f>IFERROR(__xludf.DUMMYFUNCTION("""COMPUTED_VALUE"""),"2. Twix")</f>
        <v>2. Twix</v>
      </c>
      <c r="B623" s="4" t="str">
        <f>IFERROR(__xludf.DUMMYFUNCTION("""COMPUTED_VALUE"""),"2")</f>
        <v>2</v>
      </c>
      <c r="C623" s="5" t="str">
        <f>IFERROR(__xludf.DUMMYFUNCTION("""COMPUTED_VALUE"""),"https://drive.google.com/file/d/1ia0hUdfnHPsVPXCdYVnVleUSK10OXDbp/view?usp=drivesdk")</f>
        <v>https://drive.google.com/file/d/1ia0hUdfnHPsVPXCdYVnVleUSK10OXDbp/view?usp=drivesdk</v>
      </c>
      <c r="D623" s="12"/>
      <c r="E623" s="6">
        <v>679.0</v>
      </c>
      <c r="F623" s="2"/>
      <c r="I623" s="4"/>
    </row>
    <row r="624" ht="1.5" customHeight="1">
      <c r="A624" s="4" t="str">
        <f>IFERROR(__xludf.DUMMYFUNCTION("""COMPUTED_VALUE"""),"5. Eraser")</f>
        <v>5. Eraser</v>
      </c>
      <c r="B624" s="4" t="str">
        <f>IFERROR(__xludf.DUMMYFUNCTION("""COMPUTED_VALUE"""),"5")</f>
        <v>5</v>
      </c>
      <c r="C624" s="5" t="str">
        <f>IFERROR(__xludf.DUMMYFUNCTION("""COMPUTED_VALUE"""),"https://drive.google.com/file/d/1fKao5svhPHdSJK5mGzn1qXxcEyGJxfPV/view?usp=drivesdk")</f>
        <v>https://drive.google.com/file/d/1fKao5svhPHdSJK5mGzn1qXxcEyGJxfPV/view?usp=drivesdk</v>
      </c>
      <c r="D624" s="12"/>
      <c r="E624" s="11">
        <v>680.0</v>
      </c>
      <c r="F624" s="2"/>
      <c r="I624" s="4"/>
    </row>
    <row r="625" ht="1.5" customHeight="1">
      <c r="A625" s="4" t="str">
        <f>IFERROR(__xludf.DUMMYFUNCTION("""COMPUTED_VALUE"""),"5. Eraser")</f>
        <v>5. Eraser</v>
      </c>
      <c r="B625" s="4" t="str">
        <f>IFERROR(__xludf.DUMMYFUNCTION("""COMPUTED_VALUE"""),"5")</f>
        <v>5</v>
      </c>
      <c r="C625" s="5" t="str">
        <f>IFERROR(__xludf.DUMMYFUNCTION("""COMPUTED_VALUE"""),"https://drive.google.com/file/d/1A2DfEE04hqGhM630WZTwnNVCziZ4BF0V/view?usp=drivesdk")</f>
        <v>https://drive.google.com/file/d/1A2DfEE04hqGhM630WZTwnNVCziZ4BF0V/view?usp=drivesdk</v>
      </c>
      <c r="D625" s="12"/>
      <c r="E625" s="6">
        <v>681.0</v>
      </c>
      <c r="F625" s="2"/>
      <c r="I625" s="4"/>
    </row>
    <row r="626" ht="1.5" customHeight="1">
      <c r="A626" s="4" t="str">
        <f>IFERROR(__xludf.DUMMYFUNCTION("""COMPUTED_VALUE"""),"2. Twix")</f>
        <v>2. Twix</v>
      </c>
      <c r="B626" s="4" t="str">
        <f>IFERROR(__xludf.DUMMYFUNCTION("""COMPUTED_VALUE"""),"2")</f>
        <v>2</v>
      </c>
      <c r="C626" s="5" t="str">
        <f>IFERROR(__xludf.DUMMYFUNCTION("""COMPUTED_VALUE"""),"https://drive.google.com/file/d/1x-dGtKhDB2fEbl-MDzwBeJpKhGwrRYnr/view?usp=drivesdk")</f>
        <v>https://drive.google.com/file/d/1x-dGtKhDB2fEbl-MDzwBeJpKhGwrRYnr/view?usp=drivesdk</v>
      </c>
      <c r="D626" s="12"/>
      <c r="E626" s="11">
        <v>682.0</v>
      </c>
      <c r="F626" s="2"/>
      <c r="I626" s="4"/>
    </row>
    <row r="627" ht="1.5" customHeight="1">
      <c r="A627" s="4" t="str">
        <f>IFERROR(__xludf.DUMMYFUNCTION("""COMPUTED_VALUE"""),"5. Eraser")</f>
        <v>5. Eraser</v>
      </c>
      <c r="B627" s="4" t="str">
        <f>IFERROR(__xludf.DUMMYFUNCTION("""COMPUTED_VALUE"""),"5")</f>
        <v>5</v>
      </c>
      <c r="C627" s="5" t="str">
        <f>IFERROR(__xludf.DUMMYFUNCTION("""COMPUTED_VALUE"""),"https://drive.google.com/file/d/1c3euW7xm9TI5SD-0gKibsO8iRkZMS0U_/view?usp=drivesdk")</f>
        <v>https://drive.google.com/file/d/1c3euW7xm9TI5SD-0gKibsO8iRkZMS0U_/view?usp=drivesdk</v>
      </c>
      <c r="D627" s="12"/>
      <c r="E627" s="6">
        <v>683.0</v>
      </c>
      <c r="F627" s="2"/>
      <c r="I627" s="4"/>
    </row>
    <row r="628" ht="1.5" customHeight="1">
      <c r="A628" s="4" t="str">
        <f>IFERROR(__xludf.DUMMYFUNCTION("""COMPUTED_VALUE"""),"1. Microwave")</f>
        <v>1. Microwave</v>
      </c>
      <c r="B628" s="4" t="str">
        <f>IFERROR(__xludf.DUMMYFUNCTION("""COMPUTED_VALUE"""),"1")</f>
        <v>1</v>
      </c>
      <c r="C628" s="5" t="str">
        <f>IFERROR(__xludf.DUMMYFUNCTION("""COMPUTED_VALUE"""),"https://drive.google.com/file/d/1Kdqm3drqIareQlYaxm1BMzLQnYItkiHZ/view?usp=drivesdk")</f>
        <v>https://drive.google.com/file/d/1Kdqm3drqIareQlYaxm1BMzLQnYItkiHZ/view?usp=drivesdk</v>
      </c>
      <c r="D628" s="12"/>
      <c r="E628" s="6">
        <v>684.0</v>
      </c>
      <c r="F628" s="2"/>
      <c r="I628" s="4"/>
    </row>
    <row r="629" ht="1.5" customHeight="1">
      <c r="A629" s="4" t="str">
        <f>IFERROR(__xludf.DUMMYFUNCTION("""COMPUTED_VALUE"""),"5. Eraser")</f>
        <v>5. Eraser</v>
      </c>
      <c r="B629" s="4" t="str">
        <f>IFERROR(__xludf.DUMMYFUNCTION("""COMPUTED_VALUE"""),"5")</f>
        <v>5</v>
      </c>
      <c r="C629" s="5" t="str">
        <f>IFERROR(__xludf.DUMMYFUNCTION("""COMPUTED_VALUE"""),"https://drive.google.com/file/d/117HNGicC1Xt-z1iuodQrrkhqyqPAZTbL/view?usp=drivesdk")</f>
        <v>https://drive.google.com/file/d/117HNGicC1Xt-z1iuodQrrkhqyqPAZTbL/view?usp=drivesdk</v>
      </c>
      <c r="D629" s="12"/>
      <c r="E629" s="6">
        <v>685.0</v>
      </c>
      <c r="F629" s="2"/>
      <c r="I629" s="4"/>
    </row>
    <row r="630" ht="1.5" customHeight="1">
      <c r="A630" s="4" t="str">
        <f>IFERROR(__xludf.DUMMYFUNCTION("""COMPUTED_VALUE"""),"5. Eraser")</f>
        <v>5. Eraser</v>
      </c>
      <c r="B630" s="4" t="str">
        <f>IFERROR(__xludf.DUMMYFUNCTION("""COMPUTED_VALUE"""),"5")</f>
        <v>5</v>
      </c>
      <c r="C630" s="5" t="str">
        <f>IFERROR(__xludf.DUMMYFUNCTION("""COMPUTED_VALUE"""),"https://drive.google.com/file/d/1BEkSaEESFa3ziKvhAvVW1DCO2XuhT_8Z/view?usp=drivesdk")</f>
        <v>https://drive.google.com/file/d/1BEkSaEESFa3ziKvhAvVW1DCO2XuhT_8Z/view?usp=drivesdk</v>
      </c>
      <c r="D630" s="12"/>
      <c r="E630" s="11">
        <v>686.0</v>
      </c>
      <c r="F630" s="2"/>
      <c r="I630" s="4"/>
    </row>
    <row r="631" ht="1.5" customHeight="1">
      <c r="A631" s="4" t="str">
        <f>IFERROR(__xludf.DUMMYFUNCTION("""COMPUTED_VALUE"""),"3. Ford F-150")</f>
        <v>3. Ford F-150</v>
      </c>
      <c r="B631" s="4" t="str">
        <f>IFERROR(__xludf.DUMMYFUNCTION("""COMPUTED_VALUE"""),"3")</f>
        <v>3</v>
      </c>
      <c r="C631" s="5" t="str">
        <f>IFERROR(__xludf.DUMMYFUNCTION("""COMPUTED_VALUE"""),"https://drive.google.com/file/d/1eYqBKnprUcRAWAjCqt5jstmsEco91sKS/view?usp=drivesdk")</f>
        <v>https://drive.google.com/file/d/1eYqBKnprUcRAWAjCqt5jstmsEco91sKS/view?usp=drivesdk</v>
      </c>
      <c r="D631" s="12"/>
      <c r="E631" s="6">
        <v>687.0</v>
      </c>
      <c r="F631" s="2"/>
      <c r="I631" s="4"/>
    </row>
    <row r="632" ht="1.5" customHeight="1">
      <c r="A632" s="4" t="str">
        <f>IFERROR(__xludf.DUMMYFUNCTION("""COMPUTED_VALUE"""),"5. Eraser")</f>
        <v>5. Eraser</v>
      </c>
      <c r="B632" s="4" t="str">
        <f>IFERROR(__xludf.DUMMYFUNCTION("""COMPUTED_VALUE"""),"5")</f>
        <v>5</v>
      </c>
      <c r="C632" s="5" t="str">
        <f>IFERROR(__xludf.DUMMYFUNCTION("""COMPUTED_VALUE"""),"https://drive.google.com/file/d/1QyCV3qRXz4J7NpHW1Ucq4Z5O374PN_fJ/view?usp=drivesdk")</f>
        <v>https://drive.google.com/file/d/1QyCV3qRXz4J7NpHW1Ucq4Z5O374PN_fJ/view?usp=drivesdk</v>
      </c>
      <c r="D632" s="12"/>
      <c r="E632" s="11">
        <v>688.0</v>
      </c>
      <c r="F632" s="2"/>
      <c r="I632" s="4"/>
    </row>
    <row r="633" ht="1.5" customHeight="1">
      <c r="A633" s="4" t="str">
        <f>IFERROR(__xludf.DUMMYFUNCTION("""COMPUTED_VALUE"""),"1. Microwave")</f>
        <v>1. Microwave</v>
      </c>
      <c r="B633" s="4" t="str">
        <f>IFERROR(__xludf.DUMMYFUNCTION("""COMPUTED_VALUE"""),"1")</f>
        <v>1</v>
      </c>
      <c r="C633" s="5" t="str">
        <f>IFERROR(__xludf.DUMMYFUNCTION("""COMPUTED_VALUE"""),"https://drive.google.com/file/d/1WCNHpzBeWcpzn-vebXvnLBQ_ocawUlcO/view?usp=drivesdk")</f>
        <v>https://drive.google.com/file/d/1WCNHpzBeWcpzn-vebXvnLBQ_ocawUlcO/view?usp=drivesdk</v>
      </c>
      <c r="D633" s="12"/>
      <c r="E633" s="6">
        <v>689.0</v>
      </c>
      <c r="F633" s="2"/>
      <c r="I633" s="4"/>
    </row>
    <row r="634" ht="1.5" customHeight="1">
      <c r="A634" s="4" t="str">
        <f>IFERROR(__xludf.DUMMYFUNCTION("""COMPUTED_VALUE"""),"5. Eraser")</f>
        <v>5. Eraser</v>
      </c>
      <c r="B634" s="4" t="str">
        <f>IFERROR(__xludf.DUMMYFUNCTION("""COMPUTED_VALUE"""),"5")</f>
        <v>5</v>
      </c>
      <c r="C634" s="5" t="str">
        <f>IFERROR(__xludf.DUMMYFUNCTION("""COMPUTED_VALUE"""),"https://drive.google.com/file/d/1zybISvJ82nzIqDNlh9fE18vJZg2ZwVKF/view?usp=drivesdk")</f>
        <v>https://drive.google.com/file/d/1zybISvJ82nzIqDNlh9fE18vJZg2ZwVKF/view?usp=drivesdk</v>
      </c>
      <c r="D634" s="12"/>
      <c r="E634" s="6">
        <v>690.0</v>
      </c>
      <c r="F634" s="2"/>
      <c r="I634" s="4"/>
    </row>
    <row r="635" ht="1.5" customHeight="1">
      <c r="A635" s="4" t="str">
        <f>IFERROR(__xludf.DUMMYFUNCTION("""COMPUTED_VALUE"""),"5. Eraser")</f>
        <v>5. Eraser</v>
      </c>
      <c r="B635" s="4" t="str">
        <f>IFERROR(__xludf.DUMMYFUNCTION("""COMPUTED_VALUE"""),"5")</f>
        <v>5</v>
      </c>
      <c r="C635" s="5" t="str">
        <f>IFERROR(__xludf.DUMMYFUNCTION("""COMPUTED_VALUE"""),"https://drive.google.com/file/d/1-ffUY-eKL2xJ2nYHc-6uqnQU0cJZIJOh/view?usp=drivesdk")</f>
        <v>https://drive.google.com/file/d/1-ffUY-eKL2xJ2nYHc-6uqnQU0cJZIJOh/view?usp=drivesdk</v>
      </c>
      <c r="D635" s="12"/>
      <c r="E635" s="6">
        <v>691.0</v>
      </c>
      <c r="F635" s="2"/>
      <c r="I635" s="4"/>
    </row>
    <row r="636" ht="1.5" customHeight="1">
      <c r="A636" s="4" t="str">
        <f>IFERROR(__xludf.DUMMYFUNCTION("""COMPUTED_VALUE"""),"5. Eraser")</f>
        <v>5. Eraser</v>
      </c>
      <c r="B636" s="4" t="str">
        <f>IFERROR(__xludf.DUMMYFUNCTION("""COMPUTED_VALUE"""),"5")</f>
        <v>5</v>
      </c>
      <c r="C636" s="5" t="str">
        <f>IFERROR(__xludf.DUMMYFUNCTION("""COMPUTED_VALUE"""),"https://drive.google.com/file/d/1xC-maUvgMnDj3-_djZcnWPkK_WqAHsr6/view?usp=drivesdk")</f>
        <v>https://drive.google.com/file/d/1xC-maUvgMnDj3-_djZcnWPkK_WqAHsr6/view?usp=drivesdk</v>
      </c>
      <c r="D636" s="12"/>
      <c r="E636" s="11">
        <v>692.0</v>
      </c>
      <c r="F636" s="2"/>
      <c r="I636" s="4"/>
    </row>
    <row r="637" ht="1.5" customHeight="1">
      <c r="A637" s="4" t="str">
        <f>IFERROR(__xludf.DUMMYFUNCTION("""COMPUTED_VALUE"""),"5. Eraser")</f>
        <v>5. Eraser</v>
      </c>
      <c r="B637" s="4" t="str">
        <f>IFERROR(__xludf.DUMMYFUNCTION("""COMPUTED_VALUE"""),"5")</f>
        <v>5</v>
      </c>
      <c r="C637" s="5" t="str">
        <f>IFERROR(__xludf.DUMMYFUNCTION("""COMPUTED_VALUE"""),"https://drive.google.com/file/d/1vEsepoRxs9TXcXRDsPTLh3P6anCDUAiT/view?usp=drivesdk")</f>
        <v>https://drive.google.com/file/d/1vEsepoRxs9TXcXRDsPTLh3P6anCDUAiT/view?usp=drivesdk</v>
      </c>
      <c r="D637" s="12"/>
      <c r="E637" s="6">
        <v>693.0</v>
      </c>
      <c r="F637" s="2"/>
      <c r="I637" s="4"/>
    </row>
    <row r="638" ht="1.5" customHeight="1">
      <c r="A638" s="4" t="str">
        <f>IFERROR(__xludf.DUMMYFUNCTION("""COMPUTED_VALUE"""),"5. Eraser")</f>
        <v>5. Eraser</v>
      </c>
      <c r="B638" s="4" t="str">
        <f>IFERROR(__xludf.DUMMYFUNCTION("""COMPUTED_VALUE"""),"5")</f>
        <v>5</v>
      </c>
      <c r="C638" s="5" t="str">
        <f>IFERROR(__xludf.DUMMYFUNCTION("""COMPUTED_VALUE"""),"https://drive.google.com/file/d/1enUhxU9uxEQjpeK4QQT9kGQphduHcOcu/view?usp=drivesdk")</f>
        <v>https://drive.google.com/file/d/1enUhxU9uxEQjpeK4QQT9kGQphduHcOcu/view?usp=drivesdk</v>
      </c>
      <c r="D638" s="12"/>
      <c r="E638" s="11">
        <v>694.0</v>
      </c>
      <c r="F638" s="2"/>
      <c r="I638" s="4"/>
    </row>
    <row r="639" ht="1.5" customHeight="1">
      <c r="A639" s="4" t="str">
        <f>IFERROR(__xludf.DUMMYFUNCTION("""COMPUTED_VALUE"""),"2. Twix")</f>
        <v>2. Twix</v>
      </c>
      <c r="B639" s="4" t="str">
        <f>IFERROR(__xludf.DUMMYFUNCTION("""COMPUTED_VALUE"""),"2")</f>
        <v>2</v>
      </c>
      <c r="C639" s="5" t="str">
        <f>IFERROR(__xludf.DUMMYFUNCTION("""COMPUTED_VALUE"""),"https://drive.google.com/file/d/1oL2QrYbo3Haw54RE_l5axjC4KKN44gK5/view?usp=drivesdk")</f>
        <v>https://drive.google.com/file/d/1oL2QrYbo3Haw54RE_l5axjC4KKN44gK5/view?usp=drivesdk</v>
      </c>
      <c r="D639" s="12"/>
      <c r="E639" s="6">
        <v>695.0</v>
      </c>
      <c r="F639" s="2"/>
      <c r="I639" s="4"/>
    </row>
    <row r="640" ht="1.5" customHeight="1">
      <c r="A640" s="4" t="str">
        <f>IFERROR(__xludf.DUMMYFUNCTION("""COMPUTED_VALUE"""),"5. Eraser")</f>
        <v>5. Eraser</v>
      </c>
      <c r="B640" s="4" t="str">
        <f>IFERROR(__xludf.DUMMYFUNCTION("""COMPUTED_VALUE"""),"5")</f>
        <v>5</v>
      </c>
      <c r="C640" s="5" t="str">
        <f>IFERROR(__xludf.DUMMYFUNCTION("""COMPUTED_VALUE"""),"https://drive.google.com/file/d/1fSvStvBviOGjyDeaaTD2TJtn44DiXjmA/view?usp=drivesdk")</f>
        <v>https://drive.google.com/file/d/1fSvStvBviOGjyDeaaTD2TJtn44DiXjmA/view?usp=drivesdk</v>
      </c>
      <c r="D640" s="12"/>
      <c r="E640" s="6">
        <v>696.0</v>
      </c>
      <c r="F640" s="2"/>
      <c r="I640" s="4"/>
    </row>
    <row r="641" ht="1.5" customHeight="1">
      <c r="A641" s="4" t="str">
        <f>IFERROR(__xludf.DUMMYFUNCTION("""COMPUTED_VALUE"""),"5. Eraser, 4. Eggs")</f>
        <v>5. Eraser, 4. Eggs</v>
      </c>
      <c r="B641" s="4" t="str">
        <f>IFERROR(__xludf.DUMMYFUNCTION("""COMPUTED_VALUE"""),"5, 4")</f>
        <v>5, 4</v>
      </c>
      <c r="C641" s="5" t="str">
        <f>IFERROR(__xludf.DUMMYFUNCTION("""COMPUTED_VALUE"""),"https://drive.google.com/file/d/1RfbwyKAUgcTKKyB4Ku7FKIslBfZsFPxz/view?usp=drivesdk")</f>
        <v>https://drive.google.com/file/d/1RfbwyKAUgcTKKyB4Ku7FKIslBfZsFPxz/view?usp=drivesdk</v>
      </c>
      <c r="D641" s="12"/>
      <c r="E641" s="6">
        <v>697.0</v>
      </c>
      <c r="F641" s="2"/>
      <c r="I641" s="4"/>
    </row>
    <row r="642" ht="1.5" customHeight="1">
      <c r="A642" s="4" t="str">
        <f>IFERROR(__xludf.DUMMYFUNCTION("""COMPUTED_VALUE"""),"5. Eraser, 4. Eggs")</f>
        <v>5. Eraser, 4. Eggs</v>
      </c>
      <c r="B642" s="4" t="str">
        <f>IFERROR(__xludf.DUMMYFUNCTION("""COMPUTED_VALUE"""),"5, 4")</f>
        <v>5, 4</v>
      </c>
      <c r="C642" s="5" t="str">
        <f>IFERROR(__xludf.DUMMYFUNCTION("""COMPUTED_VALUE"""),"https://drive.google.com/file/d/1brsiTB3ulv8v1dX8K34P9fxHlnp3JRiI/view?usp=drivesdk")</f>
        <v>https://drive.google.com/file/d/1brsiTB3ulv8v1dX8K34P9fxHlnp3JRiI/view?usp=drivesdk</v>
      </c>
      <c r="D642" s="12"/>
      <c r="E642" s="11">
        <v>698.0</v>
      </c>
      <c r="F642" s="2"/>
      <c r="I642" s="4"/>
    </row>
    <row r="643" ht="1.5" customHeight="1">
      <c r="A643" s="4" t="str">
        <f>IFERROR(__xludf.DUMMYFUNCTION("""COMPUTED_VALUE"""),"5. Eraser")</f>
        <v>5. Eraser</v>
      </c>
      <c r="B643" s="4" t="str">
        <f>IFERROR(__xludf.DUMMYFUNCTION("""COMPUTED_VALUE"""),"5")</f>
        <v>5</v>
      </c>
      <c r="C643" s="5" t="str">
        <f>IFERROR(__xludf.DUMMYFUNCTION("""COMPUTED_VALUE"""),"https://drive.google.com/file/d/1hQNQnWzdD1zn-q-vxO8cVu-rz9Bczgyh/view?usp=drivesdk")</f>
        <v>https://drive.google.com/file/d/1hQNQnWzdD1zn-q-vxO8cVu-rz9Bczgyh/view?usp=drivesdk</v>
      </c>
      <c r="D643" s="12"/>
      <c r="E643" s="6">
        <v>699.0</v>
      </c>
      <c r="F643" s="2"/>
      <c r="I643" s="4"/>
    </row>
    <row r="644" ht="1.5" customHeight="1">
      <c r="A644" s="4" t="str">
        <f>IFERROR(__xludf.DUMMYFUNCTION("""COMPUTED_VALUE"""),"5. Eraser")</f>
        <v>5. Eraser</v>
      </c>
      <c r="B644" s="4" t="str">
        <f>IFERROR(__xludf.DUMMYFUNCTION("""COMPUTED_VALUE"""),"5")</f>
        <v>5</v>
      </c>
      <c r="C644" s="5" t="str">
        <f>IFERROR(__xludf.DUMMYFUNCTION("""COMPUTED_VALUE"""),"https://drive.google.com/file/d/1rk50I9XQ_dXMLbsPHJEYV0jIFlYOJrki/view?usp=drivesdk")</f>
        <v>https://drive.google.com/file/d/1rk50I9XQ_dXMLbsPHJEYV0jIFlYOJrki/view?usp=drivesdk</v>
      </c>
      <c r="D644" s="12"/>
      <c r="E644" s="11">
        <v>700.0</v>
      </c>
      <c r="F644" s="2"/>
      <c r="I644" s="4"/>
    </row>
    <row r="645" ht="1.5" customHeight="1">
      <c r="A645" s="4" t="str">
        <f>IFERROR(__xludf.DUMMYFUNCTION("""COMPUTED_VALUE"""),"5. Eraser, 4. Eggs")</f>
        <v>5. Eraser, 4. Eggs</v>
      </c>
      <c r="B645" s="4" t="str">
        <f>IFERROR(__xludf.DUMMYFUNCTION("""COMPUTED_VALUE"""),"5, 4")</f>
        <v>5, 4</v>
      </c>
      <c r="C645" s="5" t="str">
        <f>IFERROR(__xludf.DUMMYFUNCTION("""COMPUTED_VALUE"""),"https://drive.google.com/file/d/1Y7R2PRDimF4DcOo30QklukfrcsHtP1fd/view?usp=drivesdk")</f>
        <v>https://drive.google.com/file/d/1Y7R2PRDimF4DcOo30QklukfrcsHtP1fd/view?usp=drivesdk</v>
      </c>
      <c r="D645" s="12"/>
      <c r="E645" s="6">
        <v>701.0</v>
      </c>
      <c r="F645" s="2"/>
      <c r="I645" s="4"/>
    </row>
    <row r="646" ht="1.5" customHeight="1">
      <c r="A646" s="4" t="str">
        <f>IFERROR(__xludf.DUMMYFUNCTION("""COMPUTED_VALUE"""),"5. Eraser, 4. Eggs")</f>
        <v>5. Eraser, 4. Eggs</v>
      </c>
      <c r="B646" s="4" t="str">
        <f>IFERROR(__xludf.DUMMYFUNCTION("""COMPUTED_VALUE"""),"5, 4")</f>
        <v>5, 4</v>
      </c>
      <c r="C646" s="5" t="str">
        <f>IFERROR(__xludf.DUMMYFUNCTION("""COMPUTED_VALUE"""),"https://drive.google.com/file/d/1WUAv4VVrUmtd3Z9II_5V8gkQngkwVHvD/view?usp=drivesdk")</f>
        <v>https://drive.google.com/file/d/1WUAv4VVrUmtd3Z9II_5V8gkQngkwVHvD/view?usp=drivesdk</v>
      </c>
      <c r="D646" s="12"/>
      <c r="E646" s="6">
        <v>702.0</v>
      </c>
      <c r="F646" s="2"/>
      <c r="I646" s="4"/>
    </row>
    <row r="647" ht="1.5" customHeight="1">
      <c r="A647" s="4" t="str">
        <f>IFERROR(__xludf.DUMMYFUNCTION("""COMPUTED_VALUE"""),"5. Eraser")</f>
        <v>5. Eraser</v>
      </c>
      <c r="B647" s="4" t="str">
        <f>IFERROR(__xludf.DUMMYFUNCTION("""COMPUTED_VALUE"""),"5")</f>
        <v>5</v>
      </c>
      <c r="C647" s="5" t="str">
        <f>IFERROR(__xludf.DUMMYFUNCTION("""COMPUTED_VALUE"""),"https://drive.google.com/file/d/1TNH_w_xaxGAIKv7xPfhSnu8Q79BTuK8e/view?usp=drivesdk")</f>
        <v>https://drive.google.com/file/d/1TNH_w_xaxGAIKv7xPfhSnu8Q79BTuK8e/view?usp=drivesdk</v>
      </c>
      <c r="D647" s="12"/>
      <c r="E647" s="6">
        <v>703.0</v>
      </c>
      <c r="F647" s="2"/>
      <c r="I647" s="4"/>
    </row>
    <row r="648" ht="1.5" customHeight="1">
      <c r="A648" s="4" t="str">
        <f>IFERROR(__xludf.DUMMYFUNCTION("""COMPUTED_VALUE"""),"5. Eraser")</f>
        <v>5. Eraser</v>
      </c>
      <c r="B648" s="4" t="str">
        <f>IFERROR(__xludf.DUMMYFUNCTION("""COMPUTED_VALUE"""),"5")</f>
        <v>5</v>
      </c>
      <c r="C648" s="5" t="str">
        <f>IFERROR(__xludf.DUMMYFUNCTION("""COMPUTED_VALUE"""),"https://drive.google.com/file/d/1NEopjbVd6x_n1wuwcHfZZkYdjerAxieK/view?usp=drivesdk")</f>
        <v>https://drive.google.com/file/d/1NEopjbVd6x_n1wuwcHfZZkYdjerAxieK/view?usp=drivesdk</v>
      </c>
      <c r="D648" s="12"/>
      <c r="E648" s="11">
        <v>704.0</v>
      </c>
      <c r="F648" s="2"/>
      <c r="I648" s="4"/>
    </row>
    <row r="649" ht="1.5" customHeight="1">
      <c r="A649" s="4" t="str">
        <f>IFERROR(__xludf.DUMMYFUNCTION("""COMPUTED_VALUE"""),"5. Eraser, 4. Eggs")</f>
        <v>5. Eraser, 4. Eggs</v>
      </c>
      <c r="B649" s="4" t="str">
        <f>IFERROR(__xludf.DUMMYFUNCTION("""COMPUTED_VALUE"""),"5, 4")</f>
        <v>5, 4</v>
      </c>
      <c r="C649" s="5" t="str">
        <f>IFERROR(__xludf.DUMMYFUNCTION("""COMPUTED_VALUE"""),"https://drive.google.com/file/d/1iRpBaRYRW7XCbmSxlamFGySzWE1qoSgE/view?usp=drivesdk")</f>
        <v>https://drive.google.com/file/d/1iRpBaRYRW7XCbmSxlamFGySzWE1qoSgE/view?usp=drivesdk</v>
      </c>
      <c r="D649" s="12"/>
      <c r="E649" s="6">
        <v>705.0</v>
      </c>
      <c r="F649" s="2"/>
      <c r="I649" s="4"/>
    </row>
    <row r="650" ht="1.5" customHeight="1">
      <c r="A650" s="4" t="str">
        <f>IFERROR(__xludf.DUMMYFUNCTION("""COMPUTED_VALUE"""),"5. Eraser, 4. Eggs")</f>
        <v>5. Eraser, 4. Eggs</v>
      </c>
      <c r="B650" s="4" t="str">
        <f>IFERROR(__xludf.DUMMYFUNCTION("""COMPUTED_VALUE"""),"5, 4")</f>
        <v>5, 4</v>
      </c>
      <c r="C650" s="5" t="str">
        <f>IFERROR(__xludf.DUMMYFUNCTION("""COMPUTED_VALUE"""),"https://drive.google.com/file/d/1XQZDIXhdoBruKJHXJlnYClPQ8ghjizu_/view?usp=drivesdk")</f>
        <v>https://drive.google.com/file/d/1XQZDIXhdoBruKJHXJlnYClPQ8ghjizu_/view?usp=drivesdk</v>
      </c>
      <c r="D650" s="12"/>
      <c r="E650" s="11">
        <v>706.0</v>
      </c>
      <c r="F650" s="2"/>
      <c r="I650" s="4"/>
    </row>
    <row r="651" ht="1.5" customHeight="1">
      <c r="A651" s="4" t="str">
        <f>IFERROR(__xludf.DUMMYFUNCTION("""COMPUTED_VALUE"""),"5. Eraser")</f>
        <v>5. Eraser</v>
      </c>
      <c r="B651" s="4" t="str">
        <f>IFERROR(__xludf.DUMMYFUNCTION("""COMPUTED_VALUE"""),"5")</f>
        <v>5</v>
      </c>
      <c r="C651" s="5" t="str">
        <f>IFERROR(__xludf.DUMMYFUNCTION("""COMPUTED_VALUE"""),"https://drive.google.com/file/d/1IG9SjvDUf_SYEKlTM7EE6Ji5mDXiiRU7/view?usp=drivesdk")</f>
        <v>https://drive.google.com/file/d/1IG9SjvDUf_SYEKlTM7EE6Ji5mDXiiRU7/view?usp=drivesdk</v>
      </c>
      <c r="D651" s="12"/>
      <c r="E651" s="6">
        <v>707.0</v>
      </c>
      <c r="F651" s="2"/>
      <c r="I651" s="4"/>
    </row>
    <row r="652" ht="1.5" customHeight="1">
      <c r="A652" s="4" t="str">
        <f>IFERROR(__xludf.DUMMYFUNCTION("""COMPUTED_VALUE"""),"5. Eraser, 4. Eggs")</f>
        <v>5. Eraser, 4. Eggs</v>
      </c>
      <c r="B652" s="4" t="str">
        <f>IFERROR(__xludf.DUMMYFUNCTION("""COMPUTED_VALUE"""),"5, 4")</f>
        <v>5, 4</v>
      </c>
      <c r="C652" s="5" t="str">
        <f>IFERROR(__xludf.DUMMYFUNCTION("""COMPUTED_VALUE"""),"https://drive.google.com/file/d/10rSYfR6oF2N6lwcEm6WP20fZBJapTPXt/view?usp=drivesdk")</f>
        <v>https://drive.google.com/file/d/10rSYfR6oF2N6lwcEm6WP20fZBJapTPXt/view?usp=drivesdk</v>
      </c>
      <c r="D652" s="12"/>
      <c r="E652" s="6">
        <v>708.0</v>
      </c>
      <c r="F652" s="2"/>
      <c r="I652" s="4"/>
    </row>
    <row r="653" ht="1.5" customHeight="1">
      <c r="A653" s="4" t="str">
        <f>IFERROR(__xludf.DUMMYFUNCTION("""COMPUTED_VALUE"""),"5. Eraser, 4. Eggs")</f>
        <v>5. Eraser, 4. Eggs</v>
      </c>
      <c r="B653" s="4" t="str">
        <f>IFERROR(__xludf.DUMMYFUNCTION("""COMPUTED_VALUE"""),"5, 4")</f>
        <v>5, 4</v>
      </c>
      <c r="C653" s="5" t="str">
        <f>IFERROR(__xludf.DUMMYFUNCTION("""COMPUTED_VALUE"""),"https://drive.google.com/file/d/1BRKyj605dlmLrypcj7ll9eM0uIr4wTUV/view?usp=drivesdk")</f>
        <v>https://drive.google.com/file/d/1BRKyj605dlmLrypcj7ll9eM0uIr4wTUV/view?usp=drivesdk</v>
      </c>
      <c r="D653" s="12"/>
      <c r="E653" s="6">
        <v>709.0</v>
      </c>
      <c r="F653" s="2"/>
      <c r="I653" s="4"/>
    </row>
    <row r="654" ht="1.5" customHeight="1">
      <c r="A654" s="4" t="str">
        <f>IFERROR(__xludf.DUMMYFUNCTION("""COMPUTED_VALUE"""),"5. Eraser, 4. Eggs")</f>
        <v>5. Eraser, 4. Eggs</v>
      </c>
      <c r="B654" s="4" t="str">
        <f>IFERROR(__xludf.DUMMYFUNCTION("""COMPUTED_VALUE"""),"5, 4")</f>
        <v>5, 4</v>
      </c>
      <c r="C654" s="5" t="str">
        <f>IFERROR(__xludf.DUMMYFUNCTION("""COMPUTED_VALUE"""),"https://drive.google.com/file/d/1Pz2Tsw2iSgf4wQNtu0DbkQJumTecpZ9t/view?usp=drivesdk")</f>
        <v>https://drive.google.com/file/d/1Pz2Tsw2iSgf4wQNtu0DbkQJumTecpZ9t/view?usp=drivesdk</v>
      </c>
      <c r="D654" s="12"/>
      <c r="E654" s="11">
        <v>710.0</v>
      </c>
      <c r="F654" s="2"/>
      <c r="I654" s="4"/>
    </row>
    <row r="655" ht="1.5" customHeight="1">
      <c r="A655" s="4" t="str">
        <f>IFERROR(__xludf.DUMMYFUNCTION("""COMPUTED_VALUE"""),"5. Eraser")</f>
        <v>5. Eraser</v>
      </c>
      <c r="B655" s="4" t="str">
        <f>IFERROR(__xludf.DUMMYFUNCTION("""COMPUTED_VALUE"""),"5")</f>
        <v>5</v>
      </c>
      <c r="C655" s="5" t="str">
        <f>IFERROR(__xludf.DUMMYFUNCTION("""COMPUTED_VALUE"""),"https://drive.google.com/file/d/1qNuR3m_VMY9qdWRPAvkO0tadI2Di9H6F/view?usp=drivesdk")</f>
        <v>https://drive.google.com/file/d/1qNuR3m_VMY9qdWRPAvkO0tadI2Di9H6F/view?usp=drivesdk</v>
      </c>
      <c r="D655" s="12"/>
      <c r="E655" s="6">
        <v>711.0</v>
      </c>
      <c r="F655" s="2"/>
      <c r="I655" s="4"/>
    </row>
    <row r="656" ht="1.5" customHeight="1">
      <c r="A656" s="4" t="str">
        <f>IFERROR(__xludf.DUMMYFUNCTION("""COMPUTED_VALUE"""),"5. Eraser")</f>
        <v>5. Eraser</v>
      </c>
      <c r="B656" s="4" t="str">
        <f>IFERROR(__xludf.DUMMYFUNCTION("""COMPUTED_VALUE"""),"5")</f>
        <v>5</v>
      </c>
      <c r="C656" s="5" t="str">
        <f>IFERROR(__xludf.DUMMYFUNCTION("""COMPUTED_VALUE"""),"https://drive.google.com/file/d/1qk6Aq63KFNKRSyQEArP3dtVur66tTYyp/view?usp=drivesdk")</f>
        <v>https://drive.google.com/file/d/1qk6Aq63KFNKRSyQEArP3dtVur66tTYyp/view?usp=drivesdk</v>
      </c>
      <c r="D656" s="12"/>
      <c r="E656" s="11">
        <v>712.0</v>
      </c>
      <c r="F656" s="2"/>
      <c r="I656" s="4"/>
    </row>
    <row r="657" ht="1.5" customHeight="1">
      <c r="A657" s="4" t="str">
        <f>IFERROR(__xludf.DUMMYFUNCTION("""COMPUTED_VALUE"""),"28. Friga")</f>
        <v>28. Friga</v>
      </c>
      <c r="B657" s="4" t="str">
        <f>IFERROR(__xludf.DUMMYFUNCTION("""COMPUTED_VALUE"""),"28")</f>
        <v>28</v>
      </c>
      <c r="C657" s="5" t="str">
        <f>IFERROR(__xludf.DUMMYFUNCTION("""COMPUTED_VALUE"""),"https://drive.google.com/file/d/1Ic1-DqI3L2Om4NOLjYvCssQOzXh1vqzx/view?usp=drivesdk")</f>
        <v>https://drive.google.com/file/d/1Ic1-DqI3L2Om4NOLjYvCssQOzXh1vqzx/view?usp=drivesdk</v>
      </c>
      <c r="D657" s="12"/>
      <c r="E657" s="6">
        <v>713.0</v>
      </c>
      <c r="F657" s="2"/>
      <c r="I657" s="4"/>
    </row>
    <row r="658" ht="1.5" customHeight="1">
      <c r="A658" s="4" t="str">
        <f>IFERROR(__xludf.DUMMYFUNCTION("""COMPUTED_VALUE"""),"24. Garfield")</f>
        <v>24. Garfield</v>
      </c>
      <c r="B658" s="4" t="str">
        <f>IFERROR(__xludf.DUMMYFUNCTION("""COMPUTED_VALUE"""),"24")</f>
        <v>24</v>
      </c>
      <c r="C658" s="5" t="str">
        <f>IFERROR(__xludf.DUMMYFUNCTION("""COMPUTED_VALUE"""),"https://drive.google.com/file/d/1UJuiRQWk2uW8IkvGEZD-fCnxmNopu2wS/view?usp=drivesdk")</f>
        <v>https://drive.google.com/file/d/1UJuiRQWk2uW8IkvGEZD-fCnxmNopu2wS/view?usp=drivesdk</v>
      </c>
      <c r="D658" s="12"/>
      <c r="E658" s="6">
        <v>714.0</v>
      </c>
      <c r="F658" s="2"/>
      <c r="I658" s="4"/>
    </row>
    <row r="659" ht="1.5" customHeight="1">
      <c r="A659" s="4" t="str">
        <f>IFERROR(__xludf.DUMMYFUNCTION("""COMPUTED_VALUE"""),"50. Thor, 49. Freya")</f>
        <v>50. Thor, 49. Freya</v>
      </c>
      <c r="B659" s="4" t="str">
        <f>IFERROR(__xludf.DUMMYFUNCTION("""COMPUTED_VALUE"""),"50, 49")</f>
        <v>50, 49</v>
      </c>
      <c r="C659" s="5" t="str">
        <f>IFERROR(__xludf.DUMMYFUNCTION("""COMPUTED_VALUE"""),"https://drive.google.com/file/d/1NpB0TD0hpsok2xINOBDLJmqYZRNq0Xiv/view?usp=drivesdk")</f>
        <v>https://drive.google.com/file/d/1NpB0TD0hpsok2xINOBDLJmqYZRNq0Xiv/view?usp=drivesdk</v>
      </c>
      <c r="D659" s="12"/>
      <c r="E659" s="6">
        <v>715.0</v>
      </c>
      <c r="F659" s="2"/>
      <c r="I659" s="4"/>
    </row>
    <row r="660" ht="1.5" customHeight="1">
      <c r="A660" s="4" t="str">
        <f>IFERROR(__xludf.DUMMYFUNCTION("""COMPUTED_VALUE"""),"24. Garfield")</f>
        <v>24. Garfield</v>
      </c>
      <c r="B660" s="4" t="str">
        <f>IFERROR(__xludf.DUMMYFUNCTION("""COMPUTED_VALUE"""),"24")</f>
        <v>24</v>
      </c>
      <c r="C660" s="5" t="str">
        <f>IFERROR(__xludf.DUMMYFUNCTION("""COMPUTED_VALUE"""),"https://drive.google.com/file/d/1c8aN2kPKhS_wQnALNnuPMazm4bbTgM8y/view?usp=drivesdk")</f>
        <v>https://drive.google.com/file/d/1c8aN2kPKhS_wQnALNnuPMazm4bbTgM8y/view?usp=drivesdk</v>
      </c>
      <c r="D660" s="12"/>
      <c r="E660" s="11">
        <v>716.0</v>
      </c>
      <c r="F660" s="2"/>
      <c r="I660" s="4"/>
    </row>
    <row r="661" ht="1.5" customHeight="1">
      <c r="A661" s="4" t="str">
        <f>IFERROR(__xludf.DUMMYFUNCTION("""COMPUTED_VALUE"""),"5. Eraser")</f>
        <v>5. Eraser</v>
      </c>
      <c r="B661" s="4" t="str">
        <f>IFERROR(__xludf.DUMMYFUNCTION("""COMPUTED_VALUE"""),"5")</f>
        <v>5</v>
      </c>
      <c r="C661" s="5" t="str">
        <f>IFERROR(__xludf.DUMMYFUNCTION("""COMPUTED_VALUE"""),"https://drive.google.com/file/d/177D8Cur5BlE6iQLamAdJLZ6O5oQIv4F-/view?usp=drivesdk")</f>
        <v>https://drive.google.com/file/d/177D8Cur5BlE6iQLamAdJLZ6O5oQIv4F-/view?usp=drivesdk</v>
      </c>
      <c r="D661" s="12"/>
      <c r="E661" s="6">
        <v>717.0</v>
      </c>
      <c r="F661" s="2"/>
      <c r="I661" s="4"/>
    </row>
    <row r="662" ht="1.5" customHeight="1">
      <c r="A662" s="4" t="str">
        <f>IFERROR(__xludf.DUMMYFUNCTION("""COMPUTED_VALUE"""),"24. Garfield")</f>
        <v>24. Garfield</v>
      </c>
      <c r="B662" s="4" t="str">
        <f>IFERROR(__xludf.DUMMYFUNCTION("""COMPUTED_VALUE"""),"24")</f>
        <v>24</v>
      </c>
      <c r="C662" s="5" t="str">
        <f>IFERROR(__xludf.DUMMYFUNCTION("""COMPUTED_VALUE"""),"https://drive.google.com/file/d/1bMysNNJ-JR99JpVlSWaTjOaXHkZkpKTK/view?usp=drivesdk")</f>
        <v>https://drive.google.com/file/d/1bMysNNJ-JR99JpVlSWaTjOaXHkZkpKTK/view?usp=drivesdk</v>
      </c>
      <c r="D662" s="12"/>
      <c r="E662" s="11">
        <v>718.0</v>
      </c>
      <c r="F662" s="2"/>
      <c r="I662" s="4"/>
    </row>
    <row r="663" ht="1.5" customHeight="1">
      <c r="A663" s="4" t="str">
        <f>IFERROR(__xludf.DUMMYFUNCTION("""COMPUTED_VALUE"""),"49. Freya, 50. Thor")</f>
        <v>49. Freya, 50. Thor</v>
      </c>
      <c r="B663" s="4" t="str">
        <f>IFERROR(__xludf.DUMMYFUNCTION("""COMPUTED_VALUE"""),"49, 50")</f>
        <v>49, 50</v>
      </c>
      <c r="C663" s="5" t="str">
        <f>IFERROR(__xludf.DUMMYFUNCTION("""COMPUTED_VALUE"""),"https://drive.google.com/file/d/159WjAxhNnzc35qYl6DKAxEjvw48kwvSC/view?usp=drivesdk")</f>
        <v>https://drive.google.com/file/d/159WjAxhNnzc35qYl6DKAxEjvw48kwvSC/view?usp=drivesdk</v>
      </c>
      <c r="D663" s="12"/>
      <c r="E663" s="6">
        <v>719.0</v>
      </c>
      <c r="F663" s="2"/>
      <c r="I663" s="4"/>
    </row>
    <row r="664" ht="1.5" customHeight="1">
      <c r="A664" s="4" t="str">
        <f>IFERROR(__xludf.DUMMYFUNCTION("""COMPUTED_VALUE"""),"2. Twix")</f>
        <v>2. Twix</v>
      </c>
      <c r="B664" s="4" t="str">
        <f>IFERROR(__xludf.DUMMYFUNCTION("""COMPUTED_VALUE"""),"2")</f>
        <v>2</v>
      </c>
      <c r="C664" s="5" t="str">
        <f>IFERROR(__xludf.DUMMYFUNCTION("""COMPUTED_VALUE"""),"https://drive.google.com/file/d/1sI5w1sJk9D02bv0tTayNFSTKXQ6eQu5Y/view?usp=drivesdk")</f>
        <v>https://drive.google.com/file/d/1sI5w1sJk9D02bv0tTayNFSTKXQ6eQu5Y/view?usp=drivesdk</v>
      </c>
      <c r="D664" s="12"/>
      <c r="E664" s="6">
        <v>720.0</v>
      </c>
      <c r="F664" s="2"/>
      <c r="I664" s="4"/>
    </row>
    <row r="665" ht="1.5" customHeight="1">
      <c r="A665" s="4" t="str">
        <f>IFERROR(__xludf.DUMMYFUNCTION("""COMPUTED_VALUE"""),"4. Eggs")</f>
        <v>4. Eggs</v>
      </c>
      <c r="B665" s="4" t="str">
        <f>IFERROR(__xludf.DUMMYFUNCTION("""COMPUTED_VALUE"""),"4")</f>
        <v>4</v>
      </c>
      <c r="C665" s="5" t="str">
        <f>IFERROR(__xludf.DUMMYFUNCTION("""COMPUTED_VALUE"""),"https://drive.google.com/file/d/1Cv4dHvHZX50RmSL4za4dHdj-LFnydBgk/view?usp=drivesdk")</f>
        <v>https://drive.google.com/file/d/1Cv4dHvHZX50RmSL4za4dHdj-LFnydBgk/view?usp=drivesdk</v>
      </c>
      <c r="D665" s="12"/>
      <c r="E665" s="6">
        <v>721.0</v>
      </c>
      <c r="F665" s="2"/>
      <c r="I665" s="4"/>
    </row>
    <row r="666" ht="1.5" customHeight="1">
      <c r="A666" s="4" t="str">
        <f>IFERROR(__xludf.DUMMYFUNCTION("""COMPUTED_VALUE"""),"5. Eraser")</f>
        <v>5. Eraser</v>
      </c>
      <c r="B666" s="4" t="str">
        <f>IFERROR(__xludf.DUMMYFUNCTION("""COMPUTED_VALUE"""),"5")</f>
        <v>5</v>
      </c>
      <c r="C666" s="5" t="str">
        <f>IFERROR(__xludf.DUMMYFUNCTION("""COMPUTED_VALUE"""),"https://drive.google.com/file/d/1uTLbrQIxp7fRQNcrJjJBYc1aDto8ABWO/view?usp=drivesdk")</f>
        <v>https://drive.google.com/file/d/1uTLbrQIxp7fRQNcrJjJBYc1aDto8ABWO/view?usp=drivesdk</v>
      </c>
      <c r="D666" s="12"/>
      <c r="E666" s="11">
        <v>722.0</v>
      </c>
      <c r="F666" s="2"/>
      <c r="I666" s="4"/>
    </row>
    <row r="667" ht="1.5" customHeight="1">
      <c r="A667" s="4" t="str">
        <f>IFERROR(__xludf.DUMMYFUNCTION("""COMPUTED_VALUE"""),"49. Freya, 50. Thor")</f>
        <v>49. Freya, 50. Thor</v>
      </c>
      <c r="B667" s="4" t="str">
        <f>IFERROR(__xludf.DUMMYFUNCTION("""COMPUTED_VALUE"""),"49, 50")</f>
        <v>49, 50</v>
      </c>
      <c r="C667" s="5" t="str">
        <f>IFERROR(__xludf.DUMMYFUNCTION("""COMPUTED_VALUE"""),"https://drive.google.com/file/d/1csZ2lf6Q_rwqmFLSmrbFKNQF4uDkfvC6/view?usp=drivesdk")</f>
        <v>https://drive.google.com/file/d/1csZ2lf6Q_rwqmFLSmrbFKNQF4uDkfvC6/view?usp=drivesdk</v>
      </c>
      <c r="D667" s="12"/>
      <c r="E667" s="6">
        <v>723.0</v>
      </c>
      <c r="F667" s="2"/>
      <c r="I667" s="4"/>
    </row>
    <row r="668" ht="1.5" customHeight="1">
      <c r="A668" s="4" t="str">
        <f>IFERROR(__xludf.DUMMYFUNCTION("""COMPUTED_VALUE"""),"29. Ginger")</f>
        <v>29. Ginger</v>
      </c>
      <c r="B668" s="4" t="str">
        <f>IFERROR(__xludf.DUMMYFUNCTION("""COMPUTED_VALUE"""),"29")</f>
        <v>29</v>
      </c>
      <c r="C668" s="5" t="str">
        <f>IFERROR(__xludf.DUMMYFUNCTION("""COMPUTED_VALUE"""),"https://drive.google.com/file/d/1ceuM5bIYR3U_Dy2trPdvfgRkEOe4zPlu/view?usp=drivesdk")</f>
        <v>https://drive.google.com/file/d/1ceuM5bIYR3U_Dy2trPdvfgRkEOe4zPlu/view?usp=drivesdk</v>
      </c>
      <c r="D668" s="12"/>
      <c r="E668" s="11">
        <v>724.0</v>
      </c>
      <c r="F668" s="2"/>
      <c r="I668" s="4"/>
    </row>
    <row r="669" ht="1.5" customHeight="1">
      <c r="A669" s="4" t="str">
        <f>IFERROR(__xludf.DUMMYFUNCTION("""COMPUTED_VALUE"""),"49. Freya, 50. Thor")</f>
        <v>49. Freya, 50. Thor</v>
      </c>
      <c r="B669" s="4" t="str">
        <f>IFERROR(__xludf.DUMMYFUNCTION("""COMPUTED_VALUE"""),"49, 50")</f>
        <v>49, 50</v>
      </c>
      <c r="C669" s="5" t="str">
        <f>IFERROR(__xludf.DUMMYFUNCTION("""COMPUTED_VALUE"""),"https://drive.google.com/file/d/1laMKE4igaP1w7x8v5XeIFEvAoay85hYi/view?usp=drivesdk")</f>
        <v>https://drive.google.com/file/d/1laMKE4igaP1w7x8v5XeIFEvAoay85hYi/view?usp=drivesdk</v>
      </c>
      <c r="D669" s="12"/>
      <c r="E669" s="6">
        <v>725.0</v>
      </c>
      <c r="F669" s="2"/>
      <c r="I669" s="4"/>
    </row>
    <row r="670" ht="1.5" customHeight="1">
      <c r="A670" s="4" t="str">
        <f>IFERROR(__xludf.DUMMYFUNCTION("""COMPUTED_VALUE"""),"5. Eraser")</f>
        <v>5. Eraser</v>
      </c>
      <c r="B670" s="4" t="str">
        <f>IFERROR(__xludf.DUMMYFUNCTION("""COMPUTED_VALUE"""),"5")</f>
        <v>5</v>
      </c>
      <c r="C670" s="5" t="str">
        <f>IFERROR(__xludf.DUMMYFUNCTION("""COMPUTED_VALUE"""),"https://drive.google.com/file/d/1ffmAL4VCXKwgv72GIS1HaVoAXfWrDZM2/view?usp=drivesdk")</f>
        <v>https://drive.google.com/file/d/1ffmAL4VCXKwgv72GIS1HaVoAXfWrDZM2/view?usp=drivesdk</v>
      </c>
      <c r="D670" s="12"/>
      <c r="E670" s="6">
        <v>726.0</v>
      </c>
      <c r="F670" s="2"/>
      <c r="I670" s="4"/>
    </row>
    <row r="671" ht="1.5" customHeight="1">
      <c r="A671" s="4" t="str">
        <f>IFERROR(__xludf.DUMMYFUNCTION("""COMPUTED_VALUE"""),"2. Twix")</f>
        <v>2. Twix</v>
      </c>
      <c r="B671" s="4" t="str">
        <f>IFERROR(__xludf.DUMMYFUNCTION("""COMPUTED_VALUE"""),"2")</f>
        <v>2</v>
      </c>
      <c r="C671" s="5" t="str">
        <f>IFERROR(__xludf.DUMMYFUNCTION("""COMPUTED_VALUE"""),"https://drive.google.com/file/d/1yaZXBOXY_F-m2nPcKxyq7bQ3DZQZKX3j/view?usp=drivesdk")</f>
        <v>https://drive.google.com/file/d/1yaZXBOXY_F-m2nPcKxyq7bQ3DZQZKX3j/view?usp=drivesdk</v>
      </c>
      <c r="D671" s="12"/>
      <c r="E671" s="6">
        <v>727.0</v>
      </c>
      <c r="F671" s="2"/>
      <c r="I671" s="4"/>
    </row>
    <row r="672" ht="1.5" customHeight="1">
      <c r="A672" s="4" t="str">
        <f>IFERROR(__xludf.DUMMYFUNCTION("""COMPUTED_VALUE"""),"49. Freya, 50. Thor")</f>
        <v>49. Freya, 50. Thor</v>
      </c>
      <c r="B672" s="4" t="str">
        <f>IFERROR(__xludf.DUMMYFUNCTION("""COMPUTED_VALUE"""),"49, 50")</f>
        <v>49, 50</v>
      </c>
      <c r="C672" s="5" t="str">
        <f>IFERROR(__xludf.DUMMYFUNCTION("""COMPUTED_VALUE"""),"https://drive.google.com/file/d/1YqFK1opEwgQzg-01EJ0SJ3cxKDub2uE3/view?usp=drivesdk")</f>
        <v>https://drive.google.com/file/d/1YqFK1opEwgQzg-01EJ0SJ3cxKDub2uE3/view?usp=drivesdk</v>
      </c>
      <c r="D672" s="12"/>
      <c r="E672" s="11">
        <v>728.0</v>
      </c>
      <c r="F672" s="2"/>
      <c r="I672" s="4"/>
    </row>
    <row r="673" ht="1.5" customHeight="1">
      <c r="A673" s="4" t="str">
        <f>IFERROR(__xludf.DUMMYFUNCTION("""COMPUTED_VALUE"""),"49. Freya, 50. Thor")</f>
        <v>49. Freya, 50. Thor</v>
      </c>
      <c r="B673" s="4" t="str">
        <f>IFERROR(__xludf.DUMMYFUNCTION("""COMPUTED_VALUE"""),"49, 50")</f>
        <v>49, 50</v>
      </c>
      <c r="C673" s="5" t="str">
        <f>IFERROR(__xludf.DUMMYFUNCTION("""COMPUTED_VALUE"""),"https://drive.google.com/file/d/1FjPoYWeMTuBiguVOYaEEAdh7kBumJZMk/view?usp=drivesdk")</f>
        <v>https://drive.google.com/file/d/1FjPoYWeMTuBiguVOYaEEAdh7kBumJZMk/view?usp=drivesdk</v>
      </c>
      <c r="D673" s="12"/>
      <c r="E673" s="6">
        <v>729.0</v>
      </c>
      <c r="F673" s="2"/>
      <c r="I673" s="4"/>
    </row>
    <row r="674" ht="1.5" customHeight="1">
      <c r="A674" s="4" t="str">
        <f>IFERROR(__xludf.DUMMYFUNCTION("""COMPUTED_VALUE"""),"49. Freya, 50. Thor")</f>
        <v>49. Freya, 50. Thor</v>
      </c>
      <c r="B674" s="4" t="str">
        <f>IFERROR(__xludf.DUMMYFUNCTION("""COMPUTED_VALUE"""),"49, 50")</f>
        <v>49, 50</v>
      </c>
      <c r="C674" s="5" t="str">
        <f>IFERROR(__xludf.DUMMYFUNCTION("""COMPUTED_VALUE"""),"https://drive.google.com/file/d/1jtTjxqeuzhoTyjJPjOAJVXv6ynYIl_AM/view?usp=drivesdk")</f>
        <v>https://drive.google.com/file/d/1jtTjxqeuzhoTyjJPjOAJVXv6ynYIl_AM/view?usp=drivesdk</v>
      </c>
      <c r="D674" s="12"/>
      <c r="E674" s="11">
        <v>730.0</v>
      </c>
      <c r="F674" s="2"/>
      <c r="I674" s="4"/>
    </row>
    <row r="675" ht="1.5" customHeight="1">
      <c r="A675" s="4" t="str">
        <f>IFERROR(__xludf.DUMMYFUNCTION("""COMPUTED_VALUE"""),"49. Freya, 50. Thor")</f>
        <v>49. Freya, 50. Thor</v>
      </c>
      <c r="B675" s="4" t="str">
        <f>IFERROR(__xludf.DUMMYFUNCTION("""COMPUTED_VALUE"""),"49, 50")</f>
        <v>49, 50</v>
      </c>
      <c r="C675" s="5" t="str">
        <f>IFERROR(__xludf.DUMMYFUNCTION("""COMPUTED_VALUE"""),"https://drive.google.com/file/d/1OI4AHM3-aHByAIbvoNZzfNKfZKjQ5npY/view?usp=drivesdk")</f>
        <v>https://drive.google.com/file/d/1OI4AHM3-aHByAIbvoNZzfNKfZKjQ5npY/view?usp=drivesdk</v>
      </c>
      <c r="D675" s="12"/>
      <c r="E675" s="6">
        <v>731.0</v>
      </c>
      <c r="F675" s="2"/>
      <c r="I675" s="4"/>
    </row>
    <row r="676" ht="1.5" customHeight="1">
      <c r="A676" s="4" t="str">
        <f>IFERROR(__xludf.DUMMYFUNCTION("""COMPUTED_VALUE"""),"49. Freya, 50. Thor")</f>
        <v>49. Freya, 50. Thor</v>
      </c>
      <c r="B676" s="4" t="str">
        <f>IFERROR(__xludf.DUMMYFUNCTION("""COMPUTED_VALUE"""),"49, 50")</f>
        <v>49, 50</v>
      </c>
      <c r="C676" s="5" t="str">
        <f>IFERROR(__xludf.DUMMYFUNCTION("""COMPUTED_VALUE"""),"https://drive.google.com/file/d/13jRyygMncmPm5wbJLyQm5C9JJvBqp3Pg/view?usp=drivesdk")</f>
        <v>https://drive.google.com/file/d/13jRyygMncmPm5wbJLyQm5C9JJvBqp3Pg/view?usp=drivesdk</v>
      </c>
      <c r="D676" s="12"/>
      <c r="E676" s="6">
        <v>732.0</v>
      </c>
      <c r="F676" s="2"/>
      <c r="I676" s="4"/>
    </row>
    <row r="677" ht="1.5" customHeight="1">
      <c r="A677" s="4" t="str">
        <f>IFERROR(__xludf.DUMMYFUNCTION("""COMPUTED_VALUE"""),"49. Freya, 50. Thor")</f>
        <v>49. Freya, 50. Thor</v>
      </c>
      <c r="B677" s="4" t="str">
        <f>IFERROR(__xludf.DUMMYFUNCTION("""COMPUTED_VALUE"""),"49, 50")</f>
        <v>49, 50</v>
      </c>
      <c r="C677" s="5" t="str">
        <f>IFERROR(__xludf.DUMMYFUNCTION("""COMPUTED_VALUE"""),"https://drive.google.com/file/d/1cLxVXgx_4Qc8wbeMWGunX-s7yBfwZMxH/view?usp=drivesdk")</f>
        <v>https://drive.google.com/file/d/1cLxVXgx_4Qc8wbeMWGunX-s7yBfwZMxH/view?usp=drivesdk</v>
      </c>
      <c r="D677" s="12"/>
      <c r="E677" s="6">
        <v>733.0</v>
      </c>
      <c r="F677" s="2"/>
      <c r="I677" s="4"/>
    </row>
    <row r="678" ht="1.5" customHeight="1">
      <c r="A678" s="4" t="str">
        <f>IFERROR(__xludf.DUMMYFUNCTION("""COMPUTED_VALUE"""),"49. Freya, 50. Thor")</f>
        <v>49. Freya, 50. Thor</v>
      </c>
      <c r="B678" s="4" t="str">
        <f>IFERROR(__xludf.DUMMYFUNCTION("""COMPUTED_VALUE"""),"49, 50")</f>
        <v>49, 50</v>
      </c>
      <c r="C678" s="5" t="str">
        <f>IFERROR(__xludf.DUMMYFUNCTION("""COMPUTED_VALUE"""),"https://drive.google.com/file/d/12sx9RLzEDDnRqa61MBJawQuUbLqdpz94/view?usp=drivesdk")</f>
        <v>https://drive.google.com/file/d/12sx9RLzEDDnRqa61MBJawQuUbLqdpz94/view?usp=drivesdk</v>
      </c>
      <c r="D678" s="12"/>
      <c r="E678" s="11">
        <v>734.0</v>
      </c>
      <c r="F678" s="2"/>
      <c r="I678" s="4"/>
    </row>
    <row r="679" ht="1.5" customHeight="1">
      <c r="A679" s="4" t="str">
        <f>IFERROR(__xludf.DUMMYFUNCTION("""COMPUTED_VALUE"""),"49. Freya, 50. Thor")</f>
        <v>49. Freya, 50. Thor</v>
      </c>
      <c r="B679" s="4" t="str">
        <f>IFERROR(__xludf.DUMMYFUNCTION("""COMPUTED_VALUE"""),"49, 50")</f>
        <v>49, 50</v>
      </c>
      <c r="C679" s="5" t="str">
        <f>IFERROR(__xludf.DUMMYFUNCTION("""COMPUTED_VALUE"""),"https://drive.google.com/file/d/17uJTiPUbmxJQb_O2es_3GbUWmPh6-HAq/view?usp=drivesdk")</f>
        <v>https://drive.google.com/file/d/17uJTiPUbmxJQb_O2es_3GbUWmPh6-HAq/view?usp=drivesdk</v>
      </c>
      <c r="D679" s="12"/>
      <c r="E679" s="6">
        <v>735.0</v>
      </c>
      <c r="F679" s="2"/>
      <c r="I679" s="4"/>
    </row>
    <row r="680" ht="1.5" customHeight="1">
      <c r="A680" s="4" t="str">
        <f>IFERROR(__xludf.DUMMYFUNCTION("""COMPUTED_VALUE"""),"49. Freya, 50. Thor")</f>
        <v>49. Freya, 50. Thor</v>
      </c>
      <c r="B680" s="4" t="str">
        <f>IFERROR(__xludf.DUMMYFUNCTION("""COMPUTED_VALUE"""),"49, 50")</f>
        <v>49, 50</v>
      </c>
      <c r="C680" s="5" t="str">
        <f>IFERROR(__xludf.DUMMYFUNCTION("""COMPUTED_VALUE"""),"https://drive.google.com/file/d/1jIG0-eo-46ZKKJ5NSbbL1Q82q90bdG5E/view?usp=drivesdk")</f>
        <v>https://drive.google.com/file/d/1jIG0-eo-46ZKKJ5NSbbL1Q82q90bdG5E/view?usp=drivesdk</v>
      </c>
      <c r="D680" s="12"/>
      <c r="E680" s="11">
        <v>736.0</v>
      </c>
      <c r="F680" s="2"/>
      <c r="I680" s="4"/>
    </row>
    <row r="681" ht="1.5" customHeight="1">
      <c r="A681" s="4" t="str">
        <f>IFERROR(__xludf.DUMMYFUNCTION("""COMPUTED_VALUE"""),"49. Freya, 50. Thor")</f>
        <v>49. Freya, 50. Thor</v>
      </c>
      <c r="B681" s="4" t="str">
        <f>IFERROR(__xludf.DUMMYFUNCTION("""COMPUTED_VALUE"""),"49, 50")</f>
        <v>49, 50</v>
      </c>
      <c r="C681" s="5" t="str">
        <f>IFERROR(__xludf.DUMMYFUNCTION("""COMPUTED_VALUE"""),"https://drive.google.com/file/d/1jyzB_HMrX1ntM9Jc-lThBnkV4JEj7tBy/view?usp=drivesdk")</f>
        <v>https://drive.google.com/file/d/1jyzB_HMrX1ntM9Jc-lThBnkV4JEj7tBy/view?usp=drivesdk</v>
      </c>
      <c r="D681" s="12"/>
      <c r="E681" s="6">
        <v>737.0</v>
      </c>
      <c r="F681" s="2"/>
      <c r="I681" s="4"/>
    </row>
    <row r="682" ht="1.5" customHeight="1">
      <c r="A682" s="4" t="str">
        <f>IFERROR(__xludf.DUMMYFUNCTION("""COMPUTED_VALUE"""),"49. Freya, 50. Thor")</f>
        <v>49. Freya, 50. Thor</v>
      </c>
      <c r="B682" s="4" t="str">
        <f>IFERROR(__xludf.DUMMYFUNCTION("""COMPUTED_VALUE"""),"49, 50")</f>
        <v>49, 50</v>
      </c>
      <c r="C682" s="5" t="str">
        <f>IFERROR(__xludf.DUMMYFUNCTION("""COMPUTED_VALUE"""),"https://drive.google.com/file/d/1Memj5sVMsaZsFOdReWzwVRELkr6MRs-q/view?usp=drivesdk")</f>
        <v>https://drive.google.com/file/d/1Memj5sVMsaZsFOdReWzwVRELkr6MRs-q/view?usp=drivesdk</v>
      </c>
      <c r="D682" s="12"/>
      <c r="E682" s="6">
        <v>738.0</v>
      </c>
      <c r="F682" s="2"/>
      <c r="I682" s="4"/>
    </row>
    <row r="683" ht="1.5" customHeight="1">
      <c r="A683" s="4" t="str">
        <f>IFERROR(__xludf.DUMMYFUNCTION("""COMPUTED_VALUE"""),"50. Thor")</f>
        <v>50. Thor</v>
      </c>
      <c r="B683" s="4" t="str">
        <f>IFERROR(__xludf.DUMMYFUNCTION("""COMPUTED_VALUE"""),"50")</f>
        <v>50</v>
      </c>
      <c r="C683" s="5" t="str">
        <f>IFERROR(__xludf.DUMMYFUNCTION("""COMPUTED_VALUE"""),"https://drive.google.com/file/d/1cgqrI9lAoxCnIam5z3in-wz2vMKfot7z/view?usp=drivesdk")</f>
        <v>https://drive.google.com/file/d/1cgqrI9lAoxCnIam5z3in-wz2vMKfot7z/view?usp=drivesdk</v>
      </c>
      <c r="D683" s="12"/>
      <c r="E683" s="6">
        <v>739.0</v>
      </c>
      <c r="F683" s="2"/>
      <c r="I683" s="4"/>
    </row>
    <row r="684" ht="1.5" customHeight="1">
      <c r="A684" s="4" t="str">
        <f>IFERROR(__xludf.DUMMYFUNCTION("""COMPUTED_VALUE"""),"49. Freya, 50. Thor")</f>
        <v>49. Freya, 50. Thor</v>
      </c>
      <c r="B684" s="4" t="str">
        <f>IFERROR(__xludf.DUMMYFUNCTION("""COMPUTED_VALUE"""),"49, 50")</f>
        <v>49, 50</v>
      </c>
      <c r="C684" s="5" t="str">
        <f>IFERROR(__xludf.DUMMYFUNCTION("""COMPUTED_VALUE"""),"https://drive.google.com/file/d/15TRQwKO9LhBrno0pQ9p6ZqGJSBWsj8Gk/view?usp=drivesdk")</f>
        <v>https://drive.google.com/file/d/15TRQwKO9LhBrno0pQ9p6ZqGJSBWsj8Gk/view?usp=drivesdk</v>
      </c>
      <c r="D684" s="12"/>
      <c r="E684" s="11">
        <v>740.0</v>
      </c>
      <c r="F684" s="2"/>
      <c r="I684" s="4"/>
    </row>
    <row r="685" ht="1.5" customHeight="1">
      <c r="A685" s="4" t="str">
        <f>IFERROR(__xludf.DUMMYFUNCTION("""COMPUTED_VALUE"""),"49. Freya, 50. Thor")</f>
        <v>49. Freya, 50. Thor</v>
      </c>
      <c r="B685" s="4" t="str">
        <f>IFERROR(__xludf.DUMMYFUNCTION("""COMPUTED_VALUE"""),"49, 50")</f>
        <v>49, 50</v>
      </c>
      <c r="C685" s="5" t="str">
        <f>IFERROR(__xludf.DUMMYFUNCTION("""COMPUTED_VALUE"""),"https://drive.google.com/file/d/102LX6P4vf6ajr2MR618FiUjFl4wx6e7x/view?usp=drivesdk")</f>
        <v>https://drive.google.com/file/d/102LX6P4vf6ajr2MR618FiUjFl4wx6e7x/view?usp=drivesdk</v>
      </c>
      <c r="D685" s="12"/>
      <c r="E685" s="6">
        <v>741.0</v>
      </c>
      <c r="F685" s="2"/>
      <c r="I685" s="4"/>
    </row>
    <row r="686" ht="1.5" customHeight="1">
      <c r="A686" s="4" t="str">
        <f>IFERROR(__xludf.DUMMYFUNCTION("""COMPUTED_VALUE"""),"50. Thor")</f>
        <v>50. Thor</v>
      </c>
      <c r="B686" s="4" t="str">
        <f>IFERROR(__xludf.DUMMYFUNCTION("""COMPUTED_VALUE"""),"50")</f>
        <v>50</v>
      </c>
      <c r="C686" s="5" t="str">
        <f>IFERROR(__xludf.DUMMYFUNCTION("""COMPUTED_VALUE"""),"https://drive.google.com/file/d/1pNlsY-jYeNFEnUSoZie4TfHiyF6E6amR/view?usp=drivesdk")</f>
        <v>https://drive.google.com/file/d/1pNlsY-jYeNFEnUSoZie4TfHiyF6E6amR/view?usp=drivesdk</v>
      </c>
      <c r="D686" s="12"/>
      <c r="E686" s="11">
        <v>742.0</v>
      </c>
      <c r="F686" s="2"/>
      <c r="I686" s="4"/>
    </row>
    <row r="687" ht="1.5" customHeight="1">
      <c r="A687" s="4" t="str">
        <f>IFERROR(__xludf.DUMMYFUNCTION("""COMPUTED_VALUE"""),"49. Freya, 50. Thor")</f>
        <v>49. Freya, 50. Thor</v>
      </c>
      <c r="B687" s="4" t="str">
        <f>IFERROR(__xludf.DUMMYFUNCTION("""COMPUTED_VALUE"""),"49, 50")</f>
        <v>49, 50</v>
      </c>
      <c r="C687" s="5" t="str">
        <f>IFERROR(__xludf.DUMMYFUNCTION("""COMPUTED_VALUE"""),"https://drive.google.com/file/d/1P_XnNMBOvJmFlNIYhBS7JPDWNRZCs2t4/view?usp=drivesdk")</f>
        <v>https://drive.google.com/file/d/1P_XnNMBOvJmFlNIYhBS7JPDWNRZCs2t4/view?usp=drivesdk</v>
      </c>
      <c r="D687" s="12"/>
      <c r="E687" s="6">
        <v>743.0</v>
      </c>
      <c r="F687" s="2"/>
      <c r="I687" s="4"/>
    </row>
    <row r="688" ht="1.5" customHeight="1">
      <c r="A688" s="4" t="str">
        <f>IFERROR(__xludf.DUMMYFUNCTION("""COMPUTED_VALUE"""),"30. Pepper, 29. Ginger")</f>
        <v>30. Pepper, 29. Ginger</v>
      </c>
      <c r="B688" s="4" t="str">
        <f>IFERROR(__xludf.DUMMYFUNCTION("""COMPUTED_VALUE"""),"30, 29")</f>
        <v>30, 29</v>
      </c>
      <c r="C688" s="5" t="str">
        <f>IFERROR(__xludf.DUMMYFUNCTION("""COMPUTED_VALUE"""),"https://drive.google.com/file/d/1qSB5D8mWv92JYwdlnbi6EJwsznilY0p5/view?usp=drivesdk")</f>
        <v>https://drive.google.com/file/d/1qSB5D8mWv92JYwdlnbi6EJwsznilY0p5/view?usp=drivesdk</v>
      </c>
      <c r="D688" s="12"/>
      <c r="E688" s="6">
        <v>744.0</v>
      </c>
      <c r="F688" s="2"/>
      <c r="I688" s="4"/>
    </row>
    <row r="689" ht="1.5" customHeight="1">
      <c r="A689" s="4" t="str">
        <f>IFERROR(__xludf.DUMMYFUNCTION("""COMPUTED_VALUE"""),"32. Noir, 33. Zee")</f>
        <v>32. Noir, 33. Zee</v>
      </c>
      <c r="B689" s="4" t="str">
        <f>IFERROR(__xludf.DUMMYFUNCTION("""COMPUTED_VALUE"""),"32, 33")</f>
        <v>32, 33</v>
      </c>
      <c r="C689" s="5" t="str">
        <f>IFERROR(__xludf.DUMMYFUNCTION("""COMPUTED_VALUE"""),"https://drive.google.com/file/d/1Pe6DrXHaLkixuVbj583y-R1qZHLxnqeq/view?usp=drivesdk")</f>
        <v>https://drive.google.com/file/d/1Pe6DrXHaLkixuVbj583y-R1qZHLxnqeq/view?usp=drivesdk</v>
      </c>
      <c r="D689" s="12"/>
      <c r="E689" s="6">
        <v>745.0</v>
      </c>
      <c r="F689" s="2"/>
      <c r="I689" s="4"/>
    </row>
    <row r="690" ht="1.5" customHeight="1">
      <c r="A690" s="4" t="str">
        <f>IFERROR(__xludf.DUMMYFUNCTION("""COMPUTED_VALUE"""),"29. Ginger, 33. Zee, 32. Noir, 30. Pepper")</f>
        <v>29. Ginger, 33. Zee, 32. Noir, 30. Pepper</v>
      </c>
      <c r="B690" s="4" t="str">
        <f>IFERROR(__xludf.DUMMYFUNCTION("""COMPUTED_VALUE"""),"29, 33, 32, 30")</f>
        <v>29, 33, 32, 30</v>
      </c>
      <c r="C690" s="5" t="str">
        <f>IFERROR(__xludf.DUMMYFUNCTION("""COMPUTED_VALUE"""),"https://drive.google.com/file/d/10K3FoQ9KzRwzmboUrpXR7IjG3dMlYdIb/view?usp=drivesdk")</f>
        <v>https://drive.google.com/file/d/10K3FoQ9KzRwzmboUrpXR7IjG3dMlYdIb/view?usp=drivesdk</v>
      </c>
      <c r="D690" s="12"/>
      <c r="E690" s="11">
        <v>746.0</v>
      </c>
      <c r="F690" s="2"/>
      <c r="I690" s="4"/>
    </row>
    <row r="691" ht="1.5" customHeight="1">
      <c r="A691" s="4" t="str">
        <f>IFERROR(__xludf.DUMMYFUNCTION("""COMPUTED_VALUE"""),"29. Ginger, 33. Zee, 32. Noir, 30. Pepper")</f>
        <v>29. Ginger, 33. Zee, 32. Noir, 30. Pepper</v>
      </c>
      <c r="B691" s="4" t="str">
        <f>IFERROR(__xludf.DUMMYFUNCTION("""COMPUTED_VALUE"""),"29, 33, 32, 30")</f>
        <v>29, 33, 32, 30</v>
      </c>
      <c r="C691" s="5" t="str">
        <f>IFERROR(__xludf.DUMMYFUNCTION("""COMPUTED_VALUE"""),"https://drive.google.com/file/d/1fWR9nSYpJa4aE5h6H_X0ZPc2M1I_RG4S/view?usp=drivesdk")</f>
        <v>https://drive.google.com/file/d/1fWR9nSYpJa4aE5h6H_X0ZPc2M1I_RG4S/view?usp=drivesdk</v>
      </c>
      <c r="D691" s="12"/>
      <c r="E691" s="6">
        <v>747.0</v>
      </c>
      <c r="F691" s="2"/>
      <c r="I691" s="4"/>
    </row>
    <row r="692" ht="1.5" customHeight="1">
      <c r="A692" s="4" t="str">
        <f>IFERROR(__xludf.DUMMYFUNCTION("""COMPUTED_VALUE"""),"49. Freya, 50. Thor")</f>
        <v>49. Freya, 50. Thor</v>
      </c>
      <c r="B692" s="4" t="str">
        <f>IFERROR(__xludf.DUMMYFUNCTION("""COMPUTED_VALUE"""),"49, 50")</f>
        <v>49, 50</v>
      </c>
      <c r="C692" s="5" t="str">
        <f>IFERROR(__xludf.DUMMYFUNCTION("""COMPUTED_VALUE"""),"https://drive.google.com/file/d/1J63aAT5aea0w3xuQBKu52sN-Q7tl16X6/view?usp=drivesdk")</f>
        <v>https://drive.google.com/file/d/1J63aAT5aea0w3xuQBKu52sN-Q7tl16X6/view?usp=drivesdk</v>
      </c>
      <c r="D692" s="12"/>
      <c r="E692" s="11">
        <v>748.0</v>
      </c>
      <c r="F692" s="2"/>
      <c r="I692" s="4"/>
    </row>
    <row r="693" ht="1.5" customHeight="1">
      <c r="A693" s="4" t="str">
        <f>IFERROR(__xludf.DUMMYFUNCTION("""COMPUTED_VALUE"""),"32. Noir, 29. Ginger")</f>
        <v>32. Noir, 29. Ginger</v>
      </c>
      <c r="B693" s="4" t="str">
        <f>IFERROR(__xludf.DUMMYFUNCTION("""COMPUTED_VALUE"""),"32, 29")</f>
        <v>32, 29</v>
      </c>
      <c r="C693" s="5" t="str">
        <f>IFERROR(__xludf.DUMMYFUNCTION("""COMPUTED_VALUE"""),"https://drive.google.com/file/d/170pAXzIa4GR9n7JUQzmErALTtOEEUlDH/view?usp=drivesdk")</f>
        <v>https://drive.google.com/file/d/170pAXzIa4GR9n7JUQzmErALTtOEEUlDH/view?usp=drivesdk</v>
      </c>
      <c r="D693" s="12"/>
      <c r="E693" s="6">
        <v>749.0</v>
      </c>
      <c r="F693" s="2"/>
      <c r="I693" s="4"/>
    </row>
    <row r="694" ht="1.5" customHeight="1">
      <c r="A694" s="4" t="str">
        <f>IFERROR(__xludf.DUMMYFUNCTION("""COMPUTED_VALUE"""),"32. Noir")</f>
        <v>32. Noir</v>
      </c>
      <c r="B694" s="4" t="str">
        <f>IFERROR(__xludf.DUMMYFUNCTION("""COMPUTED_VALUE"""),"32")</f>
        <v>32</v>
      </c>
      <c r="C694" s="5" t="str">
        <f>IFERROR(__xludf.DUMMYFUNCTION("""COMPUTED_VALUE"""),"https://drive.google.com/file/d/1wmwmH0bWs0v_UivXnSR3IR0sB7CoBzuF/view?usp=drivesdk")</f>
        <v>https://drive.google.com/file/d/1wmwmH0bWs0v_UivXnSR3IR0sB7CoBzuF/view?usp=drivesdk</v>
      </c>
      <c r="D694" s="12"/>
      <c r="E694" s="6">
        <v>750.0</v>
      </c>
      <c r="F694" s="2"/>
      <c r="I694" s="4"/>
    </row>
    <row r="695" ht="1.5" customHeight="1">
      <c r="A695" s="4" t="str">
        <f>IFERROR(__xludf.DUMMYFUNCTION("""COMPUTED_VALUE"""),"30. Pepper, 33. Zee, 29. Ginger")</f>
        <v>30. Pepper, 33. Zee, 29. Ginger</v>
      </c>
      <c r="B695" s="4" t="str">
        <f>IFERROR(__xludf.DUMMYFUNCTION("""COMPUTED_VALUE"""),"30, 33, 29")</f>
        <v>30, 33, 29</v>
      </c>
      <c r="C695" s="5" t="str">
        <f>IFERROR(__xludf.DUMMYFUNCTION("""COMPUTED_VALUE"""),"https://drive.google.com/file/d/1-s_I3ndSC8A19s5OZ1lsIFlWzxtuvKpJ/view?usp=drivesdk")</f>
        <v>https://drive.google.com/file/d/1-s_I3ndSC8A19s5OZ1lsIFlWzxtuvKpJ/view?usp=drivesdk</v>
      </c>
      <c r="D695" s="12"/>
      <c r="E695" s="6">
        <v>751.0</v>
      </c>
      <c r="F695" s="2"/>
      <c r="I695" s="4"/>
    </row>
    <row r="696" ht="1.5" customHeight="1">
      <c r="A696" s="4" t="str">
        <f>IFERROR(__xludf.DUMMYFUNCTION("""COMPUTED_VALUE"""),"30. Pepper, 33. Zee, 29. Ginger")</f>
        <v>30. Pepper, 33. Zee, 29. Ginger</v>
      </c>
      <c r="B696" s="4" t="str">
        <f>IFERROR(__xludf.DUMMYFUNCTION("""COMPUTED_VALUE"""),"30, 33, 29")</f>
        <v>30, 33, 29</v>
      </c>
      <c r="C696" s="5" t="str">
        <f>IFERROR(__xludf.DUMMYFUNCTION("""COMPUTED_VALUE"""),"https://drive.google.com/file/d/1g6b6k0E4yeRjQfIkoPjWkpSmCI4XELGi/view?usp=drivesdk")</f>
        <v>https://drive.google.com/file/d/1g6b6k0E4yeRjQfIkoPjWkpSmCI4XELGi/view?usp=drivesdk</v>
      </c>
      <c r="D696" s="12"/>
      <c r="E696" s="11">
        <v>752.0</v>
      </c>
      <c r="F696" s="2"/>
      <c r="I696" s="4"/>
    </row>
    <row r="697" ht="1.5" customHeight="1">
      <c r="A697" s="4" t="str">
        <f>IFERROR(__xludf.DUMMYFUNCTION("""COMPUTED_VALUE"""),"30. Pepper")</f>
        <v>30. Pepper</v>
      </c>
      <c r="B697" s="4" t="str">
        <f>IFERROR(__xludf.DUMMYFUNCTION("""COMPUTED_VALUE"""),"30")</f>
        <v>30</v>
      </c>
      <c r="C697" s="5" t="str">
        <f>IFERROR(__xludf.DUMMYFUNCTION("""COMPUTED_VALUE"""),"https://drive.google.com/file/d/1jkAcUSFLeaFgDeXooh4OlyR1gzKs3y3Q/view?usp=drivesdk")</f>
        <v>https://drive.google.com/file/d/1jkAcUSFLeaFgDeXooh4OlyR1gzKs3y3Q/view?usp=drivesdk</v>
      </c>
      <c r="D697" s="12"/>
      <c r="E697" s="6">
        <v>753.0</v>
      </c>
      <c r="F697" s="2"/>
      <c r="I697" s="4"/>
    </row>
    <row r="698" ht="1.5" customHeight="1">
      <c r="A698" s="4" t="str">
        <f>IFERROR(__xludf.DUMMYFUNCTION("""COMPUTED_VALUE"""),"30. Pepper, 32. Noir")</f>
        <v>30. Pepper, 32. Noir</v>
      </c>
      <c r="B698" s="4" t="str">
        <f>IFERROR(__xludf.DUMMYFUNCTION("""COMPUTED_VALUE"""),"30, 32")</f>
        <v>30, 32</v>
      </c>
      <c r="C698" s="5" t="str">
        <f>IFERROR(__xludf.DUMMYFUNCTION("""COMPUTED_VALUE"""),"https://drive.google.com/file/d/1I3lzqPh_gSNtP6bEDno01V6KMAw90FPT/view?usp=drivesdk")</f>
        <v>https://drive.google.com/file/d/1I3lzqPh_gSNtP6bEDno01V6KMAw90FPT/view?usp=drivesdk</v>
      </c>
      <c r="D698" s="12"/>
      <c r="E698" s="11">
        <v>754.0</v>
      </c>
      <c r="F698" s="2"/>
      <c r="I698" s="4"/>
    </row>
    <row r="699" ht="1.5" customHeight="1">
      <c r="A699" s="4" t="str">
        <f>IFERROR(__xludf.DUMMYFUNCTION("""COMPUTED_VALUE"""),"29. Ginger, 33. Zee, 32. Noir, 30. Pepper")</f>
        <v>29. Ginger, 33. Zee, 32. Noir, 30. Pepper</v>
      </c>
      <c r="B699" s="4" t="str">
        <f>IFERROR(__xludf.DUMMYFUNCTION("""COMPUTED_VALUE"""),"29, 33, 32, 30")</f>
        <v>29, 33, 32, 30</v>
      </c>
      <c r="C699" s="5" t="str">
        <f>IFERROR(__xludf.DUMMYFUNCTION("""COMPUTED_VALUE"""),"https://drive.google.com/file/d/1zpq_OSsFD5wjR5_EMcUI0LYrXKRcuT5v/view?usp=drivesdk")</f>
        <v>https://drive.google.com/file/d/1zpq_OSsFD5wjR5_EMcUI0LYrXKRcuT5v/view?usp=drivesdk</v>
      </c>
      <c r="D699" s="12"/>
      <c r="E699" s="6">
        <v>755.0</v>
      </c>
      <c r="F699" s="2"/>
      <c r="I699" s="4"/>
    </row>
    <row r="700" ht="1.5" customHeight="1">
      <c r="A700" s="4" t="str">
        <f>IFERROR(__xludf.DUMMYFUNCTION("""COMPUTED_VALUE"""),"32. Noir, 33. Zee")</f>
        <v>32. Noir, 33. Zee</v>
      </c>
      <c r="B700" s="4" t="str">
        <f>IFERROR(__xludf.DUMMYFUNCTION("""COMPUTED_VALUE"""),"32, 33")</f>
        <v>32, 33</v>
      </c>
      <c r="C700" s="5" t="str">
        <f>IFERROR(__xludf.DUMMYFUNCTION("""COMPUTED_VALUE"""),"https://drive.google.com/file/d/1dZBPvW-Boc5lbIoZLvcJceDyZFqvoAIh/view?usp=drivesdk")</f>
        <v>https://drive.google.com/file/d/1dZBPvW-Boc5lbIoZLvcJceDyZFqvoAIh/view?usp=drivesdk</v>
      </c>
      <c r="D700" s="12"/>
      <c r="E700" s="6">
        <v>756.0</v>
      </c>
      <c r="F700" s="2"/>
      <c r="I700" s="4"/>
    </row>
    <row r="701" ht="1.5" customHeight="1">
      <c r="A701" s="4" t="str">
        <f>IFERROR(__xludf.DUMMYFUNCTION("""COMPUTED_VALUE"""),"33. Zee")</f>
        <v>33. Zee</v>
      </c>
      <c r="B701" s="4" t="str">
        <f>IFERROR(__xludf.DUMMYFUNCTION("""COMPUTED_VALUE"""),"33")</f>
        <v>33</v>
      </c>
      <c r="C701" s="5" t="str">
        <f>IFERROR(__xludf.DUMMYFUNCTION("""COMPUTED_VALUE"""),"https://drive.google.com/file/d/1EzcfRjKlIyG7exMkiP5ddK2_Okcj3pin/view?usp=drivesdk")</f>
        <v>https://drive.google.com/file/d/1EzcfRjKlIyG7exMkiP5ddK2_Okcj3pin/view?usp=drivesdk</v>
      </c>
      <c r="D701" s="12"/>
      <c r="E701" s="6">
        <v>757.0</v>
      </c>
      <c r="F701" s="2"/>
      <c r="I701" s="4"/>
    </row>
    <row r="702" ht="1.5" customHeight="1">
      <c r="A702" s="4" t="str">
        <f>IFERROR(__xludf.DUMMYFUNCTION("""COMPUTED_VALUE"""),"33. Zee")</f>
        <v>33. Zee</v>
      </c>
      <c r="B702" s="4" t="str">
        <f>IFERROR(__xludf.DUMMYFUNCTION("""COMPUTED_VALUE"""),"33")</f>
        <v>33</v>
      </c>
      <c r="C702" s="5" t="str">
        <f>IFERROR(__xludf.DUMMYFUNCTION("""COMPUTED_VALUE"""),"https://drive.google.com/file/d/1_IJBROS-QZ2mXP2ZNLtSh1zYHVsAZl8p/view?usp=drivesdk")</f>
        <v>https://drive.google.com/file/d/1_IJBROS-QZ2mXP2ZNLtSh1zYHVsAZl8p/view?usp=drivesdk</v>
      </c>
      <c r="D702" s="12"/>
      <c r="E702" s="11">
        <v>758.0</v>
      </c>
      <c r="F702" s="2"/>
      <c r="I702" s="4"/>
    </row>
    <row r="703" ht="1.5" customHeight="1">
      <c r="A703" s="4" t="str">
        <f>IFERROR(__xludf.DUMMYFUNCTION("""COMPUTED_VALUE"""),"33. Zee")</f>
        <v>33. Zee</v>
      </c>
      <c r="B703" s="4" t="str">
        <f>IFERROR(__xludf.DUMMYFUNCTION("""COMPUTED_VALUE"""),"33")</f>
        <v>33</v>
      </c>
      <c r="C703" s="5" t="str">
        <f>IFERROR(__xludf.DUMMYFUNCTION("""COMPUTED_VALUE"""),"https://drive.google.com/file/d/1j4SJ5X40ScedV_zeu1xCeigzn0d3R0UW/view?usp=drivesdk")</f>
        <v>https://drive.google.com/file/d/1j4SJ5X40ScedV_zeu1xCeigzn0d3R0UW/view?usp=drivesdk</v>
      </c>
      <c r="D703" s="12"/>
      <c r="E703" s="6">
        <v>759.0</v>
      </c>
      <c r="F703" s="2"/>
      <c r="I703" s="4"/>
    </row>
    <row r="704" ht="1.5" customHeight="1">
      <c r="A704" s="4" t="str">
        <f>IFERROR(__xludf.DUMMYFUNCTION("""COMPUTED_VALUE"""),"1. Microwave")</f>
        <v>1. Microwave</v>
      </c>
      <c r="B704" s="4" t="str">
        <f>IFERROR(__xludf.DUMMYFUNCTION("""COMPUTED_VALUE"""),"1")</f>
        <v>1</v>
      </c>
      <c r="C704" s="5" t="str">
        <f>IFERROR(__xludf.DUMMYFUNCTION("""COMPUTED_VALUE"""),"https://drive.google.com/file/d/1Jt7Dd0XJ98_vhfuG1w65KrH5h-F-q2qU/view?usp=drivesdk")</f>
        <v>https://drive.google.com/file/d/1Jt7Dd0XJ98_vhfuG1w65KrH5h-F-q2qU/view?usp=drivesdk</v>
      </c>
      <c r="D704" s="12"/>
      <c r="E704" s="11">
        <v>760.0</v>
      </c>
      <c r="F704" s="2"/>
      <c r="I704" s="4"/>
    </row>
    <row r="705" ht="1.5" customHeight="1">
      <c r="A705" s="4" t="str">
        <f>IFERROR(__xludf.DUMMYFUNCTION("""COMPUTED_VALUE"""),"1. Microwave")</f>
        <v>1. Microwave</v>
      </c>
      <c r="B705" s="4" t="str">
        <f>IFERROR(__xludf.DUMMYFUNCTION("""COMPUTED_VALUE"""),"1")</f>
        <v>1</v>
      </c>
      <c r="C705" s="5" t="str">
        <f>IFERROR(__xludf.DUMMYFUNCTION("""COMPUTED_VALUE"""),"https://drive.google.com/file/d/1UEiTDYXHSDh1thnggBR7z8Kj0H5rUwDu/view?usp=drivesdk")</f>
        <v>https://drive.google.com/file/d/1UEiTDYXHSDh1thnggBR7z8Kj0H5rUwDu/view?usp=drivesdk</v>
      </c>
      <c r="D705" s="12"/>
      <c r="E705" s="6">
        <v>761.0</v>
      </c>
      <c r="F705" s="2"/>
      <c r="I705" s="4"/>
    </row>
    <row r="706" ht="1.5" customHeight="1">
      <c r="A706" s="4" t="str">
        <f>IFERROR(__xludf.DUMMYFUNCTION("""COMPUTED_VALUE"""),"29. Ginger, 32. Noir")</f>
        <v>29. Ginger, 32. Noir</v>
      </c>
      <c r="B706" s="4" t="str">
        <f>IFERROR(__xludf.DUMMYFUNCTION("""COMPUTED_VALUE"""),"29, 32")</f>
        <v>29, 32</v>
      </c>
      <c r="C706" s="5" t="str">
        <f>IFERROR(__xludf.DUMMYFUNCTION("""COMPUTED_VALUE"""),"https://drive.google.com/file/d/1-QgWUTcfGVgiF5q_jXHXZck6V4jvQW06/view?usp=drivesdk")</f>
        <v>https://drive.google.com/file/d/1-QgWUTcfGVgiF5q_jXHXZck6V4jvQW06/view?usp=drivesdk</v>
      </c>
      <c r="D706" s="12"/>
      <c r="E706" s="6">
        <v>762.0</v>
      </c>
      <c r="F706" s="2"/>
      <c r="I706" s="4"/>
    </row>
    <row r="707" ht="1.5" customHeight="1">
      <c r="A707" s="4" t="str">
        <f>IFERROR(__xludf.DUMMYFUNCTION("""COMPUTED_VALUE"""),"2. Twix")</f>
        <v>2. Twix</v>
      </c>
      <c r="B707" s="4" t="str">
        <f>IFERROR(__xludf.DUMMYFUNCTION("""COMPUTED_VALUE"""),"2")</f>
        <v>2</v>
      </c>
      <c r="C707" s="5" t="str">
        <f>IFERROR(__xludf.DUMMYFUNCTION("""COMPUTED_VALUE"""),"https://drive.google.com/file/d/1aG70--GYC8VzKST2GKDyhl-jf8bnPukO/view?usp=drivesdk")</f>
        <v>https://drive.google.com/file/d/1aG70--GYC8VzKST2GKDyhl-jf8bnPukO/view?usp=drivesdk</v>
      </c>
      <c r="D707" s="12"/>
      <c r="E707" s="6">
        <v>763.0</v>
      </c>
      <c r="F707" s="2"/>
      <c r="I707" s="4"/>
    </row>
    <row r="708" ht="1.5" customHeight="1">
      <c r="A708" s="4" t="str">
        <f>IFERROR(__xludf.DUMMYFUNCTION("""COMPUTED_VALUE"""),"2. Twix")</f>
        <v>2. Twix</v>
      </c>
      <c r="B708" s="4" t="str">
        <f>IFERROR(__xludf.DUMMYFUNCTION("""COMPUTED_VALUE"""),"2")</f>
        <v>2</v>
      </c>
      <c r="C708" s="5" t="str">
        <f>IFERROR(__xludf.DUMMYFUNCTION("""COMPUTED_VALUE"""),"https://drive.google.com/file/d/1nYoQVJE_v5qpLUnKf5m5JCuyvuOsR-6_/view?usp=drivesdk")</f>
        <v>https://drive.google.com/file/d/1nYoQVJE_v5qpLUnKf5m5JCuyvuOsR-6_/view?usp=drivesdk</v>
      </c>
      <c r="D708" s="12"/>
      <c r="E708" s="11">
        <v>764.0</v>
      </c>
      <c r="F708" s="2"/>
      <c r="I708" s="4"/>
    </row>
    <row r="709" ht="1.5" customHeight="1">
      <c r="A709" s="4" t="str">
        <f>IFERROR(__xludf.DUMMYFUNCTION("""COMPUTED_VALUE"""),"2. Twix")</f>
        <v>2. Twix</v>
      </c>
      <c r="B709" s="4" t="str">
        <f>IFERROR(__xludf.DUMMYFUNCTION("""COMPUTED_VALUE"""),"2")</f>
        <v>2</v>
      </c>
      <c r="C709" s="5" t="str">
        <f>IFERROR(__xludf.DUMMYFUNCTION("""COMPUTED_VALUE"""),"https://drive.google.com/file/d/135zjjugG2gl8wPnxmf9BQsW9dKAVZ0Yy/view?usp=drivesdk")</f>
        <v>https://drive.google.com/file/d/135zjjugG2gl8wPnxmf9BQsW9dKAVZ0Yy/view?usp=drivesdk</v>
      </c>
      <c r="D709" s="12"/>
      <c r="E709" s="6">
        <v>765.0</v>
      </c>
      <c r="F709" s="2"/>
      <c r="I709" s="4"/>
    </row>
    <row r="710" ht="1.5" customHeight="1">
      <c r="A710" s="4" t="str">
        <f>IFERROR(__xludf.DUMMYFUNCTION("""COMPUTED_VALUE"""),"1. Microwave")</f>
        <v>1. Microwave</v>
      </c>
      <c r="B710" s="4" t="str">
        <f>IFERROR(__xludf.DUMMYFUNCTION("""COMPUTED_VALUE"""),"1")</f>
        <v>1</v>
      </c>
      <c r="C710" s="5" t="str">
        <f>IFERROR(__xludf.DUMMYFUNCTION("""COMPUTED_VALUE"""),"https://drive.google.com/file/d/1gBjQ1nR_smtw_WEHjX3Ok5me_xmVWKap/view?usp=drivesdk")</f>
        <v>https://drive.google.com/file/d/1gBjQ1nR_smtw_WEHjX3Ok5me_xmVWKap/view?usp=drivesdk</v>
      </c>
      <c r="D710" s="12"/>
      <c r="E710" s="11">
        <v>766.0</v>
      </c>
      <c r="F710" s="2"/>
      <c r="I710" s="4"/>
    </row>
    <row r="711" ht="1.5" customHeight="1">
      <c r="A711" s="4" t="str">
        <f>IFERROR(__xludf.DUMMYFUNCTION("""COMPUTED_VALUE"""),"2. Twix")</f>
        <v>2. Twix</v>
      </c>
      <c r="B711" s="4" t="str">
        <f>IFERROR(__xludf.DUMMYFUNCTION("""COMPUTED_VALUE"""),"2")</f>
        <v>2</v>
      </c>
      <c r="C711" s="5" t="str">
        <f>IFERROR(__xludf.DUMMYFUNCTION("""COMPUTED_VALUE"""),"https://drive.google.com/file/d/1doNofCmMWFmxCLb8-80DcbSoKNZ_O4Uv/view?usp=drivesdk")</f>
        <v>https://drive.google.com/file/d/1doNofCmMWFmxCLb8-80DcbSoKNZ_O4Uv/view?usp=drivesdk</v>
      </c>
      <c r="D711" s="12"/>
      <c r="E711" s="6">
        <v>767.0</v>
      </c>
      <c r="F711" s="2"/>
      <c r="I711" s="4"/>
    </row>
    <row r="712" ht="1.5" customHeight="1">
      <c r="A712" s="4" t="str">
        <f>IFERROR(__xludf.DUMMYFUNCTION("""COMPUTED_VALUE"""),"2. Twix")</f>
        <v>2. Twix</v>
      </c>
      <c r="B712" s="4" t="str">
        <f>IFERROR(__xludf.DUMMYFUNCTION("""COMPUTED_VALUE"""),"2")</f>
        <v>2</v>
      </c>
      <c r="C712" s="5" t="str">
        <f>IFERROR(__xludf.DUMMYFUNCTION("""COMPUTED_VALUE"""),"https://drive.google.com/file/d/1Y8ucXEkS6Pe5jh3rtTciE9gdclZ9zOid/view?usp=drivesdk")</f>
        <v>https://drive.google.com/file/d/1Y8ucXEkS6Pe5jh3rtTciE9gdclZ9zOid/view?usp=drivesdk</v>
      </c>
      <c r="D712" s="12"/>
      <c r="E712" s="6">
        <v>768.0</v>
      </c>
      <c r="F712" s="2"/>
      <c r="I712" s="4"/>
    </row>
    <row r="713" ht="1.5" customHeight="1">
      <c r="A713" s="4" t="str">
        <f>IFERROR(__xludf.DUMMYFUNCTION("""COMPUTED_VALUE"""),"2. Twix")</f>
        <v>2. Twix</v>
      </c>
      <c r="B713" s="4" t="str">
        <f>IFERROR(__xludf.DUMMYFUNCTION("""COMPUTED_VALUE"""),"2")</f>
        <v>2</v>
      </c>
      <c r="C713" s="5" t="str">
        <f>IFERROR(__xludf.DUMMYFUNCTION("""COMPUTED_VALUE"""),"https://drive.google.com/file/d/151eXtm8N0JQPw2DXkOw3uLZeQgTq4H8C/view?usp=drivesdk")</f>
        <v>https://drive.google.com/file/d/151eXtm8N0JQPw2DXkOw3uLZeQgTq4H8C/view?usp=drivesdk</v>
      </c>
      <c r="D713" s="12"/>
      <c r="E713" s="6">
        <v>769.0</v>
      </c>
      <c r="F713" s="2"/>
      <c r="I713" s="4"/>
    </row>
    <row r="714" ht="1.5" customHeight="1">
      <c r="A714" s="4" t="str">
        <f>IFERROR(__xludf.DUMMYFUNCTION("""COMPUTED_VALUE"""),"2. Twix")</f>
        <v>2. Twix</v>
      </c>
      <c r="B714" s="4" t="str">
        <f>IFERROR(__xludf.DUMMYFUNCTION("""COMPUTED_VALUE"""),"2")</f>
        <v>2</v>
      </c>
      <c r="C714" s="5" t="str">
        <f>IFERROR(__xludf.DUMMYFUNCTION("""COMPUTED_VALUE"""),"https://drive.google.com/file/d/1KYnOAp2qOO4Nvvf5SqdrBZn-rXwYkXUj/view?usp=drivesdk")</f>
        <v>https://drive.google.com/file/d/1KYnOAp2qOO4Nvvf5SqdrBZn-rXwYkXUj/view?usp=drivesdk</v>
      </c>
      <c r="D714" s="12"/>
      <c r="E714" s="11">
        <v>770.0</v>
      </c>
      <c r="F714" s="2"/>
      <c r="I714" s="4"/>
    </row>
    <row r="715" ht="1.5" customHeight="1">
      <c r="A715" s="4" t="str">
        <f>IFERROR(__xludf.DUMMYFUNCTION("""COMPUTED_VALUE"""),"32. Noir, 29. Ginger")</f>
        <v>32. Noir, 29. Ginger</v>
      </c>
      <c r="B715" s="4" t="str">
        <f>IFERROR(__xludf.DUMMYFUNCTION("""COMPUTED_VALUE"""),"32, 29")</f>
        <v>32, 29</v>
      </c>
      <c r="C715" s="5" t="str">
        <f>IFERROR(__xludf.DUMMYFUNCTION("""COMPUTED_VALUE"""),"https://drive.google.com/file/d/1UJy1Yk5fXxE537SQSGiP7SEie9TZCANW/view?usp=drivesdk")</f>
        <v>https://drive.google.com/file/d/1UJy1Yk5fXxE537SQSGiP7SEie9TZCANW/view?usp=drivesdk</v>
      </c>
      <c r="D715" s="12"/>
      <c r="E715" s="6">
        <v>771.0</v>
      </c>
      <c r="F715" s="2"/>
      <c r="I715" s="4"/>
    </row>
    <row r="716" ht="1.5" customHeight="1">
      <c r="A716" s="4" t="str">
        <f>IFERROR(__xludf.DUMMYFUNCTION("""COMPUTED_VALUE"""),"1. Microwave")</f>
        <v>1. Microwave</v>
      </c>
      <c r="B716" s="4" t="str">
        <f>IFERROR(__xludf.DUMMYFUNCTION("""COMPUTED_VALUE"""),"1")</f>
        <v>1</v>
      </c>
      <c r="C716" s="5" t="str">
        <f>IFERROR(__xludf.DUMMYFUNCTION("""COMPUTED_VALUE"""),"https://drive.google.com/file/d/1jAH3YSGWDxrGLZ9Ad85Z2Yp7tGFd84v8/view?usp=drivesdk")</f>
        <v>https://drive.google.com/file/d/1jAH3YSGWDxrGLZ9Ad85Z2Yp7tGFd84v8/view?usp=drivesdk</v>
      </c>
      <c r="D716" s="12"/>
      <c r="E716" s="11">
        <v>772.0</v>
      </c>
      <c r="F716" s="2"/>
      <c r="I716" s="4"/>
    </row>
    <row r="717" ht="1.5" customHeight="1">
      <c r="A717" s="4" t="str">
        <f>IFERROR(__xludf.DUMMYFUNCTION("""COMPUTED_VALUE"""),"2. Twix")</f>
        <v>2. Twix</v>
      </c>
      <c r="B717" s="4" t="str">
        <f>IFERROR(__xludf.DUMMYFUNCTION("""COMPUTED_VALUE"""),"2")</f>
        <v>2</v>
      </c>
      <c r="C717" s="5" t="str">
        <f>IFERROR(__xludf.DUMMYFUNCTION("""COMPUTED_VALUE"""),"https://drive.google.com/file/d/1OBSfM4OaG-GoOrPFH2pYeb3Bsam1QLuy/view?usp=drivesdk")</f>
        <v>https://drive.google.com/file/d/1OBSfM4OaG-GoOrPFH2pYeb3Bsam1QLuy/view?usp=drivesdk</v>
      </c>
      <c r="D717" s="12"/>
      <c r="E717" s="6">
        <v>773.0</v>
      </c>
      <c r="F717" s="2"/>
      <c r="I717" s="4"/>
    </row>
    <row r="718" ht="1.5" customHeight="1">
      <c r="A718" s="4" t="str">
        <f>IFERROR(__xludf.DUMMYFUNCTION("""COMPUTED_VALUE"""),"2. Twix")</f>
        <v>2. Twix</v>
      </c>
      <c r="B718" s="4" t="str">
        <f>IFERROR(__xludf.DUMMYFUNCTION("""COMPUTED_VALUE"""),"2")</f>
        <v>2</v>
      </c>
      <c r="C718" s="5" t="str">
        <f>IFERROR(__xludf.DUMMYFUNCTION("""COMPUTED_VALUE"""),"https://drive.google.com/file/d/1mom1YDncJlsEc4L6yG1rDktrRySWUGmd/view?usp=drivesdk")</f>
        <v>https://drive.google.com/file/d/1mom1YDncJlsEc4L6yG1rDktrRySWUGmd/view?usp=drivesdk</v>
      </c>
      <c r="D718" s="12"/>
      <c r="E718" s="6">
        <v>774.0</v>
      </c>
      <c r="F718" s="2"/>
      <c r="I718" s="4"/>
    </row>
    <row r="719" ht="1.5" customHeight="1">
      <c r="A719" s="4" t="str">
        <f>IFERROR(__xludf.DUMMYFUNCTION("""COMPUTED_VALUE"""),"1. Microwave")</f>
        <v>1. Microwave</v>
      </c>
      <c r="B719" s="4" t="str">
        <f>IFERROR(__xludf.DUMMYFUNCTION("""COMPUTED_VALUE"""),"1")</f>
        <v>1</v>
      </c>
      <c r="C719" s="5" t="str">
        <f>IFERROR(__xludf.DUMMYFUNCTION("""COMPUTED_VALUE"""),"https://drive.google.com/file/d/1y2eCAzsuyNtnugJNvivqwZsj-rTeU-sc/view?usp=drivesdk")</f>
        <v>https://drive.google.com/file/d/1y2eCAzsuyNtnugJNvivqwZsj-rTeU-sc/view?usp=drivesdk</v>
      </c>
      <c r="D719" s="12"/>
      <c r="E719" s="6">
        <v>775.0</v>
      </c>
      <c r="F719" s="2"/>
      <c r="I719" s="4"/>
    </row>
    <row r="720" ht="1.5" customHeight="1">
      <c r="A720" s="4" t="str">
        <f>IFERROR(__xludf.DUMMYFUNCTION("""COMPUTED_VALUE"""),"2. Twix")</f>
        <v>2. Twix</v>
      </c>
      <c r="B720" s="4" t="str">
        <f>IFERROR(__xludf.DUMMYFUNCTION("""COMPUTED_VALUE"""),"2")</f>
        <v>2</v>
      </c>
      <c r="C720" s="5" t="str">
        <f>IFERROR(__xludf.DUMMYFUNCTION("""COMPUTED_VALUE"""),"https://drive.google.com/file/d/1zOlU6wT2SqYB1CBp_WJ-Kvg7FYpUCDv5/view?usp=drivesdk")</f>
        <v>https://drive.google.com/file/d/1zOlU6wT2SqYB1CBp_WJ-Kvg7FYpUCDv5/view?usp=drivesdk</v>
      </c>
      <c r="D720" s="12"/>
      <c r="E720" s="11">
        <v>776.0</v>
      </c>
      <c r="F720" s="2"/>
      <c r="I720" s="4"/>
    </row>
    <row r="721" ht="1.5" customHeight="1">
      <c r="A721" s="4" t="str">
        <f>IFERROR(__xludf.DUMMYFUNCTION("""COMPUTED_VALUE"""),"2. Twix")</f>
        <v>2. Twix</v>
      </c>
      <c r="B721" s="4" t="str">
        <f>IFERROR(__xludf.DUMMYFUNCTION("""COMPUTED_VALUE"""),"2")</f>
        <v>2</v>
      </c>
      <c r="C721" s="5" t="str">
        <f>IFERROR(__xludf.DUMMYFUNCTION("""COMPUTED_VALUE"""),"https://drive.google.com/file/d/1cJ0A21nJcLPuiQYv1raJ1l7W3bsUJd3o/view?usp=drivesdk")</f>
        <v>https://drive.google.com/file/d/1cJ0A21nJcLPuiQYv1raJ1l7W3bsUJd3o/view?usp=drivesdk</v>
      </c>
      <c r="D721" s="12"/>
      <c r="E721" s="6">
        <v>777.0</v>
      </c>
      <c r="F721" s="2"/>
      <c r="I721" s="4"/>
    </row>
    <row r="722" ht="1.5" customHeight="1">
      <c r="A722" s="4" t="str">
        <f>IFERROR(__xludf.DUMMYFUNCTION("""COMPUTED_VALUE"""),"2. Twix")</f>
        <v>2. Twix</v>
      </c>
      <c r="B722" s="4" t="str">
        <f>IFERROR(__xludf.DUMMYFUNCTION("""COMPUTED_VALUE"""),"2")</f>
        <v>2</v>
      </c>
      <c r="C722" s="5" t="str">
        <f>IFERROR(__xludf.DUMMYFUNCTION("""COMPUTED_VALUE"""),"https://drive.google.com/file/d/1Z2DWgubMwC6NoWNiKD2B77E3PXFV8kse/view?usp=drivesdk")</f>
        <v>https://drive.google.com/file/d/1Z2DWgubMwC6NoWNiKD2B77E3PXFV8kse/view?usp=drivesdk</v>
      </c>
      <c r="D722" s="12"/>
      <c r="E722" s="11">
        <v>778.0</v>
      </c>
      <c r="F722" s="2"/>
      <c r="I722" s="4"/>
    </row>
    <row r="723" ht="1.5" customHeight="1">
      <c r="A723" s="4" t="str">
        <f>IFERROR(__xludf.DUMMYFUNCTION("""COMPUTED_VALUE"""),"2. Twix")</f>
        <v>2. Twix</v>
      </c>
      <c r="B723" s="4" t="str">
        <f>IFERROR(__xludf.DUMMYFUNCTION("""COMPUTED_VALUE"""),"2")</f>
        <v>2</v>
      </c>
      <c r="C723" s="5" t="str">
        <f>IFERROR(__xludf.DUMMYFUNCTION("""COMPUTED_VALUE"""),"https://drive.google.com/file/d/1LqRgxMx-yGhh2qQRrwrkdyKFc44EDKFf/view?usp=drivesdk")</f>
        <v>https://drive.google.com/file/d/1LqRgxMx-yGhh2qQRrwrkdyKFc44EDKFf/view?usp=drivesdk</v>
      </c>
      <c r="D723" s="12"/>
      <c r="E723" s="6">
        <v>779.0</v>
      </c>
      <c r="F723" s="2"/>
      <c r="I723" s="4"/>
    </row>
    <row r="724" ht="1.5" customHeight="1">
      <c r="A724" s="4" t="str">
        <f>IFERROR(__xludf.DUMMYFUNCTION("""COMPUTED_VALUE"""),"2. Twix")</f>
        <v>2. Twix</v>
      </c>
      <c r="B724" s="4" t="str">
        <f>IFERROR(__xludf.DUMMYFUNCTION("""COMPUTED_VALUE"""),"2")</f>
        <v>2</v>
      </c>
      <c r="C724" s="5" t="str">
        <f>IFERROR(__xludf.DUMMYFUNCTION("""COMPUTED_VALUE"""),"https://drive.google.com/file/d/14I7u4OatIc2VidkmyHcsQHd1kA1JtAA_/view?usp=drivesdk")</f>
        <v>https://drive.google.com/file/d/14I7u4OatIc2VidkmyHcsQHd1kA1JtAA_/view?usp=drivesdk</v>
      </c>
      <c r="D724" s="12"/>
      <c r="E724" s="6">
        <v>780.0</v>
      </c>
      <c r="F724" s="2"/>
      <c r="I724" s="4"/>
    </row>
    <row r="725" ht="1.5" customHeight="1">
      <c r="A725" s="4" t="str">
        <f>IFERROR(__xludf.DUMMYFUNCTION("""COMPUTED_VALUE"""),"2. Twix")</f>
        <v>2. Twix</v>
      </c>
      <c r="B725" s="4" t="str">
        <f>IFERROR(__xludf.DUMMYFUNCTION("""COMPUTED_VALUE"""),"2")</f>
        <v>2</v>
      </c>
      <c r="C725" s="5" t="str">
        <f>IFERROR(__xludf.DUMMYFUNCTION("""COMPUTED_VALUE"""),"https://drive.google.com/file/d/1wjIbZayuL3SVTAa9Aq-8-K1yYdcLU0gW/view?usp=drivesdk")</f>
        <v>https://drive.google.com/file/d/1wjIbZayuL3SVTAa9Aq-8-K1yYdcLU0gW/view?usp=drivesdk</v>
      </c>
      <c r="D725" s="12"/>
      <c r="E725" s="6">
        <v>781.0</v>
      </c>
      <c r="F725" s="2"/>
      <c r="I725" s="4"/>
    </row>
    <row r="726" ht="1.5" customHeight="1">
      <c r="A726" s="4" t="str">
        <f>IFERROR(__xludf.DUMMYFUNCTION("""COMPUTED_VALUE"""),"2. Twix")</f>
        <v>2. Twix</v>
      </c>
      <c r="B726" s="4" t="str">
        <f>IFERROR(__xludf.DUMMYFUNCTION("""COMPUTED_VALUE"""),"2")</f>
        <v>2</v>
      </c>
      <c r="C726" s="5" t="str">
        <f>IFERROR(__xludf.DUMMYFUNCTION("""COMPUTED_VALUE"""),"https://drive.google.com/file/d/1tn6RPDFWz9RmZAbmMK1TivOEAFXjaHQ_/view?usp=drivesdk")</f>
        <v>https://drive.google.com/file/d/1tn6RPDFWz9RmZAbmMK1TivOEAFXjaHQ_/view?usp=drivesdk</v>
      </c>
      <c r="D726" s="12"/>
      <c r="E726" s="11">
        <v>782.0</v>
      </c>
      <c r="F726" s="2"/>
      <c r="I726" s="4"/>
    </row>
    <row r="727" ht="1.5" customHeight="1">
      <c r="A727" s="4" t="str">
        <f>IFERROR(__xludf.DUMMYFUNCTION("""COMPUTED_VALUE"""),"2. Twix")</f>
        <v>2. Twix</v>
      </c>
      <c r="B727" s="4" t="str">
        <f>IFERROR(__xludf.DUMMYFUNCTION("""COMPUTED_VALUE"""),"2")</f>
        <v>2</v>
      </c>
      <c r="C727" s="5" t="str">
        <f>IFERROR(__xludf.DUMMYFUNCTION("""COMPUTED_VALUE"""),"https://drive.google.com/file/d/1tPRWY_0HS3YSsMvL_RqgB1b1rIVE47H1/view?usp=drivesdk")</f>
        <v>https://drive.google.com/file/d/1tPRWY_0HS3YSsMvL_RqgB1b1rIVE47H1/view?usp=drivesdk</v>
      </c>
      <c r="D727" s="12"/>
      <c r="E727" s="6">
        <v>783.0</v>
      </c>
      <c r="F727" s="2"/>
      <c r="I727" s="4"/>
    </row>
    <row r="728" ht="1.5" customHeight="1">
      <c r="A728" s="4" t="str">
        <f>IFERROR(__xludf.DUMMYFUNCTION("""COMPUTED_VALUE"""),"2. Twix")</f>
        <v>2. Twix</v>
      </c>
      <c r="B728" s="4" t="str">
        <f>IFERROR(__xludf.DUMMYFUNCTION("""COMPUTED_VALUE"""),"2")</f>
        <v>2</v>
      </c>
      <c r="C728" s="5" t="str">
        <f>IFERROR(__xludf.DUMMYFUNCTION("""COMPUTED_VALUE"""),"https://drive.google.com/file/d/1-PrsV6sxlVwkywtV0LituvoZxp-r00Vf/view?usp=drivesdk")</f>
        <v>https://drive.google.com/file/d/1-PrsV6sxlVwkywtV0LituvoZxp-r00Vf/view?usp=drivesdk</v>
      </c>
      <c r="D728" s="12"/>
      <c r="E728" s="11">
        <v>784.0</v>
      </c>
      <c r="F728" s="2"/>
      <c r="I728" s="4"/>
    </row>
    <row r="729" ht="1.5" customHeight="1">
      <c r="A729" s="4" t="str">
        <f>IFERROR(__xludf.DUMMYFUNCTION("""COMPUTED_VALUE"""),"2. Twix")</f>
        <v>2. Twix</v>
      </c>
      <c r="B729" s="4" t="str">
        <f>IFERROR(__xludf.DUMMYFUNCTION("""COMPUTED_VALUE"""),"2")</f>
        <v>2</v>
      </c>
      <c r="C729" s="5" t="str">
        <f>IFERROR(__xludf.DUMMYFUNCTION("""COMPUTED_VALUE"""),"https://drive.google.com/file/d/1P0fSfWc09otltoDGdZpX-eRp-MfIZdKr/view?usp=drivesdk")</f>
        <v>https://drive.google.com/file/d/1P0fSfWc09otltoDGdZpX-eRp-MfIZdKr/view?usp=drivesdk</v>
      </c>
      <c r="D729" s="12"/>
      <c r="E729" s="6">
        <v>785.0</v>
      </c>
      <c r="F729" s="2"/>
      <c r="I729" s="4"/>
    </row>
    <row r="730" ht="1.5" customHeight="1">
      <c r="A730" s="4" t="str">
        <f>IFERROR(__xludf.DUMMYFUNCTION("""COMPUTED_VALUE"""),"2. Twix")</f>
        <v>2. Twix</v>
      </c>
      <c r="B730" s="4" t="str">
        <f>IFERROR(__xludf.DUMMYFUNCTION("""COMPUTED_VALUE"""),"2")</f>
        <v>2</v>
      </c>
      <c r="C730" s="5" t="str">
        <f>IFERROR(__xludf.DUMMYFUNCTION("""COMPUTED_VALUE"""),"https://drive.google.com/file/d/1lZaFNRYKJmHdpTa_dB9uf-KwGIFGbjCW/view?usp=drivesdk")</f>
        <v>https://drive.google.com/file/d/1lZaFNRYKJmHdpTa_dB9uf-KwGIFGbjCW/view?usp=drivesdk</v>
      </c>
      <c r="D730" s="12"/>
      <c r="E730" s="6">
        <v>786.0</v>
      </c>
      <c r="F730" s="2"/>
      <c r="I730" s="4"/>
    </row>
    <row r="731" ht="1.5" customHeight="1">
      <c r="A731" s="4" t="str">
        <f>IFERROR(__xludf.DUMMYFUNCTION("""COMPUTED_VALUE"""),"2. Twix")</f>
        <v>2. Twix</v>
      </c>
      <c r="B731" s="4" t="str">
        <f>IFERROR(__xludf.DUMMYFUNCTION("""COMPUTED_VALUE"""),"2")</f>
        <v>2</v>
      </c>
      <c r="C731" s="5" t="str">
        <f>IFERROR(__xludf.DUMMYFUNCTION("""COMPUTED_VALUE"""),"https://drive.google.com/file/d/1DQP1rVHXXTy64j26IlsSGLphgZWUr7IQ/view?usp=drivesdk")</f>
        <v>https://drive.google.com/file/d/1DQP1rVHXXTy64j26IlsSGLphgZWUr7IQ/view?usp=drivesdk</v>
      </c>
      <c r="D731" s="12"/>
      <c r="E731" s="6">
        <v>787.0</v>
      </c>
      <c r="F731" s="2"/>
      <c r="I731" s="4"/>
    </row>
    <row r="732" ht="1.5" customHeight="1">
      <c r="A732" s="4" t="str">
        <f>IFERROR(__xludf.DUMMYFUNCTION("""COMPUTED_VALUE"""),"2. Twix")</f>
        <v>2. Twix</v>
      </c>
      <c r="B732" s="4" t="str">
        <f>IFERROR(__xludf.DUMMYFUNCTION("""COMPUTED_VALUE"""),"2")</f>
        <v>2</v>
      </c>
      <c r="C732" s="5" t="str">
        <f>IFERROR(__xludf.DUMMYFUNCTION("""COMPUTED_VALUE"""),"https://drive.google.com/file/d/1Am4EyJ1CkEXol_jBc0LV8v880Xyg73wb/view?usp=drivesdk")</f>
        <v>https://drive.google.com/file/d/1Am4EyJ1CkEXol_jBc0LV8v880Xyg73wb/view?usp=drivesdk</v>
      </c>
      <c r="D732" s="12"/>
      <c r="E732" s="11">
        <v>788.0</v>
      </c>
      <c r="F732" s="2"/>
      <c r="I732" s="4"/>
    </row>
    <row r="733" ht="1.5" customHeight="1">
      <c r="A733" s="4" t="str">
        <f>IFERROR(__xludf.DUMMYFUNCTION("""COMPUTED_VALUE"""),"2. Twix")</f>
        <v>2. Twix</v>
      </c>
      <c r="B733" s="4" t="str">
        <f>IFERROR(__xludf.DUMMYFUNCTION("""COMPUTED_VALUE"""),"2")</f>
        <v>2</v>
      </c>
      <c r="C733" s="5" t="str">
        <f>IFERROR(__xludf.DUMMYFUNCTION("""COMPUTED_VALUE"""),"https://drive.google.com/file/d/1Cr02djF3mR-tpBqctPKvu0vN0Z5tQWT5/view?usp=drivesdk")</f>
        <v>https://drive.google.com/file/d/1Cr02djF3mR-tpBqctPKvu0vN0Z5tQWT5/view?usp=drivesdk</v>
      </c>
      <c r="D733" s="12"/>
      <c r="E733" s="6">
        <v>789.0</v>
      </c>
      <c r="F733" s="2"/>
      <c r="I733" s="4"/>
    </row>
    <row r="734" ht="1.5" customHeight="1">
      <c r="A734" s="4" t="str">
        <f>IFERROR(__xludf.DUMMYFUNCTION("""COMPUTED_VALUE"""),"2. Twix")</f>
        <v>2. Twix</v>
      </c>
      <c r="B734" s="4" t="str">
        <f>IFERROR(__xludf.DUMMYFUNCTION("""COMPUTED_VALUE"""),"2")</f>
        <v>2</v>
      </c>
      <c r="C734" s="5" t="str">
        <f>IFERROR(__xludf.DUMMYFUNCTION("""COMPUTED_VALUE"""),"https://drive.google.com/file/d/16jur8XuJvhbyQTnfQVu57FAglssSsIZ4/view?usp=drivesdk")</f>
        <v>https://drive.google.com/file/d/16jur8XuJvhbyQTnfQVu57FAglssSsIZ4/view?usp=drivesdk</v>
      </c>
      <c r="D734" s="12"/>
      <c r="E734" s="11">
        <v>790.0</v>
      </c>
      <c r="F734" s="2"/>
      <c r="I734" s="4"/>
    </row>
    <row r="735" ht="1.5" customHeight="1">
      <c r="A735" s="4" t="str">
        <f>IFERROR(__xludf.DUMMYFUNCTION("""COMPUTED_VALUE"""),"2. Twix")</f>
        <v>2. Twix</v>
      </c>
      <c r="B735" s="4" t="str">
        <f>IFERROR(__xludf.DUMMYFUNCTION("""COMPUTED_VALUE"""),"2")</f>
        <v>2</v>
      </c>
      <c r="C735" s="5" t="str">
        <f>IFERROR(__xludf.DUMMYFUNCTION("""COMPUTED_VALUE"""),"https://drive.google.com/file/d/1SOeFjvV3td9ddpoRZjFu2tj3wLUyNhb4/view?usp=drivesdk")</f>
        <v>https://drive.google.com/file/d/1SOeFjvV3td9ddpoRZjFu2tj3wLUyNhb4/view?usp=drivesdk</v>
      </c>
      <c r="D735" s="12"/>
      <c r="E735" s="6">
        <v>791.0</v>
      </c>
      <c r="F735" s="2"/>
      <c r="I735" s="4"/>
    </row>
    <row r="736" ht="1.5" customHeight="1">
      <c r="A736" s="4" t="str">
        <f>IFERROR(__xludf.DUMMYFUNCTION("""COMPUTED_VALUE"""),"2. Twix")</f>
        <v>2. Twix</v>
      </c>
      <c r="B736" s="4" t="str">
        <f>IFERROR(__xludf.DUMMYFUNCTION("""COMPUTED_VALUE"""),"2")</f>
        <v>2</v>
      </c>
      <c r="C736" s="5" t="str">
        <f>IFERROR(__xludf.DUMMYFUNCTION("""COMPUTED_VALUE"""),"https://drive.google.com/file/d/1Ujr2hajNlE3J_km_eQXDADXotkCVeWao/view?usp=drivesdk")</f>
        <v>https://drive.google.com/file/d/1Ujr2hajNlE3J_km_eQXDADXotkCVeWao/view?usp=drivesdk</v>
      </c>
      <c r="D736" s="12"/>
      <c r="E736" s="6">
        <v>792.0</v>
      </c>
      <c r="F736" s="2"/>
      <c r="I736" s="4"/>
    </row>
    <row r="737" ht="1.5" customHeight="1">
      <c r="A737" s="4" t="str">
        <f>IFERROR(__xludf.DUMMYFUNCTION("""COMPUTED_VALUE"""),"2. Twix")</f>
        <v>2. Twix</v>
      </c>
      <c r="B737" s="4" t="str">
        <f>IFERROR(__xludf.DUMMYFUNCTION("""COMPUTED_VALUE"""),"2")</f>
        <v>2</v>
      </c>
      <c r="C737" s="5" t="str">
        <f>IFERROR(__xludf.DUMMYFUNCTION("""COMPUTED_VALUE"""),"https://drive.google.com/file/d/1MHLr0dzYQuOFF1DygPBmfFbIQX1ppGc8/view?usp=drivesdk")</f>
        <v>https://drive.google.com/file/d/1MHLr0dzYQuOFF1DygPBmfFbIQX1ppGc8/view?usp=drivesdk</v>
      </c>
      <c r="D737" s="12"/>
      <c r="E737" s="6">
        <v>793.0</v>
      </c>
      <c r="F737" s="2"/>
      <c r="I737" s="4"/>
    </row>
    <row r="738" ht="1.5" customHeight="1">
      <c r="A738" s="4" t="str">
        <f>IFERROR(__xludf.DUMMYFUNCTION("""COMPUTED_VALUE"""),"2. Twix")</f>
        <v>2. Twix</v>
      </c>
      <c r="B738" s="4" t="str">
        <f>IFERROR(__xludf.DUMMYFUNCTION("""COMPUTED_VALUE"""),"2")</f>
        <v>2</v>
      </c>
      <c r="C738" s="5" t="str">
        <f>IFERROR(__xludf.DUMMYFUNCTION("""COMPUTED_VALUE"""),"https://drive.google.com/file/d/1p8Z2FP_RCqXwG4eksfS3P67sgLoXgj8F/view?usp=drivesdk")</f>
        <v>https://drive.google.com/file/d/1p8Z2FP_RCqXwG4eksfS3P67sgLoXgj8F/view?usp=drivesdk</v>
      </c>
      <c r="D738" s="12"/>
      <c r="E738" s="11">
        <v>794.0</v>
      </c>
      <c r="F738" s="2"/>
      <c r="I738" s="4"/>
    </row>
    <row r="739" ht="1.5" customHeight="1">
      <c r="A739" s="4" t="str">
        <f>IFERROR(__xludf.DUMMYFUNCTION("""COMPUTED_VALUE"""),"2. Twix")</f>
        <v>2. Twix</v>
      </c>
      <c r="B739" s="4" t="str">
        <f>IFERROR(__xludf.DUMMYFUNCTION("""COMPUTED_VALUE"""),"2")</f>
        <v>2</v>
      </c>
      <c r="C739" s="5" t="str">
        <f>IFERROR(__xludf.DUMMYFUNCTION("""COMPUTED_VALUE"""),"https://drive.google.com/file/d/1qwg74YrtRkPJRECLZqjjpzyCU99NuSpf/view?usp=drivesdk")</f>
        <v>https://drive.google.com/file/d/1qwg74YrtRkPJRECLZqjjpzyCU99NuSpf/view?usp=drivesdk</v>
      </c>
      <c r="D739" s="12"/>
      <c r="E739" s="6">
        <v>795.0</v>
      </c>
      <c r="F739" s="2"/>
      <c r="I739" s="4"/>
    </row>
    <row r="740" ht="1.5" customHeight="1">
      <c r="A740" s="4" t="str">
        <f>IFERROR(__xludf.DUMMYFUNCTION("""COMPUTED_VALUE"""),"2. Twix")</f>
        <v>2. Twix</v>
      </c>
      <c r="B740" s="4" t="str">
        <f>IFERROR(__xludf.DUMMYFUNCTION("""COMPUTED_VALUE"""),"2")</f>
        <v>2</v>
      </c>
      <c r="C740" s="5" t="str">
        <f>IFERROR(__xludf.DUMMYFUNCTION("""COMPUTED_VALUE"""),"https://drive.google.com/file/d/1bgCxWoDZdvJp0fUXKOCLEJ7kAEA90RlK/view?usp=drivesdk")</f>
        <v>https://drive.google.com/file/d/1bgCxWoDZdvJp0fUXKOCLEJ7kAEA90RlK/view?usp=drivesdk</v>
      </c>
      <c r="D740" s="12"/>
      <c r="E740" s="11">
        <v>796.0</v>
      </c>
      <c r="F740" s="2"/>
      <c r="I740" s="4"/>
    </row>
    <row r="741" ht="1.5" customHeight="1">
      <c r="A741" s="4" t="str">
        <f>IFERROR(__xludf.DUMMYFUNCTION("""COMPUTED_VALUE"""),"2. Twix")</f>
        <v>2. Twix</v>
      </c>
      <c r="B741" s="4" t="str">
        <f>IFERROR(__xludf.DUMMYFUNCTION("""COMPUTED_VALUE"""),"2")</f>
        <v>2</v>
      </c>
      <c r="C741" s="5" t="str">
        <f>IFERROR(__xludf.DUMMYFUNCTION("""COMPUTED_VALUE"""),"https://drive.google.com/file/d/1lrf8UTv9yVoDDMhp4bsBKy6nw_3nWZ1h/view?usp=drivesdk")</f>
        <v>https://drive.google.com/file/d/1lrf8UTv9yVoDDMhp4bsBKy6nw_3nWZ1h/view?usp=drivesdk</v>
      </c>
      <c r="D741" s="12"/>
      <c r="E741" s="6">
        <v>797.0</v>
      </c>
      <c r="F741" s="2"/>
      <c r="I741" s="4"/>
    </row>
    <row r="742" ht="1.5" customHeight="1">
      <c r="A742" s="4" t="str">
        <f>IFERROR(__xludf.DUMMYFUNCTION("""COMPUTED_VALUE"""),"2. Twix")</f>
        <v>2. Twix</v>
      </c>
      <c r="B742" s="4" t="str">
        <f>IFERROR(__xludf.DUMMYFUNCTION("""COMPUTED_VALUE"""),"2")</f>
        <v>2</v>
      </c>
      <c r="C742" s="5" t="str">
        <f>IFERROR(__xludf.DUMMYFUNCTION("""COMPUTED_VALUE"""),"https://drive.google.com/file/d/1VGrTCgOOSt261noTSOnplEWYZ8VlkGeR/view?usp=drivesdk")</f>
        <v>https://drive.google.com/file/d/1VGrTCgOOSt261noTSOnplEWYZ8VlkGeR/view?usp=drivesdk</v>
      </c>
      <c r="D742" s="12"/>
      <c r="E742" s="6">
        <v>798.0</v>
      </c>
      <c r="F742" s="2"/>
      <c r="I742" s="4"/>
    </row>
    <row r="743" ht="1.5" customHeight="1">
      <c r="A743" s="4" t="str">
        <f>IFERROR(__xludf.DUMMYFUNCTION("""COMPUTED_VALUE"""),"2. Twix")</f>
        <v>2. Twix</v>
      </c>
      <c r="B743" s="4" t="str">
        <f>IFERROR(__xludf.DUMMYFUNCTION("""COMPUTED_VALUE"""),"2")</f>
        <v>2</v>
      </c>
      <c r="C743" s="5" t="str">
        <f>IFERROR(__xludf.DUMMYFUNCTION("""COMPUTED_VALUE"""),"https://drive.google.com/file/d/14ecZ9P2i9k57IZzv7yJAudvLp50eslf6/view?usp=drivesdk")</f>
        <v>https://drive.google.com/file/d/14ecZ9P2i9k57IZzv7yJAudvLp50eslf6/view?usp=drivesdk</v>
      </c>
      <c r="D743" s="12"/>
      <c r="E743" s="6">
        <v>799.0</v>
      </c>
      <c r="F743" s="2"/>
      <c r="I743" s="4"/>
    </row>
    <row r="744" ht="1.5" customHeight="1">
      <c r="A744" s="4" t="str">
        <f>IFERROR(__xludf.DUMMYFUNCTION("""COMPUTED_VALUE"""),"2. Twix")</f>
        <v>2. Twix</v>
      </c>
      <c r="B744" s="4" t="str">
        <f>IFERROR(__xludf.DUMMYFUNCTION("""COMPUTED_VALUE"""),"2")</f>
        <v>2</v>
      </c>
      <c r="C744" s="5" t="str">
        <f>IFERROR(__xludf.DUMMYFUNCTION("""COMPUTED_VALUE"""),"https://drive.google.com/file/d/1B6wA63FT3Gu7Lb7OZSHBg0j6VV9YatXm/view?usp=drivesdk")</f>
        <v>https://drive.google.com/file/d/1B6wA63FT3Gu7Lb7OZSHBg0j6VV9YatXm/view?usp=drivesdk</v>
      </c>
      <c r="D744" s="12"/>
      <c r="E744" s="11">
        <v>800.0</v>
      </c>
      <c r="F744" s="2"/>
      <c r="I744" s="4"/>
    </row>
    <row r="745" ht="1.5" customHeight="1">
      <c r="A745" s="4" t="str">
        <f>IFERROR(__xludf.DUMMYFUNCTION("""COMPUTED_VALUE"""),"2. Twix")</f>
        <v>2. Twix</v>
      </c>
      <c r="B745" s="4" t="str">
        <f>IFERROR(__xludf.DUMMYFUNCTION("""COMPUTED_VALUE"""),"2")</f>
        <v>2</v>
      </c>
      <c r="C745" s="5" t="str">
        <f>IFERROR(__xludf.DUMMYFUNCTION("""COMPUTED_VALUE"""),"https://drive.google.com/file/d/1gjcMZPzw2tTnI14qS7k8cGyK2gkW90rx/view?usp=drivesdk")</f>
        <v>https://drive.google.com/file/d/1gjcMZPzw2tTnI14qS7k8cGyK2gkW90rx/view?usp=drivesdk</v>
      </c>
      <c r="D745" s="12"/>
      <c r="E745" s="6">
        <v>801.0</v>
      </c>
      <c r="F745" s="2"/>
      <c r="I745" s="4"/>
    </row>
    <row r="746" ht="1.5" customHeight="1">
      <c r="A746" s="4" t="str">
        <f>IFERROR(__xludf.DUMMYFUNCTION("""COMPUTED_VALUE"""),"2. Twix")</f>
        <v>2. Twix</v>
      </c>
      <c r="B746" s="4" t="str">
        <f>IFERROR(__xludf.DUMMYFUNCTION("""COMPUTED_VALUE"""),"2")</f>
        <v>2</v>
      </c>
      <c r="C746" s="5" t="str">
        <f>IFERROR(__xludf.DUMMYFUNCTION("""COMPUTED_VALUE"""),"https://drive.google.com/file/d/1rh5muAdxHReDB42XYsu9HhMBOxc1oTMb/view?usp=drivesdk")</f>
        <v>https://drive.google.com/file/d/1rh5muAdxHReDB42XYsu9HhMBOxc1oTMb/view?usp=drivesdk</v>
      </c>
      <c r="D746" s="12"/>
      <c r="E746" s="11">
        <v>802.0</v>
      </c>
      <c r="F746" s="2"/>
      <c r="I746" s="4"/>
    </row>
    <row r="747" ht="1.5" customHeight="1">
      <c r="A747" s="4" t="str">
        <f>IFERROR(__xludf.DUMMYFUNCTION("""COMPUTED_VALUE"""),"2. Twix")</f>
        <v>2. Twix</v>
      </c>
      <c r="B747" s="4" t="str">
        <f>IFERROR(__xludf.DUMMYFUNCTION("""COMPUTED_VALUE"""),"2")</f>
        <v>2</v>
      </c>
      <c r="C747" s="5" t="str">
        <f>IFERROR(__xludf.DUMMYFUNCTION("""COMPUTED_VALUE"""),"https://drive.google.com/file/d/1bmUU6_6YgfFBBjdjn5sML9lJsHLqMwda/view?usp=drivesdk")</f>
        <v>https://drive.google.com/file/d/1bmUU6_6YgfFBBjdjn5sML9lJsHLqMwda/view?usp=drivesdk</v>
      </c>
      <c r="D747" s="12"/>
      <c r="E747" s="6">
        <v>803.0</v>
      </c>
      <c r="F747" s="2"/>
      <c r="I747" s="4"/>
    </row>
    <row r="748" ht="1.5" customHeight="1">
      <c r="A748" s="4" t="str">
        <f>IFERROR(__xludf.DUMMYFUNCTION("""COMPUTED_VALUE"""),"2. Twix")</f>
        <v>2. Twix</v>
      </c>
      <c r="B748" s="4" t="str">
        <f>IFERROR(__xludf.DUMMYFUNCTION("""COMPUTED_VALUE"""),"2")</f>
        <v>2</v>
      </c>
      <c r="C748" s="5" t="str">
        <f>IFERROR(__xludf.DUMMYFUNCTION("""COMPUTED_VALUE"""),"https://drive.google.com/file/d/1ZxuOLyAdOFUv1JE6is1o6D3VZigxJqm7/view?usp=drivesdk")</f>
        <v>https://drive.google.com/file/d/1ZxuOLyAdOFUv1JE6is1o6D3VZigxJqm7/view?usp=drivesdk</v>
      </c>
      <c r="D748" s="12"/>
      <c r="E748" s="6">
        <v>804.0</v>
      </c>
      <c r="F748" s="2"/>
      <c r="I748" s="4"/>
    </row>
    <row r="749" ht="1.5" customHeight="1">
      <c r="A749" s="4" t="str">
        <f>IFERROR(__xludf.DUMMYFUNCTION("""COMPUTED_VALUE"""),"2. Twix")</f>
        <v>2. Twix</v>
      </c>
      <c r="B749" s="4" t="str">
        <f>IFERROR(__xludf.DUMMYFUNCTION("""COMPUTED_VALUE"""),"2")</f>
        <v>2</v>
      </c>
      <c r="C749" s="5" t="str">
        <f>IFERROR(__xludf.DUMMYFUNCTION("""COMPUTED_VALUE"""),"https://drive.google.com/file/d/1fq2Jwho7md2zJlDduzjTeXU_-xZiISDZ/view?usp=drivesdk")</f>
        <v>https://drive.google.com/file/d/1fq2Jwho7md2zJlDduzjTeXU_-xZiISDZ/view?usp=drivesdk</v>
      </c>
      <c r="D749" s="12"/>
      <c r="E749" s="6">
        <v>805.0</v>
      </c>
      <c r="F749" s="2"/>
      <c r="I749" s="4"/>
    </row>
    <row r="750" ht="1.5" customHeight="1">
      <c r="A750" s="4" t="str">
        <f>IFERROR(__xludf.DUMMYFUNCTION("""COMPUTED_VALUE"""),"2. Twix")</f>
        <v>2. Twix</v>
      </c>
      <c r="B750" s="4" t="str">
        <f>IFERROR(__xludf.DUMMYFUNCTION("""COMPUTED_VALUE"""),"2")</f>
        <v>2</v>
      </c>
      <c r="C750" s="5" t="str">
        <f>IFERROR(__xludf.DUMMYFUNCTION("""COMPUTED_VALUE"""),"https://drive.google.com/file/d/16DG2_4wKFJupcu6Vs4b5Bd-ZSGrGTg7h/view?usp=drivesdk")</f>
        <v>https://drive.google.com/file/d/16DG2_4wKFJupcu6Vs4b5Bd-ZSGrGTg7h/view?usp=drivesdk</v>
      </c>
      <c r="D750" s="12"/>
      <c r="E750" s="11">
        <v>806.0</v>
      </c>
      <c r="F750" s="2"/>
      <c r="I750" s="4"/>
    </row>
    <row r="751" ht="1.5" customHeight="1">
      <c r="A751" s="4" t="str">
        <f>IFERROR(__xludf.DUMMYFUNCTION("""COMPUTED_VALUE"""),"2. Twix")</f>
        <v>2. Twix</v>
      </c>
      <c r="B751" s="4" t="str">
        <f>IFERROR(__xludf.DUMMYFUNCTION("""COMPUTED_VALUE"""),"2")</f>
        <v>2</v>
      </c>
      <c r="C751" s="5" t="str">
        <f>IFERROR(__xludf.DUMMYFUNCTION("""COMPUTED_VALUE"""),"https://drive.google.com/file/d/1AhuIp_q54xrD1xAxMXNCgJvBC0tM8RR7/view?usp=drivesdk")</f>
        <v>https://drive.google.com/file/d/1AhuIp_q54xrD1xAxMXNCgJvBC0tM8RR7/view?usp=drivesdk</v>
      </c>
      <c r="D751" s="12"/>
      <c r="E751" s="6">
        <v>807.0</v>
      </c>
      <c r="F751" s="2"/>
      <c r="I751" s="4"/>
    </row>
    <row r="752" ht="1.5" customHeight="1">
      <c r="A752" s="4" t="str">
        <f>IFERROR(__xludf.DUMMYFUNCTION("""COMPUTED_VALUE"""),"2. Twix")</f>
        <v>2. Twix</v>
      </c>
      <c r="B752" s="4" t="str">
        <f>IFERROR(__xludf.DUMMYFUNCTION("""COMPUTED_VALUE"""),"2")</f>
        <v>2</v>
      </c>
      <c r="C752" s="5" t="str">
        <f>IFERROR(__xludf.DUMMYFUNCTION("""COMPUTED_VALUE"""),"https://drive.google.com/file/d/1bO6OnEf4KD46KlE8WX09gA9vf7y-7srX/view?usp=drivesdk")</f>
        <v>https://drive.google.com/file/d/1bO6OnEf4KD46KlE8WX09gA9vf7y-7srX/view?usp=drivesdk</v>
      </c>
      <c r="D752" s="12"/>
      <c r="E752" s="11">
        <v>808.0</v>
      </c>
      <c r="F752" s="2"/>
      <c r="I752" s="4"/>
    </row>
    <row r="753" ht="1.5" customHeight="1">
      <c r="A753" s="4" t="str">
        <f>IFERROR(__xludf.DUMMYFUNCTION("""COMPUTED_VALUE"""),"3. Ford F-150")</f>
        <v>3. Ford F-150</v>
      </c>
      <c r="B753" s="4" t="str">
        <f>IFERROR(__xludf.DUMMYFUNCTION("""COMPUTED_VALUE"""),"3")</f>
        <v>3</v>
      </c>
      <c r="C753" s="5" t="str">
        <f>IFERROR(__xludf.DUMMYFUNCTION("""COMPUTED_VALUE"""),"https://drive.google.com/file/d/1ELoyDvyW2Ogh-rOVP8czilkuhF60EO2l/view?usp=drivesdk")</f>
        <v>https://drive.google.com/file/d/1ELoyDvyW2Ogh-rOVP8czilkuhF60EO2l/view?usp=drivesdk</v>
      </c>
      <c r="D753" s="12"/>
      <c r="E753" s="6">
        <v>809.0</v>
      </c>
      <c r="F753" s="2"/>
      <c r="I753" s="4"/>
    </row>
    <row r="754" ht="1.5" customHeight="1">
      <c r="A754" s="4" t="str">
        <f>IFERROR(__xludf.DUMMYFUNCTION("""COMPUTED_VALUE"""),"2. Twix")</f>
        <v>2. Twix</v>
      </c>
      <c r="B754" s="4" t="str">
        <f>IFERROR(__xludf.DUMMYFUNCTION("""COMPUTED_VALUE"""),"2")</f>
        <v>2</v>
      </c>
      <c r="C754" s="5" t="str">
        <f>IFERROR(__xludf.DUMMYFUNCTION("""COMPUTED_VALUE"""),"https://drive.google.com/file/d/1BUwnRu9skbiOm1D5F0-xGy-cVzdrsG-e/view?usp=drivesdk")</f>
        <v>https://drive.google.com/file/d/1BUwnRu9skbiOm1D5F0-xGy-cVzdrsG-e/view?usp=drivesdk</v>
      </c>
      <c r="D754" s="12"/>
      <c r="E754" s="6">
        <v>810.0</v>
      </c>
      <c r="F754" s="2"/>
      <c r="I754" s="4"/>
    </row>
    <row r="755" ht="1.5" customHeight="1">
      <c r="A755" s="4" t="str">
        <f>IFERROR(__xludf.DUMMYFUNCTION("""COMPUTED_VALUE"""),"2. Twix")</f>
        <v>2. Twix</v>
      </c>
      <c r="B755" s="4" t="str">
        <f>IFERROR(__xludf.DUMMYFUNCTION("""COMPUTED_VALUE"""),"2")</f>
        <v>2</v>
      </c>
      <c r="C755" s="5" t="str">
        <f>IFERROR(__xludf.DUMMYFUNCTION("""COMPUTED_VALUE"""),"https://drive.google.com/file/d/18De4hRVap5HDDie4v1Db8QfbqAWq74m5/view?usp=drivesdk")</f>
        <v>https://drive.google.com/file/d/18De4hRVap5HDDie4v1Db8QfbqAWq74m5/view?usp=drivesdk</v>
      </c>
      <c r="D755" s="12"/>
      <c r="E755" s="6">
        <v>811.0</v>
      </c>
      <c r="F755" s="2"/>
      <c r="I755" s="4"/>
    </row>
    <row r="756" ht="1.5" customHeight="1">
      <c r="A756" s="4" t="str">
        <f>IFERROR(__xludf.DUMMYFUNCTION("""COMPUTED_VALUE"""),"2. Twix")</f>
        <v>2. Twix</v>
      </c>
      <c r="B756" s="4" t="str">
        <f>IFERROR(__xludf.DUMMYFUNCTION("""COMPUTED_VALUE"""),"2")</f>
        <v>2</v>
      </c>
      <c r="C756" s="5" t="str">
        <f>IFERROR(__xludf.DUMMYFUNCTION("""COMPUTED_VALUE"""),"https://drive.google.com/file/d/1jjRZFuCx1A6rLLI1FU2xBSa1Ue4kpcAk/view?usp=drivesdk")</f>
        <v>https://drive.google.com/file/d/1jjRZFuCx1A6rLLI1FU2xBSa1Ue4kpcAk/view?usp=drivesdk</v>
      </c>
      <c r="D756" s="12"/>
      <c r="E756" s="11">
        <v>812.0</v>
      </c>
      <c r="F756" s="2"/>
      <c r="I756" s="4"/>
    </row>
    <row r="757" ht="1.5" customHeight="1">
      <c r="A757" s="4" t="str">
        <f>IFERROR(__xludf.DUMMYFUNCTION("""COMPUTED_VALUE"""),"2. Twix")</f>
        <v>2. Twix</v>
      </c>
      <c r="B757" s="4" t="str">
        <f>IFERROR(__xludf.DUMMYFUNCTION("""COMPUTED_VALUE"""),"2")</f>
        <v>2</v>
      </c>
      <c r="C757" s="5" t="str">
        <f>IFERROR(__xludf.DUMMYFUNCTION("""COMPUTED_VALUE"""),"https://drive.google.com/file/d/1yD6Tkc-YmMyeLO1dnt1vdQxBKqAhQV3U/view?usp=drivesdk")</f>
        <v>https://drive.google.com/file/d/1yD6Tkc-YmMyeLO1dnt1vdQxBKqAhQV3U/view?usp=drivesdk</v>
      </c>
      <c r="D757" s="12"/>
      <c r="E757" s="6">
        <v>813.0</v>
      </c>
      <c r="F757" s="2"/>
      <c r="I757" s="4"/>
    </row>
    <row r="758" ht="1.5" customHeight="1">
      <c r="A758" s="4" t="str">
        <f>IFERROR(__xludf.DUMMYFUNCTION("""COMPUTED_VALUE"""),"3. Ford F-150")</f>
        <v>3. Ford F-150</v>
      </c>
      <c r="B758" s="4" t="str">
        <f>IFERROR(__xludf.DUMMYFUNCTION("""COMPUTED_VALUE"""),"3")</f>
        <v>3</v>
      </c>
      <c r="C758" s="5" t="str">
        <f>IFERROR(__xludf.DUMMYFUNCTION("""COMPUTED_VALUE"""),"https://drive.google.com/file/d/1n1IVWA64WxS6SM_F1qmPq3fVaNnAoWde/view?usp=drivesdk")</f>
        <v>https://drive.google.com/file/d/1n1IVWA64WxS6SM_F1qmPq3fVaNnAoWde/view?usp=drivesdk</v>
      </c>
      <c r="D758" s="12"/>
      <c r="E758" s="11">
        <v>814.0</v>
      </c>
      <c r="F758" s="2"/>
      <c r="I758" s="4"/>
    </row>
    <row r="759" ht="1.5" customHeight="1">
      <c r="A759" s="4" t="str">
        <f>IFERROR(__xludf.DUMMYFUNCTION("""COMPUTED_VALUE"""),"2. Twix")</f>
        <v>2. Twix</v>
      </c>
      <c r="B759" s="4" t="str">
        <f>IFERROR(__xludf.DUMMYFUNCTION("""COMPUTED_VALUE"""),"2")</f>
        <v>2</v>
      </c>
      <c r="C759" s="5" t="str">
        <f>IFERROR(__xludf.DUMMYFUNCTION("""COMPUTED_VALUE"""),"https://drive.google.com/file/d/1r2Lj9fh7SeG_apmIxHxIRWn4IrLns_1S/view?usp=drivesdk")</f>
        <v>https://drive.google.com/file/d/1r2Lj9fh7SeG_apmIxHxIRWn4IrLns_1S/view?usp=drivesdk</v>
      </c>
      <c r="D759" s="12"/>
      <c r="E759" s="6">
        <v>815.0</v>
      </c>
      <c r="F759" s="2"/>
      <c r="I759" s="4"/>
    </row>
    <row r="760" ht="1.5" customHeight="1">
      <c r="A760" s="4" t="str">
        <f>IFERROR(__xludf.DUMMYFUNCTION("""COMPUTED_VALUE"""),"2. Twix")</f>
        <v>2. Twix</v>
      </c>
      <c r="B760" s="4" t="str">
        <f>IFERROR(__xludf.DUMMYFUNCTION("""COMPUTED_VALUE"""),"2")</f>
        <v>2</v>
      </c>
      <c r="C760" s="5" t="str">
        <f>IFERROR(__xludf.DUMMYFUNCTION("""COMPUTED_VALUE"""),"https://drive.google.com/file/d/1Tuw4o8Qm0fLi2dGPTZpX1_dB5VvX4w4N/view?usp=drivesdk")</f>
        <v>https://drive.google.com/file/d/1Tuw4o8Qm0fLi2dGPTZpX1_dB5VvX4w4N/view?usp=drivesdk</v>
      </c>
      <c r="D760" s="12"/>
      <c r="E760" s="6">
        <v>816.0</v>
      </c>
      <c r="F760" s="2"/>
      <c r="I760" s="4"/>
    </row>
    <row r="761" ht="1.5" customHeight="1">
      <c r="A761" s="4" t="str">
        <f>IFERROR(__xludf.DUMMYFUNCTION("""COMPUTED_VALUE"""),"2. Twix")</f>
        <v>2. Twix</v>
      </c>
      <c r="B761" s="4" t="str">
        <f>IFERROR(__xludf.DUMMYFUNCTION("""COMPUTED_VALUE"""),"2")</f>
        <v>2</v>
      </c>
      <c r="C761" s="5" t="str">
        <f>IFERROR(__xludf.DUMMYFUNCTION("""COMPUTED_VALUE"""),"https://drive.google.com/file/d/1jbT43oCfT7hLXA1IDPfaEKugRpZLqUKA/view?usp=drivesdk")</f>
        <v>https://drive.google.com/file/d/1jbT43oCfT7hLXA1IDPfaEKugRpZLqUKA/view?usp=drivesdk</v>
      </c>
      <c r="D761" s="12"/>
      <c r="E761" s="6">
        <v>817.0</v>
      </c>
      <c r="F761" s="2"/>
      <c r="I761" s="4"/>
    </row>
    <row r="762" ht="1.5" customHeight="1">
      <c r="A762" s="4" t="str">
        <f>IFERROR(__xludf.DUMMYFUNCTION("""COMPUTED_VALUE"""),"2. Twix")</f>
        <v>2. Twix</v>
      </c>
      <c r="B762" s="4" t="str">
        <f>IFERROR(__xludf.DUMMYFUNCTION("""COMPUTED_VALUE"""),"2")</f>
        <v>2</v>
      </c>
      <c r="C762" s="5" t="str">
        <f>IFERROR(__xludf.DUMMYFUNCTION("""COMPUTED_VALUE"""),"https://drive.google.com/file/d/1RPq2pbUJpNTXb36eASGgtSINSQYwkU27/view?usp=drivesdk")</f>
        <v>https://drive.google.com/file/d/1RPq2pbUJpNTXb36eASGgtSINSQYwkU27/view?usp=drivesdk</v>
      </c>
      <c r="D762" s="12"/>
      <c r="E762" s="11">
        <v>818.0</v>
      </c>
      <c r="F762" s="2"/>
      <c r="I762" s="4"/>
    </row>
    <row r="763" ht="1.5" customHeight="1">
      <c r="A763" s="4" t="str">
        <f>IFERROR(__xludf.DUMMYFUNCTION("""COMPUTED_VALUE"""),"2. Twix")</f>
        <v>2. Twix</v>
      </c>
      <c r="B763" s="4" t="str">
        <f>IFERROR(__xludf.DUMMYFUNCTION("""COMPUTED_VALUE"""),"2")</f>
        <v>2</v>
      </c>
      <c r="C763" s="5" t="str">
        <f>IFERROR(__xludf.DUMMYFUNCTION("""COMPUTED_VALUE"""),"https://drive.google.com/file/d/1vc8hHKzgaf-6t8ddUKa3YMUB2IaTMldt/view?usp=drivesdk")</f>
        <v>https://drive.google.com/file/d/1vc8hHKzgaf-6t8ddUKa3YMUB2IaTMldt/view?usp=drivesdk</v>
      </c>
      <c r="D763" s="12"/>
      <c r="E763" s="6">
        <v>819.0</v>
      </c>
      <c r="F763" s="2"/>
      <c r="I763" s="4"/>
    </row>
    <row r="764" ht="1.5" customHeight="1">
      <c r="A764" s="4" t="str">
        <f>IFERROR(__xludf.DUMMYFUNCTION("""COMPUTED_VALUE"""),"2. Twix")</f>
        <v>2. Twix</v>
      </c>
      <c r="B764" s="4" t="str">
        <f>IFERROR(__xludf.DUMMYFUNCTION("""COMPUTED_VALUE"""),"2")</f>
        <v>2</v>
      </c>
      <c r="C764" s="5" t="str">
        <f>IFERROR(__xludf.DUMMYFUNCTION("""COMPUTED_VALUE"""),"https://drive.google.com/file/d/17Nb5rmqNa5sO-oDosSYNUYqSk67A5B-1/view?usp=drivesdk")</f>
        <v>https://drive.google.com/file/d/17Nb5rmqNa5sO-oDosSYNUYqSk67A5B-1/view?usp=drivesdk</v>
      </c>
      <c r="D764" s="12"/>
      <c r="E764" s="11">
        <v>820.0</v>
      </c>
      <c r="F764" s="2"/>
      <c r="I764" s="4"/>
    </row>
    <row r="765" ht="1.5" customHeight="1">
      <c r="A765" s="4" t="str">
        <f>IFERROR(__xludf.DUMMYFUNCTION("""COMPUTED_VALUE"""),"1. Microwave")</f>
        <v>1. Microwave</v>
      </c>
      <c r="B765" s="4" t="str">
        <f>IFERROR(__xludf.DUMMYFUNCTION("""COMPUTED_VALUE"""),"1")</f>
        <v>1</v>
      </c>
      <c r="C765" s="5" t="str">
        <f>IFERROR(__xludf.DUMMYFUNCTION("""COMPUTED_VALUE"""),"https://drive.google.com/file/d/1h_CJIy0HI_pr12xEe_rKAfI65Evv0NZt/view?usp=drivesdk")</f>
        <v>https://drive.google.com/file/d/1h_CJIy0HI_pr12xEe_rKAfI65Evv0NZt/view?usp=drivesdk</v>
      </c>
      <c r="D765" s="12"/>
      <c r="E765" s="6">
        <v>821.0</v>
      </c>
      <c r="F765" s="2"/>
      <c r="I765" s="4"/>
    </row>
    <row r="766" ht="1.5" customHeight="1">
      <c r="A766" s="4" t="str">
        <f>IFERROR(__xludf.DUMMYFUNCTION("""COMPUTED_VALUE"""),"2. Twix")</f>
        <v>2. Twix</v>
      </c>
      <c r="B766" s="4" t="str">
        <f>IFERROR(__xludf.DUMMYFUNCTION("""COMPUTED_VALUE"""),"2")</f>
        <v>2</v>
      </c>
      <c r="C766" s="5" t="str">
        <f>IFERROR(__xludf.DUMMYFUNCTION("""COMPUTED_VALUE"""),"https://drive.google.com/file/d/19ZkDXBk_FHK9017ybgzuQwEeF1CIcT1n/view?usp=drivesdk")</f>
        <v>https://drive.google.com/file/d/19ZkDXBk_FHK9017ybgzuQwEeF1CIcT1n/view?usp=drivesdk</v>
      </c>
      <c r="D766" s="12"/>
      <c r="E766" s="6">
        <v>822.0</v>
      </c>
      <c r="F766" s="2"/>
      <c r="I766" s="4"/>
    </row>
    <row r="767" ht="1.5" customHeight="1">
      <c r="A767" s="4" t="str">
        <f>IFERROR(__xludf.DUMMYFUNCTION("""COMPUTED_VALUE"""),"2. Twix")</f>
        <v>2. Twix</v>
      </c>
      <c r="B767" s="4" t="str">
        <f>IFERROR(__xludf.DUMMYFUNCTION("""COMPUTED_VALUE"""),"2")</f>
        <v>2</v>
      </c>
      <c r="C767" s="5" t="str">
        <f>IFERROR(__xludf.DUMMYFUNCTION("""COMPUTED_VALUE"""),"https://drive.google.com/file/d/1stQPzeMCHpxU1ULSqUARIudThC-47vb5/view?usp=drivesdk")</f>
        <v>https://drive.google.com/file/d/1stQPzeMCHpxU1ULSqUARIudThC-47vb5/view?usp=drivesdk</v>
      </c>
      <c r="D767" s="12"/>
      <c r="E767" s="6">
        <v>823.0</v>
      </c>
      <c r="F767" s="2"/>
      <c r="I767" s="4"/>
    </row>
    <row r="768" ht="1.5" customHeight="1">
      <c r="A768" s="4" t="str">
        <f>IFERROR(__xludf.DUMMYFUNCTION("""COMPUTED_VALUE"""),"2. Twix")</f>
        <v>2. Twix</v>
      </c>
      <c r="B768" s="4" t="str">
        <f>IFERROR(__xludf.DUMMYFUNCTION("""COMPUTED_VALUE"""),"2")</f>
        <v>2</v>
      </c>
      <c r="C768" s="5" t="str">
        <f>IFERROR(__xludf.DUMMYFUNCTION("""COMPUTED_VALUE"""),"https://drive.google.com/file/d/18rwKpsQSf1iwEBpG5kBGo-5AiQnlk2pv/view?usp=drivesdk")</f>
        <v>https://drive.google.com/file/d/18rwKpsQSf1iwEBpG5kBGo-5AiQnlk2pv/view?usp=drivesdk</v>
      </c>
      <c r="D768" s="12"/>
      <c r="E768" s="11">
        <v>824.0</v>
      </c>
      <c r="F768" s="2"/>
      <c r="I768" s="4"/>
    </row>
    <row r="769" ht="1.5" customHeight="1">
      <c r="A769" s="4" t="str">
        <f>IFERROR(__xludf.DUMMYFUNCTION("""COMPUTED_VALUE"""),"2. Twix")</f>
        <v>2. Twix</v>
      </c>
      <c r="B769" s="4" t="str">
        <f>IFERROR(__xludf.DUMMYFUNCTION("""COMPUTED_VALUE"""),"2")</f>
        <v>2</v>
      </c>
      <c r="C769" s="5" t="str">
        <f>IFERROR(__xludf.DUMMYFUNCTION("""COMPUTED_VALUE"""),"https://drive.google.com/file/d/1JrIVDvhgT12UVlEjh_TI9toZG5-fxOW_/view?usp=drivesdk")</f>
        <v>https://drive.google.com/file/d/1JrIVDvhgT12UVlEjh_TI9toZG5-fxOW_/view?usp=drivesdk</v>
      </c>
      <c r="D769" s="12"/>
      <c r="E769" s="6">
        <v>825.0</v>
      </c>
      <c r="F769" s="2"/>
      <c r="I769" s="4"/>
    </row>
    <row r="770" ht="1.5" customHeight="1">
      <c r="A770" s="4" t="str">
        <f>IFERROR(__xludf.DUMMYFUNCTION("""COMPUTED_VALUE"""),"4. Eggs")</f>
        <v>4. Eggs</v>
      </c>
      <c r="B770" s="4" t="str">
        <f>IFERROR(__xludf.DUMMYFUNCTION("""COMPUTED_VALUE"""),"4")</f>
        <v>4</v>
      </c>
      <c r="C770" s="5" t="str">
        <f>IFERROR(__xludf.DUMMYFUNCTION("""COMPUTED_VALUE"""),"https://drive.google.com/file/d/1MC1URKc0H9fk6WzHRzk9R12b2jDxIsxy/view?usp=drivesdk")</f>
        <v>https://drive.google.com/file/d/1MC1URKc0H9fk6WzHRzk9R12b2jDxIsxy/view?usp=drivesdk</v>
      </c>
      <c r="D770" s="12"/>
      <c r="E770" s="11">
        <v>826.0</v>
      </c>
      <c r="F770" s="2"/>
      <c r="I770" s="4"/>
    </row>
    <row r="771" ht="1.5" customHeight="1">
      <c r="A771" s="4" t="str">
        <f>IFERROR(__xludf.DUMMYFUNCTION("""COMPUTED_VALUE"""),"2. Twix")</f>
        <v>2. Twix</v>
      </c>
      <c r="B771" s="4" t="str">
        <f>IFERROR(__xludf.DUMMYFUNCTION("""COMPUTED_VALUE"""),"2")</f>
        <v>2</v>
      </c>
      <c r="C771" s="5" t="str">
        <f>IFERROR(__xludf.DUMMYFUNCTION("""COMPUTED_VALUE"""),"https://drive.google.com/file/d/1_z0aCMEufjbNabic478Wao-6T2wql2__/view?usp=drivesdk")</f>
        <v>https://drive.google.com/file/d/1_z0aCMEufjbNabic478Wao-6T2wql2__/view?usp=drivesdk</v>
      </c>
      <c r="D771" s="12"/>
      <c r="E771" s="6">
        <v>827.0</v>
      </c>
      <c r="F771" s="2"/>
      <c r="I771" s="4"/>
    </row>
    <row r="772" ht="1.5" customHeight="1">
      <c r="A772" s="4" t="str">
        <f>IFERROR(__xludf.DUMMYFUNCTION("""COMPUTED_VALUE"""),"2. Twix")</f>
        <v>2. Twix</v>
      </c>
      <c r="B772" s="4" t="str">
        <f>IFERROR(__xludf.DUMMYFUNCTION("""COMPUTED_VALUE"""),"2")</f>
        <v>2</v>
      </c>
      <c r="C772" s="5" t="str">
        <f>IFERROR(__xludf.DUMMYFUNCTION("""COMPUTED_VALUE"""),"https://drive.google.com/file/d/1Ho1e4BXwKneeitcsdRJUodIOGNhUXIV5/view?usp=drivesdk")</f>
        <v>https://drive.google.com/file/d/1Ho1e4BXwKneeitcsdRJUodIOGNhUXIV5/view?usp=drivesdk</v>
      </c>
      <c r="D772" s="12"/>
      <c r="E772" s="6">
        <v>828.0</v>
      </c>
      <c r="F772" s="2"/>
      <c r="I772" s="4"/>
    </row>
    <row r="773" ht="1.5" customHeight="1">
      <c r="A773" s="4" t="str">
        <f>IFERROR(__xludf.DUMMYFUNCTION("""COMPUTED_VALUE"""),"5. Eraser")</f>
        <v>5. Eraser</v>
      </c>
      <c r="B773" s="4" t="str">
        <f>IFERROR(__xludf.DUMMYFUNCTION("""COMPUTED_VALUE"""),"5")</f>
        <v>5</v>
      </c>
      <c r="C773" s="5" t="str">
        <f>IFERROR(__xludf.DUMMYFUNCTION("""COMPUTED_VALUE"""),"https://drive.google.com/file/d/1caV2kw1Dtf2kuL7ZaAal6cgU94gMrvOK/view?usp=drivesdk")</f>
        <v>https://drive.google.com/file/d/1caV2kw1Dtf2kuL7ZaAal6cgU94gMrvOK/view?usp=drivesdk</v>
      </c>
      <c r="D773" s="12"/>
      <c r="E773" s="6">
        <v>829.0</v>
      </c>
      <c r="F773" s="2"/>
      <c r="I773" s="4"/>
    </row>
    <row r="774" ht="1.5" customHeight="1">
      <c r="A774" s="4" t="str">
        <f>IFERROR(__xludf.DUMMYFUNCTION("""COMPUTED_VALUE"""),"2. Twix")</f>
        <v>2. Twix</v>
      </c>
      <c r="B774" s="4" t="str">
        <f>IFERROR(__xludf.DUMMYFUNCTION("""COMPUTED_VALUE"""),"2")</f>
        <v>2</v>
      </c>
      <c r="C774" s="5" t="str">
        <f>IFERROR(__xludf.DUMMYFUNCTION("""COMPUTED_VALUE"""),"https://drive.google.com/file/d/1AKCCfrXIORdIafMwp-QG44Le7wRgg1Yv/view?usp=drivesdk")</f>
        <v>https://drive.google.com/file/d/1AKCCfrXIORdIafMwp-QG44Le7wRgg1Yv/view?usp=drivesdk</v>
      </c>
      <c r="D774" s="12"/>
      <c r="E774" s="11">
        <v>830.0</v>
      </c>
      <c r="F774" s="2"/>
      <c r="I774" s="4"/>
    </row>
    <row r="775" ht="1.5" customHeight="1">
      <c r="A775" s="4" t="str">
        <f>IFERROR(__xludf.DUMMYFUNCTION("""COMPUTED_VALUE"""),"5. Eraser")</f>
        <v>5. Eraser</v>
      </c>
      <c r="B775" s="4" t="str">
        <f>IFERROR(__xludf.DUMMYFUNCTION("""COMPUTED_VALUE"""),"5")</f>
        <v>5</v>
      </c>
      <c r="C775" s="5" t="str">
        <f>IFERROR(__xludf.DUMMYFUNCTION("""COMPUTED_VALUE"""),"https://drive.google.com/file/d/1oT8MYx-vVY0B1z3kQki-lxh1a3mg8FYu/view?usp=drivesdk")</f>
        <v>https://drive.google.com/file/d/1oT8MYx-vVY0B1z3kQki-lxh1a3mg8FYu/view?usp=drivesdk</v>
      </c>
      <c r="D775" s="12"/>
      <c r="E775" s="6">
        <v>831.0</v>
      </c>
      <c r="F775" s="2"/>
      <c r="I775" s="4"/>
    </row>
    <row r="776" ht="1.5" customHeight="1">
      <c r="A776" s="4" t="str">
        <f>IFERROR(__xludf.DUMMYFUNCTION("""COMPUTED_VALUE"""),"4. Eggs")</f>
        <v>4. Eggs</v>
      </c>
      <c r="B776" s="4" t="str">
        <f>IFERROR(__xludf.DUMMYFUNCTION("""COMPUTED_VALUE"""),"4")</f>
        <v>4</v>
      </c>
      <c r="C776" s="5" t="str">
        <f>IFERROR(__xludf.DUMMYFUNCTION("""COMPUTED_VALUE"""),"https://drive.google.com/file/d/1P9_uNUjnapDHv2q9HReZ0CMC8MqzO6MP/view?usp=drivesdk")</f>
        <v>https://drive.google.com/file/d/1P9_uNUjnapDHv2q9HReZ0CMC8MqzO6MP/view?usp=drivesdk</v>
      </c>
      <c r="D776" s="12"/>
      <c r="E776" s="11">
        <v>832.0</v>
      </c>
      <c r="F776" s="2"/>
      <c r="I776" s="4"/>
    </row>
    <row r="777" ht="1.5" customHeight="1">
      <c r="A777" s="4" t="str">
        <f>IFERROR(__xludf.DUMMYFUNCTION("""COMPUTED_VALUE"""),"2. Twix")</f>
        <v>2. Twix</v>
      </c>
      <c r="B777" s="4" t="str">
        <f>IFERROR(__xludf.DUMMYFUNCTION("""COMPUTED_VALUE"""),"2")</f>
        <v>2</v>
      </c>
      <c r="C777" s="5" t="str">
        <f>IFERROR(__xludf.DUMMYFUNCTION("""COMPUTED_VALUE"""),"https://drive.google.com/file/d/1YUNCjgImAQswMQLgoGrJZ1gCVgUCOGqZ/view?usp=drivesdk")</f>
        <v>https://drive.google.com/file/d/1YUNCjgImAQswMQLgoGrJZ1gCVgUCOGqZ/view?usp=drivesdk</v>
      </c>
      <c r="D777" s="12"/>
      <c r="E777" s="6">
        <v>833.0</v>
      </c>
      <c r="F777" s="2"/>
      <c r="I777" s="4"/>
    </row>
    <row r="778" ht="1.5" customHeight="1">
      <c r="A778" s="4" t="str">
        <f>IFERROR(__xludf.DUMMYFUNCTION("""COMPUTED_VALUE"""),"2. Twix")</f>
        <v>2. Twix</v>
      </c>
      <c r="B778" s="4" t="str">
        <f>IFERROR(__xludf.DUMMYFUNCTION("""COMPUTED_VALUE"""),"2")</f>
        <v>2</v>
      </c>
      <c r="C778" s="5" t="str">
        <f>IFERROR(__xludf.DUMMYFUNCTION("""COMPUTED_VALUE"""),"https://drive.google.com/file/d/1hhna53_wVyegr7yHOcwctfuj1OToC_e2/view?usp=drivesdk")</f>
        <v>https://drive.google.com/file/d/1hhna53_wVyegr7yHOcwctfuj1OToC_e2/view?usp=drivesdk</v>
      </c>
      <c r="D778" s="12"/>
      <c r="E778" s="6">
        <v>834.0</v>
      </c>
      <c r="F778" s="2"/>
      <c r="I778" s="4"/>
    </row>
    <row r="779" ht="1.5" customHeight="1">
      <c r="A779" s="4" t="str">
        <f>IFERROR(__xludf.DUMMYFUNCTION("""COMPUTED_VALUE"""),"2. Twix")</f>
        <v>2. Twix</v>
      </c>
      <c r="B779" s="4" t="str">
        <f>IFERROR(__xludf.DUMMYFUNCTION("""COMPUTED_VALUE"""),"2")</f>
        <v>2</v>
      </c>
      <c r="C779" s="5" t="str">
        <f>IFERROR(__xludf.DUMMYFUNCTION("""COMPUTED_VALUE"""),"https://drive.google.com/file/d/1wHZrto6pU_oe8Tt5ALJB7X9CHzQxS_IW/view?usp=drivesdk")</f>
        <v>https://drive.google.com/file/d/1wHZrto6pU_oe8Tt5ALJB7X9CHzQxS_IW/view?usp=drivesdk</v>
      </c>
      <c r="D779" s="12"/>
      <c r="E779" s="6">
        <v>835.0</v>
      </c>
      <c r="F779" s="2"/>
      <c r="I779" s="4"/>
    </row>
    <row r="780" ht="1.5" customHeight="1">
      <c r="A780" s="4" t="str">
        <f>IFERROR(__xludf.DUMMYFUNCTION("""COMPUTED_VALUE"""),"2. Twix")</f>
        <v>2. Twix</v>
      </c>
      <c r="B780" s="4" t="str">
        <f>IFERROR(__xludf.DUMMYFUNCTION("""COMPUTED_VALUE"""),"2")</f>
        <v>2</v>
      </c>
      <c r="C780" s="5" t="str">
        <f>IFERROR(__xludf.DUMMYFUNCTION("""COMPUTED_VALUE"""),"https://drive.google.com/file/d/1c30Z6lkNJiFrQNNVqiBqqYxbGZjiZINz/view?usp=drivesdk")</f>
        <v>https://drive.google.com/file/d/1c30Z6lkNJiFrQNNVqiBqqYxbGZjiZINz/view?usp=drivesdk</v>
      </c>
      <c r="D780" s="12"/>
      <c r="E780" s="11">
        <v>836.0</v>
      </c>
      <c r="F780" s="2"/>
      <c r="I780" s="4"/>
    </row>
    <row r="781" ht="1.5" customHeight="1">
      <c r="A781" s="4" t="str">
        <f>IFERROR(__xludf.DUMMYFUNCTION("""COMPUTED_VALUE"""),"2. Twix")</f>
        <v>2. Twix</v>
      </c>
      <c r="B781" s="4" t="str">
        <f>IFERROR(__xludf.DUMMYFUNCTION("""COMPUTED_VALUE"""),"2")</f>
        <v>2</v>
      </c>
      <c r="C781" s="5" t="str">
        <f>IFERROR(__xludf.DUMMYFUNCTION("""COMPUTED_VALUE"""),"https://drive.google.com/file/d/1rZ_25Ia2Tyy1tX1A9M83TpjrEHU4Xhdc/view?usp=drivesdk")</f>
        <v>https://drive.google.com/file/d/1rZ_25Ia2Tyy1tX1A9M83TpjrEHU4Xhdc/view?usp=drivesdk</v>
      </c>
      <c r="D781" s="12"/>
      <c r="E781" s="6">
        <v>837.0</v>
      </c>
      <c r="F781" s="2"/>
      <c r="I781" s="4"/>
    </row>
    <row r="782" ht="1.5" customHeight="1">
      <c r="A782" s="4" t="str">
        <f>IFERROR(__xludf.DUMMYFUNCTION("""COMPUTED_VALUE"""),"5. Eraser, 4. Eggs")</f>
        <v>5. Eraser, 4. Eggs</v>
      </c>
      <c r="B782" s="4" t="str">
        <f>IFERROR(__xludf.DUMMYFUNCTION("""COMPUTED_VALUE"""),"5, 4")</f>
        <v>5, 4</v>
      </c>
      <c r="C782" s="5" t="str">
        <f>IFERROR(__xludf.DUMMYFUNCTION("""COMPUTED_VALUE"""),"https://drive.google.com/file/d/1JmQJfh3Yn47rmwn8EEar_vleVJntXP_5/view?usp=drivesdk")</f>
        <v>https://drive.google.com/file/d/1JmQJfh3Yn47rmwn8EEar_vleVJntXP_5/view?usp=drivesdk</v>
      </c>
      <c r="D782" s="12"/>
      <c r="E782" s="11">
        <v>838.0</v>
      </c>
      <c r="F782" s="2"/>
      <c r="I782" s="4"/>
    </row>
    <row r="783" ht="1.5" customHeight="1">
      <c r="A783" s="4" t="str">
        <f>IFERROR(__xludf.DUMMYFUNCTION("""COMPUTED_VALUE"""),"2. Twix")</f>
        <v>2. Twix</v>
      </c>
      <c r="B783" s="4" t="str">
        <f>IFERROR(__xludf.DUMMYFUNCTION("""COMPUTED_VALUE"""),"2")</f>
        <v>2</v>
      </c>
      <c r="C783" s="5" t="str">
        <f>IFERROR(__xludf.DUMMYFUNCTION("""COMPUTED_VALUE"""),"https://drive.google.com/file/d/1QB9vn8psTKrA6QYsw0zuu7-qOvMElXSD/view?usp=drivesdk")</f>
        <v>https://drive.google.com/file/d/1QB9vn8psTKrA6QYsw0zuu7-qOvMElXSD/view?usp=drivesdk</v>
      </c>
      <c r="D783" s="12"/>
      <c r="E783" s="6">
        <v>839.0</v>
      </c>
      <c r="F783" s="2"/>
      <c r="I783" s="4"/>
    </row>
    <row r="784" ht="1.5" customHeight="1">
      <c r="A784" s="4" t="str">
        <f>IFERROR(__xludf.DUMMYFUNCTION("""COMPUTED_VALUE"""),"5. Eraser")</f>
        <v>5. Eraser</v>
      </c>
      <c r="B784" s="4" t="str">
        <f>IFERROR(__xludf.DUMMYFUNCTION("""COMPUTED_VALUE"""),"5")</f>
        <v>5</v>
      </c>
      <c r="C784" s="5" t="str">
        <f>IFERROR(__xludf.DUMMYFUNCTION("""COMPUTED_VALUE"""),"https://drive.google.com/file/d/1qt0Ikw5S48LWKqoUJAVhYmhNfLzdW9-R/view?usp=drivesdk")</f>
        <v>https://drive.google.com/file/d/1qt0Ikw5S48LWKqoUJAVhYmhNfLzdW9-R/view?usp=drivesdk</v>
      </c>
      <c r="D784" s="12"/>
      <c r="E784" s="6">
        <v>840.0</v>
      </c>
      <c r="F784" s="2"/>
      <c r="I784" s="4"/>
    </row>
    <row r="785" ht="1.5" customHeight="1">
      <c r="A785" s="4" t="str">
        <f>IFERROR(__xludf.DUMMYFUNCTION("""COMPUTED_VALUE"""),"5. Eraser")</f>
        <v>5. Eraser</v>
      </c>
      <c r="B785" s="4" t="str">
        <f>IFERROR(__xludf.DUMMYFUNCTION("""COMPUTED_VALUE"""),"5")</f>
        <v>5</v>
      </c>
      <c r="C785" s="5" t="str">
        <f>IFERROR(__xludf.DUMMYFUNCTION("""COMPUTED_VALUE"""),"https://drive.google.com/file/d/1eP3JPUzflLHzrHqych5zdHbvolVIC1pU/view?usp=drivesdk")</f>
        <v>https://drive.google.com/file/d/1eP3JPUzflLHzrHqych5zdHbvolVIC1pU/view?usp=drivesdk</v>
      </c>
      <c r="D785" s="12"/>
      <c r="E785" s="6">
        <v>841.0</v>
      </c>
      <c r="F785" s="2"/>
      <c r="I785" s="4"/>
    </row>
    <row r="786" ht="1.5" customHeight="1">
      <c r="A786" s="4" t="str">
        <f>IFERROR(__xludf.DUMMYFUNCTION("""COMPUTED_VALUE"""),"5. Eraser, 4. Eggs")</f>
        <v>5. Eraser, 4. Eggs</v>
      </c>
      <c r="B786" s="4" t="str">
        <f>IFERROR(__xludf.DUMMYFUNCTION("""COMPUTED_VALUE"""),"5, 4")</f>
        <v>5, 4</v>
      </c>
      <c r="C786" s="5" t="str">
        <f>IFERROR(__xludf.DUMMYFUNCTION("""COMPUTED_VALUE"""),"https://drive.google.com/file/d/1WH6Ie0M4iA9ZwQDgQB07iqHfCOlxk_6Q/view?usp=drivesdk")</f>
        <v>https://drive.google.com/file/d/1WH6Ie0M4iA9ZwQDgQB07iqHfCOlxk_6Q/view?usp=drivesdk</v>
      </c>
      <c r="D786" s="12"/>
      <c r="E786" s="11">
        <v>842.0</v>
      </c>
      <c r="F786" s="2"/>
      <c r="I786" s="4"/>
    </row>
    <row r="787" ht="1.5" customHeight="1">
      <c r="A787" s="4" t="str">
        <f>IFERROR(__xludf.DUMMYFUNCTION("""COMPUTED_VALUE"""),"5. Eraser")</f>
        <v>5. Eraser</v>
      </c>
      <c r="B787" s="4" t="str">
        <f>IFERROR(__xludf.DUMMYFUNCTION("""COMPUTED_VALUE"""),"5")</f>
        <v>5</v>
      </c>
      <c r="C787" s="5" t="str">
        <f>IFERROR(__xludf.DUMMYFUNCTION("""COMPUTED_VALUE"""),"https://drive.google.com/file/d/15PvzJtoF3dEv0v5oG2bFQbCrH89cYBmS/view?usp=drivesdk")</f>
        <v>https://drive.google.com/file/d/15PvzJtoF3dEv0v5oG2bFQbCrH89cYBmS/view?usp=drivesdk</v>
      </c>
      <c r="D787" s="12"/>
      <c r="E787" s="6">
        <v>843.0</v>
      </c>
      <c r="F787" s="2"/>
      <c r="I787" s="4"/>
    </row>
    <row r="788" ht="1.5" customHeight="1">
      <c r="A788" s="4" t="str">
        <f>IFERROR(__xludf.DUMMYFUNCTION("""COMPUTED_VALUE"""),"4. Eggs")</f>
        <v>4. Eggs</v>
      </c>
      <c r="B788" s="4" t="str">
        <f>IFERROR(__xludf.DUMMYFUNCTION("""COMPUTED_VALUE"""),"4")</f>
        <v>4</v>
      </c>
      <c r="C788" s="5" t="str">
        <f>IFERROR(__xludf.DUMMYFUNCTION("""COMPUTED_VALUE"""),"https://drive.google.com/file/d/1rSz_eqgsfID32-aGkyqFD_BZXJk4BRSW/view?usp=drivesdk")</f>
        <v>https://drive.google.com/file/d/1rSz_eqgsfID32-aGkyqFD_BZXJk4BRSW/view?usp=drivesdk</v>
      </c>
      <c r="D788" s="12"/>
      <c r="E788" s="11">
        <v>844.0</v>
      </c>
      <c r="F788" s="2"/>
      <c r="I788" s="4"/>
    </row>
    <row r="789" ht="1.5" customHeight="1">
      <c r="A789" s="4" t="str">
        <f>IFERROR(__xludf.DUMMYFUNCTION("""COMPUTED_VALUE"""),"4. Eggs")</f>
        <v>4. Eggs</v>
      </c>
      <c r="B789" s="4" t="str">
        <f>IFERROR(__xludf.DUMMYFUNCTION("""COMPUTED_VALUE"""),"4")</f>
        <v>4</v>
      </c>
      <c r="C789" s="5" t="str">
        <f>IFERROR(__xludf.DUMMYFUNCTION("""COMPUTED_VALUE"""),"https://drive.google.com/file/d/1GlZGnE8ygXNRZ5uUru0vaO1QDai1NMTl/view?usp=drivesdk")</f>
        <v>https://drive.google.com/file/d/1GlZGnE8ygXNRZ5uUru0vaO1QDai1NMTl/view?usp=drivesdk</v>
      </c>
      <c r="D789" s="12"/>
      <c r="E789" s="6">
        <v>845.0</v>
      </c>
      <c r="F789" s="2"/>
      <c r="I789" s="4"/>
    </row>
    <row r="790" ht="1.5" customHeight="1">
      <c r="A790" s="4" t="str">
        <f>IFERROR(__xludf.DUMMYFUNCTION("""COMPUTED_VALUE"""),"4. Eggs")</f>
        <v>4. Eggs</v>
      </c>
      <c r="B790" s="4" t="str">
        <f>IFERROR(__xludf.DUMMYFUNCTION("""COMPUTED_VALUE"""),"4")</f>
        <v>4</v>
      </c>
      <c r="C790" s="5" t="str">
        <f>IFERROR(__xludf.DUMMYFUNCTION("""COMPUTED_VALUE"""),"https://drive.google.com/file/d/1Z3H5YRqzawwpr231VLEA6gOrI7cwR0a7/view?usp=drivesdk")</f>
        <v>https://drive.google.com/file/d/1Z3H5YRqzawwpr231VLEA6gOrI7cwR0a7/view?usp=drivesdk</v>
      </c>
      <c r="D790" s="12"/>
      <c r="E790" s="6">
        <v>846.0</v>
      </c>
      <c r="F790" s="2"/>
      <c r="I790" s="4"/>
    </row>
    <row r="791" ht="1.5" customHeight="1">
      <c r="A791" s="4" t="str">
        <f>IFERROR(__xludf.DUMMYFUNCTION("""COMPUTED_VALUE"""),"5. Eraser")</f>
        <v>5. Eraser</v>
      </c>
      <c r="B791" s="4" t="str">
        <f>IFERROR(__xludf.DUMMYFUNCTION("""COMPUTED_VALUE"""),"5")</f>
        <v>5</v>
      </c>
      <c r="C791" s="5" t="str">
        <f>IFERROR(__xludf.DUMMYFUNCTION("""COMPUTED_VALUE"""),"https://drive.google.com/file/d/1Qqkc3YicjlraXk5sQ7BWtpA9JOfQixsd/view?usp=drivesdk")</f>
        <v>https://drive.google.com/file/d/1Qqkc3YicjlraXk5sQ7BWtpA9JOfQixsd/view?usp=drivesdk</v>
      </c>
      <c r="D791" s="12"/>
      <c r="E791" s="6">
        <v>847.0</v>
      </c>
      <c r="F791" s="2"/>
      <c r="I791" s="4"/>
    </row>
    <row r="792" ht="1.5" customHeight="1">
      <c r="A792" s="4" t="str">
        <f>IFERROR(__xludf.DUMMYFUNCTION("""COMPUTED_VALUE"""),"5. Eraser")</f>
        <v>5. Eraser</v>
      </c>
      <c r="B792" s="4" t="str">
        <f>IFERROR(__xludf.DUMMYFUNCTION("""COMPUTED_VALUE"""),"5")</f>
        <v>5</v>
      </c>
      <c r="C792" s="5" t="str">
        <f>IFERROR(__xludf.DUMMYFUNCTION("""COMPUTED_VALUE"""),"https://drive.google.com/file/d/1dSog2cEM6l0lgy7Tps5STTx19FICAQ4m/view?usp=drivesdk")</f>
        <v>https://drive.google.com/file/d/1dSog2cEM6l0lgy7Tps5STTx19FICAQ4m/view?usp=drivesdk</v>
      </c>
      <c r="D792" s="12"/>
      <c r="E792" s="11">
        <v>848.0</v>
      </c>
      <c r="F792" s="2"/>
      <c r="I792" s="4"/>
    </row>
    <row r="793" ht="1.5" customHeight="1">
      <c r="A793" s="4" t="str">
        <f>IFERROR(__xludf.DUMMYFUNCTION("""COMPUTED_VALUE"""),"5. Eraser")</f>
        <v>5. Eraser</v>
      </c>
      <c r="B793" s="4" t="str">
        <f>IFERROR(__xludf.DUMMYFUNCTION("""COMPUTED_VALUE"""),"5")</f>
        <v>5</v>
      </c>
      <c r="C793" s="5" t="str">
        <f>IFERROR(__xludf.DUMMYFUNCTION("""COMPUTED_VALUE"""),"https://drive.google.com/file/d/1MktOGRZdm-uKjjfrisGGS_h7kzs05XQY/view?usp=drivesdk")</f>
        <v>https://drive.google.com/file/d/1MktOGRZdm-uKjjfrisGGS_h7kzs05XQY/view?usp=drivesdk</v>
      </c>
      <c r="D793" s="12"/>
      <c r="E793" s="6">
        <v>849.0</v>
      </c>
      <c r="F793" s="2"/>
      <c r="I793" s="4"/>
    </row>
    <row r="794" ht="1.5" customHeight="1">
      <c r="A794" s="4" t="str">
        <f>IFERROR(__xludf.DUMMYFUNCTION("""COMPUTED_VALUE"""),"5. Eraser")</f>
        <v>5. Eraser</v>
      </c>
      <c r="B794" s="4" t="str">
        <f>IFERROR(__xludf.DUMMYFUNCTION("""COMPUTED_VALUE"""),"5")</f>
        <v>5</v>
      </c>
      <c r="C794" s="5" t="str">
        <f>IFERROR(__xludf.DUMMYFUNCTION("""COMPUTED_VALUE"""),"https://drive.google.com/file/d/1VsKDu5uIWc4U78jodBGRNUmEyMXiIpt7/view?usp=drivesdk")</f>
        <v>https://drive.google.com/file/d/1VsKDu5uIWc4U78jodBGRNUmEyMXiIpt7/view?usp=drivesdk</v>
      </c>
      <c r="D794" s="12"/>
      <c r="E794" s="11">
        <v>850.0</v>
      </c>
      <c r="F794" s="2"/>
      <c r="I794" s="4"/>
    </row>
    <row r="795" ht="1.5" customHeight="1">
      <c r="A795" s="4" t="str">
        <f>IFERROR(__xludf.DUMMYFUNCTION("""COMPUTED_VALUE"""),"4. Eggs")</f>
        <v>4. Eggs</v>
      </c>
      <c r="B795" s="4" t="str">
        <f>IFERROR(__xludf.DUMMYFUNCTION("""COMPUTED_VALUE"""),"4")</f>
        <v>4</v>
      </c>
      <c r="C795" s="5" t="str">
        <f>IFERROR(__xludf.DUMMYFUNCTION("""COMPUTED_VALUE"""),"https://drive.google.com/file/d/1_EKDTZV3w4_4nlM1njnrFhRja0Us5xB-/view?usp=drivesdk")</f>
        <v>https://drive.google.com/file/d/1_EKDTZV3w4_4nlM1njnrFhRja0Us5xB-/view?usp=drivesdk</v>
      </c>
      <c r="D795" s="12"/>
      <c r="E795" s="6">
        <v>851.0</v>
      </c>
      <c r="F795" s="2"/>
      <c r="I795" s="4"/>
    </row>
    <row r="796" ht="1.5" customHeight="1">
      <c r="A796" s="4" t="str">
        <f>IFERROR(__xludf.DUMMYFUNCTION("""COMPUTED_VALUE"""),"5. Eraser, 4. Eggs")</f>
        <v>5. Eraser, 4. Eggs</v>
      </c>
      <c r="B796" s="4" t="str">
        <f>IFERROR(__xludf.DUMMYFUNCTION("""COMPUTED_VALUE"""),"5, 4")</f>
        <v>5, 4</v>
      </c>
      <c r="C796" s="5" t="str">
        <f>IFERROR(__xludf.DUMMYFUNCTION("""COMPUTED_VALUE"""),"https://drive.google.com/file/d/1Bmey6nBYGZ3g-V98U1ropffmU47F-w4H/view?usp=drivesdk")</f>
        <v>https://drive.google.com/file/d/1Bmey6nBYGZ3g-V98U1ropffmU47F-w4H/view?usp=drivesdk</v>
      </c>
      <c r="D796" s="12"/>
      <c r="E796" s="6">
        <v>852.0</v>
      </c>
      <c r="F796" s="2"/>
      <c r="I796" s="4"/>
    </row>
    <row r="797" ht="1.5" customHeight="1">
      <c r="A797" s="4" t="str">
        <f>IFERROR(__xludf.DUMMYFUNCTION("""COMPUTED_VALUE"""),"4. Eggs")</f>
        <v>4. Eggs</v>
      </c>
      <c r="B797" s="4" t="str">
        <f>IFERROR(__xludf.DUMMYFUNCTION("""COMPUTED_VALUE"""),"4")</f>
        <v>4</v>
      </c>
      <c r="C797" s="5" t="str">
        <f>IFERROR(__xludf.DUMMYFUNCTION("""COMPUTED_VALUE"""),"https://drive.google.com/file/d/1h3fR-rHK13e4evewpu3u4EXhewsG5MMj/view?usp=drivesdk")</f>
        <v>https://drive.google.com/file/d/1h3fR-rHK13e4evewpu3u4EXhewsG5MMj/view?usp=drivesdk</v>
      </c>
      <c r="D797" s="12"/>
      <c r="E797" s="6">
        <v>853.0</v>
      </c>
      <c r="F797" s="2"/>
      <c r="I797" s="4"/>
    </row>
    <row r="798" ht="1.5" customHeight="1">
      <c r="A798" s="4" t="str">
        <f>IFERROR(__xludf.DUMMYFUNCTION("""COMPUTED_VALUE"""),"4. Eggs")</f>
        <v>4. Eggs</v>
      </c>
      <c r="B798" s="4" t="str">
        <f>IFERROR(__xludf.DUMMYFUNCTION("""COMPUTED_VALUE"""),"4")</f>
        <v>4</v>
      </c>
      <c r="C798" s="5" t="str">
        <f>IFERROR(__xludf.DUMMYFUNCTION("""COMPUTED_VALUE"""),"https://drive.google.com/file/d/1oWBEPV3IX1qXCylMlUubnV8EXcOa2g71/view?usp=drivesdk")</f>
        <v>https://drive.google.com/file/d/1oWBEPV3IX1qXCylMlUubnV8EXcOa2g71/view?usp=drivesdk</v>
      </c>
      <c r="D798" s="12"/>
      <c r="E798" s="11">
        <v>854.0</v>
      </c>
      <c r="F798" s="2"/>
      <c r="I798" s="4"/>
    </row>
    <row r="799" ht="1.5" customHeight="1">
      <c r="A799" s="4" t="str">
        <f>IFERROR(__xludf.DUMMYFUNCTION("""COMPUTED_VALUE"""),"5. Eraser")</f>
        <v>5. Eraser</v>
      </c>
      <c r="B799" s="4" t="str">
        <f>IFERROR(__xludf.DUMMYFUNCTION("""COMPUTED_VALUE"""),"5")</f>
        <v>5</v>
      </c>
      <c r="C799" s="5" t="str">
        <f>IFERROR(__xludf.DUMMYFUNCTION("""COMPUTED_VALUE"""),"https://drive.google.com/file/d/19La2sx1RSmbRHXZaR3NzMY3_Xr-5fw43/view?usp=drivesdk")</f>
        <v>https://drive.google.com/file/d/19La2sx1RSmbRHXZaR3NzMY3_Xr-5fw43/view?usp=drivesdk</v>
      </c>
      <c r="D799" s="12"/>
      <c r="E799" s="6">
        <v>855.0</v>
      </c>
      <c r="F799" s="2"/>
      <c r="I799" s="4"/>
    </row>
    <row r="800" ht="1.5" customHeight="1">
      <c r="A800" s="4" t="str">
        <f>IFERROR(__xludf.DUMMYFUNCTION("""COMPUTED_VALUE"""),"2. Twix")</f>
        <v>2. Twix</v>
      </c>
      <c r="B800" s="4" t="str">
        <f>IFERROR(__xludf.DUMMYFUNCTION("""COMPUTED_VALUE"""),"2")</f>
        <v>2</v>
      </c>
      <c r="C800" s="5" t="str">
        <f>IFERROR(__xludf.DUMMYFUNCTION("""COMPUTED_VALUE"""),"https://drive.google.com/file/d/1WO84WXlBj4jfvu15Gbm0pNk8iK1c6RJY/view?usp=drivesdk")</f>
        <v>https://drive.google.com/file/d/1WO84WXlBj4jfvu15Gbm0pNk8iK1c6RJY/view?usp=drivesdk</v>
      </c>
      <c r="D800" s="12"/>
      <c r="E800" s="11">
        <v>856.0</v>
      </c>
      <c r="F800" s="2"/>
      <c r="I800" s="4"/>
    </row>
    <row r="801" ht="1.5" customHeight="1">
      <c r="A801" s="4" t="str">
        <f>IFERROR(__xludf.DUMMYFUNCTION("""COMPUTED_VALUE"""),"2. Twix")</f>
        <v>2. Twix</v>
      </c>
      <c r="B801" s="4" t="str">
        <f>IFERROR(__xludf.DUMMYFUNCTION("""COMPUTED_VALUE"""),"2")</f>
        <v>2</v>
      </c>
      <c r="C801" s="5" t="str">
        <f>IFERROR(__xludf.DUMMYFUNCTION("""COMPUTED_VALUE"""),"https://drive.google.com/file/d/1sIBXCu5v6E17ezxxd-ujddMbGBdMOh7p/view?usp=drivesdk")</f>
        <v>https://drive.google.com/file/d/1sIBXCu5v6E17ezxxd-ujddMbGBdMOh7p/view?usp=drivesdk</v>
      </c>
      <c r="D801" s="12"/>
      <c r="E801" s="6">
        <v>857.0</v>
      </c>
      <c r="F801" s="2"/>
      <c r="I801" s="4"/>
    </row>
    <row r="802" ht="1.5" customHeight="1">
      <c r="A802" s="4" t="str">
        <f>IFERROR(__xludf.DUMMYFUNCTION("""COMPUTED_VALUE"""),"2. Twix")</f>
        <v>2. Twix</v>
      </c>
      <c r="B802" s="4" t="str">
        <f>IFERROR(__xludf.DUMMYFUNCTION("""COMPUTED_VALUE"""),"2")</f>
        <v>2</v>
      </c>
      <c r="C802" s="5" t="str">
        <f>IFERROR(__xludf.DUMMYFUNCTION("""COMPUTED_VALUE"""),"https://drive.google.com/file/d/1-8_2uki5ubDQUbX8NhcwM0UXCK00gACd/view?usp=drivesdk")</f>
        <v>https://drive.google.com/file/d/1-8_2uki5ubDQUbX8NhcwM0UXCK00gACd/view?usp=drivesdk</v>
      </c>
      <c r="D802" s="12"/>
      <c r="E802" s="6">
        <v>858.0</v>
      </c>
      <c r="F802" s="2"/>
      <c r="I802" s="4"/>
    </row>
    <row r="803" ht="1.5" customHeight="1">
      <c r="A803" s="4" t="str">
        <f>IFERROR(__xludf.DUMMYFUNCTION("""COMPUTED_VALUE"""),"2. Twix")</f>
        <v>2. Twix</v>
      </c>
      <c r="B803" s="4" t="str">
        <f>IFERROR(__xludf.DUMMYFUNCTION("""COMPUTED_VALUE"""),"2")</f>
        <v>2</v>
      </c>
      <c r="C803" s="5" t="str">
        <f>IFERROR(__xludf.DUMMYFUNCTION("""COMPUTED_VALUE"""),"https://drive.google.com/file/d/1u8FvnCJ8znVuBoNVQMioDGiBmtIozd_d/view?usp=drivesdk")</f>
        <v>https://drive.google.com/file/d/1u8FvnCJ8znVuBoNVQMioDGiBmtIozd_d/view?usp=drivesdk</v>
      </c>
      <c r="D803" s="12"/>
      <c r="E803" s="6">
        <v>859.0</v>
      </c>
      <c r="F803" s="2"/>
      <c r="I803" s="4"/>
    </row>
    <row r="804" ht="1.5" customHeight="1">
      <c r="A804" s="4" t="str">
        <f>IFERROR(__xludf.DUMMYFUNCTION("""COMPUTED_VALUE"""),"2. Twix")</f>
        <v>2. Twix</v>
      </c>
      <c r="B804" s="4" t="str">
        <f>IFERROR(__xludf.DUMMYFUNCTION("""COMPUTED_VALUE"""),"2")</f>
        <v>2</v>
      </c>
      <c r="C804" s="5" t="str">
        <f>IFERROR(__xludf.DUMMYFUNCTION("""COMPUTED_VALUE"""),"https://drive.google.com/file/d/10F999MzluXHRxuFDC1OZS2jsStdx830z/view?usp=drivesdk")</f>
        <v>https://drive.google.com/file/d/10F999MzluXHRxuFDC1OZS2jsStdx830z/view?usp=drivesdk</v>
      </c>
      <c r="D804" s="12"/>
      <c r="E804" s="11">
        <v>860.0</v>
      </c>
      <c r="F804" s="2"/>
      <c r="I804" s="4"/>
    </row>
    <row r="805" ht="1.5" customHeight="1">
      <c r="A805" s="4" t="str">
        <f>IFERROR(__xludf.DUMMYFUNCTION("""COMPUTED_VALUE"""),"2. Twix")</f>
        <v>2. Twix</v>
      </c>
      <c r="B805" s="4" t="str">
        <f>IFERROR(__xludf.DUMMYFUNCTION("""COMPUTED_VALUE"""),"2")</f>
        <v>2</v>
      </c>
      <c r="C805" s="5" t="str">
        <f>IFERROR(__xludf.DUMMYFUNCTION("""COMPUTED_VALUE"""),"https://drive.google.com/file/d/1tloo9JXF_FvbeqA9I49DbflrfJWqJ0ur/view?usp=drivesdk")</f>
        <v>https://drive.google.com/file/d/1tloo9JXF_FvbeqA9I49DbflrfJWqJ0ur/view?usp=drivesdk</v>
      </c>
      <c r="D805" s="12"/>
      <c r="E805" s="6">
        <v>861.0</v>
      </c>
      <c r="F805" s="2"/>
      <c r="I805" s="4"/>
    </row>
    <row r="806" ht="1.5" customHeight="1">
      <c r="A806" s="4" t="str">
        <f>IFERROR(__xludf.DUMMYFUNCTION("""COMPUTED_VALUE"""),"2. Twix")</f>
        <v>2. Twix</v>
      </c>
      <c r="B806" s="4" t="str">
        <f>IFERROR(__xludf.DUMMYFUNCTION("""COMPUTED_VALUE"""),"2")</f>
        <v>2</v>
      </c>
      <c r="C806" s="5" t="str">
        <f>IFERROR(__xludf.DUMMYFUNCTION("""COMPUTED_VALUE"""),"https://drive.google.com/file/d/18cUxti698wEl2sY1cltjp-I9yCnvIeTh/view?usp=drivesdk")</f>
        <v>https://drive.google.com/file/d/18cUxti698wEl2sY1cltjp-I9yCnvIeTh/view?usp=drivesdk</v>
      </c>
      <c r="D806" s="12"/>
      <c r="E806" s="11">
        <v>862.0</v>
      </c>
      <c r="F806" s="2"/>
      <c r="I806" s="4"/>
    </row>
    <row r="807" ht="1.5" customHeight="1">
      <c r="A807" s="4" t="str">
        <f>IFERROR(__xludf.DUMMYFUNCTION("""COMPUTED_VALUE"""),"2. Twix")</f>
        <v>2. Twix</v>
      </c>
      <c r="B807" s="4" t="str">
        <f>IFERROR(__xludf.DUMMYFUNCTION("""COMPUTED_VALUE"""),"2")</f>
        <v>2</v>
      </c>
      <c r="C807" s="5" t="str">
        <f>IFERROR(__xludf.DUMMYFUNCTION("""COMPUTED_VALUE"""),"https://drive.google.com/file/d/1qv8pqYN8HDKg2XCWXWBnjgoA10cJZTtX/view?usp=drivesdk")</f>
        <v>https://drive.google.com/file/d/1qv8pqYN8HDKg2XCWXWBnjgoA10cJZTtX/view?usp=drivesdk</v>
      </c>
      <c r="D807" s="12"/>
      <c r="E807" s="6">
        <v>863.0</v>
      </c>
      <c r="F807" s="2"/>
      <c r="I807" s="4"/>
    </row>
    <row r="808" ht="1.5" customHeight="1">
      <c r="A808" s="4" t="str">
        <f>IFERROR(__xludf.DUMMYFUNCTION("""COMPUTED_VALUE"""),"2. Twix")</f>
        <v>2. Twix</v>
      </c>
      <c r="B808" s="4" t="str">
        <f>IFERROR(__xludf.DUMMYFUNCTION("""COMPUTED_VALUE"""),"2")</f>
        <v>2</v>
      </c>
      <c r="C808" s="5" t="str">
        <f>IFERROR(__xludf.DUMMYFUNCTION("""COMPUTED_VALUE"""),"https://drive.google.com/file/d/1Z2g5lz5m0ZaliApC8xm_vlABUpw3S2Gt/view?usp=drivesdk")</f>
        <v>https://drive.google.com/file/d/1Z2g5lz5m0ZaliApC8xm_vlABUpw3S2Gt/view?usp=drivesdk</v>
      </c>
      <c r="D808" s="12"/>
      <c r="E808" s="6">
        <v>864.0</v>
      </c>
      <c r="F808" s="2"/>
      <c r="I808" s="4"/>
    </row>
    <row r="809" ht="1.5" customHeight="1">
      <c r="A809" s="4" t="str">
        <f>IFERROR(__xludf.DUMMYFUNCTION("""COMPUTED_VALUE"""),"2. Twix")</f>
        <v>2. Twix</v>
      </c>
      <c r="B809" s="4" t="str">
        <f>IFERROR(__xludf.DUMMYFUNCTION("""COMPUTED_VALUE"""),"2")</f>
        <v>2</v>
      </c>
      <c r="C809" s="5" t="str">
        <f>IFERROR(__xludf.DUMMYFUNCTION("""COMPUTED_VALUE"""),"https://drive.google.com/file/d/1ByO7nPYip69Em4QeTcCmI9i6xJTHHwVt/view?usp=drivesdk")</f>
        <v>https://drive.google.com/file/d/1ByO7nPYip69Em4QeTcCmI9i6xJTHHwVt/view?usp=drivesdk</v>
      </c>
      <c r="D809" s="12"/>
      <c r="E809" s="6">
        <v>865.0</v>
      </c>
      <c r="F809" s="2"/>
      <c r="I809" s="4"/>
    </row>
    <row r="810" ht="1.5" customHeight="1">
      <c r="A810" s="4" t="str">
        <f>IFERROR(__xludf.DUMMYFUNCTION("""COMPUTED_VALUE"""),"2. Twix")</f>
        <v>2. Twix</v>
      </c>
      <c r="B810" s="4" t="str">
        <f>IFERROR(__xludf.DUMMYFUNCTION("""COMPUTED_VALUE"""),"2")</f>
        <v>2</v>
      </c>
      <c r="C810" s="5" t="str">
        <f>IFERROR(__xludf.DUMMYFUNCTION("""COMPUTED_VALUE"""),"https://drive.google.com/file/d/1mSu-iuiBBVA9YcMPSoS0ao40n7HkuQNE/view?usp=drivesdk")</f>
        <v>https://drive.google.com/file/d/1mSu-iuiBBVA9YcMPSoS0ao40n7HkuQNE/view?usp=drivesdk</v>
      </c>
      <c r="D810" s="12"/>
      <c r="E810" s="11">
        <v>866.0</v>
      </c>
      <c r="F810" s="2"/>
      <c r="I810" s="4"/>
    </row>
    <row r="811" ht="1.5" customHeight="1">
      <c r="A811" s="4" t="str">
        <f>IFERROR(__xludf.DUMMYFUNCTION("""COMPUTED_VALUE"""),"2. Twix")</f>
        <v>2. Twix</v>
      </c>
      <c r="B811" s="4" t="str">
        <f>IFERROR(__xludf.DUMMYFUNCTION("""COMPUTED_VALUE"""),"2")</f>
        <v>2</v>
      </c>
      <c r="C811" s="5" t="str">
        <f>IFERROR(__xludf.DUMMYFUNCTION("""COMPUTED_VALUE"""),"https://drive.google.com/file/d/19ba6ZlvuUM6JnJc-cWXCtNaWWm6CX1LX/view?usp=drivesdk")</f>
        <v>https://drive.google.com/file/d/19ba6ZlvuUM6JnJc-cWXCtNaWWm6CX1LX/view?usp=drivesdk</v>
      </c>
      <c r="D811" s="12"/>
      <c r="E811" s="6">
        <v>867.0</v>
      </c>
      <c r="F811" s="2"/>
      <c r="I811" s="4"/>
    </row>
    <row r="812" ht="1.5" customHeight="1">
      <c r="A812" s="4" t="str">
        <f>IFERROR(__xludf.DUMMYFUNCTION("""COMPUTED_VALUE"""),"2. Twix")</f>
        <v>2. Twix</v>
      </c>
      <c r="B812" s="4" t="str">
        <f>IFERROR(__xludf.DUMMYFUNCTION("""COMPUTED_VALUE"""),"2")</f>
        <v>2</v>
      </c>
      <c r="C812" s="5" t="str">
        <f>IFERROR(__xludf.DUMMYFUNCTION("""COMPUTED_VALUE"""),"https://drive.google.com/file/d/1OUxrQbPhAyd78TAQBkEND3dYO-pH006H/view?usp=drivesdk")</f>
        <v>https://drive.google.com/file/d/1OUxrQbPhAyd78TAQBkEND3dYO-pH006H/view?usp=drivesdk</v>
      </c>
      <c r="D812" s="12"/>
      <c r="E812" s="11">
        <v>868.0</v>
      </c>
      <c r="F812" s="2"/>
      <c r="I812" s="4"/>
    </row>
    <row r="813" ht="1.5" customHeight="1">
      <c r="A813" s="4" t="str">
        <f>IFERROR(__xludf.DUMMYFUNCTION("""COMPUTED_VALUE"""),"2. Twix")</f>
        <v>2. Twix</v>
      </c>
      <c r="B813" s="4" t="str">
        <f>IFERROR(__xludf.DUMMYFUNCTION("""COMPUTED_VALUE"""),"2")</f>
        <v>2</v>
      </c>
      <c r="C813" s="5" t="str">
        <f>IFERROR(__xludf.DUMMYFUNCTION("""COMPUTED_VALUE"""),"https://drive.google.com/file/d/1raPjURmp7wEtP3-y8KFLk57sh47_ZU_d/view?usp=drivesdk")</f>
        <v>https://drive.google.com/file/d/1raPjURmp7wEtP3-y8KFLk57sh47_ZU_d/view?usp=drivesdk</v>
      </c>
      <c r="D813" s="12"/>
      <c r="E813" s="6">
        <v>869.0</v>
      </c>
      <c r="F813" s="2"/>
      <c r="I813" s="4"/>
    </row>
    <row r="814" ht="1.5" customHeight="1">
      <c r="A814" s="4" t="str">
        <f>IFERROR(__xludf.DUMMYFUNCTION("""COMPUTED_VALUE"""),"2. Twix")</f>
        <v>2. Twix</v>
      </c>
      <c r="B814" s="4" t="str">
        <f>IFERROR(__xludf.DUMMYFUNCTION("""COMPUTED_VALUE"""),"2")</f>
        <v>2</v>
      </c>
      <c r="C814" s="5" t="str">
        <f>IFERROR(__xludf.DUMMYFUNCTION("""COMPUTED_VALUE"""),"https://drive.google.com/file/d/1GNb7WLz1SrEPhtuNp1pzBfJI8aitfupb/view?usp=drivesdk")</f>
        <v>https://drive.google.com/file/d/1GNb7WLz1SrEPhtuNp1pzBfJI8aitfupb/view?usp=drivesdk</v>
      </c>
      <c r="D814" s="12"/>
      <c r="E814" s="6">
        <v>870.0</v>
      </c>
      <c r="F814" s="2"/>
      <c r="I814" s="4"/>
    </row>
    <row r="815" ht="1.5" customHeight="1">
      <c r="A815" s="4" t="str">
        <f>IFERROR(__xludf.DUMMYFUNCTION("""COMPUTED_VALUE"""),"2. Twix")</f>
        <v>2. Twix</v>
      </c>
      <c r="B815" s="4" t="str">
        <f>IFERROR(__xludf.DUMMYFUNCTION("""COMPUTED_VALUE"""),"2")</f>
        <v>2</v>
      </c>
      <c r="C815" s="5" t="str">
        <f>IFERROR(__xludf.DUMMYFUNCTION("""COMPUTED_VALUE"""),"https://drive.google.com/file/d/13nGlYht8AlsCU5JwalR8DTDR6a72dEjn/view?usp=drivesdk")</f>
        <v>https://drive.google.com/file/d/13nGlYht8AlsCU5JwalR8DTDR6a72dEjn/view?usp=drivesdk</v>
      </c>
      <c r="D815" s="12"/>
      <c r="E815" s="6">
        <v>871.0</v>
      </c>
      <c r="F815" s="2"/>
      <c r="I815" s="4"/>
    </row>
    <row r="816" ht="1.5" customHeight="1">
      <c r="A816" s="4" t="str">
        <f>IFERROR(__xludf.DUMMYFUNCTION("""COMPUTED_VALUE"""),"1. Microwave")</f>
        <v>1. Microwave</v>
      </c>
      <c r="B816" s="4" t="str">
        <f>IFERROR(__xludf.DUMMYFUNCTION("""COMPUTED_VALUE"""),"1")</f>
        <v>1</v>
      </c>
      <c r="C816" s="5" t="str">
        <f>IFERROR(__xludf.DUMMYFUNCTION("""COMPUTED_VALUE"""),"https://drive.google.com/file/d/1Bv6g6ZKYhdeQfGPG5IeIQsGAIsFKXEiQ/view?usp=drivesdk")</f>
        <v>https://drive.google.com/file/d/1Bv6g6ZKYhdeQfGPG5IeIQsGAIsFKXEiQ/view?usp=drivesdk</v>
      </c>
      <c r="D816" s="12"/>
      <c r="E816" s="11">
        <v>872.0</v>
      </c>
      <c r="F816" s="2"/>
      <c r="I816" s="4"/>
    </row>
    <row r="817" ht="1.5" customHeight="1">
      <c r="A817" s="4" t="str">
        <f>IFERROR(__xludf.DUMMYFUNCTION("""COMPUTED_VALUE"""),"1. Microwave")</f>
        <v>1. Microwave</v>
      </c>
      <c r="B817" s="4" t="str">
        <f>IFERROR(__xludf.DUMMYFUNCTION("""COMPUTED_VALUE"""),"1")</f>
        <v>1</v>
      </c>
      <c r="C817" s="5" t="str">
        <f>IFERROR(__xludf.DUMMYFUNCTION("""COMPUTED_VALUE"""),"https://drive.google.com/file/d/1UNTiftbyabRsSS0aKbTPFxJ7VJKifHuI/view?usp=drivesdk")</f>
        <v>https://drive.google.com/file/d/1UNTiftbyabRsSS0aKbTPFxJ7VJKifHuI/view?usp=drivesdk</v>
      </c>
      <c r="D817" s="12"/>
      <c r="E817" s="6">
        <v>873.0</v>
      </c>
      <c r="F817" s="2"/>
      <c r="I817" s="4"/>
    </row>
    <row r="818" ht="1.5" customHeight="1">
      <c r="A818" s="4" t="str">
        <f>IFERROR(__xludf.DUMMYFUNCTION("""COMPUTED_VALUE"""),"1. Microwave")</f>
        <v>1. Microwave</v>
      </c>
      <c r="B818" s="4" t="str">
        <f>IFERROR(__xludf.DUMMYFUNCTION("""COMPUTED_VALUE"""),"1")</f>
        <v>1</v>
      </c>
      <c r="C818" s="5" t="str">
        <f>IFERROR(__xludf.DUMMYFUNCTION("""COMPUTED_VALUE"""),"https://drive.google.com/file/d/1c_HUmqnj6E-gp-k9hXiTKqZimbV9ZX_N/view?usp=drivesdk")</f>
        <v>https://drive.google.com/file/d/1c_HUmqnj6E-gp-k9hXiTKqZimbV9ZX_N/view?usp=drivesdk</v>
      </c>
      <c r="D818" s="12"/>
      <c r="E818" s="11">
        <v>874.0</v>
      </c>
      <c r="F818" s="2"/>
      <c r="I818" s="4"/>
    </row>
    <row r="819" ht="1.5" customHeight="1">
      <c r="A819" s="4" t="str">
        <f>IFERROR(__xludf.DUMMYFUNCTION("""COMPUTED_VALUE"""),"1. Microwave")</f>
        <v>1. Microwave</v>
      </c>
      <c r="B819" s="4" t="str">
        <f>IFERROR(__xludf.DUMMYFUNCTION("""COMPUTED_VALUE"""),"1")</f>
        <v>1</v>
      </c>
      <c r="C819" s="5" t="str">
        <f>IFERROR(__xludf.DUMMYFUNCTION("""COMPUTED_VALUE"""),"https://drive.google.com/file/d/1nlGJBJ_3TCiCYzWHfhx7oUBkLd52zDYi/view?usp=drivesdk")</f>
        <v>https://drive.google.com/file/d/1nlGJBJ_3TCiCYzWHfhx7oUBkLd52zDYi/view?usp=drivesdk</v>
      </c>
      <c r="D819" s="12"/>
      <c r="E819" s="6">
        <v>875.0</v>
      </c>
      <c r="F819" s="2"/>
      <c r="I819" s="4"/>
    </row>
    <row r="820" ht="1.5" customHeight="1">
      <c r="A820" s="4" t="str">
        <f>IFERROR(__xludf.DUMMYFUNCTION("""COMPUTED_VALUE"""),"1. Microwave")</f>
        <v>1. Microwave</v>
      </c>
      <c r="B820" s="4" t="str">
        <f>IFERROR(__xludf.DUMMYFUNCTION("""COMPUTED_VALUE"""),"1")</f>
        <v>1</v>
      </c>
      <c r="C820" s="5" t="str">
        <f>IFERROR(__xludf.DUMMYFUNCTION("""COMPUTED_VALUE"""),"https://drive.google.com/file/d/1Jut4sb5CAiaohBKL4mOiygtUuI-3zJM5/view?usp=drivesdk")</f>
        <v>https://drive.google.com/file/d/1Jut4sb5CAiaohBKL4mOiygtUuI-3zJM5/view?usp=drivesdk</v>
      </c>
      <c r="D820" s="12"/>
      <c r="E820" s="6">
        <v>876.0</v>
      </c>
      <c r="F820" s="2"/>
      <c r="I820" s="4"/>
    </row>
    <row r="821" ht="1.5" customHeight="1">
      <c r="A821" s="4" t="str">
        <f>IFERROR(__xludf.DUMMYFUNCTION("""COMPUTED_VALUE"""),"1. Microwave")</f>
        <v>1. Microwave</v>
      </c>
      <c r="B821" s="4" t="str">
        <f>IFERROR(__xludf.DUMMYFUNCTION("""COMPUTED_VALUE"""),"1")</f>
        <v>1</v>
      </c>
      <c r="C821" s="5" t="str">
        <f>IFERROR(__xludf.DUMMYFUNCTION("""COMPUTED_VALUE"""),"https://drive.google.com/file/d/1JtsLvO58r4JCdzxrcmufK0sXbl3okJB4/view?usp=drivesdk")</f>
        <v>https://drive.google.com/file/d/1JtsLvO58r4JCdzxrcmufK0sXbl3okJB4/view?usp=drivesdk</v>
      </c>
      <c r="D821" s="12"/>
      <c r="E821" s="6">
        <v>877.0</v>
      </c>
      <c r="F821" s="2"/>
      <c r="I821" s="4"/>
    </row>
    <row r="822" ht="1.5" customHeight="1">
      <c r="A822" s="4" t="str">
        <f>IFERROR(__xludf.DUMMYFUNCTION("""COMPUTED_VALUE"""),"2. Twix")</f>
        <v>2. Twix</v>
      </c>
      <c r="B822" s="4" t="str">
        <f>IFERROR(__xludf.DUMMYFUNCTION("""COMPUTED_VALUE"""),"2")</f>
        <v>2</v>
      </c>
      <c r="C822" s="5" t="str">
        <f>IFERROR(__xludf.DUMMYFUNCTION("""COMPUTED_VALUE"""),"https://drive.google.com/file/d/1H2dFkGVJW99bWpvxl6kaIsR7m-wmlNeP/view?usp=drivesdk")</f>
        <v>https://drive.google.com/file/d/1H2dFkGVJW99bWpvxl6kaIsR7m-wmlNeP/view?usp=drivesdk</v>
      </c>
      <c r="D822" s="12"/>
      <c r="E822" s="11">
        <v>878.0</v>
      </c>
      <c r="F822" s="2"/>
      <c r="I822" s="4"/>
    </row>
    <row r="823" ht="1.5" customHeight="1">
      <c r="A823" s="4" t="str">
        <f>IFERROR(__xludf.DUMMYFUNCTION("""COMPUTED_VALUE"""),"1. Microwave")</f>
        <v>1. Microwave</v>
      </c>
      <c r="B823" s="4" t="str">
        <f>IFERROR(__xludf.DUMMYFUNCTION("""COMPUTED_VALUE"""),"1")</f>
        <v>1</v>
      </c>
      <c r="C823" s="5" t="str">
        <f>IFERROR(__xludf.DUMMYFUNCTION("""COMPUTED_VALUE"""),"https://drive.google.com/file/d/1WaP86jiSgUt6bIMy_ELsz1xdj_3VPgoj/view?usp=drivesdk")</f>
        <v>https://drive.google.com/file/d/1WaP86jiSgUt6bIMy_ELsz1xdj_3VPgoj/view?usp=drivesdk</v>
      </c>
      <c r="D823" s="12"/>
      <c r="E823" s="6">
        <v>879.0</v>
      </c>
      <c r="F823" s="2"/>
      <c r="I823" s="4"/>
    </row>
    <row r="824" ht="1.5" customHeight="1">
      <c r="A824" s="4" t="str">
        <f>IFERROR(__xludf.DUMMYFUNCTION("""COMPUTED_VALUE"""),"1. Microwave")</f>
        <v>1. Microwave</v>
      </c>
      <c r="B824" s="4" t="str">
        <f>IFERROR(__xludf.DUMMYFUNCTION("""COMPUTED_VALUE"""),"1")</f>
        <v>1</v>
      </c>
      <c r="C824" s="5" t="str">
        <f>IFERROR(__xludf.DUMMYFUNCTION("""COMPUTED_VALUE"""),"https://drive.google.com/file/d/1fg7CCdWwOq-zH6rEDJMIqdNCZAZfCQCC/view?usp=drivesdk")</f>
        <v>https://drive.google.com/file/d/1fg7CCdWwOq-zH6rEDJMIqdNCZAZfCQCC/view?usp=drivesdk</v>
      </c>
      <c r="D824" s="12"/>
      <c r="E824" s="11">
        <v>880.0</v>
      </c>
      <c r="F824" s="2"/>
      <c r="I824" s="4"/>
    </row>
    <row r="825" ht="1.5" customHeight="1">
      <c r="A825" s="4" t="str">
        <f>IFERROR(__xludf.DUMMYFUNCTION("""COMPUTED_VALUE"""),"1. Microwave")</f>
        <v>1. Microwave</v>
      </c>
      <c r="B825" s="4" t="str">
        <f>IFERROR(__xludf.DUMMYFUNCTION("""COMPUTED_VALUE"""),"1")</f>
        <v>1</v>
      </c>
      <c r="C825" s="5" t="str">
        <f>IFERROR(__xludf.DUMMYFUNCTION("""COMPUTED_VALUE"""),"https://drive.google.com/file/d/1aShgThmMAqFHyQqKTQwyuLWQ09fLsdaQ/view?usp=drivesdk")</f>
        <v>https://drive.google.com/file/d/1aShgThmMAqFHyQqKTQwyuLWQ09fLsdaQ/view?usp=drivesdk</v>
      </c>
      <c r="D825" s="12"/>
      <c r="E825" s="6">
        <v>881.0</v>
      </c>
      <c r="F825" s="2"/>
      <c r="I825" s="4"/>
    </row>
    <row r="826" ht="1.5" customHeight="1">
      <c r="A826" s="4" t="str">
        <f>IFERROR(__xludf.DUMMYFUNCTION("""COMPUTED_VALUE"""),"1. Microwave")</f>
        <v>1. Microwave</v>
      </c>
      <c r="B826" s="4" t="str">
        <f>IFERROR(__xludf.DUMMYFUNCTION("""COMPUTED_VALUE"""),"1")</f>
        <v>1</v>
      </c>
      <c r="C826" s="5" t="str">
        <f>IFERROR(__xludf.DUMMYFUNCTION("""COMPUTED_VALUE"""),"https://drive.google.com/file/d/1NN7I-JPEhIm4HwdM-haczDQJbeWC-cDj/view?usp=drivesdk")</f>
        <v>https://drive.google.com/file/d/1NN7I-JPEhIm4HwdM-haczDQJbeWC-cDj/view?usp=drivesdk</v>
      </c>
      <c r="D826" s="12"/>
      <c r="E826" s="6">
        <v>882.0</v>
      </c>
      <c r="F826" s="2"/>
      <c r="I826" s="4"/>
    </row>
    <row r="827" ht="1.5" customHeight="1">
      <c r="A827" s="4" t="str">
        <f>IFERROR(__xludf.DUMMYFUNCTION("""COMPUTED_VALUE"""),"1. Microwave")</f>
        <v>1. Microwave</v>
      </c>
      <c r="B827" s="4" t="str">
        <f>IFERROR(__xludf.DUMMYFUNCTION("""COMPUTED_VALUE"""),"1")</f>
        <v>1</v>
      </c>
      <c r="C827" s="5" t="str">
        <f>IFERROR(__xludf.DUMMYFUNCTION("""COMPUTED_VALUE"""),"https://drive.google.com/file/d/1Ewul27YdSEgs8yf2j9Tfn0bcDkmHjxsb/view?usp=drivesdk")</f>
        <v>https://drive.google.com/file/d/1Ewul27YdSEgs8yf2j9Tfn0bcDkmHjxsb/view?usp=drivesdk</v>
      </c>
      <c r="D827" s="12"/>
      <c r="E827" s="6">
        <v>883.0</v>
      </c>
      <c r="F827" s="2"/>
      <c r="I827" s="4"/>
    </row>
    <row r="828" ht="1.5" customHeight="1">
      <c r="A828" s="4" t="str">
        <f>IFERROR(__xludf.DUMMYFUNCTION("""COMPUTED_VALUE"""),"1. Microwave")</f>
        <v>1. Microwave</v>
      </c>
      <c r="B828" s="4" t="str">
        <f>IFERROR(__xludf.DUMMYFUNCTION("""COMPUTED_VALUE"""),"1")</f>
        <v>1</v>
      </c>
      <c r="C828" s="5" t="str">
        <f>IFERROR(__xludf.DUMMYFUNCTION("""COMPUTED_VALUE"""),"https://drive.google.com/file/d/1Li6cZsR86XYl3HNiRVQXcXzXlsXQ001J/view?usp=drivesdk")</f>
        <v>https://drive.google.com/file/d/1Li6cZsR86XYl3HNiRVQXcXzXlsXQ001J/view?usp=drivesdk</v>
      </c>
      <c r="D828" s="12"/>
      <c r="E828" s="11">
        <v>884.0</v>
      </c>
      <c r="F828" s="2"/>
      <c r="I828" s="4"/>
    </row>
    <row r="829" ht="1.5" customHeight="1">
      <c r="A829" s="4" t="str">
        <f>IFERROR(__xludf.DUMMYFUNCTION("""COMPUTED_VALUE"""),"1. Microwave")</f>
        <v>1. Microwave</v>
      </c>
      <c r="B829" s="4" t="str">
        <f>IFERROR(__xludf.DUMMYFUNCTION("""COMPUTED_VALUE"""),"1")</f>
        <v>1</v>
      </c>
      <c r="C829" s="5" t="str">
        <f>IFERROR(__xludf.DUMMYFUNCTION("""COMPUTED_VALUE"""),"https://drive.google.com/file/d/1voAasojaaiEPtOjYrWUWoZGVrnvrHqjU/view?usp=drivesdk")</f>
        <v>https://drive.google.com/file/d/1voAasojaaiEPtOjYrWUWoZGVrnvrHqjU/view?usp=drivesdk</v>
      </c>
      <c r="D829" s="12"/>
      <c r="E829" s="6">
        <v>885.0</v>
      </c>
      <c r="F829" s="2"/>
      <c r="I829" s="4"/>
    </row>
    <row r="830" ht="1.5" customHeight="1">
      <c r="A830" s="4" t="str">
        <f>IFERROR(__xludf.DUMMYFUNCTION("""COMPUTED_VALUE"""),"2. Twix")</f>
        <v>2. Twix</v>
      </c>
      <c r="B830" s="4" t="str">
        <f>IFERROR(__xludf.DUMMYFUNCTION("""COMPUTED_VALUE"""),"2")</f>
        <v>2</v>
      </c>
      <c r="C830" s="5" t="str">
        <f>IFERROR(__xludf.DUMMYFUNCTION("""COMPUTED_VALUE"""),"https://drive.google.com/file/d/1dzSbKLvi8pTXjjtEO33e1UGq6beeNrz6/view?usp=drivesdk")</f>
        <v>https://drive.google.com/file/d/1dzSbKLvi8pTXjjtEO33e1UGq6beeNrz6/view?usp=drivesdk</v>
      </c>
      <c r="D830" s="12"/>
      <c r="E830" s="11">
        <v>886.0</v>
      </c>
      <c r="F830" s="2"/>
      <c r="I830" s="4"/>
    </row>
    <row r="831" ht="1.5" customHeight="1">
      <c r="A831" s="4" t="str">
        <f>IFERROR(__xludf.DUMMYFUNCTION("""COMPUTED_VALUE"""),"1. Microwave")</f>
        <v>1. Microwave</v>
      </c>
      <c r="B831" s="4" t="str">
        <f>IFERROR(__xludf.DUMMYFUNCTION("""COMPUTED_VALUE"""),"1")</f>
        <v>1</v>
      </c>
      <c r="C831" s="5" t="str">
        <f>IFERROR(__xludf.DUMMYFUNCTION("""COMPUTED_VALUE"""),"https://drive.google.com/file/d/1GuWIwiGBM0TbRtY2VIwAvYLdprIP7eCr/view?usp=drivesdk")</f>
        <v>https://drive.google.com/file/d/1GuWIwiGBM0TbRtY2VIwAvYLdprIP7eCr/view?usp=drivesdk</v>
      </c>
      <c r="D831" s="12"/>
      <c r="E831" s="6">
        <v>887.0</v>
      </c>
      <c r="F831" s="2"/>
      <c r="I831" s="4"/>
    </row>
    <row r="832" ht="1.5" customHeight="1">
      <c r="A832" s="4" t="str">
        <f>IFERROR(__xludf.DUMMYFUNCTION("""COMPUTED_VALUE"""),"1. Microwave")</f>
        <v>1. Microwave</v>
      </c>
      <c r="B832" s="4" t="str">
        <f>IFERROR(__xludf.DUMMYFUNCTION("""COMPUTED_VALUE"""),"1")</f>
        <v>1</v>
      </c>
      <c r="C832" s="5" t="str">
        <f>IFERROR(__xludf.DUMMYFUNCTION("""COMPUTED_VALUE"""),"https://drive.google.com/file/d/1C-BZO8Fzp2gAT8a5Sou7LqYYYxpGPCPq/view?usp=drivesdk")</f>
        <v>https://drive.google.com/file/d/1C-BZO8Fzp2gAT8a5Sou7LqYYYxpGPCPq/view?usp=drivesdk</v>
      </c>
      <c r="D832" s="12"/>
      <c r="E832" s="6">
        <v>888.0</v>
      </c>
      <c r="F832" s="2"/>
      <c r="I832" s="4"/>
    </row>
    <row r="833" ht="1.5" customHeight="1">
      <c r="A833" s="4" t="str">
        <f>IFERROR(__xludf.DUMMYFUNCTION("""COMPUTED_VALUE"""),"1. Microwave")</f>
        <v>1. Microwave</v>
      </c>
      <c r="B833" s="4" t="str">
        <f>IFERROR(__xludf.DUMMYFUNCTION("""COMPUTED_VALUE"""),"1")</f>
        <v>1</v>
      </c>
      <c r="C833" s="5" t="str">
        <f>IFERROR(__xludf.DUMMYFUNCTION("""COMPUTED_VALUE"""),"https://drive.google.com/file/d/1TtM47KervD9pPhP13sIlHmt0YmY_tF_r/view?usp=drivesdk")</f>
        <v>https://drive.google.com/file/d/1TtM47KervD9pPhP13sIlHmt0YmY_tF_r/view?usp=drivesdk</v>
      </c>
      <c r="D833" s="12"/>
      <c r="E833" s="6">
        <v>889.0</v>
      </c>
      <c r="F833" s="2"/>
      <c r="I833" s="4"/>
    </row>
    <row r="834" ht="1.5" customHeight="1">
      <c r="A834" s="4" t="str">
        <f>IFERROR(__xludf.DUMMYFUNCTION("""COMPUTED_VALUE"""),"1. Microwave")</f>
        <v>1. Microwave</v>
      </c>
      <c r="B834" s="4" t="str">
        <f>IFERROR(__xludf.DUMMYFUNCTION("""COMPUTED_VALUE"""),"1")</f>
        <v>1</v>
      </c>
      <c r="C834" s="5" t="str">
        <f>IFERROR(__xludf.DUMMYFUNCTION("""COMPUTED_VALUE"""),"https://drive.google.com/file/d/1hKxvWVRmeRDq1XyCWFTZ08dcb69N4Aa0/view?usp=drivesdk")</f>
        <v>https://drive.google.com/file/d/1hKxvWVRmeRDq1XyCWFTZ08dcb69N4Aa0/view?usp=drivesdk</v>
      </c>
      <c r="D834" s="12"/>
      <c r="E834" s="11">
        <v>890.0</v>
      </c>
      <c r="F834" s="2"/>
      <c r="I834" s="4"/>
    </row>
    <row r="835" ht="1.5" customHeight="1">
      <c r="A835" s="4" t="str">
        <f>IFERROR(__xludf.DUMMYFUNCTION("""COMPUTED_VALUE"""),"33. Zee")</f>
        <v>33. Zee</v>
      </c>
      <c r="B835" s="4" t="str">
        <f>IFERROR(__xludf.DUMMYFUNCTION("""COMPUTED_VALUE"""),"33")</f>
        <v>33</v>
      </c>
      <c r="C835" s="5" t="str">
        <f>IFERROR(__xludf.DUMMYFUNCTION("""COMPUTED_VALUE"""),"https://drive.google.com/file/d/1zLXS2ICSXiAFzsPx7DCMsYe8hdX-rp1T/view?usp=drivesdk")</f>
        <v>https://drive.google.com/file/d/1zLXS2ICSXiAFzsPx7DCMsYe8hdX-rp1T/view?usp=drivesdk</v>
      </c>
      <c r="D835" s="12"/>
      <c r="E835" s="6">
        <v>891.0</v>
      </c>
      <c r="F835" s="2"/>
      <c r="I835" s="4"/>
    </row>
    <row r="836" ht="1.5" customHeight="1">
      <c r="A836" s="4" t="str">
        <f>IFERROR(__xludf.DUMMYFUNCTION("""COMPUTED_VALUE"""),"3. Ford F-150")</f>
        <v>3. Ford F-150</v>
      </c>
      <c r="B836" s="4" t="str">
        <f>IFERROR(__xludf.DUMMYFUNCTION("""COMPUTED_VALUE"""),"3")</f>
        <v>3</v>
      </c>
      <c r="C836" s="5" t="str">
        <f>IFERROR(__xludf.DUMMYFUNCTION("""COMPUTED_VALUE"""),"https://drive.google.com/file/d/1KwUJPJm1AAhe-wJVb1WYaF5Augl6fUWh/view?usp=drivesdk")</f>
        <v>https://drive.google.com/file/d/1KwUJPJm1AAhe-wJVb1WYaF5Augl6fUWh/view?usp=drivesdk</v>
      </c>
      <c r="D836" s="12"/>
      <c r="E836" s="11">
        <v>892.0</v>
      </c>
      <c r="F836" s="2"/>
      <c r="I836" s="4"/>
    </row>
    <row r="837" ht="1.5" customHeight="1">
      <c r="A837" s="4" t="str">
        <f>IFERROR(__xludf.DUMMYFUNCTION("""COMPUTED_VALUE"""),"1. Microwave")</f>
        <v>1. Microwave</v>
      </c>
      <c r="B837" s="4" t="str">
        <f>IFERROR(__xludf.DUMMYFUNCTION("""COMPUTED_VALUE"""),"1")</f>
        <v>1</v>
      </c>
      <c r="C837" s="5" t="str">
        <f>IFERROR(__xludf.DUMMYFUNCTION("""COMPUTED_VALUE"""),"https://drive.google.com/file/d/1xDrgq0Q4AZs9C3JBxRyozS_rM0-z3EJx/view?usp=drivesdk")</f>
        <v>https://drive.google.com/file/d/1xDrgq0Q4AZs9C3JBxRyozS_rM0-z3EJx/view?usp=drivesdk</v>
      </c>
      <c r="D837" s="12"/>
      <c r="E837" s="6">
        <v>893.0</v>
      </c>
      <c r="F837" s="2"/>
      <c r="I837" s="4"/>
    </row>
    <row r="838" ht="1.5" customHeight="1">
      <c r="A838" s="4" t="str">
        <f>IFERROR(__xludf.DUMMYFUNCTION("""COMPUTED_VALUE"""),"33. Zee")</f>
        <v>33. Zee</v>
      </c>
      <c r="B838" s="4" t="str">
        <f>IFERROR(__xludf.DUMMYFUNCTION("""COMPUTED_VALUE"""),"33")</f>
        <v>33</v>
      </c>
      <c r="C838" s="5" t="str">
        <f>IFERROR(__xludf.DUMMYFUNCTION("""COMPUTED_VALUE"""),"https://drive.google.com/file/d/1TcD631htQLdD9CFN4nopDAnUTsVMtfDw/view?usp=drivesdk")</f>
        <v>https://drive.google.com/file/d/1TcD631htQLdD9CFN4nopDAnUTsVMtfDw/view?usp=drivesdk</v>
      </c>
      <c r="D838" s="12"/>
      <c r="E838" s="6">
        <v>894.0</v>
      </c>
      <c r="F838" s="2"/>
      <c r="I838" s="4"/>
    </row>
    <row r="839" ht="1.5" customHeight="1">
      <c r="A839" s="4" t="str">
        <f>IFERROR(__xludf.DUMMYFUNCTION("""COMPUTED_VALUE"""),"1. Microwave")</f>
        <v>1. Microwave</v>
      </c>
      <c r="B839" s="4" t="str">
        <f>IFERROR(__xludf.DUMMYFUNCTION("""COMPUTED_VALUE"""),"1")</f>
        <v>1</v>
      </c>
      <c r="C839" s="5" t="str">
        <f>IFERROR(__xludf.DUMMYFUNCTION("""COMPUTED_VALUE"""),"https://drive.google.com/file/d/1u6FaAucHuDC84IyOCpdi2h1ZlhuTTGtP/view?usp=drivesdk")</f>
        <v>https://drive.google.com/file/d/1u6FaAucHuDC84IyOCpdi2h1ZlhuTTGtP/view?usp=drivesdk</v>
      </c>
      <c r="D839" s="12"/>
      <c r="E839" s="6">
        <v>895.0</v>
      </c>
      <c r="F839" s="2"/>
      <c r="I839" s="4"/>
    </row>
    <row r="840" ht="1.5" customHeight="1">
      <c r="A840" s="4" t="str">
        <f>IFERROR(__xludf.DUMMYFUNCTION("""COMPUTED_VALUE"""),"1. Microwave")</f>
        <v>1. Microwave</v>
      </c>
      <c r="B840" s="4" t="str">
        <f>IFERROR(__xludf.DUMMYFUNCTION("""COMPUTED_VALUE"""),"1")</f>
        <v>1</v>
      </c>
      <c r="C840" s="5" t="str">
        <f>IFERROR(__xludf.DUMMYFUNCTION("""COMPUTED_VALUE"""),"https://drive.google.com/file/d/1QEyoG9R9olM8jEzW8oBoLu0GxYR4cF7t/view?usp=drivesdk")</f>
        <v>https://drive.google.com/file/d/1QEyoG9R9olM8jEzW8oBoLu0GxYR4cF7t/view?usp=drivesdk</v>
      </c>
      <c r="D840" s="12"/>
      <c r="E840" s="11">
        <v>896.0</v>
      </c>
      <c r="F840" s="2"/>
      <c r="I840" s="4"/>
    </row>
    <row r="841" ht="1.5" customHeight="1">
      <c r="A841" s="4" t="str">
        <f>IFERROR(__xludf.DUMMYFUNCTION("""COMPUTED_VALUE"""),"1. Microwave")</f>
        <v>1. Microwave</v>
      </c>
      <c r="B841" s="4" t="str">
        <f>IFERROR(__xludf.DUMMYFUNCTION("""COMPUTED_VALUE"""),"1")</f>
        <v>1</v>
      </c>
      <c r="C841" s="5" t="str">
        <f>IFERROR(__xludf.DUMMYFUNCTION("""COMPUTED_VALUE"""),"https://drive.google.com/file/d/1JtPUjT2AkieTgnxedreRylghKXVIcFa_/view?usp=drivesdk")</f>
        <v>https://drive.google.com/file/d/1JtPUjT2AkieTgnxedreRylghKXVIcFa_/view?usp=drivesdk</v>
      </c>
      <c r="D841" s="12"/>
      <c r="E841" s="6">
        <v>897.0</v>
      </c>
      <c r="F841" s="2"/>
      <c r="I841" s="4"/>
    </row>
    <row r="842" ht="1.5" customHeight="1">
      <c r="A842" s="4" t="str">
        <f>IFERROR(__xludf.DUMMYFUNCTION("""COMPUTED_VALUE"""),"1. Microwave")</f>
        <v>1. Microwave</v>
      </c>
      <c r="B842" s="4" t="str">
        <f>IFERROR(__xludf.DUMMYFUNCTION("""COMPUTED_VALUE"""),"1")</f>
        <v>1</v>
      </c>
      <c r="C842" s="5" t="str">
        <f>IFERROR(__xludf.DUMMYFUNCTION("""COMPUTED_VALUE"""),"https://drive.google.com/file/d/1_y6lt1IJM-DRgOiEcdT6ZwlbJz_JNrrj/view?usp=drivesdk")</f>
        <v>https://drive.google.com/file/d/1_y6lt1IJM-DRgOiEcdT6ZwlbJz_JNrrj/view?usp=drivesdk</v>
      </c>
      <c r="D842" s="12"/>
      <c r="E842" s="11">
        <v>898.0</v>
      </c>
      <c r="F842" s="2"/>
      <c r="I842" s="4"/>
    </row>
    <row r="843" ht="1.5" customHeight="1">
      <c r="A843" s="4" t="str">
        <f>IFERROR(__xludf.DUMMYFUNCTION("""COMPUTED_VALUE"""),"1. Microwave")</f>
        <v>1. Microwave</v>
      </c>
      <c r="B843" s="4" t="str">
        <f>IFERROR(__xludf.DUMMYFUNCTION("""COMPUTED_VALUE"""),"1")</f>
        <v>1</v>
      </c>
      <c r="C843" s="5" t="str">
        <f>IFERROR(__xludf.DUMMYFUNCTION("""COMPUTED_VALUE"""),"https://drive.google.com/file/d/1B7iiaUCTInIqMMXeyUVnfRp5DBd3tLUu/view?usp=drivesdk")</f>
        <v>https://drive.google.com/file/d/1B7iiaUCTInIqMMXeyUVnfRp5DBd3tLUu/view?usp=drivesdk</v>
      </c>
      <c r="D843" s="12"/>
      <c r="E843" s="6">
        <v>899.0</v>
      </c>
      <c r="F843" s="2"/>
      <c r="I843" s="4"/>
    </row>
    <row r="844" ht="1.5" customHeight="1">
      <c r="A844" s="4" t="str">
        <f>IFERROR(__xludf.DUMMYFUNCTION("""COMPUTED_VALUE"""),"1. Microwave")</f>
        <v>1. Microwave</v>
      </c>
      <c r="B844" s="4" t="str">
        <f>IFERROR(__xludf.DUMMYFUNCTION("""COMPUTED_VALUE"""),"1")</f>
        <v>1</v>
      </c>
      <c r="C844" s="5" t="str">
        <f>IFERROR(__xludf.DUMMYFUNCTION("""COMPUTED_VALUE"""),"https://drive.google.com/file/d/12qJZSfMvOGOLLeUVcc8-LuwRNDyr5h7S/view?usp=drivesdk")</f>
        <v>https://drive.google.com/file/d/12qJZSfMvOGOLLeUVcc8-LuwRNDyr5h7S/view?usp=drivesdk</v>
      </c>
      <c r="D844" s="12"/>
      <c r="E844" s="6">
        <v>900.0</v>
      </c>
      <c r="F844" s="2"/>
      <c r="I844" s="4"/>
    </row>
    <row r="845" ht="1.5" customHeight="1">
      <c r="A845" s="4" t="str">
        <f>IFERROR(__xludf.DUMMYFUNCTION("""COMPUTED_VALUE"""),"3. Ford F-150")</f>
        <v>3. Ford F-150</v>
      </c>
      <c r="B845" s="4" t="str">
        <f>IFERROR(__xludf.DUMMYFUNCTION("""COMPUTED_VALUE"""),"3")</f>
        <v>3</v>
      </c>
      <c r="C845" s="5" t="str">
        <f>IFERROR(__xludf.DUMMYFUNCTION("""COMPUTED_VALUE"""),"https://drive.google.com/file/d/1WFrPxDJj_rxwFhkAmqif5VjQenq3Rbdl/view?usp=drivesdk")</f>
        <v>https://drive.google.com/file/d/1WFrPxDJj_rxwFhkAmqif5VjQenq3Rbdl/view?usp=drivesdk</v>
      </c>
      <c r="D845" s="12"/>
      <c r="E845" s="6">
        <v>901.0</v>
      </c>
      <c r="F845" s="2"/>
      <c r="I845" s="4"/>
    </row>
    <row r="846" ht="1.5" customHeight="1">
      <c r="A846" s="4" t="str">
        <f>IFERROR(__xludf.DUMMYFUNCTION("""COMPUTED_VALUE"""),"1. Microwave")</f>
        <v>1. Microwave</v>
      </c>
      <c r="B846" s="4" t="str">
        <f>IFERROR(__xludf.DUMMYFUNCTION("""COMPUTED_VALUE"""),"1")</f>
        <v>1</v>
      </c>
      <c r="C846" s="5" t="str">
        <f>IFERROR(__xludf.DUMMYFUNCTION("""COMPUTED_VALUE"""),"https://drive.google.com/file/d/11a96mAV46-tVzMUsJnKauYYDqTcVVq57/view?usp=drivesdk")</f>
        <v>https://drive.google.com/file/d/11a96mAV46-tVzMUsJnKauYYDqTcVVq57/view?usp=drivesdk</v>
      </c>
      <c r="D846" s="12"/>
      <c r="E846" s="11">
        <v>902.0</v>
      </c>
      <c r="F846" s="2"/>
      <c r="I846" s="4"/>
    </row>
    <row r="847" ht="1.5" customHeight="1">
      <c r="A847" s="4" t="str">
        <f>IFERROR(__xludf.DUMMYFUNCTION("""COMPUTED_VALUE"""),"1. Microwave")</f>
        <v>1. Microwave</v>
      </c>
      <c r="B847" s="4" t="str">
        <f>IFERROR(__xludf.DUMMYFUNCTION("""COMPUTED_VALUE"""),"1")</f>
        <v>1</v>
      </c>
      <c r="C847" s="5" t="str">
        <f>IFERROR(__xludf.DUMMYFUNCTION("""COMPUTED_VALUE"""),"https://drive.google.com/file/d/1_q-tYY64cnNRPYUsqb5pCFwmV11qnG9L/view?usp=drivesdk")</f>
        <v>https://drive.google.com/file/d/1_q-tYY64cnNRPYUsqb5pCFwmV11qnG9L/view?usp=drivesdk</v>
      </c>
      <c r="D847" s="12"/>
      <c r="E847" s="6">
        <v>903.0</v>
      </c>
      <c r="F847" s="2"/>
      <c r="I847" s="4"/>
    </row>
    <row r="848" ht="1.5" customHeight="1">
      <c r="A848" s="4" t="str">
        <f>IFERROR(__xludf.DUMMYFUNCTION("""COMPUTED_VALUE"""),"46. Princess, 45. Boots, 47. Nefarious")</f>
        <v>46. Princess, 45. Boots, 47. Nefarious</v>
      </c>
      <c r="B848" s="4" t="str">
        <f>IFERROR(__xludf.DUMMYFUNCTION("""COMPUTED_VALUE"""),"46, 45, 47")</f>
        <v>46, 45, 47</v>
      </c>
      <c r="C848" s="5" t="str">
        <f>IFERROR(__xludf.DUMMYFUNCTION("""COMPUTED_VALUE"""),"https://drive.google.com/file/d/1k_YNr8SGousPBa6thOo6EPk_u5cpQqsm/view?usp=drivesdk")</f>
        <v>https://drive.google.com/file/d/1k_YNr8SGousPBa6thOo6EPk_u5cpQqsm/view?usp=drivesdk</v>
      </c>
      <c r="D848" s="12"/>
      <c r="E848" s="11">
        <v>904.0</v>
      </c>
      <c r="F848" s="2"/>
      <c r="I848" s="4"/>
    </row>
    <row r="849" ht="1.5" customHeight="1">
      <c r="A849" s="4" t="str">
        <f>IFERROR(__xludf.DUMMYFUNCTION("""COMPUTED_VALUE"""),"33. Zee, 29. Ginger")</f>
        <v>33. Zee, 29. Ginger</v>
      </c>
      <c r="B849" s="4" t="str">
        <f>IFERROR(__xludf.DUMMYFUNCTION("""COMPUTED_VALUE"""),"33, 29")</f>
        <v>33, 29</v>
      </c>
      <c r="C849" s="5" t="str">
        <f>IFERROR(__xludf.DUMMYFUNCTION("""COMPUTED_VALUE"""),"https://drive.google.com/file/d/1ZRNVVO5gKTR1LclIl2gLTS6Ff65TENEz/view?usp=drivesdk")</f>
        <v>https://drive.google.com/file/d/1ZRNVVO5gKTR1LclIl2gLTS6Ff65TENEz/view?usp=drivesdk</v>
      </c>
      <c r="D849" s="12"/>
      <c r="E849" s="6">
        <v>905.0</v>
      </c>
      <c r="F849" s="2"/>
      <c r="I849" s="4"/>
    </row>
    <row r="850" ht="1.5" customHeight="1">
      <c r="A850" s="4" t="str">
        <f>IFERROR(__xludf.DUMMYFUNCTION("""COMPUTED_VALUE"""),"33. Zee, 29. Ginger")</f>
        <v>33. Zee, 29. Ginger</v>
      </c>
      <c r="B850" s="4" t="str">
        <f>IFERROR(__xludf.DUMMYFUNCTION("""COMPUTED_VALUE"""),"33, 29")</f>
        <v>33, 29</v>
      </c>
      <c r="C850" s="5" t="str">
        <f>IFERROR(__xludf.DUMMYFUNCTION("""COMPUTED_VALUE"""),"https://drive.google.com/file/d/1A_JTBoC37RRz9Fr89sEPveTcsdJU0SFS/view?usp=drivesdk")</f>
        <v>https://drive.google.com/file/d/1A_JTBoC37RRz9Fr89sEPveTcsdJU0SFS/view?usp=drivesdk</v>
      </c>
      <c r="D850" s="12"/>
      <c r="E850" s="6">
        <v>906.0</v>
      </c>
      <c r="F850" s="2"/>
      <c r="I850" s="4"/>
    </row>
    <row r="851" ht="1.5" customHeight="1">
      <c r="A851" s="4" t="str">
        <f>IFERROR(__xludf.DUMMYFUNCTION("""COMPUTED_VALUE"""),"27. Angel")</f>
        <v>27. Angel</v>
      </c>
      <c r="B851" s="4" t="str">
        <f>IFERROR(__xludf.DUMMYFUNCTION("""COMPUTED_VALUE"""),"27")</f>
        <v>27</v>
      </c>
      <c r="C851" s="5" t="str">
        <f>IFERROR(__xludf.DUMMYFUNCTION("""COMPUTED_VALUE"""),"https://drive.google.com/file/d/10ecp6SNQzufakJrBWs5_ppyAfrxVS8or/view?usp=drivesdk")</f>
        <v>https://drive.google.com/file/d/10ecp6SNQzufakJrBWs5_ppyAfrxVS8or/view?usp=drivesdk</v>
      </c>
      <c r="D851" s="12"/>
      <c r="E851" s="6">
        <v>907.0</v>
      </c>
      <c r="F851" s="2"/>
      <c r="I851" s="4"/>
    </row>
    <row r="852" ht="1.5" customHeight="1">
      <c r="A852" s="4" t="str">
        <f>IFERROR(__xludf.DUMMYFUNCTION("""COMPUTED_VALUE"""),"33. Zee, 29. Ginger")</f>
        <v>33. Zee, 29. Ginger</v>
      </c>
      <c r="B852" s="4" t="str">
        <f>IFERROR(__xludf.DUMMYFUNCTION("""COMPUTED_VALUE"""),"33, 29")</f>
        <v>33, 29</v>
      </c>
      <c r="C852" s="5" t="str">
        <f>IFERROR(__xludf.DUMMYFUNCTION("""COMPUTED_VALUE"""),"https://drive.google.com/file/d/1paGe3-qdpAlcqtIzrj5ctaxjbErSxeMx/view?usp=drivesdk")</f>
        <v>https://drive.google.com/file/d/1paGe3-qdpAlcqtIzrj5ctaxjbErSxeMx/view?usp=drivesdk</v>
      </c>
      <c r="D852" s="12"/>
      <c r="E852" s="11">
        <v>908.0</v>
      </c>
      <c r="F852" s="2"/>
      <c r="I852" s="4"/>
    </row>
    <row r="853" ht="1.5" customHeight="1">
      <c r="A853" s="4" t="str">
        <f>IFERROR(__xludf.DUMMYFUNCTION("""COMPUTED_VALUE"""),"27. Angel")</f>
        <v>27. Angel</v>
      </c>
      <c r="B853" s="4" t="str">
        <f>IFERROR(__xludf.DUMMYFUNCTION("""COMPUTED_VALUE"""),"27")</f>
        <v>27</v>
      </c>
      <c r="C853" s="5" t="str">
        <f>IFERROR(__xludf.DUMMYFUNCTION("""COMPUTED_VALUE"""),"https://drive.google.com/file/d/1Iib8sp5xx3aQk_sgKNzQRoCQaz43NLLx/view?usp=drivesdk")</f>
        <v>https://drive.google.com/file/d/1Iib8sp5xx3aQk_sgKNzQRoCQaz43NLLx/view?usp=drivesdk</v>
      </c>
      <c r="D853" s="12"/>
      <c r="E853" s="6">
        <v>909.0</v>
      </c>
      <c r="F853" s="2"/>
      <c r="I853" s="4"/>
    </row>
    <row r="854" ht="1.5" customHeight="1">
      <c r="A854" s="4" t="str">
        <f>IFERROR(__xludf.DUMMYFUNCTION("""COMPUTED_VALUE"""),"33. Zee")</f>
        <v>33. Zee</v>
      </c>
      <c r="B854" s="4" t="str">
        <f>IFERROR(__xludf.DUMMYFUNCTION("""COMPUTED_VALUE"""),"33")</f>
        <v>33</v>
      </c>
      <c r="C854" s="5" t="str">
        <f>IFERROR(__xludf.DUMMYFUNCTION("""COMPUTED_VALUE"""),"https://drive.google.com/file/d/1-wp_wt-qB5Lydc40VFsgv7XzfovVtSZf/view?usp=drivesdk")</f>
        <v>https://drive.google.com/file/d/1-wp_wt-qB5Lydc40VFsgv7XzfovVtSZf/view?usp=drivesdk</v>
      </c>
      <c r="D854" s="12"/>
      <c r="E854" s="11">
        <v>910.0</v>
      </c>
      <c r="F854" s="2"/>
      <c r="I854" s="4"/>
    </row>
    <row r="855" ht="1.5" customHeight="1">
      <c r="A855" s="4" t="str">
        <f>IFERROR(__xludf.DUMMYFUNCTION("""COMPUTED_VALUE"""),"27. Angel")</f>
        <v>27. Angel</v>
      </c>
      <c r="B855" s="4" t="str">
        <f>IFERROR(__xludf.DUMMYFUNCTION("""COMPUTED_VALUE"""),"27")</f>
        <v>27</v>
      </c>
      <c r="C855" s="5" t="str">
        <f>IFERROR(__xludf.DUMMYFUNCTION("""COMPUTED_VALUE"""),"https://drive.google.com/file/d/152I82JHjrn102QGqTXha787mV-oJYtMb/view?usp=drivesdk")</f>
        <v>https://drive.google.com/file/d/152I82JHjrn102QGqTXha787mV-oJYtMb/view?usp=drivesdk</v>
      </c>
      <c r="D855" s="12"/>
      <c r="E855" s="6">
        <v>911.0</v>
      </c>
      <c r="F855" s="2"/>
      <c r="I855" s="4"/>
    </row>
    <row r="856" ht="1.5" customHeight="1">
      <c r="A856" s="4" t="str">
        <f>IFERROR(__xludf.DUMMYFUNCTION("""COMPUTED_VALUE"""),"33. Zee, 29. Ginger")</f>
        <v>33. Zee, 29. Ginger</v>
      </c>
      <c r="B856" s="4" t="str">
        <f>IFERROR(__xludf.DUMMYFUNCTION("""COMPUTED_VALUE"""),"33, 29")</f>
        <v>33, 29</v>
      </c>
      <c r="C856" s="5" t="str">
        <f>IFERROR(__xludf.DUMMYFUNCTION("""COMPUTED_VALUE"""),"https://drive.google.com/file/d/1GSBONG08WTTCfXXQ9l1ss_XvOp4hnMu2/view?usp=drivesdk")</f>
        <v>https://drive.google.com/file/d/1GSBONG08WTTCfXXQ9l1ss_XvOp4hnMu2/view?usp=drivesdk</v>
      </c>
      <c r="D856" s="12"/>
      <c r="E856" s="6">
        <v>912.0</v>
      </c>
      <c r="F856" s="2"/>
      <c r="I856" s="4"/>
    </row>
    <row r="857" ht="1.5" customHeight="1">
      <c r="A857" s="4" t="str">
        <f>IFERROR(__xludf.DUMMYFUNCTION("""COMPUTED_VALUE"""),"33. Zee, 29. Ginger")</f>
        <v>33. Zee, 29. Ginger</v>
      </c>
      <c r="B857" s="4" t="str">
        <f>IFERROR(__xludf.DUMMYFUNCTION("""COMPUTED_VALUE"""),"33, 29")</f>
        <v>33, 29</v>
      </c>
      <c r="C857" s="5" t="str">
        <f>IFERROR(__xludf.DUMMYFUNCTION("""COMPUTED_VALUE"""),"https://drive.google.com/file/d/14H7SQVohI4pShQTy15img9IDsyV8nyQH/view?usp=drivesdk")</f>
        <v>https://drive.google.com/file/d/14H7SQVohI4pShQTy15img9IDsyV8nyQH/view?usp=drivesdk</v>
      </c>
      <c r="D857" s="12"/>
      <c r="E857" s="6">
        <v>913.0</v>
      </c>
      <c r="F857" s="2"/>
      <c r="I857" s="4"/>
    </row>
    <row r="858" ht="1.5" customHeight="1">
      <c r="A858" s="4" t="str">
        <f>IFERROR(__xludf.DUMMYFUNCTION("""COMPUTED_VALUE"""),"47. Nefarious, 45. Boots")</f>
        <v>47. Nefarious, 45. Boots</v>
      </c>
      <c r="B858" s="4" t="str">
        <f>IFERROR(__xludf.DUMMYFUNCTION("""COMPUTED_VALUE"""),"47, 45")</f>
        <v>47, 45</v>
      </c>
      <c r="C858" s="5" t="str">
        <f>IFERROR(__xludf.DUMMYFUNCTION("""COMPUTED_VALUE"""),"https://drive.google.com/file/d/1fJPXx6Md0weLUVL83fE_3t254Ro74-QL/view?usp=drivesdk")</f>
        <v>https://drive.google.com/file/d/1fJPXx6Md0weLUVL83fE_3t254Ro74-QL/view?usp=drivesdk</v>
      </c>
      <c r="D858" s="12"/>
      <c r="E858" s="11">
        <v>914.0</v>
      </c>
      <c r="F858" s="2"/>
      <c r="I858" s="4"/>
    </row>
    <row r="859" ht="1.5" customHeight="1">
      <c r="A859" s="4" t="str">
        <f>IFERROR(__xludf.DUMMYFUNCTION("""COMPUTED_VALUE"""),"29. Ginger")</f>
        <v>29. Ginger</v>
      </c>
      <c r="B859" s="4" t="str">
        <f>IFERROR(__xludf.DUMMYFUNCTION("""COMPUTED_VALUE"""),"29")</f>
        <v>29</v>
      </c>
      <c r="C859" s="5" t="str">
        <f>IFERROR(__xludf.DUMMYFUNCTION("""COMPUTED_VALUE"""),"https://drive.google.com/file/d/1auJMfL4Wdx80K4Mb3-YL8HNaiT6jeP15/view?usp=drivesdk")</f>
        <v>https://drive.google.com/file/d/1auJMfL4Wdx80K4Mb3-YL8HNaiT6jeP15/view?usp=drivesdk</v>
      </c>
      <c r="D859" s="12"/>
      <c r="E859" s="6">
        <v>915.0</v>
      </c>
      <c r="F859" s="2"/>
      <c r="I859" s="4"/>
    </row>
    <row r="860" ht="1.5" customHeight="1">
      <c r="A860" s="4" t="str">
        <f>IFERROR(__xludf.DUMMYFUNCTION("""COMPUTED_VALUE"""),"27. Angel")</f>
        <v>27. Angel</v>
      </c>
      <c r="B860" s="4" t="str">
        <f>IFERROR(__xludf.DUMMYFUNCTION("""COMPUTED_VALUE"""),"27")</f>
        <v>27</v>
      </c>
      <c r="C860" s="5" t="str">
        <f>IFERROR(__xludf.DUMMYFUNCTION("""COMPUTED_VALUE"""),"https://drive.google.com/file/d/1ogeavBuzGdR_sQsyfMLDpNjFuY9BAr19/view?usp=drivesdk")</f>
        <v>https://drive.google.com/file/d/1ogeavBuzGdR_sQsyfMLDpNjFuY9BAr19/view?usp=drivesdk</v>
      </c>
      <c r="D860" s="12"/>
      <c r="E860" s="11">
        <v>916.0</v>
      </c>
      <c r="F860" s="2"/>
      <c r="I860" s="4"/>
    </row>
    <row r="861" ht="1.5" customHeight="1">
      <c r="A861" s="4" t="str">
        <f>IFERROR(__xludf.DUMMYFUNCTION("""COMPUTED_VALUE"""),"27. Angel")</f>
        <v>27. Angel</v>
      </c>
      <c r="B861" s="4" t="str">
        <f>IFERROR(__xludf.DUMMYFUNCTION("""COMPUTED_VALUE"""),"27")</f>
        <v>27</v>
      </c>
      <c r="C861" s="5" t="str">
        <f>IFERROR(__xludf.DUMMYFUNCTION("""COMPUTED_VALUE"""),"https://drive.google.com/file/d/1TIx2xnxAwEvJ92u_IooCSXfEwBU2lsDT/view?usp=drivesdk")</f>
        <v>https://drive.google.com/file/d/1TIx2xnxAwEvJ92u_IooCSXfEwBU2lsDT/view?usp=drivesdk</v>
      </c>
      <c r="D861" s="12"/>
      <c r="E861" s="6">
        <v>917.0</v>
      </c>
      <c r="F861" s="2"/>
      <c r="I861" s="4"/>
    </row>
    <row r="862" ht="1.5" customHeight="1">
      <c r="A862" s="4" t="str">
        <f>IFERROR(__xludf.DUMMYFUNCTION("""COMPUTED_VALUE"""),"46. Princess, 47. Nefarious, 45. Boots")</f>
        <v>46. Princess, 47. Nefarious, 45. Boots</v>
      </c>
      <c r="B862" s="4" t="str">
        <f>IFERROR(__xludf.DUMMYFUNCTION("""COMPUTED_VALUE"""),"46, 47, 45")</f>
        <v>46, 47, 45</v>
      </c>
      <c r="C862" s="5" t="str">
        <f>IFERROR(__xludf.DUMMYFUNCTION("""COMPUTED_VALUE"""),"https://drive.google.com/file/d/1Pd9kNf4JuJUXvFodUXucW96sdrYS_ttg/view?usp=drivesdk")</f>
        <v>https://drive.google.com/file/d/1Pd9kNf4JuJUXvFodUXucW96sdrYS_ttg/view?usp=drivesdk</v>
      </c>
      <c r="D862" s="12"/>
      <c r="E862" s="6">
        <v>918.0</v>
      </c>
      <c r="F862" s="2"/>
      <c r="I862" s="4"/>
    </row>
    <row r="863" ht="1.5" customHeight="1">
      <c r="A863" s="4" t="str">
        <f>IFERROR(__xludf.DUMMYFUNCTION("""COMPUTED_VALUE"""),"46. Princess, 47. Nefarious, 45. Boots")</f>
        <v>46. Princess, 47. Nefarious, 45. Boots</v>
      </c>
      <c r="B863" s="4" t="str">
        <f>IFERROR(__xludf.DUMMYFUNCTION("""COMPUTED_VALUE"""),"46, 47, 45")</f>
        <v>46, 47, 45</v>
      </c>
      <c r="C863" s="5" t="str">
        <f>IFERROR(__xludf.DUMMYFUNCTION("""COMPUTED_VALUE"""),"https://drive.google.com/file/d/1HrzLZVRKhtGDW_QYG9EukpudIMQa8ave/view?usp=drivesdk")</f>
        <v>https://drive.google.com/file/d/1HrzLZVRKhtGDW_QYG9EukpudIMQa8ave/view?usp=drivesdk</v>
      </c>
      <c r="D863" s="12"/>
      <c r="E863" s="6">
        <v>919.0</v>
      </c>
      <c r="F863" s="2"/>
      <c r="I863" s="4"/>
    </row>
    <row r="864" ht="1.5" customHeight="1">
      <c r="A864" s="4" t="str">
        <f>IFERROR(__xludf.DUMMYFUNCTION("""COMPUTED_VALUE"""),"40. Dumpster")</f>
        <v>40. Dumpster</v>
      </c>
      <c r="B864" s="4" t="str">
        <f>IFERROR(__xludf.DUMMYFUNCTION("""COMPUTED_VALUE"""),"40")</f>
        <v>40</v>
      </c>
      <c r="C864" s="5" t="str">
        <f>IFERROR(__xludf.DUMMYFUNCTION("""COMPUTED_VALUE"""),"https://drive.google.com/file/d/1ThA4-0ONChwHBDQLexNA4GjvyNlQFvx1/view?usp=drivesdk")</f>
        <v>https://drive.google.com/file/d/1ThA4-0ONChwHBDQLexNA4GjvyNlQFvx1/view?usp=drivesdk</v>
      </c>
      <c r="D864" s="12"/>
      <c r="E864" s="11">
        <v>920.0</v>
      </c>
      <c r="F864" s="2"/>
      <c r="I864" s="4"/>
    </row>
    <row r="865" ht="1.5" customHeight="1">
      <c r="A865" s="4" t="str">
        <f>IFERROR(__xludf.DUMMYFUNCTION("""COMPUTED_VALUE"""),"40. Dumpster, 45. Boots")</f>
        <v>40. Dumpster, 45. Boots</v>
      </c>
      <c r="B865" s="4" t="str">
        <f>IFERROR(__xludf.DUMMYFUNCTION("""COMPUTED_VALUE"""),"40, 45")</f>
        <v>40, 45</v>
      </c>
      <c r="C865" s="5" t="str">
        <f>IFERROR(__xludf.DUMMYFUNCTION("""COMPUTED_VALUE"""),"https://drive.google.com/file/d/1eibPv32epE2F1g0ZuIUCn0-_KGa1mu8W/view?usp=drivesdk")</f>
        <v>https://drive.google.com/file/d/1eibPv32epE2F1g0ZuIUCn0-_KGa1mu8W/view?usp=drivesdk</v>
      </c>
      <c r="D865" s="12"/>
      <c r="E865" s="6">
        <v>921.0</v>
      </c>
      <c r="F865" s="2"/>
      <c r="I865" s="4"/>
    </row>
    <row r="866" ht="1.5" customHeight="1">
      <c r="A866" s="4" t="str">
        <f>IFERROR(__xludf.DUMMYFUNCTION("""COMPUTED_VALUE"""),"40. Dumpster, 45. Boots")</f>
        <v>40. Dumpster, 45. Boots</v>
      </c>
      <c r="B866" s="4" t="str">
        <f>IFERROR(__xludf.DUMMYFUNCTION("""COMPUTED_VALUE"""),"40, 45")</f>
        <v>40, 45</v>
      </c>
      <c r="C866" s="5" t="str">
        <f>IFERROR(__xludf.DUMMYFUNCTION("""COMPUTED_VALUE"""),"https://drive.google.com/file/d/1hh_bjo_kUgNf_4ktZf3VpzCZj3-bUwYR/view?usp=drivesdk")</f>
        <v>https://drive.google.com/file/d/1hh_bjo_kUgNf_4ktZf3VpzCZj3-bUwYR/view?usp=drivesdk</v>
      </c>
      <c r="D866" s="12"/>
      <c r="E866" s="11">
        <v>922.0</v>
      </c>
      <c r="F866" s="2"/>
      <c r="I866" s="4"/>
    </row>
    <row r="867" ht="1.5" customHeight="1">
      <c r="A867" s="4" t="str">
        <f>IFERROR(__xludf.DUMMYFUNCTION("""COMPUTED_VALUE"""),"46. Princess")</f>
        <v>46. Princess</v>
      </c>
      <c r="B867" s="4" t="str">
        <f>IFERROR(__xludf.DUMMYFUNCTION("""COMPUTED_VALUE"""),"46")</f>
        <v>46</v>
      </c>
      <c r="C867" s="5" t="str">
        <f>IFERROR(__xludf.DUMMYFUNCTION("""COMPUTED_VALUE"""),"https://drive.google.com/file/d/1RmAfrxLMUOnEUxQ2yHB4bWBkmC75v9vd/view?usp=drivesdk")</f>
        <v>https://drive.google.com/file/d/1RmAfrxLMUOnEUxQ2yHB4bWBkmC75v9vd/view?usp=drivesdk</v>
      </c>
      <c r="D867" s="12"/>
      <c r="E867" s="6">
        <v>923.0</v>
      </c>
      <c r="F867" s="2"/>
      <c r="I867" s="4"/>
    </row>
    <row r="868" ht="1.5" customHeight="1">
      <c r="A868" s="4" t="str">
        <f>IFERROR(__xludf.DUMMYFUNCTION("""COMPUTED_VALUE"""),"43. Bruno")</f>
        <v>43. Bruno</v>
      </c>
      <c r="B868" s="4" t="str">
        <f>IFERROR(__xludf.DUMMYFUNCTION("""COMPUTED_VALUE"""),"43")</f>
        <v>43</v>
      </c>
      <c r="C868" s="5" t="str">
        <f>IFERROR(__xludf.DUMMYFUNCTION("""COMPUTED_VALUE"""),"https://drive.google.com/file/d/1U45W1eOq1Oc0UgESbW-EdPzjdLrSuw1k/view?usp=drivesdk")</f>
        <v>https://drive.google.com/file/d/1U45W1eOq1Oc0UgESbW-EdPzjdLrSuw1k/view?usp=drivesdk</v>
      </c>
      <c r="D868" s="12"/>
      <c r="E868" s="6">
        <v>924.0</v>
      </c>
      <c r="F868" s="2"/>
      <c r="I868" s="4"/>
    </row>
    <row r="869" ht="1.5" customHeight="1">
      <c r="A869" s="4" t="str">
        <f>IFERROR(__xludf.DUMMYFUNCTION("""COMPUTED_VALUE"""),"40. Dumpster, 45. Boots")</f>
        <v>40. Dumpster, 45. Boots</v>
      </c>
      <c r="B869" s="4" t="str">
        <f>IFERROR(__xludf.DUMMYFUNCTION("""COMPUTED_VALUE"""),"40, 45")</f>
        <v>40, 45</v>
      </c>
      <c r="C869" s="5" t="str">
        <f>IFERROR(__xludf.DUMMYFUNCTION("""COMPUTED_VALUE"""),"https://drive.google.com/file/d/1FMcA8rJ9FYDkTHUsizi91LFSFYcsPgdT/view?usp=drivesdk")</f>
        <v>https://drive.google.com/file/d/1FMcA8rJ9FYDkTHUsizi91LFSFYcsPgdT/view?usp=drivesdk</v>
      </c>
      <c r="D869" s="12"/>
      <c r="E869" s="6">
        <v>925.0</v>
      </c>
      <c r="F869" s="2"/>
      <c r="I869" s="4"/>
    </row>
    <row r="870" ht="1.5" customHeight="1">
      <c r="A870" s="4" t="str">
        <f>IFERROR(__xludf.DUMMYFUNCTION("""COMPUTED_VALUE"""),"12. Faye, 45. Boots, 58. Eden")</f>
        <v>12. Faye, 45. Boots, 58. Eden</v>
      </c>
      <c r="B870" s="4" t="str">
        <f>IFERROR(__xludf.DUMMYFUNCTION("""COMPUTED_VALUE"""),"12, 45, 58")</f>
        <v>12, 45, 58</v>
      </c>
      <c r="C870" s="5" t="str">
        <f>IFERROR(__xludf.DUMMYFUNCTION("""COMPUTED_VALUE"""),"https://drive.google.com/file/d/1BKeLHW9uD2_aDL82DTvipArGc7Km7hLG/view?usp=drivesdk")</f>
        <v>https://drive.google.com/file/d/1BKeLHW9uD2_aDL82DTvipArGc7Km7hLG/view?usp=drivesdk</v>
      </c>
      <c r="D870" s="12"/>
      <c r="E870" s="11">
        <v>926.0</v>
      </c>
      <c r="F870" s="2"/>
      <c r="I870" s="4"/>
    </row>
    <row r="871" ht="1.5" customHeight="1">
      <c r="A871" s="4" t="str">
        <f>IFERROR(__xludf.DUMMYFUNCTION("""COMPUTED_VALUE"""),"40. Dumpster, 12. Faye")</f>
        <v>40. Dumpster, 12. Faye</v>
      </c>
      <c r="B871" s="4" t="str">
        <f>IFERROR(__xludf.DUMMYFUNCTION("""COMPUTED_VALUE"""),"40, 12")</f>
        <v>40, 12</v>
      </c>
      <c r="C871" s="5" t="str">
        <f>IFERROR(__xludf.DUMMYFUNCTION("""COMPUTED_VALUE"""),"https://drive.google.com/file/d/1BmNkJqbEpQnLQ9PtN8IJZd92wGfN6mof/view?usp=drivesdk")</f>
        <v>https://drive.google.com/file/d/1BmNkJqbEpQnLQ9PtN8IJZd92wGfN6mof/view?usp=drivesdk</v>
      </c>
      <c r="D871" s="12"/>
      <c r="E871" s="6">
        <v>927.0</v>
      </c>
      <c r="F871" s="2"/>
      <c r="I871" s="4"/>
    </row>
    <row r="872" ht="1.5" customHeight="1">
      <c r="A872" s="4" t="str">
        <f>IFERROR(__xludf.DUMMYFUNCTION("""COMPUTED_VALUE"""),"43. Bruno")</f>
        <v>43. Bruno</v>
      </c>
      <c r="B872" s="4" t="str">
        <f>IFERROR(__xludf.DUMMYFUNCTION("""COMPUTED_VALUE"""),"43")</f>
        <v>43</v>
      </c>
      <c r="C872" s="5" t="str">
        <f>IFERROR(__xludf.DUMMYFUNCTION("""COMPUTED_VALUE"""),"https://drive.google.com/file/d/1_NDrVlfy_3QZKOK9q8XzIrmtCR2grclL/view?usp=drivesdk")</f>
        <v>https://drive.google.com/file/d/1_NDrVlfy_3QZKOK9q8XzIrmtCR2grclL/view?usp=drivesdk</v>
      </c>
      <c r="D872" s="12"/>
      <c r="E872" s="11">
        <v>928.0</v>
      </c>
      <c r="F872" s="2"/>
      <c r="I872" s="4"/>
    </row>
    <row r="873" ht="1.5" customHeight="1">
      <c r="A873" s="4" t="str">
        <f>IFERROR(__xludf.DUMMYFUNCTION("""COMPUTED_VALUE"""),"40. Dumpster, 12. Faye, 45. Boots")</f>
        <v>40. Dumpster, 12. Faye, 45. Boots</v>
      </c>
      <c r="B873" s="4" t="str">
        <f>IFERROR(__xludf.DUMMYFUNCTION("""COMPUTED_VALUE"""),"40, 12, 45")</f>
        <v>40, 12, 45</v>
      </c>
      <c r="C873" s="5" t="str">
        <f>IFERROR(__xludf.DUMMYFUNCTION("""COMPUTED_VALUE"""),"https://drive.google.com/file/d/13kdkRj5Zo2Dp-CvseiNiDe3T9pNwIbeu/view?usp=drivesdk")</f>
        <v>https://drive.google.com/file/d/13kdkRj5Zo2Dp-CvseiNiDe3T9pNwIbeu/view?usp=drivesdk</v>
      </c>
      <c r="D873" s="12"/>
      <c r="E873" s="6">
        <v>929.0</v>
      </c>
      <c r="F873" s="2"/>
      <c r="I873" s="4"/>
    </row>
    <row r="874" ht="1.5" customHeight="1">
      <c r="A874" s="4" t="str">
        <f>IFERROR(__xludf.DUMMYFUNCTION("""COMPUTED_VALUE"""),"43. Bruno")</f>
        <v>43. Bruno</v>
      </c>
      <c r="B874" s="4" t="str">
        <f>IFERROR(__xludf.DUMMYFUNCTION("""COMPUTED_VALUE"""),"43")</f>
        <v>43</v>
      </c>
      <c r="C874" s="5" t="str">
        <f>IFERROR(__xludf.DUMMYFUNCTION("""COMPUTED_VALUE"""),"https://drive.google.com/file/d/12pqJfFnS0E5lnoLGoibxf5P5BsXuY30V/view?usp=drivesdk")</f>
        <v>https://drive.google.com/file/d/12pqJfFnS0E5lnoLGoibxf5P5BsXuY30V/view?usp=drivesdk</v>
      </c>
      <c r="D874" s="12"/>
      <c r="E874" s="6">
        <v>930.0</v>
      </c>
      <c r="F874" s="2"/>
      <c r="I874" s="4"/>
    </row>
    <row r="875" ht="1.5" customHeight="1">
      <c r="A875" s="4" t="str">
        <f>IFERROR(__xludf.DUMMYFUNCTION("""COMPUTED_VALUE"""),"46. Princess")</f>
        <v>46. Princess</v>
      </c>
      <c r="B875" s="4" t="str">
        <f>IFERROR(__xludf.DUMMYFUNCTION("""COMPUTED_VALUE"""),"46")</f>
        <v>46</v>
      </c>
      <c r="C875" s="5" t="str">
        <f>IFERROR(__xludf.DUMMYFUNCTION("""COMPUTED_VALUE"""),"https://drive.google.com/file/d/17CS1hakNHZ-CiMzM9CVW0wQomIgbIdqp/view?usp=drivesdk")</f>
        <v>https://drive.google.com/file/d/17CS1hakNHZ-CiMzM9CVW0wQomIgbIdqp/view?usp=drivesdk</v>
      </c>
      <c r="D875" s="12"/>
      <c r="E875" s="6">
        <v>931.0</v>
      </c>
      <c r="F875" s="2"/>
      <c r="I875" s="4"/>
    </row>
    <row r="876" ht="1.5" customHeight="1">
      <c r="A876" s="4" t="str">
        <f>IFERROR(__xludf.DUMMYFUNCTION("""COMPUTED_VALUE"""),"40. Dumpster, 12. Faye")</f>
        <v>40. Dumpster, 12. Faye</v>
      </c>
      <c r="B876" s="4" t="str">
        <f>IFERROR(__xludf.DUMMYFUNCTION("""COMPUTED_VALUE"""),"40, 12")</f>
        <v>40, 12</v>
      </c>
      <c r="C876" s="5" t="str">
        <f>IFERROR(__xludf.DUMMYFUNCTION("""COMPUTED_VALUE"""),"https://drive.google.com/file/d/1r0WoWQtJNdjWQwyhceYJOuieoH5n2YWU/view?usp=drivesdk")</f>
        <v>https://drive.google.com/file/d/1r0WoWQtJNdjWQwyhceYJOuieoH5n2YWU/view?usp=drivesdk</v>
      </c>
      <c r="D876" s="12"/>
      <c r="E876" s="11">
        <v>932.0</v>
      </c>
      <c r="F876" s="2"/>
      <c r="I876" s="4"/>
    </row>
    <row r="877" ht="1.5" customHeight="1">
      <c r="A877" s="4" t="str">
        <f>IFERROR(__xludf.DUMMYFUNCTION("""COMPUTED_VALUE"""),"43. Bruno")</f>
        <v>43. Bruno</v>
      </c>
      <c r="B877" s="4" t="str">
        <f>IFERROR(__xludf.DUMMYFUNCTION("""COMPUTED_VALUE"""),"43")</f>
        <v>43</v>
      </c>
      <c r="C877" s="5" t="str">
        <f>IFERROR(__xludf.DUMMYFUNCTION("""COMPUTED_VALUE"""),"https://drive.google.com/file/d/1-ewXtDKs6vE79PblLfeXNpqYELicGd5d/view?usp=drivesdk")</f>
        <v>https://drive.google.com/file/d/1-ewXtDKs6vE79PblLfeXNpqYELicGd5d/view?usp=drivesdk</v>
      </c>
      <c r="D877" s="12"/>
      <c r="E877" s="6">
        <v>933.0</v>
      </c>
      <c r="F877" s="2"/>
      <c r="I877" s="4"/>
    </row>
    <row r="878" ht="1.5" customHeight="1">
      <c r="A878" s="4" t="str">
        <f>IFERROR(__xludf.DUMMYFUNCTION("""COMPUTED_VALUE"""),"40. Dumpster, 44. Shitbag Cuntface")</f>
        <v>40. Dumpster, 44. Shitbag Cuntface</v>
      </c>
      <c r="B878" s="4" t="str">
        <f>IFERROR(__xludf.DUMMYFUNCTION("""COMPUTED_VALUE"""),"40, 44")</f>
        <v>40, 44</v>
      </c>
      <c r="C878" s="5" t="str">
        <f>IFERROR(__xludf.DUMMYFUNCTION("""COMPUTED_VALUE"""),"https://drive.google.com/file/d/1zsunJMx-_UZKZUFYPNylS2qG8xvkP7GJ/view?usp=drivesdk")</f>
        <v>https://drive.google.com/file/d/1zsunJMx-_UZKZUFYPNylS2qG8xvkP7GJ/view?usp=drivesdk</v>
      </c>
      <c r="D878" s="12"/>
      <c r="E878" s="11">
        <v>934.0</v>
      </c>
      <c r="F878" s="2"/>
      <c r="I878" s="4"/>
    </row>
    <row r="879" ht="1.5" customHeight="1">
      <c r="A879" s="4" t="str">
        <f>IFERROR(__xludf.DUMMYFUNCTION("""COMPUTED_VALUE"""),"43. Bruno, 40. Dumpster")</f>
        <v>43. Bruno, 40. Dumpster</v>
      </c>
      <c r="B879" s="4" t="str">
        <f>IFERROR(__xludf.DUMMYFUNCTION("""COMPUTED_VALUE"""),"43, 40")</f>
        <v>43, 40</v>
      </c>
      <c r="C879" s="5" t="str">
        <f>IFERROR(__xludf.DUMMYFUNCTION("""COMPUTED_VALUE"""),"https://drive.google.com/file/d/1W_wVBCTFAzNrmAFaPM6tJYC4VxM2DpQh/view?usp=drivesdk")</f>
        <v>https://drive.google.com/file/d/1W_wVBCTFAzNrmAFaPM6tJYC4VxM2DpQh/view?usp=drivesdk</v>
      </c>
      <c r="D879" s="12"/>
      <c r="E879" s="6">
        <v>935.0</v>
      </c>
      <c r="F879" s="2"/>
      <c r="I879" s="4"/>
    </row>
    <row r="880" ht="1.5" customHeight="1">
      <c r="A880" s="4" t="str">
        <f>IFERROR(__xludf.DUMMYFUNCTION("""COMPUTED_VALUE"""),"44. Shitbag Cuntface, 43. Bruno, 45. Boots, 38. Winston")</f>
        <v>44. Shitbag Cuntface, 43. Bruno, 45. Boots, 38. Winston</v>
      </c>
      <c r="B880" s="4" t="str">
        <f>IFERROR(__xludf.DUMMYFUNCTION("""COMPUTED_VALUE"""),"44, 43, 45, 38")</f>
        <v>44, 43, 45, 38</v>
      </c>
      <c r="C880" s="5" t="str">
        <f>IFERROR(__xludf.DUMMYFUNCTION("""COMPUTED_VALUE"""),"https://drive.google.com/file/d/1LNf3szNc9E8A8zrQDLrXi9pNTqdEzqoh/view?usp=drivesdk")</f>
        <v>https://drive.google.com/file/d/1LNf3szNc9E8A8zrQDLrXi9pNTqdEzqoh/view?usp=drivesdk</v>
      </c>
      <c r="D880" s="12"/>
      <c r="E880" s="6">
        <v>936.0</v>
      </c>
      <c r="F880" s="2"/>
      <c r="I880" s="4"/>
    </row>
    <row r="881" ht="1.5" customHeight="1">
      <c r="A881" s="4" t="str">
        <f>IFERROR(__xludf.DUMMYFUNCTION("""COMPUTED_VALUE"""),"45. Boots")</f>
        <v>45. Boots</v>
      </c>
      <c r="B881" s="4" t="str">
        <f>IFERROR(__xludf.DUMMYFUNCTION("""COMPUTED_VALUE"""),"45")</f>
        <v>45</v>
      </c>
      <c r="C881" s="5" t="str">
        <f>IFERROR(__xludf.DUMMYFUNCTION("""COMPUTED_VALUE"""),"https://drive.google.com/file/d/1LPc6AEgsZD0RJCR1xJ53aQffjbV4jQuc/view?usp=drivesdk")</f>
        <v>https://drive.google.com/file/d/1LPc6AEgsZD0RJCR1xJ53aQffjbV4jQuc/view?usp=drivesdk</v>
      </c>
      <c r="D881" s="12"/>
      <c r="E881" s="6">
        <v>937.0</v>
      </c>
      <c r="F881" s="2"/>
      <c r="I881" s="4"/>
    </row>
    <row r="882" ht="1.5" customHeight="1">
      <c r="A882" s="4" t="str">
        <f>IFERROR(__xludf.DUMMYFUNCTION("""COMPUTED_VALUE"""),"40. Dumpster")</f>
        <v>40. Dumpster</v>
      </c>
      <c r="B882" s="4" t="str">
        <f>IFERROR(__xludf.DUMMYFUNCTION("""COMPUTED_VALUE"""),"40")</f>
        <v>40</v>
      </c>
      <c r="C882" s="5" t="str">
        <f>IFERROR(__xludf.DUMMYFUNCTION("""COMPUTED_VALUE"""),"https://drive.google.com/file/d/1dnoKdTH3xi8V_BClK2gVqOk7nh2VJoL5/view?usp=drivesdk")</f>
        <v>https://drive.google.com/file/d/1dnoKdTH3xi8V_BClK2gVqOk7nh2VJoL5/view?usp=drivesdk</v>
      </c>
      <c r="D882" s="12"/>
      <c r="E882" s="11">
        <v>938.0</v>
      </c>
      <c r="F882" s="2"/>
      <c r="I882" s="4"/>
    </row>
    <row r="883" ht="1.5" customHeight="1">
      <c r="A883" s="4" t="str">
        <f>IFERROR(__xludf.DUMMYFUNCTION("""COMPUTED_VALUE"""),"40. Dumpster")</f>
        <v>40. Dumpster</v>
      </c>
      <c r="B883" s="4" t="str">
        <f>IFERROR(__xludf.DUMMYFUNCTION("""COMPUTED_VALUE"""),"40")</f>
        <v>40</v>
      </c>
      <c r="C883" s="5" t="str">
        <f>IFERROR(__xludf.DUMMYFUNCTION("""COMPUTED_VALUE"""),"https://drive.google.com/file/d/1ssh3wZallF9XkrtTPXrp8fGp8LwzIrsp/view?usp=drivesdk")</f>
        <v>https://drive.google.com/file/d/1ssh3wZallF9XkrtTPXrp8fGp8LwzIrsp/view?usp=drivesdk</v>
      </c>
      <c r="D883" s="12"/>
      <c r="E883" s="6">
        <v>939.0</v>
      </c>
      <c r="F883" s="2"/>
      <c r="I883" s="4"/>
    </row>
    <row r="884" ht="1.5" customHeight="1">
      <c r="A884" s="4" t="str">
        <f>IFERROR(__xludf.DUMMYFUNCTION("""COMPUTED_VALUE"""),"38. Winston")</f>
        <v>38. Winston</v>
      </c>
      <c r="B884" s="4" t="str">
        <f>IFERROR(__xludf.DUMMYFUNCTION("""COMPUTED_VALUE"""),"38")</f>
        <v>38</v>
      </c>
      <c r="C884" s="5" t="str">
        <f>IFERROR(__xludf.DUMMYFUNCTION("""COMPUTED_VALUE"""),"https://drive.google.com/file/d/1cbsovYY3mcSxyVQUjO-IjvFVZIGRieVG/view?usp=drivesdk")</f>
        <v>https://drive.google.com/file/d/1cbsovYY3mcSxyVQUjO-IjvFVZIGRieVG/view?usp=drivesdk</v>
      </c>
      <c r="D884" s="12"/>
      <c r="E884" s="11">
        <v>940.0</v>
      </c>
      <c r="F884" s="2"/>
      <c r="I884" s="4"/>
    </row>
    <row r="885" ht="1.5" customHeight="1">
      <c r="A885" s="4" t="str">
        <f>IFERROR(__xludf.DUMMYFUNCTION("""COMPUTED_VALUE"""),"44. Shitbag Cuntface, 45. Boots")</f>
        <v>44. Shitbag Cuntface, 45. Boots</v>
      </c>
      <c r="B885" s="4" t="str">
        <f>IFERROR(__xludf.DUMMYFUNCTION("""COMPUTED_VALUE"""),"44, 45")</f>
        <v>44, 45</v>
      </c>
      <c r="C885" s="5" t="str">
        <f>IFERROR(__xludf.DUMMYFUNCTION("""COMPUTED_VALUE"""),"https://drive.google.com/file/d/1CnHYWrJMulkUsBMHhsCUUJNN9qMp_olp/view?usp=drivesdk")</f>
        <v>https://drive.google.com/file/d/1CnHYWrJMulkUsBMHhsCUUJNN9qMp_olp/view?usp=drivesdk</v>
      </c>
      <c r="D885" s="12"/>
      <c r="E885" s="6">
        <v>941.0</v>
      </c>
      <c r="F885" s="2"/>
      <c r="I885" s="4"/>
    </row>
    <row r="886" ht="1.5" customHeight="1">
      <c r="A886" s="4" t="str">
        <f>IFERROR(__xludf.DUMMYFUNCTION("""COMPUTED_VALUE"""),"45. Boots, 38. Winston, 44. Shitbag Cuntface, 12. Faye")</f>
        <v>45. Boots, 38. Winston, 44. Shitbag Cuntface, 12. Faye</v>
      </c>
      <c r="B886" s="4" t="str">
        <f>IFERROR(__xludf.DUMMYFUNCTION("""COMPUTED_VALUE"""),"45, 38, 44, 12")</f>
        <v>45, 38, 44, 12</v>
      </c>
      <c r="C886" s="5" t="str">
        <f>IFERROR(__xludf.DUMMYFUNCTION("""COMPUTED_VALUE"""),"https://drive.google.com/file/d/1fU-rW0E1cur4-ov-G-3uC9fAdjHKMgg6/view?usp=drivesdk")</f>
        <v>https://drive.google.com/file/d/1fU-rW0E1cur4-ov-G-3uC9fAdjHKMgg6/view?usp=drivesdk</v>
      </c>
      <c r="D886" s="12"/>
      <c r="E886" s="6">
        <v>942.0</v>
      </c>
      <c r="F886" s="2"/>
      <c r="I886" s="4"/>
    </row>
    <row r="887" ht="1.5" customHeight="1">
      <c r="A887" s="4" t="str">
        <f>IFERROR(__xludf.DUMMYFUNCTION("""COMPUTED_VALUE"""),"39. Radar")</f>
        <v>39. Radar</v>
      </c>
      <c r="B887" s="4" t="str">
        <f>IFERROR(__xludf.DUMMYFUNCTION("""COMPUTED_VALUE"""),"39")</f>
        <v>39</v>
      </c>
      <c r="C887" s="5" t="str">
        <f>IFERROR(__xludf.DUMMYFUNCTION("""COMPUTED_VALUE"""),"https://drive.google.com/file/d/1wZ0tMMPq7yZlL1RvaUDNAt4sIzsrq6Tr/view?usp=drivesdk")</f>
        <v>https://drive.google.com/file/d/1wZ0tMMPq7yZlL1RvaUDNAt4sIzsrq6Tr/view?usp=drivesdk</v>
      </c>
      <c r="D887" s="12"/>
      <c r="E887" s="6">
        <v>943.0</v>
      </c>
      <c r="F887" s="2"/>
      <c r="I887" s="4"/>
    </row>
    <row r="888" ht="1.5" customHeight="1">
      <c r="A888" s="4" t="str">
        <f>IFERROR(__xludf.DUMMYFUNCTION("""COMPUTED_VALUE"""),"43. Bruno, 39. Radar")</f>
        <v>43. Bruno, 39. Radar</v>
      </c>
      <c r="B888" s="4" t="str">
        <f>IFERROR(__xludf.DUMMYFUNCTION("""COMPUTED_VALUE"""),"43, 39")</f>
        <v>43, 39</v>
      </c>
      <c r="C888" s="5" t="str">
        <f>IFERROR(__xludf.DUMMYFUNCTION("""COMPUTED_VALUE"""),"https://drive.google.com/file/d/11Mu9fmMwlXiO21-gTmMwa_EJXeTp0JOd/view?usp=drivesdk")</f>
        <v>https://drive.google.com/file/d/11Mu9fmMwlXiO21-gTmMwa_EJXeTp0JOd/view?usp=drivesdk</v>
      </c>
      <c r="D888" s="12"/>
      <c r="E888" s="11">
        <v>944.0</v>
      </c>
      <c r="F888" s="2"/>
      <c r="I888" s="4"/>
    </row>
    <row r="889" ht="1.5" customHeight="1">
      <c r="A889" s="4" t="str">
        <f>IFERROR(__xludf.DUMMYFUNCTION("""COMPUTED_VALUE"""),"44. Shitbag Cuntface, 45. Boots")</f>
        <v>44. Shitbag Cuntface, 45. Boots</v>
      </c>
      <c r="B889" s="4" t="str">
        <f>IFERROR(__xludf.DUMMYFUNCTION("""COMPUTED_VALUE"""),"44, 45")</f>
        <v>44, 45</v>
      </c>
      <c r="C889" s="5" t="str">
        <f>IFERROR(__xludf.DUMMYFUNCTION("""COMPUTED_VALUE"""),"https://drive.google.com/file/d/1w49upiwP8maoRKGTQV4gH7jT70Ha89ft/view?usp=drivesdk")</f>
        <v>https://drive.google.com/file/d/1w49upiwP8maoRKGTQV4gH7jT70Ha89ft/view?usp=drivesdk</v>
      </c>
      <c r="D889" s="12"/>
      <c r="E889" s="6">
        <v>945.0</v>
      </c>
      <c r="F889" s="2"/>
      <c r="I889" s="4"/>
    </row>
    <row r="890" ht="1.5" customHeight="1">
      <c r="A890" s="4" t="str">
        <f>IFERROR(__xludf.DUMMYFUNCTION("""COMPUTED_VALUE"""),"43. Bruno")</f>
        <v>43. Bruno</v>
      </c>
      <c r="B890" s="4" t="str">
        <f>IFERROR(__xludf.DUMMYFUNCTION("""COMPUTED_VALUE"""),"43")</f>
        <v>43</v>
      </c>
      <c r="C890" s="5" t="str">
        <f>IFERROR(__xludf.DUMMYFUNCTION("""COMPUTED_VALUE"""),"https://drive.google.com/file/d/1acH5ApdcRxAuzLObTYfhqrty_Z24_C5M/view?usp=drivesdk")</f>
        <v>https://drive.google.com/file/d/1acH5ApdcRxAuzLObTYfhqrty_Z24_C5M/view?usp=drivesdk</v>
      </c>
      <c r="D890" s="12"/>
      <c r="E890" s="11">
        <v>946.0</v>
      </c>
      <c r="F890" s="2"/>
      <c r="I890" s="4"/>
    </row>
    <row r="891" ht="1.5" customHeight="1">
      <c r="A891" s="4" t="str">
        <f>IFERROR(__xludf.DUMMYFUNCTION("""COMPUTED_VALUE"""),"40. Dumpster")</f>
        <v>40. Dumpster</v>
      </c>
      <c r="B891" s="4" t="str">
        <f>IFERROR(__xludf.DUMMYFUNCTION("""COMPUTED_VALUE"""),"40")</f>
        <v>40</v>
      </c>
      <c r="C891" s="5" t="str">
        <f>IFERROR(__xludf.DUMMYFUNCTION("""COMPUTED_VALUE"""),"https://drive.google.com/file/d/1NYq-gEPs2VTnRBMXIPvtCvQiZwmewqLr/view?usp=drivesdk")</f>
        <v>https://drive.google.com/file/d/1NYq-gEPs2VTnRBMXIPvtCvQiZwmewqLr/view?usp=drivesdk</v>
      </c>
      <c r="D891" s="12"/>
      <c r="E891" s="6">
        <v>947.0</v>
      </c>
      <c r="F891" s="2"/>
      <c r="I891" s="4"/>
    </row>
    <row r="892" ht="1.5" customHeight="1">
      <c r="A892" s="4" t="str">
        <f>IFERROR(__xludf.DUMMYFUNCTION("""COMPUTED_VALUE"""),"39. Radar, 43. Bruno")</f>
        <v>39. Radar, 43. Bruno</v>
      </c>
      <c r="B892" s="4" t="str">
        <f>IFERROR(__xludf.DUMMYFUNCTION("""COMPUTED_VALUE"""),"39, 43")</f>
        <v>39, 43</v>
      </c>
      <c r="C892" s="5" t="str">
        <f>IFERROR(__xludf.DUMMYFUNCTION("""COMPUTED_VALUE"""),"https://drive.google.com/file/d/1VKyjz21t936JjhOBpAM0ixOHxjsv92r1/view?usp=drivesdk")</f>
        <v>https://drive.google.com/file/d/1VKyjz21t936JjhOBpAM0ixOHxjsv92r1/view?usp=drivesdk</v>
      </c>
      <c r="D892" s="12"/>
      <c r="E892" s="6">
        <v>948.0</v>
      </c>
      <c r="F892" s="2"/>
      <c r="I892" s="4"/>
    </row>
    <row r="893" ht="1.5" customHeight="1">
      <c r="A893" s="4" t="str">
        <f>IFERROR(__xludf.DUMMYFUNCTION("""COMPUTED_VALUE"""),"40. Dumpster")</f>
        <v>40. Dumpster</v>
      </c>
      <c r="B893" s="4" t="str">
        <f>IFERROR(__xludf.DUMMYFUNCTION("""COMPUTED_VALUE"""),"40")</f>
        <v>40</v>
      </c>
      <c r="C893" s="5" t="str">
        <f>IFERROR(__xludf.DUMMYFUNCTION("""COMPUTED_VALUE"""),"https://drive.google.com/file/d/1Xsn7DUEkpXOCA9jRMWte_xIfxWCtJxMy/view?usp=drivesdk")</f>
        <v>https://drive.google.com/file/d/1Xsn7DUEkpXOCA9jRMWte_xIfxWCtJxMy/view?usp=drivesdk</v>
      </c>
      <c r="D893" s="12"/>
      <c r="E893" s="6">
        <v>949.0</v>
      </c>
      <c r="F893" s="2"/>
      <c r="I893" s="4"/>
    </row>
    <row r="894" ht="1.5" customHeight="1">
      <c r="A894" s="4" t="str">
        <f>IFERROR(__xludf.DUMMYFUNCTION("""COMPUTED_VALUE"""),"44. Shitbag Cuntface, 43. Bruno, 45. Boots")</f>
        <v>44. Shitbag Cuntface, 43. Bruno, 45. Boots</v>
      </c>
      <c r="B894" s="4" t="str">
        <f>IFERROR(__xludf.DUMMYFUNCTION("""COMPUTED_VALUE"""),"44, 43, 45")</f>
        <v>44, 43, 45</v>
      </c>
      <c r="C894" s="5" t="str">
        <f>IFERROR(__xludf.DUMMYFUNCTION("""COMPUTED_VALUE"""),"https://drive.google.com/file/d/1NxCUQKONAEhn9sGz1IS2HJESGdpRVa3d/view?usp=drivesdk")</f>
        <v>https://drive.google.com/file/d/1NxCUQKONAEhn9sGz1IS2HJESGdpRVa3d/view?usp=drivesdk</v>
      </c>
      <c r="D894" s="12"/>
      <c r="E894" s="11">
        <v>950.0</v>
      </c>
      <c r="F894" s="2"/>
      <c r="I894" s="4"/>
    </row>
    <row r="895" ht="1.5" customHeight="1">
      <c r="A895" s="4" t="str">
        <f>IFERROR(__xludf.DUMMYFUNCTION("""COMPUTED_VALUE"""),"39. Radar, 43. Bruno")</f>
        <v>39. Radar, 43. Bruno</v>
      </c>
      <c r="B895" s="4" t="str">
        <f>IFERROR(__xludf.DUMMYFUNCTION("""COMPUTED_VALUE"""),"39, 43")</f>
        <v>39, 43</v>
      </c>
      <c r="C895" s="5" t="str">
        <f>IFERROR(__xludf.DUMMYFUNCTION("""COMPUTED_VALUE"""),"https://drive.google.com/file/d/1RG-tGqFQWU4oWO92YKA4SC81vbMVNDcQ/view?usp=drivesdk")</f>
        <v>https://drive.google.com/file/d/1RG-tGqFQWU4oWO92YKA4SC81vbMVNDcQ/view?usp=drivesdk</v>
      </c>
      <c r="D895" s="12"/>
      <c r="E895" s="6">
        <v>951.0</v>
      </c>
      <c r="F895" s="2"/>
      <c r="I895" s="4"/>
    </row>
    <row r="896" ht="1.5" customHeight="1">
      <c r="A896" s="4" t="str">
        <f>IFERROR(__xludf.DUMMYFUNCTION("""COMPUTED_VALUE"""),"44. Shitbag Cuntface, 45. Boots")</f>
        <v>44. Shitbag Cuntface, 45. Boots</v>
      </c>
      <c r="B896" s="4" t="str">
        <f>IFERROR(__xludf.DUMMYFUNCTION("""COMPUTED_VALUE"""),"44, 45")</f>
        <v>44, 45</v>
      </c>
      <c r="C896" s="5" t="str">
        <f>IFERROR(__xludf.DUMMYFUNCTION("""COMPUTED_VALUE"""),"https://drive.google.com/file/d/1L93upptTh6J8KwNXlM6zZHVVS5mSwr9r/view?usp=drivesdk")</f>
        <v>https://drive.google.com/file/d/1L93upptTh6J8KwNXlM6zZHVVS5mSwr9r/view?usp=drivesdk</v>
      </c>
      <c r="D896" s="12"/>
      <c r="E896" s="11">
        <v>952.0</v>
      </c>
      <c r="F896" s="2"/>
      <c r="I896" s="4"/>
    </row>
    <row r="897" ht="1.5" customHeight="1">
      <c r="A897" s="4" t="str">
        <f>IFERROR(__xludf.DUMMYFUNCTION("""COMPUTED_VALUE"""),"44. Shitbag Cuntface, 45. Boots, 12. Faye")</f>
        <v>44. Shitbag Cuntface, 45. Boots, 12. Faye</v>
      </c>
      <c r="B897" s="4" t="str">
        <f>IFERROR(__xludf.DUMMYFUNCTION("""COMPUTED_VALUE"""),"44, 45, 12")</f>
        <v>44, 45, 12</v>
      </c>
      <c r="C897" s="5" t="str">
        <f>IFERROR(__xludf.DUMMYFUNCTION("""COMPUTED_VALUE"""),"https://drive.google.com/file/d/1ilsgBxTaXDP6vm1Lcd63DWv2sXIhRvLJ/view?usp=drivesdk")</f>
        <v>https://drive.google.com/file/d/1ilsgBxTaXDP6vm1Lcd63DWv2sXIhRvLJ/view?usp=drivesdk</v>
      </c>
      <c r="D897" s="12"/>
      <c r="E897" s="6">
        <v>953.0</v>
      </c>
      <c r="F897" s="2"/>
      <c r="I897" s="4"/>
    </row>
    <row r="898" ht="1.5" customHeight="1">
      <c r="A898" s="4" t="str">
        <f>IFERROR(__xludf.DUMMYFUNCTION("""COMPUTED_VALUE"""),"44. Shitbag Cuntface, 45. Boots")</f>
        <v>44. Shitbag Cuntface, 45. Boots</v>
      </c>
      <c r="B898" s="4" t="str">
        <f>IFERROR(__xludf.DUMMYFUNCTION("""COMPUTED_VALUE"""),"44, 45")</f>
        <v>44, 45</v>
      </c>
      <c r="C898" s="5" t="str">
        <f>IFERROR(__xludf.DUMMYFUNCTION("""COMPUTED_VALUE"""),"https://drive.google.com/file/d/1bGDPjZobcCbFgfVd-YIbaodij2CZYJyq/view?usp=drivesdk")</f>
        <v>https://drive.google.com/file/d/1bGDPjZobcCbFgfVd-YIbaodij2CZYJyq/view?usp=drivesdk</v>
      </c>
      <c r="D898" s="12"/>
      <c r="E898" s="6">
        <v>954.0</v>
      </c>
      <c r="F898" s="2"/>
      <c r="I898" s="4"/>
    </row>
    <row r="899" ht="1.5" customHeight="1">
      <c r="A899" s="4" t="str">
        <f>IFERROR(__xludf.DUMMYFUNCTION("""COMPUTED_VALUE"""),"38. Winston")</f>
        <v>38. Winston</v>
      </c>
      <c r="B899" s="4" t="str">
        <f>IFERROR(__xludf.DUMMYFUNCTION("""COMPUTED_VALUE"""),"38")</f>
        <v>38</v>
      </c>
      <c r="C899" s="5" t="str">
        <f>IFERROR(__xludf.DUMMYFUNCTION("""COMPUTED_VALUE"""),"https://drive.google.com/file/d/1c72UYruGyvXVN8hFRurI_CQ0uIbKoPhV/view?usp=drivesdk")</f>
        <v>https://drive.google.com/file/d/1c72UYruGyvXVN8hFRurI_CQ0uIbKoPhV/view?usp=drivesdk</v>
      </c>
      <c r="D899" s="12"/>
      <c r="E899" s="6">
        <v>955.0</v>
      </c>
      <c r="F899" s="2"/>
      <c r="I899" s="4"/>
    </row>
    <row r="900" ht="1.5" customHeight="1">
      <c r="A900" s="4" t="str">
        <f>IFERROR(__xludf.DUMMYFUNCTION("""COMPUTED_VALUE"""),"44. Shitbag Cuntface, 45. Boots")</f>
        <v>44. Shitbag Cuntface, 45. Boots</v>
      </c>
      <c r="B900" s="4" t="str">
        <f>IFERROR(__xludf.DUMMYFUNCTION("""COMPUTED_VALUE"""),"44, 45")</f>
        <v>44, 45</v>
      </c>
      <c r="C900" s="5" t="str">
        <f>IFERROR(__xludf.DUMMYFUNCTION("""COMPUTED_VALUE"""),"https://drive.google.com/file/d/17CenhmWmr-6DD7CWlWq7mK-xyF4FOaIE/view?usp=drivesdk")</f>
        <v>https://drive.google.com/file/d/17CenhmWmr-6DD7CWlWq7mK-xyF4FOaIE/view?usp=drivesdk</v>
      </c>
      <c r="D900" s="12"/>
      <c r="E900" s="11">
        <v>956.0</v>
      </c>
      <c r="F900" s="2"/>
      <c r="I900" s="4"/>
    </row>
    <row r="901" ht="1.5" customHeight="1">
      <c r="A901" s="4" t="str">
        <f>IFERROR(__xludf.DUMMYFUNCTION("""COMPUTED_VALUE"""),"43. Bruno")</f>
        <v>43. Bruno</v>
      </c>
      <c r="B901" s="4" t="str">
        <f>IFERROR(__xludf.DUMMYFUNCTION("""COMPUTED_VALUE"""),"43")</f>
        <v>43</v>
      </c>
      <c r="C901" s="5" t="str">
        <f>IFERROR(__xludf.DUMMYFUNCTION("""COMPUTED_VALUE"""),"https://drive.google.com/file/d/1WOMkqvZP-MehGixaYXtU8e_xCtBGEl8Z/view?usp=drivesdk")</f>
        <v>https://drive.google.com/file/d/1WOMkqvZP-MehGixaYXtU8e_xCtBGEl8Z/view?usp=drivesdk</v>
      </c>
      <c r="D901" s="12"/>
      <c r="E901" s="6">
        <v>957.0</v>
      </c>
      <c r="F901" s="2"/>
      <c r="I901" s="4"/>
    </row>
    <row r="902" ht="1.5" customHeight="1">
      <c r="A902" s="4" t="str">
        <f>IFERROR(__xludf.DUMMYFUNCTION("""COMPUTED_VALUE"""),"43. Bruno")</f>
        <v>43. Bruno</v>
      </c>
      <c r="B902" s="4" t="str">
        <f>IFERROR(__xludf.DUMMYFUNCTION("""COMPUTED_VALUE"""),"43")</f>
        <v>43</v>
      </c>
      <c r="C902" s="5" t="str">
        <f>IFERROR(__xludf.DUMMYFUNCTION("""COMPUTED_VALUE"""),"https://drive.google.com/file/d/1UNw7XoyDHaw5xkhdKTThhGZubiIQ8gqK/view?usp=drivesdk")</f>
        <v>https://drive.google.com/file/d/1UNw7XoyDHaw5xkhdKTThhGZubiIQ8gqK/view?usp=drivesdk</v>
      </c>
      <c r="D902" s="12"/>
      <c r="E902" s="11">
        <v>958.0</v>
      </c>
      <c r="F902" s="2"/>
      <c r="I902" s="4"/>
    </row>
    <row r="903" ht="1.5" customHeight="1">
      <c r="A903" s="4" t="str">
        <f>IFERROR(__xludf.DUMMYFUNCTION("""COMPUTED_VALUE"""),"44. Shitbag Cuntface, 45. Boots")</f>
        <v>44. Shitbag Cuntface, 45. Boots</v>
      </c>
      <c r="B903" s="4" t="str">
        <f>IFERROR(__xludf.DUMMYFUNCTION("""COMPUTED_VALUE"""),"44, 45")</f>
        <v>44, 45</v>
      </c>
      <c r="C903" s="5" t="str">
        <f>IFERROR(__xludf.DUMMYFUNCTION("""COMPUTED_VALUE"""),"https://drive.google.com/file/d/1PsX1MxwAMY3hIosFF-r3g63r0EUEPjdI/view?usp=drivesdk")</f>
        <v>https://drive.google.com/file/d/1PsX1MxwAMY3hIosFF-r3g63r0EUEPjdI/view?usp=drivesdk</v>
      </c>
      <c r="D903" s="12"/>
      <c r="E903" s="6">
        <v>959.0</v>
      </c>
      <c r="F903" s="2"/>
      <c r="I903" s="4"/>
    </row>
    <row r="904" ht="1.5" customHeight="1">
      <c r="A904" s="4" t="str">
        <f>IFERROR(__xludf.DUMMYFUNCTION("""COMPUTED_VALUE"""),"44. Shitbag Cuntface, 45. Boots")</f>
        <v>44. Shitbag Cuntface, 45. Boots</v>
      </c>
      <c r="B904" s="4" t="str">
        <f>IFERROR(__xludf.DUMMYFUNCTION("""COMPUTED_VALUE"""),"44, 45")</f>
        <v>44, 45</v>
      </c>
      <c r="C904" s="5" t="str">
        <f>IFERROR(__xludf.DUMMYFUNCTION("""COMPUTED_VALUE"""),"https://drive.google.com/file/d/1lFIMu66dbHIr1LLWTpobxRQTn18lsagL/view?usp=drivesdk")</f>
        <v>https://drive.google.com/file/d/1lFIMu66dbHIr1LLWTpobxRQTn18lsagL/view?usp=drivesdk</v>
      </c>
      <c r="D904" s="12"/>
      <c r="E904" s="6">
        <v>960.0</v>
      </c>
      <c r="F904" s="2"/>
      <c r="I904" s="4"/>
    </row>
    <row r="905" ht="1.5" customHeight="1">
      <c r="A905" s="4" t="str">
        <f>IFERROR(__xludf.DUMMYFUNCTION("""COMPUTED_VALUE"""),"44. Shitbag Cuntface, 45. Boots")</f>
        <v>44. Shitbag Cuntface, 45. Boots</v>
      </c>
      <c r="B905" s="4" t="str">
        <f>IFERROR(__xludf.DUMMYFUNCTION("""COMPUTED_VALUE"""),"44, 45")</f>
        <v>44, 45</v>
      </c>
      <c r="C905" s="5" t="str">
        <f>IFERROR(__xludf.DUMMYFUNCTION("""COMPUTED_VALUE"""),"https://drive.google.com/file/d/1rQbAbnsbgvlxSl9tCaRdxcZPGTyCROVk/view?usp=drivesdk")</f>
        <v>https://drive.google.com/file/d/1rQbAbnsbgvlxSl9tCaRdxcZPGTyCROVk/view?usp=drivesdk</v>
      </c>
      <c r="D905" s="12"/>
      <c r="E905" s="6">
        <v>961.0</v>
      </c>
      <c r="F905" s="2"/>
      <c r="I905" s="4"/>
    </row>
    <row r="906" ht="1.5" customHeight="1">
      <c r="A906" s="4" t="str">
        <f>IFERROR(__xludf.DUMMYFUNCTION("""COMPUTED_VALUE"""),"43. Bruno, 45. Boots")</f>
        <v>43. Bruno, 45. Boots</v>
      </c>
      <c r="B906" s="4" t="str">
        <f>IFERROR(__xludf.DUMMYFUNCTION("""COMPUTED_VALUE"""),"43, 45")</f>
        <v>43, 45</v>
      </c>
      <c r="C906" s="5" t="str">
        <f>IFERROR(__xludf.DUMMYFUNCTION("""COMPUTED_VALUE"""),"https://drive.google.com/file/d/1egQE_a3Jp4o0tA2PiFVlGisMKakhUC1I/view?usp=drivesdk")</f>
        <v>https://drive.google.com/file/d/1egQE_a3Jp4o0tA2PiFVlGisMKakhUC1I/view?usp=drivesdk</v>
      </c>
      <c r="D906" s="12"/>
      <c r="E906" s="11">
        <v>962.0</v>
      </c>
      <c r="F906" s="2"/>
      <c r="I906" s="4"/>
    </row>
    <row r="907" ht="1.5" customHeight="1">
      <c r="A907" s="4" t="str">
        <f>IFERROR(__xludf.DUMMYFUNCTION("""COMPUTED_VALUE"""),"45. Boots, 44. Shitbag Cuntface")</f>
        <v>45. Boots, 44. Shitbag Cuntface</v>
      </c>
      <c r="B907" s="4" t="str">
        <f>IFERROR(__xludf.DUMMYFUNCTION("""COMPUTED_VALUE"""),"45, 44")</f>
        <v>45, 44</v>
      </c>
      <c r="C907" s="5" t="str">
        <f>IFERROR(__xludf.DUMMYFUNCTION("""COMPUTED_VALUE"""),"https://drive.google.com/file/d/1Z5dMURs4kZ9Ns9AtZkhOs1ZmGey14-M5/view?usp=drivesdk")</f>
        <v>https://drive.google.com/file/d/1Z5dMURs4kZ9Ns9AtZkhOs1ZmGey14-M5/view?usp=drivesdk</v>
      </c>
      <c r="D907" s="12"/>
      <c r="E907" s="6">
        <v>963.0</v>
      </c>
      <c r="F907" s="2"/>
      <c r="I907" s="4"/>
    </row>
    <row r="908" ht="1.5" customHeight="1">
      <c r="A908" s="4" t="str">
        <f>IFERROR(__xludf.DUMMYFUNCTION("""COMPUTED_VALUE"""),"44. Shitbag Cuntface, 45. Boots")</f>
        <v>44. Shitbag Cuntface, 45. Boots</v>
      </c>
      <c r="B908" s="4" t="str">
        <f>IFERROR(__xludf.DUMMYFUNCTION("""COMPUTED_VALUE"""),"44, 45")</f>
        <v>44, 45</v>
      </c>
      <c r="C908" s="5" t="str">
        <f>IFERROR(__xludf.DUMMYFUNCTION("""COMPUTED_VALUE"""),"https://drive.google.com/file/d/1zBMsfdMH-9pU9xiQdxfO6fJfKiZCQjHv/view?usp=drivesdk")</f>
        <v>https://drive.google.com/file/d/1zBMsfdMH-9pU9xiQdxfO6fJfKiZCQjHv/view?usp=drivesdk</v>
      </c>
      <c r="D908" s="12"/>
      <c r="E908" s="11">
        <v>964.0</v>
      </c>
      <c r="F908" s="2"/>
      <c r="I908" s="4"/>
    </row>
    <row r="909" ht="1.5" customHeight="1">
      <c r="A909" s="4" t="str">
        <f>IFERROR(__xludf.DUMMYFUNCTION("""COMPUTED_VALUE"""),"43. Bruno")</f>
        <v>43. Bruno</v>
      </c>
      <c r="B909" s="4" t="str">
        <f>IFERROR(__xludf.DUMMYFUNCTION("""COMPUTED_VALUE"""),"43")</f>
        <v>43</v>
      </c>
      <c r="C909" s="5" t="str">
        <f>IFERROR(__xludf.DUMMYFUNCTION("""COMPUTED_VALUE"""),"https://drive.google.com/file/d/1enPQV4dXuT6Vj_6VqqO5JTbeoz4uHqpI/view?usp=drivesdk")</f>
        <v>https://drive.google.com/file/d/1enPQV4dXuT6Vj_6VqqO5JTbeoz4uHqpI/view?usp=drivesdk</v>
      </c>
      <c r="D909" s="12"/>
      <c r="E909" s="6">
        <v>965.0</v>
      </c>
      <c r="F909" s="2"/>
      <c r="I909" s="4"/>
    </row>
    <row r="910" ht="1.5" customHeight="1">
      <c r="A910" s="4" t="str">
        <f>IFERROR(__xludf.DUMMYFUNCTION("""COMPUTED_VALUE"""),"43. Bruno")</f>
        <v>43. Bruno</v>
      </c>
      <c r="B910" s="4" t="str">
        <f>IFERROR(__xludf.DUMMYFUNCTION("""COMPUTED_VALUE"""),"43")</f>
        <v>43</v>
      </c>
      <c r="C910" s="5" t="str">
        <f>IFERROR(__xludf.DUMMYFUNCTION("""COMPUTED_VALUE"""),"https://drive.google.com/file/d/1vb_oCLKRj-YtD5_C2c7Xq7xbIoB8Eq7C/view?usp=drivesdk")</f>
        <v>https://drive.google.com/file/d/1vb_oCLKRj-YtD5_C2c7Xq7xbIoB8Eq7C/view?usp=drivesdk</v>
      </c>
      <c r="D910" s="12"/>
      <c r="E910" s="6">
        <v>966.0</v>
      </c>
      <c r="F910" s="2"/>
      <c r="I910" s="4"/>
    </row>
    <row r="911" ht="1.5" customHeight="1">
      <c r="A911" s="4" t="str">
        <f>IFERROR(__xludf.DUMMYFUNCTION("""COMPUTED_VALUE"""),"41. Gregory")</f>
        <v>41. Gregory</v>
      </c>
      <c r="B911" s="4" t="str">
        <f>IFERROR(__xludf.DUMMYFUNCTION("""COMPUTED_VALUE"""),"41")</f>
        <v>41</v>
      </c>
      <c r="C911" s="5" t="str">
        <f>IFERROR(__xludf.DUMMYFUNCTION("""COMPUTED_VALUE"""),"https://drive.google.com/file/d/1ZCUSZ1ckVbitcOCCFQ-at39P0B4PH_6I/view?usp=drivesdk")</f>
        <v>https://drive.google.com/file/d/1ZCUSZ1ckVbitcOCCFQ-at39P0B4PH_6I/view?usp=drivesdk</v>
      </c>
      <c r="D911" s="12"/>
      <c r="E911" s="6">
        <v>967.0</v>
      </c>
      <c r="F911" s="2"/>
      <c r="I911" s="4"/>
    </row>
    <row r="912" ht="1.5" customHeight="1">
      <c r="A912" s="4" t="str">
        <f>IFERROR(__xludf.DUMMYFUNCTION("""COMPUTED_VALUE"""),"38. Winston, 39. Radar, 40. Dumpster, 12. Faye, 44. Shitbag Cuntface")</f>
        <v>38. Winston, 39. Radar, 40. Dumpster, 12. Faye, 44. Shitbag Cuntface</v>
      </c>
      <c r="B912" s="4" t="str">
        <f>IFERROR(__xludf.DUMMYFUNCTION("""COMPUTED_VALUE"""),"38, 39, 40, 12, 44")</f>
        <v>38, 39, 40, 12, 44</v>
      </c>
      <c r="C912" s="5" t="str">
        <f>IFERROR(__xludf.DUMMYFUNCTION("""COMPUTED_VALUE"""),"https://drive.google.com/file/d/1aMhQ6wSP3kBt3uNBZj07mSKcoRsJRCgt/view?usp=drivesdk")</f>
        <v>https://drive.google.com/file/d/1aMhQ6wSP3kBt3uNBZj07mSKcoRsJRCgt/view?usp=drivesdk</v>
      </c>
      <c r="D912" s="12"/>
      <c r="E912" s="11">
        <v>968.0</v>
      </c>
      <c r="F912" s="2"/>
      <c r="I912" s="4"/>
    </row>
    <row r="913" ht="1.5" customHeight="1">
      <c r="A913" s="4" t="str">
        <f>IFERROR(__xludf.DUMMYFUNCTION("""COMPUTED_VALUE"""),"43. Bruno")</f>
        <v>43. Bruno</v>
      </c>
      <c r="B913" s="4" t="str">
        <f>IFERROR(__xludf.DUMMYFUNCTION("""COMPUTED_VALUE"""),"43")</f>
        <v>43</v>
      </c>
      <c r="C913" s="5" t="str">
        <f>IFERROR(__xludf.DUMMYFUNCTION("""COMPUTED_VALUE"""),"https://drive.google.com/file/d/1qpJV6HUATDkKsrHqphqaNi8g5WMSsDQF/view?usp=drivesdk")</f>
        <v>https://drive.google.com/file/d/1qpJV6HUATDkKsrHqphqaNi8g5WMSsDQF/view?usp=drivesdk</v>
      </c>
      <c r="D913" s="12"/>
      <c r="E913" s="6">
        <v>969.0</v>
      </c>
      <c r="F913" s="2"/>
      <c r="I913" s="4"/>
    </row>
    <row r="914" ht="1.5" customHeight="1">
      <c r="A914" s="4" t="str">
        <f>IFERROR(__xludf.DUMMYFUNCTION("""COMPUTED_VALUE"""),"41. Gregory")</f>
        <v>41. Gregory</v>
      </c>
      <c r="B914" s="4" t="str">
        <f>IFERROR(__xludf.DUMMYFUNCTION("""COMPUTED_VALUE"""),"41")</f>
        <v>41</v>
      </c>
      <c r="C914" s="5" t="str">
        <f>IFERROR(__xludf.DUMMYFUNCTION("""COMPUTED_VALUE"""),"https://drive.google.com/file/d/1hfvDmJE7a2c-TqZV4HPO0iavBLPs7ScQ/view?usp=drivesdk")</f>
        <v>https://drive.google.com/file/d/1hfvDmJE7a2c-TqZV4HPO0iavBLPs7ScQ/view?usp=drivesdk</v>
      </c>
      <c r="D914" s="12"/>
      <c r="E914" s="11">
        <v>970.0</v>
      </c>
      <c r="F914" s="2"/>
      <c r="I914" s="4"/>
    </row>
    <row r="915" ht="1.5" customHeight="1">
      <c r="A915" s="4" t="str">
        <f>IFERROR(__xludf.DUMMYFUNCTION("""COMPUTED_VALUE"""),"44. Shitbag Cuntface")</f>
        <v>44. Shitbag Cuntface</v>
      </c>
      <c r="B915" s="4" t="str">
        <f>IFERROR(__xludf.DUMMYFUNCTION("""COMPUTED_VALUE"""),"44")</f>
        <v>44</v>
      </c>
      <c r="C915" s="5" t="str">
        <f>IFERROR(__xludf.DUMMYFUNCTION("""COMPUTED_VALUE"""),"https://drive.google.com/file/d/1Axig49eqWshDGCnB8LIYRSZdFOReto2y/view?usp=drivesdk")</f>
        <v>https://drive.google.com/file/d/1Axig49eqWshDGCnB8LIYRSZdFOReto2y/view?usp=drivesdk</v>
      </c>
      <c r="D915" s="12"/>
      <c r="E915" s="6">
        <v>971.0</v>
      </c>
      <c r="F915" s="2"/>
      <c r="I915" s="4"/>
    </row>
    <row r="916" ht="1.5" customHeight="1">
      <c r="A916" s="4" t="str">
        <f>IFERROR(__xludf.DUMMYFUNCTION("""COMPUTED_VALUE"""),"12. Faye, 45. Boots, 40. Dumpster, 39. Radar")</f>
        <v>12. Faye, 45. Boots, 40. Dumpster, 39. Radar</v>
      </c>
      <c r="B916" s="4" t="str">
        <f>IFERROR(__xludf.DUMMYFUNCTION("""COMPUTED_VALUE"""),"12, 45, 40, 39")</f>
        <v>12, 45, 40, 39</v>
      </c>
      <c r="C916" s="5" t="str">
        <f>IFERROR(__xludf.DUMMYFUNCTION("""COMPUTED_VALUE"""),"https://drive.google.com/file/d/1NwCLQuSHiGipyVnFQFIEgU6_RyjZgWoL/view?usp=drivesdk")</f>
        <v>https://drive.google.com/file/d/1NwCLQuSHiGipyVnFQFIEgU6_RyjZgWoL/view?usp=drivesdk</v>
      </c>
      <c r="D916" s="12"/>
      <c r="E916" s="6">
        <v>972.0</v>
      </c>
      <c r="F916" s="2"/>
      <c r="I916" s="4"/>
    </row>
    <row r="917" ht="1.5" customHeight="1">
      <c r="A917" s="4" t="str">
        <f>IFERROR(__xludf.DUMMYFUNCTION("""COMPUTED_VALUE"""),"39. Radar, 38. Winston, 45. Boots")</f>
        <v>39. Radar, 38. Winston, 45. Boots</v>
      </c>
      <c r="B917" s="4" t="str">
        <f>IFERROR(__xludf.DUMMYFUNCTION("""COMPUTED_VALUE"""),"39, 38, 45")</f>
        <v>39, 38, 45</v>
      </c>
      <c r="C917" s="5" t="str">
        <f>IFERROR(__xludf.DUMMYFUNCTION("""COMPUTED_VALUE"""),"https://drive.google.com/file/d/1FUgOi5MRkEInMm-9p0kotovMTDcT8XA5/view?usp=drivesdk")</f>
        <v>https://drive.google.com/file/d/1FUgOi5MRkEInMm-9p0kotovMTDcT8XA5/view?usp=drivesdk</v>
      </c>
      <c r="D917" s="12"/>
      <c r="E917" s="6">
        <v>973.0</v>
      </c>
      <c r="F917" s="2"/>
      <c r="I917" s="4"/>
    </row>
    <row r="918" ht="1.5" customHeight="1">
      <c r="A918" s="4" t="str">
        <f>IFERROR(__xludf.DUMMYFUNCTION("""COMPUTED_VALUE"""),"44. Shitbag Cuntface")</f>
        <v>44. Shitbag Cuntface</v>
      </c>
      <c r="B918" s="4" t="str">
        <f>IFERROR(__xludf.DUMMYFUNCTION("""COMPUTED_VALUE"""),"44")</f>
        <v>44</v>
      </c>
      <c r="C918" s="5" t="str">
        <f>IFERROR(__xludf.DUMMYFUNCTION("""COMPUTED_VALUE"""),"https://drive.google.com/file/d/1PdtdRzZQkMbCnKUeHQiXSj0zJKojkaKV/view?usp=drivesdk")</f>
        <v>https://drive.google.com/file/d/1PdtdRzZQkMbCnKUeHQiXSj0zJKojkaKV/view?usp=drivesdk</v>
      </c>
      <c r="D918" s="12"/>
      <c r="E918" s="11">
        <v>974.0</v>
      </c>
      <c r="F918" s="2"/>
      <c r="I918" s="4"/>
    </row>
    <row r="919" ht="1.5" customHeight="1">
      <c r="A919" s="4" t="str">
        <f>IFERROR(__xludf.DUMMYFUNCTION("""COMPUTED_VALUE"""),"44. Shitbag Cuntface, 12. Faye")</f>
        <v>44. Shitbag Cuntface, 12. Faye</v>
      </c>
      <c r="B919" s="4" t="str">
        <f>IFERROR(__xludf.DUMMYFUNCTION("""COMPUTED_VALUE"""),"44, 12")</f>
        <v>44, 12</v>
      </c>
      <c r="C919" s="5" t="str">
        <f>IFERROR(__xludf.DUMMYFUNCTION("""COMPUTED_VALUE"""),"https://drive.google.com/file/d/1BuyszF1Axw5xDDUMXo3VxgE6ScotU15X/view?usp=drivesdk")</f>
        <v>https://drive.google.com/file/d/1BuyszF1Axw5xDDUMXo3VxgE6ScotU15X/view?usp=drivesdk</v>
      </c>
      <c r="D919" s="12"/>
      <c r="E919" s="6">
        <v>975.0</v>
      </c>
      <c r="F919" s="2"/>
      <c r="I919" s="4"/>
    </row>
    <row r="920" ht="1.5" customHeight="1">
      <c r="A920" s="4" t="str">
        <f>IFERROR(__xludf.DUMMYFUNCTION("""COMPUTED_VALUE"""),"45. Boots, 12. Faye, 40. Dumpster, 39. Radar")</f>
        <v>45. Boots, 12. Faye, 40. Dumpster, 39. Radar</v>
      </c>
      <c r="B920" s="4" t="str">
        <f>IFERROR(__xludf.DUMMYFUNCTION("""COMPUTED_VALUE"""),"45, 12, 40, 39")</f>
        <v>45, 12, 40, 39</v>
      </c>
      <c r="C920" s="5" t="str">
        <f>IFERROR(__xludf.DUMMYFUNCTION("""COMPUTED_VALUE"""),"https://drive.google.com/file/d/1wqW5_5dSs7qBJlO3KN0aVpVuLd-oqlUw/view?usp=drivesdk")</f>
        <v>https://drive.google.com/file/d/1wqW5_5dSs7qBJlO3KN0aVpVuLd-oqlUw/view?usp=drivesdk</v>
      </c>
      <c r="D920" s="12"/>
      <c r="E920" s="11">
        <v>976.0</v>
      </c>
      <c r="F920" s="2"/>
      <c r="I920" s="4"/>
    </row>
    <row r="921" ht="1.5" customHeight="1">
      <c r="A921" s="4" t="str">
        <f>IFERROR(__xludf.DUMMYFUNCTION("""COMPUTED_VALUE"""),"44. Shitbag Cuntface, 45. Boots")</f>
        <v>44. Shitbag Cuntface, 45. Boots</v>
      </c>
      <c r="B921" s="4" t="str">
        <f>IFERROR(__xludf.DUMMYFUNCTION("""COMPUTED_VALUE"""),"44, 45")</f>
        <v>44, 45</v>
      </c>
      <c r="C921" s="5" t="str">
        <f>IFERROR(__xludf.DUMMYFUNCTION("""COMPUTED_VALUE"""),"https://drive.google.com/file/d/13ORWmwuWstCUW-h8M3MTstfrLLkcYCSm/view?usp=drivesdk")</f>
        <v>https://drive.google.com/file/d/13ORWmwuWstCUW-h8M3MTstfrLLkcYCSm/view?usp=drivesdk</v>
      </c>
      <c r="D921" s="12"/>
      <c r="E921" s="6">
        <v>977.0</v>
      </c>
      <c r="F921" s="2"/>
      <c r="I921" s="4"/>
    </row>
    <row r="922" ht="1.5" customHeight="1">
      <c r="A922" s="4" t="str">
        <f>IFERROR(__xludf.DUMMYFUNCTION("""COMPUTED_VALUE"""),"44. Shitbag Cuntface, 45. Boots, 39. Radar, 12. Faye, 38. Winston")</f>
        <v>44. Shitbag Cuntface, 45. Boots, 39. Radar, 12. Faye, 38. Winston</v>
      </c>
      <c r="B922" s="4" t="str">
        <f>IFERROR(__xludf.DUMMYFUNCTION("""COMPUTED_VALUE"""),"44, 45, 39, 12, 38")</f>
        <v>44, 45, 39, 12, 38</v>
      </c>
      <c r="C922" s="5" t="str">
        <f>IFERROR(__xludf.DUMMYFUNCTION("""COMPUTED_VALUE"""),"https://drive.google.com/file/d/1yUZ3xu2Nwm1bvUbl-KIYk5QoJUWzfXh1/view?usp=drivesdk")</f>
        <v>https://drive.google.com/file/d/1yUZ3xu2Nwm1bvUbl-KIYk5QoJUWzfXh1/view?usp=drivesdk</v>
      </c>
      <c r="D922" s="12"/>
      <c r="E922" s="6">
        <v>978.0</v>
      </c>
      <c r="F922" s="2"/>
      <c r="I922" s="4"/>
    </row>
    <row r="923" ht="1.5" customHeight="1">
      <c r="A923" s="4" t="str">
        <f>IFERROR(__xludf.DUMMYFUNCTION("""COMPUTED_VALUE"""),"44. Shitbag Cuntface, 45. Boots, 39. Radar, 12. Faye, 38. Winston")</f>
        <v>44. Shitbag Cuntface, 45. Boots, 39. Radar, 12. Faye, 38. Winston</v>
      </c>
      <c r="B923" s="4" t="str">
        <f>IFERROR(__xludf.DUMMYFUNCTION("""COMPUTED_VALUE"""),"44, 45, 39, 12, 38")</f>
        <v>44, 45, 39, 12, 38</v>
      </c>
      <c r="C923" s="5" t="str">
        <f>IFERROR(__xludf.DUMMYFUNCTION("""COMPUTED_VALUE"""),"https://drive.google.com/file/d/1SbK9x54AJro3AGcIOiq4Bjf3pSZLkJHX/view?usp=drivesdk")</f>
        <v>https://drive.google.com/file/d/1SbK9x54AJro3AGcIOiq4Bjf3pSZLkJHX/view?usp=drivesdk</v>
      </c>
      <c r="D923" s="12"/>
      <c r="E923" s="6">
        <v>979.0</v>
      </c>
      <c r="F923" s="2"/>
      <c r="I923" s="4"/>
    </row>
    <row r="924" ht="1.5" customHeight="1">
      <c r="A924" s="4" t="str">
        <f>IFERROR(__xludf.DUMMYFUNCTION("""COMPUTED_VALUE"""),"44. Shitbag Cuntface, 39. Radar, 12. Faye, 38. Winston")</f>
        <v>44. Shitbag Cuntface, 39. Radar, 12. Faye, 38. Winston</v>
      </c>
      <c r="B924" s="4" t="str">
        <f>IFERROR(__xludf.DUMMYFUNCTION("""COMPUTED_VALUE"""),"44, 39, 12, 38")</f>
        <v>44, 39, 12, 38</v>
      </c>
      <c r="C924" s="5" t="str">
        <f>IFERROR(__xludf.DUMMYFUNCTION("""COMPUTED_VALUE"""),"https://drive.google.com/file/d/1xuhciIDXWoJvt3Kcobv3C12XHOGcDb9x/view?usp=drivesdk")</f>
        <v>https://drive.google.com/file/d/1xuhciIDXWoJvt3Kcobv3C12XHOGcDb9x/view?usp=drivesdk</v>
      </c>
      <c r="D924" s="12"/>
      <c r="E924" s="11">
        <v>980.0</v>
      </c>
      <c r="F924" s="2"/>
      <c r="I924" s="4"/>
    </row>
    <row r="925" ht="1.5" customHeight="1">
      <c r="A925" s="4" t="str">
        <f>IFERROR(__xludf.DUMMYFUNCTION("""COMPUTED_VALUE"""),"44. Shitbag Cuntface, 12. Faye")</f>
        <v>44. Shitbag Cuntface, 12. Faye</v>
      </c>
      <c r="B925" s="4" t="str">
        <f>IFERROR(__xludf.DUMMYFUNCTION("""COMPUTED_VALUE"""),"44, 12")</f>
        <v>44, 12</v>
      </c>
      <c r="C925" s="5" t="str">
        <f>IFERROR(__xludf.DUMMYFUNCTION("""COMPUTED_VALUE"""),"https://drive.google.com/file/d/1Ce2nRj28FLS8ipr7F7WYliuJCud04U4I/view?usp=drivesdk")</f>
        <v>https://drive.google.com/file/d/1Ce2nRj28FLS8ipr7F7WYliuJCud04U4I/view?usp=drivesdk</v>
      </c>
      <c r="D925" s="12"/>
      <c r="E925" s="6">
        <v>981.0</v>
      </c>
      <c r="F925" s="2"/>
      <c r="I925" s="4"/>
    </row>
    <row r="926" ht="1.5" customHeight="1">
      <c r="A926" s="4" t="str">
        <f>IFERROR(__xludf.DUMMYFUNCTION("""COMPUTED_VALUE"""),"44. Shitbag Cuntface, 45. Boots, 39. Radar, 12. Faye, 38. Winston, 40. Dumpster")</f>
        <v>44. Shitbag Cuntface, 45. Boots, 39. Radar, 12. Faye, 38. Winston, 40. Dumpster</v>
      </c>
      <c r="B926" s="4" t="str">
        <f>IFERROR(__xludf.DUMMYFUNCTION("""COMPUTED_VALUE"""),"44, 45, 39, 12, 38, 40")</f>
        <v>44, 45, 39, 12, 38, 40</v>
      </c>
      <c r="C926" s="5" t="str">
        <f>IFERROR(__xludf.DUMMYFUNCTION("""COMPUTED_VALUE"""),"https://drive.google.com/file/d/17B6yEcxXjyHXYoXVOIge6VTSEihRrLHN/view?usp=drivesdk")</f>
        <v>https://drive.google.com/file/d/17B6yEcxXjyHXYoXVOIge6VTSEihRrLHN/view?usp=drivesdk</v>
      </c>
      <c r="D926" s="12"/>
      <c r="E926" s="11">
        <v>982.0</v>
      </c>
      <c r="F926" s="2"/>
      <c r="I926" s="4"/>
    </row>
    <row r="927" ht="1.5" customHeight="1">
      <c r="A927" s="4" t="str">
        <f>IFERROR(__xludf.DUMMYFUNCTION("""COMPUTED_VALUE"""),"44. Shitbag Cuntface, 45. Boots, 39. Radar, 12. Faye, 38. Winston, 40. Dumpster")</f>
        <v>44. Shitbag Cuntface, 45. Boots, 39. Radar, 12. Faye, 38. Winston, 40. Dumpster</v>
      </c>
      <c r="B927" s="4" t="str">
        <f>IFERROR(__xludf.DUMMYFUNCTION("""COMPUTED_VALUE"""),"44, 45, 39, 12, 38, 40")</f>
        <v>44, 45, 39, 12, 38, 40</v>
      </c>
      <c r="C927" s="5" t="str">
        <f>IFERROR(__xludf.DUMMYFUNCTION("""COMPUTED_VALUE"""),"https://drive.google.com/file/d/1CINfjqHVX69C9UGhJnH_DtGNgaLb8pIM/view?usp=drivesdk")</f>
        <v>https://drive.google.com/file/d/1CINfjqHVX69C9UGhJnH_DtGNgaLb8pIM/view?usp=drivesdk</v>
      </c>
      <c r="D927" s="12"/>
      <c r="E927" s="6">
        <v>983.0</v>
      </c>
      <c r="F927" s="2"/>
      <c r="I927" s="4"/>
    </row>
    <row r="928" ht="1.5" customHeight="1">
      <c r="A928" s="4" t="str">
        <f>IFERROR(__xludf.DUMMYFUNCTION("""COMPUTED_VALUE"""),"40. Dumpster, 12. Faye, 38. Winston, 45. Boots")</f>
        <v>40. Dumpster, 12. Faye, 38. Winston, 45. Boots</v>
      </c>
      <c r="B928" s="4" t="str">
        <f>IFERROR(__xludf.DUMMYFUNCTION("""COMPUTED_VALUE"""),"40, 12, 38, 45")</f>
        <v>40, 12, 38, 45</v>
      </c>
      <c r="C928" s="5" t="str">
        <f>IFERROR(__xludf.DUMMYFUNCTION("""COMPUTED_VALUE"""),"https://drive.google.com/file/d/1Tb3afX9pL1o6Bouv_6b1QFJTriyojLey/view?usp=drivesdk")</f>
        <v>https://drive.google.com/file/d/1Tb3afX9pL1o6Bouv_6b1QFJTriyojLey/view?usp=drivesdk</v>
      </c>
      <c r="D928" s="12"/>
      <c r="E928" s="6">
        <v>984.0</v>
      </c>
      <c r="F928" s="2"/>
      <c r="I928" s="4"/>
    </row>
    <row r="929" ht="1.5" customHeight="1">
      <c r="A929" s="4" t="str">
        <f>IFERROR(__xludf.DUMMYFUNCTION("""COMPUTED_VALUE"""),"40. Dumpster")</f>
        <v>40. Dumpster</v>
      </c>
      <c r="B929" s="4" t="str">
        <f>IFERROR(__xludf.DUMMYFUNCTION("""COMPUTED_VALUE"""),"40")</f>
        <v>40</v>
      </c>
      <c r="C929" s="5" t="str">
        <f>IFERROR(__xludf.DUMMYFUNCTION("""COMPUTED_VALUE"""),"https://drive.google.com/file/d/19dnaACYZ3D0Jg-q4hpGQgp5xPLl-LZxv/view?usp=drivesdk")</f>
        <v>https://drive.google.com/file/d/19dnaACYZ3D0Jg-q4hpGQgp5xPLl-LZxv/view?usp=drivesdk</v>
      </c>
      <c r="D929" s="12"/>
      <c r="E929" s="6">
        <v>985.0</v>
      </c>
      <c r="F929" s="2"/>
      <c r="I929" s="4"/>
    </row>
    <row r="930" ht="1.5" customHeight="1">
      <c r="A930" s="4" t="str">
        <f>IFERROR(__xludf.DUMMYFUNCTION("""COMPUTED_VALUE"""),"40. Dumpster, 12. Faye, 45. Boots, 43. Bruno")</f>
        <v>40. Dumpster, 12. Faye, 45. Boots, 43. Bruno</v>
      </c>
      <c r="B930" s="4" t="str">
        <f>IFERROR(__xludf.DUMMYFUNCTION("""COMPUTED_VALUE"""),"40, 12, 45, 43")</f>
        <v>40, 12, 45, 43</v>
      </c>
      <c r="C930" s="5" t="str">
        <f>IFERROR(__xludf.DUMMYFUNCTION("""COMPUTED_VALUE"""),"https://drive.google.com/file/d/1CkLhbtD--YMrC5rEkGTL1KewxVDn-96b/view?usp=drivesdk")</f>
        <v>https://drive.google.com/file/d/1CkLhbtD--YMrC5rEkGTL1KewxVDn-96b/view?usp=drivesdk</v>
      </c>
      <c r="D930" s="12"/>
      <c r="E930" s="11">
        <v>986.0</v>
      </c>
      <c r="F930" s="2"/>
      <c r="I930" s="4"/>
    </row>
    <row r="931" ht="1.5" customHeight="1">
      <c r="A931" s="4" t="str">
        <f>IFERROR(__xludf.DUMMYFUNCTION("""COMPUTED_VALUE"""),"40. Dumpster, 12. Faye, 45. Boots, 43. Bruno, 38. Winston")</f>
        <v>40. Dumpster, 12. Faye, 45. Boots, 43. Bruno, 38. Winston</v>
      </c>
      <c r="B931" s="4" t="str">
        <f>IFERROR(__xludf.DUMMYFUNCTION("""COMPUTED_VALUE"""),"40, 12, 45, 43, 38")</f>
        <v>40, 12, 45, 43, 38</v>
      </c>
      <c r="C931" s="5" t="str">
        <f>IFERROR(__xludf.DUMMYFUNCTION("""COMPUTED_VALUE"""),"https://drive.google.com/file/d/17RcHRpNsQlwNClQ-9gXAyCL888lWUbgz/view?usp=drivesdk")</f>
        <v>https://drive.google.com/file/d/17RcHRpNsQlwNClQ-9gXAyCL888lWUbgz/view?usp=drivesdk</v>
      </c>
      <c r="D931" s="12"/>
      <c r="E931" s="6">
        <v>987.0</v>
      </c>
      <c r="F931" s="2"/>
      <c r="I931" s="4"/>
    </row>
    <row r="932" ht="1.5" customHeight="1">
      <c r="A932" s="4" t="str">
        <f>IFERROR(__xludf.DUMMYFUNCTION("""COMPUTED_VALUE"""),"39. Radar, 40. Dumpster, 45. Boots")</f>
        <v>39. Radar, 40. Dumpster, 45. Boots</v>
      </c>
      <c r="B932" s="4" t="str">
        <f>IFERROR(__xludf.DUMMYFUNCTION("""COMPUTED_VALUE"""),"39, 40, 45")</f>
        <v>39, 40, 45</v>
      </c>
      <c r="C932" s="5" t="str">
        <f>IFERROR(__xludf.DUMMYFUNCTION("""COMPUTED_VALUE"""),"https://drive.google.com/file/d/1upSMd20gM3k2ZMHVzp656d961KbFDiW1/view?usp=drivesdk")</f>
        <v>https://drive.google.com/file/d/1upSMd20gM3k2ZMHVzp656d961KbFDiW1/view?usp=drivesdk</v>
      </c>
      <c r="D932" s="12"/>
      <c r="E932" s="11">
        <v>988.0</v>
      </c>
      <c r="F932" s="2"/>
      <c r="I932" s="4"/>
    </row>
    <row r="933" ht="1.5" customHeight="1">
      <c r="A933" s="4" t="str">
        <f>IFERROR(__xludf.DUMMYFUNCTION("""COMPUTED_VALUE"""),"45. Boots, 40. Dumpster")</f>
        <v>45. Boots, 40. Dumpster</v>
      </c>
      <c r="B933" s="4" t="str">
        <f>IFERROR(__xludf.DUMMYFUNCTION("""COMPUTED_VALUE"""),"45, 40")</f>
        <v>45, 40</v>
      </c>
      <c r="C933" s="5" t="str">
        <f>IFERROR(__xludf.DUMMYFUNCTION("""COMPUTED_VALUE"""),"https://drive.google.com/file/d/1FpM0J01G1IAnE-MaXEiLPX-E5P4Wibbp/view?usp=drivesdk")</f>
        <v>https://drive.google.com/file/d/1FpM0J01G1IAnE-MaXEiLPX-E5P4Wibbp/view?usp=drivesdk</v>
      </c>
      <c r="D933" s="12"/>
      <c r="E933" s="6">
        <v>989.0</v>
      </c>
      <c r="F933" s="2"/>
      <c r="I933" s="4"/>
    </row>
    <row r="934" ht="1.5" customHeight="1">
      <c r="A934" s="4" t="str">
        <f>IFERROR(__xludf.DUMMYFUNCTION("""COMPUTED_VALUE"""),"39. Radar")</f>
        <v>39. Radar</v>
      </c>
      <c r="B934" s="4" t="str">
        <f>IFERROR(__xludf.DUMMYFUNCTION("""COMPUTED_VALUE"""),"39")</f>
        <v>39</v>
      </c>
      <c r="C934" s="5" t="str">
        <f>IFERROR(__xludf.DUMMYFUNCTION("""COMPUTED_VALUE"""),"https://drive.google.com/file/d/1PLvLdMeluxbAHiTDL7MhAFR7a0Hz9dgN/view?usp=drivesdk")</f>
        <v>https://drive.google.com/file/d/1PLvLdMeluxbAHiTDL7MhAFR7a0Hz9dgN/view?usp=drivesdk</v>
      </c>
      <c r="D934" s="12"/>
      <c r="E934" s="6">
        <v>990.0</v>
      </c>
      <c r="F934" s="2"/>
      <c r="I934" s="4"/>
    </row>
    <row r="935" ht="1.5" customHeight="1">
      <c r="A935" s="4" t="str">
        <f>IFERROR(__xludf.DUMMYFUNCTION("""COMPUTED_VALUE"""),"61. Cassie")</f>
        <v>61. Cassie</v>
      </c>
      <c r="B935" s="4" t="str">
        <f>IFERROR(__xludf.DUMMYFUNCTION("""COMPUTED_VALUE"""),"61")</f>
        <v>61</v>
      </c>
      <c r="C935" s="5" t="str">
        <f>IFERROR(__xludf.DUMMYFUNCTION("""COMPUTED_VALUE"""),"https://drive.google.com/file/d/1i0gZR4I8GQIyXkhat635lG3k7_ynyCJB/view?usp=drivesdk")</f>
        <v>https://drive.google.com/file/d/1i0gZR4I8GQIyXkhat635lG3k7_ynyCJB/view?usp=drivesdk</v>
      </c>
      <c r="D935" s="12"/>
      <c r="E935" s="6">
        <v>991.0</v>
      </c>
      <c r="F935" s="2"/>
      <c r="I935" s="4"/>
    </row>
    <row r="936" ht="1.5" customHeight="1">
      <c r="A936" s="4" t="str">
        <f>IFERROR(__xludf.DUMMYFUNCTION("""COMPUTED_VALUE"""),"43. Bruno, 12. Faye, 38. Winston, 40. Dumpster")</f>
        <v>43. Bruno, 12. Faye, 38. Winston, 40. Dumpster</v>
      </c>
      <c r="B936" s="4" t="str">
        <f>IFERROR(__xludf.DUMMYFUNCTION("""COMPUTED_VALUE"""),"43, 12, 38, 40")</f>
        <v>43, 12, 38, 40</v>
      </c>
      <c r="C936" s="5" t="str">
        <f>IFERROR(__xludf.DUMMYFUNCTION("""COMPUTED_VALUE"""),"https://drive.google.com/file/d/1fEWj12Ks3_G4LXi9HXVcLHqDZjR4LNEd/view?usp=drivesdk")</f>
        <v>https://drive.google.com/file/d/1fEWj12Ks3_G4LXi9HXVcLHqDZjR4LNEd/view?usp=drivesdk</v>
      </c>
      <c r="D936" s="12"/>
      <c r="E936" s="11">
        <v>992.0</v>
      </c>
      <c r="F936" s="2"/>
      <c r="I936" s="4"/>
    </row>
    <row r="937" ht="1.5" customHeight="1">
      <c r="A937" s="4" t="str">
        <f>IFERROR(__xludf.DUMMYFUNCTION("""COMPUTED_VALUE"""),"61. Cassie")</f>
        <v>61. Cassie</v>
      </c>
      <c r="B937" s="4" t="str">
        <f>IFERROR(__xludf.DUMMYFUNCTION("""COMPUTED_VALUE"""),"61")</f>
        <v>61</v>
      </c>
      <c r="C937" s="5" t="str">
        <f>IFERROR(__xludf.DUMMYFUNCTION("""COMPUTED_VALUE"""),"https://drive.google.com/file/d/1BWO-2NT6uwYrx_H-KNNo-ykLnBzO4Ok-/view?usp=drivesdk")</f>
        <v>https://drive.google.com/file/d/1BWO-2NT6uwYrx_H-KNNo-ykLnBzO4Ok-/view?usp=drivesdk</v>
      </c>
      <c r="D937" s="12"/>
      <c r="E937" s="6">
        <v>993.0</v>
      </c>
      <c r="F937" s="2"/>
      <c r="I937" s="4"/>
    </row>
    <row r="938" ht="1.5" customHeight="1">
      <c r="A938" s="4" t="str">
        <f>IFERROR(__xludf.DUMMYFUNCTION("""COMPUTED_VALUE"""),"40. Dumpster, 38. Winston, 12. Faye, 45. Boots")</f>
        <v>40. Dumpster, 38. Winston, 12. Faye, 45. Boots</v>
      </c>
      <c r="B938" s="4" t="str">
        <f>IFERROR(__xludf.DUMMYFUNCTION("""COMPUTED_VALUE"""),"40, 38, 12, 45")</f>
        <v>40, 38, 12, 45</v>
      </c>
      <c r="C938" s="5" t="str">
        <f>IFERROR(__xludf.DUMMYFUNCTION("""COMPUTED_VALUE"""),"https://drive.google.com/file/d/1t3rYB2UIBjcV3EtdB3zvH2W_jKkFvDK8/view?usp=drivesdk")</f>
        <v>https://drive.google.com/file/d/1t3rYB2UIBjcV3EtdB3zvH2W_jKkFvDK8/view?usp=drivesdk</v>
      </c>
      <c r="D938" s="12"/>
      <c r="E938" s="11">
        <v>994.0</v>
      </c>
      <c r="F938" s="2"/>
      <c r="I938" s="4"/>
    </row>
    <row r="939" ht="1.5" customHeight="1">
      <c r="A939" s="4" t="str">
        <f>IFERROR(__xludf.DUMMYFUNCTION("""COMPUTED_VALUE"""),"45. Boots, 40. Dumpster")</f>
        <v>45. Boots, 40. Dumpster</v>
      </c>
      <c r="B939" s="4" t="str">
        <f>IFERROR(__xludf.DUMMYFUNCTION("""COMPUTED_VALUE"""),"45, 40")</f>
        <v>45, 40</v>
      </c>
      <c r="C939" s="5" t="str">
        <f>IFERROR(__xludf.DUMMYFUNCTION("""COMPUTED_VALUE"""),"https://drive.google.com/file/d/1KCh-BqYC49UIbsTO5CDnEdO74Ucf1x6Y/view?usp=drivesdk")</f>
        <v>https://drive.google.com/file/d/1KCh-BqYC49UIbsTO5CDnEdO74Ucf1x6Y/view?usp=drivesdk</v>
      </c>
      <c r="D939" s="12"/>
      <c r="E939" s="6">
        <v>995.0</v>
      </c>
      <c r="F939" s="2"/>
      <c r="I939" s="4"/>
    </row>
    <row r="940" ht="1.5" customHeight="1">
      <c r="A940" s="4" t="str">
        <f>IFERROR(__xludf.DUMMYFUNCTION("""COMPUTED_VALUE"""),"38. Winston, 39. Radar, 12. Faye, 45. Boots, 40. Dumpster")</f>
        <v>38. Winston, 39. Radar, 12. Faye, 45. Boots, 40. Dumpster</v>
      </c>
      <c r="B940" s="4" t="str">
        <f>IFERROR(__xludf.DUMMYFUNCTION("""COMPUTED_VALUE"""),"38, 39, 12, 45, 40")</f>
        <v>38, 39, 12, 45, 40</v>
      </c>
      <c r="C940" s="5" t="str">
        <f>IFERROR(__xludf.DUMMYFUNCTION("""COMPUTED_VALUE"""),"https://drive.google.com/file/d/1dgS0NRHkww1dzstVsL7BHhD7epQwa4YP/view?usp=drivesdk")</f>
        <v>https://drive.google.com/file/d/1dgS0NRHkww1dzstVsL7BHhD7epQwa4YP/view?usp=drivesdk</v>
      </c>
      <c r="D940" s="12"/>
      <c r="E940" s="6">
        <v>996.0</v>
      </c>
      <c r="F940" s="2"/>
      <c r="I940" s="4"/>
    </row>
    <row r="941" ht="1.5" customHeight="1">
      <c r="A941" s="4" t="str">
        <f>IFERROR(__xludf.DUMMYFUNCTION("""COMPUTED_VALUE"""),"45. Boots, 40. Dumpster")</f>
        <v>45. Boots, 40. Dumpster</v>
      </c>
      <c r="B941" s="4" t="str">
        <f>IFERROR(__xludf.DUMMYFUNCTION("""COMPUTED_VALUE"""),"45, 40")</f>
        <v>45, 40</v>
      </c>
      <c r="C941" s="5" t="str">
        <f>IFERROR(__xludf.DUMMYFUNCTION("""COMPUTED_VALUE"""),"https://drive.google.com/file/d/1snSHX6Dw3V-BA5DJ82KIwEnkVHiQungO/view?usp=drivesdk")</f>
        <v>https://drive.google.com/file/d/1snSHX6Dw3V-BA5DJ82KIwEnkVHiQungO/view?usp=drivesdk</v>
      </c>
      <c r="D941" s="12"/>
      <c r="E941" s="6">
        <v>997.0</v>
      </c>
      <c r="F941" s="2"/>
      <c r="I941" s="4"/>
    </row>
    <row r="942" ht="1.5" customHeight="1">
      <c r="A942" s="4" t="str">
        <f>IFERROR(__xludf.DUMMYFUNCTION("""COMPUTED_VALUE"""),"40. Dumpster, 43. Bruno, 45. Boots")</f>
        <v>40. Dumpster, 43. Bruno, 45. Boots</v>
      </c>
      <c r="B942" s="4" t="str">
        <f>IFERROR(__xludf.DUMMYFUNCTION("""COMPUTED_VALUE"""),"40, 43, 45")</f>
        <v>40, 43, 45</v>
      </c>
      <c r="C942" s="5" t="str">
        <f>IFERROR(__xludf.DUMMYFUNCTION("""COMPUTED_VALUE"""),"https://drive.google.com/file/d/1-5cfVLnyn4Rvu0SKqzNuam4QbCzusjxs/view?usp=drivesdk")</f>
        <v>https://drive.google.com/file/d/1-5cfVLnyn4Rvu0SKqzNuam4QbCzusjxs/view?usp=drivesdk</v>
      </c>
      <c r="D942" s="12"/>
      <c r="E942" s="11">
        <v>998.0</v>
      </c>
      <c r="F942" s="2"/>
      <c r="I942" s="4"/>
    </row>
    <row r="943" ht="1.5" customHeight="1">
      <c r="A943" s="4" t="str">
        <f>IFERROR(__xludf.DUMMYFUNCTION("""COMPUTED_VALUE"""),"43. Bruno, 45. Boots")</f>
        <v>43. Bruno, 45. Boots</v>
      </c>
      <c r="B943" s="4" t="str">
        <f>IFERROR(__xludf.DUMMYFUNCTION("""COMPUTED_VALUE"""),"43, 45")</f>
        <v>43, 45</v>
      </c>
      <c r="C943" s="5" t="str">
        <f>IFERROR(__xludf.DUMMYFUNCTION("""COMPUTED_VALUE"""),"https://drive.google.com/file/d/1dxx0_ynT4PT8TQa2JOoxhSxCWM003C2z/view?usp=drivesdk")</f>
        <v>https://drive.google.com/file/d/1dxx0_ynT4PT8TQa2JOoxhSxCWM003C2z/view?usp=drivesdk</v>
      </c>
      <c r="D943" s="12"/>
      <c r="E943" s="6">
        <v>999.0</v>
      </c>
      <c r="F943" s="2"/>
      <c r="I943" s="4"/>
    </row>
    <row r="944" ht="1.5" customHeight="1">
      <c r="A944" s="4" t="str">
        <f>IFERROR(__xludf.DUMMYFUNCTION("""COMPUTED_VALUE"""),"38. Winston, 40. Dumpster")</f>
        <v>38. Winston, 40. Dumpster</v>
      </c>
      <c r="B944" s="4" t="str">
        <f>IFERROR(__xludf.DUMMYFUNCTION("""COMPUTED_VALUE"""),"38, 40")</f>
        <v>38, 40</v>
      </c>
      <c r="C944" s="5" t="str">
        <f>IFERROR(__xludf.DUMMYFUNCTION("""COMPUTED_VALUE"""),"https://drive.google.com/file/d/1PDV85RJLxLpvBsZM_qo4_yZmfFMou1NG/view?usp=drivesdk")</f>
        <v>https://drive.google.com/file/d/1PDV85RJLxLpvBsZM_qo4_yZmfFMou1NG/view?usp=drivesdk</v>
      </c>
      <c r="D944" s="12"/>
      <c r="E944" s="11">
        <v>1000.0</v>
      </c>
      <c r="F944" s="2"/>
      <c r="I944" s="4"/>
    </row>
    <row r="945" ht="1.5" customHeight="1">
      <c r="A945" s="4" t="str">
        <f>IFERROR(__xludf.DUMMYFUNCTION("""COMPUTED_VALUE"""),"12. Faye, 39. Radar, 38. Winston")</f>
        <v>12. Faye, 39. Radar, 38. Winston</v>
      </c>
      <c r="B945" s="4" t="str">
        <f>IFERROR(__xludf.DUMMYFUNCTION("""COMPUTED_VALUE"""),"12, 39, 38")</f>
        <v>12, 39, 38</v>
      </c>
      <c r="C945" s="5" t="str">
        <f>IFERROR(__xludf.DUMMYFUNCTION("""COMPUTED_VALUE"""),"https://drive.google.com/file/d/1KAV6tp76FOIt4-v1RvEnoDbPIwHoaL3p/view?usp=drivesdk")</f>
        <v>https://drive.google.com/file/d/1KAV6tp76FOIt4-v1RvEnoDbPIwHoaL3p/view?usp=drivesdk</v>
      </c>
      <c r="D945" s="12"/>
      <c r="E945" s="6">
        <v>1001.0</v>
      </c>
      <c r="F945" s="2"/>
      <c r="I945" s="4"/>
    </row>
    <row r="946" ht="1.5" customHeight="1">
      <c r="A946" s="4" t="str">
        <f>IFERROR(__xludf.DUMMYFUNCTION("""COMPUTED_VALUE"""),"12. Faye, 39. Radar, 45. Boots")</f>
        <v>12. Faye, 39. Radar, 45. Boots</v>
      </c>
      <c r="B946" s="4" t="str">
        <f>IFERROR(__xludf.DUMMYFUNCTION("""COMPUTED_VALUE"""),"12, 39, 45")</f>
        <v>12, 39, 45</v>
      </c>
      <c r="C946" s="5" t="str">
        <f>IFERROR(__xludf.DUMMYFUNCTION("""COMPUTED_VALUE"""),"https://drive.google.com/file/d/1FJBCHJz4mH3HTlncdl_nBMXLfGtLcqMG/view?usp=drivesdk")</f>
        <v>https://drive.google.com/file/d/1FJBCHJz4mH3HTlncdl_nBMXLfGtLcqMG/view?usp=drivesdk</v>
      </c>
      <c r="D946" s="12"/>
      <c r="E946" s="6">
        <v>1002.0</v>
      </c>
      <c r="F946" s="2"/>
      <c r="I946" s="4"/>
    </row>
    <row r="947" ht="1.5" customHeight="1">
      <c r="A947" s="4" t="str">
        <f>IFERROR(__xludf.DUMMYFUNCTION("""COMPUTED_VALUE"""),"12. Faye, 45. Boots")</f>
        <v>12. Faye, 45. Boots</v>
      </c>
      <c r="B947" s="4" t="str">
        <f>IFERROR(__xludf.DUMMYFUNCTION("""COMPUTED_VALUE"""),"12, 45")</f>
        <v>12, 45</v>
      </c>
      <c r="C947" s="5" t="str">
        <f>IFERROR(__xludf.DUMMYFUNCTION("""COMPUTED_VALUE"""),"https://drive.google.com/file/d/1F67LqS7Xa3T0LOwAXQ5zr159sNuaSQZw/view?usp=drivesdk")</f>
        <v>https://drive.google.com/file/d/1F67LqS7Xa3T0LOwAXQ5zr159sNuaSQZw/view?usp=drivesdk</v>
      </c>
      <c r="D947" s="12"/>
      <c r="E947" s="6">
        <v>1003.0</v>
      </c>
      <c r="F947" s="2"/>
      <c r="I947" s="4"/>
    </row>
    <row r="948" ht="1.5" customHeight="1">
      <c r="A948" s="4" t="str">
        <f>IFERROR(__xludf.DUMMYFUNCTION("""COMPUTED_VALUE"""),"12. Faye, 39. Radar, 45. Boots")</f>
        <v>12. Faye, 39. Radar, 45. Boots</v>
      </c>
      <c r="B948" s="4" t="str">
        <f>IFERROR(__xludf.DUMMYFUNCTION("""COMPUTED_VALUE"""),"12, 39, 45")</f>
        <v>12, 39, 45</v>
      </c>
      <c r="C948" s="5" t="str">
        <f>IFERROR(__xludf.DUMMYFUNCTION("""COMPUTED_VALUE"""),"https://drive.google.com/file/d/1Leuyl4UC1HFbkZLEkWB-Bkt4n9B9lQLc/view?usp=drivesdk")</f>
        <v>https://drive.google.com/file/d/1Leuyl4UC1HFbkZLEkWB-Bkt4n9B9lQLc/view?usp=drivesdk</v>
      </c>
      <c r="D948" s="12"/>
      <c r="E948" s="11">
        <v>1004.0</v>
      </c>
      <c r="F948" s="2"/>
      <c r="I948" s="4"/>
    </row>
    <row r="949" ht="1.5" customHeight="1">
      <c r="A949" s="4" t="str">
        <f>IFERROR(__xludf.DUMMYFUNCTION("""COMPUTED_VALUE"""),"12. Faye, 39. Radar, 45. Boots")</f>
        <v>12. Faye, 39. Radar, 45. Boots</v>
      </c>
      <c r="B949" s="4" t="str">
        <f>IFERROR(__xludf.DUMMYFUNCTION("""COMPUTED_VALUE"""),"12, 39, 45")</f>
        <v>12, 39, 45</v>
      </c>
      <c r="C949" s="5" t="str">
        <f>IFERROR(__xludf.DUMMYFUNCTION("""COMPUTED_VALUE"""),"https://drive.google.com/file/d/1ah2SkHgTOpSGbHvid6e2fa0VK0ldu1m1/view?usp=drivesdk")</f>
        <v>https://drive.google.com/file/d/1ah2SkHgTOpSGbHvid6e2fa0VK0ldu1m1/view?usp=drivesdk</v>
      </c>
      <c r="D949" s="12"/>
      <c r="E949" s="6">
        <v>1005.0</v>
      </c>
      <c r="F949" s="2"/>
      <c r="I949" s="4"/>
    </row>
    <row r="950" ht="1.5" customHeight="1">
      <c r="A950" s="4" t="str">
        <f>IFERROR(__xludf.DUMMYFUNCTION("""COMPUTED_VALUE"""),"12. Faye, 39. Radar, 45. Boots, 38. Winston")</f>
        <v>12. Faye, 39. Radar, 45. Boots, 38. Winston</v>
      </c>
      <c r="B950" s="4" t="str">
        <f>IFERROR(__xludf.DUMMYFUNCTION("""COMPUTED_VALUE"""),"12, 39, 45, 38")</f>
        <v>12, 39, 45, 38</v>
      </c>
      <c r="C950" s="5" t="str">
        <f>IFERROR(__xludf.DUMMYFUNCTION("""COMPUTED_VALUE"""),"https://drive.google.com/file/d/1m5Tz2VaE_D35WsVemhCMatuS7r3ezXmq/view?usp=drivesdk")</f>
        <v>https://drive.google.com/file/d/1m5Tz2VaE_D35WsVemhCMatuS7r3ezXmq/view?usp=drivesdk</v>
      </c>
      <c r="D950" s="12"/>
      <c r="E950" s="11">
        <v>1006.0</v>
      </c>
      <c r="F950" s="2"/>
      <c r="I950" s="4"/>
    </row>
    <row r="951" ht="1.5" customHeight="1">
      <c r="A951" s="4" t="str">
        <f>IFERROR(__xludf.DUMMYFUNCTION("""COMPUTED_VALUE"""),"45. Boots")</f>
        <v>45. Boots</v>
      </c>
      <c r="B951" s="4" t="str">
        <f>IFERROR(__xludf.DUMMYFUNCTION("""COMPUTED_VALUE"""),"45")</f>
        <v>45</v>
      </c>
      <c r="C951" s="5" t="str">
        <f>IFERROR(__xludf.DUMMYFUNCTION("""COMPUTED_VALUE"""),"https://drive.google.com/file/d/1XwpzWNMLT5vFtYztn3PNI9jS4BqrnyO2/view?usp=drivesdk")</f>
        <v>https://drive.google.com/file/d/1XwpzWNMLT5vFtYztn3PNI9jS4BqrnyO2/view?usp=drivesdk</v>
      </c>
      <c r="D951" s="12"/>
      <c r="E951" s="6">
        <v>1007.0</v>
      </c>
      <c r="F951" s="2"/>
      <c r="I951" s="4"/>
    </row>
    <row r="952" ht="1.5" customHeight="1">
      <c r="A952" s="4" t="str">
        <f>IFERROR(__xludf.DUMMYFUNCTION("""COMPUTED_VALUE"""),"40. Dumpster, 38. Winston")</f>
        <v>40. Dumpster, 38. Winston</v>
      </c>
      <c r="B952" s="4" t="str">
        <f>IFERROR(__xludf.DUMMYFUNCTION("""COMPUTED_VALUE"""),"40, 38")</f>
        <v>40, 38</v>
      </c>
      <c r="C952" s="5" t="str">
        <f>IFERROR(__xludf.DUMMYFUNCTION("""COMPUTED_VALUE"""),"https://drive.google.com/file/d/1elKTatSA2-fgKMywqROK-IoBL_z6Jo0H/view?usp=drivesdk")</f>
        <v>https://drive.google.com/file/d/1elKTatSA2-fgKMywqROK-IoBL_z6Jo0H/view?usp=drivesdk</v>
      </c>
      <c r="D952" s="12"/>
      <c r="E952" s="6">
        <v>1008.0</v>
      </c>
      <c r="F952" s="2"/>
      <c r="I952" s="4"/>
    </row>
    <row r="953" ht="1.5" customHeight="1">
      <c r="A953" s="4" t="str">
        <f>IFERROR(__xludf.DUMMYFUNCTION("""COMPUTED_VALUE"""),"12. Faye")</f>
        <v>12. Faye</v>
      </c>
      <c r="B953" s="4" t="str">
        <f>IFERROR(__xludf.DUMMYFUNCTION("""COMPUTED_VALUE"""),"12")</f>
        <v>12</v>
      </c>
      <c r="C953" s="5" t="str">
        <f>IFERROR(__xludf.DUMMYFUNCTION("""COMPUTED_VALUE"""),"https://drive.google.com/file/d/1LMZMu0po7ByDX6nVUWLLAqpYW5Culi3v/view?usp=drivesdk")</f>
        <v>https://drive.google.com/file/d/1LMZMu0po7ByDX6nVUWLLAqpYW5Culi3v/view?usp=drivesdk</v>
      </c>
      <c r="D953" s="12"/>
      <c r="E953" s="6">
        <v>1009.0</v>
      </c>
      <c r="F953" s="2"/>
      <c r="I953" s="4"/>
    </row>
    <row r="954" ht="1.5" customHeight="1">
      <c r="A954" s="4" t="str">
        <f>IFERROR(__xludf.DUMMYFUNCTION("""COMPUTED_VALUE"""),"12. Faye, 39. Radar, 45. Boots, 38. Winston")</f>
        <v>12. Faye, 39. Radar, 45. Boots, 38. Winston</v>
      </c>
      <c r="B954" s="4" t="str">
        <f>IFERROR(__xludf.DUMMYFUNCTION("""COMPUTED_VALUE"""),"12, 39, 45, 38")</f>
        <v>12, 39, 45, 38</v>
      </c>
      <c r="C954" s="5" t="str">
        <f>IFERROR(__xludf.DUMMYFUNCTION("""COMPUTED_VALUE"""),"https://drive.google.com/file/d/1OrtB5_5yJVlZCrOBvIMj0tbZzyZ2nwuD/view?usp=drivesdk")</f>
        <v>https://drive.google.com/file/d/1OrtB5_5yJVlZCrOBvIMj0tbZzyZ2nwuD/view?usp=drivesdk</v>
      </c>
      <c r="D954" s="12"/>
      <c r="E954" s="11">
        <v>1010.0</v>
      </c>
      <c r="F954" s="2"/>
      <c r="I954" s="4"/>
    </row>
    <row r="955" ht="1.5" customHeight="1">
      <c r="A955" s="4" t="str">
        <f>IFERROR(__xludf.DUMMYFUNCTION("""COMPUTED_VALUE"""),"38. Winston, 40. Dumpster")</f>
        <v>38. Winston, 40. Dumpster</v>
      </c>
      <c r="B955" s="4" t="str">
        <f>IFERROR(__xludf.DUMMYFUNCTION("""COMPUTED_VALUE"""),"38, 40")</f>
        <v>38, 40</v>
      </c>
      <c r="C955" s="5" t="str">
        <f>IFERROR(__xludf.DUMMYFUNCTION("""COMPUTED_VALUE"""),"https://drive.google.com/file/d/1JhkTI1M5Yh19kyTQPa8wngPQBNZgNNhP/view?usp=drivesdk")</f>
        <v>https://drive.google.com/file/d/1JhkTI1M5Yh19kyTQPa8wngPQBNZgNNhP/view?usp=drivesdk</v>
      </c>
      <c r="D955" s="12"/>
      <c r="E955" s="6">
        <v>1011.0</v>
      </c>
      <c r="F955" s="2"/>
      <c r="I955" s="4"/>
    </row>
    <row r="956" ht="1.5" customHeight="1">
      <c r="A956" s="4" t="str">
        <f>IFERROR(__xludf.DUMMYFUNCTION("""COMPUTED_VALUE"""),"45. Boots")</f>
        <v>45. Boots</v>
      </c>
      <c r="B956" s="4" t="str">
        <f>IFERROR(__xludf.DUMMYFUNCTION("""COMPUTED_VALUE"""),"45")</f>
        <v>45</v>
      </c>
      <c r="C956" s="5" t="str">
        <f>IFERROR(__xludf.DUMMYFUNCTION("""COMPUTED_VALUE"""),"https://drive.google.com/file/d/1BKR6JzGPJji2BDJ6DQADwbdc6wsJplpf/view?usp=drivesdk")</f>
        <v>https://drive.google.com/file/d/1BKR6JzGPJji2BDJ6DQADwbdc6wsJplpf/view?usp=drivesdk</v>
      </c>
      <c r="D956" s="12"/>
      <c r="E956" s="11">
        <v>1012.0</v>
      </c>
      <c r="F956" s="2"/>
      <c r="I956" s="4"/>
    </row>
    <row r="957" ht="1.5" customHeight="1">
      <c r="A957" s="4" t="str">
        <f>IFERROR(__xludf.DUMMYFUNCTION("""COMPUTED_VALUE"""),"12. Faye, 39. Radar")</f>
        <v>12. Faye, 39. Radar</v>
      </c>
      <c r="B957" s="4" t="str">
        <f>IFERROR(__xludf.DUMMYFUNCTION("""COMPUTED_VALUE"""),"12, 39")</f>
        <v>12, 39</v>
      </c>
      <c r="C957" s="5" t="str">
        <f>IFERROR(__xludf.DUMMYFUNCTION("""COMPUTED_VALUE"""),"https://drive.google.com/file/d/1pnfSpHX2dZmApWwY6xovXvEH8BEI25-N/view?usp=drivesdk")</f>
        <v>https://drive.google.com/file/d/1pnfSpHX2dZmApWwY6xovXvEH8BEI25-N/view?usp=drivesdk</v>
      </c>
      <c r="D957" s="12"/>
      <c r="E957" s="6">
        <v>1013.0</v>
      </c>
      <c r="F957" s="2"/>
      <c r="I957" s="4"/>
    </row>
    <row r="958" ht="1.5" customHeight="1">
      <c r="A958" s="4" t="str">
        <f>IFERROR(__xludf.DUMMYFUNCTION("""COMPUTED_VALUE"""),"12. Faye, 45. Boots")</f>
        <v>12. Faye, 45. Boots</v>
      </c>
      <c r="B958" s="4" t="str">
        <f>IFERROR(__xludf.DUMMYFUNCTION("""COMPUTED_VALUE"""),"12, 45")</f>
        <v>12, 45</v>
      </c>
      <c r="C958" s="5" t="str">
        <f>IFERROR(__xludf.DUMMYFUNCTION("""COMPUTED_VALUE"""),"https://drive.google.com/file/d/1UHhsOOZn1ryjPtVpn2bRrtJf6tTx2fA1/view?usp=drivesdk")</f>
        <v>https://drive.google.com/file/d/1UHhsOOZn1ryjPtVpn2bRrtJf6tTx2fA1/view?usp=drivesdk</v>
      </c>
      <c r="D958" s="12"/>
      <c r="E958" s="6">
        <v>1014.0</v>
      </c>
      <c r="F958" s="2"/>
      <c r="I958" s="4"/>
    </row>
    <row r="959" ht="1.5" customHeight="1">
      <c r="A959" s="4" t="str">
        <f>IFERROR(__xludf.DUMMYFUNCTION("""COMPUTED_VALUE"""),"12. Faye, 39. Radar, 38. Winston")</f>
        <v>12. Faye, 39. Radar, 38. Winston</v>
      </c>
      <c r="B959" s="4" t="str">
        <f>IFERROR(__xludf.DUMMYFUNCTION("""COMPUTED_VALUE"""),"12, 39, 38")</f>
        <v>12, 39, 38</v>
      </c>
      <c r="C959" s="5" t="str">
        <f>IFERROR(__xludf.DUMMYFUNCTION("""COMPUTED_VALUE"""),"https://drive.google.com/file/d/1Bd707afPlK4zpux5otgCk-NeGqomIJeU/view?usp=drivesdk")</f>
        <v>https://drive.google.com/file/d/1Bd707afPlK4zpux5otgCk-NeGqomIJeU/view?usp=drivesdk</v>
      </c>
      <c r="D959" s="12"/>
      <c r="E959" s="6">
        <v>1015.0</v>
      </c>
      <c r="F959" s="2"/>
      <c r="I959" s="4"/>
    </row>
    <row r="960" ht="1.5" customHeight="1">
      <c r="A960" s="4" t="str">
        <f>IFERROR(__xludf.DUMMYFUNCTION("""COMPUTED_VALUE"""),"45. Boots")</f>
        <v>45. Boots</v>
      </c>
      <c r="B960" s="4" t="str">
        <f>IFERROR(__xludf.DUMMYFUNCTION("""COMPUTED_VALUE"""),"45")</f>
        <v>45</v>
      </c>
      <c r="C960" s="5" t="str">
        <f>IFERROR(__xludf.DUMMYFUNCTION("""COMPUTED_VALUE"""),"https://drive.google.com/file/d/16ry4HG9GYsAuCIrAuojXOkcBuIG1mqLI/view?usp=drivesdk")</f>
        <v>https://drive.google.com/file/d/16ry4HG9GYsAuCIrAuojXOkcBuIG1mqLI/view?usp=drivesdk</v>
      </c>
      <c r="D960" s="12"/>
      <c r="E960" s="11">
        <v>1016.0</v>
      </c>
      <c r="F960" s="2"/>
      <c r="I960" s="4"/>
    </row>
    <row r="961" ht="1.5" customHeight="1">
      <c r="A961" s="4" t="str">
        <f>IFERROR(__xludf.DUMMYFUNCTION("""COMPUTED_VALUE"""),"12. Faye, 45. Boots")</f>
        <v>12. Faye, 45. Boots</v>
      </c>
      <c r="B961" s="4" t="str">
        <f>IFERROR(__xludf.DUMMYFUNCTION("""COMPUTED_VALUE"""),"12, 45")</f>
        <v>12, 45</v>
      </c>
      <c r="C961" s="5" t="str">
        <f>IFERROR(__xludf.DUMMYFUNCTION("""COMPUTED_VALUE"""),"https://drive.google.com/file/d/1nNsMcbkIUTEuhY2K36u4zqmWN0CNwxqR/view?usp=drivesdk")</f>
        <v>https://drive.google.com/file/d/1nNsMcbkIUTEuhY2K36u4zqmWN0CNwxqR/view?usp=drivesdk</v>
      </c>
      <c r="D961" s="12"/>
      <c r="E961" s="6">
        <v>1017.0</v>
      </c>
      <c r="F961" s="2"/>
      <c r="I961" s="4"/>
    </row>
    <row r="962" ht="1.5" customHeight="1">
      <c r="A962" s="4" t="str">
        <f>IFERROR(__xludf.DUMMYFUNCTION("""COMPUTED_VALUE"""),"12. Faye")</f>
        <v>12. Faye</v>
      </c>
      <c r="B962" s="4" t="str">
        <f>IFERROR(__xludf.DUMMYFUNCTION("""COMPUTED_VALUE"""),"12")</f>
        <v>12</v>
      </c>
      <c r="C962" s="5" t="str">
        <f>IFERROR(__xludf.DUMMYFUNCTION("""COMPUTED_VALUE"""),"https://drive.google.com/file/d/1x1mROX5ntw-dLuS16onb07mJbhWYp7nq/view?usp=drivesdk")</f>
        <v>https://drive.google.com/file/d/1x1mROX5ntw-dLuS16onb07mJbhWYp7nq/view?usp=drivesdk</v>
      </c>
      <c r="D962" s="12"/>
      <c r="E962" s="11">
        <v>1018.0</v>
      </c>
      <c r="F962" s="2"/>
      <c r="I962" s="4"/>
    </row>
    <row r="963" ht="1.5" customHeight="1">
      <c r="A963" s="4" t="str">
        <f>IFERROR(__xludf.DUMMYFUNCTION("""COMPUTED_VALUE"""),"12. Faye, 45. Boots")</f>
        <v>12. Faye, 45. Boots</v>
      </c>
      <c r="B963" s="4" t="str">
        <f>IFERROR(__xludf.DUMMYFUNCTION("""COMPUTED_VALUE"""),"12, 45")</f>
        <v>12, 45</v>
      </c>
      <c r="C963" s="5" t="str">
        <f>IFERROR(__xludf.DUMMYFUNCTION("""COMPUTED_VALUE"""),"https://drive.google.com/file/d/1iUQe1J0ZFZsM5pJNxWfbK9g81N5QItzT/view?usp=drivesdk")</f>
        <v>https://drive.google.com/file/d/1iUQe1J0ZFZsM5pJNxWfbK9g81N5QItzT/view?usp=drivesdk</v>
      </c>
      <c r="D963" s="12"/>
      <c r="E963" s="6">
        <v>1019.0</v>
      </c>
      <c r="F963" s="2"/>
      <c r="I963" s="4"/>
    </row>
    <row r="964" ht="1.5" customHeight="1">
      <c r="A964" s="4" t="str">
        <f>IFERROR(__xludf.DUMMYFUNCTION("""COMPUTED_VALUE"""),"12. Faye, 45. Boots")</f>
        <v>12. Faye, 45. Boots</v>
      </c>
      <c r="B964" s="4" t="str">
        <f>IFERROR(__xludf.DUMMYFUNCTION("""COMPUTED_VALUE"""),"12, 45")</f>
        <v>12, 45</v>
      </c>
      <c r="C964" s="5" t="str">
        <f>IFERROR(__xludf.DUMMYFUNCTION("""COMPUTED_VALUE"""),"https://drive.google.com/file/d/1jcw3kgERvyMOgUD8Pif27suLkAv_CGky/view?usp=drivesdk")</f>
        <v>https://drive.google.com/file/d/1jcw3kgERvyMOgUD8Pif27suLkAv_CGky/view?usp=drivesdk</v>
      </c>
      <c r="D964" s="12"/>
      <c r="E964" s="6">
        <v>1020.0</v>
      </c>
      <c r="F964" s="2"/>
      <c r="I964" s="4"/>
    </row>
    <row r="965" ht="1.5" customHeight="1">
      <c r="A965" s="4" t="str">
        <f>IFERROR(__xludf.DUMMYFUNCTION("""COMPUTED_VALUE"""),"45. Boots")</f>
        <v>45. Boots</v>
      </c>
      <c r="B965" s="4" t="str">
        <f>IFERROR(__xludf.DUMMYFUNCTION("""COMPUTED_VALUE"""),"45")</f>
        <v>45</v>
      </c>
      <c r="C965" s="5" t="str">
        <f>IFERROR(__xludf.DUMMYFUNCTION("""COMPUTED_VALUE"""),"https://drive.google.com/file/d/1y2qsDlk50ikn6vP8G-crCyejdDYu5a0Q/view?usp=drivesdk")</f>
        <v>https://drive.google.com/file/d/1y2qsDlk50ikn6vP8G-crCyejdDYu5a0Q/view?usp=drivesdk</v>
      </c>
      <c r="D965" s="12"/>
      <c r="E965" s="6">
        <v>1021.0</v>
      </c>
      <c r="F965" s="2"/>
      <c r="I965" s="4"/>
    </row>
    <row r="966" ht="1.5" customHeight="1">
      <c r="A966" s="4" t="str">
        <f>IFERROR(__xludf.DUMMYFUNCTION("""COMPUTED_VALUE"""),"12. Faye, 45. Boots")</f>
        <v>12. Faye, 45. Boots</v>
      </c>
      <c r="B966" s="4" t="str">
        <f>IFERROR(__xludf.DUMMYFUNCTION("""COMPUTED_VALUE"""),"12, 45")</f>
        <v>12, 45</v>
      </c>
      <c r="C966" s="5" t="str">
        <f>IFERROR(__xludf.DUMMYFUNCTION("""COMPUTED_VALUE"""),"https://drive.google.com/file/d/1x4k3IiWYZq7AtNr4ru_PKctcLMyoq3aJ/view?usp=drivesdk")</f>
        <v>https://drive.google.com/file/d/1x4k3IiWYZq7AtNr4ru_PKctcLMyoq3aJ/view?usp=drivesdk</v>
      </c>
      <c r="D966" s="12"/>
      <c r="E966" s="11">
        <v>1022.0</v>
      </c>
      <c r="F966" s="2"/>
      <c r="I966" s="4"/>
    </row>
    <row r="967" ht="1.5" customHeight="1">
      <c r="A967" s="4" t="str">
        <f>IFERROR(__xludf.DUMMYFUNCTION("""COMPUTED_VALUE"""),"12. Faye, 45. Boots")</f>
        <v>12. Faye, 45. Boots</v>
      </c>
      <c r="B967" s="4" t="str">
        <f>IFERROR(__xludf.DUMMYFUNCTION("""COMPUTED_VALUE"""),"12, 45")</f>
        <v>12, 45</v>
      </c>
      <c r="C967" s="5" t="str">
        <f>IFERROR(__xludf.DUMMYFUNCTION("""COMPUTED_VALUE"""),"https://drive.google.com/file/d/1SkYMT6535Ttu8tZPZs0RUHriNrRKYkQZ/view?usp=drivesdk")</f>
        <v>https://drive.google.com/file/d/1SkYMT6535Ttu8tZPZs0RUHriNrRKYkQZ/view?usp=drivesdk</v>
      </c>
      <c r="D967" s="12"/>
      <c r="E967" s="6">
        <v>1023.0</v>
      </c>
      <c r="F967" s="2"/>
      <c r="I967" s="4"/>
    </row>
    <row r="968" ht="1.5" customHeight="1">
      <c r="A968" s="4" t="str">
        <f>IFERROR(__xludf.DUMMYFUNCTION("""COMPUTED_VALUE"""),"12. Faye, 38. Winston")</f>
        <v>12. Faye, 38. Winston</v>
      </c>
      <c r="B968" s="4" t="str">
        <f>IFERROR(__xludf.DUMMYFUNCTION("""COMPUTED_VALUE"""),"12, 38")</f>
        <v>12, 38</v>
      </c>
      <c r="C968" s="5" t="str">
        <f>IFERROR(__xludf.DUMMYFUNCTION("""COMPUTED_VALUE"""),"https://drive.google.com/file/d/1mE7QtRRYCeJ3d3xoj12MTk5zYX_3J5PA/view?usp=drivesdk")</f>
        <v>https://drive.google.com/file/d/1mE7QtRRYCeJ3d3xoj12MTk5zYX_3J5PA/view?usp=drivesdk</v>
      </c>
      <c r="D968" s="12"/>
      <c r="E968" s="11">
        <v>1024.0</v>
      </c>
      <c r="F968" s="2"/>
      <c r="I968" s="4"/>
    </row>
    <row r="969" ht="1.5" customHeight="1">
      <c r="A969" s="4" t="str">
        <f>IFERROR(__xludf.DUMMYFUNCTION("""COMPUTED_VALUE"""),"45. Boots, 12. Faye")</f>
        <v>45. Boots, 12. Faye</v>
      </c>
      <c r="B969" s="4" t="str">
        <f>IFERROR(__xludf.DUMMYFUNCTION("""COMPUTED_VALUE"""),"45, 12")</f>
        <v>45, 12</v>
      </c>
      <c r="C969" s="5" t="str">
        <f>IFERROR(__xludf.DUMMYFUNCTION("""COMPUTED_VALUE"""),"https://drive.google.com/file/d/1y7yj30tc7w39HHxQU3Vly9WiA2ZZUf2M/view?usp=drivesdk")</f>
        <v>https://drive.google.com/file/d/1y7yj30tc7w39HHxQU3Vly9WiA2ZZUf2M/view?usp=drivesdk</v>
      </c>
      <c r="D969" s="12"/>
      <c r="E969" s="6">
        <v>1025.0</v>
      </c>
      <c r="F969" s="2"/>
      <c r="I969" s="4"/>
    </row>
    <row r="970" ht="1.5" customHeight="1">
      <c r="A970" s="4" t="str">
        <f>IFERROR(__xludf.DUMMYFUNCTION("""COMPUTED_VALUE"""),"45. Boots, 12. Faye")</f>
        <v>45. Boots, 12. Faye</v>
      </c>
      <c r="B970" s="4" t="str">
        <f>IFERROR(__xludf.DUMMYFUNCTION("""COMPUTED_VALUE"""),"45, 12")</f>
        <v>45, 12</v>
      </c>
      <c r="C970" s="5" t="str">
        <f>IFERROR(__xludf.DUMMYFUNCTION("""COMPUTED_VALUE"""),"https://drive.google.com/file/d/1jcOfAAzYLbzBXHlzvmSeAwIXzNHoo8lB/view?usp=drivesdk")</f>
        <v>https://drive.google.com/file/d/1jcOfAAzYLbzBXHlzvmSeAwIXzNHoo8lB/view?usp=drivesdk</v>
      </c>
      <c r="D970" s="12"/>
      <c r="E970" s="6">
        <v>1026.0</v>
      </c>
      <c r="F970" s="2"/>
      <c r="I970" s="4"/>
    </row>
    <row r="971" ht="1.5" customHeight="1">
      <c r="A971" s="4" t="str">
        <f>IFERROR(__xludf.DUMMYFUNCTION("""COMPUTED_VALUE"""),"12. Faye")</f>
        <v>12. Faye</v>
      </c>
      <c r="B971" s="4" t="str">
        <f>IFERROR(__xludf.DUMMYFUNCTION("""COMPUTED_VALUE"""),"12")</f>
        <v>12</v>
      </c>
      <c r="C971" s="5" t="str">
        <f>IFERROR(__xludf.DUMMYFUNCTION("""COMPUTED_VALUE"""),"https://drive.google.com/file/d/1jFWl2RoDUN8r6wfoRQb6ssP-VOWe_za4/view?usp=drivesdk")</f>
        <v>https://drive.google.com/file/d/1jFWl2RoDUN8r6wfoRQb6ssP-VOWe_za4/view?usp=drivesdk</v>
      </c>
      <c r="D971" s="12"/>
      <c r="E971" s="6">
        <v>1027.0</v>
      </c>
      <c r="F971" s="2"/>
      <c r="I971" s="4"/>
    </row>
    <row r="972" ht="1.5" customHeight="1">
      <c r="A972" s="4" t="str">
        <f>IFERROR(__xludf.DUMMYFUNCTION("""COMPUTED_VALUE"""),"45. Boots")</f>
        <v>45. Boots</v>
      </c>
      <c r="B972" s="4" t="str">
        <f>IFERROR(__xludf.DUMMYFUNCTION("""COMPUTED_VALUE"""),"45")</f>
        <v>45</v>
      </c>
      <c r="C972" s="5" t="str">
        <f>IFERROR(__xludf.DUMMYFUNCTION("""COMPUTED_VALUE"""),"https://drive.google.com/file/d/1YWtM31TgcuVWOOvZoxzxgUOhAoXR9f0m/view?usp=drivesdk")</f>
        <v>https://drive.google.com/file/d/1YWtM31TgcuVWOOvZoxzxgUOhAoXR9f0m/view?usp=drivesdk</v>
      </c>
      <c r="D972" s="12"/>
      <c r="E972" s="11">
        <v>1028.0</v>
      </c>
      <c r="F972" s="2"/>
      <c r="I972" s="4"/>
    </row>
    <row r="973" ht="1.5" customHeight="1">
      <c r="A973" s="4" t="str">
        <f>IFERROR(__xludf.DUMMYFUNCTION("""COMPUTED_VALUE"""),"39. Radar, 12. Faye")</f>
        <v>39. Radar, 12. Faye</v>
      </c>
      <c r="B973" s="4" t="str">
        <f>IFERROR(__xludf.DUMMYFUNCTION("""COMPUTED_VALUE"""),"39, 12")</f>
        <v>39, 12</v>
      </c>
      <c r="C973" s="5" t="str">
        <f>IFERROR(__xludf.DUMMYFUNCTION("""COMPUTED_VALUE"""),"https://drive.google.com/file/d/1J_y93TX-pQlOeME-7wRLcnzJEfRhi5HH/view?usp=drivesdk")</f>
        <v>https://drive.google.com/file/d/1J_y93TX-pQlOeME-7wRLcnzJEfRhi5HH/view?usp=drivesdk</v>
      </c>
      <c r="D973" s="12"/>
      <c r="E973" s="6">
        <v>1029.0</v>
      </c>
      <c r="F973" s="2"/>
      <c r="I973" s="4"/>
    </row>
    <row r="974" ht="1.5" customHeight="1">
      <c r="A974" s="4" t="str">
        <f>IFERROR(__xludf.DUMMYFUNCTION("""COMPUTED_VALUE"""),"12. Faye")</f>
        <v>12. Faye</v>
      </c>
      <c r="B974" s="4" t="str">
        <f>IFERROR(__xludf.DUMMYFUNCTION("""COMPUTED_VALUE"""),"12")</f>
        <v>12</v>
      </c>
      <c r="C974" s="5" t="str">
        <f>IFERROR(__xludf.DUMMYFUNCTION("""COMPUTED_VALUE"""),"https://drive.google.com/file/d/1hvFwkewXsMV5-O2vP1xDc0OgBu0snR0b/view?usp=drivesdk")</f>
        <v>https://drive.google.com/file/d/1hvFwkewXsMV5-O2vP1xDc0OgBu0snR0b/view?usp=drivesdk</v>
      </c>
      <c r="D974" s="12"/>
      <c r="E974" s="11">
        <v>1030.0</v>
      </c>
      <c r="F974" s="2"/>
      <c r="I974" s="4"/>
    </row>
    <row r="975" ht="1.5" customHeight="1">
      <c r="A975" s="4" t="str">
        <f>IFERROR(__xludf.DUMMYFUNCTION("""COMPUTED_VALUE"""),"40. Dumpster, 39. Radar, 38. Winston")</f>
        <v>40. Dumpster, 39. Radar, 38. Winston</v>
      </c>
      <c r="B975" s="4" t="str">
        <f>IFERROR(__xludf.DUMMYFUNCTION("""COMPUTED_VALUE"""),"40, 39, 38")</f>
        <v>40, 39, 38</v>
      </c>
      <c r="C975" s="5" t="str">
        <f>IFERROR(__xludf.DUMMYFUNCTION("""COMPUTED_VALUE"""),"https://drive.google.com/file/d/1_flAYf6Nyvd41jQQauvMs6tTalJ_qw8D/view?usp=drivesdk")</f>
        <v>https://drive.google.com/file/d/1_flAYf6Nyvd41jQQauvMs6tTalJ_qw8D/view?usp=drivesdk</v>
      </c>
      <c r="D975" s="12"/>
      <c r="E975" s="6">
        <v>1031.0</v>
      </c>
      <c r="F975" s="2"/>
      <c r="I975" s="4"/>
    </row>
    <row r="976" ht="1.5" customHeight="1">
      <c r="A976" s="4" t="str">
        <f>IFERROR(__xludf.DUMMYFUNCTION("""COMPUTED_VALUE"""),"12. Faye")</f>
        <v>12. Faye</v>
      </c>
      <c r="B976" s="4" t="str">
        <f>IFERROR(__xludf.DUMMYFUNCTION("""COMPUTED_VALUE"""),"12")</f>
        <v>12</v>
      </c>
      <c r="C976" s="5" t="str">
        <f>IFERROR(__xludf.DUMMYFUNCTION("""COMPUTED_VALUE"""),"https://drive.google.com/file/d/1-RwD38iKtyoKE7Vb32SM8AKEoRu1k1cJ/view?usp=drivesdk")</f>
        <v>https://drive.google.com/file/d/1-RwD38iKtyoKE7Vb32SM8AKEoRu1k1cJ/view?usp=drivesdk</v>
      </c>
      <c r="D976" s="12"/>
      <c r="E976" s="6">
        <v>1032.0</v>
      </c>
      <c r="F976" s="2"/>
      <c r="I976" s="4"/>
    </row>
    <row r="977" ht="1.5" customHeight="1">
      <c r="A977" s="4" t="str">
        <f>IFERROR(__xludf.DUMMYFUNCTION("""COMPUTED_VALUE"""),"12. Faye, 39. Radar")</f>
        <v>12. Faye, 39. Radar</v>
      </c>
      <c r="B977" s="4" t="str">
        <f>IFERROR(__xludf.DUMMYFUNCTION("""COMPUTED_VALUE"""),"12, 39")</f>
        <v>12, 39</v>
      </c>
      <c r="C977" s="5" t="str">
        <f>IFERROR(__xludf.DUMMYFUNCTION("""COMPUTED_VALUE"""),"https://drive.google.com/file/d/1bh8Jt1DIZMa8SGpVLYlugZbt2jiktldL/view?usp=drivesdk")</f>
        <v>https://drive.google.com/file/d/1bh8Jt1DIZMa8SGpVLYlugZbt2jiktldL/view?usp=drivesdk</v>
      </c>
      <c r="D977" s="12"/>
      <c r="E977" s="6">
        <v>1033.0</v>
      </c>
      <c r="F977" s="2"/>
      <c r="I977" s="4"/>
    </row>
    <row r="978" ht="1.5" customHeight="1">
      <c r="A978" s="4" t="str">
        <f>IFERROR(__xludf.DUMMYFUNCTION("""COMPUTED_VALUE"""),"39. Radar")</f>
        <v>39. Radar</v>
      </c>
      <c r="B978" s="4" t="str">
        <f>IFERROR(__xludf.DUMMYFUNCTION("""COMPUTED_VALUE"""),"39")</f>
        <v>39</v>
      </c>
      <c r="C978" s="5" t="str">
        <f>IFERROR(__xludf.DUMMYFUNCTION("""COMPUTED_VALUE"""),"https://drive.google.com/file/d/1XCFQYusigHiCBpjm3UJHK7jgCN4sSbmD/view?usp=drivesdk")</f>
        <v>https://drive.google.com/file/d/1XCFQYusigHiCBpjm3UJHK7jgCN4sSbmD/view?usp=drivesdk</v>
      </c>
      <c r="D978" s="12"/>
      <c r="E978" s="11">
        <v>1034.0</v>
      </c>
      <c r="F978" s="2"/>
      <c r="I978" s="4"/>
    </row>
    <row r="979" ht="1.5" customHeight="1">
      <c r="A979" s="4" t="str">
        <f>IFERROR(__xludf.DUMMYFUNCTION("""COMPUTED_VALUE"""),"12. Faye, 45. Boots")</f>
        <v>12. Faye, 45. Boots</v>
      </c>
      <c r="B979" s="4" t="str">
        <f>IFERROR(__xludf.DUMMYFUNCTION("""COMPUTED_VALUE"""),"12, 45")</f>
        <v>12, 45</v>
      </c>
      <c r="C979" s="5" t="str">
        <f>IFERROR(__xludf.DUMMYFUNCTION("""COMPUTED_VALUE"""),"https://drive.google.com/file/d/1G-OQrXFIYlnmLj5GPBfIBnmACq3KJpNu/view?usp=drivesdk")</f>
        <v>https://drive.google.com/file/d/1G-OQrXFIYlnmLj5GPBfIBnmACq3KJpNu/view?usp=drivesdk</v>
      </c>
      <c r="D979" s="12"/>
      <c r="E979" s="6">
        <v>1035.0</v>
      </c>
      <c r="F979" s="2"/>
      <c r="I979" s="4"/>
    </row>
    <row r="980" ht="1.5" customHeight="1">
      <c r="A980" s="4" t="str">
        <f>IFERROR(__xludf.DUMMYFUNCTION("""COMPUTED_VALUE"""),"39. Radar, 12. Faye")</f>
        <v>39. Radar, 12. Faye</v>
      </c>
      <c r="B980" s="4" t="str">
        <f>IFERROR(__xludf.DUMMYFUNCTION("""COMPUTED_VALUE"""),"39, 12")</f>
        <v>39, 12</v>
      </c>
      <c r="C980" s="5" t="str">
        <f>IFERROR(__xludf.DUMMYFUNCTION("""COMPUTED_VALUE"""),"https://drive.google.com/file/d/1O0gwGHw2CgwszJGN5dc2b-sebiD-Jssb/view?usp=drivesdk")</f>
        <v>https://drive.google.com/file/d/1O0gwGHw2CgwszJGN5dc2b-sebiD-Jssb/view?usp=drivesdk</v>
      </c>
      <c r="D980" s="12"/>
      <c r="E980" s="11">
        <v>1036.0</v>
      </c>
      <c r="F980" s="2"/>
      <c r="I980" s="4"/>
    </row>
    <row r="981" ht="1.5" customHeight="1">
      <c r="A981" s="4" t="str">
        <f>IFERROR(__xludf.DUMMYFUNCTION("""COMPUTED_VALUE"""),"12. Faye, 45. Boots")</f>
        <v>12. Faye, 45. Boots</v>
      </c>
      <c r="B981" s="4" t="str">
        <f>IFERROR(__xludf.DUMMYFUNCTION("""COMPUTED_VALUE"""),"12, 45")</f>
        <v>12, 45</v>
      </c>
      <c r="C981" s="5" t="str">
        <f>IFERROR(__xludf.DUMMYFUNCTION("""COMPUTED_VALUE"""),"https://drive.google.com/file/d/1cvops_5ik6dyitlYBk2nsU1_slBequ_E/view?usp=drivesdk")</f>
        <v>https://drive.google.com/file/d/1cvops_5ik6dyitlYBk2nsU1_slBequ_E/view?usp=drivesdk</v>
      </c>
      <c r="D981" s="12"/>
      <c r="E981" s="6">
        <v>1037.0</v>
      </c>
      <c r="F981" s="2"/>
      <c r="I981" s="4"/>
    </row>
    <row r="982" ht="1.5" customHeight="1">
      <c r="A982" s="4" t="str">
        <f>IFERROR(__xludf.DUMMYFUNCTION("""COMPUTED_VALUE"""),"45. Boots, 12. Faye, 38. Winston")</f>
        <v>45. Boots, 12. Faye, 38. Winston</v>
      </c>
      <c r="B982" s="4" t="str">
        <f>IFERROR(__xludf.DUMMYFUNCTION("""COMPUTED_VALUE"""),"45, 12, 38")</f>
        <v>45, 12, 38</v>
      </c>
      <c r="C982" s="5" t="str">
        <f>IFERROR(__xludf.DUMMYFUNCTION("""COMPUTED_VALUE"""),"https://drive.google.com/file/d/123POp9xZBfp9IUBq9k9Y5AdkX_8CJond/view?usp=drivesdk")</f>
        <v>https://drive.google.com/file/d/123POp9xZBfp9IUBq9k9Y5AdkX_8CJond/view?usp=drivesdk</v>
      </c>
      <c r="D982" s="12"/>
      <c r="E982" s="6">
        <v>1038.0</v>
      </c>
      <c r="F982" s="2"/>
      <c r="I982" s="4"/>
    </row>
    <row r="983" ht="1.5" customHeight="1">
      <c r="A983" s="4" t="str">
        <f>IFERROR(__xludf.DUMMYFUNCTION("""COMPUTED_VALUE"""),"12. Faye")</f>
        <v>12. Faye</v>
      </c>
      <c r="B983" s="4" t="str">
        <f>IFERROR(__xludf.DUMMYFUNCTION("""COMPUTED_VALUE"""),"12")</f>
        <v>12</v>
      </c>
      <c r="C983" s="5" t="str">
        <f>IFERROR(__xludf.DUMMYFUNCTION("""COMPUTED_VALUE"""),"https://drive.google.com/file/d/12TN6H3LvgvDnZR8pWQZghAxg57UY4shP/view?usp=drivesdk")</f>
        <v>https://drive.google.com/file/d/12TN6H3LvgvDnZR8pWQZghAxg57UY4shP/view?usp=drivesdk</v>
      </c>
      <c r="D983" s="12"/>
      <c r="E983" s="6">
        <v>1039.0</v>
      </c>
      <c r="F983" s="2"/>
      <c r="I983" s="4"/>
    </row>
    <row r="984" ht="1.5" customHeight="1">
      <c r="A984" s="4" t="str">
        <f>IFERROR(__xludf.DUMMYFUNCTION("""COMPUTED_VALUE"""),"12. Faye, 38. Winston")</f>
        <v>12. Faye, 38. Winston</v>
      </c>
      <c r="B984" s="4" t="str">
        <f>IFERROR(__xludf.DUMMYFUNCTION("""COMPUTED_VALUE"""),"12, 38")</f>
        <v>12, 38</v>
      </c>
      <c r="C984" s="5" t="str">
        <f>IFERROR(__xludf.DUMMYFUNCTION("""COMPUTED_VALUE"""),"https://drive.google.com/file/d/1Gd2_UpsRtQiAkZVYkcGZmXkFDM8cZGgr/view?usp=drivesdk")</f>
        <v>https://drive.google.com/file/d/1Gd2_UpsRtQiAkZVYkcGZmXkFDM8cZGgr/view?usp=drivesdk</v>
      </c>
      <c r="D984" s="12"/>
      <c r="E984" s="11">
        <v>1040.0</v>
      </c>
      <c r="F984" s="2"/>
      <c r="I984" s="4"/>
    </row>
    <row r="985" ht="1.5" customHeight="1">
      <c r="A985" s="4" t="str">
        <f>IFERROR(__xludf.DUMMYFUNCTION("""COMPUTED_VALUE"""),"38. Winston, 45. Boots, 12. Faye")</f>
        <v>38. Winston, 45. Boots, 12. Faye</v>
      </c>
      <c r="B985" s="4" t="str">
        <f>IFERROR(__xludf.DUMMYFUNCTION("""COMPUTED_VALUE"""),"38, 45, 12")</f>
        <v>38, 45, 12</v>
      </c>
      <c r="C985" s="5" t="str">
        <f>IFERROR(__xludf.DUMMYFUNCTION("""COMPUTED_VALUE"""),"https://drive.google.com/file/d/1Fmyr6UBeUeb_FOi3mFIjF4ISoG5SbiHK/view?usp=drivesdk")</f>
        <v>https://drive.google.com/file/d/1Fmyr6UBeUeb_FOi3mFIjF4ISoG5SbiHK/view?usp=drivesdk</v>
      </c>
      <c r="D985" s="12"/>
      <c r="E985" s="6">
        <v>1041.0</v>
      </c>
      <c r="F985" s="2"/>
      <c r="I985" s="4"/>
    </row>
    <row r="986" ht="1.5" customHeight="1">
      <c r="A986" s="4" t="str">
        <f>IFERROR(__xludf.DUMMYFUNCTION("""COMPUTED_VALUE"""),"12. Faye, 45. Boots")</f>
        <v>12. Faye, 45. Boots</v>
      </c>
      <c r="B986" s="4" t="str">
        <f>IFERROR(__xludf.DUMMYFUNCTION("""COMPUTED_VALUE"""),"12, 45")</f>
        <v>12, 45</v>
      </c>
      <c r="C986" s="5" t="str">
        <f>IFERROR(__xludf.DUMMYFUNCTION("""COMPUTED_VALUE"""),"https://drive.google.com/file/d/1gQI2G86oWnDm2tIricYOZbecUUNJoZBB/view?usp=drivesdk")</f>
        <v>https://drive.google.com/file/d/1gQI2G86oWnDm2tIricYOZbecUUNJoZBB/view?usp=drivesdk</v>
      </c>
      <c r="D986" s="12"/>
      <c r="E986" s="11">
        <v>1042.0</v>
      </c>
      <c r="F986" s="2"/>
      <c r="I986" s="4"/>
    </row>
    <row r="987" ht="1.5" customHeight="1">
      <c r="A987" s="4" t="str">
        <f>IFERROR(__xludf.DUMMYFUNCTION("""COMPUTED_VALUE"""),"12. Faye, 45. Boots")</f>
        <v>12. Faye, 45. Boots</v>
      </c>
      <c r="B987" s="4" t="str">
        <f>IFERROR(__xludf.DUMMYFUNCTION("""COMPUTED_VALUE"""),"12, 45")</f>
        <v>12, 45</v>
      </c>
      <c r="C987" s="5" t="str">
        <f>IFERROR(__xludf.DUMMYFUNCTION("""COMPUTED_VALUE"""),"https://drive.google.com/file/d/1z-fHHY5m0imXKwwMEewOZzlYkerRJ8iL/view?usp=drivesdk")</f>
        <v>https://drive.google.com/file/d/1z-fHHY5m0imXKwwMEewOZzlYkerRJ8iL/view?usp=drivesdk</v>
      </c>
      <c r="D987" s="12"/>
      <c r="E987" s="6">
        <v>1043.0</v>
      </c>
      <c r="F987" s="2"/>
      <c r="I987" s="4"/>
    </row>
    <row r="988" ht="1.5" customHeight="1">
      <c r="A988" s="4" t="str">
        <f>IFERROR(__xludf.DUMMYFUNCTION("""COMPUTED_VALUE"""),"12. Faye, 38. Winston, 45. Boots")</f>
        <v>12. Faye, 38. Winston, 45. Boots</v>
      </c>
      <c r="B988" s="4" t="str">
        <f>IFERROR(__xludf.DUMMYFUNCTION("""COMPUTED_VALUE"""),"12, 38, 45")</f>
        <v>12, 38, 45</v>
      </c>
      <c r="C988" s="5" t="str">
        <f>IFERROR(__xludf.DUMMYFUNCTION("""COMPUTED_VALUE"""),"https://drive.google.com/file/d/1lY-JzliW0QvF9EWeUGQgANTLGnmJx26S/view?usp=drivesdk")</f>
        <v>https://drive.google.com/file/d/1lY-JzliW0QvF9EWeUGQgANTLGnmJx26S/view?usp=drivesdk</v>
      </c>
      <c r="D988" s="12"/>
      <c r="E988" s="6">
        <v>1044.0</v>
      </c>
      <c r="F988" s="2"/>
      <c r="I988" s="4"/>
    </row>
    <row r="989" ht="1.5" customHeight="1">
      <c r="A989" s="4" t="str">
        <f>IFERROR(__xludf.DUMMYFUNCTION("""COMPUTED_VALUE"""),"12. Faye")</f>
        <v>12. Faye</v>
      </c>
      <c r="B989" s="4" t="str">
        <f>IFERROR(__xludf.DUMMYFUNCTION("""COMPUTED_VALUE"""),"12")</f>
        <v>12</v>
      </c>
      <c r="C989" s="5" t="str">
        <f>IFERROR(__xludf.DUMMYFUNCTION("""COMPUTED_VALUE"""),"https://drive.google.com/file/d/1hMNa0IIW5dJN7640Roz7ZPlDpjQ4g42a/view?usp=drivesdk")</f>
        <v>https://drive.google.com/file/d/1hMNa0IIW5dJN7640Roz7ZPlDpjQ4g42a/view?usp=drivesdk</v>
      </c>
      <c r="D989" s="12"/>
      <c r="E989" s="6">
        <v>1045.0</v>
      </c>
      <c r="F989" s="2"/>
      <c r="I989" s="4"/>
    </row>
    <row r="990" ht="1.5" customHeight="1">
      <c r="A990" s="4" t="str">
        <f>IFERROR(__xludf.DUMMYFUNCTION("""COMPUTED_VALUE"""),"12. Faye, 38. Winston, 45. Boots")</f>
        <v>12. Faye, 38. Winston, 45. Boots</v>
      </c>
      <c r="B990" s="4" t="str">
        <f>IFERROR(__xludf.DUMMYFUNCTION("""COMPUTED_VALUE"""),"12, 38, 45")</f>
        <v>12, 38, 45</v>
      </c>
      <c r="C990" s="5" t="str">
        <f>IFERROR(__xludf.DUMMYFUNCTION("""COMPUTED_VALUE"""),"https://drive.google.com/file/d/16PQrDgrgsfVr33XxmdLEEseuL2pHi-89/view?usp=drivesdk")</f>
        <v>https://drive.google.com/file/d/16PQrDgrgsfVr33XxmdLEEseuL2pHi-89/view?usp=drivesdk</v>
      </c>
      <c r="D990" s="12"/>
      <c r="E990" s="11">
        <v>1046.0</v>
      </c>
      <c r="F990" s="2"/>
      <c r="I990" s="4"/>
    </row>
    <row r="991" ht="1.5" customHeight="1">
      <c r="A991" s="4" t="str">
        <f>IFERROR(__xludf.DUMMYFUNCTION("""COMPUTED_VALUE"""),"12. Faye")</f>
        <v>12. Faye</v>
      </c>
      <c r="B991" s="4" t="str">
        <f>IFERROR(__xludf.DUMMYFUNCTION("""COMPUTED_VALUE"""),"12")</f>
        <v>12</v>
      </c>
      <c r="C991" s="5" t="str">
        <f>IFERROR(__xludf.DUMMYFUNCTION("""COMPUTED_VALUE"""),"https://drive.google.com/file/d/1b4Z8kXNYZAiamGpflqEVVPFSUkQCBUmC/view?usp=drivesdk")</f>
        <v>https://drive.google.com/file/d/1b4Z8kXNYZAiamGpflqEVVPFSUkQCBUmC/view?usp=drivesdk</v>
      </c>
      <c r="D991" s="12"/>
      <c r="E991" s="6">
        <v>1047.0</v>
      </c>
      <c r="F991" s="2"/>
      <c r="I991" s="4"/>
    </row>
    <row r="992" ht="1.5" customHeight="1">
      <c r="A992" s="4" t="str">
        <f>IFERROR(__xludf.DUMMYFUNCTION("""COMPUTED_VALUE"""),"38. Winston, 39. Radar, 45. Boots")</f>
        <v>38. Winston, 39. Radar, 45. Boots</v>
      </c>
      <c r="B992" s="4" t="str">
        <f>IFERROR(__xludf.DUMMYFUNCTION("""COMPUTED_VALUE"""),"38, 39, 45")</f>
        <v>38, 39, 45</v>
      </c>
      <c r="C992" s="5" t="str">
        <f>IFERROR(__xludf.DUMMYFUNCTION("""COMPUTED_VALUE"""),"https://drive.google.com/file/d/1izsGYhVbGVjZyHewC64kesb-O-DPKaIG/view?usp=drivesdk")</f>
        <v>https://drive.google.com/file/d/1izsGYhVbGVjZyHewC64kesb-O-DPKaIG/view?usp=drivesdk</v>
      </c>
      <c r="D992" s="12"/>
      <c r="E992" s="11">
        <v>1048.0</v>
      </c>
      <c r="F992" s="2"/>
      <c r="I992" s="4"/>
    </row>
    <row r="993" ht="1.5" customHeight="1">
      <c r="A993" s="4" t="str">
        <f>IFERROR(__xludf.DUMMYFUNCTION("""COMPUTED_VALUE"""),"12. Faye, 38. Winston, 45. Boots")</f>
        <v>12. Faye, 38. Winston, 45. Boots</v>
      </c>
      <c r="B993" s="4" t="str">
        <f>IFERROR(__xludf.DUMMYFUNCTION("""COMPUTED_VALUE"""),"12, 38, 45")</f>
        <v>12, 38, 45</v>
      </c>
      <c r="C993" s="5" t="str">
        <f>IFERROR(__xludf.DUMMYFUNCTION("""COMPUTED_VALUE"""),"https://drive.google.com/file/d/1MbMRlzVPtxH0mUh4GUfEB-b8OzQDe-8b/view?usp=drivesdk")</f>
        <v>https://drive.google.com/file/d/1MbMRlzVPtxH0mUh4GUfEB-b8OzQDe-8b/view?usp=drivesdk</v>
      </c>
      <c r="D993" s="12"/>
      <c r="E993" s="6">
        <v>1049.0</v>
      </c>
      <c r="F993" s="2"/>
      <c r="I993" s="4"/>
    </row>
    <row r="994" ht="1.5" customHeight="1">
      <c r="A994" s="4" t="str">
        <f>IFERROR(__xludf.DUMMYFUNCTION("""COMPUTED_VALUE"""),"12. Faye, 38. Winston, 45. Boots")</f>
        <v>12. Faye, 38. Winston, 45. Boots</v>
      </c>
      <c r="B994" s="4" t="str">
        <f>IFERROR(__xludf.DUMMYFUNCTION("""COMPUTED_VALUE"""),"12, 38, 45")</f>
        <v>12, 38, 45</v>
      </c>
      <c r="C994" s="5" t="str">
        <f>IFERROR(__xludf.DUMMYFUNCTION("""COMPUTED_VALUE"""),"https://drive.google.com/file/d/1Ya4--59eGokUhBobj-LcajD4JCku2QR6/view?usp=drivesdk")</f>
        <v>https://drive.google.com/file/d/1Ya4--59eGokUhBobj-LcajD4JCku2QR6/view?usp=drivesdk</v>
      </c>
      <c r="D994" s="12"/>
      <c r="E994" s="6">
        <v>1050.0</v>
      </c>
      <c r="F994" s="2"/>
    </row>
    <row r="995" ht="1.5" customHeight="1">
      <c r="A995" s="4" t="str">
        <f>IFERROR(__xludf.DUMMYFUNCTION("""COMPUTED_VALUE"""),"12. Faye, 38. Winston, 45. Boots")</f>
        <v>12. Faye, 38. Winston, 45. Boots</v>
      </c>
      <c r="B995" s="4" t="str">
        <f>IFERROR(__xludf.DUMMYFUNCTION("""COMPUTED_VALUE"""),"12, 38, 45")</f>
        <v>12, 38, 45</v>
      </c>
      <c r="C995" s="5" t="str">
        <f>IFERROR(__xludf.DUMMYFUNCTION("""COMPUTED_VALUE"""),"https://drive.google.com/file/d/194aC96PJ4JQKU43XB-xuBNHZyF9SIgw4/view?usp=drivesdk")</f>
        <v>https://drive.google.com/file/d/194aC96PJ4JQKU43XB-xuBNHZyF9SIgw4/view?usp=drivesdk</v>
      </c>
      <c r="D995" s="12"/>
      <c r="E995" s="6">
        <v>1051.0</v>
      </c>
      <c r="F995" s="2"/>
    </row>
    <row r="996" ht="1.5" customHeight="1">
      <c r="A996" s="4" t="str">
        <f>IFERROR(__xludf.DUMMYFUNCTION("""COMPUTED_VALUE"""),"12. Faye")</f>
        <v>12. Faye</v>
      </c>
      <c r="B996" s="4" t="str">
        <f>IFERROR(__xludf.DUMMYFUNCTION("""COMPUTED_VALUE"""),"12")</f>
        <v>12</v>
      </c>
      <c r="C996" s="5" t="str">
        <f>IFERROR(__xludf.DUMMYFUNCTION("""COMPUTED_VALUE"""),"https://drive.google.com/file/d/1d5gVc25ECOhnflJCs0r2iqxB7UwBn6E6/view?usp=drivesdk")</f>
        <v>https://drive.google.com/file/d/1d5gVc25ECOhnflJCs0r2iqxB7UwBn6E6/view?usp=drivesdk</v>
      </c>
      <c r="D996" s="12"/>
      <c r="E996" s="11">
        <v>1052.0</v>
      </c>
      <c r="F996" s="2"/>
    </row>
    <row r="997" ht="1.5" customHeight="1">
      <c r="A997" s="4" t="str">
        <f>IFERROR(__xludf.DUMMYFUNCTION("""COMPUTED_VALUE"""),"12. Faye, 38. Winston, 45. Boots")</f>
        <v>12. Faye, 38. Winston, 45. Boots</v>
      </c>
      <c r="B997" s="4" t="str">
        <f>IFERROR(__xludf.DUMMYFUNCTION("""COMPUTED_VALUE"""),"12, 38, 45")</f>
        <v>12, 38, 45</v>
      </c>
      <c r="C997" s="5" t="str">
        <f>IFERROR(__xludf.DUMMYFUNCTION("""COMPUTED_VALUE"""),"https://drive.google.com/file/d/1NxXmfCfGqbVU9Lq9HTFLOCmpYKKBcshj/view?usp=drivesdk")</f>
        <v>https://drive.google.com/file/d/1NxXmfCfGqbVU9Lq9HTFLOCmpYKKBcshj/view?usp=drivesdk</v>
      </c>
      <c r="D997" s="12"/>
      <c r="E997" s="6">
        <v>1053.0</v>
      </c>
      <c r="F997" s="2"/>
    </row>
    <row r="998" ht="1.5" customHeight="1">
      <c r="A998" s="4" t="str">
        <f>IFERROR(__xludf.DUMMYFUNCTION("""COMPUTED_VALUE"""),"29. Ginger")</f>
        <v>29. Ginger</v>
      </c>
      <c r="B998" s="4" t="str">
        <f>IFERROR(__xludf.DUMMYFUNCTION("""COMPUTED_VALUE"""),"29")</f>
        <v>29</v>
      </c>
      <c r="C998" s="5" t="str">
        <f>IFERROR(__xludf.DUMMYFUNCTION("""COMPUTED_VALUE"""),"https://drive.google.com/file/d/1VVcsJlXtVcmEl6XQC5eeqMMmtVOhHbXl/view?usp=drivesdk")</f>
        <v>https://drive.google.com/file/d/1VVcsJlXtVcmEl6XQC5eeqMMmtVOhHbXl/view?usp=drivesdk</v>
      </c>
      <c r="D998" s="12"/>
      <c r="E998" s="11">
        <v>1054.0</v>
      </c>
      <c r="F998" s="2"/>
    </row>
    <row r="999" ht="1.5" customHeight="1">
      <c r="A999" s="4" t="str">
        <f>IFERROR(__xludf.DUMMYFUNCTION("""COMPUTED_VALUE"""),"29. Ginger")</f>
        <v>29. Ginger</v>
      </c>
      <c r="B999" s="4" t="str">
        <f>IFERROR(__xludf.DUMMYFUNCTION("""COMPUTED_VALUE"""),"29")</f>
        <v>29</v>
      </c>
      <c r="C999" s="5" t="str">
        <f>IFERROR(__xludf.DUMMYFUNCTION("""COMPUTED_VALUE"""),"https://drive.google.com/file/d/1APuHJEs4R8D7uuBECTH7Ehc8IH8-Gwzg/view?usp=drivesdk")</f>
        <v>https://drive.google.com/file/d/1APuHJEs4R8D7uuBECTH7Ehc8IH8-Gwzg/view?usp=drivesdk</v>
      </c>
      <c r="D999" s="12"/>
      <c r="E999" s="6">
        <v>1055.0</v>
      </c>
      <c r="F999" s="2"/>
    </row>
    <row r="1000" ht="1.5" customHeight="1">
      <c r="A1000" s="4" t="str">
        <f>IFERROR(__xludf.DUMMYFUNCTION("""COMPUTED_VALUE"""),"45. Boots")</f>
        <v>45. Boots</v>
      </c>
      <c r="B1000" s="4" t="str">
        <f>IFERROR(__xludf.DUMMYFUNCTION("""COMPUTED_VALUE"""),"45")</f>
        <v>45</v>
      </c>
      <c r="C1000" s="5" t="str">
        <f>IFERROR(__xludf.DUMMYFUNCTION("""COMPUTED_VALUE"""),"https://drive.google.com/file/d/1TJJM4OnECviehgc8WurqwvVjosA6ofsm/view?usp=drivesdk")</f>
        <v>https://drive.google.com/file/d/1TJJM4OnECviehgc8WurqwvVjosA6ofsm/view?usp=drivesdk</v>
      </c>
      <c r="D1000" s="12"/>
      <c r="E1000" s="6">
        <v>1056.0</v>
      </c>
      <c r="F1000" s="2"/>
    </row>
    <row r="1001" ht="1.5" customHeight="1">
      <c r="A1001" s="4" t="str">
        <f>IFERROR(__xludf.DUMMYFUNCTION("""COMPUTED_VALUE"""),"12. Faye, 38. Winston, 45. Boots")</f>
        <v>12. Faye, 38. Winston, 45. Boots</v>
      </c>
      <c r="B1001" s="4" t="str">
        <f>IFERROR(__xludf.DUMMYFUNCTION("""COMPUTED_VALUE"""),"12, 38, 45")</f>
        <v>12, 38, 45</v>
      </c>
      <c r="C1001" s="5" t="str">
        <f>IFERROR(__xludf.DUMMYFUNCTION("""COMPUTED_VALUE"""),"https://drive.google.com/file/d/1TXxa0bhQ4Ty5diPp4Ogya5wHPXTzKmf8/view?usp=drivesdk")</f>
        <v>https://drive.google.com/file/d/1TXxa0bhQ4Ty5diPp4Ogya5wHPXTzKmf8/view?usp=drivesdk</v>
      </c>
      <c r="D1001" s="12"/>
      <c r="E1001" s="11">
        <v>1058.0</v>
      </c>
      <c r="F1001" s="2"/>
    </row>
    <row r="1002" ht="1.5" customHeight="1">
      <c r="A1002" s="4" t="str">
        <f>IFERROR(__xludf.DUMMYFUNCTION("""COMPUTED_VALUE"""),"12. Faye")</f>
        <v>12. Faye</v>
      </c>
      <c r="B1002" s="4" t="str">
        <f>IFERROR(__xludf.DUMMYFUNCTION("""COMPUTED_VALUE"""),"12")</f>
        <v>12</v>
      </c>
      <c r="C1002" s="5" t="str">
        <f>IFERROR(__xludf.DUMMYFUNCTION("""COMPUTED_VALUE"""),"https://drive.google.com/file/d/1K0rrpT1cURWK8_qRzDBPhj2erpDvDI89/view?usp=drivesdk")</f>
        <v>https://drive.google.com/file/d/1K0rrpT1cURWK8_qRzDBPhj2erpDvDI89/view?usp=drivesdk</v>
      </c>
      <c r="D1002" s="12"/>
      <c r="E1002" s="6">
        <v>1059.0</v>
      </c>
      <c r="F1002" s="2"/>
    </row>
    <row r="1003" ht="1.5" customHeight="1">
      <c r="A1003" s="4" t="str">
        <f>IFERROR(__xludf.DUMMYFUNCTION("""COMPUTED_VALUE"""),"12. Faye")</f>
        <v>12. Faye</v>
      </c>
      <c r="B1003" s="4" t="str">
        <f>IFERROR(__xludf.DUMMYFUNCTION("""COMPUTED_VALUE"""),"12")</f>
        <v>12</v>
      </c>
      <c r="C1003" s="5" t="str">
        <f>IFERROR(__xludf.DUMMYFUNCTION("""COMPUTED_VALUE"""),"https://drive.google.com/file/d/15Fhui2zZ08W_qw5bq5BfffukK1nKEiQv/view?usp=drivesdk")</f>
        <v>https://drive.google.com/file/d/15Fhui2zZ08W_qw5bq5BfffukK1nKEiQv/view?usp=drivesdk</v>
      </c>
      <c r="D1003" s="12"/>
      <c r="E1003" s="11">
        <v>1060.0</v>
      </c>
      <c r="F1003" s="2"/>
    </row>
    <row r="1004" ht="1.5" customHeight="1">
      <c r="A1004" s="4" t="str">
        <f>IFERROR(__xludf.DUMMYFUNCTION("""COMPUTED_VALUE"""),"39. Radar, 38. Winston, 45. Boots")</f>
        <v>39. Radar, 38. Winston, 45. Boots</v>
      </c>
      <c r="B1004" s="4" t="str">
        <f>IFERROR(__xludf.DUMMYFUNCTION("""COMPUTED_VALUE"""),"39, 38, 45")</f>
        <v>39, 38, 45</v>
      </c>
      <c r="C1004" s="5" t="str">
        <f>IFERROR(__xludf.DUMMYFUNCTION("""COMPUTED_VALUE"""),"https://drive.google.com/file/d/1OgjxyY7Xbg3eQM0KN9wbPKRFUB0KOtzj/view?usp=drivesdk")</f>
        <v>https://drive.google.com/file/d/1OgjxyY7Xbg3eQM0KN9wbPKRFUB0KOtzj/view?usp=drivesdk</v>
      </c>
      <c r="D1004" s="12"/>
      <c r="E1004" s="6">
        <v>1061.0</v>
      </c>
      <c r="F1004" s="2"/>
    </row>
    <row r="1005" ht="1.5" customHeight="1">
      <c r="A1005" s="4" t="str">
        <f>IFERROR(__xludf.DUMMYFUNCTION("""COMPUTED_VALUE"""),"45. Boots, 39. Radar, 38. Winston")</f>
        <v>45. Boots, 39. Radar, 38. Winston</v>
      </c>
      <c r="B1005" s="4" t="str">
        <f>IFERROR(__xludf.DUMMYFUNCTION("""COMPUTED_VALUE"""),"45, 39, 38")</f>
        <v>45, 39, 38</v>
      </c>
      <c r="C1005" s="5" t="str">
        <f>IFERROR(__xludf.DUMMYFUNCTION("""COMPUTED_VALUE"""),"https://drive.google.com/file/d/1r-IcyZSybnnvwJGYzabtmCwu8Jv3A70x/view?usp=drivesdk")</f>
        <v>https://drive.google.com/file/d/1r-IcyZSybnnvwJGYzabtmCwu8Jv3A70x/view?usp=drivesdk</v>
      </c>
      <c r="D1005" s="12"/>
      <c r="E1005" s="6">
        <v>1062.0</v>
      </c>
      <c r="F1005" s="2"/>
    </row>
    <row r="1006" ht="1.5" customHeight="1">
      <c r="A1006" s="4" t="str">
        <f>IFERROR(__xludf.DUMMYFUNCTION("""COMPUTED_VALUE"""),"2. Twix")</f>
        <v>2. Twix</v>
      </c>
      <c r="B1006" s="4" t="str">
        <f>IFERROR(__xludf.DUMMYFUNCTION("""COMPUTED_VALUE"""),"2")</f>
        <v>2</v>
      </c>
      <c r="C1006" s="5" t="str">
        <f>IFERROR(__xludf.DUMMYFUNCTION("""COMPUTED_VALUE"""),"https://drive.google.com/file/d/1r6Jq7wwb7ArJU4cipr7TEq24OXdpACCK/view?usp=drivesdk")</f>
        <v>https://drive.google.com/file/d/1r6Jq7wwb7ArJU4cipr7TEq24OXdpACCK/view?usp=drivesdk</v>
      </c>
      <c r="D1006" s="12"/>
      <c r="E1006" s="6">
        <v>1063.0</v>
      </c>
      <c r="F1006" s="2"/>
    </row>
    <row r="1007" ht="1.5" customHeight="1">
      <c r="A1007" s="4" t="str">
        <f>IFERROR(__xludf.DUMMYFUNCTION("""COMPUTED_VALUE"""),"2. Twix")</f>
        <v>2. Twix</v>
      </c>
      <c r="B1007" s="4" t="str">
        <f>IFERROR(__xludf.DUMMYFUNCTION("""COMPUTED_VALUE"""),"2")</f>
        <v>2</v>
      </c>
      <c r="C1007" s="5" t="str">
        <f>IFERROR(__xludf.DUMMYFUNCTION("""COMPUTED_VALUE"""),"https://drive.google.com/file/d/1cyDs2-bgHJdqavGATCTItPPN-kB5L3e8/view?usp=drivesdk")</f>
        <v>https://drive.google.com/file/d/1cyDs2-bgHJdqavGATCTItPPN-kB5L3e8/view?usp=drivesdk</v>
      </c>
      <c r="D1007" s="12"/>
      <c r="E1007" s="11">
        <v>1064.0</v>
      </c>
      <c r="F1007" s="2"/>
    </row>
    <row r="1008" ht="1.5" customHeight="1">
      <c r="A1008" s="4" t="str">
        <f>IFERROR(__xludf.DUMMYFUNCTION("""COMPUTED_VALUE"""),"2. Twix")</f>
        <v>2. Twix</v>
      </c>
      <c r="B1008" s="4" t="str">
        <f>IFERROR(__xludf.DUMMYFUNCTION("""COMPUTED_VALUE"""),"2")</f>
        <v>2</v>
      </c>
      <c r="C1008" s="5" t="str">
        <f>IFERROR(__xludf.DUMMYFUNCTION("""COMPUTED_VALUE"""),"https://drive.google.com/file/d/1GuoI1gxs_R69ZX-g3FkDEXWUoPOv32UR/view?usp=drivesdk")</f>
        <v>https://drive.google.com/file/d/1GuoI1gxs_R69ZX-g3FkDEXWUoPOv32UR/view?usp=drivesdk</v>
      </c>
      <c r="D1008" s="12"/>
      <c r="E1008" s="6">
        <v>1065.0</v>
      </c>
      <c r="F1008" s="2"/>
    </row>
    <row r="1009" ht="1.5" customHeight="1">
      <c r="A1009" s="4" t="str">
        <f>IFERROR(__xludf.DUMMYFUNCTION("""COMPUTED_VALUE"""),"2. Twix")</f>
        <v>2. Twix</v>
      </c>
      <c r="B1009" s="4" t="str">
        <f>IFERROR(__xludf.DUMMYFUNCTION("""COMPUTED_VALUE"""),"2")</f>
        <v>2</v>
      </c>
      <c r="C1009" s="5" t="str">
        <f>IFERROR(__xludf.DUMMYFUNCTION("""COMPUTED_VALUE"""),"https://drive.google.com/file/d/1z0jtncYgNa9SHeratMzi6D_iLiopo7An/view?usp=drivesdk")</f>
        <v>https://drive.google.com/file/d/1z0jtncYgNa9SHeratMzi6D_iLiopo7An/view?usp=drivesdk</v>
      </c>
      <c r="D1009" s="12"/>
      <c r="E1009" s="6">
        <v>1066.0</v>
      </c>
      <c r="F1009" s="2"/>
    </row>
    <row r="1010" ht="1.5" customHeight="1">
      <c r="A1010" s="4" t="str">
        <f>IFERROR(__xludf.DUMMYFUNCTION("""COMPUTED_VALUE"""),"1. Microwave")</f>
        <v>1. Microwave</v>
      </c>
      <c r="B1010" s="4" t="str">
        <f>IFERROR(__xludf.DUMMYFUNCTION("""COMPUTED_VALUE"""),"1")</f>
        <v>1</v>
      </c>
      <c r="C1010" s="5" t="str">
        <f>IFERROR(__xludf.DUMMYFUNCTION("""COMPUTED_VALUE"""),"https://drive.google.com/file/d/1EpEcrTnCWhEdSUTgkAr3Tyc5FGlmFZ-I/view?usp=drivesdk")</f>
        <v>https://drive.google.com/file/d/1EpEcrTnCWhEdSUTgkAr3Tyc5FGlmFZ-I/view?usp=drivesdk</v>
      </c>
      <c r="D1010" s="12"/>
      <c r="E1010" s="6">
        <v>1067.0</v>
      </c>
      <c r="F1010" s="2"/>
    </row>
    <row r="1011" ht="1.5" customHeight="1">
      <c r="A1011" s="4" t="str">
        <f>IFERROR(__xludf.DUMMYFUNCTION("""COMPUTED_VALUE"""),"1. Microwave")</f>
        <v>1. Microwave</v>
      </c>
      <c r="B1011" s="4" t="str">
        <f>IFERROR(__xludf.DUMMYFUNCTION("""COMPUTED_VALUE"""),"1")</f>
        <v>1</v>
      </c>
      <c r="C1011" s="5" t="str">
        <f>IFERROR(__xludf.DUMMYFUNCTION("""COMPUTED_VALUE"""),"https://drive.google.com/file/d/1MxXhtF5DnpKV9mePMlvE3ICzVaLZtv-S/view?usp=drivesdk")</f>
        <v>https://drive.google.com/file/d/1MxXhtF5DnpKV9mePMlvE3ICzVaLZtv-S/view?usp=drivesdk</v>
      </c>
      <c r="D1011" s="12"/>
      <c r="E1011" s="11">
        <v>1068.0</v>
      </c>
      <c r="F1011" s="2"/>
    </row>
    <row r="1012" ht="1.5" customHeight="1">
      <c r="A1012" s="4" t="str">
        <f>IFERROR(__xludf.DUMMYFUNCTION("""COMPUTED_VALUE"""),"2. Twix")</f>
        <v>2. Twix</v>
      </c>
      <c r="B1012" s="4" t="str">
        <f>IFERROR(__xludf.DUMMYFUNCTION("""COMPUTED_VALUE"""),"2")</f>
        <v>2</v>
      </c>
      <c r="C1012" s="5" t="str">
        <f>IFERROR(__xludf.DUMMYFUNCTION("""COMPUTED_VALUE"""),"https://drive.google.com/file/d/14tDKvrZYS9Ab_zmPSU61FeftomFEGLOe/view?usp=drivesdk")</f>
        <v>https://drive.google.com/file/d/14tDKvrZYS9Ab_zmPSU61FeftomFEGLOe/view?usp=drivesdk</v>
      </c>
      <c r="D1012" s="12"/>
      <c r="E1012" s="6">
        <v>1069.0</v>
      </c>
      <c r="F1012" s="2"/>
    </row>
    <row r="1013" ht="1.5" customHeight="1">
      <c r="A1013" s="4" t="str">
        <f>IFERROR(__xludf.DUMMYFUNCTION("""COMPUTED_VALUE"""),"2. Twix")</f>
        <v>2. Twix</v>
      </c>
      <c r="B1013" s="4" t="str">
        <f>IFERROR(__xludf.DUMMYFUNCTION("""COMPUTED_VALUE"""),"2")</f>
        <v>2</v>
      </c>
      <c r="C1013" s="5" t="str">
        <f>IFERROR(__xludf.DUMMYFUNCTION("""COMPUTED_VALUE"""),"https://drive.google.com/file/d/133SFJzh2A3YVMlmHKyKrSOvhTkGm9Q6O/view?usp=drivesdk")</f>
        <v>https://drive.google.com/file/d/133SFJzh2A3YVMlmHKyKrSOvhTkGm9Q6O/view?usp=drivesdk</v>
      </c>
      <c r="D1013" s="12"/>
      <c r="E1013" s="6">
        <v>1070.0</v>
      </c>
      <c r="F1013" s="2"/>
    </row>
    <row r="1014" ht="1.5" customHeight="1">
      <c r="A1014" s="4" t="str">
        <f>IFERROR(__xludf.DUMMYFUNCTION("""COMPUTED_VALUE"""),"2. Twix")</f>
        <v>2. Twix</v>
      </c>
      <c r="B1014" s="4" t="str">
        <f>IFERROR(__xludf.DUMMYFUNCTION("""COMPUTED_VALUE"""),"2")</f>
        <v>2</v>
      </c>
      <c r="C1014" s="5" t="str">
        <f>IFERROR(__xludf.DUMMYFUNCTION("""COMPUTED_VALUE"""),"https://drive.google.com/file/d/1iE6o0B_KO241mLM2huZemDXriJU0pkh5/view?usp=drivesdk")</f>
        <v>https://drive.google.com/file/d/1iE6o0B_KO241mLM2huZemDXriJU0pkh5/view?usp=drivesdk</v>
      </c>
      <c r="D1014" s="12"/>
      <c r="E1014" s="6">
        <v>1071.0</v>
      </c>
      <c r="F1014" s="2"/>
    </row>
    <row r="1015" ht="1.5" customHeight="1">
      <c r="A1015" s="4" t="str">
        <f>IFERROR(__xludf.DUMMYFUNCTION("""COMPUTED_VALUE"""),"1. Microwave")</f>
        <v>1. Microwave</v>
      </c>
      <c r="B1015" s="4" t="str">
        <f>IFERROR(__xludf.DUMMYFUNCTION("""COMPUTED_VALUE"""),"1")</f>
        <v>1</v>
      </c>
      <c r="C1015" s="5" t="str">
        <f>IFERROR(__xludf.DUMMYFUNCTION("""COMPUTED_VALUE"""),"https://drive.google.com/file/d/1mCT-TbSIMROfMDYasQwcigrBq7kkFy59/view?usp=drivesdk")</f>
        <v>https://drive.google.com/file/d/1mCT-TbSIMROfMDYasQwcigrBq7kkFy59/view?usp=drivesdk</v>
      </c>
      <c r="D1015" s="12"/>
      <c r="E1015" s="11">
        <v>1072.0</v>
      </c>
      <c r="F1015" s="2"/>
    </row>
    <row r="1016" ht="1.5" customHeight="1">
      <c r="A1016" s="4" t="str">
        <f>IFERROR(__xludf.DUMMYFUNCTION("""COMPUTED_VALUE"""),"21. Paquini")</f>
        <v>21. Paquini</v>
      </c>
      <c r="B1016" s="4" t="str">
        <f>IFERROR(__xludf.DUMMYFUNCTION("""COMPUTED_VALUE"""),"21")</f>
        <v>21</v>
      </c>
      <c r="C1016" s="5" t="str">
        <f>IFERROR(__xludf.DUMMYFUNCTION("""COMPUTED_VALUE"""),"https://drive.google.com/file/d/1gLfEdW_oPt_B4GGhf_z4Kt4vsN4pz5T8/view?usp=drivesdk")</f>
        <v>https://drive.google.com/file/d/1gLfEdW_oPt_B4GGhf_z4Kt4vsN4pz5T8/view?usp=drivesdk</v>
      </c>
      <c r="D1016" s="12"/>
      <c r="E1016" s="6">
        <v>1073.0</v>
      </c>
      <c r="F1016" s="2"/>
    </row>
    <row r="1017" ht="1.5" customHeight="1">
      <c r="A1017" s="4" t="str">
        <f>IFERROR(__xludf.DUMMYFUNCTION("""COMPUTED_VALUE"""),"17. Bobbie")</f>
        <v>17. Bobbie</v>
      </c>
      <c r="B1017" s="4" t="str">
        <f>IFERROR(__xludf.DUMMYFUNCTION("""COMPUTED_VALUE"""),"17")</f>
        <v>17</v>
      </c>
      <c r="C1017" s="5" t="str">
        <f>IFERROR(__xludf.DUMMYFUNCTION("""COMPUTED_VALUE"""),"https://drive.google.com/file/d/1ZVYjNmyA0nhe-AOQgXz9i893htR1iW7O/view?usp=drivesdk")</f>
        <v>https://drive.google.com/file/d/1ZVYjNmyA0nhe-AOQgXz9i893htR1iW7O/view?usp=drivesdk</v>
      </c>
      <c r="D1017" s="12"/>
      <c r="E1017" s="6">
        <v>1074.0</v>
      </c>
      <c r="F1017" s="2"/>
    </row>
    <row r="1018" ht="1.5" customHeight="1">
      <c r="A1018" s="4" t="str">
        <f>IFERROR(__xludf.DUMMYFUNCTION("""COMPUTED_VALUE"""),"17. Bobbie")</f>
        <v>17. Bobbie</v>
      </c>
      <c r="B1018" s="4" t="str">
        <f>IFERROR(__xludf.DUMMYFUNCTION("""COMPUTED_VALUE"""),"17")</f>
        <v>17</v>
      </c>
      <c r="C1018" s="5" t="str">
        <f>IFERROR(__xludf.DUMMYFUNCTION("""COMPUTED_VALUE"""),"https://drive.google.com/file/d/1cAGjtPto3BQQyxzqyo_BoA8rAZkDcDWT/view?usp=drivesdk")</f>
        <v>https://drive.google.com/file/d/1cAGjtPto3BQQyxzqyo_BoA8rAZkDcDWT/view?usp=drivesdk</v>
      </c>
      <c r="D1018" s="12"/>
      <c r="E1018" s="6">
        <v>1075.0</v>
      </c>
      <c r="F1018" s="2"/>
    </row>
    <row r="1019" ht="1.5" customHeight="1">
      <c r="A1019" s="4" t="str">
        <f>IFERROR(__xludf.DUMMYFUNCTION("""COMPUTED_VALUE"""),"1. Microwave")</f>
        <v>1. Microwave</v>
      </c>
      <c r="B1019" s="4" t="str">
        <f>IFERROR(__xludf.DUMMYFUNCTION("""COMPUTED_VALUE"""),"1")</f>
        <v>1</v>
      </c>
      <c r="C1019" s="5" t="str">
        <f>IFERROR(__xludf.DUMMYFUNCTION("""COMPUTED_VALUE"""),"https://drive.google.com/file/d/1eLLOeVh5FEst98g_oQ1IjJwIazuqxMiW/view?usp=drivesdk")</f>
        <v>https://drive.google.com/file/d/1eLLOeVh5FEst98g_oQ1IjJwIazuqxMiW/view?usp=drivesdk</v>
      </c>
      <c r="D1019" s="12"/>
      <c r="E1019" s="11">
        <v>1076.0</v>
      </c>
      <c r="F1019" s="2"/>
    </row>
    <row r="1020" ht="1.5" customHeight="1">
      <c r="A1020" s="4" t="str">
        <f>IFERROR(__xludf.DUMMYFUNCTION("""COMPUTED_VALUE"""),"1. Microwave")</f>
        <v>1. Microwave</v>
      </c>
      <c r="B1020" s="4" t="str">
        <f>IFERROR(__xludf.DUMMYFUNCTION("""COMPUTED_VALUE"""),"1")</f>
        <v>1</v>
      </c>
      <c r="C1020" s="5" t="str">
        <f>IFERROR(__xludf.DUMMYFUNCTION("""COMPUTED_VALUE"""),"https://drive.google.com/file/d/1lycFYYWCVJS98byj8XvZ8XcGw0gbw2z1/view?usp=drivesdk")</f>
        <v>https://drive.google.com/file/d/1lycFYYWCVJS98byj8XvZ8XcGw0gbw2z1/view?usp=drivesdk</v>
      </c>
      <c r="D1020" s="12"/>
      <c r="E1020" s="6">
        <v>1077.0</v>
      </c>
      <c r="F1020" s="2"/>
    </row>
    <row r="1021" ht="1.5" customHeight="1">
      <c r="A1021" s="4" t="str">
        <f>IFERROR(__xludf.DUMMYFUNCTION("""COMPUTED_VALUE"""),"1. Microwave")</f>
        <v>1. Microwave</v>
      </c>
      <c r="B1021" s="4" t="str">
        <f>IFERROR(__xludf.DUMMYFUNCTION("""COMPUTED_VALUE"""),"1")</f>
        <v>1</v>
      </c>
      <c r="C1021" s="5" t="str">
        <f>IFERROR(__xludf.DUMMYFUNCTION("""COMPUTED_VALUE"""),"https://drive.google.com/file/d/13UWwDwXeCJk99607e9cAeSclNghP07qE/view?usp=drivesdk")</f>
        <v>https://drive.google.com/file/d/13UWwDwXeCJk99607e9cAeSclNghP07qE/view?usp=drivesdk</v>
      </c>
      <c r="D1021" s="12"/>
      <c r="E1021" s="6">
        <v>1078.0</v>
      </c>
      <c r="F1021" s="2"/>
    </row>
    <row r="1022" ht="1.5" customHeight="1">
      <c r="A1022" s="4" t="str">
        <f>IFERROR(__xludf.DUMMYFUNCTION("""COMPUTED_VALUE"""),"1. Microwave")</f>
        <v>1. Microwave</v>
      </c>
      <c r="B1022" s="4" t="str">
        <f>IFERROR(__xludf.DUMMYFUNCTION("""COMPUTED_VALUE"""),"1")</f>
        <v>1</v>
      </c>
      <c r="C1022" s="5" t="str">
        <f>IFERROR(__xludf.DUMMYFUNCTION("""COMPUTED_VALUE"""),"https://drive.google.com/file/d/13NEHy-Bp_Oz8USMWIoWIG4yXIm_AEd-U/view?usp=drivesdk")</f>
        <v>https://drive.google.com/file/d/13NEHy-Bp_Oz8USMWIoWIG4yXIm_AEd-U/view?usp=drivesdk</v>
      </c>
      <c r="D1022" s="12"/>
      <c r="E1022" s="6">
        <v>1079.0</v>
      </c>
      <c r="F1022" s="2"/>
    </row>
    <row r="1023" ht="1.5" customHeight="1">
      <c r="A1023" s="4" t="str">
        <f>IFERROR(__xludf.DUMMYFUNCTION("""COMPUTED_VALUE"""),"2. Twix")</f>
        <v>2. Twix</v>
      </c>
      <c r="B1023" s="4" t="str">
        <f>IFERROR(__xludf.DUMMYFUNCTION("""COMPUTED_VALUE"""),"2")</f>
        <v>2</v>
      </c>
      <c r="C1023" s="5" t="str">
        <f>IFERROR(__xludf.DUMMYFUNCTION("""COMPUTED_VALUE"""),"https://drive.google.com/file/d/150JWMNWR1LRdeYuZ42s9uaiSJhOcOcwo/view?usp=drivesdk")</f>
        <v>https://drive.google.com/file/d/150JWMNWR1LRdeYuZ42s9uaiSJhOcOcwo/view?usp=drivesdk</v>
      </c>
      <c r="D1023" s="12"/>
      <c r="E1023" s="11">
        <v>1080.0</v>
      </c>
      <c r="F1023" s="2"/>
    </row>
    <row r="1024" ht="1.5" customHeight="1">
      <c r="A1024" s="4" t="str">
        <f>IFERROR(__xludf.DUMMYFUNCTION("""COMPUTED_VALUE"""),"2. Twix")</f>
        <v>2. Twix</v>
      </c>
      <c r="B1024" s="4" t="str">
        <f>IFERROR(__xludf.DUMMYFUNCTION("""COMPUTED_VALUE"""),"2")</f>
        <v>2</v>
      </c>
      <c r="C1024" s="5" t="str">
        <f>IFERROR(__xludf.DUMMYFUNCTION("""COMPUTED_VALUE"""),"https://drive.google.com/file/d/1Kb5YohCIAu4NKQ2bL8EMkQ57BqwSbflc/view?usp=drivesdk")</f>
        <v>https://drive.google.com/file/d/1Kb5YohCIAu4NKQ2bL8EMkQ57BqwSbflc/view?usp=drivesdk</v>
      </c>
      <c r="D1024" s="12"/>
      <c r="E1024" s="6">
        <v>1081.0</v>
      </c>
      <c r="F1024" s="2"/>
    </row>
    <row r="1025" ht="1.5" customHeight="1">
      <c r="A1025" s="4" t="str">
        <f>IFERROR(__xludf.DUMMYFUNCTION("""COMPUTED_VALUE"""),"2. Twix")</f>
        <v>2. Twix</v>
      </c>
      <c r="B1025" s="4" t="str">
        <f>IFERROR(__xludf.DUMMYFUNCTION("""COMPUTED_VALUE"""),"2")</f>
        <v>2</v>
      </c>
      <c r="C1025" s="5" t="str">
        <f>IFERROR(__xludf.DUMMYFUNCTION("""COMPUTED_VALUE"""),"https://drive.google.com/file/d/1VwYUhqCy6lpiBZEPABa2RqdsLpofc3Ph/view?usp=drivesdk")</f>
        <v>https://drive.google.com/file/d/1VwYUhqCy6lpiBZEPABa2RqdsLpofc3Ph/view?usp=drivesdk</v>
      </c>
      <c r="D1025" s="12"/>
      <c r="E1025" s="6">
        <v>1082.0</v>
      </c>
      <c r="F1025" s="2"/>
    </row>
    <row r="1026" ht="1.5" customHeight="1">
      <c r="A1026" s="4" t="str">
        <f>IFERROR(__xludf.DUMMYFUNCTION("""COMPUTED_VALUE"""),"2. Twix")</f>
        <v>2. Twix</v>
      </c>
      <c r="B1026" s="4" t="str">
        <f>IFERROR(__xludf.DUMMYFUNCTION("""COMPUTED_VALUE"""),"2")</f>
        <v>2</v>
      </c>
      <c r="C1026" s="5" t="str">
        <f>IFERROR(__xludf.DUMMYFUNCTION("""COMPUTED_VALUE"""),"https://drive.google.com/file/d/1AbQhEEIDRe8lY4F_9lkv7jXDxwV1vo3h/view?usp=drivesdk")</f>
        <v>https://drive.google.com/file/d/1AbQhEEIDRe8lY4F_9lkv7jXDxwV1vo3h/view?usp=drivesdk</v>
      </c>
      <c r="D1026" s="12"/>
      <c r="E1026" s="6">
        <v>1083.0</v>
      </c>
      <c r="F1026" s="2"/>
    </row>
    <row r="1027" ht="1.5" customHeight="1">
      <c r="A1027" s="4" t="str">
        <f>IFERROR(__xludf.DUMMYFUNCTION("""COMPUTED_VALUE"""),"2. Twix")</f>
        <v>2. Twix</v>
      </c>
      <c r="B1027" s="4" t="str">
        <f>IFERROR(__xludf.DUMMYFUNCTION("""COMPUTED_VALUE"""),"2")</f>
        <v>2</v>
      </c>
      <c r="C1027" s="5" t="str">
        <f>IFERROR(__xludf.DUMMYFUNCTION("""COMPUTED_VALUE"""),"https://drive.google.com/file/d/17VocQLbMOzQXJFVOKTKa0LBnE4eOPOv0/view?usp=drivesdk")</f>
        <v>https://drive.google.com/file/d/17VocQLbMOzQXJFVOKTKa0LBnE4eOPOv0/view?usp=drivesdk</v>
      </c>
      <c r="D1027" s="12"/>
      <c r="E1027" s="11">
        <v>1084.0</v>
      </c>
      <c r="F1027" s="2"/>
    </row>
    <row r="1028" ht="1.5" customHeight="1">
      <c r="A1028" s="4" t="str">
        <f>IFERROR(__xludf.DUMMYFUNCTION("""COMPUTED_VALUE"""),"2. Twix")</f>
        <v>2. Twix</v>
      </c>
      <c r="B1028" s="4" t="str">
        <f>IFERROR(__xludf.DUMMYFUNCTION("""COMPUTED_VALUE"""),"2")</f>
        <v>2</v>
      </c>
      <c r="C1028" s="5" t="str">
        <f>IFERROR(__xludf.DUMMYFUNCTION("""COMPUTED_VALUE"""),"https://drive.google.com/file/d/1rBha1WjhVA2fmmw36oz1sCSzdisyL5UD/view?usp=drivesdk")</f>
        <v>https://drive.google.com/file/d/1rBha1WjhVA2fmmw36oz1sCSzdisyL5UD/view?usp=drivesdk</v>
      </c>
      <c r="D1028" s="12"/>
      <c r="E1028" s="6">
        <v>1085.0</v>
      </c>
      <c r="F1028" s="2"/>
    </row>
    <row r="1029" ht="1.5" customHeight="1">
      <c r="A1029" s="4" t="str">
        <f>IFERROR(__xludf.DUMMYFUNCTION("""COMPUTED_VALUE"""),"2. Twix")</f>
        <v>2. Twix</v>
      </c>
      <c r="B1029" s="4" t="str">
        <f>IFERROR(__xludf.DUMMYFUNCTION("""COMPUTED_VALUE"""),"2")</f>
        <v>2</v>
      </c>
      <c r="C1029" s="5" t="str">
        <f>IFERROR(__xludf.DUMMYFUNCTION("""COMPUTED_VALUE"""),"https://drive.google.com/file/d/1IQoM3z8x5RIVb08Q9-bpEoso2UgDaIuC/view?usp=drivesdk")</f>
        <v>https://drive.google.com/file/d/1IQoM3z8x5RIVb08Q9-bpEoso2UgDaIuC/view?usp=drivesdk</v>
      </c>
      <c r="D1029" s="12"/>
      <c r="E1029" s="6">
        <v>1086.0</v>
      </c>
      <c r="F1029" s="2"/>
    </row>
    <row r="1030" ht="1.5" customHeight="1">
      <c r="A1030" s="4" t="str">
        <f>IFERROR(__xludf.DUMMYFUNCTION("""COMPUTED_VALUE"""),"9. Melvin")</f>
        <v>9. Melvin</v>
      </c>
      <c r="B1030" s="4" t="str">
        <f>IFERROR(__xludf.DUMMYFUNCTION("""COMPUTED_VALUE"""),"9")</f>
        <v>9</v>
      </c>
      <c r="C1030" s="5" t="str">
        <f>IFERROR(__xludf.DUMMYFUNCTION("""COMPUTED_VALUE"""),"https://drive.google.com/file/d/1KAK4PKJeRjbagvi-PDV2CO3X_JimTiUi/view?usp=drivesdk")</f>
        <v>https://drive.google.com/file/d/1KAK4PKJeRjbagvi-PDV2CO3X_JimTiUi/view?usp=drivesdk</v>
      </c>
      <c r="D1030" s="12"/>
      <c r="E1030" s="6">
        <v>1087.0</v>
      </c>
      <c r="F1030" s="2"/>
    </row>
    <row r="1031" ht="1.5" customHeight="1">
      <c r="A1031" s="4" t="str">
        <f>IFERROR(__xludf.DUMMYFUNCTION("""COMPUTED_VALUE"""),"5. Eraser, 4. Eggs")</f>
        <v>5. Eraser, 4. Eggs</v>
      </c>
      <c r="B1031" s="4" t="str">
        <f>IFERROR(__xludf.DUMMYFUNCTION("""COMPUTED_VALUE"""),"5, 4")</f>
        <v>5, 4</v>
      </c>
      <c r="C1031" s="5" t="str">
        <f>IFERROR(__xludf.DUMMYFUNCTION("""COMPUTED_VALUE"""),"https://drive.google.com/file/d/1-9hXY06xs-DnxG36T-9wm842OvlGvSpE/view?usp=drivesdk")</f>
        <v>https://drive.google.com/file/d/1-9hXY06xs-DnxG36T-9wm842OvlGvSpE/view?usp=drivesdk</v>
      </c>
      <c r="D1031" s="12"/>
      <c r="E1031" s="11">
        <v>1088.0</v>
      </c>
      <c r="F1031" s="2"/>
    </row>
    <row r="1032" ht="1.5" customHeight="1">
      <c r="A1032" s="4" t="str">
        <f>IFERROR(__xludf.DUMMYFUNCTION("""COMPUTED_VALUE"""),"1. Microwave")</f>
        <v>1. Microwave</v>
      </c>
      <c r="B1032" s="4" t="str">
        <f>IFERROR(__xludf.DUMMYFUNCTION("""COMPUTED_VALUE"""),"1")</f>
        <v>1</v>
      </c>
      <c r="C1032" s="5" t="str">
        <f>IFERROR(__xludf.DUMMYFUNCTION("""COMPUTED_VALUE"""),"https://drive.google.com/file/d/1OrkhGF1xnPik-KH-kEM42HevkEXusCh7/view?usp=drivesdk")</f>
        <v>https://drive.google.com/file/d/1OrkhGF1xnPik-KH-kEM42HevkEXusCh7/view?usp=drivesdk</v>
      </c>
      <c r="D1032" s="12"/>
      <c r="E1032" s="6">
        <v>1089.0</v>
      </c>
      <c r="F1032" s="2"/>
    </row>
    <row r="1033" ht="1.5" customHeight="1">
      <c r="A1033" s="4" t="str">
        <f>IFERROR(__xludf.DUMMYFUNCTION("""COMPUTED_VALUE"""),"1. Microwave")</f>
        <v>1. Microwave</v>
      </c>
      <c r="B1033" s="4" t="str">
        <f>IFERROR(__xludf.DUMMYFUNCTION("""COMPUTED_VALUE"""),"1")</f>
        <v>1</v>
      </c>
      <c r="C1033" s="5" t="str">
        <f>IFERROR(__xludf.DUMMYFUNCTION("""COMPUTED_VALUE"""),"https://drive.google.com/file/d/1cVPerZvLVBo0VqpBvRGeDkZGMdmOxrkO/view?usp=drivesdk")</f>
        <v>https://drive.google.com/file/d/1cVPerZvLVBo0VqpBvRGeDkZGMdmOxrkO/view?usp=drivesdk</v>
      </c>
      <c r="D1033" s="12"/>
      <c r="E1033" s="6">
        <v>1090.0</v>
      </c>
      <c r="F1033" s="2"/>
    </row>
    <row r="1034" ht="1.5" customHeight="1">
      <c r="A1034" s="4" t="str">
        <f>IFERROR(__xludf.DUMMYFUNCTION("""COMPUTED_VALUE"""),"1. Microwave")</f>
        <v>1. Microwave</v>
      </c>
      <c r="B1034" s="4" t="str">
        <f>IFERROR(__xludf.DUMMYFUNCTION("""COMPUTED_VALUE"""),"1")</f>
        <v>1</v>
      </c>
      <c r="C1034" s="5" t="str">
        <f>IFERROR(__xludf.DUMMYFUNCTION("""COMPUTED_VALUE"""),"https://drive.google.com/file/d/14t5KOYjPdoN3aluLM8-JNbJlTDsRZrYx/view?usp=drivesdk")</f>
        <v>https://drive.google.com/file/d/14t5KOYjPdoN3aluLM8-JNbJlTDsRZrYx/view?usp=drivesdk</v>
      </c>
      <c r="D1034" s="12"/>
      <c r="E1034" s="6">
        <v>1091.0</v>
      </c>
      <c r="F1034" s="2"/>
    </row>
    <row r="1035" ht="1.5" customHeight="1">
      <c r="A1035" s="4" t="str">
        <f>IFERROR(__xludf.DUMMYFUNCTION("""COMPUTED_VALUE"""),"1. Microwave")</f>
        <v>1. Microwave</v>
      </c>
      <c r="B1035" s="4" t="str">
        <f>IFERROR(__xludf.DUMMYFUNCTION("""COMPUTED_VALUE"""),"1")</f>
        <v>1</v>
      </c>
      <c r="C1035" s="5" t="str">
        <f>IFERROR(__xludf.DUMMYFUNCTION("""COMPUTED_VALUE"""),"https://drive.google.com/file/d/1a3_PclQQZZ9yCJIqU7tOMwdfLtAIQlrX/view?usp=drivesdk")</f>
        <v>https://drive.google.com/file/d/1a3_PclQQZZ9yCJIqU7tOMwdfLtAIQlrX/view?usp=drivesdk</v>
      </c>
      <c r="D1035" s="12"/>
      <c r="E1035" s="11">
        <v>1092.0</v>
      </c>
      <c r="F1035" s="2"/>
    </row>
    <row r="1036" ht="1.5" customHeight="1">
      <c r="A1036" s="4" t="str">
        <f>IFERROR(__xludf.DUMMYFUNCTION("""COMPUTED_VALUE"""),"1. Microwave")</f>
        <v>1. Microwave</v>
      </c>
      <c r="B1036" s="4" t="str">
        <f>IFERROR(__xludf.DUMMYFUNCTION("""COMPUTED_VALUE"""),"1")</f>
        <v>1</v>
      </c>
      <c r="C1036" s="5" t="str">
        <f>IFERROR(__xludf.DUMMYFUNCTION("""COMPUTED_VALUE"""),"https://drive.google.com/file/d/1KPbl5Iw1Q5io3vHbmTdKArEv_ZTw22i9/view?usp=drivesdk")</f>
        <v>https://drive.google.com/file/d/1KPbl5Iw1Q5io3vHbmTdKArEv_ZTw22i9/view?usp=drivesdk</v>
      </c>
      <c r="D1036" s="12"/>
      <c r="E1036" s="6">
        <v>1093.0</v>
      </c>
      <c r="F1036" s="2"/>
    </row>
    <row r="1037" ht="1.5" customHeight="1">
      <c r="A1037" s="4" t="str">
        <f>IFERROR(__xludf.DUMMYFUNCTION("""COMPUTED_VALUE"""),"2. Twix")</f>
        <v>2. Twix</v>
      </c>
      <c r="B1037" s="4" t="str">
        <f>IFERROR(__xludf.DUMMYFUNCTION("""COMPUTED_VALUE"""),"2")</f>
        <v>2</v>
      </c>
      <c r="C1037" s="5" t="str">
        <f>IFERROR(__xludf.DUMMYFUNCTION("""COMPUTED_VALUE"""),"https://drive.google.com/file/d/1fUJk7QjGge9ElB-EIItpG9ZEXCjwOLsQ/view?usp=drivesdk")</f>
        <v>https://drive.google.com/file/d/1fUJk7QjGge9ElB-EIItpG9ZEXCjwOLsQ/view?usp=drivesdk</v>
      </c>
      <c r="D1037" s="12"/>
      <c r="E1037" s="6">
        <v>1094.0</v>
      </c>
      <c r="F1037" s="2"/>
    </row>
    <row r="1038" ht="1.5" customHeight="1">
      <c r="A1038" s="4" t="str">
        <f>IFERROR(__xludf.DUMMYFUNCTION("""COMPUTED_VALUE"""),"2. Twix")</f>
        <v>2. Twix</v>
      </c>
      <c r="B1038" s="4" t="str">
        <f>IFERROR(__xludf.DUMMYFUNCTION("""COMPUTED_VALUE"""),"2")</f>
        <v>2</v>
      </c>
      <c r="C1038" s="5" t="str">
        <f>IFERROR(__xludf.DUMMYFUNCTION("""COMPUTED_VALUE"""),"https://drive.google.com/file/d/17tmuMaxzvar--PnhWoCJ4llUWAtOUGRR/view?usp=drivesdk")</f>
        <v>https://drive.google.com/file/d/17tmuMaxzvar--PnhWoCJ4llUWAtOUGRR/view?usp=drivesdk</v>
      </c>
      <c r="D1038" s="12"/>
      <c r="E1038" s="6">
        <v>1095.0</v>
      </c>
      <c r="F1038" s="2"/>
    </row>
    <row r="1039" ht="1.5" customHeight="1">
      <c r="A1039" s="4" t="str">
        <f>IFERROR(__xludf.DUMMYFUNCTION("""COMPUTED_VALUE"""),"2. Twix")</f>
        <v>2. Twix</v>
      </c>
      <c r="B1039" s="4" t="str">
        <f>IFERROR(__xludf.DUMMYFUNCTION("""COMPUTED_VALUE"""),"2")</f>
        <v>2</v>
      </c>
      <c r="C1039" s="5" t="str">
        <f>IFERROR(__xludf.DUMMYFUNCTION("""COMPUTED_VALUE"""),"https://drive.google.com/file/d/1HDILSsRE2sZHiqzfmIzuACWSkZ5tVlJn/view?usp=drivesdk")</f>
        <v>https://drive.google.com/file/d/1HDILSsRE2sZHiqzfmIzuACWSkZ5tVlJn/view?usp=drivesdk</v>
      </c>
      <c r="D1039" s="12"/>
      <c r="E1039" s="11">
        <v>1096.0</v>
      </c>
      <c r="F1039" s="2"/>
    </row>
    <row r="1040" ht="1.5" customHeight="1">
      <c r="A1040" s="4" t="str">
        <f>IFERROR(__xludf.DUMMYFUNCTION("""COMPUTED_VALUE"""),"2. Twix")</f>
        <v>2. Twix</v>
      </c>
      <c r="B1040" s="4" t="str">
        <f>IFERROR(__xludf.DUMMYFUNCTION("""COMPUTED_VALUE"""),"2")</f>
        <v>2</v>
      </c>
      <c r="C1040" s="5" t="str">
        <f>IFERROR(__xludf.DUMMYFUNCTION("""COMPUTED_VALUE"""),"https://drive.google.com/file/d/1o0x5KRkzmXGGNXP9H1qRF48EAUrhbysB/view?usp=drivesdk")</f>
        <v>https://drive.google.com/file/d/1o0x5KRkzmXGGNXP9H1qRF48EAUrhbysB/view?usp=drivesdk</v>
      </c>
      <c r="D1040" s="12"/>
      <c r="E1040" s="6">
        <v>1097.0</v>
      </c>
      <c r="F1040" s="2"/>
    </row>
    <row r="1041" ht="1.5" customHeight="1">
      <c r="A1041" s="4" t="str">
        <f>IFERROR(__xludf.DUMMYFUNCTION("""COMPUTED_VALUE"""),"2. Twix")</f>
        <v>2. Twix</v>
      </c>
      <c r="B1041" s="4" t="str">
        <f>IFERROR(__xludf.DUMMYFUNCTION("""COMPUTED_VALUE"""),"2")</f>
        <v>2</v>
      </c>
      <c r="C1041" s="5" t="str">
        <f>IFERROR(__xludf.DUMMYFUNCTION("""COMPUTED_VALUE"""),"https://drive.google.com/file/d/1Uh763kFuUPOwgpsoE2Qknjamej4pvtuA/view?usp=drivesdk")</f>
        <v>https://drive.google.com/file/d/1Uh763kFuUPOwgpsoE2Qknjamej4pvtuA/view?usp=drivesdk</v>
      </c>
      <c r="D1041" s="12"/>
      <c r="E1041" s="6">
        <v>1098.0</v>
      </c>
      <c r="F1041" s="2"/>
    </row>
    <row r="1042" ht="1.5" customHeight="1">
      <c r="A1042" s="4" t="str">
        <f>IFERROR(__xludf.DUMMYFUNCTION("""COMPUTED_VALUE"""),"2. Twix")</f>
        <v>2. Twix</v>
      </c>
      <c r="B1042" s="4" t="str">
        <f>IFERROR(__xludf.DUMMYFUNCTION("""COMPUTED_VALUE"""),"2")</f>
        <v>2</v>
      </c>
      <c r="C1042" s="5" t="str">
        <f>IFERROR(__xludf.DUMMYFUNCTION("""COMPUTED_VALUE"""),"https://drive.google.com/file/d/1mYUH33P4otJArIE0-BoHHuxJGZTPnhuk/view?usp=drivesdk")</f>
        <v>https://drive.google.com/file/d/1mYUH33P4otJArIE0-BoHHuxJGZTPnhuk/view?usp=drivesdk</v>
      </c>
      <c r="D1042" s="12"/>
      <c r="E1042" s="6">
        <v>1099.0</v>
      </c>
      <c r="F1042" s="2"/>
    </row>
    <row r="1043" ht="1.5" customHeight="1">
      <c r="A1043" s="4" t="str">
        <f>IFERROR(__xludf.DUMMYFUNCTION("""COMPUTED_VALUE"""),"2. Twix")</f>
        <v>2. Twix</v>
      </c>
      <c r="B1043" s="4" t="str">
        <f>IFERROR(__xludf.DUMMYFUNCTION("""COMPUTED_VALUE"""),"2")</f>
        <v>2</v>
      </c>
      <c r="C1043" s="5" t="str">
        <f>IFERROR(__xludf.DUMMYFUNCTION("""COMPUTED_VALUE"""),"https://drive.google.com/file/d/1WKMdhoWT0HMh8lgj-48KGZ0KKizc78jM/view?usp=drivesdk")</f>
        <v>https://drive.google.com/file/d/1WKMdhoWT0HMh8lgj-48KGZ0KKizc78jM/view?usp=drivesdk</v>
      </c>
      <c r="D1043" s="12"/>
      <c r="E1043" s="11">
        <v>1100.0</v>
      </c>
      <c r="F1043" s="2"/>
    </row>
    <row r="1044" ht="1.5" customHeight="1">
      <c r="A1044" s="4" t="str">
        <f>IFERROR(__xludf.DUMMYFUNCTION("""COMPUTED_VALUE"""),"2. Twix")</f>
        <v>2. Twix</v>
      </c>
      <c r="B1044" s="4" t="str">
        <f>IFERROR(__xludf.DUMMYFUNCTION("""COMPUTED_VALUE"""),"2")</f>
        <v>2</v>
      </c>
      <c r="C1044" s="5" t="str">
        <f>IFERROR(__xludf.DUMMYFUNCTION("""COMPUTED_VALUE"""),"https://drive.google.com/file/d/1LJ-3eU3Y7KHHYoeC90JqFXrVLNOHuBMB/view?usp=drivesdk")</f>
        <v>https://drive.google.com/file/d/1LJ-3eU3Y7KHHYoeC90JqFXrVLNOHuBMB/view?usp=drivesdk</v>
      </c>
      <c r="D1044" s="12"/>
      <c r="E1044" s="6">
        <v>1101.0</v>
      </c>
      <c r="F1044" s="2"/>
    </row>
    <row r="1045" ht="1.5" customHeight="1">
      <c r="A1045" s="4" t="str">
        <f>IFERROR(__xludf.DUMMYFUNCTION("""COMPUTED_VALUE"""),"0. NotACat")</f>
        <v>0. NotACat</v>
      </c>
      <c r="B1045" s="4" t="str">
        <f>IFERROR(__xludf.DUMMYFUNCTION("""COMPUTED_VALUE"""),"0")</f>
        <v>0</v>
      </c>
      <c r="C1045" s="5" t="str">
        <f>IFERROR(__xludf.DUMMYFUNCTION("""COMPUTED_VALUE"""),"https://drive.google.com/file/d/108W9FuFgWgSkMFkUnD00qKo1rILY6q63/view?usp=drivesdk")</f>
        <v>https://drive.google.com/file/d/108W9FuFgWgSkMFkUnD00qKo1rILY6q63/view?usp=drivesdk</v>
      </c>
      <c r="D1045" s="12"/>
      <c r="E1045" s="6">
        <v>1102.0</v>
      </c>
      <c r="F1045" s="2"/>
    </row>
    <row r="1046" ht="1.5" customHeight="1">
      <c r="A1046" s="4" t="str">
        <f>IFERROR(__xludf.DUMMYFUNCTION("""COMPUTED_VALUE"""),"5. Eraser, 4. Eggs")</f>
        <v>5. Eraser, 4. Eggs</v>
      </c>
      <c r="B1046" s="4" t="str">
        <f>IFERROR(__xludf.DUMMYFUNCTION("""COMPUTED_VALUE"""),"5, 4")</f>
        <v>5, 4</v>
      </c>
      <c r="C1046" s="5" t="str">
        <f>IFERROR(__xludf.DUMMYFUNCTION("""COMPUTED_VALUE"""),"https://drive.google.com/file/d/1KsUtUvNszjBK1wHCCSC-SoevLfpKwBsm/view?usp=drivesdk")</f>
        <v>https://drive.google.com/file/d/1KsUtUvNszjBK1wHCCSC-SoevLfpKwBsm/view?usp=drivesdk</v>
      </c>
      <c r="D1046" s="12"/>
      <c r="E1046" s="6">
        <v>1103.0</v>
      </c>
      <c r="F1046" s="2"/>
    </row>
    <row r="1047" ht="1.5" customHeight="1">
      <c r="A1047" s="4" t="str">
        <f>IFERROR(__xludf.DUMMYFUNCTION("""COMPUTED_VALUE"""),"5. Eraser, 4. Eggs")</f>
        <v>5. Eraser, 4. Eggs</v>
      </c>
      <c r="B1047" s="4" t="str">
        <f>IFERROR(__xludf.DUMMYFUNCTION("""COMPUTED_VALUE"""),"5, 4")</f>
        <v>5, 4</v>
      </c>
      <c r="C1047" s="5" t="str">
        <f>IFERROR(__xludf.DUMMYFUNCTION("""COMPUTED_VALUE"""),"https://drive.google.com/file/d/1fQA9DD-P1DZK388ady0zfxRqoV2u16PW/view?usp=drivesdk")</f>
        <v>https://drive.google.com/file/d/1fQA9DD-P1DZK388ady0zfxRqoV2u16PW/view?usp=drivesdk</v>
      </c>
      <c r="D1047" s="12"/>
      <c r="E1047" s="11">
        <v>1104.0</v>
      </c>
      <c r="F1047" s="2"/>
    </row>
    <row r="1048" ht="1.5" customHeight="1">
      <c r="A1048" s="4" t="str">
        <f>IFERROR(__xludf.DUMMYFUNCTION("""COMPUTED_VALUE"""),"5. Eraser, 4. Eggs")</f>
        <v>5. Eraser, 4. Eggs</v>
      </c>
      <c r="B1048" s="4" t="str">
        <f>IFERROR(__xludf.DUMMYFUNCTION("""COMPUTED_VALUE"""),"5, 4")</f>
        <v>5, 4</v>
      </c>
      <c r="C1048" s="5" t="str">
        <f>IFERROR(__xludf.DUMMYFUNCTION("""COMPUTED_VALUE"""),"https://drive.google.com/file/d/1IqappXzYraBTZcnlX8WAO2lR1v7sAIPJ/view?usp=drivesdk")</f>
        <v>https://drive.google.com/file/d/1IqappXzYraBTZcnlX8WAO2lR1v7sAIPJ/view?usp=drivesdk</v>
      </c>
      <c r="D1048" s="12"/>
      <c r="E1048" s="6">
        <v>1105.0</v>
      </c>
      <c r="F1048" s="2"/>
    </row>
    <row r="1049" ht="1.5" customHeight="1">
      <c r="A1049" s="4" t="str">
        <f>IFERROR(__xludf.DUMMYFUNCTION("""COMPUTED_VALUE"""),"5. Eraser")</f>
        <v>5. Eraser</v>
      </c>
      <c r="B1049" s="4" t="str">
        <f>IFERROR(__xludf.DUMMYFUNCTION("""COMPUTED_VALUE"""),"5")</f>
        <v>5</v>
      </c>
      <c r="C1049" s="5" t="str">
        <f>IFERROR(__xludf.DUMMYFUNCTION("""COMPUTED_VALUE"""),"https://drive.google.com/file/d/16DhfVvpkEIfZJTxoQ--cwmQnh-Bkd0k3/view?usp=drivesdk")</f>
        <v>https://drive.google.com/file/d/16DhfVvpkEIfZJTxoQ--cwmQnh-Bkd0k3/view?usp=drivesdk</v>
      </c>
      <c r="D1049" s="12"/>
      <c r="E1049" s="6">
        <v>1106.0</v>
      </c>
      <c r="F1049" s="2"/>
    </row>
    <row r="1050" ht="1.5" customHeight="1">
      <c r="A1050" s="4" t="str">
        <f>IFERROR(__xludf.DUMMYFUNCTION("""COMPUTED_VALUE"""),"5. Eraser")</f>
        <v>5. Eraser</v>
      </c>
      <c r="B1050" s="4" t="str">
        <f>IFERROR(__xludf.DUMMYFUNCTION("""COMPUTED_VALUE"""),"5")</f>
        <v>5</v>
      </c>
      <c r="C1050" s="5" t="str">
        <f>IFERROR(__xludf.DUMMYFUNCTION("""COMPUTED_VALUE"""),"https://drive.google.com/file/d/1ar2C3NvwCVr5C5XUQSpaeBBZ4VJgCvWP/view?usp=drivesdk")</f>
        <v>https://drive.google.com/file/d/1ar2C3NvwCVr5C5XUQSpaeBBZ4VJgCvWP/view?usp=drivesdk</v>
      </c>
      <c r="D1050" s="12"/>
      <c r="E1050" s="6">
        <v>1107.0</v>
      </c>
      <c r="F1050" s="2"/>
    </row>
    <row r="1051" ht="1.5" customHeight="1">
      <c r="A1051" s="4" t="str">
        <f>IFERROR(__xludf.DUMMYFUNCTION("""COMPUTED_VALUE"""),"4. Eggs")</f>
        <v>4. Eggs</v>
      </c>
      <c r="B1051" s="4" t="str">
        <f>IFERROR(__xludf.DUMMYFUNCTION("""COMPUTED_VALUE"""),"4")</f>
        <v>4</v>
      </c>
      <c r="C1051" s="5" t="str">
        <f>IFERROR(__xludf.DUMMYFUNCTION("""COMPUTED_VALUE"""),"https://drive.google.com/file/d/1h19HvRSirEaRUs0_Qx07EOYB5AP5uII6/view?usp=drivesdk")</f>
        <v>https://drive.google.com/file/d/1h19HvRSirEaRUs0_Qx07EOYB5AP5uII6/view?usp=drivesdk</v>
      </c>
      <c r="D1051" s="12"/>
      <c r="E1051" s="11">
        <v>1108.0</v>
      </c>
      <c r="F1051" s="2"/>
    </row>
    <row r="1052" ht="1.5" customHeight="1">
      <c r="A1052" s="4" t="str">
        <f>IFERROR(__xludf.DUMMYFUNCTION("""COMPUTED_VALUE"""),"4. Eggs")</f>
        <v>4. Eggs</v>
      </c>
      <c r="B1052" s="4" t="str">
        <f>IFERROR(__xludf.DUMMYFUNCTION("""COMPUTED_VALUE"""),"4")</f>
        <v>4</v>
      </c>
      <c r="C1052" s="5" t="str">
        <f>IFERROR(__xludf.DUMMYFUNCTION("""COMPUTED_VALUE"""),"https://drive.google.com/file/d/1FHEOrPow_ejV2JPIZragqMjyR86KFwOb/view?usp=drivesdk")</f>
        <v>https://drive.google.com/file/d/1FHEOrPow_ejV2JPIZragqMjyR86KFwOb/view?usp=drivesdk</v>
      </c>
      <c r="D1052" s="12"/>
      <c r="E1052" s="6">
        <v>1109.0</v>
      </c>
      <c r="F1052" s="2"/>
    </row>
    <row r="1053" ht="1.5" customHeight="1">
      <c r="A1053" s="4" t="str">
        <f>IFERROR(__xludf.DUMMYFUNCTION("""COMPUTED_VALUE"""),"5. Eraser, 4. Eggs")</f>
        <v>5. Eraser, 4. Eggs</v>
      </c>
      <c r="B1053" s="4" t="str">
        <f>IFERROR(__xludf.DUMMYFUNCTION("""COMPUTED_VALUE"""),"5, 4")</f>
        <v>5, 4</v>
      </c>
      <c r="C1053" s="5" t="str">
        <f>IFERROR(__xludf.DUMMYFUNCTION("""COMPUTED_VALUE"""),"https://drive.google.com/file/d/1_Y3Xa6hbVqPdFu9-XKN76KxC3BzkMpUD/view?usp=drivesdk")</f>
        <v>https://drive.google.com/file/d/1_Y3Xa6hbVqPdFu9-XKN76KxC3BzkMpUD/view?usp=drivesdk</v>
      </c>
      <c r="D1053" s="12"/>
      <c r="E1053" s="6">
        <v>1110.0</v>
      </c>
      <c r="F1053" s="2"/>
    </row>
    <row r="1054" ht="1.5" customHeight="1">
      <c r="A1054" s="4" t="str">
        <f>IFERROR(__xludf.DUMMYFUNCTION("""COMPUTED_VALUE"""),"5. Eraser, 4. Eggs")</f>
        <v>5. Eraser, 4. Eggs</v>
      </c>
      <c r="B1054" s="4" t="str">
        <f>IFERROR(__xludf.DUMMYFUNCTION("""COMPUTED_VALUE"""),"5, 4")</f>
        <v>5, 4</v>
      </c>
      <c r="C1054" s="5" t="str">
        <f>IFERROR(__xludf.DUMMYFUNCTION("""COMPUTED_VALUE"""),"https://drive.google.com/file/d/1zufYdxDOj9FYqt0qT1uPcwyxTQuxwMHI/view?usp=drivesdk")</f>
        <v>https://drive.google.com/file/d/1zufYdxDOj9FYqt0qT1uPcwyxTQuxwMHI/view?usp=drivesdk</v>
      </c>
      <c r="D1054" s="12"/>
      <c r="E1054" s="6">
        <v>1111.0</v>
      </c>
      <c r="F1054" s="2"/>
    </row>
    <row r="1055" ht="1.5" customHeight="1">
      <c r="A1055" s="4" t="str">
        <f>IFERROR(__xludf.DUMMYFUNCTION("""COMPUTED_VALUE"""),"5. Eraser, 4. Eggs")</f>
        <v>5. Eraser, 4. Eggs</v>
      </c>
      <c r="B1055" s="4" t="str">
        <f>IFERROR(__xludf.DUMMYFUNCTION("""COMPUTED_VALUE"""),"5, 4")</f>
        <v>5, 4</v>
      </c>
      <c r="C1055" s="5" t="str">
        <f>IFERROR(__xludf.DUMMYFUNCTION("""COMPUTED_VALUE"""),"https://drive.google.com/file/d/1cNP5ZtjzMrK6y4SJVU_YwM6m5RrbNYbL/view?usp=drivesdk")</f>
        <v>https://drive.google.com/file/d/1cNP5ZtjzMrK6y4SJVU_YwM6m5RrbNYbL/view?usp=drivesdk</v>
      </c>
      <c r="D1055" s="12"/>
      <c r="E1055" s="11">
        <v>1112.0</v>
      </c>
      <c r="F1055" s="2"/>
    </row>
    <row r="1056" ht="1.5" customHeight="1">
      <c r="A1056" s="4" t="str">
        <f>IFERROR(__xludf.DUMMYFUNCTION("""COMPUTED_VALUE"""),"4. Eggs")</f>
        <v>4. Eggs</v>
      </c>
      <c r="B1056" s="4" t="str">
        <f>IFERROR(__xludf.DUMMYFUNCTION("""COMPUTED_VALUE"""),"4")</f>
        <v>4</v>
      </c>
      <c r="C1056" s="5" t="str">
        <f>IFERROR(__xludf.DUMMYFUNCTION("""COMPUTED_VALUE"""),"https://drive.google.com/file/d/1cSQMGL-ZIEd5UAIvzcnLIYNShwWtYQ83/view?usp=drivesdk")</f>
        <v>https://drive.google.com/file/d/1cSQMGL-ZIEd5UAIvzcnLIYNShwWtYQ83/view?usp=drivesdk</v>
      </c>
      <c r="D1056" s="12"/>
      <c r="E1056" s="6">
        <v>1113.0</v>
      </c>
      <c r="F1056" s="2"/>
    </row>
    <row r="1057" ht="1.5" customHeight="1">
      <c r="A1057" s="4" t="str">
        <f>IFERROR(__xludf.DUMMYFUNCTION("""COMPUTED_VALUE"""),"4. Eggs")</f>
        <v>4. Eggs</v>
      </c>
      <c r="B1057" s="4" t="str">
        <f>IFERROR(__xludf.DUMMYFUNCTION("""COMPUTED_VALUE"""),"4")</f>
        <v>4</v>
      </c>
      <c r="C1057" s="5" t="str">
        <f>IFERROR(__xludf.DUMMYFUNCTION("""COMPUTED_VALUE"""),"https://drive.google.com/file/d/11eaOCEfF6-hhnWcAMODU77Q7fqxs7IHe/view?usp=drivesdk")</f>
        <v>https://drive.google.com/file/d/11eaOCEfF6-hhnWcAMODU77Q7fqxs7IHe/view?usp=drivesdk</v>
      </c>
      <c r="D1057" s="12"/>
      <c r="E1057" s="6">
        <v>1114.0</v>
      </c>
      <c r="F1057" s="2"/>
    </row>
    <row r="1058" ht="1.5" customHeight="1">
      <c r="A1058" s="4" t="str">
        <f>IFERROR(__xludf.DUMMYFUNCTION("""COMPUTED_VALUE"""),"4. Eggs")</f>
        <v>4. Eggs</v>
      </c>
      <c r="B1058" s="4" t="str">
        <f>IFERROR(__xludf.DUMMYFUNCTION("""COMPUTED_VALUE"""),"4")</f>
        <v>4</v>
      </c>
      <c r="C1058" s="5" t="str">
        <f>IFERROR(__xludf.DUMMYFUNCTION("""COMPUTED_VALUE"""),"https://drive.google.com/file/d/1iMEhsqGjSzh7Uz8Rucyubv03mg9yYVBs/view?usp=drivesdk")</f>
        <v>https://drive.google.com/file/d/1iMEhsqGjSzh7Uz8Rucyubv03mg9yYVBs/view?usp=drivesdk</v>
      </c>
      <c r="D1058" s="12"/>
      <c r="E1058" s="6">
        <v>1115.0</v>
      </c>
      <c r="F1058" s="2"/>
    </row>
    <row r="1059" ht="1.5" customHeight="1">
      <c r="A1059" s="4" t="str">
        <f>IFERROR(__xludf.DUMMYFUNCTION("""COMPUTED_VALUE"""),"4. Eggs")</f>
        <v>4. Eggs</v>
      </c>
      <c r="B1059" s="4" t="str">
        <f>IFERROR(__xludf.DUMMYFUNCTION("""COMPUTED_VALUE"""),"4")</f>
        <v>4</v>
      </c>
      <c r="C1059" s="5" t="str">
        <f>IFERROR(__xludf.DUMMYFUNCTION("""COMPUTED_VALUE"""),"https://drive.google.com/file/d/1SPNp_O_iQTILPMJb0YpLx9MWVEU5HM6W/view?usp=drivesdk")</f>
        <v>https://drive.google.com/file/d/1SPNp_O_iQTILPMJb0YpLx9MWVEU5HM6W/view?usp=drivesdk</v>
      </c>
      <c r="D1059" s="12"/>
      <c r="E1059" s="11">
        <v>1116.0</v>
      </c>
      <c r="F1059" s="2"/>
    </row>
    <row r="1060" ht="1.5" customHeight="1">
      <c r="A1060" s="4" t="str">
        <f>IFERROR(__xludf.DUMMYFUNCTION("""COMPUTED_VALUE"""),"1. Microwave")</f>
        <v>1. Microwave</v>
      </c>
      <c r="B1060" s="4" t="str">
        <f>IFERROR(__xludf.DUMMYFUNCTION("""COMPUTED_VALUE"""),"1")</f>
        <v>1</v>
      </c>
      <c r="C1060" s="5" t="str">
        <f>IFERROR(__xludf.DUMMYFUNCTION("""COMPUTED_VALUE"""),"https://drive.google.com/file/d/1ZNfvvgYJEjZntC4-PAfK41mTCdZ7E2e0/view?usp=drivesdk")</f>
        <v>https://drive.google.com/file/d/1ZNfvvgYJEjZntC4-PAfK41mTCdZ7E2e0/view?usp=drivesdk</v>
      </c>
      <c r="D1060" s="12"/>
      <c r="E1060" s="6">
        <v>1117.0</v>
      </c>
      <c r="F1060" s="2"/>
    </row>
    <row r="1061" ht="1.5" customHeight="1">
      <c r="A1061" s="4" t="str">
        <f>IFERROR(__xludf.DUMMYFUNCTION("""COMPUTED_VALUE"""),"2. Twix")</f>
        <v>2. Twix</v>
      </c>
      <c r="B1061" s="4" t="str">
        <f>IFERROR(__xludf.DUMMYFUNCTION("""COMPUTED_VALUE"""),"2")</f>
        <v>2</v>
      </c>
      <c r="C1061" s="5" t="str">
        <f>IFERROR(__xludf.DUMMYFUNCTION("""COMPUTED_VALUE"""),"https://drive.google.com/file/d/18qlykD8NA_97zwLub0kExLBRJDPTuEY_/view?usp=drivesdk")</f>
        <v>https://drive.google.com/file/d/18qlykD8NA_97zwLub0kExLBRJDPTuEY_/view?usp=drivesdk</v>
      </c>
      <c r="D1061" s="12"/>
      <c r="E1061" s="6">
        <v>1118.0</v>
      </c>
      <c r="F1061" s="2"/>
    </row>
    <row r="1062" ht="1.5" customHeight="1">
      <c r="A1062" s="4" t="str">
        <f>IFERROR(__xludf.DUMMYFUNCTION("""COMPUTED_VALUE"""),"2. Twix")</f>
        <v>2. Twix</v>
      </c>
      <c r="B1062" s="4" t="str">
        <f>IFERROR(__xludf.DUMMYFUNCTION("""COMPUTED_VALUE"""),"2")</f>
        <v>2</v>
      </c>
      <c r="C1062" s="5" t="str">
        <f>IFERROR(__xludf.DUMMYFUNCTION("""COMPUTED_VALUE"""),"https://drive.google.com/file/d/1aGT2MMs-bJVFOAf_ulUELhMaLquqoj82/view?usp=drivesdk")</f>
        <v>https://drive.google.com/file/d/1aGT2MMs-bJVFOAf_ulUELhMaLquqoj82/view?usp=drivesdk</v>
      </c>
      <c r="D1062" s="12"/>
      <c r="E1062" s="6">
        <v>1119.0</v>
      </c>
      <c r="F1062" s="2"/>
    </row>
    <row r="1063" ht="1.5" customHeight="1">
      <c r="A1063" s="4" t="str">
        <f>IFERROR(__xludf.DUMMYFUNCTION("""COMPUTED_VALUE"""),"64. Ernie")</f>
        <v>64. Ernie</v>
      </c>
      <c r="B1063" s="4" t="str">
        <f>IFERROR(__xludf.DUMMYFUNCTION("""COMPUTED_VALUE"""),"64")</f>
        <v>64</v>
      </c>
      <c r="C1063" s="5" t="str">
        <f>IFERROR(__xludf.DUMMYFUNCTION("""COMPUTED_VALUE"""),"https://drive.google.com/file/d/1j8XSkRqtGJyvLbuyH_z6bKcX_QNun34A/view?usp=drivesdk")</f>
        <v>https://drive.google.com/file/d/1j8XSkRqtGJyvLbuyH_z6bKcX_QNun34A/view?usp=drivesdk</v>
      </c>
      <c r="D1063" s="12"/>
      <c r="E1063" s="11">
        <v>1120.0</v>
      </c>
      <c r="F1063" s="2"/>
    </row>
    <row r="1064" ht="1.5" customHeight="1">
      <c r="A1064" s="4" t="str">
        <f>IFERROR(__xludf.DUMMYFUNCTION("""COMPUTED_VALUE"""),"64. Ernie")</f>
        <v>64. Ernie</v>
      </c>
      <c r="B1064" s="4" t="str">
        <f>IFERROR(__xludf.DUMMYFUNCTION("""COMPUTED_VALUE"""),"64")</f>
        <v>64</v>
      </c>
      <c r="C1064" s="5" t="str">
        <f>IFERROR(__xludf.DUMMYFUNCTION("""COMPUTED_VALUE"""),"https://drive.google.com/file/d/1jntkWwPjLMaRr3BpHw3R5mXc0a9oGvRH/view?usp=drivesdk")</f>
        <v>https://drive.google.com/file/d/1jntkWwPjLMaRr3BpHw3R5mXc0a9oGvRH/view?usp=drivesdk</v>
      </c>
      <c r="D1064" s="12"/>
      <c r="E1064" s="6">
        <v>1121.0</v>
      </c>
      <c r="F1064" s="2"/>
    </row>
    <row r="1065" ht="1.5" customHeight="1">
      <c r="A1065" s="4" t="str">
        <f>IFERROR(__xludf.DUMMYFUNCTION("""COMPUTED_VALUE"""),"5. Eraser, 4. Eggs")</f>
        <v>5. Eraser, 4. Eggs</v>
      </c>
      <c r="B1065" s="4" t="str">
        <f>IFERROR(__xludf.DUMMYFUNCTION("""COMPUTED_VALUE"""),"5, 4")</f>
        <v>5, 4</v>
      </c>
      <c r="C1065" s="5" t="str">
        <f>IFERROR(__xludf.DUMMYFUNCTION("""COMPUTED_VALUE"""),"https://drive.google.com/file/d/1JXYO7jlJwxy6NaDzNKEzIIM1kRbMv65v/view?usp=drivesdk")</f>
        <v>https://drive.google.com/file/d/1JXYO7jlJwxy6NaDzNKEzIIM1kRbMv65v/view?usp=drivesdk</v>
      </c>
      <c r="D1065" s="12"/>
      <c r="E1065" s="6">
        <v>1122.0</v>
      </c>
      <c r="F1065" s="2"/>
    </row>
    <row r="1066" ht="1.5" customHeight="1">
      <c r="A1066" s="4" t="str">
        <f>IFERROR(__xludf.DUMMYFUNCTION("""COMPUTED_VALUE"""),"2. Twix")</f>
        <v>2. Twix</v>
      </c>
      <c r="B1066" s="4" t="str">
        <f>IFERROR(__xludf.DUMMYFUNCTION("""COMPUTED_VALUE"""),"2")</f>
        <v>2</v>
      </c>
      <c r="C1066" s="5" t="str">
        <f>IFERROR(__xludf.DUMMYFUNCTION("""COMPUTED_VALUE"""),"https://drive.google.com/file/d/1tJSoZoRVJA6tI2HvKh-GUlPr32uTg5VJ/view?usp=drivesdk")</f>
        <v>https://drive.google.com/file/d/1tJSoZoRVJA6tI2HvKh-GUlPr32uTg5VJ/view?usp=drivesdk</v>
      </c>
      <c r="D1066" s="12"/>
      <c r="E1066" s="6">
        <v>1123.0</v>
      </c>
      <c r="F1066" s="2"/>
    </row>
    <row r="1067" ht="1.5" customHeight="1">
      <c r="A1067" s="4" t="str">
        <f>IFERROR(__xludf.DUMMYFUNCTION("""COMPUTED_VALUE"""),"2. Twix")</f>
        <v>2. Twix</v>
      </c>
      <c r="B1067" s="4" t="str">
        <f>IFERROR(__xludf.DUMMYFUNCTION("""COMPUTED_VALUE"""),"2")</f>
        <v>2</v>
      </c>
      <c r="C1067" s="5" t="str">
        <f>IFERROR(__xludf.DUMMYFUNCTION("""COMPUTED_VALUE"""),"https://drive.google.com/file/d/19ZR-znWegg1HSThDEBZNrb8rsHGHOSrS/view?usp=drivesdk")</f>
        <v>https://drive.google.com/file/d/19ZR-znWegg1HSThDEBZNrb8rsHGHOSrS/view?usp=drivesdk</v>
      </c>
      <c r="D1067" s="12"/>
      <c r="E1067" s="11">
        <v>1124.0</v>
      </c>
      <c r="F1067" s="2"/>
    </row>
    <row r="1068" ht="1.5" customHeight="1">
      <c r="A1068" s="4" t="str">
        <f>IFERROR(__xludf.DUMMYFUNCTION("""COMPUTED_VALUE"""),"2. Twix")</f>
        <v>2. Twix</v>
      </c>
      <c r="B1068" s="4" t="str">
        <f>IFERROR(__xludf.DUMMYFUNCTION("""COMPUTED_VALUE"""),"2")</f>
        <v>2</v>
      </c>
      <c r="C1068" s="5" t="str">
        <f>IFERROR(__xludf.DUMMYFUNCTION("""COMPUTED_VALUE"""),"https://drive.google.com/file/d/1W9QIk8D7IR-xBQqaJqAWgw0m1Ni72GtI/view?usp=drivesdk")</f>
        <v>https://drive.google.com/file/d/1W9QIk8D7IR-xBQqaJqAWgw0m1Ni72GtI/view?usp=drivesdk</v>
      </c>
      <c r="D1068" s="12"/>
      <c r="E1068" s="6">
        <v>1125.0</v>
      </c>
      <c r="F1068" s="2"/>
    </row>
    <row r="1069" ht="1.5" customHeight="1">
      <c r="A1069" s="4" t="str">
        <f>IFERROR(__xludf.DUMMYFUNCTION("""COMPUTED_VALUE"""),"6. Snickers")</f>
        <v>6. Snickers</v>
      </c>
      <c r="B1069" s="4" t="str">
        <f>IFERROR(__xludf.DUMMYFUNCTION("""COMPUTED_VALUE"""),"6")</f>
        <v>6</v>
      </c>
      <c r="C1069" s="5" t="str">
        <f>IFERROR(__xludf.DUMMYFUNCTION("""COMPUTED_VALUE"""),"https://drive.google.com/file/d/1rXFKAteYDYh7saMw5ePU66sCFowHq8Td/view?usp=drivesdk")</f>
        <v>https://drive.google.com/file/d/1rXFKAteYDYh7saMw5ePU66sCFowHq8Td/view?usp=drivesdk</v>
      </c>
      <c r="D1069" s="12"/>
      <c r="E1069" s="6">
        <v>1126.0</v>
      </c>
      <c r="F1069" s="2"/>
    </row>
    <row r="1070" ht="1.5" customHeight="1">
      <c r="A1070" s="4" t="str">
        <f>IFERROR(__xludf.DUMMYFUNCTION("""COMPUTED_VALUE"""),"6. Snickers")</f>
        <v>6. Snickers</v>
      </c>
      <c r="B1070" s="4" t="str">
        <f>IFERROR(__xludf.DUMMYFUNCTION("""COMPUTED_VALUE"""),"6")</f>
        <v>6</v>
      </c>
      <c r="C1070" s="5" t="str">
        <f>IFERROR(__xludf.DUMMYFUNCTION("""COMPUTED_VALUE"""),"https://drive.google.com/file/d/1VgKTUcpguL1qKMt-lxuK450YC4YIdiQH/view?usp=drivesdk")</f>
        <v>https://drive.google.com/file/d/1VgKTUcpguL1qKMt-lxuK450YC4YIdiQH/view?usp=drivesdk</v>
      </c>
      <c r="D1070" s="12"/>
      <c r="E1070" s="6">
        <v>1127.0</v>
      </c>
      <c r="F1070" s="2"/>
    </row>
    <row r="1071" ht="1.5" customHeight="1">
      <c r="A1071" s="4" t="str">
        <f>IFERROR(__xludf.DUMMYFUNCTION("""COMPUTED_VALUE"""),"6. Snickers")</f>
        <v>6. Snickers</v>
      </c>
      <c r="B1071" s="4" t="str">
        <f>IFERROR(__xludf.DUMMYFUNCTION("""COMPUTED_VALUE"""),"6")</f>
        <v>6</v>
      </c>
      <c r="C1071" s="5" t="str">
        <f>IFERROR(__xludf.DUMMYFUNCTION("""COMPUTED_VALUE"""),"https://drive.google.com/file/d/14V65Wnqiddr0Xc9BF0dYmL3Qr_3kUTrn/view?usp=drivesdk")</f>
        <v>https://drive.google.com/file/d/14V65Wnqiddr0Xc9BF0dYmL3Qr_3kUTrn/view?usp=drivesdk</v>
      </c>
      <c r="D1071" s="12"/>
      <c r="E1071" s="11">
        <v>1128.0</v>
      </c>
      <c r="F1071" s="2"/>
    </row>
    <row r="1072" ht="1.5" customHeight="1">
      <c r="A1072" s="4" t="str">
        <f>IFERROR(__xludf.DUMMYFUNCTION("""COMPUTED_VALUE"""),"6. Snickers")</f>
        <v>6. Snickers</v>
      </c>
      <c r="B1072" s="4" t="str">
        <f>IFERROR(__xludf.DUMMYFUNCTION("""COMPUTED_VALUE"""),"6")</f>
        <v>6</v>
      </c>
      <c r="C1072" s="5" t="str">
        <f>IFERROR(__xludf.DUMMYFUNCTION("""COMPUTED_VALUE"""),"https://drive.google.com/file/d/1JCrz3NhO5ubYDaDxEYNWL9vCRAm6pGgm/view?usp=drivesdk")</f>
        <v>https://drive.google.com/file/d/1JCrz3NhO5ubYDaDxEYNWL9vCRAm6pGgm/view?usp=drivesdk</v>
      </c>
      <c r="D1072" s="12"/>
      <c r="E1072" s="6">
        <v>1129.0</v>
      </c>
      <c r="F1072" s="2"/>
    </row>
    <row r="1073" ht="1.5" customHeight="1">
      <c r="A1073" s="4" t="str">
        <f>IFERROR(__xludf.DUMMYFUNCTION("""COMPUTED_VALUE"""),"6. Snickers")</f>
        <v>6. Snickers</v>
      </c>
      <c r="B1073" s="4" t="str">
        <f>IFERROR(__xludf.DUMMYFUNCTION("""COMPUTED_VALUE"""),"6")</f>
        <v>6</v>
      </c>
      <c r="C1073" s="5" t="str">
        <f>IFERROR(__xludf.DUMMYFUNCTION("""COMPUTED_VALUE"""),"https://drive.google.com/file/d/1V3GYG2ktz2D77q6ZZbgjKu_CwKDsMn6B/view?usp=drivesdk")</f>
        <v>https://drive.google.com/file/d/1V3GYG2ktz2D77q6ZZbgjKu_CwKDsMn6B/view?usp=drivesdk</v>
      </c>
      <c r="D1073" s="12"/>
      <c r="E1073" s="6">
        <v>1130.0</v>
      </c>
      <c r="F1073" s="2"/>
    </row>
    <row r="1074" ht="1.5" customHeight="1">
      <c r="A1074" s="4" t="str">
        <f>IFERROR(__xludf.DUMMYFUNCTION("""COMPUTED_VALUE"""),"6. Snickers")</f>
        <v>6. Snickers</v>
      </c>
      <c r="B1074" s="4" t="str">
        <f>IFERROR(__xludf.DUMMYFUNCTION("""COMPUTED_VALUE"""),"6")</f>
        <v>6</v>
      </c>
      <c r="C1074" s="5" t="str">
        <f>IFERROR(__xludf.DUMMYFUNCTION("""COMPUTED_VALUE"""),"https://drive.google.com/file/d/1BWBt2pG-x_xBzmLyqwvmFl4-Lb8wczTT/view?usp=drivesdk")</f>
        <v>https://drive.google.com/file/d/1BWBt2pG-x_xBzmLyqwvmFl4-Lb8wczTT/view?usp=drivesdk</v>
      </c>
      <c r="D1074" s="12"/>
      <c r="E1074" s="6">
        <v>1131.0</v>
      </c>
      <c r="F1074" s="2"/>
    </row>
    <row r="1075" ht="1.5" customHeight="1">
      <c r="A1075" s="4" t="str">
        <f>IFERROR(__xludf.DUMMYFUNCTION("""COMPUTED_VALUE"""),"6. Snickers")</f>
        <v>6. Snickers</v>
      </c>
      <c r="B1075" s="4" t="str">
        <f>IFERROR(__xludf.DUMMYFUNCTION("""COMPUTED_VALUE"""),"6")</f>
        <v>6</v>
      </c>
      <c r="C1075" s="5" t="str">
        <f>IFERROR(__xludf.DUMMYFUNCTION("""COMPUTED_VALUE"""),"https://drive.google.com/file/d/1_Lmfvp_h88wJTGas_QgIS6z-77_khDzW/view?usp=drivesdk")</f>
        <v>https://drive.google.com/file/d/1_Lmfvp_h88wJTGas_QgIS6z-77_khDzW/view?usp=drivesdk</v>
      </c>
      <c r="D1075" s="12"/>
      <c r="E1075" s="11">
        <v>1132.0</v>
      </c>
      <c r="F1075" s="2"/>
    </row>
    <row r="1076" ht="1.5" customHeight="1">
      <c r="A1076" s="4" t="str">
        <f>IFERROR(__xludf.DUMMYFUNCTION("""COMPUTED_VALUE"""),"6. Snickers")</f>
        <v>6. Snickers</v>
      </c>
      <c r="B1076" s="4" t="str">
        <f>IFERROR(__xludf.DUMMYFUNCTION("""COMPUTED_VALUE"""),"6")</f>
        <v>6</v>
      </c>
      <c r="C1076" s="5" t="str">
        <f>IFERROR(__xludf.DUMMYFUNCTION("""COMPUTED_VALUE"""),"https://drive.google.com/file/d/1Bw73eKobceARByQIF1Gq7Szum-lTdMrl/view?usp=drivesdk")</f>
        <v>https://drive.google.com/file/d/1Bw73eKobceARByQIF1Gq7Szum-lTdMrl/view?usp=drivesdk</v>
      </c>
      <c r="D1076" s="12"/>
      <c r="E1076" s="6">
        <v>1133.0</v>
      </c>
      <c r="F1076" s="2"/>
    </row>
    <row r="1077" ht="1.5" customHeight="1">
      <c r="A1077" s="4" t="str">
        <f>IFERROR(__xludf.DUMMYFUNCTION("""COMPUTED_VALUE"""),"2. Twix")</f>
        <v>2. Twix</v>
      </c>
      <c r="B1077" s="4" t="str">
        <f>IFERROR(__xludf.DUMMYFUNCTION("""COMPUTED_VALUE"""),"2")</f>
        <v>2</v>
      </c>
      <c r="C1077" s="5" t="str">
        <f>IFERROR(__xludf.DUMMYFUNCTION("""COMPUTED_VALUE"""),"https://drive.google.com/file/d/1Z_vDfA1JvGMCepiBVEK9Y3uMHc5Coxe0/view?usp=drivesdk")</f>
        <v>https://drive.google.com/file/d/1Z_vDfA1JvGMCepiBVEK9Y3uMHc5Coxe0/view?usp=drivesdk</v>
      </c>
      <c r="D1077" s="12"/>
      <c r="E1077" s="6">
        <v>1134.0</v>
      </c>
      <c r="F1077" s="2"/>
    </row>
    <row r="1078" ht="1.5" customHeight="1">
      <c r="A1078" s="4" t="str">
        <f>IFERROR(__xludf.DUMMYFUNCTION("""COMPUTED_VALUE"""),"2. Twix")</f>
        <v>2. Twix</v>
      </c>
      <c r="B1078" s="4" t="str">
        <f>IFERROR(__xludf.DUMMYFUNCTION("""COMPUTED_VALUE"""),"2")</f>
        <v>2</v>
      </c>
      <c r="C1078" s="5" t="str">
        <f>IFERROR(__xludf.DUMMYFUNCTION("""COMPUTED_VALUE"""),"https://drive.google.com/file/d/18eIVLGengLeDTW7v7FU_yrV0eTlWa1l0/view?usp=drivesdk")</f>
        <v>https://drive.google.com/file/d/18eIVLGengLeDTW7v7FU_yrV0eTlWa1l0/view?usp=drivesdk</v>
      </c>
      <c r="D1078" s="12"/>
      <c r="E1078" s="6">
        <v>1135.0</v>
      </c>
      <c r="F1078" s="2"/>
    </row>
    <row r="1079" ht="1.5" customHeight="1">
      <c r="A1079" s="4" t="str">
        <f>IFERROR(__xludf.DUMMYFUNCTION("""COMPUTED_VALUE"""),"2. Twix")</f>
        <v>2. Twix</v>
      </c>
      <c r="B1079" s="4" t="str">
        <f>IFERROR(__xludf.DUMMYFUNCTION("""COMPUTED_VALUE"""),"2")</f>
        <v>2</v>
      </c>
      <c r="C1079" s="5" t="str">
        <f>IFERROR(__xludf.DUMMYFUNCTION("""COMPUTED_VALUE"""),"https://drive.google.com/file/d/1725FmnuixgN5PpF88aIxITpWcFuHbrjJ/view?usp=drivesdk")</f>
        <v>https://drive.google.com/file/d/1725FmnuixgN5PpF88aIxITpWcFuHbrjJ/view?usp=drivesdk</v>
      </c>
      <c r="D1079" s="12"/>
      <c r="E1079" s="11">
        <v>1136.0</v>
      </c>
      <c r="F1079" s="2"/>
    </row>
    <row r="1080" ht="1.5" customHeight="1">
      <c r="A1080" s="4" t="str">
        <f>IFERROR(__xludf.DUMMYFUNCTION("""COMPUTED_VALUE"""),"2. Twix")</f>
        <v>2. Twix</v>
      </c>
      <c r="B1080" s="4" t="str">
        <f>IFERROR(__xludf.DUMMYFUNCTION("""COMPUTED_VALUE"""),"2")</f>
        <v>2</v>
      </c>
      <c r="C1080" s="5" t="str">
        <f>IFERROR(__xludf.DUMMYFUNCTION("""COMPUTED_VALUE"""),"https://drive.google.com/file/d/1Szki3MKj5ySd-rTtD84SbTka4AVYaieu/view?usp=drivesdk")</f>
        <v>https://drive.google.com/file/d/1Szki3MKj5ySd-rTtD84SbTka4AVYaieu/view?usp=drivesdk</v>
      </c>
      <c r="D1080" s="12"/>
      <c r="E1080" s="6">
        <v>1137.0</v>
      </c>
      <c r="F1080" s="2"/>
    </row>
    <row r="1081" ht="1.5" customHeight="1">
      <c r="A1081" s="4" t="str">
        <f>IFERROR(__xludf.DUMMYFUNCTION("""COMPUTED_VALUE"""),"2. Twix")</f>
        <v>2. Twix</v>
      </c>
      <c r="B1081" s="4" t="str">
        <f>IFERROR(__xludf.DUMMYFUNCTION("""COMPUTED_VALUE"""),"2")</f>
        <v>2</v>
      </c>
      <c r="C1081" s="5" t="str">
        <f>IFERROR(__xludf.DUMMYFUNCTION("""COMPUTED_VALUE"""),"https://drive.google.com/file/d/1mkB_KYF0OssOVSF63vk5v28rYMz4C_SL/view?usp=drivesdk")</f>
        <v>https://drive.google.com/file/d/1mkB_KYF0OssOVSF63vk5v28rYMz4C_SL/view?usp=drivesdk</v>
      </c>
      <c r="D1081" s="12"/>
      <c r="E1081" s="6">
        <v>1138.0</v>
      </c>
      <c r="F1081" s="2"/>
    </row>
    <row r="1082" ht="1.5" customHeight="1">
      <c r="A1082" s="4" t="str">
        <f>IFERROR(__xludf.DUMMYFUNCTION("""COMPUTED_VALUE"""),"2. Twix")</f>
        <v>2. Twix</v>
      </c>
      <c r="B1082" s="4" t="str">
        <f>IFERROR(__xludf.DUMMYFUNCTION("""COMPUTED_VALUE"""),"2")</f>
        <v>2</v>
      </c>
      <c r="C1082" s="5" t="str">
        <f>IFERROR(__xludf.DUMMYFUNCTION("""COMPUTED_VALUE"""),"https://drive.google.com/file/d/1CXZFFvyx51vNcewEKWdFcY0BE3_aq64c/view?usp=drivesdk")</f>
        <v>https://drive.google.com/file/d/1CXZFFvyx51vNcewEKWdFcY0BE3_aq64c/view?usp=drivesdk</v>
      </c>
      <c r="D1082" s="12"/>
      <c r="E1082" s="11">
        <v>1139.0</v>
      </c>
      <c r="F1082" s="2"/>
    </row>
    <row r="1083" ht="1.5" customHeight="1">
      <c r="A1083" s="4" t="str">
        <f>IFERROR(__xludf.DUMMYFUNCTION("""COMPUTED_VALUE"""),"2. Twix")</f>
        <v>2. Twix</v>
      </c>
      <c r="B1083" s="4" t="str">
        <f>IFERROR(__xludf.DUMMYFUNCTION("""COMPUTED_VALUE"""),"2")</f>
        <v>2</v>
      </c>
      <c r="C1083" s="5" t="str">
        <f>IFERROR(__xludf.DUMMYFUNCTION("""COMPUTED_VALUE"""),"https://drive.google.com/file/d/1Nf1ELLCAYtecyvIWOyC6ZU_nhzwRCfQq/view?usp=drivesdk")</f>
        <v>https://drive.google.com/file/d/1Nf1ELLCAYtecyvIWOyC6ZU_nhzwRCfQq/view?usp=drivesdk</v>
      </c>
      <c r="D1083" s="12"/>
      <c r="E1083" s="6">
        <v>1140.0</v>
      </c>
      <c r="F1083" s="2"/>
    </row>
    <row r="1084" ht="1.5" customHeight="1">
      <c r="A1084" s="4" t="str">
        <f>IFERROR(__xludf.DUMMYFUNCTION("""COMPUTED_VALUE"""),"1. Microwave")</f>
        <v>1. Microwave</v>
      </c>
      <c r="B1084" s="4" t="str">
        <f>IFERROR(__xludf.DUMMYFUNCTION("""COMPUTED_VALUE"""),"1")</f>
        <v>1</v>
      </c>
      <c r="C1084" s="5" t="str">
        <f>IFERROR(__xludf.DUMMYFUNCTION("""COMPUTED_VALUE"""),"https://drive.google.com/file/d/1WjxXdWo1u2brRtrupmVNrJokssA963qu/view?usp=drivesdk")</f>
        <v>https://drive.google.com/file/d/1WjxXdWo1u2brRtrupmVNrJokssA963qu/view?usp=drivesdk</v>
      </c>
      <c r="D1084" s="12"/>
      <c r="E1084" s="6">
        <v>1141.0</v>
      </c>
      <c r="F1084" s="2"/>
    </row>
    <row r="1085" ht="1.5" customHeight="1">
      <c r="A1085" s="4" t="str">
        <f>IFERROR(__xludf.DUMMYFUNCTION("""COMPUTED_VALUE"""),"1. Microwave")</f>
        <v>1. Microwave</v>
      </c>
      <c r="B1085" s="4" t="str">
        <f>IFERROR(__xludf.DUMMYFUNCTION("""COMPUTED_VALUE"""),"1")</f>
        <v>1</v>
      </c>
      <c r="C1085" s="5" t="str">
        <f>IFERROR(__xludf.DUMMYFUNCTION("""COMPUTED_VALUE"""),"https://drive.google.com/file/d/1TJX8zKyPeyn9ccQq-VhVgby4Ypl6hlgF/view?usp=drivesdk")</f>
        <v>https://drive.google.com/file/d/1TJX8zKyPeyn9ccQq-VhVgby4Ypl6hlgF/view?usp=drivesdk</v>
      </c>
      <c r="D1085" s="12"/>
      <c r="E1085" s="11">
        <v>1142.0</v>
      </c>
      <c r="F1085" s="2"/>
    </row>
    <row r="1086" ht="1.5" customHeight="1">
      <c r="A1086" s="4" t="str">
        <f>IFERROR(__xludf.DUMMYFUNCTION("""COMPUTED_VALUE"""),"5. Eraser")</f>
        <v>5. Eraser</v>
      </c>
      <c r="B1086" s="4" t="str">
        <f>IFERROR(__xludf.DUMMYFUNCTION("""COMPUTED_VALUE"""),"5")</f>
        <v>5</v>
      </c>
      <c r="C1086" s="5" t="str">
        <f>IFERROR(__xludf.DUMMYFUNCTION("""COMPUTED_VALUE"""),"https://drive.google.com/file/d/1Oo31giWrCsEMhBGlQp6ekq_BrEPsx-ql/view?usp=drivesdk")</f>
        <v>https://drive.google.com/file/d/1Oo31giWrCsEMhBGlQp6ekq_BrEPsx-ql/view?usp=drivesdk</v>
      </c>
      <c r="D1086" s="12"/>
      <c r="E1086" s="6">
        <v>1143.0</v>
      </c>
      <c r="F1086" s="2"/>
    </row>
    <row r="1087" ht="1.5" customHeight="1">
      <c r="A1087" s="4" t="str">
        <f>IFERROR(__xludf.DUMMYFUNCTION("""COMPUTED_VALUE"""),"4. Eggs")</f>
        <v>4. Eggs</v>
      </c>
      <c r="B1087" s="4" t="str">
        <f>IFERROR(__xludf.DUMMYFUNCTION("""COMPUTED_VALUE"""),"4")</f>
        <v>4</v>
      </c>
      <c r="C1087" s="5" t="str">
        <f>IFERROR(__xludf.DUMMYFUNCTION("""COMPUTED_VALUE"""),"https://drive.google.com/file/d/1U2KnNNk7KE2yw2BzKRg6Yy5OewzEpT7c/view?usp=drivesdk")</f>
        <v>https://drive.google.com/file/d/1U2KnNNk7KE2yw2BzKRg6Yy5OewzEpT7c/view?usp=drivesdk</v>
      </c>
      <c r="D1087" s="12"/>
      <c r="E1087" s="6">
        <v>1144.0</v>
      </c>
      <c r="F1087" s="2"/>
    </row>
    <row r="1088" ht="1.5" customHeight="1">
      <c r="A1088" s="4" t="str">
        <f>IFERROR(__xludf.DUMMYFUNCTION("""COMPUTED_VALUE"""),"4. Eggs")</f>
        <v>4. Eggs</v>
      </c>
      <c r="B1088" s="4" t="str">
        <f>IFERROR(__xludf.DUMMYFUNCTION("""COMPUTED_VALUE"""),"4")</f>
        <v>4</v>
      </c>
      <c r="C1088" s="5" t="str">
        <f>IFERROR(__xludf.DUMMYFUNCTION("""COMPUTED_VALUE"""),"https://drive.google.com/file/d/1CQB5aN9K7zMXw5lmm3Xocr6an5inWGdh/view?usp=drivesdk")</f>
        <v>https://drive.google.com/file/d/1CQB5aN9K7zMXw5lmm3Xocr6an5inWGdh/view?usp=drivesdk</v>
      </c>
      <c r="D1088" s="12"/>
      <c r="E1088" s="11">
        <v>1145.0</v>
      </c>
      <c r="F1088" s="2"/>
    </row>
    <row r="1089" ht="1.5" customHeight="1">
      <c r="A1089" s="4" t="str">
        <f>IFERROR(__xludf.DUMMYFUNCTION("""COMPUTED_VALUE"""),"64. Ernie")</f>
        <v>64. Ernie</v>
      </c>
      <c r="B1089" s="4" t="str">
        <f>IFERROR(__xludf.DUMMYFUNCTION("""COMPUTED_VALUE"""),"64")</f>
        <v>64</v>
      </c>
      <c r="C1089" s="5" t="str">
        <f>IFERROR(__xludf.DUMMYFUNCTION("""COMPUTED_VALUE"""),"https://drive.google.com/file/d/1KtGhgFxTBwyWpnmCuADGFQXbuezXadJy/view?usp=drivesdk")</f>
        <v>https://drive.google.com/file/d/1KtGhgFxTBwyWpnmCuADGFQXbuezXadJy/view?usp=drivesdk</v>
      </c>
      <c r="D1089" s="12"/>
      <c r="E1089" s="6">
        <v>1146.0</v>
      </c>
      <c r="F1089" s="2"/>
    </row>
    <row r="1090" ht="1.5" customHeight="1">
      <c r="A1090" s="4" t="str">
        <f>IFERROR(__xludf.DUMMYFUNCTION("""COMPUTED_VALUE"""),"64. Ernie")</f>
        <v>64. Ernie</v>
      </c>
      <c r="B1090" s="4" t="str">
        <f>IFERROR(__xludf.DUMMYFUNCTION("""COMPUTED_VALUE"""),"64")</f>
        <v>64</v>
      </c>
      <c r="C1090" s="5" t="str">
        <f>IFERROR(__xludf.DUMMYFUNCTION("""COMPUTED_VALUE"""),"https://drive.google.com/file/d/13u9wWdIyYpO0sW7IP1WgmcQztAKyENSG/view?usp=drivesdk")</f>
        <v>https://drive.google.com/file/d/13u9wWdIyYpO0sW7IP1WgmcQztAKyENSG/view?usp=drivesdk</v>
      </c>
      <c r="D1090" s="12"/>
      <c r="E1090" s="6">
        <v>1147.0</v>
      </c>
      <c r="F1090" s="2"/>
    </row>
    <row r="1091" ht="1.5" customHeight="1">
      <c r="A1091" s="4" t="str">
        <f>IFERROR(__xludf.DUMMYFUNCTION("""COMPUTED_VALUE"""),"5. Eraser")</f>
        <v>5. Eraser</v>
      </c>
      <c r="B1091" s="4" t="str">
        <f>IFERROR(__xludf.DUMMYFUNCTION("""COMPUTED_VALUE"""),"5")</f>
        <v>5</v>
      </c>
      <c r="C1091" s="5" t="str">
        <f>IFERROR(__xludf.DUMMYFUNCTION("""COMPUTED_VALUE"""),"https://drive.google.com/file/d/1LqGypaadfwD6rLD94sE7bC9P752tGIID/view?usp=drivesdk")</f>
        <v>https://drive.google.com/file/d/1LqGypaadfwD6rLD94sE7bC9P752tGIID/view?usp=drivesdk</v>
      </c>
      <c r="D1091" s="12"/>
      <c r="E1091" s="11">
        <v>1148.0</v>
      </c>
      <c r="F1091" s="2"/>
    </row>
    <row r="1092" ht="1.5" customHeight="1">
      <c r="A1092" s="4" t="str">
        <f>IFERROR(__xludf.DUMMYFUNCTION("""COMPUTED_VALUE"""),"0. NotACat")</f>
        <v>0. NotACat</v>
      </c>
      <c r="B1092" s="4" t="str">
        <f>IFERROR(__xludf.DUMMYFUNCTION("""COMPUTED_VALUE"""),"0")</f>
        <v>0</v>
      </c>
      <c r="C1092" s="5" t="str">
        <f>IFERROR(__xludf.DUMMYFUNCTION("""COMPUTED_VALUE"""),"https://drive.google.com/file/d/11rXPxb-aDf7YbhWo_HA-XvtG4l_rT6PP/view?usp=drivesdk")</f>
        <v>https://drive.google.com/file/d/11rXPxb-aDf7YbhWo_HA-XvtG4l_rT6PP/view?usp=drivesdk</v>
      </c>
      <c r="D1092" s="12"/>
      <c r="E1092" s="6">
        <v>1149.0</v>
      </c>
      <c r="F1092" s="2"/>
    </row>
    <row r="1093" ht="1.5" customHeight="1">
      <c r="A1093" s="4" t="str">
        <f>IFERROR(__xludf.DUMMYFUNCTION("""COMPUTED_VALUE"""),"56. Lard")</f>
        <v>56. Lard</v>
      </c>
      <c r="B1093" s="4" t="str">
        <f>IFERROR(__xludf.DUMMYFUNCTION("""COMPUTED_VALUE"""),"56")</f>
        <v>56</v>
      </c>
      <c r="C1093" s="5" t="str">
        <f>IFERROR(__xludf.DUMMYFUNCTION("""COMPUTED_VALUE"""),"https://drive.google.com/file/d/1-ZZJPdgIDvCSut_9hu5c3e2b4GDuhUrd/view?usp=drivesdk")</f>
        <v>https://drive.google.com/file/d/1-ZZJPdgIDvCSut_9hu5c3e2b4GDuhUrd/view?usp=drivesdk</v>
      </c>
      <c r="D1093" s="12"/>
      <c r="E1093" s="11">
        <v>1150.0</v>
      </c>
      <c r="F1093" s="2"/>
    </row>
    <row r="1094" ht="1.5" customHeight="1">
      <c r="A1094" s="4" t="str">
        <f>IFERROR(__xludf.DUMMYFUNCTION("""COMPUTED_VALUE"""),"65. Tepi")</f>
        <v>65. Tepi</v>
      </c>
      <c r="B1094" s="4" t="str">
        <f>IFERROR(__xludf.DUMMYFUNCTION("""COMPUTED_VALUE"""),"65")</f>
        <v>65</v>
      </c>
      <c r="C1094" s="5" t="str">
        <f>IFERROR(__xludf.DUMMYFUNCTION("""COMPUTED_VALUE"""),"https://drive.google.com/file/d/1YHFRGRTL4w6X3lhZ9Vriq-4u1DUXvGnB/view?usp=drivesdk")</f>
        <v>https://drive.google.com/file/d/1YHFRGRTL4w6X3lhZ9Vriq-4u1DUXvGnB/view?usp=drivesdk</v>
      </c>
      <c r="D1094" s="12"/>
      <c r="E1094" s="6">
        <v>1151.0</v>
      </c>
      <c r="F1094" s="2"/>
    </row>
    <row r="1095" ht="1.5" customHeight="1">
      <c r="A1095" s="4" t="str">
        <f>IFERROR(__xludf.DUMMYFUNCTION("""COMPUTED_VALUE"""),"5. Eraser")</f>
        <v>5. Eraser</v>
      </c>
      <c r="B1095" s="4" t="str">
        <f>IFERROR(__xludf.DUMMYFUNCTION("""COMPUTED_VALUE"""),"5")</f>
        <v>5</v>
      </c>
      <c r="C1095" s="5" t="str">
        <f>IFERROR(__xludf.DUMMYFUNCTION("""COMPUTED_VALUE"""),"https://drive.google.com/file/d/1lD4oyZIjw4XS3SZaStEY-NCy8FfpqXNA/view?usp=drivesdk")</f>
        <v>https://drive.google.com/file/d/1lD4oyZIjw4XS3SZaStEY-NCy8FfpqXNA/view?usp=drivesdk</v>
      </c>
      <c r="D1095" s="12"/>
      <c r="E1095" s="6">
        <v>1152.0</v>
      </c>
      <c r="F1095" s="2"/>
    </row>
    <row r="1096" ht="1.5" customHeight="1">
      <c r="A1096" s="4" t="str">
        <f>IFERROR(__xludf.DUMMYFUNCTION("""COMPUTED_VALUE"""),"27. Angel")</f>
        <v>27. Angel</v>
      </c>
      <c r="B1096" s="4" t="str">
        <f>IFERROR(__xludf.DUMMYFUNCTION("""COMPUTED_VALUE"""),"27")</f>
        <v>27</v>
      </c>
      <c r="C1096" s="5" t="str">
        <f>IFERROR(__xludf.DUMMYFUNCTION("""COMPUTED_VALUE"""),"https://drive.google.com/file/d/1pibogCAfXcAxviGnNP8-ux4ebKfqHzPt/view?usp=drivesdk")</f>
        <v>https://drive.google.com/file/d/1pibogCAfXcAxviGnNP8-ux4ebKfqHzPt/view?usp=drivesdk</v>
      </c>
      <c r="D1096" s="12"/>
      <c r="E1096" s="11">
        <v>1153.0</v>
      </c>
      <c r="F1096" s="2"/>
    </row>
    <row r="1097" ht="1.5" customHeight="1">
      <c r="A1097" s="4" t="str">
        <f>IFERROR(__xludf.DUMMYFUNCTION("""COMPUTED_VALUE"""),"27. Angel")</f>
        <v>27. Angel</v>
      </c>
      <c r="B1097" s="4" t="str">
        <f>IFERROR(__xludf.DUMMYFUNCTION("""COMPUTED_VALUE"""),"27")</f>
        <v>27</v>
      </c>
      <c r="C1097" s="5" t="str">
        <f>IFERROR(__xludf.DUMMYFUNCTION("""COMPUTED_VALUE"""),"https://drive.google.com/file/d/1Fw8vCQWP4k3gB0z6wACunTEtccDWKEDM/view?usp=drivesdk")</f>
        <v>https://drive.google.com/file/d/1Fw8vCQWP4k3gB0z6wACunTEtccDWKEDM/view?usp=drivesdk</v>
      </c>
      <c r="D1097" s="12"/>
      <c r="E1097" s="6">
        <v>1154.0</v>
      </c>
      <c r="F1097" s="2"/>
    </row>
    <row r="1098" ht="1.5" customHeight="1">
      <c r="A1098" s="4" t="str">
        <f>IFERROR(__xludf.DUMMYFUNCTION("""COMPUTED_VALUE"""),"27. Angel")</f>
        <v>27. Angel</v>
      </c>
      <c r="B1098" s="4" t="str">
        <f>IFERROR(__xludf.DUMMYFUNCTION("""COMPUTED_VALUE"""),"27")</f>
        <v>27</v>
      </c>
      <c r="C1098" s="5" t="str">
        <f>IFERROR(__xludf.DUMMYFUNCTION("""COMPUTED_VALUE"""),"https://drive.google.com/file/d/1X5G08pChErXvv_NBM0Hq0Jam_5ixrg7N/view?usp=drivesdk")</f>
        <v>https://drive.google.com/file/d/1X5G08pChErXvv_NBM0Hq0Jam_5ixrg7N/view?usp=drivesdk</v>
      </c>
      <c r="D1098" s="12"/>
      <c r="E1098" s="11">
        <v>1155.0</v>
      </c>
      <c r="F1098" s="2"/>
    </row>
    <row r="1099" ht="1.5" customHeight="1">
      <c r="A1099" s="4" t="str">
        <f>IFERROR(__xludf.DUMMYFUNCTION("""COMPUTED_VALUE"""),"20. Citlali, 19. Rolo")</f>
        <v>20. Citlali, 19. Rolo</v>
      </c>
      <c r="B1099" s="4" t="str">
        <f>IFERROR(__xludf.DUMMYFUNCTION("""COMPUTED_VALUE"""),"20, 19")</f>
        <v>20, 19</v>
      </c>
      <c r="C1099" s="5" t="str">
        <f>IFERROR(__xludf.DUMMYFUNCTION("""COMPUTED_VALUE"""),"https://drive.google.com/file/d/15wrqcWSY4ZXfGMsfc5ueVRdaI9UJAdJj/view?usp=drivesdk")</f>
        <v>https://drive.google.com/file/d/15wrqcWSY4ZXfGMsfc5ueVRdaI9UJAdJj/view?usp=drivesdk</v>
      </c>
      <c r="D1099" s="12"/>
      <c r="E1099" s="6">
        <v>1156.0</v>
      </c>
      <c r="F1099" s="2"/>
    </row>
    <row r="1100" ht="1.5" customHeight="1">
      <c r="A1100" s="4" t="str">
        <f>IFERROR(__xludf.DUMMYFUNCTION("""COMPUTED_VALUE"""),"1. Microwave")</f>
        <v>1. Microwave</v>
      </c>
      <c r="B1100" s="4" t="str">
        <f>IFERROR(__xludf.DUMMYFUNCTION("""COMPUTED_VALUE"""),"1")</f>
        <v>1</v>
      </c>
      <c r="C1100" s="5" t="str">
        <f>IFERROR(__xludf.DUMMYFUNCTION("""COMPUTED_VALUE"""),"https://drive.google.com/file/d/1q1pYanCEM1lTdnufUfg06Kg8qcPtZV8m/view?usp=drivesdk")</f>
        <v>https://drive.google.com/file/d/1q1pYanCEM1lTdnufUfg06Kg8qcPtZV8m/view?usp=drivesdk</v>
      </c>
      <c r="D1100" s="12"/>
      <c r="E1100" s="6">
        <v>1157.0</v>
      </c>
      <c r="F1100" s="2"/>
    </row>
    <row r="1101" ht="1.5" customHeight="1">
      <c r="A1101" s="4" t="str">
        <f>IFERROR(__xludf.DUMMYFUNCTION("""COMPUTED_VALUE"""),"1. Microwave")</f>
        <v>1. Microwave</v>
      </c>
      <c r="B1101" s="4" t="str">
        <f>IFERROR(__xludf.DUMMYFUNCTION("""COMPUTED_VALUE"""),"1")</f>
        <v>1</v>
      </c>
      <c r="C1101" s="5" t="str">
        <f>IFERROR(__xludf.DUMMYFUNCTION("""COMPUTED_VALUE"""),"https://drive.google.com/file/d/1DG_gNH6zOaVNznSZnItJ-hftq1LI8G8y/view?usp=drivesdk")</f>
        <v>https://drive.google.com/file/d/1DG_gNH6zOaVNznSZnItJ-hftq1LI8G8y/view?usp=drivesdk</v>
      </c>
      <c r="D1101" s="12"/>
      <c r="E1101" s="11">
        <v>1158.0</v>
      </c>
      <c r="F1101" s="2"/>
    </row>
    <row r="1102" ht="1.5" customHeight="1">
      <c r="A1102" s="4" t="str">
        <f>IFERROR(__xludf.DUMMYFUNCTION("""COMPUTED_VALUE"""),"5. Eraser")</f>
        <v>5. Eraser</v>
      </c>
      <c r="B1102" s="4" t="str">
        <f>IFERROR(__xludf.DUMMYFUNCTION("""COMPUTED_VALUE"""),"5")</f>
        <v>5</v>
      </c>
      <c r="C1102" s="5" t="str">
        <f>IFERROR(__xludf.DUMMYFUNCTION("""COMPUTED_VALUE"""),"https://drive.google.com/file/d/1AloEfDieuDOj0ALPt6ittONsLcP1HanZ/view?usp=drivesdk")</f>
        <v>https://drive.google.com/file/d/1AloEfDieuDOj0ALPt6ittONsLcP1HanZ/view?usp=drivesdk</v>
      </c>
      <c r="D1102" s="12"/>
      <c r="E1102" s="6">
        <v>1159.0</v>
      </c>
      <c r="F1102" s="2"/>
    </row>
    <row r="1103" ht="1.5" customHeight="1">
      <c r="A1103" s="4" t="str">
        <f>IFERROR(__xludf.DUMMYFUNCTION("""COMPUTED_VALUE"""),"5. Eraser")</f>
        <v>5. Eraser</v>
      </c>
      <c r="B1103" s="4" t="str">
        <f>IFERROR(__xludf.DUMMYFUNCTION("""COMPUTED_VALUE"""),"5")</f>
        <v>5</v>
      </c>
      <c r="C1103" s="5" t="str">
        <f>IFERROR(__xludf.DUMMYFUNCTION("""COMPUTED_VALUE"""),"https://drive.google.com/file/d/1I7iTStV5KGZSH1PHgN5NargHxmlCP_EV/view?usp=drivesdk")</f>
        <v>https://drive.google.com/file/d/1I7iTStV5KGZSH1PHgN5NargHxmlCP_EV/view?usp=drivesdk</v>
      </c>
      <c r="D1103" s="12"/>
      <c r="E1103" s="11">
        <v>1160.0</v>
      </c>
      <c r="F1103" s="2"/>
    </row>
    <row r="1104" ht="1.5" customHeight="1">
      <c r="A1104" s="4" t="str">
        <f>IFERROR(__xludf.DUMMYFUNCTION("""COMPUTED_VALUE"""),"4. Eggs, 5. Eraser")</f>
        <v>4. Eggs, 5. Eraser</v>
      </c>
      <c r="B1104" s="4" t="str">
        <f>IFERROR(__xludf.DUMMYFUNCTION("""COMPUTED_VALUE"""),"4, 5")</f>
        <v>4, 5</v>
      </c>
      <c r="C1104" s="5" t="str">
        <f>IFERROR(__xludf.DUMMYFUNCTION("""COMPUTED_VALUE"""),"https://drive.google.com/file/d/1M4Tb9m4KwI2eg_ulDLKJmLaFaMMzZWEc/view?usp=drivesdk")</f>
        <v>https://drive.google.com/file/d/1M4Tb9m4KwI2eg_ulDLKJmLaFaMMzZWEc/view?usp=drivesdk</v>
      </c>
      <c r="D1104" s="12"/>
      <c r="E1104" s="6">
        <v>1161.0</v>
      </c>
      <c r="F1104" s="2"/>
    </row>
    <row r="1105" ht="1.5" customHeight="1">
      <c r="A1105" s="4" t="str">
        <f>IFERROR(__xludf.DUMMYFUNCTION("""COMPUTED_VALUE"""),"2. Twix")</f>
        <v>2. Twix</v>
      </c>
      <c r="B1105" s="4" t="str">
        <f>IFERROR(__xludf.DUMMYFUNCTION("""COMPUTED_VALUE"""),"2")</f>
        <v>2</v>
      </c>
      <c r="C1105" s="5" t="str">
        <f>IFERROR(__xludf.DUMMYFUNCTION("""COMPUTED_VALUE"""),"https://drive.google.com/file/d/1kAq5YgOcuWb6fjjXq0jOGggj37Xfj8YV/view?usp=drivesdk")</f>
        <v>https://drive.google.com/file/d/1kAq5YgOcuWb6fjjXq0jOGggj37Xfj8YV/view?usp=drivesdk</v>
      </c>
      <c r="D1105" s="12"/>
      <c r="E1105" s="6">
        <v>1162.0</v>
      </c>
      <c r="F1105" s="2"/>
    </row>
    <row r="1106" ht="1.5" customHeight="1">
      <c r="A1106" s="4" t="str">
        <f>IFERROR(__xludf.DUMMYFUNCTION("""COMPUTED_VALUE"""),"2. Twix")</f>
        <v>2. Twix</v>
      </c>
      <c r="B1106" s="4" t="str">
        <f>IFERROR(__xludf.DUMMYFUNCTION("""COMPUTED_VALUE"""),"2")</f>
        <v>2</v>
      </c>
      <c r="C1106" s="5" t="str">
        <f>IFERROR(__xludf.DUMMYFUNCTION("""COMPUTED_VALUE"""),"https://drive.google.com/file/d/1lPjfM27h6HngpZyjatleBZG_tD2u434V/view?usp=drivesdk")</f>
        <v>https://drive.google.com/file/d/1lPjfM27h6HngpZyjatleBZG_tD2u434V/view?usp=drivesdk</v>
      </c>
      <c r="D1106" s="12"/>
      <c r="E1106" s="11">
        <v>1163.0</v>
      </c>
      <c r="F1106" s="2"/>
    </row>
    <row r="1107" ht="1.5" customHeight="1">
      <c r="A1107" s="4" t="str">
        <f>IFERROR(__xludf.DUMMYFUNCTION("""COMPUTED_VALUE"""),"2. Twix")</f>
        <v>2. Twix</v>
      </c>
      <c r="B1107" s="4" t="str">
        <f>IFERROR(__xludf.DUMMYFUNCTION("""COMPUTED_VALUE"""),"2")</f>
        <v>2</v>
      </c>
      <c r="C1107" s="5" t="str">
        <f>IFERROR(__xludf.DUMMYFUNCTION("""COMPUTED_VALUE"""),"https://drive.google.com/file/d/1eA45BMbO4b9CJ7Pcz9F9EWTdt9dQrdXP/view?usp=drivesdk")</f>
        <v>https://drive.google.com/file/d/1eA45BMbO4b9CJ7Pcz9F9EWTdt9dQrdXP/view?usp=drivesdk</v>
      </c>
      <c r="D1107" s="12"/>
      <c r="E1107" s="6">
        <v>1164.0</v>
      </c>
      <c r="F1107" s="2"/>
    </row>
    <row r="1108" ht="1.5" customHeight="1">
      <c r="A1108" s="4" t="str">
        <f>IFERROR(__xludf.DUMMYFUNCTION("""COMPUTED_VALUE"""),"5. Eraser")</f>
        <v>5. Eraser</v>
      </c>
      <c r="B1108" s="4" t="str">
        <f>IFERROR(__xludf.DUMMYFUNCTION("""COMPUTED_VALUE"""),"5")</f>
        <v>5</v>
      </c>
      <c r="C1108" s="5" t="str">
        <f>IFERROR(__xludf.DUMMYFUNCTION("""COMPUTED_VALUE"""),"https://drive.google.com/file/d/1FTFmn2v_DaT3z7jCjDLO0SQAoL5GTomM/view?usp=drivesdk")</f>
        <v>https://drive.google.com/file/d/1FTFmn2v_DaT3z7jCjDLO0SQAoL5GTomM/view?usp=drivesdk</v>
      </c>
      <c r="D1108" s="12"/>
      <c r="E1108" s="11">
        <v>1165.0</v>
      </c>
      <c r="F1108" s="2"/>
    </row>
    <row r="1109" ht="1.5" customHeight="1">
      <c r="A1109" s="4" t="str">
        <f>IFERROR(__xludf.DUMMYFUNCTION("""COMPUTED_VALUE"""),"27. Angel,30. Pepper, 29. Ginger")</f>
        <v>27. Angel,30. Pepper, 29. Ginger</v>
      </c>
      <c r="B1109" s="4" t="str">
        <f>IFERROR(__xludf.DUMMYFUNCTION("""COMPUTED_VALUE"""),"27,30, 29")</f>
        <v>27,30, 29</v>
      </c>
      <c r="C1109" s="5" t="str">
        <f>IFERROR(__xludf.DUMMYFUNCTION("""COMPUTED_VALUE"""),"https://drive.google.com/file/d/1Hk-ijfIeAvY9Fo473SlnJGTRbXPBj0WZ/view?usp=drivesdk")</f>
        <v>https://drive.google.com/file/d/1Hk-ijfIeAvY9Fo473SlnJGTRbXPBj0WZ/view?usp=drivesdk</v>
      </c>
      <c r="D1109" s="12"/>
      <c r="E1109" s="6">
        <v>1166.0</v>
      </c>
      <c r="F1109" s="2"/>
    </row>
    <row r="1110" ht="1.5" customHeight="1">
      <c r="A1110" s="4" t="str">
        <f>IFERROR(__xludf.DUMMYFUNCTION("""COMPUTED_VALUE"""),"2. Twix")</f>
        <v>2. Twix</v>
      </c>
      <c r="B1110" s="4" t="str">
        <f>IFERROR(__xludf.DUMMYFUNCTION("""COMPUTED_VALUE"""),"2")</f>
        <v>2</v>
      </c>
      <c r="C1110" s="5" t="str">
        <f>IFERROR(__xludf.DUMMYFUNCTION("""COMPUTED_VALUE"""),"https://drive.google.com/file/d/1UJH-EKVBbiFBYADrxz0fvcXNin-pwEYo/view?usp=drivesdk")</f>
        <v>https://drive.google.com/file/d/1UJH-EKVBbiFBYADrxz0fvcXNin-pwEYo/view?usp=drivesdk</v>
      </c>
      <c r="D1110" s="12"/>
      <c r="E1110" s="11">
        <v>1167.0</v>
      </c>
      <c r="F1110" s="2"/>
    </row>
    <row r="1111" ht="1.5" customHeight="1">
      <c r="A1111" s="4" t="str">
        <f>IFERROR(__xludf.DUMMYFUNCTION("""COMPUTED_VALUE"""),"1. Microwave")</f>
        <v>1. Microwave</v>
      </c>
      <c r="B1111" s="4" t="str">
        <f>IFERROR(__xludf.DUMMYFUNCTION("""COMPUTED_VALUE"""),"1")</f>
        <v>1</v>
      </c>
      <c r="C1111" s="5" t="str">
        <f>IFERROR(__xludf.DUMMYFUNCTION("""COMPUTED_VALUE"""),"https://drive.google.com/file/d/1_y4M_JdWcISWHREaygqiokJdGGgUVJGP/view?usp=drivesdk")</f>
        <v>https://drive.google.com/file/d/1_y4M_JdWcISWHREaygqiokJdGGgUVJGP/view?usp=drivesdk</v>
      </c>
      <c r="D1111" s="12"/>
      <c r="E1111" s="6">
        <v>1168.0</v>
      </c>
      <c r="F1111" s="2"/>
    </row>
    <row r="1112" ht="1.5" customHeight="1">
      <c r="A1112" s="4" t="str">
        <f>IFERROR(__xludf.DUMMYFUNCTION("""COMPUTED_VALUE"""),"1. Microwave")</f>
        <v>1. Microwave</v>
      </c>
      <c r="B1112" s="4" t="str">
        <f>IFERROR(__xludf.DUMMYFUNCTION("""COMPUTED_VALUE"""),"1")</f>
        <v>1</v>
      </c>
      <c r="C1112" s="5" t="str">
        <f>IFERROR(__xludf.DUMMYFUNCTION("""COMPUTED_VALUE"""),"https://drive.google.com/file/d/1UuMUJ97k1L06RfjzcZcXEnj9-wFUFB8d/view?usp=drivesdk")</f>
        <v>https://drive.google.com/file/d/1UuMUJ97k1L06RfjzcZcXEnj9-wFUFB8d/view?usp=drivesdk</v>
      </c>
      <c r="D1112" s="12"/>
      <c r="E1112" s="11">
        <v>1169.0</v>
      </c>
      <c r="F1112" s="2"/>
    </row>
    <row r="1113" ht="1.5" customHeight="1">
      <c r="A1113" s="4" t="str">
        <f>IFERROR(__xludf.DUMMYFUNCTION("""COMPUTED_VALUE"""),"1. Microwave")</f>
        <v>1. Microwave</v>
      </c>
      <c r="B1113" s="4" t="str">
        <f>IFERROR(__xludf.DUMMYFUNCTION("""COMPUTED_VALUE"""),"1")</f>
        <v>1</v>
      </c>
      <c r="C1113" s="5" t="str">
        <f>IFERROR(__xludf.DUMMYFUNCTION("""COMPUTED_VALUE"""),"https://drive.google.com/file/d/1DHxz0HHrknIDyU-77m0uRGFLDrEskiAt/view?usp=drivesdk")</f>
        <v>https://drive.google.com/file/d/1DHxz0HHrknIDyU-77m0uRGFLDrEskiAt/view?usp=drivesdk</v>
      </c>
      <c r="D1113" s="12"/>
      <c r="E1113" s="6">
        <v>1170.0</v>
      </c>
      <c r="F1113" s="2"/>
    </row>
    <row r="1114" ht="1.5" customHeight="1">
      <c r="A1114" s="4" t="str">
        <f>IFERROR(__xludf.DUMMYFUNCTION("""COMPUTED_VALUE"""),"2. Twix")</f>
        <v>2. Twix</v>
      </c>
      <c r="B1114" s="4" t="str">
        <f>IFERROR(__xludf.DUMMYFUNCTION("""COMPUTED_VALUE"""),"2")</f>
        <v>2</v>
      </c>
      <c r="C1114" s="5" t="str">
        <f>IFERROR(__xludf.DUMMYFUNCTION("""COMPUTED_VALUE"""),"https://drive.google.com/file/d/1ZqDHKmWsZZ51gZIg-KgSJALdvsK-X4Cc/view?usp=drivesdk")</f>
        <v>https://drive.google.com/file/d/1ZqDHKmWsZZ51gZIg-KgSJALdvsK-X4Cc/view?usp=drivesdk</v>
      </c>
      <c r="D1114" s="12"/>
      <c r="E1114" s="11">
        <v>1171.0</v>
      </c>
      <c r="F1114" s="2"/>
    </row>
    <row r="1115" ht="1.5" customHeight="1">
      <c r="A1115" s="4" t="str">
        <f>IFERROR(__xludf.DUMMYFUNCTION("""COMPUTED_VALUE"""),"2. Twix")</f>
        <v>2. Twix</v>
      </c>
      <c r="B1115" s="4" t="str">
        <f>IFERROR(__xludf.DUMMYFUNCTION("""COMPUTED_VALUE"""),"2")</f>
        <v>2</v>
      </c>
      <c r="C1115" s="5" t="str">
        <f>IFERROR(__xludf.DUMMYFUNCTION("""COMPUTED_VALUE"""),"https://drive.google.com/file/d/1mxJrmqZX9WCyfuOouPxst2LvK6LBPmWL/view?usp=drivesdk")</f>
        <v>https://drive.google.com/file/d/1mxJrmqZX9WCyfuOouPxst2LvK6LBPmWL/view?usp=drivesdk</v>
      </c>
      <c r="D1115" s="12"/>
      <c r="E1115" s="6">
        <v>1172.0</v>
      </c>
      <c r="F1115" s="2"/>
    </row>
    <row r="1116" ht="1.5" customHeight="1">
      <c r="A1116" s="4" t="str">
        <f>IFERROR(__xludf.DUMMYFUNCTION("""COMPUTED_VALUE"""),"1. Microwave")</f>
        <v>1. Microwave</v>
      </c>
      <c r="B1116" s="4" t="str">
        <f>IFERROR(__xludf.DUMMYFUNCTION("""COMPUTED_VALUE"""),"1")</f>
        <v>1</v>
      </c>
      <c r="C1116" s="5" t="str">
        <f>IFERROR(__xludf.DUMMYFUNCTION("""COMPUTED_VALUE"""),"https://drive.google.com/file/d/1InEPTsJALKLcgyksDvgP5QkRVLDw3486/view?usp=drivesdk")</f>
        <v>https://drive.google.com/file/d/1InEPTsJALKLcgyksDvgP5QkRVLDw3486/view?usp=drivesdk</v>
      </c>
      <c r="D1116" s="12"/>
      <c r="E1116" s="11">
        <v>1173.0</v>
      </c>
      <c r="F1116" s="2"/>
    </row>
    <row r="1117" ht="1.5" customHeight="1">
      <c r="A1117" s="4" t="str">
        <f>IFERROR(__xludf.DUMMYFUNCTION("""COMPUTED_VALUE"""),"1. Microwave")</f>
        <v>1. Microwave</v>
      </c>
      <c r="B1117" s="4" t="str">
        <f>IFERROR(__xludf.DUMMYFUNCTION("""COMPUTED_VALUE"""),"1")</f>
        <v>1</v>
      </c>
      <c r="C1117" s="5" t="str">
        <f>IFERROR(__xludf.DUMMYFUNCTION("""COMPUTED_VALUE"""),"https://drive.google.com/file/d/16t9WlnkWtCIQQzalU53WcQc4zvO__gqg/view?usp=drivesdk")</f>
        <v>https://drive.google.com/file/d/16t9WlnkWtCIQQzalU53WcQc4zvO__gqg/view?usp=drivesdk</v>
      </c>
      <c r="D1117" s="12"/>
      <c r="E1117" s="6">
        <v>1174.0</v>
      </c>
      <c r="F1117" s="2"/>
    </row>
    <row r="1118" ht="1.5" customHeight="1">
      <c r="A1118" s="4" t="str">
        <f>IFERROR(__xludf.DUMMYFUNCTION("""COMPUTED_VALUE"""),"1. Microwave")</f>
        <v>1. Microwave</v>
      </c>
      <c r="B1118" s="4" t="str">
        <f>IFERROR(__xludf.DUMMYFUNCTION("""COMPUTED_VALUE"""),"1")</f>
        <v>1</v>
      </c>
      <c r="C1118" s="5" t="str">
        <f>IFERROR(__xludf.DUMMYFUNCTION("""COMPUTED_VALUE"""),"https://drive.google.com/file/d/1cDIVdgD_Vn4RQGNt5kkFyskdOjXBZBZv/view?usp=drivesdk")</f>
        <v>https://drive.google.com/file/d/1cDIVdgD_Vn4RQGNt5kkFyskdOjXBZBZv/view?usp=drivesdk</v>
      </c>
      <c r="D1118" s="12"/>
      <c r="E1118" s="11">
        <v>1175.0</v>
      </c>
      <c r="F1118" s="2"/>
    </row>
    <row r="1119" ht="1.5" customHeight="1">
      <c r="A1119" s="4" t="str">
        <f>IFERROR(__xludf.DUMMYFUNCTION("""COMPUTED_VALUE"""),"1. Microwave")</f>
        <v>1. Microwave</v>
      </c>
      <c r="B1119" s="4" t="str">
        <f>IFERROR(__xludf.DUMMYFUNCTION("""COMPUTED_VALUE"""),"1")</f>
        <v>1</v>
      </c>
      <c r="C1119" s="5" t="str">
        <f>IFERROR(__xludf.DUMMYFUNCTION("""COMPUTED_VALUE"""),"https://drive.google.com/file/d/1GYKZFU4Js1chRe4rmim8MJn5eg7jQj-U/view?usp=drivesdk")</f>
        <v>https://drive.google.com/file/d/1GYKZFU4Js1chRe4rmim8MJn5eg7jQj-U/view?usp=drivesdk</v>
      </c>
      <c r="D1119" s="12"/>
      <c r="E1119" s="6">
        <v>1176.0</v>
      </c>
      <c r="F1119" s="2"/>
    </row>
    <row r="1120" ht="1.5" customHeight="1">
      <c r="A1120" s="4" t="str">
        <f>IFERROR(__xludf.DUMMYFUNCTION("""COMPUTED_VALUE"""),"1. Microwave")</f>
        <v>1. Microwave</v>
      </c>
      <c r="B1120" s="4" t="str">
        <f>IFERROR(__xludf.DUMMYFUNCTION("""COMPUTED_VALUE"""),"1")</f>
        <v>1</v>
      </c>
      <c r="C1120" s="5" t="str">
        <f>IFERROR(__xludf.DUMMYFUNCTION("""COMPUTED_VALUE"""),"https://drive.google.com/file/d/1XE5mQ8fAt5POFGmFA7o2O8npv9k-8bHs/view?usp=drivesdk")</f>
        <v>https://drive.google.com/file/d/1XE5mQ8fAt5POFGmFA7o2O8npv9k-8bHs/view?usp=drivesdk</v>
      </c>
      <c r="D1120" s="12"/>
      <c r="E1120" s="11">
        <v>1177.0</v>
      </c>
      <c r="F1120" s="2"/>
    </row>
    <row r="1121" ht="1.5" customHeight="1">
      <c r="A1121" s="4" t="str">
        <f>IFERROR(__xludf.DUMMYFUNCTION("""COMPUTED_VALUE"""),"1. Microwave")</f>
        <v>1. Microwave</v>
      </c>
      <c r="B1121" s="4" t="str">
        <f>IFERROR(__xludf.DUMMYFUNCTION("""COMPUTED_VALUE"""),"1")</f>
        <v>1</v>
      </c>
      <c r="C1121" s="5" t="str">
        <f>IFERROR(__xludf.DUMMYFUNCTION("""COMPUTED_VALUE"""),"https://drive.google.com/file/d/13zaiOzFx5KSoLM8Klu-3AoUFcIFLBDfb/view?usp=drivesdk")</f>
        <v>https://drive.google.com/file/d/13zaiOzFx5KSoLM8Klu-3AoUFcIFLBDfb/view?usp=drivesdk</v>
      </c>
      <c r="D1121" s="12"/>
      <c r="E1121" s="6">
        <v>1178.0</v>
      </c>
      <c r="F1121" s="2"/>
    </row>
    <row r="1122" ht="1.5" customHeight="1">
      <c r="A1122" s="4" t="str">
        <f>IFERROR(__xludf.DUMMYFUNCTION("""COMPUTED_VALUE"""),"1. Microwave")</f>
        <v>1. Microwave</v>
      </c>
      <c r="B1122" s="4" t="str">
        <f>IFERROR(__xludf.DUMMYFUNCTION("""COMPUTED_VALUE"""),"1")</f>
        <v>1</v>
      </c>
      <c r="C1122" s="5" t="str">
        <f>IFERROR(__xludf.DUMMYFUNCTION("""COMPUTED_VALUE"""),"https://drive.google.com/file/d/1qLY6ZpkhXlcg9lv3TOsvbS6cgRcKJsX0/view?usp=drivesdk")</f>
        <v>https://drive.google.com/file/d/1qLY6ZpkhXlcg9lv3TOsvbS6cgRcKJsX0/view?usp=drivesdk</v>
      </c>
      <c r="D1122" s="12"/>
      <c r="E1122" s="11">
        <v>1179.0</v>
      </c>
      <c r="F1122" s="2"/>
    </row>
    <row r="1123" ht="1.5" customHeight="1">
      <c r="A1123" s="4" t="str">
        <f>IFERROR(__xludf.DUMMYFUNCTION("""COMPUTED_VALUE"""),"1. Microwave")</f>
        <v>1. Microwave</v>
      </c>
      <c r="B1123" s="4" t="str">
        <f>IFERROR(__xludf.DUMMYFUNCTION("""COMPUTED_VALUE"""),"1")</f>
        <v>1</v>
      </c>
      <c r="C1123" s="5" t="str">
        <f>IFERROR(__xludf.DUMMYFUNCTION("""COMPUTED_VALUE"""),"https://drive.google.com/file/d/18Y-3vWZHjNpyw-IPBp4EIYnaMCznwoKC/view?usp=drivesdk")</f>
        <v>https://drive.google.com/file/d/18Y-3vWZHjNpyw-IPBp4EIYnaMCznwoKC/view?usp=drivesdk</v>
      </c>
      <c r="D1123" s="12"/>
      <c r="E1123" s="6">
        <v>1180.0</v>
      </c>
      <c r="F1123" s="2"/>
    </row>
    <row r="1124" ht="1.5" customHeight="1">
      <c r="A1124" s="4" t="str">
        <f>IFERROR(__xludf.DUMMYFUNCTION("""COMPUTED_VALUE"""),"1. Microwave")</f>
        <v>1. Microwave</v>
      </c>
      <c r="B1124" s="4" t="str">
        <f>IFERROR(__xludf.DUMMYFUNCTION("""COMPUTED_VALUE"""),"1")</f>
        <v>1</v>
      </c>
      <c r="C1124" s="5" t="str">
        <f>IFERROR(__xludf.DUMMYFUNCTION("""COMPUTED_VALUE"""),"https://drive.google.com/file/d/1n1YEtzVD9khOMCfNCC-OH9FH3nNeFVna/view?usp=drivesdk")</f>
        <v>https://drive.google.com/file/d/1n1YEtzVD9khOMCfNCC-OH9FH3nNeFVna/view?usp=drivesdk</v>
      </c>
      <c r="D1124" s="12"/>
      <c r="E1124" s="11">
        <v>1181.0</v>
      </c>
      <c r="F1124" s="2"/>
    </row>
    <row r="1125" ht="1.5" customHeight="1">
      <c r="A1125" s="4" t="str">
        <f>IFERROR(__xludf.DUMMYFUNCTION("""COMPUTED_VALUE"""),"1. Microwave")</f>
        <v>1. Microwave</v>
      </c>
      <c r="B1125" s="4" t="str">
        <f>IFERROR(__xludf.DUMMYFUNCTION("""COMPUTED_VALUE"""),"1")</f>
        <v>1</v>
      </c>
      <c r="C1125" s="5" t="str">
        <f>IFERROR(__xludf.DUMMYFUNCTION("""COMPUTED_VALUE"""),"https://drive.google.com/file/d/1gV2HTjz8BGsKFz60aHlxql8AKYiFa-mi/view?usp=drivesdk")</f>
        <v>https://drive.google.com/file/d/1gV2HTjz8BGsKFz60aHlxql8AKYiFa-mi/view?usp=drivesdk</v>
      </c>
      <c r="D1125" s="12"/>
      <c r="E1125" s="6">
        <v>1182.0</v>
      </c>
      <c r="F1125" s="2"/>
    </row>
    <row r="1126" ht="1.5" customHeight="1">
      <c r="A1126" s="4" t="str">
        <f>IFERROR(__xludf.DUMMYFUNCTION("""COMPUTED_VALUE"""),"1. Microwave")</f>
        <v>1. Microwave</v>
      </c>
      <c r="B1126" s="4" t="str">
        <f>IFERROR(__xludf.DUMMYFUNCTION("""COMPUTED_VALUE"""),"1")</f>
        <v>1</v>
      </c>
      <c r="C1126" s="5" t="str">
        <f>IFERROR(__xludf.DUMMYFUNCTION("""COMPUTED_VALUE"""),"https://drive.google.com/file/d/1rXt3nDrYyMu4Y1cORy5XkBQF5crzt5w7/view?usp=drivesdk")</f>
        <v>https://drive.google.com/file/d/1rXt3nDrYyMu4Y1cORy5XkBQF5crzt5w7/view?usp=drivesdk</v>
      </c>
      <c r="D1126" s="12"/>
      <c r="E1126" s="11">
        <v>1183.0</v>
      </c>
      <c r="F1126" s="2"/>
    </row>
    <row r="1127" ht="1.5" customHeight="1">
      <c r="A1127" s="4" t="str">
        <f>IFERROR(__xludf.DUMMYFUNCTION("""COMPUTED_VALUE"""),"1. Microwave")</f>
        <v>1. Microwave</v>
      </c>
      <c r="B1127" s="4" t="str">
        <f>IFERROR(__xludf.DUMMYFUNCTION("""COMPUTED_VALUE"""),"1")</f>
        <v>1</v>
      </c>
      <c r="C1127" s="5" t="str">
        <f>IFERROR(__xludf.DUMMYFUNCTION("""COMPUTED_VALUE"""),"https://drive.google.com/file/d/1yMJLEsFObZplr0sZwZhZ3xL8MIhK6xxS/view?usp=drivesdk")</f>
        <v>https://drive.google.com/file/d/1yMJLEsFObZplr0sZwZhZ3xL8MIhK6xxS/view?usp=drivesdk</v>
      </c>
      <c r="D1127" s="12"/>
      <c r="E1127" s="6">
        <v>1184.0</v>
      </c>
      <c r="F1127" s="2"/>
    </row>
    <row r="1128" ht="1.5" customHeight="1">
      <c r="A1128" s="4" t="str">
        <f>IFERROR(__xludf.DUMMYFUNCTION("""COMPUTED_VALUE"""),"19. Rolo")</f>
        <v>19. Rolo</v>
      </c>
      <c r="B1128" s="4" t="str">
        <f>IFERROR(__xludf.DUMMYFUNCTION("""COMPUTED_VALUE"""),"19")</f>
        <v>19</v>
      </c>
      <c r="C1128" s="5" t="str">
        <f>IFERROR(__xludf.DUMMYFUNCTION("""COMPUTED_VALUE"""),"https://drive.google.com/file/d/1nsYfBIIXBmVGhyki1ELkKS3WzkeTcx7C/view?usp=drivesdk")</f>
        <v>https://drive.google.com/file/d/1nsYfBIIXBmVGhyki1ELkKS3WzkeTcx7C/view?usp=drivesdk</v>
      </c>
      <c r="D1128" s="12"/>
      <c r="E1128" s="11">
        <v>1185.0</v>
      </c>
      <c r="F1128" s="2"/>
    </row>
    <row r="1129" ht="1.5" customHeight="1">
      <c r="A1129" s="4" t="str">
        <f>IFERROR(__xludf.DUMMYFUNCTION("""COMPUTED_VALUE"""),"19. Rolo")</f>
        <v>19. Rolo</v>
      </c>
      <c r="B1129" s="4" t="str">
        <f>IFERROR(__xludf.DUMMYFUNCTION("""COMPUTED_VALUE"""),"19")</f>
        <v>19</v>
      </c>
      <c r="C1129" s="5" t="str">
        <f>IFERROR(__xludf.DUMMYFUNCTION("""COMPUTED_VALUE"""),"https://drive.google.com/file/d/1WPcIOX4s8NoyuEQLW6HkE5waXC23Kxec/view?usp=drivesdk")</f>
        <v>https://drive.google.com/file/d/1WPcIOX4s8NoyuEQLW6HkE5waXC23Kxec/view?usp=drivesdk</v>
      </c>
      <c r="D1129" s="12"/>
      <c r="E1129" s="6">
        <v>1186.0</v>
      </c>
      <c r="F1129" s="2"/>
    </row>
    <row r="1130" ht="1.5" customHeight="1">
      <c r="A1130" s="4" t="str">
        <f>IFERROR(__xludf.DUMMYFUNCTION("""COMPUTED_VALUE"""),"19. Rolo")</f>
        <v>19. Rolo</v>
      </c>
      <c r="B1130" s="4" t="str">
        <f>IFERROR(__xludf.DUMMYFUNCTION("""COMPUTED_VALUE"""),"19")</f>
        <v>19</v>
      </c>
      <c r="C1130" s="5" t="str">
        <f>IFERROR(__xludf.DUMMYFUNCTION("""COMPUTED_VALUE"""),"https://drive.google.com/file/d/1DyCdM6ghzQkyMzADAdZpUAs38j_-043o/view?usp=drivesdk")</f>
        <v>https://drive.google.com/file/d/1DyCdM6ghzQkyMzADAdZpUAs38j_-043o/view?usp=drivesdk</v>
      </c>
      <c r="D1130" s="12"/>
      <c r="E1130" s="11">
        <v>1187.0</v>
      </c>
      <c r="F1130" s="2"/>
    </row>
    <row r="1131" ht="1.5" customHeight="1">
      <c r="A1131" s="4" t="str">
        <f>IFERROR(__xludf.DUMMYFUNCTION("""COMPUTED_VALUE"""),"20. Citlali")</f>
        <v>20. Citlali</v>
      </c>
      <c r="B1131" s="4" t="str">
        <f>IFERROR(__xludf.DUMMYFUNCTION("""COMPUTED_VALUE"""),"20")</f>
        <v>20</v>
      </c>
      <c r="C1131" s="5" t="str">
        <f>IFERROR(__xludf.DUMMYFUNCTION("""COMPUTED_VALUE"""),"https://drive.google.com/file/d/1TaeDql6Fz5YaHXsfdBzP15hhIwJ2dv6L/view?usp=drivesdk")</f>
        <v>https://drive.google.com/file/d/1TaeDql6Fz5YaHXsfdBzP15hhIwJ2dv6L/view?usp=drivesdk</v>
      </c>
      <c r="D1131" s="12"/>
      <c r="E1131" s="6">
        <v>1188.0</v>
      </c>
      <c r="F1131" s="2"/>
    </row>
    <row r="1132" ht="1.5" customHeight="1">
      <c r="A1132" s="4" t="str">
        <f>IFERROR(__xludf.DUMMYFUNCTION("""COMPUTED_VALUE"""),"20. Citlali")</f>
        <v>20. Citlali</v>
      </c>
      <c r="B1132" s="4" t="str">
        <f>IFERROR(__xludf.DUMMYFUNCTION("""COMPUTED_VALUE"""),"20")</f>
        <v>20</v>
      </c>
      <c r="C1132" s="5" t="str">
        <f>IFERROR(__xludf.DUMMYFUNCTION("""COMPUTED_VALUE"""),"https://drive.google.com/file/d/1tDAyNshGEGq3D1uCAourzcDqpSuCy7v3/view?usp=drivesdk")</f>
        <v>https://drive.google.com/file/d/1tDAyNshGEGq3D1uCAourzcDqpSuCy7v3/view?usp=drivesdk</v>
      </c>
      <c r="D1132" s="12"/>
      <c r="E1132" s="11">
        <v>1189.0</v>
      </c>
      <c r="F1132" s="2"/>
    </row>
    <row r="1133" ht="1.5" customHeight="1">
      <c r="A1133" s="4" t="str">
        <f>IFERROR(__xludf.DUMMYFUNCTION("""COMPUTED_VALUE"""),"20. Citlali")</f>
        <v>20. Citlali</v>
      </c>
      <c r="B1133" s="4" t="str">
        <f>IFERROR(__xludf.DUMMYFUNCTION("""COMPUTED_VALUE"""),"20")</f>
        <v>20</v>
      </c>
      <c r="C1133" s="5" t="str">
        <f>IFERROR(__xludf.DUMMYFUNCTION("""COMPUTED_VALUE"""),"https://drive.google.com/file/d/1Qq9V5Jq1rZs5iM35XLI7VeftpF7zoFyf/view?usp=drivesdk")</f>
        <v>https://drive.google.com/file/d/1Qq9V5Jq1rZs5iM35XLI7VeftpF7zoFyf/view?usp=drivesdk</v>
      </c>
      <c r="D1133" s="12"/>
      <c r="E1133" s="6">
        <v>1190.0</v>
      </c>
      <c r="F1133" s="2"/>
    </row>
    <row r="1134" ht="1.5" customHeight="1">
      <c r="A1134" s="4" t="str">
        <f>IFERROR(__xludf.DUMMYFUNCTION("""COMPUTED_VALUE"""),"20. Citlali")</f>
        <v>20. Citlali</v>
      </c>
      <c r="B1134" s="4" t="str">
        <f>IFERROR(__xludf.DUMMYFUNCTION("""COMPUTED_VALUE"""),"20")</f>
        <v>20</v>
      </c>
      <c r="C1134" s="5" t="str">
        <f>IFERROR(__xludf.DUMMYFUNCTION("""COMPUTED_VALUE"""),"https://drive.google.com/file/d/1smfYUhlBT4s9gfsVQKDFSknr20PUsfuy/view?usp=drivesdk")</f>
        <v>https://drive.google.com/file/d/1smfYUhlBT4s9gfsVQKDFSknr20PUsfuy/view?usp=drivesdk</v>
      </c>
      <c r="D1134" s="12"/>
      <c r="E1134" s="11">
        <v>1191.0</v>
      </c>
      <c r="F1134" s="2"/>
    </row>
    <row r="1135" ht="1.5" customHeight="1">
      <c r="A1135" s="4" t="str">
        <f>IFERROR(__xludf.DUMMYFUNCTION("""COMPUTED_VALUE"""),"20. Citlali")</f>
        <v>20. Citlali</v>
      </c>
      <c r="B1135" s="4" t="str">
        <f>IFERROR(__xludf.DUMMYFUNCTION("""COMPUTED_VALUE"""),"20")</f>
        <v>20</v>
      </c>
      <c r="C1135" s="5" t="str">
        <f>IFERROR(__xludf.DUMMYFUNCTION("""COMPUTED_VALUE"""),"https://drive.google.com/file/d/1Lx5BMcEpOVmB5Ou_6jaiHep5GaymrejB/view?usp=drivesdk")</f>
        <v>https://drive.google.com/file/d/1Lx5BMcEpOVmB5Ou_6jaiHep5GaymrejB/view?usp=drivesdk</v>
      </c>
      <c r="D1135" s="12"/>
      <c r="E1135" s="6">
        <v>1192.0</v>
      </c>
      <c r="F1135" s="2"/>
    </row>
    <row r="1136" ht="1.5" customHeight="1">
      <c r="A1136" s="4" t="str">
        <f>IFERROR(__xludf.DUMMYFUNCTION("""COMPUTED_VALUE"""),"20. Citlali")</f>
        <v>20. Citlali</v>
      </c>
      <c r="B1136" s="4" t="str">
        <f>IFERROR(__xludf.DUMMYFUNCTION("""COMPUTED_VALUE"""),"20")</f>
        <v>20</v>
      </c>
      <c r="C1136" s="5" t="str">
        <f>IFERROR(__xludf.DUMMYFUNCTION("""COMPUTED_VALUE"""),"https://drive.google.com/file/d/1Vc6N-8UG0RAmgdoJ7o7_Tx1NtCIIWyzp/view?usp=drivesdk")</f>
        <v>https://drive.google.com/file/d/1Vc6N-8UG0RAmgdoJ7o7_Tx1NtCIIWyzp/view?usp=drivesdk</v>
      </c>
      <c r="D1136" s="12"/>
      <c r="E1136" s="11">
        <v>1193.0</v>
      </c>
      <c r="F1136" s="2"/>
    </row>
    <row r="1137" ht="1.5" customHeight="1">
      <c r="A1137" s="4" t="str">
        <f>IFERROR(__xludf.DUMMYFUNCTION("""COMPUTED_VALUE"""),"20. Citlali")</f>
        <v>20. Citlali</v>
      </c>
      <c r="B1137" s="4" t="str">
        <f>IFERROR(__xludf.DUMMYFUNCTION("""COMPUTED_VALUE"""),"20")</f>
        <v>20</v>
      </c>
      <c r="C1137" s="5" t="str">
        <f>IFERROR(__xludf.DUMMYFUNCTION("""COMPUTED_VALUE"""),"https://drive.google.com/file/d/1n5hhj2iIKXOH92NgJPul15bSCaz-sZiw/view?usp=drivesdk")</f>
        <v>https://drive.google.com/file/d/1n5hhj2iIKXOH92NgJPul15bSCaz-sZiw/view?usp=drivesdk</v>
      </c>
      <c r="D1137" s="12"/>
      <c r="E1137" s="6">
        <v>1194.0</v>
      </c>
      <c r="F1137" s="2"/>
    </row>
    <row r="1138" ht="1.5" customHeight="1">
      <c r="A1138" s="4" t="str">
        <f>IFERROR(__xludf.DUMMYFUNCTION("""COMPUTED_VALUE"""),"20. Citlali")</f>
        <v>20. Citlali</v>
      </c>
      <c r="B1138" s="4" t="str">
        <f>IFERROR(__xludf.DUMMYFUNCTION("""COMPUTED_VALUE"""),"20")</f>
        <v>20</v>
      </c>
      <c r="C1138" s="5" t="str">
        <f>IFERROR(__xludf.DUMMYFUNCTION("""COMPUTED_VALUE"""),"https://drive.google.com/file/d/1k1SlwgFMHRbPe5_Ayqgr2Nxj8CeMlqB0/view?usp=drivesdk")</f>
        <v>https://drive.google.com/file/d/1k1SlwgFMHRbPe5_Ayqgr2Nxj8CeMlqB0/view?usp=drivesdk</v>
      </c>
      <c r="D1138" s="12"/>
      <c r="E1138" s="11">
        <v>1195.0</v>
      </c>
      <c r="F1138" s="2"/>
    </row>
    <row r="1139" ht="1.5" customHeight="1">
      <c r="A1139" s="4" t="str">
        <f>IFERROR(__xludf.DUMMYFUNCTION("""COMPUTED_VALUE"""),"20. Citlali")</f>
        <v>20. Citlali</v>
      </c>
      <c r="B1139" s="4" t="str">
        <f>IFERROR(__xludf.DUMMYFUNCTION("""COMPUTED_VALUE"""),"20")</f>
        <v>20</v>
      </c>
      <c r="C1139" s="5" t="str">
        <f>IFERROR(__xludf.DUMMYFUNCTION("""COMPUTED_VALUE"""),"https://drive.google.com/file/d/1e0CIONXWG8bDkkYy8436TN-vHKyi3_Fn/view?usp=drivesdk")</f>
        <v>https://drive.google.com/file/d/1e0CIONXWG8bDkkYy8436TN-vHKyi3_Fn/view?usp=drivesdk</v>
      </c>
      <c r="D1139" s="12"/>
      <c r="E1139" s="6">
        <v>1196.0</v>
      </c>
      <c r="F1139" s="2"/>
    </row>
    <row r="1140" ht="1.5" customHeight="1">
      <c r="A1140" s="4" t="str">
        <f>IFERROR(__xludf.DUMMYFUNCTION("""COMPUTED_VALUE"""),"20. Citlali")</f>
        <v>20. Citlali</v>
      </c>
      <c r="B1140" s="4" t="str">
        <f>IFERROR(__xludf.DUMMYFUNCTION("""COMPUTED_VALUE"""),"20")</f>
        <v>20</v>
      </c>
      <c r="C1140" s="5" t="str">
        <f>IFERROR(__xludf.DUMMYFUNCTION("""COMPUTED_VALUE"""),"https://drive.google.com/file/d/1BpuGL9KxD7-TgeGQ_oAqxl3xr3z-OSlo/view?usp=drivesdk")</f>
        <v>https://drive.google.com/file/d/1BpuGL9KxD7-TgeGQ_oAqxl3xr3z-OSlo/view?usp=drivesdk</v>
      </c>
      <c r="D1140" s="12"/>
      <c r="E1140" s="11">
        <v>1197.0</v>
      </c>
      <c r="F1140" s="2"/>
    </row>
    <row r="1141" ht="1.5" customHeight="1">
      <c r="A1141" s="4" t="str">
        <f>IFERROR(__xludf.DUMMYFUNCTION("""COMPUTED_VALUE"""),"20. Citlali")</f>
        <v>20. Citlali</v>
      </c>
      <c r="B1141" s="4" t="str">
        <f>IFERROR(__xludf.DUMMYFUNCTION("""COMPUTED_VALUE"""),"20")</f>
        <v>20</v>
      </c>
      <c r="C1141" s="5" t="str">
        <f>IFERROR(__xludf.DUMMYFUNCTION("""COMPUTED_VALUE"""),"https://drive.google.com/file/d/1j4lQMzJm-2yyQSjR4BDCRWF72EpznVTZ/view?usp=drivesdk")</f>
        <v>https://drive.google.com/file/d/1j4lQMzJm-2yyQSjR4BDCRWF72EpznVTZ/view?usp=drivesdk</v>
      </c>
      <c r="D1141" s="12"/>
      <c r="E1141" s="6">
        <v>1198.0</v>
      </c>
      <c r="F1141" s="2"/>
    </row>
    <row r="1142" ht="1.5" customHeight="1">
      <c r="A1142" s="4" t="str">
        <f>IFERROR(__xludf.DUMMYFUNCTION("""COMPUTED_VALUE"""),"20. Citlali")</f>
        <v>20. Citlali</v>
      </c>
      <c r="B1142" s="4" t="str">
        <f>IFERROR(__xludf.DUMMYFUNCTION("""COMPUTED_VALUE"""),"20")</f>
        <v>20</v>
      </c>
      <c r="C1142" s="5" t="str">
        <f>IFERROR(__xludf.DUMMYFUNCTION("""COMPUTED_VALUE"""),"https://drive.google.com/file/d/15I9IiqtBkn9fg3RmtzFLU8Xafuiz7KDB/view?usp=drivesdk")</f>
        <v>https://drive.google.com/file/d/15I9IiqtBkn9fg3RmtzFLU8Xafuiz7KDB/view?usp=drivesdk</v>
      </c>
      <c r="D1142" s="12"/>
      <c r="E1142" s="11">
        <v>1199.0</v>
      </c>
      <c r="F1142" s="2"/>
    </row>
    <row r="1143" ht="1.5" customHeight="1">
      <c r="A1143" s="4" t="str">
        <f>IFERROR(__xludf.DUMMYFUNCTION("""COMPUTED_VALUE"""),"20. Citlali")</f>
        <v>20. Citlali</v>
      </c>
      <c r="B1143" s="4" t="str">
        <f>IFERROR(__xludf.DUMMYFUNCTION("""COMPUTED_VALUE"""),"20")</f>
        <v>20</v>
      </c>
      <c r="C1143" s="5" t="str">
        <f>IFERROR(__xludf.DUMMYFUNCTION("""COMPUTED_VALUE"""),"https://drive.google.com/file/d/1uZ_rJZo8HzfWOlZ3PVCluCj4r0apMNLJ/view?usp=drivesdk")</f>
        <v>https://drive.google.com/file/d/1uZ_rJZo8HzfWOlZ3PVCluCj4r0apMNLJ/view?usp=drivesdk</v>
      </c>
      <c r="D1143" s="12"/>
      <c r="E1143" s="6">
        <v>1200.0</v>
      </c>
      <c r="F1143" s="2"/>
    </row>
    <row r="1144" ht="1.5" customHeight="1">
      <c r="A1144" s="4" t="str">
        <f>IFERROR(__xludf.DUMMYFUNCTION("""COMPUTED_VALUE"""),"20. Citlali")</f>
        <v>20. Citlali</v>
      </c>
      <c r="B1144" s="4" t="str">
        <f>IFERROR(__xludf.DUMMYFUNCTION("""COMPUTED_VALUE"""),"20")</f>
        <v>20</v>
      </c>
      <c r="C1144" s="5" t="str">
        <f>IFERROR(__xludf.DUMMYFUNCTION("""COMPUTED_VALUE"""),"https://drive.google.com/file/d/1tmT0r07JJN7tjqUW6ZalTdjDGgL40kTl/view?usp=drivesdk")</f>
        <v>https://drive.google.com/file/d/1tmT0r07JJN7tjqUW6ZalTdjDGgL40kTl/view?usp=drivesdk</v>
      </c>
      <c r="D1144" s="12"/>
      <c r="E1144" s="11">
        <v>1201.0</v>
      </c>
      <c r="F1144" s="2"/>
    </row>
    <row r="1145" ht="1.5" customHeight="1">
      <c r="A1145" s="4" t="str">
        <f>IFERROR(__xludf.DUMMYFUNCTION("""COMPUTED_VALUE"""),"20. Citlali")</f>
        <v>20. Citlali</v>
      </c>
      <c r="B1145" s="4" t="str">
        <f>IFERROR(__xludf.DUMMYFUNCTION("""COMPUTED_VALUE"""),"20")</f>
        <v>20</v>
      </c>
      <c r="C1145" s="5" t="str">
        <f>IFERROR(__xludf.DUMMYFUNCTION("""COMPUTED_VALUE"""),"https://drive.google.com/file/d/1rY9v8I2kwYfaHoNlprXeGbLWrMJI3v5J/view?usp=drivesdk")</f>
        <v>https://drive.google.com/file/d/1rY9v8I2kwYfaHoNlprXeGbLWrMJI3v5J/view?usp=drivesdk</v>
      </c>
      <c r="D1145" s="12"/>
      <c r="E1145" s="6">
        <v>1202.0</v>
      </c>
      <c r="F1145" s="2"/>
    </row>
    <row r="1146" ht="1.5" customHeight="1">
      <c r="A1146" s="4" t="str">
        <f>IFERROR(__xludf.DUMMYFUNCTION("""COMPUTED_VALUE"""),"20. Citlali")</f>
        <v>20. Citlali</v>
      </c>
      <c r="B1146" s="4" t="str">
        <f>IFERROR(__xludf.DUMMYFUNCTION("""COMPUTED_VALUE"""),"20")</f>
        <v>20</v>
      </c>
      <c r="C1146" s="5" t="str">
        <f>IFERROR(__xludf.DUMMYFUNCTION("""COMPUTED_VALUE"""),"https://drive.google.com/file/d/1mxWhCepOta2IsCUF9QREcx3J3bX7NhBC/view?usp=drivesdk")</f>
        <v>https://drive.google.com/file/d/1mxWhCepOta2IsCUF9QREcx3J3bX7NhBC/view?usp=drivesdk</v>
      </c>
      <c r="D1146" s="12"/>
      <c r="E1146" s="11">
        <v>1203.0</v>
      </c>
      <c r="F1146" s="2"/>
    </row>
    <row r="1147" ht="1.5" customHeight="1">
      <c r="A1147" s="4" t="str">
        <f>IFERROR(__xludf.DUMMYFUNCTION("""COMPUTED_VALUE"""),"20. Citlali")</f>
        <v>20. Citlali</v>
      </c>
      <c r="B1147" s="4" t="str">
        <f>IFERROR(__xludf.DUMMYFUNCTION("""COMPUTED_VALUE"""),"20")</f>
        <v>20</v>
      </c>
      <c r="C1147" s="5" t="str">
        <f>IFERROR(__xludf.DUMMYFUNCTION("""COMPUTED_VALUE"""),"https://drive.google.com/file/d/1zCOsuGiOl1H6TFj-W4gCgHaQ5gO_Z9eV/view?usp=drivesdk")</f>
        <v>https://drive.google.com/file/d/1zCOsuGiOl1H6TFj-W4gCgHaQ5gO_Z9eV/view?usp=drivesdk</v>
      </c>
      <c r="D1147" s="12"/>
      <c r="E1147" s="6">
        <v>1204.0</v>
      </c>
      <c r="F1147" s="2"/>
    </row>
    <row r="1148" ht="1.5" customHeight="1">
      <c r="A1148" s="4" t="str">
        <f>IFERROR(__xludf.DUMMYFUNCTION("""COMPUTED_VALUE"""),"20. Citlali")</f>
        <v>20. Citlali</v>
      </c>
      <c r="B1148" s="4" t="str">
        <f>IFERROR(__xludf.DUMMYFUNCTION("""COMPUTED_VALUE"""),"20")</f>
        <v>20</v>
      </c>
      <c r="C1148" s="5" t="str">
        <f>IFERROR(__xludf.DUMMYFUNCTION("""COMPUTED_VALUE"""),"https://drive.google.com/file/d/1dGAeezW_gxRoNyjtGfxKZrxbGXzs-lGe/view?usp=drivesdk")</f>
        <v>https://drive.google.com/file/d/1dGAeezW_gxRoNyjtGfxKZrxbGXzs-lGe/view?usp=drivesdk</v>
      </c>
      <c r="D1148" s="12"/>
      <c r="E1148" s="11">
        <v>1205.0</v>
      </c>
      <c r="F1148" s="2"/>
    </row>
    <row r="1149" ht="1.5" customHeight="1">
      <c r="A1149" s="4" t="str">
        <f>IFERROR(__xludf.DUMMYFUNCTION("""COMPUTED_VALUE"""),"20. Citlali")</f>
        <v>20. Citlali</v>
      </c>
      <c r="B1149" s="4" t="str">
        <f>IFERROR(__xludf.DUMMYFUNCTION("""COMPUTED_VALUE"""),"20")</f>
        <v>20</v>
      </c>
      <c r="C1149" s="5" t="str">
        <f>IFERROR(__xludf.DUMMYFUNCTION("""COMPUTED_VALUE"""),"https://drive.google.com/file/d/1Vj_Bbv-I34ZDUkOSulaRfNMo8gU_JDlc/view?usp=drivesdk")</f>
        <v>https://drive.google.com/file/d/1Vj_Bbv-I34ZDUkOSulaRfNMo8gU_JDlc/view?usp=drivesdk</v>
      </c>
      <c r="D1149" s="12"/>
      <c r="E1149" s="6">
        <v>1206.0</v>
      </c>
      <c r="F1149" s="2"/>
    </row>
    <row r="1150" ht="1.5" customHeight="1">
      <c r="A1150" s="4" t="str">
        <f>IFERROR(__xludf.DUMMYFUNCTION("""COMPUTED_VALUE"""),"20. Citlali")</f>
        <v>20. Citlali</v>
      </c>
      <c r="B1150" s="4" t="str">
        <f>IFERROR(__xludf.DUMMYFUNCTION("""COMPUTED_VALUE"""),"20")</f>
        <v>20</v>
      </c>
      <c r="C1150" s="5" t="str">
        <f>IFERROR(__xludf.DUMMYFUNCTION("""COMPUTED_VALUE"""),"https://drive.google.com/file/d/1Uu8nPGAm0PRKppbHi1w0wGhSyYVu2nUL/view?usp=drivesdk")</f>
        <v>https://drive.google.com/file/d/1Uu8nPGAm0PRKppbHi1w0wGhSyYVu2nUL/view?usp=drivesdk</v>
      </c>
      <c r="D1150" s="12"/>
      <c r="E1150" s="11">
        <v>1207.0</v>
      </c>
      <c r="F1150" s="2"/>
    </row>
    <row r="1151" ht="1.5" customHeight="1">
      <c r="A1151" s="4" t="str">
        <f>IFERROR(__xludf.DUMMYFUNCTION("""COMPUTED_VALUE"""),"20. Citlali")</f>
        <v>20. Citlali</v>
      </c>
      <c r="B1151" s="4" t="str">
        <f>IFERROR(__xludf.DUMMYFUNCTION("""COMPUTED_VALUE"""),"20")</f>
        <v>20</v>
      </c>
      <c r="C1151" s="5" t="str">
        <f>IFERROR(__xludf.DUMMYFUNCTION("""COMPUTED_VALUE"""),"https://drive.google.com/file/d/18qXoAbJ3v7ugvkDRsMcf24yMqW5HoLhG/view?usp=drivesdk")</f>
        <v>https://drive.google.com/file/d/18qXoAbJ3v7ugvkDRsMcf24yMqW5HoLhG/view?usp=drivesdk</v>
      </c>
      <c r="D1151" s="12"/>
      <c r="E1151" s="6">
        <v>1208.0</v>
      </c>
      <c r="F1151" s="2"/>
    </row>
    <row r="1152" ht="1.5" customHeight="1">
      <c r="A1152" s="4" t="str">
        <f>IFERROR(__xludf.DUMMYFUNCTION("""COMPUTED_VALUE"""),"20. Citlali")</f>
        <v>20. Citlali</v>
      </c>
      <c r="B1152" s="4" t="str">
        <f>IFERROR(__xludf.DUMMYFUNCTION("""COMPUTED_VALUE"""),"20")</f>
        <v>20</v>
      </c>
      <c r="C1152" s="5" t="str">
        <f>IFERROR(__xludf.DUMMYFUNCTION("""COMPUTED_VALUE"""),"https://drive.google.com/file/d/1StiYNkt3JXRv4yWTrfmavHaL9IeWJgh-/view?usp=drivesdk")</f>
        <v>https://drive.google.com/file/d/1StiYNkt3JXRv4yWTrfmavHaL9IeWJgh-/view?usp=drivesdk</v>
      </c>
      <c r="D1152" s="12"/>
      <c r="E1152" s="11">
        <v>1209.0</v>
      </c>
      <c r="F1152" s="2"/>
    </row>
    <row r="1153" ht="1.5" customHeight="1">
      <c r="A1153" s="4" t="str">
        <f>IFERROR(__xludf.DUMMYFUNCTION("""COMPUTED_VALUE"""),"20. Citlali")</f>
        <v>20. Citlali</v>
      </c>
      <c r="B1153" s="4" t="str">
        <f>IFERROR(__xludf.DUMMYFUNCTION("""COMPUTED_VALUE"""),"20")</f>
        <v>20</v>
      </c>
      <c r="C1153" s="5" t="str">
        <f>IFERROR(__xludf.DUMMYFUNCTION("""COMPUTED_VALUE"""),"https://drive.google.com/file/d/1mP2IffjGnBZLdOPrzAs8LAjWvQqgZSzI/view?usp=drivesdk")</f>
        <v>https://drive.google.com/file/d/1mP2IffjGnBZLdOPrzAs8LAjWvQqgZSzI/view?usp=drivesdk</v>
      </c>
      <c r="D1153" s="12"/>
      <c r="E1153" s="6">
        <v>1210.0</v>
      </c>
      <c r="F1153" s="2"/>
    </row>
    <row r="1154" ht="1.5" customHeight="1">
      <c r="A1154" s="4" t="str">
        <f>IFERROR(__xludf.DUMMYFUNCTION("""COMPUTED_VALUE"""),"20. Citlali")</f>
        <v>20. Citlali</v>
      </c>
      <c r="B1154" s="4" t="str">
        <f>IFERROR(__xludf.DUMMYFUNCTION("""COMPUTED_VALUE"""),"20")</f>
        <v>20</v>
      </c>
      <c r="C1154" s="5" t="str">
        <f>IFERROR(__xludf.DUMMYFUNCTION("""COMPUTED_VALUE"""),"https://drive.google.com/file/d/1LvxZPfubvRMxmPM2H9l9jPEOZkg_kBzk/view?usp=drivesdk")</f>
        <v>https://drive.google.com/file/d/1LvxZPfubvRMxmPM2H9l9jPEOZkg_kBzk/view?usp=drivesdk</v>
      </c>
      <c r="D1154" s="12"/>
      <c r="E1154" s="11">
        <v>1211.0</v>
      </c>
      <c r="F1154" s="2"/>
    </row>
    <row r="1155" ht="1.5" customHeight="1">
      <c r="A1155" s="4" t="str">
        <f>IFERROR(__xludf.DUMMYFUNCTION("""COMPUTED_VALUE"""),"20. Citlali")</f>
        <v>20. Citlali</v>
      </c>
      <c r="B1155" s="4" t="str">
        <f>IFERROR(__xludf.DUMMYFUNCTION("""COMPUTED_VALUE"""),"20")</f>
        <v>20</v>
      </c>
      <c r="C1155" s="5" t="str">
        <f>IFERROR(__xludf.DUMMYFUNCTION("""COMPUTED_VALUE"""),"https://drive.google.com/file/d/10x9cl0hIjJ2AdRAJmS44jmVezBieWtA_/view?usp=drivesdk")</f>
        <v>https://drive.google.com/file/d/10x9cl0hIjJ2AdRAJmS44jmVezBieWtA_/view?usp=drivesdk</v>
      </c>
      <c r="D1155" s="12"/>
      <c r="E1155" s="6">
        <v>1212.0</v>
      </c>
      <c r="F1155" s="2"/>
    </row>
    <row r="1156" ht="1.5" customHeight="1">
      <c r="A1156" s="4" t="str">
        <f>IFERROR(__xludf.DUMMYFUNCTION("""COMPUTED_VALUE"""),"20. Citlali")</f>
        <v>20. Citlali</v>
      </c>
      <c r="B1156" s="4" t="str">
        <f>IFERROR(__xludf.DUMMYFUNCTION("""COMPUTED_VALUE"""),"20")</f>
        <v>20</v>
      </c>
      <c r="C1156" s="5" t="str">
        <f>IFERROR(__xludf.DUMMYFUNCTION("""COMPUTED_VALUE"""),"https://drive.google.com/file/d/1Q2Fbfx42I0Ne_Syu_zXkD_4ah-QY4iQF/view?usp=drivesdk")</f>
        <v>https://drive.google.com/file/d/1Q2Fbfx42I0Ne_Syu_zXkD_4ah-QY4iQF/view?usp=drivesdk</v>
      </c>
      <c r="D1156" s="12"/>
      <c r="E1156" s="11">
        <v>1213.0</v>
      </c>
      <c r="F1156" s="2"/>
    </row>
    <row r="1157" ht="1.5" customHeight="1">
      <c r="A1157" s="4" t="str">
        <f>IFERROR(__xludf.DUMMYFUNCTION("""COMPUTED_VALUE"""),"20. Citlali")</f>
        <v>20. Citlali</v>
      </c>
      <c r="B1157" s="4" t="str">
        <f>IFERROR(__xludf.DUMMYFUNCTION("""COMPUTED_VALUE"""),"20")</f>
        <v>20</v>
      </c>
      <c r="C1157" s="5" t="str">
        <f>IFERROR(__xludf.DUMMYFUNCTION("""COMPUTED_VALUE"""),"https://drive.google.com/file/d/11k2JSuOh_lavswP9fDc8vRXZd31iK-Gk/view?usp=drivesdk")</f>
        <v>https://drive.google.com/file/d/11k2JSuOh_lavswP9fDc8vRXZd31iK-Gk/view?usp=drivesdk</v>
      </c>
      <c r="D1157" s="12"/>
      <c r="E1157" s="6">
        <v>1214.0</v>
      </c>
      <c r="F1157" s="2"/>
    </row>
    <row r="1158" ht="1.5" customHeight="1">
      <c r="A1158" s="4" t="str">
        <f>IFERROR(__xludf.DUMMYFUNCTION("""COMPUTED_VALUE"""),"20. Citlali")</f>
        <v>20. Citlali</v>
      </c>
      <c r="B1158" s="4" t="str">
        <f>IFERROR(__xludf.DUMMYFUNCTION("""COMPUTED_VALUE"""),"20")</f>
        <v>20</v>
      </c>
      <c r="C1158" s="5" t="str">
        <f>IFERROR(__xludf.DUMMYFUNCTION("""COMPUTED_VALUE"""),"https://drive.google.com/file/d/1wxfUmEK8zb5RTlQskHw3TJi8tc8aswN2/view?usp=drivesdk")</f>
        <v>https://drive.google.com/file/d/1wxfUmEK8zb5RTlQskHw3TJi8tc8aswN2/view?usp=drivesdk</v>
      </c>
      <c r="D1158" s="12"/>
      <c r="E1158" s="11">
        <v>1215.0</v>
      </c>
      <c r="F1158" s="2"/>
    </row>
    <row r="1159" ht="1.5" customHeight="1">
      <c r="A1159" s="4" t="str">
        <f>IFERROR(__xludf.DUMMYFUNCTION("""COMPUTED_VALUE"""),"20. Citlali")</f>
        <v>20. Citlali</v>
      </c>
      <c r="B1159" s="4" t="str">
        <f>IFERROR(__xludf.DUMMYFUNCTION("""COMPUTED_VALUE"""),"20")</f>
        <v>20</v>
      </c>
      <c r="C1159" s="5" t="str">
        <f>IFERROR(__xludf.DUMMYFUNCTION("""COMPUTED_VALUE"""),"https://drive.google.com/file/d/1prczL5A4S62fZT56mETtqTUwI-yMl3cD/view?usp=drivesdk")</f>
        <v>https://drive.google.com/file/d/1prczL5A4S62fZT56mETtqTUwI-yMl3cD/view?usp=drivesdk</v>
      </c>
      <c r="D1159" s="12"/>
      <c r="E1159" s="6">
        <v>1216.0</v>
      </c>
      <c r="F1159" s="2"/>
    </row>
    <row r="1160" ht="1.5" customHeight="1">
      <c r="A1160" s="4" t="str">
        <f>IFERROR(__xludf.DUMMYFUNCTION("""COMPUTED_VALUE"""),"20. Citlali")</f>
        <v>20. Citlali</v>
      </c>
      <c r="B1160" s="4" t="str">
        <f>IFERROR(__xludf.DUMMYFUNCTION("""COMPUTED_VALUE"""),"20")</f>
        <v>20</v>
      </c>
      <c r="C1160" s="5" t="str">
        <f>IFERROR(__xludf.DUMMYFUNCTION("""COMPUTED_VALUE"""),"https://drive.google.com/file/d/1aJgZ7ObLJHc3xVi37bYNFr_7-L3pqTxC/view?usp=drivesdk")</f>
        <v>https://drive.google.com/file/d/1aJgZ7ObLJHc3xVi37bYNFr_7-L3pqTxC/view?usp=drivesdk</v>
      </c>
      <c r="D1160" s="12"/>
      <c r="E1160" s="11">
        <v>1217.0</v>
      </c>
      <c r="F1160" s="2"/>
    </row>
    <row r="1161" ht="1.5" customHeight="1">
      <c r="A1161" s="4" t="str">
        <f>IFERROR(__xludf.DUMMYFUNCTION("""COMPUTED_VALUE"""),"20. Citlali")</f>
        <v>20. Citlali</v>
      </c>
      <c r="B1161" s="4" t="str">
        <f>IFERROR(__xludf.DUMMYFUNCTION("""COMPUTED_VALUE"""),"20")</f>
        <v>20</v>
      </c>
      <c r="C1161" s="5" t="str">
        <f>IFERROR(__xludf.DUMMYFUNCTION("""COMPUTED_VALUE"""),"https://drive.google.com/file/d/1pSvKQ-U6rAi-gO9tpJ2dYxIH8HYu7ocd/view?usp=drivesdk")</f>
        <v>https://drive.google.com/file/d/1pSvKQ-U6rAi-gO9tpJ2dYxIH8HYu7ocd/view?usp=drivesdk</v>
      </c>
      <c r="D1161" s="12"/>
      <c r="E1161" s="6">
        <v>1218.0</v>
      </c>
      <c r="F1161" s="2"/>
    </row>
    <row r="1162" ht="1.5" customHeight="1">
      <c r="A1162" s="4" t="str">
        <f>IFERROR(__xludf.DUMMYFUNCTION("""COMPUTED_VALUE"""),"20. Citlali")</f>
        <v>20. Citlali</v>
      </c>
      <c r="B1162" s="4" t="str">
        <f>IFERROR(__xludf.DUMMYFUNCTION("""COMPUTED_VALUE"""),"20")</f>
        <v>20</v>
      </c>
      <c r="C1162" s="5" t="str">
        <f>IFERROR(__xludf.DUMMYFUNCTION("""COMPUTED_VALUE"""),"https://drive.google.com/file/d/1DF2DFJhZDYu-Hv84asdNUwsUCBpIsz3x/view?usp=drivesdk")</f>
        <v>https://drive.google.com/file/d/1DF2DFJhZDYu-Hv84asdNUwsUCBpIsz3x/view?usp=drivesdk</v>
      </c>
      <c r="D1162" s="12"/>
      <c r="E1162" s="11">
        <v>1219.0</v>
      </c>
      <c r="F1162" s="2"/>
    </row>
    <row r="1163" ht="1.5" customHeight="1">
      <c r="A1163" s="4" t="str">
        <f>IFERROR(__xludf.DUMMYFUNCTION("""COMPUTED_VALUE"""),"20. Citlali")</f>
        <v>20. Citlali</v>
      </c>
      <c r="B1163" s="4" t="str">
        <f>IFERROR(__xludf.DUMMYFUNCTION("""COMPUTED_VALUE"""),"20")</f>
        <v>20</v>
      </c>
      <c r="C1163" s="5" t="str">
        <f>IFERROR(__xludf.DUMMYFUNCTION("""COMPUTED_VALUE"""),"https://drive.google.com/file/d/1ysS4B4ZoUjQPQZ2VmzpaHjkObmkPeh92/view?usp=drivesdk")</f>
        <v>https://drive.google.com/file/d/1ysS4B4ZoUjQPQZ2VmzpaHjkObmkPeh92/view?usp=drivesdk</v>
      </c>
      <c r="D1163" s="12"/>
      <c r="E1163" s="6">
        <v>1220.0</v>
      </c>
      <c r="F1163" s="2"/>
    </row>
    <row r="1164" ht="1.5" customHeight="1">
      <c r="A1164" s="4" t="str">
        <f>IFERROR(__xludf.DUMMYFUNCTION("""COMPUTED_VALUE"""),"20. Citlali")</f>
        <v>20. Citlali</v>
      </c>
      <c r="B1164" s="4" t="str">
        <f>IFERROR(__xludf.DUMMYFUNCTION("""COMPUTED_VALUE"""),"20")</f>
        <v>20</v>
      </c>
      <c r="C1164" s="5" t="str">
        <f>IFERROR(__xludf.DUMMYFUNCTION("""COMPUTED_VALUE"""),"https://drive.google.com/file/d/1Ya3Nv_GL5TkX88dpoQzRyd_1xjMS6n37/view?usp=drivesdk")</f>
        <v>https://drive.google.com/file/d/1Ya3Nv_GL5TkX88dpoQzRyd_1xjMS6n37/view?usp=drivesdk</v>
      </c>
      <c r="D1164" s="12"/>
      <c r="E1164" s="11">
        <v>1221.0</v>
      </c>
      <c r="F1164" s="2"/>
    </row>
    <row r="1165" ht="1.5" customHeight="1">
      <c r="A1165" s="4" t="str">
        <f>IFERROR(__xludf.DUMMYFUNCTION("""COMPUTED_VALUE"""),"20. Citlali")</f>
        <v>20. Citlali</v>
      </c>
      <c r="B1165" s="4" t="str">
        <f>IFERROR(__xludf.DUMMYFUNCTION("""COMPUTED_VALUE"""),"20")</f>
        <v>20</v>
      </c>
      <c r="C1165" s="5" t="str">
        <f>IFERROR(__xludf.DUMMYFUNCTION("""COMPUTED_VALUE"""),"https://drive.google.com/file/d/1AahjprDcQg27LD5z2eKSUi3BdkZKXDap/view?usp=drivesdk")</f>
        <v>https://drive.google.com/file/d/1AahjprDcQg27LD5z2eKSUi3BdkZKXDap/view?usp=drivesdk</v>
      </c>
      <c r="D1165" s="12"/>
      <c r="E1165" s="6">
        <v>1222.0</v>
      </c>
      <c r="F1165" s="2"/>
    </row>
    <row r="1166" ht="1.5" customHeight="1">
      <c r="A1166" s="4" t="str">
        <f>IFERROR(__xludf.DUMMYFUNCTION("""COMPUTED_VALUE"""),"20. Citlali")</f>
        <v>20. Citlali</v>
      </c>
      <c r="B1166" s="4" t="str">
        <f>IFERROR(__xludf.DUMMYFUNCTION("""COMPUTED_VALUE"""),"20")</f>
        <v>20</v>
      </c>
      <c r="C1166" s="5" t="str">
        <f>IFERROR(__xludf.DUMMYFUNCTION("""COMPUTED_VALUE"""),"https://drive.google.com/file/d/1XnTohHt7STTknAh3JZukgv-Lh2bZ6ERe/view?usp=drivesdk")</f>
        <v>https://drive.google.com/file/d/1XnTohHt7STTknAh3JZukgv-Lh2bZ6ERe/view?usp=drivesdk</v>
      </c>
      <c r="D1166" s="12"/>
      <c r="E1166" s="11">
        <v>1223.0</v>
      </c>
      <c r="F1166" s="2"/>
    </row>
    <row r="1167" ht="1.5" customHeight="1">
      <c r="A1167" s="4" t="str">
        <f>IFERROR(__xludf.DUMMYFUNCTION("""COMPUTED_VALUE"""),"20. Citlali")</f>
        <v>20. Citlali</v>
      </c>
      <c r="B1167" s="4" t="str">
        <f>IFERROR(__xludf.DUMMYFUNCTION("""COMPUTED_VALUE"""),"20")</f>
        <v>20</v>
      </c>
      <c r="C1167" s="5" t="str">
        <f>IFERROR(__xludf.DUMMYFUNCTION("""COMPUTED_VALUE"""),"https://drive.google.com/file/d/1HiGMvSENog-XB2dWnktOXQ9gXQ9TwKpL/view?usp=drivesdk")</f>
        <v>https://drive.google.com/file/d/1HiGMvSENog-XB2dWnktOXQ9gXQ9TwKpL/view?usp=drivesdk</v>
      </c>
      <c r="D1167" s="12"/>
      <c r="E1167" s="6">
        <v>1224.0</v>
      </c>
      <c r="F1167" s="2"/>
    </row>
    <row r="1168" ht="1.5" customHeight="1">
      <c r="A1168" s="4" t="str">
        <f>IFERROR(__xludf.DUMMYFUNCTION("""COMPUTED_VALUE"""),"20. Citlali")</f>
        <v>20. Citlali</v>
      </c>
      <c r="B1168" s="4" t="str">
        <f>IFERROR(__xludf.DUMMYFUNCTION("""COMPUTED_VALUE"""),"20")</f>
        <v>20</v>
      </c>
      <c r="C1168" s="5" t="str">
        <f>IFERROR(__xludf.DUMMYFUNCTION("""COMPUTED_VALUE"""),"https://drive.google.com/file/d/1bTGPgjZAvzVXV9UTuEfqdJSLxS0TneB-/view?usp=drivesdk")</f>
        <v>https://drive.google.com/file/d/1bTGPgjZAvzVXV9UTuEfqdJSLxS0TneB-/view?usp=drivesdk</v>
      </c>
      <c r="D1168" s="12"/>
      <c r="E1168" s="11">
        <v>1225.0</v>
      </c>
      <c r="F1168" s="2"/>
    </row>
    <row r="1169" ht="1.5" customHeight="1">
      <c r="A1169" s="4" t="str">
        <f>IFERROR(__xludf.DUMMYFUNCTION("""COMPUTED_VALUE"""),"20. Citlali")</f>
        <v>20. Citlali</v>
      </c>
      <c r="B1169" s="4" t="str">
        <f>IFERROR(__xludf.DUMMYFUNCTION("""COMPUTED_VALUE"""),"20")</f>
        <v>20</v>
      </c>
      <c r="C1169" s="5" t="str">
        <f>IFERROR(__xludf.DUMMYFUNCTION("""COMPUTED_VALUE"""),"https://drive.google.com/file/d/1HIebMbM8hrLmPO3lz4BFqrzowP7HOCXQ/view?usp=drivesdk")</f>
        <v>https://drive.google.com/file/d/1HIebMbM8hrLmPO3lz4BFqrzowP7HOCXQ/view?usp=drivesdk</v>
      </c>
      <c r="D1169" s="12"/>
      <c r="E1169" s="6">
        <v>1226.0</v>
      </c>
      <c r="F1169" s="2"/>
    </row>
    <row r="1170" ht="1.5" customHeight="1">
      <c r="A1170" s="4" t="str">
        <f>IFERROR(__xludf.DUMMYFUNCTION("""COMPUTED_VALUE"""),"20. Citlali")</f>
        <v>20. Citlali</v>
      </c>
      <c r="B1170" s="4" t="str">
        <f>IFERROR(__xludf.DUMMYFUNCTION("""COMPUTED_VALUE"""),"20")</f>
        <v>20</v>
      </c>
      <c r="C1170" s="5" t="str">
        <f>IFERROR(__xludf.DUMMYFUNCTION("""COMPUTED_VALUE"""),"https://drive.google.com/file/d/1jU6SXxXD4WK_Tb0uVCmzFMhGJ5Z2Hxt0/view?usp=drivesdk")</f>
        <v>https://drive.google.com/file/d/1jU6SXxXD4WK_Tb0uVCmzFMhGJ5Z2Hxt0/view?usp=drivesdk</v>
      </c>
      <c r="D1170" s="12"/>
      <c r="E1170" s="11">
        <v>1227.0</v>
      </c>
      <c r="F1170" s="2"/>
    </row>
    <row r="1171" ht="1.5" customHeight="1">
      <c r="A1171" s="4" t="str">
        <f>IFERROR(__xludf.DUMMYFUNCTION("""COMPUTED_VALUE"""),"20. Citlali")</f>
        <v>20. Citlali</v>
      </c>
      <c r="B1171" s="4" t="str">
        <f>IFERROR(__xludf.DUMMYFUNCTION("""COMPUTED_VALUE"""),"20")</f>
        <v>20</v>
      </c>
      <c r="C1171" s="5" t="str">
        <f>IFERROR(__xludf.DUMMYFUNCTION("""COMPUTED_VALUE"""),"https://drive.google.com/file/d/1GHtGCizDcJ_yPAr3M_4Ab6Dvsv5AwRyl/view?usp=drivesdk")</f>
        <v>https://drive.google.com/file/d/1GHtGCizDcJ_yPAr3M_4Ab6Dvsv5AwRyl/view?usp=drivesdk</v>
      </c>
      <c r="D1171" s="12"/>
      <c r="E1171" s="6">
        <v>1228.0</v>
      </c>
      <c r="F1171" s="2"/>
    </row>
    <row r="1172" ht="1.5" customHeight="1">
      <c r="A1172" s="4" t="str">
        <f>IFERROR(__xludf.DUMMYFUNCTION("""COMPUTED_VALUE"""),"22. Glockenspiel")</f>
        <v>22. Glockenspiel</v>
      </c>
      <c r="B1172" s="4" t="str">
        <f>IFERROR(__xludf.DUMMYFUNCTION("""COMPUTED_VALUE"""),"22")</f>
        <v>22</v>
      </c>
      <c r="C1172" s="5" t="str">
        <f>IFERROR(__xludf.DUMMYFUNCTION("""COMPUTED_VALUE"""),"https://drive.google.com/file/d/1IHb9XMcS9F_wIdPL6f64CYsarJFB3QFh/view?usp=drivesdk")</f>
        <v>https://drive.google.com/file/d/1IHb9XMcS9F_wIdPL6f64CYsarJFB3QFh/view?usp=drivesdk</v>
      </c>
      <c r="D1172" s="12"/>
      <c r="E1172" s="11">
        <v>1229.0</v>
      </c>
      <c r="F1172" s="2"/>
    </row>
    <row r="1173" ht="1.5" customHeight="1">
      <c r="A1173" s="4" t="str">
        <f>IFERROR(__xludf.DUMMYFUNCTION("""COMPUTED_VALUE"""),"21. Paquini")</f>
        <v>21. Paquini</v>
      </c>
      <c r="B1173" s="4" t="str">
        <f>IFERROR(__xludf.DUMMYFUNCTION("""COMPUTED_VALUE"""),"21")</f>
        <v>21</v>
      </c>
      <c r="C1173" s="5" t="str">
        <f>IFERROR(__xludf.DUMMYFUNCTION("""COMPUTED_VALUE"""),"https://drive.google.com/file/d/1hssGkateJvJ2NStDwDoTr6RRKa299lks/view?usp=drivesdk")</f>
        <v>https://drive.google.com/file/d/1hssGkateJvJ2NStDwDoTr6RRKa299lks/view?usp=drivesdk</v>
      </c>
      <c r="D1173" s="12"/>
      <c r="E1173" s="6">
        <v>1230.0</v>
      </c>
      <c r="F1173" s="2"/>
    </row>
    <row r="1174" ht="1.5" customHeight="1">
      <c r="A1174" s="4" t="str">
        <f>IFERROR(__xludf.DUMMYFUNCTION("""COMPUTED_VALUE"""),"17. Bobbie")</f>
        <v>17. Bobbie</v>
      </c>
      <c r="B1174" s="4" t="str">
        <f>IFERROR(__xludf.DUMMYFUNCTION("""COMPUTED_VALUE"""),"17")</f>
        <v>17</v>
      </c>
      <c r="C1174" s="5" t="str">
        <f>IFERROR(__xludf.DUMMYFUNCTION("""COMPUTED_VALUE"""),"https://drive.google.com/file/d/1ahF5qTfnfZ0fDQTVHcChI0G7tKKcHGkV/view?usp=drivesdk")</f>
        <v>https://drive.google.com/file/d/1ahF5qTfnfZ0fDQTVHcChI0G7tKKcHGkV/view?usp=drivesdk</v>
      </c>
      <c r="D1174" s="12"/>
      <c r="E1174" s="11">
        <v>1231.0</v>
      </c>
      <c r="F1174" s="2"/>
    </row>
    <row r="1175" ht="1.5" customHeight="1">
      <c r="A1175" s="4" t="str">
        <f>IFERROR(__xludf.DUMMYFUNCTION("""COMPUTED_VALUE"""),"21. Paquini")</f>
        <v>21. Paquini</v>
      </c>
      <c r="B1175" s="4" t="str">
        <f>IFERROR(__xludf.DUMMYFUNCTION("""COMPUTED_VALUE"""),"21")</f>
        <v>21</v>
      </c>
      <c r="C1175" s="5" t="str">
        <f>IFERROR(__xludf.DUMMYFUNCTION("""COMPUTED_VALUE"""),"https://drive.google.com/file/d/10TknMOsbBPuq-GJSa_tH3f89kWyGEKT9/view?usp=drivesdk")</f>
        <v>https://drive.google.com/file/d/10TknMOsbBPuq-GJSa_tH3f89kWyGEKT9/view?usp=drivesdk</v>
      </c>
      <c r="D1175" s="12"/>
      <c r="E1175" s="6">
        <v>1232.0</v>
      </c>
      <c r="F1175" s="2"/>
    </row>
    <row r="1176" ht="1.5" customHeight="1">
      <c r="A1176" s="4" t="str">
        <f>IFERROR(__xludf.DUMMYFUNCTION("""COMPUTED_VALUE"""),"21. Paquini")</f>
        <v>21. Paquini</v>
      </c>
      <c r="B1176" s="4" t="str">
        <f>IFERROR(__xludf.DUMMYFUNCTION("""COMPUTED_VALUE"""),"21")</f>
        <v>21</v>
      </c>
      <c r="C1176" s="5" t="str">
        <f>IFERROR(__xludf.DUMMYFUNCTION("""COMPUTED_VALUE"""),"https://drive.google.com/file/d/13kFgy_8TiEIqp3m8AkuvTcp3gFzjecKt/view?usp=drivesdk")</f>
        <v>https://drive.google.com/file/d/13kFgy_8TiEIqp3m8AkuvTcp3gFzjecKt/view?usp=drivesdk</v>
      </c>
      <c r="D1176" s="12"/>
      <c r="E1176" s="11">
        <v>1233.0</v>
      </c>
      <c r="F1176" s="2"/>
    </row>
    <row r="1177" ht="1.5" customHeight="1">
      <c r="A1177" s="4" t="str">
        <f>IFERROR(__xludf.DUMMYFUNCTION("""COMPUTED_VALUE"""),"21. Paquini")</f>
        <v>21. Paquini</v>
      </c>
      <c r="B1177" s="4" t="str">
        <f>IFERROR(__xludf.DUMMYFUNCTION("""COMPUTED_VALUE"""),"21")</f>
        <v>21</v>
      </c>
      <c r="C1177" s="5" t="str">
        <f>IFERROR(__xludf.DUMMYFUNCTION("""COMPUTED_VALUE"""),"https://drive.google.com/file/d/1Wm0m3LPD-Nwdufdh6AwkFvxij0SUt9R9/view?usp=drivesdk")</f>
        <v>https://drive.google.com/file/d/1Wm0m3LPD-Nwdufdh6AwkFvxij0SUt9R9/view?usp=drivesdk</v>
      </c>
      <c r="D1177" s="12"/>
      <c r="E1177" s="6">
        <v>1234.0</v>
      </c>
      <c r="F1177" s="2"/>
    </row>
    <row r="1178" ht="1.5" customHeight="1">
      <c r="A1178" s="4" t="str">
        <f>IFERROR(__xludf.DUMMYFUNCTION("""COMPUTED_VALUE"""),"21. Paquini")</f>
        <v>21. Paquini</v>
      </c>
      <c r="B1178" s="4" t="str">
        <f>IFERROR(__xludf.DUMMYFUNCTION("""COMPUTED_VALUE"""),"21")</f>
        <v>21</v>
      </c>
      <c r="C1178" s="5" t="str">
        <f>IFERROR(__xludf.DUMMYFUNCTION("""COMPUTED_VALUE"""),"https://drive.google.com/file/d/1aGgDPe-WH43TX3gO7Xza0wl2c-lFrTpg/view?usp=drivesdk")</f>
        <v>https://drive.google.com/file/d/1aGgDPe-WH43TX3gO7Xza0wl2c-lFrTpg/view?usp=drivesdk</v>
      </c>
      <c r="D1178" s="12"/>
      <c r="E1178" s="11">
        <v>1235.0</v>
      </c>
      <c r="F1178" s="2"/>
    </row>
    <row r="1179" ht="1.5" customHeight="1">
      <c r="A1179" s="4" t="str">
        <f>IFERROR(__xludf.DUMMYFUNCTION("""COMPUTED_VALUE"""),"21. Paquini")</f>
        <v>21. Paquini</v>
      </c>
      <c r="B1179" s="4" t="str">
        <f>IFERROR(__xludf.DUMMYFUNCTION("""COMPUTED_VALUE"""),"21")</f>
        <v>21</v>
      </c>
      <c r="C1179" s="5" t="str">
        <f>IFERROR(__xludf.DUMMYFUNCTION("""COMPUTED_VALUE"""),"https://drive.google.com/file/d/1iV-8wiHgFXLmNl-zCpLa7issCnI19K0j/view?usp=drivesdk")</f>
        <v>https://drive.google.com/file/d/1iV-8wiHgFXLmNl-zCpLa7issCnI19K0j/view?usp=drivesdk</v>
      </c>
      <c r="D1179" s="12"/>
      <c r="E1179" s="6">
        <v>1236.0</v>
      </c>
      <c r="F1179" s="2"/>
    </row>
    <row r="1180" ht="1.5" customHeight="1">
      <c r="A1180" s="4" t="str">
        <f>IFERROR(__xludf.DUMMYFUNCTION("""COMPUTED_VALUE"""),"21. Paquini")</f>
        <v>21. Paquini</v>
      </c>
      <c r="B1180" s="4" t="str">
        <f>IFERROR(__xludf.DUMMYFUNCTION("""COMPUTED_VALUE"""),"21")</f>
        <v>21</v>
      </c>
      <c r="C1180" s="5" t="str">
        <f>IFERROR(__xludf.DUMMYFUNCTION("""COMPUTED_VALUE"""),"https://drive.google.com/file/d/1iystAPHfvPpkaavET3Brgq-0yThiOnL0/view?usp=drivesdk")</f>
        <v>https://drive.google.com/file/d/1iystAPHfvPpkaavET3Brgq-0yThiOnL0/view?usp=drivesdk</v>
      </c>
      <c r="D1180" s="12"/>
      <c r="E1180" s="11">
        <v>1237.0</v>
      </c>
      <c r="F1180" s="2"/>
    </row>
    <row r="1181" ht="1.5" customHeight="1">
      <c r="A1181" s="4" t="str">
        <f>IFERROR(__xludf.DUMMYFUNCTION("""COMPUTED_VALUE"""),"21. Paquini")</f>
        <v>21. Paquini</v>
      </c>
      <c r="B1181" s="4" t="str">
        <f>IFERROR(__xludf.DUMMYFUNCTION("""COMPUTED_VALUE"""),"21")</f>
        <v>21</v>
      </c>
      <c r="C1181" s="5" t="str">
        <f>IFERROR(__xludf.DUMMYFUNCTION("""COMPUTED_VALUE"""),"https://drive.google.com/file/d/1KD-J1hFfJZjwLIaHLkPxot16nXpK9aBs/view?usp=drivesdk")</f>
        <v>https://drive.google.com/file/d/1KD-J1hFfJZjwLIaHLkPxot16nXpK9aBs/view?usp=drivesdk</v>
      </c>
      <c r="D1181" s="12"/>
      <c r="E1181" s="6">
        <v>1238.0</v>
      </c>
      <c r="F1181" s="2"/>
    </row>
    <row r="1182" ht="1.5" customHeight="1">
      <c r="A1182" s="4" t="str">
        <f>IFERROR(__xludf.DUMMYFUNCTION("""COMPUTED_VALUE"""),"21. Paquini")</f>
        <v>21. Paquini</v>
      </c>
      <c r="B1182" s="4" t="str">
        <f>IFERROR(__xludf.DUMMYFUNCTION("""COMPUTED_VALUE"""),"21")</f>
        <v>21</v>
      </c>
      <c r="C1182" s="5" t="str">
        <f>IFERROR(__xludf.DUMMYFUNCTION("""COMPUTED_VALUE"""),"https://drive.google.com/file/d/1c6EbK8C9CO5ganwyba_OTVS2ZnHefL9N/view?usp=drivesdk")</f>
        <v>https://drive.google.com/file/d/1c6EbK8C9CO5ganwyba_OTVS2ZnHefL9N/view?usp=drivesdk</v>
      </c>
      <c r="D1182" s="12"/>
      <c r="E1182" s="11">
        <v>1239.0</v>
      </c>
      <c r="F1182" s="2"/>
    </row>
    <row r="1183" ht="1.5" customHeight="1">
      <c r="A1183" s="4" t="str">
        <f>IFERROR(__xludf.DUMMYFUNCTION("""COMPUTED_VALUE"""),"21. Paquini")</f>
        <v>21. Paquini</v>
      </c>
      <c r="B1183" s="4" t="str">
        <f>IFERROR(__xludf.DUMMYFUNCTION("""COMPUTED_VALUE"""),"21")</f>
        <v>21</v>
      </c>
      <c r="C1183" s="5" t="str">
        <f>IFERROR(__xludf.DUMMYFUNCTION("""COMPUTED_VALUE"""),"https://drive.google.com/file/d/1ktqIs3akSHBaMnaiRahmnf2u58u2e1wE/view?usp=drivesdk")</f>
        <v>https://drive.google.com/file/d/1ktqIs3akSHBaMnaiRahmnf2u58u2e1wE/view?usp=drivesdk</v>
      </c>
      <c r="D1183" s="12"/>
      <c r="E1183" s="6">
        <v>1240.0</v>
      </c>
      <c r="F1183" s="2"/>
    </row>
    <row r="1184" ht="1.5" customHeight="1">
      <c r="A1184" s="4" t="str">
        <f>IFERROR(__xludf.DUMMYFUNCTION("""COMPUTED_VALUE"""),"21. Paquini")</f>
        <v>21. Paquini</v>
      </c>
      <c r="B1184" s="4" t="str">
        <f>IFERROR(__xludf.DUMMYFUNCTION("""COMPUTED_VALUE"""),"21")</f>
        <v>21</v>
      </c>
      <c r="C1184" s="5" t="str">
        <f>IFERROR(__xludf.DUMMYFUNCTION("""COMPUTED_VALUE"""),"https://drive.google.com/file/d/1yKywLutMBgcqhgou2JYCWB2K0ElV2sXG/view?usp=drivesdk")</f>
        <v>https://drive.google.com/file/d/1yKywLutMBgcqhgou2JYCWB2K0ElV2sXG/view?usp=drivesdk</v>
      </c>
      <c r="D1184" s="12"/>
      <c r="E1184" s="11">
        <v>1241.0</v>
      </c>
      <c r="F1184" s="2"/>
    </row>
    <row r="1185" ht="1.5" customHeight="1">
      <c r="A1185" s="4" t="str">
        <f>IFERROR(__xludf.DUMMYFUNCTION("""COMPUTED_VALUE"""),"21. Paquini")</f>
        <v>21. Paquini</v>
      </c>
      <c r="B1185" s="4" t="str">
        <f>IFERROR(__xludf.DUMMYFUNCTION("""COMPUTED_VALUE"""),"21")</f>
        <v>21</v>
      </c>
      <c r="C1185" s="5" t="str">
        <f>IFERROR(__xludf.DUMMYFUNCTION("""COMPUTED_VALUE"""),"https://drive.google.com/file/d/1X8bsDpB3QjS-RZ5X0_1swpwyN8BdxcxQ/view?usp=drivesdk")</f>
        <v>https://drive.google.com/file/d/1X8bsDpB3QjS-RZ5X0_1swpwyN8BdxcxQ/view?usp=drivesdk</v>
      </c>
      <c r="D1185" s="12"/>
      <c r="E1185" s="6">
        <v>1242.0</v>
      </c>
      <c r="F1185" s="2"/>
    </row>
    <row r="1186" ht="1.5" customHeight="1">
      <c r="A1186" s="4" t="str">
        <f>IFERROR(__xludf.DUMMYFUNCTION("""COMPUTED_VALUE"""),"21. Paquini")</f>
        <v>21. Paquini</v>
      </c>
      <c r="B1186" s="4" t="str">
        <f>IFERROR(__xludf.DUMMYFUNCTION("""COMPUTED_VALUE"""),"21")</f>
        <v>21</v>
      </c>
      <c r="C1186" s="5" t="str">
        <f>IFERROR(__xludf.DUMMYFUNCTION("""COMPUTED_VALUE"""),"https://drive.google.com/file/d/1ddDYDIsnK7FDAr2LOcySMAnpvLgShtZK/view?usp=drivesdk")</f>
        <v>https://drive.google.com/file/d/1ddDYDIsnK7FDAr2LOcySMAnpvLgShtZK/view?usp=drivesdk</v>
      </c>
      <c r="D1186" s="12"/>
      <c r="E1186" s="11">
        <v>1243.0</v>
      </c>
      <c r="F1186" s="2"/>
    </row>
    <row r="1187" ht="1.5" customHeight="1">
      <c r="A1187" s="4" t="str">
        <f>IFERROR(__xludf.DUMMYFUNCTION("""COMPUTED_VALUE"""),"19. Rolo")</f>
        <v>19. Rolo</v>
      </c>
      <c r="B1187" s="4" t="str">
        <f>IFERROR(__xludf.DUMMYFUNCTION("""COMPUTED_VALUE"""),"19")</f>
        <v>19</v>
      </c>
      <c r="C1187" s="5" t="str">
        <f>IFERROR(__xludf.DUMMYFUNCTION("""COMPUTED_VALUE"""),"https://drive.google.com/file/d/1ARvp9acIdmxtB2zfx4V7OqCAedAEG_li/view?usp=drivesdk")</f>
        <v>https://drive.google.com/file/d/1ARvp9acIdmxtB2zfx4V7OqCAedAEG_li/view?usp=drivesdk</v>
      </c>
      <c r="D1187" s="12"/>
      <c r="E1187" s="6">
        <v>1244.0</v>
      </c>
      <c r="F1187" s="2"/>
    </row>
    <row r="1188" ht="1.5" customHeight="1">
      <c r="A1188" s="4" t="str">
        <f>IFERROR(__xludf.DUMMYFUNCTION("""COMPUTED_VALUE"""),"19. Rolo")</f>
        <v>19. Rolo</v>
      </c>
      <c r="B1188" s="4" t="str">
        <f>IFERROR(__xludf.DUMMYFUNCTION("""COMPUTED_VALUE"""),"19")</f>
        <v>19</v>
      </c>
      <c r="C1188" s="5" t="str">
        <f>IFERROR(__xludf.DUMMYFUNCTION("""COMPUTED_VALUE"""),"https://drive.google.com/file/d/1zCL23T1h8D6Jy6EjoRhXfPFwYN6fyTI3/view?usp=drivesdk")</f>
        <v>https://drive.google.com/file/d/1zCL23T1h8D6Jy6EjoRhXfPFwYN6fyTI3/view?usp=drivesdk</v>
      </c>
      <c r="D1188" s="12"/>
      <c r="E1188" s="11">
        <v>1245.0</v>
      </c>
      <c r="F1188" s="2"/>
    </row>
    <row r="1189" ht="1.5" customHeight="1">
      <c r="A1189" s="4" t="str">
        <f>IFERROR(__xludf.DUMMYFUNCTION("""COMPUTED_VALUE"""),"19. Rolo")</f>
        <v>19. Rolo</v>
      </c>
      <c r="B1189" s="4" t="str">
        <f>IFERROR(__xludf.DUMMYFUNCTION("""COMPUTED_VALUE"""),"19")</f>
        <v>19</v>
      </c>
      <c r="C1189" s="5" t="str">
        <f>IFERROR(__xludf.DUMMYFUNCTION("""COMPUTED_VALUE"""),"https://drive.google.com/file/d/1E8RQ7sghKXraSYtaXLlFYiZ8X1-TyDAJ/view?usp=drivesdk")</f>
        <v>https://drive.google.com/file/d/1E8RQ7sghKXraSYtaXLlFYiZ8X1-TyDAJ/view?usp=drivesdk</v>
      </c>
      <c r="D1189" s="12"/>
      <c r="E1189" s="6">
        <v>1246.0</v>
      </c>
      <c r="F1189" s="2"/>
    </row>
    <row r="1190" ht="1.5" customHeight="1">
      <c r="A1190" s="4" t="str">
        <f>IFERROR(__xludf.DUMMYFUNCTION("""COMPUTED_VALUE"""),"19. Rolo")</f>
        <v>19. Rolo</v>
      </c>
      <c r="B1190" s="4" t="str">
        <f>IFERROR(__xludf.DUMMYFUNCTION("""COMPUTED_VALUE"""),"19")</f>
        <v>19</v>
      </c>
      <c r="C1190" s="5" t="str">
        <f>IFERROR(__xludf.DUMMYFUNCTION("""COMPUTED_VALUE"""),"https://drive.google.com/file/d/1-JJx5ooM06S86YdHnHxdMPtXkhEypZrB/view?usp=drivesdk")</f>
        <v>https://drive.google.com/file/d/1-JJx5ooM06S86YdHnHxdMPtXkhEypZrB/view?usp=drivesdk</v>
      </c>
      <c r="D1190" s="12"/>
      <c r="E1190" s="11">
        <v>1247.0</v>
      </c>
      <c r="F1190" s="2"/>
    </row>
    <row r="1191" ht="1.5" customHeight="1">
      <c r="A1191" s="4" t="str">
        <f>IFERROR(__xludf.DUMMYFUNCTION("""COMPUTED_VALUE"""),"19. Rolo")</f>
        <v>19. Rolo</v>
      </c>
      <c r="B1191" s="4" t="str">
        <f>IFERROR(__xludf.DUMMYFUNCTION("""COMPUTED_VALUE"""),"19")</f>
        <v>19</v>
      </c>
      <c r="C1191" s="5" t="str">
        <f>IFERROR(__xludf.DUMMYFUNCTION("""COMPUTED_VALUE"""),"https://drive.google.com/file/d/1gjqvLmo2eFkqaWPE7u3Ax9RRnV-0wTgw/view?usp=drivesdk")</f>
        <v>https://drive.google.com/file/d/1gjqvLmo2eFkqaWPE7u3Ax9RRnV-0wTgw/view?usp=drivesdk</v>
      </c>
      <c r="D1191" s="12"/>
      <c r="E1191" s="6">
        <v>1248.0</v>
      </c>
      <c r="F1191" s="2"/>
    </row>
    <row r="1192" ht="1.5" customHeight="1">
      <c r="A1192" s="4" t="str">
        <f>IFERROR(__xludf.DUMMYFUNCTION("""COMPUTED_VALUE"""),"20. Citlali")</f>
        <v>20. Citlali</v>
      </c>
      <c r="B1192" s="4" t="str">
        <f>IFERROR(__xludf.DUMMYFUNCTION("""COMPUTED_VALUE"""),"20")</f>
        <v>20</v>
      </c>
      <c r="C1192" s="5" t="str">
        <f>IFERROR(__xludf.DUMMYFUNCTION("""COMPUTED_VALUE"""),"https://drive.google.com/file/d/1bsCDSac9g3y6vsoQwYCiGSQqOfoxFW_O/view?usp=drivesdk")</f>
        <v>https://drive.google.com/file/d/1bsCDSac9g3y6vsoQwYCiGSQqOfoxFW_O/view?usp=drivesdk</v>
      </c>
      <c r="D1192" s="12"/>
      <c r="E1192" s="11">
        <v>1249.0</v>
      </c>
      <c r="F1192" s="2"/>
    </row>
    <row r="1193" ht="1.5" customHeight="1">
      <c r="A1193" s="4" t="str">
        <f>IFERROR(__xludf.DUMMYFUNCTION("""COMPUTED_VALUE"""),"20. Citlali")</f>
        <v>20. Citlali</v>
      </c>
      <c r="B1193" s="4" t="str">
        <f>IFERROR(__xludf.DUMMYFUNCTION("""COMPUTED_VALUE"""),"20")</f>
        <v>20</v>
      </c>
      <c r="C1193" s="5" t="str">
        <f>IFERROR(__xludf.DUMMYFUNCTION("""COMPUTED_VALUE"""),"https://drive.google.com/file/d/1eHikJZ85OSdtrI7ucDO9GF6bNiTwTjvJ/view?usp=drivesdk")</f>
        <v>https://drive.google.com/file/d/1eHikJZ85OSdtrI7ucDO9GF6bNiTwTjvJ/view?usp=drivesdk</v>
      </c>
      <c r="D1193" s="12"/>
      <c r="E1193" s="6">
        <v>1250.0</v>
      </c>
      <c r="F1193" s="2"/>
    </row>
    <row r="1194" ht="1.5" customHeight="1">
      <c r="A1194" s="4" t="str">
        <f>IFERROR(__xludf.DUMMYFUNCTION("""COMPUTED_VALUE"""),"20. Citlali")</f>
        <v>20. Citlali</v>
      </c>
      <c r="B1194" s="4" t="str">
        <f>IFERROR(__xludf.DUMMYFUNCTION("""COMPUTED_VALUE"""),"20")</f>
        <v>20</v>
      </c>
      <c r="C1194" s="5" t="str">
        <f>IFERROR(__xludf.DUMMYFUNCTION("""COMPUTED_VALUE"""),"https://drive.google.com/file/d/1EpIzYzFaarKZU-vAeWSepmlxMrZaRWKX/view?usp=drivesdk")</f>
        <v>https://drive.google.com/file/d/1EpIzYzFaarKZU-vAeWSepmlxMrZaRWKX/view?usp=drivesdk</v>
      </c>
      <c r="D1194" s="12"/>
      <c r="E1194" s="11">
        <v>1251.0</v>
      </c>
      <c r="F1194" s="2"/>
    </row>
    <row r="1195" ht="1.5" customHeight="1">
      <c r="A1195" s="4" t="str">
        <f>IFERROR(__xludf.DUMMYFUNCTION("""COMPUTED_VALUE"""),"21. Paquini")</f>
        <v>21. Paquini</v>
      </c>
      <c r="B1195" s="4" t="str">
        <f>IFERROR(__xludf.DUMMYFUNCTION("""COMPUTED_VALUE"""),"21")</f>
        <v>21</v>
      </c>
      <c r="C1195" s="5" t="str">
        <f>IFERROR(__xludf.DUMMYFUNCTION("""COMPUTED_VALUE"""),"https://drive.google.com/file/d/1NK-b72_JtA2IeZPTAtBhP5zXNfG16EkL/view?usp=drivesdk")</f>
        <v>https://drive.google.com/file/d/1NK-b72_JtA2IeZPTAtBhP5zXNfG16EkL/view?usp=drivesdk</v>
      </c>
      <c r="D1195" s="12"/>
      <c r="E1195" s="6">
        <v>1252.0</v>
      </c>
      <c r="F1195" s="2"/>
    </row>
    <row r="1196" ht="1.5" customHeight="1">
      <c r="A1196" s="4" t="str">
        <f>IFERROR(__xludf.DUMMYFUNCTION("""COMPUTED_VALUE"""),"21. Paquini")</f>
        <v>21. Paquini</v>
      </c>
      <c r="B1196" s="4" t="str">
        <f>IFERROR(__xludf.DUMMYFUNCTION("""COMPUTED_VALUE"""),"21")</f>
        <v>21</v>
      </c>
      <c r="C1196" s="5" t="str">
        <f>IFERROR(__xludf.DUMMYFUNCTION("""COMPUTED_VALUE"""),"https://drive.google.com/file/d/16rfcehS2m371gdccjb99iog-_NDPMWHh/view?usp=drivesdk")</f>
        <v>https://drive.google.com/file/d/16rfcehS2m371gdccjb99iog-_NDPMWHh/view?usp=drivesdk</v>
      </c>
      <c r="D1196" s="12"/>
      <c r="E1196" s="11">
        <v>1253.0</v>
      </c>
      <c r="F1196" s="2"/>
    </row>
    <row r="1197" ht="1.5" customHeight="1">
      <c r="A1197" s="4" t="str">
        <f>IFERROR(__xludf.DUMMYFUNCTION("""COMPUTED_VALUE"""),"22. Glockenspiel")</f>
        <v>22. Glockenspiel</v>
      </c>
      <c r="B1197" s="4" t="str">
        <f>IFERROR(__xludf.DUMMYFUNCTION("""COMPUTED_VALUE"""),"22")</f>
        <v>22</v>
      </c>
      <c r="C1197" s="5" t="str">
        <f>IFERROR(__xludf.DUMMYFUNCTION("""COMPUTED_VALUE"""),"https://drive.google.com/file/d/1tKuWcHSA8QK-Hwj7XuvcPis6H-n2Yd4J/view?usp=drivesdk")</f>
        <v>https://drive.google.com/file/d/1tKuWcHSA8QK-Hwj7XuvcPis6H-n2Yd4J/view?usp=drivesdk</v>
      </c>
      <c r="D1197" s="12"/>
      <c r="E1197" s="6">
        <v>1254.0</v>
      </c>
      <c r="F1197" s="2"/>
    </row>
    <row r="1198" ht="1.5" customHeight="1">
      <c r="A1198" s="4" t="str">
        <f>IFERROR(__xludf.DUMMYFUNCTION("""COMPUTED_VALUE"""),"23. Tlacuilo")</f>
        <v>23. Tlacuilo</v>
      </c>
      <c r="B1198" s="4" t="str">
        <f>IFERROR(__xludf.DUMMYFUNCTION("""COMPUTED_VALUE"""),"23")</f>
        <v>23</v>
      </c>
      <c r="C1198" s="5" t="str">
        <f>IFERROR(__xludf.DUMMYFUNCTION("""COMPUTED_VALUE"""),"https://drive.google.com/file/d/1gfEcRB_H5TGup8RhQrC91qx93kX_ySgE/view?usp=drivesdk")</f>
        <v>https://drive.google.com/file/d/1gfEcRB_H5TGup8RhQrC91qx93kX_ySgE/view?usp=drivesdk</v>
      </c>
      <c r="D1198" s="12"/>
      <c r="E1198" s="11">
        <v>1255.0</v>
      </c>
      <c r="F1198" s="2"/>
    </row>
    <row r="1199" ht="1.5" customHeight="1">
      <c r="A1199" s="4" t="str">
        <f>IFERROR(__xludf.DUMMYFUNCTION("""COMPUTED_VALUE"""),"23. Tlacuilo")</f>
        <v>23. Tlacuilo</v>
      </c>
      <c r="B1199" s="4" t="str">
        <f>IFERROR(__xludf.DUMMYFUNCTION("""COMPUTED_VALUE"""),"23")</f>
        <v>23</v>
      </c>
      <c r="C1199" s="5" t="str">
        <f>IFERROR(__xludf.DUMMYFUNCTION("""COMPUTED_VALUE"""),"https://drive.google.com/file/d/12LealTrj1zVFLJoGUDW_Xv2yqQvVSrEb/view?usp=drivesdk")</f>
        <v>https://drive.google.com/file/d/12LealTrj1zVFLJoGUDW_Xv2yqQvVSrEb/view?usp=drivesdk</v>
      </c>
      <c r="D1199" s="12"/>
      <c r="E1199" s="6">
        <v>1256.0</v>
      </c>
      <c r="F1199" s="2"/>
    </row>
    <row r="1200" ht="1.5" customHeight="1">
      <c r="A1200" s="4" t="str">
        <f>IFERROR(__xludf.DUMMYFUNCTION("""COMPUTED_VALUE"""),"66. Toblerone")</f>
        <v>66. Toblerone</v>
      </c>
      <c r="B1200" s="4" t="str">
        <f>IFERROR(__xludf.DUMMYFUNCTION("""COMPUTED_VALUE"""),"66")</f>
        <v>66</v>
      </c>
      <c r="C1200" s="5" t="str">
        <f>IFERROR(__xludf.DUMMYFUNCTION("""COMPUTED_VALUE"""),"https://drive.google.com/file/d/1B2BKPMEAgkT38or3V9OltEJTyYiA-gBJ/view?usp=drivesdk")</f>
        <v>https://drive.google.com/file/d/1B2BKPMEAgkT38or3V9OltEJTyYiA-gBJ/view?usp=drivesdk</v>
      </c>
      <c r="D1200" s="12"/>
      <c r="E1200" s="11">
        <v>1257.0</v>
      </c>
      <c r="F1200" s="2"/>
    </row>
    <row r="1201" ht="1.5" customHeight="1">
      <c r="A1201" s="4" t="str">
        <f>IFERROR(__xludf.DUMMYFUNCTION("""COMPUTED_VALUE"""),"66. Toblerone")</f>
        <v>66. Toblerone</v>
      </c>
      <c r="B1201" s="4" t="str">
        <f>IFERROR(__xludf.DUMMYFUNCTION("""COMPUTED_VALUE"""),"66")</f>
        <v>66</v>
      </c>
      <c r="C1201" s="5" t="str">
        <f>IFERROR(__xludf.DUMMYFUNCTION("""COMPUTED_VALUE"""),"https://drive.google.com/file/d/1_5wSfJMDL6xS-RAes5z4NRXlJcgq9bPC/view?usp=drivesdk")</f>
        <v>https://drive.google.com/file/d/1_5wSfJMDL6xS-RAes5z4NRXlJcgq9bPC/view?usp=drivesdk</v>
      </c>
      <c r="D1201" s="12"/>
      <c r="E1201" s="6">
        <v>1258.0</v>
      </c>
      <c r="F1201" s="2"/>
    </row>
    <row r="1202" ht="1.5" customHeight="1">
      <c r="A1202" s="4" t="str">
        <f>IFERROR(__xludf.DUMMYFUNCTION("""COMPUTED_VALUE"""),"66. Toblerone")</f>
        <v>66. Toblerone</v>
      </c>
      <c r="B1202" s="4" t="str">
        <f>IFERROR(__xludf.DUMMYFUNCTION("""COMPUTED_VALUE"""),"66")</f>
        <v>66</v>
      </c>
      <c r="C1202" s="5" t="str">
        <f>IFERROR(__xludf.DUMMYFUNCTION("""COMPUTED_VALUE"""),"https://drive.google.com/file/d/1KhVAOGcL3sIJMSMFACmKmZe263nnR81U/view?usp=drivesdk")</f>
        <v>https://drive.google.com/file/d/1KhVAOGcL3sIJMSMFACmKmZe263nnR81U/view?usp=drivesdk</v>
      </c>
      <c r="D1202" s="12"/>
      <c r="E1202" s="11">
        <v>1259.0</v>
      </c>
      <c r="F1202" s="2"/>
    </row>
    <row r="1203" ht="1.5" customHeight="1">
      <c r="A1203" s="4" t="str">
        <f>IFERROR(__xludf.DUMMYFUNCTION("""COMPUTED_VALUE"""),"66. Toblerone")</f>
        <v>66. Toblerone</v>
      </c>
      <c r="B1203" s="4" t="str">
        <f>IFERROR(__xludf.DUMMYFUNCTION("""COMPUTED_VALUE"""),"66")</f>
        <v>66</v>
      </c>
      <c r="C1203" s="5" t="str">
        <f>IFERROR(__xludf.DUMMYFUNCTION("""COMPUTED_VALUE"""),"https://drive.google.com/file/d/1ThM9CdVbn4UvOumx424ZzM0fueOUTIkn/view?usp=drivesdk")</f>
        <v>https://drive.google.com/file/d/1ThM9CdVbn4UvOumx424ZzM0fueOUTIkn/view?usp=drivesdk</v>
      </c>
      <c r="D1203" s="12"/>
      <c r="E1203" s="6">
        <v>1260.0</v>
      </c>
      <c r="F1203" s="2"/>
    </row>
    <row r="1204" ht="1.5" customHeight="1">
      <c r="A1204" s="4" t="str">
        <f>IFERROR(__xludf.DUMMYFUNCTION("""COMPUTED_VALUE"""),"66. Toblerone")</f>
        <v>66. Toblerone</v>
      </c>
      <c r="B1204" s="4" t="str">
        <f>IFERROR(__xludf.DUMMYFUNCTION("""COMPUTED_VALUE"""),"66")</f>
        <v>66</v>
      </c>
      <c r="C1204" s="5" t="str">
        <f>IFERROR(__xludf.DUMMYFUNCTION("""COMPUTED_VALUE"""),"https://drive.google.com/file/d/1rXP_G85N4TDdyrDmELYQUa18FVXBnsEU/view?usp=drivesdk")</f>
        <v>https://drive.google.com/file/d/1rXP_G85N4TDdyrDmELYQUa18FVXBnsEU/view?usp=drivesdk</v>
      </c>
      <c r="D1204" s="12"/>
      <c r="E1204" s="11">
        <v>1261.0</v>
      </c>
      <c r="F1204" s="2"/>
    </row>
    <row r="1205" ht="1.5" customHeight="1">
      <c r="A1205" s="4" t="str">
        <f>IFERROR(__xludf.DUMMYFUNCTION("""COMPUTED_VALUE"""),"65. Tepi")</f>
        <v>65. Tepi</v>
      </c>
      <c r="B1205" s="4" t="str">
        <f>IFERROR(__xludf.DUMMYFUNCTION("""COMPUTED_VALUE"""),"65")</f>
        <v>65</v>
      </c>
      <c r="C1205" s="5" t="str">
        <f>IFERROR(__xludf.DUMMYFUNCTION("""COMPUTED_VALUE"""),"https://drive.google.com/file/d/1rds5O67ScCUvMUnsFS8zusVUVX1E-mKu/view?usp=drivesdk")</f>
        <v>https://drive.google.com/file/d/1rds5O67ScCUvMUnsFS8zusVUVX1E-mKu/view?usp=drivesdk</v>
      </c>
      <c r="D1205" s="12"/>
      <c r="E1205" s="6">
        <v>1262.0</v>
      </c>
      <c r="F1205" s="2"/>
    </row>
    <row r="1206" ht="1.5" customHeight="1">
      <c r="A1206" s="4" t="str">
        <f>IFERROR(__xludf.DUMMYFUNCTION("""COMPUTED_VALUE"""),"65. Tepi")</f>
        <v>65. Tepi</v>
      </c>
      <c r="B1206" s="4" t="str">
        <f>IFERROR(__xludf.DUMMYFUNCTION("""COMPUTED_VALUE"""),"65")</f>
        <v>65</v>
      </c>
      <c r="C1206" s="5" t="str">
        <f>IFERROR(__xludf.DUMMYFUNCTION("""COMPUTED_VALUE"""),"https://drive.google.com/file/d/1_ELW9OgPgW6K7go8ev6OruulMAaOJtWm/view?usp=drivesdk")</f>
        <v>https://drive.google.com/file/d/1_ELW9OgPgW6K7go8ev6OruulMAaOJtWm/view?usp=drivesdk</v>
      </c>
      <c r="D1206" s="12"/>
      <c r="E1206" s="11">
        <v>1263.0</v>
      </c>
      <c r="F1206" s="2"/>
    </row>
    <row r="1207" ht="1.5" customHeight="1">
      <c r="A1207" s="4" t="str">
        <f>IFERROR(__xludf.DUMMYFUNCTION("""COMPUTED_VALUE"""),"23. Tlacuilo")</f>
        <v>23. Tlacuilo</v>
      </c>
      <c r="B1207" s="4" t="str">
        <f>IFERROR(__xludf.DUMMYFUNCTION("""COMPUTED_VALUE"""),"23")</f>
        <v>23</v>
      </c>
      <c r="C1207" s="5" t="str">
        <f>IFERROR(__xludf.DUMMYFUNCTION("""COMPUTED_VALUE"""),"https://drive.google.com/file/d/1xXIOfKh3Ph7VQdrVMztgO3Eyfe1iNFus/view?usp=drivesdk")</f>
        <v>https://drive.google.com/file/d/1xXIOfKh3Ph7VQdrVMztgO3Eyfe1iNFus/view?usp=drivesdk</v>
      </c>
      <c r="D1207" s="12"/>
      <c r="E1207" s="6">
        <v>1264.0</v>
      </c>
      <c r="F1207" s="2"/>
    </row>
    <row r="1208" ht="1.5" customHeight="1">
      <c r="A1208" s="4" t="str">
        <f>IFERROR(__xludf.DUMMYFUNCTION("""COMPUTED_VALUE"""),"23. Tlacuilo")</f>
        <v>23. Tlacuilo</v>
      </c>
      <c r="B1208" s="4" t="str">
        <f>IFERROR(__xludf.DUMMYFUNCTION("""COMPUTED_VALUE"""),"23")</f>
        <v>23</v>
      </c>
      <c r="C1208" s="5" t="str">
        <f>IFERROR(__xludf.DUMMYFUNCTION("""COMPUTED_VALUE"""),"https://drive.google.com/file/d/1Dw_Fop7oaXE2fVUc2YbwVQ6la4eJzIKp/view?usp=drivesdk")</f>
        <v>https://drive.google.com/file/d/1Dw_Fop7oaXE2fVUc2YbwVQ6la4eJzIKp/view?usp=drivesdk</v>
      </c>
      <c r="D1208" s="12"/>
      <c r="E1208" s="11">
        <v>1265.0</v>
      </c>
      <c r="F1208" s="2"/>
    </row>
    <row r="1209" ht="1.5" customHeight="1">
      <c r="A1209" s="4" t="str">
        <f>IFERROR(__xludf.DUMMYFUNCTION("""COMPUTED_VALUE"""),"19. Rolo")</f>
        <v>19. Rolo</v>
      </c>
      <c r="B1209" s="4" t="str">
        <f>IFERROR(__xludf.DUMMYFUNCTION("""COMPUTED_VALUE"""),"19")</f>
        <v>19</v>
      </c>
      <c r="C1209" s="5" t="str">
        <f>IFERROR(__xludf.DUMMYFUNCTION("""COMPUTED_VALUE"""),"https://drive.google.com/file/d/1K0t8g7MlE5zeyzuHgHy9pHE-RJ4j2HdN/view?usp=drivesdk")</f>
        <v>https://drive.google.com/file/d/1K0t8g7MlE5zeyzuHgHy9pHE-RJ4j2HdN/view?usp=drivesdk</v>
      </c>
      <c r="D1209" s="12"/>
      <c r="E1209" s="6">
        <v>1266.0</v>
      </c>
      <c r="F1209" s="2"/>
    </row>
    <row r="1210" ht="1.5" customHeight="1">
      <c r="A1210" s="4" t="str">
        <f>IFERROR(__xludf.DUMMYFUNCTION("""COMPUTED_VALUE"""),"19. Rolo")</f>
        <v>19. Rolo</v>
      </c>
      <c r="B1210" s="4" t="str">
        <f>IFERROR(__xludf.DUMMYFUNCTION("""COMPUTED_VALUE"""),"19")</f>
        <v>19</v>
      </c>
      <c r="C1210" s="5" t="str">
        <f>IFERROR(__xludf.DUMMYFUNCTION("""COMPUTED_VALUE"""),"https://drive.google.com/file/d/1iFbgjwy61w-f39MVyC0D98Pj6AHZTTr6/view?usp=drivesdk")</f>
        <v>https://drive.google.com/file/d/1iFbgjwy61w-f39MVyC0D98Pj6AHZTTr6/view?usp=drivesdk</v>
      </c>
      <c r="D1210" s="12"/>
      <c r="E1210" s="11">
        <v>1267.0</v>
      </c>
      <c r="F1210" s="2"/>
    </row>
    <row r="1211" ht="1.5" customHeight="1">
      <c r="A1211" s="4" t="str">
        <f>IFERROR(__xludf.DUMMYFUNCTION("""COMPUTED_VALUE"""),"19. Rolo")</f>
        <v>19. Rolo</v>
      </c>
      <c r="B1211" s="4" t="str">
        <f>IFERROR(__xludf.DUMMYFUNCTION("""COMPUTED_VALUE"""),"19")</f>
        <v>19</v>
      </c>
      <c r="C1211" s="5" t="str">
        <f>IFERROR(__xludf.DUMMYFUNCTION("""COMPUTED_VALUE"""),"https://drive.google.com/file/d/15MfYbL603U539yunkwBUTHyCt7FqCCLt/view?usp=drivesdk")</f>
        <v>https://drive.google.com/file/d/15MfYbL603U539yunkwBUTHyCt7FqCCLt/view?usp=drivesdk</v>
      </c>
      <c r="D1211" s="12"/>
      <c r="E1211" s="6">
        <v>1268.0</v>
      </c>
      <c r="F1211" s="2"/>
    </row>
    <row r="1212" ht="1.5" customHeight="1">
      <c r="A1212" s="4" t="str">
        <f>IFERROR(__xludf.DUMMYFUNCTION("""COMPUTED_VALUE"""),"17. Bobbie")</f>
        <v>17. Bobbie</v>
      </c>
      <c r="B1212" s="4" t="str">
        <f>IFERROR(__xludf.DUMMYFUNCTION("""COMPUTED_VALUE"""),"17")</f>
        <v>17</v>
      </c>
      <c r="C1212" s="5" t="str">
        <f>IFERROR(__xludf.DUMMYFUNCTION("""COMPUTED_VALUE"""),"https://drive.google.com/file/d/1KM_ppt_UCKrK40fsoNtoTIbf6DyFl5Es/view?usp=drivesdk")</f>
        <v>https://drive.google.com/file/d/1KM_ppt_UCKrK40fsoNtoTIbf6DyFl5Es/view?usp=drivesdk</v>
      </c>
      <c r="D1212" s="12"/>
      <c r="E1212" s="11">
        <v>1269.0</v>
      </c>
      <c r="F1212" s="2"/>
    </row>
    <row r="1213" ht="1.5" customHeight="1">
      <c r="A1213" s="4" t="str">
        <f>IFERROR(__xludf.DUMMYFUNCTION("""COMPUTED_VALUE"""),"17. Bobbie")</f>
        <v>17. Bobbie</v>
      </c>
      <c r="B1213" s="4" t="str">
        <f>IFERROR(__xludf.DUMMYFUNCTION("""COMPUTED_VALUE"""),"17")</f>
        <v>17</v>
      </c>
      <c r="C1213" s="5" t="str">
        <f>IFERROR(__xludf.DUMMYFUNCTION("""COMPUTED_VALUE"""),"https://drive.google.com/file/d/1uIHkBUraauy8dQjqusTYXG3LfvGtRvOM/view?usp=drivesdk")</f>
        <v>https://drive.google.com/file/d/1uIHkBUraauy8dQjqusTYXG3LfvGtRvOM/view?usp=drivesdk</v>
      </c>
      <c r="D1213" s="12"/>
      <c r="E1213" s="6">
        <v>1270.0</v>
      </c>
      <c r="F1213" s="2"/>
    </row>
    <row r="1214" ht="1.5" customHeight="1">
      <c r="A1214" s="4" t="str">
        <f>IFERROR(__xludf.DUMMYFUNCTION("""COMPUTED_VALUE"""),"17. Bobbie")</f>
        <v>17. Bobbie</v>
      </c>
      <c r="B1214" s="4" t="str">
        <f>IFERROR(__xludf.DUMMYFUNCTION("""COMPUTED_VALUE"""),"17")</f>
        <v>17</v>
      </c>
      <c r="C1214" s="5" t="str">
        <f>IFERROR(__xludf.DUMMYFUNCTION("""COMPUTED_VALUE"""),"https://drive.google.com/file/d/1K8duLJ8QxH2Ojvj1e4UBpSLSgbNWBDbG/view?usp=drivesdk")</f>
        <v>https://drive.google.com/file/d/1K8duLJ8QxH2Ojvj1e4UBpSLSgbNWBDbG/view?usp=drivesdk</v>
      </c>
      <c r="D1214" s="12"/>
      <c r="E1214" s="11">
        <v>1271.0</v>
      </c>
      <c r="F1214" s="2"/>
    </row>
    <row r="1215" ht="1.5" customHeight="1">
      <c r="A1215" s="4" t="str">
        <f>IFERROR(__xludf.DUMMYFUNCTION("""COMPUTED_VALUE"""),"17. Bobbie")</f>
        <v>17. Bobbie</v>
      </c>
      <c r="B1215" s="4" t="str">
        <f>IFERROR(__xludf.DUMMYFUNCTION("""COMPUTED_VALUE"""),"17")</f>
        <v>17</v>
      </c>
      <c r="C1215" s="5" t="str">
        <f>IFERROR(__xludf.DUMMYFUNCTION("""COMPUTED_VALUE"""),"https://drive.google.com/file/d/1fMG7Dwh4sJ7BmdtHR2F1dSBmHxfaRORo/view?usp=drivesdk")</f>
        <v>https://drive.google.com/file/d/1fMG7Dwh4sJ7BmdtHR2F1dSBmHxfaRORo/view?usp=drivesdk</v>
      </c>
      <c r="D1215" s="12"/>
      <c r="E1215" s="6">
        <v>1272.0</v>
      </c>
      <c r="F1215" s="2"/>
    </row>
    <row r="1216" ht="1.5" customHeight="1">
      <c r="A1216" s="4" t="str">
        <f>IFERROR(__xludf.DUMMYFUNCTION("""COMPUTED_VALUE"""),"17. Bobbie")</f>
        <v>17. Bobbie</v>
      </c>
      <c r="B1216" s="4" t="str">
        <f>IFERROR(__xludf.DUMMYFUNCTION("""COMPUTED_VALUE"""),"17")</f>
        <v>17</v>
      </c>
      <c r="C1216" s="5" t="str">
        <f>IFERROR(__xludf.DUMMYFUNCTION("""COMPUTED_VALUE"""),"https://drive.google.com/file/d/1OJGliziHqcCw57bP-1yzxVUtrNugGjng/view?usp=drivesdk")</f>
        <v>https://drive.google.com/file/d/1OJGliziHqcCw57bP-1yzxVUtrNugGjng/view?usp=drivesdk</v>
      </c>
      <c r="D1216" s="12"/>
      <c r="E1216" s="11">
        <v>1273.0</v>
      </c>
      <c r="F1216" s="2"/>
    </row>
    <row r="1217" ht="1.5" customHeight="1">
      <c r="A1217" s="4" t="str">
        <f>IFERROR(__xludf.DUMMYFUNCTION("""COMPUTED_VALUE"""),"20. Citlali, 19. Rolo")</f>
        <v>20. Citlali, 19. Rolo</v>
      </c>
      <c r="B1217" s="4" t="str">
        <f>IFERROR(__xludf.DUMMYFUNCTION("""COMPUTED_VALUE"""),"20, 19")</f>
        <v>20, 19</v>
      </c>
      <c r="C1217" s="5" t="str">
        <f>IFERROR(__xludf.DUMMYFUNCTION("""COMPUTED_VALUE"""),"https://drive.google.com/file/d/1_QyPxHTRV-3usfAxE_R668MoS-GTmoHT/view?usp=drivesdk")</f>
        <v>https://drive.google.com/file/d/1_QyPxHTRV-3usfAxE_R668MoS-GTmoHT/view?usp=drivesdk</v>
      </c>
      <c r="D1217" s="12"/>
      <c r="E1217" s="6">
        <v>1274.0</v>
      </c>
      <c r="F1217" s="2"/>
    </row>
    <row r="1218" ht="1.5" customHeight="1">
      <c r="A1218" s="4" t="str">
        <f>IFERROR(__xludf.DUMMYFUNCTION("""COMPUTED_VALUE"""),"1. Microwave")</f>
        <v>1. Microwave</v>
      </c>
      <c r="B1218" s="4" t="str">
        <f>IFERROR(__xludf.DUMMYFUNCTION("""COMPUTED_VALUE"""),"1")</f>
        <v>1</v>
      </c>
      <c r="C1218" s="5" t="str">
        <f>IFERROR(__xludf.DUMMYFUNCTION("""COMPUTED_VALUE"""),"https://drive.google.com/file/d/17BANCLUpKs2HPm-p9PfWXTtkK7dIBer-/view?usp=drivesdk")</f>
        <v>https://drive.google.com/file/d/17BANCLUpKs2HPm-p9PfWXTtkK7dIBer-/view?usp=drivesdk</v>
      </c>
      <c r="D1218" s="12"/>
      <c r="E1218" s="11">
        <v>1275.0</v>
      </c>
      <c r="F1218" s="2"/>
    </row>
    <row r="1219" ht="1.5" customHeight="1">
      <c r="A1219" s="4" t="str">
        <f>IFERROR(__xludf.DUMMYFUNCTION("""COMPUTED_VALUE"""),"1. Microwave")</f>
        <v>1. Microwave</v>
      </c>
      <c r="B1219" s="4" t="str">
        <f>IFERROR(__xludf.DUMMYFUNCTION("""COMPUTED_VALUE"""),"1")</f>
        <v>1</v>
      </c>
      <c r="C1219" s="5" t="str">
        <f>IFERROR(__xludf.DUMMYFUNCTION("""COMPUTED_VALUE"""),"https://drive.google.com/file/d/1uUF-NbWXPJw3fzZZ75amatAykbKjLVWp/view?usp=drivesdk")</f>
        <v>https://drive.google.com/file/d/1uUF-NbWXPJw3fzZZ75amatAykbKjLVWp/view?usp=drivesdk</v>
      </c>
      <c r="D1219" s="12"/>
      <c r="E1219" s="6">
        <v>1276.0</v>
      </c>
      <c r="F1219" s="2"/>
    </row>
    <row r="1220" ht="1.5" customHeight="1">
      <c r="A1220" s="4" t="str">
        <f>IFERROR(__xludf.DUMMYFUNCTION("""COMPUTED_VALUE"""),"1. Microwave")</f>
        <v>1. Microwave</v>
      </c>
      <c r="B1220" s="4" t="str">
        <f>IFERROR(__xludf.DUMMYFUNCTION("""COMPUTED_VALUE"""),"1")</f>
        <v>1</v>
      </c>
      <c r="C1220" s="5" t="str">
        <f>IFERROR(__xludf.DUMMYFUNCTION("""COMPUTED_VALUE"""),"https://drive.google.com/file/d/1MIYNAdtPWBnr5-Sjura8AxFrzwsV5qlv/view?usp=drivesdk")</f>
        <v>https://drive.google.com/file/d/1MIYNAdtPWBnr5-Sjura8AxFrzwsV5qlv/view?usp=drivesdk</v>
      </c>
      <c r="D1220" s="12"/>
      <c r="E1220" s="11">
        <v>1277.0</v>
      </c>
      <c r="F1220" s="2"/>
    </row>
    <row r="1221" ht="1.5" customHeight="1">
      <c r="A1221" s="4" t="str">
        <f>IFERROR(__xludf.DUMMYFUNCTION("""COMPUTED_VALUE"""),"1. Microwave")</f>
        <v>1. Microwave</v>
      </c>
      <c r="B1221" s="4" t="str">
        <f>IFERROR(__xludf.DUMMYFUNCTION("""COMPUTED_VALUE"""),"1")</f>
        <v>1</v>
      </c>
      <c r="C1221" s="5" t="str">
        <f>IFERROR(__xludf.DUMMYFUNCTION("""COMPUTED_VALUE"""),"https://drive.google.com/file/d/1XFQVBhhiwmUza1arkdPN4xWgYUIE9KV3/view?usp=drivesdk")</f>
        <v>https://drive.google.com/file/d/1XFQVBhhiwmUza1arkdPN4xWgYUIE9KV3/view?usp=drivesdk</v>
      </c>
      <c r="D1221" s="12"/>
      <c r="E1221" s="6">
        <v>1278.0</v>
      </c>
      <c r="F1221" s="2"/>
    </row>
    <row r="1222" ht="1.5" customHeight="1">
      <c r="A1222" s="4" t="str">
        <f>IFERROR(__xludf.DUMMYFUNCTION("""COMPUTED_VALUE"""),"1. Microwave")</f>
        <v>1. Microwave</v>
      </c>
      <c r="B1222" s="4" t="str">
        <f>IFERROR(__xludf.DUMMYFUNCTION("""COMPUTED_VALUE"""),"1")</f>
        <v>1</v>
      </c>
      <c r="C1222" s="5" t="str">
        <f>IFERROR(__xludf.DUMMYFUNCTION("""COMPUTED_VALUE"""),"https://drive.google.com/file/d/1m40tGCnwZpWYVbUWTqOzfX5heUeZh__r/view?usp=drivesdk")</f>
        <v>https://drive.google.com/file/d/1m40tGCnwZpWYVbUWTqOzfX5heUeZh__r/view?usp=drivesdk</v>
      </c>
      <c r="D1222" s="12"/>
      <c r="E1222" s="11">
        <v>1279.0</v>
      </c>
      <c r="F1222" s="2"/>
    </row>
    <row r="1223" ht="1.5" customHeight="1">
      <c r="A1223" s="4" t="str">
        <f>IFERROR(__xludf.DUMMYFUNCTION("""COMPUTED_VALUE"""),"1. Microwave")</f>
        <v>1. Microwave</v>
      </c>
      <c r="B1223" s="4" t="str">
        <f>IFERROR(__xludf.DUMMYFUNCTION("""COMPUTED_VALUE"""),"1")</f>
        <v>1</v>
      </c>
      <c r="C1223" s="5" t="str">
        <f>IFERROR(__xludf.DUMMYFUNCTION("""COMPUTED_VALUE"""),"https://drive.google.com/file/d/1RLwxHdSXmCcd-H6XAlXGwn3fN2HuceHM/view?usp=drivesdk")</f>
        <v>https://drive.google.com/file/d/1RLwxHdSXmCcd-H6XAlXGwn3fN2HuceHM/view?usp=drivesdk</v>
      </c>
      <c r="D1223" s="12"/>
      <c r="E1223" s="6">
        <v>1280.0</v>
      </c>
      <c r="F1223" s="2"/>
    </row>
    <row r="1224" ht="1.5" customHeight="1">
      <c r="A1224" s="4" t="str">
        <f>IFERROR(__xludf.DUMMYFUNCTION("""COMPUTED_VALUE"""),"1. Microwave")</f>
        <v>1. Microwave</v>
      </c>
      <c r="B1224" s="4" t="str">
        <f>IFERROR(__xludf.DUMMYFUNCTION("""COMPUTED_VALUE"""),"1")</f>
        <v>1</v>
      </c>
      <c r="C1224" s="5" t="str">
        <f>IFERROR(__xludf.DUMMYFUNCTION("""COMPUTED_VALUE"""),"https://drive.google.com/file/d/1p2qvMuXKdJbZGLXaWSB4Me9wsR6XTk4J/view?usp=drivesdk")</f>
        <v>https://drive.google.com/file/d/1p2qvMuXKdJbZGLXaWSB4Me9wsR6XTk4J/view?usp=drivesdk</v>
      </c>
      <c r="D1224" s="12"/>
      <c r="E1224" s="11">
        <v>1281.0</v>
      </c>
      <c r="F1224" s="2"/>
    </row>
    <row r="1225" ht="1.5" customHeight="1">
      <c r="A1225" s="4" t="str">
        <f>IFERROR(__xludf.DUMMYFUNCTION("""COMPUTED_VALUE"""),"1. Microwave")</f>
        <v>1. Microwave</v>
      </c>
      <c r="B1225" s="4" t="str">
        <f>IFERROR(__xludf.DUMMYFUNCTION("""COMPUTED_VALUE"""),"1")</f>
        <v>1</v>
      </c>
      <c r="C1225" s="5" t="str">
        <f>IFERROR(__xludf.DUMMYFUNCTION("""COMPUTED_VALUE"""),"https://drive.google.com/file/d/1OoB24sQglAdeOPJWr8HfL4vnwIW7m3N4/view?usp=drivesdk")</f>
        <v>https://drive.google.com/file/d/1OoB24sQglAdeOPJWr8HfL4vnwIW7m3N4/view?usp=drivesdk</v>
      </c>
      <c r="D1225" s="12"/>
      <c r="E1225" s="6">
        <v>1282.0</v>
      </c>
      <c r="F1225" s="2"/>
    </row>
    <row r="1226" ht="1.5" customHeight="1">
      <c r="A1226" s="4" t="str">
        <f>IFERROR(__xludf.DUMMYFUNCTION("""COMPUTED_VALUE"""),"1. Microwave")</f>
        <v>1. Microwave</v>
      </c>
      <c r="B1226" s="4" t="str">
        <f>IFERROR(__xludf.DUMMYFUNCTION("""COMPUTED_VALUE"""),"1")</f>
        <v>1</v>
      </c>
      <c r="C1226" s="5" t="str">
        <f>IFERROR(__xludf.DUMMYFUNCTION("""COMPUTED_VALUE"""),"https://drive.google.com/file/d/1g_tGPDG61C7yJ230Umo6d_YvgvA7vEWC/view?usp=drivesdk")</f>
        <v>https://drive.google.com/file/d/1g_tGPDG61C7yJ230Umo6d_YvgvA7vEWC/view?usp=drivesdk</v>
      </c>
      <c r="D1226" s="12"/>
      <c r="E1226" s="11">
        <v>1283.0</v>
      </c>
      <c r="F1226" s="2"/>
    </row>
    <row r="1227" ht="1.5" customHeight="1">
      <c r="A1227" s="4" t="str">
        <f>IFERROR(__xludf.DUMMYFUNCTION("""COMPUTED_VALUE"""),"1. Microwave")</f>
        <v>1. Microwave</v>
      </c>
      <c r="B1227" s="4" t="str">
        <f>IFERROR(__xludf.DUMMYFUNCTION("""COMPUTED_VALUE"""),"1")</f>
        <v>1</v>
      </c>
      <c r="C1227" s="5" t="str">
        <f>IFERROR(__xludf.DUMMYFUNCTION("""COMPUTED_VALUE"""),"https://drive.google.com/file/d/1HpByJ1Wl37TL-cF9I7gmheBQb5jzrCEE/view?usp=drivesdk")</f>
        <v>https://drive.google.com/file/d/1HpByJ1Wl37TL-cF9I7gmheBQb5jzrCEE/view?usp=drivesdk</v>
      </c>
      <c r="D1227" s="12"/>
      <c r="E1227" s="6">
        <v>1284.0</v>
      </c>
      <c r="F1227" s="2"/>
    </row>
    <row r="1228" ht="1.5" customHeight="1">
      <c r="A1228" s="4" t="str">
        <f>IFERROR(__xludf.DUMMYFUNCTION("""COMPUTED_VALUE"""),"1. Microwave")</f>
        <v>1. Microwave</v>
      </c>
      <c r="B1228" s="4" t="str">
        <f>IFERROR(__xludf.DUMMYFUNCTION("""COMPUTED_VALUE"""),"1")</f>
        <v>1</v>
      </c>
      <c r="C1228" s="5" t="str">
        <f>IFERROR(__xludf.DUMMYFUNCTION("""COMPUTED_VALUE"""),"https://drive.google.com/file/d/13Z6KFMNBe-90V0WwL5nA96vFDuxxLJ5C/view?usp=drivesdk")</f>
        <v>https://drive.google.com/file/d/13Z6KFMNBe-90V0WwL5nA96vFDuxxLJ5C/view?usp=drivesdk</v>
      </c>
      <c r="D1228" s="12"/>
      <c r="E1228" s="11">
        <v>1285.0</v>
      </c>
      <c r="F1228" s="2"/>
    </row>
    <row r="1229" ht="1.5" customHeight="1">
      <c r="A1229" s="4" t="str">
        <f>IFERROR(__xludf.DUMMYFUNCTION("""COMPUTED_VALUE"""),"1. Microwave")</f>
        <v>1. Microwave</v>
      </c>
      <c r="B1229" s="4" t="str">
        <f>IFERROR(__xludf.DUMMYFUNCTION("""COMPUTED_VALUE"""),"1")</f>
        <v>1</v>
      </c>
      <c r="C1229" s="5" t="str">
        <f>IFERROR(__xludf.DUMMYFUNCTION("""COMPUTED_VALUE"""),"https://drive.google.com/file/d/1nnWhe0gHjLSCvM1tyKXrtzF8s4bB-hsV/view?usp=drivesdk")</f>
        <v>https://drive.google.com/file/d/1nnWhe0gHjLSCvM1tyKXrtzF8s4bB-hsV/view?usp=drivesdk</v>
      </c>
      <c r="D1229" s="12"/>
      <c r="E1229" s="6">
        <v>1286.0</v>
      </c>
      <c r="F1229" s="2"/>
    </row>
    <row r="1230" ht="1.5" customHeight="1">
      <c r="A1230" s="4" t="str">
        <f>IFERROR(__xludf.DUMMYFUNCTION("""COMPUTED_VALUE"""),"1. Microwave")</f>
        <v>1. Microwave</v>
      </c>
      <c r="B1230" s="4" t="str">
        <f>IFERROR(__xludf.DUMMYFUNCTION("""COMPUTED_VALUE"""),"1")</f>
        <v>1</v>
      </c>
      <c r="C1230" s="5" t="str">
        <f>IFERROR(__xludf.DUMMYFUNCTION("""COMPUTED_VALUE"""),"https://drive.google.com/file/d/1ZqHHkvOogxQl8gh_ESGV3Lm0P4ckGYLe/view?usp=drivesdk")</f>
        <v>https://drive.google.com/file/d/1ZqHHkvOogxQl8gh_ESGV3Lm0P4ckGYLe/view?usp=drivesdk</v>
      </c>
      <c r="D1230" s="12"/>
      <c r="E1230" s="11">
        <v>1287.0</v>
      </c>
      <c r="F1230" s="2"/>
    </row>
    <row r="1231" ht="1.5" customHeight="1">
      <c r="A1231" s="4" t="str">
        <f>IFERROR(__xludf.DUMMYFUNCTION("""COMPUTED_VALUE"""),"1. Microwave")</f>
        <v>1. Microwave</v>
      </c>
      <c r="B1231" s="4" t="str">
        <f>IFERROR(__xludf.DUMMYFUNCTION("""COMPUTED_VALUE"""),"1")</f>
        <v>1</v>
      </c>
      <c r="C1231" s="5" t="str">
        <f>IFERROR(__xludf.DUMMYFUNCTION("""COMPUTED_VALUE"""),"https://drive.google.com/file/d/1q5dLxlq3QySa9IUZqmJrEFkmCcxgeB_X/view?usp=drivesdk")</f>
        <v>https://drive.google.com/file/d/1q5dLxlq3QySa9IUZqmJrEFkmCcxgeB_X/view?usp=drivesdk</v>
      </c>
      <c r="D1231" s="12"/>
      <c r="E1231" s="6">
        <v>1288.0</v>
      </c>
      <c r="F1231" s="2"/>
    </row>
    <row r="1232" ht="1.5" customHeight="1">
      <c r="A1232" s="4" t="str">
        <f>IFERROR(__xludf.DUMMYFUNCTION("""COMPUTED_VALUE"""),"1. Microwave")</f>
        <v>1. Microwave</v>
      </c>
      <c r="B1232" s="4" t="str">
        <f>IFERROR(__xludf.DUMMYFUNCTION("""COMPUTED_VALUE"""),"1")</f>
        <v>1</v>
      </c>
      <c r="C1232" s="5" t="str">
        <f>IFERROR(__xludf.DUMMYFUNCTION("""COMPUTED_VALUE"""),"https://drive.google.com/file/d/1YntGOobJYyHcU4fKZT2zZWB-_eEzyaeq/view?usp=drivesdk")</f>
        <v>https://drive.google.com/file/d/1YntGOobJYyHcU4fKZT2zZWB-_eEzyaeq/view?usp=drivesdk</v>
      </c>
      <c r="D1232" s="12"/>
      <c r="E1232" s="11">
        <v>1289.0</v>
      </c>
      <c r="F1232" s="2"/>
    </row>
    <row r="1233" ht="1.5" customHeight="1">
      <c r="A1233" s="4" t="str">
        <f>IFERROR(__xludf.DUMMYFUNCTION("""COMPUTED_VALUE"""),"2. Twix")</f>
        <v>2. Twix</v>
      </c>
      <c r="B1233" s="4" t="str">
        <f>IFERROR(__xludf.DUMMYFUNCTION("""COMPUTED_VALUE"""),"2")</f>
        <v>2</v>
      </c>
      <c r="C1233" s="5" t="str">
        <f>IFERROR(__xludf.DUMMYFUNCTION("""COMPUTED_VALUE"""),"https://drive.google.com/file/d/1KhOwlwfmPriGFGOLx2fZt7S75aNK-kIb/view?usp=drivesdk")</f>
        <v>https://drive.google.com/file/d/1KhOwlwfmPriGFGOLx2fZt7S75aNK-kIb/view?usp=drivesdk</v>
      </c>
      <c r="D1233" s="12"/>
      <c r="E1233" s="6">
        <v>1290.0</v>
      </c>
      <c r="F1233" s="2"/>
    </row>
    <row r="1234" ht="1.5" customHeight="1">
      <c r="A1234" s="4" t="str">
        <f>IFERROR(__xludf.DUMMYFUNCTION("""COMPUTED_VALUE"""),"6. Snickers")</f>
        <v>6. Snickers</v>
      </c>
      <c r="B1234" s="4" t="str">
        <f>IFERROR(__xludf.DUMMYFUNCTION("""COMPUTED_VALUE"""),"6")</f>
        <v>6</v>
      </c>
      <c r="C1234" s="5" t="str">
        <f>IFERROR(__xludf.DUMMYFUNCTION("""COMPUTED_VALUE"""),"https://drive.google.com/file/d/1ARHE3Rd4b6ObEy3FafZYcNoJidzi_3Vs/view?usp=drivesdk")</f>
        <v>https://drive.google.com/file/d/1ARHE3Rd4b6ObEy3FafZYcNoJidzi_3Vs/view?usp=drivesdk</v>
      </c>
      <c r="D1234" s="12"/>
      <c r="E1234" s="11">
        <v>1291.0</v>
      </c>
      <c r="F1234" s="2"/>
    </row>
    <row r="1235" ht="1.5" customHeight="1">
      <c r="A1235" s="4" t="str">
        <f>IFERROR(__xludf.DUMMYFUNCTION("""COMPUTED_VALUE"""),"6. Snickers")</f>
        <v>6. Snickers</v>
      </c>
      <c r="B1235" s="4" t="str">
        <f>IFERROR(__xludf.DUMMYFUNCTION("""COMPUTED_VALUE"""),"6")</f>
        <v>6</v>
      </c>
      <c r="C1235" s="5" t="str">
        <f>IFERROR(__xludf.DUMMYFUNCTION("""COMPUTED_VALUE"""),"https://drive.google.com/file/d/146ncsurLBUSgoXGfvE-aZKfZ5yg3bR8h/view?usp=drivesdk")</f>
        <v>https://drive.google.com/file/d/146ncsurLBUSgoXGfvE-aZKfZ5yg3bR8h/view?usp=drivesdk</v>
      </c>
      <c r="D1235" s="12"/>
      <c r="E1235" s="6">
        <v>1292.0</v>
      </c>
      <c r="F1235" s="2"/>
    </row>
    <row r="1236" ht="1.5" customHeight="1">
      <c r="A1236" s="4" t="str">
        <f>IFERROR(__xludf.DUMMYFUNCTION("""COMPUTED_VALUE"""),"6. Snickers")</f>
        <v>6. Snickers</v>
      </c>
      <c r="B1236" s="4" t="str">
        <f>IFERROR(__xludf.DUMMYFUNCTION("""COMPUTED_VALUE"""),"6")</f>
        <v>6</v>
      </c>
      <c r="C1236" s="5" t="str">
        <f>IFERROR(__xludf.DUMMYFUNCTION("""COMPUTED_VALUE"""),"https://drive.google.com/file/d/1xsqkfrz_rBO9xEe3pAOmeTtOZIr-f0dW/view?usp=drivesdk")</f>
        <v>https://drive.google.com/file/d/1xsqkfrz_rBO9xEe3pAOmeTtOZIr-f0dW/view?usp=drivesdk</v>
      </c>
      <c r="D1236" s="12"/>
      <c r="E1236" s="11">
        <v>1293.0</v>
      </c>
      <c r="F1236" s="2"/>
    </row>
    <row r="1237" ht="1.5" customHeight="1">
      <c r="A1237" s="4" t="str">
        <f>IFERROR(__xludf.DUMMYFUNCTION("""COMPUTED_VALUE"""),"6. Snickers")</f>
        <v>6. Snickers</v>
      </c>
      <c r="B1237" s="4" t="str">
        <f>IFERROR(__xludf.DUMMYFUNCTION("""COMPUTED_VALUE"""),"6")</f>
        <v>6</v>
      </c>
      <c r="C1237" s="5" t="str">
        <f>IFERROR(__xludf.DUMMYFUNCTION("""COMPUTED_VALUE"""),"https://drive.google.com/file/d/1Z-YaQOzOFKhTUU8Ou2f7kfiDvmc-2r5K/view?usp=drivesdk")</f>
        <v>https://drive.google.com/file/d/1Z-YaQOzOFKhTUU8Ou2f7kfiDvmc-2r5K/view?usp=drivesdk</v>
      </c>
      <c r="D1237" s="12"/>
      <c r="E1237" s="6">
        <v>1294.0</v>
      </c>
      <c r="F1237" s="2"/>
    </row>
    <row r="1238" ht="1.5" customHeight="1">
      <c r="A1238" s="4" t="str">
        <f>IFERROR(__xludf.DUMMYFUNCTION("""COMPUTED_VALUE"""),"6. Snickers")</f>
        <v>6. Snickers</v>
      </c>
      <c r="B1238" s="4" t="str">
        <f>IFERROR(__xludf.DUMMYFUNCTION("""COMPUTED_VALUE"""),"6")</f>
        <v>6</v>
      </c>
      <c r="C1238" s="5" t="str">
        <f>IFERROR(__xludf.DUMMYFUNCTION("""COMPUTED_VALUE"""),"https://drive.google.com/file/d/1uDwSj7ICxXY_SSmZU63aRgFKF5ggciOj/view?usp=drivesdk")</f>
        <v>https://drive.google.com/file/d/1uDwSj7ICxXY_SSmZU63aRgFKF5ggciOj/view?usp=drivesdk</v>
      </c>
      <c r="D1238" s="12"/>
      <c r="E1238" s="11">
        <v>1295.0</v>
      </c>
      <c r="F1238" s="2"/>
    </row>
    <row r="1239" ht="1.5" customHeight="1">
      <c r="A1239" s="4" t="str">
        <f>IFERROR(__xludf.DUMMYFUNCTION("""COMPUTED_VALUE"""),"6. Snickers")</f>
        <v>6. Snickers</v>
      </c>
      <c r="B1239" s="4" t="str">
        <f>IFERROR(__xludf.DUMMYFUNCTION("""COMPUTED_VALUE"""),"6")</f>
        <v>6</v>
      </c>
      <c r="C1239" s="5" t="str">
        <f>IFERROR(__xludf.DUMMYFUNCTION("""COMPUTED_VALUE"""),"https://drive.google.com/file/d/1Z8-pd1x6zeQTmwV3PCKTsAtw37SSpaPC/view?usp=drivesdk")</f>
        <v>https://drive.google.com/file/d/1Z8-pd1x6zeQTmwV3PCKTsAtw37SSpaPC/view?usp=drivesdk</v>
      </c>
      <c r="D1239" s="12"/>
      <c r="E1239" s="6">
        <v>1296.0</v>
      </c>
      <c r="F1239" s="2"/>
    </row>
    <row r="1240" ht="1.5" customHeight="1">
      <c r="A1240" s="4" t="str">
        <f>IFERROR(__xludf.DUMMYFUNCTION("""COMPUTED_VALUE"""),"5. Eraser")</f>
        <v>5. Eraser</v>
      </c>
      <c r="B1240" s="4" t="str">
        <f>IFERROR(__xludf.DUMMYFUNCTION("""COMPUTED_VALUE"""),"5")</f>
        <v>5</v>
      </c>
      <c r="C1240" s="5" t="str">
        <f>IFERROR(__xludf.DUMMYFUNCTION("""COMPUTED_VALUE"""),"https://drive.google.com/file/d/1j-CD_symi5xKVFraMxw7Khqq8uDWSiYZ/view?usp=drivesdk")</f>
        <v>https://drive.google.com/file/d/1j-CD_symi5xKVFraMxw7Khqq8uDWSiYZ/view?usp=drivesdk</v>
      </c>
      <c r="D1240" s="12"/>
      <c r="E1240" s="11">
        <v>1297.0</v>
      </c>
      <c r="F1240" s="2"/>
    </row>
    <row r="1241" ht="1.5" customHeight="1">
      <c r="A1241" s="4" t="str">
        <f>IFERROR(__xludf.DUMMYFUNCTION("""COMPUTED_VALUE"""),"1. Microwave")</f>
        <v>1. Microwave</v>
      </c>
      <c r="B1241" s="4" t="str">
        <f>IFERROR(__xludf.DUMMYFUNCTION("""COMPUTED_VALUE"""),"1")</f>
        <v>1</v>
      </c>
      <c r="C1241" s="5" t="str">
        <f>IFERROR(__xludf.DUMMYFUNCTION("""COMPUTED_VALUE"""),"https://drive.google.com/file/d/1OPDJtEIzPp1QiaTB8nwsR1Uo8tWxtIDQ/view?usp=drivesdk")</f>
        <v>https://drive.google.com/file/d/1OPDJtEIzPp1QiaTB8nwsR1Uo8tWxtIDQ/view?usp=drivesdk</v>
      </c>
      <c r="D1241" s="12"/>
      <c r="E1241" s="6">
        <v>1298.0</v>
      </c>
      <c r="F1241" s="2"/>
    </row>
    <row r="1242" ht="1.5" customHeight="1">
      <c r="A1242" s="4" t="str">
        <f>IFERROR(__xludf.DUMMYFUNCTION("""COMPUTED_VALUE"""),"1. Microwave")</f>
        <v>1. Microwave</v>
      </c>
      <c r="B1242" s="4" t="str">
        <f>IFERROR(__xludf.DUMMYFUNCTION("""COMPUTED_VALUE"""),"1")</f>
        <v>1</v>
      </c>
      <c r="C1242" s="5" t="str">
        <f>IFERROR(__xludf.DUMMYFUNCTION("""COMPUTED_VALUE"""),"https://drive.google.com/file/d/1DUzhTg8DCRXPMlQAmC5UQh4BQyDmGUez/view?usp=drivesdk")</f>
        <v>https://drive.google.com/file/d/1DUzhTg8DCRXPMlQAmC5UQh4BQyDmGUez/view?usp=drivesdk</v>
      </c>
      <c r="D1242" s="12"/>
      <c r="E1242" s="11">
        <v>1299.0</v>
      </c>
      <c r="F1242" s="2"/>
    </row>
    <row r="1243" ht="1.5" customHeight="1">
      <c r="A1243" s="4" t="str">
        <f>IFERROR(__xludf.DUMMYFUNCTION("""COMPUTED_VALUE"""),"4. Eggs, 5. Eraser")</f>
        <v>4. Eggs, 5. Eraser</v>
      </c>
      <c r="B1243" s="4" t="str">
        <f>IFERROR(__xludf.DUMMYFUNCTION("""COMPUTED_VALUE"""),"4, 5")</f>
        <v>4, 5</v>
      </c>
      <c r="C1243" s="5" t="str">
        <f>IFERROR(__xludf.DUMMYFUNCTION("""COMPUTED_VALUE"""),"https://drive.google.com/file/d/1z_SVuCdYD3rACxRYqnsfvq3UcFTcbSI1/view?usp=drivesdk")</f>
        <v>https://drive.google.com/file/d/1z_SVuCdYD3rACxRYqnsfvq3UcFTcbSI1/view?usp=drivesdk</v>
      </c>
      <c r="D1243" s="12"/>
      <c r="E1243" s="6">
        <v>1300.0</v>
      </c>
      <c r="F1243" s="2"/>
    </row>
    <row r="1244" ht="1.5" customHeight="1">
      <c r="A1244" s="4" t="str">
        <f>IFERROR(__xludf.DUMMYFUNCTION("""COMPUTED_VALUE"""),"4. Eggs, 5. Eraser")</f>
        <v>4. Eggs, 5. Eraser</v>
      </c>
      <c r="B1244" s="4" t="str">
        <f>IFERROR(__xludf.DUMMYFUNCTION("""COMPUTED_VALUE"""),"4, 5")</f>
        <v>4, 5</v>
      </c>
      <c r="C1244" s="5" t="str">
        <f>IFERROR(__xludf.DUMMYFUNCTION("""COMPUTED_VALUE"""),"https://drive.google.com/file/d/1JgC9IcibTi9bpljwt4VeMdiU0c4AX-e2/view?usp=drivesdk")</f>
        <v>https://drive.google.com/file/d/1JgC9IcibTi9bpljwt4VeMdiU0c4AX-e2/view?usp=drivesdk</v>
      </c>
      <c r="D1244" s="12"/>
      <c r="E1244" s="11">
        <v>1301.0</v>
      </c>
      <c r="F1244" s="2"/>
    </row>
    <row r="1245" ht="1.5" customHeight="1">
      <c r="A1245" s="4" t="str">
        <f>IFERROR(__xludf.DUMMYFUNCTION("""COMPUTED_VALUE"""),"2. Twix")</f>
        <v>2. Twix</v>
      </c>
      <c r="B1245" s="4" t="str">
        <f>IFERROR(__xludf.DUMMYFUNCTION("""COMPUTED_VALUE"""),"2")</f>
        <v>2</v>
      </c>
      <c r="C1245" s="5" t="str">
        <f>IFERROR(__xludf.DUMMYFUNCTION("""COMPUTED_VALUE"""),"https://drive.google.com/file/d/1R3v5s79liptgWB1S1kjKW9JXqhCjrRcw/view?usp=drivesdk")</f>
        <v>https://drive.google.com/file/d/1R3v5s79liptgWB1S1kjKW9JXqhCjrRcw/view?usp=drivesdk</v>
      </c>
      <c r="D1245" s="12"/>
      <c r="E1245" s="6">
        <v>1302.0</v>
      </c>
      <c r="F1245" s="2"/>
    </row>
    <row r="1246" ht="1.5" customHeight="1">
      <c r="A1246" s="4" t="str">
        <f>IFERROR(__xludf.DUMMYFUNCTION("""COMPUTED_VALUE"""),"4. Eggs, 5. Eraser")</f>
        <v>4. Eggs, 5. Eraser</v>
      </c>
      <c r="B1246" s="4" t="str">
        <f>IFERROR(__xludf.DUMMYFUNCTION("""COMPUTED_VALUE"""),"4, 5")</f>
        <v>4, 5</v>
      </c>
      <c r="C1246" s="5" t="str">
        <f>IFERROR(__xludf.DUMMYFUNCTION("""COMPUTED_VALUE"""),"https://drive.google.com/file/d/1WZqs6D146zAGyegkmTpD7_fHiE63GPVL/view?usp=drivesdk")</f>
        <v>https://drive.google.com/file/d/1WZqs6D146zAGyegkmTpD7_fHiE63GPVL/view?usp=drivesdk</v>
      </c>
      <c r="D1246" s="12"/>
      <c r="E1246" s="11">
        <v>1303.0</v>
      </c>
      <c r="F1246" s="2"/>
    </row>
    <row r="1247" ht="1.5" customHeight="1">
      <c r="A1247" s="4" t="str">
        <f>IFERROR(__xludf.DUMMYFUNCTION("""COMPUTED_VALUE"""),"4. Eggs")</f>
        <v>4. Eggs</v>
      </c>
      <c r="B1247" s="4" t="str">
        <f>IFERROR(__xludf.DUMMYFUNCTION("""COMPUTED_VALUE"""),"4")</f>
        <v>4</v>
      </c>
      <c r="C1247" s="5" t="str">
        <f>IFERROR(__xludf.DUMMYFUNCTION("""COMPUTED_VALUE"""),"https://drive.google.com/file/d/1Ap0fXVcoMo0jldjVgiy44FiSAcLTj2ir/view?usp=drivesdk")</f>
        <v>https://drive.google.com/file/d/1Ap0fXVcoMo0jldjVgiy44FiSAcLTj2ir/view?usp=drivesdk</v>
      </c>
      <c r="D1247" s="12"/>
      <c r="E1247" s="6">
        <v>1304.0</v>
      </c>
      <c r="F1247" s="2"/>
    </row>
    <row r="1248" ht="1.5" customHeight="1">
      <c r="A1248" s="4" t="str">
        <f>IFERROR(__xludf.DUMMYFUNCTION("""COMPUTED_VALUE"""),"4. Eggs")</f>
        <v>4. Eggs</v>
      </c>
      <c r="B1248" s="4" t="str">
        <f>IFERROR(__xludf.DUMMYFUNCTION("""COMPUTED_VALUE"""),"4")</f>
        <v>4</v>
      </c>
      <c r="C1248" s="5" t="str">
        <f>IFERROR(__xludf.DUMMYFUNCTION("""COMPUTED_VALUE"""),"https://drive.google.com/file/d/1DpA5PtmabaySNXdAW_5Moa6lceQlGRz3/view?usp=drivesdk")</f>
        <v>https://drive.google.com/file/d/1DpA5PtmabaySNXdAW_5Moa6lceQlGRz3/view?usp=drivesdk</v>
      </c>
      <c r="D1248" s="12"/>
      <c r="E1248" s="11">
        <v>1305.0</v>
      </c>
      <c r="F1248" s="2"/>
    </row>
    <row r="1249" ht="1.5" customHeight="1">
      <c r="A1249" s="4" t="str">
        <f>IFERROR(__xludf.DUMMYFUNCTION("""COMPUTED_VALUE"""),"4. Eggs")</f>
        <v>4. Eggs</v>
      </c>
      <c r="B1249" s="4" t="str">
        <f>IFERROR(__xludf.DUMMYFUNCTION("""COMPUTED_VALUE"""),"4")</f>
        <v>4</v>
      </c>
      <c r="C1249" s="5" t="str">
        <f>IFERROR(__xludf.DUMMYFUNCTION("""COMPUTED_VALUE"""),"https://drive.google.com/file/d/1XgCu6A65c0Emw-RaxU81GN2lO99pk8B-/view?usp=drivesdk")</f>
        <v>https://drive.google.com/file/d/1XgCu6A65c0Emw-RaxU81GN2lO99pk8B-/view?usp=drivesdk</v>
      </c>
      <c r="D1249" s="12"/>
      <c r="E1249" s="6">
        <v>1306.0</v>
      </c>
      <c r="F1249" s="2"/>
    </row>
    <row r="1250" ht="1.5" customHeight="1">
      <c r="A1250" s="4" t="str">
        <f>IFERROR(__xludf.DUMMYFUNCTION("""COMPUTED_VALUE"""),"4. Eggs, 5. Eraser")</f>
        <v>4. Eggs, 5. Eraser</v>
      </c>
      <c r="B1250" s="4" t="str">
        <f>IFERROR(__xludf.DUMMYFUNCTION("""COMPUTED_VALUE"""),"4, 5")</f>
        <v>4, 5</v>
      </c>
      <c r="C1250" s="5" t="str">
        <f>IFERROR(__xludf.DUMMYFUNCTION("""COMPUTED_VALUE"""),"https://drive.google.com/file/d/17uPcEInQ01tsxTh1I-3Se5HrtkioUUHN/view?usp=drivesdk")</f>
        <v>https://drive.google.com/file/d/17uPcEInQ01tsxTh1I-3Se5HrtkioUUHN/view?usp=drivesdk</v>
      </c>
      <c r="D1250" s="12"/>
      <c r="E1250" s="11">
        <v>1307.0</v>
      </c>
      <c r="F1250" s="2"/>
    </row>
    <row r="1251" ht="1.5" customHeight="1">
      <c r="A1251" s="4" t="str">
        <f>IFERROR(__xludf.DUMMYFUNCTION("""COMPUTED_VALUE"""),"4. Eggs, 5. Eraser")</f>
        <v>4. Eggs, 5. Eraser</v>
      </c>
      <c r="B1251" s="4" t="str">
        <f>IFERROR(__xludf.DUMMYFUNCTION("""COMPUTED_VALUE"""),"4, 5")</f>
        <v>4, 5</v>
      </c>
      <c r="C1251" s="5" t="str">
        <f>IFERROR(__xludf.DUMMYFUNCTION("""COMPUTED_VALUE"""),"https://drive.google.com/file/d/1-RT93gGiDRj_qPaz29f-G_z9uMrslcfM/view?usp=drivesdk")</f>
        <v>https://drive.google.com/file/d/1-RT93gGiDRj_qPaz29f-G_z9uMrslcfM/view?usp=drivesdk</v>
      </c>
      <c r="D1251" s="12"/>
      <c r="E1251" s="6">
        <v>1308.0</v>
      </c>
      <c r="F1251" s="2"/>
    </row>
    <row r="1252" ht="1.5" customHeight="1">
      <c r="A1252" s="4" t="str">
        <f>IFERROR(__xludf.DUMMYFUNCTION("""COMPUTED_VALUE"""),"4. Eggs, 5. Eraser")</f>
        <v>4. Eggs, 5. Eraser</v>
      </c>
      <c r="B1252" s="4" t="str">
        <f>IFERROR(__xludf.DUMMYFUNCTION("""COMPUTED_VALUE"""),"4, 5")</f>
        <v>4, 5</v>
      </c>
      <c r="C1252" s="5" t="str">
        <f>IFERROR(__xludf.DUMMYFUNCTION("""COMPUTED_VALUE"""),"https://drive.google.com/file/d/1lJM8fsqhFz6CBwotLuqBkyUpC4hQ8tqs/view?usp=drivesdk")</f>
        <v>https://drive.google.com/file/d/1lJM8fsqhFz6CBwotLuqBkyUpC4hQ8tqs/view?usp=drivesdk</v>
      </c>
      <c r="D1252" s="12"/>
      <c r="E1252" s="11">
        <v>1309.0</v>
      </c>
      <c r="F1252" s="2"/>
    </row>
    <row r="1253" ht="1.5" customHeight="1">
      <c r="A1253" s="4" t="str">
        <f>IFERROR(__xludf.DUMMYFUNCTION("""COMPUTED_VALUE"""),"4. Eggs, 5. Eraser")</f>
        <v>4. Eggs, 5. Eraser</v>
      </c>
      <c r="B1253" s="4" t="str">
        <f>IFERROR(__xludf.DUMMYFUNCTION("""COMPUTED_VALUE"""),"4, 5")</f>
        <v>4, 5</v>
      </c>
      <c r="C1253" s="5" t="str">
        <f>IFERROR(__xludf.DUMMYFUNCTION("""COMPUTED_VALUE"""),"https://drive.google.com/file/d/1xWNJ2c2bhouRgGbw5KiGCpXd4YtuADY3/view?usp=drivesdk")</f>
        <v>https://drive.google.com/file/d/1xWNJ2c2bhouRgGbw5KiGCpXd4YtuADY3/view?usp=drivesdk</v>
      </c>
      <c r="D1253" s="12"/>
      <c r="E1253" s="6">
        <v>1310.0</v>
      </c>
      <c r="F1253" s="2"/>
    </row>
    <row r="1254" ht="1.5" customHeight="1">
      <c r="A1254" s="4" t="str">
        <f>IFERROR(__xludf.DUMMYFUNCTION("""COMPUTED_VALUE"""),"5. Eraser")</f>
        <v>5. Eraser</v>
      </c>
      <c r="B1254" s="4" t="str">
        <f>IFERROR(__xludf.DUMMYFUNCTION("""COMPUTED_VALUE"""),"5")</f>
        <v>5</v>
      </c>
      <c r="C1254" s="5" t="str">
        <f>IFERROR(__xludf.DUMMYFUNCTION("""COMPUTED_VALUE"""),"https://drive.google.com/file/d/1Jka3nZf4bvBQEcv3tinDRiczuLeZ4A3S/view?usp=drivesdk")</f>
        <v>https://drive.google.com/file/d/1Jka3nZf4bvBQEcv3tinDRiczuLeZ4A3S/view?usp=drivesdk</v>
      </c>
      <c r="D1254" s="12"/>
      <c r="E1254" s="11">
        <v>1311.0</v>
      </c>
      <c r="F1254" s="2"/>
    </row>
    <row r="1255" ht="1.5" customHeight="1">
      <c r="A1255" s="4" t="str">
        <f>IFERROR(__xludf.DUMMYFUNCTION("""COMPUTED_VALUE"""),"5. Eraser")</f>
        <v>5. Eraser</v>
      </c>
      <c r="B1255" s="4" t="str">
        <f>IFERROR(__xludf.DUMMYFUNCTION("""COMPUTED_VALUE"""),"5")</f>
        <v>5</v>
      </c>
      <c r="C1255" s="5" t="str">
        <f>IFERROR(__xludf.DUMMYFUNCTION("""COMPUTED_VALUE"""),"https://drive.google.com/file/d/1-esOqDMR1igoMQLSMbNEqlbJFqPgr3n5/view?usp=drivesdk")</f>
        <v>https://drive.google.com/file/d/1-esOqDMR1igoMQLSMbNEqlbJFqPgr3n5/view?usp=drivesdk</v>
      </c>
      <c r="D1255" s="12"/>
      <c r="E1255" s="6">
        <v>1312.0</v>
      </c>
      <c r="F1255" s="2"/>
    </row>
    <row r="1256" ht="1.5" customHeight="1">
      <c r="A1256" s="4" t="str">
        <f>IFERROR(__xludf.DUMMYFUNCTION("""COMPUTED_VALUE"""),"5. Eraser")</f>
        <v>5. Eraser</v>
      </c>
      <c r="B1256" s="4" t="str">
        <f>IFERROR(__xludf.DUMMYFUNCTION("""COMPUTED_VALUE"""),"5")</f>
        <v>5</v>
      </c>
      <c r="C1256" s="5" t="str">
        <f>IFERROR(__xludf.DUMMYFUNCTION("""COMPUTED_VALUE"""),"https://drive.google.com/file/d/1ursDEPqz_nLwZ4tjIOLCJ0_yPE6DHiBW/view?usp=drivesdk")</f>
        <v>https://drive.google.com/file/d/1ursDEPqz_nLwZ4tjIOLCJ0_yPE6DHiBW/view?usp=drivesdk</v>
      </c>
      <c r="D1256" s="12"/>
      <c r="E1256" s="11">
        <v>1313.0</v>
      </c>
      <c r="F1256" s="2"/>
    </row>
    <row r="1257" ht="1.5" customHeight="1">
      <c r="A1257" s="4" t="str">
        <f>IFERROR(__xludf.DUMMYFUNCTION("""COMPUTED_VALUE"""),"5. Eraser")</f>
        <v>5. Eraser</v>
      </c>
      <c r="B1257" s="4" t="str">
        <f>IFERROR(__xludf.DUMMYFUNCTION("""COMPUTED_VALUE"""),"5")</f>
        <v>5</v>
      </c>
      <c r="C1257" s="5" t="str">
        <f>IFERROR(__xludf.DUMMYFUNCTION("""COMPUTED_VALUE"""),"https://drive.google.com/file/d/1pJAl6HYugNjGOr9z79F2_P991ryol5t3/view?usp=drivesdk")</f>
        <v>https://drive.google.com/file/d/1pJAl6HYugNjGOr9z79F2_P991ryol5t3/view?usp=drivesdk</v>
      </c>
      <c r="D1257" s="12"/>
      <c r="E1257" s="6">
        <v>1314.0</v>
      </c>
      <c r="F1257" s="2"/>
    </row>
    <row r="1258" ht="1.5" customHeight="1">
      <c r="A1258" s="4" t="str">
        <f>IFERROR(__xludf.DUMMYFUNCTION("""COMPUTED_VALUE"""),"1. Microwave")</f>
        <v>1. Microwave</v>
      </c>
      <c r="B1258" s="4" t="str">
        <f>IFERROR(__xludf.DUMMYFUNCTION("""COMPUTED_VALUE"""),"1")</f>
        <v>1</v>
      </c>
      <c r="C1258" s="5" t="str">
        <f>IFERROR(__xludf.DUMMYFUNCTION("""COMPUTED_VALUE"""),"https://drive.google.com/file/d/1wgQsdZG4kPqOp4zwlTpS7Xvj-8uUImtO/view?usp=drivesdk")</f>
        <v>https://drive.google.com/file/d/1wgQsdZG4kPqOp4zwlTpS7Xvj-8uUImtO/view?usp=drivesdk</v>
      </c>
      <c r="D1258" s="12"/>
      <c r="E1258" s="11">
        <v>1315.0</v>
      </c>
      <c r="F1258" s="2"/>
    </row>
    <row r="1259" ht="1.5" customHeight="1">
      <c r="A1259" s="4" t="str">
        <f>IFERROR(__xludf.DUMMYFUNCTION("""COMPUTED_VALUE"""),"1. Microwave")</f>
        <v>1. Microwave</v>
      </c>
      <c r="B1259" s="4" t="str">
        <f>IFERROR(__xludf.DUMMYFUNCTION("""COMPUTED_VALUE"""),"1")</f>
        <v>1</v>
      </c>
      <c r="C1259" s="5" t="str">
        <f>IFERROR(__xludf.DUMMYFUNCTION("""COMPUTED_VALUE"""),"https://drive.google.com/file/d/18CfMH0gCPb-W3GZoKWhB6fr46_KFnvPF/view?usp=drivesdk")</f>
        <v>https://drive.google.com/file/d/18CfMH0gCPb-W3GZoKWhB6fr46_KFnvPF/view?usp=drivesdk</v>
      </c>
      <c r="D1259" s="12"/>
      <c r="E1259" s="6">
        <v>1316.0</v>
      </c>
      <c r="F1259" s="2"/>
    </row>
    <row r="1260" ht="1.5" customHeight="1">
      <c r="A1260" s="4" t="str">
        <f>IFERROR(__xludf.DUMMYFUNCTION("""COMPUTED_VALUE"""),"1. Microwave")</f>
        <v>1. Microwave</v>
      </c>
      <c r="B1260" s="4" t="str">
        <f>IFERROR(__xludf.DUMMYFUNCTION("""COMPUTED_VALUE"""),"1")</f>
        <v>1</v>
      </c>
      <c r="C1260" s="5" t="str">
        <f>IFERROR(__xludf.DUMMYFUNCTION("""COMPUTED_VALUE"""),"https://drive.google.com/file/d/1L--XB6TK2vpS_IUlTyMQWVf1ZOviwDKT/view?usp=drivesdk")</f>
        <v>https://drive.google.com/file/d/1L--XB6TK2vpS_IUlTyMQWVf1ZOviwDKT/view?usp=drivesdk</v>
      </c>
      <c r="D1260" s="12"/>
      <c r="E1260" s="11">
        <v>1317.0</v>
      </c>
      <c r="F1260" s="2"/>
    </row>
    <row r="1261" ht="1.5" customHeight="1">
      <c r="A1261" s="4" t="str">
        <f>IFERROR(__xludf.DUMMYFUNCTION("""COMPUTED_VALUE"""),"1. Microwave")</f>
        <v>1. Microwave</v>
      </c>
      <c r="B1261" s="4" t="str">
        <f>IFERROR(__xludf.DUMMYFUNCTION("""COMPUTED_VALUE"""),"1")</f>
        <v>1</v>
      </c>
      <c r="C1261" s="5" t="str">
        <f>IFERROR(__xludf.DUMMYFUNCTION("""COMPUTED_VALUE"""),"https://drive.google.com/file/d/1x850vnqmLjKAthOmCoOJnCeULOE5Vyo9/view?usp=drivesdk")</f>
        <v>https://drive.google.com/file/d/1x850vnqmLjKAthOmCoOJnCeULOE5Vyo9/view?usp=drivesdk</v>
      </c>
      <c r="D1261" s="12"/>
      <c r="E1261" s="6">
        <v>1318.0</v>
      </c>
      <c r="F1261" s="2"/>
    </row>
    <row r="1262" ht="1.5" customHeight="1">
      <c r="A1262" s="4" t="str">
        <f>IFERROR(__xludf.DUMMYFUNCTION("""COMPUTED_VALUE"""),"1. Microwave")</f>
        <v>1. Microwave</v>
      </c>
      <c r="B1262" s="4" t="str">
        <f>IFERROR(__xludf.DUMMYFUNCTION("""COMPUTED_VALUE"""),"1")</f>
        <v>1</v>
      </c>
      <c r="C1262" s="5" t="str">
        <f>IFERROR(__xludf.DUMMYFUNCTION("""COMPUTED_VALUE"""),"https://drive.google.com/file/d/1hmKjE7Et6-CxgZ7zNHEvv-P0YSPgLwLa/view?usp=drivesdk")</f>
        <v>https://drive.google.com/file/d/1hmKjE7Et6-CxgZ7zNHEvv-P0YSPgLwLa/view?usp=drivesdk</v>
      </c>
      <c r="D1262" s="12"/>
      <c r="E1262" s="11">
        <v>1319.0</v>
      </c>
      <c r="F1262" s="2"/>
    </row>
    <row r="1263" ht="1.5" customHeight="1">
      <c r="A1263" s="4" t="str">
        <f>IFERROR(__xludf.DUMMYFUNCTION("""COMPUTED_VALUE"""),"1. Microwave")</f>
        <v>1. Microwave</v>
      </c>
      <c r="B1263" s="4" t="str">
        <f>IFERROR(__xludf.DUMMYFUNCTION("""COMPUTED_VALUE"""),"1")</f>
        <v>1</v>
      </c>
      <c r="C1263" s="5" t="str">
        <f>IFERROR(__xludf.DUMMYFUNCTION("""COMPUTED_VALUE"""),"https://drive.google.com/file/d/1TK6n896RUlMfO7Cf3-vN-YDNfasHTZwu/view?usp=drivesdk")</f>
        <v>https://drive.google.com/file/d/1TK6n896RUlMfO7Cf3-vN-YDNfasHTZwu/view?usp=drivesdk</v>
      </c>
      <c r="D1263" s="12"/>
      <c r="E1263" s="6">
        <v>1320.0</v>
      </c>
      <c r="F1263" s="2"/>
    </row>
    <row r="1264" ht="1.5" customHeight="1">
      <c r="A1264" s="4" t="str">
        <f>IFERROR(__xludf.DUMMYFUNCTION("""COMPUTED_VALUE"""),"1. Microwave")</f>
        <v>1. Microwave</v>
      </c>
      <c r="B1264" s="4" t="str">
        <f>IFERROR(__xludf.DUMMYFUNCTION("""COMPUTED_VALUE"""),"1")</f>
        <v>1</v>
      </c>
      <c r="C1264" s="5" t="str">
        <f>IFERROR(__xludf.DUMMYFUNCTION("""COMPUTED_VALUE"""),"https://drive.google.com/file/d/155d7AcnFMqyT9poHTUGnTBZucAsiIsDb/view?usp=drivesdk")</f>
        <v>https://drive.google.com/file/d/155d7AcnFMqyT9poHTUGnTBZucAsiIsDb/view?usp=drivesdk</v>
      </c>
      <c r="D1264" s="12"/>
      <c r="E1264" s="11">
        <v>1321.0</v>
      </c>
      <c r="F1264" s="2"/>
    </row>
    <row r="1265" ht="1.5" customHeight="1">
      <c r="A1265" s="4" t="str">
        <f>IFERROR(__xludf.DUMMYFUNCTION("""COMPUTED_VALUE"""),"5. Eraser, 4. Eggs")</f>
        <v>5. Eraser, 4. Eggs</v>
      </c>
      <c r="B1265" s="4" t="str">
        <f>IFERROR(__xludf.DUMMYFUNCTION("""COMPUTED_VALUE"""),"5, 4")</f>
        <v>5, 4</v>
      </c>
      <c r="C1265" s="5" t="str">
        <f>IFERROR(__xludf.DUMMYFUNCTION("""COMPUTED_VALUE"""),"https://drive.google.com/file/d/12SNdvdnRgc6UawOyWJk02eKvoJRnuiKL/view?usp=drivesdk")</f>
        <v>https://drive.google.com/file/d/12SNdvdnRgc6UawOyWJk02eKvoJRnuiKL/view?usp=drivesdk</v>
      </c>
      <c r="D1265" s="12"/>
      <c r="E1265" s="6">
        <v>1322.0</v>
      </c>
      <c r="F1265" s="2"/>
    </row>
    <row r="1266" ht="1.5" customHeight="1">
      <c r="A1266" s="4" t="str">
        <f>IFERROR(__xludf.DUMMYFUNCTION("""COMPUTED_VALUE"""),"4. Eggs")</f>
        <v>4. Eggs</v>
      </c>
      <c r="B1266" s="4" t="str">
        <f>IFERROR(__xludf.DUMMYFUNCTION("""COMPUTED_VALUE"""),"4")</f>
        <v>4</v>
      </c>
      <c r="C1266" s="5" t="str">
        <f>IFERROR(__xludf.DUMMYFUNCTION("""COMPUTED_VALUE"""),"https://drive.google.com/file/d/14QX4T6ULDYisz2U8UJZv_Mpsp2IalNGy/view?usp=drivesdk")</f>
        <v>https://drive.google.com/file/d/14QX4T6ULDYisz2U8UJZv_Mpsp2IalNGy/view?usp=drivesdk</v>
      </c>
      <c r="D1266" s="12"/>
      <c r="E1266" s="11">
        <v>1323.0</v>
      </c>
      <c r="F1266" s="2"/>
    </row>
    <row r="1267" ht="1.5" customHeight="1">
      <c r="A1267" s="4" t="str">
        <f>IFERROR(__xludf.DUMMYFUNCTION("""COMPUTED_VALUE"""),"1. Microwave")</f>
        <v>1. Microwave</v>
      </c>
      <c r="B1267" s="4" t="str">
        <f>IFERROR(__xludf.DUMMYFUNCTION("""COMPUTED_VALUE"""),"1")</f>
        <v>1</v>
      </c>
      <c r="C1267" s="5" t="str">
        <f>IFERROR(__xludf.DUMMYFUNCTION("""COMPUTED_VALUE"""),"https://drive.google.com/file/d/1DykU9rP1WqhCsYN1_VejrgHprcHDYZI0/view?usp=drivesdk")</f>
        <v>https://drive.google.com/file/d/1DykU9rP1WqhCsYN1_VejrgHprcHDYZI0/view?usp=drivesdk</v>
      </c>
      <c r="D1267" s="12"/>
      <c r="E1267" s="6">
        <v>1324.0</v>
      </c>
      <c r="F1267" s="2"/>
    </row>
    <row r="1268" ht="1.5" customHeight="1">
      <c r="A1268" s="4" t="str">
        <f>IFERROR(__xludf.DUMMYFUNCTION("""COMPUTED_VALUE"""),"1. Microwave")</f>
        <v>1. Microwave</v>
      </c>
      <c r="B1268" s="4" t="str">
        <f>IFERROR(__xludf.DUMMYFUNCTION("""COMPUTED_VALUE"""),"1")</f>
        <v>1</v>
      </c>
      <c r="C1268" s="5" t="str">
        <f>IFERROR(__xludf.DUMMYFUNCTION("""COMPUTED_VALUE"""),"https://drive.google.com/file/d/1AnH73YmYRpngL4ykmeQ9ac0LH1wRNgPb/view?usp=drivesdk")</f>
        <v>https://drive.google.com/file/d/1AnH73YmYRpngL4ykmeQ9ac0LH1wRNgPb/view?usp=drivesdk</v>
      </c>
      <c r="D1268" s="12"/>
      <c r="E1268" s="11">
        <v>1325.0</v>
      </c>
      <c r="F1268" s="2"/>
    </row>
    <row r="1269" ht="1.5" customHeight="1">
      <c r="A1269" s="4" t="str">
        <f>IFERROR(__xludf.DUMMYFUNCTION("""COMPUTED_VALUE"""),"67. Waffles")</f>
        <v>67. Waffles</v>
      </c>
      <c r="B1269" s="4" t="str">
        <f>IFERROR(__xludf.DUMMYFUNCTION("""COMPUTED_VALUE"""),"67")</f>
        <v>67</v>
      </c>
      <c r="C1269" s="5" t="str">
        <f>IFERROR(__xludf.DUMMYFUNCTION("""COMPUTED_VALUE"""),"https://drive.google.com/file/d/14J6uXncroHRvmZn6sEGLriSG_P2LaGvo/view?usp=drivesdk")</f>
        <v>https://drive.google.com/file/d/14J6uXncroHRvmZn6sEGLriSG_P2LaGvo/view?usp=drivesdk</v>
      </c>
      <c r="D1269" s="12"/>
      <c r="E1269" s="11">
        <v>1326.0</v>
      </c>
      <c r="F1269" s="2"/>
    </row>
    <row r="1270" ht="1.5" customHeight="1">
      <c r="A1270" s="4" t="str">
        <f>IFERROR(__xludf.DUMMYFUNCTION("""COMPUTED_VALUE"""),"67. Waffles")</f>
        <v>67. Waffles</v>
      </c>
      <c r="B1270" s="4" t="str">
        <f>IFERROR(__xludf.DUMMYFUNCTION("""COMPUTED_VALUE"""),"67")</f>
        <v>67</v>
      </c>
      <c r="C1270" s="5" t="str">
        <f>IFERROR(__xludf.DUMMYFUNCTION("""COMPUTED_VALUE"""),"https://drive.google.com/file/d/1iBQHV57uxRQ-6Zpb5iDOkTOk3WXFTphZ/view?usp=drivesdk")</f>
        <v>https://drive.google.com/file/d/1iBQHV57uxRQ-6Zpb5iDOkTOk3WXFTphZ/view?usp=drivesdk</v>
      </c>
      <c r="D1270" s="12"/>
      <c r="E1270" s="6">
        <v>1327.0</v>
      </c>
      <c r="F1270" s="2"/>
    </row>
    <row r="1271" ht="1.5" customHeight="1">
      <c r="A1271" s="4" t="str">
        <f>IFERROR(__xludf.DUMMYFUNCTION("""COMPUTED_VALUE"""),"32. Noir, 68. Unnamed Noir Child")</f>
        <v>32. Noir, 68. Unnamed Noir Child</v>
      </c>
      <c r="B1271" s="4" t="str">
        <f>IFERROR(__xludf.DUMMYFUNCTION("""COMPUTED_VALUE"""),"32, 68")</f>
        <v>32, 68</v>
      </c>
      <c r="C1271" s="5" t="str">
        <f>IFERROR(__xludf.DUMMYFUNCTION("""COMPUTED_VALUE"""),"https://drive.google.com/file/d/1owoqM21IA2u5u-ULt2uOHvpeIdqmZqse/view?usp=drivesdk")</f>
        <v>https://drive.google.com/file/d/1owoqM21IA2u5u-ULt2uOHvpeIdqmZqse/view?usp=drivesdk</v>
      </c>
      <c r="D1271" s="12"/>
      <c r="E1271" s="11">
        <v>1328.0</v>
      </c>
      <c r="F1271" s="2"/>
    </row>
    <row r="1272" ht="1.5" customHeight="1">
      <c r="A1272" s="4" t="str">
        <f>IFERROR(__xludf.DUMMYFUNCTION("""COMPUTED_VALUE"""),"32. Noir, 68. Unnamed Noir Child")</f>
        <v>32. Noir, 68. Unnamed Noir Child</v>
      </c>
      <c r="B1272" s="4" t="str">
        <f>IFERROR(__xludf.DUMMYFUNCTION("""COMPUTED_VALUE"""),"32, 68")</f>
        <v>32, 68</v>
      </c>
      <c r="C1272" s="5" t="str">
        <f>IFERROR(__xludf.DUMMYFUNCTION("""COMPUTED_VALUE"""),"https://drive.google.com/file/d/1U8Jfel1Dgk94X7g85hMZa_tCtfcKiHz7/view?usp=drivesdk")</f>
        <v>https://drive.google.com/file/d/1U8Jfel1Dgk94X7g85hMZa_tCtfcKiHz7/view?usp=drivesdk</v>
      </c>
      <c r="D1272" s="12"/>
      <c r="E1272" s="11">
        <v>1329.0</v>
      </c>
      <c r="F1272" s="2"/>
    </row>
    <row r="1273" ht="1.5" customHeight="1">
      <c r="A1273" s="4" t="str">
        <f>IFERROR(__xludf.DUMMYFUNCTION("""COMPUTED_VALUE"""),"1. Microwave")</f>
        <v>1. Microwave</v>
      </c>
      <c r="B1273" s="4" t="str">
        <f>IFERROR(__xludf.DUMMYFUNCTION("""COMPUTED_VALUE"""),"1")</f>
        <v>1</v>
      </c>
      <c r="C1273" s="5" t="str">
        <f>IFERROR(__xludf.DUMMYFUNCTION("""COMPUTED_VALUE"""),"https://drive.google.com/file/d/15w8SF3PvM0ANS6edW5l-uR54PoA3EGr3/view?usp=drivesdk")</f>
        <v>https://drive.google.com/file/d/15w8SF3PvM0ANS6edW5l-uR54PoA3EGr3/view?usp=drivesdk</v>
      </c>
      <c r="D1273" s="12"/>
      <c r="E1273" s="6">
        <v>1330.0</v>
      </c>
      <c r="F1273" s="2"/>
    </row>
    <row r="1274" ht="1.5" customHeight="1">
      <c r="A1274" s="4" t="str">
        <f>IFERROR(__xludf.DUMMYFUNCTION("""COMPUTED_VALUE"""),"1. Microwave")</f>
        <v>1. Microwave</v>
      </c>
      <c r="B1274" s="4" t="str">
        <f>IFERROR(__xludf.DUMMYFUNCTION("""COMPUTED_VALUE"""),"1")</f>
        <v>1</v>
      </c>
      <c r="C1274" s="5" t="str">
        <f>IFERROR(__xludf.DUMMYFUNCTION("""COMPUTED_VALUE"""),"https://drive.google.com/file/d/17sjobCs5VwpiR4FRaxVL8Tmra1jH30jc/view?usp=drivesdk")</f>
        <v>https://drive.google.com/file/d/17sjobCs5VwpiR4FRaxVL8Tmra1jH30jc/view?usp=drivesdk</v>
      </c>
      <c r="D1274" s="12"/>
      <c r="E1274" s="11">
        <v>1331.0</v>
      </c>
      <c r="F1274" s="2"/>
    </row>
    <row r="1275" ht="1.5" customHeight="1">
      <c r="A1275" s="4" t="str">
        <f>IFERROR(__xludf.DUMMYFUNCTION("""COMPUTED_VALUE"""),"2. Twix")</f>
        <v>2. Twix</v>
      </c>
      <c r="B1275" s="4" t="str">
        <f>IFERROR(__xludf.DUMMYFUNCTION("""COMPUTED_VALUE"""),"2")</f>
        <v>2</v>
      </c>
      <c r="C1275" s="5" t="str">
        <f>IFERROR(__xludf.DUMMYFUNCTION("""COMPUTED_VALUE"""),"https://drive.google.com/file/d/16m7-T1SZaJhhQbrJAVpsuZn6PvW3a8K4/view?usp=drivesdk")</f>
        <v>https://drive.google.com/file/d/16m7-T1SZaJhhQbrJAVpsuZn6PvW3a8K4/view?usp=drivesdk</v>
      </c>
      <c r="D1275" s="12"/>
      <c r="E1275" s="11">
        <v>1332.0</v>
      </c>
      <c r="F1275" s="2"/>
    </row>
    <row r="1276" ht="1.5" customHeight="1">
      <c r="A1276" s="4" t="str">
        <f>IFERROR(__xludf.DUMMYFUNCTION("""COMPUTED_VALUE"""),"2. Twix")</f>
        <v>2. Twix</v>
      </c>
      <c r="B1276" s="4" t="str">
        <f>IFERROR(__xludf.DUMMYFUNCTION("""COMPUTED_VALUE"""),"2")</f>
        <v>2</v>
      </c>
      <c r="C1276" s="5" t="str">
        <f>IFERROR(__xludf.DUMMYFUNCTION("""COMPUTED_VALUE"""),"https://drive.google.com/file/d/147CTQSiu2E36UZouijFxBGXfdMdWeq3N/view?usp=drivesdk")</f>
        <v>https://drive.google.com/file/d/147CTQSiu2E36UZouijFxBGXfdMdWeq3N/view?usp=drivesdk</v>
      </c>
      <c r="D1276" s="12"/>
      <c r="E1276" s="6">
        <v>1333.0</v>
      </c>
      <c r="F1276" s="2"/>
    </row>
    <row r="1277" ht="1.5" customHeight="1">
      <c r="A1277" s="4" t="str">
        <f>IFERROR(__xludf.DUMMYFUNCTION("""COMPUTED_VALUE"""),"2. Twix")</f>
        <v>2. Twix</v>
      </c>
      <c r="B1277" s="4" t="str">
        <f>IFERROR(__xludf.DUMMYFUNCTION("""COMPUTED_VALUE"""),"2")</f>
        <v>2</v>
      </c>
      <c r="C1277" s="5" t="str">
        <f>IFERROR(__xludf.DUMMYFUNCTION("""COMPUTED_VALUE"""),"https://drive.google.com/file/d/13xHIBy4oepVuSgSU5iBy9ArBeLB7Rfjl/view?usp=drivesdk")</f>
        <v>https://drive.google.com/file/d/13xHIBy4oepVuSgSU5iBy9ArBeLB7Rfjl/view?usp=drivesdk</v>
      </c>
      <c r="D1277" s="12"/>
      <c r="E1277" s="11">
        <v>1334.0</v>
      </c>
      <c r="F1277" s="2"/>
    </row>
    <row r="1278" ht="1.5" customHeight="1">
      <c r="A1278" s="4" t="str">
        <f>IFERROR(__xludf.DUMMYFUNCTION("""COMPUTED_VALUE"""),"32. Noir, 68. Unnamed Noir Child")</f>
        <v>32. Noir, 68. Unnamed Noir Child</v>
      </c>
      <c r="B1278" s="4" t="str">
        <f>IFERROR(__xludf.DUMMYFUNCTION("""COMPUTED_VALUE"""),"32, 68")</f>
        <v>32, 68</v>
      </c>
      <c r="C1278" s="5" t="str">
        <f>IFERROR(__xludf.DUMMYFUNCTION("""COMPUTED_VALUE"""),"https://drive.google.com/file/d/1SAaZvYOMAVj3t8keG5pW2CC35z1Fhg4K/view?usp=drivesdk")</f>
        <v>https://drive.google.com/file/d/1SAaZvYOMAVj3t8keG5pW2CC35z1Fhg4K/view?usp=drivesdk</v>
      </c>
      <c r="D1278" s="12"/>
      <c r="E1278" s="11">
        <v>1335.0</v>
      </c>
      <c r="F1278" s="2"/>
    </row>
    <row r="1279" ht="1.5" customHeight="1">
      <c r="A1279" s="4" t="str">
        <f>IFERROR(__xludf.DUMMYFUNCTION("""COMPUTED_VALUE"""),"32. Noir, 68. Unnamed Noir Child")</f>
        <v>32. Noir, 68. Unnamed Noir Child</v>
      </c>
      <c r="B1279" s="4" t="str">
        <f>IFERROR(__xludf.DUMMYFUNCTION("""COMPUTED_VALUE"""),"32, 68")</f>
        <v>32, 68</v>
      </c>
      <c r="C1279" s="5" t="str">
        <f>IFERROR(__xludf.DUMMYFUNCTION("""COMPUTED_VALUE"""),"https://drive.google.com/file/d/17gKkVPcSLre8ChS5XVUEM6ot-X8N5sOO/view?usp=drivesdk")</f>
        <v>https://drive.google.com/file/d/17gKkVPcSLre8ChS5XVUEM6ot-X8N5sOO/view?usp=drivesdk</v>
      </c>
      <c r="D1279" s="12"/>
      <c r="E1279" s="11">
        <v>1336.0</v>
      </c>
      <c r="F1279" s="2"/>
    </row>
    <row r="1280" ht="1.5" customHeight="1">
      <c r="A1280" s="4" t="str">
        <f>IFERROR(__xludf.DUMMYFUNCTION("""COMPUTED_VALUE"""),"32. Noir, 68. Unnamed Noir Child")</f>
        <v>32. Noir, 68. Unnamed Noir Child</v>
      </c>
      <c r="B1280" s="4" t="str">
        <f>IFERROR(__xludf.DUMMYFUNCTION("""COMPUTED_VALUE"""),"32, 68")</f>
        <v>32, 68</v>
      </c>
      <c r="C1280" s="5" t="str">
        <f>IFERROR(__xludf.DUMMYFUNCTION("""COMPUTED_VALUE"""),"https://drive.google.com/file/d/1LkPO1zs4NV7wI4w3vZg_QUWt1N2VW8Xw/view?usp=drivesdk")</f>
        <v>https://drive.google.com/file/d/1LkPO1zs4NV7wI4w3vZg_QUWt1N2VW8Xw/view?usp=drivesdk</v>
      </c>
      <c r="D1280" s="12"/>
      <c r="E1280" s="6">
        <v>1337.0</v>
      </c>
      <c r="F1280" s="2"/>
    </row>
    <row r="1281" ht="1.5" customHeight="1">
      <c r="A1281" s="4" t="str">
        <f>IFERROR(__xludf.DUMMYFUNCTION("""COMPUTED_VALUE"""),"32. Noir, 68. Unnamed Noir Child")</f>
        <v>32. Noir, 68. Unnamed Noir Child</v>
      </c>
      <c r="B1281" s="4" t="str">
        <f>IFERROR(__xludf.DUMMYFUNCTION("""COMPUTED_VALUE"""),"32, 68")</f>
        <v>32, 68</v>
      </c>
      <c r="C1281" s="5" t="str">
        <f>IFERROR(__xludf.DUMMYFUNCTION("""COMPUTED_VALUE"""),"https://drive.google.com/file/d/1NxQbb6MwnQkABIF-81lJqG3mfJ3HuEv_/view?usp=drivesdk")</f>
        <v>https://drive.google.com/file/d/1NxQbb6MwnQkABIF-81lJqG3mfJ3HuEv_/view?usp=drivesdk</v>
      </c>
      <c r="D1281" s="12"/>
      <c r="E1281" s="11">
        <v>1338.0</v>
      </c>
      <c r="F1281" s="2"/>
    </row>
    <row r="1282" ht="1.5" customHeight="1">
      <c r="A1282" s="4" t="str">
        <f>IFERROR(__xludf.DUMMYFUNCTION("""COMPUTED_VALUE"""),"32. Noir, 68. Unnamed Noir Child")</f>
        <v>32. Noir, 68. Unnamed Noir Child</v>
      </c>
      <c r="B1282" s="4" t="str">
        <f>IFERROR(__xludf.DUMMYFUNCTION("""COMPUTED_VALUE"""),"32, 68")</f>
        <v>32, 68</v>
      </c>
      <c r="C1282" s="5" t="str">
        <f>IFERROR(__xludf.DUMMYFUNCTION("""COMPUTED_VALUE"""),"https://drive.google.com/file/d/1u2Lqnycz6PFOR4i5f2o99vTF6SdGgoyr/view?usp=drivesdk")</f>
        <v>https://drive.google.com/file/d/1u2Lqnycz6PFOR4i5f2o99vTF6SdGgoyr/view?usp=drivesdk</v>
      </c>
      <c r="D1282" s="12"/>
      <c r="E1282" s="11">
        <v>1339.0</v>
      </c>
      <c r="F1282" s="2"/>
    </row>
    <row r="1283" ht="1.5" customHeight="1">
      <c r="A1283" s="4" t="str">
        <f>IFERROR(__xludf.DUMMYFUNCTION("""COMPUTED_VALUE"""),"1. Microwave")</f>
        <v>1. Microwave</v>
      </c>
      <c r="B1283" s="4" t="str">
        <f>IFERROR(__xludf.DUMMYFUNCTION("""COMPUTED_VALUE"""),"1")</f>
        <v>1</v>
      </c>
      <c r="C1283" s="5" t="str">
        <f>IFERROR(__xludf.DUMMYFUNCTION("""COMPUTED_VALUE"""),"https://drive.google.com/file/d/16ax_CQOlNdhqh2cYK1wHu4UL48lZYXWa/view?usp=drivesdk")</f>
        <v>https://drive.google.com/file/d/16ax_CQOlNdhqh2cYK1wHu4UL48lZYXWa/view?usp=drivesdk</v>
      </c>
      <c r="D1283" s="12"/>
      <c r="E1283" s="11">
        <v>1340.0</v>
      </c>
      <c r="F1283" s="2"/>
    </row>
    <row r="1284" ht="1.5" customHeight="1">
      <c r="A1284" s="4" t="str">
        <f>IFERROR(__xludf.DUMMYFUNCTION("""COMPUTED_VALUE"""),"1. Microwave")</f>
        <v>1. Microwave</v>
      </c>
      <c r="B1284" s="4" t="str">
        <f>IFERROR(__xludf.DUMMYFUNCTION("""COMPUTED_VALUE"""),"1")</f>
        <v>1</v>
      </c>
      <c r="C1284" s="5" t="str">
        <f>IFERROR(__xludf.DUMMYFUNCTION("""COMPUTED_VALUE"""),"https://drive.google.com/file/d/1QZtDSthC62NM8UN7UfyqXGuu0GV-FRBA/view?usp=drivesdk")</f>
        <v>https://drive.google.com/file/d/1QZtDSthC62NM8UN7UfyqXGuu0GV-FRBA/view?usp=drivesdk</v>
      </c>
      <c r="D1284" s="12"/>
      <c r="E1284" s="6">
        <v>1341.0</v>
      </c>
      <c r="F1284" s="2"/>
    </row>
    <row r="1285" ht="1.5" customHeight="1">
      <c r="A1285" s="4" t="str">
        <f>IFERROR(__xludf.DUMMYFUNCTION("""COMPUTED_VALUE"""),"1. Microwave")</f>
        <v>1. Microwave</v>
      </c>
      <c r="B1285" s="4" t="str">
        <f>IFERROR(__xludf.DUMMYFUNCTION("""COMPUTED_VALUE"""),"1")</f>
        <v>1</v>
      </c>
      <c r="C1285" s="5" t="str">
        <f>IFERROR(__xludf.DUMMYFUNCTION("""COMPUTED_VALUE"""),"https://drive.google.com/file/d/1dsaga1ysjZgOH7C0yNJ_g_fdv_MZb94L/view?usp=drivesdk")</f>
        <v>https://drive.google.com/file/d/1dsaga1ysjZgOH7C0yNJ_g_fdv_MZb94L/view?usp=drivesdk</v>
      </c>
      <c r="D1285" s="12"/>
      <c r="E1285" s="11">
        <v>1342.0</v>
      </c>
      <c r="F1285" s="2"/>
    </row>
    <row r="1286" ht="1.5" customHeight="1">
      <c r="A1286" s="4" t="str">
        <f>IFERROR(__xludf.DUMMYFUNCTION("""COMPUTED_VALUE"""),"1. Microwave")</f>
        <v>1. Microwave</v>
      </c>
      <c r="B1286" s="4" t="str">
        <f>IFERROR(__xludf.DUMMYFUNCTION("""COMPUTED_VALUE"""),"1")</f>
        <v>1</v>
      </c>
      <c r="C1286" s="5" t="str">
        <f>IFERROR(__xludf.DUMMYFUNCTION("""COMPUTED_VALUE"""),"https://drive.google.com/file/d/1Fm_Eb8U9yHwKuAUKjpI3HLzfZ9LKlTuj/view?usp=drivesdk")</f>
        <v>https://drive.google.com/file/d/1Fm_Eb8U9yHwKuAUKjpI3HLzfZ9LKlTuj/view?usp=drivesdk</v>
      </c>
      <c r="D1286" s="12"/>
      <c r="E1286" s="11">
        <v>1343.0</v>
      </c>
      <c r="F1286" s="2"/>
    </row>
    <row r="1287" ht="1.5" customHeight="1">
      <c r="A1287" s="4" t="str">
        <f>IFERROR(__xludf.DUMMYFUNCTION("""COMPUTED_VALUE"""),"1. Microwave")</f>
        <v>1. Microwave</v>
      </c>
      <c r="B1287" s="4" t="str">
        <f>IFERROR(__xludf.DUMMYFUNCTION("""COMPUTED_VALUE"""),"1")</f>
        <v>1</v>
      </c>
      <c r="C1287" s="5" t="str">
        <f>IFERROR(__xludf.DUMMYFUNCTION("""COMPUTED_VALUE"""),"https://drive.google.com/file/d/1KXcKu2wNWsMj9-PxbEXDiT5E7BLMDjU4/view?usp=drivesdk")</f>
        <v>https://drive.google.com/file/d/1KXcKu2wNWsMj9-PxbEXDiT5E7BLMDjU4/view?usp=drivesdk</v>
      </c>
      <c r="D1287" s="12"/>
      <c r="E1287" s="11">
        <v>1344.0</v>
      </c>
      <c r="F1287" s="2"/>
    </row>
    <row r="1288" ht="1.5" customHeight="1">
      <c r="A1288" s="4" t="str">
        <f>IFERROR(__xludf.DUMMYFUNCTION("""COMPUTED_VALUE"""),"1. Microwave")</f>
        <v>1. Microwave</v>
      </c>
      <c r="B1288" s="4" t="str">
        <f>IFERROR(__xludf.DUMMYFUNCTION("""COMPUTED_VALUE"""),"1")</f>
        <v>1</v>
      </c>
      <c r="C1288" s="5" t="str">
        <f>IFERROR(__xludf.DUMMYFUNCTION("""COMPUTED_VALUE"""),"https://drive.google.com/file/d/1yd3w4TQumfbl88iyDL_6_0Af0XedWpwT/view?usp=drivesdk")</f>
        <v>https://drive.google.com/file/d/1yd3w4TQumfbl88iyDL_6_0Af0XedWpwT/view?usp=drivesdk</v>
      </c>
      <c r="D1288" s="12"/>
      <c r="E1288" s="6">
        <v>1345.0</v>
      </c>
      <c r="F1288" s="2"/>
    </row>
    <row r="1289" ht="1.5" customHeight="1">
      <c r="A1289" s="4" t="str">
        <f>IFERROR(__xludf.DUMMYFUNCTION("""COMPUTED_VALUE"""),"1. Microwave")</f>
        <v>1. Microwave</v>
      </c>
      <c r="B1289" s="4" t="str">
        <f>IFERROR(__xludf.DUMMYFUNCTION("""COMPUTED_VALUE"""),"1")</f>
        <v>1</v>
      </c>
      <c r="C1289" s="5" t="str">
        <f>IFERROR(__xludf.DUMMYFUNCTION("""COMPUTED_VALUE"""),"https://drive.google.com/file/d/1nVhs-b_oPtkxxQeFDJd0fsVGLWhxUAtx/view?usp=drivesdk")</f>
        <v>https://drive.google.com/file/d/1nVhs-b_oPtkxxQeFDJd0fsVGLWhxUAtx/view?usp=drivesdk</v>
      </c>
      <c r="D1289" s="12"/>
      <c r="E1289" s="11">
        <v>1346.0</v>
      </c>
      <c r="F1289" s="2"/>
    </row>
    <row r="1290" ht="1.5" customHeight="1">
      <c r="A1290" s="4" t="str">
        <f>IFERROR(__xludf.DUMMYFUNCTION("""COMPUTED_VALUE"""),"2. Twix")</f>
        <v>2. Twix</v>
      </c>
      <c r="B1290" s="4" t="str">
        <f>IFERROR(__xludf.DUMMYFUNCTION("""COMPUTED_VALUE"""),"2")</f>
        <v>2</v>
      </c>
      <c r="C1290" s="5" t="str">
        <f>IFERROR(__xludf.DUMMYFUNCTION("""COMPUTED_VALUE"""),"https://drive.google.com/file/d/1ndiiDUfVsn75Tbh-e-ZfpsC-k4VerRvL/view?usp=drivesdk")</f>
        <v>https://drive.google.com/file/d/1ndiiDUfVsn75Tbh-e-ZfpsC-k4VerRvL/view?usp=drivesdk</v>
      </c>
      <c r="D1290" s="12"/>
      <c r="E1290" s="11">
        <v>1347.0</v>
      </c>
      <c r="F1290" s="2"/>
    </row>
    <row r="1291" ht="1.5" customHeight="1">
      <c r="A1291" s="4" t="str">
        <f>IFERROR(__xludf.DUMMYFUNCTION("""COMPUTED_VALUE"""),"2. Twix")</f>
        <v>2. Twix</v>
      </c>
      <c r="B1291" s="4" t="str">
        <f>IFERROR(__xludf.DUMMYFUNCTION("""COMPUTED_VALUE"""),"2")</f>
        <v>2</v>
      </c>
      <c r="C1291" s="5" t="str">
        <f>IFERROR(__xludf.DUMMYFUNCTION("""COMPUTED_VALUE"""),"https://drive.google.com/file/d/19aZrCOv6Y36kppQpjz_KtF8DkWLouJfT/view?usp=drivesdk")</f>
        <v>https://drive.google.com/file/d/19aZrCOv6Y36kppQpjz_KtF8DkWLouJfT/view?usp=drivesdk</v>
      </c>
      <c r="D1291" s="12"/>
      <c r="E1291" s="11">
        <v>1348.0</v>
      </c>
      <c r="F1291" s="2"/>
    </row>
    <row r="1292" ht="1.5" customHeight="1">
      <c r="A1292" s="4" t="str">
        <f>IFERROR(__xludf.DUMMYFUNCTION("""COMPUTED_VALUE"""),"5. Eraser")</f>
        <v>5. Eraser</v>
      </c>
      <c r="B1292" s="4" t="str">
        <f>IFERROR(__xludf.DUMMYFUNCTION("""COMPUTED_VALUE"""),"5")</f>
        <v>5</v>
      </c>
      <c r="C1292" s="5" t="str">
        <f>IFERROR(__xludf.DUMMYFUNCTION("""COMPUTED_VALUE"""),"https://drive.google.com/file/d/1hMviNvIuD0PYQFlS7q6pi-gumgM60Gbv/view?usp=drivesdk")</f>
        <v>https://drive.google.com/file/d/1hMviNvIuD0PYQFlS7q6pi-gumgM60Gbv/view?usp=drivesdk</v>
      </c>
      <c r="D1292" s="12"/>
      <c r="E1292" s="6">
        <v>1349.0</v>
      </c>
      <c r="F1292" s="2"/>
    </row>
    <row r="1293" ht="1.5" customHeight="1">
      <c r="A1293" s="4" t="str">
        <f>IFERROR(__xludf.DUMMYFUNCTION("""COMPUTED_VALUE"""),"2. Twix")</f>
        <v>2. Twix</v>
      </c>
      <c r="B1293" s="4" t="str">
        <f>IFERROR(__xludf.DUMMYFUNCTION("""COMPUTED_VALUE"""),"2")</f>
        <v>2</v>
      </c>
      <c r="C1293" s="5" t="str">
        <f>IFERROR(__xludf.DUMMYFUNCTION("""COMPUTED_VALUE"""),"https://drive.google.com/file/d/1ImayvfH2OYCwepBFdz-_yHnrMJBegpa9/view?usp=drivesdk")</f>
        <v>https://drive.google.com/file/d/1ImayvfH2OYCwepBFdz-_yHnrMJBegpa9/view?usp=drivesdk</v>
      </c>
      <c r="D1293" s="12"/>
      <c r="E1293" s="11">
        <v>1350.0</v>
      </c>
      <c r="F1293" s="2"/>
    </row>
    <row r="1294" ht="1.5" customHeight="1">
      <c r="A1294" s="4" t="str">
        <f>IFERROR(__xludf.DUMMYFUNCTION("""COMPUTED_VALUE"""),"2. Twix")</f>
        <v>2. Twix</v>
      </c>
      <c r="B1294" s="4" t="str">
        <f>IFERROR(__xludf.DUMMYFUNCTION("""COMPUTED_VALUE"""),"2")</f>
        <v>2</v>
      </c>
      <c r="C1294" s="5" t="str">
        <f>IFERROR(__xludf.DUMMYFUNCTION("""COMPUTED_VALUE"""),"https://drive.google.com/file/d/1sg7F5GXTFxN9GW55WInZy8eSnz0Pa1kj/view?usp=drivesdk")</f>
        <v>https://drive.google.com/file/d/1sg7F5GXTFxN9GW55WInZy8eSnz0Pa1kj/view?usp=drivesdk</v>
      </c>
      <c r="D1294" s="12"/>
      <c r="E1294" s="11">
        <v>1351.0</v>
      </c>
      <c r="F1294" s="2"/>
    </row>
    <row r="1295" ht="1.5" customHeight="1">
      <c r="A1295" s="4" t="str">
        <f>IFERROR(__xludf.DUMMYFUNCTION("""COMPUTED_VALUE"""),"1. Microwave")</f>
        <v>1. Microwave</v>
      </c>
      <c r="B1295" s="4" t="str">
        <f>IFERROR(__xludf.DUMMYFUNCTION("""COMPUTED_VALUE"""),"1")</f>
        <v>1</v>
      </c>
      <c r="C1295" s="5" t="str">
        <f>IFERROR(__xludf.DUMMYFUNCTION("""COMPUTED_VALUE"""),"https://drive.google.com/file/d/1WMf-DDDX_8_6IFh3dqjQDr5TPuXMhLsk/view?usp=drivesdk")</f>
        <v>https://drive.google.com/file/d/1WMf-DDDX_8_6IFh3dqjQDr5TPuXMhLsk/view?usp=drivesdk</v>
      </c>
      <c r="D1295" s="12"/>
      <c r="E1295" s="11">
        <v>1352.0</v>
      </c>
      <c r="F1295" s="2"/>
    </row>
    <row r="1296" ht="1.5" customHeight="1">
      <c r="A1296" s="4" t="str">
        <f>IFERROR(__xludf.DUMMYFUNCTION("""COMPUTED_VALUE"""),"2. Twix")</f>
        <v>2. Twix</v>
      </c>
      <c r="B1296" s="4" t="str">
        <f>IFERROR(__xludf.DUMMYFUNCTION("""COMPUTED_VALUE"""),"2")</f>
        <v>2</v>
      </c>
      <c r="C1296" s="5" t="str">
        <f>IFERROR(__xludf.DUMMYFUNCTION("""COMPUTED_VALUE"""),"https://drive.google.com/file/d/1tPnumebHsp4-ldJnJ8lGQxx4D9XXeNZu/view?usp=drivesdk")</f>
        <v>https://drive.google.com/file/d/1tPnumebHsp4-ldJnJ8lGQxx4D9XXeNZu/view?usp=drivesdk</v>
      </c>
      <c r="D1296" s="12"/>
      <c r="E1296" s="6">
        <v>1353.0</v>
      </c>
      <c r="F1296" s="2"/>
    </row>
    <row r="1297" ht="1.5" customHeight="1">
      <c r="A1297" s="4" t="str">
        <f>IFERROR(__xludf.DUMMYFUNCTION("""COMPUTED_VALUE"""),"2. Twix")</f>
        <v>2. Twix</v>
      </c>
      <c r="B1297" s="4" t="str">
        <f>IFERROR(__xludf.DUMMYFUNCTION("""COMPUTED_VALUE"""),"2")</f>
        <v>2</v>
      </c>
      <c r="C1297" s="5" t="str">
        <f>IFERROR(__xludf.DUMMYFUNCTION("""COMPUTED_VALUE"""),"https://drive.google.com/file/d/1gsMg5tZdg_l0RGTuBtfB6G4nQW7gx-z2/view?usp=drivesdk")</f>
        <v>https://drive.google.com/file/d/1gsMg5tZdg_l0RGTuBtfB6G4nQW7gx-z2/view?usp=drivesdk</v>
      </c>
      <c r="D1297" s="12"/>
      <c r="E1297" s="11">
        <v>1354.0</v>
      </c>
      <c r="F1297" s="2"/>
    </row>
    <row r="1298" ht="1.5" customHeight="1">
      <c r="A1298" s="4" t="str">
        <f>IFERROR(__xludf.DUMMYFUNCTION("""COMPUTED_VALUE"""),"19. Rolo")</f>
        <v>19. Rolo</v>
      </c>
      <c r="B1298" s="4" t="str">
        <f>IFERROR(__xludf.DUMMYFUNCTION("""COMPUTED_VALUE"""),"19")</f>
        <v>19</v>
      </c>
      <c r="C1298" s="5" t="str">
        <f>IFERROR(__xludf.DUMMYFUNCTION("""COMPUTED_VALUE"""),"https://drive.google.com/file/d/1W_7L2WMkdI5Db3dfEK0VCSNiryjmIoWx/view?usp=drivesdk")</f>
        <v>https://drive.google.com/file/d/1W_7L2WMkdI5Db3dfEK0VCSNiryjmIoWx/view?usp=drivesdk</v>
      </c>
      <c r="D1298" s="12"/>
      <c r="E1298" s="11">
        <v>1355.0</v>
      </c>
      <c r="F1298" s="2"/>
    </row>
    <row r="1299" ht="1.5" customHeight="1">
      <c r="A1299" s="4" t="str">
        <f>IFERROR(__xludf.DUMMYFUNCTION("""COMPUTED_VALUE"""),"19. Rolo")</f>
        <v>19. Rolo</v>
      </c>
      <c r="B1299" s="4" t="str">
        <f>IFERROR(__xludf.DUMMYFUNCTION("""COMPUTED_VALUE"""),"19")</f>
        <v>19</v>
      </c>
      <c r="C1299" s="5" t="str">
        <f>IFERROR(__xludf.DUMMYFUNCTION("""COMPUTED_VALUE"""),"https://drive.google.com/file/d/1HqcURAFeWqjZ_UvQb_KTY-5Ak9zAhpbg/view?usp=drivesdk")</f>
        <v>https://drive.google.com/file/d/1HqcURAFeWqjZ_UvQb_KTY-5Ak9zAhpbg/view?usp=drivesdk</v>
      </c>
      <c r="D1299" s="12"/>
      <c r="E1299" s="11">
        <v>1356.0</v>
      </c>
      <c r="F1299" s="2"/>
    </row>
    <row r="1300" ht="1.5" customHeight="1">
      <c r="A1300" s="4" t="str">
        <f>IFERROR(__xludf.DUMMYFUNCTION("""COMPUTED_VALUE"""),"19. Rolo")</f>
        <v>19. Rolo</v>
      </c>
      <c r="B1300" s="4" t="str">
        <f>IFERROR(__xludf.DUMMYFUNCTION("""COMPUTED_VALUE"""),"19")</f>
        <v>19</v>
      </c>
      <c r="C1300" s="5" t="str">
        <f>IFERROR(__xludf.DUMMYFUNCTION("""COMPUTED_VALUE"""),"https://drive.google.com/file/d/1V4RDsmlQEMuc4gduNorMZ7niNx84Hxpi/view?usp=drivesdk")</f>
        <v>https://drive.google.com/file/d/1V4RDsmlQEMuc4gduNorMZ7niNx84Hxpi/view?usp=drivesdk</v>
      </c>
      <c r="D1300" s="12"/>
      <c r="E1300" s="6">
        <v>1357.0</v>
      </c>
      <c r="F1300" s="2"/>
    </row>
    <row r="1301" ht="1.5" customHeight="1">
      <c r="A1301" s="4" t="str">
        <f>IFERROR(__xludf.DUMMYFUNCTION("""COMPUTED_VALUE"""),"19. Rolo")</f>
        <v>19. Rolo</v>
      </c>
      <c r="B1301" s="4" t="str">
        <f>IFERROR(__xludf.DUMMYFUNCTION("""COMPUTED_VALUE"""),"19")</f>
        <v>19</v>
      </c>
      <c r="C1301" s="5" t="str">
        <f>IFERROR(__xludf.DUMMYFUNCTION("""COMPUTED_VALUE"""),"https://drive.google.com/file/d/1yQebGT_OAjr-4jTsh2s1WgSMtTt1P8Kq/view?usp=drivesdk")</f>
        <v>https://drive.google.com/file/d/1yQebGT_OAjr-4jTsh2s1WgSMtTt1P8Kq/view?usp=drivesdk</v>
      </c>
      <c r="D1301" s="12"/>
      <c r="E1301" s="11">
        <v>1358.0</v>
      </c>
      <c r="F1301" s="2"/>
    </row>
    <row r="1302" ht="1.5" customHeight="1">
      <c r="A1302" s="4" t="str">
        <f>IFERROR(__xludf.DUMMYFUNCTION("""COMPUTED_VALUE"""),"19. Rolo")</f>
        <v>19. Rolo</v>
      </c>
      <c r="B1302" s="4" t="str">
        <f>IFERROR(__xludf.DUMMYFUNCTION("""COMPUTED_VALUE"""),"19")</f>
        <v>19</v>
      </c>
      <c r="C1302" s="5" t="str">
        <f>IFERROR(__xludf.DUMMYFUNCTION("""COMPUTED_VALUE"""),"https://drive.google.com/file/d/198NSkqUEs_8xRxxbc73vf_CTlbRmpul_/view?usp=drivesdk")</f>
        <v>https://drive.google.com/file/d/198NSkqUEs_8xRxxbc73vf_CTlbRmpul_/view?usp=drivesdk</v>
      </c>
      <c r="D1302" s="12"/>
      <c r="E1302" s="11">
        <v>1359.0</v>
      </c>
      <c r="F1302" s="2"/>
    </row>
    <row r="1303" ht="1.5" customHeight="1">
      <c r="A1303" s="4" t="str">
        <f>IFERROR(__xludf.DUMMYFUNCTION("""COMPUTED_VALUE"""),"19. Rolo")</f>
        <v>19. Rolo</v>
      </c>
      <c r="B1303" s="4" t="str">
        <f>IFERROR(__xludf.DUMMYFUNCTION("""COMPUTED_VALUE"""),"19")</f>
        <v>19</v>
      </c>
      <c r="C1303" s="5" t="str">
        <f>IFERROR(__xludf.DUMMYFUNCTION("""COMPUTED_VALUE"""),"https://drive.google.com/file/d/11JrXfz6AdEo6AcibzECOv7MkZXJOaKsd/view?usp=drivesdk")</f>
        <v>https://drive.google.com/file/d/11JrXfz6AdEo6AcibzECOv7MkZXJOaKsd/view?usp=drivesdk</v>
      </c>
      <c r="D1303" s="12"/>
      <c r="E1303" s="11">
        <v>1360.0</v>
      </c>
      <c r="F1303" s="2"/>
    </row>
    <row r="1304" ht="1.5" customHeight="1">
      <c r="A1304" s="4" t="str">
        <f>IFERROR(__xludf.DUMMYFUNCTION("""COMPUTED_VALUE"""),"19. Rolo")</f>
        <v>19. Rolo</v>
      </c>
      <c r="B1304" s="4" t="str">
        <f>IFERROR(__xludf.DUMMYFUNCTION("""COMPUTED_VALUE"""),"19")</f>
        <v>19</v>
      </c>
      <c r="C1304" s="5" t="str">
        <f>IFERROR(__xludf.DUMMYFUNCTION("""COMPUTED_VALUE"""),"https://drive.google.com/file/d/17_iBEoOYwHSurA3eU5Eo5yZh0QN2ivGD/view?usp=drivesdk")</f>
        <v>https://drive.google.com/file/d/17_iBEoOYwHSurA3eU5Eo5yZh0QN2ivGD/view?usp=drivesdk</v>
      </c>
      <c r="D1304" s="12"/>
      <c r="E1304" s="6">
        <v>1361.0</v>
      </c>
      <c r="F1304" s="2"/>
    </row>
    <row r="1305" ht="1.5" customHeight="1">
      <c r="A1305" s="4" t="str">
        <f>IFERROR(__xludf.DUMMYFUNCTION("""COMPUTED_VALUE"""),"68. Unnamed Noir Child,71. Robin")</f>
        <v>68. Unnamed Noir Child,71. Robin</v>
      </c>
      <c r="B1305" s="4" t="str">
        <f>IFERROR(__xludf.DUMMYFUNCTION("""COMPUTED_VALUE"""),"68,71")</f>
        <v>68,71</v>
      </c>
      <c r="C1305" s="5" t="str">
        <f>IFERROR(__xludf.DUMMYFUNCTION("""COMPUTED_VALUE"""),"https://drive.google.com/file/d/1n5KZOPjoY-9Q8MEBKRdHDWw1JyUfSw8X/view?usp=drivesdk")</f>
        <v>https://drive.google.com/file/d/1n5KZOPjoY-9Q8MEBKRdHDWw1JyUfSw8X/view?usp=drivesdk</v>
      </c>
      <c r="D1305" s="12"/>
      <c r="E1305" s="11">
        <v>1362.0</v>
      </c>
      <c r="F1305" s="2"/>
    </row>
    <row r="1306" ht="1.5" customHeight="1">
      <c r="A1306" s="4" t="str">
        <f>IFERROR(__xludf.DUMMYFUNCTION("""COMPUTED_VALUE"""),"2. Twix")</f>
        <v>2. Twix</v>
      </c>
      <c r="B1306" s="4" t="str">
        <f>IFERROR(__xludf.DUMMYFUNCTION("""COMPUTED_VALUE"""),"2")</f>
        <v>2</v>
      </c>
      <c r="C1306" s="5" t="str">
        <f>IFERROR(__xludf.DUMMYFUNCTION("""COMPUTED_VALUE"""),"https://drive.google.com/file/d/1CGauk0SnMfVFswQaGH5yQ3dkR31OMD6c/view?usp=drivesdk")</f>
        <v>https://drive.google.com/file/d/1CGauk0SnMfVFswQaGH5yQ3dkR31OMD6c/view?usp=drivesdk</v>
      </c>
      <c r="D1306" s="12"/>
      <c r="E1306" s="11">
        <v>1363.0</v>
      </c>
      <c r="F1306" s="2"/>
    </row>
    <row r="1307" ht="1.5" customHeight="1">
      <c r="A1307" s="4" t="str">
        <f>IFERROR(__xludf.DUMMYFUNCTION("""COMPUTED_VALUE"""),"64. Ernie")</f>
        <v>64. Ernie</v>
      </c>
      <c r="B1307" s="4" t="str">
        <f>IFERROR(__xludf.DUMMYFUNCTION("""COMPUTED_VALUE"""),"64")</f>
        <v>64</v>
      </c>
      <c r="C1307" s="5" t="str">
        <f>IFERROR(__xludf.DUMMYFUNCTION("""COMPUTED_VALUE"""),"https://drive.google.com/file/d/1xT0OlbtIeyLfCaPkIDGqplCz5bHVm9nb/view?usp=drivesdk")</f>
        <v>https://drive.google.com/file/d/1xT0OlbtIeyLfCaPkIDGqplCz5bHVm9nb/view?usp=drivesdk</v>
      </c>
      <c r="D1307" s="12"/>
      <c r="E1307" s="11">
        <v>1364.0</v>
      </c>
      <c r="F1307" s="2"/>
    </row>
    <row r="1308" ht="1.5" customHeight="1">
      <c r="A1308" s="4" t="str">
        <f>IFERROR(__xludf.DUMMYFUNCTION("""COMPUTED_VALUE"""),"64. Ernie")</f>
        <v>64. Ernie</v>
      </c>
      <c r="B1308" s="4" t="str">
        <f>IFERROR(__xludf.DUMMYFUNCTION("""COMPUTED_VALUE"""),"64")</f>
        <v>64</v>
      </c>
      <c r="C1308" s="5" t="str">
        <f>IFERROR(__xludf.DUMMYFUNCTION("""COMPUTED_VALUE"""),"https://drive.google.com/file/d/16CNPfPr7mGDgJQdO2svZdrh1NkgCNkkY/view?usp=drivesdk")</f>
        <v>https://drive.google.com/file/d/16CNPfPr7mGDgJQdO2svZdrh1NkgCNkkY/view?usp=drivesdk</v>
      </c>
      <c r="D1308" s="12"/>
      <c r="E1308" s="6">
        <v>1365.0</v>
      </c>
      <c r="F1308" s="2"/>
    </row>
    <row r="1309" ht="1.5" customHeight="1">
      <c r="A1309" s="4" t="str">
        <f>IFERROR(__xludf.DUMMYFUNCTION("""COMPUTED_VALUE"""),"64. Ernie")</f>
        <v>64. Ernie</v>
      </c>
      <c r="B1309" s="4" t="str">
        <f>IFERROR(__xludf.DUMMYFUNCTION("""COMPUTED_VALUE"""),"64")</f>
        <v>64</v>
      </c>
      <c r="C1309" s="5" t="str">
        <f>IFERROR(__xludf.DUMMYFUNCTION("""COMPUTED_VALUE"""),"https://drive.google.com/file/d/13sYvn0Xd-ekqeZF_33UFMX6xEMg4SQMQ/view?usp=drivesdk")</f>
        <v>https://drive.google.com/file/d/13sYvn0Xd-ekqeZF_33UFMX6xEMg4SQMQ/view?usp=drivesdk</v>
      </c>
      <c r="D1309" s="12"/>
      <c r="E1309" s="11">
        <v>1366.0</v>
      </c>
      <c r="F1309" s="2"/>
    </row>
    <row r="1310" ht="1.5" customHeight="1">
      <c r="A1310" s="4" t="str">
        <f>IFERROR(__xludf.DUMMYFUNCTION("""COMPUTED_VALUE"""),"64. Ernie")</f>
        <v>64. Ernie</v>
      </c>
      <c r="B1310" s="4" t="str">
        <f>IFERROR(__xludf.DUMMYFUNCTION("""COMPUTED_VALUE"""),"64")</f>
        <v>64</v>
      </c>
      <c r="C1310" s="5" t="str">
        <f>IFERROR(__xludf.DUMMYFUNCTION("""COMPUTED_VALUE"""),"https://drive.google.com/file/d/1xIIV_U2y-if-2eKt1fVNtBlOBm3XZtik/view?usp=drivesdk")</f>
        <v>https://drive.google.com/file/d/1xIIV_U2y-if-2eKt1fVNtBlOBm3XZtik/view?usp=drivesdk</v>
      </c>
      <c r="D1310" s="12"/>
      <c r="E1310" s="11">
        <v>1367.0</v>
      </c>
      <c r="F1310" s="2"/>
    </row>
    <row r="1311" ht="1.5" customHeight="1">
      <c r="A1311" s="4" t="str">
        <f>IFERROR(__xludf.DUMMYFUNCTION("""COMPUTED_VALUE"""),"64. Ernie")</f>
        <v>64. Ernie</v>
      </c>
      <c r="B1311" s="4" t="str">
        <f>IFERROR(__xludf.DUMMYFUNCTION("""COMPUTED_VALUE"""),"64")</f>
        <v>64</v>
      </c>
      <c r="C1311" s="5" t="str">
        <f>IFERROR(__xludf.DUMMYFUNCTION("""COMPUTED_VALUE"""),"https://drive.google.com/file/d/17bP8rF2zKOkEy4bijfJ6wSrMFzXWvmAM/view?usp=drivesdk")</f>
        <v>https://drive.google.com/file/d/17bP8rF2zKOkEy4bijfJ6wSrMFzXWvmAM/view?usp=drivesdk</v>
      </c>
      <c r="D1311" s="12"/>
      <c r="E1311" s="11">
        <v>1368.0</v>
      </c>
      <c r="F1311" s="2"/>
    </row>
    <row r="1312" ht="1.5" customHeight="1">
      <c r="A1312" s="4" t="str">
        <f>IFERROR(__xludf.DUMMYFUNCTION("""COMPUTED_VALUE"""),"64. Ernie")</f>
        <v>64. Ernie</v>
      </c>
      <c r="B1312" s="4" t="str">
        <f>IFERROR(__xludf.DUMMYFUNCTION("""COMPUTED_VALUE"""),"64")</f>
        <v>64</v>
      </c>
      <c r="C1312" s="5" t="str">
        <f>IFERROR(__xludf.DUMMYFUNCTION("""COMPUTED_VALUE"""),"https://drive.google.com/file/d/1o0SUK76A3eTxmZFbRmmhZvCyRCwFWSM8/view?usp=drivesdk")</f>
        <v>https://drive.google.com/file/d/1o0SUK76A3eTxmZFbRmmhZvCyRCwFWSM8/view?usp=drivesdk</v>
      </c>
      <c r="D1312" s="12"/>
      <c r="E1312" s="6">
        <v>1369.0</v>
      </c>
      <c r="F1312" s="2"/>
    </row>
    <row r="1313" ht="1.5" customHeight="1">
      <c r="A1313" s="4" t="str">
        <f>IFERROR(__xludf.DUMMYFUNCTION("""COMPUTED_VALUE"""),"64. Ernie")</f>
        <v>64. Ernie</v>
      </c>
      <c r="B1313" s="4" t="str">
        <f>IFERROR(__xludf.DUMMYFUNCTION("""COMPUTED_VALUE"""),"64")</f>
        <v>64</v>
      </c>
      <c r="C1313" s="5" t="str">
        <f>IFERROR(__xludf.DUMMYFUNCTION("""COMPUTED_VALUE"""),"https://drive.google.com/file/d/1gaTLULYaYukc-_CpxE6UlvpS469yB2EQ/view?usp=drivesdk")</f>
        <v>https://drive.google.com/file/d/1gaTLULYaYukc-_CpxE6UlvpS469yB2EQ/view?usp=drivesdk</v>
      </c>
      <c r="D1313" s="12"/>
      <c r="E1313" s="11">
        <v>1370.0</v>
      </c>
      <c r="F1313" s="2"/>
    </row>
    <row r="1314" ht="1.5" customHeight="1">
      <c r="A1314" s="4" t="str">
        <f>IFERROR(__xludf.DUMMYFUNCTION("""COMPUTED_VALUE"""),"64. Ernie")</f>
        <v>64. Ernie</v>
      </c>
      <c r="B1314" s="4" t="str">
        <f>IFERROR(__xludf.DUMMYFUNCTION("""COMPUTED_VALUE"""),"64")</f>
        <v>64</v>
      </c>
      <c r="C1314" s="5" t="str">
        <f>IFERROR(__xludf.DUMMYFUNCTION("""COMPUTED_VALUE"""),"https://drive.google.com/file/d/1v057Lq4K96z2aScu5mOxL2AlVqsYaBhN/view?usp=drivesdk")</f>
        <v>https://drive.google.com/file/d/1v057Lq4K96z2aScu5mOxL2AlVqsYaBhN/view?usp=drivesdk</v>
      </c>
      <c r="D1314" s="12"/>
      <c r="E1314" s="11">
        <v>1371.0</v>
      </c>
      <c r="F1314" s="2"/>
    </row>
    <row r="1315" ht="1.5" customHeight="1">
      <c r="A1315" s="4" t="str">
        <f>IFERROR(__xludf.DUMMYFUNCTION("""COMPUTED_VALUE"""),"64. Ernie")</f>
        <v>64. Ernie</v>
      </c>
      <c r="B1315" s="4" t="str">
        <f>IFERROR(__xludf.DUMMYFUNCTION("""COMPUTED_VALUE"""),"64")</f>
        <v>64</v>
      </c>
      <c r="C1315" s="5" t="str">
        <f>IFERROR(__xludf.DUMMYFUNCTION("""COMPUTED_VALUE"""),"https://drive.google.com/file/d/1Dn1QLh4pyU_a4tDD3c-8zEliq80ENrQf/view?usp=drivesdk")</f>
        <v>https://drive.google.com/file/d/1Dn1QLh4pyU_a4tDD3c-8zEliq80ENrQf/view?usp=drivesdk</v>
      </c>
      <c r="D1315" s="12"/>
      <c r="E1315" s="11">
        <v>1372.0</v>
      </c>
      <c r="F1315" s="2"/>
    </row>
    <row r="1316" ht="1.5" customHeight="1">
      <c r="A1316" s="4" t="str">
        <f>IFERROR(__xludf.DUMMYFUNCTION("""COMPUTED_VALUE"""),"64. Ernie")</f>
        <v>64. Ernie</v>
      </c>
      <c r="B1316" s="4" t="str">
        <f>IFERROR(__xludf.DUMMYFUNCTION("""COMPUTED_VALUE"""),"64")</f>
        <v>64</v>
      </c>
      <c r="C1316" s="5" t="str">
        <f>IFERROR(__xludf.DUMMYFUNCTION("""COMPUTED_VALUE"""),"https://drive.google.com/file/d/1fSYvOE8DxiKldLeqViYV2qITXdTbALtM/view?usp=drivesdk")</f>
        <v>https://drive.google.com/file/d/1fSYvOE8DxiKldLeqViYV2qITXdTbALtM/view?usp=drivesdk</v>
      </c>
      <c r="D1316" s="12"/>
      <c r="E1316" s="6">
        <v>1373.0</v>
      </c>
      <c r="F1316" s="2"/>
    </row>
    <row r="1317" ht="1.5" customHeight="1">
      <c r="A1317" s="4" t="str">
        <f>IFERROR(__xludf.DUMMYFUNCTION("""COMPUTED_VALUE"""),"64. Ernie")</f>
        <v>64. Ernie</v>
      </c>
      <c r="B1317" s="4" t="str">
        <f>IFERROR(__xludf.DUMMYFUNCTION("""COMPUTED_VALUE"""),"64")</f>
        <v>64</v>
      </c>
      <c r="C1317" s="5" t="str">
        <f>IFERROR(__xludf.DUMMYFUNCTION("""COMPUTED_VALUE"""),"https://drive.google.com/file/d/1cbPnc9SVeNgjfGGnWFh_TprY4B-937NM/view?usp=drivesdk")</f>
        <v>https://drive.google.com/file/d/1cbPnc9SVeNgjfGGnWFh_TprY4B-937NM/view?usp=drivesdk</v>
      </c>
      <c r="D1317" s="12"/>
      <c r="E1317" s="11">
        <v>1374.0</v>
      </c>
      <c r="F1317" s="2"/>
    </row>
    <row r="1318" ht="1.5" customHeight="1">
      <c r="A1318" s="4" t="str">
        <f>IFERROR(__xludf.DUMMYFUNCTION("""COMPUTED_VALUE"""),"64. Ernie")</f>
        <v>64. Ernie</v>
      </c>
      <c r="B1318" s="4" t="str">
        <f>IFERROR(__xludf.DUMMYFUNCTION("""COMPUTED_VALUE"""),"64")</f>
        <v>64</v>
      </c>
      <c r="C1318" s="5" t="str">
        <f>IFERROR(__xludf.DUMMYFUNCTION("""COMPUTED_VALUE"""),"https://drive.google.com/file/d/181yieASZ1ptOvCCm8R19g9iu4hLHSIaW/view?usp=drivesdk")</f>
        <v>https://drive.google.com/file/d/181yieASZ1ptOvCCm8R19g9iu4hLHSIaW/view?usp=drivesdk</v>
      </c>
      <c r="D1318" s="12"/>
      <c r="E1318" s="11">
        <v>1375.0</v>
      </c>
      <c r="F1318" s="2"/>
    </row>
    <row r="1319" ht="1.5" customHeight="1">
      <c r="A1319" s="4" t="str">
        <f>IFERROR(__xludf.DUMMYFUNCTION("""COMPUTED_VALUE"""),"1. Microwave")</f>
        <v>1. Microwave</v>
      </c>
      <c r="B1319" s="4" t="str">
        <f>IFERROR(__xludf.DUMMYFUNCTION("""COMPUTED_VALUE"""),"1")</f>
        <v>1</v>
      </c>
      <c r="C1319" s="5" t="str">
        <f>IFERROR(__xludf.DUMMYFUNCTION("""COMPUTED_VALUE"""),"https://drive.google.com/file/d/1kvEJ3B82l9T_tViGbgCpgC_ojE4Yotxk/view?usp=drivesdk")</f>
        <v>https://drive.google.com/file/d/1kvEJ3B82l9T_tViGbgCpgC_ojE4Yotxk/view?usp=drivesdk</v>
      </c>
      <c r="D1319" s="12"/>
      <c r="E1319" s="11">
        <v>1376.0</v>
      </c>
      <c r="F1319" s="2"/>
    </row>
    <row r="1320" ht="1.5" customHeight="1">
      <c r="A1320" s="4" t="str">
        <f>IFERROR(__xludf.DUMMYFUNCTION("""COMPUTED_VALUE"""),"2. Twix")</f>
        <v>2. Twix</v>
      </c>
      <c r="B1320" s="4" t="str">
        <f>IFERROR(__xludf.DUMMYFUNCTION("""COMPUTED_VALUE"""),"2")</f>
        <v>2</v>
      </c>
      <c r="C1320" s="5" t="str">
        <f>IFERROR(__xludf.DUMMYFUNCTION("""COMPUTED_VALUE"""),"https://drive.google.com/file/d/11XlU97Or0-Zn8eNMiFA12sBmjAiuibDK/view?usp=drivesdk")</f>
        <v>https://drive.google.com/file/d/11XlU97Or0-Zn8eNMiFA12sBmjAiuibDK/view?usp=drivesdk</v>
      </c>
      <c r="D1320" s="12"/>
      <c r="E1320" s="6">
        <v>1377.0</v>
      </c>
      <c r="F1320" s="2"/>
    </row>
    <row r="1321" ht="1.5" customHeight="1">
      <c r="A1321" s="4" t="str">
        <f>IFERROR(__xludf.DUMMYFUNCTION("""COMPUTED_VALUE"""),"2. Twix")</f>
        <v>2. Twix</v>
      </c>
      <c r="B1321" s="4" t="str">
        <f>IFERROR(__xludf.DUMMYFUNCTION("""COMPUTED_VALUE"""),"2")</f>
        <v>2</v>
      </c>
      <c r="C1321" s="5" t="str">
        <f>IFERROR(__xludf.DUMMYFUNCTION("""COMPUTED_VALUE"""),"https://drive.google.com/file/d/1hJ7Wmg5aTYwH2wpX-z1jH2DHi9ANSoC5/view?usp=drivesdk")</f>
        <v>https://drive.google.com/file/d/1hJ7Wmg5aTYwH2wpX-z1jH2DHi9ANSoC5/view?usp=drivesdk</v>
      </c>
      <c r="D1321" s="12"/>
      <c r="E1321" s="11">
        <v>1378.0</v>
      </c>
      <c r="F1321" s="2"/>
    </row>
    <row r="1322" ht="1.5" customHeight="1">
      <c r="A1322" s="4" t="str">
        <f>IFERROR(__xludf.DUMMYFUNCTION("""COMPUTED_VALUE"""),"7. Hershey")</f>
        <v>7. Hershey</v>
      </c>
      <c r="B1322" s="4" t="str">
        <f>IFERROR(__xludf.DUMMYFUNCTION("""COMPUTED_VALUE"""),"7")</f>
        <v>7</v>
      </c>
      <c r="C1322" s="5" t="str">
        <f>IFERROR(__xludf.DUMMYFUNCTION("""COMPUTED_VALUE"""),"https://drive.google.com/file/d/1eiPjT77r8wM29AUFPBMMK1DYRN100b8J/view?usp=drivesdk")</f>
        <v>https://drive.google.com/file/d/1eiPjT77r8wM29AUFPBMMK1DYRN100b8J/view?usp=drivesdk</v>
      </c>
      <c r="D1322" s="12"/>
      <c r="E1322" s="11">
        <v>1379.0</v>
      </c>
      <c r="F1322" s="2"/>
    </row>
    <row r="1323" ht="1.5" customHeight="1">
      <c r="A1323" s="4" t="str">
        <f>IFERROR(__xludf.DUMMYFUNCTION("""COMPUTED_VALUE"""),"7. Hershey")</f>
        <v>7. Hershey</v>
      </c>
      <c r="B1323" s="4" t="str">
        <f>IFERROR(__xludf.DUMMYFUNCTION("""COMPUTED_VALUE"""),"7")</f>
        <v>7</v>
      </c>
      <c r="C1323" s="5" t="str">
        <f>IFERROR(__xludf.DUMMYFUNCTION("""COMPUTED_VALUE"""),"https://drive.google.com/file/d/1EiTfQxuDBHpL6-XV1apJ_uDubKwVo1Ak/view?usp=drivesdk")</f>
        <v>https://drive.google.com/file/d/1EiTfQxuDBHpL6-XV1apJ_uDubKwVo1Ak/view?usp=drivesdk</v>
      </c>
      <c r="D1323" s="12"/>
      <c r="E1323" s="11">
        <v>1380.0</v>
      </c>
      <c r="F1323" s="2"/>
    </row>
    <row r="1324" ht="1.5" customHeight="1">
      <c r="A1324" s="4" t="str">
        <f>IFERROR(__xludf.DUMMYFUNCTION("""COMPUTED_VALUE"""),"7. Hershey")</f>
        <v>7. Hershey</v>
      </c>
      <c r="B1324" s="4" t="str">
        <f>IFERROR(__xludf.DUMMYFUNCTION("""COMPUTED_VALUE"""),"7")</f>
        <v>7</v>
      </c>
      <c r="C1324" s="5" t="str">
        <f>IFERROR(__xludf.DUMMYFUNCTION("""COMPUTED_VALUE"""),"https://drive.google.com/file/d/1ho0rpkR_yMpOI2_bmKaQh_WGMLGYw4re/view?usp=drivesdk")</f>
        <v>https://drive.google.com/file/d/1ho0rpkR_yMpOI2_bmKaQh_WGMLGYw4re/view?usp=drivesdk</v>
      </c>
      <c r="D1324" s="12"/>
      <c r="E1324" s="6">
        <v>1381.0</v>
      </c>
      <c r="F1324" s="2"/>
    </row>
    <row r="1325" ht="1.5" customHeight="1">
      <c r="A1325" s="4" t="str">
        <f>IFERROR(__xludf.DUMMYFUNCTION("""COMPUTED_VALUE"""),"7. Hershey")</f>
        <v>7. Hershey</v>
      </c>
      <c r="B1325" s="4" t="str">
        <f>IFERROR(__xludf.DUMMYFUNCTION("""COMPUTED_VALUE"""),"7")</f>
        <v>7</v>
      </c>
      <c r="C1325" s="5" t="str">
        <f>IFERROR(__xludf.DUMMYFUNCTION("""COMPUTED_VALUE"""),"https://drive.google.com/file/d/17Z9ze16QeeaSvNaUHbv5ZZzkSiQUMMcO/view?usp=drivesdk")</f>
        <v>https://drive.google.com/file/d/17Z9ze16QeeaSvNaUHbv5ZZzkSiQUMMcO/view?usp=drivesdk</v>
      </c>
      <c r="D1325" s="12"/>
      <c r="E1325" s="11">
        <v>1382.0</v>
      </c>
      <c r="F1325" s="2"/>
    </row>
    <row r="1326" ht="1.5" customHeight="1">
      <c r="A1326" s="4" t="str">
        <f>IFERROR(__xludf.DUMMYFUNCTION("""COMPUTED_VALUE"""),"2. Twix")</f>
        <v>2. Twix</v>
      </c>
      <c r="B1326" s="4" t="str">
        <f>IFERROR(__xludf.DUMMYFUNCTION("""COMPUTED_VALUE"""),"2")</f>
        <v>2</v>
      </c>
      <c r="C1326" s="5" t="str">
        <f>IFERROR(__xludf.DUMMYFUNCTION("""COMPUTED_VALUE"""),"https://drive.google.com/file/d/1CPLmO5LuzDu2e0fzEr2ddeqGjCf4nWYy/view?usp=drivesdk")</f>
        <v>https://drive.google.com/file/d/1CPLmO5LuzDu2e0fzEr2ddeqGjCf4nWYy/view?usp=drivesdk</v>
      </c>
      <c r="D1326" s="12"/>
      <c r="E1326" s="11">
        <v>1383.0</v>
      </c>
      <c r="F1326" s="2"/>
    </row>
    <row r="1327" ht="1.5" customHeight="1">
      <c r="A1327" s="4" t="str">
        <f>IFERROR(__xludf.DUMMYFUNCTION("""COMPUTED_VALUE"""),"4. Eggs")</f>
        <v>4. Eggs</v>
      </c>
      <c r="B1327" s="4" t="str">
        <f>IFERROR(__xludf.DUMMYFUNCTION("""COMPUTED_VALUE"""),"4")</f>
        <v>4</v>
      </c>
      <c r="C1327" s="5" t="str">
        <f>IFERROR(__xludf.DUMMYFUNCTION("""COMPUTED_VALUE"""),"https://drive.google.com/file/d/1R3u533ukheGHbAHol0bxrL9CsWrKV7Qf/view?usp=drivesdk")</f>
        <v>https://drive.google.com/file/d/1R3u533ukheGHbAHol0bxrL9CsWrKV7Qf/view?usp=drivesdk</v>
      </c>
      <c r="D1327" s="12"/>
      <c r="E1327" s="11">
        <v>1384.0</v>
      </c>
      <c r="F1327" s="2"/>
    </row>
    <row r="1328" ht="1.5" customHeight="1">
      <c r="A1328" s="4" t="str">
        <f>IFERROR(__xludf.DUMMYFUNCTION("""COMPUTED_VALUE"""),"4. Eggs")</f>
        <v>4. Eggs</v>
      </c>
      <c r="B1328" s="4" t="str">
        <f>IFERROR(__xludf.DUMMYFUNCTION("""COMPUTED_VALUE"""),"4")</f>
        <v>4</v>
      </c>
      <c r="C1328" s="5" t="str">
        <f>IFERROR(__xludf.DUMMYFUNCTION("""COMPUTED_VALUE"""),"https://drive.google.com/file/d/1NiVj5vRd80i8K-vaWjltKhtgcxYX_-5U/view?usp=drivesdk")</f>
        <v>https://drive.google.com/file/d/1NiVj5vRd80i8K-vaWjltKhtgcxYX_-5U/view?usp=drivesdk</v>
      </c>
      <c r="D1328" s="12"/>
      <c r="E1328" s="6">
        <v>1385.0</v>
      </c>
      <c r="F1328" s="2"/>
    </row>
    <row r="1329" ht="1.5" customHeight="1">
      <c r="A1329" s="4" t="str">
        <f>IFERROR(__xludf.DUMMYFUNCTION("""COMPUTED_VALUE"""),"4. Eggs")</f>
        <v>4. Eggs</v>
      </c>
      <c r="B1329" s="4" t="str">
        <f>IFERROR(__xludf.DUMMYFUNCTION("""COMPUTED_VALUE"""),"4")</f>
        <v>4</v>
      </c>
      <c r="C1329" s="5" t="str">
        <f>IFERROR(__xludf.DUMMYFUNCTION("""COMPUTED_VALUE"""),"https://drive.google.com/file/d/19_2Q4uD6iVPYli4IvMbaWT8qfYkn2xps/view?usp=drivesdk")</f>
        <v>https://drive.google.com/file/d/19_2Q4uD6iVPYli4IvMbaWT8qfYkn2xps/view?usp=drivesdk</v>
      </c>
      <c r="D1329" s="12"/>
      <c r="E1329" s="11">
        <v>1386.0</v>
      </c>
      <c r="F1329" s="2"/>
    </row>
    <row r="1330" ht="1.5" customHeight="1">
      <c r="A1330" s="4" t="str">
        <f>IFERROR(__xludf.DUMMYFUNCTION("""COMPUTED_VALUE"""),"1. Microwave")</f>
        <v>1. Microwave</v>
      </c>
      <c r="B1330" s="4" t="str">
        <f>IFERROR(__xludf.DUMMYFUNCTION("""COMPUTED_VALUE"""),"1")</f>
        <v>1</v>
      </c>
      <c r="C1330" s="5" t="str">
        <f>IFERROR(__xludf.DUMMYFUNCTION("""COMPUTED_VALUE"""),"https://drive.google.com/file/d/1OCl4V2W2uEmdyc3f_z-eZjFUDqRIq6R_/view?usp=drivesdk")</f>
        <v>https://drive.google.com/file/d/1OCl4V2W2uEmdyc3f_z-eZjFUDqRIq6R_/view?usp=drivesdk</v>
      </c>
      <c r="D1330" s="12"/>
      <c r="E1330" s="11">
        <v>1387.0</v>
      </c>
      <c r="F1330" s="2"/>
    </row>
    <row r="1331" ht="1.5" customHeight="1">
      <c r="A1331" s="4" t="str">
        <f>IFERROR(__xludf.DUMMYFUNCTION("""COMPUTED_VALUE"""),"4. Eggs, 5. Eraser")</f>
        <v>4. Eggs, 5. Eraser</v>
      </c>
      <c r="B1331" s="4" t="str">
        <f>IFERROR(__xludf.DUMMYFUNCTION("""COMPUTED_VALUE"""),"4, 5")</f>
        <v>4, 5</v>
      </c>
      <c r="C1331" s="5" t="str">
        <f>IFERROR(__xludf.DUMMYFUNCTION("""COMPUTED_VALUE"""),"https://drive.google.com/file/d/1hiuvQJymxVT_7MXFljq9GDU9u-K2gAFd/view?usp=drivesdk")</f>
        <v>https://drive.google.com/file/d/1hiuvQJymxVT_7MXFljq9GDU9u-K2gAFd/view?usp=drivesdk</v>
      </c>
      <c r="D1331" s="12"/>
      <c r="E1331" s="11">
        <v>1388.0</v>
      </c>
      <c r="F1331" s="2"/>
    </row>
    <row r="1332" ht="1.5" customHeight="1">
      <c r="A1332" s="4" t="str">
        <f>IFERROR(__xludf.DUMMYFUNCTION("""COMPUTED_VALUE"""),"2. Twix")</f>
        <v>2. Twix</v>
      </c>
      <c r="B1332" s="4" t="str">
        <f>IFERROR(__xludf.DUMMYFUNCTION("""COMPUTED_VALUE"""),"2")</f>
        <v>2</v>
      </c>
      <c r="C1332" s="5" t="str">
        <f>IFERROR(__xludf.DUMMYFUNCTION("""COMPUTED_VALUE"""),"https://drive.google.com/file/d/1tPSoj3J2uzN80mc8eCMUyvUJLEkpFE1E/view?usp=drivesdk")</f>
        <v>https://drive.google.com/file/d/1tPSoj3J2uzN80mc8eCMUyvUJLEkpFE1E/view?usp=drivesdk</v>
      </c>
      <c r="D1332" s="12"/>
      <c r="E1332" s="6">
        <v>1389.0</v>
      </c>
      <c r="F1332" s="2"/>
    </row>
    <row r="1333" ht="1.5" customHeight="1">
      <c r="A1333" s="4" t="str">
        <f>IFERROR(__xludf.DUMMYFUNCTION("""COMPUTED_VALUE"""),"5. Eraser")</f>
        <v>5. Eraser</v>
      </c>
      <c r="B1333" s="4" t="str">
        <f>IFERROR(__xludf.DUMMYFUNCTION("""COMPUTED_VALUE"""),"5")</f>
        <v>5</v>
      </c>
      <c r="C1333" s="5" t="str">
        <f>IFERROR(__xludf.DUMMYFUNCTION("""COMPUTED_VALUE"""),"https://drive.google.com/file/d/1eY9ACmbJ8kvo7CWed-O9JeIuD750fl8C/view?usp=drivesdk")</f>
        <v>https://drive.google.com/file/d/1eY9ACmbJ8kvo7CWed-O9JeIuD750fl8C/view?usp=drivesdk</v>
      </c>
      <c r="D1333" s="12"/>
      <c r="E1333" s="11">
        <v>1390.0</v>
      </c>
      <c r="F1333" s="2"/>
    </row>
    <row r="1334" ht="1.5" customHeight="1">
      <c r="A1334" s="4" t="str">
        <f>IFERROR(__xludf.DUMMYFUNCTION("""COMPUTED_VALUE"""),"1. Microwave")</f>
        <v>1. Microwave</v>
      </c>
      <c r="B1334" s="4" t="str">
        <f>IFERROR(__xludf.DUMMYFUNCTION("""COMPUTED_VALUE"""),"1")</f>
        <v>1</v>
      </c>
      <c r="C1334" s="5" t="str">
        <f>IFERROR(__xludf.DUMMYFUNCTION("""COMPUTED_VALUE"""),"https://drive.google.com/file/d/1YmiNyd27Vh29LGHhRz8sOkJmanoikf-D/view?usp=drivesdk")</f>
        <v>https://drive.google.com/file/d/1YmiNyd27Vh29LGHhRz8sOkJmanoikf-D/view?usp=drivesdk</v>
      </c>
      <c r="D1334" s="12"/>
      <c r="E1334" s="11">
        <v>1391.0</v>
      </c>
      <c r="F1334" s="2"/>
    </row>
    <row r="1335" ht="1.5" customHeight="1">
      <c r="A1335" s="4" t="str">
        <f>IFERROR(__xludf.DUMMYFUNCTION("""COMPUTED_VALUE"""),"4. Eggs, 5. Eraser")</f>
        <v>4. Eggs, 5. Eraser</v>
      </c>
      <c r="B1335" s="4" t="str">
        <f>IFERROR(__xludf.DUMMYFUNCTION("""COMPUTED_VALUE"""),"4, 5")</f>
        <v>4, 5</v>
      </c>
      <c r="C1335" s="5" t="str">
        <f>IFERROR(__xludf.DUMMYFUNCTION("""COMPUTED_VALUE"""),"https://drive.google.com/file/d/1_70qNzqdca8pRiuGTciXzY9i6IzNR1EU/view?usp=drivesdk")</f>
        <v>https://drive.google.com/file/d/1_70qNzqdca8pRiuGTciXzY9i6IzNR1EU/view?usp=drivesdk</v>
      </c>
      <c r="D1335" s="12"/>
      <c r="E1335" s="11">
        <v>1392.0</v>
      </c>
      <c r="F1335" s="2"/>
    </row>
    <row r="1336" ht="1.5" customHeight="1">
      <c r="A1336" s="4" t="str">
        <f>IFERROR(__xludf.DUMMYFUNCTION("""COMPUTED_VALUE"""),"2. Twix")</f>
        <v>2. Twix</v>
      </c>
      <c r="B1336" s="4" t="str">
        <f>IFERROR(__xludf.DUMMYFUNCTION("""COMPUTED_VALUE"""),"2")</f>
        <v>2</v>
      </c>
      <c r="C1336" s="5" t="str">
        <f>IFERROR(__xludf.DUMMYFUNCTION("""COMPUTED_VALUE"""),"https://drive.google.com/file/d/1SDrv2rNfagCi81rrH1yQBLi2eu9xpolu/view?usp=drivesdk")</f>
        <v>https://drive.google.com/file/d/1SDrv2rNfagCi81rrH1yQBLi2eu9xpolu/view?usp=drivesdk</v>
      </c>
      <c r="D1336" s="12"/>
      <c r="E1336" s="6">
        <v>1393.0</v>
      </c>
      <c r="F1336" s="2"/>
    </row>
    <row r="1337" ht="1.5" customHeight="1">
      <c r="A1337" s="4" t="str">
        <f>IFERROR(__xludf.DUMMYFUNCTION("""COMPUTED_VALUE"""),"2. Twix")</f>
        <v>2. Twix</v>
      </c>
      <c r="B1337" s="4" t="str">
        <f>IFERROR(__xludf.DUMMYFUNCTION("""COMPUTED_VALUE"""),"2")</f>
        <v>2</v>
      </c>
      <c r="C1337" s="5" t="str">
        <f>IFERROR(__xludf.DUMMYFUNCTION("""COMPUTED_VALUE"""),"https://drive.google.com/file/d/1MtvNx-0l5Pp9Ff96_MoYLTKxr6aaQ0VY/view?usp=drivesdk")</f>
        <v>https://drive.google.com/file/d/1MtvNx-0l5Pp9Ff96_MoYLTKxr6aaQ0VY/view?usp=drivesdk</v>
      </c>
      <c r="D1337" s="12"/>
      <c r="E1337" s="11">
        <v>1394.0</v>
      </c>
      <c r="F1337" s="2"/>
    </row>
    <row r="1338" ht="1.5" customHeight="1">
      <c r="A1338" s="4" t="str">
        <f>IFERROR(__xludf.DUMMYFUNCTION("""COMPUTED_VALUE"""),"2. Twix")</f>
        <v>2. Twix</v>
      </c>
      <c r="B1338" s="4" t="str">
        <f>IFERROR(__xludf.DUMMYFUNCTION("""COMPUTED_VALUE"""),"2")</f>
        <v>2</v>
      </c>
      <c r="C1338" s="5" t="str">
        <f>IFERROR(__xludf.DUMMYFUNCTION("""COMPUTED_VALUE"""),"https://drive.google.com/file/d/1opu9FRI6gE6YJgEl8EUumOd2yzwtfQRh/view?usp=drivesdk")</f>
        <v>https://drive.google.com/file/d/1opu9FRI6gE6YJgEl8EUumOd2yzwtfQRh/view?usp=drivesdk</v>
      </c>
      <c r="D1338" s="12"/>
      <c r="E1338" s="11">
        <v>1395.0</v>
      </c>
      <c r="F1338" s="2"/>
    </row>
    <row r="1339" ht="1.5" customHeight="1">
      <c r="A1339" s="4" t="str">
        <f>IFERROR(__xludf.DUMMYFUNCTION("""COMPUTED_VALUE"""),"2. Twix")</f>
        <v>2. Twix</v>
      </c>
      <c r="B1339" s="4" t="str">
        <f>IFERROR(__xludf.DUMMYFUNCTION("""COMPUTED_VALUE"""),"2")</f>
        <v>2</v>
      </c>
      <c r="C1339" s="5" t="str">
        <f>IFERROR(__xludf.DUMMYFUNCTION("""COMPUTED_VALUE"""),"https://drive.google.com/file/d/1ZLy9GWRqOttL42ZR834L0DgSHVa0Qns4/view?usp=drivesdk")</f>
        <v>https://drive.google.com/file/d/1ZLy9GWRqOttL42ZR834L0DgSHVa0Qns4/view?usp=drivesdk</v>
      </c>
      <c r="D1339" s="12"/>
      <c r="E1339" s="11">
        <v>1396.0</v>
      </c>
      <c r="F1339" s="2"/>
    </row>
    <row r="1340" ht="1.5" customHeight="1">
      <c r="A1340" s="4" t="str">
        <f>IFERROR(__xludf.DUMMYFUNCTION("""COMPUTED_VALUE"""),"2. Twix")</f>
        <v>2. Twix</v>
      </c>
      <c r="B1340" s="4" t="str">
        <f>IFERROR(__xludf.DUMMYFUNCTION("""COMPUTED_VALUE"""),"2")</f>
        <v>2</v>
      </c>
      <c r="C1340" s="5" t="str">
        <f>IFERROR(__xludf.DUMMYFUNCTION("""COMPUTED_VALUE"""),"https://drive.google.com/file/d/1YixipcPTPd8ZBKkXDdRdFw5Y8dxbHD_u/view?usp=drivesdk")</f>
        <v>https://drive.google.com/file/d/1YixipcPTPd8ZBKkXDdRdFw5Y8dxbHD_u/view?usp=drivesdk</v>
      </c>
      <c r="D1340" s="12"/>
      <c r="E1340" s="6">
        <v>1397.0</v>
      </c>
      <c r="F1340" s="2"/>
    </row>
    <row r="1341" ht="1.5" customHeight="1">
      <c r="A1341" s="4" t="str">
        <f>IFERROR(__xludf.DUMMYFUNCTION("""COMPUTED_VALUE"""),"2. Twix")</f>
        <v>2. Twix</v>
      </c>
      <c r="B1341" s="4" t="str">
        <f>IFERROR(__xludf.DUMMYFUNCTION("""COMPUTED_VALUE"""),"2")</f>
        <v>2</v>
      </c>
      <c r="C1341" s="5" t="str">
        <f>IFERROR(__xludf.DUMMYFUNCTION("""COMPUTED_VALUE"""),"https://drive.google.com/file/d/1M6XVXGNfUu9tB2xgYbBstPavsYOfJU2F/view?usp=drivesdk")</f>
        <v>https://drive.google.com/file/d/1M6XVXGNfUu9tB2xgYbBstPavsYOfJU2F/view?usp=drivesdk</v>
      </c>
      <c r="D1341" s="12"/>
      <c r="E1341" s="11">
        <v>1398.0</v>
      </c>
      <c r="F1341" s="2"/>
    </row>
    <row r="1342" ht="1.5" customHeight="1">
      <c r="A1342" s="4" t="str">
        <f>IFERROR(__xludf.DUMMYFUNCTION("""COMPUTED_VALUE"""),"2. Twix")</f>
        <v>2. Twix</v>
      </c>
      <c r="B1342" s="4" t="str">
        <f>IFERROR(__xludf.DUMMYFUNCTION("""COMPUTED_VALUE"""),"2")</f>
        <v>2</v>
      </c>
      <c r="C1342" s="5" t="str">
        <f>IFERROR(__xludf.DUMMYFUNCTION("""COMPUTED_VALUE"""),"https://drive.google.com/file/d/1E9nXP-DXU8qsx4367QaV-iuSK7LmYBr7/view?usp=drivesdk")</f>
        <v>https://drive.google.com/file/d/1E9nXP-DXU8qsx4367QaV-iuSK7LmYBr7/view?usp=drivesdk</v>
      </c>
      <c r="D1342" s="12"/>
      <c r="E1342" s="11">
        <v>1399.0</v>
      </c>
      <c r="F1342" s="2"/>
    </row>
    <row r="1343" ht="1.5" customHeight="1">
      <c r="A1343" s="4" t="str">
        <f>IFERROR(__xludf.DUMMYFUNCTION("""COMPUTED_VALUE"""),"2. Twix")</f>
        <v>2. Twix</v>
      </c>
      <c r="B1343" s="4" t="str">
        <f>IFERROR(__xludf.DUMMYFUNCTION("""COMPUTED_VALUE"""),"2")</f>
        <v>2</v>
      </c>
      <c r="C1343" s="5" t="str">
        <f>IFERROR(__xludf.DUMMYFUNCTION("""COMPUTED_VALUE"""),"https://drive.google.com/file/d/1NGT8M04ajgbU006juQRUtBAmUQDdcQ3u/view?usp=drivesdk")</f>
        <v>https://drive.google.com/file/d/1NGT8M04ajgbU006juQRUtBAmUQDdcQ3u/view?usp=drivesdk</v>
      </c>
      <c r="D1343" s="12"/>
      <c r="E1343" s="11">
        <v>1400.0</v>
      </c>
      <c r="F1343" s="2"/>
    </row>
    <row r="1344" ht="1.5" customHeight="1">
      <c r="A1344" s="4" t="str">
        <f>IFERROR(__xludf.DUMMYFUNCTION("""COMPUTED_VALUE"""),"1. Microwave")</f>
        <v>1. Microwave</v>
      </c>
      <c r="B1344" s="4" t="str">
        <f>IFERROR(__xludf.DUMMYFUNCTION("""COMPUTED_VALUE"""),"1")</f>
        <v>1</v>
      </c>
      <c r="C1344" s="5" t="str">
        <f>IFERROR(__xludf.DUMMYFUNCTION("""COMPUTED_VALUE"""),"https://drive.google.com/file/d/1YPJpauXpHss05Aq7uJJ0T7WEimafmjYw/view?usp=drivesdk")</f>
        <v>https://drive.google.com/file/d/1YPJpauXpHss05Aq7uJJ0T7WEimafmjYw/view?usp=drivesdk</v>
      </c>
      <c r="D1344" s="12"/>
      <c r="E1344" s="6">
        <v>1401.0</v>
      </c>
      <c r="F1344" s="2"/>
    </row>
    <row r="1345" ht="1.5" customHeight="1">
      <c r="A1345" s="4" t="str">
        <f>IFERROR(__xludf.DUMMYFUNCTION("""COMPUTED_VALUE"""),"2. Twix")</f>
        <v>2. Twix</v>
      </c>
      <c r="B1345" s="4" t="str">
        <f>IFERROR(__xludf.DUMMYFUNCTION("""COMPUTED_VALUE"""),"2")</f>
        <v>2</v>
      </c>
      <c r="C1345" s="5" t="str">
        <f>IFERROR(__xludf.DUMMYFUNCTION("""COMPUTED_VALUE"""),"https://drive.google.com/file/d/13DhK2qo04wTpqySJqU9m7ZhGf6h0Wpq8/view?usp=drivesdk")</f>
        <v>https://drive.google.com/file/d/13DhK2qo04wTpqySJqU9m7ZhGf6h0Wpq8/view?usp=drivesdk</v>
      </c>
      <c r="D1345" s="12"/>
      <c r="E1345" s="11">
        <v>1402.0</v>
      </c>
      <c r="F1345" s="2"/>
    </row>
    <row r="1346" ht="1.5" customHeight="1">
      <c r="A1346" s="4" t="str">
        <f>IFERROR(__xludf.DUMMYFUNCTION("""COMPUTED_VALUE"""),"2. Twix")</f>
        <v>2. Twix</v>
      </c>
      <c r="B1346" s="4" t="str">
        <f>IFERROR(__xludf.DUMMYFUNCTION("""COMPUTED_VALUE"""),"2")</f>
        <v>2</v>
      </c>
      <c r="C1346" s="5" t="str">
        <f>IFERROR(__xludf.DUMMYFUNCTION("""COMPUTED_VALUE"""),"https://drive.google.com/file/d/1EQ1C7TKMLUcsT20_fT25-oGmSjEaItrT/view?usp=drivesdk")</f>
        <v>https://drive.google.com/file/d/1EQ1C7TKMLUcsT20_fT25-oGmSjEaItrT/view?usp=drivesdk</v>
      </c>
      <c r="D1346" s="12"/>
      <c r="E1346" s="11">
        <v>1403.0</v>
      </c>
      <c r="F1346" s="2"/>
    </row>
    <row r="1347" ht="1.5" customHeight="1">
      <c r="A1347" s="4" t="str">
        <f>IFERROR(__xludf.DUMMYFUNCTION("""COMPUTED_VALUE"""),"2. Twix")</f>
        <v>2. Twix</v>
      </c>
      <c r="B1347" s="4" t="str">
        <f>IFERROR(__xludf.DUMMYFUNCTION("""COMPUTED_VALUE"""),"2")</f>
        <v>2</v>
      </c>
      <c r="C1347" s="5" t="str">
        <f>IFERROR(__xludf.DUMMYFUNCTION("""COMPUTED_VALUE"""),"https://drive.google.com/file/d/1KpftgqUDt26BPgZeRZYBqLmQBFKJMsyV/view?usp=drivesdk")</f>
        <v>https://drive.google.com/file/d/1KpftgqUDt26BPgZeRZYBqLmQBFKJMsyV/view?usp=drivesdk</v>
      </c>
      <c r="D1347" s="12"/>
      <c r="E1347" s="11">
        <v>1404.0</v>
      </c>
      <c r="F1347" s="2"/>
    </row>
    <row r="1348" ht="1.5" customHeight="1">
      <c r="A1348" s="4" t="str">
        <f>IFERROR(__xludf.DUMMYFUNCTION("""COMPUTED_VALUE"""),"2. Twix")</f>
        <v>2. Twix</v>
      </c>
      <c r="B1348" s="4" t="str">
        <f>IFERROR(__xludf.DUMMYFUNCTION("""COMPUTED_VALUE"""),"2")</f>
        <v>2</v>
      </c>
      <c r="C1348" s="5" t="str">
        <f>IFERROR(__xludf.DUMMYFUNCTION("""COMPUTED_VALUE"""),"https://drive.google.com/file/d/1HhalZN6MCJNvxA0FMrf17rIZPJixg8yI/view?usp=drivesdk")</f>
        <v>https://drive.google.com/file/d/1HhalZN6MCJNvxA0FMrf17rIZPJixg8yI/view?usp=drivesdk</v>
      </c>
      <c r="D1348" s="12"/>
      <c r="E1348" s="6">
        <v>1405.0</v>
      </c>
      <c r="F1348" s="2"/>
    </row>
    <row r="1349" ht="1.5" customHeight="1">
      <c r="A1349" s="4" t="str">
        <f>IFERROR(__xludf.DUMMYFUNCTION("""COMPUTED_VALUE"""),"4. Eggs")</f>
        <v>4. Eggs</v>
      </c>
      <c r="B1349" s="4" t="str">
        <f>IFERROR(__xludf.DUMMYFUNCTION("""COMPUTED_VALUE"""),"4")</f>
        <v>4</v>
      </c>
      <c r="C1349" s="5" t="str">
        <f>IFERROR(__xludf.DUMMYFUNCTION("""COMPUTED_VALUE"""),"https://drive.google.com/file/d/1uhJApORMhR_tne8UrEaEXN4fifF6gaCd/view?usp=drivesdk")</f>
        <v>https://drive.google.com/file/d/1uhJApORMhR_tne8UrEaEXN4fifF6gaCd/view?usp=drivesdk</v>
      </c>
      <c r="D1349" s="12"/>
      <c r="E1349" s="11">
        <v>1406.0</v>
      </c>
      <c r="F1349" s="2"/>
    </row>
    <row r="1350" ht="1.5" customHeight="1">
      <c r="A1350" s="4" t="str">
        <f>IFERROR(__xludf.DUMMYFUNCTION("""COMPUTED_VALUE"""),"0. NotACat")</f>
        <v>0. NotACat</v>
      </c>
      <c r="B1350" s="4" t="str">
        <f>IFERROR(__xludf.DUMMYFUNCTION("""COMPUTED_VALUE"""),"0")</f>
        <v>0</v>
      </c>
      <c r="C1350" s="5" t="str">
        <f>IFERROR(__xludf.DUMMYFUNCTION("""COMPUTED_VALUE"""),"https://drive.google.com/file/d/1ajFur8QKy9__043As2e-YW4Cyk6GB0rW/view?usp=drivesdk")</f>
        <v>https://drive.google.com/file/d/1ajFur8QKy9__043As2e-YW4Cyk6GB0rW/view?usp=drivesdk</v>
      </c>
      <c r="D1350" s="12"/>
      <c r="E1350" s="11">
        <v>1407.0</v>
      </c>
      <c r="F1350" s="2"/>
    </row>
    <row r="1351" ht="1.5" customHeight="1">
      <c r="A1351" s="4" t="str">
        <f>IFERROR(__xludf.DUMMYFUNCTION("""COMPUTED_VALUE"""),"0. NotACat")</f>
        <v>0. NotACat</v>
      </c>
      <c r="B1351" s="4" t="str">
        <f>IFERROR(__xludf.DUMMYFUNCTION("""COMPUTED_VALUE"""),"0")</f>
        <v>0</v>
      </c>
      <c r="C1351" s="5" t="str">
        <f>IFERROR(__xludf.DUMMYFUNCTION("""COMPUTED_VALUE"""),"https://drive.google.com/file/d/1Q9G14HOWkSaCnjqLI0cP5jRpxXB6bVIi/view?usp=drivesdk")</f>
        <v>https://drive.google.com/file/d/1Q9G14HOWkSaCnjqLI0cP5jRpxXB6bVIi/view?usp=drivesdk</v>
      </c>
      <c r="D1351" s="12"/>
      <c r="E1351" s="11">
        <v>1408.0</v>
      </c>
      <c r="F1351" s="2"/>
    </row>
    <row r="1352" ht="1.5" customHeight="1">
      <c r="A1352" s="4" t="str">
        <f>IFERROR(__xludf.DUMMYFUNCTION("""COMPUTED_VALUE"""),"1. Microwave")</f>
        <v>1. Microwave</v>
      </c>
      <c r="B1352" s="4" t="str">
        <f>IFERROR(__xludf.DUMMYFUNCTION("""COMPUTED_VALUE"""),"1")</f>
        <v>1</v>
      </c>
      <c r="C1352" s="5" t="str">
        <f>IFERROR(__xludf.DUMMYFUNCTION("""COMPUTED_VALUE"""),"https://drive.google.com/file/d/1im34S_ve8JeiYnjnPiw1ZyEGDP9oV2av/view?usp=drivesdk")</f>
        <v>https://drive.google.com/file/d/1im34S_ve8JeiYnjnPiw1ZyEGDP9oV2av/view?usp=drivesdk</v>
      </c>
      <c r="D1352" s="12"/>
      <c r="E1352" s="6">
        <v>1409.0</v>
      </c>
      <c r="F1352" s="2"/>
    </row>
    <row r="1353" ht="1.5" customHeight="1">
      <c r="A1353" s="4" t="str">
        <f>IFERROR(__xludf.DUMMYFUNCTION("""COMPUTED_VALUE"""),"0. NotACat")</f>
        <v>0. NotACat</v>
      </c>
      <c r="B1353" s="4" t="str">
        <f>IFERROR(__xludf.DUMMYFUNCTION("""COMPUTED_VALUE"""),"0")</f>
        <v>0</v>
      </c>
      <c r="C1353" s="5" t="str">
        <f>IFERROR(__xludf.DUMMYFUNCTION("""COMPUTED_VALUE"""),"https://drive.google.com/file/d/1T_08r4M0Dg_xWxTocsIsjmzKO8fKEEKd/view?usp=drivesdk")</f>
        <v>https://drive.google.com/file/d/1T_08r4M0Dg_xWxTocsIsjmzKO8fKEEKd/view?usp=drivesdk</v>
      </c>
      <c r="D1353" s="12"/>
      <c r="E1353" s="11">
        <v>1410.0</v>
      </c>
      <c r="F1353" s="2"/>
    </row>
    <row r="1354" ht="1.5" customHeight="1">
      <c r="A1354" s="4" t="str">
        <f>IFERROR(__xludf.DUMMYFUNCTION("""COMPUTED_VALUE"""),"1. Microwave")</f>
        <v>1. Microwave</v>
      </c>
      <c r="B1354" s="4" t="str">
        <f>IFERROR(__xludf.DUMMYFUNCTION("""COMPUTED_VALUE"""),"1")</f>
        <v>1</v>
      </c>
      <c r="C1354" s="5" t="str">
        <f>IFERROR(__xludf.DUMMYFUNCTION("""COMPUTED_VALUE"""),"https://drive.google.com/file/d/1tlfXbEBdncPRbm1L0w3X9HfbZNdI5VvY/view?usp=drivesdk")</f>
        <v>https://drive.google.com/file/d/1tlfXbEBdncPRbm1L0w3X9HfbZNdI5VvY/view?usp=drivesdk</v>
      </c>
      <c r="D1354" s="12"/>
      <c r="E1354" s="11">
        <v>1411.0</v>
      </c>
      <c r="F1354" s="2"/>
    </row>
    <row r="1355" ht="1.5" customHeight="1">
      <c r="A1355" s="4" t="str">
        <f>IFERROR(__xludf.DUMMYFUNCTION("""COMPUTED_VALUE"""),"1. Microwave")</f>
        <v>1. Microwave</v>
      </c>
      <c r="B1355" s="4" t="str">
        <f>IFERROR(__xludf.DUMMYFUNCTION("""COMPUTED_VALUE"""),"1")</f>
        <v>1</v>
      </c>
      <c r="C1355" s="5" t="str">
        <f>IFERROR(__xludf.DUMMYFUNCTION("""COMPUTED_VALUE"""),"https://drive.google.com/file/d/1OGu4zfAG81TJwxem73OWPhspInZXgkz9/view?usp=drivesdk")</f>
        <v>https://drive.google.com/file/d/1OGu4zfAG81TJwxem73OWPhspInZXgkz9/view?usp=drivesdk</v>
      </c>
      <c r="D1355" s="12"/>
      <c r="E1355" s="11">
        <v>1412.0</v>
      </c>
      <c r="F1355" s="2"/>
    </row>
    <row r="1356" ht="1.5" customHeight="1">
      <c r="A1356" s="4" t="str">
        <f>IFERROR(__xludf.DUMMYFUNCTION("""COMPUTED_VALUE"""),"1. Microwave")</f>
        <v>1. Microwave</v>
      </c>
      <c r="B1356" s="4" t="str">
        <f>IFERROR(__xludf.DUMMYFUNCTION("""COMPUTED_VALUE"""),"1")</f>
        <v>1</v>
      </c>
      <c r="C1356" s="5" t="str">
        <f>IFERROR(__xludf.DUMMYFUNCTION("""COMPUTED_VALUE"""),"https://drive.google.com/file/d/1WaGktvz6nL-DWhsH1wFHR_8uXoJLnpSp/view?usp=drivesdk")</f>
        <v>https://drive.google.com/file/d/1WaGktvz6nL-DWhsH1wFHR_8uXoJLnpSp/view?usp=drivesdk</v>
      </c>
      <c r="D1356" s="12"/>
      <c r="E1356" s="6">
        <v>1413.0</v>
      </c>
      <c r="F1356" s="2"/>
    </row>
    <row r="1357" ht="1.5" customHeight="1">
      <c r="A1357" s="4" t="str">
        <f>IFERROR(__xludf.DUMMYFUNCTION("""COMPUTED_VALUE"""),"1. Microwave")</f>
        <v>1. Microwave</v>
      </c>
      <c r="B1357" s="4" t="str">
        <f>IFERROR(__xludf.DUMMYFUNCTION("""COMPUTED_VALUE"""),"1")</f>
        <v>1</v>
      </c>
      <c r="C1357" s="5" t="str">
        <f>IFERROR(__xludf.DUMMYFUNCTION("""COMPUTED_VALUE"""),"https://drive.google.com/file/d/19crQ_mPKzqt8tQ_6oinsu3wPt3vvKkl6/view?usp=drivesdk")</f>
        <v>https://drive.google.com/file/d/19crQ_mPKzqt8tQ_6oinsu3wPt3vvKkl6/view?usp=drivesdk</v>
      </c>
      <c r="D1357" s="12"/>
      <c r="E1357" s="11">
        <v>1414.0</v>
      </c>
      <c r="F1357" s="2"/>
    </row>
    <row r="1358" ht="1.5" customHeight="1">
      <c r="A1358" s="4" t="str">
        <f>IFERROR(__xludf.DUMMYFUNCTION("""COMPUTED_VALUE"""),"1. Microwave")</f>
        <v>1. Microwave</v>
      </c>
      <c r="B1358" s="4" t="str">
        <f>IFERROR(__xludf.DUMMYFUNCTION("""COMPUTED_VALUE"""),"1")</f>
        <v>1</v>
      </c>
      <c r="C1358" s="5" t="str">
        <f>IFERROR(__xludf.DUMMYFUNCTION("""COMPUTED_VALUE"""),"https://drive.google.com/file/d/1tpDiW87itb5BucHI2qDpWYToEi3Qb-G2/view?usp=drivesdk")</f>
        <v>https://drive.google.com/file/d/1tpDiW87itb5BucHI2qDpWYToEi3Qb-G2/view?usp=drivesdk</v>
      </c>
      <c r="D1358" s="12"/>
      <c r="E1358" s="11">
        <v>1415.0</v>
      </c>
      <c r="F1358" s="2"/>
    </row>
    <row r="1359" ht="1.5" customHeight="1">
      <c r="A1359" s="4" t="str">
        <f>IFERROR(__xludf.DUMMYFUNCTION("""COMPUTED_VALUE"""),"1. Microwave")</f>
        <v>1. Microwave</v>
      </c>
      <c r="B1359" s="4" t="str">
        <f>IFERROR(__xludf.DUMMYFUNCTION("""COMPUTED_VALUE"""),"1")</f>
        <v>1</v>
      </c>
      <c r="C1359" s="5" t="str">
        <f>IFERROR(__xludf.DUMMYFUNCTION("""COMPUTED_VALUE"""),"https://drive.google.com/file/d/178qlnDvuuoFbGTarLDyi9qbzYm7wwOro/view?usp=drivesdk")</f>
        <v>https://drive.google.com/file/d/178qlnDvuuoFbGTarLDyi9qbzYm7wwOro/view?usp=drivesdk</v>
      </c>
      <c r="D1359" s="12"/>
      <c r="E1359" s="11">
        <v>1416.0</v>
      </c>
      <c r="F1359" s="2"/>
    </row>
    <row r="1360" ht="1.5" customHeight="1">
      <c r="A1360" s="4" t="str">
        <f>IFERROR(__xludf.DUMMYFUNCTION("""COMPUTED_VALUE"""),"1. Microwave")</f>
        <v>1. Microwave</v>
      </c>
      <c r="B1360" s="4" t="str">
        <f>IFERROR(__xludf.DUMMYFUNCTION("""COMPUTED_VALUE"""),"1")</f>
        <v>1</v>
      </c>
      <c r="C1360" s="5" t="str">
        <f>IFERROR(__xludf.DUMMYFUNCTION("""COMPUTED_VALUE"""),"https://drive.google.com/file/d/1ek17p3_XFHS2dH-Rra4J4nsYxtQ1iAov/view?usp=drivesdk")</f>
        <v>https://drive.google.com/file/d/1ek17p3_XFHS2dH-Rra4J4nsYxtQ1iAov/view?usp=drivesdk</v>
      </c>
      <c r="D1360" s="12"/>
      <c r="E1360" s="6">
        <v>1417.0</v>
      </c>
      <c r="F1360" s="2"/>
    </row>
    <row r="1361" ht="1.5" customHeight="1">
      <c r="A1361" s="4" t="str">
        <f>IFERROR(__xludf.DUMMYFUNCTION("""COMPUTED_VALUE"""),"1. Microwave")</f>
        <v>1. Microwave</v>
      </c>
      <c r="B1361" s="4" t="str">
        <f>IFERROR(__xludf.DUMMYFUNCTION("""COMPUTED_VALUE"""),"1")</f>
        <v>1</v>
      </c>
      <c r="C1361" s="5" t="str">
        <f>IFERROR(__xludf.DUMMYFUNCTION("""COMPUTED_VALUE"""),"https://drive.google.com/file/d/1A-435EQO4QaUz3ZAqfb8YLyHmYPTT_t5/view?usp=drivesdk")</f>
        <v>https://drive.google.com/file/d/1A-435EQO4QaUz3ZAqfb8YLyHmYPTT_t5/view?usp=drivesdk</v>
      </c>
      <c r="D1361" s="12"/>
      <c r="E1361" s="11">
        <v>1418.0</v>
      </c>
      <c r="F1361" s="2"/>
    </row>
    <row r="1362" ht="1.5" customHeight="1">
      <c r="A1362" s="4" t="str">
        <f>IFERROR(__xludf.DUMMYFUNCTION("""COMPUTED_VALUE"""),"1. Microwave")</f>
        <v>1. Microwave</v>
      </c>
      <c r="B1362" s="4" t="str">
        <f>IFERROR(__xludf.DUMMYFUNCTION("""COMPUTED_VALUE"""),"1")</f>
        <v>1</v>
      </c>
      <c r="C1362" s="5" t="str">
        <f>IFERROR(__xludf.DUMMYFUNCTION("""COMPUTED_VALUE"""),"https://drive.google.com/file/d/12eU6Zxbdj_Cgn9spO6Z8P55x9ykXrpZk/view?usp=drivesdk")</f>
        <v>https://drive.google.com/file/d/12eU6Zxbdj_Cgn9spO6Z8P55x9ykXrpZk/view?usp=drivesdk</v>
      </c>
      <c r="D1362" s="12"/>
      <c r="E1362" s="11">
        <v>1419.0</v>
      </c>
      <c r="F1362" s="2"/>
    </row>
    <row r="1363" ht="1.5" customHeight="1">
      <c r="A1363" s="4" t="str">
        <f>IFERROR(__xludf.DUMMYFUNCTION("""COMPUTED_VALUE"""),"2. Twix")</f>
        <v>2. Twix</v>
      </c>
      <c r="B1363" s="4" t="str">
        <f>IFERROR(__xludf.DUMMYFUNCTION("""COMPUTED_VALUE"""),"2")</f>
        <v>2</v>
      </c>
      <c r="C1363" s="5" t="str">
        <f>IFERROR(__xludf.DUMMYFUNCTION("""COMPUTED_VALUE"""),"https://drive.google.com/file/d/1uFezy2G1WlKLSKnn7EWbehTE7lrlJhSl/view?usp=drivesdk")</f>
        <v>https://drive.google.com/file/d/1uFezy2G1WlKLSKnn7EWbehTE7lrlJhSl/view?usp=drivesdk</v>
      </c>
      <c r="D1363" s="12"/>
      <c r="E1363" s="11">
        <v>1420.0</v>
      </c>
      <c r="F1363" s="2"/>
    </row>
    <row r="1364" ht="1.5" customHeight="1">
      <c r="A1364" s="4" t="str">
        <f>IFERROR(__xludf.DUMMYFUNCTION("""COMPUTED_VALUE"""),"2. Twix")</f>
        <v>2. Twix</v>
      </c>
      <c r="B1364" s="4" t="str">
        <f>IFERROR(__xludf.DUMMYFUNCTION("""COMPUTED_VALUE"""),"2")</f>
        <v>2</v>
      </c>
      <c r="C1364" s="5" t="str">
        <f>IFERROR(__xludf.DUMMYFUNCTION("""COMPUTED_VALUE"""),"https://drive.google.com/file/d/1-8vxiZ2MjEWetAjFRn1PltooJaOiRc_h/view?usp=drivesdk")</f>
        <v>https://drive.google.com/file/d/1-8vxiZ2MjEWetAjFRn1PltooJaOiRc_h/view?usp=drivesdk</v>
      </c>
      <c r="D1364" s="12"/>
      <c r="E1364" s="6">
        <v>1421.0</v>
      </c>
      <c r="F1364" s="2"/>
    </row>
    <row r="1365" ht="1.5" customHeight="1">
      <c r="A1365" s="4" t="str">
        <f>IFERROR(__xludf.DUMMYFUNCTION("""COMPUTED_VALUE"""),"2. Twix")</f>
        <v>2. Twix</v>
      </c>
      <c r="B1365" s="4" t="str">
        <f>IFERROR(__xludf.DUMMYFUNCTION("""COMPUTED_VALUE"""),"2")</f>
        <v>2</v>
      </c>
      <c r="C1365" s="5" t="str">
        <f>IFERROR(__xludf.DUMMYFUNCTION("""COMPUTED_VALUE"""),"https://drive.google.com/file/d/1D-m5rhjHE89xkD2W2D5ZWiRdGb6jlihV/view?usp=drivesdk")</f>
        <v>https://drive.google.com/file/d/1D-m5rhjHE89xkD2W2D5ZWiRdGb6jlihV/view?usp=drivesdk</v>
      </c>
      <c r="D1365" s="12"/>
      <c r="E1365" s="11">
        <v>1422.0</v>
      </c>
      <c r="F1365" s="2"/>
    </row>
    <row r="1366" ht="1.5" customHeight="1">
      <c r="A1366" s="4" t="str">
        <f>IFERROR(__xludf.DUMMYFUNCTION("""COMPUTED_VALUE"""),"2. Twix")</f>
        <v>2. Twix</v>
      </c>
      <c r="B1366" s="4" t="str">
        <f>IFERROR(__xludf.DUMMYFUNCTION("""COMPUTED_VALUE"""),"2")</f>
        <v>2</v>
      </c>
      <c r="C1366" s="5" t="str">
        <f>IFERROR(__xludf.DUMMYFUNCTION("""COMPUTED_VALUE"""),"https://drive.google.com/file/d/1NEMb_NZ5VsPxAFOMmTJj3TvBevMOGpHB/view?usp=drivesdk")</f>
        <v>https://drive.google.com/file/d/1NEMb_NZ5VsPxAFOMmTJj3TvBevMOGpHB/view?usp=drivesdk</v>
      </c>
      <c r="D1366" s="12"/>
      <c r="E1366" s="11">
        <v>1423.0</v>
      </c>
      <c r="F1366" s="2"/>
    </row>
    <row r="1367" ht="1.5" customHeight="1">
      <c r="A1367" s="4" t="str">
        <f>IFERROR(__xludf.DUMMYFUNCTION("""COMPUTED_VALUE"""),"2. Twix")</f>
        <v>2. Twix</v>
      </c>
      <c r="B1367" s="4" t="str">
        <f>IFERROR(__xludf.DUMMYFUNCTION("""COMPUTED_VALUE"""),"2")</f>
        <v>2</v>
      </c>
      <c r="C1367" s="5" t="str">
        <f>IFERROR(__xludf.DUMMYFUNCTION("""COMPUTED_VALUE"""),"https://drive.google.com/file/d/11lZe2yL4GtAs_NfxWM9_lKsOKUi3MEQd/view?usp=drivesdk")</f>
        <v>https://drive.google.com/file/d/11lZe2yL4GtAs_NfxWM9_lKsOKUi3MEQd/view?usp=drivesdk</v>
      </c>
      <c r="D1367" s="12"/>
      <c r="E1367" s="11">
        <v>1424.0</v>
      </c>
      <c r="F1367" s="2"/>
    </row>
    <row r="1368" ht="1.5" customHeight="1">
      <c r="A1368" s="4" t="str">
        <f>IFERROR(__xludf.DUMMYFUNCTION("""COMPUTED_VALUE"""),"2. Twix")</f>
        <v>2. Twix</v>
      </c>
      <c r="B1368" s="4" t="str">
        <f>IFERROR(__xludf.DUMMYFUNCTION("""COMPUTED_VALUE"""),"2")</f>
        <v>2</v>
      </c>
      <c r="C1368" s="5" t="str">
        <f>IFERROR(__xludf.DUMMYFUNCTION("""COMPUTED_VALUE"""),"https://drive.google.com/file/d/13nDSQvM33grCIBW_x3IyxNzMkVF-gfFe/view?usp=drivesdk")</f>
        <v>https://drive.google.com/file/d/13nDSQvM33grCIBW_x3IyxNzMkVF-gfFe/view?usp=drivesdk</v>
      </c>
      <c r="D1368" s="12"/>
      <c r="E1368" s="11">
        <v>1425.0</v>
      </c>
      <c r="F1368" s="2"/>
    </row>
    <row r="1369" ht="1.5" customHeight="1">
      <c r="A1369" s="4" t="str">
        <f>IFERROR(__xludf.DUMMYFUNCTION("""COMPUTED_VALUE"""),"2. Twix")</f>
        <v>2. Twix</v>
      </c>
      <c r="B1369" s="4" t="str">
        <f>IFERROR(__xludf.DUMMYFUNCTION("""COMPUTED_VALUE"""),"2")</f>
        <v>2</v>
      </c>
      <c r="C1369" s="5" t="str">
        <f>IFERROR(__xludf.DUMMYFUNCTION("""COMPUTED_VALUE"""),"https://drive.google.com/file/d/1sEJwQ0gbxFzEu66gEXDh_dAvhyWu5xa_/view?usp=drivesdk")</f>
        <v>https://drive.google.com/file/d/1sEJwQ0gbxFzEu66gEXDh_dAvhyWu5xa_/view?usp=drivesdk</v>
      </c>
      <c r="D1369" s="12"/>
      <c r="E1369" s="11">
        <v>1426.0</v>
      </c>
      <c r="F1369" s="2"/>
    </row>
    <row r="1370" ht="1.5" customHeight="1">
      <c r="A1370" s="4" t="str">
        <f>IFERROR(__xludf.DUMMYFUNCTION("""COMPUTED_VALUE"""),"2. Twix")</f>
        <v>2. Twix</v>
      </c>
      <c r="B1370" s="4" t="str">
        <f>IFERROR(__xludf.DUMMYFUNCTION("""COMPUTED_VALUE"""),"2")</f>
        <v>2</v>
      </c>
      <c r="C1370" s="5" t="str">
        <f>IFERROR(__xludf.DUMMYFUNCTION("""COMPUTED_VALUE"""),"https://drive.google.com/file/d/13mfx0UwzU0FGe37YtWS6CDQ1e2Q3zUpM/view?usp=drivesdk")</f>
        <v>https://drive.google.com/file/d/13mfx0UwzU0FGe37YtWS6CDQ1e2Q3zUpM/view?usp=drivesdk</v>
      </c>
      <c r="D1370" s="12"/>
      <c r="E1370" s="6">
        <v>1427.0</v>
      </c>
      <c r="F1370" s="2"/>
    </row>
    <row r="1371" ht="1.5" customHeight="1">
      <c r="A1371" s="4" t="str">
        <f>IFERROR(__xludf.DUMMYFUNCTION("""COMPUTED_VALUE"""),"2. Twix")</f>
        <v>2. Twix</v>
      </c>
      <c r="B1371" s="4" t="str">
        <f>IFERROR(__xludf.DUMMYFUNCTION("""COMPUTED_VALUE"""),"2")</f>
        <v>2</v>
      </c>
      <c r="C1371" s="5" t="str">
        <f>IFERROR(__xludf.DUMMYFUNCTION("""COMPUTED_VALUE"""),"https://drive.google.com/file/d/1AOGRoezkxY3fJmUsth-SUqqLJ-sjEq3o/view?usp=drivesdk")</f>
        <v>https://drive.google.com/file/d/1AOGRoezkxY3fJmUsth-SUqqLJ-sjEq3o/view?usp=drivesdk</v>
      </c>
      <c r="D1371" s="12"/>
      <c r="E1371" s="11">
        <v>1428.0</v>
      </c>
      <c r="F1371" s="2"/>
    </row>
    <row r="1372" ht="1.5" customHeight="1">
      <c r="A1372" s="4" t="str">
        <f>IFERROR(__xludf.DUMMYFUNCTION("""COMPUTED_VALUE"""),"2. Twix")</f>
        <v>2. Twix</v>
      </c>
      <c r="B1372" s="4" t="str">
        <f>IFERROR(__xludf.DUMMYFUNCTION("""COMPUTED_VALUE"""),"2")</f>
        <v>2</v>
      </c>
      <c r="C1372" s="5" t="str">
        <f>IFERROR(__xludf.DUMMYFUNCTION("""COMPUTED_VALUE"""),"https://drive.google.com/file/d/1eo_L-2M5uprHmPfbEY20ypB9lk1uVpaN/view?usp=drivesdk")</f>
        <v>https://drive.google.com/file/d/1eo_L-2M5uprHmPfbEY20ypB9lk1uVpaN/view?usp=drivesdk</v>
      </c>
      <c r="D1372" s="12"/>
      <c r="E1372" s="11">
        <v>1429.0</v>
      </c>
      <c r="F1372" s="2"/>
    </row>
    <row r="1373" ht="1.5" customHeight="1">
      <c r="A1373" s="4" t="str">
        <f>IFERROR(__xludf.DUMMYFUNCTION("""COMPUTED_VALUE"""),"2. Twix")</f>
        <v>2. Twix</v>
      </c>
      <c r="B1373" s="4" t="str">
        <f>IFERROR(__xludf.DUMMYFUNCTION("""COMPUTED_VALUE"""),"2")</f>
        <v>2</v>
      </c>
      <c r="C1373" s="5" t="str">
        <f>IFERROR(__xludf.DUMMYFUNCTION("""COMPUTED_VALUE"""),"https://drive.google.com/file/d/13350HQULTAUYwIarmtCcXWXlJ_jE5dAA/view?usp=drivesdk")</f>
        <v>https://drive.google.com/file/d/13350HQULTAUYwIarmtCcXWXlJ_jE5dAA/view?usp=drivesdk</v>
      </c>
      <c r="D1373" s="12"/>
      <c r="E1373" s="11">
        <v>1430.0</v>
      </c>
      <c r="F1373" s="2"/>
    </row>
    <row r="1374" ht="1.5" customHeight="1">
      <c r="A1374" s="4" t="str">
        <f>IFERROR(__xludf.DUMMYFUNCTION("""COMPUTED_VALUE"""),"2. Twix")</f>
        <v>2. Twix</v>
      </c>
      <c r="B1374" s="4" t="str">
        <f>IFERROR(__xludf.DUMMYFUNCTION("""COMPUTED_VALUE"""),"2")</f>
        <v>2</v>
      </c>
      <c r="C1374" s="5" t="str">
        <f>IFERROR(__xludf.DUMMYFUNCTION("""COMPUTED_VALUE"""),"https://drive.google.com/file/d/1Knzog5--PMPc8_lbDwaD8OqRmuAMyeP7/view?usp=drivesdk")</f>
        <v>https://drive.google.com/file/d/1Knzog5--PMPc8_lbDwaD8OqRmuAMyeP7/view?usp=drivesdk</v>
      </c>
      <c r="D1374" s="12"/>
      <c r="E1374" s="11">
        <v>1431.0</v>
      </c>
      <c r="F1374" s="2"/>
    </row>
    <row r="1375" ht="1.5" customHeight="1">
      <c r="A1375" s="4" t="str">
        <f>IFERROR(__xludf.DUMMYFUNCTION("""COMPUTED_VALUE"""),"2. Twix")</f>
        <v>2. Twix</v>
      </c>
      <c r="B1375" s="4" t="str">
        <f>IFERROR(__xludf.DUMMYFUNCTION("""COMPUTED_VALUE"""),"2")</f>
        <v>2</v>
      </c>
      <c r="C1375" s="5" t="str">
        <f>IFERROR(__xludf.DUMMYFUNCTION("""COMPUTED_VALUE"""),"https://drive.google.com/file/d/1UxT_PMBkXjTQymwzYwanr5h5A-ao-_rG/view?usp=drivesdk")</f>
        <v>https://drive.google.com/file/d/1UxT_PMBkXjTQymwzYwanr5h5A-ao-_rG/view?usp=drivesdk</v>
      </c>
      <c r="D1375" s="12"/>
      <c r="E1375" s="11">
        <v>1432.0</v>
      </c>
      <c r="F1375" s="2"/>
    </row>
    <row r="1376" ht="1.5" customHeight="1">
      <c r="A1376" s="4" t="str">
        <f>IFERROR(__xludf.DUMMYFUNCTION("""COMPUTED_VALUE"""),"2. Twix")</f>
        <v>2. Twix</v>
      </c>
      <c r="B1376" s="4" t="str">
        <f>IFERROR(__xludf.DUMMYFUNCTION("""COMPUTED_VALUE"""),"2")</f>
        <v>2</v>
      </c>
      <c r="C1376" s="5" t="str">
        <f>IFERROR(__xludf.DUMMYFUNCTION("""COMPUTED_VALUE"""),"https://drive.google.com/file/d/1Bi3sl-gWpWuA49JphmZzG26TlgEoGCDc/view?usp=drivesdk")</f>
        <v>https://drive.google.com/file/d/1Bi3sl-gWpWuA49JphmZzG26TlgEoGCDc/view?usp=drivesdk</v>
      </c>
      <c r="D1376" s="12"/>
      <c r="E1376" s="6">
        <v>1433.0</v>
      </c>
      <c r="F1376" s="2"/>
    </row>
    <row r="1377" ht="1.5" customHeight="1">
      <c r="A1377" s="4" t="str">
        <f>IFERROR(__xludf.DUMMYFUNCTION("""COMPUTED_VALUE"""),"2. Twix")</f>
        <v>2. Twix</v>
      </c>
      <c r="B1377" s="4" t="str">
        <f>IFERROR(__xludf.DUMMYFUNCTION("""COMPUTED_VALUE"""),"2")</f>
        <v>2</v>
      </c>
      <c r="C1377" s="5" t="str">
        <f>IFERROR(__xludf.DUMMYFUNCTION("""COMPUTED_VALUE"""),"https://drive.google.com/file/d/1iQL3H8IWcA94CY90JaEUcTT37-uVFJZz/view?usp=drivesdk")</f>
        <v>https://drive.google.com/file/d/1iQL3H8IWcA94CY90JaEUcTT37-uVFJZz/view?usp=drivesdk</v>
      </c>
      <c r="D1377" s="12"/>
      <c r="E1377" s="11">
        <v>1434.0</v>
      </c>
      <c r="F1377" s="2"/>
    </row>
    <row r="1378" ht="1.5" customHeight="1">
      <c r="A1378" s="4" t="str">
        <f>IFERROR(__xludf.DUMMYFUNCTION("""COMPUTED_VALUE"""),"2. Twix")</f>
        <v>2. Twix</v>
      </c>
      <c r="B1378" s="4" t="str">
        <f>IFERROR(__xludf.DUMMYFUNCTION("""COMPUTED_VALUE"""),"2")</f>
        <v>2</v>
      </c>
      <c r="C1378" s="5" t="str">
        <f>IFERROR(__xludf.DUMMYFUNCTION("""COMPUTED_VALUE"""),"https://drive.google.com/file/d/15Czpiv7k4nHnuVVOPNLzyBQO46S-fClV/view?usp=drivesdk")</f>
        <v>https://drive.google.com/file/d/15Czpiv7k4nHnuVVOPNLzyBQO46S-fClV/view?usp=drivesdk</v>
      </c>
      <c r="D1378" s="12"/>
      <c r="E1378" s="11">
        <v>1435.0</v>
      </c>
      <c r="F1378" s="2"/>
    </row>
    <row r="1379" ht="1.5" customHeight="1">
      <c r="A1379" s="4" t="str">
        <f>IFERROR(__xludf.DUMMYFUNCTION("""COMPUTED_VALUE"""),"2. Twix")</f>
        <v>2. Twix</v>
      </c>
      <c r="B1379" s="4" t="str">
        <f>IFERROR(__xludf.DUMMYFUNCTION("""COMPUTED_VALUE"""),"2")</f>
        <v>2</v>
      </c>
      <c r="C1379" s="5" t="str">
        <f>IFERROR(__xludf.DUMMYFUNCTION("""COMPUTED_VALUE"""),"https://drive.google.com/file/d/1h1etXo2C0j8s3ttttNUEQ7vW7B5sTA85/view?usp=drivesdk")</f>
        <v>https://drive.google.com/file/d/1h1etXo2C0j8s3ttttNUEQ7vW7B5sTA85/view?usp=drivesdk</v>
      </c>
      <c r="D1379" s="12"/>
      <c r="E1379" s="11">
        <v>1436.0</v>
      </c>
      <c r="F1379" s="2"/>
    </row>
    <row r="1380" ht="1.5" customHeight="1">
      <c r="A1380" s="4" t="str">
        <f>IFERROR(__xludf.DUMMYFUNCTION("""COMPUTED_VALUE"""),"4. Eggs")</f>
        <v>4. Eggs</v>
      </c>
      <c r="B1380" s="4" t="str">
        <f>IFERROR(__xludf.DUMMYFUNCTION("""COMPUTED_VALUE"""),"4")</f>
        <v>4</v>
      </c>
      <c r="C1380" s="5" t="str">
        <f>IFERROR(__xludf.DUMMYFUNCTION("""COMPUTED_VALUE"""),"https://drive.google.com/file/d/1AznlfPiE5JOLo43rACq1MBgb98f4FVTH/view?usp=drivesdk")</f>
        <v>https://drive.google.com/file/d/1AznlfPiE5JOLo43rACq1MBgb98f4FVTH/view?usp=drivesdk</v>
      </c>
      <c r="D1380" s="12"/>
      <c r="E1380" s="11">
        <v>1437.0</v>
      </c>
      <c r="F1380" s="2"/>
    </row>
    <row r="1381" ht="1.5" customHeight="1">
      <c r="A1381" s="4" t="str">
        <f>IFERROR(__xludf.DUMMYFUNCTION("""COMPUTED_VALUE"""),"4. Eggs, 5. Eraser")</f>
        <v>4. Eggs, 5. Eraser</v>
      </c>
      <c r="B1381" s="4" t="str">
        <f>IFERROR(__xludf.DUMMYFUNCTION("""COMPUTED_VALUE"""),"4, 5")</f>
        <v>4, 5</v>
      </c>
      <c r="C1381" s="5" t="str">
        <f>IFERROR(__xludf.DUMMYFUNCTION("""COMPUTED_VALUE"""),"https://drive.google.com/file/d/13yho8srp5pVHYJfFYRi6a8-zR3NJnnpc/view?usp=drivesdk")</f>
        <v>https://drive.google.com/file/d/13yho8srp5pVHYJfFYRi6a8-zR3NJnnpc/view?usp=drivesdk</v>
      </c>
      <c r="D1381" s="12"/>
      <c r="E1381" s="11">
        <v>1438.0</v>
      </c>
      <c r="F1381" s="2"/>
    </row>
    <row r="1382" ht="1.5" customHeight="1">
      <c r="A1382" s="4" t="str">
        <f>IFERROR(__xludf.DUMMYFUNCTION("""COMPUTED_VALUE"""),"5. Eraser")</f>
        <v>5. Eraser</v>
      </c>
      <c r="B1382" s="4" t="str">
        <f>IFERROR(__xludf.DUMMYFUNCTION("""COMPUTED_VALUE"""),"5")</f>
        <v>5</v>
      </c>
      <c r="C1382" s="5" t="str">
        <f>IFERROR(__xludf.DUMMYFUNCTION("""COMPUTED_VALUE"""),"https://drive.google.com/file/d/1BcVr2bZFmxoI0Dii_CcTOZD3sNXsQTyD/view?usp=drivesdk")</f>
        <v>https://drive.google.com/file/d/1BcVr2bZFmxoI0Dii_CcTOZD3sNXsQTyD/view?usp=drivesdk</v>
      </c>
      <c r="D1382" s="12"/>
      <c r="E1382" s="6">
        <v>1439.0</v>
      </c>
      <c r="F1382" s="2"/>
    </row>
    <row r="1383" ht="1.5" customHeight="1">
      <c r="A1383" s="4" t="str">
        <f>IFERROR(__xludf.DUMMYFUNCTION("""COMPUTED_VALUE"""),"5. Eraser")</f>
        <v>5. Eraser</v>
      </c>
      <c r="B1383" s="4" t="str">
        <f>IFERROR(__xludf.DUMMYFUNCTION("""COMPUTED_VALUE"""),"5")</f>
        <v>5</v>
      </c>
      <c r="C1383" s="5" t="str">
        <f>IFERROR(__xludf.DUMMYFUNCTION("""COMPUTED_VALUE"""),"https://drive.google.com/file/d/1gHUIeFHY6wDfWmZ_3Q8iuy31THGSJBet/view?usp=drivesdk")</f>
        <v>https://drive.google.com/file/d/1gHUIeFHY6wDfWmZ_3Q8iuy31THGSJBet/view?usp=drivesdk</v>
      </c>
      <c r="D1383" s="12"/>
      <c r="E1383" s="11">
        <v>1440.0</v>
      </c>
      <c r="F1383" s="2"/>
    </row>
    <row r="1384" ht="1.5" customHeight="1">
      <c r="A1384" s="4" t="str">
        <f>IFERROR(__xludf.DUMMYFUNCTION("""COMPUTED_VALUE"""),"2. Twix")</f>
        <v>2. Twix</v>
      </c>
      <c r="B1384" s="4" t="str">
        <f>IFERROR(__xludf.DUMMYFUNCTION("""COMPUTED_VALUE"""),"2")</f>
        <v>2</v>
      </c>
      <c r="C1384" s="5" t="str">
        <f>IFERROR(__xludf.DUMMYFUNCTION("""COMPUTED_VALUE"""),"https://drive.google.com/file/d/1zHUvtexEqU2PYGqI2EAHDEa51_-bssKz/view?usp=drivesdk")</f>
        <v>https://drive.google.com/file/d/1zHUvtexEqU2PYGqI2EAHDEa51_-bssKz/view?usp=drivesdk</v>
      </c>
      <c r="D1384" s="12"/>
      <c r="E1384" s="11">
        <v>1441.0</v>
      </c>
      <c r="F1384" s="2"/>
    </row>
    <row r="1385" ht="1.5" customHeight="1">
      <c r="A1385" s="4" t="str">
        <f>IFERROR(__xludf.DUMMYFUNCTION("""COMPUTED_VALUE"""),"2. Twix")</f>
        <v>2. Twix</v>
      </c>
      <c r="B1385" s="4" t="str">
        <f>IFERROR(__xludf.DUMMYFUNCTION("""COMPUTED_VALUE"""),"2")</f>
        <v>2</v>
      </c>
      <c r="C1385" s="5" t="str">
        <f>IFERROR(__xludf.DUMMYFUNCTION("""COMPUTED_VALUE"""),"https://drive.google.com/file/d/1czmUuI5F2GP_p7rSvGTwuVITec7J0GB2/view?usp=drivesdk")</f>
        <v>https://drive.google.com/file/d/1czmUuI5F2GP_p7rSvGTwuVITec7J0GB2/view?usp=drivesdk</v>
      </c>
      <c r="D1385" s="12"/>
      <c r="E1385" s="11">
        <v>1442.0</v>
      </c>
      <c r="F1385" s="2"/>
    </row>
    <row r="1386" ht="1.5" customHeight="1">
      <c r="A1386" s="4" t="str">
        <f>IFERROR(__xludf.DUMMYFUNCTION("""COMPUTED_VALUE"""),"5. Eraser")</f>
        <v>5. Eraser</v>
      </c>
      <c r="B1386" s="4" t="str">
        <f>IFERROR(__xludf.DUMMYFUNCTION("""COMPUTED_VALUE"""),"5")</f>
        <v>5</v>
      </c>
      <c r="C1386" s="5" t="str">
        <f>IFERROR(__xludf.DUMMYFUNCTION("""COMPUTED_VALUE"""),"https://drive.google.com/file/d/1MBlYCmKFA7AhL8iCdXiSzGaozSYspH1M/view?usp=drivesdk")</f>
        <v>https://drive.google.com/file/d/1MBlYCmKFA7AhL8iCdXiSzGaozSYspH1M/view?usp=drivesdk</v>
      </c>
      <c r="D1386" s="12"/>
      <c r="E1386" s="11">
        <v>1443.0</v>
      </c>
      <c r="F1386" s="2"/>
    </row>
    <row r="1387" ht="1.5" customHeight="1">
      <c r="A1387" s="4" t="str">
        <f>IFERROR(__xludf.DUMMYFUNCTION("""COMPUTED_VALUE"""),"5. Eraser")</f>
        <v>5. Eraser</v>
      </c>
      <c r="B1387" s="4" t="str">
        <f>IFERROR(__xludf.DUMMYFUNCTION("""COMPUTED_VALUE"""),"5")</f>
        <v>5</v>
      </c>
      <c r="C1387" s="5" t="str">
        <f>IFERROR(__xludf.DUMMYFUNCTION("""COMPUTED_VALUE"""),"https://drive.google.com/file/d/1UuFfu0uInJRXt4KIpETCEy_bdbxGFaOq/view?usp=drivesdk")</f>
        <v>https://drive.google.com/file/d/1UuFfu0uInJRXt4KIpETCEy_bdbxGFaOq/view?usp=drivesdk</v>
      </c>
      <c r="D1387" s="12"/>
      <c r="E1387" s="11">
        <v>1444.0</v>
      </c>
      <c r="F1387" s="2"/>
    </row>
    <row r="1388" ht="1.5" customHeight="1">
      <c r="A1388" s="4" t="str">
        <f>IFERROR(__xludf.DUMMYFUNCTION("""COMPUTED_VALUE"""),"2. Twix")</f>
        <v>2. Twix</v>
      </c>
      <c r="B1388" s="4" t="str">
        <f>IFERROR(__xludf.DUMMYFUNCTION("""COMPUTED_VALUE"""),"2")</f>
        <v>2</v>
      </c>
      <c r="C1388" s="5" t="str">
        <f>IFERROR(__xludf.DUMMYFUNCTION("""COMPUTED_VALUE"""),"https://drive.google.com/file/d/1b1ugSk4cnlBd033UFaHoN2Y2DX145P4P/view?usp=drivesdk")</f>
        <v>https://drive.google.com/file/d/1b1ugSk4cnlBd033UFaHoN2Y2DX145P4P/view?usp=drivesdk</v>
      </c>
      <c r="D1388" s="12"/>
      <c r="E1388" s="6">
        <v>1445.0</v>
      </c>
      <c r="F1388" s="2"/>
    </row>
    <row r="1389" ht="1.5" customHeight="1">
      <c r="A1389" s="4" t="str">
        <f>IFERROR(__xludf.DUMMYFUNCTION("""COMPUTED_VALUE"""),"2. Twix")</f>
        <v>2. Twix</v>
      </c>
      <c r="B1389" s="4" t="str">
        <f>IFERROR(__xludf.DUMMYFUNCTION("""COMPUTED_VALUE"""),"2")</f>
        <v>2</v>
      </c>
      <c r="C1389" s="5" t="str">
        <f>IFERROR(__xludf.DUMMYFUNCTION("""COMPUTED_VALUE"""),"https://drive.google.com/file/d/1-mqDe3oLJeaAiQdBCvhZqjXtEwNGAfIQ/view?usp=drivesdk")</f>
        <v>https://drive.google.com/file/d/1-mqDe3oLJeaAiQdBCvhZqjXtEwNGAfIQ/view?usp=drivesdk</v>
      </c>
      <c r="D1389" s="12"/>
      <c r="E1389" s="11">
        <v>1446.0</v>
      </c>
      <c r="F1389" s="2"/>
    </row>
    <row r="1390" ht="1.5" customHeight="1">
      <c r="A1390" s="4" t="str">
        <f>IFERROR(__xludf.DUMMYFUNCTION("""COMPUTED_VALUE"""),"4. Eggs")</f>
        <v>4. Eggs</v>
      </c>
      <c r="B1390" s="4" t="str">
        <f>IFERROR(__xludf.DUMMYFUNCTION("""COMPUTED_VALUE"""),"4")</f>
        <v>4</v>
      </c>
      <c r="C1390" s="5" t="str">
        <f>IFERROR(__xludf.DUMMYFUNCTION("""COMPUTED_VALUE"""),"https://drive.google.com/file/d/1b2YxSynw-rQiCa--vORx3unSmmAGdZGw/view?usp=drivesdk")</f>
        <v>https://drive.google.com/file/d/1b2YxSynw-rQiCa--vORx3unSmmAGdZGw/view?usp=drivesdk</v>
      </c>
      <c r="D1390" s="12"/>
      <c r="E1390" s="11">
        <v>1447.0</v>
      </c>
      <c r="F1390" s="2"/>
    </row>
    <row r="1391" ht="1.5" customHeight="1">
      <c r="A1391" s="4" t="str">
        <f>IFERROR(__xludf.DUMMYFUNCTION("""COMPUTED_VALUE"""),"4. Eggs")</f>
        <v>4. Eggs</v>
      </c>
      <c r="B1391" s="4" t="str">
        <f>IFERROR(__xludf.DUMMYFUNCTION("""COMPUTED_VALUE"""),"4")</f>
        <v>4</v>
      </c>
      <c r="C1391" s="5" t="str">
        <f>IFERROR(__xludf.DUMMYFUNCTION("""COMPUTED_VALUE"""),"https://drive.google.com/file/d/1XtwIxwZ3T1_PT1WVaaU6NTNzxXd_wcTR/view?usp=drivesdk")</f>
        <v>https://drive.google.com/file/d/1XtwIxwZ3T1_PT1WVaaU6NTNzxXd_wcTR/view?usp=drivesdk</v>
      </c>
      <c r="D1391" s="12"/>
      <c r="E1391" s="11">
        <v>1448.0</v>
      </c>
      <c r="F1391" s="2"/>
    </row>
    <row r="1392" ht="1.5" customHeight="1">
      <c r="A1392" s="4" t="str">
        <f>IFERROR(__xludf.DUMMYFUNCTION("""COMPUTED_VALUE"""),"4. Eggs")</f>
        <v>4. Eggs</v>
      </c>
      <c r="B1392" s="4" t="str">
        <f>IFERROR(__xludf.DUMMYFUNCTION("""COMPUTED_VALUE"""),"4")</f>
        <v>4</v>
      </c>
      <c r="C1392" s="5" t="str">
        <f>IFERROR(__xludf.DUMMYFUNCTION("""COMPUTED_VALUE"""),"https://drive.google.com/file/d/1zR19Bhmzo4Zl5eb73-fOJU4Da0ArVGEr/view?usp=drivesdk")</f>
        <v>https://drive.google.com/file/d/1zR19Bhmzo4Zl5eb73-fOJU4Da0ArVGEr/view?usp=drivesdk</v>
      </c>
      <c r="D1392" s="12"/>
      <c r="E1392" s="11">
        <v>1449.0</v>
      </c>
      <c r="F1392" s="2"/>
    </row>
    <row r="1393" ht="1.5" customHeight="1">
      <c r="A1393" s="4" t="str">
        <f>IFERROR(__xludf.DUMMYFUNCTION("""COMPUTED_VALUE"""),"4. Eggs")</f>
        <v>4. Eggs</v>
      </c>
      <c r="B1393" s="4" t="str">
        <f>IFERROR(__xludf.DUMMYFUNCTION("""COMPUTED_VALUE"""),"4")</f>
        <v>4</v>
      </c>
      <c r="C1393" s="5" t="str">
        <f>IFERROR(__xludf.DUMMYFUNCTION("""COMPUTED_VALUE"""),"https://drive.google.com/file/d/1123X5S7GYZZl46b5WUX-_iHE0-KYb9N8/view?usp=drivesdk")</f>
        <v>https://drive.google.com/file/d/1123X5S7GYZZl46b5WUX-_iHE0-KYb9N8/view?usp=drivesdk</v>
      </c>
      <c r="D1393" s="12"/>
      <c r="E1393" s="11">
        <v>1450.0</v>
      </c>
      <c r="F1393" s="2"/>
    </row>
    <row r="1394" ht="1.5" customHeight="1">
      <c r="A1394" s="4" t="str">
        <f>IFERROR(__xludf.DUMMYFUNCTION("""COMPUTED_VALUE"""),"4. Eggs")</f>
        <v>4. Eggs</v>
      </c>
      <c r="B1394" s="4" t="str">
        <f>IFERROR(__xludf.DUMMYFUNCTION("""COMPUTED_VALUE"""),"4")</f>
        <v>4</v>
      </c>
      <c r="C1394" s="5" t="str">
        <f>IFERROR(__xludf.DUMMYFUNCTION("""COMPUTED_VALUE"""),"https://drive.google.com/file/d/1PK67SGWDeNxqGxrw0UGVOkWt0EJXWISE/view?usp=drivesdk")</f>
        <v>https://drive.google.com/file/d/1PK67SGWDeNxqGxrw0UGVOkWt0EJXWISE/view?usp=drivesdk</v>
      </c>
      <c r="D1394" s="12"/>
      <c r="E1394" s="6">
        <v>1451.0</v>
      </c>
      <c r="F1394" s="2"/>
    </row>
    <row r="1395" ht="1.5" customHeight="1">
      <c r="A1395" s="4" t="str">
        <f>IFERROR(__xludf.DUMMYFUNCTION("""COMPUTED_VALUE"""),"4. Eggs")</f>
        <v>4. Eggs</v>
      </c>
      <c r="B1395" s="4" t="str">
        <f>IFERROR(__xludf.DUMMYFUNCTION("""COMPUTED_VALUE"""),"4")</f>
        <v>4</v>
      </c>
      <c r="C1395" s="5" t="str">
        <f>IFERROR(__xludf.DUMMYFUNCTION("""COMPUTED_VALUE"""),"https://drive.google.com/file/d/17EIioctBIe8-TVHeQuAKUwoKL__EKbH0/view?usp=drivesdk")</f>
        <v>https://drive.google.com/file/d/17EIioctBIe8-TVHeQuAKUwoKL__EKbH0/view?usp=drivesdk</v>
      </c>
      <c r="D1395" s="12"/>
      <c r="E1395" s="11">
        <v>1452.0</v>
      </c>
      <c r="F1395" s="2"/>
    </row>
    <row r="1396" ht="1.5" customHeight="1">
      <c r="A1396" s="4" t="str">
        <f>IFERROR(__xludf.DUMMYFUNCTION("""COMPUTED_VALUE"""),"4. Eggs, 0. NotACat")</f>
        <v>4. Eggs, 0. NotACat</v>
      </c>
      <c r="B1396" s="4" t="str">
        <f>IFERROR(__xludf.DUMMYFUNCTION("""COMPUTED_VALUE"""),"4, 0")</f>
        <v>4, 0</v>
      </c>
      <c r="C1396" s="5" t="str">
        <f>IFERROR(__xludf.DUMMYFUNCTION("""COMPUTED_VALUE"""),"https://drive.google.com/file/d/1S1bLDjboRgr2UsCD0TYOjXR_6SFbAkW2/view?usp=drivesdk")</f>
        <v>https://drive.google.com/file/d/1S1bLDjboRgr2UsCD0TYOjXR_6SFbAkW2/view?usp=drivesdk</v>
      </c>
      <c r="D1396" s="12"/>
      <c r="E1396" s="11">
        <v>1453.0</v>
      </c>
      <c r="F1396" s="2"/>
    </row>
    <row r="1397" ht="1.5" customHeight="1">
      <c r="A1397" s="4" t="str">
        <f>IFERROR(__xludf.DUMMYFUNCTION("""COMPUTED_VALUE"""),"2. Twix")</f>
        <v>2. Twix</v>
      </c>
      <c r="B1397" s="4" t="str">
        <f>IFERROR(__xludf.DUMMYFUNCTION("""COMPUTED_VALUE"""),"2")</f>
        <v>2</v>
      </c>
      <c r="C1397" s="5" t="str">
        <f>IFERROR(__xludf.DUMMYFUNCTION("""COMPUTED_VALUE"""),"https://drive.google.com/file/d/15zs1JcRlbzBfte2wMORG6H0DqqiQjmTj/view?usp=drivesdk")</f>
        <v>https://drive.google.com/file/d/15zs1JcRlbzBfte2wMORG6H0DqqiQjmTj/view?usp=drivesdk</v>
      </c>
      <c r="D1397" s="12"/>
      <c r="E1397" s="11">
        <v>1454.0</v>
      </c>
      <c r="F1397" s="2"/>
    </row>
    <row r="1398" ht="1.5" customHeight="1">
      <c r="A1398" s="4" t="str">
        <f>IFERROR(__xludf.DUMMYFUNCTION("""COMPUTED_VALUE"""),"2. Twix")</f>
        <v>2. Twix</v>
      </c>
      <c r="B1398" s="4" t="str">
        <f>IFERROR(__xludf.DUMMYFUNCTION("""COMPUTED_VALUE"""),"2")</f>
        <v>2</v>
      </c>
      <c r="C1398" s="5" t="str">
        <f>IFERROR(__xludf.DUMMYFUNCTION("""COMPUTED_VALUE"""),"https://drive.google.com/file/d/1C59RAlB7s8bBruHEhetMwEPU3IlkShq6/view?usp=drivesdk")</f>
        <v>https://drive.google.com/file/d/1C59RAlB7s8bBruHEhetMwEPU3IlkShq6/view?usp=drivesdk</v>
      </c>
      <c r="D1398" s="12"/>
      <c r="E1398" s="11">
        <v>1455.0</v>
      </c>
      <c r="F1398" s="2"/>
    </row>
    <row r="1399" ht="1.5" customHeight="1">
      <c r="A1399" s="4" t="str">
        <f>IFERROR(__xludf.DUMMYFUNCTION("""COMPUTED_VALUE"""),"2. Twix")</f>
        <v>2. Twix</v>
      </c>
      <c r="B1399" s="4" t="str">
        <f>IFERROR(__xludf.DUMMYFUNCTION("""COMPUTED_VALUE"""),"2")</f>
        <v>2</v>
      </c>
      <c r="C1399" s="5" t="str">
        <f>IFERROR(__xludf.DUMMYFUNCTION("""COMPUTED_VALUE"""),"https://drive.google.com/file/d/18uZ8KkdUWR9lfSG-VP9rM0V1WinfuwiI/view?usp=drivesdk")</f>
        <v>https://drive.google.com/file/d/18uZ8KkdUWR9lfSG-VP9rM0V1WinfuwiI/view?usp=drivesdk</v>
      </c>
      <c r="D1399" s="12"/>
      <c r="E1399" s="11">
        <v>1456.0</v>
      </c>
      <c r="F1399" s="2"/>
    </row>
    <row r="1400" ht="1.5" customHeight="1">
      <c r="A1400" s="4" t="str">
        <f>IFERROR(__xludf.DUMMYFUNCTION("""COMPUTED_VALUE"""),"5. Eraser")</f>
        <v>5. Eraser</v>
      </c>
      <c r="B1400" s="4" t="str">
        <f>IFERROR(__xludf.DUMMYFUNCTION("""COMPUTED_VALUE"""),"5")</f>
        <v>5</v>
      </c>
      <c r="C1400" s="5" t="str">
        <f>IFERROR(__xludf.DUMMYFUNCTION("""COMPUTED_VALUE"""),"https://drive.google.com/file/d/1G__XNdhQW1tyQIDvdff0uOj4nBca9uPb/view?usp=drivesdk")</f>
        <v>https://drive.google.com/file/d/1G__XNdhQW1tyQIDvdff0uOj4nBca9uPb/view?usp=drivesdk</v>
      </c>
      <c r="D1400" s="12"/>
      <c r="E1400" s="6">
        <v>1457.0</v>
      </c>
      <c r="F1400" s="2"/>
    </row>
    <row r="1401" ht="1.5" customHeight="1">
      <c r="A1401" s="4" t="str">
        <f>IFERROR(__xludf.DUMMYFUNCTION("""COMPUTED_VALUE"""),"5. Eraser")</f>
        <v>5. Eraser</v>
      </c>
      <c r="B1401" s="4" t="str">
        <f>IFERROR(__xludf.DUMMYFUNCTION("""COMPUTED_VALUE"""),"5")</f>
        <v>5</v>
      </c>
      <c r="C1401" s="5" t="str">
        <f>IFERROR(__xludf.DUMMYFUNCTION("""COMPUTED_VALUE"""),"https://drive.google.com/file/d/1NTOjRISO1IVFp8sfG8Dg54CEgN8EjLWI/view?usp=drivesdk")</f>
        <v>https://drive.google.com/file/d/1NTOjRISO1IVFp8sfG8Dg54CEgN8EjLWI/view?usp=drivesdk</v>
      </c>
      <c r="D1401" s="12"/>
      <c r="E1401" s="11">
        <v>1458.0</v>
      </c>
      <c r="F1401" s="2"/>
    </row>
    <row r="1402" ht="1.5" customHeight="1">
      <c r="A1402" s="4" t="str">
        <f>IFERROR(__xludf.DUMMYFUNCTION("""COMPUTED_VALUE"""),"4. Eggs")</f>
        <v>4. Eggs</v>
      </c>
      <c r="B1402" s="4" t="str">
        <f>IFERROR(__xludf.DUMMYFUNCTION("""COMPUTED_VALUE"""),"4")</f>
        <v>4</v>
      </c>
      <c r="C1402" s="5" t="str">
        <f>IFERROR(__xludf.DUMMYFUNCTION("""COMPUTED_VALUE"""),"https://drive.google.com/file/d/1P_8jYKA8liErStN58cbv-MF8S1rLhb8L/view?usp=drivesdk")</f>
        <v>https://drive.google.com/file/d/1P_8jYKA8liErStN58cbv-MF8S1rLhb8L/view?usp=drivesdk</v>
      </c>
      <c r="D1402" s="12"/>
      <c r="E1402" s="11">
        <v>1459.0</v>
      </c>
      <c r="F1402" s="2"/>
    </row>
    <row r="1403" ht="1.5" customHeight="1">
      <c r="A1403" s="4" t="str">
        <f>IFERROR(__xludf.DUMMYFUNCTION("""COMPUTED_VALUE"""),"4. Eggs")</f>
        <v>4. Eggs</v>
      </c>
      <c r="B1403" s="4" t="str">
        <f>IFERROR(__xludf.DUMMYFUNCTION("""COMPUTED_VALUE"""),"4")</f>
        <v>4</v>
      </c>
      <c r="C1403" s="5" t="str">
        <f>IFERROR(__xludf.DUMMYFUNCTION("""COMPUTED_VALUE"""),"https://drive.google.com/file/d/1_ZIap32-KO7S7hKnYt_z3K8tooYQotOU/view?usp=drivesdk")</f>
        <v>https://drive.google.com/file/d/1_ZIap32-KO7S7hKnYt_z3K8tooYQotOU/view?usp=drivesdk</v>
      </c>
      <c r="D1403" s="12"/>
      <c r="E1403" s="11">
        <v>1460.0</v>
      </c>
      <c r="F1403" s="2"/>
    </row>
    <row r="1404" ht="1.5" customHeight="1">
      <c r="A1404" s="4" t="str">
        <f>IFERROR(__xludf.DUMMYFUNCTION("""COMPUTED_VALUE"""),"4. Eggs")</f>
        <v>4. Eggs</v>
      </c>
      <c r="B1404" s="4" t="str">
        <f>IFERROR(__xludf.DUMMYFUNCTION("""COMPUTED_VALUE"""),"4")</f>
        <v>4</v>
      </c>
      <c r="C1404" s="5" t="str">
        <f>IFERROR(__xludf.DUMMYFUNCTION("""COMPUTED_VALUE"""),"https://drive.google.com/file/d/1PDfK8_e5ZinAxYMv8HppLzct_wNLi58r/view?usp=drivesdk")</f>
        <v>https://drive.google.com/file/d/1PDfK8_e5ZinAxYMv8HppLzct_wNLi58r/view?usp=drivesdk</v>
      </c>
      <c r="D1404" s="12"/>
      <c r="E1404" s="11">
        <v>1461.0</v>
      </c>
      <c r="F1404" s="2"/>
    </row>
    <row r="1405" ht="1.5" customHeight="1">
      <c r="A1405" s="4" t="str">
        <f>IFERROR(__xludf.DUMMYFUNCTION("""COMPUTED_VALUE"""),"5. Eraser")</f>
        <v>5. Eraser</v>
      </c>
      <c r="B1405" s="4" t="str">
        <f>IFERROR(__xludf.DUMMYFUNCTION("""COMPUTED_VALUE"""),"5")</f>
        <v>5</v>
      </c>
      <c r="C1405" s="5" t="str">
        <f>IFERROR(__xludf.DUMMYFUNCTION("""COMPUTED_VALUE"""),"https://drive.google.com/file/d/1GgaoC_XoNkk_ixqy4EyzxW5XEsH4K0v1/view?usp=drivesdk")</f>
        <v>https://drive.google.com/file/d/1GgaoC_XoNkk_ixqy4EyzxW5XEsH4K0v1/view?usp=drivesdk</v>
      </c>
      <c r="D1405" s="12"/>
      <c r="E1405" s="11">
        <v>1462.0</v>
      </c>
      <c r="F1405" s="2"/>
    </row>
    <row r="1406" ht="1.5" customHeight="1">
      <c r="A1406" s="4" t="str">
        <f>IFERROR(__xludf.DUMMYFUNCTION("""COMPUTED_VALUE"""),"19. Rolo")</f>
        <v>19. Rolo</v>
      </c>
      <c r="B1406" s="4" t="str">
        <f>IFERROR(__xludf.DUMMYFUNCTION("""COMPUTED_VALUE"""),"19")</f>
        <v>19</v>
      </c>
      <c r="C1406" s="5" t="str">
        <f>IFERROR(__xludf.DUMMYFUNCTION("""COMPUTED_VALUE"""),"https://drive.google.com/file/d/17fXdEpaYK3JPmOmUeUgIscXfClUFkjOb/view?usp=drivesdk")</f>
        <v>https://drive.google.com/file/d/17fXdEpaYK3JPmOmUeUgIscXfClUFkjOb/view?usp=drivesdk</v>
      </c>
      <c r="D1406" s="12"/>
      <c r="E1406" s="6">
        <v>1463.0</v>
      </c>
      <c r="F1406" s="2"/>
    </row>
    <row r="1407" ht="1.5" customHeight="1">
      <c r="A1407" s="4" t="str">
        <f>IFERROR(__xludf.DUMMYFUNCTION("""COMPUTED_VALUE"""),"2. Twix")</f>
        <v>2. Twix</v>
      </c>
      <c r="B1407" s="4" t="str">
        <f>IFERROR(__xludf.DUMMYFUNCTION("""COMPUTED_VALUE"""),"2")</f>
        <v>2</v>
      </c>
      <c r="C1407" s="5" t="str">
        <f>IFERROR(__xludf.DUMMYFUNCTION("""COMPUTED_VALUE"""),"https://drive.google.com/file/d/17mvbkYNxbZIm_1gjXX3rqe1yV3gO4cZW/view?usp=drivesdk")</f>
        <v>https://drive.google.com/file/d/17mvbkYNxbZIm_1gjXX3rqe1yV3gO4cZW/view?usp=drivesdk</v>
      </c>
      <c r="D1407" s="12"/>
      <c r="E1407" s="11">
        <v>1464.0</v>
      </c>
      <c r="F1407" s="2"/>
    </row>
    <row r="1408" ht="1.5" customHeight="1">
      <c r="A1408" s="4" t="str">
        <f>IFERROR(__xludf.DUMMYFUNCTION("""COMPUTED_VALUE"""),"2. Twix")</f>
        <v>2. Twix</v>
      </c>
      <c r="B1408" s="4" t="str">
        <f>IFERROR(__xludf.DUMMYFUNCTION("""COMPUTED_VALUE"""),"2")</f>
        <v>2</v>
      </c>
      <c r="C1408" s="5" t="str">
        <f>IFERROR(__xludf.DUMMYFUNCTION("""COMPUTED_VALUE"""),"https://drive.google.com/file/d/1_-wJef4yIWwNuhE9w8cgd3e4zWKt6OqU/view?usp=drivesdk")</f>
        <v>https://drive.google.com/file/d/1_-wJef4yIWwNuhE9w8cgd3e4zWKt6OqU/view?usp=drivesdk</v>
      </c>
      <c r="D1408" s="12"/>
      <c r="E1408" s="11">
        <v>1465.0</v>
      </c>
      <c r="F1408" s="2"/>
    </row>
    <row r="1409" ht="1.5" customHeight="1">
      <c r="A1409" s="4" t="str">
        <f>IFERROR(__xludf.DUMMYFUNCTION("""COMPUTED_VALUE"""),"2. Twix")</f>
        <v>2. Twix</v>
      </c>
      <c r="B1409" s="4" t="str">
        <f>IFERROR(__xludf.DUMMYFUNCTION("""COMPUTED_VALUE"""),"2")</f>
        <v>2</v>
      </c>
      <c r="C1409" s="5" t="str">
        <f>IFERROR(__xludf.DUMMYFUNCTION("""COMPUTED_VALUE"""),"https://drive.google.com/file/d/1cc0BajsmljAdp8YmLcmY0ky_okBbkweF/view?usp=drivesdk")</f>
        <v>https://drive.google.com/file/d/1cc0BajsmljAdp8YmLcmY0ky_okBbkweF/view?usp=drivesdk</v>
      </c>
      <c r="D1409" s="12"/>
      <c r="E1409" s="11">
        <v>1466.0</v>
      </c>
      <c r="F1409" s="2"/>
    </row>
    <row r="1410" ht="1.5" customHeight="1">
      <c r="A1410" s="4" t="str">
        <f>IFERROR(__xludf.DUMMYFUNCTION("""COMPUTED_VALUE"""),"2. Twix")</f>
        <v>2. Twix</v>
      </c>
      <c r="B1410" s="4" t="str">
        <f>IFERROR(__xludf.DUMMYFUNCTION("""COMPUTED_VALUE"""),"2")</f>
        <v>2</v>
      </c>
      <c r="C1410" s="5" t="str">
        <f>IFERROR(__xludf.DUMMYFUNCTION("""COMPUTED_VALUE"""),"https://drive.google.com/file/d/1UYX3YLXegcKSNWHLabm8OkSyK34guNO9/view?usp=drivesdk")</f>
        <v>https://drive.google.com/file/d/1UYX3YLXegcKSNWHLabm8OkSyK34guNO9/view?usp=drivesdk</v>
      </c>
      <c r="D1410" s="12"/>
      <c r="E1410" s="11">
        <v>1467.0</v>
      </c>
      <c r="F1410" s="2"/>
    </row>
    <row r="1411" ht="1.5" customHeight="1">
      <c r="A1411" s="4" t="str">
        <f>IFERROR(__xludf.DUMMYFUNCTION("""COMPUTED_VALUE"""),"19. Rolo")</f>
        <v>19. Rolo</v>
      </c>
      <c r="B1411" s="4" t="str">
        <f>IFERROR(__xludf.DUMMYFUNCTION("""COMPUTED_VALUE"""),"19")</f>
        <v>19</v>
      </c>
      <c r="C1411" s="5" t="str">
        <f>IFERROR(__xludf.DUMMYFUNCTION("""COMPUTED_VALUE"""),"https://drive.google.com/file/d/1CDyzWaKbTw_8VLAzPf4FSTjdw9Q0tnXq/view?usp=drivesdk")</f>
        <v>https://drive.google.com/file/d/1CDyzWaKbTw_8VLAzPf4FSTjdw9Q0tnXq/view?usp=drivesdk</v>
      </c>
      <c r="D1411" s="12"/>
      <c r="E1411" s="11">
        <v>1468.0</v>
      </c>
      <c r="F1411" s="2"/>
    </row>
    <row r="1412" ht="1.5" customHeight="1">
      <c r="A1412" s="4" t="str">
        <f>IFERROR(__xludf.DUMMYFUNCTION("""COMPUTED_VALUE"""),"31. Scraggle")</f>
        <v>31. Scraggle</v>
      </c>
      <c r="B1412" s="4" t="str">
        <f>IFERROR(__xludf.DUMMYFUNCTION("""COMPUTED_VALUE"""),"31")</f>
        <v>31</v>
      </c>
      <c r="C1412" s="5" t="str">
        <f>IFERROR(__xludf.DUMMYFUNCTION("""COMPUTED_VALUE"""),"https://drive.google.com/file/d/19BTFHKlAxImN6Nc3Do2W0C1CwWlWHauv/view?usp=drivesdk")</f>
        <v>https://drive.google.com/file/d/19BTFHKlAxImN6Nc3Do2W0C1CwWlWHauv/view?usp=drivesdk</v>
      </c>
      <c r="D1412" s="12"/>
      <c r="E1412" s="6">
        <v>1469.0</v>
      </c>
      <c r="F1412" s="2"/>
    </row>
    <row r="1413" ht="1.5" customHeight="1">
      <c r="A1413" s="4" t="str">
        <f>IFERROR(__xludf.DUMMYFUNCTION("""COMPUTED_VALUE"""),"31. Scraggle")</f>
        <v>31. Scraggle</v>
      </c>
      <c r="B1413" s="4" t="str">
        <f>IFERROR(__xludf.DUMMYFUNCTION("""COMPUTED_VALUE"""),"31")</f>
        <v>31</v>
      </c>
      <c r="C1413" s="5" t="str">
        <f>IFERROR(__xludf.DUMMYFUNCTION("""COMPUTED_VALUE"""),"https://drive.google.com/file/d/1-m_HPjm4R9UggJl0BaYY65Z8mcV7Z6MI/view?usp=drivesdk")</f>
        <v>https://drive.google.com/file/d/1-m_HPjm4R9UggJl0BaYY65Z8mcV7Z6MI/view?usp=drivesdk</v>
      </c>
      <c r="D1413" s="12"/>
      <c r="E1413" s="11">
        <v>1470.0</v>
      </c>
      <c r="F1413" s="2"/>
    </row>
    <row r="1414" ht="1.5" customHeight="1">
      <c r="A1414" s="4" t="str">
        <f>IFERROR(__xludf.DUMMYFUNCTION("""COMPUTED_VALUE"""),"31. Scraggle")</f>
        <v>31. Scraggle</v>
      </c>
      <c r="B1414" s="4" t="str">
        <f>IFERROR(__xludf.DUMMYFUNCTION("""COMPUTED_VALUE"""),"31")</f>
        <v>31</v>
      </c>
      <c r="C1414" s="5" t="str">
        <f>IFERROR(__xludf.DUMMYFUNCTION("""COMPUTED_VALUE"""),"https://drive.google.com/file/d/1CtRdn81BnXFGChMEO1kIHCLj3nnP3ohx/view?usp=drivesdk")</f>
        <v>https://drive.google.com/file/d/1CtRdn81BnXFGChMEO1kIHCLj3nnP3ohx/view?usp=drivesdk</v>
      </c>
      <c r="D1414" s="12"/>
      <c r="E1414" s="11">
        <v>1471.0</v>
      </c>
      <c r="F1414" s="2"/>
    </row>
    <row r="1415" ht="1.5" customHeight="1">
      <c r="A1415" s="4" t="str">
        <f>IFERROR(__xludf.DUMMYFUNCTION("""COMPUTED_VALUE"""),"31. Scraggle")</f>
        <v>31. Scraggle</v>
      </c>
      <c r="B1415" s="4" t="str">
        <f>IFERROR(__xludf.DUMMYFUNCTION("""COMPUTED_VALUE"""),"31")</f>
        <v>31</v>
      </c>
      <c r="C1415" s="5" t="str">
        <f>IFERROR(__xludf.DUMMYFUNCTION("""COMPUTED_VALUE"""),"https://drive.google.com/file/d/1czoyE2qdta2oaDvaiXY6X0GwsZckdLvc/view?usp=drivesdk")</f>
        <v>https://drive.google.com/file/d/1czoyE2qdta2oaDvaiXY6X0GwsZckdLvc/view?usp=drivesdk</v>
      </c>
      <c r="D1415" s="12"/>
      <c r="E1415" s="11">
        <v>1472.0</v>
      </c>
      <c r="F1415" s="2"/>
    </row>
    <row r="1416" ht="1.5" customHeight="1">
      <c r="A1416" s="4" t="str">
        <f>IFERROR(__xludf.DUMMYFUNCTION("""COMPUTED_VALUE"""),"31. Scraggle")</f>
        <v>31. Scraggle</v>
      </c>
      <c r="B1416" s="4" t="str">
        <f>IFERROR(__xludf.DUMMYFUNCTION("""COMPUTED_VALUE"""),"31")</f>
        <v>31</v>
      </c>
      <c r="C1416" s="5" t="str">
        <f>IFERROR(__xludf.DUMMYFUNCTION("""COMPUTED_VALUE"""),"https://drive.google.com/file/d/1bCj0kZpoTER6lNkFLaa5a_YAqTNjanxD/view?usp=drivesdk")</f>
        <v>https://drive.google.com/file/d/1bCj0kZpoTER6lNkFLaa5a_YAqTNjanxD/view?usp=drivesdk</v>
      </c>
      <c r="D1416" s="12"/>
      <c r="E1416" s="11">
        <v>1473.0</v>
      </c>
      <c r="F1416" s="2"/>
    </row>
    <row r="1417" ht="1.5" customHeight="1">
      <c r="A1417" s="4" t="str">
        <f>IFERROR(__xludf.DUMMYFUNCTION("""COMPUTED_VALUE"""),"31. Scraggle")</f>
        <v>31. Scraggle</v>
      </c>
      <c r="B1417" s="4" t="str">
        <f>IFERROR(__xludf.DUMMYFUNCTION("""COMPUTED_VALUE"""),"31")</f>
        <v>31</v>
      </c>
      <c r="C1417" s="5" t="str">
        <f>IFERROR(__xludf.DUMMYFUNCTION("""COMPUTED_VALUE"""),"https://drive.google.com/file/d/1ZLZ5wS8F7JQK-zQWsHxiujYj3Ygt-yAb/view?usp=drivesdk")</f>
        <v>https://drive.google.com/file/d/1ZLZ5wS8F7JQK-zQWsHxiujYj3Ygt-yAb/view?usp=drivesdk</v>
      </c>
      <c r="D1417" s="12"/>
      <c r="E1417" s="11">
        <v>1474.0</v>
      </c>
      <c r="F1417" s="2"/>
    </row>
    <row r="1418" ht="1.5" customHeight="1">
      <c r="A1418" s="4" t="str">
        <f>IFERROR(__xludf.DUMMYFUNCTION("""COMPUTED_VALUE"""),"31. Scraggle")</f>
        <v>31. Scraggle</v>
      </c>
      <c r="B1418" s="4" t="str">
        <f>IFERROR(__xludf.DUMMYFUNCTION("""COMPUTED_VALUE"""),"31")</f>
        <v>31</v>
      </c>
      <c r="C1418" s="5" t="str">
        <f>IFERROR(__xludf.DUMMYFUNCTION("""COMPUTED_VALUE"""),"https://drive.google.com/file/d/1P3vO3LDxQH-4mO4xECP-hhta2E_GXOY2/view?usp=drivesdk")</f>
        <v>https://drive.google.com/file/d/1P3vO3LDxQH-4mO4xECP-hhta2E_GXOY2/view?usp=drivesdk</v>
      </c>
      <c r="D1418" s="12"/>
      <c r="E1418" s="6">
        <v>1475.0</v>
      </c>
      <c r="F1418" s="2"/>
    </row>
    <row r="1419" ht="1.5" customHeight="1">
      <c r="A1419" s="4" t="str">
        <f>IFERROR(__xludf.DUMMYFUNCTION("""COMPUTED_VALUE"""),"31. Scraggle")</f>
        <v>31. Scraggle</v>
      </c>
      <c r="B1419" s="4" t="str">
        <f>IFERROR(__xludf.DUMMYFUNCTION("""COMPUTED_VALUE"""),"31")</f>
        <v>31</v>
      </c>
      <c r="C1419" s="5" t="str">
        <f>IFERROR(__xludf.DUMMYFUNCTION("""COMPUTED_VALUE"""),"https://drive.google.com/file/d/1-WI4sCjHJvYWcsRmLW_k_g7EJtBn-UMK/view?usp=drivesdk")</f>
        <v>https://drive.google.com/file/d/1-WI4sCjHJvYWcsRmLW_k_g7EJtBn-UMK/view?usp=drivesdk</v>
      </c>
      <c r="D1419" s="12"/>
      <c r="E1419" s="11">
        <v>1476.0</v>
      </c>
      <c r="F1419" s="2"/>
    </row>
    <row r="1420" ht="1.5" customHeight="1">
      <c r="A1420" s="4" t="str">
        <f>IFERROR(__xludf.DUMMYFUNCTION("""COMPUTED_VALUE"""),"31. Scraggle, 36. Scringle")</f>
        <v>31. Scraggle, 36. Scringle</v>
      </c>
      <c r="B1420" s="4" t="str">
        <f>IFERROR(__xludf.DUMMYFUNCTION("""COMPUTED_VALUE"""),"31, 36")</f>
        <v>31, 36</v>
      </c>
      <c r="C1420" s="5" t="str">
        <f>IFERROR(__xludf.DUMMYFUNCTION("""COMPUTED_VALUE"""),"https://drive.google.com/file/d/1G2PIjEpOehT4lJb3otGl7009pjAjKEAM/view?usp=drivesdk")</f>
        <v>https://drive.google.com/file/d/1G2PIjEpOehT4lJb3otGl7009pjAjKEAM/view?usp=drivesdk</v>
      </c>
      <c r="D1420" s="12"/>
      <c r="E1420" s="11">
        <v>1477.0</v>
      </c>
      <c r="F1420" s="2"/>
    </row>
    <row r="1421" ht="1.5" customHeight="1">
      <c r="A1421" s="4" t="str">
        <f>IFERROR(__xludf.DUMMYFUNCTION("""COMPUTED_VALUE"""),"31. Scraggle, 36. Scringle")</f>
        <v>31. Scraggle, 36. Scringle</v>
      </c>
      <c r="B1421" s="4" t="str">
        <f>IFERROR(__xludf.DUMMYFUNCTION("""COMPUTED_VALUE"""),"31, 36")</f>
        <v>31, 36</v>
      </c>
      <c r="C1421" s="5" t="str">
        <f>IFERROR(__xludf.DUMMYFUNCTION("""COMPUTED_VALUE"""),"https://drive.google.com/file/d/1CjUXRdabREudfVqDlqhdyC4AgmJ0HCkT/view?usp=drivesdk")</f>
        <v>https://drive.google.com/file/d/1CjUXRdabREudfVqDlqhdyC4AgmJ0HCkT/view?usp=drivesdk</v>
      </c>
      <c r="D1421" s="12"/>
      <c r="E1421" s="11">
        <v>1478.0</v>
      </c>
      <c r="F1421" s="2"/>
    </row>
    <row r="1422" ht="1.5" customHeight="1">
      <c r="A1422" s="4" t="str">
        <f>IFERROR(__xludf.DUMMYFUNCTION("""COMPUTED_VALUE"""),"31. Scraggle")</f>
        <v>31. Scraggle</v>
      </c>
      <c r="B1422" s="4" t="str">
        <f>IFERROR(__xludf.DUMMYFUNCTION("""COMPUTED_VALUE"""),"31")</f>
        <v>31</v>
      </c>
      <c r="C1422" s="5" t="str">
        <f>IFERROR(__xludf.DUMMYFUNCTION("""COMPUTED_VALUE"""),"https://drive.google.com/file/d/1YrtJv7tq9bNUpAjrjiojtnzHq439eMD_/view?usp=drivesdk")</f>
        <v>https://drive.google.com/file/d/1YrtJv7tq9bNUpAjrjiojtnzHq439eMD_/view?usp=drivesdk</v>
      </c>
      <c r="D1422" s="12"/>
      <c r="E1422" s="11">
        <v>1479.0</v>
      </c>
      <c r="F1422" s="2"/>
    </row>
    <row r="1423" ht="1.5" customHeight="1">
      <c r="A1423" s="4" t="str">
        <f>IFERROR(__xludf.DUMMYFUNCTION("""COMPUTED_VALUE"""),"40. Dumpster")</f>
        <v>40. Dumpster</v>
      </c>
      <c r="B1423" s="4" t="str">
        <f>IFERROR(__xludf.DUMMYFUNCTION("""COMPUTED_VALUE"""),"40")</f>
        <v>40</v>
      </c>
      <c r="C1423" s="5" t="str">
        <f>IFERROR(__xludf.DUMMYFUNCTION("""COMPUTED_VALUE"""),"https://drive.google.com/file/d/1Tx3izNOC58mh0a2VoEGVac64n1iW59kQ/view?usp=drivesdk")</f>
        <v>https://drive.google.com/file/d/1Tx3izNOC58mh0a2VoEGVac64n1iW59kQ/view?usp=drivesdk</v>
      </c>
      <c r="D1423" s="12"/>
      <c r="E1423" s="11">
        <v>1480.0</v>
      </c>
      <c r="F1423" s="2"/>
    </row>
    <row r="1424" ht="1.5" customHeight="1">
      <c r="A1424" s="4" t="str">
        <f>IFERROR(__xludf.DUMMYFUNCTION("""COMPUTED_VALUE"""),"39. Radar, 45. Boots, 12. Faye, 44. Shitbag Cuntface")</f>
        <v>39. Radar, 45. Boots, 12. Faye, 44. Shitbag Cuntface</v>
      </c>
      <c r="B1424" s="4" t="str">
        <f>IFERROR(__xludf.DUMMYFUNCTION("""COMPUTED_VALUE"""),"39, 45, 12, 44")</f>
        <v>39, 45, 12, 44</v>
      </c>
      <c r="C1424" s="5" t="str">
        <f>IFERROR(__xludf.DUMMYFUNCTION("""COMPUTED_VALUE"""),"https://drive.google.com/file/d/1I9nOrGbbf-FIIMUyoCwbbwnZTGeRFmYW/view?usp=drivesdk")</f>
        <v>https://drive.google.com/file/d/1I9nOrGbbf-FIIMUyoCwbbwnZTGeRFmYW/view?usp=drivesdk</v>
      </c>
      <c r="D1424" s="12"/>
      <c r="E1424" s="6">
        <v>1481.0</v>
      </c>
      <c r="F1424" s="2"/>
    </row>
    <row r="1425" ht="1.5" customHeight="1">
      <c r="A1425" s="4" t="str">
        <f>IFERROR(__xludf.DUMMYFUNCTION("""COMPUTED_VALUE"""),"12. Faye")</f>
        <v>12. Faye</v>
      </c>
      <c r="B1425" s="4" t="str">
        <f>IFERROR(__xludf.DUMMYFUNCTION("""COMPUTED_VALUE"""),"12")</f>
        <v>12</v>
      </c>
      <c r="C1425" s="5" t="str">
        <f>IFERROR(__xludf.DUMMYFUNCTION("""COMPUTED_VALUE"""),"https://drive.google.com/file/d/1ZHJcNhs_eBrollBNwYHyBNiAiFEF28Db/view?usp=drivesdk")</f>
        <v>https://drive.google.com/file/d/1ZHJcNhs_eBrollBNwYHyBNiAiFEF28Db/view?usp=drivesdk</v>
      </c>
      <c r="D1425" s="12"/>
      <c r="E1425" s="11">
        <v>1482.0</v>
      </c>
      <c r="F1425" s="2"/>
    </row>
    <row r="1426" ht="1.5" customHeight="1">
      <c r="A1426" s="4" t="str">
        <f>IFERROR(__xludf.DUMMYFUNCTION("""COMPUTED_VALUE"""),"12. Faye")</f>
        <v>12. Faye</v>
      </c>
      <c r="B1426" s="4" t="str">
        <f>IFERROR(__xludf.DUMMYFUNCTION("""COMPUTED_VALUE"""),"12")</f>
        <v>12</v>
      </c>
      <c r="C1426" s="5" t="str">
        <f>IFERROR(__xludf.DUMMYFUNCTION("""COMPUTED_VALUE"""),"https://drive.google.com/file/d/1sOsheBNg5fWhht9vlLMcvdY1B70oDdvB/view?usp=drivesdk")</f>
        <v>https://drive.google.com/file/d/1sOsheBNg5fWhht9vlLMcvdY1B70oDdvB/view?usp=drivesdk</v>
      </c>
      <c r="D1426" s="12"/>
      <c r="E1426" s="11">
        <v>1483.0</v>
      </c>
      <c r="F1426" s="2"/>
    </row>
    <row r="1427" ht="1.5" customHeight="1">
      <c r="A1427" s="4" t="str">
        <f>IFERROR(__xludf.DUMMYFUNCTION("""COMPUTED_VALUE"""),"0. NotACat")</f>
        <v>0. NotACat</v>
      </c>
      <c r="B1427" s="4" t="str">
        <f>IFERROR(__xludf.DUMMYFUNCTION("""COMPUTED_VALUE"""),"0")</f>
        <v>0</v>
      </c>
      <c r="C1427" s="5" t="str">
        <f>IFERROR(__xludf.DUMMYFUNCTION("""COMPUTED_VALUE"""),"https://drive.google.com/file/d/10KWvo__ycRq0aYVKaoPZ22T0ovtizTpB/view?usp=drivesdk")</f>
        <v>https://drive.google.com/file/d/10KWvo__ycRq0aYVKaoPZ22T0ovtizTpB/view?usp=drivesdk</v>
      </c>
      <c r="D1427" s="12"/>
      <c r="E1427" s="11">
        <v>1484.0</v>
      </c>
      <c r="F1427" s="2"/>
    </row>
    <row r="1428" ht="1.5" customHeight="1">
      <c r="A1428" s="4" t="str">
        <f>IFERROR(__xludf.DUMMYFUNCTION("""COMPUTED_VALUE"""),"44. Shitbag Cuntface")</f>
        <v>44. Shitbag Cuntface</v>
      </c>
      <c r="B1428" s="4" t="str">
        <f>IFERROR(__xludf.DUMMYFUNCTION("""COMPUTED_VALUE"""),"44")</f>
        <v>44</v>
      </c>
      <c r="C1428" s="5" t="str">
        <f>IFERROR(__xludf.DUMMYFUNCTION("""COMPUTED_VALUE"""),"https://drive.google.com/file/d/1FofRVCNnTPIrDiZgwLdFZ5zp4AoeYjuq/view?usp=drivesdk")</f>
        <v>https://drive.google.com/file/d/1FofRVCNnTPIrDiZgwLdFZ5zp4AoeYjuq/view?usp=drivesdk</v>
      </c>
      <c r="D1428" s="12"/>
      <c r="E1428" s="11">
        <v>1485.0</v>
      </c>
      <c r="F1428" s="2"/>
    </row>
    <row r="1429" ht="1.5" customHeight="1">
      <c r="A1429" s="4" t="str">
        <f>IFERROR(__xludf.DUMMYFUNCTION("""COMPUTED_VALUE"""),"40. Dumpster")</f>
        <v>40. Dumpster</v>
      </c>
      <c r="B1429" s="4" t="str">
        <f>IFERROR(__xludf.DUMMYFUNCTION("""COMPUTED_VALUE"""),"40")</f>
        <v>40</v>
      </c>
      <c r="C1429" s="5" t="str">
        <f>IFERROR(__xludf.DUMMYFUNCTION("""COMPUTED_VALUE"""),"https://drive.google.com/file/d/13Yn9CfxP5znXAz99461idI4ob4-7feLx/view?usp=drivesdk")</f>
        <v>https://drive.google.com/file/d/13Yn9CfxP5znXAz99461idI4ob4-7feLx/view?usp=drivesdk</v>
      </c>
      <c r="D1429" s="12"/>
      <c r="E1429" s="11">
        <v>1486.0</v>
      </c>
      <c r="F1429" s="2"/>
    </row>
    <row r="1430" ht="1.5" customHeight="1">
      <c r="A1430" s="4" t="str">
        <f>IFERROR(__xludf.DUMMYFUNCTION("""COMPUTED_VALUE"""),"11. Laufey, 12. Faye, 39. Radar, 44. Shitbag Cuntface, 40. Dumpster")</f>
        <v>11. Laufey, 12. Faye, 39. Radar, 44. Shitbag Cuntface, 40. Dumpster</v>
      </c>
      <c r="B1430" s="4" t="str">
        <f>IFERROR(__xludf.DUMMYFUNCTION("""COMPUTED_VALUE"""),"11, 12, 39, 44, 40")</f>
        <v>11, 12, 39, 44, 40</v>
      </c>
      <c r="C1430" s="5" t="str">
        <f>IFERROR(__xludf.DUMMYFUNCTION("""COMPUTED_VALUE"""),"https://drive.google.com/file/d/1gHpNoR_p5zi5AiLJWwmkH3VIdMzTNRCa/view?usp=drivesdk")</f>
        <v>https://drive.google.com/file/d/1gHpNoR_p5zi5AiLJWwmkH3VIdMzTNRCa/view?usp=drivesdk</v>
      </c>
      <c r="D1430" s="12"/>
      <c r="E1430" s="6">
        <v>1487.0</v>
      </c>
      <c r="F1430" s="2"/>
    </row>
    <row r="1431" ht="1.5" customHeight="1">
      <c r="A1431" s="4" t="str">
        <f>IFERROR(__xludf.DUMMYFUNCTION("""COMPUTED_VALUE"""),"11. Laufey, 12. Faye, 39. Radar, 44. Shitbag Cuntface, 40. Dumpster")</f>
        <v>11. Laufey, 12. Faye, 39. Radar, 44. Shitbag Cuntface, 40. Dumpster</v>
      </c>
      <c r="B1431" s="4" t="str">
        <f>IFERROR(__xludf.DUMMYFUNCTION("""COMPUTED_VALUE"""),"11, 12, 39, 44, 40")</f>
        <v>11, 12, 39, 44, 40</v>
      </c>
      <c r="C1431" s="5" t="str">
        <f>IFERROR(__xludf.DUMMYFUNCTION("""COMPUTED_VALUE"""),"https://drive.google.com/file/d/1ppVm4pCf7PYnpObWoaYoCyIWKCZsKRsh/view?usp=drivesdk")</f>
        <v>https://drive.google.com/file/d/1ppVm4pCf7PYnpObWoaYoCyIWKCZsKRsh/view?usp=drivesdk</v>
      </c>
      <c r="D1431" s="12"/>
      <c r="E1431" s="11">
        <v>1488.0</v>
      </c>
      <c r="F1431" s="2"/>
    </row>
    <row r="1432" ht="1.5" customHeight="1">
      <c r="A1432" s="4" t="str">
        <f>IFERROR(__xludf.DUMMYFUNCTION("""COMPUTED_VALUE"""),"1. Microwave")</f>
        <v>1. Microwave</v>
      </c>
      <c r="B1432" s="4" t="str">
        <f>IFERROR(__xludf.DUMMYFUNCTION("""COMPUTED_VALUE"""),"1")</f>
        <v>1</v>
      </c>
      <c r="C1432" s="5" t="str">
        <f>IFERROR(__xludf.DUMMYFUNCTION("""COMPUTED_VALUE"""),"https://drive.google.com/file/d/1Xp6d8GkZ6zvJNDNMVQxNlPT0156FJd-Q/view?usp=drivesdk")</f>
        <v>https://drive.google.com/file/d/1Xp6d8GkZ6zvJNDNMVQxNlPT0156FJd-Q/view?usp=drivesdk</v>
      </c>
      <c r="D1432" s="12"/>
      <c r="E1432" s="11">
        <v>1489.0</v>
      </c>
      <c r="F1432" s="2"/>
    </row>
    <row r="1433" ht="1.5" customHeight="1">
      <c r="A1433" s="4" t="str">
        <f>IFERROR(__xludf.DUMMYFUNCTION("""COMPUTED_VALUE"""),"33. Zee")</f>
        <v>33. Zee</v>
      </c>
      <c r="B1433" s="4" t="str">
        <f>IFERROR(__xludf.DUMMYFUNCTION("""COMPUTED_VALUE"""),"33")</f>
        <v>33</v>
      </c>
      <c r="C1433" s="5" t="str">
        <f>IFERROR(__xludf.DUMMYFUNCTION("""COMPUTED_VALUE"""),"https://drive.google.com/file/d/12HMlKaL2IKATnRWFAbv3XtF5AZyWnfLU/view?usp=drivesdk")</f>
        <v>https://drive.google.com/file/d/12HMlKaL2IKATnRWFAbv3XtF5AZyWnfLU/view?usp=drivesdk</v>
      </c>
      <c r="D1433" s="12"/>
      <c r="E1433" s="11">
        <v>1490.0</v>
      </c>
      <c r="F1433" s="2"/>
    </row>
    <row r="1434" ht="1.5" customHeight="1">
      <c r="A1434" s="4" t="str">
        <f>IFERROR(__xludf.DUMMYFUNCTION("""COMPUTED_VALUE"""),"33. Zee")</f>
        <v>33. Zee</v>
      </c>
      <c r="B1434" s="4" t="str">
        <f>IFERROR(__xludf.DUMMYFUNCTION("""COMPUTED_VALUE"""),"33")</f>
        <v>33</v>
      </c>
      <c r="C1434" s="5" t="str">
        <f>IFERROR(__xludf.DUMMYFUNCTION("""COMPUTED_VALUE"""),"https://drive.google.com/file/d/1qwFtee1GPBDFkX56ouZWTCHBDg5sbgxM/view?usp=drivesdk")</f>
        <v>https://drive.google.com/file/d/1qwFtee1GPBDFkX56ouZWTCHBDg5sbgxM/view?usp=drivesdk</v>
      </c>
      <c r="D1434" s="12"/>
      <c r="E1434" s="11">
        <v>1491.0</v>
      </c>
      <c r="F1434" s="2"/>
    </row>
    <row r="1435" ht="1.5" customHeight="1">
      <c r="A1435" s="4" t="str">
        <f>IFERROR(__xludf.DUMMYFUNCTION("""COMPUTED_VALUE"""),"30. Pepper")</f>
        <v>30. Pepper</v>
      </c>
      <c r="B1435" s="4" t="str">
        <f>IFERROR(__xludf.DUMMYFUNCTION("""COMPUTED_VALUE"""),"30")</f>
        <v>30</v>
      </c>
      <c r="C1435" s="5" t="str">
        <f>IFERROR(__xludf.DUMMYFUNCTION("""COMPUTED_VALUE"""),"https://drive.google.com/file/d/1wZ5Sci2LTJH_e9QdvBTOrr0lX775hbQ_/view?usp=drivesdk")</f>
        <v>https://drive.google.com/file/d/1wZ5Sci2LTJH_e9QdvBTOrr0lX775hbQ_/view?usp=drivesdk</v>
      </c>
      <c r="D1435" s="12"/>
      <c r="E1435" s="11">
        <v>1492.0</v>
      </c>
      <c r="F1435" s="2"/>
    </row>
    <row r="1436" ht="1.5" customHeight="1">
      <c r="A1436" s="4" t="str">
        <f>IFERROR(__xludf.DUMMYFUNCTION("""COMPUTED_VALUE"""),"33. Zee, 30. Pepper")</f>
        <v>33. Zee, 30. Pepper</v>
      </c>
      <c r="B1436" s="4" t="str">
        <f>IFERROR(__xludf.DUMMYFUNCTION("""COMPUTED_VALUE"""),"33, 30")</f>
        <v>33, 30</v>
      </c>
      <c r="C1436" s="5" t="str">
        <f>IFERROR(__xludf.DUMMYFUNCTION("""COMPUTED_VALUE"""),"https://drive.google.com/file/d/17FIO3fllvC5vGEahwBfpUaI7u4MF_qlS/view?usp=drivesdk")</f>
        <v>https://drive.google.com/file/d/17FIO3fllvC5vGEahwBfpUaI7u4MF_qlS/view?usp=drivesdk</v>
      </c>
      <c r="D1436" s="12"/>
      <c r="E1436" s="6">
        <v>1493.0</v>
      </c>
      <c r="F1436" s="2"/>
    </row>
    <row r="1437" ht="1.5" customHeight="1">
      <c r="A1437" s="4" t="str">
        <f>IFERROR(__xludf.DUMMYFUNCTION("""COMPUTED_VALUE"""),"17. Bobbie")</f>
        <v>17. Bobbie</v>
      </c>
      <c r="B1437" s="4" t="str">
        <f>IFERROR(__xludf.DUMMYFUNCTION("""COMPUTED_VALUE"""),"17")</f>
        <v>17</v>
      </c>
      <c r="C1437" s="5" t="str">
        <f>IFERROR(__xludf.DUMMYFUNCTION("""COMPUTED_VALUE"""),"https://drive.google.com/file/d/1KSmtnIDbPBR5puMW0WpJ51HMY69iz7yc/view?usp=drivesdk")</f>
        <v>https://drive.google.com/file/d/1KSmtnIDbPBR5puMW0WpJ51HMY69iz7yc/view?usp=drivesdk</v>
      </c>
      <c r="D1437" s="12"/>
      <c r="E1437" s="11">
        <v>1494.0</v>
      </c>
      <c r="F1437" s="2"/>
    </row>
    <row r="1438" ht="1.5" customHeight="1">
      <c r="A1438" s="4" t="str">
        <f>IFERROR(__xludf.DUMMYFUNCTION("""COMPUTED_VALUE"""),"22. Glockenspiel")</f>
        <v>22. Glockenspiel</v>
      </c>
      <c r="B1438" s="4" t="str">
        <f>IFERROR(__xludf.DUMMYFUNCTION("""COMPUTED_VALUE"""),"22")</f>
        <v>22</v>
      </c>
      <c r="C1438" s="5" t="str">
        <f>IFERROR(__xludf.DUMMYFUNCTION("""COMPUTED_VALUE"""),"https://drive.google.com/file/d/1aqW2bYfWSAPe-BAnjg_gDpZsmFtvJpTd/view?usp=drivesdk")</f>
        <v>https://drive.google.com/file/d/1aqW2bYfWSAPe-BAnjg_gDpZsmFtvJpTd/view?usp=drivesdk</v>
      </c>
      <c r="D1438" s="12"/>
      <c r="E1438" s="11">
        <v>1495.0</v>
      </c>
      <c r="F1438" s="2"/>
    </row>
    <row r="1439" ht="1.5" customHeight="1">
      <c r="A1439" s="4" t="str">
        <f>IFERROR(__xludf.DUMMYFUNCTION("""COMPUTED_VALUE"""),"1. Microwave")</f>
        <v>1. Microwave</v>
      </c>
      <c r="B1439" s="4" t="str">
        <f>IFERROR(__xludf.DUMMYFUNCTION("""COMPUTED_VALUE"""),"1")</f>
        <v>1</v>
      </c>
      <c r="C1439" s="5" t="str">
        <f>IFERROR(__xludf.DUMMYFUNCTION("""COMPUTED_VALUE"""),"https://drive.google.com/file/d/1jD1P0bapKQv1PKG6PhfYaaq1SP79Lw5t/view?usp=drivesdk")</f>
        <v>https://drive.google.com/file/d/1jD1P0bapKQv1PKG6PhfYaaq1SP79Lw5t/view?usp=drivesdk</v>
      </c>
      <c r="D1439" s="12"/>
      <c r="E1439" s="11">
        <v>1496.0</v>
      </c>
      <c r="F1439" s="2"/>
    </row>
    <row r="1440" ht="1.5" customHeight="1">
      <c r="A1440" s="4" t="str">
        <f>IFERROR(__xludf.DUMMYFUNCTION("""COMPUTED_VALUE"""),"4. Eggs")</f>
        <v>4. Eggs</v>
      </c>
      <c r="B1440" s="4" t="str">
        <f>IFERROR(__xludf.DUMMYFUNCTION("""COMPUTED_VALUE"""),"4")</f>
        <v>4</v>
      </c>
      <c r="C1440" s="5" t="str">
        <f>IFERROR(__xludf.DUMMYFUNCTION("""COMPUTED_VALUE"""),"https://drive.google.com/file/d/1gFKJI_uZtqN861k-c2-WIaNxwf9d_-J4/view?usp=drivesdk")</f>
        <v>https://drive.google.com/file/d/1gFKJI_uZtqN861k-c2-WIaNxwf9d_-J4/view?usp=drivesdk</v>
      </c>
      <c r="D1440" s="12"/>
      <c r="E1440" s="11">
        <v>1497.0</v>
      </c>
      <c r="F1440" s="2"/>
    </row>
    <row r="1441" ht="1.5" customHeight="1">
      <c r="A1441" s="4" t="str">
        <f>IFERROR(__xludf.DUMMYFUNCTION("""COMPUTED_VALUE"""),"5. Eraser")</f>
        <v>5. Eraser</v>
      </c>
      <c r="B1441" s="4" t="str">
        <f>IFERROR(__xludf.DUMMYFUNCTION("""COMPUTED_VALUE"""),"5")</f>
        <v>5</v>
      </c>
      <c r="C1441" s="5" t="str">
        <f>IFERROR(__xludf.DUMMYFUNCTION("""COMPUTED_VALUE"""),"https://drive.google.com/file/d/1hyEXRdMCbXqzGQHSYYKAQv0p_ox22BLj/view?usp=drivesdk")</f>
        <v>https://drive.google.com/file/d/1hyEXRdMCbXqzGQHSYYKAQv0p_ox22BLj/view?usp=drivesdk</v>
      </c>
      <c r="D1441" s="12"/>
      <c r="E1441" s="11">
        <v>1498.0</v>
      </c>
      <c r="F1441" s="2"/>
    </row>
    <row r="1442" ht="1.5" customHeight="1">
      <c r="A1442" s="4" t="str">
        <f>IFERROR(__xludf.DUMMYFUNCTION("""COMPUTED_VALUE"""),"4. Eggs")</f>
        <v>4. Eggs</v>
      </c>
      <c r="B1442" s="4" t="str">
        <f>IFERROR(__xludf.DUMMYFUNCTION("""COMPUTED_VALUE"""),"4")</f>
        <v>4</v>
      </c>
      <c r="C1442" s="5" t="str">
        <f>IFERROR(__xludf.DUMMYFUNCTION("""COMPUTED_VALUE"""),"https://drive.google.com/file/d/1na1w66aHHcPt0_1pmY510A6bLtaAmLfm/view?usp=drivesdk")</f>
        <v>https://drive.google.com/file/d/1na1w66aHHcPt0_1pmY510A6bLtaAmLfm/view?usp=drivesdk</v>
      </c>
      <c r="D1442" s="12"/>
      <c r="E1442" s="6">
        <v>1499.0</v>
      </c>
      <c r="F1442" s="2"/>
    </row>
    <row r="1443" ht="1.5" customHeight="1">
      <c r="A1443" s="4" t="str">
        <f>IFERROR(__xludf.DUMMYFUNCTION("""COMPUTED_VALUE"""),"24. Garfield, 54. Tommy")</f>
        <v>24. Garfield, 54. Tommy</v>
      </c>
      <c r="B1443" s="4" t="str">
        <f>IFERROR(__xludf.DUMMYFUNCTION("""COMPUTED_VALUE"""),"24, 54")</f>
        <v>24, 54</v>
      </c>
      <c r="C1443" s="5" t="str">
        <f>IFERROR(__xludf.DUMMYFUNCTION("""COMPUTED_VALUE"""),"https://drive.google.com/file/d/1aFjIc5tMVxxUKi1GhsECuAnTk4eMkWjk/view?usp=drivesdk")</f>
        <v>https://drive.google.com/file/d/1aFjIc5tMVxxUKi1GhsECuAnTk4eMkWjk/view?usp=drivesdk</v>
      </c>
      <c r="D1443" s="12"/>
      <c r="E1443" s="11">
        <v>1500.0</v>
      </c>
      <c r="F1443" s="2"/>
    </row>
    <row r="1444" ht="1.5" customHeight="1">
      <c r="A1444" s="4" t="str">
        <f>IFERROR(__xludf.DUMMYFUNCTION("""COMPUTED_VALUE"""),"2. Twix")</f>
        <v>2. Twix</v>
      </c>
      <c r="B1444" s="4" t="str">
        <f>IFERROR(__xludf.DUMMYFUNCTION("""COMPUTED_VALUE"""),"2")</f>
        <v>2</v>
      </c>
      <c r="C1444" s="5" t="str">
        <f>IFERROR(__xludf.DUMMYFUNCTION("""COMPUTED_VALUE"""),"https://drive.google.com/file/d/1IHapgVg4HURK6DGpMJHmI5w5GRLLEMiv/view?usp=drivesdk")</f>
        <v>https://drive.google.com/file/d/1IHapgVg4HURK6DGpMJHmI5w5GRLLEMiv/view?usp=drivesdk</v>
      </c>
      <c r="D1444" s="12"/>
      <c r="E1444" s="11">
        <v>1501.0</v>
      </c>
      <c r="F1444" s="2"/>
    </row>
    <row r="1445" ht="1.5" customHeight="1">
      <c r="A1445" s="4" t="str">
        <f>IFERROR(__xludf.DUMMYFUNCTION("""COMPUTED_VALUE"""),"2. Twix")</f>
        <v>2. Twix</v>
      </c>
      <c r="B1445" s="4" t="str">
        <f>IFERROR(__xludf.DUMMYFUNCTION("""COMPUTED_VALUE"""),"2")</f>
        <v>2</v>
      </c>
      <c r="C1445" s="5" t="str">
        <f>IFERROR(__xludf.DUMMYFUNCTION("""COMPUTED_VALUE"""),"https://drive.google.com/file/d/1gbzsdWzBGrRRxDvMkdyklMxJBOOhN_vg/view?usp=drivesdk")</f>
        <v>https://drive.google.com/file/d/1gbzsdWzBGrRRxDvMkdyklMxJBOOhN_vg/view?usp=drivesdk</v>
      </c>
      <c r="D1445" s="12"/>
      <c r="E1445" s="11">
        <v>1502.0</v>
      </c>
      <c r="F1445" s="2"/>
    </row>
    <row r="1446" ht="1.5" customHeight="1">
      <c r="A1446" s="4" t="str">
        <f>IFERROR(__xludf.DUMMYFUNCTION("""COMPUTED_VALUE"""),"2. Twix")</f>
        <v>2. Twix</v>
      </c>
      <c r="B1446" s="4" t="str">
        <f>IFERROR(__xludf.DUMMYFUNCTION("""COMPUTED_VALUE"""),"2")</f>
        <v>2</v>
      </c>
      <c r="C1446" s="5" t="str">
        <f>IFERROR(__xludf.DUMMYFUNCTION("""COMPUTED_VALUE"""),"https://drive.google.com/file/d/1oLUCAxG7SzoK2PSyWwOzvl9-NoeHUw9z/view?usp=drivesdk")</f>
        <v>https://drive.google.com/file/d/1oLUCAxG7SzoK2PSyWwOzvl9-NoeHUw9z/view?usp=drivesdk</v>
      </c>
      <c r="D1446" s="12"/>
      <c r="E1446" s="11">
        <v>1503.0</v>
      </c>
      <c r="F1446" s="2"/>
    </row>
    <row r="1447" ht="1.5" customHeight="1">
      <c r="A1447" s="4" t="str">
        <f>IFERROR(__xludf.DUMMYFUNCTION("""COMPUTED_VALUE"""),"3. Ford F-150")</f>
        <v>3. Ford F-150</v>
      </c>
      <c r="B1447" s="4" t="str">
        <f>IFERROR(__xludf.DUMMYFUNCTION("""COMPUTED_VALUE"""),"3")</f>
        <v>3</v>
      </c>
      <c r="C1447" s="5" t="str">
        <f>IFERROR(__xludf.DUMMYFUNCTION("""COMPUTED_VALUE"""),"https://drive.google.com/file/d/1X6NehDd4Pda6x4XpnEV5j3EJFY9Y2kLo/view?usp=drivesdk")</f>
        <v>https://drive.google.com/file/d/1X6NehDd4Pda6x4XpnEV5j3EJFY9Y2kLo/view?usp=drivesdk</v>
      </c>
      <c r="D1447" s="12"/>
      <c r="E1447" s="11">
        <v>1504.0</v>
      </c>
      <c r="F1447" s="2"/>
    </row>
    <row r="1448" ht="1.5" customHeight="1">
      <c r="A1448" s="4" t="str">
        <f>IFERROR(__xludf.DUMMYFUNCTION("""COMPUTED_VALUE"""),"3. Ford F-150")</f>
        <v>3. Ford F-150</v>
      </c>
      <c r="B1448" s="4" t="str">
        <f>IFERROR(__xludf.DUMMYFUNCTION("""COMPUTED_VALUE"""),"3")</f>
        <v>3</v>
      </c>
      <c r="C1448" s="5" t="str">
        <f>IFERROR(__xludf.DUMMYFUNCTION("""COMPUTED_VALUE"""),"https://drive.google.com/file/d/1BDIzXEVKEIYB3msxdX75SqoxPO6NPIJK/view?usp=drivesdk")</f>
        <v>https://drive.google.com/file/d/1BDIzXEVKEIYB3msxdX75SqoxPO6NPIJK/view?usp=drivesdk</v>
      </c>
      <c r="D1448" s="12"/>
      <c r="E1448" s="6">
        <v>1505.0</v>
      </c>
      <c r="F1448" s="2"/>
    </row>
    <row r="1449" ht="1.5" customHeight="1">
      <c r="A1449" s="4" t="str">
        <f>IFERROR(__xludf.DUMMYFUNCTION("""COMPUTED_VALUE"""),"3. Ford F-150")</f>
        <v>3. Ford F-150</v>
      </c>
      <c r="B1449" s="4" t="str">
        <f>IFERROR(__xludf.DUMMYFUNCTION("""COMPUTED_VALUE"""),"3")</f>
        <v>3</v>
      </c>
      <c r="C1449" s="5" t="str">
        <f>IFERROR(__xludf.DUMMYFUNCTION("""COMPUTED_VALUE"""),"https://drive.google.com/file/d/1LHZHWlKw5rU-IVdR_Ru3lQBYZSEk-oAc/view?usp=drivesdk")</f>
        <v>https://drive.google.com/file/d/1LHZHWlKw5rU-IVdR_Ru3lQBYZSEk-oAc/view?usp=drivesdk</v>
      </c>
      <c r="D1449" s="12"/>
      <c r="E1449" s="11">
        <v>1506.0</v>
      </c>
      <c r="F1449" s="2"/>
    </row>
    <row r="1450" ht="1.5" customHeight="1">
      <c r="A1450" s="4" t="str">
        <f>IFERROR(__xludf.DUMMYFUNCTION("""COMPUTED_VALUE"""),"1. Microwave")</f>
        <v>1. Microwave</v>
      </c>
      <c r="B1450" s="4" t="str">
        <f>IFERROR(__xludf.DUMMYFUNCTION("""COMPUTED_VALUE"""),"1")</f>
        <v>1</v>
      </c>
      <c r="C1450" s="5" t="str">
        <f>IFERROR(__xludf.DUMMYFUNCTION("""COMPUTED_VALUE"""),"https://drive.google.com/file/d/1I_Xmxrf35HlBIdtwRclj8Vd8y0WNWuqK/view?usp=drivesdk")</f>
        <v>https://drive.google.com/file/d/1I_Xmxrf35HlBIdtwRclj8Vd8y0WNWuqK/view?usp=drivesdk</v>
      </c>
      <c r="D1450" s="12"/>
      <c r="E1450" s="11">
        <v>1507.0</v>
      </c>
      <c r="F1450" s="2"/>
    </row>
    <row r="1451" ht="1.5" customHeight="1">
      <c r="A1451" s="4" t="str">
        <f>IFERROR(__xludf.DUMMYFUNCTION("""COMPUTED_VALUE"""),"6. Snickers")</f>
        <v>6. Snickers</v>
      </c>
      <c r="B1451" s="4" t="str">
        <f>IFERROR(__xludf.DUMMYFUNCTION("""COMPUTED_VALUE"""),"6")</f>
        <v>6</v>
      </c>
      <c r="C1451" s="5" t="str">
        <f>IFERROR(__xludf.DUMMYFUNCTION("""COMPUTED_VALUE"""),"https://drive.google.com/file/d/1ZrJjPvjobzoebZ9AbP83OGJ1fbpqVMC_/view?usp=drivesdk")</f>
        <v>https://drive.google.com/file/d/1ZrJjPvjobzoebZ9AbP83OGJ1fbpqVMC_/view?usp=drivesdk</v>
      </c>
      <c r="D1451" s="12"/>
      <c r="E1451" s="11">
        <v>1508.0</v>
      </c>
      <c r="F1451" s="2"/>
    </row>
    <row r="1452" ht="1.5" customHeight="1">
      <c r="A1452" s="4" t="str">
        <f>IFERROR(__xludf.DUMMYFUNCTION("""COMPUTED_VALUE"""),"21. Paquini")</f>
        <v>21. Paquini</v>
      </c>
      <c r="B1452" s="4" t="str">
        <f>IFERROR(__xludf.DUMMYFUNCTION("""COMPUTED_VALUE"""),"21")</f>
        <v>21</v>
      </c>
      <c r="C1452" s="5" t="str">
        <f>IFERROR(__xludf.DUMMYFUNCTION("""COMPUTED_VALUE"""),"https://drive.google.com/file/d/1LW7ELRNGLnBjuf7K9wy7LGYLyQF4KL8P/view?usp=drivesdk")</f>
        <v>https://drive.google.com/file/d/1LW7ELRNGLnBjuf7K9wy7LGYLyQF4KL8P/view?usp=drivesdk</v>
      </c>
      <c r="D1452" s="12"/>
      <c r="E1452" s="11">
        <v>1509.0</v>
      </c>
      <c r="F1452" s="2"/>
    </row>
    <row r="1453" ht="1.5" customHeight="1">
      <c r="A1453" s="4" t="str">
        <f>IFERROR(__xludf.DUMMYFUNCTION("""COMPUTED_VALUE"""),"21. Paquini")</f>
        <v>21. Paquini</v>
      </c>
      <c r="B1453" s="4" t="str">
        <f>IFERROR(__xludf.DUMMYFUNCTION("""COMPUTED_VALUE"""),"21")</f>
        <v>21</v>
      </c>
      <c r="C1453" s="5" t="str">
        <f>IFERROR(__xludf.DUMMYFUNCTION("""COMPUTED_VALUE"""),"https://drive.google.com/file/d/1aT7Jif7I9cjTL1jKR-shjWZw5HuEOIVy/view?usp=drivesdk")</f>
        <v>https://drive.google.com/file/d/1aT7Jif7I9cjTL1jKR-shjWZw5HuEOIVy/view?usp=drivesdk</v>
      </c>
      <c r="D1453" s="12"/>
      <c r="E1453" s="11">
        <v>1510.0</v>
      </c>
      <c r="F1453" s="2"/>
    </row>
    <row r="1454" ht="1.5" customHeight="1">
      <c r="A1454" s="4" t="str">
        <f>IFERROR(__xludf.DUMMYFUNCTION("""COMPUTED_VALUE"""),"2. Twix")</f>
        <v>2. Twix</v>
      </c>
      <c r="B1454" s="4" t="str">
        <f>IFERROR(__xludf.DUMMYFUNCTION("""COMPUTED_VALUE"""),"2")</f>
        <v>2</v>
      </c>
      <c r="C1454" s="5" t="str">
        <f>IFERROR(__xludf.DUMMYFUNCTION("""COMPUTED_VALUE"""),"https://drive.google.com/file/d/1rQ8Ynt3Jt__NNB_1utUkzAI8kGvswD-a/view?usp=drivesdk")</f>
        <v>https://drive.google.com/file/d/1rQ8Ynt3Jt__NNB_1utUkzAI8kGvswD-a/view?usp=drivesdk</v>
      </c>
      <c r="D1454" s="12"/>
      <c r="E1454" s="6">
        <v>1511.0</v>
      </c>
      <c r="F1454" s="2"/>
    </row>
    <row r="1455" ht="1.5" customHeight="1">
      <c r="A1455" s="4" t="str">
        <f>IFERROR(__xludf.DUMMYFUNCTION("""COMPUTED_VALUE"""),"2. Twix")</f>
        <v>2. Twix</v>
      </c>
      <c r="B1455" s="4" t="str">
        <f>IFERROR(__xludf.DUMMYFUNCTION("""COMPUTED_VALUE"""),"2")</f>
        <v>2</v>
      </c>
      <c r="C1455" s="5" t="str">
        <f>IFERROR(__xludf.DUMMYFUNCTION("""COMPUTED_VALUE"""),"https://drive.google.com/file/d/1e1zsgQmZTh9DBWDgCoWAhIunD9a8GQB4/view?usp=drivesdk")</f>
        <v>https://drive.google.com/file/d/1e1zsgQmZTh9DBWDgCoWAhIunD9a8GQB4/view?usp=drivesdk</v>
      </c>
      <c r="D1455" s="12"/>
      <c r="E1455" s="11">
        <v>1512.0</v>
      </c>
      <c r="F1455" s="2"/>
    </row>
    <row r="1456" ht="1.5" customHeight="1">
      <c r="A1456" s="4" t="str">
        <f>IFERROR(__xludf.DUMMYFUNCTION("""COMPUTED_VALUE"""),"2. Twix")</f>
        <v>2. Twix</v>
      </c>
      <c r="B1456" s="4" t="str">
        <f>IFERROR(__xludf.DUMMYFUNCTION("""COMPUTED_VALUE"""),"2")</f>
        <v>2</v>
      </c>
      <c r="C1456" s="5" t="str">
        <f>IFERROR(__xludf.DUMMYFUNCTION("""COMPUTED_VALUE"""),"https://drive.google.com/file/d/1quum9MrOeNQLy2LeBnPyGjPZu15MEkAo/view?usp=drivesdk")</f>
        <v>https://drive.google.com/file/d/1quum9MrOeNQLy2LeBnPyGjPZu15MEkAo/view?usp=drivesdk</v>
      </c>
      <c r="D1456" s="12"/>
      <c r="E1456" s="11">
        <v>1513.0</v>
      </c>
      <c r="F1456" s="2"/>
    </row>
    <row r="1457" ht="1.5" customHeight="1">
      <c r="A1457" s="4" t="str">
        <f>IFERROR(__xludf.DUMMYFUNCTION("""COMPUTED_VALUE"""),"19. Rolo")</f>
        <v>19. Rolo</v>
      </c>
      <c r="B1457" s="4" t="str">
        <f>IFERROR(__xludf.DUMMYFUNCTION("""COMPUTED_VALUE"""),"19")</f>
        <v>19</v>
      </c>
      <c r="C1457" s="5" t="str">
        <f>IFERROR(__xludf.DUMMYFUNCTION("""COMPUTED_VALUE"""),"https://drive.google.com/file/d/1HvM8gtJICu4UmpiIVssMda2cfqxtDSwJ/view?usp=drivesdk")</f>
        <v>https://drive.google.com/file/d/1HvM8gtJICu4UmpiIVssMda2cfqxtDSwJ/view?usp=drivesdk</v>
      </c>
      <c r="D1457" s="12"/>
      <c r="E1457" s="11">
        <v>1514.0</v>
      </c>
      <c r="F1457" s="2"/>
    </row>
    <row r="1458" ht="1.5" customHeight="1">
      <c r="A1458" s="4" t="str">
        <f>IFERROR(__xludf.DUMMYFUNCTION("""COMPUTED_VALUE"""),"21. Paquini")</f>
        <v>21. Paquini</v>
      </c>
      <c r="B1458" s="4" t="str">
        <f>IFERROR(__xludf.DUMMYFUNCTION("""COMPUTED_VALUE"""),"21")</f>
        <v>21</v>
      </c>
      <c r="C1458" s="5" t="str">
        <f>IFERROR(__xludf.DUMMYFUNCTION("""COMPUTED_VALUE"""),"https://drive.google.com/file/d/197NS95Jg71astMpSSFBrAtcGx6Wz4Oav/view?usp=drivesdk")</f>
        <v>https://drive.google.com/file/d/197NS95Jg71astMpSSFBrAtcGx6Wz4Oav/view?usp=drivesdk</v>
      </c>
      <c r="D1458" s="12"/>
      <c r="E1458" s="11">
        <v>1515.0</v>
      </c>
      <c r="F1458" s="2"/>
    </row>
    <row r="1459" ht="1.5" customHeight="1">
      <c r="A1459" s="4" t="str">
        <f>IFERROR(__xludf.DUMMYFUNCTION("""COMPUTED_VALUE"""),"2. Twix")</f>
        <v>2. Twix</v>
      </c>
      <c r="B1459" s="4" t="str">
        <f>IFERROR(__xludf.DUMMYFUNCTION("""COMPUTED_VALUE"""),"2")</f>
        <v>2</v>
      </c>
      <c r="C1459" s="5" t="str">
        <f>IFERROR(__xludf.DUMMYFUNCTION("""COMPUTED_VALUE"""),"https://drive.google.com/file/d/1graB0-xx2xDLD0YkNGGM4LYPTlSBILOk/view?usp=drivesdk")</f>
        <v>https://drive.google.com/file/d/1graB0-xx2xDLD0YkNGGM4LYPTlSBILOk/view?usp=drivesdk</v>
      </c>
      <c r="D1459" s="12"/>
      <c r="E1459" s="11">
        <v>1516.0</v>
      </c>
      <c r="F1459" s="2"/>
    </row>
    <row r="1460" ht="1.5" customHeight="1">
      <c r="A1460" s="4" t="str">
        <f>IFERROR(__xludf.DUMMYFUNCTION("""COMPUTED_VALUE"""),"1. Microwave")</f>
        <v>1. Microwave</v>
      </c>
      <c r="B1460" s="4" t="str">
        <f>IFERROR(__xludf.DUMMYFUNCTION("""COMPUTED_VALUE"""),"1")</f>
        <v>1</v>
      </c>
      <c r="C1460" s="5" t="str">
        <f>IFERROR(__xludf.DUMMYFUNCTION("""COMPUTED_VALUE"""),"https://drive.google.com/file/d/1rUDELwk6AG_qwmg08M6dmqudmeXXNKES/view?usp=drivesdk")</f>
        <v>https://drive.google.com/file/d/1rUDELwk6AG_qwmg08M6dmqudmeXXNKES/view?usp=drivesdk</v>
      </c>
      <c r="D1460" s="12"/>
      <c r="E1460" s="6">
        <v>1517.0</v>
      </c>
      <c r="F1460" s="2"/>
    </row>
    <row r="1461" ht="1.5" customHeight="1">
      <c r="A1461" s="4" t="str">
        <f>IFERROR(__xludf.DUMMYFUNCTION("""COMPUTED_VALUE"""),"19. Rolo, 20. Citlali")</f>
        <v>19. Rolo, 20. Citlali</v>
      </c>
      <c r="B1461" s="4" t="str">
        <f>IFERROR(__xludf.DUMMYFUNCTION("""COMPUTED_VALUE"""),"19, 20")</f>
        <v>19, 20</v>
      </c>
      <c r="C1461" s="5" t="str">
        <f>IFERROR(__xludf.DUMMYFUNCTION("""COMPUTED_VALUE"""),"https://drive.google.com/file/d/1asqqqYpGhlHLc9pgKJ0Ofp8hl9n4CgGa/view?usp=drivesdk")</f>
        <v>https://drive.google.com/file/d/1asqqqYpGhlHLc9pgKJ0Ofp8hl9n4CgGa/view?usp=drivesdk</v>
      </c>
      <c r="D1461" s="12"/>
      <c r="E1461" s="11">
        <v>1518.0</v>
      </c>
      <c r="F1461" s="2"/>
    </row>
    <row r="1462" ht="1.5" customHeight="1">
      <c r="A1462" s="4" t="str">
        <f>IFERROR(__xludf.DUMMYFUNCTION("""COMPUTED_VALUE"""),"19. Rolo, 20. Citlali")</f>
        <v>19. Rolo, 20. Citlali</v>
      </c>
      <c r="B1462" s="4" t="str">
        <f>IFERROR(__xludf.DUMMYFUNCTION("""COMPUTED_VALUE"""),"19, 20")</f>
        <v>19, 20</v>
      </c>
      <c r="C1462" s="5" t="str">
        <f>IFERROR(__xludf.DUMMYFUNCTION("""COMPUTED_VALUE"""),"https://drive.google.com/file/d/1AwVq1Vfs55pAeZc0Jd8SgzB4_L6UNsLB/view?usp=drivesdk")</f>
        <v>https://drive.google.com/file/d/1AwVq1Vfs55pAeZc0Jd8SgzB4_L6UNsLB/view?usp=drivesdk</v>
      </c>
      <c r="D1462" s="12"/>
      <c r="E1462" s="11">
        <v>1519.0</v>
      </c>
      <c r="F1462" s="2"/>
    </row>
    <row r="1463" ht="1.5" customHeight="1">
      <c r="A1463" s="4" t="str">
        <f>IFERROR(__xludf.DUMMYFUNCTION("""COMPUTED_VALUE"""),"19. Rolo")</f>
        <v>19. Rolo</v>
      </c>
      <c r="B1463" s="4" t="str">
        <f>IFERROR(__xludf.DUMMYFUNCTION("""COMPUTED_VALUE"""),"19")</f>
        <v>19</v>
      </c>
      <c r="C1463" s="5" t="str">
        <f>IFERROR(__xludf.DUMMYFUNCTION("""COMPUTED_VALUE"""),"https://drive.google.com/file/d/1PqwK4aGRXiqpPfOqc4BE-8ueKA-QQpiT/view?usp=drivesdk")</f>
        <v>https://drive.google.com/file/d/1PqwK4aGRXiqpPfOqc4BE-8ueKA-QQpiT/view?usp=drivesdk</v>
      </c>
      <c r="D1463" s="12"/>
      <c r="E1463" s="11">
        <v>1520.0</v>
      </c>
      <c r="F1463" s="2"/>
    </row>
    <row r="1464" ht="1.5" customHeight="1">
      <c r="A1464" s="4" t="str">
        <f>IFERROR(__xludf.DUMMYFUNCTION("""COMPUTED_VALUE"""),"20. Citlali")</f>
        <v>20. Citlali</v>
      </c>
      <c r="B1464" s="4" t="str">
        <f>IFERROR(__xludf.DUMMYFUNCTION("""COMPUTED_VALUE"""),"20")</f>
        <v>20</v>
      </c>
      <c r="C1464" s="5" t="str">
        <f>IFERROR(__xludf.DUMMYFUNCTION("""COMPUTED_VALUE"""),"https://drive.google.com/file/d/1l7LCmOTPzRWr1RFo7YcoZfCbMcIVwWZR/view?usp=drivesdk")</f>
        <v>https://drive.google.com/file/d/1l7LCmOTPzRWr1RFo7YcoZfCbMcIVwWZR/view?usp=drivesdk</v>
      </c>
      <c r="D1464" s="12"/>
      <c r="E1464" s="11">
        <v>1521.0</v>
      </c>
      <c r="F1464" s="2"/>
    </row>
    <row r="1465" ht="1.5" customHeight="1">
      <c r="A1465" s="4" t="str">
        <f>IFERROR(__xludf.DUMMYFUNCTION("""COMPUTED_VALUE"""),"20. Citlali")</f>
        <v>20. Citlali</v>
      </c>
      <c r="B1465" s="4" t="str">
        <f>IFERROR(__xludf.DUMMYFUNCTION("""COMPUTED_VALUE"""),"20")</f>
        <v>20</v>
      </c>
      <c r="C1465" s="5" t="str">
        <f>IFERROR(__xludf.DUMMYFUNCTION("""COMPUTED_VALUE"""),"https://drive.google.com/file/d/1yBydr1inmG0wqyFowbOiRLoI1mNYjclV/view?usp=drivesdk")</f>
        <v>https://drive.google.com/file/d/1yBydr1inmG0wqyFowbOiRLoI1mNYjclV/view?usp=drivesdk</v>
      </c>
      <c r="D1465" s="12"/>
      <c r="E1465" s="11">
        <v>1522.0</v>
      </c>
      <c r="F1465" s="2"/>
    </row>
    <row r="1466" ht="1.5" customHeight="1">
      <c r="A1466" s="4" t="str">
        <f>IFERROR(__xludf.DUMMYFUNCTION("""COMPUTED_VALUE"""),"20. Citlali")</f>
        <v>20. Citlali</v>
      </c>
      <c r="B1466" s="4" t="str">
        <f>IFERROR(__xludf.DUMMYFUNCTION("""COMPUTED_VALUE"""),"20")</f>
        <v>20</v>
      </c>
      <c r="C1466" s="5" t="str">
        <f>IFERROR(__xludf.DUMMYFUNCTION("""COMPUTED_VALUE"""),"https://drive.google.com/file/d/13RhcH3zUrIquCuaScGXYmlzS7l5fOyVN/view?usp=drivesdk")</f>
        <v>https://drive.google.com/file/d/13RhcH3zUrIquCuaScGXYmlzS7l5fOyVN/view?usp=drivesdk</v>
      </c>
      <c r="D1466" s="12"/>
      <c r="E1466" s="6">
        <v>1523.0</v>
      </c>
      <c r="F1466" s="2"/>
    </row>
    <row r="1467" ht="1.5" customHeight="1">
      <c r="A1467" s="4" t="str">
        <f>IFERROR(__xludf.DUMMYFUNCTION("""COMPUTED_VALUE"""),"20. Citlali")</f>
        <v>20. Citlali</v>
      </c>
      <c r="B1467" s="4" t="str">
        <f>IFERROR(__xludf.DUMMYFUNCTION("""COMPUTED_VALUE"""),"20")</f>
        <v>20</v>
      </c>
      <c r="C1467" s="5" t="str">
        <f>IFERROR(__xludf.DUMMYFUNCTION("""COMPUTED_VALUE"""),"https://drive.google.com/file/d/1dUKUORfqeDWfpnBJ3xft2bs-V_oOqM1O/view?usp=drivesdk")</f>
        <v>https://drive.google.com/file/d/1dUKUORfqeDWfpnBJ3xft2bs-V_oOqM1O/view?usp=drivesdk</v>
      </c>
      <c r="D1467" s="12"/>
      <c r="E1467" s="11">
        <v>1524.0</v>
      </c>
      <c r="F1467" s="2"/>
    </row>
    <row r="1468" ht="1.5" customHeight="1">
      <c r="A1468" s="4" t="str">
        <f>IFERROR(__xludf.DUMMYFUNCTION("""COMPUTED_VALUE"""),"20. Citlali")</f>
        <v>20. Citlali</v>
      </c>
      <c r="B1468" s="4" t="str">
        <f>IFERROR(__xludf.DUMMYFUNCTION("""COMPUTED_VALUE"""),"20")</f>
        <v>20</v>
      </c>
      <c r="C1468" s="5" t="str">
        <f>IFERROR(__xludf.DUMMYFUNCTION("""COMPUTED_VALUE"""),"https://drive.google.com/file/d/1j_BHY5GbeCZMqLS3nc9jwITDJlu_zMhl/view?usp=drivesdk")</f>
        <v>https://drive.google.com/file/d/1j_BHY5GbeCZMqLS3nc9jwITDJlu_zMhl/view?usp=drivesdk</v>
      </c>
      <c r="D1468" s="12"/>
      <c r="E1468" s="11">
        <v>1525.0</v>
      </c>
      <c r="F1468" s="2"/>
    </row>
    <row r="1469" ht="1.5" customHeight="1">
      <c r="A1469" s="4" t="str">
        <f>IFERROR(__xludf.DUMMYFUNCTION("""COMPUTED_VALUE"""),"20. Citlali")</f>
        <v>20. Citlali</v>
      </c>
      <c r="B1469" s="4" t="str">
        <f>IFERROR(__xludf.DUMMYFUNCTION("""COMPUTED_VALUE"""),"20")</f>
        <v>20</v>
      </c>
      <c r="C1469" s="5" t="str">
        <f>IFERROR(__xludf.DUMMYFUNCTION("""COMPUTED_VALUE"""),"https://drive.google.com/file/d/10qqQAJD7b8s_wx0bBWB9HxpwF1_-6d8d/view?usp=drivesdk")</f>
        <v>https://drive.google.com/file/d/10qqQAJD7b8s_wx0bBWB9HxpwF1_-6d8d/view?usp=drivesdk</v>
      </c>
      <c r="D1469" s="12"/>
      <c r="E1469" s="11">
        <v>1526.0</v>
      </c>
      <c r="F1469" s="2"/>
    </row>
    <row r="1470" ht="1.5" customHeight="1">
      <c r="A1470" s="4" t="str">
        <f>IFERROR(__xludf.DUMMYFUNCTION("""COMPUTED_VALUE"""),"20. Citlali, 19. Rolo")</f>
        <v>20. Citlali, 19. Rolo</v>
      </c>
      <c r="B1470" s="4" t="str">
        <f>IFERROR(__xludf.DUMMYFUNCTION("""COMPUTED_VALUE"""),"20, 19")</f>
        <v>20, 19</v>
      </c>
      <c r="C1470" s="5" t="str">
        <f>IFERROR(__xludf.DUMMYFUNCTION("""COMPUTED_VALUE"""),"https://drive.google.com/file/d/1PmJI5BScL8v6FzJVT-Br1wHd7yIEBfoF/view?usp=drivesdk")</f>
        <v>https://drive.google.com/file/d/1PmJI5BScL8v6FzJVT-Br1wHd7yIEBfoF/view?usp=drivesdk</v>
      </c>
      <c r="D1470" s="12"/>
      <c r="E1470" s="11">
        <v>1527.0</v>
      </c>
      <c r="F1470" s="2"/>
    </row>
    <row r="1471" ht="1.5" customHeight="1">
      <c r="A1471" s="4" t="str">
        <f>IFERROR(__xludf.DUMMYFUNCTION("""COMPUTED_VALUE"""),"20. Citlali")</f>
        <v>20. Citlali</v>
      </c>
      <c r="B1471" s="4" t="str">
        <f>IFERROR(__xludf.DUMMYFUNCTION("""COMPUTED_VALUE"""),"20")</f>
        <v>20</v>
      </c>
      <c r="C1471" s="5" t="str">
        <f>IFERROR(__xludf.DUMMYFUNCTION("""COMPUTED_VALUE"""),"https://drive.google.com/file/d/1tIvSPX3gT2RdmMVSyF5dWae2IGlypOsU/view?usp=drivesdk")</f>
        <v>https://drive.google.com/file/d/1tIvSPX3gT2RdmMVSyF5dWae2IGlypOsU/view?usp=drivesdk</v>
      </c>
      <c r="D1471" s="12"/>
      <c r="E1471" s="11">
        <v>1528.0</v>
      </c>
      <c r="F1471" s="2"/>
    </row>
    <row r="1472" ht="1.5" customHeight="1">
      <c r="A1472" s="4" t="str">
        <f>IFERROR(__xludf.DUMMYFUNCTION("""COMPUTED_VALUE"""),"20. Citlali")</f>
        <v>20. Citlali</v>
      </c>
      <c r="B1472" s="4" t="str">
        <f>IFERROR(__xludf.DUMMYFUNCTION("""COMPUTED_VALUE"""),"20")</f>
        <v>20</v>
      </c>
      <c r="C1472" s="5" t="str">
        <f>IFERROR(__xludf.DUMMYFUNCTION("""COMPUTED_VALUE"""),"https://drive.google.com/file/d/154M_gMXGykNvEHoiFd20zJrH_wOrPK-2/view?usp=drivesdk")</f>
        <v>https://drive.google.com/file/d/154M_gMXGykNvEHoiFd20zJrH_wOrPK-2/view?usp=drivesdk</v>
      </c>
      <c r="D1472" s="12"/>
      <c r="E1472" s="6">
        <v>1529.0</v>
      </c>
      <c r="F1472" s="2"/>
    </row>
    <row r="1473" ht="1.5" customHeight="1">
      <c r="A1473" s="4" t="str">
        <f>IFERROR(__xludf.DUMMYFUNCTION("""COMPUTED_VALUE"""),"20. Citlali")</f>
        <v>20. Citlali</v>
      </c>
      <c r="B1473" s="4" t="str">
        <f>IFERROR(__xludf.DUMMYFUNCTION("""COMPUTED_VALUE"""),"20")</f>
        <v>20</v>
      </c>
      <c r="C1473" s="5" t="str">
        <f>IFERROR(__xludf.DUMMYFUNCTION("""COMPUTED_VALUE"""),"https://drive.google.com/file/d/1QOqtb2rEsXlmkal-mGO5Wig99DOkeY9c/view?usp=drivesdk")</f>
        <v>https://drive.google.com/file/d/1QOqtb2rEsXlmkal-mGO5Wig99DOkeY9c/view?usp=drivesdk</v>
      </c>
      <c r="D1473" s="12"/>
      <c r="E1473" s="11">
        <v>1530.0</v>
      </c>
      <c r="F1473" s="2"/>
    </row>
    <row r="1474" ht="1.5" customHeight="1">
      <c r="A1474" s="4" t="str">
        <f>IFERROR(__xludf.DUMMYFUNCTION("""COMPUTED_VALUE"""),"20. Citlali")</f>
        <v>20. Citlali</v>
      </c>
      <c r="B1474" s="4" t="str">
        <f>IFERROR(__xludf.DUMMYFUNCTION("""COMPUTED_VALUE"""),"20")</f>
        <v>20</v>
      </c>
      <c r="C1474" s="5" t="str">
        <f>IFERROR(__xludf.DUMMYFUNCTION("""COMPUTED_VALUE"""),"https://drive.google.com/file/d/1XeMesQQwOTcT746hushp4i2izXOXZw07/view?usp=drivesdk")</f>
        <v>https://drive.google.com/file/d/1XeMesQQwOTcT746hushp4i2izXOXZw07/view?usp=drivesdk</v>
      </c>
      <c r="D1474" s="12"/>
      <c r="E1474" s="11">
        <v>1531.0</v>
      </c>
      <c r="F1474" s="2"/>
    </row>
    <row r="1475" ht="1.5" customHeight="1">
      <c r="A1475" s="4" t="str">
        <f>IFERROR(__xludf.DUMMYFUNCTION("""COMPUTED_VALUE"""),"20. Citlali")</f>
        <v>20. Citlali</v>
      </c>
      <c r="B1475" s="4" t="str">
        <f>IFERROR(__xludf.DUMMYFUNCTION("""COMPUTED_VALUE"""),"20")</f>
        <v>20</v>
      </c>
      <c r="C1475" s="5" t="str">
        <f>IFERROR(__xludf.DUMMYFUNCTION("""COMPUTED_VALUE"""),"https://drive.google.com/file/d/1YGXN3yPpC4E8rEr58dCGRJU6ewvQ52Ey/view?usp=drivesdk")</f>
        <v>https://drive.google.com/file/d/1YGXN3yPpC4E8rEr58dCGRJU6ewvQ52Ey/view?usp=drivesdk</v>
      </c>
      <c r="D1475" s="12"/>
      <c r="E1475" s="11">
        <v>1532.0</v>
      </c>
      <c r="F1475" s="2"/>
    </row>
    <row r="1476" ht="1.5" customHeight="1">
      <c r="A1476" s="4" t="str">
        <f>IFERROR(__xludf.DUMMYFUNCTION("""COMPUTED_VALUE"""),"20. Citlali")</f>
        <v>20. Citlali</v>
      </c>
      <c r="B1476" s="4" t="str">
        <f>IFERROR(__xludf.DUMMYFUNCTION("""COMPUTED_VALUE"""),"20")</f>
        <v>20</v>
      </c>
      <c r="C1476" s="5" t="str">
        <f>IFERROR(__xludf.DUMMYFUNCTION("""COMPUTED_VALUE"""),"https://drive.google.com/file/d/1NXK6t0ddC6YEDR0HWE24iBMzP8yDMowU/view?usp=drivesdk")</f>
        <v>https://drive.google.com/file/d/1NXK6t0ddC6YEDR0HWE24iBMzP8yDMowU/view?usp=drivesdk</v>
      </c>
      <c r="D1476" s="12"/>
      <c r="E1476" s="11">
        <v>1533.0</v>
      </c>
      <c r="F1476" s="2"/>
    </row>
    <row r="1477" ht="1.5" customHeight="1">
      <c r="A1477" s="4" t="str">
        <f>IFERROR(__xludf.DUMMYFUNCTION("""COMPUTED_VALUE"""),"20. Citlali")</f>
        <v>20. Citlali</v>
      </c>
      <c r="B1477" s="4" t="str">
        <f>IFERROR(__xludf.DUMMYFUNCTION("""COMPUTED_VALUE"""),"20")</f>
        <v>20</v>
      </c>
      <c r="C1477" s="5" t="str">
        <f>IFERROR(__xludf.DUMMYFUNCTION("""COMPUTED_VALUE"""),"https://drive.google.com/file/d/1V3izR-bfp4xfjtYSHAkCsIi1nKzHcA9w/view?usp=drivesdk")</f>
        <v>https://drive.google.com/file/d/1V3izR-bfp4xfjtYSHAkCsIi1nKzHcA9w/view?usp=drivesdk</v>
      </c>
      <c r="D1477" s="12"/>
      <c r="E1477" s="11">
        <v>1534.0</v>
      </c>
      <c r="F1477" s="2"/>
    </row>
    <row r="1478" ht="1.5" customHeight="1">
      <c r="A1478" s="4" t="str">
        <f>IFERROR(__xludf.DUMMYFUNCTION("""COMPUTED_VALUE"""),"2. Twix")</f>
        <v>2. Twix</v>
      </c>
      <c r="B1478" s="4" t="str">
        <f>IFERROR(__xludf.DUMMYFUNCTION("""COMPUTED_VALUE"""),"2")</f>
        <v>2</v>
      </c>
      <c r="C1478" s="5" t="str">
        <f>IFERROR(__xludf.DUMMYFUNCTION("""COMPUTED_VALUE"""),"https://drive.google.com/file/d/1SXSk2mXk12ZvNJRINo43Hc7SWB1pWUnc/view?usp=drivesdk")</f>
        <v>https://drive.google.com/file/d/1SXSk2mXk12ZvNJRINo43Hc7SWB1pWUnc/view?usp=drivesdk</v>
      </c>
      <c r="D1478" s="12"/>
      <c r="E1478" s="6">
        <v>1535.0</v>
      </c>
      <c r="F1478" s="2"/>
    </row>
    <row r="1479" ht="1.5" customHeight="1">
      <c r="A1479" s="4" t="str">
        <f>IFERROR(__xludf.DUMMYFUNCTION("""COMPUTED_VALUE"""),"2. Twix")</f>
        <v>2. Twix</v>
      </c>
      <c r="B1479" s="4" t="str">
        <f>IFERROR(__xludf.DUMMYFUNCTION("""COMPUTED_VALUE"""),"2")</f>
        <v>2</v>
      </c>
      <c r="C1479" s="5" t="str">
        <f>IFERROR(__xludf.DUMMYFUNCTION("""COMPUTED_VALUE"""),"https://drive.google.com/file/d/1MptuK1Kpn9hw5PaRRe3Pes4uuhaCoBJV/view?usp=drivesdk")</f>
        <v>https://drive.google.com/file/d/1MptuK1Kpn9hw5PaRRe3Pes4uuhaCoBJV/view?usp=drivesdk</v>
      </c>
      <c r="D1479" s="12"/>
      <c r="E1479" s="11">
        <v>1536.0</v>
      </c>
      <c r="F1479" s="2"/>
    </row>
    <row r="1480" ht="1.5" customHeight="1">
      <c r="A1480" s="4" t="str">
        <f>IFERROR(__xludf.DUMMYFUNCTION("""COMPUTED_VALUE"""),"20. Citlali")</f>
        <v>20. Citlali</v>
      </c>
      <c r="B1480" s="4" t="str">
        <f>IFERROR(__xludf.DUMMYFUNCTION("""COMPUTED_VALUE"""),"20")</f>
        <v>20</v>
      </c>
      <c r="C1480" s="5" t="str">
        <f>IFERROR(__xludf.DUMMYFUNCTION("""COMPUTED_VALUE"""),"https://drive.google.com/file/d/13M9gUhcQ2VyQpq_YMTOw6Ac_42WJq2fv/view?usp=drivesdk")</f>
        <v>https://drive.google.com/file/d/13M9gUhcQ2VyQpq_YMTOw6Ac_42WJq2fv/view?usp=drivesdk</v>
      </c>
      <c r="D1480" s="12"/>
      <c r="E1480" s="11">
        <v>1537.0</v>
      </c>
      <c r="F1480" s="2"/>
    </row>
    <row r="1481" ht="1.5" customHeight="1">
      <c r="A1481" s="4" t="str">
        <f>IFERROR(__xludf.DUMMYFUNCTION("""COMPUTED_VALUE"""),"21. Paquini")</f>
        <v>21. Paquini</v>
      </c>
      <c r="B1481" s="4" t="str">
        <f>IFERROR(__xludf.DUMMYFUNCTION("""COMPUTED_VALUE"""),"21")</f>
        <v>21</v>
      </c>
      <c r="C1481" s="5" t="str">
        <f>IFERROR(__xludf.DUMMYFUNCTION("""COMPUTED_VALUE"""),"https://drive.google.com/file/d/1FJlAd1TC-vxeREsMiQ0LBZiGijEbHJdO/view?usp=drivesdk")</f>
        <v>https://drive.google.com/file/d/1FJlAd1TC-vxeREsMiQ0LBZiGijEbHJdO/view?usp=drivesdk</v>
      </c>
      <c r="D1481" s="12"/>
      <c r="E1481" s="11">
        <v>1538.0</v>
      </c>
      <c r="F1481" s="2"/>
    </row>
    <row r="1482" ht="1.5" customHeight="1">
      <c r="A1482" s="4" t="str">
        <f>IFERROR(__xludf.DUMMYFUNCTION("""COMPUTED_VALUE"""),"21. Paquini")</f>
        <v>21. Paquini</v>
      </c>
      <c r="B1482" s="4" t="str">
        <f>IFERROR(__xludf.DUMMYFUNCTION("""COMPUTED_VALUE"""),"21")</f>
        <v>21</v>
      </c>
      <c r="C1482" s="5" t="str">
        <f>IFERROR(__xludf.DUMMYFUNCTION("""COMPUTED_VALUE"""),"https://drive.google.com/file/d/1zJ2S5AFpU3KnOIDDsQzg4fZp5GmojJ38/view?usp=drivesdk")</f>
        <v>https://drive.google.com/file/d/1zJ2S5AFpU3KnOIDDsQzg4fZp5GmojJ38/view?usp=drivesdk</v>
      </c>
      <c r="D1482" s="12"/>
      <c r="E1482" s="11">
        <v>1539.0</v>
      </c>
      <c r="F1482" s="2"/>
    </row>
    <row r="1483" ht="1.5" customHeight="1">
      <c r="A1483" s="4" t="str">
        <f>IFERROR(__xludf.DUMMYFUNCTION("""COMPUTED_VALUE"""),"21. Paquini")</f>
        <v>21. Paquini</v>
      </c>
      <c r="B1483" s="4" t="str">
        <f>IFERROR(__xludf.DUMMYFUNCTION("""COMPUTED_VALUE"""),"21")</f>
        <v>21</v>
      </c>
      <c r="C1483" s="5" t="str">
        <f>IFERROR(__xludf.DUMMYFUNCTION("""COMPUTED_VALUE"""),"https://drive.google.com/file/d/1eLFqkJSJue2BPBIwTCwkRRhSQIeTBnuF/view?usp=drivesdk")</f>
        <v>https://drive.google.com/file/d/1eLFqkJSJue2BPBIwTCwkRRhSQIeTBnuF/view?usp=drivesdk</v>
      </c>
      <c r="D1483" s="12"/>
      <c r="E1483" s="11">
        <v>1540.0</v>
      </c>
      <c r="F1483" s="2"/>
    </row>
    <row r="1484" ht="1.5" customHeight="1">
      <c r="A1484" s="4" t="str">
        <f>IFERROR(__xludf.DUMMYFUNCTION("""COMPUTED_VALUE"""),"21. Paquini")</f>
        <v>21. Paquini</v>
      </c>
      <c r="B1484" s="4" t="str">
        <f>IFERROR(__xludf.DUMMYFUNCTION("""COMPUTED_VALUE"""),"21")</f>
        <v>21</v>
      </c>
      <c r="C1484" s="5" t="str">
        <f>IFERROR(__xludf.DUMMYFUNCTION("""COMPUTED_VALUE"""),"https://drive.google.com/file/d/1l91TkakHLVI8Qkji2H2N8VyWsji_U-oA/view?usp=drivesdk")</f>
        <v>https://drive.google.com/file/d/1l91TkakHLVI8Qkji2H2N8VyWsji_U-oA/view?usp=drivesdk</v>
      </c>
      <c r="D1484" s="12"/>
      <c r="E1484" s="6">
        <v>1541.0</v>
      </c>
      <c r="F1484" s="2"/>
    </row>
    <row r="1485" ht="1.5" customHeight="1">
      <c r="A1485" s="4" t="str">
        <f>IFERROR(__xludf.DUMMYFUNCTION("""COMPUTED_VALUE"""),"21. Paquini")</f>
        <v>21. Paquini</v>
      </c>
      <c r="B1485" s="4" t="str">
        <f>IFERROR(__xludf.DUMMYFUNCTION("""COMPUTED_VALUE"""),"21")</f>
        <v>21</v>
      </c>
      <c r="C1485" s="5" t="str">
        <f>IFERROR(__xludf.DUMMYFUNCTION("""COMPUTED_VALUE"""),"https://drive.google.com/file/d/1fTlwGLMJAWDqvD6WTK3NProEP82WXzDM/view?usp=drivesdk")</f>
        <v>https://drive.google.com/file/d/1fTlwGLMJAWDqvD6WTK3NProEP82WXzDM/view?usp=drivesdk</v>
      </c>
      <c r="D1485" s="12"/>
      <c r="E1485" s="11">
        <v>1542.0</v>
      </c>
      <c r="F1485" s="2"/>
    </row>
    <row r="1486" ht="1.5" customHeight="1">
      <c r="A1486" s="4" t="str">
        <f>IFERROR(__xludf.DUMMYFUNCTION("""COMPUTED_VALUE"""),"1. Microwave")</f>
        <v>1. Microwave</v>
      </c>
      <c r="B1486" s="4" t="str">
        <f>IFERROR(__xludf.DUMMYFUNCTION("""COMPUTED_VALUE"""),"1")</f>
        <v>1</v>
      </c>
      <c r="C1486" s="5" t="str">
        <f>IFERROR(__xludf.DUMMYFUNCTION("""COMPUTED_VALUE"""),"https://drive.google.com/file/d/1R2yg83QRMwZep55mEi3KPV9E_SwJsBLg/view?usp=drivesdk")</f>
        <v>https://drive.google.com/file/d/1R2yg83QRMwZep55mEi3KPV9E_SwJsBLg/view?usp=drivesdk</v>
      </c>
      <c r="D1486" s="12"/>
      <c r="E1486" s="11">
        <v>1543.0</v>
      </c>
      <c r="F1486" s="2"/>
    </row>
    <row r="1487" ht="1.5" customHeight="1">
      <c r="A1487" s="4" t="str">
        <f>IFERROR(__xludf.DUMMYFUNCTION("""COMPUTED_VALUE"""),"1. Microwave")</f>
        <v>1. Microwave</v>
      </c>
      <c r="B1487" s="4" t="str">
        <f>IFERROR(__xludf.DUMMYFUNCTION("""COMPUTED_VALUE"""),"1")</f>
        <v>1</v>
      </c>
      <c r="C1487" s="5" t="str">
        <f>IFERROR(__xludf.DUMMYFUNCTION("""COMPUTED_VALUE"""),"https://drive.google.com/file/d/1Y_0E9f-cP9R_o0CaruCmBniDJKAg38Jr/view?usp=drivesdk")</f>
        <v>https://drive.google.com/file/d/1Y_0E9f-cP9R_o0CaruCmBniDJKAg38Jr/view?usp=drivesdk</v>
      </c>
      <c r="D1487" s="12"/>
      <c r="E1487" s="11">
        <v>1544.0</v>
      </c>
      <c r="F1487" s="2"/>
    </row>
    <row r="1488" ht="1.5" customHeight="1">
      <c r="A1488" s="4" t="str">
        <f>IFERROR(__xludf.DUMMYFUNCTION("""COMPUTED_VALUE"""),"5. Eraser")</f>
        <v>5. Eraser</v>
      </c>
      <c r="B1488" s="4" t="str">
        <f>IFERROR(__xludf.DUMMYFUNCTION("""COMPUTED_VALUE"""),"5")</f>
        <v>5</v>
      </c>
      <c r="C1488" s="5" t="str">
        <f>IFERROR(__xludf.DUMMYFUNCTION("""COMPUTED_VALUE"""),"https://drive.google.com/file/d/1o0RxLKAYnnMWcB85jaV1AtDQkPPRl2oA/view?usp=drivesdk")</f>
        <v>https://drive.google.com/file/d/1o0RxLKAYnnMWcB85jaV1AtDQkPPRl2oA/view?usp=drivesdk</v>
      </c>
      <c r="D1488" s="12"/>
      <c r="E1488" s="11">
        <v>1545.0</v>
      </c>
      <c r="F1488" s="2"/>
    </row>
    <row r="1489" ht="1.5" customHeight="1">
      <c r="A1489" s="4" t="str">
        <f>IFERROR(__xludf.DUMMYFUNCTION("""COMPUTED_VALUE"""),"2. Twix")</f>
        <v>2. Twix</v>
      </c>
      <c r="B1489" s="4" t="str">
        <f>IFERROR(__xludf.DUMMYFUNCTION("""COMPUTED_VALUE"""),"2")</f>
        <v>2</v>
      </c>
      <c r="C1489" s="5" t="str">
        <f>IFERROR(__xludf.DUMMYFUNCTION("""COMPUTED_VALUE"""),"https://drive.google.com/file/d/13UlL8qmxyv6Sr9917NfGw5-gP0eXaYUc/view?usp=drivesdk")</f>
        <v>https://drive.google.com/file/d/13UlL8qmxyv6Sr9917NfGw5-gP0eXaYUc/view?usp=drivesdk</v>
      </c>
      <c r="D1489" s="12"/>
      <c r="E1489" s="11">
        <v>1546.0</v>
      </c>
      <c r="F1489" s="2"/>
    </row>
    <row r="1490" ht="1.5" customHeight="1">
      <c r="A1490" s="4" t="str">
        <f>IFERROR(__xludf.DUMMYFUNCTION("""COMPUTED_VALUE"""),"2. Twix")</f>
        <v>2. Twix</v>
      </c>
      <c r="B1490" s="4" t="str">
        <f>IFERROR(__xludf.DUMMYFUNCTION("""COMPUTED_VALUE"""),"2")</f>
        <v>2</v>
      </c>
      <c r="C1490" s="5" t="str">
        <f>IFERROR(__xludf.DUMMYFUNCTION("""COMPUTED_VALUE"""),"https://drive.google.com/file/d/13OdbCAyq_aqDZmb9L3PRNEtzLHpdZkYk/view?usp=drivesdk")</f>
        <v>https://drive.google.com/file/d/13OdbCAyq_aqDZmb9L3PRNEtzLHpdZkYk/view?usp=drivesdk</v>
      </c>
      <c r="D1490" s="12"/>
      <c r="E1490" s="6">
        <v>1547.0</v>
      </c>
      <c r="F1490" s="2"/>
    </row>
    <row r="1491" ht="1.5" customHeight="1">
      <c r="A1491" s="4" t="str">
        <f>IFERROR(__xludf.DUMMYFUNCTION("""COMPUTED_VALUE"""),"2. Twix")</f>
        <v>2. Twix</v>
      </c>
      <c r="B1491" s="4" t="str">
        <f>IFERROR(__xludf.DUMMYFUNCTION("""COMPUTED_VALUE"""),"2")</f>
        <v>2</v>
      </c>
      <c r="C1491" s="5" t="str">
        <f>IFERROR(__xludf.DUMMYFUNCTION("""COMPUTED_VALUE"""),"https://drive.google.com/file/d/1PLxPlc4afbuogfNmXS-aWqhp-yaS2U6o/view?usp=drivesdk")</f>
        <v>https://drive.google.com/file/d/1PLxPlc4afbuogfNmXS-aWqhp-yaS2U6o/view?usp=drivesdk</v>
      </c>
      <c r="D1491" s="12"/>
      <c r="E1491" s="11">
        <v>1548.0</v>
      </c>
      <c r="F1491" s="2"/>
    </row>
    <row r="1492" ht="1.5" customHeight="1">
      <c r="A1492" s="4" t="str">
        <f>IFERROR(__xludf.DUMMYFUNCTION("""COMPUTED_VALUE"""),"2. Twix")</f>
        <v>2. Twix</v>
      </c>
      <c r="B1492" s="4" t="str">
        <f>IFERROR(__xludf.DUMMYFUNCTION("""COMPUTED_VALUE"""),"2")</f>
        <v>2</v>
      </c>
      <c r="C1492" s="5" t="str">
        <f>IFERROR(__xludf.DUMMYFUNCTION("""COMPUTED_VALUE"""),"https://drive.google.com/file/d/1K56GAcWvIrU4TsVuE5TuVsW0WZO-urnT/view?usp=drivesdk")</f>
        <v>https://drive.google.com/file/d/1K56GAcWvIrU4TsVuE5TuVsW0WZO-urnT/view?usp=drivesdk</v>
      </c>
      <c r="D1492" s="12"/>
      <c r="E1492" s="11">
        <v>1549.0</v>
      </c>
      <c r="F1492" s="2"/>
    </row>
    <row r="1493" ht="1.5" customHeight="1">
      <c r="A1493" s="4" t="str">
        <f>IFERROR(__xludf.DUMMYFUNCTION("""COMPUTED_VALUE"""),"2. Twix")</f>
        <v>2. Twix</v>
      </c>
      <c r="B1493" s="4" t="str">
        <f>IFERROR(__xludf.DUMMYFUNCTION("""COMPUTED_VALUE"""),"2")</f>
        <v>2</v>
      </c>
      <c r="C1493" s="5" t="str">
        <f>IFERROR(__xludf.DUMMYFUNCTION("""COMPUTED_VALUE"""),"https://drive.google.com/file/d/1Zq2jXA0BlDf6-Ph1h3vQiwc0BcXbalOP/view?usp=drivesdk")</f>
        <v>https://drive.google.com/file/d/1Zq2jXA0BlDf6-Ph1h3vQiwc0BcXbalOP/view?usp=drivesdk</v>
      </c>
      <c r="D1493" s="12"/>
      <c r="E1493" s="11">
        <v>1550.0</v>
      </c>
      <c r="F1493" s="2"/>
    </row>
    <row r="1494" ht="1.5" customHeight="1">
      <c r="A1494" s="4" t="str">
        <f>IFERROR(__xludf.DUMMYFUNCTION("""COMPUTED_VALUE"""),"2. Twix")</f>
        <v>2. Twix</v>
      </c>
      <c r="B1494" s="4" t="str">
        <f>IFERROR(__xludf.DUMMYFUNCTION("""COMPUTED_VALUE"""),"2")</f>
        <v>2</v>
      </c>
      <c r="C1494" s="5" t="str">
        <f>IFERROR(__xludf.DUMMYFUNCTION("""COMPUTED_VALUE"""),"https://drive.google.com/file/d/1mFMf9zl2fuAh451CcDwnF_c993mCgZFq/view?usp=drivesdk")</f>
        <v>https://drive.google.com/file/d/1mFMf9zl2fuAh451CcDwnF_c993mCgZFq/view?usp=drivesdk</v>
      </c>
      <c r="D1494" s="12"/>
      <c r="E1494" s="11">
        <v>1551.0</v>
      </c>
      <c r="F1494" s="2"/>
    </row>
    <row r="1495" ht="1.5" customHeight="1">
      <c r="A1495" s="4" t="str">
        <f>IFERROR(__xludf.DUMMYFUNCTION("""COMPUTED_VALUE"""),"2. Twix")</f>
        <v>2. Twix</v>
      </c>
      <c r="B1495" s="4" t="str">
        <f>IFERROR(__xludf.DUMMYFUNCTION("""COMPUTED_VALUE"""),"2")</f>
        <v>2</v>
      </c>
      <c r="C1495" s="5" t="str">
        <f>IFERROR(__xludf.DUMMYFUNCTION("""COMPUTED_VALUE"""),"https://drive.google.com/file/d/10ZjQVUR4Q3ZSk6tmF0ATLhekMWKS00xJ/view?usp=drivesdk")</f>
        <v>https://drive.google.com/file/d/10ZjQVUR4Q3ZSk6tmF0ATLhekMWKS00xJ/view?usp=drivesdk</v>
      </c>
      <c r="D1495" s="12"/>
      <c r="E1495" s="11">
        <v>1552.0</v>
      </c>
      <c r="F1495" s="2"/>
    </row>
    <row r="1496" ht="1.5" customHeight="1">
      <c r="A1496" s="4" t="str">
        <f>IFERROR(__xludf.DUMMYFUNCTION("""COMPUTED_VALUE"""),"2. Twix")</f>
        <v>2. Twix</v>
      </c>
      <c r="B1496" s="4" t="str">
        <f>IFERROR(__xludf.DUMMYFUNCTION("""COMPUTED_VALUE"""),"2")</f>
        <v>2</v>
      </c>
      <c r="C1496" s="5" t="str">
        <f>IFERROR(__xludf.DUMMYFUNCTION("""COMPUTED_VALUE"""),"https://drive.google.com/file/d/1Cx1s9KyjlVSPmPsmW_F7kcaM_0Hhga-l/view?usp=drivesdk")</f>
        <v>https://drive.google.com/file/d/1Cx1s9KyjlVSPmPsmW_F7kcaM_0Hhga-l/view?usp=drivesdk</v>
      </c>
      <c r="D1496" s="12"/>
      <c r="E1496" s="6">
        <v>1553.0</v>
      </c>
      <c r="F1496" s="2"/>
    </row>
    <row r="1497" ht="1.5" customHeight="1">
      <c r="A1497" s="4" t="str">
        <f>IFERROR(__xludf.DUMMYFUNCTION("""COMPUTED_VALUE"""),"2. Twix")</f>
        <v>2. Twix</v>
      </c>
      <c r="B1497" s="4" t="str">
        <f>IFERROR(__xludf.DUMMYFUNCTION("""COMPUTED_VALUE"""),"2")</f>
        <v>2</v>
      </c>
      <c r="C1497" s="5" t="str">
        <f>IFERROR(__xludf.DUMMYFUNCTION("""COMPUTED_VALUE"""),"https://drive.google.com/file/d/1sWtN_GwgHnUMw3YOw9ToE-jv_xeAjKsA/view?usp=drivesdk")</f>
        <v>https://drive.google.com/file/d/1sWtN_GwgHnUMw3YOw9ToE-jv_xeAjKsA/view?usp=drivesdk</v>
      </c>
      <c r="D1497" s="12"/>
      <c r="E1497" s="11">
        <v>1554.0</v>
      </c>
      <c r="F1497" s="2"/>
    </row>
    <row r="1498" ht="1.5" customHeight="1">
      <c r="A1498" s="4" t="str">
        <f>IFERROR(__xludf.DUMMYFUNCTION("""COMPUTED_VALUE"""),"5. Eraser")</f>
        <v>5. Eraser</v>
      </c>
      <c r="B1498" s="4" t="str">
        <f>IFERROR(__xludf.DUMMYFUNCTION("""COMPUTED_VALUE"""),"5")</f>
        <v>5</v>
      </c>
      <c r="C1498" s="5" t="str">
        <f>IFERROR(__xludf.DUMMYFUNCTION("""COMPUTED_VALUE"""),"https://drive.google.com/file/d/1x_Cl6yJsUJHCUo2m0Jcy3VMyIxPss2rN/view?usp=drivesdk")</f>
        <v>https://drive.google.com/file/d/1x_Cl6yJsUJHCUo2m0Jcy3VMyIxPss2rN/view?usp=drivesdk</v>
      </c>
      <c r="D1498" s="12"/>
      <c r="E1498" s="11">
        <v>1555.0</v>
      </c>
      <c r="F1498" s="2"/>
    </row>
    <row r="1499" ht="1.5" customHeight="1">
      <c r="A1499" s="4" t="str">
        <f>IFERROR(__xludf.DUMMYFUNCTION("""COMPUTED_VALUE"""),"2. Twix")</f>
        <v>2. Twix</v>
      </c>
      <c r="B1499" s="4" t="str">
        <f>IFERROR(__xludf.DUMMYFUNCTION("""COMPUTED_VALUE"""),"2")</f>
        <v>2</v>
      </c>
      <c r="C1499" s="5" t="str">
        <f>IFERROR(__xludf.DUMMYFUNCTION("""COMPUTED_VALUE"""),"https://drive.google.com/file/d/1M39tpEGHLfnbRB6989ZxdZC9l80iWXhb/view?usp=drivesdk")</f>
        <v>https://drive.google.com/file/d/1M39tpEGHLfnbRB6989ZxdZC9l80iWXhb/view?usp=drivesdk</v>
      </c>
      <c r="D1499" s="12"/>
      <c r="E1499" s="11">
        <v>1556.0</v>
      </c>
      <c r="F1499" s="2"/>
    </row>
    <row r="1500" ht="1.5" customHeight="1">
      <c r="A1500" s="4" t="str">
        <f>IFERROR(__xludf.DUMMYFUNCTION("""COMPUTED_VALUE"""),"2. Twix")</f>
        <v>2. Twix</v>
      </c>
      <c r="B1500" s="4" t="str">
        <f>IFERROR(__xludf.DUMMYFUNCTION("""COMPUTED_VALUE"""),"2")</f>
        <v>2</v>
      </c>
      <c r="C1500" s="5" t="str">
        <f>IFERROR(__xludf.DUMMYFUNCTION("""COMPUTED_VALUE"""),"https://drive.google.com/file/d/1q0uS6fWoCb9-Z3O8h1QeAWdaIvDXh-SB/view?usp=drivesdk")</f>
        <v>https://drive.google.com/file/d/1q0uS6fWoCb9-Z3O8h1QeAWdaIvDXh-SB/view?usp=drivesdk</v>
      </c>
      <c r="D1500" s="12"/>
      <c r="E1500" s="11">
        <v>1557.0</v>
      </c>
      <c r="F1500" s="2"/>
    </row>
    <row r="1501" ht="1.5" customHeight="1">
      <c r="A1501" s="4" t="str">
        <f>IFERROR(__xludf.DUMMYFUNCTION("""COMPUTED_VALUE"""),"0. NotACat")</f>
        <v>0. NotACat</v>
      </c>
      <c r="B1501" s="4" t="str">
        <f>IFERROR(__xludf.DUMMYFUNCTION("""COMPUTED_VALUE"""),"0")</f>
        <v>0</v>
      </c>
      <c r="C1501" s="5" t="str">
        <f>IFERROR(__xludf.DUMMYFUNCTION("""COMPUTED_VALUE"""),"https://drive.google.com/file/d/1jI4UjpXJ70XS1h6uOE-kF4FNjglBTYum/view?usp=drivesdk")</f>
        <v>https://drive.google.com/file/d/1jI4UjpXJ70XS1h6uOE-kF4FNjglBTYum/view?usp=drivesdk</v>
      </c>
      <c r="D1501" s="12"/>
      <c r="E1501" s="11">
        <v>1558.0</v>
      </c>
      <c r="F1501" s="2"/>
    </row>
    <row r="1502" ht="1.5" customHeight="1">
      <c r="A1502" s="4" t="str">
        <f>IFERROR(__xludf.DUMMYFUNCTION("""COMPUTED_VALUE"""),"1. Microwave")</f>
        <v>1. Microwave</v>
      </c>
      <c r="B1502" s="4" t="str">
        <f>IFERROR(__xludf.DUMMYFUNCTION("""COMPUTED_VALUE"""),"1")</f>
        <v>1</v>
      </c>
      <c r="C1502" s="5" t="str">
        <f>IFERROR(__xludf.DUMMYFUNCTION("""COMPUTED_VALUE"""),"https://drive.google.com/file/d/1EORgJOEQVwEyDS8TzNuiT6QmmYGQGZwI/view?usp=drivesdk")</f>
        <v>https://drive.google.com/file/d/1EORgJOEQVwEyDS8TzNuiT6QmmYGQGZwI/view?usp=drivesdk</v>
      </c>
      <c r="D1502" s="12"/>
      <c r="E1502" s="6">
        <v>1559.0</v>
      </c>
      <c r="F1502" s="2"/>
    </row>
    <row r="1503" ht="1.5" customHeight="1">
      <c r="A1503" s="4" t="str">
        <f>IFERROR(__xludf.DUMMYFUNCTION("""COMPUTED_VALUE"""),"1. Microwave")</f>
        <v>1. Microwave</v>
      </c>
      <c r="B1503" s="4" t="str">
        <f>IFERROR(__xludf.DUMMYFUNCTION("""COMPUTED_VALUE"""),"1")</f>
        <v>1</v>
      </c>
      <c r="C1503" s="5" t="str">
        <f>IFERROR(__xludf.DUMMYFUNCTION("""COMPUTED_VALUE"""),"https://drive.google.com/file/d/1GTybb2bVvMEXxEtAAxaidhCe_CKlU99W/view?usp=drivesdk")</f>
        <v>https://drive.google.com/file/d/1GTybb2bVvMEXxEtAAxaidhCe_CKlU99W/view?usp=drivesdk</v>
      </c>
      <c r="D1503" s="12"/>
      <c r="E1503" s="11">
        <v>1560.0</v>
      </c>
      <c r="F1503" s="2"/>
    </row>
    <row r="1504" ht="1.5" customHeight="1">
      <c r="A1504" s="4" t="str">
        <f>IFERROR(__xludf.DUMMYFUNCTION("""COMPUTED_VALUE"""),"1. Microwave")</f>
        <v>1. Microwave</v>
      </c>
      <c r="B1504" s="4" t="str">
        <f>IFERROR(__xludf.DUMMYFUNCTION("""COMPUTED_VALUE"""),"1")</f>
        <v>1</v>
      </c>
      <c r="C1504" s="5" t="str">
        <f>IFERROR(__xludf.DUMMYFUNCTION("""COMPUTED_VALUE"""),"https://drive.google.com/file/d/1JjiHlimxDnCNyME1knZwW34RrqRMp-qT/view?usp=drivesdk")</f>
        <v>https://drive.google.com/file/d/1JjiHlimxDnCNyME1knZwW34RrqRMp-qT/view?usp=drivesdk</v>
      </c>
      <c r="D1504" s="12"/>
      <c r="E1504" s="11">
        <v>1561.0</v>
      </c>
      <c r="F1504" s="2"/>
    </row>
    <row r="1505" ht="1.5" customHeight="1">
      <c r="A1505" s="4" t="str">
        <f>IFERROR(__xludf.DUMMYFUNCTION("""COMPUTED_VALUE"""),"2. Twix")</f>
        <v>2. Twix</v>
      </c>
      <c r="B1505" s="4" t="str">
        <f>IFERROR(__xludf.DUMMYFUNCTION("""COMPUTED_VALUE"""),"2")</f>
        <v>2</v>
      </c>
      <c r="C1505" s="5" t="str">
        <f>IFERROR(__xludf.DUMMYFUNCTION("""COMPUTED_VALUE"""),"https://drive.google.com/file/d/1Wpq6ACh_fI4in2k4ZjJRXCoev6wSfSmW/view?usp=drivesdk")</f>
        <v>https://drive.google.com/file/d/1Wpq6ACh_fI4in2k4ZjJRXCoev6wSfSmW/view?usp=drivesdk</v>
      </c>
      <c r="D1505" s="12"/>
      <c r="E1505" s="11">
        <v>1562.0</v>
      </c>
      <c r="F1505" s="2"/>
    </row>
    <row r="1506" ht="1.5" customHeight="1">
      <c r="A1506" s="4" t="str">
        <f>IFERROR(__xludf.DUMMYFUNCTION("""COMPUTED_VALUE"""),"2. Twix")</f>
        <v>2. Twix</v>
      </c>
      <c r="B1506" s="4" t="str">
        <f>IFERROR(__xludf.DUMMYFUNCTION("""COMPUTED_VALUE"""),"2")</f>
        <v>2</v>
      </c>
      <c r="C1506" s="5" t="str">
        <f>IFERROR(__xludf.DUMMYFUNCTION("""COMPUTED_VALUE"""),"https://drive.google.com/file/d/1jUXXgiw5ecexKZB03djmZEIsP72zpTGH/view?usp=drivesdk")</f>
        <v>https://drive.google.com/file/d/1jUXXgiw5ecexKZB03djmZEIsP72zpTGH/view?usp=drivesdk</v>
      </c>
      <c r="D1506" s="12"/>
      <c r="E1506" s="11">
        <v>1563.0</v>
      </c>
      <c r="F1506" s="2"/>
    </row>
    <row r="1507" ht="1.5" customHeight="1">
      <c r="A1507" s="4" t="str">
        <f>IFERROR(__xludf.DUMMYFUNCTION("""COMPUTED_VALUE"""),"1. Microwave")</f>
        <v>1. Microwave</v>
      </c>
      <c r="B1507" s="4" t="str">
        <f>IFERROR(__xludf.DUMMYFUNCTION("""COMPUTED_VALUE"""),"1")</f>
        <v>1</v>
      </c>
      <c r="C1507" s="5" t="str">
        <f>IFERROR(__xludf.DUMMYFUNCTION("""COMPUTED_VALUE"""),"https://drive.google.com/file/d/15PG3ItfqA1mO1lRkhWaCOK4c2PdLVBzC/view?usp=drivesdk")</f>
        <v>https://drive.google.com/file/d/15PG3ItfqA1mO1lRkhWaCOK4c2PdLVBzC/view?usp=drivesdk</v>
      </c>
      <c r="D1507" s="12"/>
      <c r="E1507" s="11">
        <v>1564.0</v>
      </c>
      <c r="F1507" s="2"/>
    </row>
    <row r="1508" ht="1.5" customHeight="1">
      <c r="A1508" s="4" t="str">
        <f>IFERROR(__xludf.DUMMYFUNCTION("""COMPUTED_VALUE"""),"1. Microwave")</f>
        <v>1. Microwave</v>
      </c>
      <c r="B1508" s="4" t="str">
        <f>IFERROR(__xludf.DUMMYFUNCTION("""COMPUTED_VALUE"""),"1")</f>
        <v>1</v>
      </c>
      <c r="C1508" s="5" t="str">
        <f>IFERROR(__xludf.DUMMYFUNCTION("""COMPUTED_VALUE"""),"https://drive.google.com/file/d/1lMi5Zf4ar9UabwPs0l_eVFJ1BpGsIKiQ/view?usp=drivesdk")</f>
        <v>https://drive.google.com/file/d/1lMi5Zf4ar9UabwPs0l_eVFJ1BpGsIKiQ/view?usp=drivesdk</v>
      </c>
      <c r="D1508" s="12"/>
      <c r="E1508" s="6">
        <v>1565.0</v>
      </c>
      <c r="F1508" s="2"/>
    </row>
    <row r="1509" ht="1.5" customHeight="1">
      <c r="A1509" s="4" t="str">
        <f>IFERROR(__xludf.DUMMYFUNCTION("""COMPUTED_VALUE"""),"1. Microwave")</f>
        <v>1. Microwave</v>
      </c>
      <c r="B1509" s="4" t="str">
        <f>IFERROR(__xludf.DUMMYFUNCTION("""COMPUTED_VALUE"""),"1")</f>
        <v>1</v>
      </c>
      <c r="C1509" s="5" t="str">
        <f>IFERROR(__xludf.DUMMYFUNCTION("""COMPUTED_VALUE"""),"https://drive.google.com/file/d/1zoIntICNHgYj8bPdtOoa300zWFX64R3-/view?usp=drivesdk")</f>
        <v>https://drive.google.com/file/d/1zoIntICNHgYj8bPdtOoa300zWFX64R3-/view?usp=drivesdk</v>
      </c>
      <c r="D1509" s="12"/>
      <c r="E1509" s="11">
        <v>1566.0</v>
      </c>
      <c r="F1509" s="2"/>
    </row>
    <row r="1510" ht="1.5" customHeight="1">
      <c r="A1510" s="4" t="str">
        <f>IFERROR(__xludf.DUMMYFUNCTION("""COMPUTED_VALUE"""),"2. Twix")</f>
        <v>2. Twix</v>
      </c>
      <c r="B1510" s="4" t="str">
        <f>IFERROR(__xludf.DUMMYFUNCTION("""COMPUTED_VALUE"""),"2")</f>
        <v>2</v>
      </c>
      <c r="C1510" s="5" t="str">
        <f>IFERROR(__xludf.DUMMYFUNCTION("""COMPUTED_VALUE"""),"https://drive.google.com/file/d/19H-veVugHmMcGX5f5pkifO5UHHDxn3Z5/view?usp=drivesdk")</f>
        <v>https://drive.google.com/file/d/19H-veVugHmMcGX5f5pkifO5UHHDxn3Z5/view?usp=drivesdk</v>
      </c>
      <c r="D1510" s="12"/>
      <c r="E1510" s="11">
        <v>1567.0</v>
      </c>
      <c r="F1510" s="2"/>
    </row>
    <row r="1511" ht="1.5" customHeight="1">
      <c r="A1511" s="4" t="str">
        <f>IFERROR(__xludf.DUMMYFUNCTION("""COMPUTED_VALUE"""),"0. NotACat")</f>
        <v>0. NotACat</v>
      </c>
      <c r="B1511" s="4" t="str">
        <f>IFERROR(__xludf.DUMMYFUNCTION("""COMPUTED_VALUE"""),"0")</f>
        <v>0</v>
      </c>
      <c r="C1511" s="5" t="str">
        <f>IFERROR(__xludf.DUMMYFUNCTION("""COMPUTED_VALUE"""),"https://drive.google.com/file/d/1w8KG68PlSpQOpwEP2SY_IOgeQ5LA3h3N/view?usp=drivesdk")</f>
        <v>https://drive.google.com/file/d/1w8KG68PlSpQOpwEP2SY_IOgeQ5LA3h3N/view?usp=drivesdk</v>
      </c>
      <c r="D1511" s="12"/>
      <c r="E1511" s="11">
        <v>1568.0</v>
      </c>
      <c r="F1511" s="2"/>
    </row>
    <row r="1512" ht="1.5" customHeight="1">
      <c r="A1512" s="4" t="str">
        <f>IFERROR(__xludf.DUMMYFUNCTION("""COMPUTED_VALUE"""),"0. NotACat")</f>
        <v>0. NotACat</v>
      </c>
      <c r="B1512" s="4" t="str">
        <f>IFERROR(__xludf.DUMMYFUNCTION("""COMPUTED_VALUE"""),"0")</f>
        <v>0</v>
      </c>
      <c r="C1512" s="5" t="str">
        <f>IFERROR(__xludf.DUMMYFUNCTION("""COMPUTED_VALUE"""),"https://drive.google.com/file/d/1Y4mybGj-MHwBpH_7dlR3h2wY54PduXAi/view?usp=drivesdk")</f>
        <v>https://drive.google.com/file/d/1Y4mybGj-MHwBpH_7dlR3h2wY54PduXAi/view?usp=drivesdk</v>
      </c>
      <c r="D1512" s="12"/>
      <c r="E1512" s="11">
        <v>1569.0</v>
      </c>
      <c r="F1512" s="2"/>
    </row>
    <row r="1513" ht="1.5" customHeight="1">
      <c r="A1513" s="4" t="str">
        <f>IFERROR(__xludf.DUMMYFUNCTION("""COMPUTED_VALUE"""),"0. NotACat")</f>
        <v>0. NotACat</v>
      </c>
      <c r="B1513" s="4" t="str">
        <f>IFERROR(__xludf.DUMMYFUNCTION("""COMPUTED_VALUE"""),"0")</f>
        <v>0</v>
      </c>
      <c r="C1513" s="5" t="str">
        <f>IFERROR(__xludf.DUMMYFUNCTION("""COMPUTED_VALUE"""),"https://drive.google.com/file/d/1tP_weSdU-UjmLFsAZQsQGXZge82T1g1C/view?usp=drivesdk")</f>
        <v>https://drive.google.com/file/d/1tP_weSdU-UjmLFsAZQsQGXZge82T1g1C/view?usp=drivesdk</v>
      </c>
      <c r="D1513" s="12"/>
      <c r="E1513" s="11">
        <v>1570.0</v>
      </c>
      <c r="F1513" s="2"/>
    </row>
    <row r="1514" ht="1.5" customHeight="1">
      <c r="A1514" s="4" t="str">
        <f>IFERROR(__xludf.DUMMYFUNCTION("""COMPUTED_VALUE"""),"2. Twix")</f>
        <v>2. Twix</v>
      </c>
      <c r="B1514" s="4" t="str">
        <f>IFERROR(__xludf.DUMMYFUNCTION("""COMPUTED_VALUE"""),"2")</f>
        <v>2</v>
      </c>
      <c r="C1514" s="5" t="str">
        <f>IFERROR(__xludf.DUMMYFUNCTION("""COMPUTED_VALUE"""),"https://drive.google.com/file/d/1Zn7nEiVllmLKwzOfc3NyBK19-1hUbS19/view?usp=drivesdk")</f>
        <v>https://drive.google.com/file/d/1Zn7nEiVllmLKwzOfc3NyBK19-1hUbS19/view?usp=drivesdk</v>
      </c>
      <c r="D1514" s="12"/>
      <c r="E1514" s="6">
        <v>1571.0</v>
      </c>
      <c r="F1514" s="2"/>
    </row>
    <row r="1515" ht="1.5" customHeight="1">
      <c r="A1515" s="4" t="str">
        <f>IFERROR(__xludf.DUMMYFUNCTION("""COMPUTED_VALUE"""),"29. Ginger")</f>
        <v>29. Ginger</v>
      </c>
      <c r="B1515" s="4" t="str">
        <f>IFERROR(__xludf.DUMMYFUNCTION("""COMPUTED_VALUE"""),"29")</f>
        <v>29</v>
      </c>
      <c r="C1515" s="5" t="str">
        <f>IFERROR(__xludf.DUMMYFUNCTION("""COMPUTED_VALUE"""),"https://drive.google.com/file/d/1aHA5dP-6zzXtWGkAoSgDiBfMzWXtUqux/view?usp=drivesdk")</f>
        <v>https://drive.google.com/file/d/1aHA5dP-6zzXtWGkAoSgDiBfMzWXtUqux/view?usp=drivesdk</v>
      </c>
      <c r="D1515" s="12"/>
      <c r="E1515" s="11">
        <v>1572.0</v>
      </c>
      <c r="F1515" s="2"/>
    </row>
    <row r="1516" ht="1.5" customHeight="1">
      <c r="A1516" s="4" t="str">
        <f>IFERROR(__xludf.DUMMYFUNCTION("""COMPUTED_VALUE"""),"1. Microwave")</f>
        <v>1. Microwave</v>
      </c>
      <c r="B1516" s="4" t="str">
        <f>IFERROR(__xludf.DUMMYFUNCTION("""COMPUTED_VALUE"""),"1")</f>
        <v>1</v>
      </c>
      <c r="C1516" s="5" t="str">
        <f>IFERROR(__xludf.DUMMYFUNCTION("""COMPUTED_VALUE"""),"https://drive.google.com/file/d/1kFBHA0rbCmP6FNliItWTAeHDE4Ud0OgU/view?usp=drivesdk")</f>
        <v>https://drive.google.com/file/d/1kFBHA0rbCmP6FNliItWTAeHDE4Ud0OgU/view?usp=drivesdk</v>
      </c>
      <c r="D1516" s="12"/>
      <c r="E1516" s="11">
        <v>1573.0</v>
      </c>
      <c r="F1516" s="2"/>
    </row>
    <row r="1517" ht="1.5" customHeight="1">
      <c r="A1517" s="4" t="str">
        <f>IFERROR(__xludf.DUMMYFUNCTION("""COMPUTED_VALUE"""),"1. Microwave")</f>
        <v>1. Microwave</v>
      </c>
      <c r="B1517" s="4" t="str">
        <f>IFERROR(__xludf.DUMMYFUNCTION("""COMPUTED_VALUE"""),"1")</f>
        <v>1</v>
      </c>
      <c r="C1517" s="5" t="str">
        <f>IFERROR(__xludf.DUMMYFUNCTION("""COMPUTED_VALUE"""),"https://drive.google.com/file/d/14j-ciXEiL1LYcgPC7r65WheA9c6fr3GU/view?usp=drivesdk")</f>
        <v>https://drive.google.com/file/d/14j-ciXEiL1LYcgPC7r65WheA9c6fr3GU/view?usp=drivesdk</v>
      </c>
      <c r="D1517" s="12"/>
      <c r="E1517" s="11">
        <v>1574.0</v>
      </c>
      <c r="F1517" s="2"/>
    </row>
    <row r="1518" ht="1.5" customHeight="1">
      <c r="A1518" s="4" t="str">
        <f>IFERROR(__xludf.DUMMYFUNCTION("""COMPUTED_VALUE"""),"1. Microwave")</f>
        <v>1. Microwave</v>
      </c>
      <c r="B1518" s="4" t="str">
        <f>IFERROR(__xludf.DUMMYFUNCTION("""COMPUTED_VALUE"""),"1")</f>
        <v>1</v>
      </c>
      <c r="C1518" s="5" t="str">
        <f>IFERROR(__xludf.DUMMYFUNCTION("""COMPUTED_VALUE"""),"https://drive.google.com/file/d/1H0FVkD6HSWM-McnnW7bXJhdh_XlDyn0o/view?usp=drivesdk")</f>
        <v>https://drive.google.com/file/d/1H0FVkD6HSWM-McnnW7bXJhdh_XlDyn0o/view?usp=drivesdk</v>
      </c>
      <c r="D1518" s="12"/>
      <c r="E1518" s="11">
        <v>1575.0</v>
      </c>
      <c r="F1518" s="2"/>
    </row>
    <row r="1519" ht="1.5" customHeight="1">
      <c r="A1519" s="4" t="str">
        <f>IFERROR(__xludf.DUMMYFUNCTION("""COMPUTED_VALUE"""),"1. Microwave")</f>
        <v>1. Microwave</v>
      </c>
      <c r="B1519" s="4" t="str">
        <f>IFERROR(__xludf.DUMMYFUNCTION("""COMPUTED_VALUE"""),"1")</f>
        <v>1</v>
      </c>
      <c r="C1519" s="5" t="str">
        <f>IFERROR(__xludf.DUMMYFUNCTION("""COMPUTED_VALUE"""),"https://drive.google.com/file/d/1YElrLlsF51osBy1Ov8ncNjbe_h4SLcXB/view?usp=drivesdk")</f>
        <v>https://drive.google.com/file/d/1YElrLlsF51osBy1Ov8ncNjbe_h4SLcXB/view?usp=drivesdk</v>
      </c>
      <c r="D1519" s="12"/>
      <c r="E1519" s="11">
        <v>1576.0</v>
      </c>
      <c r="F1519" s="2"/>
    </row>
    <row r="1520" ht="1.5" customHeight="1">
      <c r="A1520" s="4" t="str">
        <f>IFERROR(__xludf.DUMMYFUNCTION("""COMPUTED_VALUE"""),"1. Microwave")</f>
        <v>1. Microwave</v>
      </c>
      <c r="B1520" s="4" t="str">
        <f>IFERROR(__xludf.DUMMYFUNCTION("""COMPUTED_VALUE"""),"1")</f>
        <v>1</v>
      </c>
      <c r="C1520" s="5" t="str">
        <f>IFERROR(__xludf.DUMMYFUNCTION("""COMPUTED_VALUE"""),"https://drive.google.com/file/d/1vjkqJdZHR72AybDfAS8cvnG2zbd-RhSn/view?usp=drivesdk")</f>
        <v>https://drive.google.com/file/d/1vjkqJdZHR72AybDfAS8cvnG2zbd-RhSn/view?usp=drivesdk</v>
      </c>
      <c r="D1520" s="12"/>
      <c r="E1520" s="6">
        <v>1577.0</v>
      </c>
      <c r="F1520" s="2"/>
    </row>
    <row r="1521" ht="1.5" customHeight="1">
      <c r="A1521" s="4" t="str">
        <f>IFERROR(__xludf.DUMMYFUNCTION("""COMPUTED_VALUE"""),"47. Nefarious, 12. Faye, 62. Gorygreg, 38. Winston")</f>
        <v>47. Nefarious, 12. Faye, 62. Gorygreg, 38. Winston</v>
      </c>
      <c r="B1521" s="4" t="str">
        <f>IFERROR(__xludf.DUMMYFUNCTION("""COMPUTED_VALUE"""),"47, 12, 62, 38")</f>
        <v>47, 12, 62, 38</v>
      </c>
      <c r="C1521" s="5" t="str">
        <f>IFERROR(__xludf.DUMMYFUNCTION("""COMPUTED_VALUE"""),"https://drive.google.com/file/d/1ImLgSCZZ4v6AC5UfSY--X-hhsfUn-Oyo/view?usp=drivesdk")</f>
        <v>https://drive.google.com/file/d/1ImLgSCZZ4v6AC5UfSY--X-hhsfUn-Oyo/view?usp=drivesdk</v>
      </c>
      <c r="D1521" s="12"/>
      <c r="E1521" s="11">
        <v>1578.0</v>
      </c>
      <c r="F1521" s="2"/>
    </row>
    <row r="1522" ht="1.5" customHeight="1">
      <c r="A1522" s="4" t="str">
        <f>IFERROR(__xludf.DUMMYFUNCTION("""COMPUTED_VALUE"""),"47. Nefarious, 12. Faye, 62. Gorygreg, 58. Eden, 38. Winston")</f>
        <v>47. Nefarious, 12. Faye, 62. Gorygreg, 58. Eden, 38. Winston</v>
      </c>
      <c r="B1522" s="4" t="str">
        <f>IFERROR(__xludf.DUMMYFUNCTION("""COMPUTED_VALUE"""),"47, 12, 62, 58, 38")</f>
        <v>47, 12, 62, 58, 38</v>
      </c>
      <c r="C1522" s="5" t="str">
        <f>IFERROR(__xludf.DUMMYFUNCTION("""COMPUTED_VALUE"""),"https://drive.google.com/file/d/14xiL7FkEqFJ789HAi73eZvSlajaWPvdV/view?usp=drivesdk")</f>
        <v>https://drive.google.com/file/d/14xiL7FkEqFJ789HAi73eZvSlajaWPvdV/view?usp=drivesdk</v>
      </c>
      <c r="D1522" s="12"/>
      <c r="E1522" s="11">
        <v>1579.0</v>
      </c>
      <c r="F1522" s="2"/>
    </row>
    <row r="1523" ht="1.5" customHeight="1">
      <c r="A1523" s="4" t="str">
        <f>IFERROR(__xludf.DUMMYFUNCTION("""COMPUTED_VALUE"""),"38. Winston")</f>
        <v>38. Winston</v>
      </c>
      <c r="B1523" s="4" t="str">
        <f>IFERROR(__xludf.DUMMYFUNCTION("""COMPUTED_VALUE"""),"38")</f>
        <v>38</v>
      </c>
      <c r="C1523" s="5" t="str">
        <f>IFERROR(__xludf.DUMMYFUNCTION("""COMPUTED_VALUE"""),"https://drive.google.com/file/d/1R5hyKOlY6QDbtYrvA7cIrzr5ybzd_RFv/view?usp=drivesdk")</f>
        <v>https://drive.google.com/file/d/1R5hyKOlY6QDbtYrvA7cIrzr5ybzd_RFv/view?usp=drivesdk</v>
      </c>
      <c r="D1523" s="12"/>
      <c r="E1523" s="11">
        <v>1580.0</v>
      </c>
      <c r="F1523" s="2"/>
    </row>
    <row r="1524" ht="1.5" customHeight="1">
      <c r="A1524" s="4" t="str">
        <f>IFERROR(__xludf.DUMMYFUNCTION("""COMPUTED_VALUE"""),"12. Faye")</f>
        <v>12. Faye</v>
      </c>
      <c r="B1524" s="4" t="str">
        <f>IFERROR(__xludf.DUMMYFUNCTION("""COMPUTED_VALUE"""),"12")</f>
        <v>12</v>
      </c>
      <c r="C1524" s="5" t="str">
        <f>IFERROR(__xludf.DUMMYFUNCTION("""COMPUTED_VALUE"""),"https://drive.google.com/file/d/1QAjXeChHNiOtTvJ-d3sinAHnxe6hWITU/view?usp=drivesdk")</f>
        <v>https://drive.google.com/file/d/1QAjXeChHNiOtTvJ-d3sinAHnxe6hWITU/view?usp=drivesdk</v>
      </c>
      <c r="D1524" s="12"/>
      <c r="E1524" s="11">
        <v>1581.0</v>
      </c>
      <c r="F1524" s="2"/>
    </row>
    <row r="1525" ht="1.5" customHeight="1">
      <c r="A1525" s="4" t="str">
        <f>IFERROR(__xludf.DUMMYFUNCTION("""COMPUTED_VALUE"""),"38. Winston, 58. Eden")</f>
        <v>38. Winston, 58. Eden</v>
      </c>
      <c r="B1525" s="4" t="str">
        <f>IFERROR(__xludf.DUMMYFUNCTION("""COMPUTED_VALUE"""),"38, 58")</f>
        <v>38, 58</v>
      </c>
      <c r="C1525" s="5" t="str">
        <f>IFERROR(__xludf.DUMMYFUNCTION("""COMPUTED_VALUE"""),"https://drive.google.com/file/d/1AvvdRzkH5qHiKzS1Ntur9dRCRzB1WI8K/view?usp=drivesdk")</f>
        <v>https://drive.google.com/file/d/1AvvdRzkH5qHiKzS1Ntur9dRCRzB1WI8K/view?usp=drivesdk</v>
      </c>
      <c r="D1525" s="12"/>
      <c r="E1525" s="11">
        <v>1582.0</v>
      </c>
      <c r="F1525" s="2"/>
    </row>
    <row r="1526" ht="1.5" customHeight="1">
      <c r="A1526" s="4" t="str">
        <f>IFERROR(__xludf.DUMMYFUNCTION("""COMPUTED_VALUE"""),"0. NotACat")</f>
        <v>0. NotACat</v>
      </c>
      <c r="B1526" s="4" t="str">
        <f>IFERROR(__xludf.DUMMYFUNCTION("""COMPUTED_VALUE"""),"0")</f>
        <v>0</v>
      </c>
      <c r="C1526" s="5" t="str">
        <f>IFERROR(__xludf.DUMMYFUNCTION("""COMPUTED_VALUE"""),"https://drive.google.com/file/d/18uPE2q_Ijx23Z54qjbZKJ_Dv5OB-tys3/view?usp=drivesdk")</f>
        <v>https://drive.google.com/file/d/18uPE2q_Ijx23Z54qjbZKJ_Dv5OB-tys3/view?usp=drivesdk</v>
      </c>
      <c r="D1526" s="12"/>
      <c r="E1526" s="11">
        <v>1582.0</v>
      </c>
      <c r="F1526" s="2"/>
    </row>
    <row r="1527" ht="1.5" customHeight="1">
      <c r="A1527" s="4" t="str">
        <f>IFERROR(__xludf.DUMMYFUNCTION("""COMPUTED_VALUE"""),"1. Microwave")</f>
        <v>1. Microwave</v>
      </c>
      <c r="B1527" s="4" t="str">
        <f>IFERROR(__xludf.DUMMYFUNCTION("""COMPUTED_VALUE"""),"1")</f>
        <v>1</v>
      </c>
      <c r="C1527" s="5" t="str">
        <f>IFERROR(__xludf.DUMMYFUNCTION("""COMPUTED_VALUE"""),"https://drive.google.com/file/d/1zrelbjTO9B-blpStQoCY_Q-zdKERUQAk/view?usp=drivesdk")</f>
        <v>https://drive.google.com/file/d/1zrelbjTO9B-blpStQoCY_Q-zdKERUQAk/view?usp=drivesdk</v>
      </c>
      <c r="D1527" s="12"/>
      <c r="E1527" s="6">
        <v>1583.0</v>
      </c>
      <c r="F1527" s="2"/>
    </row>
    <row r="1528" ht="1.5" customHeight="1">
      <c r="A1528" s="4" t="str">
        <f>IFERROR(__xludf.DUMMYFUNCTION("""COMPUTED_VALUE"""),"1. Microwave")</f>
        <v>1. Microwave</v>
      </c>
      <c r="B1528" s="4" t="str">
        <f>IFERROR(__xludf.DUMMYFUNCTION("""COMPUTED_VALUE"""),"1")</f>
        <v>1</v>
      </c>
      <c r="C1528" s="5" t="str">
        <f>IFERROR(__xludf.DUMMYFUNCTION("""COMPUTED_VALUE"""),"https://drive.google.com/file/d/1G_ZNckT8M4trwE2gvnWXmETOF2p8Alf8/view?usp=drivesdk")</f>
        <v>https://drive.google.com/file/d/1G_ZNckT8M4trwE2gvnWXmETOF2p8Alf8/view?usp=drivesdk</v>
      </c>
      <c r="D1528" s="12"/>
      <c r="E1528" s="11">
        <v>1584.0</v>
      </c>
      <c r="F1528" s="2"/>
    </row>
    <row r="1529" ht="1.5" customHeight="1">
      <c r="A1529" s="4" t="str">
        <f>IFERROR(__xludf.DUMMYFUNCTION("""COMPUTED_VALUE"""),"1. Microwave")</f>
        <v>1. Microwave</v>
      </c>
      <c r="B1529" s="4" t="str">
        <f>IFERROR(__xludf.DUMMYFUNCTION("""COMPUTED_VALUE"""),"1")</f>
        <v>1</v>
      </c>
      <c r="C1529" s="5" t="str">
        <f>IFERROR(__xludf.DUMMYFUNCTION("""COMPUTED_VALUE"""),"https://drive.google.com/file/d/1QjWO8CT7qDQzN8MKChpkdSsUAzLaebVN/view?usp=drivesdk")</f>
        <v>https://drive.google.com/file/d/1QjWO8CT7qDQzN8MKChpkdSsUAzLaebVN/view?usp=drivesdk</v>
      </c>
      <c r="D1529" s="12"/>
      <c r="E1529" s="11">
        <v>1585.0</v>
      </c>
      <c r="F1529" s="2"/>
    </row>
    <row r="1530" ht="1.5" customHeight="1">
      <c r="A1530" s="4" t="str">
        <f>IFERROR(__xludf.DUMMYFUNCTION("""COMPUTED_VALUE"""),"1. Microwave")</f>
        <v>1. Microwave</v>
      </c>
      <c r="B1530" s="4" t="str">
        <f>IFERROR(__xludf.DUMMYFUNCTION("""COMPUTED_VALUE"""),"1")</f>
        <v>1</v>
      </c>
      <c r="C1530" s="5" t="str">
        <f>IFERROR(__xludf.DUMMYFUNCTION("""COMPUTED_VALUE"""),"https://drive.google.com/file/d/1mXrcoFg3qHP01Ois3E--soE_jHL2_h3q/view?usp=drivesdk")</f>
        <v>https://drive.google.com/file/d/1mXrcoFg3qHP01Ois3E--soE_jHL2_h3q/view?usp=drivesdk</v>
      </c>
      <c r="D1530" s="12"/>
      <c r="E1530" s="11">
        <v>1586.0</v>
      </c>
      <c r="F1530" s="2"/>
    </row>
    <row r="1531" ht="1.5" customHeight="1">
      <c r="A1531" s="4" t="str">
        <f>IFERROR(__xludf.DUMMYFUNCTION("""COMPUTED_VALUE"""),"1. Microwave")</f>
        <v>1. Microwave</v>
      </c>
      <c r="B1531" s="4" t="str">
        <f>IFERROR(__xludf.DUMMYFUNCTION("""COMPUTED_VALUE"""),"1")</f>
        <v>1</v>
      </c>
      <c r="C1531" s="5" t="str">
        <f>IFERROR(__xludf.DUMMYFUNCTION("""COMPUTED_VALUE"""),"https://drive.google.com/file/d/1gIkbfbWGQgSDtssBeb-umkxRvIuEh5y0/view?usp=drivesdk")</f>
        <v>https://drive.google.com/file/d/1gIkbfbWGQgSDtssBeb-umkxRvIuEh5y0/view?usp=drivesdk</v>
      </c>
      <c r="D1531" s="12"/>
      <c r="E1531" s="11">
        <v>1587.0</v>
      </c>
      <c r="F1531" s="2"/>
    </row>
    <row r="1532" ht="1.5" customHeight="1">
      <c r="A1532" s="4" t="str">
        <f>IFERROR(__xludf.DUMMYFUNCTION("""COMPUTED_VALUE"""),"1. Microwave")</f>
        <v>1. Microwave</v>
      </c>
      <c r="B1532" s="4" t="str">
        <f>IFERROR(__xludf.DUMMYFUNCTION("""COMPUTED_VALUE"""),"1")</f>
        <v>1</v>
      </c>
      <c r="C1532" s="5" t="str">
        <f>IFERROR(__xludf.DUMMYFUNCTION("""COMPUTED_VALUE"""),"https://drive.google.com/file/d/1Gmi0JNZWemGmZrVqr_BnF3QTHzP5L4Yq/view?usp=drivesdk")</f>
        <v>https://drive.google.com/file/d/1Gmi0JNZWemGmZrVqr_BnF3QTHzP5L4Yq/view?usp=drivesdk</v>
      </c>
      <c r="D1532" s="12"/>
      <c r="E1532" s="11">
        <v>1588.0</v>
      </c>
      <c r="F1532" s="2"/>
    </row>
    <row r="1533" ht="1.5" customHeight="1">
      <c r="A1533" s="4" t="str">
        <f>IFERROR(__xludf.DUMMYFUNCTION("""COMPUTED_VALUE"""),"1. Microwave")</f>
        <v>1. Microwave</v>
      </c>
      <c r="B1533" s="4" t="str">
        <f>IFERROR(__xludf.DUMMYFUNCTION("""COMPUTED_VALUE"""),"1")</f>
        <v>1</v>
      </c>
      <c r="C1533" s="5" t="str">
        <f>IFERROR(__xludf.DUMMYFUNCTION("""COMPUTED_VALUE"""),"https://drive.google.com/file/d/1Qx9ZHeHFPYNQl-3F5_vbX3qIS1PQSYV-/view?usp=drivesdk")</f>
        <v>https://drive.google.com/file/d/1Qx9ZHeHFPYNQl-3F5_vbX3qIS1PQSYV-/view?usp=drivesdk</v>
      </c>
      <c r="D1533" s="12"/>
      <c r="E1533" s="6">
        <v>1589.0</v>
      </c>
      <c r="F1533" s="2"/>
    </row>
    <row r="1534" ht="1.5" customHeight="1">
      <c r="A1534" s="4" t="str">
        <f>IFERROR(__xludf.DUMMYFUNCTION("""COMPUTED_VALUE"""),"1. Microwave")</f>
        <v>1. Microwave</v>
      </c>
      <c r="B1534" s="4" t="str">
        <f>IFERROR(__xludf.DUMMYFUNCTION("""COMPUTED_VALUE"""),"1")</f>
        <v>1</v>
      </c>
      <c r="C1534" s="5" t="str">
        <f>IFERROR(__xludf.DUMMYFUNCTION("""COMPUTED_VALUE"""),"https://drive.google.com/file/d/1UhVGPYHA0z6dN8399V8QzhtBqpWi2Qzp/view?usp=drivesdk")</f>
        <v>https://drive.google.com/file/d/1UhVGPYHA0z6dN8399V8QzhtBqpWi2Qzp/view?usp=drivesdk</v>
      </c>
      <c r="D1534" s="12"/>
      <c r="E1534" s="11">
        <v>1590.0</v>
      </c>
      <c r="F1534" s="2"/>
    </row>
    <row r="1535" ht="1.5" customHeight="1">
      <c r="A1535" s="4" t="str">
        <f>IFERROR(__xludf.DUMMYFUNCTION("""COMPUTED_VALUE"""),"1. Microwave")</f>
        <v>1. Microwave</v>
      </c>
      <c r="B1535" s="4" t="str">
        <f>IFERROR(__xludf.DUMMYFUNCTION("""COMPUTED_VALUE"""),"1")</f>
        <v>1</v>
      </c>
      <c r="C1535" s="5" t="str">
        <f>IFERROR(__xludf.DUMMYFUNCTION("""COMPUTED_VALUE"""),"https://drive.google.com/file/d/1HRseGaM9aB3vyIME_9tDLEtcBtgfQSWE/view?usp=drivesdk")</f>
        <v>https://drive.google.com/file/d/1HRseGaM9aB3vyIME_9tDLEtcBtgfQSWE/view?usp=drivesdk</v>
      </c>
      <c r="D1535" s="12"/>
      <c r="E1535" s="11">
        <v>1591.0</v>
      </c>
      <c r="F1535" s="2"/>
    </row>
    <row r="1536" ht="1.5" customHeight="1">
      <c r="A1536" s="4" t="str">
        <f>IFERROR(__xludf.DUMMYFUNCTION("""COMPUTED_VALUE"""),"1. Microwave")</f>
        <v>1. Microwave</v>
      </c>
      <c r="B1536" s="4" t="str">
        <f>IFERROR(__xludf.DUMMYFUNCTION("""COMPUTED_VALUE"""),"1")</f>
        <v>1</v>
      </c>
      <c r="C1536" s="5" t="str">
        <f>IFERROR(__xludf.DUMMYFUNCTION("""COMPUTED_VALUE"""),"https://drive.google.com/file/d/1HJAF9A6USfUwKGfaXvfSXpo2DlDQSQpI/view?usp=drivesdk")</f>
        <v>https://drive.google.com/file/d/1HJAF9A6USfUwKGfaXvfSXpo2DlDQSQpI/view?usp=drivesdk</v>
      </c>
      <c r="D1536" s="12"/>
      <c r="E1536" s="11">
        <v>1592.0</v>
      </c>
      <c r="F1536" s="2"/>
    </row>
    <row r="1537" ht="1.5" customHeight="1">
      <c r="A1537" s="4" t="str">
        <f>IFERROR(__xludf.DUMMYFUNCTION("""COMPUTED_VALUE"""),"4. Eggs")</f>
        <v>4. Eggs</v>
      </c>
      <c r="B1537" s="4" t="str">
        <f>IFERROR(__xludf.DUMMYFUNCTION("""COMPUTED_VALUE"""),"4")</f>
        <v>4</v>
      </c>
      <c r="C1537" s="5" t="str">
        <f>IFERROR(__xludf.DUMMYFUNCTION("""COMPUTED_VALUE"""),"https://drive.google.com/file/d/1zB0vVk7tUctB8B4SvVVe-nc456d6eEsv/view?usp=drivesdk")</f>
        <v>https://drive.google.com/file/d/1zB0vVk7tUctB8B4SvVVe-nc456d6eEsv/view?usp=drivesdk</v>
      </c>
      <c r="D1537" s="12"/>
      <c r="E1537" s="11">
        <v>1593.0</v>
      </c>
      <c r="F1537" s="2"/>
    </row>
    <row r="1538" ht="1.5" customHeight="1">
      <c r="A1538" s="4" t="str">
        <f>IFERROR(__xludf.DUMMYFUNCTION("""COMPUTED_VALUE"""),"1. Microwave")</f>
        <v>1. Microwave</v>
      </c>
      <c r="B1538" s="4" t="str">
        <f>IFERROR(__xludf.DUMMYFUNCTION("""COMPUTED_VALUE"""),"1")</f>
        <v>1</v>
      </c>
      <c r="C1538" s="5" t="str">
        <f>IFERROR(__xludf.DUMMYFUNCTION("""COMPUTED_VALUE"""),"https://drive.google.com/file/d/1YMWQIWrqUNs0ZPkv92JUTICNiaVAl-Te/view?usp=drivesdk")</f>
        <v>https://drive.google.com/file/d/1YMWQIWrqUNs0ZPkv92JUTICNiaVAl-Te/view?usp=drivesdk</v>
      </c>
      <c r="D1538" s="12"/>
      <c r="E1538" s="11">
        <v>1594.0</v>
      </c>
      <c r="F1538" s="2"/>
    </row>
    <row r="1539" ht="1.5" customHeight="1">
      <c r="A1539" s="4" t="str">
        <f>IFERROR(__xludf.DUMMYFUNCTION("""COMPUTED_VALUE"""),"1. Microwave")</f>
        <v>1. Microwave</v>
      </c>
      <c r="B1539" s="4" t="str">
        <f>IFERROR(__xludf.DUMMYFUNCTION("""COMPUTED_VALUE"""),"1")</f>
        <v>1</v>
      </c>
      <c r="C1539" s="5" t="str">
        <f>IFERROR(__xludf.DUMMYFUNCTION("""COMPUTED_VALUE"""),"https://drive.google.com/file/d/1ybH7wubt2OXLIgy6yOIGKev03dkusNA2/view?usp=drivesdk")</f>
        <v>https://drive.google.com/file/d/1ybH7wubt2OXLIgy6yOIGKev03dkusNA2/view?usp=drivesdk</v>
      </c>
      <c r="D1539" s="12"/>
      <c r="E1539" s="6">
        <v>1595.0</v>
      </c>
      <c r="F1539" s="2"/>
    </row>
    <row r="1540" ht="1.5" customHeight="1">
      <c r="A1540" s="4" t="str">
        <f>IFERROR(__xludf.DUMMYFUNCTION("""COMPUTED_VALUE"""),"1. Microwave")</f>
        <v>1. Microwave</v>
      </c>
      <c r="B1540" s="4" t="str">
        <f>IFERROR(__xludf.DUMMYFUNCTION("""COMPUTED_VALUE"""),"1")</f>
        <v>1</v>
      </c>
      <c r="C1540" s="5" t="str">
        <f>IFERROR(__xludf.DUMMYFUNCTION("""COMPUTED_VALUE"""),"https://drive.google.com/file/d/1TVr-Tc6KWnBTlsgWjMFAdhVqwrpOs7ik/view?usp=drivesdk")</f>
        <v>https://drive.google.com/file/d/1TVr-Tc6KWnBTlsgWjMFAdhVqwrpOs7ik/view?usp=drivesdk</v>
      </c>
      <c r="D1540" s="12"/>
      <c r="E1540" s="11">
        <v>1596.0</v>
      </c>
      <c r="F1540" s="2"/>
    </row>
    <row r="1541" ht="1.5" customHeight="1">
      <c r="A1541" s="4" t="str">
        <f>IFERROR(__xludf.DUMMYFUNCTION("""COMPUTED_VALUE"""),"62. Gorygreg, 44. Shitbag Cuntface, 40. Dumpster, 77. Ooni")</f>
        <v>62. Gorygreg, 44. Shitbag Cuntface, 40. Dumpster, 77. Ooni</v>
      </c>
      <c r="B1541" s="4" t="str">
        <f>IFERROR(__xludf.DUMMYFUNCTION("""COMPUTED_VALUE"""),"62, 44, 40, 77")</f>
        <v>62, 44, 40, 77</v>
      </c>
      <c r="C1541" s="5" t="str">
        <f>IFERROR(__xludf.DUMMYFUNCTION("""COMPUTED_VALUE"""),"https://drive.google.com/file/d/1P52Hwh4arnVAmE5o1jCxwhregnLT8KXf/view?usp=drivesdk")</f>
        <v>https://drive.google.com/file/d/1P52Hwh4arnVAmE5o1jCxwhregnLT8KXf/view?usp=drivesdk</v>
      </c>
      <c r="D1541" s="12"/>
      <c r="E1541" s="11">
        <v>1597.0</v>
      </c>
      <c r="F1541" s="2"/>
    </row>
    <row r="1542" ht="1.5" customHeight="1">
      <c r="A1542" s="4" t="str">
        <f>IFERROR(__xludf.DUMMYFUNCTION("""COMPUTED_VALUE"""),"20. Citlali")</f>
        <v>20. Citlali</v>
      </c>
      <c r="B1542" s="4" t="str">
        <f>IFERROR(__xludf.DUMMYFUNCTION("""COMPUTED_VALUE"""),"20")</f>
        <v>20</v>
      </c>
      <c r="C1542" s="5" t="str">
        <f>IFERROR(__xludf.DUMMYFUNCTION("""COMPUTED_VALUE"""),"https://drive.google.com/file/d/1rO9kd3sSFUB9WfsF997U7Vq_cJDOcIGP/view?usp=drivesdk")</f>
        <v>https://drive.google.com/file/d/1rO9kd3sSFUB9WfsF997U7Vq_cJDOcIGP/view?usp=drivesdk</v>
      </c>
      <c r="D1542" s="12"/>
      <c r="E1542" s="11">
        <v>1598.0</v>
      </c>
      <c r="F1542" s="2"/>
    </row>
    <row r="1543" ht="1.5" customHeight="1">
      <c r="A1543" s="4" t="str">
        <f>IFERROR(__xludf.DUMMYFUNCTION("""COMPUTED_VALUE"""),"22. Glockenspiel")</f>
        <v>22. Glockenspiel</v>
      </c>
      <c r="B1543" s="4" t="str">
        <f>IFERROR(__xludf.DUMMYFUNCTION("""COMPUTED_VALUE"""),"22")</f>
        <v>22</v>
      </c>
      <c r="C1543" s="5" t="str">
        <f>IFERROR(__xludf.DUMMYFUNCTION("""COMPUTED_VALUE"""),"https://drive.google.com/file/d/1KP-OtQzTdA_ZupKaezd2A8ntmBdD9rYu/view?usp=drivesdk")</f>
        <v>https://drive.google.com/file/d/1KP-OtQzTdA_ZupKaezd2A8ntmBdD9rYu/view?usp=drivesdk</v>
      </c>
      <c r="D1543" s="12"/>
      <c r="E1543" s="11">
        <v>1599.0</v>
      </c>
      <c r="F1543" s="2"/>
    </row>
    <row r="1544" ht="1.5" customHeight="1">
      <c r="A1544" s="4" t="str">
        <f>IFERROR(__xludf.DUMMYFUNCTION("""COMPUTED_VALUE"""),"22. Glockenspiel")</f>
        <v>22. Glockenspiel</v>
      </c>
      <c r="B1544" s="4" t="str">
        <f>IFERROR(__xludf.DUMMYFUNCTION("""COMPUTED_VALUE"""),"22")</f>
        <v>22</v>
      </c>
      <c r="C1544" s="5" t="str">
        <f>IFERROR(__xludf.DUMMYFUNCTION("""COMPUTED_VALUE"""),"https://drive.google.com/file/d/1Q-eGlOx7trrqIfOGHQaajnJPdN5R1RXf/view?usp=drivesdk")</f>
        <v>https://drive.google.com/file/d/1Q-eGlOx7trrqIfOGHQaajnJPdN5R1RXf/view?usp=drivesdk</v>
      </c>
      <c r="D1544" s="12"/>
      <c r="E1544" s="11">
        <v>1600.0</v>
      </c>
      <c r="F1544" s="2"/>
    </row>
    <row r="1545" ht="1.5" customHeight="1">
      <c r="A1545" s="4" t="str">
        <f>IFERROR(__xludf.DUMMYFUNCTION("""COMPUTED_VALUE"""),"2. Twix")</f>
        <v>2. Twix</v>
      </c>
      <c r="B1545" s="4" t="str">
        <f>IFERROR(__xludf.DUMMYFUNCTION("""COMPUTED_VALUE"""),"2")</f>
        <v>2</v>
      </c>
      <c r="C1545" s="5" t="str">
        <f>IFERROR(__xludf.DUMMYFUNCTION("""COMPUTED_VALUE"""),"https://drive.google.com/file/d/1dlWvP8e8gz6t98mhL48pz5Ts6AGmR3no/view?usp=drivesdk")</f>
        <v>https://drive.google.com/file/d/1dlWvP8e8gz6t98mhL48pz5Ts6AGmR3no/view?usp=drivesdk</v>
      </c>
      <c r="D1545" s="12"/>
      <c r="E1545" s="6">
        <v>1601.0</v>
      </c>
      <c r="F1545" s="2"/>
    </row>
    <row r="1546" ht="1.5" customHeight="1">
      <c r="A1546" s="4" t="str">
        <f>IFERROR(__xludf.DUMMYFUNCTION("""COMPUTED_VALUE"""),"4. Eggs")</f>
        <v>4. Eggs</v>
      </c>
      <c r="B1546" s="4" t="str">
        <f>IFERROR(__xludf.DUMMYFUNCTION("""COMPUTED_VALUE"""),"4")</f>
        <v>4</v>
      </c>
      <c r="C1546" s="5" t="str">
        <f>IFERROR(__xludf.DUMMYFUNCTION("""COMPUTED_VALUE"""),"https://drive.google.com/file/d/12V1v0h4OwSWBufOQSqQXtv7HaXTT9Nce/view?usp=drivesdk")</f>
        <v>https://drive.google.com/file/d/12V1v0h4OwSWBufOQSqQXtv7HaXTT9Nce/view?usp=drivesdk</v>
      </c>
      <c r="D1546" s="12"/>
      <c r="E1546" s="11">
        <v>1602.0</v>
      </c>
      <c r="F1546" s="2"/>
    </row>
    <row r="1547" ht="1.5" customHeight="1">
      <c r="A1547" s="4" t="str">
        <f>IFERROR(__xludf.DUMMYFUNCTION("""COMPUTED_VALUE"""),"4. Eggs")</f>
        <v>4. Eggs</v>
      </c>
      <c r="B1547" s="4" t="str">
        <f>IFERROR(__xludf.DUMMYFUNCTION("""COMPUTED_VALUE"""),"4")</f>
        <v>4</v>
      </c>
      <c r="C1547" s="5" t="str">
        <f>IFERROR(__xludf.DUMMYFUNCTION("""COMPUTED_VALUE"""),"https://drive.google.com/file/d/1m4O9lKr7_vL6nzcNszJjAWSRqZ7JJuYd/view?usp=drivesdk")</f>
        <v>https://drive.google.com/file/d/1m4O9lKr7_vL6nzcNszJjAWSRqZ7JJuYd/view?usp=drivesdk</v>
      </c>
      <c r="D1547" s="12"/>
      <c r="E1547" s="11">
        <v>1602.0</v>
      </c>
      <c r="F1547" s="2"/>
    </row>
    <row r="1548" ht="1.5" customHeight="1">
      <c r="A1548" s="4" t="str">
        <f>IFERROR(__xludf.DUMMYFUNCTION("""COMPUTED_VALUE"""),"5. Eraser")</f>
        <v>5. Eraser</v>
      </c>
      <c r="B1548" s="4" t="str">
        <f>IFERROR(__xludf.DUMMYFUNCTION("""COMPUTED_VALUE"""),"5")</f>
        <v>5</v>
      </c>
      <c r="C1548" s="5" t="str">
        <f>IFERROR(__xludf.DUMMYFUNCTION("""COMPUTED_VALUE"""),"https://drive.google.com/file/d/1cBClAGuzTdqc427FSxNvQyXJ0AwrL_iu/view?usp=drivesdk")</f>
        <v>https://drive.google.com/file/d/1cBClAGuzTdqc427FSxNvQyXJ0AwrL_iu/view?usp=drivesdk</v>
      </c>
      <c r="D1548" s="12"/>
      <c r="E1548" s="11">
        <v>1604.0</v>
      </c>
      <c r="F1548" s="2"/>
    </row>
    <row r="1549" ht="1.5" customHeight="1">
      <c r="A1549" s="4" t="str">
        <f>IFERROR(__xludf.DUMMYFUNCTION("""COMPUTED_VALUE"""),"1. Microwave")</f>
        <v>1. Microwave</v>
      </c>
      <c r="B1549" s="4" t="str">
        <f>IFERROR(__xludf.DUMMYFUNCTION("""COMPUTED_VALUE"""),"1")</f>
        <v>1</v>
      </c>
      <c r="C1549" s="5" t="str">
        <f>IFERROR(__xludf.DUMMYFUNCTION("""COMPUTED_VALUE"""),"https://drive.google.com/file/d/1ZbcBCI86NVMmcoirtEoGrYdj084N6voG/view?usp=drivesdk")</f>
        <v>https://drive.google.com/file/d/1ZbcBCI86NVMmcoirtEoGrYdj084N6voG/view?usp=drivesdk</v>
      </c>
      <c r="D1549" s="12"/>
      <c r="E1549" s="11">
        <v>1604.0</v>
      </c>
      <c r="F1549" s="2"/>
    </row>
    <row r="1550" ht="1.5" customHeight="1">
      <c r="A1550" s="4" t="str">
        <f>IFERROR(__xludf.DUMMYFUNCTION("""COMPUTED_VALUE"""),"1. Microwave")</f>
        <v>1. Microwave</v>
      </c>
      <c r="B1550" s="4" t="str">
        <f>IFERROR(__xludf.DUMMYFUNCTION("""COMPUTED_VALUE"""),"1")</f>
        <v>1</v>
      </c>
      <c r="C1550" s="5" t="str">
        <f>IFERROR(__xludf.DUMMYFUNCTION("""COMPUTED_VALUE"""),"https://drive.google.com/file/d/1QtSNqugiCcjjypHfsCJBQaDruVsqPDAM/view?usp=drivesdk")</f>
        <v>https://drive.google.com/file/d/1QtSNqugiCcjjypHfsCJBQaDruVsqPDAM/view?usp=drivesdk</v>
      </c>
      <c r="D1550" s="12"/>
      <c r="E1550" s="11">
        <v>1605.0</v>
      </c>
      <c r="F1550" s="2"/>
    </row>
    <row r="1551" ht="1.5" customHeight="1">
      <c r="A1551" s="4" t="str">
        <f>IFERROR(__xludf.DUMMYFUNCTION("""COMPUTED_VALUE"""),"1. Microwave")</f>
        <v>1. Microwave</v>
      </c>
      <c r="B1551" s="4" t="str">
        <f>IFERROR(__xludf.DUMMYFUNCTION("""COMPUTED_VALUE"""),"1")</f>
        <v>1</v>
      </c>
      <c r="C1551" s="5" t="str">
        <f>IFERROR(__xludf.DUMMYFUNCTION("""COMPUTED_VALUE"""),"https://drive.google.com/file/d/1-J8gAilMpObqPs7BocC7s0G6yU9JrocP/view?usp=drivesdk")</f>
        <v>https://drive.google.com/file/d/1-J8gAilMpObqPs7BocC7s0G6yU9JrocP/view?usp=drivesdk</v>
      </c>
      <c r="D1551" s="12"/>
      <c r="E1551" s="11">
        <v>1606.0</v>
      </c>
      <c r="F1551" s="2"/>
    </row>
    <row r="1552" ht="1.5" customHeight="1">
      <c r="A1552" s="4" t="str">
        <f>IFERROR(__xludf.DUMMYFUNCTION("""COMPUTED_VALUE"""),"1. Microwave")</f>
        <v>1. Microwave</v>
      </c>
      <c r="B1552" s="4" t="str">
        <f>IFERROR(__xludf.DUMMYFUNCTION("""COMPUTED_VALUE"""),"1")</f>
        <v>1</v>
      </c>
      <c r="C1552" s="5" t="str">
        <f>IFERROR(__xludf.DUMMYFUNCTION("""COMPUTED_VALUE"""),"https://drive.google.com/file/d/14tCeqSJJTFedC_l6gujI3QK-46KuE7Hq/view?usp=drivesdk")</f>
        <v>https://drive.google.com/file/d/14tCeqSJJTFedC_l6gujI3QK-46KuE7Hq/view?usp=drivesdk</v>
      </c>
      <c r="D1552" s="12"/>
      <c r="E1552" s="6">
        <v>1607.0</v>
      </c>
      <c r="F1552" s="2"/>
    </row>
    <row r="1553" ht="1.5" customHeight="1">
      <c r="A1553" s="4" t="str">
        <f>IFERROR(__xludf.DUMMYFUNCTION("""COMPUTED_VALUE"""),"1. Microwave")</f>
        <v>1. Microwave</v>
      </c>
      <c r="B1553" s="4" t="str">
        <f>IFERROR(__xludf.DUMMYFUNCTION("""COMPUTED_VALUE"""),"1")</f>
        <v>1</v>
      </c>
      <c r="C1553" s="5" t="str">
        <f>IFERROR(__xludf.DUMMYFUNCTION("""COMPUTED_VALUE"""),"https://drive.google.com/file/d/1HvTPs9frD7af5T_YhA58Xocl_LiPUlaM/view?usp=drivesdk")</f>
        <v>https://drive.google.com/file/d/1HvTPs9frD7af5T_YhA58Xocl_LiPUlaM/view?usp=drivesdk</v>
      </c>
      <c r="D1553" s="12"/>
      <c r="E1553" s="11">
        <v>1608.0</v>
      </c>
      <c r="F1553" s="2"/>
    </row>
    <row r="1554" ht="1.5" customHeight="1">
      <c r="A1554" s="4" t="str">
        <f>IFERROR(__xludf.DUMMYFUNCTION("""COMPUTED_VALUE"""),"4. Eggs")</f>
        <v>4. Eggs</v>
      </c>
      <c r="B1554" s="4" t="str">
        <f>IFERROR(__xludf.DUMMYFUNCTION("""COMPUTED_VALUE"""),"4")</f>
        <v>4</v>
      </c>
      <c r="C1554" s="5" t="str">
        <f>IFERROR(__xludf.DUMMYFUNCTION("""COMPUTED_VALUE"""),"https://drive.google.com/file/d/1-wMqsI7iTrB__bLOlbfLjPBu8qsx_AuC/view?usp=drivesdk")</f>
        <v>https://drive.google.com/file/d/1-wMqsI7iTrB__bLOlbfLjPBu8qsx_AuC/view?usp=drivesdk</v>
      </c>
      <c r="D1554" s="12"/>
      <c r="E1554" s="11">
        <v>1609.0</v>
      </c>
      <c r="F1554" s="2"/>
    </row>
    <row r="1555" ht="1.5" customHeight="1">
      <c r="A1555" s="4" t="str">
        <f>IFERROR(__xludf.DUMMYFUNCTION("""COMPUTED_VALUE"""),"4. Eggs")</f>
        <v>4. Eggs</v>
      </c>
      <c r="B1555" s="4" t="str">
        <f>IFERROR(__xludf.DUMMYFUNCTION("""COMPUTED_VALUE"""),"4")</f>
        <v>4</v>
      </c>
      <c r="C1555" s="5" t="str">
        <f>IFERROR(__xludf.DUMMYFUNCTION("""COMPUTED_VALUE"""),"https://drive.google.com/file/d/1PRkKdehpF7cvv9fhh5rfI1eLdqmMuf21/view?usp=drivesdk")</f>
        <v>https://drive.google.com/file/d/1PRkKdehpF7cvv9fhh5rfI1eLdqmMuf21/view?usp=drivesdk</v>
      </c>
      <c r="D1555" s="12"/>
      <c r="E1555" s="11">
        <v>1610.0</v>
      </c>
      <c r="F1555" s="2"/>
    </row>
    <row r="1556" ht="1.5" customHeight="1">
      <c r="A1556" s="4" t="str">
        <f>IFERROR(__xludf.DUMMYFUNCTION("""COMPUTED_VALUE"""),"4. Eggs, 5. Eraser")</f>
        <v>4. Eggs, 5. Eraser</v>
      </c>
      <c r="B1556" s="4" t="str">
        <f>IFERROR(__xludf.DUMMYFUNCTION("""COMPUTED_VALUE"""),"4, 5")</f>
        <v>4, 5</v>
      </c>
      <c r="C1556" s="5" t="str">
        <f>IFERROR(__xludf.DUMMYFUNCTION("""COMPUTED_VALUE"""),"https://drive.google.com/file/d/1b1fHJKxilhUS92E_HC6lNoOAnS8kWv63/view?usp=drivesdk")</f>
        <v>https://drive.google.com/file/d/1b1fHJKxilhUS92E_HC6lNoOAnS8kWv63/view?usp=drivesdk</v>
      </c>
      <c r="D1556" s="12"/>
      <c r="E1556" s="11">
        <v>1611.0</v>
      </c>
      <c r="F1556" s="2"/>
    </row>
    <row r="1557" ht="1.5" customHeight="1">
      <c r="A1557" s="4" t="str">
        <f>IFERROR(__xludf.DUMMYFUNCTION("""COMPUTED_VALUE"""),"4. Eggs, 5. Eraser")</f>
        <v>4. Eggs, 5. Eraser</v>
      </c>
      <c r="B1557" s="4" t="str">
        <f>IFERROR(__xludf.DUMMYFUNCTION("""COMPUTED_VALUE"""),"4, 5")</f>
        <v>4, 5</v>
      </c>
      <c r="C1557" s="5" t="str">
        <f>IFERROR(__xludf.DUMMYFUNCTION("""COMPUTED_VALUE"""),"https://drive.google.com/file/d/1CoArtKsCTKfnsKSOMSWkpBlJ1i9aGONy/view?usp=drivesdk")</f>
        <v>https://drive.google.com/file/d/1CoArtKsCTKfnsKSOMSWkpBlJ1i9aGONy/view?usp=drivesdk</v>
      </c>
      <c r="D1557" s="12"/>
      <c r="E1557" s="11">
        <v>1612.0</v>
      </c>
      <c r="F1557" s="2"/>
    </row>
    <row r="1558" ht="1.5" customHeight="1">
      <c r="A1558" s="4" t="str">
        <f>IFERROR(__xludf.DUMMYFUNCTION("""COMPUTED_VALUE"""),"5. Eraser")</f>
        <v>5. Eraser</v>
      </c>
      <c r="B1558" s="4" t="str">
        <f>IFERROR(__xludf.DUMMYFUNCTION("""COMPUTED_VALUE"""),"5")</f>
        <v>5</v>
      </c>
      <c r="C1558" s="5" t="str">
        <f>IFERROR(__xludf.DUMMYFUNCTION("""COMPUTED_VALUE"""),"https://drive.google.com/file/d/1qCZVMEvt7yJ1jeqNhA8A-mCmcmR2mSd7/view?usp=drivesdk")</f>
        <v>https://drive.google.com/file/d/1qCZVMEvt7yJ1jeqNhA8A-mCmcmR2mSd7/view?usp=drivesdk</v>
      </c>
      <c r="D1558" s="12"/>
      <c r="E1558" s="6">
        <v>1613.0</v>
      </c>
      <c r="F1558" s="2"/>
    </row>
    <row r="1559" ht="1.5" customHeight="1">
      <c r="A1559" s="4" t="str">
        <f>IFERROR(__xludf.DUMMYFUNCTION("""COMPUTED_VALUE"""),"1. Microwave")</f>
        <v>1. Microwave</v>
      </c>
      <c r="B1559" s="4" t="str">
        <f>IFERROR(__xludf.DUMMYFUNCTION("""COMPUTED_VALUE"""),"1")</f>
        <v>1</v>
      </c>
      <c r="C1559" s="5" t="str">
        <f>IFERROR(__xludf.DUMMYFUNCTION("""COMPUTED_VALUE"""),"https://drive.google.com/file/d/14Xp503Be0Zf55aSqfi8sqdwOni5AOqSx/view?usp=drivesdk")</f>
        <v>https://drive.google.com/file/d/14Xp503Be0Zf55aSqfi8sqdwOni5AOqSx/view?usp=drivesdk</v>
      </c>
      <c r="D1559" s="12"/>
      <c r="E1559" s="11">
        <v>1614.0</v>
      </c>
      <c r="F1559" s="2"/>
    </row>
    <row r="1560" ht="1.5" customHeight="1">
      <c r="A1560" s="4" t="str">
        <f>IFERROR(__xludf.DUMMYFUNCTION("""COMPUTED_VALUE"""),"20. Citlali")</f>
        <v>20. Citlali</v>
      </c>
      <c r="B1560" s="4" t="str">
        <f>IFERROR(__xludf.DUMMYFUNCTION("""COMPUTED_VALUE"""),"20")</f>
        <v>20</v>
      </c>
      <c r="C1560" s="5" t="str">
        <f>IFERROR(__xludf.DUMMYFUNCTION("""COMPUTED_VALUE"""),"https://drive.google.com/file/d/1HUJnCd-I9QNpi5MH4AGqJTXqHtMU7pG_/view?usp=drivesdk")</f>
        <v>https://drive.google.com/file/d/1HUJnCd-I9QNpi5MH4AGqJTXqHtMU7pG_/view?usp=drivesdk</v>
      </c>
      <c r="D1560" s="12"/>
      <c r="E1560" s="11">
        <v>1615.0</v>
      </c>
      <c r="F1560" s="2"/>
    </row>
    <row r="1561" ht="1.5" customHeight="1">
      <c r="A1561" s="4" t="str">
        <f>IFERROR(__xludf.DUMMYFUNCTION("""COMPUTED_VALUE"""),"20. Citlali")</f>
        <v>20. Citlali</v>
      </c>
      <c r="B1561" s="4" t="str">
        <f>IFERROR(__xludf.DUMMYFUNCTION("""COMPUTED_VALUE"""),"20")</f>
        <v>20</v>
      </c>
      <c r="C1561" s="5" t="str">
        <f>IFERROR(__xludf.DUMMYFUNCTION("""COMPUTED_VALUE"""),"https://drive.google.com/file/d/1vOSvHbYIqZfm15-aH9UDw6mUbvbrmGbP/view?usp=drivesdk")</f>
        <v>https://drive.google.com/file/d/1vOSvHbYIqZfm15-aH9UDw6mUbvbrmGbP/view?usp=drivesdk</v>
      </c>
      <c r="D1561" s="12"/>
      <c r="E1561" s="11">
        <v>1616.0</v>
      </c>
      <c r="F1561" s="2"/>
    </row>
    <row r="1562" ht="1.5" customHeight="1">
      <c r="A1562" s="4" t="str">
        <f>IFERROR(__xludf.DUMMYFUNCTION("""COMPUTED_VALUE"""),"17. Bobbie")</f>
        <v>17. Bobbie</v>
      </c>
      <c r="B1562" s="4" t="str">
        <f>IFERROR(__xludf.DUMMYFUNCTION("""COMPUTED_VALUE"""),"17")</f>
        <v>17</v>
      </c>
      <c r="C1562" s="5" t="str">
        <f>IFERROR(__xludf.DUMMYFUNCTION("""COMPUTED_VALUE"""),"https://drive.google.com/file/d/18LMGkG9Y3ERdCTvf8iLA3vlgVWVGnKL4/view?usp=drivesdk")</f>
        <v>https://drive.google.com/file/d/18LMGkG9Y3ERdCTvf8iLA3vlgVWVGnKL4/view?usp=drivesdk</v>
      </c>
      <c r="D1562" s="12"/>
      <c r="E1562" s="11">
        <v>1617.0</v>
      </c>
      <c r="F1562" s="2"/>
    </row>
    <row r="1563" ht="1.5" customHeight="1">
      <c r="A1563" s="4" t="str">
        <f>IFERROR(__xludf.DUMMYFUNCTION("""COMPUTED_VALUE"""),"17. Bobbie")</f>
        <v>17. Bobbie</v>
      </c>
      <c r="B1563" s="4" t="str">
        <f>IFERROR(__xludf.DUMMYFUNCTION("""COMPUTED_VALUE"""),"17")</f>
        <v>17</v>
      </c>
      <c r="C1563" s="5" t="str">
        <f>IFERROR(__xludf.DUMMYFUNCTION("""COMPUTED_VALUE"""),"https://drive.google.com/file/d/1kFVy3SKfw6FIbQ1S8H1igssGJAN5prfA/view?usp=drivesdk")</f>
        <v>https://drive.google.com/file/d/1kFVy3SKfw6FIbQ1S8H1igssGJAN5prfA/view?usp=drivesdk</v>
      </c>
      <c r="D1563" s="12"/>
      <c r="E1563" s="11">
        <v>1618.0</v>
      </c>
      <c r="F1563" s="2"/>
    </row>
    <row r="1564" ht="1.5" customHeight="1">
      <c r="A1564" s="4" t="str">
        <f>IFERROR(__xludf.DUMMYFUNCTION("""COMPUTED_VALUE"""),"17. Bobbie")</f>
        <v>17. Bobbie</v>
      </c>
      <c r="B1564" s="4" t="str">
        <f>IFERROR(__xludf.DUMMYFUNCTION("""COMPUTED_VALUE"""),"17")</f>
        <v>17</v>
      </c>
      <c r="C1564" s="5" t="str">
        <f>IFERROR(__xludf.DUMMYFUNCTION("""COMPUTED_VALUE"""),"https://drive.google.com/file/d/1CGkpUcfi8nY2rD4l6pq-x8D095SFHC8m/view?usp=drivesdk")</f>
        <v>https://drive.google.com/file/d/1CGkpUcfi8nY2rD4l6pq-x8D095SFHC8m/view?usp=drivesdk</v>
      </c>
      <c r="D1564" s="12"/>
      <c r="E1564" s="6">
        <v>1619.0</v>
      </c>
      <c r="F1564" s="2"/>
    </row>
    <row r="1565" ht="1.5" customHeight="1">
      <c r="A1565" s="4" t="str">
        <f>IFERROR(__xludf.DUMMYFUNCTION("""COMPUTED_VALUE"""),"17. Bobbie")</f>
        <v>17. Bobbie</v>
      </c>
      <c r="B1565" s="4" t="str">
        <f>IFERROR(__xludf.DUMMYFUNCTION("""COMPUTED_VALUE"""),"17")</f>
        <v>17</v>
      </c>
      <c r="C1565" s="5" t="str">
        <f>IFERROR(__xludf.DUMMYFUNCTION("""COMPUTED_VALUE"""),"https://drive.google.com/file/d/1eOas9eusj51B3CYwDZwRODScCOJxZa6t/view?usp=drivesdk")</f>
        <v>https://drive.google.com/file/d/1eOas9eusj51B3CYwDZwRODScCOJxZa6t/view?usp=drivesdk</v>
      </c>
      <c r="D1565" s="12"/>
      <c r="E1565" s="11">
        <v>1620.0</v>
      </c>
      <c r="F1565" s="2"/>
    </row>
    <row r="1566" ht="1.5" customHeight="1">
      <c r="A1566" s="4" t="str">
        <f>IFERROR(__xludf.DUMMYFUNCTION("""COMPUTED_VALUE"""),"17. Bobbie")</f>
        <v>17. Bobbie</v>
      </c>
      <c r="B1566" s="4" t="str">
        <f>IFERROR(__xludf.DUMMYFUNCTION("""COMPUTED_VALUE"""),"17")</f>
        <v>17</v>
      </c>
      <c r="C1566" s="5" t="str">
        <f>IFERROR(__xludf.DUMMYFUNCTION("""COMPUTED_VALUE"""),"https://drive.google.com/file/d/1y7rKy69yH0MBAU_C6jJPLaWwJZP01Tcj/view?usp=drivesdk")</f>
        <v>https://drive.google.com/file/d/1y7rKy69yH0MBAU_C6jJPLaWwJZP01Tcj/view?usp=drivesdk</v>
      </c>
      <c r="D1566" s="12"/>
      <c r="E1566" s="11">
        <v>1621.0</v>
      </c>
      <c r="F1566" s="2"/>
    </row>
    <row r="1567" ht="1.5" customHeight="1">
      <c r="A1567" s="4" t="str">
        <f>IFERROR(__xludf.DUMMYFUNCTION("""COMPUTED_VALUE"""),"17. Bobbie")</f>
        <v>17. Bobbie</v>
      </c>
      <c r="B1567" s="4" t="str">
        <f>IFERROR(__xludf.DUMMYFUNCTION("""COMPUTED_VALUE"""),"17")</f>
        <v>17</v>
      </c>
      <c r="C1567" s="5" t="str">
        <f>IFERROR(__xludf.DUMMYFUNCTION("""COMPUTED_VALUE"""),"https://drive.google.com/file/d/1P3rdExeeUPVOdDDZLTKE_RpusQSV9XdQ/view?usp=drivesdk")</f>
        <v>https://drive.google.com/file/d/1P3rdExeeUPVOdDDZLTKE_RpusQSV9XdQ/view?usp=drivesdk</v>
      </c>
      <c r="D1567" s="12"/>
      <c r="E1567" s="11">
        <v>1622.0</v>
      </c>
      <c r="F1567" s="2"/>
    </row>
    <row r="1568" ht="1.5" customHeight="1">
      <c r="A1568" s="4" t="str">
        <f>IFERROR(__xludf.DUMMYFUNCTION("""COMPUTED_VALUE"""),"27. Angel")</f>
        <v>27. Angel</v>
      </c>
      <c r="B1568" s="4" t="str">
        <f>IFERROR(__xludf.DUMMYFUNCTION("""COMPUTED_VALUE"""),"27")</f>
        <v>27</v>
      </c>
      <c r="C1568" s="5" t="str">
        <f>IFERROR(__xludf.DUMMYFUNCTION("""COMPUTED_VALUE"""),"https://drive.google.com/file/d/1IVCSMw3NTj1u0UgrIua0zAp3Wbpn-FG6/view?usp=drivesdk")</f>
        <v>https://drive.google.com/file/d/1IVCSMw3NTj1u0UgrIua0zAp3Wbpn-FG6/view?usp=drivesdk</v>
      </c>
      <c r="D1568" s="12"/>
      <c r="E1568" s="11">
        <v>1623.0</v>
      </c>
      <c r="F1568" s="2"/>
    </row>
    <row r="1569" ht="1.5" customHeight="1">
      <c r="A1569" s="4" t="str">
        <f>IFERROR(__xludf.DUMMYFUNCTION("""COMPUTED_VALUE"""),"30. Pepper")</f>
        <v>30. Pepper</v>
      </c>
      <c r="B1569" s="4" t="str">
        <f>IFERROR(__xludf.DUMMYFUNCTION("""COMPUTED_VALUE"""),"30")</f>
        <v>30</v>
      </c>
      <c r="C1569" s="5" t="str">
        <f>IFERROR(__xludf.DUMMYFUNCTION("""COMPUTED_VALUE"""),"https://drive.google.com/file/d/115vbKgVskG3LCxz8xr52y-B-5ym0Ns4W/view?usp=drivesdk")</f>
        <v>https://drive.google.com/file/d/115vbKgVskG3LCxz8xr52y-B-5ym0Ns4W/view?usp=drivesdk</v>
      </c>
      <c r="D1569" s="12"/>
      <c r="E1569" s="11">
        <v>1624.0</v>
      </c>
      <c r="F1569" s="2"/>
    </row>
    <row r="1570" ht="1.5" customHeight="1">
      <c r="A1570" s="4" t="str">
        <f>IFERROR(__xludf.DUMMYFUNCTION("""COMPUTED_VALUE"""),"29. Ginger")</f>
        <v>29. Ginger</v>
      </c>
      <c r="B1570" s="4" t="str">
        <f>IFERROR(__xludf.DUMMYFUNCTION("""COMPUTED_VALUE"""),"29")</f>
        <v>29</v>
      </c>
      <c r="C1570" s="5" t="str">
        <f>IFERROR(__xludf.DUMMYFUNCTION("""COMPUTED_VALUE"""),"https://drive.google.com/file/d/1P7STTLWAFMh4JrP4JCMkLS-XuaAbErkz/view?usp=drivesdk")</f>
        <v>https://drive.google.com/file/d/1P7STTLWAFMh4JrP4JCMkLS-XuaAbErkz/view?usp=drivesdk</v>
      </c>
      <c r="D1570" s="12"/>
      <c r="E1570" s="6">
        <v>1625.0</v>
      </c>
      <c r="F1570" s="2"/>
    </row>
    <row r="1571" ht="1.5" customHeight="1">
      <c r="A1571" s="4" t="str">
        <f>IFERROR(__xludf.DUMMYFUNCTION("""COMPUTED_VALUE"""),"29. Ginger")</f>
        <v>29. Ginger</v>
      </c>
      <c r="B1571" s="4" t="str">
        <f>IFERROR(__xludf.DUMMYFUNCTION("""COMPUTED_VALUE"""),"29")</f>
        <v>29</v>
      </c>
      <c r="C1571" s="5" t="str">
        <f>IFERROR(__xludf.DUMMYFUNCTION("""COMPUTED_VALUE"""),"https://drive.google.com/file/d/1lNA4Cuk9LJrV_lNCawyfcEGCl6Ekq8EW/view?usp=drivesdk")</f>
        <v>https://drive.google.com/file/d/1lNA4Cuk9LJrV_lNCawyfcEGCl6Ekq8EW/view?usp=drivesdk</v>
      </c>
      <c r="D1571" s="12"/>
      <c r="E1571" s="6">
        <v>1625.0</v>
      </c>
      <c r="F1571" s="2"/>
    </row>
    <row r="1572" ht="1.5" customHeight="1">
      <c r="A1572" s="4" t="str">
        <f>IFERROR(__xludf.DUMMYFUNCTION("""COMPUTED_VALUE"""),"33. Zee")</f>
        <v>33. Zee</v>
      </c>
      <c r="B1572" s="4" t="str">
        <f>IFERROR(__xludf.DUMMYFUNCTION("""COMPUTED_VALUE"""),"33")</f>
        <v>33</v>
      </c>
      <c r="C1572" s="5" t="str">
        <f>IFERROR(__xludf.DUMMYFUNCTION("""COMPUTED_VALUE"""),"https://drive.google.com/file/d/1PtIKmdIxAWlMB4gGC9gEzoukdtal1-wx/view?usp=drivesdk")</f>
        <v>https://drive.google.com/file/d/1PtIKmdIxAWlMB4gGC9gEzoukdtal1-wx/view?usp=drivesdk</v>
      </c>
      <c r="D1572" s="12"/>
      <c r="E1572" s="11">
        <v>1626.0</v>
      </c>
      <c r="F1572" s="2"/>
    </row>
    <row r="1573" ht="1.5" customHeight="1">
      <c r="A1573" s="4" t="str">
        <f>IFERROR(__xludf.DUMMYFUNCTION("""COMPUTED_VALUE"""),"21. Paquini")</f>
        <v>21. Paquini</v>
      </c>
      <c r="B1573" s="4" t="str">
        <f>IFERROR(__xludf.DUMMYFUNCTION("""COMPUTED_VALUE"""),"21")</f>
        <v>21</v>
      </c>
      <c r="C1573" s="5" t="str">
        <f>IFERROR(__xludf.DUMMYFUNCTION("""COMPUTED_VALUE"""),"https://drive.google.com/file/d/1QejMcgjIQVfapUHW_XJixJKHkBT6p8Ib/view?usp=drivesdk")</f>
        <v>https://drive.google.com/file/d/1QejMcgjIQVfapUHW_XJixJKHkBT6p8Ib/view?usp=drivesdk</v>
      </c>
      <c r="D1573" s="12"/>
      <c r="E1573" s="11">
        <v>1627.0</v>
      </c>
      <c r="F1573" s="2"/>
    </row>
    <row r="1574" ht="1.5" customHeight="1">
      <c r="A1574" s="4" t="str">
        <f>IFERROR(__xludf.DUMMYFUNCTION("""COMPUTED_VALUE"""),"21. Paquini")</f>
        <v>21. Paquini</v>
      </c>
      <c r="B1574" s="4" t="str">
        <f>IFERROR(__xludf.DUMMYFUNCTION("""COMPUTED_VALUE"""),"21")</f>
        <v>21</v>
      </c>
      <c r="C1574" s="5" t="str">
        <f>IFERROR(__xludf.DUMMYFUNCTION("""COMPUTED_VALUE"""),"https://drive.google.com/file/d/1KYT5KoJM5n2fRF-S3LX6PkTnn0_YSCKf/view?usp=drivesdk")</f>
        <v>https://drive.google.com/file/d/1KYT5KoJM5n2fRF-S3LX6PkTnn0_YSCKf/view?usp=drivesdk</v>
      </c>
      <c r="D1574" s="12"/>
      <c r="E1574" s="11">
        <v>1628.0</v>
      </c>
      <c r="F1574" s="2"/>
    </row>
    <row r="1575" ht="1.5" customHeight="1">
      <c r="A1575" s="4" t="str">
        <f>IFERROR(__xludf.DUMMYFUNCTION("""COMPUTED_VALUE"""),"21. Paquini")</f>
        <v>21. Paquini</v>
      </c>
      <c r="B1575" s="4" t="str">
        <f>IFERROR(__xludf.DUMMYFUNCTION("""COMPUTED_VALUE"""),"21")</f>
        <v>21</v>
      </c>
      <c r="C1575" s="5" t="str">
        <f>IFERROR(__xludf.DUMMYFUNCTION("""COMPUTED_VALUE"""),"https://drive.google.com/file/d/1PWfjAZ_c9Pv_L590ntM2cndTCM9AZWge/view?usp=drivesdk")</f>
        <v>https://drive.google.com/file/d/1PWfjAZ_c9Pv_L590ntM2cndTCM9AZWge/view?usp=drivesdk</v>
      </c>
      <c r="D1575" s="12"/>
      <c r="E1575" s="11">
        <v>1628.0</v>
      </c>
      <c r="F1575" s="2"/>
    </row>
    <row r="1576" ht="1.5" customHeight="1">
      <c r="A1576" s="4" t="str">
        <f>IFERROR(__xludf.DUMMYFUNCTION("""COMPUTED_VALUE"""),"21. Paquini, 69. Kinder")</f>
        <v>21. Paquini, 69. Kinder</v>
      </c>
      <c r="B1576" s="4" t="str">
        <f>IFERROR(__xludf.DUMMYFUNCTION("""COMPUTED_VALUE"""),"21, 69")</f>
        <v>21, 69</v>
      </c>
      <c r="C1576" s="5" t="str">
        <f>IFERROR(__xludf.DUMMYFUNCTION("""COMPUTED_VALUE"""),"https://drive.google.com/file/d/1zVrV1FEqtBO4wdXDcJGQ6IjKxTIGP4TS/view?usp=drivesdk")</f>
        <v>https://drive.google.com/file/d/1zVrV1FEqtBO4wdXDcJGQ6IjKxTIGP4TS/view?usp=drivesdk</v>
      </c>
      <c r="D1576" s="12"/>
      <c r="E1576" s="11">
        <v>1629.0</v>
      </c>
      <c r="F1576" s="2"/>
    </row>
    <row r="1577" ht="1.5" customHeight="1">
      <c r="A1577" s="4" t="str">
        <f>IFERROR(__xludf.DUMMYFUNCTION("""COMPUTED_VALUE"""),"21. Paquini, 69. Kinder")</f>
        <v>21. Paquini, 69. Kinder</v>
      </c>
      <c r="B1577" s="4" t="str">
        <f>IFERROR(__xludf.DUMMYFUNCTION("""COMPUTED_VALUE"""),"21, 69")</f>
        <v>21, 69</v>
      </c>
      <c r="C1577" s="5" t="str">
        <f>IFERROR(__xludf.DUMMYFUNCTION("""COMPUTED_VALUE"""),"https://drive.google.com/file/d/190Nk7a-JO7KMLRgrAPDk2xLlolciLG3M/view?usp=drivesdk")</f>
        <v>https://drive.google.com/file/d/190Nk7a-JO7KMLRgrAPDk2xLlolciLG3M/view?usp=drivesdk</v>
      </c>
      <c r="D1577" s="12"/>
      <c r="E1577" s="11">
        <v>1630.0</v>
      </c>
      <c r="F1577" s="2"/>
    </row>
    <row r="1578" ht="1.5" customHeight="1">
      <c r="A1578" s="4" t="str">
        <f>IFERROR(__xludf.DUMMYFUNCTION("""COMPUTED_VALUE"""),"1. Microwave")</f>
        <v>1. Microwave</v>
      </c>
      <c r="B1578" s="4" t="str">
        <f>IFERROR(__xludf.DUMMYFUNCTION("""COMPUTED_VALUE"""),"1")</f>
        <v>1</v>
      </c>
      <c r="C1578" s="5" t="str">
        <f>IFERROR(__xludf.DUMMYFUNCTION("""COMPUTED_VALUE"""),"https://drive.google.com/file/d/1gxM8BgK7HVbHgdeTChXtScEgpmKWrTXq/view?usp=drivesdk")</f>
        <v>https://drive.google.com/file/d/1gxM8BgK7HVbHgdeTChXtScEgpmKWrTXq/view?usp=drivesdk</v>
      </c>
      <c r="D1578" s="12"/>
      <c r="E1578" s="6">
        <v>1631.0</v>
      </c>
      <c r="F1578" s="2"/>
    </row>
    <row r="1579" ht="1.5" customHeight="1">
      <c r="A1579" s="4" t="str">
        <f>IFERROR(__xludf.DUMMYFUNCTION("""COMPUTED_VALUE"""),"1. Microwave")</f>
        <v>1. Microwave</v>
      </c>
      <c r="B1579" s="4" t="str">
        <f>IFERROR(__xludf.DUMMYFUNCTION("""COMPUTED_VALUE"""),"1")</f>
        <v>1</v>
      </c>
      <c r="C1579" s="5" t="str">
        <f>IFERROR(__xludf.DUMMYFUNCTION("""COMPUTED_VALUE"""),"https://drive.google.com/file/d/1K3emJw4DbStCMXoc1KQWbjrOWjjQ3Gsp/view?usp=drivesdk")</f>
        <v>https://drive.google.com/file/d/1K3emJw4DbStCMXoc1KQWbjrOWjjQ3Gsp/view?usp=drivesdk</v>
      </c>
      <c r="D1579" s="12"/>
      <c r="E1579" s="11">
        <v>1632.0</v>
      </c>
      <c r="F1579" s="2"/>
    </row>
    <row r="1580" ht="1.5" customHeight="1">
      <c r="A1580" s="4" t="str">
        <f>IFERROR(__xludf.DUMMYFUNCTION("""COMPUTED_VALUE"""),"1. Microwave")</f>
        <v>1. Microwave</v>
      </c>
      <c r="B1580" s="4" t="str">
        <f>IFERROR(__xludf.DUMMYFUNCTION("""COMPUTED_VALUE"""),"1")</f>
        <v>1</v>
      </c>
      <c r="C1580" s="5" t="str">
        <f>IFERROR(__xludf.DUMMYFUNCTION("""COMPUTED_VALUE"""),"https://drive.google.com/file/d/196fYmBD-PyhCqnxI-kI_EpU9nq6I1gI1/view?usp=drivesdk")</f>
        <v>https://drive.google.com/file/d/196fYmBD-PyhCqnxI-kI_EpU9nq6I1gI1/view?usp=drivesdk</v>
      </c>
      <c r="D1580" s="12"/>
      <c r="E1580" s="6">
        <v>1633.0</v>
      </c>
      <c r="F1580" s="2"/>
    </row>
    <row r="1581" ht="1.5" customHeight="1">
      <c r="A1581" s="4" t="str">
        <f>IFERROR(__xludf.DUMMYFUNCTION("""COMPUTED_VALUE"""),"1. Microwave")</f>
        <v>1. Microwave</v>
      </c>
      <c r="B1581" s="4" t="str">
        <f>IFERROR(__xludf.DUMMYFUNCTION("""COMPUTED_VALUE"""),"1")</f>
        <v>1</v>
      </c>
      <c r="C1581" s="5" t="str">
        <f>IFERROR(__xludf.DUMMYFUNCTION("""COMPUTED_VALUE"""),"https://drive.google.com/file/d/1cmGZVNaACB3KeOHiagZkRzDygAOpocfm/view?usp=drivesdk")</f>
        <v>https://drive.google.com/file/d/1cmGZVNaACB3KeOHiagZkRzDygAOpocfm/view?usp=drivesdk</v>
      </c>
      <c r="D1581" s="12"/>
      <c r="E1581" s="6">
        <v>1633.0</v>
      </c>
      <c r="F1581" s="2"/>
    </row>
    <row r="1582" ht="1.5" customHeight="1">
      <c r="A1582" s="4" t="str">
        <f>IFERROR(__xludf.DUMMYFUNCTION("""COMPUTED_VALUE"""),"1. Microwave")</f>
        <v>1. Microwave</v>
      </c>
      <c r="B1582" s="4" t="str">
        <f>IFERROR(__xludf.DUMMYFUNCTION("""COMPUTED_VALUE"""),"1")</f>
        <v>1</v>
      </c>
      <c r="C1582" s="5" t="str">
        <f>IFERROR(__xludf.DUMMYFUNCTION("""COMPUTED_VALUE"""),"https://drive.google.com/file/d/1vtjcrBgYKAdrYTTvEFSJc5Ht9f2cjqc4/view?usp=drivesdk")</f>
        <v>https://drive.google.com/file/d/1vtjcrBgYKAdrYTTvEFSJc5Ht9f2cjqc4/view?usp=drivesdk</v>
      </c>
      <c r="D1582" s="12"/>
      <c r="E1582" s="13">
        <v>1635.0</v>
      </c>
      <c r="F1582" s="2"/>
    </row>
    <row r="1583" ht="1.5" customHeight="1">
      <c r="A1583" s="4" t="str">
        <f>IFERROR(__xludf.DUMMYFUNCTION("""COMPUTED_VALUE"""),"1. Microwave")</f>
        <v>1. Microwave</v>
      </c>
      <c r="B1583" s="4" t="str">
        <f>IFERROR(__xludf.DUMMYFUNCTION("""COMPUTED_VALUE"""),"1")</f>
        <v>1</v>
      </c>
      <c r="C1583" s="5" t="str">
        <f>IFERROR(__xludf.DUMMYFUNCTION("""COMPUTED_VALUE"""),"https://drive.google.com/file/d/1JGyYUZZrpRlgCZf529H56rZa4IUH5C-o/view?usp=drivesdk")</f>
        <v>https://drive.google.com/file/d/1JGyYUZZrpRlgCZf529H56rZa4IUH5C-o/view?usp=drivesdk</v>
      </c>
      <c r="D1583" s="12"/>
      <c r="E1583" s="13">
        <v>1636.0</v>
      </c>
      <c r="F1583" s="2"/>
    </row>
    <row r="1584" ht="1.5" customHeight="1">
      <c r="A1584" s="4" t="str">
        <f>IFERROR(__xludf.DUMMYFUNCTION("""COMPUTED_VALUE"""),"1. Microwave")</f>
        <v>1. Microwave</v>
      </c>
      <c r="B1584" s="4" t="str">
        <f>IFERROR(__xludf.DUMMYFUNCTION("""COMPUTED_VALUE"""),"1")</f>
        <v>1</v>
      </c>
      <c r="C1584" s="5" t="str">
        <f>IFERROR(__xludf.DUMMYFUNCTION("""COMPUTED_VALUE"""),"https://drive.google.com/file/d/1PPhoZJmdy51GKy7k1PuyCEbk3z_LkhBC/view?usp=drivesdk")</f>
        <v>https://drive.google.com/file/d/1PPhoZJmdy51GKy7k1PuyCEbk3z_LkhBC/view?usp=drivesdk</v>
      </c>
      <c r="D1584" s="12"/>
      <c r="E1584" s="13">
        <v>1636.0</v>
      </c>
      <c r="F1584" s="2"/>
    </row>
    <row r="1585" ht="1.5" customHeight="1">
      <c r="A1585" s="4" t="str">
        <f>IFERROR(__xludf.DUMMYFUNCTION("""COMPUTED_VALUE"""),"1. Microwave")</f>
        <v>1. Microwave</v>
      </c>
      <c r="B1585" s="4" t="str">
        <f>IFERROR(__xludf.DUMMYFUNCTION("""COMPUTED_VALUE"""),"1")</f>
        <v>1</v>
      </c>
      <c r="C1585" s="5" t="str">
        <f>IFERROR(__xludf.DUMMYFUNCTION("""COMPUTED_VALUE"""),"https://drive.google.com/file/d/1CmxiCZhKKC76r0Q9mWDan0G_pqqe4e4S/view?usp=drivesdk")</f>
        <v>https://drive.google.com/file/d/1CmxiCZhKKC76r0Q9mWDan0G_pqqe4e4S/view?usp=drivesdk</v>
      </c>
      <c r="D1585" s="12"/>
      <c r="E1585" s="13">
        <v>1637.0</v>
      </c>
      <c r="F1585" s="2"/>
    </row>
    <row r="1586" ht="1.5" customHeight="1">
      <c r="A1586" s="4" t="str">
        <f>IFERROR(__xludf.DUMMYFUNCTION("""COMPUTED_VALUE"""),"1. Microwave")</f>
        <v>1. Microwave</v>
      </c>
      <c r="B1586" s="4" t="str">
        <f>IFERROR(__xludf.DUMMYFUNCTION("""COMPUTED_VALUE"""),"1")</f>
        <v>1</v>
      </c>
      <c r="C1586" s="5" t="str">
        <f>IFERROR(__xludf.DUMMYFUNCTION("""COMPUTED_VALUE"""),"https://drive.google.com/file/d/1H6eNvfb8i7eY4IzdTmkPOyF-bu3adcqm/view?usp=drivesdk")</f>
        <v>https://drive.google.com/file/d/1H6eNvfb8i7eY4IzdTmkPOyF-bu3adcqm/view?usp=drivesdk</v>
      </c>
      <c r="D1586" s="12"/>
      <c r="E1586" s="13">
        <v>1638.0</v>
      </c>
      <c r="F1586" s="2"/>
    </row>
    <row r="1587" ht="1.5" customHeight="1">
      <c r="A1587" s="4" t="str">
        <f>IFERROR(__xludf.DUMMYFUNCTION("""COMPUTED_VALUE"""),"1. Microwave")</f>
        <v>1. Microwave</v>
      </c>
      <c r="B1587" s="4" t="str">
        <f>IFERROR(__xludf.DUMMYFUNCTION("""COMPUTED_VALUE"""),"1")</f>
        <v>1</v>
      </c>
      <c r="C1587" s="5" t="str">
        <f>IFERROR(__xludf.DUMMYFUNCTION("""COMPUTED_VALUE"""),"https://drive.google.com/file/d/1h3NZz4_cTYox8BNyQf2KcqgL4NJQ-9Au/view?usp=drivesdk")</f>
        <v>https://drive.google.com/file/d/1h3NZz4_cTYox8BNyQf2KcqgL4NJQ-9Au/view?usp=drivesdk</v>
      </c>
      <c r="D1587" s="12"/>
      <c r="E1587" s="13">
        <v>1639.0</v>
      </c>
      <c r="F1587" s="2"/>
    </row>
    <row r="1588" ht="1.5" customHeight="1">
      <c r="A1588" s="4" t="str">
        <f>IFERROR(__xludf.DUMMYFUNCTION("""COMPUTED_VALUE"""),"1. Microwave")</f>
        <v>1. Microwave</v>
      </c>
      <c r="B1588" s="4" t="str">
        <f>IFERROR(__xludf.DUMMYFUNCTION("""COMPUTED_VALUE"""),"1")</f>
        <v>1</v>
      </c>
      <c r="C1588" s="5" t="str">
        <f>IFERROR(__xludf.DUMMYFUNCTION("""COMPUTED_VALUE"""),"https://drive.google.com/file/d/1NWp3rUN3Jcy-eSNcQAeemJdrpTYupLNF/view?usp=drivesdk")</f>
        <v>https://drive.google.com/file/d/1NWp3rUN3Jcy-eSNcQAeemJdrpTYupLNF/view?usp=drivesdk</v>
      </c>
      <c r="D1588" s="12"/>
      <c r="E1588" s="13">
        <v>1640.0</v>
      </c>
      <c r="F1588" s="2"/>
    </row>
    <row r="1589" ht="1.5" customHeight="1">
      <c r="A1589" s="4" t="str">
        <f>IFERROR(__xludf.DUMMYFUNCTION("""COMPUTED_VALUE"""),"1. Microwave")</f>
        <v>1. Microwave</v>
      </c>
      <c r="B1589" s="4" t="str">
        <f>IFERROR(__xludf.DUMMYFUNCTION("""COMPUTED_VALUE"""),"1")</f>
        <v>1</v>
      </c>
      <c r="C1589" s="5" t="str">
        <f>IFERROR(__xludf.DUMMYFUNCTION("""COMPUTED_VALUE"""),"https://drive.google.com/file/d/1OdcpzB39JvPF9x-3avksUcw6UK5dsbhB/view?usp=drivesdk")</f>
        <v>https://drive.google.com/file/d/1OdcpzB39JvPF9x-3avksUcw6UK5dsbhB/view?usp=drivesdk</v>
      </c>
      <c r="D1589" s="12"/>
      <c r="E1589" s="13">
        <v>1641.0</v>
      </c>
      <c r="F1589" s="2"/>
    </row>
    <row r="1590" ht="1.5" customHeight="1">
      <c r="A1590" s="4" t="str">
        <f>IFERROR(__xludf.DUMMYFUNCTION("""COMPUTED_VALUE"""),"1. Microwave")</f>
        <v>1. Microwave</v>
      </c>
      <c r="B1590" s="4" t="str">
        <f>IFERROR(__xludf.DUMMYFUNCTION("""COMPUTED_VALUE"""),"1")</f>
        <v>1</v>
      </c>
      <c r="C1590" s="5" t="str">
        <f>IFERROR(__xludf.DUMMYFUNCTION("""COMPUTED_VALUE"""),"https://drive.google.com/file/d/1LI2eRelL7Ja75PwxdjwxCq3s6GvHJJES/view?usp=drivesdk")</f>
        <v>https://drive.google.com/file/d/1LI2eRelL7Ja75PwxdjwxCq3s6GvHJJES/view?usp=drivesdk</v>
      </c>
      <c r="D1590" s="12"/>
      <c r="E1590" s="13">
        <v>1642.0</v>
      </c>
      <c r="F1590" s="2"/>
    </row>
    <row r="1591" ht="1.5" customHeight="1">
      <c r="A1591" s="4" t="str">
        <f>IFERROR(__xludf.DUMMYFUNCTION("""COMPUTED_VALUE"""),"1. Microwave")</f>
        <v>1. Microwave</v>
      </c>
      <c r="B1591" s="4" t="str">
        <f>IFERROR(__xludf.DUMMYFUNCTION("""COMPUTED_VALUE"""),"1")</f>
        <v>1</v>
      </c>
      <c r="C1591" s="5" t="str">
        <f>IFERROR(__xludf.DUMMYFUNCTION("""COMPUTED_VALUE"""),"https://drive.google.com/file/d/1MJvdU1IZNrJugnCJ0Ht8wRAV1t0kgpAf/view?usp=drivesdk")</f>
        <v>https://drive.google.com/file/d/1MJvdU1IZNrJugnCJ0Ht8wRAV1t0kgpAf/view?usp=drivesdk</v>
      </c>
      <c r="D1591" s="12"/>
      <c r="E1591" s="13">
        <v>1643.0</v>
      </c>
      <c r="F1591" s="2"/>
    </row>
    <row r="1592" ht="1.5" customHeight="1">
      <c r="A1592" s="4" t="str">
        <f>IFERROR(__xludf.DUMMYFUNCTION("""COMPUTED_VALUE"""),"1. Microwave")</f>
        <v>1. Microwave</v>
      </c>
      <c r="B1592" s="4" t="str">
        <f>IFERROR(__xludf.DUMMYFUNCTION("""COMPUTED_VALUE"""),"1")</f>
        <v>1</v>
      </c>
      <c r="C1592" s="5" t="str">
        <f>IFERROR(__xludf.DUMMYFUNCTION("""COMPUTED_VALUE"""),"https://drive.google.com/file/d/13bLnU11LPFskj--DULmSyv9cZP-rzxd0/view?usp=drivesdk")</f>
        <v>https://drive.google.com/file/d/13bLnU11LPFskj--DULmSyv9cZP-rzxd0/view?usp=drivesdk</v>
      </c>
      <c r="D1592" s="12"/>
      <c r="E1592" s="13">
        <v>1644.0</v>
      </c>
      <c r="F1592" s="2"/>
    </row>
    <row r="1593" ht="1.5" customHeight="1">
      <c r="A1593" s="4" t="str">
        <f>IFERROR(__xludf.DUMMYFUNCTION("""COMPUTED_VALUE"""),"1. Microwave")</f>
        <v>1. Microwave</v>
      </c>
      <c r="B1593" s="4" t="str">
        <f>IFERROR(__xludf.DUMMYFUNCTION("""COMPUTED_VALUE"""),"1")</f>
        <v>1</v>
      </c>
      <c r="C1593" s="5" t="str">
        <f>IFERROR(__xludf.DUMMYFUNCTION("""COMPUTED_VALUE"""),"https://drive.google.com/file/d/1tcG96F35XdGeM_PrPNQ1_yKYexTs-Bzj/view?usp=drivesdk")</f>
        <v>https://drive.google.com/file/d/1tcG96F35XdGeM_PrPNQ1_yKYexTs-Bzj/view?usp=drivesdk</v>
      </c>
      <c r="D1593" s="12"/>
      <c r="E1593" s="13">
        <v>1645.0</v>
      </c>
      <c r="F1593" s="2"/>
    </row>
    <row r="1594" ht="1.5" customHeight="1">
      <c r="A1594" s="4" t="str">
        <f>IFERROR(__xludf.DUMMYFUNCTION("""COMPUTED_VALUE"""),"1. Microwave")</f>
        <v>1. Microwave</v>
      </c>
      <c r="B1594" s="4" t="str">
        <f>IFERROR(__xludf.DUMMYFUNCTION("""COMPUTED_VALUE"""),"1")</f>
        <v>1</v>
      </c>
      <c r="C1594" s="5" t="str">
        <f>IFERROR(__xludf.DUMMYFUNCTION("""COMPUTED_VALUE"""),"https://drive.google.com/file/d/1eG9aYvoiiqtZ5B5rnOei2LZjn9YqJ7AW/view?usp=drivesdk")</f>
        <v>https://drive.google.com/file/d/1eG9aYvoiiqtZ5B5rnOei2LZjn9YqJ7AW/view?usp=drivesdk</v>
      </c>
      <c r="D1594" s="12"/>
      <c r="E1594" s="13">
        <v>1646.0</v>
      </c>
      <c r="F1594" s="2"/>
    </row>
    <row r="1595" ht="1.5" customHeight="1">
      <c r="A1595" s="4" t="str">
        <f>IFERROR(__xludf.DUMMYFUNCTION("""COMPUTED_VALUE"""),"1. Microwave")</f>
        <v>1. Microwave</v>
      </c>
      <c r="B1595" s="4" t="str">
        <f>IFERROR(__xludf.DUMMYFUNCTION("""COMPUTED_VALUE"""),"1")</f>
        <v>1</v>
      </c>
      <c r="C1595" s="5" t="str">
        <f>IFERROR(__xludf.DUMMYFUNCTION("""COMPUTED_VALUE"""),"https://drive.google.com/file/d/1PRsKGvKAWZRRLE6q6zW1Imgk_uurbQlo/view?usp=drivesdk")</f>
        <v>https://drive.google.com/file/d/1PRsKGvKAWZRRLE6q6zW1Imgk_uurbQlo/view?usp=drivesdk</v>
      </c>
      <c r="D1595" s="12"/>
      <c r="E1595" s="13">
        <v>1647.0</v>
      </c>
      <c r="F1595" s="2"/>
    </row>
    <row r="1596" ht="1.5" customHeight="1">
      <c r="A1596" s="4" t="str">
        <f>IFERROR(__xludf.DUMMYFUNCTION("""COMPUTED_VALUE"""),"1. Microwave")</f>
        <v>1. Microwave</v>
      </c>
      <c r="B1596" s="4" t="str">
        <f>IFERROR(__xludf.DUMMYFUNCTION("""COMPUTED_VALUE"""),"1")</f>
        <v>1</v>
      </c>
      <c r="C1596" s="5" t="str">
        <f>IFERROR(__xludf.DUMMYFUNCTION("""COMPUTED_VALUE"""),"https://drive.google.com/file/d/1wd6kb3UwlKCEKNMBcnOnMD0LA-OhTnQw/view?usp=drivesdk")</f>
        <v>https://drive.google.com/file/d/1wd6kb3UwlKCEKNMBcnOnMD0LA-OhTnQw/view?usp=drivesdk</v>
      </c>
      <c r="D1596" s="12"/>
      <c r="E1596" s="13">
        <v>1648.0</v>
      </c>
      <c r="F1596" s="2"/>
    </row>
    <row r="1597" ht="1.5" customHeight="1">
      <c r="A1597" s="4" t="str">
        <f>IFERROR(__xludf.DUMMYFUNCTION("""COMPUTED_VALUE"""),"1. Microwave")</f>
        <v>1. Microwave</v>
      </c>
      <c r="B1597" s="4" t="str">
        <f>IFERROR(__xludf.DUMMYFUNCTION("""COMPUTED_VALUE"""),"1")</f>
        <v>1</v>
      </c>
      <c r="C1597" s="5" t="str">
        <f>IFERROR(__xludf.DUMMYFUNCTION("""COMPUTED_VALUE"""),"https://drive.google.com/file/d/1FET9XQPhXVrtxbTNJ9IlNmHgoXZ6grpF/view?usp=drivesdk")</f>
        <v>https://drive.google.com/file/d/1FET9XQPhXVrtxbTNJ9IlNmHgoXZ6grpF/view?usp=drivesdk</v>
      </c>
      <c r="D1597" s="12"/>
      <c r="E1597" s="13">
        <v>1649.0</v>
      </c>
      <c r="F1597" s="2"/>
    </row>
    <row r="1598" ht="1.5" customHeight="1">
      <c r="A1598" s="4" t="str">
        <f>IFERROR(__xludf.DUMMYFUNCTION("""COMPUTED_VALUE"""),"1. Microwave")</f>
        <v>1. Microwave</v>
      </c>
      <c r="B1598" s="4" t="str">
        <f>IFERROR(__xludf.DUMMYFUNCTION("""COMPUTED_VALUE"""),"1")</f>
        <v>1</v>
      </c>
      <c r="C1598" s="5" t="str">
        <f>IFERROR(__xludf.DUMMYFUNCTION("""COMPUTED_VALUE"""),"https://drive.google.com/file/d/1ktg51-eWmt6Q4sHmGofHiXfkBksk-oAt/view?usp=drivesdk")</f>
        <v>https://drive.google.com/file/d/1ktg51-eWmt6Q4sHmGofHiXfkBksk-oAt/view?usp=drivesdk</v>
      </c>
      <c r="D1598" s="12"/>
      <c r="E1598" s="13">
        <v>1650.0</v>
      </c>
      <c r="F1598" s="2"/>
    </row>
    <row r="1599" ht="1.5" customHeight="1">
      <c r="A1599" s="4" t="str">
        <f>IFERROR(__xludf.DUMMYFUNCTION("""COMPUTED_VALUE"""),"1. Microwave")</f>
        <v>1. Microwave</v>
      </c>
      <c r="B1599" s="4" t="str">
        <f>IFERROR(__xludf.DUMMYFUNCTION("""COMPUTED_VALUE"""),"1")</f>
        <v>1</v>
      </c>
      <c r="C1599" s="5" t="str">
        <f>IFERROR(__xludf.DUMMYFUNCTION("""COMPUTED_VALUE"""),"https://drive.google.com/file/d/1UQF_g-2OP1dwC6__MCiGwEM5e6S5L8ax/view?usp=drivesdk")</f>
        <v>https://drive.google.com/file/d/1UQF_g-2OP1dwC6__MCiGwEM5e6S5L8ax/view?usp=drivesdk</v>
      </c>
      <c r="D1599" s="12"/>
      <c r="E1599" s="13">
        <v>1651.0</v>
      </c>
      <c r="F1599" s="2"/>
    </row>
    <row r="1600" ht="1.5" customHeight="1">
      <c r="A1600" s="4" t="str">
        <f>IFERROR(__xludf.DUMMYFUNCTION("""COMPUTED_VALUE"""),"1. Microwave")</f>
        <v>1. Microwave</v>
      </c>
      <c r="B1600" s="4" t="str">
        <f>IFERROR(__xludf.DUMMYFUNCTION("""COMPUTED_VALUE"""),"1")</f>
        <v>1</v>
      </c>
      <c r="C1600" s="5" t="str">
        <f>IFERROR(__xludf.DUMMYFUNCTION("""COMPUTED_VALUE"""),"https://drive.google.com/file/d/1tdpLaQ9E24ulFra7-XTuVJgQ04Kn0lsu/view?usp=drivesdk")</f>
        <v>https://drive.google.com/file/d/1tdpLaQ9E24ulFra7-XTuVJgQ04Kn0lsu/view?usp=drivesdk</v>
      </c>
      <c r="D1600" s="12"/>
      <c r="E1600" s="13">
        <v>1651.0</v>
      </c>
      <c r="F1600" s="2"/>
    </row>
    <row r="1601" ht="1.5" customHeight="1">
      <c r="A1601" s="4" t="str">
        <f>IFERROR(__xludf.DUMMYFUNCTION("""COMPUTED_VALUE"""),"1. Microwave")</f>
        <v>1. Microwave</v>
      </c>
      <c r="B1601" s="4" t="str">
        <f>IFERROR(__xludf.DUMMYFUNCTION("""COMPUTED_VALUE"""),"1")</f>
        <v>1</v>
      </c>
      <c r="C1601" s="5" t="str">
        <f>IFERROR(__xludf.DUMMYFUNCTION("""COMPUTED_VALUE"""),"https://drive.google.com/file/d/1R-6Nj2lb34dcDIQClnpVBLOaOjzFvBc0/view?usp=drivesdk")</f>
        <v>https://drive.google.com/file/d/1R-6Nj2lb34dcDIQClnpVBLOaOjzFvBc0/view?usp=drivesdk</v>
      </c>
      <c r="D1601" s="12"/>
      <c r="E1601" s="13">
        <v>1652.0</v>
      </c>
      <c r="F1601" s="2"/>
    </row>
    <row r="1602" ht="1.5" customHeight="1">
      <c r="A1602" s="4" t="str">
        <f>IFERROR(__xludf.DUMMYFUNCTION("""COMPUTED_VALUE"""),"1. Microwave")</f>
        <v>1. Microwave</v>
      </c>
      <c r="B1602" s="4" t="str">
        <f>IFERROR(__xludf.DUMMYFUNCTION("""COMPUTED_VALUE"""),"1")</f>
        <v>1</v>
      </c>
      <c r="C1602" s="5" t="str">
        <f>IFERROR(__xludf.DUMMYFUNCTION("""COMPUTED_VALUE"""),"https://drive.google.com/file/d/1cQgROJlTwKvQdbWh0UBReXRnn5AqLt-9/view?usp=drivesdk")</f>
        <v>https://drive.google.com/file/d/1cQgROJlTwKvQdbWh0UBReXRnn5AqLt-9/view?usp=drivesdk</v>
      </c>
      <c r="D1602" s="12"/>
      <c r="E1602" s="13">
        <v>1653.0</v>
      </c>
      <c r="F1602" s="2"/>
    </row>
    <row r="1603" ht="1.5" customHeight="1">
      <c r="A1603" s="4" t="str">
        <f>IFERROR(__xludf.DUMMYFUNCTION("""COMPUTED_VALUE"""),"1. Microwave")</f>
        <v>1. Microwave</v>
      </c>
      <c r="B1603" s="4" t="str">
        <f>IFERROR(__xludf.DUMMYFUNCTION("""COMPUTED_VALUE"""),"1")</f>
        <v>1</v>
      </c>
      <c r="C1603" s="5" t="str">
        <f>IFERROR(__xludf.DUMMYFUNCTION("""COMPUTED_VALUE"""),"https://drive.google.com/file/d/1W378AFQ8zjJuO2CZxB0rF5L7VMRQNo2-/view?usp=drivesdk")</f>
        <v>https://drive.google.com/file/d/1W378AFQ8zjJuO2CZxB0rF5L7VMRQNo2-/view?usp=drivesdk</v>
      </c>
      <c r="D1603" s="12"/>
      <c r="E1603" s="13">
        <v>1654.0</v>
      </c>
      <c r="F1603" s="2"/>
    </row>
    <row r="1604" ht="1.5" customHeight="1">
      <c r="A1604" s="4" t="str">
        <f>IFERROR(__xludf.DUMMYFUNCTION("""COMPUTED_VALUE"""),"1. Microwave")</f>
        <v>1. Microwave</v>
      </c>
      <c r="B1604" s="4" t="str">
        <f>IFERROR(__xludf.DUMMYFUNCTION("""COMPUTED_VALUE"""),"1")</f>
        <v>1</v>
      </c>
      <c r="C1604" s="5" t="str">
        <f>IFERROR(__xludf.DUMMYFUNCTION("""COMPUTED_VALUE"""),"https://drive.google.com/file/d/1hgBhFYVkq5npBGRg8ds12iWXLLnmhST4/view?usp=drivesdk")</f>
        <v>https://drive.google.com/file/d/1hgBhFYVkq5npBGRg8ds12iWXLLnmhST4/view?usp=drivesdk</v>
      </c>
      <c r="D1604" s="12"/>
      <c r="E1604" s="13">
        <v>1655.0</v>
      </c>
      <c r="F1604" s="2"/>
    </row>
    <row r="1605" ht="1.5" customHeight="1">
      <c r="A1605" s="4" t="str">
        <f>IFERROR(__xludf.DUMMYFUNCTION("""COMPUTED_VALUE"""),"1. Microwave")</f>
        <v>1. Microwave</v>
      </c>
      <c r="B1605" s="4" t="str">
        <f>IFERROR(__xludf.DUMMYFUNCTION("""COMPUTED_VALUE"""),"1")</f>
        <v>1</v>
      </c>
      <c r="C1605" s="5" t="str">
        <f>IFERROR(__xludf.DUMMYFUNCTION("""COMPUTED_VALUE"""),"https://drive.google.com/file/d/1a977EUY627kmgCBIeaUZaMfkix4WaTSU/view?usp=drivesdk")</f>
        <v>https://drive.google.com/file/d/1a977EUY627kmgCBIeaUZaMfkix4WaTSU/view?usp=drivesdk</v>
      </c>
      <c r="D1605" s="12"/>
      <c r="E1605" s="13">
        <v>1656.0</v>
      </c>
      <c r="F1605" s="2"/>
    </row>
    <row r="1606" ht="1.5" customHeight="1">
      <c r="A1606" s="4" t="str">
        <f>IFERROR(__xludf.DUMMYFUNCTION("""COMPUTED_VALUE"""),"2. Twix")</f>
        <v>2. Twix</v>
      </c>
      <c r="B1606" s="4" t="str">
        <f>IFERROR(__xludf.DUMMYFUNCTION("""COMPUTED_VALUE"""),"2")</f>
        <v>2</v>
      </c>
      <c r="C1606" s="5" t="str">
        <f>IFERROR(__xludf.DUMMYFUNCTION("""COMPUTED_VALUE"""),"https://drive.google.com/file/d/1HELLF1_4JltOvFiOL-kzxYDYdXtJSdKV/view?usp=drivesdk")</f>
        <v>https://drive.google.com/file/d/1HELLF1_4JltOvFiOL-kzxYDYdXtJSdKV/view?usp=drivesdk</v>
      </c>
      <c r="D1606" s="12"/>
      <c r="E1606" s="13">
        <v>1657.0</v>
      </c>
      <c r="F1606" s="2"/>
    </row>
    <row r="1607" ht="1.5" customHeight="1">
      <c r="A1607" s="4" t="str">
        <f>IFERROR(__xludf.DUMMYFUNCTION("""COMPUTED_VALUE"""),"2. Twix")</f>
        <v>2. Twix</v>
      </c>
      <c r="B1607" s="4" t="str">
        <f>IFERROR(__xludf.DUMMYFUNCTION("""COMPUTED_VALUE"""),"2")</f>
        <v>2</v>
      </c>
      <c r="C1607" s="5" t="str">
        <f>IFERROR(__xludf.DUMMYFUNCTION("""COMPUTED_VALUE"""),"https://drive.google.com/file/d/1e7U7M7o6Wcmxb-cSZiOjGfAYfmNKxiHe/view?usp=drivesdk")</f>
        <v>https://drive.google.com/file/d/1e7U7M7o6Wcmxb-cSZiOjGfAYfmNKxiHe/view?usp=drivesdk</v>
      </c>
      <c r="D1607" s="12"/>
      <c r="E1607" s="13">
        <v>1658.0</v>
      </c>
      <c r="F1607" s="2"/>
    </row>
    <row r="1608" ht="1.5" customHeight="1">
      <c r="A1608" s="4" t="str">
        <f>IFERROR(__xludf.DUMMYFUNCTION("""COMPUTED_VALUE"""),"2. Twix")</f>
        <v>2. Twix</v>
      </c>
      <c r="B1608" s="4" t="str">
        <f>IFERROR(__xludf.DUMMYFUNCTION("""COMPUTED_VALUE"""),"2")</f>
        <v>2</v>
      </c>
      <c r="C1608" s="5" t="str">
        <f>IFERROR(__xludf.DUMMYFUNCTION("""COMPUTED_VALUE"""),"https://drive.google.com/file/d/1lVjY76N0WKj-zEMuApoSMYiFYbJXIqKX/view?usp=drivesdk")</f>
        <v>https://drive.google.com/file/d/1lVjY76N0WKj-zEMuApoSMYiFYbJXIqKX/view?usp=drivesdk</v>
      </c>
      <c r="D1608" s="12"/>
      <c r="E1608" s="13">
        <v>1658.0</v>
      </c>
      <c r="F1608" s="2"/>
    </row>
    <row r="1609" ht="1.5" customHeight="1">
      <c r="A1609" s="4" t="str">
        <f>IFERROR(__xludf.DUMMYFUNCTION("""COMPUTED_VALUE"""),"2. Twix")</f>
        <v>2. Twix</v>
      </c>
      <c r="B1609" s="4" t="str">
        <f>IFERROR(__xludf.DUMMYFUNCTION("""COMPUTED_VALUE"""),"2")</f>
        <v>2</v>
      </c>
      <c r="C1609" s="5" t="str">
        <f>IFERROR(__xludf.DUMMYFUNCTION("""COMPUTED_VALUE"""),"https://drive.google.com/file/d/1_iVZgoP64bNOmRcj7gHRw9lPEWYHRhh9/view?usp=drivesdk")</f>
        <v>https://drive.google.com/file/d/1_iVZgoP64bNOmRcj7gHRw9lPEWYHRhh9/view?usp=drivesdk</v>
      </c>
      <c r="D1609" s="12"/>
      <c r="E1609" s="13">
        <v>1659.0</v>
      </c>
      <c r="F1609" s="2"/>
    </row>
    <row r="1610" ht="1.5" customHeight="1">
      <c r="A1610" s="4" t="str">
        <f>IFERROR(__xludf.DUMMYFUNCTION("""COMPUTED_VALUE"""),"2. Twix")</f>
        <v>2. Twix</v>
      </c>
      <c r="B1610" s="4" t="str">
        <f>IFERROR(__xludf.DUMMYFUNCTION("""COMPUTED_VALUE"""),"2")</f>
        <v>2</v>
      </c>
      <c r="C1610" s="5" t="str">
        <f>IFERROR(__xludf.DUMMYFUNCTION("""COMPUTED_VALUE"""),"https://drive.google.com/file/d/1z9025Ge6J3VMU7OcLzVL3KFsZj1mcwbr/view?usp=drivesdk")</f>
        <v>https://drive.google.com/file/d/1z9025Ge6J3VMU7OcLzVL3KFsZj1mcwbr/view?usp=drivesdk</v>
      </c>
      <c r="D1610" s="12"/>
      <c r="E1610" s="13">
        <v>1660.0</v>
      </c>
      <c r="F1610" s="2"/>
    </row>
    <row r="1611" ht="1.5" customHeight="1">
      <c r="A1611" s="4" t="str">
        <f>IFERROR(__xludf.DUMMYFUNCTION("""COMPUTED_VALUE"""),"2. Twix")</f>
        <v>2. Twix</v>
      </c>
      <c r="B1611" s="4" t="str">
        <f>IFERROR(__xludf.DUMMYFUNCTION("""COMPUTED_VALUE"""),"2")</f>
        <v>2</v>
      </c>
      <c r="C1611" s="5" t="str">
        <f>IFERROR(__xludf.DUMMYFUNCTION("""COMPUTED_VALUE"""),"https://drive.google.com/file/d/1U4Ml35ej1BEzMSuZU0UX2rtjshypcpAk/view?usp=drivesdk")</f>
        <v>https://drive.google.com/file/d/1U4Ml35ej1BEzMSuZU0UX2rtjshypcpAk/view?usp=drivesdk</v>
      </c>
      <c r="D1611" s="12"/>
      <c r="E1611" s="13">
        <v>1661.0</v>
      </c>
      <c r="F1611" s="2"/>
    </row>
    <row r="1612" ht="1.5" customHeight="1">
      <c r="A1612" s="4" t="str">
        <f>IFERROR(__xludf.DUMMYFUNCTION("""COMPUTED_VALUE"""),"2. Twix")</f>
        <v>2. Twix</v>
      </c>
      <c r="B1612" s="4" t="str">
        <f>IFERROR(__xludf.DUMMYFUNCTION("""COMPUTED_VALUE"""),"2")</f>
        <v>2</v>
      </c>
      <c r="C1612" s="5" t="str">
        <f>IFERROR(__xludf.DUMMYFUNCTION("""COMPUTED_VALUE"""),"https://drive.google.com/file/d/1HoV23zTM2qpgb51U52sgSUUmcbfY2Hnd/view?usp=drivesdk")</f>
        <v>https://drive.google.com/file/d/1HoV23zTM2qpgb51U52sgSUUmcbfY2Hnd/view?usp=drivesdk</v>
      </c>
      <c r="D1612" s="12"/>
      <c r="E1612" s="13">
        <v>1662.0</v>
      </c>
      <c r="F1612" s="2"/>
    </row>
    <row r="1613" ht="1.5" customHeight="1">
      <c r="A1613" s="4" t="str">
        <f>IFERROR(__xludf.DUMMYFUNCTION("""COMPUTED_VALUE"""),"2. Twix")</f>
        <v>2. Twix</v>
      </c>
      <c r="B1613" s="4" t="str">
        <f>IFERROR(__xludf.DUMMYFUNCTION("""COMPUTED_VALUE"""),"2")</f>
        <v>2</v>
      </c>
      <c r="C1613" s="5" t="str">
        <f>IFERROR(__xludf.DUMMYFUNCTION("""COMPUTED_VALUE"""),"https://drive.google.com/file/d/1xfYBg3INsy3-VMKyL-ElXYusybEiJ6z8/view?usp=drivesdk")</f>
        <v>https://drive.google.com/file/d/1xfYBg3INsy3-VMKyL-ElXYusybEiJ6z8/view?usp=drivesdk</v>
      </c>
      <c r="D1613" s="12"/>
      <c r="E1613" s="13">
        <v>1663.0</v>
      </c>
      <c r="F1613" s="2"/>
    </row>
    <row r="1614" ht="1.5" customHeight="1">
      <c r="A1614" s="4" t="str">
        <f>IFERROR(__xludf.DUMMYFUNCTION("""COMPUTED_VALUE"""),"2. Twix")</f>
        <v>2. Twix</v>
      </c>
      <c r="B1614" s="4" t="str">
        <f>IFERROR(__xludf.DUMMYFUNCTION("""COMPUTED_VALUE"""),"2")</f>
        <v>2</v>
      </c>
      <c r="C1614" s="5" t="str">
        <f>IFERROR(__xludf.DUMMYFUNCTION("""COMPUTED_VALUE"""),"https://drive.google.com/file/d/1Ygg13RU1dAcd-7lddmNNL4-OVXQIZpju/view?usp=drivesdk")</f>
        <v>https://drive.google.com/file/d/1Ygg13RU1dAcd-7lddmNNL4-OVXQIZpju/view?usp=drivesdk</v>
      </c>
      <c r="D1614" s="12"/>
      <c r="E1614" s="13">
        <v>1664.0</v>
      </c>
      <c r="F1614" s="2"/>
    </row>
    <row r="1615" ht="1.5" customHeight="1">
      <c r="A1615" s="4" t="str">
        <f>IFERROR(__xludf.DUMMYFUNCTION("""COMPUTED_VALUE"""),"5. Eraser")</f>
        <v>5. Eraser</v>
      </c>
      <c r="B1615" s="4" t="str">
        <f>IFERROR(__xludf.DUMMYFUNCTION("""COMPUTED_VALUE"""),"5")</f>
        <v>5</v>
      </c>
      <c r="C1615" s="5" t="str">
        <f>IFERROR(__xludf.DUMMYFUNCTION("""COMPUTED_VALUE"""),"https://drive.google.com/file/d/1wDgdwPuEA16UbBrYvsF0DnfLPS0FCUJS/view?usp=drivesdk")</f>
        <v>https://drive.google.com/file/d/1wDgdwPuEA16UbBrYvsF0DnfLPS0FCUJS/view?usp=drivesdk</v>
      </c>
      <c r="D1615" s="12"/>
      <c r="E1615" s="13">
        <v>1665.0</v>
      </c>
      <c r="F1615" s="2"/>
    </row>
    <row r="1616" ht="1.5" customHeight="1">
      <c r="A1616" s="4" t="str">
        <f>IFERROR(__xludf.DUMMYFUNCTION("""COMPUTED_VALUE"""),"5. Eraser")</f>
        <v>5. Eraser</v>
      </c>
      <c r="B1616" s="4" t="str">
        <f>IFERROR(__xludf.DUMMYFUNCTION("""COMPUTED_VALUE"""),"5")</f>
        <v>5</v>
      </c>
      <c r="C1616" s="5" t="str">
        <f>IFERROR(__xludf.DUMMYFUNCTION("""COMPUTED_VALUE"""),"https://drive.google.com/file/d/10ZOxkBOFHitDZDC8FdSXzmpIYzdBOxKs/view?usp=drivesdk")</f>
        <v>https://drive.google.com/file/d/10ZOxkBOFHitDZDC8FdSXzmpIYzdBOxKs/view?usp=drivesdk</v>
      </c>
      <c r="D1616" s="12"/>
      <c r="E1616" s="13">
        <v>1666.0</v>
      </c>
      <c r="F1616" s="2"/>
    </row>
    <row r="1617" ht="1.5" customHeight="1">
      <c r="A1617" s="4" t="str">
        <f>IFERROR(__xludf.DUMMYFUNCTION("""COMPUTED_VALUE"""),"1. Microwave")</f>
        <v>1. Microwave</v>
      </c>
      <c r="B1617" s="4" t="str">
        <f>IFERROR(__xludf.DUMMYFUNCTION("""COMPUTED_VALUE"""),"1")</f>
        <v>1</v>
      </c>
      <c r="C1617" s="5" t="str">
        <f>IFERROR(__xludf.DUMMYFUNCTION("""COMPUTED_VALUE"""),"https://drive.google.com/file/d/1GZXpm_z3WJTcjxv4HTPQOZ_cBcLCXIe1/view?usp=drivesdk")</f>
        <v>https://drive.google.com/file/d/1GZXpm_z3WJTcjxv4HTPQOZ_cBcLCXIe1/view?usp=drivesdk</v>
      </c>
      <c r="D1617" s="12"/>
      <c r="E1617" s="13">
        <v>1667.0</v>
      </c>
      <c r="F1617" s="2"/>
    </row>
    <row r="1618" ht="1.5" customHeight="1">
      <c r="A1618" s="4" t="str">
        <f>IFERROR(__xludf.DUMMYFUNCTION("""COMPUTED_VALUE"""),"2. Twix")</f>
        <v>2. Twix</v>
      </c>
      <c r="B1618" s="4" t="str">
        <f>IFERROR(__xludf.DUMMYFUNCTION("""COMPUTED_VALUE"""),"2")</f>
        <v>2</v>
      </c>
      <c r="C1618" s="5" t="str">
        <f>IFERROR(__xludf.DUMMYFUNCTION("""COMPUTED_VALUE"""),"https://drive.google.com/file/d/1QlLysQrCP22HMapQ9L7p267r4SvbytqM/view?usp=drivesdk")</f>
        <v>https://drive.google.com/file/d/1QlLysQrCP22HMapQ9L7p267r4SvbytqM/view?usp=drivesdk</v>
      </c>
      <c r="D1618" s="12"/>
      <c r="E1618" s="13">
        <v>1668.0</v>
      </c>
      <c r="F1618" s="2"/>
    </row>
    <row r="1619" ht="1.5" customHeight="1">
      <c r="A1619" s="4" t="str">
        <f>IFERROR(__xludf.DUMMYFUNCTION("""COMPUTED_VALUE"""),"4. Eggs, 5. Eraser")</f>
        <v>4. Eggs, 5. Eraser</v>
      </c>
      <c r="B1619" s="4" t="str">
        <f>IFERROR(__xludf.DUMMYFUNCTION("""COMPUTED_VALUE"""),"4, 5")</f>
        <v>4, 5</v>
      </c>
      <c r="C1619" s="5" t="str">
        <f>IFERROR(__xludf.DUMMYFUNCTION("""COMPUTED_VALUE"""),"https://drive.google.com/file/d/1lkOePmJ55mkh8nuMk8imYp76oBllN-kF/view?usp=drivesdk")</f>
        <v>https://drive.google.com/file/d/1lkOePmJ55mkh8nuMk8imYp76oBllN-kF/view?usp=drivesdk</v>
      </c>
      <c r="D1619" s="12"/>
      <c r="E1619" s="13">
        <v>1669.0</v>
      </c>
      <c r="F1619" s="2"/>
    </row>
    <row r="1620" ht="1.5" customHeight="1">
      <c r="A1620" s="4" t="str">
        <f>IFERROR(__xludf.DUMMYFUNCTION("""COMPUTED_VALUE"""),"1. Microwave")</f>
        <v>1. Microwave</v>
      </c>
      <c r="B1620" s="4" t="str">
        <f>IFERROR(__xludf.DUMMYFUNCTION("""COMPUTED_VALUE"""),"1")</f>
        <v>1</v>
      </c>
      <c r="C1620" s="5" t="str">
        <f>IFERROR(__xludf.DUMMYFUNCTION("""COMPUTED_VALUE"""),"https://drive.google.com/file/d/1MGXy_Cf-SZP6-MYLIJx-GPpd4RNxW4AF/view?usp=drivesdk")</f>
        <v>https://drive.google.com/file/d/1MGXy_Cf-SZP6-MYLIJx-GPpd4RNxW4AF/view?usp=drivesdk</v>
      </c>
      <c r="D1620" s="12"/>
      <c r="E1620" s="13">
        <v>1670.0</v>
      </c>
      <c r="F1620" s="2"/>
    </row>
    <row r="1621" ht="1.5" customHeight="1">
      <c r="A1621" s="4" t="str">
        <f>IFERROR(__xludf.DUMMYFUNCTION("""COMPUTED_VALUE"""),"1. Microwave")</f>
        <v>1. Microwave</v>
      </c>
      <c r="B1621" s="4" t="str">
        <f>IFERROR(__xludf.DUMMYFUNCTION("""COMPUTED_VALUE"""),"1")</f>
        <v>1</v>
      </c>
      <c r="C1621" s="5" t="str">
        <f>IFERROR(__xludf.DUMMYFUNCTION("""COMPUTED_VALUE"""),"https://drive.google.com/file/d/1AVdGDcyVcBV35DYT5XmVCWqPe2Y0w3uk/view?usp=drivesdk")</f>
        <v>https://drive.google.com/file/d/1AVdGDcyVcBV35DYT5XmVCWqPe2Y0w3uk/view?usp=drivesdk</v>
      </c>
      <c r="D1621" s="12"/>
      <c r="E1621" s="13">
        <v>1671.0</v>
      </c>
      <c r="F1621" s="2"/>
    </row>
    <row r="1622" ht="1.5" customHeight="1">
      <c r="A1622" s="4" t="str">
        <f>IFERROR(__xludf.DUMMYFUNCTION("""COMPUTED_VALUE"""),"2. Twix")</f>
        <v>2. Twix</v>
      </c>
      <c r="B1622" s="4" t="str">
        <f>IFERROR(__xludf.DUMMYFUNCTION("""COMPUTED_VALUE"""),"2")</f>
        <v>2</v>
      </c>
      <c r="C1622" s="5" t="str">
        <f>IFERROR(__xludf.DUMMYFUNCTION("""COMPUTED_VALUE"""),"https://drive.google.com/file/d/1Wxm-jRaHu5EXv0RM5tdMSlRLaP8KHoJS/view?usp=drivesdk")</f>
        <v>https://drive.google.com/file/d/1Wxm-jRaHu5EXv0RM5tdMSlRLaP8KHoJS/view?usp=drivesdk</v>
      </c>
      <c r="D1622" s="12"/>
      <c r="E1622" s="13">
        <v>1672.0</v>
      </c>
      <c r="F1622" s="2"/>
    </row>
    <row r="1623" ht="1.5" customHeight="1">
      <c r="A1623" s="4" t="str">
        <f>IFERROR(__xludf.DUMMYFUNCTION("""COMPUTED_VALUE"""),"33. Zee")</f>
        <v>33. Zee</v>
      </c>
      <c r="B1623" s="4" t="str">
        <f>IFERROR(__xludf.DUMMYFUNCTION("""COMPUTED_VALUE"""),"33")</f>
        <v>33</v>
      </c>
      <c r="C1623" s="5" t="str">
        <f>IFERROR(__xludf.DUMMYFUNCTION("""COMPUTED_VALUE"""),"https://drive.google.com/file/d/1oXibBu9NyvjQpBTdYKpTTrn03Cruhuzf/view?usp=drivesdk")</f>
        <v>https://drive.google.com/file/d/1oXibBu9NyvjQpBTdYKpTTrn03Cruhuzf/view?usp=drivesdk</v>
      </c>
      <c r="D1623" s="12"/>
      <c r="E1623" s="13">
        <v>1673.0</v>
      </c>
      <c r="F1623" s="2"/>
    </row>
    <row r="1624" ht="1.5" customHeight="1">
      <c r="A1624" s="4" t="str">
        <f>IFERROR(__xludf.DUMMYFUNCTION("""COMPUTED_VALUE"""),"2. Twix")</f>
        <v>2. Twix</v>
      </c>
      <c r="B1624" s="4" t="str">
        <f>IFERROR(__xludf.DUMMYFUNCTION("""COMPUTED_VALUE"""),"2")</f>
        <v>2</v>
      </c>
      <c r="C1624" s="5" t="str">
        <f>IFERROR(__xludf.DUMMYFUNCTION("""COMPUTED_VALUE"""),"https://drive.google.com/file/d/1Z6dkh4nBW0bsqfhWsPE-bvdkMWr3RW2R/view?usp=drivesdk")</f>
        <v>https://drive.google.com/file/d/1Z6dkh4nBW0bsqfhWsPE-bvdkMWr3RW2R/view?usp=drivesdk</v>
      </c>
      <c r="D1624" s="12"/>
      <c r="E1624" s="13">
        <v>1674.0</v>
      </c>
      <c r="F1624" s="2"/>
    </row>
    <row r="1625" ht="1.5" customHeight="1">
      <c r="A1625" s="4" t="str">
        <f>IFERROR(__xludf.DUMMYFUNCTION("""COMPUTED_VALUE"""),"2. Twix")</f>
        <v>2. Twix</v>
      </c>
      <c r="B1625" s="4" t="str">
        <f>IFERROR(__xludf.DUMMYFUNCTION("""COMPUTED_VALUE"""),"2")</f>
        <v>2</v>
      </c>
      <c r="C1625" s="5" t="str">
        <f>IFERROR(__xludf.DUMMYFUNCTION("""COMPUTED_VALUE"""),"https://drive.google.com/file/d/1vdKB1WEB2ScxO8ikkdw2d2LHNKev4P6j/view?usp=drivesdk")</f>
        <v>https://drive.google.com/file/d/1vdKB1WEB2ScxO8ikkdw2d2LHNKev4P6j/view?usp=drivesdk</v>
      </c>
      <c r="D1625" s="12"/>
      <c r="E1625" s="13">
        <v>1675.0</v>
      </c>
      <c r="F1625" s="2"/>
    </row>
    <row r="1626" ht="1.5" customHeight="1">
      <c r="A1626" s="4" t="str">
        <f>IFERROR(__xludf.DUMMYFUNCTION("""COMPUTED_VALUE"""),"2. Twix")</f>
        <v>2. Twix</v>
      </c>
      <c r="B1626" s="4" t="str">
        <f>IFERROR(__xludf.DUMMYFUNCTION("""COMPUTED_VALUE"""),"2")</f>
        <v>2</v>
      </c>
      <c r="C1626" s="5" t="str">
        <f>IFERROR(__xludf.DUMMYFUNCTION("""COMPUTED_VALUE"""),"https://drive.google.com/file/d/1jFh5wx8E8DkaRV2RjknPzO6YmVnMIeq8/view?usp=drivesdk")</f>
        <v>https://drive.google.com/file/d/1jFh5wx8E8DkaRV2RjknPzO6YmVnMIeq8/view?usp=drivesdk</v>
      </c>
      <c r="D1626" s="12"/>
      <c r="E1626" s="13">
        <v>1676.0</v>
      </c>
      <c r="F1626" s="2"/>
    </row>
    <row r="1627" ht="1.5" customHeight="1">
      <c r="A1627" s="4" t="str">
        <f>IFERROR(__xludf.DUMMYFUNCTION("""COMPUTED_VALUE"""),"4. Eggs")</f>
        <v>4. Eggs</v>
      </c>
      <c r="B1627" s="4" t="str">
        <f>IFERROR(__xludf.DUMMYFUNCTION("""COMPUTED_VALUE"""),"4")</f>
        <v>4</v>
      </c>
      <c r="C1627" s="5" t="str">
        <f>IFERROR(__xludf.DUMMYFUNCTION("""COMPUTED_VALUE"""),"https://drive.google.com/file/d/1cxjZ0CjHghZqCcPyJjxDdAfw3Ppr9Pjw/view?usp=drivesdk")</f>
        <v>https://drive.google.com/file/d/1cxjZ0CjHghZqCcPyJjxDdAfw3Ppr9Pjw/view?usp=drivesdk</v>
      </c>
      <c r="D1627" s="12"/>
      <c r="E1627" s="13">
        <v>1677.0</v>
      </c>
      <c r="F1627" s="2"/>
    </row>
    <row r="1628" ht="1.5" customHeight="1">
      <c r="A1628" s="4" t="str">
        <f>IFERROR(__xludf.DUMMYFUNCTION("""COMPUTED_VALUE"""),"4. Eggs")</f>
        <v>4. Eggs</v>
      </c>
      <c r="B1628" s="4" t="str">
        <f>IFERROR(__xludf.DUMMYFUNCTION("""COMPUTED_VALUE"""),"4")</f>
        <v>4</v>
      </c>
      <c r="C1628" s="5" t="str">
        <f>IFERROR(__xludf.DUMMYFUNCTION("""COMPUTED_VALUE"""),"https://drive.google.com/file/d/1EiCIufnEvfUsSrzODyZrO5LxIeMq0qIC/view?usp=drivesdk")</f>
        <v>https://drive.google.com/file/d/1EiCIufnEvfUsSrzODyZrO5LxIeMq0qIC/view?usp=drivesdk</v>
      </c>
      <c r="D1628" s="12"/>
      <c r="E1628" s="13">
        <v>1678.0</v>
      </c>
      <c r="F1628" s="2"/>
    </row>
    <row r="1629" ht="1.5" customHeight="1">
      <c r="A1629" s="4" t="str">
        <f>IFERROR(__xludf.DUMMYFUNCTION("""COMPUTED_VALUE"""),"4. Eggs, 5. Eraser")</f>
        <v>4. Eggs, 5. Eraser</v>
      </c>
      <c r="B1629" s="4" t="str">
        <f>IFERROR(__xludf.DUMMYFUNCTION("""COMPUTED_VALUE"""),"4, 5")</f>
        <v>4, 5</v>
      </c>
      <c r="C1629" s="5" t="str">
        <f>IFERROR(__xludf.DUMMYFUNCTION("""COMPUTED_VALUE"""),"https://drive.google.com/file/d/1TLlfBKnF3SJkyxkQrAJ_W-uCGAxT6HNF/view?usp=drivesdk")</f>
        <v>https://drive.google.com/file/d/1TLlfBKnF3SJkyxkQrAJ_W-uCGAxT6HNF/view?usp=drivesdk</v>
      </c>
      <c r="D1629" s="12"/>
      <c r="E1629" s="13">
        <v>1679.0</v>
      </c>
      <c r="F1629" s="2"/>
    </row>
    <row r="1630" ht="1.5" customHeight="1">
      <c r="A1630" s="4" t="str">
        <f>IFERROR(__xludf.DUMMYFUNCTION("""COMPUTED_VALUE"""),"5. Eraser, 4. Eggs")</f>
        <v>5. Eraser, 4. Eggs</v>
      </c>
      <c r="B1630" s="4" t="str">
        <f>IFERROR(__xludf.DUMMYFUNCTION("""COMPUTED_VALUE"""),"5, 4")</f>
        <v>5, 4</v>
      </c>
      <c r="C1630" s="5" t="str">
        <f>IFERROR(__xludf.DUMMYFUNCTION("""COMPUTED_VALUE"""),"https://drive.google.com/file/d/1QKhqi1p1oGlnJr7HgQ3ETdCHcyOIZ66j/view?usp=drivesdk")</f>
        <v>https://drive.google.com/file/d/1QKhqi1p1oGlnJr7HgQ3ETdCHcyOIZ66j/view?usp=drivesdk</v>
      </c>
      <c r="D1630" s="12"/>
      <c r="E1630" s="13">
        <v>1680.0</v>
      </c>
      <c r="F1630" s="2"/>
    </row>
    <row r="1631" ht="1.5" customHeight="1">
      <c r="A1631" s="4" t="str">
        <f>IFERROR(__xludf.DUMMYFUNCTION("""COMPUTED_VALUE"""),"5. Eraser, 4. Eggs")</f>
        <v>5. Eraser, 4. Eggs</v>
      </c>
      <c r="B1631" s="4" t="str">
        <f>IFERROR(__xludf.DUMMYFUNCTION("""COMPUTED_VALUE"""),"5, 4")</f>
        <v>5, 4</v>
      </c>
      <c r="C1631" s="5" t="str">
        <f>IFERROR(__xludf.DUMMYFUNCTION("""COMPUTED_VALUE"""),"https://drive.google.com/file/d/1JZ9eO4cUmmoj26nIKE2YB-nGKGNgvJG4/view?usp=drivesdk")</f>
        <v>https://drive.google.com/file/d/1JZ9eO4cUmmoj26nIKE2YB-nGKGNgvJG4/view?usp=drivesdk</v>
      </c>
      <c r="D1631" s="12"/>
      <c r="E1631" s="13">
        <v>1681.0</v>
      </c>
      <c r="F1631" s="2"/>
    </row>
    <row r="1632" ht="1.5" customHeight="1">
      <c r="A1632" s="4" t="str">
        <f>IFERROR(__xludf.DUMMYFUNCTION("""COMPUTED_VALUE"""),"4. Eggs")</f>
        <v>4. Eggs</v>
      </c>
      <c r="B1632" s="4" t="str">
        <f>IFERROR(__xludf.DUMMYFUNCTION("""COMPUTED_VALUE"""),"4")</f>
        <v>4</v>
      </c>
      <c r="C1632" s="5" t="str">
        <f>IFERROR(__xludf.DUMMYFUNCTION("""COMPUTED_VALUE"""),"https://drive.google.com/file/d/1UE4nTmakeR5_QegHvXlqMuixsZ8-einJ/view?usp=drivesdk")</f>
        <v>https://drive.google.com/file/d/1UE4nTmakeR5_QegHvXlqMuixsZ8-einJ/view?usp=drivesdk</v>
      </c>
      <c r="D1632" s="12"/>
      <c r="E1632" s="13">
        <v>1682.0</v>
      </c>
      <c r="F1632" s="2"/>
    </row>
    <row r="1633" ht="1.5" customHeight="1">
      <c r="A1633" s="4" t="str">
        <f>IFERROR(__xludf.DUMMYFUNCTION("""COMPUTED_VALUE"""),"4. Eggs")</f>
        <v>4. Eggs</v>
      </c>
      <c r="B1633" s="4" t="str">
        <f>IFERROR(__xludf.DUMMYFUNCTION("""COMPUTED_VALUE"""),"4")</f>
        <v>4</v>
      </c>
      <c r="C1633" s="5" t="str">
        <f>IFERROR(__xludf.DUMMYFUNCTION("""COMPUTED_VALUE"""),"https://drive.google.com/file/d/13VhodsnUpSwAV7eSVrlK_-4L0D9ptlFN/view?usp=drivesdk")</f>
        <v>https://drive.google.com/file/d/13VhodsnUpSwAV7eSVrlK_-4L0D9ptlFN/view?usp=drivesdk</v>
      </c>
      <c r="D1633" s="12"/>
      <c r="E1633" s="13">
        <v>1683.0</v>
      </c>
      <c r="F1633" s="2"/>
    </row>
    <row r="1634" ht="1.5" customHeight="1">
      <c r="A1634" s="4" t="str">
        <f>IFERROR(__xludf.DUMMYFUNCTION("""COMPUTED_VALUE"""),"1. Microwave")</f>
        <v>1. Microwave</v>
      </c>
      <c r="B1634" s="4" t="str">
        <f>IFERROR(__xludf.DUMMYFUNCTION("""COMPUTED_VALUE"""),"1")</f>
        <v>1</v>
      </c>
      <c r="C1634" s="5" t="str">
        <f>IFERROR(__xludf.DUMMYFUNCTION("""COMPUTED_VALUE"""),"https://drive.google.com/file/d/1GmMM39u0GWI9cHliYqTb37XXrbWNz-en/view?usp=drivesdk")</f>
        <v>https://drive.google.com/file/d/1GmMM39u0GWI9cHliYqTb37XXrbWNz-en/view?usp=drivesdk</v>
      </c>
      <c r="D1634" s="12"/>
      <c r="E1634" s="13">
        <v>1684.0</v>
      </c>
      <c r="F1634" s="2"/>
    </row>
    <row r="1635" ht="1.5" customHeight="1">
      <c r="A1635" s="4" t="str">
        <f>IFERROR(__xludf.DUMMYFUNCTION("""COMPUTED_VALUE"""),"1. Microwave")</f>
        <v>1. Microwave</v>
      </c>
      <c r="B1635" s="4" t="str">
        <f>IFERROR(__xludf.DUMMYFUNCTION("""COMPUTED_VALUE"""),"1")</f>
        <v>1</v>
      </c>
      <c r="C1635" s="5" t="str">
        <f>IFERROR(__xludf.DUMMYFUNCTION("""COMPUTED_VALUE"""),"https://drive.google.com/file/d/1taEzXe4EUzf9qJOOOTO6A79dRkKsXjGb/view?usp=drivesdk")</f>
        <v>https://drive.google.com/file/d/1taEzXe4EUzf9qJOOOTO6A79dRkKsXjGb/view?usp=drivesdk</v>
      </c>
      <c r="D1635" s="12"/>
      <c r="E1635" s="13">
        <v>1685.0</v>
      </c>
      <c r="F1635" s="2"/>
    </row>
    <row r="1636" ht="1.5" customHeight="1">
      <c r="A1636" s="4" t="str">
        <f>IFERROR(__xludf.DUMMYFUNCTION("""COMPUTED_VALUE"""),"1. Microwave")</f>
        <v>1. Microwave</v>
      </c>
      <c r="B1636" s="4" t="str">
        <f>IFERROR(__xludf.DUMMYFUNCTION("""COMPUTED_VALUE"""),"1")</f>
        <v>1</v>
      </c>
      <c r="C1636" s="5" t="str">
        <f>IFERROR(__xludf.DUMMYFUNCTION("""COMPUTED_VALUE"""),"https://drive.google.com/file/d/18Dnk5u21SvtfF7LjWNMMFii0j_J7s7lO/view?usp=drivesdk")</f>
        <v>https://drive.google.com/file/d/18Dnk5u21SvtfF7LjWNMMFii0j_J7s7lO/view?usp=drivesdk</v>
      </c>
      <c r="D1636" s="12"/>
      <c r="E1636" s="13">
        <v>1686.0</v>
      </c>
      <c r="F1636" s="2"/>
    </row>
    <row r="1637" ht="1.5" customHeight="1">
      <c r="A1637" s="4" t="str">
        <f>IFERROR(__xludf.DUMMYFUNCTION("""COMPUTED_VALUE"""),"1. Microwave")</f>
        <v>1. Microwave</v>
      </c>
      <c r="B1637" s="4" t="str">
        <f>IFERROR(__xludf.DUMMYFUNCTION("""COMPUTED_VALUE"""),"1")</f>
        <v>1</v>
      </c>
      <c r="C1637" s="5" t="str">
        <f>IFERROR(__xludf.DUMMYFUNCTION("""COMPUTED_VALUE"""),"https://drive.google.com/file/d/1gt7qj4GN_wK19NMCKZnavDuwmhlIoRq3/view?usp=drivesdk")</f>
        <v>https://drive.google.com/file/d/1gt7qj4GN_wK19NMCKZnavDuwmhlIoRq3/view?usp=drivesdk</v>
      </c>
      <c r="D1637" s="12"/>
      <c r="E1637" s="13">
        <v>1687.0</v>
      </c>
      <c r="F1637" s="2"/>
    </row>
    <row r="1638" ht="1.5" customHeight="1">
      <c r="A1638" s="4" t="str">
        <f>IFERROR(__xludf.DUMMYFUNCTION("""COMPUTED_VALUE"""),"67. Waffles")</f>
        <v>67. Waffles</v>
      </c>
      <c r="B1638" s="4" t="str">
        <f>IFERROR(__xludf.DUMMYFUNCTION("""COMPUTED_VALUE"""),"67")</f>
        <v>67</v>
      </c>
      <c r="C1638" s="5" t="str">
        <f>IFERROR(__xludf.DUMMYFUNCTION("""COMPUTED_VALUE"""),"https://drive.google.com/file/d/1SK6KdHRv_Z6fBUaBAyKc3MCY8N0iUQCN/view?usp=drivesdk")</f>
        <v>https://drive.google.com/file/d/1SK6KdHRv_Z6fBUaBAyKc3MCY8N0iUQCN/view?usp=drivesdk</v>
      </c>
      <c r="D1638" s="12"/>
      <c r="E1638" s="13">
        <v>1688.0</v>
      </c>
      <c r="F1638" s="2"/>
    </row>
    <row r="1639" ht="1.5" customHeight="1">
      <c r="A1639" s="4" t="str">
        <f>IFERROR(__xludf.DUMMYFUNCTION("""COMPUTED_VALUE"""),"6. Snickers")</f>
        <v>6. Snickers</v>
      </c>
      <c r="B1639" s="4" t="str">
        <f>IFERROR(__xludf.DUMMYFUNCTION("""COMPUTED_VALUE"""),"6")</f>
        <v>6</v>
      </c>
      <c r="C1639" s="5" t="str">
        <f>IFERROR(__xludf.DUMMYFUNCTION("""COMPUTED_VALUE"""),"https://drive.google.com/file/d/1HI9dcQusO-H-lQsL-AdPy6gcGr14OS1_/view?usp=drivesdk")</f>
        <v>https://drive.google.com/file/d/1HI9dcQusO-H-lQsL-AdPy6gcGr14OS1_/view?usp=drivesdk</v>
      </c>
      <c r="D1639" s="12"/>
      <c r="E1639" s="13">
        <v>1689.0</v>
      </c>
      <c r="F1639" s="2"/>
    </row>
    <row r="1640" ht="1.5" customHeight="1">
      <c r="A1640" s="4" t="str">
        <f>IFERROR(__xludf.DUMMYFUNCTION("""COMPUTED_VALUE"""),"67. Waffles")</f>
        <v>67. Waffles</v>
      </c>
      <c r="B1640" s="4" t="str">
        <f>IFERROR(__xludf.DUMMYFUNCTION("""COMPUTED_VALUE"""),"67")</f>
        <v>67</v>
      </c>
      <c r="C1640" s="5" t="str">
        <f>IFERROR(__xludf.DUMMYFUNCTION("""COMPUTED_VALUE"""),"https://drive.google.com/file/d/1FYZZMzzW8mJDo7E7N_zEq_tNznSyUvvY/view?usp=drivesdk")</f>
        <v>https://drive.google.com/file/d/1FYZZMzzW8mJDo7E7N_zEq_tNznSyUvvY/view?usp=drivesdk</v>
      </c>
      <c r="D1640" s="12"/>
      <c r="E1640" s="13">
        <v>1690.0</v>
      </c>
      <c r="F1640" s="2"/>
    </row>
    <row r="1641" ht="1.5" customHeight="1">
      <c r="A1641" s="4" t="str">
        <f>IFERROR(__xludf.DUMMYFUNCTION("""COMPUTED_VALUE"""),"6. Snickers")</f>
        <v>6. Snickers</v>
      </c>
      <c r="B1641" s="4" t="str">
        <f>IFERROR(__xludf.DUMMYFUNCTION("""COMPUTED_VALUE"""),"6")</f>
        <v>6</v>
      </c>
      <c r="C1641" s="5" t="str">
        <f>IFERROR(__xludf.DUMMYFUNCTION("""COMPUTED_VALUE"""),"https://drive.google.com/file/d/1giSoYFB5JiLEhtp_q6P3kBnhFRZKreoo/view?usp=drivesdk")</f>
        <v>https://drive.google.com/file/d/1giSoYFB5JiLEhtp_q6P3kBnhFRZKreoo/view?usp=drivesdk</v>
      </c>
      <c r="D1641" s="12"/>
      <c r="E1641" s="13">
        <v>1691.0</v>
      </c>
      <c r="F1641" s="2"/>
    </row>
    <row r="1642" ht="1.5" customHeight="1">
      <c r="A1642" s="4" t="str">
        <f>IFERROR(__xludf.DUMMYFUNCTION("""COMPUTED_VALUE"""),"67. Waffles")</f>
        <v>67. Waffles</v>
      </c>
      <c r="B1642" s="4" t="str">
        <f>IFERROR(__xludf.DUMMYFUNCTION("""COMPUTED_VALUE"""),"67")</f>
        <v>67</v>
      </c>
      <c r="C1642" s="5" t="str">
        <f>IFERROR(__xludf.DUMMYFUNCTION("""COMPUTED_VALUE"""),"https://drive.google.com/file/d/1HOlvDuLGiUbX-vbd54GJW3NTq6AC62s2/view?usp=drivesdk")</f>
        <v>https://drive.google.com/file/d/1HOlvDuLGiUbX-vbd54GJW3NTq6AC62s2/view?usp=drivesdk</v>
      </c>
      <c r="D1642" s="12"/>
      <c r="E1642" s="13">
        <v>1692.0</v>
      </c>
      <c r="F1642" s="2"/>
    </row>
    <row r="1643" ht="1.5" customHeight="1">
      <c r="A1643" s="4" t="str">
        <f>IFERROR(__xludf.DUMMYFUNCTION("""COMPUTED_VALUE"""),"67. Waffles")</f>
        <v>67. Waffles</v>
      </c>
      <c r="B1643" s="4" t="str">
        <f>IFERROR(__xludf.DUMMYFUNCTION("""COMPUTED_VALUE"""),"67")</f>
        <v>67</v>
      </c>
      <c r="C1643" s="5" t="str">
        <f>IFERROR(__xludf.DUMMYFUNCTION("""COMPUTED_VALUE"""),"https://drive.google.com/file/d/1XPjLxxDexaRUSw9_VgIpjE8h7YM12v6D/view?usp=drivesdk")</f>
        <v>https://drive.google.com/file/d/1XPjLxxDexaRUSw9_VgIpjE8h7YM12v6D/view?usp=drivesdk</v>
      </c>
      <c r="D1643" s="12"/>
      <c r="E1643" s="13">
        <v>1693.0</v>
      </c>
      <c r="F1643" s="2"/>
    </row>
    <row r="1644" ht="1.5" customHeight="1">
      <c r="A1644" s="4" t="str">
        <f>IFERROR(__xludf.DUMMYFUNCTION("""COMPUTED_VALUE"""),"1. Microwave")</f>
        <v>1. Microwave</v>
      </c>
      <c r="B1644" s="4" t="str">
        <f>IFERROR(__xludf.DUMMYFUNCTION("""COMPUTED_VALUE"""),"1")</f>
        <v>1</v>
      </c>
      <c r="C1644" s="5" t="str">
        <f>IFERROR(__xludf.DUMMYFUNCTION("""COMPUTED_VALUE"""),"https://drive.google.com/file/d/1MtK7wXbgml0837tjJbKCmzIkWS1WSFNR/view?usp=drivesdk")</f>
        <v>https://drive.google.com/file/d/1MtK7wXbgml0837tjJbKCmzIkWS1WSFNR/view?usp=drivesdk</v>
      </c>
      <c r="D1644" s="12"/>
      <c r="E1644" s="13">
        <v>1694.0</v>
      </c>
      <c r="F1644" s="2"/>
    </row>
    <row r="1645" ht="1.5" customHeight="1">
      <c r="A1645" s="4" t="str">
        <f>IFERROR(__xludf.DUMMYFUNCTION("""COMPUTED_VALUE"""),"1. Microwave")</f>
        <v>1. Microwave</v>
      </c>
      <c r="B1645" s="4" t="str">
        <f>IFERROR(__xludf.DUMMYFUNCTION("""COMPUTED_VALUE"""),"1")</f>
        <v>1</v>
      </c>
      <c r="C1645" s="5" t="str">
        <f>IFERROR(__xludf.DUMMYFUNCTION("""COMPUTED_VALUE"""),"https://drive.google.com/file/d/1hOP76FZUnFN1IRP6-aS73hGqdibr0EX_/view?usp=drivesdk")</f>
        <v>https://drive.google.com/file/d/1hOP76FZUnFN1IRP6-aS73hGqdibr0EX_/view?usp=drivesdk</v>
      </c>
      <c r="D1645" s="12"/>
      <c r="E1645" s="13">
        <v>1695.0</v>
      </c>
      <c r="F1645" s="2"/>
    </row>
    <row r="1646" ht="1.5" customHeight="1">
      <c r="A1646" s="4" t="str">
        <f>IFERROR(__xludf.DUMMYFUNCTION("""COMPUTED_VALUE"""),"1. Microwave")</f>
        <v>1. Microwave</v>
      </c>
      <c r="B1646" s="4" t="str">
        <f>IFERROR(__xludf.DUMMYFUNCTION("""COMPUTED_VALUE"""),"1")</f>
        <v>1</v>
      </c>
      <c r="C1646" s="5" t="str">
        <f>IFERROR(__xludf.DUMMYFUNCTION("""COMPUTED_VALUE"""),"https://drive.google.com/file/d/1V2BQW8p6qw-_MKp__Jq7M4OmX9toEhsF/view?usp=drivesdk")</f>
        <v>https://drive.google.com/file/d/1V2BQW8p6qw-_MKp__Jq7M4OmX9toEhsF/view?usp=drivesdk</v>
      </c>
      <c r="D1646" s="12"/>
      <c r="E1646" s="13">
        <v>1696.0</v>
      </c>
      <c r="F1646" s="2"/>
    </row>
    <row r="1647" ht="1.5" customHeight="1">
      <c r="A1647" s="4" t="str">
        <f>IFERROR(__xludf.DUMMYFUNCTION("""COMPUTED_VALUE"""),"1. Microwave")</f>
        <v>1. Microwave</v>
      </c>
      <c r="B1647" s="4" t="str">
        <f>IFERROR(__xludf.DUMMYFUNCTION("""COMPUTED_VALUE"""),"1")</f>
        <v>1</v>
      </c>
      <c r="C1647" s="5" t="str">
        <f>IFERROR(__xludf.DUMMYFUNCTION("""COMPUTED_VALUE"""),"https://drive.google.com/file/d/1h1HTdy0g5x3VINB-BWdkRNHjgwvPUE4h/view?usp=drivesdk")</f>
        <v>https://drive.google.com/file/d/1h1HTdy0g5x3VINB-BWdkRNHjgwvPUE4h/view?usp=drivesdk</v>
      </c>
      <c r="D1647" s="12"/>
      <c r="E1647" s="13">
        <v>1697.0</v>
      </c>
      <c r="F1647" s="2"/>
    </row>
    <row r="1648" ht="1.5" customHeight="1">
      <c r="A1648" s="4" t="str">
        <f>IFERROR(__xludf.DUMMYFUNCTION("""COMPUTED_VALUE"""),"1. Microwave")</f>
        <v>1. Microwave</v>
      </c>
      <c r="B1648" s="4" t="str">
        <f>IFERROR(__xludf.DUMMYFUNCTION("""COMPUTED_VALUE"""),"1")</f>
        <v>1</v>
      </c>
      <c r="C1648" s="5" t="str">
        <f>IFERROR(__xludf.DUMMYFUNCTION("""COMPUTED_VALUE"""),"https://drive.google.com/file/d/1l8ArnXWZr-zv3joyPp1St_VgrNM-eg6V/view?usp=drivesdk")</f>
        <v>https://drive.google.com/file/d/1l8ArnXWZr-zv3joyPp1St_VgrNM-eg6V/view?usp=drivesdk</v>
      </c>
      <c r="D1648" s="12"/>
      <c r="E1648" s="13">
        <v>1698.0</v>
      </c>
      <c r="F1648" s="2"/>
    </row>
    <row r="1649" ht="1.5" customHeight="1">
      <c r="A1649" s="4" t="str">
        <f>IFERROR(__xludf.DUMMYFUNCTION("""COMPUTED_VALUE"""),"1. Microwave")</f>
        <v>1. Microwave</v>
      </c>
      <c r="B1649" s="4" t="str">
        <f>IFERROR(__xludf.DUMMYFUNCTION("""COMPUTED_VALUE"""),"1")</f>
        <v>1</v>
      </c>
      <c r="C1649" s="5" t="str">
        <f>IFERROR(__xludf.DUMMYFUNCTION("""COMPUTED_VALUE"""),"https://drive.google.com/file/d/1puKMAkzHCbUVnDPAUHWcWFUh17dZ2X22/view?usp=drivesdk")</f>
        <v>https://drive.google.com/file/d/1puKMAkzHCbUVnDPAUHWcWFUh17dZ2X22/view?usp=drivesdk</v>
      </c>
      <c r="D1649" s="12"/>
      <c r="E1649" s="13">
        <v>1699.0</v>
      </c>
      <c r="F1649" s="2"/>
    </row>
    <row r="1650" ht="1.5" customHeight="1">
      <c r="A1650" s="4" t="str">
        <f>IFERROR(__xludf.DUMMYFUNCTION("""COMPUTED_VALUE"""),"1. Microwave")</f>
        <v>1. Microwave</v>
      </c>
      <c r="B1650" s="4" t="str">
        <f>IFERROR(__xludf.DUMMYFUNCTION("""COMPUTED_VALUE"""),"1")</f>
        <v>1</v>
      </c>
      <c r="C1650" s="5" t="str">
        <f>IFERROR(__xludf.DUMMYFUNCTION("""COMPUTED_VALUE"""),"https://drive.google.com/file/d/1QIpUdozRonQyLDnufO2WhJxUN215bqF-/view?usp=drivesdk")</f>
        <v>https://drive.google.com/file/d/1QIpUdozRonQyLDnufO2WhJxUN215bqF-/view?usp=drivesdk</v>
      </c>
      <c r="D1650" s="12"/>
      <c r="E1650" s="13">
        <v>1700.0</v>
      </c>
      <c r="F1650" s="2"/>
    </row>
    <row r="1651" ht="1.5" customHeight="1">
      <c r="A1651" s="4" t="str">
        <f>IFERROR(__xludf.DUMMYFUNCTION("""COMPUTED_VALUE"""),"2. Twix")</f>
        <v>2. Twix</v>
      </c>
      <c r="B1651" s="4" t="str">
        <f>IFERROR(__xludf.DUMMYFUNCTION("""COMPUTED_VALUE"""),"2")</f>
        <v>2</v>
      </c>
      <c r="C1651" s="5" t="str">
        <f>IFERROR(__xludf.DUMMYFUNCTION("""COMPUTED_VALUE"""),"https://drive.google.com/file/d/12Fuh0PAd5VRN_27iIxYu3SJ8Wy73boXx/view?usp=drivesdk")</f>
        <v>https://drive.google.com/file/d/12Fuh0PAd5VRN_27iIxYu3SJ8Wy73boXx/view?usp=drivesdk</v>
      </c>
      <c r="D1651" s="12"/>
      <c r="E1651" s="13">
        <v>1701.0</v>
      </c>
      <c r="F1651" s="2"/>
    </row>
    <row r="1652" ht="1.5" customHeight="1">
      <c r="A1652" s="4" t="str">
        <f>IFERROR(__xludf.DUMMYFUNCTION("""COMPUTED_VALUE"""),"2. Twix")</f>
        <v>2. Twix</v>
      </c>
      <c r="B1652" s="4" t="str">
        <f>IFERROR(__xludf.DUMMYFUNCTION("""COMPUTED_VALUE"""),"2")</f>
        <v>2</v>
      </c>
      <c r="C1652" s="5" t="str">
        <f>IFERROR(__xludf.DUMMYFUNCTION("""COMPUTED_VALUE"""),"https://drive.google.com/file/d/16XmGcBCPo5gWQNwkS2Zfhe3JOjDm_xB4/view?usp=drivesdk")</f>
        <v>https://drive.google.com/file/d/16XmGcBCPo5gWQNwkS2Zfhe3JOjDm_xB4/view?usp=drivesdk</v>
      </c>
      <c r="D1652" s="12"/>
      <c r="E1652" s="13">
        <v>1702.0</v>
      </c>
      <c r="F1652" s="2"/>
    </row>
    <row r="1653" ht="1.5" customHeight="1">
      <c r="A1653" s="4" t="str">
        <f>IFERROR(__xludf.DUMMYFUNCTION("""COMPUTED_VALUE"""),"70. Enchilada")</f>
        <v>70. Enchilada</v>
      </c>
      <c r="B1653" s="4" t="str">
        <f>IFERROR(__xludf.DUMMYFUNCTION("""COMPUTED_VALUE"""),"70")</f>
        <v>70</v>
      </c>
      <c r="C1653" s="5" t="str">
        <f>IFERROR(__xludf.DUMMYFUNCTION("""COMPUTED_VALUE"""),"https://drive.google.com/file/d/1f_N5RZksshSP_KFa6ZgJCzbp20MPDE3O/view?usp=drivesdk")</f>
        <v>https://drive.google.com/file/d/1f_N5RZksshSP_KFa6ZgJCzbp20MPDE3O/view?usp=drivesdk</v>
      </c>
      <c r="D1653" s="12"/>
      <c r="E1653" s="13">
        <v>1703.0</v>
      </c>
      <c r="F1653" s="2"/>
    </row>
    <row r="1654" ht="1.5" customHeight="1">
      <c r="A1654" s="4" t="str">
        <f>IFERROR(__xludf.DUMMYFUNCTION("""COMPUTED_VALUE"""),"1. Microwave")</f>
        <v>1. Microwave</v>
      </c>
      <c r="B1654" s="4" t="str">
        <f>IFERROR(__xludf.DUMMYFUNCTION("""COMPUTED_VALUE"""),"1")</f>
        <v>1</v>
      </c>
      <c r="C1654" s="5" t="str">
        <f>IFERROR(__xludf.DUMMYFUNCTION("""COMPUTED_VALUE"""),"https://drive.google.com/file/d/1o3qGelBTANt4Y_5Ijp-H-kFi28l3prQm/view?usp=drivesdk")</f>
        <v>https://drive.google.com/file/d/1o3qGelBTANt4Y_5Ijp-H-kFi28l3prQm/view?usp=drivesdk</v>
      </c>
      <c r="D1654" s="12"/>
      <c r="E1654" s="13">
        <v>1704.0</v>
      </c>
      <c r="F1654" s="2"/>
    </row>
    <row r="1655" ht="1.5" customHeight="1">
      <c r="A1655" s="4" t="str">
        <f>IFERROR(__xludf.DUMMYFUNCTION("""COMPUTED_VALUE"""),"1. Microwave")</f>
        <v>1. Microwave</v>
      </c>
      <c r="B1655" s="4" t="str">
        <f>IFERROR(__xludf.DUMMYFUNCTION("""COMPUTED_VALUE"""),"1")</f>
        <v>1</v>
      </c>
      <c r="C1655" s="5" t="str">
        <f>IFERROR(__xludf.DUMMYFUNCTION("""COMPUTED_VALUE"""),"https://drive.google.com/file/d/1_B_INvgL4FXEhYb6-vIrQ3u2z3hhQHff/view?usp=drivesdk")</f>
        <v>https://drive.google.com/file/d/1_B_INvgL4FXEhYb6-vIrQ3u2z3hhQHff/view?usp=drivesdk</v>
      </c>
      <c r="D1655" s="12"/>
      <c r="E1655" s="13">
        <v>1705.0</v>
      </c>
      <c r="F1655" s="2"/>
    </row>
    <row r="1656" ht="1.5" customHeight="1">
      <c r="A1656" s="4" t="str">
        <f>IFERROR(__xludf.DUMMYFUNCTION("""COMPUTED_VALUE"""),"1. Microwave")</f>
        <v>1. Microwave</v>
      </c>
      <c r="B1656" s="4" t="str">
        <f>IFERROR(__xludf.DUMMYFUNCTION("""COMPUTED_VALUE"""),"1")</f>
        <v>1</v>
      </c>
      <c r="C1656" s="5" t="str">
        <f>IFERROR(__xludf.DUMMYFUNCTION("""COMPUTED_VALUE"""),"https://drive.google.com/file/d/1QdM6ZhnclgHwFZ0VADVTskbYNjiWJl6K/view?usp=drivesdk")</f>
        <v>https://drive.google.com/file/d/1QdM6ZhnclgHwFZ0VADVTskbYNjiWJl6K/view?usp=drivesdk</v>
      </c>
      <c r="D1656" s="12"/>
      <c r="E1656" s="13">
        <v>1706.0</v>
      </c>
      <c r="F1656" s="2"/>
    </row>
    <row r="1657" ht="1.5" customHeight="1">
      <c r="A1657" s="4" t="str">
        <f>IFERROR(__xludf.DUMMYFUNCTION("""COMPUTED_VALUE"""),"1. Microwave")</f>
        <v>1. Microwave</v>
      </c>
      <c r="B1657" s="4" t="str">
        <f>IFERROR(__xludf.DUMMYFUNCTION("""COMPUTED_VALUE"""),"1")</f>
        <v>1</v>
      </c>
      <c r="C1657" s="5" t="str">
        <f>IFERROR(__xludf.DUMMYFUNCTION("""COMPUTED_VALUE"""),"https://drive.google.com/file/d/1e_FbB-26oT_s83F7qBZdb6UZAuvs7sVd/view?usp=drivesdk")</f>
        <v>https://drive.google.com/file/d/1e_FbB-26oT_s83F7qBZdb6UZAuvs7sVd/view?usp=drivesdk</v>
      </c>
      <c r="D1657" s="12"/>
      <c r="E1657" s="13">
        <v>1707.0</v>
      </c>
      <c r="F1657" s="2"/>
    </row>
    <row r="1658" ht="1.5" customHeight="1">
      <c r="A1658" s="4" t="str">
        <f>IFERROR(__xludf.DUMMYFUNCTION("""COMPUTED_VALUE"""),"1. Microwave")</f>
        <v>1. Microwave</v>
      </c>
      <c r="B1658" s="4" t="str">
        <f>IFERROR(__xludf.DUMMYFUNCTION("""COMPUTED_VALUE"""),"1")</f>
        <v>1</v>
      </c>
      <c r="C1658" s="5" t="str">
        <f>IFERROR(__xludf.DUMMYFUNCTION("""COMPUTED_VALUE"""),"https://drive.google.com/file/d/1WwYBtGYDyb79-ZILgwyvqich4BDpVZ6q/view?usp=drivesdk")</f>
        <v>https://drive.google.com/file/d/1WwYBtGYDyb79-ZILgwyvqich4BDpVZ6q/view?usp=drivesdk</v>
      </c>
      <c r="D1658" s="12"/>
      <c r="E1658" s="13">
        <v>1708.0</v>
      </c>
      <c r="F1658" s="2"/>
    </row>
    <row r="1659" ht="1.5" customHeight="1">
      <c r="A1659" s="4" t="str">
        <f>IFERROR(__xludf.DUMMYFUNCTION("""COMPUTED_VALUE"""),"1. Microwave")</f>
        <v>1. Microwave</v>
      </c>
      <c r="B1659" s="4" t="str">
        <f>IFERROR(__xludf.DUMMYFUNCTION("""COMPUTED_VALUE"""),"1")</f>
        <v>1</v>
      </c>
      <c r="C1659" s="5" t="str">
        <f>IFERROR(__xludf.DUMMYFUNCTION("""COMPUTED_VALUE"""),"https://drive.google.com/file/d/1IYLUACrky05-yFEspGTeCEltk9RhBTUd/view?usp=drivesdk")</f>
        <v>https://drive.google.com/file/d/1IYLUACrky05-yFEspGTeCEltk9RhBTUd/view?usp=drivesdk</v>
      </c>
      <c r="D1659" s="12"/>
      <c r="E1659" s="13">
        <v>1709.0</v>
      </c>
      <c r="F1659" s="2"/>
    </row>
    <row r="1660" ht="1.5" customHeight="1">
      <c r="A1660" s="4" t="str">
        <f>IFERROR(__xludf.DUMMYFUNCTION("""COMPUTED_VALUE"""),"71. Robin")</f>
        <v>71. Robin</v>
      </c>
      <c r="B1660" s="4" t="str">
        <f>IFERROR(__xludf.DUMMYFUNCTION("""COMPUTED_VALUE"""),"71")</f>
        <v>71</v>
      </c>
      <c r="C1660" s="5" t="str">
        <f>IFERROR(__xludf.DUMMYFUNCTION("""COMPUTED_VALUE"""),"https://drive.google.com/file/d/1pI1UzKSfxQiK3bXabgMI8zhGuEtQ-ppw/view?usp=drivesdk")</f>
        <v>https://drive.google.com/file/d/1pI1UzKSfxQiK3bXabgMI8zhGuEtQ-ppw/view?usp=drivesdk</v>
      </c>
      <c r="D1660" s="12"/>
      <c r="E1660" s="13">
        <v>1710.0</v>
      </c>
      <c r="F1660" s="2"/>
    </row>
    <row r="1661" ht="1.5" customHeight="1">
      <c r="A1661" s="4" t="str">
        <f>IFERROR(__xludf.DUMMYFUNCTION("""COMPUTED_VALUE"""),"71. Robin")</f>
        <v>71. Robin</v>
      </c>
      <c r="B1661" s="4" t="str">
        <f>IFERROR(__xludf.DUMMYFUNCTION("""COMPUTED_VALUE"""),"71")</f>
        <v>71</v>
      </c>
      <c r="C1661" s="5" t="str">
        <f>IFERROR(__xludf.DUMMYFUNCTION("""COMPUTED_VALUE"""),"https://drive.google.com/file/d/1wRWOApq4rpQk0TeDiqQHeejIt3UCma0D/view?usp=drivesdk")</f>
        <v>https://drive.google.com/file/d/1wRWOApq4rpQk0TeDiqQHeejIt3UCma0D/view?usp=drivesdk</v>
      </c>
      <c r="D1661" s="12"/>
      <c r="E1661" s="13">
        <v>1711.0</v>
      </c>
      <c r="F1661" s="2"/>
    </row>
    <row r="1662" ht="1.5" customHeight="1">
      <c r="A1662" s="4" t="str">
        <f>IFERROR(__xludf.DUMMYFUNCTION("""COMPUTED_VALUE"""),"71. Robin")</f>
        <v>71. Robin</v>
      </c>
      <c r="B1662" s="4" t="str">
        <f>IFERROR(__xludf.DUMMYFUNCTION("""COMPUTED_VALUE"""),"71")</f>
        <v>71</v>
      </c>
      <c r="C1662" s="5" t="str">
        <f>IFERROR(__xludf.DUMMYFUNCTION("""COMPUTED_VALUE"""),"https://drive.google.com/file/d/1VIpLSmPH-SDc-igEHQ_RC85mQHDhhKyL/view?usp=drivesdk")</f>
        <v>https://drive.google.com/file/d/1VIpLSmPH-SDc-igEHQ_RC85mQHDhhKyL/view?usp=drivesdk</v>
      </c>
      <c r="D1662" s="12"/>
      <c r="E1662" s="13">
        <v>1712.0</v>
      </c>
      <c r="F1662" s="2"/>
    </row>
    <row r="1663" ht="1.5" customHeight="1">
      <c r="A1663" s="4" t="str">
        <f>IFERROR(__xludf.DUMMYFUNCTION("""COMPUTED_VALUE"""),"71. Robin")</f>
        <v>71. Robin</v>
      </c>
      <c r="B1663" s="4" t="str">
        <f>IFERROR(__xludf.DUMMYFUNCTION("""COMPUTED_VALUE"""),"71")</f>
        <v>71</v>
      </c>
      <c r="C1663" s="5" t="str">
        <f>IFERROR(__xludf.DUMMYFUNCTION("""COMPUTED_VALUE"""),"https://drive.google.com/file/d/1p6hwNweufZrucYS8uZ2QBkC6d44CGeHU/view?usp=drivesdk")</f>
        <v>https://drive.google.com/file/d/1p6hwNweufZrucYS8uZ2QBkC6d44CGeHU/view?usp=drivesdk</v>
      </c>
      <c r="D1663" s="12"/>
      <c r="E1663" s="13">
        <v>1713.0</v>
      </c>
      <c r="F1663" s="2"/>
    </row>
    <row r="1664" ht="1.5" customHeight="1">
      <c r="A1664" s="4" t="str">
        <f>IFERROR(__xludf.DUMMYFUNCTION("""COMPUTED_VALUE"""),"1. Microwave")</f>
        <v>1. Microwave</v>
      </c>
      <c r="B1664" s="4" t="str">
        <f>IFERROR(__xludf.DUMMYFUNCTION("""COMPUTED_VALUE"""),"1")</f>
        <v>1</v>
      </c>
      <c r="C1664" s="5" t="str">
        <f>IFERROR(__xludf.DUMMYFUNCTION("""COMPUTED_VALUE"""),"https://drive.google.com/file/d/1q23_r2V5NJYCU64HFZRff8OHNzzq7N_v/view?usp=drivesdk")</f>
        <v>https://drive.google.com/file/d/1q23_r2V5NJYCU64HFZRff8OHNzzq7N_v/view?usp=drivesdk</v>
      </c>
      <c r="D1664" s="12"/>
      <c r="E1664" s="13">
        <v>1714.0</v>
      </c>
      <c r="F1664" s="2"/>
    </row>
    <row r="1665" ht="1.5" customHeight="1">
      <c r="A1665" s="4" t="str">
        <f>IFERROR(__xludf.DUMMYFUNCTION("""COMPUTED_VALUE"""),"1. Microwave")</f>
        <v>1. Microwave</v>
      </c>
      <c r="B1665" s="4" t="str">
        <f>IFERROR(__xludf.DUMMYFUNCTION("""COMPUTED_VALUE"""),"1")</f>
        <v>1</v>
      </c>
      <c r="C1665" s="5" t="str">
        <f>IFERROR(__xludf.DUMMYFUNCTION("""COMPUTED_VALUE"""),"https://drive.google.com/file/d/1lG34wV2AEhgx8u47p_mUUmy7SnAcKI9m/view?usp=drivesdk")</f>
        <v>https://drive.google.com/file/d/1lG34wV2AEhgx8u47p_mUUmy7SnAcKI9m/view?usp=drivesdk</v>
      </c>
      <c r="D1665" s="12"/>
      <c r="E1665" s="13">
        <v>1715.0</v>
      </c>
      <c r="F1665" s="2"/>
    </row>
    <row r="1666" ht="1.5" customHeight="1">
      <c r="A1666" s="4" t="str">
        <f>IFERROR(__xludf.DUMMYFUNCTION("""COMPUTED_VALUE"""),"1. Microwave")</f>
        <v>1. Microwave</v>
      </c>
      <c r="B1666" s="4" t="str">
        <f>IFERROR(__xludf.DUMMYFUNCTION("""COMPUTED_VALUE"""),"1")</f>
        <v>1</v>
      </c>
      <c r="C1666" s="5" t="str">
        <f>IFERROR(__xludf.DUMMYFUNCTION("""COMPUTED_VALUE"""),"https://drive.google.com/file/d/1jAEe_z9XqEiSvzKWh0yLbO7dJo_yNyQh/view?usp=drivesdk")</f>
        <v>https://drive.google.com/file/d/1jAEe_z9XqEiSvzKWh0yLbO7dJo_yNyQh/view?usp=drivesdk</v>
      </c>
      <c r="D1666" s="12"/>
      <c r="E1666" s="13">
        <v>1716.0</v>
      </c>
      <c r="F1666" s="2"/>
    </row>
    <row r="1667" ht="1.5" customHeight="1">
      <c r="A1667" s="4" t="str">
        <f>IFERROR(__xludf.DUMMYFUNCTION("""COMPUTED_VALUE"""),"2. Twix")</f>
        <v>2. Twix</v>
      </c>
      <c r="B1667" s="4" t="str">
        <f>IFERROR(__xludf.DUMMYFUNCTION("""COMPUTED_VALUE"""),"2")</f>
        <v>2</v>
      </c>
      <c r="C1667" s="5" t="str">
        <f>IFERROR(__xludf.DUMMYFUNCTION("""COMPUTED_VALUE"""),"https://drive.google.com/file/d/1QtswYt6KHxfNB1t9CqBWfBg_XFFSH4yt/view?usp=drivesdk")</f>
        <v>https://drive.google.com/file/d/1QtswYt6KHxfNB1t9CqBWfBg_XFFSH4yt/view?usp=drivesdk</v>
      </c>
      <c r="D1667" s="12"/>
      <c r="E1667" s="13">
        <v>1717.0</v>
      </c>
      <c r="F1667" s="2"/>
    </row>
    <row r="1668" ht="1.5" customHeight="1">
      <c r="A1668" s="4" t="str">
        <f>IFERROR(__xludf.DUMMYFUNCTION("""COMPUTED_VALUE"""),"1. Microwave, 0. NotACat")</f>
        <v>1. Microwave, 0. NotACat</v>
      </c>
      <c r="B1668" s="4" t="str">
        <f>IFERROR(__xludf.DUMMYFUNCTION("""COMPUTED_VALUE"""),"1, 0")</f>
        <v>1, 0</v>
      </c>
      <c r="C1668" s="5" t="str">
        <f>IFERROR(__xludf.DUMMYFUNCTION("""COMPUTED_VALUE"""),"https://drive.google.com/file/d/1LBKMU5uD7J6yXlPjhrfIzAho3Zkal8nU/view?usp=drivesdk")</f>
        <v>https://drive.google.com/file/d/1LBKMU5uD7J6yXlPjhrfIzAho3Zkal8nU/view?usp=drivesdk</v>
      </c>
      <c r="D1668" s="12"/>
      <c r="E1668" s="13">
        <v>1718.0</v>
      </c>
      <c r="F1668" s="2"/>
    </row>
    <row r="1669" ht="1.5" customHeight="1">
      <c r="A1669" s="4" t="str">
        <f>IFERROR(__xludf.DUMMYFUNCTION("""COMPUTED_VALUE"""),"2. Twix")</f>
        <v>2. Twix</v>
      </c>
      <c r="B1669" s="4" t="str">
        <f>IFERROR(__xludf.DUMMYFUNCTION("""COMPUTED_VALUE"""),"2")</f>
        <v>2</v>
      </c>
      <c r="C1669" s="5" t="str">
        <f>IFERROR(__xludf.DUMMYFUNCTION("""COMPUTED_VALUE"""),"https://drive.google.com/file/d/1q1UMY6T5liDNd_KkT266jQ0tBktWDpwM/view?usp=drivesdk")</f>
        <v>https://drive.google.com/file/d/1q1UMY6T5liDNd_KkT266jQ0tBktWDpwM/view?usp=drivesdk</v>
      </c>
      <c r="D1669" s="12"/>
      <c r="E1669" s="13">
        <v>1719.0</v>
      </c>
      <c r="F1669" s="2"/>
    </row>
    <row r="1670" ht="1.5" customHeight="1">
      <c r="A1670" s="4" t="str">
        <f>IFERROR(__xludf.DUMMYFUNCTION("""COMPUTED_VALUE"""),"2. Twix")</f>
        <v>2. Twix</v>
      </c>
      <c r="B1670" s="4" t="str">
        <f>IFERROR(__xludf.DUMMYFUNCTION("""COMPUTED_VALUE"""),"2")</f>
        <v>2</v>
      </c>
      <c r="C1670" s="5" t="str">
        <f>IFERROR(__xludf.DUMMYFUNCTION("""COMPUTED_VALUE"""),"https://drive.google.com/file/d/1ahu_WotEkNGl_lCR-9GnHoTt7uXMngnE/view?usp=drivesdk")</f>
        <v>https://drive.google.com/file/d/1ahu_WotEkNGl_lCR-9GnHoTt7uXMngnE/view?usp=drivesdk</v>
      </c>
      <c r="D1670" s="12"/>
      <c r="E1670" s="13">
        <v>1720.0</v>
      </c>
      <c r="F1670" s="2"/>
    </row>
    <row r="1671" ht="1.5" customHeight="1">
      <c r="A1671" s="4" t="str">
        <f>IFERROR(__xludf.DUMMYFUNCTION("""COMPUTED_VALUE"""),"2. Twix")</f>
        <v>2. Twix</v>
      </c>
      <c r="B1671" s="4" t="str">
        <f>IFERROR(__xludf.DUMMYFUNCTION("""COMPUTED_VALUE"""),"2")</f>
        <v>2</v>
      </c>
      <c r="C1671" s="5" t="str">
        <f>IFERROR(__xludf.DUMMYFUNCTION("""COMPUTED_VALUE"""),"https://drive.google.com/file/d/1DWWeIHf8funRkofhU1SqZPJf7jQnsCnf/view?usp=drivesdk")</f>
        <v>https://drive.google.com/file/d/1DWWeIHf8funRkofhU1SqZPJf7jQnsCnf/view?usp=drivesdk</v>
      </c>
      <c r="D1671" s="12"/>
      <c r="E1671" s="13">
        <v>1721.0</v>
      </c>
      <c r="F1671" s="2"/>
    </row>
    <row r="1672" ht="1.5" customHeight="1">
      <c r="A1672" s="4" t="str">
        <f>IFERROR(__xludf.DUMMYFUNCTION("""COMPUTED_VALUE"""),"1. Microwave")</f>
        <v>1. Microwave</v>
      </c>
      <c r="B1672" s="4" t="str">
        <f>IFERROR(__xludf.DUMMYFUNCTION("""COMPUTED_VALUE"""),"1")</f>
        <v>1</v>
      </c>
      <c r="C1672" s="5" t="str">
        <f>IFERROR(__xludf.DUMMYFUNCTION("""COMPUTED_VALUE"""),"https://drive.google.com/file/d/1cYYUDq9bMYutZa8lZ-FjGrv1ypJQq8b8/view?usp=drivesdk")</f>
        <v>https://drive.google.com/file/d/1cYYUDq9bMYutZa8lZ-FjGrv1ypJQq8b8/view?usp=drivesdk</v>
      </c>
      <c r="D1672" s="12"/>
      <c r="E1672" s="13">
        <v>1722.0</v>
      </c>
      <c r="F1672" s="2"/>
    </row>
    <row r="1673" ht="1.5" customHeight="1">
      <c r="A1673" s="4" t="str">
        <f>IFERROR(__xludf.DUMMYFUNCTION("""COMPUTED_VALUE"""),"1. Microwave")</f>
        <v>1. Microwave</v>
      </c>
      <c r="B1673" s="4" t="str">
        <f>IFERROR(__xludf.DUMMYFUNCTION("""COMPUTED_VALUE"""),"1")</f>
        <v>1</v>
      </c>
      <c r="C1673" s="5" t="str">
        <f>IFERROR(__xludf.DUMMYFUNCTION("""COMPUTED_VALUE"""),"https://drive.google.com/file/d/1UrFJnN3hhDT1b_yzEp5zlUDBGEcE67Np/view?usp=drivesdk")</f>
        <v>https://drive.google.com/file/d/1UrFJnN3hhDT1b_yzEp5zlUDBGEcE67Np/view?usp=drivesdk</v>
      </c>
      <c r="D1673" s="12"/>
      <c r="E1673" s="13">
        <v>1723.0</v>
      </c>
      <c r="F1673" s="2"/>
    </row>
    <row r="1674" ht="1.5" customHeight="1">
      <c r="A1674" s="4" t="str">
        <f>IFERROR(__xludf.DUMMYFUNCTION("""COMPUTED_VALUE"""),"1. Microwave")</f>
        <v>1. Microwave</v>
      </c>
      <c r="B1674" s="4" t="str">
        <f>IFERROR(__xludf.DUMMYFUNCTION("""COMPUTED_VALUE"""),"1")</f>
        <v>1</v>
      </c>
      <c r="C1674" s="5" t="str">
        <f>IFERROR(__xludf.DUMMYFUNCTION("""COMPUTED_VALUE"""),"https://drive.google.com/file/d/1GefoQQexNV5sqw-M1VcBSizVfWR6bLD4/view?usp=drivesdk")</f>
        <v>https://drive.google.com/file/d/1GefoQQexNV5sqw-M1VcBSizVfWR6bLD4/view?usp=drivesdk</v>
      </c>
      <c r="D1674" s="12"/>
      <c r="E1674" s="13">
        <v>1724.0</v>
      </c>
      <c r="F1674" s="2"/>
    </row>
    <row r="1675" ht="1.5" customHeight="1">
      <c r="A1675" s="4" t="str">
        <f>IFERROR(__xludf.DUMMYFUNCTION("""COMPUTED_VALUE"""),"1. Microwave")</f>
        <v>1. Microwave</v>
      </c>
      <c r="B1675" s="4" t="str">
        <f>IFERROR(__xludf.DUMMYFUNCTION("""COMPUTED_VALUE"""),"1")</f>
        <v>1</v>
      </c>
      <c r="C1675" s="5" t="str">
        <f>IFERROR(__xludf.DUMMYFUNCTION("""COMPUTED_VALUE"""),"https://drive.google.com/file/d/1HXvuTrXTyjd_nAiTO9nRkCVBC8pFITuS/view?usp=drivesdk")</f>
        <v>https://drive.google.com/file/d/1HXvuTrXTyjd_nAiTO9nRkCVBC8pFITuS/view?usp=drivesdk</v>
      </c>
      <c r="D1675" s="12"/>
      <c r="E1675" s="13">
        <v>1725.0</v>
      </c>
      <c r="F1675" s="2"/>
    </row>
    <row r="1676" ht="1.5" customHeight="1">
      <c r="A1676" s="4" t="str">
        <f>IFERROR(__xludf.DUMMYFUNCTION("""COMPUTED_VALUE"""),"1. Microwave")</f>
        <v>1. Microwave</v>
      </c>
      <c r="B1676" s="4" t="str">
        <f>IFERROR(__xludf.DUMMYFUNCTION("""COMPUTED_VALUE"""),"1")</f>
        <v>1</v>
      </c>
      <c r="C1676" s="5" t="str">
        <f>IFERROR(__xludf.DUMMYFUNCTION("""COMPUTED_VALUE"""),"https://drive.google.com/file/d/1jaebJMYT_Yw_enm6OuU-jbYd_tTb_kvR/view?usp=drivesdk")</f>
        <v>https://drive.google.com/file/d/1jaebJMYT_Yw_enm6OuU-jbYd_tTb_kvR/view?usp=drivesdk</v>
      </c>
      <c r="D1676" s="12"/>
      <c r="E1676" s="13">
        <v>1726.0</v>
      </c>
      <c r="F1676" s="2"/>
    </row>
    <row r="1677" ht="1.5" customHeight="1">
      <c r="A1677" s="4" t="str">
        <f>IFERROR(__xludf.DUMMYFUNCTION("""COMPUTED_VALUE"""),"1. Microwave")</f>
        <v>1. Microwave</v>
      </c>
      <c r="B1677" s="4" t="str">
        <f>IFERROR(__xludf.DUMMYFUNCTION("""COMPUTED_VALUE"""),"1")</f>
        <v>1</v>
      </c>
      <c r="C1677" s="5" t="str">
        <f>IFERROR(__xludf.DUMMYFUNCTION("""COMPUTED_VALUE"""),"https://drive.google.com/file/d/1pD7R_C4mhAM_nT8cMHhHVQzb7PgxH3On/view?usp=drivesdk")</f>
        <v>https://drive.google.com/file/d/1pD7R_C4mhAM_nT8cMHhHVQzb7PgxH3On/view?usp=drivesdk</v>
      </c>
      <c r="D1677" s="12"/>
      <c r="E1677" s="13">
        <v>1727.0</v>
      </c>
      <c r="F1677" s="2"/>
    </row>
    <row r="1678" ht="1.5" customHeight="1">
      <c r="A1678" s="4" t="str">
        <f>IFERROR(__xludf.DUMMYFUNCTION("""COMPUTED_VALUE"""),"1. Microwave")</f>
        <v>1. Microwave</v>
      </c>
      <c r="B1678" s="4" t="str">
        <f>IFERROR(__xludf.DUMMYFUNCTION("""COMPUTED_VALUE"""),"1")</f>
        <v>1</v>
      </c>
      <c r="C1678" s="5" t="str">
        <f>IFERROR(__xludf.DUMMYFUNCTION("""COMPUTED_VALUE"""),"https://drive.google.com/file/d/15RJb_Qg-TmOZeT_SQKkII5J2NWJgYWN-/view?usp=drivesdk")</f>
        <v>https://drive.google.com/file/d/15RJb_Qg-TmOZeT_SQKkII5J2NWJgYWN-/view?usp=drivesdk</v>
      </c>
      <c r="D1678" s="12"/>
      <c r="E1678" s="13">
        <v>1728.0</v>
      </c>
      <c r="F1678" s="2"/>
    </row>
    <row r="1679" ht="1.5" customHeight="1">
      <c r="A1679" s="4" t="str">
        <f>IFERROR(__xludf.DUMMYFUNCTION("""COMPUTED_VALUE"""),"8. Pencil")</f>
        <v>8. Pencil</v>
      </c>
      <c r="B1679" s="4" t="str">
        <f>IFERROR(__xludf.DUMMYFUNCTION("""COMPUTED_VALUE"""),"8")</f>
        <v>8</v>
      </c>
      <c r="C1679" s="5" t="str">
        <f>IFERROR(__xludf.DUMMYFUNCTION("""COMPUTED_VALUE"""),"https://drive.google.com/file/d/1gb4adXttNXNfyTzA-06i2dlioRl-QRPs/view?usp=drivesdk")</f>
        <v>https://drive.google.com/file/d/1gb4adXttNXNfyTzA-06i2dlioRl-QRPs/view?usp=drivesdk</v>
      </c>
      <c r="D1679" s="12"/>
      <c r="E1679" s="13">
        <v>1729.0</v>
      </c>
      <c r="F1679" s="2"/>
    </row>
    <row r="1680" ht="1.5" customHeight="1">
      <c r="A1680" s="4" t="str">
        <f>IFERROR(__xludf.DUMMYFUNCTION("""COMPUTED_VALUE"""),"8. Pencil")</f>
        <v>8. Pencil</v>
      </c>
      <c r="B1680" s="4" t="str">
        <f>IFERROR(__xludf.DUMMYFUNCTION("""COMPUTED_VALUE"""),"8")</f>
        <v>8</v>
      </c>
      <c r="C1680" s="5" t="str">
        <f>IFERROR(__xludf.DUMMYFUNCTION("""COMPUTED_VALUE"""),"https://drive.google.com/file/d/11UNt4HL5AI5pGxPFTfQjuBdB5o5G2u_3/view?usp=drivesdk")</f>
        <v>https://drive.google.com/file/d/11UNt4HL5AI5pGxPFTfQjuBdB5o5G2u_3/view?usp=drivesdk</v>
      </c>
      <c r="D1680" s="12"/>
      <c r="E1680" s="13">
        <v>1730.0</v>
      </c>
      <c r="F1680" s="2"/>
    </row>
    <row r="1681" ht="1.5" customHeight="1">
      <c r="A1681" s="4" t="str">
        <f>IFERROR(__xludf.DUMMYFUNCTION("""COMPUTED_VALUE"""),"8. Pencil")</f>
        <v>8. Pencil</v>
      </c>
      <c r="B1681" s="4" t="str">
        <f>IFERROR(__xludf.DUMMYFUNCTION("""COMPUTED_VALUE"""),"8")</f>
        <v>8</v>
      </c>
      <c r="C1681" s="5" t="str">
        <f>IFERROR(__xludf.DUMMYFUNCTION("""COMPUTED_VALUE"""),"https://drive.google.com/file/d/1CSythDvtH95LWOvirIiIPu84gnxtLpu5/view?usp=drivesdk")</f>
        <v>https://drive.google.com/file/d/1CSythDvtH95LWOvirIiIPu84gnxtLpu5/view?usp=drivesdk</v>
      </c>
      <c r="D1681" s="12"/>
      <c r="E1681" s="13">
        <v>1731.0</v>
      </c>
      <c r="F1681" s="2"/>
    </row>
    <row r="1682" ht="1.5" customHeight="1">
      <c r="A1682" s="4" t="str">
        <f>IFERROR(__xludf.DUMMYFUNCTION("""COMPUTED_VALUE"""),"8. Pencil")</f>
        <v>8. Pencil</v>
      </c>
      <c r="B1682" s="4" t="str">
        <f>IFERROR(__xludf.DUMMYFUNCTION("""COMPUTED_VALUE"""),"8")</f>
        <v>8</v>
      </c>
      <c r="C1682" s="5" t="str">
        <f>IFERROR(__xludf.DUMMYFUNCTION("""COMPUTED_VALUE"""),"https://drive.google.com/file/d/1osTsy7Zw7s5yeDJNc39S7V9YT5MLJX_9/view?usp=drivesdk")</f>
        <v>https://drive.google.com/file/d/1osTsy7Zw7s5yeDJNc39S7V9YT5MLJX_9/view?usp=drivesdk</v>
      </c>
      <c r="D1682" s="12"/>
      <c r="E1682" s="13">
        <v>1732.0</v>
      </c>
      <c r="F1682" s="2"/>
    </row>
    <row r="1683" ht="1.5" customHeight="1">
      <c r="A1683" s="4" t="str">
        <f>IFERROR(__xludf.DUMMYFUNCTION("""COMPUTED_VALUE"""),"2. Twix")</f>
        <v>2. Twix</v>
      </c>
      <c r="B1683" s="4" t="str">
        <f>IFERROR(__xludf.DUMMYFUNCTION("""COMPUTED_VALUE"""),"2")</f>
        <v>2</v>
      </c>
      <c r="C1683" s="5" t="str">
        <f>IFERROR(__xludf.DUMMYFUNCTION("""COMPUTED_VALUE"""),"https://drive.google.com/file/d/13L3AqRP4yb4ifdkR5mdoCXb-MlPmY4ab/view?usp=drivesdk")</f>
        <v>https://drive.google.com/file/d/13L3AqRP4yb4ifdkR5mdoCXb-MlPmY4ab/view?usp=drivesdk</v>
      </c>
      <c r="D1683" s="12"/>
      <c r="E1683" s="13">
        <v>1733.0</v>
      </c>
      <c r="F1683" s="2"/>
    </row>
    <row r="1684" ht="1.5" customHeight="1">
      <c r="A1684" s="4" t="str">
        <f>IFERROR(__xludf.DUMMYFUNCTION("""COMPUTED_VALUE"""),"2. Twix")</f>
        <v>2. Twix</v>
      </c>
      <c r="B1684" s="4" t="str">
        <f>IFERROR(__xludf.DUMMYFUNCTION("""COMPUTED_VALUE"""),"2")</f>
        <v>2</v>
      </c>
      <c r="C1684" s="5" t="str">
        <f>IFERROR(__xludf.DUMMYFUNCTION("""COMPUTED_VALUE"""),"https://drive.google.com/file/d/1FwmsuBPXgAM5Ta9678qNTfEGkAZROgKv/view?usp=drivesdk")</f>
        <v>https://drive.google.com/file/d/1FwmsuBPXgAM5Ta9678qNTfEGkAZROgKv/view?usp=drivesdk</v>
      </c>
      <c r="D1684" s="12"/>
      <c r="E1684" s="13">
        <v>1734.0</v>
      </c>
      <c r="F1684" s="2"/>
    </row>
    <row r="1685" ht="1.5" customHeight="1">
      <c r="A1685" s="4" t="str">
        <f>IFERROR(__xludf.DUMMYFUNCTION("""COMPUTED_VALUE"""),"2. Twix")</f>
        <v>2. Twix</v>
      </c>
      <c r="B1685" s="4" t="str">
        <f>IFERROR(__xludf.DUMMYFUNCTION("""COMPUTED_VALUE"""),"2")</f>
        <v>2</v>
      </c>
      <c r="C1685" s="5" t="str">
        <f>IFERROR(__xludf.DUMMYFUNCTION("""COMPUTED_VALUE"""),"https://drive.google.com/file/d/13aBKF6lKdN-Chu3DzKe9rEuVxggPxSpq/view?usp=drivesdk")</f>
        <v>https://drive.google.com/file/d/13aBKF6lKdN-Chu3DzKe9rEuVxggPxSpq/view?usp=drivesdk</v>
      </c>
      <c r="D1685" s="12"/>
      <c r="E1685" s="13">
        <v>1735.0</v>
      </c>
      <c r="F1685" s="2"/>
    </row>
    <row r="1686" ht="1.5" customHeight="1">
      <c r="A1686" s="4" t="str">
        <f>IFERROR(__xludf.DUMMYFUNCTION("""COMPUTED_VALUE"""),"2. Twix")</f>
        <v>2. Twix</v>
      </c>
      <c r="B1686" s="4" t="str">
        <f>IFERROR(__xludf.DUMMYFUNCTION("""COMPUTED_VALUE"""),"2")</f>
        <v>2</v>
      </c>
      <c r="C1686" s="5" t="str">
        <f>IFERROR(__xludf.DUMMYFUNCTION("""COMPUTED_VALUE"""),"https://drive.google.com/file/d/11docLgJYoWNSQUZfYi2OBjykpNSQXLEX/view?usp=drivesdk")</f>
        <v>https://drive.google.com/file/d/11docLgJYoWNSQUZfYi2OBjykpNSQXLEX/view?usp=drivesdk</v>
      </c>
      <c r="D1686" s="12"/>
      <c r="E1686" s="13">
        <v>1736.0</v>
      </c>
      <c r="F1686" s="2"/>
    </row>
    <row r="1687" ht="1.5" customHeight="1">
      <c r="A1687" s="4" t="str">
        <f>IFERROR(__xludf.DUMMYFUNCTION("""COMPUTED_VALUE"""),"2. Twix")</f>
        <v>2. Twix</v>
      </c>
      <c r="B1687" s="4" t="str">
        <f>IFERROR(__xludf.DUMMYFUNCTION("""COMPUTED_VALUE"""),"2")</f>
        <v>2</v>
      </c>
      <c r="C1687" s="5" t="str">
        <f>IFERROR(__xludf.DUMMYFUNCTION("""COMPUTED_VALUE"""),"https://drive.google.com/file/d/1HlPs3lrPV2F0JFTh8acK7rqxmz6l3yki/view?usp=drivesdk")</f>
        <v>https://drive.google.com/file/d/1HlPs3lrPV2F0JFTh8acK7rqxmz6l3yki/view?usp=drivesdk</v>
      </c>
      <c r="D1687" s="12"/>
      <c r="E1687" s="13">
        <v>1737.0</v>
      </c>
      <c r="F1687" s="2"/>
    </row>
    <row r="1688" ht="1.5" customHeight="1">
      <c r="A1688" s="4" t="str">
        <f>IFERROR(__xludf.DUMMYFUNCTION("""COMPUTED_VALUE"""),"2. Twix")</f>
        <v>2. Twix</v>
      </c>
      <c r="B1688" s="4" t="str">
        <f>IFERROR(__xludf.DUMMYFUNCTION("""COMPUTED_VALUE"""),"2")</f>
        <v>2</v>
      </c>
      <c r="C1688" s="5" t="str">
        <f>IFERROR(__xludf.DUMMYFUNCTION("""COMPUTED_VALUE"""),"https://drive.google.com/file/d/1tpFl5Exp48K_IkoC54KZe9lqHzAbzWAl/view?usp=drivesdk")</f>
        <v>https://drive.google.com/file/d/1tpFl5Exp48K_IkoC54KZe9lqHzAbzWAl/view?usp=drivesdk</v>
      </c>
      <c r="D1688" s="12"/>
      <c r="E1688" s="13">
        <v>1738.0</v>
      </c>
      <c r="F1688" s="2"/>
    </row>
    <row r="1689" ht="1.5" customHeight="1">
      <c r="A1689" s="4" t="str">
        <f>IFERROR(__xludf.DUMMYFUNCTION("""COMPUTED_VALUE"""),"2. Twix")</f>
        <v>2. Twix</v>
      </c>
      <c r="B1689" s="4" t="str">
        <f>IFERROR(__xludf.DUMMYFUNCTION("""COMPUTED_VALUE"""),"2")</f>
        <v>2</v>
      </c>
      <c r="C1689" s="5" t="str">
        <f>IFERROR(__xludf.DUMMYFUNCTION("""COMPUTED_VALUE"""),"https://drive.google.com/file/d/1gugM9zHdkJqCiz_vi-ei-JaS5X9mXCLq/view?usp=drivesdk")</f>
        <v>https://drive.google.com/file/d/1gugM9zHdkJqCiz_vi-ei-JaS5X9mXCLq/view?usp=drivesdk</v>
      </c>
      <c r="D1689" s="12"/>
      <c r="E1689" s="13">
        <v>1739.0</v>
      </c>
      <c r="F1689" s="2"/>
    </row>
    <row r="1690" ht="1.5" customHeight="1">
      <c r="A1690" s="4" t="str">
        <f>IFERROR(__xludf.DUMMYFUNCTION("""COMPUTED_VALUE"""),"2. Twix")</f>
        <v>2. Twix</v>
      </c>
      <c r="B1690" s="4" t="str">
        <f>IFERROR(__xludf.DUMMYFUNCTION("""COMPUTED_VALUE"""),"2")</f>
        <v>2</v>
      </c>
      <c r="C1690" s="5" t="str">
        <f>IFERROR(__xludf.DUMMYFUNCTION("""COMPUTED_VALUE"""),"https://drive.google.com/file/d/13r6y0lh7glk1ud6v3eKzxAmi_nLOVC5Y/view?usp=drivesdk")</f>
        <v>https://drive.google.com/file/d/13r6y0lh7glk1ud6v3eKzxAmi_nLOVC5Y/view?usp=drivesdk</v>
      </c>
      <c r="D1690" s="12"/>
      <c r="E1690" s="13">
        <v>1740.0</v>
      </c>
      <c r="F1690" s="2"/>
    </row>
    <row r="1691" ht="1.5" customHeight="1">
      <c r="A1691" s="4" t="str">
        <f>IFERROR(__xludf.DUMMYFUNCTION("""COMPUTED_VALUE"""),"2. Twix")</f>
        <v>2. Twix</v>
      </c>
      <c r="B1691" s="4" t="str">
        <f>IFERROR(__xludf.DUMMYFUNCTION("""COMPUTED_VALUE"""),"2")</f>
        <v>2</v>
      </c>
      <c r="C1691" s="5" t="str">
        <f>IFERROR(__xludf.DUMMYFUNCTION("""COMPUTED_VALUE"""),"https://drive.google.com/file/d/18ELHkJNHOirIABaB_U_B_vdoDZku-fAy/view?usp=drivesdk")</f>
        <v>https://drive.google.com/file/d/18ELHkJNHOirIABaB_U_B_vdoDZku-fAy/view?usp=drivesdk</v>
      </c>
      <c r="D1691" s="12"/>
      <c r="E1691" s="13">
        <v>1741.0</v>
      </c>
      <c r="F1691" s="2"/>
    </row>
    <row r="1692" ht="1.5" customHeight="1">
      <c r="A1692" s="4" t="str">
        <f>IFERROR(__xludf.DUMMYFUNCTION("""COMPUTED_VALUE"""),"1. Microwave")</f>
        <v>1. Microwave</v>
      </c>
      <c r="B1692" s="4" t="str">
        <f>IFERROR(__xludf.DUMMYFUNCTION("""COMPUTED_VALUE"""),"1")</f>
        <v>1</v>
      </c>
      <c r="C1692" s="5" t="str">
        <f>IFERROR(__xludf.DUMMYFUNCTION("""COMPUTED_VALUE"""),"https://drive.google.com/file/d/1M6xCrOGkkPUgnJSGThQuQcTGfaOFkhEi/view?usp=drivesdk")</f>
        <v>https://drive.google.com/file/d/1M6xCrOGkkPUgnJSGThQuQcTGfaOFkhEi/view?usp=drivesdk</v>
      </c>
      <c r="D1692" s="12"/>
      <c r="E1692" s="13">
        <v>1742.0</v>
      </c>
      <c r="F1692" s="2"/>
    </row>
    <row r="1693" ht="1.5" customHeight="1">
      <c r="A1693" s="4" t="str">
        <f>IFERROR(__xludf.DUMMYFUNCTION("""COMPUTED_VALUE"""),"1. Microwave")</f>
        <v>1. Microwave</v>
      </c>
      <c r="B1693" s="4" t="str">
        <f>IFERROR(__xludf.DUMMYFUNCTION("""COMPUTED_VALUE"""),"1")</f>
        <v>1</v>
      </c>
      <c r="C1693" s="5" t="str">
        <f>IFERROR(__xludf.DUMMYFUNCTION("""COMPUTED_VALUE"""),"https://drive.google.com/file/d/1MRhD2PdqGW9m2O0WPnZXSg5-Xj8yJ4SV/view?usp=drivesdk")</f>
        <v>https://drive.google.com/file/d/1MRhD2PdqGW9m2O0WPnZXSg5-Xj8yJ4SV/view?usp=drivesdk</v>
      </c>
      <c r="D1693" s="12"/>
      <c r="E1693" s="13">
        <v>1743.0</v>
      </c>
      <c r="F1693" s="2"/>
    </row>
    <row r="1694" ht="1.5" customHeight="1">
      <c r="A1694" s="4" t="str">
        <f>IFERROR(__xludf.DUMMYFUNCTION("""COMPUTED_VALUE"""),"1. Microwave")</f>
        <v>1. Microwave</v>
      </c>
      <c r="B1694" s="4" t="str">
        <f>IFERROR(__xludf.DUMMYFUNCTION("""COMPUTED_VALUE"""),"1")</f>
        <v>1</v>
      </c>
      <c r="C1694" s="5" t="str">
        <f>IFERROR(__xludf.DUMMYFUNCTION("""COMPUTED_VALUE"""),"https://drive.google.com/file/d/1ArtmxPUwmIibSSmYMx2HcNf996yo12U9/view?usp=drivesdk")</f>
        <v>https://drive.google.com/file/d/1ArtmxPUwmIibSSmYMx2HcNf996yo12U9/view?usp=drivesdk</v>
      </c>
      <c r="D1694" s="12"/>
      <c r="E1694" s="13">
        <v>1744.0</v>
      </c>
      <c r="F1694" s="2"/>
    </row>
    <row r="1695" ht="1.5" customHeight="1">
      <c r="A1695" s="4" t="str">
        <f>IFERROR(__xludf.DUMMYFUNCTION("""COMPUTED_VALUE"""),"4. Eggs")</f>
        <v>4. Eggs</v>
      </c>
      <c r="B1695" s="4" t="str">
        <f>IFERROR(__xludf.DUMMYFUNCTION("""COMPUTED_VALUE"""),"4")</f>
        <v>4</v>
      </c>
      <c r="C1695" s="5" t="str">
        <f>IFERROR(__xludf.DUMMYFUNCTION("""COMPUTED_VALUE"""),"https://drive.google.com/file/d/1mafo0X_SovcWVD15E724CqmuohmVIObc/view?usp=drivesdk")</f>
        <v>https://drive.google.com/file/d/1mafo0X_SovcWVD15E724CqmuohmVIObc/view?usp=drivesdk</v>
      </c>
      <c r="D1695" s="12"/>
      <c r="E1695" s="13">
        <v>1745.0</v>
      </c>
      <c r="F1695" s="2"/>
    </row>
    <row r="1696" ht="1.5" customHeight="1">
      <c r="A1696" s="4" t="str">
        <f>IFERROR(__xludf.DUMMYFUNCTION("""COMPUTED_VALUE"""),"4. Eggs")</f>
        <v>4. Eggs</v>
      </c>
      <c r="B1696" s="4" t="str">
        <f>IFERROR(__xludf.DUMMYFUNCTION("""COMPUTED_VALUE"""),"4")</f>
        <v>4</v>
      </c>
      <c r="C1696" s="5" t="str">
        <f>IFERROR(__xludf.DUMMYFUNCTION("""COMPUTED_VALUE"""),"https://drive.google.com/file/d/10om2ABaxf1ln_vycWg0GyiryeVMVmvl1/view?usp=drivesdk")</f>
        <v>https://drive.google.com/file/d/10om2ABaxf1ln_vycWg0GyiryeVMVmvl1/view?usp=drivesdk</v>
      </c>
      <c r="D1696" s="12"/>
      <c r="E1696" s="13">
        <v>1746.0</v>
      </c>
      <c r="F1696" s="2"/>
    </row>
    <row r="1697" ht="1.5" customHeight="1">
      <c r="A1697" s="4" t="str">
        <f>IFERROR(__xludf.DUMMYFUNCTION("""COMPUTED_VALUE"""),"2. Twix")</f>
        <v>2. Twix</v>
      </c>
      <c r="B1697" s="4" t="str">
        <f>IFERROR(__xludf.DUMMYFUNCTION("""COMPUTED_VALUE"""),"2")</f>
        <v>2</v>
      </c>
      <c r="C1697" s="5" t="str">
        <f>IFERROR(__xludf.DUMMYFUNCTION("""COMPUTED_VALUE"""),"https://drive.google.com/file/d/1jwpG-35s1Ouz3hHTY-YFQn86mFlVhZ3Y/view?usp=drivesdk")</f>
        <v>https://drive.google.com/file/d/1jwpG-35s1Ouz3hHTY-YFQn86mFlVhZ3Y/view?usp=drivesdk</v>
      </c>
      <c r="D1697" s="12"/>
      <c r="E1697" s="13">
        <v>1747.0</v>
      </c>
      <c r="F1697" s="2"/>
    </row>
    <row r="1698" ht="1.5" customHeight="1">
      <c r="A1698" s="4" t="str">
        <f>IFERROR(__xludf.DUMMYFUNCTION("""COMPUTED_VALUE"""),"2. Twix")</f>
        <v>2. Twix</v>
      </c>
      <c r="B1698" s="4" t="str">
        <f>IFERROR(__xludf.DUMMYFUNCTION("""COMPUTED_VALUE"""),"2")</f>
        <v>2</v>
      </c>
      <c r="C1698" s="5" t="str">
        <f>IFERROR(__xludf.DUMMYFUNCTION("""COMPUTED_VALUE"""),"https://drive.google.com/file/d/1XwkE6JoRoOEQ6Uc6sdAZGgEADNJ9KvOM/view?usp=drivesdk")</f>
        <v>https://drive.google.com/file/d/1XwkE6JoRoOEQ6Uc6sdAZGgEADNJ9KvOM/view?usp=drivesdk</v>
      </c>
      <c r="D1698" s="12"/>
      <c r="E1698" s="13">
        <v>1748.0</v>
      </c>
      <c r="F1698" s="2"/>
    </row>
    <row r="1699" ht="1.5" customHeight="1">
      <c r="A1699" s="4" t="str">
        <f>IFERROR(__xludf.DUMMYFUNCTION("""COMPUTED_VALUE"""),"1. Microwave")</f>
        <v>1. Microwave</v>
      </c>
      <c r="B1699" s="4" t="str">
        <f>IFERROR(__xludf.DUMMYFUNCTION("""COMPUTED_VALUE"""),"1")</f>
        <v>1</v>
      </c>
      <c r="C1699" s="5" t="str">
        <f>IFERROR(__xludf.DUMMYFUNCTION("""COMPUTED_VALUE"""),"https://drive.google.com/file/d/112d6sWewG72a5kkT0CsvJlja_LTheNyW/view?usp=drivesdk")</f>
        <v>https://drive.google.com/file/d/112d6sWewG72a5kkT0CsvJlja_LTheNyW/view?usp=drivesdk</v>
      </c>
      <c r="D1699" s="12"/>
      <c r="E1699" s="13">
        <v>1749.0</v>
      </c>
      <c r="F1699" s="2"/>
    </row>
    <row r="1700" ht="1.5" customHeight="1">
      <c r="A1700" s="4" t="str">
        <f>IFERROR(__xludf.DUMMYFUNCTION("""COMPUTED_VALUE"""),"1. Microwave")</f>
        <v>1. Microwave</v>
      </c>
      <c r="B1700" s="4" t="str">
        <f>IFERROR(__xludf.DUMMYFUNCTION("""COMPUTED_VALUE"""),"1")</f>
        <v>1</v>
      </c>
      <c r="C1700" s="5" t="str">
        <f>IFERROR(__xludf.DUMMYFUNCTION("""COMPUTED_VALUE"""),"https://drive.google.com/file/d/1LLsIlWhWekt0_RzlzOPIUqnLpS2dyFyT/view?usp=drivesdk")</f>
        <v>https://drive.google.com/file/d/1LLsIlWhWekt0_RzlzOPIUqnLpS2dyFyT/view?usp=drivesdk</v>
      </c>
      <c r="D1700" s="12"/>
      <c r="E1700" s="13">
        <v>1750.0</v>
      </c>
      <c r="F1700" s="2"/>
    </row>
    <row r="1701" ht="1.5" customHeight="1">
      <c r="A1701" s="4" t="str">
        <f>IFERROR(__xludf.DUMMYFUNCTION("""COMPUTED_VALUE"""),"1. Microwave")</f>
        <v>1. Microwave</v>
      </c>
      <c r="B1701" s="4" t="str">
        <f>IFERROR(__xludf.DUMMYFUNCTION("""COMPUTED_VALUE"""),"1")</f>
        <v>1</v>
      </c>
      <c r="C1701" s="5" t="str">
        <f>IFERROR(__xludf.DUMMYFUNCTION("""COMPUTED_VALUE"""),"https://drive.google.com/file/d/1yI3X6pGkarjZ_yN3h3Vcg6snr-5wG_H8/view?usp=drivesdk")</f>
        <v>https://drive.google.com/file/d/1yI3X6pGkarjZ_yN3h3Vcg6snr-5wG_H8/view?usp=drivesdk</v>
      </c>
      <c r="D1701" s="12"/>
      <c r="E1701" s="13">
        <v>1751.0</v>
      </c>
      <c r="F1701" s="2"/>
    </row>
    <row r="1702" ht="1.5" customHeight="1">
      <c r="A1702" s="4" t="str">
        <f>IFERROR(__xludf.DUMMYFUNCTION("""COMPUTED_VALUE"""),"2. Twix")</f>
        <v>2. Twix</v>
      </c>
      <c r="B1702" s="4" t="str">
        <f>IFERROR(__xludf.DUMMYFUNCTION("""COMPUTED_VALUE"""),"2")</f>
        <v>2</v>
      </c>
      <c r="C1702" s="5" t="str">
        <f>IFERROR(__xludf.DUMMYFUNCTION("""COMPUTED_VALUE"""),"https://drive.google.com/file/d/1jZ2Kedg_NT6K6S80r9v3HGbqbi6bjjBK/view?usp=drivesdk")</f>
        <v>https://drive.google.com/file/d/1jZ2Kedg_NT6K6S80r9v3HGbqbi6bjjBK/view?usp=drivesdk</v>
      </c>
      <c r="D1702" s="12"/>
      <c r="E1702" s="13">
        <v>1752.0</v>
      </c>
      <c r="F1702" s="2"/>
    </row>
    <row r="1703" ht="1.5" customHeight="1">
      <c r="A1703" s="4" t="str">
        <f>IFERROR(__xludf.DUMMYFUNCTION("""COMPUTED_VALUE"""),"2. Twix")</f>
        <v>2. Twix</v>
      </c>
      <c r="B1703" s="4" t="str">
        <f>IFERROR(__xludf.DUMMYFUNCTION("""COMPUTED_VALUE"""),"2")</f>
        <v>2</v>
      </c>
      <c r="C1703" s="5" t="str">
        <f>IFERROR(__xludf.DUMMYFUNCTION("""COMPUTED_VALUE"""),"https://drive.google.com/file/d/1PIcx9kftOWWpa4Bucu2XUPzSmX8gK2qf/view?usp=drivesdk")</f>
        <v>https://drive.google.com/file/d/1PIcx9kftOWWpa4Bucu2XUPzSmX8gK2qf/view?usp=drivesdk</v>
      </c>
      <c r="D1703" s="12"/>
      <c r="E1703" s="13">
        <v>1753.0</v>
      </c>
      <c r="F1703" s="2"/>
    </row>
    <row r="1704" ht="1.5" customHeight="1">
      <c r="A1704" s="4" t="str">
        <f>IFERROR(__xludf.DUMMYFUNCTION("""COMPUTED_VALUE"""),"2. Twix")</f>
        <v>2. Twix</v>
      </c>
      <c r="B1704" s="4" t="str">
        <f>IFERROR(__xludf.DUMMYFUNCTION("""COMPUTED_VALUE"""),"2")</f>
        <v>2</v>
      </c>
      <c r="C1704" s="5" t="str">
        <f>IFERROR(__xludf.DUMMYFUNCTION("""COMPUTED_VALUE"""),"https://drive.google.com/file/d/1T83lopoLlU9HmDZYyWi20eFq-jrH6KaV/view?usp=drivesdk")</f>
        <v>https://drive.google.com/file/d/1T83lopoLlU9HmDZYyWi20eFq-jrH6KaV/view?usp=drivesdk</v>
      </c>
      <c r="D1704" s="12"/>
      <c r="E1704" s="13">
        <v>1754.0</v>
      </c>
      <c r="F1704" s="2"/>
    </row>
    <row r="1705" ht="1.5" customHeight="1">
      <c r="A1705" s="4" t="str">
        <f>IFERROR(__xludf.DUMMYFUNCTION("""COMPUTED_VALUE"""),"2. Twix")</f>
        <v>2. Twix</v>
      </c>
      <c r="B1705" s="4" t="str">
        <f>IFERROR(__xludf.DUMMYFUNCTION("""COMPUTED_VALUE"""),"2")</f>
        <v>2</v>
      </c>
      <c r="C1705" s="5" t="str">
        <f>IFERROR(__xludf.DUMMYFUNCTION("""COMPUTED_VALUE"""),"https://drive.google.com/file/d/1ZCJL_zsDiDD2lHCITjWauZbAztpZXyzn/view?usp=drivesdk")</f>
        <v>https://drive.google.com/file/d/1ZCJL_zsDiDD2lHCITjWauZbAztpZXyzn/view?usp=drivesdk</v>
      </c>
      <c r="D1705" s="12"/>
      <c r="E1705" s="13">
        <v>1755.0</v>
      </c>
      <c r="F1705" s="2"/>
    </row>
    <row r="1706" ht="1.5" customHeight="1">
      <c r="A1706" s="4" t="str">
        <f>IFERROR(__xludf.DUMMYFUNCTION("""COMPUTED_VALUE"""),"4. Eggs, 5. Eraser")</f>
        <v>4. Eggs, 5. Eraser</v>
      </c>
      <c r="B1706" s="4" t="str">
        <f>IFERROR(__xludf.DUMMYFUNCTION("""COMPUTED_VALUE"""),"4, 5")</f>
        <v>4, 5</v>
      </c>
      <c r="C1706" s="5" t="str">
        <f>IFERROR(__xludf.DUMMYFUNCTION("""COMPUTED_VALUE"""),"https://drive.google.com/file/d/1FSPOl4Wf1XNeZZuo61CNlW6rLdzVpRW9/view?usp=drivesdk")</f>
        <v>https://drive.google.com/file/d/1FSPOl4Wf1XNeZZuo61CNlW6rLdzVpRW9/view?usp=drivesdk</v>
      </c>
      <c r="D1706" s="12"/>
      <c r="E1706" s="13">
        <v>1756.0</v>
      </c>
      <c r="F1706" s="2"/>
    </row>
    <row r="1707" ht="1.5" customHeight="1">
      <c r="A1707" s="4" t="str">
        <f>IFERROR(__xludf.DUMMYFUNCTION("""COMPUTED_VALUE"""),"5. Eraser")</f>
        <v>5. Eraser</v>
      </c>
      <c r="B1707" s="4" t="str">
        <f>IFERROR(__xludf.DUMMYFUNCTION("""COMPUTED_VALUE"""),"5")</f>
        <v>5</v>
      </c>
      <c r="C1707" s="5" t="str">
        <f>IFERROR(__xludf.DUMMYFUNCTION("""COMPUTED_VALUE"""),"https://drive.google.com/file/d/1wvEUoro-4qB4RlaCrVXqQVAtwC9Lku5B/view?usp=drivesdk")</f>
        <v>https://drive.google.com/file/d/1wvEUoro-4qB4RlaCrVXqQVAtwC9Lku5B/view?usp=drivesdk</v>
      </c>
      <c r="D1707" s="12"/>
      <c r="E1707" s="13">
        <v>1757.0</v>
      </c>
      <c r="F1707" s="2"/>
    </row>
    <row r="1708" ht="1.5" customHeight="1">
      <c r="A1708" s="4" t="str">
        <f>IFERROR(__xludf.DUMMYFUNCTION("""COMPUTED_VALUE"""),"5. Eraser")</f>
        <v>5. Eraser</v>
      </c>
      <c r="B1708" s="4" t="str">
        <f>IFERROR(__xludf.DUMMYFUNCTION("""COMPUTED_VALUE"""),"5")</f>
        <v>5</v>
      </c>
      <c r="C1708" s="5" t="str">
        <f>IFERROR(__xludf.DUMMYFUNCTION("""COMPUTED_VALUE"""),"https://drive.google.com/file/d/1rZGz3W8e9zjHiIwk_9aUY-Vwj4O7-koX/view?usp=drivesdk")</f>
        <v>https://drive.google.com/file/d/1rZGz3W8e9zjHiIwk_9aUY-Vwj4O7-koX/view?usp=drivesdk</v>
      </c>
      <c r="D1708" s="12"/>
      <c r="E1708" s="13">
        <v>1758.0</v>
      </c>
      <c r="F1708" s="2"/>
    </row>
    <row r="1709" ht="1.5" customHeight="1">
      <c r="A1709" s="4" t="str">
        <f>IFERROR(__xludf.DUMMYFUNCTION("""COMPUTED_VALUE"""),"1. Microwave")</f>
        <v>1. Microwave</v>
      </c>
      <c r="B1709" s="4" t="str">
        <f>IFERROR(__xludf.DUMMYFUNCTION("""COMPUTED_VALUE"""),"1")</f>
        <v>1</v>
      </c>
      <c r="C1709" s="5" t="str">
        <f>IFERROR(__xludf.DUMMYFUNCTION("""COMPUTED_VALUE"""),"https://drive.google.com/file/d/1Qy01IO2Lyw1zXSBSDTlHHAtHMbhQ4f-c/view?usp=drivesdk")</f>
        <v>https://drive.google.com/file/d/1Qy01IO2Lyw1zXSBSDTlHHAtHMbhQ4f-c/view?usp=drivesdk</v>
      </c>
      <c r="D1709" s="12"/>
      <c r="E1709" s="13">
        <v>1759.0</v>
      </c>
      <c r="F1709" s="2"/>
    </row>
    <row r="1710" ht="1.5" customHeight="1">
      <c r="A1710" s="4" t="str">
        <f>IFERROR(__xludf.DUMMYFUNCTION("""COMPUTED_VALUE"""),"1. Microwave")</f>
        <v>1. Microwave</v>
      </c>
      <c r="B1710" s="4" t="str">
        <f>IFERROR(__xludf.DUMMYFUNCTION("""COMPUTED_VALUE"""),"1")</f>
        <v>1</v>
      </c>
      <c r="C1710" s="5" t="str">
        <f>IFERROR(__xludf.DUMMYFUNCTION("""COMPUTED_VALUE"""),"https://drive.google.com/file/d/1rCMWK5GO1DqsPpgBFvh1Do2PbDBDnVwi/view?usp=drivesdk")</f>
        <v>https://drive.google.com/file/d/1rCMWK5GO1DqsPpgBFvh1Do2PbDBDnVwi/view?usp=drivesdk</v>
      </c>
      <c r="D1710" s="12"/>
      <c r="E1710" s="13">
        <v>1760.0</v>
      </c>
      <c r="F1710" s="2"/>
    </row>
    <row r="1711" ht="1.5" customHeight="1">
      <c r="A1711" s="4" t="str">
        <f>IFERROR(__xludf.DUMMYFUNCTION("""COMPUTED_VALUE"""),"1. Microwave")</f>
        <v>1. Microwave</v>
      </c>
      <c r="B1711" s="4" t="str">
        <f>IFERROR(__xludf.DUMMYFUNCTION("""COMPUTED_VALUE"""),"1")</f>
        <v>1</v>
      </c>
      <c r="C1711" s="5" t="str">
        <f>IFERROR(__xludf.DUMMYFUNCTION("""COMPUTED_VALUE"""),"https://drive.google.com/file/d/1KfEw88URiIdeGwLbj5D6KSlFR69avv1v/view?usp=drivesdk")</f>
        <v>https://drive.google.com/file/d/1KfEw88URiIdeGwLbj5D6KSlFR69avv1v/view?usp=drivesdk</v>
      </c>
      <c r="D1711" s="12"/>
      <c r="E1711" s="13">
        <v>1761.0</v>
      </c>
      <c r="F1711" s="2"/>
    </row>
    <row r="1712" ht="1.5" customHeight="1">
      <c r="A1712" s="4" t="str">
        <f>IFERROR(__xludf.DUMMYFUNCTION("""COMPUTED_VALUE"""),"2. Twix")</f>
        <v>2. Twix</v>
      </c>
      <c r="B1712" s="4" t="str">
        <f>IFERROR(__xludf.DUMMYFUNCTION("""COMPUTED_VALUE"""),"2")</f>
        <v>2</v>
      </c>
      <c r="C1712" s="5" t="str">
        <f>IFERROR(__xludf.DUMMYFUNCTION("""COMPUTED_VALUE"""),"https://drive.google.com/file/d/1GFB7pbGQJpPkAk0VtsDJsosPBBB8ifP9/view?usp=drivesdk")</f>
        <v>https://drive.google.com/file/d/1GFB7pbGQJpPkAk0VtsDJsosPBBB8ifP9/view?usp=drivesdk</v>
      </c>
      <c r="D1712" s="12"/>
      <c r="E1712" s="13">
        <v>1762.0</v>
      </c>
      <c r="F1712" s="2"/>
    </row>
    <row r="1713" ht="1.5" customHeight="1">
      <c r="A1713" s="4" t="str">
        <f>IFERROR(__xludf.DUMMYFUNCTION("""COMPUTED_VALUE"""),"2. Twix")</f>
        <v>2. Twix</v>
      </c>
      <c r="B1713" s="4" t="str">
        <f>IFERROR(__xludf.DUMMYFUNCTION("""COMPUTED_VALUE"""),"2")</f>
        <v>2</v>
      </c>
      <c r="C1713" s="5" t="str">
        <f>IFERROR(__xludf.DUMMYFUNCTION("""COMPUTED_VALUE"""),"https://drive.google.com/file/d/1lypq91V04-oEjbhAI5QiVlFLpZVJMqAZ/view?usp=drivesdk")</f>
        <v>https://drive.google.com/file/d/1lypq91V04-oEjbhAI5QiVlFLpZVJMqAZ/view?usp=drivesdk</v>
      </c>
      <c r="D1713" s="12"/>
      <c r="E1713" s="13">
        <v>1763.0</v>
      </c>
      <c r="F1713" s="2"/>
    </row>
    <row r="1714" ht="1.5" customHeight="1">
      <c r="A1714" s="4" t="str">
        <f>IFERROR(__xludf.DUMMYFUNCTION("""COMPUTED_VALUE"""),"72. Mr Sir")</f>
        <v>72. Mr Sir</v>
      </c>
      <c r="B1714" s="4" t="str">
        <f>IFERROR(__xludf.DUMMYFUNCTION("""COMPUTED_VALUE"""),"72")</f>
        <v>72</v>
      </c>
      <c r="C1714" s="5" t="str">
        <f>IFERROR(__xludf.DUMMYFUNCTION("""COMPUTED_VALUE"""),"https://drive.google.com/file/d/13dqwcgFHvl184jVJgIV6QBgLyvplC3k1/view?usp=drivesdk")</f>
        <v>https://drive.google.com/file/d/13dqwcgFHvl184jVJgIV6QBgLyvplC3k1/view?usp=drivesdk</v>
      </c>
      <c r="D1714" s="12"/>
      <c r="E1714" s="13">
        <v>1764.0</v>
      </c>
      <c r="F1714" s="2"/>
    </row>
    <row r="1715" ht="1.5" customHeight="1">
      <c r="A1715" s="4" t="str">
        <f>IFERROR(__xludf.DUMMYFUNCTION("""COMPUTED_VALUE"""),"1. Microwave")</f>
        <v>1. Microwave</v>
      </c>
      <c r="B1715" s="4" t="str">
        <f>IFERROR(__xludf.DUMMYFUNCTION("""COMPUTED_VALUE"""),"1")</f>
        <v>1</v>
      </c>
      <c r="C1715" s="5" t="str">
        <f>IFERROR(__xludf.DUMMYFUNCTION("""COMPUTED_VALUE"""),"https://drive.google.com/file/d/1ApvU1KeSVibNmYeH20ssymr-zmB9Ha4P/view?usp=drivesdk")</f>
        <v>https://drive.google.com/file/d/1ApvU1KeSVibNmYeH20ssymr-zmB9Ha4P/view?usp=drivesdk</v>
      </c>
      <c r="D1715" s="12"/>
      <c r="E1715" s="13">
        <v>1765.0</v>
      </c>
      <c r="F1715" s="2"/>
    </row>
    <row r="1716" ht="1.5" customHeight="1">
      <c r="A1716" s="4" t="str">
        <f>IFERROR(__xludf.DUMMYFUNCTION("""COMPUTED_VALUE"""),"1. Microwave")</f>
        <v>1. Microwave</v>
      </c>
      <c r="B1716" s="4" t="str">
        <f>IFERROR(__xludf.DUMMYFUNCTION("""COMPUTED_VALUE"""),"1")</f>
        <v>1</v>
      </c>
      <c r="C1716" s="5" t="str">
        <f>IFERROR(__xludf.DUMMYFUNCTION("""COMPUTED_VALUE"""),"https://drive.google.com/file/d/1YJZtOfZbfGJWCUezIWE3p82M9EuMwTAF/view?usp=drivesdk")</f>
        <v>https://drive.google.com/file/d/1YJZtOfZbfGJWCUezIWE3p82M9EuMwTAF/view?usp=drivesdk</v>
      </c>
      <c r="D1716" s="12"/>
      <c r="E1716" s="13">
        <v>1766.0</v>
      </c>
      <c r="F1716" s="2"/>
    </row>
    <row r="1717" ht="1.5" customHeight="1">
      <c r="A1717" s="4" t="str">
        <f>IFERROR(__xludf.DUMMYFUNCTION("""COMPUTED_VALUE"""),"27. Angel")</f>
        <v>27. Angel</v>
      </c>
      <c r="B1717" s="4" t="str">
        <f>IFERROR(__xludf.DUMMYFUNCTION("""COMPUTED_VALUE"""),"27")</f>
        <v>27</v>
      </c>
      <c r="C1717" s="5" t="str">
        <f>IFERROR(__xludf.DUMMYFUNCTION("""COMPUTED_VALUE"""),"https://drive.google.com/file/d/13QdYwFfQpJVUrwKLmjT-FSja0EBhsZBM/view?usp=drivesdk")</f>
        <v>https://drive.google.com/file/d/13QdYwFfQpJVUrwKLmjT-FSja0EBhsZBM/view?usp=drivesdk</v>
      </c>
      <c r="D1717" s="12"/>
      <c r="E1717" s="13">
        <v>1767.0</v>
      </c>
      <c r="F1717" s="2"/>
    </row>
    <row r="1718" ht="1.5" customHeight="1">
      <c r="A1718" s="4" t="str">
        <f>IFERROR(__xludf.DUMMYFUNCTION("""COMPUTED_VALUE"""),"65. Tepi")</f>
        <v>65. Tepi</v>
      </c>
      <c r="B1718" s="4" t="str">
        <f>IFERROR(__xludf.DUMMYFUNCTION("""COMPUTED_VALUE"""),"65")</f>
        <v>65</v>
      </c>
      <c r="C1718" s="5" t="str">
        <f>IFERROR(__xludf.DUMMYFUNCTION("""COMPUTED_VALUE"""),"https://drive.google.com/file/d/1KKHa6L0513fugARd2N6e5X1llbnyz21f/view?usp=drivesdk")</f>
        <v>https://drive.google.com/file/d/1KKHa6L0513fugARd2N6e5X1llbnyz21f/view?usp=drivesdk</v>
      </c>
      <c r="D1718" s="12"/>
      <c r="E1718" s="13">
        <v>1768.0</v>
      </c>
      <c r="F1718" s="2"/>
    </row>
    <row r="1719" ht="1.5" customHeight="1">
      <c r="A1719" s="4" t="str">
        <f>IFERROR(__xludf.DUMMYFUNCTION("""COMPUTED_VALUE"""),"65. Tepi")</f>
        <v>65. Tepi</v>
      </c>
      <c r="B1719" s="4" t="str">
        <f>IFERROR(__xludf.DUMMYFUNCTION("""COMPUTED_VALUE"""),"65")</f>
        <v>65</v>
      </c>
      <c r="C1719" s="5" t="str">
        <f>IFERROR(__xludf.DUMMYFUNCTION("""COMPUTED_VALUE"""),"https://drive.google.com/file/d/1Aw5k6HxbsvK8UU47zUD-0a4uHhrJVzVZ/view?usp=drivesdk")</f>
        <v>https://drive.google.com/file/d/1Aw5k6HxbsvK8UU47zUD-0a4uHhrJVzVZ/view?usp=drivesdk</v>
      </c>
      <c r="D1719" s="12"/>
      <c r="E1719" s="13">
        <v>1769.0</v>
      </c>
      <c r="F1719" s="2"/>
    </row>
    <row r="1720" ht="1.5" customHeight="1">
      <c r="A1720" s="4" t="str">
        <f>IFERROR(__xludf.DUMMYFUNCTION("""COMPUTED_VALUE"""),"65. Tepi")</f>
        <v>65. Tepi</v>
      </c>
      <c r="B1720" s="4" t="str">
        <f>IFERROR(__xludf.DUMMYFUNCTION("""COMPUTED_VALUE"""),"65")</f>
        <v>65</v>
      </c>
      <c r="C1720" s="5" t="str">
        <f>IFERROR(__xludf.DUMMYFUNCTION("""COMPUTED_VALUE"""),"https://drive.google.com/file/d/18vud3RReaFpF-UUiZm7aICskHtbWIV-t/view?usp=drivesdk")</f>
        <v>https://drive.google.com/file/d/18vud3RReaFpF-UUiZm7aICskHtbWIV-t/view?usp=drivesdk</v>
      </c>
      <c r="D1720" s="12"/>
      <c r="E1720" s="13">
        <v>1770.0</v>
      </c>
      <c r="F1720" s="2"/>
    </row>
    <row r="1721" ht="1.5" customHeight="1">
      <c r="A1721" s="4" t="str">
        <f>IFERROR(__xludf.DUMMYFUNCTION("""COMPUTED_VALUE"""),"65. Tepi")</f>
        <v>65. Tepi</v>
      </c>
      <c r="B1721" s="4" t="str">
        <f>IFERROR(__xludf.DUMMYFUNCTION("""COMPUTED_VALUE"""),"65")</f>
        <v>65</v>
      </c>
      <c r="C1721" s="5" t="str">
        <f>IFERROR(__xludf.DUMMYFUNCTION("""COMPUTED_VALUE"""),"https://drive.google.com/file/d/1kclvKzwDIpbEljO5AfCZvIj_Ewusvc34/view?usp=drivesdk")</f>
        <v>https://drive.google.com/file/d/1kclvKzwDIpbEljO5AfCZvIj_Ewusvc34/view?usp=drivesdk</v>
      </c>
      <c r="D1721" s="12"/>
      <c r="E1721" s="13">
        <v>1771.0</v>
      </c>
      <c r="F1721" s="2"/>
    </row>
    <row r="1722" ht="1.5" customHeight="1">
      <c r="A1722" s="4" t="str">
        <f>IFERROR(__xludf.DUMMYFUNCTION("""COMPUTED_VALUE"""),"65. Tepi")</f>
        <v>65. Tepi</v>
      </c>
      <c r="B1722" s="4" t="str">
        <f>IFERROR(__xludf.DUMMYFUNCTION("""COMPUTED_VALUE"""),"65")</f>
        <v>65</v>
      </c>
      <c r="C1722" s="5" t="str">
        <f>IFERROR(__xludf.DUMMYFUNCTION("""COMPUTED_VALUE"""),"https://drive.google.com/file/d/1qO-kg_lOmm7Iai1F-0EMYmWbq-OkQgNq/view?usp=drivesdk")</f>
        <v>https://drive.google.com/file/d/1qO-kg_lOmm7Iai1F-0EMYmWbq-OkQgNq/view?usp=drivesdk</v>
      </c>
      <c r="D1722" s="12"/>
      <c r="E1722" s="13">
        <v>1772.0</v>
      </c>
      <c r="F1722" s="2"/>
    </row>
    <row r="1723" ht="1.5" customHeight="1">
      <c r="A1723" s="4" t="str">
        <f>IFERROR(__xludf.DUMMYFUNCTION("""COMPUTED_VALUE"""),"65. Tepi")</f>
        <v>65. Tepi</v>
      </c>
      <c r="B1723" s="4" t="str">
        <f>IFERROR(__xludf.DUMMYFUNCTION("""COMPUTED_VALUE"""),"65")</f>
        <v>65</v>
      </c>
      <c r="C1723" s="5" t="str">
        <f>IFERROR(__xludf.DUMMYFUNCTION("""COMPUTED_VALUE"""),"https://drive.google.com/file/d/15XkiEvRx4u_CL8v6l5F2BJLga08-mGpO/view?usp=drivesdk")</f>
        <v>https://drive.google.com/file/d/15XkiEvRx4u_CL8v6l5F2BJLga08-mGpO/view?usp=drivesdk</v>
      </c>
      <c r="D1723" s="12"/>
      <c r="E1723" s="13">
        <v>1773.0</v>
      </c>
      <c r="F1723" s="2"/>
    </row>
    <row r="1724" ht="1.5" customHeight="1">
      <c r="A1724" s="4" t="str">
        <f>IFERROR(__xludf.DUMMYFUNCTION("""COMPUTED_VALUE"""),"65. Tepi")</f>
        <v>65. Tepi</v>
      </c>
      <c r="B1724" s="4" t="str">
        <f>IFERROR(__xludf.DUMMYFUNCTION("""COMPUTED_VALUE"""),"65")</f>
        <v>65</v>
      </c>
      <c r="C1724" s="5" t="str">
        <f>IFERROR(__xludf.DUMMYFUNCTION("""COMPUTED_VALUE"""),"https://drive.google.com/file/d/16IdoPm7golra8pX1BuwMsb9vr6xTQP6c/view?usp=drivesdk")</f>
        <v>https://drive.google.com/file/d/16IdoPm7golra8pX1BuwMsb9vr6xTQP6c/view?usp=drivesdk</v>
      </c>
      <c r="D1724" s="12"/>
      <c r="E1724" s="13">
        <v>1774.0</v>
      </c>
      <c r="F1724" s="2"/>
    </row>
    <row r="1725" ht="1.5" customHeight="1">
      <c r="A1725" s="4" t="str">
        <f>IFERROR(__xludf.DUMMYFUNCTION("""COMPUTED_VALUE"""),"65. Tepi")</f>
        <v>65. Tepi</v>
      </c>
      <c r="B1725" s="4" t="str">
        <f>IFERROR(__xludf.DUMMYFUNCTION("""COMPUTED_VALUE"""),"65")</f>
        <v>65</v>
      </c>
      <c r="C1725" s="5" t="str">
        <f>IFERROR(__xludf.DUMMYFUNCTION("""COMPUTED_VALUE"""),"https://drive.google.com/file/d/183DbD7T4et5urlclrIUll95mXtgcIEUb/view?usp=drivesdk")</f>
        <v>https://drive.google.com/file/d/183DbD7T4et5urlclrIUll95mXtgcIEUb/view?usp=drivesdk</v>
      </c>
      <c r="D1725" s="12"/>
      <c r="E1725" s="13">
        <v>1775.0</v>
      </c>
      <c r="F1725" s="2"/>
    </row>
    <row r="1726" ht="1.5" customHeight="1">
      <c r="A1726" s="4" t="str">
        <f>IFERROR(__xludf.DUMMYFUNCTION("""COMPUTED_VALUE"""),"65. Tepi")</f>
        <v>65. Tepi</v>
      </c>
      <c r="B1726" s="4" t="str">
        <f>IFERROR(__xludf.DUMMYFUNCTION("""COMPUTED_VALUE"""),"65")</f>
        <v>65</v>
      </c>
      <c r="C1726" s="5" t="str">
        <f>IFERROR(__xludf.DUMMYFUNCTION("""COMPUTED_VALUE"""),"https://drive.google.com/file/d/1ZkwvbKs_pExsiDPX1_4-3ZBCyi9twXtY/view?usp=drivesdk")</f>
        <v>https://drive.google.com/file/d/1ZkwvbKs_pExsiDPX1_4-3ZBCyi9twXtY/view?usp=drivesdk</v>
      </c>
      <c r="D1726" s="12"/>
      <c r="E1726" s="13">
        <v>1776.0</v>
      </c>
      <c r="F1726" s="2"/>
    </row>
    <row r="1727" ht="1.5" customHeight="1">
      <c r="A1727" s="4" t="str">
        <f>IFERROR(__xludf.DUMMYFUNCTION("""COMPUTED_VALUE"""),"66. Toblerone")</f>
        <v>66. Toblerone</v>
      </c>
      <c r="B1727" s="4" t="str">
        <f>IFERROR(__xludf.DUMMYFUNCTION("""COMPUTED_VALUE"""),"66")</f>
        <v>66</v>
      </c>
      <c r="C1727" s="5" t="str">
        <f>IFERROR(__xludf.DUMMYFUNCTION("""COMPUTED_VALUE"""),"https://drive.google.com/file/d/1k7QPFafwHf-dB6sBgvR1aDb1_VroHgfK/view?usp=drivesdk")</f>
        <v>https://drive.google.com/file/d/1k7QPFafwHf-dB6sBgvR1aDb1_VroHgfK/view?usp=drivesdk</v>
      </c>
      <c r="D1727" s="12"/>
      <c r="E1727" s="13">
        <v>1777.0</v>
      </c>
      <c r="F1727" s="2"/>
    </row>
    <row r="1728" ht="1.5" customHeight="1">
      <c r="A1728" s="4" t="str">
        <f>IFERROR(__xludf.DUMMYFUNCTION("""COMPUTED_VALUE"""),"66. Toblerone")</f>
        <v>66. Toblerone</v>
      </c>
      <c r="B1728" s="4" t="str">
        <f>IFERROR(__xludf.DUMMYFUNCTION("""COMPUTED_VALUE"""),"66")</f>
        <v>66</v>
      </c>
      <c r="C1728" s="5" t="str">
        <f>IFERROR(__xludf.DUMMYFUNCTION("""COMPUTED_VALUE"""),"https://drive.google.com/file/d/1xHYDcL1XWfmh6JpCsqQYiGLN--N3Nh1u/view?usp=drivesdk")</f>
        <v>https://drive.google.com/file/d/1xHYDcL1XWfmh6JpCsqQYiGLN--N3Nh1u/view?usp=drivesdk</v>
      </c>
      <c r="D1728" s="12"/>
      <c r="E1728" s="13">
        <v>1778.0</v>
      </c>
      <c r="F1728" s="2"/>
    </row>
    <row r="1729" ht="1.5" customHeight="1">
      <c r="A1729" s="4" t="str">
        <f>IFERROR(__xludf.DUMMYFUNCTION("""COMPUTED_VALUE"""),"67. Waffles")</f>
        <v>67. Waffles</v>
      </c>
      <c r="B1729" s="4" t="str">
        <f>IFERROR(__xludf.DUMMYFUNCTION("""COMPUTED_VALUE"""),"67")</f>
        <v>67</v>
      </c>
      <c r="C1729" s="5" t="str">
        <f>IFERROR(__xludf.DUMMYFUNCTION("""COMPUTED_VALUE"""),"https://drive.google.com/file/d/1QIdjOiBiJSsGEVf0a9CXPy5hzAacJPov/view?usp=drivesdk")</f>
        <v>https://drive.google.com/file/d/1QIdjOiBiJSsGEVf0a9CXPy5hzAacJPov/view?usp=drivesdk</v>
      </c>
      <c r="D1729" s="12"/>
      <c r="E1729" s="13">
        <v>1779.0</v>
      </c>
      <c r="F1729" s="2"/>
    </row>
    <row r="1730" ht="1.5" customHeight="1">
      <c r="A1730" s="4" t="str">
        <f>IFERROR(__xludf.DUMMYFUNCTION("""COMPUTED_VALUE"""),"67. Waffles")</f>
        <v>67. Waffles</v>
      </c>
      <c r="B1730" s="4" t="str">
        <f>IFERROR(__xludf.DUMMYFUNCTION("""COMPUTED_VALUE"""),"67")</f>
        <v>67</v>
      </c>
      <c r="C1730" s="5" t="str">
        <f>IFERROR(__xludf.DUMMYFUNCTION("""COMPUTED_VALUE"""),"https://drive.google.com/file/d/1VDb2VA6YzUikfnFiWdisdLdEUaApH8jZ/view?usp=drivesdk")</f>
        <v>https://drive.google.com/file/d/1VDb2VA6YzUikfnFiWdisdLdEUaApH8jZ/view?usp=drivesdk</v>
      </c>
      <c r="D1730" s="12"/>
      <c r="E1730" s="13">
        <v>1780.0</v>
      </c>
      <c r="F1730" s="2"/>
    </row>
    <row r="1731" ht="1.5" customHeight="1">
      <c r="A1731" s="4" t="str">
        <f>IFERROR(__xludf.DUMMYFUNCTION("""COMPUTED_VALUE"""),"67. Waffles")</f>
        <v>67. Waffles</v>
      </c>
      <c r="B1731" s="4" t="str">
        <f>IFERROR(__xludf.DUMMYFUNCTION("""COMPUTED_VALUE"""),"67")</f>
        <v>67</v>
      </c>
      <c r="C1731" s="5" t="str">
        <f>IFERROR(__xludf.DUMMYFUNCTION("""COMPUTED_VALUE"""),"https://drive.google.com/file/d/1K03dXskInMfRnKM67HvdC83gg5HUTtoy/view?usp=drivesdk")</f>
        <v>https://drive.google.com/file/d/1K03dXskInMfRnKM67HvdC83gg5HUTtoy/view?usp=drivesdk</v>
      </c>
      <c r="D1731" s="12"/>
      <c r="E1731" s="13">
        <v>1781.0</v>
      </c>
      <c r="F1731" s="2"/>
    </row>
    <row r="1732" ht="1.5" customHeight="1">
      <c r="A1732" s="4" t="str">
        <f>IFERROR(__xludf.DUMMYFUNCTION("""COMPUTED_VALUE"""),"22. Glockenspiel")</f>
        <v>22. Glockenspiel</v>
      </c>
      <c r="B1732" s="4" t="str">
        <f>IFERROR(__xludf.DUMMYFUNCTION("""COMPUTED_VALUE"""),"22")</f>
        <v>22</v>
      </c>
      <c r="C1732" s="5" t="str">
        <f>IFERROR(__xludf.DUMMYFUNCTION("""COMPUTED_VALUE"""),"https://drive.google.com/file/d/11Ajf5F0IsYcjvdXRLDOSYXpk3Y11B8IG/view?usp=drivesdk")</f>
        <v>https://drive.google.com/file/d/11Ajf5F0IsYcjvdXRLDOSYXpk3Y11B8IG/view?usp=drivesdk</v>
      </c>
      <c r="D1732" s="12"/>
      <c r="E1732" s="13">
        <v>1782.0</v>
      </c>
      <c r="F1732" s="2"/>
    </row>
    <row r="1733" ht="1.5" customHeight="1">
      <c r="A1733" s="4" t="str">
        <f>IFERROR(__xludf.DUMMYFUNCTION("""COMPUTED_VALUE"""),"22. Glockenspiel")</f>
        <v>22. Glockenspiel</v>
      </c>
      <c r="B1733" s="4" t="str">
        <f>IFERROR(__xludf.DUMMYFUNCTION("""COMPUTED_VALUE"""),"22")</f>
        <v>22</v>
      </c>
      <c r="C1733" s="5" t="str">
        <f>IFERROR(__xludf.DUMMYFUNCTION("""COMPUTED_VALUE"""),"https://drive.google.com/file/d/1rINbTnl08rViPehSb1ytLWhsZnbw-iwo/view?usp=drivesdk")</f>
        <v>https://drive.google.com/file/d/1rINbTnl08rViPehSb1ytLWhsZnbw-iwo/view?usp=drivesdk</v>
      </c>
      <c r="D1733" s="12"/>
      <c r="E1733" s="13">
        <v>1783.0</v>
      </c>
      <c r="F1733" s="2"/>
    </row>
    <row r="1734" ht="1.5" customHeight="1">
      <c r="A1734" s="4" t="str">
        <f>IFERROR(__xludf.DUMMYFUNCTION("""COMPUTED_VALUE"""),"68. Unnamed Noir Child")</f>
        <v>68. Unnamed Noir Child</v>
      </c>
      <c r="B1734" s="4" t="str">
        <f>IFERROR(__xludf.DUMMYFUNCTION("""COMPUTED_VALUE"""),"68")</f>
        <v>68</v>
      </c>
      <c r="C1734" s="5" t="str">
        <f>IFERROR(__xludf.DUMMYFUNCTION("""COMPUTED_VALUE"""),"https://drive.google.com/file/d/1QKuuVbeSSQaX3zbNU1pAZB-O5ETEB9Va/view?usp=drivesdk")</f>
        <v>https://drive.google.com/file/d/1QKuuVbeSSQaX3zbNU1pAZB-O5ETEB9Va/view?usp=drivesdk</v>
      </c>
      <c r="D1734" s="12"/>
      <c r="E1734" s="13">
        <v>1784.0</v>
      </c>
      <c r="F1734" s="2"/>
    </row>
    <row r="1735" ht="1.5" customHeight="1">
      <c r="A1735" s="4" t="str">
        <f>IFERROR(__xludf.DUMMYFUNCTION("""COMPUTED_VALUE"""),"68. Unnamed Noir Child")</f>
        <v>68. Unnamed Noir Child</v>
      </c>
      <c r="B1735" s="4" t="str">
        <f>IFERROR(__xludf.DUMMYFUNCTION("""COMPUTED_VALUE"""),"68")</f>
        <v>68</v>
      </c>
      <c r="C1735" s="5" t="str">
        <f>IFERROR(__xludf.DUMMYFUNCTION("""COMPUTED_VALUE"""),"https://drive.google.com/file/d/1lQbH4VDuTpOVhNEc1U55-F2GRje3ND9o/view?usp=drivesdk")</f>
        <v>https://drive.google.com/file/d/1lQbH4VDuTpOVhNEc1U55-F2GRje3ND9o/view?usp=drivesdk</v>
      </c>
      <c r="D1735" s="12"/>
      <c r="E1735" s="13">
        <v>1785.0</v>
      </c>
      <c r="F1735" s="2"/>
    </row>
    <row r="1736" ht="1.5" customHeight="1">
      <c r="A1736" s="4" t="str">
        <f>IFERROR(__xludf.DUMMYFUNCTION("""COMPUTED_VALUE"""),"68. Unnamed Noir Child")</f>
        <v>68. Unnamed Noir Child</v>
      </c>
      <c r="B1736" s="4" t="str">
        <f>IFERROR(__xludf.DUMMYFUNCTION("""COMPUTED_VALUE"""),"68")</f>
        <v>68</v>
      </c>
      <c r="C1736" s="5" t="str">
        <f>IFERROR(__xludf.DUMMYFUNCTION("""COMPUTED_VALUE"""),"https://drive.google.com/file/d/1notenSNV87T2aOu8ATRl3ej4PNxuGyAh/view?usp=drivesdk")</f>
        <v>https://drive.google.com/file/d/1notenSNV87T2aOu8ATRl3ej4PNxuGyAh/view?usp=drivesdk</v>
      </c>
      <c r="D1736" s="12"/>
      <c r="E1736" s="13">
        <v>1786.0</v>
      </c>
      <c r="F1736" s="2"/>
    </row>
    <row r="1737" ht="1.5" customHeight="1">
      <c r="A1737" s="4" t="str">
        <f>IFERROR(__xludf.DUMMYFUNCTION("""COMPUTED_VALUE"""),"1. Microwave")</f>
        <v>1. Microwave</v>
      </c>
      <c r="B1737" s="4" t="str">
        <f>IFERROR(__xludf.DUMMYFUNCTION("""COMPUTED_VALUE"""),"1")</f>
        <v>1</v>
      </c>
      <c r="C1737" s="5" t="str">
        <f>IFERROR(__xludf.DUMMYFUNCTION("""COMPUTED_VALUE"""),"https://drive.google.com/file/d/1aTe2_WbcWNc8iDqcHibG9xbUZkB8qJcF/view?usp=drivesdk")</f>
        <v>https://drive.google.com/file/d/1aTe2_WbcWNc8iDqcHibG9xbUZkB8qJcF/view?usp=drivesdk</v>
      </c>
      <c r="D1737" s="12"/>
      <c r="E1737" s="13">
        <v>1787.0</v>
      </c>
      <c r="F1737" s="2"/>
    </row>
    <row r="1738" ht="1.5" customHeight="1">
      <c r="A1738" s="4" t="str">
        <f>IFERROR(__xludf.DUMMYFUNCTION("""COMPUTED_VALUE"""),"1. Microwave")</f>
        <v>1. Microwave</v>
      </c>
      <c r="B1738" s="4" t="str">
        <f>IFERROR(__xludf.DUMMYFUNCTION("""COMPUTED_VALUE"""),"1")</f>
        <v>1</v>
      </c>
      <c r="C1738" s="5" t="str">
        <f>IFERROR(__xludf.DUMMYFUNCTION("""COMPUTED_VALUE"""),"https://drive.google.com/file/d/1OtYi8aOHTg7E4EmuTCXtOWhzddyIoGt2/view?usp=drivesdk")</f>
        <v>https://drive.google.com/file/d/1OtYi8aOHTg7E4EmuTCXtOWhzddyIoGt2/view?usp=drivesdk</v>
      </c>
      <c r="D1738" s="12"/>
      <c r="E1738" s="13">
        <v>1788.0</v>
      </c>
      <c r="F1738" s="2"/>
    </row>
    <row r="1739" ht="1.5" customHeight="1">
      <c r="A1739" s="4" t="str">
        <f>IFERROR(__xludf.DUMMYFUNCTION("""COMPUTED_VALUE"""),"22. Glockenspiel")</f>
        <v>22. Glockenspiel</v>
      </c>
      <c r="B1739" s="4" t="str">
        <f>IFERROR(__xludf.DUMMYFUNCTION("""COMPUTED_VALUE"""),"22")</f>
        <v>22</v>
      </c>
      <c r="C1739" s="5" t="str">
        <f>IFERROR(__xludf.DUMMYFUNCTION("""COMPUTED_VALUE"""),"https://drive.google.com/file/d/1CccbWzf5YSo6lAqUEewSn_qJWRTuOvU6/view?usp=drivesdk")</f>
        <v>https://drive.google.com/file/d/1CccbWzf5YSo6lAqUEewSn_qJWRTuOvU6/view?usp=drivesdk</v>
      </c>
      <c r="D1739" s="12"/>
      <c r="E1739" s="13">
        <v>1789.0</v>
      </c>
      <c r="F1739" s="2"/>
    </row>
    <row r="1740" ht="1.5" customHeight="1">
      <c r="A1740" s="4" t="str">
        <f>IFERROR(__xludf.DUMMYFUNCTION("""COMPUTED_VALUE"""),"22. Glockenspiel")</f>
        <v>22. Glockenspiel</v>
      </c>
      <c r="B1740" s="4" t="str">
        <f>IFERROR(__xludf.DUMMYFUNCTION("""COMPUTED_VALUE"""),"22")</f>
        <v>22</v>
      </c>
      <c r="C1740" s="5" t="str">
        <f>IFERROR(__xludf.DUMMYFUNCTION("""COMPUTED_VALUE"""),"https://drive.google.com/file/d/1jInUn1ri4J3y2IScDLe1kvLNOgfHcJZ7/view?usp=drivesdk")</f>
        <v>https://drive.google.com/file/d/1jInUn1ri4J3y2IScDLe1kvLNOgfHcJZ7/view?usp=drivesdk</v>
      </c>
      <c r="D1740" s="12"/>
      <c r="E1740" s="13">
        <v>1790.0</v>
      </c>
      <c r="F1740" s="2"/>
    </row>
    <row r="1741" ht="1.5" customHeight="1">
      <c r="A1741" s="4" t="str">
        <f>IFERROR(__xludf.DUMMYFUNCTION("""COMPUTED_VALUE"""),"22. Glockenspiel")</f>
        <v>22. Glockenspiel</v>
      </c>
      <c r="B1741" s="4" t="str">
        <f>IFERROR(__xludf.DUMMYFUNCTION("""COMPUTED_VALUE"""),"22")</f>
        <v>22</v>
      </c>
      <c r="C1741" s="5" t="str">
        <f>IFERROR(__xludf.DUMMYFUNCTION("""COMPUTED_VALUE"""),"https://drive.google.com/file/d/16P7y5BLbYmSITy6x10Wr0bw9MBj3FBaO/view?usp=drivesdk")</f>
        <v>https://drive.google.com/file/d/16P7y5BLbYmSITy6x10Wr0bw9MBj3FBaO/view?usp=drivesdk</v>
      </c>
      <c r="D1741" s="12"/>
      <c r="E1741" s="13">
        <v>1791.0</v>
      </c>
      <c r="F1741" s="2"/>
    </row>
    <row r="1742" ht="1.5" customHeight="1">
      <c r="A1742" s="4" t="str">
        <f>IFERROR(__xludf.DUMMYFUNCTION("""COMPUTED_VALUE"""),"68. Unnamed Noir Child")</f>
        <v>68. Unnamed Noir Child</v>
      </c>
      <c r="B1742" s="4" t="str">
        <f>IFERROR(__xludf.DUMMYFUNCTION("""COMPUTED_VALUE"""),"68")</f>
        <v>68</v>
      </c>
      <c r="C1742" s="5" t="str">
        <f>IFERROR(__xludf.DUMMYFUNCTION("""COMPUTED_VALUE"""),"https://drive.google.com/file/d/1iQgvAlZoYNznkRFHIkH6IaRGp--j_W5R/view?usp=drivesdk")</f>
        <v>https://drive.google.com/file/d/1iQgvAlZoYNznkRFHIkH6IaRGp--j_W5R/view?usp=drivesdk</v>
      </c>
      <c r="D1742" s="12"/>
      <c r="E1742" s="13">
        <v>1792.0</v>
      </c>
      <c r="F1742" s="2"/>
    </row>
    <row r="1743" ht="1.5" customHeight="1">
      <c r="A1743" s="4" t="str">
        <f>IFERROR(__xludf.DUMMYFUNCTION("""COMPUTED_VALUE"""),"68. Unnamed Noir Child")</f>
        <v>68. Unnamed Noir Child</v>
      </c>
      <c r="B1743" s="4" t="str">
        <f>IFERROR(__xludf.DUMMYFUNCTION("""COMPUTED_VALUE"""),"68")</f>
        <v>68</v>
      </c>
      <c r="C1743" s="5" t="str">
        <f>IFERROR(__xludf.DUMMYFUNCTION("""COMPUTED_VALUE"""),"https://drive.google.com/file/d/1vEf0wfWnRqcF61HSyfrjre1y6Vmn46eT/view?usp=drivesdk")</f>
        <v>https://drive.google.com/file/d/1vEf0wfWnRqcF61HSyfrjre1y6Vmn46eT/view?usp=drivesdk</v>
      </c>
      <c r="D1743" s="12"/>
      <c r="E1743" s="13">
        <v>1793.0</v>
      </c>
      <c r="F1743" s="2"/>
    </row>
    <row r="1744" ht="1.5" customHeight="1">
      <c r="A1744" s="4" t="str">
        <f>IFERROR(__xludf.DUMMYFUNCTION("""COMPUTED_VALUE"""),"52. Voidling")</f>
        <v>52. Voidling</v>
      </c>
      <c r="B1744" s="4" t="str">
        <f>IFERROR(__xludf.DUMMYFUNCTION("""COMPUTED_VALUE"""),"52")</f>
        <v>52</v>
      </c>
      <c r="C1744" s="5" t="str">
        <f>IFERROR(__xludf.DUMMYFUNCTION("""COMPUTED_VALUE"""),"https://drive.google.com/file/d/1Jc0BuzC2AHj1g7Fq12QhGdTDuXr2S3ZR/view?usp=drivesdk")</f>
        <v>https://drive.google.com/file/d/1Jc0BuzC2AHj1g7Fq12QhGdTDuXr2S3ZR/view?usp=drivesdk</v>
      </c>
      <c r="D1744" s="12"/>
      <c r="E1744" s="13">
        <v>1794.0</v>
      </c>
      <c r="F1744" s="2"/>
    </row>
    <row r="1745" ht="1.5" customHeight="1">
      <c r="A1745" s="4" t="str">
        <f>IFERROR(__xludf.DUMMYFUNCTION("""COMPUTED_VALUE"""),"1. Microwave")</f>
        <v>1. Microwave</v>
      </c>
      <c r="B1745" s="4" t="str">
        <f>IFERROR(__xludf.DUMMYFUNCTION("""COMPUTED_VALUE"""),"1")</f>
        <v>1</v>
      </c>
      <c r="C1745" s="5" t="str">
        <f>IFERROR(__xludf.DUMMYFUNCTION("""COMPUTED_VALUE"""),"https://drive.google.com/file/d/1weImYDtSDzVrs4262oN_6_Fb0ck4k-cn/view?usp=drivesdk")</f>
        <v>https://drive.google.com/file/d/1weImYDtSDzVrs4262oN_6_Fb0ck4k-cn/view?usp=drivesdk</v>
      </c>
      <c r="D1745" s="12"/>
      <c r="E1745" s="13">
        <v>1795.0</v>
      </c>
      <c r="F1745" s="2"/>
    </row>
    <row r="1746" ht="1.5" customHeight="1">
      <c r="A1746" s="4" t="str">
        <f>IFERROR(__xludf.DUMMYFUNCTION("""COMPUTED_VALUE"""),"1. Microwave")</f>
        <v>1. Microwave</v>
      </c>
      <c r="B1746" s="4" t="str">
        <f>IFERROR(__xludf.DUMMYFUNCTION("""COMPUTED_VALUE"""),"1")</f>
        <v>1</v>
      </c>
      <c r="C1746" s="5" t="str">
        <f>IFERROR(__xludf.DUMMYFUNCTION("""COMPUTED_VALUE"""),"https://drive.google.com/file/d/1b9R_5HDVXeG2MSbtJOWORiIg_gZ2FI4u/view?usp=drivesdk")</f>
        <v>https://drive.google.com/file/d/1b9R_5HDVXeG2MSbtJOWORiIg_gZ2FI4u/view?usp=drivesdk</v>
      </c>
      <c r="D1746" s="12"/>
      <c r="E1746" s="13">
        <v>1796.0</v>
      </c>
      <c r="F1746" s="2"/>
    </row>
    <row r="1747" ht="1.5" customHeight="1">
      <c r="A1747" s="4" t="str">
        <f>IFERROR(__xludf.DUMMYFUNCTION("""COMPUTED_VALUE"""),"1. Microwave")</f>
        <v>1. Microwave</v>
      </c>
      <c r="B1747" s="4" t="str">
        <f>IFERROR(__xludf.DUMMYFUNCTION("""COMPUTED_VALUE"""),"1")</f>
        <v>1</v>
      </c>
      <c r="C1747" s="5" t="str">
        <f>IFERROR(__xludf.DUMMYFUNCTION("""COMPUTED_VALUE"""),"https://drive.google.com/file/d/1gSQTOadBmExteJK3E18T8Zl6_QYE-WIJ/view?usp=drivesdk")</f>
        <v>https://drive.google.com/file/d/1gSQTOadBmExteJK3E18T8Zl6_QYE-WIJ/view?usp=drivesdk</v>
      </c>
      <c r="D1747" s="12"/>
      <c r="E1747" s="13">
        <v>1797.0</v>
      </c>
      <c r="F1747" s="2"/>
    </row>
    <row r="1748" ht="1.5" customHeight="1">
      <c r="A1748" s="4" t="str">
        <f>IFERROR(__xludf.DUMMYFUNCTION("""COMPUTED_VALUE"""),"1. Microwave")</f>
        <v>1. Microwave</v>
      </c>
      <c r="B1748" s="4" t="str">
        <f>IFERROR(__xludf.DUMMYFUNCTION("""COMPUTED_VALUE"""),"1")</f>
        <v>1</v>
      </c>
      <c r="C1748" s="5" t="str">
        <f>IFERROR(__xludf.DUMMYFUNCTION("""COMPUTED_VALUE"""),"https://drive.google.com/file/d/1syQvWzOFFXcJJMuSruSPSvDOj23mKn8L/view?usp=drivesdk")</f>
        <v>https://drive.google.com/file/d/1syQvWzOFFXcJJMuSruSPSvDOj23mKn8L/view?usp=drivesdk</v>
      </c>
      <c r="D1748" s="12"/>
      <c r="E1748" s="13">
        <v>1798.0</v>
      </c>
      <c r="F1748" s="2"/>
    </row>
    <row r="1749" ht="1.5" customHeight="1">
      <c r="A1749" s="4" t="str">
        <f>IFERROR(__xludf.DUMMYFUNCTION("""COMPUTED_VALUE"""),"17. Bobbie")</f>
        <v>17. Bobbie</v>
      </c>
      <c r="B1749" s="4" t="str">
        <f>IFERROR(__xludf.DUMMYFUNCTION("""COMPUTED_VALUE"""),"17")</f>
        <v>17</v>
      </c>
      <c r="C1749" s="5" t="str">
        <f>IFERROR(__xludf.DUMMYFUNCTION("""COMPUTED_VALUE"""),"https://drive.google.com/file/d/1LdgH0p3gD2ayxYZUxW5yS9-9btySR918/view?usp=drivesdk")</f>
        <v>https://drive.google.com/file/d/1LdgH0p3gD2ayxYZUxW5yS9-9btySR918/view?usp=drivesdk</v>
      </c>
      <c r="D1749" s="12"/>
      <c r="E1749" s="13">
        <v>1799.0</v>
      </c>
      <c r="F1749" s="2"/>
    </row>
    <row r="1750" ht="1.5" customHeight="1">
      <c r="A1750" s="4" t="str">
        <f>IFERROR(__xludf.DUMMYFUNCTION("""COMPUTED_VALUE"""),"17. Bobbie")</f>
        <v>17. Bobbie</v>
      </c>
      <c r="B1750" s="4" t="str">
        <f>IFERROR(__xludf.DUMMYFUNCTION("""COMPUTED_VALUE"""),"17")</f>
        <v>17</v>
      </c>
      <c r="C1750" s="5" t="str">
        <f>IFERROR(__xludf.DUMMYFUNCTION("""COMPUTED_VALUE"""),"https://drive.google.com/file/d/1oQW5Xa20YxN8F7oEYDTOEewt29olh0FG/view?usp=drivesdk")</f>
        <v>https://drive.google.com/file/d/1oQW5Xa20YxN8F7oEYDTOEewt29olh0FG/view?usp=drivesdk</v>
      </c>
      <c r="D1750" s="12"/>
      <c r="E1750" s="13">
        <v>1800.0</v>
      </c>
      <c r="F1750" s="2"/>
    </row>
    <row r="1751" ht="1.5" customHeight="1">
      <c r="A1751" s="4" t="str">
        <f>IFERROR(__xludf.DUMMYFUNCTION("""COMPUTED_VALUE"""),"5. Eraser")</f>
        <v>5. Eraser</v>
      </c>
      <c r="B1751" s="4" t="str">
        <f>IFERROR(__xludf.DUMMYFUNCTION("""COMPUTED_VALUE"""),"5")</f>
        <v>5</v>
      </c>
      <c r="C1751" s="5" t="str">
        <f>IFERROR(__xludf.DUMMYFUNCTION("""COMPUTED_VALUE"""),"https://drive.google.com/file/d/1bYR5W91uW21MRKNFWj_UDW1Ov5-_ZApw/view?usp=drivesdk")</f>
        <v>https://drive.google.com/file/d/1bYR5W91uW21MRKNFWj_UDW1Ov5-_ZApw/view?usp=drivesdk</v>
      </c>
      <c r="D1751" s="12"/>
      <c r="E1751" s="13">
        <v>1801.0</v>
      </c>
      <c r="F1751" s="2"/>
    </row>
    <row r="1752" ht="1.5" customHeight="1">
      <c r="A1752" s="4" t="str">
        <f>IFERROR(__xludf.DUMMYFUNCTION("""COMPUTED_VALUE"""),"2. Twix")</f>
        <v>2. Twix</v>
      </c>
      <c r="B1752" s="4" t="str">
        <f>IFERROR(__xludf.DUMMYFUNCTION("""COMPUTED_VALUE"""),"2")</f>
        <v>2</v>
      </c>
      <c r="C1752" s="5" t="str">
        <f>IFERROR(__xludf.DUMMYFUNCTION("""COMPUTED_VALUE"""),"https://drive.google.com/file/d/1bA3I0kv1hsBj863Q3745P_t665ORsEr6/view?usp=drivesdk")</f>
        <v>https://drive.google.com/file/d/1bA3I0kv1hsBj863Q3745P_t665ORsEr6/view?usp=drivesdk</v>
      </c>
      <c r="D1752" s="12"/>
      <c r="E1752" s="13">
        <v>1802.0</v>
      </c>
      <c r="F1752" s="2"/>
    </row>
    <row r="1753" ht="1.5" customHeight="1">
      <c r="A1753" s="4" t="str">
        <f>IFERROR(__xludf.DUMMYFUNCTION("""COMPUTED_VALUE"""),"2. Twix, 5. Eraser")</f>
        <v>2. Twix, 5. Eraser</v>
      </c>
      <c r="B1753" s="4" t="str">
        <f>IFERROR(__xludf.DUMMYFUNCTION("""COMPUTED_VALUE"""),"2, 5")</f>
        <v>2, 5</v>
      </c>
      <c r="C1753" s="5" t="str">
        <f>IFERROR(__xludf.DUMMYFUNCTION("""COMPUTED_VALUE"""),"https://drive.google.com/file/d/143RkfXbDYPDx5lGHF8YFkS2XfXobCWr1/view?usp=drivesdk")</f>
        <v>https://drive.google.com/file/d/143RkfXbDYPDx5lGHF8YFkS2XfXobCWr1/view?usp=drivesdk</v>
      </c>
      <c r="D1753" s="12"/>
      <c r="E1753" s="13">
        <v>1803.0</v>
      </c>
      <c r="F1753" s="2"/>
    </row>
    <row r="1754" ht="1.5" customHeight="1">
      <c r="A1754" s="4" t="str">
        <f>IFERROR(__xludf.DUMMYFUNCTION("""COMPUTED_VALUE"""),"1. Microwave")</f>
        <v>1. Microwave</v>
      </c>
      <c r="B1754" s="4" t="str">
        <f>IFERROR(__xludf.DUMMYFUNCTION("""COMPUTED_VALUE"""),"1")</f>
        <v>1</v>
      </c>
      <c r="C1754" s="5" t="str">
        <f>IFERROR(__xludf.DUMMYFUNCTION("""COMPUTED_VALUE"""),"https://drive.google.com/file/d/159W_egN_vWY9zM_Rq0ZxmP55ZOrxTjYK/view?usp=drivesdk")</f>
        <v>https://drive.google.com/file/d/159W_egN_vWY9zM_Rq0ZxmP55ZOrxTjYK/view?usp=drivesdk</v>
      </c>
      <c r="D1754" s="12"/>
      <c r="E1754" s="13">
        <v>1804.0</v>
      </c>
      <c r="F1754" s="2"/>
    </row>
    <row r="1755" ht="1.5" customHeight="1">
      <c r="A1755" s="4" t="str">
        <f>IFERROR(__xludf.DUMMYFUNCTION("""COMPUTED_VALUE"""),"1. Microwave")</f>
        <v>1. Microwave</v>
      </c>
      <c r="B1755" s="4" t="str">
        <f>IFERROR(__xludf.DUMMYFUNCTION("""COMPUTED_VALUE"""),"1")</f>
        <v>1</v>
      </c>
      <c r="C1755" s="5" t="str">
        <f>IFERROR(__xludf.DUMMYFUNCTION("""COMPUTED_VALUE"""),"https://drive.google.com/file/d/1Q-vfo7wwjA3V0b54qcW7OB3tCqpJfl5r/view?usp=drivesdk")</f>
        <v>https://drive.google.com/file/d/1Q-vfo7wwjA3V0b54qcW7OB3tCqpJfl5r/view?usp=drivesdk</v>
      </c>
      <c r="D1755" s="12"/>
      <c r="E1755" s="13">
        <v>1805.0</v>
      </c>
      <c r="F1755" s="2"/>
    </row>
    <row r="1756" ht="1.5" customHeight="1">
      <c r="A1756" s="4" t="str">
        <f>IFERROR(__xludf.DUMMYFUNCTION("""COMPUTED_VALUE"""),"1. Microwave")</f>
        <v>1. Microwave</v>
      </c>
      <c r="B1756" s="4" t="str">
        <f>IFERROR(__xludf.DUMMYFUNCTION("""COMPUTED_VALUE"""),"1")</f>
        <v>1</v>
      </c>
      <c r="C1756" s="5" t="str">
        <f>IFERROR(__xludf.DUMMYFUNCTION("""COMPUTED_VALUE"""),"https://drive.google.com/file/d/1TBRN6T3qYpiiEJymhCTuMgJ7I0bEh2vs/view?usp=drivesdk")</f>
        <v>https://drive.google.com/file/d/1TBRN6T3qYpiiEJymhCTuMgJ7I0bEh2vs/view?usp=drivesdk</v>
      </c>
      <c r="D1756" s="12"/>
      <c r="E1756" s="13">
        <v>1806.0</v>
      </c>
      <c r="F1756" s="2"/>
    </row>
    <row r="1757" ht="1.5" customHeight="1">
      <c r="A1757" s="4" t="str">
        <f>IFERROR(__xludf.DUMMYFUNCTION("""COMPUTED_VALUE"""),"1. Microwave")</f>
        <v>1. Microwave</v>
      </c>
      <c r="B1757" s="4" t="str">
        <f>IFERROR(__xludf.DUMMYFUNCTION("""COMPUTED_VALUE"""),"1")</f>
        <v>1</v>
      </c>
      <c r="C1757" s="5" t="str">
        <f>IFERROR(__xludf.DUMMYFUNCTION("""COMPUTED_VALUE"""),"https://drive.google.com/file/d/1PRC_lcgpom0Ed7ORL-ABAb51w2k1oNOQ/view?usp=drivesdk")</f>
        <v>https://drive.google.com/file/d/1PRC_lcgpom0Ed7ORL-ABAb51w2k1oNOQ/view?usp=drivesdk</v>
      </c>
      <c r="D1757" s="12"/>
      <c r="E1757" s="13">
        <v>1807.0</v>
      </c>
      <c r="F1757" s="2"/>
    </row>
    <row r="1758" ht="1.5" customHeight="1">
      <c r="A1758" s="4" t="str">
        <f>IFERROR(__xludf.DUMMYFUNCTION("""COMPUTED_VALUE"""),"1. Microwave")</f>
        <v>1. Microwave</v>
      </c>
      <c r="B1758" s="4" t="str">
        <f>IFERROR(__xludf.DUMMYFUNCTION("""COMPUTED_VALUE"""),"1")</f>
        <v>1</v>
      </c>
      <c r="C1758" s="5" t="str">
        <f>IFERROR(__xludf.DUMMYFUNCTION("""COMPUTED_VALUE"""),"https://drive.google.com/file/d/1VNBcL0jX3u-L7MAnvMav4i44C4xeEA2o/view?usp=drivesdk")</f>
        <v>https://drive.google.com/file/d/1VNBcL0jX3u-L7MAnvMav4i44C4xeEA2o/view?usp=drivesdk</v>
      </c>
      <c r="D1758" s="12"/>
      <c r="E1758" s="13">
        <v>1808.0</v>
      </c>
      <c r="F1758" s="2"/>
    </row>
    <row r="1759" ht="1.5" customHeight="1">
      <c r="A1759" s="4" t="str">
        <f>IFERROR(__xludf.DUMMYFUNCTION("""COMPUTED_VALUE"""),"1. Microwave")</f>
        <v>1. Microwave</v>
      </c>
      <c r="B1759" s="4" t="str">
        <f>IFERROR(__xludf.DUMMYFUNCTION("""COMPUTED_VALUE"""),"1")</f>
        <v>1</v>
      </c>
      <c r="C1759" s="5" t="str">
        <f>IFERROR(__xludf.DUMMYFUNCTION("""COMPUTED_VALUE"""),"https://drive.google.com/file/d/1_9DoE3jlqelmsb81Qgt6SyJqhLRN2pUF/view?usp=drivesdk")</f>
        <v>https://drive.google.com/file/d/1_9DoE3jlqelmsb81Qgt6SyJqhLRN2pUF/view?usp=drivesdk</v>
      </c>
      <c r="D1759" s="12"/>
      <c r="E1759" s="13">
        <v>1809.0</v>
      </c>
      <c r="F1759" s="2"/>
    </row>
    <row r="1760" ht="1.5" customHeight="1">
      <c r="A1760" s="4" t="str">
        <f>IFERROR(__xludf.DUMMYFUNCTION("""COMPUTED_VALUE"""),"1. Microwave")</f>
        <v>1. Microwave</v>
      </c>
      <c r="B1760" s="4" t="str">
        <f>IFERROR(__xludf.DUMMYFUNCTION("""COMPUTED_VALUE"""),"1")</f>
        <v>1</v>
      </c>
      <c r="C1760" s="5" t="str">
        <f>IFERROR(__xludf.DUMMYFUNCTION("""COMPUTED_VALUE"""),"https://drive.google.com/file/d/1iG53cJ7WoPH4_8Z2Xr8NXSkrZ6awf638/view?usp=drivesdk")</f>
        <v>https://drive.google.com/file/d/1iG53cJ7WoPH4_8Z2Xr8NXSkrZ6awf638/view?usp=drivesdk</v>
      </c>
      <c r="D1760" s="12"/>
      <c r="E1760" s="13">
        <v>1810.0</v>
      </c>
      <c r="F1760" s="2"/>
    </row>
    <row r="1761" ht="1.5" customHeight="1">
      <c r="A1761" s="4" t="str">
        <f>IFERROR(__xludf.DUMMYFUNCTION("""COMPUTED_VALUE"""),"1. Microwave")</f>
        <v>1. Microwave</v>
      </c>
      <c r="B1761" s="4" t="str">
        <f>IFERROR(__xludf.DUMMYFUNCTION("""COMPUTED_VALUE"""),"1")</f>
        <v>1</v>
      </c>
      <c r="C1761" s="5" t="str">
        <f>IFERROR(__xludf.DUMMYFUNCTION("""COMPUTED_VALUE"""),"https://drive.google.com/file/d/1OAc50vBXxwJrMoDPXTZxziaWE9eW-Q4O/view?usp=drivesdk")</f>
        <v>https://drive.google.com/file/d/1OAc50vBXxwJrMoDPXTZxziaWE9eW-Q4O/view?usp=drivesdk</v>
      </c>
      <c r="D1761" s="12"/>
      <c r="E1761" s="13">
        <v>1811.0</v>
      </c>
      <c r="F1761" s="2"/>
    </row>
    <row r="1762" ht="1.5" customHeight="1">
      <c r="A1762" s="4" t="str">
        <f>IFERROR(__xludf.DUMMYFUNCTION("""COMPUTED_VALUE"""),"1. Microwave")</f>
        <v>1. Microwave</v>
      </c>
      <c r="B1762" s="4" t="str">
        <f>IFERROR(__xludf.DUMMYFUNCTION("""COMPUTED_VALUE"""),"1")</f>
        <v>1</v>
      </c>
      <c r="C1762" s="5" t="str">
        <f>IFERROR(__xludf.DUMMYFUNCTION("""COMPUTED_VALUE"""),"https://drive.google.com/file/d/1pDLO7GD7fe1DNoFgM7leZWLKL6PuelHo/view?usp=drivesdk")</f>
        <v>https://drive.google.com/file/d/1pDLO7GD7fe1DNoFgM7leZWLKL6PuelHo/view?usp=drivesdk</v>
      </c>
      <c r="D1762" s="12"/>
      <c r="E1762" s="13">
        <v>1812.0</v>
      </c>
      <c r="F1762" s="2"/>
    </row>
    <row r="1763" ht="1.5" customHeight="1">
      <c r="A1763" s="4" t="str">
        <f>IFERROR(__xludf.DUMMYFUNCTION("""COMPUTED_VALUE"""),"1. Microwave")</f>
        <v>1. Microwave</v>
      </c>
      <c r="B1763" s="4" t="str">
        <f>IFERROR(__xludf.DUMMYFUNCTION("""COMPUTED_VALUE"""),"1")</f>
        <v>1</v>
      </c>
      <c r="C1763" s="5" t="str">
        <f>IFERROR(__xludf.DUMMYFUNCTION("""COMPUTED_VALUE"""),"https://drive.google.com/file/d/17-z5t6W0Cc_3O20CFk6j1YZnu6qpLnxu/view?usp=drivesdk")</f>
        <v>https://drive.google.com/file/d/17-z5t6W0Cc_3O20CFk6j1YZnu6qpLnxu/view?usp=drivesdk</v>
      </c>
      <c r="D1763" s="12"/>
      <c r="E1763" s="13">
        <v>1813.0</v>
      </c>
      <c r="F1763" s="2"/>
    </row>
    <row r="1764" ht="1.5" customHeight="1">
      <c r="A1764" s="4" t="str">
        <f>IFERROR(__xludf.DUMMYFUNCTION("""COMPUTED_VALUE"""),"5. Eraser")</f>
        <v>5. Eraser</v>
      </c>
      <c r="B1764" s="4" t="str">
        <f>IFERROR(__xludf.DUMMYFUNCTION("""COMPUTED_VALUE"""),"5")</f>
        <v>5</v>
      </c>
      <c r="C1764" s="5" t="str">
        <f>IFERROR(__xludf.DUMMYFUNCTION("""COMPUTED_VALUE"""),"https://drive.google.com/file/d/12dLwV-mI0qQhVbX7pYCo8FDe8ehk8lHe/view?usp=drivesdk")</f>
        <v>https://drive.google.com/file/d/12dLwV-mI0qQhVbX7pYCo8FDe8ehk8lHe/view?usp=drivesdk</v>
      </c>
      <c r="D1764" s="12"/>
      <c r="E1764" s="13">
        <v>1814.0</v>
      </c>
      <c r="F1764" s="2"/>
    </row>
    <row r="1765" ht="1.5" customHeight="1">
      <c r="A1765" s="4" t="str">
        <f>IFERROR(__xludf.DUMMYFUNCTION("""COMPUTED_VALUE"""),"5. Eraser")</f>
        <v>5. Eraser</v>
      </c>
      <c r="B1765" s="4" t="str">
        <f>IFERROR(__xludf.DUMMYFUNCTION("""COMPUTED_VALUE"""),"5")</f>
        <v>5</v>
      </c>
      <c r="C1765" s="5" t="str">
        <f>IFERROR(__xludf.DUMMYFUNCTION("""COMPUTED_VALUE"""),"https://drive.google.com/file/d/1arzR1__eNYmfNvoz0ErkQwrsIgZ7FOXH/view?usp=drivesdk")</f>
        <v>https://drive.google.com/file/d/1arzR1__eNYmfNvoz0ErkQwrsIgZ7FOXH/view?usp=drivesdk</v>
      </c>
      <c r="D1765" s="12"/>
      <c r="E1765" s="13">
        <v>1815.0</v>
      </c>
      <c r="F1765" s="2"/>
    </row>
    <row r="1766" ht="1.5" customHeight="1">
      <c r="A1766" s="4" t="str">
        <f>IFERROR(__xludf.DUMMYFUNCTION("""COMPUTED_VALUE"""),"5. Eraser")</f>
        <v>5. Eraser</v>
      </c>
      <c r="B1766" s="4" t="str">
        <f>IFERROR(__xludf.DUMMYFUNCTION("""COMPUTED_VALUE"""),"5")</f>
        <v>5</v>
      </c>
      <c r="C1766" s="5" t="str">
        <f>IFERROR(__xludf.DUMMYFUNCTION("""COMPUTED_VALUE"""),"https://drive.google.com/file/d/1EffrsS4YbldFPUJb_gP5wNJERzdXP4QP/view?usp=drivesdk")</f>
        <v>https://drive.google.com/file/d/1EffrsS4YbldFPUJb_gP5wNJERzdXP4QP/view?usp=drivesdk</v>
      </c>
      <c r="D1766" s="12"/>
      <c r="E1766" s="13">
        <v>1816.0</v>
      </c>
      <c r="F1766" s="2"/>
    </row>
    <row r="1767" ht="1.5" customHeight="1">
      <c r="A1767" s="4" t="str">
        <f>IFERROR(__xludf.DUMMYFUNCTION("""COMPUTED_VALUE"""),"2. Twix")</f>
        <v>2. Twix</v>
      </c>
      <c r="B1767" s="4" t="str">
        <f>IFERROR(__xludf.DUMMYFUNCTION("""COMPUTED_VALUE"""),"2")</f>
        <v>2</v>
      </c>
      <c r="C1767" s="5" t="str">
        <f>IFERROR(__xludf.DUMMYFUNCTION("""COMPUTED_VALUE"""),"https://drive.google.com/file/d/1t3wBDjeZgue08jI3Q46d6nJ4QrbWox9F/view?usp=drivesdk")</f>
        <v>https://drive.google.com/file/d/1t3wBDjeZgue08jI3Q46d6nJ4QrbWox9F/view?usp=drivesdk</v>
      </c>
      <c r="D1767" s="12"/>
      <c r="E1767" s="13">
        <v>1817.0</v>
      </c>
      <c r="F1767" s="2"/>
    </row>
    <row r="1768" ht="1.5" customHeight="1">
      <c r="A1768" s="4" t="str">
        <f>IFERROR(__xludf.DUMMYFUNCTION("""COMPUTED_VALUE"""),"20. Citlali")</f>
        <v>20. Citlali</v>
      </c>
      <c r="B1768" s="4" t="str">
        <f>IFERROR(__xludf.DUMMYFUNCTION("""COMPUTED_VALUE"""),"20")</f>
        <v>20</v>
      </c>
      <c r="C1768" s="5" t="str">
        <f>IFERROR(__xludf.DUMMYFUNCTION("""COMPUTED_VALUE"""),"https://drive.google.com/file/d/1lTRicnbIOilu4BCFpi64ot53PxIBqIbD/view?usp=drivesdk")</f>
        <v>https://drive.google.com/file/d/1lTRicnbIOilu4BCFpi64ot53PxIBqIbD/view?usp=drivesdk</v>
      </c>
      <c r="D1768" s="12"/>
      <c r="E1768" s="13">
        <v>1818.0</v>
      </c>
      <c r="F1768" s="2"/>
    </row>
    <row r="1769" ht="1.5" customHeight="1">
      <c r="A1769" s="4" t="str">
        <f>IFERROR(__xludf.DUMMYFUNCTION("""COMPUTED_VALUE"""),"20. Citlali")</f>
        <v>20. Citlali</v>
      </c>
      <c r="B1769" s="4" t="str">
        <f>IFERROR(__xludf.DUMMYFUNCTION("""COMPUTED_VALUE"""),"20")</f>
        <v>20</v>
      </c>
      <c r="C1769" s="5" t="str">
        <f>IFERROR(__xludf.DUMMYFUNCTION("""COMPUTED_VALUE"""),"https://drive.google.com/file/d/1TU3k4IWqPKjvqgehSapyk_K41d-I4ZQk/view?usp=drivesdk")</f>
        <v>https://drive.google.com/file/d/1TU3k4IWqPKjvqgehSapyk_K41d-I4ZQk/view?usp=drivesdk</v>
      </c>
      <c r="D1769" s="12"/>
      <c r="E1769" s="13">
        <v>1819.0</v>
      </c>
      <c r="F1769" s="2"/>
    </row>
    <row r="1770" ht="1.5" customHeight="1">
      <c r="A1770" s="4" t="str">
        <f>IFERROR(__xludf.DUMMYFUNCTION("""COMPUTED_VALUE"""),"20. Citlali")</f>
        <v>20. Citlali</v>
      </c>
      <c r="B1770" s="4" t="str">
        <f>IFERROR(__xludf.DUMMYFUNCTION("""COMPUTED_VALUE"""),"20")</f>
        <v>20</v>
      </c>
      <c r="C1770" s="5" t="str">
        <f>IFERROR(__xludf.DUMMYFUNCTION("""COMPUTED_VALUE"""),"https://drive.google.com/file/d/1xJn9aCXUCXIUzMn5dFnNg3M5HzxnhBEk/view?usp=drivesdk")</f>
        <v>https://drive.google.com/file/d/1xJn9aCXUCXIUzMn5dFnNg3M5HzxnhBEk/view?usp=drivesdk</v>
      </c>
      <c r="D1770" s="12"/>
      <c r="E1770" s="13">
        <v>1820.0</v>
      </c>
      <c r="F1770" s="2"/>
    </row>
    <row r="1771" ht="1.5" customHeight="1">
      <c r="A1771" s="4" t="str">
        <f>IFERROR(__xludf.DUMMYFUNCTION("""COMPUTED_VALUE"""),"20. Citlali")</f>
        <v>20. Citlali</v>
      </c>
      <c r="B1771" s="4" t="str">
        <f>IFERROR(__xludf.DUMMYFUNCTION("""COMPUTED_VALUE"""),"20")</f>
        <v>20</v>
      </c>
      <c r="C1771" s="5" t="str">
        <f>IFERROR(__xludf.DUMMYFUNCTION("""COMPUTED_VALUE"""),"https://drive.google.com/file/d/1pUyOV21heTSV7mby5gqn_9g85UBo4x0L/view?usp=drivesdk")</f>
        <v>https://drive.google.com/file/d/1pUyOV21heTSV7mby5gqn_9g85UBo4x0L/view?usp=drivesdk</v>
      </c>
      <c r="D1771" s="12"/>
      <c r="E1771" s="13">
        <v>1821.0</v>
      </c>
      <c r="F1771" s="2"/>
    </row>
    <row r="1772" ht="1.5" customHeight="1">
      <c r="A1772" s="4" t="str">
        <f>IFERROR(__xludf.DUMMYFUNCTION("""COMPUTED_VALUE"""),"20. Citlali")</f>
        <v>20. Citlali</v>
      </c>
      <c r="B1772" s="4" t="str">
        <f>IFERROR(__xludf.DUMMYFUNCTION("""COMPUTED_VALUE"""),"20")</f>
        <v>20</v>
      </c>
      <c r="C1772" s="5" t="str">
        <f>IFERROR(__xludf.DUMMYFUNCTION("""COMPUTED_VALUE"""),"https://drive.google.com/file/d/1Uc2dSpZKDakw6_7cNR1VeBeUZdeDr4FJ/view?usp=drivesdk")</f>
        <v>https://drive.google.com/file/d/1Uc2dSpZKDakw6_7cNR1VeBeUZdeDr4FJ/view?usp=drivesdk</v>
      </c>
      <c r="D1772" s="12"/>
      <c r="E1772" s="13">
        <v>1822.0</v>
      </c>
      <c r="F1772" s="2"/>
    </row>
    <row r="1773" ht="1.5" customHeight="1">
      <c r="A1773" s="4" t="str">
        <f>IFERROR(__xludf.DUMMYFUNCTION("""COMPUTED_VALUE"""),"20. Citlali")</f>
        <v>20. Citlali</v>
      </c>
      <c r="B1773" s="4" t="str">
        <f>IFERROR(__xludf.DUMMYFUNCTION("""COMPUTED_VALUE"""),"20")</f>
        <v>20</v>
      </c>
      <c r="C1773" s="5" t="str">
        <f>IFERROR(__xludf.DUMMYFUNCTION("""COMPUTED_VALUE"""),"https://drive.google.com/file/d/1iYqy6AOQlE4bUcWIGqb_8GAJJfngw_0O/view?usp=drivesdk")</f>
        <v>https://drive.google.com/file/d/1iYqy6AOQlE4bUcWIGqb_8GAJJfngw_0O/view?usp=drivesdk</v>
      </c>
      <c r="D1773" s="12"/>
      <c r="E1773" s="13">
        <v>1823.0</v>
      </c>
      <c r="F1773" s="2"/>
    </row>
    <row r="1774" ht="1.5" customHeight="1">
      <c r="A1774" s="4" t="str">
        <f>IFERROR(__xludf.DUMMYFUNCTION("""COMPUTED_VALUE"""),"20. Citlali")</f>
        <v>20. Citlali</v>
      </c>
      <c r="B1774" s="4" t="str">
        <f>IFERROR(__xludf.DUMMYFUNCTION("""COMPUTED_VALUE"""),"20")</f>
        <v>20</v>
      </c>
      <c r="C1774" s="5" t="str">
        <f>IFERROR(__xludf.DUMMYFUNCTION("""COMPUTED_VALUE"""),"https://drive.google.com/file/d/1mipL1M-xVAkkoOsHD2Wl1RxRUaOU_hlB/view?usp=drivesdk")</f>
        <v>https://drive.google.com/file/d/1mipL1M-xVAkkoOsHD2Wl1RxRUaOU_hlB/view?usp=drivesdk</v>
      </c>
      <c r="D1774" s="12"/>
      <c r="E1774" s="13">
        <v>1824.0</v>
      </c>
      <c r="F1774" s="2"/>
    </row>
    <row r="1775" ht="1.5" customHeight="1">
      <c r="A1775" s="4" t="str">
        <f>IFERROR(__xludf.DUMMYFUNCTION("""COMPUTED_VALUE"""),"20. Citlali")</f>
        <v>20. Citlali</v>
      </c>
      <c r="B1775" s="4" t="str">
        <f>IFERROR(__xludf.DUMMYFUNCTION("""COMPUTED_VALUE"""),"20")</f>
        <v>20</v>
      </c>
      <c r="C1775" s="5" t="str">
        <f>IFERROR(__xludf.DUMMYFUNCTION("""COMPUTED_VALUE"""),"https://drive.google.com/file/d/1HSi3eZ3n9Jwpd40Qn-EcWhCS1t1oW9BS/view?usp=drivesdk")</f>
        <v>https://drive.google.com/file/d/1HSi3eZ3n9Jwpd40Qn-EcWhCS1t1oW9BS/view?usp=drivesdk</v>
      </c>
      <c r="D1775" s="12"/>
      <c r="E1775" s="13">
        <v>1825.0</v>
      </c>
      <c r="F1775" s="2"/>
    </row>
    <row r="1776" ht="1.5" customHeight="1">
      <c r="A1776" s="4" t="str">
        <f>IFERROR(__xludf.DUMMYFUNCTION("""COMPUTED_VALUE"""),"20. Citlali")</f>
        <v>20. Citlali</v>
      </c>
      <c r="B1776" s="4" t="str">
        <f>IFERROR(__xludf.DUMMYFUNCTION("""COMPUTED_VALUE"""),"20")</f>
        <v>20</v>
      </c>
      <c r="C1776" s="5" t="str">
        <f>IFERROR(__xludf.DUMMYFUNCTION("""COMPUTED_VALUE"""),"https://drive.google.com/file/d/1qnZRF9xD9u3r2vyI70gJYd_KcnOuAjKG/view?usp=drivesdk")</f>
        <v>https://drive.google.com/file/d/1qnZRF9xD9u3r2vyI70gJYd_KcnOuAjKG/view?usp=drivesdk</v>
      </c>
      <c r="D1776" s="12"/>
      <c r="E1776" s="13">
        <v>1826.0</v>
      </c>
      <c r="F1776" s="2"/>
    </row>
    <row r="1777" ht="1.5" customHeight="1">
      <c r="A1777" s="4" t="str">
        <f>IFERROR(__xludf.DUMMYFUNCTION("""COMPUTED_VALUE"""),"71. Robin")</f>
        <v>71. Robin</v>
      </c>
      <c r="B1777" s="4" t="str">
        <f>IFERROR(__xludf.DUMMYFUNCTION("""COMPUTED_VALUE"""),"71")</f>
        <v>71</v>
      </c>
      <c r="C1777" s="5" t="str">
        <f>IFERROR(__xludf.DUMMYFUNCTION("""COMPUTED_VALUE"""),"https://drive.google.com/file/d/1XZpkF23p9p9F4xQoolmg8WVnUfkMZTiP/view?usp=drivesdk")</f>
        <v>https://drive.google.com/file/d/1XZpkF23p9p9F4xQoolmg8WVnUfkMZTiP/view?usp=drivesdk</v>
      </c>
      <c r="D1777" s="12"/>
      <c r="E1777" s="13">
        <v>1827.0</v>
      </c>
      <c r="F1777" s="2"/>
    </row>
    <row r="1778" ht="1.5" customHeight="1">
      <c r="A1778" s="4" t="str">
        <f>IFERROR(__xludf.DUMMYFUNCTION("""COMPUTED_VALUE"""),"71. Robin")</f>
        <v>71. Robin</v>
      </c>
      <c r="B1778" s="4" t="str">
        <f>IFERROR(__xludf.DUMMYFUNCTION("""COMPUTED_VALUE"""),"71")</f>
        <v>71</v>
      </c>
      <c r="C1778" s="5" t="str">
        <f>IFERROR(__xludf.DUMMYFUNCTION("""COMPUTED_VALUE"""),"https://drive.google.com/file/d/12fHTHnmUv5MEN6vqn5afVZfskNvM9Kxf/view?usp=drivesdk")</f>
        <v>https://drive.google.com/file/d/12fHTHnmUv5MEN6vqn5afVZfskNvM9Kxf/view?usp=drivesdk</v>
      </c>
      <c r="D1778" s="12"/>
      <c r="E1778" s="13">
        <v>1828.0</v>
      </c>
      <c r="F1778" s="2"/>
    </row>
    <row r="1779" ht="1.5" customHeight="1">
      <c r="A1779" s="4" t="str">
        <f>IFERROR(__xludf.DUMMYFUNCTION("""COMPUTED_VALUE"""),"2. Twix")</f>
        <v>2. Twix</v>
      </c>
      <c r="B1779" s="4" t="str">
        <f>IFERROR(__xludf.DUMMYFUNCTION("""COMPUTED_VALUE"""),"2")</f>
        <v>2</v>
      </c>
      <c r="C1779" s="5" t="str">
        <f>IFERROR(__xludf.DUMMYFUNCTION("""COMPUTED_VALUE"""),"https://drive.google.com/file/d/1wsh_NhtSNSfFIZTBJV6dGKzq13zJLM37/view?usp=drivesdk")</f>
        <v>https://drive.google.com/file/d/1wsh_NhtSNSfFIZTBJV6dGKzq13zJLM37/view?usp=drivesdk</v>
      </c>
      <c r="D1779" s="12"/>
      <c r="E1779" s="13">
        <v>1829.0</v>
      </c>
      <c r="F1779" s="2"/>
    </row>
    <row r="1780" ht="1.5" customHeight="1">
      <c r="A1780" s="4" t="str">
        <f>IFERROR(__xludf.DUMMYFUNCTION("""COMPUTED_VALUE"""),"2. Twix")</f>
        <v>2. Twix</v>
      </c>
      <c r="B1780" s="4" t="str">
        <f>IFERROR(__xludf.DUMMYFUNCTION("""COMPUTED_VALUE"""),"2")</f>
        <v>2</v>
      </c>
      <c r="C1780" s="5" t="str">
        <f>IFERROR(__xludf.DUMMYFUNCTION("""COMPUTED_VALUE"""),"https://drive.google.com/file/d/1tAUj4wtZ9yNoIcLyjNzSvPe280E19hqR/view?usp=drivesdk")</f>
        <v>https://drive.google.com/file/d/1tAUj4wtZ9yNoIcLyjNzSvPe280E19hqR/view?usp=drivesdk</v>
      </c>
      <c r="D1780" s="12"/>
      <c r="E1780" s="13">
        <v>1830.0</v>
      </c>
      <c r="F1780" s="2"/>
    </row>
    <row r="1781" ht="1.5" customHeight="1">
      <c r="A1781" s="4" t="str">
        <f>IFERROR(__xludf.DUMMYFUNCTION("""COMPUTED_VALUE"""),"2. Twix")</f>
        <v>2. Twix</v>
      </c>
      <c r="B1781" s="4" t="str">
        <f>IFERROR(__xludf.DUMMYFUNCTION("""COMPUTED_VALUE"""),"2")</f>
        <v>2</v>
      </c>
      <c r="C1781" s="5" t="str">
        <f>IFERROR(__xludf.DUMMYFUNCTION("""COMPUTED_VALUE"""),"https://drive.google.com/file/d/1q89k8KEoalukseGY8roAvRNGMastb9VC/view?usp=drivesdk")</f>
        <v>https://drive.google.com/file/d/1q89k8KEoalukseGY8roAvRNGMastb9VC/view?usp=drivesdk</v>
      </c>
      <c r="D1781" s="12"/>
      <c r="E1781" s="13">
        <v>1831.0</v>
      </c>
      <c r="F1781" s="2"/>
    </row>
    <row r="1782" ht="1.5" customHeight="1">
      <c r="A1782" s="4" t="str">
        <f>IFERROR(__xludf.DUMMYFUNCTION("""COMPUTED_VALUE"""),"1. Microwave")</f>
        <v>1. Microwave</v>
      </c>
      <c r="B1782" s="4" t="str">
        <f>IFERROR(__xludf.DUMMYFUNCTION("""COMPUTED_VALUE"""),"1")</f>
        <v>1</v>
      </c>
      <c r="C1782" s="5" t="str">
        <f>IFERROR(__xludf.DUMMYFUNCTION("""COMPUTED_VALUE"""),"https://drive.google.com/file/d/11zERHooJFG_h81EG1KkwEgI7GQTCvjEz/view?usp=drivesdk")</f>
        <v>https://drive.google.com/file/d/11zERHooJFG_h81EG1KkwEgI7GQTCvjEz/view?usp=drivesdk</v>
      </c>
      <c r="D1782" s="12"/>
      <c r="E1782" s="13">
        <v>1832.0</v>
      </c>
      <c r="F1782" s="2"/>
    </row>
    <row r="1783" ht="1.5" customHeight="1">
      <c r="A1783" s="4" t="str">
        <f>IFERROR(__xludf.DUMMYFUNCTION("""COMPUTED_VALUE"""),"1. Microwave")</f>
        <v>1. Microwave</v>
      </c>
      <c r="B1783" s="4" t="str">
        <f>IFERROR(__xludf.DUMMYFUNCTION("""COMPUTED_VALUE"""),"1")</f>
        <v>1</v>
      </c>
      <c r="C1783" s="5" t="str">
        <f>IFERROR(__xludf.DUMMYFUNCTION("""COMPUTED_VALUE"""),"https://drive.google.com/file/d/1ZhB_uwDqn-mbiRUACfqS_-fgxyxz_2MR/view?usp=drivesdk")</f>
        <v>https://drive.google.com/file/d/1ZhB_uwDqn-mbiRUACfqS_-fgxyxz_2MR/view?usp=drivesdk</v>
      </c>
      <c r="D1783" s="12"/>
      <c r="E1783" s="13">
        <v>1833.0</v>
      </c>
      <c r="F1783" s="2"/>
    </row>
    <row r="1784" ht="1.5" customHeight="1">
      <c r="A1784" s="4" t="str">
        <f>IFERROR(__xludf.DUMMYFUNCTION("""COMPUTED_VALUE"""),"1. Microwave")</f>
        <v>1. Microwave</v>
      </c>
      <c r="B1784" s="4" t="str">
        <f>IFERROR(__xludf.DUMMYFUNCTION("""COMPUTED_VALUE"""),"1")</f>
        <v>1</v>
      </c>
      <c r="C1784" s="5" t="str">
        <f>IFERROR(__xludf.DUMMYFUNCTION("""COMPUTED_VALUE"""),"https://drive.google.com/file/d/1riTmb7PTpxVSNuRlIejf94gGu_2Oc-4h/view?usp=drivesdk")</f>
        <v>https://drive.google.com/file/d/1riTmb7PTpxVSNuRlIejf94gGu_2Oc-4h/view?usp=drivesdk</v>
      </c>
      <c r="D1784" s="12"/>
      <c r="E1784" s="13">
        <v>1834.0</v>
      </c>
      <c r="F1784" s="2"/>
    </row>
    <row r="1785" ht="1.5" customHeight="1">
      <c r="A1785" s="4" t="str">
        <f>IFERROR(__xludf.DUMMYFUNCTION("""COMPUTED_VALUE"""),"17. Bobbie")</f>
        <v>17. Bobbie</v>
      </c>
      <c r="B1785" s="4" t="str">
        <f>IFERROR(__xludf.DUMMYFUNCTION("""COMPUTED_VALUE"""),"17")</f>
        <v>17</v>
      </c>
      <c r="C1785" s="5" t="str">
        <f>IFERROR(__xludf.DUMMYFUNCTION("""COMPUTED_VALUE"""),"https://drive.google.com/file/d/1YOiHc7B7enEVx1csImjKgTcL5haw2Wr0/view?usp=drivesdk")</f>
        <v>https://drive.google.com/file/d/1YOiHc7B7enEVx1csImjKgTcL5haw2Wr0/view?usp=drivesdk</v>
      </c>
      <c r="D1785" s="12"/>
      <c r="E1785" s="13">
        <v>1835.0</v>
      </c>
      <c r="F1785" s="2"/>
    </row>
    <row r="1786" ht="1.5" customHeight="1">
      <c r="A1786" s="4" t="str">
        <f>IFERROR(__xludf.DUMMYFUNCTION("""COMPUTED_VALUE"""),"1. Microwave")</f>
        <v>1. Microwave</v>
      </c>
      <c r="B1786" s="4" t="str">
        <f>IFERROR(__xludf.DUMMYFUNCTION("""COMPUTED_VALUE"""),"1")</f>
        <v>1</v>
      </c>
      <c r="C1786" s="5" t="str">
        <f>IFERROR(__xludf.DUMMYFUNCTION("""COMPUTED_VALUE"""),"https://drive.google.com/file/d/14fCQpk863GPOYh96rUOmP0CsZovXKXGx/view?usp=drivesdk")</f>
        <v>https://drive.google.com/file/d/14fCQpk863GPOYh96rUOmP0CsZovXKXGx/view?usp=drivesdk</v>
      </c>
      <c r="D1786" s="12"/>
      <c r="E1786" s="13">
        <v>1836.0</v>
      </c>
      <c r="F1786" s="2"/>
    </row>
    <row r="1787" ht="1.5" customHeight="1">
      <c r="A1787" s="4" t="str">
        <f>IFERROR(__xludf.DUMMYFUNCTION("""COMPUTED_VALUE"""),"1. Microwave")</f>
        <v>1. Microwave</v>
      </c>
      <c r="B1787" s="4" t="str">
        <f>IFERROR(__xludf.DUMMYFUNCTION("""COMPUTED_VALUE"""),"1")</f>
        <v>1</v>
      </c>
      <c r="C1787" s="5" t="str">
        <f>IFERROR(__xludf.DUMMYFUNCTION("""COMPUTED_VALUE"""),"https://drive.google.com/file/d/1TFD4UdM2ZtJdRGwunEZwhB4hxU7lY3xG/view?usp=drivesdk")</f>
        <v>https://drive.google.com/file/d/1TFD4UdM2ZtJdRGwunEZwhB4hxU7lY3xG/view?usp=drivesdk</v>
      </c>
      <c r="D1787" s="12"/>
      <c r="E1787" s="13">
        <v>1837.0</v>
      </c>
      <c r="F1787" s="2"/>
    </row>
    <row r="1788" ht="1.5" customHeight="1">
      <c r="A1788" s="4" t="str">
        <f>IFERROR(__xludf.DUMMYFUNCTION("""COMPUTED_VALUE"""),"1. Microwave")</f>
        <v>1. Microwave</v>
      </c>
      <c r="B1788" s="4" t="str">
        <f>IFERROR(__xludf.DUMMYFUNCTION("""COMPUTED_VALUE"""),"1")</f>
        <v>1</v>
      </c>
      <c r="C1788" s="5" t="str">
        <f>IFERROR(__xludf.DUMMYFUNCTION("""COMPUTED_VALUE"""),"https://drive.google.com/file/d/11O1op4pVxnJgJoP2-lFU8neyC62pTzrY/view?usp=drivesdk")</f>
        <v>https://drive.google.com/file/d/11O1op4pVxnJgJoP2-lFU8neyC62pTzrY/view?usp=drivesdk</v>
      </c>
      <c r="D1788" s="12"/>
      <c r="E1788" s="13">
        <v>1838.0</v>
      </c>
      <c r="F1788" s="2"/>
    </row>
    <row r="1789" ht="1.5" customHeight="1">
      <c r="A1789" s="4" t="str">
        <f>IFERROR(__xludf.DUMMYFUNCTION("""COMPUTED_VALUE"""),"1. Microwave")</f>
        <v>1. Microwave</v>
      </c>
      <c r="B1789" s="4" t="str">
        <f>IFERROR(__xludf.DUMMYFUNCTION("""COMPUTED_VALUE"""),"1")</f>
        <v>1</v>
      </c>
      <c r="C1789" s="5" t="str">
        <f>IFERROR(__xludf.DUMMYFUNCTION("""COMPUTED_VALUE"""),"https://drive.google.com/file/d/1VPMU-BpOpCBN_ttQk3MtcQF-RuvxyCKp/view?usp=drivesdk")</f>
        <v>https://drive.google.com/file/d/1VPMU-BpOpCBN_ttQk3MtcQF-RuvxyCKp/view?usp=drivesdk</v>
      </c>
      <c r="D1789" s="12"/>
      <c r="E1789" s="13">
        <v>1839.0</v>
      </c>
      <c r="F1789" s="2"/>
    </row>
    <row r="1790" ht="1.5" customHeight="1">
      <c r="A1790" s="4" t="str">
        <f>IFERROR(__xludf.DUMMYFUNCTION("""COMPUTED_VALUE"""),"42. Rubber")</f>
        <v>42. Rubber</v>
      </c>
      <c r="B1790" s="4" t="str">
        <f>IFERROR(__xludf.DUMMYFUNCTION("""COMPUTED_VALUE"""),"42")</f>
        <v>42</v>
      </c>
      <c r="C1790" s="5" t="str">
        <f>IFERROR(__xludf.DUMMYFUNCTION("""COMPUTED_VALUE"""),"https://drive.google.com/file/d/1dNR179rE5m9kSa3ecGP3X3s4nHHStmoV/view?usp=drivesdk")</f>
        <v>https://drive.google.com/file/d/1dNR179rE5m9kSa3ecGP3X3s4nHHStmoV/view?usp=drivesdk</v>
      </c>
      <c r="D1790" s="12"/>
      <c r="E1790" s="13">
        <v>1840.0</v>
      </c>
      <c r="F1790" s="2"/>
    </row>
    <row r="1791" ht="1.5" customHeight="1">
      <c r="A1791" s="4" t="str">
        <f>IFERROR(__xludf.DUMMYFUNCTION("""COMPUTED_VALUE"""),"75. Musketeer")</f>
        <v>75. Musketeer</v>
      </c>
      <c r="B1791" s="4" t="str">
        <f>IFERROR(__xludf.DUMMYFUNCTION("""COMPUTED_VALUE"""),"75")</f>
        <v>75</v>
      </c>
      <c r="C1791" s="5" t="str">
        <f>IFERROR(__xludf.DUMMYFUNCTION("""COMPUTED_VALUE"""),"https://drive.google.com/file/d/12l3a769HUb-HjwnwTO7Utpawoqxslx33/view?usp=drivesdk")</f>
        <v>https://drive.google.com/file/d/12l3a769HUb-HjwnwTO7Utpawoqxslx33/view?usp=drivesdk</v>
      </c>
      <c r="D1791" s="12"/>
      <c r="E1791" s="13">
        <v>1841.0</v>
      </c>
      <c r="F1791" s="2"/>
    </row>
    <row r="1792" ht="1.5" customHeight="1">
      <c r="A1792" s="4" t="str">
        <f>IFERROR(__xludf.DUMMYFUNCTION("""COMPUTED_VALUE"""),"75. Musketeer")</f>
        <v>75. Musketeer</v>
      </c>
      <c r="B1792" s="4" t="str">
        <f>IFERROR(__xludf.DUMMYFUNCTION("""COMPUTED_VALUE"""),"75")</f>
        <v>75</v>
      </c>
      <c r="C1792" s="5" t="str">
        <f>IFERROR(__xludf.DUMMYFUNCTION("""COMPUTED_VALUE"""),"https://drive.google.com/file/d/1OEeP023B07NmKn1yhDedoaGbgsIeivAZ/view?usp=drivesdk")</f>
        <v>https://drive.google.com/file/d/1OEeP023B07NmKn1yhDedoaGbgsIeivAZ/view?usp=drivesdk</v>
      </c>
      <c r="D1792" s="12"/>
      <c r="E1792" s="13">
        <v>1842.0</v>
      </c>
      <c r="F1792" s="2"/>
    </row>
    <row r="1793" ht="1.5" customHeight="1">
      <c r="A1793" s="4" t="str">
        <f>IFERROR(__xludf.DUMMYFUNCTION("""COMPUTED_VALUE"""),"75. Musketeer")</f>
        <v>75. Musketeer</v>
      </c>
      <c r="B1793" s="4" t="str">
        <f>IFERROR(__xludf.DUMMYFUNCTION("""COMPUTED_VALUE"""),"75")</f>
        <v>75</v>
      </c>
      <c r="C1793" s="5" t="str">
        <f>IFERROR(__xludf.DUMMYFUNCTION("""COMPUTED_VALUE"""),"https://drive.google.com/file/d/1Ef6LmBJGdaopzTElgP_u9Xjxo5IXYqGx/view?usp=drivesdk")</f>
        <v>https://drive.google.com/file/d/1Ef6LmBJGdaopzTElgP_u9Xjxo5IXYqGx/view?usp=drivesdk</v>
      </c>
      <c r="D1793" s="12"/>
      <c r="E1793" s="13">
        <v>1843.0</v>
      </c>
      <c r="F1793" s="2"/>
    </row>
    <row r="1794" ht="1.5" customHeight="1">
      <c r="A1794" s="4" t="str">
        <f>IFERROR(__xludf.DUMMYFUNCTION("""COMPUTED_VALUE"""),"75. Musketeer")</f>
        <v>75. Musketeer</v>
      </c>
      <c r="B1794" s="4" t="str">
        <f>IFERROR(__xludf.DUMMYFUNCTION("""COMPUTED_VALUE"""),"75")</f>
        <v>75</v>
      </c>
      <c r="C1794" s="5" t="str">
        <f>IFERROR(__xludf.DUMMYFUNCTION("""COMPUTED_VALUE"""),"https://drive.google.com/file/d/11kV3riVch0Dl7Q-3AzoXBKy4fHBBafFu/view?usp=drivesdk")</f>
        <v>https://drive.google.com/file/d/11kV3riVch0Dl7Q-3AzoXBKy4fHBBafFu/view?usp=drivesdk</v>
      </c>
      <c r="D1794" s="12"/>
      <c r="E1794" s="13">
        <v>1844.0</v>
      </c>
      <c r="F1794" s="2"/>
    </row>
    <row r="1795" ht="1.5" customHeight="1">
      <c r="A1795" s="4" t="str">
        <f>IFERROR(__xludf.DUMMYFUNCTION("""COMPUTED_VALUE"""),"75. Musketeer")</f>
        <v>75. Musketeer</v>
      </c>
      <c r="B1795" s="4" t="str">
        <f>IFERROR(__xludf.DUMMYFUNCTION("""COMPUTED_VALUE"""),"75")</f>
        <v>75</v>
      </c>
      <c r="C1795" s="5" t="str">
        <f>IFERROR(__xludf.DUMMYFUNCTION("""COMPUTED_VALUE"""),"https://drive.google.com/file/d/1vY1W63vunR8GVfSilGt00ekvMhUg-a_A/view?usp=drivesdk")</f>
        <v>https://drive.google.com/file/d/1vY1W63vunR8GVfSilGt00ekvMhUg-a_A/view?usp=drivesdk</v>
      </c>
      <c r="D1795" s="12"/>
      <c r="E1795" s="13">
        <v>1845.0</v>
      </c>
      <c r="F1795" s="2"/>
    </row>
    <row r="1796" ht="1.5" customHeight="1">
      <c r="A1796" s="4" t="str">
        <f>IFERROR(__xludf.DUMMYFUNCTION("""COMPUTED_VALUE"""),"75. Musketeer")</f>
        <v>75. Musketeer</v>
      </c>
      <c r="B1796" s="4" t="str">
        <f>IFERROR(__xludf.DUMMYFUNCTION("""COMPUTED_VALUE"""),"75")</f>
        <v>75</v>
      </c>
      <c r="C1796" s="5" t="str">
        <f>IFERROR(__xludf.DUMMYFUNCTION("""COMPUTED_VALUE"""),"https://drive.google.com/file/d/1u1yr2b0rgV3CIMBsa3KYAhbtWoXhrVSd/view?usp=drivesdk")</f>
        <v>https://drive.google.com/file/d/1u1yr2b0rgV3CIMBsa3KYAhbtWoXhrVSd/view?usp=drivesdk</v>
      </c>
      <c r="D1796" s="12"/>
      <c r="E1796" s="13">
        <v>1846.0</v>
      </c>
      <c r="F1796" s="2"/>
    </row>
    <row r="1797" ht="1.5" customHeight="1">
      <c r="A1797" s="4" t="str">
        <f>IFERROR(__xludf.DUMMYFUNCTION("""COMPUTED_VALUE"""),"1. Microwave")</f>
        <v>1. Microwave</v>
      </c>
      <c r="B1797" s="4" t="str">
        <f>IFERROR(__xludf.DUMMYFUNCTION("""COMPUTED_VALUE"""),"1")</f>
        <v>1</v>
      </c>
      <c r="C1797" s="5" t="str">
        <f>IFERROR(__xludf.DUMMYFUNCTION("""COMPUTED_VALUE"""),"https://drive.google.com/file/d/1A0mLH-yqodbTTWnOv26_8ipY_63ybDBO/view?usp=drivesdk")</f>
        <v>https://drive.google.com/file/d/1A0mLH-yqodbTTWnOv26_8ipY_63ybDBO/view?usp=drivesdk</v>
      </c>
      <c r="D1797" s="12"/>
      <c r="E1797" s="13">
        <v>1847.0</v>
      </c>
      <c r="F1797" s="2"/>
    </row>
    <row r="1798" ht="1.5" customHeight="1">
      <c r="A1798" s="4" t="str">
        <f>IFERROR(__xludf.DUMMYFUNCTION("""COMPUTED_VALUE"""),"1. Microwave")</f>
        <v>1. Microwave</v>
      </c>
      <c r="B1798" s="4" t="str">
        <f>IFERROR(__xludf.DUMMYFUNCTION("""COMPUTED_VALUE"""),"1")</f>
        <v>1</v>
      </c>
      <c r="C1798" s="5" t="str">
        <f>IFERROR(__xludf.DUMMYFUNCTION("""COMPUTED_VALUE"""),"https://drive.google.com/file/d/1Ol2csDYib_iNzL_BmSseXnmtEIX_8Oq9/view?usp=drivesdk")</f>
        <v>https://drive.google.com/file/d/1Ol2csDYib_iNzL_BmSseXnmtEIX_8Oq9/view?usp=drivesdk</v>
      </c>
      <c r="D1798" s="12"/>
      <c r="E1798" s="13">
        <v>1848.0</v>
      </c>
      <c r="F1798" s="2"/>
    </row>
    <row r="1799" ht="1.5" customHeight="1">
      <c r="A1799" s="4" t="str">
        <f>IFERROR(__xludf.DUMMYFUNCTION("""COMPUTED_VALUE"""),"1. Microwave")</f>
        <v>1. Microwave</v>
      </c>
      <c r="B1799" s="4" t="str">
        <f>IFERROR(__xludf.DUMMYFUNCTION("""COMPUTED_VALUE"""),"1")</f>
        <v>1</v>
      </c>
      <c r="C1799" s="5" t="str">
        <f>IFERROR(__xludf.DUMMYFUNCTION("""COMPUTED_VALUE"""),"https://drive.google.com/file/d/1-xcrALjRzl5Zgb9f7csg4Wyohg7HezTQ/view?usp=drivesdk")</f>
        <v>https://drive.google.com/file/d/1-xcrALjRzl5Zgb9f7csg4Wyohg7HezTQ/view?usp=drivesdk</v>
      </c>
      <c r="D1799" s="12"/>
      <c r="E1799" s="13">
        <v>1849.0</v>
      </c>
      <c r="F1799" s="2"/>
    </row>
    <row r="1800" ht="1.5" customHeight="1">
      <c r="A1800" s="4" t="str">
        <f>IFERROR(__xludf.DUMMYFUNCTION("""COMPUTED_VALUE"""),"1. Microwave")</f>
        <v>1. Microwave</v>
      </c>
      <c r="B1800" s="4" t="str">
        <f>IFERROR(__xludf.DUMMYFUNCTION("""COMPUTED_VALUE"""),"1")</f>
        <v>1</v>
      </c>
      <c r="C1800" s="5" t="str">
        <f>IFERROR(__xludf.DUMMYFUNCTION("""COMPUTED_VALUE"""),"https://drive.google.com/file/d/1A4E4XjAtd0KrXdQ7z98rYEjpZMZ_5Qgv/view?usp=drivesdk")</f>
        <v>https://drive.google.com/file/d/1A4E4XjAtd0KrXdQ7z98rYEjpZMZ_5Qgv/view?usp=drivesdk</v>
      </c>
      <c r="D1800" s="12"/>
      <c r="E1800" s="13">
        <v>1850.0</v>
      </c>
      <c r="F1800" s="2"/>
    </row>
    <row r="1801" ht="1.5" customHeight="1">
      <c r="A1801" s="4" t="str">
        <f>IFERROR(__xludf.DUMMYFUNCTION("""COMPUTED_VALUE"""),"1. Microwave")</f>
        <v>1. Microwave</v>
      </c>
      <c r="B1801" s="4" t="str">
        <f>IFERROR(__xludf.DUMMYFUNCTION("""COMPUTED_VALUE"""),"1")</f>
        <v>1</v>
      </c>
      <c r="C1801" s="5" t="str">
        <f>IFERROR(__xludf.DUMMYFUNCTION("""COMPUTED_VALUE"""),"https://drive.google.com/file/d/1tdxbdqR5URn5HH_oVWesx1dceN3Ffs9B/view?usp=drivesdk")</f>
        <v>https://drive.google.com/file/d/1tdxbdqR5URn5HH_oVWesx1dceN3Ffs9B/view?usp=drivesdk</v>
      </c>
      <c r="D1801" s="12"/>
      <c r="E1801" s="13">
        <v>1851.0</v>
      </c>
      <c r="F1801" s="2"/>
    </row>
    <row r="1802" ht="1.5" customHeight="1">
      <c r="A1802" s="4" t="str">
        <f>IFERROR(__xludf.DUMMYFUNCTION("""COMPUTED_VALUE"""),"1. Microwave")</f>
        <v>1. Microwave</v>
      </c>
      <c r="B1802" s="4" t="str">
        <f>IFERROR(__xludf.DUMMYFUNCTION("""COMPUTED_VALUE"""),"1")</f>
        <v>1</v>
      </c>
      <c r="C1802" s="5" t="str">
        <f>IFERROR(__xludf.DUMMYFUNCTION("""COMPUTED_VALUE"""),"https://drive.google.com/file/d/1AHX_S3vTZPVtKHlTEx2_ql3bFWnllUs5/view?usp=drivesdk")</f>
        <v>https://drive.google.com/file/d/1AHX_S3vTZPVtKHlTEx2_ql3bFWnllUs5/view?usp=drivesdk</v>
      </c>
      <c r="D1802" s="12"/>
      <c r="E1802" s="13">
        <v>1852.0</v>
      </c>
      <c r="F1802" s="2"/>
    </row>
    <row r="1803" ht="1.5" customHeight="1">
      <c r="A1803" s="4" t="str">
        <f>IFERROR(__xludf.DUMMYFUNCTION("""COMPUTED_VALUE"""),"1. Microwave")</f>
        <v>1. Microwave</v>
      </c>
      <c r="B1803" s="4" t="str">
        <f>IFERROR(__xludf.DUMMYFUNCTION("""COMPUTED_VALUE"""),"1")</f>
        <v>1</v>
      </c>
      <c r="C1803" s="5" t="str">
        <f>IFERROR(__xludf.DUMMYFUNCTION("""COMPUTED_VALUE"""),"https://drive.google.com/file/d/1RUMPdGt5poVm51h-VoelxF6bfPLGIpbU/view?usp=drivesdk")</f>
        <v>https://drive.google.com/file/d/1RUMPdGt5poVm51h-VoelxF6bfPLGIpbU/view?usp=drivesdk</v>
      </c>
      <c r="D1803" s="12"/>
      <c r="E1803" s="13">
        <v>1853.0</v>
      </c>
      <c r="F1803" s="2"/>
    </row>
    <row r="1804" ht="1.5" customHeight="1">
      <c r="A1804" s="4" t="str">
        <f>IFERROR(__xludf.DUMMYFUNCTION("""COMPUTED_VALUE"""),"1. Microwave")</f>
        <v>1. Microwave</v>
      </c>
      <c r="B1804" s="4" t="str">
        <f>IFERROR(__xludf.DUMMYFUNCTION("""COMPUTED_VALUE"""),"1")</f>
        <v>1</v>
      </c>
      <c r="C1804" s="5" t="str">
        <f>IFERROR(__xludf.DUMMYFUNCTION("""COMPUTED_VALUE"""),"https://drive.google.com/file/d/1ASCRKkIBxVUaJKiUfnvFLhEtppASfMIb/view?usp=drivesdk")</f>
        <v>https://drive.google.com/file/d/1ASCRKkIBxVUaJKiUfnvFLhEtppASfMIb/view?usp=drivesdk</v>
      </c>
      <c r="D1804" s="12"/>
      <c r="E1804" s="13">
        <v>1854.0</v>
      </c>
      <c r="F1804" s="2"/>
    </row>
    <row r="1805" ht="1.5" customHeight="1">
      <c r="A1805" s="4" t="str">
        <f>IFERROR(__xludf.DUMMYFUNCTION("""COMPUTED_VALUE"""),"1. Microwave")</f>
        <v>1. Microwave</v>
      </c>
      <c r="B1805" s="4" t="str">
        <f>IFERROR(__xludf.DUMMYFUNCTION("""COMPUTED_VALUE"""),"1")</f>
        <v>1</v>
      </c>
      <c r="C1805" s="5" t="str">
        <f>IFERROR(__xludf.DUMMYFUNCTION("""COMPUTED_VALUE"""),"https://drive.google.com/file/d/1LKWgrzO4PmR36xIrHPPvpz_htL-MkxZd/view?usp=drivesdk")</f>
        <v>https://drive.google.com/file/d/1LKWgrzO4PmR36xIrHPPvpz_htL-MkxZd/view?usp=drivesdk</v>
      </c>
      <c r="D1805" s="12"/>
      <c r="E1805" s="13">
        <v>1855.0</v>
      </c>
      <c r="F1805" s="2"/>
    </row>
    <row r="1806" ht="1.5" customHeight="1">
      <c r="A1806" s="4" t="str">
        <f>IFERROR(__xludf.DUMMYFUNCTION("""COMPUTED_VALUE"""),"5. Eraser, 4. Eggs")</f>
        <v>5. Eraser, 4. Eggs</v>
      </c>
      <c r="B1806" s="4" t="str">
        <f>IFERROR(__xludf.DUMMYFUNCTION("""COMPUTED_VALUE"""),"5, 4")</f>
        <v>5, 4</v>
      </c>
      <c r="C1806" s="5" t="str">
        <f>IFERROR(__xludf.DUMMYFUNCTION("""COMPUTED_VALUE"""),"https://drive.google.com/file/d/1Z6iQlkfNDXTcakCIQRNZpAASlsKD48bR/view?usp=drivesdk")</f>
        <v>https://drive.google.com/file/d/1Z6iQlkfNDXTcakCIQRNZpAASlsKD48bR/view?usp=drivesdk</v>
      </c>
      <c r="D1806" s="12"/>
      <c r="E1806" s="13">
        <v>1856.0</v>
      </c>
      <c r="F1806" s="2"/>
    </row>
    <row r="1807" ht="1.5" customHeight="1">
      <c r="A1807" s="4" t="str">
        <f>IFERROR(__xludf.DUMMYFUNCTION("""COMPUTED_VALUE"""),"5. Eraser")</f>
        <v>5. Eraser</v>
      </c>
      <c r="B1807" s="4" t="str">
        <f>IFERROR(__xludf.DUMMYFUNCTION("""COMPUTED_VALUE"""),"5")</f>
        <v>5</v>
      </c>
      <c r="C1807" s="5" t="str">
        <f>IFERROR(__xludf.DUMMYFUNCTION("""COMPUTED_VALUE"""),"https://drive.google.com/file/d/112sALxPkW0g7NNE-kjHEXDbOHhOqeZJZ/view?usp=drivesdk")</f>
        <v>https://drive.google.com/file/d/112sALxPkW0g7NNE-kjHEXDbOHhOqeZJZ/view?usp=drivesdk</v>
      </c>
      <c r="D1807" s="12"/>
      <c r="E1807" s="13">
        <v>1857.0</v>
      </c>
      <c r="F1807" s="2"/>
    </row>
    <row r="1808" ht="1.5" customHeight="1">
      <c r="A1808" s="4" t="str">
        <f>IFERROR(__xludf.DUMMYFUNCTION("""COMPUTED_VALUE"""),"27. Angel")</f>
        <v>27. Angel</v>
      </c>
      <c r="B1808" s="4" t="str">
        <f>IFERROR(__xludf.DUMMYFUNCTION("""COMPUTED_VALUE"""),"27")</f>
        <v>27</v>
      </c>
      <c r="C1808" s="5" t="str">
        <f>IFERROR(__xludf.DUMMYFUNCTION("""COMPUTED_VALUE"""),"https://drive.google.com/file/d/1LSTLyWGwW2mysfRGf6obo3e4jtUXRUlL/view?usp=drivesdk")</f>
        <v>https://drive.google.com/file/d/1LSTLyWGwW2mysfRGf6obo3e4jtUXRUlL/view?usp=drivesdk</v>
      </c>
      <c r="D1808" s="12"/>
      <c r="E1808" s="13">
        <v>1858.0</v>
      </c>
      <c r="F1808" s="2"/>
    </row>
    <row r="1809" ht="1.5" customHeight="1">
      <c r="A1809" s="4" t="str">
        <f>IFERROR(__xludf.DUMMYFUNCTION("""COMPUTED_VALUE"""),"27. Angel")</f>
        <v>27. Angel</v>
      </c>
      <c r="B1809" s="4" t="str">
        <f>IFERROR(__xludf.DUMMYFUNCTION("""COMPUTED_VALUE"""),"27")</f>
        <v>27</v>
      </c>
      <c r="C1809" s="5" t="str">
        <f>IFERROR(__xludf.DUMMYFUNCTION("""COMPUTED_VALUE"""),"https://drive.google.com/file/d/1C-dg3QXi7PiNOBOaj43qMSWLBLUW_fy8/view?usp=drivesdk")</f>
        <v>https://drive.google.com/file/d/1C-dg3QXi7PiNOBOaj43qMSWLBLUW_fy8/view?usp=drivesdk</v>
      </c>
      <c r="D1809" s="12"/>
      <c r="E1809" s="13">
        <v>1859.0</v>
      </c>
      <c r="F1809" s="2"/>
    </row>
    <row r="1810" ht="1.5" customHeight="1">
      <c r="A1810" s="4" t="str">
        <f>IFERROR(__xludf.DUMMYFUNCTION("""COMPUTED_VALUE"""),"1. Microwave")</f>
        <v>1. Microwave</v>
      </c>
      <c r="B1810" s="4" t="str">
        <f>IFERROR(__xludf.DUMMYFUNCTION("""COMPUTED_VALUE"""),"1")</f>
        <v>1</v>
      </c>
      <c r="C1810" s="5" t="str">
        <f>IFERROR(__xludf.DUMMYFUNCTION("""COMPUTED_VALUE"""),"https://drive.google.com/file/d/1BsjMeHr-rQb3YyrMR3zbhscaPPphfi5f/view?usp=drivesdk")</f>
        <v>https://drive.google.com/file/d/1BsjMeHr-rQb3YyrMR3zbhscaPPphfi5f/view?usp=drivesdk</v>
      </c>
      <c r="D1810" s="12"/>
      <c r="E1810" s="13">
        <v>1860.0</v>
      </c>
      <c r="F1810" s="2"/>
    </row>
    <row r="1811" ht="1.5" customHeight="1">
      <c r="A1811" s="4" t="str">
        <f>IFERROR(__xludf.DUMMYFUNCTION("""COMPUTED_VALUE"""),"1. Microwave")</f>
        <v>1. Microwave</v>
      </c>
      <c r="B1811" s="4" t="str">
        <f>IFERROR(__xludf.DUMMYFUNCTION("""COMPUTED_VALUE"""),"1")</f>
        <v>1</v>
      </c>
      <c r="C1811" s="5" t="str">
        <f>IFERROR(__xludf.DUMMYFUNCTION("""COMPUTED_VALUE"""),"https://drive.google.com/file/d/1Wbng6n8AKLesX6wjUEDe8Qi8n_4-rcBL/view?usp=drivesdk")</f>
        <v>https://drive.google.com/file/d/1Wbng6n8AKLesX6wjUEDe8Qi8n_4-rcBL/view?usp=drivesdk</v>
      </c>
      <c r="D1811" s="12"/>
      <c r="E1811" s="13">
        <v>1861.0</v>
      </c>
      <c r="F1811" s="2"/>
    </row>
    <row r="1812" ht="1.5" customHeight="1">
      <c r="A1812" s="4" t="str">
        <f>IFERROR(__xludf.DUMMYFUNCTION("""COMPUTED_VALUE"""),"1. Microwave")</f>
        <v>1. Microwave</v>
      </c>
      <c r="B1812" s="4" t="str">
        <f>IFERROR(__xludf.DUMMYFUNCTION("""COMPUTED_VALUE"""),"1")</f>
        <v>1</v>
      </c>
      <c r="C1812" s="5" t="str">
        <f>IFERROR(__xludf.DUMMYFUNCTION("""COMPUTED_VALUE"""),"https://drive.google.com/file/d/1YeF6jotIjO9DTHjg3q5MYR626wkExSXf/view?usp=drivesdk")</f>
        <v>https://drive.google.com/file/d/1YeF6jotIjO9DTHjg3q5MYR626wkExSXf/view?usp=drivesdk</v>
      </c>
      <c r="D1812" s="12"/>
      <c r="E1812" s="13">
        <v>1862.0</v>
      </c>
      <c r="F1812" s="2"/>
    </row>
    <row r="1813" ht="1.5" customHeight="1">
      <c r="A1813" s="4" t="str">
        <f>IFERROR(__xludf.DUMMYFUNCTION("""COMPUTED_VALUE"""),"1. Microwave")</f>
        <v>1. Microwave</v>
      </c>
      <c r="B1813" s="4" t="str">
        <f>IFERROR(__xludf.DUMMYFUNCTION("""COMPUTED_VALUE"""),"1")</f>
        <v>1</v>
      </c>
      <c r="C1813" s="5" t="str">
        <f>IFERROR(__xludf.DUMMYFUNCTION("""COMPUTED_VALUE"""),"https://drive.google.com/file/d/1bBV9ybUvNIrR7DwC5HTcMoxa-YtCt-dj/view?usp=drivesdk")</f>
        <v>https://drive.google.com/file/d/1bBV9ybUvNIrR7DwC5HTcMoxa-YtCt-dj/view?usp=drivesdk</v>
      </c>
      <c r="D1813" s="12"/>
      <c r="E1813" s="13">
        <v>1863.0</v>
      </c>
      <c r="F1813" s="2"/>
    </row>
    <row r="1814" ht="1.5" customHeight="1">
      <c r="A1814" s="4" t="str">
        <f>IFERROR(__xludf.DUMMYFUNCTION("""COMPUTED_VALUE"""),"1. Microwave")</f>
        <v>1. Microwave</v>
      </c>
      <c r="B1814" s="4" t="str">
        <f>IFERROR(__xludf.DUMMYFUNCTION("""COMPUTED_VALUE"""),"1")</f>
        <v>1</v>
      </c>
      <c r="C1814" s="5" t="str">
        <f>IFERROR(__xludf.DUMMYFUNCTION("""COMPUTED_VALUE"""),"https://drive.google.com/file/d/12gJlfaM5uTtCFFaRcKgRKZ0hfKkGZQPx/view?usp=drivesdk")</f>
        <v>https://drive.google.com/file/d/12gJlfaM5uTtCFFaRcKgRKZ0hfKkGZQPx/view?usp=drivesdk</v>
      </c>
      <c r="D1814" s="12"/>
      <c r="E1814" s="13">
        <v>1864.0</v>
      </c>
      <c r="F1814" s="2"/>
    </row>
    <row r="1815" ht="1.5" customHeight="1">
      <c r="A1815" s="4" t="str">
        <f>IFERROR(__xludf.DUMMYFUNCTION("""COMPUTED_VALUE"""),"1. Microwave")</f>
        <v>1. Microwave</v>
      </c>
      <c r="B1815" s="4" t="str">
        <f>IFERROR(__xludf.DUMMYFUNCTION("""COMPUTED_VALUE"""),"1")</f>
        <v>1</v>
      </c>
      <c r="C1815" s="5" t="str">
        <f>IFERROR(__xludf.DUMMYFUNCTION("""COMPUTED_VALUE"""),"https://drive.google.com/file/d/18qvmAsX5g2H_gVxbPDQLfiVVsKLojHfX/view?usp=drivesdk")</f>
        <v>https://drive.google.com/file/d/18qvmAsX5g2H_gVxbPDQLfiVVsKLojHfX/view?usp=drivesdk</v>
      </c>
      <c r="D1815" s="12"/>
      <c r="E1815" s="13">
        <v>1865.0</v>
      </c>
      <c r="F1815" s="2"/>
    </row>
    <row r="1816" ht="1.5" customHeight="1">
      <c r="A1816" s="4" t="str">
        <f>IFERROR(__xludf.DUMMYFUNCTION("""COMPUTED_VALUE"""),"1. Microwave")</f>
        <v>1. Microwave</v>
      </c>
      <c r="B1816" s="4" t="str">
        <f>IFERROR(__xludf.DUMMYFUNCTION("""COMPUTED_VALUE"""),"1")</f>
        <v>1</v>
      </c>
      <c r="C1816" s="5" t="str">
        <f>IFERROR(__xludf.DUMMYFUNCTION("""COMPUTED_VALUE"""),"https://drive.google.com/file/d/1r4lz_nlbuvlbwLMePerHYYf0QgAVirCp/view?usp=drivesdk")</f>
        <v>https://drive.google.com/file/d/1r4lz_nlbuvlbwLMePerHYYf0QgAVirCp/view?usp=drivesdk</v>
      </c>
      <c r="D1816" s="12"/>
      <c r="E1816" s="13">
        <v>1866.0</v>
      </c>
      <c r="F1816" s="2"/>
    </row>
    <row r="1817" ht="1.5" customHeight="1">
      <c r="A1817" s="4" t="str">
        <f>IFERROR(__xludf.DUMMYFUNCTION("""COMPUTED_VALUE"""),"1. Microwave")</f>
        <v>1. Microwave</v>
      </c>
      <c r="B1817" s="4" t="str">
        <f>IFERROR(__xludf.DUMMYFUNCTION("""COMPUTED_VALUE"""),"1")</f>
        <v>1</v>
      </c>
      <c r="C1817" s="5" t="str">
        <f>IFERROR(__xludf.DUMMYFUNCTION("""COMPUTED_VALUE"""),"https://drive.google.com/file/d/1NsL-SB5KxTw8uK5RJg5kLGwk7dvDrL6T/view?usp=drivesdk")</f>
        <v>https://drive.google.com/file/d/1NsL-SB5KxTw8uK5RJg5kLGwk7dvDrL6T/view?usp=drivesdk</v>
      </c>
      <c r="D1817" s="12"/>
      <c r="E1817" s="13">
        <v>1867.0</v>
      </c>
      <c r="F1817" s="2"/>
    </row>
    <row r="1818" ht="1.5" customHeight="1">
      <c r="A1818" s="4" t="str">
        <f>IFERROR(__xludf.DUMMYFUNCTION("""COMPUTED_VALUE"""),"1. Microwave")</f>
        <v>1. Microwave</v>
      </c>
      <c r="B1818" s="4" t="str">
        <f>IFERROR(__xludf.DUMMYFUNCTION("""COMPUTED_VALUE"""),"1")</f>
        <v>1</v>
      </c>
      <c r="C1818" s="5" t="str">
        <f>IFERROR(__xludf.DUMMYFUNCTION("""COMPUTED_VALUE"""),"https://drive.google.com/file/d/129xpofL45ddl_yMUTxGh3GMxSGZT0N6D/view?usp=drivesdk")</f>
        <v>https://drive.google.com/file/d/129xpofL45ddl_yMUTxGh3GMxSGZT0N6D/view?usp=drivesdk</v>
      </c>
      <c r="D1818" s="12"/>
      <c r="E1818" s="13">
        <v>1868.0</v>
      </c>
      <c r="F1818" s="2"/>
    </row>
    <row r="1819" ht="1.5" customHeight="1">
      <c r="A1819" s="4" t="str">
        <f>IFERROR(__xludf.DUMMYFUNCTION("""COMPUTED_VALUE"""),"1. Microwave")</f>
        <v>1. Microwave</v>
      </c>
      <c r="B1819" s="4" t="str">
        <f>IFERROR(__xludf.DUMMYFUNCTION("""COMPUTED_VALUE"""),"1")</f>
        <v>1</v>
      </c>
      <c r="C1819" s="5" t="str">
        <f>IFERROR(__xludf.DUMMYFUNCTION("""COMPUTED_VALUE"""),"https://drive.google.com/file/d/1KqTQaA7HcGgYJk4JyFnmUJU0_VHutoFh/view?usp=drivesdk")</f>
        <v>https://drive.google.com/file/d/1KqTQaA7HcGgYJk4JyFnmUJU0_VHutoFh/view?usp=drivesdk</v>
      </c>
      <c r="D1819" s="12"/>
      <c r="E1819" s="13">
        <v>1869.0</v>
      </c>
      <c r="F1819" s="2"/>
    </row>
    <row r="1820" ht="1.5" customHeight="1">
      <c r="A1820" s="4" t="str">
        <f>IFERROR(__xludf.DUMMYFUNCTION("""COMPUTED_VALUE"""),"1. Microwave")</f>
        <v>1. Microwave</v>
      </c>
      <c r="B1820" s="4" t="str">
        <f>IFERROR(__xludf.DUMMYFUNCTION("""COMPUTED_VALUE"""),"1")</f>
        <v>1</v>
      </c>
      <c r="C1820" s="5" t="str">
        <f>IFERROR(__xludf.DUMMYFUNCTION("""COMPUTED_VALUE"""),"https://drive.google.com/file/d/1Bh9doDpmibEr4ncglNZ4DdWKm7KFRxJZ/view?usp=drivesdk")</f>
        <v>https://drive.google.com/file/d/1Bh9doDpmibEr4ncglNZ4DdWKm7KFRxJZ/view?usp=drivesdk</v>
      </c>
      <c r="D1820" s="12"/>
      <c r="E1820" s="13">
        <v>1870.0</v>
      </c>
      <c r="F1820" s="2"/>
    </row>
    <row r="1821" ht="1.5" customHeight="1">
      <c r="A1821" s="4" t="str">
        <f>IFERROR(__xludf.DUMMYFUNCTION("""COMPUTED_VALUE"""),"1. Microwave")</f>
        <v>1. Microwave</v>
      </c>
      <c r="B1821" s="4" t="str">
        <f>IFERROR(__xludf.DUMMYFUNCTION("""COMPUTED_VALUE"""),"1")</f>
        <v>1</v>
      </c>
      <c r="C1821" s="5" t="str">
        <f>IFERROR(__xludf.DUMMYFUNCTION("""COMPUTED_VALUE"""),"https://drive.google.com/file/d/1-QVwwR6tSY7ey4lfNZNPf80N1htcZ47T/view?usp=drivesdk")</f>
        <v>https://drive.google.com/file/d/1-QVwwR6tSY7ey4lfNZNPf80N1htcZ47T/view?usp=drivesdk</v>
      </c>
      <c r="D1821" s="12"/>
      <c r="E1821" s="13">
        <v>1871.0</v>
      </c>
      <c r="F1821" s="2"/>
    </row>
    <row r="1822" ht="1.5" customHeight="1">
      <c r="A1822" s="4" t="str">
        <f>IFERROR(__xludf.DUMMYFUNCTION("""COMPUTED_VALUE"""),"1. Microwave")</f>
        <v>1. Microwave</v>
      </c>
      <c r="B1822" s="4" t="str">
        <f>IFERROR(__xludf.DUMMYFUNCTION("""COMPUTED_VALUE"""),"1")</f>
        <v>1</v>
      </c>
      <c r="C1822" s="5" t="str">
        <f>IFERROR(__xludf.DUMMYFUNCTION("""COMPUTED_VALUE"""),"https://drive.google.com/file/d/1yu22I_7VY-A14O3694j0IAzGGgEzY6IL/view?usp=drivesdk")</f>
        <v>https://drive.google.com/file/d/1yu22I_7VY-A14O3694j0IAzGGgEzY6IL/view?usp=drivesdk</v>
      </c>
      <c r="D1822" s="12"/>
      <c r="E1822" s="13">
        <v>1872.0</v>
      </c>
      <c r="F1822" s="2"/>
    </row>
    <row r="1823" ht="1.5" customHeight="1">
      <c r="A1823" s="4" t="str">
        <f>IFERROR(__xludf.DUMMYFUNCTION("""COMPUTED_VALUE"""),"1. Microwave")</f>
        <v>1. Microwave</v>
      </c>
      <c r="B1823" s="4" t="str">
        <f>IFERROR(__xludf.DUMMYFUNCTION("""COMPUTED_VALUE"""),"1")</f>
        <v>1</v>
      </c>
      <c r="C1823" s="5" t="str">
        <f>IFERROR(__xludf.DUMMYFUNCTION("""COMPUTED_VALUE"""),"https://drive.google.com/file/d/17TDlnprWaO-rlqDbcxbpW9AQ74uX1y1Z/view?usp=drivesdk")</f>
        <v>https://drive.google.com/file/d/17TDlnprWaO-rlqDbcxbpW9AQ74uX1y1Z/view?usp=drivesdk</v>
      </c>
      <c r="D1823" s="12"/>
      <c r="E1823" s="13">
        <v>1873.0</v>
      </c>
      <c r="F1823" s="2"/>
    </row>
    <row r="1824" ht="1.5" customHeight="1">
      <c r="A1824" s="4" t="str">
        <f>IFERROR(__xludf.DUMMYFUNCTION("""COMPUTED_VALUE"""),"1. Microwave")</f>
        <v>1. Microwave</v>
      </c>
      <c r="B1824" s="4" t="str">
        <f>IFERROR(__xludf.DUMMYFUNCTION("""COMPUTED_VALUE"""),"1")</f>
        <v>1</v>
      </c>
      <c r="C1824" s="5" t="str">
        <f>IFERROR(__xludf.DUMMYFUNCTION("""COMPUTED_VALUE"""),"https://drive.google.com/file/d/1-8CbIciYchocgycpg7H5GLPKheaQ18RX/view?usp=drivesdk")</f>
        <v>https://drive.google.com/file/d/1-8CbIciYchocgycpg7H5GLPKheaQ18RX/view?usp=drivesdk</v>
      </c>
      <c r="D1824" s="12"/>
      <c r="E1824" s="13">
        <v>1874.0</v>
      </c>
      <c r="F1824" s="2"/>
    </row>
    <row r="1825" ht="1.5" customHeight="1">
      <c r="A1825" s="4" t="str">
        <f>IFERROR(__xludf.DUMMYFUNCTION("""COMPUTED_VALUE"""),"1. Microwave")</f>
        <v>1. Microwave</v>
      </c>
      <c r="B1825" s="4" t="str">
        <f>IFERROR(__xludf.DUMMYFUNCTION("""COMPUTED_VALUE"""),"1")</f>
        <v>1</v>
      </c>
      <c r="C1825" s="5" t="str">
        <f>IFERROR(__xludf.DUMMYFUNCTION("""COMPUTED_VALUE"""),"https://drive.google.com/file/d/16bvYG51vIq0Db1mR8CMw46AwMONaOpvP/view?usp=drivesdk")</f>
        <v>https://drive.google.com/file/d/16bvYG51vIq0Db1mR8CMw46AwMONaOpvP/view?usp=drivesdk</v>
      </c>
      <c r="D1825" s="12"/>
      <c r="E1825" s="13">
        <v>1875.0</v>
      </c>
      <c r="F1825" s="2"/>
    </row>
    <row r="1826" ht="1.5" customHeight="1">
      <c r="A1826" s="4" t="str">
        <f>IFERROR(__xludf.DUMMYFUNCTION("""COMPUTED_VALUE"""),"1. Microwave")</f>
        <v>1. Microwave</v>
      </c>
      <c r="B1826" s="4" t="str">
        <f>IFERROR(__xludf.DUMMYFUNCTION("""COMPUTED_VALUE"""),"1")</f>
        <v>1</v>
      </c>
      <c r="C1826" s="5" t="str">
        <f>IFERROR(__xludf.DUMMYFUNCTION("""COMPUTED_VALUE"""),"https://drive.google.com/file/d/1OHZ6heKdYV95Jjuoq4yKrZMSl3on8XT-/view?usp=drivesdk")</f>
        <v>https://drive.google.com/file/d/1OHZ6heKdYV95Jjuoq4yKrZMSl3on8XT-/view?usp=drivesdk</v>
      </c>
      <c r="D1826" s="12"/>
      <c r="E1826" s="13">
        <v>1876.0</v>
      </c>
      <c r="F1826" s="2"/>
    </row>
    <row r="1827" ht="1.5" customHeight="1">
      <c r="A1827" s="4" t="str">
        <f>IFERROR(__xludf.DUMMYFUNCTION("""COMPUTED_VALUE"""),"20. Citlali")</f>
        <v>20. Citlali</v>
      </c>
      <c r="B1827" s="4" t="str">
        <f>IFERROR(__xludf.DUMMYFUNCTION("""COMPUTED_VALUE"""),"20")</f>
        <v>20</v>
      </c>
      <c r="C1827" s="5" t="str">
        <f>IFERROR(__xludf.DUMMYFUNCTION("""COMPUTED_VALUE"""),"https://drive.google.com/file/d/1eBUADu2w6Tfc_Q_VMQ3izdjbscfz14yg/view?usp=drivesdk")</f>
        <v>https://drive.google.com/file/d/1eBUADu2w6Tfc_Q_VMQ3izdjbscfz14yg/view?usp=drivesdk</v>
      </c>
      <c r="D1827" s="12"/>
      <c r="E1827" s="13">
        <v>1877.0</v>
      </c>
      <c r="F1827" s="2"/>
    </row>
    <row r="1828" ht="1.5" customHeight="1">
      <c r="A1828" s="4" t="str">
        <f>IFERROR(__xludf.DUMMYFUNCTION("""COMPUTED_VALUE"""),"20. Citlali")</f>
        <v>20. Citlali</v>
      </c>
      <c r="B1828" s="4" t="str">
        <f>IFERROR(__xludf.DUMMYFUNCTION("""COMPUTED_VALUE"""),"20")</f>
        <v>20</v>
      </c>
      <c r="C1828" s="5" t="str">
        <f>IFERROR(__xludf.DUMMYFUNCTION("""COMPUTED_VALUE"""),"https://drive.google.com/file/d/1hgBhbgKdfGhiI8v01jYyHjWgUyQheWkj/view?usp=drivesdk")</f>
        <v>https://drive.google.com/file/d/1hgBhbgKdfGhiI8v01jYyHjWgUyQheWkj/view?usp=drivesdk</v>
      </c>
      <c r="D1828" s="12"/>
      <c r="E1828" s="13">
        <v>1878.0</v>
      </c>
      <c r="F1828" s="2"/>
    </row>
    <row r="1829" ht="1.5" customHeight="1">
      <c r="A1829" s="4" t="str">
        <f>IFERROR(__xludf.DUMMYFUNCTION("""COMPUTED_VALUE"""),"20. Citlali")</f>
        <v>20. Citlali</v>
      </c>
      <c r="B1829" s="4" t="str">
        <f>IFERROR(__xludf.DUMMYFUNCTION("""COMPUTED_VALUE"""),"20")</f>
        <v>20</v>
      </c>
      <c r="C1829" s="5" t="str">
        <f>IFERROR(__xludf.DUMMYFUNCTION("""COMPUTED_VALUE"""),"https://drive.google.com/file/d/14qpqGGvs0MeDgLS0eeOA5YxuoH8A9ZUs/view?usp=drivesdk")</f>
        <v>https://drive.google.com/file/d/14qpqGGvs0MeDgLS0eeOA5YxuoH8A9ZUs/view?usp=drivesdk</v>
      </c>
      <c r="D1829" s="12"/>
      <c r="E1829" s="13">
        <v>1879.0</v>
      </c>
      <c r="F1829" s="2"/>
    </row>
    <row r="1830" ht="1.5" customHeight="1">
      <c r="A1830" s="4" t="str">
        <f>IFERROR(__xludf.DUMMYFUNCTION("""COMPUTED_VALUE"""),"20. Citlali")</f>
        <v>20. Citlali</v>
      </c>
      <c r="B1830" s="4" t="str">
        <f>IFERROR(__xludf.DUMMYFUNCTION("""COMPUTED_VALUE"""),"20")</f>
        <v>20</v>
      </c>
      <c r="C1830" s="5" t="str">
        <f>IFERROR(__xludf.DUMMYFUNCTION("""COMPUTED_VALUE"""),"https://drive.google.com/file/d/17ZZPvyZqHQUtHXe7K9BzA0-TOPRhHAre/view?usp=drivesdk")</f>
        <v>https://drive.google.com/file/d/17ZZPvyZqHQUtHXe7K9BzA0-TOPRhHAre/view?usp=drivesdk</v>
      </c>
      <c r="D1830" s="12"/>
      <c r="E1830" s="13">
        <v>1880.0</v>
      </c>
      <c r="F1830" s="2"/>
    </row>
    <row r="1831" ht="1.5" customHeight="1">
      <c r="A1831" s="4" t="str">
        <f>IFERROR(__xludf.DUMMYFUNCTION("""COMPUTED_VALUE"""),"20. Citlali")</f>
        <v>20. Citlali</v>
      </c>
      <c r="B1831" s="4" t="str">
        <f>IFERROR(__xludf.DUMMYFUNCTION("""COMPUTED_VALUE"""),"20")</f>
        <v>20</v>
      </c>
      <c r="C1831" s="5" t="str">
        <f>IFERROR(__xludf.DUMMYFUNCTION("""COMPUTED_VALUE"""),"https://drive.google.com/file/d/12tNYlByCJTNGGZbXS0WfX5DCilMz6gew/view?usp=drivesdk")</f>
        <v>https://drive.google.com/file/d/12tNYlByCJTNGGZbXS0WfX5DCilMz6gew/view?usp=drivesdk</v>
      </c>
      <c r="D1831" s="12"/>
      <c r="E1831" s="13">
        <v>1881.0</v>
      </c>
      <c r="F1831" s="2"/>
    </row>
    <row r="1832" ht="1.5" customHeight="1">
      <c r="A1832" s="4" t="str">
        <f>IFERROR(__xludf.DUMMYFUNCTION("""COMPUTED_VALUE"""),"20. Citlali")</f>
        <v>20. Citlali</v>
      </c>
      <c r="B1832" s="4" t="str">
        <f>IFERROR(__xludf.DUMMYFUNCTION("""COMPUTED_VALUE"""),"20")</f>
        <v>20</v>
      </c>
      <c r="C1832" s="5" t="str">
        <f>IFERROR(__xludf.DUMMYFUNCTION("""COMPUTED_VALUE"""),"https://drive.google.com/file/d/1cmt--JskXUztcSpEQ2Egav64pX1WWdY7/view?usp=drivesdk")</f>
        <v>https://drive.google.com/file/d/1cmt--JskXUztcSpEQ2Egav64pX1WWdY7/view?usp=drivesdk</v>
      </c>
      <c r="D1832" s="12"/>
      <c r="E1832" s="13">
        <v>1882.0</v>
      </c>
      <c r="F1832" s="2"/>
    </row>
    <row r="1833" ht="1.5" customHeight="1">
      <c r="A1833" s="4" t="str">
        <f>IFERROR(__xludf.DUMMYFUNCTION("""COMPUTED_VALUE"""),"20. Citlali")</f>
        <v>20. Citlali</v>
      </c>
      <c r="B1833" s="4" t="str">
        <f>IFERROR(__xludf.DUMMYFUNCTION("""COMPUTED_VALUE"""),"20")</f>
        <v>20</v>
      </c>
      <c r="C1833" s="5" t="str">
        <f>IFERROR(__xludf.DUMMYFUNCTION("""COMPUTED_VALUE"""),"https://drive.google.com/file/d/1W7Rvsv6hR0G1r7PUweQEXcchjk-6trxN/view?usp=drivesdk")</f>
        <v>https://drive.google.com/file/d/1W7Rvsv6hR0G1r7PUweQEXcchjk-6trxN/view?usp=drivesdk</v>
      </c>
      <c r="D1833" s="12"/>
      <c r="E1833" s="13">
        <v>1883.0</v>
      </c>
      <c r="F1833" s="2"/>
    </row>
    <row r="1834" ht="1.5" customHeight="1">
      <c r="A1834" s="4" t="str">
        <f>IFERROR(__xludf.DUMMYFUNCTION("""COMPUTED_VALUE"""),"20. Citlali")</f>
        <v>20. Citlali</v>
      </c>
      <c r="B1834" s="4" t="str">
        <f>IFERROR(__xludf.DUMMYFUNCTION("""COMPUTED_VALUE"""),"20")</f>
        <v>20</v>
      </c>
      <c r="C1834" s="5" t="str">
        <f>IFERROR(__xludf.DUMMYFUNCTION("""COMPUTED_VALUE"""),"https://drive.google.com/file/d/1cHQghi0MgdWFT2vziDQOOvxPw4WivY2a/view?usp=drivesdk")</f>
        <v>https://drive.google.com/file/d/1cHQghi0MgdWFT2vziDQOOvxPw4WivY2a/view?usp=drivesdk</v>
      </c>
      <c r="D1834" s="12"/>
      <c r="E1834" s="13">
        <v>1884.0</v>
      </c>
      <c r="F1834" s="2"/>
    </row>
    <row r="1835" ht="1.5" customHeight="1">
      <c r="A1835" s="4" t="str">
        <f>IFERROR(__xludf.DUMMYFUNCTION("""COMPUTED_VALUE"""),"20. Citlali")</f>
        <v>20. Citlali</v>
      </c>
      <c r="B1835" s="4" t="str">
        <f>IFERROR(__xludf.DUMMYFUNCTION("""COMPUTED_VALUE"""),"20")</f>
        <v>20</v>
      </c>
      <c r="C1835" s="5" t="str">
        <f>IFERROR(__xludf.DUMMYFUNCTION("""COMPUTED_VALUE"""),"https://drive.google.com/file/d/1njelYDN1ETu9YC-3Ue8jRYhYOzWWMYmA/view?usp=drivesdk")</f>
        <v>https://drive.google.com/file/d/1njelYDN1ETu9YC-3Ue8jRYhYOzWWMYmA/view?usp=drivesdk</v>
      </c>
      <c r="D1835" s="12"/>
      <c r="E1835" s="13">
        <v>1885.0</v>
      </c>
      <c r="F1835" s="2"/>
    </row>
    <row r="1836" ht="1.5" customHeight="1">
      <c r="A1836" s="4" t="str">
        <f>IFERROR(__xludf.DUMMYFUNCTION("""COMPUTED_VALUE"""),"20. Citlali")</f>
        <v>20. Citlali</v>
      </c>
      <c r="B1836" s="4" t="str">
        <f>IFERROR(__xludf.DUMMYFUNCTION("""COMPUTED_VALUE"""),"20")</f>
        <v>20</v>
      </c>
      <c r="C1836" s="5" t="str">
        <f>IFERROR(__xludf.DUMMYFUNCTION("""COMPUTED_VALUE"""),"https://drive.google.com/file/d/1gNeURtjJDDZhl_5x6qbJagodaN8pRR8F/view?usp=drivesdk")</f>
        <v>https://drive.google.com/file/d/1gNeURtjJDDZhl_5x6qbJagodaN8pRR8F/view?usp=drivesdk</v>
      </c>
      <c r="D1836" s="12"/>
      <c r="E1836" s="13">
        <v>1886.0</v>
      </c>
      <c r="F1836" s="2"/>
    </row>
    <row r="1837" ht="1.5" customHeight="1">
      <c r="A1837" s="4" t="str">
        <f>IFERROR(__xludf.DUMMYFUNCTION("""COMPUTED_VALUE"""),"20. Citlali")</f>
        <v>20. Citlali</v>
      </c>
      <c r="B1837" s="4" t="str">
        <f>IFERROR(__xludf.DUMMYFUNCTION("""COMPUTED_VALUE"""),"20")</f>
        <v>20</v>
      </c>
      <c r="C1837" s="5" t="str">
        <f>IFERROR(__xludf.DUMMYFUNCTION("""COMPUTED_VALUE"""),"https://drive.google.com/file/d/1lxeYeZ-0MBxaolOI6m2ccd82ZcZCAAcH/view?usp=drivesdk")</f>
        <v>https://drive.google.com/file/d/1lxeYeZ-0MBxaolOI6m2ccd82ZcZCAAcH/view?usp=drivesdk</v>
      </c>
      <c r="D1837" s="12"/>
      <c r="E1837" s="13">
        <v>1887.0</v>
      </c>
      <c r="F1837" s="2"/>
    </row>
    <row r="1838" ht="1.5" customHeight="1">
      <c r="A1838" s="4" t="str">
        <f>IFERROR(__xludf.DUMMYFUNCTION("""COMPUTED_VALUE"""),"20. Citlali")</f>
        <v>20. Citlali</v>
      </c>
      <c r="B1838" s="4" t="str">
        <f>IFERROR(__xludf.DUMMYFUNCTION("""COMPUTED_VALUE"""),"20")</f>
        <v>20</v>
      </c>
      <c r="C1838" s="5" t="str">
        <f>IFERROR(__xludf.DUMMYFUNCTION("""COMPUTED_VALUE"""),"https://drive.google.com/file/d/1ka8JX_SCaFoTctA6mMU6v-yfGe-bHXss/view?usp=drivesdk")</f>
        <v>https://drive.google.com/file/d/1ka8JX_SCaFoTctA6mMU6v-yfGe-bHXss/view?usp=drivesdk</v>
      </c>
      <c r="D1838" s="12"/>
      <c r="E1838" s="13">
        <v>1888.0</v>
      </c>
      <c r="F1838" s="2"/>
    </row>
    <row r="1839" ht="1.5" customHeight="1">
      <c r="A1839" s="4" t="str">
        <f>IFERROR(__xludf.DUMMYFUNCTION("""COMPUTED_VALUE"""),"20. Citlali")</f>
        <v>20. Citlali</v>
      </c>
      <c r="B1839" s="4" t="str">
        <f>IFERROR(__xludf.DUMMYFUNCTION("""COMPUTED_VALUE"""),"20")</f>
        <v>20</v>
      </c>
      <c r="C1839" s="5" t="str">
        <f>IFERROR(__xludf.DUMMYFUNCTION("""COMPUTED_VALUE"""),"https://drive.google.com/file/d/1H16knJzP4o_XDqmFheIjAwRJEWGtv01t/view?usp=drivesdk")</f>
        <v>https://drive.google.com/file/d/1H16knJzP4o_XDqmFheIjAwRJEWGtv01t/view?usp=drivesdk</v>
      </c>
      <c r="D1839" s="12"/>
      <c r="E1839" s="13">
        <v>1889.0</v>
      </c>
      <c r="F1839" s="2"/>
    </row>
    <row r="1840" ht="1.5" customHeight="1">
      <c r="A1840" s="4" t="str">
        <f>IFERROR(__xludf.DUMMYFUNCTION("""COMPUTED_VALUE"""),"20. Citlali")</f>
        <v>20. Citlali</v>
      </c>
      <c r="B1840" s="4" t="str">
        <f>IFERROR(__xludf.DUMMYFUNCTION("""COMPUTED_VALUE"""),"20")</f>
        <v>20</v>
      </c>
      <c r="C1840" s="5" t="str">
        <f>IFERROR(__xludf.DUMMYFUNCTION("""COMPUTED_VALUE"""),"https://drive.google.com/file/d/1y4BC6SIhBv0gTcOHZV1rsD6bBYWQ4_Q1/view?usp=drivesdk")</f>
        <v>https://drive.google.com/file/d/1y4BC6SIhBv0gTcOHZV1rsD6bBYWQ4_Q1/view?usp=drivesdk</v>
      </c>
      <c r="D1840" s="12"/>
      <c r="E1840" s="13">
        <v>1890.0</v>
      </c>
      <c r="F1840" s="2"/>
    </row>
    <row r="1841" ht="1.5" customHeight="1">
      <c r="A1841" s="4" t="str">
        <f>IFERROR(__xludf.DUMMYFUNCTION("""COMPUTED_VALUE"""),"20. Citlali")</f>
        <v>20. Citlali</v>
      </c>
      <c r="B1841" s="4" t="str">
        <f>IFERROR(__xludf.DUMMYFUNCTION("""COMPUTED_VALUE"""),"20")</f>
        <v>20</v>
      </c>
      <c r="C1841" s="5" t="str">
        <f>IFERROR(__xludf.DUMMYFUNCTION("""COMPUTED_VALUE"""),"https://drive.google.com/file/d/11WT3GYAwNzvDE2vk4ulIzfNqM3yr2djN/view?usp=drivesdk")</f>
        <v>https://drive.google.com/file/d/11WT3GYAwNzvDE2vk4ulIzfNqM3yr2djN/view?usp=drivesdk</v>
      </c>
      <c r="D1841" s="12"/>
      <c r="E1841" s="13">
        <v>1891.0</v>
      </c>
      <c r="F1841" s="2"/>
    </row>
    <row r="1842" ht="1.5" customHeight="1">
      <c r="A1842" s="4" t="str">
        <f>IFERROR(__xludf.DUMMYFUNCTION("""COMPUTED_VALUE"""),"1. Microwave")</f>
        <v>1. Microwave</v>
      </c>
      <c r="B1842" s="4" t="str">
        <f>IFERROR(__xludf.DUMMYFUNCTION("""COMPUTED_VALUE"""),"1")</f>
        <v>1</v>
      </c>
      <c r="C1842" s="5" t="str">
        <f>IFERROR(__xludf.DUMMYFUNCTION("""COMPUTED_VALUE"""),"https://drive.google.com/file/d/1c8FekfKA_QBacmmqCDvMGCg0dXZ4mwe4/view?usp=drivesdk")</f>
        <v>https://drive.google.com/file/d/1c8FekfKA_QBacmmqCDvMGCg0dXZ4mwe4/view?usp=drivesdk</v>
      </c>
      <c r="D1842" s="12"/>
      <c r="E1842" s="13">
        <v>1892.0</v>
      </c>
      <c r="F1842" s="2"/>
    </row>
    <row r="1843" ht="1.5" customHeight="1">
      <c r="A1843" s="4" t="str">
        <f>IFERROR(__xludf.DUMMYFUNCTION("""COMPUTED_VALUE"""),"1. Microwave")</f>
        <v>1. Microwave</v>
      </c>
      <c r="B1843" s="4" t="str">
        <f>IFERROR(__xludf.DUMMYFUNCTION("""COMPUTED_VALUE"""),"1")</f>
        <v>1</v>
      </c>
      <c r="C1843" s="5" t="str">
        <f>IFERROR(__xludf.DUMMYFUNCTION("""COMPUTED_VALUE"""),"https://drive.google.com/file/d/11zD19DNavt_-h_X4Zy2KO5RWi3rd8Q-k/view?usp=drivesdk")</f>
        <v>https://drive.google.com/file/d/11zD19DNavt_-h_X4Zy2KO5RWi3rd8Q-k/view?usp=drivesdk</v>
      </c>
      <c r="D1843" s="12"/>
      <c r="E1843" s="13">
        <v>1893.0</v>
      </c>
      <c r="F1843" s="2"/>
    </row>
    <row r="1844" ht="1.5" customHeight="1">
      <c r="A1844" s="4" t="str">
        <f>IFERROR(__xludf.DUMMYFUNCTION("""COMPUTED_VALUE"""),"1. Microwave")</f>
        <v>1. Microwave</v>
      </c>
      <c r="B1844" s="4" t="str">
        <f>IFERROR(__xludf.DUMMYFUNCTION("""COMPUTED_VALUE"""),"1")</f>
        <v>1</v>
      </c>
      <c r="C1844" s="5" t="str">
        <f>IFERROR(__xludf.DUMMYFUNCTION("""COMPUTED_VALUE"""),"https://drive.google.com/file/d/1hy0L3An3zDvSfeJKHenKTmPla3eBK5Gl/view?usp=drivesdk")</f>
        <v>https://drive.google.com/file/d/1hy0L3An3zDvSfeJKHenKTmPla3eBK5Gl/view?usp=drivesdk</v>
      </c>
      <c r="D1844" s="12"/>
      <c r="E1844" s="13">
        <v>1894.0</v>
      </c>
      <c r="F1844" s="2"/>
    </row>
    <row r="1845" ht="1.5" customHeight="1">
      <c r="A1845" s="4" t="str">
        <f>IFERROR(__xludf.DUMMYFUNCTION("""COMPUTED_VALUE"""),"1. Microwave")</f>
        <v>1. Microwave</v>
      </c>
      <c r="B1845" s="4" t="str">
        <f>IFERROR(__xludf.DUMMYFUNCTION("""COMPUTED_VALUE"""),"1")</f>
        <v>1</v>
      </c>
      <c r="C1845" s="5" t="str">
        <f>IFERROR(__xludf.DUMMYFUNCTION("""COMPUTED_VALUE"""),"https://drive.google.com/file/d/1zBj1eMKJcr6HnSRa3kg8iOLERZxRdvKq/view?usp=drivesdk")</f>
        <v>https://drive.google.com/file/d/1zBj1eMKJcr6HnSRa3kg8iOLERZxRdvKq/view?usp=drivesdk</v>
      </c>
      <c r="D1845" s="12"/>
      <c r="E1845" s="13">
        <v>1895.0</v>
      </c>
      <c r="F1845" s="2"/>
    </row>
    <row r="1846" ht="1.5" customHeight="1">
      <c r="A1846" s="4" t="str">
        <f>IFERROR(__xludf.DUMMYFUNCTION("""COMPUTED_VALUE"""),"1. Microwave")</f>
        <v>1. Microwave</v>
      </c>
      <c r="B1846" s="4" t="str">
        <f>IFERROR(__xludf.DUMMYFUNCTION("""COMPUTED_VALUE"""),"1")</f>
        <v>1</v>
      </c>
      <c r="C1846" s="5" t="str">
        <f>IFERROR(__xludf.DUMMYFUNCTION("""COMPUTED_VALUE"""),"https://drive.google.com/file/d/1SHSxNOoVcdfrTLRSBXR9I-UdoL8mc1LI/view?usp=drivesdk")</f>
        <v>https://drive.google.com/file/d/1SHSxNOoVcdfrTLRSBXR9I-UdoL8mc1LI/view?usp=drivesdk</v>
      </c>
      <c r="D1846" s="12"/>
      <c r="E1846" s="13">
        <v>1896.0</v>
      </c>
      <c r="F1846" s="2"/>
    </row>
    <row r="1847" ht="1.5" customHeight="1">
      <c r="A1847" s="4" t="str">
        <f>IFERROR(__xludf.DUMMYFUNCTION("""COMPUTED_VALUE"""),"1. Microwave")</f>
        <v>1. Microwave</v>
      </c>
      <c r="B1847" s="4" t="str">
        <f>IFERROR(__xludf.DUMMYFUNCTION("""COMPUTED_VALUE"""),"1")</f>
        <v>1</v>
      </c>
      <c r="C1847" s="5" t="str">
        <f>IFERROR(__xludf.DUMMYFUNCTION("""COMPUTED_VALUE"""),"https://drive.google.com/file/d/1priOoB3ePntx9MiIzi1hFj266wyadDVv/view?usp=drivesdk")</f>
        <v>https://drive.google.com/file/d/1priOoB3ePntx9MiIzi1hFj266wyadDVv/view?usp=drivesdk</v>
      </c>
      <c r="D1847" s="12"/>
      <c r="E1847" s="13">
        <v>1897.0</v>
      </c>
      <c r="F1847" s="2"/>
    </row>
    <row r="1848" ht="1.5" customHeight="1">
      <c r="A1848" s="4" t="str">
        <f>IFERROR(__xludf.DUMMYFUNCTION("""COMPUTED_VALUE"""),"1. Microwave")</f>
        <v>1. Microwave</v>
      </c>
      <c r="B1848" s="4" t="str">
        <f>IFERROR(__xludf.DUMMYFUNCTION("""COMPUTED_VALUE"""),"1")</f>
        <v>1</v>
      </c>
      <c r="C1848" s="5" t="str">
        <f>IFERROR(__xludf.DUMMYFUNCTION("""COMPUTED_VALUE"""),"https://drive.google.com/file/d/1jEWYs6Lpu7-NgjPEPKPiPR7myW6OOHE6/view?usp=drivesdk")</f>
        <v>https://drive.google.com/file/d/1jEWYs6Lpu7-NgjPEPKPiPR7myW6OOHE6/view?usp=drivesdk</v>
      </c>
      <c r="D1848" s="12"/>
      <c r="E1848" s="13">
        <v>1898.0</v>
      </c>
      <c r="F1848" s="2"/>
    </row>
    <row r="1849" ht="1.5" customHeight="1">
      <c r="A1849" s="4" t="str">
        <f>IFERROR(__xludf.DUMMYFUNCTION("""COMPUTED_VALUE"""),"1. Microwave")</f>
        <v>1. Microwave</v>
      </c>
      <c r="B1849" s="4" t="str">
        <f>IFERROR(__xludf.DUMMYFUNCTION("""COMPUTED_VALUE"""),"1")</f>
        <v>1</v>
      </c>
      <c r="C1849" s="5" t="str">
        <f>IFERROR(__xludf.DUMMYFUNCTION("""COMPUTED_VALUE"""),"https://drive.google.com/file/d/1vd8sePpWUJKhETZ5efDbMhvHh_ctgx1X/view?usp=drivesdk")</f>
        <v>https://drive.google.com/file/d/1vd8sePpWUJKhETZ5efDbMhvHh_ctgx1X/view?usp=drivesdk</v>
      </c>
      <c r="D1849" s="12"/>
      <c r="E1849" s="13">
        <v>1899.0</v>
      </c>
      <c r="F1849" s="2"/>
    </row>
    <row r="1850" ht="1.5" customHeight="1">
      <c r="A1850" s="4" t="str">
        <f>IFERROR(__xludf.DUMMYFUNCTION("""COMPUTED_VALUE"""),"1. Microwave")</f>
        <v>1. Microwave</v>
      </c>
      <c r="B1850" s="4" t="str">
        <f>IFERROR(__xludf.DUMMYFUNCTION("""COMPUTED_VALUE"""),"1")</f>
        <v>1</v>
      </c>
      <c r="C1850" s="5" t="str">
        <f>IFERROR(__xludf.DUMMYFUNCTION("""COMPUTED_VALUE"""),"https://drive.google.com/file/d/1BuTZFXXzXO6m0fnzWJBcNY0hREoHl-NY/view?usp=drivesdk")</f>
        <v>https://drive.google.com/file/d/1BuTZFXXzXO6m0fnzWJBcNY0hREoHl-NY/view?usp=drivesdk</v>
      </c>
      <c r="D1850" s="12"/>
      <c r="E1850" s="13">
        <v>1900.0</v>
      </c>
      <c r="F1850" s="2"/>
    </row>
    <row r="1851" ht="1.5" customHeight="1">
      <c r="A1851" s="4" t="str">
        <f>IFERROR(__xludf.DUMMYFUNCTION("""COMPUTED_VALUE"""),"1. Microwave")</f>
        <v>1. Microwave</v>
      </c>
      <c r="B1851" s="4" t="str">
        <f>IFERROR(__xludf.DUMMYFUNCTION("""COMPUTED_VALUE"""),"1")</f>
        <v>1</v>
      </c>
      <c r="C1851" s="5" t="str">
        <f>IFERROR(__xludf.DUMMYFUNCTION("""COMPUTED_VALUE"""),"https://drive.google.com/file/d/1Xm4RbXbhQSpUhyjwnZtckmAJyKhZHZJC/view?usp=drivesdk")</f>
        <v>https://drive.google.com/file/d/1Xm4RbXbhQSpUhyjwnZtckmAJyKhZHZJC/view?usp=drivesdk</v>
      </c>
      <c r="D1851" s="12"/>
      <c r="E1851" s="13">
        <v>1901.0</v>
      </c>
      <c r="F1851" s="2"/>
    </row>
    <row r="1852" ht="1.5" customHeight="1">
      <c r="A1852" s="4" t="str">
        <f>IFERROR(__xludf.DUMMYFUNCTION("""COMPUTED_VALUE"""),"1. Microwave")</f>
        <v>1. Microwave</v>
      </c>
      <c r="B1852" s="4" t="str">
        <f>IFERROR(__xludf.DUMMYFUNCTION("""COMPUTED_VALUE"""),"1")</f>
        <v>1</v>
      </c>
      <c r="C1852" s="5" t="str">
        <f>IFERROR(__xludf.DUMMYFUNCTION("""COMPUTED_VALUE"""),"https://drive.google.com/file/d/1fC98OF2t4MYak2qgwWcPfstaBzosCIKG/view?usp=drivesdk")</f>
        <v>https://drive.google.com/file/d/1fC98OF2t4MYak2qgwWcPfstaBzosCIKG/view?usp=drivesdk</v>
      </c>
      <c r="D1852" s="12"/>
      <c r="E1852" s="13">
        <v>1902.0</v>
      </c>
      <c r="F1852" s="2"/>
    </row>
    <row r="1853" ht="1.5" customHeight="1">
      <c r="A1853" s="4" t="str">
        <f>IFERROR(__xludf.DUMMYFUNCTION("""COMPUTED_VALUE"""),"19. Rolo")</f>
        <v>19. Rolo</v>
      </c>
      <c r="B1853" s="4" t="str">
        <f>IFERROR(__xludf.DUMMYFUNCTION("""COMPUTED_VALUE"""),"19")</f>
        <v>19</v>
      </c>
      <c r="C1853" s="5" t="str">
        <f>IFERROR(__xludf.DUMMYFUNCTION("""COMPUTED_VALUE"""),"https://drive.google.com/file/d/1wz7oBDM98MUqk4kA2NdBItbDyFqK4hYR/view?usp=drivesdk")</f>
        <v>https://drive.google.com/file/d/1wz7oBDM98MUqk4kA2NdBItbDyFqK4hYR/view?usp=drivesdk</v>
      </c>
      <c r="D1853" s="12"/>
      <c r="E1853" s="13">
        <v>1903.0</v>
      </c>
      <c r="F1853" s="2"/>
    </row>
    <row r="1854" ht="1.5" customHeight="1">
      <c r="A1854" s="4" t="str">
        <f>IFERROR(__xludf.DUMMYFUNCTION("""COMPUTED_VALUE"""),"19. Rolo")</f>
        <v>19. Rolo</v>
      </c>
      <c r="B1854" s="4" t="str">
        <f>IFERROR(__xludf.DUMMYFUNCTION("""COMPUTED_VALUE"""),"19")</f>
        <v>19</v>
      </c>
      <c r="C1854" s="5" t="str">
        <f>IFERROR(__xludf.DUMMYFUNCTION("""COMPUTED_VALUE"""),"https://drive.google.com/file/d/1W1Swx8Sobh9We4GR649VK_foHbxeyTSq/view?usp=drivesdk")</f>
        <v>https://drive.google.com/file/d/1W1Swx8Sobh9We4GR649VK_foHbxeyTSq/view?usp=drivesdk</v>
      </c>
      <c r="D1854" s="12"/>
      <c r="E1854" s="13">
        <v>1904.0</v>
      </c>
      <c r="F1854" s="2"/>
    </row>
    <row r="1855" ht="1.5" customHeight="1">
      <c r="A1855" s="4" t="str">
        <f>IFERROR(__xludf.DUMMYFUNCTION("""COMPUTED_VALUE"""),"19. Rolo")</f>
        <v>19. Rolo</v>
      </c>
      <c r="B1855" s="4" t="str">
        <f>IFERROR(__xludf.DUMMYFUNCTION("""COMPUTED_VALUE"""),"19")</f>
        <v>19</v>
      </c>
      <c r="C1855" s="5" t="str">
        <f>IFERROR(__xludf.DUMMYFUNCTION("""COMPUTED_VALUE"""),"https://drive.google.com/file/d/1oCnt5OJ-oIvoU1q4LJlQfOMnqthVEKTM/view?usp=drivesdk")</f>
        <v>https://drive.google.com/file/d/1oCnt5OJ-oIvoU1q4LJlQfOMnqthVEKTM/view?usp=drivesdk</v>
      </c>
      <c r="D1855" s="12"/>
      <c r="E1855" s="13">
        <v>1905.0</v>
      </c>
      <c r="F1855" s="2"/>
    </row>
    <row r="1856" ht="1.5" customHeight="1">
      <c r="A1856" s="4" t="str">
        <f>IFERROR(__xludf.DUMMYFUNCTION("""COMPUTED_VALUE"""),"19. Rolo")</f>
        <v>19. Rolo</v>
      </c>
      <c r="B1856" s="4" t="str">
        <f>IFERROR(__xludf.DUMMYFUNCTION("""COMPUTED_VALUE"""),"19")</f>
        <v>19</v>
      </c>
      <c r="C1856" s="5" t="str">
        <f>IFERROR(__xludf.DUMMYFUNCTION("""COMPUTED_VALUE"""),"https://drive.google.com/file/d/1aBHcgM0QzJa6ZapPH4XFH5clUn_oqLNB/view?usp=drivesdk")</f>
        <v>https://drive.google.com/file/d/1aBHcgM0QzJa6ZapPH4XFH5clUn_oqLNB/view?usp=drivesdk</v>
      </c>
      <c r="D1856" s="12"/>
      <c r="E1856" s="13">
        <v>1906.0</v>
      </c>
      <c r="F1856" s="2"/>
    </row>
    <row r="1857" ht="1.5" customHeight="1">
      <c r="A1857" s="4" t="str">
        <f>IFERROR(__xludf.DUMMYFUNCTION("""COMPUTED_VALUE"""),"22. Glockenspiel")</f>
        <v>22. Glockenspiel</v>
      </c>
      <c r="B1857" s="4" t="str">
        <f>IFERROR(__xludf.DUMMYFUNCTION("""COMPUTED_VALUE"""),"22")</f>
        <v>22</v>
      </c>
      <c r="C1857" s="5" t="str">
        <f>IFERROR(__xludf.DUMMYFUNCTION("""COMPUTED_VALUE"""),"https://drive.google.com/file/d/1iBl3jOMU5XzwMWtnTm5s2pP9yRxkGwCs/view?usp=drivesdk")</f>
        <v>https://drive.google.com/file/d/1iBl3jOMU5XzwMWtnTm5s2pP9yRxkGwCs/view?usp=drivesdk</v>
      </c>
      <c r="D1857" s="12"/>
      <c r="E1857" s="13">
        <v>1907.0</v>
      </c>
      <c r="F1857" s="2"/>
    </row>
    <row r="1858" ht="1.5" customHeight="1">
      <c r="A1858" s="4" t="str">
        <f>IFERROR(__xludf.DUMMYFUNCTION("""COMPUTED_VALUE"""),"22. Glockenspiel")</f>
        <v>22. Glockenspiel</v>
      </c>
      <c r="B1858" s="4" t="str">
        <f>IFERROR(__xludf.DUMMYFUNCTION("""COMPUTED_VALUE"""),"22")</f>
        <v>22</v>
      </c>
      <c r="C1858" s="5" t="str">
        <f>IFERROR(__xludf.DUMMYFUNCTION("""COMPUTED_VALUE"""),"https://drive.google.com/file/d/1TqQbkafUt0JCIp06fzKZo_zMJlqJX1Ss/view?usp=drivesdk")</f>
        <v>https://drive.google.com/file/d/1TqQbkafUt0JCIp06fzKZo_zMJlqJX1Ss/view?usp=drivesdk</v>
      </c>
      <c r="D1858" s="12"/>
      <c r="E1858" s="13">
        <v>1908.0</v>
      </c>
      <c r="F1858" s="2"/>
    </row>
    <row r="1859" ht="1.5" customHeight="1">
      <c r="A1859" s="4" t="str">
        <f>IFERROR(__xludf.DUMMYFUNCTION("""COMPUTED_VALUE"""),"22. Glockenspiel")</f>
        <v>22. Glockenspiel</v>
      </c>
      <c r="B1859" s="4" t="str">
        <f>IFERROR(__xludf.DUMMYFUNCTION("""COMPUTED_VALUE"""),"22")</f>
        <v>22</v>
      </c>
      <c r="C1859" s="5" t="str">
        <f>IFERROR(__xludf.DUMMYFUNCTION("""COMPUTED_VALUE"""),"https://drive.google.com/file/d/1vX_jkuDTbZnC2RO3fErkLjvmViWIuDXy/view?usp=drivesdk")</f>
        <v>https://drive.google.com/file/d/1vX_jkuDTbZnC2RO3fErkLjvmViWIuDXy/view?usp=drivesdk</v>
      </c>
      <c r="D1859" s="12"/>
      <c r="E1859" s="13">
        <v>1909.0</v>
      </c>
      <c r="F1859" s="2"/>
    </row>
    <row r="1860" ht="1.5" customHeight="1">
      <c r="A1860" s="4" t="str">
        <f>IFERROR(__xludf.DUMMYFUNCTION("""COMPUTED_VALUE"""),"22. Glockenspiel")</f>
        <v>22. Glockenspiel</v>
      </c>
      <c r="B1860" s="4" t="str">
        <f>IFERROR(__xludf.DUMMYFUNCTION("""COMPUTED_VALUE"""),"22")</f>
        <v>22</v>
      </c>
      <c r="C1860" s="5" t="str">
        <f>IFERROR(__xludf.DUMMYFUNCTION("""COMPUTED_VALUE"""),"https://drive.google.com/file/d/1mmH7ZiVWCLOSpeXOcW-wdbjem0b5Q-y4/view?usp=drivesdk")</f>
        <v>https://drive.google.com/file/d/1mmH7ZiVWCLOSpeXOcW-wdbjem0b5Q-y4/view?usp=drivesdk</v>
      </c>
      <c r="D1860" s="12"/>
      <c r="E1860" s="13">
        <v>1910.0</v>
      </c>
      <c r="F1860" s="2"/>
    </row>
    <row r="1861" ht="1.5" customHeight="1">
      <c r="A1861" s="4" t="str">
        <f>IFERROR(__xludf.DUMMYFUNCTION("""COMPUTED_VALUE"""),"4. Eggs")</f>
        <v>4. Eggs</v>
      </c>
      <c r="B1861" s="4" t="str">
        <f>IFERROR(__xludf.DUMMYFUNCTION("""COMPUTED_VALUE"""),"4")</f>
        <v>4</v>
      </c>
      <c r="C1861" s="5" t="str">
        <f>IFERROR(__xludf.DUMMYFUNCTION("""COMPUTED_VALUE"""),"https://drive.google.com/file/d/1wwSDccO4809l9xfEyd18b8n6ftwYIrlH/view?usp=drivesdk")</f>
        <v>https://drive.google.com/file/d/1wwSDccO4809l9xfEyd18b8n6ftwYIrlH/view?usp=drivesdk</v>
      </c>
      <c r="D1861" s="12"/>
      <c r="E1861" s="13">
        <v>1911.0</v>
      </c>
      <c r="F1861" s="2"/>
    </row>
    <row r="1862" ht="1.5" customHeight="1">
      <c r="A1862" s="4" t="str">
        <f>IFERROR(__xludf.DUMMYFUNCTION("""COMPUTED_VALUE"""),"2. Twix")</f>
        <v>2. Twix</v>
      </c>
      <c r="B1862" s="4" t="str">
        <f>IFERROR(__xludf.DUMMYFUNCTION("""COMPUTED_VALUE"""),"2")</f>
        <v>2</v>
      </c>
      <c r="C1862" s="5" t="str">
        <f>IFERROR(__xludf.DUMMYFUNCTION("""COMPUTED_VALUE"""),"https://drive.google.com/file/d/1Lh-5E6AkJUAhzmKbqBDXTDEMs_WVdwsh/view?usp=drivesdk")</f>
        <v>https://drive.google.com/file/d/1Lh-5E6AkJUAhzmKbqBDXTDEMs_WVdwsh/view?usp=drivesdk</v>
      </c>
      <c r="D1862" s="12"/>
      <c r="E1862" s="13">
        <v>1912.0</v>
      </c>
      <c r="F1862" s="2"/>
    </row>
    <row r="1863" ht="1.5" customHeight="1">
      <c r="A1863" s="4" t="str">
        <f>IFERROR(__xludf.DUMMYFUNCTION("""COMPUTED_VALUE"""),"2. Twix")</f>
        <v>2. Twix</v>
      </c>
      <c r="B1863" s="4" t="str">
        <f>IFERROR(__xludf.DUMMYFUNCTION("""COMPUTED_VALUE"""),"2")</f>
        <v>2</v>
      </c>
      <c r="C1863" s="5" t="str">
        <f>IFERROR(__xludf.DUMMYFUNCTION("""COMPUTED_VALUE"""),"https://drive.google.com/file/d/18ftXVtAtoNRsdHtdlv_Jc6mFk96gwwRS/view?usp=drivesdk")</f>
        <v>https://drive.google.com/file/d/18ftXVtAtoNRsdHtdlv_Jc6mFk96gwwRS/view?usp=drivesdk</v>
      </c>
      <c r="D1863" s="12"/>
      <c r="E1863" s="13">
        <v>1913.0</v>
      </c>
      <c r="F1863" s="2"/>
    </row>
    <row r="1864" ht="1.5" customHeight="1">
      <c r="A1864" s="4" t="str">
        <f>IFERROR(__xludf.DUMMYFUNCTION("""COMPUTED_VALUE"""),"2. Twix")</f>
        <v>2. Twix</v>
      </c>
      <c r="B1864" s="4" t="str">
        <f>IFERROR(__xludf.DUMMYFUNCTION("""COMPUTED_VALUE"""),"2")</f>
        <v>2</v>
      </c>
      <c r="C1864" s="5" t="str">
        <f>IFERROR(__xludf.DUMMYFUNCTION("""COMPUTED_VALUE"""),"https://drive.google.com/file/d/1Zw8Q_Xe0xiry1PJ9BbTqLTwspp3YaCh9/view?usp=drivesdk")</f>
        <v>https://drive.google.com/file/d/1Zw8Q_Xe0xiry1PJ9BbTqLTwspp3YaCh9/view?usp=drivesdk</v>
      </c>
      <c r="D1864" s="12"/>
      <c r="E1864" s="13">
        <v>1914.0</v>
      </c>
      <c r="F1864" s="2"/>
    </row>
    <row r="1865" ht="1.5" customHeight="1">
      <c r="A1865" s="4" t="str">
        <f>IFERROR(__xludf.DUMMYFUNCTION("""COMPUTED_VALUE"""),"4. Eggs")</f>
        <v>4. Eggs</v>
      </c>
      <c r="B1865" s="4" t="str">
        <f>IFERROR(__xludf.DUMMYFUNCTION("""COMPUTED_VALUE"""),"4")</f>
        <v>4</v>
      </c>
      <c r="C1865" s="5" t="str">
        <f>IFERROR(__xludf.DUMMYFUNCTION("""COMPUTED_VALUE"""),"https://drive.google.com/file/d/12982F2SuPGfb3AAuNIfk4gbDaG30bM-A/view?usp=drivesdk")</f>
        <v>https://drive.google.com/file/d/12982F2SuPGfb3AAuNIfk4gbDaG30bM-A/view?usp=drivesdk</v>
      </c>
      <c r="D1865" s="12"/>
      <c r="E1865" s="13">
        <v>1915.0</v>
      </c>
      <c r="F1865" s="2"/>
    </row>
    <row r="1866" ht="1.5" customHeight="1">
      <c r="A1866" s="4" t="str">
        <f>IFERROR(__xludf.DUMMYFUNCTION("""COMPUTED_VALUE"""),"4. Eggs")</f>
        <v>4. Eggs</v>
      </c>
      <c r="B1866" s="4" t="str">
        <f>IFERROR(__xludf.DUMMYFUNCTION("""COMPUTED_VALUE"""),"4")</f>
        <v>4</v>
      </c>
      <c r="C1866" s="5" t="str">
        <f>IFERROR(__xludf.DUMMYFUNCTION("""COMPUTED_VALUE"""),"https://drive.google.com/file/d/10Nhw1RMztLCVhmoaJLbgQ2GMIeKBYbz5/view?usp=drivesdk")</f>
        <v>https://drive.google.com/file/d/10Nhw1RMztLCVhmoaJLbgQ2GMIeKBYbz5/view?usp=drivesdk</v>
      </c>
      <c r="D1866" s="12"/>
      <c r="E1866" s="13">
        <v>1916.0</v>
      </c>
      <c r="F1866" s="2"/>
    </row>
    <row r="1867" ht="1.5" customHeight="1">
      <c r="A1867" s="4" t="str">
        <f>IFERROR(__xludf.DUMMYFUNCTION("""COMPUTED_VALUE"""),"17. Bobbie")</f>
        <v>17. Bobbie</v>
      </c>
      <c r="B1867" s="4" t="str">
        <f>IFERROR(__xludf.DUMMYFUNCTION("""COMPUTED_VALUE"""),"17")</f>
        <v>17</v>
      </c>
      <c r="C1867" s="5" t="str">
        <f>IFERROR(__xludf.DUMMYFUNCTION("""COMPUTED_VALUE"""),"https://drive.google.com/file/d/17vk3Swsvju1fHYSIVybFiL66uzJ1xXsb/view?usp=drivesdk")</f>
        <v>https://drive.google.com/file/d/17vk3Swsvju1fHYSIVybFiL66uzJ1xXsb/view?usp=drivesdk</v>
      </c>
      <c r="D1867" s="12"/>
      <c r="E1867" s="13">
        <v>1917.0</v>
      </c>
      <c r="F1867" s="2"/>
    </row>
    <row r="1868" ht="1.5" customHeight="1">
      <c r="A1868" s="4" t="str">
        <f>IFERROR(__xludf.DUMMYFUNCTION("""COMPUTED_VALUE"""),"17. Bobbie")</f>
        <v>17. Bobbie</v>
      </c>
      <c r="B1868" s="4" t="str">
        <f>IFERROR(__xludf.DUMMYFUNCTION("""COMPUTED_VALUE"""),"17")</f>
        <v>17</v>
      </c>
      <c r="C1868" s="5" t="str">
        <f>IFERROR(__xludf.DUMMYFUNCTION("""COMPUTED_VALUE"""),"https://drive.google.com/file/d/1lgKWIIT5VNBM5TlX-DR5QuFHby37PxAv/view?usp=drivesdk")</f>
        <v>https://drive.google.com/file/d/1lgKWIIT5VNBM5TlX-DR5QuFHby37PxAv/view?usp=drivesdk</v>
      </c>
      <c r="D1868" s="12"/>
      <c r="E1868" s="13">
        <v>1918.0</v>
      </c>
      <c r="F1868" s="2"/>
    </row>
    <row r="1869" ht="1.5" customHeight="1">
      <c r="A1869" s="4" t="str">
        <f>IFERROR(__xludf.DUMMYFUNCTION("""COMPUTED_VALUE"""),"17. Bobbie")</f>
        <v>17. Bobbie</v>
      </c>
      <c r="B1869" s="4" t="str">
        <f>IFERROR(__xludf.DUMMYFUNCTION("""COMPUTED_VALUE"""),"17")</f>
        <v>17</v>
      </c>
      <c r="C1869" s="5" t="str">
        <f>IFERROR(__xludf.DUMMYFUNCTION("""COMPUTED_VALUE"""),"https://drive.google.com/file/d/1X3DvdU6-1Q6Xr0PB9tDlMrWuIonnqA3n/view?usp=drivesdk")</f>
        <v>https://drive.google.com/file/d/1X3DvdU6-1Q6Xr0PB9tDlMrWuIonnqA3n/view?usp=drivesdk</v>
      </c>
      <c r="D1869" s="12"/>
      <c r="E1869" s="13">
        <v>1919.0</v>
      </c>
      <c r="F1869" s="2"/>
    </row>
    <row r="1870" ht="1.5" customHeight="1">
      <c r="A1870" s="4" t="str">
        <f>IFERROR(__xludf.DUMMYFUNCTION("""COMPUTED_VALUE"""),"17. Bobbie")</f>
        <v>17. Bobbie</v>
      </c>
      <c r="B1870" s="4" t="str">
        <f>IFERROR(__xludf.DUMMYFUNCTION("""COMPUTED_VALUE"""),"17")</f>
        <v>17</v>
      </c>
      <c r="C1870" s="5" t="str">
        <f>IFERROR(__xludf.DUMMYFUNCTION("""COMPUTED_VALUE"""),"https://drive.google.com/file/d/1HPW88a0t5_5rIGPIN82I6FXE5Lqz-8ji/view?usp=drivesdk")</f>
        <v>https://drive.google.com/file/d/1HPW88a0t5_5rIGPIN82I6FXE5Lqz-8ji/view?usp=drivesdk</v>
      </c>
      <c r="D1870" s="12"/>
      <c r="E1870" s="13">
        <v>1920.0</v>
      </c>
      <c r="F1870" s="2"/>
    </row>
    <row r="1871" ht="1.5" customHeight="1">
      <c r="A1871" s="4" t="str">
        <f>IFERROR(__xludf.DUMMYFUNCTION("""COMPUTED_VALUE"""),"17. Bobbie")</f>
        <v>17. Bobbie</v>
      </c>
      <c r="B1871" s="4" t="str">
        <f>IFERROR(__xludf.DUMMYFUNCTION("""COMPUTED_VALUE"""),"17")</f>
        <v>17</v>
      </c>
      <c r="C1871" s="5" t="str">
        <f>IFERROR(__xludf.DUMMYFUNCTION("""COMPUTED_VALUE"""),"https://drive.google.com/file/d/1X0tsjllhenyOS_4qnRFb0KrxTszgU96x/view?usp=drivesdk")</f>
        <v>https://drive.google.com/file/d/1X0tsjllhenyOS_4qnRFb0KrxTszgU96x/view?usp=drivesdk</v>
      </c>
      <c r="D1871" s="12"/>
      <c r="E1871" s="13">
        <v>1921.0</v>
      </c>
      <c r="F1871" s="2"/>
    </row>
    <row r="1872" ht="1.5" customHeight="1">
      <c r="A1872" s="4" t="str">
        <f>IFERROR(__xludf.DUMMYFUNCTION("""COMPUTED_VALUE"""),"17. Bobbie")</f>
        <v>17. Bobbie</v>
      </c>
      <c r="B1872" s="4" t="str">
        <f>IFERROR(__xludf.DUMMYFUNCTION("""COMPUTED_VALUE"""),"17")</f>
        <v>17</v>
      </c>
      <c r="C1872" s="5" t="str">
        <f>IFERROR(__xludf.DUMMYFUNCTION("""COMPUTED_VALUE"""),"https://drive.google.com/file/d/1DjcWdfI4O_d5-MH4oCSuRunFezWMtXUk/view?usp=drivesdk")</f>
        <v>https://drive.google.com/file/d/1DjcWdfI4O_d5-MH4oCSuRunFezWMtXUk/view?usp=drivesdk</v>
      </c>
      <c r="D1872" s="12"/>
      <c r="E1872" s="13">
        <v>1922.0</v>
      </c>
      <c r="F1872" s="2"/>
    </row>
    <row r="1873" ht="1.5" customHeight="1">
      <c r="A1873" s="4" t="str">
        <f>IFERROR(__xludf.DUMMYFUNCTION("""COMPUTED_VALUE"""),"17. Bobbie")</f>
        <v>17. Bobbie</v>
      </c>
      <c r="B1873" s="4" t="str">
        <f>IFERROR(__xludf.DUMMYFUNCTION("""COMPUTED_VALUE"""),"17")</f>
        <v>17</v>
      </c>
      <c r="C1873" s="5" t="str">
        <f>IFERROR(__xludf.DUMMYFUNCTION("""COMPUTED_VALUE"""),"https://drive.google.com/file/d/1f58F4OJK2jdJsjaXzXG781KjCJQt-lnd/view?usp=drivesdk")</f>
        <v>https://drive.google.com/file/d/1f58F4OJK2jdJsjaXzXG781KjCJQt-lnd/view?usp=drivesdk</v>
      </c>
      <c r="D1873" s="12"/>
      <c r="E1873" s="13">
        <v>1923.0</v>
      </c>
      <c r="F1873" s="2"/>
    </row>
    <row r="1874" ht="1.5" customHeight="1">
      <c r="A1874" s="4" t="str">
        <f>IFERROR(__xludf.DUMMYFUNCTION("""COMPUTED_VALUE"""),"0. NotACat")</f>
        <v>0. NotACat</v>
      </c>
      <c r="B1874" s="4" t="str">
        <f>IFERROR(__xludf.DUMMYFUNCTION("""COMPUTED_VALUE"""),"0")</f>
        <v>0</v>
      </c>
      <c r="C1874" s="5" t="str">
        <f>IFERROR(__xludf.DUMMYFUNCTION("""COMPUTED_VALUE"""),"https://drive.google.com/file/d/1jEFXGbDmaIekLtbPvgR_7cgLqqbcrQNV/view?usp=drivesdk")</f>
        <v>https://drive.google.com/file/d/1jEFXGbDmaIekLtbPvgR_7cgLqqbcrQNV/view?usp=drivesdk</v>
      </c>
      <c r="D1874" s="12"/>
      <c r="E1874" s="13">
        <v>1924.0</v>
      </c>
      <c r="F1874" s="2"/>
    </row>
    <row r="1875" ht="1.5" customHeight="1">
      <c r="A1875" s="4" t="str">
        <f>IFERROR(__xludf.DUMMYFUNCTION("""COMPUTED_VALUE"""),"76. Eezard")</f>
        <v>76. Eezard</v>
      </c>
      <c r="B1875" s="4" t="str">
        <f>IFERROR(__xludf.DUMMYFUNCTION("""COMPUTED_VALUE"""),"76")</f>
        <v>76</v>
      </c>
      <c r="C1875" s="5" t="str">
        <f>IFERROR(__xludf.DUMMYFUNCTION("""COMPUTED_VALUE"""),"https://drive.google.com/file/d/1fTga4Dkr5GlOF7U5z16O9XishnaYGIzr/view?usp=drivesdk")</f>
        <v>https://drive.google.com/file/d/1fTga4Dkr5GlOF7U5z16O9XishnaYGIzr/view?usp=drivesdk</v>
      </c>
      <c r="D1875" s="12"/>
      <c r="E1875" s="13">
        <v>1925.0</v>
      </c>
      <c r="F1875" s="2"/>
    </row>
    <row r="1876" ht="1.5" customHeight="1">
      <c r="A1876" s="4" t="str">
        <f>IFERROR(__xludf.DUMMYFUNCTION("""COMPUTED_VALUE"""),"76. Eezard")</f>
        <v>76. Eezard</v>
      </c>
      <c r="B1876" s="4" t="str">
        <f>IFERROR(__xludf.DUMMYFUNCTION("""COMPUTED_VALUE"""),"76")</f>
        <v>76</v>
      </c>
      <c r="C1876" s="5" t="str">
        <f>IFERROR(__xludf.DUMMYFUNCTION("""COMPUTED_VALUE"""),"https://drive.google.com/file/d/12AmGbg-qnO1S1e3rQ5gDowQnKE2ezxsj/view?usp=drivesdk")</f>
        <v>https://drive.google.com/file/d/12AmGbg-qnO1S1e3rQ5gDowQnKE2ezxsj/view?usp=drivesdk</v>
      </c>
      <c r="D1876" s="12"/>
      <c r="E1876" s="13">
        <v>1926.0</v>
      </c>
      <c r="F1876" s="2"/>
    </row>
    <row r="1877" ht="1.5" customHeight="1">
      <c r="A1877" s="4" t="str">
        <f>IFERROR(__xludf.DUMMYFUNCTION("""COMPUTED_VALUE"""),"0. NotACat")</f>
        <v>0. NotACat</v>
      </c>
      <c r="B1877" s="4" t="str">
        <f>IFERROR(__xludf.DUMMYFUNCTION("""COMPUTED_VALUE"""),"0")</f>
        <v>0</v>
      </c>
      <c r="C1877" s="5" t="str">
        <f>IFERROR(__xludf.DUMMYFUNCTION("""COMPUTED_VALUE"""),"https://drive.google.com/file/d/1Ci2ttZPc0-Bek0Na1dfeVEyf58d4W6t7/view?usp=drivesdk")</f>
        <v>https://drive.google.com/file/d/1Ci2ttZPc0-Bek0Na1dfeVEyf58d4W6t7/view?usp=drivesdk</v>
      </c>
      <c r="D1877" s="12"/>
      <c r="E1877" s="13">
        <v>1927.0</v>
      </c>
      <c r="F1877" s="2"/>
    </row>
    <row r="1878" ht="1.5" customHeight="1">
      <c r="A1878" s="4" t="str">
        <f>IFERROR(__xludf.DUMMYFUNCTION("""COMPUTED_VALUE"""),"75. Musketeer")</f>
        <v>75. Musketeer</v>
      </c>
      <c r="B1878" s="4" t="str">
        <f>IFERROR(__xludf.DUMMYFUNCTION("""COMPUTED_VALUE"""),"75")</f>
        <v>75</v>
      </c>
      <c r="C1878" s="5" t="str">
        <f>IFERROR(__xludf.DUMMYFUNCTION("""COMPUTED_VALUE"""),"https://drive.google.com/file/d/1KYtHmeeKEMrurFw0GiCDRWqiY0npkwq2/view?usp=drivesdk")</f>
        <v>https://drive.google.com/file/d/1KYtHmeeKEMrurFw0GiCDRWqiY0npkwq2/view?usp=drivesdk</v>
      </c>
      <c r="D1878" s="12"/>
      <c r="E1878" s="13">
        <v>1928.0</v>
      </c>
      <c r="F1878" s="2"/>
    </row>
    <row r="1879" ht="1.5" customHeight="1">
      <c r="A1879" s="4" t="str">
        <f>IFERROR(__xludf.DUMMYFUNCTION("""COMPUTED_VALUE"""),"2. Twix")</f>
        <v>2. Twix</v>
      </c>
      <c r="B1879" s="4" t="str">
        <f>IFERROR(__xludf.DUMMYFUNCTION("""COMPUTED_VALUE"""),"2")</f>
        <v>2</v>
      </c>
      <c r="C1879" s="5" t="str">
        <f>IFERROR(__xludf.DUMMYFUNCTION("""COMPUTED_VALUE"""),"https://drive.google.com/file/d/1nSiUfrQ_uHMh2sNnXw4aVBu_3k_0d4Yg/view?usp=drivesdk")</f>
        <v>https://drive.google.com/file/d/1nSiUfrQ_uHMh2sNnXw4aVBu_3k_0d4Yg/view?usp=drivesdk</v>
      </c>
      <c r="D1879" s="12"/>
      <c r="E1879" s="13">
        <v>1929.0</v>
      </c>
      <c r="F1879" s="2"/>
    </row>
    <row r="1880" ht="1.5" customHeight="1">
      <c r="A1880" s="4" t="str">
        <f>IFERROR(__xludf.DUMMYFUNCTION("""COMPUTED_VALUE"""),"20. Citlali")</f>
        <v>20. Citlali</v>
      </c>
      <c r="B1880" s="4" t="str">
        <f>IFERROR(__xludf.DUMMYFUNCTION("""COMPUTED_VALUE"""),"20")</f>
        <v>20</v>
      </c>
      <c r="C1880" s="5" t="str">
        <f>IFERROR(__xludf.DUMMYFUNCTION("""COMPUTED_VALUE"""),"https://drive.google.com/file/d/1BUfmz5eMdbeUXKKltfY5CnWXiJZJ4o5o/view?usp=drivesdk")</f>
        <v>https://drive.google.com/file/d/1BUfmz5eMdbeUXKKltfY5CnWXiJZJ4o5o/view?usp=drivesdk</v>
      </c>
      <c r="D1880" s="12"/>
      <c r="E1880" s="13">
        <v>1930.0</v>
      </c>
      <c r="F1880" s="2"/>
    </row>
    <row r="1881" ht="1.5" customHeight="1">
      <c r="A1881" s="4" t="str">
        <f>IFERROR(__xludf.DUMMYFUNCTION("""COMPUTED_VALUE"""),"20. Citlali")</f>
        <v>20. Citlali</v>
      </c>
      <c r="B1881" s="4" t="str">
        <f>IFERROR(__xludf.DUMMYFUNCTION("""COMPUTED_VALUE"""),"20")</f>
        <v>20</v>
      </c>
      <c r="C1881" s="5" t="str">
        <f>IFERROR(__xludf.DUMMYFUNCTION("""COMPUTED_VALUE"""),"https://drive.google.com/file/d/1SiDmjF1FWtQKlEP5aTGjCgq-6RDSjiVp/view?usp=drivesdk")</f>
        <v>https://drive.google.com/file/d/1SiDmjF1FWtQKlEP5aTGjCgq-6RDSjiVp/view?usp=drivesdk</v>
      </c>
      <c r="D1881" s="12"/>
      <c r="E1881" s="13">
        <v>1931.0</v>
      </c>
      <c r="F1881" s="2"/>
    </row>
    <row r="1882" ht="1.5" customHeight="1">
      <c r="A1882" s="4" t="str">
        <f>IFERROR(__xludf.DUMMYFUNCTION("""COMPUTED_VALUE"""),"22. Glockenspiel")</f>
        <v>22. Glockenspiel</v>
      </c>
      <c r="B1882" s="4" t="str">
        <f>IFERROR(__xludf.DUMMYFUNCTION("""COMPUTED_VALUE"""),"22")</f>
        <v>22</v>
      </c>
      <c r="C1882" s="5" t="str">
        <f>IFERROR(__xludf.DUMMYFUNCTION("""COMPUTED_VALUE"""),"https://drive.google.com/file/d/1UxX9G5QfLytV0AR2Yfiy4ovkqk1iKEWG/view?usp=drivesdk")</f>
        <v>https://drive.google.com/file/d/1UxX9G5QfLytV0AR2Yfiy4ovkqk1iKEWG/view?usp=drivesdk</v>
      </c>
      <c r="D1882" s="12"/>
      <c r="E1882" s="13">
        <v>1932.0</v>
      </c>
      <c r="F1882" s="2"/>
    </row>
    <row r="1883" ht="1.5" customHeight="1">
      <c r="A1883" s="4" t="str">
        <f>IFERROR(__xludf.DUMMYFUNCTION("""COMPUTED_VALUE"""),"1. Microwave")</f>
        <v>1. Microwave</v>
      </c>
      <c r="B1883" s="4" t="str">
        <f>IFERROR(__xludf.DUMMYFUNCTION("""COMPUTED_VALUE"""),"1")</f>
        <v>1</v>
      </c>
      <c r="C1883" s="5" t="str">
        <f>IFERROR(__xludf.DUMMYFUNCTION("""COMPUTED_VALUE"""),"https://drive.google.com/file/d/19If5PvDM0s48eQEbDm0DWOf30GqJVFbG/view?usp=drivesdk")</f>
        <v>https://drive.google.com/file/d/19If5PvDM0s48eQEbDm0DWOf30GqJVFbG/view?usp=drivesdk</v>
      </c>
      <c r="D1883" s="12"/>
      <c r="E1883" s="13">
        <v>1933.0</v>
      </c>
      <c r="F1883" s="2"/>
    </row>
    <row r="1884" ht="1.5" customHeight="1">
      <c r="A1884" s="4" t="str">
        <f>IFERROR(__xludf.DUMMYFUNCTION("""COMPUTED_VALUE"""),"1. Microwave")</f>
        <v>1. Microwave</v>
      </c>
      <c r="B1884" s="4" t="str">
        <f>IFERROR(__xludf.DUMMYFUNCTION("""COMPUTED_VALUE"""),"1")</f>
        <v>1</v>
      </c>
      <c r="C1884" s="5" t="str">
        <f>IFERROR(__xludf.DUMMYFUNCTION("""COMPUTED_VALUE"""),"https://drive.google.com/file/d/1U-QU_3r5X0iMAg7ulsyNng68gzADlHqT/view?usp=drivesdk")</f>
        <v>https://drive.google.com/file/d/1U-QU_3r5X0iMAg7ulsyNng68gzADlHqT/view?usp=drivesdk</v>
      </c>
      <c r="D1884" s="12"/>
      <c r="E1884" s="13">
        <v>1934.0</v>
      </c>
      <c r="F1884" s="2"/>
    </row>
    <row r="1885" ht="1.5" customHeight="1">
      <c r="A1885" s="4" t="str">
        <f>IFERROR(__xludf.DUMMYFUNCTION("""COMPUTED_VALUE"""),"0. NotACat")</f>
        <v>0. NotACat</v>
      </c>
      <c r="B1885" s="4" t="str">
        <f>IFERROR(__xludf.DUMMYFUNCTION("""COMPUTED_VALUE"""),"0")</f>
        <v>0</v>
      </c>
      <c r="C1885" s="5" t="str">
        <f>IFERROR(__xludf.DUMMYFUNCTION("""COMPUTED_VALUE"""),"https://drive.google.com/file/d/14ylX-Hr_4cLpCnvj_ddSxCyracbX-Cc0/view?usp=drivesdk")</f>
        <v>https://drive.google.com/file/d/14ylX-Hr_4cLpCnvj_ddSxCyracbX-Cc0/view?usp=drivesdk</v>
      </c>
      <c r="D1885" s="12"/>
      <c r="E1885" s="13">
        <v>1935.0</v>
      </c>
      <c r="F1885" s="2"/>
    </row>
    <row r="1886" ht="1.5" customHeight="1">
      <c r="A1886" s="4" t="str">
        <f>IFERROR(__xludf.DUMMYFUNCTION("""COMPUTED_VALUE"""),"1. Microwave")</f>
        <v>1. Microwave</v>
      </c>
      <c r="B1886" s="4" t="str">
        <f>IFERROR(__xludf.DUMMYFUNCTION("""COMPUTED_VALUE"""),"1")</f>
        <v>1</v>
      </c>
      <c r="C1886" s="5" t="str">
        <f>IFERROR(__xludf.DUMMYFUNCTION("""COMPUTED_VALUE"""),"https://drive.google.com/file/d/1FNTNvoIG07DX9U_KjXPRtNBa8n9ybNUs/view?usp=drivesdk")</f>
        <v>https://drive.google.com/file/d/1FNTNvoIG07DX9U_KjXPRtNBa8n9ybNUs/view?usp=drivesdk</v>
      </c>
      <c r="D1886" s="12"/>
      <c r="E1886" s="13">
        <v>1936.0</v>
      </c>
      <c r="F1886" s="2"/>
    </row>
    <row r="1887" ht="1.5" customHeight="1">
      <c r="A1887" s="4" t="str">
        <f>IFERROR(__xludf.DUMMYFUNCTION("""COMPUTED_VALUE"""),"1. Microwave")</f>
        <v>1. Microwave</v>
      </c>
      <c r="B1887" s="4" t="str">
        <f>IFERROR(__xludf.DUMMYFUNCTION("""COMPUTED_VALUE"""),"1")</f>
        <v>1</v>
      </c>
      <c r="C1887" s="5" t="str">
        <f>IFERROR(__xludf.DUMMYFUNCTION("""COMPUTED_VALUE"""),"https://drive.google.com/file/d/1gYRYUNjuhjKS26KSDPLehaMPh7UpuLJf/view?usp=drivesdk")</f>
        <v>https://drive.google.com/file/d/1gYRYUNjuhjKS26KSDPLehaMPh7UpuLJf/view?usp=drivesdk</v>
      </c>
      <c r="D1887" s="12"/>
      <c r="E1887" s="13">
        <v>1937.0</v>
      </c>
      <c r="F1887" s="2"/>
    </row>
    <row r="1888" ht="1.5" customHeight="1">
      <c r="A1888" s="4" t="str">
        <f>IFERROR(__xludf.DUMMYFUNCTION("""COMPUTED_VALUE"""),"1. Microwave")</f>
        <v>1. Microwave</v>
      </c>
      <c r="B1888" s="4" t="str">
        <f>IFERROR(__xludf.DUMMYFUNCTION("""COMPUTED_VALUE"""),"1")</f>
        <v>1</v>
      </c>
      <c r="C1888" s="5" t="str">
        <f>IFERROR(__xludf.DUMMYFUNCTION("""COMPUTED_VALUE"""),"https://drive.google.com/file/d/1HXcfw3fvhrncZ7f8dHDGBUaUYVzYsWB7/view?usp=drivesdk")</f>
        <v>https://drive.google.com/file/d/1HXcfw3fvhrncZ7f8dHDGBUaUYVzYsWB7/view?usp=drivesdk</v>
      </c>
      <c r="D1888" s="12"/>
      <c r="E1888" s="13">
        <v>1938.0</v>
      </c>
      <c r="F1888" s="2"/>
    </row>
    <row r="1889" ht="1.5" customHeight="1">
      <c r="A1889" s="4" t="str">
        <f>IFERROR(__xludf.DUMMYFUNCTION("""COMPUTED_VALUE"""),"1. Microwave")</f>
        <v>1. Microwave</v>
      </c>
      <c r="B1889" s="4" t="str">
        <f>IFERROR(__xludf.DUMMYFUNCTION("""COMPUTED_VALUE"""),"1")</f>
        <v>1</v>
      </c>
      <c r="C1889" s="5" t="str">
        <f>IFERROR(__xludf.DUMMYFUNCTION("""COMPUTED_VALUE"""),"https://drive.google.com/file/d/1AmHKrUuhQvUAMmKwuqKXYUQBFBewKppg/view?usp=drivesdk")</f>
        <v>https://drive.google.com/file/d/1AmHKrUuhQvUAMmKwuqKXYUQBFBewKppg/view?usp=drivesdk</v>
      </c>
      <c r="D1889" s="12"/>
      <c r="E1889" s="13">
        <v>1939.0</v>
      </c>
      <c r="F1889" s="2"/>
    </row>
    <row r="1890" ht="1.5" customHeight="1">
      <c r="A1890" s="4" t="str">
        <f>IFERROR(__xludf.DUMMYFUNCTION("""COMPUTED_VALUE"""),"1. Microwave")</f>
        <v>1. Microwave</v>
      </c>
      <c r="B1890" s="4" t="str">
        <f>IFERROR(__xludf.DUMMYFUNCTION("""COMPUTED_VALUE"""),"1")</f>
        <v>1</v>
      </c>
      <c r="C1890" s="5" t="str">
        <f>IFERROR(__xludf.DUMMYFUNCTION("""COMPUTED_VALUE"""),"https://drive.google.com/file/d/1zy2gXB_cdYy-HQeOKuHkUgcNcZvXoQFy/view?usp=drivesdk")</f>
        <v>https://drive.google.com/file/d/1zy2gXB_cdYy-HQeOKuHkUgcNcZvXoQFy/view?usp=drivesdk</v>
      </c>
      <c r="D1890" s="12"/>
      <c r="E1890" s="13">
        <v>1940.0</v>
      </c>
      <c r="F1890" s="2"/>
    </row>
    <row r="1891" ht="1.5" customHeight="1">
      <c r="A1891" s="4" t="str">
        <f>IFERROR(__xludf.DUMMYFUNCTION("""COMPUTED_VALUE"""),"1. Microwave")</f>
        <v>1. Microwave</v>
      </c>
      <c r="B1891" s="4" t="str">
        <f>IFERROR(__xludf.DUMMYFUNCTION("""COMPUTED_VALUE"""),"1")</f>
        <v>1</v>
      </c>
      <c r="C1891" s="5" t="str">
        <f>IFERROR(__xludf.DUMMYFUNCTION("""COMPUTED_VALUE"""),"https://drive.google.com/file/d/10Ttp3UoLK1gyh_-fvNm6eg6zVN9HD569/view?usp=drivesdk")</f>
        <v>https://drive.google.com/file/d/10Ttp3UoLK1gyh_-fvNm6eg6zVN9HD569/view?usp=drivesdk</v>
      </c>
      <c r="D1891" s="12"/>
      <c r="E1891" s="13">
        <v>1941.0</v>
      </c>
      <c r="F1891" s="2"/>
    </row>
    <row r="1892" ht="1.5" customHeight="1">
      <c r="A1892" s="4" t="str">
        <f>IFERROR(__xludf.DUMMYFUNCTION("""COMPUTED_VALUE"""),"1. Microwave")</f>
        <v>1. Microwave</v>
      </c>
      <c r="B1892" s="4" t="str">
        <f>IFERROR(__xludf.DUMMYFUNCTION("""COMPUTED_VALUE"""),"1")</f>
        <v>1</v>
      </c>
      <c r="C1892" s="5" t="str">
        <f>IFERROR(__xludf.DUMMYFUNCTION("""COMPUTED_VALUE"""),"https://drive.google.com/file/d/1iorPZQWTCbz21JCZmsQhaKI5daw-ZIeU/view?usp=drivesdk")</f>
        <v>https://drive.google.com/file/d/1iorPZQWTCbz21JCZmsQhaKI5daw-ZIeU/view?usp=drivesdk</v>
      </c>
      <c r="D1892" s="12"/>
      <c r="E1892" s="13">
        <v>1942.0</v>
      </c>
      <c r="F1892" s="2"/>
    </row>
    <row r="1893" ht="1.5" customHeight="1">
      <c r="A1893" s="4" t="str">
        <f>IFERROR(__xludf.DUMMYFUNCTION("""COMPUTED_VALUE"""),"1. Microwave")</f>
        <v>1. Microwave</v>
      </c>
      <c r="B1893" s="4" t="str">
        <f>IFERROR(__xludf.DUMMYFUNCTION("""COMPUTED_VALUE"""),"1")</f>
        <v>1</v>
      </c>
      <c r="C1893" s="5" t="str">
        <f>IFERROR(__xludf.DUMMYFUNCTION("""COMPUTED_VALUE"""),"https://drive.google.com/file/d/109ahIkC5WgaFtTQu18_byhsuHoM2aI5A/view?usp=drivesdk")</f>
        <v>https://drive.google.com/file/d/109ahIkC5WgaFtTQu18_byhsuHoM2aI5A/view?usp=drivesdk</v>
      </c>
      <c r="D1893" s="12"/>
      <c r="E1893" s="13">
        <v>1943.0</v>
      </c>
      <c r="F1893" s="2"/>
    </row>
    <row r="1894" ht="1.5" customHeight="1">
      <c r="A1894" s="4" t="str">
        <f>IFERROR(__xludf.DUMMYFUNCTION("""COMPUTED_VALUE"""),"4. Eggs, 5. Eraser")</f>
        <v>4. Eggs, 5. Eraser</v>
      </c>
      <c r="B1894" s="4" t="str">
        <f>IFERROR(__xludf.DUMMYFUNCTION("""COMPUTED_VALUE"""),"4, 5")</f>
        <v>4, 5</v>
      </c>
      <c r="C1894" s="5" t="str">
        <f>IFERROR(__xludf.DUMMYFUNCTION("""COMPUTED_VALUE"""),"https://drive.google.com/file/d/1VGNCjagyFaIJ7uM25ANT-gSFCmqvPCXz/view?usp=drivesdk")</f>
        <v>https://drive.google.com/file/d/1VGNCjagyFaIJ7uM25ANT-gSFCmqvPCXz/view?usp=drivesdk</v>
      </c>
      <c r="D1894" s="12"/>
      <c r="E1894" s="13">
        <v>1944.0</v>
      </c>
      <c r="F1894" s="2"/>
    </row>
    <row r="1895" ht="1.5" customHeight="1">
      <c r="A1895" s="4" t="str">
        <f>IFERROR(__xludf.DUMMYFUNCTION("""COMPUTED_VALUE"""),"2. Twix")</f>
        <v>2. Twix</v>
      </c>
      <c r="B1895" s="4" t="str">
        <f>IFERROR(__xludf.DUMMYFUNCTION("""COMPUTED_VALUE"""),"2")</f>
        <v>2</v>
      </c>
      <c r="C1895" s="5" t="str">
        <f>IFERROR(__xludf.DUMMYFUNCTION("""COMPUTED_VALUE"""),"https://drive.google.com/file/d/18dasuZAA3hgbkxnLU8LY1U2jaaOCWaE9/view?usp=drivesdk")</f>
        <v>https://drive.google.com/file/d/18dasuZAA3hgbkxnLU8LY1U2jaaOCWaE9/view?usp=drivesdk</v>
      </c>
      <c r="D1895" s="12"/>
      <c r="E1895" s="13">
        <v>1945.0</v>
      </c>
      <c r="F1895" s="2"/>
    </row>
    <row r="1896" ht="1.5" customHeight="1">
      <c r="A1896" s="4" t="str">
        <f>IFERROR(__xludf.DUMMYFUNCTION("""COMPUTED_VALUE"""),"2. Twix, 5. Eraser")</f>
        <v>2. Twix, 5. Eraser</v>
      </c>
      <c r="B1896" s="4" t="str">
        <f>IFERROR(__xludf.DUMMYFUNCTION("""COMPUTED_VALUE"""),"2, 5")</f>
        <v>2, 5</v>
      </c>
      <c r="C1896" s="5" t="str">
        <f>IFERROR(__xludf.DUMMYFUNCTION("""COMPUTED_VALUE"""),"https://drive.google.com/file/d/1BgpiYDOsn5nZmlygnanHUoyYBX5ecidM/view?usp=drivesdk")</f>
        <v>https://drive.google.com/file/d/1BgpiYDOsn5nZmlygnanHUoyYBX5ecidM/view?usp=drivesdk</v>
      </c>
      <c r="D1896" s="12"/>
      <c r="E1896" s="13">
        <v>1946.0</v>
      </c>
      <c r="F1896" s="2"/>
    </row>
    <row r="1897" ht="1.5" customHeight="1">
      <c r="A1897" s="4" t="str">
        <f>IFERROR(__xludf.DUMMYFUNCTION("""COMPUTED_VALUE"""),"5. Eraser")</f>
        <v>5. Eraser</v>
      </c>
      <c r="B1897" s="4" t="str">
        <f>IFERROR(__xludf.DUMMYFUNCTION("""COMPUTED_VALUE"""),"5")</f>
        <v>5</v>
      </c>
      <c r="C1897" s="5" t="str">
        <f>IFERROR(__xludf.DUMMYFUNCTION("""COMPUTED_VALUE"""),"https://drive.google.com/file/d/1WHtgitCgE6Ki2domU22t155pJ56fzH_V/view?usp=drivesdk")</f>
        <v>https://drive.google.com/file/d/1WHtgitCgE6Ki2domU22t155pJ56fzH_V/view?usp=drivesdk</v>
      </c>
      <c r="D1897" s="12"/>
      <c r="E1897" s="13">
        <v>1947.0</v>
      </c>
      <c r="F1897" s="2"/>
    </row>
    <row r="1898" ht="1.5" customHeight="1">
      <c r="A1898" s="4" t="str">
        <f>IFERROR(__xludf.DUMMYFUNCTION("""COMPUTED_VALUE"""),"2. Twix")</f>
        <v>2. Twix</v>
      </c>
      <c r="B1898" s="4" t="str">
        <f>IFERROR(__xludf.DUMMYFUNCTION("""COMPUTED_VALUE"""),"2")</f>
        <v>2</v>
      </c>
      <c r="C1898" s="5" t="str">
        <f>IFERROR(__xludf.DUMMYFUNCTION("""COMPUTED_VALUE"""),"https://drive.google.com/file/d/16emTJN_KTBa17rVwlwv_85wYXPSdM8D7/view?usp=drivesdk")</f>
        <v>https://drive.google.com/file/d/16emTJN_KTBa17rVwlwv_85wYXPSdM8D7/view?usp=drivesdk</v>
      </c>
      <c r="D1898" s="12"/>
      <c r="E1898" s="13">
        <v>1948.0</v>
      </c>
      <c r="F1898" s="2"/>
    </row>
    <row r="1899" ht="1.5" customHeight="1">
      <c r="A1899" s="4" t="str">
        <f>IFERROR(__xludf.DUMMYFUNCTION("""COMPUTED_VALUE"""),"5. Eraser")</f>
        <v>5. Eraser</v>
      </c>
      <c r="B1899" s="4" t="str">
        <f>IFERROR(__xludf.DUMMYFUNCTION("""COMPUTED_VALUE"""),"5")</f>
        <v>5</v>
      </c>
      <c r="C1899" s="5" t="str">
        <f>IFERROR(__xludf.DUMMYFUNCTION("""COMPUTED_VALUE"""),"https://drive.google.com/file/d/1AqbMH2vVTqK7vG_KmWY7uKL8wxLNMicm/view?usp=drivesdk")</f>
        <v>https://drive.google.com/file/d/1AqbMH2vVTqK7vG_KmWY7uKL8wxLNMicm/view?usp=drivesdk</v>
      </c>
      <c r="D1899" s="12"/>
      <c r="E1899" s="13">
        <v>1949.0</v>
      </c>
      <c r="F1899" s="2"/>
    </row>
    <row r="1900" ht="1.5" customHeight="1">
      <c r="A1900" s="4" t="str">
        <f>IFERROR(__xludf.DUMMYFUNCTION("""COMPUTED_VALUE"""),"5. Eraser")</f>
        <v>5. Eraser</v>
      </c>
      <c r="B1900" s="4" t="str">
        <f>IFERROR(__xludf.DUMMYFUNCTION("""COMPUTED_VALUE"""),"5")</f>
        <v>5</v>
      </c>
      <c r="C1900" s="5" t="str">
        <f>IFERROR(__xludf.DUMMYFUNCTION("""COMPUTED_VALUE"""),"https://drive.google.com/file/d/1lYuvuo2zjh0lTaz-SbYx1om4PvmexujE/view?usp=drivesdk")</f>
        <v>https://drive.google.com/file/d/1lYuvuo2zjh0lTaz-SbYx1om4PvmexujE/view?usp=drivesdk</v>
      </c>
      <c r="D1900" s="12"/>
      <c r="E1900" s="13">
        <v>1950.0</v>
      </c>
      <c r="F1900" s="2"/>
    </row>
    <row r="1901" ht="1.5" customHeight="1">
      <c r="A1901" s="4" t="str">
        <f>IFERROR(__xludf.DUMMYFUNCTION("""COMPUTED_VALUE"""),"5. Eraser")</f>
        <v>5. Eraser</v>
      </c>
      <c r="B1901" s="4" t="str">
        <f>IFERROR(__xludf.DUMMYFUNCTION("""COMPUTED_VALUE"""),"5")</f>
        <v>5</v>
      </c>
      <c r="C1901" s="5" t="str">
        <f>IFERROR(__xludf.DUMMYFUNCTION("""COMPUTED_VALUE"""),"https://drive.google.com/file/d/156HCeyuh9eb7-BJY5xFN-1lG4kXjhPWa/view?usp=drivesdk")</f>
        <v>https://drive.google.com/file/d/156HCeyuh9eb7-BJY5xFN-1lG4kXjhPWa/view?usp=drivesdk</v>
      </c>
      <c r="D1901" s="12"/>
      <c r="E1901" s="13">
        <v>1951.0</v>
      </c>
      <c r="F1901" s="2"/>
    </row>
    <row r="1902" ht="1.5" customHeight="1">
      <c r="A1902" s="4" t="str">
        <f>IFERROR(__xludf.DUMMYFUNCTION("""COMPUTED_VALUE"""),"5. Eraser")</f>
        <v>5. Eraser</v>
      </c>
      <c r="B1902" s="4" t="str">
        <f>IFERROR(__xludf.DUMMYFUNCTION("""COMPUTED_VALUE"""),"5")</f>
        <v>5</v>
      </c>
      <c r="C1902" s="5" t="str">
        <f>IFERROR(__xludf.DUMMYFUNCTION("""COMPUTED_VALUE"""),"https://drive.google.com/file/d/1NxctyxXfFeB7jPc9srpMwWcFvPycSGEG/view?usp=drivesdk")</f>
        <v>https://drive.google.com/file/d/1NxctyxXfFeB7jPc9srpMwWcFvPycSGEG/view?usp=drivesdk</v>
      </c>
      <c r="D1902" s="12"/>
      <c r="E1902" s="13">
        <v>1952.0</v>
      </c>
      <c r="F1902" s="2"/>
    </row>
    <row r="1903" ht="1.5" customHeight="1">
      <c r="A1903" s="4" t="str">
        <f>IFERROR(__xludf.DUMMYFUNCTION("""COMPUTED_VALUE"""),"2. Twix")</f>
        <v>2. Twix</v>
      </c>
      <c r="B1903" s="4" t="str">
        <f>IFERROR(__xludf.DUMMYFUNCTION("""COMPUTED_VALUE"""),"2")</f>
        <v>2</v>
      </c>
      <c r="C1903" s="5" t="str">
        <f>IFERROR(__xludf.DUMMYFUNCTION("""COMPUTED_VALUE"""),"https://drive.google.com/file/d/1r041GzlMdudBcE7wd5FsroOdbNNLOY-X/view?usp=drivesdk")</f>
        <v>https://drive.google.com/file/d/1r041GzlMdudBcE7wd5FsroOdbNNLOY-X/view?usp=drivesdk</v>
      </c>
      <c r="D1903" s="12"/>
      <c r="E1903" s="13">
        <v>1953.0</v>
      </c>
      <c r="F1903" s="2"/>
    </row>
    <row r="1904" ht="1.5" customHeight="1">
      <c r="A1904" s="4" t="str">
        <f>IFERROR(__xludf.DUMMYFUNCTION("""COMPUTED_VALUE"""),"2. Twix")</f>
        <v>2. Twix</v>
      </c>
      <c r="B1904" s="4" t="str">
        <f>IFERROR(__xludf.DUMMYFUNCTION("""COMPUTED_VALUE"""),"2")</f>
        <v>2</v>
      </c>
      <c r="C1904" s="5" t="str">
        <f>IFERROR(__xludf.DUMMYFUNCTION("""COMPUTED_VALUE"""),"https://drive.google.com/file/d/1gAEcT5o5Ilg1wGHgmdqhWM7nSNmcCMaY/view?usp=drivesdk")</f>
        <v>https://drive.google.com/file/d/1gAEcT5o5Ilg1wGHgmdqhWM7nSNmcCMaY/view?usp=drivesdk</v>
      </c>
      <c r="D1904" s="12"/>
      <c r="E1904" s="13">
        <v>1954.0</v>
      </c>
      <c r="F1904" s="2"/>
    </row>
    <row r="1905" ht="1.5" customHeight="1">
      <c r="A1905" s="4" t="str">
        <f>IFERROR(__xludf.DUMMYFUNCTION("""COMPUTED_VALUE"""),"2. Twix")</f>
        <v>2. Twix</v>
      </c>
      <c r="B1905" s="4" t="str">
        <f>IFERROR(__xludf.DUMMYFUNCTION("""COMPUTED_VALUE"""),"2")</f>
        <v>2</v>
      </c>
      <c r="C1905" s="5" t="str">
        <f>IFERROR(__xludf.DUMMYFUNCTION("""COMPUTED_VALUE"""),"https://drive.google.com/file/d/1XgnWdNaFUkuNZPWfD82J6jrr4aLCrPW_/view?usp=drivesdk")</f>
        <v>https://drive.google.com/file/d/1XgnWdNaFUkuNZPWfD82J6jrr4aLCrPW_/view?usp=drivesdk</v>
      </c>
      <c r="D1905" s="12"/>
      <c r="E1905" s="13">
        <v>1955.0</v>
      </c>
      <c r="F1905" s="2"/>
    </row>
    <row r="1906" ht="1.5" customHeight="1">
      <c r="A1906" s="4" t="str">
        <f>IFERROR(__xludf.DUMMYFUNCTION("""COMPUTED_VALUE"""),"2. Twix")</f>
        <v>2. Twix</v>
      </c>
      <c r="B1906" s="4" t="str">
        <f>IFERROR(__xludf.DUMMYFUNCTION("""COMPUTED_VALUE"""),"2")</f>
        <v>2</v>
      </c>
      <c r="C1906" s="5" t="str">
        <f>IFERROR(__xludf.DUMMYFUNCTION("""COMPUTED_VALUE"""),"https://drive.google.com/file/d/1vY3OwA96D5WMBSpCHGG2f91Xa7LbDzIc/view?usp=drivesdk")</f>
        <v>https://drive.google.com/file/d/1vY3OwA96D5WMBSpCHGG2f91Xa7LbDzIc/view?usp=drivesdk</v>
      </c>
      <c r="D1906" s="12"/>
      <c r="E1906" s="13">
        <v>1956.0</v>
      </c>
      <c r="F1906" s="2"/>
    </row>
    <row r="1907" ht="1.5" customHeight="1">
      <c r="A1907" s="4" t="str">
        <f>IFERROR(__xludf.DUMMYFUNCTION("""COMPUTED_VALUE"""),"1. Microwave")</f>
        <v>1. Microwave</v>
      </c>
      <c r="B1907" s="4" t="str">
        <f>IFERROR(__xludf.DUMMYFUNCTION("""COMPUTED_VALUE"""),"1")</f>
        <v>1</v>
      </c>
      <c r="C1907" s="5" t="str">
        <f>IFERROR(__xludf.DUMMYFUNCTION("""COMPUTED_VALUE"""),"https://drive.google.com/file/d/1g0nKJ3ulINfmkOcRV8wsfDTKWkUzscdk/view?usp=drivesdk")</f>
        <v>https://drive.google.com/file/d/1g0nKJ3ulINfmkOcRV8wsfDTKWkUzscdk/view?usp=drivesdk</v>
      </c>
      <c r="D1907" s="12"/>
      <c r="E1907" s="13">
        <v>1957.0</v>
      </c>
      <c r="F1907" s="2"/>
    </row>
    <row r="1908" ht="1.5" customHeight="1">
      <c r="A1908" s="4" t="str">
        <f>IFERROR(__xludf.DUMMYFUNCTION("""COMPUTED_VALUE"""),"1. Microwave")</f>
        <v>1. Microwave</v>
      </c>
      <c r="B1908" s="4" t="str">
        <f>IFERROR(__xludf.DUMMYFUNCTION("""COMPUTED_VALUE"""),"1")</f>
        <v>1</v>
      </c>
      <c r="C1908" s="5" t="str">
        <f>IFERROR(__xludf.DUMMYFUNCTION("""COMPUTED_VALUE"""),"https://drive.google.com/file/d/1aXwzpuxl74kNmleICZq3tl7g5Zl_G--C/view?usp=drivesdk")</f>
        <v>https://drive.google.com/file/d/1aXwzpuxl74kNmleICZq3tl7g5Zl_G--C/view?usp=drivesdk</v>
      </c>
      <c r="D1908" s="12"/>
      <c r="E1908" s="13">
        <v>1958.0</v>
      </c>
      <c r="F1908" s="2"/>
    </row>
    <row r="1909" ht="1.5" customHeight="1">
      <c r="A1909" s="4" t="str">
        <f>IFERROR(__xludf.DUMMYFUNCTION("""COMPUTED_VALUE"""),"1. Microwave")</f>
        <v>1. Microwave</v>
      </c>
      <c r="B1909" s="4" t="str">
        <f>IFERROR(__xludf.DUMMYFUNCTION("""COMPUTED_VALUE"""),"1")</f>
        <v>1</v>
      </c>
      <c r="C1909" s="5" t="str">
        <f>IFERROR(__xludf.DUMMYFUNCTION("""COMPUTED_VALUE"""),"https://drive.google.com/file/d/1v0L06GZCqzQwO2rGct7cCmMLNeXoK4Po/view?usp=drivesdk")</f>
        <v>https://drive.google.com/file/d/1v0L06GZCqzQwO2rGct7cCmMLNeXoK4Po/view?usp=drivesdk</v>
      </c>
      <c r="D1909" s="12"/>
      <c r="E1909" s="13">
        <v>1959.0</v>
      </c>
      <c r="F1909" s="2"/>
    </row>
    <row r="1910" ht="1.5" customHeight="1">
      <c r="A1910" s="4" t="str">
        <f>IFERROR(__xludf.DUMMYFUNCTION("""COMPUTED_VALUE"""),"1. Microwave")</f>
        <v>1. Microwave</v>
      </c>
      <c r="B1910" s="4" t="str">
        <f>IFERROR(__xludf.DUMMYFUNCTION("""COMPUTED_VALUE"""),"1")</f>
        <v>1</v>
      </c>
      <c r="C1910" s="5" t="str">
        <f>IFERROR(__xludf.DUMMYFUNCTION("""COMPUTED_VALUE"""),"https://drive.google.com/file/d/1edlsg75UzS3UYNH9m9yj9R19Eha6QGay/view?usp=drivesdk")</f>
        <v>https://drive.google.com/file/d/1edlsg75UzS3UYNH9m9yj9R19Eha6QGay/view?usp=drivesdk</v>
      </c>
      <c r="D1910" s="12"/>
      <c r="E1910" s="13">
        <v>1960.0</v>
      </c>
      <c r="F1910" s="2"/>
    </row>
    <row r="1911" ht="1.5" customHeight="1">
      <c r="A1911" s="4" t="str">
        <f>IFERROR(__xludf.DUMMYFUNCTION("""COMPUTED_VALUE"""),"2. Twix, 4. Eggs")</f>
        <v>2. Twix, 4. Eggs</v>
      </c>
      <c r="B1911" s="4" t="str">
        <f>IFERROR(__xludf.DUMMYFUNCTION("""COMPUTED_VALUE"""),"2, 4")</f>
        <v>2, 4</v>
      </c>
      <c r="C1911" s="5" t="str">
        <f>IFERROR(__xludf.DUMMYFUNCTION("""COMPUTED_VALUE"""),"https://drive.google.com/file/d/1wWlcxVkRhiq-NP66wC2ndqdru5iECFa3/view?usp=drivesdk")</f>
        <v>https://drive.google.com/file/d/1wWlcxVkRhiq-NP66wC2ndqdru5iECFa3/view?usp=drivesdk</v>
      </c>
      <c r="D1911" s="12"/>
      <c r="E1911" s="13">
        <v>1961.0</v>
      </c>
      <c r="F1911" s="2"/>
    </row>
    <row r="1912" ht="1.5" customHeight="1">
      <c r="A1912" s="4" t="str">
        <f>IFERROR(__xludf.DUMMYFUNCTION("""COMPUTED_VALUE"""),"1. Microwave")</f>
        <v>1. Microwave</v>
      </c>
      <c r="B1912" s="4" t="str">
        <f>IFERROR(__xludf.DUMMYFUNCTION("""COMPUTED_VALUE"""),"1")</f>
        <v>1</v>
      </c>
      <c r="C1912" s="5" t="str">
        <f>IFERROR(__xludf.DUMMYFUNCTION("""COMPUTED_VALUE"""),"https://drive.google.com/file/d/1nUN-eDJGvm_dQjgKEJZipf-pqLppFREm/view?usp=drivesdk")</f>
        <v>https://drive.google.com/file/d/1nUN-eDJGvm_dQjgKEJZipf-pqLppFREm/view?usp=drivesdk</v>
      </c>
      <c r="D1912" s="12"/>
      <c r="E1912" s="13">
        <v>1962.0</v>
      </c>
      <c r="F1912" s="2"/>
    </row>
    <row r="1913" ht="1.5" customHeight="1">
      <c r="A1913" s="4" t="str">
        <f>IFERROR(__xludf.DUMMYFUNCTION("""COMPUTED_VALUE"""),"1. Microwave")</f>
        <v>1. Microwave</v>
      </c>
      <c r="B1913" s="4" t="str">
        <f>IFERROR(__xludf.DUMMYFUNCTION("""COMPUTED_VALUE"""),"1")</f>
        <v>1</v>
      </c>
      <c r="C1913" s="5" t="str">
        <f>IFERROR(__xludf.DUMMYFUNCTION("""COMPUTED_VALUE"""),"https://drive.google.com/file/d/1fyg5l3HQC4hdA1SEPvtp9edUgF_mXf0s/view?usp=drivesdk")</f>
        <v>https://drive.google.com/file/d/1fyg5l3HQC4hdA1SEPvtp9edUgF_mXf0s/view?usp=drivesdk</v>
      </c>
      <c r="D1913" s="12"/>
      <c r="E1913" s="13">
        <v>1963.0</v>
      </c>
      <c r="F1913" s="2"/>
    </row>
    <row r="1914" ht="1.5" customHeight="1">
      <c r="A1914" s="4" t="str">
        <f>IFERROR(__xludf.DUMMYFUNCTION("""COMPUTED_VALUE"""),"0. NotACat")</f>
        <v>0. NotACat</v>
      </c>
      <c r="B1914" s="4" t="str">
        <f>IFERROR(__xludf.DUMMYFUNCTION("""COMPUTED_VALUE"""),"0")</f>
        <v>0</v>
      </c>
      <c r="C1914" s="5" t="str">
        <f>IFERROR(__xludf.DUMMYFUNCTION("""COMPUTED_VALUE"""),"https://drive.google.com/file/d/1LmWFdJCk_RjoaxCkpIYkVwblMvjLpTa6/view?usp=drivesdk")</f>
        <v>https://drive.google.com/file/d/1LmWFdJCk_RjoaxCkpIYkVwblMvjLpTa6/view?usp=drivesdk</v>
      </c>
      <c r="D1914" s="12"/>
      <c r="E1914" s="13">
        <v>1964.0</v>
      </c>
      <c r="F1914" s="2"/>
    </row>
    <row r="1915" ht="1.5" customHeight="1">
      <c r="A1915" s="4" t="str">
        <f>IFERROR(__xludf.DUMMYFUNCTION("""COMPUTED_VALUE"""),"0. NotACat")</f>
        <v>0. NotACat</v>
      </c>
      <c r="B1915" s="4" t="str">
        <f>IFERROR(__xludf.DUMMYFUNCTION("""COMPUTED_VALUE"""),"0")</f>
        <v>0</v>
      </c>
      <c r="C1915" s="5" t="str">
        <f>IFERROR(__xludf.DUMMYFUNCTION("""COMPUTED_VALUE"""),"https://drive.google.com/file/d/1WXLP35v4bsODlh8NI0BeK_PLLyjGpYC6/view?usp=drivesdk")</f>
        <v>https://drive.google.com/file/d/1WXLP35v4bsODlh8NI0BeK_PLLyjGpYC6/view?usp=drivesdk</v>
      </c>
      <c r="D1915" s="12"/>
      <c r="E1915" s="13">
        <v>1965.0</v>
      </c>
      <c r="F1915" s="2"/>
    </row>
    <row r="1916" ht="1.5" customHeight="1">
      <c r="A1916" s="4" t="str">
        <f>IFERROR(__xludf.DUMMYFUNCTION("""COMPUTED_VALUE"""),"0. NotACat")</f>
        <v>0. NotACat</v>
      </c>
      <c r="B1916" s="4" t="str">
        <f>IFERROR(__xludf.DUMMYFUNCTION("""COMPUTED_VALUE"""),"0")</f>
        <v>0</v>
      </c>
      <c r="C1916" s="5" t="str">
        <f>IFERROR(__xludf.DUMMYFUNCTION("""COMPUTED_VALUE"""),"https://drive.google.com/file/d/1xGQzLAzmNpGto2DLdfp4bPnct8M0rSSg/view?usp=drivesdk")</f>
        <v>https://drive.google.com/file/d/1xGQzLAzmNpGto2DLdfp4bPnct8M0rSSg/view?usp=drivesdk</v>
      </c>
      <c r="D1916" s="12"/>
      <c r="E1916" s="13">
        <v>1966.0</v>
      </c>
      <c r="F1916" s="2"/>
    </row>
    <row r="1917" ht="1.5" customHeight="1">
      <c r="A1917" s="4" t="str">
        <f>IFERROR(__xludf.DUMMYFUNCTION("""COMPUTED_VALUE"""),"1. Microwave")</f>
        <v>1. Microwave</v>
      </c>
      <c r="B1917" s="4" t="str">
        <f>IFERROR(__xludf.DUMMYFUNCTION("""COMPUTED_VALUE"""),"1")</f>
        <v>1</v>
      </c>
      <c r="C1917" s="5" t="str">
        <f>IFERROR(__xludf.DUMMYFUNCTION("""COMPUTED_VALUE"""),"https://drive.google.com/file/d/1TI5qJB4rYp0zg5ZV22mCQgGy1mVx5X6M/view?usp=drivesdk")</f>
        <v>https://drive.google.com/file/d/1TI5qJB4rYp0zg5ZV22mCQgGy1mVx5X6M/view?usp=drivesdk</v>
      </c>
      <c r="D1917" s="12"/>
      <c r="E1917" s="13">
        <v>1967.0</v>
      </c>
      <c r="F1917" s="2"/>
    </row>
    <row r="1918" ht="1.5" customHeight="1">
      <c r="A1918" s="4" t="str">
        <f>IFERROR(__xludf.DUMMYFUNCTION("""COMPUTED_VALUE"""),"1. Microwave")</f>
        <v>1. Microwave</v>
      </c>
      <c r="B1918" s="4" t="str">
        <f>IFERROR(__xludf.DUMMYFUNCTION("""COMPUTED_VALUE"""),"1")</f>
        <v>1</v>
      </c>
      <c r="C1918" s="5" t="str">
        <f>IFERROR(__xludf.DUMMYFUNCTION("""COMPUTED_VALUE"""),"https://drive.google.com/file/d/1-vmCmO7O8NGToAG1T0xObZTxASxOkozW/view?usp=drivesdk")</f>
        <v>https://drive.google.com/file/d/1-vmCmO7O8NGToAG1T0xObZTxASxOkozW/view?usp=drivesdk</v>
      </c>
      <c r="D1918" s="12"/>
      <c r="E1918" s="13">
        <v>1968.0</v>
      </c>
      <c r="F1918" s="2"/>
    </row>
    <row r="1919" ht="1.5" customHeight="1">
      <c r="A1919" s="4" t="str">
        <f>IFERROR(__xludf.DUMMYFUNCTION("""COMPUTED_VALUE"""),"1. Microwave")</f>
        <v>1. Microwave</v>
      </c>
      <c r="B1919" s="4" t="str">
        <f>IFERROR(__xludf.DUMMYFUNCTION("""COMPUTED_VALUE"""),"1")</f>
        <v>1</v>
      </c>
      <c r="C1919" s="5" t="str">
        <f>IFERROR(__xludf.DUMMYFUNCTION("""COMPUTED_VALUE"""),"https://drive.google.com/file/d/1ANmd_6CyeFXL_OENahsTlMY3tE29wMBa/view?usp=drivesdk")</f>
        <v>https://drive.google.com/file/d/1ANmd_6CyeFXL_OENahsTlMY3tE29wMBa/view?usp=drivesdk</v>
      </c>
      <c r="D1919" s="12"/>
      <c r="E1919" s="13">
        <v>1969.0</v>
      </c>
      <c r="F1919" s="2"/>
    </row>
    <row r="1920" ht="1.5" customHeight="1">
      <c r="A1920" s="4" t="str">
        <f>IFERROR(__xludf.DUMMYFUNCTION("""COMPUTED_VALUE"""),"1. Microwave")</f>
        <v>1. Microwave</v>
      </c>
      <c r="B1920" s="4" t="str">
        <f>IFERROR(__xludf.DUMMYFUNCTION("""COMPUTED_VALUE"""),"1")</f>
        <v>1</v>
      </c>
      <c r="C1920" s="5" t="str">
        <f>IFERROR(__xludf.DUMMYFUNCTION("""COMPUTED_VALUE"""),"https://drive.google.com/file/d/1K8oz0gh-1KwSISfzvtcMspGEhDVUoa_d/view?usp=drivesdk")</f>
        <v>https://drive.google.com/file/d/1K8oz0gh-1KwSISfzvtcMspGEhDVUoa_d/view?usp=drivesdk</v>
      </c>
      <c r="D1920" s="12"/>
      <c r="E1920" s="13">
        <v>1970.0</v>
      </c>
      <c r="F1920" s="2"/>
    </row>
    <row r="1921" ht="1.5" customHeight="1">
      <c r="A1921" s="4" t="str">
        <f>IFERROR(__xludf.DUMMYFUNCTION("""COMPUTED_VALUE"""),"1. Microwave")</f>
        <v>1. Microwave</v>
      </c>
      <c r="B1921" s="4" t="str">
        <f>IFERROR(__xludf.DUMMYFUNCTION("""COMPUTED_VALUE"""),"1")</f>
        <v>1</v>
      </c>
      <c r="C1921" s="5" t="str">
        <f>IFERROR(__xludf.DUMMYFUNCTION("""COMPUTED_VALUE"""),"https://drive.google.com/file/d/1oM0NKTowgDaTVl4q_tfMc_GjwsFTklSr/view?usp=drivesdk")</f>
        <v>https://drive.google.com/file/d/1oM0NKTowgDaTVl4q_tfMc_GjwsFTklSr/view?usp=drivesdk</v>
      </c>
      <c r="D1921" s="12"/>
      <c r="E1921" s="13">
        <v>1971.0</v>
      </c>
      <c r="F1921" s="2"/>
    </row>
    <row r="1922" ht="1.5" customHeight="1">
      <c r="A1922" s="4" t="str">
        <f>IFERROR(__xludf.DUMMYFUNCTION("""COMPUTED_VALUE"""),"1. Microwave")</f>
        <v>1. Microwave</v>
      </c>
      <c r="B1922" s="4" t="str">
        <f>IFERROR(__xludf.DUMMYFUNCTION("""COMPUTED_VALUE"""),"1")</f>
        <v>1</v>
      </c>
      <c r="C1922" s="5" t="str">
        <f>IFERROR(__xludf.DUMMYFUNCTION("""COMPUTED_VALUE"""),"https://drive.google.com/file/d/1cFPqDaYlrSZQPMYA7_0pGu57jqtn8r3g/view?usp=drivesdk")</f>
        <v>https://drive.google.com/file/d/1cFPqDaYlrSZQPMYA7_0pGu57jqtn8r3g/view?usp=drivesdk</v>
      </c>
      <c r="D1922" s="12"/>
      <c r="E1922" s="13">
        <v>1972.0</v>
      </c>
      <c r="F1922" s="2"/>
    </row>
    <row r="1923" ht="1.5" customHeight="1">
      <c r="A1923" s="4" t="str">
        <f>IFERROR(__xludf.DUMMYFUNCTION("""COMPUTED_VALUE"""),"1. Microwave")</f>
        <v>1. Microwave</v>
      </c>
      <c r="B1923" s="4" t="str">
        <f>IFERROR(__xludf.DUMMYFUNCTION("""COMPUTED_VALUE"""),"1")</f>
        <v>1</v>
      </c>
      <c r="C1923" s="5" t="str">
        <f>IFERROR(__xludf.DUMMYFUNCTION("""COMPUTED_VALUE"""),"https://drive.google.com/file/d/1DfSacC7bzKUzyOxlwKM-fGdLueaHAnYq/view?usp=drivesdk")</f>
        <v>https://drive.google.com/file/d/1DfSacC7bzKUzyOxlwKM-fGdLueaHAnYq/view?usp=drivesdk</v>
      </c>
      <c r="D1923" s="12"/>
      <c r="E1923" s="13">
        <v>1973.0</v>
      </c>
      <c r="F1923" s="2"/>
    </row>
    <row r="1924" ht="1.5" customHeight="1">
      <c r="A1924" s="4" t="str">
        <f>IFERROR(__xludf.DUMMYFUNCTION("""COMPUTED_VALUE"""),"0. NotACat")</f>
        <v>0. NotACat</v>
      </c>
      <c r="B1924" s="4" t="str">
        <f>IFERROR(__xludf.DUMMYFUNCTION("""COMPUTED_VALUE"""),"0")</f>
        <v>0</v>
      </c>
      <c r="C1924" s="5" t="str">
        <f>IFERROR(__xludf.DUMMYFUNCTION("""COMPUTED_VALUE"""),"https://drive.google.com/file/d/1_aNl1lAvxc4F2g_a26vS_0mjc2UeHdZd/view?usp=drivesdk")</f>
        <v>https://drive.google.com/file/d/1_aNl1lAvxc4F2g_a26vS_0mjc2UeHdZd/view?usp=drivesdk</v>
      </c>
      <c r="D1924" s="12"/>
      <c r="E1924" s="13">
        <v>1974.0</v>
      </c>
      <c r="F1924" s="2"/>
    </row>
    <row r="1925" ht="1.5" customHeight="1">
      <c r="A1925" s="4" t="str">
        <f>IFERROR(__xludf.DUMMYFUNCTION("""COMPUTED_VALUE"""),"0. NotACat")</f>
        <v>0. NotACat</v>
      </c>
      <c r="B1925" s="4" t="str">
        <f>IFERROR(__xludf.DUMMYFUNCTION("""COMPUTED_VALUE"""),"0")</f>
        <v>0</v>
      </c>
      <c r="C1925" s="5" t="str">
        <f>IFERROR(__xludf.DUMMYFUNCTION("""COMPUTED_VALUE"""),"https://drive.google.com/file/d/1ddbBbsxSWU-lSzRr4U20dEqKyCPnaYwp/view?usp=drivesdk")</f>
        <v>https://drive.google.com/file/d/1ddbBbsxSWU-lSzRr4U20dEqKyCPnaYwp/view?usp=drivesdk</v>
      </c>
      <c r="D1925" s="12"/>
      <c r="E1925" s="13">
        <v>1975.0</v>
      </c>
      <c r="F1925" s="2"/>
    </row>
    <row r="1926" ht="1.5" customHeight="1">
      <c r="A1926" s="4" t="str">
        <f>IFERROR(__xludf.DUMMYFUNCTION("""COMPUTED_VALUE"""),"0. NotACat")</f>
        <v>0. NotACat</v>
      </c>
      <c r="B1926" s="4" t="str">
        <f>IFERROR(__xludf.DUMMYFUNCTION("""COMPUTED_VALUE"""),"0")</f>
        <v>0</v>
      </c>
      <c r="C1926" s="5" t="str">
        <f>IFERROR(__xludf.DUMMYFUNCTION("""COMPUTED_VALUE"""),"https://drive.google.com/file/d/1d_b87xoZGDth-3-V59IBIvd977WJMy-1/view?usp=drivesdk")</f>
        <v>https://drive.google.com/file/d/1d_b87xoZGDth-3-V59IBIvd977WJMy-1/view?usp=drivesdk</v>
      </c>
      <c r="D1926" s="12"/>
      <c r="E1926" s="13">
        <v>1976.0</v>
      </c>
      <c r="F1926" s="2"/>
    </row>
    <row r="1927" ht="1.5" customHeight="1">
      <c r="A1927" s="4" t="str">
        <f>IFERROR(__xludf.DUMMYFUNCTION("""COMPUTED_VALUE"""),"1. Microwave")</f>
        <v>1. Microwave</v>
      </c>
      <c r="B1927" s="4" t="str">
        <f>IFERROR(__xludf.DUMMYFUNCTION("""COMPUTED_VALUE"""),"1")</f>
        <v>1</v>
      </c>
      <c r="C1927" s="5" t="str">
        <f>IFERROR(__xludf.DUMMYFUNCTION("""COMPUTED_VALUE"""),"https://drive.google.com/file/d/1EiX-QlL-6Eo5S4kwoFwLCtRTlU1-PvXn/view?usp=drivesdk")</f>
        <v>https://drive.google.com/file/d/1EiX-QlL-6Eo5S4kwoFwLCtRTlU1-PvXn/view?usp=drivesdk</v>
      </c>
      <c r="D1927" s="12"/>
      <c r="E1927" s="13">
        <v>1977.0</v>
      </c>
      <c r="F1927" s="2"/>
    </row>
    <row r="1928" ht="1.5" customHeight="1">
      <c r="A1928" s="4" t="str">
        <f>IFERROR(__xludf.DUMMYFUNCTION("""COMPUTED_VALUE"""),"1. Microwave")</f>
        <v>1. Microwave</v>
      </c>
      <c r="B1928" s="4" t="str">
        <f>IFERROR(__xludf.DUMMYFUNCTION("""COMPUTED_VALUE"""),"1")</f>
        <v>1</v>
      </c>
      <c r="C1928" s="5" t="str">
        <f>IFERROR(__xludf.DUMMYFUNCTION("""COMPUTED_VALUE"""),"https://drive.google.com/file/d/1zkTXXNaSXtRnZWo-AodLntqeyU_DCBak/view?usp=drivesdk")</f>
        <v>https://drive.google.com/file/d/1zkTXXNaSXtRnZWo-AodLntqeyU_DCBak/view?usp=drivesdk</v>
      </c>
      <c r="D1928" s="12"/>
      <c r="E1928" s="13">
        <v>1978.0</v>
      </c>
      <c r="F1928" s="2"/>
    </row>
    <row r="1929" ht="1.5" customHeight="1">
      <c r="A1929" s="4" t="str">
        <f>IFERROR(__xludf.DUMMYFUNCTION("""COMPUTED_VALUE"""),"1. Microwave")</f>
        <v>1. Microwave</v>
      </c>
      <c r="B1929" s="4" t="str">
        <f>IFERROR(__xludf.DUMMYFUNCTION("""COMPUTED_VALUE"""),"1")</f>
        <v>1</v>
      </c>
      <c r="C1929" s="5" t="str">
        <f>IFERROR(__xludf.DUMMYFUNCTION("""COMPUTED_VALUE"""),"https://drive.google.com/file/d/1lNc57xWSLWgXxwx_ret2lS88N7yOQRlw/view?usp=drivesdk")</f>
        <v>https://drive.google.com/file/d/1lNc57xWSLWgXxwx_ret2lS88N7yOQRlw/view?usp=drivesdk</v>
      </c>
      <c r="D1929" s="12"/>
      <c r="E1929" s="13">
        <v>1979.0</v>
      </c>
      <c r="F1929" s="2"/>
    </row>
    <row r="1930" ht="1.5" customHeight="1">
      <c r="A1930" s="4" t="str">
        <f>IFERROR(__xludf.DUMMYFUNCTION("""COMPUTED_VALUE"""),"1. Microwave")</f>
        <v>1. Microwave</v>
      </c>
      <c r="B1930" s="4" t="str">
        <f>IFERROR(__xludf.DUMMYFUNCTION("""COMPUTED_VALUE"""),"1")</f>
        <v>1</v>
      </c>
      <c r="C1930" s="5" t="str">
        <f>IFERROR(__xludf.DUMMYFUNCTION("""COMPUTED_VALUE"""),"https://drive.google.com/file/d/1peW1yYAaFxveMUiCDLOGfSmgQHrrlXnc/view?usp=drivesdk")</f>
        <v>https://drive.google.com/file/d/1peW1yYAaFxveMUiCDLOGfSmgQHrrlXnc/view?usp=drivesdk</v>
      </c>
      <c r="D1930" s="12"/>
      <c r="E1930" s="13">
        <v>1980.0</v>
      </c>
      <c r="F1930" s="2"/>
    </row>
    <row r="1931" ht="1.5" customHeight="1">
      <c r="A1931" s="4" t="str">
        <f>IFERROR(__xludf.DUMMYFUNCTION("""COMPUTED_VALUE"""),"1. Microwave")</f>
        <v>1. Microwave</v>
      </c>
      <c r="B1931" s="4" t="str">
        <f>IFERROR(__xludf.DUMMYFUNCTION("""COMPUTED_VALUE"""),"1")</f>
        <v>1</v>
      </c>
      <c r="C1931" s="5" t="str">
        <f>IFERROR(__xludf.DUMMYFUNCTION("""COMPUTED_VALUE"""),"https://drive.google.com/file/d/1TjLyvzq-TCKU5Ljjq9qwyWkK_9p7-ths/view?usp=drivesdk")</f>
        <v>https://drive.google.com/file/d/1TjLyvzq-TCKU5Ljjq9qwyWkK_9p7-ths/view?usp=drivesdk</v>
      </c>
      <c r="D1931" s="12"/>
      <c r="E1931" s="13">
        <v>1981.0</v>
      </c>
      <c r="F1931" s="2"/>
    </row>
    <row r="1932" ht="1.5" customHeight="1">
      <c r="A1932" s="4" t="str">
        <f>IFERROR(__xludf.DUMMYFUNCTION("""COMPUTED_VALUE"""),"1. Microwave")</f>
        <v>1. Microwave</v>
      </c>
      <c r="B1932" s="4" t="str">
        <f>IFERROR(__xludf.DUMMYFUNCTION("""COMPUTED_VALUE"""),"1")</f>
        <v>1</v>
      </c>
      <c r="C1932" s="5" t="str">
        <f>IFERROR(__xludf.DUMMYFUNCTION("""COMPUTED_VALUE"""),"https://drive.google.com/file/d/1cg1bSBsDTYSIZ9vkGfHGi0gG_KQkMcLI/view?usp=drivesdk")</f>
        <v>https://drive.google.com/file/d/1cg1bSBsDTYSIZ9vkGfHGi0gG_KQkMcLI/view?usp=drivesdk</v>
      </c>
      <c r="D1932" s="12"/>
      <c r="E1932" s="13">
        <v>1982.0</v>
      </c>
      <c r="F1932" s="2"/>
    </row>
    <row r="1933" ht="1.5" customHeight="1">
      <c r="A1933" s="4" t="str">
        <f>IFERROR(__xludf.DUMMYFUNCTION("""COMPUTED_VALUE"""),"1. Microwave")</f>
        <v>1. Microwave</v>
      </c>
      <c r="B1933" s="4" t="str">
        <f>IFERROR(__xludf.DUMMYFUNCTION("""COMPUTED_VALUE"""),"1")</f>
        <v>1</v>
      </c>
      <c r="C1933" s="5" t="str">
        <f>IFERROR(__xludf.DUMMYFUNCTION("""COMPUTED_VALUE"""),"https://drive.google.com/file/d/1L58o49VbaPZd9ga3dSLMK9KN5vrE0RUv/view?usp=drivesdk")</f>
        <v>https://drive.google.com/file/d/1L58o49VbaPZd9ga3dSLMK9KN5vrE0RUv/view?usp=drivesdk</v>
      </c>
      <c r="D1933" s="12"/>
      <c r="E1933" s="13">
        <v>1983.0</v>
      </c>
      <c r="F1933" s="2"/>
    </row>
    <row r="1934" ht="1.5" customHeight="1">
      <c r="A1934" s="4" t="str">
        <f>IFERROR(__xludf.DUMMYFUNCTION("""COMPUTED_VALUE"""),"1. Microwave")</f>
        <v>1. Microwave</v>
      </c>
      <c r="B1934" s="4" t="str">
        <f>IFERROR(__xludf.DUMMYFUNCTION("""COMPUTED_VALUE"""),"1")</f>
        <v>1</v>
      </c>
      <c r="C1934" s="5" t="str">
        <f>IFERROR(__xludf.DUMMYFUNCTION("""COMPUTED_VALUE"""),"https://drive.google.com/file/d/17Xz13yK7ICcFiJElVwaelJnvmE1bWxeO/view?usp=drivesdk")</f>
        <v>https://drive.google.com/file/d/17Xz13yK7ICcFiJElVwaelJnvmE1bWxeO/view?usp=drivesdk</v>
      </c>
      <c r="D1934" s="12"/>
      <c r="E1934" s="13">
        <v>1984.0</v>
      </c>
      <c r="F1934" s="2"/>
    </row>
    <row r="1935" ht="1.5" customHeight="1">
      <c r="A1935" s="4" t="str">
        <f>IFERROR(__xludf.DUMMYFUNCTION("""COMPUTED_VALUE"""),"1. Microwave")</f>
        <v>1. Microwave</v>
      </c>
      <c r="B1935" s="4" t="str">
        <f>IFERROR(__xludf.DUMMYFUNCTION("""COMPUTED_VALUE"""),"1")</f>
        <v>1</v>
      </c>
      <c r="C1935" s="5" t="str">
        <f>IFERROR(__xludf.DUMMYFUNCTION("""COMPUTED_VALUE"""),"https://drive.google.com/file/d/1D91pkBNPY2K_PU4hPjbN06RN3RHeb7cK/view?usp=drivesdk")</f>
        <v>https://drive.google.com/file/d/1D91pkBNPY2K_PU4hPjbN06RN3RHeb7cK/view?usp=drivesdk</v>
      </c>
      <c r="D1935" s="12"/>
      <c r="E1935" s="13">
        <v>1985.0</v>
      </c>
      <c r="F1935" s="2"/>
    </row>
    <row r="1936" ht="1.5" customHeight="1">
      <c r="A1936" s="4" t="str">
        <f>IFERROR(__xludf.DUMMYFUNCTION("""COMPUTED_VALUE"""),"1. Microwave")</f>
        <v>1. Microwave</v>
      </c>
      <c r="B1936" s="4" t="str">
        <f>IFERROR(__xludf.DUMMYFUNCTION("""COMPUTED_VALUE"""),"1")</f>
        <v>1</v>
      </c>
      <c r="C1936" s="5" t="str">
        <f>IFERROR(__xludf.DUMMYFUNCTION("""COMPUTED_VALUE"""),"https://drive.google.com/file/d/16lNkJWp_x8GaRLozGgia_OaUxJ2D8ivg/view?usp=drivesdk")</f>
        <v>https://drive.google.com/file/d/16lNkJWp_x8GaRLozGgia_OaUxJ2D8ivg/view?usp=drivesdk</v>
      </c>
      <c r="D1936" s="12"/>
      <c r="E1936" s="13">
        <v>1986.0</v>
      </c>
      <c r="F1936" s="2"/>
    </row>
    <row r="1937" ht="1.5" customHeight="1">
      <c r="A1937" s="4" t="str">
        <f>IFERROR(__xludf.DUMMYFUNCTION("""COMPUTED_VALUE"""),"1. Microwave")</f>
        <v>1. Microwave</v>
      </c>
      <c r="B1937" s="4" t="str">
        <f>IFERROR(__xludf.DUMMYFUNCTION("""COMPUTED_VALUE"""),"1")</f>
        <v>1</v>
      </c>
      <c r="C1937" s="5" t="str">
        <f>IFERROR(__xludf.DUMMYFUNCTION("""COMPUTED_VALUE"""),"https://drive.google.com/file/d/1uo7exp0Fo84xuiIAdRx5SX68kYJOpYen/view?usp=drivesdk")</f>
        <v>https://drive.google.com/file/d/1uo7exp0Fo84xuiIAdRx5SX68kYJOpYen/view?usp=drivesdk</v>
      </c>
      <c r="D1937" s="12"/>
      <c r="E1937" s="13">
        <v>1987.0</v>
      </c>
      <c r="F1937" s="2"/>
    </row>
    <row r="1938" ht="1.5" customHeight="1">
      <c r="A1938" s="4" t="str">
        <f>IFERROR(__xludf.DUMMYFUNCTION("""COMPUTED_VALUE"""),"1. Microwave")</f>
        <v>1. Microwave</v>
      </c>
      <c r="B1938" s="4" t="str">
        <f>IFERROR(__xludf.DUMMYFUNCTION("""COMPUTED_VALUE"""),"1")</f>
        <v>1</v>
      </c>
      <c r="C1938" s="5" t="str">
        <f>IFERROR(__xludf.DUMMYFUNCTION("""COMPUTED_VALUE"""),"https://drive.google.com/file/d/1f3eV-CZCdo7aWtztMnV-juEeJZNInBPv/view?usp=drivesdk")</f>
        <v>https://drive.google.com/file/d/1f3eV-CZCdo7aWtztMnV-juEeJZNInBPv/view?usp=drivesdk</v>
      </c>
      <c r="D1938" s="12"/>
      <c r="E1938" s="13">
        <v>1988.0</v>
      </c>
      <c r="F1938" s="2"/>
    </row>
    <row r="1939" ht="1.5" customHeight="1">
      <c r="A1939" s="4" t="str">
        <f>IFERROR(__xludf.DUMMYFUNCTION("""COMPUTED_VALUE"""),"1. Microwave")</f>
        <v>1. Microwave</v>
      </c>
      <c r="B1939" s="4" t="str">
        <f>IFERROR(__xludf.DUMMYFUNCTION("""COMPUTED_VALUE"""),"1")</f>
        <v>1</v>
      </c>
      <c r="C1939" s="5" t="str">
        <f>IFERROR(__xludf.DUMMYFUNCTION("""COMPUTED_VALUE"""),"https://drive.google.com/file/d/13uRcZ3DujO086M921kuiSg1pKJdCGxpI/view?usp=drivesdk")</f>
        <v>https://drive.google.com/file/d/13uRcZ3DujO086M921kuiSg1pKJdCGxpI/view?usp=drivesdk</v>
      </c>
      <c r="D1939" s="12"/>
      <c r="E1939" s="13">
        <v>1989.0</v>
      </c>
      <c r="F1939" s="2"/>
    </row>
    <row r="1940" ht="1.5" customHeight="1">
      <c r="A1940" s="4" t="str">
        <f>IFERROR(__xludf.DUMMYFUNCTION("""COMPUTED_VALUE"""),"1. Microwave")</f>
        <v>1. Microwave</v>
      </c>
      <c r="B1940" s="4" t="str">
        <f>IFERROR(__xludf.DUMMYFUNCTION("""COMPUTED_VALUE"""),"1")</f>
        <v>1</v>
      </c>
      <c r="C1940" s="5" t="str">
        <f>IFERROR(__xludf.DUMMYFUNCTION("""COMPUTED_VALUE"""),"https://drive.google.com/file/d/1VS5HFyJ2LW3ahwQv3Mu6a4kVK3dedtX4/view?usp=drivesdk")</f>
        <v>https://drive.google.com/file/d/1VS5HFyJ2LW3ahwQv3Mu6a4kVK3dedtX4/view?usp=drivesdk</v>
      </c>
      <c r="D1940" s="12"/>
      <c r="E1940" s="13">
        <v>1990.0</v>
      </c>
      <c r="F1940" s="2"/>
    </row>
    <row r="1941" ht="1.5" customHeight="1">
      <c r="A1941" s="4" t="str">
        <f>IFERROR(__xludf.DUMMYFUNCTION("""COMPUTED_VALUE"""),"1. Microwave")</f>
        <v>1. Microwave</v>
      </c>
      <c r="B1941" s="4" t="str">
        <f>IFERROR(__xludf.DUMMYFUNCTION("""COMPUTED_VALUE"""),"1")</f>
        <v>1</v>
      </c>
      <c r="C1941" s="5" t="str">
        <f>IFERROR(__xludf.DUMMYFUNCTION("""COMPUTED_VALUE"""),"https://drive.google.com/file/d/1RWIjsh-C5LaeSe3FPS0Hl248Y1_T6_mJ/view?usp=drivesdk")</f>
        <v>https://drive.google.com/file/d/1RWIjsh-C5LaeSe3FPS0Hl248Y1_T6_mJ/view?usp=drivesdk</v>
      </c>
      <c r="D1941" s="12"/>
      <c r="E1941" s="13">
        <v>1991.0</v>
      </c>
      <c r="F1941" s="2"/>
    </row>
    <row r="1942" ht="1.5" customHeight="1">
      <c r="A1942" s="4" t="str">
        <f>IFERROR(__xludf.DUMMYFUNCTION("""COMPUTED_VALUE"""),"1. Microwave")</f>
        <v>1. Microwave</v>
      </c>
      <c r="B1942" s="4" t="str">
        <f>IFERROR(__xludf.DUMMYFUNCTION("""COMPUTED_VALUE"""),"1")</f>
        <v>1</v>
      </c>
      <c r="C1942" s="5" t="str">
        <f>IFERROR(__xludf.DUMMYFUNCTION("""COMPUTED_VALUE"""),"https://drive.google.com/file/d/1EDlBTERQgcnobGH0zWnB2UBeq-xnXXBX/view?usp=drivesdk")</f>
        <v>https://drive.google.com/file/d/1EDlBTERQgcnobGH0zWnB2UBeq-xnXXBX/view?usp=drivesdk</v>
      </c>
      <c r="D1942" s="12"/>
      <c r="E1942" s="13">
        <v>1992.0</v>
      </c>
      <c r="F1942" s="2"/>
    </row>
    <row r="1943" ht="1.5" customHeight="1">
      <c r="A1943" s="4" t="str">
        <f>IFERROR(__xludf.DUMMYFUNCTION("""COMPUTED_VALUE"""),"1. Microwave")</f>
        <v>1. Microwave</v>
      </c>
      <c r="B1943" s="4" t="str">
        <f>IFERROR(__xludf.DUMMYFUNCTION("""COMPUTED_VALUE"""),"1")</f>
        <v>1</v>
      </c>
      <c r="C1943" s="5" t="str">
        <f>IFERROR(__xludf.DUMMYFUNCTION("""COMPUTED_VALUE"""),"https://drive.google.com/file/d/1tbWcMj_hZ6ptmRMaCsPas7EQrYdnPNMl/view?usp=drivesdk")</f>
        <v>https://drive.google.com/file/d/1tbWcMj_hZ6ptmRMaCsPas7EQrYdnPNMl/view?usp=drivesdk</v>
      </c>
      <c r="D1943" s="12"/>
      <c r="E1943" s="13">
        <v>1993.0</v>
      </c>
      <c r="F1943" s="2"/>
    </row>
    <row r="1944" ht="1.5" customHeight="1">
      <c r="A1944" s="4" t="str">
        <f>IFERROR(__xludf.DUMMYFUNCTION("""COMPUTED_VALUE"""),"1. Microwave")</f>
        <v>1. Microwave</v>
      </c>
      <c r="B1944" s="4" t="str">
        <f>IFERROR(__xludf.DUMMYFUNCTION("""COMPUTED_VALUE"""),"1")</f>
        <v>1</v>
      </c>
      <c r="C1944" s="5" t="str">
        <f>IFERROR(__xludf.DUMMYFUNCTION("""COMPUTED_VALUE"""),"https://drive.google.com/file/d/1994lnxD2eEs2uyB5UV0bR5jLpeGBDIIZ/view?usp=drivesdk")</f>
        <v>https://drive.google.com/file/d/1994lnxD2eEs2uyB5UV0bR5jLpeGBDIIZ/view?usp=drivesdk</v>
      </c>
      <c r="D1944" s="12"/>
      <c r="E1944" s="13">
        <v>1994.0</v>
      </c>
      <c r="F1944" s="2"/>
    </row>
    <row r="1945" ht="1.5" customHeight="1">
      <c r="A1945" s="4" t="str">
        <f>IFERROR(__xludf.DUMMYFUNCTION("""COMPUTED_VALUE"""),"2. Twix")</f>
        <v>2. Twix</v>
      </c>
      <c r="B1945" s="4" t="str">
        <f>IFERROR(__xludf.DUMMYFUNCTION("""COMPUTED_VALUE"""),"2")</f>
        <v>2</v>
      </c>
      <c r="C1945" s="5" t="str">
        <f>IFERROR(__xludf.DUMMYFUNCTION("""COMPUTED_VALUE"""),"https://drive.google.com/file/d/1UyD7I1SteFvKsyo0Nbp-bCT99aD5D3Un/view?usp=drivesdk")</f>
        <v>https://drive.google.com/file/d/1UyD7I1SteFvKsyo0Nbp-bCT99aD5D3Un/view?usp=drivesdk</v>
      </c>
      <c r="D1945" s="12"/>
      <c r="E1945" s="13">
        <v>1995.0</v>
      </c>
      <c r="F1945" s="2"/>
    </row>
    <row r="1946" ht="1.5" customHeight="1">
      <c r="A1946" s="4" t="str">
        <f>IFERROR(__xludf.DUMMYFUNCTION("""COMPUTED_VALUE"""),"2. Twix")</f>
        <v>2. Twix</v>
      </c>
      <c r="B1946" s="4" t="str">
        <f>IFERROR(__xludf.DUMMYFUNCTION("""COMPUTED_VALUE"""),"2")</f>
        <v>2</v>
      </c>
      <c r="C1946" s="5" t="str">
        <f>IFERROR(__xludf.DUMMYFUNCTION("""COMPUTED_VALUE"""),"https://drive.google.com/file/d/1Y91PZCuMwkSXl40zt1ZTno-vw4fVPaQD/view?usp=drivesdk")</f>
        <v>https://drive.google.com/file/d/1Y91PZCuMwkSXl40zt1ZTno-vw4fVPaQD/view?usp=drivesdk</v>
      </c>
      <c r="D1946" s="12"/>
      <c r="E1946" s="13">
        <v>1996.0</v>
      </c>
      <c r="F1946" s="2"/>
    </row>
    <row r="1947" ht="1.5" customHeight="1">
      <c r="A1947" s="4" t="str">
        <f>IFERROR(__xludf.DUMMYFUNCTION("""COMPUTED_VALUE"""),"2. Twix")</f>
        <v>2. Twix</v>
      </c>
      <c r="B1947" s="4" t="str">
        <f>IFERROR(__xludf.DUMMYFUNCTION("""COMPUTED_VALUE"""),"2")</f>
        <v>2</v>
      </c>
      <c r="C1947" s="5" t="str">
        <f>IFERROR(__xludf.DUMMYFUNCTION("""COMPUTED_VALUE"""),"https://drive.google.com/file/d/1OuFtUE_mB6DHfaFItInVrCi9nxpo4YLJ/view?usp=drivesdk")</f>
        <v>https://drive.google.com/file/d/1OuFtUE_mB6DHfaFItInVrCi9nxpo4YLJ/view?usp=drivesdk</v>
      </c>
      <c r="D1947" s="12"/>
      <c r="E1947" s="13">
        <v>1997.0</v>
      </c>
      <c r="F1947" s="2"/>
    </row>
    <row r="1948" ht="1.5" customHeight="1">
      <c r="A1948" s="4" t="str">
        <f>IFERROR(__xludf.DUMMYFUNCTION("""COMPUTED_VALUE"""),"2. Twix")</f>
        <v>2. Twix</v>
      </c>
      <c r="B1948" s="4" t="str">
        <f>IFERROR(__xludf.DUMMYFUNCTION("""COMPUTED_VALUE"""),"2")</f>
        <v>2</v>
      </c>
      <c r="C1948" s="5" t="str">
        <f>IFERROR(__xludf.DUMMYFUNCTION("""COMPUTED_VALUE"""),"https://drive.google.com/file/d/1mDBpL7v-amVQgHtpQRm7aEuhoeifJnAA/view?usp=drivesdk")</f>
        <v>https://drive.google.com/file/d/1mDBpL7v-amVQgHtpQRm7aEuhoeifJnAA/view?usp=drivesdk</v>
      </c>
      <c r="D1948" s="12"/>
      <c r="E1948" s="13">
        <v>1998.0</v>
      </c>
      <c r="F1948" s="2"/>
    </row>
    <row r="1949" ht="1.5" customHeight="1">
      <c r="A1949" s="4" t="str">
        <f>IFERROR(__xludf.DUMMYFUNCTION("""COMPUTED_VALUE"""),"2. Twix")</f>
        <v>2. Twix</v>
      </c>
      <c r="B1949" s="4" t="str">
        <f>IFERROR(__xludf.DUMMYFUNCTION("""COMPUTED_VALUE"""),"2")</f>
        <v>2</v>
      </c>
      <c r="C1949" s="5" t="str">
        <f>IFERROR(__xludf.DUMMYFUNCTION("""COMPUTED_VALUE"""),"https://drive.google.com/file/d/1OPDhkjCjWKw06oGklREBdI3vXXXEUPTP/view?usp=drivesdk")</f>
        <v>https://drive.google.com/file/d/1OPDhkjCjWKw06oGklREBdI3vXXXEUPTP/view?usp=drivesdk</v>
      </c>
      <c r="D1949" s="12"/>
      <c r="E1949" s="13">
        <v>1999.0</v>
      </c>
      <c r="F1949" s="2"/>
    </row>
    <row r="1950" ht="1.5" customHeight="1">
      <c r="A1950" s="4" t="str">
        <f>IFERROR(__xludf.DUMMYFUNCTION("""COMPUTED_VALUE"""),"2. Twix")</f>
        <v>2. Twix</v>
      </c>
      <c r="B1950" s="4" t="str">
        <f>IFERROR(__xludf.DUMMYFUNCTION("""COMPUTED_VALUE"""),"2")</f>
        <v>2</v>
      </c>
      <c r="C1950" s="5" t="str">
        <f>IFERROR(__xludf.DUMMYFUNCTION("""COMPUTED_VALUE"""),"https://drive.google.com/file/d/1OJL-5bMERmSkc_q8REzPHnniY88Rfe2X/view?usp=drivesdk")</f>
        <v>https://drive.google.com/file/d/1OJL-5bMERmSkc_q8REzPHnniY88Rfe2X/view?usp=drivesdk</v>
      </c>
      <c r="D1950" s="12"/>
      <c r="E1950" s="13">
        <v>2000.0</v>
      </c>
      <c r="F1950" s="2"/>
    </row>
    <row r="1951" ht="1.5" customHeight="1">
      <c r="A1951" s="4" t="str">
        <f>IFERROR(__xludf.DUMMYFUNCTION("""COMPUTED_VALUE"""),"2. Twix")</f>
        <v>2. Twix</v>
      </c>
      <c r="B1951" s="4" t="str">
        <f>IFERROR(__xludf.DUMMYFUNCTION("""COMPUTED_VALUE"""),"2")</f>
        <v>2</v>
      </c>
      <c r="C1951" s="5" t="str">
        <f>IFERROR(__xludf.DUMMYFUNCTION("""COMPUTED_VALUE"""),"https://drive.google.com/file/d/1AFadky5r2WLLyne2WIfoHisUan96b82U/view?usp=drivesdk")</f>
        <v>https://drive.google.com/file/d/1AFadky5r2WLLyne2WIfoHisUan96b82U/view?usp=drivesdk</v>
      </c>
      <c r="D1951" s="12"/>
      <c r="E1951" s="13">
        <v>2001.0</v>
      </c>
      <c r="F1951" s="2"/>
    </row>
    <row r="1952" ht="1.5" customHeight="1">
      <c r="A1952" s="4" t="str">
        <f>IFERROR(__xludf.DUMMYFUNCTION("""COMPUTED_VALUE"""),"49. Freya")</f>
        <v>49. Freya</v>
      </c>
      <c r="B1952" s="4" t="str">
        <f>IFERROR(__xludf.DUMMYFUNCTION("""COMPUTED_VALUE"""),"49")</f>
        <v>49</v>
      </c>
      <c r="C1952" s="5" t="str">
        <f>IFERROR(__xludf.DUMMYFUNCTION("""COMPUTED_VALUE"""),"https://drive.google.com/file/d/1pG-eD4skmmHXRlxbphkDwamso7GAcr8N/view?usp=drivesdk")</f>
        <v>https://drive.google.com/file/d/1pG-eD4skmmHXRlxbphkDwamso7GAcr8N/view?usp=drivesdk</v>
      </c>
      <c r="D1952" s="12"/>
      <c r="E1952" s="13">
        <v>2002.0</v>
      </c>
      <c r="F1952" s="2"/>
    </row>
    <row r="1953" ht="1.5" customHeight="1">
      <c r="A1953" s="4" t="str">
        <f>IFERROR(__xludf.DUMMYFUNCTION("""COMPUTED_VALUE"""),"49. Freya, 50. Thor")</f>
        <v>49. Freya, 50. Thor</v>
      </c>
      <c r="B1953" s="4" t="str">
        <f>IFERROR(__xludf.DUMMYFUNCTION("""COMPUTED_VALUE"""),"49, 50")</f>
        <v>49, 50</v>
      </c>
      <c r="C1953" s="5" t="str">
        <f>IFERROR(__xludf.DUMMYFUNCTION("""COMPUTED_VALUE"""),"https://drive.google.com/file/d/1b2OpJAEVtNqsZpByn-IvCRG6tgzg2m3L/view?usp=drivesdk")</f>
        <v>https://drive.google.com/file/d/1b2OpJAEVtNqsZpByn-IvCRG6tgzg2m3L/view?usp=drivesdk</v>
      </c>
      <c r="D1953" s="12"/>
      <c r="E1953" s="13">
        <v>2003.0</v>
      </c>
      <c r="F1953" s="2"/>
    </row>
    <row r="1954" ht="1.5" customHeight="1">
      <c r="A1954" s="4" t="str">
        <f>IFERROR(__xludf.DUMMYFUNCTION("""COMPUTED_VALUE"""),"27. Angel, 29. Ginger")</f>
        <v>27. Angel, 29. Ginger</v>
      </c>
      <c r="B1954" s="4" t="str">
        <f>IFERROR(__xludf.DUMMYFUNCTION("""COMPUTED_VALUE"""),"27, 29")</f>
        <v>27, 29</v>
      </c>
      <c r="C1954" s="5" t="str">
        <f>IFERROR(__xludf.DUMMYFUNCTION("""COMPUTED_VALUE"""),"https://drive.google.com/file/d/12-UzweT4YNhobi7_pEWLhcm3e-h1qgkP/view?usp=drivesdk")</f>
        <v>https://drive.google.com/file/d/12-UzweT4YNhobi7_pEWLhcm3e-h1qgkP/view?usp=drivesdk</v>
      </c>
      <c r="D1954" s="12"/>
      <c r="E1954" s="13">
        <v>2004.0</v>
      </c>
      <c r="F1954" s="2"/>
    </row>
    <row r="1955" ht="1.5" customHeight="1">
      <c r="A1955" s="4" t="str">
        <f>IFERROR(__xludf.DUMMYFUNCTION("""COMPUTED_VALUE"""),"4. Eggs")</f>
        <v>4. Eggs</v>
      </c>
      <c r="B1955" s="4" t="str">
        <f>IFERROR(__xludf.DUMMYFUNCTION("""COMPUTED_VALUE"""),"4")</f>
        <v>4</v>
      </c>
      <c r="C1955" s="5" t="str">
        <f>IFERROR(__xludf.DUMMYFUNCTION("""COMPUTED_VALUE"""),"https://drive.google.com/file/d/1Wdmufx-r65kM1ekzOuO6mmP8FsqF7sxx/view?usp=drivesdk")</f>
        <v>https://drive.google.com/file/d/1Wdmufx-r65kM1ekzOuO6mmP8FsqF7sxx/view?usp=drivesdk</v>
      </c>
      <c r="D1955" s="12"/>
      <c r="E1955" s="13">
        <v>2005.0</v>
      </c>
      <c r="F1955" s="2"/>
    </row>
    <row r="1956" ht="1.5" customHeight="1">
      <c r="A1956" s="4" t="str">
        <f>IFERROR(__xludf.DUMMYFUNCTION("""COMPUTED_VALUE"""),"5. Eraser")</f>
        <v>5. Eraser</v>
      </c>
      <c r="B1956" s="4" t="str">
        <f>IFERROR(__xludf.DUMMYFUNCTION("""COMPUTED_VALUE"""),"5")</f>
        <v>5</v>
      </c>
      <c r="C1956" s="5" t="str">
        <f>IFERROR(__xludf.DUMMYFUNCTION("""COMPUTED_VALUE"""),"https://drive.google.com/file/d/1zWbkm6KshS0MiT0EziagiSSPiGp2M57M/view?usp=drivesdk")</f>
        <v>https://drive.google.com/file/d/1zWbkm6KshS0MiT0EziagiSSPiGp2M57M/view?usp=drivesdk</v>
      </c>
      <c r="D1956" s="12"/>
      <c r="E1956" s="13">
        <v>2006.0</v>
      </c>
      <c r="F1956" s="2"/>
    </row>
    <row r="1957" ht="1.5" customHeight="1">
      <c r="A1957" s="4" t="str">
        <f>IFERROR(__xludf.DUMMYFUNCTION("""COMPUTED_VALUE"""),"5. Eraser")</f>
        <v>5. Eraser</v>
      </c>
      <c r="B1957" s="4" t="str">
        <f>IFERROR(__xludf.DUMMYFUNCTION("""COMPUTED_VALUE"""),"5")</f>
        <v>5</v>
      </c>
      <c r="C1957" s="5" t="str">
        <f>IFERROR(__xludf.DUMMYFUNCTION("""COMPUTED_VALUE"""),"https://drive.google.com/file/d/1FL1blVS7Qt6oiI4dOFG42H4bb4QeU66_/view?usp=drivesdk")</f>
        <v>https://drive.google.com/file/d/1FL1blVS7Qt6oiI4dOFG42H4bb4QeU66_/view?usp=drivesdk</v>
      </c>
      <c r="D1957" s="12"/>
      <c r="E1957" s="13">
        <v>2007.0</v>
      </c>
      <c r="F1957" s="2"/>
    </row>
    <row r="1958" ht="1.5" customHeight="1">
      <c r="A1958" s="4" t="str">
        <f>IFERROR(__xludf.DUMMYFUNCTION("""COMPUTED_VALUE"""),"2. Twix")</f>
        <v>2. Twix</v>
      </c>
      <c r="B1958" s="4" t="str">
        <f>IFERROR(__xludf.DUMMYFUNCTION("""COMPUTED_VALUE"""),"2")</f>
        <v>2</v>
      </c>
      <c r="C1958" s="5" t="str">
        <f>IFERROR(__xludf.DUMMYFUNCTION("""COMPUTED_VALUE"""),"https://drive.google.com/file/d/1RYaDzEpjkWhZg6MfzWby_p76atieCzr3/view?usp=drivesdk")</f>
        <v>https://drive.google.com/file/d/1RYaDzEpjkWhZg6MfzWby_p76atieCzr3/view?usp=drivesdk</v>
      </c>
      <c r="D1958" s="12"/>
      <c r="E1958" s="13">
        <v>2008.0</v>
      </c>
      <c r="F1958" s="2"/>
    </row>
    <row r="1959" ht="1.5" customHeight="1">
      <c r="A1959" s="4" t="str">
        <f>IFERROR(__xludf.DUMMYFUNCTION("""COMPUTED_VALUE"""),"2. Twix")</f>
        <v>2. Twix</v>
      </c>
      <c r="B1959" s="4" t="str">
        <f>IFERROR(__xludf.DUMMYFUNCTION("""COMPUTED_VALUE"""),"2")</f>
        <v>2</v>
      </c>
      <c r="C1959" s="5" t="str">
        <f>IFERROR(__xludf.DUMMYFUNCTION("""COMPUTED_VALUE"""),"https://drive.google.com/file/d/1Pgud-VCjLfq3tEWHglBauJ42adryzxVz/view?usp=drivesdk")</f>
        <v>https://drive.google.com/file/d/1Pgud-VCjLfq3tEWHglBauJ42adryzxVz/view?usp=drivesdk</v>
      </c>
      <c r="D1959" s="12"/>
      <c r="E1959" s="13">
        <v>2009.0</v>
      </c>
      <c r="F1959" s="2"/>
    </row>
    <row r="1960" ht="1.5" customHeight="1">
      <c r="A1960" s="4" t="str">
        <f>IFERROR(__xludf.DUMMYFUNCTION("""COMPUTED_VALUE"""),"2. Twix")</f>
        <v>2. Twix</v>
      </c>
      <c r="B1960" s="4" t="str">
        <f>IFERROR(__xludf.DUMMYFUNCTION("""COMPUTED_VALUE"""),"2")</f>
        <v>2</v>
      </c>
      <c r="C1960" s="5" t="str">
        <f>IFERROR(__xludf.DUMMYFUNCTION("""COMPUTED_VALUE"""),"https://drive.google.com/file/d/1FssiLp5sIO5kiMlLLpT6Y5pibgktp5Ea/view?usp=drivesdk")</f>
        <v>https://drive.google.com/file/d/1FssiLp5sIO5kiMlLLpT6Y5pibgktp5Ea/view?usp=drivesdk</v>
      </c>
      <c r="D1960" s="12"/>
      <c r="E1960" s="13">
        <v>2010.0</v>
      </c>
      <c r="F1960" s="2"/>
    </row>
    <row r="1961" ht="1.5" customHeight="1">
      <c r="A1961" s="4" t="str">
        <f>IFERROR(__xludf.DUMMYFUNCTION("""COMPUTED_VALUE"""),"67. Waffles")</f>
        <v>67. Waffles</v>
      </c>
      <c r="B1961" s="4" t="str">
        <f>IFERROR(__xludf.DUMMYFUNCTION("""COMPUTED_VALUE"""),"67")</f>
        <v>67</v>
      </c>
      <c r="C1961" s="5" t="str">
        <f>IFERROR(__xludf.DUMMYFUNCTION("""COMPUTED_VALUE"""),"https://drive.google.com/file/d/16j8Y2c2sGnA4zEKtIMo6rFsxyRU5TDsG/view?usp=drivesdk")</f>
        <v>https://drive.google.com/file/d/16j8Y2c2sGnA4zEKtIMo6rFsxyRU5TDsG/view?usp=drivesdk</v>
      </c>
      <c r="D1961" s="12"/>
      <c r="E1961" s="13">
        <v>2011.0</v>
      </c>
      <c r="F1961" s="2"/>
    </row>
    <row r="1962" ht="1.5" customHeight="1">
      <c r="A1962" s="4" t="str">
        <f>IFERROR(__xludf.DUMMYFUNCTION("""COMPUTED_VALUE"""),"67. Waffles")</f>
        <v>67. Waffles</v>
      </c>
      <c r="B1962" s="4" t="str">
        <f>IFERROR(__xludf.DUMMYFUNCTION("""COMPUTED_VALUE"""),"67")</f>
        <v>67</v>
      </c>
      <c r="C1962" s="5" t="str">
        <f>IFERROR(__xludf.DUMMYFUNCTION("""COMPUTED_VALUE"""),"https://drive.google.com/file/d/14tg7Z2P_TymuoTHSmr3AMMFfNq9_2swx/view?usp=drivesdk")</f>
        <v>https://drive.google.com/file/d/14tg7Z2P_TymuoTHSmr3AMMFfNq9_2swx/view?usp=drivesdk</v>
      </c>
      <c r="D1962" s="12"/>
      <c r="E1962" s="13">
        <v>2012.0</v>
      </c>
      <c r="F1962" s="2"/>
    </row>
    <row r="1963" ht="1.5" customHeight="1">
      <c r="A1963" s="4" t="str">
        <f>IFERROR(__xludf.DUMMYFUNCTION("""COMPUTED_VALUE"""),"67. Waffles")</f>
        <v>67. Waffles</v>
      </c>
      <c r="B1963" s="4" t="str">
        <f>IFERROR(__xludf.DUMMYFUNCTION("""COMPUTED_VALUE"""),"67")</f>
        <v>67</v>
      </c>
      <c r="C1963" s="5" t="str">
        <f>IFERROR(__xludf.DUMMYFUNCTION("""COMPUTED_VALUE"""),"https://drive.google.com/file/d/1He8T9u9ZuDqXM2EVoMrky0Ds0anf8vIe/view?usp=drivesdk")</f>
        <v>https://drive.google.com/file/d/1He8T9u9ZuDqXM2EVoMrky0Ds0anf8vIe/view?usp=drivesdk</v>
      </c>
      <c r="D1963" s="12"/>
      <c r="E1963" s="13">
        <v>2013.0</v>
      </c>
      <c r="F1963" s="2"/>
    </row>
    <row r="1964" ht="1.5" customHeight="1">
      <c r="A1964" s="4" t="str">
        <f>IFERROR(__xludf.DUMMYFUNCTION("""COMPUTED_VALUE"""),"67. Waffles")</f>
        <v>67. Waffles</v>
      </c>
      <c r="B1964" s="4" t="str">
        <f>IFERROR(__xludf.DUMMYFUNCTION("""COMPUTED_VALUE"""),"67")</f>
        <v>67</v>
      </c>
      <c r="C1964" s="5" t="str">
        <f>IFERROR(__xludf.DUMMYFUNCTION("""COMPUTED_VALUE"""),"https://drive.google.com/file/d/1mNmZ9Lb_yDEmD3Z_Nu5iIwDNihZvlIUg/view?usp=drivesdk")</f>
        <v>https://drive.google.com/file/d/1mNmZ9Lb_yDEmD3Z_Nu5iIwDNihZvlIUg/view?usp=drivesdk</v>
      </c>
      <c r="D1964" s="12"/>
      <c r="E1964" s="13">
        <v>2014.0</v>
      </c>
      <c r="F1964" s="2"/>
    </row>
    <row r="1965" ht="1.5" customHeight="1">
      <c r="A1965" s="4" t="str">
        <f>IFERROR(__xludf.DUMMYFUNCTION("""COMPUTED_VALUE"""),"67. Waffles")</f>
        <v>67. Waffles</v>
      </c>
      <c r="B1965" s="4" t="str">
        <f>IFERROR(__xludf.DUMMYFUNCTION("""COMPUTED_VALUE"""),"67")</f>
        <v>67</v>
      </c>
      <c r="C1965" s="5" t="str">
        <f>IFERROR(__xludf.DUMMYFUNCTION("""COMPUTED_VALUE"""),"https://drive.google.com/file/d/1fCrOWrk-rfKy83XwjczZA1ZTIJRRvqMR/view?usp=drivesdk")</f>
        <v>https://drive.google.com/file/d/1fCrOWrk-rfKy83XwjczZA1ZTIJRRvqMR/view?usp=drivesdk</v>
      </c>
      <c r="D1965" s="12"/>
      <c r="E1965" s="13">
        <v>2015.0</v>
      </c>
      <c r="F1965" s="2"/>
    </row>
    <row r="1966" ht="1.5" customHeight="1">
      <c r="A1966" s="4" t="str">
        <f>IFERROR(__xludf.DUMMYFUNCTION("""COMPUTED_VALUE"""),"1. Microwave")</f>
        <v>1. Microwave</v>
      </c>
      <c r="B1966" s="4" t="str">
        <f>IFERROR(__xludf.DUMMYFUNCTION("""COMPUTED_VALUE"""),"1")</f>
        <v>1</v>
      </c>
      <c r="C1966" s="5" t="str">
        <f>IFERROR(__xludf.DUMMYFUNCTION("""COMPUTED_VALUE"""),"https://drive.google.com/file/d/165xCs546yce01ETfQfS0x-jGikM04hwY/view?usp=drivesdk")</f>
        <v>https://drive.google.com/file/d/165xCs546yce01ETfQfS0x-jGikM04hwY/view?usp=drivesdk</v>
      </c>
      <c r="D1966" s="12"/>
      <c r="E1966" s="13">
        <v>2016.0</v>
      </c>
      <c r="F1966" s="2"/>
    </row>
    <row r="1967" ht="1.5" customHeight="1">
      <c r="A1967" s="4" t="str">
        <f>IFERROR(__xludf.DUMMYFUNCTION("""COMPUTED_VALUE"""),"1. Microwave")</f>
        <v>1. Microwave</v>
      </c>
      <c r="B1967" s="4" t="str">
        <f>IFERROR(__xludf.DUMMYFUNCTION("""COMPUTED_VALUE"""),"1")</f>
        <v>1</v>
      </c>
      <c r="C1967" s="5" t="str">
        <f>IFERROR(__xludf.DUMMYFUNCTION("""COMPUTED_VALUE"""),"https://drive.google.com/file/d/1H3doVZ1EETUpL5E02cwYGPv8KdU4mett/view?usp=drivesdk")</f>
        <v>https://drive.google.com/file/d/1H3doVZ1EETUpL5E02cwYGPv8KdU4mett/view?usp=drivesdk</v>
      </c>
      <c r="D1967" s="12"/>
      <c r="E1967" s="13">
        <v>2017.0</v>
      </c>
      <c r="F1967" s="2"/>
    </row>
    <row r="1968" ht="1.5" customHeight="1">
      <c r="A1968" s="4" t="str">
        <f>IFERROR(__xludf.DUMMYFUNCTION("""COMPUTED_VALUE"""),"1. Microwave")</f>
        <v>1. Microwave</v>
      </c>
      <c r="B1968" s="4" t="str">
        <f>IFERROR(__xludf.DUMMYFUNCTION("""COMPUTED_VALUE"""),"1")</f>
        <v>1</v>
      </c>
      <c r="C1968" s="5" t="str">
        <f>IFERROR(__xludf.DUMMYFUNCTION("""COMPUTED_VALUE"""),"https://drive.google.com/file/d/1pXs51LXBm4y-mOIcflawLcnyZRz73VgQ/view?usp=drivesdk")</f>
        <v>https://drive.google.com/file/d/1pXs51LXBm4y-mOIcflawLcnyZRz73VgQ/view?usp=drivesdk</v>
      </c>
      <c r="D1968" s="12"/>
      <c r="E1968" s="13">
        <v>2018.0</v>
      </c>
      <c r="F1968" s="2"/>
    </row>
    <row r="1969" ht="1.5" customHeight="1">
      <c r="A1969" s="4" t="str">
        <f>IFERROR(__xludf.DUMMYFUNCTION("""COMPUTED_VALUE"""),"1. Microwave")</f>
        <v>1. Microwave</v>
      </c>
      <c r="B1969" s="4" t="str">
        <f>IFERROR(__xludf.DUMMYFUNCTION("""COMPUTED_VALUE"""),"1")</f>
        <v>1</v>
      </c>
      <c r="C1969" s="5" t="str">
        <f>IFERROR(__xludf.DUMMYFUNCTION("""COMPUTED_VALUE"""),"https://drive.google.com/file/d/1d75XOZR3zFNrIX5e-gFZ-_BsCKADDZad/view?usp=drivesdk")</f>
        <v>https://drive.google.com/file/d/1d75XOZR3zFNrIX5e-gFZ-_BsCKADDZad/view?usp=drivesdk</v>
      </c>
      <c r="D1969" s="12"/>
      <c r="E1969" s="13">
        <v>2019.0</v>
      </c>
      <c r="F1969" s="2"/>
    </row>
    <row r="1970" ht="1.5" customHeight="1">
      <c r="A1970" s="4" t="str">
        <f>IFERROR(__xludf.DUMMYFUNCTION("""COMPUTED_VALUE"""),"2. Twix")</f>
        <v>2. Twix</v>
      </c>
      <c r="B1970" s="4" t="str">
        <f>IFERROR(__xludf.DUMMYFUNCTION("""COMPUTED_VALUE"""),"2")</f>
        <v>2</v>
      </c>
      <c r="C1970" s="5" t="str">
        <f>IFERROR(__xludf.DUMMYFUNCTION("""COMPUTED_VALUE"""),"https://drive.google.com/file/d/1O84yGH4zqCx5M6PMTZYhG9BUqMRjjyRp/view?usp=drivesdk")</f>
        <v>https://drive.google.com/file/d/1O84yGH4zqCx5M6PMTZYhG9BUqMRjjyRp/view?usp=drivesdk</v>
      </c>
      <c r="D1970" s="12"/>
      <c r="E1970" s="13">
        <v>2020.0</v>
      </c>
      <c r="F1970" s="2"/>
    </row>
    <row r="1971" ht="1.5" customHeight="1">
      <c r="A1971" s="4" t="str">
        <f>IFERROR(__xludf.DUMMYFUNCTION("""COMPUTED_VALUE"""),"1. Microwave")</f>
        <v>1. Microwave</v>
      </c>
      <c r="B1971" s="4" t="str">
        <f>IFERROR(__xludf.DUMMYFUNCTION("""COMPUTED_VALUE"""),"1")</f>
        <v>1</v>
      </c>
      <c r="C1971" s="5" t="str">
        <f>IFERROR(__xludf.DUMMYFUNCTION("""COMPUTED_VALUE"""),"https://drive.google.com/file/d/1M9trYLC9PhOApVINmHbHrVXiS23so10T/view?usp=drivesdk")</f>
        <v>https://drive.google.com/file/d/1M9trYLC9PhOApVINmHbHrVXiS23so10T/view?usp=drivesdk</v>
      </c>
      <c r="D1971" s="12"/>
      <c r="E1971" s="13">
        <v>2021.0</v>
      </c>
      <c r="F1971" s="2"/>
    </row>
    <row r="1972" ht="1.5" customHeight="1">
      <c r="A1972" s="4" t="str">
        <f>IFERROR(__xludf.DUMMYFUNCTION("""COMPUTED_VALUE"""),"2. Twix")</f>
        <v>2. Twix</v>
      </c>
      <c r="B1972" s="4" t="str">
        <f>IFERROR(__xludf.DUMMYFUNCTION("""COMPUTED_VALUE"""),"2")</f>
        <v>2</v>
      </c>
      <c r="C1972" s="5" t="str">
        <f>IFERROR(__xludf.DUMMYFUNCTION("""COMPUTED_VALUE"""),"https://drive.google.com/file/d/1kCUM0BWBLGzAYbUEgvMUgra05sTfK_vc/view?usp=drivesdk")</f>
        <v>https://drive.google.com/file/d/1kCUM0BWBLGzAYbUEgvMUgra05sTfK_vc/view?usp=drivesdk</v>
      </c>
      <c r="D1972" s="12"/>
      <c r="E1972" s="13">
        <v>2022.0</v>
      </c>
      <c r="F1972" s="2"/>
    </row>
    <row r="1973" ht="1.5" customHeight="1">
      <c r="A1973" s="4" t="str">
        <f>IFERROR(__xludf.DUMMYFUNCTION("""COMPUTED_VALUE"""),"12. Faye")</f>
        <v>12. Faye</v>
      </c>
      <c r="B1973" s="4" t="str">
        <f>IFERROR(__xludf.DUMMYFUNCTION("""COMPUTED_VALUE"""),"12")</f>
        <v>12</v>
      </c>
      <c r="C1973" s="5" t="str">
        <f>IFERROR(__xludf.DUMMYFUNCTION("""COMPUTED_VALUE"""),"https://drive.google.com/file/d/14qqd5qtFactAv-70c-M2MU2G70cA51l1/view?usp=drivesdk")</f>
        <v>https://drive.google.com/file/d/14qqd5qtFactAv-70c-M2MU2G70cA51l1/view?usp=drivesdk</v>
      </c>
      <c r="D1973" s="12"/>
      <c r="E1973" s="13">
        <v>2023.0</v>
      </c>
      <c r="F1973" s="2"/>
    </row>
    <row r="1974" ht="1.5" customHeight="1">
      <c r="A1974" s="4" t="str">
        <f>IFERROR(__xludf.DUMMYFUNCTION("""COMPUTED_VALUE"""),"2. Twix")</f>
        <v>2. Twix</v>
      </c>
      <c r="B1974" s="4" t="str">
        <f>IFERROR(__xludf.DUMMYFUNCTION("""COMPUTED_VALUE"""),"2")</f>
        <v>2</v>
      </c>
      <c r="C1974" s="5" t="str">
        <f>IFERROR(__xludf.DUMMYFUNCTION("""COMPUTED_VALUE"""),"https://drive.google.com/file/d/1PCrOnVrtDXzyt7rwOaNrfCt59BRBTQOo/view?usp=drivesdk")</f>
        <v>https://drive.google.com/file/d/1PCrOnVrtDXzyt7rwOaNrfCt59BRBTQOo/view?usp=drivesdk</v>
      </c>
      <c r="D1974" s="12"/>
      <c r="E1974" s="13">
        <v>2024.0</v>
      </c>
      <c r="F1974" s="2"/>
    </row>
    <row r="1975" ht="1.5" customHeight="1">
      <c r="A1975" s="4" t="str">
        <f>IFERROR(__xludf.DUMMYFUNCTION("""COMPUTED_VALUE"""),"2. Twix")</f>
        <v>2. Twix</v>
      </c>
      <c r="B1975" s="4" t="str">
        <f>IFERROR(__xludf.DUMMYFUNCTION("""COMPUTED_VALUE"""),"2")</f>
        <v>2</v>
      </c>
      <c r="C1975" s="5" t="str">
        <f>IFERROR(__xludf.DUMMYFUNCTION("""COMPUTED_VALUE"""),"https://drive.google.com/file/d/11zA1OzNVmhNlgYJVtLTgX6CFqJPLkcuE/view?usp=drivesdk")</f>
        <v>https://drive.google.com/file/d/11zA1OzNVmhNlgYJVtLTgX6CFqJPLkcuE/view?usp=drivesdk</v>
      </c>
      <c r="D1975" s="12"/>
      <c r="E1975" s="13">
        <v>2025.0</v>
      </c>
      <c r="F1975" s="2"/>
    </row>
    <row r="1976" ht="1.5" customHeight="1">
      <c r="A1976" s="4" t="str">
        <f>IFERROR(__xludf.DUMMYFUNCTION("""COMPUTED_VALUE"""),"2. Twix")</f>
        <v>2. Twix</v>
      </c>
      <c r="B1976" s="4" t="str">
        <f>IFERROR(__xludf.DUMMYFUNCTION("""COMPUTED_VALUE"""),"2")</f>
        <v>2</v>
      </c>
      <c r="C1976" s="5" t="str">
        <f>IFERROR(__xludf.DUMMYFUNCTION("""COMPUTED_VALUE"""),"https://drive.google.com/file/d/1G2eoILHHX35U6T3CB3g6RyYGaWBei_EW/view?usp=drivesdk")</f>
        <v>https://drive.google.com/file/d/1G2eoILHHX35U6T3CB3g6RyYGaWBei_EW/view?usp=drivesdk</v>
      </c>
      <c r="D1976" s="12"/>
      <c r="E1976" s="13">
        <v>2026.0</v>
      </c>
      <c r="F1976" s="2"/>
    </row>
    <row r="1977" ht="1.5" customHeight="1">
      <c r="A1977" s="4" t="str">
        <f>IFERROR(__xludf.DUMMYFUNCTION("""COMPUTED_VALUE"""),"2. Twix")</f>
        <v>2. Twix</v>
      </c>
      <c r="B1977" s="4" t="str">
        <f>IFERROR(__xludf.DUMMYFUNCTION("""COMPUTED_VALUE"""),"2")</f>
        <v>2</v>
      </c>
      <c r="C1977" s="5" t="str">
        <f>IFERROR(__xludf.DUMMYFUNCTION("""COMPUTED_VALUE"""),"https://drive.google.com/file/d/1rM0McZCVOtHJy84kc1kvRj5qc1pMCyC7/view?usp=drivesdk")</f>
        <v>https://drive.google.com/file/d/1rM0McZCVOtHJy84kc1kvRj5qc1pMCyC7/view?usp=drivesdk</v>
      </c>
      <c r="D1977" s="12"/>
      <c r="E1977" s="13">
        <v>2027.0</v>
      </c>
      <c r="F1977" s="2"/>
    </row>
    <row r="1978" ht="1.5" customHeight="1">
      <c r="A1978" s="4" t="str">
        <f>IFERROR(__xludf.DUMMYFUNCTION("""COMPUTED_VALUE"""),"5. Eraser")</f>
        <v>5. Eraser</v>
      </c>
      <c r="B1978" s="4" t="str">
        <f>IFERROR(__xludf.DUMMYFUNCTION("""COMPUTED_VALUE"""),"5")</f>
        <v>5</v>
      </c>
      <c r="C1978" s="5" t="str">
        <f>IFERROR(__xludf.DUMMYFUNCTION("""COMPUTED_VALUE"""),"https://drive.google.com/file/d/1SLQ587lU2D6Xc7s7jMS_Wm_kdclEcHQE/view?usp=drivesdk")</f>
        <v>https://drive.google.com/file/d/1SLQ587lU2D6Xc7s7jMS_Wm_kdclEcHQE/view?usp=drivesdk</v>
      </c>
      <c r="D1978" s="12"/>
      <c r="E1978" s="13">
        <v>2028.0</v>
      </c>
      <c r="F1978" s="2"/>
    </row>
    <row r="1979" ht="1.5" customHeight="1">
      <c r="A1979" s="4" t="str">
        <f>IFERROR(__xludf.DUMMYFUNCTION("""COMPUTED_VALUE"""),"5. Eraser")</f>
        <v>5. Eraser</v>
      </c>
      <c r="B1979" s="4" t="str">
        <f>IFERROR(__xludf.DUMMYFUNCTION("""COMPUTED_VALUE"""),"5")</f>
        <v>5</v>
      </c>
      <c r="C1979" s="5" t="str">
        <f>IFERROR(__xludf.DUMMYFUNCTION("""COMPUTED_VALUE"""),"https://drive.google.com/file/d/1haREiZfFPJtYT9tTOXHSvjEjmEHhu8vF/view?usp=drivesdk")</f>
        <v>https://drive.google.com/file/d/1haREiZfFPJtYT9tTOXHSvjEjmEHhu8vF/view?usp=drivesdk</v>
      </c>
      <c r="D1979" s="12"/>
      <c r="E1979" s="13">
        <v>2029.0</v>
      </c>
      <c r="F1979" s="2"/>
    </row>
    <row r="1980" ht="1.5" customHeight="1">
      <c r="A1980" s="4" t="str">
        <f>IFERROR(__xludf.DUMMYFUNCTION("""COMPUTED_VALUE"""),"76. Eezard")</f>
        <v>76. Eezard</v>
      </c>
      <c r="B1980" s="4" t="str">
        <f>IFERROR(__xludf.DUMMYFUNCTION("""COMPUTED_VALUE"""),"76")</f>
        <v>76</v>
      </c>
      <c r="C1980" s="5" t="str">
        <f>IFERROR(__xludf.DUMMYFUNCTION("""COMPUTED_VALUE"""),"https://drive.google.com/file/d/1-jFILwKL3sXaNgTv6ufC0Za8hmXuj1nC/view?usp=drivesdk")</f>
        <v>https://drive.google.com/file/d/1-jFILwKL3sXaNgTv6ufC0Za8hmXuj1nC/view?usp=drivesdk</v>
      </c>
      <c r="D1980" s="12"/>
      <c r="E1980" s="13">
        <v>2030.0</v>
      </c>
      <c r="F1980" s="2"/>
    </row>
    <row r="1981" ht="1.5" customHeight="1">
      <c r="A1981" s="4" t="str">
        <f>IFERROR(__xludf.DUMMYFUNCTION("""COMPUTED_VALUE"""),"1. Microwave")</f>
        <v>1. Microwave</v>
      </c>
      <c r="B1981" s="4" t="str">
        <f>IFERROR(__xludf.DUMMYFUNCTION("""COMPUTED_VALUE"""),"1")</f>
        <v>1</v>
      </c>
      <c r="C1981" s="5" t="str">
        <f>IFERROR(__xludf.DUMMYFUNCTION("""COMPUTED_VALUE"""),"https://drive.google.com/file/d/1SRRgYFNt9L1WkFPrqQUhel9ThAw1v65U/view?usp=drivesdk")</f>
        <v>https://drive.google.com/file/d/1SRRgYFNt9L1WkFPrqQUhel9ThAw1v65U/view?usp=drivesdk</v>
      </c>
      <c r="D1981" s="12"/>
      <c r="E1981" s="13">
        <v>2031.0</v>
      </c>
      <c r="F1981" s="2"/>
    </row>
    <row r="1982" ht="1.5" customHeight="1">
      <c r="A1982" s="4" t="str">
        <f>IFERROR(__xludf.DUMMYFUNCTION("""COMPUTED_VALUE"""),"27. Angel")</f>
        <v>27. Angel</v>
      </c>
      <c r="B1982" s="4" t="str">
        <f>IFERROR(__xludf.DUMMYFUNCTION("""COMPUTED_VALUE"""),"27")</f>
        <v>27</v>
      </c>
      <c r="C1982" s="5" t="str">
        <f>IFERROR(__xludf.DUMMYFUNCTION("""COMPUTED_VALUE"""),"https://drive.google.com/file/d/1znXZ3FQEKnZ-Fx1XUhTeZ4ABnZ0f4pfy/view?usp=drivesdk")</f>
        <v>https://drive.google.com/file/d/1znXZ3FQEKnZ-Fx1XUhTeZ4ABnZ0f4pfy/view?usp=drivesdk</v>
      </c>
      <c r="D1982" s="12"/>
      <c r="E1982" s="13">
        <v>2032.0</v>
      </c>
      <c r="F1982" s="2"/>
    </row>
    <row r="1983" ht="1.5" customHeight="1">
      <c r="A1983" s="4" t="str">
        <f>IFERROR(__xludf.DUMMYFUNCTION("""COMPUTED_VALUE"""),"27. Angel")</f>
        <v>27. Angel</v>
      </c>
      <c r="B1983" s="4" t="str">
        <f>IFERROR(__xludf.DUMMYFUNCTION("""COMPUTED_VALUE"""),"27")</f>
        <v>27</v>
      </c>
      <c r="C1983" s="5" t="str">
        <f>IFERROR(__xludf.DUMMYFUNCTION("""COMPUTED_VALUE"""),"https://drive.google.com/file/d/1mlQ-SJmHTDCmUQ8eR5SAueaVdcKKvKH_/view?usp=drivesdk")</f>
        <v>https://drive.google.com/file/d/1mlQ-SJmHTDCmUQ8eR5SAueaVdcKKvKH_/view?usp=drivesdk</v>
      </c>
      <c r="D1983" s="12"/>
      <c r="E1983" s="13">
        <v>2033.0</v>
      </c>
      <c r="F1983" s="2"/>
    </row>
    <row r="1984" ht="1.5" customHeight="1">
      <c r="A1984" s="4" t="str">
        <f>IFERROR(__xludf.DUMMYFUNCTION("""COMPUTED_VALUE"""),"4. Eggs, 5. Eraser")</f>
        <v>4. Eggs, 5. Eraser</v>
      </c>
      <c r="B1984" s="4" t="str">
        <f>IFERROR(__xludf.DUMMYFUNCTION("""COMPUTED_VALUE"""),"4, 5")</f>
        <v>4, 5</v>
      </c>
      <c r="C1984" s="5" t="str">
        <f>IFERROR(__xludf.DUMMYFUNCTION("""COMPUTED_VALUE"""),"https://drive.google.com/file/d/1nD_DaWs86CcQ8eljVO3eSAMZBGQNHlIv/view?usp=drivesdk")</f>
        <v>https://drive.google.com/file/d/1nD_DaWs86CcQ8eljVO3eSAMZBGQNHlIv/view?usp=drivesdk</v>
      </c>
      <c r="D1984" s="12"/>
      <c r="E1984" s="13">
        <v>2034.0</v>
      </c>
      <c r="F1984" s="2"/>
    </row>
    <row r="1985" ht="1.5" customHeight="1">
      <c r="A1985" s="4" t="str">
        <f>IFERROR(__xludf.DUMMYFUNCTION("""COMPUTED_VALUE"""),"42. Rubber")</f>
        <v>42. Rubber</v>
      </c>
      <c r="B1985" s="4" t="str">
        <f>IFERROR(__xludf.DUMMYFUNCTION("""COMPUTED_VALUE"""),"42")</f>
        <v>42</v>
      </c>
      <c r="C1985" s="5" t="str">
        <f>IFERROR(__xludf.DUMMYFUNCTION("""COMPUTED_VALUE"""),"https://drive.google.com/file/d/1MmApsx3B5fYuewkxgJAOFYmaTl93Ua0w/view?usp=drivesdk")</f>
        <v>https://drive.google.com/file/d/1MmApsx3B5fYuewkxgJAOFYmaTl93Ua0w/view?usp=drivesdk</v>
      </c>
      <c r="D1985" s="12"/>
      <c r="E1985" s="13">
        <v>2035.0</v>
      </c>
      <c r="F1985" s="2"/>
    </row>
    <row r="1986" ht="1.5" customHeight="1">
      <c r="A1986" s="4" t="str">
        <f>IFERROR(__xludf.DUMMYFUNCTION("""COMPUTED_VALUE"""),"42. Rubber, 62. Gorygreg")</f>
        <v>42. Rubber, 62. Gorygreg</v>
      </c>
      <c r="B1986" s="4" t="str">
        <f>IFERROR(__xludf.DUMMYFUNCTION("""COMPUTED_VALUE"""),"42, 62")</f>
        <v>42, 62</v>
      </c>
      <c r="C1986" s="5" t="str">
        <f>IFERROR(__xludf.DUMMYFUNCTION("""COMPUTED_VALUE"""),"https://drive.google.com/file/d/195LiJxgNwMepOOfPQEzhD_e-6W7c10AP/view?usp=drivesdk")</f>
        <v>https://drive.google.com/file/d/195LiJxgNwMepOOfPQEzhD_e-6W7c10AP/view?usp=drivesdk</v>
      </c>
      <c r="D1986" s="12"/>
      <c r="E1986" s="13">
        <v>2036.0</v>
      </c>
      <c r="F1986" s="2"/>
    </row>
    <row r="1987" ht="1.5" customHeight="1">
      <c r="A1987" s="4" t="str">
        <f>IFERROR(__xludf.DUMMYFUNCTION("""COMPUTED_VALUE"""),"45. Boots, 61. Cassie, 32. Noir, 38. Winston, 39. Radar, 44. Shitbag Cuntface, 41. Gregory, 62. Gorygreg, 42. Rubber, 40. Dumpster, 58. Eden")</f>
        <v>45. Boots, 61. Cassie, 32. Noir, 38. Winston, 39. Radar, 44. Shitbag Cuntface, 41. Gregory, 62. Gorygreg, 42. Rubber, 40. Dumpster, 58. Eden</v>
      </c>
      <c r="B1987" s="4" t="str">
        <f>IFERROR(__xludf.DUMMYFUNCTION("""COMPUTED_VALUE"""),"45, 61, 32, 38, 39, 44, 41, 62, 42, 40, 58")</f>
        <v>45, 61, 32, 38, 39, 44, 41, 62, 42, 40, 58</v>
      </c>
      <c r="C1987" s="5" t="str">
        <f>IFERROR(__xludf.DUMMYFUNCTION("""COMPUTED_VALUE"""),"https://drive.google.com/file/d/1UMDVyIf1pdmjXvO1s0ujgipmLEV4u2UW/view?usp=drivesdk")</f>
        <v>https://drive.google.com/file/d/1UMDVyIf1pdmjXvO1s0ujgipmLEV4u2UW/view?usp=drivesdk</v>
      </c>
      <c r="D1987" s="12"/>
      <c r="E1987" s="13">
        <v>2037.0</v>
      </c>
      <c r="F1987" s="2"/>
    </row>
    <row r="1988" ht="1.5" customHeight="1">
      <c r="A1988" s="4" t="str">
        <f>IFERROR(__xludf.DUMMYFUNCTION("""COMPUTED_VALUE"""),"1. Microwave")</f>
        <v>1. Microwave</v>
      </c>
      <c r="B1988" s="4" t="str">
        <f>IFERROR(__xludf.DUMMYFUNCTION("""COMPUTED_VALUE"""),"1")</f>
        <v>1</v>
      </c>
      <c r="C1988" s="5" t="str">
        <f>IFERROR(__xludf.DUMMYFUNCTION("""COMPUTED_VALUE"""),"https://drive.google.com/file/d/1C36oJfGtaP60ARgJwhtpfK9qS048hQrv/view?usp=drivesdk")</f>
        <v>https://drive.google.com/file/d/1C36oJfGtaP60ARgJwhtpfK9qS048hQrv/view?usp=drivesdk</v>
      </c>
      <c r="D1988" s="12"/>
      <c r="E1988" s="13">
        <v>2038.0</v>
      </c>
      <c r="F1988" s="2"/>
    </row>
    <row r="1989" ht="1.5" customHeight="1">
      <c r="A1989" s="4" t="str">
        <f>IFERROR(__xludf.DUMMYFUNCTION("""COMPUTED_VALUE"""),"1. Microwave")</f>
        <v>1. Microwave</v>
      </c>
      <c r="B1989" s="4" t="str">
        <f>IFERROR(__xludf.DUMMYFUNCTION("""COMPUTED_VALUE"""),"1")</f>
        <v>1</v>
      </c>
      <c r="C1989" s="5" t="str">
        <f>IFERROR(__xludf.DUMMYFUNCTION("""COMPUTED_VALUE"""),"https://drive.google.com/file/d/1auj4fqYq6tWagh794ptsmV-uFwana9Ss/view?usp=drivesdk")</f>
        <v>https://drive.google.com/file/d/1auj4fqYq6tWagh794ptsmV-uFwana9Ss/view?usp=drivesdk</v>
      </c>
      <c r="D1989" s="12"/>
      <c r="E1989" s="13">
        <v>2039.0</v>
      </c>
      <c r="F1989" s="2"/>
    </row>
    <row r="1990" ht="1.5" customHeight="1">
      <c r="A1990" s="4" t="str">
        <f>IFERROR(__xludf.DUMMYFUNCTION("""COMPUTED_VALUE"""),"1. Microwave")</f>
        <v>1. Microwave</v>
      </c>
      <c r="B1990" s="4" t="str">
        <f>IFERROR(__xludf.DUMMYFUNCTION("""COMPUTED_VALUE"""),"1")</f>
        <v>1</v>
      </c>
      <c r="C1990" s="5" t="str">
        <f>IFERROR(__xludf.DUMMYFUNCTION("""COMPUTED_VALUE"""),"https://drive.google.com/file/d/1b8DtxT1jjpNalH1-s7iSdqwXWQvat2Rr/view?usp=drivesdk")</f>
        <v>https://drive.google.com/file/d/1b8DtxT1jjpNalH1-s7iSdqwXWQvat2Rr/view?usp=drivesdk</v>
      </c>
      <c r="D1990" s="12"/>
      <c r="E1990" s="13">
        <v>2040.0</v>
      </c>
      <c r="F1990" s="2"/>
    </row>
    <row r="1991" ht="1.5" customHeight="1">
      <c r="A1991" s="4" t="str">
        <f>IFERROR(__xludf.DUMMYFUNCTION("""COMPUTED_VALUE"""),"1. Microwave")</f>
        <v>1. Microwave</v>
      </c>
      <c r="B1991" s="4" t="str">
        <f>IFERROR(__xludf.DUMMYFUNCTION("""COMPUTED_VALUE"""),"1")</f>
        <v>1</v>
      </c>
      <c r="C1991" s="5" t="str">
        <f>IFERROR(__xludf.DUMMYFUNCTION("""COMPUTED_VALUE"""),"https://drive.google.com/file/d/1dzqblaIQoQSYEK96_ZpRZmcUeQK65tTC/view?usp=drivesdk")</f>
        <v>https://drive.google.com/file/d/1dzqblaIQoQSYEK96_ZpRZmcUeQK65tTC/view?usp=drivesdk</v>
      </c>
      <c r="D1991" s="12"/>
      <c r="E1991" s="13">
        <v>2041.0</v>
      </c>
      <c r="F1991" s="2"/>
    </row>
    <row r="1992" ht="1.5" customHeight="1">
      <c r="A1992" s="4" t="str">
        <f>IFERROR(__xludf.DUMMYFUNCTION("""COMPUTED_VALUE"""),"1. Microwave")</f>
        <v>1. Microwave</v>
      </c>
      <c r="B1992" s="4" t="str">
        <f>IFERROR(__xludf.DUMMYFUNCTION("""COMPUTED_VALUE"""),"1")</f>
        <v>1</v>
      </c>
      <c r="C1992" s="5" t="str">
        <f>IFERROR(__xludf.DUMMYFUNCTION("""COMPUTED_VALUE"""),"https://drive.google.com/file/d/1z1kCpwdXem4mgbXZuKNo096nZeOVHGa8/view?usp=drivesdk")</f>
        <v>https://drive.google.com/file/d/1z1kCpwdXem4mgbXZuKNo096nZeOVHGa8/view?usp=drivesdk</v>
      </c>
      <c r="D1992" s="12"/>
      <c r="E1992" s="13">
        <v>2042.0</v>
      </c>
      <c r="F1992" s="2"/>
    </row>
    <row r="1993" ht="1.5" customHeight="1">
      <c r="A1993" s="4" t="str">
        <f>IFERROR(__xludf.DUMMYFUNCTION("""COMPUTED_VALUE"""),"1. Microwave")</f>
        <v>1. Microwave</v>
      </c>
      <c r="B1993" s="4" t="str">
        <f>IFERROR(__xludf.DUMMYFUNCTION("""COMPUTED_VALUE"""),"1")</f>
        <v>1</v>
      </c>
      <c r="C1993" s="5" t="str">
        <f>IFERROR(__xludf.DUMMYFUNCTION("""COMPUTED_VALUE"""),"https://drive.google.com/file/d/1tyraTqt759wnNgzZJnVgQfZs8esEAEx2/view?usp=drivesdk")</f>
        <v>https://drive.google.com/file/d/1tyraTqt759wnNgzZJnVgQfZs8esEAEx2/view?usp=drivesdk</v>
      </c>
      <c r="D1993" s="12"/>
      <c r="E1993" s="13">
        <v>2043.0</v>
      </c>
      <c r="F1993" s="2"/>
    </row>
    <row r="1994" ht="1.5" customHeight="1">
      <c r="A1994" s="4" t="str">
        <f>IFERROR(__xludf.DUMMYFUNCTION("""COMPUTED_VALUE"""),"1. Microwave")</f>
        <v>1. Microwave</v>
      </c>
      <c r="B1994" s="4" t="str">
        <f>IFERROR(__xludf.DUMMYFUNCTION("""COMPUTED_VALUE"""),"1")</f>
        <v>1</v>
      </c>
      <c r="C1994" s="5" t="str">
        <f>IFERROR(__xludf.DUMMYFUNCTION("""COMPUTED_VALUE"""),"https://drive.google.com/file/d/1JmGxT-JptFlSYNdO3xuNg2SnXJinTpLH/view?usp=drivesdk")</f>
        <v>https://drive.google.com/file/d/1JmGxT-JptFlSYNdO3xuNg2SnXJinTpLH/view?usp=drivesdk</v>
      </c>
      <c r="D1994" s="12"/>
      <c r="E1994" s="13">
        <v>2044.0</v>
      </c>
      <c r="F1994" s="2"/>
    </row>
    <row r="1995" ht="1.5" customHeight="1">
      <c r="A1995" s="4" t="str">
        <f>IFERROR(__xludf.DUMMYFUNCTION("""COMPUTED_VALUE"""),"1. Microwave")</f>
        <v>1. Microwave</v>
      </c>
      <c r="B1995" s="4" t="str">
        <f>IFERROR(__xludf.DUMMYFUNCTION("""COMPUTED_VALUE"""),"1")</f>
        <v>1</v>
      </c>
      <c r="C1995" s="5" t="str">
        <f>IFERROR(__xludf.DUMMYFUNCTION("""COMPUTED_VALUE"""),"https://drive.google.com/file/d/1xuRfn__pSVwDTh1-aEGpSmVQvJA-A9h0/view?usp=drivesdk")</f>
        <v>https://drive.google.com/file/d/1xuRfn__pSVwDTh1-aEGpSmVQvJA-A9h0/view?usp=drivesdk</v>
      </c>
      <c r="D1995" s="12"/>
      <c r="E1995" s="13">
        <v>2045.0</v>
      </c>
      <c r="F1995" s="2"/>
    </row>
    <row r="1996" ht="1.5" customHeight="1">
      <c r="A1996" s="4" t="str">
        <f>IFERROR(__xludf.DUMMYFUNCTION("""COMPUTED_VALUE"""),"1. Microwave")</f>
        <v>1. Microwave</v>
      </c>
      <c r="B1996" s="4" t="str">
        <f>IFERROR(__xludf.DUMMYFUNCTION("""COMPUTED_VALUE"""),"1")</f>
        <v>1</v>
      </c>
      <c r="C1996" s="5" t="str">
        <f>IFERROR(__xludf.DUMMYFUNCTION("""COMPUTED_VALUE"""),"https://drive.google.com/file/d/1N0kZFCZYO5WToG-FHnImJoPfYmTJBTJI/view?usp=drivesdk")</f>
        <v>https://drive.google.com/file/d/1N0kZFCZYO5WToG-FHnImJoPfYmTJBTJI/view?usp=drivesdk</v>
      </c>
      <c r="D1996" s="12"/>
      <c r="E1996" s="13">
        <v>2046.0</v>
      </c>
      <c r="F1996" s="2"/>
    </row>
    <row r="1997" ht="1.5" customHeight="1">
      <c r="A1997" s="4" t="str">
        <f>IFERROR(__xludf.DUMMYFUNCTION("""COMPUTED_VALUE"""),"1. Microwave")</f>
        <v>1. Microwave</v>
      </c>
      <c r="B1997" s="4" t="str">
        <f>IFERROR(__xludf.DUMMYFUNCTION("""COMPUTED_VALUE"""),"1")</f>
        <v>1</v>
      </c>
      <c r="C1997" s="5" t="str">
        <f>IFERROR(__xludf.DUMMYFUNCTION("""COMPUTED_VALUE"""),"https://drive.google.com/file/d/1J_V09A1RmkL7e7FuldU4n3m9tDMvfr6j/view?usp=drivesdk")</f>
        <v>https://drive.google.com/file/d/1J_V09A1RmkL7e7FuldU4n3m9tDMvfr6j/view?usp=drivesdk</v>
      </c>
      <c r="D1997" s="12"/>
      <c r="E1997" s="13">
        <v>2047.0</v>
      </c>
      <c r="F1997" s="2"/>
    </row>
    <row r="1998" ht="1.5" customHeight="1">
      <c r="A1998" s="4" t="str">
        <f>IFERROR(__xludf.DUMMYFUNCTION("""COMPUTED_VALUE"""),"1. Microwave")</f>
        <v>1. Microwave</v>
      </c>
      <c r="B1998" s="4" t="str">
        <f>IFERROR(__xludf.DUMMYFUNCTION("""COMPUTED_VALUE"""),"1")</f>
        <v>1</v>
      </c>
      <c r="C1998" s="5" t="str">
        <f>IFERROR(__xludf.DUMMYFUNCTION("""COMPUTED_VALUE"""),"https://drive.google.com/file/d/1_-NpEmFuTlj0xwawN_EUGtXYx3Hs98lx/view?usp=drivesdk")</f>
        <v>https://drive.google.com/file/d/1_-NpEmFuTlj0xwawN_EUGtXYx3Hs98lx/view?usp=drivesdk</v>
      </c>
      <c r="D1998" s="12"/>
      <c r="E1998" s="13">
        <v>2048.0</v>
      </c>
      <c r="F1998" s="2"/>
    </row>
    <row r="1999" ht="1.5" customHeight="1">
      <c r="A1999" s="4" t="str">
        <f>IFERROR(__xludf.DUMMYFUNCTION("""COMPUTED_VALUE"""),"1. Microwave")</f>
        <v>1. Microwave</v>
      </c>
      <c r="B1999" s="4" t="str">
        <f>IFERROR(__xludf.DUMMYFUNCTION("""COMPUTED_VALUE"""),"1")</f>
        <v>1</v>
      </c>
      <c r="C1999" s="5" t="str">
        <f>IFERROR(__xludf.DUMMYFUNCTION("""COMPUTED_VALUE"""),"https://drive.google.com/file/d/1PTl8YgMH3xRFmNdgSL9qjXtGWtWE-J2r/view?usp=drivesdk")</f>
        <v>https://drive.google.com/file/d/1PTl8YgMH3xRFmNdgSL9qjXtGWtWE-J2r/view?usp=drivesdk</v>
      </c>
      <c r="D1999" s="12"/>
      <c r="E1999" s="13">
        <v>2049.0</v>
      </c>
      <c r="F1999" s="2"/>
    </row>
    <row r="2000" ht="1.5" customHeight="1">
      <c r="A2000" s="4" t="str">
        <f>IFERROR(__xludf.DUMMYFUNCTION("""COMPUTED_VALUE"""),"42. Rubber")</f>
        <v>42. Rubber</v>
      </c>
      <c r="B2000" s="4" t="str">
        <f>IFERROR(__xludf.DUMMYFUNCTION("""COMPUTED_VALUE"""),"42")</f>
        <v>42</v>
      </c>
      <c r="C2000" s="5" t="str">
        <f>IFERROR(__xludf.DUMMYFUNCTION("""COMPUTED_VALUE"""),"https://drive.google.com/file/d/1HnDPChV3vf0ekqXAGjI9pp9ylZ7dIsJp/view?usp=drivesdk")</f>
        <v>https://drive.google.com/file/d/1HnDPChV3vf0ekqXAGjI9pp9ylZ7dIsJp/view?usp=drivesdk</v>
      </c>
      <c r="D2000" s="12"/>
      <c r="E2000" s="13">
        <v>2050.0</v>
      </c>
      <c r="F2000" s="2"/>
    </row>
    <row r="2001" ht="1.5" customHeight="1">
      <c r="A2001" s="4" t="str">
        <f>IFERROR(__xludf.DUMMYFUNCTION("""COMPUTED_VALUE"""),"47. Nefarious")</f>
        <v>47. Nefarious</v>
      </c>
      <c r="B2001" s="4" t="str">
        <f>IFERROR(__xludf.DUMMYFUNCTION("""COMPUTED_VALUE"""),"47")</f>
        <v>47</v>
      </c>
      <c r="C2001" s="5" t="str">
        <f>IFERROR(__xludf.DUMMYFUNCTION("""COMPUTED_VALUE"""),"https://drive.google.com/file/d/1DA5cVfRthBjPLfaqCbBHJwbPumRyN4Kl/view?usp=drivesdk")</f>
        <v>https://drive.google.com/file/d/1DA5cVfRthBjPLfaqCbBHJwbPumRyN4Kl/view?usp=drivesdk</v>
      </c>
      <c r="D2001" s="12"/>
      <c r="E2001" s="13">
        <v>2051.0</v>
      </c>
      <c r="F2001" s="2"/>
    </row>
    <row r="2002" ht="1.5" customHeight="1">
      <c r="A2002" s="4" t="str">
        <f>IFERROR(__xludf.DUMMYFUNCTION("""COMPUTED_VALUE"""),"42. Rubber, 39. Radar, 77. Ooni")</f>
        <v>42. Rubber, 39. Radar, 77. Ooni</v>
      </c>
      <c r="B2002" s="4" t="str">
        <f>IFERROR(__xludf.DUMMYFUNCTION("""COMPUTED_VALUE"""),"42, 39, 77")</f>
        <v>42, 39, 77</v>
      </c>
      <c r="C2002" s="5" t="str">
        <f>IFERROR(__xludf.DUMMYFUNCTION("""COMPUTED_VALUE"""),"https://drive.google.com/file/d/1bLrjB2__aDVWm-GMGccGz9pXHRmFfToW/view?usp=drivesdk")</f>
        <v>https://drive.google.com/file/d/1bLrjB2__aDVWm-GMGccGz9pXHRmFfToW/view?usp=drivesdk</v>
      </c>
      <c r="D2002" s="12"/>
      <c r="E2002" s="13">
        <v>2052.0</v>
      </c>
      <c r="F2002" s="2"/>
    </row>
    <row r="2003" ht="1.5" customHeight="1">
      <c r="A2003" s="4" t="str">
        <f>IFERROR(__xludf.DUMMYFUNCTION("""COMPUTED_VALUE"""),"77. Ooni, 62. Gorygreg")</f>
        <v>77. Ooni, 62. Gorygreg</v>
      </c>
      <c r="B2003" s="4" t="str">
        <f>IFERROR(__xludf.DUMMYFUNCTION("""COMPUTED_VALUE"""),"77, 62")</f>
        <v>77, 62</v>
      </c>
      <c r="C2003" s="5" t="str">
        <f>IFERROR(__xludf.DUMMYFUNCTION("""COMPUTED_VALUE"""),"https://drive.google.com/file/d/1EI8zL8TcbMJXP0K8-r1KWNwxvZ91rzsT/view?usp=drivesdk")</f>
        <v>https://drive.google.com/file/d/1EI8zL8TcbMJXP0K8-r1KWNwxvZ91rzsT/view?usp=drivesdk</v>
      </c>
      <c r="D2003" s="12"/>
      <c r="E2003" s="13">
        <v>2053.0</v>
      </c>
      <c r="F2003" s="2"/>
    </row>
    <row r="2004" ht="1.5" customHeight="1">
      <c r="A2004" s="4" t="str">
        <f>IFERROR(__xludf.DUMMYFUNCTION("""COMPUTED_VALUE"""),"1. Microwave")</f>
        <v>1. Microwave</v>
      </c>
      <c r="B2004" s="4" t="str">
        <f>IFERROR(__xludf.DUMMYFUNCTION("""COMPUTED_VALUE"""),"1")</f>
        <v>1</v>
      </c>
      <c r="C2004" s="5" t="str">
        <f>IFERROR(__xludf.DUMMYFUNCTION("""COMPUTED_VALUE"""),"https://drive.google.com/file/d/1MetrtdublZhfDKj7f8fM0n7k2uorRf9c/view?usp=drivesdk")</f>
        <v>https://drive.google.com/file/d/1MetrtdublZhfDKj7f8fM0n7k2uorRf9c/view?usp=drivesdk</v>
      </c>
      <c r="D2004" s="12"/>
      <c r="E2004" s="13">
        <v>2054.0</v>
      </c>
      <c r="F2004" s="2"/>
    </row>
    <row r="2005" ht="1.5" customHeight="1">
      <c r="A2005" s="4" t="str">
        <f>IFERROR(__xludf.DUMMYFUNCTION("""COMPUTED_VALUE"""),"1. Microwave")</f>
        <v>1. Microwave</v>
      </c>
      <c r="B2005" s="4" t="str">
        <f>IFERROR(__xludf.DUMMYFUNCTION("""COMPUTED_VALUE"""),"1")</f>
        <v>1</v>
      </c>
      <c r="C2005" s="5" t="str">
        <f>IFERROR(__xludf.DUMMYFUNCTION("""COMPUTED_VALUE"""),"https://drive.google.com/file/d/1NWPN3asHw975fdhVQgYZ93hopeYka0eK/view?usp=drivesdk")</f>
        <v>https://drive.google.com/file/d/1NWPN3asHw975fdhVQgYZ93hopeYka0eK/view?usp=drivesdk</v>
      </c>
      <c r="D2005" s="12"/>
      <c r="E2005" s="13">
        <v>2055.0</v>
      </c>
      <c r="F2005" s="2"/>
    </row>
    <row r="2006" ht="1.5" customHeight="1">
      <c r="A2006" s="4" t="str">
        <f>IFERROR(__xludf.DUMMYFUNCTION("""COMPUTED_VALUE"""),"1. Microwave")</f>
        <v>1. Microwave</v>
      </c>
      <c r="B2006" s="4" t="str">
        <f>IFERROR(__xludf.DUMMYFUNCTION("""COMPUTED_VALUE"""),"1")</f>
        <v>1</v>
      </c>
      <c r="C2006" s="5" t="str">
        <f>IFERROR(__xludf.DUMMYFUNCTION("""COMPUTED_VALUE"""),"https://drive.google.com/file/d/1fawZs_wxfDj8Tol4MnHCyrl0B85EF8gb/view?usp=drivesdk")</f>
        <v>https://drive.google.com/file/d/1fawZs_wxfDj8Tol4MnHCyrl0B85EF8gb/view?usp=drivesdk</v>
      </c>
      <c r="D2006" s="12"/>
      <c r="E2006" s="13">
        <v>2056.0</v>
      </c>
      <c r="F2006" s="2"/>
    </row>
    <row r="2007" ht="1.5" customHeight="1">
      <c r="A2007" s="4" t="str">
        <f>IFERROR(__xludf.DUMMYFUNCTION("""COMPUTED_VALUE"""),"2. Twix")</f>
        <v>2. Twix</v>
      </c>
      <c r="B2007" s="4" t="str">
        <f>IFERROR(__xludf.DUMMYFUNCTION("""COMPUTED_VALUE"""),"2")</f>
        <v>2</v>
      </c>
      <c r="C2007" s="5" t="str">
        <f>IFERROR(__xludf.DUMMYFUNCTION("""COMPUTED_VALUE"""),"https://drive.google.com/file/d/16ZeUnLaJl0HYd8LUL88TE3w5bdJpV-3b/view?usp=drivesdk")</f>
        <v>https://drive.google.com/file/d/16ZeUnLaJl0HYd8LUL88TE3w5bdJpV-3b/view?usp=drivesdk</v>
      </c>
      <c r="D2007" s="12"/>
      <c r="E2007" s="13">
        <v>2057.0</v>
      </c>
      <c r="F2007" s="2"/>
    </row>
    <row r="2008" ht="1.5" customHeight="1">
      <c r="A2008" s="4" t="str">
        <f>IFERROR(__xludf.DUMMYFUNCTION("""COMPUTED_VALUE"""),"2. Twix")</f>
        <v>2. Twix</v>
      </c>
      <c r="B2008" s="4" t="str">
        <f>IFERROR(__xludf.DUMMYFUNCTION("""COMPUTED_VALUE"""),"2")</f>
        <v>2</v>
      </c>
      <c r="C2008" s="5" t="str">
        <f>IFERROR(__xludf.DUMMYFUNCTION("""COMPUTED_VALUE"""),"https://drive.google.com/file/d/1n7DfpsG3GT_RX2hDIPYru-VcKzPTfA4C/view?usp=drivesdk")</f>
        <v>https://drive.google.com/file/d/1n7DfpsG3GT_RX2hDIPYru-VcKzPTfA4C/view?usp=drivesdk</v>
      </c>
      <c r="D2008" s="12"/>
      <c r="E2008" s="13">
        <v>2058.0</v>
      </c>
      <c r="F2008" s="2"/>
    </row>
    <row r="2009" ht="1.5" customHeight="1">
      <c r="A2009" s="4" t="str">
        <f>IFERROR(__xludf.DUMMYFUNCTION("""COMPUTED_VALUE"""),"2. Twix")</f>
        <v>2. Twix</v>
      </c>
      <c r="B2009" s="4" t="str">
        <f>IFERROR(__xludf.DUMMYFUNCTION("""COMPUTED_VALUE"""),"2")</f>
        <v>2</v>
      </c>
      <c r="C2009" s="5" t="str">
        <f>IFERROR(__xludf.DUMMYFUNCTION("""COMPUTED_VALUE"""),"https://drive.google.com/file/d/16w64sM9XWzFDFXNsPNDumeE4ufwICSAl/view?usp=drivesdk")</f>
        <v>https://drive.google.com/file/d/16w64sM9XWzFDFXNsPNDumeE4ufwICSAl/view?usp=drivesdk</v>
      </c>
      <c r="D2009" s="12"/>
      <c r="E2009" s="13">
        <v>2059.0</v>
      </c>
      <c r="F2009" s="2"/>
    </row>
    <row r="2010" ht="1.5" customHeight="1">
      <c r="A2010" s="4" t="str">
        <f>IFERROR(__xludf.DUMMYFUNCTION("""COMPUTED_VALUE"""),"0. NotACat")</f>
        <v>0. NotACat</v>
      </c>
      <c r="B2010" s="4" t="str">
        <f>IFERROR(__xludf.DUMMYFUNCTION("""COMPUTED_VALUE"""),"0")</f>
        <v>0</v>
      </c>
      <c r="C2010" s="5" t="str">
        <f>IFERROR(__xludf.DUMMYFUNCTION("""COMPUTED_VALUE"""),"https://drive.google.com/file/d/1KCYCMKk4ubeTaVMVXOm0jPYlpV2CUncQ/view?usp=drivesdk")</f>
        <v>https://drive.google.com/file/d/1KCYCMKk4ubeTaVMVXOm0jPYlpV2CUncQ/view?usp=drivesdk</v>
      </c>
      <c r="D2010" s="12"/>
      <c r="E2010" s="13">
        <v>2060.0</v>
      </c>
      <c r="F2010" s="2"/>
    </row>
    <row r="2011" ht="1.5" customHeight="1">
      <c r="A2011" s="4" t="str">
        <f>IFERROR(__xludf.DUMMYFUNCTION("""COMPUTED_VALUE"""),"1. Microwave")</f>
        <v>1. Microwave</v>
      </c>
      <c r="B2011" s="4" t="str">
        <f>IFERROR(__xludf.DUMMYFUNCTION("""COMPUTED_VALUE"""),"1")</f>
        <v>1</v>
      </c>
      <c r="C2011" s="5" t="str">
        <f>IFERROR(__xludf.DUMMYFUNCTION("""COMPUTED_VALUE"""),"https://drive.google.com/file/d/1EthJgxyFQPFRDNzIHQp_1V2SzKVjyGjh/view?usp=drivesdk")</f>
        <v>https://drive.google.com/file/d/1EthJgxyFQPFRDNzIHQp_1V2SzKVjyGjh/view?usp=drivesdk</v>
      </c>
      <c r="D2011" s="12"/>
      <c r="E2011" s="13">
        <v>2061.0</v>
      </c>
      <c r="F2011" s="2"/>
    </row>
    <row r="2012" ht="1.5" customHeight="1">
      <c r="A2012" s="4" t="str">
        <f>IFERROR(__xludf.DUMMYFUNCTION("""COMPUTED_VALUE"""),"1. Microwave")</f>
        <v>1. Microwave</v>
      </c>
      <c r="B2012" s="4" t="str">
        <f>IFERROR(__xludf.DUMMYFUNCTION("""COMPUTED_VALUE"""),"1")</f>
        <v>1</v>
      </c>
      <c r="C2012" s="5" t="str">
        <f>IFERROR(__xludf.DUMMYFUNCTION("""COMPUTED_VALUE"""),"https://drive.google.com/file/d/1NQD-MPlIqfegkjHssmgULi3Jx45v3Xie/view?usp=drivesdk")</f>
        <v>https://drive.google.com/file/d/1NQD-MPlIqfegkjHssmgULi3Jx45v3Xie/view?usp=drivesdk</v>
      </c>
      <c r="D2012" s="12"/>
      <c r="E2012" s="13">
        <v>2062.0</v>
      </c>
      <c r="F2012" s="2"/>
    </row>
    <row r="2013" ht="1.5" customHeight="1">
      <c r="A2013" s="4" t="str">
        <f>IFERROR(__xludf.DUMMYFUNCTION("""COMPUTED_VALUE"""),"2. Twix")</f>
        <v>2. Twix</v>
      </c>
      <c r="B2013" s="4" t="str">
        <f>IFERROR(__xludf.DUMMYFUNCTION("""COMPUTED_VALUE"""),"2")</f>
        <v>2</v>
      </c>
      <c r="C2013" s="5" t="str">
        <f>IFERROR(__xludf.DUMMYFUNCTION("""COMPUTED_VALUE"""),"https://drive.google.com/file/d/1zbHjwz9M0oqF8xbIHnNaZZZKf0pVrUQI/view?usp=drivesdk")</f>
        <v>https://drive.google.com/file/d/1zbHjwz9M0oqF8xbIHnNaZZZKf0pVrUQI/view?usp=drivesdk</v>
      </c>
      <c r="D2013" s="12"/>
      <c r="E2013" s="13">
        <v>2063.0</v>
      </c>
      <c r="F2013" s="2"/>
    </row>
    <row r="2014" ht="1.5" customHeight="1">
      <c r="A2014" s="4" t="str">
        <f>IFERROR(__xludf.DUMMYFUNCTION("""COMPUTED_VALUE"""),"1. Microwave")</f>
        <v>1. Microwave</v>
      </c>
      <c r="B2014" s="4" t="str">
        <f>IFERROR(__xludf.DUMMYFUNCTION("""COMPUTED_VALUE"""),"1")</f>
        <v>1</v>
      </c>
      <c r="C2014" s="5" t="str">
        <f>IFERROR(__xludf.DUMMYFUNCTION("""COMPUTED_VALUE"""),"https://drive.google.com/file/d/1YLvdTUs2T6vO77Y9egTHF-MkPuA1iylJ/view?usp=drivesdk")</f>
        <v>https://drive.google.com/file/d/1YLvdTUs2T6vO77Y9egTHF-MkPuA1iylJ/view?usp=drivesdk</v>
      </c>
      <c r="D2014" s="12"/>
      <c r="E2014" s="13">
        <v>2064.0</v>
      </c>
      <c r="F2014" s="2"/>
    </row>
    <row r="2015" ht="1.5" customHeight="1">
      <c r="A2015" s="4" t="str">
        <f>IFERROR(__xludf.DUMMYFUNCTION("""COMPUTED_VALUE"""),"2. Twix")</f>
        <v>2. Twix</v>
      </c>
      <c r="B2015" s="4" t="str">
        <f>IFERROR(__xludf.DUMMYFUNCTION("""COMPUTED_VALUE"""),"2")</f>
        <v>2</v>
      </c>
      <c r="C2015" s="5" t="str">
        <f>IFERROR(__xludf.DUMMYFUNCTION("""COMPUTED_VALUE"""),"https://drive.google.com/file/d/17sqS8Hw-nZkBLcbf_PEdQbCVfedX_82Y/view?usp=drivesdk")</f>
        <v>https://drive.google.com/file/d/17sqS8Hw-nZkBLcbf_PEdQbCVfedX_82Y/view?usp=drivesdk</v>
      </c>
      <c r="D2015" s="12"/>
      <c r="E2015" s="13">
        <v>2065.0</v>
      </c>
      <c r="F2015" s="2"/>
    </row>
    <row r="2016" ht="1.5" customHeight="1">
      <c r="A2016" s="4" t="str">
        <f>IFERROR(__xludf.DUMMYFUNCTION("""COMPUTED_VALUE"""),"5. Eraser")</f>
        <v>5. Eraser</v>
      </c>
      <c r="B2016" s="4" t="str">
        <f>IFERROR(__xludf.DUMMYFUNCTION("""COMPUTED_VALUE"""),"5")</f>
        <v>5</v>
      </c>
      <c r="C2016" s="5" t="str">
        <f>IFERROR(__xludf.DUMMYFUNCTION("""COMPUTED_VALUE"""),"https://drive.google.com/file/d/1m5fHTGNUNLz8rdlDbqaDHSVhiVDMf787/view?usp=drivesdk")</f>
        <v>https://drive.google.com/file/d/1m5fHTGNUNLz8rdlDbqaDHSVhiVDMf787/view?usp=drivesdk</v>
      </c>
      <c r="D2016" s="12"/>
      <c r="E2016" s="13">
        <v>2066.0</v>
      </c>
      <c r="F2016" s="2"/>
    </row>
    <row r="2017" ht="1.5" customHeight="1">
      <c r="A2017" s="4" t="str">
        <f>IFERROR(__xludf.DUMMYFUNCTION("""COMPUTED_VALUE"""),"5. Eraser")</f>
        <v>5. Eraser</v>
      </c>
      <c r="B2017" s="4" t="str">
        <f>IFERROR(__xludf.DUMMYFUNCTION("""COMPUTED_VALUE"""),"5")</f>
        <v>5</v>
      </c>
      <c r="C2017" s="5" t="str">
        <f>IFERROR(__xludf.DUMMYFUNCTION("""COMPUTED_VALUE"""),"https://drive.google.com/file/d/1FG8ctDkRodmI7znDVafHJQwHHQB9M36t/view?usp=drivesdk")</f>
        <v>https://drive.google.com/file/d/1FG8ctDkRodmI7znDVafHJQwHHQB9M36t/view?usp=drivesdk</v>
      </c>
      <c r="D2017" s="12"/>
      <c r="E2017" s="13">
        <v>2067.0</v>
      </c>
      <c r="F2017" s="2"/>
    </row>
    <row r="2018" ht="1.5" customHeight="1">
      <c r="A2018" s="4" t="str">
        <f>IFERROR(__xludf.DUMMYFUNCTION("""COMPUTED_VALUE"""),"5. Eraser")</f>
        <v>5. Eraser</v>
      </c>
      <c r="B2018" s="4" t="str">
        <f>IFERROR(__xludf.DUMMYFUNCTION("""COMPUTED_VALUE"""),"5")</f>
        <v>5</v>
      </c>
      <c r="C2018" s="5" t="str">
        <f>IFERROR(__xludf.DUMMYFUNCTION("""COMPUTED_VALUE"""),"https://drive.google.com/file/d/1TESbGaKLgqLkCSCLdJYeJEQfnDx8PFW3/view?usp=drivesdk")</f>
        <v>https://drive.google.com/file/d/1TESbGaKLgqLkCSCLdJYeJEQfnDx8PFW3/view?usp=drivesdk</v>
      </c>
      <c r="D2018" s="12"/>
      <c r="E2018" s="13">
        <v>2068.0</v>
      </c>
      <c r="F2018" s="2"/>
    </row>
    <row r="2019" ht="1.5" customHeight="1">
      <c r="A2019" s="4" t="str">
        <f>IFERROR(__xludf.DUMMYFUNCTION("""COMPUTED_VALUE"""),"4. Eggs")</f>
        <v>4. Eggs</v>
      </c>
      <c r="B2019" s="4" t="str">
        <f>IFERROR(__xludf.DUMMYFUNCTION("""COMPUTED_VALUE"""),"4")</f>
        <v>4</v>
      </c>
      <c r="C2019" s="5" t="str">
        <f>IFERROR(__xludf.DUMMYFUNCTION("""COMPUTED_VALUE"""),"https://drive.google.com/file/d/1I7bkilseCoK8eFX1ZdhYGWehyNTpB00c/view?usp=drivesdk")</f>
        <v>https://drive.google.com/file/d/1I7bkilseCoK8eFX1ZdhYGWehyNTpB00c/view?usp=drivesdk</v>
      </c>
      <c r="D2019" s="12"/>
      <c r="E2019" s="13">
        <v>2069.0</v>
      </c>
      <c r="F2019" s="2"/>
    </row>
    <row r="2020" ht="1.5" customHeight="1">
      <c r="A2020" s="4" t="str">
        <f>IFERROR(__xludf.DUMMYFUNCTION("""COMPUTED_VALUE"""),"5. Eraser")</f>
        <v>5. Eraser</v>
      </c>
      <c r="B2020" s="4" t="str">
        <f>IFERROR(__xludf.DUMMYFUNCTION("""COMPUTED_VALUE"""),"5")</f>
        <v>5</v>
      </c>
      <c r="C2020" s="5" t="str">
        <f>IFERROR(__xludf.DUMMYFUNCTION("""COMPUTED_VALUE"""),"https://drive.google.com/file/d/1GH1IJp7TAqxKdL1aXqWmVMiRsEN91tWV/view?usp=drivesdk")</f>
        <v>https://drive.google.com/file/d/1GH1IJp7TAqxKdL1aXqWmVMiRsEN91tWV/view?usp=drivesdk</v>
      </c>
      <c r="D2020" s="12"/>
      <c r="E2020" s="13">
        <v>2070.0</v>
      </c>
      <c r="F2020" s="2"/>
    </row>
    <row r="2021" ht="1.5" customHeight="1">
      <c r="A2021" s="4" t="str">
        <f>IFERROR(__xludf.DUMMYFUNCTION("""COMPUTED_VALUE"""),"5. Eraser")</f>
        <v>5. Eraser</v>
      </c>
      <c r="B2021" s="4" t="str">
        <f>IFERROR(__xludf.DUMMYFUNCTION("""COMPUTED_VALUE"""),"5")</f>
        <v>5</v>
      </c>
      <c r="C2021" s="5" t="str">
        <f>IFERROR(__xludf.DUMMYFUNCTION("""COMPUTED_VALUE"""),"https://drive.google.com/file/d/1B2oXMmE3Ou9i-kq1QK6sKpcDPOU7yKF1/view?usp=drivesdk")</f>
        <v>https://drive.google.com/file/d/1B2oXMmE3Ou9i-kq1QK6sKpcDPOU7yKF1/view?usp=drivesdk</v>
      </c>
      <c r="D2021" s="12"/>
      <c r="E2021" s="13">
        <v>2071.0</v>
      </c>
      <c r="F2021" s="2"/>
    </row>
    <row r="2022" ht="1.5" customHeight="1">
      <c r="A2022" s="4" t="str">
        <f>IFERROR(__xludf.DUMMYFUNCTION("""COMPUTED_VALUE"""),"5. Eraser")</f>
        <v>5. Eraser</v>
      </c>
      <c r="B2022" s="4" t="str">
        <f>IFERROR(__xludf.DUMMYFUNCTION("""COMPUTED_VALUE"""),"5")</f>
        <v>5</v>
      </c>
      <c r="C2022" s="5" t="str">
        <f>IFERROR(__xludf.DUMMYFUNCTION("""COMPUTED_VALUE"""),"https://drive.google.com/file/d/1Ip500WFB4QGcBXmxuvkfLeo4VPlhX-ul/view?usp=drivesdk")</f>
        <v>https://drive.google.com/file/d/1Ip500WFB4QGcBXmxuvkfLeo4VPlhX-ul/view?usp=drivesdk</v>
      </c>
      <c r="D2022" s="12"/>
      <c r="E2022" s="13">
        <v>2072.0</v>
      </c>
      <c r="F2022" s="2"/>
    </row>
    <row r="2023" ht="1.5" customHeight="1">
      <c r="A2023" s="4" t="str">
        <f>IFERROR(__xludf.DUMMYFUNCTION("""COMPUTED_VALUE"""),"4. Eggs, 5. Eraser")</f>
        <v>4. Eggs, 5. Eraser</v>
      </c>
      <c r="B2023" s="4" t="str">
        <f>IFERROR(__xludf.DUMMYFUNCTION("""COMPUTED_VALUE"""),"4, 5")</f>
        <v>4, 5</v>
      </c>
      <c r="C2023" s="5" t="str">
        <f>IFERROR(__xludf.DUMMYFUNCTION("""COMPUTED_VALUE"""),"https://drive.google.com/file/d/11hEF43rwvXpOpdxB-VEHL0fQYIyWTU26/view?usp=drivesdk")</f>
        <v>https://drive.google.com/file/d/11hEF43rwvXpOpdxB-VEHL0fQYIyWTU26/view?usp=drivesdk</v>
      </c>
      <c r="D2023" s="12"/>
      <c r="E2023" s="13">
        <v>2073.0</v>
      </c>
      <c r="F2023" s="2"/>
    </row>
    <row r="2024" ht="1.5" customHeight="1">
      <c r="A2024" s="4" t="str">
        <f>IFERROR(__xludf.DUMMYFUNCTION("""COMPUTED_VALUE"""),"4. Eggs")</f>
        <v>4. Eggs</v>
      </c>
      <c r="B2024" s="4" t="str">
        <f>IFERROR(__xludf.DUMMYFUNCTION("""COMPUTED_VALUE"""),"4")</f>
        <v>4</v>
      </c>
      <c r="C2024" s="5" t="str">
        <f>IFERROR(__xludf.DUMMYFUNCTION("""COMPUTED_VALUE"""),"https://drive.google.com/file/d/1wAWKyYropr1fTCEsI2-K3yqszQGyk8EC/view?usp=drivesdk")</f>
        <v>https://drive.google.com/file/d/1wAWKyYropr1fTCEsI2-K3yqszQGyk8EC/view?usp=drivesdk</v>
      </c>
      <c r="D2024" s="12"/>
      <c r="E2024" s="13">
        <v>2074.0</v>
      </c>
      <c r="F2024" s="2"/>
    </row>
    <row r="2025" ht="1.5" customHeight="1">
      <c r="A2025" s="4" t="str">
        <f>IFERROR(__xludf.DUMMYFUNCTION("""COMPUTED_VALUE"""),"1. Microwave")</f>
        <v>1. Microwave</v>
      </c>
      <c r="B2025" s="4" t="str">
        <f>IFERROR(__xludf.DUMMYFUNCTION("""COMPUTED_VALUE"""),"1")</f>
        <v>1</v>
      </c>
      <c r="C2025" s="5" t="str">
        <f>IFERROR(__xludf.DUMMYFUNCTION("""COMPUTED_VALUE"""),"https://drive.google.com/file/d/1ggVUY46_sniplswUnnIgWjGLf-yk6UKk/view?usp=drivesdk")</f>
        <v>https://drive.google.com/file/d/1ggVUY46_sniplswUnnIgWjGLf-yk6UKk/view?usp=drivesdk</v>
      </c>
      <c r="D2025" s="12"/>
      <c r="E2025" s="13">
        <v>2075.0</v>
      </c>
      <c r="F2025" s="2"/>
    </row>
    <row r="2026" ht="1.5" customHeight="1">
      <c r="A2026" s="4" t="str">
        <f>IFERROR(__xludf.DUMMYFUNCTION("""COMPUTED_VALUE"""),"1. Microwave")</f>
        <v>1. Microwave</v>
      </c>
      <c r="B2026" s="4" t="str">
        <f>IFERROR(__xludf.DUMMYFUNCTION("""COMPUTED_VALUE"""),"1")</f>
        <v>1</v>
      </c>
      <c r="C2026" s="5" t="str">
        <f>IFERROR(__xludf.DUMMYFUNCTION("""COMPUTED_VALUE"""),"https://drive.google.com/file/d/1hVIOCfX8yRwOgpqR3_claWBMqhuCWzws/view?usp=drivesdk")</f>
        <v>https://drive.google.com/file/d/1hVIOCfX8yRwOgpqR3_claWBMqhuCWzws/view?usp=drivesdk</v>
      </c>
      <c r="D2026" s="12"/>
      <c r="E2026" s="13">
        <v>2076.0</v>
      </c>
      <c r="F2026" s="2"/>
    </row>
    <row r="2027" ht="1.5" customHeight="1">
      <c r="A2027" s="4" t="str">
        <f>IFERROR(__xludf.DUMMYFUNCTION("""COMPUTED_VALUE"""),"33. Zee")</f>
        <v>33. Zee</v>
      </c>
      <c r="B2027" s="4" t="str">
        <f>IFERROR(__xludf.DUMMYFUNCTION("""COMPUTED_VALUE"""),"33")</f>
        <v>33</v>
      </c>
      <c r="C2027" s="5" t="str">
        <f>IFERROR(__xludf.DUMMYFUNCTION("""COMPUTED_VALUE"""),"https://drive.google.com/file/d/1IPqBj2CKAG3VVsB6s87qcKIC8QvCR6bL/view?usp=drivesdk")</f>
        <v>https://drive.google.com/file/d/1IPqBj2CKAG3VVsB6s87qcKIC8QvCR6bL/view?usp=drivesdk</v>
      </c>
      <c r="D2027" s="12"/>
      <c r="E2027" s="13">
        <v>2077.0</v>
      </c>
      <c r="F2027" s="2"/>
    </row>
    <row r="2028" ht="1.5" customHeight="1">
      <c r="A2028" s="4" t="str">
        <f>IFERROR(__xludf.DUMMYFUNCTION("""COMPUTED_VALUE"""),"1. Microwave")</f>
        <v>1. Microwave</v>
      </c>
      <c r="B2028" s="4" t="str">
        <f>IFERROR(__xludf.DUMMYFUNCTION("""COMPUTED_VALUE"""),"1")</f>
        <v>1</v>
      </c>
      <c r="C2028" s="5" t="str">
        <f>IFERROR(__xludf.DUMMYFUNCTION("""COMPUTED_VALUE"""),"https://drive.google.com/file/d/1EUHmMDK7_x77IlRmZhBAe9XYh1L03Sn3/view?usp=drivesdk")</f>
        <v>https://drive.google.com/file/d/1EUHmMDK7_x77IlRmZhBAe9XYh1L03Sn3/view?usp=drivesdk</v>
      </c>
      <c r="D2028" s="12"/>
      <c r="E2028" s="13">
        <v>2078.0</v>
      </c>
      <c r="F2028" s="2"/>
    </row>
    <row r="2029" ht="1.5" customHeight="1">
      <c r="A2029" s="4" t="str">
        <f>IFERROR(__xludf.DUMMYFUNCTION("""COMPUTED_VALUE"""),"1. Microwave")</f>
        <v>1. Microwave</v>
      </c>
      <c r="B2029" s="4" t="str">
        <f>IFERROR(__xludf.DUMMYFUNCTION("""COMPUTED_VALUE"""),"1")</f>
        <v>1</v>
      </c>
      <c r="C2029" s="5" t="str">
        <f>IFERROR(__xludf.DUMMYFUNCTION("""COMPUTED_VALUE"""),"https://drive.google.com/file/d/15L_pjca_vzVBb0BOnzZ37HmolNakIh0j/view?usp=drivesdk")</f>
        <v>https://drive.google.com/file/d/15L_pjca_vzVBb0BOnzZ37HmolNakIh0j/view?usp=drivesdk</v>
      </c>
      <c r="D2029" s="12"/>
      <c r="E2029" s="13">
        <v>2079.0</v>
      </c>
      <c r="F2029" s="2"/>
    </row>
    <row r="2030" ht="1.5" customHeight="1">
      <c r="A2030" s="4" t="str">
        <f>IFERROR(__xludf.DUMMYFUNCTION("""COMPUTED_VALUE"""),"1. Microwave")</f>
        <v>1. Microwave</v>
      </c>
      <c r="B2030" s="4" t="str">
        <f>IFERROR(__xludf.DUMMYFUNCTION("""COMPUTED_VALUE"""),"1")</f>
        <v>1</v>
      </c>
      <c r="C2030" s="5" t="str">
        <f>IFERROR(__xludf.DUMMYFUNCTION("""COMPUTED_VALUE"""),"https://drive.google.com/file/d/1Qj1L_9u0fT0uhXKeiLn63qESPrCCWAFe/view?usp=drivesdk")</f>
        <v>https://drive.google.com/file/d/1Qj1L_9u0fT0uhXKeiLn63qESPrCCWAFe/view?usp=drivesdk</v>
      </c>
      <c r="D2030" s="12"/>
      <c r="E2030" s="13">
        <v>2080.0</v>
      </c>
      <c r="F2030" s="2"/>
    </row>
    <row r="2031" ht="1.5" customHeight="1">
      <c r="A2031" s="4" t="str">
        <f>IFERROR(__xludf.DUMMYFUNCTION("""COMPUTED_VALUE"""),"1. Microwave")</f>
        <v>1. Microwave</v>
      </c>
      <c r="B2031" s="4" t="str">
        <f>IFERROR(__xludf.DUMMYFUNCTION("""COMPUTED_VALUE"""),"1")</f>
        <v>1</v>
      </c>
      <c r="C2031" s="5" t="str">
        <f>IFERROR(__xludf.DUMMYFUNCTION("""COMPUTED_VALUE"""),"https://drive.google.com/file/d/1RHn4e_MtP3GVBuOO3fFZxKmwDZoCH5nN/view?usp=drivesdk")</f>
        <v>https://drive.google.com/file/d/1RHn4e_MtP3GVBuOO3fFZxKmwDZoCH5nN/view?usp=drivesdk</v>
      </c>
      <c r="D2031" s="12"/>
      <c r="E2031" s="13">
        <v>2081.0</v>
      </c>
      <c r="F2031" s="2"/>
    </row>
    <row r="2032" ht="1.5" customHeight="1">
      <c r="A2032" s="4" t="str">
        <f>IFERROR(__xludf.DUMMYFUNCTION("""COMPUTED_VALUE"""),"66. Toblerone")</f>
        <v>66. Toblerone</v>
      </c>
      <c r="B2032" s="4" t="str">
        <f>IFERROR(__xludf.DUMMYFUNCTION("""COMPUTED_VALUE"""),"66")</f>
        <v>66</v>
      </c>
      <c r="C2032" s="5" t="str">
        <f>IFERROR(__xludf.DUMMYFUNCTION("""COMPUTED_VALUE"""),"https://drive.google.com/file/d/1kCHRrGfojAwKH-POxOs89Lwh-wl5Xm0n/view?usp=drivesdk")</f>
        <v>https://drive.google.com/file/d/1kCHRrGfojAwKH-POxOs89Lwh-wl5Xm0n/view?usp=drivesdk</v>
      </c>
      <c r="D2032" s="12"/>
      <c r="E2032" s="13">
        <v>2082.0</v>
      </c>
      <c r="F2032" s="2"/>
    </row>
    <row r="2033" ht="1.5" customHeight="1">
      <c r="A2033" s="4" t="str">
        <f>IFERROR(__xludf.DUMMYFUNCTION("""COMPUTED_VALUE"""),"66. Toblerone")</f>
        <v>66. Toblerone</v>
      </c>
      <c r="B2033" s="4" t="str">
        <f>IFERROR(__xludf.DUMMYFUNCTION("""COMPUTED_VALUE"""),"66")</f>
        <v>66</v>
      </c>
      <c r="C2033" s="5" t="str">
        <f>IFERROR(__xludf.DUMMYFUNCTION("""COMPUTED_VALUE"""),"https://drive.google.com/file/d/1hBJhuuT-POUBSOjzE3P2EHg82yRlFRkB/view?usp=drivesdk")</f>
        <v>https://drive.google.com/file/d/1hBJhuuT-POUBSOjzE3P2EHg82yRlFRkB/view?usp=drivesdk</v>
      </c>
      <c r="D2033" s="12"/>
      <c r="E2033" s="13">
        <v>2083.0</v>
      </c>
      <c r="F2033" s="2"/>
    </row>
    <row r="2034" ht="1.5" customHeight="1">
      <c r="A2034" s="4" t="str">
        <f>IFERROR(__xludf.DUMMYFUNCTION("""COMPUTED_VALUE"""),"66. Toblerone")</f>
        <v>66. Toblerone</v>
      </c>
      <c r="B2034" s="4" t="str">
        <f>IFERROR(__xludf.DUMMYFUNCTION("""COMPUTED_VALUE"""),"66")</f>
        <v>66</v>
      </c>
      <c r="C2034" s="5" t="str">
        <f>IFERROR(__xludf.DUMMYFUNCTION("""COMPUTED_VALUE"""),"https://drive.google.com/file/d/1upjf_cbZv_LiPcBc0PGGtJHvHyxX4dh1/view?usp=drivesdk")</f>
        <v>https://drive.google.com/file/d/1upjf_cbZv_LiPcBc0PGGtJHvHyxX4dh1/view?usp=drivesdk</v>
      </c>
      <c r="D2034" s="12"/>
      <c r="E2034" s="13">
        <v>2084.0</v>
      </c>
      <c r="F2034" s="2"/>
    </row>
    <row r="2035" ht="1.5" customHeight="1">
      <c r="A2035" s="4" t="str">
        <f>IFERROR(__xludf.DUMMYFUNCTION("""COMPUTED_VALUE"""),"66. Toblerone")</f>
        <v>66. Toblerone</v>
      </c>
      <c r="B2035" s="4" t="str">
        <f>IFERROR(__xludf.DUMMYFUNCTION("""COMPUTED_VALUE"""),"66")</f>
        <v>66</v>
      </c>
      <c r="C2035" s="5" t="str">
        <f>IFERROR(__xludf.DUMMYFUNCTION("""COMPUTED_VALUE"""),"https://drive.google.com/file/d/1xLCIEUnnIB01nzZJwRv9A2jnG5W000JZ/view?usp=drivesdk")</f>
        <v>https://drive.google.com/file/d/1xLCIEUnnIB01nzZJwRv9A2jnG5W000JZ/view?usp=drivesdk</v>
      </c>
      <c r="D2035" s="12"/>
      <c r="E2035" s="13">
        <v>2085.0</v>
      </c>
      <c r="F2035" s="2"/>
    </row>
    <row r="2036" ht="1.5" customHeight="1">
      <c r="A2036" s="4" t="str">
        <f>IFERROR(__xludf.DUMMYFUNCTION("""COMPUTED_VALUE"""),"1. Microwave")</f>
        <v>1. Microwave</v>
      </c>
      <c r="B2036" s="4" t="str">
        <f>IFERROR(__xludf.DUMMYFUNCTION("""COMPUTED_VALUE"""),"1")</f>
        <v>1</v>
      </c>
      <c r="C2036" s="5" t="str">
        <f>IFERROR(__xludf.DUMMYFUNCTION("""COMPUTED_VALUE"""),"https://drive.google.com/file/d/1pQLPnVCzO9oSoh7U1PFREWiIXVr2Q3Sc/view?usp=drivesdk")</f>
        <v>https://drive.google.com/file/d/1pQLPnVCzO9oSoh7U1PFREWiIXVr2Q3Sc/view?usp=drivesdk</v>
      </c>
      <c r="D2036" s="12"/>
      <c r="E2036" s="13">
        <v>2086.0</v>
      </c>
      <c r="F2036" s="2"/>
    </row>
    <row r="2037" ht="1.5" customHeight="1">
      <c r="A2037" s="4" t="str">
        <f>IFERROR(__xludf.DUMMYFUNCTION("""COMPUTED_VALUE"""),"1. Microwave")</f>
        <v>1. Microwave</v>
      </c>
      <c r="B2037" s="4" t="str">
        <f>IFERROR(__xludf.DUMMYFUNCTION("""COMPUTED_VALUE"""),"1")</f>
        <v>1</v>
      </c>
      <c r="C2037" s="5" t="str">
        <f>IFERROR(__xludf.DUMMYFUNCTION("""COMPUTED_VALUE"""),"https://drive.google.com/file/d/1G1khcS9UKOKi57W_Wy30vWfVmgHYWa71/view?usp=drivesdk")</f>
        <v>https://drive.google.com/file/d/1G1khcS9UKOKi57W_Wy30vWfVmgHYWa71/view?usp=drivesdk</v>
      </c>
      <c r="D2037" s="12"/>
      <c r="E2037" s="13">
        <v>2087.0</v>
      </c>
      <c r="F2037" s="2"/>
    </row>
    <row r="2038" ht="1.5" customHeight="1">
      <c r="A2038" s="4" t="str">
        <f>IFERROR(__xludf.DUMMYFUNCTION("""COMPUTED_VALUE"""),"5. Eraser")</f>
        <v>5. Eraser</v>
      </c>
      <c r="B2038" s="4" t="str">
        <f>IFERROR(__xludf.DUMMYFUNCTION("""COMPUTED_VALUE"""),"5")</f>
        <v>5</v>
      </c>
      <c r="C2038" s="5" t="str">
        <f>IFERROR(__xludf.DUMMYFUNCTION("""COMPUTED_VALUE"""),"https://drive.google.com/file/d/15_zrnnFc8x1W0VRq8PTY0adoPvYKCqDZ/view?usp=drivesdk")</f>
        <v>https://drive.google.com/file/d/15_zrnnFc8x1W0VRq8PTY0adoPvYKCqDZ/view?usp=drivesdk</v>
      </c>
      <c r="D2038" s="12"/>
      <c r="E2038" s="13">
        <v>2088.0</v>
      </c>
      <c r="F2038" s="2"/>
    </row>
    <row r="2039" ht="1.5" customHeight="1">
      <c r="A2039" s="4" t="str">
        <f>IFERROR(__xludf.DUMMYFUNCTION("""COMPUTED_VALUE"""),"0. NotACat")</f>
        <v>0. NotACat</v>
      </c>
      <c r="B2039" s="4" t="str">
        <f>IFERROR(__xludf.DUMMYFUNCTION("""COMPUTED_VALUE"""),"0")</f>
        <v>0</v>
      </c>
      <c r="C2039" s="5" t="str">
        <f>IFERROR(__xludf.DUMMYFUNCTION("""COMPUTED_VALUE"""),"https://drive.google.com/file/d/1SlFE4B0kVOLvtekcfhpr32djSAJ1Bavf/view?usp=drivesdk")</f>
        <v>https://drive.google.com/file/d/1SlFE4B0kVOLvtekcfhpr32djSAJ1Bavf/view?usp=drivesdk</v>
      </c>
      <c r="D2039" s="12"/>
      <c r="E2039" s="13">
        <v>2089.0</v>
      </c>
      <c r="F2039" s="2"/>
    </row>
    <row r="2040" ht="1.5" customHeight="1">
      <c r="A2040" s="4" t="str">
        <f>IFERROR(__xludf.DUMMYFUNCTION("""COMPUTED_VALUE"""),"35. Stove")</f>
        <v>35. Stove</v>
      </c>
      <c r="B2040" s="4" t="str">
        <f>IFERROR(__xludf.DUMMYFUNCTION("""COMPUTED_VALUE"""),"35")</f>
        <v>35</v>
      </c>
      <c r="C2040" s="5" t="str">
        <f>IFERROR(__xludf.DUMMYFUNCTION("""COMPUTED_VALUE"""),"https://drive.google.com/file/d/1_lv_-EiIC3IryDZji4MzClf_GI6WSAGs/view?usp=drivesdk")</f>
        <v>https://drive.google.com/file/d/1_lv_-EiIC3IryDZji4MzClf_GI6WSAGs/view?usp=drivesdk</v>
      </c>
      <c r="D2040" s="12"/>
      <c r="E2040" s="13">
        <v>2090.0</v>
      </c>
      <c r="F2040" s="2"/>
    </row>
    <row r="2041" ht="1.5" customHeight="1">
      <c r="A2041" s="4" t="str">
        <f>IFERROR(__xludf.DUMMYFUNCTION("""COMPUTED_VALUE"""),"35. Stove")</f>
        <v>35. Stove</v>
      </c>
      <c r="B2041" s="4" t="str">
        <f>IFERROR(__xludf.DUMMYFUNCTION("""COMPUTED_VALUE"""),"35")</f>
        <v>35</v>
      </c>
      <c r="C2041" s="5" t="str">
        <f>IFERROR(__xludf.DUMMYFUNCTION("""COMPUTED_VALUE"""),"https://drive.google.com/file/d/1uTbb22Vi32t0EmAxTT8hB65xmpGRy3uE/view?usp=drivesdk")</f>
        <v>https://drive.google.com/file/d/1uTbb22Vi32t0EmAxTT8hB65xmpGRy3uE/view?usp=drivesdk</v>
      </c>
      <c r="D2041" s="12"/>
      <c r="E2041" s="13">
        <v>2091.0</v>
      </c>
      <c r="F2041" s="2"/>
    </row>
    <row r="2042" ht="1.5" customHeight="1">
      <c r="A2042" s="4" t="str">
        <f>IFERROR(__xludf.DUMMYFUNCTION("""COMPUTED_VALUE"""),"35. Stove")</f>
        <v>35. Stove</v>
      </c>
      <c r="B2042" s="4" t="str">
        <f>IFERROR(__xludf.DUMMYFUNCTION("""COMPUTED_VALUE"""),"35")</f>
        <v>35</v>
      </c>
      <c r="C2042" s="5" t="str">
        <f>IFERROR(__xludf.DUMMYFUNCTION("""COMPUTED_VALUE"""),"https://drive.google.com/file/d/1TlIjT1BdcwQeY0o7HEkb1KE1XmEfZefW/view?usp=drivesdk")</f>
        <v>https://drive.google.com/file/d/1TlIjT1BdcwQeY0o7HEkb1KE1XmEfZefW/view?usp=drivesdk</v>
      </c>
      <c r="D2042" s="12"/>
      <c r="E2042" s="13">
        <v>2092.0</v>
      </c>
      <c r="F2042" s="2"/>
    </row>
    <row r="2043" ht="1.5" customHeight="1">
      <c r="A2043" s="4" t="str">
        <f>IFERROR(__xludf.DUMMYFUNCTION("""COMPUTED_VALUE"""),"35. Stove")</f>
        <v>35. Stove</v>
      </c>
      <c r="B2043" s="4" t="str">
        <f>IFERROR(__xludf.DUMMYFUNCTION("""COMPUTED_VALUE"""),"35")</f>
        <v>35</v>
      </c>
      <c r="C2043" s="5" t="str">
        <f>IFERROR(__xludf.DUMMYFUNCTION("""COMPUTED_VALUE"""),"https://drive.google.com/file/d/17MKKbIZpwRksmXBio_6TCXP8MA5BDHO8/view?usp=drivesdk")</f>
        <v>https://drive.google.com/file/d/17MKKbIZpwRksmXBio_6TCXP8MA5BDHO8/view?usp=drivesdk</v>
      </c>
      <c r="D2043" s="12"/>
      <c r="E2043" s="13">
        <v>2093.0</v>
      </c>
      <c r="F2043" s="2"/>
    </row>
    <row r="2044" ht="1.5" customHeight="1">
      <c r="A2044" s="4" t="str">
        <f>IFERROR(__xludf.DUMMYFUNCTION("""COMPUTED_VALUE"""),"35. Stove")</f>
        <v>35. Stove</v>
      </c>
      <c r="B2044" s="4" t="str">
        <f>IFERROR(__xludf.DUMMYFUNCTION("""COMPUTED_VALUE"""),"35")</f>
        <v>35</v>
      </c>
      <c r="C2044" s="5" t="str">
        <f>IFERROR(__xludf.DUMMYFUNCTION("""COMPUTED_VALUE"""),"https://drive.google.com/file/d/1BSdlMqGOLufAxTNqsfIUiRvqs_QPZZQC/view?usp=drivesdk")</f>
        <v>https://drive.google.com/file/d/1BSdlMqGOLufAxTNqsfIUiRvqs_QPZZQC/view?usp=drivesdk</v>
      </c>
      <c r="D2044" s="12"/>
      <c r="E2044" s="13">
        <v>2094.0</v>
      </c>
      <c r="F2044" s="2"/>
    </row>
    <row r="2045" ht="1.5" customHeight="1">
      <c r="A2045" s="4" t="str">
        <f>IFERROR(__xludf.DUMMYFUNCTION("""COMPUTED_VALUE"""),"35. Stove")</f>
        <v>35. Stove</v>
      </c>
      <c r="B2045" s="4" t="str">
        <f>IFERROR(__xludf.DUMMYFUNCTION("""COMPUTED_VALUE"""),"35")</f>
        <v>35</v>
      </c>
      <c r="C2045" s="5" t="str">
        <f>IFERROR(__xludf.DUMMYFUNCTION("""COMPUTED_VALUE"""),"https://drive.google.com/file/d/1qIB-WdrUNFJU9dA71frnMoY9nHwukMRg/view?usp=drivesdk")</f>
        <v>https://drive.google.com/file/d/1qIB-WdrUNFJU9dA71frnMoY9nHwukMRg/view?usp=drivesdk</v>
      </c>
      <c r="D2045" s="12"/>
      <c r="E2045" s="13">
        <v>2095.0</v>
      </c>
      <c r="F2045" s="2"/>
    </row>
    <row r="2046" ht="1.5" customHeight="1">
      <c r="A2046" s="4" t="str">
        <f>IFERROR(__xludf.DUMMYFUNCTION("""COMPUTED_VALUE"""),"62. Gorygreg, 40. Dumpster")</f>
        <v>62. Gorygreg, 40. Dumpster</v>
      </c>
      <c r="B2046" s="4" t="str">
        <f>IFERROR(__xludf.DUMMYFUNCTION("""COMPUTED_VALUE"""),"62, 40")</f>
        <v>62, 40</v>
      </c>
      <c r="C2046" s="5" t="str">
        <f>IFERROR(__xludf.DUMMYFUNCTION("""COMPUTED_VALUE"""),"https://drive.google.com/file/d/1THBBtaV_8xF-oGYw0_dg6Q33XEyBGthu/view?usp=drivesdk")</f>
        <v>https://drive.google.com/file/d/1THBBtaV_8xF-oGYw0_dg6Q33XEyBGthu/view?usp=drivesdk</v>
      </c>
      <c r="D2046" s="12"/>
      <c r="E2046" s="13">
        <v>2096.0</v>
      </c>
      <c r="F2046" s="2"/>
    </row>
    <row r="2047" ht="1.5" customHeight="1">
      <c r="A2047" s="4" t="str">
        <f>IFERROR(__xludf.DUMMYFUNCTION("""COMPUTED_VALUE"""),"5. Eraser")</f>
        <v>5. Eraser</v>
      </c>
      <c r="B2047" s="4" t="str">
        <f>IFERROR(__xludf.DUMMYFUNCTION("""COMPUTED_VALUE"""),"5")</f>
        <v>5</v>
      </c>
      <c r="C2047" s="5" t="str">
        <f>IFERROR(__xludf.DUMMYFUNCTION("""COMPUTED_VALUE"""),"https://drive.google.com/file/d/1xX2qcR5YNu7q8gxzgQeu4Ujf4oUP3JBL/view?usp=drivesdk")</f>
        <v>https://drive.google.com/file/d/1xX2qcR5YNu7q8gxzgQeu4Ujf4oUP3JBL/view?usp=drivesdk</v>
      </c>
      <c r="D2047" s="12"/>
      <c r="E2047" s="13">
        <v>2097.0</v>
      </c>
      <c r="F2047" s="2"/>
    </row>
    <row r="2048" ht="1.5" customHeight="1">
      <c r="A2048" s="4" t="str">
        <f>IFERROR(__xludf.DUMMYFUNCTION("""COMPUTED_VALUE"""),"21. Paquini")</f>
        <v>21. Paquini</v>
      </c>
      <c r="B2048" s="4" t="str">
        <f>IFERROR(__xludf.DUMMYFUNCTION("""COMPUTED_VALUE"""),"21")</f>
        <v>21</v>
      </c>
      <c r="C2048" s="5" t="str">
        <f>IFERROR(__xludf.DUMMYFUNCTION("""COMPUTED_VALUE"""),"https://drive.google.com/file/d/1rlABS2qQp_V1K9OdHxG4AhI7hBMckhUT/view?usp=drivesdk")</f>
        <v>https://drive.google.com/file/d/1rlABS2qQp_V1K9OdHxG4AhI7hBMckhUT/view?usp=drivesdk</v>
      </c>
      <c r="D2048" s="12"/>
      <c r="E2048" s="13">
        <v>2098.0</v>
      </c>
      <c r="F2048" s="2"/>
    </row>
    <row r="2049" ht="1.5" customHeight="1">
      <c r="A2049" s="4" t="str">
        <f>IFERROR(__xludf.DUMMYFUNCTION("""COMPUTED_VALUE"""),"20. Citlali")</f>
        <v>20. Citlali</v>
      </c>
      <c r="B2049" s="4" t="str">
        <f>IFERROR(__xludf.DUMMYFUNCTION("""COMPUTED_VALUE"""),"20")</f>
        <v>20</v>
      </c>
      <c r="C2049" s="5" t="str">
        <f>IFERROR(__xludf.DUMMYFUNCTION("""COMPUTED_VALUE"""),"https://drive.google.com/file/d/1QFe8d5xiyVZ31Iz26ALc4NHFLsoeuL3U/view?usp=drivesdk")</f>
        <v>https://drive.google.com/file/d/1QFe8d5xiyVZ31Iz26ALc4NHFLsoeuL3U/view?usp=drivesdk</v>
      </c>
      <c r="D2049" s="12"/>
      <c r="E2049" s="13">
        <v>2099.0</v>
      </c>
      <c r="F2049" s="2"/>
    </row>
    <row r="2050" ht="1.5" customHeight="1">
      <c r="A2050" s="4" t="str">
        <f>IFERROR(__xludf.DUMMYFUNCTION("""COMPUTED_VALUE"""),"20. Citlali")</f>
        <v>20. Citlali</v>
      </c>
      <c r="B2050" s="4" t="str">
        <f>IFERROR(__xludf.DUMMYFUNCTION("""COMPUTED_VALUE"""),"20")</f>
        <v>20</v>
      </c>
      <c r="C2050" s="5" t="str">
        <f>IFERROR(__xludf.DUMMYFUNCTION("""COMPUTED_VALUE"""),"https://drive.google.com/file/d/1DNCyFp6lZvW3Mvi8BFL_pSQILapKqgfQ/view?usp=drivesdk")</f>
        <v>https://drive.google.com/file/d/1DNCyFp6lZvW3Mvi8BFL_pSQILapKqgfQ/view?usp=drivesdk</v>
      </c>
      <c r="D2050" s="12"/>
      <c r="E2050" s="13">
        <v>2100.0</v>
      </c>
      <c r="F2050" s="2"/>
    </row>
    <row r="2051" ht="1.5" customHeight="1">
      <c r="A2051" s="4" t="str">
        <f>IFERROR(__xludf.DUMMYFUNCTION("""COMPUTED_VALUE"""),"75. Musketeer")</f>
        <v>75. Musketeer</v>
      </c>
      <c r="B2051" s="4" t="str">
        <f>IFERROR(__xludf.DUMMYFUNCTION("""COMPUTED_VALUE"""),"75")</f>
        <v>75</v>
      </c>
      <c r="C2051" s="5" t="str">
        <f>IFERROR(__xludf.DUMMYFUNCTION("""COMPUTED_VALUE"""),"https://drive.google.com/file/d/1NS8AvChcfRdZbezuPWRcAFglXwmjeAWM/view?usp=drivesdk")</f>
        <v>https://drive.google.com/file/d/1NS8AvChcfRdZbezuPWRcAFglXwmjeAWM/view?usp=drivesdk</v>
      </c>
      <c r="D2051" s="12"/>
      <c r="E2051" s="13">
        <v>2101.0</v>
      </c>
      <c r="F2051" s="2"/>
    </row>
    <row r="2052" ht="1.5" customHeight="1">
      <c r="A2052" s="4" t="str">
        <f>IFERROR(__xludf.DUMMYFUNCTION("""COMPUTED_VALUE"""),"5. Eraser")</f>
        <v>5. Eraser</v>
      </c>
      <c r="B2052" s="4" t="str">
        <f>IFERROR(__xludf.DUMMYFUNCTION("""COMPUTED_VALUE"""),"5")</f>
        <v>5</v>
      </c>
      <c r="C2052" s="5" t="str">
        <f>IFERROR(__xludf.DUMMYFUNCTION("""COMPUTED_VALUE"""),"https://drive.google.com/file/d/1wNDN0Rg040d-8rC8CFy-YT_jCys8H-a8/view?usp=drivesdk")</f>
        <v>https://drive.google.com/file/d/1wNDN0Rg040d-8rC8CFy-YT_jCys8H-a8/view?usp=drivesdk</v>
      </c>
      <c r="D2052" s="12"/>
      <c r="E2052" s="13">
        <v>2102.0</v>
      </c>
      <c r="F2052" s="2"/>
    </row>
    <row r="2053" ht="1.5" customHeight="1">
      <c r="A2053" s="4" t="str">
        <f>IFERROR(__xludf.DUMMYFUNCTION("""COMPUTED_VALUE"""),"5. Eraser")</f>
        <v>5. Eraser</v>
      </c>
      <c r="B2053" s="4" t="str">
        <f>IFERROR(__xludf.DUMMYFUNCTION("""COMPUTED_VALUE"""),"5")</f>
        <v>5</v>
      </c>
      <c r="C2053" s="5" t="str">
        <f>IFERROR(__xludf.DUMMYFUNCTION("""COMPUTED_VALUE"""),"https://drive.google.com/file/d/1C2e_VxtZKpKk4oOskeUwOvNPzk6a5SwC/view?usp=drivesdk")</f>
        <v>https://drive.google.com/file/d/1C2e_VxtZKpKk4oOskeUwOvNPzk6a5SwC/view?usp=drivesdk</v>
      </c>
      <c r="D2053" s="12"/>
      <c r="E2053" s="13">
        <v>2103.0</v>
      </c>
      <c r="F2053" s="2"/>
    </row>
    <row r="2054" ht="1.5" customHeight="1">
      <c r="A2054" s="4" t="str">
        <f>IFERROR(__xludf.DUMMYFUNCTION("""COMPUTED_VALUE"""),"5. Eraser")</f>
        <v>5. Eraser</v>
      </c>
      <c r="B2054" s="4" t="str">
        <f>IFERROR(__xludf.DUMMYFUNCTION("""COMPUTED_VALUE"""),"5")</f>
        <v>5</v>
      </c>
      <c r="C2054" s="5" t="str">
        <f>IFERROR(__xludf.DUMMYFUNCTION("""COMPUTED_VALUE"""),"https://drive.google.com/file/d/1QOu-ylrSa4JdqztBwfPC4XxDuu9ZRev6/view?usp=drivesdk")</f>
        <v>https://drive.google.com/file/d/1QOu-ylrSa4JdqztBwfPC4XxDuu9ZRev6/view?usp=drivesdk</v>
      </c>
      <c r="D2054" s="12"/>
      <c r="E2054" s="13">
        <v>2104.0</v>
      </c>
      <c r="F2054" s="2"/>
    </row>
    <row r="2055" ht="1.5" customHeight="1">
      <c r="A2055" s="4" t="str">
        <f>IFERROR(__xludf.DUMMYFUNCTION("""COMPUTED_VALUE"""),"5. Eraser")</f>
        <v>5. Eraser</v>
      </c>
      <c r="B2055" s="4" t="str">
        <f>IFERROR(__xludf.DUMMYFUNCTION("""COMPUTED_VALUE"""),"5")</f>
        <v>5</v>
      </c>
      <c r="C2055" s="5" t="str">
        <f>IFERROR(__xludf.DUMMYFUNCTION("""COMPUTED_VALUE"""),"https://drive.google.com/file/d/1yvAC8DLFNAEfbtdkmoRxxH_0lYkqSree/view?usp=drivesdk")</f>
        <v>https://drive.google.com/file/d/1yvAC8DLFNAEfbtdkmoRxxH_0lYkqSree/view?usp=drivesdk</v>
      </c>
      <c r="D2055" s="12"/>
      <c r="E2055" s="13">
        <v>2105.0</v>
      </c>
      <c r="F2055" s="2"/>
    </row>
    <row r="2056" ht="1.5" customHeight="1">
      <c r="A2056" s="4" t="str">
        <f>IFERROR(__xludf.DUMMYFUNCTION("""COMPUTED_VALUE"""),"5. Eraser")</f>
        <v>5. Eraser</v>
      </c>
      <c r="B2056" s="4" t="str">
        <f>IFERROR(__xludf.DUMMYFUNCTION("""COMPUTED_VALUE"""),"5")</f>
        <v>5</v>
      </c>
      <c r="C2056" s="5" t="str">
        <f>IFERROR(__xludf.DUMMYFUNCTION("""COMPUTED_VALUE"""),"https://drive.google.com/file/d/1Jc_Qik7jAJ-GSMgBIiC7uuJzU7w1aTNj/view?usp=drivesdk")</f>
        <v>https://drive.google.com/file/d/1Jc_Qik7jAJ-GSMgBIiC7uuJzU7w1aTNj/view?usp=drivesdk</v>
      </c>
      <c r="D2056" s="12"/>
      <c r="E2056" s="13">
        <v>2106.0</v>
      </c>
      <c r="F2056" s="2"/>
    </row>
    <row r="2057" ht="1.5" customHeight="1">
      <c r="A2057" s="4" t="str">
        <f>IFERROR(__xludf.DUMMYFUNCTION("""COMPUTED_VALUE"""),"5. Eraser")</f>
        <v>5. Eraser</v>
      </c>
      <c r="B2057" s="4" t="str">
        <f>IFERROR(__xludf.DUMMYFUNCTION("""COMPUTED_VALUE"""),"5")</f>
        <v>5</v>
      </c>
      <c r="C2057" s="5" t="str">
        <f>IFERROR(__xludf.DUMMYFUNCTION("""COMPUTED_VALUE"""),"https://drive.google.com/file/d/1EOGlSaZpdB9Rsms9PXjxtiw-PWsoCf9-/view?usp=drivesdk")</f>
        <v>https://drive.google.com/file/d/1EOGlSaZpdB9Rsms9PXjxtiw-PWsoCf9-/view?usp=drivesdk</v>
      </c>
      <c r="D2057" s="12"/>
      <c r="E2057" s="13">
        <v>2107.0</v>
      </c>
      <c r="F2057" s="2"/>
    </row>
    <row r="2058" ht="1.5" customHeight="1">
      <c r="A2058" s="4" t="str">
        <f>IFERROR(__xludf.DUMMYFUNCTION("""COMPUTED_VALUE"""),"4. Eggs")</f>
        <v>4. Eggs</v>
      </c>
      <c r="B2058" s="4" t="str">
        <f>IFERROR(__xludf.DUMMYFUNCTION("""COMPUTED_VALUE"""),"4")</f>
        <v>4</v>
      </c>
      <c r="C2058" s="5" t="str">
        <f>IFERROR(__xludf.DUMMYFUNCTION("""COMPUTED_VALUE"""),"https://drive.google.com/file/d/1e-qhhQhQK66sYTAfiQJErPhOKHb5k3Bv/view?usp=drivesdk")</f>
        <v>https://drive.google.com/file/d/1e-qhhQhQK66sYTAfiQJErPhOKHb5k3Bv/view?usp=drivesdk</v>
      </c>
      <c r="D2058" s="12"/>
      <c r="E2058" s="13">
        <v>2108.0</v>
      </c>
      <c r="F2058" s="2"/>
    </row>
    <row r="2059" ht="1.5" customHeight="1">
      <c r="A2059" s="4" t="str">
        <f>IFERROR(__xludf.DUMMYFUNCTION("""COMPUTED_VALUE"""),"4. Eggs")</f>
        <v>4. Eggs</v>
      </c>
      <c r="B2059" s="4" t="str">
        <f>IFERROR(__xludf.DUMMYFUNCTION("""COMPUTED_VALUE"""),"4")</f>
        <v>4</v>
      </c>
      <c r="C2059" s="5" t="str">
        <f>IFERROR(__xludf.DUMMYFUNCTION("""COMPUTED_VALUE"""),"https://drive.google.com/file/d/1wR1FZHNCPAFDSYmvL64Yz0C-fGPJA-Sm/view?usp=drivesdk")</f>
        <v>https://drive.google.com/file/d/1wR1FZHNCPAFDSYmvL64Yz0C-fGPJA-Sm/view?usp=drivesdk</v>
      </c>
      <c r="D2059" s="12"/>
      <c r="E2059" s="13">
        <v>2109.0</v>
      </c>
      <c r="F2059" s="2"/>
    </row>
    <row r="2060" ht="1.5" customHeight="1">
      <c r="A2060" s="4" t="str">
        <f>IFERROR(__xludf.DUMMYFUNCTION("""COMPUTED_VALUE"""),"4. Eggs")</f>
        <v>4. Eggs</v>
      </c>
      <c r="B2060" s="4" t="str">
        <f>IFERROR(__xludf.DUMMYFUNCTION("""COMPUTED_VALUE"""),"4")</f>
        <v>4</v>
      </c>
      <c r="C2060" s="5" t="str">
        <f>IFERROR(__xludf.DUMMYFUNCTION("""COMPUTED_VALUE"""),"https://drive.google.com/file/d/1ybe1bOeflnAGNJa0e--mE5fQUASdMAn5/view?usp=drivesdk")</f>
        <v>https://drive.google.com/file/d/1ybe1bOeflnAGNJa0e--mE5fQUASdMAn5/view?usp=drivesdk</v>
      </c>
      <c r="D2060" s="12"/>
      <c r="E2060" s="13">
        <v>2110.0</v>
      </c>
      <c r="F2060" s="2"/>
    </row>
    <row r="2061" ht="1.5" customHeight="1">
      <c r="A2061" s="4" t="str">
        <f>IFERROR(__xludf.DUMMYFUNCTION("""COMPUTED_VALUE"""),"4. Eggs")</f>
        <v>4. Eggs</v>
      </c>
      <c r="B2061" s="4" t="str">
        <f>IFERROR(__xludf.DUMMYFUNCTION("""COMPUTED_VALUE"""),"4")</f>
        <v>4</v>
      </c>
      <c r="C2061" s="5" t="str">
        <f>IFERROR(__xludf.DUMMYFUNCTION("""COMPUTED_VALUE"""),"https://drive.google.com/file/d/1gKzm0o7vcW7r62Y7uAYf4P99l3w954h3/view?usp=drivesdk")</f>
        <v>https://drive.google.com/file/d/1gKzm0o7vcW7r62Y7uAYf4P99l3w954h3/view?usp=drivesdk</v>
      </c>
      <c r="D2061" s="12"/>
      <c r="E2061" s="13">
        <v>2111.0</v>
      </c>
      <c r="F2061" s="2"/>
    </row>
    <row r="2062" ht="1.5" customHeight="1">
      <c r="A2062" s="4" t="str">
        <f>IFERROR(__xludf.DUMMYFUNCTION("""COMPUTED_VALUE"""),"4. Eggs")</f>
        <v>4. Eggs</v>
      </c>
      <c r="B2062" s="4" t="str">
        <f>IFERROR(__xludf.DUMMYFUNCTION("""COMPUTED_VALUE"""),"4")</f>
        <v>4</v>
      </c>
      <c r="C2062" s="5" t="str">
        <f>IFERROR(__xludf.DUMMYFUNCTION("""COMPUTED_VALUE"""),"https://drive.google.com/file/d/1QGKcnsJKzPJGJGWzFqiiA5IRRNbv17eF/view?usp=drivesdk")</f>
        <v>https://drive.google.com/file/d/1QGKcnsJKzPJGJGWzFqiiA5IRRNbv17eF/view?usp=drivesdk</v>
      </c>
      <c r="D2062" s="12"/>
      <c r="E2062" s="13">
        <v>2112.0</v>
      </c>
      <c r="F2062" s="2"/>
    </row>
    <row r="2063" ht="1.5" customHeight="1">
      <c r="A2063" s="4" t="str">
        <f>IFERROR(__xludf.DUMMYFUNCTION("""COMPUTED_VALUE"""),"0. NotACat")</f>
        <v>0. NotACat</v>
      </c>
      <c r="B2063" s="4" t="str">
        <f>IFERROR(__xludf.DUMMYFUNCTION("""COMPUTED_VALUE"""),"0")</f>
        <v>0</v>
      </c>
      <c r="C2063" s="5" t="str">
        <f>IFERROR(__xludf.DUMMYFUNCTION("""COMPUTED_VALUE"""),"https://drive.google.com/file/d/1nZtF_LVEc1QZfw9F_DT9UlENCBszgjvi/view?usp=drivesdk")</f>
        <v>https://drive.google.com/file/d/1nZtF_LVEc1QZfw9F_DT9UlENCBszgjvi/view?usp=drivesdk</v>
      </c>
      <c r="D2063" s="12"/>
      <c r="E2063" s="13">
        <v>2113.0</v>
      </c>
      <c r="F2063" s="2"/>
    </row>
    <row r="2064" ht="1.5" customHeight="1">
      <c r="A2064" s="4" t="str">
        <f>IFERROR(__xludf.DUMMYFUNCTION("""COMPUTED_VALUE"""),"0. NotACat")</f>
        <v>0. NotACat</v>
      </c>
      <c r="B2064" s="4" t="str">
        <f>IFERROR(__xludf.DUMMYFUNCTION("""COMPUTED_VALUE"""),"0")</f>
        <v>0</v>
      </c>
      <c r="C2064" s="5" t="str">
        <f>IFERROR(__xludf.DUMMYFUNCTION("""COMPUTED_VALUE"""),"https://drive.google.com/file/d/18a7ShNfhKKQzwmyPrpM0ZOHpErq5Z-8W/view?usp=drivesdk")</f>
        <v>https://drive.google.com/file/d/18a7ShNfhKKQzwmyPrpM0ZOHpErq5Z-8W/view?usp=drivesdk</v>
      </c>
      <c r="D2064" s="12"/>
      <c r="E2064" s="13">
        <v>2114.0</v>
      </c>
      <c r="F2064" s="2"/>
    </row>
    <row r="2065" ht="1.5" customHeight="1">
      <c r="A2065" s="4" t="str">
        <f>IFERROR(__xludf.DUMMYFUNCTION("""COMPUTED_VALUE"""),"0. NotACat")</f>
        <v>0. NotACat</v>
      </c>
      <c r="B2065" s="4" t="str">
        <f>IFERROR(__xludf.DUMMYFUNCTION("""COMPUTED_VALUE"""),"0")</f>
        <v>0</v>
      </c>
      <c r="C2065" s="5" t="str">
        <f>IFERROR(__xludf.DUMMYFUNCTION("""COMPUTED_VALUE"""),"https://drive.google.com/file/d/1TwV6aG9BejOfXw4FBcdxcU2EyJicU7_p/view?usp=drivesdk")</f>
        <v>https://drive.google.com/file/d/1TwV6aG9BejOfXw4FBcdxcU2EyJicU7_p/view?usp=drivesdk</v>
      </c>
      <c r="D2065" s="12"/>
      <c r="E2065" s="13">
        <v>2115.0</v>
      </c>
      <c r="F2065" s="2"/>
    </row>
    <row r="2066" ht="1.5" customHeight="1">
      <c r="A2066" s="4" t="str">
        <f>IFERROR(__xludf.DUMMYFUNCTION("""COMPUTED_VALUE"""),"0. NotACat")</f>
        <v>0. NotACat</v>
      </c>
      <c r="B2066" s="4" t="str">
        <f>IFERROR(__xludf.DUMMYFUNCTION("""COMPUTED_VALUE"""),"0")</f>
        <v>0</v>
      </c>
      <c r="C2066" s="5" t="str">
        <f>IFERROR(__xludf.DUMMYFUNCTION("""COMPUTED_VALUE"""),"https://drive.google.com/file/d/1_w4E6OXBFA9tPciGe11xhkHHQXpINcC-/view?usp=drivesdk")</f>
        <v>https://drive.google.com/file/d/1_w4E6OXBFA9tPciGe11xhkHHQXpINcC-/view?usp=drivesdk</v>
      </c>
      <c r="D2066" s="12"/>
      <c r="E2066" s="13">
        <v>2116.0</v>
      </c>
      <c r="F2066" s="2"/>
    </row>
    <row r="2067" ht="1.5" customHeight="1">
      <c r="A2067" s="4" t="str">
        <f>IFERROR(__xludf.DUMMYFUNCTION("""COMPUTED_VALUE"""),"17. Bobbie")</f>
        <v>17. Bobbie</v>
      </c>
      <c r="B2067" s="4" t="str">
        <f>IFERROR(__xludf.DUMMYFUNCTION("""COMPUTED_VALUE"""),"17")</f>
        <v>17</v>
      </c>
      <c r="C2067" s="5" t="str">
        <f>IFERROR(__xludf.DUMMYFUNCTION("""COMPUTED_VALUE"""),"https://drive.google.com/file/d/15yy7yn7A3IrRr9XwJzFeirQc7rHDmehg/view?usp=drivesdk")</f>
        <v>https://drive.google.com/file/d/15yy7yn7A3IrRr9XwJzFeirQc7rHDmehg/view?usp=drivesdk</v>
      </c>
      <c r="D2067" s="12"/>
      <c r="E2067" s="13">
        <v>2117.0</v>
      </c>
      <c r="F2067" s="2"/>
    </row>
    <row r="2068" ht="1.5" customHeight="1">
      <c r="A2068" s="4" t="str">
        <f>IFERROR(__xludf.DUMMYFUNCTION("""COMPUTED_VALUE"""),"17. Bobbie")</f>
        <v>17. Bobbie</v>
      </c>
      <c r="B2068" s="4" t="str">
        <f>IFERROR(__xludf.DUMMYFUNCTION("""COMPUTED_VALUE"""),"17")</f>
        <v>17</v>
      </c>
      <c r="C2068" s="5" t="str">
        <f>IFERROR(__xludf.DUMMYFUNCTION("""COMPUTED_VALUE"""),"https://drive.google.com/file/d/1Vbd5KHAXuyyUaxQOHnEdiFg65juHh227/view?usp=drivesdk")</f>
        <v>https://drive.google.com/file/d/1Vbd5KHAXuyyUaxQOHnEdiFg65juHh227/view?usp=drivesdk</v>
      </c>
      <c r="D2068" s="12"/>
      <c r="E2068" s="13">
        <v>2118.0</v>
      </c>
      <c r="F2068" s="2"/>
    </row>
    <row r="2069" ht="1.5" customHeight="1">
      <c r="A2069" s="4" t="str">
        <f>IFERROR(__xludf.DUMMYFUNCTION("""COMPUTED_VALUE"""),"17. Bobbie")</f>
        <v>17. Bobbie</v>
      </c>
      <c r="B2069" s="4" t="str">
        <f>IFERROR(__xludf.DUMMYFUNCTION("""COMPUTED_VALUE"""),"17")</f>
        <v>17</v>
      </c>
      <c r="C2069" s="5" t="str">
        <f>IFERROR(__xludf.DUMMYFUNCTION("""COMPUTED_VALUE"""),"https://drive.google.com/file/d/1hKOSHdJfxaaHzOGkmz-wV3yBLsMNeBbQ/view?usp=drivesdk")</f>
        <v>https://drive.google.com/file/d/1hKOSHdJfxaaHzOGkmz-wV3yBLsMNeBbQ/view?usp=drivesdk</v>
      </c>
      <c r="D2069" s="12"/>
      <c r="E2069" s="13">
        <v>2119.0</v>
      </c>
      <c r="F2069" s="2"/>
    </row>
    <row r="2070" ht="1.5" customHeight="1">
      <c r="A2070" s="4" t="str">
        <f>IFERROR(__xludf.DUMMYFUNCTION("""COMPUTED_VALUE"""),"9. Melvin")</f>
        <v>9. Melvin</v>
      </c>
      <c r="B2070" s="4" t="str">
        <f>IFERROR(__xludf.DUMMYFUNCTION("""COMPUTED_VALUE"""),"9")</f>
        <v>9</v>
      </c>
      <c r="C2070" s="5" t="str">
        <f>IFERROR(__xludf.DUMMYFUNCTION("""COMPUTED_VALUE"""),"https://drive.google.com/file/d/1cpgmgQVeP8PvuimT-2N9it42_yf_cM3F/view?usp=drivesdk")</f>
        <v>https://drive.google.com/file/d/1cpgmgQVeP8PvuimT-2N9it42_yf_cM3F/view?usp=drivesdk</v>
      </c>
      <c r="D2070" s="12"/>
      <c r="E2070" s="13">
        <v>2120.0</v>
      </c>
      <c r="F2070" s="2"/>
    </row>
    <row r="2071" ht="1.5" customHeight="1">
      <c r="A2071" s="4" t="str">
        <f>IFERROR(__xludf.DUMMYFUNCTION("""COMPUTED_VALUE"""),"17. Bobbie")</f>
        <v>17. Bobbie</v>
      </c>
      <c r="B2071" s="4" t="str">
        <f>IFERROR(__xludf.DUMMYFUNCTION("""COMPUTED_VALUE"""),"17")</f>
        <v>17</v>
      </c>
      <c r="C2071" s="5" t="str">
        <f>IFERROR(__xludf.DUMMYFUNCTION("""COMPUTED_VALUE"""),"https://drive.google.com/file/d/1RuEHuoNDT6UQiOJcCZr1RLYdBzHASzoV/view?usp=drivesdk")</f>
        <v>https://drive.google.com/file/d/1RuEHuoNDT6UQiOJcCZr1RLYdBzHASzoV/view?usp=drivesdk</v>
      </c>
      <c r="D2071" s="12"/>
      <c r="E2071" s="13">
        <v>2121.0</v>
      </c>
      <c r="F2071" s="2"/>
    </row>
    <row r="2072" ht="1.5" customHeight="1">
      <c r="A2072" s="4" t="str">
        <f>IFERROR(__xludf.DUMMYFUNCTION("""COMPUTED_VALUE"""),"17. Bobbie")</f>
        <v>17. Bobbie</v>
      </c>
      <c r="B2072" s="4" t="str">
        <f>IFERROR(__xludf.DUMMYFUNCTION("""COMPUTED_VALUE"""),"17")</f>
        <v>17</v>
      </c>
      <c r="C2072" s="5" t="str">
        <f>IFERROR(__xludf.DUMMYFUNCTION("""COMPUTED_VALUE"""),"https://drive.google.com/file/d/19UyccxNu3SKOB5hDNkrxqciH8Ws2aYSh/view?usp=drivesdk")</f>
        <v>https://drive.google.com/file/d/19UyccxNu3SKOB5hDNkrxqciH8Ws2aYSh/view?usp=drivesdk</v>
      </c>
      <c r="D2072" s="12"/>
      <c r="E2072" s="13">
        <v>2122.0</v>
      </c>
      <c r="F2072" s="2"/>
    </row>
    <row r="2073" ht="1.5" customHeight="1">
      <c r="A2073" s="4" t="str">
        <f>IFERROR(__xludf.DUMMYFUNCTION("""COMPUTED_VALUE"""),"17. Bobbie, 52. Voidling")</f>
        <v>17. Bobbie, 52. Voidling</v>
      </c>
      <c r="B2073" s="4" t="str">
        <f>IFERROR(__xludf.DUMMYFUNCTION("""COMPUTED_VALUE"""),"17, 52")</f>
        <v>17, 52</v>
      </c>
      <c r="C2073" s="5" t="str">
        <f>IFERROR(__xludf.DUMMYFUNCTION("""COMPUTED_VALUE"""),"https://drive.google.com/file/d/1FomIbA9Oth0ih8GtAAd1mn1nYC181OiZ/view?usp=drivesdk")</f>
        <v>https://drive.google.com/file/d/1FomIbA9Oth0ih8GtAAd1mn1nYC181OiZ/view?usp=drivesdk</v>
      </c>
      <c r="D2073" s="12"/>
      <c r="E2073" s="13">
        <v>2123.0</v>
      </c>
      <c r="F2073" s="2"/>
    </row>
    <row r="2074" ht="1.5" customHeight="1">
      <c r="A2074" s="4" t="str">
        <f>IFERROR(__xludf.DUMMYFUNCTION("""COMPUTED_VALUE"""),"41. Gregory")</f>
        <v>41. Gregory</v>
      </c>
      <c r="B2074" s="4" t="str">
        <f>IFERROR(__xludf.DUMMYFUNCTION("""COMPUTED_VALUE"""),"41")</f>
        <v>41</v>
      </c>
      <c r="C2074" s="5" t="str">
        <f>IFERROR(__xludf.DUMMYFUNCTION("""COMPUTED_VALUE"""),"https://drive.google.com/file/d/10GkPc89_NjGpMpN7yvcOINj2IQ8IT9cx/view?usp=drivesdk")</f>
        <v>https://drive.google.com/file/d/10GkPc89_NjGpMpN7yvcOINj2IQ8IT9cx/view?usp=drivesdk</v>
      </c>
      <c r="D2074" s="12"/>
      <c r="E2074" s="13">
        <v>2124.0</v>
      </c>
      <c r="F2074" s="2"/>
    </row>
    <row r="2075" ht="1.5" customHeight="1">
      <c r="A2075" s="4" t="str">
        <f>IFERROR(__xludf.DUMMYFUNCTION("""COMPUTED_VALUE"""),"41. Gregory")</f>
        <v>41. Gregory</v>
      </c>
      <c r="B2075" s="4" t="str">
        <f>IFERROR(__xludf.DUMMYFUNCTION("""COMPUTED_VALUE"""),"41")</f>
        <v>41</v>
      </c>
      <c r="C2075" s="5" t="str">
        <f>IFERROR(__xludf.DUMMYFUNCTION("""COMPUTED_VALUE"""),"https://drive.google.com/file/d/1MkvDvqszJOUFGztT25zvT2MNEzkon90R/view?usp=drivesdk")</f>
        <v>https://drive.google.com/file/d/1MkvDvqszJOUFGztT25zvT2MNEzkon90R/view?usp=drivesdk</v>
      </c>
      <c r="D2075" s="12"/>
      <c r="E2075" s="13">
        <v>2125.0</v>
      </c>
      <c r="F2075" s="2"/>
    </row>
    <row r="2076" ht="1.5" customHeight="1">
      <c r="A2076" s="4" t="str">
        <f>IFERROR(__xludf.DUMMYFUNCTION("""COMPUTED_VALUE"""),"41. Gregory")</f>
        <v>41. Gregory</v>
      </c>
      <c r="B2076" s="4" t="str">
        <f>IFERROR(__xludf.DUMMYFUNCTION("""COMPUTED_VALUE"""),"41")</f>
        <v>41</v>
      </c>
      <c r="C2076" s="5" t="str">
        <f>IFERROR(__xludf.DUMMYFUNCTION("""COMPUTED_VALUE"""),"https://drive.google.com/file/d/1_FoayqJVMcbJ4RpnptpngNY3xtvGTkx7/view?usp=drivesdk")</f>
        <v>https://drive.google.com/file/d/1_FoayqJVMcbJ4RpnptpngNY3xtvGTkx7/view?usp=drivesdk</v>
      </c>
      <c r="D2076" s="12"/>
      <c r="E2076" s="13">
        <v>2126.0</v>
      </c>
      <c r="F2076" s="2"/>
    </row>
    <row r="2077" ht="1.5" customHeight="1">
      <c r="A2077" s="4" t="str">
        <f>IFERROR(__xludf.DUMMYFUNCTION("""COMPUTED_VALUE"""),"17. Bobbie")</f>
        <v>17. Bobbie</v>
      </c>
      <c r="B2077" s="4" t="str">
        <f>IFERROR(__xludf.DUMMYFUNCTION("""COMPUTED_VALUE"""),"17")</f>
        <v>17</v>
      </c>
      <c r="C2077" s="5" t="str">
        <f>IFERROR(__xludf.DUMMYFUNCTION("""COMPUTED_VALUE"""),"https://drive.google.com/file/d/1OYyVnyleeC_hQKGcpMxCjA47DUTJ22fp/view?usp=drivesdk")</f>
        <v>https://drive.google.com/file/d/1OYyVnyleeC_hQKGcpMxCjA47DUTJ22fp/view?usp=drivesdk</v>
      </c>
      <c r="D2077" s="12"/>
      <c r="E2077" s="13">
        <v>2127.0</v>
      </c>
      <c r="F2077" s="2"/>
    </row>
    <row r="2078" ht="1.5" customHeight="1">
      <c r="A2078" s="4" t="str">
        <f>IFERROR(__xludf.DUMMYFUNCTION("""COMPUTED_VALUE"""),"7. Hershey")</f>
        <v>7. Hershey</v>
      </c>
      <c r="B2078" s="4" t="str">
        <f>IFERROR(__xludf.DUMMYFUNCTION("""COMPUTED_VALUE"""),"7")</f>
        <v>7</v>
      </c>
      <c r="C2078" s="5" t="str">
        <f>IFERROR(__xludf.DUMMYFUNCTION("""COMPUTED_VALUE"""),"https://drive.google.com/file/d/1trGPymbZ4zDnUgS-w1mkRVBoX1ABR9-R/view?usp=drivesdk")</f>
        <v>https://drive.google.com/file/d/1trGPymbZ4zDnUgS-w1mkRVBoX1ABR9-R/view?usp=drivesdk</v>
      </c>
      <c r="D2078" s="12"/>
      <c r="E2078" s="13">
        <v>2128.0</v>
      </c>
      <c r="F2078" s="2"/>
    </row>
    <row r="2079" ht="1.5" customHeight="1">
      <c r="A2079" s="4" t="str">
        <f>IFERROR(__xludf.DUMMYFUNCTION("""COMPUTED_VALUE"""),"29. Ginger, 27. Angel")</f>
        <v>29. Ginger, 27. Angel</v>
      </c>
      <c r="B2079" s="4" t="str">
        <f>IFERROR(__xludf.DUMMYFUNCTION("""COMPUTED_VALUE"""),"29, 27")</f>
        <v>29, 27</v>
      </c>
      <c r="C2079" s="5" t="str">
        <f>IFERROR(__xludf.DUMMYFUNCTION("""COMPUTED_VALUE"""),"https://drive.google.com/file/d/1tv1V6s_CwfqTKFBG16HRS5Q2sxi1ixVm/view?usp=drivesdk")</f>
        <v>https://drive.google.com/file/d/1tv1V6s_CwfqTKFBG16HRS5Q2sxi1ixVm/view?usp=drivesdk</v>
      </c>
      <c r="D2079" s="12"/>
      <c r="E2079" s="13">
        <v>2129.0</v>
      </c>
      <c r="F2079" s="2"/>
    </row>
    <row r="2080" ht="1.5" customHeight="1">
      <c r="A2080" s="4" t="str">
        <f>IFERROR(__xludf.DUMMYFUNCTION("""COMPUTED_VALUE"""),"29. Ginger, 30. Pepper")</f>
        <v>29. Ginger, 30. Pepper</v>
      </c>
      <c r="B2080" s="4" t="str">
        <f>IFERROR(__xludf.DUMMYFUNCTION("""COMPUTED_VALUE"""),"29, 30")</f>
        <v>29, 30</v>
      </c>
      <c r="C2080" s="5" t="str">
        <f>IFERROR(__xludf.DUMMYFUNCTION("""COMPUTED_VALUE"""),"https://drive.google.com/file/d/1k83ACQRnS7KRaADCwd-O_g6tR4YrGS09/view?usp=drivesdk")</f>
        <v>https://drive.google.com/file/d/1k83ACQRnS7KRaADCwd-O_g6tR4YrGS09/view?usp=drivesdk</v>
      </c>
      <c r="D2080" s="12"/>
      <c r="E2080" s="13">
        <v>2130.0</v>
      </c>
      <c r="F2080" s="2"/>
    </row>
    <row r="2081" ht="1.5" customHeight="1">
      <c r="A2081" s="4" t="str">
        <f>IFERROR(__xludf.DUMMYFUNCTION("""COMPUTED_VALUE"""),"29. Ginger, 30. Pepper")</f>
        <v>29. Ginger, 30. Pepper</v>
      </c>
      <c r="B2081" s="4" t="str">
        <f>IFERROR(__xludf.DUMMYFUNCTION("""COMPUTED_VALUE"""),"29, 30")</f>
        <v>29, 30</v>
      </c>
      <c r="C2081" s="5" t="str">
        <f>IFERROR(__xludf.DUMMYFUNCTION("""COMPUTED_VALUE"""),"https://drive.google.com/file/d/1qnjrGyz_H0UrzWhyvIQAMArk-TBChTOE/view?usp=drivesdk")</f>
        <v>https://drive.google.com/file/d/1qnjrGyz_H0UrzWhyvIQAMArk-TBChTOE/view?usp=drivesdk</v>
      </c>
      <c r="D2081" s="12"/>
      <c r="E2081" s="13">
        <v>2131.0</v>
      </c>
      <c r="F2081" s="2"/>
    </row>
    <row r="2082" ht="1.5" customHeight="1">
      <c r="A2082" s="4" t="str">
        <f>IFERROR(__xludf.DUMMYFUNCTION("""COMPUTED_VALUE"""),"33. Zee")</f>
        <v>33. Zee</v>
      </c>
      <c r="B2082" s="4" t="str">
        <f>IFERROR(__xludf.DUMMYFUNCTION("""COMPUTED_VALUE"""),"33")</f>
        <v>33</v>
      </c>
      <c r="C2082" s="5" t="str">
        <f>IFERROR(__xludf.DUMMYFUNCTION("""COMPUTED_VALUE"""),"https://drive.google.com/file/d/1pD3nlqpoOUFrpEXV-gjXqtxBONnHnk_v/view?usp=drivesdk")</f>
        <v>https://drive.google.com/file/d/1pD3nlqpoOUFrpEXV-gjXqtxBONnHnk_v/view?usp=drivesdk</v>
      </c>
      <c r="D2082" s="12"/>
      <c r="E2082" s="13">
        <v>2132.0</v>
      </c>
      <c r="F2082" s="2"/>
    </row>
    <row r="2083" ht="1.5" customHeight="1">
      <c r="A2083" s="4" t="str">
        <f>IFERROR(__xludf.DUMMYFUNCTION("""COMPUTED_VALUE"""),"21. Paquini")</f>
        <v>21. Paquini</v>
      </c>
      <c r="B2083" s="4" t="str">
        <f>IFERROR(__xludf.DUMMYFUNCTION("""COMPUTED_VALUE"""),"21")</f>
        <v>21</v>
      </c>
      <c r="C2083" s="5" t="str">
        <f>IFERROR(__xludf.DUMMYFUNCTION("""COMPUTED_VALUE"""),"https://drive.google.com/file/d/1Hg9pWIbhBAF_E15AdqCtk4--jKEMl9h0/view?usp=drivesdk")</f>
        <v>https://drive.google.com/file/d/1Hg9pWIbhBAF_E15AdqCtk4--jKEMl9h0/view?usp=drivesdk</v>
      </c>
      <c r="D2083" s="12"/>
      <c r="E2083" s="13">
        <v>2133.0</v>
      </c>
      <c r="F2083" s="2"/>
    </row>
    <row r="2084" ht="1.5" customHeight="1">
      <c r="A2084" s="4" t="str">
        <f>IFERROR(__xludf.DUMMYFUNCTION("""COMPUTED_VALUE"""),"2. Twix")</f>
        <v>2. Twix</v>
      </c>
      <c r="B2084" s="4" t="str">
        <f>IFERROR(__xludf.DUMMYFUNCTION("""COMPUTED_VALUE"""),"2")</f>
        <v>2</v>
      </c>
      <c r="C2084" s="5" t="str">
        <f>IFERROR(__xludf.DUMMYFUNCTION("""COMPUTED_VALUE"""),"https://drive.google.com/file/d/1dDrlsG0fwJO2t_tTwkhZhzhuZSvGsYD-/view?usp=drivesdk")</f>
        <v>https://drive.google.com/file/d/1dDrlsG0fwJO2t_tTwkhZhzhuZSvGsYD-/view?usp=drivesdk</v>
      </c>
      <c r="D2084" s="12"/>
      <c r="E2084" s="13">
        <v>2134.0</v>
      </c>
      <c r="F2084" s="2"/>
    </row>
    <row r="2085" ht="1.5" customHeight="1">
      <c r="A2085" s="4" t="str">
        <f>IFERROR(__xludf.DUMMYFUNCTION("""COMPUTED_VALUE"""),"78. Ed Sheeran")</f>
        <v>78. Ed Sheeran</v>
      </c>
      <c r="B2085" s="4" t="str">
        <f>IFERROR(__xludf.DUMMYFUNCTION("""COMPUTED_VALUE"""),"78")</f>
        <v>78</v>
      </c>
      <c r="C2085" s="5" t="str">
        <f>IFERROR(__xludf.DUMMYFUNCTION("""COMPUTED_VALUE"""),"https://drive.google.com/file/d/10o-e3C4TqEvhcbK7BDO8XAp4y24Ynwmm/view?usp=drivesdk")</f>
        <v>https://drive.google.com/file/d/10o-e3C4TqEvhcbK7BDO8XAp4y24Ynwmm/view?usp=drivesdk</v>
      </c>
      <c r="D2085" s="12"/>
      <c r="E2085" s="13">
        <v>2135.0</v>
      </c>
      <c r="F2085" s="2"/>
    </row>
    <row r="2086" ht="1.5" customHeight="1">
      <c r="A2086" s="4" t="str">
        <f>IFERROR(__xludf.DUMMYFUNCTION("""COMPUTED_VALUE"""),"22. Glockenspiel")</f>
        <v>22. Glockenspiel</v>
      </c>
      <c r="B2086" s="4" t="str">
        <f>IFERROR(__xludf.DUMMYFUNCTION("""COMPUTED_VALUE"""),"22")</f>
        <v>22</v>
      </c>
      <c r="C2086" s="5" t="str">
        <f>IFERROR(__xludf.DUMMYFUNCTION("""COMPUTED_VALUE"""),"https://drive.google.com/file/d/1rjJumA7ILp-Eb2dTUbmboOUTxXHAQwKJ/view?usp=drivesdk")</f>
        <v>https://drive.google.com/file/d/1rjJumA7ILp-Eb2dTUbmboOUTxXHAQwKJ/view?usp=drivesdk</v>
      </c>
      <c r="D2086" s="12"/>
      <c r="E2086" s="13">
        <v>2136.0</v>
      </c>
      <c r="F2086" s="2"/>
    </row>
    <row r="2087" ht="1.5" customHeight="1">
      <c r="A2087" s="4" t="str">
        <f>IFERROR(__xludf.DUMMYFUNCTION("""COMPUTED_VALUE"""),"4. Eggs")</f>
        <v>4. Eggs</v>
      </c>
      <c r="B2087" s="4" t="str">
        <f>IFERROR(__xludf.DUMMYFUNCTION("""COMPUTED_VALUE"""),"4")</f>
        <v>4</v>
      </c>
      <c r="C2087" s="5" t="str">
        <f>IFERROR(__xludf.DUMMYFUNCTION("""COMPUTED_VALUE"""),"https://drive.google.com/file/d/1cuIkbMgjwNf8JNzCm_NwyGBCa2UUZkPp/view?usp=drivesdk")</f>
        <v>https://drive.google.com/file/d/1cuIkbMgjwNf8JNzCm_NwyGBCa2UUZkPp/view?usp=drivesdk</v>
      </c>
      <c r="D2087" s="12"/>
      <c r="E2087" s="13">
        <v>2137.0</v>
      </c>
      <c r="F2087" s="2"/>
    </row>
    <row r="2088" ht="1.5" customHeight="1">
      <c r="A2088" s="4" t="str">
        <f>IFERROR(__xludf.DUMMYFUNCTION("""COMPUTED_VALUE"""),"4. Eggs, 5. Eraser")</f>
        <v>4. Eggs, 5. Eraser</v>
      </c>
      <c r="B2088" s="4" t="str">
        <f>IFERROR(__xludf.DUMMYFUNCTION("""COMPUTED_VALUE"""),"4, 5")</f>
        <v>4, 5</v>
      </c>
      <c r="C2088" s="5" t="str">
        <f>IFERROR(__xludf.DUMMYFUNCTION("""COMPUTED_VALUE"""),"https://drive.google.com/file/d/1CoPPNgR3z4glmYkHbjYaE8t4AHS2JbWO/view?usp=drivesdk")</f>
        <v>https://drive.google.com/file/d/1CoPPNgR3z4glmYkHbjYaE8t4AHS2JbWO/view?usp=drivesdk</v>
      </c>
      <c r="D2088" s="12"/>
      <c r="E2088" s="13">
        <v>2138.0</v>
      </c>
      <c r="F2088" s="2"/>
    </row>
    <row r="2089" ht="1.5" customHeight="1">
      <c r="A2089" s="4" t="str">
        <f>IFERROR(__xludf.DUMMYFUNCTION("""COMPUTED_VALUE"""),"4. Eggs, 5. Eraser, 2. Twix")</f>
        <v>4. Eggs, 5. Eraser, 2. Twix</v>
      </c>
      <c r="B2089" s="4" t="str">
        <f>IFERROR(__xludf.DUMMYFUNCTION("""COMPUTED_VALUE"""),"4, 5, 2")</f>
        <v>4, 5, 2</v>
      </c>
      <c r="C2089" s="5" t="str">
        <f>IFERROR(__xludf.DUMMYFUNCTION("""COMPUTED_VALUE"""),"https://drive.google.com/file/d/1pKpZ_Yu03lHTrw-XMR8vqM70fF15-CfN/view?usp=drivesdk")</f>
        <v>https://drive.google.com/file/d/1pKpZ_Yu03lHTrw-XMR8vqM70fF15-CfN/view?usp=drivesdk</v>
      </c>
      <c r="D2089" s="12"/>
      <c r="E2089" s="13">
        <v>2139.0</v>
      </c>
      <c r="F2089" s="2"/>
    </row>
    <row r="2090" ht="1.5" customHeight="1">
      <c r="A2090" s="4" t="str">
        <f>IFERROR(__xludf.DUMMYFUNCTION("""COMPUTED_VALUE"""),"5. Eraser")</f>
        <v>5. Eraser</v>
      </c>
      <c r="B2090" s="4" t="str">
        <f>IFERROR(__xludf.DUMMYFUNCTION("""COMPUTED_VALUE"""),"5")</f>
        <v>5</v>
      </c>
      <c r="C2090" s="5" t="str">
        <f>IFERROR(__xludf.DUMMYFUNCTION("""COMPUTED_VALUE"""),"https://drive.google.com/file/d/1LmX-jfZLhyDpbaSUd2rxy4RVEs1QT8s9/view?usp=drivesdk")</f>
        <v>https://drive.google.com/file/d/1LmX-jfZLhyDpbaSUd2rxy4RVEs1QT8s9/view?usp=drivesdk</v>
      </c>
      <c r="D2090" s="12"/>
      <c r="E2090" s="13">
        <v>2140.0</v>
      </c>
      <c r="F2090" s="2"/>
    </row>
    <row r="2091" ht="1.5" customHeight="1">
      <c r="A2091" s="4" t="str">
        <f>IFERROR(__xludf.DUMMYFUNCTION("""COMPUTED_VALUE"""),"5. Eraser")</f>
        <v>5. Eraser</v>
      </c>
      <c r="B2091" s="4" t="str">
        <f>IFERROR(__xludf.DUMMYFUNCTION("""COMPUTED_VALUE"""),"5")</f>
        <v>5</v>
      </c>
      <c r="C2091" s="5" t="str">
        <f>IFERROR(__xludf.DUMMYFUNCTION("""COMPUTED_VALUE"""),"https://drive.google.com/file/d/171EDK7kPUNsBJkAXvwPtiR86sPd5KNg6/view?usp=drivesdk")</f>
        <v>https://drive.google.com/file/d/171EDK7kPUNsBJkAXvwPtiR86sPd5KNg6/view?usp=drivesdk</v>
      </c>
      <c r="D2091" s="12"/>
      <c r="E2091" s="13">
        <v>2141.0</v>
      </c>
      <c r="F2091" s="2"/>
    </row>
    <row r="2092" ht="1.5" customHeight="1">
      <c r="A2092" s="4" t="str">
        <f>IFERROR(__xludf.DUMMYFUNCTION("""COMPUTED_VALUE"""),"5. Eraser")</f>
        <v>5. Eraser</v>
      </c>
      <c r="B2092" s="4" t="str">
        <f>IFERROR(__xludf.DUMMYFUNCTION("""COMPUTED_VALUE"""),"5")</f>
        <v>5</v>
      </c>
      <c r="C2092" s="5" t="str">
        <f>IFERROR(__xludf.DUMMYFUNCTION("""COMPUTED_VALUE"""),"https://drive.google.com/file/d/1OtfU9eHfUrwYVC6vj46V9q8JgY7WxoC5/view?usp=drivesdk")</f>
        <v>https://drive.google.com/file/d/1OtfU9eHfUrwYVC6vj46V9q8JgY7WxoC5/view?usp=drivesdk</v>
      </c>
      <c r="D2092" s="12"/>
      <c r="E2092" s="13">
        <v>2142.0</v>
      </c>
      <c r="F2092" s="2"/>
    </row>
    <row r="2093" ht="1.5" customHeight="1">
      <c r="A2093" s="4" t="str">
        <f>IFERROR(__xludf.DUMMYFUNCTION("""COMPUTED_VALUE"""),"5. Eraser")</f>
        <v>5. Eraser</v>
      </c>
      <c r="B2093" s="4" t="str">
        <f>IFERROR(__xludf.DUMMYFUNCTION("""COMPUTED_VALUE"""),"5")</f>
        <v>5</v>
      </c>
      <c r="C2093" s="5" t="str">
        <f>IFERROR(__xludf.DUMMYFUNCTION("""COMPUTED_VALUE"""),"https://drive.google.com/file/d/1H7g84Ifhey0ARfoejYB4DR-9jpB1HKVl/view?usp=drivesdk")</f>
        <v>https://drive.google.com/file/d/1H7g84Ifhey0ARfoejYB4DR-9jpB1HKVl/view?usp=drivesdk</v>
      </c>
      <c r="D2093" s="12"/>
      <c r="E2093" s="13">
        <v>2143.0</v>
      </c>
      <c r="F2093" s="2"/>
    </row>
    <row r="2094" ht="1.5" customHeight="1">
      <c r="A2094" s="4" t="str">
        <f>IFERROR(__xludf.DUMMYFUNCTION("""COMPUTED_VALUE"""),"17. Bobbie, 78. Ed Sheeran, 79. Leaflet")</f>
        <v>17. Bobbie, 78. Ed Sheeran, 79. Leaflet</v>
      </c>
      <c r="B2094" s="4" t="str">
        <f>IFERROR(__xludf.DUMMYFUNCTION("""COMPUTED_VALUE"""),"17, 78, 79")</f>
        <v>17, 78, 79</v>
      </c>
      <c r="C2094" s="5" t="str">
        <f>IFERROR(__xludf.DUMMYFUNCTION("""COMPUTED_VALUE"""),"https://drive.google.com/file/d/1DSW8RnuP1LcjIoWqZE6jWTxRzctaMM3S/view?usp=drivesdk")</f>
        <v>https://drive.google.com/file/d/1DSW8RnuP1LcjIoWqZE6jWTxRzctaMM3S/view?usp=drivesdk</v>
      </c>
      <c r="D2094" s="12"/>
      <c r="E2094" s="13">
        <v>2144.0</v>
      </c>
      <c r="F2094" s="2"/>
    </row>
    <row r="2095" ht="1.5" customHeight="1">
      <c r="A2095" s="4" t="str">
        <f>IFERROR(__xludf.DUMMYFUNCTION("""COMPUTED_VALUE"""),"1. Microwave")</f>
        <v>1. Microwave</v>
      </c>
      <c r="B2095" s="4" t="str">
        <f>IFERROR(__xludf.DUMMYFUNCTION("""COMPUTED_VALUE"""),"1")</f>
        <v>1</v>
      </c>
      <c r="C2095" s="5" t="str">
        <f>IFERROR(__xludf.DUMMYFUNCTION("""COMPUTED_VALUE"""),"https://drive.google.com/file/d/1fZnqmpdeiwfMsB1ESNz_SbhnyXrX1l9P/view?usp=drivesdk")</f>
        <v>https://drive.google.com/file/d/1fZnqmpdeiwfMsB1ESNz_SbhnyXrX1l9P/view?usp=drivesdk</v>
      </c>
      <c r="D2095" s="12"/>
      <c r="E2095" s="13">
        <v>2145.0</v>
      </c>
      <c r="F2095" s="2"/>
    </row>
    <row r="2096" ht="1.5" customHeight="1">
      <c r="A2096" s="4" t="str">
        <f>IFERROR(__xludf.DUMMYFUNCTION("""COMPUTED_VALUE"""),"1. Microwave")</f>
        <v>1. Microwave</v>
      </c>
      <c r="B2096" s="4" t="str">
        <f>IFERROR(__xludf.DUMMYFUNCTION("""COMPUTED_VALUE"""),"1")</f>
        <v>1</v>
      </c>
      <c r="C2096" s="5" t="str">
        <f>IFERROR(__xludf.DUMMYFUNCTION("""COMPUTED_VALUE"""),"https://drive.google.com/file/d/1PqEGViZrCpUNQPN6zzkNCMP_bueHvD4w/view?usp=drivesdk")</f>
        <v>https://drive.google.com/file/d/1PqEGViZrCpUNQPN6zzkNCMP_bueHvD4w/view?usp=drivesdk</v>
      </c>
      <c r="D2096" s="12"/>
      <c r="E2096" s="13">
        <v>2146.0</v>
      </c>
      <c r="F2096" s="2"/>
    </row>
    <row r="2097" ht="1.5" customHeight="1">
      <c r="A2097" s="4" t="str">
        <f>IFERROR(__xludf.DUMMYFUNCTION("""COMPUTED_VALUE"""),"1. Microwave")</f>
        <v>1. Microwave</v>
      </c>
      <c r="B2097" s="4" t="str">
        <f>IFERROR(__xludf.DUMMYFUNCTION("""COMPUTED_VALUE"""),"1")</f>
        <v>1</v>
      </c>
      <c r="C2097" s="5" t="str">
        <f>IFERROR(__xludf.DUMMYFUNCTION("""COMPUTED_VALUE"""),"https://drive.google.com/file/d/1oUYvTmSP5n1rQhnaOQt7gmeZIBZ32Axq/view?usp=drivesdk")</f>
        <v>https://drive.google.com/file/d/1oUYvTmSP5n1rQhnaOQt7gmeZIBZ32Axq/view?usp=drivesdk</v>
      </c>
      <c r="D2097" s="12"/>
      <c r="E2097" s="13">
        <v>2147.0</v>
      </c>
      <c r="F2097" s="2"/>
    </row>
    <row r="2098" ht="1.5" customHeight="1">
      <c r="A2098" s="4" t="str">
        <f>IFERROR(__xludf.DUMMYFUNCTION("""COMPUTED_VALUE"""),"1. Microwave")</f>
        <v>1. Microwave</v>
      </c>
      <c r="B2098" s="4" t="str">
        <f>IFERROR(__xludf.DUMMYFUNCTION("""COMPUTED_VALUE"""),"1")</f>
        <v>1</v>
      </c>
      <c r="C2098" s="5" t="str">
        <f>IFERROR(__xludf.DUMMYFUNCTION("""COMPUTED_VALUE"""),"https://drive.google.com/file/d/1szmkO28P8Wl9TXW8zD-Mp4tJ_nX1bJEN/view?usp=drivesdk")</f>
        <v>https://drive.google.com/file/d/1szmkO28P8Wl9TXW8zD-Mp4tJ_nX1bJEN/view?usp=drivesdk</v>
      </c>
      <c r="D2098" s="12"/>
      <c r="E2098" s="13">
        <v>2148.0</v>
      </c>
      <c r="F2098" s="2"/>
    </row>
    <row r="2099" ht="1.5" customHeight="1">
      <c r="A2099" s="4" t="str">
        <f>IFERROR(__xludf.DUMMYFUNCTION("""COMPUTED_VALUE"""),"1. Microwave")</f>
        <v>1. Microwave</v>
      </c>
      <c r="B2099" s="4" t="str">
        <f>IFERROR(__xludf.DUMMYFUNCTION("""COMPUTED_VALUE"""),"1")</f>
        <v>1</v>
      </c>
      <c r="C2099" s="5" t="str">
        <f>IFERROR(__xludf.DUMMYFUNCTION("""COMPUTED_VALUE"""),"https://drive.google.com/file/d/13ztqaa-_zB5Zr4xGe4d19nr0a91KUSqc/view?usp=drivesdk")</f>
        <v>https://drive.google.com/file/d/13ztqaa-_zB5Zr4xGe4d19nr0a91KUSqc/view?usp=drivesdk</v>
      </c>
      <c r="D2099" s="12"/>
      <c r="E2099" s="13">
        <v>2149.0</v>
      </c>
      <c r="F2099" s="2"/>
    </row>
    <row r="2100" ht="1.5" customHeight="1">
      <c r="A2100" s="4" t="str">
        <f>IFERROR(__xludf.DUMMYFUNCTION("""COMPUTED_VALUE"""),"1. Microwave")</f>
        <v>1. Microwave</v>
      </c>
      <c r="B2100" s="4" t="str">
        <f>IFERROR(__xludf.DUMMYFUNCTION("""COMPUTED_VALUE"""),"1")</f>
        <v>1</v>
      </c>
      <c r="C2100" s="5" t="str">
        <f>IFERROR(__xludf.DUMMYFUNCTION("""COMPUTED_VALUE"""),"https://drive.google.com/file/d/1tpa5RbZwOTgyaOEbC2aDAgQGdieIx2bm/view?usp=drivesdk")</f>
        <v>https://drive.google.com/file/d/1tpa5RbZwOTgyaOEbC2aDAgQGdieIx2bm/view?usp=drivesdk</v>
      </c>
      <c r="D2100" s="12"/>
      <c r="E2100" s="13">
        <v>2150.0</v>
      </c>
      <c r="F2100" s="2"/>
    </row>
    <row r="2101" ht="1.5" customHeight="1">
      <c r="A2101" s="4" t="str">
        <f>IFERROR(__xludf.DUMMYFUNCTION("""COMPUTED_VALUE"""),"78. Ed Sheeran")</f>
        <v>78. Ed Sheeran</v>
      </c>
      <c r="B2101" s="4" t="str">
        <f>IFERROR(__xludf.DUMMYFUNCTION("""COMPUTED_VALUE"""),"78")</f>
        <v>78</v>
      </c>
      <c r="C2101" s="5" t="str">
        <f>IFERROR(__xludf.DUMMYFUNCTION("""COMPUTED_VALUE"""),"https://drive.google.com/file/d/127PrakLOhgODF4sQ0k_TsoVzFnKQ6oSB/view?usp=drivesdk")</f>
        <v>https://drive.google.com/file/d/127PrakLOhgODF4sQ0k_TsoVzFnKQ6oSB/view?usp=drivesdk</v>
      </c>
      <c r="D2101" s="12"/>
      <c r="E2101" s="13">
        <v>2151.0</v>
      </c>
      <c r="F2101" s="2"/>
    </row>
    <row r="2102" ht="1.5" customHeight="1">
      <c r="A2102" s="4" t="str">
        <f>IFERROR(__xludf.DUMMYFUNCTION("""COMPUTED_VALUE"""),"78. Ed Sheeran")</f>
        <v>78. Ed Sheeran</v>
      </c>
      <c r="B2102" s="4" t="str">
        <f>IFERROR(__xludf.DUMMYFUNCTION("""COMPUTED_VALUE"""),"78")</f>
        <v>78</v>
      </c>
      <c r="C2102" s="5" t="str">
        <f>IFERROR(__xludf.DUMMYFUNCTION("""COMPUTED_VALUE"""),"https://drive.google.com/file/d/1T44wKA-_l_gne0oOCdw2hAky6ACx625W/view?usp=drivesdk")</f>
        <v>https://drive.google.com/file/d/1T44wKA-_l_gne0oOCdw2hAky6ACx625W/view?usp=drivesdk</v>
      </c>
      <c r="D2102" s="12"/>
      <c r="E2102" s="13">
        <v>2152.0</v>
      </c>
      <c r="F2102" s="2"/>
    </row>
    <row r="2103" ht="1.5" customHeight="1">
      <c r="A2103" s="4" t="str">
        <f>IFERROR(__xludf.DUMMYFUNCTION("""COMPUTED_VALUE"""),"78. Ed Sheeran")</f>
        <v>78. Ed Sheeran</v>
      </c>
      <c r="B2103" s="4" t="str">
        <f>IFERROR(__xludf.DUMMYFUNCTION("""COMPUTED_VALUE"""),"78")</f>
        <v>78</v>
      </c>
      <c r="C2103" s="5" t="str">
        <f>IFERROR(__xludf.DUMMYFUNCTION("""COMPUTED_VALUE"""),"https://drive.google.com/file/d/13XRe4yZrRTmurFx2Jk8I_LICY8rcoIic/view?usp=drivesdk")</f>
        <v>https://drive.google.com/file/d/13XRe4yZrRTmurFx2Jk8I_LICY8rcoIic/view?usp=drivesdk</v>
      </c>
      <c r="D2103" s="12"/>
      <c r="E2103" s="13">
        <v>2153.0</v>
      </c>
      <c r="F2103" s="2"/>
    </row>
    <row r="2104" ht="1.5" customHeight="1">
      <c r="A2104" s="4" t="str">
        <f>IFERROR(__xludf.DUMMYFUNCTION("""COMPUTED_VALUE"""),"78. Ed Sheeran")</f>
        <v>78. Ed Sheeran</v>
      </c>
      <c r="B2104" s="4" t="str">
        <f>IFERROR(__xludf.DUMMYFUNCTION("""COMPUTED_VALUE"""),"78")</f>
        <v>78</v>
      </c>
      <c r="C2104" s="5" t="str">
        <f>IFERROR(__xludf.DUMMYFUNCTION("""COMPUTED_VALUE"""),"https://drive.google.com/file/d/1PSL2TOfEnPLJX6wITQdhWerzzxAqcc18/view?usp=drivesdk")</f>
        <v>https://drive.google.com/file/d/1PSL2TOfEnPLJX6wITQdhWerzzxAqcc18/view?usp=drivesdk</v>
      </c>
      <c r="D2104" s="12"/>
      <c r="E2104" s="13">
        <v>2154.0</v>
      </c>
      <c r="F2104" s="2"/>
    </row>
    <row r="2105" ht="1.5" customHeight="1">
      <c r="A2105" s="4" t="str">
        <f>IFERROR(__xludf.DUMMYFUNCTION("""COMPUTED_VALUE"""),"17. Bobbie")</f>
        <v>17. Bobbie</v>
      </c>
      <c r="B2105" s="4" t="str">
        <f>IFERROR(__xludf.DUMMYFUNCTION("""COMPUTED_VALUE"""),"17")</f>
        <v>17</v>
      </c>
      <c r="C2105" s="5" t="str">
        <f>IFERROR(__xludf.DUMMYFUNCTION("""COMPUTED_VALUE"""),"https://drive.google.com/file/d/1D2Sd3ynklnhEHy_hifCAmK7F4nQYROag/view?usp=drivesdk")</f>
        <v>https://drive.google.com/file/d/1D2Sd3ynklnhEHy_hifCAmK7F4nQYROag/view?usp=drivesdk</v>
      </c>
      <c r="D2105" s="12"/>
      <c r="E2105" s="13">
        <v>2155.0</v>
      </c>
      <c r="F2105" s="2"/>
    </row>
    <row r="2106" ht="1.5" customHeight="1">
      <c r="A2106" s="4" t="str">
        <f>IFERROR(__xludf.DUMMYFUNCTION("""COMPUTED_VALUE"""),"17. Bobbie")</f>
        <v>17. Bobbie</v>
      </c>
      <c r="B2106" s="4" t="str">
        <f>IFERROR(__xludf.DUMMYFUNCTION("""COMPUTED_VALUE"""),"17")</f>
        <v>17</v>
      </c>
      <c r="C2106" s="5" t="str">
        <f>IFERROR(__xludf.DUMMYFUNCTION("""COMPUTED_VALUE"""),"https://drive.google.com/file/d/1QAHrYDNvtCnjVinWh8SEM5N1jE-gLcyX/view?usp=drivesdk")</f>
        <v>https://drive.google.com/file/d/1QAHrYDNvtCnjVinWh8SEM5N1jE-gLcyX/view?usp=drivesdk</v>
      </c>
      <c r="D2106" s="12"/>
      <c r="E2106" s="13">
        <v>2156.0</v>
      </c>
      <c r="F2106" s="2"/>
    </row>
    <row r="2107" ht="1.5" customHeight="1">
      <c r="A2107" s="4" t="str">
        <f>IFERROR(__xludf.DUMMYFUNCTION("""COMPUTED_VALUE"""),"79. Leaflet")</f>
        <v>79. Leaflet</v>
      </c>
      <c r="B2107" s="4" t="str">
        <f>IFERROR(__xludf.DUMMYFUNCTION("""COMPUTED_VALUE"""),"79")</f>
        <v>79</v>
      </c>
      <c r="C2107" s="5" t="str">
        <f>IFERROR(__xludf.DUMMYFUNCTION("""COMPUTED_VALUE"""),"https://drive.google.com/file/d/1MFjLdt1Y9aKn-MuBdZyxUcyqfEkZ4h-o/view?usp=drivesdk")</f>
        <v>https://drive.google.com/file/d/1MFjLdt1Y9aKn-MuBdZyxUcyqfEkZ4h-o/view?usp=drivesdk</v>
      </c>
      <c r="D2107" s="12"/>
      <c r="E2107" s="13">
        <v>2157.0</v>
      </c>
      <c r="F2107" s="2"/>
    </row>
    <row r="2108" ht="1.5" customHeight="1">
      <c r="A2108" s="4" t="str">
        <f>IFERROR(__xludf.DUMMYFUNCTION("""COMPUTED_VALUE"""),"0. NotACat")</f>
        <v>0. NotACat</v>
      </c>
      <c r="B2108" s="4" t="str">
        <f>IFERROR(__xludf.DUMMYFUNCTION("""COMPUTED_VALUE"""),"0")</f>
        <v>0</v>
      </c>
      <c r="C2108" s="5" t="str">
        <f>IFERROR(__xludf.DUMMYFUNCTION("""COMPUTED_VALUE"""),"https://drive.google.com/file/d/1qjk0Epyi-LoRgoXJqL2frkg8n6TgnAjr/view?usp=drivesdk")</f>
        <v>https://drive.google.com/file/d/1qjk0Epyi-LoRgoXJqL2frkg8n6TgnAjr/view?usp=drivesdk</v>
      </c>
      <c r="D2108" s="12"/>
      <c r="E2108" s="13">
        <v>2158.0</v>
      </c>
      <c r="F2108" s="2"/>
    </row>
    <row r="2109" ht="1.5" customHeight="1">
      <c r="A2109" s="4" t="str">
        <f>IFERROR(__xludf.DUMMYFUNCTION("""COMPUTED_VALUE"""),"17. Bobbie")</f>
        <v>17. Bobbie</v>
      </c>
      <c r="B2109" s="4" t="str">
        <f>IFERROR(__xludf.DUMMYFUNCTION("""COMPUTED_VALUE"""),"17")</f>
        <v>17</v>
      </c>
      <c r="C2109" s="5" t="str">
        <f>IFERROR(__xludf.DUMMYFUNCTION("""COMPUTED_VALUE"""),"https://drive.google.com/file/d/1spz9xdXL0VHU-cK2_Jejie0cl-66oLIO/view?usp=drivesdk")</f>
        <v>https://drive.google.com/file/d/1spz9xdXL0VHU-cK2_Jejie0cl-66oLIO/view?usp=drivesdk</v>
      </c>
      <c r="D2109" s="12"/>
      <c r="E2109" s="13">
        <v>2159.0</v>
      </c>
      <c r="F2109" s="2"/>
    </row>
    <row r="2110" ht="1.5" customHeight="1">
      <c r="A2110" s="4" t="str">
        <f>IFERROR(__xludf.DUMMYFUNCTION("""COMPUTED_VALUE"""),"17. Bobbie")</f>
        <v>17. Bobbie</v>
      </c>
      <c r="B2110" s="4" t="str">
        <f>IFERROR(__xludf.DUMMYFUNCTION("""COMPUTED_VALUE"""),"17")</f>
        <v>17</v>
      </c>
      <c r="C2110" s="5" t="str">
        <f>IFERROR(__xludf.DUMMYFUNCTION("""COMPUTED_VALUE"""),"https://drive.google.com/file/d/1ca6WVGApYQ3M3terkJWzoSiw_G46cipa/view?usp=drivesdk")</f>
        <v>https://drive.google.com/file/d/1ca6WVGApYQ3M3terkJWzoSiw_G46cipa/view?usp=drivesdk</v>
      </c>
      <c r="D2110" s="12"/>
      <c r="E2110" s="13">
        <v>2160.0</v>
      </c>
      <c r="F2110" s="2"/>
    </row>
    <row r="2111" ht="1.5" customHeight="1">
      <c r="A2111" s="4" t="str">
        <f>IFERROR(__xludf.DUMMYFUNCTION("""COMPUTED_VALUE"""),"2. Twix")</f>
        <v>2. Twix</v>
      </c>
      <c r="B2111" s="4" t="str">
        <f>IFERROR(__xludf.DUMMYFUNCTION("""COMPUTED_VALUE"""),"2")</f>
        <v>2</v>
      </c>
      <c r="C2111" s="5" t="str">
        <f>IFERROR(__xludf.DUMMYFUNCTION("""COMPUTED_VALUE"""),"https://drive.google.com/file/d/1Cbbe69nN7-PSvOJQ8GhTYuszM8KlAQzq/view?usp=drivesdk")</f>
        <v>https://drive.google.com/file/d/1Cbbe69nN7-PSvOJQ8GhTYuszM8KlAQzq/view?usp=drivesdk</v>
      </c>
      <c r="D2111" s="12"/>
      <c r="E2111" s="13">
        <v>2161.0</v>
      </c>
      <c r="F2111" s="2"/>
    </row>
    <row r="2112" ht="1.5" customHeight="1">
      <c r="A2112" s="4" t="str">
        <f>IFERROR(__xludf.DUMMYFUNCTION("""COMPUTED_VALUE"""),"2. Twix")</f>
        <v>2. Twix</v>
      </c>
      <c r="B2112" s="4" t="str">
        <f>IFERROR(__xludf.DUMMYFUNCTION("""COMPUTED_VALUE"""),"2")</f>
        <v>2</v>
      </c>
      <c r="C2112" s="5" t="str">
        <f>IFERROR(__xludf.DUMMYFUNCTION("""COMPUTED_VALUE"""),"https://drive.google.com/file/d/1pfk5vnHgAAL89v-XAHLl8Ewvxm2Oot4h/view?usp=drivesdk")</f>
        <v>https://drive.google.com/file/d/1pfk5vnHgAAL89v-XAHLl8Ewvxm2Oot4h/view?usp=drivesdk</v>
      </c>
      <c r="D2112" s="12"/>
      <c r="E2112" s="13">
        <v>2162.0</v>
      </c>
      <c r="F2112" s="2"/>
    </row>
    <row r="2113" ht="1.5" customHeight="1">
      <c r="A2113" s="4" t="str">
        <f>IFERROR(__xludf.DUMMYFUNCTION("""COMPUTED_VALUE"""),"1. Microwave")</f>
        <v>1. Microwave</v>
      </c>
      <c r="B2113" s="4" t="str">
        <f>IFERROR(__xludf.DUMMYFUNCTION("""COMPUTED_VALUE"""),"1")</f>
        <v>1</v>
      </c>
      <c r="C2113" s="5" t="str">
        <f>IFERROR(__xludf.DUMMYFUNCTION("""COMPUTED_VALUE"""),"https://drive.google.com/file/d/1XsTBZoC4FSUTesCEl6w5YXxZXiHieRok/view?usp=drivesdk")</f>
        <v>https://drive.google.com/file/d/1XsTBZoC4FSUTesCEl6w5YXxZXiHieRok/view?usp=drivesdk</v>
      </c>
      <c r="D2113" s="12"/>
      <c r="E2113" s="13">
        <v>2163.0</v>
      </c>
      <c r="F2113" s="2"/>
    </row>
    <row r="2114" ht="1.5" customHeight="1">
      <c r="A2114" s="4" t="str">
        <f>IFERROR(__xludf.DUMMYFUNCTION("""COMPUTED_VALUE"""),"2. Twix")</f>
        <v>2. Twix</v>
      </c>
      <c r="B2114" s="4" t="str">
        <f>IFERROR(__xludf.DUMMYFUNCTION("""COMPUTED_VALUE"""),"2")</f>
        <v>2</v>
      </c>
      <c r="C2114" s="5" t="str">
        <f>IFERROR(__xludf.DUMMYFUNCTION("""COMPUTED_VALUE"""),"https://drive.google.com/file/d/1FSgChvJzsqmgxVsxS7fn1VsitR7saXsP/view?usp=drivesdk")</f>
        <v>https://drive.google.com/file/d/1FSgChvJzsqmgxVsxS7fn1VsitR7saXsP/view?usp=drivesdk</v>
      </c>
      <c r="D2114" s="12"/>
      <c r="E2114" s="13">
        <v>2164.0</v>
      </c>
      <c r="F2114" s="2"/>
    </row>
    <row r="2115" ht="1.5" customHeight="1">
      <c r="A2115" s="4" t="str">
        <f>IFERROR(__xludf.DUMMYFUNCTION("""COMPUTED_VALUE"""),"1. Microwave")</f>
        <v>1. Microwave</v>
      </c>
      <c r="B2115" s="4" t="str">
        <f>IFERROR(__xludf.DUMMYFUNCTION("""COMPUTED_VALUE"""),"1")</f>
        <v>1</v>
      </c>
      <c r="C2115" s="5" t="str">
        <f>IFERROR(__xludf.DUMMYFUNCTION("""COMPUTED_VALUE"""),"https://drive.google.com/file/d/1GbjPl8PScVLZ9fRBEO3UFv__mdO0VghD/view?usp=drivesdk")</f>
        <v>https://drive.google.com/file/d/1GbjPl8PScVLZ9fRBEO3UFv__mdO0VghD/view?usp=drivesdk</v>
      </c>
      <c r="D2115" s="12"/>
      <c r="E2115" s="13">
        <v>2165.0</v>
      </c>
      <c r="F2115" s="2"/>
    </row>
    <row r="2116" ht="1.5" customHeight="1">
      <c r="A2116" s="4" t="str">
        <f>IFERROR(__xludf.DUMMYFUNCTION("""COMPUTED_VALUE"""),"1. Microwave")</f>
        <v>1. Microwave</v>
      </c>
      <c r="B2116" s="4" t="str">
        <f>IFERROR(__xludf.DUMMYFUNCTION("""COMPUTED_VALUE"""),"1")</f>
        <v>1</v>
      </c>
      <c r="C2116" s="5" t="str">
        <f>IFERROR(__xludf.DUMMYFUNCTION("""COMPUTED_VALUE"""),"https://drive.google.com/file/d/1Da5G8MfCiohyIkJ7hzt8O87b7DiWJuO7/view?usp=drivesdk")</f>
        <v>https://drive.google.com/file/d/1Da5G8MfCiohyIkJ7hzt8O87b7DiWJuO7/view?usp=drivesdk</v>
      </c>
      <c r="D2116" s="12"/>
      <c r="E2116" s="13">
        <v>2166.0</v>
      </c>
      <c r="F2116" s="2"/>
    </row>
    <row r="2117" ht="1.5" customHeight="1">
      <c r="A2117" s="4" t="str">
        <f>IFERROR(__xludf.DUMMYFUNCTION("""COMPUTED_VALUE"""),"2. Twix")</f>
        <v>2. Twix</v>
      </c>
      <c r="B2117" s="4" t="str">
        <f>IFERROR(__xludf.DUMMYFUNCTION("""COMPUTED_VALUE"""),"2")</f>
        <v>2</v>
      </c>
      <c r="C2117" s="5" t="str">
        <f>IFERROR(__xludf.DUMMYFUNCTION("""COMPUTED_VALUE"""),"https://drive.google.com/file/d/1UIjUXr1MNYJlj1ac6WgkHnljLP3VvM4L/view?usp=drivesdk")</f>
        <v>https://drive.google.com/file/d/1UIjUXr1MNYJlj1ac6WgkHnljLP3VvM4L/view?usp=drivesdk</v>
      </c>
      <c r="D2117" s="12"/>
      <c r="E2117" s="13">
        <v>2167.0</v>
      </c>
      <c r="F2117" s="2"/>
    </row>
    <row r="2118" ht="1.5" customHeight="1">
      <c r="A2118" s="4" t="str">
        <f>IFERROR(__xludf.DUMMYFUNCTION("""COMPUTED_VALUE"""),"5. Eraser")</f>
        <v>5. Eraser</v>
      </c>
      <c r="B2118" s="4" t="str">
        <f>IFERROR(__xludf.DUMMYFUNCTION("""COMPUTED_VALUE"""),"5")</f>
        <v>5</v>
      </c>
      <c r="C2118" s="5" t="str">
        <f>IFERROR(__xludf.DUMMYFUNCTION("""COMPUTED_VALUE"""),"https://drive.google.com/file/d/1ejN0W0-t8uBO11n1GHaEpEmBBoPBkuyo/view?usp=drivesdk")</f>
        <v>https://drive.google.com/file/d/1ejN0W0-t8uBO11n1GHaEpEmBBoPBkuyo/view?usp=drivesdk</v>
      </c>
      <c r="D2118" s="12"/>
      <c r="E2118" s="13">
        <v>2168.0</v>
      </c>
      <c r="F2118" s="2"/>
    </row>
    <row r="2119" ht="1.5" customHeight="1">
      <c r="A2119" s="4" t="str">
        <f>IFERROR(__xludf.DUMMYFUNCTION("""COMPUTED_VALUE"""),"5. Eraser")</f>
        <v>5. Eraser</v>
      </c>
      <c r="B2119" s="4" t="str">
        <f>IFERROR(__xludf.DUMMYFUNCTION("""COMPUTED_VALUE"""),"5")</f>
        <v>5</v>
      </c>
      <c r="C2119" s="5" t="str">
        <f>IFERROR(__xludf.DUMMYFUNCTION("""COMPUTED_VALUE"""),"https://drive.google.com/file/d/1LoMgSYQgzvijp3elYPuq_pfJ_KQZLOZS/view?usp=drivesdk")</f>
        <v>https://drive.google.com/file/d/1LoMgSYQgzvijp3elYPuq_pfJ_KQZLOZS/view?usp=drivesdk</v>
      </c>
      <c r="D2119" s="12"/>
      <c r="E2119" s="13">
        <v>2169.0</v>
      </c>
      <c r="F2119" s="2"/>
    </row>
    <row r="2120" ht="1.5" customHeight="1">
      <c r="A2120" s="4" t="str">
        <f>IFERROR(__xludf.DUMMYFUNCTION("""COMPUTED_VALUE"""),"4. Eggs")</f>
        <v>4. Eggs</v>
      </c>
      <c r="B2120" s="4" t="str">
        <f>IFERROR(__xludf.DUMMYFUNCTION("""COMPUTED_VALUE"""),"4")</f>
        <v>4</v>
      </c>
      <c r="C2120" s="5" t="str">
        <f>IFERROR(__xludf.DUMMYFUNCTION("""COMPUTED_VALUE"""),"https://drive.google.com/file/d/1DBVietRi1QWuPiv6IYKSMWNfoNU13DAC/view?usp=drivesdk")</f>
        <v>https://drive.google.com/file/d/1DBVietRi1QWuPiv6IYKSMWNfoNU13DAC/view?usp=drivesdk</v>
      </c>
      <c r="D2120" s="12"/>
      <c r="E2120" s="13">
        <v>2170.0</v>
      </c>
      <c r="F2120" s="2"/>
    </row>
    <row r="2121" ht="1.5" customHeight="1">
      <c r="A2121" s="4" t="str">
        <f>IFERROR(__xludf.DUMMYFUNCTION("""COMPUTED_VALUE"""),"2. Twix")</f>
        <v>2. Twix</v>
      </c>
      <c r="B2121" s="4" t="str">
        <f>IFERROR(__xludf.DUMMYFUNCTION("""COMPUTED_VALUE"""),"2")</f>
        <v>2</v>
      </c>
      <c r="C2121" s="5" t="str">
        <f>IFERROR(__xludf.DUMMYFUNCTION("""COMPUTED_VALUE"""),"https://drive.google.com/file/d/1GlI5hHi1T4z-Ue0ZaLM5ld5FHVURNdam/view?usp=drivesdk")</f>
        <v>https://drive.google.com/file/d/1GlI5hHi1T4z-Ue0ZaLM5ld5FHVURNdam/view?usp=drivesdk</v>
      </c>
      <c r="D2121" s="12"/>
      <c r="E2121" s="13">
        <v>2171.0</v>
      </c>
      <c r="F2121" s="2"/>
    </row>
    <row r="2122" ht="1.5" customHeight="1">
      <c r="A2122" s="4" t="str">
        <f>IFERROR(__xludf.DUMMYFUNCTION("""COMPUTED_VALUE"""),"5. Eraser")</f>
        <v>5. Eraser</v>
      </c>
      <c r="B2122" s="4" t="str">
        <f>IFERROR(__xludf.DUMMYFUNCTION("""COMPUTED_VALUE"""),"5")</f>
        <v>5</v>
      </c>
      <c r="C2122" s="5" t="str">
        <f>IFERROR(__xludf.DUMMYFUNCTION("""COMPUTED_VALUE"""),"https://drive.google.com/file/d/1VfPZ86fJcaaGE9rsmIPXQkF35ix-U3wh/view?usp=drivesdk")</f>
        <v>https://drive.google.com/file/d/1VfPZ86fJcaaGE9rsmIPXQkF35ix-U3wh/view?usp=drivesdk</v>
      </c>
      <c r="D2122" s="12"/>
      <c r="E2122" s="13">
        <v>2172.0</v>
      </c>
      <c r="F2122" s="2"/>
    </row>
    <row r="2123" ht="1.5" customHeight="1">
      <c r="A2123" s="4" t="str">
        <f>IFERROR(__xludf.DUMMYFUNCTION("""COMPUTED_VALUE"""),"5. Eraser")</f>
        <v>5. Eraser</v>
      </c>
      <c r="B2123" s="4" t="str">
        <f>IFERROR(__xludf.DUMMYFUNCTION("""COMPUTED_VALUE"""),"5")</f>
        <v>5</v>
      </c>
      <c r="C2123" s="5" t="str">
        <f>IFERROR(__xludf.DUMMYFUNCTION("""COMPUTED_VALUE"""),"https://drive.google.com/file/d/1UrrbZQq3bUFtJYny6gYHe8iO5Thz4QT8/view?usp=drivesdk")</f>
        <v>https://drive.google.com/file/d/1UrrbZQq3bUFtJYny6gYHe8iO5Thz4QT8/view?usp=drivesdk</v>
      </c>
      <c r="D2123" s="12"/>
      <c r="E2123" s="13">
        <v>2173.0</v>
      </c>
      <c r="F2123" s="2"/>
    </row>
    <row r="2124" ht="1.5" customHeight="1">
      <c r="A2124" s="4" t="str">
        <f>IFERROR(__xludf.DUMMYFUNCTION("""COMPUTED_VALUE"""),"5. Eraser")</f>
        <v>5. Eraser</v>
      </c>
      <c r="B2124" s="4" t="str">
        <f>IFERROR(__xludf.DUMMYFUNCTION("""COMPUTED_VALUE"""),"5")</f>
        <v>5</v>
      </c>
      <c r="C2124" s="5" t="str">
        <f>IFERROR(__xludf.DUMMYFUNCTION("""COMPUTED_VALUE"""),"https://drive.google.com/file/d/1n5a4kHm7Z_GQBzsWkIg_gX5cJyfppzRD/view?usp=drivesdk")</f>
        <v>https://drive.google.com/file/d/1n5a4kHm7Z_GQBzsWkIg_gX5cJyfppzRD/view?usp=drivesdk</v>
      </c>
      <c r="D2124" s="12"/>
      <c r="E2124" s="13">
        <v>2174.0</v>
      </c>
      <c r="F2124" s="2"/>
    </row>
    <row r="2125" ht="1.5" customHeight="1">
      <c r="A2125" s="4" t="str">
        <f>IFERROR(__xludf.DUMMYFUNCTION("""COMPUTED_VALUE"""),"2. Twix")</f>
        <v>2. Twix</v>
      </c>
      <c r="B2125" s="4" t="str">
        <f>IFERROR(__xludf.DUMMYFUNCTION("""COMPUTED_VALUE"""),"2")</f>
        <v>2</v>
      </c>
      <c r="C2125" s="5" t="str">
        <f>IFERROR(__xludf.DUMMYFUNCTION("""COMPUTED_VALUE"""),"https://drive.google.com/file/d/1RM2_-oJnZAdRWqO19P07sdxrMXJIc788/view?usp=drivesdk")</f>
        <v>https://drive.google.com/file/d/1RM2_-oJnZAdRWqO19P07sdxrMXJIc788/view?usp=drivesdk</v>
      </c>
      <c r="D2125" s="12"/>
      <c r="E2125" s="13">
        <v>2175.0</v>
      </c>
      <c r="F2125" s="2"/>
    </row>
    <row r="2126" ht="1.5" customHeight="1">
      <c r="A2126" s="4" t="str">
        <f>IFERROR(__xludf.DUMMYFUNCTION("""COMPUTED_VALUE"""),"4. Eggs")</f>
        <v>4. Eggs</v>
      </c>
      <c r="B2126" s="4" t="str">
        <f>IFERROR(__xludf.DUMMYFUNCTION("""COMPUTED_VALUE"""),"4")</f>
        <v>4</v>
      </c>
      <c r="C2126" s="5" t="str">
        <f>IFERROR(__xludf.DUMMYFUNCTION("""COMPUTED_VALUE"""),"https://drive.google.com/file/d/1vtqRGDEDeKsR-hDNHioeA0H0AK9WPpNM/view?usp=drivesdk")</f>
        <v>https://drive.google.com/file/d/1vtqRGDEDeKsR-hDNHioeA0H0AK9WPpNM/view?usp=drivesdk</v>
      </c>
      <c r="D2126" s="12"/>
      <c r="E2126" s="13">
        <v>2176.0</v>
      </c>
      <c r="F2126" s="2"/>
    </row>
    <row r="2127" ht="1.5" customHeight="1">
      <c r="A2127" s="4" t="str">
        <f>IFERROR(__xludf.DUMMYFUNCTION("""COMPUTED_VALUE"""),"4. Eggs")</f>
        <v>4. Eggs</v>
      </c>
      <c r="B2127" s="4" t="str">
        <f>IFERROR(__xludf.DUMMYFUNCTION("""COMPUTED_VALUE"""),"4")</f>
        <v>4</v>
      </c>
      <c r="C2127" s="5" t="str">
        <f>IFERROR(__xludf.DUMMYFUNCTION("""COMPUTED_VALUE"""),"https://drive.google.com/file/d/13lZL4P1keyyrzkq_ZjN0ee3leVlSsiQt/view?usp=drivesdk")</f>
        <v>https://drive.google.com/file/d/13lZL4P1keyyrzkq_ZjN0ee3leVlSsiQt/view?usp=drivesdk</v>
      </c>
      <c r="D2127" s="12"/>
      <c r="E2127" s="13">
        <v>2177.0</v>
      </c>
      <c r="F2127" s="2"/>
    </row>
    <row r="2128" ht="1.5" customHeight="1">
      <c r="A2128" s="4" t="str">
        <f>IFERROR(__xludf.DUMMYFUNCTION("""COMPUTED_VALUE"""),"4. Eggs")</f>
        <v>4. Eggs</v>
      </c>
      <c r="B2128" s="4" t="str">
        <f>IFERROR(__xludf.DUMMYFUNCTION("""COMPUTED_VALUE"""),"4")</f>
        <v>4</v>
      </c>
      <c r="C2128" s="5" t="str">
        <f>IFERROR(__xludf.DUMMYFUNCTION("""COMPUTED_VALUE"""),"https://drive.google.com/file/d/1vr38e-ac3w2edg6aFAfWB-s_eDIS4tx-/view?usp=drivesdk")</f>
        <v>https://drive.google.com/file/d/1vr38e-ac3w2edg6aFAfWB-s_eDIS4tx-/view?usp=drivesdk</v>
      </c>
      <c r="D2128" s="12"/>
      <c r="E2128" s="13">
        <v>2178.0</v>
      </c>
      <c r="F2128" s="2"/>
    </row>
    <row r="2129" ht="1.5" customHeight="1">
      <c r="A2129" s="4" t="str">
        <f>IFERROR(__xludf.DUMMYFUNCTION("""COMPUTED_VALUE"""),"4. Eggs")</f>
        <v>4. Eggs</v>
      </c>
      <c r="B2129" s="4" t="str">
        <f>IFERROR(__xludf.DUMMYFUNCTION("""COMPUTED_VALUE"""),"4")</f>
        <v>4</v>
      </c>
      <c r="C2129" s="5" t="str">
        <f>IFERROR(__xludf.DUMMYFUNCTION("""COMPUTED_VALUE"""),"https://drive.google.com/file/d/1ZQjNsu9xy9oQCP9I9PGz1wKBK8Ir3C53/view?usp=drivesdk")</f>
        <v>https://drive.google.com/file/d/1ZQjNsu9xy9oQCP9I9PGz1wKBK8Ir3C53/view?usp=drivesdk</v>
      </c>
      <c r="D2129" s="12"/>
      <c r="E2129" s="13">
        <v>2179.0</v>
      </c>
      <c r="F2129" s="2"/>
    </row>
    <row r="2130" ht="1.5" customHeight="1">
      <c r="A2130" s="4" t="str">
        <f>IFERROR(__xludf.DUMMYFUNCTION("""COMPUTED_VALUE"""),"1. Microwave")</f>
        <v>1. Microwave</v>
      </c>
      <c r="B2130" s="4" t="str">
        <f>IFERROR(__xludf.DUMMYFUNCTION("""COMPUTED_VALUE"""),"1")</f>
        <v>1</v>
      </c>
      <c r="C2130" s="5" t="str">
        <f>IFERROR(__xludf.DUMMYFUNCTION("""COMPUTED_VALUE"""),"https://drive.google.com/file/d/1Ecj1GMGjPnehGdZpWd8W3kqCYmdprqpg/view?usp=drivesdk")</f>
        <v>https://drive.google.com/file/d/1Ecj1GMGjPnehGdZpWd8W3kqCYmdprqpg/view?usp=drivesdk</v>
      </c>
      <c r="D2130" s="12"/>
      <c r="E2130" s="13">
        <v>2180.0</v>
      </c>
      <c r="F2130" s="2"/>
    </row>
    <row r="2131" ht="1.5" customHeight="1">
      <c r="A2131" s="4" t="str">
        <f>IFERROR(__xludf.DUMMYFUNCTION("""COMPUTED_VALUE"""),"1. Microwave")</f>
        <v>1. Microwave</v>
      </c>
      <c r="B2131" s="4" t="str">
        <f>IFERROR(__xludf.DUMMYFUNCTION("""COMPUTED_VALUE"""),"1")</f>
        <v>1</v>
      </c>
      <c r="C2131" s="5" t="str">
        <f>IFERROR(__xludf.DUMMYFUNCTION("""COMPUTED_VALUE"""),"https://drive.google.com/file/d/18LqOMF11t5cM8TxOWsx3puT6D6R2EA9x/view?usp=drivesdk")</f>
        <v>https://drive.google.com/file/d/18LqOMF11t5cM8TxOWsx3puT6D6R2EA9x/view?usp=drivesdk</v>
      </c>
      <c r="D2131" s="12"/>
      <c r="E2131" s="13">
        <v>2181.0</v>
      </c>
      <c r="F2131" s="2"/>
    </row>
    <row r="2132" ht="1.5" customHeight="1">
      <c r="A2132" s="4" t="str">
        <f>IFERROR(__xludf.DUMMYFUNCTION("""COMPUTED_VALUE"""),"1. Microwave")</f>
        <v>1. Microwave</v>
      </c>
      <c r="B2132" s="4" t="str">
        <f>IFERROR(__xludf.DUMMYFUNCTION("""COMPUTED_VALUE"""),"1")</f>
        <v>1</v>
      </c>
      <c r="C2132" s="5" t="str">
        <f>IFERROR(__xludf.DUMMYFUNCTION("""COMPUTED_VALUE"""),"https://drive.google.com/file/d/1SfgPBi3bJ3-i7QCuv5Bye0jxeM4jMldS/view?usp=drivesdk")</f>
        <v>https://drive.google.com/file/d/1SfgPBi3bJ3-i7QCuv5Bye0jxeM4jMldS/view?usp=drivesdk</v>
      </c>
      <c r="D2132" s="12"/>
      <c r="E2132" s="13">
        <v>2182.0</v>
      </c>
      <c r="F2132" s="2"/>
    </row>
    <row r="2133" ht="1.5" customHeight="1">
      <c r="A2133" s="4" t="str">
        <f>IFERROR(__xludf.DUMMYFUNCTION("""COMPUTED_VALUE"""),"1. Microwave")</f>
        <v>1. Microwave</v>
      </c>
      <c r="B2133" s="4" t="str">
        <f>IFERROR(__xludf.DUMMYFUNCTION("""COMPUTED_VALUE"""),"1")</f>
        <v>1</v>
      </c>
      <c r="C2133" s="5" t="str">
        <f>IFERROR(__xludf.DUMMYFUNCTION("""COMPUTED_VALUE"""),"https://drive.google.com/file/d/1k-87W8EQdN_vQR6z-SWScx-cWrsRMiYl/view?usp=drivesdk")</f>
        <v>https://drive.google.com/file/d/1k-87W8EQdN_vQR6z-SWScx-cWrsRMiYl/view?usp=drivesdk</v>
      </c>
      <c r="D2133" s="12"/>
      <c r="E2133" s="13">
        <v>2183.0</v>
      </c>
      <c r="F2133" s="2"/>
    </row>
    <row r="2134" ht="1.5" customHeight="1">
      <c r="A2134" s="4" t="str">
        <f>IFERROR(__xludf.DUMMYFUNCTION("""COMPUTED_VALUE"""),"22. Glockenspiel")</f>
        <v>22. Glockenspiel</v>
      </c>
      <c r="B2134" s="4" t="str">
        <f>IFERROR(__xludf.DUMMYFUNCTION("""COMPUTED_VALUE"""),"22")</f>
        <v>22</v>
      </c>
      <c r="C2134" s="5" t="str">
        <f>IFERROR(__xludf.DUMMYFUNCTION("""COMPUTED_VALUE"""),"https://drive.google.com/file/d/14dFiVqI37VK7TJi3mCo-Zy8ak2_zF9wN/view?usp=drivesdk")</f>
        <v>https://drive.google.com/file/d/14dFiVqI37VK7TJi3mCo-Zy8ak2_zF9wN/view?usp=drivesdk</v>
      </c>
      <c r="D2134" s="12"/>
      <c r="E2134" s="13">
        <v>2184.0</v>
      </c>
      <c r="F2134" s="2"/>
    </row>
    <row r="2135" ht="1.5" customHeight="1">
      <c r="A2135" s="4" t="str">
        <f>IFERROR(__xludf.DUMMYFUNCTION("""COMPUTED_VALUE"""),"22. Glockenspiel")</f>
        <v>22. Glockenspiel</v>
      </c>
      <c r="B2135" s="4" t="str">
        <f>IFERROR(__xludf.DUMMYFUNCTION("""COMPUTED_VALUE"""),"22")</f>
        <v>22</v>
      </c>
      <c r="C2135" s="5" t="str">
        <f>IFERROR(__xludf.DUMMYFUNCTION("""COMPUTED_VALUE"""),"https://drive.google.com/file/d/1GsfBYdqo-cKIKqO0J0V15-OirjsSlujW/view?usp=drivesdk")</f>
        <v>https://drive.google.com/file/d/1GsfBYdqo-cKIKqO0J0V15-OirjsSlujW/view?usp=drivesdk</v>
      </c>
      <c r="D2135" s="12"/>
      <c r="E2135" s="13">
        <v>2185.0</v>
      </c>
      <c r="F2135" s="2"/>
    </row>
    <row r="2136" ht="1.5" customHeight="1">
      <c r="A2136" s="4" t="str">
        <f>IFERROR(__xludf.DUMMYFUNCTION("""COMPUTED_VALUE"""),"21. Paquini")</f>
        <v>21. Paquini</v>
      </c>
      <c r="B2136" s="4" t="str">
        <f>IFERROR(__xludf.DUMMYFUNCTION("""COMPUTED_VALUE"""),"21")</f>
        <v>21</v>
      </c>
      <c r="C2136" s="5" t="str">
        <f>IFERROR(__xludf.DUMMYFUNCTION("""COMPUTED_VALUE"""),"https://drive.google.com/file/d/1a4FY8GeQIXzUxop2eYz5jccapW2j6WNJ/view?usp=drivesdk")</f>
        <v>https://drive.google.com/file/d/1a4FY8GeQIXzUxop2eYz5jccapW2j6WNJ/view?usp=drivesdk</v>
      </c>
      <c r="D2136" s="12"/>
      <c r="E2136" s="13">
        <v>2186.0</v>
      </c>
      <c r="F2136" s="2"/>
    </row>
    <row r="2137" ht="1.5" customHeight="1">
      <c r="A2137" s="4" t="str">
        <f>IFERROR(__xludf.DUMMYFUNCTION("""COMPUTED_VALUE"""),"21. Paquini")</f>
        <v>21. Paquini</v>
      </c>
      <c r="B2137" s="4" t="str">
        <f>IFERROR(__xludf.DUMMYFUNCTION("""COMPUTED_VALUE"""),"21")</f>
        <v>21</v>
      </c>
      <c r="C2137" s="5" t="str">
        <f>IFERROR(__xludf.DUMMYFUNCTION("""COMPUTED_VALUE"""),"https://drive.google.com/file/d/1T9DiP8GQQZbw1RU863V9W7dkEflj_ddR/view?usp=drivesdk")</f>
        <v>https://drive.google.com/file/d/1T9DiP8GQQZbw1RU863V9W7dkEflj_ddR/view?usp=drivesdk</v>
      </c>
      <c r="D2137" s="12"/>
      <c r="E2137" s="13">
        <v>2187.0</v>
      </c>
      <c r="F2137" s="2"/>
    </row>
    <row r="2138" ht="1.5" customHeight="1">
      <c r="A2138" s="4" t="str">
        <f>IFERROR(__xludf.DUMMYFUNCTION("""COMPUTED_VALUE"""),"21. Paquini")</f>
        <v>21. Paquini</v>
      </c>
      <c r="B2138" s="4" t="str">
        <f>IFERROR(__xludf.DUMMYFUNCTION("""COMPUTED_VALUE"""),"21")</f>
        <v>21</v>
      </c>
      <c r="C2138" s="5" t="str">
        <f>IFERROR(__xludf.DUMMYFUNCTION("""COMPUTED_VALUE"""),"https://drive.google.com/file/d/1FoOSCAGUF1n04lnSsVDMTQf8SJiZDy-8/view?usp=drivesdk")</f>
        <v>https://drive.google.com/file/d/1FoOSCAGUF1n04lnSsVDMTQf8SJiZDy-8/view?usp=drivesdk</v>
      </c>
      <c r="D2138" s="12"/>
      <c r="E2138" s="13">
        <v>2188.0</v>
      </c>
      <c r="F2138" s="2"/>
    </row>
    <row r="2139" ht="1.5" customHeight="1">
      <c r="A2139" s="4" t="str">
        <f>IFERROR(__xludf.DUMMYFUNCTION("""COMPUTED_VALUE"""),"22. Glockenspiel")</f>
        <v>22. Glockenspiel</v>
      </c>
      <c r="B2139" s="4" t="str">
        <f>IFERROR(__xludf.DUMMYFUNCTION("""COMPUTED_VALUE"""),"22")</f>
        <v>22</v>
      </c>
      <c r="C2139" s="5" t="str">
        <f>IFERROR(__xludf.DUMMYFUNCTION("""COMPUTED_VALUE"""),"https://drive.google.com/file/d/1R0TklRGlbqJhE5ctTNLAs_sbdmOfHVD6/view?usp=drivesdk")</f>
        <v>https://drive.google.com/file/d/1R0TklRGlbqJhE5ctTNLAs_sbdmOfHVD6/view?usp=drivesdk</v>
      </c>
      <c r="D2139" s="12"/>
      <c r="E2139" s="13">
        <v>2189.0</v>
      </c>
      <c r="F2139" s="2"/>
    </row>
    <row r="2140" ht="1.5" customHeight="1">
      <c r="A2140" s="4" t="str">
        <f>IFERROR(__xludf.DUMMYFUNCTION("""COMPUTED_VALUE"""),"21. Paquini")</f>
        <v>21. Paquini</v>
      </c>
      <c r="B2140" s="4" t="str">
        <f>IFERROR(__xludf.DUMMYFUNCTION("""COMPUTED_VALUE"""),"21")</f>
        <v>21</v>
      </c>
      <c r="C2140" s="5" t="str">
        <f>IFERROR(__xludf.DUMMYFUNCTION("""COMPUTED_VALUE"""),"https://drive.google.com/file/d/1teybSQNlcAPl0l2ZncQdz9cO9DKd7cAg/view?usp=drivesdk")</f>
        <v>https://drive.google.com/file/d/1teybSQNlcAPl0l2ZncQdz9cO9DKd7cAg/view?usp=drivesdk</v>
      </c>
      <c r="D2140" s="12"/>
      <c r="E2140" s="13">
        <v>2190.0</v>
      </c>
      <c r="F2140" s="2"/>
    </row>
    <row r="2141" ht="1.5" customHeight="1">
      <c r="A2141" s="4" t="str">
        <f>IFERROR(__xludf.DUMMYFUNCTION("""COMPUTED_VALUE"""),"1. Microwave")</f>
        <v>1. Microwave</v>
      </c>
      <c r="B2141" s="4" t="str">
        <f>IFERROR(__xludf.DUMMYFUNCTION("""COMPUTED_VALUE"""),"1")</f>
        <v>1</v>
      </c>
      <c r="C2141" s="5" t="str">
        <f>IFERROR(__xludf.DUMMYFUNCTION("""COMPUTED_VALUE"""),"https://drive.google.com/file/d/1sSVgPjXW9bYPe1Rjl8fE84nwGu6TH-WO/view?usp=drivesdk")</f>
        <v>https://drive.google.com/file/d/1sSVgPjXW9bYPe1Rjl8fE84nwGu6TH-WO/view?usp=drivesdk</v>
      </c>
      <c r="D2141" s="12"/>
      <c r="E2141" s="13">
        <v>2191.0</v>
      </c>
      <c r="F2141" s="2"/>
    </row>
    <row r="2142" ht="1.5" customHeight="1">
      <c r="A2142" s="4" t="str">
        <f>IFERROR(__xludf.DUMMYFUNCTION("""COMPUTED_VALUE"""),"78. Ed Sheeran")</f>
        <v>78. Ed Sheeran</v>
      </c>
      <c r="B2142" s="4" t="str">
        <f>IFERROR(__xludf.DUMMYFUNCTION("""COMPUTED_VALUE"""),"78")</f>
        <v>78</v>
      </c>
      <c r="C2142" s="5" t="str">
        <f>IFERROR(__xludf.DUMMYFUNCTION("""COMPUTED_VALUE"""),"https://drive.google.com/file/d/1vsOD4F3BY0VlM7uovxkM91b1Yk-8Mpe4/view?usp=drivesdk")</f>
        <v>https://drive.google.com/file/d/1vsOD4F3BY0VlM7uovxkM91b1Yk-8Mpe4/view?usp=drivesdk</v>
      </c>
      <c r="D2142" s="12"/>
      <c r="E2142" s="13">
        <v>2192.0</v>
      </c>
      <c r="F2142" s="2"/>
    </row>
    <row r="2143" ht="1.5" customHeight="1">
      <c r="A2143" s="4" t="str">
        <f>IFERROR(__xludf.DUMMYFUNCTION("""COMPUTED_VALUE"""),"0. NotACat")</f>
        <v>0. NotACat</v>
      </c>
      <c r="B2143" s="4" t="str">
        <f>IFERROR(__xludf.DUMMYFUNCTION("""COMPUTED_VALUE"""),"0")</f>
        <v>0</v>
      </c>
      <c r="C2143" s="5" t="str">
        <f>IFERROR(__xludf.DUMMYFUNCTION("""COMPUTED_VALUE"""),"https://drive.google.com/file/d/1-9QRk5hlKGpDkd6Z3bod6JkIn7dCd0hh/view?usp=drivesdk")</f>
        <v>https://drive.google.com/file/d/1-9QRk5hlKGpDkd6Z3bod6JkIn7dCd0hh/view?usp=drivesdk</v>
      </c>
      <c r="D2143" s="12"/>
      <c r="E2143" s="13">
        <v>2193.0</v>
      </c>
      <c r="F2143" s="2"/>
    </row>
    <row r="2144" ht="1.5" customHeight="1">
      <c r="A2144" s="4" t="str">
        <f>IFERROR(__xludf.DUMMYFUNCTION("""COMPUTED_VALUE"""),"0. NotACat")</f>
        <v>0. NotACat</v>
      </c>
      <c r="B2144" s="4" t="str">
        <f>IFERROR(__xludf.DUMMYFUNCTION("""COMPUTED_VALUE"""),"0")</f>
        <v>0</v>
      </c>
      <c r="C2144" s="5" t="str">
        <f>IFERROR(__xludf.DUMMYFUNCTION("""COMPUTED_VALUE"""),"https://drive.google.com/file/d/184yT73aoUPsLEOZopr7ZcEN09bEhYL21/view?usp=drivesdk")</f>
        <v>https://drive.google.com/file/d/184yT73aoUPsLEOZopr7ZcEN09bEhYL21/view?usp=drivesdk</v>
      </c>
      <c r="D2144" s="12"/>
      <c r="E2144" s="13">
        <v>2194.0</v>
      </c>
      <c r="F2144" s="2"/>
    </row>
    <row r="2145" ht="1.5" customHeight="1">
      <c r="A2145" s="4" t="str">
        <f>IFERROR(__xludf.DUMMYFUNCTION("""COMPUTED_VALUE"""),"68. Unnamed Noir Child")</f>
        <v>68. Unnamed Noir Child</v>
      </c>
      <c r="B2145" s="4" t="str">
        <f>IFERROR(__xludf.DUMMYFUNCTION("""COMPUTED_VALUE"""),"68")</f>
        <v>68</v>
      </c>
      <c r="C2145" s="5" t="str">
        <f>IFERROR(__xludf.DUMMYFUNCTION("""COMPUTED_VALUE"""),"https://drive.google.com/file/d/14MBCQ1jRFhqmQGLremowYOiv57hFhKaP/view?usp=drivesdk")</f>
        <v>https://drive.google.com/file/d/14MBCQ1jRFhqmQGLremowYOiv57hFhKaP/view?usp=drivesdk</v>
      </c>
      <c r="D2145" s="12"/>
      <c r="E2145" s="13">
        <v>2195.0</v>
      </c>
      <c r="F2145" s="2"/>
    </row>
    <row r="2146" ht="1.5" customHeight="1">
      <c r="A2146" s="4" t="str">
        <f>IFERROR(__xludf.DUMMYFUNCTION("""COMPUTED_VALUE"""),"68. Unnamed Noir Child")</f>
        <v>68. Unnamed Noir Child</v>
      </c>
      <c r="B2146" s="4" t="str">
        <f>IFERROR(__xludf.DUMMYFUNCTION("""COMPUTED_VALUE"""),"68")</f>
        <v>68</v>
      </c>
      <c r="C2146" s="5" t="str">
        <f>IFERROR(__xludf.DUMMYFUNCTION("""COMPUTED_VALUE"""),"https://drive.google.com/file/d/1MF9I_0nP7oVLjKO7zcH9SP2oSUVR1rni/view?usp=drivesdk")</f>
        <v>https://drive.google.com/file/d/1MF9I_0nP7oVLjKO7zcH9SP2oSUVR1rni/view?usp=drivesdk</v>
      </c>
      <c r="D2146" s="12"/>
      <c r="E2146" s="13">
        <v>2196.0</v>
      </c>
      <c r="F2146" s="2"/>
    </row>
    <row r="2147" ht="1.5" customHeight="1">
      <c r="A2147" s="4" t="str">
        <f>IFERROR(__xludf.DUMMYFUNCTION("""COMPUTED_VALUE"""),"1. Microwave")</f>
        <v>1. Microwave</v>
      </c>
      <c r="B2147" s="4" t="str">
        <f>IFERROR(__xludf.DUMMYFUNCTION("""COMPUTED_VALUE"""),"1")</f>
        <v>1</v>
      </c>
      <c r="C2147" s="5" t="str">
        <f>IFERROR(__xludf.DUMMYFUNCTION("""COMPUTED_VALUE"""),"https://drive.google.com/file/d/179hU_fNAgY5TNM0EdtyAq3b-whX_6MtR/view?usp=drivesdk")</f>
        <v>https://drive.google.com/file/d/179hU_fNAgY5TNM0EdtyAq3b-whX_6MtR/view?usp=drivesdk</v>
      </c>
      <c r="D2147" s="12"/>
      <c r="E2147" s="13">
        <v>2197.0</v>
      </c>
      <c r="F2147" s="2"/>
    </row>
    <row r="2148" ht="1.5" customHeight="1">
      <c r="A2148" s="4" t="str">
        <f>IFERROR(__xludf.DUMMYFUNCTION("""COMPUTED_VALUE"""),"1. Microwave")</f>
        <v>1. Microwave</v>
      </c>
      <c r="B2148" s="4" t="str">
        <f>IFERROR(__xludf.DUMMYFUNCTION("""COMPUTED_VALUE"""),"1")</f>
        <v>1</v>
      </c>
      <c r="C2148" s="5" t="str">
        <f>IFERROR(__xludf.DUMMYFUNCTION("""COMPUTED_VALUE"""),"https://drive.google.com/file/d/1xwZqDt7Zi3BkHEKgiZCI5tdHkXfOKVvv/view?usp=drivesdk")</f>
        <v>https://drive.google.com/file/d/1xwZqDt7Zi3BkHEKgiZCI5tdHkXfOKVvv/view?usp=drivesdk</v>
      </c>
      <c r="D2148" s="12"/>
      <c r="E2148" s="13">
        <v>2198.0</v>
      </c>
      <c r="F2148" s="2"/>
    </row>
    <row r="2149" ht="1.5" customHeight="1">
      <c r="A2149" s="4" t="str">
        <f>IFERROR(__xludf.DUMMYFUNCTION("""COMPUTED_VALUE"""),"1. Microwave")</f>
        <v>1. Microwave</v>
      </c>
      <c r="B2149" s="4" t="str">
        <f>IFERROR(__xludf.DUMMYFUNCTION("""COMPUTED_VALUE"""),"1")</f>
        <v>1</v>
      </c>
      <c r="C2149" s="5" t="str">
        <f>IFERROR(__xludf.DUMMYFUNCTION("""COMPUTED_VALUE"""),"https://drive.google.com/file/d/1nffpvW6NRJHZ7aHZXXDntOsHxo63ylya/view?usp=drivesdk")</f>
        <v>https://drive.google.com/file/d/1nffpvW6NRJHZ7aHZXXDntOsHxo63ylya/view?usp=drivesdk</v>
      </c>
      <c r="D2149" s="12"/>
      <c r="E2149" s="13">
        <v>2199.0</v>
      </c>
      <c r="F2149" s="2"/>
    </row>
    <row r="2150" ht="1.5" customHeight="1">
      <c r="A2150" s="4" t="str">
        <f>IFERROR(__xludf.DUMMYFUNCTION("""COMPUTED_VALUE"""),"1. Microwave")</f>
        <v>1. Microwave</v>
      </c>
      <c r="B2150" s="4" t="str">
        <f>IFERROR(__xludf.DUMMYFUNCTION("""COMPUTED_VALUE"""),"1")</f>
        <v>1</v>
      </c>
      <c r="C2150" s="5" t="str">
        <f>IFERROR(__xludf.DUMMYFUNCTION("""COMPUTED_VALUE"""),"https://drive.google.com/file/d/19_pDhVx6b2pMJxfT2DiIOCoTRn8O4a5o/view?usp=drivesdk")</f>
        <v>https://drive.google.com/file/d/19_pDhVx6b2pMJxfT2DiIOCoTRn8O4a5o/view?usp=drivesdk</v>
      </c>
      <c r="D2150" s="12"/>
      <c r="E2150" s="13">
        <v>2200.0</v>
      </c>
      <c r="F2150" s="2"/>
    </row>
    <row r="2151" ht="1.5" customHeight="1">
      <c r="A2151" s="4" t="str">
        <f>IFERROR(__xludf.DUMMYFUNCTION("""COMPUTED_VALUE"""),"1. Microwave")</f>
        <v>1. Microwave</v>
      </c>
      <c r="B2151" s="4" t="str">
        <f>IFERROR(__xludf.DUMMYFUNCTION("""COMPUTED_VALUE"""),"1")</f>
        <v>1</v>
      </c>
      <c r="C2151" s="5" t="str">
        <f>IFERROR(__xludf.DUMMYFUNCTION("""COMPUTED_VALUE"""),"https://drive.google.com/file/d/14A8DTyTZhJ3yvDo_QXWcraRdF17X6c4r/view?usp=drivesdk")</f>
        <v>https://drive.google.com/file/d/14A8DTyTZhJ3yvDo_QXWcraRdF17X6c4r/view?usp=drivesdk</v>
      </c>
      <c r="D2151" s="12"/>
      <c r="E2151" s="13">
        <v>2201.0</v>
      </c>
      <c r="F2151" s="2"/>
    </row>
    <row r="2152" ht="1.5" customHeight="1">
      <c r="A2152" s="4" t="str">
        <f>IFERROR(__xludf.DUMMYFUNCTION("""COMPUTED_VALUE"""),"1. Microwave")</f>
        <v>1. Microwave</v>
      </c>
      <c r="B2152" s="4" t="str">
        <f>IFERROR(__xludf.DUMMYFUNCTION("""COMPUTED_VALUE"""),"1")</f>
        <v>1</v>
      </c>
      <c r="C2152" s="5" t="str">
        <f>IFERROR(__xludf.DUMMYFUNCTION("""COMPUTED_VALUE"""),"https://drive.google.com/file/d/1rHaGnuLJuNmCP5E7uDQ7RNO7GUK_sEX2/view?usp=drivesdk")</f>
        <v>https://drive.google.com/file/d/1rHaGnuLJuNmCP5E7uDQ7RNO7GUK_sEX2/view?usp=drivesdk</v>
      </c>
      <c r="D2152" s="12"/>
      <c r="E2152" s="13">
        <v>2202.0</v>
      </c>
      <c r="F2152" s="2"/>
    </row>
    <row r="2153" ht="1.5" customHeight="1">
      <c r="A2153" s="4" t="str">
        <f>IFERROR(__xludf.DUMMYFUNCTION("""COMPUTED_VALUE"""),"1. Microwave")</f>
        <v>1. Microwave</v>
      </c>
      <c r="B2153" s="4" t="str">
        <f>IFERROR(__xludf.DUMMYFUNCTION("""COMPUTED_VALUE"""),"1")</f>
        <v>1</v>
      </c>
      <c r="C2153" s="5" t="str">
        <f>IFERROR(__xludf.DUMMYFUNCTION("""COMPUTED_VALUE"""),"https://drive.google.com/file/d/1M1FFBd78N89t7YAXlHHsw_6iM6HY_vt4/view?usp=drivesdk")</f>
        <v>https://drive.google.com/file/d/1M1FFBd78N89t7YAXlHHsw_6iM6HY_vt4/view?usp=drivesdk</v>
      </c>
      <c r="D2153" s="12"/>
      <c r="E2153" s="13">
        <v>2203.0</v>
      </c>
      <c r="F2153" s="2"/>
    </row>
    <row r="2154" ht="1.5" customHeight="1">
      <c r="A2154" s="4" t="str">
        <f>IFERROR(__xludf.DUMMYFUNCTION("""COMPUTED_VALUE"""),"1. Microwave")</f>
        <v>1. Microwave</v>
      </c>
      <c r="B2154" s="4" t="str">
        <f>IFERROR(__xludf.DUMMYFUNCTION("""COMPUTED_VALUE"""),"1")</f>
        <v>1</v>
      </c>
      <c r="C2154" s="5" t="str">
        <f>IFERROR(__xludf.DUMMYFUNCTION("""COMPUTED_VALUE"""),"https://drive.google.com/file/d/1NCof7L5sx-ny_VQlIbjqjixYRNKnq4zO/view?usp=drivesdk")</f>
        <v>https://drive.google.com/file/d/1NCof7L5sx-ny_VQlIbjqjixYRNKnq4zO/view?usp=drivesdk</v>
      </c>
      <c r="D2154" s="12"/>
      <c r="E2154" s="13">
        <v>2204.0</v>
      </c>
      <c r="F2154" s="2"/>
    </row>
    <row r="2155" ht="1.5" customHeight="1">
      <c r="A2155" s="4" t="str">
        <f>IFERROR(__xludf.DUMMYFUNCTION("""COMPUTED_VALUE"""),"1. Microwave")</f>
        <v>1. Microwave</v>
      </c>
      <c r="B2155" s="4" t="str">
        <f>IFERROR(__xludf.DUMMYFUNCTION("""COMPUTED_VALUE"""),"1")</f>
        <v>1</v>
      </c>
      <c r="C2155" s="5" t="str">
        <f>IFERROR(__xludf.DUMMYFUNCTION("""COMPUTED_VALUE"""),"https://drive.google.com/file/d/1ewLw1qcHhb0_PAX36tivygUxGcp2De6A/view?usp=drivesdk")</f>
        <v>https://drive.google.com/file/d/1ewLw1qcHhb0_PAX36tivygUxGcp2De6A/view?usp=drivesdk</v>
      </c>
      <c r="D2155" s="12"/>
      <c r="E2155" s="13">
        <v>2205.0</v>
      </c>
      <c r="F2155" s="2"/>
    </row>
    <row r="2156" ht="1.5" customHeight="1">
      <c r="A2156" s="4" t="str">
        <f>IFERROR(__xludf.DUMMYFUNCTION("""COMPUTED_VALUE"""),"1. Microwave")</f>
        <v>1. Microwave</v>
      </c>
      <c r="B2156" s="4" t="str">
        <f>IFERROR(__xludf.DUMMYFUNCTION("""COMPUTED_VALUE"""),"1")</f>
        <v>1</v>
      </c>
      <c r="C2156" s="5" t="str">
        <f>IFERROR(__xludf.DUMMYFUNCTION("""COMPUTED_VALUE"""),"https://drive.google.com/file/d/1yKA9uW34A18CA4qhWbjUh4ThHIYAIaEj/view?usp=drivesdk")</f>
        <v>https://drive.google.com/file/d/1yKA9uW34A18CA4qhWbjUh4ThHIYAIaEj/view?usp=drivesdk</v>
      </c>
      <c r="D2156" s="12"/>
      <c r="E2156" s="13">
        <v>2206.0</v>
      </c>
      <c r="F2156" s="2"/>
    </row>
    <row r="2157" ht="1.5" customHeight="1">
      <c r="A2157" s="4" t="str">
        <f>IFERROR(__xludf.DUMMYFUNCTION("""COMPUTED_VALUE"""),"1. Microwave")</f>
        <v>1. Microwave</v>
      </c>
      <c r="B2157" s="4" t="str">
        <f>IFERROR(__xludf.DUMMYFUNCTION("""COMPUTED_VALUE"""),"1")</f>
        <v>1</v>
      </c>
      <c r="C2157" s="5" t="str">
        <f>IFERROR(__xludf.DUMMYFUNCTION("""COMPUTED_VALUE"""),"https://drive.google.com/file/d/17C9v66Rc_IDhfFcnltglTqEHM1vkcxOq/view?usp=drivesdk")</f>
        <v>https://drive.google.com/file/d/17C9v66Rc_IDhfFcnltglTqEHM1vkcxOq/view?usp=drivesdk</v>
      </c>
      <c r="D2157" s="12"/>
      <c r="E2157" s="13">
        <v>2207.0</v>
      </c>
      <c r="F2157" s="2"/>
    </row>
    <row r="2158" ht="1.5" customHeight="1">
      <c r="A2158" s="4" t="str">
        <f>IFERROR(__xludf.DUMMYFUNCTION("""COMPUTED_VALUE"""),"1. Microwave")</f>
        <v>1. Microwave</v>
      </c>
      <c r="B2158" s="4" t="str">
        <f>IFERROR(__xludf.DUMMYFUNCTION("""COMPUTED_VALUE"""),"1")</f>
        <v>1</v>
      </c>
      <c r="C2158" s="5" t="str">
        <f>IFERROR(__xludf.DUMMYFUNCTION("""COMPUTED_VALUE"""),"https://drive.google.com/file/d/1AqA3dCJSGJJkIwdvotjtdN1BMO881mEQ/view?usp=drivesdk")</f>
        <v>https://drive.google.com/file/d/1AqA3dCJSGJJkIwdvotjtdN1BMO881mEQ/view?usp=drivesdk</v>
      </c>
      <c r="D2158" s="12"/>
      <c r="E2158" s="13">
        <v>2208.0</v>
      </c>
      <c r="F2158" s="2"/>
    </row>
    <row r="2159" ht="1.5" customHeight="1">
      <c r="A2159" s="4" t="str">
        <f>IFERROR(__xludf.DUMMYFUNCTION("""COMPUTED_VALUE"""),"1. Microwave")</f>
        <v>1. Microwave</v>
      </c>
      <c r="B2159" s="4" t="str">
        <f>IFERROR(__xludf.DUMMYFUNCTION("""COMPUTED_VALUE"""),"1")</f>
        <v>1</v>
      </c>
      <c r="C2159" s="5" t="str">
        <f>IFERROR(__xludf.DUMMYFUNCTION("""COMPUTED_VALUE"""),"https://drive.google.com/file/d/1Jf7U-YKD9VW41xY13tq-Ke-xVooZFMH7/view?usp=drivesdk")</f>
        <v>https://drive.google.com/file/d/1Jf7U-YKD9VW41xY13tq-Ke-xVooZFMH7/view?usp=drivesdk</v>
      </c>
      <c r="D2159" s="12"/>
      <c r="E2159" s="13">
        <v>2209.0</v>
      </c>
      <c r="F2159" s="2"/>
    </row>
    <row r="2160" ht="1.5" customHeight="1">
      <c r="A2160" s="4" t="str">
        <f>IFERROR(__xludf.DUMMYFUNCTION("""COMPUTED_VALUE"""),"1. Microwave")</f>
        <v>1. Microwave</v>
      </c>
      <c r="B2160" s="4" t="str">
        <f>IFERROR(__xludf.DUMMYFUNCTION("""COMPUTED_VALUE"""),"1")</f>
        <v>1</v>
      </c>
      <c r="C2160" s="5" t="str">
        <f>IFERROR(__xludf.DUMMYFUNCTION("""COMPUTED_VALUE"""),"https://drive.google.com/file/d/1el8Cd-lj1Dt8cgxCbtMea8Ww_NvJYDnr/view?usp=drivesdk")</f>
        <v>https://drive.google.com/file/d/1el8Cd-lj1Dt8cgxCbtMea8Ww_NvJYDnr/view?usp=drivesdk</v>
      </c>
      <c r="D2160" s="12"/>
      <c r="E2160" s="13">
        <v>2210.0</v>
      </c>
      <c r="F2160" s="2"/>
    </row>
    <row r="2161" ht="1.5" customHeight="1">
      <c r="A2161" s="4" t="str">
        <f>IFERROR(__xludf.DUMMYFUNCTION("""COMPUTED_VALUE"""),"2. Twix")</f>
        <v>2. Twix</v>
      </c>
      <c r="B2161" s="4" t="str">
        <f>IFERROR(__xludf.DUMMYFUNCTION("""COMPUTED_VALUE"""),"2")</f>
        <v>2</v>
      </c>
      <c r="C2161" s="5" t="str">
        <f>IFERROR(__xludf.DUMMYFUNCTION("""COMPUTED_VALUE"""),"https://drive.google.com/file/d/1Jm2aCDUyORrUQaYnOQtoSh7nahfmFJk5/view?usp=drivesdk")</f>
        <v>https://drive.google.com/file/d/1Jm2aCDUyORrUQaYnOQtoSh7nahfmFJk5/view?usp=drivesdk</v>
      </c>
      <c r="D2161" s="12"/>
      <c r="E2161" s="13">
        <v>2211.0</v>
      </c>
      <c r="F2161" s="2"/>
    </row>
    <row r="2162" ht="1.5" customHeight="1">
      <c r="A2162" s="4" t="str">
        <f>IFERROR(__xludf.DUMMYFUNCTION("""COMPUTED_VALUE"""),"1. Microwave")</f>
        <v>1. Microwave</v>
      </c>
      <c r="B2162" s="4" t="str">
        <f>IFERROR(__xludf.DUMMYFUNCTION("""COMPUTED_VALUE"""),"1")</f>
        <v>1</v>
      </c>
      <c r="C2162" s="5" t="str">
        <f>IFERROR(__xludf.DUMMYFUNCTION("""COMPUTED_VALUE"""),"https://drive.google.com/file/d/1EgG-tBASCX_EUmkzqGam6W3JOK8uz3wD/view?usp=drivesdk")</f>
        <v>https://drive.google.com/file/d/1EgG-tBASCX_EUmkzqGam6W3JOK8uz3wD/view?usp=drivesdk</v>
      </c>
      <c r="D2162" s="12"/>
      <c r="E2162" s="13">
        <v>2212.0</v>
      </c>
      <c r="F2162" s="2"/>
    </row>
    <row r="2163" ht="1.5" customHeight="1">
      <c r="A2163" s="4" t="str">
        <f>IFERROR(__xludf.DUMMYFUNCTION("""COMPUTED_VALUE"""),"19. Rolo")</f>
        <v>19. Rolo</v>
      </c>
      <c r="B2163" s="4" t="str">
        <f>IFERROR(__xludf.DUMMYFUNCTION("""COMPUTED_VALUE"""),"19")</f>
        <v>19</v>
      </c>
      <c r="C2163" s="5" t="str">
        <f>IFERROR(__xludf.DUMMYFUNCTION("""COMPUTED_VALUE"""),"https://drive.google.com/file/d/1fVQhbKHee3d7TACI4Z4ZrJMGv_fimB6p/view?usp=drivesdk")</f>
        <v>https://drive.google.com/file/d/1fVQhbKHee3d7TACI4Z4ZrJMGv_fimB6p/view?usp=drivesdk</v>
      </c>
      <c r="D2163" s="12"/>
      <c r="E2163" s="13">
        <v>2213.0</v>
      </c>
      <c r="F2163" s="2"/>
    </row>
    <row r="2164" ht="1.5" customHeight="1">
      <c r="A2164" s="4" t="str">
        <f>IFERROR(__xludf.DUMMYFUNCTION("""COMPUTED_VALUE"""),"19. Rolo")</f>
        <v>19. Rolo</v>
      </c>
      <c r="B2164" s="4" t="str">
        <f>IFERROR(__xludf.DUMMYFUNCTION("""COMPUTED_VALUE"""),"19")</f>
        <v>19</v>
      </c>
      <c r="C2164" s="5" t="str">
        <f>IFERROR(__xludf.DUMMYFUNCTION("""COMPUTED_VALUE"""),"https://drive.google.com/file/d/1C6YQkaa2G-6u8DJatU9Gzg16UMk7C78V/view?usp=drivesdk")</f>
        <v>https://drive.google.com/file/d/1C6YQkaa2G-6u8DJatU9Gzg16UMk7C78V/view?usp=drivesdk</v>
      </c>
      <c r="D2164" s="12"/>
      <c r="E2164" s="13">
        <v>2214.0</v>
      </c>
      <c r="F2164" s="2"/>
    </row>
    <row r="2165" ht="1.5" customHeight="1">
      <c r="A2165" s="4" t="str">
        <f>IFERROR(__xludf.DUMMYFUNCTION("""COMPUTED_VALUE"""),"22. Glockenspiel")</f>
        <v>22. Glockenspiel</v>
      </c>
      <c r="B2165" s="4" t="str">
        <f>IFERROR(__xludf.DUMMYFUNCTION("""COMPUTED_VALUE"""),"22")</f>
        <v>22</v>
      </c>
      <c r="C2165" s="5" t="str">
        <f>IFERROR(__xludf.DUMMYFUNCTION("""COMPUTED_VALUE"""),"https://drive.google.com/file/d/17B1EkX1_kRBL3fBg25W7lYj4VTg-K5pZ/view?usp=drivesdk")</f>
        <v>https://drive.google.com/file/d/17B1EkX1_kRBL3fBg25W7lYj4VTg-K5pZ/view?usp=drivesdk</v>
      </c>
      <c r="D2165" s="12"/>
      <c r="E2165" s="13">
        <v>2215.0</v>
      </c>
      <c r="F2165" s="2"/>
    </row>
    <row r="2166" ht="1.5" customHeight="1">
      <c r="A2166" s="4" t="str">
        <f>IFERROR(__xludf.DUMMYFUNCTION("""COMPUTED_VALUE"""),"20. Citlali")</f>
        <v>20. Citlali</v>
      </c>
      <c r="B2166" s="4" t="str">
        <f>IFERROR(__xludf.DUMMYFUNCTION("""COMPUTED_VALUE"""),"20")</f>
        <v>20</v>
      </c>
      <c r="C2166" s="5" t="str">
        <f>IFERROR(__xludf.DUMMYFUNCTION("""COMPUTED_VALUE"""),"https://drive.google.com/file/d/1BdDeCVKea64i1gT4Lj1PzsIw-DjMcSQa/view?usp=drivesdk")</f>
        <v>https://drive.google.com/file/d/1BdDeCVKea64i1gT4Lj1PzsIw-DjMcSQa/view?usp=drivesdk</v>
      </c>
      <c r="D2166" s="12"/>
      <c r="E2166" s="13">
        <v>2216.0</v>
      </c>
      <c r="F2166" s="2"/>
    </row>
    <row r="2167" ht="1.5" customHeight="1">
      <c r="A2167" s="4" t="str">
        <f>IFERROR(__xludf.DUMMYFUNCTION("""COMPUTED_VALUE"""),"19. Rolo")</f>
        <v>19. Rolo</v>
      </c>
      <c r="B2167" s="4" t="str">
        <f>IFERROR(__xludf.DUMMYFUNCTION("""COMPUTED_VALUE"""),"19")</f>
        <v>19</v>
      </c>
      <c r="C2167" s="5" t="str">
        <f>IFERROR(__xludf.DUMMYFUNCTION("""COMPUTED_VALUE"""),"https://drive.google.com/file/d/1Dn05mYJNNJ5_UMnvpBLQBMmtDPAPjgQ8/view?usp=drivesdk")</f>
        <v>https://drive.google.com/file/d/1Dn05mYJNNJ5_UMnvpBLQBMmtDPAPjgQ8/view?usp=drivesdk</v>
      </c>
      <c r="D2167" s="12"/>
      <c r="E2167" s="13">
        <v>2217.0</v>
      </c>
      <c r="F2167" s="2"/>
    </row>
    <row r="2168" ht="1.5" customHeight="1">
      <c r="A2168" s="4" t="str">
        <f>IFERROR(__xludf.DUMMYFUNCTION("""COMPUTED_VALUE"""),"2. Twix")</f>
        <v>2. Twix</v>
      </c>
      <c r="B2168" s="4" t="str">
        <f>IFERROR(__xludf.DUMMYFUNCTION("""COMPUTED_VALUE"""),"2")</f>
        <v>2</v>
      </c>
      <c r="C2168" s="5" t="str">
        <f>IFERROR(__xludf.DUMMYFUNCTION("""COMPUTED_VALUE"""),"https://drive.google.com/file/d/1WHUD02XtWRA3s_VaBGa1Yj_XBZHiKDIb/view?usp=drivesdk")</f>
        <v>https://drive.google.com/file/d/1WHUD02XtWRA3s_VaBGa1Yj_XBZHiKDIb/view?usp=drivesdk</v>
      </c>
      <c r="D2168" s="12"/>
      <c r="E2168" s="13">
        <v>2218.0</v>
      </c>
      <c r="F2168" s="2"/>
    </row>
    <row r="2169" ht="1.5" customHeight="1">
      <c r="A2169" s="4" t="str">
        <f>IFERROR(__xludf.DUMMYFUNCTION("""COMPUTED_VALUE"""),"5. Eraser")</f>
        <v>5. Eraser</v>
      </c>
      <c r="B2169" s="4" t="str">
        <f>IFERROR(__xludf.DUMMYFUNCTION("""COMPUTED_VALUE"""),"5")</f>
        <v>5</v>
      </c>
      <c r="C2169" s="5" t="str">
        <f>IFERROR(__xludf.DUMMYFUNCTION("""COMPUTED_VALUE"""),"https://drive.google.com/file/d/1Ejw0xM-h7jKbtr5QlPiYEEgdY8KDgQe6/view?usp=drivesdk")</f>
        <v>https://drive.google.com/file/d/1Ejw0xM-h7jKbtr5QlPiYEEgdY8KDgQe6/view?usp=drivesdk</v>
      </c>
      <c r="D2169" s="12"/>
      <c r="E2169" s="13">
        <v>2219.0</v>
      </c>
      <c r="F2169" s="2"/>
    </row>
    <row r="2170" ht="1.5" customHeight="1">
      <c r="A2170" s="4" t="str">
        <f>IFERROR(__xludf.DUMMYFUNCTION("""COMPUTED_VALUE"""),"5. Eraser")</f>
        <v>5. Eraser</v>
      </c>
      <c r="B2170" s="4" t="str">
        <f>IFERROR(__xludf.DUMMYFUNCTION("""COMPUTED_VALUE"""),"5")</f>
        <v>5</v>
      </c>
      <c r="C2170" s="5" t="str">
        <f>IFERROR(__xludf.DUMMYFUNCTION("""COMPUTED_VALUE"""),"https://drive.google.com/file/d/10U5RJSWWAzln2roJXK-vp4CmfHtN0C8B/view?usp=drivesdk")</f>
        <v>https://drive.google.com/file/d/10U5RJSWWAzln2roJXK-vp4CmfHtN0C8B/view?usp=drivesdk</v>
      </c>
      <c r="D2170" s="12"/>
      <c r="E2170" s="13">
        <v>2220.0</v>
      </c>
      <c r="F2170" s="2"/>
    </row>
    <row r="2171" ht="1.5" customHeight="1">
      <c r="A2171" s="4" t="str">
        <f>IFERROR(__xludf.DUMMYFUNCTION("""COMPUTED_VALUE"""),"4. Eggs")</f>
        <v>4. Eggs</v>
      </c>
      <c r="B2171" s="4" t="str">
        <f>IFERROR(__xludf.DUMMYFUNCTION("""COMPUTED_VALUE"""),"4")</f>
        <v>4</v>
      </c>
      <c r="C2171" s="5" t="str">
        <f>IFERROR(__xludf.DUMMYFUNCTION("""COMPUTED_VALUE"""),"https://drive.google.com/file/d/1Kag1gwUMImmkWGTHPY6CKIgxglhlSPbc/view?usp=drivesdk")</f>
        <v>https://drive.google.com/file/d/1Kag1gwUMImmkWGTHPY6CKIgxglhlSPbc/view?usp=drivesdk</v>
      </c>
      <c r="D2171" s="12"/>
      <c r="E2171" s="13">
        <v>2221.0</v>
      </c>
      <c r="F2171" s="2"/>
    </row>
    <row r="2172" ht="1.5" customHeight="1">
      <c r="A2172" s="4" t="str">
        <f>IFERROR(__xludf.DUMMYFUNCTION("""COMPUTED_VALUE"""),"4. Eggs")</f>
        <v>4. Eggs</v>
      </c>
      <c r="B2172" s="4" t="str">
        <f>IFERROR(__xludf.DUMMYFUNCTION("""COMPUTED_VALUE"""),"4")</f>
        <v>4</v>
      </c>
      <c r="C2172" s="5" t="str">
        <f>IFERROR(__xludf.DUMMYFUNCTION("""COMPUTED_VALUE"""),"https://drive.google.com/file/d/1px2e1GtGqPYdYtOGeDUEgu3AVgGDHL3G/view?usp=drivesdk")</f>
        <v>https://drive.google.com/file/d/1px2e1GtGqPYdYtOGeDUEgu3AVgGDHL3G/view?usp=drivesdk</v>
      </c>
      <c r="D2172" s="12"/>
      <c r="E2172" s="13">
        <v>2222.0</v>
      </c>
      <c r="F2172" s="2"/>
    </row>
    <row r="2173" ht="1.5" customHeight="1">
      <c r="A2173" s="4" t="str">
        <f>IFERROR(__xludf.DUMMYFUNCTION("""COMPUTED_VALUE"""),"4. Eggs, 5. Eraser")</f>
        <v>4. Eggs, 5. Eraser</v>
      </c>
      <c r="B2173" s="4" t="str">
        <f>IFERROR(__xludf.DUMMYFUNCTION("""COMPUTED_VALUE"""),"4, 5")</f>
        <v>4, 5</v>
      </c>
      <c r="C2173" s="5" t="str">
        <f>IFERROR(__xludf.DUMMYFUNCTION("""COMPUTED_VALUE"""),"https://drive.google.com/file/d/1T_xOhAHIHmBgAmTL_KSBXXfngGah5v0_/view?usp=drivesdk")</f>
        <v>https://drive.google.com/file/d/1T_xOhAHIHmBgAmTL_KSBXXfngGah5v0_/view?usp=drivesdk</v>
      </c>
      <c r="D2173" s="12"/>
      <c r="E2173" s="13">
        <v>2223.0</v>
      </c>
      <c r="F2173" s="2"/>
    </row>
    <row r="2174" ht="1.5" customHeight="1">
      <c r="A2174" s="4" t="str">
        <f>IFERROR(__xludf.DUMMYFUNCTION("""COMPUTED_VALUE"""),"0. NotACat")</f>
        <v>0. NotACat</v>
      </c>
      <c r="B2174" s="4" t="str">
        <f>IFERROR(__xludf.DUMMYFUNCTION("""COMPUTED_VALUE"""),"0")</f>
        <v>0</v>
      </c>
      <c r="C2174" s="5" t="str">
        <f>IFERROR(__xludf.DUMMYFUNCTION("""COMPUTED_VALUE"""),"https://drive.google.com/file/d/1q01-TFh3vXjFSdTzCIhQc3XqShezkT57/view?usp=drivesdk")</f>
        <v>https://drive.google.com/file/d/1q01-TFh3vXjFSdTzCIhQc3XqShezkT57/view?usp=drivesdk</v>
      </c>
      <c r="D2174" s="12"/>
      <c r="E2174" s="13">
        <v>2224.0</v>
      </c>
      <c r="F2174" s="2"/>
    </row>
    <row r="2175" ht="1.5" customHeight="1">
      <c r="A2175" s="4" t="str">
        <f>IFERROR(__xludf.DUMMYFUNCTION("""COMPUTED_VALUE"""),"1. Microwave")</f>
        <v>1. Microwave</v>
      </c>
      <c r="B2175" s="4" t="str">
        <f>IFERROR(__xludf.DUMMYFUNCTION("""COMPUTED_VALUE"""),"1")</f>
        <v>1</v>
      </c>
      <c r="C2175" s="5" t="str">
        <f>IFERROR(__xludf.DUMMYFUNCTION("""COMPUTED_VALUE"""),"https://drive.google.com/file/d/15h_k5UgRFjyLT0gRXIpAeZTpYkZe_Ov_/view?usp=drivesdk")</f>
        <v>https://drive.google.com/file/d/15h_k5UgRFjyLT0gRXIpAeZTpYkZe_Ov_/view?usp=drivesdk</v>
      </c>
      <c r="D2175" s="12"/>
      <c r="E2175" s="13">
        <v>2225.0</v>
      </c>
      <c r="F2175" s="2"/>
    </row>
    <row r="2176" ht="1.5" customHeight="1">
      <c r="A2176" s="4" t="str">
        <f>IFERROR(__xludf.DUMMYFUNCTION("""COMPUTED_VALUE"""),"6. Snickers")</f>
        <v>6. Snickers</v>
      </c>
      <c r="B2176" s="4" t="str">
        <f>IFERROR(__xludf.DUMMYFUNCTION("""COMPUTED_VALUE"""),"6")</f>
        <v>6</v>
      </c>
      <c r="C2176" s="5" t="str">
        <f>IFERROR(__xludf.DUMMYFUNCTION("""COMPUTED_VALUE"""),"https://drive.google.com/file/d/1kyyTIcl91K6J_2MkY2c_B3_HeAaaVQ_Z/view?usp=drivesdk")</f>
        <v>https://drive.google.com/file/d/1kyyTIcl91K6J_2MkY2c_B3_HeAaaVQ_Z/view?usp=drivesdk</v>
      </c>
      <c r="D2176" s="12"/>
      <c r="E2176" s="13">
        <v>2226.0</v>
      </c>
      <c r="F2176" s="2"/>
    </row>
    <row r="2177" ht="1.5" customHeight="1">
      <c r="A2177" s="4" t="str">
        <f>IFERROR(__xludf.DUMMYFUNCTION("""COMPUTED_VALUE"""),"1. Microwave")</f>
        <v>1. Microwave</v>
      </c>
      <c r="B2177" s="4" t="str">
        <f>IFERROR(__xludf.DUMMYFUNCTION("""COMPUTED_VALUE"""),"1")</f>
        <v>1</v>
      </c>
      <c r="C2177" s="5" t="str">
        <f>IFERROR(__xludf.DUMMYFUNCTION("""COMPUTED_VALUE"""),"https://drive.google.com/file/d/1pRS6aqxTE2zPfRXP1V3Q00SxD57RqaUm/view?usp=drivesdk")</f>
        <v>https://drive.google.com/file/d/1pRS6aqxTE2zPfRXP1V3Q00SxD57RqaUm/view?usp=drivesdk</v>
      </c>
      <c r="D2177" s="12"/>
      <c r="E2177" s="13">
        <v>2227.0</v>
      </c>
      <c r="F2177" s="2"/>
    </row>
    <row r="2178" ht="1.5" customHeight="1">
      <c r="A2178" s="4" t="str">
        <f>IFERROR(__xludf.DUMMYFUNCTION("""COMPUTED_VALUE"""),"1. Microwave")</f>
        <v>1. Microwave</v>
      </c>
      <c r="B2178" s="4" t="str">
        <f>IFERROR(__xludf.DUMMYFUNCTION("""COMPUTED_VALUE"""),"1")</f>
        <v>1</v>
      </c>
      <c r="C2178" s="5" t="str">
        <f>IFERROR(__xludf.DUMMYFUNCTION("""COMPUTED_VALUE"""),"https://drive.google.com/file/d/1E5_Vp7unOR5Tla_PW9a459bC3pnCOgaS/view?usp=drivesdk")</f>
        <v>https://drive.google.com/file/d/1E5_Vp7unOR5Tla_PW9a459bC3pnCOgaS/view?usp=drivesdk</v>
      </c>
      <c r="D2178" s="12"/>
      <c r="E2178" s="13">
        <v>2228.0</v>
      </c>
      <c r="F2178" s="2"/>
    </row>
    <row r="2179" ht="1.5" customHeight="1">
      <c r="A2179" s="4" t="str">
        <f>IFERROR(__xludf.DUMMYFUNCTION("""COMPUTED_VALUE"""),"1. Microwave")</f>
        <v>1. Microwave</v>
      </c>
      <c r="B2179" s="4" t="str">
        <f>IFERROR(__xludf.DUMMYFUNCTION("""COMPUTED_VALUE"""),"1")</f>
        <v>1</v>
      </c>
      <c r="C2179" s="5" t="str">
        <f>IFERROR(__xludf.DUMMYFUNCTION("""COMPUTED_VALUE"""),"https://drive.google.com/file/d/12H0IiMkmXuCih_nGL9ghDLTrRqdh6Wrq/view?usp=drivesdk")</f>
        <v>https://drive.google.com/file/d/12H0IiMkmXuCih_nGL9ghDLTrRqdh6Wrq/view?usp=drivesdk</v>
      </c>
      <c r="D2179" s="12"/>
      <c r="E2179" s="13">
        <v>2229.0</v>
      </c>
      <c r="F2179" s="2"/>
    </row>
    <row r="2180" ht="1.5" customHeight="1">
      <c r="A2180" s="4" t="str">
        <f>IFERROR(__xludf.DUMMYFUNCTION("""COMPUTED_VALUE"""),"1. Microwave")</f>
        <v>1. Microwave</v>
      </c>
      <c r="B2180" s="4" t="str">
        <f>IFERROR(__xludf.DUMMYFUNCTION("""COMPUTED_VALUE"""),"1")</f>
        <v>1</v>
      </c>
      <c r="C2180" s="5" t="str">
        <f>IFERROR(__xludf.DUMMYFUNCTION("""COMPUTED_VALUE"""),"https://drive.google.com/file/d/1B7av2zXJtSKO1o0kUK3quIsa7URTjAgN/view?usp=drivesdk")</f>
        <v>https://drive.google.com/file/d/1B7av2zXJtSKO1o0kUK3quIsa7URTjAgN/view?usp=drivesdk</v>
      </c>
      <c r="D2180" s="12"/>
      <c r="E2180" s="13">
        <v>2230.0</v>
      </c>
      <c r="F2180" s="2"/>
    </row>
    <row r="2181" ht="1.5" customHeight="1">
      <c r="A2181" s="4" t="str">
        <f>IFERROR(__xludf.DUMMYFUNCTION("""COMPUTED_VALUE"""),"1. Microwave")</f>
        <v>1. Microwave</v>
      </c>
      <c r="B2181" s="4" t="str">
        <f>IFERROR(__xludf.DUMMYFUNCTION("""COMPUTED_VALUE"""),"1")</f>
        <v>1</v>
      </c>
      <c r="C2181" s="5" t="str">
        <f>IFERROR(__xludf.DUMMYFUNCTION("""COMPUTED_VALUE"""),"https://drive.google.com/file/d/1Rt4OuMWh0-lzcb2Eo_U6IfK4UcqmKTnQ/view?usp=drivesdk")</f>
        <v>https://drive.google.com/file/d/1Rt4OuMWh0-lzcb2Eo_U6IfK4UcqmKTnQ/view?usp=drivesdk</v>
      </c>
      <c r="D2181" s="12"/>
      <c r="E2181" s="13">
        <v>2231.0</v>
      </c>
      <c r="F2181" s="2"/>
    </row>
    <row r="2182" ht="1.5" customHeight="1">
      <c r="A2182" s="4" t="str">
        <f>IFERROR(__xludf.DUMMYFUNCTION("""COMPUTED_VALUE"""),"1. Microwave")</f>
        <v>1. Microwave</v>
      </c>
      <c r="B2182" s="4" t="str">
        <f>IFERROR(__xludf.DUMMYFUNCTION("""COMPUTED_VALUE"""),"1")</f>
        <v>1</v>
      </c>
      <c r="C2182" s="5" t="str">
        <f>IFERROR(__xludf.DUMMYFUNCTION("""COMPUTED_VALUE"""),"https://drive.google.com/file/d/1AWIjywQtxfZggjpkwkoNvPNImXm6EbKy/view?usp=drivesdk")</f>
        <v>https://drive.google.com/file/d/1AWIjywQtxfZggjpkwkoNvPNImXm6EbKy/view?usp=drivesdk</v>
      </c>
      <c r="D2182" s="12"/>
      <c r="E2182" s="13">
        <v>2232.0</v>
      </c>
      <c r="F2182" s="2"/>
    </row>
    <row r="2183" ht="1.5" customHeight="1">
      <c r="A2183" s="4" t="str">
        <f>IFERROR(__xludf.DUMMYFUNCTION("""COMPUTED_VALUE"""),"1. Microwave")</f>
        <v>1. Microwave</v>
      </c>
      <c r="B2183" s="4" t="str">
        <f>IFERROR(__xludf.DUMMYFUNCTION("""COMPUTED_VALUE"""),"1")</f>
        <v>1</v>
      </c>
      <c r="C2183" s="5" t="str">
        <f>IFERROR(__xludf.DUMMYFUNCTION("""COMPUTED_VALUE"""),"https://drive.google.com/file/d/1Ydw5IrKl6spCXPDFZ0Ox5roNHg9cptkI/view?usp=drivesdk")</f>
        <v>https://drive.google.com/file/d/1Ydw5IrKl6spCXPDFZ0Ox5roNHg9cptkI/view?usp=drivesdk</v>
      </c>
      <c r="D2183" s="12"/>
      <c r="E2183" s="13">
        <v>2233.0</v>
      </c>
      <c r="F2183" s="2"/>
    </row>
    <row r="2184" ht="1.5" customHeight="1">
      <c r="A2184" s="4" t="str">
        <f>IFERROR(__xludf.DUMMYFUNCTION("""COMPUTED_VALUE"""),"1. Microwave")</f>
        <v>1. Microwave</v>
      </c>
      <c r="B2184" s="4" t="str">
        <f>IFERROR(__xludf.DUMMYFUNCTION("""COMPUTED_VALUE"""),"1")</f>
        <v>1</v>
      </c>
      <c r="C2184" s="5" t="str">
        <f>IFERROR(__xludf.DUMMYFUNCTION("""COMPUTED_VALUE"""),"https://drive.google.com/file/d/1uW8mPMyFTOe9Y0EEpR36C_Gr3NDafV3Y/view?usp=drivesdk")</f>
        <v>https://drive.google.com/file/d/1uW8mPMyFTOe9Y0EEpR36C_Gr3NDafV3Y/view?usp=drivesdk</v>
      </c>
      <c r="D2184" s="12"/>
      <c r="E2184" s="13">
        <v>2234.0</v>
      </c>
      <c r="F2184" s="2"/>
    </row>
    <row r="2185" ht="1.5" customHeight="1">
      <c r="A2185" s="4" t="str">
        <f>IFERROR(__xludf.DUMMYFUNCTION("""COMPUTED_VALUE"""),"1. Microwave")</f>
        <v>1. Microwave</v>
      </c>
      <c r="B2185" s="4" t="str">
        <f>IFERROR(__xludf.DUMMYFUNCTION("""COMPUTED_VALUE"""),"1")</f>
        <v>1</v>
      </c>
      <c r="C2185" s="5" t="str">
        <f>IFERROR(__xludf.DUMMYFUNCTION("""COMPUTED_VALUE"""),"https://drive.google.com/file/d/1c90eJTZrgNoXNloXlI0wfkXhhD8buN3J/view?usp=drivesdk")</f>
        <v>https://drive.google.com/file/d/1c90eJTZrgNoXNloXlI0wfkXhhD8buN3J/view?usp=drivesdk</v>
      </c>
      <c r="D2185" s="12"/>
      <c r="E2185" s="13">
        <v>2235.0</v>
      </c>
      <c r="F2185" s="2"/>
    </row>
    <row r="2186" ht="1.5" customHeight="1">
      <c r="A2186" s="4" t="str">
        <f>IFERROR(__xludf.DUMMYFUNCTION("""COMPUTED_VALUE"""),"5. Eraser")</f>
        <v>5. Eraser</v>
      </c>
      <c r="B2186" s="4" t="str">
        <f>IFERROR(__xludf.DUMMYFUNCTION("""COMPUTED_VALUE"""),"5")</f>
        <v>5</v>
      </c>
      <c r="C2186" s="5" t="str">
        <f>IFERROR(__xludf.DUMMYFUNCTION("""COMPUTED_VALUE"""),"https://drive.google.com/file/d/1BZG4-bHO8Dax8-OkJcYWSwsfiNiwjFE4/view?usp=drivesdk")</f>
        <v>https://drive.google.com/file/d/1BZG4-bHO8Dax8-OkJcYWSwsfiNiwjFE4/view?usp=drivesdk</v>
      </c>
      <c r="D2186" s="12"/>
      <c r="E2186" s="13">
        <v>2236.0</v>
      </c>
      <c r="F2186" s="2"/>
    </row>
    <row r="2187" ht="1.5" customHeight="1">
      <c r="A2187" s="4" t="str">
        <f>IFERROR(__xludf.DUMMYFUNCTION("""COMPUTED_VALUE"""),"2. Twix")</f>
        <v>2. Twix</v>
      </c>
      <c r="B2187" s="4" t="str">
        <f>IFERROR(__xludf.DUMMYFUNCTION("""COMPUTED_VALUE"""),"2")</f>
        <v>2</v>
      </c>
      <c r="C2187" s="5" t="str">
        <f>IFERROR(__xludf.DUMMYFUNCTION("""COMPUTED_VALUE"""),"https://drive.google.com/file/d/10Zejml-e2Rn1-Iwr4nLHdZxcW3Sw-mjt/view?usp=drivesdk")</f>
        <v>https://drive.google.com/file/d/10Zejml-e2Rn1-Iwr4nLHdZxcW3Sw-mjt/view?usp=drivesdk</v>
      </c>
      <c r="D2187" s="12"/>
      <c r="E2187" s="13">
        <v>2237.0</v>
      </c>
      <c r="F2187" s="2"/>
    </row>
    <row r="2188" ht="1.5" customHeight="1">
      <c r="A2188" s="4" t="str">
        <f>IFERROR(__xludf.DUMMYFUNCTION("""COMPUTED_VALUE"""),"5. Eraser")</f>
        <v>5. Eraser</v>
      </c>
      <c r="B2188" s="4" t="str">
        <f>IFERROR(__xludf.DUMMYFUNCTION("""COMPUTED_VALUE"""),"5")</f>
        <v>5</v>
      </c>
      <c r="C2188" s="5" t="str">
        <f>IFERROR(__xludf.DUMMYFUNCTION("""COMPUTED_VALUE"""),"https://drive.google.com/file/d/10mueqCgDZa8bEEQ1gnMdLKK7vzQjZMj9/view?usp=drivesdk")</f>
        <v>https://drive.google.com/file/d/10mueqCgDZa8bEEQ1gnMdLKK7vzQjZMj9/view?usp=drivesdk</v>
      </c>
      <c r="D2188" s="12"/>
      <c r="E2188" s="13">
        <v>2238.0</v>
      </c>
      <c r="F2188" s="2"/>
    </row>
    <row r="2189" ht="1.5" customHeight="1">
      <c r="A2189" s="4" t="str">
        <f>IFERROR(__xludf.DUMMYFUNCTION("""COMPUTED_VALUE"""),"1. Microwave")</f>
        <v>1. Microwave</v>
      </c>
      <c r="B2189" s="4" t="str">
        <f>IFERROR(__xludf.DUMMYFUNCTION("""COMPUTED_VALUE"""),"1")</f>
        <v>1</v>
      </c>
      <c r="C2189" s="5" t="str">
        <f>IFERROR(__xludf.DUMMYFUNCTION("""COMPUTED_VALUE"""),"https://drive.google.com/file/d/12Rp-aSw_ANoJXlLsx6qX19K0pYPhA_2N/view?usp=drivesdk")</f>
        <v>https://drive.google.com/file/d/12Rp-aSw_ANoJXlLsx6qX19K0pYPhA_2N/view?usp=drivesdk</v>
      </c>
      <c r="D2189" s="12"/>
      <c r="E2189" s="13">
        <v>2239.0</v>
      </c>
      <c r="F2189" s="2"/>
    </row>
    <row r="2190" ht="1.5" customHeight="1">
      <c r="A2190" s="4" t="str">
        <f>IFERROR(__xludf.DUMMYFUNCTION("""COMPUTED_VALUE"""),"1. Microwave")</f>
        <v>1. Microwave</v>
      </c>
      <c r="B2190" s="4" t="str">
        <f>IFERROR(__xludf.DUMMYFUNCTION("""COMPUTED_VALUE"""),"1")</f>
        <v>1</v>
      </c>
      <c r="C2190" s="5" t="str">
        <f>IFERROR(__xludf.DUMMYFUNCTION("""COMPUTED_VALUE"""),"https://drive.google.com/file/d/14LlULaGlggmNNuljDDlRc5Ex0IaPO95t/view?usp=drivesdk")</f>
        <v>https://drive.google.com/file/d/14LlULaGlggmNNuljDDlRc5Ex0IaPO95t/view?usp=drivesdk</v>
      </c>
      <c r="D2190" s="12"/>
      <c r="E2190" s="13">
        <v>2240.0</v>
      </c>
      <c r="F2190" s="2"/>
    </row>
    <row r="2191" ht="1.5" customHeight="1">
      <c r="A2191" s="4" t="str">
        <f>IFERROR(__xludf.DUMMYFUNCTION("""COMPUTED_VALUE"""),"1. Microwave")</f>
        <v>1. Microwave</v>
      </c>
      <c r="B2191" s="4" t="str">
        <f>IFERROR(__xludf.DUMMYFUNCTION("""COMPUTED_VALUE"""),"1")</f>
        <v>1</v>
      </c>
      <c r="C2191" s="5" t="str">
        <f>IFERROR(__xludf.DUMMYFUNCTION("""COMPUTED_VALUE"""),"https://drive.google.com/file/d/1GxJEZnVhCv1PNn-CltI8dPK2XsB4k3SQ/view?usp=drivesdk")</f>
        <v>https://drive.google.com/file/d/1GxJEZnVhCv1PNn-CltI8dPK2XsB4k3SQ/view?usp=drivesdk</v>
      </c>
      <c r="D2191" s="12"/>
      <c r="E2191" s="13">
        <v>2241.0</v>
      </c>
      <c r="F2191" s="2"/>
    </row>
    <row r="2192" ht="1.5" customHeight="1">
      <c r="A2192" s="4" t="str">
        <f>IFERROR(__xludf.DUMMYFUNCTION("""COMPUTED_VALUE"""),"21. Paquini")</f>
        <v>21. Paquini</v>
      </c>
      <c r="B2192" s="4" t="str">
        <f>IFERROR(__xludf.DUMMYFUNCTION("""COMPUTED_VALUE"""),"21")</f>
        <v>21</v>
      </c>
      <c r="C2192" s="5" t="str">
        <f>IFERROR(__xludf.DUMMYFUNCTION("""COMPUTED_VALUE"""),"https://drive.google.com/file/d/1R1ivKinyCoO6P0yXZy8L7V6TASiVtgmH/view?usp=drivesdk")</f>
        <v>https://drive.google.com/file/d/1R1ivKinyCoO6P0yXZy8L7V6TASiVtgmH/view?usp=drivesdk</v>
      </c>
      <c r="D2192" s="12"/>
      <c r="E2192" s="13">
        <v>2242.0</v>
      </c>
      <c r="F2192" s="2"/>
    </row>
    <row r="2193" ht="1.5" customHeight="1">
      <c r="A2193" s="4" t="str">
        <f>IFERROR(__xludf.DUMMYFUNCTION("""COMPUTED_VALUE"""),"29. Ginger")</f>
        <v>29. Ginger</v>
      </c>
      <c r="B2193" s="4" t="str">
        <f>IFERROR(__xludf.DUMMYFUNCTION("""COMPUTED_VALUE"""),"29")</f>
        <v>29</v>
      </c>
      <c r="C2193" s="5" t="str">
        <f>IFERROR(__xludf.DUMMYFUNCTION("""COMPUTED_VALUE"""),"https://drive.google.com/file/d/18c_MqQOSTRz6hMsSo2L34uDCo2Y_bHsy/view?usp=drivesdk")</f>
        <v>https://drive.google.com/file/d/18c_MqQOSTRz6hMsSo2L34uDCo2Y_bHsy/view?usp=drivesdk</v>
      </c>
      <c r="D2193" s="12"/>
      <c r="E2193" s="13">
        <v>2243.0</v>
      </c>
      <c r="F2193" s="2"/>
    </row>
    <row r="2194" ht="1.5" customHeight="1">
      <c r="A2194" s="4" t="str">
        <f>IFERROR(__xludf.DUMMYFUNCTION("""COMPUTED_VALUE"""),"33. Zee")</f>
        <v>33. Zee</v>
      </c>
      <c r="B2194" s="4" t="str">
        <f>IFERROR(__xludf.DUMMYFUNCTION("""COMPUTED_VALUE"""),"33")</f>
        <v>33</v>
      </c>
      <c r="C2194" s="5" t="str">
        <f>IFERROR(__xludf.DUMMYFUNCTION("""COMPUTED_VALUE"""),"https://drive.google.com/file/d/1DocB8_uNng58hjamvawSP8ODUnhm6GR8/view?usp=drivesdk")</f>
        <v>https://drive.google.com/file/d/1DocB8_uNng58hjamvawSP8ODUnhm6GR8/view?usp=drivesdk</v>
      </c>
      <c r="D2194" s="12"/>
      <c r="E2194" s="13">
        <v>2244.0</v>
      </c>
      <c r="F2194" s="2"/>
    </row>
    <row r="2195" ht="1.5" customHeight="1">
      <c r="A2195" s="4" t="str">
        <f>IFERROR(__xludf.DUMMYFUNCTION("""COMPUTED_VALUE"""),"30. Pepper")</f>
        <v>30. Pepper</v>
      </c>
      <c r="B2195" s="4" t="str">
        <f>IFERROR(__xludf.DUMMYFUNCTION("""COMPUTED_VALUE"""),"30")</f>
        <v>30</v>
      </c>
      <c r="C2195" s="5" t="str">
        <f>IFERROR(__xludf.DUMMYFUNCTION("""COMPUTED_VALUE"""),"https://drive.google.com/file/d/19WukcbbNZnOiZbVkmsa7dzcuIlq4mugZ/view?usp=drivesdk")</f>
        <v>https://drive.google.com/file/d/19WukcbbNZnOiZbVkmsa7dzcuIlq4mugZ/view?usp=drivesdk</v>
      </c>
      <c r="D2195" s="12"/>
      <c r="E2195" s="13">
        <v>2245.0</v>
      </c>
      <c r="F2195" s="2"/>
    </row>
    <row r="2196" ht="1.5" customHeight="1">
      <c r="A2196" s="4" t="str">
        <f>IFERROR(__xludf.DUMMYFUNCTION("""COMPUTED_VALUE"""),"17. Bobbie")</f>
        <v>17. Bobbie</v>
      </c>
      <c r="B2196" s="4" t="str">
        <f>IFERROR(__xludf.DUMMYFUNCTION("""COMPUTED_VALUE"""),"17")</f>
        <v>17</v>
      </c>
      <c r="C2196" s="5" t="str">
        <f>IFERROR(__xludf.DUMMYFUNCTION("""COMPUTED_VALUE"""),"https://drive.google.com/file/d/1AmUwyzuQEj7dCjHDdZ-I8EQK_wUyRjFI/view?usp=drivesdk")</f>
        <v>https://drive.google.com/file/d/1AmUwyzuQEj7dCjHDdZ-I8EQK_wUyRjFI/view?usp=drivesdk</v>
      </c>
      <c r="D2196" s="12"/>
      <c r="E2196" s="13">
        <v>2246.0</v>
      </c>
      <c r="F2196" s="2"/>
    </row>
    <row r="2197" ht="1.5" customHeight="1">
      <c r="A2197" s="4" t="str">
        <f>IFERROR(__xludf.DUMMYFUNCTION("""COMPUTED_VALUE"""),"0. NotACat")</f>
        <v>0. NotACat</v>
      </c>
      <c r="B2197" s="4" t="str">
        <f>IFERROR(__xludf.DUMMYFUNCTION("""COMPUTED_VALUE"""),"0")</f>
        <v>0</v>
      </c>
      <c r="C2197" s="5" t="str">
        <f>IFERROR(__xludf.DUMMYFUNCTION("""COMPUTED_VALUE"""),"https://drive.google.com/file/d/1fAzNm0rQYNFQQg1zUE9kLvzniEQn5_iK/view?usp=drivesdk")</f>
        <v>https://drive.google.com/file/d/1fAzNm0rQYNFQQg1zUE9kLvzniEQn5_iK/view?usp=drivesdk</v>
      </c>
      <c r="D2197" s="12"/>
      <c r="E2197" s="13">
        <v>2247.0</v>
      </c>
      <c r="F2197" s="2"/>
    </row>
    <row r="2198" ht="1.5" customHeight="1">
      <c r="A2198" s="4" t="str">
        <f>IFERROR(__xludf.DUMMYFUNCTION("""COMPUTED_VALUE"""),"1. Microwave")</f>
        <v>1. Microwave</v>
      </c>
      <c r="B2198" s="4" t="str">
        <f>IFERROR(__xludf.DUMMYFUNCTION("""COMPUTED_VALUE"""),"1")</f>
        <v>1</v>
      </c>
      <c r="C2198" s="5" t="str">
        <f>IFERROR(__xludf.DUMMYFUNCTION("""COMPUTED_VALUE"""),"https://drive.google.com/file/d/1hq8y_iRF9qv_iCZjTGQ7Tyie__Ga4BPC/view?usp=drivesdk")</f>
        <v>https://drive.google.com/file/d/1hq8y_iRF9qv_iCZjTGQ7Tyie__Ga4BPC/view?usp=drivesdk</v>
      </c>
      <c r="D2198" s="12"/>
      <c r="E2198" s="13">
        <v>2248.0</v>
      </c>
      <c r="F2198" s="2"/>
    </row>
    <row r="2199" ht="1.5" customHeight="1">
      <c r="A2199" s="4" t="str">
        <f>IFERROR(__xludf.DUMMYFUNCTION("""COMPUTED_VALUE"""),"1. Microwave")</f>
        <v>1. Microwave</v>
      </c>
      <c r="B2199" s="4" t="str">
        <f>IFERROR(__xludf.DUMMYFUNCTION("""COMPUTED_VALUE"""),"1")</f>
        <v>1</v>
      </c>
      <c r="C2199" s="5" t="str">
        <f>IFERROR(__xludf.DUMMYFUNCTION("""COMPUTED_VALUE"""),"https://drive.google.com/file/d/1kCw-XtXMYhaLjHHzJmDLkw3i1rKGuo28/view?usp=drivesdk")</f>
        <v>https://drive.google.com/file/d/1kCw-XtXMYhaLjHHzJmDLkw3i1rKGuo28/view?usp=drivesdk</v>
      </c>
      <c r="D2199" s="12"/>
      <c r="E2199" s="13">
        <v>2249.0</v>
      </c>
      <c r="F2199" s="2"/>
    </row>
    <row r="2200" ht="1.5" customHeight="1">
      <c r="A2200" s="4" t="str">
        <f>IFERROR(__xludf.DUMMYFUNCTION("""COMPUTED_VALUE"""),"1. Microwave")</f>
        <v>1. Microwave</v>
      </c>
      <c r="B2200" s="4" t="str">
        <f>IFERROR(__xludf.DUMMYFUNCTION("""COMPUTED_VALUE"""),"1")</f>
        <v>1</v>
      </c>
      <c r="C2200" s="5" t="str">
        <f>IFERROR(__xludf.DUMMYFUNCTION("""COMPUTED_VALUE"""),"https://drive.google.com/file/d/1RiFmvyi1IW5izlhhy9bGUWg1c-IXxDn-/view?usp=drivesdk")</f>
        <v>https://drive.google.com/file/d/1RiFmvyi1IW5izlhhy9bGUWg1c-IXxDn-/view?usp=drivesdk</v>
      </c>
      <c r="D2200" s="12"/>
      <c r="E2200" s="13">
        <v>2250.0</v>
      </c>
      <c r="F2200" s="2"/>
    </row>
    <row r="2201" ht="1.5" customHeight="1">
      <c r="A2201" s="4" t="str">
        <f>IFERROR(__xludf.DUMMYFUNCTION("""COMPUTED_VALUE"""),"1. Microwave")</f>
        <v>1. Microwave</v>
      </c>
      <c r="B2201" s="4" t="str">
        <f>IFERROR(__xludf.DUMMYFUNCTION("""COMPUTED_VALUE"""),"1")</f>
        <v>1</v>
      </c>
      <c r="C2201" s="5" t="str">
        <f>IFERROR(__xludf.DUMMYFUNCTION("""COMPUTED_VALUE"""),"https://drive.google.com/file/d/1n80Kth-v_7aub_5n-yz_fF3qINtJQJcD/view?usp=drivesdk")</f>
        <v>https://drive.google.com/file/d/1n80Kth-v_7aub_5n-yz_fF3qINtJQJcD/view?usp=drivesdk</v>
      </c>
      <c r="D2201" s="12"/>
      <c r="E2201" s="13">
        <v>2251.0</v>
      </c>
      <c r="F2201" s="2"/>
    </row>
    <row r="2202" ht="1.5" customHeight="1">
      <c r="A2202" s="4" t="str">
        <f>IFERROR(__xludf.DUMMYFUNCTION("""COMPUTED_VALUE"""),"1. Microwave")</f>
        <v>1. Microwave</v>
      </c>
      <c r="B2202" s="4" t="str">
        <f>IFERROR(__xludf.DUMMYFUNCTION("""COMPUTED_VALUE"""),"1")</f>
        <v>1</v>
      </c>
      <c r="C2202" s="5" t="str">
        <f>IFERROR(__xludf.DUMMYFUNCTION("""COMPUTED_VALUE"""),"https://drive.google.com/file/d/1vQD8Fb6JuXhxw_aT82fwFubJmOtkIlxT/view?usp=drivesdk")</f>
        <v>https://drive.google.com/file/d/1vQD8Fb6JuXhxw_aT82fwFubJmOtkIlxT/view?usp=drivesdk</v>
      </c>
      <c r="D2202" s="12"/>
      <c r="E2202" s="13">
        <v>2252.0</v>
      </c>
      <c r="F2202" s="2"/>
    </row>
    <row r="2203" ht="1.5" customHeight="1">
      <c r="A2203" s="4" t="str">
        <f>IFERROR(__xludf.DUMMYFUNCTION("""COMPUTED_VALUE"""),"1. Microwave")</f>
        <v>1. Microwave</v>
      </c>
      <c r="B2203" s="4" t="str">
        <f>IFERROR(__xludf.DUMMYFUNCTION("""COMPUTED_VALUE"""),"1")</f>
        <v>1</v>
      </c>
      <c r="C2203" s="5" t="str">
        <f>IFERROR(__xludf.DUMMYFUNCTION("""COMPUTED_VALUE"""),"https://drive.google.com/file/d/1kV2m-b8Jv_iasJUr-8e3s4YQblvf9Sek/view?usp=drivesdk")</f>
        <v>https://drive.google.com/file/d/1kV2m-b8Jv_iasJUr-8e3s4YQblvf9Sek/view?usp=drivesdk</v>
      </c>
      <c r="D2203" s="12"/>
      <c r="E2203" s="13">
        <v>2253.0</v>
      </c>
      <c r="F2203" s="2"/>
    </row>
    <row r="2204" ht="1.5" customHeight="1">
      <c r="A2204" s="4" t="str">
        <f>IFERROR(__xludf.DUMMYFUNCTION("""COMPUTED_VALUE"""),"1. Microwave")</f>
        <v>1. Microwave</v>
      </c>
      <c r="B2204" s="4" t="str">
        <f>IFERROR(__xludf.DUMMYFUNCTION("""COMPUTED_VALUE"""),"1")</f>
        <v>1</v>
      </c>
      <c r="C2204" s="5" t="str">
        <f>IFERROR(__xludf.DUMMYFUNCTION("""COMPUTED_VALUE"""),"https://drive.google.com/file/d/1hlNnzaRXV5jNdwU2kNrp6nwN4xdQOiMU/view?usp=drivesdk")</f>
        <v>https://drive.google.com/file/d/1hlNnzaRXV5jNdwU2kNrp6nwN4xdQOiMU/view?usp=drivesdk</v>
      </c>
      <c r="D2204" s="12"/>
      <c r="E2204" s="13">
        <v>2254.0</v>
      </c>
      <c r="F2204" s="2"/>
    </row>
    <row r="2205" ht="1.5" customHeight="1">
      <c r="A2205" s="4" t="str">
        <f>IFERROR(__xludf.DUMMYFUNCTION("""COMPUTED_VALUE"""),"1. Microwave")</f>
        <v>1. Microwave</v>
      </c>
      <c r="B2205" s="4" t="str">
        <f>IFERROR(__xludf.DUMMYFUNCTION("""COMPUTED_VALUE"""),"1")</f>
        <v>1</v>
      </c>
      <c r="C2205" s="5" t="str">
        <f>IFERROR(__xludf.DUMMYFUNCTION("""COMPUTED_VALUE"""),"https://drive.google.com/file/d/17uOpz3xZzKKfsxNZ3ySO9cqmuq2XtjNr/view?usp=drivesdk")</f>
        <v>https://drive.google.com/file/d/17uOpz3xZzKKfsxNZ3ySO9cqmuq2XtjNr/view?usp=drivesdk</v>
      </c>
      <c r="D2205" s="12"/>
      <c r="E2205" s="13">
        <v>2255.0</v>
      </c>
      <c r="F2205" s="2"/>
    </row>
    <row r="2206" ht="1.5" customHeight="1">
      <c r="A2206" s="4" t="str">
        <f>IFERROR(__xludf.DUMMYFUNCTION("""COMPUTED_VALUE"""),"2. Twix")</f>
        <v>2. Twix</v>
      </c>
      <c r="B2206" s="4" t="str">
        <f>IFERROR(__xludf.DUMMYFUNCTION("""COMPUTED_VALUE"""),"2")</f>
        <v>2</v>
      </c>
      <c r="C2206" s="5" t="str">
        <f>IFERROR(__xludf.DUMMYFUNCTION("""COMPUTED_VALUE"""),"https://drive.google.com/file/d/1OBT9zD3kH-JedTm-lHqQrTi0AdeyXyZb/view?usp=drivesdk")</f>
        <v>https://drive.google.com/file/d/1OBT9zD3kH-JedTm-lHqQrTi0AdeyXyZb/view?usp=drivesdk</v>
      </c>
      <c r="D2206" s="12"/>
      <c r="E2206" s="13">
        <v>2256.0</v>
      </c>
      <c r="F2206" s="2"/>
    </row>
    <row r="2207" ht="1.5" customHeight="1">
      <c r="A2207" s="4" t="str">
        <f>IFERROR(__xludf.DUMMYFUNCTION("""COMPUTED_VALUE"""),"2. Twix")</f>
        <v>2. Twix</v>
      </c>
      <c r="B2207" s="4" t="str">
        <f>IFERROR(__xludf.DUMMYFUNCTION("""COMPUTED_VALUE"""),"2")</f>
        <v>2</v>
      </c>
      <c r="C2207" s="5" t="str">
        <f>IFERROR(__xludf.DUMMYFUNCTION("""COMPUTED_VALUE"""),"https://drive.google.com/file/d/1ZwwH8IjHFkj713dAQ9pPcYJ_q9nArJq0/view?usp=drivesdk")</f>
        <v>https://drive.google.com/file/d/1ZwwH8IjHFkj713dAQ9pPcYJ_q9nArJq0/view?usp=drivesdk</v>
      </c>
      <c r="D2207" s="12"/>
      <c r="E2207" s="13">
        <v>2257.0</v>
      </c>
      <c r="F2207" s="2"/>
    </row>
    <row r="2208" ht="1.5" customHeight="1">
      <c r="A2208" s="4" t="str">
        <f>IFERROR(__xludf.DUMMYFUNCTION("""COMPUTED_VALUE"""),"2. Twix")</f>
        <v>2. Twix</v>
      </c>
      <c r="B2208" s="4" t="str">
        <f>IFERROR(__xludf.DUMMYFUNCTION("""COMPUTED_VALUE"""),"2")</f>
        <v>2</v>
      </c>
      <c r="C2208" s="5" t="str">
        <f>IFERROR(__xludf.DUMMYFUNCTION("""COMPUTED_VALUE"""),"https://drive.google.com/file/d/1nlfGEdaNUeupmW5CVkC9i6J7WeEja4E7/view?usp=drivesdk")</f>
        <v>https://drive.google.com/file/d/1nlfGEdaNUeupmW5CVkC9i6J7WeEja4E7/view?usp=drivesdk</v>
      </c>
      <c r="D2208" s="12"/>
      <c r="E2208" s="13">
        <v>2258.0</v>
      </c>
      <c r="F2208" s="2"/>
    </row>
    <row r="2209" ht="1.5" customHeight="1">
      <c r="A2209" s="4" t="str">
        <f>IFERROR(__xludf.DUMMYFUNCTION("""COMPUTED_VALUE"""),"2. Twix")</f>
        <v>2. Twix</v>
      </c>
      <c r="B2209" s="4" t="str">
        <f>IFERROR(__xludf.DUMMYFUNCTION("""COMPUTED_VALUE"""),"2")</f>
        <v>2</v>
      </c>
      <c r="C2209" s="5" t="str">
        <f>IFERROR(__xludf.DUMMYFUNCTION("""COMPUTED_VALUE"""),"https://drive.google.com/file/d/1ie3wvhIYJ5a63BlO348W7p0OFZbfd7Ds/view?usp=drivesdk")</f>
        <v>https://drive.google.com/file/d/1ie3wvhIYJ5a63BlO348W7p0OFZbfd7Ds/view?usp=drivesdk</v>
      </c>
      <c r="D2209" s="12"/>
      <c r="E2209" s="13">
        <v>2259.0</v>
      </c>
      <c r="F2209" s="2"/>
    </row>
    <row r="2210" ht="1.5" customHeight="1">
      <c r="A2210" s="4" t="str">
        <f>IFERROR(__xludf.DUMMYFUNCTION("""COMPUTED_VALUE"""),"35. Stove")</f>
        <v>35. Stove</v>
      </c>
      <c r="B2210" s="4" t="str">
        <f>IFERROR(__xludf.DUMMYFUNCTION("""COMPUTED_VALUE"""),"35")</f>
        <v>35</v>
      </c>
      <c r="C2210" s="5" t="str">
        <f>IFERROR(__xludf.DUMMYFUNCTION("""COMPUTED_VALUE"""),"https://drive.google.com/file/d/1M0esN23N93ElnNxmsRiGMWS49SGYxLMD/view?usp=drivesdk")</f>
        <v>https://drive.google.com/file/d/1M0esN23N93ElnNxmsRiGMWS49SGYxLMD/view?usp=drivesdk</v>
      </c>
      <c r="D2210" s="12"/>
      <c r="E2210" s="13">
        <v>2260.0</v>
      </c>
      <c r="F2210" s="2"/>
    </row>
    <row r="2211" ht="1.5" customHeight="1">
      <c r="A2211" s="4" t="str">
        <f>IFERROR(__xludf.DUMMYFUNCTION("""COMPUTED_VALUE"""),"35. Stove")</f>
        <v>35. Stove</v>
      </c>
      <c r="B2211" s="4" t="str">
        <f>IFERROR(__xludf.DUMMYFUNCTION("""COMPUTED_VALUE"""),"35")</f>
        <v>35</v>
      </c>
      <c r="C2211" s="5" t="str">
        <f>IFERROR(__xludf.DUMMYFUNCTION("""COMPUTED_VALUE"""),"https://drive.google.com/file/d/1diYrrO2qoym8hQGjpwdCVcc3pYjzVxrf/view?usp=drivesdk")</f>
        <v>https://drive.google.com/file/d/1diYrrO2qoym8hQGjpwdCVcc3pYjzVxrf/view?usp=drivesdk</v>
      </c>
      <c r="D2211" s="12"/>
      <c r="E2211" s="13">
        <v>2261.0</v>
      </c>
      <c r="F2211" s="2"/>
    </row>
    <row r="2212" ht="1.5" customHeight="1">
      <c r="A2212" s="4" t="str">
        <f>IFERROR(__xludf.DUMMYFUNCTION("""COMPUTED_VALUE"""),"1. Microwave")</f>
        <v>1. Microwave</v>
      </c>
      <c r="B2212" s="4" t="str">
        <f>IFERROR(__xludf.DUMMYFUNCTION("""COMPUTED_VALUE"""),"1")</f>
        <v>1</v>
      </c>
      <c r="C2212" s="5" t="str">
        <f>IFERROR(__xludf.DUMMYFUNCTION("""COMPUTED_VALUE"""),"https://drive.google.com/file/d/1nX971oSRqOl0PsIYyX73RpbEPYFIDQKX/view?usp=drivesdk")</f>
        <v>https://drive.google.com/file/d/1nX971oSRqOl0PsIYyX73RpbEPYFIDQKX/view?usp=drivesdk</v>
      </c>
      <c r="D2212" s="12"/>
      <c r="E2212" s="13">
        <v>2262.0</v>
      </c>
      <c r="F2212" s="2"/>
    </row>
    <row r="2213" ht="1.5" customHeight="1">
      <c r="A2213" s="4" t="str">
        <f>IFERROR(__xludf.DUMMYFUNCTION("""COMPUTED_VALUE"""),"1. Microwave")</f>
        <v>1. Microwave</v>
      </c>
      <c r="B2213" s="4" t="str">
        <f>IFERROR(__xludf.DUMMYFUNCTION("""COMPUTED_VALUE"""),"1")</f>
        <v>1</v>
      </c>
      <c r="C2213" s="5" t="str">
        <f>IFERROR(__xludf.DUMMYFUNCTION("""COMPUTED_VALUE"""),"https://drive.google.com/file/d/1Dcioun9RK2qE5n1xW7eq9RDJPxTtC0ad/view?usp=drivesdk")</f>
        <v>https://drive.google.com/file/d/1Dcioun9RK2qE5n1xW7eq9RDJPxTtC0ad/view?usp=drivesdk</v>
      </c>
      <c r="D2213" s="12"/>
      <c r="E2213" s="13">
        <v>2263.0</v>
      </c>
      <c r="F2213" s="2"/>
    </row>
    <row r="2214" ht="1.5" customHeight="1">
      <c r="A2214" s="4" t="str">
        <f>IFERROR(__xludf.DUMMYFUNCTION("""COMPUTED_VALUE"""),"27. Angel")</f>
        <v>27. Angel</v>
      </c>
      <c r="B2214" s="4" t="str">
        <f>IFERROR(__xludf.DUMMYFUNCTION("""COMPUTED_VALUE"""),"27")</f>
        <v>27</v>
      </c>
      <c r="C2214" s="5" t="str">
        <f>IFERROR(__xludf.DUMMYFUNCTION("""COMPUTED_VALUE"""),"https://drive.google.com/file/d/1Yli4JHqo-9QmKWP4cU66kmIpJ9-uAXOF/view?usp=drivesdk")</f>
        <v>https://drive.google.com/file/d/1Yli4JHqo-9QmKWP4cU66kmIpJ9-uAXOF/view?usp=drivesdk</v>
      </c>
      <c r="D2214" s="12"/>
      <c r="E2214" s="13">
        <v>2264.0</v>
      </c>
      <c r="F2214" s="2"/>
    </row>
    <row r="2215" ht="1.5" customHeight="1">
      <c r="A2215" s="4" t="str">
        <f>IFERROR(__xludf.DUMMYFUNCTION("""COMPUTED_VALUE"""),"27. Angel")</f>
        <v>27. Angel</v>
      </c>
      <c r="B2215" s="4" t="str">
        <f>IFERROR(__xludf.DUMMYFUNCTION("""COMPUTED_VALUE"""),"27")</f>
        <v>27</v>
      </c>
      <c r="C2215" s="5" t="str">
        <f>IFERROR(__xludf.DUMMYFUNCTION("""COMPUTED_VALUE"""),"https://drive.google.com/file/d/1pOt0VoMzO-gHlPE4d7v7ZQ3TrCP23VA_/view?usp=drivesdk")</f>
        <v>https://drive.google.com/file/d/1pOt0VoMzO-gHlPE4d7v7ZQ3TrCP23VA_/view?usp=drivesdk</v>
      </c>
      <c r="D2215" s="12"/>
      <c r="E2215" s="13">
        <v>2265.0</v>
      </c>
      <c r="F2215" s="2"/>
    </row>
    <row r="2216" ht="1.5" customHeight="1">
      <c r="A2216" s="4" t="str">
        <f>IFERROR(__xludf.DUMMYFUNCTION("""COMPUTED_VALUE"""),"27. Angel")</f>
        <v>27. Angel</v>
      </c>
      <c r="B2216" s="4" t="str">
        <f>IFERROR(__xludf.DUMMYFUNCTION("""COMPUTED_VALUE"""),"27")</f>
        <v>27</v>
      </c>
      <c r="C2216" s="5" t="str">
        <f>IFERROR(__xludf.DUMMYFUNCTION("""COMPUTED_VALUE"""),"https://drive.google.com/file/d/1dMhWggAUJH4SAKRA3QUV0UX-6fDZS7BB/view?usp=drivesdk")</f>
        <v>https://drive.google.com/file/d/1dMhWggAUJH4SAKRA3QUV0UX-6fDZS7BB/view?usp=drivesdk</v>
      </c>
      <c r="D2216" s="12"/>
      <c r="E2216" s="13">
        <v>2266.0</v>
      </c>
      <c r="F2216" s="2"/>
    </row>
    <row r="2217" ht="1.5" customHeight="1">
      <c r="A2217" s="4" t="str">
        <f>IFERROR(__xludf.DUMMYFUNCTION("""COMPUTED_VALUE"""),"27. Angel")</f>
        <v>27. Angel</v>
      </c>
      <c r="B2217" s="4" t="str">
        <f>IFERROR(__xludf.DUMMYFUNCTION("""COMPUTED_VALUE"""),"27")</f>
        <v>27</v>
      </c>
      <c r="C2217" s="5" t="str">
        <f>IFERROR(__xludf.DUMMYFUNCTION("""COMPUTED_VALUE"""),"https://drive.google.com/file/d/1VznCxVsDsEQWkSq2gIDx7b_zyx-Lw0s3/view?usp=drivesdk")</f>
        <v>https://drive.google.com/file/d/1VznCxVsDsEQWkSq2gIDx7b_zyx-Lw0s3/view?usp=drivesdk</v>
      </c>
      <c r="D2217" s="12"/>
      <c r="E2217" s="13">
        <v>2267.0</v>
      </c>
      <c r="F2217" s="2"/>
    </row>
    <row r="2218" ht="1.5" customHeight="1">
      <c r="A2218" s="4" t="str">
        <f>IFERROR(__xludf.DUMMYFUNCTION("""COMPUTED_VALUE"""),"27. Angel")</f>
        <v>27. Angel</v>
      </c>
      <c r="B2218" s="4" t="str">
        <f>IFERROR(__xludf.DUMMYFUNCTION("""COMPUTED_VALUE"""),"27")</f>
        <v>27</v>
      </c>
      <c r="C2218" s="5" t="str">
        <f>IFERROR(__xludf.DUMMYFUNCTION("""COMPUTED_VALUE"""),"https://drive.google.com/file/d/1y4VD4i19KUwJLUVUq3NE9XP-MzpiI748/view?usp=drivesdk")</f>
        <v>https://drive.google.com/file/d/1y4VD4i19KUwJLUVUq3NE9XP-MzpiI748/view?usp=drivesdk</v>
      </c>
      <c r="D2218" s="12"/>
      <c r="E2218" s="13">
        <v>2268.0</v>
      </c>
      <c r="F2218" s="2"/>
    </row>
    <row r="2219" ht="1.5" customHeight="1">
      <c r="A2219" s="4" t="str">
        <f>IFERROR(__xludf.DUMMYFUNCTION("""COMPUTED_VALUE"""),"27. Angel")</f>
        <v>27. Angel</v>
      </c>
      <c r="B2219" s="4" t="str">
        <f>IFERROR(__xludf.DUMMYFUNCTION("""COMPUTED_VALUE"""),"27")</f>
        <v>27</v>
      </c>
      <c r="C2219" s="5" t="str">
        <f>IFERROR(__xludf.DUMMYFUNCTION("""COMPUTED_VALUE"""),"https://drive.google.com/file/d/1QpE2LEcIXNCsvi_RxCtaEBds90JUxywB/view?usp=drivesdk")</f>
        <v>https://drive.google.com/file/d/1QpE2LEcIXNCsvi_RxCtaEBds90JUxywB/view?usp=drivesdk</v>
      </c>
      <c r="D2219" s="12"/>
      <c r="E2219" s="13">
        <v>2269.0</v>
      </c>
      <c r="F2219" s="2"/>
    </row>
    <row r="2220" ht="1.5" customHeight="1">
      <c r="A2220" s="4" t="str">
        <f>IFERROR(__xludf.DUMMYFUNCTION("""COMPUTED_VALUE"""),"27. Angel")</f>
        <v>27. Angel</v>
      </c>
      <c r="B2220" s="4" t="str">
        <f>IFERROR(__xludf.DUMMYFUNCTION("""COMPUTED_VALUE"""),"27")</f>
        <v>27</v>
      </c>
      <c r="C2220" s="5" t="str">
        <f>IFERROR(__xludf.DUMMYFUNCTION("""COMPUTED_VALUE"""),"https://drive.google.com/file/d/1c5r751jdfLbQ8Pw_Ue_OL44hlfxU3QvH/view?usp=drivesdk")</f>
        <v>https://drive.google.com/file/d/1c5r751jdfLbQ8Pw_Ue_OL44hlfxU3QvH/view?usp=drivesdk</v>
      </c>
      <c r="D2220" s="12"/>
      <c r="E2220" s="13">
        <v>2270.0</v>
      </c>
      <c r="F2220" s="2"/>
    </row>
    <row r="2221" ht="1.5" customHeight="1">
      <c r="A2221" s="4" t="str">
        <f>IFERROR(__xludf.DUMMYFUNCTION("""COMPUTED_VALUE"""),"27. Angel")</f>
        <v>27. Angel</v>
      </c>
      <c r="B2221" s="4" t="str">
        <f>IFERROR(__xludf.DUMMYFUNCTION("""COMPUTED_VALUE"""),"27")</f>
        <v>27</v>
      </c>
      <c r="C2221" s="5" t="str">
        <f>IFERROR(__xludf.DUMMYFUNCTION("""COMPUTED_VALUE"""),"https://drive.google.com/file/d/17tyKnlzPdwYyIxdOJeEcrbEWgISy3jDz/view?usp=drivesdk")</f>
        <v>https://drive.google.com/file/d/17tyKnlzPdwYyIxdOJeEcrbEWgISy3jDz/view?usp=drivesdk</v>
      </c>
      <c r="D2221" s="12"/>
      <c r="E2221" s="13">
        <v>2271.0</v>
      </c>
      <c r="F2221" s="2"/>
    </row>
    <row r="2222" ht="1.5" customHeight="1">
      <c r="A2222" s="4" t="str">
        <f>IFERROR(__xludf.DUMMYFUNCTION("""COMPUTED_VALUE"""),"32. Noir")</f>
        <v>32. Noir</v>
      </c>
      <c r="B2222" s="4" t="str">
        <f>IFERROR(__xludf.DUMMYFUNCTION("""COMPUTED_VALUE"""),"32")</f>
        <v>32</v>
      </c>
      <c r="C2222" s="5" t="str">
        <f>IFERROR(__xludf.DUMMYFUNCTION("""COMPUTED_VALUE"""),"https://drive.google.com/file/d/1QNfNDu3-iTBIPuAhwIPbbjR_tDttPmG1/view?usp=drivesdk")</f>
        <v>https://drive.google.com/file/d/1QNfNDu3-iTBIPuAhwIPbbjR_tDttPmG1/view?usp=drivesdk</v>
      </c>
      <c r="D2222" s="12"/>
      <c r="E2222" s="13">
        <v>2272.0</v>
      </c>
      <c r="F2222" s="2"/>
    </row>
    <row r="2223" ht="1.5" customHeight="1">
      <c r="A2223" s="4" t="str">
        <f>IFERROR(__xludf.DUMMYFUNCTION("""COMPUTED_VALUE"""),"32. Noir")</f>
        <v>32. Noir</v>
      </c>
      <c r="B2223" s="4" t="str">
        <f>IFERROR(__xludf.DUMMYFUNCTION("""COMPUTED_VALUE"""),"32")</f>
        <v>32</v>
      </c>
      <c r="C2223" s="5" t="str">
        <f>IFERROR(__xludf.DUMMYFUNCTION("""COMPUTED_VALUE"""),"https://drive.google.com/file/d/1GtdaFD6FwjAPQmCPG1PkuuV77LobTSDe/view?usp=drivesdk")</f>
        <v>https://drive.google.com/file/d/1GtdaFD6FwjAPQmCPG1PkuuV77LobTSDe/view?usp=drivesdk</v>
      </c>
      <c r="D2223" s="12"/>
      <c r="E2223" s="13">
        <v>2273.0</v>
      </c>
      <c r="F2223" s="2"/>
    </row>
    <row r="2224" ht="1.5" customHeight="1">
      <c r="A2224" s="4" t="str">
        <f>IFERROR(__xludf.DUMMYFUNCTION("""COMPUTED_VALUE"""),"2. Twix")</f>
        <v>2. Twix</v>
      </c>
      <c r="B2224" s="4" t="str">
        <f>IFERROR(__xludf.DUMMYFUNCTION("""COMPUTED_VALUE"""),"2")</f>
        <v>2</v>
      </c>
      <c r="C2224" s="5" t="str">
        <f>IFERROR(__xludf.DUMMYFUNCTION("""COMPUTED_VALUE"""),"https://drive.google.com/file/d/1CKwM4rKoZGVI5YsTTdAiLNlk-3QD98nv/view?usp=drivesdk")</f>
        <v>https://drive.google.com/file/d/1CKwM4rKoZGVI5YsTTdAiLNlk-3QD98nv/view?usp=drivesdk</v>
      </c>
      <c r="D2224" s="12"/>
      <c r="E2224" s="13">
        <v>2274.0</v>
      </c>
      <c r="F2224" s="2"/>
    </row>
    <row r="2225" ht="1.5" customHeight="1">
      <c r="A2225" s="4" t="str">
        <f>IFERROR(__xludf.DUMMYFUNCTION("""COMPUTED_VALUE"""),"2. Twix")</f>
        <v>2. Twix</v>
      </c>
      <c r="B2225" s="4" t="str">
        <f>IFERROR(__xludf.DUMMYFUNCTION("""COMPUTED_VALUE"""),"2")</f>
        <v>2</v>
      </c>
      <c r="C2225" s="5" t="str">
        <f>IFERROR(__xludf.DUMMYFUNCTION("""COMPUTED_VALUE"""),"https://drive.google.com/file/d/1M9SjQqfARvt25rbIngqMHxq2RDRKkcwy/view?usp=drivesdk")</f>
        <v>https://drive.google.com/file/d/1M9SjQqfARvt25rbIngqMHxq2RDRKkcwy/view?usp=drivesdk</v>
      </c>
      <c r="D2225" s="12"/>
      <c r="E2225" s="13">
        <v>2275.0</v>
      </c>
      <c r="F2225" s="2"/>
    </row>
    <row r="2226" ht="1.5" customHeight="1">
      <c r="A2226" s="4" t="str">
        <f>IFERROR(__xludf.DUMMYFUNCTION("""COMPUTED_VALUE"""),"2. Twix")</f>
        <v>2. Twix</v>
      </c>
      <c r="B2226" s="4" t="str">
        <f>IFERROR(__xludf.DUMMYFUNCTION("""COMPUTED_VALUE"""),"2")</f>
        <v>2</v>
      </c>
      <c r="C2226" s="5" t="str">
        <f>IFERROR(__xludf.DUMMYFUNCTION("""COMPUTED_VALUE"""),"https://drive.google.com/file/d/1FKmyeGqsCw5YyOd38qvZwhqRWiobqyd_/view?usp=drivesdk")</f>
        <v>https://drive.google.com/file/d/1FKmyeGqsCw5YyOd38qvZwhqRWiobqyd_/view?usp=drivesdk</v>
      </c>
      <c r="D2226" s="12"/>
      <c r="E2226" s="13">
        <v>2276.0</v>
      </c>
      <c r="F2226" s="2"/>
    </row>
    <row r="2227" ht="1.5" customHeight="1">
      <c r="A2227" s="4" t="str">
        <f>IFERROR(__xludf.DUMMYFUNCTION("""COMPUTED_VALUE"""),"29. Ginger, 30. Pepper")</f>
        <v>29. Ginger, 30. Pepper</v>
      </c>
      <c r="B2227" s="4" t="str">
        <f>IFERROR(__xludf.DUMMYFUNCTION("""COMPUTED_VALUE"""),"29, 30")</f>
        <v>29, 30</v>
      </c>
      <c r="C2227" s="5" t="str">
        <f>IFERROR(__xludf.DUMMYFUNCTION("""COMPUTED_VALUE"""),"https://drive.google.com/file/d/1LmVIGENDWmqUTsmut6cR56RzOWUiADV8/view?usp=drivesdk")</f>
        <v>https://drive.google.com/file/d/1LmVIGENDWmqUTsmut6cR56RzOWUiADV8/view?usp=drivesdk</v>
      </c>
      <c r="D2227" s="12"/>
      <c r="E2227" s="13">
        <v>2277.0</v>
      </c>
      <c r="F2227" s="2"/>
    </row>
    <row r="2228" ht="1.5" customHeight="1">
      <c r="A2228" s="4" t="str">
        <f>IFERROR(__xludf.DUMMYFUNCTION("""COMPUTED_VALUE"""),"29. Ginger, 30. Pepper")</f>
        <v>29. Ginger, 30. Pepper</v>
      </c>
      <c r="B2228" s="4" t="str">
        <f>IFERROR(__xludf.DUMMYFUNCTION("""COMPUTED_VALUE"""),"29, 30")</f>
        <v>29, 30</v>
      </c>
      <c r="C2228" s="5" t="str">
        <f>IFERROR(__xludf.DUMMYFUNCTION("""COMPUTED_VALUE"""),"https://drive.google.com/file/d/1dz_eaCOzfS3cqZVvlCK4dej9hKWhT0xM/view?usp=drivesdk")</f>
        <v>https://drive.google.com/file/d/1dz_eaCOzfS3cqZVvlCK4dej9hKWhT0xM/view?usp=drivesdk</v>
      </c>
      <c r="D2228" s="12"/>
      <c r="E2228" s="13">
        <v>2278.0</v>
      </c>
      <c r="F2228" s="2"/>
    </row>
    <row r="2229" ht="1.5" customHeight="1">
      <c r="A2229" s="4" t="str">
        <f>IFERROR(__xludf.DUMMYFUNCTION("""COMPUTED_VALUE"""),"5. Eraser")</f>
        <v>5. Eraser</v>
      </c>
      <c r="B2229" s="4" t="str">
        <f>IFERROR(__xludf.DUMMYFUNCTION("""COMPUTED_VALUE"""),"5")</f>
        <v>5</v>
      </c>
      <c r="C2229" s="5" t="str">
        <f>IFERROR(__xludf.DUMMYFUNCTION("""COMPUTED_VALUE"""),"https://drive.google.com/file/d/18KA2Cprb2pFsAqZWTG9wp2LeOisxDuq3/view?usp=drivesdk")</f>
        <v>https://drive.google.com/file/d/18KA2Cprb2pFsAqZWTG9wp2LeOisxDuq3/view?usp=drivesdk</v>
      </c>
      <c r="D2229" s="12"/>
      <c r="E2229" s="13">
        <v>2279.0</v>
      </c>
      <c r="F2229" s="2"/>
    </row>
    <row r="2230" ht="1.5" customHeight="1">
      <c r="A2230" s="4" t="str">
        <f>IFERROR(__xludf.DUMMYFUNCTION("""COMPUTED_VALUE"""),"5. Eraser")</f>
        <v>5. Eraser</v>
      </c>
      <c r="B2230" s="4" t="str">
        <f>IFERROR(__xludf.DUMMYFUNCTION("""COMPUTED_VALUE"""),"5")</f>
        <v>5</v>
      </c>
      <c r="C2230" s="5" t="str">
        <f>IFERROR(__xludf.DUMMYFUNCTION("""COMPUTED_VALUE"""),"https://drive.google.com/file/d/1ay5wdZQH2x6hsdcBa0IanwFFyUsASbIQ/view?usp=drivesdk")</f>
        <v>https://drive.google.com/file/d/1ay5wdZQH2x6hsdcBa0IanwFFyUsASbIQ/view?usp=drivesdk</v>
      </c>
      <c r="D2230" s="12"/>
      <c r="E2230" s="13">
        <v>2280.0</v>
      </c>
      <c r="F2230" s="2"/>
    </row>
    <row r="2231" ht="1.5" customHeight="1">
      <c r="A2231" s="4" t="str">
        <f>IFERROR(__xludf.DUMMYFUNCTION("""COMPUTED_VALUE"""),"4. Eggs")</f>
        <v>4. Eggs</v>
      </c>
      <c r="B2231" s="4" t="str">
        <f>IFERROR(__xludf.DUMMYFUNCTION("""COMPUTED_VALUE"""),"4")</f>
        <v>4</v>
      </c>
      <c r="C2231" s="5" t="str">
        <f>IFERROR(__xludf.DUMMYFUNCTION("""COMPUTED_VALUE"""),"https://drive.google.com/file/d/14MTxj7vz9u8bpGSNHtBNFG8rGZXfZMZf/view?usp=drivesdk")</f>
        <v>https://drive.google.com/file/d/14MTxj7vz9u8bpGSNHtBNFG8rGZXfZMZf/view?usp=drivesdk</v>
      </c>
      <c r="D2231" s="12"/>
      <c r="E2231" s="13">
        <v>2281.0</v>
      </c>
      <c r="F2231" s="2"/>
    </row>
    <row r="2232" ht="1.5" customHeight="1">
      <c r="A2232" s="4" t="str">
        <f>IFERROR(__xludf.DUMMYFUNCTION("""COMPUTED_VALUE"""),"4. Eggs")</f>
        <v>4. Eggs</v>
      </c>
      <c r="B2232" s="4" t="str">
        <f>IFERROR(__xludf.DUMMYFUNCTION("""COMPUTED_VALUE"""),"4")</f>
        <v>4</v>
      </c>
      <c r="C2232" s="5" t="str">
        <f>IFERROR(__xludf.DUMMYFUNCTION("""COMPUTED_VALUE"""),"https://drive.google.com/file/d/1sk7Z2WV4BjzTA8a3VtBDLHEM-e-REft3/view?usp=drivesdk")</f>
        <v>https://drive.google.com/file/d/1sk7Z2WV4BjzTA8a3VtBDLHEM-e-REft3/view?usp=drivesdk</v>
      </c>
      <c r="D2232" s="12"/>
      <c r="E2232" s="13">
        <v>2282.0</v>
      </c>
      <c r="F2232" s="2"/>
    </row>
    <row r="2233" ht="1.5" customHeight="1">
      <c r="A2233" s="4" t="str">
        <f>IFERROR(__xludf.DUMMYFUNCTION("""COMPUTED_VALUE"""),"4. Eggs")</f>
        <v>4. Eggs</v>
      </c>
      <c r="B2233" s="4" t="str">
        <f>IFERROR(__xludf.DUMMYFUNCTION("""COMPUTED_VALUE"""),"4")</f>
        <v>4</v>
      </c>
      <c r="C2233" s="5" t="str">
        <f>IFERROR(__xludf.DUMMYFUNCTION("""COMPUTED_VALUE"""),"https://drive.google.com/file/d/1oIM9QzN2wNp3XpVS2dMF1tqna_HHWGVi/view?usp=drivesdk")</f>
        <v>https://drive.google.com/file/d/1oIM9QzN2wNp3XpVS2dMF1tqna_HHWGVi/view?usp=drivesdk</v>
      </c>
      <c r="D2233" s="12"/>
      <c r="E2233" s="13">
        <v>2283.0</v>
      </c>
      <c r="F2233" s="2"/>
    </row>
    <row r="2234" ht="1.5" customHeight="1">
      <c r="A2234" s="4" t="str">
        <f>IFERROR(__xludf.DUMMYFUNCTION("""COMPUTED_VALUE"""),"4. Eggs")</f>
        <v>4. Eggs</v>
      </c>
      <c r="B2234" s="4" t="str">
        <f>IFERROR(__xludf.DUMMYFUNCTION("""COMPUTED_VALUE"""),"4")</f>
        <v>4</v>
      </c>
      <c r="C2234" s="5" t="str">
        <f>IFERROR(__xludf.DUMMYFUNCTION("""COMPUTED_VALUE"""),"https://drive.google.com/file/d/1WBP-UKW3PACFDGen-ZQJ30CBd0xJK8rd/view?usp=drivesdk")</f>
        <v>https://drive.google.com/file/d/1WBP-UKW3PACFDGen-ZQJ30CBd0xJK8rd/view?usp=drivesdk</v>
      </c>
      <c r="D2234" s="12"/>
      <c r="E2234" s="13">
        <v>2284.0</v>
      </c>
      <c r="F2234" s="2"/>
    </row>
    <row r="2235" ht="1.5" customHeight="1">
      <c r="A2235" s="4" t="str">
        <f>IFERROR(__xludf.DUMMYFUNCTION("""COMPUTED_VALUE"""),"4. Eggs")</f>
        <v>4. Eggs</v>
      </c>
      <c r="B2235" s="4" t="str">
        <f>IFERROR(__xludf.DUMMYFUNCTION("""COMPUTED_VALUE"""),"4")</f>
        <v>4</v>
      </c>
      <c r="C2235" s="5" t="str">
        <f>IFERROR(__xludf.DUMMYFUNCTION("""COMPUTED_VALUE"""),"https://drive.google.com/file/d/17AITrrJ1oF9ouLMoejjX7rYYBJV_NtS4/view?usp=drivesdk")</f>
        <v>https://drive.google.com/file/d/17AITrrJ1oF9ouLMoejjX7rYYBJV_NtS4/view?usp=drivesdk</v>
      </c>
      <c r="D2235" s="12"/>
      <c r="E2235" s="13">
        <v>2285.0</v>
      </c>
      <c r="F2235" s="2"/>
    </row>
    <row r="2236" ht="1.5" customHeight="1">
      <c r="A2236" s="4" t="str">
        <f>IFERROR(__xludf.DUMMYFUNCTION("""COMPUTED_VALUE"""),"4. Eggs")</f>
        <v>4. Eggs</v>
      </c>
      <c r="B2236" s="4" t="str">
        <f>IFERROR(__xludf.DUMMYFUNCTION("""COMPUTED_VALUE"""),"4")</f>
        <v>4</v>
      </c>
      <c r="C2236" s="5" t="str">
        <f>IFERROR(__xludf.DUMMYFUNCTION("""COMPUTED_VALUE"""),"https://drive.google.com/file/d/18IhPY6hK5jBAbd_Tx_SEaHp9rUVjvrI3/view?usp=drivesdk")</f>
        <v>https://drive.google.com/file/d/18IhPY6hK5jBAbd_Tx_SEaHp9rUVjvrI3/view?usp=drivesdk</v>
      </c>
      <c r="D2236" s="12"/>
      <c r="E2236" s="13">
        <v>2286.0</v>
      </c>
      <c r="F2236" s="2"/>
    </row>
    <row r="2237" ht="1.5" customHeight="1">
      <c r="A2237" s="4" t="str">
        <f>IFERROR(__xludf.DUMMYFUNCTION("""COMPUTED_VALUE"""),"5. Eraser, 4. Eggs")</f>
        <v>5. Eraser, 4. Eggs</v>
      </c>
      <c r="B2237" s="4" t="str">
        <f>IFERROR(__xludf.DUMMYFUNCTION("""COMPUTED_VALUE"""),"5, 4")</f>
        <v>5, 4</v>
      </c>
      <c r="C2237" s="5" t="str">
        <f>IFERROR(__xludf.DUMMYFUNCTION("""COMPUTED_VALUE"""),"https://drive.google.com/file/d/12qTEAszdotdVtMjSLwbzl8ucDsdztai6/view?usp=drivesdk")</f>
        <v>https://drive.google.com/file/d/12qTEAszdotdVtMjSLwbzl8ucDsdztai6/view?usp=drivesdk</v>
      </c>
      <c r="D2237" s="12"/>
      <c r="E2237" s="13">
        <v>2287.0</v>
      </c>
      <c r="F2237" s="2"/>
    </row>
    <row r="2238" ht="1.5" customHeight="1">
      <c r="A2238" s="4" t="str">
        <f>IFERROR(__xludf.DUMMYFUNCTION("""COMPUTED_VALUE"""),"5. Eraser, 4. Eggs")</f>
        <v>5. Eraser, 4. Eggs</v>
      </c>
      <c r="B2238" s="4" t="str">
        <f>IFERROR(__xludf.DUMMYFUNCTION("""COMPUTED_VALUE"""),"5, 4")</f>
        <v>5, 4</v>
      </c>
      <c r="C2238" s="5" t="str">
        <f>IFERROR(__xludf.DUMMYFUNCTION("""COMPUTED_VALUE"""),"https://drive.google.com/file/d/1EnqnEi9azA4DzJSK-VkCkhlkL7GCP3CF/view?usp=drivesdk")</f>
        <v>https://drive.google.com/file/d/1EnqnEi9azA4DzJSK-VkCkhlkL7GCP3CF/view?usp=drivesdk</v>
      </c>
      <c r="D2238" s="12"/>
      <c r="E2238" s="13">
        <v>2288.0</v>
      </c>
      <c r="F2238" s="2"/>
    </row>
    <row r="2239" ht="1.5" customHeight="1">
      <c r="A2239" s="4" t="str">
        <f>IFERROR(__xludf.DUMMYFUNCTION("""COMPUTED_VALUE"""),"5. Eraser, 4. Eggs")</f>
        <v>5. Eraser, 4. Eggs</v>
      </c>
      <c r="B2239" s="4" t="str">
        <f>IFERROR(__xludf.DUMMYFUNCTION("""COMPUTED_VALUE"""),"5, 4")</f>
        <v>5, 4</v>
      </c>
      <c r="C2239" s="5" t="str">
        <f>IFERROR(__xludf.DUMMYFUNCTION("""COMPUTED_VALUE"""),"https://drive.google.com/file/d/1j85mie28pboVWGhtFAWsAbI0Gfb3O6Qa/view?usp=drivesdk")</f>
        <v>https://drive.google.com/file/d/1j85mie28pboVWGhtFAWsAbI0Gfb3O6Qa/view?usp=drivesdk</v>
      </c>
      <c r="D2239" s="12"/>
      <c r="E2239" s="13">
        <v>2289.0</v>
      </c>
      <c r="F2239" s="2"/>
    </row>
    <row r="2240" ht="1.5" customHeight="1">
      <c r="A2240" s="4" t="str">
        <f>IFERROR(__xludf.DUMMYFUNCTION("""COMPUTED_VALUE"""),"5. Eraser")</f>
        <v>5. Eraser</v>
      </c>
      <c r="B2240" s="4" t="str">
        <f>IFERROR(__xludf.DUMMYFUNCTION("""COMPUTED_VALUE"""),"5")</f>
        <v>5</v>
      </c>
      <c r="C2240" s="5" t="str">
        <f>IFERROR(__xludf.DUMMYFUNCTION("""COMPUTED_VALUE"""),"https://drive.google.com/file/d/18tYu0esfP4aSZeZaFty2o2hhUBRlWss8/view?usp=drivesdk")</f>
        <v>https://drive.google.com/file/d/18tYu0esfP4aSZeZaFty2o2hhUBRlWss8/view?usp=drivesdk</v>
      </c>
      <c r="D2240" s="12"/>
      <c r="E2240" s="13">
        <v>2290.0</v>
      </c>
      <c r="F2240" s="2"/>
    </row>
    <row r="2241" ht="1.5" customHeight="1">
      <c r="A2241" s="4" t="str">
        <f>IFERROR(__xludf.DUMMYFUNCTION("""COMPUTED_VALUE"""),"5. Eraser")</f>
        <v>5. Eraser</v>
      </c>
      <c r="B2241" s="4" t="str">
        <f>IFERROR(__xludf.DUMMYFUNCTION("""COMPUTED_VALUE"""),"5")</f>
        <v>5</v>
      </c>
      <c r="C2241" s="5" t="str">
        <f>IFERROR(__xludf.DUMMYFUNCTION("""COMPUTED_VALUE"""),"https://drive.google.com/file/d/1xz84o6G4b3CvYXxkZfwCkwcip9aPyQaF/view?usp=drivesdk")</f>
        <v>https://drive.google.com/file/d/1xz84o6G4b3CvYXxkZfwCkwcip9aPyQaF/view?usp=drivesdk</v>
      </c>
      <c r="D2241" s="12"/>
      <c r="E2241" s="13">
        <v>2291.0</v>
      </c>
      <c r="F2241" s="2"/>
    </row>
    <row r="2242" ht="1.5" customHeight="1">
      <c r="A2242" s="4" t="str">
        <f>IFERROR(__xludf.DUMMYFUNCTION("""COMPUTED_VALUE"""),"5. Eraser, 4. Eggs")</f>
        <v>5. Eraser, 4. Eggs</v>
      </c>
      <c r="B2242" s="4" t="str">
        <f>IFERROR(__xludf.DUMMYFUNCTION("""COMPUTED_VALUE"""),"5, 4")</f>
        <v>5, 4</v>
      </c>
      <c r="C2242" s="5" t="str">
        <f>IFERROR(__xludf.DUMMYFUNCTION("""COMPUTED_VALUE"""),"https://drive.google.com/file/d/1vN1w_djhDWARBkRORtyAXImuRXOiK-lG/view?usp=drivesdk")</f>
        <v>https://drive.google.com/file/d/1vN1w_djhDWARBkRORtyAXImuRXOiK-lG/view?usp=drivesdk</v>
      </c>
      <c r="D2242" s="12"/>
      <c r="E2242" s="13">
        <v>2292.0</v>
      </c>
      <c r="F2242" s="2"/>
    </row>
    <row r="2243" ht="1.5" customHeight="1">
      <c r="A2243" s="4" t="str">
        <f>IFERROR(__xludf.DUMMYFUNCTION("""COMPUTED_VALUE"""),"5. Eraser")</f>
        <v>5. Eraser</v>
      </c>
      <c r="B2243" s="4" t="str">
        <f>IFERROR(__xludf.DUMMYFUNCTION("""COMPUTED_VALUE"""),"5")</f>
        <v>5</v>
      </c>
      <c r="C2243" s="5" t="str">
        <f>IFERROR(__xludf.DUMMYFUNCTION("""COMPUTED_VALUE"""),"https://drive.google.com/file/d/1v1Akl0Aq7qWFI4otlIzmWAmzEc5joSAX/view?usp=drivesdk")</f>
        <v>https://drive.google.com/file/d/1v1Akl0Aq7qWFI4otlIzmWAmzEc5joSAX/view?usp=drivesdk</v>
      </c>
      <c r="D2243" s="12"/>
      <c r="E2243" s="13">
        <v>2293.0</v>
      </c>
      <c r="F2243" s="2"/>
    </row>
    <row r="2244" ht="1.5" customHeight="1">
      <c r="A2244" s="4" t="str">
        <f>IFERROR(__xludf.DUMMYFUNCTION("""COMPUTED_VALUE"""),"5. Eraser")</f>
        <v>5. Eraser</v>
      </c>
      <c r="B2244" s="4" t="str">
        <f>IFERROR(__xludf.DUMMYFUNCTION("""COMPUTED_VALUE"""),"5")</f>
        <v>5</v>
      </c>
      <c r="C2244" s="5" t="str">
        <f>IFERROR(__xludf.DUMMYFUNCTION("""COMPUTED_VALUE"""),"https://drive.google.com/file/d/1D4uCjlxC-2a8HlV51BVy22XzfxkjqGLi/view?usp=drivesdk")</f>
        <v>https://drive.google.com/file/d/1D4uCjlxC-2a8HlV51BVy22XzfxkjqGLi/view?usp=drivesdk</v>
      </c>
      <c r="D2244" s="12"/>
      <c r="E2244" s="13">
        <v>2294.0</v>
      </c>
      <c r="F2244" s="2"/>
    </row>
    <row r="2245" ht="1.5" customHeight="1">
      <c r="A2245" s="4" t="str">
        <f>IFERROR(__xludf.DUMMYFUNCTION("""COMPUTED_VALUE"""),"4. Eggs")</f>
        <v>4. Eggs</v>
      </c>
      <c r="B2245" s="4" t="str">
        <f>IFERROR(__xludf.DUMMYFUNCTION("""COMPUTED_VALUE"""),"4")</f>
        <v>4</v>
      </c>
      <c r="C2245" s="5" t="str">
        <f>IFERROR(__xludf.DUMMYFUNCTION("""COMPUTED_VALUE"""),"https://drive.google.com/file/d/19MyZ0UdqlpiHmK8XTC_48SSalUXjdgeG/view?usp=drivesdk")</f>
        <v>https://drive.google.com/file/d/19MyZ0UdqlpiHmK8XTC_48SSalUXjdgeG/view?usp=drivesdk</v>
      </c>
      <c r="D2245" s="12"/>
      <c r="E2245" s="13">
        <v>2295.0</v>
      </c>
      <c r="F2245" s="2"/>
    </row>
    <row r="2246" ht="1.5" customHeight="1">
      <c r="A2246" s="4" t="str">
        <f>IFERROR(__xludf.DUMMYFUNCTION("""COMPUTED_VALUE"""),"2. Twix")</f>
        <v>2. Twix</v>
      </c>
      <c r="B2246" s="4" t="str">
        <f>IFERROR(__xludf.DUMMYFUNCTION("""COMPUTED_VALUE"""),"2")</f>
        <v>2</v>
      </c>
      <c r="C2246" s="5" t="str">
        <f>IFERROR(__xludf.DUMMYFUNCTION("""COMPUTED_VALUE"""),"https://drive.google.com/file/d/1Mqtq5Z7PjpGkbm8ssGds475eyulizKcy/view?usp=drivesdk")</f>
        <v>https://drive.google.com/file/d/1Mqtq5Z7PjpGkbm8ssGds475eyulizKcy/view?usp=drivesdk</v>
      </c>
      <c r="D2246" s="12"/>
      <c r="E2246" s="13">
        <v>2296.0</v>
      </c>
      <c r="F2246" s="2"/>
    </row>
    <row r="2247" ht="1.5" customHeight="1">
      <c r="A2247" s="4" t="str">
        <f>IFERROR(__xludf.DUMMYFUNCTION("""COMPUTED_VALUE"""),"5. Eraser")</f>
        <v>5. Eraser</v>
      </c>
      <c r="B2247" s="4" t="str">
        <f>IFERROR(__xludf.DUMMYFUNCTION("""COMPUTED_VALUE"""),"5")</f>
        <v>5</v>
      </c>
      <c r="C2247" s="5" t="str">
        <f>IFERROR(__xludf.DUMMYFUNCTION("""COMPUTED_VALUE"""),"https://drive.google.com/file/d/1Gd3C_6ITuAHBiHwFwnmJh-tzlmvSbQ7Y/view?usp=drivesdk")</f>
        <v>https://drive.google.com/file/d/1Gd3C_6ITuAHBiHwFwnmJh-tzlmvSbQ7Y/view?usp=drivesdk</v>
      </c>
      <c r="D2247" s="12"/>
      <c r="E2247" s="13">
        <v>2297.0</v>
      </c>
      <c r="F2247" s="2"/>
    </row>
    <row r="2248" ht="1.5" customHeight="1">
      <c r="A2248" s="4" t="str">
        <f>IFERROR(__xludf.DUMMYFUNCTION("""COMPUTED_VALUE"""),"4. Eggs")</f>
        <v>4. Eggs</v>
      </c>
      <c r="B2248" s="4" t="str">
        <f>IFERROR(__xludf.DUMMYFUNCTION("""COMPUTED_VALUE"""),"4")</f>
        <v>4</v>
      </c>
      <c r="C2248" s="5" t="str">
        <f>IFERROR(__xludf.DUMMYFUNCTION("""COMPUTED_VALUE"""),"https://drive.google.com/file/d/1lowFG9PGjYg6efYFOeMQNpIg_7lbcqMH/view?usp=drivesdk")</f>
        <v>https://drive.google.com/file/d/1lowFG9PGjYg6efYFOeMQNpIg_7lbcqMH/view?usp=drivesdk</v>
      </c>
      <c r="D2248" s="12"/>
      <c r="E2248" s="13">
        <v>2298.0</v>
      </c>
      <c r="F2248" s="2"/>
    </row>
    <row r="2249" ht="1.5" customHeight="1">
      <c r="A2249" s="4" t="str">
        <f>IFERROR(__xludf.DUMMYFUNCTION("""COMPUTED_VALUE"""),"1. Microwave")</f>
        <v>1. Microwave</v>
      </c>
      <c r="B2249" s="4" t="str">
        <f>IFERROR(__xludf.DUMMYFUNCTION("""COMPUTED_VALUE"""),"1")</f>
        <v>1</v>
      </c>
      <c r="C2249" s="5" t="str">
        <f>IFERROR(__xludf.DUMMYFUNCTION("""COMPUTED_VALUE"""),"https://drive.google.com/file/d/1iOl0B6e7Sqz0OFVms2dhmCgaCdtau2t9/view?usp=drivesdk")</f>
        <v>https://drive.google.com/file/d/1iOl0B6e7Sqz0OFVms2dhmCgaCdtau2t9/view?usp=drivesdk</v>
      </c>
      <c r="D2249" s="12"/>
      <c r="E2249" s="13">
        <v>2299.0</v>
      </c>
      <c r="F2249" s="2"/>
    </row>
    <row r="2250" ht="1.5" customHeight="1">
      <c r="A2250" s="4" t="str">
        <f>IFERROR(__xludf.DUMMYFUNCTION("""COMPUTED_VALUE"""),"32. Noir, 27. Angel")</f>
        <v>32. Noir, 27. Angel</v>
      </c>
      <c r="B2250" s="4" t="str">
        <f>IFERROR(__xludf.DUMMYFUNCTION("""COMPUTED_VALUE"""),"32, 27")</f>
        <v>32, 27</v>
      </c>
      <c r="C2250" s="5" t="str">
        <f>IFERROR(__xludf.DUMMYFUNCTION("""COMPUTED_VALUE"""),"https://drive.google.com/file/d/1GfhsOqtycS88VE89CXSjo8k3laEDyNpn/view?usp=drivesdk")</f>
        <v>https://drive.google.com/file/d/1GfhsOqtycS88VE89CXSjo8k3laEDyNpn/view?usp=drivesdk</v>
      </c>
      <c r="D2250" s="12"/>
      <c r="E2250" s="13">
        <v>2300.0</v>
      </c>
      <c r="F2250" s="2"/>
    </row>
    <row r="2251" ht="1.5" customHeight="1">
      <c r="A2251" s="4" t="str">
        <f>IFERROR(__xludf.DUMMYFUNCTION("""COMPUTED_VALUE"""),"32. Noir, 27. Angel")</f>
        <v>32. Noir, 27. Angel</v>
      </c>
      <c r="B2251" s="4" t="str">
        <f>IFERROR(__xludf.DUMMYFUNCTION("""COMPUTED_VALUE"""),"32, 27")</f>
        <v>32, 27</v>
      </c>
      <c r="C2251" s="5" t="str">
        <f>IFERROR(__xludf.DUMMYFUNCTION("""COMPUTED_VALUE"""),"https://drive.google.com/file/d/1BC_Rk6tvUKHXTrXYdgpubV0T8dgr7Tcx/view?usp=drivesdk")</f>
        <v>https://drive.google.com/file/d/1BC_Rk6tvUKHXTrXYdgpubV0T8dgr7Tcx/view?usp=drivesdk</v>
      </c>
      <c r="D2251" s="12"/>
      <c r="E2251" s="13">
        <v>2301.0</v>
      </c>
      <c r="F2251" s="2"/>
    </row>
    <row r="2252" ht="1.5" customHeight="1">
      <c r="A2252" s="4" t="str">
        <f>IFERROR(__xludf.DUMMYFUNCTION("""COMPUTED_VALUE"""),"1. Microwave")</f>
        <v>1. Microwave</v>
      </c>
      <c r="B2252" s="4" t="str">
        <f>IFERROR(__xludf.DUMMYFUNCTION("""COMPUTED_VALUE"""),"1")</f>
        <v>1</v>
      </c>
      <c r="C2252" s="5" t="str">
        <f>IFERROR(__xludf.DUMMYFUNCTION("""COMPUTED_VALUE"""),"https://drive.google.com/file/d/11htBy35p-E_quYAbNUO-phXK_zgWEBnE/view?usp=drivesdk")</f>
        <v>https://drive.google.com/file/d/11htBy35p-E_quYAbNUO-phXK_zgWEBnE/view?usp=drivesdk</v>
      </c>
      <c r="D2252" s="12"/>
      <c r="E2252" s="13">
        <v>2302.0</v>
      </c>
      <c r="F2252" s="2"/>
    </row>
    <row r="2253" ht="1.5" customHeight="1">
      <c r="A2253" s="4" t="str">
        <f>IFERROR(__xludf.DUMMYFUNCTION("""COMPUTED_VALUE"""),"1. Microwave")</f>
        <v>1. Microwave</v>
      </c>
      <c r="B2253" s="4" t="str">
        <f>IFERROR(__xludf.DUMMYFUNCTION("""COMPUTED_VALUE"""),"1")</f>
        <v>1</v>
      </c>
      <c r="C2253" s="5" t="str">
        <f>IFERROR(__xludf.DUMMYFUNCTION("""COMPUTED_VALUE"""),"https://drive.google.com/file/d/1rw8D4NeL252G0fzZZYMkHfRpVC61nt-Y/view?usp=drivesdk")</f>
        <v>https://drive.google.com/file/d/1rw8D4NeL252G0fzZZYMkHfRpVC61nt-Y/view?usp=drivesdk</v>
      </c>
      <c r="D2253" s="12"/>
      <c r="E2253" s="13">
        <v>2303.0</v>
      </c>
      <c r="F2253" s="2"/>
    </row>
    <row r="2254" ht="1.5" customHeight="1">
      <c r="A2254" s="4" t="str">
        <f>IFERROR(__xludf.DUMMYFUNCTION("""COMPUTED_VALUE"""),"1. Microwave")</f>
        <v>1. Microwave</v>
      </c>
      <c r="B2254" s="4" t="str">
        <f>IFERROR(__xludf.DUMMYFUNCTION("""COMPUTED_VALUE"""),"1")</f>
        <v>1</v>
      </c>
      <c r="C2254" s="5" t="str">
        <f>IFERROR(__xludf.DUMMYFUNCTION("""COMPUTED_VALUE"""),"https://drive.google.com/file/d/1or5r6EV0ALXcxD6GY8dIJg6YmwE4Mn8T/view?usp=drivesdk")</f>
        <v>https://drive.google.com/file/d/1or5r6EV0ALXcxD6GY8dIJg6YmwE4Mn8T/view?usp=drivesdk</v>
      </c>
      <c r="D2254" s="12"/>
      <c r="E2254" s="13">
        <v>2304.0</v>
      </c>
      <c r="F2254" s="2"/>
    </row>
    <row r="2255" ht="1.5" customHeight="1">
      <c r="A2255" s="4" t="str">
        <f>IFERROR(__xludf.DUMMYFUNCTION("""COMPUTED_VALUE"""),"1. Microwave")</f>
        <v>1. Microwave</v>
      </c>
      <c r="B2255" s="4" t="str">
        <f>IFERROR(__xludf.DUMMYFUNCTION("""COMPUTED_VALUE"""),"1")</f>
        <v>1</v>
      </c>
      <c r="C2255" s="5" t="str">
        <f>IFERROR(__xludf.DUMMYFUNCTION("""COMPUTED_VALUE"""),"https://drive.google.com/file/d/1M4BEtOlLbTm5NIktueuez9l-8gjOtkpG/view?usp=drivesdk")</f>
        <v>https://drive.google.com/file/d/1M4BEtOlLbTm5NIktueuez9l-8gjOtkpG/view?usp=drivesdk</v>
      </c>
      <c r="D2255" s="12"/>
      <c r="E2255" s="13">
        <v>2305.0</v>
      </c>
      <c r="F2255" s="2"/>
    </row>
    <row r="2256" ht="1.5" customHeight="1">
      <c r="A2256" s="4" t="str">
        <f>IFERROR(__xludf.DUMMYFUNCTION("""COMPUTED_VALUE"""),"1. Microwave")</f>
        <v>1. Microwave</v>
      </c>
      <c r="B2256" s="4" t="str">
        <f>IFERROR(__xludf.DUMMYFUNCTION("""COMPUTED_VALUE"""),"1")</f>
        <v>1</v>
      </c>
      <c r="C2256" s="5" t="str">
        <f>IFERROR(__xludf.DUMMYFUNCTION("""COMPUTED_VALUE"""),"https://drive.google.com/file/d/1HnVrtdsAklM74bq9xK24M0x7ueX-PZ0x/view?usp=drivesdk")</f>
        <v>https://drive.google.com/file/d/1HnVrtdsAklM74bq9xK24M0x7ueX-PZ0x/view?usp=drivesdk</v>
      </c>
      <c r="D2256" s="12"/>
      <c r="E2256" s="13">
        <v>2306.0</v>
      </c>
      <c r="F2256" s="2"/>
    </row>
    <row r="2257" ht="1.5" customHeight="1">
      <c r="A2257" s="4" t="str">
        <f>IFERROR(__xludf.DUMMYFUNCTION("""COMPUTED_VALUE"""),"27. Angel")</f>
        <v>27. Angel</v>
      </c>
      <c r="B2257" s="4" t="str">
        <f>IFERROR(__xludf.DUMMYFUNCTION("""COMPUTED_VALUE"""),"27")</f>
        <v>27</v>
      </c>
      <c r="C2257" s="5" t="str">
        <f>IFERROR(__xludf.DUMMYFUNCTION("""COMPUTED_VALUE"""),"https://drive.google.com/file/d/11s4HARtX6UfU9UwN04cHalh1_SwWrFhu/view?usp=drivesdk")</f>
        <v>https://drive.google.com/file/d/11s4HARtX6UfU9UwN04cHalh1_SwWrFhu/view?usp=drivesdk</v>
      </c>
      <c r="D2257" s="12"/>
      <c r="E2257" s="13">
        <v>2307.0</v>
      </c>
      <c r="F2257" s="2"/>
    </row>
    <row r="2258" ht="1.5" customHeight="1">
      <c r="A2258" s="4" t="str">
        <f>IFERROR(__xludf.DUMMYFUNCTION("""COMPUTED_VALUE"""),"29. Ginger, 30. Pepper")</f>
        <v>29. Ginger, 30. Pepper</v>
      </c>
      <c r="B2258" s="4" t="str">
        <f>IFERROR(__xludf.DUMMYFUNCTION("""COMPUTED_VALUE"""),"29, 30")</f>
        <v>29, 30</v>
      </c>
      <c r="C2258" s="5" t="str">
        <f>IFERROR(__xludf.DUMMYFUNCTION("""COMPUTED_VALUE"""),"https://drive.google.com/file/d/1QYnX_OHrOc3JihBSVdnhVNBkZCIFO-OX/view?usp=drivesdk")</f>
        <v>https://drive.google.com/file/d/1QYnX_OHrOc3JihBSVdnhVNBkZCIFO-OX/view?usp=drivesdk</v>
      </c>
      <c r="D2258" s="12"/>
      <c r="E2258" s="13">
        <v>2308.0</v>
      </c>
      <c r="F2258" s="2"/>
    </row>
    <row r="2259" ht="1.5" customHeight="1">
      <c r="A2259" s="4" t="str">
        <f>IFERROR(__xludf.DUMMYFUNCTION("""COMPUTED_VALUE"""),"19. Rolo, 20. Citlali")</f>
        <v>19. Rolo, 20. Citlali</v>
      </c>
      <c r="B2259" s="4" t="str">
        <f>IFERROR(__xludf.DUMMYFUNCTION("""COMPUTED_VALUE"""),"19, 20")</f>
        <v>19, 20</v>
      </c>
      <c r="C2259" s="5" t="str">
        <f>IFERROR(__xludf.DUMMYFUNCTION("""COMPUTED_VALUE"""),"https://drive.google.com/file/d/17fPkI-4__4FLEWFFbtUdRUsijuSIPhpN/view?usp=drivesdk")</f>
        <v>https://drive.google.com/file/d/17fPkI-4__4FLEWFFbtUdRUsijuSIPhpN/view?usp=drivesdk</v>
      </c>
      <c r="D2259" s="12"/>
      <c r="E2259" s="13">
        <v>2309.0</v>
      </c>
      <c r="F2259" s="2"/>
    </row>
    <row r="2260" ht="1.5" customHeight="1">
      <c r="A2260" s="4" t="str">
        <f>IFERROR(__xludf.DUMMYFUNCTION("""COMPUTED_VALUE"""),"0. NotACat")</f>
        <v>0. NotACat</v>
      </c>
      <c r="B2260" s="4" t="str">
        <f>IFERROR(__xludf.DUMMYFUNCTION("""COMPUTED_VALUE"""),"0")</f>
        <v>0</v>
      </c>
      <c r="C2260" s="5" t="str">
        <f>IFERROR(__xludf.DUMMYFUNCTION("""COMPUTED_VALUE"""),"https://drive.google.com/file/d/1sdNgXbSJfwBHIq_qiP5kAFsXbhUHiION/view?usp=drivesdk")</f>
        <v>https://drive.google.com/file/d/1sdNgXbSJfwBHIq_qiP5kAFsXbhUHiION/view?usp=drivesdk</v>
      </c>
      <c r="D2260" s="12"/>
      <c r="E2260" s="13">
        <v>2310.0</v>
      </c>
      <c r="F2260" s="2"/>
    </row>
    <row r="2261" ht="1.5" customHeight="1">
      <c r="A2261" s="4" t="str">
        <f>IFERROR(__xludf.DUMMYFUNCTION("""COMPUTED_VALUE"""),"0. NotACat")</f>
        <v>0. NotACat</v>
      </c>
      <c r="B2261" s="4" t="str">
        <f>IFERROR(__xludf.DUMMYFUNCTION("""COMPUTED_VALUE"""),"0")</f>
        <v>0</v>
      </c>
      <c r="C2261" s="5" t="str">
        <f>IFERROR(__xludf.DUMMYFUNCTION("""COMPUTED_VALUE"""),"https://drive.google.com/file/d/1XBmtuFWGl4zfKFN53Gh6KNWrCXU5yI5n/view?usp=drivesdk")</f>
        <v>https://drive.google.com/file/d/1XBmtuFWGl4zfKFN53Gh6KNWrCXU5yI5n/view?usp=drivesdk</v>
      </c>
      <c r="D2261" s="12"/>
      <c r="E2261" s="13">
        <v>2311.0</v>
      </c>
      <c r="F2261" s="2"/>
    </row>
    <row r="2262" ht="1.5" customHeight="1">
      <c r="A2262" s="4" t="str">
        <f>IFERROR(__xludf.DUMMYFUNCTION("""COMPUTED_VALUE"""),"0. NotACat")</f>
        <v>0. NotACat</v>
      </c>
      <c r="B2262" s="4" t="str">
        <f>IFERROR(__xludf.DUMMYFUNCTION("""COMPUTED_VALUE"""),"0")</f>
        <v>0</v>
      </c>
      <c r="C2262" s="5" t="str">
        <f>IFERROR(__xludf.DUMMYFUNCTION("""COMPUTED_VALUE"""),"https://drive.google.com/file/d/1JD9tg9_KqlVnImNqB-opu4W7VnSymKLN/view?usp=drivesdk")</f>
        <v>https://drive.google.com/file/d/1JD9tg9_KqlVnImNqB-opu4W7VnSymKLN/view?usp=drivesdk</v>
      </c>
      <c r="D2262" s="12"/>
      <c r="E2262" s="13">
        <v>2312.0</v>
      </c>
      <c r="F2262" s="2"/>
    </row>
    <row r="2263" ht="1.5" customHeight="1">
      <c r="A2263" s="4" t="str">
        <f>IFERROR(__xludf.DUMMYFUNCTION("""COMPUTED_VALUE"""),"0. NotACat")</f>
        <v>0. NotACat</v>
      </c>
      <c r="B2263" s="4" t="str">
        <f>IFERROR(__xludf.DUMMYFUNCTION("""COMPUTED_VALUE"""),"0")</f>
        <v>0</v>
      </c>
      <c r="C2263" s="5" t="str">
        <f>IFERROR(__xludf.DUMMYFUNCTION("""COMPUTED_VALUE"""),"https://drive.google.com/file/d/1Efp2eIwSCAfS5_0JCekuzQm1xlARlsvZ/view?usp=drivesdk")</f>
        <v>https://drive.google.com/file/d/1Efp2eIwSCAfS5_0JCekuzQm1xlARlsvZ/view?usp=drivesdk</v>
      </c>
      <c r="D2263" s="12"/>
      <c r="E2263" s="13">
        <v>2313.0</v>
      </c>
      <c r="F2263" s="2"/>
    </row>
    <row r="2264" ht="1.5" customHeight="1">
      <c r="A2264" s="4" t="str">
        <f>IFERROR(__xludf.DUMMYFUNCTION("""COMPUTED_VALUE"""),"21. Paquini")</f>
        <v>21. Paquini</v>
      </c>
      <c r="B2264" s="4" t="str">
        <f>IFERROR(__xludf.DUMMYFUNCTION("""COMPUTED_VALUE"""),"21")</f>
        <v>21</v>
      </c>
      <c r="C2264" s="5" t="str">
        <f>IFERROR(__xludf.DUMMYFUNCTION("""COMPUTED_VALUE"""),"https://drive.google.com/file/d/1BVOgXUbCMkhA6XFTcBERZxZsqu8PR6Uh/view?usp=drivesdk")</f>
        <v>https://drive.google.com/file/d/1BVOgXUbCMkhA6XFTcBERZxZsqu8PR6Uh/view?usp=drivesdk</v>
      </c>
      <c r="D2264" s="12"/>
      <c r="E2264" s="13">
        <v>2314.0</v>
      </c>
      <c r="F2264" s="2"/>
    </row>
    <row r="2265" ht="1.5" customHeight="1">
      <c r="A2265" s="4" t="str">
        <f>IFERROR(__xludf.DUMMYFUNCTION("""COMPUTED_VALUE"""),"20. Citlali")</f>
        <v>20. Citlali</v>
      </c>
      <c r="B2265" s="4" t="str">
        <f>IFERROR(__xludf.DUMMYFUNCTION("""COMPUTED_VALUE"""),"20")</f>
        <v>20</v>
      </c>
      <c r="C2265" s="5" t="str">
        <f>IFERROR(__xludf.DUMMYFUNCTION("""COMPUTED_VALUE"""),"https://drive.google.com/file/d/1g6Ss_bSyl-ObkWjCnoD1hIRintf65o7y/view?usp=drivesdk")</f>
        <v>https://drive.google.com/file/d/1g6Ss_bSyl-ObkWjCnoD1hIRintf65o7y/view?usp=drivesdk</v>
      </c>
      <c r="D2265" s="12"/>
      <c r="E2265" s="13">
        <v>2315.0</v>
      </c>
      <c r="F2265" s="2"/>
    </row>
    <row r="2266" ht="1.5" customHeight="1">
      <c r="A2266" s="4" t="str">
        <f>IFERROR(__xludf.DUMMYFUNCTION("""COMPUTED_VALUE"""),"2. Twix")</f>
        <v>2. Twix</v>
      </c>
      <c r="B2266" s="4" t="str">
        <f>IFERROR(__xludf.DUMMYFUNCTION("""COMPUTED_VALUE"""),"2")</f>
        <v>2</v>
      </c>
      <c r="C2266" s="5" t="str">
        <f>IFERROR(__xludf.DUMMYFUNCTION("""COMPUTED_VALUE"""),"https://drive.google.com/file/d/1fJh5jt9QnPKkAETqxSiXrMjRQqgBN1GC/view?usp=drivesdk")</f>
        <v>https://drive.google.com/file/d/1fJh5jt9QnPKkAETqxSiXrMjRQqgBN1GC/view?usp=drivesdk</v>
      </c>
      <c r="D2266" s="12"/>
      <c r="E2266" s="13">
        <v>2316.0</v>
      </c>
      <c r="F2266" s="2"/>
    </row>
    <row r="2267" ht="1.5" customHeight="1">
      <c r="A2267" s="4" t="str">
        <f>IFERROR(__xludf.DUMMYFUNCTION("""COMPUTED_VALUE"""),"2. Twix")</f>
        <v>2. Twix</v>
      </c>
      <c r="B2267" s="4" t="str">
        <f>IFERROR(__xludf.DUMMYFUNCTION("""COMPUTED_VALUE"""),"2")</f>
        <v>2</v>
      </c>
      <c r="C2267" s="5" t="str">
        <f>IFERROR(__xludf.DUMMYFUNCTION("""COMPUTED_VALUE"""),"https://drive.google.com/file/d/1K_mLss30SU7HAVLwUuGyhcjHAIwwVOLQ/view?usp=drivesdk")</f>
        <v>https://drive.google.com/file/d/1K_mLss30SU7HAVLwUuGyhcjHAIwwVOLQ/view?usp=drivesdk</v>
      </c>
      <c r="D2267" s="12"/>
      <c r="E2267" s="13">
        <v>2317.0</v>
      </c>
      <c r="F2267" s="2"/>
    </row>
    <row r="2268" ht="1.5" customHeight="1">
      <c r="A2268" s="4" t="str">
        <f>IFERROR(__xludf.DUMMYFUNCTION("""COMPUTED_VALUE"""),"2. Twix")</f>
        <v>2. Twix</v>
      </c>
      <c r="B2268" s="4" t="str">
        <f>IFERROR(__xludf.DUMMYFUNCTION("""COMPUTED_VALUE"""),"2")</f>
        <v>2</v>
      </c>
      <c r="C2268" s="5" t="str">
        <f>IFERROR(__xludf.DUMMYFUNCTION("""COMPUTED_VALUE"""),"https://drive.google.com/file/d/11zTk_poWJVuHozdVboa2aJfB55dkkrYz/view?usp=drivesdk")</f>
        <v>https://drive.google.com/file/d/11zTk_poWJVuHozdVboa2aJfB55dkkrYz/view?usp=drivesdk</v>
      </c>
      <c r="D2268" s="12"/>
      <c r="E2268" s="13">
        <v>2318.0</v>
      </c>
      <c r="F2268" s="2"/>
    </row>
    <row r="2269" ht="1.5" customHeight="1">
      <c r="A2269" s="4" t="str">
        <f>IFERROR(__xludf.DUMMYFUNCTION("""COMPUTED_VALUE"""),"5. Eraser")</f>
        <v>5. Eraser</v>
      </c>
      <c r="B2269" s="4" t="str">
        <f>IFERROR(__xludf.DUMMYFUNCTION("""COMPUTED_VALUE"""),"5")</f>
        <v>5</v>
      </c>
      <c r="C2269" s="5" t="str">
        <f>IFERROR(__xludf.DUMMYFUNCTION("""COMPUTED_VALUE"""),"https://drive.google.com/file/d/1GOBnR8uTEWBeU5ya9H9PUGEKx6Eked9Z/view?usp=drivesdk")</f>
        <v>https://drive.google.com/file/d/1GOBnR8uTEWBeU5ya9H9PUGEKx6Eked9Z/view?usp=drivesdk</v>
      </c>
      <c r="D2269" s="12"/>
      <c r="E2269" s="13">
        <v>2319.0</v>
      </c>
      <c r="F2269" s="2"/>
    </row>
    <row r="2270" ht="1.5" customHeight="1">
      <c r="A2270" s="4" t="str">
        <f>IFERROR(__xludf.DUMMYFUNCTION("""COMPUTED_VALUE"""),"0. NotACat")</f>
        <v>0. NotACat</v>
      </c>
      <c r="B2270" s="4" t="str">
        <f>IFERROR(__xludf.DUMMYFUNCTION("""COMPUTED_VALUE"""),"0")</f>
        <v>0</v>
      </c>
      <c r="C2270" s="5" t="str">
        <f>IFERROR(__xludf.DUMMYFUNCTION("""COMPUTED_VALUE"""),"https://drive.google.com/file/d/1pb2t5EWHaIo4fyMVB5jTJR2uoC-715ff/view?usp=drivesdk")</f>
        <v>https://drive.google.com/file/d/1pb2t5EWHaIo4fyMVB5jTJR2uoC-715ff/view?usp=drivesdk</v>
      </c>
      <c r="D2270" s="12"/>
      <c r="E2270" s="13">
        <v>2320.0</v>
      </c>
      <c r="F2270" s="2"/>
    </row>
    <row r="2271" ht="1.5" customHeight="1">
      <c r="A2271" s="4" t="str">
        <f>IFERROR(__xludf.DUMMYFUNCTION("""COMPUTED_VALUE"""),"0. NotACat")</f>
        <v>0. NotACat</v>
      </c>
      <c r="B2271" s="4" t="str">
        <f>IFERROR(__xludf.DUMMYFUNCTION("""COMPUTED_VALUE"""),"0")</f>
        <v>0</v>
      </c>
      <c r="C2271" s="5" t="str">
        <f>IFERROR(__xludf.DUMMYFUNCTION("""COMPUTED_VALUE"""),"https://drive.google.com/file/d/1b0S2ABK4y_fxjdvHciNSVNZm70Y27UMT/view?usp=drivesdk")</f>
        <v>https://drive.google.com/file/d/1b0S2ABK4y_fxjdvHciNSVNZm70Y27UMT/view?usp=drivesdk</v>
      </c>
      <c r="D2271" s="12"/>
      <c r="E2271" s="13">
        <v>2321.0</v>
      </c>
      <c r="F2271" s="2"/>
    </row>
    <row r="2272" ht="1.5" customHeight="1">
      <c r="A2272" s="4" t="str">
        <f>IFERROR(__xludf.DUMMYFUNCTION("""COMPUTED_VALUE"""),"66. Toblerone")</f>
        <v>66. Toblerone</v>
      </c>
      <c r="B2272" s="4" t="str">
        <f>IFERROR(__xludf.DUMMYFUNCTION("""COMPUTED_VALUE"""),"66")</f>
        <v>66</v>
      </c>
      <c r="C2272" s="5" t="str">
        <f>IFERROR(__xludf.DUMMYFUNCTION("""COMPUTED_VALUE"""),"https://drive.google.com/file/d/1xpzu9tXR67ZS5p6C9T_M5sVUce3Vyetb/view?usp=drivesdk")</f>
        <v>https://drive.google.com/file/d/1xpzu9tXR67ZS5p6C9T_M5sVUce3Vyetb/view?usp=drivesdk</v>
      </c>
      <c r="D2272" s="12"/>
      <c r="E2272" s="13">
        <v>2322.0</v>
      </c>
      <c r="F2272" s="2"/>
    </row>
    <row r="2273" ht="1.5" customHeight="1">
      <c r="A2273" s="4" t="str">
        <f>IFERROR(__xludf.DUMMYFUNCTION("""COMPUTED_VALUE"""),"66. Toblerone")</f>
        <v>66. Toblerone</v>
      </c>
      <c r="B2273" s="4" t="str">
        <f>IFERROR(__xludf.DUMMYFUNCTION("""COMPUTED_VALUE"""),"66")</f>
        <v>66</v>
      </c>
      <c r="C2273" s="5" t="str">
        <f>IFERROR(__xludf.DUMMYFUNCTION("""COMPUTED_VALUE"""),"https://drive.google.com/file/d/1xSWRee9JTe9Cs1sRpXqqrg4K20H0wqoK/view?usp=drivesdk")</f>
        <v>https://drive.google.com/file/d/1xSWRee9JTe9Cs1sRpXqqrg4K20H0wqoK/view?usp=drivesdk</v>
      </c>
      <c r="D2273" s="12"/>
      <c r="E2273" s="13">
        <v>2323.0</v>
      </c>
      <c r="F2273" s="2"/>
    </row>
    <row r="2274" ht="1.5" customHeight="1">
      <c r="A2274" s="4" t="str">
        <f>IFERROR(__xludf.DUMMYFUNCTION("""COMPUTED_VALUE"""),"66. Toblerone")</f>
        <v>66. Toblerone</v>
      </c>
      <c r="B2274" s="4" t="str">
        <f>IFERROR(__xludf.DUMMYFUNCTION("""COMPUTED_VALUE"""),"66")</f>
        <v>66</v>
      </c>
      <c r="C2274" s="5" t="str">
        <f>IFERROR(__xludf.DUMMYFUNCTION("""COMPUTED_VALUE"""),"https://drive.google.com/file/d/1SZcrD7wltaxlxiNAmJf1PuT9Eo3tDsYZ/view?usp=drivesdk")</f>
        <v>https://drive.google.com/file/d/1SZcrD7wltaxlxiNAmJf1PuT9Eo3tDsYZ/view?usp=drivesdk</v>
      </c>
      <c r="D2274" s="12"/>
      <c r="E2274" s="13">
        <v>2324.0</v>
      </c>
      <c r="F2274" s="2"/>
    </row>
    <row r="2275" ht="1.5" customHeight="1">
      <c r="A2275" s="4" t="str">
        <f>IFERROR(__xludf.DUMMYFUNCTION("""COMPUTED_VALUE"""),"66. Toblerone")</f>
        <v>66. Toblerone</v>
      </c>
      <c r="B2275" s="4" t="str">
        <f>IFERROR(__xludf.DUMMYFUNCTION("""COMPUTED_VALUE"""),"66")</f>
        <v>66</v>
      </c>
      <c r="C2275" s="5" t="str">
        <f>IFERROR(__xludf.DUMMYFUNCTION("""COMPUTED_VALUE"""),"https://drive.google.com/file/d/129c4Yq_JlL9VcdM5Zz_0T84NfU31D7Dd/view?usp=drivesdk")</f>
        <v>https://drive.google.com/file/d/129c4Yq_JlL9VcdM5Zz_0T84NfU31D7Dd/view?usp=drivesdk</v>
      </c>
      <c r="D2275" s="12"/>
      <c r="E2275" s="13">
        <v>2325.0</v>
      </c>
      <c r="F2275" s="2"/>
    </row>
    <row r="2276" ht="1.5" customHeight="1">
      <c r="A2276" s="4" t="str">
        <f>IFERROR(__xludf.DUMMYFUNCTION("""COMPUTED_VALUE"""),"21. Paquini")</f>
        <v>21. Paquini</v>
      </c>
      <c r="B2276" s="4" t="str">
        <f>IFERROR(__xludf.DUMMYFUNCTION("""COMPUTED_VALUE"""),"21")</f>
        <v>21</v>
      </c>
      <c r="C2276" s="5" t="str">
        <f>IFERROR(__xludf.DUMMYFUNCTION("""COMPUTED_VALUE"""),"https://drive.google.com/file/d/1nBGBwlzu1deNBGSvWI0TKAJV5MYZpxhJ/view?usp=drivesdk")</f>
        <v>https://drive.google.com/file/d/1nBGBwlzu1deNBGSvWI0TKAJV5MYZpxhJ/view?usp=drivesdk</v>
      </c>
      <c r="D2276" s="12"/>
      <c r="E2276" s="13">
        <v>2326.0</v>
      </c>
      <c r="F2276" s="2"/>
    </row>
    <row r="2277" ht="1.5" customHeight="1">
      <c r="A2277" s="4" t="str">
        <f>IFERROR(__xludf.DUMMYFUNCTION("""COMPUTED_VALUE"""),"0. NotACat")</f>
        <v>0. NotACat</v>
      </c>
      <c r="B2277" s="4" t="str">
        <f>IFERROR(__xludf.DUMMYFUNCTION("""COMPUTED_VALUE"""),"0")</f>
        <v>0</v>
      </c>
      <c r="C2277" s="5" t="str">
        <f>IFERROR(__xludf.DUMMYFUNCTION("""COMPUTED_VALUE"""),"https://drive.google.com/file/d/1PlZZMTty4luWb9dJ3ZfAPsDMeJ_nPhCb/view?usp=drivesdk")</f>
        <v>https://drive.google.com/file/d/1PlZZMTty4luWb9dJ3ZfAPsDMeJ_nPhCb/view?usp=drivesdk</v>
      </c>
      <c r="D2277" s="12"/>
      <c r="E2277" s="13">
        <v>2327.0</v>
      </c>
      <c r="F2277" s="2"/>
    </row>
    <row r="2278" ht="1.5" customHeight="1">
      <c r="A2278" s="4" t="str">
        <f>IFERROR(__xludf.DUMMYFUNCTION("""COMPUTED_VALUE"""),"2. Twix")</f>
        <v>2. Twix</v>
      </c>
      <c r="B2278" s="4" t="str">
        <f>IFERROR(__xludf.DUMMYFUNCTION("""COMPUTED_VALUE"""),"2")</f>
        <v>2</v>
      </c>
      <c r="C2278" s="5" t="str">
        <f>IFERROR(__xludf.DUMMYFUNCTION("""COMPUTED_VALUE"""),"https://drive.google.com/file/d/1F5tVA6FK7jLnpivyblFSJJXeCz4x6NKt/view?usp=drivesdk")</f>
        <v>https://drive.google.com/file/d/1F5tVA6FK7jLnpivyblFSJJXeCz4x6NKt/view?usp=drivesdk</v>
      </c>
      <c r="D2278" s="12"/>
      <c r="E2278" s="13">
        <v>2328.0</v>
      </c>
      <c r="F2278" s="2"/>
    </row>
    <row r="2279" ht="1.5" customHeight="1">
      <c r="A2279" s="4" t="str">
        <f>IFERROR(__xludf.DUMMYFUNCTION("""COMPUTED_VALUE"""),"5. Eraser")</f>
        <v>5. Eraser</v>
      </c>
      <c r="B2279" s="4" t="str">
        <f>IFERROR(__xludf.DUMMYFUNCTION("""COMPUTED_VALUE"""),"5")</f>
        <v>5</v>
      </c>
      <c r="C2279" s="5" t="str">
        <f>IFERROR(__xludf.DUMMYFUNCTION("""COMPUTED_VALUE"""),"https://drive.google.com/file/d/1ZDFGScGDziGa_NzZCQWzOclJV_XDYKdh/view?usp=drivesdk")</f>
        <v>https://drive.google.com/file/d/1ZDFGScGDziGa_NzZCQWzOclJV_XDYKdh/view?usp=drivesdk</v>
      </c>
      <c r="D2279" s="12"/>
      <c r="E2279" s="13">
        <v>2329.0</v>
      </c>
      <c r="F2279" s="2"/>
    </row>
    <row r="2280" ht="1.5" customHeight="1">
      <c r="A2280" s="4" t="str">
        <f>IFERROR(__xludf.DUMMYFUNCTION("""COMPUTED_VALUE"""),"4. Eggs")</f>
        <v>4. Eggs</v>
      </c>
      <c r="B2280" s="4" t="str">
        <f>IFERROR(__xludf.DUMMYFUNCTION("""COMPUTED_VALUE"""),"4")</f>
        <v>4</v>
      </c>
      <c r="C2280" s="5" t="str">
        <f>IFERROR(__xludf.DUMMYFUNCTION("""COMPUTED_VALUE"""),"https://drive.google.com/file/d/1FnF6kCxTylPsKhJ8iou1XhWSYc5h-TrX/view?usp=drivesdk")</f>
        <v>https://drive.google.com/file/d/1FnF6kCxTylPsKhJ8iou1XhWSYc5h-TrX/view?usp=drivesdk</v>
      </c>
      <c r="D2280" s="12"/>
      <c r="E2280" s="13">
        <v>2330.0</v>
      </c>
      <c r="F2280" s="2"/>
    </row>
    <row r="2281" ht="1.5" customHeight="1">
      <c r="A2281" s="4" t="str">
        <f>IFERROR(__xludf.DUMMYFUNCTION("""COMPUTED_VALUE"""),"2. Twix")</f>
        <v>2. Twix</v>
      </c>
      <c r="B2281" s="4" t="str">
        <f>IFERROR(__xludf.DUMMYFUNCTION("""COMPUTED_VALUE"""),"2")</f>
        <v>2</v>
      </c>
      <c r="C2281" s="5" t="str">
        <f>IFERROR(__xludf.DUMMYFUNCTION("""COMPUTED_VALUE"""),"https://drive.google.com/file/d/12iwki-kNvd3_OCXB3ElpthBeGk9mcnmc/view?usp=drivesdk")</f>
        <v>https://drive.google.com/file/d/12iwki-kNvd3_OCXB3ElpthBeGk9mcnmc/view?usp=drivesdk</v>
      </c>
      <c r="D2281" s="12"/>
      <c r="E2281" s="13">
        <v>2331.0</v>
      </c>
      <c r="F2281" s="2"/>
    </row>
    <row r="2282" ht="1.5" customHeight="1">
      <c r="A2282" s="4" t="str">
        <f>IFERROR(__xludf.DUMMYFUNCTION("""COMPUTED_VALUE"""),"1. Microwave")</f>
        <v>1. Microwave</v>
      </c>
      <c r="B2282" s="4" t="str">
        <f>IFERROR(__xludf.DUMMYFUNCTION("""COMPUTED_VALUE"""),"1")</f>
        <v>1</v>
      </c>
      <c r="C2282" s="5" t="str">
        <f>IFERROR(__xludf.DUMMYFUNCTION("""COMPUTED_VALUE"""),"https://drive.google.com/file/d/12kIH_mEd8cLLvdcKdsDsfyrcaFuXvAIi/view?usp=drivesdk")</f>
        <v>https://drive.google.com/file/d/12kIH_mEd8cLLvdcKdsDsfyrcaFuXvAIi/view?usp=drivesdk</v>
      </c>
      <c r="D2282" s="12"/>
      <c r="E2282" s="13">
        <v>2332.0</v>
      </c>
      <c r="F2282" s="2"/>
    </row>
    <row r="2283" ht="1.5" customHeight="1">
      <c r="A2283" s="4" t="str">
        <f>IFERROR(__xludf.DUMMYFUNCTION("""COMPUTED_VALUE"""),"1. Microwave")</f>
        <v>1. Microwave</v>
      </c>
      <c r="B2283" s="4" t="str">
        <f>IFERROR(__xludf.DUMMYFUNCTION("""COMPUTED_VALUE"""),"1")</f>
        <v>1</v>
      </c>
      <c r="C2283" s="5" t="str">
        <f>IFERROR(__xludf.DUMMYFUNCTION("""COMPUTED_VALUE"""),"https://drive.google.com/file/d/1SJSwNf1F3NTJNO6kAh0QvT7QRA8bmQKb/view?usp=drivesdk")</f>
        <v>https://drive.google.com/file/d/1SJSwNf1F3NTJNO6kAh0QvT7QRA8bmQKb/view?usp=drivesdk</v>
      </c>
      <c r="D2283" s="12"/>
      <c r="E2283" s="13">
        <v>2333.0</v>
      </c>
      <c r="F2283" s="2"/>
    </row>
    <row r="2284" ht="1.5" customHeight="1">
      <c r="A2284" s="4" t="str">
        <f>IFERROR(__xludf.DUMMYFUNCTION("""COMPUTED_VALUE"""),"4. Eggs")</f>
        <v>4. Eggs</v>
      </c>
      <c r="B2284" s="4" t="str">
        <f>IFERROR(__xludf.DUMMYFUNCTION("""COMPUTED_VALUE"""),"4")</f>
        <v>4</v>
      </c>
      <c r="C2284" s="5" t="str">
        <f>IFERROR(__xludf.DUMMYFUNCTION("""COMPUTED_VALUE"""),"https://drive.google.com/file/d/1dHc8Lu7QgyyB5CgEoxzR80jjXMCDvH3G/view?usp=drivesdk")</f>
        <v>https://drive.google.com/file/d/1dHc8Lu7QgyyB5CgEoxzR80jjXMCDvH3G/view?usp=drivesdk</v>
      </c>
      <c r="D2284" s="12"/>
      <c r="E2284" s="13">
        <v>2334.0</v>
      </c>
      <c r="F2284" s="2"/>
    </row>
    <row r="2285" ht="1.5" customHeight="1">
      <c r="A2285" s="4" t="str">
        <f>IFERROR(__xludf.DUMMYFUNCTION("""COMPUTED_VALUE"""),"4. Eggs")</f>
        <v>4. Eggs</v>
      </c>
      <c r="B2285" s="4" t="str">
        <f>IFERROR(__xludf.DUMMYFUNCTION("""COMPUTED_VALUE"""),"4")</f>
        <v>4</v>
      </c>
      <c r="C2285" s="5" t="str">
        <f>IFERROR(__xludf.DUMMYFUNCTION("""COMPUTED_VALUE"""),"https://drive.google.com/file/d/1YK-CevpnbJc_h81LNYb0oigK3qPN9NHJ/view?usp=drivesdk")</f>
        <v>https://drive.google.com/file/d/1YK-CevpnbJc_h81LNYb0oigK3qPN9NHJ/view?usp=drivesdk</v>
      </c>
      <c r="D2285" s="12"/>
      <c r="E2285" s="13">
        <v>2335.0</v>
      </c>
      <c r="F2285" s="2"/>
    </row>
    <row r="2286" ht="1.5" customHeight="1">
      <c r="A2286" s="4" t="str">
        <f>IFERROR(__xludf.DUMMYFUNCTION("""COMPUTED_VALUE"""),"4. Eggs")</f>
        <v>4. Eggs</v>
      </c>
      <c r="B2286" s="4" t="str">
        <f>IFERROR(__xludf.DUMMYFUNCTION("""COMPUTED_VALUE"""),"4")</f>
        <v>4</v>
      </c>
      <c r="C2286" s="5" t="str">
        <f>IFERROR(__xludf.DUMMYFUNCTION("""COMPUTED_VALUE"""),"https://drive.google.com/file/d/12ionDn9KiUiaL5nrrf0FI788DlYY8jbT/view?usp=drivesdk")</f>
        <v>https://drive.google.com/file/d/12ionDn9KiUiaL5nrrf0FI788DlYY8jbT/view?usp=drivesdk</v>
      </c>
      <c r="D2286" s="12"/>
      <c r="E2286" s="13">
        <v>2336.0</v>
      </c>
      <c r="F2286" s="2"/>
    </row>
    <row r="2287" ht="1.5" customHeight="1">
      <c r="A2287" s="4" t="str">
        <f>IFERROR(__xludf.DUMMYFUNCTION("""COMPUTED_VALUE"""),"5. Eraser")</f>
        <v>5. Eraser</v>
      </c>
      <c r="B2287" s="4" t="str">
        <f>IFERROR(__xludf.DUMMYFUNCTION("""COMPUTED_VALUE"""),"5")</f>
        <v>5</v>
      </c>
      <c r="C2287" s="5" t="str">
        <f>IFERROR(__xludf.DUMMYFUNCTION("""COMPUTED_VALUE"""),"https://drive.google.com/file/d/1W8wkSxkxsO6IawJjD5Jh634ojeDlLLjJ/view?usp=drivesdk")</f>
        <v>https://drive.google.com/file/d/1W8wkSxkxsO6IawJjD5Jh634ojeDlLLjJ/view?usp=drivesdk</v>
      </c>
      <c r="D2287" s="12"/>
      <c r="E2287" s="13">
        <v>2337.0</v>
      </c>
      <c r="F2287" s="2"/>
    </row>
    <row r="2288" ht="1.5" customHeight="1">
      <c r="A2288" s="4" t="str">
        <f>IFERROR(__xludf.DUMMYFUNCTION("""COMPUTED_VALUE"""),"2. Twix, 5. Eraser")</f>
        <v>2. Twix, 5. Eraser</v>
      </c>
      <c r="B2288" s="4" t="str">
        <f>IFERROR(__xludf.DUMMYFUNCTION("""COMPUTED_VALUE"""),"2, 5")</f>
        <v>2, 5</v>
      </c>
      <c r="C2288" s="5" t="str">
        <f>IFERROR(__xludf.DUMMYFUNCTION("""COMPUTED_VALUE"""),"https://drive.google.com/file/d/1opfdf1Ur2TxjGthOLXBI9oE-Ra7Jhe67/view?usp=drivesdk")</f>
        <v>https://drive.google.com/file/d/1opfdf1Ur2TxjGthOLXBI9oE-Ra7Jhe67/view?usp=drivesdk</v>
      </c>
      <c r="D2288" s="12"/>
      <c r="E2288" s="13">
        <v>2338.0</v>
      </c>
      <c r="F2288" s="2"/>
    </row>
    <row r="2289" ht="1.5" customHeight="1">
      <c r="A2289" s="4" t="str">
        <f>IFERROR(__xludf.DUMMYFUNCTION("""COMPUTED_VALUE"""),"5. Eraser")</f>
        <v>5. Eraser</v>
      </c>
      <c r="B2289" s="4" t="str">
        <f>IFERROR(__xludf.DUMMYFUNCTION("""COMPUTED_VALUE"""),"5")</f>
        <v>5</v>
      </c>
      <c r="C2289" s="5" t="str">
        <f>IFERROR(__xludf.DUMMYFUNCTION("""COMPUTED_VALUE"""),"https://drive.google.com/file/d/1FDprZwrh4xDvNOK-XEZq8PDsrxEB5Epg/view?usp=drivesdk")</f>
        <v>https://drive.google.com/file/d/1FDprZwrh4xDvNOK-XEZq8PDsrxEB5Epg/view?usp=drivesdk</v>
      </c>
      <c r="D2289" s="12"/>
      <c r="E2289" s="13">
        <v>2339.0</v>
      </c>
      <c r="F2289" s="2"/>
    </row>
    <row r="2290" ht="1.5" customHeight="1">
      <c r="A2290" s="4" t="str">
        <f>IFERROR(__xludf.DUMMYFUNCTION("""COMPUTED_VALUE"""),"2. Twix")</f>
        <v>2. Twix</v>
      </c>
      <c r="B2290" s="4" t="str">
        <f>IFERROR(__xludf.DUMMYFUNCTION("""COMPUTED_VALUE"""),"2")</f>
        <v>2</v>
      </c>
      <c r="C2290" s="5" t="str">
        <f>IFERROR(__xludf.DUMMYFUNCTION("""COMPUTED_VALUE"""),"https://drive.google.com/file/d/1OWaqOsqNb3j_QO8BzHye7-KnmDDzlL58/view?usp=drivesdk")</f>
        <v>https://drive.google.com/file/d/1OWaqOsqNb3j_QO8BzHye7-KnmDDzlL58/view?usp=drivesdk</v>
      </c>
      <c r="D2290" s="12"/>
      <c r="E2290" s="13">
        <v>2340.0</v>
      </c>
      <c r="F2290" s="2"/>
    </row>
    <row r="2291" ht="1.5" customHeight="1">
      <c r="A2291" s="4" t="str">
        <f>IFERROR(__xludf.DUMMYFUNCTION("""COMPUTED_VALUE"""),"2. Twix, 5. Eraser")</f>
        <v>2. Twix, 5. Eraser</v>
      </c>
      <c r="B2291" s="4" t="str">
        <f>IFERROR(__xludf.DUMMYFUNCTION("""COMPUTED_VALUE"""),"2, 5")</f>
        <v>2, 5</v>
      </c>
      <c r="C2291" s="5" t="str">
        <f>IFERROR(__xludf.DUMMYFUNCTION("""COMPUTED_VALUE"""),"https://drive.google.com/file/d/1PIgRjR_iqUS4bdPOH9mEi5xlauaHQr3c/view?usp=drivesdk")</f>
        <v>https://drive.google.com/file/d/1PIgRjR_iqUS4bdPOH9mEi5xlauaHQr3c/view?usp=drivesdk</v>
      </c>
      <c r="D2291" s="12"/>
      <c r="E2291" s="13">
        <v>2341.0</v>
      </c>
      <c r="F2291" s="2"/>
    </row>
    <row r="2292" ht="1.5" customHeight="1">
      <c r="A2292" s="4" t="str">
        <f>IFERROR(__xludf.DUMMYFUNCTION("""COMPUTED_VALUE"""),"2. Twix")</f>
        <v>2. Twix</v>
      </c>
      <c r="B2292" s="4" t="str">
        <f>IFERROR(__xludf.DUMMYFUNCTION("""COMPUTED_VALUE"""),"2")</f>
        <v>2</v>
      </c>
      <c r="C2292" s="5" t="str">
        <f>IFERROR(__xludf.DUMMYFUNCTION("""COMPUTED_VALUE"""),"https://drive.google.com/file/d/1Ha1YQEZh6xEnw7deyeTwtu2s0wYV_v11/view?usp=drivesdk")</f>
        <v>https://drive.google.com/file/d/1Ha1YQEZh6xEnw7deyeTwtu2s0wYV_v11/view?usp=drivesdk</v>
      </c>
      <c r="D2292" s="12"/>
      <c r="E2292" s="13">
        <v>2342.0</v>
      </c>
      <c r="F2292" s="2"/>
    </row>
    <row r="2293" ht="1.5" customHeight="1">
      <c r="A2293" s="4" t="str">
        <f>IFERROR(__xludf.DUMMYFUNCTION("""COMPUTED_VALUE"""),"17. Bobbie, 78. Ed Sheeran, 79. Leaflet")</f>
        <v>17. Bobbie, 78. Ed Sheeran, 79. Leaflet</v>
      </c>
      <c r="B2293" s="4" t="str">
        <f>IFERROR(__xludf.DUMMYFUNCTION("""COMPUTED_VALUE"""),"17, 78, 79")</f>
        <v>17, 78, 79</v>
      </c>
      <c r="C2293" s="5" t="str">
        <f>IFERROR(__xludf.DUMMYFUNCTION("""COMPUTED_VALUE"""),"https://drive.google.com/file/d/1VBTWUhqBYBZjFelv8e4mHt55IQ6gDWri/view?usp=drivesdk")</f>
        <v>https://drive.google.com/file/d/1VBTWUhqBYBZjFelv8e4mHt55IQ6gDWri/view?usp=drivesdk</v>
      </c>
      <c r="D2293" s="12"/>
      <c r="E2293" s="13">
        <v>2343.0</v>
      </c>
      <c r="F2293" s="2"/>
    </row>
    <row r="2294" ht="1.5" customHeight="1">
      <c r="A2294" s="4" t="str">
        <f>IFERROR(__xludf.DUMMYFUNCTION("""COMPUTED_VALUE"""),"17. Bobbie, 78. Ed Sheeran, 79. Leaflet")</f>
        <v>17. Bobbie, 78. Ed Sheeran, 79. Leaflet</v>
      </c>
      <c r="B2294" s="4" t="str">
        <f>IFERROR(__xludf.DUMMYFUNCTION("""COMPUTED_VALUE"""),"17, 78, 79")</f>
        <v>17, 78, 79</v>
      </c>
      <c r="C2294" s="5" t="str">
        <f>IFERROR(__xludf.DUMMYFUNCTION("""COMPUTED_VALUE"""),"https://drive.google.com/file/d/1HRAvT0MShVVuw6eOhuyWMCGqGb-XT6tX/view?usp=drivesdk")</f>
        <v>https://drive.google.com/file/d/1HRAvT0MShVVuw6eOhuyWMCGqGb-XT6tX/view?usp=drivesdk</v>
      </c>
      <c r="D2294" s="12"/>
      <c r="E2294" s="13">
        <v>2344.0</v>
      </c>
      <c r="F2294" s="2"/>
    </row>
    <row r="2295" ht="1.5" customHeight="1">
      <c r="A2295" s="4" t="str">
        <f>IFERROR(__xludf.DUMMYFUNCTION("""COMPUTED_VALUE"""),"17. Bobbie, 78. Ed Sheeran, 79. Leaflet")</f>
        <v>17. Bobbie, 78. Ed Sheeran, 79. Leaflet</v>
      </c>
      <c r="B2295" s="4" t="str">
        <f>IFERROR(__xludf.DUMMYFUNCTION("""COMPUTED_VALUE"""),"17, 78, 79")</f>
        <v>17, 78, 79</v>
      </c>
      <c r="C2295" s="5" t="str">
        <f>IFERROR(__xludf.DUMMYFUNCTION("""COMPUTED_VALUE"""),"https://drive.google.com/file/d/1QeZJMeEjjMi7PARsXSFZ7UuBOhe0P4A5/view?usp=drivesdk")</f>
        <v>https://drive.google.com/file/d/1QeZJMeEjjMi7PARsXSFZ7UuBOhe0P4A5/view?usp=drivesdk</v>
      </c>
      <c r="D2295" s="12"/>
      <c r="E2295" s="13">
        <v>2345.0</v>
      </c>
      <c r="F2295" s="2"/>
    </row>
    <row r="2296" ht="1.5" customHeight="1">
      <c r="A2296" s="4" t="str">
        <f>IFERROR(__xludf.DUMMYFUNCTION("""COMPUTED_VALUE"""),"52. Voidling")</f>
        <v>52. Voidling</v>
      </c>
      <c r="B2296" s="4" t="str">
        <f>IFERROR(__xludf.DUMMYFUNCTION("""COMPUTED_VALUE"""),"52")</f>
        <v>52</v>
      </c>
      <c r="C2296" s="5" t="str">
        <f>IFERROR(__xludf.DUMMYFUNCTION("""COMPUTED_VALUE"""),"https://drive.google.com/file/d/1zZVBgHWf65h0Sd1tOcbLU0AtrN_9RaN3/view?usp=drivesdk")</f>
        <v>https://drive.google.com/file/d/1zZVBgHWf65h0Sd1tOcbLU0AtrN_9RaN3/view?usp=drivesdk</v>
      </c>
      <c r="D2296" s="12"/>
      <c r="E2296" s="13">
        <v>2346.0</v>
      </c>
      <c r="F2296" s="2"/>
    </row>
    <row r="2297" ht="1.5" customHeight="1">
      <c r="A2297" s="4" t="str">
        <f>IFERROR(__xludf.DUMMYFUNCTION("""COMPUTED_VALUE"""),"52. Voidling")</f>
        <v>52. Voidling</v>
      </c>
      <c r="B2297" s="4" t="str">
        <f>IFERROR(__xludf.DUMMYFUNCTION("""COMPUTED_VALUE"""),"52")</f>
        <v>52</v>
      </c>
      <c r="C2297" s="5" t="str">
        <f>IFERROR(__xludf.DUMMYFUNCTION("""COMPUTED_VALUE"""),"https://drive.google.com/file/d/1hNS3VhIujcEUwNrnia4xGrw-MIBPG2qQ/view?usp=drivesdk")</f>
        <v>https://drive.google.com/file/d/1hNS3VhIujcEUwNrnia4xGrw-MIBPG2qQ/view?usp=drivesdk</v>
      </c>
      <c r="D2297" s="12"/>
      <c r="E2297" s="13">
        <v>2347.0</v>
      </c>
      <c r="F2297" s="2"/>
    </row>
    <row r="2298" ht="1.5" customHeight="1">
      <c r="A2298" s="4" t="str">
        <f>IFERROR(__xludf.DUMMYFUNCTION("""COMPUTED_VALUE"""),"1. Microwave")</f>
        <v>1. Microwave</v>
      </c>
      <c r="B2298" s="4" t="str">
        <f>IFERROR(__xludf.DUMMYFUNCTION("""COMPUTED_VALUE"""),"1")</f>
        <v>1</v>
      </c>
      <c r="C2298" s="5" t="str">
        <f>IFERROR(__xludf.DUMMYFUNCTION("""COMPUTED_VALUE"""),"https://drive.google.com/file/d/1_Ni-RqeuCwZMDqs4ZAOCOfbstON924_P/view?usp=drivesdk")</f>
        <v>https://drive.google.com/file/d/1_Ni-RqeuCwZMDqs4ZAOCOfbstON924_P/view?usp=drivesdk</v>
      </c>
      <c r="D2298" s="12"/>
      <c r="E2298" s="13">
        <v>2348.0</v>
      </c>
      <c r="F2298" s="2"/>
    </row>
    <row r="2299" ht="1.5" customHeight="1">
      <c r="A2299" s="4" t="str">
        <f>IFERROR(__xludf.DUMMYFUNCTION("""COMPUTED_VALUE"""),"1. Microwave")</f>
        <v>1. Microwave</v>
      </c>
      <c r="B2299" s="4" t="str">
        <f>IFERROR(__xludf.DUMMYFUNCTION("""COMPUTED_VALUE"""),"1")</f>
        <v>1</v>
      </c>
      <c r="C2299" s="5" t="str">
        <f>IFERROR(__xludf.DUMMYFUNCTION("""COMPUTED_VALUE"""),"https://drive.google.com/file/d/1rO_EVhRyPYKn2tC3vIwdKmT1zx8_hIH-/view?usp=drivesdk")</f>
        <v>https://drive.google.com/file/d/1rO_EVhRyPYKn2tC3vIwdKmT1zx8_hIH-/view?usp=drivesdk</v>
      </c>
      <c r="D2299" s="12"/>
      <c r="E2299" s="13">
        <v>2349.0</v>
      </c>
      <c r="F2299" s="2"/>
    </row>
    <row r="2300" ht="1.5" customHeight="1">
      <c r="A2300" s="4" t="str">
        <f>IFERROR(__xludf.DUMMYFUNCTION("""COMPUTED_VALUE"""),"1. Microwave")</f>
        <v>1. Microwave</v>
      </c>
      <c r="B2300" s="4" t="str">
        <f>IFERROR(__xludf.DUMMYFUNCTION("""COMPUTED_VALUE"""),"1")</f>
        <v>1</v>
      </c>
      <c r="C2300" s="5" t="str">
        <f>IFERROR(__xludf.DUMMYFUNCTION("""COMPUTED_VALUE"""),"https://drive.google.com/file/d/1wVlM0i667JovHEsQIoDBcNCMxueLaYKw/view?usp=drivesdk")</f>
        <v>https://drive.google.com/file/d/1wVlM0i667JovHEsQIoDBcNCMxueLaYKw/view?usp=drivesdk</v>
      </c>
      <c r="D2300" s="12"/>
      <c r="E2300" s="13">
        <v>2350.0</v>
      </c>
      <c r="F2300" s="2"/>
    </row>
    <row r="2301" ht="1.5" customHeight="1">
      <c r="A2301" s="4" t="str">
        <f>IFERROR(__xludf.DUMMYFUNCTION("""COMPUTED_VALUE"""),"1. Microwave")</f>
        <v>1. Microwave</v>
      </c>
      <c r="B2301" s="4" t="str">
        <f>IFERROR(__xludf.DUMMYFUNCTION("""COMPUTED_VALUE"""),"1")</f>
        <v>1</v>
      </c>
      <c r="C2301" s="5" t="str">
        <f>IFERROR(__xludf.DUMMYFUNCTION("""COMPUTED_VALUE"""),"https://drive.google.com/file/d/1DJNMWID7qIyhKPmXoFJO7HZGm0Lp1iSm/view?usp=drivesdk")</f>
        <v>https://drive.google.com/file/d/1DJNMWID7qIyhKPmXoFJO7HZGm0Lp1iSm/view?usp=drivesdk</v>
      </c>
      <c r="D2301" s="12"/>
      <c r="E2301" s="13">
        <v>2351.0</v>
      </c>
      <c r="F2301" s="2"/>
    </row>
    <row r="2302" ht="1.5" customHeight="1">
      <c r="A2302" s="4" t="str">
        <f>IFERROR(__xludf.DUMMYFUNCTION("""COMPUTED_VALUE"""),"1. Microwave")</f>
        <v>1. Microwave</v>
      </c>
      <c r="B2302" s="4" t="str">
        <f>IFERROR(__xludf.DUMMYFUNCTION("""COMPUTED_VALUE"""),"1")</f>
        <v>1</v>
      </c>
      <c r="C2302" s="5" t="str">
        <f>IFERROR(__xludf.DUMMYFUNCTION("""COMPUTED_VALUE"""),"https://drive.google.com/file/d/1FmeGLwMVg1dBv00ybsX1tDNafjjlKB-W/view?usp=drivesdk")</f>
        <v>https://drive.google.com/file/d/1FmeGLwMVg1dBv00ybsX1tDNafjjlKB-W/view?usp=drivesdk</v>
      </c>
      <c r="D2302" s="12"/>
      <c r="E2302" s="13">
        <v>2352.0</v>
      </c>
      <c r="F2302" s="2"/>
    </row>
    <row r="2303" ht="1.5" customHeight="1">
      <c r="A2303" s="4" t="str">
        <f>IFERROR(__xludf.DUMMYFUNCTION("""COMPUTED_VALUE"""),"80. Atzi")</f>
        <v>80. Atzi</v>
      </c>
      <c r="B2303" s="4" t="str">
        <f>IFERROR(__xludf.DUMMYFUNCTION("""COMPUTED_VALUE"""),"80")</f>
        <v>80</v>
      </c>
      <c r="C2303" s="5" t="str">
        <f>IFERROR(__xludf.DUMMYFUNCTION("""COMPUTED_VALUE"""),"https://drive.google.com/file/d/1AUMn9TWMv1Ril5GPou_Z8tUHDctOgEKy/view?usp=drivesdk")</f>
        <v>https://drive.google.com/file/d/1AUMn9TWMv1Ril5GPou_Z8tUHDctOgEKy/view?usp=drivesdk</v>
      </c>
      <c r="D2303" s="12"/>
      <c r="E2303" s="13">
        <v>2353.0</v>
      </c>
      <c r="F2303" s="2"/>
    </row>
    <row r="2304" ht="1.5" customHeight="1">
      <c r="A2304" s="4" t="str">
        <f>IFERROR(__xludf.DUMMYFUNCTION("""COMPUTED_VALUE"""),"80. Atzi")</f>
        <v>80. Atzi</v>
      </c>
      <c r="B2304" s="4" t="str">
        <f>IFERROR(__xludf.DUMMYFUNCTION("""COMPUTED_VALUE"""),"80")</f>
        <v>80</v>
      </c>
      <c r="C2304" s="5" t="str">
        <f>IFERROR(__xludf.DUMMYFUNCTION("""COMPUTED_VALUE"""),"https://drive.google.com/file/d/1Gi4n2uQCjkc66VlvUQ98DoeH3DWeKxl9/view?usp=drivesdk")</f>
        <v>https://drive.google.com/file/d/1Gi4n2uQCjkc66VlvUQ98DoeH3DWeKxl9/view?usp=drivesdk</v>
      </c>
      <c r="D2304" s="12"/>
      <c r="E2304" s="13">
        <v>2354.0</v>
      </c>
      <c r="F2304" s="2"/>
    </row>
    <row r="2305" ht="1.5" customHeight="1">
      <c r="A2305" s="4" t="str">
        <f>IFERROR(__xludf.DUMMYFUNCTION("""COMPUTED_VALUE"""),"81. Ehecatl, 82. Tlatecuini, 83. Mixtli")</f>
        <v>81. Ehecatl, 82. Tlatecuini, 83. Mixtli</v>
      </c>
      <c r="B2305" s="4" t="str">
        <f>IFERROR(__xludf.DUMMYFUNCTION("""COMPUTED_VALUE"""),"81, 82, 83")</f>
        <v>81, 82, 83</v>
      </c>
      <c r="C2305" s="5" t="str">
        <f>IFERROR(__xludf.DUMMYFUNCTION("""COMPUTED_VALUE"""),"https://drive.google.com/file/d/1yzJYxBd7a4ULWJ8YGD4OOJ32Qq7wltuj/view?usp=drivesdk")</f>
        <v>https://drive.google.com/file/d/1yzJYxBd7a4ULWJ8YGD4OOJ32Qq7wltuj/view?usp=drivesdk</v>
      </c>
      <c r="D2305" s="12"/>
      <c r="E2305" s="13">
        <v>2355.0</v>
      </c>
      <c r="F2305" s="2"/>
    </row>
    <row r="2306" ht="1.5" customHeight="1">
      <c r="A2306" s="4" t="str">
        <f>IFERROR(__xludf.DUMMYFUNCTION("""COMPUTED_VALUE"""),"81. Ehecatl, 82. Tlatecuini, 83. Mixtli")</f>
        <v>81. Ehecatl, 82. Tlatecuini, 83. Mixtli</v>
      </c>
      <c r="B2306" s="4" t="str">
        <f>IFERROR(__xludf.DUMMYFUNCTION("""COMPUTED_VALUE"""),"81, 82, 83")</f>
        <v>81, 82, 83</v>
      </c>
      <c r="C2306" s="5" t="str">
        <f>IFERROR(__xludf.DUMMYFUNCTION("""COMPUTED_VALUE"""),"https://drive.google.com/file/d/15inzEGN8bGxgft4lxDWL1S2XP6XB5hUj/view?usp=drivesdk")</f>
        <v>https://drive.google.com/file/d/15inzEGN8bGxgft4lxDWL1S2XP6XB5hUj/view?usp=drivesdk</v>
      </c>
      <c r="D2306" s="12"/>
      <c r="E2306" s="13">
        <v>2356.0</v>
      </c>
      <c r="F2306" s="2"/>
    </row>
    <row r="2307" ht="1.5" customHeight="1">
      <c r="A2307" s="4" t="str">
        <f>IFERROR(__xludf.DUMMYFUNCTION("""COMPUTED_VALUE"""),"82. Tlatecuini, 81. Ehecatl, 83. Mixtli")</f>
        <v>82. Tlatecuini, 81. Ehecatl, 83. Mixtli</v>
      </c>
      <c r="B2307" s="4" t="str">
        <f>IFERROR(__xludf.DUMMYFUNCTION("""COMPUTED_VALUE"""),"82, 81, 83")</f>
        <v>82, 81, 83</v>
      </c>
      <c r="C2307" s="5" t="str">
        <f>IFERROR(__xludf.DUMMYFUNCTION("""COMPUTED_VALUE"""),"https://drive.google.com/file/d/1dWbj8xRL9S2nS8-sDyvNJnpSIxFnFS18/view?usp=drivesdk")</f>
        <v>https://drive.google.com/file/d/1dWbj8xRL9S2nS8-sDyvNJnpSIxFnFS18/view?usp=drivesdk</v>
      </c>
      <c r="D2307" s="12"/>
      <c r="E2307" s="13">
        <v>2357.0</v>
      </c>
      <c r="F2307" s="2"/>
    </row>
    <row r="2308" ht="1.5" customHeight="1">
      <c r="A2308" s="4" t="str">
        <f>IFERROR(__xludf.DUMMYFUNCTION("""COMPUTED_VALUE"""),"0. NotACat")</f>
        <v>0. NotACat</v>
      </c>
      <c r="B2308" s="4" t="str">
        <f>IFERROR(__xludf.DUMMYFUNCTION("""COMPUTED_VALUE"""),"0")</f>
        <v>0</v>
      </c>
      <c r="C2308" s="5" t="str">
        <f>IFERROR(__xludf.DUMMYFUNCTION("""COMPUTED_VALUE"""),"https://drive.google.com/file/d/1nNfGv54AWF85JfpuJn9Bvh8Gz2g9no9X/view?usp=drivesdk")</f>
        <v>https://drive.google.com/file/d/1nNfGv54AWF85JfpuJn9Bvh8Gz2g9no9X/view?usp=drivesdk</v>
      </c>
      <c r="D2308" s="12"/>
      <c r="E2308" s="13">
        <v>2358.0</v>
      </c>
      <c r="F2308" s="2"/>
    </row>
    <row r="2309" ht="1.5" customHeight="1">
      <c r="A2309" s="4" t="str">
        <f>IFERROR(__xludf.DUMMYFUNCTION("""COMPUTED_VALUE"""),"83. Mixtli")</f>
        <v>83. Mixtli</v>
      </c>
      <c r="B2309" s="4" t="str">
        <f>IFERROR(__xludf.DUMMYFUNCTION("""COMPUTED_VALUE"""),"83")</f>
        <v>83</v>
      </c>
      <c r="C2309" s="5" t="str">
        <f>IFERROR(__xludf.DUMMYFUNCTION("""COMPUTED_VALUE"""),"https://drive.google.com/file/d/1elAKa0_sQULmHEkOLqGnXto5ID31Qzs8/view?usp=drivesdk")</f>
        <v>https://drive.google.com/file/d/1elAKa0_sQULmHEkOLqGnXto5ID31Qzs8/view?usp=drivesdk</v>
      </c>
      <c r="D2309" s="12"/>
      <c r="E2309" s="13">
        <v>2359.0</v>
      </c>
      <c r="F2309" s="2"/>
    </row>
    <row r="2310" ht="1.5" customHeight="1">
      <c r="A2310" s="4" t="str">
        <f>IFERROR(__xludf.DUMMYFUNCTION("""COMPUTED_VALUE"""),"81. Ehecatl")</f>
        <v>81. Ehecatl</v>
      </c>
      <c r="B2310" s="4" t="str">
        <f>IFERROR(__xludf.DUMMYFUNCTION("""COMPUTED_VALUE"""),"81")</f>
        <v>81</v>
      </c>
      <c r="C2310" s="5" t="str">
        <f>IFERROR(__xludf.DUMMYFUNCTION("""COMPUTED_VALUE"""),"https://drive.google.com/file/d/1WT9ocg5DpSGf9Pz6MK76-vN4mgOySKnI/view?usp=drivesdk")</f>
        <v>https://drive.google.com/file/d/1WT9ocg5DpSGf9Pz6MK76-vN4mgOySKnI/view?usp=drivesdk</v>
      </c>
      <c r="D2310" s="12"/>
      <c r="E2310" s="13">
        <v>2360.0</v>
      </c>
      <c r="F2310" s="2"/>
    </row>
    <row r="2311" ht="1.5" customHeight="1">
      <c r="A2311" s="4" t="str">
        <f>IFERROR(__xludf.DUMMYFUNCTION("""COMPUTED_VALUE"""),"1. Microwave")</f>
        <v>1. Microwave</v>
      </c>
      <c r="B2311" s="4" t="str">
        <f>IFERROR(__xludf.DUMMYFUNCTION("""COMPUTED_VALUE"""),"1")</f>
        <v>1</v>
      </c>
      <c r="C2311" s="5" t="str">
        <f>IFERROR(__xludf.DUMMYFUNCTION("""COMPUTED_VALUE"""),"https://drive.google.com/file/d/1EnkYkCdCll3aYYo7MZXsEoKx4_u7bLYw/view?usp=drivesdk")</f>
        <v>https://drive.google.com/file/d/1EnkYkCdCll3aYYo7MZXsEoKx4_u7bLYw/view?usp=drivesdk</v>
      </c>
      <c r="D2311" s="12"/>
      <c r="E2311" s="13">
        <v>2361.0</v>
      </c>
      <c r="F2311" s="2"/>
    </row>
    <row r="2312" ht="1.5" customHeight="1">
      <c r="A2312" s="4" t="str">
        <f>IFERROR(__xludf.DUMMYFUNCTION("""COMPUTED_VALUE"""),"1. Microwave")</f>
        <v>1. Microwave</v>
      </c>
      <c r="B2312" s="4" t="str">
        <f>IFERROR(__xludf.DUMMYFUNCTION("""COMPUTED_VALUE"""),"1")</f>
        <v>1</v>
      </c>
      <c r="C2312" s="5" t="str">
        <f>IFERROR(__xludf.DUMMYFUNCTION("""COMPUTED_VALUE"""),"https://drive.google.com/file/d/1ZGtwEQRtEF1f3SA-pN8lQOeY4eh4D3aq/view?usp=drivesdk")</f>
        <v>https://drive.google.com/file/d/1ZGtwEQRtEF1f3SA-pN8lQOeY4eh4D3aq/view?usp=drivesdk</v>
      </c>
      <c r="D2312" s="12"/>
      <c r="E2312" s="13">
        <v>2362.0</v>
      </c>
      <c r="F2312" s="2"/>
    </row>
    <row r="2313" ht="1.5" customHeight="1">
      <c r="A2313" s="4" t="str">
        <f>IFERROR(__xludf.DUMMYFUNCTION("""COMPUTED_VALUE"""),"6. Snickers")</f>
        <v>6. Snickers</v>
      </c>
      <c r="B2313" s="4" t="str">
        <f>IFERROR(__xludf.DUMMYFUNCTION("""COMPUTED_VALUE"""),"6")</f>
        <v>6</v>
      </c>
      <c r="C2313" s="5" t="str">
        <f>IFERROR(__xludf.DUMMYFUNCTION("""COMPUTED_VALUE"""),"https://drive.google.com/file/d/1krPcuMRMugYBnm9fadHZSfEHucY0Usoy/view?usp=drivesdk")</f>
        <v>https://drive.google.com/file/d/1krPcuMRMugYBnm9fadHZSfEHucY0Usoy/view?usp=drivesdk</v>
      </c>
      <c r="D2313" s="12"/>
      <c r="E2313" s="13">
        <v>2363.0</v>
      </c>
      <c r="F2313" s="2"/>
    </row>
    <row r="2314" ht="1.5" customHeight="1">
      <c r="A2314" s="4" t="str">
        <f>IFERROR(__xludf.DUMMYFUNCTION("""COMPUTED_VALUE"""),"6. Snickers")</f>
        <v>6. Snickers</v>
      </c>
      <c r="B2314" s="4" t="str">
        <f>IFERROR(__xludf.DUMMYFUNCTION("""COMPUTED_VALUE"""),"6")</f>
        <v>6</v>
      </c>
      <c r="C2314" s="5" t="str">
        <f>IFERROR(__xludf.DUMMYFUNCTION("""COMPUTED_VALUE"""),"https://drive.google.com/file/d/11hKN-4BBGi4f5Ll8gt65L5hJvT83H2ZI/view?usp=drivesdk")</f>
        <v>https://drive.google.com/file/d/11hKN-4BBGi4f5Ll8gt65L5hJvT83H2ZI/view?usp=drivesdk</v>
      </c>
      <c r="D2314" s="12"/>
      <c r="E2314" s="13">
        <v>2364.0</v>
      </c>
      <c r="F2314" s="2"/>
    </row>
    <row r="2315" ht="1.5" customHeight="1">
      <c r="A2315" s="4" t="str">
        <f>IFERROR(__xludf.DUMMYFUNCTION("""COMPUTED_VALUE"""),"1. Microwave")</f>
        <v>1. Microwave</v>
      </c>
      <c r="B2315" s="4" t="str">
        <f>IFERROR(__xludf.DUMMYFUNCTION("""COMPUTED_VALUE"""),"1")</f>
        <v>1</v>
      </c>
      <c r="C2315" s="5" t="str">
        <f>IFERROR(__xludf.DUMMYFUNCTION("""COMPUTED_VALUE"""),"https://drive.google.com/file/d/1qilNcbG6bPGIImd0kZtmYvOgoqn4p-h_/view?usp=drivesdk")</f>
        <v>https://drive.google.com/file/d/1qilNcbG6bPGIImd0kZtmYvOgoqn4p-h_/view?usp=drivesdk</v>
      </c>
      <c r="D2315" s="12"/>
      <c r="E2315" s="13">
        <v>2365.0</v>
      </c>
      <c r="F2315" s="2"/>
    </row>
    <row r="2316" ht="1.5" customHeight="1">
      <c r="A2316" s="4" t="str">
        <f>IFERROR(__xludf.DUMMYFUNCTION("""COMPUTED_VALUE"""),"1. Microwave")</f>
        <v>1. Microwave</v>
      </c>
      <c r="B2316" s="4" t="str">
        <f>IFERROR(__xludf.DUMMYFUNCTION("""COMPUTED_VALUE"""),"1")</f>
        <v>1</v>
      </c>
      <c r="C2316" s="5" t="str">
        <f>IFERROR(__xludf.DUMMYFUNCTION("""COMPUTED_VALUE"""),"https://drive.google.com/file/d/1PGaHXJjAVAvJP3dtnUgXtednFkoHopwd/view?usp=drivesdk")</f>
        <v>https://drive.google.com/file/d/1PGaHXJjAVAvJP3dtnUgXtednFkoHopwd/view?usp=drivesdk</v>
      </c>
      <c r="D2316" s="12"/>
      <c r="E2316" s="13">
        <v>2366.0</v>
      </c>
      <c r="F2316" s="2"/>
    </row>
    <row r="2317" ht="1.5" customHeight="1">
      <c r="A2317" s="4" t="str">
        <f>IFERROR(__xludf.DUMMYFUNCTION("""COMPUTED_VALUE"""),"30. Pepper, 29. Ginger, 27. Angel")</f>
        <v>30. Pepper, 29. Ginger, 27. Angel</v>
      </c>
      <c r="B2317" s="4" t="str">
        <f>IFERROR(__xludf.DUMMYFUNCTION("""COMPUTED_VALUE"""),"30, 29, 27")</f>
        <v>30, 29, 27</v>
      </c>
      <c r="C2317" s="5" t="str">
        <f>IFERROR(__xludf.DUMMYFUNCTION("""COMPUTED_VALUE"""),"https://drive.google.com/file/d/1QL_tuM3Bm0-uZbWm0ARTflOLsBfzewtE/view?usp=drivesdk")</f>
        <v>https://drive.google.com/file/d/1QL_tuM3Bm0-uZbWm0ARTflOLsBfzewtE/view?usp=drivesdk</v>
      </c>
      <c r="D2317" s="12"/>
      <c r="E2317" s="13">
        <v>2367.0</v>
      </c>
      <c r="F2317" s="2"/>
    </row>
    <row r="2318" ht="1.5" customHeight="1">
      <c r="A2318" s="4" t="str">
        <f>IFERROR(__xludf.DUMMYFUNCTION("""COMPUTED_VALUE"""),"1. Microwave")</f>
        <v>1. Microwave</v>
      </c>
      <c r="B2318" s="4" t="str">
        <f>IFERROR(__xludf.DUMMYFUNCTION("""COMPUTED_VALUE"""),"1")</f>
        <v>1</v>
      </c>
      <c r="C2318" s="5" t="str">
        <f>IFERROR(__xludf.DUMMYFUNCTION("""COMPUTED_VALUE"""),"https://drive.google.com/file/d/1-Cv2ezeSbEU_JnbTzsn0dnsw2UJDKjP3/view?usp=drivesdk")</f>
        <v>https://drive.google.com/file/d/1-Cv2ezeSbEU_JnbTzsn0dnsw2UJDKjP3/view?usp=drivesdk</v>
      </c>
      <c r="D2318" s="12"/>
      <c r="E2318" s="13">
        <v>2368.0</v>
      </c>
      <c r="F2318" s="2"/>
    </row>
    <row r="2319" ht="1.5" customHeight="1">
      <c r="A2319" s="4" t="str">
        <f>IFERROR(__xludf.DUMMYFUNCTION("""COMPUTED_VALUE"""),"1. Microwave")</f>
        <v>1. Microwave</v>
      </c>
      <c r="B2319" s="4" t="str">
        <f>IFERROR(__xludf.DUMMYFUNCTION("""COMPUTED_VALUE"""),"1")</f>
        <v>1</v>
      </c>
      <c r="C2319" s="5" t="str">
        <f>IFERROR(__xludf.DUMMYFUNCTION("""COMPUTED_VALUE"""),"https://drive.google.com/file/d/1zt-1W9i-HlXb_ZBsBxSohGOm55lbXZG-/view?usp=drivesdk")</f>
        <v>https://drive.google.com/file/d/1zt-1W9i-HlXb_ZBsBxSohGOm55lbXZG-/view?usp=drivesdk</v>
      </c>
      <c r="D2319" s="12"/>
      <c r="E2319" s="13">
        <v>2369.0</v>
      </c>
      <c r="F2319" s="2"/>
    </row>
    <row r="2320" ht="1.5" customHeight="1">
      <c r="A2320" s="4" t="str">
        <f>IFERROR(__xludf.DUMMYFUNCTION("""COMPUTED_VALUE"""),"1. Microwave")</f>
        <v>1. Microwave</v>
      </c>
      <c r="B2320" s="4" t="str">
        <f>IFERROR(__xludf.DUMMYFUNCTION("""COMPUTED_VALUE"""),"1")</f>
        <v>1</v>
      </c>
      <c r="C2320" s="5" t="str">
        <f>IFERROR(__xludf.DUMMYFUNCTION("""COMPUTED_VALUE"""),"https://drive.google.com/file/d/1NjrH0M1G1aYrf0OiRAD4qLjlxMbtcSzo/view?usp=drivesdk")</f>
        <v>https://drive.google.com/file/d/1NjrH0M1G1aYrf0OiRAD4qLjlxMbtcSzo/view?usp=drivesdk</v>
      </c>
      <c r="D2320" s="12"/>
      <c r="E2320" s="13">
        <v>2370.0</v>
      </c>
      <c r="F2320" s="2"/>
    </row>
    <row r="2321" ht="1.5" customHeight="1">
      <c r="A2321" s="4" t="str">
        <f>IFERROR(__xludf.DUMMYFUNCTION("""COMPUTED_VALUE"""),"71. Robin")</f>
        <v>71. Robin</v>
      </c>
      <c r="B2321" s="4" t="str">
        <f>IFERROR(__xludf.DUMMYFUNCTION("""COMPUTED_VALUE"""),"71")</f>
        <v>71</v>
      </c>
      <c r="C2321" s="5" t="str">
        <f>IFERROR(__xludf.DUMMYFUNCTION("""COMPUTED_VALUE"""),"https://drive.google.com/file/d/1k8gfS2BHuoLxa3RJDu3VIZ9H48W_KuYs/view?usp=drivesdk")</f>
        <v>https://drive.google.com/file/d/1k8gfS2BHuoLxa3RJDu3VIZ9H48W_KuYs/view?usp=drivesdk</v>
      </c>
      <c r="D2321" s="12"/>
      <c r="E2321" s="13">
        <v>2371.0</v>
      </c>
      <c r="F2321" s="2"/>
    </row>
    <row r="2322" ht="1.5" customHeight="1">
      <c r="A2322" s="4" t="str">
        <f>IFERROR(__xludf.DUMMYFUNCTION("""COMPUTED_VALUE"""),"71. Robin")</f>
        <v>71. Robin</v>
      </c>
      <c r="B2322" s="4" t="str">
        <f>IFERROR(__xludf.DUMMYFUNCTION("""COMPUTED_VALUE"""),"71")</f>
        <v>71</v>
      </c>
      <c r="C2322" s="5" t="str">
        <f>IFERROR(__xludf.DUMMYFUNCTION("""COMPUTED_VALUE"""),"https://drive.google.com/file/d/1ymQ7PQx_n7sYjGwuDHNit2IUHH9DEyv4/view?usp=drivesdk")</f>
        <v>https://drive.google.com/file/d/1ymQ7PQx_n7sYjGwuDHNit2IUHH9DEyv4/view?usp=drivesdk</v>
      </c>
      <c r="D2322" s="12"/>
      <c r="E2322" s="13">
        <v>2372.0</v>
      </c>
      <c r="F2322" s="2"/>
    </row>
    <row r="2323" ht="1.5" customHeight="1">
      <c r="A2323" s="4" t="str">
        <f>IFERROR(__xludf.DUMMYFUNCTION("""COMPUTED_VALUE"""),"0. NotACat")</f>
        <v>0. NotACat</v>
      </c>
      <c r="B2323" s="4" t="str">
        <f>IFERROR(__xludf.DUMMYFUNCTION("""COMPUTED_VALUE"""),"0")</f>
        <v>0</v>
      </c>
      <c r="C2323" s="5" t="str">
        <f>IFERROR(__xludf.DUMMYFUNCTION("""COMPUTED_VALUE"""),"https://drive.google.com/file/d/1cP4UgB60_YcUk5O7CWkdqQ1OWDqDIYeA/view?usp=drivesdk")</f>
        <v>https://drive.google.com/file/d/1cP4UgB60_YcUk5O7CWkdqQ1OWDqDIYeA/view?usp=drivesdk</v>
      </c>
      <c r="D2323" s="12"/>
      <c r="E2323" s="13">
        <v>2373.0</v>
      </c>
      <c r="F2323" s="2"/>
    </row>
    <row r="2324" ht="1.5" customHeight="1">
      <c r="A2324" s="4" t="str">
        <f>IFERROR(__xludf.DUMMYFUNCTION("""COMPUTED_VALUE"""),"4. Eggs")</f>
        <v>4. Eggs</v>
      </c>
      <c r="B2324" s="4" t="str">
        <f>IFERROR(__xludf.DUMMYFUNCTION("""COMPUTED_VALUE"""),"4")</f>
        <v>4</v>
      </c>
      <c r="C2324" s="5" t="str">
        <f>IFERROR(__xludf.DUMMYFUNCTION("""COMPUTED_VALUE"""),"https://drive.google.com/file/d/1WoO5Oc70Tu7LU2kyXTsfrIw9IqZN1JSe/view?usp=drivesdk")</f>
        <v>https://drive.google.com/file/d/1WoO5Oc70Tu7LU2kyXTsfrIw9IqZN1JSe/view?usp=drivesdk</v>
      </c>
      <c r="D2324" s="12"/>
      <c r="E2324" s="13">
        <v>2374.0</v>
      </c>
      <c r="F2324" s="2"/>
    </row>
    <row r="2325" ht="1.5" customHeight="1">
      <c r="A2325" s="4" t="str">
        <f>IFERROR(__xludf.DUMMYFUNCTION("""COMPUTED_VALUE"""),"5. Eraser")</f>
        <v>5. Eraser</v>
      </c>
      <c r="B2325" s="4" t="str">
        <f>IFERROR(__xludf.DUMMYFUNCTION("""COMPUTED_VALUE"""),"5")</f>
        <v>5</v>
      </c>
      <c r="C2325" s="5" t="str">
        <f>IFERROR(__xludf.DUMMYFUNCTION("""COMPUTED_VALUE"""),"https://drive.google.com/file/d/15Wku7XFvaBQZbiA1HadSEmmEc5wh2va_/view?usp=drivesdk")</f>
        <v>https://drive.google.com/file/d/15Wku7XFvaBQZbiA1HadSEmmEc5wh2va_/view?usp=drivesdk</v>
      </c>
      <c r="D2325" s="12"/>
      <c r="E2325" s="13">
        <v>2375.0</v>
      </c>
      <c r="F2325" s="2"/>
    </row>
    <row r="2326" ht="1.5" customHeight="1">
      <c r="A2326" s="4" t="str">
        <f>IFERROR(__xludf.DUMMYFUNCTION("""COMPUTED_VALUE"""),"2. Twix")</f>
        <v>2. Twix</v>
      </c>
      <c r="B2326" s="4" t="str">
        <f>IFERROR(__xludf.DUMMYFUNCTION("""COMPUTED_VALUE"""),"2")</f>
        <v>2</v>
      </c>
      <c r="C2326" s="5" t="str">
        <f>IFERROR(__xludf.DUMMYFUNCTION("""COMPUTED_VALUE"""),"https://drive.google.com/file/d/15Mqcs3vo80mSkaE00akYIrpjPzK4Pe3j/view?usp=drivesdk")</f>
        <v>https://drive.google.com/file/d/15Mqcs3vo80mSkaE00akYIrpjPzK4Pe3j/view?usp=drivesdk</v>
      </c>
      <c r="D2326" s="12"/>
      <c r="E2326" s="13">
        <v>2376.0</v>
      </c>
      <c r="F2326" s="2"/>
    </row>
    <row r="2327" ht="1.5" customHeight="1">
      <c r="A2327" s="4" t="str">
        <f>IFERROR(__xludf.DUMMYFUNCTION("""COMPUTED_VALUE"""),"2. Twix")</f>
        <v>2. Twix</v>
      </c>
      <c r="B2327" s="4" t="str">
        <f>IFERROR(__xludf.DUMMYFUNCTION("""COMPUTED_VALUE"""),"2")</f>
        <v>2</v>
      </c>
      <c r="C2327" s="5" t="str">
        <f>IFERROR(__xludf.DUMMYFUNCTION("""COMPUTED_VALUE"""),"https://drive.google.com/file/d/18ITCdtsAGCvyhU1PONVU-y4eVDzYC5tz/view?usp=drivesdk")</f>
        <v>https://drive.google.com/file/d/18ITCdtsAGCvyhU1PONVU-y4eVDzYC5tz/view?usp=drivesdk</v>
      </c>
      <c r="D2327" s="12"/>
      <c r="E2327" s="13">
        <v>2377.0</v>
      </c>
      <c r="F2327" s="2"/>
    </row>
    <row r="2328" ht="1.5" customHeight="1">
      <c r="A2328" s="4" t="str">
        <f>IFERROR(__xludf.DUMMYFUNCTION("""COMPUTED_VALUE"""),"1. Microwave")</f>
        <v>1. Microwave</v>
      </c>
      <c r="B2328" s="4" t="str">
        <f>IFERROR(__xludf.DUMMYFUNCTION("""COMPUTED_VALUE"""),"1")</f>
        <v>1</v>
      </c>
      <c r="C2328" s="5" t="str">
        <f>IFERROR(__xludf.DUMMYFUNCTION("""COMPUTED_VALUE"""),"https://drive.google.com/file/d/1IaG4UgWTwju-PC40xqemo_Y6S2Gi7Pvy/view?usp=drivesdk")</f>
        <v>https://drive.google.com/file/d/1IaG4UgWTwju-PC40xqemo_Y6S2Gi7Pvy/view?usp=drivesdk</v>
      </c>
      <c r="D2328" s="12"/>
      <c r="E2328" s="13">
        <v>2378.0</v>
      </c>
      <c r="F2328" s="2"/>
    </row>
    <row r="2329" ht="1.5" customHeight="1">
      <c r="A2329" s="4" t="str">
        <f>IFERROR(__xludf.DUMMYFUNCTION("""COMPUTED_VALUE"""),"1. Microwave")</f>
        <v>1. Microwave</v>
      </c>
      <c r="B2329" s="4" t="str">
        <f>IFERROR(__xludf.DUMMYFUNCTION("""COMPUTED_VALUE"""),"1")</f>
        <v>1</v>
      </c>
      <c r="C2329" s="5" t="str">
        <f>IFERROR(__xludf.DUMMYFUNCTION("""COMPUTED_VALUE"""),"https://drive.google.com/file/d/1CNErKTW-mjTsk4NpPfryJQdGkCdPPMuJ/view?usp=drivesdk")</f>
        <v>https://drive.google.com/file/d/1CNErKTW-mjTsk4NpPfryJQdGkCdPPMuJ/view?usp=drivesdk</v>
      </c>
      <c r="D2329" s="12"/>
      <c r="E2329" s="13">
        <v>2379.0</v>
      </c>
      <c r="F2329" s="2"/>
    </row>
    <row r="2330" ht="1.5" customHeight="1">
      <c r="A2330" s="4" t="str">
        <f>IFERROR(__xludf.DUMMYFUNCTION("""COMPUTED_VALUE"""),"1. Microwave")</f>
        <v>1. Microwave</v>
      </c>
      <c r="B2330" s="4" t="str">
        <f>IFERROR(__xludf.DUMMYFUNCTION("""COMPUTED_VALUE"""),"1")</f>
        <v>1</v>
      </c>
      <c r="C2330" s="5" t="str">
        <f>IFERROR(__xludf.DUMMYFUNCTION("""COMPUTED_VALUE"""),"https://drive.google.com/file/d/1gRYct6npqtMQKvQjtH0dNXjFoFbj3Gl0/view?usp=drivesdk")</f>
        <v>https://drive.google.com/file/d/1gRYct6npqtMQKvQjtH0dNXjFoFbj3Gl0/view?usp=drivesdk</v>
      </c>
      <c r="D2330" s="12"/>
      <c r="E2330" s="13">
        <v>2380.0</v>
      </c>
      <c r="F2330" s="2"/>
    </row>
    <row r="2331" ht="1.5" customHeight="1">
      <c r="A2331" s="4" t="str">
        <f>IFERROR(__xludf.DUMMYFUNCTION("""COMPUTED_VALUE"""),"4. Eggs, 5. Eraser")</f>
        <v>4. Eggs, 5. Eraser</v>
      </c>
      <c r="B2331" s="4" t="str">
        <f>IFERROR(__xludf.DUMMYFUNCTION("""COMPUTED_VALUE"""),"4, 5")</f>
        <v>4, 5</v>
      </c>
      <c r="C2331" s="5" t="str">
        <f>IFERROR(__xludf.DUMMYFUNCTION("""COMPUTED_VALUE"""),"https://drive.google.com/file/d/1BlSWn5uWG66JhDF6-dG9DJWoGmljZn3P/view?usp=drivesdk")</f>
        <v>https://drive.google.com/file/d/1BlSWn5uWG66JhDF6-dG9DJWoGmljZn3P/view?usp=drivesdk</v>
      </c>
      <c r="D2331" s="12"/>
      <c r="E2331" s="13">
        <v>2381.0</v>
      </c>
      <c r="F2331" s="2"/>
    </row>
    <row r="2332" ht="1.5" customHeight="1">
      <c r="A2332" s="4" t="str">
        <f>IFERROR(__xludf.DUMMYFUNCTION("""COMPUTED_VALUE"""),"4. Eggs, 5. Eraser, 2. Twix")</f>
        <v>4. Eggs, 5. Eraser, 2. Twix</v>
      </c>
      <c r="B2332" s="4" t="str">
        <f>IFERROR(__xludf.DUMMYFUNCTION("""COMPUTED_VALUE"""),"4, 5, 2")</f>
        <v>4, 5, 2</v>
      </c>
      <c r="C2332" s="5" t="str">
        <f>IFERROR(__xludf.DUMMYFUNCTION("""COMPUTED_VALUE"""),"https://drive.google.com/file/d/1CC_3Emd5zz1fTlR6kyQ1N5BrNqrZtVjH/view?usp=drivesdk")</f>
        <v>https://drive.google.com/file/d/1CC_3Emd5zz1fTlR6kyQ1N5BrNqrZtVjH/view?usp=drivesdk</v>
      </c>
      <c r="D2332" s="12"/>
      <c r="E2332" s="13">
        <v>2382.0</v>
      </c>
      <c r="F2332" s="2"/>
    </row>
    <row r="2333" ht="1.5" customHeight="1">
      <c r="A2333" s="4" t="str">
        <f>IFERROR(__xludf.DUMMYFUNCTION("""COMPUTED_VALUE"""),"5. Eraser")</f>
        <v>5. Eraser</v>
      </c>
      <c r="B2333" s="4" t="str">
        <f>IFERROR(__xludf.DUMMYFUNCTION("""COMPUTED_VALUE"""),"5")</f>
        <v>5</v>
      </c>
      <c r="C2333" s="5" t="str">
        <f>IFERROR(__xludf.DUMMYFUNCTION("""COMPUTED_VALUE"""),"https://drive.google.com/file/d/1l8CaQ4h3vtU3KlmHkOITzeEW3QOg7off/view?usp=drivesdk")</f>
        <v>https://drive.google.com/file/d/1l8CaQ4h3vtU3KlmHkOITzeEW3QOg7off/view?usp=drivesdk</v>
      </c>
      <c r="D2333" s="12"/>
      <c r="E2333" s="13">
        <v>2383.0</v>
      </c>
      <c r="F2333" s="2"/>
    </row>
    <row r="2334" ht="1.5" customHeight="1">
      <c r="A2334" s="4" t="str">
        <f>IFERROR(__xludf.DUMMYFUNCTION("""COMPUTED_VALUE"""),"5. Eraser, 4. Eggs")</f>
        <v>5. Eraser, 4. Eggs</v>
      </c>
      <c r="B2334" s="4" t="str">
        <f>IFERROR(__xludf.DUMMYFUNCTION("""COMPUTED_VALUE"""),"5, 4")</f>
        <v>5, 4</v>
      </c>
      <c r="C2334" s="5" t="str">
        <f>IFERROR(__xludf.DUMMYFUNCTION("""COMPUTED_VALUE"""),"https://drive.google.com/file/d/1Jsp4pJNB56P-mpGyQk6wcP0AiStKsFpL/view?usp=drivesdk")</f>
        <v>https://drive.google.com/file/d/1Jsp4pJNB56P-mpGyQk6wcP0AiStKsFpL/view?usp=drivesdk</v>
      </c>
      <c r="D2334" s="12"/>
      <c r="E2334" s="13">
        <v>2384.0</v>
      </c>
      <c r="F2334" s="2"/>
    </row>
    <row r="2335" ht="1.5" customHeight="1">
      <c r="A2335" s="4" t="str">
        <f>IFERROR(__xludf.DUMMYFUNCTION("""COMPUTED_VALUE"""),"4. Eggs")</f>
        <v>4. Eggs</v>
      </c>
      <c r="B2335" s="4" t="str">
        <f>IFERROR(__xludf.DUMMYFUNCTION("""COMPUTED_VALUE"""),"4")</f>
        <v>4</v>
      </c>
      <c r="C2335" s="5" t="str">
        <f>IFERROR(__xludf.DUMMYFUNCTION("""COMPUTED_VALUE"""),"https://drive.google.com/file/d/1t8k1nLr76fPFuSPqkm8rOVBzUztqIXEr/view?usp=drivesdk")</f>
        <v>https://drive.google.com/file/d/1t8k1nLr76fPFuSPqkm8rOVBzUztqIXEr/view?usp=drivesdk</v>
      </c>
      <c r="D2335" s="12"/>
      <c r="E2335" s="13">
        <v>2385.0</v>
      </c>
      <c r="F2335" s="2"/>
    </row>
    <row r="2336" ht="1.5" customHeight="1">
      <c r="A2336" s="4" t="str">
        <f>IFERROR(__xludf.DUMMYFUNCTION("""COMPUTED_VALUE"""),"4. Eggs")</f>
        <v>4. Eggs</v>
      </c>
      <c r="B2336" s="4" t="str">
        <f>IFERROR(__xludf.DUMMYFUNCTION("""COMPUTED_VALUE"""),"4")</f>
        <v>4</v>
      </c>
      <c r="C2336" s="5" t="str">
        <f>IFERROR(__xludf.DUMMYFUNCTION("""COMPUTED_VALUE"""),"https://drive.google.com/file/d/1lDVns8cmrdMef6sXiOKc9RWJwn9pg_Z-/view?usp=drivesdk")</f>
        <v>https://drive.google.com/file/d/1lDVns8cmrdMef6sXiOKc9RWJwn9pg_Z-/view?usp=drivesdk</v>
      </c>
      <c r="D2336" s="12"/>
      <c r="E2336" s="13">
        <v>2386.0</v>
      </c>
      <c r="F2336" s="2"/>
    </row>
    <row r="2337" ht="1.5" customHeight="1">
      <c r="A2337" s="4" t="str">
        <f>IFERROR(__xludf.DUMMYFUNCTION("""COMPUTED_VALUE"""),"2. Twix")</f>
        <v>2. Twix</v>
      </c>
      <c r="B2337" s="4" t="str">
        <f>IFERROR(__xludf.DUMMYFUNCTION("""COMPUTED_VALUE"""),"2")</f>
        <v>2</v>
      </c>
      <c r="C2337" s="5" t="str">
        <f>IFERROR(__xludf.DUMMYFUNCTION("""COMPUTED_VALUE"""),"https://drive.google.com/file/d/1G4JPTAxnDLDqD0XxWZVAM1rrGvV4x38W/view?usp=drivesdk")</f>
        <v>https://drive.google.com/file/d/1G4JPTAxnDLDqD0XxWZVAM1rrGvV4x38W/view?usp=drivesdk</v>
      </c>
      <c r="D2337" s="12"/>
      <c r="E2337" s="13">
        <v>2387.0</v>
      </c>
      <c r="F2337" s="2"/>
    </row>
    <row r="2338" ht="1.5" customHeight="1">
      <c r="A2338" s="4" t="str">
        <f>IFERROR(__xludf.DUMMYFUNCTION("""COMPUTED_VALUE"""),"2. Twix")</f>
        <v>2. Twix</v>
      </c>
      <c r="B2338" s="4" t="str">
        <f>IFERROR(__xludf.DUMMYFUNCTION("""COMPUTED_VALUE"""),"2")</f>
        <v>2</v>
      </c>
      <c r="C2338" s="5" t="str">
        <f>IFERROR(__xludf.DUMMYFUNCTION("""COMPUTED_VALUE"""),"https://drive.google.com/file/d/1Opys_3P7XmDzog73b2Pl5IIpngQV2wpg/view?usp=drivesdk")</f>
        <v>https://drive.google.com/file/d/1Opys_3P7XmDzog73b2Pl5IIpngQV2wpg/view?usp=drivesdk</v>
      </c>
      <c r="D2338" s="12"/>
      <c r="E2338" s="13">
        <v>2388.0</v>
      </c>
      <c r="F2338" s="2"/>
    </row>
    <row r="2339" ht="1.5" customHeight="1">
      <c r="A2339" s="4" t="str">
        <f>IFERROR(__xludf.DUMMYFUNCTION("""COMPUTED_VALUE"""),"2. Twix")</f>
        <v>2. Twix</v>
      </c>
      <c r="B2339" s="4" t="str">
        <f>IFERROR(__xludf.DUMMYFUNCTION("""COMPUTED_VALUE"""),"2")</f>
        <v>2</v>
      </c>
      <c r="C2339" s="5" t="str">
        <f>IFERROR(__xludf.DUMMYFUNCTION("""COMPUTED_VALUE"""),"https://drive.google.com/file/d/1710BI8Yz-oO2RQfn8FBR0DytizmA4Imy/view?usp=drivesdk")</f>
        <v>https://drive.google.com/file/d/1710BI8Yz-oO2RQfn8FBR0DytizmA4Imy/view?usp=drivesdk</v>
      </c>
      <c r="D2339" s="12"/>
      <c r="E2339" s="13">
        <v>2389.0</v>
      </c>
      <c r="F2339" s="2"/>
    </row>
    <row r="2340" ht="1.5" customHeight="1">
      <c r="A2340" s="4" t="str">
        <f>IFERROR(__xludf.DUMMYFUNCTION("""COMPUTED_VALUE"""),"2. Twix")</f>
        <v>2. Twix</v>
      </c>
      <c r="B2340" s="4" t="str">
        <f>IFERROR(__xludf.DUMMYFUNCTION("""COMPUTED_VALUE"""),"2")</f>
        <v>2</v>
      </c>
      <c r="C2340" s="5" t="str">
        <f>IFERROR(__xludf.DUMMYFUNCTION("""COMPUTED_VALUE"""),"https://drive.google.com/file/d/19GLf4Oh-lUFz0-TbXxJ2E8tMe30V6zVj/view?usp=drivesdk")</f>
        <v>https://drive.google.com/file/d/19GLf4Oh-lUFz0-TbXxJ2E8tMe30V6zVj/view?usp=drivesdk</v>
      </c>
      <c r="D2340" s="12"/>
      <c r="E2340" s="13">
        <v>2390.0</v>
      </c>
      <c r="F2340" s="2"/>
    </row>
    <row r="2341" ht="1.5" customHeight="1">
      <c r="A2341" s="4" t="str">
        <f>IFERROR(__xludf.DUMMYFUNCTION("""COMPUTED_VALUE"""),"2. Twix")</f>
        <v>2. Twix</v>
      </c>
      <c r="B2341" s="4" t="str">
        <f>IFERROR(__xludf.DUMMYFUNCTION("""COMPUTED_VALUE"""),"2")</f>
        <v>2</v>
      </c>
      <c r="C2341" s="5" t="str">
        <f>IFERROR(__xludf.DUMMYFUNCTION("""COMPUTED_VALUE"""),"https://drive.google.com/file/d/1temEr35K7PvmOwOqsvxEG9JPZjIdu-W-/view?usp=drivesdk")</f>
        <v>https://drive.google.com/file/d/1temEr35K7PvmOwOqsvxEG9JPZjIdu-W-/view?usp=drivesdk</v>
      </c>
      <c r="D2341" s="12"/>
      <c r="E2341" s="13">
        <v>2391.0</v>
      </c>
      <c r="F2341" s="2"/>
    </row>
    <row r="2342" ht="1.5" customHeight="1">
      <c r="A2342" s="4" t="str">
        <f>IFERROR(__xludf.DUMMYFUNCTION("""COMPUTED_VALUE"""),"30. Pepper")</f>
        <v>30. Pepper</v>
      </c>
      <c r="B2342" s="4" t="str">
        <f>IFERROR(__xludf.DUMMYFUNCTION("""COMPUTED_VALUE"""),"30")</f>
        <v>30</v>
      </c>
      <c r="C2342" s="5" t="str">
        <f>IFERROR(__xludf.DUMMYFUNCTION("""COMPUTED_VALUE"""),"https://drive.google.com/file/d/1DWXmqacNXqci7EXvA7eZdw8cTOAj2vA8/view?usp=drivesdk")</f>
        <v>https://drive.google.com/file/d/1DWXmqacNXqci7EXvA7eZdw8cTOAj2vA8/view?usp=drivesdk</v>
      </c>
      <c r="D2342" s="12"/>
      <c r="E2342" s="13">
        <v>2392.0</v>
      </c>
      <c r="F2342" s="2"/>
    </row>
    <row r="2343" ht="1.5" customHeight="1">
      <c r="A2343" s="4" t="str">
        <f>IFERROR(__xludf.DUMMYFUNCTION("""COMPUTED_VALUE"""),"49. Freya")</f>
        <v>49. Freya</v>
      </c>
      <c r="B2343" s="4" t="str">
        <f>IFERROR(__xludf.DUMMYFUNCTION("""COMPUTED_VALUE"""),"49")</f>
        <v>49</v>
      </c>
      <c r="C2343" s="5" t="str">
        <f>IFERROR(__xludf.DUMMYFUNCTION("""COMPUTED_VALUE"""),"https://drive.google.com/file/d/1plPByKVUPTdMco0MdLSur00vEREYZG0x/view?usp=drivesdk")</f>
        <v>https://drive.google.com/file/d/1plPByKVUPTdMco0MdLSur00vEREYZG0x/view?usp=drivesdk</v>
      </c>
      <c r="D2343" s="12"/>
      <c r="E2343" s="13">
        <v>2393.0</v>
      </c>
      <c r="F2343" s="2"/>
    </row>
    <row r="2344" ht="1.5" customHeight="1">
      <c r="A2344" s="4" t="str">
        <f>IFERROR(__xludf.DUMMYFUNCTION("""COMPUTED_VALUE"""),"30. Pepper, 29. Ginger")</f>
        <v>30. Pepper, 29. Ginger</v>
      </c>
      <c r="B2344" s="4" t="str">
        <f>IFERROR(__xludf.DUMMYFUNCTION("""COMPUTED_VALUE"""),"30, 29")</f>
        <v>30, 29</v>
      </c>
      <c r="C2344" s="5" t="str">
        <f>IFERROR(__xludf.DUMMYFUNCTION("""COMPUTED_VALUE"""),"https://drive.google.com/file/d/1tnmBGMbarPMnRPPpxwLsZedlwIQxM2UC/view?usp=drivesdk")</f>
        <v>https://drive.google.com/file/d/1tnmBGMbarPMnRPPpxwLsZedlwIQxM2UC/view?usp=drivesdk</v>
      </c>
      <c r="D2344" s="12"/>
      <c r="E2344" s="13">
        <v>2394.0</v>
      </c>
      <c r="F2344" s="2"/>
    </row>
    <row r="2345" ht="1.5" customHeight="1">
      <c r="A2345" s="4" t="str">
        <f>IFERROR(__xludf.DUMMYFUNCTION("""COMPUTED_VALUE"""),"51. Odin")</f>
        <v>51. Odin</v>
      </c>
      <c r="B2345" s="4" t="str">
        <f>IFERROR(__xludf.DUMMYFUNCTION("""COMPUTED_VALUE"""),"51")</f>
        <v>51</v>
      </c>
      <c r="C2345" s="5" t="str">
        <f>IFERROR(__xludf.DUMMYFUNCTION("""COMPUTED_VALUE"""),"https://drive.google.com/file/d/1ZBgKmjwjE5fzK7U0KBkb0w4Xsekda40I/view?usp=drivesdk")</f>
        <v>https://drive.google.com/file/d/1ZBgKmjwjE5fzK7U0KBkb0w4Xsekda40I/view?usp=drivesdk</v>
      </c>
      <c r="D2345" s="12"/>
      <c r="E2345" s="13">
        <v>2395.0</v>
      </c>
      <c r="F2345" s="2"/>
    </row>
    <row r="2346" ht="1.5" customHeight="1">
      <c r="A2346" s="4" t="str">
        <f>IFERROR(__xludf.DUMMYFUNCTION("""COMPUTED_VALUE"""),"51. Odin")</f>
        <v>51. Odin</v>
      </c>
      <c r="B2346" s="4" t="str">
        <f>IFERROR(__xludf.DUMMYFUNCTION("""COMPUTED_VALUE"""),"51")</f>
        <v>51</v>
      </c>
      <c r="C2346" s="5" t="str">
        <f>IFERROR(__xludf.DUMMYFUNCTION("""COMPUTED_VALUE"""),"https://drive.google.com/file/d/1Ef_3WtPCfiKnvbgaXQ2y_q9w6lkMsWej/view?usp=drivesdk")</f>
        <v>https://drive.google.com/file/d/1Ef_3WtPCfiKnvbgaXQ2y_q9w6lkMsWej/view?usp=drivesdk</v>
      </c>
      <c r="D2346" s="12"/>
      <c r="E2346" s="13">
        <v>2396.0</v>
      </c>
      <c r="F2346" s="2"/>
    </row>
    <row r="2347" ht="1.5" customHeight="1">
      <c r="A2347" s="4" t="str">
        <f>IFERROR(__xludf.DUMMYFUNCTION("""COMPUTED_VALUE"""),"0. NotACat")</f>
        <v>0. NotACat</v>
      </c>
      <c r="B2347" s="4" t="str">
        <f>IFERROR(__xludf.DUMMYFUNCTION("""COMPUTED_VALUE"""),"0")</f>
        <v>0</v>
      </c>
      <c r="C2347" s="5" t="str">
        <f>IFERROR(__xludf.DUMMYFUNCTION("""COMPUTED_VALUE"""),"https://drive.google.com/file/d/1CoCmTSqpeWmIj6ZSwj_JByT6YYuuHBdx/view?usp=drivesdk")</f>
        <v>https://drive.google.com/file/d/1CoCmTSqpeWmIj6ZSwj_JByT6YYuuHBdx/view?usp=drivesdk</v>
      </c>
      <c r="D2347" s="12"/>
      <c r="E2347" s="13">
        <v>2397.0</v>
      </c>
      <c r="F2347" s="2"/>
    </row>
    <row r="2348" ht="1.5" customHeight="1">
      <c r="A2348" s="4" t="str">
        <f>IFERROR(__xludf.DUMMYFUNCTION("""COMPUTED_VALUE"""),"78. Ed Sheeran")</f>
        <v>78. Ed Sheeran</v>
      </c>
      <c r="B2348" s="4" t="str">
        <f>IFERROR(__xludf.DUMMYFUNCTION("""COMPUTED_VALUE"""),"78")</f>
        <v>78</v>
      </c>
      <c r="C2348" s="5" t="str">
        <f>IFERROR(__xludf.DUMMYFUNCTION("""COMPUTED_VALUE"""),"https://drive.google.com/file/d/1xJ3w8CugCA_sgzGc1QMSRueapSEMRIrl/view?usp=drivesdk")</f>
        <v>https://drive.google.com/file/d/1xJ3w8CugCA_sgzGc1QMSRueapSEMRIrl/view?usp=drivesdk</v>
      </c>
      <c r="D2348" s="12"/>
      <c r="E2348" s="13">
        <v>2398.0</v>
      </c>
      <c r="F2348" s="2"/>
    </row>
    <row r="2349" ht="1.5" customHeight="1">
      <c r="A2349" s="4" t="str">
        <f>IFERROR(__xludf.DUMMYFUNCTION("""COMPUTED_VALUE"""),"78. Ed Sheeran")</f>
        <v>78. Ed Sheeran</v>
      </c>
      <c r="B2349" s="4" t="str">
        <f>IFERROR(__xludf.DUMMYFUNCTION("""COMPUTED_VALUE"""),"78")</f>
        <v>78</v>
      </c>
      <c r="C2349" s="5" t="str">
        <f>IFERROR(__xludf.DUMMYFUNCTION("""COMPUTED_VALUE"""),"https://drive.google.com/file/d/1QmSVNm5Q0YZaG3UuLeIoo7mc-3VNenDD/view?usp=drivesdk")</f>
        <v>https://drive.google.com/file/d/1QmSVNm5Q0YZaG3UuLeIoo7mc-3VNenDD/view?usp=drivesdk</v>
      </c>
      <c r="D2349" s="12"/>
      <c r="E2349" s="13">
        <v>2399.0</v>
      </c>
      <c r="F2349" s="2"/>
    </row>
    <row r="2350" ht="1.5" customHeight="1">
      <c r="A2350" s="4" t="str">
        <f>IFERROR(__xludf.DUMMYFUNCTION("""COMPUTED_VALUE"""),"1. Microwave")</f>
        <v>1. Microwave</v>
      </c>
      <c r="B2350" s="4" t="str">
        <f>IFERROR(__xludf.DUMMYFUNCTION("""COMPUTED_VALUE"""),"1")</f>
        <v>1</v>
      </c>
      <c r="C2350" s="5" t="str">
        <f>IFERROR(__xludf.DUMMYFUNCTION("""COMPUTED_VALUE"""),"https://drive.google.com/file/d/1wT8ozMDYK4TW_ANaLifM6gxYNOzUAajY/view?usp=drivesdk")</f>
        <v>https://drive.google.com/file/d/1wT8ozMDYK4TW_ANaLifM6gxYNOzUAajY/view?usp=drivesdk</v>
      </c>
      <c r="D2350" s="12"/>
      <c r="E2350" s="13">
        <v>2400.0</v>
      </c>
      <c r="F2350" s="2"/>
    </row>
    <row r="2351" ht="1.5" customHeight="1">
      <c r="A2351" s="4" t="str">
        <f>IFERROR(__xludf.DUMMYFUNCTION("""COMPUTED_VALUE"""),"1. Microwave")</f>
        <v>1. Microwave</v>
      </c>
      <c r="B2351" s="4" t="str">
        <f>IFERROR(__xludf.DUMMYFUNCTION("""COMPUTED_VALUE"""),"1")</f>
        <v>1</v>
      </c>
      <c r="C2351" s="5" t="str">
        <f>IFERROR(__xludf.DUMMYFUNCTION("""COMPUTED_VALUE"""),"https://drive.google.com/file/d/1iAwTvi38vKJFx-oUhqL9K92hGa7LDs_Z/view?usp=drivesdk")</f>
        <v>https://drive.google.com/file/d/1iAwTvi38vKJFx-oUhqL9K92hGa7LDs_Z/view?usp=drivesdk</v>
      </c>
      <c r="D2351" s="12"/>
      <c r="E2351" s="13">
        <v>2401.0</v>
      </c>
      <c r="F2351" s="2"/>
    </row>
    <row r="2352" ht="1.5" customHeight="1">
      <c r="A2352" s="4" t="str">
        <f>IFERROR(__xludf.DUMMYFUNCTION("""COMPUTED_VALUE"""),"1. Microwave")</f>
        <v>1. Microwave</v>
      </c>
      <c r="B2352" s="4" t="str">
        <f>IFERROR(__xludf.DUMMYFUNCTION("""COMPUTED_VALUE"""),"1")</f>
        <v>1</v>
      </c>
      <c r="C2352" s="5" t="str">
        <f>IFERROR(__xludf.DUMMYFUNCTION("""COMPUTED_VALUE"""),"https://drive.google.com/file/d/1j2p94VORqyQMR2S3CijqgNgBxFS5uRXa/view?usp=drivesdk")</f>
        <v>https://drive.google.com/file/d/1j2p94VORqyQMR2S3CijqgNgBxFS5uRXa/view?usp=drivesdk</v>
      </c>
      <c r="D2352" s="12"/>
      <c r="E2352" s="13">
        <v>2402.0</v>
      </c>
      <c r="F2352" s="2"/>
    </row>
    <row r="2353" ht="1.5" customHeight="1">
      <c r="A2353" s="4" t="str">
        <f>IFERROR(__xludf.DUMMYFUNCTION("""COMPUTED_VALUE"""),"2. Twix")</f>
        <v>2. Twix</v>
      </c>
      <c r="B2353" s="4" t="str">
        <f>IFERROR(__xludf.DUMMYFUNCTION("""COMPUTED_VALUE"""),"2")</f>
        <v>2</v>
      </c>
      <c r="C2353" s="5" t="str">
        <f>IFERROR(__xludf.DUMMYFUNCTION("""COMPUTED_VALUE"""),"https://drive.google.com/file/d/1hsa_LEcMqZWrSOU-XW7aTI4wYJQZ7gav/view?usp=drivesdk")</f>
        <v>https://drive.google.com/file/d/1hsa_LEcMqZWrSOU-XW7aTI4wYJQZ7gav/view?usp=drivesdk</v>
      </c>
      <c r="D2353" s="12"/>
      <c r="E2353" s="13">
        <v>2403.0</v>
      </c>
      <c r="F2353" s="2"/>
    </row>
    <row r="2354" ht="1.5" customHeight="1">
      <c r="A2354" s="4" t="str">
        <f>IFERROR(__xludf.DUMMYFUNCTION("""COMPUTED_VALUE"""),"2. Twix")</f>
        <v>2. Twix</v>
      </c>
      <c r="B2354" s="4" t="str">
        <f>IFERROR(__xludf.DUMMYFUNCTION("""COMPUTED_VALUE"""),"2")</f>
        <v>2</v>
      </c>
      <c r="C2354" s="5" t="str">
        <f>IFERROR(__xludf.DUMMYFUNCTION("""COMPUTED_VALUE"""),"https://drive.google.com/file/d/1r46ilUfZtRQ2ShHK0gxuAXfK04RE-u0Z/view?usp=drivesdk")</f>
        <v>https://drive.google.com/file/d/1r46ilUfZtRQ2ShHK0gxuAXfK04RE-u0Z/view?usp=drivesdk</v>
      </c>
      <c r="D2354" s="12"/>
      <c r="E2354" s="13">
        <v>2404.0</v>
      </c>
      <c r="F2354" s="2"/>
    </row>
    <row r="2355" ht="1.5" customHeight="1">
      <c r="A2355" s="4" t="str">
        <f>IFERROR(__xludf.DUMMYFUNCTION("""COMPUTED_VALUE"""),"5. Eraser")</f>
        <v>5. Eraser</v>
      </c>
      <c r="B2355" s="4" t="str">
        <f>IFERROR(__xludf.DUMMYFUNCTION("""COMPUTED_VALUE"""),"5")</f>
        <v>5</v>
      </c>
      <c r="C2355" s="5" t="str">
        <f>IFERROR(__xludf.DUMMYFUNCTION("""COMPUTED_VALUE"""),"https://drive.google.com/file/d/1llPpuYV8ayoGdaDkKmXBvfFCWKeyS4Sl/view?usp=drivesdk")</f>
        <v>https://drive.google.com/file/d/1llPpuYV8ayoGdaDkKmXBvfFCWKeyS4Sl/view?usp=drivesdk</v>
      </c>
      <c r="D2355" s="12"/>
      <c r="E2355" s="13">
        <v>2405.0</v>
      </c>
      <c r="F2355" s="2"/>
    </row>
    <row r="2356" ht="1.5" customHeight="1">
      <c r="A2356" s="4" t="str">
        <f>IFERROR(__xludf.DUMMYFUNCTION("""COMPUTED_VALUE"""),"5. Eraser")</f>
        <v>5. Eraser</v>
      </c>
      <c r="B2356" s="4" t="str">
        <f>IFERROR(__xludf.DUMMYFUNCTION("""COMPUTED_VALUE"""),"5")</f>
        <v>5</v>
      </c>
      <c r="C2356" s="5" t="str">
        <f>IFERROR(__xludf.DUMMYFUNCTION("""COMPUTED_VALUE"""),"https://drive.google.com/file/d/1yCpPRw_XgMLFTd7ehpUa6yI0QFVOeIBc/view?usp=drivesdk")</f>
        <v>https://drive.google.com/file/d/1yCpPRw_XgMLFTd7ehpUa6yI0QFVOeIBc/view?usp=drivesdk</v>
      </c>
      <c r="D2356" s="12"/>
      <c r="E2356" s="13">
        <v>2406.0</v>
      </c>
      <c r="F2356" s="2"/>
    </row>
    <row r="2357" ht="1.5" customHeight="1">
      <c r="A2357" s="4" t="str">
        <f>IFERROR(__xludf.DUMMYFUNCTION("""COMPUTED_VALUE"""),"4. Eggs")</f>
        <v>4. Eggs</v>
      </c>
      <c r="B2357" s="4" t="str">
        <f>IFERROR(__xludf.DUMMYFUNCTION("""COMPUTED_VALUE"""),"4")</f>
        <v>4</v>
      </c>
      <c r="C2357" s="5" t="str">
        <f>IFERROR(__xludf.DUMMYFUNCTION("""COMPUTED_VALUE"""),"https://drive.google.com/file/d/1ucV6dnvj11QROeJyB_MTaA51lXz9ti6c/view?usp=drivesdk")</f>
        <v>https://drive.google.com/file/d/1ucV6dnvj11QROeJyB_MTaA51lXz9ti6c/view?usp=drivesdk</v>
      </c>
      <c r="D2357" s="12"/>
      <c r="E2357" s="13">
        <v>2407.0</v>
      </c>
      <c r="F2357" s="2"/>
    </row>
    <row r="2358" ht="1.5" customHeight="1">
      <c r="A2358" s="4" t="str">
        <f>IFERROR(__xludf.DUMMYFUNCTION("""COMPUTED_VALUE"""),"4. Eggs")</f>
        <v>4. Eggs</v>
      </c>
      <c r="B2358" s="4" t="str">
        <f>IFERROR(__xludf.DUMMYFUNCTION("""COMPUTED_VALUE"""),"4")</f>
        <v>4</v>
      </c>
      <c r="C2358" s="5" t="str">
        <f>IFERROR(__xludf.DUMMYFUNCTION("""COMPUTED_VALUE"""),"https://drive.google.com/file/d/1i9ImLLxj10Ht9CFKRnvyPvGdVf7QMyjW/view?usp=drivesdk")</f>
        <v>https://drive.google.com/file/d/1i9ImLLxj10Ht9CFKRnvyPvGdVf7QMyjW/view?usp=drivesdk</v>
      </c>
      <c r="D2358" s="12"/>
      <c r="E2358" s="13">
        <v>2408.0</v>
      </c>
      <c r="F2358" s="2"/>
    </row>
    <row r="2359" ht="1.5" customHeight="1">
      <c r="A2359" s="4" t="str">
        <f>IFERROR(__xludf.DUMMYFUNCTION("""COMPUTED_VALUE"""),"4. Eggs")</f>
        <v>4. Eggs</v>
      </c>
      <c r="B2359" s="4" t="str">
        <f>IFERROR(__xludf.DUMMYFUNCTION("""COMPUTED_VALUE"""),"4")</f>
        <v>4</v>
      </c>
      <c r="C2359" s="5" t="str">
        <f>IFERROR(__xludf.DUMMYFUNCTION("""COMPUTED_VALUE"""),"https://drive.google.com/file/d/1tktaiYktswtpBS8Rk1e73_5qU46OLj6k/view?usp=drivesdk")</f>
        <v>https://drive.google.com/file/d/1tktaiYktswtpBS8Rk1e73_5qU46OLj6k/view?usp=drivesdk</v>
      </c>
      <c r="D2359" s="12"/>
      <c r="E2359" s="13">
        <v>2409.0</v>
      </c>
      <c r="F2359" s="2"/>
    </row>
    <row r="2360" ht="1.5" customHeight="1">
      <c r="A2360" s="4" t="str">
        <f>IFERROR(__xludf.DUMMYFUNCTION("""COMPUTED_VALUE"""),"2. Twix")</f>
        <v>2. Twix</v>
      </c>
      <c r="B2360" s="4" t="str">
        <f>IFERROR(__xludf.DUMMYFUNCTION("""COMPUTED_VALUE"""),"2")</f>
        <v>2</v>
      </c>
      <c r="C2360" s="5" t="str">
        <f>IFERROR(__xludf.DUMMYFUNCTION("""COMPUTED_VALUE"""),"https://drive.google.com/file/d/1pugtI_Hi1qsbsYFLkxRECTqEmmoSKH6c/view?usp=drivesdk")</f>
        <v>https://drive.google.com/file/d/1pugtI_Hi1qsbsYFLkxRECTqEmmoSKH6c/view?usp=drivesdk</v>
      </c>
      <c r="D2360" s="12"/>
      <c r="E2360" s="13">
        <v>2410.0</v>
      </c>
      <c r="F2360" s="2"/>
    </row>
    <row r="2361" ht="1.5" customHeight="1">
      <c r="A2361" s="4" t="str">
        <f>IFERROR(__xludf.DUMMYFUNCTION("""COMPUTED_VALUE"""),"2. Twix")</f>
        <v>2. Twix</v>
      </c>
      <c r="B2361" s="4" t="str">
        <f>IFERROR(__xludf.DUMMYFUNCTION("""COMPUTED_VALUE"""),"2")</f>
        <v>2</v>
      </c>
      <c r="C2361" s="5" t="str">
        <f>IFERROR(__xludf.DUMMYFUNCTION("""COMPUTED_VALUE"""),"https://drive.google.com/file/d/1Mb-MfXBw46KX6OxCRUhBHWc0MtbLo2SC/view?usp=drivesdk")</f>
        <v>https://drive.google.com/file/d/1Mb-MfXBw46KX6OxCRUhBHWc0MtbLo2SC/view?usp=drivesdk</v>
      </c>
      <c r="D2361" s="12"/>
      <c r="E2361" s="13">
        <v>2411.0</v>
      </c>
      <c r="F2361" s="2"/>
    </row>
    <row r="2362" ht="1.5" customHeight="1">
      <c r="A2362" s="4" t="str">
        <f>IFERROR(__xludf.DUMMYFUNCTION("""COMPUTED_VALUE"""),"2. Twix")</f>
        <v>2. Twix</v>
      </c>
      <c r="B2362" s="4" t="str">
        <f>IFERROR(__xludf.DUMMYFUNCTION("""COMPUTED_VALUE"""),"2")</f>
        <v>2</v>
      </c>
      <c r="C2362" s="5" t="str">
        <f>IFERROR(__xludf.DUMMYFUNCTION("""COMPUTED_VALUE"""),"https://drive.google.com/file/d/1GNlG0Hkz871Av4hzPmc4HYKyKnDTfKrK/view?usp=drivesdk")</f>
        <v>https://drive.google.com/file/d/1GNlG0Hkz871Av4hzPmc4HYKyKnDTfKrK/view?usp=drivesdk</v>
      </c>
      <c r="D2362" s="12"/>
      <c r="E2362" s="13">
        <v>2412.0</v>
      </c>
      <c r="F2362" s="2"/>
    </row>
    <row r="2363" ht="1.5" customHeight="1">
      <c r="A2363" s="4" t="str">
        <f>IFERROR(__xludf.DUMMYFUNCTION("""COMPUTED_VALUE"""),"22. Glockenspiel")</f>
        <v>22. Glockenspiel</v>
      </c>
      <c r="B2363" s="4" t="str">
        <f>IFERROR(__xludf.DUMMYFUNCTION("""COMPUTED_VALUE"""),"22")</f>
        <v>22</v>
      </c>
      <c r="C2363" s="5" t="str">
        <f>IFERROR(__xludf.DUMMYFUNCTION("""COMPUTED_VALUE"""),"https://drive.google.com/file/d/1X5pueJLpHi6EzcJpgQpHxiAmfA1QQQ1j/view?usp=drivesdk")</f>
        <v>https://drive.google.com/file/d/1X5pueJLpHi6EzcJpgQpHxiAmfA1QQQ1j/view?usp=drivesdk</v>
      </c>
      <c r="D2363" s="12"/>
      <c r="E2363" s="13">
        <v>2413.0</v>
      </c>
      <c r="F2363" s="2"/>
    </row>
    <row r="2364" ht="1.5" customHeight="1">
      <c r="A2364" s="4" t="str">
        <f>IFERROR(__xludf.DUMMYFUNCTION("""COMPUTED_VALUE"""),"22. Glockenspiel")</f>
        <v>22. Glockenspiel</v>
      </c>
      <c r="B2364" s="4" t="str">
        <f>IFERROR(__xludf.DUMMYFUNCTION("""COMPUTED_VALUE"""),"22")</f>
        <v>22</v>
      </c>
      <c r="C2364" s="5" t="str">
        <f>IFERROR(__xludf.DUMMYFUNCTION("""COMPUTED_VALUE"""),"https://drive.google.com/file/d/1gh726wJpnr9eMfwcSYWkCTw4vf-54LWK/view?usp=drivesdk")</f>
        <v>https://drive.google.com/file/d/1gh726wJpnr9eMfwcSYWkCTw4vf-54LWK/view?usp=drivesdk</v>
      </c>
      <c r="D2364" s="12"/>
      <c r="E2364" s="13">
        <v>2414.0</v>
      </c>
      <c r="F2364" s="2"/>
    </row>
    <row r="2365" ht="1.5" customHeight="1">
      <c r="A2365" s="4" t="str">
        <f>IFERROR(__xludf.DUMMYFUNCTION("""COMPUTED_VALUE"""),"22. Glockenspiel")</f>
        <v>22. Glockenspiel</v>
      </c>
      <c r="B2365" s="4" t="str">
        <f>IFERROR(__xludf.DUMMYFUNCTION("""COMPUTED_VALUE"""),"22")</f>
        <v>22</v>
      </c>
      <c r="C2365" s="5" t="str">
        <f>IFERROR(__xludf.DUMMYFUNCTION("""COMPUTED_VALUE"""),"https://drive.google.com/file/d/1YiBJL84yLH60UpoJcjlMNn6_snv8Z_eX/view?usp=drivesdk")</f>
        <v>https://drive.google.com/file/d/1YiBJL84yLH60UpoJcjlMNn6_snv8Z_eX/view?usp=drivesdk</v>
      </c>
      <c r="D2365" s="12"/>
      <c r="E2365" s="13">
        <v>2415.0</v>
      </c>
      <c r="F2365" s="2"/>
    </row>
    <row r="2366" ht="1.5" customHeight="1">
      <c r="A2366" s="4" t="str">
        <f>IFERROR(__xludf.DUMMYFUNCTION("""COMPUTED_VALUE"""),"1. Microwave")</f>
        <v>1. Microwave</v>
      </c>
      <c r="B2366" s="4" t="str">
        <f>IFERROR(__xludf.DUMMYFUNCTION("""COMPUTED_VALUE"""),"1")</f>
        <v>1</v>
      </c>
      <c r="C2366" s="5" t="str">
        <f>IFERROR(__xludf.DUMMYFUNCTION("""COMPUTED_VALUE"""),"https://drive.google.com/file/d/1ifWY44uu4_KUkJTeXRYlHkZVfqPTC2kC/view?usp=drivesdk")</f>
        <v>https://drive.google.com/file/d/1ifWY44uu4_KUkJTeXRYlHkZVfqPTC2kC/view?usp=drivesdk</v>
      </c>
      <c r="D2366" s="12"/>
      <c r="E2366" s="13">
        <v>2416.0</v>
      </c>
      <c r="F2366" s="2"/>
    </row>
    <row r="2367" ht="1.5" customHeight="1">
      <c r="A2367" s="4" t="str">
        <f>IFERROR(__xludf.DUMMYFUNCTION("""COMPUTED_VALUE"""),"27. Angel")</f>
        <v>27. Angel</v>
      </c>
      <c r="B2367" s="4" t="str">
        <f>IFERROR(__xludf.DUMMYFUNCTION("""COMPUTED_VALUE"""),"27")</f>
        <v>27</v>
      </c>
      <c r="C2367" s="5" t="str">
        <f>IFERROR(__xludf.DUMMYFUNCTION("""COMPUTED_VALUE"""),"https://drive.google.com/file/d/1l_gJvELfa3MpE3q6pdXXJ3gjJweSww0k/view?usp=drivesdk")</f>
        <v>https://drive.google.com/file/d/1l_gJvELfa3MpE3q6pdXXJ3gjJweSww0k/view?usp=drivesdk</v>
      </c>
      <c r="D2367" s="12"/>
      <c r="E2367" s="13">
        <v>2417.0</v>
      </c>
      <c r="F2367" s="2"/>
    </row>
    <row r="2368" ht="1.5" customHeight="1">
      <c r="A2368" s="4" t="str">
        <f>IFERROR(__xludf.DUMMYFUNCTION("""COMPUTED_VALUE"""),"27. Angel")</f>
        <v>27. Angel</v>
      </c>
      <c r="B2368" s="4" t="str">
        <f>IFERROR(__xludf.DUMMYFUNCTION("""COMPUTED_VALUE"""),"27")</f>
        <v>27</v>
      </c>
      <c r="C2368" s="5" t="str">
        <f>IFERROR(__xludf.DUMMYFUNCTION("""COMPUTED_VALUE"""),"https://drive.google.com/file/d/17OYBBIGYDx-6pRSyuN8Y1xv53NavofPv/view?usp=drivesdk")</f>
        <v>https://drive.google.com/file/d/17OYBBIGYDx-6pRSyuN8Y1xv53NavofPv/view?usp=drivesdk</v>
      </c>
      <c r="D2368" s="12"/>
      <c r="E2368" s="13">
        <v>2418.0</v>
      </c>
      <c r="F2368" s="2"/>
    </row>
    <row r="2369" ht="1.5" customHeight="1">
      <c r="A2369" s="4" t="str">
        <f>IFERROR(__xludf.DUMMYFUNCTION("""COMPUTED_VALUE"""),"5. Eraser")</f>
        <v>5. Eraser</v>
      </c>
      <c r="B2369" s="4" t="str">
        <f>IFERROR(__xludf.DUMMYFUNCTION("""COMPUTED_VALUE"""),"5")</f>
        <v>5</v>
      </c>
      <c r="C2369" s="5" t="str">
        <f>IFERROR(__xludf.DUMMYFUNCTION("""COMPUTED_VALUE"""),"https://drive.google.com/file/d/14Z0pGuFoMA1NEdv1yCcldxpZErEQiaYF/view?usp=drivesdk")</f>
        <v>https://drive.google.com/file/d/14Z0pGuFoMA1NEdv1yCcldxpZErEQiaYF/view?usp=drivesdk</v>
      </c>
      <c r="D2369" s="12"/>
      <c r="E2369" s="13">
        <v>2419.0</v>
      </c>
      <c r="F2369" s="2"/>
    </row>
    <row r="2370" ht="1.5" customHeight="1">
      <c r="A2370" s="4" t="str">
        <f>IFERROR(__xludf.DUMMYFUNCTION("""COMPUTED_VALUE"""),"29. Ginger, 30. Pepper")</f>
        <v>29. Ginger, 30. Pepper</v>
      </c>
      <c r="B2370" s="4" t="str">
        <f>IFERROR(__xludf.DUMMYFUNCTION("""COMPUTED_VALUE"""),"29, 30")</f>
        <v>29, 30</v>
      </c>
      <c r="C2370" s="5" t="str">
        <f>IFERROR(__xludf.DUMMYFUNCTION("""COMPUTED_VALUE"""),"https://drive.google.com/file/d/19lsRYGH9Syvsv9oAOnTbSyWm4t_9yoZi/view?usp=drivesdk")</f>
        <v>https://drive.google.com/file/d/19lsRYGH9Syvsv9oAOnTbSyWm4t_9yoZi/view?usp=drivesdk</v>
      </c>
      <c r="D2370" s="12"/>
      <c r="E2370" s="13">
        <v>2420.0</v>
      </c>
      <c r="F2370" s="2"/>
    </row>
    <row r="2371" ht="1.5" customHeight="1">
      <c r="A2371" s="4" t="str">
        <f>IFERROR(__xludf.DUMMYFUNCTION("""COMPUTED_VALUE"""),"29. Ginger")</f>
        <v>29. Ginger</v>
      </c>
      <c r="B2371" s="4" t="str">
        <f>IFERROR(__xludf.DUMMYFUNCTION("""COMPUTED_VALUE"""),"29")</f>
        <v>29</v>
      </c>
      <c r="C2371" s="5" t="str">
        <f>IFERROR(__xludf.DUMMYFUNCTION("""COMPUTED_VALUE"""),"https://drive.google.com/file/d/1LVJ0DffwllcBINf2Jm1ujcxBRw4E7yKS/view?usp=drivesdk")</f>
        <v>https://drive.google.com/file/d/1LVJ0DffwllcBINf2Jm1ujcxBRw4E7yKS/view?usp=drivesdk</v>
      </c>
      <c r="D2371" s="12"/>
      <c r="E2371" s="13">
        <v>2421.0</v>
      </c>
      <c r="F2371" s="2"/>
    </row>
    <row r="2372" ht="1.5" customHeight="1">
      <c r="A2372" s="4" t="str">
        <f>IFERROR(__xludf.DUMMYFUNCTION("""COMPUTED_VALUE"""),"1. Microwave")</f>
        <v>1. Microwave</v>
      </c>
      <c r="B2372" s="4" t="str">
        <f>IFERROR(__xludf.DUMMYFUNCTION("""COMPUTED_VALUE"""),"1")</f>
        <v>1</v>
      </c>
      <c r="C2372" s="5" t="str">
        <f>IFERROR(__xludf.DUMMYFUNCTION("""COMPUTED_VALUE"""),"https://drive.google.com/file/d/1y7ccHYFlrLkctJ3JJgFzJRwhsT5k22fe/view?usp=drivesdk")</f>
        <v>https://drive.google.com/file/d/1y7ccHYFlrLkctJ3JJgFzJRwhsT5k22fe/view?usp=drivesdk</v>
      </c>
      <c r="D2372" s="12"/>
      <c r="E2372" s="13">
        <v>2422.0</v>
      </c>
      <c r="F2372" s="2"/>
    </row>
    <row r="2373" ht="1.5" customHeight="1">
      <c r="A2373" s="4" t="str">
        <f>IFERROR(__xludf.DUMMYFUNCTION("""COMPUTED_VALUE"""),"2. Twix")</f>
        <v>2. Twix</v>
      </c>
      <c r="B2373" s="4" t="str">
        <f>IFERROR(__xludf.DUMMYFUNCTION("""COMPUTED_VALUE"""),"2")</f>
        <v>2</v>
      </c>
      <c r="C2373" s="5" t="str">
        <f>IFERROR(__xludf.DUMMYFUNCTION("""COMPUTED_VALUE"""),"https://drive.google.com/file/d/1ONmROtd3Sgy1mrIVDZnCKJGkgA-DLPoW/view?usp=drivesdk")</f>
        <v>https://drive.google.com/file/d/1ONmROtd3Sgy1mrIVDZnCKJGkgA-DLPoW/view?usp=drivesdk</v>
      </c>
      <c r="D2373" s="12"/>
      <c r="E2373" s="13">
        <v>2423.0</v>
      </c>
      <c r="F2373" s="2"/>
    </row>
    <row r="2374" ht="1.5" customHeight="1">
      <c r="A2374" s="4" t="str">
        <f>IFERROR(__xludf.DUMMYFUNCTION("""COMPUTED_VALUE"""),"5. Eraser, 4. Eggs")</f>
        <v>5. Eraser, 4. Eggs</v>
      </c>
      <c r="B2374" s="4" t="str">
        <f>IFERROR(__xludf.DUMMYFUNCTION("""COMPUTED_VALUE"""),"5, 4")</f>
        <v>5, 4</v>
      </c>
      <c r="C2374" s="5" t="str">
        <f>IFERROR(__xludf.DUMMYFUNCTION("""COMPUTED_VALUE"""),"https://drive.google.com/file/d/12Vayji6eI3cyDpqh2kqorNgRuONWtllP/view?usp=drivesdk")</f>
        <v>https://drive.google.com/file/d/12Vayji6eI3cyDpqh2kqorNgRuONWtllP/view?usp=drivesdk</v>
      </c>
      <c r="D2374" s="12"/>
      <c r="E2374" s="13">
        <v>2424.0</v>
      </c>
      <c r="F2374" s="2"/>
    </row>
    <row r="2375" ht="1.5" customHeight="1">
      <c r="A2375" s="4" t="str">
        <f>IFERROR(__xludf.DUMMYFUNCTION("""COMPUTED_VALUE"""),"62. Gorygreg")</f>
        <v>62. Gorygreg</v>
      </c>
      <c r="B2375" s="4" t="str">
        <f>IFERROR(__xludf.DUMMYFUNCTION("""COMPUTED_VALUE"""),"62")</f>
        <v>62</v>
      </c>
      <c r="C2375" s="5" t="str">
        <f>IFERROR(__xludf.DUMMYFUNCTION("""COMPUTED_VALUE"""),"https://drive.google.com/file/d/1uXZJ07alFfhqjEwvugqTVGS3bFiT94-O/view?usp=drivesdk")</f>
        <v>https://drive.google.com/file/d/1uXZJ07alFfhqjEwvugqTVGS3bFiT94-O/view?usp=drivesdk</v>
      </c>
      <c r="D2375" s="12"/>
      <c r="E2375" s="13">
        <v>2425.0</v>
      </c>
      <c r="F2375" s="2"/>
    </row>
    <row r="2376" ht="1.5" customHeight="1">
      <c r="A2376" s="4" t="str">
        <f>IFERROR(__xludf.DUMMYFUNCTION("""COMPUTED_VALUE"""),"0. NotACat")</f>
        <v>0. NotACat</v>
      </c>
      <c r="B2376" s="4" t="str">
        <f>IFERROR(__xludf.DUMMYFUNCTION("""COMPUTED_VALUE"""),"0")</f>
        <v>0</v>
      </c>
      <c r="C2376" s="5" t="str">
        <f>IFERROR(__xludf.DUMMYFUNCTION("""COMPUTED_VALUE"""),"https://drive.google.com/file/d/17qzX2oh3XqyBWB5466wGFD_NE9zOuqyh/view?usp=drivesdk")</f>
        <v>https://drive.google.com/file/d/17qzX2oh3XqyBWB5466wGFD_NE9zOuqyh/view?usp=drivesdk</v>
      </c>
      <c r="D2376" s="12"/>
      <c r="E2376" s="13">
        <v>2426.0</v>
      </c>
      <c r="F2376" s="2"/>
    </row>
    <row r="2377" ht="1.5" customHeight="1">
      <c r="A2377" s="4" t="str">
        <f>IFERROR(__xludf.DUMMYFUNCTION("""COMPUTED_VALUE"""),"0. NotACat")</f>
        <v>0. NotACat</v>
      </c>
      <c r="B2377" s="4" t="str">
        <f>IFERROR(__xludf.DUMMYFUNCTION("""COMPUTED_VALUE"""),"0")</f>
        <v>0</v>
      </c>
      <c r="C2377" s="5" t="str">
        <f>IFERROR(__xludf.DUMMYFUNCTION("""COMPUTED_VALUE"""),"https://drive.google.com/file/d/1DX86Qynu1uMm4X-wXeCTtZk_Ve5XlXhj/view?usp=drivesdk")</f>
        <v>https://drive.google.com/file/d/1DX86Qynu1uMm4X-wXeCTtZk_Ve5XlXhj/view?usp=drivesdk</v>
      </c>
      <c r="D2377" s="12"/>
      <c r="E2377" s="13">
        <v>2427.0</v>
      </c>
      <c r="F2377" s="2"/>
    </row>
    <row r="2378" ht="1.5" customHeight="1">
      <c r="A2378" s="4" t="str">
        <f>IFERROR(__xludf.DUMMYFUNCTION("""COMPUTED_VALUE"""),"5. Eraser")</f>
        <v>5. Eraser</v>
      </c>
      <c r="B2378" s="4" t="str">
        <f>IFERROR(__xludf.DUMMYFUNCTION("""COMPUTED_VALUE"""),"5")</f>
        <v>5</v>
      </c>
      <c r="C2378" s="5" t="str">
        <f>IFERROR(__xludf.DUMMYFUNCTION("""COMPUTED_VALUE"""),"https://drive.google.com/file/d/1IPbyJzmEeXckPB1w9XSzslpaQQaFVM0i/view?usp=drivesdk")</f>
        <v>https://drive.google.com/file/d/1IPbyJzmEeXckPB1w9XSzslpaQQaFVM0i/view?usp=drivesdk</v>
      </c>
      <c r="D2378" s="12"/>
      <c r="E2378" s="13">
        <v>2428.0</v>
      </c>
      <c r="F2378" s="2"/>
    </row>
    <row r="2379" ht="1.5" customHeight="1">
      <c r="A2379" s="4" t="str">
        <f>IFERROR(__xludf.DUMMYFUNCTION("""COMPUTED_VALUE"""),"78. Ed Sheeran")</f>
        <v>78. Ed Sheeran</v>
      </c>
      <c r="B2379" s="4" t="str">
        <f>IFERROR(__xludf.DUMMYFUNCTION("""COMPUTED_VALUE"""),"78")</f>
        <v>78</v>
      </c>
      <c r="C2379" s="5" t="str">
        <f>IFERROR(__xludf.DUMMYFUNCTION("""COMPUTED_VALUE"""),"https://drive.google.com/file/d/1oTI3QFLtqLjT_LI0GOB-QXosHYeXg35I/view?usp=drivesdk")</f>
        <v>https://drive.google.com/file/d/1oTI3QFLtqLjT_LI0GOB-QXosHYeXg35I/view?usp=drivesdk</v>
      </c>
      <c r="D2379" s="12"/>
      <c r="E2379" s="13">
        <v>2429.0</v>
      </c>
      <c r="F2379" s="2"/>
    </row>
    <row r="2380" ht="1.5" customHeight="1">
      <c r="A2380" s="4" t="str">
        <f>IFERROR(__xludf.DUMMYFUNCTION("""COMPUTED_VALUE"""),"78. Ed Sheeran")</f>
        <v>78. Ed Sheeran</v>
      </c>
      <c r="B2380" s="4" t="str">
        <f>IFERROR(__xludf.DUMMYFUNCTION("""COMPUTED_VALUE"""),"78")</f>
        <v>78</v>
      </c>
      <c r="C2380" s="5" t="str">
        <f>IFERROR(__xludf.DUMMYFUNCTION("""COMPUTED_VALUE"""),"https://drive.google.com/file/d/1oUBQnOeHVzfDCAzmhKluFGvJdAhD8mfX/view?usp=drivesdk")</f>
        <v>https://drive.google.com/file/d/1oUBQnOeHVzfDCAzmhKluFGvJdAhD8mfX/view?usp=drivesdk</v>
      </c>
      <c r="D2380" s="12"/>
      <c r="E2380" s="13">
        <v>2430.0</v>
      </c>
      <c r="F2380" s="2"/>
    </row>
    <row r="2381" ht="1.5" customHeight="1">
      <c r="A2381" s="4" t="str">
        <f>IFERROR(__xludf.DUMMYFUNCTION("""COMPUTED_VALUE"""),"21. Paquini")</f>
        <v>21. Paquini</v>
      </c>
      <c r="B2381" s="4" t="str">
        <f>IFERROR(__xludf.DUMMYFUNCTION("""COMPUTED_VALUE"""),"21")</f>
        <v>21</v>
      </c>
      <c r="C2381" s="5" t="str">
        <f>IFERROR(__xludf.DUMMYFUNCTION("""COMPUTED_VALUE"""),"https://drive.google.com/file/d/1ziv0aQ0wAXYNFpWfy-4GeHek7EFm1z6u/view?usp=drivesdk")</f>
        <v>https://drive.google.com/file/d/1ziv0aQ0wAXYNFpWfy-4GeHek7EFm1z6u/view?usp=drivesdk</v>
      </c>
      <c r="D2381" s="12"/>
      <c r="E2381" s="13">
        <v>2431.0</v>
      </c>
      <c r="F2381" s="2"/>
    </row>
    <row r="2382" ht="1.5" customHeight="1">
      <c r="A2382" s="4" t="str">
        <f>IFERROR(__xludf.DUMMYFUNCTION("""COMPUTED_VALUE"""),"80. Atzi")</f>
        <v>80. Atzi</v>
      </c>
      <c r="B2382" s="4" t="str">
        <f>IFERROR(__xludf.DUMMYFUNCTION("""COMPUTED_VALUE"""),"80")</f>
        <v>80</v>
      </c>
      <c r="C2382" s="5" t="str">
        <f>IFERROR(__xludf.DUMMYFUNCTION("""COMPUTED_VALUE"""),"https://drive.google.com/file/d/170Mb4MNyh0yYgw9BRuLwUQCuzsjQAKWB/view?usp=drivesdk")</f>
        <v>https://drive.google.com/file/d/170Mb4MNyh0yYgw9BRuLwUQCuzsjQAKWB/view?usp=drivesdk</v>
      </c>
      <c r="D2382" s="12"/>
      <c r="E2382" s="13">
        <v>2432.0</v>
      </c>
      <c r="F2382" s="2"/>
    </row>
    <row r="2383" ht="1.5" customHeight="1">
      <c r="A2383" s="4" t="str">
        <f>IFERROR(__xludf.DUMMYFUNCTION("""COMPUTED_VALUE"""),"78. Ed Sheeran")</f>
        <v>78. Ed Sheeran</v>
      </c>
      <c r="B2383" s="4" t="str">
        <f>IFERROR(__xludf.DUMMYFUNCTION("""COMPUTED_VALUE"""),"78")</f>
        <v>78</v>
      </c>
      <c r="C2383" s="5" t="str">
        <f>IFERROR(__xludf.DUMMYFUNCTION("""COMPUTED_VALUE"""),"https://drive.google.com/file/d/1UtuTdEKqDZoXMOO_BpCc4jFA9N_SN8CB/view?usp=drivesdk")</f>
        <v>https://drive.google.com/file/d/1UtuTdEKqDZoXMOO_BpCc4jFA9N_SN8CB/view?usp=drivesdk</v>
      </c>
      <c r="D2383" s="12"/>
      <c r="E2383" s="13">
        <v>2433.0</v>
      </c>
      <c r="F2383" s="2"/>
    </row>
    <row r="2384" ht="1.5" customHeight="1">
      <c r="A2384" s="4" t="str">
        <f>IFERROR(__xludf.DUMMYFUNCTION("""COMPUTED_VALUE"""),"80. Atzi")</f>
        <v>80. Atzi</v>
      </c>
      <c r="B2384" s="4" t="str">
        <f>IFERROR(__xludf.DUMMYFUNCTION("""COMPUTED_VALUE"""),"80")</f>
        <v>80</v>
      </c>
      <c r="C2384" s="5" t="str">
        <f>IFERROR(__xludf.DUMMYFUNCTION("""COMPUTED_VALUE"""),"https://drive.google.com/file/d/1rTv_0j2gjINuj7pNyqxgsyVKHncOrQa6/view?usp=drivesdk")</f>
        <v>https://drive.google.com/file/d/1rTv_0j2gjINuj7pNyqxgsyVKHncOrQa6/view?usp=drivesdk</v>
      </c>
      <c r="D2384" s="12"/>
      <c r="E2384" s="13">
        <v>2434.0</v>
      </c>
      <c r="F2384" s="2"/>
    </row>
    <row r="2385" ht="1.5" customHeight="1">
      <c r="A2385" s="4" t="str">
        <f>IFERROR(__xludf.DUMMYFUNCTION("""COMPUTED_VALUE"""),"80. Atzi")</f>
        <v>80. Atzi</v>
      </c>
      <c r="B2385" s="4" t="str">
        <f>IFERROR(__xludf.DUMMYFUNCTION("""COMPUTED_VALUE"""),"80")</f>
        <v>80</v>
      </c>
      <c r="C2385" s="5" t="str">
        <f>IFERROR(__xludf.DUMMYFUNCTION("""COMPUTED_VALUE"""),"https://drive.google.com/file/d/1mqfMjzahndN0Wv-4pPOg26RUEDo5JYmM/view?usp=drivesdk")</f>
        <v>https://drive.google.com/file/d/1mqfMjzahndN0Wv-4pPOg26RUEDo5JYmM/view?usp=drivesdk</v>
      </c>
      <c r="D2385" s="12"/>
      <c r="E2385" s="13">
        <v>2435.0</v>
      </c>
      <c r="F2385" s="2"/>
    </row>
    <row r="2386" ht="1.5" customHeight="1">
      <c r="A2386" s="4" t="str">
        <f>IFERROR(__xludf.DUMMYFUNCTION("""COMPUTED_VALUE"""),"80. Atzi")</f>
        <v>80. Atzi</v>
      </c>
      <c r="B2386" s="4" t="str">
        <f>IFERROR(__xludf.DUMMYFUNCTION("""COMPUTED_VALUE"""),"80")</f>
        <v>80</v>
      </c>
      <c r="C2386" s="5" t="str">
        <f>IFERROR(__xludf.DUMMYFUNCTION("""COMPUTED_VALUE"""),"https://drive.google.com/file/d/1mbI4W9R6L1v2kH1VPpfDTgLztnWeK7R3/view?usp=drivesdk")</f>
        <v>https://drive.google.com/file/d/1mbI4W9R6L1v2kH1VPpfDTgLztnWeK7R3/view?usp=drivesdk</v>
      </c>
      <c r="D2386" s="12"/>
      <c r="E2386" s="13">
        <v>2436.0</v>
      </c>
      <c r="F2386" s="2"/>
    </row>
    <row r="2387" ht="1.5" customHeight="1">
      <c r="A2387" s="4" t="str">
        <f>IFERROR(__xludf.DUMMYFUNCTION("""COMPUTED_VALUE"""),"21. Paquini")</f>
        <v>21. Paquini</v>
      </c>
      <c r="B2387" s="4" t="str">
        <f>IFERROR(__xludf.DUMMYFUNCTION("""COMPUTED_VALUE"""),"21")</f>
        <v>21</v>
      </c>
      <c r="C2387" s="5" t="str">
        <f>IFERROR(__xludf.DUMMYFUNCTION("""COMPUTED_VALUE"""),"https://drive.google.com/file/d/1Kr3Zlvezs0MUf_vttpQmAiGCtL3T5zSn/view?usp=drivesdk")</f>
        <v>https://drive.google.com/file/d/1Kr3Zlvezs0MUf_vttpQmAiGCtL3T5zSn/view?usp=drivesdk</v>
      </c>
      <c r="D2387" s="12"/>
      <c r="E2387" s="13">
        <v>2437.0</v>
      </c>
      <c r="F2387" s="2"/>
    </row>
    <row r="2388" ht="1.5" customHeight="1">
      <c r="A2388" s="4" t="str">
        <f>IFERROR(__xludf.DUMMYFUNCTION("""COMPUTED_VALUE"""),"0. NotACat")</f>
        <v>0. NotACat</v>
      </c>
      <c r="B2388" s="4" t="str">
        <f>IFERROR(__xludf.DUMMYFUNCTION("""COMPUTED_VALUE"""),"0")</f>
        <v>0</v>
      </c>
      <c r="C2388" s="5" t="str">
        <f>IFERROR(__xludf.DUMMYFUNCTION("""COMPUTED_VALUE"""),"https://drive.google.com/file/d/1nHK6A-a1mOTo60dHnooB_-qT8quA2z_w/view?usp=drivesdk")</f>
        <v>https://drive.google.com/file/d/1nHK6A-a1mOTo60dHnooB_-qT8quA2z_w/view?usp=drivesdk</v>
      </c>
      <c r="D2388" s="12"/>
      <c r="E2388" s="13">
        <v>2438.0</v>
      </c>
      <c r="F2388" s="2"/>
    </row>
    <row r="2389" ht="1.5" customHeight="1">
      <c r="A2389" s="4" t="str">
        <f>IFERROR(__xludf.DUMMYFUNCTION("""COMPUTED_VALUE"""),"0. NotACat")</f>
        <v>0. NotACat</v>
      </c>
      <c r="B2389" s="4" t="str">
        <f>IFERROR(__xludf.DUMMYFUNCTION("""COMPUTED_VALUE"""),"0")</f>
        <v>0</v>
      </c>
      <c r="C2389" s="5" t="str">
        <f>IFERROR(__xludf.DUMMYFUNCTION("""COMPUTED_VALUE"""),"https://drive.google.com/file/d/189OwSd07g8dc93l4B1g76tJ_lVSbluyr/view?usp=drivesdk")</f>
        <v>https://drive.google.com/file/d/189OwSd07g8dc93l4B1g76tJ_lVSbluyr/view?usp=drivesdk</v>
      </c>
      <c r="D2389" s="12"/>
      <c r="E2389" s="13">
        <v>2439.0</v>
      </c>
      <c r="F2389" s="2"/>
    </row>
    <row r="2390" ht="1.5" customHeight="1">
      <c r="A2390" s="4" t="str">
        <f>IFERROR(__xludf.DUMMYFUNCTION("""COMPUTED_VALUE"""),"1. Microwave")</f>
        <v>1. Microwave</v>
      </c>
      <c r="B2390" s="4" t="str">
        <f>IFERROR(__xludf.DUMMYFUNCTION("""COMPUTED_VALUE"""),"1")</f>
        <v>1</v>
      </c>
      <c r="C2390" s="5" t="str">
        <f>IFERROR(__xludf.DUMMYFUNCTION("""COMPUTED_VALUE"""),"https://drive.google.com/file/d/1W6WMVn1qI6lgj4BpjYN1kDBqQlRmQrN9/view?usp=drivesdk")</f>
        <v>https://drive.google.com/file/d/1W6WMVn1qI6lgj4BpjYN1kDBqQlRmQrN9/view?usp=drivesdk</v>
      </c>
      <c r="D2390" s="12"/>
      <c r="E2390" s="13">
        <v>2440.0</v>
      </c>
      <c r="F2390" s="2"/>
    </row>
    <row r="2391" ht="1.5" customHeight="1">
      <c r="A2391" s="4" t="str">
        <f>IFERROR(__xludf.DUMMYFUNCTION("""COMPUTED_VALUE"""),"1. Microwave")</f>
        <v>1. Microwave</v>
      </c>
      <c r="B2391" s="4" t="str">
        <f>IFERROR(__xludf.DUMMYFUNCTION("""COMPUTED_VALUE"""),"1")</f>
        <v>1</v>
      </c>
      <c r="C2391" s="5" t="str">
        <f>IFERROR(__xludf.DUMMYFUNCTION("""COMPUTED_VALUE"""),"https://drive.google.com/file/d/1Xy_NwfdwGyAU46fFKHMJZHdL3VntNUDU/view?usp=drivesdk")</f>
        <v>https://drive.google.com/file/d/1Xy_NwfdwGyAU46fFKHMJZHdL3VntNUDU/view?usp=drivesdk</v>
      </c>
      <c r="D2391" s="12"/>
      <c r="E2391" s="13">
        <v>2441.0</v>
      </c>
      <c r="F2391" s="2"/>
    </row>
    <row r="2392" ht="1.5" customHeight="1">
      <c r="A2392" s="4" t="str">
        <f>IFERROR(__xludf.DUMMYFUNCTION("""COMPUTED_VALUE"""),"1. Microwave")</f>
        <v>1. Microwave</v>
      </c>
      <c r="B2392" s="4" t="str">
        <f>IFERROR(__xludf.DUMMYFUNCTION("""COMPUTED_VALUE"""),"1")</f>
        <v>1</v>
      </c>
      <c r="C2392" s="5" t="str">
        <f>IFERROR(__xludf.DUMMYFUNCTION("""COMPUTED_VALUE"""),"https://drive.google.com/file/d/106S_WpF99kcokeNP0K7UPSFjJRJxfgV7/view?usp=drivesdk")</f>
        <v>https://drive.google.com/file/d/106S_WpF99kcokeNP0K7UPSFjJRJxfgV7/view?usp=drivesdk</v>
      </c>
      <c r="D2392" s="12"/>
      <c r="E2392" s="13">
        <v>2442.0</v>
      </c>
      <c r="F2392" s="2"/>
    </row>
    <row r="2393" ht="1.5" customHeight="1">
      <c r="A2393" s="4" t="str">
        <f>IFERROR(__xludf.DUMMYFUNCTION("""COMPUTED_VALUE"""),"1. Microwave")</f>
        <v>1. Microwave</v>
      </c>
      <c r="B2393" s="4" t="str">
        <f>IFERROR(__xludf.DUMMYFUNCTION("""COMPUTED_VALUE"""),"1")</f>
        <v>1</v>
      </c>
      <c r="C2393" s="5" t="str">
        <f>IFERROR(__xludf.DUMMYFUNCTION("""COMPUTED_VALUE"""),"https://drive.google.com/file/d/1uOnSDKBd-GkwV_iqJ8g4jF-hmZPURQQI/view?usp=drivesdk")</f>
        <v>https://drive.google.com/file/d/1uOnSDKBd-GkwV_iqJ8g4jF-hmZPURQQI/view?usp=drivesdk</v>
      </c>
      <c r="D2393" s="12"/>
      <c r="E2393" s="13">
        <v>2443.0</v>
      </c>
      <c r="F2393" s="2"/>
    </row>
    <row r="2394" ht="1.5" customHeight="1">
      <c r="A2394" s="4" t="str">
        <f>IFERROR(__xludf.DUMMYFUNCTION("""COMPUTED_VALUE"""),"1. Microwave")</f>
        <v>1. Microwave</v>
      </c>
      <c r="B2394" s="4" t="str">
        <f>IFERROR(__xludf.DUMMYFUNCTION("""COMPUTED_VALUE"""),"1")</f>
        <v>1</v>
      </c>
      <c r="C2394" s="5" t="str">
        <f>IFERROR(__xludf.DUMMYFUNCTION("""COMPUTED_VALUE"""),"https://drive.google.com/file/d/1nygIKo4UV1J_qTF7leKB11gP-E2dWr65/view?usp=drivesdk")</f>
        <v>https://drive.google.com/file/d/1nygIKo4UV1J_qTF7leKB11gP-E2dWr65/view?usp=drivesdk</v>
      </c>
      <c r="D2394" s="12"/>
      <c r="E2394" s="13">
        <v>2444.0</v>
      </c>
      <c r="F2394" s="2"/>
    </row>
    <row r="2395" ht="1.5" customHeight="1">
      <c r="A2395" s="4" t="str">
        <f>IFERROR(__xludf.DUMMYFUNCTION("""COMPUTED_VALUE"""),"1. Microwave")</f>
        <v>1. Microwave</v>
      </c>
      <c r="B2395" s="4" t="str">
        <f>IFERROR(__xludf.DUMMYFUNCTION("""COMPUTED_VALUE"""),"1")</f>
        <v>1</v>
      </c>
      <c r="C2395" s="5" t="str">
        <f>IFERROR(__xludf.DUMMYFUNCTION("""COMPUTED_VALUE"""),"https://drive.google.com/file/d/1e-RwzvJOOrmIBW8hgdE4gq0OX4xiZaeq/view?usp=drivesdk")</f>
        <v>https://drive.google.com/file/d/1e-RwzvJOOrmIBW8hgdE4gq0OX4xiZaeq/view?usp=drivesdk</v>
      </c>
      <c r="D2395" s="12"/>
      <c r="E2395" s="13">
        <v>2445.0</v>
      </c>
      <c r="F2395" s="2"/>
    </row>
    <row r="2396" ht="1.5" customHeight="1">
      <c r="A2396" s="4" t="str">
        <f>IFERROR(__xludf.DUMMYFUNCTION("""COMPUTED_VALUE"""),"1. Microwave")</f>
        <v>1. Microwave</v>
      </c>
      <c r="B2396" s="4" t="str">
        <f>IFERROR(__xludf.DUMMYFUNCTION("""COMPUTED_VALUE"""),"1")</f>
        <v>1</v>
      </c>
      <c r="C2396" s="5" t="str">
        <f>IFERROR(__xludf.DUMMYFUNCTION("""COMPUTED_VALUE"""),"https://drive.google.com/file/d/1vnsWgQunKPd0wukhfsfnnhXo7-XOyyrB/view?usp=drivesdk")</f>
        <v>https://drive.google.com/file/d/1vnsWgQunKPd0wukhfsfnnhXo7-XOyyrB/view?usp=drivesdk</v>
      </c>
      <c r="D2396" s="12"/>
      <c r="E2396" s="13">
        <v>2446.0</v>
      </c>
      <c r="F2396" s="2"/>
    </row>
    <row r="2397" ht="1.5" customHeight="1">
      <c r="A2397" s="4" t="str">
        <f>IFERROR(__xludf.DUMMYFUNCTION("""COMPUTED_VALUE"""),"4. Eggs")</f>
        <v>4. Eggs</v>
      </c>
      <c r="B2397" s="4" t="str">
        <f>IFERROR(__xludf.DUMMYFUNCTION("""COMPUTED_VALUE"""),"4")</f>
        <v>4</v>
      </c>
      <c r="C2397" s="5" t="str">
        <f>IFERROR(__xludf.DUMMYFUNCTION("""COMPUTED_VALUE"""),"https://drive.google.com/file/d/1nmNMceIeOYjuMsNYzl3dBZ7CdtMQWKjJ/view?usp=drivesdk")</f>
        <v>https://drive.google.com/file/d/1nmNMceIeOYjuMsNYzl3dBZ7CdtMQWKjJ/view?usp=drivesdk</v>
      </c>
      <c r="D2397" s="12"/>
      <c r="E2397" s="13">
        <v>2447.0</v>
      </c>
      <c r="F2397" s="2"/>
    </row>
    <row r="2398" ht="1.5" customHeight="1">
      <c r="A2398" s="4" t="str">
        <f>IFERROR(__xludf.DUMMYFUNCTION("""COMPUTED_VALUE"""),"4. Eggs")</f>
        <v>4. Eggs</v>
      </c>
      <c r="B2398" s="4" t="str">
        <f>IFERROR(__xludf.DUMMYFUNCTION("""COMPUTED_VALUE"""),"4")</f>
        <v>4</v>
      </c>
      <c r="C2398" s="5" t="str">
        <f>IFERROR(__xludf.DUMMYFUNCTION("""COMPUTED_VALUE"""),"https://drive.google.com/file/d/1iuxs5Nxqhw4TValv6rUS6t-QI8Wx9gVS/view?usp=drivesdk")</f>
        <v>https://drive.google.com/file/d/1iuxs5Nxqhw4TValv6rUS6t-QI8Wx9gVS/view?usp=drivesdk</v>
      </c>
      <c r="D2398" s="12"/>
      <c r="E2398" s="13">
        <v>2448.0</v>
      </c>
      <c r="F2398" s="2"/>
    </row>
    <row r="2399" ht="1.5" customHeight="1">
      <c r="A2399" s="4" t="str">
        <f>IFERROR(__xludf.DUMMYFUNCTION("""COMPUTED_VALUE"""),"1. Microwave")</f>
        <v>1. Microwave</v>
      </c>
      <c r="B2399" s="4" t="str">
        <f>IFERROR(__xludf.DUMMYFUNCTION("""COMPUTED_VALUE"""),"1")</f>
        <v>1</v>
      </c>
      <c r="C2399" s="5" t="str">
        <f>IFERROR(__xludf.DUMMYFUNCTION("""COMPUTED_VALUE"""),"https://drive.google.com/file/d/1EBOCmKBhY1YvgnJiNS4SX-P-FDhmFxuv/view?usp=drivesdk")</f>
        <v>https://drive.google.com/file/d/1EBOCmKBhY1YvgnJiNS4SX-P-FDhmFxuv/view?usp=drivesdk</v>
      </c>
      <c r="D2399" s="12"/>
      <c r="E2399" s="13">
        <v>2449.0</v>
      </c>
      <c r="F2399" s="2"/>
    </row>
    <row r="2400" ht="1.5" customHeight="1">
      <c r="A2400" s="4" t="str">
        <f>IFERROR(__xludf.DUMMYFUNCTION("""COMPUTED_VALUE"""),"1. Microwave")</f>
        <v>1. Microwave</v>
      </c>
      <c r="B2400" s="4" t="str">
        <f>IFERROR(__xludf.DUMMYFUNCTION("""COMPUTED_VALUE"""),"1")</f>
        <v>1</v>
      </c>
      <c r="C2400" s="5" t="str">
        <f>IFERROR(__xludf.DUMMYFUNCTION("""COMPUTED_VALUE"""),"https://drive.google.com/file/d/1-CBqizoXxyhg0_f5XNA_BdKyPV1PpmEW/view?usp=drivesdk")</f>
        <v>https://drive.google.com/file/d/1-CBqizoXxyhg0_f5XNA_BdKyPV1PpmEW/view?usp=drivesdk</v>
      </c>
      <c r="D2400" s="12"/>
      <c r="E2400" s="13">
        <v>2450.0</v>
      </c>
      <c r="F2400" s="2"/>
    </row>
    <row r="2401" ht="1.5" customHeight="1">
      <c r="A2401" s="4" t="str">
        <f>IFERROR(__xludf.DUMMYFUNCTION("""COMPUTED_VALUE"""),"1. Microwave")</f>
        <v>1. Microwave</v>
      </c>
      <c r="B2401" s="4" t="str">
        <f>IFERROR(__xludf.DUMMYFUNCTION("""COMPUTED_VALUE"""),"1")</f>
        <v>1</v>
      </c>
      <c r="C2401" s="5" t="str">
        <f>IFERROR(__xludf.DUMMYFUNCTION("""COMPUTED_VALUE"""),"https://drive.google.com/file/d/1lYF-d1-7N_eFJSSn46DhkfYqeWekIo7-/view?usp=drivesdk")</f>
        <v>https://drive.google.com/file/d/1lYF-d1-7N_eFJSSn46DhkfYqeWekIo7-/view?usp=drivesdk</v>
      </c>
      <c r="D2401" s="12"/>
      <c r="E2401" s="13">
        <v>2451.0</v>
      </c>
      <c r="F2401" s="2"/>
    </row>
    <row r="2402" ht="1.5" customHeight="1">
      <c r="A2402" s="4" t="str">
        <f>IFERROR(__xludf.DUMMYFUNCTION("""COMPUTED_VALUE"""),"1. Microwave")</f>
        <v>1. Microwave</v>
      </c>
      <c r="B2402" s="4" t="str">
        <f>IFERROR(__xludf.DUMMYFUNCTION("""COMPUTED_VALUE"""),"1")</f>
        <v>1</v>
      </c>
      <c r="C2402" s="5" t="str">
        <f>IFERROR(__xludf.DUMMYFUNCTION("""COMPUTED_VALUE"""),"https://drive.google.com/file/d/12EL4LSbkOxiktL4oWECUC-wTI_Bcrp9C/view?usp=drivesdk")</f>
        <v>https://drive.google.com/file/d/12EL4LSbkOxiktL4oWECUC-wTI_Bcrp9C/view?usp=drivesdk</v>
      </c>
      <c r="D2402" s="12"/>
      <c r="E2402" s="13">
        <v>2452.0</v>
      </c>
      <c r="F2402" s="2"/>
    </row>
    <row r="2403" ht="1.5" customHeight="1">
      <c r="A2403" s="4" t="str">
        <f>IFERROR(__xludf.DUMMYFUNCTION("""COMPUTED_VALUE"""),"5. Eraser")</f>
        <v>5. Eraser</v>
      </c>
      <c r="B2403" s="4" t="str">
        <f>IFERROR(__xludf.DUMMYFUNCTION("""COMPUTED_VALUE"""),"5")</f>
        <v>5</v>
      </c>
      <c r="C2403" s="5" t="str">
        <f>IFERROR(__xludf.DUMMYFUNCTION("""COMPUTED_VALUE"""),"https://drive.google.com/file/d/1Qxef_vOOBZJcxDpkfKWN8t3l-IacRd45/view?usp=drivesdk")</f>
        <v>https://drive.google.com/file/d/1Qxef_vOOBZJcxDpkfKWN8t3l-IacRd45/view?usp=drivesdk</v>
      </c>
      <c r="D2403" s="12"/>
      <c r="E2403" s="13">
        <v>2453.0</v>
      </c>
      <c r="F2403" s="2"/>
    </row>
    <row r="2404" ht="1.5" customHeight="1">
      <c r="A2404" s="4" t="str">
        <f>IFERROR(__xludf.DUMMYFUNCTION("""COMPUTED_VALUE"""),"5. Eraser")</f>
        <v>5. Eraser</v>
      </c>
      <c r="B2404" s="4" t="str">
        <f>IFERROR(__xludf.DUMMYFUNCTION("""COMPUTED_VALUE"""),"5")</f>
        <v>5</v>
      </c>
      <c r="C2404" s="5" t="str">
        <f>IFERROR(__xludf.DUMMYFUNCTION("""COMPUTED_VALUE"""),"https://drive.google.com/file/d/1t9MLtSR5_aV0pHQvPEaQCpBQBd-VDCI4/view?usp=drivesdk")</f>
        <v>https://drive.google.com/file/d/1t9MLtSR5_aV0pHQvPEaQCpBQBd-VDCI4/view?usp=drivesdk</v>
      </c>
      <c r="D2404" s="12"/>
      <c r="E2404" s="13">
        <v>2454.0</v>
      </c>
      <c r="F2404" s="2"/>
    </row>
    <row r="2405" ht="1.5" customHeight="1">
      <c r="A2405" s="4" t="str">
        <f>IFERROR(__xludf.DUMMYFUNCTION("""COMPUTED_VALUE"""),"5. Eraser")</f>
        <v>5. Eraser</v>
      </c>
      <c r="B2405" s="4" t="str">
        <f>IFERROR(__xludf.DUMMYFUNCTION("""COMPUTED_VALUE"""),"5")</f>
        <v>5</v>
      </c>
      <c r="C2405" s="5" t="str">
        <f>IFERROR(__xludf.DUMMYFUNCTION("""COMPUTED_VALUE"""),"https://drive.google.com/file/d/1MJ8LJ_UNubXP8z1V56bzzZFJTMWWJrg4/view?usp=drivesdk")</f>
        <v>https://drive.google.com/file/d/1MJ8LJ_UNubXP8z1V56bzzZFJTMWWJrg4/view?usp=drivesdk</v>
      </c>
      <c r="D2405" s="12"/>
      <c r="E2405" s="13">
        <v>2455.0</v>
      </c>
      <c r="F2405" s="2"/>
    </row>
    <row r="2406" ht="1.5" customHeight="1">
      <c r="A2406" s="4" t="str">
        <f>IFERROR(__xludf.DUMMYFUNCTION("""COMPUTED_VALUE"""),"4. Eggs, 5. Eraser")</f>
        <v>4. Eggs, 5. Eraser</v>
      </c>
      <c r="B2406" s="4" t="str">
        <f>IFERROR(__xludf.DUMMYFUNCTION("""COMPUTED_VALUE"""),"4, 5")</f>
        <v>4, 5</v>
      </c>
      <c r="C2406" s="5" t="str">
        <f>IFERROR(__xludf.DUMMYFUNCTION("""COMPUTED_VALUE"""),"https://drive.google.com/file/d/11ctTWJNaunWgWY0DFVbDSUQGEJ7DhP9-/view?usp=drivesdk")</f>
        <v>https://drive.google.com/file/d/11ctTWJNaunWgWY0DFVbDSUQGEJ7DhP9-/view?usp=drivesdk</v>
      </c>
      <c r="D2406" s="12"/>
      <c r="E2406" s="13">
        <v>2456.0</v>
      </c>
      <c r="F2406" s="2"/>
    </row>
    <row r="2407" ht="1.5" customHeight="1">
      <c r="A2407" s="4" t="str">
        <f>IFERROR(__xludf.DUMMYFUNCTION("""COMPUTED_VALUE"""),"2. Twix")</f>
        <v>2. Twix</v>
      </c>
      <c r="B2407" s="4" t="str">
        <f>IFERROR(__xludf.DUMMYFUNCTION("""COMPUTED_VALUE"""),"2")</f>
        <v>2</v>
      </c>
      <c r="C2407" s="5" t="str">
        <f>IFERROR(__xludf.DUMMYFUNCTION("""COMPUTED_VALUE"""),"https://drive.google.com/file/d/1sBKPdi036g_X2WB79lZlHCfzBIkBpVO_/view?usp=drivesdk")</f>
        <v>https://drive.google.com/file/d/1sBKPdi036g_X2WB79lZlHCfzBIkBpVO_/view?usp=drivesdk</v>
      </c>
      <c r="D2407" s="12"/>
      <c r="E2407" s="13">
        <v>2457.0</v>
      </c>
      <c r="F2407" s="2"/>
    </row>
    <row r="2408" ht="1.5" customHeight="1">
      <c r="A2408" s="4" t="str">
        <f>IFERROR(__xludf.DUMMYFUNCTION("""COMPUTED_VALUE"""),"2. Twix")</f>
        <v>2. Twix</v>
      </c>
      <c r="B2408" s="4" t="str">
        <f>IFERROR(__xludf.DUMMYFUNCTION("""COMPUTED_VALUE"""),"2")</f>
        <v>2</v>
      </c>
      <c r="C2408" s="5" t="str">
        <f>IFERROR(__xludf.DUMMYFUNCTION("""COMPUTED_VALUE"""),"https://drive.google.com/file/d/10IjYmikA28k4jGo7BA4DRPmVerM03Okx/view?usp=drivesdk")</f>
        <v>https://drive.google.com/file/d/10IjYmikA28k4jGo7BA4DRPmVerM03Okx/view?usp=drivesdk</v>
      </c>
      <c r="D2408" s="12"/>
      <c r="E2408" s="13">
        <v>2458.0</v>
      </c>
      <c r="F2408" s="2"/>
    </row>
    <row r="2409" ht="1.5" customHeight="1">
      <c r="A2409" s="4" t="str">
        <f>IFERROR(__xludf.DUMMYFUNCTION("""COMPUTED_VALUE"""),"4. Eggs, 5. Eraser")</f>
        <v>4. Eggs, 5. Eraser</v>
      </c>
      <c r="B2409" s="4" t="str">
        <f>IFERROR(__xludf.DUMMYFUNCTION("""COMPUTED_VALUE"""),"4, 5")</f>
        <v>4, 5</v>
      </c>
      <c r="C2409" s="5" t="str">
        <f>IFERROR(__xludf.DUMMYFUNCTION("""COMPUTED_VALUE"""),"https://drive.google.com/file/d/1JhFrQpMhuCqQrbJfGQZyC6kgOkmiBUl8/view?usp=drivesdk")</f>
        <v>https://drive.google.com/file/d/1JhFrQpMhuCqQrbJfGQZyC6kgOkmiBUl8/view?usp=drivesdk</v>
      </c>
      <c r="D2409" s="12"/>
      <c r="E2409" s="13">
        <v>2459.0</v>
      </c>
      <c r="F2409" s="2"/>
    </row>
    <row r="2410" ht="1.5" customHeight="1">
      <c r="A2410" s="4" t="str">
        <f>IFERROR(__xludf.DUMMYFUNCTION("""COMPUTED_VALUE"""),"2. Twix")</f>
        <v>2. Twix</v>
      </c>
      <c r="B2410" s="4" t="str">
        <f>IFERROR(__xludf.DUMMYFUNCTION("""COMPUTED_VALUE"""),"2")</f>
        <v>2</v>
      </c>
      <c r="C2410" s="5" t="str">
        <f>IFERROR(__xludf.DUMMYFUNCTION("""COMPUTED_VALUE"""),"https://drive.google.com/file/d/1qeZYIfupuS864nirm-4UJluJW_tofoHD/view?usp=drivesdk")</f>
        <v>https://drive.google.com/file/d/1qeZYIfupuS864nirm-4UJluJW_tofoHD/view?usp=drivesdk</v>
      </c>
      <c r="D2410" s="12"/>
      <c r="E2410" s="13">
        <v>2460.0</v>
      </c>
      <c r="F2410" s="2"/>
    </row>
    <row r="2411" ht="1.5" customHeight="1">
      <c r="A2411" s="4" t="str">
        <f>IFERROR(__xludf.DUMMYFUNCTION("""COMPUTED_VALUE"""),"5. Eraser")</f>
        <v>5. Eraser</v>
      </c>
      <c r="B2411" s="4" t="str">
        <f>IFERROR(__xludf.DUMMYFUNCTION("""COMPUTED_VALUE"""),"5")</f>
        <v>5</v>
      </c>
      <c r="C2411" s="5" t="str">
        <f>IFERROR(__xludf.DUMMYFUNCTION("""COMPUTED_VALUE"""),"https://drive.google.com/file/d/1O162Q8h07jC1WFcME4rhUfCF6WIzO6mS/view?usp=drivesdk")</f>
        <v>https://drive.google.com/file/d/1O162Q8h07jC1WFcME4rhUfCF6WIzO6mS/view?usp=drivesdk</v>
      </c>
      <c r="D2411" s="12"/>
      <c r="E2411" s="13">
        <v>2461.0</v>
      </c>
      <c r="F2411" s="2"/>
    </row>
    <row r="2412" ht="1.5" customHeight="1">
      <c r="A2412" s="4" t="str">
        <f>IFERROR(__xludf.DUMMYFUNCTION("""COMPUTED_VALUE"""),"4. Eggs, 5. Eraser")</f>
        <v>4. Eggs, 5. Eraser</v>
      </c>
      <c r="B2412" s="4" t="str">
        <f>IFERROR(__xludf.DUMMYFUNCTION("""COMPUTED_VALUE"""),"4, 5")</f>
        <v>4, 5</v>
      </c>
      <c r="C2412" s="5" t="str">
        <f>IFERROR(__xludf.DUMMYFUNCTION("""COMPUTED_VALUE"""),"https://drive.google.com/file/d/1ZR84KSyde9rffHfqCPoFXgM8HUhCP3Oe/view?usp=drivesdk")</f>
        <v>https://drive.google.com/file/d/1ZR84KSyde9rffHfqCPoFXgM8HUhCP3Oe/view?usp=drivesdk</v>
      </c>
      <c r="D2412" s="12"/>
      <c r="E2412" s="13">
        <v>2462.0</v>
      </c>
      <c r="F2412" s="2"/>
    </row>
    <row r="2413" ht="1.5" customHeight="1">
      <c r="A2413" s="4" t="str">
        <f>IFERROR(__xludf.DUMMYFUNCTION("""COMPUTED_VALUE"""),"2. Twix, 4. Eggs, 5. Eraser")</f>
        <v>2. Twix, 4. Eggs, 5. Eraser</v>
      </c>
      <c r="B2413" s="4" t="str">
        <f>IFERROR(__xludf.DUMMYFUNCTION("""COMPUTED_VALUE"""),"2, 4, 5")</f>
        <v>2, 4, 5</v>
      </c>
      <c r="C2413" s="5" t="str">
        <f>IFERROR(__xludf.DUMMYFUNCTION("""COMPUTED_VALUE"""),"https://drive.google.com/file/d/19x_pmVh8pXFuG5RSVf7zSQcuoIgaGwgg/view?usp=drivesdk")</f>
        <v>https://drive.google.com/file/d/19x_pmVh8pXFuG5RSVf7zSQcuoIgaGwgg/view?usp=drivesdk</v>
      </c>
      <c r="D2413" s="12"/>
      <c r="E2413" s="13">
        <v>2463.0</v>
      </c>
      <c r="F2413" s="2"/>
    </row>
    <row r="2414" ht="1.5" customHeight="1">
      <c r="A2414" s="4" t="str">
        <f>IFERROR(__xludf.DUMMYFUNCTION("""COMPUTED_VALUE"""),"2. Twix")</f>
        <v>2. Twix</v>
      </c>
      <c r="B2414" s="4" t="str">
        <f>IFERROR(__xludf.DUMMYFUNCTION("""COMPUTED_VALUE"""),"2")</f>
        <v>2</v>
      </c>
      <c r="C2414" s="5" t="str">
        <f>IFERROR(__xludf.DUMMYFUNCTION("""COMPUTED_VALUE"""),"https://drive.google.com/file/d/1JuhT33spqyQn7H8gl26cXie7rMoN75ET/view?usp=drivesdk")</f>
        <v>https://drive.google.com/file/d/1JuhT33spqyQn7H8gl26cXie7rMoN75ET/view?usp=drivesdk</v>
      </c>
      <c r="D2414" s="12"/>
      <c r="E2414" s="13">
        <v>2464.0</v>
      </c>
      <c r="F2414" s="2"/>
    </row>
    <row r="2415" ht="1.5" customHeight="1">
      <c r="A2415" s="4" t="str">
        <f>IFERROR(__xludf.DUMMYFUNCTION("""COMPUTED_VALUE"""),"21. Paquini")</f>
        <v>21. Paquini</v>
      </c>
      <c r="B2415" s="4" t="str">
        <f>IFERROR(__xludf.DUMMYFUNCTION("""COMPUTED_VALUE"""),"21")</f>
        <v>21</v>
      </c>
      <c r="C2415" s="5" t="str">
        <f>IFERROR(__xludf.DUMMYFUNCTION("""COMPUTED_VALUE"""),"https://drive.google.com/file/d/18ckqmY3-zU5WXwS1Qsc5Tcm2TrSv-7kD/view?usp=drivesdk")</f>
        <v>https://drive.google.com/file/d/18ckqmY3-zU5WXwS1Qsc5Tcm2TrSv-7kD/view?usp=drivesdk</v>
      </c>
      <c r="D2415" s="12"/>
      <c r="E2415" s="13">
        <v>2465.0</v>
      </c>
      <c r="F2415" s="2"/>
    </row>
    <row r="2416" ht="1.5" customHeight="1">
      <c r="A2416" s="4" t="str">
        <f>IFERROR(__xludf.DUMMYFUNCTION("""COMPUTED_VALUE"""),"21. Paquini")</f>
        <v>21. Paquini</v>
      </c>
      <c r="B2416" s="4" t="str">
        <f>IFERROR(__xludf.DUMMYFUNCTION("""COMPUTED_VALUE"""),"21")</f>
        <v>21</v>
      </c>
      <c r="C2416" s="5" t="str">
        <f>IFERROR(__xludf.DUMMYFUNCTION("""COMPUTED_VALUE"""),"https://drive.google.com/file/d/1BdimLkapuFjHIyyU25GkM5plVeea2Kv2/view?usp=drivesdk")</f>
        <v>https://drive.google.com/file/d/1BdimLkapuFjHIyyU25GkM5plVeea2Kv2/view?usp=drivesdk</v>
      </c>
      <c r="D2416" s="12"/>
      <c r="E2416" s="13">
        <v>2466.0</v>
      </c>
      <c r="F2416" s="2"/>
    </row>
    <row r="2417" ht="1.5" customHeight="1">
      <c r="A2417" s="4" t="str">
        <f>IFERROR(__xludf.DUMMYFUNCTION("""COMPUTED_VALUE"""),"4. Eggs, 5. Eraser")</f>
        <v>4. Eggs, 5. Eraser</v>
      </c>
      <c r="B2417" s="4" t="str">
        <f>IFERROR(__xludf.DUMMYFUNCTION("""COMPUTED_VALUE"""),"4, 5")</f>
        <v>4, 5</v>
      </c>
      <c r="C2417" s="5" t="str">
        <f>IFERROR(__xludf.DUMMYFUNCTION("""COMPUTED_VALUE"""),"https://drive.google.com/file/d/1wPnVm8qLzf-1hcKoTcV6Wx9m71y7mizc/view?usp=drivesdk")</f>
        <v>https://drive.google.com/file/d/1wPnVm8qLzf-1hcKoTcV6Wx9m71y7mizc/view?usp=drivesdk</v>
      </c>
      <c r="D2417" s="12"/>
      <c r="E2417" s="13">
        <v>2467.0</v>
      </c>
      <c r="F2417" s="2"/>
    </row>
    <row r="2418" ht="1.5" customHeight="1">
      <c r="A2418" s="4" t="str">
        <f>IFERROR(__xludf.DUMMYFUNCTION("""COMPUTED_VALUE"""),"22. Glockenspiel")</f>
        <v>22. Glockenspiel</v>
      </c>
      <c r="B2418" s="4" t="str">
        <f>IFERROR(__xludf.DUMMYFUNCTION("""COMPUTED_VALUE"""),"22")</f>
        <v>22</v>
      </c>
      <c r="C2418" s="5" t="str">
        <f>IFERROR(__xludf.DUMMYFUNCTION("""COMPUTED_VALUE"""),"https://drive.google.com/file/d/1SnTeeHfqmWSYa_j88EtujY5MIuAPjIhW/view?usp=drivesdk")</f>
        <v>https://drive.google.com/file/d/1SnTeeHfqmWSYa_j88EtujY5MIuAPjIhW/view?usp=drivesdk</v>
      </c>
      <c r="D2418" s="12"/>
      <c r="E2418" s="13">
        <v>2468.0</v>
      </c>
      <c r="F2418" s="2"/>
    </row>
    <row r="2419" ht="1.5" customHeight="1">
      <c r="A2419" s="4" t="str">
        <f>IFERROR(__xludf.DUMMYFUNCTION("""COMPUTED_VALUE"""),"5. Eraser")</f>
        <v>5. Eraser</v>
      </c>
      <c r="B2419" s="4" t="str">
        <f>IFERROR(__xludf.DUMMYFUNCTION("""COMPUTED_VALUE"""),"5")</f>
        <v>5</v>
      </c>
      <c r="C2419" s="5" t="str">
        <f>IFERROR(__xludf.DUMMYFUNCTION("""COMPUTED_VALUE"""),"https://drive.google.com/file/d/1WFRPHPeCrpUD7lXhs98B-9tRCddRkgcR/view?usp=drivesdk")</f>
        <v>https://drive.google.com/file/d/1WFRPHPeCrpUD7lXhs98B-9tRCddRkgcR/view?usp=drivesdk</v>
      </c>
      <c r="D2419" s="12"/>
      <c r="E2419" s="13">
        <v>2469.0</v>
      </c>
      <c r="F2419" s="2"/>
    </row>
    <row r="2420" ht="1.5" customHeight="1">
      <c r="A2420" s="4" t="str">
        <f>IFERROR(__xludf.DUMMYFUNCTION("""COMPUTED_VALUE"""),"2. Twix")</f>
        <v>2. Twix</v>
      </c>
      <c r="B2420" s="4" t="str">
        <f>IFERROR(__xludf.DUMMYFUNCTION("""COMPUTED_VALUE"""),"2")</f>
        <v>2</v>
      </c>
      <c r="C2420" s="5" t="str">
        <f>IFERROR(__xludf.DUMMYFUNCTION("""COMPUTED_VALUE"""),"https://drive.google.com/file/d/154GkPQk8-jxQ0iKVTvRjmKZhJzKSc3FJ/view?usp=drivesdk")</f>
        <v>https://drive.google.com/file/d/154GkPQk8-jxQ0iKVTvRjmKZhJzKSc3FJ/view?usp=drivesdk</v>
      </c>
      <c r="D2420" s="12"/>
      <c r="E2420" s="13">
        <v>2470.0</v>
      </c>
      <c r="F2420" s="2"/>
    </row>
    <row r="2421" ht="1.5" customHeight="1">
      <c r="A2421" s="4" t="str">
        <f>IFERROR(__xludf.DUMMYFUNCTION("""COMPUTED_VALUE"""),"2. Twix")</f>
        <v>2. Twix</v>
      </c>
      <c r="B2421" s="4" t="str">
        <f>IFERROR(__xludf.DUMMYFUNCTION("""COMPUTED_VALUE"""),"2")</f>
        <v>2</v>
      </c>
      <c r="C2421" s="5" t="str">
        <f>IFERROR(__xludf.DUMMYFUNCTION("""COMPUTED_VALUE"""),"https://drive.google.com/file/d/1CaIZiHwqm99yWqSyA6jEoXNozQFVoYrh/view?usp=drivesdk")</f>
        <v>https://drive.google.com/file/d/1CaIZiHwqm99yWqSyA6jEoXNozQFVoYrh/view?usp=drivesdk</v>
      </c>
      <c r="D2421" s="12"/>
      <c r="E2421" s="13">
        <v>2471.0</v>
      </c>
      <c r="F2421" s="2"/>
    </row>
    <row r="2422" ht="1.5" customHeight="1">
      <c r="A2422" s="4" t="str">
        <f>IFERROR(__xludf.DUMMYFUNCTION("""COMPUTED_VALUE"""),"2. Twix")</f>
        <v>2. Twix</v>
      </c>
      <c r="B2422" s="4" t="str">
        <f>IFERROR(__xludf.DUMMYFUNCTION("""COMPUTED_VALUE"""),"2")</f>
        <v>2</v>
      </c>
      <c r="C2422" s="5" t="str">
        <f>IFERROR(__xludf.DUMMYFUNCTION("""COMPUTED_VALUE"""),"https://drive.google.com/file/d/1HDihEgpbaHVZao0SR7gqX6Ly1oVrATRB/view?usp=drivesdk")</f>
        <v>https://drive.google.com/file/d/1HDihEgpbaHVZao0SR7gqX6Ly1oVrATRB/view?usp=drivesdk</v>
      </c>
      <c r="D2422" s="12"/>
      <c r="E2422" s="13">
        <v>2472.0</v>
      </c>
      <c r="F2422" s="2"/>
    </row>
    <row r="2423" ht="1.5" customHeight="1">
      <c r="A2423" s="4" t="str">
        <f>IFERROR(__xludf.DUMMYFUNCTION("""COMPUTED_VALUE"""),"2. Twix")</f>
        <v>2. Twix</v>
      </c>
      <c r="B2423" s="4" t="str">
        <f>IFERROR(__xludf.DUMMYFUNCTION("""COMPUTED_VALUE"""),"2")</f>
        <v>2</v>
      </c>
      <c r="C2423" s="5" t="str">
        <f>IFERROR(__xludf.DUMMYFUNCTION("""COMPUTED_VALUE"""),"https://drive.google.com/file/d/117aYiqYcQhvqlieVWxN4AzLY_3yPP9zl/view?usp=drivesdk")</f>
        <v>https://drive.google.com/file/d/117aYiqYcQhvqlieVWxN4AzLY_3yPP9zl/view?usp=drivesdk</v>
      </c>
      <c r="D2423" s="12"/>
      <c r="E2423" s="13">
        <v>2473.0</v>
      </c>
      <c r="F2423" s="2"/>
    </row>
    <row r="2424" ht="1.5" customHeight="1">
      <c r="A2424" s="4" t="str">
        <f>IFERROR(__xludf.DUMMYFUNCTION("""COMPUTED_VALUE"""),"2. Twix")</f>
        <v>2. Twix</v>
      </c>
      <c r="B2424" s="4" t="str">
        <f>IFERROR(__xludf.DUMMYFUNCTION("""COMPUTED_VALUE"""),"2")</f>
        <v>2</v>
      </c>
      <c r="C2424" s="5" t="str">
        <f>IFERROR(__xludf.DUMMYFUNCTION("""COMPUTED_VALUE"""),"https://drive.google.com/file/d/1TmZRaWF4BPE6M_6wUtrv0JBxXtq0n2sj/view?usp=drivesdk")</f>
        <v>https://drive.google.com/file/d/1TmZRaWF4BPE6M_6wUtrv0JBxXtq0n2sj/view?usp=drivesdk</v>
      </c>
      <c r="D2424" s="12"/>
      <c r="E2424" s="13">
        <v>2474.0</v>
      </c>
      <c r="F2424" s="2"/>
    </row>
    <row r="2425" ht="1.5" customHeight="1">
      <c r="A2425" s="4" t="str">
        <f>IFERROR(__xludf.DUMMYFUNCTION("""COMPUTED_VALUE"""),"5. Eraser, 4. Eggs")</f>
        <v>5. Eraser, 4. Eggs</v>
      </c>
      <c r="B2425" s="4" t="str">
        <f>IFERROR(__xludf.DUMMYFUNCTION("""COMPUTED_VALUE"""),"5, 4")</f>
        <v>5, 4</v>
      </c>
      <c r="C2425" s="5" t="str">
        <f>IFERROR(__xludf.DUMMYFUNCTION("""COMPUTED_VALUE"""),"https://drive.google.com/file/d/1o6solgP8cD9t3GbjFGRFKE0XoWjlaTYz/view?usp=drivesdk")</f>
        <v>https://drive.google.com/file/d/1o6solgP8cD9t3GbjFGRFKE0XoWjlaTYz/view?usp=drivesdk</v>
      </c>
      <c r="D2425" s="12"/>
      <c r="E2425" s="13">
        <v>2475.0</v>
      </c>
      <c r="F2425" s="2"/>
    </row>
    <row r="2426" ht="1.5" customHeight="1">
      <c r="A2426" s="4" t="str">
        <f>IFERROR(__xludf.DUMMYFUNCTION("""COMPUTED_VALUE"""),"32. Noir")</f>
        <v>32. Noir</v>
      </c>
      <c r="B2426" s="4" t="str">
        <f>IFERROR(__xludf.DUMMYFUNCTION("""COMPUTED_VALUE"""),"32")</f>
        <v>32</v>
      </c>
      <c r="C2426" s="5" t="str">
        <f>IFERROR(__xludf.DUMMYFUNCTION("""COMPUTED_VALUE"""),"https://drive.google.com/file/d/1OMowgydVe6ih760iJnXAVy5Xvw4hmltb/view?usp=drivesdk")</f>
        <v>https://drive.google.com/file/d/1OMowgydVe6ih760iJnXAVy5Xvw4hmltb/view?usp=drivesdk</v>
      </c>
      <c r="D2426" s="12"/>
      <c r="E2426" s="13">
        <v>2476.0</v>
      </c>
      <c r="F2426" s="2"/>
    </row>
    <row r="2427" ht="1.5" customHeight="1">
      <c r="A2427" s="4" t="str">
        <f>IFERROR(__xludf.DUMMYFUNCTION("""COMPUTED_VALUE"""),"4. Eggs")</f>
        <v>4. Eggs</v>
      </c>
      <c r="B2427" s="4" t="str">
        <f>IFERROR(__xludf.DUMMYFUNCTION("""COMPUTED_VALUE"""),"4")</f>
        <v>4</v>
      </c>
      <c r="C2427" s="5" t="str">
        <f>IFERROR(__xludf.DUMMYFUNCTION("""COMPUTED_VALUE"""),"https://drive.google.com/file/d/1XoCjETPCXGY3LlsBcsMQBJuWbADYtwdp/view?usp=drivesdk")</f>
        <v>https://drive.google.com/file/d/1XoCjETPCXGY3LlsBcsMQBJuWbADYtwdp/view?usp=drivesdk</v>
      </c>
      <c r="D2427" s="12"/>
      <c r="E2427" s="13">
        <v>2477.0</v>
      </c>
      <c r="F2427" s="2"/>
    </row>
    <row r="2428" ht="1.5" customHeight="1">
      <c r="A2428" s="4" t="str">
        <f>IFERROR(__xludf.DUMMYFUNCTION("""COMPUTED_VALUE"""),"4. Eggs")</f>
        <v>4. Eggs</v>
      </c>
      <c r="B2428" s="4" t="str">
        <f>IFERROR(__xludf.DUMMYFUNCTION("""COMPUTED_VALUE"""),"4")</f>
        <v>4</v>
      </c>
      <c r="C2428" s="5" t="str">
        <f>IFERROR(__xludf.DUMMYFUNCTION("""COMPUTED_VALUE"""),"https://drive.google.com/file/d/1TdvtN_f9qbDQn6zqmAzEAPPM5-TrWPd-/view?usp=drivesdk")</f>
        <v>https://drive.google.com/file/d/1TdvtN_f9qbDQn6zqmAzEAPPM5-TrWPd-/view?usp=drivesdk</v>
      </c>
      <c r="D2428" s="12"/>
      <c r="E2428" s="13">
        <v>2478.0</v>
      </c>
      <c r="F2428" s="2"/>
    </row>
    <row r="2429" ht="1.5" customHeight="1">
      <c r="A2429" s="4" t="str">
        <f>IFERROR(__xludf.DUMMYFUNCTION("""COMPUTED_VALUE"""),"1. Microwave")</f>
        <v>1. Microwave</v>
      </c>
      <c r="B2429" s="4" t="str">
        <f>IFERROR(__xludf.DUMMYFUNCTION("""COMPUTED_VALUE"""),"1")</f>
        <v>1</v>
      </c>
      <c r="C2429" s="5" t="str">
        <f>IFERROR(__xludf.DUMMYFUNCTION("""COMPUTED_VALUE"""),"https://drive.google.com/file/d/10xfXO-ZbGJw9ZqGVEgzSXLoZzD8EID9g/view?usp=drivesdk")</f>
        <v>https://drive.google.com/file/d/10xfXO-ZbGJw9ZqGVEgzSXLoZzD8EID9g/view?usp=drivesdk</v>
      </c>
      <c r="D2429" s="12"/>
      <c r="E2429" s="13">
        <v>2479.0</v>
      </c>
      <c r="F2429" s="2"/>
    </row>
    <row r="2430" ht="1.5" customHeight="1">
      <c r="A2430" s="4" t="str">
        <f>IFERROR(__xludf.DUMMYFUNCTION("""COMPUTED_VALUE"""),"1. Microwave")</f>
        <v>1. Microwave</v>
      </c>
      <c r="B2430" s="4" t="str">
        <f>IFERROR(__xludf.DUMMYFUNCTION("""COMPUTED_VALUE"""),"1")</f>
        <v>1</v>
      </c>
      <c r="C2430" s="5" t="str">
        <f>IFERROR(__xludf.DUMMYFUNCTION("""COMPUTED_VALUE"""),"https://drive.google.com/file/d/1IdV99K87a8WOj9rhyU5gJFlWGasx3QJL/view?usp=drivesdk")</f>
        <v>https://drive.google.com/file/d/1IdV99K87a8WOj9rhyU5gJFlWGasx3QJL/view?usp=drivesdk</v>
      </c>
      <c r="D2430" s="12"/>
      <c r="E2430" s="13">
        <v>2480.0</v>
      </c>
      <c r="F2430" s="2"/>
    </row>
    <row r="2431" ht="1.5" customHeight="1">
      <c r="A2431" s="4" t="str">
        <f>IFERROR(__xludf.DUMMYFUNCTION("""COMPUTED_VALUE"""),"1. Microwave")</f>
        <v>1. Microwave</v>
      </c>
      <c r="B2431" s="4" t="str">
        <f>IFERROR(__xludf.DUMMYFUNCTION("""COMPUTED_VALUE"""),"1")</f>
        <v>1</v>
      </c>
      <c r="C2431" s="5" t="str">
        <f>IFERROR(__xludf.DUMMYFUNCTION("""COMPUTED_VALUE"""),"https://drive.google.com/file/d/1vWB5bC8vCC68NSbhCX60tCyo5fxrqzD_/view?usp=drivesdk")</f>
        <v>https://drive.google.com/file/d/1vWB5bC8vCC68NSbhCX60tCyo5fxrqzD_/view?usp=drivesdk</v>
      </c>
      <c r="D2431" s="12"/>
      <c r="E2431" s="13">
        <v>2481.0</v>
      </c>
      <c r="F2431" s="2"/>
    </row>
    <row r="2432" ht="1.5" customHeight="1">
      <c r="A2432" s="4" t="str">
        <f>IFERROR(__xludf.DUMMYFUNCTION("""COMPUTED_VALUE"""),"1. Microwave")</f>
        <v>1. Microwave</v>
      </c>
      <c r="B2432" s="4" t="str">
        <f>IFERROR(__xludf.DUMMYFUNCTION("""COMPUTED_VALUE"""),"1")</f>
        <v>1</v>
      </c>
      <c r="C2432" s="5" t="str">
        <f>IFERROR(__xludf.DUMMYFUNCTION("""COMPUTED_VALUE"""),"https://drive.google.com/file/d/1_HpWVKID4K21OnfnkaJgKuEa1fRZjx3j/view?usp=drivesdk")</f>
        <v>https://drive.google.com/file/d/1_HpWVKID4K21OnfnkaJgKuEa1fRZjx3j/view?usp=drivesdk</v>
      </c>
      <c r="D2432" s="12"/>
      <c r="E2432" s="13">
        <v>2482.0</v>
      </c>
      <c r="F2432" s="2"/>
    </row>
    <row r="2433" ht="1.5" customHeight="1">
      <c r="A2433" s="4" t="str">
        <f>IFERROR(__xludf.DUMMYFUNCTION("""COMPUTED_VALUE"""),"1. Microwave")</f>
        <v>1. Microwave</v>
      </c>
      <c r="B2433" s="4" t="str">
        <f>IFERROR(__xludf.DUMMYFUNCTION("""COMPUTED_VALUE"""),"1")</f>
        <v>1</v>
      </c>
      <c r="C2433" s="5" t="str">
        <f>IFERROR(__xludf.DUMMYFUNCTION("""COMPUTED_VALUE"""),"https://drive.google.com/file/d/1GwnzP0LYvFEdJMAIrDf3ShnqLaenZef6/view?usp=drivesdk")</f>
        <v>https://drive.google.com/file/d/1GwnzP0LYvFEdJMAIrDf3ShnqLaenZef6/view?usp=drivesdk</v>
      </c>
      <c r="D2433" s="12"/>
      <c r="E2433" s="13">
        <v>2483.0</v>
      </c>
      <c r="F2433" s="2"/>
    </row>
    <row r="2434" ht="1.5" customHeight="1">
      <c r="A2434" s="4" t="str">
        <f>IFERROR(__xludf.DUMMYFUNCTION("""COMPUTED_VALUE"""),"1. Microwave")</f>
        <v>1. Microwave</v>
      </c>
      <c r="B2434" s="4" t="str">
        <f>IFERROR(__xludf.DUMMYFUNCTION("""COMPUTED_VALUE"""),"1")</f>
        <v>1</v>
      </c>
      <c r="C2434" s="5" t="str">
        <f>IFERROR(__xludf.DUMMYFUNCTION("""COMPUTED_VALUE"""),"https://drive.google.com/file/d/1Ni983k5JWPKgDljEBR3pIEaENGnukRhT/view?usp=drivesdk")</f>
        <v>https://drive.google.com/file/d/1Ni983k5JWPKgDljEBR3pIEaENGnukRhT/view?usp=drivesdk</v>
      </c>
      <c r="D2434" s="12"/>
      <c r="E2434" s="13">
        <v>2484.0</v>
      </c>
      <c r="F2434" s="2"/>
    </row>
    <row r="2435" ht="1.5" customHeight="1">
      <c r="A2435" s="4" t="str">
        <f>IFERROR(__xludf.DUMMYFUNCTION("""COMPUTED_VALUE"""),"1. Microwave")</f>
        <v>1. Microwave</v>
      </c>
      <c r="B2435" s="4" t="str">
        <f>IFERROR(__xludf.DUMMYFUNCTION("""COMPUTED_VALUE"""),"1")</f>
        <v>1</v>
      </c>
      <c r="C2435" s="5" t="str">
        <f>IFERROR(__xludf.DUMMYFUNCTION("""COMPUTED_VALUE"""),"https://drive.google.com/file/d/10nUEoV0rr5FwdTTV5d6K9OsqE5mSewih/view?usp=drivesdk")</f>
        <v>https://drive.google.com/file/d/10nUEoV0rr5FwdTTV5d6K9OsqE5mSewih/view?usp=drivesdk</v>
      </c>
      <c r="D2435" s="12"/>
      <c r="E2435" s="13">
        <v>2485.0</v>
      </c>
      <c r="F2435" s="2"/>
    </row>
    <row r="2436" ht="1.5" customHeight="1">
      <c r="A2436" s="4" t="str">
        <f>IFERROR(__xludf.DUMMYFUNCTION("""COMPUTED_VALUE"""),"1. Microwave")</f>
        <v>1. Microwave</v>
      </c>
      <c r="B2436" s="4" t="str">
        <f>IFERROR(__xludf.DUMMYFUNCTION("""COMPUTED_VALUE"""),"1")</f>
        <v>1</v>
      </c>
      <c r="C2436" s="5" t="str">
        <f>IFERROR(__xludf.DUMMYFUNCTION("""COMPUTED_VALUE"""),"https://drive.google.com/file/d/1KaejYWplcBNU9FSjVFJWJCUEJ4xRc6YL/view?usp=drivesdk")</f>
        <v>https://drive.google.com/file/d/1KaejYWplcBNU9FSjVFJWJCUEJ4xRc6YL/view?usp=drivesdk</v>
      </c>
      <c r="D2436" s="12"/>
      <c r="E2436" s="13">
        <v>2486.0</v>
      </c>
      <c r="F2436" s="2"/>
    </row>
    <row r="2437" ht="1.5" customHeight="1">
      <c r="A2437" s="4" t="str">
        <f>IFERROR(__xludf.DUMMYFUNCTION("""COMPUTED_VALUE"""),"1. Microwave")</f>
        <v>1. Microwave</v>
      </c>
      <c r="B2437" s="4" t="str">
        <f>IFERROR(__xludf.DUMMYFUNCTION("""COMPUTED_VALUE"""),"1")</f>
        <v>1</v>
      </c>
      <c r="C2437" s="5" t="str">
        <f>IFERROR(__xludf.DUMMYFUNCTION("""COMPUTED_VALUE"""),"https://drive.google.com/file/d/1Hmbj-wLHulyoGZueEjgC0XkcfMQ6JDqo/view?usp=drivesdk")</f>
        <v>https://drive.google.com/file/d/1Hmbj-wLHulyoGZueEjgC0XkcfMQ6JDqo/view?usp=drivesdk</v>
      </c>
      <c r="D2437" s="12"/>
      <c r="E2437" s="13">
        <v>2487.0</v>
      </c>
      <c r="F2437" s="2"/>
    </row>
    <row r="2438" ht="1.5" customHeight="1">
      <c r="A2438" s="4" t="str">
        <f>IFERROR(__xludf.DUMMYFUNCTION("""COMPUTED_VALUE"""),"1. Microwave")</f>
        <v>1. Microwave</v>
      </c>
      <c r="B2438" s="4" t="str">
        <f>IFERROR(__xludf.DUMMYFUNCTION("""COMPUTED_VALUE"""),"1")</f>
        <v>1</v>
      </c>
      <c r="C2438" s="5" t="str">
        <f>IFERROR(__xludf.DUMMYFUNCTION("""COMPUTED_VALUE"""),"https://drive.google.com/file/d/1qWD1UlNRxVQiTjW9ev8t-wKZ0t39Szr-/view?usp=drivesdk")</f>
        <v>https://drive.google.com/file/d/1qWD1UlNRxVQiTjW9ev8t-wKZ0t39Szr-/view?usp=drivesdk</v>
      </c>
      <c r="D2438" s="12"/>
      <c r="E2438" s="13">
        <v>2488.0</v>
      </c>
      <c r="F2438" s="2"/>
    </row>
    <row r="2439" ht="1.5" customHeight="1">
      <c r="A2439" s="4" t="str">
        <f>IFERROR(__xludf.DUMMYFUNCTION("""COMPUTED_VALUE"""),"1. Microwave")</f>
        <v>1. Microwave</v>
      </c>
      <c r="B2439" s="4" t="str">
        <f>IFERROR(__xludf.DUMMYFUNCTION("""COMPUTED_VALUE"""),"1")</f>
        <v>1</v>
      </c>
      <c r="C2439" s="5" t="str">
        <f>IFERROR(__xludf.DUMMYFUNCTION("""COMPUTED_VALUE"""),"https://drive.google.com/file/d/1dCPssVLxERqd0aWGTl5uJI7e__MhaNMJ/view?usp=drivesdk")</f>
        <v>https://drive.google.com/file/d/1dCPssVLxERqd0aWGTl5uJI7e__MhaNMJ/view?usp=drivesdk</v>
      </c>
      <c r="D2439" s="12"/>
      <c r="E2439" s="13">
        <v>2489.0</v>
      </c>
      <c r="F2439" s="2"/>
    </row>
    <row r="2440" ht="1.5" customHeight="1">
      <c r="A2440" s="4" t="str">
        <f>IFERROR(__xludf.DUMMYFUNCTION("""COMPUTED_VALUE"""),"1. Microwave")</f>
        <v>1. Microwave</v>
      </c>
      <c r="B2440" s="4" t="str">
        <f>IFERROR(__xludf.DUMMYFUNCTION("""COMPUTED_VALUE"""),"1")</f>
        <v>1</v>
      </c>
      <c r="C2440" s="5" t="str">
        <f>IFERROR(__xludf.DUMMYFUNCTION("""COMPUTED_VALUE"""),"https://drive.google.com/file/d/1wvxNJp7qqBnwzTLO95oZmT5x3NBXNael/view?usp=drivesdk")</f>
        <v>https://drive.google.com/file/d/1wvxNJp7qqBnwzTLO95oZmT5x3NBXNael/view?usp=drivesdk</v>
      </c>
      <c r="D2440" s="12"/>
      <c r="E2440" s="13">
        <v>2490.0</v>
      </c>
      <c r="F2440" s="2"/>
    </row>
    <row r="2441" ht="1.5" customHeight="1">
      <c r="A2441" s="4" t="str">
        <f>IFERROR(__xludf.DUMMYFUNCTION("""COMPUTED_VALUE"""),"1. Microwave")</f>
        <v>1. Microwave</v>
      </c>
      <c r="B2441" s="4" t="str">
        <f>IFERROR(__xludf.DUMMYFUNCTION("""COMPUTED_VALUE"""),"1")</f>
        <v>1</v>
      </c>
      <c r="C2441" s="5" t="str">
        <f>IFERROR(__xludf.DUMMYFUNCTION("""COMPUTED_VALUE"""),"https://drive.google.com/file/d/1w8XYYF4iPsLnqSNEseL40ZRAooe30cpP/view?usp=drivesdk")</f>
        <v>https://drive.google.com/file/d/1w8XYYF4iPsLnqSNEseL40ZRAooe30cpP/view?usp=drivesdk</v>
      </c>
      <c r="D2441" s="12"/>
      <c r="E2441" s="13">
        <v>2491.0</v>
      </c>
      <c r="F2441" s="2"/>
    </row>
    <row r="2442" ht="1.5" customHeight="1">
      <c r="A2442" s="4" t="str">
        <f>IFERROR(__xludf.DUMMYFUNCTION("""COMPUTED_VALUE"""),"1. Microwave")</f>
        <v>1. Microwave</v>
      </c>
      <c r="B2442" s="4" t="str">
        <f>IFERROR(__xludf.DUMMYFUNCTION("""COMPUTED_VALUE"""),"1")</f>
        <v>1</v>
      </c>
      <c r="C2442" s="5" t="str">
        <f>IFERROR(__xludf.DUMMYFUNCTION("""COMPUTED_VALUE"""),"https://drive.google.com/file/d/1FHc1vNbjt-cYep4H-mwuFMKT6ssB1-bk/view?usp=drivesdk")</f>
        <v>https://drive.google.com/file/d/1FHc1vNbjt-cYep4H-mwuFMKT6ssB1-bk/view?usp=drivesdk</v>
      </c>
      <c r="D2442" s="12"/>
      <c r="E2442" s="13">
        <v>2492.0</v>
      </c>
      <c r="F2442" s="2"/>
    </row>
    <row r="2443" ht="1.5" customHeight="1">
      <c r="A2443" s="4" t="str">
        <f>IFERROR(__xludf.DUMMYFUNCTION("""COMPUTED_VALUE"""),"1. Microwave")</f>
        <v>1. Microwave</v>
      </c>
      <c r="B2443" s="4" t="str">
        <f>IFERROR(__xludf.DUMMYFUNCTION("""COMPUTED_VALUE"""),"1")</f>
        <v>1</v>
      </c>
      <c r="C2443" s="5" t="str">
        <f>IFERROR(__xludf.DUMMYFUNCTION("""COMPUTED_VALUE"""),"https://drive.google.com/file/d/10bDOjNX4UPprqBiOHJ3FMeJfgSWzuoXY/view?usp=drivesdk")</f>
        <v>https://drive.google.com/file/d/10bDOjNX4UPprqBiOHJ3FMeJfgSWzuoXY/view?usp=drivesdk</v>
      </c>
      <c r="D2443" s="12"/>
      <c r="E2443" s="13">
        <v>2493.0</v>
      </c>
      <c r="F2443" s="2"/>
    </row>
    <row r="2444" ht="1.5" customHeight="1">
      <c r="A2444" s="4" t="str">
        <f>IFERROR(__xludf.DUMMYFUNCTION("""COMPUTED_VALUE"""),"1. Microwave")</f>
        <v>1. Microwave</v>
      </c>
      <c r="B2444" s="4" t="str">
        <f>IFERROR(__xludf.DUMMYFUNCTION("""COMPUTED_VALUE"""),"1")</f>
        <v>1</v>
      </c>
      <c r="C2444" s="5" t="str">
        <f>IFERROR(__xludf.DUMMYFUNCTION("""COMPUTED_VALUE"""),"https://drive.google.com/file/d/1zbq20WWyYE-vM2M_CX0aDeuDCRMr17VG/view?usp=drivesdk")</f>
        <v>https://drive.google.com/file/d/1zbq20WWyYE-vM2M_CX0aDeuDCRMr17VG/view?usp=drivesdk</v>
      </c>
      <c r="D2444" s="12"/>
      <c r="E2444" s="13">
        <v>2494.0</v>
      </c>
      <c r="F2444" s="2"/>
    </row>
    <row r="2445" ht="1.5" customHeight="1">
      <c r="A2445" s="4" t="str">
        <f>IFERROR(__xludf.DUMMYFUNCTION("""COMPUTED_VALUE"""),"1. Microwave")</f>
        <v>1. Microwave</v>
      </c>
      <c r="B2445" s="4" t="str">
        <f>IFERROR(__xludf.DUMMYFUNCTION("""COMPUTED_VALUE"""),"1")</f>
        <v>1</v>
      </c>
      <c r="C2445" s="5" t="str">
        <f>IFERROR(__xludf.DUMMYFUNCTION("""COMPUTED_VALUE"""),"https://drive.google.com/file/d/1m4Wpu53h7aVcU9q_-lFkWveUnv5l8jaD/view?usp=drivesdk")</f>
        <v>https://drive.google.com/file/d/1m4Wpu53h7aVcU9q_-lFkWveUnv5l8jaD/view?usp=drivesdk</v>
      </c>
      <c r="D2445" s="12"/>
      <c r="E2445" s="13">
        <v>2495.0</v>
      </c>
      <c r="F2445" s="2"/>
    </row>
    <row r="2446" ht="1.5" customHeight="1">
      <c r="A2446" s="4" t="str">
        <f>IFERROR(__xludf.DUMMYFUNCTION("""COMPUTED_VALUE"""),"1. Microwave")</f>
        <v>1. Microwave</v>
      </c>
      <c r="B2446" s="4" t="str">
        <f>IFERROR(__xludf.DUMMYFUNCTION("""COMPUTED_VALUE"""),"1")</f>
        <v>1</v>
      </c>
      <c r="C2446" s="5" t="str">
        <f>IFERROR(__xludf.DUMMYFUNCTION("""COMPUTED_VALUE"""),"https://drive.google.com/file/d/1cgfF2HSj8Pbdr-CWwNqruG9EexavtXdE/view?usp=drivesdk")</f>
        <v>https://drive.google.com/file/d/1cgfF2HSj8Pbdr-CWwNqruG9EexavtXdE/view?usp=drivesdk</v>
      </c>
      <c r="D2446" s="12"/>
      <c r="E2446" s="13">
        <v>2496.0</v>
      </c>
      <c r="F2446" s="2"/>
    </row>
    <row r="2447" ht="1.5" customHeight="1">
      <c r="A2447" s="4" t="str">
        <f>IFERROR(__xludf.DUMMYFUNCTION("""COMPUTED_VALUE"""),"1. Microwave")</f>
        <v>1. Microwave</v>
      </c>
      <c r="B2447" s="4" t="str">
        <f>IFERROR(__xludf.DUMMYFUNCTION("""COMPUTED_VALUE"""),"1")</f>
        <v>1</v>
      </c>
      <c r="C2447" s="5" t="str">
        <f>IFERROR(__xludf.DUMMYFUNCTION("""COMPUTED_VALUE"""),"https://drive.google.com/file/d/1VCxeT6Mg5CBXZnotQEAmGz4NltR5AtGn/view?usp=drivesdk")</f>
        <v>https://drive.google.com/file/d/1VCxeT6Mg5CBXZnotQEAmGz4NltR5AtGn/view?usp=drivesdk</v>
      </c>
      <c r="D2447" s="12"/>
      <c r="E2447" s="13">
        <v>2497.0</v>
      </c>
      <c r="F2447" s="2"/>
    </row>
    <row r="2448" ht="1.5" customHeight="1">
      <c r="A2448" s="4" t="str">
        <f>IFERROR(__xludf.DUMMYFUNCTION("""COMPUTED_VALUE"""),"1. Microwave")</f>
        <v>1. Microwave</v>
      </c>
      <c r="B2448" s="4" t="str">
        <f>IFERROR(__xludf.DUMMYFUNCTION("""COMPUTED_VALUE"""),"1")</f>
        <v>1</v>
      </c>
      <c r="C2448" s="5" t="str">
        <f>IFERROR(__xludf.DUMMYFUNCTION("""COMPUTED_VALUE"""),"https://drive.google.com/file/d/1AE0WXTKLLm5taZucL7-g1Nb71cqB20oV/view?usp=drivesdk")</f>
        <v>https://drive.google.com/file/d/1AE0WXTKLLm5taZucL7-g1Nb71cqB20oV/view?usp=drivesdk</v>
      </c>
      <c r="D2448" s="12"/>
      <c r="E2448" s="13">
        <v>2498.0</v>
      </c>
      <c r="F2448" s="2"/>
    </row>
    <row r="2449" ht="1.5" customHeight="1">
      <c r="A2449" s="4" t="str">
        <f>IFERROR(__xludf.DUMMYFUNCTION("""COMPUTED_VALUE"""),"1. Microwave")</f>
        <v>1. Microwave</v>
      </c>
      <c r="B2449" s="4" t="str">
        <f>IFERROR(__xludf.DUMMYFUNCTION("""COMPUTED_VALUE"""),"1")</f>
        <v>1</v>
      </c>
      <c r="C2449" s="5" t="str">
        <f>IFERROR(__xludf.DUMMYFUNCTION("""COMPUTED_VALUE"""),"https://drive.google.com/file/d/1gDQz8f2lhkS2dvwdoX8gvZPZagiA4xJJ/view?usp=drivesdk")</f>
        <v>https://drive.google.com/file/d/1gDQz8f2lhkS2dvwdoX8gvZPZagiA4xJJ/view?usp=drivesdk</v>
      </c>
      <c r="D2449" s="12"/>
      <c r="E2449" s="13">
        <v>2499.0</v>
      </c>
      <c r="F2449" s="2"/>
    </row>
    <row r="2450" ht="1.5" customHeight="1">
      <c r="A2450" s="4" t="str">
        <f>IFERROR(__xludf.DUMMYFUNCTION("""COMPUTED_VALUE"""),"1. Microwave")</f>
        <v>1. Microwave</v>
      </c>
      <c r="B2450" s="4" t="str">
        <f>IFERROR(__xludf.DUMMYFUNCTION("""COMPUTED_VALUE"""),"1")</f>
        <v>1</v>
      </c>
      <c r="C2450" s="5" t="str">
        <f>IFERROR(__xludf.DUMMYFUNCTION("""COMPUTED_VALUE"""),"https://drive.google.com/file/d/1KqquE3aOzVHna6o4flsEtb6FifaDOmn7/view?usp=drivesdk")</f>
        <v>https://drive.google.com/file/d/1KqquE3aOzVHna6o4flsEtb6FifaDOmn7/view?usp=drivesdk</v>
      </c>
      <c r="D2450" s="12"/>
      <c r="E2450" s="13">
        <v>2500.0</v>
      </c>
      <c r="F2450" s="2"/>
    </row>
    <row r="2451" ht="1.5" customHeight="1">
      <c r="A2451" s="4" t="str">
        <f>IFERROR(__xludf.DUMMYFUNCTION("""COMPUTED_VALUE"""),"1. Microwave")</f>
        <v>1. Microwave</v>
      </c>
      <c r="B2451" s="4" t="str">
        <f>IFERROR(__xludf.DUMMYFUNCTION("""COMPUTED_VALUE"""),"1")</f>
        <v>1</v>
      </c>
      <c r="C2451" s="5" t="str">
        <f>IFERROR(__xludf.DUMMYFUNCTION("""COMPUTED_VALUE"""),"https://drive.google.com/file/d/1ckvuET9KBzen4dl6MiTQcMNqVRRfStTn/view?usp=drivesdk")</f>
        <v>https://drive.google.com/file/d/1ckvuET9KBzen4dl6MiTQcMNqVRRfStTn/view?usp=drivesdk</v>
      </c>
      <c r="D2451" s="12"/>
      <c r="E2451" s="13">
        <v>2501.0</v>
      </c>
      <c r="F2451" s="2"/>
    </row>
    <row r="2452" ht="1.5" customHeight="1">
      <c r="A2452" s="4" t="str">
        <f>IFERROR(__xludf.DUMMYFUNCTION("""COMPUTED_VALUE"""),"1. Microwave")</f>
        <v>1. Microwave</v>
      </c>
      <c r="B2452" s="4" t="str">
        <f>IFERROR(__xludf.DUMMYFUNCTION("""COMPUTED_VALUE"""),"1")</f>
        <v>1</v>
      </c>
      <c r="C2452" s="5" t="str">
        <f>IFERROR(__xludf.DUMMYFUNCTION("""COMPUTED_VALUE"""),"https://drive.google.com/file/d/1kUsPS8BRXvBuKfi01GY01r_oncG3AXHZ/view?usp=drivesdk")</f>
        <v>https://drive.google.com/file/d/1kUsPS8BRXvBuKfi01GY01r_oncG3AXHZ/view?usp=drivesdk</v>
      </c>
      <c r="D2452" s="12"/>
      <c r="E2452" s="13">
        <v>2502.0</v>
      </c>
      <c r="F2452" s="2"/>
    </row>
    <row r="2453" ht="1.5" customHeight="1">
      <c r="A2453" s="4" t="str">
        <f>IFERROR(__xludf.DUMMYFUNCTION("""COMPUTED_VALUE"""),"1. Microwave")</f>
        <v>1. Microwave</v>
      </c>
      <c r="B2453" s="4" t="str">
        <f>IFERROR(__xludf.DUMMYFUNCTION("""COMPUTED_VALUE"""),"1")</f>
        <v>1</v>
      </c>
      <c r="C2453" s="5" t="str">
        <f>IFERROR(__xludf.DUMMYFUNCTION("""COMPUTED_VALUE"""),"https://drive.google.com/file/d/1CGW90o7AbZ5WQwQtrqmxbAKQTDKKe8d0/view?usp=drivesdk")</f>
        <v>https://drive.google.com/file/d/1CGW90o7AbZ5WQwQtrqmxbAKQTDKKe8d0/view?usp=drivesdk</v>
      </c>
      <c r="D2453" s="12"/>
      <c r="E2453" s="13">
        <v>2503.0</v>
      </c>
      <c r="F2453" s="2"/>
    </row>
    <row r="2454" ht="1.5" customHeight="1">
      <c r="A2454" s="4" t="str">
        <f>IFERROR(__xludf.DUMMYFUNCTION("""COMPUTED_VALUE"""),"1. Microwave")</f>
        <v>1. Microwave</v>
      </c>
      <c r="B2454" s="4" t="str">
        <f>IFERROR(__xludf.DUMMYFUNCTION("""COMPUTED_VALUE"""),"1")</f>
        <v>1</v>
      </c>
      <c r="C2454" s="5" t="str">
        <f>IFERROR(__xludf.DUMMYFUNCTION("""COMPUTED_VALUE"""),"https://drive.google.com/file/d/15DvLDm8XAWZszzCWg47ko8qd9744hGrn/view?usp=drivesdk")</f>
        <v>https://drive.google.com/file/d/15DvLDm8XAWZszzCWg47ko8qd9744hGrn/view?usp=drivesdk</v>
      </c>
      <c r="D2454" s="12"/>
      <c r="E2454" s="13">
        <v>2504.0</v>
      </c>
      <c r="F2454" s="2"/>
    </row>
    <row r="2455" ht="1.5" customHeight="1">
      <c r="A2455" s="4" t="str">
        <f>IFERROR(__xludf.DUMMYFUNCTION("""COMPUTED_VALUE"""),"27. Angel")</f>
        <v>27. Angel</v>
      </c>
      <c r="B2455" s="4" t="str">
        <f>IFERROR(__xludf.DUMMYFUNCTION("""COMPUTED_VALUE"""),"27")</f>
        <v>27</v>
      </c>
      <c r="C2455" s="5" t="str">
        <f>IFERROR(__xludf.DUMMYFUNCTION("""COMPUTED_VALUE"""),"https://drive.google.com/file/d/15BXYUUlTofRmVrFk-hYocmIQjV9ho9fb/view?usp=drivesdk")</f>
        <v>https://drive.google.com/file/d/15BXYUUlTofRmVrFk-hYocmIQjV9ho9fb/view?usp=drivesdk</v>
      </c>
      <c r="D2455" s="12"/>
      <c r="E2455" s="13">
        <v>2505.0</v>
      </c>
      <c r="F2455" s="2"/>
    </row>
    <row r="2456" ht="1.5" customHeight="1">
      <c r="A2456" s="4" t="str">
        <f>IFERROR(__xludf.DUMMYFUNCTION("""COMPUTED_VALUE"""),"5. Eraser")</f>
        <v>5. Eraser</v>
      </c>
      <c r="B2456" s="4" t="str">
        <f>IFERROR(__xludf.DUMMYFUNCTION("""COMPUTED_VALUE"""),"5")</f>
        <v>5</v>
      </c>
      <c r="C2456" s="5" t="str">
        <f>IFERROR(__xludf.DUMMYFUNCTION("""COMPUTED_VALUE"""),"https://drive.google.com/file/d/1KEv3pV1uHi_bqbEt1Su9navKy7IvbIcl/view?usp=drivesdk")</f>
        <v>https://drive.google.com/file/d/1KEv3pV1uHi_bqbEt1Su9navKy7IvbIcl/view?usp=drivesdk</v>
      </c>
      <c r="D2456" s="12"/>
      <c r="E2456" s="13">
        <v>2506.0</v>
      </c>
      <c r="F2456" s="2"/>
    </row>
    <row r="2457" ht="1.5" customHeight="1">
      <c r="A2457" s="4" t="str">
        <f>IFERROR(__xludf.DUMMYFUNCTION("""COMPUTED_VALUE"""),"2. Twix")</f>
        <v>2. Twix</v>
      </c>
      <c r="B2457" s="4" t="str">
        <f>IFERROR(__xludf.DUMMYFUNCTION("""COMPUTED_VALUE"""),"2")</f>
        <v>2</v>
      </c>
      <c r="C2457" s="5" t="str">
        <f>IFERROR(__xludf.DUMMYFUNCTION("""COMPUTED_VALUE"""),"https://drive.google.com/file/d/1-wq9LT979alzoUneB47nKu-lGS_pJ0kD/view?usp=drivesdk")</f>
        <v>https://drive.google.com/file/d/1-wq9LT979alzoUneB47nKu-lGS_pJ0kD/view?usp=drivesdk</v>
      </c>
      <c r="D2457" s="12"/>
      <c r="E2457" s="13">
        <v>2507.0</v>
      </c>
      <c r="F2457" s="2"/>
    </row>
    <row r="2458" ht="1.5" customHeight="1">
      <c r="A2458" s="4" t="str">
        <f>IFERROR(__xludf.DUMMYFUNCTION("""COMPUTED_VALUE"""),"35. Stove")</f>
        <v>35. Stove</v>
      </c>
      <c r="B2458" s="4" t="str">
        <f>IFERROR(__xludf.DUMMYFUNCTION("""COMPUTED_VALUE"""),"35")</f>
        <v>35</v>
      </c>
      <c r="C2458" s="5" t="str">
        <f>IFERROR(__xludf.DUMMYFUNCTION("""COMPUTED_VALUE"""),"https://drive.google.com/file/d/1kaasbjZ-iG2qRXnCl9END5iS7kQTwfz1/view?usp=drivesdk")</f>
        <v>https://drive.google.com/file/d/1kaasbjZ-iG2qRXnCl9END5iS7kQTwfz1/view?usp=drivesdk</v>
      </c>
      <c r="D2458" s="12"/>
      <c r="E2458" s="13">
        <v>2508.0</v>
      </c>
      <c r="F2458" s="2"/>
    </row>
    <row r="2459" ht="1.5" customHeight="1">
      <c r="A2459" s="4" t="str">
        <f>IFERROR(__xludf.DUMMYFUNCTION("""COMPUTED_VALUE"""),"46. Princess")</f>
        <v>46. Princess</v>
      </c>
      <c r="B2459" s="4" t="str">
        <f>IFERROR(__xludf.DUMMYFUNCTION("""COMPUTED_VALUE"""),"46")</f>
        <v>46</v>
      </c>
      <c r="C2459" s="5" t="str">
        <f>IFERROR(__xludf.DUMMYFUNCTION("""COMPUTED_VALUE"""),"https://drive.google.com/file/d/19GVM0Gosrxv6nxtbHYviOzrMV-ll4xXv/view?usp=drivesdk")</f>
        <v>https://drive.google.com/file/d/19GVM0Gosrxv6nxtbHYviOzrMV-ll4xXv/view?usp=drivesdk</v>
      </c>
      <c r="D2459" s="12"/>
      <c r="E2459" s="13">
        <v>2509.0</v>
      </c>
      <c r="F2459" s="2"/>
    </row>
    <row r="2460" ht="1.5" customHeight="1">
      <c r="A2460" s="4" t="str">
        <f>IFERROR(__xludf.DUMMYFUNCTION("""COMPUTED_VALUE"""),"38. Winston")</f>
        <v>38. Winston</v>
      </c>
      <c r="B2460" s="4" t="str">
        <f>IFERROR(__xludf.DUMMYFUNCTION("""COMPUTED_VALUE"""),"38")</f>
        <v>38</v>
      </c>
      <c r="C2460" s="5" t="str">
        <f>IFERROR(__xludf.DUMMYFUNCTION("""COMPUTED_VALUE"""),"https://drive.google.com/file/d/11xZahQA_6xW1kQSHp6RnAWmcLaahMgVa/view?usp=drivesdk")</f>
        <v>https://drive.google.com/file/d/11xZahQA_6xW1kQSHp6RnAWmcLaahMgVa/view?usp=drivesdk</v>
      </c>
      <c r="D2460" s="12"/>
      <c r="E2460" s="13">
        <v>2510.0</v>
      </c>
      <c r="F2460" s="2"/>
    </row>
    <row r="2461" ht="1.5" customHeight="1">
      <c r="A2461" s="4" t="str">
        <f>IFERROR(__xludf.DUMMYFUNCTION("""COMPUTED_VALUE"""),"0. NotACat")</f>
        <v>0. NotACat</v>
      </c>
      <c r="B2461" s="4" t="str">
        <f>IFERROR(__xludf.DUMMYFUNCTION("""COMPUTED_VALUE"""),"0")</f>
        <v>0</v>
      </c>
      <c r="C2461" s="5" t="str">
        <f>IFERROR(__xludf.DUMMYFUNCTION("""COMPUTED_VALUE"""),"https://drive.google.com/file/d/1H-54fx2GSUDVSm5sFQqzDEVhvr40DC_B/view?usp=drivesdk")</f>
        <v>https://drive.google.com/file/d/1H-54fx2GSUDVSm5sFQqzDEVhvr40DC_B/view?usp=drivesdk</v>
      </c>
      <c r="D2461" s="12"/>
      <c r="E2461" s="13">
        <v>2511.0</v>
      </c>
      <c r="F2461" s="2"/>
    </row>
    <row r="2462" ht="1.5" customHeight="1">
      <c r="A2462" s="4" t="str">
        <f>IFERROR(__xludf.DUMMYFUNCTION("""COMPUTED_VALUE"""),"2. Twix")</f>
        <v>2. Twix</v>
      </c>
      <c r="B2462" s="4" t="str">
        <f>IFERROR(__xludf.DUMMYFUNCTION("""COMPUTED_VALUE"""),"2")</f>
        <v>2</v>
      </c>
      <c r="C2462" s="5" t="str">
        <f>IFERROR(__xludf.DUMMYFUNCTION("""COMPUTED_VALUE"""),"https://drive.google.com/file/d/1qVu_m-k9zJhHY6Ubzhatrku9E0FmbG0W/view?usp=drivesdk")</f>
        <v>https://drive.google.com/file/d/1qVu_m-k9zJhHY6Ubzhatrku9E0FmbG0W/view?usp=drivesdk</v>
      </c>
      <c r="D2462" s="12"/>
      <c r="E2462" s="13">
        <v>2512.0</v>
      </c>
      <c r="F2462" s="2"/>
    </row>
    <row r="2463" ht="1.5" customHeight="1">
      <c r="A2463" s="4" t="str">
        <f>IFERROR(__xludf.DUMMYFUNCTION("""COMPUTED_VALUE"""),"2. Twix")</f>
        <v>2. Twix</v>
      </c>
      <c r="B2463" s="4" t="str">
        <f>IFERROR(__xludf.DUMMYFUNCTION("""COMPUTED_VALUE"""),"2")</f>
        <v>2</v>
      </c>
      <c r="C2463" s="5" t="str">
        <f>IFERROR(__xludf.DUMMYFUNCTION("""COMPUTED_VALUE"""),"https://drive.google.com/file/d/1EWqhcI4wdOErAQsmjYeKrlTWREh_HX0T/view?usp=drivesdk")</f>
        <v>https://drive.google.com/file/d/1EWqhcI4wdOErAQsmjYeKrlTWREh_HX0T/view?usp=drivesdk</v>
      </c>
      <c r="D2463" s="12"/>
      <c r="E2463" s="13">
        <v>2513.0</v>
      </c>
      <c r="F2463" s="2"/>
    </row>
    <row r="2464" ht="1.5" customHeight="1">
      <c r="A2464" s="4" t="str">
        <f>IFERROR(__xludf.DUMMYFUNCTION("""COMPUTED_VALUE"""),"2. Twix")</f>
        <v>2. Twix</v>
      </c>
      <c r="B2464" s="4" t="str">
        <f>IFERROR(__xludf.DUMMYFUNCTION("""COMPUTED_VALUE"""),"2")</f>
        <v>2</v>
      </c>
      <c r="C2464" s="5" t="str">
        <f>IFERROR(__xludf.DUMMYFUNCTION("""COMPUTED_VALUE"""),"https://drive.google.com/file/d/1kM2IIGNn3h2F9tL5-2TfhdM71edblLPl/view?usp=drivesdk")</f>
        <v>https://drive.google.com/file/d/1kM2IIGNn3h2F9tL5-2TfhdM71edblLPl/view?usp=drivesdk</v>
      </c>
      <c r="D2464" s="12"/>
      <c r="E2464" s="13">
        <v>2514.0</v>
      </c>
      <c r="F2464" s="2"/>
    </row>
    <row r="2465" ht="1.5" customHeight="1">
      <c r="A2465" s="4" t="str">
        <f>IFERROR(__xludf.DUMMYFUNCTION("""COMPUTED_VALUE"""),"2. Twix")</f>
        <v>2. Twix</v>
      </c>
      <c r="B2465" s="4" t="str">
        <f>IFERROR(__xludf.DUMMYFUNCTION("""COMPUTED_VALUE"""),"2")</f>
        <v>2</v>
      </c>
      <c r="C2465" s="5" t="str">
        <f>IFERROR(__xludf.DUMMYFUNCTION("""COMPUTED_VALUE"""),"https://drive.google.com/file/d/10hvzZWRVnZ4-lqqsqQJVuJEOYCrwv_I5/view?usp=drivesdk")</f>
        <v>https://drive.google.com/file/d/10hvzZWRVnZ4-lqqsqQJVuJEOYCrwv_I5/view?usp=drivesdk</v>
      </c>
      <c r="D2465" s="12"/>
      <c r="E2465" s="13">
        <v>2515.0</v>
      </c>
      <c r="F2465" s="2"/>
    </row>
    <row r="2466" ht="1.5" customHeight="1">
      <c r="A2466" s="4" t="str">
        <f>IFERROR(__xludf.DUMMYFUNCTION("""COMPUTED_VALUE"""),"2. Twix")</f>
        <v>2. Twix</v>
      </c>
      <c r="B2466" s="4" t="str">
        <f>IFERROR(__xludf.DUMMYFUNCTION("""COMPUTED_VALUE"""),"2")</f>
        <v>2</v>
      </c>
      <c r="C2466" s="5" t="str">
        <f>IFERROR(__xludf.DUMMYFUNCTION("""COMPUTED_VALUE"""),"https://drive.google.com/file/d/1hlaiRDBLTRGb-4mRxsa3JxyOrGMh7HeO/view?usp=drivesdk")</f>
        <v>https://drive.google.com/file/d/1hlaiRDBLTRGb-4mRxsa3JxyOrGMh7HeO/view?usp=drivesdk</v>
      </c>
      <c r="D2466" s="12"/>
      <c r="E2466" s="13">
        <v>2516.0</v>
      </c>
      <c r="F2466" s="2"/>
    </row>
    <row r="2467" ht="1.5" customHeight="1">
      <c r="A2467" s="4" t="str">
        <f>IFERROR(__xludf.DUMMYFUNCTION("""COMPUTED_VALUE"""),"1. Microwave")</f>
        <v>1. Microwave</v>
      </c>
      <c r="B2467" s="4" t="str">
        <f>IFERROR(__xludf.DUMMYFUNCTION("""COMPUTED_VALUE"""),"1")</f>
        <v>1</v>
      </c>
      <c r="C2467" s="5" t="str">
        <f>IFERROR(__xludf.DUMMYFUNCTION("""COMPUTED_VALUE"""),"https://drive.google.com/file/d/14x5USxw9oGsESCI3Tanf82hUHXgCs3zc/view?usp=drivesdk")</f>
        <v>https://drive.google.com/file/d/14x5USxw9oGsESCI3Tanf82hUHXgCs3zc/view?usp=drivesdk</v>
      </c>
      <c r="D2467" s="12"/>
      <c r="E2467" s="13">
        <v>2517.0</v>
      </c>
      <c r="F2467" s="2"/>
    </row>
    <row r="2468" ht="1.5" customHeight="1">
      <c r="A2468" s="4" t="str">
        <f>IFERROR(__xludf.DUMMYFUNCTION("""COMPUTED_VALUE"""),"1. Microwave")</f>
        <v>1. Microwave</v>
      </c>
      <c r="B2468" s="4" t="str">
        <f>IFERROR(__xludf.DUMMYFUNCTION("""COMPUTED_VALUE"""),"1")</f>
        <v>1</v>
      </c>
      <c r="C2468" s="5" t="str">
        <f>IFERROR(__xludf.DUMMYFUNCTION("""COMPUTED_VALUE"""),"https://drive.google.com/file/d/1qTSDUj8Eg7C1f0SUauPxpwaXDwp5SXUI/view?usp=drivesdk")</f>
        <v>https://drive.google.com/file/d/1qTSDUj8Eg7C1f0SUauPxpwaXDwp5SXUI/view?usp=drivesdk</v>
      </c>
      <c r="D2468" s="12"/>
      <c r="E2468" s="13">
        <v>2518.0</v>
      </c>
      <c r="F2468" s="2"/>
    </row>
    <row r="2469" ht="1.5" customHeight="1">
      <c r="A2469" s="4" t="str">
        <f>IFERROR(__xludf.DUMMYFUNCTION("""COMPUTED_VALUE"""),"0. NotACat")</f>
        <v>0. NotACat</v>
      </c>
      <c r="B2469" s="4" t="str">
        <f>IFERROR(__xludf.DUMMYFUNCTION("""COMPUTED_VALUE"""),"0")</f>
        <v>0</v>
      </c>
      <c r="C2469" s="5" t="str">
        <f>IFERROR(__xludf.DUMMYFUNCTION("""COMPUTED_VALUE"""),"https://drive.google.com/file/d/1fW0NWb-DoRv_4ohFdrn8yjqQ0Rd3CJ2j/view?usp=drivesdk")</f>
        <v>https://drive.google.com/file/d/1fW0NWb-DoRv_4ohFdrn8yjqQ0Rd3CJ2j/view?usp=drivesdk</v>
      </c>
      <c r="D2469" s="12"/>
      <c r="E2469" s="13">
        <v>2519.0</v>
      </c>
      <c r="F2469" s="2"/>
    </row>
    <row r="2470" ht="1.5" customHeight="1">
      <c r="A2470" s="4" t="str">
        <f>IFERROR(__xludf.DUMMYFUNCTION("""COMPUTED_VALUE"""),"2. Twix")</f>
        <v>2. Twix</v>
      </c>
      <c r="B2470" s="4" t="str">
        <f>IFERROR(__xludf.DUMMYFUNCTION("""COMPUTED_VALUE"""),"2")</f>
        <v>2</v>
      </c>
      <c r="C2470" s="5" t="str">
        <f>IFERROR(__xludf.DUMMYFUNCTION("""COMPUTED_VALUE"""),"https://drive.google.com/file/d/14R0FUsWpIBjjd0AKxT9H3mNNeJgAX44-/view?usp=drivesdk")</f>
        <v>https://drive.google.com/file/d/14R0FUsWpIBjjd0AKxT9H3mNNeJgAX44-/view?usp=drivesdk</v>
      </c>
      <c r="D2470" s="12"/>
      <c r="E2470" s="13">
        <v>2520.0</v>
      </c>
      <c r="F2470" s="2"/>
    </row>
    <row r="2471" ht="1.5" customHeight="1">
      <c r="A2471" s="4" t="str">
        <f>IFERROR(__xludf.DUMMYFUNCTION("""COMPUTED_VALUE"""),"1. Microwave")</f>
        <v>1. Microwave</v>
      </c>
      <c r="B2471" s="4" t="str">
        <f>IFERROR(__xludf.DUMMYFUNCTION("""COMPUTED_VALUE"""),"1")</f>
        <v>1</v>
      </c>
      <c r="C2471" s="5" t="str">
        <f>IFERROR(__xludf.DUMMYFUNCTION("""COMPUTED_VALUE"""),"https://drive.google.com/file/d/1RjedHjQYZvLxFSyMPlWRWUIBRfl5wbWw/view?usp=drivesdk")</f>
        <v>https://drive.google.com/file/d/1RjedHjQYZvLxFSyMPlWRWUIBRfl5wbWw/view?usp=drivesdk</v>
      </c>
      <c r="D2471" s="12"/>
      <c r="E2471" s="13">
        <v>2521.0</v>
      </c>
      <c r="F2471" s="2"/>
    </row>
    <row r="2472" ht="1.5" customHeight="1">
      <c r="A2472" s="4" t="str">
        <f>IFERROR(__xludf.DUMMYFUNCTION("""COMPUTED_VALUE"""),"1. Microwave")</f>
        <v>1. Microwave</v>
      </c>
      <c r="B2472" s="4" t="str">
        <f>IFERROR(__xludf.DUMMYFUNCTION("""COMPUTED_VALUE"""),"1")</f>
        <v>1</v>
      </c>
      <c r="C2472" s="5" t="str">
        <f>IFERROR(__xludf.DUMMYFUNCTION("""COMPUTED_VALUE"""),"https://drive.google.com/file/d/1ISSsMGvS6-oPGLpaJMahRYrECeP3imi0/view?usp=drivesdk")</f>
        <v>https://drive.google.com/file/d/1ISSsMGvS6-oPGLpaJMahRYrECeP3imi0/view?usp=drivesdk</v>
      </c>
      <c r="D2472" s="12"/>
      <c r="E2472" s="13">
        <v>2522.0</v>
      </c>
      <c r="F2472" s="2"/>
    </row>
    <row r="2473" ht="1.5" customHeight="1">
      <c r="A2473" s="4" t="str">
        <f>IFERROR(__xludf.DUMMYFUNCTION("""COMPUTED_VALUE"""),"1. Microwave")</f>
        <v>1. Microwave</v>
      </c>
      <c r="B2473" s="4" t="str">
        <f>IFERROR(__xludf.DUMMYFUNCTION("""COMPUTED_VALUE"""),"1")</f>
        <v>1</v>
      </c>
      <c r="C2473" s="5" t="str">
        <f>IFERROR(__xludf.DUMMYFUNCTION("""COMPUTED_VALUE"""),"https://drive.google.com/file/d/1ph9NxWH67GbfikphY6U5CkYqh2I_VUGK/view?usp=drivesdk")</f>
        <v>https://drive.google.com/file/d/1ph9NxWH67GbfikphY6U5CkYqh2I_VUGK/view?usp=drivesdk</v>
      </c>
      <c r="D2473" s="12"/>
      <c r="E2473" s="13">
        <v>2523.0</v>
      </c>
      <c r="F2473" s="2"/>
    </row>
    <row r="2474" ht="1.5" customHeight="1">
      <c r="A2474" s="4" t="str">
        <f>IFERROR(__xludf.DUMMYFUNCTION("""COMPUTED_VALUE"""),"1. Microwave")</f>
        <v>1. Microwave</v>
      </c>
      <c r="B2474" s="4" t="str">
        <f>IFERROR(__xludf.DUMMYFUNCTION("""COMPUTED_VALUE"""),"1")</f>
        <v>1</v>
      </c>
      <c r="C2474" s="5" t="str">
        <f>IFERROR(__xludf.DUMMYFUNCTION("""COMPUTED_VALUE"""),"https://drive.google.com/file/d/15YOfSgNDNbh4Ysc1JTI3JSgpKQtwOAuw/view?usp=drivesdk")</f>
        <v>https://drive.google.com/file/d/15YOfSgNDNbh4Ysc1JTI3JSgpKQtwOAuw/view?usp=drivesdk</v>
      </c>
      <c r="D2474" s="12"/>
      <c r="E2474" s="13">
        <v>2524.0</v>
      </c>
      <c r="F2474" s="2"/>
    </row>
    <row r="2475" ht="1.5" customHeight="1">
      <c r="A2475" s="4" t="str">
        <f>IFERROR(__xludf.DUMMYFUNCTION("""COMPUTED_VALUE"""),"1. Microwave")</f>
        <v>1. Microwave</v>
      </c>
      <c r="B2475" s="4" t="str">
        <f>IFERROR(__xludf.DUMMYFUNCTION("""COMPUTED_VALUE"""),"1")</f>
        <v>1</v>
      </c>
      <c r="C2475" s="5" t="str">
        <f>IFERROR(__xludf.DUMMYFUNCTION("""COMPUTED_VALUE"""),"https://drive.google.com/file/d/1zaAaZHZCyzZ4mrGa4HFYxbrO2dVm7hAA/view?usp=drivesdk")</f>
        <v>https://drive.google.com/file/d/1zaAaZHZCyzZ4mrGa4HFYxbrO2dVm7hAA/view?usp=drivesdk</v>
      </c>
      <c r="D2475" s="12"/>
      <c r="E2475" s="13">
        <v>2525.0</v>
      </c>
      <c r="F2475" s="2"/>
    </row>
    <row r="2476" ht="1.5" customHeight="1">
      <c r="A2476" s="4" t="str">
        <f>IFERROR(__xludf.DUMMYFUNCTION("""COMPUTED_VALUE"""),"4. Eggs, 5. Eraser")</f>
        <v>4. Eggs, 5. Eraser</v>
      </c>
      <c r="B2476" s="4" t="str">
        <f>IFERROR(__xludf.DUMMYFUNCTION("""COMPUTED_VALUE"""),"4, 5")</f>
        <v>4, 5</v>
      </c>
      <c r="C2476" s="5" t="str">
        <f>IFERROR(__xludf.DUMMYFUNCTION("""COMPUTED_VALUE"""),"https://drive.google.com/file/d/1biNdJdO3TRBApaSjwRGhlq8k-NklmbkI/view?usp=drivesdk")</f>
        <v>https://drive.google.com/file/d/1biNdJdO3TRBApaSjwRGhlq8k-NklmbkI/view?usp=drivesdk</v>
      </c>
      <c r="D2476" s="12"/>
      <c r="E2476" s="13">
        <v>2526.0</v>
      </c>
      <c r="F2476" s="2"/>
    </row>
    <row r="2477" ht="1.5" customHeight="1">
      <c r="A2477" s="4" t="str">
        <f>IFERROR(__xludf.DUMMYFUNCTION("""COMPUTED_VALUE"""),"45. Boots")</f>
        <v>45. Boots</v>
      </c>
      <c r="B2477" s="4" t="str">
        <f>IFERROR(__xludf.DUMMYFUNCTION("""COMPUTED_VALUE"""),"45")</f>
        <v>45</v>
      </c>
      <c r="C2477" s="5" t="str">
        <f>IFERROR(__xludf.DUMMYFUNCTION("""COMPUTED_VALUE"""),"https://drive.google.com/file/d/1xkd_ni07QY-rHyNhDtaM15E9b85dQv31/view?usp=drivesdk")</f>
        <v>https://drive.google.com/file/d/1xkd_ni07QY-rHyNhDtaM15E9b85dQv31/view?usp=drivesdk</v>
      </c>
      <c r="D2477" s="12"/>
      <c r="E2477" s="13">
        <v>2527.0</v>
      </c>
      <c r="F2477" s="2"/>
    </row>
    <row r="2478" ht="1.5" customHeight="1">
      <c r="A2478" s="4" t="str">
        <f>IFERROR(__xludf.DUMMYFUNCTION("""COMPUTED_VALUE"""),"45. Boots")</f>
        <v>45. Boots</v>
      </c>
      <c r="B2478" s="4" t="str">
        <f>IFERROR(__xludf.DUMMYFUNCTION("""COMPUTED_VALUE"""),"45")</f>
        <v>45</v>
      </c>
      <c r="C2478" s="5" t="str">
        <f>IFERROR(__xludf.DUMMYFUNCTION("""COMPUTED_VALUE"""),"https://drive.google.com/file/d/1qKBBIxUo01riWEtoS7ArokhZXzWnTA7B/view?usp=drivesdk")</f>
        <v>https://drive.google.com/file/d/1qKBBIxUo01riWEtoS7ArokhZXzWnTA7B/view?usp=drivesdk</v>
      </c>
      <c r="D2478" s="12"/>
      <c r="E2478" s="13">
        <v>2528.0</v>
      </c>
      <c r="F2478" s="2"/>
    </row>
    <row r="2479" ht="1.5" customHeight="1">
      <c r="A2479" s="4" t="str">
        <f>IFERROR(__xludf.DUMMYFUNCTION("""COMPUTED_VALUE"""),"45. Boots")</f>
        <v>45. Boots</v>
      </c>
      <c r="B2479" s="4" t="str">
        <f>IFERROR(__xludf.DUMMYFUNCTION("""COMPUTED_VALUE"""),"45")</f>
        <v>45</v>
      </c>
      <c r="C2479" s="5" t="str">
        <f>IFERROR(__xludf.DUMMYFUNCTION("""COMPUTED_VALUE"""),"https://drive.google.com/file/d/1hKQmlBCu1gsOk3l_BO84sjgYsMyHVdE9/view?usp=drivesdk")</f>
        <v>https://drive.google.com/file/d/1hKQmlBCu1gsOk3l_BO84sjgYsMyHVdE9/view?usp=drivesdk</v>
      </c>
      <c r="D2479" s="12"/>
      <c r="E2479" s="13">
        <v>2529.0</v>
      </c>
      <c r="F2479" s="2"/>
    </row>
    <row r="2480" ht="1.5" customHeight="1">
      <c r="A2480" s="4" t="str">
        <f>IFERROR(__xludf.DUMMYFUNCTION("""COMPUTED_VALUE"""),"47. Nefarious")</f>
        <v>47. Nefarious</v>
      </c>
      <c r="B2480" s="4" t="str">
        <f>IFERROR(__xludf.DUMMYFUNCTION("""COMPUTED_VALUE"""),"47")</f>
        <v>47</v>
      </c>
      <c r="C2480" s="5" t="str">
        <f>IFERROR(__xludf.DUMMYFUNCTION("""COMPUTED_VALUE"""),"https://drive.google.com/file/d/1i-b6JVqL0QcGnMPus5Uz05mTbRzAr3OS/view?usp=drivesdk")</f>
        <v>https://drive.google.com/file/d/1i-b6JVqL0QcGnMPus5Uz05mTbRzAr3OS/view?usp=drivesdk</v>
      </c>
      <c r="D2480" s="12"/>
      <c r="E2480" s="13">
        <v>2530.0</v>
      </c>
      <c r="F2480" s="2"/>
    </row>
    <row r="2481" ht="1.5" customHeight="1">
      <c r="A2481" s="4" t="str">
        <f>IFERROR(__xludf.DUMMYFUNCTION("""COMPUTED_VALUE"""),"38. Winston")</f>
        <v>38. Winston</v>
      </c>
      <c r="B2481" s="4" t="str">
        <f>IFERROR(__xludf.DUMMYFUNCTION("""COMPUTED_VALUE"""),"38")</f>
        <v>38</v>
      </c>
      <c r="C2481" s="5" t="str">
        <f>IFERROR(__xludf.DUMMYFUNCTION("""COMPUTED_VALUE"""),"https://drive.google.com/file/d/1DdzrupfAvH6T02AVHh4ABk3Kx6B69eTU/view?usp=drivesdk")</f>
        <v>https://drive.google.com/file/d/1DdzrupfAvH6T02AVHh4ABk3Kx6B69eTU/view?usp=drivesdk</v>
      </c>
      <c r="D2481" s="12"/>
      <c r="E2481" s="13">
        <v>2531.0</v>
      </c>
      <c r="F2481" s="2"/>
    </row>
    <row r="2482" ht="1.5" customHeight="1">
      <c r="A2482" s="4" t="str">
        <f>IFERROR(__xludf.DUMMYFUNCTION("""COMPUTED_VALUE"""),"45. Boots")</f>
        <v>45. Boots</v>
      </c>
      <c r="B2482" s="4" t="str">
        <f>IFERROR(__xludf.DUMMYFUNCTION("""COMPUTED_VALUE"""),"45")</f>
        <v>45</v>
      </c>
      <c r="C2482" s="5" t="str">
        <f>IFERROR(__xludf.DUMMYFUNCTION("""COMPUTED_VALUE"""),"https://drive.google.com/file/d/1lJsdWt9UcPxoVQk9tfVzxgCM34KBk-zt/view?usp=drivesdk")</f>
        <v>https://drive.google.com/file/d/1lJsdWt9UcPxoVQk9tfVzxgCM34KBk-zt/view?usp=drivesdk</v>
      </c>
      <c r="D2482" s="12"/>
      <c r="E2482" s="13">
        <v>2532.0</v>
      </c>
      <c r="F2482" s="2"/>
    </row>
    <row r="2483" ht="1.5" customHeight="1">
      <c r="A2483" s="4" t="str">
        <f>IFERROR(__xludf.DUMMYFUNCTION("""COMPUTED_VALUE"""),"45. Boots")</f>
        <v>45. Boots</v>
      </c>
      <c r="B2483" s="4" t="str">
        <f>IFERROR(__xludf.DUMMYFUNCTION("""COMPUTED_VALUE"""),"45")</f>
        <v>45</v>
      </c>
      <c r="C2483" s="5" t="str">
        <f>IFERROR(__xludf.DUMMYFUNCTION("""COMPUTED_VALUE"""),"https://drive.google.com/file/d/1WuZnkLgkwIMWOOLxDKzYm0YHZBKanIw9/view?usp=drivesdk")</f>
        <v>https://drive.google.com/file/d/1WuZnkLgkwIMWOOLxDKzYm0YHZBKanIw9/view?usp=drivesdk</v>
      </c>
      <c r="D2483" s="12"/>
      <c r="E2483" s="13">
        <v>2533.0</v>
      </c>
      <c r="F2483" s="2"/>
    </row>
    <row r="2484" ht="1.5" customHeight="1">
      <c r="A2484" s="4" t="str">
        <f>IFERROR(__xludf.DUMMYFUNCTION("""COMPUTED_VALUE"""),"1. Microwave")</f>
        <v>1. Microwave</v>
      </c>
      <c r="B2484" s="4" t="str">
        <f>IFERROR(__xludf.DUMMYFUNCTION("""COMPUTED_VALUE"""),"1")</f>
        <v>1</v>
      </c>
      <c r="C2484" s="5" t="str">
        <f>IFERROR(__xludf.DUMMYFUNCTION("""COMPUTED_VALUE"""),"https://drive.google.com/file/d/1VR5OdeRtJUPOGQrKeiqne2m7i81XJczm/view?usp=drivesdk")</f>
        <v>https://drive.google.com/file/d/1VR5OdeRtJUPOGQrKeiqne2m7i81XJczm/view?usp=drivesdk</v>
      </c>
      <c r="D2484" s="12"/>
      <c r="E2484" s="13">
        <v>2534.0</v>
      </c>
      <c r="F2484" s="2"/>
    </row>
    <row r="2485" ht="1.5" customHeight="1">
      <c r="A2485" s="4" t="str">
        <f>IFERROR(__xludf.DUMMYFUNCTION("""COMPUTED_VALUE"""),"0. NotACat")</f>
        <v>0. NotACat</v>
      </c>
      <c r="B2485" s="4" t="str">
        <f>IFERROR(__xludf.DUMMYFUNCTION("""COMPUTED_VALUE"""),"0")</f>
        <v>0</v>
      </c>
      <c r="C2485" s="5" t="str">
        <f>IFERROR(__xludf.DUMMYFUNCTION("""COMPUTED_VALUE"""),"https://drive.google.com/file/d/1dLCc6ZtFZhYCXF-mE9aJWvzC_VEnM4Tl/view?usp=drivesdk")</f>
        <v>https://drive.google.com/file/d/1dLCc6ZtFZhYCXF-mE9aJWvzC_VEnM4Tl/view?usp=drivesdk</v>
      </c>
      <c r="D2485" s="12"/>
      <c r="E2485" s="13">
        <v>2535.0</v>
      </c>
      <c r="F2485" s="2"/>
    </row>
    <row r="2486" ht="1.5" customHeight="1">
      <c r="A2486" s="4" t="str">
        <f>IFERROR(__xludf.DUMMYFUNCTION("""COMPUTED_VALUE"""),"61. Cassie")</f>
        <v>61. Cassie</v>
      </c>
      <c r="B2486" s="4" t="str">
        <f>IFERROR(__xludf.DUMMYFUNCTION("""COMPUTED_VALUE"""),"61")</f>
        <v>61</v>
      </c>
      <c r="C2486" s="5" t="str">
        <f>IFERROR(__xludf.DUMMYFUNCTION("""COMPUTED_VALUE"""),"https://drive.google.com/file/d/1XxpODvvPviYOh8EriYYz8AunSQqSBPum/view?usp=drivesdk")</f>
        <v>https://drive.google.com/file/d/1XxpODvvPviYOh8EriYYz8AunSQqSBPum/view?usp=drivesdk</v>
      </c>
      <c r="D2486" s="12"/>
      <c r="E2486" s="13">
        <v>2536.0</v>
      </c>
      <c r="F2486" s="2"/>
    </row>
    <row r="2487" ht="1.5" customHeight="1">
      <c r="A2487" s="4" t="str">
        <f>IFERROR(__xludf.DUMMYFUNCTION("""COMPUTED_VALUE"""),"61. Cassie")</f>
        <v>61. Cassie</v>
      </c>
      <c r="B2487" s="4" t="str">
        <f>IFERROR(__xludf.DUMMYFUNCTION("""COMPUTED_VALUE"""),"61")</f>
        <v>61</v>
      </c>
      <c r="C2487" s="5" t="str">
        <f>IFERROR(__xludf.DUMMYFUNCTION("""COMPUTED_VALUE"""),"https://drive.google.com/file/d/10F_AABHx6QwHN3s0KkGO5KFSStPIhB-C/view?usp=drivesdk")</f>
        <v>https://drive.google.com/file/d/10F_AABHx6QwHN3s0KkGO5KFSStPIhB-C/view?usp=drivesdk</v>
      </c>
      <c r="D2487" s="12"/>
      <c r="E2487" s="13">
        <v>2537.0</v>
      </c>
      <c r="F2487" s="2"/>
    </row>
    <row r="2488" ht="1.5" customHeight="1">
      <c r="A2488" s="4" t="str">
        <f>IFERROR(__xludf.DUMMYFUNCTION("""COMPUTED_VALUE"""),"1. Microwave, 0. NotACat")</f>
        <v>1. Microwave, 0. NotACat</v>
      </c>
      <c r="B2488" s="4" t="str">
        <f>IFERROR(__xludf.DUMMYFUNCTION("""COMPUTED_VALUE"""),"1, 0")</f>
        <v>1, 0</v>
      </c>
      <c r="C2488" s="5" t="str">
        <f>IFERROR(__xludf.DUMMYFUNCTION("""COMPUTED_VALUE"""),"https://drive.google.com/file/d/11xkBBsoEngXYsGzTJG_mRH1UDt2AJ-uJ/view?usp=drivesdk")</f>
        <v>https://drive.google.com/file/d/11xkBBsoEngXYsGzTJG_mRH1UDt2AJ-uJ/view?usp=drivesdk</v>
      </c>
      <c r="D2488" s="12"/>
      <c r="E2488" s="13">
        <v>2538.0</v>
      </c>
      <c r="F2488" s="2"/>
    </row>
    <row r="2489" ht="1.5" customHeight="1">
      <c r="A2489" s="4" t="str">
        <f>IFERROR(__xludf.DUMMYFUNCTION("""COMPUTED_VALUE"""),"1. Microwave")</f>
        <v>1. Microwave</v>
      </c>
      <c r="B2489" s="4" t="str">
        <f>IFERROR(__xludf.DUMMYFUNCTION("""COMPUTED_VALUE"""),"1")</f>
        <v>1</v>
      </c>
      <c r="C2489" s="5" t="str">
        <f>IFERROR(__xludf.DUMMYFUNCTION("""COMPUTED_VALUE"""),"https://drive.google.com/file/d/1Y6TSzkRKVrH7WnXxgnA6XoDR4N4piW2A/view?usp=drivesdk")</f>
        <v>https://drive.google.com/file/d/1Y6TSzkRKVrH7WnXxgnA6XoDR4N4piW2A/view?usp=drivesdk</v>
      </c>
      <c r="D2489" s="12"/>
      <c r="E2489" s="13">
        <v>2539.0</v>
      </c>
      <c r="F2489" s="2"/>
    </row>
    <row r="2490" ht="1.5" customHeight="1">
      <c r="A2490" s="4" t="str">
        <f>IFERROR(__xludf.DUMMYFUNCTION("""COMPUTED_VALUE"""),"20. Citlali")</f>
        <v>20. Citlali</v>
      </c>
      <c r="B2490" s="4" t="str">
        <f>IFERROR(__xludf.DUMMYFUNCTION("""COMPUTED_VALUE"""),"20")</f>
        <v>20</v>
      </c>
      <c r="C2490" s="5" t="str">
        <f>IFERROR(__xludf.DUMMYFUNCTION("""COMPUTED_VALUE"""),"https://drive.google.com/file/d/11EJklfl0nsQ1tAaJR8fnwF7IKHJXpfIN/view?usp=drivesdk")</f>
        <v>https://drive.google.com/file/d/11EJklfl0nsQ1tAaJR8fnwF7IKHJXpfIN/view?usp=drivesdk</v>
      </c>
      <c r="D2490" s="12"/>
      <c r="E2490" s="13">
        <v>2540.0</v>
      </c>
      <c r="F2490" s="2"/>
    </row>
    <row r="2491" ht="1.5" customHeight="1">
      <c r="A2491" s="4" t="str">
        <f>IFERROR(__xludf.DUMMYFUNCTION("""COMPUTED_VALUE"""),"80. Atzi")</f>
        <v>80. Atzi</v>
      </c>
      <c r="B2491" s="4" t="str">
        <f>IFERROR(__xludf.DUMMYFUNCTION("""COMPUTED_VALUE"""),"80")</f>
        <v>80</v>
      </c>
      <c r="C2491" s="5" t="str">
        <f>IFERROR(__xludf.DUMMYFUNCTION("""COMPUTED_VALUE"""),"https://drive.google.com/file/d/1OadTQcLWqtzRjjtw7J-SeDBevxfV4EGJ/view?usp=drivesdk")</f>
        <v>https://drive.google.com/file/d/1OadTQcLWqtzRjjtw7J-SeDBevxfV4EGJ/view?usp=drivesdk</v>
      </c>
      <c r="D2491" s="12"/>
      <c r="E2491" s="13">
        <v>2541.0</v>
      </c>
      <c r="F2491" s="2"/>
    </row>
    <row r="2492" ht="1.5" customHeight="1">
      <c r="A2492" s="4" t="str">
        <f>IFERROR(__xludf.DUMMYFUNCTION("""COMPUTED_VALUE"""),"80. Atzi")</f>
        <v>80. Atzi</v>
      </c>
      <c r="B2492" s="4" t="str">
        <f>IFERROR(__xludf.DUMMYFUNCTION("""COMPUTED_VALUE"""),"80")</f>
        <v>80</v>
      </c>
      <c r="C2492" s="5" t="str">
        <f>IFERROR(__xludf.DUMMYFUNCTION("""COMPUTED_VALUE"""),"https://drive.google.com/file/d/1k7MwsxTRPy7-Qao7wlK-hoICiODbvS4z/view?usp=drivesdk")</f>
        <v>https://drive.google.com/file/d/1k7MwsxTRPy7-Qao7wlK-hoICiODbvS4z/view?usp=drivesdk</v>
      </c>
      <c r="D2492" s="12"/>
      <c r="E2492" s="13">
        <v>2542.0</v>
      </c>
      <c r="F2492" s="2"/>
    </row>
    <row r="2493" ht="1.5" customHeight="1">
      <c r="A2493" s="4" t="str">
        <f>IFERROR(__xludf.DUMMYFUNCTION("""COMPUTED_VALUE"""),"17. Bobbie")</f>
        <v>17. Bobbie</v>
      </c>
      <c r="B2493" s="4" t="str">
        <f>IFERROR(__xludf.DUMMYFUNCTION("""COMPUTED_VALUE"""),"17")</f>
        <v>17</v>
      </c>
      <c r="C2493" s="5" t="str">
        <f>IFERROR(__xludf.DUMMYFUNCTION("""COMPUTED_VALUE"""),"https://drive.google.com/file/d/1dlbzO0OGS4rVhHq-e3-7IQOXNeA3v8Rl/view?usp=drivesdk")</f>
        <v>https://drive.google.com/file/d/1dlbzO0OGS4rVhHq-e3-7IQOXNeA3v8Rl/view?usp=drivesdk</v>
      </c>
      <c r="D2493" s="12"/>
      <c r="E2493" s="13">
        <v>2543.0</v>
      </c>
      <c r="F2493" s="2"/>
    </row>
    <row r="2494" ht="1.5" customHeight="1">
      <c r="A2494" s="4" t="str">
        <f>IFERROR(__xludf.DUMMYFUNCTION("""COMPUTED_VALUE"""),"17. Bobbie")</f>
        <v>17. Bobbie</v>
      </c>
      <c r="B2494" s="4" t="str">
        <f>IFERROR(__xludf.DUMMYFUNCTION("""COMPUTED_VALUE"""),"17")</f>
        <v>17</v>
      </c>
      <c r="C2494" s="5" t="str">
        <f>IFERROR(__xludf.DUMMYFUNCTION("""COMPUTED_VALUE"""),"https://drive.google.com/file/d/1RP17wyr9W45quoGy6h0etLxQe5D4CIG_/view?usp=drivesdk")</f>
        <v>https://drive.google.com/file/d/1RP17wyr9W45quoGy6h0etLxQe5D4CIG_/view?usp=drivesdk</v>
      </c>
      <c r="D2494" s="12"/>
      <c r="E2494" s="13">
        <v>2544.0</v>
      </c>
      <c r="F2494" s="2"/>
    </row>
    <row r="2495" ht="1.5" customHeight="1">
      <c r="A2495" s="4" t="str">
        <f>IFERROR(__xludf.DUMMYFUNCTION("""COMPUTED_VALUE"""),"17. Bobbie")</f>
        <v>17. Bobbie</v>
      </c>
      <c r="B2495" s="4" t="str">
        <f>IFERROR(__xludf.DUMMYFUNCTION("""COMPUTED_VALUE"""),"17")</f>
        <v>17</v>
      </c>
      <c r="C2495" s="5" t="str">
        <f>IFERROR(__xludf.DUMMYFUNCTION("""COMPUTED_VALUE"""),"https://drive.google.com/file/d/1K8n0xEwrQTABwK1fIxqVlrW-RtZtJDsK/view?usp=drivesdk")</f>
        <v>https://drive.google.com/file/d/1K8n0xEwrQTABwK1fIxqVlrW-RtZtJDsK/view?usp=drivesdk</v>
      </c>
      <c r="D2495" s="12"/>
      <c r="E2495" s="13">
        <v>2545.0</v>
      </c>
      <c r="F2495" s="2"/>
    </row>
    <row r="2496" ht="1.5" customHeight="1">
      <c r="A2496" s="4" t="str">
        <f>IFERROR(__xludf.DUMMYFUNCTION("""COMPUTED_VALUE"""),"17. Bobbie")</f>
        <v>17. Bobbie</v>
      </c>
      <c r="B2496" s="4" t="str">
        <f>IFERROR(__xludf.DUMMYFUNCTION("""COMPUTED_VALUE"""),"17")</f>
        <v>17</v>
      </c>
      <c r="C2496" s="5" t="str">
        <f>IFERROR(__xludf.DUMMYFUNCTION("""COMPUTED_VALUE"""),"https://drive.google.com/file/d/1oAFlkx3HUl6m-rkjKulxkZ9FJqvQElPn/view?usp=drivesdk")</f>
        <v>https://drive.google.com/file/d/1oAFlkx3HUl6m-rkjKulxkZ9FJqvQElPn/view?usp=drivesdk</v>
      </c>
      <c r="D2496" s="12"/>
      <c r="E2496" s="13">
        <v>2546.0</v>
      </c>
      <c r="F2496" s="2"/>
    </row>
    <row r="2497" ht="1.5" customHeight="1">
      <c r="A2497" s="4" t="str">
        <f>IFERROR(__xludf.DUMMYFUNCTION("""COMPUTED_VALUE"""),"20. Citlali")</f>
        <v>20. Citlali</v>
      </c>
      <c r="B2497" s="4" t="str">
        <f>IFERROR(__xludf.DUMMYFUNCTION("""COMPUTED_VALUE"""),"20")</f>
        <v>20</v>
      </c>
      <c r="C2497" s="5" t="str">
        <f>IFERROR(__xludf.DUMMYFUNCTION("""COMPUTED_VALUE"""),"https://drive.google.com/file/d/1kDyThGMzc8x1sgi3e2RGdZA7s_arJDBQ/view?usp=drivesdk")</f>
        <v>https://drive.google.com/file/d/1kDyThGMzc8x1sgi3e2RGdZA7s_arJDBQ/view?usp=drivesdk</v>
      </c>
      <c r="D2497" s="12"/>
      <c r="E2497" s="13">
        <v>2547.0</v>
      </c>
      <c r="F2497" s="2"/>
    </row>
    <row r="2498" ht="1.5" customHeight="1">
      <c r="A2498" s="4" t="str">
        <f>IFERROR(__xludf.DUMMYFUNCTION("""COMPUTED_VALUE"""),"1. Microwave")</f>
        <v>1. Microwave</v>
      </c>
      <c r="B2498" s="4" t="str">
        <f>IFERROR(__xludf.DUMMYFUNCTION("""COMPUTED_VALUE"""),"1")</f>
        <v>1</v>
      </c>
      <c r="C2498" s="5" t="str">
        <f>IFERROR(__xludf.DUMMYFUNCTION("""COMPUTED_VALUE"""),"https://drive.google.com/file/d/1yjfkQPTIbgWiAmZF4D3DdJvZ15YDo90J/view?usp=drivesdk")</f>
        <v>https://drive.google.com/file/d/1yjfkQPTIbgWiAmZF4D3DdJvZ15YDo90J/view?usp=drivesdk</v>
      </c>
      <c r="D2498" s="12"/>
      <c r="E2498" s="13">
        <v>2548.0</v>
      </c>
      <c r="F2498" s="2"/>
    </row>
    <row r="2499" ht="1.5" customHeight="1">
      <c r="A2499" s="4" t="str">
        <f>IFERROR(__xludf.DUMMYFUNCTION("""COMPUTED_VALUE"""),"1. Microwave")</f>
        <v>1. Microwave</v>
      </c>
      <c r="B2499" s="4" t="str">
        <f>IFERROR(__xludf.DUMMYFUNCTION("""COMPUTED_VALUE"""),"1")</f>
        <v>1</v>
      </c>
      <c r="C2499" s="5" t="str">
        <f>IFERROR(__xludf.DUMMYFUNCTION("""COMPUTED_VALUE"""),"https://drive.google.com/file/d/1-pYSXSiOIRa9cjRmoqTbxTefZQc7fJAs/view?usp=drivesdk")</f>
        <v>https://drive.google.com/file/d/1-pYSXSiOIRa9cjRmoqTbxTefZQc7fJAs/view?usp=drivesdk</v>
      </c>
      <c r="D2499" s="12"/>
      <c r="E2499" s="13">
        <v>2549.0</v>
      </c>
      <c r="F2499" s="2"/>
    </row>
    <row r="2500" ht="1.5" customHeight="1">
      <c r="A2500" s="4" t="str">
        <f>IFERROR(__xludf.DUMMYFUNCTION("""COMPUTED_VALUE"""),"5. Eraser")</f>
        <v>5. Eraser</v>
      </c>
      <c r="B2500" s="4" t="str">
        <f>IFERROR(__xludf.DUMMYFUNCTION("""COMPUTED_VALUE"""),"5")</f>
        <v>5</v>
      </c>
      <c r="C2500" s="5" t="str">
        <f>IFERROR(__xludf.DUMMYFUNCTION("""COMPUTED_VALUE"""),"https://drive.google.com/file/d/1KpID-t8yMrrlH5PQDbObPUFp3x67fJt8/view?usp=drivesdk")</f>
        <v>https://drive.google.com/file/d/1KpID-t8yMrrlH5PQDbObPUFp3x67fJt8/view?usp=drivesdk</v>
      </c>
      <c r="D2500" s="12"/>
      <c r="E2500" s="13">
        <v>2550.0</v>
      </c>
      <c r="F2500" s="2"/>
    </row>
    <row r="2501" ht="1.5" customHeight="1">
      <c r="A2501" s="4" t="str">
        <f>IFERROR(__xludf.DUMMYFUNCTION("""COMPUTED_VALUE"""),"0. NotACat")</f>
        <v>0. NotACat</v>
      </c>
      <c r="B2501" s="4" t="str">
        <f>IFERROR(__xludf.DUMMYFUNCTION("""COMPUTED_VALUE"""),"0")</f>
        <v>0</v>
      </c>
      <c r="C2501" s="5" t="str">
        <f>IFERROR(__xludf.DUMMYFUNCTION("""COMPUTED_VALUE"""),"https://drive.google.com/file/d/1X3Jnee-PBNnVcFYyC6NUeWYfxXEdWBaX/view?usp=drivesdk")</f>
        <v>https://drive.google.com/file/d/1X3Jnee-PBNnVcFYyC6NUeWYfxXEdWBaX/view?usp=drivesdk</v>
      </c>
      <c r="D2501" s="12"/>
      <c r="E2501" s="13">
        <v>2551.0</v>
      </c>
      <c r="F2501" s="2"/>
    </row>
    <row r="2502" ht="1.5" customHeight="1">
      <c r="A2502" s="4" t="str">
        <f>IFERROR(__xludf.DUMMYFUNCTION("""COMPUTED_VALUE"""),"1. Microwave")</f>
        <v>1. Microwave</v>
      </c>
      <c r="B2502" s="4" t="str">
        <f>IFERROR(__xludf.DUMMYFUNCTION("""COMPUTED_VALUE"""),"1")</f>
        <v>1</v>
      </c>
      <c r="C2502" s="5" t="str">
        <f>IFERROR(__xludf.DUMMYFUNCTION("""COMPUTED_VALUE"""),"https://drive.google.com/file/d/1EWbdQ35B-aLM5CENRKqjS6aA1YYD38tw/view?usp=drivesdk")</f>
        <v>https://drive.google.com/file/d/1EWbdQ35B-aLM5CENRKqjS6aA1YYD38tw/view?usp=drivesdk</v>
      </c>
      <c r="D2502" s="12"/>
      <c r="E2502" s="13">
        <v>2552.0</v>
      </c>
      <c r="F2502" s="2"/>
    </row>
    <row r="2503" ht="1.5" customHeight="1">
      <c r="A2503" s="4" t="str">
        <f>IFERROR(__xludf.DUMMYFUNCTION("""COMPUTED_VALUE"""),"1. Microwave")</f>
        <v>1. Microwave</v>
      </c>
      <c r="B2503" s="4" t="str">
        <f>IFERROR(__xludf.DUMMYFUNCTION("""COMPUTED_VALUE"""),"1")</f>
        <v>1</v>
      </c>
      <c r="C2503" s="5" t="str">
        <f>IFERROR(__xludf.DUMMYFUNCTION("""COMPUTED_VALUE"""),"https://drive.google.com/file/d/1Igo2kExKRSucIL2sqP7mSNb2OL_owa_0/view?usp=drivesdk")</f>
        <v>https://drive.google.com/file/d/1Igo2kExKRSucIL2sqP7mSNb2OL_owa_0/view?usp=drivesdk</v>
      </c>
      <c r="D2503" s="12"/>
      <c r="E2503" s="13">
        <v>2553.0</v>
      </c>
      <c r="F2503" s="2"/>
    </row>
    <row r="2504" ht="1.5" customHeight="1">
      <c r="A2504" s="4" t="str">
        <f>IFERROR(__xludf.DUMMYFUNCTION("""COMPUTED_VALUE"""),"1. Microwave")</f>
        <v>1. Microwave</v>
      </c>
      <c r="B2504" s="4" t="str">
        <f>IFERROR(__xludf.DUMMYFUNCTION("""COMPUTED_VALUE"""),"1")</f>
        <v>1</v>
      </c>
      <c r="C2504" s="5" t="str">
        <f>IFERROR(__xludf.DUMMYFUNCTION("""COMPUTED_VALUE"""),"https://drive.google.com/file/d/1hSRSP9Ugkv6rNYlh2U5f-5SEKndV4vmZ/view?usp=drivesdk")</f>
        <v>https://drive.google.com/file/d/1hSRSP9Ugkv6rNYlh2U5f-5SEKndV4vmZ/view?usp=drivesdk</v>
      </c>
      <c r="D2504" s="12"/>
      <c r="E2504" s="13">
        <v>2554.0</v>
      </c>
      <c r="F2504" s="2"/>
    </row>
    <row r="2505" ht="1.5" customHeight="1">
      <c r="A2505" s="4" t="str">
        <f>IFERROR(__xludf.DUMMYFUNCTION("""COMPUTED_VALUE"""),"1. Microwave")</f>
        <v>1. Microwave</v>
      </c>
      <c r="B2505" s="4" t="str">
        <f>IFERROR(__xludf.DUMMYFUNCTION("""COMPUTED_VALUE"""),"1")</f>
        <v>1</v>
      </c>
      <c r="C2505" s="5" t="str">
        <f>IFERROR(__xludf.DUMMYFUNCTION("""COMPUTED_VALUE"""),"https://drive.google.com/file/d/1DYR2g-9BUmIaNPZgqNu8fl74uBexXBvD/view?usp=drivesdk")</f>
        <v>https://drive.google.com/file/d/1DYR2g-9BUmIaNPZgqNu8fl74uBexXBvD/view?usp=drivesdk</v>
      </c>
      <c r="D2505" s="12"/>
      <c r="E2505" s="13">
        <v>2555.0</v>
      </c>
      <c r="F2505" s="2"/>
    </row>
    <row r="2506" ht="1.5" customHeight="1">
      <c r="A2506" s="4" t="str">
        <f>IFERROR(__xludf.DUMMYFUNCTION("""COMPUTED_VALUE"""),"1. Microwave")</f>
        <v>1. Microwave</v>
      </c>
      <c r="B2506" s="4" t="str">
        <f>IFERROR(__xludf.DUMMYFUNCTION("""COMPUTED_VALUE"""),"1")</f>
        <v>1</v>
      </c>
      <c r="C2506" s="5" t="str">
        <f>IFERROR(__xludf.DUMMYFUNCTION("""COMPUTED_VALUE"""),"https://drive.google.com/file/d/1bucK0_MdmSUgcm-iwq4m7g2nyBgU2X_T/view?usp=drivesdk")</f>
        <v>https://drive.google.com/file/d/1bucK0_MdmSUgcm-iwq4m7g2nyBgU2X_T/view?usp=drivesdk</v>
      </c>
      <c r="D2506" s="12"/>
      <c r="E2506" s="13">
        <v>2556.0</v>
      </c>
      <c r="F2506" s="2"/>
    </row>
    <row r="2507" ht="1.5" customHeight="1">
      <c r="A2507" s="4" t="str">
        <f>IFERROR(__xludf.DUMMYFUNCTION("""COMPUTED_VALUE"""),"1. Microwave")</f>
        <v>1. Microwave</v>
      </c>
      <c r="B2507" s="4" t="str">
        <f>IFERROR(__xludf.DUMMYFUNCTION("""COMPUTED_VALUE"""),"1")</f>
        <v>1</v>
      </c>
      <c r="C2507" s="5" t="str">
        <f>IFERROR(__xludf.DUMMYFUNCTION("""COMPUTED_VALUE"""),"https://drive.google.com/file/d/1iw0VE9OiysY6WaOuRK2eTgYE5PmI8yJb/view?usp=drivesdk")</f>
        <v>https://drive.google.com/file/d/1iw0VE9OiysY6WaOuRK2eTgYE5PmI8yJb/view?usp=drivesdk</v>
      </c>
      <c r="D2507" s="12"/>
      <c r="E2507" s="13">
        <v>2557.0</v>
      </c>
      <c r="F2507" s="2"/>
    </row>
    <row r="2508" ht="1.5" customHeight="1">
      <c r="A2508" s="4" t="str">
        <f>IFERROR(__xludf.DUMMYFUNCTION("""COMPUTED_VALUE"""),"5. Eraser")</f>
        <v>5. Eraser</v>
      </c>
      <c r="B2508" s="4" t="str">
        <f>IFERROR(__xludf.DUMMYFUNCTION("""COMPUTED_VALUE"""),"5")</f>
        <v>5</v>
      </c>
      <c r="C2508" s="5" t="str">
        <f>IFERROR(__xludf.DUMMYFUNCTION("""COMPUTED_VALUE"""),"https://drive.google.com/file/d/1jcslkAvattABjOrQ_Ty0jKFo9zqVVqp4/view?usp=drivesdk")</f>
        <v>https://drive.google.com/file/d/1jcslkAvattABjOrQ_Ty0jKFo9zqVVqp4/view?usp=drivesdk</v>
      </c>
      <c r="D2508" s="12"/>
      <c r="E2508" s="13">
        <v>2558.0</v>
      </c>
      <c r="F2508" s="2"/>
    </row>
    <row r="2509" ht="1.5" customHeight="1">
      <c r="A2509" s="4" t="str">
        <f>IFERROR(__xludf.DUMMYFUNCTION("""COMPUTED_VALUE"""),"84. Maddox")</f>
        <v>84. Maddox</v>
      </c>
      <c r="B2509" s="4" t="str">
        <f>IFERROR(__xludf.DUMMYFUNCTION("""COMPUTED_VALUE"""),"84")</f>
        <v>84</v>
      </c>
      <c r="C2509" s="5" t="str">
        <f>IFERROR(__xludf.DUMMYFUNCTION("""COMPUTED_VALUE"""),"https://drive.google.com/file/d/185lkl1JdHOkVNy6qU_PS11hhW1Ds9ZZf/view?usp=drivesdk")</f>
        <v>https://drive.google.com/file/d/185lkl1JdHOkVNy6qU_PS11hhW1Ds9ZZf/view?usp=drivesdk</v>
      </c>
      <c r="D2509" s="12"/>
      <c r="E2509" s="13">
        <v>2559.0</v>
      </c>
      <c r="F2509" s="2"/>
    </row>
    <row r="2510" ht="1.5" customHeight="1">
      <c r="A2510" s="4" t="str">
        <f>IFERROR(__xludf.DUMMYFUNCTION("""COMPUTED_VALUE"""),"140. Gordon")</f>
        <v>140. Gordon</v>
      </c>
      <c r="B2510" s="4" t="str">
        <f>IFERROR(__xludf.DUMMYFUNCTION("""COMPUTED_VALUE"""),"140")</f>
        <v>140</v>
      </c>
      <c r="C2510" s="5" t="str">
        <f>IFERROR(__xludf.DUMMYFUNCTION("""COMPUTED_VALUE"""),"https://drive.google.com/file/d/1K9SNpAtZXqAlivLLLp3vLN3AOprboUmb/view?usp=drivesdk")</f>
        <v>https://drive.google.com/file/d/1K9SNpAtZXqAlivLLLp3vLN3AOprboUmb/view?usp=drivesdk</v>
      </c>
      <c r="D2510" s="12"/>
      <c r="E2510" s="13">
        <v>2560.0</v>
      </c>
      <c r="F2510" s="2"/>
    </row>
    <row r="2511" ht="1.5" customHeight="1">
      <c r="A2511" s="4" t="str">
        <f>IFERROR(__xludf.DUMMYFUNCTION("""COMPUTED_VALUE"""),"86. Honda")</f>
        <v>86. Honda</v>
      </c>
      <c r="B2511" s="4" t="str">
        <f>IFERROR(__xludf.DUMMYFUNCTION("""COMPUTED_VALUE"""),"86")</f>
        <v>86</v>
      </c>
      <c r="C2511" s="5" t="str">
        <f>IFERROR(__xludf.DUMMYFUNCTION("""COMPUTED_VALUE"""),"https://drive.google.com/file/d/1vTwUnAb_eEHEitKLejUFMfsQAVAtE9pl/view?usp=drivesdk")</f>
        <v>https://drive.google.com/file/d/1vTwUnAb_eEHEitKLejUFMfsQAVAtE9pl/view?usp=drivesdk</v>
      </c>
      <c r="D2511" s="12"/>
      <c r="E2511" s="13">
        <v>2561.0</v>
      </c>
      <c r="F2511" s="2"/>
    </row>
    <row r="2512" ht="1.5" customHeight="1">
      <c r="A2512" s="4" t="str">
        <f>IFERROR(__xludf.DUMMYFUNCTION("""COMPUTED_VALUE"""),"86. Honda")</f>
        <v>86. Honda</v>
      </c>
      <c r="B2512" s="4" t="str">
        <f>IFERROR(__xludf.DUMMYFUNCTION("""COMPUTED_VALUE"""),"86")</f>
        <v>86</v>
      </c>
      <c r="C2512" s="5" t="str">
        <f>IFERROR(__xludf.DUMMYFUNCTION("""COMPUTED_VALUE"""),"https://drive.google.com/file/d/12XtOmeLYsb2xwRqkeZQ-WTT8kTb4Y283/view?usp=drivesdk")</f>
        <v>https://drive.google.com/file/d/12XtOmeLYsb2xwRqkeZQ-WTT8kTb4Y283/view?usp=drivesdk</v>
      </c>
      <c r="D2512" s="12"/>
      <c r="E2512" s="13">
        <v>2562.0</v>
      </c>
      <c r="F2512" s="2"/>
    </row>
    <row r="2513" ht="1.5" customHeight="1">
      <c r="A2513" s="4" t="str">
        <f>IFERROR(__xludf.DUMMYFUNCTION("""COMPUTED_VALUE"""),"86. Honda")</f>
        <v>86. Honda</v>
      </c>
      <c r="B2513" s="4" t="str">
        <f>IFERROR(__xludf.DUMMYFUNCTION("""COMPUTED_VALUE"""),"86")</f>
        <v>86</v>
      </c>
      <c r="C2513" s="5" t="str">
        <f>IFERROR(__xludf.DUMMYFUNCTION("""COMPUTED_VALUE"""),"https://drive.google.com/file/d/1Wm1-5KwVhihYqSfdBBnP0vupfDleSHTK/view?usp=drivesdk")</f>
        <v>https://drive.google.com/file/d/1Wm1-5KwVhihYqSfdBBnP0vupfDleSHTK/view?usp=drivesdk</v>
      </c>
      <c r="D2513" s="12"/>
      <c r="E2513" s="13">
        <v>2563.0</v>
      </c>
      <c r="F2513" s="2"/>
    </row>
    <row r="2514" ht="1.5" customHeight="1">
      <c r="A2514" s="4" t="str">
        <f>IFERROR(__xludf.DUMMYFUNCTION("""COMPUTED_VALUE"""),"86. Honda")</f>
        <v>86. Honda</v>
      </c>
      <c r="B2514" s="4" t="str">
        <f>IFERROR(__xludf.DUMMYFUNCTION("""COMPUTED_VALUE"""),"86")</f>
        <v>86</v>
      </c>
      <c r="C2514" s="5" t="str">
        <f>IFERROR(__xludf.DUMMYFUNCTION("""COMPUTED_VALUE"""),"https://drive.google.com/file/d/1nZGp0NLJI-UVcKpTrjJ6OBBe9cTtIxz2/view?usp=drivesdk")</f>
        <v>https://drive.google.com/file/d/1nZGp0NLJI-UVcKpTrjJ6OBBe9cTtIxz2/view?usp=drivesdk</v>
      </c>
      <c r="D2514" s="12"/>
      <c r="E2514" s="13">
        <v>2564.0</v>
      </c>
      <c r="F2514" s="2"/>
    </row>
    <row r="2515" ht="1.5" customHeight="1">
      <c r="A2515" s="4" t="str">
        <f>IFERROR(__xludf.DUMMYFUNCTION("""COMPUTED_VALUE"""),"86. Honda")</f>
        <v>86. Honda</v>
      </c>
      <c r="B2515" s="4" t="str">
        <f>IFERROR(__xludf.DUMMYFUNCTION("""COMPUTED_VALUE"""),"86")</f>
        <v>86</v>
      </c>
      <c r="C2515" s="5" t="str">
        <f>IFERROR(__xludf.DUMMYFUNCTION("""COMPUTED_VALUE"""),"https://drive.google.com/file/d/1zaBtcX5ZZslBR-TxAxPTNWtTRACqWQhj/view?usp=drivesdk")</f>
        <v>https://drive.google.com/file/d/1zaBtcX5ZZslBR-TxAxPTNWtTRACqWQhj/view?usp=drivesdk</v>
      </c>
      <c r="D2515" s="12"/>
      <c r="E2515" s="13">
        <v>2565.0</v>
      </c>
      <c r="F2515" s="2"/>
    </row>
    <row r="2516" ht="1.5" customHeight="1">
      <c r="A2516" s="4" t="str">
        <f>IFERROR(__xludf.DUMMYFUNCTION("""COMPUTED_VALUE"""),"86. Honda")</f>
        <v>86. Honda</v>
      </c>
      <c r="B2516" s="4" t="str">
        <f>IFERROR(__xludf.DUMMYFUNCTION("""COMPUTED_VALUE"""),"86")</f>
        <v>86</v>
      </c>
      <c r="C2516" s="5" t="str">
        <f>IFERROR(__xludf.DUMMYFUNCTION("""COMPUTED_VALUE"""),"https://drive.google.com/file/d/1AfX27IOmMc4Nn-Fd9gubajY7ckUvTkAG/view?usp=drivesdk")</f>
        <v>https://drive.google.com/file/d/1AfX27IOmMc4Nn-Fd9gubajY7ckUvTkAG/view?usp=drivesdk</v>
      </c>
      <c r="D2516" s="12"/>
      <c r="E2516" s="13">
        <v>2566.0</v>
      </c>
      <c r="F2516" s="2"/>
    </row>
    <row r="2517" ht="1.5" customHeight="1">
      <c r="A2517" s="4" t="str">
        <f>IFERROR(__xludf.DUMMYFUNCTION("""COMPUTED_VALUE"""),"86. Honda")</f>
        <v>86. Honda</v>
      </c>
      <c r="B2517" s="4" t="str">
        <f>IFERROR(__xludf.DUMMYFUNCTION("""COMPUTED_VALUE"""),"86")</f>
        <v>86</v>
      </c>
      <c r="C2517" s="5" t="str">
        <f>IFERROR(__xludf.DUMMYFUNCTION("""COMPUTED_VALUE"""),"https://drive.google.com/file/d/1wxUl7DC6wvFfoK8TDT6YoQPxZhwqjCYp/view?usp=drivesdk")</f>
        <v>https://drive.google.com/file/d/1wxUl7DC6wvFfoK8TDT6YoQPxZhwqjCYp/view?usp=drivesdk</v>
      </c>
      <c r="D2517" s="12"/>
      <c r="E2517" s="13">
        <v>2567.0</v>
      </c>
      <c r="F2517" s="2"/>
    </row>
    <row r="2518" ht="1.5" customHeight="1">
      <c r="A2518" s="4" t="str">
        <f>IFERROR(__xludf.DUMMYFUNCTION("""COMPUTED_VALUE"""),"84. Maddox")</f>
        <v>84. Maddox</v>
      </c>
      <c r="B2518" s="4" t="str">
        <f>IFERROR(__xludf.DUMMYFUNCTION("""COMPUTED_VALUE"""),"84")</f>
        <v>84</v>
      </c>
      <c r="C2518" s="5" t="str">
        <f>IFERROR(__xludf.DUMMYFUNCTION("""COMPUTED_VALUE"""),"https://drive.google.com/file/d/1bJOVcjO3t57gOelKncMz9mLjqnpCHa66/view?usp=drivesdk")</f>
        <v>https://drive.google.com/file/d/1bJOVcjO3t57gOelKncMz9mLjqnpCHa66/view?usp=drivesdk</v>
      </c>
      <c r="D2518" s="12"/>
      <c r="E2518" s="13">
        <v>2568.0</v>
      </c>
      <c r="F2518" s="2"/>
    </row>
    <row r="2519" ht="1.5" customHeight="1">
      <c r="A2519" s="4" t="str">
        <f>IFERROR(__xludf.DUMMYFUNCTION("""COMPUTED_VALUE"""),"84. Maddox")</f>
        <v>84. Maddox</v>
      </c>
      <c r="B2519" s="4" t="str">
        <f>IFERROR(__xludf.DUMMYFUNCTION("""COMPUTED_VALUE"""),"84")</f>
        <v>84</v>
      </c>
      <c r="C2519" s="5" t="str">
        <f>IFERROR(__xludf.DUMMYFUNCTION("""COMPUTED_VALUE"""),"https://drive.google.com/file/d/1l_gmNcxRS7VO2Nrj5aYyArNcK-u4GJ0Z/view?usp=drivesdk")</f>
        <v>https://drive.google.com/file/d/1l_gmNcxRS7VO2Nrj5aYyArNcK-u4GJ0Z/view?usp=drivesdk</v>
      </c>
      <c r="D2519" s="12"/>
      <c r="E2519" s="13">
        <v>2569.0</v>
      </c>
      <c r="F2519" s="2"/>
    </row>
    <row r="2520" ht="1.5" customHeight="1">
      <c r="A2520" s="4" t="str">
        <f>IFERROR(__xludf.DUMMYFUNCTION("""COMPUTED_VALUE"""),"84. Maddox")</f>
        <v>84. Maddox</v>
      </c>
      <c r="B2520" s="4" t="str">
        <f>IFERROR(__xludf.DUMMYFUNCTION("""COMPUTED_VALUE"""),"84")</f>
        <v>84</v>
      </c>
      <c r="C2520" s="5" t="str">
        <f>IFERROR(__xludf.DUMMYFUNCTION("""COMPUTED_VALUE"""),"https://drive.google.com/file/d/1-1ICgqeFOuVfCJfXuvd65d9bqSwmwyPM/view?usp=drivesdk")</f>
        <v>https://drive.google.com/file/d/1-1ICgqeFOuVfCJfXuvd65d9bqSwmwyPM/view?usp=drivesdk</v>
      </c>
      <c r="D2520" s="12"/>
      <c r="E2520" s="13">
        <v>2570.0</v>
      </c>
      <c r="F2520" s="2"/>
    </row>
    <row r="2521" ht="1.5" customHeight="1">
      <c r="A2521" s="4" t="str">
        <f>IFERROR(__xludf.DUMMYFUNCTION("""COMPUTED_VALUE"""),"84. Maddox")</f>
        <v>84. Maddox</v>
      </c>
      <c r="B2521" s="4" t="str">
        <f>IFERROR(__xludf.DUMMYFUNCTION("""COMPUTED_VALUE"""),"84")</f>
        <v>84</v>
      </c>
      <c r="C2521" s="5" t="str">
        <f>IFERROR(__xludf.DUMMYFUNCTION("""COMPUTED_VALUE"""),"https://drive.google.com/file/d/1-vg4uuRRHY9s9Lp_BgviMT9HzER2weFj/view?usp=drivesdk")</f>
        <v>https://drive.google.com/file/d/1-vg4uuRRHY9s9Lp_BgviMT9HzER2weFj/view?usp=drivesdk</v>
      </c>
      <c r="D2521" s="12"/>
      <c r="E2521" s="13">
        <v>2571.0</v>
      </c>
      <c r="F2521" s="2"/>
    </row>
    <row r="2522" ht="1.5" customHeight="1">
      <c r="A2522" s="4" t="str">
        <f>IFERROR(__xludf.DUMMYFUNCTION("""COMPUTED_VALUE"""),"84. Maddox")</f>
        <v>84. Maddox</v>
      </c>
      <c r="B2522" s="4" t="str">
        <f>IFERROR(__xludf.DUMMYFUNCTION("""COMPUTED_VALUE"""),"84")</f>
        <v>84</v>
      </c>
      <c r="C2522" s="5" t="str">
        <f>IFERROR(__xludf.DUMMYFUNCTION("""COMPUTED_VALUE"""),"https://drive.google.com/file/d/18ipcDFx_3Vp20notpAjx8PNJb-WuForh/view?usp=drivesdk")</f>
        <v>https://drive.google.com/file/d/18ipcDFx_3Vp20notpAjx8PNJb-WuForh/view?usp=drivesdk</v>
      </c>
      <c r="D2522" s="12"/>
      <c r="E2522" s="13">
        <v>2572.0</v>
      </c>
      <c r="F2522" s="2"/>
    </row>
    <row r="2523" ht="1.5" customHeight="1">
      <c r="A2523" s="4" t="str">
        <f>IFERROR(__xludf.DUMMYFUNCTION("""COMPUTED_VALUE"""),"84. Maddox")</f>
        <v>84. Maddox</v>
      </c>
      <c r="B2523" s="4" t="str">
        <f>IFERROR(__xludf.DUMMYFUNCTION("""COMPUTED_VALUE"""),"84")</f>
        <v>84</v>
      </c>
      <c r="C2523" s="5" t="str">
        <f>IFERROR(__xludf.DUMMYFUNCTION("""COMPUTED_VALUE"""),"https://drive.google.com/file/d/1k5-q3H1JaXtGyKNnZMT0l5qYcXrlMMhx/view?usp=drivesdk")</f>
        <v>https://drive.google.com/file/d/1k5-q3H1JaXtGyKNnZMT0l5qYcXrlMMhx/view?usp=drivesdk</v>
      </c>
      <c r="D2523" s="12"/>
      <c r="E2523" s="13">
        <v>2573.0</v>
      </c>
      <c r="F2523" s="2"/>
    </row>
    <row r="2524" ht="1.5" customHeight="1">
      <c r="A2524" s="4" t="str">
        <f>IFERROR(__xludf.DUMMYFUNCTION("""COMPUTED_VALUE"""),"85. Pallas")</f>
        <v>85. Pallas</v>
      </c>
      <c r="B2524" s="4" t="str">
        <f>IFERROR(__xludf.DUMMYFUNCTION("""COMPUTED_VALUE"""),"85")</f>
        <v>85</v>
      </c>
      <c r="C2524" s="5" t="str">
        <f>IFERROR(__xludf.DUMMYFUNCTION("""COMPUTED_VALUE"""),"https://drive.google.com/file/d/1cuUzCXwe0agd6LvbJYFExPUVTLG8Vjej/view?usp=drivesdk")</f>
        <v>https://drive.google.com/file/d/1cuUzCXwe0agd6LvbJYFExPUVTLG8Vjej/view?usp=drivesdk</v>
      </c>
      <c r="D2524" s="12"/>
      <c r="E2524" s="13">
        <v>2574.0</v>
      </c>
      <c r="F2524" s="2"/>
    </row>
    <row r="2525" ht="1.5" customHeight="1">
      <c r="A2525" s="4" t="str">
        <f>IFERROR(__xludf.DUMMYFUNCTION("""COMPUTED_VALUE"""),"85. Pallas")</f>
        <v>85. Pallas</v>
      </c>
      <c r="B2525" s="4" t="str">
        <f>IFERROR(__xludf.DUMMYFUNCTION("""COMPUTED_VALUE"""),"85")</f>
        <v>85</v>
      </c>
      <c r="C2525" s="5" t="str">
        <f>IFERROR(__xludf.DUMMYFUNCTION("""COMPUTED_VALUE"""),"https://drive.google.com/file/d/1CPOgHJr-wseuUDD85Wqd0ymoG51v5A5j/view?usp=drivesdk")</f>
        <v>https://drive.google.com/file/d/1CPOgHJr-wseuUDD85Wqd0ymoG51v5A5j/view?usp=drivesdk</v>
      </c>
      <c r="D2525" s="12"/>
      <c r="E2525" s="13">
        <v>2575.0</v>
      </c>
      <c r="F2525" s="2"/>
    </row>
    <row r="2526" ht="1.5" customHeight="1">
      <c r="A2526" s="4" t="str">
        <f>IFERROR(__xludf.DUMMYFUNCTION("""COMPUTED_VALUE"""),"85. Pallas")</f>
        <v>85. Pallas</v>
      </c>
      <c r="B2526" s="4" t="str">
        <f>IFERROR(__xludf.DUMMYFUNCTION("""COMPUTED_VALUE"""),"85")</f>
        <v>85</v>
      </c>
      <c r="C2526" s="5" t="str">
        <f>IFERROR(__xludf.DUMMYFUNCTION("""COMPUTED_VALUE"""),"https://drive.google.com/file/d/1R03Cg29efsL7IRRfK0oGuJ5RuzcJPEnZ/view?usp=drivesdk")</f>
        <v>https://drive.google.com/file/d/1R03Cg29efsL7IRRfK0oGuJ5RuzcJPEnZ/view?usp=drivesdk</v>
      </c>
      <c r="D2526" s="12"/>
      <c r="E2526" s="13">
        <v>2576.0</v>
      </c>
      <c r="F2526" s="2"/>
    </row>
    <row r="2527" ht="1.5" customHeight="1">
      <c r="A2527" s="4" t="str">
        <f>IFERROR(__xludf.DUMMYFUNCTION("""COMPUTED_VALUE"""),"85. Pallas")</f>
        <v>85. Pallas</v>
      </c>
      <c r="B2527" s="4" t="str">
        <f>IFERROR(__xludf.DUMMYFUNCTION("""COMPUTED_VALUE"""),"85")</f>
        <v>85</v>
      </c>
      <c r="C2527" s="5" t="str">
        <f>IFERROR(__xludf.DUMMYFUNCTION("""COMPUTED_VALUE"""),"https://drive.google.com/file/d/1GleqePuVSH_SoD7eAtfEC8j8FfGBFKMq/view?usp=drivesdk")</f>
        <v>https://drive.google.com/file/d/1GleqePuVSH_SoD7eAtfEC8j8FfGBFKMq/view?usp=drivesdk</v>
      </c>
      <c r="D2527" s="12"/>
      <c r="E2527" s="13">
        <v>2577.0</v>
      </c>
      <c r="F2527" s="2"/>
    </row>
    <row r="2528" ht="1.5" customHeight="1">
      <c r="A2528" s="4" t="str">
        <f>IFERROR(__xludf.DUMMYFUNCTION("""COMPUTED_VALUE"""),"86. Honda")</f>
        <v>86. Honda</v>
      </c>
      <c r="B2528" s="4" t="str">
        <f>IFERROR(__xludf.DUMMYFUNCTION("""COMPUTED_VALUE"""),"86")</f>
        <v>86</v>
      </c>
      <c r="C2528" s="5" t="str">
        <f>IFERROR(__xludf.DUMMYFUNCTION("""COMPUTED_VALUE"""),"https://drive.google.com/file/d/165HThYJ6WcW-_GV-Cb88cPK7-S-xIREQ/view?usp=drivesdk")</f>
        <v>https://drive.google.com/file/d/165HThYJ6WcW-_GV-Cb88cPK7-S-xIREQ/view?usp=drivesdk</v>
      </c>
      <c r="D2528" s="12"/>
      <c r="E2528" s="13">
        <v>2578.0</v>
      </c>
      <c r="F2528" s="2"/>
    </row>
    <row r="2529" ht="1.5" customHeight="1">
      <c r="A2529" s="4" t="str">
        <f>IFERROR(__xludf.DUMMYFUNCTION("""COMPUTED_VALUE"""),"86. Honda")</f>
        <v>86. Honda</v>
      </c>
      <c r="B2529" s="4" t="str">
        <f>IFERROR(__xludf.DUMMYFUNCTION("""COMPUTED_VALUE"""),"86")</f>
        <v>86</v>
      </c>
      <c r="C2529" s="5" t="str">
        <f>IFERROR(__xludf.DUMMYFUNCTION("""COMPUTED_VALUE"""),"https://drive.google.com/file/d/1rmqD3Y81T4u3xK1hiKuw8r524TjwRJPt/view?usp=drivesdk")</f>
        <v>https://drive.google.com/file/d/1rmqD3Y81T4u3xK1hiKuw8r524TjwRJPt/view?usp=drivesdk</v>
      </c>
      <c r="D2529" s="12"/>
      <c r="E2529" s="13">
        <v>2579.0</v>
      </c>
      <c r="F2529" s="2"/>
    </row>
    <row r="2530" ht="1.5" customHeight="1">
      <c r="A2530" s="4" t="str">
        <f>IFERROR(__xludf.DUMMYFUNCTION("""COMPUTED_VALUE"""),"86. Honda")</f>
        <v>86. Honda</v>
      </c>
      <c r="B2530" s="4" t="str">
        <f>IFERROR(__xludf.DUMMYFUNCTION("""COMPUTED_VALUE"""),"86")</f>
        <v>86</v>
      </c>
      <c r="C2530" s="5" t="str">
        <f>IFERROR(__xludf.DUMMYFUNCTION("""COMPUTED_VALUE"""),"https://drive.google.com/file/d/1phUuZaNSuEjtdi5xVU4pyAkRcXGk2jeQ/view?usp=drivesdk")</f>
        <v>https://drive.google.com/file/d/1phUuZaNSuEjtdi5xVU4pyAkRcXGk2jeQ/view?usp=drivesdk</v>
      </c>
      <c r="D2530" s="12"/>
      <c r="E2530" s="13">
        <v>2580.0</v>
      </c>
      <c r="F2530" s="2"/>
    </row>
    <row r="2531" ht="1.5" customHeight="1">
      <c r="A2531" s="4" t="str">
        <f>IFERROR(__xludf.DUMMYFUNCTION("""COMPUTED_VALUE"""),"86. Honda")</f>
        <v>86. Honda</v>
      </c>
      <c r="B2531" s="4" t="str">
        <f>IFERROR(__xludf.DUMMYFUNCTION("""COMPUTED_VALUE"""),"86")</f>
        <v>86</v>
      </c>
      <c r="C2531" s="5" t="str">
        <f>IFERROR(__xludf.DUMMYFUNCTION("""COMPUTED_VALUE"""),"https://drive.google.com/file/d/1WzmYJRoldXjNWqusdD-M2fPavGxE9BMA/view?usp=drivesdk")</f>
        <v>https://drive.google.com/file/d/1WzmYJRoldXjNWqusdD-M2fPavGxE9BMA/view?usp=drivesdk</v>
      </c>
      <c r="D2531" s="12"/>
      <c r="E2531" s="13">
        <v>2581.0</v>
      </c>
      <c r="F2531" s="2"/>
    </row>
    <row r="2532" ht="1.5" customHeight="1">
      <c r="A2532" s="4" t="str">
        <f>IFERROR(__xludf.DUMMYFUNCTION("""COMPUTED_VALUE"""),"38. Winston")</f>
        <v>38. Winston</v>
      </c>
      <c r="B2532" s="4" t="str">
        <f>IFERROR(__xludf.DUMMYFUNCTION("""COMPUTED_VALUE"""),"38")</f>
        <v>38</v>
      </c>
      <c r="C2532" s="5" t="str">
        <f>IFERROR(__xludf.DUMMYFUNCTION("""COMPUTED_VALUE"""),"https://drive.google.com/file/d/1LfpGlGqijteJ9lChwOZPQ-vAcxL4eyC5/view?usp=drivesdk")</f>
        <v>https://drive.google.com/file/d/1LfpGlGqijteJ9lChwOZPQ-vAcxL4eyC5/view?usp=drivesdk</v>
      </c>
      <c r="D2532" s="12"/>
      <c r="E2532" s="13">
        <v>2582.0</v>
      </c>
      <c r="F2532" s="2"/>
    </row>
    <row r="2533" ht="1.5" customHeight="1">
      <c r="A2533" s="4" t="str">
        <f>IFERROR(__xludf.DUMMYFUNCTION("""COMPUTED_VALUE"""),"58. Eden")</f>
        <v>58. Eden</v>
      </c>
      <c r="B2533" s="4" t="str">
        <f>IFERROR(__xludf.DUMMYFUNCTION("""COMPUTED_VALUE"""),"58")</f>
        <v>58</v>
      </c>
      <c r="C2533" s="5" t="str">
        <f>IFERROR(__xludf.DUMMYFUNCTION("""COMPUTED_VALUE"""),"https://drive.google.com/file/d/1B-GjlkR7XR-OFgEuxzfs8COoq_pi4bE8/view?usp=drivesdk")</f>
        <v>https://drive.google.com/file/d/1B-GjlkR7XR-OFgEuxzfs8COoq_pi4bE8/view?usp=drivesdk</v>
      </c>
      <c r="D2533" s="12"/>
      <c r="E2533" s="13">
        <v>2583.0</v>
      </c>
      <c r="F2533" s="2"/>
    </row>
    <row r="2534" ht="1.5" customHeight="1">
      <c r="A2534" s="4" t="str">
        <f>IFERROR(__xludf.DUMMYFUNCTION("""COMPUTED_VALUE"""),"45. Boots, 12. Faye")</f>
        <v>45. Boots, 12. Faye</v>
      </c>
      <c r="B2534" s="4" t="str">
        <f>IFERROR(__xludf.DUMMYFUNCTION("""COMPUTED_VALUE"""),"45, 12")</f>
        <v>45, 12</v>
      </c>
      <c r="C2534" s="5" t="str">
        <f>IFERROR(__xludf.DUMMYFUNCTION("""COMPUTED_VALUE"""),"https://drive.google.com/file/d/13x4xJJ9b0-bppxumrJNR0iPO_f5WCTaa/view?usp=drivesdk")</f>
        <v>https://drive.google.com/file/d/13x4xJJ9b0-bppxumrJNR0iPO_f5WCTaa/view?usp=drivesdk</v>
      </c>
      <c r="D2534" s="12"/>
      <c r="E2534" s="13">
        <v>2584.0</v>
      </c>
      <c r="F2534" s="2"/>
    </row>
    <row r="2535" ht="1.5" customHeight="1">
      <c r="A2535" s="4" t="str">
        <f>IFERROR(__xludf.DUMMYFUNCTION("""COMPUTED_VALUE"""),"12. Faye, 45. Boots")</f>
        <v>12. Faye, 45. Boots</v>
      </c>
      <c r="B2535" s="4" t="str">
        <f>IFERROR(__xludf.DUMMYFUNCTION("""COMPUTED_VALUE"""),"12, 45")</f>
        <v>12, 45</v>
      </c>
      <c r="C2535" s="5" t="str">
        <f>IFERROR(__xludf.DUMMYFUNCTION("""COMPUTED_VALUE"""),"https://drive.google.com/file/d/1Vq2Rr8NpVljHPA8OsFK4ZHBKSnRehJY4/view?usp=drivesdk")</f>
        <v>https://drive.google.com/file/d/1Vq2Rr8NpVljHPA8OsFK4ZHBKSnRehJY4/view?usp=drivesdk</v>
      </c>
      <c r="D2535" s="12"/>
      <c r="E2535" s="13">
        <v>2585.0</v>
      </c>
      <c r="F2535" s="2"/>
    </row>
    <row r="2536" ht="1.5" customHeight="1">
      <c r="A2536" s="4" t="str">
        <f>IFERROR(__xludf.DUMMYFUNCTION("""COMPUTED_VALUE"""),"12. Faye, 45. Boots")</f>
        <v>12. Faye, 45. Boots</v>
      </c>
      <c r="B2536" s="4" t="str">
        <f>IFERROR(__xludf.DUMMYFUNCTION("""COMPUTED_VALUE"""),"12, 45")</f>
        <v>12, 45</v>
      </c>
      <c r="C2536" s="5" t="str">
        <f>IFERROR(__xludf.DUMMYFUNCTION("""COMPUTED_VALUE"""),"https://drive.google.com/file/d/18-GGb1FD1YW-I0yZ9CIOeD1O6KU95oAw/view?usp=drivesdk")</f>
        <v>https://drive.google.com/file/d/18-GGb1FD1YW-I0yZ9CIOeD1O6KU95oAw/view?usp=drivesdk</v>
      </c>
      <c r="D2536" s="12"/>
      <c r="E2536" s="13">
        <v>2586.0</v>
      </c>
      <c r="F2536" s="2"/>
    </row>
    <row r="2537" ht="1.5" customHeight="1">
      <c r="A2537" s="4" t="str">
        <f>IFERROR(__xludf.DUMMYFUNCTION("""COMPUTED_VALUE"""),"45. Boots, 12. Faye")</f>
        <v>45. Boots, 12. Faye</v>
      </c>
      <c r="B2537" s="4" t="str">
        <f>IFERROR(__xludf.DUMMYFUNCTION("""COMPUTED_VALUE"""),"45, 12")</f>
        <v>45, 12</v>
      </c>
      <c r="C2537" s="5" t="str">
        <f>IFERROR(__xludf.DUMMYFUNCTION("""COMPUTED_VALUE"""),"https://drive.google.com/file/d/1FqkYg-qZZIh2v-yAS8Q1Gex0_h5MU_oI/view?usp=drivesdk")</f>
        <v>https://drive.google.com/file/d/1FqkYg-qZZIh2v-yAS8Q1Gex0_h5MU_oI/view?usp=drivesdk</v>
      </c>
      <c r="D2537" s="12"/>
      <c r="E2537" s="13">
        <v>2587.0</v>
      </c>
      <c r="F2537" s="2"/>
    </row>
    <row r="2538" ht="1.5" customHeight="1">
      <c r="A2538" s="4" t="str">
        <f>IFERROR(__xludf.DUMMYFUNCTION("""COMPUTED_VALUE"""),"45. Boots, 12. Faye")</f>
        <v>45. Boots, 12. Faye</v>
      </c>
      <c r="B2538" s="4" t="str">
        <f>IFERROR(__xludf.DUMMYFUNCTION("""COMPUTED_VALUE"""),"45, 12")</f>
        <v>45, 12</v>
      </c>
      <c r="C2538" s="5" t="str">
        <f>IFERROR(__xludf.DUMMYFUNCTION("""COMPUTED_VALUE"""),"https://drive.google.com/file/d/1BIDWe4IdTQX3zBCTWuGI7_A3T03UVZWe/view?usp=drivesdk")</f>
        <v>https://drive.google.com/file/d/1BIDWe4IdTQX3zBCTWuGI7_A3T03UVZWe/view?usp=drivesdk</v>
      </c>
      <c r="D2538" s="12"/>
      <c r="E2538" s="13">
        <v>2588.0</v>
      </c>
      <c r="F2538" s="2"/>
    </row>
    <row r="2539" ht="1.5" customHeight="1">
      <c r="A2539" s="4" t="str">
        <f>IFERROR(__xludf.DUMMYFUNCTION("""COMPUTED_VALUE"""),"45. Boots, 12. Faye")</f>
        <v>45. Boots, 12. Faye</v>
      </c>
      <c r="B2539" s="4" t="str">
        <f>IFERROR(__xludf.DUMMYFUNCTION("""COMPUTED_VALUE"""),"45, 12")</f>
        <v>45, 12</v>
      </c>
      <c r="C2539" s="5" t="str">
        <f>IFERROR(__xludf.DUMMYFUNCTION("""COMPUTED_VALUE"""),"https://drive.google.com/file/d/1DRF3cLnxGBULe8FgxyJaqe1_kyZ4QLkJ/view?usp=drivesdk")</f>
        <v>https://drive.google.com/file/d/1DRF3cLnxGBULe8FgxyJaqe1_kyZ4QLkJ/view?usp=drivesdk</v>
      </c>
      <c r="D2539" s="12"/>
      <c r="E2539" s="13">
        <v>2589.0</v>
      </c>
      <c r="F2539" s="2"/>
    </row>
    <row r="2540" ht="1.5" customHeight="1">
      <c r="A2540" s="4" t="str">
        <f>IFERROR(__xludf.DUMMYFUNCTION("""COMPUTED_VALUE"""),"41. Gregory")</f>
        <v>41. Gregory</v>
      </c>
      <c r="B2540" s="4" t="str">
        <f>IFERROR(__xludf.DUMMYFUNCTION("""COMPUTED_VALUE"""),"41")</f>
        <v>41</v>
      </c>
      <c r="C2540" s="5" t="str">
        <f>IFERROR(__xludf.DUMMYFUNCTION("""COMPUTED_VALUE"""),"https://drive.google.com/file/d/1oOp7b-I756ONsAAlN0yCWiCKhaQlv0rW/view?usp=drivesdk")</f>
        <v>https://drive.google.com/file/d/1oOp7b-I756ONsAAlN0yCWiCKhaQlv0rW/view?usp=drivesdk</v>
      </c>
      <c r="D2540" s="12"/>
      <c r="E2540" s="13">
        <v>2590.0</v>
      </c>
      <c r="F2540" s="2"/>
    </row>
    <row r="2541" ht="1.5" customHeight="1">
      <c r="A2541" s="4" t="str">
        <f>IFERROR(__xludf.DUMMYFUNCTION("""COMPUTED_VALUE"""),"41. Gregory, 12. Faye")</f>
        <v>41. Gregory, 12. Faye</v>
      </c>
      <c r="B2541" s="4" t="str">
        <f>IFERROR(__xludf.DUMMYFUNCTION("""COMPUTED_VALUE"""),"41, 12")</f>
        <v>41, 12</v>
      </c>
      <c r="C2541" s="5" t="str">
        <f>IFERROR(__xludf.DUMMYFUNCTION("""COMPUTED_VALUE"""),"https://drive.google.com/file/d/1bQCcfqKTb88_4SIpgkQnciBb9DLAL0HZ/view?usp=drivesdk")</f>
        <v>https://drive.google.com/file/d/1bQCcfqKTb88_4SIpgkQnciBb9DLAL0HZ/view?usp=drivesdk</v>
      </c>
      <c r="D2541" s="12"/>
      <c r="E2541" s="13">
        <v>2591.0</v>
      </c>
      <c r="F2541" s="2"/>
    </row>
    <row r="2542" ht="1.5" customHeight="1">
      <c r="A2542" s="4" t="str">
        <f>IFERROR(__xludf.DUMMYFUNCTION("""COMPUTED_VALUE"""),"12. Faye, 58. Eden")</f>
        <v>12. Faye, 58. Eden</v>
      </c>
      <c r="B2542" s="4" t="str">
        <f>IFERROR(__xludf.DUMMYFUNCTION("""COMPUTED_VALUE"""),"12, 58")</f>
        <v>12, 58</v>
      </c>
      <c r="C2542" s="5" t="str">
        <f>IFERROR(__xludf.DUMMYFUNCTION("""COMPUTED_VALUE"""),"https://drive.google.com/file/d/1UH3IY2dtVqIjeLXDfX_Dlue8-7PAwejr/view?usp=drivesdk")</f>
        <v>https://drive.google.com/file/d/1UH3IY2dtVqIjeLXDfX_Dlue8-7PAwejr/view?usp=drivesdk</v>
      </c>
      <c r="D2542" s="12"/>
      <c r="E2542" s="13">
        <v>2592.0</v>
      </c>
      <c r="F2542" s="2"/>
    </row>
    <row r="2543" ht="1.5" customHeight="1">
      <c r="A2543" s="4" t="str">
        <f>IFERROR(__xludf.DUMMYFUNCTION("""COMPUTED_VALUE"""),"12. Faye, 58. Eden")</f>
        <v>12. Faye, 58. Eden</v>
      </c>
      <c r="B2543" s="4" t="str">
        <f>IFERROR(__xludf.DUMMYFUNCTION("""COMPUTED_VALUE"""),"12, 58")</f>
        <v>12, 58</v>
      </c>
      <c r="C2543" s="5" t="str">
        <f>IFERROR(__xludf.DUMMYFUNCTION("""COMPUTED_VALUE"""),"https://drive.google.com/file/d/135WbRLv0AOO3I0Ciu-cuAykLe6Svr7mg/view?usp=drivesdk")</f>
        <v>https://drive.google.com/file/d/135WbRLv0AOO3I0Ciu-cuAykLe6Svr7mg/view?usp=drivesdk</v>
      </c>
      <c r="D2543" s="12"/>
      <c r="E2543" s="13">
        <v>2593.0</v>
      </c>
      <c r="F2543" s="2"/>
    </row>
    <row r="2544" ht="1.5" customHeight="1">
      <c r="A2544" s="4" t="str">
        <f>IFERROR(__xludf.DUMMYFUNCTION("""COMPUTED_VALUE"""),"12. Faye, 58. Eden")</f>
        <v>12. Faye, 58. Eden</v>
      </c>
      <c r="B2544" s="4" t="str">
        <f>IFERROR(__xludf.DUMMYFUNCTION("""COMPUTED_VALUE"""),"12, 58")</f>
        <v>12, 58</v>
      </c>
      <c r="C2544" s="5" t="str">
        <f>IFERROR(__xludf.DUMMYFUNCTION("""COMPUTED_VALUE"""),"https://drive.google.com/file/d/1DAX3ecs7RM87a4XBvfE53stslHhre4qX/view?usp=drivesdk")</f>
        <v>https://drive.google.com/file/d/1DAX3ecs7RM87a4XBvfE53stslHhre4qX/view?usp=drivesdk</v>
      </c>
      <c r="D2544" s="12"/>
      <c r="E2544" s="13">
        <v>2594.0</v>
      </c>
      <c r="F2544" s="2"/>
    </row>
    <row r="2545" ht="1.5" customHeight="1">
      <c r="A2545" s="4" t="str">
        <f>IFERROR(__xludf.DUMMYFUNCTION("""COMPUTED_VALUE"""),"12. Faye, 58. Eden")</f>
        <v>12. Faye, 58. Eden</v>
      </c>
      <c r="B2545" s="4" t="str">
        <f>IFERROR(__xludf.DUMMYFUNCTION("""COMPUTED_VALUE"""),"12, 58")</f>
        <v>12, 58</v>
      </c>
      <c r="C2545" s="5" t="str">
        <f>IFERROR(__xludf.DUMMYFUNCTION("""COMPUTED_VALUE"""),"https://drive.google.com/file/d/1rLAJ1A5IRu8KU05BlDjfdWByDebhgSdx/view?usp=drivesdk")</f>
        <v>https://drive.google.com/file/d/1rLAJ1A5IRu8KU05BlDjfdWByDebhgSdx/view?usp=drivesdk</v>
      </c>
      <c r="D2545" s="12"/>
      <c r="E2545" s="13">
        <v>2595.0</v>
      </c>
      <c r="F2545" s="2"/>
    </row>
    <row r="2546" ht="1.5" customHeight="1">
      <c r="A2546" s="4" t="str">
        <f>IFERROR(__xludf.DUMMYFUNCTION("""COMPUTED_VALUE"""),"12. Faye, 58. Eden")</f>
        <v>12. Faye, 58. Eden</v>
      </c>
      <c r="B2546" s="4" t="str">
        <f>IFERROR(__xludf.DUMMYFUNCTION("""COMPUTED_VALUE"""),"12, 58")</f>
        <v>12, 58</v>
      </c>
      <c r="C2546" s="5" t="str">
        <f>IFERROR(__xludf.DUMMYFUNCTION("""COMPUTED_VALUE"""),"https://drive.google.com/file/d/15LBcHwO73VAPHZvI_6vefWA3xyfEZy66/view?usp=drivesdk")</f>
        <v>https://drive.google.com/file/d/15LBcHwO73VAPHZvI_6vefWA3xyfEZy66/view?usp=drivesdk</v>
      </c>
      <c r="D2546" s="12"/>
      <c r="E2546" s="13">
        <v>2596.0</v>
      </c>
      <c r="F2546" s="2"/>
    </row>
    <row r="2547" ht="1.5" customHeight="1">
      <c r="A2547" s="4" t="str">
        <f>IFERROR(__xludf.DUMMYFUNCTION("""COMPUTED_VALUE"""),"12. Faye, 58. Eden")</f>
        <v>12. Faye, 58. Eden</v>
      </c>
      <c r="B2547" s="4" t="str">
        <f>IFERROR(__xludf.DUMMYFUNCTION("""COMPUTED_VALUE"""),"12, 58")</f>
        <v>12, 58</v>
      </c>
      <c r="C2547" s="5" t="str">
        <f>IFERROR(__xludf.DUMMYFUNCTION("""COMPUTED_VALUE"""),"https://drive.google.com/file/d/1VIc3aTQKYNdozPE95v336nin-9zKNAMT/view?usp=drivesdk")</f>
        <v>https://drive.google.com/file/d/1VIc3aTQKYNdozPE95v336nin-9zKNAMT/view?usp=drivesdk</v>
      </c>
      <c r="D2547" s="12"/>
      <c r="E2547" s="13">
        <v>2597.0</v>
      </c>
      <c r="F2547" s="2"/>
    </row>
    <row r="2548" ht="1.5" customHeight="1">
      <c r="A2548" s="4" t="str">
        <f>IFERROR(__xludf.DUMMYFUNCTION("""COMPUTED_VALUE"""),"41. Gregory")</f>
        <v>41. Gregory</v>
      </c>
      <c r="B2548" s="4" t="str">
        <f>IFERROR(__xludf.DUMMYFUNCTION("""COMPUTED_VALUE"""),"41")</f>
        <v>41</v>
      </c>
      <c r="C2548" s="5" t="str">
        <f>IFERROR(__xludf.DUMMYFUNCTION("""COMPUTED_VALUE"""),"https://drive.google.com/file/d/1rtU48S7CgZusFSJ0JYYv88KscAzYOvdc/view?usp=drivesdk")</f>
        <v>https://drive.google.com/file/d/1rtU48S7CgZusFSJ0JYYv88KscAzYOvdc/view?usp=drivesdk</v>
      </c>
      <c r="D2548" s="12"/>
      <c r="E2548" s="13">
        <v>2598.0</v>
      </c>
      <c r="F2548" s="2"/>
    </row>
    <row r="2549" ht="1.5" customHeight="1">
      <c r="A2549" s="4" t="str">
        <f>IFERROR(__xludf.DUMMYFUNCTION("""COMPUTED_VALUE"""),"41. Gregory")</f>
        <v>41. Gregory</v>
      </c>
      <c r="B2549" s="4" t="str">
        <f>IFERROR(__xludf.DUMMYFUNCTION("""COMPUTED_VALUE"""),"41")</f>
        <v>41</v>
      </c>
      <c r="C2549" s="5" t="str">
        <f>IFERROR(__xludf.DUMMYFUNCTION("""COMPUTED_VALUE"""),"https://drive.google.com/file/d/1TwBydm_Nyh4LBs4ADQkBf5yd7GyyIxD_/view?usp=drivesdk")</f>
        <v>https://drive.google.com/file/d/1TwBydm_Nyh4LBs4ADQkBf5yd7GyyIxD_/view?usp=drivesdk</v>
      </c>
      <c r="D2549" s="12"/>
      <c r="E2549" s="13">
        <v>2599.0</v>
      </c>
      <c r="F2549" s="2"/>
    </row>
    <row r="2550" ht="1.5" customHeight="1">
      <c r="A2550" s="4" t="str">
        <f>IFERROR(__xludf.DUMMYFUNCTION("""COMPUTED_VALUE"""),"41. Gregory")</f>
        <v>41. Gregory</v>
      </c>
      <c r="B2550" s="4" t="str">
        <f>IFERROR(__xludf.DUMMYFUNCTION("""COMPUTED_VALUE"""),"41")</f>
        <v>41</v>
      </c>
      <c r="C2550" s="5" t="str">
        <f>IFERROR(__xludf.DUMMYFUNCTION("""COMPUTED_VALUE"""),"https://drive.google.com/file/d/1WTlgiwsPXd0EhabN-Gkwj5NKGEZRfvWu/view?usp=drivesdk")</f>
        <v>https://drive.google.com/file/d/1WTlgiwsPXd0EhabN-Gkwj5NKGEZRfvWu/view?usp=drivesdk</v>
      </c>
      <c r="D2550" s="12"/>
      <c r="E2550" s="13">
        <v>2600.0</v>
      </c>
      <c r="F2550" s="2"/>
    </row>
    <row r="2551" ht="1.5" customHeight="1">
      <c r="A2551" s="4" t="str">
        <f>IFERROR(__xludf.DUMMYFUNCTION("""COMPUTED_VALUE"""),"58. Eden, 41. Gregory, 45. Boots")</f>
        <v>58. Eden, 41. Gregory, 45. Boots</v>
      </c>
      <c r="B2551" s="4" t="str">
        <f>IFERROR(__xludf.DUMMYFUNCTION("""COMPUTED_VALUE"""),"58, 41, 45")</f>
        <v>58, 41, 45</v>
      </c>
      <c r="C2551" s="5" t="str">
        <f>IFERROR(__xludf.DUMMYFUNCTION("""COMPUTED_VALUE"""),"https://drive.google.com/file/d/15OjRSjxeyh2GgpDhsSfH5c4FBwSDKuWK/view?usp=drivesdk")</f>
        <v>https://drive.google.com/file/d/15OjRSjxeyh2GgpDhsSfH5c4FBwSDKuWK/view?usp=drivesdk</v>
      </c>
      <c r="D2551" s="12"/>
      <c r="E2551" s="13">
        <v>2601.0</v>
      </c>
      <c r="F2551" s="2"/>
    </row>
    <row r="2552" ht="1.5" customHeight="1">
      <c r="A2552" s="4" t="str">
        <f>IFERROR(__xludf.DUMMYFUNCTION("""COMPUTED_VALUE"""),"58. Eden, 41. Gregory")</f>
        <v>58. Eden, 41. Gregory</v>
      </c>
      <c r="B2552" s="4" t="str">
        <f>IFERROR(__xludf.DUMMYFUNCTION("""COMPUTED_VALUE"""),"58, 41")</f>
        <v>58, 41</v>
      </c>
      <c r="C2552" s="5" t="str">
        <f>IFERROR(__xludf.DUMMYFUNCTION("""COMPUTED_VALUE"""),"https://drive.google.com/file/d/1WTeo0Ld_Kvh2rRU4bowBtY3vowtgoDOO/view?usp=drivesdk")</f>
        <v>https://drive.google.com/file/d/1WTeo0Ld_Kvh2rRU4bowBtY3vowtgoDOO/view?usp=drivesdk</v>
      </c>
      <c r="D2552" s="12"/>
      <c r="E2552" s="13">
        <v>2602.0</v>
      </c>
      <c r="F2552" s="2"/>
    </row>
    <row r="2553" ht="1.5" customHeight="1">
      <c r="A2553" s="4" t="str">
        <f>IFERROR(__xludf.DUMMYFUNCTION("""COMPUTED_VALUE"""),"45. Boots")</f>
        <v>45. Boots</v>
      </c>
      <c r="B2553" s="4" t="str">
        <f>IFERROR(__xludf.DUMMYFUNCTION("""COMPUTED_VALUE"""),"45")</f>
        <v>45</v>
      </c>
      <c r="C2553" s="5" t="str">
        <f>IFERROR(__xludf.DUMMYFUNCTION("""COMPUTED_VALUE"""),"https://drive.google.com/file/d/1Ld-k3XBAIGlM3XKlEJVNgXeizg4DONEQ/view?usp=drivesdk")</f>
        <v>https://drive.google.com/file/d/1Ld-k3XBAIGlM3XKlEJVNgXeizg4DONEQ/view?usp=drivesdk</v>
      </c>
      <c r="D2553" s="12"/>
      <c r="E2553" s="13">
        <v>2603.0</v>
      </c>
      <c r="F2553" s="2"/>
    </row>
    <row r="2554" ht="1.5" customHeight="1">
      <c r="A2554" s="4" t="str">
        <f>IFERROR(__xludf.DUMMYFUNCTION("""COMPUTED_VALUE"""),"5. Eraser")</f>
        <v>5. Eraser</v>
      </c>
      <c r="B2554" s="4" t="str">
        <f>IFERROR(__xludf.DUMMYFUNCTION("""COMPUTED_VALUE"""),"5")</f>
        <v>5</v>
      </c>
      <c r="C2554" s="5" t="str">
        <f>IFERROR(__xludf.DUMMYFUNCTION("""COMPUTED_VALUE"""),"https://drive.google.com/file/d/1veyuZEsugHphSgzTs8992aSTjrA0FY3V/view?usp=drivesdk")</f>
        <v>https://drive.google.com/file/d/1veyuZEsugHphSgzTs8992aSTjrA0FY3V/view?usp=drivesdk</v>
      </c>
      <c r="D2554" s="12"/>
      <c r="E2554" s="13">
        <v>2604.0</v>
      </c>
      <c r="F2554" s="2"/>
    </row>
    <row r="2555" ht="1.5" customHeight="1">
      <c r="A2555" s="4" t="str">
        <f>IFERROR(__xludf.DUMMYFUNCTION("""COMPUTED_VALUE"""),"5. Eraser")</f>
        <v>5. Eraser</v>
      </c>
      <c r="B2555" s="4" t="str">
        <f>IFERROR(__xludf.DUMMYFUNCTION("""COMPUTED_VALUE"""),"5")</f>
        <v>5</v>
      </c>
      <c r="C2555" s="5" t="str">
        <f>IFERROR(__xludf.DUMMYFUNCTION("""COMPUTED_VALUE"""),"https://drive.google.com/file/d/13oAIh7XAH0T3AtHnKbu-1pBOJyXs10Cv/view?usp=drivesdk")</f>
        <v>https://drive.google.com/file/d/13oAIh7XAH0T3AtHnKbu-1pBOJyXs10Cv/view?usp=drivesdk</v>
      </c>
      <c r="D2555" s="12"/>
      <c r="E2555" s="13">
        <v>2605.0</v>
      </c>
      <c r="F2555" s="2"/>
    </row>
    <row r="2556" ht="1.5" customHeight="1">
      <c r="A2556" s="4" t="str">
        <f>IFERROR(__xludf.DUMMYFUNCTION("""COMPUTED_VALUE"""),"5. Eraser")</f>
        <v>5. Eraser</v>
      </c>
      <c r="B2556" s="4" t="str">
        <f>IFERROR(__xludf.DUMMYFUNCTION("""COMPUTED_VALUE"""),"5")</f>
        <v>5</v>
      </c>
      <c r="C2556" s="5" t="str">
        <f>IFERROR(__xludf.DUMMYFUNCTION("""COMPUTED_VALUE"""),"https://drive.google.com/file/d/1BlH3va1rHmczcn6xrA4p9c4hJS4VZedi/view?usp=drivesdk")</f>
        <v>https://drive.google.com/file/d/1BlH3va1rHmczcn6xrA4p9c4hJS4VZedi/view?usp=drivesdk</v>
      </c>
      <c r="D2556" s="12"/>
      <c r="E2556" s="13">
        <v>2606.0</v>
      </c>
      <c r="F2556" s="2"/>
    </row>
    <row r="2557" ht="1.5" customHeight="1">
      <c r="A2557" s="4" t="str">
        <f>IFERROR(__xludf.DUMMYFUNCTION("""COMPUTED_VALUE"""),"5. Eraser")</f>
        <v>5. Eraser</v>
      </c>
      <c r="B2557" s="4" t="str">
        <f>IFERROR(__xludf.DUMMYFUNCTION("""COMPUTED_VALUE"""),"5")</f>
        <v>5</v>
      </c>
      <c r="C2557" s="5" t="str">
        <f>IFERROR(__xludf.DUMMYFUNCTION("""COMPUTED_VALUE"""),"https://drive.google.com/file/d/1Y40TuNqa2z6BqxiDxwSMumYuNnEf3PyC/view?usp=drivesdk")</f>
        <v>https://drive.google.com/file/d/1Y40TuNqa2z6BqxiDxwSMumYuNnEf3PyC/view?usp=drivesdk</v>
      </c>
      <c r="D2557" s="12"/>
      <c r="E2557" s="13">
        <v>2607.0</v>
      </c>
      <c r="F2557" s="2"/>
    </row>
    <row r="2558" ht="1.5" customHeight="1">
      <c r="A2558" s="4" t="str">
        <f>IFERROR(__xludf.DUMMYFUNCTION("""COMPUTED_VALUE"""),"5. Eraser")</f>
        <v>5. Eraser</v>
      </c>
      <c r="B2558" s="4" t="str">
        <f>IFERROR(__xludf.DUMMYFUNCTION("""COMPUTED_VALUE"""),"5")</f>
        <v>5</v>
      </c>
      <c r="C2558" s="5" t="str">
        <f>IFERROR(__xludf.DUMMYFUNCTION("""COMPUTED_VALUE"""),"https://drive.google.com/file/d/17Luhq-1bZopOJHBr1UYOw1UC77uAc4Zt/view?usp=drivesdk")</f>
        <v>https://drive.google.com/file/d/17Luhq-1bZopOJHBr1UYOw1UC77uAc4Zt/view?usp=drivesdk</v>
      </c>
      <c r="D2558" s="12"/>
      <c r="E2558" s="13">
        <v>2608.0</v>
      </c>
      <c r="F2558" s="2"/>
    </row>
    <row r="2559" ht="1.5" customHeight="1">
      <c r="A2559" s="4" t="str">
        <f>IFERROR(__xludf.DUMMYFUNCTION("""COMPUTED_VALUE"""),"78. Ed Sheeran, 17. Bobbie")</f>
        <v>78. Ed Sheeran, 17. Bobbie</v>
      </c>
      <c r="B2559" s="4" t="str">
        <f>IFERROR(__xludf.DUMMYFUNCTION("""COMPUTED_VALUE"""),"78, 17")</f>
        <v>78, 17</v>
      </c>
      <c r="C2559" s="5" t="str">
        <f>IFERROR(__xludf.DUMMYFUNCTION("""COMPUTED_VALUE"""),"https://drive.google.com/file/d/1VLvA5FN2OpFcmczDvxYeat1iTDnnu7sR/view?usp=drivesdk")</f>
        <v>https://drive.google.com/file/d/1VLvA5FN2OpFcmczDvxYeat1iTDnnu7sR/view?usp=drivesdk</v>
      </c>
      <c r="D2559" s="12"/>
      <c r="E2559" s="13">
        <v>2609.0</v>
      </c>
      <c r="F2559" s="2"/>
    </row>
    <row r="2560" ht="1.5" customHeight="1">
      <c r="A2560" s="4" t="str">
        <f>IFERROR(__xludf.DUMMYFUNCTION("""COMPUTED_VALUE"""),"0. NotACat")</f>
        <v>0. NotACat</v>
      </c>
      <c r="B2560" s="4" t="str">
        <f>IFERROR(__xludf.DUMMYFUNCTION("""COMPUTED_VALUE"""),"0")</f>
        <v>0</v>
      </c>
      <c r="C2560" s="5" t="str">
        <f>IFERROR(__xludf.DUMMYFUNCTION("""COMPUTED_VALUE"""),"https://drive.google.com/file/d/1hwPlBsBdct_raa3xTGZvz7oK3UmHNfC2/view?usp=drivesdk")</f>
        <v>https://drive.google.com/file/d/1hwPlBsBdct_raa3xTGZvz7oK3UmHNfC2/view?usp=drivesdk</v>
      </c>
      <c r="D2560" s="12"/>
      <c r="E2560" s="13">
        <v>2610.0</v>
      </c>
      <c r="F2560" s="2"/>
    </row>
    <row r="2561" ht="1.5" customHeight="1">
      <c r="A2561" s="4" t="str">
        <f>IFERROR(__xludf.DUMMYFUNCTION("""COMPUTED_VALUE"""),"30. Pepper")</f>
        <v>30. Pepper</v>
      </c>
      <c r="B2561" s="4" t="str">
        <f>IFERROR(__xludf.DUMMYFUNCTION("""COMPUTED_VALUE"""),"30")</f>
        <v>30</v>
      </c>
      <c r="C2561" s="5" t="str">
        <f>IFERROR(__xludf.DUMMYFUNCTION("""COMPUTED_VALUE"""),"https://drive.google.com/file/d/1RjqQZXe6dX5LRZDvTgv5qeZ9iKx3q08c/view?usp=drivesdk")</f>
        <v>https://drive.google.com/file/d/1RjqQZXe6dX5LRZDvTgv5qeZ9iKx3q08c/view?usp=drivesdk</v>
      </c>
      <c r="D2561" s="12"/>
      <c r="E2561" s="13">
        <v>2611.0</v>
      </c>
      <c r="F2561" s="2"/>
    </row>
    <row r="2562" ht="1.5" customHeight="1">
      <c r="A2562" s="4" t="str">
        <f>IFERROR(__xludf.DUMMYFUNCTION("""COMPUTED_VALUE"""),"0. NotACat")</f>
        <v>0. NotACat</v>
      </c>
      <c r="B2562" s="4" t="str">
        <f>IFERROR(__xludf.DUMMYFUNCTION("""COMPUTED_VALUE"""),"0")</f>
        <v>0</v>
      </c>
      <c r="C2562" s="5" t="str">
        <f>IFERROR(__xludf.DUMMYFUNCTION("""COMPUTED_VALUE"""),"https://drive.google.com/file/d/1MY7YYy5zLlJ9nlR-VOzt9mZbfUC7Rdvv/view?usp=drivesdk")</f>
        <v>https://drive.google.com/file/d/1MY7YYy5zLlJ9nlR-VOzt9mZbfUC7Rdvv/view?usp=drivesdk</v>
      </c>
      <c r="D2562" s="12"/>
      <c r="E2562" s="13">
        <v>2612.0</v>
      </c>
      <c r="F2562" s="2"/>
    </row>
    <row r="2563" ht="1.5" customHeight="1">
      <c r="A2563" s="4" t="str">
        <f>IFERROR(__xludf.DUMMYFUNCTION("""COMPUTED_VALUE"""),"0. NotACat")</f>
        <v>0. NotACat</v>
      </c>
      <c r="B2563" s="4" t="str">
        <f>IFERROR(__xludf.DUMMYFUNCTION("""COMPUTED_VALUE"""),"0")</f>
        <v>0</v>
      </c>
      <c r="C2563" s="5" t="str">
        <f>IFERROR(__xludf.DUMMYFUNCTION("""COMPUTED_VALUE"""),"https://drive.google.com/file/d/18sgsj6tuZNEbmFdheMuM8AUJGHyIZQXU/view?usp=drivesdk")</f>
        <v>https://drive.google.com/file/d/18sgsj6tuZNEbmFdheMuM8AUJGHyIZQXU/view?usp=drivesdk</v>
      </c>
      <c r="D2563" s="12"/>
      <c r="E2563" s="13">
        <v>2613.0</v>
      </c>
      <c r="F2563" s="2"/>
    </row>
    <row r="2564" ht="1.5" customHeight="1">
      <c r="A2564" s="4" t="str">
        <f>IFERROR(__xludf.DUMMYFUNCTION("""COMPUTED_VALUE"""),"0. NotACat")</f>
        <v>0. NotACat</v>
      </c>
      <c r="B2564" s="4" t="str">
        <f>IFERROR(__xludf.DUMMYFUNCTION("""COMPUTED_VALUE"""),"0")</f>
        <v>0</v>
      </c>
      <c r="C2564" s="5" t="str">
        <f>IFERROR(__xludf.DUMMYFUNCTION("""COMPUTED_VALUE"""),"https://drive.google.com/file/d/1xmENywCcrM304xctpqooz9V7_UAEE7Vr/view?usp=drivesdk")</f>
        <v>https://drive.google.com/file/d/1xmENywCcrM304xctpqooz9V7_UAEE7Vr/view?usp=drivesdk</v>
      </c>
      <c r="D2564" s="12"/>
      <c r="E2564" s="13">
        <v>2614.0</v>
      </c>
      <c r="F2564" s="2"/>
    </row>
    <row r="2565" ht="1.5" customHeight="1">
      <c r="A2565" s="4" t="str">
        <f>IFERROR(__xludf.DUMMYFUNCTION("""COMPUTED_VALUE"""),"0. NotACat")</f>
        <v>0. NotACat</v>
      </c>
      <c r="B2565" s="4" t="str">
        <f>IFERROR(__xludf.DUMMYFUNCTION("""COMPUTED_VALUE"""),"0")</f>
        <v>0</v>
      </c>
      <c r="C2565" s="5" t="str">
        <f>IFERROR(__xludf.DUMMYFUNCTION("""COMPUTED_VALUE"""),"https://drive.google.com/file/d/1CBNCrqw8uvqZDAVQdkLel80PNjNhpsSc/view?usp=drivesdk")</f>
        <v>https://drive.google.com/file/d/1CBNCrqw8uvqZDAVQdkLel80PNjNhpsSc/view?usp=drivesdk</v>
      </c>
      <c r="D2565" s="12"/>
      <c r="E2565" s="13">
        <v>2615.0</v>
      </c>
      <c r="F2565" s="2"/>
    </row>
    <row r="2566" ht="1.5" customHeight="1">
      <c r="A2566" s="4" t="str">
        <f>IFERROR(__xludf.DUMMYFUNCTION("""COMPUTED_VALUE"""),"0. NotACat")</f>
        <v>0. NotACat</v>
      </c>
      <c r="B2566" s="4" t="str">
        <f>IFERROR(__xludf.DUMMYFUNCTION("""COMPUTED_VALUE"""),"0")</f>
        <v>0</v>
      </c>
      <c r="C2566" s="5" t="str">
        <f>IFERROR(__xludf.DUMMYFUNCTION("""COMPUTED_VALUE"""),"https://drive.google.com/file/d/1n7FdMVa9crZRNvOHXkOnWRZkDBa4FPbM/view?usp=drivesdk")</f>
        <v>https://drive.google.com/file/d/1n7FdMVa9crZRNvOHXkOnWRZkDBa4FPbM/view?usp=drivesdk</v>
      </c>
      <c r="D2566" s="12"/>
      <c r="E2566" s="13">
        <v>2616.0</v>
      </c>
      <c r="F2566" s="2"/>
    </row>
    <row r="2567" ht="1.5" customHeight="1">
      <c r="A2567" s="4" t="str">
        <f>IFERROR(__xludf.DUMMYFUNCTION("""COMPUTED_VALUE"""),"80. Atzi")</f>
        <v>80. Atzi</v>
      </c>
      <c r="B2567" s="4" t="str">
        <f>IFERROR(__xludf.DUMMYFUNCTION("""COMPUTED_VALUE"""),"80")</f>
        <v>80</v>
      </c>
      <c r="C2567" s="5" t="str">
        <f>IFERROR(__xludf.DUMMYFUNCTION("""COMPUTED_VALUE"""),"https://drive.google.com/file/d/1MObZgDvgTJdFKL8Ci2iQmgNAAAIbKHfa/view?usp=drivesdk")</f>
        <v>https://drive.google.com/file/d/1MObZgDvgTJdFKL8Ci2iQmgNAAAIbKHfa/view?usp=drivesdk</v>
      </c>
      <c r="D2567" s="12"/>
      <c r="E2567" s="13">
        <v>2617.0</v>
      </c>
      <c r="F2567" s="2"/>
    </row>
    <row r="2568" ht="1.5" customHeight="1">
      <c r="A2568" s="4" t="str">
        <f>IFERROR(__xludf.DUMMYFUNCTION("""COMPUTED_VALUE"""),"47. Nefarious")</f>
        <v>47. Nefarious</v>
      </c>
      <c r="B2568" s="4" t="str">
        <f>IFERROR(__xludf.DUMMYFUNCTION("""COMPUTED_VALUE"""),"47")</f>
        <v>47</v>
      </c>
      <c r="C2568" s="5" t="str">
        <f>IFERROR(__xludf.DUMMYFUNCTION("""COMPUTED_VALUE"""),"https://drive.google.com/file/d/1srbvZ1InJ37alBQMeM3XcRwGSOo0O80P/view?usp=drivesdk")</f>
        <v>https://drive.google.com/file/d/1srbvZ1InJ37alBQMeM3XcRwGSOo0O80P/view?usp=drivesdk</v>
      </c>
      <c r="D2568" s="12"/>
      <c r="E2568" s="13">
        <v>2618.0</v>
      </c>
      <c r="F2568" s="2"/>
    </row>
    <row r="2569" ht="1.5" customHeight="1">
      <c r="A2569" s="4" t="str">
        <f>IFERROR(__xludf.DUMMYFUNCTION("""COMPUTED_VALUE"""),"41. Gregory")</f>
        <v>41. Gregory</v>
      </c>
      <c r="B2569" s="4" t="str">
        <f>IFERROR(__xludf.DUMMYFUNCTION("""COMPUTED_VALUE"""),"41")</f>
        <v>41</v>
      </c>
      <c r="C2569" s="5" t="str">
        <f>IFERROR(__xludf.DUMMYFUNCTION("""COMPUTED_VALUE"""),"https://drive.google.com/file/d/12FgAgl8rFO3nFfje-7Ki-Fl5vRWhfe4k/view?usp=drivesdk")</f>
        <v>https://drive.google.com/file/d/12FgAgl8rFO3nFfje-7Ki-Fl5vRWhfe4k/view?usp=drivesdk</v>
      </c>
      <c r="D2569" s="12"/>
      <c r="E2569" s="13">
        <v>2619.0</v>
      </c>
      <c r="F2569" s="2"/>
    </row>
    <row r="2570" ht="1.5" customHeight="1">
      <c r="A2570" s="4" t="str">
        <f>IFERROR(__xludf.DUMMYFUNCTION("""COMPUTED_VALUE"""),"45. Boots")</f>
        <v>45. Boots</v>
      </c>
      <c r="B2570" s="4" t="str">
        <f>IFERROR(__xludf.DUMMYFUNCTION("""COMPUTED_VALUE"""),"45")</f>
        <v>45</v>
      </c>
      <c r="C2570" s="5" t="str">
        <f>IFERROR(__xludf.DUMMYFUNCTION("""COMPUTED_VALUE"""),"https://drive.google.com/file/d/1PSOj_uGU5aQAR1vDKzcZ2hSuvoC_bfji/view?usp=drivesdk")</f>
        <v>https://drive.google.com/file/d/1PSOj_uGU5aQAR1vDKzcZ2hSuvoC_bfji/view?usp=drivesdk</v>
      </c>
      <c r="D2570" s="12"/>
      <c r="E2570" s="13">
        <v>2620.0</v>
      </c>
      <c r="F2570" s="2"/>
    </row>
    <row r="2571" ht="1.5" customHeight="1">
      <c r="A2571" s="4" t="str">
        <f>IFERROR(__xludf.DUMMYFUNCTION("""COMPUTED_VALUE"""),"86. Honda")</f>
        <v>86. Honda</v>
      </c>
      <c r="B2571" s="4" t="str">
        <f>IFERROR(__xludf.DUMMYFUNCTION("""COMPUTED_VALUE"""),"86")</f>
        <v>86</v>
      </c>
      <c r="C2571" s="5" t="str">
        <f>IFERROR(__xludf.DUMMYFUNCTION("""COMPUTED_VALUE"""),"https://drive.google.com/file/d/1ZAJ17LeZNWjnmhSJ07yTqAnSpH-Nmozz/view?usp=drivesdk")</f>
        <v>https://drive.google.com/file/d/1ZAJ17LeZNWjnmhSJ07yTqAnSpH-Nmozz/view?usp=drivesdk</v>
      </c>
      <c r="D2571" s="12"/>
      <c r="E2571" s="13">
        <v>2621.0</v>
      </c>
      <c r="F2571" s="2"/>
    </row>
    <row r="2572" ht="1.5" customHeight="1">
      <c r="A2572" s="4" t="str">
        <f>IFERROR(__xludf.DUMMYFUNCTION("""COMPUTED_VALUE"""),"47. Nefarious")</f>
        <v>47. Nefarious</v>
      </c>
      <c r="B2572" s="4" t="str">
        <f>IFERROR(__xludf.DUMMYFUNCTION("""COMPUTED_VALUE"""),"47")</f>
        <v>47</v>
      </c>
      <c r="C2572" s="5" t="str">
        <f>IFERROR(__xludf.DUMMYFUNCTION("""COMPUTED_VALUE"""),"https://drive.google.com/file/d/1n2huOKKzjFFzNL0a_L-BUL7YRFDwZ7_f/view?usp=drivesdk")</f>
        <v>https://drive.google.com/file/d/1n2huOKKzjFFzNL0a_L-BUL7YRFDwZ7_f/view?usp=drivesdk</v>
      </c>
      <c r="D2572" s="12"/>
      <c r="E2572" s="13">
        <v>2622.0</v>
      </c>
      <c r="F2572" s="2"/>
    </row>
    <row r="2573" ht="1.5" customHeight="1">
      <c r="A2573" s="4" t="str">
        <f>IFERROR(__xludf.DUMMYFUNCTION("""COMPUTED_VALUE"""),"86. Honda")</f>
        <v>86. Honda</v>
      </c>
      <c r="B2573" s="4" t="str">
        <f>IFERROR(__xludf.DUMMYFUNCTION("""COMPUTED_VALUE"""),"86")</f>
        <v>86</v>
      </c>
      <c r="C2573" s="5" t="str">
        <f>IFERROR(__xludf.DUMMYFUNCTION("""COMPUTED_VALUE"""),"https://drive.google.com/file/d/1f5U8WMwtPVFQj2JSww5i_pjgovLERuM_/view?usp=drivesdk")</f>
        <v>https://drive.google.com/file/d/1f5U8WMwtPVFQj2JSww5i_pjgovLERuM_/view?usp=drivesdk</v>
      </c>
      <c r="D2573" s="12"/>
      <c r="E2573" s="13">
        <v>2623.0</v>
      </c>
      <c r="F2573" s="2"/>
    </row>
    <row r="2574" ht="1.5" customHeight="1">
      <c r="A2574" s="4" t="str">
        <f>IFERROR(__xludf.DUMMYFUNCTION("""COMPUTED_VALUE"""),"45. Boots")</f>
        <v>45. Boots</v>
      </c>
      <c r="B2574" s="4" t="str">
        <f>IFERROR(__xludf.DUMMYFUNCTION("""COMPUTED_VALUE"""),"45")</f>
        <v>45</v>
      </c>
      <c r="C2574" s="5" t="str">
        <f>IFERROR(__xludf.DUMMYFUNCTION("""COMPUTED_VALUE"""),"https://drive.google.com/file/d/1gh5doNkbe_rSaPQAKDbLtVi_Q8g7YQh2/view?usp=drivesdk")</f>
        <v>https://drive.google.com/file/d/1gh5doNkbe_rSaPQAKDbLtVi_Q8g7YQh2/view?usp=drivesdk</v>
      </c>
      <c r="D2574" s="12"/>
      <c r="E2574" s="13">
        <v>2624.0</v>
      </c>
      <c r="F2574" s="2"/>
    </row>
    <row r="2575" ht="1.5" customHeight="1">
      <c r="A2575" s="4" t="str">
        <f>IFERROR(__xludf.DUMMYFUNCTION("""COMPUTED_VALUE"""),"86. Honda")</f>
        <v>86. Honda</v>
      </c>
      <c r="B2575" s="4" t="str">
        <f>IFERROR(__xludf.DUMMYFUNCTION("""COMPUTED_VALUE"""),"86")</f>
        <v>86</v>
      </c>
      <c r="C2575" s="5" t="str">
        <f>IFERROR(__xludf.DUMMYFUNCTION("""COMPUTED_VALUE"""),"https://drive.google.com/file/d/1-NS8EmpXsBj79RlnFEsFpTzpcg88ouiM/view?usp=drivesdk")</f>
        <v>https://drive.google.com/file/d/1-NS8EmpXsBj79RlnFEsFpTzpcg88ouiM/view?usp=drivesdk</v>
      </c>
      <c r="D2575" s="12"/>
      <c r="E2575" s="13">
        <v>2625.0</v>
      </c>
      <c r="F2575" s="2"/>
    </row>
    <row r="2576" ht="1.5" customHeight="1">
      <c r="A2576" s="4" t="str">
        <f>IFERROR(__xludf.DUMMYFUNCTION("""COMPUTED_VALUE"""),"41. Gregory")</f>
        <v>41. Gregory</v>
      </c>
      <c r="B2576" s="4" t="str">
        <f>IFERROR(__xludf.DUMMYFUNCTION("""COMPUTED_VALUE"""),"41")</f>
        <v>41</v>
      </c>
      <c r="C2576" s="5" t="str">
        <f>IFERROR(__xludf.DUMMYFUNCTION("""COMPUTED_VALUE"""),"https://drive.google.com/file/d/10VVsxrxBMFExLp1yj5tKYc9iUVSxNBzs/view?usp=drivesdk")</f>
        <v>https://drive.google.com/file/d/10VVsxrxBMFExLp1yj5tKYc9iUVSxNBzs/view?usp=drivesdk</v>
      </c>
      <c r="D2576" s="12"/>
      <c r="E2576" s="13">
        <v>2626.0</v>
      </c>
      <c r="F2576" s="2"/>
    </row>
    <row r="2577" ht="1.5" customHeight="1">
      <c r="A2577" s="4" t="str">
        <f>IFERROR(__xludf.DUMMYFUNCTION("""COMPUTED_VALUE"""),"2. Twix")</f>
        <v>2. Twix</v>
      </c>
      <c r="B2577" s="4" t="str">
        <f>IFERROR(__xludf.DUMMYFUNCTION("""COMPUTED_VALUE"""),"2")</f>
        <v>2</v>
      </c>
      <c r="C2577" s="5" t="str">
        <f>IFERROR(__xludf.DUMMYFUNCTION("""COMPUTED_VALUE"""),"https://drive.google.com/file/d/1u6aMFo7TjszUOeQtSmCbOMTyaD_hE6Nq/view?usp=drivesdk")</f>
        <v>https://drive.google.com/file/d/1u6aMFo7TjszUOeQtSmCbOMTyaD_hE6Nq/view?usp=drivesdk</v>
      </c>
      <c r="D2577" s="12"/>
      <c r="E2577" s="13">
        <v>2627.0</v>
      </c>
      <c r="F2577" s="2"/>
    </row>
    <row r="2578" ht="1.5" customHeight="1">
      <c r="A2578" s="4" t="str">
        <f>IFERROR(__xludf.DUMMYFUNCTION("""COMPUTED_VALUE"""),"2. Twix")</f>
        <v>2. Twix</v>
      </c>
      <c r="B2578" s="4" t="str">
        <f>IFERROR(__xludf.DUMMYFUNCTION("""COMPUTED_VALUE"""),"2")</f>
        <v>2</v>
      </c>
      <c r="C2578" s="5" t="str">
        <f>IFERROR(__xludf.DUMMYFUNCTION("""COMPUTED_VALUE"""),"https://drive.google.com/file/d/1La8guCdNuPR_FJwqQfKARFF3VDI-Ra7n/view?usp=drivesdk")</f>
        <v>https://drive.google.com/file/d/1La8guCdNuPR_FJwqQfKARFF3VDI-Ra7n/view?usp=drivesdk</v>
      </c>
      <c r="D2578" s="12"/>
      <c r="E2578" s="13">
        <v>2628.0</v>
      </c>
      <c r="F2578" s="2"/>
    </row>
    <row r="2579" ht="1.5" customHeight="1">
      <c r="A2579" s="4" t="str">
        <f>IFERROR(__xludf.DUMMYFUNCTION("""COMPUTED_VALUE"""),"2. Twix")</f>
        <v>2. Twix</v>
      </c>
      <c r="B2579" s="4" t="str">
        <f>IFERROR(__xludf.DUMMYFUNCTION("""COMPUTED_VALUE"""),"2")</f>
        <v>2</v>
      </c>
      <c r="C2579" s="5" t="str">
        <f>IFERROR(__xludf.DUMMYFUNCTION("""COMPUTED_VALUE"""),"https://drive.google.com/file/d/1Ssxk8hdiX7HG3evd4UnHr7KiGVi9wzjg/view?usp=drivesdk")</f>
        <v>https://drive.google.com/file/d/1Ssxk8hdiX7HG3evd4UnHr7KiGVi9wzjg/view?usp=drivesdk</v>
      </c>
      <c r="D2579" s="12"/>
      <c r="E2579" s="13">
        <v>2629.0</v>
      </c>
      <c r="F2579" s="2"/>
    </row>
    <row r="2580" ht="1.5" customHeight="1">
      <c r="A2580" s="4" t="str">
        <f>IFERROR(__xludf.DUMMYFUNCTION("""COMPUTED_VALUE"""),"2. Twix")</f>
        <v>2. Twix</v>
      </c>
      <c r="B2580" s="4" t="str">
        <f>IFERROR(__xludf.DUMMYFUNCTION("""COMPUTED_VALUE"""),"2")</f>
        <v>2</v>
      </c>
      <c r="C2580" s="5" t="str">
        <f>IFERROR(__xludf.DUMMYFUNCTION("""COMPUTED_VALUE"""),"https://drive.google.com/file/d/19Hk9quuuL4-6SR5fIu-Qc7iC0ilLS85S/view?usp=drivesdk")</f>
        <v>https://drive.google.com/file/d/19Hk9quuuL4-6SR5fIu-Qc7iC0ilLS85S/view?usp=drivesdk</v>
      </c>
      <c r="D2580" s="12"/>
      <c r="E2580" s="13">
        <v>2630.0</v>
      </c>
      <c r="F2580" s="2"/>
    </row>
    <row r="2581" ht="1.5" customHeight="1">
      <c r="A2581" s="4" t="str">
        <f>IFERROR(__xludf.DUMMYFUNCTION("""COMPUTED_VALUE"""),"2. Twix")</f>
        <v>2. Twix</v>
      </c>
      <c r="B2581" s="4" t="str">
        <f>IFERROR(__xludf.DUMMYFUNCTION("""COMPUTED_VALUE"""),"2")</f>
        <v>2</v>
      </c>
      <c r="C2581" s="5" t="str">
        <f>IFERROR(__xludf.DUMMYFUNCTION("""COMPUTED_VALUE"""),"https://drive.google.com/file/d/1oJ3vVAX9VGoco9Qwt5us4aEOijsB4d1O/view?usp=drivesdk")</f>
        <v>https://drive.google.com/file/d/1oJ3vVAX9VGoco9Qwt5us4aEOijsB4d1O/view?usp=drivesdk</v>
      </c>
      <c r="D2581" s="12"/>
      <c r="E2581" s="13">
        <v>2631.0</v>
      </c>
      <c r="F2581" s="2"/>
    </row>
    <row r="2582" ht="1.5" customHeight="1">
      <c r="A2582" s="4" t="str">
        <f>IFERROR(__xludf.DUMMYFUNCTION("""COMPUTED_VALUE"""),"2. Twix")</f>
        <v>2. Twix</v>
      </c>
      <c r="B2582" s="4" t="str">
        <f>IFERROR(__xludf.DUMMYFUNCTION("""COMPUTED_VALUE"""),"2")</f>
        <v>2</v>
      </c>
      <c r="C2582" s="5" t="str">
        <f>IFERROR(__xludf.DUMMYFUNCTION("""COMPUTED_VALUE"""),"https://drive.google.com/file/d/1dQlyHTHZb17edqkCuBwmO6E0XqVTUGvQ/view?usp=drivesdk")</f>
        <v>https://drive.google.com/file/d/1dQlyHTHZb17edqkCuBwmO6E0XqVTUGvQ/view?usp=drivesdk</v>
      </c>
      <c r="D2582" s="12"/>
      <c r="E2582" s="13">
        <v>2632.0</v>
      </c>
      <c r="F2582" s="2"/>
    </row>
    <row r="2583" ht="1.5" customHeight="1">
      <c r="A2583" s="4" t="str">
        <f>IFERROR(__xludf.DUMMYFUNCTION("""COMPUTED_VALUE"""),"2. Twix")</f>
        <v>2. Twix</v>
      </c>
      <c r="B2583" s="4" t="str">
        <f>IFERROR(__xludf.DUMMYFUNCTION("""COMPUTED_VALUE"""),"2")</f>
        <v>2</v>
      </c>
      <c r="C2583" s="5" t="str">
        <f>IFERROR(__xludf.DUMMYFUNCTION("""COMPUTED_VALUE"""),"https://drive.google.com/file/d/1hc3QfAyG8E-X12Joa3dlKxRLmY6dVuXp/view?usp=drivesdk")</f>
        <v>https://drive.google.com/file/d/1hc3QfAyG8E-X12Joa3dlKxRLmY6dVuXp/view?usp=drivesdk</v>
      </c>
      <c r="D2583" s="12"/>
      <c r="E2583" s="13">
        <v>2633.0</v>
      </c>
      <c r="F2583" s="2"/>
    </row>
    <row r="2584" ht="1.5" customHeight="1">
      <c r="A2584" s="4" t="str">
        <f>IFERROR(__xludf.DUMMYFUNCTION("""COMPUTED_VALUE"""),"2. Twix")</f>
        <v>2. Twix</v>
      </c>
      <c r="B2584" s="4" t="str">
        <f>IFERROR(__xludf.DUMMYFUNCTION("""COMPUTED_VALUE"""),"2")</f>
        <v>2</v>
      </c>
      <c r="C2584" s="5" t="str">
        <f>IFERROR(__xludf.DUMMYFUNCTION("""COMPUTED_VALUE"""),"https://drive.google.com/file/d/1elDhnaL2FFkqk8-fqgWE5_SVQYwCZ7T5/view?usp=drivesdk")</f>
        <v>https://drive.google.com/file/d/1elDhnaL2FFkqk8-fqgWE5_SVQYwCZ7T5/view?usp=drivesdk</v>
      </c>
      <c r="D2584" s="12"/>
      <c r="E2584" s="13">
        <v>2634.0</v>
      </c>
      <c r="F2584" s="2"/>
    </row>
    <row r="2585" ht="1.5" customHeight="1">
      <c r="A2585" s="4" t="str">
        <f>IFERROR(__xludf.DUMMYFUNCTION("""COMPUTED_VALUE"""),"41. Gregory, 45. Boots, 12. Faye")</f>
        <v>41. Gregory, 45. Boots, 12. Faye</v>
      </c>
      <c r="B2585" s="4" t="str">
        <f>IFERROR(__xludf.DUMMYFUNCTION("""COMPUTED_VALUE"""),"41, 45, 12")</f>
        <v>41, 45, 12</v>
      </c>
      <c r="C2585" s="5" t="str">
        <f>IFERROR(__xludf.DUMMYFUNCTION("""COMPUTED_VALUE"""),"https://drive.google.com/file/d/1SA_fy22OpDMDssaVFA6p4xzk8cIoXSaJ/view?usp=drivesdk")</f>
        <v>https://drive.google.com/file/d/1SA_fy22OpDMDssaVFA6p4xzk8cIoXSaJ/view?usp=drivesdk</v>
      </c>
      <c r="D2585" s="12"/>
      <c r="E2585" s="13">
        <v>2635.0</v>
      </c>
      <c r="F2585" s="2"/>
    </row>
    <row r="2586" ht="1.5" customHeight="1">
      <c r="A2586" s="4" t="str">
        <f>IFERROR(__xludf.DUMMYFUNCTION("""COMPUTED_VALUE"""),"41. Gregory, 45. Boots, 12. Faye")</f>
        <v>41. Gregory, 45. Boots, 12. Faye</v>
      </c>
      <c r="B2586" s="4" t="str">
        <f>IFERROR(__xludf.DUMMYFUNCTION("""COMPUTED_VALUE"""),"41, 45, 12")</f>
        <v>41, 45, 12</v>
      </c>
      <c r="C2586" s="5" t="str">
        <f>IFERROR(__xludf.DUMMYFUNCTION("""COMPUTED_VALUE"""),"https://drive.google.com/file/d/1iqmbbDkypJzzCttMaY2wIolz_UpdZ9J2/view?usp=drivesdk")</f>
        <v>https://drive.google.com/file/d/1iqmbbDkypJzzCttMaY2wIolz_UpdZ9J2/view?usp=drivesdk</v>
      </c>
      <c r="D2586" s="12"/>
      <c r="E2586" s="13">
        <v>2636.0</v>
      </c>
      <c r="F2586" s="2"/>
    </row>
    <row r="2587" ht="1.5" customHeight="1">
      <c r="A2587" s="4" t="str">
        <f>IFERROR(__xludf.DUMMYFUNCTION("""COMPUTED_VALUE"""),"41. Gregory, 45. Boots, 12. Faye")</f>
        <v>41. Gregory, 45. Boots, 12. Faye</v>
      </c>
      <c r="B2587" s="4" t="str">
        <f>IFERROR(__xludf.DUMMYFUNCTION("""COMPUTED_VALUE"""),"41, 45, 12")</f>
        <v>41, 45, 12</v>
      </c>
      <c r="C2587" s="5" t="str">
        <f>IFERROR(__xludf.DUMMYFUNCTION("""COMPUTED_VALUE"""),"https://drive.google.com/file/d/1zYN7Pc0D82N0POzOKwfvnmIvA0TEgYFu/view?usp=drivesdk")</f>
        <v>https://drive.google.com/file/d/1zYN7Pc0D82N0POzOKwfvnmIvA0TEgYFu/view?usp=drivesdk</v>
      </c>
      <c r="D2587" s="12"/>
      <c r="E2587" s="13">
        <v>2637.0</v>
      </c>
      <c r="F2587" s="2"/>
    </row>
    <row r="2588" ht="1.5" customHeight="1">
      <c r="A2588" s="4" t="str">
        <f>IFERROR(__xludf.DUMMYFUNCTION("""COMPUTED_VALUE"""),"41. Gregory, 45. Boots, 12. Faye")</f>
        <v>41. Gregory, 45. Boots, 12. Faye</v>
      </c>
      <c r="B2588" s="4" t="str">
        <f>IFERROR(__xludf.DUMMYFUNCTION("""COMPUTED_VALUE"""),"41, 45, 12")</f>
        <v>41, 45, 12</v>
      </c>
      <c r="C2588" s="5" t="str">
        <f>IFERROR(__xludf.DUMMYFUNCTION("""COMPUTED_VALUE"""),"https://drive.google.com/file/d/1-VMJzdNEE3b9Oazkp-w8Rruiyf6Um2pz/view?usp=drivesdk")</f>
        <v>https://drive.google.com/file/d/1-VMJzdNEE3b9Oazkp-w8Rruiyf6Um2pz/view?usp=drivesdk</v>
      </c>
      <c r="D2588" s="12"/>
      <c r="E2588" s="13">
        <v>2638.0</v>
      </c>
      <c r="F2588" s="2"/>
    </row>
    <row r="2589" ht="1.5" customHeight="1">
      <c r="A2589" s="4" t="str">
        <f>IFERROR(__xludf.DUMMYFUNCTION("""COMPUTED_VALUE"""),"41. Gregory, 45. Boots, 12. Faye")</f>
        <v>41. Gregory, 45. Boots, 12. Faye</v>
      </c>
      <c r="B2589" s="4" t="str">
        <f>IFERROR(__xludf.DUMMYFUNCTION("""COMPUTED_VALUE"""),"41, 45, 12")</f>
        <v>41, 45, 12</v>
      </c>
      <c r="C2589" s="5" t="str">
        <f>IFERROR(__xludf.DUMMYFUNCTION("""COMPUTED_VALUE"""),"https://drive.google.com/file/d/1fZE1ENzI9AMs3xWaA-Yk5nRMZaav14er/view?usp=drivesdk")</f>
        <v>https://drive.google.com/file/d/1fZE1ENzI9AMs3xWaA-Yk5nRMZaav14er/view?usp=drivesdk</v>
      </c>
      <c r="D2589" s="12"/>
      <c r="E2589" s="13">
        <v>2639.0</v>
      </c>
      <c r="F2589" s="2"/>
    </row>
    <row r="2590" ht="1.5" customHeight="1">
      <c r="A2590" s="4" t="str">
        <f>IFERROR(__xludf.DUMMYFUNCTION("""COMPUTED_VALUE"""),"58. Eden")</f>
        <v>58. Eden</v>
      </c>
      <c r="B2590" s="4" t="str">
        <f>IFERROR(__xludf.DUMMYFUNCTION("""COMPUTED_VALUE"""),"58")</f>
        <v>58</v>
      </c>
      <c r="C2590" s="5" t="str">
        <f>IFERROR(__xludf.DUMMYFUNCTION("""COMPUTED_VALUE"""),"https://drive.google.com/file/d/10ltaa6qDkdmlJ9AHrsSBlCJKppXNosHZ/view?usp=drivesdk")</f>
        <v>https://drive.google.com/file/d/10ltaa6qDkdmlJ9AHrsSBlCJKppXNosHZ/view?usp=drivesdk</v>
      </c>
      <c r="D2590" s="12"/>
      <c r="E2590" s="13">
        <v>2640.0</v>
      </c>
      <c r="F2590" s="2"/>
    </row>
    <row r="2591" ht="1.5" customHeight="1">
      <c r="A2591" s="4" t="str">
        <f>IFERROR(__xludf.DUMMYFUNCTION("""COMPUTED_VALUE"""),"58. Eden")</f>
        <v>58. Eden</v>
      </c>
      <c r="B2591" s="4" t="str">
        <f>IFERROR(__xludf.DUMMYFUNCTION("""COMPUTED_VALUE"""),"58")</f>
        <v>58</v>
      </c>
      <c r="C2591" s="5" t="str">
        <f>IFERROR(__xludf.DUMMYFUNCTION("""COMPUTED_VALUE"""),"https://drive.google.com/file/d/1PMnJRfmB8Aehzdp7G2WJ9HVat01qKMXk/view?usp=drivesdk")</f>
        <v>https://drive.google.com/file/d/1PMnJRfmB8Aehzdp7G2WJ9HVat01qKMXk/view?usp=drivesdk</v>
      </c>
      <c r="D2591" s="12"/>
      <c r="E2591" s="13">
        <v>2641.0</v>
      </c>
      <c r="F2591" s="2"/>
    </row>
    <row r="2592" ht="1.5" customHeight="1">
      <c r="A2592" s="4" t="str">
        <f>IFERROR(__xludf.DUMMYFUNCTION("""COMPUTED_VALUE"""),"58. Eden")</f>
        <v>58. Eden</v>
      </c>
      <c r="B2592" s="4" t="str">
        <f>IFERROR(__xludf.DUMMYFUNCTION("""COMPUTED_VALUE"""),"58")</f>
        <v>58</v>
      </c>
      <c r="C2592" s="5" t="str">
        <f>IFERROR(__xludf.DUMMYFUNCTION("""COMPUTED_VALUE"""),"https://drive.google.com/file/d/18gG3Zl2y5nvpwXapJDhW9f1hsXECkvtk/view?usp=drivesdk")</f>
        <v>https://drive.google.com/file/d/18gG3Zl2y5nvpwXapJDhW9f1hsXECkvtk/view?usp=drivesdk</v>
      </c>
      <c r="D2592" s="12"/>
      <c r="E2592" s="13">
        <v>2642.0</v>
      </c>
      <c r="F2592" s="2"/>
    </row>
    <row r="2593" ht="1.5" customHeight="1">
      <c r="A2593" s="4" t="str">
        <f>IFERROR(__xludf.DUMMYFUNCTION("""COMPUTED_VALUE"""),"58. Eden")</f>
        <v>58. Eden</v>
      </c>
      <c r="B2593" s="4" t="str">
        <f>IFERROR(__xludf.DUMMYFUNCTION("""COMPUTED_VALUE"""),"58")</f>
        <v>58</v>
      </c>
      <c r="C2593" s="5" t="str">
        <f>IFERROR(__xludf.DUMMYFUNCTION("""COMPUTED_VALUE"""),"https://drive.google.com/file/d/1VmLIR7MfxPm7SWQfNKONS6e3REo-qH9s/view?usp=drivesdk")</f>
        <v>https://drive.google.com/file/d/1VmLIR7MfxPm7SWQfNKONS6e3REo-qH9s/view?usp=drivesdk</v>
      </c>
      <c r="D2593" s="12"/>
      <c r="E2593" s="13">
        <v>2643.0</v>
      </c>
      <c r="F2593" s="2"/>
    </row>
    <row r="2594" ht="1.5" customHeight="1">
      <c r="A2594" s="4" t="str">
        <f>IFERROR(__xludf.DUMMYFUNCTION("""COMPUTED_VALUE"""),"45. Boots")</f>
        <v>45. Boots</v>
      </c>
      <c r="B2594" s="4" t="str">
        <f>IFERROR(__xludf.DUMMYFUNCTION("""COMPUTED_VALUE"""),"45")</f>
        <v>45</v>
      </c>
      <c r="C2594" s="5" t="str">
        <f>IFERROR(__xludf.DUMMYFUNCTION("""COMPUTED_VALUE"""),"https://drive.google.com/file/d/1E6arOU2swMOB6krWexSIlsGiXZWZdeim/view?usp=drivesdk")</f>
        <v>https://drive.google.com/file/d/1E6arOU2swMOB6krWexSIlsGiXZWZdeim/view?usp=drivesdk</v>
      </c>
      <c r="D2594" s="12"/>
      <c r="E2594" s="13">
        <v>2644.0</v>
      </c>
      <c r="F2594" s="2"/>
    </row>
    <row r="2595" ht="1.5" customHeight="1">
      <c r="A2595" s="4" t="str">
        <f>IFERROR(__xludf.DUMMYFUNCTION("""COMPUTED_VALUE"""),"45. Boots")</f>
        <v>45. Boots</v>
      </c>
      <c r="B2595" s="4" t="str">
        <f>IFERROR(__xludf.DUMMYFUNCTION("""COMPUTED_VALUE"""),"45")</f>
        <v>45</v>
      </c>
      <c r="C2595" s="5" t="str">
        <f>IFERROR(__xludf.DUMMYFUNCTION("""COMPUTED_VALUE"""),"https://drive.google.com/file/d/1ZTSKlb3tb-Pne6fHu_P6t7-PLJWq8gKM/view?usp=drivesdk")</f>
        <v>https://drive.google.com/file/d/1ZTSKlb3tb-Pne6fHu_P6t7-PLJWq8gKM/view?usp=drivesdk</v>
      </c>
      <c r="D2595" s="12"/>
      <c r="E2595" s="13">
        <v>2645.0</v>
      </c>
      <c r="F2595" s="2"/>
    </row>
    <row r="2596" ht="1.5" customHeight="1">
      <c r="A2596" s="4" t="str">
        <f>IFERROR(__xludf.DUMMYFUNCTION("""COMPUTED_VALUE"""),"45. Boots")</f>
        <v>45. Boots</v>
      </c>
      <c r="B2596" s="4" t="str">
        <f>IFERROR(__xludf.DUMMYFUNCTION("""COMPUTED_VALUE"""),"45")</f>
        <v>45</v>
      </c>
      <c r="C2596" s="5" t="str">
        <f>IFERROR(__xludf.DUMMYFUNCTION("""COMPUTED_VALUE"""),"https://drive.google.com/file/d/1wpVwgGDEfXtpMQrOw0E2KWwHTBHJNBqi/view?usp=drivesdk")</f>
        <v>https://drive.google.com/file/d/1wpVwgGDEfXtpMQrOw0E2KWwHTBHJNBqi/view?usp=drivesdk</v>
      </c>
      <c r="D2596" s="12"/>
      <c r="E2596" s="13">
        <v>2646.0</v>
      </c>
      <c r="F2596" s="2"/>
    </row>
    <row r="2597" ht="1.5" customHeight="1">
      <c r="A2597" s="4" t="str">
        <f>IFERROR(__xludf.DUMMYFUNCTION("""COMPUTED_VALUE"""),"45. Boots")</f>
        <v>45. Boots</v>
      </c>
      <c r="B2597" s="4" t="str">
        <f>IFERROR(__xludf.DUMMYFUNCTION("""COMPUTED_VALUE"""),"45")</f>
        <v>45</v>
      </c>
      <c r="C2597" s="5" t="str">
        <f>IFERROR(__xludf.DUMMYFUNCTION("""COMPUTED_VALUE"""),"https://drive.google.com/file/d/1126L63NdPRGM9F7n96F69_YnAHApCme4/view?usp=drivesdk")</f>
        <v>https://drive.google.com/file/d/1126L63NdPRGM9F7n96F69_YnAHApCme4/view?usp=drivesdk</v>
      </c>
      <c r="D2597" s="12"/>
      <c r="E2597" s="13">
        <v>2647.0</v>
      </c>
      <c r="F2597" s="2"/>
    </row>
    <row r="2598" ht="1.5" customHeight="1">
      <c r="A2598" s="4" t="str">
        <f>IFERROR(__xludf.DUMMYFUNCTION("""COMPUTED_VALUE"""),"45. Boots")</f>
        <v>45. Boots</v>
      </c>
      <c r="B2598" s="4" t="str">
        <f>IFERROR(__xludf.DUMMYFUNCTION("""COMPUTED_VALUE"""),"45")</f>
        <v>45</v>
      </c>
      <c r="C2598" s="5" t="str">
        <f>IFERROR(__xludf.DUMMYFUNCTION("""COMPUTED_VALUE"""),"https://drive.google.com/file/d/1ncMh-7Xijr3RzRkRRtcSuhCKSn5cPEo0/view?usp=drivesdk")</f>
        <v>https://drive.google.com/file/d/1ncMh-7Xijr3RzRkRRtcSuhCKSn5cPEo0/view?usp=drivesdk</v>
      </c>
      <c r="D2598" s="12"/>
      <c r="E2598" s="13">
        <v>2648.0</v>
      </c>
      <c r="F2598" s="2"/>
    </row>
    <row r="2599" ht="1.5" customHeight="1">
      <c r="A2599" s="4" t="str">
        <f>IFERROR(__xludf.DUMMYFUNCTION("""COMPUTED_VALUE"""),"45. Boots")</f>
        <v>45. Boots</v>
      </c>
      <c r="B2599" s="4" t="str">
        <f>IFERROR(__xludf.DUMMYFUNCTION("""COMPUTED_VALUE"""),"45")</f>
        <v>45</v>
      </c>
      <c r="C2599" s="5" t="str">
        <f>IFERROR(__xludf.DUMMYFUNCTION("""COMPUTED_VALUE"""),"https://drive.google.com/file/d/1L51ZaYdwRoj3B_leZwXx3kIDA_SXxNRe/view?usp=drivesdk")</f>
        <v>https://drive.google.com/file/d/1L51ZaYdwRoj3B_leZwXx3kIDA_SXxNRe/view?usp=drivesdk</v>
      </c>
      <c r="D2599" s="12"/>
      <c r="E2599" s="13">
        <v>2649.0</v>
      </c>
      <c r="F2599" s="2"/>
    </row>
    <row r="2600" ht="1.5" customHeight="1">
      <c r="A2600" s="4" t="str">
        <f>IFERROR(__xludf.DUMMYFUNCTION("""COMPUTED_VALUE"""),"45. Boots")</f>
        <v>45. Boots</v>
      </c>
      <c r="B2600" s="4" t="str">
        <f>IFERROR(__xludf.DUMMYFUNCTION("""COMPUTED_VALUE"""),"45")</f>
        <v>45</v>
      </c>
      <c r="C2600" s="5" t="str">
        <f>IFERROR(__xludf.DUMMYFUNCTION("""COMPUTED_VALUE"""),"https://drive.google.com/file/d/1a1xbvTRa6FbttlSSued_i6Smdqx88XnX/view?usp=drivesdk")</f>
        <v>https://drive.google.com/file/d/1a1xbvTRa6FbttlSSued_i6Smdqx88XnX/view?usp=drivesdk</v>
      </c>
      <c r="D2600" s="12"/>
      <c r="E2600" s="13">
        <v>2650.0</v>
      </c>
      <c r="F2600" s="2"/>
    </row>
    <row r="2601" ht="1.5" customHeight="1">
      <c r="A2601" s="4" t="str">
        <f>IFERROR(__xludf.DUMMYFUNCTION("""COMPUTED_VALUE"""),"45. Boots")</f>
        <v>45. Boots</v>
      </c>
      <c r="B2601" s="4" t="str">
        <f>IFERROR(__xludf.DUMMYFUNCTION("""COMPUTED_VALUE"""),"45")</f>
        <v>45</v>
      </c>
      <c r="C2601" s="5" t="str">
        <f>IFERROR(__xludf.DUMMYFUNCTION("""COMPUTED_VALUE"""),"https://drive.google.com/file/d/1p_IQftJfreIH7mZVI2I_ppx3U-PZpZ39/view?usp=drivesdk")</f>
        <v>https://drive.google.com/file/d/1p_IQftJfreIH7mZVI2I_ppx3U-PZpZ39/view?usp=drivesdk</v>
      </c>
      <c r="D2601" s="12"/>
      <c r="E2601" s="13">
        <v>2651.0</v>
      </c>
      <c r="F2601" s="2"/>
    </row>
    <row r="2602" ht="1.5" customHeight="1">
      <c r="A2602" s="4" t="str">
        <f>IFERROR(__xludf.DUMMYFUNCTION("""COMPUTED_VALUE"""),"45. Boots")</f>
        <v>45. Boots</v>
      </c>
      <c r="B2602" s="4" t="str">
        <f>IFERROR(__xludf.DUMMYFUNCTION("""COMPUTED_VALUE"""),"45")</f>
        <v>45</v>
      </c>
      <c r="C2602" s="5" t="str">
        <f>IFERROR(__xludf.DUMMYFUNCTION("""COMPUTED_VALUE"""),"https://drive.google.com/file/d/1eC-AkqiQf3rmSc4mGcL76YcOOo_PtpyG/view?usp=drivesdk")</f>
        <v>https://drive.google.com/file/d/1eC-AkqiQf3rmSc4mGcL76YcOOo_PtpyG/view?usp=drivesdk</v>
      </c>
      <c r="D2602" s="12"/>
      <c r="E2602" s="13">
        <v>2652.0</v>
      </c>
      <c r="F2602" s="2"/>
    </row>
    <row r="2603" ht="1.5" customHeight="1">
      <c r="A2603" s="4" t="str">
        <f>IFERROR(__xludf.DUMMYFUNCTION("""COMPUTED_VALUE"""),"12. Faye")</f>
        <v>12. Faye</v>
      </c>
      <c r="B2603" s="4" t="str">
        <f>IFERROR(__xludf.DUMMYFUNCTION("""COMPUTED_VALUE"""),"12")</f>
        <v>12</v>
      </c>
      <c r="C2603" s="5" t="str">
        <f>IFERROR(__xludf.DUMMYFUNCTION("""COMPUTED_VALUE"""),"https://drive.google.com/file/d/1jF1CgYrY08GwnNa-HDfbu-EWunpqT87E/view?usp=drivesdk")</f>
        <v>https://drive.google.com/file/d/1jF1CgYrY08GwnNa-HDfbu-EWunpqT87E/view?usp=drivesdk</v>
      </c>
      <c r="D2603" s="12"/>
      <c r="E2603" s="13">
        <v>2653.0</v>
      </c>
      <c r="F2603" s="2"/>
    </row>
    <row r="2604" ht="1.5" customHeight="1">
      <c r="A2604" s="4" t="str">
        <f>IFERROR(__xludf.DUMMYFUNCTION("""COMPUTED_VALUE"""),"12. Faye")</f>
        <v>12. Faye</v>
      </c>
      <c r="B2604" s="4" t="str">
        <f>IFERROR(__xludf.DUMMYFUNCTION("""COMPUTED_VALUE"""),"12")</f>
        <v>12</v>
      </c>
      <c r="C2604" s="5" t="str">
        <f>IFERROR(__xludf.DUMMYFUNCTION("""COMPUTED_VALUE"""),"https://drive.google.com/file/d/1g7go_d2zGS_haWORqNN3jAoIW8glW-ql/view?usp=drivesdk")</f>
        <v>https://drive.google.com/file/d/1g7go_d2zGS_haWORqNN3jAoIW8glW-ql/view?usp=drivesdk</v>
      </c>
      <c r="D2604" s="12"/>
      <c r="E2604" s="13">
        <v>2654.0</v>
      </c>
      <c r="F2604" s="2"/>
    </row>
    <row r="2605" ht="1.5" customHeight="1">
      <c r="A2605" s="4" t="str">
        <f>IFERROR(__xludf.DUMMYFUNCTION("""COMPUTED_VALUE"""),"12. Faye")</f>
        <v>12. Faye</v>
      </c>
      <c r="B2605" s="4" t="str">
        <f>IFERROR(__xludf.DUMMYFUNCTION("""COMPUTED_VALUE"""),"12")</f>
        <v>12</v>
      </c>
      <c r="C2605" s="5" t="str">
        <f>IFERROR(__xludf.DUMMYFUNCTION("""COMPUTED_VALUE"""),"https://drive.google.com/file/d/1huIPyGlinwGh05LrVsHEvOdL3pQLZCHG/view?usp=drivesdk")</f>
        <v>https://drive.google.com/file/d/1huIPyGlinwGh05LrVsHEvOdL3pQLZCHG/view?usp=drivesdk</v>
      </c>
      <c r="D2605" s="12"/>
      <c r="E2605" s="13">
        <v>2655.0</v>
      </c>
      <c r="F2605" s="2"/>
    </row>
    <row r="2606" ht="1.5" customHeight="1">
      <c r="A2606" s="4" t="str">
        <f>IFERROR(__xludf.DUMMYFUNCTION("""COMPUTED_VALUE"""),"12. Faye, 41. Gregory")</f>
        <v>12. Faye, 41. Gregory</v>
      </c>
      <c r="B2606" s="4" t="str">
        <f>IFERROR(__xludf.DUMMYFUNCTION("""COMPUTED_VALUE"""),"12, 41")</f>
        <v>12, 41</v>
      </c>
      <c r="C2606" s="5" t="str">
        <f>IFERROR(__xludf.DUMMYFUNCTION("""COMPUTED_VALUE"""),"https://drive.google.com/file/d/1UZTUHxvsUIAuLRBntma6Mn84b7HGXHzV/view?usp=drivesdk")</f>
        <v>https://drive.google.com/file/d/1UZTUHxvsUIAuLRBntma6Mn84b7HGXHzV/view?usp=drivesdk</v>
      </c>
      <c r="D2606" s="12"/>
      <c r="E2606" s="13">
        <v>2656.0</v>
      </c>
      <c r="F2606" s="2"/>
    </row>
    <row r="2607" ht="1.5" customHeight="1">
      <c r="A2607" s="4" t="str">
        <f>IFERROR(__xludf.DUMMYFUNCTION("""COMPUTED_VALUE"""),"86. Honda")</f>
        <v>86. Honda</v>
      </c>
      <c r="B2607" s="4" t="str">
        <f>IFERROR(__xludf.DUMMYFUNCTION("""COMPUTED_VALUE"""),"86")</f>
        <v>86</v>
      </c>
      <c r="C2607" s="5" t="str">
        <f>IFERROR(__xludf.DUMMYFUNCTION("""COMPUTED_VALUE"""),"https://drive.google.com/file/d/1tZumkO0texpm-VZY3OrVahSG9qNC2EzD/view?usp=drivesdk")</f>
        <v>https://drive.google.com/file/d/1tZumkO0texpm-VZY3OrVahSG9qNC2EzD/view?usp=drivesdk</v>
      </c>
      <c r="D2607" s="12"/>
      <c r="E2607" s="13">
        <v>2657.0</v>
      </c>
      <c r="F2607" s="2"/>
    </row>
    <row r="2608" ht="1.5" customHeight="1">
      <c r="A2608" s="4" t="str">
        <f>IFERROR(__xludf.DUMMYFUNCTION("""COMPUTED_VALUE"""),"86. Honda")</f>
        <v>86. Honda</v>
      </c>
      <c r="B2608" s="4" t="str">
        <f>IFERROR(__xludf.DUMMYFUNCTION("""COMPUTED_VALUE"""),"86")</f>
        <v>86</v>
      </c>
      <c r="C2608" s="5" t="str">
        <f>IFERROR(__xludf.DUMMYFUNCTION("""COMPUTED_VALUE"""),"https://drive.google.com/file/d/1c7bX12Hq3K5Utc-OzctW7ayGIbkS3I1S/view?usp=drivesdk")</f>
        <v>https://drive.google.com/file/d/1c7bX12Hq3K5Utc-OzctW7ayGIbkS3I1S/view?usp=drivesdk</v>
      </c>
      <c r="D2608" s="12"/>
      <c r="E2608" s="13">
        <v>2658.0</v>
      </c>
      <c r="F2608" s="2"/>
    </row>
    <row r="2609" ht="1.5" customHeight="1">
      <c r="A2609" s="4" t="str">
        <f>IFERROR(__xludf.DUMMYFUNCTION("""COMPUTED_VALUE"""),"86. Honda")</f>
        <v>86. Honda</v>
      </c>
      <c r="B2609" s="4" t="str">
        <f>IFERROR(__xludf.DUMMYFUNCTION("""COMPUTED_VALUE"""),"86")</f>
        <v>86</v>
      </c>
      <c r="C2609" s="5" t="str">
        <f>IFERROR(__xludf.DUMMYFUNCTION("""COMPUTED_VALUE"""),"https://drive.google.com/file/d/1jRryKc7PqBdvh4GNHyyslTQThvTjwjUS/view?usp=drivesdk")</f>
        <v>https://drive.google.com/file/d/1jRryKc7PqBdvh4GNHyyslTQThvTjwjUS/view?usp=drivesdk</v>
      </c>
      <c r="D2609" s="12"/>
      <c r="E2609" s="13">
        <v>2659.0</v>
      </c>
      <c r="F2609" s="2"/>
    </row>
    <row r="2610" ht="1.5" customHeight="1">
      <c r="A2610" s="4" t="str">
        <f>IFERROR(__xludf.DUMMYFUNCTION("""COMPUTED_VALUE"""),"86. Honda")</f>
        <v>86. Honda</v>
      </c>
      <c r="B2610" s="4" t="str">
        <f>IFERROR(__xludf.DUMMYFUNCTION("""COMPUTED_VALUE"""),"86")</f>
        <v>86</v>
      </c>
      <c r="C2610" s="5" t="str">
        <f>IFERROR(__xludf.DUMMYFUNCTION("""COMPUTED_VALUE"""),"https://drive.google.com/file/d/12seBVXcBhgT01WO45AOWzHYwff5x8FrW/view?usp=drivesdk")</f>
        <v>https://drive.google.com/file/d/12seBVXcBhgT01WO45AOWzHYwff5x8FrW/view?usp=drivesdk</v>
      </c>
      <c r="D2610" s="12"/>
      <c r="E2610" s="13">
        <v>2660.0</v>
      </c>
      <c r="F2610" s="2"/>
    </row>
    <row r="2611" ht="1.5" customHeight="1">
      <c r="A2611" s="4" t="str">
        <f>IFERROR(__xludf.DUMMYFUNCTION("""COMPUTED_VALUE"""),"47. Nefarious")</f>
        <v>47. Nefarious</v>
      </c>
      <c r="B2611" s="4" t="str">
        <f>IFERROR(__xludf.DUMMYFUNCTION("""COMPUTED_VALUE"""),"47")</f>
        <v>47</v>
      </c>
      <c r="C2611" s="5" t="str">
        <f>IFERROR(__xludf.DUMMYFUNCTION("""COMPUTED_VALUE"""),"https://drive.google.com/file/d/1UjkvoF6T_mnAH-wISOa0hw1B6rmF-eCb/view?usp=drivesdk")</f>
        <v>https://drive.google.com/file/d/1UjkvoF6T_mnAH-wISOa0hw1B6rmF-eCb/view?usp=drivesdk</v>
      </c>
      <c r="D2611" s="12"/>
      <c r="E2611" s="13">
        <v>2659.0</v>
      </c>
      <c r="F2611" s="2"/>
    </row>
    <row r="2612" ht="1.5" customHeight="1">
      <c r="A2612" s="4" t="str">
        <f>IFERROR(__xludf.DUMMYFUNCTION("""COMPUTED_VALUE"""),"47. Nefarious")</f>
        <v>47. Nefarious</v>
      </c>
      <c r="B2612" s="4" t="str">
        <f>IFERROR(__xludf.DUMMYFUNCTION("""COMPUTED_VALUE"""),"47")</f>
        <v>47</v>
      </c>
      <c r="C2612" s="5" t="str">
        <f>IFERROR(__xludf.DUMMYFUNCTION("""COMPUTED_VALUE"""),"https://drive.google.com/file/d/1bokqAh_4p_X9WHuwbPTLVrmdDtm5NWKt/view?usp=drivesdk")</f>
        <v>https://drive.google.com/file/d/1bokqAh_4p_X9WHuwbPTLVrmdDtm5NWKt/view?usp=drivesdk</v>
      </c>
      <c r="D2612" s="12"/>
      <c r="E2612" s="13">
        <v>2660.0</v>
      </c>
      <c r="F2612" s="2"/>
    </row>
    <row r="2613" ht="1.5" customHeight="1">
      <c r="A2613" s="4" t="str">
        <f>IFERROR(__xludf.DUMMYFUNCTION("""COMPUTED_VALUE"""),"47. Nefarious")</f>
        <v>47. Nefarious</v>
      </c>
      <c r="B2613" s="4" t="str">
        <f>IFERROR(__xludf.DUMMYFUNCTION("""COMPUTED_VALUE"""),"47")</f>
        <v>47</v>
      </c>
      <c r="C2613" s="5" t="str">
        <f>IFERROR(__xludf.DUMMYFUNCTION("""COMPUTED_VALUE"""),"https://drive.google.com/file/d/1TgsrZNvZn2I2gFtGeicDVv0oMAN-fBIp/view?usp=drivesdk")</f>
        <v>https://drive.google.com/file/d/1TgsrZNvZn2I2gFtGeicDVv0oMAN-fBIp/view?usp=drivesdk</v>
      </c>
      <c r="D2613" s="12"/>
      <c r="E2613" s="13">
        <v>2661.0</v>
      </c>
      <c r="F2613" s="2"/>
    </row>
    <row r="2614" ht="1.5" customHeight="1">
      <c r="A2614" s="4" t="str">
        <f>IFERROR(__xludf.DUMMYFUNCTION("""COMPUTED_VALUE"""),"47. Nefarious")</f>
        <v>47. Nefarious</v>
      </c>
      <c r="B2614" s="4" t="str">
        <f>IFERROR(__xludf.DUMMYFUNCTION("""COMPUTED_VALUE"""),"47")</f>
        <v>47</v>
      </c>
      <c r="C2614" s="5" t="str">
        <f>IFERROR(__xludf.DUMMYFUNCTION("""COMPUTED_VALUE"""),"https://drive.google.com/file/d/1vigFYN7Km2853dupBNEeMeLFF2_K21ES/view?usp=drivesdk")</f>
        <v>https://drive.google.com/file/d/1vigFYN7Km2853dupBNEeMeLFF2_K21ES/view?usp=drivesdk</v>
      </c>
      <c r="D2614" s="12"/>
      <c r="E2614" s="13">
        <v>2662.0</v>
      </c>
      <c r="F2614" s="2"/>
    </row>
    <row r="2615" ht="1.5" customHeight="1">
      <c r="A2615" s="4" t="str">
        <f>IFERROR(__xludf.DUMMYFUNCTION("""COMPUTED_VALUE"""),"43. Bruno")</f>
        <v>43. Bruno</v>
      </c>
      <c r="B2615" s="4" t="str">
        <f>IFERROR(__xludf.DUMMYFUNCTION("""COMPUTED_VALUE"""),"43")</f>
        <v>43</v>
      </c>
      <c r="C2615" s="5" t="str">
        <f>IFERROR(__xludf.DUMMYFUNCTION("""COMPUTED_VALUE"""),"https://drive.google.com/file/d/1YD-zym7EfboIih2xLlHSiQcPSw9bko7F/view?usp=drivesdk")</f>
        <v>https://drive.google.com/file/d/1YD-zym7EfboIih2xLlHSiQcPSw9bko7F/view?usp=drivesdk</v>
      </c>
      <c r="D2615" s="12"/>
      <c r="E2615" s="13">
        <v>2663.0</v>
      </c>
      <c r="F2615" s="2"/>
    </row>
    <row r="2616" ht="1.5" customHeight="1">
      <c r="A2616" s="4" t="str">
        <f>IFERROR(__xludf.DUMMYFUNCTION("""COMPUTED_VALUE"""),"43. Bruno")</f>
        <v>43. Bruno</v>
      </c>
      <c r="B2616" s="4" t="str">
        <f>IFERROR(__xludf.DUMMYFUNCTION("""COMPUTED_VALUE"""),"43")</f>
        <v>43</v>
      </c>
      <c r="C2616" s="5" t="str">
        <f>IFERROR(__xludf.DUMMYFUNCTION("""COMPUTED_VALUE"""),"https://drive.google.com/file/d/1jaL1azdzpEYHVPG9CwPW4nYXYx9okdft/view?usp=drivesdk")</f>
        <v>https://drive.google.com/file/d/1jaL1azdzpEYHVPG9CwPW4nYXYx9okdft/view?usp=drivesdk</v>
      </c>
      <c r="D2616" s="12"/>
      <c r="E2616" s="13">
        <v>2664.0</v>
      </c>
      <c r="F2616" s="2"/>
    </row>
    <row r="2617" ht="1.5" customHeight="1">
      <c r="A2617" s="4" t="str">
        <f>IFERROR(__xludf.DUMMYFUNCTION("""COMPUTED_VALUE"""),"43. Bruno")</f>
        <v>43. Bruno</v>
      </c>
      <c r="B2617" s="4" t="str">
        <f>IFERROR(__xludf.DUMMYFUNCTION("""COMPUTED_VALUE"""),"43")</f>
        <v>43</v>
      </c>
      <c r="C2617" s="5" t="str">
        <f>IFERROR(__xludf.DUMMYFUNCTION("""COMPUTED_VALUE"""),"https://drive.google.com/file/d/1nhb1FkO1d5I1zAjWjhR9DNHWW60DMpeX/view?usp=drivesdk")</f>
        <v>https://drive.google.com/file/d/1nhb1FkO1d5I1zAjWjhR9DNHWW60DMpeX/view?usp=drivesdk</v>
      </c>
      <c r="D2617" s="12"/>
      <c r="E2617" s="13">
        <v>2664.0</v>
      </c>
      <c r="F2617" s="2"/>
    </row>
    <row r="2618" ht="1.5" customHeight="1">
      <c r="A2618" s="4" t="str">
        <f>IFERROR(__xludf.DUMMYFUNCTION("""COMPUTED_VALUE"""),"43. Bruno")</f>
        <v>43. Bruno</v>
      </c>
      <c r="B2618" s="4" t="str">
        <f>IFERROR(__xludf.DUMMYFUNCTION("""COMPUTED_VALUE"""),"43")</f>
        <v>43</v>
      </c>
      <c r="C2618" s="5" t="str">
        <f>IFERROR(__xludf.DUMMYFUNCTION("""COMPUTED_VALUE"""),"https://drive.google.com/file/d/1NUCPwi2q8ilViUgN--oL4cxmak4xD9Ki/view?usp=drivesdk")</f>
        <v>https://drive.google.com/file/d/1NUCPwi2q8ilViUgN--oL4cxmak4xD9Ki/view?usp=drivesdk</v>
      </c>
      <c r="D2618" s="12"/>
      <c r="E2618" s="13">
        <v>2665.0</v>
      </c>
      <c r="F2618" s="2"/>
    </row>
    <row r="2619" ht="1.5" customHeight="1">
      <c r="A2619" s="4" t="str">
        <f>IFERROR(__xludf.DUMMYFUNCTION("""COMPUTED_VALUE"""),"43. Bruno")</f>
        <v>43. Bruno</v>
      </c>
      <c r="B2619" s="4" t="str">
        <f>IFERROR(__xludf.DUMMYFUNCTION("""COMPUTED_VALUE"""),"43")</f>
        <v>43</v>
      </c>
      <c r="C2619" s="5" t="str">
        <f>IFERROR(__xludf.DUMMYFUNCTION("""COMPUTED_VALUE"""),"https://drive.google.com/file/d/1YvOZkugZ7kjpkiO20jbMHIIhkJHvKwfJ/view?usp=drivesdk")</f>
        <v>https://drive.google.com/file/d/1YvOZkugZ7kjpkiO20jbMHIIhkJHvKwfJ/view?usp=drivesdk</v>
      </c>
      <c r="D2619" s="12"/>
      <c r="E2619" s="13">
        <v>2666.0</v>
      </c>
      <c r="F2619" s="2"/>
    </row>
    <row r="2620" ht="1.5" customHeight="1">
      <c r="A2620" s="4" t="str">
        <f>IFERROR(__xludf.DUMMYFUNCTION("""COMPUTED_VALUE"""),"43. Bruno")</f>
        <v>43. Bruno</v>
      </c>
      <c r="B2620" s="4" t="str">
        <f>IFERROR(__xludf.DUMMYFUNCTION("""COMPUTED_VALUE"""),"43")</f>
        <v>43</v>
      </c>
      <c r="C2620" s="5" t="str">
        <f>IFERROR(__xludf.DUMMYFUNCTION("""COMPUTED_VALUE"""),"https://drive.google.com/file/d/1iLY2yKJVAlrKPKUZV7NxuS_oNeLeKv2P/view?usp=drivesdk")</f>
        <v>https://drive.google.com/file/d/1iLY2yKJVAlrKPKUZV7NxuS_oNeLeKv2P/view?usp=drivesdk</v>
      </c>
      <c r="D2620" s="12"/>
      <c r="E2620" s="13">
        <v>2667.0</v>
      </c>
      <c r="F2620" s="2"/>
    </row>
    <row r="2621" ht="1.5" customHeight="1">
      <c r="A2621" s="4" t="str">
        <f>IFERROR(__xludf.DUMMYFUNCTION("""COMPUTED_VALUE"""),"43. Bruno")</f>
        <v>43. Bruno</v>
      </c>
      <c r="B2621" s="4" t="str">
        <f>IFERROR(__xludf.DUMMYFUNCTION("""COMPUTED_VALUE"""),"43")</f>
        <v>43</v>
      </c>
      <c r="C2621" s="5" t="str">
        <f>IFERROR(__xludf.DUMMYFUNCTION("""COMPUTED_VALUE"""),"https://drive.google.com/file/d/1rw8rVk5QA-J0LC6ozO5hQl8n7x6OyVNI/view?usp=drivesdk")</f>
        <v>https://drive.google.com/file/d/1rw8rVk5QA-J0LC6ozO5hQl8n7x6OyVNI/view?usp=drivesdk</v>
      </c>
      <c r="D2621" s="12"/>
      <c r="E2621" s="13">
        <v>2668.0</v>
      </c>
      <c r="F2621" s="2"/>
    </row>
    <row r="2622" ht="1.5" customHeight="1">
      <c r="A2622" s="4" t="str">
        <f>IFERROR(__xludf.DUMMYFUNCTION("""COMPUTED_VALUE"""),"43. Bruno")</f>
        <v>43. Bruno</v>
      </c>
      <c r="B2622" s="4" t="str">
        <f>IFERROR(__xludf.DUMMYFUNCTION("""COMPUTED_VALUE"""),"43")</f>
        <v>43</v>
      </c>
      <c r="C2622" s="5" t="str">
        <f>IFERROR(__xludf.DUMMYFUNCTION("""COMPUTED_VALUE"""),"https://drive.google.com/file/d/1rfHjS2nfN2X8BHZbUpitZh8OrAoTUeBA/view?usp=drivesdk")</f>
        <v>https://drive.google.com/file/d/1rfHjS2nfN2X8BHZbUpitZh8OrAoTUeBA/view?usp=drivesdk</v>
      </c>
      <c r="D2622" s="12"/>
      <c r="E2622" s="13">
        <v>2669.0</v>
      </c>
      <c r="F2622" s="2"/>
    </row>
    <row r="2623" ht="1.5" customHeight="1">
      <c r="A2623" s="4" t="str">
        <f>IFERROR(__xludf.DUMMYFUNCTION("""COMPUTED_VALUE"""),"43. Bruno")</f>
        <v>43. Bruno</v>
      </c>
      <c r="B2623" s="4" t="str">
        <f>IFERROR(__xludf.DUMMYFUNCTION("""COMPUTED_VALUE"""),"43")</f>
        <v>43</v>
      </c>
      <c r="C2623" s="5" t="str">
        <f>IFERROR(__xludf.DUMMYFUNCTION("""COMPUTED_VALUE"""),"https://drive.google.com/file/d/17-huqtmHG9CV_GLng_pHfnAqTTxGSm9v/view?usp=drivesdk")</f>
        <v>https://drive.google.com/file/d/17-huqtmHG9CV_GLng_pHfnAqTTxGSm9v/view?usp=drivesdk</v>
      </c>
      <c r="D2623" s="12"/>
      <c r="E2623" s="13">
        <v>2670.0</v>
      </c>
      <c r="F2623" s="2"/>
    </row>
    <row r="2624" ht="1.5" customHeight="1">
      <c r="A2624" s="4" t="str">
        <f>IFERROR(__xludf.DUMMYFUNCTION("""COMPUTED_VALUE"""),"43. Bruno")</f>
        <v>43. Bruno</v>
      </c>
      <c r="B2624" s="4" t="str">
        <f>IFERROR(__xludf.DUMMYFUNCTION("""COMPUTED_VALUE"""),"43")</f>
        <v>43</v>
      </c>
      <c r="C2624" s="5" t="str">
        <f>IFERROR(__xludf.DUMMYFUNCTION("""COMPUTED_VALUE"""),"https://drive.google.com/file/d/1rEWTbdfqxT9Dz2it7s1bcCA3inTI5Uet/view?usp=drivesdk")</f>
        <v>https://drive.google.com/file/d/1rEWTbdfqxT9Dz2it7s1bcCA3inTI5Uet/view?usp=drivesdk</v>
      </c>
      <c r="D2624" s="12"/>
      <c r="E2624" s="13">
        <v>2670.0</v>
      </c>
      <c r="F2624" s="2"/>
    </row>
    <row r="2625" ht="1.5" customHeight="1">
      <c r="A2625" s="4" t="str">
        <f>IFERROR(__xludf.DUMMYFUNCTION("""COMPUTED_VALUE"""),"43. Bruno")</f>
        <v>43. Bruno</v>
      </c>
      <c r="B2625" s="4" t="str">
        <f>IFERROR(__xludf.DUMMYFUNCTION("""COMPUTED_VALUE"""),"43")</f>
        <v>43</v>
      </c>
      <c r="C2625" s="5" t="str">
        <f>IFERROR(__xludf.DUMMYFUNCTION("""COMPUTED_VALUE"""),"https://drive.google.com/file/d/1JOXlcDz0rtntq0LyO2SoG1hoWrzFcGMc/view?usp=drivesdk")</f>
        <v>https://drive.google.com/file/d/1JOXlcDz0rtntq0LyO2SoG1hoWrzFcGMc/view?usp=drivesdk</v>
      </c>
      <c r="D2625" s="12"/>
      <c r="E2625" s="13">
        <v>2670.0</v>
      </c>
      <c r="F2625" s="2"/>
    </row>
    <row r="2626" ht="1.5" customHeight="1">
      <c r="A2626" s="4" t="str">
        <f>IFERROR(__xludf.DUMMYFUNCTION("""COMPUTED_VALUE"""),"43. Bruno")</f>
        <v>43. Bruno</v>
      </c>
      <c r="B2626" s="4" t="str">
        <f>IFERROR(__xludf.DUMMYFUNCTION("""COMPUTED_VALUE"""),"43")</f>
        <v>43</v>
      </c>
      <c r="C2626" s="5" t="str">
        <f>IFERROR(__xludf.DUMMYFUNCTION("""COMPUTED_VALUE"""),"https://drive.google.com/file/d/1wMD8xicCDRBYy7jz51-zi_fkvqoa20pl/view?usp=drivesdk")</f>
        <v>https://drive.google.com/file/d/1wMD8xicCDRBYy7jz51-zi_fkvqoa20pl/view?usp=drivesdk</v>
      </c>
      <c r="D2626" s="12"/>
      <c r="E2626" s="13">
        <v>2671.0</v>
      </c>
      <c r="F2626" s="2"/>
    </row>
    <row r="2627" ht="1.5" customHeight="1">
      <c r="A2627" s="4" t="str">
        <f>IFERROR(__xludf.DUMMYFUNCTION("""COMPUTED_VALUE"""),"43. Bruno")</f>
        <v>43. Bruno</v>
      </c>
      <c r="B2627" s="4" t="str">
        <f>IFERROR(__xludf.DUMMYFUNCTION("""COMPUTED_VALUE"""),"43")</f>
        <v>43</v>
      </c>
      <c r="C2627" s="5" t="str">
        <f>IFERROR(__xludf.DUMMYFUNCTION("""COMPUTED_VALUE"""),"https://drive.google.com/file/d/1C0xozftwehwH9RRf3t5ogizjqLOm9OQZ/view?usp=drivesdk")</f>
        <v>https://drive.google.com/file/d/1C0xozftwehwH9RRf3t5ogizjqLOm9OQZ/view?usp=drivesdk</v>
      </c>
      <c r="D2627" s="12"/>
      <c r="E2627" s="13">
        <v>2672.0</v>
      </c>
      <c r="F2627" s="2"/>
    </row>
    <row r="2628" ht="1.5" customHeight="1">
      <c r="A2628" s="4" t="str">
        <f>IFERROR(__xludf.DUMMYFUNCTION("""COMPUTED_VALUE"""),"43. Bruno")</f>
        <v>43. Bruno</v>
      </c>
      <c r="B2628" s="4" t="str">
        <f>IFERROR(__xludf.DUMMYFUNCTION("""COMPUTED_VALUE"""),"43")</f>
        <v>43</v>
      </c>
      <c r="C2628" s="5" t="str">
        <f>IFERROR(__xludf.DUMMYFUNCTION("""COMPUTED_VALUE"""),"https://drive.google.com/file/d/11tu4Lf2CDMmKoouEtlmzHrCDxfVYhdgR/view?usp=drivesdk")</f>
        <v>https://drive.google.com/file/d/11tu4Lf2CDMmKoouEtlmzHrCDxfVYhdgR/view?usp=drivesdk</v>
      </c>
      <c r="D2628" s="12"/>
      <c r="E2628" s="13">
        <v>2673.0</v>
      </c>
      <c r="F2628" s="2"/>
    </row>
    <row r="2629" ht="1.5" customHeight="1">
      <c r="A2629" s="4" t="str">
        <f>IFERROR(__xludf.DUMMYFUNCTION("""COMPUTED_VALUE"""),"5. Eraser")</f>
        <v>5. Eraser</v>
      </c>
      <c r="B2629" s="4" t="str">
        <f>IFERROR(__xludf.DUMMYFUNCTION("""COMPUTED_VALUE"""),"5")</f>
        <v>5</v>
      </c>
      <c r="C2629" s="5" t="str">
        <f>IFERROR(__xludf.DUMMYFUNCTION("""COMPUTED_VALUE"""),"https://drive.google.com/file/d/17G8Mr9Moidf0LOCy77pHOo4NTSCiHiDW/view?usp=drivesdk")</f>
        <v>https://drive.google.com/file/d/17G8Mr9Moidf0LOCy77pHOo4NTSCiHiDW/view?usp=drivesdk</v>
      </c>
      <c r="D2629" s="12"/>
      <c r="E2629" s="13">
        <v>2674.0</v>
      </c>
      <c r="F2629" s="2"/>
    </row>
    <row r="2630" ht="1.5" customHeight="1">
      <c r="A2630" s="4" t="str">
        <f>IFERROR(__xludf.DUMMYFUNCTION("""COMPUTED_VALUE"""),"5. Eraser")</f>
        <v>5. Eraser</v>
      </c>
      <c r="B2630" s="4" t="str">
        <f>IFERROR(__xludf.DUMMYFUNCTION("""COMPUTED_VALUE"""),"5")</f>
        <v>5</v>
      </c>
      <c r="C2630" s="5" t="str">
        <f>IFERROR(__xludf.DUMMYFUNCTION("""COMPUTED_VALUE"""),"https://drive.google.com/file/d/1kMGu_ivTck2BOYclQtCROpUouEH7jXz2/view?usp=drivesdk")</f>
        <v>https://drive.google.com/file/d/1kMGu_ivTck2BOYclQtCROpUouEH7jXz2/view?usp=drivesdk</v>
      </c>
      <c r="D2630" s="12"/>
      <c r="E2630" s="13">
        <v>2676.0</v>
      </c>
      <c r="F2630" s="2"/>
    </row>
    <row r="2631" ht="1.5" customHeight="1">
      <c r="A2631" s="4" t="str">
        <f>IFERROR(__xludf.DUMMYFUNCTION("""COMPUTED_VALUE"""),"5. Eraser")</f>
        <v>5. Eraser</v>
      </c>
      <c r="B2631" s="4" t="str">
        <f>IFERROR(__xludf.DUMMYFUNCTION("""COMPUTED_VALUE"""),"5")</f>
        <v>5</v>
      </c>
      <c r="C2631" s="5" t="str">
        <f>IFERROR(__xludf.DUMMYFUNCTION("""COMPUTED_VALUE"""),"https://drive.google.com/file/d/1NdWBySq2BSOHnkCxXyyLqMBusdL5sD2P/view?usp=drivesdk")</f>
        <v>https://drive.google.com/file/d/1NdWBySq2BSOHnkCxXyyLqMBusdL5sD2P/view?usp=drivesdk</v>
      </c>
      <c r="D2631" s="12"/>
      <c r="E2631" s="11">
        <v>2675.0</v>
      </c>
      <c r="F2631" s="2"/>
    </row>
    <row r="2632" ht="1.5" customHeight="1">
      <c r="A2632" s="4" t="str">
        <f>IFERROR(__xludf.DUMMYFUNCTION("""COMPUTED_VALUE"""),"5. Eraser")</f>
        <v>5. Eraser</v>
      </c>
      <c r="B2632" s="4" t="str">
        <f>IFERROR(__xludf.DUMMYFUNCTION("""COMPUTED_VALUE"""),"5")</f>
        <v>5</v>
      </c>
      <c r="C2632" s="5" t="str">
        <f>IFERROR(__xludf.DUMMYFUNCTION("""COMPUTED_VALUE"""),"https://drive.google.com/file/d/1hYVyP1qq0FSiCxvLq31RIQSJpH4RmPbt/view?usp=drivesdk")</f>
        <v>https://drive.google.com/file/d/1hYVyP1qq0FSiCxvLq31RIQSJpH4RmPbt/view?usp=drivesdk</v>
      </c>
      <c r="D2632" s="12"/>
      <c r="E2632" s="11">
        <v>2675.0</v>
      </c>
      <c r="F2632" s="2"/>
    </row>
    <row r="2633" ht="1.5" customHeight="1">
      <c r="A2633" s="4" t="str">
        <f>IFERROR(__xludf.DUMMYFUNCTION("""COMPUTED_VALUE"""),"4. Eggs")</f>
        <v>4. Eggs</v>
      </c>
      <c r="B2633" s="4" t="str">
        <f>IFERROR(__xludf.DUMMYFUNCTION("""COMPUTED_VALUE"""),"4")</f>
        <v>4</v>
      </c>
      <c r="C2633" s="5" t="str">
        <f>IFERROR(__xludf.DUMMYFUNCTION("""COMPUTED_VALUE"""),"https://drive.google.com/file/d/1wuXhhwRAH22pMc7_iIWA_-0Mk1ZUt7Mi/view?usp=drivesdk")</f>
        <v>https://drive.google.com/file/d/1wuXhhwRAH22pMc7_iIWA_-0Mk1ZUt7Mi/view?usp=drivesdk</v>
      </c>
      <c r="D2633" s="12"/>
      <c r="E2633" s="11">
        <v>2676.0</v>
      </c>
      <c r="F2633" s="2"/>
    </row>
    <row r="2634" ht="1.5" customHeight="1">
      <c r="A2634" s="4" t="str">
        <f>IFERROR(__xludf.DUMMYFUNCTION("""COMPUTED_VALUE"""),"4. Eggs")</f>
        <v>4. Eggs</v>
      </c>
      <c r="B2634" s="4" t="str">
        <f>IFERROR(__xludf.DUMMYFUNCTION("""COMPUTED_VALUE"""),"4")</f>
        <v>4</v>
      </c>
      <c r="C2634" s="5" t="str">
        <f>IFERROR(__xludf.DUMMYFUNCTION("""COMPUTED_VALUE"""),"https://drive.google.com/file/d/1x_k6Ej9ROlOz8j23AtorzIiVhvsdZBf5/view?usp=drivesdk")</f>
        <v>https://drive.google.com/file/d/1x_k6Ej9ROlOz8j23AtorzIiVhvsdZBf5/view?usp=drivesdk</v>
      </c>
      <c r="D2634" s="12"/>
      <c r="E2634" s="11">
        <v>2677.0</v>
      </c>
      <c r="F2634" s="2"/>
    </row>
    <row r="2635" ht="1.5" customHeight="1">
      <c r="A2635" s="4" t="str">
        <f>IFERROR(__xludf.DUMMYFUNCTION("""COMPUTED_VALUE"""),"87. Bandit")</f>
        <v>87. Bandit</v>
      </c>
      <c r="B2635" s="4" t="str">
        <f>IFERROR(__xludf.DUMMYFUNCTION("""COMPUTED_VALUE"""),"87")</f>
        <v>87</v>
      </c>
      <c r="C2635" s="5" t="str">
        <f>IFERROR(__xludf.DUMMYFUNCTION("""COMPUTED_VALUE"""),"https://drive.google.com/file/d/1iHV5gIy_RLIeK_8PlhXIEIB-M87x-lyw/view?usp=drivesdk")</f>
        <v>https://drive.google.com/file/d/1iHV5gIy_RLIeK_8PlhXIEIB-M87x-lyw/view?usp=drivesdk</v>
      </c>
      <c r="D2635" s="12"/>
      <c r="E2635" s="11">
        <v>2678.0</v>
      </c>
      <c r="F2635" s="2"/>
    </row>
    <row r="2636" ht="1.5" customHeight="1">
      <c r="A2636" s="4" t="str">
        <f>IFERROR(__xludf.DUMMYFUNCTION("""COMPUTED_VALUE"""),"87. Bandit")</f>
        <v>87. Bandit</v>
      </c>
      <c r="B2636" s="4" t="str">
        <f>IFERROR(__xludf.DUMMYFUNCTION("""COMPUTED_VALUE"""),"87")</f>
        <v>87</v>
      </c>
      <c r="C2636" s="5" t="str">
        <f>IFERROR(__xludf.DUMMYFUNCTION("""COMPUTED_VALUE"""),"https://drive.google.com/file/d/1PtKTSiBWKuFPoqxJI7mAiilMffsRCsm5/view?usp=drivesdk")</f>
        <v>https://drive.google.com/file/d/1PtKTSiBWKuFPoqxJI7mAiilMffsRCsm5/view?usp=drivesdk</v>
      </c>
      <c r="D2636" s="12"/>
      <c r="E2636" s="11">
        <v>2678.0</v>
      </c>
      <c r="F2636" s="2"/>
    </row>
    <row r="2637" ht="1.5" customHeight="1">
      <c r="A2637" s="4" t="str">
        <f>IFERROR(__xludf.DUMMYFUNCTION("""COMPUTED_VALUE"""),"87. Bandit")</f>
        <v>87. Bandit</v>
      </c>
      <c r="B2637" s="4" t="str">
        <f>IFERROR(__xludf.DUMMYFUNCTION("""COMPUTED_VALUE"""),"87")</f>
        <v>87</v>
      </c>
      <c r="C2637" s="5" t="str">
        <f>IFERROR(__xludf.DUMMYFUNCTION("""COMPUTED_VALUE"""),"https://drive.google.com/file/d/1YlDR09UHqbVynw-fMQ1RyY43SA53tBrd/view?usp=drivesdk")</f>
        <v>https://drive.google.com/file/d/1YlDR09UHqbVynw-fMQ1RyY43SA53tBrd/view?usp=drivesdk</v>
      </c>
      <c r="D2637" s="12"/>
      <c r="E2637" s="11">
        <v>2679.0</v>
      </c>
      <c r="F2637" s="2"/>
    </row>
    <row r="2638" ht="1.5" customHeight="1">
      <c r="A2638" s="4" t="str">
        <f>IFERROR(__xludf.DUMMYFUNCTION("""COMPUTED_VALUE"""),"87. Bandit")</f>
        <v>87. Bandit</v>
      </c>
      <c r="B2638" s="4" t="str">
        <f>IFERROR(__xludf.DUMMYFUNCTION("""COMPUTED_VALUE"""),"87")</f>
        <v>87</v>
      </c>
      <c r="C2638" s="5" t="str">
        <f>IFERROR(__xludf.DUMMYFUNCTION("""COMPUTED_VALUE"""),"https://drive.google.com/file/d/1Ebsj9M8umEw6q6SSAcXYdqp9lr4mdPIS/view?usp=drivesdk")</f>
        <v>https://drive.google.com/file/d/1Ebsj9M8umEw6q6SSAcXYdqp9lr4mdPIS/view?usp=drivesdk</v>
      </c>
      <c r="D2638" s="12"/>
      <c r="E2638" s="11">
        <v>2680.0</v>
      </c>
      <c r="F2638" s="2"/>
    </row>
    <row r="2639" ht="1.5" customHeight="1">
      <c r="A2639" s="4" t="str">
        <f>IFERROR(__xludf.DUMMYFUNCTION("""COMPUTED_VALUE"""),"87. Bandit")</f>
        <v>87. Bandit</v>
      </c>
      <c r="B2639" s="4" t="str">
        <f>IFERROR(__xludf.DUMMYFUNCTION("""COMPUTED_VALUE"""),"87")</f>
        <v>87</v>
      </c>
      <c r="C2639" s="5" t="str">
        <f>IFERROR(__xludf.DUMMYFUNCTION("""COMPUTED_VALUE"""),"https://drive.google.com/file/d/1QCyg0p9KNSdqiRMZ-_iL8Fs9Fk7NxJFm/view?usp=drivesdk")</f>
        <v>https://drive.google.com/file/d/1QCyg0p9KNSdqiRMZ-_iL8Fs9Fk7NxJFm/view?usp=drivesdk</v>
      </c>
      <c r="D2639" s="12"/>
      <c r="E2639" s="11">
        <v>2681.0</v>
      </c>
      <c r="F2639" s="2"/>
    </row>
    <row r="2640" ht="1.5" customHeight="1">
      <c r="A2640" s="4" t="str">
        <f>IFERROR(__xludf.DUMMYFUNCTION("""COMPUTED_VALUE"""),"87. Bandit")</f>
        <v>87. Bandit</v>
      </c>
      <c r="B2640" s="4" t="str">
        <f>IFERROR(__xludf.DUMMYFUNCTION("""COMPUTED_VALUE"""),"87")</f>
        <v>87</v>
      </c>
      <c r="C2640" s="5" t="str">
        <f>IFERROR(__xludf.DUMMYFUNCTION("""COMPUTED_VALUE"""),"https://drive.google.com/file/d/1cIM2JKqMhof7u8FeFBlc6BFwGi1hNkhn/view?usp=drivesdk")</f>
        <v>https://drive.google.com/file/d/1cIM2JKqMhof7u8FeFBlc6BFwGi1hNkhn/view?usp=drivesdk</v>
      </c>
      <c r="D2640" s="12"/>
      <c r="E2640" s="11">
        <v>2682.0</v>
      </c>
      <c r="F2640" s="2"/>
    </row>
    <row r="2641" ht="1.5" customHeight="1">
      <c r="A2641" s="4" t="str">
        <f>IFERROR(__xludf.DUMMYFUNCTION("""COMPUTED_VALUE"""),"87. Bandit")</f>
        <v>87. Bandit</v>
      </c>
      <c r="B2641" s="4" t="str">
        <f>IFERROR(__xludf.DUMMYFUNCTION("""COMPUTED_VALUE"""),"87")</f>
        <v>87</v>
      </c>
      <c r="C2641" s="5" t="str">
        <f>IFERROR(__xludf.DUMMYFUNCTION("""COMPUTED_VALUE"""),"https://drive.google.com/file/d/10MzKaCIAADq_8B9kqvb-iz-cw-BzQEI4/view?usp=drivesdk")</f>
        <v>https://drive.google.com/file/d/10MzKaCIAADq_8B9kqvb-iz-cw-BzQEI4/view?usp=drivesdk</v>
      </c>
      <c r="D2641" s="12"/>
      <c r="E2641" s="11">
        <v>2683.0</v>
      </c>
      <c r="F2641" s="2"/>
    </row>
    <row r="2642" ht="1.5" customHeight="1">
      <c r="A2642" s="4" t="str">
        <f>IFERROR(__xludf.DUMMYFUNCTION("""COMPUTED_VALUE"""),"87. Bandit")</f>
        <v>87. Bandit</v>
      </c>
      <c r="B2642" s="4" t="str">
        <f>IFERROR(__xludf.DUMMYFUNCTION("""COMPUTED_VALUE"""),"87")</f>
        <v>87</v>
      </c>
      <c r="C2642" s="5" t="str">
        <f>IFERROR(__xludf.DUMMYFUNCTION("""COMPUTED_VALUE"""),"https://drive.google.com/file/d/1i2QlvBHkH-wp2KgoQataAHSrcNtq4RDb/view?usp=drivesdk")</f>
        <v>https://drive.google.com/file/d/1i2QlvBHkH-wp2KgoQataAHSrcNtq4RDb/view?usp=drivesdk</v>
      </c>
      <c r="D2642" s="12"/>
      <c r="E2642" s="11">
        <v>2683.0</v>
      </c>
      <c r="F2642" s="2"/>
    </row>
    <row r="2643" ht="1.5" customHeight="1">
      <c r="A2643" s="4" t="str">
        <f>IFERROR(__xludf.DUMMYFUNCTION("""COMPUTED_VALUE"""),"87. Bandit")</f>
        <v>87. Bandit</v>
      </c>
      <c r="B2643" s="4" t="str">
        <f>IFERROR(__xludf.DUMMYFUNCTION("""COMPUTED_VALUE"""),"87")</f>
        <v>87</v>
      </c>
      <c r="C2643" s="5" t="str">
        <f>IFERROR(__xludf.DUMMYFUNCTION("""COMPUTED_VALUE"""),"https://drive.google.com/file/d/16vlECuWt9OtpFAIOj3QjK2NOq_307JPx/view?usp=drivesdk")</f>
        <v>https://drive.google.com/file/d/16vlECuWt9OtpFAIOj3QjK2NOq_307JPx/view?usp=drivesdk</v>
      </c>
      <c r="D2643" s="12"/>
      <c r="E2643" s="11">
        <v>2684.0</v>
      </c>
      <c r="F2643" s="2"/>
    </row>
    <row r="2644" ht="1.5" customHeight="1">
      <c r="A2644" s="4" t="str">
        <f>IFERROR(__xludf.DUMMYFUNCTION("""COMPUTED_VALUE"""),"87. Bandit")</f>
        <v>87. Bandit</v>
      </c>
      <c r="B2644" s="4" t="str">
        <f>IFERROR(__xludf.DUMMYFUNCTION("""COMPUTED_VALUE"""),"87")</f>
        <v>87</v>
      </c>
      <c r="C2644" s="5" t="str">
        <f>IFERROR(__xludf.DUMMYFUNCTION("""COMPUTED_VALUE"""),"https://drive.google.com/file/d/1omAD6B6q2gDS-eLx98U5JmKiFpGsxeeB/view?usp=drivesdk")</f>
        <v>https://drive.google.com/file/d/1omAD6B6q2gDS-eLx98U5JmKiFpGsxeeB/view?usp=drivesdk</v>
      </c>
      <c r="D2644" s="12"/>
      <c r="E2644" s="11">
        <v>2685.0</v>
      </c>
      <c r="F2644" s="2"/>
    </row>
    <row r="2645" ht="1.5" customHeight="1">
      <c r="A2645" s="4" t="str">
        <f>IFERROR(__xludf.DUMMYFUNCTION("""COMPUTED_VALUE"""),"87. Bandit")</f>
        <v>87. Bandit</v>
      </c>
      <c r="B2645" s="4" t="str">
        <f>IFERROR(__xludf.DUMMYFUNCTION("""COMPUTED_VALUE"""),"87")</f>
        <v>87</v>
      </c>
      <c r="C2645" s="5" t="str">
        <f>IFERROR(__xludf.DUMMYFUNCTION("""COMPUTED_VALUE"""),"https://drive.google.com/file/d/1oH-2t_-QTWOykqWNui51IDzCnW2AlzXv/view?usp=drivesdk")</f>
        <v>https://drive.google.com/file/d/1oH-2t_-QTWOykqWNui51IDzCnW2AlzXv/view?usp=drivesdk</v>
      </c>
      <c r="D2645" s="12"/>
      <c r="E2645" s="11">
        <v>2686.0</v>
      </c>
      <c r="F2645" s="2"/>
    </row>
    <row r="2646" ht="1.5" customHeight="1">
      <c r="A2646" s="4" t="str">
        <f>IFERROR(__xludf.DUMMYFUNCTION("""COMPUTED_VALUE"""),"87. Bandit")</f>
        <v>87. Bandit</v>
      </c>
      <c r="B2646" s="4" t="str">
        <f>IFERROR(__xludf.DUMMYFUNCTION("""COMPUTED_VALUE"""),"87")</f>
        <v>87</v>
      </c>
      <c r="C2646" s="5" t="str">
        <f>IFERROR(__xludf.DUMMYFUNCTION("""COMPUTED_VALUE"""),"https://drive.google.com/file/d/1aKeE6mpYIXlvc2F0DBCYBlDjsFGBucqi/view?usp=drivesdk")</f>
        <v>https://drive.google.com/file/d/1aKeE6mpYIXlvc2F0DBCYBlDjsFGBucqi/view?usp=drivesdk</v>
      </c>
      <c r="D2646" s="12"/>
      <c r="E2646" s="11">
        <v>2687.0</v>
      </c>
      <c r="F2646" s="2"/>
    </row>
    <row r="2647" ht="1.5" customHeight="1">
      <c r="A2647" s="4" t="str">
        <f>IFERROR(__xludf.DUMMYFUNCTION("""COMPUTED_VALUE"""),"87. Bandit")</f>
        <v>87. Bandit</v>
      </c>
      <c r="B2647" s="4" t="str">
        <f>IFERROR(__xludf.DUMMYFUNCTION("""COMPUTED_VALUE"""),"87")</f>
        <v>87</v>
      </c>
      <c r="C2647" s="5" t="str">
        <f>IFERROR(__xludf.DUMMYFUNCTION("""COMPUTED_VALUE"""),"https://drive.google.com/file/d/1gNk100ECtoipRo_w-rdmmLqRG_Iva1eF/view?usp=drivesdk")</f>
        <v>https://drive.google.com/file/d/1gNk100ECtoipRo_w-rdmmLqRG_Iva1eF/view?usp=drivesdk</v>
      </c>
      <c r="D2647" s="12"/>
      <c r="E2647" s="11">
        <v>2687.0</v>
      </c>
      <c r="F2647" s="2"/>
    </row>
    <row r="2648" ht="1.5" customHeight="1">
      <c r="A2648" s="4" t="str">
        <f>IFERROR(__xludf.DUMMYFUNCTION("""COMPUTED_VALUE"""),"87. Bandit")</f>
        <v>87. Bandit</v>
      </c>
      <c r="B2648" s="4" t="str">
        <f>IFERROR(__xludf.DUMMYFUNCTION("""COMPUTED_VALUE"""),"87")</f>
        <v>87</v>
      </c>
      <c r="C2648" s="5" t="str">
        <f>IFERROR(__xludf.DUMMYFUNCTION("""COMPUTED_VALUE"""),"https://drive.google.com/file/d/1Dw_tDseRwcUqsNsA1xUiZc35Pal0QQNL/view?usp=drivesdk")</f>
        <v>https://drive.google.com/file/d/1Dw_tDseRwcUqsNsA1xUiZc35Pal0QQNL/view?usp=drivesdk</v>
      </c>
      <c r="D2648" s="12"/>
      <c r="E2648" s="11">
        <v>2688.0</v>
      </c>
      <c r="F2648" s="2"/>
    </row>
    <row r="2649" ht="1.5" customHeight="1">
      <c r="A2649" s="4" t="str">
        <f>IFERROR(__xludf.DUMMYFUNCTION("""COMPUTED_VALUE"""),"87. Bandit")</f>
        <v>87. Bandit</v>
      </c>
      <c r="B2649" s="4" t="str">
        <f>IFERROR(__xludf.DUMMYFUNCTION("""COMPUTED_VALUE"""),"87")</f>
        <v>87</v>
      </c>
      <c r="C2649" s="5" t="str">
        <f>IFERROR(__xludf.DUMMYFUNCTION("""COMPUTED_VALUE"""),"https://drive.google.com/file/d/1Eyq-EE1x04xor0P0cT9RC8Q0bV7c-gEl/view?usp=drivesdk")</f>
        <v>https://drive.google.com/file/d/1Eyq-EE1x04xor0P0cT9RC8Q0bV7c-gEl/view?usp=drivesdk</v>
      </c>
      <c r="D2649" s="12"/>
      <c r="E2649" s="11">
        <v>2689.0</v>
      </c>
      <c r="F2649" s="2"/>
    </row>
    <row r="2650" ht="1.5" customHeight="1">
      <c r="A2650" s="4" t="str">
        <f>IFERROR(__xludf.DUMMYFUNCTION("""COMPUTED_VALUE"""),"87. Bandit")</f>
        <v>87. Bandit</v>
      </c>
      <c r="B2650" s="4" t="str">
        <f>IFERROR(__xludf.DUMMYFUNCTION("""COMPUTED_VALUE"""),"87")</f>
        <v>87</v>
      </c>
      <c r="C2650" s="5" t="str">
        <f>IFERROR(__xludf.DUMMYFUNCTION("""COMPUTED_VALUE"""),"https://drive.google.com/file/d/10bjw9q1dL-xePvj6gvmmD5jaQmyEBWkq/view?usp=drivesdk")</f>
        <v>https://drive.google.com/file/d/10bjw9q1dL-xePvj6gvmmD5jaQmyEBWkq/view?usp=drivesdk</v>
      </c>
      <c r="D2650" s="12"/>
      <c r="E2650" s="11">
        <v>2690.0</v>
      </c>
      <c r="F2650" s="2"/>
    </row>
    <row r="2651" ht="1.5" customHeight="1">
      <c r="A2651" s="4" t="str">
        <f>IFERROR(__xludf.DUMMYFUNCTION("""COMPUTED_VALUE"""),"87. Bandit")</f>
        <v>87. Bandit</v>
      </c>
      <c r="B2651" s="4" t="str">
        <f>IFERROR(__xludf.DUMMYFUNCTION("""COMPUTED_VALUE"""),"87")</f>
        <v>87</v>
      </c>
      <c r="C2651" s="5" t="str">
        <f>IFERROR(__xludf.DUMMYFUNCTION("""COMPUTED_VALUE"""),"https://drive.google.com/file/d/1w7LkJJpWhRPYfGUR9dJxm5ATumTfHvr1/view?usp=drivesdk")</f>
        <v>https://drive.google.com/file/d/1w7LkJJpWhRPYfGUR9dJxm5ATumTfHvr1/view?usp=drivesdk</v>
      </c>
      <c r="D2651" s="12"/>
      <c r="E2651" s="11">
        <v>2691.0</v>
      </c>
      <c r="F2651" s="2"/>
    </row>
    <row r="2652" ht="1.5" customHeight="1">
      <c r="A2652" s="4" t="str">
        <f>IFERROR(__xludf.DUMMYFUNCTION("""COMPUTED_VALUE"""),"87. Bandit")</f>
        <v>87. Bandit</v>
      </c>
      <c r="B2652" s="4" t="str">
        <f>IFERROR(__xludf.DUMMYFUNCTION("""COMPUTED_VALUE"""),"87")</f>
        <v>87</v>
      </c>
      <c r="C2652" s="5" t="str">
        <f>IFERROR(__xludf.DUMMYFUNCTION("""COMPUTED_VALUE"""),"https://drive.google.com/file/d/1MLM_75aidDFjLNiaZ6_3nWfC6aEtP6Ek/view?usp=drivesdk")</f>
        <v>https://drive.google.com/file/d/1MLM_75aidDFjLNiaZ6_3nWfC6aEtP6Ek/view?usp=drivesdk</v>
      </c>
      <c r="D2652" s="12"/>
      <c r="E2652" s="11">
        <v>2692.0</v>
      </c>
      <c r="F2652" s="2"/>
    </row>
    <row r="2653" ht="1.5" customHeight="1">
      <c r="A2653" s="4" t="str">
        <f>IFERROR(__xludf.DUMMYFUNCTION("""COMPUTED_VALUE"""),"21. Paquini")</f>
        <v>21. Paquini</v>
      </c>
      <c r="B2653" s="4" t="str">
        <f>IFERROR(__xludf.DUMMYFUNCTION("""COMPUTED_VALUE"""),"21")</f>
        <v>21</v>
      </c>
      <c r="C2653" s="5" t="str">
        <f>IFERROR(__xludf.DUMMYFUNCTION("""COMPUTED_VALUE"""),"https://drive.google.com/file/d/1CA4kqmC9WbFXcJAF_fD5x00CW3b8zVoh/view?usp=drivesdk")</f>
        <v>https://drive.google.com/file/d/1CA4kqmC9WbFXcJAF_fD5x00CW3b8zVoh/view?usp=drivesdk</v>
      </c>
      <c r="D2653" s="12"/>
      <c r="E2653" s="11">
        <v>2693.0</v>
      </c>
      <c r="F2653" s="2"/>
    </row>
    <row r="2654" ht="1.5" customHeight="1">
      <c r="A2654" s="4" t="str">
        <f>IFERROR(__xludf.DUMMYFUNCTION("""COMPUTED_VALUE"""),"21. Paquini")</f>
        <v>21. Paquini</v>
      </c>
      <c r="B2654" s="4" t="str">
        <f>IFERROR(__xludf.DUMMYFUNCTION("""COMPUTED_VALUE"""),"21")</f>
        <v>21</v>
      </c>
      <c r="C2654" s="5" t="str">
        <f>IFERROR(__xludf.DUMMYFUNCTION("""COMPUTED_VALUE"""),"https://drive.google.com/file/d/1T6Y29P4aIuAvxzlgfAuu-ISRyOGXVFcs/view?usp=drivesdk")</f>
        <v>https://drive.google.com/file/d/1T6Y29P4aIuAvxzlgfAuu-ISRyOGXVFcs/view?usp=drivesdk</v>
      </c>
      <c r="D2654" s="12"/>
      <c r="E2654" s="11">
        <v>2694.0</v>
      </c>
      <c r="F2654" s="2"/>
    </row>
    <row r="2655" ht="1.5" customHeight="1">
      <c r="A2655" s="4" t="str">
        <f>IFERROR(__xludf.DUMMYFUNCTION("""COMPUTED_VALUE"""),"58. Eden")</f>
        <v>58. Eden</v>
      </c>
      <c r="B2655" s="4" t="str">
        <f>IFERROR(__xludf.DUMMYFUNCTION("""COMPUTED_VALUE"""),"58")</f>
        <v>58</v>
      </c>
      <c r="C2655" s="5" t="str">
        <f>IFERROR(__xludf.DUMMYFUNCTION("""COMPUTED_VALUE"""),"https://drive.google.com/file/d/1Oa5hvgYihfBHhD9FB4iA_iARUQ4STrZh/view?usp=drivesdk")</f>
        <v>https://drive.google.com/file/d/1Oa5hvgYihfBHhD9FB4iA_iARUQ4STrZh/view?usp=drivesdk</v>
      </c>
      <c r="D2655" s="12"/>
      <c r="E2655" s="11">
        <v>2694.0</v>
      </c>
      <c r="F2655" s="2"/>
    </row>
    <row r="2656" ht="1.5" customHeight="1">
      <c r="A2656" s="4" t="str">
        <f>IFERROR(__xludf.DUMMYFUNCTION("""COMPUTED_VALUE"""),"10. Alaska")</f>
        <v>10. Alaska</v>
      </c>
      <c r="B2656" s="4" t="str">
        <f>IFERROR(__xludf.DUMMYFUNCTION("""COMPUTED_VALUE"""),"10")</f>
        <v>10</v>
      </c>
      <c r="C2656" s="5" t="str">
        <f>IFERROR(__xludf.DUMMYFUNCTION("""COMPUTED_VALUE"""),"https://drive.google.com/file/d/1hqIkNsh53HwjzOOBR05H29uRGEo2iF7L/view?usp=drivesdk")</f>
        <v>https://drive.google.com/file/d/1hqIkNsh53HwjzOOBR05H29uRGEo2iF7L/view?usp=drivesdk</v>
      </c>
      <c r="D2656" s="12"/>
      <c r="E2656" s="11">
        <v>2695.0</v>
      </c>
      <c r="F2656" s="2"/>
    </row>
    <row r="2657" ht="1.5" customHeight="1">
      <c r="A2657" s="4" t="str">
        <f>IFERROR(__xludf.DUMMYFUNCTION("""COMPUTED_VALUE"""),"10. Alaska")</f>
        <v>10. Alaska</v>
      </c>
      <c r="B2657" s="4" t="str">
        <f>IFERROR(__xludf.DUMMYFUNCTION("""COMPUTED_VALUE"""),"10")</f>
        <v>10</v>
      </c>
      <c r="C2657" s="5" t="str">
        <f>IFERROR(__xludf.DUMMYFUNCTION("""COMPUTED_VALUE"""),"https://drive.google.com/file/d/1cLm8hGMmV1yS8fI5MmhY5Py7ATOHsG7i/view?usp=drivesdk")</f>
        <v>https://drive.google.com/file/d/1cLm8hGMmV1yS8fI5MmhY5Py7ATOHsG7i/view?usp=drivesdk</v>
      </c>
      <c r="D2657" s="12"/>
      <c r="E2657" s="11">
        <v>2696.0</v>
      </c>
      <c r="F2657" s="2"/>
    </row>
    <row r="2658" ht="1.5" customHeight="1">
      <c r="A2658" s="4" t="str">
        <f>IFERROR(__xludf.DUMMYFUNCTION("""COMPUTED_VALUE"""),"10. Alaska")</f>
        <v>10. Alaska</v>
      </c>
      <c r="B2658" s="4" t="str">
        <f>IFERROR(__xludf.DUMMYFUNCTION("""COMPUTED_VALUE"""),"10")</f>
        <v>10</v>
      </c>
      <c r="C2658" s="5" t="str">
        <f>IFERROR(__xludf.DUMMYFUNCTION("""COMPUTED_VALUE"""),"https://drive.google.com/file/d/19swKTJPufV0wfUj35R33kuELZ5CuNi8x/view?usp=drivesdk")</f>
        <v>https://drive.google.com/file/d/19swKTJPufV0wfUj35R33kuELZ5CuNi8x/view?usp=drivesdk</v>
      </c>
      <c r="D2658" s="12"/>
      <c r="E2658" s="11">
        <v>2697.0</v>
      </c>
      <c r="F2658" s="2"/>
    </row>
    <row r="2659" ht="1.5" customHeight="1">
      <c r="A2659" s="4" t="str">
        <f>IFERROR(__xludf.DUMMYFUNCTION("""COMPUTED_VALUE"""),"10. Alaska")</f>
        <v>10. Alaska</v>
      </c>
      <c r="B2659" s="4" t="str">
        <f>IFERROR(__xludf.DUMMYFUNCTION("""COMPUTED_VALUE"""),"10")</f>
        <v>10</v>
      </c>
      <c r="C2659" s="5" t="str">
        <f>IFERROR(__xludf.DUMMYFUNCTION("""COMPUTED_VALUE"""),"https://drive.google.com/file/d/1U07rz8GuO5ZeKg8my51fBK4PAQ485tvl/view?usp=drivesdk")</f>
        <v>https://drive.google.com/file/d/1U07rz8GuO5ZeKg8my51fBK4PAQ485tvl/view?usp=drivesdk</v>
      </c>
      <c r="D2659" s="12"/>
      <c r="E2659" s="11">
        <v>2697.0</v>
      </c>
      <c r="F2659" s="2"/>
    </row>
    <row r="2660" ht="1.5" customHeight="1">
      <c r="A2660" s="4" t="str">
        <f>IFERROR(__xludf.DUMMYFUNCTION("""COMPUTED_VALUE"""),"10. Alaska")</f>
        <v>10. Alaska</v>
      </c>
      <c r="B2660" s="4" t="str">
        <f>IFERROR(__xludf.DUMMYFUNCTION("""COMPUTED_VALUE"""),"10")</f>
        <v>10</v>
      </c>
      <c r="C2660" s="5" t="str">
        <f>IFERROR(__xludf.DUMMYFUNCTION("""COMPUTED_VALUE"""),"https://drive.google.com/file/d/1kqJjpL-Nl74J7kTD4Z1-qc3qiQfvf_8x/view?usp=drivesdk")</f>
        <v>https://drive.google.com/file/d/1kqJjpL-Nl74J7kTD4Z1-qc3qiQfvf_8x/view?usp=drivesdk</v>
      </c>
      <c r="D2660" s="12"/>
      <c r="E2660" s="11">
        <v>2698.0</v>
      </c>
      <c r="F2660" s="2"/>
    </row>
    <row r="2661" ht="1.5" customHeight="1">
      <c r="A2661" s="4" t="str">
        <f>IFERROR(__xludf.DUMMYFUNCTION("""COMPUTED_VALUE"""),"10. Alaska")</f>
        <v>10. Alaska</v>
      </c>
      <c r="B2661" s="4" t="str">
        <f>IFERROR(__xludf.DUMMYFUNCTION("""COMPUTED_VALUE"""),"10")</f>
        <v>10</v>
      </c>
      <c r="C2661" s="5" t="str">
        <f>IFERROR(__xludf.DUMMYFUNCTION("""COMPUTED_VALUE"""),"https://drive.google.com/file/d/1rYmNtj4hOm6IPz0vleu27lOqbvn6Uq3G/view?usp=drivesdk")</f>
        <v>https://drive.google.com/file/d/1rYmNtj4hOm6IPz0vleu27lOqbvn6Uq3G/view?usp=drivesdk</v>
      </c>
      <c r="D2661" s="12"/>
      <c r="E2661" s="11">
        <v>2699.0</v>
      </c>
      <c r="F2661" s="2"/>
    </row>
    <row r="2662" ht="1.5" customHeight="1">
      <c r="A2662" s="4" t="str">
        <f>IFERROR(__xludf.DUMMYFUNCTION("""COMPUTED_VALUE"""),"22. Glockenspiel")</f>
        <v>22. Glockenspiel</v>
      </c>
      <c r="B2662" s="4" t="str">
        <f>IFERROR(__xludf.DUMMYFUNCTION("""COMPUTED_VALUE"""),"22")</f>
        <v>22</v>
      </c>
      <c r="C2662" s="5" t="str">
        <f>IFERROR(__xludf.DUMMYFUNCTION("""COMPUTED_VALUE"""),"https://drive.google.com/file/d/1mSfy6VGbjnbW3RarHHdUrUs5P1UJhlPB/view?usp=drivesdk")</f>
        <v>https://drive.google.com/file/d/1mSfy6VGbjnbW3RarHHdUrUs5P1UJhlPB/view?usp=drivesdk</v>
      </c>
      <c r="D2662" s="12"/>
      <c r="E2662" s="11">
        <v>2700.0</v>
      </c>
      <c r="F2662" s="2"/>
    </row>
    <row r="2663" ht="1.5" customHeight="1">
      <c r="A2663" s="4" t="str">
        <f>IFERROR(__xludf.DUMMYFUNCTION("""COMPUTED_VALUE"""),"27. Angel")</f>
        <v>27. Angel</v>
      </c>
      <c r="B2663" s="4" t="str">
        <f>IFERROR(__xludf.DUMMYFUNCTION("""COMPUTED_VALUE"""),"27")</f>
        <v>27</v>
      </c>
      <c r="C2663" s="5" t="str">
        <f>IFERROR(__xludf.DUMMYFUNCTION("""COMPUTED_VALUE"""),"https://drive.google.com/file/d/1O6l-Jfx4tiWTMi4lJVT2h-ZOHF-8dIEd/view?usp=drivesdk")</f>
        <v>https://drive.google.com/file/d/1O6l-Jfx4tiWTMi4lJVT2h-ZOHF-8dIEd/view?usp=drivesdk</v>
      </c>
      <c r="D2663" s="12"/>
      <c r="E2663" s="11">
        <v>2701.0</v>
      </c>
      <c r="F2663" s="2"/>
    </row>
    <row r="2664" ht="1.5" customHeight="1">
      <c r="A2664" s="4" t="str">
        <f>IFERROR(__xludf.DUMMYFUNCTION("""COMPUTED_VALUE"""),"27. Angel")</f>
        <v>27. Angel</v>
      </c>
      <c r="B2664" s="4" t="str">
        <f>IFERROR(__xludf.DUMMYFUNCTION("""COMPUTED_VALUE"""),"27")</f>
        <v>27</v>
      </c>
      <c r="C2664" s="5" t="str">
        <f>IFERROR(__xludf.DUMMYFUNCTION("""COMPUTED_VALUE"""),"https://drive.google.com/file/d/1Eql9L-mIOpsZ9YYzcQXetnFnqOGx2AIV/view?usp=drivesdk")</f>
        <v>https://drive.google.com/file/d/1Eql9L-mIOpsZ9YYzcQXetnFnqOGx2AIV/view?usp=drivesdk</v>
      </c>
      <c r="D2664" s="12"/>
      <c r="E2664" s="11">
        <v>2702.0</v>
      </c>
      <c r="F2664" s="2"/>
    </row>
    <row r="2665" ht="1.5" customHeight="1">
      <c r="A2665" s="4" t="str">
        <f>IFERROR(__xludf.DUMMYFUNCTION("""COMPUTED_VALUE"""),"27. Angel")</f>
        <v>27. Angel</v>
      </c>
      <c r="B2665" s="4" t="str">
        <f>IFERROR(__xludf.DUMMYFUNCTION("""COMPUTED_VALUE"""),"27")</f>
        <v>27</v>
      </c>
      <c r="C2665" s="5" t="str">
        <f>IFERROR(__xludf.DUMMYFUNCTION("""COMPUTED_VALUE"""),"https://drive.google.com/file/d/1LirJQ7aE_rLsfjGUEn-UMbHwsmJCjmpA/view?usp=drivesdk")</f>
        <v>https://drive.google.com/file/d/1LirJQ7aE_rLsfjGUEn-UMbHwsmJCjmpA/view?usp=drivesdk</v>
      </c>
      <c r="D2665" s="12"/>
      <c r="E2665" s="11">
        <v>2703.0</v>
      </c>
      <c r="F2665" s="2"/>
    </row>
    <row r="2666" ht="1.5" customHeight="1">
      <c r="A2666" s="4" t="str">
        <f>IFERROR(__xludf.DUMMYFUNCTION("""COMPUTED_VALUE"""),"27. Angel")</f>
        <v>27. Angel</v>
      </c>
      <c r="B2666" s="4" t="str">
        <f>IFERROR(__xludf.DUMMYFUNCTION("""COMPUTED_VALUE"""),"27")</f>
        <v>27</v>
      </c>
      <c r="C2666" s="5" t="str">
        <f>IFERROR(__xludf.DUMMYFUNCTION("""COMPUTED_VALUE"""),"https://drive.google.com/file/d/1stpeM6mbm9JaHZqc_ehHp2TutVb1larh/view?usp=drivesdk")</f>
        <v>https://drive.google.com/file/d/1stpeM6mbm9JaHZqc_ehHp2TutVb1larh/view?usp=drivesdk</v>
      </c>
      <c r="D2666" s="12"/>
      <c r="E2666" s="11">
        <v>2704.0</v>
      </c>
      <c r="F2666" s="2"/>
    </row>
    <row r="2667" ht="1.5" customHeight="1">
      <c r="A2667" s="4" t="str">
        <f>IFERROR(__xludf.DUMMYFUNCTION("""COMPUTED_VALUE"""),"27. Angel")</f>
        <v>27. Angel</v>
      </c>
      <c r="B2667" s="4" t="str">
        <f>IFERROR(__xludf.DUMMYFUNCTION("""COMPUTED_VALUE"""),"27")</f>
        <v>27</v>
      </c>
      <c r="C2667" s="5" t="str">
        <f>IFERROR(__xludf.DUMMYFUNCTION("""COMPUTED_VALUE"""),"https://drive.google.com/file/d/1WPLJPhzCjzWuKs1_qOO99yjEaLmlWTUf/view?usp=drivesdk")</f>
        <v>https://drive.google.com/file/d/1WPLJPhzCjzWuKs1_qOO99yjEaLmlWTUf/view?usp=drivesdk</v>
      </c>
      <c r="D2667" s="12"/>
      <c r="E2667" s="11">
        <v>2705.0</v>
      </c>
      <c r="F2667" s="2"/>
    </row>
    <row r="2668" ht="1.5" customHeight="1">
      <c r="A2668" s="4" t="str">
        <f>IFERROR(__xludf.DUMMYFUNCTION("""COMPUTED_VALUE"""),"27. Angel")</f>
        <v>27. Angel</v>
      </c>
      <c r="B2668" s="4" t="str">
        <f>IFERROR(__xludf.DUMMYFUNCTION("""COMPUTED_VALUE"""),"27")</f>
        <v>27</v>
      </c>
      <c r="C2668" s="5" t="str">
        <f>IFERROR(__xludf.DUMMYFUNCTION("""COMPUTED_VALUE"""),"https://drive.google.com/file/d/1u6zXMnoF9A8BgGhP7qu6yV8z2Pxflogv/view?usp=drivesdk")</f>
        <v>https://drive.google.com/file/d/1u6zXMnoF9A8BgGhP7qu6yV8z2Pxflogv/view?usp=drivesdk</v>
      </c>
      <c r="D2668" s="12"/>
      <c r="E2668" s="11">
        <v>2706.0</v>
      </c>
      <c r="F2668" s="2"/>
    </row>
    <row r="2669" ht="1.5" customHeight="1">
      <c r="A2669" s="4" t="str">
        <f>IFERROR(__xludf.DUMMYFUNCTION("""COMPUTED_VALUE"""),"27. Angel")</f>
        <v>27. Angel</v>
      </c>
      <c r="B2669" s="4" t="str">
        <f>IFERROR(__xludf.DUMMYFUNCTION("""COMPUTED_VALUE"""),"27")</f>
        <v>27</v>
      </c>
      <c r="C2669" s="5" t="str">
        <f>IFERROR(__xludf.DUMMYFUNCTION("""COMPUTED_VALUE"""),"https://drive.google.com/file/d/11jZ4FHYgWqxYOiRcJKovozwlEMRChsPy/view?usp=drivesdk")</f>
        <v>https://drive.google.com/file/d/11jZ4FHYgWqxYOiRcJKovozwlEMRChsPy/view?usp=drivesdk</v>
      </c>
      <c r="D2669" s="12"/>
      <c r="E2669" s="11">
        <v>2707.0</v>
      </c>
      <c r="F2669" s="2"/>
    </row>
    <row r="2670" ht="1.5" customHeight="1">
      <c r="A2670" s="4" t="str">
        <f>IFERROR(__xludf.DUMMYFUNCTION("""COMPUTED_VALUE"""),"4. Eggs")</f>
        <v>4. Eggs</v>
      </c>
      <c r="B2670" s="4" t="str">
        <f>IFERROR(__xludf.DUMMYFUNCTION("""COMPUTED_VALUE"""),"4")</f>
        <v>4</v>
      </c>
      <c r="C2670" s="5" t="str">
        <f>IFERROR(__xludf.DUMMYFUNCTION("""COMPUTED_VALUE"""),"https://drive.google.com/file/d/1DHtTfEJ5OJgDPtJwTa-GyALfcATEtqBA/view?usp=drivesdk")</f>
        <v>https://drive.google.com/file/d/1DHtTfEJ5OJgDPtJwTa-GyALfcATEtqBA/view?usp=drivesdk</v>
      </c>
      <c r="D2670" s="12"/>
      <c r="E2670" s="11">
        <v>2708.0</v>
      </c>
      <c r="F2670" s="2"/>
    </row>
    <row r="2671" ht="1.5" customHeight="1">
      <c r="A2671" s="4" t="str">
        <f>IFERROR(__xludf.DUMMYFUNCTION("""COMPUTED_VALUE"""),"2. Twix")</f>
        <v>2. Twix</v>
      </c>
      <c r="B2671" s="4" t="str">
        <f>IFERROR(__xludf.DUMMYFUNCTION("""COMPUTED_VALUE"""),"2")</f>
        <v>2</v>
      </c>
      <c r="C2671" s="5" t="str">
        <f>IFERROR(__xludf.DUMMYFUNCTION("""COMPUTED_VALUE"""),"https://drive.google.com/file/d/1CvXqk0HlMsj27VSv9McQKa1g7mSAkXeN/view?usp=drivesdk")</f>
        <v>https://drive.google.com/file/d/1CvXqk0HlMsj27VSv9McQKa1g7mSAkXeN/view?usp=drivesdk</v>
      </c>
      <c r="D2671" s="12"/>
      <c r="E2671" s="11">
        <v>2709.0</v>
      </c>
      <c r="F2671" s="2"/>
    </row>
    <row r="2672" ht="1.5" customHeight="1">
      <c r="A2672" s="4" t="str">
        <f>IFERROR(__xludf.DUMMYFUNCTION("""COMPUTED_VALUE"""),"2. Twix")</f>
        <v>2. Twix</v>
      </c>
      <c r="B2672" s="4" t="str">
        <f>IFERROR(__xludf.DUMMYFUNCTION("""COMPUTED_VALUE"""),"2")</f>
        <v>2</v>
      </c>
      <c r="C2672" s="5" t="str">
        <f>IFERROR(__xludf.DUMMYFUNCTION("""COMPUTED_VALUE"""),"https://drive.google.com/file/d/1GJlp85uk-AgoUNXaGwysj0D2d1Pnc4s4/view?usp=drivesdk")</f>
        <v>https://drive.google.com/file/d/1GJlp85uk-AgoUNXaGwysj0D2d1Pnc4s4/view?usp=drivesdk</v>
      </c>
      <c r="D2672" s="12"/>
      <c r="E2672" s="11">
        <v>2710.0</v>
      </c>
      <c r="F2672" s="2"/>
    </row>
    <row r="2673" ht="1.5" customHeight="1">
      <c r="A2673" s="4" t="str">
        <f>IFERROR(__xludf.DUMMYFUNCTION("""COMPUTED_VALUE"""),"2. Twix")</f>
        <v>2. Twix</v>
      </c>
      <c r="B2673" s="4" t="str">
        <f>IFERROR(__xludf.DUMMYFUNCTION("""COMPUTED_VALUE"""),"2")</f>
        <v>2</v>
      </c>
      <c r="C2673" s="5" t="str">
        <f>IFERROR(__xludf.DUMMYFUNCTION("""COMPUTED_VALUE"""),"https://drive.google.com/file/d/1ElzFt0xy5RSYCGSQlylpgbiBDsy8Vzu7/view?usp=drivesdk")</f>
        <v>https://drive.google.com/file/d/1ElzFt0xy5RSYCGSQlylpgbiBDsy8Vzu7/view?usp=drivesdk</v>
      </c>
      <c r="D2673" s="12"/>
      <c r="E2673" s="11">
        <v>2711.0</v>
      </c>
      <c r="F2673" s="2"/>
    </row>
    <row r="2674" ht="1.5" customHeight="1">
      <c r="A2674" s="4" t="str">
        <f>IFERROR(__xludf.DUMMYFUNCTION("""COMPUTED_VALUE"""),"5. Eraser")</f>
        <v>5. Eraser</v>
      </c>
      <c r="B2674" s="4" t="str">
        <f>IFERROR(__xludf.DUMMYFUNCTION("""COMPUTED_VALUE"""),"5")</f>
        <v>5</v>
      </c>
      <c r="C2674" s="5" t="str">
        <f>IFERROR(__xludf.DUMMYFUNCTION("""COMPUTED_VALUE"""),"https://drive.google.com/file/d/15K3saG7evgqWu02BGcQ6ZckwfkV9Hrnk/view?usp=drivesdk")</f>
        <v>https://drive.google.com/file/d/15K3saG7evgqWu02BGcQ6ZckwfkV9Hrnk/view?usp=drivesdk</v>
      </c>
      <c r="D2674" s="12"/>
      <c r="E2674" s="11">
        <v>2712.0</v>
      </c>
      <c r="F2674" s="2"/>
    </row>
    <row r="2675" ht="1.5" customHeight="1">
      <c r="A2675" s="4" t="str">
        <f>IFERROR(__xludf.DUMMYFUNCTION("""COMPUTED_VALUE"""),"1. Microwave")</f>
        <v>1. Microwave</v>
      </c>
      <c r="B2675" s="4" t="str">
        <f>IFERROR(__xludf.DUMMYFUNCTION("""COMPUTED_VALUE"""),"1")</f>
        <v>1</v>
      </c>
      <c r="C2675" s="5" t="str">
        <f>IFERROR(__xludf.DUMMYFUNCTION("""COMPUTED_VALUE"""),"https://drive.google.com/file/d/1mkZMTzHxbDz7JoaklekdD5qRmnxcy_lR/view?usp=drivesdk")</f>
        <v>https://drive.google.com/file/d/1mkZMTzHxbDz7JoaklekdD5qRmnxcy_lR/view?usp=drivesdk</v>
      </c>
      <c r="D2675" s="12"/>
      <c r="E2675" s="11">
        <v>2713.0</v>
      </c>
      <c r="F2675" s="2"/>
    </row>
    <row r="2676" ht="1.5" customHeight="1">
      <c r="A2676" s="4" t="str">
        <f>IFERROR(__xludf.DUMMYFUNCTION("""COMPUTED_VALUE"""),"1. Microwave")</f>
        <v>1. Microwave</v>
      </c>
      <c r="B2676" s="4" t="str">
        <f>IFERROR(__xludf.DUMMYFUNCTION("""COMPUTED_VALUE"""),"1")</f>
        <v>1</v>
      </c>
      <c r="C2676" s="5" t="str">
        <f>IFERROR(__xludf.DUMMYFUNCTION("""COMPUTED_VALUE"""),"https://drive.google.com/file/d/1PwI9q35ZGFEoUMfsQ45gFEF50Dyqmb5v/view?usp=drivesdk")</f>
        <v>https://drive.google.com/file/d/1PwI9q35ZGFEoUMfsQ45gFEF50Dyqmb5v/view?usp=drivesdk</v>
      </c>
      <c r="D2676" s="12"/>
      <c r="E2676" s="11">
        <v>2714.0</v>
      </c>
      <c r="F2676" s="2"/>
    </row>
    <row r="2677" ht="1.5" customHeight="1">
      <c r="A2677" s="4" t="str">
        <f>IFERROR(__xludf.DUMMYFUNCTION("""COMPUTED_VALUE"""),"78. Ed Sheeran")</f>
        <v>78. Ed Sheeran</v>
      </c>
      <c r="B2677" s="4" t="str">
        <f>IFERROR(__xludf.DUMMYFUNCTION("""COMPUTED_VALUE"""),"78")</f>
        <v>78</v>
      </c>
      <c r="C2677" s="5" t="str">
        <f>IFERROR(__xludf.DUMMYFUNCTION("""COMPUTED_VALUE"""),"https://drive.google.com/file/d/1srQTEsI1VlcEa2-yHxaGSVlF4EdygR0h/view?usp=drivesdk")</f>
        <v>https://drive.google.com/file/d/1srQTEsI1VlcEa2-yHxaGSVlF4EdygR0h/view?usp=drivesdk</v>
      </c>
      <c r="D2677" s="12"/>
      <c r="E2677" s="11">
        <v>2715.0</v>
      </c>
      <c r="F2677" s="2"/>
    </row>
    <row r="2678" ht="1.5" customHeight="1">
      <c r="A2678" s="4" t="str">
        <f>IFERROR(__xludf.DUMMYFUNCTION("""COMPUTED_VALUE"""),"78. Ed Sheeran")</f>
        <v>78. Ed Sheeran</v>
      </c>
      <c r="B2678" s="4" t="str">
        <f>IFERROR(__xludf.DUMMYFUNCTION("""COMPUTED_VALUE"""),"78")</f>
        <v>78</v>
      </c>
      <c r="C2678" s="5" t="str">
        <f>IFERROR(__xludf.DUMMYFUNCTION("""COMPUTED_VALUE"""),"https://drive.google.com/file/d/1nb33jcjw55LbgrNope85p4B2dGCLcHaH/view?usp=drivesdk")</f>
        <v>https://drive.google.com/file/d/1nb33jcjw55LbgrNope85p4B2dGCLcHaH/view?usp=drivesdk</v>
      </c>
      <c r="D2678" s="12"/>
      <c r="E2678" s="11">
        <v>2716.0</v>
      </c>
      <c r="F2678" s="2"/>
    </row>
    <row r="2679" ht="1.5" customHeight="1">
      <c r="A2679" s="4" t="str">
        <f>IFERROR(__xludf.DUMMYFUNCTION("""COMPUTED_VALUE"""),"78. Ed Sheeran, 79. Leaflet")</f>
        <v>78. Ed Sheeran, 79. Leaflet</v>
      </c>
      <c r="B2679" s="4" t="str">
        <f>IFERROR(__xludf.DUMMYFUNCTION("""COMPUTED_VALUE"""),"78, 79")</f>
        <v>78, 79</v>
      </c>
      <c r="C2679" s="5" t="str">
        <f>IFERROR(__xludf.DUMMYFUNCTION("""COMPUTED_VALUE"""),"https://drive.google.com/file/d/1GwTqI1Ag1PNgwGWc9ZahJQ09Sb02WiVz/view?usp=drivesdk")</f>
        <v>https://drive.google.com/file/d/1GwTqI1Ag1PNgwGWc9ZahJQ09Sb02WiVz/view?usp=drivesdk</v>
      </c>
      <c r="D2679" s="12"/>
      <c r="E2679" s="11">
        <v>2717.0</v>
      </c>
      <c r="F2679" s="2"/>
    </row>
    <row r="2680" ht="1.5" customHeight="1">
      <c r="A2680" s="4" t="str">
        <f>IFERROR(__xludf.DUMMYFUNCTION("""COMPUTED_VALUE"""),"78. Ed Sheeran, 79. Leaflet")</f>
        <v>78. Ed Sheeran, 79. Leaflet</v>
      </c>
      <c r="B2680" s="4" t="str">
        <f>IFERROR(__xludf.DUMMYFUNCTION("""COMPUTED_VALUE"""),"78, 79")</f>
        <v>78, 79</v>
      </c>
      <c r="C2680" s="5" t="str">
        <f>IFERROR(__xludf.DUMMYFUNCTION("""COMPUTED_VALUE"""),"https://drive.google.com/file/d/1dSwsxjkgPvXT5FzLUkP6K_qKUKV2mkuG/view?usp=drivesdk")</f>
        <v>https://drive.google.com/file/d/1dSwsxjkgPvXT5FzLUkP6K_qKUKV2mkuG/view?usp=drivesdk</v>
      </c>
      <c r="D2680" s="12"/>
      <c r="E2680" s="11">
        <v>2718.0</v>
      </c>
      <c r="F2680" s="2"/>
    </row>
    <row r="2681" ht="1.5" customHeight="1">
      <c r="A2681" s="4" t="str">
        <f>IFERROR(__xludf.DUMMYFUNCTION("""COMPUTED_VALUE"""),"78. Ed Sheeran, 79. Leaflet")</f>
        <v>78. Ed Sheeran, 79. Leaflet</v>
      </c>
      <c r="B2681" s="4" t="str">
        <f>IFERROR(__xludf.DUMMYFUNCTION("""COMPUTED_VALUE"""),"78, 79")</f>
        <v>78, 79</v>
      </c>
      <c r="C2681" s="5" t="str">
        <f>IFERROR(__xludf.DUMMYFUNCTION("""COMPUTED_VALUE"""),"https://drive.google.com/file/d/1ylfmGazfZTxWE_XY3v7us5oOx56pKYzt/view?usp=drivesdk")</f>
        <v>https://drive.google.com/file/d/1ylfmGazfZTxWE_XY3v7us5oOx56pKYzt/view?usp=drivesdk</v>
      </c>
      <c r="D2681" s="12"/>
      <c r="E2681" s="11">
        <v>2719.0</v>
      </c>
      <c r="F2681" s="2"/>
    </row>
    <row r="2682" ht="1.5" customHeight="1">
      <c r="A2682" s="4" t="str">
        <f>IFERROR(__xludf.DUMMYFUNCTION("""COMPUTED_VALUE"""),"78. Ed Sheeran, 79. Leaflet")</f>
        <v>78. Ed Sheeran, 79. Leaflet</v>
      </c>
      <c r="B2682" s="4" t="str">
        <f>IFERROR(__xludf.DUMMYFUNCTION("""COMPUTED_VALUE"""),"78, 79")</f>
        <v>78, 79</v>
      </c>
      <c r="C2682" s="5" t="str">
        <f>IFERROR(__xludf.DUMMYFUNCTION("""COMPUTED_VALUE"""),"https://drive.google.com/file/d/1WVqqW0YjSosKa0ViqQwbGtIQfdXX6wMi/view?usp=drivesdk")</f>
        <v>https://drive.google.com/file/d/1WVqqW0YjSosKa0ViqQwbGtIQfdXX6wMi/view?usp=drivesdk</v>
      </c>
      <c r="D2682" s="12"/>
      <c r="E2682" s="11">
        <v>2720.0</v>
      </c>
      <c r="F2682" s="2"/>
    </row>
    <row r="2683" ht="1.5" customHeight="1">
      <c r="A2683" s="4" t="str">
        <f>IFERROR(__xludf.DUMMYFUNCTION("""COMPUTED_VALUE"""),"78. Ed Sheeran, 79. Leaflet")</f>
        <v>78. Ed Sheeran, 79. Leaflet</v>
      </c>
      <c r="B2683" s="4" t="str">
        <f>IFERROR(__xludf.DUMMYFUNCTION("""COMPUTED_VALUE"""),"78, 79")</f>
        <v>78, 79</v>
      </c>
      <c r="C2683" s="5" t="str">
        <f>IFERROR(__xludf.DUMMYFUNCTION("""COMPUTED_VALUE"""),"https://drive.google.com/file/d/1mnCGpnuyNyeFJWecBK3tOxwAbeoAA-DC/view?usp=drivesdk")</f>
        <v>https://drive.google.com/file/d/1mnCGpnuyNyeFJWecBK3tOxwAbeoAA-DC/view?usp=drivesdk</v>
      </c>
      <c r="D2683" s="12"/>
      <c r="E2683" s="11">
        <v>2721.0</v>
      </c>
      <c r="F2683" s="2"/>
    </row>
    <row r="2684" ht="1.5" customHeight="1">
      <c r="A2684" s="4" t="str">
        <f>IFERROR(__xludf.DUMMYFUNCTION("""COMPUTED_VALUE"""),"78. Ed Sheeran, 79. Leaflet")</f>
        <v>78. Ed Sheeran, 79. Leaflet</v>
      </c>
      <c r="B2684" s="4" t="str">
        <f>IFERROR(__xludf.DUMMYFUNCTION("""COMPUTED_VALUE"""),"78, 79")</f>
        <v>78, 79</v>
      </c>
      <c r="C2684" s="5" t="str">
        <f>IFERROR(__xludf.DUMMYFUNCTION("""COMPUTED_VALUE"""),"https://drive.google.com/file/d/1KWswKOiOm_OdwsrwjNg_jNHMU09pVZXv/view?usp=drivesdk")</f>
        <v>https://drive.google.com/file/d/1KWswKOiOm_OdwsrwjNg_jNHMU09pVZXv/view?usp=drivesdk</v>
      </c>
      <c r="D2684" s="12"/>
      <c r="E2684" s="11">
        <v>2722.0</v>
      </c>
      <c r="F2684" s="2"/>
    </row>
    <row r="2685" ht="1.5" customHeight="1">
      <c r="A2685" s="4" t="str">
        <f>IFERROR(__xludf.DUMMYFUNCTION("""COMPUTED_VALUE"""),"17. Bobbie")</f>
        <v>17. Bobbie</v>
      </c>
      <c r="B2685" s="4" t="str">
        <f>IFERROR(__xludf.DUMMYFUNCTION("""COMPUTED_VALUE"""),"17")</f>
        <v>17</v>
      </c>
      <c r="C2685" s="5" t="str">
        <f>IFERROR(__xludf.DUMMYFUNCTION("""COMPUTED_VALUE"""),"https://drive.google.com/file/d/1hvhsjh2db-v25fh7SB-4KMn9YCsJSa0m/view?usp=drivesdk")</f>
        <v>https://drive.google.com/file/d/1hvhsjh2db-v25fh7SB-4KMn9YCsJSa0m/view?usp=drivesdk</v>
      </c>
      <c r="D2685" s="12"/>
      <c r="E2685" s="11">
        <v>2723.0</v>
      </c>
      <c r="F2685" s="2"/>
    </row>
    <row r="2686" ht="1.5" customHeight="1">
      <c r="A2686" s="4" t="str">
        <f>IFERROR(__xludf.DUMMYFUNCTION("""COMPUTED_VALUE"""),"17. Bobbie")</f>
        <v>17. Bobbie</v>
      </c>
      <c r="B2686" s="4" t="str">
        <f>IFERROR(__xludf.DUMMYFUNCTION("""COMPUTED_VALUE"""),"17")</f>
        <v>17</v>
      </c>
      <c r="C2686" s="5" t="str">
        <f>IFERROR(__xludf.DUMMYFUNCTION("""COMPUTED_VALUE"""),"https://drive.google.com/file/d/1BFfwYCaU5b_7PxV80wYx4ddlVzen6UWD/view?usp=drivesdk")</f>
        <v>https://drive.google.com/file/d/1BFfwYCaU5b_7PxV80wYx4ddlVzen6UWD/view?usp=drivesdk</v>
      </c>
      <c r="D2686" s="12"/>
      <c r="E2686" s="11">
        <v>2724.0</v>
      </c>
      <c r="F2686" s="2"/>
    </row>
    <row r="2687" ht="1.5" customHeight="1">
      <c r="A2687" s="4" t="str">
        <f>IFERROR(__xludf.DUMMYFUNCTION("""COMPUTED_VALUE"""),"17. Bobbie")</f>
        <v>17. Bobbie</v>
      </c>
      <c r="B2687" s="4" t="str">
        <f>IFERROR(__xludf.DUMMYFUNCTION("""COMPUTED_VALUE"""),"17")</f>
        <v>17</v>
      </c>
      <c r="C2687" s="5" t="str">
        <f>IFERROR(__xludf.DUMMYFUNCTION("""COMPUTED_VALUE"""),"https://drive.google.com/file/d/1dGKc2EAaselFz-Xoq8BcSi9w-Ov6USGI/view?usp=drivesdk")</f>
        <v>https://drive.google.com/file/d/1dGKc2EAaselFz-Xoq8BcSi9w-Ov6USGI/view?usp=drivesdk</v>
      </c>
      <c r="D2687" s="12"/>
      <c r="E2687" s="11">
        <v>2725.0</v>
      </c>
      <c r="F2687" s="2"/>
    </row>
    <row r="2688" ht="1.5" customHeight="1">
      <c r="A2688" s="4" t="str">
        <f>IFERROR(__xludf.DUMMYFUNCTION("""COMPUTED_VALUE"""),"17. Bobbie")</f>
        <v>17. Bobbie</v>
      </c>
      <c r="B2688" s="4" t="str">
        <f>IFERROR(__xludf.DUMMYFUNCTION("""COMPUTED_VALUE"""),"17")</f>
        <v>17</v>
      </c>
      <c r="C2688" s="5" t="str">
        <f>IFERROR(__xludf.DUMMYFUNCTION("""COMPUTED_VALUE"""),"https://drive.google.com/file/d/1J1rU9P0PZOAGJBIMJr53tER6kQsBWVY3/view?usp=drivesdk")</f>
        <v>https://drive.google.com/file/d/1J1rU9P0PZOAGJBIMJr53tER6kQsBWVY3/view?usp=drivesdk</v>
      </c>
      <c r="D2688" s="12"/>
      <c r="E2688" s="11">
        <v>2726.0</v>
      </c>
      <c r="F2688" s="2"/>
    </row>
    <row r="2689" ht="1.5" customHeight="1">
      <c r="A2689" s="4" t="str">
        <f>IFERROR(__xludf.DUMMYFUNCTION("""COMPUTED_VALUE"""),"4. Eggs")</f>
        <v>4. Eggs</v>
      </c>
      <c r="B2689" s="4" t="str">
        <f>IFERROR(__xludf.DUMMYFUNCTION("""COMPUTED_VALUE"""),"4")</f>
        <v>4</v>
      </c>
      <c r="C2689" s="5" t="str">
        <f>IFERROR(__xludf.DUMMYFUNCTION("""COMPUTED_VALUE"""),"https://drive.google.com/file/d/1u943Qt9r8_psu-d3OMfItQc3IqUVmZVn/view?usp=drivesdk")</f>
        <v>https://drive.google.com/file/d/1u943Qt9r8_psu-d3OMfItQc3IqUVmZVn/view?usp=drivesdk</v>
      </c>
      <c r="D2689" s="12"/>
      <c r="E2689" s="11">
        <v>2727.0</v>
      </c>
      <c r="F2689" s="2"/>
    </row>
    <row r="2690" ht="1.5" customHeight="1">
      <c r="A2690" s="4" t="str">
        <f>IFERROR(__xludf.DUMMYFUNCTION("""COMPUTED_VALUE"""),"2. Twix")</f>
        <v>2. Twix</v>
      </c>
      <c r="B2690" s="4" t="str">
        <f>IFERROR(__xludf.DUMMYFUNCTION("""COMPUTED_VALUE"""),"2")</f>
        <v>2</v>
      </c>
      <c r="C2690" s="5" t="str">
        <f>IFERROR(__xludf.DUMMYFUNCTION("""COMPUTED_VALUE"""),"https://drive.google.com/file/d/1JjefetUVHObAeuqsOtxd4w1v2QZhxEZa/view?usp=drivesdk")</f>
        <v>https://drive.google.com/file/d/1JjefetUVHObAeuqsOtxd4w1v2QZhxEZa/view?usp=drivesdk</v>
      </c>
      <c r="D2690" s="12"/>
      <c r="E2690" s="11">
        <v>2728.0</v>
      </c>
      <c r="F2690" s="2"/>
    </row>
    <row r="2691" ht="1.5" customHeight="1">
      <c r="A2691" s="4" t="str">
        <f>IFERROR(__xludf.DUMMYFUNCTION("""COMPUTED_VALUE"""),"2. Twix")</f>
        <v>2. Twix</v>
      </c>
      <c r="B2691" s="4" t="str">
        <f>IFERROR(__xludf.DUMMYFUNCTION("""COMPUTED_VALUE"""),"2")</f>
        <v>2</v>
      </c>
      <c r="C2691" s="5" t="str">
        <f>IFERROR(__xludf.DUMMYFUNCTION("""COMPUTED_VALUE"""),"https://drive.google.com/file/d/1hY5nrvY6prJGFgAdFqJc1I90k37_PGm9/view?usp=drivesdk")</f>
        <v>https://drive.google.com/file/d/1hY5nrvY6prJGFgAdFqJc1I90k37_PGm9/view?usp=drivesdk</v>
      </c>
      <c r="D2691" s="12"/>
      <c r="E2691" s="11">
        <v>2729.0</v>
      </c>
      <c r="F2691" s="2"/>
    </row>
    <row r="2692" ht="1.5" customHeight="1">
      <c r="A2692" s="4" t="str">
        <f>IFERROR(__xludf.DUMMYFUNCTION("""COMPUTED_VALUE"""),"2. Twix")</f>
        <v>2. Twix</v>
      </c>
      <c r="B2692" s="4" t="str">
        <f>IFERROR(__xludf.DUMMYFUNCTION("""COMPUTED_VALUE"""),"2")</f>
        <v>2</v>
      </c>
      <c r="C2692" s="5" t="str">
        <f>IFERROR(__xludf.DUMMYFUNCTION("""COMPUTED_VALUE"""),"https://drive.google.com/file/d/1RkbP-FClkXDQZRojzyHfxAEheJii1tFT/view?usp=drivesdk")</f>
        <v>https://drive.google.com/file/d/1RkbP-FClkXDQZRojzyHfxAEheJii1tFT/view?usp=drivesdk</v>
      </c>
      <c r="D2692" s="12"/>
      <c r="E2692" s="11">
        <v>2730.0</v>
      </c>
      <c r="F2692" s="2"/>
    </row>
    <row r="2693" ht="1.5" customHeight="1">
      <c r="A2693" s="4" t="str">
        <f>IFERROR(__xludf.DUMMYFUNCTION("""COMPUTED_VALUE"""),"2. Twix")</f>
        <v>2. Twix</v>
      </c>
      <c r="B2693" s="4" t="str">
        <f>IFERROR(__xludf.DUMMYFUNCTION("""COMPUTED_VALUE"""),"2")</f>
        <v>2</v>
      </c>
      <c r="C2693" s="5" t="str">
        <f>IFERROR(__xludf.DUMMYFUNCTION("""COMPUTED_VALUE"""),"https://drive.google.com/file/d/1pLVPdPZTVlxL-OmigL69Gn2Mgf2LUTv2/view?usp=drivesdk")</f>
        <v>https://drive.google.com/file/d/1pLVPdPZTVlxL-OmigL69Gn2Mgf2LUTv2/view?usp=drivesdk</v>
      </c>
      <c r="D2693" s="12"/>
      <c r="E2693" s="11">
        <v>2731.0</v>
      </c>
      <c r="F2693" s="2"/>
    </row>
    <row r="2694" ht="1.5" customHeight="1">
      <c r="A2694" s="4" t="str">
        <f>IFERROR(__xludf.DUMMYFUNCTION("""COMPUTED_VALUE"""),"2. Twix")</f>
        <v>2. Twix</v>
      </c>
      <c r="B2694" s="4" t="str">
        <f>IFERROR(__xludf.DUMMYFUNCTION("""COMPUTED_VALUE"""),"2")</f>
        <v>2</v>
      </c>
      <c r="C2694" s="5" t="str">
        <f>IFERROR(__xludf.DUMMYFUNCTION("""COMPUTED_VALUE"""),"https://drive.google.com/file/d/1MFmvVuSrt6iA4s6iQkJ4qAbz957y2a3E/view?usp=drivesdk")</f>
        <v>https://drive.google.com/file/d/1MFmvVuSrt6iA4s6iQkJ4qAbz957y2a3E/view?usp=drivesdk</v>
      </c>
      <c r="D2694" s="12"/>
      <c r="E2694" s="11">
        <v>2732.0</v>
      </c>
      <c r="F2694" s="2"/>
    </row>
    <row r="2695" ht="1.5" customHeight="1">
      <c r="A2695" s="4" t="str">
        <f>IFERROR(__xludf.DUMMYFUNCTION("""COMPUTED_VALUE"""),"2. Twix")</f>
        <v>2. Twix</v>
      </c>
      <c r="B2695" s="4" t="str">
        <f>IFERROR(__xludf.DUMMYFUNCTION("""COMPUTED_VALUE"""),"2")</f>
        <v>2</v>
      </c>
      <c r="C2695" s="5" t="str">
        <f>IFERROR(__xludf.DUMMYFUNCTION("""COMPUTED_VALUE"""),"https://drive.google.com/file/d/1ayfIxPMdJQ9lGXq9GyRLZKFim0_YA6ZB/view?usp=drivesdk")</f>
        <v>https://drive.google.com/file/d/1ayfIxPMdJQ9lGXq9GyRLZKFim0_YA6ZB/view?usp=drivesdk</v>
      </c>
      <c r="D2695" s="12"/>
      <c r="E2695" s="11">
        <v>2733.0</v>
      </c>
      <c r="F2695" s="2"/>
    </row>
    <row r="2696" ht="1.5" customHeight="1">
      <c r="A2696" s="4" t="str">
        <f>IFERROR(__xludf.DUMMYFUNCTION("""COMPUTED_VALUE"""),"2. Twix")</f>
        <v>2. Twix</v>
      </c>
      <c r="B2696" s="4" t="str">
        <f>IFERROR(__xludf.DUMMYFUNCTION("""COMPUTED_VALUE"""),"2")</f>
        <v>2</v>
      </c>
      <c r="C2696" s="5" t="str">
        <f>IFERROR(__xludf.DUMMYFUNCTION("""COMPUTED_VALUE"""),"https://drive.google.com/file/d/1xRRQCb3s5h5DQtszAvOLzFuKZ1Bo5vZc/view?usp=drivesdk")</f>
        <v>https://drive.google.com/file/d/1xRRQCb3s5h5DQtszAvOLzFuKZ1Bo5vZc/view?usp=drivesdk</v>
      </c>
      <c r="D2696" s="12"/>
      <c r="E2696" s="11">
        <v>2734.0</v>
      </c>
      <c r="F2696" s="2"/>
    </row>
    <row r="2697" ht="1.5" customHeight="1">
      <c r="A2697" s="4" t="str">
        <f>IFERROR(__xludf.DUMMYFUNCTION("""COMPUTED_VALUE"""),"5. Eraser")</f>
        <v>5. Eraser</v>
      </c>
      <c r="B2697" s="4" t="str">
        <f>IFERROR(__xludf.DUMMYFUNCTION("""COMPUTED_VALUE"""),"5")</f>
        <v>5</v>
      </c>
      <c r="C2697" s="5" t="str">
        <f>IFERROR(__xludf.DUMMYFUNCTION("""COMPUTED_VALUE"""),"https://drive.google.com/file/d/1IFWEjoh7drOFcKq2gaDAWrXD6tJ567ID/view?usp=drivesdk")</f>
        <v>https://drive.google.com/file/d/1IFWEjoh7drOFcKq2gaDAWrXD6tJ567ID/view?usp=drivesdk</v>
      </c>
      <c r="D2697" s="12"/>
      <c r="E2697" s="11">
        <v>2735.0</v>
      </c>
      <c r="F2697" s="2"/>
    </row>
    <row r="2698" ht="1.5" customHeight="1">
      <c r="A2698" s="4" t="str">
        <f>IFERROR(__xludf.DUMMYFUNCTION("""COMPUTED_VALUE"""),"5. Eraser")</f>
        <v>5. Eraser</v>
      </c>
      <c r="B2698" s="4" t="str">
        <f>IFERROR(__xludf.DUMMYFUNCTION("""COMPUTED_VALUE"""),"5")</f>
        <v>5</v>
      </c>
      <c r="C2698" s="5" t="str">
        <f>IFERROR(__xludf.DUMMYFUNCTION("""COMPUTED_VALUE"""),"https://drive.google.com/file/d/1ql0evL3LgzVCFlXUR-z485gb0JIHyto1/view?usp=drivesdk")</f>
        <v>https://drive.google.com/file/d/1ql0evL3LgzVCFlXUR-z485gb0JIHyto1/view?usp=drivesdk</v>
      </c>
      <c r="D2698" s="12"/>
      <c r="E2698" s="11">
        <v>2736.0</v>
      </c>
      <c r="F2698" s="2"/>
    </row>
    <row r="2699" ht="1.5" customHeight="1">
      <c r="A2699" s="4" t="str">
        <f>IFERROR(__xludf.DUMMYFUNCTION("""COMPUTED_VALUE"""),"5. Eraser")</f>
        <v>5. Eraser</v>
      </c>
      <c r="B2699" s="4" t="str">
        <f>IFERROR(__xludf.DUMMYFUNCTION("""COMPUTED_VALUE"""),"5")</f>
        <v>5</v>
      </c>
      <c r="C2699" s="5" t="str">
        <f>IFERROR(__xludf.DUMMYFUNCTION("""COMPUTED_VALUE"""),"https://drive.google.com/file/d/1EqN2sdb7_DzJiwG557yx1JdVyeu6cQmj/view?usp=drivesdk")</f>
        <v>https://drive.google.com/file/d/1EqN2sdb7_DzJiwG557yx1JdVyeu6cQmj/view?usp=drivesdk</v>
      </c>
      <c r="D2699" s="12"/>
      <c r="E2699" s="11">
        <v>2737.0</v>
      </c>
      <c r="F2699" s="2"/>
    </row>
    <row r="2700" ht="1.5" customHeight="1">
      <c r="A2700" s="4" t="str">
        <f>IFERROR(__xludf.DUMMYFUNCTION("""COMPUTED_VALUE"""),"4. Eggs, 5. Eraser")</f>
        <v>4. Eggs, 5. Eraser</v>
      </c>
      <c r="B2700" s="4" t="str">
        <f>IFERROR(__xludf.DUMMYFUNCTION("""COMPUTED_VALUE"""),"4, 5")</f>
        <v>4, 5</v>
      </c>
      <c r="C2700" s="5" t="str">
        <f>IFERROR(__xludf.DUMMYFUNCTION("""COMPUTED_VALUE"""),"https://drive.google.com/file/d/13Ywchq9-UhAIewHMAHyTC7rPpjYbFZja/view?usp=drivesdk")</f>
        <v>https://drive.google.com/file/d/13Ywchq9-UhAIewHMAHyTC7rPpjYbFZja/view?usp=drivesdk</v>
      </c>
      <c r="D2700" s="12"/>
      <c r="E2700" s="11">
        <v>2738.0</v>
      </c>
      <c r="F2700" s="2"/>
    </row>
    <row r="2701" ht="1.5" customHeight="1">
      <c r="A2701" s="4" t="str">
        <f>IFERROR(__xludf.DUMMYFUNCTION("""COMPUTED_VALUE"""),"4. Eggs, 5. Eraser")</f>
        <v>4. Eggs, 5. Eraser</v>
      </c>
      <c r="B2701" s="4" t="str">
        <f>IFERROR(__xludf.DUMMYFUNCTION("""COMPUTED_VALUE"""),"4, 5")</f>
        <v>4, 5</v>
      </c>
      <c r="C2701" s="5" t="str">
        <f>IFERROR(__xludf.DUMMYFUNCTION("""COMPUTED_VALUE"""),"https://drive.google.com/file/d/1UsrTolhir8nKsdpuZ7uLd_bb1urwqdou/view?usp=drivesdk")</f>
        <v>https://drive.google.com/file/d/1UsrTolhir8nKsdpuZ7uLd_bb1urwqdou/view?usp=drivesdk</v>
      </c>
      <c r="D2701" s="12"/>
      <c r="E2701" s="11">
        <v>2739.0</v>
      </c>
      <c r="F2701" s="2"/>
    </row>
    <row r="2702" ht="1.5" customHeight="1">
      <c r="A2702" s="4" t="str">
        <f>IFERROR(__xludf.DUMMYFUNCTION("""COMPUTED_VALUE"""),"0. NotACat")</f>
        <v>0. NotACat</v>
      </c>
      <c r="B2702" s="4" t="str">
        <f>IFERROR(__xludf.DUMMYFUNCTION("""COMPUTED_VALUE"""),"0")</f>
        <v>0</v>
      </c>
      <c r="C2702" s="5" t="str">
        <f>IFERROR(__xludf.DUMMYFUNCTION("""COMPUTED_VALUE"""),"https://drive.google.com/file/d/1n7z7c9cvyyr17ghDhLZxThg-GcJNsXp8/view?usp=drivesdk")</f>
        <v>https://drive.google.com/file/d/1n7z7c9cvyyr17ghDhLZxThg-GcJNsXp8/view?usp=drivesdk</v>
      </c>
      <c r="D2702" s="12"/>
      <c r="E2702" s="11">
        <v>2740.0</v>
      </c>
      <c r="F2702" s="2"/>
    </row>
    <row r="2703" ht="1.5" customHeight="1">
      <c r="A2703" s="4" t="str">
        <f>IFERROR(__xludf.DUMMYFUNCTION("""COMPUTED_VALUE"""),"1. Microwave")</f>
        <v>1. Microwave</v>
      </c>
      <c r="B2703" s="4" t="str">
        <f>IFERROR(__xludf.DUMMYFUNCTION("""COMPUTED_VALUE"""),"1")</f>
        <v>1</v>
      </c>
      <c r="C2703" s="5" t="str">
        <f>IFERROR(__xludf.DUMMYFUNCTION("""COMPUTED_VALUE"""),"https://drive.google.com/file/d/1S0sXz6dXpVQjbjbPnwxC9yNXe4dkh4ry/view?usp=drivesdk")</f>
        <v>https://drive.google.com/file/d/1S0sXz6dXpVQjbjbPnwxC9yNXe4dkh4ry/view?usp=drivesdk</v>
      </c>
      <c r="D2703" s="12"/>
      <c r="E2703" s="11">
        <v>2741.0</v>
      </c>
      <c r="F2703" s="2"/>
    </row>
    <row r="2704" ht="1.5" customHeight="1">
      <c r="A2704" s="4" t="str">
        <f>IFERROR(__xludf.DUMMYFUNCTION("""COMPUTED_VALUE"""),"1. Microwave")</f>
        <v>1. Microwave</v>
      </c>
      <c r="B2704" s="4" t="str">
        <f>IFERROR(__xludf.DUMMYFUNCTION("""COMPUTED_VALUE"""),"1")</f>
        <v>1</v>
      </c>
      <c r="C2704" s="5" t="str">
        <f>IFERROR(__xludf.DUMMYFUNCTION("""COMPUTED_VALUE"""),"https://drive.google.com/file/d/1tCb-CenHIt4bcCa7LTGrBSSSZzhUs0tM/view?usp=drivesdk")</f>
        <v>https://drive.google.com/file/d/1tCb-CenHIt4bcCa7LTGrBSSSZzhUs0tM/view?usp=drivesdk</v>
      </c>
      <c r="D2704" s="12"/>
      <c r="E2704" s="11">
        <v>2742.0</v>
      </c>
      <c r="F2704" s="2"/>
    </row>
    <row r="2705" ht="1.5" customHeight="1">
      <c r="A2705" s="4" t="str">
        <f>IFERROR(__xludf.DUMMYFUNCTION("""COMPUTED_VALUE"""),"1. Microwave")</f>
        <v>1. Microwave</v>
      </c>
      <c r="B2705" s="4" t="str">
        <f>IFERROR(__xludf.DUMMYFUNCTION("""COMPUTED_VALUE"""),"1")</f>
        <v>1</v>
      </c>
      <c r="C2705" s="5" t="str">
        <f>IFERROR(__xludf.DUMMYFUNCTION("""COMPUTED_VALUE"""),"https://drive.google.com/file/d/1VV2O-ExD_n61WaJSURHhQkTZ6BLKfgHS/view?usp=drivesdk")</f>
        <v>https://drive.google.com/file/d/1VV2O-ExD_n61WaJSURHhQkTZ6BLKfgHS/view?usp=drivesdk</v>
      </c>
      <c r="D2705" s="12"/>
      <c r="E2705" s="11">
        <v>2743.0</v>
      </c>
      <c r="F2705" s="2"/>
    </row>
    <row r="2706" ht="1.5" customHeight="1">
      <c r="A2706" s="4" t="str">
        <f>IFERROR(__xludf.DUMMYFUNCTION("""COMPUTED_VALUE"""),"1. Microwave")</f>
        <v>1. Microwave</v>
      </c>
      <c r="B2706" s="4" t="str">
        <f>IFERROR(__xludf.DUMMYFUNCTION("""COMPUTED_VALUE"""),"1")</f>
        <v>1</v>
      </c>
      <c r="C2706" s="5" t="str">
        <f>IFERROR(__xludf.DUMMYFUNCTION("""COMPUTED_VALUE"""),"https://drive.google.com/file/d/1XEitFL39CLmEyKvZhf5M7OiY6eB20xuK/view?usp=drivesdk")</f>
        <v>https://drive.google.com/file/d/1XEitFL39CLmEyKvZhf5M7OiY6eB20xuK/view?usp=drivesdk</v>
      </c>
      <c r="D2706" s="12"/>
      <c r="E2706" s="11">
        <v>2744.0</v>
      </c>
      <c r="F2706" s="2"/>
    </row>
    <row r="2707" ht="1.5" customHeight="1">
      <c r="A2707" s="4" t="str">
        <f>IFERROR(__xludf.DUMMYFUNCTION("""COMPUTED_VALUE"""),"1. Microwave")</f>
        <v>1. Microwave</v>
      </c>
      <c r="B2707" s="4" t="str">
        <f>IFERROR(__xludf.DUMMYFUNCTION("""COMPUTED_VALUE"""),"1")</f>
        <v>1</v>
      </c>
      <c r="C2707" s="5" t="str">
        <f>IFERROR(__xludf.DUMMYFUNCTION("""COMPUTED_VALUE"""),"https://drive.google.com/file/d/1G2MscrKRuGolGnvdqLsbhNG-1GwQoL6Q/view?usp=drivesdk")</f>
        <v>https://drive.google.com/file/d/1G2MscrKRuGolGnvdqLsbhNG-1GwQoL6Q/view?usp=drivesdk</v>
      </c>
      <c r="D2707" s="12"/>
      <c r="E2707" s="11">
        <v>2745.0</v>
      </c>
      <c r="F2707" s="2"/>
    </row>
    <row r="2708" ht="1.5" customHeight="1">
      <c r="A2708" s="4" t="str">
        <f>IFERROR(__xludf.DUMMYFUNCTION("""COMPUTED_VALUE"""),"1. Microwave")</f>
        <v>1. Microwave</v>
      </c>
      <c r="B2708" s="4" t="str">
        <f>IFERROR(__xludf.DUMMYFUNCTION("""COMPUTED_VALUE"""),"1")</f>
        <v>1</v>
      </c>
      <c r="C2708" s="5" t="str">
        <f>IFERROR(__xludf.DUMMYFUNCTION("""COMPUTED_VALUE"""),"https://drive.google.com/file/d/1n22I7XzHeSaOvTU2E1h5S9YSBYekPFf8/view?usp=drivesdk")</f>
        <v>https://drive.google.com/file/d/1n22I7XzHeSaOvTU2E1h5S9YSBYekPFf8/view?usp=drivesdk</v>
      </c>
      <c r="D2708" s="12"/>
      <c r="E2708" s="11">
        <v>2746.0</v>
      </c>
      <c r="F2708" s="2"/>
    </row>
    <row r="2709" ht="1.5" customHeight="1">
      <c r="A2709" s="4" t="str">
        <f>IFERROR(__xludf.DUMMYFUNCTION("""COMPUTED_VALUE"""),"1. Microwave")</f>
        <v>1. Microwave</v>
      </c>
      <c r="B2709" s="4" t="str">
        <f>IFERROR(__xludf.DUMMYFUNCTION("""COMPUTED_VALUE"""),"1")</f>
        <v>1</v>
      </c>
      <c r="C2709" s="5" t="str">
        <f>IFERROR(__xludf.DUMMYFUNCTION("""COMPUTED_VALUE"""),"https://drive.google.com/file/d/1lKkGfaR8wbK3GBj1vEZK3k-BUdE1mK5A/view?usp=drivesdk")</f>
        <v>https://drive.google.com/file/d/1lKkGfaR8wbK3GBj1vEZK3k-BUdE1mK5A/view?usp=drivesdk</v>
      </c>
      <c r="D2709" s="12"/>
      <c r="E2709" s="11">
        <v>2747.0</v>
      </c>
      <c r="F2709" s="2"/>
    </row>
    <row r="2710" ht="1.5" customHeight="1">
      <c r="A2710" s="4" t="str">
        <f>IFERROR(__xludf.DUMMYFUNCTION("""COMPUTED_VALUE"""),"1. Microwave")</f>
        <v>1. Microwave</v>
      </c>
      <c r="B2710" s="4" t="str">
        <f>IFERROR(__xludf.DUMMYFUNCTION("""COMPUTED_VALUE"""),"1")</f>
        <v>1</v>
      </c>
      <c r="C2710" s="5" t="str">
        <f>IFERROR(__xludf.DUMMYFUNCTION("""COMPUTED_VALUE"""),"https://drive.google.com/file/d/1Q8OsAfacI-XZUvHjPF8lNJtoWU7bmedz/view?usp=drivesdk")</f>
        <v>https://drive.google.com/file/d/1Q8OsAfacI-XZUvHjPF8lNJtoWU7bmedz/view?usp=drivesdk</v>
      </c>
      <c r="D2710" s="12"/>
      <c r="E2710" s="11">
        <v>2748.0</v>
      </c>
      <c r="F2710" s="2"/>
    </row>
    <row r="2711" ht="1.5" customHeight="1">
      <c r="A2711" s="4" t="str">
        <f>IFERROR(__xludf.DUMMYFUNCTION("""COMPUTED_VALUE"""),"1. Microwave")</f>
        <v>1. Microwave</v>
      </c>
      <c r="B2711" s="4" t="str">
        <f>IFERROR(__xludf.DUMMYFUNCTION("""COMPUTED_VALUE"""),"1")</f>
        <v>1</v>
      </c>
      <c r="C2711" s="5" t="str">
        <f>IFERROR(__xludf.DUMMYFUNCTION("""COMPUTED_VALUE"""),"https://drive.google.com/file/d/1nMjY6C2BjL-cdxBSg2NQR5Od9V0Srb01/view?usp=drivesdk")</f>
        <v>https://drive.google.com/file/d/1nMjY6C2BjL-cdxBSg2NQR5Od9V0Srb01/view?usp=drivesdk</v>
      </c>
      <c r="D2711" s="12"/>
      <c r="E2711" s="11">
        <v>2749.0</v>
      </c>
      <c r="F2711" s="2"/>
    </row>
    <row r="2712" ht="1.5" customHeight="1">
      <c r="A2712" s="4" t="str">
        <f>IFERROR(__xludf.DUMMYFUNCTION("""COMPUTED_VALUE"""),"1. Microwave")</f>
        <v>1. Microwave</v>
      </c>
      <c r="B2712" s="4" t="str">
        <f>IFERROR(__xludf.DUMMYFUNCTION("""COMPUTED_VALUE"""),"1")</f>
        <v>1</v>
      </c>
      <c r="C2712" s="5" t="str">
        <f>IFERROR(__xludf.DUMMYFUNCTION("""COMPUTED_VALUE"""),"https://drive.google.com/file/d/15wYRCObSSP6ruVd_wnDRbFn3kDikj-tt/view?usp=drivesdk")</f>
        <v>https://drive.google.com/file/d/15wYRCObSSP6ruVd_wnDRbFn3kDikj-tt/view?usp=drivesdk</v>
      </c>
      <c r="D2712" s="12"/>
      <c r="E2712" s="11">
        <v>2750.0</v>
      </c>
      <c r="F2712" s="2"/>
    </row>
    <row r="2713" ht="1.5" customHeight="1">
      <c r="A2713" s="4" t="str">
        <f>IFERROR(__xludf.DUMMYFUNCTION("""COMPUTED_VALUE"""),"1. Microwave")</f>
        <v>1. Microwave</v>
      </c>
      <c r="B2713" s="4" t="str">
        <f>IFERROR(__xludf.DUMMYFUNCTION("""COMPUTED_VALUE"""),"1")</f>
        <v>1</v>
      </c>
      <c r="C2713" s="5" t="str">
        <f>IFERROR(__xludf.DUMMYFUNCTION("""COMPUTED_VALUE"""),"https://drive.google.com/file/d/18fOsxb6WJEEWWwqkVN3eYb-tkswOT8WL/view?usp=drivesdk")</f>
        <v>https://drive.google.com/file/d/18fOsxb6WJEEWWwqkVN3eYb-tkswOT8WL/view?usp=drivesdk</v>
      </c>
      <c r="D2713" s="12"/>
      <c r="E2713" s="11">
        <v>2751.0</v>
      </c>
      <c r="F2713" s="2"/>
    </row>
    <row r="2714" ht="1.5" customHeight="1">
      <c r="A2714" s="4" t="str">
        <f>IFERROR(__xludf.DUMMYFUNCTION("""COMPUTED_VALUE"""),"2. Twix")</f>
        <v>2. Twix</v>
      </c>
      <c r="B2714" s="4" t="str">
        <f>IFERROR(__xludf.DUMMYFUNCTION("""COMPUTED_VALUE"""),"2")</f>
        <v>2</v>
      </c>
      <c r="C2714" s="5" t="str">
        <f>IFERROR(__xludf.DUMMYFUNCTION("""COMPUTED_VALUE"""),"https://drive.google.com/file/d/17oKgVWeB82TfQf7XVECvEs-sv8dAtFQe/view?usp=drivesdk")</f>
        <v>https://drive.google.com/file/d/17oKgVWeB82TfQf7XVECvEs-sv8dAtFQe/view?usp=drivesdk</v>
      </c>
      <c r="D2714" s="12"/>
      <c r="E2714" s="11">
        <v>2752.0</v>
      </c>
      <c r="F2714" s="2"/>
    </row>
    <row r="2715" ht="1.5" customHeight="1">
      <c r="A2715" s="4" t="str">
        <f>IFERROR(__xludf.DUMMYFUNCTION("""COMPUTED_VALUE"""),"4. Eggs")</f>
        <v>4. Eggs</v>
      </c>
      <c r="B2715" s="4" t="str">
        <f>IFERROR(__xludf.DUMMYFUNCTION("""COMPUTED_VALUE"""),"4")</f>
        <v>4</v>
      </c>
      <c r="C2715" s="5" t="str">
        <f>IFERROR(__xludf.DUMMYFUNCTION("""COMPUTED_VALUE"""),"https://drive.google.com/file/d/1EvoEkhxgekOzy-0Q2Opd0ElBwklZT5fD/view?usp=drivesdk")</f>
        <v>https://drive.google.com/file/d/1EvoEkhxgekOzy-0Q2Opd0ElBwklZT5fD/view?usp=drivesdk</v>
      </c>
      <c r="D2715" s="12"/>
      <c r="E2715" s="11">
        <v>2753.0</v>
      </c>
      <c r="F2715" s="2"/>
    </row>
    <row r="2716" ht="1.5" customHeight="1">
      <c r="A2716" s="4" t="str">
        <f>IFERROR(__xludf.DUMMYFUNCTION("""COMPUTED_VALUE"""),"22. Glockenspiel")</f>
        <v>22. Glockenspiel</v>
      </c>
      <c r="B2716" s="4" t="str">
        <f>IFERROR(__xludf.DUMMYFUNCTION("""COMPUTED_VALUE"""),"22")</f>
        <v>22</v>
      </c>
      <c r="C2716" s="5" t="str">
        <f>IFERROR(__xludf.DUMMYFUNCTION("""COMPUTED_VALUE"""),"https://drive.google.com/file/d/1vnt-4cXc9fFHjbZXNPFOs1sMnpjj_zW8/view?usp=drivesdk")</f>
        <v>https://drive.google.com/file/d/1vnt-4cXc9fFHjbZXNPFOs1sMnpjj_zW8/view?usp=drivesdk</v>
      </c>
      <c r="D2716" s="12"/>
      <c r="E2716" s="11">
        <v>2754.0</v>
      </c>
      <c r="F2716" s="2"/>
    </row>
    <row r="2717" ht="1.5" customHeight="1">
      <c r="A2717" s="4" t="str">
        <f>IFERROR(__xludf.DUMMYFUNCTION("""COMPUTED_VALUE"""),"4. Eggs, 5. Eraser")</f>
        <v>4. Eggs, 5. Eraser</v>
      </c>
      <c r="B2717" s="4" t="str">
        <f>IFERROR(__xludf.DUMMYFUNCTION("""COMPUTED_VALUE"""),"4, 5")</f>
        <v>4, 5</v>
      </c>
      <c r="C2717" s="5" t="str">
        <f>IFERROR(__xludf.DUMMYFUNCTION("""COMPUTED_VALUE"""),"https://drive.google.com/file/d/1EbxMFlQs9EgsHLXDL1WBx5SIFGBInprE/view?usp=drivesdk")</f>
        <v>https://drive.google.com/file/d/1EbxMFlQs9EgsHLXDL1WBx5SIFGBInprE/view?usp=drivesdk</v>
      </c>
      <c r="D2717" s="12"/>
      <c r="E2717" s="11">
        <v>2755.0</v>
      </c>
      <c r="F2717" s="2"/>
    </row>
    <row r="2718" ht="1.5" customHeight="1">
      <c r="A2718" s="4" t="str">
        <f>IFERROR(__xludf.DUMMYFUNCTION("""COMPUTED_VALUE"""),"2. Twix")</f>
        <v>2. Twix</v>
      </c>
      <c r="B2718" s="4" t="str">
        <f>IFERROR(__xludf.DUMMYFUNCTION("""COMPUTED_VALUE"""),"2")</f>
        <v>2</v>
      </c>
      <c r="C2718" s="5" t="str">
        <f>IFERROR(__xludf.DUMMYFUNCTION("""COMPUTED_VALUE"""),"https://drive.google.com/file/d/1itAVWhhYooTZEfUTFbQjzvl3fh49t-YZ/view?usp=drivesdk")</f>
        <v>https://drive.google.com/file/d/1itAVWhhYooTZEfUTFbQjzvl3fh49t-YZ/view?usp=drivesdk</v>
      </c>
      <c r="D2718" s="12"/>
      <c r="E2718" s="11">
        <v>2756.0</v>
      </c>
      <c r="F2718" s="2"/>
    </row>
    <row r="2719" ht="1.5" customHeight="1">
      <c r="A2719" s="4" t="str">
        <f>IFERROR(__xludf.DUMMYFUNCTION("""COMPUTED_VALUE"""),"71. Robin")</f>
        <v>71. Robin</v>
      </c>
      <c r="B2719" s="4" t="str">
        <f>IFERROR(__xludf.DUMMYFUNCTION("""COMPUTED_VALUE"""),"71")</f>
        <v>71</v>
      </c>
      <c r="C2719" s="5" t="str">
        <f>IFERROR(__xludf.DUMMYFUNCTION("""COMPUTED_VALUE"""),"https://drive.google.com/file/d/1s3rqvmhqZReuIt6V29ikQHt7BFskwSmq/view?usp=drivesdk")</f>
        <v>https://drive.google.com/file/d/1s3rqvmhqZReuIt6V29ikQHt7BFskwSmq/view?usp=drivesdk</v>
      </c>
      <c r="D2719" s="12"/>
      <c r="E2719" s="11">
        <v>2757.0</v>
      </c>
      <c r="F2719" s="2"/>
    </row>
    <row r="2720" ht="1.5" customHeight="1">
      <c r="A2720" s="4" t="str">
        <f>IFERROR(__xludf.DUMMYFUNCTION("""COMPUTED_VALUE"""),"71. Robin")</f>
        <v>71. Robin</v>
      </c>
      <c r="B2720" s="4" t="str">
        <f>IFERROR(__xludf.DUMMYFUNCTION("""COMPUTED_VALUE"""),"71")</f>
        <v>71</v>
      </c>
      <c r="C2720" s="5" t="str">
        <f>IFERROR(__xludf.DUMMYFUNCTION("""COMPUTED_VALUE"""),"https://drive.google.com/file/d/1Zpo6uoEPjHRSDzrf0Fk0zFEq9UUlQuTj/view?usp=drivesdk")</f>
        <v>https://drive.google.com/file/d/1Zpo6uoEPjHRSDzrf0Fk0zFEq9UUlQuTj/view?usp=drivesdk</v>
      </c>
      <c r="D2720" s="12"/>
      <c r="E2720" s="11">
        <v>2758.0</v>
      </c>
      <c r="F2720" s="2"/>
    </row>
    <row r="2721" ht="1.5" customHeight="1">
      <c r="A2721" s="4" t="str">
        <f>IFERROR(__xludf.DUMMYFUNCTION("""COMPUTED_VALUE"""),"6. Snickers")</f>
        <v>6. Snickers</v>
      </c>
      <c r="B2721" s="4" t="str">
        <f>IFERROR(__xludf.DUMMYFUNCTION("""COMPUTED_VALUE"""),"6")</f>
        <v>6</v>
      </c>
      <c r="C2721" s="5" t="str">
        <f>IFERROR(__xludf.DUMMYFUNCTION("""COMPUTED_VALUE"""),"https://drive.google.com/file/d/1s_3GEf4kIh48kyJHAnDdFxjLwgF_WF4Y/view?usp=drivesdk")</f>
        <v>https://drive.google.com/file/d/1s_3GEf4kIh48kyJHAnDdFxjLwgF_WF4Y/view?usp=drivesdk</v>
      </c>
      <c r="D2721" s="12"/>
      <c r="E2721" s="11">
        <v>2759.0</v>
      </c>
      <c r="F2721" s="2"/>
    </row>
    <row r="2722" ht="1.5" customHeight="1">
      <c r="A2722" s="4" t="str">
        <f>IFERROR(__xludf.DUMMYFUNCTION("""COMPUTED_VALUE"""),"6. Snickers")</f>
        <v>6. Snickers</v>
      </c>
      <c r="B2722" s="4" t="str">
        <f>IFERROR(__xludf.DUMMYFUNCTION("""COMPUTED_VALUE"""),"6")</f>
        <v>6</v>
      </c>
      <c r="C2722" s="5" t="str">
        <f>IFERROR(__xludf.DUMMYFUNCTION("""COMPUTED_VALUE"""),"https://drive.google.com/file/d/1JTs3oQMLDKSU9-I7mgcN15BeO4-ubWFD/view?usp=drivesdk")</f>
        <v>https://drive.google.com/file/d/1JTs3oQMLDKSU9-I7mgcN15BeO4-ubWFD/view?usp=drivesdk</v>
      </c>
      <c r="D2722" s="12"/>
      <c r="E2722" s="11">
        <v>2760.0</v>
      </c>
      <c r="F2722" s="2"/>
    </row>
    <row r="2723" ht="1.5" customHeight="1">
      <c r="A2723" s="4" t="str">
        <f>IFERROR(__xludf.DUMMYFUNCTION("""COMPUTED_VALUE"""),"2. Twix")</f>
        <v>2. Twix</v>
      </c>
      <c r="B2723" s="4" t="str">
        <f>IFERROR(__xludf.DUMMYFUNCTION("""COMPUTED_VALUE"""),"2")</f>
        <v>2</v>
      </c>
      <c r="C2723" s="5" t="str">
        <f>IFERROR(__xludf.DUMMYFUNCTION("""COMPUTED_VALUE"""),"https://drive.google.com/file/d/1JkeT_F8MQfm1Jf_5X-fzKBiJf1_0-b9t/view?usp=drivesdk")</f>
        <v>https://drive.google.com/file/d/1JkeT_F8MQfm1Jf_5X-fzKBiJf1_0-b9t/view?usp=drivesdk</v>
      </c>
      <c r="D2723" s="12"/>
      <c r="E2723" s="11">
        <v>2761.0</v>
      </c>
      <c r="F2723" s="2"/>
    </row>
    <row r="2724" ht="1.5" customHeight="1">
      <c r="A2724" s="4" t="str">
        <f>IFERROR(__xludf.DUMMYFUNCTION("""COMPUTED_VALUE"""),"2. Twix")</f>
        <v>2. Twix</v>
      </c>
      <c r="B2724" s="4" t="str">
        <f>IFERROR(__xludf.DUMMYFUNCTION("""COMPUTED_VALUE"""),"2")</f>
        <v>2</v>
      </c>
      <c r="C2724" s="5" t="str">
        <f>IFERROR(__xludf.DUMMYFUNCTION("""COMPUTED_VALUE"""),"https://drive.google.com/file/d/1IaNOxoiiyZ5hkL55cjXvszTJjWrkXznU/view?usp=drivesdk")</f>
        <v>https://drive.google.com/file/d/1IaNOxoiiyZ5hkL55cjXvszTJjWrkXznU/view?usp=drivesdk</v>
      </c>
      <c r="D2724" s="12"/>
      <c r="E2724" s="11">
        <v>2762.0</v>
      </c>
      <c r="F2724" s="2"/>
    </row>
    <row r="2725" ht="1.5" customHeight="1">
      <c r="A2725" s="4" t="str">
        <f>IFERROR(__xludf.DUMMYFUNCTION("""COMPUTED_VALUE"""),"2. Twix")</f>
        <v>2. Twix</v>
      </c>
      <c r="B2725" s="4" t="str">
        <f>IFERROR(__xludf.DUMMYFUNCTION("""COMPUTED_VALUE"""),"2")</f>
        <v>2</v>
      </c>
      <c r="C2725" s="5" t="str">
        <f>IFERROR(__xludf.DUMMYFUNCTION("""COMPUTED_VALUE"""),"https://drive.google.com/file/d/15r5f3ZY1wRTJwQPjTXLuyqSIH3YkOa5r/view?usp=drivesdk")</f>
        <v>https://drive.google.com/file/d/15r5f3ZY1wRTJwQPjTXLuyqSIH3YkOa5r/view?usp=drivesdk</v>
      </c>
      <c r="D2725" s="12"/>
      <c r="E2725" s="11">
        <v>2763.0</v>
      </c>
      <c r="F2725" s="2"/>
    </row>
    <row r="2726" ht="1.5" customHeight="1">
      <c r="A2726" s="4" t="str">
        <f>IFERROR(__xludf.DUMMYFUNCTION("""COMPUTED_VALUE"""),"2. Twix")</f>
        <v>2. Twix</v>
      </c>
      <c r="B2726" s="4" t="str">
        <f>IFERROR(__xludf.DUMMYFUNCTION("""COMPUTED_VALUE"""),"2")</f>
        <v>2</v>
      </c>
      <c r="C2726" s="5" t="str">
        <f>IFERROR(__xludf.DUMMYFUNCTION("""COMPUTED_VALUE"""),"https://drive.google.com/file/d/1JgN5aALTYXG0PeR0D-bFX_u4VXs0y_hj/view?usp=drivesdk")</f>
        <v>https://drive.google.com/file/d/1JgN5aALTYXG0PeR0D-bFX_u4VXs0y_hj/view?usp=drivesdk</v>
      </c>
      <c r="D2726" s="12"/>
      <c r="E2726" s="11">
        <v>2764.0</v>
      </c>
      <c r="F2726" s="2"/>
    </row>
    <row r="2727" ht="1.5" customHeight="1">
      <c r="A2727" s="4" t="str">
        <f>IFERROR(__xludf.DUMMYFUNCTION("""COMPUTED_VALUE"""),"2. Twix")</f>
        <v>2. Twix</v>
      </c>
      <c r="B2727" s="4" t="str">
        <f>IFERROR(__xludf.DUMMYFUNCTION("""COMPUTED_VALUE"""),"2")</f>
        <v>2</v>
      </c>
      <c r="C2727" s="5" t="str">
        <f>IFERROR(__xludf.DUMMYFUNCTION("""COMPUTED_VALUE"""),"https://drive.google.com/file/d/1pnx3Lxm1D4av_-JixCxFucwwCaNDbUG1/view?usp=drivesdk")</f>
        <v>https://drive.google.com/file/d/1pnx3Lxm1D4av_-JixCxFucwwCaNDbUG1/view?usp=drivesdk</v>
      </c>
      <c r="D2727" s="12"/>
      <c r="E2727" s="11">
        <v>2765.0</v>
      </c>
      <c r="F2727" s="2"/>
    </row>
    <row r="2728" ht="1.5" customHeight="1">
      <c r="A2728" s="4" t="str">
        <f>IFERROR(__xludf.DUMMYFUNCTION("""COMPUTED_VALUE"""),"2. Twix")</f>
        <v>2. Twix</v>
      </c>
      <c r="B2728" s="4" t="str">
        <f>IFERROR(__xludf.DUMMYFUNCTION("""COMPUTED_VALUE"""),"2")</f>
        <v>2</v>
      </c>
      <c r="C2728" s="5" t="str">
        <f>IFERROR(__xludf.DUMMYFUNCTION("""COMPUTED_VALUE"""),"https://drive.google.com/file/d/1fwm9PYLyb7k7HRBI55h6edmlM9hc01Ph/view?usp=drivesdk")</f>
        <v>https://drive.google.com/file/d/1fwm9PYLyb7k7HRBI55h6edmlM9hc01Ph/view?usp=drivesdk</v>
      </c>
      <c r="D2728" s="12"/>
      <c r="E2728" s="11">
        <v>2766.0</v>
      </c>
      <c r="F2728" s="2"/>
    </row>
    <row r="2729" ht="1.5" customHeight="1">
      <c r="A2729" s="4" t="str">
        <f>IFERROR(__xludf.DUMMYFUNCTION("""COMPUTED_VALUE"""),"0. NotACat")</f>
        <v>0. NotACat</v>
      </c>
      <c r="B2729" s="4" t="str">
        <f>IFERROR(__xludf.DUMMYFUNCTION("""COMPUTED_VALUE"""),"0")</f>
        <v>0</v>
      </c>
      <c r="C2729" s="5" t="str">
        <f>IFERROR(__xludf.DUMMYFUNCTION("""COMPUTED_VALUE"""),"https://drive.google.com/file/d/13-PqazkhWe-FfQFhyAFglieTyxQj4PZ-/view?usp=drivesdk")</f>
        <v>https://drive.google.com/file/d/13-PqazkhWe-FfQFhyAFglieTyxQj4PZ-/view?usp=drivesdk</v>
      </c>
      <c r="D2729" s="12"/>
      <c r="E2729" s="11">
        <v>2767.0</v>
      </c>
      <c r="F2729" s="2"/>
    </row>
    <row r="2730" ht="1.5" customHeight="1">
      <c r="A2730" s="4" t="str">
        <f>IFERROR(__xludf.DUMMYFUNCTION("""COMPUTED_VALUE"""),"2. Twix")</f>
        <v>2. Twix</v>
      </c>
      <c r="B2730" s="4" t="str">
        <f>IFERROR(__xludf.DUMMYFUNCTION("""COMPUTED_VALUE"""),"2")</f>
        <v>2</v>
      </c>
      <c r="C2730" s="5" t="str">
        <f>IFERROR(__xludf.DUMMYFUNCTION("""COMPUTED_VALUE"""),"https://drive.google.com/file/d/124Tq1rau5aZmlSBhQqJQAWo-kmAzZbjA/view?usp=drivesdk")</f>
        <v>https://drive.google.com/file/d/124Tq1rau5aZmlSBhQqJQAWo-kmAzZbjA/view?usp=drivesdk</v>
      </c>
      <c r="D2730" s="12"/>
      <c r="E2730" s="11">
        <v>2768.0</v>
      </c>
      <c r="F2730" s="2"/>
    </row>
    <row r="2731" ht="1.5" customHeight="1">
      <c r="A2731" s="4" t="str">
        <f>IFERROR(__xludf.DUMMYFUNCTION("""COMPUTED_VALUE"""),"2. Twix")</f>
        <v>2. Twix</v>
      </c>
      <c r="B2731" s="4" t="str">
        <f>IFERROR(__xludf.DUMMYFUNCTION("""COMPUTED_VALUE"""),"2")</f>
        <v>2</v>
      </c>
      <c r="C2731" s="5" t="str">
        <f>IFERROR(__xludf.DUMMYFUNCTION("""COMPUTED_VALUE"""),"https://drive.google.com/file/d/1c1-c6LjMMoUg1gSGjEID1plkPdqlK53f/view?usp=drivesdk")</f>
        <v>https://drive.google.com/file/d/1c1-c6LjMMoUg1gSGjEID1plkPdqlK53f/view?usp=drivesdk</v>
      </c>
      <c r="D2731" s="12"/>
      <c r="E2731" s="11">
        <v>2769.0</v>
      </c>
      <c r="F2731" s="2"/>
    </row>
    <row r="2732" ht="1.5" customHeight="1">
      <c r="A2732" s="4" t="str">
        <f>IFERROR(__xludf.DUMMYFUNCTION("""COMPUTED_VALUE"""),"2. Twix")</f>
        <v>2. Twix</v>
      </c>
      <c r="B2732" s="4" t="str">
        <f>IFERROR(__xludf.DUMMYFUNCTION("""COMPUTED_VALUE"""),"2")</f>
        <v>2</v>
      </c>
      <c r="C2732" s="5" t="str">
        <f>IFERROR(__xludf.DUMMYFUNCTION("""COMPUTED_VALUE"""),"https://drive.google.com/file/d/1A0tzSZLIXRjtcaWOWuydibLtmPIul-7u/view?usp=drivesdk")</f>
        <v>https://drive.google.com/file/d/1A0tzSZLIXRjtcaWOWuydibLtmPIul-7u/view?usp=drivesdk</v>
      </c>
      <c r="D2732" s="12"/>
      <c r="E2732" s="11">
        <v>2770.0</v>
      </c>
      <c r="F2732" s="2"/>
    </row>
    <row r="2733" ht="1.5" customHeight="1">
      <c r="A2733" s="4" t="str">
        <f>IFERROR(__xludf.DUMMYFUNCTION("""COMPUTED_VALUE"""),"2. Twix")</f>
        <v>2. Twix</v>
      </c>
      <c r="B2733" s="4" t="str">
        <f>IFERROR(__xludf.DUMMYFUNCTION("""COMPUTED_VALUE"""),"2")</f>
        <v>2</v>
      </c>
      <c r="C2733" s="5" t="str">
        <f>IFERROR(__xludf.DUMMYFUNCTION("""COMPUTED_VALUE"""),"https://drive.google.com/file/d/1iIErAQi4GPQ77kU3QOPnETpjb4jjKMpC/view?usp=drivesdk")</f>
        <v>https://drive.google.com/file/d/1iIErAQi4GPQ77kU3QOPnETpjb4jjKMpC/view?usp=drivesdk</v>
      </c>
      <c r="D2733" s="12"/>
      <c r="E2733" s="11">
        <v>2771.0</v>
      </c>
      <c r="F2733" s="2"/>
    </row>
    <row r="2734" ht="1.5" customHeight="1">
      <c r="A2734" s="4" t="str">
        <f>IFERROR(__xludf.DUMMYFUNCTION("""COMPUTED_VALUE"""),"2. Twix")</f>
        <v>2. Twix</v>
      </c>
      <c r="B2734" s="4" t="str">
        <f>IFERROR(__xludf.DUMMYFUNCTION("""COMPUTED_VALUE"""),"2")</f>
        <v>2</v>
      </c>
      <c r="C2734" s="5" t="str">
        <f>IFERROR(__xludf.DUMMYFUNCTION("""COMPUTED_VALUE"""),"https://drive.google.com/file/d/1aJw4aWjC2cAX-ATH47g3Bl5Mccgq7xEh/view?usp=drivesdk")</f>
        <v>https://drive.google.com/file/d/1aJw4aWjC2cAX-ATH47g3Bl5Mccgq7xEh/view?usp=drivesdk</v>
      </c>
      <c r="D2734" s="12"/>
      <c r="E2734" s="11">
        <v>2772.0</v>
      </c>
      <c r="F2734" s="2"/>
    </row>
    <row r="2735" ht="1.5" customHeight="1">
      <c r="A2735" s="4" t="str">
        <f>IFERROR(__xludf.DUMMYFUNCTION("""COMPUTED_VALUE"""),"2. Twix")</f>
        <v>2. Twix</v>
      </c>
      <c r="B2735" s="4" t="str">
        <f>IFERROR(__xludf.DUMMYFUNCTION("""COMPUTED_VALUE"""),"2")</f>
        <v>2</v>
      </c>
      <c r="C2735" s="5" t="str">
        <f>IFERROR(__xludf.DUMMYFUNCTION("""COMPUTED_VALUE"""),"https://drive.google.com/file/d/1san6Z9rx8CY9TSqA8IO6CjtGiQ6W6SwD/view?usp=drivesdk")</f>
        <v>https://drive.google.com/file/d/1san6Z9rx8CY9TSqA8IO6CjtGiQ6W6SwD/view?usp=drivesdk</v>
      </c>
      <c r="D2735" s="12"/>
      <c r="E2735" s="11">
        <v>2773.0</v>
      </c>
      <c r="F2735" s="2"/>
    </row>
    <row r="2736" ht="1.5" customHeight="1">
      <c r="A2736" s="4" t="str">
        <f>IFERROR(__xludf.DUMMYFUNCTION("""COMPUTED_VALUE"""),"2. Twix")</f>
        <v>2. Twix</v>
      </c>
      <c r="B2736" s="4" t="str">
        <f>IFERROR(__xludf.DUMMYFUNCTION("""COMPUTED_VALUE"""),"2")</f>
        <v>2</v>
      </c>
      <c r="C2736" s="5" t="str">
        <f>IFERROR(__xludf.DUMMYFUNCTION("""COMPUTED_VALUE"""),"https://drive.google.com/file/d/1YAptD3nf_SK1_cSWmmeJ9-PhdoDh9kLS/view?usp=drivesdk")</f>
        <v>https://drive.google.com/file/d/1YAptD3nf_SK1_cSWmmeJ9-PhdoDh9kLS/view?usp=drivesdk</v>
      </c>
      <c r="D2736" s="12"/>
      <c r="E2736" s="11">
        <v>2774.0</v>
      </c>
      <c r="F2736" s="2"/>
    </row>
    <row r="2737" ht="1.5" customHeight="1">
      <c r="A2737" s="4" t="str">
        <f>IFERROR(__xludf.DUMMYFUNCTION("""COMPUTED_VALUE"""),"2. Twix")</f>
        <v>2. Twix</v>
      </c>
      <c r="B2737" s="4" t="str">
        <f>IFERROR(__xludf.DUMMYFUNCTION("""COMPUTED_VALUE"""),"2")</f>
        <v>2</v>
      </c>
      <c r="C2737" s="5" t="str">
        <f>IFERROR(__xludf.DUMMYFUNCTION("""COMPUTED_VALUE"""),"https://drive.google.com/file/d/1M5gLIX2K62wo-uqraLMkvEyJ6C4GCQfW/view?usp=drivesdk")</f>
        <v>https://drive.google.com/file/d/1M5gLIX2K62wo-uqraLMkvEyJ6C4GCQfW/view?usp=drivesdk</v>
      </c>
      <c r="D2737" s="12"/>
      <c r="E2737" s="11">
        <v>2775.0</v>
      </c>
      <c r="F2737" s="2"/>
    </row>
    <row r="2738" ht="1.5" customHeight="1">
      <c r="A2738" s="4" t="str">
        <f>IFERROR(__xludf.DUMMYFUNCTION("""COMPUTED_VALUE"""),"2. Twix")</f>
        <v>2. Twix</v>
      </c>
      <c r="B2738" s="4" t="str">
        <f>IFERROR(__xludf.DUMMYFUNCTION("""COMPUTED_VALUE"""),"2")</f>
        <v>2</v>
      </c>
      <c r="C2738" s="5" t="str">
        <f>IFERROR(__xludf.DUMMYFUNCTION("""COMPUTED_VALUE"""),"https://drive.google.com/file/d/1tYmlDQCTEt7qQAheC8ajSWm4AMUntWcM/view?usp=drivesdk")</f>
        <v>https://drive.google.com/file/d/1tYmlDQCTEt7qQAheC8ajSWm4AMUntWcM/view?usp=drivesdk</v>
      </c>
      <c r="D2738" s="12"/>
      <c r="E2738" s="11">
        <v>2776.0</v>
      </c>
      <c r="F2738" s="2"/>
    </row>
    <row r="2739" ht="1.5" customHeight="1">
      <c r="A2739" s="4" t="str">
        <f>IFERROR(__xludf.DUMMYFUNCTION("""COMPUTED_VALUE"""),"2. Twix")</f>
        <v>2. Twix</v>
      </c>
      <c r="B2739" s="4" t="str">
        <f>IFERROR(__xludf.DUMMYFUNCTION("""COMPUTED_VALUE"""),"2")</f>
        <v>2</v>
      </c>
      <c r="C2739" s="5" t="str">
        <f>IFERROR(__xludf.DUMMYFUNCTION("""COMPUTED_VALUE"""),"https://drive.google.com/file/d/1rowy1Mx5DgAIlH-cfDWivTAro8okiz6-/view?usp=drivesdk")</f>
        <v>https://drive.google.com/file/d/1rowy1Mx5DgAIlH-cfDWivTAro8okiz6-/view?usp=drivesdk</v>
      </c>
      <c r="D2739" s="12"/>
      <c r="E2739" s="11">
        <v>2777.0</v>
      </c>
      <c r="F2739" s="2"/>
    </row>
    <row r="2740" ht="1.5" customHeight="1">
      <c r="A2740" s="4" t="str">
        <f>IFERROR(__xludf.DUMMYFUNCTION("""COMPUTED_VALUE"""),"2. Twix")</f>
        <v>2. Twix</v>
      </c>
      <c r="B2740" s="4" t="str">
        <f>IFERROR(__xludf.DUMMYFUNCTION("""COMPUTED_VALUE"""),"2")</f>
        <v>2</v>
      </c>
      <c r="C2740" s="5" t="str">
        <f>IFERROR(__xludf.DUMMYFUNCTION("""COMPUTED_VALUE"""),"https://drive.google.com/file/d/1YGGHjvEz1xIf_OvXPydAqzgXWws4UjjO/view?usp=drivesdk")</f>
        <v>https://drive.google.com/file/d/1YGGHjvEz1xIf_OvXPydAqzgXWws4UjjO/view?usp=drivesdk</v>
      </c>
      <c r="D2740" s="12"/>
      <c r="E2740" s="11">
        <v>2778.0</v>
      </c>
      <c r="F2740" s="2"/>
    </row>
    <row r="2741" ht="1.5" customHeight="1">
      <c r="A2741" s="4" t="str">
        <f>IFERROR(__xludf.DUMMYFUNCTION("""COMPUTED_VALUE"""),"1. Microwave")</f>
        <v>1. Microwave</v>
      </c>
      <c r="B2741" s="4" t="str">
        <f>IFERROR(__xludf.DUMMYFUNCTION("""COMPUTED_VALUE"""),"1")</f>
        <v>1</v>
      </c>
      <c r="C2741" s="5" t="str">
        <f>IFERROR(__xludf.DUMMYFUNCTION("""COMPUTED_VALUE"""),"https://drive.google.com/file/d/1j0gJf6YwGYJRumLl-uCbV6e8yiVLLQSd/view?usp=drivesdk")</f>
        <v>https://drive.google.com/file/d/1j0gJf6YwGYJRumLl-uCbV6e8yiVLLQSd/view?usp=drivesdk</v>
      </c>
      <c r="D2741" s="12"/>
      <c r="E2741" s="11">
        <v>2779.0</v>
      </c>
      <c r="F2741" s="2"/>
    </row>
    <row r="2742" ht="1.5" customHeight="1">
      <c r="A2742" s="4" t="str">
        <f>IFERROR(__xludf.DUMMYFUNCTION("""COMPUTED_VALUE"""),"1. Microwave")</f>
        <v>1. Microwave</v>
      </c>
      <c r="B2742" s="4" t="str">
        <f>IFERROR(__xludf.DUMMYFUNCTION("""COMPUTED_VALUE"""),"1")</f>
        <v>1</v>
      </c>
      <c r="C2742" s="5" t="str">
        <f>IFERROR(__xludf.DUMMYFUNCTION("""COMPUTED_VALUE"""),"https://drive.google.com/file/d/13SzDBC9Py2ZLmRF5la6IWEZ4RWCdOBZW/view?usp=drivesdk")</f>
        <v>https://drive.google.com/file/d/13SzDBC9Py2ZLmRF5la6IWEZ4RWCdOBZW/view?usp=drivesdk</v>
      </c>
      <c r="D2742" s="12"/>
      <c r="E2742" s="11">
        <v>2780.0</v>
      </c>
      <c r="F2742" s="2"/>
    </row>
    <row r="2743" ht="1.5" customHeight="1">
      <c r="A2743" s="4" t="str">
        <f>IFERROR(__xludf.DUMMYFUNCTION("""COMPUTED_VALUE"""),"22. Glockenspiel")</f>
        <v>22. Glockenspiel</v>
      </c>
      <c r="B2743" s="4" t="str">
        <f>IFERROR(__xludf.DUMMYFUNCTION("""COMPUTED_VALUE"""),"22")</f>
        <v>22</v>
      </c>
      <c r="C2743" s="5" t="str">
        <f>IFERROR(__xludf.DUMMYFUNCTION("""COMPUTED_VALUE"""),"https://drive.google.com/file/d/1Y-kyjcBnlxZ1DfIvIqHEXUBj9NMosx5L/view?usp=drivesdk")</f>
        <v>https://drive.google.com/file/d/1Y-kyjcBnlxZ1DfIvIqHEXUBj9NMosx5L/view?usp=drivesdk</v>
      </c>
      <c r="D2743" s="12"/>
      <c r="E2743" s="11">
        <v>2781.0</v>
      </c>
      <c r="F2743" s="2"/>
    </row>
    <row r="2744" ht="1.5" customHeight="1">
      <c r="A2744" s="4" t="str">
        <f>IFERROR(__xludf.DUMMYFUNCTION("""COMPUTED_VALUE"""),"35. Stove")</f>
        <v>35. Stove</v>
      </c>
      <c r="B2744" s="4" t="str">
        <f>IFERROR(__xludf.DUMMYFUNCTION("""COMPUTED_VALUE"""),"35")</f>
        <v>35</v>
      </c>
      <c r="C2744" s="5" t="str">
        <f>IFERROR(__xludf.DUMMYFUNCTION("""COMPUTED_VALUE"""),"https://drive.google.com/file/d/1_AxgSNWH6C47AiBL8Igps7LNH65c3Tov/view?usp=drivesdk")</f>
        <v>https://drive.google.com/file/d/1_AxgSNWH6C47AiBL8Igps7LNH65c3Tov/view?usp=drivesdk</v>
      </c>
      <c r="D2744" s="12"/>
      <c r="E2744" s="11">
        <v>2782.0</v>
      </c>
      <c r="F2744" s="2"/>
    </row>
    <row r="2745" ht="1.5" customHeight="1">
      <c r="A2745" s="4" t="str">
        <f>IFERROR(__xludf.DUMMYFUNCTION("""COMPUTED_VALUE"""),"35. Stove")</f>
        <v>35. Stove</v>
      </c>
      <c r="B2745" s="4" t="str">
        <f>IFERROR(__xludf.DUMMYFUNCTION("""COMPUTED_VALUE"""),"35")</f>
        <v>35</v>
      </c>
      <c r="C2745" s="5" t="str">
        <f>IFERROR(__xludf.DUMMYFUNCTION("""COMPUTED_VALUE"""),"https://drive.google.com/file/d/1uTwIHhFt7KVhP3dG5AH8gG1KWwqMxczu/view?usp=drivesdk")</f>
        <v>https://drive.google.com/file/d/1uTwIHhFt7KVhP3dG5AH8gG1KWwqMxczu/view?usp=drivesdk</v>
      </c>
      <c r="D2745" s="12"/>
      <c r="E2745" s="11">
        <v>2783.0</v>
      </c>
      <c r="F2745" s="2"/>
    </row>
    <row r="2746" ht="1.5" customHeight="1">
      <c r="A2746" s="4" t="str">
        <f>IFERROR(__xludf.DUMMYFUNCTION("""COMPUTED_VALUE"""),"2. Twix")</f>
        <v>2. Twix</v>
      </c>
      <c r="B2746" s="4" t="str">
        <f>IFERROR(__xludf.DUMMYFUNCTION("""COMPUTED_VALUE"""),"2")</f>
        <v>2</v>
      </c>
      <c r="C2746" s="5" t="str">
        <f>IFERROR(__xludf.DUMMYFUNCTION("""COMPUTED_VALUE"""),"https://drive.google.com/file/d/1ZJQjveN6VlHP81uUJRiCzR73tUVMmUv5/view?usp=drivesdk")</f>
        <v>https://drive.google.com/file/d/1ZJQjveN6VlHP81uUJRiCzR73tUVMmUv5/view?usp=drivesdk</v>
      </c>
      <c r="D2746" s="12"/>
      <c r="E2746" s="11">
        <v>2784.0</v>
      </c>
      <c r="F2746" s="2"/>
    </row>
    <row r="2747" ht="1.5" customHeight="1">
      <c r="A2747" s="4" t="str">
        <f>IFERROR(__xludf.DUMMYFUNCTION("""COMPUTED_VALUE"""),"2. Twix")</f>
        <v>2. Twix</v>
      </c>
      <c r="B2747" s="4" t="str">
        <f>IFERROR(__xludf.DUMMYFUNCTION("""COMPUTED_VALUE"""),"2")</f>
        <v>2</v>
      </c>
      <c r="C2747" s="5" t="str">
        <f>IFERROR(__xludf.DUMMYFUNCTION("""COMPUTED_VALUE"""),"https://drive.google.com/file/d/14Z4s2FyycYI91DCz-eQnkImA5GVtvU3h/view?usp=drivesdk")</f>
        <v>https://drive.google.com/file/d/14Z4s2FyycYI91DCz-eQnkImA5GVtvU3h/view?usp=drivesdk</v>
      </c>
      <c r="D2747" s="12"/>
      <c r="E2747" s="11">
        <v>2785.0</v>
      </c>
      <c r="F2747" s="2"/>
    </row>
    <row r="2748" ht="1.5" customHeight="1">
      <c r="A2748" s="4" t="str">
        <f>IFERROR(__xludf.DUMMYFUNCTION("""COMPUTED_VALUE"""),"2. Twix")</f>
        <v>2. Twix</v>
      </c>
      <c r="B2748" s="4" t="str">
        <f>IFERROR(__xludf.DUMMYFUNCTION("""COMPUTED_VALUE"""),"2")</f>
        <v>2</v>
      </c>
      <c r="C2748" s="5" t="str">
        <f>IFERROR(__xludf.DUMMYFUNCTION("""COMPUTED_VALUE"""),"https://drive.google.com/file/d/1rwHbl6hbUd8pTb7wqJG3FU3cQ3EXihte/view?usp=drivesdk")</f>
        <v>https://drive.google.com/file/d/1rwHbl6hbUd8pTb7wqJG3FU3cQ3EXihte/view?usp=drivesdk</v>
      </c>
      <c r="D2748" s="12"/>
      <c r="E2748" s="11">
        <v>2786.0</v>
      </c>
      <c r="F2748" s="2"/>
    </row>
    <row r="2749" ht="1.5" customHeight="1">
      <c r="A2749" s="4" t="str">
        <f>IFERROR(__xludf.DUMMYFUNCTION("""COMPUTED_VALUE"""),"2. Twix")</f>
        <v>2. Twix</v>
      </c>
      <c r="B2749" s="4" t="str">
        <f>IFERROR(__xludf.DUMMYFUNCTION("""COMPUTED_VALUE"""),"2")</f>
        <v>2</v>
      </c>
      <c r="C2749" s="5" t="str">
        <f>IFERROR(__xludf.DUMMYFUNCTION("""COMPUTED_VALUE"""),"https://drive.google.com/file/d/1hLGrF3IV75AVSSbgzsTwyUXoYDEkIJkd/view?usp=drivesdk")</f>
        <v>https://drive.google.com/file/d/1hLGrF3IV75AVSSbgzsTwyUXoYDEkIJkd/view?usp=drivesdk</v>
      </c>
      <c r="D2749" s="12"/>
      <c r="E2749" s="11">
        <v>2787.0</v>
      </c>
      <c r="F2749" s="2"/>
    </row>
    <row r="2750" ht="1.5" customHeight="1">
      <c r="A2750" s="4" t="str">
        <f>IFERROR(__xludf.DUMMYFUNCTION("""COMPUTED_VALUE"""),"2. Twix")</f>
        <v>2. Twix</v>
      </c>
      <c r="B2750" s="4" t="str">
        <f>IFERROR(__xludf.DUMMYFUNCTION("""COMPUTED_VALUE"""),"2")</f>
        <v>2</v>
      </c>
      <c r="C2750" s="5" t="str">
        <f>IFERROR(__xludf.DUMMYFUNCTION("""COMPUTED_VALUE"""),"https://drive.google.com/file/d/1nvtV-S-n4uSQvoCtN8a_8jxC2a9oeqiZ/view?usp=drivesdk")</f>
        <v>https://drive.google.com/file/d/1nvtV-S-n4uSQvoCtN8a_8jxC2a9oeqiZ/view?usp=drivesdk</v>
      </c>
      <c r="D2750" s="12"/>
      <c r="E2750" s="11">
        <v>2788.0</v>
      </c>
      <c r="F2750" s="2"/>
    </row>
    <row r="2751" ht="1.5" customHeight="1">
      <c r="A2751" s="4" t="str">
        <f>IFERROR(__xludf.DUMMYFUNCTION("""COMPUTED_VALUE"""),"2. Twix")</f>
        <v>2. Twix</v>
      </c>
      <c r="B2751" s="4" t="str">
        <f>IFERROR(__xludf.DUMMYFUNCTION("""COMPUTED_VALUE"""),"2")</f>
        <v>2</v>
      </c>
      <c r="C2751" s="5" t="str">
        <f>IFERROR(__xludf.DUMMYFUNCTION("""COMPUTED_VALUE"""),"https://drive.google.com/file/d/12JIEQi9neQ5Vm1RYQe3gKCdMJ5JO3Z4x/view?usp=drivesdk")</f>
        <v>https://drive.google.com/file/d/12JIEQi9neQ5Vm1RYQe3gKCdMJ5JO3Z4x/view?usp=drivesdk</v>
      </c>
      <c r="D2751" s="12"/>
      <c r="E2751" s="11">
        <v>2789.0</v>
      </c>
      <c r="F2751" s="2"/>
    </row>
    <row r="2752" ht="1.5" customHeight="1">
      <c r="A2752" s="4" t="str">
        <f>IFERROR(__xludf.DUMMYFUNCTION("""COMPUTED_VALUE"""),"2. Twix")</f>
        <v>2. Twix</v>
      </c>
      <c r="B2752" s="4" t="str">
        <f>IFERROR(__xludf.DUMMYFUNCTION("""COMPUTED_VALUE"""),"2")</f>
        <v>2</v>
      </c>
      <c r="C2752" s="5" t="str">
        <f>IFERROR(__xludf.DUMMYFUNCTION("""COMPUTED_VALUE"""),"https://drive.google.com/file/d/1NCYjmtCojvliDla4bZHjG1EdbPl4YMGx/view?usp=drivesdk")</f>
        <v>https://drive.google.com/file/d/1NCYjmtCojvliDla4bZHjG1EdbPl4YMGx/view?usp=drivesdk</v>
      </c>
      <c r="D2752" s="12"/>
      <c r="E2752" s="11">
        <v>2790.0</v>
      </c>
      <c r="F2752" s="2"/>
    </row>
    <row r="2753" ht="1.5" customHeight="1">
      <c r="A2753" s="4" t="str">
        <f>IFERROR(__xludf.DUMMYFUNCTION("""COMPUTED_VALUE"""),"2. Twix")</f>
        <v>2. Twix</v>
      </c>
      <c r="B2753" s="4" t="str">
        <f>IFERROR(__xludf.DUMMYFUNCTION("""COMPUTED_VALUE"""),"2")</f>
        <v>2</v>
      </c>
      <c r="C2753" s="5" t="str">
        <f>IFERROR(__xludf.DUMMYFUNCTION("""COMPUTED_VALUE"""),"https://drive.google.com/file/d/1pHLr5HOj66hvxybJ7u5CC5TIEEwIAMJj/view?usp=drivesdk")</f>
        <v>https://drive.google.com/file/d/1pHLr5HOj66hvxybJ7u5CC5TIEEwIAMJj/view?usp=drivesdk</v>
      </c>
      <c r="D2753" s="12"/>
      <c r="E2753" s="11">
        <v>2791.0</v>
      </c>
      <c r="F2753" s="2"/>
    </row>
    <row r="2754" ht="1.5" customHeight="1">
      <c r="A2754" s="4" t="str">
        <f>IFERROR(__xludf.DUMMYFUNCTION("""COMPUTED_VALUE"""),"2. Twix")</f>
        <v>2. Twix</v>
      </c>
      <c r="B2754" s="4" t="str">
        <f>IFERROR(__xludf.DUMMYFUNCTION("""COMPUTED_VALUE"""),"2")</f>
        <v>2</v>
      </c>
      <c r="C2754" s="5" t="str">
        <f>IFERROR(__xludf.DUMMYFUNCTION("""COMPUTED_VALUE"""),"https://drive.google.com/file/d/1ocyt8b6j1GJ-hViEpQX1cveGjP0w9K-j/view?usp=drivesdk")</f>
        <v>https://drive.google.com/file/d/1ocyt8b6j1GJ-hViEpQX1cveGjP0w9K-j/view?usp=drivesdk</v>
      </c>
      <c r="D2754" s="12"/>
      <c r="E2754" s="11">
        <v>2792.0</v>
      </c>
      <c r="F2754" s="2"/>
    </row>
    <row r="2755" ht="1.5" customHeight="1">
      <c r="A2755" s="4" t="str">
        <f>IFERROR(__xludf.DUMMYFUNCTION("""COMPUTED_VALUE"""),"2. Twix")</f>
        <v>2. Twix</v>
      </c>
      <c r="B2755" s="4" t="str">
        <f>IFERROR(__xludf.DUMMYFUNCTION("""COMPUTED_VALUE"""),"2")</f>
        <v>2</v>
      </c>
      <c r="C2755" s="5" t="str">
        <f>IFERROR(__xludf.DUMMYFUNCTION("""COMPUTED_VALUE"""),"https://drive.google.com/file/d/1Reev1uaeQa4VUnLBSQApcyzquAtBjJ5N/view?usp=drivesdk")</f>
        <v>https://drive.google.com/file/d/1Reev1uaeQa4VUnLBSQApcyzquAtBjJ5N/view?usp=drivesdk</v>
      </c>
      <c r="D2755" s="12"/>
      <c r="E2755" s="11">
        <v>2793.0</v>
      </c>
      <c r="F2755" s="2"/>
    </row>
    <row r="2756" ht="1.5" customHeight="1">
      <c r="A2756" s="4" t="str">
        <f>IFERROR(__xludf.DUMMYFUNCTION("""COMPUTED_VALUE"""),"2. Twix")</f>
        <v>2. Twix</v>
      </c>
      <c r="B2756" s="4" t="str">
        <f>IFERROR(__xludf.DUMMYFUNCTION("""COMPUTED_VALUE"""),"2")</f>
        <v>2</v>
      </c>
      <c r="C2756" s="5" t="str">
        <f>IFERROR(__xludf.DUMMYFUNCTION("""COMPUTED_VALUE"""),"https://drive.google.com/file/d/1P3Mobu8uGs69vMEi-iF37WlGlV2i4XfH/view?usp=drivesdk")</f>
        <v>https://drive.google.com/file/d/1P3Mobu8uGs69vMEi-iF37WlGlV2i4XfH/view?usp=drivesdk</v>
      </c>
      <c r="D2756" s="12"/>
      <c r="E2756" s="11">
        <v>2794.0</v>
      </c>
      <c r="F2756" s="2"/>
    </row>
    <row r="2757" ht="1.5" customHeight="1">
      <c r="A2757" s="4" t="str">
        <f>IFERROR(__xludf.DUMMYFUNCTION("""COMPUTED_VALUE"""),"2. Twix")</f>
        <v>2. Twix</v>
      </c>
      <c r="B2757" s="4" t="str">
        <f>IFERROR(__xludf.DUMMYFUNCTION("""COMPUTED_VALUE"""),"2")</f>
        <v>2</v>
      </c>
      <c r="C2757" s="5" t="str">
        <f>IFERROR(__xludf.DUMMYFUNCTION("""COMPUTED_VALUE"""),"https://drive.google.com/file/d/1AwRHGdMSci-TLJ-KX__xX9-LXZMMami8/view?usp=drivesdk")</f>
        <v>https://drive.google.com/file/d/1AwRHGdMSci-TLJ-KX__xX9-LXZMMami8/view?usp=drivesdk</v>
      </c>
      <c r="D2757" s="12"/>
      <c r="E2757" s="11">
        <v>2795.0</v>
      </c>
      <c r="F2757" s="2"/>
    </row>
    <row r="2758" ht="1.5" customHeight="1">
      <c r="A2758" s="4" t="str">
        <f>IFERROR(__xludf.DUMMYFUNCTION("""COMPUTED_VALUE"""),"2. Twix")</f>
        <v>2. Twix</v>
      </c>
      <c r="B2758" s="4" t="str">
        <f>IFERROR(__xludf.DUMMYFUNCTION("""COMPUTED_VALUE"""),"2")</f>
        <v>2</v>
      </c>
      <c r="C2758" s="5" t="str">
        <f>IFERROR(__xludf.DUMMYFUNCTION("""COMPUTED_VALUE"""),"https://drive.google.com/file/d/12W9oxQ-F_FhQSqxeSiYfltl87dPJV2jV/view?usp=drivesdk")</f>
        <v>https://drive.google.com/file/d/12W9oxQ-F_FhQSqxeSiYfltl87dPJV2jV/view?usp=drivesdk</v>
      </c>
      <c r="D2758" s="12"/>
      <c r="E2758" s="11">
        <v>2796.0</v>
      </c>
      <c r="F2758" s="2"/>
    </row>
    <row r="2759" ht="1.5" customHeight="1">
      <c r="A2759" s="4" t="str">
        <f>IFERROR(__xludf.DUMMYFUNCTION("""COMPUTED_VALUE"""),"4. Eggs, 5. Eraser")</f>
        <v>4. Eggs, 5. Eraser</v>
      </c>
      <c r="B2759" s="4" t="str">
        <f>IFERROR(__xludf.DUMMYFUNCTION("""COMPUTED_VALUE"""),"4, 5")</f>
        <v>4, 5</v>
      </c>
      <c r="C2759" s="5" t="str">
        <f>IFERROR(__xludf.DUMMYFUNCTION("""COMPUTED_VALUE"""),"https://drive.google.com/file/d/1k2aHMES2WeEMIPsNWWMQZhUFHn_ECUCn/view?usp=drivesdk")</f>
        <v>https://drive.google.com/file/d/1k2aHMES2WeEMIPsNWWMQZhUFHn_ECUCn/view?usp=drivesdk</v>
      </c>
      <c r="D2759" s="12"/>
      <c r="E2759" s="11">
        <v>2797.0</v>
      </c>
      <c r="F2759" s="2"/>
    </row>
    <row r="2760" ht="1.5" customHeight="1">
      <c r="A2760" s="4" t="str">
        <f>IFERROR(__xludf.DUMMYFUNCTION("""COMPUTED_VALUE"""),"2. Twix")</f>
        <v>2. Twix</v>
      </c>
      <c r="B2760" s="4" t="str">
        <f>IFERROR(__xludf.DUMMYFUNCTION("""COMPUTED_VALUE"""),"2")</f>
        <v>2</v>
      </c>
      <c r="C2760" s="5" t="str">
        <f>IFERROR(__xludf.DUMMYFUNCTION("""COMPUTED_VALUE"""),"https://drive.google.com/file/d/14qKO1WzfdvCgj8oesJseV0HUroEM7ior/view?usp=drivesdk")</f>
        <v>https://drive.google.com/file/d/14qKO1WzfdvCgj8oesJseV0HUroEM7ior/view?usp=drivesdk</v>
      </c>
      <c r="D2760" s="12"/>
      <c r="E2760" s="11">
        <v>2798.0</v>
      </c>
      <c r="F2760" s="2"/>
    </row>
    <row r="2761" ht="1.5" customHeight="1">
      <c r="A2761" s="4" t="str">
        <f>IFERROR(__xludf.DUMMYFUNCTION("""COMPUTED_VALUE"""),"4. Eggs, 5. Eraser")</f>
        <v>4. Eggs, 5. Eraser</v>
      </c>
      <c r="B2761" s="4" t="str">
        <f>IFERROR(__xludf.DUMMYFUNCTION("""COMPUTED_VALUE"""),"4, 5")</f>
        <v>4, 5</v>
      </c>
      <c r="C2761" s="5" t="str">
        <f>IFERROR(__xludf.DUMMYFUNCTION("""COMPUTED_VALUE"""),"https://drive.google.com/file/d/1eZ1YZLFMEWDBDHnC0OQ1X452y67LVBCB/view?usp=drivesdk")</f>
        <v>https://drive.google.com/file/d/1eZ1YZLFMEWDBDHnC0OQ1X452y67LVBCB/view?usp=drivesdk</v>
      </c>
      <c r="D2761" s="12"/>
      <c r="E2761" s="11">
        <v>2799.0</v>
      </c>
      <c r="F2761" s="2"/>
    </row>
    <row r="2762" ht="1.5" customHeight="1">
      <c r="A2762" s="4" t="str">
        <f>IFERROR(__xludf.DUMMYFUNCTION("""COMPUTED_VALUE"""),"2. Twix")</f>
        <v>2. Twix</v>
      </c>
      <c r="B2762" s="4" t="str">
        <f>IFERROR(__xludf.DUMMYFUNCTION("""COMPUTED_VALUE"""),"2")</f>
        <v>2</v>
      </c>
      <c r="C2762" s="5" t="str">
        <f>IFERROR(__xludf.DUMMYFUNCTION("""COMPUTED_VALUE"""),"https://drive.google.com/file/d/1WFnEzQnZO3DaC7PqgL489XCYTAgLtotA/view?usp=drivesdk")</f>
        <v>https://drive.google.com/file/d/1WFnEzQnZO3DaC7PqgL489XCYTAgLtotA/view?usp=drivesdk</v>
      </c>
      <c r="D2762" s="12"/>
      <c r="E2762" s="11">
        <v>2800.0</v>
      </c>
      <c r="F2762" s="2"/>
    </row>
    <row r="2763" ht="1.5" customHeight="1">
      <c r="A2763" s="4" t="str">
        <f>IFERROR(__xludf.DUMMYFUNCTION("""COMPUTED_VALUE"""),"2. Twix")</f>
        <v>2. Twix</v>
      </c>
      <c r="B2763" s="4" t="str">
        <f>IFERROR(__xludf.DUMMYFUNCTION("""COMPUTED_VALUE"""),"2")</f>
        <v>2</v>
      </c>
      <c r="C2763" s="5" t="str">
        <f>IFERROR(__xludf.DUMMYFUNCTION("""COMPUTED_VALUE"""),"https://drive.google.com/file/d/1maJV4IP6SLRNbzjN3GpKbCiYGKcT2GIx/view?usp=drivesdk")</f>
        <v>https://drive.google.com/file/d/1maJV4IP6SLRNbzjN3GpKbCiYGKcT2GIx/view?usp=drivesdk</v>
      </c>
      <c r="D2763" s="12"/>
      <c r="E2763" s="11">
        <v>2801.0</v>
      </c>
      <c r="F2763" s="2"/>
    </row>
    <row r="2764" ht="1.5" customHeight="1">
      <c r="A2764" s="4" t="str">
        <f>IFERROR(__xludf.DUMMYFUNCTION("""COMPUTED_VALUE"""),"2. Twix")</f>
        <v>2. Twix</v>
      </c>
      <c r="B2764" s="4" t="str">
        <f>IFERROR(__xludf.DUMMYFUNCTION("""COMPUTED_VALUE"""),"2")</f>
        <v>2</v>
      </c>
      <c r="C2764" s="5" t="str">
        <f>IFERROR(__xludf.DUMMYFUNCTION("""COMPUTED_VALUE"""),"https://drive.google.com/file/d/1J9G4eqhTVJnJXQpJj_R6LMGJcK2tKFig/view?usp=drivesdk")</f>
        <v>https://drive.google.com/file/d/1J9G4eqhTVJnJXQpJj_R6LMGJcK2tKFig/view?usp=drivesdk</v>
      </c>
      <c r="D2764" s="12"/>
      <c r="E2764" s="11">
        <v>2802.0</v>
      </c>
      <c r="F2764" s="2"/>
    </row>
    <row r="2765" ht="1.5" customHeight="1">
      <c r="A2765" s="4" t="str">
        <f>IFERROR(__xludf.DUMMYFUNCTION("""COMPUTED_VALUE"""),"2. Twix")</f>
        <v>2. Twix</v>
      </c>
      <c r="B2765" s="4" t="str">
        <f>IFERROR(__xludf.DUMMYFUNCTION("""COMPUTED_VALUE"""),"2")</f>
        <v>2</v>
      </c>
      <c r="C2765" s="5" t="str">
        <f>IFERROR(__xludf.DUMMYFUNCTION("""COMPUTED_VALUE"""),"https://drive.google.com/file/d/1DaF9moLo5sidapo1bMm7BYJx3OjAjGlF/view?usp=drivesdk")</f>
        <v>https://drive.google.com/file/d/1DaF9moLo5sidapo1bMm7BYJx3OjAjGlF/view?usp=drivesdk</v>
      </c>
      <c r="D2765" s="12"/>
      <c r="E2765" s="11">
        <v>2803.0</v>
      </c>
      <c r="F2765" s="2"/>
    </row>
    <row r="2766" ht="1.5" customHeight="1">
      <c r="A2766" s="4" t="str">
        <f>IFERROR(__xludf.DUMMYFUNCTION("""COMPUTED_VALUE"""),"64. Ernie")</f>
        <v>64. Ernie</v>
      </c>
      <c r="B2766" s="4" t="str">
        <f>IFERROR(__xludf.DUMMYFUNCTION("""COMPUTED_VALUE"""),"64")</f>
        <v>64</v>
      </c>
      <c r="C2766" s="5" t="str">
        <f>IFERROR(__xludf.DUMMYFUNCTION("""COMPUTED_VALUE"""),"https://drive.google.com/file/d/15zj62fsfQjhHNCqMSwmiF_binLRx5YSn/view?usp=drivesdk")</f>
        <v>https://drive.google.com/file/d/15zj62fsfQjhHNCqMSwmiF_binLRx5YSn/view?usp=drivesdk</v>
      </c>
      <c r="D2766" s="12"/>
      <c r="E2766" s="11">
        <v>2804.0</v>
      </c>
      <c r="F2766" s="2"/>
    </row>
    <row r="2767" ht="1.5" customHeight="1">
      <c r="A2767" s="4" t="str">
        <f>IFERROR(__xludf.DUMMYFUNCTION("""COMPUTED_VALUE"""),"64. Ernie")</f>
        <v>64. Ernie</v>
      </c>
      <c r="B2767" s="4" t="str">
        <f>IFERROR(__xludf.DUMMYFUNCTION("""COMPUTED_VALUE"""),"64")</f>
        <v>64</v>
      </c>
      <c r="C2767" s="5" t="str">
        <f>IFERROR(__xludf.DUMMYFUNCTION("""COMPUTED_VALUE"""),"https://drive.google.com/file/d/1AcafD5LSvmuJhsF9Qgt8c9NzlBfm__R7/view?usp=drivesdk")</f>
        <v>https://drive.google.com/file/d/1AcafD5LSvmuJhsF9Qgt8c9NzlBfm__R7/view?usp=drivesdk</v>
      </c>
      <c r="D2767" s="12"/>
      <c r="E2767" s="11">
        <v>2805.0</v>
      </c>
      <c r="F2767" s="2"/>
    </row>
    <row r="2768" ht="1.5" customHeight="1">
      <c r="A2768" s="4" t="str">
        <f>IFERROR(__xludf.DUMMYFUNCTION("""COMPUTED_VALUE"""),"51. Odin")</f>
        <v>51. Odin</v>
      </c>
      <c r="B2768" s="4" t="str">
        <f>IFERROR(__xludf.DUMMYFUNCTION("""COMPUTED_VALUE"""),"51")</f>
        <v>51</v>
      </c>
      <c r="C2768" s="5" t="str">
        <f>IFERROR(__xludf.DUMMYFUNCTION("""COMPUTED_VALUE"""),"https://drive.google.com/file/d/1FcC98Qyyz6MwpKUlVCS0RlogVeRJaUAK/view?usp=drivesdk")</f>
        <v>https://drive.google.com/file/d/1FcC98Qyyz6MwpKUlVCS0RlogVeRJaUAK/view?usp=drivesdk</v>
      </c>
      <c r="D2768" s="12"/>
      <c r="E2768" s="11">
        <v>2806.0</v>
      </c>
      <c r="F2768" s="2"/>
    </row>
    <row r="2769" ht="1.5" customHeight="1">
      <c r="A2769" s="4" t="str">
        <f>IFERROR(__xludf.DUMMYFUNCTION("""COMPUTED_VALUE"""),"51. Odin")</f>
        <v>51. Odin</v>
      </c>
      <c r="B2769" s="4" t="str">
        <f>IFERROR(__xludf.DUMMYFUNCTION("""COMPUTED_VALUE"""),"51")</f>
        <v>51</v>
      </c>
      <c r="C2769" s="5" t="str">
        <f>IFERROR(__xludf.DUMMYFUNCTION("""COMPUTED_VALUE"""),"https://drive.google.com/file/d/1NAxEUMjTEr9UMygGex5xwH4TwNtW-eXg/view?usp=drivesdk")</f>
        <v>https://drive.google.com/file/d/1NAxEUMjTEr9UMygGex5xwH4TwNtW-eXg/view?usp=drivesdk</v>
      </c>
      <c r="D2769" s="12"/>
      <c r="E2769" s="11">
        <v>2807.0</v>
      </c>
      <c r="F2769" s="2"/>
    </row>
    <row r="2770" ht="1.5" customHeight="1">
      <c r="A2770" s="4" t="str">
        <f>IFERROR(__xludf.DUMMYFUNCTION("""COMPUTED_VALUE"""),"1. Microwave")</f>
        <v>1. Microwave</v>
      </c>
      <c r="B2770" s="4" t="str">
        <f>IFERROR(__xludf.DUMMYFUNCTION("""COMPUTED_VALUE"""),"1")</f>
        <v>1</v>
      </c>
      <c r="C2770" s="5" t="str">
        <f>IFERROR(__xludf.DUMMYFUNCTION("""COMPUTED_VALUE"""),"https://drive.google.com/file/d/1wQf7Sy7mp2akZbbyClj54PvrphWDaVyj/view?usp=drivesdk")</f>
        <v>https://drive.google.com/file/d/1wQf7Sy7mp2akZbbyClj54PvrphWDaVyj/view?usp=drivesdk</v>
      </c>
      <c r="D2770" s="12"/>
      <c r="E2770" s="11">
        <v>2808.0</v>
      </c>
      <c r="F2770" s="2"/>
    </row>
    <row r="2771" ht="1.5" customHeight="1">
      <c r="A2771" s="4" t="str">
        <f>IFERROR(__xludf.DUMMYFUNCTION("""COMPUTED_VALUE"""),"1. Microwave")</f>
        <v>1. Microwave</v>
      </c>
      <c r="B2771" s="4" t="str">
        <f>IFERROR(__xludf.DUMMYFUNCTION("""COMPUTED_VALUE"""),"1")</f>
        <v>1</v>
      </c>
      <c r="C2771" s="5" t="str">
        <f>IFERROR(__xludf.DUMMYFUNCTION("""COMPUTED_VALUE"""),"https://drive.google.com/file/d/1tCe0gR9rESQAA6IEgSYb4zh55sOdEhAB/view?usp=drivesdk")</f>
        <v>https://drive.google.com/file/d/1tCe0gR9rESQAA6IEgSYb4zh55sOdEhAB/view?usp=drivesdk</v>
      </c>
      <c r="D2771" s="12"/>
      <c r="E2771" s="11">
        <v>2809.0</v>
      </c>
      <c r="F2771" s="2"/>
    </row>
    <row r="2772" ht="1.5" customHeight="1">
      <c r="A2772" s="4" t="str">
        <f>IFERROR(__xludf.DUMMYFUNCTION("""COMPUTED_VALUE"""),"1. Microwave")</f>
        <v>1. Microwave</v>
      </c>
      <c r="B2772" s="4" t="str">
        <f>IFERROR(__xludf.DUMMYFUNCTION("""COMPUTED_VALUE"""),"1")</f>
        <v>1</v>
      </c>
      <c r="C2772" s="5" t="str">
        <f>IFERROR(__xludf.DUMMYFUNCTION("""COMPUTED_VALUE"""),"https://drive.google.com/file/d/1wD1YBOO5Vvv0aqA-6AdgunowWdBDrHtB/view?usp=drivesdk")</f>
        <v>https://drive.google.com/file/d/1wD1YBOO5Vvv0aqA-6AdgunowWdBDrHtB/view?usp=drivesdk</v>
      </c>
      <c r="D2772" s="12"/>
      <c r="E2772" s="11">
        <v>2810.0</v>
      </c>
      <c r="F2772" s="2"/>
    </row>
    <row r="2773" ht="1.5" customHeight="1">
      <c r="A2773" s="4" t="str">
        <f>IFERROR(__xludf.DUMMYFUNCTION("""COMPUTED_VALUE"""),"1. Microwave")</f>
        <v>1. Microwave</v>
      </c>
      <c r="B2773" s="4" t="str">
        <f>IFERROR(__xludf.DUMMYFUNCTION("""COMPUTED_VALUE"""),"1")</f>
        <v>1</v>
      </c>
      <c r="C2773" s="5" t="str">
        <f>IFERROR(__xludf.DUMMYFUNCTION("""COMPUTED_VALUE"""),"https://drive.google.com/file/d/18LtGY-zL_-VuGkcT0PsuHsrxyA613lz3/view?usp=drivesdk")</f>
        <v>https://drive.google.com/file/d/18LtGY-zL_-VuGkcT0PsuHsrxyA613lz3/view?usp=drivesdk</v>
      </c>
      <c r="D2773" s="12"/>
      <c r="E2773" s="11">
        <v>2811.0</v>
      </c>
      <c r="F2773" s="2"/>
    </row>
    <row r="2774" ht="1.5" customHeight="1">
      <c r="A2774" s="4" t="str">
        <f>IFERROR(__xludf.DUMMYFUNCTION("""COMPUTED_VALUE"""),"1. Microwave")</f>
        <v>1. Microwave</v>
      </c>
      <c r="B2774" s="4" t="str">
        <f>IFERROR(__xludf.DUMMYFUNCTION("""COMPUTED_VALUE"""),"1")</f>
        <v>1</v>
      </c>
      <c r="C2774" s="5" t="str">
        <f>IFERROR(__xludf.DUMMYFUNCTION("""COMPUTED_VALUE"""),"https://drive.google.com/file/d/1mi0aM-xvISp4Gw_E_J8HFpynLl7Ik-Rj/view?usp=drivesdk")</f>
        <v>https://drive.google.com/file/d/1mi0aM-xvISp4Gw_E_J8HFpynLl7Ik-Rj/view?usp=drivesdk</v>
      </c>
      <c r="D2774" s="12"/>
      <c r="E2774" s="11">
        <v>2812.0</v>
      </c>
      <c r="F2774" s="2"/>
    </row>
    <row r="2775" ht="1.5" customHeight="1">
      <c r="A2775" s="4" t="str">
        <f>IFERROR(__xludf.DUMMYFUNCTION("""COMPUTED_VALUE"""),"2. Twix")</f>
        <v>2. Twix</v>
      </c>
      <c r="B2775" s="4" t="str">
        <f>IFERROR(__xludf.DUMMYFUNCTION("""COMPUTED_VALUE"""),"2")</f>
        <v>2</v>
      </c>
      <c r="C2775" s="5" t="str">
        <f>IFERROR(__xludf.DUMMYFUNCTION("""COMPUTED_VALUE"""),"https://drive.google.com/file/d/1LjGWSmzBiYDFNfvxan13Ot34G0I03eIr/view?usp=drivesdk")</f>
        <v>https://drive.google.com/file/d/1LjGWSmzBiYDFNfvxan13Ot34G0I03eIr/view?usp=drivesdk</v>
      </c>
      <c r="D2775" s="12"/>
      <c r="E2775" s="11">
        <v>2813.0</v>
      </c>
      <c r="F2775" s="2"/>
    </row>
    <row r="2776" ht="1.5" customHeight="1">
      <c r="A2776" s="4" t="str">
        <f>IFERROR(__xludf.DUMMYFUNCTION("""COMPUTED_VALUE"""),"2. Twix")</f>
        <v>2. Twix</v>
      </c>
      <c r="B2776" s="4" t="str">
        <f>IFERROR(__xludf.DUMMYFUNCTION("""COMPUTED_VALUE"""),"2")</f>
        <v>2</v>
      </c>
      <c r="C2776" s="5" t="str">
        <f>IFERROR(__xludf.DUMMYFUNCTION("""COMPUTED_VALUE"""),"https://drive.google.com/file/d/1zm259T4WjfamhjvnOQrQ7fxgkVCjKBNb/view?usp=drivesdk")</f>
        <v>https://drive.google.com/file/d/1zm259T4WjfamhjvnOQrQ7fxgkVCjKBNb/view?usp=drivesdk</v>
      </c>
      <c r="D2776" s="12"/>
      <c r="E2776" s="11">
        <v>2814.0</v>
      </c>
      <c r="F2776" s="2"/>
    </row>
    <row r="2777" ht="1.5" customHeight="1">
      <c r="A2777" s="4" t="str">
        <f>IFERROR(__xludf.DUMMYFUNCTION("""COMPUTED_VALUE"""),"4. Eggs, 5. Eraser")</f>
        <v>4. Eggs, 5. Eraser</v>
      </c>
      <c r="B2777" s="4" t="str">
        <f>IFERROR(__xludf.DUMMYFUNCTION("""COMPUTED_VALUE"""),"4, 5")</f>
        <v>4, 5</v>
      </c>
      <c r="C2777" s="5" t="str">
        <f>IFERROR(__xludf.DUMMYFUNCTION("""COMPUTED_VALUE"""),"https://drive.google.com/file/d/1aeXvAu-mmQDRtUP2iBwNuCtpMIa3i3xC/view?usp=drivesdk")</f>
        <v>https://drive.google.com/file/d/1aeXvAu-mmQDRtUP2iBwNuCtpMIa3i3xC/view?usp=drivesdk</v>
      </c>
      <c r="D2777" s="12"/>
      <c r="E2777" s="11">
        <v>2815.0</v>
      </c>
      <c r="F2777" s="2"/>
    </row>
    <row r="2778" ht="1.5" customHeight="1">
      <c r="A2778" s="4" t="str">
        <f>IFERROR(__xludf.DUMMYFUNCTION("""COMPUTED_VALUE"""),"2. Twix")</f>
        <v>2. Twix</v>
      </c>
      <c r="B2778" s="4" t="str">
        <f>IFERROR(__xludf.DUMMYFUNCTION("""COMPUTED_VALUE"""),"2")</f>
        <v>2</v>
      </c>
      <c r="C2778" s="5" t="str">
        <f>IFERROR(__xludf.DUMMYFUNCTION("""COMPUTED_VALUE"""),"https://drive.google.com/file/d/1IRuvpL56gcrAmaT_V3LfYLaZES6idIbN/view?usp=drivesdk")</f>
        <v>https://drive.google.com/file/d/1IRuvpL56gcrAmaT_V3LfYLaZES6idIbN/view?usp=drivesdk</v>
      </c>
      <c r="D2778" s="12"/>
      <c r="E2778" s="11">
        <v>2816.0</v>
      </c>
      <c r="F2778" s="2"/>
    </row>
    <row r="2779" ht="1.5" customHeight="1">
      <c r="A2779" s="4" t="str">
        <f>IFERROR(__xludf.DUMMYFUNCTION("""COMPUTED_VALUE"""),"1. Microwave")</f>
        <v>1. Microwave</v>
      </c>
      <c r="B2779" s="4" t="str">
        <f>IFERROR(__xludf.DUMMYFUNCTION("""COMPUTED_VALUE"""),"1")</f>
        <v>1</v>
      </c>
      <c r="C2779" s="5" t="str">
        <f>IFERROR(__xludf.DUMMYFUNCTION("""COMPUTED_VALUE"""),"https://drive.google.com/file/d/1DqG_p7nOx77JMWRPyxkpRN-8ZNg42gWs/view?usp=drivesdk")</f>
        <v>https://drive.google.com/file/d/1DqG_p7nOx77JMWRPyxkpRN-8ZNg42gWs/view?usp=drivesdk</v>
      </c>
      <c r="D2779" s="12"/>
      <c r="E2779" s="11">
        <v>2817.0</v>
      </c>
      <c r="F2779" s="2"/>
    </row>
    <row r="2780" ht="1.5" customHeight="1">
      <c r="A2780" s="4" t="str">
        <f>IFERROR(__xludf.DUMMYFUNCTION("""COMPUTED_VALUE"""),"1. Microwave")</f>
        <v>1. Microwave</v>
      </c>
      <c r="B2780" s="4" t="str">
        <f>IFERROR(__xludf.DUMMYFUNCTION("""COMPUTED_VALUE"""),"1")</f>
        <v>1</v>
      </c>
      <c r="C2780" s="5" t="str">
        <f>IFERROR(__xludf.DUMMYFUNCTION("""COMPUTED_VALUE"""),"https://drive.google.com/file/d/1wNK8YgmaWpAZlseWGiFvuIaKh3yYgRSe/view?usp=drivesdk")</f>
        <v>https://drive.google.com/file/d/1wNK8YgmaWpAZlseWGiFvuIaKh3yYgRSe/view?usp=drivesdk</v>
      </c>
      <c r="D2780" s="12"/>
      <c r="E2780" s="11">
        <v>2818.0</v>
      </c>
      <c r="F2780" s="2"/>
    </row>
    <row r="2781" ht="1.5" customHeight="1">
      <c r="A2781" s="4" t="str">
        <f>IFERROR(__xludf.DUMMYFUNCTION("""COMPUTED_VALUE"""),"1. Microwave")</f>
        <v>1. Microwave</v>
      </c>
      <c r="B2781" s="4" t="str">
        <f>IFERROR(__xludf.DUMMYFUNCTION("""COMPUTED_VALUE"""),"1")</f>
        <v>1</v>
      </c>
      <c r="C2781" s="5" t="str">
        <f>IFERROR(__xludf.DUMMYFUNCTION("""COMPUTED_VALUE"""),"https://drive.google.com/file/d/1_O9UQkQpyEukBZ9ph3x7B97CeKR_sLl1/view?usp=drivesdk")</f>
        <v>https://drive.google.com/file/d/1_O9UQkQpyEukBZ9ph3x7B97CeKR_sLl1/view?usp=drivesdk</v>
      </c>
      <c r="D2781" s="12"/>
      <c r="E2781" s="11">
        <v>2819.0</v>
      </c>
      <c r="F2781" s="2"/>
    </row>
    <row r="2782" ht="1.5" customHeight="1">
      <c r="A2782" s="4" t="str">
        <f>IFERROR(__xludf.DUMMYFUNCTION("""COMPUTED_VALUE"""),"1. Microwave")</f>
        <v>1. Microwave</v>
      </c>
      <c r="B2782" s="4" t="str">
        <f>IFERROR(__xludf.DUMMYFUNCTION("""COMPUTED_VALUE"""),"1")</f>
        <v>1</v>
      </c>
      <c r="C2782" s="5" t="str">
        <f>IFERROR(__xludf.DUMMYFUNCTION("""COMPUTED_VALUE"""),"https://drive.google.com/file/d/1bJHeI__orb6GLIxJhPycyj0Xykpe5yyQ/view?usp=drivesdk")</f>
        <v>https://drive.google.com/file/d/1bJHeI__orb6GLIxJhPycyj0Xykpe5yyQ/view?usp=drivesdk</v>
      </c>
      <c r="D2782" s="12"/>
      <c r="E2782" s="11">
        <v>2820.0</v>
      </c>
      <c r="F2782" s="2"/>
    </row>
    <row r="2783" ht="1.5" customHeight="1">
      <c r="A2783" s="4" t="str">
        <f>IFERROR(__xludf.DUMMYFUNCTION("""COMPUTED_VALUE"""),"1. Microwave")</f>
        <v>1. Microwave</v>
      </c>
      <c r="B2783" s="4" t="str">
        <f>IFERROR(__xludf.DUMMYFUNCTION("""COMPUTED_VALUE"""),"1")</f>
        <v>1</v>
      </c>
      <c r="C2783" s="5" t="str">
        <f>IFERROR(__xludf.DUMMYFUNCTION("""COMPUTED_VALUE"""),"https://drive.google.com/file/d/1NGCk4R1duamhMW5wrELJhUPRLyuLUYWh/view?usp=drivesdk")</f>
        <v>https://drive.google.com/file/d/1NGCk4R1duamhMW5wrELJhUPRLyuLUYWh/view?usp=drivesdk</v>
      </c>
      <c r="D2783" s="12"/>
      <c r="E2783" s="11">
        <v>2821.0</v>
      </c>
      <c r="F2783" s="2"/>
    </row>
    <row r="2784" ht="1.5" customHeight="1">
      <c r="A2784" s="4" t="str">
        <f>IFERROR(__xludf.DUMMYFUNCTION("""COMPUTED_VALUE"""),"1. Microwave")</f>
        <v>1. Microwave</v>
      </c>
      <c r="B2784" s="4" t="str">
        <f>IFERROR(__xludf.DUMMYFUNCTION("""COMPUTED_VALUE"""),"1")</f>
        <v>1</v>
      </c>
      <c r="C2784" s="5" t="str">
        <f>IFERROR(__xludf.DUMMYFUNCTION("""COMPUTED_VALUE"""),"https://drive.google.com/file/d/11SgYSJ9DfbiHLCUmrEDI7THa458HmQ9i/view?usp=drivesdk")</f>
        <v>https://drive.google.com/file/d/11SgYSJ9DfbiHLCUmrEDI7THa458HmQ9i/view?usp=drivesdk</v>
      </c>
      <c r="D2784" s="12"/>
      <c r="E2784" s="11">
        <v>2822.0</v>
      </c>
      <c r="F2784" s="2"/>
    </row>
    <row r="2785" ht="1.5" customHeight="1">
      <c r="A2785" s="4" t="str">
        <f>IFERROR(__xludf.DUMMYFUNCTION("""COMPUTED_VALUE"""),"1. Microwave")</f>
        <v>1. Microwave</v>
      </c>
      <c r="B2785" s="4" t="str">
        <f>IFERROR(__xludf.DUMMYFUNCTION("""COMPUTED_VALUE"""),"1")</f>
        <v>1</v>
      </c>
      <c r="C2785" s="5" t="str">
        <f>IFERROR(__xludf.DUMMYFUNCTION("""COMPUTED_VALUE"""),"https://drive.google.com/file/d/1gQi5ZuEZG7WzcJrpUSHaiVxq6TkPmuNJ/view?usp=drivesdk")</f>
        <v>https://drive.google.com/file/d/1gQi5ZuEZG7WzcJrpUSHaiVxq6TkPmuNJ/view?usp=drivesdk</v>
      </c>
      <c r="D2785" s="12"/>
      <c r="E2785" s="11">
        <v>2823.0</v>
      </c>
      <c r="F2785" s="2"/>
    </row>
    <row r="2786" ht="1.5" customHeight="1">
      <c r="A2786" s="4" t="str">
        <f>IFERROR(__xludf.DUMMYFUNCTION("""COMPUTED_VALUE"""),"1. Microwave")</f>
        <v>1. Microwave</v>
      </c>
      <c r="B2786" s="4" t="str">
        <f>IFERROR(__xludf.DUMMYFUNCTION("""COMPUTED_VALUE"""),"1")</f>
        <v>1</v>
      </c>
      <c r="C2786" s="5" t="str">
        <f>IFERROR(__xludf.DUMMYFUNCTION("""COMPUTED_VALUE"""),"https://drive.google.com/file/d/1HexAwVO0Wfr66tu4b4FNhUNqq_FJzj4T/view?usp=drivesdk")</f>
        <v>https://drive.google.com/file/d/1HexAwVO0Wfr66tu4b4FNhUNqq_FJzj4T/view?usp=drivesdk</v>
      </c>
      <c r="D2786" s="12"/>
      <c r="E2786" s="11">
        <v>2824.0</v>
      </c>
      <c r="F2786" s="2"/>
    </row>
    <row r="2787" ht="1.5" customHeight="1">
      <c r="A2787" s="4" t="str">
        <f>IFERROR(__xludf.DUMMYFUNCTION("""COMPUTED_VALUE"""),"1. Microwave")</f>
        <v>1. Microwave</v>
      </c>
      <c r="B2787" s="4" t="str">
        <f>IFERROR(__xludf.DUMMYFUNCTION("""COMPUTED_VALUE"""),"1")</f>
        <v>1</v>
      </c>
      <c r="C2787" s="5" t="str">
        <f>IFERROR(__xludf.DUMMYFUNCTION("""COMPUTED_VALUE"""),"https://drive.google.com/file/d/11BMKUjkRo2UoXtG_cWIvD1hR4Y2bovtD/view?usp=drivesdk")</f>
        <v>https://drive.google.com/file/d/11BMKUjkRo2UoXtG_cWIvD1hR4Y2bovtD/view?usp=drivesdk</v>
      </c>
      <c r="D2787" s="12"/>
      <c r="E2787" s="11">
        <v>2825.0</v>
      </c>
      <c r="F2787" s="2"/>
    </row>
    <row r="2788" ht="1.5" customHeight="1">
      <c r="A2788" s="4" t="str">
        <f>IFERROR(__xludf.DUMMYFUNCTION("""COMPUTED_VALUE"""),"1. Microwave")</f>
        <v>1. Microwave</v>
      </c>
      <c r="B2788" s="4" t="str">
        <f>IFERROR(__xludf.DUMMYFUNCTION("""COMPUTED_VALUE"""),"1")</f>
        <v>1</v>
      </c>
      <c r="C2788" s="5" t="str">
        <f>IFERROR(__xludf.DUMMYFUNCTION("""COMPUTED_VALUE"""),"https://drive.google.com/file/d/1Vs1y_gKlhEJ2EVeWX-IY4kan3SG4ygFY/view?usp=drivesdk")</f>
        <v>https://drive.google.com/file/d/1Vs1y_gKlhEJ2EVeWX-IY4kan3SG4ygFY/view?usp=drivesdk</v>
      </c>
      <c r="D2788" s="12"/>
      <c r="E2788" s="11">
        <v>2826.0</v>
      </c>
      <c r="F2788" s="2"/>
    </row>
    <row r="2789" ht="1.5" customHeight="1">
      <c r="A2789" s="4" t="str">
        <f>IFERROR(__xludf.DUMMYFUNCTION("""COMPUTED_VALUE"""),"42. Rubber")</f>
        <v>42. Rubber</v>
      </c>
      <c r="B2789" s="4" t="str">
        <f>IFERROR(__xludf.DUMMYFUNCTION("""COMPUTED_VALUE"""),"42")</f>
        <v>42</v>
      </c>
      <c r="C2789" s="5" t="str">
        <f>IFERROR(__xludf.DUMMYFUNCTION("""COMPUTED_VALUE"""),"https://drive.google.com/file/d/13fxnUqb7xC9yZj0OtOSVgStL1HWiFkA1/view?usp=drivesdk")</f>
        <v>https://drive.google.com/file/d/13fxnUqb7xC9yZj0OtOSVgStL1HWiFkA1/view?usp=drivesdk</v>
      </c>
      <c r="D2789" s="12"/>
      <c r="E2789" s="11">
        <v>2827.0</v>
      </c>
      <c r="F2789" s="2"/>
    </row>
    <row r="2790" ht="1.5" customHeight="1">
      <c r="A2790" s="4" t="str">
        <f>IFERROR(__xludf.DUMMYFUNCTION("""COMPUTED_VALUE"""),"1. Microwave")</f>
        <v>1. Microwave</v>
      </c>
      <c r="B2790" s="4" t="str">
        <f>IFERROR(__xludf.DUMMYFUNCTION("""COMPUTED_VALUE"""),"1")</f>
        <v>1</v>
      </c>
      <c r="C2790" s="5" t="str">
        <f>IFERROR(__xludf.DUMMYFUNCTION("""COMPUTED_VALUE"""),"https://drive.google.com/file/d/1oFpJwNJEmKt7ZdBEwePJ5Tf5Rqy-hkrb/view?usp=drivesdk")</f>
        <v>https://drive.google.com/file/d/1oFpJwNJEmKt7ZdBEwePJ5Tf5Rqy-hkrb/view?usp=drivesdk</v>
      </c>
      <c r="D2790" s="12"/>
      <c r="E2790" s="11">
        <v>2828.0</v>
      </c>
      <c r="F2790" s="2"/>
    </row>
    <row r="2791" ht="1.5" customHeight="1">
      <c r="A2791" s="4" t="str">
        <f>IFERROR(__xludf.DUMMYFUNCTION("""COMPUTED_VALUE"""),"1. Microwave")</f>
        <v>1. Microwave</v>
      </c>
      <c r="B2791" s="4" t="str">
        <f>IFERROR(__xludf.DUMMYFUNCTION("""COMPUTED_VALUE"""),"1")</f>
        <v>1</v>
      </c>
      <c r="C2791" s="5" t="str">
        <f>IFERROR(__xludf.DUMMYFUNCTION("""COMPUTED_VALUE"""),"https://drive.google.com/file/d/1Yyrl96E-P98wJdASggmResqkQlE5HTCG/view?usp=drivesdk")</f>
        <v>https://drive.google.com/file/d/1Yyrl96E-P98wJdASggmResqkQlE5HTCG/view?usp=drivesdk</v>
      </c>
      <c r="D2791" s="12"/>
      <c r="E2791" s="11">
        <v>2829.0</v>
      </c>
      <c r="F2791" s="2"/>
    </row>
    <row r="2792" ht="1.5" customHeight="1">
      <c r="A2792" s="4" t="str">
        <f>IFERROR(__xludf.DUMMYFUNCTION("""COMPUTED_VALUE"""),"4. Eggs, 5. Eraser")</f>
        <v>4. Eggs, 5. Eraser</v>
      </c>
      <c r="B2792" s="4" t="str">
        <f>IFERROR(__xludf.DUMMYFUNCTION("""COMPUTED_VALUE"""),"4, 5")</f>
        <v>4, 5</v>
      </c>
      <c r="C2792" s="5" t="str">
        <f>IFERROR(__xludf.DUMMYFUNCTION("""COMPUTED_VALUE"""),"https://drive.google.com/file/d/1yCQeAY0CbCc8js4pSu99TrZj5geQD988/view?usp=drivesdk")</f>
        <v>https://drive.google.com/file/d/1yCQeAY0CbCc8js4pSu99TrZj5geQD988/view?usp=drivesdk</v>
      </c>
      <c r="D2792" s="12"/>
      <c r="E2792" s="11">
        <v>2830.0</v>
      </c>
      <c r="F2792" s="2"/>
    </row>
    <row r="2793" ht="1.5" customHeight="1">
      <c r="A2793" s="4" t="str">
        <f>IFERROR(__xludf.DUMMYFUNCTION("""COMPUTED_VALUE"""),"5. Eraser")</f>
        <v>5. Eraser</v>
      </c>
      <c r="B2793" s="4" t="str">
        <f>IFERROR(__xludf.DUMMYFUNCTION("""COMPUTED_VALUE"""),"5")</f>
        <v>5</v>
      </c>
      <c r="C2793" s="5" t="str">
        <f>IFERROR(__xludf.DUMMYFUNCTION("""COMPUTED_VALUE"""),"https://drive.google.com/file/d/1nlOoySKCKFGuNfsZRdmmiU4quZLiyuJf/view?usp=drivesdk")</f>
        <v>https://drive.google.com/file/d/1nlOoySKCKFGuNfsZRdmmiU4quZLiyuJf/view?usp=drivesdk</v>
      </c>
      <c r="D2793" s="12"/>
      <c r="E2793" s="11">
        <v>2831.0</v>
      </c>
      <c r="F2793" s="2"/>
    </row>
    <row r="2794" ht="1.5" customHeight="1">
      <c r="A2794" s="4" t="str">
        <f>IFERROR(__xludf.DUMMYFUNCTION("""COMPUTED_VALUE"""),"5. Eraser")</f>
        <v>5. Eraser</v>
      </c>
      <c r="B2794" s="4" t="str">
        <f>IFERROR(__xludf.DUMMYFUNCTION("""COMPUTED_VALUE"""),"5")</f>
        <v>5</v>
      </c>
      <c r="C2794" s="5" t="str">
        <f>IFERROR(__xludf.DUMMYFUNCTION("""COMPUTED_VALUE"""),"https://drive.google.com/file/d/1jMe8bt_50axwAUw7wA4ZB9xgoKKxVcpS/view?usp=drivesdk")</f>
        <v>https://drive.google.com/file/d/1jMe8bt_50axwAUw7wA4ZB9xgoKKxVcpS/view?usp=drivesdk</v>
      </c>
      <c r="D2794" s="12"/>
      <c r="E2794" s="11">
        <v>2832.0</v>
      </c>
      <c r="F2794" s="2"/>
    </row>
    <row r="2795" ht="1.5" customHeight="1">
      <c r="A2795" s="4" t="str">
        <f>IFERROR(__xludf.DUMMYFUNCTION("""COMPUTED_VALUE"""),"4. Eggs")</f>
        <v>4. Eggs</v>
      </c>
      <c r="B2795" s="4" t="str">
        <f>IFERROR(__xludf.DUMMYFUNCTION("""COMPUTED_VALUE"""),"4")</f>
        <v>4</v>
      </c>
      <c r="C2795" s="5" t="str">
        <f>IFERROR(__xludf.DUMMYFUNCTION("""COMPUTED_VALUE"""),"https://drive.google.com/file/d/1DmjeDY7beBmkdvN7AqEslxziFkibANLM/view?usp=drivesdk")</f>
        <v>https://drive.google.com/file/d/1DmjeDY7beBmkdvN7AqEslxziFkibANLM/view?usp=drivesdk</v>
      </c>
      <c r="D2795" s="12"/>
      <c r="E2795" s="11">
        <v>2833.0</v>
      </c>
      <c r="F2795" s="2"/>
    </row>
    <row r="2796" ht="1.5" customHeight="1">
      <c r="A2796" s="4" t="str">
        <f>IFERROR(__xludf.DUMMYFUNCTION("""COMPUTED_VALUE"""),"2. Twix")</f>
        <v>2. Twix</v>
      </c>
      <c r="B2796" s="4" t="str">
        <f>IFERROR(__xludf.DUMMYFUNCTION("""COMPUTED_VALUE"""),"2")</f>
        <v>2</v>
      </c>
      <c r="C2796" s="5" t="str">
        <f>IFERROR(__xludf.DUMMYFUNCTION("""COMPUTED_VALUE"""),"https://drive.google.com/file/d/1AcTVlAouJ_IA4RXzEgfAhNAon0CFcphZ/view?usp=drivesdk")</f>
        <v>https://drive.google.com/file/d/1AcTVlAouJ_IA4RXzEgfAhNAon0CFcphZ/view?usp=drivesdk</v>
      </c>
      <c r="D2796" s="12"/>
      <c r="E2796" s="11">
        <v>2834.0</v>
      </c>
      <c r="F2796" s="2"/>
    </row>
    <row r="2797" ht="1.5" customHeight="1">
      <c r="A2797" s="4" t="str">
        <f>IFERROR(__xludf.DUMMYFUNCTION("""COMPUTED_VALUE"""),"2. Twix")</f>
        <v>2. Twix</v>
      </c>
      <c r="B2797" s="4" t="str">
        <f>IFERROR(__xludf.DUMMYFUNCTION("""COMPUTED_VALUE"""),"2")</f>
        <v>2</v>
      </c>
      <c r="C2797" s="5" t="str">
        <f>IFERROR(__xludf.DUMMYFUNCTION("""COMPUTED_VALUE"""),"https://drive.google.com/file/d/1qnb4tOT92Z1BTTnxiPDeKWJi1yMqZmau/view?usp=drivesdk")</f>
        <v>https://drive.google.com/file/d/1qnb4tOT92Z1BTTnxiPDeKWJi1yMqZmau/view?usp=drivesdk</v>
      </c>
      <c r="D2797" s="12"/>
      <c r="E2797" s="11">
        <v>2835.0</v>
      </c>
      <c r="F2797" s="2"/>
    </row>
    <row r="2798" ht="1.5" customHeight="1">
      <c r="A2798" s="4" t="str">
        <f>IFERROR(__xludf.DUMMYFUNCTION("""COMPUTED_VALUE"""),"2. Twix")</f>
        <v>2. Twix</v>
      </c>
      <c r="B2798" s="4" t="str">
        <f>IFERROR(__xludf.DUMMYFUNCTION("""COMPUTED_VALUE"""),"2")</f>
        <v>2</v>
      </c>
      <c r="C2798" s="5" t="str">
        <f>IFERROR(__xludf.DUMMYFUNCTION("""COMPUTED_VALUE"""),"https://drive.google.com/file/d/1kKuZKe0mcrXOaS2edmCKzVKbB6zSqp-J/view?usp=drivesdk")</f>
        <v>https://drive.google.com/file/d/1kKuZKe0mcrXOaS2edmCKzVKbB6zSqp-J/view?usp=drivesdk</v>
      </c>
      <c r="D2798" s="12"/>
      <c r="E2798" s="11">
        <v>2836.0</v>
      </c>
      <c r="F2798" s="2"/>
    </row>
    <row r="2799" ht="1.5" customHeight="1">
      <c r="A2799" s="4" t="str">
        <f>IFERROR(__xludf.DUMMYFUNCTION("""COMPUTED_VALUE"""),"2. Twix")</f>
        <v>2. Twix</v>
      </c>
      <c r="B2799" s="4" t="str">
        <f>IFERROR(__xludf.DUMMYFUNCTION("""COMPUTED_VALUE"""),"2")</f>
        <v>2</v>
      </c>
      <c r="C2799" s="5" t="str">
        <f>IFERROR(__xludf.DUMMYFUNCTION("""COMPUTED_VALUE"""),"https://drive.google.com/file/d/17H-O1ztPL8joP6hJKUnRhWXojRS8DJjc/view?usp=drivesdk")</f>
        <v>https://drive.google.com/file/d/17H-O1ztPL8joP6hJKUnRhWXojRS8DJjc/view?usp=drivesdk</v>
      </c>
      <c r="D2799" s="12"/>
      <c r="E2799" s="11">
        <v>2837.0</v>
      </c>
      <c r="F2799" s="2"/>
    </row>
    <row r="2800" ht="1.5" customHeight="1">
      <c r="A2800" s="4" t="str">
        <f>IFERROR(__xludf.DUMMYFUNCTION("""COMPUTED_VALUE"""),"2. Twix")</f>
        <v>2. Twix</v>
      </c>
      <c r="B2800" s="4" t="str">
        <f>IFERROR(__xludf.DUMMYFUNCTION("""COMPUTED_VALUE"""),"2")</f>
        <v>2</v>
      </c>
      <c r="C2800" s="5" t="str">
        <f>IFERROR(__xludf.DUMMYFUNCTION("""COMPUTED_VALUE"""),"https://drive.google.com/file/d/169dG9Tah_CvNsqw_UFPWNZ6-7N5lWG0T/view?usp=drivesdk")</f>
        <v>https://drive.google.com/file/d/169dG9Tah_CvNsqw_UFPWNZ6-7N5lWG0T/view?usp=drivesdk</v>
      </c>
      <c r="D2800" s="12"/>
      <c r="E2800" s="11">
        <v>2838.0</v>
      </c>
      <c r="F2800" s="2"/>
    </row>
    <row r="2801" ht="1.5" customHeight="1">
      <c r="A2801" s="4" t="str">
        <f>IFERROR(__xludf.DUMMYFUNCTION("""COMPUTED_VALUE"""),"2. Twix")</f>
        <v>2. Twix</v>
      </c>
      <c r="B2801" s="4" t="str">
        <f>IFERROR(__xludf.DUMMYFUNCTION("""COMPUTED_VALUE"""),"2")</f>
        <v>2</v>
      </c>
      <c r="C2801" s="5" t="str">
        <f>IFERROR(__xludf.DUMMYFUNCTION("""COMPUTED_VALUE"""),"https://drive.google.com/file/d/1xIlQv0e76Pi4qBGzTy2ZagwpDtJpIxWv/view?usp=drivesdk")</f>
        <v>https://drive.google.com/file/d/1xIlQv0e76Pi4qBGzTy2ZagwpDtJpIxWv/view?usp=drivesdk</v>
      </c>
      <c r="D2801" s="12"/>
      <c r="E2801" s="11">
        <v>2839.0</v>
      </c>
      <c r="F2801" s="2"/>
    </row>
    <row r="2802" ht="1.5" customHeight="1">
      <c r="A2802" s="4" t="str">
        <f>IFERROR(__xludf.DUMMYFUNCTION("""COMPUTED_VALUE"""),"2. Twix")</f>
        <v>2. Twix</v>
      </c>
      <c r="B2802" s="4" t="str">
        <f>IFERROR(__xludf.DUMMYFUNCTION("""COMPUTED_VALUE"""),"2")</f>
        <v>2</v>
      </c>
      <c r="C2802" s="5" t="str">
        <f>IFERROR(__xludf.DUMMYFUNCTION("""COMPUTED_VALUE"""),"https://drive.google.com/file/d/1ZtJIbHLxusttXomKgMZLPHX05Vn5MhT7/view?usp=drivesdk")</f>
        <v>https://drive.google.com/file/d/1ZtJIbHLxusttXomKgMZLPHX05Vn5MhT7/view?usp=drivesdk</v>
      </c>
      <c r="D2802" s="12"/>
      <c r="E2802" s="11">
        <v>2840.0</v>
      </c>
      <c r="F2802" s="2"/>
    </row>
    <row r="2803" ht="1.5" customHeight="1">
      <c r="A2803" s="4" t="str">
        <f>IFERROR(__xludf.DUMMYFUNCTION("""COMPUTED_VALUE"""),"2. Twix")</f>
        <v>2. Twix</v>
      </c>
      <c r="B2803" s="4" t="str">
        <f>IFERROR(__xludf.DUMMYFUNCTION("""COMPUTED_VALUE"""),"2")</f>
        <v>2</v>
      </c>
      <c r="C2803" s="5" t="str">
        <f>IFERROR(__xludf.DUMMYFUNCTION("""COMPUTED_VALUE"""),"https://drive.google.com/file/d/1o9I9OjqH3YEH28kngEN7OUpp5n7Aiua7/view?usp=drivesdk")</f>
        <v>https://drive.google.com/file/d/1o9I9OjqH3YEH28kngEN7OUpp5n7Aiua7/view?usp=drivesdk</v>
      </c>
      <c r="D2803" s="12"/>
      <c r="E2803" s="11">
        <v>2841.0</v>
      </c>
      <c r="F2803" s="2"/>
    </row>
    <row r="2804" ht="1.5" customHeight="1">
      <c r="A2804" s="4" t="str">
        <f>IFERROR(__xludf.DUMMYFUNCTION("""COMPUTED_VALUE"""),"2. Twix")</f>
        <v>2. Twix</v>
      </c>
      <c r="B2804" s="4" t="str">
        <f>IFERROR(__xludf.DUMMYFUNCTION("""COMPUTED_VALUE"""),"2")</f>
        <v>2</v>
      </c>
      <c r="C2804" s="5" t="str">
        <f>IFERROR(__xludf.DUMMYFUNCTION("""COMPUTED_VALUE"""),"https://drive.google.com/file/d/1ZBQ6ABCxSvCTKJjTjXbRPqd3FdMsnqGh/view?usp=drivesdk")</f>
        <v>https://drive.google.com/file/d/1ZBQ6ABCxSvCTKJjTjXbRPqd3FdMsnqGh/view?usp=drivesdk</v>
      </c>
      <c r="D2804" s="12"/>
      <c r="E2804" s="11">
        <v>2842.0</v>
      </c>
      <c r="F2804" s="2"/>
    </row>
    <row r="2805" ht="1.5" customHeight="1">
      <c r="A2805" s="4" t="str">
        <f>IFERROR(__xludf.DUMMYFUNCTION("""COMPUTED_VALUE"""),"47. Nefarious")</f>
        <v>47. Nefarious</v>
      </c>
      <c r="B2805" s="4" t="str">
        <f>IFERROR(__xludf.DUMMYFUNCTION("""COMPUTED_VALUE"""),"47")</f>
        <v>47</v>
      </c>
      <c r="C2805" s="5" t="str">
        <f>IFERROR(__xludf.DUMMYFUNCTION("""COMPUTED_VALUE"""),"https://drive.google.com/file/d/1jRXR-y67-wkc0Vh6BEhMcDlF_Bk4f2BE/view?usp=drivesdk")</f>
        <v>https://drive.google.com/file/d/1jRXR-y67-wkc0Vh6BEhMcDlF_Bk4f2BE/view?usp=drivesdk</v>
      </c>
      <c r="D2805" s="12"/>
      <c r="E2805" s="11">
        <v>2843.0</v>
      </c>
      <c r="F2805" s="2"/>
    </row>
    <row r="2806" ht="1.5" customHeight="1">
      <c r="A2806" s="4" t="str">
        <f>IFERROR(__xludf.DUMMYFUNCTION("""COMPUTED_VALUE"""),"1. Microwave")</f>
        <v>1. Microwave</v>
      </c>
      <c r="B2806" s="4" t="str">
        <f>IFERROR(__xludf.DUMMYFUNCTION("""COMPUTED_VALUE"""),"1")</f>
        <v>1</v>
      </c>
      <c r="C2806" s="5" t="str">
        <f>IFERROR(__xludf.DUMMYFUNCTION("""COMPUTED_VALUE"""),"https://drive.google.com/file/d/18DFGGe3vFZx9JdNbwxXcKcEUX889UKMA/view?usp=drivesdk")</f>
        <v>https://drive.google.com/file/d/18DFGGe3vFZx9JdNbwxXcKcEUX889UKMA/view?usp=drivesdk</v>
      </c>
      <c r="D2806" s="12"/>
      <c r="E2806" s="11">
        <v>2844.0</v>
      </c>
      <c r="F2806" s="2"/>
    </row>
    <row r="2807" ht="1.5" customHeight="1">
      <c r="A2807" s="4" t="str">
        <f>IFERROR(__xludf.DUMMYFUNCTION("""COMPUTED_VALUE"""),"1. Microwave")</f>
        <v>1. Microwave</v>
      </c>
      <c r="B2807" s="4" t="str">
        <f>IFERROR(__xludf.DUMMYFUNCTION("""COMPUTED_VALUE"""),"1")</f>
        <v>1</v>
      </c>
      <c r="C2807" s="5" t="str">
        <f>IFERROR(__xludf.DUMMYFUNCTION("""COMPUTED_VALUE"""),"https://drive.google.com/file/d/1mpQK0YahHyKoE_w2O1PjdpxOlGCYghwo/view?usp=drivesdk")</f>
        <v>https://drive.google.com/file/d/1mpQK0YahHyKoE_w2O1PjdpxOlGCYghwo/view?usp=drivesdk</v>
      </c>
      <c r="D2807" s="12"/>
      <c r="E2807" s="11">
        <v>2845.0</v>
      </c>
      <c r="F2807" s="2"/>
    </row>
    <row r="2808" ht="1.5" customHeight="1">
      <c r="A2808" s="4" t="str">
        <f>IFERROR(__xludf.DUMMYFUNCTION("""COMPUTED_VALUE"""),"1. Microwave")</f>
        <v>1. Microwave</v>
      </c>
      <c r="B2808" s="4" t="str">
        <f>IFERROR(__xludf.DUMMYFUNCTION("""COMPUTED_VALUE"""),"1")</f>
        <v>1</v>
      </c>
      <c r="C2808" s="5" t="str">
        <f>IFERROR(__xludf.DUMMYFUNCTION("""COMPUTED_VALUE"""),"https://drive.google.com/file/d/1rgpeLlxBRnGevBnN_ZYA8edQ79m6vCn3/view?usp=drivesdk")</f>
        <v>https://drive.google.com/file/d/1rgpeLlxBRnGevBnN_ZYA8edQ79m6vCn3/view?usp=drivesdk</v>
      </c>
      <c r="D2808" s="12"/>
      <c r="E2808" s="11">
        <v>2846.0</v>
      </c>
      <c r="F2808" s="2"/>
    </row>
    <row r="2809" ht="1.5" customHeight="1">
      <c r="A2809" s="4" t="str">
        <f>IFERROR(__xludf.DUMMYFUNCTION("""COMPUTED_VALUE"""),"1. Microwave")</f>
        <v>1. Microwave</v>
      </c>
      <c r="B2809" s="4" t="str">
        <f>IFERROR(__xludf.DUMMYFUNCTION("""COMPUTED_VALUE"""),"1")</f>
        <v>1</v>
      </c>
      <c r="C2809" s="5" t="str">
        <f>IFERROR(__xludf.DUMMYFUNCTION("""COMPUTED_VALUE"""),"https://drive.google.com/file/d/11_7pie6vR2afsIN_PS13M7sIkAg_j8h-/view?usp=drivesdk")</f>
        <v>https://drive.google.com/file/d/11_7pie6vR2afsIN_PS13M7sIkAg_j8h-/view?usp=drivesdk</v>
      </c>
      <c r="D2809" s="12"/>
      <c r="E2809" s="11">
        <v>2847.0</v>
      </c>
      <c r="F2809" s="2"/>
    </row>
    <row r="2810" ht="1.5" customHeight="1">
      <c r="A2810" s="4" t="str">
        <f>IFERROR(__xludf.DUMMYFUNCTION("""COMPUTED_VALUE"""),"1. Microwave")</f>
        <v>1. Microwave</v>
      </c>
      <c r="B2810" s="4" t="str">
        <f>IFERROR(__xludf.DUMMYFUNCTION("""COMPUTED_VALUE"""),"1")</f>
        <v>1</v>
      </c>
      <c r="C2810" s="5" t="str">
        <f>IFERROR(__xludf.DUMMYFUNCTION("""COMPUTED_VALUE"""),"https://drive.google.com/file/d/1hi2P_GKohDYGM7V71Mapg0v-ZfqmEhjO/view?usp=drivesdk")</f>
        <v>https://drive.google.com/file/d/1hi2P_GKohDYGM7V71Mapg0v-ZfqmEhjO/view?usp=drivesdk</v>
      </c>
      <c r="D2810" s="12"/>
      <c r="E2810" s="11">
        <v>2848.0</v>
      </c>
      <c r="F2810" s="2"/>
    </row>
    <row r="2811" ht="1.5" customHeight="1">
      <c r="A2811" s="4" t="str">
        <f>IFERROR(__xludf.DUMMYFUNCTION("""COMPUTED_VALUE"""),"1. Microwave")</f>
        <v>1. Microwave</v>
      </c>
      <c r="B2811" s="4" t="str">
        <f>IFERROR(__xludf.DUMMYFUNCTION("""COMPUTED_VALUE"""),"1")</f>
        <v>1</v>
      </c>
      <c r="C2811" s="5" t="str">
        <f>IFERROR(__xludf.DUMMYFUNCTION("""COMPUTED_VALUE"""),"https://drive.google.com/file/d/1SmmcPsx6MFKUdx6c9gwZfYeXyXtpS2on/view?usp=drivesdk")</f>
        <v>https://drive.google.com/file/d/1SmmcPsx6MFKUdx6c9gwZfYeXyXtpS2on/view?usp=drivesdk</v>
      </c>
      <c r="D2811" s="12"/>
      <c r="E2811" s="11">
        <v>2849.0</v>
      </c>
      <c r="F2811" s="2"/>
    </row>
    <row r="2812" ht="1.5" customHeight="1">
      <c r="A2812" s="4" t="str">
        <f>IFERROR(__xludf.DUMMYFUNCTION("""COMPUTED_VALUE"""),"4. Eggs")</f>
        <v>4. Eggs</v>
      </c>
      <c r="B2812" s="4" t="str">
        <f>IFERROR(__xludf.DUMMYFUNCTION("""COMPUTED_VALUE"""),"4")</f>
        <v>4</v>
      </c>
      <c r="C2812" s="5" t="str">
        <f>IFERROR(__xludf.DUMMYFUNCTION("""COMPUTED_VALUE"""),"https://drive.google.com/file/d/1ma45jFLUObWt6VU3UljWexqeLhiXuvxx/view?usp=drivesdk")</f>
        <v>https://drive.google.com/file/d/1ma45jFLUObWt6VU3UljWexqeLhiXuvxx/view?usp=drivesdk</v>
      </c>
      <c r="D2812" s="12"/>
      <c r="E2812" s="11">
        <v>2850.0</v>
      </c>
      <c r="F2812" s="2"/>
    </row>
    <row r="2813" ht="1.5" customHeight="1">
      <c r="A2813" s="4" t="str">
        <f>IFERROR(__xludf.DUMMYFUNCTION("""COMPUTED_VALUE"""),"4. Eggs")</f>
        <v>4. Eggs</v>
      </c>
      <c r="B2813" s="4" t="str">
        <f>IFERROR(__xludf.DUMMYFUNCTION("""COMPUTED_VALUE"""),"4")</f>
        <v>4</v>
      </c>
      <c r="C2813" s="5" t="str">
        <f>IFERROR(__xludf.DUMMYFUNCTION("""COMPUTED_VALUE"""),"https://drive.google.com/file/d/1zOXl34M-OMg2ldjip839a_vrMPLGGqDv/view?usp=drivesdk")</f>
        <v>https://drive.google.com/file/d/1zOXl34M-OMg2ldjip839a_vrMPLGGqDv/view?usp=drivesdk</v>
      </c>
      <c r="D2813" s="12"/>
      <c r="E2813" s="11">
        <v>2851.0</v>
      </c>
      <c r="F2813" s="2"/>
    </row>
    <row r="2814" ht="1.5" customHeight="1">
      <c r="A2814" s="4" t="str">
        <f>IFERROR(__xludf.DUMMYFUNCTION("""COMPUTED_VALUE"""),"4. Eggs")</f>
        <v>4. Eggs</v>
      </c>
      <c r="B2814" s="4" t="str">
        <f>IFERROR(__xludf.DUMMYFUNCTION("""COMPUTED_VALUE"""),"4")</f>
        <v>4</v>
      </c>
      <c r="C2814" s="5" t="str">
        <f>IFERROR(__xludf.DUMMYFUNCTION("""COMPUTED_VALUE"""),"https://drive.google.com/file/d/1GVz1VerureXYoso3QhsFDV0BQEFaOwas/view?usp=drivesdk")</f>
        <v>https://drive.google.com/file/d/1GVz1VerureXYoso3QhsFDV0BQEFaOwas/view?usp=drivesdk</v>
      </c>
      <c r="D2814" s="12"/>
      <c r="E2814" s="11">
        <v>2852.0</v>
      </c>
      <c r="F2814" s="2"/>
    </row>
    <row r="2815" ht="1.5" customHeight="1">
      <c r="A2815" s="4" t="str">
        <f>IFERROR(__xludf.DUMMYFUNCTION("""COMPUTED_VALUE"""),"5. Eraser")</f>
        <v>5. Eraser</v>
      </c>
      <c r="B2815" s="4" t="str">
        <f>IFERROR(__xludf.DUMMYFUNCTION("""COMPUTED_VALUE"""),"5")</f>
        <v>5</v>
      </c>
      <c r="C2815" s="5" t="str">
        <f>IFERROR(__xludf.DUMMYFUNCTION("""COMPUTED_VALUE"""),"https://drive.google.com/file/d/1oy0SaBDBESMkuwcuJGqbQIEHhsDM1OjF/view?usp=drivesdk")</f>
        <v>https://drive.google.com/file/d/1oy0SaBDBESMkuwcuJGqbQIEHhsDM1OjF/view?usp=drivesdk</v>
      </c>
      <c r="D2815" s="12"/>
      <c r="E2815" s="11">
        <v>2853.0</v>
      </c>
      <c r="F2815" s="2"/>
    </row>
    <row r="2816" ht="1.5" customHeight="1">
      <c r="A2816" s="4" t="str">
        <f>IFERROR(__xludf.DUMMYFUNCTION("""COMPUTED_VALUE"""),"4. Eggs")</f>
        <v>4. Eggs</v>
      </c>
      <c r="B2816" s="4" t="str">
        <f>IFERROR(__xludf.DUMMYFUNCTION("""COMPUTED_VALUE"""),"4")</f>
        <v>4</v>
      </c>
      <c r="C2816" s="5" t="str">
        <f>IFERROR(__xludf.DUMMYFUNCTION("""COMPUTED_VALUE"""),"https://drive.google.com/file/d/1uYkvujLeD72imXb-aUk1EMtL8DcELZOm/view?usp=drivesdk")</f>
        <v>https://drive.google.com/file/d/1uYkvujLeD72imXb-aUk1EMtL8DcELZOm/view?usp=drivesdk</v>
      </c>
      <c r="D2816" s="12"/>
      <c r="E2816" s="11">
        <v>2854.0</v>
      </c>
      <c r="F2816" s="2"/>
    </row>
    <row r="2817" ht="1.5" customHeight="1">
      <c r="A2817" s="4" t="str">
        <f>IFERROR(__xludf.DUMMYFUNCTION("""COMPUTED_VALUE"""),"4. Eggs")</f>
        <v>4. Eggs</v>
      </c>
      <c r="B2817" s="4" t="str">
        <f>IFERROR(__xludf.DUMMYFUNCTION("""COMPUTED_VALUE"""),"4")</f>
        <v>4</v>
      </c>
      <c r="C2817" s="5" t="str">
        <f>IFERROR(__xludf.DUMMYFUNCTION("""COMPUTED_VALUE"""),"https://drive.google.com/file/d/1pWlrwYpHQdRd1K2oPk-ilvKU1Yz0xV-m/view?usp=drivesdk")</f>
        <v>https://drive.google.com/file/d/1pWlrwYpHQdRd1K2oPk-ilvKU1Yz0xV-m/view?usp=drivesdk</v>
      </c>
      <c r="D2817" s="12"/>
      <c r="E2817" s="11">
        <v>2855.0</v>
      </c>
      <c r="F2817" s="2"/>
    </row>
    <row r="2818" ht="1.5" customHeight="1">
      <c r="A2818" s="4" t="str">
        <f>IFERROR(__xludf.DUMMYFUNCTION("""COMPUTED_VALUE"""),"5. Eraser")</f>
        <v>5. Eraser</v>
      </c>
      <c r="B2818" s="4" t="str">
        <f>IFERROR(__xludf.DUMMYFUNCTION("""COMPUTED_VALUE"""),"5")</f>
        <v>5</v>
      </c>
      <c r="C2818" s="5" t="str">
        <f>IFERROR(__xludf.DUMMYFUNCTION("""COMPUTED_VALUE"""),"https://drive.google.com/file/d/16zTrrYK6KdfqTQukv6nsWT5d8u_A3ovK/view?usp=drivesdk")</f>
        <v>https://drive.google.com/file/d/16zTrrYK6KdfqTQukv6nsWT5d8u_A3ovK/view?usp=drivesdk</v>
      </c>
      <c r="D2818" s="12"/>
      <c r="E2818" s="11">
        <v>2856.0</v>
      </c>
      <c r="F2818" s="2"/>
    </row>
    <row r="2819" ht="1.5" customHeight="1">
      <c r="A2819" s="4" t="str">
        <f>IFERROR(__xludf.DUMMYFUNCTION("""COMPUTED_VALUE"""),"1. Microwave")</f>
        <v>1. Microwave</v>
      </c>
      <c r="B2819" s="4" t="str">
        <f>IFERROR(__xludf.DUMMYFUNCTION("""COMPUTED_VALUE"""),"1")</f>
        <v>1</v>
      </c>
      <c r="C2819" s="5" t="str">
        <f>IFERROR(__xludf.DUMMYFUNCTION("""COMPUTED_VALUE"""),"https://drive.google.com/file/d/1L0o3rLYYD9hHKIaNOX-twxvOU_Rhdy9M/view?usp=drivesdk")</f>
        <v>https://drive.google.com/file/d/1L0o3rLYYD9hHKIaNOX-twxvOU_Rhdy9M/view?usp=drivesdk</v>
      </c>
      <c r="D2819" s="12"/>
      <c r="E2819" s="11">
        <v>2857.0</v>
      </c>
      <c r="F2819" s="2"/>
    </row>
    <row r="2820" ht="1.5" customHeight="1">
      <c r="A2820" s="4" t="str">
        <f>IFERROR(__xludf.DUMMYFUNCTION("""COMPUTED_VALUE"""),"19. Rolo")</f>
        <v>19. Rolo</v>
      </c>
      <c r="B2820" s="4" t="str">
        <f>IFERROR(__xludf.DUMMYFUNCTION("""COMPUTED_VALUE"""),"19")</f>
        <v>19</v>
      </c>
      <c r="C2820" s="5" t="str">
        <f>IFERROR(__xludf.DUMMYFUNCTION("""COMPUTED_VALUE"""),"https://drive.google.com/file/d/1yUOaRNV3cj07oJgEUwbImNYRf9TPlzKD/view?usp=drivesdk")</f>
        <v>https://drive.google.com/file/d/1yUOaRNV3cj07oJgEUwbImNYRf9TPlzKD/view?usp=drivesdk</v>
      </c>
      <c r="D2820" s="12"/>
      <c r="E2820" s="11">
        <v>2858.0</v>
      </c>
      <c r="F2820" s="2"/>
    </row>
    <row r="2821" ht="1.5" customHeight="1">
      <c r="A2821" s="4" t="str">
        <f>IFERROR(__xludf.DUMMYFUNCTION("""COMPUTED_VALUE"""),"20. Citlali")</f>
        <v>20. Citlali</v>
      </c>
      <c r="B2821" s="4" t="str">
        <f>IFERROR(__xludf.DUMMYFUNCTION("""COMPUTED_VALUE"""),"20")</f>
        <v>20</v>
      </c>
      <c r="C2821" s="5" t="str">
        <f>IFERROR(__xludf.DUMMYFUNCTION("""COMPUTED_VALUE"""),"https://drive.google.com/file/d/14VjcqD_lZf_xUNh7A38yJI-0-Rj_W5sc/view?usp=drivesdk")</f>
        <v>https://drive.google.com/file/d/14VjcqD_lZf_xUNh7A38yJI-0-Rj_W5sc/view?usp=drivesdk</v>
      </c>
      <c r="D2821" s="12"/>
      <c r="E2821" s="11">
        <v>2859.0</v>
      </c>
      <c r="F2821" s="2"/>
    </row>
    <row r="2822" ht="1.5" customHeight="1">
      <c r="A2822" s="4" t="str">
        <f>IFERROR(__xludf.DUMMYFUNCTION("""COMPUTED_VALUE"""),"1. Microwave")</f>
        <v>1. Microwave</v>
      </c>
      <c r="B2822" s="4" t="str">
        <f>IFERROR(__xludf.DUMMYFUNCTION("""COMPUTED_VALUE"""),"1")</f>
        <v>1</v>
      </c>
      <c r="C2822" s="5" t="str">
        <f>IFERROR(__xludf.DUMMYFUNCTION("""COMPUTED_VALUE"""),"https://drive.google.com/file/d/1eDWViQQ59u5IS9G3oHY6Lqdd5qR0rdZN/view?usp=drivesdk")</f>
        <v>https://drive.google.com/file/d/1eDWViQQ59u5IS9G3oHY6Lqdd5qR0rdZN/view?usp=drivesdk</v>
      </c>
      <c r="D2822" s="12"/>
      <c r="E2822" s="11">
        <v>2860.0</v>
      </c>
      <c r="F2822" s="2"/>
    </row>
    <row r="2823" ht="1.5" customHeight="1">
      <c r="A2823" s="4" t="str">
        <f>IFERROR(__xludf.DUMMYFUNCTION("""COMPUTED_VALUE"""),"1. Microwave")</f>
        <v>1. Microwave</v>
      </c>
      <c r="B2823" s="4" t="str">
        <f>IFERROR(__xludf.DUMMYFUNCTION("""COMPUTED_VALUE"""),"1")</f>
        <v>1</v>
      </c>
      <c r="C2823" s="5" t="str">
        <f>IFERROR(__xludf.DUMMYFUNCTION("""COMPUTED_VALUE"""),"https://drive.google.com/file/d/1Ia-y4i6hCnxyuMmmggoj6SCok6vNTZnF/view?usp=drivesdk")</f>
        <v>https://drive.google.com/file/d/1Ia-y4i6hCnxyuMmmggoj6SCok6vNTZnF/view?usp=drivesdk</v>
      </c>
      <c r="D2823" s="12"/>
      <c r="E2823" s="11">
        <v>2861.0</v>
      </c>
      <c r="F2823" s="2"/>
    </row>
    <row r="2824" ht="1.5" customHeight="1">
      <c r="A2824" s="4" t="str">
        <f>IFERROR(__xludf.DUMMYFUNCTION("""COMPUTED_VALUE"""),"1. Microwave")</f>
        <v>1. Microwave</v>
      </c>
      <c r="B2824" s="4" t="str">
        <f>IFERROR(__xludf.DUMMYFUNCTION("""COMPUTED_VALUE"""),"1")</f>
        <v>1</v>
      </c>
      <c r="C2824" s="5" t="str">
        <f>IFERROR(__xludf.DUMMYFUNCTION("""COMPUTED_VALUE"""),"https://drive.google.com/file/d/1PZfXuqTf5wE9Y7WdJ0oz_ABTaAbazpMD/view?usp=drivesdk")</f>
        <v>https://drive.google.com/file/d/1PZfXuqTf5wE9Y7WdJ0oz_ABTaAbazpMD/view?usp=drivesdk</v>
      </c>
      <c r="D2824" s="12"/>
      <c r="E2824" s="11">
        <v>2862.0</v>
      </c>
      <c r="F2824" s="2"/>
    </row>
    <row r="2825" ht="1.5" customHeight="1">
      <c r="A2825" s="4" t="str">
        <f>IFERROR(__xludf.DUMMYFUNCTION("""COMPUTED_VALUE"""),"6. Snickers")</f>
        <v>6. Snickers</v>
      </c>
      <c r="B2825" s="4" t="str">
        <f>IFERROR(__xludf.DUMMYFUNCTION("""COMPUTED_VALUE"""),"6")</f>
        <v>6</v>
      </c>
      <c r="C2825" s="5" t="str">
        <f>IFERROR(__xludf.DUMMYFUNCTION("""COMPUTED_VALUE"""),"https://drive.google.com/file/d/1NgJpF4PXjhlThbR2b1dDIn9g8xu9oyuV/view?usp=drivesdk")</f>
        <v>https://drive.google.com/file/d/1NgJpF4PXjhlThbR2b1dDIn9g8xu9oyuV/view?usp=drivesdk</v>
      </c>
      <c r="D2825" s="12"/>
      <c r="E2825" s="11">
        <v>2863.0</v>
      </c>
      <c r="F2825" s="2"/>
    </row>
    <row r="2826" ht="1.5" customHeight="1">
      <c r="A2826" s="4" t="str">
        <f>IFERROR(__xludf.DUMMYFUNCTION("""COMPUTED_VALUE"""),"1. Microwave")</f>
        <v>1. Microwave</v>
      </c>
      <c r="B2826" s="4" t="str">
        <f>IFERROR(__xludf.DUMMYFUNCTION("""COMPUTED_VALUE"""),"1")</f>
        <v>1</v>
      </c>
      <c r="C2826" s="5" t="str">
        <f>IFERROR(__xludf.DUMMYFUNCTION("""COMPUTED_VALUE"""),"https://drive.google.com/file/d/1INlbO4g4m0NAeW5JaWVDfDYOf69ois_i/view?usp=drivesdk")</f>
        <v>https://drive.google.com/file/d/1INlbO4g4m0NAeW5JaWVDfDYOf69ois_i/view?usp=drivesdk</v>
      </c>
      <c r="D2826" s="12"/>
      <c r="E2826" s="11">
        <v>2864.0</v>
      </c>
      <c r="F2826" s="2"/>
    </row>
    <row r="2827" ht="1.5" customHeight="1">
      <c r="A2827" s="4" t="str">
        <f>IFERROR(__xludf.DUMMYFUNCTION("""COMPUTED_VALUE"""),"1. Microwave")</f>
        <v>1. Microwave</v>
      </c>
      <c r="B2827" s="4" t="str">
        <f>IFERROR(__xludf.DUMMYFUNCTION("""COMPUTED_VALUE"""),"1")</f>
        <v>1</v>
      </c>
      <c r="C2827" s="5" t="str">
        <f>IFERROR(__xludf.DUMMYFUNCTION("""COMPUTED_VALUE"""),"https://drive.google.com/file/d/17PlpyPiTZkdOaIBxuaWOxmdoGzRLS1lV/view?usp=drivesdk")</f>
        <v>https://drive.google.com/file/d/17PlpyPiTZkdOaIBxuaWOxmdoGzRLS1lV/view?usp=drivesdk</v>
      </c>
      <c r="D2827" s="12"/>
      <c r="E2827" s="11">
        <v>2865.0</v>
      </c>
      <c r="F2827" s="2"/>
    </row>
    <row r="2828" ht="1.5" customHeight="1">
      <c r="A2828" s="4" t="str">
        <f>IFERROR(__xludf.DUMMYFUNCTION("""COMPUTED_VALUE"""),"1. Microwave")</f>
        <v>1. Microwave</v>
      </c>
      <c r="B2828" s="4" t="str">
        <f>IFERROR(__xludf.DUMMYFUNCTION("""COMPUTED_VALUE"""),"1")</f>
        <v>1</v>
      </c>
      <c r="C2828" s="5" t="str">
        <f>IFERROR(__xludf.DUMMYFUNCTION("""COMPUTED_VALUE"""),"https://drive.google.com/file/d/1EaispDkksuOd9BFqcrIZTx_ao-fDOYGo/view?usp=drivesdk")</f>
        <v>https://drive.google.com/file/d/1EaispDkksuOd9BFqcrIZTx_ao-fDOYGo/view?usp=drivesdk</v>
      </c>
      <c r="D2828" s="12"/>
      <c r="E2828" s="11">
        <v>2866.0</v>
      </c>
      <c r="F2828" s="2"/>
    </row>
    <row r="2829" ht="1.5" customHeight="1">
      <c r="A2829" s="4" t="str">
        <f>IFERROR(__xludf.DUMMYFUNCTION("""COMPUTED_VALUE"""),"76. Eezard")</f>
        <v>76. Eezard</v>
      </c>
      <c r="B2829" s="4" t="str">
        <f>IFERROR(__xludf.DUMMYFUNCTION("""COMPUTED_VALUE"""),"76")</f>
        <v>76</v>
      </c>
      <c r="C2829" s="5" t="str">
        <f>IFERROR(__xludf.DUMMYFUNCTION("""COMPUTED_VALUE"""),"https://drive.google.com/file/d/12qCJHxAxNgnYQWbWhEpU8ZVZFNvYqj6W/view?usp=drivesdk")</f>
        <v>https://drive.google.com/file/d/12qCJHxAxNgnYQWbWhEpU8ZVZFNvYqj6W/view?usp=drivesdk</v>
      </c>
      <c r="D2829" s="12"/>
      <c r="E2829" s="11">
        <v>2867.0</v>
      </c>
      <c r="F2829" s="2"/>
    </row>
    <row r="2830" ht="1.5" customHeight="1">
      <c r="A2830" s="4" t="str">
        <f>IFERROR(__xludf.DUMMYFUNCTION("""COMPUTED_VALUE"""),"1. Microwave")</f>
        <v>1. Microwave</v>
      </c>
      <c r="B2830" s="4" t="str">
        <f>IFERROR(__xludf.DUMMYFUNCTION("""COMPUTED_VALUE"""),"1")</f>
        <v>1</v>
      </c>
      <c r="C2830" s="5" t="str">
        <f>IFERROR(__xludf.DUMMYFUNCTION("""COMPUTED_VALUE"""),"https://drive.google.com/file/d/1YNmOANrjJu7A1omfxrdHvgwdd8TR8rmz/view?usp=drivesdk")</f>
        <v>https://drive.google.com/file/d/1YNmOANrjJu7A1omfxrdHvgwdd8TR8rmz/view?usp=drivesdk</v>
      </c>
      <c r="D2830" s="12"/>
      <c r="E2830" s="11">
        <v>2868.0</v>
      </c>
      <c r="F2830" s="2"/>
    </row>
    <row r="2831" ht="1.5" customHeight="1">
      <c r="A2831" s="4" t="str">
        <f>IFERROR(__xludf.DUMMYFUNCTION("""COMPUTED_VALUE"""),"1. Microwave")</f>
        <v>1. Microwave</v>
      </c>
      <c r="B2831" s="4" t="str">
        <f>IFERROR(__xludf.DUMMYFUNCTION("""COMPUTED_VALUE"""),"1")</f>
        <v>1</v>
      </c>
      <c r="C2831" s="5" t="str">
        <f>IFERROR(__xludf.DUMMYFUNCTION("""COMPUTED_VALUE"""),"https://drive.google.com/file/d/1bGuOLgc5FVf2J7fpAxyVcA6xYAPYw07L/view?usp=drivesdk")</f>
        <v>https://drive.google.com/file/d/1bGuOLgc5FVf2J7fpAxyVcA6xYAPYw07L/view?usp=drivesdk</v>
      </c>
      <c r="D2831" s="12"/>
      <c r="E2831" s="11">
        <v>2869.0</v>
      </c>
      <c r="F2831" s="2"/>
    </row>
    <row r="2832" ht="1.5" customHeight="1">
      <c r="A2832" s="4" t="str">
        <f>IFERROR(__xludf.DUMMYFUNCTION("""COMPUTED_VALUE"""),"1. Microwave")</f>
        <v>1. Microwave</v>
      </c>
      <c r="B2832" s="4" t="str">
        <f>IFERROR(__xludf.DUMMYFUNCTION("""COMPUTED_VALUE"""),"1")</f>
        <v>1</v>
      </c>
      <c r="C2832" s="5" t="str">
        <f>IFERROR(__xludf.DUMMYFUNCTION("""COMPUTED_VALUE"""),"https://drive.google.com/file/d/1JX00PwsDaH5jogHgiLXp665PtwmI3bLS/view?usp=drivesdk")</f>
        <v>https://drive.google.com/file/d/1JX00PwsDaH5jogHgiLXp665PtwmI3bLS/view?usp=drivesdk</v>
      </c>
      <c r="D2832" s="12"/>
      <c r="E2832" s="11">
        <v>2870.0</v>
      </c>
      <c r="F2832" s="2"/>
    </row>
    <row r="2833" ht="1.5" customHeight="1">
      <c r="A2833" s="4" t="str">
        <f>IFERROR(__xludf.DUMMYFUNCTION("""COMPUTED_VALUE"""),"1. Microwave")</f>
        <v>1. Microwave</v>
      </c>
      <c r="B2833" s="4" t="str">
        <f>IFERROR(__xludf.DUMMYFUNCTION("""COMPUTED_VALUE"""),"1")</f>
        <v>1</v>
      </c>
      <c r="C2833" s="5" t="str">
        <f>IFERROR(__xludf.DUMMYFUNCTION("""COMPUTED_VALUE"""),"https://drive.google.com/file/d/1FH3N5wmdSnBePjHgkGKyM10pH28_QtzH/view?usp=drivesdk")</f>
        <v>https://drive.google.com/file/d/1FH3N5wmdSnBePjHgkGKyM10pH28_QtzH/view?usp=drivesdk</v>
      </c>
      <c r="D2833" s="12"/>
      <c r="E2833" s="11">
        <v>2871.0</v>
      </c>
      <c r="F2833" s="2"/>
    </row>
    <row r="2834" ht="1.5" customHeight="1">
      <c r="A2834" s="4" t="str">
        <f>IFERROR(__xludf.DUMMYFUNCTION("""COMPUTED_VALUE"""),"1. Microwave")</f>
        <v>1. Microwave</v>
      </c>
      <c r="B2834" s="4" t="str">
        <f>IFERROR(__xludf.DUMMYFUNCTION("""COMPUTED_VALUE"""),"1")</f>
        <v>1</v>
      </c>
      <c r="C2834" s="5" t="str">
        <f>IFERROR(__xludf.DUMMYFUNCTION("""COMPUTED_VALUE"""),"https://drive.google.com/file/d/19uooOyypQMN7pi7onW1VoQkB0Cdz45iI/view?usp=drivesdk")</f>
        <v>https://drive.google.com/file/d/19uooOyypQMN7pi7onW1VoQkB0Cdz45iI/view?usp=drivesdk</v>
      </c>
      <c r="D2834" s="12"/>
      <c r="E2834" s="11">
        <v>2872.0</v>
      </c>
      <c r="F2834" s="2"/>
    </row>
    <row r="2835" ht="1.5" customHeight="1">
      <c r="A2835" s="4" t="str">
        <f>IFERROR(__xludf.DUMMYFUNCTION("""COMPUTED_VALUE"""),"1. Microwave")</f>
        <v>1. Microwave</v>
      </c>
      <c r="B2835" s="4" t="str">
        <f>IFERROR(__xludf.DUMMYFUNCTION("""COMPUTED_VALUE"""),"1")</f>
        <v>1</v>
      </c>
      <c r="C2835" s="5" t="str">
        <f>IFERROR(__xludf.DUMMYFUNCTION("""COMPUTED_VALUE"""),"https://drive.google.com/file/d/18edwGJdCw4fu2mgAGkpeRRNHPr7MjU2f/view?usp=drivesdk")</f>
        <v>https://drive.google.com/file/d/18edwGJdCw4fu2mgAGkpeRRNHPr7MjU2f/view?usp=drivesdk</v>
      </c>
      <c r="D2835" s="12"/>
      <c r="E2835" s="11">
        <v>2873.0</v>
      </c>
      <c r="F2835" s="2"/>
    </row>
    <row r="2836" ht="1.5" customHeight="1">
      <c r="A2836" s="4" t="str">
        <f>IFERROR(__xludf.DUMMYFUNCTION("""COMPUTED_VALUE"""),"1. Microwave")</f>
        <v>1. Microwave</v>
      </c>
      <c r="B2836" s="4" t="str">
        <f>IFERROR(__xludf.DUMMYFUNCTION("""COMPUTED_VALUE"""),"1")</f>
        <v>1</v>
      </c>
      <c r="C2836" s="5" t="str">
        <f>IFERROR(__xludf.DUMMYFUNCTION("""COMPUTED_VALUE"""),"https://drive.google.com/file/d/1o9i16MRd8K4LBdBVT5byaPkySFVZ5YSP/view?usp=drivesdk")</f>
        <v>https://drive.google.com/file/d/1o9i16MRd8K4LBdBVT5byaPkySFVZ5YSP/view?usp=drivesdk</v>
      </c>
      <c r="D2836" s="12"/>
      <c r="E2836" s="11">
        <v>2874.0</v>
      </c>
      <c r="F2836" s="2"/>
    </row>
    <row r="2837" ht="1.5" customHeight="1">
      <c r="A2837" s="4" t="str">
        <f>IFERROR(__xludf.DUMMYFUNCTION("""COMPUTED_VALUE"""),"76. Eezard")</f>
        <v>76. Eezard</v>
      </c>
      <c r="B2837" s="4" t="str">
        <f>IFERROR(__xludf.DUMMYFUNCTION("""COMPUTED_VALUE"""),"76")</f>
        <v>76</v>
      </c>
      <c r="C2837" s="5" t="str">
        <f>IFERROR(__xludf.DUMMYFUNCTION("""COMPUTED_VALUE"""),"https://drive.google.com/file/d/1eu0sto1bncrqxYkr31y2nDnqpgXDP_pO/view?usp=drivesdk")</f>
        <v>https://drive.google.com/file/d/1eu0sto1bncrqxYkr31y2nDnqpgXDP_pO/view?usp=drivesdk</v>
      </c>
      <c r="D2837" s="12"/>
      <c r="E2837" s="11">
        <v>2875.0</v>
      </c>
      <c r="F2837" s="2"/>
    </row>
    <row r="2838" ht="1.5" customHeight="1">
      <c r="A2838" s="4" t="str">
        <f>IFERROR(__xludf.DUMMYFUNCTION("""COMPUTED_VALUE"""),"4. Eggs")</f>
        <v>4. Eggs</v>
      </c>
      <c r="B2838" s="4" t="str">
        <f>IFERROR(__xludf.DUMMYFUNCTION("""COMPUTED_VALUE"""),"4")</f>
        <v>4</v>
      </c>
      <c r="C2838" s="5" t="str">
        <f>IFERROR(__xludf.DUMMYFUNCTION("""COMPUTED_VALUE"""),"https://drive.google.com/file/d/1hMZX6ZonzDT9sDmYyrWny_8P0nboBnGG/view?usp=drivesdk")</f>
        <v>https://drive.google.com/file/d/1hMZX6ZonzDT9sDmYyrWny_8P0nboBnGG/view?usp=drivesdk</v>
      </c>
      <c r="D2838" s="12"/>
      <c r="E2838" s="11">
        <v>2876.0</v>
      </c>
      <c r="F2838" s="2"/>
    </row>
    <row r="2839" ht="1.5" customHeight="1">
      <c r="A2839" s="4" t="str">
        <f>IFERROR(__xludf.DUMMYFUNCTION("""COMPUTED_VALUE"""),"4. Eggs")</f>
        <v>4. Eggs</v>
      </c>
      <c r="B2839" s="4" t="str">
        <f>IFERROR(__xludf.DUMMYFUNCTION("""COMPUTED_VALUE"""),"4")</f>
        <v>4</v>
      </c>
      <c r="C2839" s="5" t="str">
        <f>IFERROR(__xludf.DUMMYFUNCTION("""COMPUTED_VALUE"""),"https://drive.google.com/file/d/1-zi3Sp_HyjptYQz3c2xTFcgNIZVNQC2B/view?usp=drivesdk")</f>
        <v>https://drive.google.com/file/d/1-zi3Sp_HyjptYQz3c2xTFcgNIZVNQC2B/view?usp=drivesdk</v>
      </c>
      <c r="D2839" s="12"/>
      <c r="E2839" s="11">
        <v>2877.0</v>
      </c>
      <c r="F2839" s="2"/>
    </row>
    <row r="2840" ht="1.5" customHeight="1">
      <c r="A2840" s="4" t="str">
        <f>IFERROR(__xludf.DUMMYFUNCTION("""COMPUTED_VALUE"""),"4. Eggs")</f>
        <v>4. Eggs</v>
      </c>
      <c r="B2840" s="4" t="str">
        <f>IFERROR(__xludf.DUMMYFUNCTION("""COMPUTED_VALUE"""),"4")</f>
        <v>4</v>
      </c>
      <c r="C2840" s="5" t="str">
        <f>IFERROR(__xludf.DUMMYFUNCTION("""COMPUTED_VALUE"""),"https://drive.google.com/file/d/1bKwVZziZikU-SFnhdcEji2BqYbGn82Xb/view?usp=drivesdk")</f>
        <v>https://drive.google.com/file/d/1bKwVZziZikU-SFnhdcEji2BqYbGn82Xb/view?usp=drivesdk</v>
      </c>
      <c r="D2840" s="12"/>
      <c r="E2840" s="11">
        <v>2878.0</v>
      </c>
      <c r="F2840" s="2"/>
    </row>
    <row r="2841" ht="1.5" customHeight="1">
      <c r="A2841" s="4" t="str">
        <f>IFERROR(__xludf.DUMMYFUNCTION("""COMPUTED_VALUE"""),"58. Eden, 42. Rubber, 45. Boots")</f>
        <v>58. Eden, 42. Rubber, 45. Boots</v>
      </c>
      <c r="B2841" s="4" t="str">
        <f>IFERROR(__xludf.DUMMYFUNCTION("""COMPUTED_VALUE"""),"58, 42, 45")</f>
        <v>58, 42, 45</v>
      </c>
      <c r="C2841" s="5" t="str">
        <f>IFERROR(__xludf.DUMMYFUNCTION("""COMPUTED_VALUE"""),"https://drive.google.com/file/d/1xKNNpdtRPtMZsLaN5fkkBHdJGkOpgdBi/view?usp=drivesdk")</f>
        <v>https://drive.google.com/file/d/1xKNNpdtRPtMZsLaN5fkkBHdJGkOpgdBi/view?usp=drivesdk</v>
      </c>
      <c r="D2841" s="12"/>
      <c r="E2841" s="11">
        <v>2879.0</v>
      </c>
      <c r="F2841" s="2"/>
    </row>
    <row r="2842" ht="1.5" customHeight="1">
      <c r="A2842" s="4" t="str">
        <f>IFERROR(__xludf.DUMMYFUNCTION("""COMPUTED_VALUE"""),"61. Cassie, 41. Gregory, 47. Nefarious, 58. Eden, 44. Shitbag Cuntface, 45. Boots")</f>
        <v>61. Cassie, 41. Gregory, 47. Nefarious, 58. Eden, 44. Shitbag Cuntface, 45. Boots</v>
      </c>
      <c r="B2842" s="4" t="str">
        <f>IFERROR(__xludf.DUMMYFUNCTION("""COMPUTED_VALUE"""),"61, 41, 47, 58, 44, 45")</f>
        <v>61, 41, 47, 58, 44, 45</v>
      </c>
      <c r="C2842" s="5" t="str">
        <f>IFERROR(__xludf.DUMMYFUNCTION("""COMPUTED_VALUE"""),"https://drive.google.com/file/d/103d__loBFiyxQ0lnfWlT-jvIEaYH987s/view?usp=drivesdk")</f>
        <v>https://drive.google.com/file/d/103d__loBFiyxQ0lnfWlT-jvIEaYH987s/view?usp=drivesdk</v>
      </c>
      <c r="D2842" s="12"/>
      <c r="E2842" s="11">
        <v>2880.0</v>
      </c>
      <c r="F2842" s="2"/>
    </row>
    <row r="2843" ht="1.5" customHeight="1">
      <c r="A2843" s="4" t="str">
        <f>IFERROR(__xludf.DUMMYFUNCTION("""COMPUTED_VALUE"""),"0. NotACat")</f>
        <v>0. NotACat</v>
      </c>
      <c r="B2843" s="4" t="str">
        <f>IFERROR(__xludf.DUMMYFUNCTION("""COMPUTED_VALUE"""),"0")</f>
        <v>0</v>
      </c>
      <c r="C2843" s="5" t="str">
        <f>IFERROR(__xludf.DUMMYFUNCTION("""COMPUTED_VALUE"""),"https://drive.google.com/file/d/1v3MYNfF6aUgn6bKjhRCBP6D3q6k7ghle/view?usp=drivesdk")</f>
        <v>https://drive.google.com/file/d/1v3MYNfF6aUgn6bKjhRCBP6D3q6k7ghle/view?usp=drivesdk</v>
      </c>
      <c r="D2843" s="12"/>
      <c r="E2843" s="11">
        <v>2881.0</v>
      </c>
      <c r="F2843" s="2"/>
    </row>
    <row r="2844" ht="1.5" customHeight="1">
      <c r="A2844" s="4" t="str">
        <f>IFERROR(__xludf.DUMMYFUNCTION("""COMPUTED_VALUE"""),"2. Twix")</f>
        <v>2. Twix</v>
      </c>
      <c r="B2844" s="4" t="str">
        <f>IFERROR(__xludf.DUMMYFUNCTION("""COMPUTED_VALUE"""),"2")</f>
        <v>2</v>
      </c>
      <c r="C2844" s="5" t="str">
        <f>IFERROR(__xludf.DUMMYFUNCTION("""COMPUTED_VALUE"""),"https://drive.google.com/file/d/1DVHoDll8X3xr-UK4N5lNYMn8kyC3W-V4/view?usp=drivesdk")</f>
        <v>https://drive.google.com/file/d/1DVHoDll8X3xr-UK4N5lNYMn8kyC3W-V4/view?usp=drivesdk</v>
      </c>
      <c r="D2844" s="12"/>
      <c r="E2844" s="11">
        <v>2882.0</v>
      </c>
      <c r="F2844" s="2"/>
    </row>
    <row r="2845" ht="1.5" customHeight="1">
      <c r="A2845" s="4" t="str">
        <f>IFERROR(__xludf.DUMMYFUNCTION("""COMPUTED_VALUE"""),"2. Twix")</f>
        <v>2. Twix</v>
      </c>
      <c r="B2845" s="4" t="str">
        <f>IFERROR(__xludf.DUMMYFUNCTION("""COMPUTED_VALUE"""),"2")</f>
        <v>2</v>
      </c>
      <c r="C2845" s="5" t="str">
        <f>IFERROR(__xludf.DUMMYFUNCTION("""COMPUTED_VALUE"""),"https://drive.google.com/file/d/1T1094e1Q4rkunKQibGSdxLHiNBeOWjla/view?usp=drivesdk")</f>
        <v>https://drive.google.com/file/d/1T1094e1Q4rkunKQibGSdxLHiNBeOWjla/view?usp=drivesdk</v>
      </c>
      <c r="D2845" s="12"/>
      <c r="E2845" s="11">
        <v>2883.0</v>
      </c>
      <c r="F2845" s="2"/>
    </row>
    <row r="2846" ht="1.5" customHeight="1">
      <c r="A2846" s="4" t="str">
        <f>IFERROR(__xludf.DUMMYFUNCTION("""COMPUTED_VALUE"""),"2. Twix")</f>
        <v>2. Twix</v>
      </c>
      <c r="B2846" s="4" t="str">
        <f>IFERROR(__xludf.DUMMYFUNCTION("""COMPUTED_VALUE"""),"2")</f>
        <v>2</v>
      </c>
      <c r="C2846" s="5" t="str">
        <f>IFERROR(__xludf.DUMMYFUNCTION("""COMPUTED_VALUE"""),"https://drive.google.com/file/d/1HHkqK3M2rhkgKR82cWTyHhGG3ffmtPw1/view?usp=drivesdk")</f>
        <v>https://drive.google.com/file/d/1HHkqK3M2rhkgKR82cWTyHhGG3ffmtPw1/view?usp=drivesdk</v>
      </c>
      <c r="D2846" s="12"/>
      <c r="E2846" s="11">
        <v>2884.0</v>
      </c>
      <c r="F2846" s="2"/>
    </row>
    <row r="2847" ht="1.5" customHeight="1">
      <c r="A2847" s="4" t="str">
        <f>IFERROR(__xludf.DUMMYFUNCTION("""COMPUTED_VALUE"""),"2. Twix")</f>
        <v>2. Twix</v>
      </c>
      <c r="B2847" s="4" t="str">
        <f>IFERROR(__xludf.DUMMYFUNCTION("""COMPUTED_VALUE"""),"2")</f>
        <v>2</v>
      </c>
      <c r="C2847" s="5" t="str">
        <f>IFERROR(__xludf.DUMMYFUNCTION("""COMPUTED_VALUE"""),"https://drive.google.com/file/d/1DJbcHyIMdXuLRLMxvkvZYpc5Ly5SecpU/view?usp=drivesdk")</f>
        <v>https://drive.google.com/file/d/1DJbcHyIMdXuLRLMxvkvZYpc5Ly5SecpU/view?usp=drivesdk</v>
      </c>
      <c r="D2847" s="12"/>
      <c r="E2847" s="11">
        <v>2885.0</v>
      </c>
      <c r="F2847" s="2"/>
    </row>
    <row r="2848" ht="1.5" customHeight="1">
      <c r="A2848" s="4" t="str">
        <f>IFERROR(__xludf.DUMMYFUNCTION("""COMPUTED_VALUE"""),"2. Twix")</f>
        <v>2. Twix</v>
      </c>
      <c r="B2848" s="4" t="str">
        <f>IFERROR(__xludf.DUMMYFUNCTION("""COMPUTED_VALUE"""),"2")</f>
        <v>2</v>
      </c>
      <c r="C2848" s="5" t="str">
        <f>IFERROR(__xludf.DUMMYFUNCTION("""COMPUTED_VALUE"""),"https://drive.google.com/file/d/1VFc4v3qN8AnS7BbfNpH-giYOzG_kD6lx/view?usp=drivesdk")</f>
        <v>https://drive.google.com/file/d/1VFc4v3qN8AnS7BbfNpH-giYOzG_kD6lx/view?usp=drivesdk</v>
      </c>
      <c r="D2848" s="12"/>
      <c r="E2848" s="11">
        <v>2886.0</v>
      </c>
      <c r="F2848" s="2"/>
    </row>
    <row r="2849" ht="1.5" customHeight="1">
      <c r="A2849" s="4" t="str">
        <f>IFERROR(__xludf.DUMMYFUNCTION("""COMPUTED_VALUE"""),"4. Eggs, 5. Eraser")</f>
        <v>4. Eggs, 5. Eraser</v>
      </c>
      <c r="B2849" s="4" t="str">
        <f>IFERROR(__xludf.DUMMYFUNCTION("""COMPUTED_VALUE"""),"4, 5")</f>
        <v>4, 5</v>
      </c>
      <c r="C2849" s="5" t="str">
        <f>IFERROR(__xludf.DUMMYFUNCTION("""COMPUTED_VALUE"""),"https://drive.google.com/file/d/1l6oYBnaA53FcMGCuTn9afRbv9hfuqc8p/view?usp=drivesdk")</f>
        <v>https://drive.google.com/file/d/1l6oYBnaA53FcMGCuTn9afRbv9hfuqc8p/view?usp=drivesdk</v>
      </c>
      <c r="D2849" s="12"/>
      <c r="E2849" s="11">
        <v>2887.0</v>
      </c>
      <c r="F2849" s="2"/>
    </row>
    <row r="2850" ht="1.5" customHeight="1">
      <c r="A2850" s="4" t="str">
        <f>IFERROR(__xludf.DUMMYFUNCTION("""COMPUTED_VALUE"""),"4. Eggs, 5. Eraser")</f>
        <v>4. Eggs, 5. Eraser</v>
      </c>
      <c r="B2850" s="4" t="str">
        <f>IFERROR(__xludf.DUMMYFUNCTION("""COMPUTED_VALUE"""),"4, 5")</f>
        <v>4, 5</v>
      </c>
      <c r="C2850" s="5" t="str">
        <f>IFERROR(__xludf.DUMMYFUNCTION("""COMPUTED_VALUE"""),"https://drive.google.com/file/d/1a27nGRhwosUX8TeRkBIWV3P54DS0_EtS/view?usp=drivesdk")</f>
        <v>https://drive.google.com/file/d/1a27nGRhwosUX8TeRkBIWV3P54DS0_EtS/view?usp=drivesdk</v>
      </c>
      <c r="D2850" s="12"/>
      <c r="E2850" s="11">
        <v>2888.0</v>
      </c>
      <c r="F2850" s="2"/>
    </row>
    <row r="2851" ht="1.5" customHeight="1">
      <c r="A2851" s="4" t="str">
        <f>IFERROR(__xludf.DUMMYFUNCTION("""COMPUTED_VALUE"""),"2. Twix")</f>
        <v>2. Twix</v>
      </c>
      <c r="B2851" s="4" t="str">
        <f>IFERROR(__xludf.DUMMYFUNCTION("""COMPUTED_VALUE"""),"2")</f>
        <v>2</v>
      </c>
      <c r="C2851" s="5" t="str">
        <f>IFERROR(__xludf.DUMMYFUNCTION("""COMPUTED_VALUE"""),"https://drive.google.com/file/d/1ZVVb09ZUQ8BaSrK-gSL45ruBCKL2xlTo/view?usp=drivesdk")</f>
        <v>https://drive.google.com/file/d/1ZVVb09ZUQ8BaSrK-gSL45ruBCKL2xlTo/view?usp=drivesdk</v>
      </c>
      <c r="D2851" s="12"/>
      <c r="E2851" s="11">
        <v>2889.0</v>
      </c>
      <c r="F2851" s="2"/>
    </row>
    <row r="2852" ht="1.5" customHeight="1">
      <c r="A2852" s="4" t="str">
        <f>IFERROR(__xludf.DUMMYFUNCTION("""COMPUTED_VALUE"""),"5. Eraser")</f>
        <v>5. Eraser</v>
      </c>
      <c r="B2852" s="4" t="str">
        <f>IFERROR(__xludf.DUMMYFUNCTION("""COMPUTED_VALUE"""),"5")</f>
        <v>5</v>
      </c>
      <c r="C2852" s="5" t="str">
        <f>IFERROR(__xludf.DUMMYFUNCTION("""COMPUTED_VALUE"""),"https://drive.google.com/file/d/1TEnPpTCxEXzf1GA7kSawo4iWWvkRygJH/view?usp=drivesdk")</f>
        <v>https://drive.google.com/file/d/1TEnPpTCxEXzf1GA7kSawo4iWWvkRygJH/view?usp=drivesdk</v>
      </c>
      <c r="D2852" s="12"/>
      <c r="E2852" s="11">
        <v>2890.0</v>
      </c>
      <c r="F2852" s="2"/>
    </row>
    <row r="2853" ht="1.5" customHeight="1">
      <c r="A2853" s="4" t="str">
        <f>IFERROR(__xludf.DUMMYFUNCTION("""COMPUTED_VALUE"""),"5. Eraser")</f>
        <v>5. Eraser</v>
      </c>
      <c r="B2853" s="4" t="str">
        <f>IFERROR(__xludf.DUMMYFUNCTION("""COMPUTED_VALUE"""),"5")</f>
        <v>5</v>
      </c>
      <c r="C2853" s="5" t="str">
        <f>IFERROR(__xludf.DUMMYFUNCTION("""COMPUTED_VALUE"""),"https://drive.google.com/file/d/1-7d1Bc8yBvBXPBDJa7k2oHQD4opykHjd/view?usp=drivesdk")</f>
        <v>https://drive.google.com/file/d/1-7d1Bc8yBvBXPBDJa7k2oHQD4opykHjd/view?usp=drivesdk</v>
      </c>
      <c r="D2853" s="12"/>
      <c r="E2853" s="11">
        <v>2891.0</v>
      </c>
      <c r="F2853" s="2"/>
    </row>
    <row r="2854" ht="1.5" customHeight="1">
      <c r="A2854" s="4" t="str">
        <f>IFERROR(__xludf.DUMMYFUNCTION("""COMPUTED_VALUE"""),"2. Twix")</f>
        <v>2. Twix</v>
      </c>
      <c r="B2854" s="4" t="str">
        <f>IFERROR(__xludf.DUMMYFUNCTION("""COMPUTED_VALUE"""),"2")</f>
        <v>2</v>
      </c>
      <c r="C2854" s="5" t="str">
        <f>IFERROR(__xludf.DUMMYFUNCTION("""COMPUTED_VALUE"""),"https://drive.google.com/file/d/1VmzFFlj9sC-3zl0IL4O8CZ9VxfDI1pzI/view?usp=drivesdk")</f>
        <v>https://drive.google.com/file/d/1VmzFFlj9sC-3zl0IL4O8CZ9VxfDI1pzI/view?usp=drivesdk</v>
      </c>
      <c r="D2854" s="12"/>
      <c r="E2854" s="11">
        <v>2892.0</v>
      </c>
      <c r="F2854" s="2"/>
    </row>
    <row r="2855" ht="1.5" customHeight="1">
      <c r="A2855" s="4" t="str">
        <f>IFERROR(__xludf.DUMMYFUNCTION("""COMPUTED_VALUE"""),"5. Eraser")</f>
        <v>5. Eraser</v>
      </c>
      <c r="B2855" s="4" t="str">
        <f>IFERROR(__xludf.DUMMYFUNCTION("""COMPUTED_VALUE"""),"5")</f>
        <v>5</v>
      </c>
      <c r="C2855" s="5" t="str">
        <f>IFERROR(__xludf.DUMMYFUNCTION("""COMPUTED_VALUE"""),"https://drive.google.com/file/d/17Dbc8PkNnITnPfuh4T09bI5_98MyrGHC/view?usp=drivesdk")</f>
        <v>https://drive.google.com/file/d/17Dbc8PkNnITnPfuh4T09bI5_98MyrGHC/view?usp=drivesdk</v>
      </c>
      <c r="D2855" s="12"/>
      <c r="E2855" s="11">
        <v>2893.0</v>
      </c>
      <c r="F2855" s="2"/>
    </row>
    <row r="2856" ht="1.5" customHeight="1">
      <c r="A2856" s="4" t="str">
        <f>IFERROR(__xludf.DUMMYFUNCTION("""COMPUTED_VALUE"""),"5. Eraser")</f>
        <v>5. Eraser</v>
      </c>
      <c r="B2856" s="4" t="str">
        <f>IFERROR(__xludf.DUMMYFUNCTION("""COMPUTED_VALUE"""),"5")</f>
        <v>5</v>
      </c>
      <c r="C2856" s="5" t="str">
        <f>IFERROR(__xludf.DUMMYFUNCTION("""COMPUTED_VALUE"""),"https://drive.google.com/file/d/19GRoYGtbI0rqCSTRw0QHRb5svxCOaR7l/view?usp=drivesdk")</f>
        <v>https://drive.google.com/file/d/19GRoYGtbI0rqCSTRw0QHRb5svxCOaR7l/view?usp=drivesdk</v>
      </c>
      <c r="D2856" s="12"/>
      <c r="E2856" s="11">
        <v>2894.0</v>
      </c>
      <c r="F2856" s="2"/>
    </row>
    <row r="2857" ht="1.5" customHeight="1">
      <c r="A2857" s="4" t="str">
        <f>IFERROR(__xludf.DUMMYFUNCTION("""COMPUTED_VALUE"""),"1. Microwave")</f>
        <v>1. Microwave</v>
      </c>
      <c r="B2857" s="4" t="str">
        <f>IFERROR(__xludf.DUMMYFUNCTION("""COMPUTED_VALUE"""),"1")</f>
        <v>1</v>
      </c>
      <c r="C2857" s="5" t="str">
        <f>IFERROR(__xludf.DUMMYFUNCTION("""COMPUTED_VALUE"""),"https://drive.google.com/file/d/1nVim-H_Jtg6tyQ9bdl3nGDzC_4D4vOmH/view?usp=drivesdk")</f>
        <v>https://drive.google.com/file/d/1nVim-H_Jtg6tyQ9bdl3nGDzC_4D4vOmH/view?usp=drivesdk</v>
      </c>
      <c r="D2857" s="12"/>
      <c r="E2857" s="11">
        <v>2895.0</v>
      </c>
      <c r="F2857" s="2"/>
    </row>
    <row r="2858" ht="1.5" customHeight="1">
      <c r="A2858" s="4" t="str">
        <f>IFERROR(__xludf.DUMMYFUNCTION("""COMPUTED_VALUE"""),"2. Twix")</f>
        <v>2. Twix</v>
      </c>
      <c r="B2858" s="4" t="str">
        <f>IFERROR(__xludf.DUMMYFUNCTION("""COMPUTED_VALUE"""),"2")</f>
        <v>2</v>
      </c>
      <c r="C2858" s="5" t="str">
        <f>IFERROR(__xludf.DUMMYFUNCTION("""COMPUTED_VALUE"""),"https://drive.google.com/file/d/10JI2ahWyOnUSqnezmp5bgYCv8_qlXO-W/view?usp=drivesdk")</f>
        <v>https://drive.google.com/file/d/10JI2ahWyOnUSqnezmp5bgYCv8_qlXO-W/view?usp=drivesdk</v>
      </c>
      <c r="D2858" s="12"/>
      <c r="E2858" s="11">
        <v>2896.0</v>
      </c>
      <c r="F2858" s="2"/>
    </row>
    <row r="2859" ht="1.5" customHeight="1">
      <c r="A2859" s="4" t="str">
        <f>IFERROR(__xludf.DUMMYFUNCTION("""COMPUTED_VALUE"""),"20. Citlali")</f>
        <v>20. Citlali</v>
      </c>
      <c r="B2859" s="4" t="str">
        <f>IFERROR(__xludf.DUMMYFUNCTION("""COMPUTED_VALUE"""),"20")</f>
        <v>20</v>
      </c>
      <c r="C2859" s="5" t="str">
        <f>IFERROR(__xludf.DUMMYFUNCTION("""COMPUTED_VALUE"""),"https://drive.google.com/file/d/1ltcrxYDtA4U_pgnyqjwLBS-dfq54udNp/view?usp=drivesdk")</f>
        <v>https://drive.google.com/file/d/1ltcrxYDtA4U_pgnyqjwLBS-dfq54udNp/view?usp=drivesdk</v>
      </c>
      <c r="D2859" s="12"/>
      <c r="E2859" s="11">
        <v>2897.0</v>
      </c>
      <c r="F2859" s="2"/>
    </row>
    <row r="2860" ht="1.5" customHeight="1">
      <c r="A2860" s="4" t="str">
        <f>IFERROR(__xludf.DUMMYFUNCTION("""COMPUTED_VALUE"""),"20. Citlali")</f>
        <v>20. Citlali</v>
      </c>
      <c r="B2860" s="4" t="str">
        <f>IFERROR(__xludf.DUMMYFUNCTION("""COMPUTED_VALUE"""),"20")</f>
        <v>20</v>
      </c>
      <c r="C2860" s="5" t="str">
        <f>IFERROR(__xludf.DUMMYFUNCTION("""COMPUTED_VALUE"""),"https://drive.google.com/file/d/19r2ZYocRTZUO3nrpuDMEJfYZOc2sZtkD/view?usp=drivesdk")</f>
        <v>https://drive.google.com/file/d/19r2ZYocRTZUO3nrpuDMEJfYZOc2sZtkD/view?usp=drivesdk</v>
      </c>
      <c r="D2860" s="12"/>
      <c r="E2860" s="11">
        <v>2898.0</v>
      </c>
      <c r="F2860" s="2"/>
    </row>
    <row r="2861" ht="1.5" customHeight="1">
      <c r="A2861" s="4" t="str">
        <f>IFERROR(__xludf.DUMMYFUNCTION("""COMPUTED_VALUE"""),"20. Citlali")</f>
        <v>20. Citlali</v>
      </c>
      <c r="B2861" s="4" t="str">
        <f>IFERROR(__xludf.DUMMYFUNCTION("""COMPUTED_VALUE"""),"20")</f>
        <v>20</v>
      </c>
      <c r="C2861" s="5" t="str">
        <f>IFERROR(__xludf.DUMMYFUNCTION("""COMPUTED_VALUE"""),"https://drive.google.com/file/d/1BjlwRWltS0pT_G8NvXUa0A6g2o-SywOJ/view?usp=drivesdk")</f>
        <v>https://drive.google.com/file/d/1BjlwRWltS0pT_G8NvXUa0A6g2o-SywOJ/view?usp=drivesdk</v>
      </c>
      <c r="D2861" s="12"/>
      <c r="E2861" s="11">
        <v>2899.0</v>
      </c>
      <c r="F2861" s="2"/>
    </row>
    <row r="2862" ht="1.5" customHeight="1">
      <c r="A2862" s="4" t="str">
        <f>IFERROR(__xludf.DUMMYFUNCTION("""COMPUTED_VALUE"""),"20. Citlali")</f>
        <v>20. Citlali</v>
      </c>
      <c r="B2862" s="4" t="str">
        <f>IFERROR(__xludf.DUMMYFUNCTION("""COMPUTED_VALUE"""),"20")</f>
        <v>20</v>
      </c>
      <c r="C2862" s="5" t="str">
        <f>IFERROR(__xludf.DUMMYFUNCTION("""COMPUTED_VALUE"""),"https://drive.google.com/file/d/1Bt4TNfo8TQKlN4JlRtufqOvuWnHqIr8U/view?usp=drivesdk")</f>
        <v>https://drive.google.com/file/d/1Bt4TNfo8TQKlN4JlRtufqOvuWnHqIr8U/view?usp=drivesdk</v>
      </c>
      <c r="D2862" s="12"/>
      <c r="E2862" s="11">
        <v>2900.0</v>
      </c>
      <c r="F2862" s="2"/>
    </row>
    <row r="2863" ht="1.5" customHeight="1">
      <c r="A2863" s="4" t="str">
        <f>IFERROR(__xludf.DUMMYFUNCTION("""COMPUTED_VALUE"""),"0. NotACat")</f>
        <v>0. NotACat</v>
      </c>
      <c r="B2863" s="4" t="str">
        <f>IFERROR(__xludf.DUMMYFUNCTION("""COMPUTED_VALUE"""),"0")</f>
        <v>0</v>
      </c>
      <c r="C2863" s="5" t="str">
        <f>IFERROR(__xludf.DUMMYFUNCTION("""COMPUTED_VALUE"""),"https://drive.google.com/file/d/14u2HWTiqcAOXA4dDS95QXTldSi93dnVr/view?usp=drivesdk")</f>
        <v>https://drive.google.com/file/d/14u2HWTiqcAOXA4dDS95QXTldSi93dnVr/view?usp=drivesdk</v>
      </c>
      <c r="D2863" s="12"/>
      <c r="E2863" s="11">
        <v>2901.0</v>
      </c>
      <c r="F2863" s="2"/>
    </row>
    <row r="2864" ht="1.5" customHeight="1">
      <c r="A2864" s="4" t="str">
        <f>IFERROR(__xludf.DUMMYFUNCTION("""COMPUTED_VALUE"""),"0. NotACat")</f>
        <v>0. NotACat</v>
      </c>
      <c r="B2864" s="4" t="str">
        <f>IFERROR(__xludf.DUMMYFUNCTION("""COMPUTED_VALUE"""),"0")</f>
        <v>0</v>
      </c>
      <c r="C2864" s="5" t="str">
        <f>IFERROR(__xludf.DUMMYFUNCTION("""COMPUTED_VALUE"""),"https://drive.google.com/file/d/18-99WZ9cHxxO74GBFgJv-t0Mx_1aM5zN/view?usp=drivesdk")</f>
        <v>https://drive.google.com/file/d/18-99WZ9cHxxO74GBFgJv-t0Mx_1aM5zN/view?usp=drivesdk</v>
      </c>
      <c r="D2864" s="12"/>
      <c r="E2864" s="11">
        <v>2902.0</v>
      </c>
      <c r="F2864" s="2"/>
    </row>
    <row r="2865" ht="1.5" customHeight="1">
      <c r="A2865" s="4" t="str">
        <f>IFERROR(__xludf.DUMMYFUNCTION("""COMPUTED_VALUE"""),"58. Eden, 41. Gregory, 44. Shitbag Cuntface")</f>
        <v>58. Eden, 41. Gregory, 44. Shitbag Cuntface</v>
      </c>
      <c r="B2865" s="4" t="str">
        <f>IFERROR(__xludf.DUMMYFUNCTION("""COMPUTED_VALUE"""),"58, 41, 44")</f>
        <v>58, 41, 44</v>
      </c>
      <c r="C2865" s="5" t="str">
        <f>IFERROR(__xludf.DUMMYFUNCTION("""COMPUTED_VALUE"""),"https://drive.google.com/file/d/1aSVBnc7AlqbOb7LyBlzPLAr0CAB7Hfvz/view?usp=drivesdk")</f>
        <v>https://drive.google.com/file/d/1aSVBnc7AlqbOb7LyBlzPLAr0CAB7Hfvz/view?usp=drivesdk</v>
      </c>
      <c r="D2865" s="12"/>
      <c r="E2865" s="11">
        <v>2903.0</v>
      </c>
      <c r="F2865" s="2"/>
    </row>
    <row r="2866" ht="1.5" customHeight="1">
      <c r="A2866" s="4" t="str">
        <f>IFERROR(__xludf.DUMMYFUNCTION("""COMPUTED_VALUE"""),"44. Shitbag Cuntface")</f>
        <v>44. Shitbag Cuntface</v>
      </c>
      <c r="B2866" s="4" t="str">
        <f>IFERROR(__xludf.DUMMYFUNCTION("""COMPUTED_VALUE"""),"44")</f>
        <v>44</v>
      </c>
      <c r="C2866" s="5" t="str">
        <f>IFERROR(__xludf.DUMMYFUNCTION("""COMPUTED_VALUE"""),"https://drive.google.com/file/d/1lOmZkNyuzLeMX5OoVcJ-V8Tg63V_r9BB/view?usp=drivesdk")</f>
        <v>https://drive.google.com/file/d/1lOmZkNyuzLeMX5OoVcJ-V8Tg63V_r9BB/view?usp=drivesdk</v>
      </c>
      <c r="D2866" s="12"/>
      <c r="E2866" s="11">
        <v>2904.0</v>
      </c>
      <c r="F2866" s="2"/>
    </row>
    <row r="2867" ht="1.5" customHeight="1">
      <c r="A2867" s="4" t="str">
        <f>IFERROR(__xludf.DUMMYFUNCTION("""COMPUTED_VALUE"""),"45. Boots, 44. Shitbag Cuntface, 47. Nefarious, 46. Princess, 41. Gregory")</f>
        <v>45. Boots, 44. Shitbag Cuntface, 47. Nefarious, 46. Princess, 41. Gregory</v>
      </c>
      <c r="B2867" s="4" t="str">
        <f>IFERROR(__xludf.DUMMYFUNCTION("""COMPUTED_VALUE"""),"45, 44, 47, 46, 41")</f>
        <v>45, 44, 47, 46, 41</v>
      </c>
      <c r="C2867" s="5" t="str">
        <f>IFERROR(__xludf.DUMMYFUNCTION("""COMPUTED_VALUE"""),"https://drive.google.com/file/d/1WgrCquJLitb7TB4tfMaatI5jl3SVc8G_/view?usp=drivesdk")</f>
        <v>https://drive.google.com/file/d/1WgrCquJLitb7TB4tfMaatI5jl3SVc8G_/view?usp=drivesdk</v>
      </c>
      <c r="D2867" s="12"/>
      <c r="E2867" s="11">
        <v>2905.0</v>
      </c>
      <c r="F2867" s="2"/>
    </row>
    <row r="2868" ht="1.5" customHeight="1">
      <c r="A2868" s="4" t="str">
        <f>IFERROR(__xludf.DUMMYFUNCTION("""COMPUTED_VALUE"""),"47. Nefarious, 46. Princess")</f>
        <v>47. Nefarious, 46. Princess</v>
      </c>
      <c r="B2868" s="4" t="str">
        <f>IFERROR(__xludf.DUMMYFUNCTION("""COMPUTED_VALUE"""),"47, 46")</f>
        <v>47, 46</v>
      </c>
      <c r="C2868" s="5" t="str">
        <f>IFERROR(__xludf.DUMMYFUNCTION("""COMPUTED_VALUE"""),"https://drive.google.com/file/d/1p99Fha5u3dd_ozKnGDwML2IA2gOJ6dJX/view?usp=drivesdk")</f>
        <v>https://drive.google.com/file/d/1p99Fha5u3dd_ozKnGDwML2IA2gOJ6dJX/view?usp=drivesdk</v>
      </c>
      <c r="D2868" s="12"/>
      <c r="E2868" s="11">
        <v>2906.0</v>
      </c>
      <c r="F2868" s="2"/>
    </row>
    <row r="2869" ht="1.5" customHeight="1">
      <c r="A2869" s="4" t="str">
        <f>IFERROR(__xludf.DUMMYFUNCTION("""COMPUTED_VALUE"""),"47. Nefarious, 46. Princess, 61. Cassie, 41. Gregory")</f>
        <v>47. Nefarious, 46. Princess, 61. Cassie, 41. Gregory</v>
      </c>
      <c r="B2869" s="4" t="str">
        <f>IFERROR(__xludf.DUMMYFUNCTION("""COMPUTED_VALUE"""),"47, 46, 61, 41")</f>
        <v>47, 46, 61, 41</v>
      </c>
      <c r="C2869" s="5" t="str">
        <f>IFERROR(__xludf.DUMMYFUNCTION("""COMPUTED_VALUE"""),"https://drive.google.com/file/d/1uQHQM1xmwXs3gVFECMqqEIQ4Rt267SpL/view?usp=drivesdk")</f>
        <v>https://drive.google.com/file/d/1uQHQM1xmwXs3gVFECMqqEIQ4Rt267SpL/view?usp=drivesdk</v>
      </c>
      <c r="D2869" s="12"/>
      <c r="E2869" s="11">
        <v>2907.0</v>
      </c>
      <c r="F2869" s="2"/>
    </row>
    <row r="2870" ht="1.5" customHeight="1">
      <c r="A2870" s="4" t="str">
        <f>IFERROR(__xludf.DUMMYFUNCTION("""COMPUTED_VALUE"""),"47. Nefarious, 45. Boots, 41. Gregory, 44. Shitbag Cuntface")</f>
        <v>47. Nefarious, 45. Boots, 41. Gregory, 44. Shitbag Cuntface</v>
      </c>
      <c r="B2870" s="4" t="str">
        <f>IFERROR(__xludf.DUMMYFUNCTION("""COMPUTED_VALUE"""),"47, 45, 41, 44")</f>
        <v>47, 45, 41, 44</v>
      </c>
      <c r="C2870" s="5" t="str">
        <f>IFERROR(__xludf.DUMMYFUNCTION("""COMPUTED_VALUE"""),"https://drive.google.com/file/d/1eK-cdhu6ggDRBXhmL1AG_iMaCH0SfrAX/view?usp=drivesdk")</f>
        <v>https://drive.google.com/file/d/1eK-cdhu6ggDRBXhmL1AG_iMaCH0SfrAX/view?usp=drivesdk</v>
      </c>
      <c r="D2870" s="12"/>
      <c r="E2870" s="11">
        <v>2908.0</v>
      </c>
      <c r="F2870" s="2"/>
    </row>
    <row r="2871" ht="1.5" customHeight="1">
      <c r="A2871" s="4" t="str">
        <f>IFERROR(__xludf.DUMMYFUNCTION("""COMPUTED_VALUE"""),"47. Nefarious, 46. Princess, 61. Cassie, 41. Gregory, 39. Radar, 12. Faye")</f>
        <v>47. Nefarious, 46. Princess, 61. Cassie, 41. Gregory, 39. Radar, 12. Faye</v>
      </c>
      <c r="B2871" s="4" t="str">
        <f>IFERROR(__xludf.DUMMYFUNCTION("""COMPUTED_VALUE"""),"47, 46, 61, 41, 39, 12")</f>
        <v>47, 46, 61, 41, 39, 12</v>
      </c>
      <c r="C2871" s="5" t="str">
        <f>IFERROR(__xludf.DUMMYFUNCTION("""COMPUTED_VALUE"""),"https://drive.google.com/file/d/1Ei2cZRbExrFuOw1ddN85OjaTy_kQlzy7/view?usp=drivesdk")</f>
        <v>https://drive.google.com/file/d/1Ei2cZRbExrFuOw1ddN85OjaTy_kQlzy7/view?usp=drivesdk</v>
      </c>
      <c r="D2871" s="12"/>
      <c r="E2871" s="11">
        <v>2909.0</v>
      </c>
      <c r="F2871" s="2"/>
    </row>
    <row r="2872" ht="1.5" customHeight="1">
      <c r="A2872" s="4" t="str">
        <f>IFERROR(__xludf.DUMMYFUNCTION("""COMPUTED_VALUE"""),"46. Princess, 47. Nefarious, 61. Cassie, 39. Radar, 12. Faye, 45. Boots, 44. Shitbag Cuntface")</f>
        <v>46. Princess, 47. Nefarious, 61. Cassie, 39. Radar, 12. Faye, 45. Boots, 44. Shitbag Cuntface</v>
      </c>
      <c r="B2872" s="4" t="str">
        <f>IFERROR(__xludf.DUMMYFUNCTION("""COMPUTED_VALUE"""),"46, 47, 61, 39, 12, 45, 44")</f>
        <v>46, 47, 61, 39, 12, 45, 44</v>
      </c>
      <c r="C2872" s="5" t="str">
        <f>IFERROR(__xludf.DUMMYFUNCTION("""COMPUTED_VALUE"""),"https://drive.google.com/file/d/1W-GBjLCwF0dCmMxwulrbTPngQ9n8XVhZ/view?usp=drivesdk")</f>
        <v>https://drive.google.com/file/d/1W-GBjLCwF0dCmMxwulrbTPngQ9n8XVhZ/view?usp=drivesdk</v>
      </c>
      <c r="D2872" s="12"/>
      <c r="E2872" s="11">
        <v>2910.0</v>
      </c>
      <c r="F2872" s="2"/>
    </row>
    <row r="2873" ht="1.5" customHeight="1">
      <c r="A2873" s="4" t="str">
        <f>IFERROR(__xludf.DUMMYFUNCTION("""COMPUTED_VALUE"""),"1. Microwave")</f>
        <v>1. Microwave</v>
      </c>
      <c r="B2873" s="4" t="str">
        <f>IFERROR(__xludf.DUMMYFUNCTION("""COMPUTED_VALUE"""),"1")</f>
        <v>1</v>
      </c>
      <c r="C2873" s="5" t="str">
        <f>IFERROR(__xludf.DUMMYFUNCTION("""COMPUTED_VALUE"""),"https://drive.google.com/file/d/1egkKxe8F9hedFPHQHWQjViksN1Ec5Olq/view?usp=drivesdk")</f>
        <v>https://drive.google.com/file/d/1egkKxe8F9hedFPHQHWQjViksN1Ec5Olq/view?usp=drivesdk</v>
      </c>
      <c r="D2873" s="12"/>
      <c r="E2873" s="11">
        <v>2911.0</v>
      </c>
      <c r="F2873" s="2"/>
    </row>
    <row r="2874" ht="1.5" customHeight="1">
      <c r="A2874" s="4" t="str">
        <f>IFERROR(__xludf.DUMMYFUNCTION("""COMPUTED_VALUE"""),"32. Noir")</f>
        <v>32. Noir</v>
      </c>
      <c r="B2874" s="4" t="str">
        <f>IFERROR(__xludf.DUMMYFUNCTION("""COMPUTED_VALUE"""),"32")</f>
        <v>32</v>
      </c>
      <c r="C2874" s="5" t="str">
        <f>IFERROR(__xludf.DUMMYFUNCTION("""COMPUTED_VALUE"""),"https://drive.google.com/file/d/1Dl9WyPyufd1LJkJWJQBOj_xDpoQQWU_p/view?usp=drivesdk")</f>
        <v>https://drive.google.com/file/d/1Dl9WyPyufd1LJkJWJQBOj_xDpoQQWU_p/view?usp=drivesdk</v>
      </c>
      <c r="D2874" s="12"/>
      <c r="E2874" s="11">
        <v>2912.0</v>
      </c>
      <c r="F2874" s="2"/>
    </row>
    <row r="2875" ht="1.5" customHeight="1">
      <c r="A2875" s="4" t="str">
        <f>IFERROR(__xludf.DUMMYFUNCTION("""COMPUTED_VALUE"""),"1. Microwave")</f>
        <v>1. Microwave</v>
      </c>
      <c r="B2875" s="4" t="str">
        <f>IFERROR(__xludf.DUMMYFUNCTION("""COMPUTED_VALUE"""),"1")</f>
        <v>1</v>
      </c>
      <c r="C2875" s="5" t="str">
        <f>IFERROR(__xludf.DUMMYFUNCTION("""COMPUTED_VALUE"""),"https://drive.google.com/file/d/1sCtC7O4ISPaRuFuVUWMemC0iwE81sSzo/view?usp=drivesdk")</f>
        <v>https://drive.google.com/file/d/1sCtC7O4ISPaRuFuVUWMemC0iwE81sSzo/view?usp=drivesdk</v>
      </c>
      <c r="D2875" s="12"/>
      <c r="E2875" s="11">
        <v>2913.0</v>
      </c>
      <c r="F2875" s="2"/>
    </row>
    <row r="2876" ht="1.5" customHeight="1">
      <c r="A2876" s="4" t="str">
        <f>IFERROR(__xludf.DUMMYFUNCTION("""COMPUTED_VALUE"""),"1. Microwave")</f>
        <v>1. Microwave</v>
      </c>
      <c r="B2876" s="4" t="str">
        <f>IFERROR(__xludf.DUMMYFUNCTION("""COMPUTED_VALUE"""),"1")</f>
        <v>1</v>
      </c>
      <c r="C2876" s="5" t="str">
        <f>IFERROR(__xludf.DUMMYFUNCTION("""COMPUTED_VALUE"""),"https://drive.google.com/file/d/1KWGTMDkeeZOSkJm3r4-V1njhMZlAXZFP/view?usp=drivesdk")</f>
        <v>https://drive.google.com/file/d/1KWGTMDkeeZOSkJm3r4-V1njhMZlAXZFP/view?usp=drivesdk</v>
      </c>
      <c r="D2876" s="12"/>
      <c r="E2876" s="11">
        <v>2914.0</v>
      </c>
      <c r="F2876" s="2"/>
    </row>
    <row r="2877" ht="1.5" customHeight="1">
      <c r="A2877" s="4" t="str">
        <f>IFERROR(__xludf.DUMMYFUNCTION("""COMPUTED_VALUE"""),"1. Microwave")</f>
        <v>1. Microwave</v>
      </c>
      <c r="B2877" s="4" t="str">
        <f>IFERROR(__xludf.DUMMYFUNCTION("""COMPUTED_VALUE"""),"1")</f>
        <v>1</v>
      </c>
      <c r="C2877" s="5" t="str">
        <f>IFERROR(__xludf.DUMMYFUNCTION("""COMPUTED_VALUE"""),"https://drive.google.com/file/d/1eNlXYBB3f-V3RCoYpMJoHxRFqkZgAcym/view?usp=drivesdk")</f>
        <v>https://drive.google.com/file/d/1eNlXYBB3f-V3RCoYpMJoHxRFqkZgAcym/view?usp=drivesdk</v>
      </c>
      <c r="D2877" s="12"/>
      <c r="E2877" s="11">
        <v>2915.0</v>
      </c>
      <c r="F2877" s="2"/>
    </row>
    <row r="2878" ht="1.5" customHeight="1">
      <c r="A2878" s="4" t="str">
        <f>IFERROR(__xludf.DUMMYFUNCTION("""COMPUTED_VALUE"""),"1. Microwave")</f>
        <v>1. Microwave</v>
      </c>
      <c r="B2878" s="4" t="str">
        <f>IFERROR(__xludf.DUMMYFUNCTION("""COMPUTED_VALUE"""),"1")</f>
        <v>1</v>
      </c>
      <c r="C2878" s="5" t="str">
        <f>IFERROR(__xludf.DUMMYFUNCTION("""COMPUTED_VALUE"""),"https://drive.google.com/file/d/1ZUW0TiJTnPD3i97QN_Udc66NRtwNzIKg/view?usp=drivesdk")</f>
        <v>https://drive.google.com/file/d/1ZUW0TiJTnPD3i97QN_Udc66NRtwNzIKg/view?usp=drivesdk</v>
      </c>
      <c r="D2878" s="12"/>
      <c r="E2878" s="11">
        <v>2916.0</v>
      </c>
      <c r="F2878" s="2"/>
    </row>
    <row r="2879" ht="1.5" customHeight="1">
      <c r="A2879" s="4" t="str">
        <f>IFERROR(__xludf.DUMMYFUNCTION("""COMPUTED_VALUE"""),"1. Microwave")</f>
        <v>1. Microwave</v>
      </c>
      <c r="B2879" s="4" t="str">
        <f>IFERROR(__xludf.DUMMYFUNCTION("""COMPUTED_VALUE"""),"1")</f>
        <v>1</v>
      </c>
      <c r="C2879" s="5" t="str">
        <f>IFERROR(__xludf.DUMMYFUNCTION("""COMPUTED_VALUE"""),"https://drive.google.com/file/d/1hAVbYb-mX5-VQW-Q5jdK39YwwwalrYr0/view?usp=drivesdk")</f>
        <v>https://drive.google.com/file/d/1hAVbYb-mX5-VQW-Q5jdK39YwwwalrYr0/view?usp=drivesdk</v>
      </c>
      <c r="D2879" s="12"/>
      <c r="E2879" s="11">
        <v>2917.0</v>
      </c>
      <c r="F2879" s="2"/>
    </row>
    <row r="2880" ht="1.5" customHeight="1">
      <c r="A2880" s="4" t="str">
        <f>IFERROR(__xludf.DUMMYFUNCTION("""COMPUTED_VALUE"""),"1. Microwave")</f>
        <v>1. Microwave</v>
      </c>
      <c r="B2880" s="4" t="str">
        <f>IFERROR(__xludf.DUMMYFUNCTION("""COMPUTED_VALUE"""),"1")</f>
        <v>1</v>
      </c>
      <c r="C2880" s="5" t="str">
        <f>IFERROR(__xludf.DUMMYFUNCTION("""COMPUTED_VALUE"""),"https://drive.google.com/file/d/1majxA8HRA9MXmwVklJTT9Df-IFdhSEz4/view?usp=drivesdk")</f>
        <v>https://drive.google.com/file/d/1majxA8HRA9MXmwVklJTT9Df-IFdhSEz4/view?usp=drivesdk</v>
      </c>
      <c r="D2880" s="12"/>
      <c r="E2880" s="11">
        <v>2918.0</v>
      </c>
      <c r="F2880" s="2"/>
    </row>
    <row r="2881" ht="1.5" customHeight="1">
      <c r="A2881" s="4" t="str">
        <f>IFERROR(__xludf.DUMMYFUNCTION("""COMPUTED_VALUE"""),"1. Microwave")</f>
        <v>1. Microwave</v>
      </c>
      <c r="B2881" s="4" t="str">
        <f>IFERROR(__xludf.DUMMYFUNCTION("""COMPUTED_VALUE"""),"1")</f>
        <v>1</v>
      </c>
      <c r="C2881" s="5" t="str">
        <f>IFERROR(__xludf.DUMMYFUNCTION("""COMPUTED_VALUE"""),"https://drive.google.com/file/d/1AT8wPKXerGH6PI9v8ZaIX7cK-CWAEkw2/view?usp=drivesdk")</f>
        <v>https://drive.google.com/file/d/1AT8wPKXerGH6PI9v8ZaIX7cK-CWAEkw2/view?usp=drivesdk</v>
      </c>
      <c r="D2881" s="12"/>
      <c r="E2881" s="11">
        <v>2919.0</v>
      </c>
      <c r="F2881" s="2"/>
    </row>
    <row r="2882" ht="1.5" customHeight="1">
      <c r="A2882" s="4" t="str">
        <f>IFERROR(__xludf.DUMMYFUNCTION("""COMPUTED_VALUE"""),"1. Microwave")</f>
        <v>1. Microwave</v>
      </c>
      <c r="B2882" s="4" t="str">
        <f>IFERROR(__xludf.DUMMYFUNCTION("""COMPUTED_VALUE"""),"1")</f>
        <v>1</v>
      </c>
      <c r="C2882" s="5" t="str">
        <f>IFERROR(__xludf.DUMMYFUNCTION("""COMPUTED_VALUE"""),"https://drive.google.com/file/d/1DqzfwSHWONImdna3_oqyKfevOZzSFRyV/view?usp=drivesdk")</f>
        <v>https://drive.google.com/file/d/1DqzfwSHWONImdna3_oqyKfevOZzSFRyV/view?usp=drivesdk</v>
      </c>
      <c r="D2882" s="12"/>
      <c r="E2882" s="11">
        <v>2920.0</v>
      </c>
      <c r="F2882" s="2"/>
    </row>
    <row r="2883" ht="1.5" customHeight="1">
      <c r="A2883" s="4" t="str">
        <f>IFERROR(__xludf.DUMMYFUNCTION("""COMPUTED_VALUE"""),"1. Microwave")</f>
        <v>1. Microwave</v>
      </c>
      <c r="B2883" s="4" t="str">
        <f>IFERROR(__xludf.DUMMYFUNCTION("""COMPUTED_VALUE"""),"1")</f>
        <v>1</v>
      </c>
      <c r="C2883" s="5" t="str">
        <f>IFERROR(__xludf.DUMMYFUNCTION("""COMPUTED_VALUE"""),"https://drive.google.com/file/d/17MF3UzpEdRQx8agPzCMJBLErp-IiMM9O/view?usp=drivesdk")</f>
        <v>https://drive.google.com/file/d/17MF3UzpEdRQx8agPzCMJBLErp-IiMM9O/view?usp=drivesdk</v>
      </c>
      <c r="D2883" s="12"/>
      <c r="E2883" s="11">
        <v>2921.0</v>
      </c>
      <c r="F2883" s="2"/>
    </row>
    <row r="2884" ht="1.5" customHeight="1">
      <c r="A2884" s="4" t="str">
        <f>IFERROR(__xludf.DUMMYFUNCTION("""COMPUTED_VALUE"""),"1. Microwave")</f>
        <v>1. Microwave</v>
      </c>
      <c r="B2884" s="4" t="str">
        <f>IFERROR(__xludf.DUMMYFUNCTION("""COMPUTED_VALUE"""),"1")</f>
        <v>1</v>
      </c>
      <c r="C2884" s="5" t="str">
        <f>IFERROR(__xludf.DUMMYFUNCTION("""COMPUTED_VALUE"""),"https://drive.google.com/file/d/1kjal1XFuXZUjeKKA6MrC_DEHz5ijjtq8/view?usp=drivesdk")</f>
        <v>https://drive.google.com/file/d/1kjal1XFuXZUjeKKA6MrC_DEHz5ijjtq8/view?usp=drivesdk</v>
      </c>
      <c r="D2884" s="12"/>
      <c r="E2884" s="11">
        <v>2922.0</v>
      </c>
      <c r="F2884" s="2"/>
    </row>
    <row r="2885" ht="1.5" customHeight="1">
      <c r="A2885" s="4" t="str">
        <f>IFERROR(__xludf.DUMMYFUNCTION("""COMPUTED_VALUE"""),"1. Microwave")</f>
        <v>1. Microwave</v>
      </c>
      <c r="B2885" s="4" t="str">
        <f>IFERROR(__xludf.DUMMYFUNCTION("""COMPUTED_VALUE"""),"1")</f>
        <v>1</v>
      </c>
      <c r="C2885" s="5" t="str">
        <f>IFERROR(__xludf.DUMMYFUNCTION("""COMPUTED_VALUE"""),"https://drive.google.com/file/d/1ECnx4a7fCffNJt79_b8dBd_lUP6pHb_P/view?usp=drivesdk")</f>
        <v>https://drive.google.com/file/d/1ECnx4a7fCffNJt79_b8dBd_lUP6pHb_P/view?usp=drivesdk</v>
      </c>
      <c r="D2885" s="12"/>
      <c r="E2885" s="11">
        <v>2923.0</v>
      </c>
      <c r="F2885" s="2"/>
    </row>
    <row r="2886" ht="1.5" customHeight="1">
      <c r="A2886" s="4" t="str">
        <f>IFERROR(__xludf.DUMMYFUNCTION("""COMPUTED_VALUE"""),"1. Microwave")</f>
        <v>1. Microwave</v>
      </c>
      <c r="B2886" s="4" t="str">
        <f>IFERROR(__xludf.DUMMYFUNCTION("""COMPUTED_VALUE"""),"1")</f>
        <v>1</v>
      </c>
      <c r="C2886" s="5" t="str">
        <f>IFERROR(__xludf.DUMMYFUNCTION("""COMPUTED_VALUE"""),"https://drive.google.com/file/d/14Sebn6V_k9lVfW6Q2YYp3mFle5-cIQT3/view?usp=drivesdk")</f>
        <v>https://drive.google.com/file/d/14Sebn6V_k9lVfW6Q2YYp3mFle5-cIQT3/view?usp=drivesdk</v>
      </c>
      <c r="D2886" s="12"/>
      <c r="E2886" s="11">
        <v>2924.0</v>
      </c>
      <c r="F2886" s="2"/>
    </row>
    <row r="2887" ht="1.5" customHeight="1">
      <c r="A2887" s="4" t="str">
        <f>IFERROR(__xludf.DUMMYFUNCTION("""COMPUTED_VALUE"""),"1. Microwave")</f>
        <v>1. Microwave</v>
      </c>
      <c r="B2887" s="4" t="str">
        <f>IFERROR(__xludf.DUMMYFUNCTION("""COMPUTED_VALUE"""),"1")</f>
        <v>1</v>
      </c>
      <c r="C2887" s="5" t="str">
        <f>IFERROR(__xludf.DUMMYFUNCTION("""COMPUTED_VALUE"""),"https://drive.google.com/file/d/1knL40XCKZNjOqaP4Ae7IyAm3lNqzRsH0/view?usp=drivesdk")</f>
        <v>https://drive.google.com/file/d/1knL40XCKZNjOqaP4Ae7IyAm3lNqzRsH0/view?usp=drivesdk</v>
      </c>
      <c r="D2887" s="12"/>
      <c r="E2887" s="11">
        <v>2925.0</v>
      </c>
      <c r="F2887" s="2"/>
    </row>
    <row r="2888" ht="1.5" customHeight="1">
      <c r="A2888" s="4" t="str">
        <f>IFERROR(__xludf.DUMMYFUNCTION("""COMPUTED_VALUE"""),"1. Microwave")</f>
        <v>1. Microwave</v>
      </c>
      <c r="B2888" s="4" t="str">
        <f>IFERROR(__xludf.DUMMYFUNCTION("""COMPUTED_VALUE"""),"1")</f>
        <v>1</v>
      </c>
      <c r="C2888" s="5" t="str">
        <f>IFERROR(__xludf.DUMMYFUNCTION("""COMPUTED_VALUE"""),"https://drive.google.com/file/d/1CSRQUCB9IEsYd34O2d9m7bFgAa2v9j3f/view?usp=drivesdk")</f>
        <v>https://drive.google.com/file/d/1CSRQUCB9IEsYd34O2d9m7bFgAa2v9j3f/view?usp=drivesdk</v>
      </c>
      <c r="D2888" s="12"/>
      <c r="E2888" s="11">
        <v>2926.0</v>
      </c>
      <c r="F2888" s="2"/>
    </row>
    <row r="2889" ht="1.5" customHeight="1">
      <c r="A2889" s="4" t="str">
        <f>IFERROR(__xludf.DUMMYFUNCTION("""COMPUTED_VALUE"""),"1. Microwave")</f>
        <v>1. Microwave</v>
      </c>
      <c r="B2889" s="4" t="str">
        <f>IFERROR(__xludf.DUMMYFUNCTION("""COMPUTED_VALUE"""),"1")</f>
        <v>1</v>
      </c>
      <c r="C2889" s="5" t="str">
        <f>IFERROR(__xludf.DUMMYFUNCTION("""COMPUTED_VALUE"""),"https://drive.google.com/file/d/1eahH9IYzwlNvjdwONbitHnxEWg9_uNK8/view?usp=drivesdk")</f>
        <v>https://drive.google.com/file/d/1eahH9IYzwlNvjdwONbitHnxEWg9_uNK8/view?usp=drivesdk</v>
      </c>
      <c r="D2889" s="12"/>
      <c r="E2889" s="11">
        <v>2927.0</v>
      </c>
      <c r="F2889" s="2"/>
    </row>
    <row r="2890" ht="1.5" customHeight="1">
      <c r="A2890" s="4" t="str">
        <f>IFERROR(__xludf.DUMMYFUNCTION("""COMPUTED_VALUE"""),"1. Microwave")</f>
        <v>1. Microwave</v>
      </c>
      <c r="B2890" s="4" t="str">
        <f>IFERROR(__xludf.DUMMYFUNCTION("""COMPUTED_VALUE"""),"1")</f>
        <v>1</v>
      </c>
      <c r="C2890" s="5" t="str">
        <f>IFERROR(__xludf.DUMMYFUNCTION("""COMPUTED_VALUE"""),"https://drive.google.com/file/d/1UZLBVpVMQLT-OAm1CJeRb3jcFSY655r9/view?usp=drivesdk")</f>
        <v>https://drive.google.com/file/d/1UZLBVpVMQLT-OAm1CJeRb3jcFSY655r9/view?usp=drivesdk</v>
      </c>
      <c r="D2890" s="12"/>
      <c r="E2890" s="11">
        <v>2928.0</v>
      </c>
      <c r="F2890" s="2"/>
    </row>
    <row r="2891" ht="1.5" customHeight="1">
      <c r="A2891" s="4" t="str">
        <f>IFERROR(__xludf.DUMMYFUNCTION("""COMPUTED_VALUE"""),"1. Microwave")</f>
        <v>1. Microwave</v>
      </c>
      <c r="B2891" s="4" t="str">
        <f>IFERROR(__xludf.DUMMYFUNCTION("""COMPUTED_VALUE"""),"1")</f>
        <v>1</v>
      </c>
      <c r="C2891" s="5" t="str">
        <f>IFERROR(__xludf.DUMMYFUNCTION("""COMPUTED_VALUE"""),"https://drive.google.com/file/d/1-17kv38wjvhfhFgs8I1Tfr56fB7p25qe/view?usp=drivesdk")</f>
        <v>https://drive.google.com/file/d/1-17kv38wjvhfhFgs8I1Tfr56fB7p25qe/view?usp=drivesdk</v>
      </c>
      <c r="D2891" s="12"/>
      <c r="E2891" s="11">
        <v>2929.0</v>
      </c>
      <c r="F2891" s="2"/>
    </row>
    <row r="2892" ht="1.5" customHeight="1">
      <c r="A2892" s="4" t="str">
        <f>IFERROR(__xludf.DUMMYFUNCTION("""COMPUTED_VALUE"""),"5. Eraser")</f>
        <v>5. Eraser</v>
      </c>
      <c r="B2892" s="4" t="str">
        <f>IFERROR(__xludf.DUMMYFUNCTION("""COMPUTED_VALUE"""),"5")</f>
        <v>5</v>
      </c>
      <c r="C2892" s="5" t="str">
        <f>IFERROR(__xludf.DUMMYFUNCTION("""COMPUTED_VALUE"""),"https://drive.google.com/file/d/1XiTJH6OwD963bKdxKg_U0mZbso6y3LOG/view?usp=drivesdk")</f>
        <v>https://drive.google.com/file/d/1XiTJH6OwD963bKdxKg_U0mZbso6y3LOG/view?usp=drivesdk</v>
      </c>
      <c r="D2892" s="12"/>
      <c r="E2892" s="11">
        <v>2930.0</v>
      </c>
      <c r="F2892" s="2"/>
    </row>
    <row r="2893" ht="1.5" customHeight="1">
      <c r="A2893" s="4" t="str">
        <f>IFERROR(__xludf.DUMMYFUNCTION("""COMPUTED_VALUE"""),"5. Eraser")</f>
        <v>5. Eraser</v>
      </c>
      <c r="B2893" s="4" t="str">
        <f>IFERROR(__xludf.DUMMYFUNCTION("""COMPUTED_VALUE"""),"5")</f>
        <v>5</v>
      </c>
      <c r="C2893" s="5" t="str">
        <f>IFERROR(__xludf.DUMMYFUNCTION("""COMPUTED_VALUE"""),"https://drive.google.com/file/d/1tKYtoG9oRGHumID91PN12uY30XtnZzeb/view?usp=drivesdk")</f>
        <v>https://drive.google.com/file/d/1tKYtoG9oRGHumID91PN12uY30XtnZzeb/view?usp=drivesdk</v>
      </c>
      <c r="D2893" s="12"/>
      <c r="E2893" s="11">
        <v>2931.0</v>
      </c>
      <c r="F2893" s="2"/>
    </row>
    <row r="2894" ht="1.5" customHeight="1">
      <c r="A2894" s="4" t="str">
        <f>IFERROR(__xludf.DUMMYFUNCTION("""COMPUTED_VALUE"""),"4. Eggs")</f>
        <v>4. Eggs</v>
      </c>
      <c r="B2894" s="4" t="str">
        <f>IFERROR(__xludf.DUMMYFUNCTION("""COMPUTED_VALUE"""),"4")</f>
        <v>4</v>
      </c>
      <c r="C2894" s="5" t="str">
        <f>IFERROR(__xludf.DUMMYFUNCTION("""COMPUTED_VALUE"""),"https://drive.google.com/file/d/1JtHdw62TTs-Mi8rF5g20fF_axBY_hxD9/view?usp=drivesdk")</f>
        <v>https://drive.google.com/file/d/1JtHdw62TTs-Mi8rF5g20fF_axBY_hxD9/view?usp=drivesdk</v>
      </c>
      <c r="D2894" s="12"/>
      <c r="E2894" s="11">
        <v>2932.0</v>
      </c>
      <c r="F2894" s="2"/>
    </row>
    <row r="2895" ht="1.5" customHeight="1">
      <c r="A2895" s="4" t="str">
        <f>IFERROR(__xludf.DUMMYFUNCTION("""COMPUTED_VALUE"""),"4. Eggs")</f>
        <v>4. Eggs</v>
      </c>
      <c r="B2895" s="4" t="str">
        <f>IFERROR(__xludf.DUMMYFUNCTION("""COMPUTED_VALUE"""),"4")</f>
        <v>4</v>
      </c>
      <c r="C2895" s="5" t="str">
        <f>IFERROR(__xludf.DUMMYFUNCTION("""COMPUTED_VALUE"""),"https://drive.google.com/file/d/1WPCcxU8vBRH--_YWPRIwAxdFrK9QOCjo/view?usp=drivesdk")</f>
        <v>https://drive.google.com/file/d/1WPCcxU8vBRH--_YWPRIwAxdFrK9QOCjo/view?usp=drivesdk</v>
      </c>
      <c r="D2895" s="12"/>
      <c r="E2895" s="11">
        <v>2933.0</v>
      </c>
      <c r="F2895" s="2"/>
    </row>
    <row r="2896" ht="1.5" customHeight="1">
      <c r="A2896" s="4" t="str">
        <f>IFERROR(__xludf.DUMMYFUNCTION("""COMPUTED_VALUE"""),"4. Eggs")</f>
        <v>4. Eggs</v>
      </c>
      <c r="B2896" s="4" t="str">
        <f>IFERROR(__xludf.DUMMYFUNCTION("""COMPUTED_VALUE"""),"4")</f>
        <v>4</v>
      </c>
      <c r="C2896" s="5" t="str">
        <f>IFERROR(__xludf.DUMMYFUNCTION("""COMPUTED_VALUE"""),"https://drive.google.com/file/d/1Seu2W0qMNa9mST5RY8YGnIqt5Q9Act3i/view?usp=drivesdk")</f>
        <v>https://drive.google.com/file/d/1Seu2W0qMNa9mST5RY8YGnIqt5Q9Act3i/view?usp=drivesdk</v>
      </c>
      <c r="D2896" s="12"/>
      <c r="E2896" s="11">
        <v>2934.0</v>
      </c>
      <c r="F2896" s="2"/>
    </row>
    <row r="2897" ht="1.5" customHeight="1">
      <c r="A2897" s="4" t="str">
        <f>IFERROR(__xludf.DUMMYFUNCTION("""COMPUTED_VALUE"""),"4. Eggs")</f>
        <v>4. Eggs</v>
      </c>
      <c r="B2897" s="4" t="str">
        <f>IFERROR(__xludf.DUMMYFUNCTION("""COMPUTED_VALUE"""),"4")</f>
        <v>4</v>
      </c>
      <c r="C2897" s="5" t="str">
        <f>IFERROR(__xludf.DUMMYFUNCTION("""COMPUTED_VALUE"""),"https://drive.google.com/file/d/1zx11BNBlYsl36ePqPkGDbyfHQsAJCynJ/view?usp=drivesdk")</f>
        <v>https://drive.google.com/file/d/1zx11BNBlYsl36ePqPkGDbyfHQsAJCynJ/view?usp=drivesdk</v>
      </c>
      <c r="D2897" s="12"/>
      <c r="E2897" s="11">
        <v>2935.0</v>
      </c>
      <c r="F2897" s="2"/>
    </row>
    <row r="2898" ht="1.5" customHeight="1">
      <c r="A2898" s="4" t="str">
        <f>IFERROR(__xludf.DUMMYFUNCTION("""COMPUTED_VALUE"""),"4. Eggs")</f>
        <v>4. Eggs</v>
      </c>
      <c r="B2898" s="4" t="str">
        <f>IFERROR(__xludf.DUMMYFUNCTION("""COMPUTED_VALUE"""),"4")</f>
        <v>4</v>
      </c>
      <c r="C2898" s="5" t="str">
        <f>IFERROR(__xludf.DUMMYFUNCTION("""COMPUTED_VALUE"""),"https://drive.google.com/file/d/1Sx4tlVKaI98E433X_vM0rfWZm1Q5EfMv/view?usp=drivesdk")</f>
        <v>https://drive.google.com/file/d/1Sx4tlVKaI98E433X_vM0rfWZm1Q5EfMv/view?usp=drivesdk</v>
      </c>
      <c r="D2898" s="12"/>
      <c r="E2898" s="11">
        <v>2936.0</v>
      </c>
      <c r="F2898" s="2"/>
    </row>
    <row r="2899" ht="1.5" customHeight="1">
      <c r="A2899" s="4" t="str">
        <f>IFERROR(__xludf.DUMMYFUNCTION("""COMPUTED_VALUE"""),"5. Eraser")</f>
        <v>5. Eraser</v>
      </c>
      <c r="B2899" s="4" t="str">
        <f>IFERROR(__xludf.DUMMYFUNCTION("""COMPUTED_VALUE"""),"5")</f>
        <v>5</v>
      </c>
      <c r="C2899" s="5" t="str">
        <f>IFERROR(__xludf.DUMMYFUNCTION("""COMPUTED_VALUE"""),"https://drive.google.com/file/d/1BAcLyqhiKLfCX6HCebLxmwhoVIBchLfB/view?usp=drivesdk")</f>
        <v>https://drive.google.com/file/d/1BAcLyqhiKLfCX6HCebLxmwhoVIBchLfB/view?usp=drivesdk</v>
      </c>
      <c r="D2899" s="12"/>
      <c r="E2899" s="11">
        <v>2937.0</v>
      </c>
      <c r="F2899" s="2"/>
    </row>
    <row r="2900" ht="1.5" customHeight="1">
      <c r="A2900" s="4" t="str">
        <f>IFERROR(__xludf.DUMMYFUNCTION("""COMPUTED_VALUE"""),"2. Twix")</f>
        <v>2. Twix</v>
      </c>
      <c r="B2900" s="4" t="str">
        <f>IFERROR(__xludf.DUMMYFUNCTION("""COMPUTED_VALUE"""),"2")</f>
        <v>2</v>
      </c>
      <c r="C2900" s="5" t="str">
        <f>IFERROR(__xludf.DUMMYFUNCTION("""COMPUTED_VALUE"""),"https://drive.google.com/file/d/1jGUhlzWp-pqy2WKaBYNvl-321ISgG4Ra/view?usp=drivesdk")</f>
        <v>https://drive.google.com/file/d/1jGUhlzWp-pqy2WKaBYNvl-321ISgG4Ra/view?usp=drivesdk</v>
      </c>
      <c r="D2900" s="12"/>
      <c r="E2900" s="11">
        <v>2938.0</v>
      </c>
      <c r="F2900" s="2"/>
    </row>
    <row r="2901" ht="1.5" customHeight="1">
      <c r="A2901" s="4" t="str">
        <f>IFERROR(__xludf.DUMMYFUNCTION("""COMPUTED_VALUE"""),"2. Twix")</f>
        <v>2. Twix</v>
      </c>
      <c r="B2901" s="4" t="str">
        <f>IFERROR(__xludf.DUMMYFUNCTION("""COMPUTED_VALUE"""),"2")</f>
        <v>2</v>
      </c>
      <c r="C2901" s="5" t="str">
        <f>IFERROR(__xludf.DUMMYFUNCTION("""COMPUTED_VALUE"""),"https://drive.google.com/file/d/1946go_MKgJZP3eqKxNENmWQDgdZ1wqUz/view?usp=drivesdk")</f>
        <v>https://drive.google.com/file/d/1946go_MKgJZP3eqKxNENmWQDgdZ1wqUz/view?usp=drivesdk</v>
      </c>
      <c r="D2901" s="12"/>
      <c r="E2901" s="11">
        <v>2939.0</v>
      </c>
      <c r="F2901" s="2"/>
    </row>
    <row r="2902" ht="1.5" customHeight="1">
      <c r="A2902" s="4" t="str">
        <f>IFERROR(__xludf.DUMMYFUNCTION("""COMPUTED_VALUE"""),"2. Twix")</f>
        <v>2. Twix</v>
      </c>
      <c r="B2902" s="4" t="str">
        <f>IFERROR(__xludf.DUMMYFUNCTION("""COMPUTED_VALUE"""),"2")</f>
        <v>2</v>
      </c>
      <c r="C2902" s="5" t="str">
        <f>IFERROR(__xludf.DUMMYFUNCTION("""COMPUTED_VALUE"""),"https://drive.google.com/file/d/1VCoVO9hWQCjJ1BbTGAFGqbC-Yp4jlrrW/view?usp=drivesdk")</f>
        <v>https://drive.google.com/file/d/1VCoVO9hWQCjJ1BbTGAFGqbC-Yp4jlrrW/view?usp=drivesdk</v>
      </c>
      <c r="D2902" s="12"/>
      <c r="E2902" s="11">
        <v>2940.0</v>
      </c>
      <c r="F2902" s="2"/>
    </row>
    <row r="2903" ht="1.5" customHeight="1">
      <c r="A2903" s="4" t="str">
        <f>IFERROR(__xludf.DUMMYFUNCTION("""COMPUTED_VALUE"""),"2. Twix")</f>
        <v>2. Twix</v>
      </c>
      <c r="B2903" s="4" t="str">
        <f>IFERROR(__xludf.DUMMYFUNCTION("""COMPUTED_VALUE"""),"2")</f>
        <v>2</v>
      </c>
      <c r="C2903" s="5" t="str">
        <f>IFERROR(__xludf.DUMMYFUNCTION("""COMPUTED_VALUE"""),"https://drive.google.com/file/d/1BELsV3MvfZkVHDq--ekQi-wP4u4l3H02/view?usp=drivesdk")</f>
        <v>https://drive.google.com/file/d/1BELsV3MvfZkVHDq--ekQi-wP4u4l3H02/view?usp=drivesdk</v>
      </c>
      <c r="D2903" s="12"/>
      <c r="E2903" s="11">
        <v>2941.0</v>
      </c>
      <c r="F2903" s="2"/>
    </row>
    <row r="2904" ht="1.5" customHeight="1">
      <c r="A2904" s="4" t="str">
        <f>IFERROR(__xludf.DUMMYFUNCTION("""COMPUTED_VALUE"""),"1. Microwave")</f>
        <v>1. Microwave</v>
      </c>
      <c r="B2904" s="4" t="str">
        <f>IFERROR(__xludf.DUMMYFUNCTION("""COMPUTED_VALUE"""),"1")</f>
        <v>1</v>
      </c>
      <c r="C2904" s="5" t="str">
        <f>IFERROR(__xludf.DUMMYFUNCTION("""COMPUTED_VALUE"""),"https://drive.google.com/file/d/142U3W8y-4j3IojC1Ny9ClXAD_asfTDHD/view?usp=drivesdk")</f>
        <v>https://drive.google.com/file/d/142U3W8y-4j3IojC1Ny9ClXAD_asfTDHD/view?usp=drivesdk</v>
      </c>
      <c r="D2904" s="12"/>
      <c r="E2904" s="11">
        <v>2942.0</v>
      </c>
      <c r="F2904" s="2"/>
    </row>
    <row r="2905" ht="1.5" customHeight="1">
      <c r="A2905" s="4" t="str">
        <f>IFERROR(__xludf.DUMMYFUNCTION("""COMPUTED_VALUE"""),"1. Microwave")</f>
        <v>1. Microwave</v>
      </c>
      <c r="B2905" s="4" t="str">
        <f>IFERROR(__xludf.DUMMYFUNCTION("""COMPUTED_VALUE"""),"1")</f>
        <v>1</v>
      </c>
      <c r="C2905" s="5" t="str">
        <f>IFERROR(__xludf.DUMMYFUNCTION("""COMPUTED_VALUE"""),"https://drive.google.com/file/d/1sYtqOF3guHA9mf1iYmUcxRI0jDLX4ah9/view?usp=drivesdk")</f>
        <v>https://drive.google.com/file/d/1sYtqOF3guHA9mf1iYmUcxRI0jDLX4ah9/view?usp=drivesdk</v>
      </c>
      <c r="D2905" s="12"/>
      <c r="E2905" s="11">
        <v>2943.0</v>
      </c>
      <c r="F2905" s="2"/>
    </row>
    <row r="2906" ht="1.5" customHeight="1">
      <c r="A2906" s="4" t="str">
        <f>IFERROR(__xludf.DUMMYFUNCTION("""COMPUTED_VALUE"""),"1. Microwave")</f>
        <v>1. Microwave</v>
      </c>
      <c r="B2906" s="4" t="str">
        <f>IFERROR(__xludf.DUMMYFUNCTION("""COMPUTED_VALUE"""),"1")</f>
        <v>1</v>
      </c>
      <c r="C2906" s="5" t="str">
        <f>IFERROR(__xludf.DUMMYFUNCTION("""COMPUTED_VALUE"""),"https://drive.google.com/file/d/1_2Xoi0zLfNpTZzdxzIy25yvGlCXlNq8K/view?usp=drivesdk")</f>
        <v>https://drive.google.com/file/d/1_2Xoi0zLfNpTZzdxzIy25yvGlCXlNq8K/view?usp=drivesdk</v>
      </c>
      <c r="D2906" s="12"/>
      <c r="E2906" s="11">
        <v>2944.0</v>
      </c>
      <c r="F2906" s="2"/>
    </row>
    <row r="2907" ht="1.5" customHeight="1">
      <c r="A2907" s="4" t="str">
        <f>IFERROR(__xludf.DUMMYFUNCTION("""COMPUTED_VALUE"""),"1. Microwave")</f>
        <v>1. Microwave</v>
      </c>
      <c r="B2907" s="4" t="str">
        <f>IFERROR(__xludf.DUMMYFUNCTION("""COMPUTED_VALUE"""),"1")</f>
        <v>1</v>
      </c>
      <c r="C2907" s="5" t="str">
        <f>IFERROR(__xludf.DUMMYFUNCTION("""COMPUTED_VALUE"""),"https://drive.google.com/file/d/1GRGKeIsyeKOtubcN4N5j0Nq4YewBfMou/view?usp=drivesdk")</f>
        <v>https://drive.google.com/file/d/1GRGKeIsyeKOtubcN4N5j0Nq4YewBfMou/view?usp=drivesdk</v>
      </c>
      <c r="D2907" s="12"/>
      <c r="E2907" s="11">
        <v>2945.0</v>
      </c>
      <c r="F2907" s="2"/>
    </row>
    <row r="2908" ht="1.5" customHeight="1">
      <c r="A2908" s="4" t="str">
        <f>IFERROR(__xludf.DUMMYFUNCTION("""COMPUTED_VALUE"""),"1. Microwave")</f>
        <v>1. Microwave</v>
      </c>
      <c r="B2908" s="4" t="str">
        <f>IFERROR(__xludf.DUMMYFUNCTION("""COMPUTED_VALUE"""),"1")</f>
        <v>1</v>
      </c>
      <c r="C2908" s="5" t="str">
        <f>IFERROR(__xludf.DUMMYFUNCTION("""COMPUTED_VALUE"""),"https://drive.google.com/file/d/1eU00XA0Mu_Sk-nAJqCVp5-zKPejF_3Ip/view?usp=drivesdk")</f>
        <v>https://drive.google.com/file/d/1eU00XA0Mu_Sk-nAJqCVp5-zKPejF_3Ip/view?usp=drivesdk</v>
      </c>
      <c r="D2908" s="12"/>
      <c r="E2908" s="11">
        <v>2946.0</v>
      </c>
      <c r="F2908" s="2"/>
    </row>
    <row r="2909" ht="1.5" customHeight="1">
      <c r="A2909" s="4" t="str">
        <f>IFERROR(__xludf.DUMMYFUNCTION("""COMPUTED_VALUE"""),"1. Microwave")</f>
        <v>1. Microwave</v>
      </c>
      <c r="B2909" s="4" t="str">
        <f>IFERROR(__xludf.DUMMYFUNCTION("""COMPUTED_VALUE"""),"1")</f>
        <v>1</v>
      </c>
      <c r="C2909" s="5" t="str">
        <f>IFERROR(__xludf.DUMMYFUNCTION("""COMPUTED_VALUE"""),"https://drive.google.com/file/d/1OIGnG2rBrQZ_VYRAOjBzM_-e5NP9Kiky/view?usp=drivesdk")</f>
        <v>https://drive.google.com/file/d/1OIGnG2rBrQZ_VYRAOjBzM_-e5NP9Kiky/view?usp=drivesdk</v>
      </c>
      <c r="D2909" s="12"/>
      <c r="E2909" s="11">
        <v>2947.0</v>
      </c>
      <c r="F2909" s="2"/>
    </row>
    <row r="2910" ht="1.5" customHeight="1">
      <c r="A2910" s="4" t="str">
        <f>IFERROR(__xludf.DUMMYFUNCTION("""COMPUTED_VALUE"""),"5. Eraser")</f>
        <v>5. Eraser</v>
      </c>
      <c r="B2910" s="4" t="str">
        <f>IFERROR(__xludf.DUMMYFUNCTION("""COMPUTED_VALUE"""),"5")</f>
        <v>5</v>
      </c>
      <c r="C2910" s="5" t="str">
        <f>IFERROR(__xludf.DUMMYFUNCTION("""COMPUTED_VALUE"""),"https://drive.google.com/file/d/1G1_kun6y2_FMxttnNsFI4fvdrlUtyH1t/view?usp=drivesdk")</f>
        <v>https://drive.google.com/file/d/1G1_kun6y2_FMxttnNsFI4fvdrlUtyH1t/view?usp=drivesdk</v>
      </c>
      <c r="D2910" s="12"/>
      <c r="E2910" s="11">
        <v>2948.0</v>
      </c>
      <c r="F2910" s="2"/>
    </row>
    <row r="2911" ht="1.5" customHeight="1">
      <c r="A2911" s="4" t="str">
        <f>IFERROR(__xludf.DUMMYFUNCTION("""COMPUTED_VALUE"""),"1. Microwave")</f>
        <v>1. Microwave</v>
      </c>
      <c r="B2911" s="4" t="str">
        <f>IFERROR(__xludf.DUMMYFUNCTION("""COMPUTED_VALUE"""),"1")</f>
        <v>1</v>
      </c>
      <c r="C2911" s="5" t="str">
        <f>IFERROR(__xludf.DUMMYFUNCTION("""COMPUTED_VALUE"""),"https://drive.google.com/file/d/1ipxDYcrYYq6fKpbXX743sWZoNEjfkfWF/view?usp=drivesdk")</f>
        <v>https://drive.google.com/file/d/1ipxDYcrYYq6fKpbXX743sWZoNEjfkfWF/view?usp=drivesdk</v>
      </c>
      <c r="D2911" s="12"/>
      <c r="E2911" s="11">
        <v>2949.0</v>
      </c>
      <c r="F2911" s="2"/>
    </row>
    <row r="2912" ht="1.5" customHeight="1">
      <c r="A2912" s="4" t="str">
        <f>IFERROR(__xludf.DUMMYFUNCTION("""COMPUTED_VALUE"""),"4. Eggs")</f>
        <v>4. Eggs</v>
      </c>
      <c r="B2912" s="4" t="str">
        <f>IFERROR(__xludf.DUMMYFUNCTION("""COMPUTED_VALUE"""),"4")</f>
        <v>4</v>
      </c>
      <c r="C2912" s="5" t="str">
        <f>IFERROR(__xludf.DUMMYFUNCTION("""COMPUTED_VALUE"""),"https://drive.google.com/file/d/1YIzZ_3FU2s_LmGxUUCM1KSQiihQpHp96/view?usp=drivesdk")</f>
        <v>https://drive.google.com/file/d/1YIzZ_3FU2s_LmGxUUCM1KSQiihQpHp96/view?usp=drivesdk</v>
      </c>
      <c r="D2912" s="12"/>
      <c r="E2912" s="11">
        <v>2950.0</v>
      </c>
      <c r="F2912" s="2"/>
    </row>
    <row r="2913" ht="1.5" customHeight="1">
      <c r="A2913" s="4" t="str">
        <f>IFERROR(__xludf.DUMMYFUNCTION("""COMPUTED_VALUE"""),"2. Twix")</f>
        <v>2. Twix</v>
      </c>
      <c r="B2913" s="4" t="str">
        <f>IFERROR(__xludf.DUMMYFUNCTION("""COMPUTED_VALUE"""),"2")</f>
        <v>2</v>
      </c>
      <c r="C2913" s="5" t="str">
        <f>IFERROR(__xludf.DUMMYFUNCTION("""COMPUTED_VALUE"""),"https://drive.google.com/file/d/1Zg_ZnHTY1o8zpOhWY_15vxGWWV7bJetI/view?usp=drivesdk")</f>
        <v>https://drive.google.com/file/d/1Zg_ZnHTY1o8zpOhWY_15vxGWWV7bJetI/view?usp=drivesdk</v>
      </c>
      <c r="D2913" s="12"/>
      <c r="E2913" s="11">
        <v>2951.0</v>
      </c>
      <c r="F2913" s="2"/>
    </row>
    <row r="2914" ht="1.5" customHeight="1">
      <c r="A2914" s="4" t="str">
        <f>IFERROR(__xludf.DUMMYFUNCTION("""COMPUTED_VALUE"""),"2. Twix")</f>
        <v>2. Twix</v>
      </c>
      <c r="B2914" s="4" t="str">
        <f>IFERROR(__xludf.DUMMYFUNCTION("""COMPUTED_VALUE"""),"2")</f>
        <v>2</v>
      </c>
      <c r="C2914" s="5" t="str">
        <f>IFERROR(__xludf.DUMMYFUNCTION("""COMPUTED_VALUE"""),"https://drive.google.com/file/d/1nlLRRcU4aWX3gBnTfm6CxJiBkA1sxgyw/view?usp=drivesdk")</f>
        <v>https://drive.google.com/file/d/1nlLRRcU4aWX3gBnTfm6CxJiBkA1sxgyw/view?usp=drivesdk</v>
      </c>
      <c r="D2914" s="12"/>
      <c r="E2914" s="11">
        <v>2952.0</v>
      </c>
      <c r="F2914" s="2"/>
    </row>
    <row r="2915" ht="1.5" customHeight="1">
      <c r="A2915" s="4" t="str">
        <f>IFERROR(__xludf.DUMMYFUNCTION("""COMPUTED_VALUE"""),"2. Twix")</f>
        <v>2. Twix</v>
      </c>
      <c r="B2915" s="4" t="str">
        <f>IFERROR(__xludf.DUMMYFUNCTION("""COMPUTED_VALUE"""),"2")</f>
        <v>2</v>
      </c>
      <c r="C2915" s="5" t="str">
        <f>IFERROR(__xludf.DUMMYFUNCTION("""COMPUTED_VALUE"""),"https://drive.google.com/file/d/1rAo2q8Y_ZEKMJ5leMC4GKCkhNFmL2UEU/view?usp=drivesdk")</f>
        <v>https://drive.google.com/file/d/1rAo2q8Y_ZEKMJ5leMC4GKCkhNFmL2UEU/view?usp=drivesdk</v>
      </c>
      <c r="D2915" s="12"/>
      <c r="E2915" s="11">
        <v>2953.0</v>
      </c>
      <c r="F2915" s="2"/>
    </row>
    <row r="2916" ht="1.5" customHeight="1">
      <c r="A2916" s="4" t="str">
        <f>IFERROR(__xludf.DUMMYFUNCTION("""COMPUTED_VALUE"""),"2. Twix")</f>
        <v>2. Twix</v>
      </c>
      <c r="B2916" s="4" t="str">
        <f>IFERROR(__xludf.DUMMYFUNCTION("""COMPUTED_VALUE"""),"2")</f>
        <v>2</v>
      </c>
      <c r="C2916" s="5" t="str">
        <f>IFERROR(__xludf.DUMMYFUNCTION("""COMPUTED_VALUE"""),"https://drive.google.com/file/d/1mijoS9Cov-pY4z0Aerh9shXXn8eBjH3j/view?usp=drivesdk")</f>
        <v>https://drive.google.com/file/d/1mijoS9Cov-pY4z0Aerh9shXXn8eBjH3j/view?usp=drivesdk</v>
      </c>
      <c r="D2916" s="12"/>
      <c r="E2916" s="11">
        <v>2954.0</v>
      </c>
      <c r="F2916" s="2"/>
    </row>
    <row r="2917" ht="1.5" customHeight="1">
      <c r="A2917" s="4" t="str">
        <f>IFERROR(__xludf.DUMMYFUNCTION("""COMPUTED_VALUE"""),"1. Microwave")</f>
        <v>1. Microwave</v>
      </c>
      <c r="B2917" s="4" t="str">
        <f>IFERROR(__xludf.DUMMYFUNCTION("""COMPUTED_VALUE"""),"1")</f>
        <v>1</v>
      </c>
      <c r="C2917" s="5" t="str">
        <f>IFERROR(__xludf.DUMMYFUNCTION("""COMPUTED_VALUE"""),"https://drive.google.com/file/d/1ml4fwDhN8woblC3Iqck50ohDz7DEJI62/view?usp=drivesdk")</f>
        <v>https://drive.google.com/file/d/1ml4fwDhN8woblC3Iqck50ohDz7DEJI62/view?usp=drivesdk</v>
      </c>
      <c r="D2917" s="12"/>
      <c r="E2917" s="11">
        <v>2955.0</v>
      </c>
      <c r="F2917" s="2"/>
    </row>
    <row r="2918" ht="1.5" customHeight="1">
      <c r="A2918" s="4" t="str">
        <f>IFERROR(__xludf.DUMMYFUNCTION("""COMPUTED_VALUE"""),"5. Eraser")</f>
        <v>5. Eraser</v>
      </c>
      <c r="B2918" s="4" t="str">
        <f>IFERROR(__xludf.DUMMYFUNCTION("""COMPUTED_VALUE"""),"5")</f>
        <v>5</v>
      </c>
      <c r="C2918" s="5" t="str">
        <f>IFERROR(__xludf.DUMMYFUNCTION("""COMPUTED_VALUE"""),"https://drive.google.com/file/d/1u0KZkOjY5RByMjiWfgISGMWnmEg9DRjo/view?usp=drivesdk")</f>
        <v>https://drive.google.com/file/d/1u0KZkOjY5RByMjiWfgISGMWnmEg9DRjo/view?usp=drivesdk</v>
      </c>
      <c r="D2918" s="12"/>
      <c r="E2918" s="11">
        <v>2956.0</v>
      </c>
      <c r="F2918" s="2"/>
    </row>
    <row r="2919" ht="1.5" customHeight="1">
      <c r="A2919" s="4" t="str">
        <f>IFERROR(__xludf.DUMMYFUNCTION("""COMPUTED_VALUE"""),"0. NotACat")</f>
        <v>0. NotACat</v>
      </c>
      <c r="B2919" s="4" t="str">
        <f>IFERROR(__xludf.DUMMYFUNCTION("""COMPUTED_VALUE"""),"0")</f>
        <v>0</v>
      </c>
      <c r="C2919" s="5" t="str">
        <f>IFERROR(__xludf.DUMMYFUNCTION("""COMPUTED_VALUE"""),"https://drive.google.com/file/d/1FS0j-nHwk59PGjf5A4aMQb7az-jLeUM0/view?usp=drivesdk")</f>
        <v>https://drive.google.com/file/d/1FS0j-nHwk59PGjf5A4aMQb7az-jLeUM0/view?usp=drivesdk</v>
      </c>
      <c r="D2919" s="12"/>
      <c r="E2919" s="11">
        <v>2957.0</v>
      </c>
      <c r="F2919" s="2"/>
    </row>
    <row r="2920" ht="1.5" customHeight="1">
      <c r="A2920" s="4" t="str">
        <f>IFERROR(__xludf.DUMMYFUNCTION("""COMPUTED_VALUE"""),"0. NotACat")</f>
        <v>0. NotACat</v>
      </c>
      <c r="B2920" s="4" t="str">
        <f>IFERROR(__xludf.DUMMYFUNCTION("""COMPUTED_VALUE"""),"0")</f>
        <v>0</v>
      </c>
      <c r="C2920" s="5" t="str">
        <f>IFERROR(__xludf.DUMMYFUNCTION("""COMPUTED_VALUE"""),"https://drive.google.com/file/d/1oQmQPPRv3LJNJ8gscQKaADv-Xq82Cd1c/view?usp=drivesdk")</f>
        <v>https://drive.google.com/file/d/1oQmQPPRv3LJNJ8gscQKaADv-Xq82Cd1c/view?usp=drivesdk</v>
      </c>
      <c r="D2920" s="12"/>
      <c r="E2920" s="11">
        <v>2958.0</v>
      </c>
      <c r="F2920" s="2"/>
    </row>
    <row r="2921" ht="1.5" customHeight="1">
      <c r="A2921" s="4" t="str">
        <f>IFERROR(__xludf.DUMMYFUNCTION("""COMPUTED_VALUE"""),"4. Eggs")</f>
        <v>4. Eggs</v>
      </c>
      <c r="B2921" s="4" t="str">
        <f>IFERROR(__xludf.DUMMYFUNCTION("""COMPUTED_VALUE"""),"4")</f>
        <v>4</v>
      </c>
      <c r="C2921" s="5" t="str">
        <f>IFERROR(__xludf.DUMMYFUNCTION("""COMPUTED_VALUE"""),"https://drive.google.com/file/d/1l3zbzMuAS-guDKbhjE4ZIXxJfDawFyAM/view?usp=drivesdk")</f>
        <v>https://drive.google.com/file/d/1l3zbzMuAS-guDKbhjE4ZIXxJfDawFyAM/view?usp=drivesdk</v>
      </c>
      <c r="D2921" s="12"/>
      <c r="E2921" s="11">
        <v>2959.0</v>
      </c>
      <c r="F2921" s="2"/>
    </row>
    <row r="2922" ht="1.5" customHeight="1">
      <c r="A2922" s="4" t="str">
        <f>IFERROR(__xludf.DUMMYFUNCTION("""COMPUTED_VALUE"""),"0. NotACat")</f>
        <v>0. NotACat</v>
      </c>
      <c r="B2922" s="4" t="str">
        <f>IFERROR(__xludf.DUMMYFUNCTION("""COMPUTED_VALUE"""),"0")</f>
        <v>0</v>
      </c>
      <c r="C2922" s="5" t="str">
        <f>IFERROR(__xludf.DUMMYFUNCTION("""COMPUTED_VALUE"""),"https://drive.google.com/file/d/1F-UMvutUwJ1lhNaPmxoK6ZD3Yq-bY4Fv/view?usp=drivesdk")</f>
        <v>https://drive.google.com/file/d/1F-UMvutUwJ1lhNaPmxoK6ZD3Yq-bY4Fv/view?usp=drivesdk</v>
      </c>
      <c r="D2922" s="12"/>
      <c r="E2922" s="11">
        <v>2960.0</v>
      </c>
      <c r="F2922" s="2"/>
    </row>
    <row r="2923" ht="1.5" customHeight="1">
      <c r="A2923" s="4" t="str">
        <f>IFERROR(__xludf.DUMMYFUNCTION("""COMPUTED_VALUE"""),"2. Twix")</f>
        <v>2. Twix</v>
      </c>
      <c r="B2923" s="4" t="str">
        <f>IFERROR(__xludf.DUMMYFUNCTION("""COMPUTED_VALUE"""),"2")</f>
        <v>2</v>
      </c>
      <c r="C2923" s="5" t="str">
        <f>IFERROR(__xludf.DUMMYFUNCTION("""COMPUTED_VALUE"""),"https://drive.google.com/file/d/1Easrul55LQDgc3vCoa8bM50XIJvLfj0f/view?usp=drivesdk")</f>
        <v>https://drive.google.com/file/d/1Easrul55LQDgc3vCoa8bM50XIJvLfj0f/view?usp=drivesdk</v>
      </c>
      <c r="D2923" s="12"/>
      <c r="E2923" s="11">
        <v>2961.0</v>
      </c>
      <c r="F2923" s="2"/>
    </row>
    <row r="2924" ht="1.5" customHeight="1">
      <c r="A2924" s="4" t="str">
        <f>IFERROR(__xludf.DUMMYFUNCTION("""COMPUTED_VALUE"""),"1. Microwave")</f>
        <v>1. Microwave</v>
      </c>
      <c r="B2924" s="4" t="str">
        <f>IFERROR(__xludf.DUMMYFUNCTION("""COMPUTED_VALUE"""),"1")</f>
        <v>1</v>
      </c>
      <c r="C2924" s="5" t="str">
        <f>IFERROR(__xludf.DUMMYFUNCTION("""COMPUTED_VALUE"""),"https://drive.google.com/file/d/1MjtUprPOBnm2-iPfS4ZxoJZwyVKDKQK2/view?usp=drivesdk")</f>
        <v>https://drive.google.com/file/d/1MjtUprPOBnm2-iPfS4ZxoJZwyVKDKQK2/view?usp=drivesdk</v>
      </c>
      <c r="D2924" s="12"/>
      <c r="E2924" s="11">
        <v>2962.0</v>
      </c>
      <c r="F2924" s="2"/>
    </row>
    <row r="2925" ht="1.5" customHeight="1">
      <c r="A2925" s="4" t="str">
        <f>IFERROR(__xludf.DUMMYFUNCTION("""COMPUTED_VALUE"""),"30. Pepper")</f>
        <v>30. Pepper</v>
      </c>
      <c r="B2925" s="4" t="str">
        <f>IFERROR(__xludf.DUMMYFUNCTION("""COMPUTED_VALUE"""),"30")</f>
        <v>30</v>
      </c>
      <c r="C2925" s="5" t="str">
        <f>IFERROR(__xludf.DUMMYFUNCTION("""COMPUTED_VALUE"""),"https://drive.google.com/file/d/1tUlTi2EQL0SWno3pE11200w8LkS0dYb8/view?usp=drivesdk")</f>
        <v>https://drive.google.com/file/d/1tUlTi2EQL0SWno3pE11200w8LkS0dYb8/view?usp=drivesdk</v>
      </c>
      <c r="D2925" s="12"/>
      <c r="E2925" s="11">
        <v>2963.0</v>
      </c>
      <c r="F2925" s="2"/>
    </row>
    <row r="2926" ht="1.5" customHeight="1">
      <c r="A2926" s="4" t="str">
        <f>IFERROR(__xludf.DUMMYFUNCTION("""COMPUTED_VALUE"""),"31. Scraggle")</f>
        <v>31. Scraggle</v>
      </c>
      <c r="B2926" s="4" t="str">
        <f>IFERROR(__xludf.DUMMYFUNCTION("""COMPUTED_VALUE"""),"31")</f>
        <v>31</v>
      </c>
      <c r="C2926" s="5" t="str">
        <f>IFERROR(__xludf.DUMMYFUNCTION("""COMPUTED_VALUE"""),"https://drive.google.com/file/d/1FAkJctXb1uFjYBEtyLV9-gveVNbQdlWY/view?usp=drivesdk")</f>
        <v>https://drive.google.com/file/d/1FAkJctXb1uFjYBEtyLV9-gveVNbQdlWY/view?usp=drivesdk</v>
      </c>
      <c r="D2926" s="12"/>
      <c r="E2926" s="11">
        <v>2964.0</v>
      </c>
      <c r="F2926" s="2"/>
    </row>
    <row r="2927" ht="1.5" customHeight="1">
      <c r="A2927" s="4" t="str">
        <f>IFERROR(__xludf.DUMMYFUNCTION("""COMPUTED_VALUE"""),"31. Scraggle")</f>
        <v>31. Scraggle</v>
      </c>
      <c r="B2927" s="4" t="str">
        <f>IFERROR(__xludf.DUMMYFUNCTION("""COMPUTED_VALUE"""),"31")</f>
        <v>31</v>
      </c>
      <c r="C2927" s="5" t="str">
        <f>IFERROR(__xludf.DUMMYFUNCTION("""COMPUTED_VALUE"""),"https://drive.google.com/file/d/1h3JQSd7jaI7Z0eBwOCG21jeyHcdBOAGF/view?usp=drivesdk")</f>
        <v>https://drive.google.com/file/d/1h3JQSd7jaI7Z0eBwOCG21jeyHcdBOAGF/view?usp=drivesdk</v>
      </c>
      <c r="D2927" s="12"/>
      <c r="E2927" s="11">
        <v>2965.0</v>
      </c>
      <c r="F2927" s="2"/>
    </row>
    <row r="2928" ht="1.5" customHeight="1">
      <c r="A2928" s="4" t="str">
        <f>IFERROR(__xludf.DUMMYFUNCTION("""COMPUTED_VALUE"""),"31. Scraggle")</f>
        <v>31. Scraggle</v>
      </c>
      <c r="B2928" s="4" t="str">
        <f>IFERROR(__xludf.DUMMYFUNCTION("""COMPUTED_VALUE"""),"31")</f>
        <v>31</v>
      </c>
      <c r="C2928" s="5" t="str">
        <f>IFERROR(__xludf.DUMMYFUNCTION("""COMPUTED_VALUE"""),"https://drive.google.com/file/d/1LgKicnIHCsczuJVArEEKMoeYz3tuE0Qg/view?usp=drivesdk")</f>
        <v>https://drive.google.com/file/d/1LgKicnIHCsczuJVArEEKMoeYz3tuE0Qg/view?usp=drivesdk</v>
      </c>
      <c r="D2928" s="12"/>
      <c r="E2928" s="11">
        <v>2966.0</v>
      </c>
      <c r="F2928" s="2"/>
    </row>
    <row r="2929" ht="1.5" customHeight="1">
      <c r="A2929" s="4" t="str">
        <f>IFERROR(__xludf.DUMMYFUNCTION("""COMPUTED_VALUE"""),"31. Scraggle")</f>
        <v>31. Scraggle</v>
      </c>
      <c r="B2929" s="4" t="str">
        <f>IFERROR(__xludf.DUMMYFUNCTION("""COMPUTED_VALUE"""),"31")</f>
        <v>31</v>
      </c>
      <c r="C2929" s="5" t="str">
        <f>IFERROR(__xludf.DUMMYFUNCTION("""COMPUTED_VALUE"""),"https://drive.google.com/file/d/1yKaBaq69OXJTV_U2LDcID8phlLmgODFa/view?usp=drivesdk")</f>
        <v>https://drive.google.com/file/d/1yKaBaq69OXJTV_U2LDcID8phlLmgODFa/view?usp=drivesdk</v>
      </c>
      <c r="D2929" s="12"/>
      <c r="E2929" s="11">
        <v>2967.0</v>
      </c>
      <c r="F2929" s="2"/>
    </row>
    <row r="2930" ht="1.5" customHeight="1">
      <c r="A2930" s="4" t="str">
        <f>IFERROR(__xludf.DUMMYFUNCTION("""COMPUTED_VALUE"""),"31. Scraggle")</f>
        <v>31. Scraggle</v>
      </c>
      <c r="B2930" s="4" t="str">
        <f>IFERROR(__xludf.DUMMYFUNCTION("""COMPUTED_VALUE"""),"31")</f>
        <v>31</v>
      </c>
      <c r="C2930" s="5" t="str">
        <f>IFERROR(__xludf.DUMMYFUNCTION("""COMPUTED_VALUE"""),"https://drive.google.com/file/d/1x8NMfJvDvmMUlNR4ewleUjRToky6vgcI/view?usp=drivesdk")</f>
        <v>https://drive.google.com/file/d/1x8NMfJvDvmMUlNR4ewleUjRToky6vgcI/view?usp=drivesdk</v>
      </c>
      <c r="D2930" s="12"/>
      <c r="E2930" s="11">
        <v>2968.0</v>
      </c>
      <c r="F2930" s="2"/>
    </row>
    <row r="2931" ht="1.5" customHeight="1">
      <c r="A2931" s="4" t="str">
        <f>IFERROR(__xludf.DUMMYFUNCTION("""COMPUTED_VALUE"""),"31. Scraggle")</f>
        <v>31. Scraggle</v>
      </c>
      <c r="B2931" s="4" t="str">
        <f>IFERROR(__xludf.DUMMYFUNCTION("""COMPUTED_VALUE"""),"31")</f>
        <v>31</v>
      </c>
      <c r="C2931" s="5" t="str">
        <f>IFERROR(__xludf.DUMMYFUNCTION("""COMPUTED_VALUE"""),"https://drive.google.com/file/d/1XzZ81AYy8nTZ76gnvHi3qHGFCFAyxvyc/view?usp=drivesdk")</f>
        <v>https://drive.google.com/file/d/1XzZ81AYy8nTZ76gnvHi3qHGFCFAyxvyc/view?usp=drivesdk</v>
      </c>
      <c r="D2931" s="12"/>
      <c r="E2931" s="11">
        <v>2969.0</v>
      </c>
      <c r="F2931" s="2"/>
    </row>
    <row r="2932" ht="1.5" customHeight="1">
      <c r="A2932" s="4" t="str">
        <f>IFERROR(__xludf.DUMMYFUNCTION("""COMPUTED_VALUE"""),"31. Scraggle")</f>
        <v>31. Scraggle</v>
      </c>
      <c r="B2932" s="4" t="str">
        <f>IFERROR(__xludf.DUMMYFUNCTION("""COMPUTED_VALUE"""),"31")</f>
        <v>31</v>
      </c>
      <c r="C2932" s="5" t="str">
        <f>IFERROR(__xludf.DUMMYFUNCTION("""COMPUTED_VALUE"""),"https://drive.google.com/file/d/1d2vWDeN47pNZUSD22AGyNwHUds-V5IBA/view?usp=drivesdk")</f>
        <v>https://drive.google.com/file/d/1d2vWDeN47pNZUSD22AGyNwHUds-V5IBA/view?usp=drivesdk</v>
      </c>
      <c r="D2932" s="12"/>
      <c r="E2932" s="11">
        <v>2970.0</v>
      </c>
      <c r="F2932" s="2"/>
    </row>
    <row r="2933" ht="1.5" customHeight="1">
      <c r="A2933" s="4" t="str">
        <f>IFERROR(__xludf.DUMMYFUNCTION("""COMPUTED_VALUE"""),"31. Scraggle")</f>
        <v>31. Scraggle</v>
      </c>
      <c r="B2933" s="4" t="str">
        <f>IFERROR(__xludf.DUMMYFUNCTION("""COMPUTED_VALUE"""),"31")</f>
        <v>31</v>
      </c>
      <c r="C2933" s="5" t="str">
        <f>IFERROR(__xludf.DUMMYFUNCTION("""COMPUTED_VALUE"""),"https://drive.google.com/file/d/198oA7q2Tphrx0LOGYk-Rpc92ulzE6g3p/view?usp=drivesdk")</f>
        <v>https://drive.google.com/file/d/198oA7q2Tphrx0LOGYk-Rpc92ulzE6g3p/view?usp=drivesdk</v>
      </c>
      <c r="D2933" s="12"/>
      <c r="E2933" s="11">
        <v>2971.0</v>
      </c>
      <c r="F2933" s="2"/>
    </row>
    <row r="2934" ht="1.5" customHeight="1">
      <c r="A2934" s="4" t="str">
        <f>IFERROR(__xludf.DUMMYFUNCTION("""COMPUTED_VALUE"""),"31. Scraggle")</f>
        <v>31. Scraggle</v>
      </c>
      <c r="B2934" s="4" t="str">
        <f>IFERROR(__xludf.DUMMYFUNCTION("""COMPUTED_VALUE"""),"31")</f>
        <v>31</v>
      </c>
      <c r="C2934" s="5" t="str">
        <f>IFERROR(__xludf.DUMMYFUNCTION("""COMPUTED_VALUE"""),"https://drive.google.com/file/d/121UA7Mszy_GbpCy0b1WnVe0oIIpy83Dm/view?usp=drivesdk")</f>
        <v>https://drive.google.com/file/d/121UA7Mszy_GbpCy0b1WnVe0oIIpy83Dm/view?usp=drivesdk</v>
      </c>
      <c r="D2934" s="12"/>
      <c r="E2934" s="11">
        <v>2972.0</v>
      </c>
      <c r="F2934" s="2"/>
    </row>
    <row r="2935" ht="1.5" customHeight="1">
      <c r="A2935" s="4" t="str">
        <f>IFERROR(__xludf.DUMMYFUNCTION("""COMPUTED_VALUE"""),"31. Scraggle")</f>
        <v>31. Scraggle</v>
      </c>
      <c r="B2935" s="4" t="str">
        <f>IFERROR(__xludf.DUMMYFUNCTION("""COMPUTED_VALUE"""),"31")</f>
        <v>31</v>
      </c>
      <c r="C2935" s="5" t="str">
        <f>IFERROR(__xludf.DUMMYFUNCTION("""COMPUTED_VALUE"""),"https://drive.google.com/file/d/1Ror1mjD9H-MvTa7oz6JCLm2hSZeDP5ab/view?usp=drivesdk")</f>
        <v>https://drive.google.com/file/d/1Ror1mjD9H-MvTa7oz6JCLm2hSZeDP5ab/view?usp=drivesdk</v>
      </c>
      <c r="D2935" s="12"/>
      <c r="E2935" s="11">
        <v>2973.0</v>
      </c>
      <c r="F2935" s="2"/>
    </row>
    <row r="2936" ht="1.5" customHeight="1">
      <c r="A2936" s="4" t="str">
        <f>IFERROR(__xludf.DUMMYFUNCTION("""COMPUTED_VALUE"""),"2. Twix")</f>
        <v>2. Twix</v>
      </c>
      <c r="B2936" s="4" t="str">
        <f>IFERROR(__xludf.DUMMYFUNCTION("""COMPUTED_VALUE"""),"2")</f>
        <v>2</v>
      </c>
      <c r="C2936" s="5" t="str">
        <f>IFERROR(__xludf.DUMMYFUNCTION("""COMPUTED_VALUE"""),"https://drive.google.com/file/d/1TgelFFqoD3gcP_rUiljs5RIF_UFOYMHp/view?usp=drivesdk")</f>
        <v>https://drive.google.com/file/d/1TgelFFqoD3gcP_rUiljs5RIF_UFOYMHp/view?usp=drivesdk</v>
      </c>
      <c r="D2936" s="12"/>
      <c r="E2936" s="11">
        <v>2974.0</v>
      </c>
      <c r="F2936" s="2"/>
    </row>
    <row r="2937" ht="1.5" customHeight="1">
      <c r="A2937" s="4" t="str">
        <f>IFERROR(__xludf.DUMMYFUNCTION("""COMPUTED_VALUE"""),"2. Twix")</f>
        <v>2. Twix</v>
      </c>
      <c r="B2937" s="4" t="str">
        <f>IFERROR(__xludf.DUMMYFUNCTION("""COMPUTED_VALUE"""),"2")</f>
        <v>2</v>
      </c>
      <c r="C2937" s="5" t="str">
        <f>IFERROR(__xludf.DUMMYFUNCTION("""COMPUTED_VALUE"""),"https://drive.google.com/file/d/1JdKSel7BB080EKbu3WCaU76czDjBvvjg/view?usp=drivesdk")</f>
        <v>https://drive.google.com/file/d/1JdKSel7BB080EKbu3WCaU76czDjBvvjg/view?usp=drivesdk</v>
      </c>
      <c r="D2937" s="12"/>
      <c r="E2937" s="11">
        <v>2975.0</v>
      </c>
      <c r="F2937" s="2"/>
    </row>
    <row r="2938" ht="1.5" customHeight="1">
      <c r="A2938" s="4" t="str">
        <f>IFERROR(__xludf.DUMMYFUNCTION("""COMPUTED_VALUE"""),"2. Twix")</f>
        <v>2. Twix</v>
      </c>
      <c r="B2938" s="4" t="str">
        <f>IFERROR(__xludf.DUMMYFUNCTION("""COMPUTED_VALUE"""),"2")</f>
        <v>2</v>
      </c>
      <c r="C2938" s="5" t="str">
        <f>IFERROR(__xludf.DUMMYFUNCTION("""COMPUTED_VALUE"""),"https://drive.google.com/file/d/11bjB585f8Qch5DZEq5PdQ4SYv5PiuSHs/view?usp=drivesdk")</f>
        <v>https://drive.google.com/file/d/11bjB585f8Qch5DZEq5PdQ4SYv5PiuSHs/view?usp=drivesdk</v>
      </c>
      <c r="D2938" s="12"/>
      <c r="E2938" s="11">
        <v>2976.0</v>
      </c>
      <c r="F2938" s="2"/>
    </row>
    <row r="2939" ht="1.5" customHeight="1">
      <c r="A2939" s="4" t="str">
        <f>IFERROR(__xludf.DUMMYFUNCTION("""COMPUTED_VALUE"""),"2. Twix")</f>
        <v>2. Twix</v>
      </c>
      <c r="B2939" s="4" t="str">
        <f>IFERROR(__xludf.DUMMYFUNCTION("""COMPUTED_VALUE"""),"2")</f>
        <v>2</v>
      </c>
      <c r="C2939" s="5" t="str">
        <f>IFERROR(__xludf.DUMMYFUNCTION("""COMPUTED_VALUE"""),"https://drive.google.com/file/d/1tVSIvDuc5IyUXi0dEsAAeeKWtKaM_EVV/view?usp=drivesdk")</f>
        <v>https://drive.google.com/file/d/1tVSIvDuc5IyUXi0dEsAAeeKWtKaM_EVV/view?usp=drivesdk</v>
      </c>
      <c r="D2939" s="12"/>
      <c r="E2939" s="11">
        <v>2977.0</v>
      </c>
      <c r="F2939" s="2"/>
    </row>
    <row r="2940" ht="1.5" customHeight="1">
      <c r="A2940" s="4" t="str">
        <f>IFERROR(__xludf.DUMMYFUNCTION("""COMPUTED_VALUE"""),"2. Twix")</f>
        <v>2. Twix</v>
      </c>
      <c r="B2940" s="4" t="str">
        <f>IFERROR(__xludf.DUMMYFUNCTION("""COMPUTED_VALUE"""),"2")</f>
        <v>2</v>
      </c>
      <c r="C2940" s="5" t="str">
        <f>IFERROR(__xludf.DUMMYFUNCTION("""COMPUTED_VALUE"""),"https://drive.google.com/file/d/1jZOsNkPT_to7Of3Yn55AZedjggS8bQ5N/view?usp=drivesdk")</f>
        <v>https://drive.google.com/file/d/1jZOsNkPT_to7Of3Yn55AZedjggS8bQ5N/view?usp=drivesdk</v>
      </c>
      <c r="D2940" s="12"/>
      <c r="E2940" s="11">
        <v>2978.0</v>
      </c>
      <c r="F2940" s="2"/>
    </row>
    <row r="2941" ht="1.5" customHeight="1">
      <c r="A2941" s="4" t="str">
        <f>IFERROR(__xludf.DUMMYFUNCTION("""COMPUTED_VALUE"""),"2. Twix")</f>
        <v>2. Twix</v>
      </c>
      <c r="B2941" s="4" t="str">
        <f>IFERROR(__xludf.DUMMYFUNCTION("""COMPUTED_VALUE"""),"2")</f>
        <v>2</v>
      </c>
      <c r="C2941" s="5" t="str">
        <f>IFERROR(__xludf.DUMMYFUNCTION("""COMPUTED_VALUE"""),"https://drive.google.com/file/d/1k6PQPUibw5Ipk25cnYtHZtme-sR94-Qu/view?usp=drivesdk")</f>
        <v>https://drive.google.com/file/d/1k6PQPUibw5Ipk25cnYtHZtme-sR94-Qu/view?usp=drivesdk</v>
      </c>
      <c r="D2941" s="12"/>
      <c r="E2941" s="11">
        <v>2979.0</v>
      </c>
      <c r="F2941" s="2"/>
    </row>
    <row r="2942" ht="1.5" customHeight="1">
      <c r="A2942" s="4" t="str">
        <f>IFERROR(__xludf.DUMMYFUNCTION("""COMPUTED_VALUE"""),"2. Twix")</f>
        <v>2. Twix</v>
      </c>
      <c r="B2942" s="4" t="str">
        <f>IFERROR(__xludf.DUMMYFUNCTION("""COMPUTED_VALUE"""),"2")</f>
        <v>2</v>
      </c>
      <c r="C2942" s="5" t="str">
        <f>IFERROR(__xludf.DUMMYFUNCTION("""COMPUTED_VALUE"""),"https://drive.google.com/file/d/1CkYO1AR_lfL89AVlkgYD4ZUZPubnaIag/view?usp=drivesdk")</f>
        <v>https://drive.google.com/file/d/1CkYO1AR_lfL89AVlkgYD4ZUZPubnaIag/view?usp=drivesdk</v>
      </c>
      <c r="D2942" s="12"/>
      <c r="E2942" s="11">
        <v>2980.0</v>
      </c>
      <c r="F2942" s="2"/>
    </row>
    <row r="2943" ht="1.5" customHeight="1">
      <c r="A2943" s="4" t="str">
        <f>IFERROR(__xludf.DUMMYFUNCTION("""COMPUTED_VALUE"""),"2. Twix")</f>
        <v>2. Twix</v>
      </c>
      <c r="B2943" s="4" t="str">
        <f>IFERROR(__xludf.DUMMYFUNCTION("""COMPUTED_VALUE"""),"2")</f>
        <v>2</v>
      </c>
      <c r="C2943" s="5" t="str">
        <f>IFERROR(__xludf.DUMMYFUNCTION("""COMPUTED_VALUE"""),"https://drive.google.com/file/d/19pBkQbguf5_ZMo4hu2iclwClWMsP_cm3/view?usp=drivesdk")</f>
        <v>https://drive.google.com/file/d/19pBkQbguf5_ZMo4hu2iclwClWMsP_cm3/view?usp=drivesdk</v>
      </c>
      <c r="D2943" s="12"/>
      <c r="E2943" s="11">
        <v>2981.0</v>
      </c>
      <c r="F2943" s="2"/>
    </row>
    <row r="2944" ht="1.5" customHeight="1">
      <c r="A2944" s="4" t="str">
        <f>IFERROR(__xludf.DUMMYFUNCTION("""COMPUTED_VALUE"""),"2. Twix")</f>
        <v>2. Twix</v>
      </c>
      <c r="B2944" s="4" t="str">
        <f>IFERROR(__xludf.DUMMYFUNCTION("""COMPUTED_VALUE"""),"2")</f>
        <v>2</v>
      </c>
      <c r="C2944" s="5" t="str">
        <f>IFERROR(__xludf.DUMMYFUNCTION("""COMPUTED_VALUE"""),"https://drive.google.com/file/d/1ivEkj5PHjuP1vRxManELcmkXgasHmhNG/view?usp=drivesdk")</f>
        <v>https://drive.google.com/file/d/1ivEkj5PHjuP1vRxManELcmkXgasHmhNG/view?usp=drivesdk</v>
      </c>
      <c r="D2944" s="12"/>
      <c r="E2944" s="11">
        <v>2982.0</v>
      </c>
      <c r="F2944" s="2"/>
    </row>
    <row r="2945" ht="1.5" customHeight="1">
      <c r="A2945" s="4" t="str">
        <f>IFERROR(__xludf.DUMMYFUNCTION("""COMPUTED_VALUE"""),"2. Twix")</f>
        <v>2. Twix</v>
      </c>
      <c r="B2945" s="4" t="str">
        <f>IFERROR(__xludf.DUMMYFUNCTION("""COMPUTED_VALUE"""),"2")</f>
        <v>2</v>
      </c>
      <c r="C2945" s="5" t="str">
        <f>IFERROR(__xludf.DUMMYFUNCTION("""COMPUTED_VALUE"""),"https://drive.google.com/file/d/12funQLA3TYjgLqWfPQB_CsTeo44nhBTB/view?usp=drivesdk")</f>
        <v>https://drive.google.com/file/d/12funQLA3TYjgLqWfPQB_CsTeo44nhBTB/view?usp=drivesdk</v>
      </c>
      <c r="D2945" s="12"/>
      <c r="E2945" s="11">
        <v>2983.0</v>
      </c>
      <c r="F2945" s="2"/>
    </row>
    <row r="2946" ht="1.5" customHeight="1">
      <c r="A2946" s="4" t="str">
        <f>IFERROR(__xludf.DUMMYFUNCTION("""COMPUTED_VALUE"""),"40. Dumpster, 58. Eden, 39. Radar, 12. Faye")</f>
        <v>40. Dumpster, 58. Eden, 39. Radar, 12. Faye</v>
      </c>
      <c r="B2946" s="4" t="str">
        <f>IFERROR(__xludf.DUMMYFUNCTION("""COMPUTED_VALUE"""),"40, 58, 39, 12")</f>
        <v>40, 58, 39, 12</v>
      </c>
      <c r="C2946" s="5" t="str">
        <f>IFERROR(__xludf.DUMMYFUNCTION("""COMPUTED_VALUE"""),"https://drive.google.com/file/d/1zWWNSQdgPYLCgu9aI9PE412JJfs7RjYx/view?usp=drivesdk")</f>
        <v>https://drive.google.com/file/d/1zWWNSQdgPYLCgu9aI9PE412JJfs7RjYx/view?usp=drivesdk</v>
      </c>
      <c r="D2946" s="12"/>
      <c r="E2946" s="11">
        <v>2984.0</v>
      </c>
      <c r="F2946" s="2"/>
    </row>
    <row r="2947" ht="1.5" customHeight="1">
      <c r="A2947" s="4" t="str">
        <f>IFERROR(__xludf.DUMMYFUNCTION("""COMPUTED_VALUE"""),"40. Dumpster, 58. Eden, 39. Radar, 12. Faye")</f>
        <v>40. Dumpster, 58. Eden, 39. Radar, 12. Faye</v>
      </c>
      <c r="B2947" s="4" t="str">
        <f>IFERROR(__xludf.DUMMYFUNCTION("""COMPUTED_VALUE"""),"40, 58, 39, 12")</f>
        <v>40, 58, 39, 12</v>
      </c>
      <c r="C2947" s="5" t="str">
        <f>IFERROR(__xludf.DUMMYFUNCTION("""COMPUTED_VALUE"""),"https://drive.google.com/file/d/1DuQT8-76zRXlOdWn3JX2O9xw5IaTzLCQ/view?usp=drivesdk")</f>
        <v>https://drive.google.com/file/d/1DuQT8-76zRXlOdWn3JX2O9xw5IaTzLCQ/view?usp=drivesdk</v>
      </c>
      <c r="D2947" s="12"/>
      <c r="E2947" s="11">
        <v>2985.0</v>
      </c>
      <c r="F2947" s="2"/>
    </row>
    <row r="2948" ht="1.5" customHeight="1">
      <c r="A2948" s="4" t="str">
        <f>IFERROR(__xludf.DUMMYFUNCTION("""COMPUTED_VALUE"""),"44. Shitbag Cuntface")</f>
        <v>44. Shitbag Cuntface</v>
      </c>
      <c r="B2948" s="4" t="str">
        <f>IFERROR(__xludf.DUMMYFUNCTION("""COMPUTED_VALUE"""),"44")</f>
        <v>44</v>
      </c>
      <c r="C2948" s="5" t="str">
        <f>IFERROR(__xludf.DUMMYFUNCTION("""COMPUTED_VALUE"""),"https://drive.google.com/file/d/1ZGjGKTtFlVV9k22DcUrEjUgzzoCDSsud/view?usp=drivesdk")</f>
        <v>https://drive.google.com/file/d/1ZGjGKTtFlVV9k22DcUrEjUgzzoCDSsud/view?usp=drivesdk</v>
      </c>
      <c r="D2948" s="12"/>
      <c r="E2948" s="11">
        <v>2986.0</v>
      </c>
      <c r="F2948" s="2"/>
    </row>
    <row r="2949" ht="1.5" customHeight="1">
      <c r="A2949" s="4" t="str">
        <f>IFERROR(__xludf.DUMMYFUNCTION("""COMPUTED_VALUE"""),"41. Gregory")</f>
        <v>41. Gregory</v>
      </c>
      <c r="B2949" s="4" t="str">
        <f>IFERROR(__xludf.DUMMYFUNCTION("""COMPUTED_VALUE"""),"41")</f>
        <v>41</v>
      </c>
      <c r="C2949" s="5" t="str">
        <f>IFERROR(__xludf.DUMMYFUNCTION("""COMPUTED_VALUE"""),"https://drive.google.com/file/d/1g_4IQUTTzM6td3zGJ4hzWhFuuG-W2RDm/view?usp=drivesdk")</f>
        <v>https://drive.google.com/file/d/1g_4IQUTTzM6td3zGJ4hzWhFuuG-W2RDm/view?usp=drivesdk</v>
      </c>
      <c r="D2949" s="12"/>
      <c r="E2949" s="11">
        <v>2987.0</v>
      </c>
      <c r="F2949" s="2"/>
    </row>
    <row r="2950" ht="1.5" customHeight="1">
      <c r="A2950" s="4" t="str">
        <f>IFERROR(__xludf.DUMMYFUNCTION("""COMPUTED_VALUE"""),"44. Shitbag Cuntface")</f>
        <v>44. Shitbag Cuntface</v>
      </c>
      <c r="B2950" s="4" t="str">
        <f>IFERROR(__xludf.DUMMYFUNCTION("""COMPUTED_VALUE"""),"44")</f>
        <v>44</v>
      </c>
      <c r="C2950" s="5" t="str">
        <f>IFERROR(__xludf.DUMMYFUNCTION("""COMPUTED_VALUE"""),"https://drive.google.com/file/d/11vQIFzVO2I3oRldVz-uqaeyqw2UDkQz7/view?usp=drivesdk")</f>
        <v>https://drive.google.com/file/d/11vQIFzVO2I3oRldVz-uqaeyqw2UDkQz7/view?usp=drivesdk</v>
      </c>
      <c r="D2950" s="12"/>
      <c r="E2950" s="11">
        <v>2988.0</v>
      </c>
      <c r="F2950" s="2"/>
    </row>
    <row r="2951" ht="1.5" customHeight="1">
      <c r="A2951" s="4" t="str">
        <f>IFERROR(__xludf.DUMMYFUNCTION("""COMPUTED_VALUE"""),"41. Gregory")</f>
        <v>41. Gregory</v>
      </c>
      <c r="B2951" s="4" t="str">
        <f>IFERROR(__xludf.DUMMYFUNCTION("""COMPUTED_VALUE"""),"41")</f>
        <v>41</v>
      </c>
      <c r="C2951" s="5" t="str">
        <f>IFERROR(__xludf.DUMMYFUNCTION("""COMPUTED_VALUE"""),"https://drive.google.com/file/d/1nKggvbjnHKmh_pB7Zd2r3k1Zcymuf8dg/view?usp=drivesdk")</f>
        <v>https://drive.google.com/file/d/1nKggvbjnHKmh_pB7Zd2r3k1Zcymuf8dg/view?usp=drivesdk</v>
      </c>
      <c r="D2951" s="12"/>
      <c r="E2951" s="11">
        <v>2989.0</v>
      </c>
      <c r="F2951" s="2"/>
    </row>
    <row r="2952" ht="1.5" customHeight="1">
      <c r="A2952" s="4" t="str">
        <f>IFERROR(__xludf.DUMMYFUNCTION("""COMPUTED_VALUE"""),"41. Gregory")</f>
        <v>41. Gregory</v>
      </c>
      <c r="B2952" s="4" t="str">
        <f>IFERROR(__xludf.DUMMYFUNCTION("""COMPUTED_VALUE"""),"41")</f>
        <v>41</v>
      </c>
      <c r="C2952" s="5" t="str">
        <f>IFERROR(__xludf.DUMMYFUNCTION("""COMPUTED_VALUE"""),"https://drive.google.com/file/d/1iHPDo-cW_RH-f6Bcmbe3s0USCX_rt8je/view?usp=drivesdk")</f>
        <v>https://drive.google.com/file/d/1iHPDo-cW_RH-f6Bcmbe3s0USCX_rt8je/view?usp=drivesdk</v>
      </c>
      <c r="D2952" s="12"/>
      <c r="E2952" s="11">
        <v>2990.0</v>
      </c>
      <c r="F2952" s="2"/>
    </row>
    <row r="2953" ht="1.5" customHeight="1">
      <c r="A2953" s="4" t="str">
        <f>IFERROR(__xludf.DUMMYFUNCTION("""COMPUTED_VALUE"""),"41. Gregory")</f>
        <v>41. Gregory</v>
      </c>
      <c r="B2953" s="4" t="str">
        <f>IFERROR(__xludf.DUMMYFUNCTION("""COMPUTED_VALUE"""),"41")</f>
        <v>41</v>
      </c>
      <c r="C2953" s="5" t="str">
        <f>IFERROR(__xludf.DUMMYFUNCTION("""COMPUTED_VALUE"""),"https://drive.google.com/file/d/1q4uxZBUc_j9ggFfH1C_AEvEAvJCP6_7O/view?usp=drivesdk")</f>
        <v>https://drive.google.com/file/d/1q4uxZBUc_j9ggFfH1C_AEvEAvJCP6_7O/view?usp=drivesdk</v>
      </c>
      <c r="D2953" s="12"/>
      <c r="E2953" s="11">
        <v>2991.0</v>
      </c>
      <c r="F2953" s="2"/>
    </row>
    <row r="2954" ht="1.5" customHeight="1">
      <c r="A2954" s="4" t="str">
        <f>IFERROR(__xludf.DUMMYFUNCTION("""COMPUTED_VALUE"""),"12. Faye")</f>
        <v>12. Faye</v>
      </c>
      <c r="B2954" s="4" t="str">
        <f>IFERROR(__xludf.DUMMYFUNCTION("""COMPUTED_VALUE"""),"12")</f>
        <v>12</v>
      </c>
      <c r="C2954" s="5" t="str">
        <f>IFERROR(__xludf.DUMMYFUNCTION("""COMPUTED_VALUE"""),"https://drive.google.com/file/d/1RvbZtlxZl9CmOsaGfXvY7rqqlaWC7If3/view?usp=drivesdk")</f>
        <v>https://drive.google.com/file/d/1RvbZtlxZl9CmOsaGfXvY7rqqlaWC7If3/view?usp=drivesdk</v>
      </c>
      <c r="D2954" s="12"/>
      <c r="E2954" s="11">
        <v>2992.0</v>
      </c>
      <c r="F2954" s="2"/>
    </row>
    <row r="2955" ht="1.5" customHeight="1">
      <c r="A2955" s="4" t="str">
        <f>IFERROR(__xludf.DUMMYFUNCTION("""COMPUTED_VALUE"""),"44. Shitbag Cuntface")</f>
        <v>44. Shitbag Cuntface</v>
      </c>
      <c r="B2955" s="4" t="str">
        <f>IFERROR(__xludf.DUMMYFUNCTION("""COMPUTED_VALUE"""),"44")</f>
        <v>44</v>
      </c>
      <c r="C2955" s="5" t="str">
        <f>IFERROR(__xludf.DUMMYFUNCTION("""COMPUTED_VALUE"""),"https://drive.google.com/file/d/1D4i-IjyatC9DkEqbhOhEWZR2w2Vux9pd/view?usp=drivesdk")</f>
        <v>https://drive.google.com/file/d/1D4i-IjyatC9DkEqbhOhEWZR2w2Vux9pd/view?usp=drivesdk</v>
      </c>
      <c r="D2955" s="12"/>
      <c r="E2955" s="11">
        <v>2993.0</v>
      </c>
      <c r="F2955" s="2"/>
    </row>
    <row r="2956" ht="1.5" customHeight="1">
      <c r="A2956" s="4" t="str">
        <f>IFERROR(__xludf.DUMMYFUNCTION("""COMPUTED_VALUE"""),"41. Gregory")</f>
        <v>41. Gregory</v>
      </c>
      <c r="B2956" s="4" t="str">
        <f>IFERROR(__xludf.DUMMYFUNCTION("""COMPUTED_VALUE"""),"41")</f>
        <v>41</v>
      </c>
      <c r="C2956" s="5" t="str">
        <f>IFERROR(__xludf.DUMMYFUNCTION("""COMPUTED_VALUE"""),"https://drive.google.com/file/d/1VaFBKHxj-7LkEAmYr8DSsPkNNxVTQMKe/view?usp=drivesdk")</f>
        <v>https://drive.google.com/file/d/1VaFBKHxj-7LkEAmYr8DSsPkNNxVTQMKe/view?usp=drivesdk</v>
      </c>
      <c r="D2956" s="12"/>
      <c r="E2956" s="11">
        <v>2994.0</v>
      </c>
      <c r="F2956" s="2"/>
    </row>
    <row r="2957" ht="1.5" customHeight="1">
      <c r="A2957" s="4" t="str">
        <f>IFERROR(__xludf.DUMMYFUNCTION("""COMPUTED_VALUE"""),"44. Shitbag Cuntface")</f>
        <v>44. Shitbag Cuntface</v>
      </c>
      <c r="B2957" s="4" t="str">
        <f>IFERROR(__xludf.DUMMYFUNCTION("""COMPUTED_VALUE"""),"44")</f>
        <v>44</v>
      </c>
      <c r="C2957" s="5" t="str">
        <f>IFERROR(__xludf.DUMMYFUNCTION("""COMPUTED_VALUE"""),"https://drive.google.com/file/d/1XuHrxt6wVd72LSoWB0ffAceggnZ4-Qdy/view?usp=drivesdk")</f>
        <v>https://drive.google.com/file/d/1XuHrxt6wVd72LSoWB0ffAceggnZ4-Qdy/view?usp=drivesdk</v>
      </c>
      <c r="D2957" s="12"/>
      <c r="E2957" s="11">
        <v>2995.0</v>
      </c>
      <c r="F2957" s="2"/>
    </row>
    <row r="2958" ht="1.5" customHeight="1">
      <c r="A2958" s="4" t="str">
        <f>IFERROR(__xludf.DUMMYFUNCTION("""COMPUTED_VALUE"""),"41. Gregory")</f>
        <v>41. Gregory</v>
      </c>
      <c r="B2958" s="4" t="str">
        <f>IFERROR(__xludf.DUMMYFUNCTION("""COMPUTED_VALUE"""),"41")</f>
        <v>41</v>
      </c>
      <c r="C2958" s="5" t="str">
        <f>IFERROR(__xludf.DUMMYFUNCTION("""COMPUTED_VALUE"""),"https://drive.google.com/file/d/1n2UK41ZRHRs24bWiqBPmXnz8zQ_4Gm5V/view?usp=drivesdk")</f>
        <v>https://drive.google.com/file/d/1n2UK41ZRHRs24bWiqBPmXnz8zQ_4Gm5V/view?usp=drivesdk</v>
      </c>
      <c r="D2958" s="12"/>
      <c r="E2958" s="11">
        <v>2996.0</v>
      </c>
      <c r="F2958" s="2"/>
    </row>
    <row r="2959" ht="1.5" customHeight="1">
      <c r="A2959" s="4" t="str">
        <f>IFERROR(__xludf.DUMMYFUNCTION("""COMPUTED_VALUE"""),"41. Gregory")</f>
        <v>41. Gregory</v>
      </c>
      <c r="B2959" s="4" t="str">
        <f>IFERROR(__xludf.DUMMYFUNCTION("""COMPUTED_VALUE"""),"41")</f>
        <v>41</v>
      </c>
      <c r="C2959" s="5" t="str">
        <f>IFERROR(__xludf.DUMMYFUNCTION("""COMPUTED_VALUE"""),"https://drive.google.com/file/d/1oKwX3P0wtPBYnUTQhDUPgV1Yjkz6lT3V/view?usp=drivesdk")</f>
        <v>https://drive.google.com/file/d/1oKwX3P0wtPBYnUTQhDUPgV1Yjkz6lT3V/view?usp=drivesdk</v>
      </c>
      <c r="D2959" s="12"/>
      <c r="E2959" s="11">
        <v>2997.0</v>
      </c>
      <c r="F2959" s="2"/>
    </row>
    <row r="2960" ht="1.5" customHeight="1">
      <c r="A2960" s="4" t="str">
        <f>IFERROR(__xludf.DUMMYFUNCTION("""COMPUTED_VALUE"""),"40. Dumpster, 45. Boots")</f>
        <v>40. Dumpster, 45. Boots</v>
      </c>
      <c r="B2960" s="4" t="str">
        <f>IFERROR(__xludf.DUMMYFUNCTION("""COMPUTED_VALUE"""),"40, 45")</f>
        <v>40, 45</v>
      </c>
      <c r="C2960" s="5" t="str">
        <f>IFERROR(__xludf.DUMMYFUNCTION("""COMPUTED_VALUE"""),"https://drive.google.com/file/d/17Rhp2s1HRXIsVDPqkwAZ1vyH4mmaP7WV/view?usp=drivesdk")</f>
        <v>https://drive.google.com/file/d/17Rhp2s1HRXIsVDPqkwAZ1vyH4mmaP7WV/view?usp=drivesdk</v>
      </c>
      <c r="D2960" s="12"/>
      <c r="E2960" s="11">
        <v>2998.0</v>
      </c>
      <c r="F2960" s="2"/>
    </row>
    <row r="2961" ht="1.5" customHeight="1">
      <c r="A2961" s="4" t="str">
        <f>IFERROR(__xludf.DUMMYFUNCTION("""COMPUTED_VALUE"""),"41. Gregory")</f>
        <v>41. Gregory</v>
      </c>
      <c r="B2961" s="4" t="str">
        <f>IFERROR(__xludf.DUMMYFUNCTION("""COMPUTED_VALUE"""),"41")</f>
        <v>41</v>
      </c>
      <c r="C2961" s="5" t="str">
        <f>IFERROR(__xludf.DUMMYFUNCTION("""COMPUTED_VALUE"""),"https://drive.google.com/file/d/13cqG2QBbJ8DarE2uboIZhvjmIP355hTR/view?usp=drivesdk")</f>
        <v>https://drive.google.com/file/d/13cqG2QBbJ8DarE2uboIZhvjmIP355hTR/view?usp=drivesdk</v>
      </c>
      <c r="D2961" s="12"/>
      <c r="E2961" s="11">
        <v>2999.0</v>
      </c>
      <c r="F2961" s="2"/>
    </row>
    <row r="2962" ht="1.5" customHeight="1">
      <c r="A2962" s="4" t="str">
        <f>IFERROR(__xludf.DUMMYFUNCTION("""COMPUTED_VALUE"""),"41. Gregory")</f>
        <v>41. Gregory</v>
      </c>
      <c r="B2962" s="4" t="str">
        <f>IFERROR(__xludf.DUMMYFUNCTION("""COMPUTED_VALUE"""),"41")</f>
        <v>41</v>
      </c>
      <c r="C2962" s="5" t="str">
        <f>IFERROR(__xludf.DUMMYFUNCTION("""COMPUTED_VALUE"""),"https://drive.google.com/file/d/1PzpsXw2Mst7QE4wuCzNQyQJ24CAO3uvN/view?usp=drivesdk")</f>
        <v>https://drive.google.com/file/d/1PzpsXw2Mst7QE4wuCzNQyQJ24CAO3uvN/view?usp=drivesdk</v>
      </c>
      <c r="D2962" s="12"/>
      <c r="E2962" s="11">
        <v>3000.0</v>
      </c>
      <c r="F2962" s="2"/>
    </row>
    <row r="2963" ht="1.5" customHeight="1">
      <c r="A2963" s="4" t="str">
        <f>IFERROR(__xludf.DUMMYFUNCTION("""COMPUTED_VALUE"""),"41. Gregory")</f>
        <v>41. Gregory</v>
      </c>
      <c r="B2963" s="4" t="str">
        <f>IFERROR(__xludf.DUMMYFUNCTION("""COMPUTED_VALUE"""),"41")</f>
        <v>41</v>
      </c>
      <c r="C2963" s="5" t="str">
        <f>IFERROR(__xludf.DUMMYFUNCTION("""COMPUTED_VALUE"""),"https://drive.google.com/file/d/1_N0fN_zsycvrV5wWdeBLm2DGLJp8IMJo/view?usp=drivesdk")</f>
        <v>https://drive.google.com/file/d/1_N0fN_zsycvrV5wWdeBLm2DGLJp8IMJo/view?usp=drivesdk</v>
      </c>
      <c r="D2963" s="12"/>
      <c r="E2963" s="11">
        <v>3001.0</v>
      </c>
      <c r="F2963" s="2"/>
    </row>
    <row r="2964" ht="1.5" customHeight="1">
      <c r="A2964" s="4" t="str">
        <f>IFERROR(__xludf.DUMMYFUNCTION("""COMPUTED_VALUE"""),"45. Boots")</f>
        <v>45. Boots</v>
      </c>
      <c r="B2964" s="4" t="str">
        <f>IFERROR(__xludf.DUMMYFUNCTION("""COMPUTED_VALUE"""),"45")</f>
        <v>45</v>
      </c>
      <c r="C2964" s="5" t="str">
        <f>IFERROR(__xludf.DUMMYFUNCTION("""COMPUTED_VALUE"""),"https://drive.google.com/file/d/1y6qSt7qiIH9l3UYO6kWiPLC7YijuWHaE/view?usp=drivesdk")</f>
        <v>https://drive.google.com/file/d/1y6qSt7qiIH9l3UYO6kWiPLC7YijuWHaE/view?usp=drivesdk</v>
      </c>
      <c r="D2964" s="12"/>
      <c r="E2964" s="11">
        <v>3002.0</v>
      </c>
      <c r="F2964" s="2"/>
    </row>
    <row r="2965" ht="1.5" customHeight="1">
      <c r="A2965" s="4" t="str">
        <f>IFERROR(__xludf.DUMMYFUNCTION("""COMPUTED_VALUE"""),"12. Faye")</f>
        <v>12. Faye</v>
      </c>
      <c r="B2965" s="4" t="str">
        <f>IFERROR(__xludf.DUMMYFUNCTION("""COMPUTED_VALUE"""),"12")</f>
        <v>12</v>
      </c>
      <c r="C2965" s="5" t="str">
        <f>IFERROR(__xludf.DUMMYFUNCTION("""COMPUTED_VALUE"""),"https://drive.google.com/file/d/1V6-yuhWSKerQzw266qrKtm74pAVHXrIL/view?usp=drivesdk")</f>
        <v>https://drive.google.com/file/d/1V6-yuhWSKerQzw266qrKtm74pAVHXrIL/view?usp=drivesdk</v>
      </c>
      <c r="D2965" s="12"/>
      <c r="E2965" s="11">
        <v>3003.0</v>
      </c>
      <c r="F2965" s="2"/>
    </row>
    <row r="2966" ht="1.5" customHeight="1">
      <c r="A2966" s="4" t="str">
        <f>IFERROR(__xludf.DUMMYFUNCTION("""COMPUTED_VALUE"""),"12. Faye")</f>
        <v>12. Faye</v>
      </c>
      <c r="B2966" s="4" t="str">
        <f>IFERROR(__xludf.DUMMYFUNCTION("""COMPUTED_VALUE"""),"12")</f>
        <v>12</v>
      </c>
      <c r="C2966" s="5" t="str">
        <f>IFERROR(__xludf.DUMMYFUNCTION("""COMPUTED_VALUE"""),"https://drive.google.com/file/d/1TnSZOT1Hz-vLIuYUHfLAPuaLrqUNEzY2/view?usp=drivesdk")</f>
        <v>https://drive.google.com/file/d/1TnSZOT1Hz-vLIuYUHfLAPuaLrqUNEzY2/view?usp=drivesdk</v>
      </c>
      <c r="D2966" s="12"/>
      <c r="E2966" s="11">
        <v>3004.0</v>
      </c>
      <c r="F2966" s="2"/>
    </row>
    <row r="2967" ht="1.5" customHeight="1">
      <c r="A2967" s="4" t="str">
        <f>IFERROR(__xludf.DUMMYFUNCTION("""COMPUTED_VALUE"""),"45. Boots")</f>
        <v>45. Boots</v>
      </c>
      <c r="B2967" s="4" t="str">
        <f>IFERROR(__xludf.DUMMYFUNCTION("""COMPUTED_VALUE"""),"45")</f>
        <v>45</v>
      </c>
      <c r="C2967" s="5" t="str">
        <f>IFERROR(__xludf.DUMMYFUNCTION("""COMPUTED_VALUE"""),"https://drive.google.com/file/d/183ooDyklndURt5iUegTO_a9z-fQRZdhB/view?usp=drivesdk")</f>
        <v>https://drive.google.com/file/d/183ooDyklndURt5iUegTO_a9z-fQRZdhB/view?usp=drivesdk</v>
      </c>
      <c r="D2967" s="12"/>
      <c r="E2967" s="11">
        <v>3005.0</v>
      </c>
      <c r="F2967" s="2"/>
    </row>
    <row r="2968" ht="1.5" customHeight="1">
      <c r="A2968" s="4" t="str">
        <f>IFERROR(__xludf.DUMMYFUNCTION("""COMPUTED_VALUE"""),"45. Boots")</f>
        <v>45. Boots</v>
      </c>
      <c r="B2968" s="4" t="str">
        <f>IFERROR(__xludf.DUMMYFUNCTION("""COMPUTED_VALUE"""),"45")</f>
        <v>45</v>
      </c>
      <c r="C2968" s="5" t="str">
        <f>IFERROR(__xludf.DUMMYFUNCTION("""COMPUTED_VALUE"""),"https://drive.google.com/file/d/12bUXNO_P5rgqgeRZyI1Rw6XZ9doWJbAW/view?usp=drivesdk")</f>
        <v>https://drive.google.com/file/d/12bUXNO_P5rgqgeRZyI1Rw6XZ9doWJbAW/view?usp=drivesdk</v>
      </c>
      <c r="D2968" s="12"/>
      <c r="E2968" s="11">
        <v>3006.0</v>
      </c>
      <c r="F2968" s="2"/>
    </row>
    <row r="2969" ht="1.5" customHeight="1">
      <c r="A2969" s="4" t="str">
        <f>IFERROR(__xludf.DUMMYFUNCTION("""COMPUTED_VALUE"""),"39. Radar, 44. Shitbag Cuntface, 40. Dumpster, 58. Eden")</f>
        <v>39. Radar, 44. Shitbag Cuntface, 40. Dumpster, 58. Eden</v>
      </c>
      <c r="B2969" s="4" t="str">
        <f>IFERROR(__xludf.DUMMYFUNCTION("""COMPUTED_VALUE"""),"39, 44, 40, 58")</f>
        <v>39, 44, 40, 58</v>
      </c>
      <c r="C2969" s="5" t="str">
        <f>IFERROR(__xludf.DUMMYFUNCTION("""COMPUTED_VALUE"""),"https://drive.google.com/file/d/1YEyqDq30dW_ydiZYLAIIT5ESxoDh2Gys/view?usp=drivesdk")</f>
        <v>https://drive.google.com/file/d/1YEyqDq30dW_ydiZYLAIIT5ESxoDh2Gys/view?usp=drivesdk</v>
      </c>
      <c r="D2969" s="12"/>
      <c r="E2969" s="11">
        <v>3007.0</v>
      </c>
      <c r="F2969" s="2"/>
    </row>
    <row r="2970" ht="1.5" customHeight="1">
      <c r="A2970" s="4" t="str">
        <f>IFERROR(__xludf.DUMMYFUNCTION("""COMPUTED_VALUE"""),"45. Boots, 44. Shitbag Cuntface")</f>
        <v>45. Boots, 44. Shitbag Cuntface</v>
      </c>
      <c r="B2970" s="4" t="str">
        <f>IFERROR(__xludf.DUMMYFUNCTION("""COMPUTED_VALUE"""),"45, 44")</f>
        <v>45, 44</v>
      </c>
      <c r="C2970" s="5" t="str">
        <f>IFERROR(__xludf.DUMMYFUNCTION("""COMPUTED_VALUE"""),"https://drive.google.com/file/d/177QkZ9xr-svZfZVQE9GO3pmRsrMlrC5n/view?usp=drivesdk")</f>
        <v>https://drive.google.com/file/d/177QkZ9xr-svZfZVQE9GO3pmRsrMlrC5n/view?usp=drivesdk</v>
      </c>
      <c r="D2970" s="12"/>
      <c r="E2970" s="11">
        <v>3008.0</v>
      </c>
      <c r="F2970" s="2"/>
    </row>
    <row r="2971" ht="1.5" customHeight="1">
      <c r="A2971" s="4" t="str">
        <f>IFERROR(__xludf.DUMMYFUNCTION("""COMPUTED_VALUE"""),"45. Boots, 12. Faye, 62. Gorygreg, 58. Eden")</f>
        <v>45. Boots, 12. Faye, 62. Gorygreg, 58. Eden</v>
      </c>
      <c r="B2971" s="4" t="str">
        <f>IFERROR(__xludf.DUMMYFUNCTION("""COMPUTED_VALUE"""),"45, 12, 62, 58")</f>
        <v>45, 12, 62, 58</v>
      </c>
      <c r="C2971" s="5" t="str">
        <f>IFERROR(__xludf.DUMMYFUNCTION("""COMPUTED_VALUE"""),"https://drive.google.com/file/d/1eFHWK1KMnSdp6OjmKO8T-4liMXpU5gv2/view?usp=drivesdk")</f>
        <v>https://drive.google.com/file/d/1eFHWK1KMnSdp6OjmKO8T-4liMXpU5gv2/view?usp=drivesdk</v>
      </c>
      <c r="D2971" s="12"/>
      <c r="E2971" s="11">
        <v>3009.0</v>
      </c>
      <c r="F2971" s="2"/>
    </row>
    <row r="2972" ht="1.5" customHeight="1">
      <c r="A2972" s="4" t="str">
        <f>IFERROR(__xludf.DUMMYFUNCTION("""COMPUTED_VALUE"""),"12. Faye, 40. Dumpster, 44. Shitbag Cuntface, 58. Eden")</f>
        <v>12. Faye, 40. Dumpster, 44. Shitbag Cuntface, 58. Eden</v>
      </c>
      <c r="B2972" s="4" t="str">
        <f>IFERROR(__xludf.DUMMYFUNCTION("""COMPUTED_VALUE"""),"12, 40, 44, 58")</f>
        <v>12, 40, 44, 58</v>
      </c>
      <c r="C2972" s="5" t="str">
        <f>IFERROR(__xludf.DUMMYFUNCTION("""COMPUTED_VALUE"""),"https://drive.google.com/file/d/1LGg5PrmDLiEB2QOn8GQsVe08pLAqHFtN/view?usp=drivesdk")</f>
        <v>https://drive.google.com/file/d/1LGg5PrmDLiEB2QOn8GQsVe08pLAqHFtN/view?usp=drivesdk</v>
      </c>
      <c r="D2972" s="12"/>
      <c r="E2972" s="11">
        <v>3010.0</v>
      </c>
      <c r="F2972" s="2"/>
    </row>
    <row r="2973" ht="1.5" customHeight="1">
      <c r="A2973" s="4" t="str">
        <f>IFERROR(__xludf.DUMMYFUNCTION("""COMPUTED_VALUE"""),"45. Boots")</f>
        <v>45. Boots</v>
      </c>
      <c r="B2973" s="4" t="str">
        <f>IFERROR(__xludf.DUMMYFUNCTION("""COMPUTED_VALUE"""),"45")</f>
        <v>45</v>
      </c>
      <c r="C2973" s="5" t="str">
        <f>IFERROR(__xludf.DUMMYFUNCTION("""COMPUTED_VALUE"""),"https://drive.google.com/file/d/1yW2EUz93Z6V1WzWrT90zuLs2X73IV1De/view?usp=drivesdk")</f>
        <v>https://drive.google.com/file/d/1yW2EUz93Z6V1WzWrT90zuLs2X73IV1De/view?usp=drivesdk</v>
      </c>
      <c r="D2973" s="12"/>
      <c r="E2973" s="11">
        <v>3011.0</v>
      </c>
      <c r="F2973" s="2"/>
    </row>
    <row r="2974" ht="1.5" customHeight="1">
      <c r="A2974" s="4" t="str">
        <f>IFERROR(__xludf.DUMMYFUNCTION("""COMPUTED_VALUE"""),"12. Faye, 45. Boots, 58. Eden, 40. Dumpster, 44. Shitbag Cuntface")</f>
        <v>12. Faye, 45. Boots, 58. Eden, 40. Dumpster, 44. Shitbag Cuntface</v>
      </c>
      <c r="B2974" s="4" t="str">
        <f>IFERROR(__xludf.DUMMYFUNCTION("""COMPUTED_VALUE"""),"12, 45, 58, 40, 44")</f>
        <v>12, 45, 58, 40, 44</v>
      </c>
      <c r="C2974" s="5" t="str">
        <f>IFERROR(__xludf.DUMMYFUNCTION("""COMPUTED_VALUE"""),"https://drive.google.com/file/d/1f3Ojb8vWfNttgpd4z5MtmOGNfXybtEp9/view?usp=drivesdk")</f>
        <v>https://drive.google.com/file/d/1f3Ojb8vWfNttgpd4z5MtmOGNfXybtEp9/view?usp=drivesdk</v>
      </c>
      <c r="D2974" s="12"/>
      <c r="E2974" s="11">
        <v>3012.0</v>
      </c>
      <c r="F2974" s="2"/>
    </row>
    <row r="2975" ht="1.5" customHeight="1">
      <c r="A2975" s="4" t="str">
        <f>IFERROR(__xludf.DUMMYFUNCTION("""COMPUTED_VALUE"""),"42. Rubber, 44. Shitbag Cuntface, 58. Eden, 40. Dumpster")</f>
        <v>42. Rubber, 44. Shitbag Cuntface, 58. Eden, 40. Dumpster</v>
      </c>
      <c r="B2975" s="4" t="str">
        <f>IFERROR(__xludf.DUMMYFUNCTION("""COMPUTED_VALUE"""),"42, 44, 58, 40")</f>
        <v>42, 44, 58, 40</v>
      </c>
      <c r="C2975" s="5" t="str">
        <f>IFERROR(__xludf.DUMMYFUNCTION("""COMPUTED_VALUE"""),"https://drive.google.com/file/d/1ith_PzTOPM6DuOodcuU2IfWZ072TyKqN/view?usp=drivesdk")</f>
        <v>https://drive.google.com/file/d/1ith_PzTOPM6DuOodcuU2IfWZ072TyKqN/view?usp=drivesdk</v>
      </c>
      <c r="D2975" s="12"/>
      <c r="E2975" s="11">
        <v>3013.0</v>
      </c>
      <c r="F2975" s="2"/>
    </row>
    <row r="2976" ht="1.5" customHeight="1">
      <c r="A2976" s="4" t="str">
        <f>IFERROR(__xludf.DUMMYFUNCTION("""COMPUTED_VALUE"""),"0. NotACat")</f>
        <v>0. NotACat</v>
      </c>
      <c r="B2976" s="4" t="str">
        <f>IFERROR(__xludf.DUMMYFUNCTION("""COMPUTED_VALUE"""),"0")</f>
        <v>0</v>
      </c>
      <c r="C2976" s="5" t="str">
        <f>IFERROR(__xludf.DUMMYFUNCTION("""COMPUTED_VALUE"""),"https://drive.google.com/file/d/1SNPtdGs0DD8m8w7V2-KMnlxLr-3EStMo/view?usp=drivesdk")</f>
        <v>https://drive.google.com/file/d/1SNPtdGs0DD8m8w7V2-KMnlxLr-3EStMo/view?usp=drivesdk</v>
      </c>
      <c r="D2976" s="12"/>
      <c r="E2976" s="11">
        <v>3014.0</v>
      </c>
      <c r="F2976" s="2"/>
    </row>
    <row r="2977" ht="1.5" customHeight="1">
      <c r="A2977" s="4" t="str">
        <f>IFERROR(__xludf.DUMMYFUNCTION("""COMPUTED_VALUE"""),"12. Faye, 58. Eden, 44. Shitbag Cuntface, 39. Radar")</f>
        <v>12. Faye, 58. Eden, 44. Shitbag Cuntface, 39. Radar</v>
      </c>
      <c r="B2977" s="4" t="str">
        <f>IFERROR(__xludf.DUMMYFUNCTION("""COMPUTED_VALUE"""),"12, 58, 44, 39")</f>
        <v>12, 58, 44, 39</v>
      </c>
      <c r="C2977" s="5" t="str">
        <f>IFERROR(__xludf.DUMMYFUNCTION("""COMPUTED_VALUE"""),"https://drive.google.com/file/d/1TJR-GIGnourLMjGFsyzayyP_9-xQmvvo/view?usp=drivesdk")</f>
        <v>https://drive.google.com/file/d/1TJR-GIGnourLMjGFsyzayyP_9-xQmvvo/view?usp=drivesdk</v>
      </c>
      <c r="D2977" s="12"/>
      <c r="E2977" s="11">
        <v>3015.0</v>
      </c>
      <c r="F2977" s="2"/>
    </row>
    <row r="2978" ht="1.5" customHeight="1">
      <c r="A2978" s="4" t="str">
        <f>IFERROR(__xludf.DUMMYFUNCTION("""COMPUTED_VALUE"""),"12. Faye, 58. Eden, 44. Shitbag Cuntface, 39. Radar")</f>
        <v>12. Faye, 58. Eden, 44. Shitbag Cuntface, 39. Radar</v>
      </c>
      <c r="B2978" s="4" t="str">
        <f>IFERROR(__xludf.DUMMYFUNCTION("""COMPUTED_VALUE"""),"12, 58, 44, 39")</f>
        <v>12, 58, 44, 39</v>
      </c>
      <c r="C2978" s="5" t="str">
        <f>IFERROR(__xludf.DUMMYFUNCTION("""COMPUTED_VALUE"""),"https://drive.google.com/file/d/1G5Gv_eNgtl2PhJk4AefMyFamGDfiLUEW/view?usp=drivesdk")</f>
        <v>https://drive.google.com/file/d/1G5Gv_eNgtl2PhJk4AefMyFamGDfiLUEW/view?usp=drivesdk</v>
      </c>
      <c r="D2978" s="12"/>
      <c r="E2978" s="11">
        <v>3016.0</v>
      </c>
      <c r="F2978" s="2"/>
    </row>
    <row r="2979" ht="1.5" customHeight="1">
      <c r="A2979" s="4" t="str">
        <f>IFERROR(__xludf.DUMMYFUNCTION("""COMPUTED_VALUE"""),"12. Faye, 58. Eden, 40. Dumpster, 44. Shitbag Cuntface, 45. Boots, 39. Radar")</f>
        <v>12. Faye, 58. Eden, 40. Dumpster, 44. Shitbag Cuntface, 45. Boots, 39. Radar</v>
      </c>
      <c r="B2979" s="4" t="str">
        <f>IFERROR(__xludf.DUMMYFUNCTION("""COMPUTED_VALUE"""),"12, 58, 40, 44, 45, 39")</f>
        <v>12, 58, 40, 44, 45, 39</v>
      </c>
      <c r="C2979" s="5" t="str">
        <f>IFERROR(__xludf.DUMMYFUNCTION("""COMPUTED_VALUE"""),"https://drive.google.com/file/d/1uXMyNwPHZ7KS5GQZNrL0_lCfhO5ZCR3E/view?usp=drivesdk")</f>
        <v>https://drive.google.com/file/d/1uXMyNwPHZ7KS5GQZNrL0_lCfhO5ZCR3E/view?usp=drivesdk</v>
      </c>
      <c r="D2979" s="12"/>
      <c r="E2979" s="11">
        <v>3017.0</v>
      </c>
      <c r="F2979" s="2"/>
    </row>
    <row r="2980" ht="1.5" customHeight="1">
      <c r="A2980" s="4" t="str">
        <f>IFERROR(__xludf.DUMMYFUNCTION("""COMPUTED_VALUE"""),"58. Eden")</f>
        <v>58. Eden</v>
      </c>
      <c r="B2980" s="4" t="str">
        <f>IFERROR(__xludf.DUMMYFUNCTION("""COMPUTED_VALUE"""),"58")</f>
        <v>58</v>
      </c>
      <c r="C2980" s="5" t="str">
        <f>IFERROR(__xludf.DUMMYFUNCTION("""COMPUTED_VALUE"""),"https://drive.google.com/file/d/1boy0f9-NVKASP_o2UfwL2LPiPDxRFozI/view?usp=drivesdk")</f>
        <v>https://drive.google.com/file/d/1boy0f9-NVKASP_o2UfwL2LPiPDxRFozI/view?usp=drivesdk</v>
      </c>
      <c r="D2980" s="12"/>
      <c r="E2980" s="11">
        <v>3018.0</v>
      </c>
      <c r="F2980" s="2"/>
    </row>
    <row r="2981" ht="1.5" customHeight="1">
      <c r="A2981" s="4" t="str">
        <f>IFERROR(__xludf.DUMMYFUNCTION("""COMPUTED_VALUE"""),"45. Boots")</f>
        <v>45. Boots</v>
      </c>
      <c r="B2981" s="4" t="str">
        <f>IFERROR(__xludf.DUMMYFUNCTION("""COMPUTED_VALUE"""),"45")</f>
        <v>45</v>
      </c>
      <c r="C2981" s="5" t="str">
        <f>IFERROR(__xludf.DUMMYFUNCTION("""COMPUTED_VALUE"""),"https://drive.google.com/file/d/1YVCRvfNojKh3-mErXzUvJpR6vILpySLu/view?usp=drivesdk")</f>
        <v>https://drive.google.com/file/d/1YVCRvfNojKh3-mErXzUvJpR6vILpySLu/view?usp=drivesdk</v>
      </c>
      <c r="D2981" s="12"/>
      <c r="E2981" s="11">
        <v>3019.0</v>
      </c>
      <c r="F2981" s="2"/>
    </row>
    <row r="2982" ht="1.5" customHeight="1">
      <c r="A2982" s="4" t="str">
        <f>IFERROR(__xludf.DUMMYFUNCTION("""COMPUTED_VALUE"""),"12. Faye")</f>
        <v>12. Faye</v>
      </c>
      <c r="B2982" s="4" t="str">
        <f>IFERROR(__xludf.DUMMYFUNCTION("""COMPUTED_VALUE"""),"12")</f>
        <v>12</v>
      </c>
      <c r="C2982" s="5" t="str">
        <f>IFERROR(__xludf.DUMMYFUNCTION("""COMPUTED_VALUE"""),"https://drive.google.com/file/d/1VPTA56buWnFmPbt4PnUGedPIzQgwVHBm/view?usp=drivesdk")</f>
        <v>https://drive.google.com/file/d/1VPTA56buWnFmPbt4PnUGedPIzQgwVHBm/view?usp=drivesdk</v>
      </c>
      <c r="D2982" s="12"/>
      <c r="E2982" s="11">
        <v>3020.0</v>
      </c>
      <c r="F2982" s="2"/>
    </row>
    <row r="2983" ht="1.5" customHeight="1">
      <c r="A2983" s="4" t="str">
        <f>IFERROR(__xludf.DUMMYFUNCTION("""COMPUTED_VALUE"""),"44. Shitbag Cuntface, 39. Radar")</f>
        <v>44. Shitbag Cuntface, 39. Radar</v>
      </c>
      <c r="B2983" s="4" t="str">
        <f>IFERROR(__xludf.DUMMYFUNCTION("""COMPUTED_VALUE"""),"44, 39")</f>
        <v>44, 39</v>
      </c>
      <c r="C2983" s="5" t="str">
        <f>IFERROR(__xludf.DUMMYFUNCTION("""COMPUTED_VALUE"""),"https://drive.google.com/file/d/1mbt18Py5e-9LI1u07BkTJi43Ol4weZzH/view?usp=drivesdk")</f>
        <v>https://drive.google.com/file/d/1mbt18Py5e-9LI1u07BkTJi43Ol4weZzH/view?usp=drivesdk</v>
      </c>
      <c r="D2983" s="12"/>
      <c r="E2983" s="11">
        <v>3021.0</v>
      </c>
      <c r="F2983" s="2"/>
    </row>
    <row r="2984" ht="1.5" customHeight="1">
      <c r="A2984" s="4" t="str">
        <f>IFERROR(__xludf.DUMMYFUNCTION("""COMPUTED_VALUE"""),"44. Shitbag Cuntface, 39. Radar")</f>
        <v>44. Shitbag Cuntface, 39. Radar</v>
      </c>
      <c r="B2984" s="4" t="str">
        <f>IFERROR(__xludf.DUMMYFUNCTION("""COMPUTED_VALUE"""),"44, 39")</f>
        <v>44, 39</v>
      </c>
      <c r="C2984" s="5" t="str">
        <f>IFERROR(__xludf.DUMMYFUNCTION("""COMPUTED_VALUE"""),"https://drive.google.com/file/d/1cH09rEeHTFUW7JiY-6I80I0Y594Jx3JJ/view?usp=drivesdk")</f>
        <v>https://drive.google.com/file/d/1cH09rEeHTFUW7JiY-6I80I0Y594Jx3JJ/view?usp=drivesdk</v>
      </c>
      <c r="D2984" s="12"/>
      <c r="E2984" s="11">
        <v>3022.0</v>
      </c>
      <c r="F2984" s="2"/>
    </row>
    <row r="2985" ht="1.5" customHeight="1">
      <c r="A2985" s="4" t="str">
        <f>IFERROR(__xludf.DUMMYFUNCTION("""COMPUTED_VALUE"""),"44. Shitbag Cuntface, 39. Radar")</f>
        <v>44. Shitbag Cuntface, 39. Radar</v>
      </c>
      <c r="B2985" s="4" t="str">
        <f>IFERROR(__xludf.DUMMYFUNCTION("""COMPUTED_VALUE"""),"44, 39")</f>
        <v>44, 39</v>
      </c>
      <c r="C2985" s="5" t="str">
        <f>IFERROR(__xludf.DUMMYFUNCTION("""COMPUTED_VALUE"""),"https://drive.google.com/file/d/1wkzWuvt2f66W7vsWddtAxjmwPD3ZM7Az/view?usp=drivesdk")</f>
        <v>https://drive.google.com/file/d/1wkzWuvt2f66W7vsWddtAxjmwPD3ZM7Az/view?usp=drivesdk</v>
      </c>
      <c r="D2985" s="12"/>
      <c r="E2985" s="11">
        <v>3023.0</v>
      </c>
      <c r="F2985" s="2"/>
    </row>
    <row r="2986" ht="1.5" customHeight="1">
      <c r="A2986" s="4" t="str">
        <f>IFERROR(__xludf.DUMMYFUNCTION("""COMPUTED_VALUE"""),"44. Shitbag Cuntface, 39. Radar")</f>
        <v>44. Shitbag Cuntface, 39. Radar</v>
      </c>
      <c r="B2986" s="4" t="str">
        <f>IFERROR(__xludf.DUMMYFUNCTION("""COMPUTED_VALUE"""),"44, 39")</f>
        <v>44, 39</v>
      </c>
      <c r="C2986" s="5" t="str">
        <f>IFERROR(__xludf.DUMMYFUNCTION("""COMPUTED_VALUE"""),"https://drive.google.com/file/d/1i6loPhvNlkkRixzPkcWecEDyRllu5_mm/view?usp=drivesdk")</f>
        <v>https://drive.google.com/file/d/1i6loPhvNlkkRixzPkcWecEDyRllu5_mm/view?usp=drivesdk</v>
      </c>
      <c r="D2986" s="12"/>
      <c r="E2986" s="11">
        <v>3024.0</v>
      </c>
      <c r="F2986" s="2"/>
    </row>
    <row r="2987" ht="1.5" customHeight="1">
      <c r="A2987" s="4" t="str">
        <f>IFERROR(__xludf.DUMMYFUNCTION("""COMPUTED_VALUE"""),"40. Dumpster")</f>
        <v>40. Dumpster</v>
      </c>
      <c r="B2987" s="4" t="str">
        <f>IFERROR(__xludf.DUMMYFUNCTION("""COMPUTED_VALUE"""),"40")</f>
        <v>40</v>
      </c>
      <c r="C2987" s="5" t="str">
        <f>IFERROR(__xludf.DUMMYFUNCTION("""COMPUTED_VALUE"""),"https://drive.google.com/file/d/1HAbuMBL-WwGoZtepRqRS2TnE3H658UBs/view?usp=drivesdk")</f>
        <v>https://drive.google.com/file/d/1HAbuMBL-WwGoZtepRqRS2TnE3H658UBs/view?usp=drivesdk</v>
      </c>
      <c r="D2987" s="12"/>
      <c r="E2987" s="11">
        <v>3025.0</v>
      </c>
      <c r="F2987" s="2"/>
    </row>
    <row r="2988" ht="1.5" customHeight="1">
      <c r="A2988" s="4" t="str">
        <f>IFERROR(__xludf.DUMMYFUNCTION("""COMPUTED_VALUE"""),"44. Shitbag Cuntface, 39. Radar")</f>
        <v>44. Shitbag Cuntface, 39. Radar</v>
      </c>
      <c r="B2988" s="4" t="str">
        <f>IFERROR(__xludf.DUMMYFUNCTION("""COMPUTED_VALUE"""),"44, 39")</f>
        <v>44, 39</v>
      </c>
      <c r="C2988" s="5" t="str">
        <f>IFERROR(__xludf.DUMMYFUNCTION("""COMPUTED_VALUE"""),"https://drive.google.com/file/d/10O4enob3ARdJKwZYTnfaCi4l2SgvcwNu/view?usp=drivesdk")</f>
        <v>https://drive.google.com/file/d/10O4enob3ARdJKwZYTnfaCi4l2SgvcwNu/view?usp=drivesdk</v>
      </c>
      <c r="D2988" s="12"/>
      <c r="E2988" s="11">
        <v>3026.0</v>
      </c>
      <c r="F2988" s="2"/>
    </row>
    <row r="2989" ht="1.5" customHeight="1">
      <c r="A2989" s="4" t="str">
        <f>IFERROR(__xludf.DUMMYFUNCTION("""COMPUTED_VALUE"""),"44. Shitbag Cuntface, 39. Radar")</f>
        <v>44. Shitbag Cuntface, 39. Radar</v>
      </c>
      <c r="B2989" s="4" t="str">
        <f>IFERROR(__xludf.DUMMYFUNCTION("""COMPUTED_VALUE"""),"44, 39")</f>
        <v>44, 39</v>
      </c>
      <c r="C2989" s="5" t="str">
        <f>IFERROR(__xludf.DUMMYFUNCTION("""COMPUTED_VALUE"""),"https://drive.google.com/file/d/1-YEgfaD4GWhpbvHoLSiPpf9NKTopmIgk/view?usp=drivesdk")</f>
        <v>https://drive.google.com/file/d/1-YEgfaD4GWhpbvHoLSiPpf9NKTopmIgk/view?usp=drivesdk</v>
      </c>
      <c r="D2989" s="12"/>
      <c r="E2989" s="11">
        <v>3027.0</v>
      </c>
      <c r="F2989" s="2"/>
    </row>
    <row r="2990" ht="1.5" customHeight="1">
      <c r="A2990" s="4" t="str">
        <f>IFERROR(__xludf.DUMMYFUNCTION("""COMPUTED_VALUE"""),"44. Shitbag Cuntface, 39. Radar")</f>
        <v>44. Shitbag Cuntface, 39. Radar</v>
      </c>
      <c r="B2990" s="4" t="str">
        <f>IFERROR(__xludf.DUMMYFUNCTION("""COMPUTED_VALUE"""),"44, 39")</f>
        <v>44, 39</v>
      </c>
      <c r="C2990" s="5" t="str">
        <f>IFERROR(__xludf.DUMMYFUNCTION("""COMPUTED_VALUE"""),"https://drive.google.com/file/d/1jz1Gse5vyJKYQb_XVIWZhEhUnYN4Q3Jy/view?usp=drivesdk")</f>
        <v>https://drive.google.com/file/d/1jz1Gse5vyJKYQb_XVIWZhEhUnYN4Q3Jy/view?usp=drivesdk</v>
      </c>
      <c r="D2990" s="12"/>
      <c r="E2990" s="11">
        <v>3028.0</v>
      </c>
      <c r="F2990" s="2"/>
    </row>
    <row r="2991" ht="1.5" customHeight="1">
      <c r="A2991" s="4" t="str">
        <f>IFERROR(__xludf.DUMMYFUNCTION("""COMPUTED_VALUE"""),"40. Dumpster")</f>
        <v>40. Dumpster</v>
      </c>
      <c r="B2991" s="4" t="str">
        <f>IFERROR(__xludf.DUMMYFUNCTION("""COMPUTED_VALUE"""),"40")</f>
        <v>40</v>
      </c>
      <c r="C2991" s="5" t="str">
        <f>IFERROR(__xludf.DUMMYFUNCTION("""COMPUTED_VALUE"""),"https://drive.google.com/file/d/12HDZNNrUljXBr7JkFfUyoc3Hjk78KixX/view?usp=drivesdk")</f>
        <v>https://drive.google.com/file/d/12HDZNNrUljXBr7JkFfUyoc3Hjk78KixX/view?usp=drivesdk</v>
      </c>
      <c r="D2991" s="12"/>
      <c r="E2991" s="11">
        <v>3029.0</v>
      </c>
      <c r="F2991" s="2"/>
    </row>
    <row r="2992" ht="1.5" customHeight="1">
      <c r="A2992" s="4" t="str">
        <f>IFERROR(__xludf.DUMMYFUNCTION("""COMPUTED_VALUE"""),"44. Shitbag Cuntface, 39. Radar")</f>
        <v>44. Shitbag Cuntface, 39. Radar</v>
      </c>
      <c r="B2992" s="4" t="str">
        <f>IFERROR(__xludf.DUMMYFUNCTION("""COMPUTED_VALUE"""),"44, 39")</f>
        <v>44, 39</v>
      </c>
      <c r="C2992" s="5" t="str">
        <f>IFERROR(__xludf.DUMMYFUNCTION("""COMPUTED_VALUE"""),"https://drive.google.com/file/d/1flbJcm3LLuo8ZQwvGKQaDWFwRgItMyFd/view?usp=drivesdk")</f>
        <v>https://drive.google.com/file/d/1flbJcm3LLuo8ZQwvGKQaDWFwRgItMyFd/view?usp=drivesdk</v>
      </c>
      <c r="D2992" s="12"/>
      <c r="E2992" s="11">
        <v>3030.0</v>
      </c>
      <c r="F2992" s="2"/>
    </row>
    <row r="2993" ht="1.5" customHeight="1">
      <c r="A2993" s="4" t="str">
        <f>IFERROR(__xludf.DUMMYFUNCTION("""COMPUTED_VALUE"""),"44. Shitbag Cuntface, 39. Radar")</f>
        <v>44. Shitbag Cuntface, 39. Radar</v>
      </c>
      <c r="B2993" s="4" t="str">
        <f>IFERROR(__xludf.DUMMYFUNCTION("""COMPUTED_VALUE"""),"44, 39")</f>
        <v>44, 39</v>
      </c>
      <c r="C2993" s="5" t="str">
        <f>IFERROR(__xludf.DUMMYFUNCTION("""COMPUTED_VALUE"""),"https://drive.google.com/file/d/1RMVOyXQkUQNwX8JMGmLdlDY3wJt6i-6x/view?usp=drivesdk")</f>
        <v>https://drive.google.com/file/d/1RMVOyXQkUQNwX8JMGmLdlDY3wJt6i-6x/view?usp=drivesdk</v>
      </c>
      <c r="D2993" s="12"/>
      <c r="E2993" s="11">
        <v>3031.0</v>
      </c>
      <c r="F2993" s="2"/>
    </row>
    <row r="2994" ht="1.5" customHeight="1">
      <c r="A2994" s="4" t="str">
        <f>IFERROR(__xludf.DUMMYFUNCTION("""COMPUTED_VALUE"""),"40. Dumpster")</f>
        <v>40. Dumpster</v>
      </c>
      <c r="B2994" s="4" t="str">
        <f>IFERROR(__xludf.DUMMYFUNCTION("""COMPUTED_VALUE"""),"40")</f>
        <v>40</v>
      </c>
      <c r="C2994" s="5" t="str">
        <f>IFERROR(__xludf.DUMMYFUNCTION("""COMPUTED_VALUE"""),"https://drive.google.com/file/d/1uH1yNgDKiolkPKmToKA8RpG70DiF8OrM/view?usp=drivesdk")</f>
        <v>https://drive.google.com/file/d/1uH1yNgDKiolkPKmToKA8RpG70DiF8OrM/view?usp=drivesdk</v>
      </c>
      <c r="D2994" s="12"/>
      <c r="E2994" s="11">
        <v>3032.0</v>
      </c>
      <c r="F2994" s="2"/>
    </row>
    <row r="2995" ht="1.5" customHeight="1">
      <c r="A2995" s="4" t="str">
        <f>IFERROR(__xludf.DUMMYFUNCTION("""COMPUTED_VALUE"""),"44. Shitbag Cuntface, 39. Radar")</f>
        <v>44. Shitbag Cuntface, 39. Radar</v>
      </c>
      <c r="B2995" s="4" t="str">
        <f>IFERROR(__xludf.DUMMYFUNCTION("""COMPUTED_VALUE"""),"44, 39")</f>
        <v>44, 39</v>
      </c>
      <c r="C2995" s="5" t="str">
        <f>IFERROR(__xludf.DUMMYFUNCTION("""COMPUTED_VALUE"""),"https://drive.google.com/file/d/1G1nbWeCxxEQJAqU2AEcsoEnNdRm2HMqJ/view?usp=drivesdk")</f>
        <v>https://drive.google.com/file/d/1G1nbWeCxxEQJAqU2AEcsoEnNdRm2HMqJ/view?usp=drivesdk</v>
      </c>
      <c r="D2995" s="12"/>
      <c r="E2995" s="11">
        <v>3033.0</v>
      </c>
      <c r="F2995" s="2"/>
    </row>
    <row r="2996" ht="1.5" customHeight="1">
      <c r="A2996" s="4" t="str">
        <f>IFERROR(__xludf.DUMMYFUNCTION("""COMPUTED_VALUE"""),"44. Shitbag Cuntface, 39. Radar")</f>
        <v>44. Shitbag Cuntface, 39. Radar</v>
      </c>
      <c r="B2996" s="4" t="str">
        <f>IFERROR(__xludf.DUMMYFUNCTION("""COMPUTED_VALUE"""),"44, 39")</f>
        <v>44, 39</v>
      </c>
      <c r="C2996" s="5" t="str">
        <f>IFERROR(__xludf.DUMMYFUNCTION("""COMPUTED_VALUE"""),"https://drive.google.com/file/d/1-U6O9XbGxiU7U1nDBv8G523m1OS7RgSO/view?usp=drivesdk")</f>
        <v>https://drive.google.com/file/d/1-U6O9XbGxiU7U1nDBv8G523m1OS7RgSO/view?usp=drivesdk</v>
      </c>
      <c r="D2996" s="12"/>
      <c r="E2996" s="11">
        <v>3034.0</v>
      </c>
      <c r="F2996" s="2"/>
    </row>
    <row r="2997" ht="1.5" customHeight="1">
      <c r="A2997" s="4" t="str">
        <f>IFERROR(__xludf.DUMMYFUNCTION("""COMPUTED_VALUE"""),"44. Shitbag Cuntface, 39. Radar")</f>
        <v>44. Shitbag Cuntface, 39. Radar</v>
      </c>
      <c r="B2997" s="4" t="str">
        <f>IFERROR(__xludf.DUMMYFUNCTION("""COMPUTED_VALUE"""),"44, 39")</f>
        <v>44, 39</v>
      </c>
      <c r="C2997" s="5" t="str">
        <f>IFERROR(__xludf.DUMMYFUNCTION("""COMPUTED_VALUE"""),"https://drive.google.com/file/d/1xSH5zgvVsxqFDfH827C2MX7rdw_x-YUa/view?usp=drivesdk")</f>
        <v>https://drive.google.com/file/d/1xSH5zgvVsxqFDfH827C2MX7rdw_x-YUa/view?usp=drivesdk</v>
      </c>
      <c r="D2997" s="12"/>
      <c r="E2997" s="11">
        <v>3035.0</v>
      </c>
      <c r="F2997" s="2"/>
    </row>
    <row r="2998" ht="1.5" customHeight="1">
      <c r="A2998" s="4" t="str">
        <f>IFERROR(__xludf.DUMMYFUNCTION("""COMPUTED_VALUE"""),"44. Shitbag Cuntface, 39. Radar")</f>
        <v>44. Shitbag Cuntface, 39. Radar</v>
      </c>
      <c r="B2998" s="4" t="str">
        <f>IFERROR(__xludf.DUMMYFUNCTION("""COMPUTED_VALUE"""),"44, 39")</f>
        <v>44, 39</v>
      </c>
      <c r="C2998" s="5" t="str">
        <f>IFERROR(__xludf.DUMMYFUNCTION("""COMPUTED_VALUE"""),"https://drive.google.com/file/d/1TbkfKAxR_UCgQsyulqLxJUWElpgq__Ne/view?usp=drivesdk")</f>
        <v>https://drive.google.com/file/d/1TbkfKAxR_UCgQsyulqLxJUWElpgq__Ne/view?usp=drivesdk</v>
      </c>
      <c r="D2998" s="12"/>
      <c r="E2998" s="11">
        <v>3036.0</v>
      </c>
      <c r="F2998" s="2"/>
    </row>
    <row r="2999" ht="1.5" customHeight="1">
      <c r="A2999" s="4" t="str">
        <f>IFERROR(__xludf.DUMMYFUNCTION("""COMPUTED_VALUE"""),"41. Gregory")</f>
        <v>41. Gregory</v>
      </c>
      <c r="B2999" s="4" t="str">
        <f>IFERROR(__xludf.DUMMYFUNCTION("""COMPUTED_VALUE"""),"41")</f>
        <v>41</v>
      </c>
      <c r="C2999" s="5" t="str">
        <f>IFERROR(__xludf.DUMMYFUNCTION("""COMPUTED_VALUE"""),"https://drive.google.com/file/d/1bzPEO2RAQfXzKEmPHP5arFOoSgDFT258/view?usp=drivesdk")</f>
        <v>https://drive.google.com/file/d/1bzPEO2RAQfXzKEmPHP5arFOoSgDFT258/view?usp=drivesdk</v>
      </c>
      <c r="D2999" s="12"/>
      <c r="E2999" s="11">
        <v>3037.0</v>
      </c>
      <c r="F2999" s="2"/>
    </row>
    <row r="3000" ht="1.5" customHeight="1">
      <c r="A3000" s="4" t="str">
        <f>IFERROR(__xludf.DUMMYFUNCTION("""COMPUTED_VALUE"""),"12. Faye, 45. Boots, 44. Shitbag Cuntface, 58. Eden")</f>
        <v>12. Faye, 45. Boots, 44. Shitbag Cuntface, 58. Eden</v>
      </c>
      <c r="B3000" s="4" t="str">
        <f>IFERROR(__xludf.DUMMYFUNCTION("""COMPUTED_VALUE"""),"12, 45, 44, 58")</f>
        <v>12, 45, 44, 58</v>
      </c>
      <c r="C3000" s="5" t="str">
        <f>IFERROR(__xludf.DUMMYFUNCTION("""COMPUTED_VALUE"""),"https://drive.google.com/file/d/1PsHN1TSKKQ24qNGgYdgPSmNQuaQvGpW-/view?usp=drivesdk")</f>
        <v>https://drive.google.com/file/d/1PsHN1TSKKQ24qNGgYdgPSmNQuaQvGpW-/view?usp=drivesdk</v>
      </c>
      <c r="D3000" s="12"/>
      <c r="E3000" s="11">
        <v>3038.0</v>
      </c>
      <c r="F3000" s="2"/>
    </row>
    <row r="3001" ht="1.5" customHeight="1">
      <c r="A3001" s="4" t="str">
        <f>IFERROR(__xludf.DUMMYFUNCTION("""COMPUTED_VALUE"""),"45. Boots")</f>
        <v>45. Boots</v>
      </c>
      <c r="B3001" s="4" t="str">
        <f>IFERROR(__xludf.DUMMYFUNCTION("""COMPUTED_VALUE"""),"45")</f>
        <v>45</v>
      </c>
      <c r="C3001" s="5" t="str">
        <f>IFERROR(__xludf.DUMMYFUNCTION("""COMPUTED_VALUE"""),"https://drive.google.com/file/d/1Y69AXgCKKTsh5sbFaHZ4p2Mpk5Y6aToj/view?usp=drivesdk")</f>
        <v>https://drive.google.com/file/d/1Y69AXgCKKTsh5sbFaHZ4p2Mpk5Y6aToj/view?usp=drivesdk</v>
      </c>
      <c r="D3001" s="12"/>
      <c r="E3001" s="11">
        <v>3039.0</v>
      </c>
      <c r="F3001" s="2"/>
    </row>
    <row r="3002" ht="1.5" customHeight="1">
      <c r="A3002" s="4" t="str">
        <f>IFERROR(__xludf.DUMMYFUNCTION("""COMPUTED_VALUE"""),"45. Boots, 12. Faye, 40. Dumpster")</f>
        <v>45. Boots, 12. Faye, 40. Dumpster</v>
      </c>
      <c r="B3002" s="4" t="str">
        <f>IFERROR(__xludf.DUMMYFUNCTION("""COMPUTED_VALUE"""),"45, 12, 40")</f>
        <v>45, 12, 40</v>
      </c>
      <c r="C3002" s="5" t="str">
        <f>IFERROR(__xludf.DUMMYFUNCTION("""COMPUTED_VALUE"""),"https://drive.google.com/file/d/1qZ-WGcIBkqRtLZtMwGg-lfkW6ShbozOe/view?usp=drivesdk")</f>
        <v>https://drive.google.com/file/d/1qZ-WGcIBkqRtLZtMwGg-lfkW6ShbozOe/view?usp=drivesdk</v>
      </c>
      <c r="D3002" s="12"/>
      <c r="E3002" s="11">
        <v>3040.0</v>
      </c>
      <c r="F3002" s="2"/>
    </row>
    <row r="3003" ht="1.5" customHeight="1">
      <c r="A3003" s="4" t="str">
        <f>IFERROR(__xludf.DUMMYFUNCTION("""COMPUTED_VALUE"""),"45. Boots, 12. Faye")</f>
        <v>45. Boots, 12. Faye</v>
      </c>
      <c r="B3003" s="4" t="str">
        <f>IFERROR(__xludf.DUMMYFUNCTION("""COMPUTED_VALUE"""),"45, 12")</f>
        <v>45, 12</v>
      </c>
      <c r="C3003" s="5" t="str">
        <f>IFERROR(__xludf.DUMMYFUNCTION("""COMPUTED_VALUE"""),"https://drive.google.com/file/d/1c-rAnHRheRVTJv33-LR8DlvoHbci4ZMs/view?usp=drivesdk")</f>
        <v>https://drive.google.com/file/d/1c-rAnHRheRVTJv33-LR8DlvoHbci4ZMs/view?usp=drivesdk</v>
      </c>
      <c r="D3003" s="12"/>
      <c r="E3003" s="11">
        <v>3041.0</v>
      </c>
      <c r="F3003" s="2"/>
    </row>
    <row r="3004" ht="1.5" customHeight="1">
      <c r="A3004" s="4" t="str">
        <f>IFERROR(__xludf.DUMMYFUNCTION("""COMPUTED_VALUE"""),"41. Gregory")</f>
        <v>41. Gregory</v>
      </c>
      <c r="B3004" s="4" t="str">
        <f>IFERROR(__xludf.DUMMYFUNCTION("""COMPUTED_VALUE"""),"41")</f>
        <v>41</v>
      </c>
      <c r="C3004" s="5" t="str">
        <f>IFERROR(__xludf.DUMMYFUNCTION("""COMPUTED_VALUE"""),"https://drive.google.com/file/d/1IyhFTyVBAaKPMQErAYEJQ6V4XQUroXU1/view?usp=drivesdk")</f>
        <v>https://drive.google.com/file/d/1IyhFTyVBAaKPMQErAYEJQ6V4XQUroXU1/view?usp=drivesdk</v>
      </c>
      <c r="D3004" s="12"/>
      <c r="E3004" s="11">
        <v>3042.0</v>
      </c>
      <c r="F3004" s="2"/>
    </row>
    <row r="3005" ht="1.5" customHeight="1">
      <c r="A3005" s="4" t="str">
        <f>IFERROR(__xludf.DUMMYFUNCTION("""COMPUTED_VALUE"""),"44. Shitbag Cuntface, 39. Radar")</f>
        <v>44. Shitbag Cuntface, 39. Radar</v>
      </c>
      <c r="B3005" s="4" t="str">
        <f>IFERROR(__xludf.DUMMYFUNCTION("""COMPUTED_VALUE"""),"44, 39")</f>
        <v>44, 39</v>
      </c>
      <c r="C3005" s="5" t="str">
        <f>IFERROR(__xludf.DUMMYFUNCTION("""COMPUTED_VALUE"""),"https://drive.google.com/file/d/1RPMrLXh_7RTnociaeEbGh8kSuLaO4za4/view?usp=drivesdk")</f>
        <v>https://drive.google.com/file/d/1RPMrLXh_7RTnociaeEbGh8kSuLaO4za4/view?usp=drivesdk</v>
      </c>
      <c r="D3005" s="12"/>
      <c r="E3005" s="11">
        <v>3043.0</v>
      </c>
      <c r="F3005" s="2"/>
    </row>
    <row r="3006" ht="1.5" customHeight="1">
      <c r="A3006" s="4" t="str">
        <f>IFERROR(__xludf.DUMMYFUNCTION("""COMPUTED_VALUE"""),"45. Boots, 12. Faye, 40. Dumpster")</f>
        <v>45. Boots, 12. Faye, 40. Dumpster</v>
      </c>
      <c r="B3006" s="4" t="str">
        <f>IFERROR(__xludf.DUMMYFUNCTION("""COMPUTED_VALUE"""),"45, 12, 40")</f>
        <v>45, 12, 40</v>
      </c>
      <c r="C3006" s="5" t="str">
        <f>IFERROR(__xludf.DUMMYFUNCTION("""COMPUTED_VALUE"""),"https://drive.google.com/file/d/1ruLxjnGq49lM646N0ZyDJ3DAKrILXsib/view?usp=drivesdk")</f>
        <v>https://drive.google.com/file/d/1ruLxjnGq49lM646N0ZyDJ3DAKrILXsib/view?usp=drivesdk</v>
      </c>
      <c r="D3006" s="12"/>
      <c r="E3006" s="11">
        <v>3044.0</v>
      </c>
      <c r="F3006" s="2"/>
    </row>
    <row r="3007" ht="1.5" customHeight="1">
      <c r="A3007" s="4" t="str">
        <f>IFERROR(__xludf.DUMMYFUNCTION("""COMPUTED_VALUE"""),"41. Gregory")</f>
        <v>41. Gregory</v>
      </c>
      <c r="B3007" s="4" t="str">
        <f>IFERROR(__xludf.DUMMYFUNCTION("""COMPUTED_VALUE"""),"41")</f>
        <v>41</v>
      </c>
      <c r="C3007" s="5" t="str">
        <f>IFERROR(__xludf.DUMMYFUNCTION("""COMPUTED_VALUE"""),"https://drive.google.com/file/d/1DY5aZMJdfKf8MJkJMvqv13pKDJsNU8sr/view?usp=drivesdk")</f>
        <v>https://drive.google.com/file/d/1DY5aZMJdfKf8MJkJMvqv13pKDJsNU8sr/view?usp=drivesdk</v>
      </c>
      <c r="D3007" s="12"/>
      <c r="E3007" s="11">
        <v>3045.0</v>
      </c>
      <c r="F3007" s="2"/>
    </row>
    <row r="3008" ht="1.5" customHeight="1">
      <c r="A3008" s="4" t="str">
        <f>IFERROR(__xludf.DUMMYFUNCTION("""COMPUTED_VALUE"""),"45. Boots, 12. Faye, 40. Dumpster, 41. Gregory")</f>
        <v>45. Boots, 12. Faye, 40. Dumpster, 41. Gregory</v>
      </c>
      <c r="B3008" s="4" t="str">
        <f>IFERROR(__xludf.DUMMYFUNCTION("""COMPUTED_VALUE"""),"45, 12, 40, 41")</f>
        <v>45, 12, 40, 41</v>
      </c>
      <c r="C3008" s="5" t="str">
        <f>IFERROR(__xludf.DUMMYFUNCTION("""COMPUTED_VALUE"""),"https://drive.google.com/file/d/1ueTtvvIuhzaSV8bbA4cKK9Xqz7gHzrWo/view?usp=drivesdk")</f>
        <v>https://drive.google.com/file/d/1ueTtvvIuhzaSV8bbA4cKK9Xqz7gHzrWo/view?usp=drivesdk</v>
      </c>
      <c r="D3008" s="12"/>
      <c r="E3008" s="11">
        <v>3046.0</v>
      </c>
      <c r="F3008" s="2"/>
    </row>
    <row r="3009" ht="1.5" customHeight="1">
      <c r="A3009" s="4" t="str">
        <f>IFERROR(__xludf.DUMMYFUNCTION("""COMPUTED_VALUE"""),"41. Gregory")</f>
        <v>41. Gregory</v>
      </c>
      <c r="B3009" s="4" t="str">
        <f>IFERROR(__xludf.DUMMYFUNCTION("""COMPUTED_VALUE"""),"41")</f>
        <v>41</v>
      </c>
      <c r="C3009" s="5" t="str">
        <f>IFERROR(__xludf.DUMMYFUNCTION("""COMPUTED_VALUE"""),"https://drive.google.com/file/d/1d-2NrPPrAP3PZYdreLabyHLlSUfjze0m/view?usp=drivesdk")</f>
        <v>https://drive.google.com/file/d/1d-2NrPPrAP3PZYdreLabyHLlSUfjze0m/view?usp=drivesdk</v>
      </c>
      <c r="D3009" s="12"/>
      <c r="E3009" s="11">
        <v>3047.0</v>
      </c>
      <c r="F3009" s="2"/>
    </row>
    <row r="3010" ht="1.5" customHeight="1">
      <c r="A3010" s="4" t="str">
        <f>IFERROR(__xludf.DUMMYFUNCTION("""COMPUTED_VALUE"""),"45. Boots, 12. Faye, 40. Dumpster, 41. Gregory")</f>
        <v>45. Boots, 12. Faye, 40. Dumpster, 41. Gregory</v>
      </c>
      <c r="B3010" s="4" t="str">
        <f>IFERROR(__xludf.DUMMYFUNCTION("""COMPUTED_VALUE"""),"45, 12, 40, 41")</f>
        <v>45, 12, 40, 41</v>
      </c>
      <c r="C3010" s="5" t="str">
        <f>IFERROR(__xludf.DUMMYFUNCTION("""COMPUTED_VALUE"""),"https://drive.google.com/file/d/1LXTeoUE8ADcG6ZOsn4Ux26Ps9jZiG-vO/view?usp=drivesdk")</f>
        <v>https://drive.google.com/file/d/1LXTeoUE8ADcG6ZOsn4Ux26Ps9jZiG-vO/view?usp=drivesdk</v>
      </c>
      <c r="D3010" s="12"/>
      <c r="E3010" s="11">
        <v>3048.0</v>
      </c>
      <c r="F3010" s="2"/>
    </row>
    <row r="3011" ht="1.5" customHeight="1">
      <c r="A3011" s="4" t="str">
        <f>IFERROR(__xludf.DUMMYFUNCTION("""COMPUTED_VALUE"""),"41. Gregory")</f>
        <v>41. Gregory</v>
      </c>
      <c r="B3011" s="4" t="str">
        <f>IFERROR(__xludf.DUMMYFUNCTION("""COMPUTED_VALUE"""),"41")</f>
        <v>41</v>
      </c>
      <c r="C3011" s="5" t="str">
        <f>IFERROR(__xludf.DUMMYFUNCTION("""COMPUTED_VALUE"""),"https://drive.google.com/file/d/1TCPM143Kf7UAoAXl1xS3dYAPte9SiOdO/view?usp=drivesdk")</f>
        <v>https://drive.google.com/file/d/1TCPM143Kf7UAoAXl1xS3dYAPte9SiOdO/view?usp=drivesdk</v>
      </c>
      <c r="D3011" s="12"/>
      <c r="E3011" s="11">
        <v>3049.0</v>
      </c>
      <c r="F3011" s="2"/>
    </row>
    <row r="3012" ht="1.5" customHeight="1">
      <c r="A3012" s="4" t="str">
        <f>IFERROR(__xludf.DUMMYFUNCTION("""COMPUTED_VALUE"""),"45. Boots, 12. Faye, 58. Eden, 44. Shitbag Cuntface")</f>
        <v>45. Boots, 12. Faye, 58. Eden, 44. Shitbag Cuntface</v>
      </c>
      <c r="B3012" s="4" t="str">
        <f>IFERROR(__xludf.DUMMYFUNCTION("""COMPUTED_VALUE"""),"45, 12, 58, 44")</f>
        <v>45, 12, 58, 44</v>
      </c>
      <c r="C3012" s="5" t="str">
        <f>IFERROR(__xludf.DUMMYFUNCTION("""COMPUTED_VALUE"""),"https://drive.google.com/file/d/1YHx0ujggmwuu9inu5VOy_H9t3BLJmi2z/view?usp=drivesdk")</f>
        <v>https://drive.google.com/file/d/1YHx0ujggmwuu9inu5VOy_H9t3BLJmi2z/view?usp=drivesdk</v>
      </c>
      <c r="D3012" s="12"/>
      <c r="E3012" s="11">
        <v>3050.0</v>
      </c>
      <c r="F3012" s="2"/>
    </row>
    <row r="3013" ht="1.5" customHeight="1">
      <c r="A3013" s="4" t="str">
        <f>IFERROR(__xludf.DUMMYFUNCTION("""COMPUTED_VALUE"""),"44. Shitbag Cuntface, 39. Radar")</f>
        <v>44. Shitbag Cuntface, 39. Radar</v>
      </c>
      <c r="B3013" s="4" t="str">
        <f>IFERROR(__xludf.DUMMYFUNCTION("""COMPUTED_VALUE"""),"44, 39")</f>
        <v>44, 39</v>
      </c>
      <c r="C3013" s="5" t="str">
        <f>IFERROR(__xludf.DUMMYFUNCTION("""COMPUTED_VALUE"""),"https://drive.google.com/file/d/1pOQWPe9rye40Jy-6QKunD-c229aE6xDn/view?usp=drivesdk")</f>
        <v>https://drive.google.com/file/d/1pOQWPe9rye40Jy-6QKunD-c229aE6xDn/view?usp=drivesdk</v>
      </c>
      <c r="D3013" s="12"/>
      <c r="E3013" s="11">
        <v>3051.0</v>
      </c>
      <c r="F3013" s="2"/>
    </row>
    <row r="3014" ht="1.5" customHeight="1">
      <c r="A3014" s="4" t="str">
        <f>IFERROR(__xludf.DUMMYFUNCTION("""COMPUTED_VALUE"""),"12. Faye, 45. Boots")</f>
        <v>12. Faye, 45. Boots</v>
      </c>
      <c r="B3014" s="4" t="str">
        <f>IFERROR(__xludf.DUMMYFUNCTION("""COMPUTED_VALUE"""),"12, 45")</f>
        <v>12, 45</v>
      </c>
      <c r="C3014" s="5" t="str">
        <f>IFERROR(__xludf.DUMMYFUNCTION("""COMPUTED_VALUE"""),"https://drive.google.com/file/d/11ktykueHvKPNtUeJ9xhOPygbYsvBOueM/view?usp=drivesdk")</f>
        <v>https://drive.google.com/file/d/11ktykueHvKPNtUeJ9xhOPygbYsvBOueM/view?usp=drivesdk</v>
      </c>
      <c r="D3014" s="12"/>
      <c r="E3014" s="11">
        <v>3052.0</v>
      </c>
      <c r="F3014" s="2"/>
    </row>
    <row r="3015" ht="1.5" customHeight="1">
      <c r="A3015" s="4" t="str">
        <f>IFERROR(__xludf.DUMMYFUNCTION("""COMPUTED_VALUE"""),"45. Boots")</f>
        <v>45. Boots</v>
      </c>
      <c r="B3015" s="4" t="str">
        <f>IFERROR(__xludf.DUMMYFUNCTION("""COMPUTED_VALUE"""),"45")</f>
        <v>45</v>
      </c>
      <c r="C3015" s="5" t="str">
        <f>IFERROR(__xludf.DUMMYFUNCTION("""COMPUTED_VALUE"""),"https://drive.google.com/file/d/1mPqPEvdOd9GFPh35KDjk1vGvJhDEh57q/view?usp=drivesdk")</f>
        <v>https://drive.google.com/file/d/1mPqPEvdOd9GFPh35KDjk1vGvJhDEh57q/view?usp=drivesdk</v>
      </c>
      <c r="D3015" s="12"/>
      <c r="E3015" s="11">
        <v>3053.0</v>
      </c>
      <c r="F3015" s="2"/>
    </row>
    <row r="3016" ht="1.5" customHeight="1">
      <c r="A3016" s="4" t="str">
        <f>IFERROR(__xludf.DUMMYFUNCTION("""COMPUTED_VALUE"""),"12. Faye, 45. Boots")</f>
        <v>12. Faye, 45. Boots</v>
      </c>
      <c r="B3016" s="4" t="str">
        <f>IFERROR(__xludf.DUMMYFUNCTION("""COMPUTED_VALUE"""),"12, 45")</f>
        <v>12, 45</v>
      </c>
      <c r="C3016" s="5" t="str">
        <f>IFERROR(__xludf.DUMMYFUNCTION("""COMPUTED_VALUE"""),"https://drive.google.com/file/d/1Q2w_AM5RwFLmF8hzfVamcLz_79Flpp5o/view?usp=drivesdk")</f>
        <v>https://drive.google.com/file/d/1Q2w_AM5RwFLmF8hzfVamcLz_79Flpp5o/view?usp=drivesdk</v>
      </c>
      <c r="D3016" s="12"/>
      <c r="E3016" s="11">
        <v>3054.0</v>
      </c>
      <c r="F3016" s="2"/>
    </row>
    <row r="3017" ht="1.5" customHeight="1">
      <c r="A3017" s="4" t="str">
        <f>IFERROR(__xludf.DUMMYFUNCTION("""COMPUTED_VALUE"""),"45. Boots")</f>
        <v>45. Boots</v>
      </c>
      <c r="B3017" s="4" t="str">
        <f>IFERROR(__xludf.DUMMYFUNCTION("""COMPUTED_VALUE"""),"45")</f>
        <v>45</v>
      </c>
      <c r="C3017" s="5" t="str">
        <f>IFERROR(__xludf.DUMMYFUNCTION("""COMPUTED_VALUE"""),"https://drive.google.com/file/d/1AJfmG2WumWFw82JNIDF00lldNSAllu1H/view?usp=drivesdk")</f>
        <v>https://drive.google.com/file/d/1AJfmG2WumWFw82JNIDF00lldNSAllu1H/view?usp=drivesdk</v>
      </c>
      <c r="D3017" s="12"/>
      <c r="E3017" s="11">
        <v>3055.0</v>
      </c>
      <c r="F3017" s="2"/>
    </row>
    <row r="3018" ht="1.5" customHeight="1">
      <c r="A3018" s="4" t="str">
        <f>IFERROR(__xludf.DUMMYFUNCTION("""COMPUTED_VALUE"""),"12. Faye, 45. Boots")</f>
        <v>12. Faye, 45. Boots</v>
      </c>
      <c r="B3018" s="4" t="str">
        <f>IFERROR(__xludf.DUMMYFUNCTION("""COMPUTED_VALUE"""),"12, 45")</f>
        <v>12, 45</v>
      </c>
      <c r="C3018" s="5" t="str">
        <f>IFERROR(__xludf.DUMMYFUNCTION("""COMPUTED_VALUE"""),"https://drive.google.com/file/d/14cF8ZynDbwdcU9MtqzACMbGgX5cUjKqg/view?usp=drivesdk")</f>
        <v>https://drive.google.com/file/d/14cF8ZynDbwdcU9MtqzACMbGgX5cUjKqg/view?usp=drivesdk</v>
      </c>
      <c r="D3018" s="12"/>
      <c r="E3018" s="11">
        <v>3056.0</v>
      </c>
      <c r="F3018" s="2"/>
    </row>
    <row r="3019" ht="1.5" customHeight="1">
      <c r="A3019" s="4" t="str">
        <f>IFERROR(__xludf.DUMMYFUNCTION("""COMPUTED_VALUE"""),"45. Boots")</f>
        <v>45. Boots</v>
      </c>
      <c r="B3019" s="4" t="str">
        <f>IFERROR(__xludf.DUMMYFUNCTION("""COMPUTED_VALUE"""),"45")</f>
        <v>45</v>
      </c>
      <c r="C3019" s="5" t="str">
        <f>IFERROR(__xludf.DUMMYFUNCTION("""COMPUTED_VALUE"""),"https://drive.google.com/file/d/16sLrCijYkhlCnjS2-58RQYT-A8pcDjxN/view?usp=drivesdk")</f>
        <v>https://drive.google.com/file/d/16sLrCijYkhlCnjS2-58RQYT-A8pcDjxN/view?usp=drivesdk</v>
      </c>
      <c r="D3019" s="12"/>
      <c r="E3019" s="11">
        <v>3057.0</v>
      </c>
      <c r="F3019" s="2"/>
    </row>
    <row r="3020" ht="1.5" customHeight="1">
      <c r="A3020" s="4" t="str">
        <f>IFERROR(__xludf.DUMMYFUNCTION("""COMPUTED_VALUE"""),"45. Boots")</f>
        <v>45. Boots</v>
      </c>
      <c r="B3020" s="4" t="str">
        <f>IFERROR(__xludf.DUMMYFUNCTION("""COMPUTED_VALUE"""),"45")</f>
        <v>45</v>
      </c>
      <c r="C3020" s="5" t="str">
        <f>IFERROR(__xludf.DUMMYFUNCTION("""COMPUTED_VALUE"""),"https://drive.google.com/file/d/1rQrtg-xxT1aFIzgaKSB7Y-sEh3IYUv49/view?usp=drivesdk")</f>
        <v>https://drive.google.com/file/d/1rQrtg-xxT1aFIzgaKSB7Y-sEh3IYUv49/view?usp=drivesdk</v>
      </c>
      <c r="D3020" s="12"/>
      <c r="E3020" s="11">
        <v>3058.0</v>
      </c>
      <c r="F3020" s="2"/>
    </row>
    <row r="3021" ht="1.5" customHeight="1">
      <c r="A3021" s="4" t="str">
        <f>IFERROR(__xludf.DUMMYFUNCTION("""COMPUTED_VALUE"""),"45. Boots")</f>
        <v>45. Boots</v>
      </c>
      <c r="B3021" s="4" t="str">
        <f>IFERROR(__xludf.DUMMYFUNCTION("""COMPUTED_VALUE"""),"45")</f>
        <v>45</v>
      </c>
      <c r="C3021" s="5" t="str">
        <f>IFERROR(__xludf.DUMMYFUNCTION("""COMPUTED_VALUE"""),"https://drive.google.com/file/d/14H5B-n4r9nWwwW5-PdtZBmVXWPyEGzbc/view?usp=drivesdk")</f>
        <v>https://drive.google.com/file/d/14H5B-n4r9nWwwW5-PdtZBmVXWPyEGzbc/view?usp=drivesdk</v>
      </c>
      <c r="D3021" s="12"/>
      <c r="E3021" s="11">
        <v>3059.0</v>
      </c>
      <c r="F3021" s="2"/>
    </row>
    <row r="3022" ht="1.5" customHeight="1">
      <c r="A3022" s="4" t="str">
        <f>IFERROR(__xludf.DUMMYFUNCTION("""COMPUTED_VALUE"""),"12. Faye")</f>
        <v>12. Faye</v>
      </c>
      <c r="B3022" s="4" t="str">
        <f>IFERROR(__xludf.DUMMYFUNCTION("""COMPUTED_VALUE"""),"12")</f>
        <v>12</v>
      </c>
      <c r="C3022" s="5" t="str">
        <f>IFERROR(__xludf.DUMMYFUNCTION("""COMPUTED_VALUE"""),"https://drive.google.com/file/d/1srSNj0xtb8dmR9eW3OFmi0UgHBc1etbH/view?usp=drivesdk")</f>
        <v>https://drive.google.com/file/d/1srSNj0xtb8dmR9eW3OFmi0UgHBc1etbH/view?usp=drivesdk</v>
      </c>
      <c r="D3022" s="12"/>
      <c r="E3022" s="11">
        <v>3060.0</v>
      </c>
      <c r="F3022" s="2"/>
    </row>
    <row r="3023" ht="1.5" customHeight="1">
      <c r="A3023" s="4" t="str">
        <f>IFERROR(__xludf.DUMMYFUNCTION("""COMPUTED_VALUE"""),"12. Faye")</f>
        <v>12. Faye</v>
      </c>
      <c r="B3023" s="4" t="str">
        <f>IFERROR(__xludf.DUMMYFUNCTION("""COMPUTED_VALUE"""),"12")</f>
        <v>12</v>
      </c>
      <c r="C3023" s="5" t="str">
        <f>IFERROR(__xludf.DUMMYFUNCTION("""COMPUTED_VALUE"""),"https://drive.google.com/file/d/1gh5_V9xAjgqICFkPglJGd2VL56jAXg7W/view?usp=drivesdk")</f>
        <v>https://drive.google.com/file/d/1gh5_V9xAjgqICFkPglJGd2VL56jAXg7W/view?usp=drivesdk</v>
      </c>
      <c r="D3023" s="12"/>
      <c r="E3023" s="11">
        <v>3061.0</v>
      </c>
      <c r="F3023" s="2"/>
    </row>
    <row r="3024" ht="1.5" customHeight="1">
      <c r="A3024" s="4" t="str">
        <f>IFERROR(__xludf.DUMMYFUNCTION("""COMPUTED_VALUE"""),"45. Boots")</f>
        <v>45. Boots</v>
      </c>
      <c r="B3024" s="4" t="str">
        <f>IFERROR(__xludf.DUMMYFUNCTION("""COMPUTED_VALUE"""),"45")</f>
        <v>45</v>
      </c>
      <c r="C3024" s="5" t="str">
        <f>IFERROR(__xludf.DUMMYFUNCTION("""COMPUTED_VALUE"""),"https://drive.google.com/file/d/1jPCKxH5ppYXURHvsryHQVlVYfH0HnX7Z/view?usp=drivesdk")</f>
        <v>https://drive.google.com/file/d/1jPCKxH5ppYXURHvsryHQVlVYfH0HnX7Z/view?usp=drivesdk</v>
      </c>
      <c r="D3024" s="12"/>
      <c r="E3024" s="11">
        <v>3062.0</v>
      </c>
      <c r="F3024" s="2"/>
    </row>
    <row r="3025" ht="1.5" customHeight="1">
      <c r="A3025" s="4" t="str">
        <f>IFERROR(__xludf.DUMMYFUNCTION("""COMPUTED_VALUE"""),"44. Shitbag Cuntface, 39. Radar")</f>
        <v>44. Shitbag Cuntface, 39. Radar</v>
      </c>
      <c r="B3025" s="4" t="str">
        <f>IFERROR(__xludf.DUMMYFUNCTION("""COMPUTED_VALUE"""),"44, 39")</f>
        <v>44, 39</v>
      </c>
      <c r="C3025" s="5" t="str">
        <f>IFERROR(__xludf.DUMMYFUNCTION("""COMPUTED_VALUE"""),"https://drive.google.com/file/d/1C3EdwXvRYmpWqMYAhTU_JZQbt91HkUzu/view?usp=drivesdk")</f>
        <v>https://drive.google.com/file/d/1C3EdwXvRYmpWqMYAhTU_JZQbt91HkUzu/view?usp=drivesdk</v>
      </c>
      <c r="D3025" s="12"/>
      <c r="E3025" s="11">
        <v>3063.0</v>
      </c>
      <c r="F3025" s="2"/>
    </row>
    <row r="3026" ht="1.5" customHeight="1">
      <c r="A3026" s="4" t="str">
        <f>IFERROR(__xludf.DUMMYFUNCTION("""COMPUTED_VALUE"""),"45. Boots")</f>
        <v>45. Boots</v>
      </c>
      <c r="B3026" s="4" t="str">
        <f>IFERROR(__xludf.DUMMYFUNCTION("""COMPUTED_VALUE"""),"45")</f>
        <v>45</v>
      </c>
      <c r="C3026" s="5" t="str">
        <f>IFERROR(__xludf.DUMMYFUNCTION("""COMPUTED_VALUE"""),"https://drive.google.com/file/d/1_PWEIYZ8K62KT5FLBqP6lbslIhmkyFNz/view?usp=drivesdk")</f>
        <v>https://drive.google.com/file/d/1_PWEIYZ8K62KT5FLBqP6lbslIhmkyFNz/view?usp=drivesdk</v>
      </c>
      <c r="D3026" s="12"/>
      <c r="E3026" s="11">
        <v>3064.0</v>
      </c>
      <c r="F3026" s="2"/>
    </row>
    <row r="3027" ht="1.5" customHeight="1">
      <c r="A3027" s="4" t="str">
        <f>IFERROR(__xludf.DUMMYFUNCTION("""COMPUTED_VALUE"""),"12. Faye")</f>
        <v>12. Faye</v>
      </c>
      <c r="B3027" s="4" t="str">
        <f>IFERROR(__xludf.DUMMYFUNCTION("""COMPUTED_VALUE"""),"12")</f>
        <v>12</v>
      </c>
      <c r="C3027" s="5" t="str">
        <f>IFERROR(__xludf.DUMMYFUNCTION("""COMPUTED_VALUE"""),"https://drive.google.com/file/d/1yMlc7nzRUoAzVA4s3qA6QQzqeybuiwkE/view?usp=drivesdk")</f>
        <v>https://drive.google.com/file/d/1yMlc7nzRUoAzVA4s3qA6QQzqeybuiwkE/view?usp=drivesdk</v>
      </c>
      <c r="D3027" s="12"/>
      <c r="E3027" s="11">
        <v>3065.0</v>
      </c>
      <c r="F3027" s="2"/>
    </row>
    <row r="3028" ht="1.5" customHeight="1">
      <c r="A3028" s="4" t="str">
        <f>IFERROR(__xludf.DUMMYFUNCTION("""COMPUTED_VALUE"""),"12. Faye")</f>
        <v>12. Faye</v>
      </c>
      <c r="B3028" s="4" t="str">
        <f>IFERROR(__xludf.DUMMYFUNCTION("""COMPUTED_VALUE"""),"12")</f>
        <v>12</v>
      </c>
      <c r="C3028" s="5" t="str">
        <f>IFERROR(__xludf.DUMMYFUNCTION("""COMPUTED_VALUE"""),"https://drive.google.com/file/d/1PDvu6BLz33W-T7a1i8o6fjqtYusJRVmz/view?usp=drivesdk")</f>
        <v>https://drive.google.com/file/d/1PDvu6BLz33W-T7a1i8o6fjqtYusJRVmz/view?usp=drivesdk</v>
      </c>
      <c r="D3028" s="12"/>
      <c r="E3028" s="11">
        <v>3066.0</v>
      </c>
      <c r="F3028" s="2"/>
    </row>
    <row r="3029" ht="1.5" customHeight="1">
      <c r="A3029" s="4" t="str">
        <f>IFERROR(__xludf.DUMMYFUNCTION("""COMPUTED_VALUE"""),"45. Boots")</f>
        <v>45. Boots</v>
      </c>
      <c r="B3029" s="4" t="str">
        <f>IFERROR(__xludf.DUMMYFUNCTION("""COMPUTED_VALUE"""),"45")</f>
        <v>45</v>
      </c>
      <c r="C3029" s="5" t="str">
        <f>IFERROR(__xludf.DUMMYFUNCTION("""COMPUTED_VALUE"""),"https://drive.google.com/file/d/1mOgp9tSCwABFEIOesmUZVPKbi6IeSR-r/view?usp=drivesdk")</f>
        <v>https://drive.google.com/file/d/1mOgp9tSCwABFEIOesmUZVPKbi6IeSR-r/view?usp=drivesdk</v>
      </c>
      <c r="D3029" s="12"/>
      <c r="E3029" s="11">
        <v>3067.0</v>
      </c>
      <c r="F3029" s="2"/>
    </row>
    <row r="3030" ht="1.5" customHeight="1">
      <c r="A3030" s="4" t="str">
        <f>IFERROR(__xludf.DUMMYFUNCTION("""COMPUTED_VALUE"""),"45. Boots")</f>
        <v>45. Boots</v>
      </c>
      <c r="B3030" s="4" t="str">
        <f>IFERROR(__xludf.DUMMYFUNCTION("""COMPUTED_VALUE"""),"45")</f>
        <v>45</v>
      </c>
      <c r="C3030" s="5" t="str">
        <f>IFERROR(__xludf.DUMMYFUNCTION("""COMPUTED_VALUE"""),"https://drive.google.com/file/d/1yCwjEPCiu-93RvQmtVl3WXcvaOA2M9tE/view?usp=drivesdk")</f>
        <v>https://drive.google.com/file/d/1yCwjEPCiu-93RvQmtVl3WXcvaOA2M9tE/view?usp=drivesdk</v>
      </c>
      <c r="D3030" s="12"/>
      <c r="E3030" s="11">
        <v>3068.0</v>
      </c>
      <c r="F3030" s="2"/>
    </row>
    <row r="3031" ht="1.5" customHeight="1">
      <c r="A3031" s="3" t="str">
        <f>IFERROR(__xludf.DUMMYFUNCTION("""COMPUTED_VALUE"""),"57. Airbus A320 Neo")</f>
        <v>57. Airbus A320 Neo</v>
      </c>
      <c r="B3031" s="4" t="str">
        <f>IFERROR(__xludf.DUMMYFUNCTION("""COMPUTED_VALUE"""),"57")</f>
        <v>57</v>
      </c>
      <c r="C3031" s="5" t="str">
        <f>IFERROR(__xludf.DUMMYFUNCTION("""COMPUTED_VALUE"""),"https://drive.google.com/file/d/1Fc4dX0pMnKx0NqeEx6ZOhkwwDOrOgtBO/view?usp=drivesdk")</f>
        <v>https://drive.google.com/file/d/1Fc4dX0pMnKx0NqeEx6ZOhkwwDOrOgtBO/view?usp=drivesdk</v>
      </c>
      <c r="D3031" s="12"/>
      <c r="E3031" s="11">
        <v>3069.0</v>
      </c>
      <c r="F3031" s="2"/>
    </row>
    <row r="3032" ht="1.5" customHeight="1">
      <c r="A3032" s="4" t="str">
        <f>IFERROR(__xludf.DUMMYFUNCTION("""COMPUTED_VALUE"""),"45. Boots")</f>
        <v>45. Boots</v>
      </c>
      <c r="B3032" s="4" t="str">
        <f>IFERROR(__xludf.DUMMYFUNCTION("""COMPUTED_VALUE"""),"45")</f>
        <v>45</v>
      </c>
      <c r="C3032" s="5" t="str">
        <f>IFERROR(__xludf.DUMMYFUNCTION("""COMPUTED_VALUE"""),"https://drive.google.com/file/d/12x2fvMT_qOjyv1_NSvHMOAbOmEmp-vAI/view?usp=drivesdk")</f>
        <v>https://drive.google.com/file/d/12x2fvMT_qOjyv1_NSvHMOAbOmEmp-vAI/view?usp=drivesdk</v>
      </c>
      <c r="D3032" s="12"/>
      <c r="E3032" s="11">
        <v>3070.0</v>
      </c>
      <c r="F3032" s="2"/>
    </row>
    <row r="3033" ht="1.5" customHeight="1">
      <c r="A3033" s="4" t="str">
        <f>IFERROR(__xludf.DUMMYFUNCTION("""COMPUTED_VALUE"""),"85. Pallas")</f>
        <v>85. Pallas</v>
      </c>
      <c r="B3033" s="4" t="str">
        <f>IFERROR(__xludf.DUMMYFUNCTION("""COMPUTED_VALUE"""),"85")</f>
        <v>85</v>
      </c>
      <c r="C3033" s="5" t="str">
        <f>IFERROR(__xludf.DUMMYFUNCTION("""COMPUTED_VALUE"""),"https://drive.google.com/file/d/14tWCZa5pkI8cyFMIIns5QkGIj9xLhzIf/view?usp=drivesdk")</f>
        <v>https://drive.google.com/file/d/14tWCZa5pkI8cyFMIIns5QkGIj9xLhzIf/view?usp=drivesdk</v>
      </c>
      <c r="D3033" s="12"/>
      <c r="E3033" s="11">
        <v>3071.0</v>
      </c>
      <c r="F3033" s="2"/>
    </row>
    <row r="3034" ht="1.5" customHeight="1">
      <c r="A3034" s="4" t="str">
        <f>IFERROR(__xludf.DUMMYFUNCTION("""COMPUTED_VALUE"""),"85. Pallas")</f>
        <v>85. Pallas</v>
      </c>
      <c r="B3034" s="4" t="str">
        <f>IFERROR(__xludf.DUMMYFUNCTION("""COMPUTED_VALUE"""),"85")</f>
        <v>85</v>
      </c>
      <c r="C3034" s="5" t="str">
        <f>IFERROR(__xludf.DUMMYFUNCTION("""COMPUTED_VALUE"""),"https://drive.google.com/file/d/1UzgntndMtd0lKVMj5ytaXOcjSwZ32QiZ/view?usp=drivesdk")</f>
        <v>https://drive.google.com/file/d/1UzgntndMtd0lKVMj5ytaXOcjSwZ32QiZ/view?usp=drivesdk</v>
      </c>
      <c r="D3034" s="12"/>
      <c r="E3034" s="11">
        <v>3072.0</v>
      </c>
      <c r="F3034" s="2"/>
    </row>
    <row r="3035" ht="1.5" customHeight="1">
      <c r="A3035" s="4" t="str">
        <f>IFERROR(__xludf.DUMMYFUNCTION("""COMPUTED_VALUE"""),"85. Pallas")</f>
        <v>85. Pallas</v>
      </c>
      <c r="B3035" s="4" t="str">
        <f>IFERROR(__xludf.DUMMYFUNCTION("""COMPUTED_VALUE"""),"85")</f>
        <v>85</v>
      </c>
      <c r="C3035" s="5" t="str">
        <f>IFERROR(__xludf.DUMMYFUNCTION("""COMPUTED_VALUE"""),"https://drive.google.com/file/d/1Y7Tm5B8fyL0KrKz9Ug9DHWiVU5dWTzk_/view?usp=drivesdk")</f>
        <v>https://drive.google.com/file/d/1Y7Tm5B8fyL0KrKz9Ug9DHWiVU5dWTzk_/view?usp=drivesdk</v>
      </c>
      <c r="D3035" s="12"/>
      <c r="E3035" s="11">
        <v>3073.0</v>
      </c>
      <c r="F3035" s="2"/>
    </row>
    <row r="3036" ht="1.5" customHeight="1">
      <c r="A3036" s="3" t="str">
        <f>IFERROR(__xludf.DUMMYFUNCTION("""COMPUTED_VALUE"""),"57. Airbus A320 Neo")</f>
        <v>57. Airbus A320 Neo</v>
      </c>
      <c r="B3036" s="4" t="str">
        <f>IFERROR(__xludf.DUMMYFUNCTION("""COMPUTED_VALUE"""),"57")</f>
        <v>57</v>
      </c>
      <c r="C3036" s="5" t="str">
        <f>IFERROR(__xludf.DUMMYFUNCTION("""COMPUTED_VALUE"""),"https://drive.google.com/file/d/12Ye78MP4aMQYbCJmARTH0h3IMKjOlJkQ/view?usp=drivesdk")</f>
        <v>https://drive.google.com/file/d/12Ye78MP4aMQYbCJmARTH0h3IMKjOlJkQ/view?usp=drivesdk</v>
      </c>
      <c r="D3036" s="12"/>
      <c r="E3036" s="11">
        <v>3074.0</v>
      </c>
      <c r="F3036" s="2"/>
    </row>
    <row r="3037" ht="1.5" customHeight="1">
      <c r="A3037" s="3" t="str">
        <f>IFERROR(__xludf.DUMMYFUNCTION("""COMPUTED_VALUE"""),"57. Airbus A320 Neo")</f>
        <v>57. Airbus A320 Neo</v>
      </c>
      <c r="B3037" s="4" t="str">
        <f>IFERROR(__xludf.DUMMYFUNCTION("""COMPUTED_VALUE"""),"57")</f>
        <v>57</v>
      </c>
      <c r="C3037" s="5" t="str">
        <f>IFERROR(__xludf.DUMMYFUNCTION("""COMPUTED_VALUE"""),"https://drive.google.com/file/d/1a73mPnit2Ne7zQuJUkpAHJhtI40CdkUN/view?usp=drivesdk")</f>
        <v>https://drive.google.com/file/d/1a73mPnit2Ne7zQuJUkpAHJhtI40CdkUN/view?usp=drivesdk</v>
      </c>
      <c r="D3037" s="12"/>
      <c r="E3037" s="11">
        <v>3075.0</v>
      </c>
      <c r="F3037" s="2"/>
    </row>
    <row r="3038" ht="1.5" customHeight="1">
      <c r="A3038" s="3" t="str">
        <f>IFERROR(__xludf.DUMMYFUNCTION("""COMPUTED_VALUE"""),"57. Airbus A320 Neo")</f>
        <v>57. Airbus A320 Neo</v>
      </c>
      <c r="B3038" s="4" t="str">
        <f>IFERROR(__xludf.DUMMYFUNCTION("""COMPUTED_VALUE"""),"57")</f>
        <v>57</v>
      </c>
      <c r="C3038" s="5" t="str">
        <f>IFERROR(__xludf.DUMMYFUNCTION("""COMPUTED_VALUE"""),"https://drive.google.com/file/d/1RLxkydtXmmo3ESUaV5YqPDG4jAdd1y8X/view?usp=drivesdk")</f>
        <v>https://drive.google.com/file/d/1RLxkydtXmmo3ESUaV5YqPDG4jAdd1y8X/view?usp=drivesdk</v>
      </c>
      <c r="D3038" s="12"/>
      <c r="E3038" s="11">
        <v>3076.0</v>
      </c>
      <c r="F3038" s="2"/>
    </row>
    <row r="3039" ht="1.5" customHeight="1">
      <c r="A3039" s="3" t="str">
        <f>IFERROR(__xludf.DUMMYFUNCTION("""COMPUTED_VALUE"""),"57. Airbus A320 Neo")</f>
        <v>57. Airbus A320 Neo</v>
      </c>
      <c r="B3039" s="4" t="str">
        <f>IFERROR(__xludf.DUMMYFUNCTION("""COMPUTED_VALUE"""),"57")</f>
        <v>57</v>
      </c>
      <c r="C3039" s="5" t="str">
        <f>IFERROR(__xludf.DUMMYFUNCTION("""COMPUTED_VALUE"""),"https://drive.google.com/file/d/1W2aHuIfRhJrIrGMjcyMxl0mTWmMFEFB0/view?usp=drivesdk")</f>
        <v>https://drive.google.com/file/d/1W2aHuIfRhJrIrGMjcyMxl0mTWmMFEFB0/view?usp=drivesdk</v>
      </c>
      <c r="D3039" s="12"/>
      <c r="E3039" s="11">
        <v>3077.0</v>
      </c>
      <c r="F3039" s="2"/>
    </row>
    <row r="3040" ht="1.5" customHeight="1">
      <c r="A3040" s="3" t="str">
        <f>IFERROR(__xludf.DUMMYFUNCTION("""COMPUTED_VALUE"""),"57. Airbus A320 Neo")</f>
        <v>57. Airbus A320 Neo</v>
      </c>
      <c r="B3040" s="4" t="str">
        <f>IFERROR(__xludf.DUMMYFUNCTION("""COMPUTED_VALUE"""),"57")</f>
        <v>57</v>
      </c>
      <c r="C3040" s="5" t="str">
        <f>IFERROR(__xludf.DUMMYFUNCTION("""COMPUTED_VALUE"""),"https://drive.google.com/file/d/1R-MeuibLLpyX1H5-nvua7J6hQHMEoExk/view?usp=drivesdk")</f>
        <v>https://drive.google.com/file/d/1R-MeuibLLpyX1H5-nvua7J6hQHMEoExk/view?usp=drivesdk</v>
      </c>
      <c r="D3040" s="12"/>
      <c r="E3040" s="11">
        <v>3078.0</v>
      </c>
      <c r="F3040" s="2"/>
    </row>
    <row r="3041" ht="1.5" customHeight="1">
      <c r="A3041" s="3" t="str">
        <f>IFERROR(__xludf.DUMMYFUNCTION("""COMPUTED_VALUE"""),"57. Airbus A320 Neo")</f>
        <v>57. Airbus A320 Neo</v>
      </c>
      <c r="B3041" s="4" t="str">
        <f>IFERROR(__xludf.DUMMYFUNCTION("""COMPUTED_VALUE"""),"57")</f>
        <v>57</v>
      </c>
      <c r="C3041" s="5" t="str">
        <f>IFERROR(__xludf.DUMMYFUNCTION("""COMPUTED_VALUE"""),"https://drive.google.com/file/d/1gCd1azEaNj3aHcIff2aWjRk2B1aL4srg/view?usp=drivesdk")</f>
        <v>https://drive.google.com/file/d/1gCd1azEaNj3aHcIff2aWjRk2B1aL4srg/view?usp=drivesdk</v>
      </c>
      <c r="D3041" s="12"/>
      <c r="E3041" s="11">
        <v>3079.0</v>
      </c>
      <c r="F3041" s="2"/>
    </row>
    <row r="3042" ht="1.5" customHeight="1">
      <c r="A3042" s="4" t="str">
        <f>IFERROR(__xludf.DUMMYFUNCTION("""COMPUTED_VALUE"""),"85. Pallas")</f>
        <v>85. Pallas</v>
      </c>
      <c r="B3042" s="4" t="str">
        <f>IFERROR(__xludf.DUMMYFUNCTION("""COMPUTED_VALUE"""),"85")</f>
        <v>85</v>
      </c>
      <c r="C3042" s="5" t="str">
        <f>IFERROR(__xludf.DUMMYFUNCTION("""COMPUTED_VALUE"""),"https://drive.google.com/file/d/1nvfmn0b06xbfnzBsgOWcBpNLyplJUPs0/view?usp=drivesdk")</f>
        <v>https://drive.google.com/file/d/1nvfmn0b06xbfnzBsgOWcBpNLyplJUPs0/view?usp=drivesdk</v>
      </c>
      <c r="D3042" s="12"/>
      <c r="E3042" s="11">
        <v>3080.0</v>
      </c>
      <c r="F3042" s="2"/>
    </row>
    <row r="3043" ht="1.5" customHeight="1">
      <c r="A3043" s="4" t="str">
        <f>IFERROR(__xludf.DUMMYFUNCTION("""COMPUTED_VALUE"""),"45. Boots")</f>
        <v>45. Boots</v>
      </c>
      <c r="B3043" s="4" t="str">
        <f>IFERROR(__xludf.DUMMYFUNCTION("""COMPUTED_VALUE"""),"45")</f>
        <v>45</v>
      </c>
      <c r="C3043" s="5" t="str">
        <f>IFERROR(__xludf.DUMMYFUNCTION("""COMPUTED_VALUE"""),"https://drive.google.com/file/d/1kbAjTR_70qfF3RExIEoWcUvL0NknLWtO/view?usp=drivesdk")</f>
        <v>https://drive.google.com/file/d/1kbAjTR_70qfF3RExIEoWcUvL0NknLWtO/view?usp=drivesdk</v>
      </c>
      <c r="D3043" s="12"/>
      <c r="E3043" s="11">
        <v>3081.0</v>
      </c>
      <c r="F3043" s="2"/>
    </row>
    <row r="3044" ht="1.5" customHeight="1">
      <c r="A3044" s="4" t="str">
        <f>IFERROR(__xludf.DUMMYFUNCTION("""COMPUTED_VALUE"""),"85. Pallas")</f>
        <v>85. Pallas</v>
      </c>
      <c r="B3044" s="4" t="str">
        <f>IFERROR(__xludf.DUMMYFUNCTION("""COMPUTED_VALUE"""),"85")</f>
        <v>85</v>
      </c>
      <c r="C3044" s="5" t="str">
        <f>IFERROR(__xludf.DUMMYFUNCTION("""COMPUTED_VALUE"""),"https://drive.google.com/file/d/1LRxWQFJqaOxHY_9FiNH1Y2k5ilHItWPz/view?usp=drivesdk")</f>
        <v>https://drive.google.com/file/d/1LRxWQFJqaOxHY_9FiNH1Y2k5ilHItWPz/view?usp=drivesdk</v>
      </c>
      <c r="D3044" s="12"/>
      <c r="E3044" s="11">
        <v>3082.0</v>
      </c>
      <c r="F3044" s="2"/>
    </row>
    <row r="3045" ht="1.5" customHeight="1">
      <c r="A3045" s="3" t="str">
        <f>IFERROR(__xludf.DUMMYFUNCTION("""COMPUTED_VALUE"""),"57. Airbus A320 Neo")</f>
        <v>57. Airbus A320 Neo</v>
      </c>
      <c r="B3045" s="4" t="str">
        <f>IFERROR(__xludf.DUMMYFUNCTION("""COMPUTED_VALUE"""),"57")</f>
        <v>57</v>
      </c>
      <c r="C3045" s="5" t="str">
        <f>IFERROR(__xludf.DUMMYFUNCTION("""COMPUTED_VALUE"""),"https://drive.google.com/file/d/1lTO_lM2ZHQxWniSi8wzuDaKl5Ty0VhOp/view?usp=drivesdk")</f>
        <v>https://drive.google.com/file/d/1lTO_lM2ZHQxWniSi8wzuDaKl5Ty0VhOp/view?usp=drivesdk</v>
      </c>
      <c r="D3045" s="12"/>
      <c r="E3045" s="11">
        <v>3083.0</v>
      </c>
      <c r="F3045" s="2"/>
    </row>
    <row r="3046" ht="1.5" customHeight="1">
      <c r="A3046" s="4" t="str">
        <f>IFERROR(__xludf.DUMMYFUNCTION("""COMPUTED_VALUE"""),"45. Boots")</f>
        <v>45. Boots</v>
      </c>
      <c r="B3046" s="4" t="str">
        <f>IFERROR(__xludf.DUMMYFUNCTION("""COMPUTED_VALUE"""),"45")</f>
        <v>45</v>
      </c>
      <c r="C3046" s="5" t="str">
        <f>IFERROR(__xludf.DUMMYFUNCTION("""COMPUTED_VALUE"""),"https://drive.google.com/file/d/1fCyHURRBZl_lG28UffdwD5Lova34wDpf/view?usp=drivesdk")</f>
        <v>https://drive.google.com/file/d/1fCyHURRBZl_lG28UffdwD5Lova34wDpf/view?usp=drivesdk</v>
      </c>
      <c r="D3046" s="12"/>
      <c r="E3046" s="11">
        <v>3084.0</v>
      </c>
      <c r="F3046" s="2"/>
    </row>
    <row r="3047" ht="1.5" customHeight="1">
      <c r="A3047" s="4" t="str">
        <f>IFERROR(__xludf.DUMMYFUNCTION("""COMPUTED_VALUE"""),"45. Boots, 12. Faye, 41. Gregory")</f>
        <v>45. Boots, 12. Faye, 41. Gregory</v>
      </c>
      <c r="B3047" s="4" t="str">
        <f>IFERROR(__xludf.DUMMYFUNCTION("""COMPUTED_VALUE"""),"45, 12, 41")</f>
        <v>45, 12, 41</v>
      </c>
      <c r="C3047" s="5" t="str">
        <f>IFERROR(__xludf.DUMMYFUNCTION("""COMPUTED_VALUE"""),"https://drive.google.com/file/d/1T9AseAyW37MFefeEkHEOFOaOV9cceUok/view?usp=drivesdk")</f>
        <v>https://drive.google.com/file/d/1T9AseAyW37MFefeEkHEOFOaOV9cceUok/view?usp=drivesdk</v>
      </c>
      <c r="D3047" s="12"/>
      <c r="E3047" s="11">
        <v>3085.0</v>
      </c>
      <c r="F3047" s="2"/>
    </row>
    <row r="3048" ht="1.5" customHeight="1">
      <c r="A3048" s="4" t="str">
        <f>IFERROR(__xludf.DUMMYFUNCTION("""COMPUTED_VALUE"""),"86. Honda")</f>
        <v>86. Honda</v>
      </c>
      <c r="B3048" s="4" t="str">
        <f>IFERROR(__xludf.DUMMYFUNCTION("""COMPUTED_VALUE"""),"86")</f>
        <v>86</v>
      </c>
      <c r="C3048" s="5" t="str">
        <f>IFERROR(__xludf.DUMMYFUNCTION("""COMPUTED_VALUE"""),"https://drive.google.com/file/d/19kBVbGQqN9tIK7qgmUbMuLKA_-d9QsR3/view?usp=drivesdk")</f>
        <v>https://drive.google.com/file/d/19kBVbGQqN9tIK7qgmUbMuLKA_-d9QsR3/view?usp=drivesdk</v>
      </c>
      <c r="D3048" s="12"/>
      <c r="E3048" s="11">
        <v>3086.0</v>
      </c>
      <c r="F3048" s="2"/>
    </row>
    <row r="3049" ht="1.5" customHeight="1">
      <c r="A3049" s="4" t="str">
        <f>IFERROR(__xludf.DUMMYFUNCTION("""COMPUTED_VALUE"""),"41. Gregory")</f>
        <v>41. Gregory</v>
      </c>
      <c r="B3049" s="4" t="str">
        <f>IFERROR(__xludf.DUMMYFUNCTION("""COMPUTED_VALUE"""),"41")</f>
        <v>41</v>
      </c>
      <c r="C3049" s="5" t="str">
        <f>IFERROR(__xludf.DUMMYFUNCTION("""COMPUTED_VALUE"""),"https://drive.google.com/file/d/1IP0yFe-Fx1yJdhTovP5OKVd6oZ3hazRj/view?usp=drivesdk")</f>
        <v>https://drive.google.com/file/d/1IP0yFe-Fx1yJdhTovP5OKVd6oZ3hazRj/view?usp=drivesdk</v>
      </c>
      <c r="D3049" s="12"/>
      <c r="E3049" s="11">
        <v>3087.0</v>
      </c>
      <c r="F3049" s="2"/>
    </row>
    <row r="3050" ht="1.5" customHeight="1">
      <c r="A3050" s="4" t="str">
        <f>IFERROR(__xludf.DUMMYFUNCTION("""COMPUTED_VALUE"""),"86. Honda")</f>
        <v>86. Honda</v>
      </c>
      <c r="B3050" s="4" t="str">
        <f>IFERROR(__xludf.DUMMYFUNCTION("""COMPUTED_VALUE"""),"86")</f>
        <v>86</v>
      </c>
      <c r="C3050" s="5" t="str">
        <f>IFERROR(__xludf.DUMMYFUNCTION("""COMPUTED_VALUE"""),"https://drive.google.com/file/d/1_xx2e6qH33S8cA_facdCTihMoeEmhUoI/view?usp=drivesdk")</f>
        <v>https://drive.google.com/file/d/1_xx2e6qH33S8cA_facdCTihMoeEmhUoI/view?usp=drivesdk</v>
      </c>
      <c r="D3050" s="12"/>
      <c r="E3050" s="11">
        <v>3088.0</v>
      </c>
      <c r="F3050" s="2"/>
    </row>
    <row r="3051" ht="1.5" customHeight="1">
      <c r="A3051" s="4" t="str">
        <f>IFERROR(__xludf.DUMMYFUNCTION("""COMPUTED_VALUE"""),"45. Boots, 12. Faye, 41. Gregory")</f>
        <v>45. Boots, 12. Faye, 41. Gregory</v>
      </c>
      <c r="B3051" s="4" t="str">
        <f>IFERROR(__xludf.DUMMYFUNCTION("""COMPUTED_VALUE"""),"45, 12, 41")</f>
        <v>45, 12, 41</v>
      </c>
      <c r="C3051" s="5" t="str">
        <f>IFERROR(__xludf.DUMMYFUNCTION("""COMPUTED_VALUE"""),"https://drive.google.com/file/d/1f6YFkNpqfRNyet5VStFEwtpLDjmAHuxm/view?usp=drivesdk")</f>
        <v>https://drive.google.com/file/d/1f6YFkNpqfRNyet5VStFEwtpLDjmAHuxm/view?usp=drivesdk</v>
      </c>
      <c r="D3051" s="12"/>
      <c r="E3051" s="11">
        <v>3089.0</v>
      </c>
      <c r="F3051" s="2"/>
    </row>
    <row r="3052" ht="1.5" customHeight="1">
      <c r="A3052" s="4" t="str">
        <f>IFERROR(__xludf.DUMMYFUNCTION("""COMPUTED_VALUE"""),"45. Boots, 12. Faye, 41. Gregory")</f>
        <v>45. Boots, 12. Faye, 41. Gregory</v>
      </c>
      <c r="B3052" s="4" t="str">
        <f>IFERROR(__xludf.DUMMYFUNCTION("""COMPUTED_VALUE"""),"45, 12, 41")</f>
        <v>45, 12, 41</v>
      </c>
      <c r="C3052" s="5" t="str">
        <f>IFERROR(__xludf.DUMMYFUNCTION("""COMPUTED_VALUE"""),"https://drive.google.com/file/d/1tFWA9diQIAGqO7qSRKjBf9rurlKDwqC8/view?usp=drivesdk")</f>
        <v>https://drive.google.com/file/d/1tFWA9diQIAGqO7qSRKjBf9rurlKDwqC8/view?usp=drivesdk</v>
      </c>
      <c r="D3052" s="12"/>
      <c r="E3052" s="11">
        <v>3090.0</v>
      </c>
      <c r="F3052" s="2"/>
    </row>
    <row r="3053" ht="1.5" customHeight="1">
      <c r="A3053" s="4" t="str">
        <f>IFERROR(__xludf.DUMMYFUNCTION("""COMPUTED_VALUE"""),"45. Boots, 41. Gregory, 42. Rubber")</f>
        <v>45. Boots, 41. Gregory, 42. Rubber</v>
      </c>
      <c r="B3053" s="4" t="str">
        <f>IFERROR(__xludf.DUMMYFUNCTION("""COMPUTED_VALUE"""),"45, 41, 42")</f>
        <v>45, 41, 42</v>
      </c>
      <c r="C3053" s="5" t="str">
        <f>IFERROR(__xludf.DUMMYFUNCTION("""COMPUTED_VALUE"""),"https://drive.google.com/file/d/1yVttwZUSJ_h-YFzI1OEL-vgdmmYrdCGG/view?usp=drivesdk")</f>
        <v>https://drive.google.com/file/d/1yVttwZUSJ_h-YFzI1OEL-vgdmmYrdCGG/view?usp=drivesdk</v>
      </c>
      <c r="D3053" s="12"/>
      <c r="E3053" s="11">
        <v>3091.0</v>
      </c>
      <c r="F3053" s="2"/>
    </row>
    <row r="3054" ht="1.5" customHeight="1">
      <c r="A3054" s="4" t="str">
        <f>IFERROR(__xludf.DUMMYFUNCTION("""COMPUTED_VALUE"""),"42. Rubber")</f>
        <v>42. Rubber</v>
      </c>
      <c r="B3054" s="4" t="str">
        <f>IFERROR(__xludf.DUMMYFUNCTION("""COMPUTED_VALUE"""),"42")</f>
        <v>42</v>
      </c>
      <c r="C3054" s="5" t="str">
        <f>IFERROR(__xludf.DUMMYFUNCTION("""COMPUTED_VALUE"""),"https://drive.google.com/file/d/18LlX8ZlCES08g9Fr955sys--PXUWKUvA/view?usp=drivesdk")</f>
        <v>https://drive.google.com/file/d/18LlX8ZlCES08g9Fr955sys--PXUWKUvA/view?usp=drivesdk</v>
      </c>
      <c r="D3054" s="12"/>
      <c r="E3054" s="11">
        <v>3092.0</v>
      </c>
      <c r="F3054" s="2"/>
    </row>
    <row r="3055" ht="1.5" customHeight="1">
      <c r="A3055" s="4" t="str">
        <f>IFERROR(__xludf.DUMMYFUNCTION("""COMPUTED_VALUE"""),"42. Rubber")</f>
        <v>42. Rubber</v>
      </c>
      <c r="B3055" s="4" t="str">
        <f>IFERROR(__xludf.DUMMYFUNCTION("""COMPUTED_VALUE"""),"42")</f>
        <v>42</v>
      </c>
      <c r="C3055" s="5" t="str">
        <f>IFERROR(__xludf.DUMMYFUNCTION("""COMPUTED_VALUE"""),"https://drive.google.com/file/d/1GkgzImAu5pARFk_CbNzioIqzJ6qzwkoq/view?usp=drivesdk")</f>
        <v>https://drive.google.com/file/d/1GkgzImAu5pARFk_CbNzioIqzJ6qzwkoq/view?usp=drivesdk</v>
      </c>
      <c r="D3055" s="12"/>
      <c r="E3055" s="11">
        <v>3093.0</v>
      </c>
      <c r="F3055" s="2"/>
    </row>
    <row r="3056" ht="1.5" customHeight="1">
      <c r="A3056" s="4" t="str">
        <f>IFERROR(__xludf.DUMMYFUNCTION("""COMPUTED_VALUE"""),"42. Rubber, 41. Gregory")</f>
        <v>42. Rubber, 41. Gregory</v>
      </c>
      <c r="B3056" s="4" t="str">
        <f>IFERROR(__xludf.DUMMYFUNCTION("""COMPUTED_VALUE"""),"42, 41")</f>
        <v>42, 41</v>
      </c>
      <c r="C3056" s="5" t="str">
        <f>IFERROR(__xludf.DUMMYFUNCTION("""COMPUTED_VALUE"""),"https://drive.google.com/file/d/1eSnTfW2GzXriAFexWBWWtU1gwH7Qw3nQ/view?usp=drivesdk")</f>
        <v>https://drive.google.com/file/d/1eSnTfW2GzXriAFexWBWWtU1gwH7Qw3nQ/view?usp=drivesdk</v>
      </c>
      <c r="D3056" s="12"/>
      <c r="E3056" s="11">
        <v>3094.0</v>
      </c>
      <c r="F3056" s="2"/>
    </row>
    <row r="3057" ht="1.5" customHeight="1">
      <c r="A3057" s="4" t="str">
        <f>IFERROR(__xludf.DUMMYFUNCTION("""COMPUTED_VALUE"""),"41. Gregory")</f>
        <v>41. Gregory</v>
      </c>
      <c r="B3057" s="4" t="str">
        <f>IFERROR(__xludf.DUMMYFUNCTION("""COMPUTED_VALUE"""),"41")</f>
        <v>41</v>
      </c>
      <c r="C3057" s="5" t="str">
        <f>IFERROR(__xludf.DUMMYFUNCTION("""COMPUTED_VALUE"""),"https://drive.google.com/file/d/1ZxGsKWPTCCvFRkLHbteZVEWSb6k76PNU/view?usp=drivesdk")</f>
        <v>https://drive.google.com/file/d/1ZxGsKWPTCCvFRkLHbteZVEWSb6k76PNU/view?usp=drivesdk</v>
      </c>
      <c r="D3057" s="12"/>
      <c r="E3057" s="11">
        <v>3095.0</v>
      </c>
      <c r="F3057" s="2"/>
    </row>
    <row r="3058" ht="1.5" customHeight="1">
      <c r="A3058" s="4" t="str">
        <f>IFERROR(__xludf.DUMMYFUNCTION("""COMPUTED_VALUE"""),"86. Honda")</f>
        <v>86. Honda</v>
      </c>
      <c r="B3058" s="4" t="str">
        <f>IFERROR(__xludf.DUMMYFUNCTION("""COMPUTED_VALUE"""),"86")</f>
        <v>86</v>
      </c>
      <c r="C3058" s="5" t="str">
        <f>IFERROR(__xludf.DUMMYFUNCTION("""COMPUTED_VALUE"""),"https://drive.google.com/file/d/1XnWrlUF5JXP4ATaYvNPjxaJH-UhqEHdI/view?usp=drivesdk")</f>
        <v>https://drive.google.com/file/d/1XnWrlUF5JXP4ATaYvNPjxaJH-UhqEHdI/view?usp=drivesdk</v>
      </c>
      <c r="D3058" s="12"/>
      <c r="E3058" s="11">
        <v>3096.0</v>
      </c>
      <c r="F3058" s="2"/>
    </row>
    <row r="3059" ht="1.5" customHeight="1">
      <c r="A3059" s="4" t="str">
        <f>IFERROR(__xludf.DUMMYFUNCTION("""COMPUTED_VALUE"""),"41. Gregory")</f>
        <v>41. Gregory</v>
      </c>
      <c r="B3059" s="4" t="str">
        <f>IFERROR(__xludf.DUMMYFUNCTION("""COMPUTED_VALUE"""),"41")</f>
        <v>41</v>
      </c>
      <c r="C3059" s="5" t="str">
        <f>IFERROR(__xludf.DUMMYFUNCTION("""COMPUTED_VALUE"""),"https://drive.google.com/file/d/14N5GcDmb62t4mAGW3yaGZQhoa4ToJHEQ/view?usp=drivesdk")</f>
        <v>https://drive.google.com/file/d/14N5GcDmb62t4mAGW3yaGZQhoa4ToJHEQ/view?usp=drivesdk</v>
      </c>
      <c r="D3059" s="12"/>
      <c r="E3059" s="11">
        <v>3097.0</v>
      </c>
      <c r="F3059" s="2"/>
    </row>
    <row r="3060" ht="1.5" customHeight="1">
      <c r="A3060" s="4" t="str">
        <f>IFERROR(__xludf.DUMMYFUNCTION("""COMPUTED_VALUE"""),"45. Boots")</f>
        <v>45. Boots</v>
      </c>
      <c r="B3060" s="4" t="str">
        <f>IFERROR(__xludf.DUMMYFUNCTION("""COMPUTED_VALUE"""),"45")</f>
        <v>45</v>
      </c>
      <c r="C3060" s="5" t="str">
        <f>IFERROR(__xludf.DUMMYFUNCTION("""COMPUTED_VALUE"""),"https://drive.google.com/file/d/1Q9E6aHsM5D9j8Y28d7aJZrcWKPeomZ_U/view?usp=drivesdk")</f>
        <v>https://drive.google.com/file/d/1Q9E6aHsM5D9j8Y28d7aJZrcWKPeomZ_U/view?usp=drivesdk</v>
      </c>
      <c r="D3060" s="12"/>
      <c r="E3060" s="11">
        <v>3098.0</v>
      </c>
      <c r="F3060" s="2"/>
    </row>
    <row r="3061" ht="1.5" customHeight="1">
      <c r="A3061" s="4" t="str">
        <f>IFERROR(__xludf.DUMMYFUNCTION("""COMPUTED_VALUE"""),"86. Honda")</f>
        <v>86. Honda</v>
      </c>
      <c r="B3061" s="4" t="str">
        <f>IFERROR(__xludf.DUMMYFUNCTION("""COMPUTED_VALUE"""),"86")</f>
        <v>86</v>
      </c>
      <c r="C3061" s="5" t="str">
        <f>IFERROR(__xludf.DUMMYFUNCTION("""COMPUTED_VALUE"""),"https://drive.google.com/file/d/17mOhT2SD3dkLmU2K9P3i8vYnrGcMDNsu/view?usp=drivesdk")</f>
        <v>https://drive.google.com/file/d/17mOhT2SD3dkLmU2K9P3i8vYnrGcMDNsu/view?usp=drivesdk</v>
      </c>
      <c r="D3061" s="12"/>
      <c r="E3061" s="11">
        <v>3099.0</v>
      </c>
      <c r="F3061" s="2"/>
    </row>
    <row r="3062" ht="1.5" customHeight="1">
      <c r="A3062" s="4" t="str">
        <f>IFERROR(__xludf.DUMMYFUNCTION("""COMPUTED_VALUE"""),"41. Gregory")</f>
        <v>41. Gregory</v>
      </c>
      <c r="B3062" s="4" t="str">
        <f>IFERROR(__xludf.DUMMYFUNCTION("""COMPUTED_VALUE"""),"41")</f>
        <v>41</v>
      </c>
      <c r="C3062" s="5" t="str">
        <f>IFERROR(__xludf.DUMMYFUNCTION("""COMPUTED_VALUE"""),"https://drive.google.com/file/d/1Dq-HJ4hbQcIneizX6QYlMtgBd38UNNR1/view?usp=drivesdk")</f>
        <v>https://drive.google.com/file/d/1Dq-HJ4hbQcIneizX6QYlMtgBd38UNNR1/view?usp=drivesdk</v>
      </c>
      <c r="D3062" s="12"/>
      <c r="E3062" s="11">
        <v>3100.0</v>
      </c>
      <c r="F3062" s="2"/>
    </row>
    <row r="3063" ht="1.5" customHeight="1">
      <c r="A3063" s="4" t="str">
        <f>IFERROR(__xludf.DUMMYFUNCTION("""COMPUTED_VALUE"""),"45. Boots")</f>
        <v>45. Boots</v>
      </c>
      <c r="B3063" s="4" t="str">
        <f>IFERROR(__xludf.DUMMYFUNCTION("""COMPUTED_VALUE"""),"45")</f>
        <v>45</v>
      </c>
      <c r="C3063" s="5" t="str">
        <f>IFERROR(__xludf.DUMMYFUNCTION("""COMPUTED_VALUE"""),"https://drive.google.com/file/d/10P3LAk4NauaWLacahXnbhnXqZCArHVTm/view?usp=drivesdk")</f>
        <v>https://drive.google.com/file/d/10P3LAk4NauaWLacahXnbhnXqZCArHVTm/view?usp=drivesdk</v>
      </c>
      <c r="D3063" s="12"/>
      <c r="E3063" s="11">
        <v>3101.0</v>
      </c>
      <c r="F3063" s="2"/>
    </row>
    <row r="3064" ht="1.5" customHeight="1">
      <c r="A3064" s="4" t="str">
        <f>IFERROR(__xludf.DUMMYFUNCTION("""COMPUTED_VALUE"""),"45. Boots")</f>
        <v>45. Boots</v>
      </c>
      <c r="B3064" s="4" t="str">
        <f>IFERROR(__xludf.DUMMYFUNCTION("""COMPUTED_VALUE"""),"45")</f>
        <v>45</v>
      </c>
      <c r="C3064" s="5" t="str">
        <f>IFERROR(__xludf.DUMMYFUNCTION("""COMPUTED_VALUE"""),"https://drive.google.com/file/d/1kuAxAC8qBhHWoGRhFRwGqu9eEow8-JDj/view?usp=drivesdk")</f>
        <v>https://drive.google.com/file/d/1kuAxAC8qBhHWoGRhFRwGqu9eEow8-JDj/view?usp=drivesdk</v>
      </c>
      <c r="D3064" s="12"/>
      <c r="E3064" s="11">
        <v>3102.0</v>
      </c>
      <c r="F3064" s="2"/>
    </row>
    <row r="3065" ht="1.5" customHeight="1">
      <c r="A3065" s="4" t="str">
        <f>IFERROR(__xludf.DUMMYFUNCTION("""COMPUTED_VALUE"""),"0. NotACat")</f>
        <v>0. NotACat</v>
      </c>
      <c r="B3065" s="4" t="str">
        <f>IFERROR(__xludf.DUMMYFUNCTION("""COMPUTED_VALUE"""),"0")</f>
        <v>0</v>
      </c>
      <c r="C3065" s="5" t="str">
        <f>IFERROR(__xludf.DUMMYFUNCTION("""COMPUTED_VALUE"""),"https://drive.google.com/file/d/1GA2-pH7hPPIQoOS1u8FD54f_ukVXCfDj/view?usp=drivesdk")</f>
        <v>https://drive.google.com/file/d/1GA2-pH7hPPIQoOS1u8FD54f_ukVXCfDj/view?usp=drivesdk</v>
      </c>
      <c r="D3065" s="12"/>
      <c r="E3065" s="11">
        <v>3103.0</v>
      </c>
      <c r="F3065" s="2"/>
    </row>
    <row r="3066" ht="1.5" customHeight="1">
      <c r="A3066" s="3" t="str">
        <f>IFERROR(__xludf.DUMMYFUNCTION("""COMPUTED_VALUE"""),"57. Airbus A320 Neo")</f>
        <v>57. Airbus A320 Neo</v>
      </c>
      <c r="B3066" s="4" t="str">
        <f>IFERROR(__xludf.DUMMYFUNCTION("""COMPUTED_VALUE"""),"57")</f>
        <v>57</v>
      </c>
      <c r="C3066" s="5" t="str">
        <f>IFERROR(__xludf.DUMMYFUNCTION("""COMPUTED_VALUE"""),"https://drive.google.com/file/d/1qrrvB3OwuzEd7gk7u23LDMc7VH0gcxY_/view?usp=drivesdk")</f>
        <v>https://drive.google.com/file/d/1qrrvB3OwuzEd7gk7u23LDMc7VH0gcxY_/view?usp=drivesdk</v>
      </c>
      <c r="D3066" s="12"/>
      <c r="E3066" s="11">
        <v>3104.0</v>
      </c>
      <c r="F3066" s="2"/>
    </row>
    <row r="3067" ht="1.5" customHeight="1">
      <c r="A3067" s="3" t="str">
        <f>IFERROR(__xludf.DUMMYFUNCTION("""COMPUTED_VALUE"""),"57. Airbus A320 Neo")</f>
        <v>57. Airbus A320 Neo</v>
      </c>
      <c r="B3067" s="4" t="str">
        <f>IFERROR(__xludf.DUMMYFUNCTION("""COMPUTED_VALUE"""),"57")</f>
        <v>57</v>
      </c>
      <c r="C3067" s="5" t="str">
        <f>IFERROR(__xludf.DUMMYFUNCTION("""COMPUTED_VALUE"""),"https://drive.google.com/file/d/1zqS2Yw9g0oxvciMTyUVA1ajEF-s2PCd7/view?usp=drivesdk")</f>
        <v>https://drive.google.com/file/d/1zqS2Yw9g0oxvciMTyUVA1ajEF-s2PCd7/view?usp=drivesdk</v>
      </c>
      <c r="D3067" s="12"/>
      <c r="E3067" s="11">
        <v>3105.0</v>
      </c>
      <c r="F3067" s="2"/>
    </row>
    <row r="3068" ht="1.5" customHeight="1">
      <c r="A3068" s="4" t="str">
        <f>IFERROR(__xludf.DUMMYFUNCTION("""COMPUTED_VALUE"""),"0. NotACat")</f>
        <v>0. NotACat</v>
      </c>
      <c r="B3068" s="4" t="str">
        <f>IFERROR(__xludf.DUMMYFUNCTION("""COMPUTED_VALUE"""),"0")</f>
        <v>0</v>
      </c>
      <c r="C3068" s="5" t="str">
        <f>IFERROR(__xludf.DUMMYFUNCTION("""COMPUTED_VALUE"""),"https://drive.google.com/file/d/1O06xdvXhclNdAaEGhPG7bo7ZBYjnQyxu/view?usp=drivesdk")</f>
        <v>https://drive.google.com/file/d/1O06xdvXhclNdAaEGhPG7bo7ZBYjnQyxu/view?usp=drivesdk</v>
      </c>
      <c r="D3068" s="12"/>
      <c r="E3068" s="11">
        <v>3106.0</v>
      </c>
      <c r="F3068" s="2"/>
    </row>
    <row r="3069" ht="1.5" customHeight="1">
      <c r="A3069" s="4" t="str">
        <f>IFERROR(__xludf.DUMMYFUNCTION("""COMPUTED_VALUE"""),"0. NotACat")</f>
        <v>0. NotACat</v>
      </c>
      <c r="B3069" s="4" t="str">
        <f>IFERROR(__xludf.DUMMYFUNCTION("""COMPUTED_VALUE"""),"0")</f>
        <v>0</v>
      </c>
      <c r="C3069" s="5" t="str">
        <f>IFERROR(__xludf.DUMMYFUNCTION("""COMPUTED_VALUE"""),"https://drive.google.com/file/d/1rERZdLXCEUk9yxQC8I4pL4xyzSlMDDOq/view?usp=drivesdk")</f>
        <v>https://drive.google.com/file/d/1rERZdLXCEUk9yxQC8I4pL4xyzSlMDDOq/view?usp=drivesdk</v>
      </c>
      <c r="D3069" s="12"/>
      <c r="E3069" s="11">
        <v>3107.0</v>
      </c>
      <c r="F3069" s="2"/>
    </row>
    <row r="3070" ht="1.5" customHeight="1">
      <c r="A3070" s="4" t="str">
        <f>IFERROR(__xludf.DUMMYFUNCTION("""COMPUTED_VALUE"""),"45. Boots")</f>
        <v>45. Boots</v>
      </c>
      <c r="B3070" s="4" t="str">
        <f>IFERROR(__xludf.DUMMYFUNCTION("""COMPUTED_VALUE"""),"45")</f>
        <v>45</v>
      </c>
      <c r="C3070" s="5" t="str">
        <f>IFERROR(__xludf.DUMMYFUNCTION("""COMPUTED_VALUE"""),"https://drive.google.com/file/d/1sXD7Tu-GBbJMDXgqFHFxff7iPNMIq8IF/view?usp=drivesdk")</f>
        <v>https://drive.google.com/file/d/1sXD7Tu-GBbJMDXgqFHFxff7iPNMIq8IF/view?usp=drivesdk</v>
      </c>
      <c r="D3070" s="12"/>
      <c r="E3070" s="11">
        <v>3108.0</v>
      </c>
      <c r="F3070" s="2"/>
    </row>
    <row r="3071" ht="1.5" customHeight="1">
      <c r="A3071" s="3" t="str">
        <f>IFERROR(__xludf.DUMMYFUNCTION("""COMPUTED_VALUE"""),"57. Airbus A320 Neo")</f>
        <v>57. Airbus A320 Neo</v>
      </c>
      <c r="B3071" s="4" t="str">
        <f>IFERROR(__xludf.DUMMYFUNCTION("""COMPUTED_VALUE"""),"57")</f>
        <v>57</v>
      </c>
      <c r="C3071" s="5" t="str">
        <f>IFERROR(__xludf.DUMMYFUNCTION("""COMPUTED_VALUE"""),"https://drive.google.com/file/d/192nhYQzhpMdj6nZKWtgSC0XWAeUj_YKL/view?usp=drivesdk")</f>
        <v>https://drive.google.com/file/d/192nhYQzhpMdj6nZKWtgSC0XWAeUj_YKL/view?usp=drivesdk</v>
      </c>
      <c r="D3071" s="12"/>
      <c r="E3071" s="11">
        <v>3109.0</v>
      </c>
      <c r="F3071" s="2"/>
    </row>
    <row r="3072" ht="1.5" customHeight="1">
      <c r="A3072" s="4" t="str">
        <f>IFERROR(__xludf.DUMMYFUNCTION("""COMPUTED_VALUE"""),"0. NotACat")</f>
        <v>0. NotACat</v>
      </c>
      <c r="B3072" s="4" t="str">
        <f>IFERROR(__xludf.DUMMYFUNCTION("""COMPUTED_VALUE"""),"0")</f>
        <v>0</v>
      </c>
      <c r="C3072" s="5" t="str">
        <f>IFERROR(__xludf.DUMMYFUNCTION("""COMPUTED_VALUE"""),"https://drive.google.com/file/d/10urEoiItKCipsPzzeQm6mZYtgtTzJG37/view?usp=drivesdk")</f>
        <v>https://drive.google.com/file/d/10urEoiItKCipsPzzeQm6mZYtgtTzJG37/view?usp=drivesdk</v>
      </c>
      <c r="D3072" s="12"/>
      <c r="E3072" s="11">
        <v>3110.0</v>
      </c>
      <c r="F3072" s="2"/>
    </row>
    <row r="3073" ht="1.5" customHeight="1">
      <c r="A3073" s="4" t="str">
        <f>IFERROR(__xludf.DUMMYFUNCTION("""COMPUTED_VALUE"""),"0. NotACat")</f>
        <v>0. NotACat</v>
      </c>
      <c r="B3073" s="4" t="str">
        <f>IFERROR(__xludf.DUMMYFUNCTION("""COMPUTED_VALUE"""),"0")</f>
        <v>0</v>
      </c>
      <c r="C3073" s="5" t="str">
        <f>IFERROR(__xludf.DUMMYFUNCTION("""COMPUTED_VALUE"""),"https://drive.google.com/file/d/1Krax4Ry_TfbJAQJr6NCJeKPjULavVjQ4/view?usp=drivesdk")</f>
        <v>https://drive.google.com/file/d/1Krax4Ry_TfbJAQJr6NCJeKPjULavVjQ4/view?usp=drivesdk</v>
      </c>
      <c r="D3073" s="12"/>
      <c r="E3073" s="11">
        <v>3111.0</v>
      </c>
      <c r="F3073" s="2"/>
    </row>
    <row r="3074" ht="1.5" customHeight="1">
      <c r="A3074" s="3" t="str">
        <f>IFERROR(__xludf.DUMMYFUNCTION("""COMPUTED_VALUE"""),"57. Airbus A320 Neo")</f>
        <v>57. Airbus A320 Neo</v>
      </c>
      <c r="B3074" s="4" t="str">
        <f>IFERROR(__xludf.DUMMYFUNCTION("""COMPUTED_VALUE"""),"57")</f>
        <v>57</v>
      </c>
      <c r="C3074" s="5" t="str">
        <f>IFERROR(__xludf.DUMMYFUNCTION("""COMPUTED_VALUE"""),"https://drive.google.com/file/d/1PNWbJxGrrtgY-06PTr-UxliGM3LZt2Fn/view?usp=drivesdk")</f>
        <v>https://drive.google.com/file/d/1PNWbJxGrrtgY-06PTr-UxliGM3LZt2Fn/view?usp=drivesdk</v>
      </c>
      <c r="D3074" s="12"/>
      <c r="E3074" s="11">
        <v>3112.0</v>
      </c>
      <c r="F3074" s="2"/>
    </row>
    <row r="3075" ht="1.5" customHeight="1">
      <c r="A3075" s="4" t="str">
        <f>IFERROR(__xludf.DUMMYFUNCTION("""COMPUTED_VALUE"""),"0. NotACat")</f>
        <v>0. NotACat</v>
      </c>
      <c r="B3075" s="4" t="str">
        <f>IFERROR(__xludf.DUMMYFUNCTION("""COMPUTED_VALUE"""),"0")</f>
        <v>0</v>
      </c>
      <c r="C3075" s="5" t="str">
        <f>IFERROR(__xludf.DUMMYFUNCTION("""COMPUTED_VALUE"""),"https://drive.google.com/file/d/1rXWCcjfv2J3OxcoApJix1y7NXhGDr-Gt/view?usp=drivesdk")</f>
        <v>https://drive.google.com/file/d/1rXWCcjfv2J3OxcoApJix1y7NXhGDr-Gt/view?usp=drivesdk</v>
      </c>
      <c r="D3075" s="12"/>
      <c r="E3075" s="11">
        <v>3113.0</v>
      </c>
      <c r="F3075" s="2"/>
    </row>
    <row r="3076" ht="1.5" customHeight="1">
      <c r="A3076" s="4" t="str">
        <f>IFERROR(__xludf.DUMMYFUNCTION("""COMPUTED_VALUE"""),"0. NotACat")</f>
        <v>0. NotACat</v>
      </c>
      <c r="B3076" s="4" t="str">
        <f>IFERROR(__xludf.DUMMYFUNCTION("""COMPUTED_VALUE"""),"0")</f>
        <v>0</v>
      </c>
      <c r="C3076" s="5" t="str">
        <f>IFERROR(__xludf.DUMMYFUNCTION("""COMPUTED_VALUE"""),"https://drive.google.com/file/d/1oHawI5JecF8AlBXeEq03NxULBZkJTJhR/view?usp=drivesdk")</f>
        <v>https://drive.google.com/file/d/1oHawI5JecF8AlBXeEq03NxULBZkJTJhR/view?usp=drivesdk</v>
      </c>
      <c r="D3076" s="12"/>
      <c r="E3076" s="11">
        <v>3114.0</v>
      </c>
      <c r="F3076" s="2"/>
    </row>
    <row r="3077" ht="1.5" customHeight="1">
      <c r="A3077" s="4" t="str">
        <f>IFERROR(__xludf.DUMMYFUNCTION("""COMPUTED_VALUE"""),"45. Boots")</f>
        <v>45. Boots</v>
      </c>
      <c r="B3077" s="4" t="str">
        <f>IFERROR(__xludf.DUMMYFUNCTION("""COMPUTED_VALUE"""),"45")</f>
        <v>45</v>
      </c>
      <c r="C3077" s="5" t="str">
        <f>IFERROR(__xludf.DUMMYFUNCTION("""COMPUTED_VALUE"""),"https://drive.google.com/file/d/1yy8R4LqsCNPuCY_GsYpvD5ojUM6wT0fm/view?usp=drivesdk")</f>
        <v>https://drive.google.com/file/d/1yy8R4LqsCNPuCY_GsYpvD5ojUM6wT0fm/view?usp=drivesdk</v>
      </c>
      <c r="D3077" s="12"/>
      <c r="E3077" s="11">
        <v>3115.0</v>
      </c>
      <c r="F3077" s="2"/>
    </row>
    <row r="3078" ht="1.5" customHeight="1">
      <c r="A3078" s="3" t="str">
        <f>IFERROR(__xludf.DUMMYFUNCTION("""COMPUTED_VALUE"""),"57. Airbus A320 Neo")</f>
        <v>57. Airbus A320 Neo</v>
      </c>
      <c r="B3078" s="4" t="str">
        <f>IFERROR(__xludf.DUMMYFUNCTION("""COMPUTED_VALUE"""),"57")</f>
        <v>57</v>
      </c>
      <c r="C3078" s="5" t="str">
        <f>IFERROR(__xludf.DUMMYFUNCTION("""COMPUTED_VALUE"""),"https://drive.google.com/file/d/1BLfAYytiBgW3MDzqGE8ntDDuPZvaAAcB/view?usp=drivesdk")</f>
        <v>https://drive.google.com/file/d/1BLfAYytiBgW3MDzqGE8ntDDuPZvaAAcB/view?usp=drivesdk</v>
      </c>
      <c r="D3078" s="12"/>
      <c r="E3078" s="11">
        <v>3116.0</v>
      </c>
      <c r="F3078" s="2"/>
    </row>
    <row r="3079" ht="1.5" customHeight="1">
      <c r="A3079" s="4" t="str">
        <f>IFERROR(__xludf.DUMMYFUNCTION("""COMPUTED_VALUE"""),"1. Microwave")</f>
        <v>1. Microwave</v>
      </c>
      <c r="B3079" s="4" t="str">
        <f>IFERROR(__xludf.DUMMYFUNCTION("""COMPUTED_VALUE"""),"1")</f>
        <v>1</v>
      </c>
      <c r="C3079" s="5" t="str">
        <f>IFERROR(__xludf.DUMMYFUNCTION("""COMPUTED_VALUE"""),"https://drive.google.com/file/d/1Y-B8sjNSVXU4PDEYo30WsjwmbWLwMyGN/view?usp=drivesdk")</f>
        <v>https://drive.google.com/file/d/1Y-B8sjNSVXU4PDEYo30WsjwmbWLwMyGN/view?usp=drivesdk</v>
      </c>
      <c r="D3079" s="12"/>
      <c r="E3079" s="11">
        <v>3117.0</v>
      </c>
      <c r="F3079" s="2"/>
    </row>
    <row r="3080" ht="1.5" customHeight="1">
      <c r="A3080" s="4" t="str">
        <f>IFERROR(__xludf.DUMMYFUNCTION("""COMPUTED_VALUE"""),"1. Microwave")</f>
        <v>1. Microwave</v>
      </c>
      <c r="B3080" s="4" t="str">
        <f>IFERROR(__xludf.DUMMYFUNCTION("""COMPUTED_VALUE"""),"1")</f>
        <v>1</v>
      </c>
      <c r="C3080" s="5" t="str">
        <f>IFERROR(__xludf.DUMMYFUNCTION("""COMPUTED_VALUE"""),"https://drive.google.com/file/d/1lgrLlP4p_9azT5btaBgBFEQ1PAhRCwg4/view?usp=drivesdk")</f>
        <v>https://drive.google.com/file/d/1lgrLlP4p_9azT5btaBgBFEQ1PAhRCwg4/view?usp=drivesdk</v>
      </c>
      <c r="D3080" s="12"/>
      <c r="E3080" s="11">
        <v>3118.0</v>
      </c>
      <c r="F3080" s="2"/>
    </row>
    <row r="3081" ht="1.5" customHeight="1">
      <c r="A3081" s="4" t="str">
        <f>IFERROR(__xludf.DUMMYFUNCTION("""COMPUTED_VALUE"""),"1. Microwave")</f>
        <v>1. Microwave</v>
      </c>
      <c r="B3081" s="4" t="str">
        <f>IFERROR(__xludf.DUMMYFUNCTION("""COMPUTED_VALUE"""),"1")</f>
        <v>1</v>
      </c>
      <c r="C3081" s="5" t="str">
        <f>IFERROR(__xludf.DUMMYFUNCTION("""COMPUTED_VALUE"""),"https://drive.google.com/file/d/1oyqdtjqoJ0wrBMvZjBB6ETDJtF6zvIk8/view?usp=drivesdk")</f>
        <v>https://drive.google.com/file/d/1oyqdtjqoJ0wrBMvZjBB6ETDJtF6zvIk8/view?usp=drivesdk</v>
      </c>
      <c r="D3081" s="12"/>
      <c r="E3081" s="11">
        <v>3119.0</v>
      </c>
      <c r="F3081" s="2"/>
    </row>
    <row r="3082" ht="1.5" customHeight="1">
      <c r="A3082" s="3" t="str">
        <f>IFERROR(__xludf.DUMMYFUNCTION("""COMPUTED_VALUE"""),"57. Airbus A320 Neo")</f>
        <v>57. Airbus A320 Neo</v>
      </c>
      <c r="B3082" s="4" t="str">
        <f>IFERROR(__xludf.DUMMYFUNCTION("""COMPUTED_VALUE"""),"57")</f>
        <v>57</v>
      </c>
      <c r="C3082" s="5" t="str">
        <f>IFERROR(__xludf.DUMMYFUNCTION("""COMPUTED_VALUE"""),"https://drive.google.com/file/d/1qM6kqXZFs2-aDOZOLzCFQI7d_ZpGKdkf/view?usp=drivesdk")</f>
        <v>https://drive.google.com/file/d/1qM6kqXZFs2-aDOZOLzCFQI7d_ZpGKdkf/view?usp=drivesdk</v>
      </c>
      <c r="D3082" s="12"/>
      <c r="E3082" s="11">
        <v>3120.0</v>
      </c>
      <c r="F3082" s="2"/>
    </row>
    <row r="3083" ht="1.5" customHeight="1">
      <c r="A3083" s="4" t="str">
        <f>IFERROR(__xludf.DUMMYFUNCTION("""COMPUTED_VALUE"""),"1. Microwave")</f>
        <v>1. Microwave</v>
      </c>
      <c r="B3083" s="4" t="str">
        <f>IFERROR(__xludf.DUMMYFUNCTION("""COMPUTED_VALUE"""),"1")</f>
        <v>1</v>
      </c>
      <c r="C3083" s="5" t="str">
        <f>IFERROR(__xludf.DUMMYFUNCTION("""COMPUTED_VALUE"""),"https://drive.google.com/file/d/1K3kl6XvBclfmvCrugmhLJueSJ3kPaUVM/view?usp=drivesdk")</f>
        <v>https://drive.google.com/file/d/1K3kl6XvBclfmvCrugmhLJueSJ3kPaUVM/view?usp=drivesdk</v>
      </c>
      <c r="D3083" s="12"/>
      <c r="E3083" s="11">
        <v>3121.0</v>
      </c>
      <c r="F3083" s="2"/>
    </row>
    <row r="3084" ht="1.5" customHeight="1">
      <c r="A3084" s="4" t="str">
        <f>IFERROR(__xludf.DUMMYFUNCTION("""COMPUTED_VALUE"""),"1. Microwave")</f>
        <v>1. Microwave</v>
      </c>
      <c r="B3084" s="4" t="str">
        <f>IFERROR(__xludf.DUMMYFUNCTION("""COMPUTED_VALUE"""),"1")</f>
        <v>1</v>
      </c>
      <c r="C3084" s="5" t="str">
        <f>IFERROR(__xludf.DUMMYFUNCTION("""COMPUTED_VALUE"""),"https://drive.google.com/file/d/1Z6ZjTeV39BOxYOSRTGku1P3mBAx7SNwo/view?usp=drivesdk")</f>
        <v>https://drive.google.com/file/d/1Z6ZjTeV39BOxYOSRTGku1P3mBAx7SNwo/view?usp=drivesdk</v>
      </c>
      <c r="D3084" s="12"/>
      <c r="E3084" s="11">
        <v>3122.0</v>
      </c>
      <c r="F3084" s="2"/>
    </row>
    <row r="3085" ht="1.5" customHeight="1">
      <c r="A3085" s="4" t="str">
        <f>IFERROR(__xludf.DUMMYFUNCTION("""COMPUTED_VALUE"""),"0. NotACat")</f>
        <v>0. NotACat</v>
      </c>
      <c r="B3085" s="4" t="str">
        <f>IFERROR(__xludf.DUMMYFUNCTION("""COMPUTED_VALUE"""),"0")</f>
        <v>0</v>
      </c>
      <c r="C3085" s="5" t="str">
        <f>IFERROR(__xludf.DUMMYFUNCTION("""COMPUTED_VALUE"""),"https://drive.google.com/file/d/1nwnb-hl5OmLKNK3CFJjbsHQnQw6ySJXV/view?usp=drivesdk")</f>
        <v>https://drive.google.com/file/d/1nwnb-hl5OmLKNK3CFJjbsHQnQw6ySJXV/view?usp=drivesdk</v>
      </c>
      <c r="D3085" s="12"/>
      <c r="E3085" s="11">
        <v>3123.0</v>
      </c>
      <c r="F3085" s="2"/>
    </row>
    <row r="3086" ht="1.5" customHeight="1">
      <c r="A3086" s="4" t="str">
        <f>IFERROR(__xludf.DUMMYFUNCTION("""COMPUTED_VALUE"""),"1. Microwave")</f>
        <v>1. Microwave</v>
      </c>
      <c r="B3086" s="4" t="str">
        <f>IFERROR(__xludf.DUMMYFUNCTION("""COMPUTED_VALUE"""),"1")</f>
        <v>1</v>
      </c>
      <c r="C3086" s="5" t="str">
        <f>IFERROR(__xludf.DUMMYFUNCTION("""COMPUTED_VALUE"""),"https://drive.google.com/file/d/1y-UsvUR0KjcLlBoRVkGTFUVv-2itAiwy/view?usp=drivesdk")</f>
        <v>https://drive.google.com/file/d/1y-UsvUR0KjcLlBoRVkGTFUVv-2itAiwy/view?usp=drivesdk</v>
      </c>
      <c r="D3086" s="12"/>
      <c r="E3086" s="11">
        <v>3124.0</v>
      </c>
      <c r="F3086" s="2"/>
    </row>
    <row r="3087" ht="1.5" customHeight="1">
      <c r="A3087" s="4" t="str">
        <f>IFERROR(__xludf.DUMMYFUNCTION("""COMPUTED_VALUE"""),"1. Microwave")</f>
        <v>1. Microwave</v>
      </c>
      <c r="B3087" s="4" t="str">
        <f>IFERROR(__xludf.DUMMYFUNCTION("""COMPUTED_VALUE"""),"1")</f>
        <v>1</v>
      </c>
      <c r="C3087" s="5" t="str">
        <f>IFERROR(__xludf.DUMMYFUNCTION("""COMPUTED_VALUE"""),"https://drive.google.com/file/d/1PiLXG36fYgZ5nfNRNgZztzEaYI38oXGm/view?usp=drivesdk")</f>
        <v>https://drive.google.com/file/d/1PiLXG36fYgZ5nfNRNgZztzEaYI38oXGm/view?usp=drivesdk</v>
      </c>
      <c r="D3087" s="12"/>
      <c r="E3087" s="11">
        <v>3125.0</v>
      </c>
      <c r="F3087" s="2"/>
    </row>
    <row r="3088" ht="1.5" customHeight="1">
      <c r="A3088" s="4" t="str">
        <f>IFERROR(__xludf.DUMMYFUNCTION("""COMPUTED_VALUE"""),"1. Microwave")</f>
        <v>1. Microwave</v>
      </c>
      <c r="B3088" s="4" t="str">
        <f>IFERROR(__xludf.DUMMYFUNCTION("""COMPUTED_VALUE"""),"1")</f>
        <v>1</v>
      </c>
      <c r="C3088" s="5" t="str">
        <f>IFERROR(__xludf.DUMMYFUNCTION("""COMPUTED_VALUE"""),"https://drive.google.com/file/d/1GtqU2mZpbgTeraE75iAKgKvn9eXFNH2o/view?usp=drivesdk")</f>
        <v>https://drive.google.com/file/d/1GtqU2mZpbgTeraE75iAKgKvn9eXFNH2o/view?usp=drivesdk</v>
      </c>
      <c r="D3088" s="12"/>
      <c r="E3088" s="11">
        <v>3126.0</v>
      </c>
      <c r="F3088" s="2"/>
    </row>
    <row r="3089" ht="1.5" customHeight="1">
      <c r="A3089" s="4" t="str">
        <f>IFERROR(__xludf.DUMMYFUNCTION("""COMPUTED_VALUE"""),"0. NotACat")</f>
        <v>0. NotACat</v>
      </c>
      <c r="B3089" s="4" t="str">
        <f>IFERROR(__xludf.DUMMYFUNCTION("""COMPUTED_VALUE"""),"0")</f>
        <v>0</v>
      </c>
      <c r="C3089" s="5" t="str">
        <f>IFERROR(__xludf.DUMMYFUNCTION("""COMPUTED_VALUE"""),"https://drive.google.com/file/d/16isdAF_uUfhCW11knDLAQMqHnI_sn6mE/view?usp=drivesdk")</f>
        <v>https://drive.google.com/file/d/16isdAF_uUfhCW11knDLAQMqHnI_sn6mE/view?usp=drivesdk</v>
      </c>
      <c r="D3089" s="12"/>
      <c r="E3089" s="11">
        <v>3127.0</v>
      </c>
      <c r="F3089" s="2"/>
    </row>
    <row r="3090" ht="1.5" customHeight="1">
      <c r="A3090" s="4" t="str">
        <f>IFERROR(__xludf.DUMMYFUNCTION("""COMPUTED_VALUE"""),"0. NotACat")</f>
        <v>0. NotACat</v>
      </c>
      <c r="B3090" s="4" t="str">
        <f>IFERROR(__xludf.DUMMYFUNCTION("""COMPUTED_VALUE"""),"0")</f>
        <v>0</v>
      </c>
      <c r="C3090" s="5" t="str">
        <f>IFERROR(__xludf.DUMMYFUNCTION("""COMPUTED_VALUE"""),"https://drive.google.com/file/d/1LIX7TIxdrnSfwUOk6ijEMHWyp-doG1a6/view?usp=drivesdk")</f>
        <v>https://drive.google.com/file/d/1LIX7TIxdrnSfwUOk6ijEMHWyp-doG1a6/view?usp=drivesdk</v>
      </c>
      <c r="D3090" s="12"/>
      <c r="E3090" s="11">
        <v>3128.0</v>
      </c>
      <c r="F3090" s="2"/>
    </row>
    <row r="3091" ht="1.5" customHeight="1">
      <c r="A3091" s="4" t="str">
        <f>IFERROR(__xludf.DUMMYFUNCTION("""COMPUTED_VALUE"""),"1. Microwave")</f>
        <v>1. Microwave</v>
      </c>
      <c r="B3091" s="4" t="str">
        <f>IFERROR(__xludf.DUMMYFUNCTION("""COMPUTED_VALUE"""),"1")</f>
        <v>1</v>
      </c>
      <c r="C3091" s="5" t="str">
        <f>IFERROR(__xludf.DUMMYFUNCTION("""COMPUTED_VALUE"""),"https://drive.google.com/file/d/1AjAtyns0fnRAiUXLHhbi0HRf5Mw4cO3g/view?usp=drivesdk")</f>
        <v>https://drive.google.com/file/d/1AjAtyns0fnRAiUXLHhbi0HRf5Mw4cO3g/view?usp=drivesdk</v>
      </c>
      <c r="D3091" s="12"/>
      <c r="E3091" s="11">
        <v>3129.0</v>
      </c>
      <c r="F3091" s="2"/>
    </row>
    <row r="3092" ht="1.5" customHeight="1">
      <c r="A3092" s="4" t="str">
        <f>IFERROR(__xludf.DUMMYFUNCTION("""COMPUTED_VALUE"""),"1. Microwave")</f>
        <v>1. Microwave</v>
      </c>
      <c r="B3092" s="4" t="str">
        <f>IFERROR(__xludf.DUMMYFUNCTION("""COMPUTED_VALUE"""),"1")</f>
        <v>1</v>
      </c>
      <c r="C3092" s="5" t="str">
        <f>IFERROR(__xludf.DUMMYFUNCTION("""COMPUTED_VALUE"""),"https://drive.google.com/file/d/1UUpTfP3vxDb4KHDBuB4LWrDGVFNAWxXQ/view?usp=drivesdk")</f>
        <v>https://drive.google.com/file/d/1UUpTfP3vxDb4KHDBuB4LWrDGVFNAWxXQ/view?usp=drivesdk</v>
      </c>
      <c r="D3092" s="12"/>
      <c r="E3092" s="11">
        <v>3130.0</v>
      </c>
      <c r="F3092" s="2"/>
    </row>
    <row r="3093" ht="1.5" customHeight="1">
      <c r="A3093" s="4" t="str">
        <f>IFERROR(__xludf.DUMMYFUNCTION("""COMPUTED_VALUE"""),"1. Microwave")</f>
        <v>1. Microwave</v>
      </c>
      <c r="B3093" s="4" t="str">
        <f>IFERROR(__xludf.DUMMYFUNCTION("""COMPUTED_VALUE"""),"1")</f>
        <v>1</v>
      </c>
      <c r="C3093" s="5" t="str">
        <f>IFERROR(__xludf.DUMMYFUNCTION("""COMPUTED_VALUE"""),"https://drive.google.com/file/d/1ZnFh-GVBhKGpH2h-515Ds7ECmr7okcP0/view?usp=drivesdk")</f>
        <v>https://drive.google.com/file/d/1ZnFh-GVBhKGpH2h-515Ds7ECmr7okcP0/view?usp=drivesdk</v>
      </c>
      <c r="D3093" s="12"/>
      <c r="E3093" s="11">
        <v>3131.0</v>
      </c>
      <c r="F3093" s="2"/>
    </row>
    <row r="3094" ht="1.5" customHeight="1">
      <c r="A3094" s="3" t="str">
        <f>IFERROR(__xludf.DUMMYFUNCTION("""COMPUTED_VALUE"""),"57. Airbus A320 Neo")</f>
        <v>57. Airbus A320 Neo</v>
      </c>
      <c r="B3094" s="4" t="str">
        <f>IFERROR(__xludf.DUMMYFUNCTION("""COMPUTED_VALUE"""),"57")</f>
        <v>57</v>
      </c>
      <c r="C3094" s="5" t="str">
        <f>IFERROR(__xludf.DUMMYFUNCTION("""COMPUTED_VALUE"""),"https://drive.google.com/file/d/1zzdTt8GPz4TM2FmriPIhGrkao7dwbC8B/view?usp=drivesdk")</f>
        <v>https://drive.google.com/file/d/1zzdTt8GPz4TM2FmriPIhGrkao7dwbC8B/view?usp=drivesdk</v>
      </c>
      <c r="D3094" s="12"/>
      <c r="E3094" s="11">
        <v>3132.0</v>
      </c>
      <c r="F3094" s="2"/>
    </row>
    <row r="3095" ht="1.5" customHeight="1">
      <c r="A3095" s="4" t="str">
        <f>IFERROR(__xludf.DUMMYFUNCTION("""COMPUTED_VALUE"""),"1. Microwave")</f>
        <v>1. Microwave</v>
      </c>
      <c r="B3095" s="4" t="str">
        <f>IFERROR(__xludf.DUMMYFUNCTION("""COMPUTED_VALUE"""),"1")</f>
        <v>1</v>
      </c>
      <c r="C3095" s="5" t="str">
        <f>IFERROR(__xludf.DUMMYFUNCTION("""COMPUTED_VALUE"""),"https://drive.google.com/file/d/10nXrt6S0wUmtYsjAidynJ4lddSXfdCH-/view?usp=drivesdk")</f>
        <v>https://drive.google.com/file/d/10nXrt6S0wUmtYsjAidynJ4lddSXfdCH-/view?usp=drivesdk</v>
      </c>
      <c r="D3095" s="12"/>
      <c r="E3095" s="11">
        <v>3133.0</v>
      </c>
      <c r="F3095" s="2"/>
    </row>
    <row r="3096" ht="1.5" customHeight="1">
      <c r="A3096" s="4" t="str">
        <f>IFERROR(__xludf.DUMMYFUNCTION("""COMPUTED_VALUE"""),"1. Microwave")</f>
        <v>1. Microwave</v>
      </c>
      <c r="B3096" s="4" t="str">
        <f>IFERROR(__xludf.DUMMYFUNCTION("""COMPUTED_VALUE"""),"1")</f>
        <v>1</v>
      </c>
      <c r="C3096" s="5" t="str">
        <f>IFERROR(__xludf.DUMMYFUNCTION("""COMPUTED_VALUE"""),"https://drive.google.com/file/d/1A-CzUxc8HgHkJNDIWJZ3hXMba_SSdqHc/view?usp=drivesdk")</f>
        <v>https://drive.google.com/file/d/1A-CzUxc8HgHkJNDIWJZ3hXMba_SSdqHc/view?usp=drivesdk</v>
      </c>
      <c r="D3096" s="12"/>
      <c r="E3096" s="11">
        <v>3134.0</v>
      </c>
      <c r="F3096" s="2"/>
    </row>
    <row r="3097" ht="1.5" customHeight="1">
      <c r="A3097" s="4" t="str">
        <f>IFERROR(__xludf.DUMMYFUNCTION("""COMPUTED_VALUE"""),"1. Microwave")</f>
        <v>1. Microwave</v>
      </c>
      <c r="B3097" s="4" t="str">
        <f>IFERROR(__xludf.DUMMYFUNCTION("""COMPUTED_VALUE"""),"1")</f>
        <v>1</v>
      </c>
      <c r="C3097" s="5" t="str">
        <f>IFERROR(__xludf.DUMMYFUNCTION("""COMPUTED_VALUE"""),"https://drive.google.com/file/d/1IgwbO9uYRaS8FNX4wWuIjEfjMrkiwqhF/view?usp=drivesdk")</f>
        <v>https://drive.google.com/file/d/1IgwbO9uYRaS8FNX4wWuIjEfjMrkiwqhF/view?usp=drivesdk</v>
      </c>
      <c r="D3097" s="12"/>
      <c r="E3097" s="11">
        <v>3135.0</v>
      </c>
      <c r="F3097" s="2"/>
    </row>
    <row r="3098" ht="1.5" customHeight="1">
      <c r="A3098" s="4" t="str">
        <f>IFERROR(__xludf.DUMMYFUNCTION("""COMPUTED_VALUE"""),"1. Microwave")</f>
        <v>1. Microwave</v>
      </c>
      <c r="B3098" s="4" t="str">
        <f>IFERROR(__xludf.DUMMYFUNCTION("""COMPUTED_VALUE"""),"1")</f>
        <v>1</v>
      </c>
      <c r="C3098" s="5" t="str">
        <f>IFERROR(__xludf.DUMMYFUNCTION("""COMPUTED_VALUE"""),"https://drive.google.com/file/d/1PYFSn_P8g7KI7He5YNi9JbZr56MtjXwt/view?usp=drivesdk")</f>
        <v>https://drive.google.com/file/d/1PYFSn_P8g7KI7He5YNi9JbZr56MtjXwt/view?usp=drivesdk</v>
      </c>
      <c r="D3098" s="12"/>
      <c r="E3098" s="11">
        <v>3136.0</v>
      </c>
      <c r="F3098" s="2"/>
    </row>
    <row r="3099" ht="1.5" customHeight="1">
      <c r="A3099" s="4" t="str">
        <f>IFERROR(__xludf.DUMMYFUNCTION("""COMPUTED_VALUE"""),"1. Microwave")</f>
        <v>1. Microwave</v>
      </c>
      <c r="B3099" s="4" t="str">
        <f>IFERROR(__xludf.DUMMYFUNCTION("""COMPUTED_VALUE"""),"1")</f>
        <v>1</v>
      </c>
      <c r="C3099" s="5" t="str">
        <f>IFERROR(__xludf.DUMMYFUNCTION("""COMPUTED_VALUE"""),"https://drive.google.com/file/d/13gh7hMpBw9b19KTcsGeI1aUQynPPurv-/view?usp=drivesdk")</f>
        <v>https://drive.google.com/file/d/13gh7hMpBw9b19KTcsGeI1aUQynPPurv-/view?usp=drivesdk</v>
      </c>
      <c r="D3099" s="12"/>
      <c r="E3099" s="11">
        <v>3137.0</v>
      </c>
      <c r="F3099" s="2"/>
    </row>
    <row r="3100" ht="1.5" customHeight="1">
      <c r="A3100" s="4" t="str">
        <f>IFERROR(__xludf.DUMMYFUNCTION("""COMPUTED_VALUE"""),"1. Microwave")</f>
        <v>1. Microwave</v>
      </c>
      <c r="B3100" s="4" t="str">
        <f>IFERROR(__xludf.DUMMYFUNCTION("""COMPUTED_VALUE"""),"1")</f>
        <v>1</v>
      </c>
      <c r="C3100" s="5" t="str">
        <f>IFERROR(__xludf.DUMMYFUNCTION("""COMPUTED_VALUE"""),"https://drive.google.com/file/d/12nXVcGkPq2ed6_IhCFoW1hdiQjLSMWK9/view?usp=drivesdk")</f>
        <v>https://drive.google.com/file/d/12nXVcGkPq2ed6_IhCFoW1hdiQjLSMWK9/view?usp=drivesdk</v>
      </c>
      <c r="D3100" s="12"/>
      <c r="E3100" s="11">
        <v>3138.0</v>
      </c>
      <c r="F3100" s="2"/>
    </row>
    <row r="3101" ht="1.5" customHeight="1">
      <c r="A3101" s="4" t="str">
        <f>IFERROR(__xludf.DUMMYFUNCTION("""COMPUTED_VALUE"""),"1. Microwave")</f>
        <v>1. Microwave</v>
      </c>
      <c r="B3101" s="4" t="str">
        <f>IFERROR(__xludf.DUMMYFUNCTION("""COMPUTED_VALUE"""),"1")</f>
        <v>1</v>
      </c>
      <c r="C3101" s="5" t="str">
        <f>IFERROR(__xludf.DUMMYFUNCTION("""COMPUTED_VALUE"""),"https://drive.google.com/file/d/1J0dXWOjtTTzvU5OxVEv-K6NwMgP84bHU/view?usp=drivesdk")</f>
        <v>https://drive.google.com/file/d/1J0dXWOjtTTzvU5OxVEv-K6NwMgP84bHU/view?usp=drivesdk</v>
      </c>
      <c r="D3101" s="12"/>
      <c r="E3101" s="11">
        <v>3139.0</v>
      </c>
      <c r="F3101" s="2"/>
    </row>
    <row r="3102" ht="1.5" customHeight="1">
      <c r="A3102" s="4" t="str">
        <f>IFERROR(__xludf.DUMMYFUNCTION("""COMPUTED_VALUE"""),"1. Microwave")</f>
        <v>1. Microwave</v>
      </c>
      <c r="B3102" s="4" t="str">
        <f>IFERROR(__xludf.DUMMYFUNCTION("""COMPUTED_VALUE"""),"1")</f>
        <v>1</v>
      </c>
      <c r="C3102" s="5" t="str">
        <f>IFERROR(__xludf.DUMMYFUNCTION("""COMPUTED_VALUE"""),"https://drive.google.com/file/d/1HEtkafB8KrZVZlaCNreekOCEeSmrrLDb/view?usp=drivesdk")</f>
        <v>https://drive.google.com/file/d/1HEtkafB8KrZVZlaCNreekOCEeSmrrLDb/view?usp=drivesdk</v>
      </c>
      <c r="D3102" s="12"/>
      <c r="E3102" s="11">
        <v>3140.0</v>
      </c>
      <c r="F3102" s="2"/>
    </row>
    <row r="3103" ht="1.5" customHeight="1">
      <c r="A3103" s="4" t="str">
        <f>IFERROR(__xludf.DUMMYFUNCTION("""COMPUTED_VALUE"""),"1. Microwave")</f>
        <v>1. Microwave</v>
      </c>
      <c r="B3103" s="4" t="str">
        <f>IFERROR(__xludf.DUMMYFUNCTION("""COMPUTED_VALUE"""),"1")</f>
        <v>1</v>
      </c>
      <c r="C3103" s="5" t="str">
        <f>IFERROR(__xludf.DUMMYFUNCTION("""COMPUTED_VALUE"""),"https://drive.google.com/file/d/1MUT53c4rGX2aY6QmOwFw_DgGEqzYj7w5/view?usp=drivesdk")</f>
        <v>https://drive.google.com/file/d/1MUT53c4rGX2aY6QmOwFw_DgGEqzYj7w5/view?usp=drivesdk</v>
      </c>
      <c r="D3103" s="12"/>
      <c r="E3103" s="11">
        <v>3141.0</v>
      </c>
      <c r="F3103" s="2"/>
    </row>
    <row r="3104" ht="1.5" customHeight="1">
      <c r="A3104" s="4" t="str">
        <f>IFERROR(__xludf.DUMMYFUNCTION("""COMPUTED_VALUE"""),"1. Microwave")</f>
        <v>1. Microwave</v>
      </c>
      <c r="B3104" s="4" t="str">
        <f>IFERROR(__xludf.DUMMYFUNCTION("""COMPUTED_VALUE"""),"1")</f>
        <v>1</v>
      </c>
      <c r="C3104" s="5" t="str">
        <f>IFERROR(__xludf.DUMMYFUNCTION("""COMPUTED_VALUE"""),"https://drive.google.com/file/d/1fasZCkZaiiKMWoo6zHxAgaRz0hmpAkAS/view?usp=drivesdk")</f>
        <v>https://drive.google.com/file/d/1fasZCkZaiiKMWoo6zHxAgaRz0hmpAkAS/view?usp=drivesdk</v>
      </c>
      <c r="D3104" s="12"/>
      <c r="E3104" s="11">
        <v>3142.0</v>
      </c>
      <c r="F3104" s="2"/>
    </row>
    <row r="3105" ht="1.5" customHeight="1">
      <c r="A3105" s="4" t="str">
        <f>IFERROR(__xludf.DUMMYFUNCTION("""COMPUTED_VALUE"""),"1. Microwave")</f>
        <v>1. Microwave</v>
      </c>
      <c r="B3105" s="4" t="str">
        <f>IFERROR(__xludf.DUMMYFUNCTION("""COMPUTED_VALUE"""),"1")</f>
        <v>1</v>
      </c>
      <c r="C3105" s="5" t="str">
        <f>IFERROR(__xludf.DUMMYFUNCTION("""COMPUTED_VALUE"""),"https://drive.google.com/file/d/1OjdY3AFCGvuIOwO5duivREEU1cgBbT7u/view?usp=drivesdk")</f>
        <v>https://drive.google.com/file/d/1OjdY3AFCGvuIOwO5duivREEU1cgBbT7u/view?usp=drivesdk</v>
      </c>
      <c r="D3105" s="12"/>
      <c r="E3105" s="11">
        <v>3143.0</v>
      </c>
      <c r="F3105" s="2"/>
    </row>
    <row r="3106" ht="1.5" customHeight="1">
      <c r="A3106" s="4" t="str">
        <f>IFERROR(__xludf.DUMMYFUNCTION("""COMPUTED_VALUE"""),"1. Microwave")</f>
        <v>1. Microwave</v>
      </c>
      <c r="B3106" s="4" t="str">
        <f>IFERROR(__xludf.DUMMYFUNCTION("""COMPUTED_VALUE"""),"1")</f>
        <v>1</v>
      </c>
      <c r="C3106" s="5" t="str">
        <f>IFERROR(__xludf.DUMMYFUNCTION("""COMPUTED_VALUE"""),"https://drive.google.com/file/d/1lrB-RdX9Wn1JbRw6nj_f1q0uJNnblXog/view?usp=drivesdk")</f>
        <v>https://drive.google.com/file/d/1lrB-RdX9Wn1JbRw6nj_f1q0uJNnblXog/view?usp=drivesdk</v>
      </c>
      <c r="D3106" s="12"/>
      <c r="E3106" s="11">
        <v>3144.0</v>
      </c>
      <c r="F3106" s="2"/>
    </row>
    <row r="3107" ht="1.5" customHeight="1">
      <c r="A3107" s="4" t="str">
        <f>IFERROR(__xludf.DUMMYFUNCTION("""COMPUTED_VALUE"""),"1. Microwave")</f>
        <v>1. Microwave</v>
      </c>
      <c r="B3107" s="4" t="str">
        <f>IFERROR(__xludf.DUMMYFUNCTION("""COMPUTED_VALUE"""),"1")</f>
        <v>1</v>
      </c>
      <c r="C3107" s="5" t="str">
        <f>IFERROR(__xludf.DUMMYFUNCTION("""COMPUTED_VALUE"""),"https://drive.google.com/file/d/1L5ggsx3Fr5ZmngJJvhIQuaRSgA4fWXyW/view?usp=drivesdk")</f>
        <v>https://drive.google.com/file/d/1L5ggsx3Fr5ZmngJJvhIQuaRSgA4fWXyW/view?usp=drivesdk</v>
      </c>
      <c r="D3107" s="12"/>
      <c r="E3107" s="11">
        <v>3145.0</v>
      </c>
      <c r="F3107" s="2"/>
    </row>
    <row r="3108" ht="1.5" customHeight="1">
      <c r="A3108" s="4" t="str">
        <f>IFERROR(__xludf.DUMMYFUNCTION("""COMPUTED_VALUE"""),"1. Microwave")</f>
        <v>1. Microwave</v>
      </c>
      <c r="B3108" s="4" t="str">
        <f>IFERROR(__xludf.DUMMYFUNCTION("""COMPUTED_VALUE"""),"1")</f>
        <v>1</v>
      </c>
      <c r="C3108" s="5" t="str">
        <f>IFERROR(__xludf.DUMMYFUNCTION("""COMPUTED_VALUE"""),"https://drive.google.com/file/d/1o3DNDY0tkc6QOW73U7XMYYg-pUUioYue/view?usp=drivesdk")</f>
        <v>https://drive.google.com/file/d/1o3DNDY0tkc6QOW73U7XMYYg-pUUioYue/view?usp=drivesdk</v>
      </c>
      <c r="D3108" s="12"/>
      <c r="E3108" s="11">
        <v>3146.0</v>
      </c>
      <c r="F3108" s="2"/>
    </row>
    <row r="3109" ht="1.5" customHeight="1">
      <c r="A3109" s="4" t="str">
        <f>IFERROR(__xludf.DUMMYFUNCTION("""COMPUTED_VALUE"""),"1. Microwave")</f>
        <v>1. Microwave</v>
      </c>
      <c r="B3109" s="4" t="str">
        <f>IFERROR(__xludf.DUMMYFUNCTION("""COMPUTED_VALUE"""),"1")</f>
        <v>1</v>
      </c>
      <c r="C3109" s="5" t="str">
        <f>IFERROR(__xludf.DUMMYFUNCTION("""COMPUTED_VALUE"""),"https://drive.google.com/file/d/1GfAoOOCrz5tCpugI5T3UDODoLD9TKAnA/view?usp=drivesdk")</f>
        <v>https://drive.google.com/file/d/1GfAoOOCrz5tCpugI5T3UDODoLD9TKAnA/view?usp=drivesdk</v>
      </c>
      <c r="D3109" s="12"/>
      <c r="E3109" s="11">
        <v>3147.0</v>
      </c>
      <c r="F3109" s="2"/>
    </row>
    <row r="3110" ht="1.5" customHeight="1">
      <c r="A3110" s="4" t="str">
        <f>IFERROR(__xludf.DUMMYFUNCTION("""COMPUTED_VALUE"""),"1. Microwave")</f>
        <v>1. Microwave</v>
      </c>
      <c r="B3110" s="4" t="str">
        <f>IFERROR(__xludf.DUMMYFUNCTION("""COMPUTED_VALUE"""),"1")</f>
        <v>1</v>
      </c>
      <c r="C3110" s="5" t="str">
        <f>IFERROR(__xludf.DUMMYFUNCTION("""COMPUTED_VALUE"""),"https://drive.google.com/file/d/1HGV0xW6jge5XKN1BzvOHUzb4SCEV-1yj/view?usp=drivesdk")</f>
        <v>https://drive.google.com/file/d/1HGV0xW6jge5XKN1BzvOHUzb4SCEV-1yj/view?usp=drivesdk</v>
      </c>
      <c r="D3110" s="12"/>
      <c r="E3110" s="11">
        <v>3148.0</v>
      </c>
      <c r="F3110" s="2"/>
    </row>
    <row r="3111" ht="1.5" customHeight="1">
      <c r="A3111" s="4" t="str">
        <f>IFERROR(__xludf.DUMMYFUNCTION("""COMPUTED_VALUE"""),"1. Microwave")</f>
        <v>1. Microwave</v>
      </c>
      <c r="B3111" s="4" t="str">
        <f>IFERROR(__xludf.DUMMYFUNCTION("""COMPUTED_VALUE"""),"1")</f>
        <v>1</v>
      </c>
      <c r="C3111" s="5" t="str">
        <f>IFERROR(__xludf.DUMMYFUNCTION("""COMPUTED_VALUE"""),"https://drive.google.com/file/d/1Lnd8xCuIvoaxL_7Xa68dQvhnEwxzrofW/view?usp=drivesdk")</f>
        <v>https://drive.google.com/file/d/1Lnd8xCuIvoaxL_7Xa68dQvhnEwxzrofW/view?usp=drivesdk</v>
      </c>
      <c r="D3111" s="12"/>
      <c r="E3111" s="11">
        <v>3149.0</v>
      </c>
      <c r="F3111" s="2"/>
    </row>
    <row r="3112" ht="1.5" customHeight="1">
      <c r="A3112" s="4" t="str">
        <f>IFERROR(__xludf.DUMMYFUNCTION("""COMPUTED_VALUE"""),"1. Microwave")</f>
        <v>1. Microwave</v>
      </c>
      <c r="B3112" s="4" t="str">
        <f>IFERROR(__xludf.DUMMYFUNCTION("""COMPUTED_VALUE"""),"1")</f>
        <v>1</v>
      </c>
      <c r="C3112" s="5" t="str">
        <f>IFERROR(__xludf.DUMMYFUNCTION("""COMPUTED_VALUE"""),"https://drive.google.com/file/d/1HTVxEpo-IhXWn5EfnsnGnlDc8BHbiHfA/view?usp=drivesdk")</f>
        <v>https://drive.google.com/file/d/1HTVxEpo-IhXWn5EfnsnGnlDc8BHbiHfA/view?usp=drivesdk</v>
      </c>
      <c r="D3112" s="12"/>
      <c r="E3112" s="11">
        <v>3150.0</v>
      </c>
      <c r="F3112" s="2"/>
    </row>
    <row r="3113" ht="1.5" customHeight="1">
      <c r="A3113" s="4" t="str">
        <f>IFERROR(__xludf.DUMMYFUNCTION("""COMPUTED_VALUE"""),"1. Microwave")</f>
        <v>1. Microwave</v>
      </c>
      <c r="B3113" s="4" t="str">
        <f>IFERROR(__xludf.DUMMYFUNCTION("""COMPUTED_VALUE"""),"1")</f>
        <v>1</v>
      </c>
      <c r="C3113" s="5" t="str">
        <f>IFERROR(__xludf.DUMMYFUNCTION("""COMPUTED_VALUE"""),"https://drive.google.com/file/d/1VfZwvOYp4YkG-bh-qcnmD4Zpj8W-kbXP/view?usp=drivesdk")</f>
        <v>https://drive.google.com/file/d/1VfZwvOYp4YkG-bh-qcnmD4Zpj8W-kbXP/view?usp=drivesdk</v>
      </c>
      <c r="D3113" s="12"/>
      <c r="E3113" s="11">
        <v>3151.0</v>
      </c>
      <c r="F3113" s="2"/>
    </row>
    <row r="3114" ht="1.5" customHeight="1">
      <c r="A3114" s="4" t="str">
        <f>IFERROR(__xludf.DUMMYFUNCTION("""COMPUTED_VALUE"""),"1. Microwave")</f>
        <v>1. Microwave</v>
      </c>
      <c r="B3114" s="4" t="str">
        <f>IFERROR(__xludf.DUMMYFUNCTION("""COMPUTED_VALUE"""),"1")</f>
        <v>1</v>
      </c>
      <c r="C3114" s="5" t="str">
        <f>IFERROR(__xludf.DUMMYFUNCTION("""COMPUTED_VALUE"""),"https://drive.google.com/file/d/1waxIK_DdVHcooaPaIAtQbMtXKJVORn86/view?usp=drivesdk")</f>
        <v>https://drive.google.com/file/d/1waxIK_DdVHcooaPaIAtQbMtXKJVORn86/view?usp=drivesdk</v>
      </c>
      <c r="D3114" s="12"/>
      <c r="E3114" s="11">
        <v>3152.0</v>
      </c>
      <c r="F3114" s="2"/>
    </row>
    <row r="3115" ht="1.5" customHeight="1">
      <c r="A3115" s="4" t="str">
        <f>IFERROR(__xludf.DUMMYFUNCTION("""COMPUTED_VALUE"""),"1. Microwave")</f>
        <v>1. Microwave</v>
      </c>
      <c r="B3115" s="4" t="str">
        <f>IFERROR(__xludf.DUMMYFUNCTION("""COMPUTED_VALUE"""),"1")</f>
        <v>1</v>
      </c>
      <c r="C3115" s="5" t="str">
        <f>IFERROR(__xludf.DUMMYFUNCTION("""COMPUTED_VALUE"""),"https://drive.google.com/file/d/1UtYsCxSPC0vyCmL5oVCQS7ktfr6RDtcU/view?usp=drivesdk")</f>
        <v>https://drive.google.com/file/d/1UtYsCxSPC0vyCmL5oVCQS7ktfr6RDtcU/view?usp=drivesdk</v>
      </c>
      <c r="D3115" s="12"/>
      <c r="E3115" s="11">
        <v>3153.0</v>
      </c>
      <c r="F3115" s="2"/>
    </row>
    <row r="3116" ht="1.5" customHeight="1">
      <c r="A3116" s="4" t="str">
        <f>IFERROR(__xludf.DUMMYFUNCTION("""COMPUTED_VALUE"""),"1. Microwave")</f>
        <v>1. Microwave</v>
      </c>
      <c r="B3116" s="4" t="str">
        <f>IFERROR(__xludf.DUMMYFUNCTION("""COMPUTED_VALUE"""),"1")</f>
        <v>1</v>
      </c>
      <c r="C3116" s="5" t="str">
        <f>IFERROR(__xludf.DUMMYFUNCTION("""COMPUTED_VALUE"""),"https://drive.google.com/file/d/1asiY5tpffKMyvhkthY6O5swST707VpnK/view?usp=drivesdk")</f>
        <v>https://drive.google.com/file/d/1asiY5tpffKMyvhkthY6O5swST707VpnK/view?usp=drivesdk</v>
      </c>
      <c r="D3116" s="12"/>
      <c r="E3116" s="11">
        <v>3154.0</v>
      </c>
      <c r="F3116" s="2"/>
    </row>
    <row r="3117" ht="1.5" customHeight="1">
      <c r="A3117" s="4" t="str">
        <f>IFERROR(__xludf.DUMMYFUNCTION("""COMPUTED_VALUE"""),"1. Microwave")</f>
        <v>1. Microwave</v>
      </c>
      <c r="B3117" s="4" t="str">
        <f>IFERROR(__xludf.DUMMYFUNCTION("""COMPUTED_VALUE"""),"1")</f>
        <v>1</v>
      </c>
      <c r="C3117" s="5" t="str">
        <f>IFERROR(__xludf.DUMMYFUNCTION("""COMPUTED_VALUE"""),"https://drive.google.com/file/d/1EvwHWy7NgKRCF46xVgu2i9Ne6xrnjPjR/view?usp=drivesdk")</f>
        <v>https://drive.google.com/file/d/1EvwHWy7NgKRCF46xVgu2i9Ne6xrnjPjR/view?usp=drivesdk</v>
      </c>
      <c r="D3117" s="12"/>
      <c r="E3117" s="11">
        <v>3155.0</v>
      </c>
      <c r="F3117" s="2"/>
    </row>
    <row r="3118" ht="1.5" customHeight="1">
      <c r="A3118" s="4" t="str">
        <f>IFERROR(__xludf.DUMMYFUNCTION("""COMPUTED_VALUE"""),"1. Microwave")</f>
        <v>1. Microwave</v>
      </c>
      <c r="B3118" s="4" t="str">
        <f>IFERROR(__xludf.DUMMYFUNCTION("""COMPUTED_VALUE"""),"1")</f>
        <v>1</v>
      </c>
      <c r="C3118" s="5" t="str">
        <f>IFERROR(__xludf.DUMMYFUNCTION("""COMPUTED_VALUE"""),"https://drive.google.com/file/d/11VP5Ntvos3Y4HUYMYOomlAmVivrlhsSt/view?usp=drivesdk")</f>
        <v>https://drive.google.com/file/d/11VP5Ntvos3Y4HUYMYOomlAmVivrlhsSt/view?usp=drivesdk</v>
      </c>
      <c r="D3118" s="12"/>
      <c r="E3118" s="11">
        <v>3156.0</v>
      </c>
      <c r="F3118" s="2"/>
    </row>
    <row r="3119" ht="1.5" customHeight="1">
      <c r="A3119" s="4" t="str">
        <f>IFERROR(__xludf.DUMMYFUNCTION("""COMPUTED_VALUE"""),"1. Microwave")</f>
        <v>1. Microwave</v>
      </c>
      <c r="B3119" s="4" t="str">
        <f>IFERROR(__xludf.DUMMYFUNCTION("""COMPUTED_VALUE"""),"1")</f>
        <v>1</v>
      </c>
      <c r="C3119" s="5" t="str">
        <f>IFERROR(__xludf.DUMMYFUNCTION("""COMPUTED_VALUE"""),"https://drive.google.com/file/d/1EthhAa1YvCMSCBs2EP9wEuKr9IJMjRtV/view?usp=drivesdk")</f>
        <v>https://drive.google.com/file/d/1EthhAa1YvCMSCBs2EP9wEuKr9IJMjRtV/view?usp=drivesdk</v>
      </c>
      <c r="D3119" s="12"/>
      <c r="E3119" s="11">
        <v>3157.0</v>
      </c>
      <c r="F3119" s="2"/>
    </row>
    <row r="3120" ht="1.5" customHeight="1">
      <c r="A3120" s="4" t="str">
        <f>IFERROR(__xludf.DUMMYFUNCTION("""COMPUTED_VALUE"""),"1. Microwave")</f>
        <v>1. Microwave</v>
      </c>
      <c r="B3120" s="4" t="str">
        <f>IFERROR(__xludf.DUMMYFUNCTION("""COMPUTED_VALUE"""),"1")</f>
        <v>1</v>
      </c>
      <c r="C3120" s="5" t="str">
        <f>IFERROR(__xludf.DUMMYFUNCTION("""COMPUTED_VALUE"""),"https://drive.google.com/file/d/1NajQYUc--GD_ZmSkO0KIrdEMgIf_gfS3/view?usp=drivesdk")</f>
        <v>https://drive.google.com/file/d/1NajQYUc--GD_ZmSkO0KIrdEMgIf_gfS3/view?usp=drivesdk</v>
      </c>
      <c r="D3120" s="12"/>
      <c r="E3120" s="11">
        <v>3158.0</v>
      </c>
      <c r="F3120" s="2"/>
    </row>
    <row r="3121" ht="1.5" customHeight="1">
      <c r="A3121" s="4" t="str">
        <f>IFERROR(__xludf.DUMMYFUNCTION("""COMPUTED_VALUE"""),"1. Microwave")</f>
        <v>1. Microwave</v>
      </c>
      <c r="B3121" s="4" t="str">
        <f>IFERROR(__xludf.DUMMYFUNCTION("""COMPUTED_VALUE"""),"1")</f>
        <v>1</v>
      </c>
      <c r="C3121" s="5" t="str">
        <f>IFERROR(__xludf.DUMMYFUNCTION("""COMPUTED_VALUE"""),"https://drive.google.com/file/d/1cvi8ct-0pUXntXKid4RpaqbQovqr6Imb/view?usp=drivesdk")</f>
        <v>https://drive.google.com/file/d/1cvi8ct-0pUXntXKid4RpaqbQovqr6Imb/view?usp=drivesdk</v>
      </c>
      <c r="D3121" s="12"/>
      <c r="E3121" s="11">
        <v>3159.0</v>
      </c>
      <c r="F3121" s="2"/>
    </row>
    <row r="3122" ht="1.5" customHeight="1">
      <c r="A3122" s="4" t="str">
        <f>IFERROR(__xludf.DUMMYFUNCTION("""COMPUTED_VALUE"""),"1. Microwave")</f>
        <v>1. Microwave</v>
      </c>
      <c r="B3122" s="4" t="str">
        <f>IFERROR(__xludf.DUMMYFUNCTION("""COMPUTED_VALUE"""),"1")</f>
        <v>1</v>
      </c>
      <c r="C3122" s="5" t="str">
        <f>IFERROR(__xludf.DUMMYFUNCTION("""COMPUTED_VALUE"""),"https://drive.google.com/file/d/1_BElP4TLb87BxDIXxgmAp0_yIuxPVAtk/view?usp=drivesdk")</f>
        <v>https://drive.google.com/file/d/1_BElP4TLb87BxDIXxgmAp0_yIuxPVAtk/view?usp=drivesdk</v>
      </c>
      <c r="D3122" s="12"/>
      <c r="E3122" s="11">
        <v>3160.0</v>
      </c>
      <c r="F3122" s="2"/>
    </row>
    <row r="3123" ht="1.5" customHeight="1">
      <c r="A3123" s="4" t="str">
        <f>IFERROR(__xludf.DUMMYFUNCTION("""COMPUTED_VALUE"""),"1. Microwave")</f>
        <v>1. Microwave</v>
      </c>
      <c r="B3123" s="4" t="str">
        <f>IFERROR(__xludf.DUMMYFUNCTION("""COMPUTED_VALUE"""),"1")</f>
        <v>1</v>
      </c>
      <c r="C3123" s="5" t="str">
        <f>IFERROR(__xludf.DUMMYFUNCTION("""COMPUTED_VALUE"""),"https://drive.google.com/file/d/1F28PSYdM4eXKNXlkNNu-q--TI343kBy3/view?usp=drivesdk")</f>
        <v>https://drive.google.com/file/d/1F28PSYdM4eXKNXlkNNu-q--TI343kBy3/view?usp=drivesdk</v>
      </c>
      <c r="D3123" s="12"/>
      <c r="E3123" s="11">
        <v>3161.0</v>
      </c>
      <c r="F3123" s="2"/>
    </row>
    <row r="3124" ht="1.5" customHeight="1">
      <c r="A3124" s="4" t="str">
        <f>IFERROR(__xludf.DUMMYFUNCTION("""COMPUTED_VALUE"""),"1. Microwave")</f>
        <v>1. Microwave</v>
      </c>
      <c r="B3124" s="4" t="str">
        <f>IFERROR(__xludf.DUMMYFUNCTION("""COMPUTED_VALUE"""),"1")</f>
        <v>1</v>
      </c>
      <c r="C3124" s="5" t="str">
        <f>IFERROR(__xludf.DUMMYFUNCTION("""COMPUTED_VALUE"""),"https://drive.google.com/file/d/1ZFxN0Tu3_iJksBxt07u38OAK5DnuuUOQ/view?usp=drivesdk")</f>
        <v>https://drive.google.com/file/d/1ZFxN0Tu3_iJksBxt07u38OAK5DnuuUOQ/view?usp=drivesdk</v>
      </c>
      <c r="D3124" s="12"/>
      <c r="E3124" s="11">
        <v>3162.0</v>
      </c>
      <c r="F3124" s="2"/>
    </row>
    <row r="3125" ht="1.5" customHeight="1">
      <c r="A3125" s="4" t="str">
        <f>IFERROR(__xludf.DUMMYFUNCTION("""COMPUTED_VALUE"""),"1. Microwave")</f>
        <v>1. Microwave</v>
      </c>
      <c r="B3125" s="4" t="str">
        <f>IFERROR(__xludf.DUMMYFUNCTION("""COMPUTED_VALUE"""),"1")</f>
        <v>1</v>
      </c>
      <c r="C3125" s="5" t="str">
        <f>IFERROR(__xludf.DUMMYFUNCTION("""COMPUTED_VALUE"""),"https://drive.google.com/file/d/18pY0WVLSPg9E0_cuYisfUAAvQxnIDctx/view?usp=drivesdk")</f>
        <v>https://drive.google.com/file/d/18pY0WVLSPg9E0_cuYisfUAAvQxnIDctx/view?usp=drivesdk</v>
      </c>
      <c r="D3125" s="12"/>
      <c r="E3125" s="11">
        <v>3163.0</v>
      </c>
      <c r="F3125" s="2"/>
    </row>
    <row r="3126" ht="1.5" customHeight="1">
      <c r="A3126" s="4" t="str">
        <f>IFERROR(__xludf.DUMMYFUNCTION("""COMPUTED_VALUE"""),"1. Microwave")</f>
        <v>1. Microwave</v>
      </c>
      <c r="B3126" s="4" t="str">
        <f>IFERROR(__xludf.DUMMYFUNCTION("""COMPUTED_VALUE"""),"1")</f>
        <v>1</v>
      </c>
      <c r="C3126" s="5" t="str">
        <f>IFERROR(__xludf.DUMMYFUNCTION("""COMPUTED_VALUE"""),"https://drive.google.com/file/d/1EgGxw12WsaGnimksdiqRseMtN21XBtAM/view?usp=drivesdk")</f>
        <v>https://drive.google.com/file/d/1EgGxw12WsaGnimksdiqRseMtN21XBtAM/view?usp=drivesdk</v>
      </c>
      <c r="D3126" s="12"/>
      <c r="E3126" s="11">
        <v>3164.0</v>
      </c>
      <c r="F3126" s="2"/>
    </row>
    <row r="3127" ht="1.5" customHeight="1">
      <c r="A3127" s="4" t="str">
        <f>IFERROR(__xludf.DUMMYFUNCTION("""COMPUTED_VALUE"""),"1. Microwave")</f>
        <v>1. Microwave</v>
      </c>
      <c r="B3127" s="4" t="str">
        <f>IFERROR(__xludf.DUMMYFUNCTION("""COMPUTED_VALUE"""),"1")</f>
        <v>1</v>
      </c>
      <c r="C3127" s="5" t="str">
        <f>IFERROR(__xludf.DUMMYFUNCTION("""COMPUTED_VALUE"""),"https://drive.google.com/file/d/1ceKX8uJBFK5XxN_sBZFqnYrf4QW-zfMC/view?usp=drivesdk")</f>
        <v>https://drive.google.com/file/d/1ceKX8uJBFK5XxN_sBZFqnYrf4QW-zfMC/view?usp=drivesdk</v>
      </c>
      <c r="D3127" s="12"/>
      <c r="E3127" s="11">
        <v>3165.0</v>
      </c>
      <c r="F3127" s="2"/>
    </row>
    <row r="3128" ht="1.5" customHeight="1">
      <c r="A3128" s="4" t="str">
        <f>IFERROR(__xludf.DUMMYFUNCTION("""COMPUTED_VALUE"""),"1. Microwave")</f>
        <v>1. Microwave</v>
      </c>
      <c r="B3128" s="4" t="str">
        <f>IFERROR(__xludf.DUMMYFUNCTION("""COMPUTED_VALUE"""),"1")</f>
        <v>1</v>
      </c>
      <c r="C3128" s="5" t="str">
        <f>IFERROR(__xludf.DUMMYFUNCTION("""COMPUTED_VALUE"""),"https://drive.google.com/file/d/1715uV1cQP3YJB8RO-D5mzudlthidQNY2/view?usp=drivesdk")</f>
        <v>https://drive.google.com/file/d/1715uV1cQP3YJB8RO-D5mzudlthidQNY2/view?usp=drivesdk</v>
      </c>
      <c r="D3128" s="12"/>
      <c r="E3128" s="11">
        <v>3166.0</v>
      </c>
      <c r="F3128" s="2"/>
    </row>
    <row r="3129" ht="1.5" customHeight="1">
      <c r="A3129" s="4" t="str">
        <f>IFERROR(__xludf.DUMMYFUNCTION("""COMPUTED_VALUE"""),"1. Microwave")</f>
        <v>1. Microwave</v>
      </c>
      <c r="B3129" s="4" t="str">
        <f>IFERROR(__xludf.DUMMYFUNCTION("""COMPUTED_VALUE"""),"1")</f>
        <v>1</v>
      </c>
      <c r="C3129" s="5" t="str">
        <f>IFERROR(__xludf.DUMMYFUNCTION("""COMPUTED_VALUE"""),"https://drive.google.com/file/d/19PzY3RapYBpy1E4jZnF35qGqZ2Ov1SLe/view?usp=drivesdk")</f>
        <v>https://drive.google.com/file/d/19PzY3RapYBpy1E4jZnF35qGqZ2Ov1SLe/view?usp=drivesdk</v>
      </c>
      <c r="D3129" s="12"/>
      <c r="E3129" s="11">
        <v>3167.0</v>
      </c>
      <c r="F3129" s="2"/>
    </row>
    <row r="3130" ht="1.5" customHeight="1">
      <c r="A3130" s="4" t="str">
        <f>IFERROR(__xludf.DUMMYFUNCTION("""COMPUTED_VALUE"""),"1. Microwave")</f>
        <v>1. Microwave</v>
      </c>
      <c r="B3130" s="4" t="str">
        <f>IFERROR(__xludf.DUMMYFUNCTION("""COMPUTED_VALUE"""),"1")</f>
        <v>1</v>
      </c>
      <c r="C3130" s="5" t="str">
        <f>IFERROR(__xludf.DUMMYFUNCTION("""COMPUTED_VALUE"""),"https://drive.google.com/file/d/1qfSGmpyfRXfgj4i9hnh7K9FpEegnmooJ/view?usp=drivesdk")</f>
        <v>https://drive.google.com/file/d/1qfSGmpyfRXfgj4i9hnh7K9FpEegnmooJ/view?usp=drivesdk</v>
      </c>
      <c r="D3130" s="12"/>
      <c r="E3130" s="11">
        <v>3168.0</v>
      </c>
      <c r="F3130" s="2"/>
    </row>
    <row r="3131" ht="1.5" customHeight="1">
      <c r="A3131" s="4" t="str">
        <f>IFERROR(__xludf.DUMMYFUNCTION("""COMPUTED_VALUE"""),"1. Microwave")</f>
        <v>1. Microwave</v>
      </c>
      <c r="B3131" s="4" t="str">
        <f>IFERROR(__xludf.DUMMYFUNCTION("""COMPUTED_VALUE"""),"1")</f>
        <v>1</v>
      </c>
      <c r="C3131" s="5" t="str">
        <f>IFERROR(__xludf.DUMMYFUNCTION("""COMPUTED_VALUE"""),"https://drive.google.com/file/d/1aFjOODEfRXk_N204OAuXEsJ2MQNfNPY-/view?usp=drivesdk")</f>
        <v>https://drive.google.com/file/d/1aFjOODEfRXk_N204OAuXEsJ2MQNfNPY-/view?usp=drivesdk</v>
      </c>
      <c r="D3131" s="12"/>
      <c r="E3131" s="11">
        <v>3169.0</v>
      </c>
      <c r="F3131" s="2"/>
    </row>
    <row r="3132" ht="1.5" customHeight="1">
      <c r="A3132" s="4" t="str">
        <f>IFERROR(__xludf.DUMMYFUNCTION("""COMPUTED_VALUE"""),"1. Microwave")</f>
        <v>1. Microwave</v>
      </c>
      <c r="B3132" s="4" t="str">
        <f>IFERROR(__xludf.DUMMYFUNCTION("""COMPUTED_VALUE"""),"1")</f>
        <v>1</v>
      </c>
      <c r="C3132" s="5" t="str">
        <f>IFERROR(__xludf.DUMMYFUNCTION("""COMPUTED_VALUE"""),"https://drive.google.com/file/d/1ZEwDikLwE30uJvDCg-pE5P6mJnL31Ys6/view?usp=drivesdk")</f>
        <v>https://drive.google.com/file/d/1ZEwDikLwE30uJvDCg-pE5P6mJnL31Ys6/view?usp=drivesdk</v>
      </c>
      <c r="D3132" s="12"/>
      <c r="E3132" s="11">
        <v>3170.0</v>
      </c>
      <c r="F3132" s="2"/>
    </row>
    <row r="3133" ht="1.5" customHeight="1">
      <c r="A3133" s="4" t="str">
        <f>IFERROR(__xludf.DUMMYFUNCTION("""COMPUTED_VALUE"""),"1. Microwave")</f>
        <v>1. Microwave</v>
      </c>
      <c r="B3133" s="4" t="str">
        <f>IFERROR(__xludf.DUMMYFUNCTION("""COMPUTED_VALUE"""),"1")</f>
        <v>1</v>
      </c>
      <c r="C3133" s="5" t="str">
        <f>IFERROR(__xludf.DUMMYFUNCTION("""COMPUTED_VALUE"""),"https://drive.google.com/file/d/1pekYl7XXV6_ooYEVRXZ8HMh2Kla6G0il/view?usp=drivesdk")</f>
        <v>https://drive.google.com/file/d/1pekYl7XXV6_ooYEVRXZ8HMh2Kla6G0il/view?usp=drivesdk</v>
      </c>
      <c r="D3133" s="12"/>
      <c r="E3133" s="11">
        <v>3171.0</v>
      </c>
      <c r="F3133" s="2"/>
    </row>
    <row r="3134" ht="1.5" customHeight="1">
      <c r="A3134" s="4" t="str">
        <f>IFERROR(__xludf.DUMMYFUNCTION("""COMPUTED_VALUE"""),"1. Microwave")</f>
        <v>1. Microwave</v>
      </c>
      <c r="B3134" s="4" t="str">
        <f>IFERROR(__xludf.DUMMYFUNCTION("""COMPUTED_VALUE"""),"1")</f>
        <v>1</v>
      </c>
      <c r="C3134" s="5" t="str">
        <f>IFERROR(__xludf.DUMMYFUNCTION("""COMPUTED_VALUE"""),"https://drive.google.com/file/d/1lUwwxIMCv5su4EqUKSHJEgGuNh7s-A87/view?usp=drivesdk")</f>
        <v>https://drive.google.com/file/d/1lUwwxIMCv5su4EqUKSHJEgGuNh7s-A87/view?usp=drivesdk</v>
      </c>
      <c r="D3134" s="12"/>
      <c r="E3134" s="11">
        <v>3172.0</v>
      </c>
      <c r="F3134" s="2"/>
    </row>
    <row r="3135" ht="1.5" customHeight="1">
      <c r="A3135" s="4" t="str">
        <f>IFERROR(__xludf.DUMMYFUNCTION("""COMPUTED_VALUE"""),"1. Microwave")</f>
        <v>1. Microwave</v>
      </c>
      <c r="B3135" s="4" t="str">
        <f>IFERROR(__xludf.DUMMYFUNCTION("""COMPUTED_VALUE"""),"1")</f>
        <v>1</v>
      </c>
      <c r="C3135" s="5" t="str">
        <f>IFERROR(__xludf.DUMMYFUNCTION("""COMPUTED_VALUE"""),"https://drive.google.com/file/d/1SBhxohAX-x2gG3X2edvlBEOiPe0T2pDe/view?usp=drivesdk")</f>
        <v>https://drive.google.com/file/d/1SBhxohAX-x2gG3X2edvlBEOiPe0T2pDe/view?usp=drivesdk</v>
      </c>
      <c r="D3135" s="12"/>
      <c r="E3135" s="11">
        <v>3173.0</v>
      </c>
      <c r="F3135" s="2"/>
    </row>
    <row r="3136" ht="1.5" customHeight="1">
      <c r="A3136" s="4" t="str">
        <f>IFERROR(__xludf.DUMMYFUNCTION("""COMPUTED_VALUE"""),"1. Microwave")</f>
        <v>1. Microwave</v>
      </c>
      <c r="B3136" s="4" t="str">
        <f>IFERROR(__xludf.DUMMYFUNCTION("""COMPUTED_VALUE"""),"1")</f>
        <v>1</v>
      </c>
      <c r="C3136" s="5" t="str">
        <f>IFERROR(__xludf.DUMMYFUNCTION("""COMPUTED_VALUE"""),"https://drive.google.com/file/d/138rfgRiZbKgVr7VAhCvJVsXXodbCi5wQ/view?usp=drivesdk")</f>
        <v>https://drive.google.com/file/d/138rfgRiZbKgVr7VAhCvJVsXXodbCi5wQ/view?usp=drivesdk</v>
      </c>
      <c r="D3136" s="12"/>
      <c r="E3136" s="11">
        <v>3174.0</v>
      </c>
      <c r="F3136" s="2"/>
    </row>
    <row r="3137" ht="1.5" customHeight="1">
      <c r="A3137" s="4" t="str">
        <f>IFERROR(__xludf.DUMMYFUNCTION("""COMPUTED_VALUE"""),"1. Microwave")</f>
        <v>1. Microwave</v>
      </c>
      <c r="B3137" s="4" t="str">
        <f>IFERROR(__xludf.DUMMYFUNCTION("""COMPUTED_VALUE"""),"1")</f>
        <v>1</v>
      </c>
      <c r="C3137" s="5" t="str">
        <f>IFERROR(__xludf.DUMMYFUNCTION("""COMPUTED_VALUE"""),"https://drive.google.com/file/d/1lGPP_sHDLFwuVgHTtcEOKgWknuAEcx_q/view?usp=drivesdk")</f>
        <v>https://drive.google.com/file/d/1lGPP_sHDLFwuVgHTtcEOKgWknuAEcx_q/view?usp=drivesdk</v>
      </c>
      <c r="D3137" s="12"/>
      <c r="E3137" s="11">
        <v>3175.0</v>
      </c>
      <c r="F3137" s="2"/>
    </row>
    <row r="3138" ht="1.5" customHeight="1">
      <c r="A3138" s="4" t="str">
        <f>IFERROR(__xludf.DUMMYFUNCTION("""COMPUTED_VALUE"""),"1. Microwave")</f>
        <v>1. Microwave</v>
      </c>
      <c r="B3138" s="4" t="str">
        <f>IFERROR(__xludf.DUMMYFUNCTION("""COMPUTED_VALUE"""),"1")</f>
        <v>1</v>
      </c>
      <c r="C3138" s="5" t="str">
        <f>IFERROR(__xludf.DUMMYFUNCTION("""COMPUTED_VALUE"""),"https://drive.google.com/file/d/1YsMwOHM1XuitgmjqCuQ3xJr8Xgy6gxN5/view?usp=drivesdk")</f>
        <v>https://drive.google.com/file/d/1YsMwOHM1XuitgmjqCuQ3xJr8Xgy6gxN5/view?usp=drivesdk</v>
      </c>
      <c r="D3138" s="12"/>
      <c r="E3138" s="11">
        <v>3176.0</v>
      </c>
      <c r="F3138" s="2"/>
    </row>
    <row r="3139" ht="1.5" customHeight="1">
      <c r="A3139" s="4" t="str">
        <f>IFERROR(__xludf.DUMMYFUNCTION("""COMPUTED_VALUE"""),"1. Microwave")</f>
        <v>1. Microwave</v>
      </c>
      <c r="B3139" s="4" t="str">
        <f>IFERROR(__xludf.DUMMYFUNCTION("""COMPUTED_VALUE"""),"1")</f>
        <v>1</v>
      </c>
      <c r="C3139" s="5" t="str">
        <f>IFERROR(__xludf.DUMMYFUNCTION("""COMPUTED_VALUE"""),"https://drive.google.com/file/d/1-6LFfkk0Neiqz3DqDO17tAzLQWppDJWX/view?usp=drivesdk")</f>
        <v>https://drive.google.com/file/d/1-6LFfkk0Neiqz3DqDO17tAzLQWppDJWX/view?usp=drivesdk</v>
      </c>
      <c r="D3139" s="12"/>
      <c r="E3139" s="11">
        <v>3177.0</v>
      </c>
      <c r="F3139" s="2"/>
    </row>
    <row r="3140" ht="1.5" customHeight="1">
      <c r="A3140" s="4" t="str">
        <f>IFERROR(__xludf.DUMMYFUNCTION("""COMPUTED_VALUE"""),"1. Microwave")</f>
        <v>1. Microwave</v>
      </c>
      <c r="B3140" s="4" t="str">
        <f>IFERROR(__xludf.DUMMYFUNCTION("""COMPUTED_VALUE"""),"1")</f>
        <v>1</v>
      </c>
      <c r="C3140" s="5" t="str">
        <f>IFERROR(__xludf.DUMMYFUNCTION("""COMPUTED_VALUE"""),"https://drive.google.com/file/d/1liUTSxemcqdKnTASVY05ssi_I1nV3oOC/view?usp=drivesdk")</f>
        <v>https://drive.google.com/file/d/1liUTSxemcqdKnTASVY05ssi_I1nV3oOC/view?usp=drivesdk</v>
      </c>
      <c r="D3140" s="12"/>
      <c r="E3140" s="11">
        <v>3178.0</v>
      </c>
      <c r="F3140" s="2"/>
    </row>
    <row r="3141" ht="1.5" customHeight="1">
      <c r="A3141" s="4" t="str">
        <f>IFERROR(__xludf.DUMMYFUNCTION("""COMPUTED_VALUE"""),"1. Microwave")</f>
        <v>1. Microwave</v>
      </c>
      <c r="B3141" s="4" t="str">
        <f>IFERROR(__xludf.DUMMYFUNCTION("""COMPUTED_VALUE"""),"1")</f>
        <v>1</v>
      </c>
      <c r="C3141" s="5" t="str">
        <f>IFERROR(__xludf.DUMMYFUNCTION("""COMPUTED_VALUE"""),"https://drive.google.com/file/d/11t-CM4WJXdM1C9f19uC991_0eZeXbCys/view?usp=drivesdk")</f>
        <v>https://drive.google.com/file/d/11t-CM4WJXdM1C9f19uC991_0eZeXbCys/view?usp=drivesdk</v>
      </c>
      <c r="D3141" s="12"/>
      <c r="E3141" s="11">
        <v>3179.0</v>
      </c>
      <c r="F3141" s="2"/>
    </row>
    <row r="3142" ht="1.5" customHeight="1">
      <c r="A3142" s="4" t="str">
        <f>IFERROR(__xludf.DUMMYFUNCTION("""COMPUTED_VALUE"""),"1. Microwave")</f>
        <v>1. Microwave</v>
      </c>
      <c r="B3142" s="4" t="str">
        <f>IFERROR(__xludf.DUMMYFUNCTION("""COMPUTED_VALUE"""),"1")</f>
        <v>1</v>
      </c>
      <c r="C3142" s="5" t="str">
        <f>IFERROR(__xludf.DUMMYFUNCTION("""COMPUTED_VALUE"""),"https://drive.google.com/file/d/1F4qiQGme_ekSCW6hMazQm5bgwoKhNadW/view?usp=drivesdk")</f>
        <v>https://drive.google.com/file/d/1F4qiQGme_ekSCW6hMazQm5bgwoKhNadW/view?usp=drivesdk</v>
      </c>
      <c r="D3142" s="12"/>
      <c r="E3142" s="11">
        <v>3180.0</v>
      </c>
      <c r="F3142" s="2"/>
    </row>
    <row r="3143" ht="1.5" customHeight="1">
      <c r="A3143" s="4" t="str">
        <f>IFERROR(__xludf.DUMMYFUNCTION("""COMPUTED_VALUE"""),"46. Princess, 61. Cassie")</f>
        <v>46. Princess, 61. Cassie</v>
      </c>
      <c r="B3143" s="4" t="str">
        <f>IFERROR(__xludf.DUMMYFUNCTION("""COMPUTED_VALUE"""),"46, 61")</f>
        <v>46, 61</v>
      </c>
      <c r="C3143" s="5" t="str">
        <f>IFERROR(__xludf.DUMMYFUNCTION("""COMPUTED_VALUE"""),"https://drive.google.com/file/d/153Dg9i1et5IrH-_uYMEDWKD-pa0vHmoG/view?usp=drivesdk")</f>
        <v>https://drive.google.com/file/d/153Dg9i1et5IrH-_uYMEDWKD-pa0vHmoG/view?usp=drivesdk</v>
      </c>
      <c r="D3143" s="12"/>
      <c r="E3143" s="11">
        <v>3181.0</v>
      </c>
      <c r="F3143" s="2"/>
    </row>
    <row r="3144" ht="1.5" customHeight="1">
      <c r="A3144" s="4" t="str">
        <f>IFERROR(__xludf.DUMMYFUNCTION("""COMPUTED_VALUE"""),"46. Princess, 61. Cassie")</f>
        <v>46. Princess, 61. Cassie</v>
      </c>
      <c r="B3144" s="4" t="str">
        <f>IFERROR(__xludf.DUMMYFUNCTION("""COMPUTED_VALUE"""),"46, 61")</f>
        <v>46, 61</v>
      </c>
      <c r="C3144" s="5" t="str">
        <f>IFERROR(__xludf.DUMMYFUNCTION("""COMPUTED_VALUE"""),"https://drive.google.com/file/d/1d29NaxOelEtrDsUZXMAA3EIRtz8TRWDR/view?usp=drivesdk")</f>
        <v>https://drive.google.com/file/d/1d29NaxOelEtrDsUZXMAA3EIRtz8TRWDR/view?usp=drivesdk</v>
      </c>
      <c r="D3144" s="12"/>
      <c r="E3144" s="11">
        <v>3182.0</v>
      </c>
      <c r="F3144" s="2"/>
    </row>
    <row r="3145" ht="1.5" customHeight="1">
      <c r="A3145" s="4" t="str">
        <f>IFERROR(__xludf.DUMMYFUNCTION("""COMPUTED_VALUE"""),"45. Boots, 12. Faye, 42. Rubber")</f>
        <v>45. Boots, 12. Faye, 42. Rubber</v>
      </c>
      <c r="B3145" s="4" t="str">
        <f>IFERROR(__xludf.DUMMYFUNCTION("""COMPUTED_VALUE"""),"45, 12, 42")</f>
        <v>45, 12, 42</v>
      </c>
      <c r="C3145" s="5" t="str">
        <f>IFERROR(__xludf.DUMMYFUNCTION("""COMPUTED_VALUE"""),"https://drive.google.com/file/d/1cnAIZH6Z0Ryvz1kn2Pa-QwA3Q_nnq4CT/view?usp=drivesdk")</f>
        <v>https://drive.google.com/file/d/1cnAIZH6Z0Ryvz1kn2Pa-QwA3Q_nnq4CT/view?usp=drivesdk</v>
      </c>
      <c r="D3145" s="12"/>
      <c r="E3145" s="11">
        <v>3183.0</v>
      </c>
      <c r="F3145" s="2"/>
    </row>
    <row r="3146" ht="1.5" customHeight="1">
      <c r="A3146" s="4" t="str">
        <f>IFERROR(__xludf.DUMMYFUNCTION("""COMPUTED_VALUE"""),"45. Boots")</f>
        <v>45. Boots</v>
      </c>
      <c r="B3146" s="4" t="str">
        <f>IFERROR(__xludf.DUMMYFUNCTION("""COMPUTED_VALUE"""),"45")</f>
        <v>45</v>
      </c>
      <c r="C3146" s="5" t="str">
        <f>IFERROR(__xludf.DUMMYFUNCTION("""COMPUTED_VALUE"""),"https://drive.google.com/file/d/1pAYeiVNMbnFJNrmXC6tAMp27n6YeHZmR/view?usp=drivesdk")</f>
        <v>https://drive.google.com/file/d/1pAYeiVNMbnFJNrmXC6tAMp27n6YeHZmR/view?usp=drivesdk</v>
      </c>
      <c r="D3146" s="12"/>
      <c r="E3146" s="11">
        <v>3184.0</v>
      </c>
      <c r="F3146" s="2"/>
    </row>
    <row r="3147" ht="1.5" customHeight="1">
      <c r="A3147" s="4" t="str">
        <f>IFERROR(__xludf.DUMMYFUNCTION("""COMPUTED_VALUE"""),"40. Dumpster, 12. Faye, 41. Gregory, 39. Radar")</f>
        <v>40. Dumpster, 12. Faye, 41. Gregory, 39. Radar</v>
      </c>
      <c r="B3147" s="4" t="str">
        <f>IFERROR(__xludf.DUMMYFUNCTION("""COMPUTED_VALUE"""),"40, 12, 41, 39")</f>
        <v>40, 12, 41, 39</v>
      </c>
      <c r="C3147" s="5" t="str">
        <f>IFERROR(__xludf.DUMMYFUNCTION("""COMPUTED_VALUE"""),"https://drive.google.com/file/d/1o5X-hgLARxj3KHuqpyPHcavZPcJi-o_1/view?usp=drivesdk")</f>
        <v>https://drive.google.com/file/d/1o5X-hgLARxj3KHuqpyPHcavZPcJi-o_1/view?usp=drivesdk</v>
      </c>
      <c r="D3147" s="12"/>
      <c r="E3147" s="11">
        <v>3185.0</v>
      </c>
      <c r="F3147" s="2"/>
    </row>
    <row r="3148" ht="1.5" customHeight="1">
      <c r="A3148" s="4" t="str">
        <f>IFERROR(__xludf.DUMMYFUNCTION("""COMPUTED_VALUE"""),"45. Boots")</f>
        <v>45. Boots</v>
      </c>
      <c r="B3148" s="4" t="str">
        <f>IFERROR(__xludf.DUMMYFUNCTION("""COMPUTED_VALUE"""),"45")</f>
        <v>45</v>
      </c>
      <c r="C3148" s="5" t="str">
        <f>IFERROR(__xludf.DUMMYFUNCTION("""COMPUTED_VALUE"""),"https://drive.google.com/file/d/1UOaos0S-McDEYTFR3rtfV99882eRAR3s/view?usp=drivesdk")</f>
        <v>https://drive.google.com/file/d/1UOaos0S-McDEYTFR3rtfV99882eRAR3s/view?usp=drivesdk</v>
      </c>
      <c r="D3148" s="12"/>
      <c r="E3148" s="11">
        <v>3186.0</v>
      </c>
      <c r="F3148" s="2"/>
    </row>
    <row r="3149" ht="1.5" customHeight="1">
      <c r="A3149" s="4" t="str">
        <f>IFERROR(__xludf.DUMMYFUNCTION("""COMPUTED_VALUE"""),"45. Boots, 12. Faye, 42. Rubber")</f>
        <v>45. Boots, 12. Faye, 42. Rubber</v>
      </c>
      <c r="B3149" s="4" t="str">
        <f>IFERROR(__xludf.DUMMYFUNCTION("""COMPUTED_VALUE"""),"45, 12, 42")</f>
        <v>45, 12, 42</v>
      </c>
      <c r="C3149" s="5" t="str">
        <f>IFERROR(__xludf.DUMMYFUNCTION("""COMPUTED_VALUE"""),"https://drive.google.com/file/d/1ktZ64jCmfQSfwfUw6JK2ckCxc3xmLx-v/view?usp=drivesdk")</f>
        <v>https://drive.google.com/file/d/1ktZ64jCmfQSfwfUw6JK2ckCxc3xmLx-v/view?usp=drivesdk</v>
      </c>
      <c r="D3149" s="12"/>
      <c r="E3149" s="11">
        <v>3187.0</v>
      </c>
      <c r="F3149" s="2"/>
    </row>
    <row r="3150" ht="1.5" customHeight="1">
      <c r="A3150" s="4" t="str">
        <f>IFERROR(__xludf.DUMMYFUNCTION("""COMPUTED_VALUE"""),"40. Dumpster, 42. Rubber")</f>
        <v>40. Dumpster, 42. Rubber</v>
      </c>
      <c r="B3150" s="4" t="str">
        <f>IFERROR(__xludf.DUMMYFUNCTION("""COMPUTED_VALUE"""),"40, 42")</f>
        <v>40, 42</v>
      </c>
      <c r="C3150" s="5" t="str">
        <f>IFERROR(__xludf.DUMMYFUNCTION("""COMPUTED_VALUE"""),"https://drive.google.com/file/d/1mKqmd8Ff8AirSkoBXriOaQi4i-kaHotZ/view?usp=drivesdk")</f>
        <v>https://drive.google.com/file/d/1mKqmd8Ff8AirSkoBXriOaQi4i-kaHotZ/view?usp=drivesdk</v>
      </c>
      <c r="D3150" s="12"/>
      <c r="E3150" s="11">
        <v>3188.0</v>
      </c>
      <c r="F3150" s="2"/>
    </row>
    <row r="3151" ht="1.5" customHeight="1">
      <c r="A3151" s="4" t="str">
        <f>IFERROR(__xludf.DUMMYFUNCTION("""COMPUTED_VALUE"""),"46. Princess, 61. Cassie")</f>
        <v>46. Princess, 61. Cassie</v>
      </c>
      <c r="B3151" s="4" t="str">
        <f>IFERROR(__xludf.DUMMYFUNCTION("""COMPUTED_VALUE"""),"46, 61")</f>
        <v>46, 61</v>
      </c>
      <c r="C3151" s="5" t="str">
        <f>IFERROR(__xludf.DUMMYFUNCTION("""COMPUTED_VALUE"""),"https://drive.google.com/file/d/1NwCICzqEXFMo-Hqt4fFBEkFbipjQ7lsl/view?usp=drivesdk")</f>
        <v>https://drive.google.com/file/d/1NwCICzqEXFMo-Hqt4fFBEkFbipjQ7lsl/view?usp=drivesdk</v>
      </c>
      <c r="D3151" s="12"/>
      <c r="E3151" s="11">
        <v>3189.0</v>
      </c>
      <c r="F3151" s="2"/>
    </row>
    <row r="3152" ht="1.5" customHeight="1">
      <c r="A3152" s="4" t="str">
        <f>IFERROR(__xludf.DUMMYFUNCTION("""COMPUTED_VALUE"""),"46. Princess, 61. Cassie")</f>
        <v>46. Princess, 61. Cassie</v>
      </c>
      <c r="B3152" s="4" t="str">
        <f>IFERROR(__xludf.DUMMYFUNCTION("""COMPUTED_VALUE"""),"46, 61")</f>
        <v>46, 61</v>
      </c>
      <c r="C3152" s="5" t="str">
        <f>IFERROR(__xludf.DUMMYFUNCTION("""COMPUTED_VALUE"""),"https://drive.google.com/file/d/1r5PBuc9EyuONTXnheAeIad2nnnOm0Ssk/view?usp=drivesdk")</f>
        <v>https://drive.google.com/file/d/1r5PBuc9EyuONTXnheAeIad2nnnOm0Ssk/view?usp=drivesdk</v>
      </c>
      <c r="D3152" s="12"/>
      <c r="E3152" s="11">
        <v>3190.0</v>
      </c>
      <c r="F3152" s="2"/>
    </row>
    <row r="3153" ht="1.5" customHeight="1">
      <c r="A3153" s="4" t="str">
        <f>IFERROR(__xludf.DUMMYFUNCTION("""COMPUTED_VALUE"""),"46. Princess, 61. Cassie")</f>
        <v>46. Princess, 61. Cassie</v>
      </c>
      <c r="B3153" s="4" t="str">
        <f>IFERROR(__xludf.DUMMYFUNCTION("""COMPUTED_VALUE"""),"46, 61")</f>
        <v>46, 61</v>
      </c>
      <c r="C3153" s="5" t="str">
        <f>IFERROR(__xludf.DUMMYFUNCTION("""COMPUTED_VALUE"""),"https://drive.google.com/file/d/1OVH1DGT3yk1UxFowlISpmN6GPwR8XDMu/view?usp=drivesdk")</f>
        <v>https://drive.google.com/file/d/1OVH1DGT3yk1UxFowlISpmN6GPwR8XDMu/view?usp=drivesdk</v>
      </c>
      <c r="D3153" s="12"/>
      <c r="E3153" s="11">
        <v>3191.0</v>
      </c>
      <c r="F3153" s="2"/>
    </row>
    <row r="3154" ht="1.5" customHeight="1">
      <c r="A3154" s="4" t="str">
        <f>IFERROR(__xludf.DUMMYFUNCTION("""COMPUTED_VALUE"""),"42. Rubber, 40. Dumpster, 12. Faye, 41. Gregory, 39. Radar")</f>
        <v>42. Rubber, 40. Dumpster, 12. Faye, 41. Gregory, 39. Radar</v>
      </c>
      <c r="B3154" s="4" t="str">
        <f>IFERROR(__xludf.DUMMYFUNCTION("""COMPUTED_VALUE"""),"42, 40, 12, 41, 39")</f>
        <v>42, 40, 12, 41, 39</v>
      </c>
      <c r="C3154" s="5" t="str">
        <f>IFERROR(__xludf.DUMMYFUNCTION("""COMPUTED_VALUE"""),"https://drive.google.com/file/d/1xrPi5CXxg-jZ3aTmEQsG97Nd_DGXbTKl/view?usp=drivesdk")</f>
        <v>https://drive.google.com/file/d/1xrPi5CXxg-jZ3aTmEQsG97Nd_DGXbTKl/view?usp=drivesdk</v>
      </c>
      <c r="D3154" s="12"/>
      <c r="E3154" s="11">
        <v>3192.0</v>
      </c>
      <c r="F3154" s="2"/>
    </row>
    <row r="3155" ht="1.5" customHeight="1">
      <c r="A3155" s="4" t="str">
        <f>IFERROR(__xludf.DUMMYFUNCTION("""COMPUTED_VALUE"""),"46. Princess, 61. Cassie")</f>
        <v>46. Princess, 61. Cassie</v>
      </c>
      <c r="B3155" s="4" t="str">
        <f>IFERROR(__xludf.DUMMYFUNCTION("""COMPUTED_VALUE"""),"46, 61")</f>
        <v>46, 61</v>
      </c>
      <c r="C3155" s="5" t="str">
        <f>IFERROR(__xludf.DUMMYFUNCTION("""COMPUTED_VALUE"""),"https://drive.google.com/file/d/1T1Kv5tKze8e7YRdhRj267c7DZTf7Vswq/view?usp=drivesdk")</f>
        <v>https://drive.google.com/file/d/1T1Kv5tKze8e7YRdhRj267c7DZTf7Vswq/view?usp=drivesdk</v>
      </c>
      <c r="D3155" s="12"/>
      <c r="E3155" s="11">
        <v>3193.0</v>
      </c>
      <c r="F3155" s="2"/>
    </row>
    <row r="3156" ht="1.5" customHeight="1">
      <c r="A3156" s="4" t="str">
        <f>IFERROR(__xludf.DUMMYFUNCTION("""COMPUTED_VALUE"""),"46. Princess, 61. Cassie")</f>
        <v>46. Princess, 61. Cassie</v>
      </c>
      <c r="B3156" s="4" t="str">
        <f>IFERROR(__xludf.DUMMYFUNCTION("""COMPUTED_VALUE"""),"46, 61")</f>
        <v>46, 61</v>
      </c>
      <c r="C3156" s="5" t="str">
        <f>IFERROR(__xludf.DUMMYFUNCTION("""COMPUTED_VALUE"""),"https://drive.google.com/file/d/1arNUVzIeSEtthWKZdcmCoHY5i5XAf7FF/view?usp=drivesdk")</f>
        <v>https://drive.google.com/file/d/1arNUVzIeSEtthWKZdcmCoHY5i5XAf7FF/view?usp=drivesdk</v>
      </c>
      <c r="D3156" s="12"/>
      <c r="E3156" s="11">
        <v>3194.0</v>
      </c>
      <c r="F3156" s="2"/>
    </row>
    <row r="3157" ht="1.5" customHeight="1">
      <c r="A3157" s="4" t="str">
        <f>IFERROR(__xludf.DUMMYFUNCTION("""COMPUTED_VALUE"""),"46. Princess, 61. Cassie")</f>
        <v>46. Princess, 61. Cassie</v>
      </c>
      <c r="B3157" s="4" t="str">
        <f>IFERROR(__xludf.DUMMYFUNCTION("""COMPUTED_VALUE"""),"46, 61")</f>
        <v>46, 61</v>
      </c>
      <c r="C3157" s="5" t="str">
        <f>IFERROR(__xludf.DUMMYFUNCTION("""COMPUTED_VALUE"""),"https://drive.google.com/file/d/1OKR1gRH5Rk-3apz9BDOqZlpJHomnWeKO/view?usp=drivesdk")</f>
        <v>https://drive.google.com/file/d/1OKR1gRH5Rk-3apz9BDOqZlpJHomnWeKO/view?usp=drivesdk</v>
      </c>
      <c r="D3157" s="12"/>
      <c r="E3157" s="11">
        <v>3195.0</v>
      </c>
      <c r="F3157" s="2"/>
    </row>
    <row r="3158" ht="1.5" customHeight="1">
      <c r="A3158" s="4" t="str">
        <f>IFERROR(__xludf.DUMMYFUNCTION("""COMPUTED_VALUE"""),"46. Princess, 61. Cassie")</f>
        <v>46. Princess, 61. Cassie</v>
      </c>
      <c r="B3158" s="4" t="str">
        <f>IFERROR(__xludf.DUMMYFUNCTION("""COMPUTED_VALUE"""),"46, 61")</f>
        <v>46, 61</v>
      </c>
      <c r="C3158" s="5" t="str">
        <f>IFERROR(__xludf.DUMMYFUNCTION("""COMPUTED_VALUE"""),"https://drive.google.com/file/d/1e2EGsy0Ydt0RM65igm1Mrhy3Z_O0ZtbD/view?usp=drivesdk")</f>
        <v>https://drive.google.com/file/d/1e2EGsy0Ydt0RM65igm1Mrhy3Z_O0ZtbD/view?usp=drivesdk</v>
      </c>
      <c r="D3158" s="12"/>
      <c r="E3158" s="11">
        <v>3196.0</v>
      </c>
      <c r="F3158" s="2"/>
    </row>
    <row r="3159" ht="1.5" customHeight="1">
      <c r="A3159" s="4" t="str">
        <f>IFERROR(__xludf.DUMMYFUNCTION("""COMPUTED_VALUE"""),"42. Rubber, 40. Dumpster, 41. Gregory, 39. Radar")</f>
        <v>42. Rubber, 40. Dumpster, 41. Gregory, 39. Radar</v>
      </c>
      <c r="B3159" s="4" t="str">
        <f>IFERROR(__xludf.DUMMYFUNCTION("""COMPUTED_VALUE"""),"42, 40, 41, 39")</f>
        <v>42, 40, 41, 39</v>
      </c>
      <c r="C3159" s="5" t="str">
        <f>IFERROR(__xludf.DUMMYFUNCTION("""COMPUTED_VALUE"""),"https://drive.google.com/file/d/1-4jy5bGQ1NHcCxVh7SrLXwB4oITwl6tR/view?usp=drivesdk")</f>
        <v>https://drive.google.com/file/d/1-4jy5bGQ1NHcCxVh7SrLXwB4oITwl6tR/view?usp=drivesdk</v>
      </c>
      <c r="D3159" s="12"/>
      <c r="E3159" s="11">
        <v>3197.0</v>
      </c>
      <c r="F3159" s="2"/>
    </row>
    <row r="3160" ht="1.5" customHeight="1">
      <c r="A3160" s="4" t="str">
        <f>IFERROR(__xludf.DUMMYFUNCTION("""COMPUTED_VALUE"""),"42. Rubber, 40. Dumpster, 41. Gregory, 39. Radar, 46. Princess")</f>
        <v>42. Rubber, 40. Dumpster, 41. Gregory, 39. Radar, 46. Princess</v>
      </c>
      <c r="B3160" s="4" t="str">
        <f>IFERROR(__xludf.DUMMYFUNCTION("""COMPUTED_VALUE"""),"42, 40, 41, 39, 46")</f>
        <v>42, 40, 41, 39, 46</v>
      </c>
      <c r="C3160" s="5" t="str">
        <f>IFERROR(__xludf.DUMMYFUNCTION("""COMPUTED_VALUE"""),"https://drive.google.com/file/d/1yn-uZvh0EcSygbFoQG5PFpVgn4o4IuR_/view?usp=drivesdk")</f>
        <v>https://drive.google.com/file/d/1yn-uZvh0EcSygbFoQG5PFpVgn4o4IuR_/view?usp=drivesdk</v>
      </c>
      <c r="D3160" s="12"/>
      <c r="E3160" s="11">
        <v>3198.0</v>
      </c>
      <c r="F3160" s="2"/>
    </row>
    <row r="3161" ht="1.5" customHeight="1">
      <c r="A3161" s="4" t="str">
        <f>IFERROR(__xludf.DUMMYFUNCTION("""COMPUTED_VALUE"""),"42. Rubber, 40. Dumpster, 41. Gregory, 39. Radar, 46. Princess")</f>
        <v>42. Rubber, 40. Dumpster, 41. Gregory, 39. Radar, 46. Princess</v>
      </c>
      <c r="B3161" s="4" t="str">
        <f>IFERROR(__xludf.DUMMYFUNCTION("""COMPUTED_VALUE"""),"42, 40, 41, 39, 46")</f>
        <v>42, 40, 41, 39, 46</v>
      </c>
      <c r="C3161" s="5" t="str">
        <f>IFERROR(__xludf.DUMMYFUNCTION("""COMPUTED_VALUE"""),"https://drive.google.com/file/d/1T1q6OPzaND-DFDjmKt_IM3k1qgZaMOSo/view?usp=drivesdk")</f>
        <v>https://drive.google.com/file/d/1T1q6OPzaND-DFDjmKt_IM3k1qgZaMOSo/view?usp=drivesdk</v>
      </c>
      <c r="D3161" s="12"/>
      <c r="E3161" s="11">
        <v>3199.0</v>
      </c>
      <c r="F3161" s="2"/>
    </row>
    <row r="3162" ht="1.5" customHeight="1">
      <c r="A3162" s="4" t="str">
        <f>IFERROR(__xludf.DUMMYFUNCTION("""COMPUTED_VALUE"""),"42. Rubber, 40. Dumpster, 41. Gregory, 39. Radar, 46. Princess")</f>
        <v>42. Rubber, 40. Dumpster, 41. Gregory, 39. Radar, 46. Princess</v>
      </c>
      <c r="B3162" s="4" t="str">
        <f>IFERROR(__xludf.DUMMYFUNCTION("""COMPUTED_VALUE"""),"42, 40, 41, 39, 46")</f>
        <v>42, 40, 41, 39, 46</v>
      </c>
      <c r="C3162" s="5" t="str">
        <f>IFERROR(__xludf.DUMMYFUNCTION("""COMPUTED_VALUE"""),"https://drive.google.com/file/d/1T4qpJ99C1tFHYOohXdzNZE6CTecOgUuN/view?usp=drivesdk")</f>
        <v>https://drive.google.com/file/d/1T4qpJ99C1tFHYOohXdzNZE6CTecOgUuN/view?usp=drivesdk</v>
      </c>
      <c r="D3162" s="12"/>
      <c r="E3162" s="11">
        <v>3200.0</v>
      </c>
      <c r="F3162" s="2"/>
    </row>
    <row r="3163" ht="1.5" customHeight="1">
      <c r="A3163" s="4" t="str">
        <f>IFERROR(__xludf.DUMMYFUNCTION("""COMPUTED_VALUE"""),"40. Dumpster, 12. Faye, 45. Boots, 39. Radar")</f>
        <v>40. Dumpster, 12. Faye, 45. Boots, 39. Radar</v>
      </c>
      <c r="B3163" s="4" t="str">
        <f>IFERROR(__xludf.DUMMYFUNCTION("""COMPUTED_VALUE"""),"40, 12, 45, 39")</f>
        <v>40, 12, 45, 39</v>
      </c>
      <c r="C3163" s="5" t="str">
        <f>IFERROR(__xludf.DUMMYFUNCTION("""COMPUTED_VALUE"""),"https://drive.google.com/file/d/10aPeB883Zlj3QomPRN0lhEYAcN8FUeh4/view?usp=drivesdk")</f>
        <v>https://drive.google.com/file/d/10aPeB883Zlj3QomPRN0lhEYAcN8FUeh4/view?usp=drivesdk</v>
      </c>
      <c r="D3163" s="12"/>
      <c r="E3163" s="11">
        <v>3201.0</v>
      </c>
      <c r="F3163" s="2"/>
    </row>
    <row r="3164" ht="1.5" customHeight="1">
      <c r="A3164" s="4" t="str">
        <f>IFERROR(__xludf.DUMMYFUNCTION("""COMPUTED_VALUE"""),"40. Dumpster, 42. Rubber, 39. Radar, 41. Gregory")</f>
        <v>40. Dumpster, 42. Rubber, 39. Radar, 41. Gregory</v>
      </c>
      <c r="B3164" s="4" t="str">
        <f>IFERROR(__xludf.DUMMYFUNCTION("""COMPUTED_VALUE"""),"40, 42, 39, 41")</f>
        <v>40, 42, 39, 41</v>
      </c>
      <c r="C3164" s="5" t="str">
        <f>IFERROR(__xludf.DUMMYFUNCTION("""COMPUTED_VALUE"""),"https://drive.google.com/file/d/13PSEsRtpSX_jarN4MMXs2yggXsHLRsjX/view?usp=drivesdk")</f>
        <v>https://drive.google.com/file/d/13PSEsRtpSX_jarN4MMXs2yggXsHLRsjX/view?usp=drivesdk</v>
      </c>
      <c r="D3164" s="12"/>
      <c r="E3164" s="11">
        <v>3202.0</v>
      </c>
      <c r="F3164" s="2"/>
    </row>
    <row r="3165" ht="1.5" customHeight="1">
      <c r="A3165" s="4" t="str">
        <f>IFERROR(__xludf.DUMMYFUNCTION("""COMPUTED_VALUE"""),"40. Dumpster, 42. Rubber, 39. Radar, 41. Gregory, 46. Princess")</f>
        <v>40. Dumpster, 42. Rubber, 39. Radar, 41. Gregory, 46. Princess</v>
      </c>
      <c r="B3165" s="4" t="str">
        <f>IFERROR(__xludf.DUMMYFUNCTION("""COMPUTED_VALUE"""),"40, 42, 39, 41, 46")</f>
        <v>40, 42, 39, 41, 46</v>
      </c>
      <c r="C3165" s="5" t="str">
        <f>IFERROR(__xludf.DUMMYFUNCTION("""COMPUTED_VALUE"""),"https://drive.google.com/file/d/1Rppwc-608hxMQNlsc7i_Rb755NDZ0ZFH/view?usp=drivesdk")</f>
        <v>https://drive.google.com/file/d/1Rppwc-608hxMQNlsc7i_Rb755NDZ0ZFH/view?usp=drivesdk</v>
      </c>
      <c r="D3165" s="12"/>
      <c r="E3165" s="11">
        <v>3203.0</v>
      </c>
      <c r="F3165" s="2"/>
    </row>
    <row r="3166" ht="1.5" customHeight="1">
      <c r="A3166" s="4" t="str">
        <f>IFERROR(__xludf.DUMMYFUNCTION("""COMPUTED_VALUE"""),"12. Faye, 45. Boots, 40. Dumpster, 42. Rubber, 39. Radar, 41. Gregory")</f>
        <v>12. Faye, 45. Boots, 40. Dumpster, 42. Rubber, 39. Radar, 41. Gregory</v>
      </c>
      <c r="B3166" s="4" t="str">
        <f>IFERROR(__xludf.DUMMYFUNCTION("""COMPUTED_VALUE"""),"12, 45, 40, 42, 39, 41")</f>
        <v>12, 45, 40, 42, 39, 41</v>
      </c>
      <c r="C3166" s="5" t="str">
        <f>IFERROR(__xludf.DUMMYFUNCTION("""COMPUTED_VALUE"""),"https://drive.google.com/file/d/17jZsmZDuorOyi1QxY_vKoyZkNV0DAfWs/view?usp=drivesdk")</f>
        <v>https://drive.google.com/file/d/17jZsmZDuorOyi1QxY_vKoyZkNV0DAfWs/view?usp=drivesdk</v>
      </c>
      <c r="D3166" s="12"/>
      <c r="E3166" s="11">
        <v>3204.0</v>
      </c>
      <c r="F3166" s="2"/>
    </row>
    <row r="3167" ht="1.5" customHeight="1">
      <c r="A3167" s="4" t="str">
        <f>IFERROR(__xludf.DUMMYFUNCTION("""COMPUTED_VALUE"""),"45. Boots")</f>
        <v>45. Boots</v>
      </c>
      <c r="B3167" s="4" t="str">
        <f>IFERROR(__xludf.DUMMYFUNCTION("""COMPUTED_VALUE"""),"45")</f>
        <v>45</v>
      </c>
      <c r="C3167" s="5" t="str">
        <f>IFERROR(__xludf.DUMMYFUNCTION("""COMPUTED_VALUE"""),"https://drive.google.com/file/d/1xvlwg1s8VuUp1SaEH-MiWJntOAoUGlis/view?usp=drivesdk")</f>
        <v>https://drive.google.com/file/d/1xvlwg1s8VuUp1SaEH-MiWJntOAoUGlis/view?usp=drivesdk</v>
      </c>
      <c r="D3167" s="12"/>
      <c r="E3167" s="11">
        <v>3205.0</v>
      </c>
      <c r="F3167" s="2"/>
    </row>
    <row r="3168" ht="1.5" customHeight="1">
      <c r="A3168" s="4" t="str">
        <f>IFERROR(__xludf.DUMMYFUNCTION("""COMPUTED_VALUE"""),"46. Princess, 40. Dumpster, 39. Radar, 41. Gregory, 12. Faye")</f>
        <v>46. Princess, 40. Dumpster, 39. Radar, 41. Gregory, 12. Faye</v>
      </c>
      <c r="B3168" s="4" t="str">
        <f>IFERROR(__xludf.DUMMYFUNCTION("""COMPUTED_VALUE"""),"46, 40, 39, 41, 12")</f>
        <v>46, 40, 39, 41, 12</v>
      </c>
      <c r="C3168" s="5" t="str">
        <f>IFERROR(__xludf.DUMMYFUNCTION("""COMPUTED_VALUE"""),"https://drive.google.com/file/d/1M1ty8MOICEN3DsNC1bwmZPr1FrL1rm2U/view?usp=drivesdk")</f>
        <v>https://drive.google.com/file/d/1M1ty8MOICEN3DsNC1bwmZPr1FrL1rm2U/view?usp=drivesdk</v>
      </c>
      <c r="D3168" s="12"/>
      <c r="E3168" s="11">
        <v>3206.0</v>
      </c>
      <c r="F3168" s="2"/>
    </row>
    <row r="3169" ht="1.5" customHeight="1">
      <c r="A3169" s="4" t="str">
        <f>IFERROR(__xludf.DUMMYFUNCTION("""COMPUTED_VALUE"""),"45. Boots, 42. Rubber")</f>
        <v>45. Boots, 42. Rubber</v>
      </c>
      <c r="B3169" s="4" t="str">
        <f>IFERROR(__xludf.DUMMYFUNCTION("""COMPUTED_VALUE"""),"45, 42")</f>
        <v>45, 42</v>
      </c>
      <c r="C3169" s="5" t="str">
        <f>IFERROR(__xludf.DUMMYFUNCTION("""COMPUTED_VALUE"""),"https://drive.google.com/file/d/1Huwo9gJBZB-yXQ0-gmVAE828AAMYSUu8/view?usp=drivesdk")</f>
        <v>https://drive.google.com/file/d/1Huwo9gJBZB-yXQ0-gmVAE828AAMYSUu8/view?usp=drivesdk</v>
      </c>
      <c r="D3169" s="12"/>
      <c r="E3169" s="11">
        <v>3207.0</v>
      </c>
      <c r="F3169" s="2"/>
    </row>
    <row r="3170" ht="1.5" customHeight="1">
      <c r="A3170" s="4" t="str">
        <f>IFERROR(__xludf.DUMMYFUNCTION("""COMPUTED_VALUE"""),"42. Rubber, 40. Dumpster, 12. Faye, 41. Gregory")</f>
        <v>42. Rubber, 40. Dumpster, 12. Faye, 41. Gregory</v>
      </c>
      <c r="B3170" s="4" t="str">
        <f>IFERROR(__xludf.DUMMYFUNCTION("""COMPUTED_VALUE"""),"42, 40, 12, 41")</f>
        <v>42, 40, 12, 41</v>
      </c>
      <c r="C3170" s="5" t="str">
        <f>IFERROR(__xludf.DUMMYFUNCTION("""COMPUTED_VALUE"""),"https://drive.google.com/file/d/1v_7rH3EO3elzzjDBF4RIMyJ-LJYc_GVh/view?usp=drivesdk")</f>
        <v>https://drive.google.com/file/d/1v_7rH3EO3elzzjDBF4RIMyJ-LJYc_GVh/view?usp=drivesdk</v>
      </c>
      <c r="D3170" s="12"/>
      <c r="E3170" s="11">
        <v>3208.0</v>
      </c>
      <c r="F3170" s="2"/>
    </row>
    <row r="3171" ht="1.5" customHeight="1">
      <c r="A3171" s="4" t="str">
        <f>IFERROR(__xludf.DUMMYFUNCTION("""COMPUTED_VALUE"""),"42. Rubber, 40. Dumpster, 12. Faye, 41. Gregory")</f>
        <v>42. Rubber, 40. Dumpster, 12. Faye, 41. Gregory</v>
      </c>
      <c r="B3171" s="4" t="str">
        <f>IFERROR(__xludf.DUMMYFUNCTION("""COMPUTED_VALUE"""),"42, 40, 12, 41")</f>
        <v>42, 40, 12, 41</v>
      </c>
      <c r="C3171" s="5" t="str">
        <f>IFERROR(__xludf.DUMMYFUNCTION("""COMPUTED_VALUE"""),"https://drive.google.com/file/d/1RQsaUXGErjFwoWcedEF6IB4ex2wbS5Nz/view?usp=drivesdk")</f>
        <v>https://drive.google.com/file/d/1RQsaUXGErjFwoWcedEF6IB4ex2wbS5Nz/view?usp=drivesdk</v>
      </c>
      <c r="D3171" s="12"/>
      <c r="E3171" s="11">
        <v>3209.0</v>
      </c>
      <c r="F3171" s="2"/>
    </row>
    <row r="3172" ht="1.5" customHeight="1">
      <c r="A3172" s="4" t="str">
        <f>IFERROR(__xludf.DUMMYFUNCTION("""COMPUTED_VALUE"""),"42. Rubber")</f>
        <v>42. Rubber</v>
      </c>
      <c r="B3172" s="4" t="str">
        <f>IFERROR(__xludf.DUMMYFUNCTION("""COMPUTED_VALUE"""),"42")</f>
        <v>42</v>
      </c>
      <c r="C3172" s="5" t="str">
        <f>IFERROR(__xludf.DUMMYFUNCTION("""COMPUTED_VALUE"""),"https://drive.google.com/file/d/1yd3SM289f8V89O3dGw-707y915c1xrRG/view?usp=drivesdk")</f>
        <v>https://drive.google.com/file/d/1yd3SM289f8V89O3dGw-707y915c1xrRG/view?usp=drivesdk</v>
      </c>
      <c r="D3172" s="12"/>
      <c r="E3172" s="11">
        <v>3210.0</v>
      </c>
      <c r="F3172" s="2"/>
    </row>
    <row r="3173" ht="1.5" customHeight="1">
      <c r="A3173" s="4" t="str">
        <f>IFERROR(__xludf.DUMMYFUNCTION("""COMPUTED_VALUE"""),"42. Rubber, 40. Dumpster, 12. Faye, 41. Gregory")</f>
        <v>42. Rubber, 40. Dumpster, 12. Faye, 41. Gregory</v>
      </c>
      <c r="B3173" s="4" t="str">
        <f>IFERROR(__xludf.DUMMYFUNCTION("""COMPUTED_VALUE"""),"42, 40, 12, 41")</f>
        <v>42, 40, 12, 41</v>
      </c>
      <c r="C3173" s="5" t="str">
        <f>IFERROR(__xludf.DUMMYFUNCTION("""COMPUTED_VALUE"""),"https://drive.google.com/file/d/1RjrIYtCN_6k7VGFD3s9HlRHFZjv6-_O9/view?usp=drivesdk")</f>
        <v>https://drive.google.com/file/d/1RjrIYtCN_6k7VGFD3s9HlRHFZjv6-_O9/view?usp=drivesdk</v>
      </c>
      <c r="D3173" s="12"/>
      <c r="E3173" s="11">
        <v>3211.0</v>
      </c>
      <c r="F3173" s="2"/>
    </row>
    <row r="3174" ht="1.5" customHeight="1">
      <c r="A3174" s="4" t="str">
        <f>IFERROR(__xludf.DUMMYFUNCTION("""COMPUTED_VALUE"""),"45. Boots, 39. Radar, 12. Faye, 42. Rubber")</f>
        <v>45. Boots, 39. Radar, 12. Faye, 42. Rubber</v>
      </c>
      <c r="B3174" s="4" t="str">
        <f>IFERROR(__xludf.DUMMYFUNCTION("""COMPUTED_VALUE"""),"45, 39, 12, 42")</f>
        <v>45, 39, 12, 42</v>
      </c>
      <c r="C3174" s="5" t="str">
        <f>IFERROR(__xludf.DUMMYFUNCTION("""COMPUTED_VALUE"""),"https://drive.google.com/file/d/1d-3gsSswNrPcWAj79M7zsQHO814tSd-v/view?usp=drivesdk")</f>
        <v>https://drive.google.com/file/d/1d-3gsSswNrPcWAj79M7zsQHO814tSd-v/view?usp=drivesdk</v>
      </c>
      <c r="D3174" s="12"/>
      <c r="E3174" s="11">
        <v>3212.0</v>
      </c>
      <c r="F3174" s="2"/>
    </row>
    <row r="3175" ht="1.5" customHeight="1">
      <c r="A3175" s="4" t="str">
        <f>IFERROR(__xludf.DUMMYFUNCTION("""COMPUTED_VALUE"""),"39. Radar, 12. Faye")</f>
        <v>39. Radar, 12. Faye</v>
      </c>
      <c r="B3175" s="4" t="str">
        <f>IFERROR(__xludf.DUMMYFUNCTION("""COMPUTED_VALUE"""),"39, 12")</f>
        <v>39, 12</v>
      </c>
      <c r="C3175" s="5" t="str">
        <f>IFERROR(__xludf.DUMMYFUNCTION("""COMPUTED_VALUE"""),"https://drive.google.com/file/d/1JkQloowRsZmWvjYGpeuVF_2aMnzBUSbw/view?usp=drivesdk")</f>
        <v>https://drive.google.com/file/d/1JkQloowRsZmWvjYGpeuVF_2aMnzBUSbw/view?usp=drivesdk</v>
      </c>
      <c r="D3175" s="12"/>
      <c r="E3175" s="11">
        <v>3213.0</v>
      </c>
      <c r="F3175" s="2"/>
    </row>
    <row r="3176" ht="1.5" customHeight="1">
      <c r="A3176" s="4" t="str">
        <f>IFERROR(__xludf.DUMMYFUNCTION("""COMPUTED_VALUE"""),"46. Princess, 42. Rubber, 40. Dumpster, 39. Radar")</f>
        <v>46. Princess, 42. Rubber, 40. Dumpster, 39. Radar</v>
      </c>
      <c r="B3176" s="4" t="str">
        <f>IFERROR(__xludf.DUMMYFUNCTION("""COMPUTED_VALUE"""),"46, 42, 40, 39")</f>
        <v>46, 42, 40, 39</v>
      </c>
      <c r="C3176" s="5" t="str">
        <f>IFERROR(__xludf.DUMMYFUNCTION("""COMPUTED_VALUE"""),"https://drive.google.com/file/d/1GLBixhUHr6zSt6gL53gempIeEPJENKy4/view?usp=drivesdk")</f>
        <v>https://drive.google.com/file/d/1GLBixhUHr6zSt6gL53gempIeEPJENKy4/view?usp=drivesdk</v>
      </c>
      <c r="D3176" s="12"/>
      <c r="E3176" s="11">
        <v>3214.0</v>
      </c>
      <c r="F3176" s="2"/>
    </row>
    <row r="3177" ht="1.5" customHeight="1">
      <c r="A3177" s="4" t="str">
        <f>IFERROR(__xludf.DUMMYFUNCTION("""COMPUTED_VALUE"""),"46. Princess, 42. Rubber, 40. Dumpster, 39. Radar")</f>
        <v>46. Princess, 42. Rubber, 40. Dumpster, 39. Radar</v>
      </c>
      <c r="B3177" s="4" t="str">
        <f>IFERROR(__xludf.DUMMYFUNCTION("""COMPUTED_VALUE"""),"46, 42, 40, 39")</f>
        <v>46, 42, 40, 39</v>
      </c>
      <c r="C3177" s="5" t="str">
        <f>IFERROR(__xludf.DUMMYFUNCTION("""COMPUTED_VALUE"""),"https://drive.google.com/file/d/1d4NHcC7gWfzKk3jZTYlvKpfE6SKa-B_b/view?usp=drivesdk")</f>
        <v>https://drive.google.com/file/d/1d4NHcC7gWfzKk3jZTYlvKpfE6SKa-B_b/view?usp=drivesdk</v>
      </c>
      <c r="D3177" s="12"/>
      <c r="E3177" s="11">
        <v>3215.0</v>
      </c>
      <c r="F3177" s="2"/>
    </row>
    <row r="3178" ht="1.5" customHeight="1">
      <c r="A3178" s="4" t="str">
        <f>IFERROR(__xludf.DUMMYFUNCTION("""COMPUTED_VALUE"""),"46. Princess, 42. Rubber, 40. Dumpster")</f>
        <v>46. Princess, 42. Rubber, 40. Dumpster</v>
      </c>
      <c r="B3178" s="4" t="str">
        <f>IFERROR(__xludf.DUMMYFUNCTION("""COMPUTED_VALUE"""),"46, 42, 40")</f>
        <v>46, 42, 40</v>
      </c>
      <c r="C3178" s="5" t="str">
        <f>IFERROR(__xludf.DUMMYFUNCTION("""COMPUTED_VALUE"""),"https://drive.google.com/file/d/13hHnS8qJSM0WkuGUkXPN9zsCN5HK-Rlq/view?usp=drivesdk")</f>
        <v>https://drive.google.com/file/d/13hHnS8qJSM0WkuGUkXPN9zsCN5HK-Rlq/view?usp=drivesdk</v>
      </c>
      <c r="D3178" s="12"/>
      <c r="E3178" s="11">
        <v>3216.0</v>
      </c>
      <c r="F3178" s="2"/>
    </row>
    <row r="3179" ht="1.5" customHeight="1">
      <c r="A3179" s="4" t="str">
        <f>IFERROR(__xludf.DUMMYFUNCTION("""COMPUTED_VALUE"""),"12. Faye")</f>
        <v>12. Faye</v>
      </c>
      <c r="B3179" s="4" t="str">
        <f>IFERROR(__xludf.DUMMYFUNCTION("""COMPUTED_VALUE"""),"12")</f>
        <v>12</v>
      </c>
      <c r="C3179" s="5" t="str">
        <f>IFERROR(__xludf.DUMMYFUNCTION("""COMPUTED_VALUE"""),"https://drive.google.com/file/d/1hJxY9_ruiJKaoxko465_aUDLaVQrCx9B/view?usp=drivesdk")</f>
        <v>https://drive.google.com/file/d/1hJxY9_ruiJKaoxko465_aUDLaVQrCx9B/view?usp=drivesdk</v>
      </c>
      <c r="D3179" s="12"/>
      <c r="E3179" s="11">
        <v>3217.0</v>
      </c>
      <c r="F3179" s="2"/>
    </row>
    <row r="3180" ht="1.5" customHeight="1">
      <c r="A3180" s="4" t="str">
        <f>IFERROR(__xludf.DUMMYFUNCTION("""COMPUTED_VALUE"""),"46. Princess, 42. Rubber, 40. Dumpster")</f>
        <v>46. Princess, 42. Rubber, 40. Dumpster</v>
      </c>
      <c r="B3180" s="4" t="str">
        <f>IFERROR(__xludf.DUMMYFUNCTION("""COMPUTED_VALUE"""),"46, 42, 40")</f>
        <v>46, 42, 40</v>
      </c>
      <c r="C3180" s="5" t="str">
        <f>IFERROR(__xludf.DUMMYFUNCTION("""COMPUTED_VALUE"""),"https://drive.google.com/file/d/1UdwPiSI0eVDCpPy314fgEulmfHakcUsN/view?usp=drivesdk")</f>
        <v>https://drive.google.com/file/d/1UdwPiSI0eVDCpPy314fgEulmfHakcUsN/view?usp=drivesdk</v>
      </c>
      <c r="D3180" s="12"/>
      <c r="E3180" s="11">
        <v>3218.0</v>
      </c>
      <c r="F3180" s="2"/>
    </row>
    <row r="3181" ht="1.5" customHeight="1">
      <c r="A3181" s="4" t="str">
        <f>IFERROR(__xludf.DUMMYFUNCTION("""COMPUTED_VALUE"""),"46. Princess, 42. Rubber, 40. Dumpster")</f>
        <v>46. Princess, 42. Rubber, 40. Dumpster</v>
      </c>
      <c r="B3181" s="4" t="str">
        <f>IFERROR(__xludf.DUMMYFUNCTION("""COMPUTED_VALUE"""),"46, 42, 40")</f>
        <v>46, 42, 40</v>
      </c>
      <c r="C3181" s="5" t="str">
        <f>IFERROR(__xludf.DUMMYFUNCTION("""COMPUTED_VALUE"""),"https://drive.google.com/file/d/1aH6V00R9Aps3YS2E7kys4-NrvL1qEjF4/view?usp=drivesdk")</f>
        <v>https://drive.google.com/file/d/1aH6V00R9Aps3YS2E7kys4-NrvL1qEjF4/view?usp=drivesdk</v>
      </c>
      <c r="D3181" s="12"/>
      <c r="E3181" s="11">
        <v>3219.0</v>
      </c>
      <c r="F3181" s="2"/>
    </row>
    <row r="3182" ht="1.5" customHeight="1">
      <c r="A3182" s="4" t="str">
        <f>IFERROR(__xludf.DUMMYFUNCTION("""COMPUTED_VALUE"""),"46. Princess, 42. Rubber, 45. Boots")</f>
        <v>46. Princess, 42. Rubber, 45. Boots</v>
      </c>
      <c r="B3182" s="4" t="str">
        <f>IFERROR(__xludf.DUMMYFUNCTION("""COMPUTED_VALUE"""),"46, 42, 45")</f>
        <v>46, 42, 45</v>
      </c>
      <c r="C3182" s="5" t="str">
        <f>IFERROR(__xludf.DUMMYFUNCTION("""COMPUTED_VALUE"""),"https://drive.google.com/file/d/1BhNWNTvoqw9v62JsvraRCkqwKChOQ0l6/view?usp=drivesdk")</f>
        <v>https://drive.google.com/file/d/1BhNWNTvoqw9v62JsvraRCkqwKChOQ0l6/view?usp=drivesdk</v>
      </c>
      <c r="D3182" s="12"/>
      <c r="E3182" s="11">
        <v>3220.0</v>
      </c>
      <c r="F3182" s="2"/>
    </row>
    <row r="3183" ht="1.5" customHeight="1">
      <c r="A3183" s="4" t="str">
        <f>IFERROR(__xludf.DUMMYFUNCTION("""COMPUTED_VALUE"""),"46. Princess, 42. Rubber, 45. Boots")</f>
        <v>46. Princess, 42. Rubber, 45. Boots</v>
      </c>
      <c r="B3183" s="4" t="str">
        <f>IFERROR(__xludf.DUMMYFUNCTION("""COMPUTED_VALUE"""),"46, 42, 45")</f>
        <v>46, 42, 45</v>
      </c>
      <c r="C3183" s="5" t="str">
        <f>IFERROR(__xludf.DUMMYFUNCTION("""COMPUTED_VALUE"""),"https://drive.google.com/file/d/1yhe5oKOMY-A-2ETJNKYAA15julIASMAp/view?usp=drivesdk")</f>
        <v>https://drive.google.com/file/d/1yhe5oKOMY-A-2ETJNKYAA15julIASMAp/view?usp=drivesdk</v>
      </c>
      <c r="D3183" s="12"/>
      <c r="E3183" s="11">
        <v>3221.0</v>
      </c>
      <c r="F3183" s="2"/>
    </row>
    <row r="3184" ht="1.5" customHeight="1">
      <c r="A3184" s="4" t="str">
        <f>IFERROR(__xludf.DUMMYFUNCTION("""COMPUTED_VALUE"""),"61. Cassie")</f>
        <v>61. Cassie</v>
      </c>
      <c r="B3184" s="4" t="str">
        <f>IFERROR(__xludf.DUMMYFUNCTION("""COMPUTED_VALUE"""),"61")</f>
        <v>61</v>
      </c>
      <c r="C3184" s="5" t="str">
        <f>IFERROR(__xludf.DUMMYFUNCTION("""COMPUTED_VALUE"""),"https://drive.google.com/file/d/1JpOojt9my51ubIeZrtAg9MxD6iGcLIE-/view?usp=drivesdk")</f>
        <v>https://drive.google.com/file/d/1JpOojt9my51ubIeZrtAg9MxD6iGcLIE-/view?usp=drivesdk</v>
      </c>
      <c r="D3184" s="12"/>
      <c r="E3184" s="11">
        <v>3222.0</v>
      </c>
      <c r="F3184" s="2"/>
    </row>
    <row r="3185" ht="1.5" customHeight="1">
      <c r="A3185" s="4" t="str">
        <f>IFERROR(__xludf.DUMMYFUNCTION("""COMPUTED_VALUE"""),"46. Princess, 42. Rubber, 40. Dumpster")</f>
        <v>46. Princess, 42. Rubber, 40. Dumpster</v>
      </c>
      <c r="B3185" s="4" t="str">
        <f>IFERROR(__xludf.DUMMYFUNCTION("""COMPUTED_VALUE"""),"46, 42, 40")</f>
        <v>46, 42, 40</v>
      </c>
      <c r="C3185" s="5" t="str">
        <f>IFERROR(__xludf.DUMMYFUNCTION("""COMPUTED_VALUE"""),"https://drive.google.com/file/d/1TxTOcYmx7J8axI8UoFLAwjeitpFA--JL/view?usp=drivesdk")</f>
        <v>https://drive.google.com/file/d/1TxTOcYmx7J8axI8UoFLAwjeitpFA--JL/view?usp=drivesdk</v>
      </c>
      <c r="D3185" s="12"/>
      <c r="E3185" s="11">
        <v>3223.0</v>
      </c>
      <c r="F3185" s="2"/>
    </row>
    <row r="3186" ht="1.5" customHeight="1">
      <c r="A3186" s="4" t="str">
        <f>IFERROR(__xludf.DUMMYFUNCTION("""COMPUTED_VALUE"""),"61. Cassie")</f>
        <v>61. Cassie</v>
      </c>
      <c r="B3186" s="4" t="str">
        <f>IFERROR(__xludf.DUMMYFUNCTION("""COMPUTED_VALUE"""),"61")</f>
        <v>61</v>
      </c>
      <c r="C3186" s="5" t="str">
        <f>IFERROR(__xludf.DUMMYFUNCTION("""COMPUTED_VALUE"""),"https://drive.google.com/file/d/1RqzplZ7HCR7MT8Wc46Ba7ZFqJWYN_4-x/view?usp=drivesdk")</f>
        <v>https://drive.google.com/file/d/1RqzplZ7HCR7MT8Wc46Ba7ZFqJWYN_4-x/view?usp=drivesdk</v>
      </c>
      <c r="D3186" s="12"/>
      <c r="E3186" s="11">
        <v>3224.0</v>
      </c>
      <c r="F3186" s="2"/>
    </row>
    <row r="3187" ht="1.5" customHeight="1">
      <c r="A3187" s="4" t="str">
        <f>IFERROR(__xludf.DUMMYFUNCTION("""COMPUTED_VALUE"""),"39. Radar, 41. Gregory, 12. Faye")</f>
        <v>39. Radar, 41. Gregory, 12. Faye</v>
      </c>
      <c r="B3187" s="4" t="str">
        <f>IFERROR(__xludf.DUMMYFUNCTION("""COMPUTED_VALUE"""),"39, 41, 12")</f>
        <v>39, 41, 12</v>
      </c>
      <c r="C3187" s="5" t="str">
        <f>IFERROR(__xludf.DUMMYFUNCTION("""COMPUTED_VALUE"""),"https://drive.google.com/file/d/17ZsPyepYV2sBjmbHtxQDf6umJFNFaBAp/view?usp=drivesdk")</f>
        <v>https://drive.google.com/file/d/17ZsPyepYV2sBjmbHtxQDf6umJFNFaBAp/view?usp=drivesdk</v>
      </c>
      <c r="D3187" s="12"/>
      <c r="E3187" s="11">
        <v>3225.0</v>
      </c>
      <c r="F3187" s="2"/>
    </row>
    <row r="3188" ht="1.5" customHeight="1">
      <c r="A3188" s="4" t="str">
        <f>IFERROR(__xludf.DUMMYFUNCTION("""COMPUTED_VALUE"""),"46. Princess, 42. Rubber, 40. Dumpster")</f>
        <v>46. Princess, 42. Rubber, 40. Dumpster</v>
      </c>
      <c r="B3188" s="4" t="str">
        <f>IFERROR(__xludf.DUMMYFUNCTION("""COMPUTED_VALUE"""),"46, 42, 40")</f>
        <v>46, 42, 40</v>
      </c>
      <c r="C3188" s="5" t="str">
        <f>IFERROR(__xludf.DUMMYFUNCTION("""COMPUTED_VALUE"""),"https://drive.google.com/file/d/1F6ANB9ENG2_7wjTL63agAOvPFHF5zk3K/view?usp=drivesdk")</f>
        <v>https://drive.google.com/file/d/1F6ANB9ENG2_7wjTL63agAOvPFHF5zk3K/view?usp=drivesdk</v>
      </c>
      <c r="D3188" s="12"/>
      <c r="E3188" s="11">
        <v>3226.0</v>
      </c>
      <c r="F3188" s="2"/>
    </row>
    <row r="3189" ht="1.5" customHeight="1">
      <c r="A3189" s="4" t="str">
        <f>IFERROR(__xludf.DUMMYFUNCTION("""COMPUTED_VALUE"""),"42. Rubber, 12. Faye, 46. Princess")</f>
        <v>42. Rubber, 12. Faye, 46. Princess</v>
      </c>
      <c r="B3189" s="4" t="str">
        <f>IFERROR(__xludf.DUMMYFUNCTION("""COMPUTED_VALUE"""),"42, 12, 46")</f>
        <v>42, 12, 46</v>
      </c>
      <c r="C3189" s="5" t="str">
        <f>IFERROR(__xludf.DUMMYFUNCTION("""COMPUTED_VALUE"""),"https://drive.google.com/file/d/1Fe1upEg1wRH-GonrO64RJrU6JRW4WNAm/view?usp=drivesdk")</f>
        <v>https://drive.google.com/file/d/1Fe1upEg1wRH-GonrO64RJrU6JRW4WNAm/view?usp=drivesdk</v>
      </c>
      <c r="D3189" s="12"/>
      <c r="E3189" s="11">
        <v>3227.0</v>
      </c>
      <c r="F3189" s="2"/>
    </row>
    <row r="3190" ht="1.5" customHeight="1">
      <c r="A3190" s="4" t="str">
        <f>IFERROR(__xludf.DUMMYFUNCTION("""COMPUTED_VALUE"""),"42. Rubber, 12. Faye, 46. Princess")</f>
        <v>42. Rubber, 12. Faye, 46. Princess</v>
      </c>
      <c r="B3190" s="4" t="str">
        <f>IFERROR(__xludf.DUMMYFUNCTION("""COMPUTED_VALUE"""),"42, 12, 46")</f>
        <v>42, 12, 46</v>
      </c>
      <c r="C3190" s="5" t="str">
        <f>IFERROR(__xludf.DUMMYFUNCTION("""COMPUTED_VALUE"""),"https://drive.google.com/file/d/19I3sSqu3PXwK1j50Z9WVsMg-ZYghH1h6/view?usp=drivesdk")</f>
        <v>https://drive.google.com/file/d/19I3sSqu3PXwK1j50Z9WVsMg-ZYghH1h6/view?usp=drivesdk</v>
      </c>
      <c r="D3190" s="12"/>
      <c r="E3190" s="11">
        <v>3228.0</v>
      </c>
      <c r="F3190" s="2"/>
    </row>
    <row r="3191" ht="1.5" customHeight="1">
      <c r="A3191" s="4" t="str">
        <f>IFERROR(__xludf.DUMMYFUNCTION("""COMPUTED_VALUE"""),"39. Radar, 40. Dumpster, 46. Princess")</f>
        <v>39. Radar, 40. Dumpster, 46. Princess</v>
      </c>
      <c r="B3191" s="4" t="str">
        <f>IFERROR(__xludf.DUMMYFUNCTION("""COMPUTED_VALUE"""),"39, 40, 46")</f>
        <v>39, 40, 46</v>
      </c>
      <c r="C3191" s="5" t="str">
        <f>IFERROR(__xludf.DUMMYFUNCTION("""COMPUTED_VALUE"""),"https://drive.google.com/file/d/1DUuDGzd1nMTpyH9wquMNMlLXwrbtrAWq/view?usp=drivesdk")</f>
        <v>https://drive.google.com/file/d/1DUuDGzd1nMTpyH9wquMNMlLXwrbtrAWq/view?usp=drivesdk</v>
      </c>
      <c r="D3191" s="12"/>
      <c r="E3191" s="11">
        <v>3229.0</v>
      </c>
      <c r="F3191" s="2"/>
    </row>
    <row r="3192" ht="1.5" customHeight="1">
      <c r="A3192" s="4" t="str">
        <f>IFERROR(__xludf.DUMMYFUNCTION("""COMPUTED_VALUE"""),"46. Princess, 42. Rubber, 40. Dumpster")</f>
        <v>46. Princess, 42. Rubber, 40. Dumpster</v>
      </c>
      <c r="B3192" s="4" t="str">
        <f>IFERROR(__xludf.DUMMYFUNCTION("""COMPUTED_VALUE"""),"46, 42, 40")</f>
        <v>46, 42, 40</v>
      </c>
      <c r="C3192" s="5" t="str">
        <f>IFERROR(__xludf.DUMMYFUNCTION("""COMPUTED_VALUE"""),"https://drive.google.com/file/d/1lu42lNOXbc-i7KNvDlMU7cExRmFZK8OW/view?usp=drivesdk")</f>
        <v>https://drive.google.com/file/d/1lu42lNOXbc-i7KNvDlMU7cExRmFZK8OW/view?usp=drivesdk</v>
      </c>
      <c r="D3192" s="12"/>
      <c r="E3192" s="11">
        <v>3230.0</v>
      </c>
      <c r="F3192" s="2"/>
    </row>
    <row r="3193" ht="1.5" customHeight="1">
      <c r="A3193" s="4" t="str">
        <f>IFERROR(__xludf.DUMMYFUNCTION("""COMPUTED_VALUE"""),"46. Princess, 42. Rubber, 40. Dumpster")</f>
        <v>46. Princess, 42. Rubber, 40. Dumpster</v>
      </c>
      <c r="B3193" s="4" t="str">
        <f>IFERROR(__xludf.DUMMYFUNCTION("""COMPUTED_VALUE"""),"46, 42, 40")</f>
        <v>46, 42, 40</v>
      </c>
      <c r="C3193" s="5" t="str">
        <f>IFERROR(__xludf.DUMMYFUNCTION("""COMPUTED_VALUE"""),"https://drive.google.com/file/d/1wp6cUjcy8LthVAkROqOPXCdnnn4k8ZRc/view?usp=drivesdk")</f>
        <v>https://drive.google.com/file/d/1wp6cUjcy8LthVAkROqOPXCdnnn4k8ZRc/view?usp=drivesdk</v>
      </c>
      <c r="D3193" s="12"/>
      <c r="E3193" s="11">
        <v>3231.0</v>
      </c>
      <c r="F3193" s="2"/>
    </row>
    <row r="3194" ht="1.5" customHeight="1">
      <c r="A3194" s="4" t="str">
        <f>IFERROR(__xludf.DUMMYFUNCTION("""COMPUTED_VALUE"""),"45. Boots")</f>
        <v>45. Boots</v>
      </c>
      <c r="B3194" s="4" t="str">
        <f>IFERROR(__xludf.DUMMYFUNCTION("""COMPUTED_VALUE"""),"45")</f>
        <v>45</v>
      </c>
      <c r="C3194" s="5" t="str">
        <f>IFERROR(__xludf.DUMMYFUNCTION("""COMPUTED_VALUE"""),"https://drive.google.com/file/d/1_i6LW0Ho5KTy_MFdtu2P8EzP0XZn17N8/view?usp=drivesdk")</f>
        <v>https://drive.google.com/file/d/1_i6LW0Ho5KTy_MFdtu2P8EzP0XZn17N8/view?usp=drivesdk</v>
      </c>
      <c r="D3194" s="12"/>
      <c r="E3194" s="11">
        <v>3232.0</v>
      </c>
      <c r="F3194" s="2"/>
    </row>
    <row r="3195" ht="1.5" customHeight="1">
      <c r="A3195" s="4" t="str">
        <f>IFERROR(__xludf.DUMMYFUNCTION("""COMPUTED_VALUE"""),"41. Gregory")</f>
        <v>41. Gregory</v>
      </c>
      <c r="B3195" s="4" t="str">
        <f>IFERROR(__xludf.DUMMYFUNCTION("""COMPUTED_VALUE"""),"41")</f>
        <v>41</v>
      </c>
      <c r="C3195" s="5" t="str">
        <f>IFERROR(__xludf.DUMMYFUNCTION("""COMPUTED_VALUE"""),"https://drive.google.com/file/d/15XaZ1s-JOsF7ERsuCDdsVwqWre0o-1rs/view?usp=drivesdk")</f>
        <v>https://drive.google.com/file/d/15XaZ1s-JOsF7ERsuCDdsVwqWre0o-1rs/view?usp=drivesdk</v>
      </c>
      <c r="D3195" s="12"/>
      <c r="E3195" s="11">
        <v>3233.0</v>
      </c>
      <c r="F3195" s="2"/>
    </row>
    <row r="3196" ht="1.5" customHeight="1">
      <c r="A3196" s="4" t="str">
        <f>IFERROR(__xludf.DUMMYFUNCTION("""COMPUTED_VALUE"""),"41. Gregory")</f>
        <v>41. Gregory</v>
      </c>
      <c r="B3196" s="4" t="str">
        <f>IFERROR(__xludf.DUMMYFUNCTION("""COMPUTED_VALUE"""),"41")</f>
        <v>41</v>
      </c>
      <c r="C3196" s="5" t="str">
        <f>IFERROR(__xludf.DUMMYFUNCTION("""COMPUTED_VALUE"""),"https://drive.google.com/file/d/1bW72lgCrnes8pZEj7GB1rE4FvJvhTkYv/view?usp=drivesdk")</f>
        <v>https://drive.google.com/file/d/1bW72lgCrnes8pZEj7GB1rE4FvJvhTkYv/view?usp=drivesdk</v>
      </c>
      <c r="D3196" s="12"/>
      <c r="E3196" s="11">
        <v>3234.0</v>
      </c>
      <c r="F3196" s="2"/>
    </row>
    <row r="3197" ht="1.5" customHeight="1">
      <c r="A3197" s="4" t="str">
        <f>IFERROR(__xludf.DUMMYFUNCTION("""COMPUTED_VALUE"""),"41. Gregory")</f>
        <v>41. Gregory</v>
      </c>
      <c r="B3197" s="4" t="str">
        <f>IFERROR(__xludf.DUMMYFUNCTION("""COMPUTED_VALUE"""),"41")</f>
        <v>41</v>
      </c>
      <c r="C3197" s="5" t="str">
        <f>IFERROR(__xludf.DUMMYFUNCTION("""COMPUTED_VALUE"""),"https://drive.google.com/file/d/1YgYNzdW7W64pQVuV52D1cN6myyEjqRGV/view?usp=drivesdk")</f>
        <v>https://drive.google.com/file/d/1YgYNzdW7W64pQVuV52D1cN6myyEjqRGV/view?usp=drivesdk</v>
      </c>
      <c r="D3197" s="12"/>
      <c r="E3197" s="11">
        <v>3235.0</v>
      </c>
      <c r="F3197" s="2"/>
    </row>
    <row r="3198" ht="1.5" customHeight="1">
      <c r="A3198" s="4" t="str">
        <f>IFERROR(__xludf.DUMMYFUNCTION("""COMPUTED_VALUE"""),"41. Gregory")</f>
        <v>41. Gregory</v>
      </c>
      <c r="B3198" s="4" t="str">
        <f>IFERROR(__xludf.DUMMYFUNCTION("""COMPUTED_VALUE"""),"41")</f>
        <v>41</v>
      </c>
      <c r="C3198" s="5" t="str">
        <f>IFERROR(__xludf.DUMMYFUNCTION("""COMPUTED_VALUE"""),"https://drive.google.com/file/d/1Ok1Uk85tOYQ7JVpQ-_Df4Ywc05u-ez0J/view?usp=drivesdk")</f>
        <v>https://drive.google.com/file/d/1Ok1Uk85tOYQ7JVpQ-_Df4Ywc05u-ez0J/view?usp=drivesdk</v>
      </c>
      <c r="D3198" s="12"/>
      <c r="E3198" s="11">
        <v>3236.0</v>
      </c>
      <c r="F3198" s="2"/>
    </row>
    <row r="3199" ht="1.5" customHeight="1">
      <c r="A3199" s="4" t="str">
        <f>IFERROR(__xludf.DUMMYFUNCTION("""COMPUTED_VALUE"""),"39. Radar, 46. Princess, 40. Dumpster, 12. Faye, 42. Rubber")</f>
        <v>39. Radar, 46. Princess, 40. Dumpster, 12. Faye, 42. Rubber</v>
      </c>
      <c r="B3199" s="4" t="str">
        <f>IFERROR(__xludf.DUMMYFUNCTION("""COMPUTED_VALUE"""),"39, 46, 40, 12, 42")</f>
        <v>39, 46, 40, 12, 42</v>
      </c>
      <c r="C3199" s="5" t="str">
        <f>IFERROR(__xludf.DUMMYFUNCTION("""COMPUTED_VALUE"""),"https://drive.google.com/file/d/1bJmjbilsHLv40hrUH3o69ErrleCkUbEV/view?usp=drivesdk")</f>
        <v>https://drive.google.com/file/d/1bJmjbilsHLv40hrUH3o69ErrleCkUbEV/view?usp=drivesdk</v>
      </c>
      <c r="D3199" s="12"/>
      <c r="E3199" s="11">
        <v>3237.0</v>
      </c>
      <c r="F3199" s="2"/>
    </row>
    <row r="3200" ht="1.5" customHeight="1">
      <c r="A3200" s="4" t="str">
        <f>IFERROR(__xludf.DUMMYFUNCTION("""COMPUTED_VALUE"""),"41. Gregory, 39. Radar")</f>
        <v>41. Gregory, 39. Radar</v>
      </c>
      <c r="B3200" s="4" t="str">
        <f>IFERROR(__xludf.DUMMYFUNCTION("""COMPUTED_VALUE"""),"41, 39")</f>
        <v>41, 39</v>
      </c>
      <c r="C3200" s="5" t="str">
        <f>IFERROR(__xludf.DUMMYFUNCTION("""COMPUTED_VALUE"""),"https://drive.google.com/file/d/1Kofck-ZAX88rrzvm2WloEVaE_iS39V2O/view?usp=drivesdk")</f>
        <v>https://drive.google.com/file/d/1Kofck-ZAX88rrzvm2WloEVaE_iS39V2O/view?usp=drivesdk</v>
      </c>
      <c r="D3200" s="12"/>
      <c r="E3200" s="11">
        <v>3238.0</v>
      </c>
      <c r="F3200" s="2"/>
    </row>
    <row r="3201" ht="1.5" customHeight="1">
      <c r="A3201" s="4" t="str">
        <f>IFERROR(__xludf.DUMMYFUNCTION("""COMPUTED_VALUE"""),"41. Gregory, 39. Radar")</f>
        <v>41. Gregory, 39. Radar</v>
      </c>
      <c r="B3201" s="4" t="str">
        <f>IFERROR(__xludf.DUMMYFUNCTION("""COMPUTED_VALUE"""),"41, 39")</f>
        <v>41, 39</v>
      </c>
      <c r="C3201" s="5" t="str">
        <f>IFERROR(__xludf.DUMMYFUNCTION("""COMPUTED_VALUE"""),"https://drive.google.com/file/d/1Sgb99B1NyydbOwWY-zB7sMLASCmRqOLN/view?usp=drivesdk")</f>
        <v>https://drive.google.com/file/d/1Sgb99B1NyydbOwWY-zB7sMLASCmRqOLN/view?usp=drivesdk</v>
      </c>
      <c r="D3201" s="12"/>
      <c r="E3201" s="11">
        <v>3239.0</v>
      </c>
      <c r="F3201" s="2"/>
    </row>
    <row r="3202" ht="1.5" customHeight="1">
      <c r="A3202" s="4" t="str">
        <f>IFERROR(__xludf.DUMMYFUNCTION("""COMPUTED_VALUE"""),"41. Gregory")</f>
        <v>41. Gregory</v>
      </c>
      <c r="B3202" s="4" t="str">
        <f>IFERROR(__xludf.DUMMYFUNCTION("""COMPUTED_VALUE"""),"41")</f>
        <v>41</v>
      </c>
      <c r="C3202" s="5" t="str">
        <f>IFERROR(__xludf.DUMMYFUNCTION("""COMPUTED_VALUE"""),"https://drive.google.com/file/d/1hP9duFBBnwCmbYDzOcObXNAX6NHepz6k/view?usp=drivesdk")</f>
        <v>https://drive.google.com/file/d/1hP9duFBBnwCmbYDzOcObXNAX6NHepz6k/view?usp=drivesdk</v>
      </c>
      <c r="D3202" s="12"/>
      <c r="E3202" s="11">
        <v>3240.0</v>
      </c>
      <c r="F3202" s="2"/>
    </row>
    <row r="3203" ht="1.5" customHeight="1">
      <c r="A3203" s="4" t="str">
        <f>IFERROR(__xludf.DUMMYFUNCTION("""COMPUTED_VALUE"""),"39. Radar, 46. Princess, 40. Dumpster, 12. Faye, 42. Rubber")</f>
        <v>39. Radar, 46. Princess, 40. Dumpster, 12. Faye, 42. Rubber</v>
      </c>
      <c r="B3203" s="4" t="str">
        <f>IFERROR(__xludf.DUMMYFUNCTION("""COMPUTED_VALUE"""),"39, 46, 40, 12, 42")</f>
        <v>39, 46, 40, 12, 42</v>
      </c>
      <c r="C3203" s="5" t="str">
        <f>IFERROR(__xludf.DUMMYFUNCTION("""COMPUTED_VALUE"""),"https://drive.google.com/file/d/1nodFnXHCpZOScupTxgkQ0eeORVl1CKoz/view?usp=drivesdk")</f>
        <v>https://drive.google.com/file/d/1nodFnXHCpZOScupTxgkQ0eeORVl1CKoz/view?usp=drivesdk</v>
      </c>
      <c r="D3203" s="12"/>
      <c r="E3203" s="11">
        <v>3241.0</v>
      </c>
      <c r="F3203" s="2"/>
    </row>
    <row r="3204" ht="1.5" customHeight="1">
      <c r="A3204" s="4" t="str">
        <f>IFERROR(__xludf.DUMMYFUNCTION("""COMPUTED_VALUE"""),"41. Gregory")</f>
        <v>41. Gregory</v>
      </c>
      <c r="B3204" s="4" t="str">
        <f>IFERROR(__xludf.DUMMYFUNCTION("""COMPUTED_VALUE"""),"41")</f>
        <v>41</v>
      </c>
      <c r="C3204" s="5" t="str">
        <f>IFERROR(__xludf.DUMMYFUNCTION("""COMPUTED_VALUE"""),"https://drive.google.com/file/d/1EyTreQAnzXrSR4DVYxauFS8zHkEsO2tt/view?usp=drivesdk")</f>
        <v>https://drive.google.com/file/d/1EyTreQAnzXrSR4DVYxauFS8zHkEsO2tt/view?usp=drivesdk</v>
      </c>
      <c r="D3204" s="12"/>
      <c r="E3204" s="11">
        <v>3242.0</v>
      </c>
      <c r="F3204" s="2"/>
    </row>
    <row r="3205" ht="1.5" customHeight="1">
      <c r="A3205" s="4" t="str">
        <f>IFERROR(__xludf.DUMMYFUNCTION("""COMPUTED_VALUE"""),"41. Gregory, 39. Radar")</f>
        <v>41. Gregory, 39. Radar</v>
      </c>
      <c r="B3205" s="4" t="str">
        <f>IFERROR(__xludf.DUMMYFUNCTION("""COMPUTED_VALUE"""),"41, 39")</f>
        <v>41, 39</v>
      </c>
      <c r="C3205" s="5" t="str">
        <f>IFERROR(__xludf.DUMMYFUNCTION("""COMPUTED_VALUE"""),"https://drive.google.com/file/d/1gaH3tx4A2vN4KTK4oJMyPN28Qjn_VKUP/view?usp=drivesdk")</f>
        <v>https://drive.google.com/file/d/1gaH3tx4A2vN4KTK4oJMyPN28Qjn_VKUP/view?usp=drivesdk</v>
      </c>
      <c r="D3205" s="12"/>
      <c r="E3205" s="11">
        <v>3243.0</v>
      </c>
      <c r="F3205" s="2"/>
    </row>
    <row r="3206" ht="1.5" customHeight="1">
      <c r="A3206" s="4" t="str">
        <f>IFERROR(__xludf.DUMMYFUNCTION("""COMPUTED_VALUE"""),"46. Princess")</f>
        <v>46. Princess</v>
      </c>
      <c r="B3206" s="4" t="str">
        <f>IFERROR(__xludf.DUMMYFUNCTION("""COMPUTED_VALUE"""),"46")</f>
        <v>46</v>
      </c>
      <c r="C3206" s="5" t="str">
        <f>IFERROR(__xludf.DUMMYFUNCTION("""COMPUTED_VALUE"""),"https://drive.google.com/file/d/13OS239vuRdrsldb6xS1FySz7dUFpRkcf/view?usp=drivesdk")</f>
        <v>https://drive.google.com/file/d/13OS239vuRdrsldb6xS1FySz7dUFpRkcf/view?usp=drivesdk</v>
      </c>
      <c r="D3206" s="12"/>
      <c r="E3206" s="11">
        <v>3244.0</v>
      </c>
      <c r="F3206" s="2"/>
    </row>
    <row r="3207" ht="1.5" customHeight="1">
      <c r="A3207" s="4" t="str">
        <f>IFERROR(__xludf.DUMMYFUNCTION("""COMPUTED_VALUE"""),"46. Princess")</f>
        <v>46. Princess</v>
      </c>
      <c r="B3207" s="4" t="str">
        <f>IFERROR(__xludf.DUMMYFUNCTION("""COMPUTED_VALUE"""),"46")</f>
        <v>46</v>
      </c>
      <c r="C3207" s="5" t="str">
        <f>IFERROR(__xludf.DUMMYFUNCTION("""COMPUTED_VALUE"""),"https://drive.google.com/file/d/1krvty4KgQbrg0kZFIWehX-_fLqwDlF0D/view?usp=drivesdk")</f>
        <v>https://drive.google.com/file/d/1krvty4KgQbrg0kZFIWehX-_fLqwDlF0D/view?usp=drivesdk</v>
      </c>
      <c r="D3207" s="12"/>
      <c r="E3207" s="11">
        <v>3245.0</v>
      </c>
      <c r="F3207" s="2"/>
    </row>
    <row r="3208" ht="1.5" customHeight="1">
      <c r="A3208" s="4" t="str">
        <f>IFERROR(__xludf.DUMMYFUNCTION("""COMPUTED_VALUE"""),"46. Princess")</f>
        <v>46. Princess</v>
      </c>
      <c r="B3208" s="4" t="str">
        <f>IFERROR(__xludf.DUMMYFUNCTION("""COMPUTED_VALUE"""),"46")</f>
        <v>46</v>
      </c>
      <c r="C3208" s="5" t="str">
        <f>IFERROR(__xludf.DUMMYFUNCTION("""COMPUTED_VALUE"""),"https://drive.google.com/file/d/1ppj13E0CWmt3ETL5uuE2pX8T65nb-44v/view?usp=drivesdk")</f>
        <v>https://drive.google.com/file/d/1ppj13E0CWmt3ETL5uuE2pX8T65nb-44v/view?usp=drivesdk</v>
      </c>
      <c r="D3208" s="12"/>
      <c r="E3208" s="11">
        <v>3246.0</v>
      </c>
      <c r="F3208" s="2"/>
    </row>
    <row r="3209" ht="1.5" customHeight="1">
      <c r="A3209" s="4" t="str">
        <f>IFERROR(__xludf.DUMMYFUNCTION("""COMPUTED_VALUE"""),"46. Princess")</f>
        <v>46. Princess</v>
      </c>
      <c r="B3209" s="4" t="str">
        <f>IFERROR(__xludf.DUMMYFUNCTION("""COMPUTED_VALUE"""),"46")</f>
        <v>46</v>
      </c>
      <c r="C3209" s="5" t="str">
        <f>IFERROR(__xludf.DUMMYFUNCTION("""COMPUTED_VALUE"""),"https://drive.google.com/file/d/1TR8dcOZfYvGxksOWipwh-aJMpqxLmvPH/view?usp=drivesdk")</f>
        <v>https://drive.google.com/file/d/1TR8dcOZfYvGxksOWipwh-aJMpqxLmvPH/view?usp=drivesdk</v>
      </c>
      <c r="D3209" s="12"/>
      <c r="E3209" s="11">
        <v>3247.0</v>
      </c>
      <c r="F3209" s="2"/>
    </row>
    <row r="3210" ht="1.5" customHeight="1">
      <c r="A3210" s="4" t="str">
        <f>IFERROR(__xludf.DUMMYFUNCTION("""COMPUTED_VALUE"""),"61. Cassie")</f>
        <v>61. Cassie</v>
      </c>
      <c r="B3210" s="4" t="str">
        <f>IFERROR(__xludf.DUMMYFUNCTION("""COMPUTED_VALUE"""),"61")</f>
        <v>61</v>
      </c>
      <c r="C3210" s="5" t="str">
        <f>IFERROR(__xludf.DUMMYFUNCTION("""COMPUTED_VALUE"""),"https://drive.google.com/file/d/1K9RO4tMT5i6sy5XpMUM0xoZMp9-2KmmN/view?usp=drivesdk")</f>
        <v>https://drive.google.com/file/d/1K9RO4tMT5i6sy5XpMUM0xoZMp9-2KmmN/view?usp=drivesdk</v>
      </c>
      <c r="D3210" s="12"/>
      <c r="E3210" s="11">
        <v>3248.0</v>
      </c>
      <c r="F3210" s="2"/>
    </row>
    <row r="3211" ht="1.5" customHeight="1">
      <c r="A3211" s="4" t="str">
        <f>IFERROR(__xludf.DUMMYFUNCTION("""COMPUTED_VALUE"""),"61. Cassie")</f>
        <v>61. Cassie</v>
      </c>
      <c r="B3211" s="4" t="str">
        <f>IFERROR(__xludf.DUMMYFUNCTION("""COMPUTED_VALUE"""),"61")</f>
        <v>61</v>
      </c>
      <c r="C3211" s="5" t="str">
        <f>IFERROR(__xludf.DUMMYFUNCTION("""COMPUTED_VALUE"""),"https://drive.google.com/file/d/1I5-5j9H6HIBtUnh0CEPIu9BTr2AixroG/view?usp=drivesdk")</f>
        <v>https://drive.google.com/file/d/1I5-5j9H6HIBtUnh0CEPIu9BTr2AixroG/view?usp=drivesdk</v>
      </c>
      <c r="D3211" s="12"/>
      <c r="E3211" s="11">
        <v>3249.0</v>
      </c>
      <c r="F3211" s="2"/>
    </row>
    <row r="3212" ht="1.5" customHeight="1">
      <c r="A3212" s="4" t="str">
        <f>IFERROR(__xludf.DUMMYFUNCTION("""COMPUTED_VALUE"""),"46. Princess")</f>
        <v>46. Princess</v>
      </c>
      <c r="B3212" s="4" t="str">
        <f>IFERROR(__xludf.DUMMYFUNCTION("""COMPUTED_VALUE"""),"46")</f>
        <v>46</v>
      </c>
      <c r="C3212" s="5" t="str">
        <f>IFERROR(__xludf.DUMMYFUNCTION("""COMPUTED_VALUE"""),"https://drive.google.com/file/d/1y7Id5ioq8UbEAIhxi7a8Ph-SLF_RS6DN/view?usp=drivesdk")</f>
        <v>https://drive.google.com/file/d/1y7Id5ioq8UbEAIhxi7a8Ph-SLF_RS6DN/view?usp=drivesdk</v>
      </c>
      <c r="D3212" s="12"/>
      <c r="E3212" s="11">
        <v>3250.0</v>
      </c>
      <c r="F3212" s="2"/>
    </row>
    <row r="3213" ht="1.5" customHeight="1">
      <c r="A3213" s="4" t="str">
        <f>IFERROR(__xludf.DUMMYFUNCTION("""COMPUTED_VALUE"""),"46. Princess")</f>
        <v>46. Princess</v>
      </c>
      <c r="B3213" s="4" t="str">
        <f>IFERROR(__xludf.DUMMYFUNCTION("""COMPUTED_VALUE"""),"46")</f>
        <v>46</v>
      </c>
      <c r="C3213" s="5" t="str">
        <f>IFERROR(__xludf.DUMMYFUNCTION("""COMPUTED_VALUE"""),"https://drive.google.com/file/d/1YK5Z0idZWSC-B0WOFkyNTiGIahiPjBJM/view?usp=drivesdk")</f>
        <v>https://drive.google.com/file/d/1YK5Z0idZWSC-B0WOFkyNTiGIahiPjBJM/view?usp=drivesdk</v>
      </c>
      <c r="D3213" s="12"/>
      <c r="E3213" s="11">
        <v>3251.0</v>
      </c>
      <c r="F3213" s="2"/>
    </row>
    <row r="3214" ht="1.5" customHeight="1">
      <c r="A3214" s="4" t="str">
        <f>IFERROR(__xludf.DUMMYFUNCTION("""COMPUTED_VALUE"""),"41. Gregory, 39. Radar")</f>
        <v>41. Gregory, 39. Radar</v>
      </c>
      <c r="B3214" s="4" t="str">
        <f>IFERROR(__xludf.DUMMYFUNCTION("""COMPUTED_VALUE"""),"41, 39")</f>
        <v>41, 39</v>
      </c>
      <c r="C3214" s="5" t="str">
        <f>IFERROR(__xludf.DUMMYFUNCTION("""COMPUTED_VALUE"""),"https://drive.google.com/file/d/1DKzXLJqL5NZtSrIMS-vJSBay1gN1hb7L/view?usp=drivesdk")</f>
        <v>https://drive.google.com/file/d/1DKzXLJqL5NZtSrIMS-vJSBay1gN1hb7L/view?usp=drivesdk</v>
      </c>
      <c r="D3214" s="12"/>
      <c r="E3214" s="11">
        <v>3252.0</v>
      </c>
      <c r="F3214" s="2"/>
    </row>
    <row r="3215" ht="1.5" customHeight="1">
      <c r="A3215" s="4" t="str">
        <f>IFERROR(__xludf.DUMMYFUNCTION("""COMPUTED_VALUE"""),"46. Princess")</f>
        <v>46. Princess</v>
      </c>
      <c r="B3215" s="4" t="str">
        <f>IFERROR(__xludf.DUMMYFUNCTION("""COMPUTED_VALUE"""),"46")</f>
        <v>46</v>
      </c>
      <c r="C3215" s="5" t="str">
        <f>IFERROR(__xludf.DUMMYFUNCTION("""COMPUTED_VALUE"""),"https://drive.google.com/file/d/1SEJRQlCxwbZDiEmqxkO91IoTNEYRHHXd/view?usp=drivesdk")</f>
        <v>https://drive.google.com/file/d/1SEJRQlCxwbZDiEmqxkO91IoTNEYRHHXd/view?usp=drivesdk</v>
      </c>
      <c r="D3215" s="12"/>
      <c r="E3215" s="11">
        <v>3253.0</v>
      </c>
      <c r="F3215" s="2"/>
    </row>
    <row r="3216" ht="1.5" customHeight="1">
      <c r="A3216" s="4" t="str">
        <f>IFERROR(__xludf.DUMMYFUNCTION("""COMPUTED_VALUE"""),"39. Radar, 46. Princess, 40. Dumpster, 12. Faye, 42. Rubber")</f>
        <v>39. Radar, 46. Princess, 40. Dumpster, 12. Faye, 42. Rubber</v>
      </c>
      <c r="B3216" s="4" t="str">
        <f>IFERROR(__xludf.DUMMYFUNCTION("""COMPUTED_VALUE"""),"39, 46, 40, 12, 42")</f>
        <v>39, 46, 40, 12, 42</v>
      </c>
      <c r="C3216" s="5" t="str">
        <f>IFERROR(__xludf.DUMMYFUNCTION("""COMPUTED_VALUE"""),"https://drive.google.com/file/d/13dFq9d5cY-EB-RiRFZ7F-HfwWIl_8Quw/view?usp=drivesdk")</f>
        <v>https://drive.google.com/file/d/13dFq9d5cY-EB-RiRFZ7F-HfwWIl_8Quw/view?usp=drivesdk</v>
      </c>
      <c r="D3216" s="12"/>
      <c r="E3216" s="11">
        <v>3254.0</v>
      </c>
      <c r="F3216" s="2"/>
    </row>
    <row r="3217" ht="1.5" customHeight="1">
      <c r="A3217" s="4" t="str">
        <f>IFERROR(__xludf.DUMMYFUNCTION("""COMPUTED_VALUE"""),"39. Radar, 46. Princess, 12. Faye, 42. Rubber")</f>
        <v>39. Radar, 46. Princess, 12. Faye, 42. Rubber</v>
      </c>
      <c r="B3217" s="4" t="str">
        <f>IFERROR(__xludf.DUMMYFUNCTION("""COMPUTED_VALUE"""),"39, 46, 12, 42")</f>
        <v>39, 46, 12, 42</v>
      </c>
      <c r="C3217" s="5" t="str">
        <f>IFERROR(__xludf.DUMMYFUNCTION("""COMPUTED_VALUE"""),"https://drive.google.com/file/d/12Uzk6lsWuKIZNDx5mGfvUzwKHcY4HDuX/view?usp=drivesdk")</f>
        <v>https://drive.google.com/file/d/12Uzk6lsWuKIZNDx5mGfvUzwKHcY4HDuX/view?usp=drivesdk</v>
      </c>
      <c r="D3217" s="12"/>
      <c r="E3217" s="11">
        <v>3255.0</v>
      </c>
      <c r="F3217" s="2"/>
    </row>
    <row r="3218" ht="1.5" customHeight="1">
      <c r="A3218" s="4" t="str">
        <f>IFERROR(__xludf.DUMMYFUNCTION("""COMPUTED_VALUE"""),"46. Princess")</f>
        <v>46. Princess</v>
      </c>
      <c r="B3218" s="4" t="str">
        <f>IFERROR(__xludf.DUMMYFUNCTION("""COMPUTED_VALUE"""),"46")</f>
        <v>46</v>
      </c>
      <c r="C3218" s="5" t="str">
        <f>IFERROR(__xludf.DUMMYFUNCTION("""COMPUTED_VALUE"""),"https://drive.google.com/file/d/19Uh_becvfiHdo1dbu0N_nIoC5mhhyrKE/view?usp=drivesdk")</f>
        <v>https://drive.google.com/file/d/19Uh_becvfiHdo1dbu0N_nIoC5mhhyrKE/view?usp=drivesdk</v>
      </c>
      <c r="D3218" s="12"/>
      <c r="E3218" s="11">
        <v>3256.0</v>
      </c>
      <c r="F3218" s="2"/>
    </row>
    <row r="3219" ht="1.5" customHeight="1">
      <c r="A3219" s="4" t="str">
        <f>IFERROR(__xludf.DUMMYFUNCTION("""COMPUTED_VALUE"""),"46. Princess")</f>
        <v>46. Princess</v>
      </c>
      <c r="B3219" s="4" t="str">
        <f>IFERROR(__xludf.DUMMYFUNCTION("""COMPUTED_VALUE"""),"46")</f>
        <v>46</v>
      </c>
      <c r="C3219" s="5" t="str">
        <f>IFERROR(__xludf.DUMMYFUNCTION("""COMPUTED_VALUE"""),"https://drive.google.com/file/d/10tlY8IaRAIl0uIfmpt1TcSVGb5Uon8gu/view?usp=drivesdk")</f>
        <v>https://drive.google.com/file/d/10tlY8IaRAIl0uIfmpt1TcSVGb5Uon8gu/view?usp=drivesdk</v>
      </c>
      <c r="D3219" s="12"/>
      <c r="E3219" s="11">
        <v>3257.0</v>
      </c>
      <c r="F3219" s="2"/>
    </row>
    <row r="3220" ht="1.5" customHeight="1">
      <c r="A3220" s="4" t="str">
        <f>IFERROR(__xludf.DUMMYFUNCTION("""COMPUTED_VALUE"""),"39. Radar, 46. Princess, 12. Faye, 42. Rubber")</f>
        <v>39. Radar, 46. Princess, 12. Faye, 42. Rubber</v>
      </c>
      <c r="B3220" s="4" t="str">
        <f>IFERROR(__xludf.DUMMYFUNCTION("""COMPUTED_VALUE"""),"39, 46, 12, 42")</f>
        <v>39, 46, 12, 42</v>
      </c>
      <c r="C3220" s="5" t="str">
        <f>IFERROR(__xludf.DUMMYFUNCTION("""COMPUTED_VALUE"""),"https://drive.google.com/file/d/1cxHRKwfqZ1LuNVbzcSaVsScPfytfaFZ7/view?usp=drivesdk")</f>
        <v>https://drive.google.com/file/d/1cxHRKwfqZ1LuNVbzcSaVsScPfytfaFZ7/view?usp=drivesdk</v>
      </c>
      <c r="D3220" s="12"/>
      <c r="E3220" s="11">
        <v>3258.0</v>
      </c>
      <c r="F3220" s="2"/>
    </row>
    <row r="3221" ht="1.5" customHeight="1">
      <c r="A3221" s="4" t="str">
        <f>IFERROR(__xludf.DUMMYFUNCTION("""COMPUTED_VALUE"""),"46. Princess")</f>
        <v>46. Princess</v>
      </c>
      <c r="B3221" s="4" t="str">
        <f>IFERROR(__xludf.DUMMYFUNCTION("""COMPUTED_VALUE"""),"46")</f>
        <v>46</v>
      </c>
      <c r="C3221" s="5" t="str">
        <f>IFERROR(__xludf.DUMMYFUNCTION("""COMPUTED_VALUE"""),"https://drive.google.com/file/d/1nHo0ArnQkRxT3cPj_PPxVxa2xO3cJfre/view?usp=drivesdk")</f>
        <v>https://drive.google.com/file/d/1nHo0ArnQkRxT3cPj_PPxVxa2xO3cJfre/view?usp=drivesdk</v>
      </c>
      <c r="D3221" s="12"/>
      <c r="E3221" s="11">
        <v>3259.0</v>
      </c>
      <c r="F3221" s="2"/>
    </row>
    <row r="3222" ht="1.5" customHeight="1">
      <c r="A3222" s="4" t="str">
        <f>IFERROR(__xludf.DUMMYFUNCTION("""COMPUTED_VALUE"""),"46. Princess")</f>
        <v>46. Princess</v>
      </c>
      <c r="B3222" s="4" t="str">
        <f>IFERROR(__xludf.DUMMYFUNCTION("""COMPUTED_VALUE"""),"46")</f>
        <v>46</v>
      </c>
      <c r="C3222" s="5" t="str">
        <f>IFERROR(__xludf.DUMMYFUNCTION("""COMPUTED_VALUE"""),"https://drive.google.com/file/d/182flV2__85mkMoSJH0WTqLKyZASc-pFB/view?usp=drivesdk")</f>
        <v>https://drive.google.com/file/d/182flV2__85mkMoSJH0WTqLKyZASc-pFB/view?usp=drivesdk</v>
      </c>
      <c r="D3222" s="12"/>
      <c r="E3222" s="11">
        <v>3260.0</v>
      </c>
      <c r="F3222" s="2"/>
    </row>
    <row r="3223" ht="1.5" customHeight="1">
      <c r="A3223" s="4" t="str">
        <f>IFERROR(__xludf.DUMMYFUNCTION("""COMPUTED_VALUE"""),"46. Princess")</f>
        <v>46. Princess</v>
      </c>
      <c r="B3223" s="4" t="str">
        <f>IFERROR(__xludf.DUMMYFUNCTION("""COMPUTED_VALUE"""),"46")</f>
        <v>46</v>
      </c>
      <c r="C3223" s="5" t="str">
        <f>IFERROR(__xludf.DUMMYFUNCTION("""COMPUTED_VALUE"""),"https://drive.google.com/file/d/1n4BN1VkwfCPc-3GrPhyme-kLChUKYUTl/view?usp=drivesdk")</f>
        <v>https://drive.google.com/file/d/1n4BN1VkwfCPc-3GrPhyme-kLChUKYUTl/view?usp=drivesdk</v>
      </c>
      <c r="D3223" s="12"/>
      <c r="E3223" s="11">
        <v>3261.0</v>
      </c>
      <c r="F3223" s="2"/>
    </row>
    <row r="3224" ht="1.5" customHeight="1">
      <c r="A3224" s="4" t="str">
        <f>IFERROR(__xludf.DUMMYFUNCTION("""COMPUTED_VALUE"""),"46. Princess")</f>
        <v>46. Princess</v>
      </c>
      <c r="B3224" s="4" t="str">
        <f>IFERROR(__xludf.DUMMYFUNCTION("""COMPUTED_VALUE"""),"46")</f>
        <v>46</v>
      </c>
      <c r="C3224" s="5" t="str">
        <f>IFERROR(__xludf.DUMMYFUNCTION("""COMPUTED_VALUE"""),"https://drive.google.com/file/d/16BgI91xb8p3hpSQVBhQFJloO4HgYmDSf/view?usp=drivesdk")</f>
        <v>https://drive.google.com/file/d/16BgI91xb8p3hpSQVBhQFJloO4HgYmDSf/view?usp=drivesdk</v>
      </c>
      <c r="D3224" s="12"/>
      <c r="E3224" s="11">
        <v>3262.0</v>
      </c>
      <c r="F3224" s="2"/>
    </row>
    <row r="3225" ht="1.5" customHeight="1">
      <c r="A3225" s="4" t="str">
        <f>IFERROR(__xludf.DUMMYFUNCTION("""COMPUTED_VALUE"""),"61. Cassie")</f>
        <v>61. Cassie</v>
      </c>
      <c r="B3225" s="4" t="str">
        <f>IFERROR(__xludf.DUMMYFUNCTION("""COMPUTED_VALUE"""),"61")</f>
        <v>61</v>
      </c>
      <c r="C3225" s="5" t="str">
        <f>IFERROR(__xludf.DUMMYFUNCTION("""COMPUTED_VALUE"""),"https://drive.google.com/file/d/1KOmIGOipu3_2fDkHyBiE1npnDs_Vl-Bj/view?usp=drivesdk")</f>
        <v>https://drive.google.com/file/d/1KOmIGOipu3_2fDkHyBiE1npnDs_Vl-Bj/view?usp=drivesdk</v>
      </c>
      <c r="D3225" s="12"/>
      <c r="E3225" s="11">
        <v>3263.0</v>
      </c>
      <c r="F3225" s="2"/>
    </row>
    <row r="3226" ht="1.5" customHeight="1">
      <c r="A3226" s="4" t="str">
        <f>IFERROR(__xludf.DUMMYFUNCTION("""COMPUTED_VALUE"""),"42. Rubber, 12. Faye")</f>
        <v>42. Rubber, 12. Faye</v>
      </c>
      <c r="B3226" s="4" t="str">
        <f>IFERROR(__xludf.DUMMYFUNCTION("""COMPUTED_VALUE"""),"42, 12")</f>
        <v>42, 12</v>
      </c>
      <c r="C3226" s="5" t="str">
        <f>IFERROR(__xludf.DUMMYFUNCTION("""COMPUTED_VALUE"""),"https://drive.google.com/file/d/1diFwbw6tKqCHTwWwY_PaAzHcXNUlbCLt/view?usp=drivesdk")</f>
        <v>https://drive.google.com/file/d/1diFwbw6tKqCHTwWwY_PaAzHcXNUlbCLt/view?usp=drivesdk</v>
      </c>
      <c r="D3226" s="12"/>
      <c r="E3226" s="11">
        <v>3264.0</v>
      </c>
      <c r="F3226" s="2"/>
    </row>
    <row r="3227" ht="1.5" customHeight="1">
      <c r="A3227" s="4" t="str">
        <f>IFERROR(__xludf.DUMMYFUNCTION("""COMPUTED_VALUE"""),"46. Princess")</f>
        <v>46. Princess</v>
      </c>
      <c r="B3227" s="4" t="str">
        <f>IFERROR(__xludf.DUMMYFUNCTION("""COMPUTED_VALUE"""),"46")</f>
        <v>46</v>
      </c>
      <c r="C3227" s="5" t="str">
        <f>IFERROR(__xludf.DUMMYFUNCTION("""COMPUTED_VALUE"""),"https://drive.google.com/file/d/1rE693Ix_pd3QqmpfaNudQudJd_DQG-o8/view?usp=drivesdk")</f>
        <v>https://drive.google.com/file/d/1rE693Ix_pd3QqmpfaNudQudJd_DQG-o8/view?usp=drivesdk</v>
      </c>
      <c r="D3227" s="12"/>
      <c r="E3227" s="11">
        <v>3265.0</v>
      </c>
      <c r="F3227" s="2"/>
    </row>
    <row r="3228" ht="1.5" customHeight="1">
      <c r="A3228" s="4" t="str">
        <f>IFERROR(__xludf.DUMMYFUNCTION("""COMPUTED_VALUE"""),"39. Radar, 40. Dumpster")</f>
        <v>39. Radar, 40. Dumpster</v>
      </c>
      <c r="B3228" s="4" t="str">
        <f>IFERROR(__xludf.DUMMYFUNCTION("""COMPUTED_VALUE"""),"39, 40")</f>
        <v>39, 40</v>
      </c>
      <c r="C3228" s="5" t="str">
        <f>IFERROR(__xludf.DUMMYFUNCTION("""COMPUTED_VALUE"""),"https://drive.google.com/file/d/1O1QkHoe5SqBXZPpliwq4r7RyP8nAt88D/view?usp=drivesdk")</f>
        <v>https://drive.google.com/file/d/1O1QkHoe5SqBXZPpliwq4r7RyP8nAt88D/view?usp=drivesdk</v>
      </c>
      <c r="D3228" s="12"/>
      <c r="E3228" s="11">
        <v>3266.0</v>
      </c>
      <c r="F3228" s="2"/>
    </row>
    <row r="3229" ht="1.5" customHeight="1">
      <c r="A3229" s="4" t="str">
        <f>IFERROR(__xludf.DUMMYFUNCTION("""COMPUTED_VALUE"""),"39. Radar, 40. Dumpster")</f>
        <v>39. Radar, 40. Dumpster</v>
      </c>
      <c r="B3229" s="4" t="str">
        <f>IFERROR(__xludf.DUMMYFUNCTION("""COMPUTED_VALUE"""),"39, 40")</f>
        <v>39, 40</v>
      </c>
      <c r="C3229" s="5" t="str">
        <f>IFERROR(__xludf.DUMMYFUNCTION("""COMPUTED_VALUE"""),"https://drive.google.com/file/d/17aeXnqzudGnS9ylAeacuGr0Kx-_kVA5Q/view?usp=drivesdk")</f>
        <v>https://drive.google.com/file/d/17aeXnqzudGnS9ylAeacuGr0Kx-_kVA5Q/view?usp=drivesdk</v>
      </c>
      <c r="D3229" s="12"/>
      <c r="E3229" s="11">
        <v>3267.0</v>
      </c>
      <c r="F3229" s="2"/>
    </row>
    <row r="3230" ht="1.5" customHeight="1">
      <c r="A3230" s="4" t="str">
        <f>IFERROR(__xludf.DUMMYFUNCTION("""COMPUTED_VALUE"""),"39. Radar, 40. Dumpster")</f>
        <v>39. Radar, 40. Dumpster</v>
      </c>
      <c r="B3230" s="4" t="str">
        <f>IFERROR(__xludf.DUMMYFUNCTION("""COMPUTED_VALUE"""),"39, 40")</f>
        <v>39, 40</v>
      </c>
      <c r="C3230" s="5" t="str">
        <f>IFERROR(__xludf.DUMMYFUNCTION("""COMPUTED_VALUE"""),"https://drive.google.com/file/d/1vXR--UYyvY0ce6WEC6nOfCN6T3t95G7D/view?usp=drivesdk")</f>
        <v>https://drive.google.com/file/d/1vXR--UYyvY0ce6WEC6nOfCN6T3t95G7D/view?usp=drivesdk</v>
      </c>
      <c r="D3230" s="12"/>
      <c r="E3230" s="11">
        <v>3268.0</v>
      </c>
      <c r="F3230" s="2"/>
    </row>
    <row r="3231" ht="1.5" customHeight="1">
      <c r="A3231" s="4" t="str">
        <f>IFERROR(__xludf.DUMMYFUNCTION("""COMPUTED_VALUE"""),"61. Cassie")</f>
        <v>61. Cassie</v>
      </c>
      <c r="B3231" s="4" t="str">
        <f>IFERROR(__xludf.DUMMYFUNCTION("""COMPUTED_VALUE"""),"61")</f>
        <v>61</v>
      </c>
      <c r="C3231" s="5" t="str">
        <f>IFERROR(__xludf.DUMMYFUNCTION("""COMPUTED_VALUE"""),"https://drive.google.com/file/d/1Ys4nDi1kpSmeMyzrx58lI1z0FKch6Y6s/view?usp=drivesdk")</f>
        <v>https://drive.google.com/file/d/1Ys4nDi1kpSmeMyzrx58lI1z0FKch6Y6s/view?usp=drivesdk</v>
      </c>
      <c r="D3231" s="12"/>
      <c r="E3231" s="11">
        <v>3269.0</v>
      </c>
      <c r="F3231" s="2"/>
    </row>
    <row r="3232" ht="1.5" customHeight="1">
      <c r="A3232" s="4" t="str">
        <f>IFERROR(__xludf.DUMMYFUNCTION("""COMPUTED_VALUE"""),"42. Rubber")</f>
        <v>42. Rubber</v>
      </c>
      <c r="B3232" s="4" t="str">
        <f>IFERROR(__xludf.DUMMYFUNCTION("""COMPUTED_VALUE"""),"42")</f>
        <v>42</v>
      </c>
      <c r="C3232" s="5" t="str">
        <f>IFERROR(__xludf.DUMMYFUNCTION("""COMPUTED_VALUE"""),"https://drive.google.com/file/d/1vNG19WMXw_gn1b5etm1OfhfNTPT5e1Go/view?usp=drivesdk")</f>
        <v>https://drive.google.com/file/d/1vNG19WMXw_gn1b5etm1OfhfNTPT5e1Go/view?usp=drivesdk</v>
      </c>
      <c r="D3232" s="12"/>
      <c r="E3232" s="11">
        <v>3270.0</v>
      </c>
      <c r="F3232" s="2"/>
    </row>
    <row r="3233" ht="1.5" customHeight="1">
      <c r="A3233" s="4" t="str">
        <f>IFERROR(__xludf.DUMMYFUNCTION("""COMPUTED_VALUE"""),"61. Cassie")</f>
        <v>61. Cassie</v>
      </c>
      <c r="B3233" s="4" t="str">
        <f>IFERROR(__xludf.DUMMYFUNCTION("""COMPUTED_VALUE"""),"61")</f>
        <v>61</v>
      </c>
      <c r="C3233" s="5" t="str">
        <f>IFERROR(__xludf.DUMMYFUNCTION("""COMPUTED_VALUE"""),"https://drive.google.com/file/d/1YpdQ08w_ZlWm-QIKqaXiPpjeR2RRO8Az/view?usp=drivesdk")</f>
        <v>https://drive.google.com/file/d/1YpdQ08w_ZlWm-QIKqaXiPpjeR2RRO8Az/view?usp=drivesdk</v>
      </c>
      <c r="D3233" s="12"/>
      <c r="E3233" s="11">
        <v>3271.0</v>
      </c>
      <c r="F3233" s="2"/>
    </row>
    <row r="3234" ht="1.5" customHeight="1">
      <c r="A3234" s="4" t="str">
        <f>IFERROR(__xludf.DUMMYFUNCTION("""COMPUTED_VALUE"""),"12. Faye, 45. Boots")</f>
        <v>12. Faye, 45. Boots</v>
      </c>
      <c r="B3234" s="4" t="str">
        <f>IFERROR(__xludf.DUMMYFUNCTION("""COMPUTED_VALUE"""),"12, 45")</f>
        <v>12, 45</v>
      </c>
      <c r="C3234" s="5" t="str">
        <f>IFERROR(__xludf.DUMMYFUNCTION("""COMPUTED_VALUE"""),"https://drive.google.com/file/d/1S4R96utiQXtwFz2wfl3IoaFraDJ_xuF6/view?usp=drivesdk")</f>
        <v>https://drive.google.com/file/d/1S4R96utiQXtwFz2wfl3IoaFraDJ_xuF6/view?usp=drivesdk</v>
      </c>
      <c r="D3234" s="12"/>
      <c r="E3234" s="11">
        <v>3272.0</v>
      </c>
      <c r="F3234" s="2"/>
    </row>
    <row r="3235" ht="1.5" customHeight="1">
      <c r="A3235" s="4" t="str">
        <f>IFERROR(__xludf.DUMMYFUNCTION("""COMPUTED_VALUE"""),"46. Princess")</f>
        <v>46. Princess</v>
      </c>
      <c r="B3235" s="4" t="str">
        <f>IFERROR(__xludf.DUMMYFUNCTION("""COMPUTED_VALUE"""),"46")</f>
        <v>46</v>
      </c>
      <c r="C3235" s="5" t="str">
        <f>IFERROR(__xludf.DUMMYFUNCTION("""COMPUTED_VALUE"""),"https://drive.google.com/file/d/1UiTneuxXHRa6oRnqkZQCMQGbj2uU5Fa3/view?usp=drivesdk")</f>
        <v>https://drive.google.com/file/d/1UiTneuxXHRa6oRnqkZQCMQGbj2uU5Fa3/view?usp=drivesdk</v>
      </c>
      <c r="D3235" s="12"/>
      <c r="E3235" s="11">
        <v>3273.0</v>
      </c>
      <c r="F3235" s="2"/>
    </row>
    <row r="3236" ht="1.5" customHeight="1">
      <c r="A3236" s="4" t="str">
        <f>IFERROR(__xludf.DUMMYFUNCTION("""COMPUTED_VALUE"""),"46. Princess")</f>
        <v>46. Princess</v>
      </c>
      <c r="B3236" s="4" t="str">
        <f>IFERROR(__xludf.DUMMYFUNCTION("""COMPUTED_VALUE"""),"46")</f>
        <v>46</v>
      </c>
      <c r="C3236" s="5" t="str">
        <f>IFERROR(__xludf.DUMMYFUNCTION("""COMPUTED_VALUE"""),"https://drive.google.com/file/d/1Fqt-Vo01UGWAFtJOQ_mFnv1-ZL6vQ0qH/view?usp=drivesdk")</f>
        <v>https://drive.google.com/file/d/1Fqt-Vo01UGWAFtJOQ_mFnv1-ZL6vQ0qH/view?usp=drivesdk</v>
      </c>
      <c r="D3236" s="12"/>
      <c r="E3236" s="11">
        <v>3274.0</v>
      </c>
      <c r="F3236" s="2"/>
    </row>
    <row r="3237" ht="1.5" customHeight="1">
      <c r="A3237" s="4" t="str">
        <f>IFERROR(__xludf.DUMMYFUNCTION("""COMPUTED_VALUE"""),"12. Faye, 45. Boots, 42. Rubber")</f>
        <v>12. Faye, 45. Boots, 42. Rubber</v>
      </c>
      <c r="B3237" s="4" t="str">
        <f>IFERROR(__xludf.DUMMYFUNCTION("""COMPUTED_VALUE"""),"12, 45, 42")</f>
        <v>12, 45, 42</v>
      </c>
      <c r="C3237" s="5" t="str">
        <f>IFERROR(__xludf.DUMMYFUNCTION("""COMPUTED_VALUE"""),"https://drive.google.com/file/d/1EQ_J12MWv1eQDIaZohxgVNbFn5SmiITS/view?usp=drivesdk")</f>
        <v>https://drive.google.com/file/d/1EQ_J12MWv1eQDIaZohxgVNbFn5SmiITS/view?usp=drivesdk</v>
      </c>
      <c r="D3237" s="12"/>
      <c r="E3237" s="11">
        <v>3275.0</v>
      </c>
      <c r="F3237" s="2"/>
    </row>
    <row r="3238" ht="1.5" customHeight="1">
      <c r="A3238" s="4" t="str">
        <f>IFERROR(__xludf.DUMMYFUNCTION("""COMPUTED_VALUE"""),"61. Cassie")</f>
        <v>61. Cassie</v>
      </c>
      <c r="B3238" s="4" t="str">
        <f>IFERROR(__xludf.DUMMYFUNCTION("""COMPUTED_VALUE"""),"61")</f>
        <v>61</v>
      </c>
      <c r="C3238" s="5" t="str">
        <f>IFERROR(__xludf.DUMMYFUNCTION("""COMPUTED_VALUE"""),"https://drive.google.com/file/d/1l8-7wPTh4yqa4wdiBoJ-RiJD7H6gcaGS/view?usp=drivesdk")</f>
        <v>https://drive.google.com/file/d/1l8-7wPTh4yqa4wdiBoJ-RiJD7H6gcaGS/view?usp=drivesdk</v>
      </c>
      <c r="D3238" s="12"/>
      <c r="E3238" s="11">
        <v>3276.0</v>
      </c>
      <c r="F3238" s="2"/>
    </row>
    <row r="3239" ht="1.5" customHeight="1">
      <c r="A3239" s="4" t="str">
        <f>IFERROR(__xludf.DUMMYFUNCTION("""COMPUTED_VALUE"""),"42. Rubber, 45. Boots")</f>
        <v>42. Rubber, 45. Boots</v>
      </c>
      <c r="B3239" s="4" t="str">
        <f>IFERROR(__xludf.DUMMYFUNCTION("""COMPUTED_VALUE"""),"42, 45")</f>
        <v>42, 45</v>
      </c>
      <c r="C3239" s="5" t="str">
        <f>IFERROR(__xludf.DUMMYFUNCTION("""COMPUTED_VALUE"""),"https://drive.google.com/file/d/16UTXuqnGQ5ILS-0eN6Ntc5A2sW3FXZBA/view?usp=drivesdk")</f>
        <v>https://drive.google.com/file/d/16UTXuqnGQ5ILS-0eN6Ntc5A2sW3FXZBA/view?usp=drivesdk</v>
      </c>
      <c r="D3239" s="12"/>
      <c r="E3239" s="11">
        <v>3277.0</v>
      </c>
      <c r="F3239" s="2"/>
    </row>
    <row r="3240" ht="1.5" customHeight="1">
      <c r="A3240" s="4" t="str">
        <f>IFERROR(__xludf.DUMMYFUNCTION("""COMPUTED_VALUE"""),"40. Dumpster, 39. Radar, 12. Faye, 43. Bruno")</f>
        <v>40. Dumpster, 39. Radar, 12. Faye, 43. Bruno</v>
      </c>
      <c r="B3240" s="4" t="str">
        <f>IFERROR(__xludf.DUMMYFUNCTION("""COMPUTED_VALUE"""),"40, 39, 12, 43")</f>
        <v>40, 39, 12, 43</v>
      </c>
      <c r="C3240" s="5" t="str">
        <f>IFERROR(__xludf.DUMMYFUNCTION("""COMPUTED_VALUE"""),"https://drive.google.com/file/d/1PiOUUayoysgt6DPDf-r8K_SYAr-XTVFg/view?usp=drivesdk")</f>
        <v>https://drive.google.com/file/d/1PiOUUayoysgt6DPDf-r8K_SYAr-XTVFg/view?usp=drivesdk</v>
      </c>
      <c r="D3240" s="12"/>
      <c r="E3240" s="11">
        <v>3278.0</v>
      </c>
      <c r="F3240" s="2"/>
    </row>
    <row r="3241" ht="1.5" customHeight="1">
      <c r="A3241" s="4" t="str">
        <f>IFERROR(__xludf.DUMMYFUNCTION("""COMPUTED_VALUE"""),"45. Boots, 12. Faye, 42. Rubber, 40. Dumpster")</f>
        <v>45. Boots, 12. Faye, 42. Rubber, 40. Dumpster</v>
      </c>
      <c r="B3241" s="4" t="str">
        <f>IFERROR(__xludf.DUMMYFUNCTION("""COMPUTED_VALUE"""),"45, 12, 42, 40")</f>
        <v>45, 12, 42, 40</v>
      </c>
      <c r="C3241" s="5" t="str">
        <f>IFERROR(__xludf.DUMMYFUNCTION("""COMPUTED_VALUE"""),"https://drive.google.com/file/d/1YkBWmbZKulJqVukgZsISMNQq-M-ss5W0/view?usp=drivesdk")</f>
        <v>https://drive.google.com/file/d/1YkBWmbZKulJqVukgZsISMNQq-M-ss5W0/view?usp=drivesdk</v>
      </c>
      <c r="D3241" s="12"/>
      <c r="E3241" s="11">
        <v>3279.0</v>
      </c>
      <c r="F3241" s="2"/>
    </row>
    <row r="3242" ht="1.5" customHeight="1">
      <c r="A3242" s="4" t="str">
        <f>IFERROR(__xludf.DUMMYFUNCTION("""COMPUTED_VALUE"""),"12. Faye, 42. Rubber, 45. Boots")</f>
        <v>12. Faye, 42. Rubber, 45. Boots</v>
      </c>
      <c r="B3242" s="4" t="str">
        <f>IFERROR(__xludf.DUMMYFUNCTION("""COMPUTED_VALUE"""),"12, 42, 45")</f>
        <v>12, 42, 45</v>
      </c>
      <c r="C3242" s="5" t="str">
        <f>IFERROR(__xludf.DUMMYFUNCTION("""COMPUTED_VALUE"""),"https://drive.google.com/file/d/1E2omdWhfEmSYevIKSk0Q0OAcjdkiPLB9/view?usp=drivesdk")</f>
        <v>https://drive.google.com/file/d/1E2omdWhfEmSYevIKSk0Q0OAcjdkiPLB9/view?usp=drivesdk</v>
      </c>
      <c r="D3242" s="12"/>
      <c r="E3242" s="11">
        <v>3280.0</v>
      </c>
      <c r="F3242" s="2"/>
    </row>
    <row r="3243" ht="1.5" customHeight="1">
      <c r="A3243" s="4" t="str">
        <f>IFERROR(__xludf.DUMMYFUNCTION("""COMPUTED_VALUE"""),"45. Boots, 40. Dumpster, 12. Faye, 42. Rubber")</f>
        <v>45. Boots, 40. Dumpster, 12. Faye, 42. Rubber</v>
      </c>
      <c r="B3243" s="4" t="str">
        <f>IFERROR(__xludf.DUMMYFUNCTION("""COMPUTED_VALUE"""),"45, 40, 12, 42")</f>
        <v>45, 40, 12, 42</v>
      </c>
      <c r="C3243" s="5" t="str">
        <f>IFERROR(__xludf.DUMMYFUNCTION("""COMPUTED_VALUE"""),"https://drive.google.com/file/d/1Yw_30ikjfo6d1ccSyoLOrzL4X2w-Q5Ah/view?usp=drivesdk")</f>
        <v>https://drive.google.com/file/d/1Yw_30ikjfo6d1ccSyoLOrzL4X2w-Q5Ah/view?usp=drivesdk</v>
      </c>
      <c r="D3243" s="12"/>
      <c r="E3243" s="11">
        <v>3281.0</v>
      </c>
      <c r="F3243" s="2"/>
    </row>
    <row r="3244" ht="1.5" customHeight="1">
      <c r="A3244" s="4" t="str">
        <f>IFERROR(__xludf.DUMMYFUNCTION("""COMPUTED_VALUE"""),"42. Rubber, 45. Boots")</f>
        <v>42. Rubber, 45. Boots</v>
      </c>
      <c r="B3244" s="4" t="str">
        <f>IFERROR(__xludf.DUMMYFUNCTION("""COMPUTED_VALUE"""),"42, 45")</f>
        <v>42, 45</v>
      </c>
      <c r="C3244" s="5" t="str">
        <f>IFERROR(__xludf.DUMMYFUNCTION("""COMPUTED_VALUE"""),"https://drive.google.com/file/d/1zuALcl23xF9f4hLxNNUKuJ7CpMFRiWcS/view?usp=drivesdk")</f>
        <v>https://drive.google.com/file/d/1zuALcl23xF9f4hLxNNUKuJ7CpMFRiWcS/view?usp=drivesdk</v>
      </c>
      <c r="D3244" s="12"/>
      <c r="E3244" s="11">
        <v>3282.0</v>
      </c>
      <c r="F3244" s="2"/>
    </row>
    <row r="3245" ht="1.5" customHeight="1">
      <c r="A3245" s="4" t="str">
        <f>IFERROR(__xludf.DUMMYFUNCTION("""COMPUTED_VALUE"""),"40. Dumpster, 45. Boots")</f>
        <v>40. Dumpster, 45. Boots</v>
      </c>
      <c r="B3245" s="4" t="str">
        <f>IFERROR(__xludf.DUMMYFUNCTION("""COMPUTED_VALUE"""),"40, 45")</f>
        <v>40, 45</v>
      </c>
      <c r="C3245" s="5" t="str">
        <f>IFERROR(__xludf.DUMMYFUNCTION("""COMPUTED_VALUE"""),"https://drive.google.com/file/d/1UhFBTpe6YIBCFQVzsonK9RaG7WPRC-YG/view?usp=drivesdk")</f>
        <v>https://drive.google.com/file/d/1UhFBTpe6YIBCFQVzsonK9RaG7WPRC-YG/view?usp=drivesdk</v>
      </c>
      <c r="D3245" s="12"/>
      <c r="E3245" s="11">
        <v>3283.0</v>
      </c>
      <c r="F3245" s="2"/>
    </row>
    <row r="3246" ht="1.5" customHeight="1">
      <c r="A3246" s="4" t="str">
        <f>IFERROR(__xludf.DUMMYFUNCTION("""COMPUTED_VALUE"""),"12. Faye, 43. Bruno, 39. Radar")</f>
        <v>12. Faye, 43. Bruno, 39. Radar</v>
      </c>
      <c r="B3246" s="4" t="str">
        <f>IFERROR(__xludf.DUMMYFUNCTION("""COMPUTED_VALUE"""),"12, 43, 39")</f>
        <v>12, 43, 39</v>
      </c>
      <c r="C3246" s="5" t="str">
        <f>IFERROR(__xludf.DUMMYFUNCTION("""COMPUTED_VALUE"""),"https://drive.google.com/file/d/1Ng6kqYRt7W8J1P792TKm7Ke5PPEV9j_s/view?usp=drivesdk")</f>
        <v>https://drive.google.com/file/d/1Ng6kqYRt7W8J1P792TKm7Ke5PPEV9j_s/view?usp=drivesdk</v>
      </c>
      <c r="D3246" s="12"/>
      <c r="E3246" s="11">
        <v>3284.0</v>
      </c>
      <c r="F3246" s="2"/>
    </row>
    <row r="3247" ht="1.5" customHeight="1">
      <c r="A3247" s="4" t="str">
        <f>IFERROR(__xludf.DUMMYFUNCTION("""COMPUTED_VALUE"""),"40. Dumpster, 42. Rubber, 45. Boots, 12. Faye")</f>
        <v>40. Dumpster, 42. Rubber, 45. Boots, 12. Faye</v>
      </c>
      <c r="B3247" s="4" t="str">
        <f>IFERROR(__xludf.DUMMYFUNCTION("""COMPUTED_VALUE"""),"40, 42, 45, 12")</f>
        <v>40, 42, 45, 12</v>
      </c>
      <c r="C3247" s="5" t="str">
        <f>IFERROR(__xludf.DUMMYFUNCTION("""COMPUTED_VALUE"""),"https://drive.google.com/file/d/1fpdlj-svQDdsksvh6hYciiEFavAfUpco/view?usp=drivesdk")</f>
        <v>https://drive.google.com/file/d/1fpdlj-svQDdsksvh6hYciiEFavAfUpco/view?usp=drivesdk</v>
      </c>
      <c r="D3247" s="12"/>
      <c r="E3247" s="11">
        <v>3285.0</v>
      </c>
      <c r="F3247" s="2"/>
    </row>
    <row r="3248" ht="1.5" customHeight="1">
      <c r="A3248" s="4" t="str">
        <f>IFERROR(__xludf.DUMMYFUNCTION("""COMPUTED_VALUE"""),"40. Dumpster, 45. Boots")</f>
        <v>40. Dumpster, 45. Boots</v>
      </c>
      <c r="B3248" s="4" t="str">
        <f>IFERROR(__xludf.DUMMYFUNCTION("""COMPUTED_VALUE"""),"40, 45")</f>
        <v>40, 45</v>
      </c>
      <c r="C3248" s="5" t="str">
        <f>IFERROR(__xludf.DUMMYFUNCTION("""COMPUTED_VALUE"""),"https://drive.google.com/file/d/1farCpBoY79PD6XlKss1T7MlEO8ZRsdYl/view?usp=drivesdk")</f>
        <v>https://drive.google.com/file/d/1farCpBoY79PD6XlKss1T7MlEO8ZRsdYl/view?usp=drivesdk</v>
      </c>
      <c r="D3248" s="12"/>
      <c r="E3248" s="11">
        <v>3286.0</v>
      </c>
      <c r="F3248" s="2"/>
    </row>
    <row r="3249" ht="1.5" customHeight="1">
      <c r="A3249" s="4" t="str">
        <f>IFERROR(__xludf.DUMMYFUNCTION("""COMPUTED_VALUE"""),"43. Bruno")</f>
        <v>43. Bruno</v>
      </c>
      <c r="B3249" s="4" t="str">
        <f>IFERROR(__xludf.DUMMYFUNCTION("""COMPUTED_VALUE"""),"43")</f>
        <v>43</v>
      </c>
      <c r="C3249" s="5" t="str">
        <f>IFERROR(__xludf.DUMMYFUNCTION("""COMPUTED_VALUE"""),"https://drive.google.com/file/d/1ZS5DCwES_odeJm8Z8pFr5svFU2WNT_jC/view?usp=drivesdk")</f>
        <v>https://drive.google.com/file/d/1ZS5DCwES_odeJm8Z8pFr5svFU2WNT_jC/view?usp=drivesdk</v>
      </c>
      <c r="D3249" s="12"/>
      <c r="E3249" s="11">
        <v>3287.0</v>
      </c>
      <c r="F3249" s="2"/>
    </row>
    <row r="3250" ht="1.5" customHeight="1">
      <c r="A3250" s="4" t="str">
        <f>IFERROR(__xludf.DUMMYFUNCTION("""COMPUTED_VALUE"""),"40. Dumpster, 42. Rubber, 45. Boots, 12. Faye")</f>
        <v>40. Dumpster, 42. Rubber, 45. Boots, 12. Faye</v>
      </c>
      <c r="B3250" s="4" t="str">
        <f>IFERROR(__xludf.DUMMYFUNCTION("""COMPUTED_VALUE"""),"40, 42, 45, 12")</f>
        <v>40, 42, 45, 12</v>
      </c>
      <c r="C3250" s="5" t="str">
        <f>IFERROR(__xludf.DUMMYFUNCTION("""COMPUTED_VALUE"""),"https://drive.google.com/file/d/1tY6vm4SEXKQjBZx9FO-L00PfkKmcnnZD/view?usp=drivesdk")</f>
        <v>https://drive.google.com/file/d/1tY6vm4SEXKQjBZx9FO-L00PfkKmcnnZD/view?usp=drivesdk</v>
      </c>
      <c r="D3250" s="12"/>
      <c r="E3250" s="11">
        <v>3288.0</v>
      </c>
      <c r="F3250" s="2"/>
    </row>
    <row r="3251" ht="1.5" customHeight="1">
      <c r="A3251" s="4" t="str">
        <f>IFERROR(__xludf.DUMMYFUNCTION("""COMPUTED_VALUE"""),"12. Faye, 43. Bruno, 40. Dumpster, 39. Radar")</f>
        <v>12. Faye, 43. Bruno, 40. Dumpster, 39. Radar</v>
      </c>
      <c r="B3251" s="4" t="str">
        <f>IFERROR(__xludf.DUMMYFUNCTION("""COMPUTED_VALUE"""),"12, 43, 40, 39")</f>
        <v>12, 43, 40, 39</v>
      </c>
      <c r="C3251" s="5" t="str">
        <f>IFERROR(__xludf.DUMMYFUNCTION("""COMPUTED_VALUE"""),"https://drive.google.com/file/d/1IjegyygLl9hXs0b5HEblCNcTp7YKLffD/view?usp=drivesdk")</f>
        <v>https://drive.google.com/file/d/1IjegyygLl9hXs0b5HEblCNcTp7YKLffD/view?usp=drivesdk</v>
      </c>
      <c r="D3251" s="12"/>
      <c r="E3251" s="11">
        <v>3289.0</v>
      </c>
      <c r="F3251" s="2"/>
    </row>
    <row r="3252" ht="1.5" customHeight="1">
      <c r="A3252" s="4" t="str">
        <f>IFERROR(__xludf.DUMMYFUNCTION("""COMPUTED_VALUE"""),"42. Rubber, 45. Boots")</f>
        <v>42. Rubber, 45. Boots</v>
      </c>
      <c r="B3252" s="4" t="str">
        <f>IFERROR(__xludf.DUMMYFUNCTION("""COMPUTED_VALUE"""),"42, 45")</f>
        <v>42, 45</v>
      </c>
      <c r="C3252" s="5" t="str">
        <f>IFERROR(__xludf.DUMMYFUNCTION("""COMPUTED_VALUE"""),"https://drive.google.com/file/d/1aHEVchy8swCz098pslRfuOIFY0lBb3SD/view?usp=drivesdk")</f>
        <v>https://drive.google.com/file/d/1aHEVchy8swCz098pslRfuOIFY0lBb3SD/view?usp=drivesdk</v>
      </c>
      <c r="D3252" s="12"/>
      <c r="E3252" s="11">
        <v>3290.0</v>
      </c>
      <c r="F3252" s="2"/>
    </row>
    <row r="3253" ht="1.5" customHeight="1">
      <c r="A3253" s="4" t="str">
        <f>IFERROR(__xludf.DUMMYFUNCTION("""COMPUTED_VALUE"""),"12. Faye, 43. Bruno, 40. Dumpster, 39. Radar")</f>
        <v>12. Faye, 43. Bruno, 40. Dumpster, 39. Radar</v>
      </c>
      <c r="B3253" s="4" t="str">
        <f>IFERROR(__xludf.DUMMYFUNCTION("""COMPUTED_VALUE"""),"12, 43, 40, 39")</f>
        <v>12, 43, 40, 39</v>
      </c>
      <c r="C3253" s="5" t="str">
        <f>IFERROR(__xludf.DUMMYFUNCTION("""COMPUTED_VALUE"""),"https://drive.google.com/file/d/1Cq8_RLea6OLih8B2yMaRGfJ58AfPkMeb/view?usp=drivesdk")</f>
        <v>https://drive.google.com/file/d/1Cq8_RLea6OLih8B2yMaRGfJ58AfPkMeb/view?usp=drivesdk</v>
      </c>
      <c r="D3253" s="12"/>
      <c r="E3253" s="11">
        <v>3291.0</v>
      </c>
      <c r="F3253" s="2"/>
    </row>
    <row r="3254" ht="1.5" customHeight="1">
      <c r="A3254" s="4" t="str">
        <f>IFERROR(__xludf.DUMMYFUNCTION("""COMPUTED_VALUE"""),"38. Winston")</f>
        <v>38. Winston</v>
      </c>
      <c r="B3254" s="4" t="str">
        <f>IFERROR(__xludf.DUMMYFUNCTION("""COMPUTED_VALUE"""),"38")</f>
        <v>38</v>
      </c>
      <c r="C3254" s="5" t="str">
        <f>IFERROR(__xludf.DUMMYFUNCTION("""COMPUTED_VALUE"""),"https://drive.google.com/file/d/1_cRrVl_-GmvTMlmR8eNX9JBP-gYx7-fL/view?usp=drivesdk")</f>
        <v>https://drive.google.com/file/d/1_cRrVl_-GmvTMlmR8eNX9JBP-gYx7-fL/view?usp=drivesdk</v>
      </c>
      <c r="D3254" s="12"/>
      <c r="E3254" s="11">
        <v>3292.0</v>
      </c>
      <c r="F3254" s="2"/>
    </row>
    <row r="3255" ht="1.5" customHeight="1">
      <c r="A3255" s="4" t="str">
        <f>IFERROR(__xludf.DUMMYFUNCTION("""COMPUTED_VALUE"""),"12. Faye, 38. Winston")</f>
        <v>12. Faye, 38. Winston</v>
      </c>
      <c r="B3255" s="4" t="str">
        <f>IFERROR(__xludf.DUMMYFUNCTION("""COMPUTED_VALUE"""),"12, 38")</f>
        <v>12, 38</v>
      </c>
      <c r="C3255" s="5" t="str">
        <f>IFERROR(__xludf.DUMMYFUNCTION("""COMPUTED_VALUE"""),"https://drive.google.com/file/d/1EJoxr4FmVtU0K9tM5wK3V5sRUK-smDkI/view?usp=drivesdk")</f>
        <v>https://drive.google.com/file/d/1EJoxr4FmVtU0K9tM5wK3V5sRUK-smDkI/view?usp=drivesdk</v>
      </c>
      <c r="D3255" s="12"/>
      <c r="E3255" s="11">
        <v>3293.0</v>
      </c>
      <c r="F3255" s="2"/>
    </row>
    <row r="3256" ht="1.5" customHeight="1">
      <c r="A3256" s="4" t="str">
        <f>IFERROR(__xludf.DUMMYFUNCTION("""COMPUTED_VALUE"""),"42. Rubber, 45. Boots")</f>
        <v>42. Rubber, 45. Boots</v>
      </c>
      <c r="B3256" s="4" t="str">
        <f>IFERROR(__xludf.DUMMYFUNCTION("""COMPUTED_VALUE"""),"42, 45")</f>
        <v>42, 45</v>
      </c>
      <c r="C3256" s="5" t="str">
        <f>IFERROR(__xludf.DUMMYFUNCTION("""COMPUTED_VALUE"""),"https://drive.google.com/file/d/1sPKEOvbDvFQVZxsyfqAI6RlQCL23cgjI/view?usp=drivesdk")</f>
        <v>https://drive.google.com/file/d/1sPKEOvbDvFQVZxsyfqAI6RlQCL23cgjI/view?usp=drivesdk</v>
      </c>
      <c r="D3256" s="12"/>
      <c r="E3256" s="11">
        <v>3294.0</v>
      </c>
      <c r="F3256" s="2"/>
    </row>
    <row r="3257" ht="1.5" customHeight="1">
      <c r="A3257" s="4" t="str">
        <f>IFERROR(__xludf.DUMMYFUNCTION("""COMPUTED_VALUE"""),"43. Bruno")</f>
        <v>43. Bruno</v>
      </c>
      <c r="B3257" s="4" t="str">
        <f>IFERROR(__xludf.DUMMYFUNCTION("""COMPUTED_VALUE"""),"43")</f>
        <v>43</v>
      </c>
      <c r="C3257" s="5" t="str">
        <f>IFERROR(__xludf.DUMMYFUNCTION("""COMPUTED_VALUE"""),"https://drive.google.com/file/d/1mcb3wStreb9_wict8crIuXwgDgj5ggzv/view?usp=drivesdk")</f>
        <v>https://drive.google.com/file/d/1mcb3wStreb9_wict8crIuXwgDgj5ggzv/view?usp=drivesdk</v>
      </c>
      <c r="D3257" s="12"/>
      <c r="E3257" s="11">
        <v>3295.0</v>
      </c>
      <c r="F3257" s="2"/>
    </row>
    <row r="3258" ht="1.5" customHeight="1">
      <c r="A3258" s="4" t="str">
        <f>IFERROR(__xludf.DUMMYFUNCTION("""COMPUTED_VALUE"""),"43. Bruno")</f>
        <v>43. Bruno</v>
      </c>
      <c r="B3258" s="4" t="str">
        <f>IFERROR(__xludf.DUMMYFUNCTION("""COMPUTED_VALUE"""),"43")</f>
        <v>43</v>
      </c>
      <c r="C3258" s="5" t="str">
        <f>IFERROR(__xludf.DUMMYFUNCTION("""COMPUTED_VALUE"""),"https://drive.google.com/file/d/13iw58Yi72PjE5E3DwoOzYZ6QjG_stDtx/view?usp=drivesdk")</f>
        <v>https://drive.google.com/file/d/13iw58Yi72PjE5E3DwoOzYZ6QjG_stDtx/view?usp=drivesdk</v>
      </c>
      <c r="D3258" s="12"/>
      <c r="E3258" s="11">
        <v>3296.0</v>
      </c>
      <c r="F3258" s="2"/>
    </row>
    <row r="3259" ht="1.5" customHeight="1">
      <c r="A3259" s="4" t="str">
        <f>IFERROR(__xludf.DUMMYFUNCTION("""COMPUTED_VALUE"""),"45. Boots,  39. Radar, 42. Rubber")</f>
        <v>45. Boots,  39. Radar, 42. Rubber</v>
      </c>
      <c r="B3259" s="4" t="str">
        <f>IFERROR(__xludf.DUMMYFUNCTION("""COMPUTED_VALUE"""),"45,  39, 42")</f>
        <v>45,  39, 42</v>
      </c>
      <c r="C3259" s="5" t="str">
        <f>IFERROR(__xludf.DUMMYFUNCTION("""COMPUTED_VALUE"""),"https://drive.google.com/file/d/1BSrtPbJka-4U7wyj9l69W8hnWZETcudx/view?usp=drivesdk")</f>
        <v>https://drive.google.com/file/d/1BSrtPbJka-4U7wyj9l69W8hnWZETcudx/view?usp=drivesdk</v>
      </c>
      <c r="D3259" s="12"/>
      <c r="E3259" s="11">
        <v>3297.0</v>
      </c>
      <c r="F3259" s="2"/>
    </row>
    <row r="3260" ht="1.5" customHeight="1">
      <c r="A3260" s="4" t="str">
        <f>IFERROR(__xludf.DUMMYFUNCTION("""COMPUTED_VALUE"""),"38. Winston, 12. Faye")</f>
        <v>38. Winston, 12. Faye</v>
      </c>
      <c r="B3260" s="4" t="str">
        <f>IFERROR(__xludf.DUMMYFUNCTION("""COMPUTED_VALUE"""),"38, 12")</f>
        <v>38, 12</v>
      </c>
      <c r="C3260" s="5" t="str">
        <f>IFERROR(__xludf.DUMMYFUNCTION("""COMPUTED_VALUE"""),"https://drive.google.com/file/d/1W2aeq3A6WasjApHA1VVkl10ApKxUBAiO/view?usp=drivesdk")</f>
        <v>https://drive.google.com/file/d/1W2aeq3A6WasjApHA1VVkl10ApKxUBAiO/view?usp=drivesdk</v>
      </c>
      <c r="D3260" s="12"/>
      <c r="E3260" s="11">
        <v>3298.0</v>
      </c>
      <c r="F3260" s="2"/>
    </row>
    <row r="3261" ht="1.5" customHeight="1">
      <c r="A3261" s="4" t="str">
        <f>IFERROR(__xludf.DUMMYFUNCTION("""COMPUTED_VALUE"""),"45. Boots,  39. Radar, 42. Rubber")</f>
        <v>45. Boots,  39. Radar, 42. Rubber</v>
      </c>
      <c r="B3261" s="4" t="str">
        <f>IFERROR(__xludf.DUMMYFUNCTION("""COMPUTED_VALUE"""),"45,  39, 42")</f>
        <v>45,  39, 42</v>
      </c>
      <c r="C3261" s="5" t="str">
        <f>IFERROR(__xludf.DUMMYFUNCTION("""COMPUTED_VALUE"""),"https://drive.google.com/file/d/12-uTdJQ_VzYwS4lDQD-EoWeAkqX1y2Pb/view?usp=drivesdk")</f>
        <v>https://drive.google.com/file/d/12-uTdJQ_VzYwS4lDQD-EoWeAkqX1y2Pb/view?usp=drivesdk</v>
      </c>
      <c r="D3261" s="12"/>
      <c r="E3261" s="11">
        <v>3299.0</v>
      </c>
      <c r="F3261" s="2"/>
    </row>
    <row r="3262" ht="1.5" customHeight="1">
      <c r="A3262" s="4" t="str">
        <f>IFERROR(__xludf.DUMMYFUNCTION("""COMPUTED_VALUE"""),"45. Boots,  39. Radar, 42. Rubber")</f>
        <v>45. Boots,  39. Radar, 42. Rubber</v>
      </c>
      <c r="B3262" s="4" t="str">
        <f>IFERROR(__xludf.DUMMYFUNCTION("""COMPUTED_VALUE"""),"45,  39, 42")</f>
        <v>45,  39, 42</v>
      </c>
      <c r="C3262" s="5" t="str">
        <f>IFERROR(__xludf.DUMMYFUNCTION("""COMPUTED_VALUE"""),"https://drive.google.com/file/d/1vXYfMZrpfOCM6fE4ADRGQarrqmA_1o3n/view?usp=drivesdk")</f>
        <v>https://drive.google.com/file/d/1vXYfMZrpfOCM6fE4ADRGQarrqmA_1o3n/view?usp=drivesdk</v>
      </c>
      <c r="D3262" s="12"/>
      <c r="E3262" s="11">
        <v>3300.0</v>
      </c>
      <c r="F3262" s="2"/>
    </row>
    <row r="3263" ht="1.5" customHeight="1">
      <c r="A3263" s="4" t="str">
        <f>IFERROR(__xludf.DUMMYFUNCTION("""COMPUTED_VALUE"""),"45. Boots,  39. Radar, 42. Rubber")</f>
        <v>45. Boots,  39. Radar, 42. Rubber</v>
      </c>
      <c r="B3263" s="4" t="str">
        <f>IFERROR(__xludf.DUMMYFUNCTION("""COMPUTED_VALUE"""),"45,  39, 42")</f>
        <v>45,  39, 42</v>
      </c>
      <c r="C3263" s="5" t="str">
        <f>IFERROR(__xludf.DUMMYFUNCTION("""COMPUTED_VALUE"""),"https://drive.google.com/file/d/1vYF18jw7Uh-9LG7tLB4LZau3ZNQEMXxr/view?usp=drivesdk")</f>
        <v>https://drive.google.com/file/d/1vYF18jw7Uh-9LG7tLB4LZau3ZNQEMXxr/view?usp=drivesdk</v>
      </c>
      <c r="D3263" s="12"/>
      <c r="E3263" s="11">
        <v>3301.0</v>
      </c>
      <c r="F3263" s="2"/>
    </row>
    <row r="3264" ht="1.5" customHeight="1">
      <c r="A3264" s="4" t="str">
        <f>IFERROR(__xludf.DUMMYFUNCTION("""COMPUTED_VALUE"""),"12. Faye")</f>
        <v>12. Faye</v>
      </c>
      <c r="B3264" s="4" t="str">
        <f>IFERROR(__xludf.DUMMYFUNCTION("""COMPUTED_VALUE"""),"12")</f>
        <v>12</v>
      </c>
      <c r="C3264" s="5" t="str">
        <f>IFERROR(__xludf.DUMMYFUNCTION("""COMPUTED_VALUE"""),"https://drive.google.com/file/d/1K97dUqSdiS4cOzotcaYcdgLT8kKhLnxt/view?usp=drivesdk")</f>
        <v>https://drive.google.com/file/d/1K97dUqSdiS4cOzotcaYcdgLT8kKhLnxt/view?usp=drivesdk</v>
      </c>
      <c r="D3264" s="12"/>
      <c r="E3264" s="11">
        <v>3302.0</v>
      </c>
      <c r="F3264" s="2"/>
    </row>
    <row r="3265" ht="1.5" customHeight="1">
      <c r="A3265" s="4" t="str">
        <f>IFERROR(__xludf.DUMMYFUNCTION("""COMPUTED_VALUE"""),"45. Boots,  39. Radar, 42. Rubber")</f>
        <v>45. Boots,  39. Radar, 42. Rubber</v>
      </c>
      <c r="B3265" s="4" t="str">
        <f>IFERROR(__xludf.DUMMYFUNCTION("""COMPUTED_VALUE"""),"45,  39, 42")</f>
        <v>45,  39, 42</v>
      </c>
      <c r="C3265" s="5" t="str">
        <f>IFERROR(__xludf.DUMMYFUNCTION("""COMPUTED_VALUE"""),"https://drive.google.com/file/d/1FnRz3NSrjx56gz1gZHpzckcerayOYbqi/view?usp=drivesdk")</f>
        <v>https://drive.google.com/file/d/1FnRz3NSrjx56gz1gZHpzckcerayOYbqi/view?usp=drivesdk</v>
      </c>
      <c r="D3265" s="12"/>
      <c r="E3265" s="11">
        <v>3303.0</v>
      </c>
      <c r="F3265" s="2"/>
    </row>
    <row r="3266" ht="1.5" customHeight="1">
      <c r="A3266" s="4" t="str">
        <f>IFERROR(__xludf.DUMMYFUNCTION("""COMPUTED_VALUE"""),"45. Boots, 40. Dumpster, 42. Rubber")</f>
        <v>45. Boots, 40. Dumpster, 42. Rubber</v>
      </c>
      <c r="B3266" s="4" t="str">
        <f>IFERROR(__xludf.DUMMYFUNCTION("""COMPUTED_VALUE"""),"45, 40, 42")</f>
        <v>45, 40, 42</v>
      </c>
      <c r="C3266" s="5" t="str">
        <f>IFERROR(__xludf.DUMMYFUNCTION("""COMPUTED_VALUE"""),"https://drive.google.com/file/d/1PG8AKE80X9vLsKQOwvHvYn6Zp3zVZiuJ/view?usp=drivesdk")</f>
        <v>https://drive.google.com/file/d/1PG8AKE80X9vLsKQOwvHvYn6Zp3zVZiuJ/view?usp=drivesdk</v>
      </c>
      <c r="D3266" s="12"/>
      <c r="E3266" s="11">
        <v>3304.0</v>
      </c>
      <c r="F3266" s="2"/>
    </row>
    <row r="3267" ht="1.5" customHeight="1">
      <c r="A3267" s="4" t="str">
        <f>IFERROR(__xludf.DUMMYFUNCTION("""COMPUTED_VALUE"""),"38. Winston, 12. Faye")</f>
        <v>38. Winston, 12. Faye</v>
      </c>
      <c r="B3267" s="4" t="str">
        <f>IFERROR(__xludf.DUMMYFUNCTION("""COMPUTED_VALUE"""),"38, 12")</f>
        <v>38, 12</v>
      </c>
      <c r="C3267" s="5" t="str">
        <f>IFERROR(__xludf.DUMMYFUNCTION("""COMPUTED_VALUE"""),"https://drive.google.com/file/d/1lqlReHk99ZvcFrn0ABynBXeuM-HICUtv/view?usp=drivesdk")</f>
        <v>https://drive.google.com/file/d/1lqlReHk99ZvcFrn0ABynBXeuM-HICUtv/view?usp=drivesdk</v>
      </c>
      <c r="D3267" s="12"/>
      <c r="E3267" s="11">
        <v>3305.0</v>
      </c>
      <c r="F3267" s="2"/>
    </row>
    <row r="3268" ht="1.5" customHeight="1">
      <c r="A3268" s="4" t="str">
        <f>IFERROR(__xludf.DUMMYFUNCTION("""COMPUTED_VALUE"""),"42. Rubber, 45. Boots")</f>
        <v>42. Rubber, 45. Boots</v>
      </c>
      <c r="B3268" s="4" t="str">
        <f>IFERROR(__xludf.DUMMYFUNCTION("""COMPUTED_VALUE"""),"42, 45")</f>
        <v>42, 45</v>
      </c>
      <c r="C3268" s="5" t="str">
        <f>IFERROR(__xludf.DUMMYFUNCTION("""COMPUTED_VALUE"""),"https://drive.google.com/file/d/1JHOXftlqpB7TqQWU1_y7RDBQH33Zsil5/view?usp=drivesdk")</f>
        <v>https://drive.google.com/file/d/1JHOXftlqpB7TqQWU1_y7RDBQH33Zsil5/view?usp=drivesdk</v>
      </c>
      <c r="D3268" s="12"/>
      <c r="E3268" s="11">
        <v>3306.0</v>
      </c>
      <c r="F3268" s="2"/>
    </row>
    <row r="3269" ht="1.5" customHeight="1">
      <c r="A3269" s="4" t="str">
        <f>IFERROR(__xludf.DUMMYFUNCTION("""COMPUTED_VALUE"""),"40. Dumpster, 42. Rubber")</f>
        <v>40. Dumpster, 42. Rubber</v>
      </c>
      <c r="B3269" s="4" t="str">
        <f>IFERROR(__xludf.DUMMYFUNCTION("""COMPUTED_VALUE"""),"40, 42")</f>
        <v>40, 42</v>
      </c>
      <c r="C3269" s="5" t="str">
        <f>IFERROR(__xludf.DUMMYFUNCTION("""COMPUTED_VALUE"""),"https://drive.google.com/file/d/1_RiP5ckCCqfRurvnKJpcCKF3PIryibco/view?usp=drivesdk")</f>
        <v>https://drive.google.com/file/d/1_RiP5ckCCqfRurvnKJpcCKF3PIryibco/view?usp=drivesdk</v>
      </c>
      <c r="D3269" s="12"/>
      <c r="E3269" s="11">
        <v>3307.0</v>
      </c>
      <c r="F3269" s="2"/>
    </row>
    <row r="3270" ht="1.5" customHeight="1">
      <c r="A3270" s="4" t="str">
        <f>IFERROR(__xludf.DUMMYFUNCTION("""COMPUTED_VALUE"""),"39. Radar, 40. Dumpster")</f>
        <v>39. Radar, 40. Dumpster</v>
      </c>
      <c r="B3270" s="4" t="str">
        <f>IFERROR(__xludf.DUMMYFUNCTION("""COMPUTED_VALUE"""),"39, 40")</f>
        <v>39, 40</v>
      </c>
      <c r="C3270" s="5" t="str">
        <f>IFERROR(__xludf.DUMMYFUNCTION("""COMPUTED_VALUE"""),"https://drive.google.com/file/d/1PGVrpB3bGKk953dizYe913Bh6EU67inV/view?usp=drivesdk")</f>
        <v>https://drive.google.com/file/d/1PGVrpB3bGKk953dizYe913Bh6EU67inV/view?usp=drivesdk</v>
      </c>
      <c r="D3270" s="12"/>
      <c r="E3270" s="11">
        <v>3308.0</v>
      </c>
      <c r="F3270" s="2"/>
    </row>
    <row r="3271" ht="1.5" customHeight="1">
      <c r="A3271" s="4" t="str">
        <f>IFERROR(__xludf.DUMMYFUNCTION("""COMPUTED_VALUE"""),"40. Dumpster, 42. Rubber, 45. Boots")</f>
        <v>40. Dumpster, 42. Rubber, 45. Boots</v>
      </c>
      <c r="B3271" s="4" t="str">
        <f>IFERROR(__xludf.DUMMYFUNCTION("""COMPUTED_VALUE"""),"40, 42, 45")</f>
        <v>40, 42, 45</v>
      </c>
      <c r="C3271" s="5" t="str">
        <f>IFERROR(__xludf.DUMMYFUNCTION("""COMPUTED_VALUE"""),"https://drive.google.com/file/d/1QRUnWrA4HNv4WbSyQ6DITI5DmhdmFUnI/view?usp=drivesdk")</f>
        <v>https://drive.google.com/file/d/1QRUnWrA4HNv4WbSyQ6DITI5DmhdmFUnI/view?usp=drivesdk</v>
      </c>
      <c r="D3271" s="12"/>
      <c r="E3271" s="11">
        <v>3309.0</v>
      </c>
      <c r="F3271" s="2"/>
    </row>
    <row r="3272" ht="1.5" customHeight="1">
      <c r="A3272" s="4" t="str">
        <f>IFERROR(__xludf.DUMMYFUNCTION("""COMPUTED_VALUE"""),"38. Winston")</f>
        <v>38. Winston</v>
      </c>
      <c r="B3272" s="4" t="str">
        <f>IFERROR(__xludf.DUMMYFUNCTION("""COMPUTED_VALUE"""),"38")</f>
        <v>38</v>
      </c>
      <c r="C3272" s="5" t="str">
        <f>IFERROR(__xludf.DUMMYFUNCTION("""COMPUTED_VALUE"""),"https://drive.google.com/file/d/1s159W4a4eBDAGyCW3c-Rpu0-EnztGvWn/view?usp=drivesdk")</f>
        <v>https://drive.google.com/file/d/1s159W4a4eBDAGyCW3c-Rpu0-EnztGvWn/view?usp=drivesdk</v>
      </c>
      <c r="D3272" s="12"/>
      <c r="E3272" s="11">
        <v>3310.0</v>
      </c>
      <c r="F3272" s="2"/>
    </row>
    <row r="3273" ht="1.5" customHeight="1">
      <c r="A3273" s="4" t="str">
        <f>IFERROR(__xludf.DUMMYFUNCTION("""COMPUTED_VALUE"""),"38. Winston")</f>
        <v>38. Winston</v>
      </c>
      <c r="B3273" s="4" t="str">
        <f>IFERROR(__xludf.DUMMYFUNCTION("""COMPUTED_VALUE"""),"38")</f>
        <v>38</v>
      </c>
      <c r="C3273" s="5" t="str">
        <f>IFERROR(__xludf.DUMMYFUNCTION("""COMPUTED_VALUE"""),"https://drive.google.com/file/d/1X9J8NytciymuwGjTRzH5VvSsNbrY-zfe/view?usp=drivesdk")</f>
        <v>https://drive.google.com/file/d/1X9J8NytciymuwGjTRzH5VvSsNbrY-zfe/view?usp=drivesdk</v>
      </c>
      <c r="D3273" s="12"/>
      <c r="E3273" s="11">
        <v>3311.0</v>
      </c>
      <c r="F3273" s="2"/>
    </row>
    <row r="3274" ht="1.5" customHeight="1">
      <c r="A3274" s="4" t="str">
        <f>IFERROR(__xludf.DUMMYFUNCTION("""COMPUTED_VALUE"""),"43. Bruno")</f>
        <v>43. Bruno</v>
      </c>
      <c r="B3274" s="4" t="str">
        <f>IFERROR(__xludf.DUMMYFUNCTION("""COMPUTED_VALUE"""),"43")</f>
        <v>43</v>
      </c>
      <c r="C3274" s="5" t="str">
        <f>IFERROR(__xludf.DUMMYFUNCTION("""COMPUTED_VALUE"""),"https://drive.google.com/file/d/1BxFsdYsO6uHZITzUebZ_wztaLYX2sr2K/view?usp=drivesdk")</f>
        <v>https://drive.google.com/file/d/1BxFsdYsO6uHZITzUebZ_wztaLYX2sr2K/view?usp=drivesdk</v>
      </c>
      <c r="D3274" s="12"/>
      <c r="E3274" s="11">
        <v>3312.0</v>
      </c>
      <c r="F3274" s="2"/>
    </row>
    <row r="3275" ht="1.5" customHeight="1">
      <c r="A3275" s="4" t="str">
        <f>IFERROR(__xludf.DUMMYFUNCTION("""COMPUTED_VALUE"""),"61. Cassie")</f>
        <v>61. Cassie</v>
      </c>
      <c r="B3275" s="4" t="str">
        <f>IFERROR(__xludf.DUMMYFUNCTION("""COMPUTED_VALUE"""),"61")</f>
        <v>61</v>
      </c>
      <c r="C3275" s="5" t="str">
        <f>IFERROR(__xludf.DUMMYFUNCTION("""COMPUTED_VALUE"""),"https://drive.google.com/file/d/12FDGrx4GINEDIvXdwNVnxPNjBNd9mFhl/view?usp=drivesdk")</f>
        <v>https://drive.google.com/file/d/12FDGrx4GINEDIvXdwNVnxPNjBNd9mFhl/view?usp=drivesdk</v>
      </c>
      <c r="D3275" s="12"/>
      <c r="E3275" s="11">
        <v>3313.0</v>
      </c>
      <c r="F3275" s="2"/>
    </row>
    <row r="3276" ht="1.5" customHeight="1">
      <c r="A3276" s="4" t="str">
        <f>IFERROR(__xludf.DUMMYFUNCTION("""COMPUTED_VALUE"""),"42. Rubber, 39. Radar, 45. Boots, 12. Faye")</f>
        <v>42. Rubber, 39. Radar, 45. Boots, 12. Faye</v>
      </c>
      <c r="B3276" s="4" t="str">
        <f>IFERROR(__xludf.DUMMYFUNCTION("""COMPUTED_VALUE"""),"42, 39, 45, 12")</f>
        <v>42, 39, 45, 12</v>
      </c>
      <c r="C3276" s="5" t="str">
        <f>IFERROR(__xludf.DUMMYFUNCTION("""COMPUTED_VALUE"""),"https://drive.google.com/file/d/1gq_lNfdKQbFM9XovmBxMWSmL12Ojfb6r/view?usp=drivesdk")</f>
        <v>https://drive.google.com/file/d/1gq_lNfdKQbFM9XovmBxMWSmL12Ojfb6r/view?usp=drivesdk</v>
      </c>
      <c r="D3276" s="12"/>
      <c r="E3276" s="11">
        <v>3314.0</v>
      </c>
      <c r="F3276" s="2"/>
    </row>
    <row r="3277" ht="1.5" customHeight="1">
      <c r="A3277" s="4" t="str">
        <f>IFERROR(__xludf.DUMMYFUNCTION("""COMPUTED_VALUE"""),"38. Winston")</f>
        <v>38. Winston</v>
      </c>
      <c r="B3277" s="4" t="str">
        <f>IFERROR(__xludf.DUMMYFUNCTION("""COMPUTED_VALUE"""),"38")</f>
        <v>38</v>
      </c>
      <c r="C3277" s="5" t="str">
        <f>IFERROR(__xludf.DUMMYFUNCTION("""COMPUTED_VALUE"""),"https://drive.google.com/file/d/1_jQghLtiwy9jtVAEsdqwvGHpS8d2c6vk/view?usp=drivesdk")</f>
        <v>https://drive.google.com/file/d/1_jQghLtiwy9jtVAEsdqwvGHpS8d2c6vk/view?usp=drivesdk</v>
      </c>
      <c r="D3277" s="12"/>
      <c r="E3277" s="11">
        <v>3315.0</v>
      </c>
      <c r="F3277" s="2"/>
    </row>
    <row r="3278" ht="1.5" customHeight="1">
      <c r="A3278" s="4" t="str">
        <f>IFERROR(__xludf.DUMMYFUNCTION("""COMPUTED_VALUE"""),"38. Winston")</f>
        <v>38. Winston</v>
      </c>
      <c r="B3278" s="4" t="str">
        <f>IFERROR(__xludf.DUMMYFUNCTION("""COMPUTED_VALUE"""),"38")</f>
        <v>38</v>
      </c>
      <c r="C3278" s="5" t="str">
        <f>IFERROR(__xludf.DUMMYFUNCTION("""COMPUTED_VALUE"""),"https://drive.google.com/file/d/1IzleSXoh5DYWSYbPvFsyxLSX_ARA1_UC/view?usp=drivesdk")</f>
        <v>https://drive.google.com/file/d/1IzleSXoh5DYWSYbPvFsyxLSX_ARA1_UC/view?usp=drivesdk</v>
      </c>
      <c r="D3278" s="12"/>
      <c r="E3278" s="11">
        <v>3316.0</v>
      </c>
      <c r="F3278" s="2"/>
    </row>
    <row r="3279" ht="1.5" customHeight="1">
      <c r="A3279" s="4" t="str">
        <f>IFERROR(__xludf.DUMMYFUNCTION("""COMPUTED_VALUE"""),"38. Winston")</f>
        <v>38. Winston</v>
      </c>
      <c r="B3279" s="4" t="str">
        <f>IFERROR(__xludf.DUMMYFUNCTION("""COMPUTED_VALUE"""),"38")</f>
        <v>38</v>
      </c>
      <c r="C3279" s="5" t="str">
        <f>IFERROR(__xludf.DUMMYFUNCTION("""COMPUTED_VALUE"""),"https://drive.google.com/file/d/15g_50JY9z4DMRIZ78hoa7pTeclUed5nq/view?usp=drivesdk")</f>
        <v>https://drive.google.com/file/d/15g_50JY9z4DMRIZ78hoa7pTeclUed5nq/view?usp=drivesdk</v>
      </c>
      <c r="D3279" s="12"/>
      <c r="E3279" s="11">
        <v>3317.0</v>
      </c>
      <c r="F3279" s="2"/>
    </row>
    <row r="3280" ht="1.5" customHeight="1">
      <c r="A3280" s="4" t="str">
        <f>IFERROR(__xludf.DUMMYFUNCTION("""COMPUTED_VALUE"""),"61. Cassie")</f>
        <v>61. Cassie</v>
      </c>
      <c r="B3280" s="4" t="str">
        <f>IFERROR(__xludf.DUMMYFUNCTION("""COMPUTED_VALUE"""),"61")</f>
        <v>61</v>
      </c>
      <c r="C3280" s="5" t="str">
        <f>IFERROR(__xludf.DUMMYFUNCTION("""COMPUTED_VALUE"""),"https://drive.google.com/file/d/1JRvV_fGNqVdCYATM7o7RFzzoyoYbVc9k/view?usp=drivesdk")</f>
        <v>https://drive.google.com/file/d/1JRvV_fGNqVdCYATM7o7RFzzoyoYbVc9k/view?usp=drivesdk</v>
      </c>
      <c r="D3280" s="12"/>
      <c r="E3280" s="11">
        <v>3318.0</v>
      </c>
      <c r="F3280" s="2"/>
    </row>
    <row r="3281" ht="1.5" customHeight="1">
      <c r="A3281" s="4" t="str">
        <f>IFERROR(__xludf.DUMMYFUNCTION("""COMPUTED_VALUE"""),"38. Winston")</f>
        <v>38. Winston</v>
      </c>
      <c r="B3281" s="4" t="str">
        <f>IFERROR(__xludf.DUMMYFUNCTION("""COMPUTED_VALUE"""),"38")</f>
        <v>38</v>
      </c>
      <c r="C3281" s="5" t="str">
        <f>IFERROR(__xludf.DUMMYFUNCTION("""COMPUTED_VALUE"""),"https://drive.google.com/file/d/1MLK3MyY-JpgfN5uRdtkv_r9a7x83eAH0/view?usp=drivesdk")</f>
        <v>https://drive.google.com/file/d/1MLK3MyY-JpgfN5uRdtkv_r9a7x83eAH0/view?usp=drivesdk</v>
      </c>
      <c r="D3281" s="12"/>
      <c r="E3281" s="11">
        <v>3319.0</v>
      </c>
      <c r="F3281" s="2"/>
    </row>
    <row r="3282" ht="1.5" customHeight="1">
      <c r="A3282" s="4" t="str">
        <f>IFERROR(__xludf.DUMMYFUNCTION("""COMPUTED_VALUE"""),"45. Boots, 40. Dumpster")</f>
        <v>45. Boots, 40. Dumpster</v>
      </c>
      <c r="B3282" s="4" t="str">
        <f>IFERROR(__xludf.DUMMYFUNCTION("""COMPUTED_VALUE"""),"45, 40")</f>
        <v>45, 40</v>
      </c>
      <c r="C3282" s="5" t="str">
        <f>IFERROR(__xludf.DUMMYFUNCTION("""COMPUTED_VALUE"""),"https://drive.google.com/file/d/13JXDZjGMHUZ39Kieh7sy8DaIMjELSEhv/view?usp=drivesdk")</f>
        <v>https://drive.google.com/file/d/13JXDZjGMHUZ39Kieh7sy8DaIMjELSEhv/view?usp=drivesdk</v>
      </c>
      <c r="D3282" s="12"/>
      <c r="E3282" s="11">
        <v>3320.0</v>
      </c>
      <c r="F3282" s="2"/>
    </row>
    <row r="3283" ht="1.5" customHeight="1">
      <c r="A3283" s="4" t="str">
        <f>IFERROR(__xludf.DUMMYFUNCTION("""COMPUTED_VALUE"""),"42. Rubber, 39. Radar, 45. Boots, 12. Faye")</f>
        <v>42. Rubber, 39. Radar, 45. Boots, 12. Faye</v>
      </c>
      <c r="B3283" s="4" t="str">
        <f>IFERROR(__xludf.DUMMYFUNCTION("""COMPUTED_VALUE"""),"42, 39, 45, 12")</f>
        <v>42, 39, 45, 12</v>
      </c>
      <c r="C3283" s="5" t="str">
        <f>IFERROR(__xludf.DUMMYFUNCTION("""COMPUTED_VALUE"""),"https://drive.google.com/file/d/1qhJEoSma6q-qQ4oUf1ablTvJq4x35quI/view?usp=drivesdk")</f>
        <v>https://drive.google.com/file/d/1qhJEoSma6q-qQ4oUf1ablTvJq4x35quI/view?usp=drivesdk</v>
      </c>
      <c r="D3283" s="12"/>
      <c r="E3283" s="11">
        <v>3321.0</v>
      </c>
      <c r="F3283" s="2"/>
    </row>
    <row r="3284" ht="1.5" customHeight="1">
      <c r="A3284" s="4" t="str">
        <f>IFERROR(__xludf.DUMMYFUNCTION("""COMPUTED_VALUE"""),"38. Winston")</f>
        <v>38. Winston</v>
      </c>
      <c r="B3284" s="4" t="str">
        <f>IFERROR(__xludf.DUMMYFUNCTION("""COMPUTED_VALUE"""),"38")</f>
        <v>38</v>
      </c>
      <c r="C3284" s="5" t="str">
        <f>IFERROR(__xludf.DUMMYFUNCTION("""COMPUTED_VALUE"""),"https://drive.google.com/file/d/1wawZMGri-OiNxuW0gUBELT1PfIyAJGy8/view?usp=drivesdk")</f>
        <v>https://drive.google.com/file/d/1wawZMGri-OiNxuW0gUBELT1PfIyAJGy8/view?usp=drivesdk</v>
      </c>
      <c r="D3284" s="12"/>
      <c r="E3284" s="11">
        <v>3322.0</v>
      </c>
      <c r="F3284" s="2"/>
    </row>
    <row r="3285" ht="1.5" customHeight="1">
      <c r="A3285" s="4" t="str">
        <f>IFERROR(__xludf.DUMMYFUNCTION("""COMPUTED_VALUE"""),"38. Winston")</f>
        <v>38. Winston</v>
      </c>
      <c r="B3285" s="4" t="str">
        <f>IFERROR(__xludf.DUMMYFUNCTION("""COMPUTED_VALUE"""),"38")</f>
        <v>38</v>
      </c>
      <c r="C3285" s="5" t="str">
        <f>IFERROR(__xludf.DUMMYFUNCTION("""COMPUTED_VALUE"""),"https://drive.google.com/file/d/1d4dLF9J_BY9h8Goi20QPPDr6V80UoLD2/view?usp=drivesdk")</f>
        <v>https://drive.google.com/file/d/1d4dLF9J_BY9h8Goi20QPPDr6V80UoLD2/view?usp=drivesdk</v>
      </c>
      <c r="D3285" s="12"/>
      <c r="E3285" s="11">
        <v>3323.0</v>
      </c>
      <c r="F3285" s="2"/>
    </row>
    <row r="3286" ht="1.5" customHeight="1">
      <c r="A3286" s="4" t="str">
        <f>IFERROR(__xludf.DUMMYFUNCTION("""COMPUTED_VALUE"""),"42. Rubber, 39. Radar, 45. Boots, 12. Faye")</f>
        <v>42. Rubber, 39. Radar, 45. Boots, 12. Faye</v>
      </c>
      <c r="B3286" s="4" t="str">
        <f>IFERROR(__xludf.DUMMYFUNCTION("""COMPUTED_VALUE"""),"42, 39, 45, 12")</f>
        <v>42, 39, 45, 12</v>
      </c>
      <c r="C3286" s="5" t="str">
        <f>IFERROR(__xludf.DUMMYFUNCTION("""COMPUTED_VALUE"""),"https://drive.google.com/file/d/1OuDm_DHnXHNvXFEUbw8TiseT0QzyE1oc/view?usp=drivesdk")</f>
        <v>https://drive.google.com/file/d/1OuDm_DHnXHNvXFEUbw8TiseT0QzyE1oc/view?usp=drivesdk</v>
      </c>
      <c r="D3286" s="12"/>
      <c r="E3286" s="11">
        <v>3324.0</v>
      </c>
      <c r="F3286" s="2"/>
    </row>
    <row r="3287" ht="1.5" customHeight="1">
      <c r="A3287" s="4" t="str">
        <f>IFERROR(__xludf.DUMMYFUNCTION("""COMPUTED_VALUE"""),"42. Rubber, 39. Radar, 45. Boots, 12. Faye, 40. Dumpster")</f>
        <v>42. Rubber, 39. Radar, 45. Boots, 12. Faye, 40. Dumpster</v>
      </c>
      <c r="B3287" s="4" t="str">
        <f>IFERROR(__xludf.DUMMYFUNCTION("""COMPUTED_VALUE"""),"42, 39, 45, 12, 40")</f>
        <v>42, 39, 45, 12, 40</v>
      </c>
      <c r="C3287" s="5" t="str">
        <f>IFERROR(__xludf.DUMMYFUNCTION("""COMPUTED_VALUE"""),"https://drive.google.com/file/d/1uv6wkxNdant_-LxCpdAmg1AxAoCkegLV/view?usp=drivesdk")</f>
        <v>https://drive.google.com/file/d/1uv6wkxNdant_-LxCpdAmg1AxAoCkegLV/view?usp=drivesdk</v>
      </c>
      <c r="D3287" s="12"/>
      <c r="E3287" s="11">
        <v>3325.0</v>
      </c>
      <c r="F3287" s="2"/>
    </row>
    <row r="3288" ht="1.5" customHeight="1">
      <c r="A3288" s="4" t="str">
        <f>IFERROR(__xludf.DUMMYFUNCTION("""COMPUTED_VALUE"""),"45. Boots")</f>
        <v>45. Boots</v>
      </c>
      <c r="B3288" s="4" t="str">
        <f>IFERROR(__xludf.DUMMYFUNCTION("""COMPUTED_VALUE"""),"45")</f>
        <v>45</v>
      </c>
      <c r="C3288" s="5" t="str">
        <f>IFERROR(__xludf.DUMMYFUNCTION("""COMPUTED_VALUE"""),"https://drive.google.com/file/d/1pEtr33Jso00h-bhEjeRyqsUEMAyoOk2T/view?usp=drivesdk")</f>
        <v>https://drive.google.com/file/d/1pEtr33Jso00h-bhEjeRyqsUEMAyoOk2T/view?usp=drivesdk</v>
      </c>
      <c r="D3288" s="12"/>
      <c r="E3288" s="11">
        <v>3326.0</v>
      </c>
      <c r="F3288" s="2"/>
    </row>
    <row r="3289" ht="1.5" customHeight="1">
      <c r="A3289" s="4" t="str">
        <f>IFERROR(__xludf.DUMMYFUNCTION("""COMPUTED_VALUE"""),"42. Rubber, 39. Radar, 45. Boots, 12. Faye, 40. Dumpster")</f>
        <v>42. Rubber, 39. Radar, 45. Boots, 12. Faye, 40. Dumpster</v>
      </c>
      <c r="B3289" s="4" t="str">
        <f>IFERROR(__xludf.DUMMYFUNCTION("""COMPUTED_VALUE"""),"42, 39, 45, 12, 40")</f>
        <v>42, 39, 45, 12, 40</v>
      </c>
      <c r="C3289" s="5" t="str">
        <f>IFERROR(__xludf.DUMMYFUNCTION("""COMPUTED_VALUE"""),"https://drive.google.com/file/d/1gRpUy0r_TKtT_pRl2FrMZ61e9PQSwJra/view?usp=drivesdk")</f>
        <v>https://drive.google.com/file/d/1gRpUy0r_TKtT_pRl2FrMZ61e9PQSwJra/view?usp=drivesdk</v>
      </c>
      <c r="D3289" s="12"/>
      <c r="E3289" s="11">
        <v>3327.0</v>
      </c>
      <c r="F3289" s="2"/>
    </row>
    <row r="3290" ht="1.5" customHeight="1">
      <c r="A3290" s="4" t="str">
        <f>IFERROR(__xludf.DUMMYFUNCTION("""COMPUTED_VALUE"""),"146. Monsieur Stanky")</f>
        <v>146. Monsieur Stanky</v>
      </c>
      <c r="B3290" s="4" t="str">
        <f>IFERROR(__xludf.DUMMYFUNCTION("""COMPUTED_VALUE"""),"146")</f>
        <v>146</v>
      </c>
      <c r="C3290" s="5" t="str">
        <f>IFERROR(__xludf.DUMMYFUNCTION("""COMPUTED_VALUE"""),"https://drive.google.com/file/d/1GW2nyS9cgGRzdk7KOE_ItjbXFujr18fp/view?usp=drivesdk")</f>
        <v>https://drive.google.com/file/d/1GW2nyS9cgGRzdk7KOE_ItjbXFujr18fp/view?usp=drivesdk</v>
      </c>
      <c r="D3290" s="12"/>
      <c r="E3290" s="11">
        <v>3328.0</v>
      </c>
      <c r="F3290" s="2"/>
    </row>
    <row r="3291" ht="1.5" customHeight="1">
      <c r="A3291" s="4" t="str">
        <f>IFERROR(__xludf.DUMMYFUNCTION("""COMPUTED_VALUE"""),"42. Rubber, 39. Radar, 45. Boots, 12. Faye, 40. Dumpster")</f>
        <v>42. Rubber, 39. Radar, 45. Boots, 12. Faye, 40. Dumpster</v>
      </c>
      <c r="B3291" s="4" t="str">
        <f>IFERROR(__xludf.DUMMYFUNCTION("""COMPUTED_VALUE"""),"42, 39, 45, 12, 40")</f>
        <v>42, 39, 45, 12, 40</v>
      </c>
      <c r="C3291" s="5" t="str">
        <f>IFERROR(__xludf.DUMMYFUNCTION("""COMPUTED_VALUE"""),"https://drive.google.com/file/d/1NIn05XR84HkxzC1deRzhbRIgOMNT8Rk8/view?usp=drivesdk")</f>
        <v>https://drive.google.com/file/d/1NIn05XR84HkxzC1deRzhbRIgOMNT8Rk8/view?usp=drivesdk</v>
      </c>
      <c r="D3291" s="12"/>
      <c r="E3291" s="11">
        <v>3329.0</v>
      </c>
      <c r="F3291" s="2"/>
    </row>
    <row r="3292" ht="1.5" customHeight="1">
      <c r="A3292" s="4" t="str">
        <f>IFERROR(__xludf.DUMMYFUNCTION("""COMPUTED_VALUE"""),"42. Rubber, 39. Radar, 45. Boots, 12. Faye, 40. Dumpster")</f>
        <v>42. Rubber, 39. Radar, 45. Boots, 12. Faye, 40. Dumpster</v>
      </c>
      <c r="B3292" s="4" t="str">
        <f>IFERROR(__xludf.DUMMYFUNCTION("""COMPUTED_VALUE"""),"42, 39, 45, 12, 40")</f>
        <v>42, 39, 45, 12, 40</v>
      </c>
      <c r="C3292" s="5" t="str">
        <f>IFERROR(__xludf.DUMMYFUNCTION("""COMPUTED_VALUE"""),"https://drive.google.com/file/d/1XMLQ_3Xp0upqL3tWIhTAWRbTzrMjZCBY/view?usp=drivesdk")</f>
        <v>https://drive.google.com/file/d/1XMLQ_3Xp0upqL3tWIhTAWRbTzrMjZCBY/view?usp=drivesdk</v>
      </c>
      <c r="D3292" s="12"/>
      <c r="E3292" s="11">
        <v>3330.0</v>
      </c>
      <c r="F3292" s="2"/>
    </row>
    <row r="3293" ht="1.5" customHeight="1">
      <c r="A3293" s="4" t="str">
        <f>IFERROR(__xludf.DUMMYFUNCTION("""COMPUTED_VALUE"""),"45. Boots")</f>
        <v>45. Boots</v>
      </c>
      <c r="B3293" s="4" t="str">
        <f>IFERROR(__xludf.DUMMYFUNCTION("""COMPUTED_VALUE"""),"45")</f>
        <v>45</v>
      </c>
      <c r="C3293" s="5" t="str">
        <f>IFERROR(__xludf.DUMMYFUNCTION("""COMPUTED_VALUE"""),"https://drive.google.com/file/d/1ROKcWAcdhYos1QXixff9jDNML-QTmlcl/view?usp=drivesdk")</f>
        <v>https://drive.google.com/file/d/1ROKcWAcdhYos1QXixff9jDNML-QTmlcl/view?usp=drivesdk</v>
      </c>
      <c r="D3293" s="12"/>
      <c r="E3293" s="11">
        <v>3331.0</v>
      </c>
      <c r="F3293" s="2"/>
    </row>
    <row r="3294" ht="1.5" customHeight="1">
      <c r="A3294" s="4" t="str">
        <f>IFERROR(__xludf.DUMMYFUNCTION("""COMPUTED_VALUE"""),"42. Rubber, 39. Radar, 45. Boots, 12. Faye, 40. Dumpster")</f>
        <v>42. Rubber, 39. Radar, 45. Boots, 12. Faye, 40. Dumpster</v>
      </c>
      <c r="B3294" s="4" t="str">
        <f>IFERROR(__xludf.DUMMYFUNCTION("""COMPUTED_VALUE"""),"42, 39, 45, 12, 40")</f>
        <v>42, 39, 45, 12, 40</v>
      </c>
      <c r="C3294" s="5" t="str">
        <f>IFERROR(__xludf.DUMMYFUNCTION("""COMPUTED_VALUE"""),"https://drive.google.com/file/d/1UhlhUaajHlqPXNCjyZC_g3HhtoXlyXx5/view?usp=drivesdk")</f>
        <v>https://drive.google.com/file/d/1UhlhUaajHlqPXNCjyZC_g3HhtoXlyXx5/view?usp=drivesdk</v>
      </c>
      <c r="D3294" s="12"/>
      <c r="E3294" s="11">
        <v>3332.0</v>
      </c>
      <c r="F3294" s="2"/>
    </row>
    <row r="3295" ht="1.5" customHeight="1">
      <c r="A3295" s="4" t="str">
        <f>IFERROR(__xludf.DUMMYFUNCTION("""COMPUTED_VALUE"""),"42. Rubber, 39. Radar, 45. Boots, 12. Faye, 40. Dumpster")</f>
        <v>42. Rubber, 39. Radar, 45. Boots, 12. Faye, 40. Dumpster</v>
      </c>
      <c r="B3295" s="4" t="str">
        <f>IFERROR(__xludf.DUMMYFUNCTION("""COMPUTED_VALUE"""),"42, 39, 45, 12, 40")</f>
        <v>42, 39, 45, 12, 40</v>
      </c>
      <c r="C3295" s="5" t="str">
        <f>IFERROR(__xludf.DUMMYFUNCTION("""COMPUTED_VALUE"""),"https://drive.google.com/file/d/1UG_I1fvUltc-TZ4C2f9iTigIAHRnlMu7/view?usp=drivesdk")</f>
        <v>https://drive.google.com/file/d/1UG_I1fvUltc-TZ4C2f9iTigIAHRnlMu7/view?usp=drivesdk</v>
      </c>
      <c r="D3295" s="12"/>
      <c r="E3295" s="11">
        <v>3333.0</v>
      </c>
      <c r="F3295" s="2"/>
    </row>
    <row r="3296" ht="1.5" customHeight="1">
      <c r="A3296" s="4" t="str">
        <f>IFERROR(__xludf.DUMMYFUNCTION("""COMPUTED_VALUE"""),"42. Rubber, 39. Radar, 45. Boots, 12. Faye, 40. Dumpster")</f>
        <v>42. Rubber, 39. Radar, 45. Boots, 12. Faye, 40. Dumpster</v>
      </c>
      <c r="B3296" s="4" t="str">
        <f>IFERROR(__xludf.DUMMYFUNCTION("""COMPUTED_VALUE"""),"42, 39, 45, 12, 40")</f>
        <v>42, 39, 45, 12, 40</v>
      </c>
      <c r="C3296" s="5" t="str">
        <f>IFERROR(__xludf.DUMMYFUNCTION("""COMPUTED_VALUE"""),"https://drive.google.com/file/d/1ugkKITMAOFPkOikFPplxOahQw478hEid/view?usp=drivesdk")</f>
        <v>https://drive.google.com/file/d/1ugkKITMAOFPkOikFPplxOahQw478hEid/view?usp=drivesdk</v>
      </c>
      <c r="D3296" s="12"/>
      <c r="E3296" s="11">
        <v>3334.0</v>
      </c>
      <c r="F3296" s="2"/>
    </row>
    <row r="3297" ht="1.5" customHeight="1">
      <c r="A3297" s="4" t="str">
        <f>IFERROR(__xludf.DUMMYFUNCTION("""COMPUTED_VALUE"""),"42. Rubber, 39. Radar, 45. Boots, 12. Faye, 40. Dumpster")</f>
        <v>42. Rubber, 39. Radar, 45. Boots, 12. Faye, 40. Dumpster</v>
      </c>
      <c r="B3297" s="4" t="str">
        <f>IFERROR(__xludf.DUMMYFUNCTION("""COMPUTED_VALUE"""),"42, 39, 45, 12, 40")</f>
        <v>42, 39, 45, 12, 40</v>
      </c>
      <c r="C3297" s="5" t="str">
        <f>IFERROR(__xludf.DUMMYFUNCTION("""COMPUTED_VALUE"""),"https://drive.google.com/file/d/1BMzq8HlFpnwAAhMcJRHSVor_ypRu2Mwt/view?usp=drivesdk")</f>
        <v>https://drive.google.com/file/d/1BMzq8HlFpnwAAhMcJRHSVor_ypRu2Mwt/view?usp=drivesdk</v>
      </c>
      <c r="D3297" s="12"/>
      <c r="E3297" s="11">
        <v>3335.0</v>
      </c>
      <c r="F3297" s="2"/>
    </row>
    <row r="3298" ht="1.5" customHeight="1">
      <c r="A3298" s="4" t="str">
        <f>IFERROR(__xludf.DUMMYFUNCTION("""COMPUTED_VALUE"""),"42. Rubber, 39. Radar, 45. Boots, 12. Faye, 40. Dumpster")</f>
        <v>42. Rubber, 39. Radar, 45. Boots, 12. Faye, 40. Dumpster</v>
      </c>
      <c r="B3298" s="4" t="str">
        <f>IFERROR(__xludf.DUMMYFUNCTION("""COMPUTED_VALUE"""),"42, 39, 45, 12, 40")</f>
        <v>42, 39, 45, 12, 40</v>
      </c>
      <c r="C3298" s="5" t="str">
        <f>IFERROR(__xludf.DUMMYFUNCTION("""COMPUTED_VALUE"""),"https://drive.google.com/file/d/1BsyywWUheOnGMvnDZeb8wvHismQWJAkO/view?usp=drivesdk")</f>
        <v>https://drive.google.com/file/d/1BsyywWUheOnGMvnDZeb8wvHismQWJAkO/view?usp=drivesdk</v>
      </c>
      <c r="D3298" s="12"/>
      <c r="E3298" s="11">
        <v>3336.0</v>
      </c>
      <c r="F3298" s="2"/>
    </row>
    <row r="3299" ht="1.5" customHeight="1">
      <c r="A3299" s="4" t="str">
        <f>IFERROR(__xludf.DUMMYFUNCTION("""COMPUTED_VALUE"""),"45. Boots")</f>
        <v>45. Boots</v>
      </c>
      <c r="B3299" s="4" t="str">
        <f>IFERROR(__xludf.DUMMYFUNCTION("""COMPUTED_VALUE"""),"45")</f>
        <v>45</v>
      </c>
      <c r="C3299" s="5" t="str">
        <f>IFERROR(__xludf.DUMMYFUNCTION("""COMPUTED_VALUE"""),"https://drive.google.com/file/d/1HS7lYYMefxrIxcmyqvYNho8_OjE-8KNU/view?usp=drivesdk")</f>
        <v>https://drive.google.com/file/d/1HS7lYYMefxrIxcmyqvYNho8_OjE-8KNU/view?usp=drivesdk</v>
      </c>
      <c r="D3299" s="12"/>
      <c r="E3299" s="11">
        <v>3337.0</v>
      </c>
      <c r="F3299" s="2"/>
    </row>
    <row r="3300" ht="1.5" customHeight="1">
      <c r="A3300" s="4" t="str">
        <f>IFERROR(__xludf.DUMMYFUNCTION("""COMPUTED_VALUE"""),"45. Boots, 40. Dumpster, 42. Rubber, 39. Radar")</f>
        <v>45. Boots, 40. Dumpster, 42. Rubber, 39. Radar</v>
      </c>
      <c r="B3300" s="4" t="str">
        <f>IFERROR(__xludf.DUMMYFUNCTION("""COMPUTED_VALUE"""),"45, 40, 42, 39")</f>
        <v>45, 40, 42, 39</v>
      </c>
      <c r="C3300" s="5" t="str">
        <f>IFERROR(__xludf.DUMMYFUNCTION("""COMPUTED_VALUE"""),"https://drive.google.com/file/d/1asyzyhU8CksImQj2pmmKECjsTaYFF6OQ/view?usp=drivesdk")</f>
        <v>https://drive.google.com/file/d/1asyzyhU8CksImQj2pmmKECjsTaYFF6OQ/view?usp=drivesdk</v>
      </c>
      <c r="D3300" s="12"/>
      <c r="E3300" s="11">
        <v>3338.0</v>
      </c>
      <c r="F3300" s="2"/>
    </row>
    <row r="3301" ht="1.5" customHeight="1">
      <c r="A3301" s="4" t="str">
        <f>IFERROR(__xludf.DUMMYFUNCTION("""COMPUTED_VALUE"""),"42. Rubber, 39. Radar, 45. Boots, 12. Faye, 40. Dumpster")</f>
        <v>42. Rubber, 39. Radar, 45. Boots, 12. Faye, 40. Dumpster</v>
      </c>
      <c r="B3301" s="4" t="str">
        <f>IFERROR(__xludf.DUMMYFUNCTION("""COMPUTED_VALUE"""),"42, 39, 45, 12, 40")</f>
        <v>42, 39, 45, 12, 40</v>
      </c>
      <c r="C3301" s="5" t="str">
        <f>IFERROR(__xludf.DUMMYFUNCTION("""COMPUTED_VALUE"""),"https://drive.google.com/file/d/1E4Ydn9Nl5_uUs-QiyuKfo_oun5S0jQuP/view?usp=drivesdk")</f>
        <v>https://drive.google.com/file/d/1E4Ydn9Nl5_uUs-QiyuKfo_oun5S0jQuP/view?usp=drivesdk</v>
      </c>
      <c r="D3301" s="12"/>
      <c r="E3301" s="11">
        <v>3339.0</v>
      </c>
      <c r="F3301" s="2"/>
    </row>
    <row r="3302" ht="1.5" customHeight="1">
      <c r="A3302" s="4" t="str">
        <f>IFERROR(__xludf.DUMMYFUNCTION("""COMPUTED_VALUE"""),"45. Boots")</f>
        <v>45. Boots</v>
      </c>
      <c r="B3302" s="4" t="str">
        <f>IFERROR(__xludf.DUMMYFUNCTION("""COMPUTED_VALUE"""),"45")</f>
        <v>45</v>
      </c>
      <c r="C3302" s="5" t="str">
        <f>IFERROR(__xludf.DUMMYFUNCTION("""COMPUTED_VALUE"""),"https://drive.google.com/file/d/1m8BcjO_we67JdQwR16G-RJfnb3D4azWW/view?usp=drivesdk")</f>
        <v>https://drive.google.com/file/d/1m8BcjO_we67JdQwR16G-RJfnb3D4azWW/view?usp=drivesdk</v>
      </c>
      <c r="D3302" s="12"/>
      <c r="E3302" s="11">
        <v>3340.0</v>
      </c>
      <c r="F3302" s="2"/>
    </row>
    <row r="3303" ht="1.5" customHeight="1">
      <c r="A3303" s="4" t="str">
        <f>IFERROR(__xludf.DUMMYFUNCTION("""COMPUTED_VALUE"""),"45. Boots")</f>
        <v>45. Boots</v>
      </c>
      <c r="B3303" s="4" t="str">
        <f>IFERROR(__xludf.DUMMYFUNCTION("""COMPUTED_VALUE"""),"45")</f>
        <v>45</v>
      </c>
      <c r="C3303" s="5" t="str">
        <f>IFERROR(__xludf.DUMMYFUNCTION("""COMPUTED_VALUE"""),"https://drive.google.com/file/d/1GM7uLivka1p7bYQ5kW5c0KnlBmG8bPkS/view?usp=drivesdk")</f>
        <v>https://drive.google.com/file/d/1GM7uLivka1p7bYQ5kW5c0KnlBmG8bPkS/view?usp=drivesdk</v>
      </c>
      <c r="D3303" s="12"/>
      <c r="E3303" s="11">
        <v>3341.0</v>
      </c>
      <c r="F3303" s="2"/>
    </row>
    <row r="3304" ht="1.5" customHeight="1">
      <c r="A3304" s="4" t="str">
        <f>IFERROR(__xludf.DUMMYFUNCTION("""COMPUTED_VALUE"""),"45. Boots")</f>
        <v>45. Boots</v>
      </c>
      <c r="B3304" s="4" t="str">
        <f>IFERROR(__xludf.DUMMYFUNCTION("""COMPUTED_VALUE"""),"45")</f>
        <v>45</v>
      </c>
      <c r="C3304" s="5" t="str">
        <f>IFERROR(__xludf.DUMMYFUNCTION("""COMPUTED_VALUE"""),"https://drive.google.com/file/d/1gsohDCoZe6vkonBHPQomnOsZWjCx4ORx/view?usp=drivesdk")</f>
        <v>https://drive.google.com/file/d/1gsohDCoZe6vkonBHPQomnOsZWjCx4ORx/view?usp=drivesdk</v>
      </c>
      <c r="D3304" s="12"/>
      <c r="E3304" s="11">
        <v>3342.0</v>
      </c>
      <c r="F3304" s="2"/>
    </row>
    <row r="3305" ht="1.5" customHeight="1">
      <c r="A3305" s="4" t="str">
        <f>IFERROR(__xludf.DUMMYFUNCTION("""COMPUTED_VALUE"""),"45. Boots")</f>
        <v>45. Boots</v>
      </c>
      <c r="B3305" s="4" t="str">
        <f>IFERROR(__xludf.DUMMYFUNCTION("""COMPUTED_VALUE"""),"45")</f>
        <v>45</v>
      </c>
      <c r="C3305" s="5" t="str">
        <f>IFERROR(__xludf.DUMMYFUNCTION("""COMPUTED_VALUE"""),"https://drive.google.com/file/d/1-duOItrggEicCisEumQIAbS_XC_Re7Hn/view?usp=drivesdk")</f>
        <v>https://drive.google.com/file/d/1-duOItrggEicCisEumQIAbS_XC_Re7Hn/view?usp=drivesdk</v>
      </c>
      <c r="D3305" s="12"/>
      <c r="E3305" s="11">
        <v>3343.0</v>
      </c>
      <c r="F3305" s="2"/>
    </row>
    <row r="3306" ht="1.5" customHeight="1">
      <c r="A3306" s="4" t="str">
        <f>IFERROR(__xludf.DUMMYFUNCTION("""COMPUTED_VALUE"""),"45. Boots")</f>
        <v>45. Boots</v>
      </c>
      <c r="B3306" s="4" t="str">
        <f>IFERROR(__xludf.DUMMYFUNCTION("""COMPUTED_VALUE"""),"45")</f>
        <v>45</v>
      </c>
      <c r="C3306" s="5" t="str">
        <f>IFERROR(__xludf.DUMMYFUNCTION("""COMPUTED_VALUE"""),"https://drive.google.com/file/d/1A53BZk4ePidgQWpPYfoKeD5FYWSuLZH6/view?usp=drivesdk")</f>
        <v>https://drive.google.com/file/d/1A53BZk4ePidgQWpPYfoKeD5FYWSuLZH6/view?usp=drivesdk</v>
      </c>
      <c r="D3306" s="12"/>
      <c r="E3306" s="11">
        <v>3344.0</v>
      </c>
      <c r="F3306" s="2"/>
    </row>
    <row r="3307" ht="1.5" customHeight="1">
      <c r="A3307" s="4" t="str">
        <f>IFERROR(__xludf.DUMMYFUNCTION("""COMPUTED_VALUE"""),"45. Boots")</f>
        <v>45. Boots</v>
      </c>
      <c r="B3307" s="4" t="str">
        <f>IFERROR(__xludf.DUMMYFUNCTION("""COMPUTED_VALUE"""),"45")</f>
        <v>45</v>
      </c>
      <c r="C3307" s="5" t="str">
        <f>IFERROR(__xludf.DUMMYFUNCTION("""COMPUTED_VALUE"""),"https://drive.google.com/file/d/1utIuKckHUCgmsG8IQyo34UgodcbLlFzS/view?usp=drivesdk")</f>
        <v>https://drive.google.com/file/d/1utIuKckHUCgmsG8IQyo34UgodcbLlFzS/view?usp=drivesdk</v>
      </c>
      <c r="D3307" s="12"/>
      <c r="E3307" s="11">
        <v>3345.0</v>
      </c>
      <c r="F3307" s="2"/>
    </row>
    <row r="3308" ht="1.5" customHeight="1">
      <c r="A3308" s="4" t="str">
        <f>IFERROR(__xludf.DUMMYFUNCTION("""COMPUTED_VALUE"""),"45. Boots")</f>
        <v>45. Boots</v>
      </c>
      <c r="B3308" s="4" t="str">
        <f>IFERROR(__xludf.DUMMYFUNCTION("""COMPUTED_VALUE"""),"45")</f>
        <v>45</v>
      </c>
      <c r="C3308" s="5" t="str">
        <f>IFERROR(__xludf.DUMMYFUNCTION("""COMPUTED_VALUE"""),"https://drive.google.com/file/d/1BQpD13TYRuNWYyiwogMBeHlw1pKQS1oC/view?usp=drivesdk")</f>
        <v>https://drive.google.com/file/d/1BQpD13TYRuNWYyiwogMBeHlw1pKQS1oC/view?usp=drivesdk</v>
      </c>
      <c r="D3308" s="12"/>
      <c r="E3308" s="11">
        <v>3346.0</v>
      </c>
      <c r="F3308" s="2"/>
    </row>
    <row r="3309" ht="1.5" customHeight="1">
      <c r="A3309" s="4" t="str">
        <f>IFERROR(__xludf.DUMMYFUNCTION("""COMPUTED_VALUE"""),"45. Boots")</f>
        <v>45. Boots</v>
      </c>
      <c r="B3309" s="4" t="str">
        <f>IFERROR(__xludf.DUMMYFUNCTION("""COMPUTED_VALUE"""),"45")</f>
        <v>45</v>
      </c>
      <c r="C3309" s="5" t="str">
        <f>IFERROR(__xludf.DUMMYFUNCTION("""COMPUTED_VALUE"""),"https://drive.google.com/file/d/1ppK0S65UPVtImaUz3jUfwAIM8eDnpYrJ/view?usp=drivesdk")</f>
        <v>https://drive.google.com/file/d/1ppK0S65UPVtImaUz3jUfwAIM8eDnpYrJ/view?usp=drivesdk</v>
      </c>
      <c r="D3309" s="12"/>
      <c r="E3309" s="11">
        <v>3347.0</v>
      </c>
      <c r="F3309" s="2"/>
    </row>
    <row r="3310" ht="1.5" customHeight="1">
      <c r="A3310" s="4" t="str">
        <f>IFERROR(__xludf.DUMMYFUNCTION("""COMPUTED_VALUE"""),"45. Boots")</f>
        <v>45. Boots</v>
      </c>
      <c r="B3310" s="4" t="str">
        <f>IFERROR(__xludf.DUMMYFUNCTION("""COMPUTED_VALUE"""),"45")</f>
        <v>45</v>
      </c>
      <c r="C3310" s="5" t="str">
        <f>IFERROR(__xludf.DUMMYFUNCTION("""COMPUTED_VALUE"""),"https://drive.google.com/file/d/1CzgkXdapRjq-ze_ptjpyV_cW4NJ3Ciic/view?usp=drivesdk")</f>
        <v>https://drive.google.com/file/d/1CzgkXdapRjq-ze_ptjpyV_cW4NJ3Ciic/view?usp=drivesdk</v>
      </c>
      <c r="D3310" s="12"/>
      <c r="E3310" s="11">
        <v>3348.0</v>
      </c>
      <c r="F3310" s="2"/>
    </row>
    <row r="3311" ht="1.5" customHeight="1">
      <c r="A3311" s="4" t="str">
        <f>IFERROR(__xludf.DUMMYFUNCTION("""COMPUTED_VALUE"""),"45. Boots")</f>
        <v>45. Boots</v>
      </c>
      <c r="B3311" s="4" t="str">
        <f>IFERROR(__xludf.DUMMYFUNCTION("""COMPUTED_VALUE"""),"45")</f>
        <v>45</v>
      </c>
      <c r="C3311" s="5" t="str">
        <f>IFERROR(__xludf.DUMMYFUNCTION("""COMPUTED_VALUE"""),"https://drive.google.com/file/d/1nUfaumaHGxWrIXQsto52rE_iQwGD2hz2/view?usp=drivesdk")</f>
        <v>https://drive.google.com/file/d/1nUfaumaHGxWrIXQsto52rE_iQwGD2hz2/view?usp=drivesdk</v>
      </c>
      <c r="D3311" s="12"/>
      <c r="E3311" s="11">
        <v>3349.0</v>
      </c>
      <c r="F3311" s="2"/>
    </row>
    <row r="3312" ht="1.5" customHeight="1">
      <c r="A3312" s="4" t="str">
        <f>IFERROR(__xludf.DUMMYFUNCTION("""COMPUTED_VALUE"""),"45. Boots")</f>
        <v>45. Boots</v>
      </c>
      <c r="B3312" s="4" t="str">
        <f>IFERROR(__xludf.DUMMYFUNCTION("""COMPUTED_VALUE"""),"45")</f>
        <v>45</v>
      </c>
      <c r="C3312" s="5" t="str">
        <f>IFERROR(__xludf.DUMMYFUNCTION("""COMPUTED_VALUE"""),"https://drive.google.com/file/d/17EcIMYdOuoHnhZShAEcHfW-5gSmWPyeF/view?usp=drivesdk")</f>
        <v>https://drive.google.com/file/d/17EcIMYdOuoHnhZShAEcHfW-5gSmWPyeF/view?usp=drivesdk</v>
      </c>
      <c r="D3312" s="12"/>
      <c r="E3312" s="11">
        <v>3350.0</v>
      </c>
      <c r="F3312" s="2"/>
    </row>
    <row r="3313" ht="1.5" customHeight="1">
      <c r="A3313" s="4" t="str">
        <f>IFERROR(__xludf.DUMMYFUNCTION("""COMPUTED_VALUE"""),"45. Boots")</f>
        <v>45. Boots</v>
      </c>
      <c r="B3313" s="4" t="str">
        <f>IFERROR(__xludf.DUMMYFUNCTION("""COMPUTED_VALUE"""),"45")</f>
        <v>45</v>
      </c>
      <c r="C3313" s="5" t="str">
        <f>IFERROR(__xludf.DUMMYFUNCTION("""COMPUTED_VALUE"""),"https://drive.google.com/file/d/1RSwn7GdSKIhJZ0lwWxz3cl47OvA624oE/view?usp=drivesdk")</f>
        <v>https://drive.google.com/file/d/1RSwn7GdSKIhJZ0lwWxz3cl47OvA624oE/view?usp=drivesdk</v>
      </c>
      <c r="D3313" s="12"/>
      <c r="E3313" s="11">
        <v>3351.0</v>
      </c>
      <c r="F3313" s="2"/>
    </row>
    <row r="3314" ht="1.5" customHeight="1">
      <c r="A3314" s="4" t="str">
        <f>IFERROR(__xludf.DUMMYFUNCTION("""COMPUTED_VALUE"""),"45. Boots")</f>
        <v>45. Boots</v>
      </c>
      <c r="B3314" s="4" t="str">
        <f>IFERROR(__xludf.DUMMYFUNCTION("""COMPUTED_VALUE"""),"45")</f>
        <v>45</v>
      </c>
      <c r="C3314" s="5" t="str">
        <f>IFERROR(__xludf.DUMMYFUNCTION("""COMPUTED_VALUE"""),"https://drive.google.com/file/d/1_IeFKhvigs8YY3PhTpcxlK4tsfsoCzjY/view?usp=drivesdk")</f>
        <v>https://drive.google.com/file/d/1_IeFKhvigs8YY3PhTpcxlK4tsfsoCzjY/view?usp=drivesdk</v>
      </c>
      <c r="D3314" s="12"/>
      <c r="E3314" s="11">
        <v>3352.0</v>
      </c>
      <c r="F3314" s="2"/>
    </row>
    <row r="3315" ht="1.5" customHeight="1">
      <c r="A3315" s="4" t="str">
        <f>IFERROR(__xludf.DUMMYFUNCTION("""COMPUTED_VALUE"""),"45. Boots")</f>
        <v>45. Boots</v>
      </c>
      <c r="B3315" s="4" t="str">
        <f>IFERROR(__xludf.DUMMYFUNCTION("""COMPUTED_VALUE"""),"45")</f>
        <v>45</v>
      </c>
      <c r="C3315" s="5" t="str">
        <f>IFERROR(__xludf.DUMMYFUNCTION("""COMPUTED_VALUE"""),"https://drive.google.com/file/d/1ntlW7G4lGL7rSJfnA-wuu-7YNADtJc6T/view?usp=drivesdk")</f>
        <v>https://drive.google.com/file/d/1ntlW7G4lGL7rSJfnA-wuu-7YNADtJc6T/view?usp=drivesdk</v>
      </c>
      <c r="D3315" s="12"/>
      <c r="E3315" s="11">
        <v>3353.0</v>
      </c>
      <c r="F3315" s="2"/>
    </row>
    <row r="3316" ht="1.5" customHeight="1">
      <c r="A3316" s="4" t="str">
        <f>IFERROR(__xludf.DUMMYFUNCTION("""COMPUTED_VALUE"""),"45. Boots")</f>
        <v>45. Boots</v>
      </c>
      <c r="B3316" s="4" t="str">
        <f>IFERROR(__xludf.DUMMYFUNCTION("""COMPUTED_VALUE"""),"45")</f>
        <v>45</v>
      </c>
      <c r="C3316" s="5" t="str">
        <f>IFERROR(__xludf.DUMMYFUNCTION("""COMPUTED_VALUE"""),"https://drive.google.com/file/d/1DlozM4anT_cOmuB6YMt5m9Me8TR5n-Hl/view?usp=drivesdk")</f>
        <v>https://drive.google.com/file/d/1DlozM4anT_cOmuB6YMt5m9Me8TR5n-Hl/view?usp=drivesdk</v>
      </c>
      <c r="D3316" s="12"/>
      <c r="E3316" s="11">
        <v>3354.0</v>
      </c>
      <c r="F3316" s="2"/>
    </row>
    <row r="3317" ht="1.5" customHeight="1">
      <c r="A3317" s="4" t="str">
        <f>IFERROR(__xludf.DUMMYFUNCTION("""COMPUTED_VALUE"""),"45. Boots")</f>
        <v>45. Boots</v>
      </c>
      <c r="B3317" s="4" t="str">
        <f>IFERROR(__xludf.DUMMYFUNCTION("""COMPUTED_VALUE"""),"45")</f>
        <v>45</v>
      </c>
      <c r="C3317" s="5" t="str">
        <f>IFERROR(__xludf.DUMMYFUNCTION("""COMPUTED_VALUE"""),"https://drive.google.com/file/d/1gPTkVTOXCckusnbMSkj3hkYAYKt_P-q_/view?usp=drivesdk")</f>
        <v>https://drive.google.com/file/d/1gPTkVTOXCckusnbMSkj3hkYAYKt_P-q_/view?usp=drivesdk</v>
      </c>
      <c r="D3317" s="12"/>
      <c r="E3317" s="11">
        <v>3355.0</v>
      </c>
      <c r="F3317" s="2"/>
    </row>
    <row r="3318" ht="1.5" customHeight="1">
      <c r="A3318" s="4" t="str">
        <f>IFERROR(__xludf.DUMMYFUNCTION("""COMPUTED_VALUE"""),"45. Boots")</f>
        <v>45. Boots</v>
      </c>
      <c r="B3318" s="4" t="str">
        <f>IFERROR(__xludf.DUMMYFUNCTION("""COMPUTED_VALUE"""),"45")</f>
        <v>45</v>
      </c>
      <c r="C3318" s="5" t="str">
        <f>IFERROR(__xludf.DUMMYFUNCTION("""COMPUTED_VALUE"""),"https://drive.google.com/file/d/1ozkAgMTwTIItRpUCxPNf_p2ir_B-4nQg/view?usp=drivesdk")</f>
        <v>https://drive.google.com/file/d/1ozkAgMTwTIItRpUCxPNf_p2ir_B-4nQg/view?usp=drivesdk</v>
      </c>
      <c r="D3318" s="12"/>
      <c r="E3318" s="11">
        <v>3356.0</v>
      </c>
      <c r="F3318" s="2"/>
    </row>
    <row r="3319" ht="1.5" customHeight="1">
      <c r="A3319" s="4" t="str">
        <f>IFERROR(__xludf.DUMMYFUNCTION("""COMPUTED_VALUE"""),"45. Boots")</f>
        <v>45. Boots</v>
      </c>
      <c r="B3319" s="4" t="str">
        <f>IFERROR(__xludf.DUMMYFUNCTION("""COMPUTED_VALUE"""),"45")</f>
        <v>45</v>
      </c>
      <c r="C3319" s="5" t="str">
        <f>IFERROR(__xludf.DUMMYFUNCTION("""COMPUTED_VALUE"""),"https://drive.google.com/file/d/1Lynr5Hq2YDOCEZ_JxkTRLbnEGHoJAByU/view?usp=drivesdk")</f>
        <v>https://drive.google.com/file/d/1Lynr5Hq2YDOCEZ_JxkTRLbnEGHoJAByU/view?usp=drivesdk</v>
      </c>
      <c r="D3319" s="12"/>
      <c r="E3319" s="11">
        <v>3357.0</v>
      </c>
      <c r="F3319" s="2"/>
    </row>
    <row r="3320" ht="1.5" customHeight="1">
      <c r="A3320" s="4" t="str">
        <f>IFERROR(__xludf.DUMMYFUNCTION("""COMPUTED_VALUE"""),"45. Boots")</f>
        <v>45. Boots</v>
      </c>
      <c r="B3320" s="4" t="str">
        <f>IFERROR(__xludf.DUMMYFUNCTION("""COMPUTED_VALUE"""),"45")</f>
        <v>45</v>
      </c>
      <c r="C3320" s="5" t="str">
        <f>IFERROR(__xludf.DUMMYFUNCTION("""COMPUTED_VALUE"""),"https://drive.google.com/file/d/1THRclWkKWIWcFjWakuRBTPTxS0hdeFe4/view?usp=drivesdk")</f>
        <v>https://drive.google.com/file/d/1THRclWkKWIWcFjWakuRBTPTxS0hdeFe4/view?usp=drivesdk</v>
      </c>
      <c r="D3320" s="12"/>
      <c r="E3320" s="11">
        <v>3358.0</v>
      </c>
      <c r="F3320" s="2"/>
    </row>
    <row r="3321" ht="1.5" customHeight="1">
      <c r="A3321" s="4" t="str">
        <f>IFERROR(__xludf.DUMMYFUNCTION("""COMPUTED_VALUE"""),"45. Boots")</f>
        <v>45. Boots</v>
      </c>
      <c r="B3321" s="4" t="str">
        <f>IFERROR(__xludf.DUMMYFUNCTION("""COMPUTED_VALUE"""),"45")</f>
        <v>45</v>
      </c>
      <c r="C3321" s="5" t="str">
        <f>IFERROR(__xludf.DUMMYFUNCTION("""COMPUTED_VALUE"""),"https://drive.google.com/file/d/1hTKMGfUDMjvbZ1qYL0Xh67ZE8nwMqPrp/view?usp=drivesdk")</f>
        <v>https://drive.google.com/file/d/1hTKMGfUDMjvbZ1qYL0Xh67ZE8nwMqPrp/view?usp=drivesdk</v>
      </c>
      <c r="D3321" s="12"/>
      <c r="E3321" s="11">
        <v>3359.0</v>
      </c>
      <c r="F3321" s="2"/>
    </row>
    <row r="3322" ht="1.5" customHeight="1">
      <c r="A3322" s="4" t="str">
        <f>IFERROR(__xludf.DUMMYFUNCTION("""COMPUTED_VALUE"""),"45. Boots")</f>
        <v>45. Boots</v>
      </c>
      <c r="B3322" s="4" t="str">
        <f>IFERROR(__xludf.DUMMYFUNCTION("""COMPUTED_VALUE"""),"45")</f>
        <v>45</v>
      </c>
      <c r="C3322" s="5" t="str">
        <f>IFERROR(__xludf.DUMMYFUNCTION("""COMPUTED_VALUE"""),"https://drive.google.com/file/d/1B_hRmCZlsZXMVfXE721IsrPYou5XQloI/view?usp=drivesdk")</f>
        <v>https://drive.google.com/file/d/1B_hRmCZlsZXMVfXE721IsrPYou5XQloI/view?usp=drivesdk</v>
      </c>
      <c r="D3322" s="12"/>
      <c r="E3322" s="11">
        <v>3360.0</v>
      </c>
      <c r="F3322" s="2"/>
    </row>
    <row r="3323" ht="1.5" customHeight="1">
      <c r="A3323" s="4" t="str">
        <f>IFERROR(__xludf.DUMMYFUNCTION("""COMPUTED_VALUE"""),"45. Boots")</f>
        <v>45. Boots</v>
      </c>
      <c r="B3323" s="4" t="str">
        <f>IFERROR(__xludf.DUMMYFUNCTION("""COMPUTED_VALUE"""),"45")</f>
        <v>45</v>
      </c>
      <c r="C3323" s="5" t="str">
        <f>IFERROR(__xludf.DUMMYFUNCTION("""COMPUTED_VALUE"""),"https://drive.google.com/file/d/1k_kYv4K3d0L8o2iiXCWP-ujcNPeGd9o6/view?usp=drivesdk")</f>
        <v>https://drive.google.com/file/d/1k_kYv4K3d0L8o2iiXCWP-ujcNPeGd9o6/view?usp=drivesdk</v>
      </c>
      <c r="D3323" s="12"/>
      <c r="E3323" s="11">
        <v>3361.0</v>
      </c>
      <c r="F3323" s="2"/>
    </row>
    <row r="3324" ht="1.5" customHeight="1">
      <c r="A3324" s="4" t="str">
        <f>IFERROR(__xludf.DUMMYFUNCTION("""COMPUTED_VALUE"""),"45. Boots")</f>
        <v>45. Boots</v>
      </c>
      <c r="B3324" s="4" t="str">
        <f>IFERROR(__xludf.DUMMYFUNCTION("""COMPUTED_VALUE"""),"45")</f>
        <v>45</v>
      </c>
      <c r="C3324" s="5" t="str">
        <f>IFERROR(__xludf.DUMMYFUNCTION("""COMPUTED_VALUE"""),"https://drive.google.com/file/d/1YXEAfXoPL4ndp_SMsibSY81rJzZmDdPs/view?usp=drivesdk")</f>
        <v>https://drive.google.com/file/d/1YXEAfXoPL4ndp_SMsibSY81rJzZmDdPs/view?usp=drivesdk</v>
      </c>
      <c r="D3324" s="12"/>
      <c r="E3324" s="11">
        <v>3362.0</v>
      </c>
      <c r="F3324" s="2"/>
    </row>
    <row r="3325" ht="1.5" customHeight="1">
      <c r="A3325" s="4" t="str">
        <f>IFERROR(__xludf.DUMMYFUNCTION("""COMPUTED_VALUE"""),"45. Boots")</f>
        <v>45. Boots</v>
      </c>
      <c r="B3325" s="4" t="str">
        <f>IFERROR(__xludf.DUMMYFUNCTION("""COMPUTED_VALUE"""),"45")</f>
        <v>45</v>
      </c>
      <c r="C3325" s="5" t="str">
        <f>IFERROR(__xludf.DUMMYFUNCTION("""COMPUTED_VALUE"""),"https://drive.google.com/file/d/1b_dJMpAtFmPYtw8rwSl1my6r2YXAdrVe/view?usp=drivesdk")</f>
        <v>https://drive.google.com/file/d/1b_dJMpAtFmPYtw8rwSl1my6r2YXAdrVe/view?usp=drivesdk</v>
      </c>
      <c r="D3325" s="12"/>
      <c r="E3325" s="11">
        <v>3363.0</v>
      </c>
      <c r="F3325" s="2"/>
    </row>
    <row r="3326" ht="1.5" customHeight="1">
      <c r="A3326" s="4" t="str">
        <f>IFERROR(__xludf.DUMMYFUNCTION("""COMPUTED_VALUE"""),"45. Boots")</f>
        <v>45. Boots</v>
      </c>
      <c r="B3326" s="4" t="str">
        <f>IFERROR(__xludf.DUMMYFUNCTION("""COMPUTED_VALUE"""),"45")</f>
        <v>45</v>
      </c>
      <c r="C3326" s="5" t="str">
        <f>IFERROR(__xludf.DUMMYFUNCTION("""COMPUTED_VALUE"""),"https://drive.google.com/file/d/1nY5V5bfqg9CsXtjE8TQ7MRpc6kYxmMSa/view?usp=drivesdk")</f>
        <v>https://drive.google.com/file/d/1nY5V5bfqg9CsXtjE8TQ7MRpc6kYxmMSa/view?usp=drivesdk</v>
      </c>
      <c r="D3326" s="12"/>
      <c r="E3326" s="11">
        <v>3364.0</v>
      </c>
      <c r="F3326" s="2"/>
    </row>
    <row r="3327" ht="1.5" customHeight="1">
      <c r="A3327" s="4" t="str">
        <f>IFERROR(__xludf.DUMMYFUNCTION("""COMPUTED_VALUE"""),"45. Boots")</f>
        <v>45. Boots</v>
      </c>
      <c r="B3327" s="4" t="str">
        <f>IFERROR(__xludf.DUMMYFUNCTION("""COMPUTED_VALUE"""),"45")</f>
        <v>45</v>
      </c>
      <c r="C3327" s="5" t="str">
        <f>IFERROR(__xludf.DUMMYFUNCTION("""COMPUTED_VALUE"""),"https://drive.google.com/file/d/1Obia8Aq7SO1wOxxwJqMTHkouOokYEFCa/view?usp=drivesdk")</f>
        <v>https://drive.google.com/file/d/1Obia8Aq7SO1wOxxwJqMTHkouOokYEFCa/view?usp=drivesdk</v>
      </c>
      <c r="D3327" s="12"/>
      <c r="E3327" s="11">
        <v>3365.0</v>
      </c>
      <c r="F3327" s="2"/>
    </row>
    <row r="3328" ht="1.5" customHeight="1">
      <c r="A3328" s="4" t="str">
        <f>IFERROR(__xludf.DUMMYFUNCTION("""COMPUTED_VALUE"""),"45. Boots")</f>
        <v>45. Boots</v>
      </c>
      <c r="B3328" s="4" t="str">
        <f>IFERROR(__xludf.DUMMYFUNCTION("""COMPUTED_VALUE"""),"45")</f>
        <v>45</v>
      </c>
      <c r="C3328" s="5" t="str">
        <f>IFERROR(__xludf.DUMMYFUNCTION("""COMPUTED_VALUE"""),"https://drive.google.com/file/d/1qkw8ZM-GlqXRJGQ4Eb4c1qroT3Bhngjs/view?usp=drivesdk")</f>
        <v>https://drive.google.com/file/d/1qkw8ZM-GlqXRJGQ4Eb4c1qroT3Bhngjs/view?usp=drivesdk</v>
      </c>
      <c r="D3328" s="12"/>
      <c r="E3328" s="11">
        <v>3366.0</v>
      </c>
      <c r="F3328" s="2"/>
    </row>
    <row r="3329" ht="1.5" customHeight="1">
      <c r="A3329" s="4" t="str">
        <f>IFERROR(__xludf.DUMMYFUNCTION("""COMPUTED_VALUE"""),"45. Boots")</f>
        <v>45. Boots</v>
      </c>
      <c r="B3329" s="4" t="str">
        <f>IFERROR(__xludf.DUMMYFUNCTION("""COMPUTED_VALUE"""),"45")</f>
        <v>45</v>
      </c>
      <c r="C3329" s="5" t="str">
        <f>IFERROR(__xludf.DUMMYFUNCTION("""COMPUTED_VALUE"""),"https://drive.google.com/file/d/1obIkzYVHiCw0RhxL863s4baHeWRykHzq/view?usp=drivesdk")</f>
        <v>https://drive.google.com/file/d/1obIkzYVHiCw0RhxL863s4baHeWRykHzq/view?usp=drivesdk</v>
      </c>
      <c r="D3329" s="12"/>
      <c r="E3329" s="11">
        <v>3367.0</v>
      </c>
      <c r="F3329" s="2"/>
    </row>
    <row r="3330" ht="1.5" customHeight="1">
      <c r="A3330" s="4" t="str">
        <f>IFERROR(__xludf.DUMMYFUNCTION("""COMPUTED_VALUE"""),"45. Boots")</f>
        <v>45. Boots</v>
      </c>
      <c r="B3330" s="4" t="str">
        <f>IFERROR(__xludf.DUMMYFUNCTION("""COMPUTED_VALUE"""),"45")</f>
        <v>45</v>
      </c>
      <c r="C3330" s="5" t="str">
        <f>IFERROR(__xludf.DUMMYFUNCTION("""COMPUTED_VALUE"""),"https://drive.google.com/file/d/1jeGBzdNO2SgKzXWn3MEDLNEfCuj5Sk1m/view?usp=drivesdk")</f>
        <v>https://drive.google.com/file/d/1jeGBzdNO2SgKzXWn3MEDLNEfCuj5Sk1m/view?usp=drivesdk</v>
      </c>
      <c r="D3330" s="12"/>
      <c r="E3330" s="11">
        <v>3368.0</v>
      </c>
      <c r="F3330" s="2"/>
    </row>
    <row r="3331" ht="1.5" customHeight="1">
      <c r="A3331" s="4" t="str">
        <f>IFERROR(__xludf.DUMMYFUNCTION("""COMPUTED_VALUE"""),"45. Boots")</f>
        <v>45. Boots</v>
      </c>
      <c r="B3331" s="4" t="str">
        <f>IFERROR(__xludf.DUMMYFUNCTION("""COMPUTED_VALUE"""),"45")</f>
        <v>45</v>
      </c>
      <c r="C3331" s="5" t="str">
        <f>IFERROR(__xludf.DUMMYFUNCTION("""COMPUTED_VALUE"""),"https://drive.google.com/file/d/1-dNB7jfyW2DhBLfm7kmxqaBXRAcaHiK5/view?usp=drivesdk")</f>
        <v>https://drive.google.com/file/d/1-dNB7jfyW2DhBLfm7kmxqaBXRAcaHiK5/view?usp=drivesdk</v>
      </c>
      <c r="D3331" s="12"/>
      <c r="E3331" s="11">
        <v>3369.0</v>
      </c>
      <c r="F3331" s="2"/>
    </row>
    <row r="3332" ht="1.5" customHeight="1">
      <c r="A3332" s="4" t="str">
        <f>IFERROR(__xludf.DUMMYFUNCTION("""COMPUTED_VALUE"""),"45. Boots")</f>
        <v>45. Boots</v>
      </c>
      <c r="B3332" s="4" t="str">
        <f>IFERROR(__xludf.DUMMYFUNCTION("""COMPUTED_VALUE"""),"45")</f>
        <v>45</v>
      </c>
      <c r="C3332" s="5" t="str">
        <f>IFERROR(__xludf.DUMMYFUNCTION("""COMPUTED_VALUE"""),"https://drive.google.com/file/d/1ngdG7eRihr-p-Wt9Jr_ayR4WMPxNRySU/view?usp=drivesdk")</f>
        <v>https://drive.google.com/file/d/1ngdG7eRihr-p-Wt9Jr_ayR4WMPxNRySU/view?usp=drivesdk</v>
      </c>
      <c r="D3332" s="12"/>
      <c r="E3332" s="11">
        <v>3370.0</v>
      </c>
      <c r="F3332" s="2"/>
    </row>
    <row r="3333" ht="1.5" customHeight="1">
      <c r="A3333" s="4" t="str">
        <f>IFERROR(__xludf.DUMMYFUNCTION("""COMPUTED_VALUE"""),"45. Boots")</f>
        <v>45. Boots</v>
      </c>
      <c r="B3333" s="4" t="str">
        <f>IFERROR(__xludf.DUMMYFUNCTION("""COMPUTED_VALUE"""),"45")</f>
        <v>45</v>
      </c>
      <c r="C3333" s="5" t="str">
        <f>IFERROR(__xludf.DUMMYFUNCTION("""COMPUTED_VALUE"""),"https://drive.google.com/file/d/12cbdQt2Hnty4XMRs66OK4e0_IX4Rs6DZ/view?usp=drivesdk")</f>
        <v>https://drive.google.com/file/d/12cbdQt2Hnty4XMRs66OK4e0_IX4Rs6DZ/view?usp=drivesdk</v>
      </c>
      <c r="D3333" s="12"/>
      <c r="E3333" s="11">
        <v>3371.0</v>
      </c>
      <c r="F3333" s="2"/>
    </row>
    <row r="3334" ht="1.5" customHeight="1">
      <c r="A3334" s="4" t="str">
        <f>IFERROR(__xludf.DUMMYFUNCTION("""COMPUTED_VALUE"""),"45. Boots")</f>
        <v>45. Boots</v>
      </c>
      <c r="B3334" s="4" t="str">
        <f>IFERROR(__xludf.DUMMYFUNCTION("""COMPUTED_VALUE"""),"45")</f>
        <v>45</v>
      </c>
      <c r="C3334" s="5" t="str">
        <f>IFERROR(__xludf.DUMMYFUNCTION("""COMPUTED_VALUE"""),"https://drive.google.com/file/d/1CaFNLm-zjX31JB7g9XDmY1WKjYZ94BB4/view?usp=drivesdk")</f>
        <v>https://drive.google.com/file/d/1CaFNLm-zjX31JB7g9XDmY1WKjYZ94BB4/view?usp=drivesdk</v>
      </c>
      <c r="D3334" s="12"/>
      <c r="E3334" s="11">
        <v>3372.0</v>
      </c>
      <c r="F3334" s="2"/>
    </row>
    <row r="3335" ht="1.5" customHeight="1">
      <c r="A3335" s="4" t="str">
        <f>IFERROR(__xludf.DUMMYFUNCTION("""COMPUTED_VALUE"""),"45. Boots")</f>
        <v>45. Boots</v>
      </c>
      <c r="B3335" s="4" t="str">
        <f>IFERROR(__xludf.DUMMYFUNCTION("""COMPUTED_VALUE"""),"45")</f>
        <v>45</v>
      </c>
      <c r="C3335" s="5" t="str">
        <f>IFERROR(__xludf.DUMMYFUNCTION("""COMPUTED_VALUE"""),"https://drive.google.com/file/d/11o44H0z2Wym9w1IMqy0_XMqVHHDmUvys/view?usp=drivesdk")</f>
        <v>https://drive.google.com/file/d/11o44H0z2Wym9w1IMqy0_XMqVHHDmUvys/view?usp=drivesdk</v>
      </c>
      <c r="D3335" s="12"/>
      <c r="E3335" s="11">
        <v>3373.0</v>
      </c>
      <c r="F3335" s="2"/>
    </row>
    <row r="3336" ht="1.5" customHeight="1">
      <c r="A3336" s="4" t="str">
        <f>IFERROR(__xludf.DUMMYFUNCTION("""COMPUTED_VALUE"""),"45. Boots")</f>
        <v>45. Boots</v>
      </c>
      <c r="B3336" s="4" t="str">
        <f>IFERROR(__xludf.DUMMYFUNCTION("""COMPUTED_VALUE"""),"45")</f>
        <v>45</v>
      </c>
      <c r="C3336" s="5" t="str">
        <f>IFERROR(__xludf.DUMMYFUNCTION("""COMPUTED_VALUE"""),"https://drive.google.com/file/d/1iuCLrgKQX3S2J7J4RZnaqOkD6dmjWKkO/view?usp=drivesdk")</f>
        <v>https://drive.google.com/file/d/1iuCLrgKQX3S2J7J4RZnaqOkD6dmjWKkO/view?usp=drivesdk</v>
      </c>
      <c r="D3336" s="12"/>
      <c r="E3336" s="11">
        <v>3374.0</v>
      </c>
      <c r="F3336" s="2"/>
    </row>
    <row r="3337" ht="1.5" customHeight="1">
      <c r="A3337" s="4" t="str">
        <f>IFERROR(__xludf.DUMMYFUNCTION("""COMPUTED_VALUE"""),"12. Faye, 39. Radar")</f>
        <v>12. Faye, 39. Radar</v>
      </c>
      <c r="B3337" s="4" t="str">
        <f>IFERROR(__xludf.DUMMYFUNCTION("""COMPUTED_VALUE"""),"12, 39")</f>
        <v>12, 39</v>
      </c>
      <c r="C3337" s="5" t="str">
        <f>IFERROR(__xludf.DUMMYFUNCTION("""COMPUTED_VALUE"""),"https://drive.google.com/file/d/1wPablLNWKj3FZl5nqBjAu_V1TiOUK1Po/view?usp=drivesdk")</f>
        <v>https://drive.google.com/file/d/1wPablLNWKj3FZl5nqBjAu_V1TiOUK1Po/view?usp=drivesdk</v>
      </c>
      <c r="D3337" s="12"/>
      <c r="E3337" s="11">
        <v>3375.0</v>
      </c>
      <c r="F3337" s="2"/>
    </row>
    <row r="3338" ht="1.5" customHeight="1">
      <c r="A3338" s="4" t="str">
        <f>IFERROR(__xludf.DUMMYFUNCTION("""COMPUTED_VALUE"""),"45. Boots")</f>
        <v>45. Boots</v>
      </c>
      <c r="B3338" s="4" t="str">
        <f>IFERROR(__xludf.DUMMYFUNCTION("""COMPUTED_VALUE"""),"45")</f>
        <v>45</v>
      </c>
      <c r="C3338" s="5" t="str">
        <f>IFERROR(__xludf.DUMMYFUNCTION("""COMPUTED_VALUE"""),"https://drive.google.com/file/d/1zC8taJsWBvD5qfTMuzMIBql8nsfEuHHS/view?usp=drivesdk")</f>
        <v>https://drive.google.com/file/d/1zC8taJsWBvD5qfTMuzMIBql8nsfEuHHS/view?usp=drivesdk</v>
      </c>
      <c r="D3338" s="12"/>
      <c r="E3338" s="11">
        <v>3376.0</v>
      </c>
      <c r="F3338" s="2"/>
    </row>
    <row r="3339" ht="1.5" customHeight="1">
      <c r="A3339" s="4" t="str">
        <f>IFERROR(__xludf.DUMMYFUNCTION("""COMPUTED_VALUE"""),"45. Boots")</f>
        <v>45. Boots</v>
      </c>
      <c r="B3339" s="4" t="str">
        <f>IFERROR(__xludf.DUMMYFUNCTION("""COMPUTED_VALUE"""),"45")</f>
        <v>45</v>
      </c>
      <c r="C3339" s="5" t="str">
        <f>IFERROR(__xludf.DUMMYFUNCTION("""COMPUTED_VALUE"""),"https://drive.google.com/file/d/1U0g0PBW0uxGYomZwDUq-r0CkX2lfuuR8/view?usp=drivesdk")</f>
        <v>https://drive.google.com/file/d/1U0g0PBW0uxGYomZwDUq-r0CkX2lfuuR8/view?usp=drivesdk</v>
      </c>
      <c r="D3339" s="12"/>
      <c r="E3339" s="11">
        <v>3377.0</v>
      </c>
      <c r="F3339" s="2"/>
    </row>
    <row r="3340" ht="1.5" customHeight="1">
      <c r="A3340" s="4" t="str">
        <f>IFERROR(__xludf.DUMMYFUNCTION("""COMPUTED_VALUE"""),"146. Monsieur Stanky")</f>
        <v>146. Monsieur Stanky</v>
      </c>
      <c r="B3340" s="4" t="str">
        <f>IFERROR(__xludf.DUMMYFUNCTION("""COMPUTED_VALUE"""),"146")</f>
        <v>146</v>
      </c>
      <c r="C3340" s="5" t="str">
        <f>IFERROR(__xludf.DUMMYFUNCTION("""COMPUTED_VALUE"""),"https://drive.google.com/file/d/1ekR3KaqmGVaVuTXuAS9EQWR3j_TBPtMo/view?usp=drivesdk")</f>
        <v>https://drive.google.com/file/d/1ekR3KaqmGVaVuTXuAS9EQWR3j_TBPtMo/view?usp=drivesdk</v>
      </c>
      <c r="D3340" s="12"/>
      <c r="E3340" s="11">
        <v>3378.0</v>
      </c>
      <c r="F3340" s="2"/>
    </row>
    <row r="3341" ht="1.5" customHeight="1">
      <c r="A3341" s="4" t="str">
        <f>IFERROR(__xludf.DUMMYFUNCTION("""COMPUTED_VALUE"""),"45. Boots")</f>
        <v>45. Boots</v>
      </c>
      <c r="B3341" s="4" t="str">
        <f>IFERROR(__xludf.DUMMYFUNCTION("""COMPUTED_VALUE"""),"45")</f>
        <v>45</v>
      </c>
      <c r="C3341" s="5" t="str">
        <f>IFERROR(__xludf.DUMMYFUNCTION("""COMPUTED_VALUE"""),"https://drive.google.com/file/d/1kJmuuJRcDHE4Slm04WV-1bZw7ipxQxQ4/view?usp=drivesdk")</f>
        <v>https://drive.google.com/file/d/1kJmuuJRcDHE4Slm04WV-1bZw7ipxQxQ4/view?usp=drivesdk</v>
      </c>
      <c r="D3341" s="12"/>
      <c r="E3341" s="11">
        <v>3379.0</v>
      </c>
      <c r="F3341" s="2"/>
    </row>
    <row r="3342" ht="1.5" customHeight="1">
      <c r="A3342" s="4" t="str">
        <f>IFERROR(__xludf.DUMMYFUNCTION("""COMPUTED_VALUE"""),"45. Boots")</f>
        <v>45. Boots</v>
      </c>
      <c r="B3342" s="4" t="str">
        <f>IFERROR(__xludf.DUMMYFUNCTION("""COMPUTED_VALUE"""),"45")</f>
        <v>45</v>
      </c>
      <c r="C3342" s="5" t="str">
        <f>IFERROR(__xludf.DUMMYFUNCTION("""COMPUTED_VALUE"""),"https://drive.google.com/file/d/1tZHyCaTjIWsQcJaDPV1n-Zpdz4kq4O-n/view?usp=drivesdk")</f>
        <v>https://drive.google.com/file/d/1tZHyCaTjIWsQcJaDPV1n-Zpdz4kq4O-n/view?usp=drivesdk</v>
      </c>
      <c r="D3342" s="12"/>
      <c r="E3342" s="11">
        <v>3380.0</v>
      </c>
      <c r="F3342" s="2"/>
    </row>
    <row r="3343" ht="1.5" customHeight="1">
      <c r="A3343" s="4" t="str">
        <f>IFERROR(__xludf.DUMMYFUNCTION("""COMPUTED_VALUE"""),"12. Faye, 39. Radar, 42. Rubber")</f>
        <v>12. Faye, 39. Radar, 42. Rubber</v>
      </c>
      <c r="B3343" s="4" t="str">
        <f>IFERROR(__xludf.DUMMYFUNCTION("""COMPUTED_VALUE"""),"12, 39, 42")</f>
        <v>12, 39, 42</v>
      </c>
      <c r="C3343" s="5" t="str">
        <f>IFERROR(__xludf.DUMMYFUNCTION("""COMPUTED_VALUE"""),"https://drive.google.com/file/d/1LrFx4g7iuNESyxHGAlqCvoTJLDcLTmys/view?usp=drivesdk")</f>
        <v>https://drive.google.com/file/d/1LrFx4g7iuNESyxHGAlqCvoTJLDcLTmys/view?usp=drivesdk</v>
      </c>
      <c r="D3343" s="12"/>
      <c r="E3343" s="11">
        <v>3381.0</v>
      </c>
      <c r="F3343" s="2"/>
    </row>
    <row r="3344" ht="1.5" customHeight="1">
      <c r="A3344" s="4" t="str">
        <f>IFERROR(__xludf.DUMMYFUNCTION("""COMPUTED_VALUE"""),"45. Boots")</f>
        <v>45. Boots</v>
      </c>
      <c r="B3344" s="4" t="str">
        <f>IFERROR(__xludf.DUMMYFUNCTION("""COMPUTED_VALUE"""),"45")</f>
        <v>45</v>
      </c>
      <c r="C3344" s="5" t="str">
        <f>IFERROR(__xludf.DUMMYFUNCTION("""COMPUTED_VALUE"""),"https://drive.google.com/file/d/1g_ZdoJKNnj1zJS0v5LoFizU3FTF__S_H/view?usp=drivesdk")</f>
        <v>https://drive.google.com/file/d/1g_ZdoJKNnj1zJS0v5LoFizU3FTF__S_H/view?usp=drivesdk</v>
      </c>
      <c r="D3344" s="12"/>
      <c r="E3344" s="11">
        <v>3382.0</v>
      </c>
      <c r="F3344" s="2"/>
    </row>
    <row r="3345" ht="1.5" customHeight="1">
      <c r="A3345" s="4" t="str">
        <f>IFERROR(__xludf.DUMMYFUNCTION("""COMPUTED_VALUE"""),"45. Boots")</f>
        <v>45. Boots</v>
      </c>
      <c r="B3345" s="4" t="str">
        <f>IFERROR(__xludf.DUMMYFUNCTION("""COMPUTED_VALUE"""),"45")</f>
        <v>45</v>
      </c>
      <c r="C3345" s="5" t="str">
        <f>IFERROR(__xludf.DUMMYFUNCTION("""COMPUTED_VALUE"""),"https://drive.google.com/file/d/1_2Wdnib0PJ6nqNCCuuZSpHFiU14WtmX3/view?usp=drivesdk")</f>
        <v>https://drive.google.com/file/d/1_2Wdnib0PJ6nqNCCuuZSpHFiU14WtmX3/view?usp=drivesdk</v>
      </c>
      <c r="D3345" s="12"/>
      <c r="E3345" s="11">
        <v>3383.0</v>
      </c>
      <c r="F3345" s="2"/>
    </row>
    <row r="3346" ht="1.5" customHeight="1">
      <c r="A3346" s="4" t="str">
        <f>IFERROR(__xludf.DUMMYFUNCTION("""COMPUTED_VALUE"""),"42. Rubber, 39. Radar")</f>
        <v>42. Rubber, 39. Radar</v>
      </c>
      <c r="B3346" s="4" t="str">
        <f>IFERROR(__xludf.DUMMYFUNCTION("""COMPUTED_VALUE"""),"42, 39")</f>
        <v>42, 39</v>
      </c>
      <c r="C3346" s="5" t="str">
        <f>IFERROR(__xludf.DUMMYFUNCTION("""COMPUTED_VALUE"""),"https://drive.google.com/file/d/1n2Yi2EG5j8o5rlhUU1T6Oo-ub7TdPaLS/view?usp=drivesdk")</f>
        <v>https://drive.google.com/file/d/1n2Yi2EG5j8o5rlhUU1T6Oo-ub7TdPaLS/view?usp=drivesdk</v>
      </c>
      <c r="D3346" s="12"/>
      <c r="E3346" s="11">
        <v>3384.0</v>
      </c>
      <c r="F3346" s="2"/>
    </row>
    <row r="3347" ht="1.5" customHeight="1">
      <c r="A3347" s="4" t="str">
        <f>IFERROR(__xludf.DUMMYFUNCTION("""COMPUTED_VALUE"""),"45. Boots")</f>
        <v>45. Boots</v>
      </c>
      <c r="B3347" s="4" t="str">
        <f>IFERROR(__xludf.DUMMYFUNCTION("""COMPUTED_VALUE"""),"45")</f>
        <v>45</v>
      </c>
      <c r="C3347" s="5" t="str">
        <f>IFERROR(__xludf.DUMMYFUNCTION("""COMPUTED_VALUE"""),"https://drive.google.com/file/d/1ZAWKgIiA8RHy--jikz-ZWpeB5ZuqzSL6/view?usp=drivesdk")</f>
        <v>https://drive.google.com/file/d/1ZAWKgIiA8RHy--jikz-ZWpeB5ZuqzSL6/view?usp=drivesdk</v>
      </c>
      <c r="D3347" s="12"/>
      <c r="E3347" s="11">
        <v>3385.0</v>
      </c>
      <c r="F3347" s="2"/>
    </row>
    <row r="3348" ht="1.5" customHeight="1">
      <c r="A3348" s="4" t="str">
        <f>IFERROR(__xludf.DUMMYFUNCTION("""COMPUTED_VALUE"""),"45. Boots")</f>
        <v>45. Boots</v>
      </c>
      <c r="B3348" s="4" t="str">
        <f>IFERROR(__xludf.DUMMYFUNCTION("""COMPUTED_VALUE"""),"45")</f>
        <v>45</v>
      </c>
      <c r="C3348" s="5" t="str">
        <f>IFERROR(__xludf.DUMMYFUNCTION("""COMPUTED_VALUE"""),"https://drive.google.com/file/d/1NBLBPtqYCbxDgzMhzGpGuFK2k-2gCxrP/view?usp=drivesdk")</f>
        <v>https://drive.google.com/file/d/1NBLBPtqYCbxDgzMhzGpGuFK2k-2gCxrP/view?usp=drivesdk</v>
      </c>
      <c r="D3348" s="12"/>
      <c r="E3348" s="11">
        <v>3386.0</v>
      </c>
      <c r="F3348" s="2"/>
    </row>
    <row r="3349" ht="1.5" customHeight="1">
      <c r="A3349" s="4" t="str">
        <f>IFERROR(__xludf.DUMMYFUNCTION("""COMPUTED_VALUE"""),"43. Bruno")</f>
        <v>43. Bruno</v>
      </c>
      <c r="B3349" s="4" t="str">
        <f>IFERROR(__xludf.DUMMYFUNCTION("""COMPUTED_VALUE"""),"43")</f>
        <v>43</v>
      </c>
      <c r="C3349" s="5" t="str">
        <f>IFERROR(__xludf.DUMMYFUNCTION("""COMPUTED_VALUE"""),"https://drive.google.com/file/d/11UjCpNQ7KbQ6iI3Y2_rlrdQQacfyCUwU/view?usp=drivesdk")</f>
        <v>https://drive.google.com/file/d/11UjCpNQ7KbQ6iI3Y2_rlrdQQacfyCUwU/view?usp=drivesdk</v>
      </c>
      <c r="D3349" s="12"/>
      <c r="E3349" s="11">
        <v>3387.0</v>
      </c>
      <c r="F3349" s="2"/>
    </row>
    <row r="3350" ht="1.5" customHeight="1">
      <c r="A3350" s="4" t="str">
        <f>IFERROR(__xludf.DUMMYFUNCTION("""COMPUTED_VALUE"""),"12. Faye")</f>
        <v>12. Faye</v>
      </c>
      <c r="B3350" s="4" t="str">
        <f>IFERROR(__xludf.DUMMYFUNCTION("""COMPUTED_VALUE"""),"12")</f>
        <v>12</v>
      </c>
      <c r="C3350" s="5" t="str">
        <f>IFERROR(__xludf.DUMMYFUNCTION("""COMPUTED_VALUE"""),"https://drive.google.com/file/d/1eiZ03Pl4w5iSelJOnGuDYoDTI3gd5IBi/view?usp=drivesdk")</f>
        <v>https://drive.google.com/file/d/1eiZ03Pl4w5iSelJOnGuDYoDTI3gd5IBi/view?usp=drivesdk</v>
      </c>
      <c r="D3350" s="12"/>
      <c r="E3350" s="11">
        <v>3388.0</v>
      </c>
      <c r="F3350" s="2"/>
    </row>
    <row r="3351" ht="1.5" customHeight="1">
      <c r="A3351" s="4" t="str">
        <f>IFERROR(__xludf.DUMMYFUNCTION("""COMPUTED_VALUE"""),"12. Faye")</f>
        <v>12. Faye</v>
      </c>
      <c r="B3351" s="4" t="str">
        <f>IFERROR(__xludf.DUMMYFUNCTION("""COMPUTED_VALUE"""),"12")</f>
        <v>12</v>
      </c>
      <c r="C3351" s="5" t="str">
        <f>IFERROR(__xludf.DUMMYFUNCTION("""COMPUTED_VALUE"""),"https://drive.google.com/file/d/1uD6Px2t2pp3MWasJm0nCY7gpqS3WIxhs/view?usp=drivesdk")</f>
        <v>https://drive.google.com/file/d/1uD6Px2t2pp3MWasJm0nCY7gpqS3WIxhs/view?usp=drivesdk</v>
      </c>
      <c r="D3351" s="12"/>
      <c r="E3351" s="11">
        <v>3389.0</v>
      </c>
      <c r="F3351" s="2"/>
    </row>
    <row r="3352" ht="1.5" customHeight="1">
      <c r="A3352" s="4" t="str">
        <f>IFERROR(__xludf.DUMMYFUNCTION("""COMPUTED_VALUE"""),"42. Rubber, 39. Radar")</f>
        <v>42. Rubber, 39. Radar</v>
      </c>
      <c r="B3352" s="4" t="str">
        <f>IFERROR(__xludf.DUMMYFUNCTION("""COMPUTED_VALUE"""),"42, 39")</f>
        <v>42, 39</v>
      </c>
      <c r="C3352" s="5" t="str">
        <f>IFERROR(__xludf.DUMMYFUNCTION("""COMPUTED_VALUE"""),"https://drive.google.com/file/d/1F85_7uSoURdsgo0Yv0yQWw4n0rnThq9g/view?usp=drivesdk")</f>
        <v>https://drive.google.com/file/d/1F85_7uSoURdsgo0Yv0yQWw4n0rnThq9g/view?usp=drivesdk</v>
      </c>
      <c r="D3352" s="12"/>
      <c r="E3352" s="11">
        <v>3390.0</v>
      </c>
      <c r="F3352" s="2"/>
    </row>
    <row r="3353" ht="1.5" customHeight="1">
      <c r="A3353" s="4" t="str">
        <f>IFERROR(__xludf.DUMMYFUNCTION("""COMPUTED_VALUE"""),"43. Bruno")</f>
        <v>43. Bruno</v>
      </c>
      <c r="B3353" s="4" t="str">
        <f>IFERROR(__xludf.DUMMYFUNCTION("""COMPUTED_VALUE"""),"43")</f>
        <v>43</v>
      </c>
      <c r="C3353" s="5" t="str">
        <f>IFERROR(__xludf.DUMMYFUNCTION("""COMPUTED_VALUE"""),"https://drive.google.com/file/d/1BThy9XXAsd2BaOe-CM8OHJSOZ9KUF6jU/view?usp=drivesdk")</f>
        <v>https://drive.google.com/file/d/1BThy9XXAsd2BaOe-CM8OHJSOZ9KUF6jU/view?usp=drivesdk</v>
      </c>
      <c r="D3353" s="12"/>
      <c r="E3353" s="11">
        <v>3391.0</v>
      </c>
      <c r="F3353" s="2"/>
    </row>
    <row r="3354" ht="1.5" customHeight="1">
      <c r="A3354" s="4" t="str">
        <f>IFERROR(__xludf.DUMMYFUNCTION("""COMPUTED_VALUE"""),"42. Rubber, 39. Radar, 12. Faye")</f>
        <v>42. Rubber, 39. Radar, 12. Faye</v>
      </c>
      <c r="B3354" s="4" t="str">
        <f>IFERROR(__xludf.DUMMYFUNCTION("""COMPUTED_VALUE"""),"42, 39, 12")</f>
        <v>42, 39, 12</v>
      </c>
      <c r="C3354" s="5" t="str">
        <f>IFERROR(__xludf.DUMMYFUNCTION("""COMPUTED_VALUE"""),"https://drive.google.com/file/d/1Pn5n6OT45r39LvgkRJhYEqJadaE_0QIh/view?usp=drivesdk")</f>
        <v>https://drive.google.com/file/d/1Pn5n6OT45r39LvgkRJhYEqJadaE_0QIh/view?usp=drivesdk</v>
      </c>
      <c r="D3354" s="12"/>
      <c r="E3354" s="11">
        <v>3392.0</v>
      </c>
      <c r="F3354" s="2"/>
    </row>
    <row r="3355" ht="1.5" customHeight="1">
      <c r="A3355" s="4" t="str">
        <f>IFERROR(__xludf.DUMMYFUNCTION("""COMPUTED_VALUE"""),"43. Bruno")</f>
        <v>43. Bruno</v>
      </c>
      <c r="B3355" s="4" t="str">
        <f>IFERROR(__xludf.DUMMYFUNCTION("""COMPUTED_VALUE"""),"43")</f>
        <v>43</v>
      </c>
      <c r="C3355" s="5" t="str">
        <f>IFERROR(__xludf.DUMMYFUNCTION("""COMPUTED_VALUE"""),"https://drive.google.com/file/d/1l3UKuce6u6C3bG-ikcNnf0w3JeC9jkPe/view?usp=drivesdk")</f>
        <v>https://drive.google.com/file/d/1l3UKuce6u6C3bG-ikcNnf0w3JeC9jkPe/view?usp=drivesdk</v>
      </c>
      <c r="D3355" s="12"/>
      <c r="E3355" s="11">
        <v>3393.0</v>
      </c>
      <c r="F3355" s="2"/>
    </row>
    <row r="3356" ht="1.5" customHeight="1">
      <c r="A3356" s="4" t="str">
        <f>IFERROR(__xludf.DUMMYFUNCTION("""COMPUTED_VALUE"""),"45. Boots")</f>
        <v>45. Boots</v>
      </c>
      <c r="B3356" s="4" t="str">
        <f>IFERROR(__xludf.DUMMYFUNCTION("""COMPUTED_VALUE"""),"45")</f>
        <v>45</v>
      </c>
      <c r="C3356" s="5" t="str">
        <f>IFERROR(__xludf.DUMMYFUNCTION("""COMPUTED_VALUE"""),"https://drive.google.com/file/d/1LJkFwNIiuBygDlIlWlZ8rbSBiDl7SbhY/view?usp=drivesdk")</f>
        <v>https://drive.google.com/file/d/1LJkFwNIiuBygDlIlWlZ8rbSBiDl7SbhY/view?usp=drivesdk</v>
      </c>
      <c r="D3356" s="12"/>
      <c r="E3356" s="11">
        <v>3394.0</v>
      </c>
      <c r="F3356" s="2"/>
    </row>
    <row r="3357" ht="1.5" customHeight="1">
      <c r="A3357" s="4" t="str">
        <f>IFERROR(__xludf.DUMMYFUNCTION("""COMPUTED_VALUE"""),"43. Bruno, 12. Faye")</f>
        <v>43. Bruno, 12. Faye</v>
      </c>
      <c r="B3357" s="4" t="str">
        <f>IFERROR(__xludf.DUMMYFUNCTION("""COMPUTED_VALUE"""),"43, 12")</f>
        <v>43, 12</v>
      </c>
      <c r="C3357" s="5" t="str">
        <f>IFERROR(__xludf.DUMMYFUNCTION("""COMPUTED_VALUE"""),"https://drive.google.com/file/d/16jWch_TssNkLgw-VrjaOyVzz9DG10yQC/view?usp=drivesdk")</f>
        <v>https://drive.google.com/file/d/16jWch_TssNkLgw-VrjaOyVzz9DG10yQC/view?usp=drivesdk</v>
      </c>
      <c r="D3357" s="12"/>
      <c r="E3357" s="11">
        <v>3395.0</v>
      </c>
      <c r="F3357" s="2"/>
    </row>
    <row r="3358" ht="1.5" customHeight="1">
      <c r="A3358" s="4" t="str">
        <f>IFERROR(__xludf.DUMMYFUNCTION("""COMPUTED_VALUE"""),"12. Faye")</f>
        <v>12. Faye</v>
      </c>
      <c r="B3358" s="4" t="str">
        <f>IFERROR(__xludf.DUMMYFUNCTION("""COMPUTED_VALUE"""),"12")</f>
        <v>12</v>
      </c>
      <c r="C3358" s="5" t="str">
        <f>IFERROR(__xludf.DUMMYFUNCTION("""COMPUTED_VALUE"""),"https://drive.google.com/file/d/1Xna30n2SVCQ8wdOZ0MHPCyWc0vFPLFdl/view?usp=drivesdk")</f>
        <v>https://drive.google.com/file/d/1Xna30n2SVCQ8wdOZ0MHPCyWc0vFPLFdl/view?usp=drivesdk</v>
      </c>
      <c r="D3358" s="12"/>
      <c r="E3358" s="11">
        <v>3396.0</v>
      </c>
      <c r="F3358" s="2"/>
    </row>
    <row r="3359" ht="1.5" customHeight="1">
      <c r="A3359" s="4" t="str">
        <f>IFERROR(__xludf.DUMMYFUNCTION("""COMPUTED_VALUE"""),"43. Bruno, 12. Faye")</f>
        <v>43. Bruno, 12. Faye</v>
      </c>
      <c r="B3359" s="4" t="str">
        <f>IFERROR(__xludf.DUMMYFUNCTION("""COMPUTED_VALUE"""),"43, 12")</f>
        <v>43, 12</v>
      </c>
      <c r="C3359" s="5" t="str">
        <f>IFERROR(__xludf.DUMMYFUNCTION("""COMPUTED_VALUE"""),"https://drive.google.com/file/d/1MDk2WJkm86rfL2tq_i5vOR4rCTOrhRFv/view?usp=drivesdk")</f>
        <v>https://drive.google.com/file/d/1MDk2WJkm86rfL2tq_i5vOR4rCTOrhRFv/view?usp=drivesdk</v>
      </c>
      <c r="D3359" s="12"/>
      <c r="E3359" s="11">
        <v>3397.0</v>
      </c>
      <c r="F3359" s="2"/>
    </row>
    <row r="3360" ht="1.5" customHeight="1">
      <c r="A3360" s="4" t="str">
        <f>IFERROR(__xludf.DUMMYFUNCTION("""COMPUTED_VALUE"""),"45. Boots")</f>
        <v>45. Boots</v>
      </c>
      <c r="B3360" s="4" t="str">
        <f>IFERROR(__xludf.DUMMYFUNCTION("""COMPUTED_VALUE"""),"45")</f>
        <v>45</v>
      </c>
      <c r="C3360" s="5" t="str">
        <f>IFERROR(__xludf.DUMMYFUNCTION("""COMPUTED_VALUE"""),"https://drive.google.com/file/d/1OMZ-Ytt1b29Z9_QM6GqJ-L9cf0EYIEet/view?usp=drivesdk")</f>
        <v>https://drive.google.com/file/d/1OMZ-Ytt1b29Z9_QM6GqJ-L9cf0EYIEet/view?usp=drivesdk</v>
      </c>
      <c r="D3360" s="12"/>
      <c r="E3360" s="11">
        <v>3398.0</v>
      </c>
      <c r="F3360" s="2"/>
    </row>
    <row r="3361" ht="1.5" customHeight="1">
      <c r="A3361" s="4" t="str">
        <f>IFERROR(__xludf.DUMMYFUNCTION("""COMPUTED_VALUE"""),"42. Rubber, 39. Radar")</f>
        <v>42. Rubber, 39. Radar</v>
      </c>
      <c r="B3361" s="4" t="str">
        <f>IFERROR(__xludf.DUMMYFUNCTION("""COMPUTED_VALUE"""),"42, 39")</f>
        <v>42, 39</v>
      </c>
      <c r="C3361" s="5" t="str">
        <f>IFERROR(__xludf.DUMMYFUNCTION("""COMPUTED_VALUE"""),"https://drive.google.com/file/d/1tKuIep5vrWv9FB-_hzP5Qkxq0vXK3Ecm/view?usp=drivesdk")</f>
        <v>https://drive.google.com/file/d/1tKuIep5vrWv9FB-_hzP5Qkxq0vXK3Ecm/view?usp=drivesdk</v>
      </c>
      <c r="D3361" s="12"/>
      <c r="E3361" s="11">
        <v>3399.0</v>
      </c>
      <c r="F3361" s="2"/>
    </row>
    <row r="3362" ht="1.5" customHeight="1">
      <c r="A3362" s="4" t="str">
        <f>IFERROR(__xludf.DUMMYFUNCTION("""COMPUTED_VALUE"""),"43. Bruno")</f>
        <v>43. Bruno</v>
      </c>
      <c r="B3362" s="4" t="str">
        <f>IFERROR(__xludf.DUMMYFUNCTION("""COMPUTED_VALUE"""),"43")</f>
        <v>43</v>
      </c>
      <c r="C3362" s="5" t="str">
        <f>IFERROR(__xludf.DUMMYFUNCTION("""COMPUTED_VALUE"""),"https://drive.google.com/file/d/15kLpBdHa-fKIFlSgDZz64jk6l37GT2IO/view?usp=drivesdk")</f>
        <v>https://drive.google.com/file/d/15kLpBdHa-fKIFlSgDZz64jk6l37GT2IO/view?usp=drivesdk</v>
      </c>
      <c r="D3362" s="12"/>
      <c r="E3362" s="11">
        <v>3400.0</v>
      </c>
      <c r="F3362" s="2"/>
    </row>
    <row r="3363" ht="1.5" customHeight="1">
      <c r="A3363" s="4" t="str">
        <f>IFERROR(__xludf.DUMMYFUNCTION("""COMPUTED_VALUE"""),"41. Gregory")</f>
        <v>41. Gregory</v>
      </c>
      <c r="B3363" s="4" t="str">
        <f>IFERROR(__xludf.DUMMYFUNCTION("""COMPUTED_VALUE"""),"41")</f>
        <v>41</v>
      </c>
      <c r="C3363" s="5" t="str">
        <f>IFERROR(__xludf.DUMMYFUNCTION("""COMPUTED_VALUE"""),"https://drive.google.com/file/d/1TKSHpdIhoA7hLcgubuiefHlCHP2MmKPE/view?usp=drivesdk")</f>
        <v>https://drive.google.com/file/d/1TKSHpdIhoA7hLcgubuiefHlCHP2MmKPE/view?usp=drivesdk</v>
      </c>
      <c r="D3363" s="12"/>
      <c r="E3363" s="11">
        <v>3401.0</v>
      </c>
      <c r="F3363" s="2"/>
    </row>
    <row r="3364" ht="1.5" customHeight="1">
      <c r="A3364" s="4" t="str">
        <f>IFERROR(__xludf.DUMMYFUNCTION("""COMPUTED_VALUE"""),"43. Bruno")</f>
        <v>43. Bruno</v>
      </c>
      <c r="B3364" s="4" t="str">
        <f>IFERROR(__xludf.DUMMYFUNCTION("""COMPUTED_VALUE"""),"43")</f>
        <v>43</v>
      </c>
      <c r="C3364" s="5" t="str">
        <f>IFERROR(__xludf.DUMMYFUNCTION("""COMPUTED_VALUE"""),"https://drive.google.com/file/d/1NSdmmqePyKzPyROXx9Ev3THcTy-2tzzk/view?usp=drivesdk")</f>
        <v>https://drive.google.com/file/d/1NSdmmqePyKzPyROXx9Ev3THcTy-2tzzk/view?usp=drivesdk</v>
      </c>
      <c r="D3364" s="12"/>
      <c r="E3364" s="11">
        <v>3402.0</v>
      </c>
      <c r="F3364" s="2"/>
    </row>
    <row r="3365" ht="1.5" customHeight="1">
      <c r="A3365" s="4" t="str">
        <f>IFERROR(__xludf.DUMMYFUNCTION("""COMPUTED_VALUE"""),"43. Bruno")</f>
        <v>43. Bruno</v>
      </c>
      <c r="B3365" s="4" t="str">
        <f>IFERROR(__xludf.DUMMYFUNCTION("""COMPUTED_VALUE"""),"43")</f>
        <v>43</v>
      </c>
      <c r="C3365" s="5" t="str">
        <f>IFERROR(__xludf.DUMMYFUNCTION("""COMPUTED_VALUE"""),"https://drive.google.com/file/d/1XucOThBE6GHV-UJNQMXQ2syw8auQhRLN/view?usp=drivesdk")</f>
        <v>https://drive.google.com/file/d/1XucOThBE6GHV-UJNQMXQ2syw8auQhRLN/view?usp=drivesdk</v>
      </c>
      <c r="D3365" s="12"/>
      <c r="E3365" s="11">
        <v>3403.0</v>
      </c>
      <c r="F3365" s="2"/>
    </row>
    <row r="3366" ht="1.5" customHeight="1">
      <c r="A3366" s="4" t="str">
        <f>IFERROR(__xludf.DUMMYFUNCTION("""COMPUTED_VALUE"""),"43. Bruno")</f>
        <v>43. Bruno</v>
      </c>
      <c r="B3366" s="4" t="str">
        <f>IFERROR(__xludf.DUMMYFUNCTION("""COMPUTED_VALUE"""),"43")</f>
        <v>43</v>
      </c>
      <c r="C3366" s="5" t="str">
        <f>IFERROR(__xludf.DUMMYFUNCTION("""COMPUTED_VALUE"""),"https://drive.google.com/file/d/1Kg0aEceC4s0Lp1UM2ADBhICNP3ouBBd4/view?usp=drivesdk")</f>
        <v>https://drive.google.com/file/d/1Kg0aEceC4s0Lp1UM2ADBhICNP3ouBBd4/view?usp=drivesdk</v>
      </c>
      <c r="D3366" s="12"/>
      <c r="E3366" s="11">
        <v>3404.0</v>
      </c>
      <c r="F3366" s="2"/>
    </row>
    <row r="3367" ht="1.5" customHeight="1">
      <c r="A3367" s="4" t="str">
        <f>IFERROR(__xludf.DUMMYFUNCTION("""COMPUTED_VALUE"""),"43. Bruno")</f>
        <v>43. Bruno</v>
      </c>
      <c r="B3367" s="4" t="str">
        <f>IFERROR(__xludf.DUMMYFUNCTION("""COMPUTED_VALUE"""),"43")</f>
        <v>43</v>
      </c>
      <c r="C3367" s="5" t="str">
        <f>IFERROR(__xludf.DUMMYFUNCTION("""COMPUTED_VALUE"""),"https://drive.google.com/file/d/1AxY3XYfp4ek4tOMJgw1Ut2d3ovV9E5Hz/view?usp=drivesdk")</f>
        <v>https://drive.google.com/file/d/1AxY3XYfp4ek4tOMJgw1Ut2d3ovV9E5Hz/view?usp=drivesdk</v>
      </c>
      <c r="D3367" s="12"/>
      <c r="E3367" s="11">
        <v>3405.0</v>
      </c>
      <c r="F3367" s="2"/>
    </row>
    <row r="3368" ht="1.5" customHeight="1">
      <c r="A3368" s="4" t="str">
        <f>IFERROR(__xludf.DUMMYFUNCTION("""COMPUTED_VALUE"""),"43. Bruno")</f>
        <v>43. Bruno</v>
      </c>
      <c r="B3368" s="4" t="str">
        <f>IFERROR(__xludf.DUMMYFUNCTION("""COMPUTED_VALUE"""),"43")</f>
        <v>43</v>
      </c>
      <c r="C3368" s="5" t="str">
        <f>IFERROR(__xludf.DUMMYFUNCTION("""COMPUTED_VALUE"""),"https://drive.google.com/file/d/1iOBByv0yN3w8_aACUz8kwtY8FDFGfGV5/view?usp=drivesdk")</f>
        <v>https://drive.google.com/file/d/1iOBByv0yN3w8_aACUz8kwtY8FDFGfGV5/view?usp=drivesdk</v>
      </c>
      <c r="D3368" s="12"/>
      <c r="E3368" s="11">
        <v>3406.0</v>
      </c>
      <c r="F3368" s="2"/>
    </row>
    <row r="3369" ht="1.5" customHeight="1">
      <c r="A3369" s="4" t="str">
        <f>IFERROR(__xludf.DUMMYFUNCTION("""COMPUTED_VALUE"""),"43. Bruno")</f>
        <v>43. Bruno</v>
      </c>
      <c r="B3369" s="4" t="str">
        <f>IFERROR(__xludf.DUMMYFUNCTION("""COMPUTED_VALUE"""),"43")</f>
        <v>43</v>
      </c>
      <c r="C3369" s="5" t="str">
        <f>IFERROR(__xludf.DUMMYFUNCTION("""COMPUTED_VALUE"""),"https://drive.google.com/file/d/1Veny-C_-tnbWfSVMsC506_EeT0LbR4hy/view?usp=drivesdk")</f>
        <v>https://drive.google.com/file/d/1Veny-C_-tnbWfSVMsC506_EeT0LbR4hy/view?usp=drivesdk</v>
      </c>
      <c r="D3369" s="12"/>
      <c r="E3369" s="11">
        <v>3407.0</v>
      </c>
      <c r="F3369" s="2"/>
    </row>
    <row r="3370" ht="1.5" customHeight="1">
      <c r="A3370" s="4" t="str">
        <f>IFERROR(__xludf.DUMMYFUNCTION("""COMPUTED_VALUE"""),"43. Bruno")</f>
        <v>43. Bruno</v>
      </c>
      <c r="B3370" s="4" t="str">
        <f>IFERROR(__xludf.DUMMYFUNCTION("""COMPUTED_VALUE"""),"43")</f>
        <v>43</v>
      </c>
      <c r="C3370" s="5" t="str">
        <f>IFERROR(__xludf.DUMMYFUNCTION("""COMPUTED_VALUE"""),"https://drive.google.com/file/d/1z2xLJ3Kb9SYxo0vb0ikKEFoLPmlo-BxC/view?usp=drivesdk")</f>
        <v>https://drive.google.com/file/d/1z2xLJ3Kb9SYxo0vb0ikKEFoLPmlo-BxC/view?usp=drivesdk</v>
      </c>
      <c r="D3370" s="12"/>
      <c r="E3370" s="11">
        <v>3408.0</v>
      </c>
      <c r="F3370" s="2"/>
    </row>
    <row r="3371" ht="1.5" customHeight="1">
      <c r="A3371" s="4" t="str">
        <f>IFERROR(__xludf.DUMMYFUNCTION("""COMPUTED_VALUE"""),"43. Bruno")</f>
        <v>43. Bruno</v>
      </c>
      <c r="B3371" s="4" t="str">
        <f>IFERROR(__xludf.DUMMYFUNCTION("""COMPUTED_VALUE"""),"43")</f>
        <v>43</v>
      </c>
      <c r="C3371" s="5" t="str">
        <f>IFERROR(__xludf.DUMMYFUNCTION("""COMPUTED_VALUE"""),"https://drive.google.com/file/d/1pq3oNveex_Len_BMOzIAFI9aG-lOtwAZ/view?usp=drivesdk")</f>
        <v>https://drive.google.com/file/d/1pq3oNveex_Len_BMOzIAFI9aG-lOtwAZ/view?usp=drivesdk</v>
      </c>
      <c r="D3371" s="12"/>
      <c r="E3371" s="11">
        <v>3409.0</v>
      </c>
      <c r="F3371" s="2"/>
    </row>
    <row r="3372" ht="1.5" customHeight="1">
      <c r="A3372" s="4" t="str">
        <f>IFERROR(__xludf.DUMMYFUNCTION("""COMPUTED_VALUE"""),"43. Bruno")</f>
        <v>43. Bruno</v>
      </c>
      <c r="B3372" s="4" t="str">
        <f>IFERROR(__xludf.DUMMYFUNCTION("""COMPUTED_VALUE"""),"43")</f>
        <v>43</v>
      </c>
      <c r="C3372" s="5" t="str">
        <f>IFERROR(__xludf.DUMMYFUNCTION("""COMPUTED_VALUE"""),"https://drive.google.com/file/d/1gDO-6CJslqOr1xQ77u7hsO0nQBhG0gcg/view?usp=drivesdk")</f>
        <v>https://drive.google.com/file/d/1gDO-6CJslqOr1xQ77u7hsO0nQBhG0gcg/view?usp=drivesdk</v>
      </c>
      <c r="D3372" s="12"/>
      <c r="E3372" s="11">
        <v>3410.0</v>
      </c>
      <c r="F3372" s="2"/>
    </row>
    <row r="3373" ht="1.5" customHeight="1">
      <c r="A3373" s="4" t="str">
        <f>IFERROR(__xludf.DUMMYFUNCTION("""COMPUTED_VALUE"""),"43. Bruno")</f>
        <v>43. Bruno</v>
      </c>
      <c r="B3373" s="4" t="str">
        <f>IFERROR(__xludf.DUMMYFUNCTION("""COMPUTED_VALUE"""),"43")</f>
        <v>43</v>
      </c>
      <c r="C3373" s="5" t="str">
        <f>IFERROR(__xludf.DUMMYFUNCTION("""COMPUTED_VALUE"""),"https://drive.google.com/file/d/1sKnMZ5uxGQKTQdFg3WiCndek0rcudrJU/view?usp=drivesdk")</f>
        <v>https://drive.google.com/file/d/1sKnMZ5uxGQKTQdFg3WiCndek0rcudrJU/view?usp=drivesdk</v>
      </c>
      <c r="D3373" s="12"/>
      <c r="E3373" s="11">
        <v>3411.0</v>
      </c>
      <c r="F3373" s="2"/>
    </row>
    <row r="3374" ht="1.5" customHeight="1">
      <c r="A3374" s="4" t="str">
        <f>IFERROR(__xludf.DUMMYFUNCTION("""COMPUTED_VALUE"""),"43. Bruno")</f>
        <v>43. Bruno</v>
      </c>
      <c r="B3374" s="4" t="str">
        <f>IFERROR(__xludf.DUMMYFUNCTION("""COMPUTED_VALUE"""),"43")</f>
        <v>43</v>
      </c>
      <c r="C3374" s="5" t="str">
        <f>IFERROR(__xludf.DUMMYFUNCTION("""COMPUTED_VALUE"""),"https://drive.google.com/file/d/1B1VQV4edcdqHrDIMV9gmRAfQfaYzV00i/view?usp=drivesdk")</f>
        <v>https://drive.google.com/file/d/1B1VQV4edcdqHrDIMV9gmRAfQfaYzV00i/view?usp=drivesdk</v>
      </c>
      <c r="D3374" s="12"/>
      <c r="E3374" s="11">
        <v>3412.0</v>
      </c>
      <c r="F3374" s="2"/>
    </row>
    <row r="3375" ht="1.5" customHeight="1">
      <c r="A3375" s="4" t="str">
        <f>IFERROR(__xludf.DUMMYFUNCTION("""COMPUTED_VALUE"""),"43. Bruno")</f>
        <v>43. Bruno</v>
      </c>
      <c r="B3375" s="4" t="str">
        <f>IFERROR(__xludf.DUMMYFUNCTION("""COMPUTED_VALUE"""),"43")</f>
        <v>43</v>
      </c>
      <c r="C3375" s="5" t="str">
        <f>IFERROR(__xludf.DUMMYFUNCTION("""COMPUTED_VALUE"""),"https://drive.google.com/file/d/1wJM9aZFMzPHJYz1dvD9GqNwvCJjbB4eR/view?usp=drivesdk")</f>
        <v>https://drive.google.com/file/d/1wJM9aZFMzPHJYz1dvD9GqNwvCJjbB4eR/view?usp=drivesdk</v>
      </c>
      <c r="D3375" s="12"/>
      <c r="E3375" s="11">
        <v>3413.0</v>
      </c>
      <c r="F3375" s="2"/>
    </row>
    <row r="3376" ht="1.5" customHeight="1">
      <c r="A3376" s="4" t="str">
        <f>IFERROR(__xludf.DUMMYFUNCTION("""COMPUTED_VALUE"""),"43. Bruno")</f>
        <v>43. Bruno</v>
      </c>
      <c r="B3376" s="4" t="str">
        <f>IFERROR(__xludf.DUMMYFUNCTION("""COMPUTED_VALUE"""),"43")</f>
        <v>43</v>
      </c>
      <c r="C3376" s="5" t="str">
        <f>IFERROR(__xludf.DUMMYFUNCTION("""COMPUTED_VALUE"""),"https://drive.google.com/file/d/1yIkIdWPGagv7u81D6sSKckyup469yX7q/view?usp=drivesdk")</f>
        <v>https://drive.google.com/file/d/1yIkIdWPGagv7u81D6sSKckyup469yX7q/view?usp=drivesdk</v>
      </c>
      <c r="D3376" s="12"/>
      <c r="E3376" s="11">
        <v>3414.0</v>
      </c>
      <c r="F3376" s="2"/>
    </row>
    <row r="3377" ht="1.5" customHeight="1">
      <c r="A3377" s="4" t="str">
        <f>IFERROR(__xludf.DUMMYFUNCTION("""COMPUTED_VALUE"""),"43. Bruno")</f>
        <v>43. Bruno</v>
      </c>
      <c r="B3377" s="4" t="str">
        <f>IFERROR(__xludf.DUMMYFUNCTION("""COMPUTED_VALUE"""),"43")</f>
        <v>43</v>
      </c>
      <c r="C3377" s="5" t="str">
        <f>IFERROR(__xludf.DUMMYFUNCTION("""COMPUTED_VALUE"""),"https://drive.google.com/file/d/1C-eKFs42aaU2sVhOq1aNFJCdGOdYpJ8n/view?usp=drivesdk")</f>
        <v>https://drive.google.com/file/d/1C-eKFs42aaU2sVhOq1aNFJCdGOdYpJ8n/view?usp=drivesdk</v>
      </c>
      <c r="D3377" s="12"/>
      <c r="E3377" s="11">
        <v>3415.0</v>
      </c>
      <c r="F3377" s="2"/>
    </row>
    <row r="3378" ht="1.5" customHeight="1">
      <c r="A3378" s="4" t="str">
        <f>IFERROR(__xludf.DUMMYFUNCTION("""COMPUTED_VALUE"""),"43. Bruno")</f>
        <v>43. Bruno</v>
      </c>
      <c r="B3378" s="4" t="str">
        <f>IFERROR(__xludf.DUMMYFUNCTION("""COMPUTED_VALUE"""),"43")</f>
        <v>43</v>
      </c>
      <c r="C3378" s="5" t="str">
        <f>IFERROR(__xludf.DUMMYFUNCTION("""COMPUTED_VALUE"""),"https://drive.google.com/file/d/1yDiSV5ALLbT86U75lq4Baf7ogXi4L5wj/view?usp=drivesdk")</f>
        <v>https://drive.google.com/file/d/1yDiSV5ALLbT86U75lq4Baf7ogXi4L5wj/view?usp=drivesdk</v>
      </c>
      <c r="D3378" s="12"/>
      <c r="E3378" s="11">
        <v>3416.0</v>
      </c>
      <c r="F3378" s="2"/>
    </row>
    <row r="3379" ht="1.5" customHeight="1">
      <c r="A3379" s="4" t="str">
        <f>IFERROR(__xludf.DUMMYFUNCTION("""COMPUTED_VALUE"""),"43. Bruno")</f>
        <v>43. Bruno</v>
      </c>
      <c r="B3379" s="4" t="str">
        <f>IFERROR(__xludf.DUMMYFUNCTION("""COMPUTED_VALUE"""),"43")</f>
        <v>43</v>
      </c>
      <c r="C3379" s="5" t="str">
        <f>IFERROR(__xludf.DUMMYFUNCTION("""COMPUTED_VALUE"""),"https://drive.google.com/file/d/1IaP0ubi35rrRXBrFkh5RiGrEl5pYyHmt/view?usp=drivesdk")</f>
        <v>https://drive.google.com/file/d/1IaP0ubi35rrRXBrFkh5RiGrEl5pYyHmt/view?usp=drivesdk</v>
      </c>
      <c r="D3379" s="12"/>
      <c r="E3379" s="11">
        <v>3417.0</v>
      </c>
      <c r="F3379" s="2"/>
    </row>
    <row r="3380" ht="1.5" customHeight="1">
      <c r="A3380" s="4" t="str">
        <f>IFERROR(__xludf.DUMMYFUNCTION("""COMPUTED_VALUE"""),"43. Bruno")</f>
        <v>43. Bruno</v>
      </c>
      <c r="B3380" s="4" t="str">
        <f>IFERROR(__xludf.DUMMYFUNCTION("""COMPUTED_VALUE"""),"43")</f>
        <v>43</v>
      </c>
      <c r="C3380" s="5" t="str">
        <f>IFERROR(__xludf.DUMMYFUNCTION("""COMPUTED_VALUE"""),"https://drive.google.com/file/d/1fsNxuigy27dvCkCfgiaNFSFDYAcK60zl/view?usp=drivesdk")</f>
        <v>https://drive.google.com/file/d/1fsNxuigy27dvCkCfgiaNFSFDYAcK60zl/view?usp=drivesdk</v>
      </c>
      <c r="D3380" s="12"/>
      <c r="E3380" s="11">
        <v>3418.0</v>
      </c>
      <c r="F3380" s="2"/>
    </row>
    <row r="3381" ht="1.5" customHeight="1">
      <c r="A3381" s="4" t="str">
        <f>IFERROR(__xludf.DUMMYFUNCTION("""COMPUTED_VALUE"""),"43. Bruno")</f>
        <v>43. Bruno</v>
      </c>
      <c r="B3381" s="4" t="str">
        <f>IFERROR(__xludf.DUMMYFUNCTION("""COMPUTED_VALUE"""),"43")</f>
        <v>43</v>
      </c>
      <c r="C3381" s="5" t="str">
        <f>IFERROR(__xludf.DUMMYFUNCTION("""COMPUTED_VALUE"""),"https://drive.google.com/file/d/1fCdn6tEcV9XZMH05vQGrZxU6XowiVqW0/view?usp=drivesdk")</f>
        <v>https://drive.google.com/file/d/1fCdn6tEcV9XZMH05vQGrZxU6XowiVqW0/view?usp=drivesdk</v>
      </c>
      <c r="D3381" s="12"/>
      <c r="E3381" s="11">
        <v>3419.0</v>
      </c>
      <c r="F3381" s="2"/>
    </row>
    <row r="3382" ht="1.5" customHeight="1">
      <c r="A3382" s="4" t="str">
        <f>IFERROR(__xludf.DUMMYFUNCTION("""COMPUTED_VALUE"""),"43. Bruno")</f>
        <v>43. Bruno</v>
      </c>
      <c r="B3382" s="4" t="str">
        <f>IFERROR(__xludf.DUMMYFUNCTION("""COMPUTED_VALUE"""),"43")</f>
        <v>43</v>
      </c>
      <c r="C3382" s="5" t="str">
        <f>IFERROR(__xludf.DUMMYFUNCTION("""COMPUTED_VALUE"""),"https://drive.google.com/file/d/12d_JY_XOSBuN4ZgfHyJKSrz7SeJzl-Dj/view?usp=drivesdk")</f>
        <v>https://drive.google.com/file/d/12d_JY_XOSBuN4ZgfHyJKSrz7SeJzl-Dj/view?usp=drivesdk</v>
      </c>
      <c r="D3382" s="12"/>
      <c r="E3382" s="11">
        <v>3420.0</v>
      </c>
      <c r="F3382" s="2"/>
    </row>
    <row r="3383" ht="1.5" customHeight="1">
      <c r="A3383" s="4" t="str">
        <f>IFERROR(__xludf.DUMMYFUNCTION("""COMPUTED_VALUE"""),"43. Bruno")</f>
        <v>43. Bruno</v>
      </c>
      <c r="B3383" s="4" t="str">
        <f>IFERROR(__xludf.DUMMYFUNCTION("""COMPUTED_VALUE"""),"43")</f>
        <v>43</v>
      </c>
      <c r="C3383" s="5" t="str">
        <f>IFERROR(__xludf.DUMMYFUNCTION("""COMPUTED_VALUE"""),"https://drive.google.com/file/d/1zsTzGI3w-xkYngbobwHrqONbhcOe5Edp/view?usp=drivesdk")</f>
        <v>https://drive.google.com/file/d/1zsTzGI3w-xkYngbobwHrqONbhcOe5Edp/view?usp=drivesdk</v>
      </c>
      <c r="D3383" s="12"/>
      <c r="E3383" s="11">
        <v>3421.0</v>
      </c>
      <c r="F3383" s="2"/>
    </row>
    <row r="3384" ht="1.5" customHeight="1">
      <c r="A3384" s="4" t="str">
        <f>IFERROR(__xludf.DUMMYFUNCTION("""COMPUTED_VALUE"""),"42. Rubber")</f>
        <v>42. Rubber</v>
      </c>
      <c r="B3384" s="4" t="str">
        <f>IFERROR(__xludf.DUMMYFUNCTION("""COMPUTED_VALUE"""),"42")</f>
        <v>42</v>
      </c>
      <c r="C3384" s="5" t="str">
        <f>IFERROR(__xludf.DUMMYFUNCTION("""COMPUTED_VALUE"""),"https://drive.google.com/file/d/1kkzH78aYYZb-QdpV0mg8VIlHBxx-eZPo/view?usp=drivesdk")</f>
        <v>https://drive.google.com/file/d/1kkzH78aYYZb-QdpV0mg8VIlHBxx-eZPo/view?usp=drivesdk</v>
      </c>
      <c r="D3384" s="12"/>
      <c r="E3384" s="11">
        <v>3422.0</v>
      </c>
      <c r="F3384" s="2"/>
    </row>
    <row r="3385" ht="1.5" customHeight="1">
      <c r="A3385" s="4" t="str">
        <f>IFERROR(__xludf.DUMMYFUNCTION("""COMPUTED_VALUE"""),"12. Faye, 42. Rubber")</f>
        <v>12. Faye, 42. Rubber</v>
      </c>
      <c r="B3385" s="4" t="str">
        <f>IFERROR(__xludf.DUMMYFUNCTION("""COMPUTED_VALUE"""),"12, 42")</f>
        <v>12, 42</v>
      </c>
      <c r="C3385" s="5" t="str">
        <f>IFERROR(__xludf.DUMMYFUNCTION("""COMPUTED_VALUE"""),"https://drive.google.com/file/d/1Ogfez6pfoRjsvI5zuH0pwaNVLGK77k7b/view?usp=drivesdk")</f>
        <v>https://drive.google.com/file/d/1Ogfez6pfoRjsvI5zuH0pwaNVLGK77k7b/view?usp=drivesdk</v>
      </c>
      <c r="D3385" s="12"/>
      <c r="E3385" s="11">
        <v>3423.0</v>
      </c>
      <c r="F3385" s="2"/>
    </row>
    <row r="3386" ht="1.5" customHeight="1">
      <c r="A3386" s="4" t="str">
        <f>IFERROR(__xludf.DUMMYFUNCTION("""COMPUTED_VALUE"""),"12. Faye, 39. Radar, 42. Rubber")</f>
        <v>12. Faye, 39. Radar, 42. Rubber</v>
      </c>
      <c r="B3386" s="4" t="str">
        <f>IFERROR(__xludf.DUMMYFUNCTION("""COMPUTED_VALUE"""),"12, 39, 42")</f>
        <v>12, 39, 42</v>
      </c>
      <c r="C3386" s="5" t="str">
        <f>IFERROR(__xludf.DUMMYFUNCTION("""COMPUTED_VALUE"""),"https://drive.google.com/file/d/11Sf7_vpjTW6L9vQzu1lxZ0WP5oGaq3jM/view?usp=drivesdk")</f>
        <v>https://drive.google.com/file/d/11Sf7_vpjTW6L9vQzu1lxZ0WP5oGaq3jM/view?usp=drivesdk</v>
      </c>
      <c r="D3386" s="12"/>
      <c r="E3386" s="11">
        <v>3424.0</v>
      </c>
      <c r="F3386" s="2"/>
    </row>
    <row r="3387" ht="1.5" customHeight="1">
      <c r="A3387" s="4" t="str">
        <f>IFERROR(__xludf.DUMMYFUNCTION("""COMPUTED_VALUE"""),"12. Faye, 39. Radar, 42. Rubber")</f>
        <v>12. Faye, 39. Radar, 42. Rubber</v>
      </c>
      <c r="B3387" s="4" t="str">
        <f>IFERROR(__xludf.DUMMYFUNCTION("""COMPUTED_VALUE"""),"12, 39, 42")</f>
        <v>12, 39, 42</v>
      </c>
      <c r="C3387" s="5" t="str">
        <f>IFERROR(__xludf.DUMMYFUNCTION("""COMPUTED_VALUE"""),"https://drive.google.com/file/d/1RSyyhIzJpr0nWvesQWkIVncVTwZMwE_G/view?usp=drivesdk")</f>
        <v>https://drive.google.com/file/d/1RSyyhIzJpr0nWvesQWkIVncVTwZMwE_G/view?usp=drivesdk</v>
      </c>
      <c r="D3387" s="12"/>
      <c r="E3387" s="11">
        <v>3425.0</v>
      </c>
      <c r="F3387" s="2"/>
    </row>
    <row r="3388" ht="1.5" customHeight="1">
      <c r="A3388" s="4" t="str">
        <f>IFERROR(__xludf.DUMMYFUNCTION("""COMPUTED_VALUE"""),"43. Bruno")</f>
        <v>43. Bruno</v>
      </c>
      <c r="B3388" s="4" t="str">
        <f>IFERROR(__xludf.DUMMYFUNCTION("""COMPUTED_VALUE"""),"43")</f>
        <v>43</v>
      </c>
      <c r="C3388" s="5" t="str">
        <f>IFERROR(__xludf.DUMMYFUNCTION("""COMPUTED_VALUE"""),"https://drive.google.com/file/d/1VkAgHsYpd22yZ3m_mattzHNGNg3AdPNs/view?usp=drivesdk")</f>
        <v>https://drive.google.com/file/d/1VkAgHsYpd22yZ3m_mattzHNGNg3AdPNs/view?usp=drivesdk</v>
      </c>
      <c r="D3388" s="12"/>
      <c r="E3388" s="11">
        <v>3426.0</v>
      </c>
      <c r="F3388" s="2"/>
    </row>
    <row r="3389" ht="1.5" customHeight="1">
      <c r="A3389" s="4" t="str">
        <f>IFERROR(__xludf.DUMMYFUNCTION("""COMPUTED_VALUE"""),"43. Bruno")</f>
        <v>43. Bruno</v>
      </c>
      <c r="B3389" s="4" t="str">
        <f>IFERROR(__xludf.DUMMYFUNCTION("""COMPUTED_VALUE"""),"43")</f>
        <v>43</v>
      </c>
      <c r="C3389" s="5" t="str">
        <f>IFERROR(__xludf.DUMMYFUNCTION("""COMPUTED_VALUE"""),"https://drive.google.com/file/d/19ZJuUvANQk9j3JuyLBhFHeRNhf0r2bad/view?usp=drivesdk")</f>
        <v>https://drive.google.com/file/d/19ZJuUvANQk9j3JuyLBhFHeRNhf0r2bad/view?usp=drivesdk</v>
      </c>
      <c r="D3389" s="12"/>
      <c r="E3389" s="11">
        <v>3427.0</v>
      </c>
      <c r="F3389" s="2"/>
    </row>
    <row r="3390" ht="1.5" customHeight="1">
      <c r="A3390" s="4" t="str">
        <f>IFERROR(__xludf.DUMMYFUNCTION("""COMPUTED_VALUE"""),"12. Faye, 39. Radar, 42. Rubber")</f>
        <v>12. Faye, 39. Radar, 42. Rubber</v>
      </c>
      <c r="B3390" s="4" t="str">
        <f>IFERROR(__xludf.DUMMYFUNCTION("""COMPUTED_VALUE"""),"12, 39, 42")</f>
        <v>12, 39, 42</v>
      </c>
      <c r="C3390" s="5" t="str">
        <f>IFERROR(__xludf.DUMMYFUNCTION("""COMPUTED_VALUE"""),"https://drive.google.com/file/d/1E-VbbN5aDHjoacH8a-ijI_zugk8AQhon/view?usp=drivesdk")</f>
        <v>https://drive.google.com/file/d/1E-VbbN5aDHjoacH8a-ijI_zugk8AQhon/view?usp=drivesdk</v>
      </c>
      <c r="D3390" s="12"/>
      <c r="E3390" s="11">
        <v>3428.0</v>
      </c>
      <c r="F3390" s="2"/>
    </row>
    <row r="3391" ht="1.5" customHeight="1">
      <c r="A3391" s="4" t="str">
        <f>IFERROR(__xludf.DUMMYFUNCTION("""COMPUTED_VALUE"""),"42. Rubber")</f>
        <v>42. Rubber</v>
      </c>
      <c r="B3391" s="4" t="str">
        <f>IFERROR(__xludf.DUMMYFUNCTION("""COMPUTED_VALUE"""),"42")</f>
        <v>42</v>
      </c>
      <c r="C3391" s="5" t="str">
        <f>IFERROR(__xludf.DUMMYFUNCTION("""COMPUTED_VALUE"""),"https://drive.google.com/file/d/1NXXPkK4mzWDvPH_3ET1pV4VRmBfZ-KPT/view?usp=drivesdk")</f>
        <v>https://drive.google.com/file/d/1NXXPkK4mzWDvPH_3ET1pV4VRmBfZ-KPT/view?usp=drivesdk</v>
      </c>
      <c r="D3391" s="12"/>
      <c r="E3391" s="11">
        <v>3429.0</v>
      </c>
      <c r="F3391" s="2"/>
    </row>
    <row r="3392" ht="1.5" customHeight="1">
      <c r="A3392" s="4" t="str">
        <f>IFERROR(__xludf.DUMMYFUNCTION("""COMPUTED_VALUE"""),"43. Bruno")</f>
        <v>43. Bruno</v>
      </c>
      <c r="B3392" s="4" t="str">
        <f>IFERROR(__xludf.DUMMYFUNCTION("""COMPUTED_VALUE"""),"43")</f>
        <v>43</v>
      </c>
      <c r="C3392" s="5" t="str">
        <f>IFERROR(__xludf.DUMMYFUNCTION("""COMPUTED_VALUE"""),"https://drive.google.com/file/d/1pXId8c0x6KpDP99THEgzSVPYc4D-s5MP/view?usp=drivesdk")</f>
        <v>https://drive.google.com/file/d/1pXId8c0x6KpDP99THEgzSVPYc4D-s5MP/view?usp=drivesdk</v>
      </c>
      <c r="D3392" s="12"/>
      <c r="E3392" s="11">
        <v>3430.0</v>
      </c>
      <c r="F3392" s="2"/>
    </row>
    <row r="3393" ht="1.5" customHeight="1">
      <c r="A3393" s="4" t="str">
        <f>IFERROR(__xludf.DUMMYFUNCTION("""COMPUTED_VALUE"""),"43. Bruno")</f>
        <v>43. Bruno</v>
      </c>
      <c r="B3393" s="4" t="str">
        <f>IFERROR(__xludf.DUMMYFUNCTION("""COMPUTED_VALUE"""),"43")</f>
        <v>43</v>
      </c>
      <c r="C3393" s="5" t="str">
        <f>IFERROR(__xludf.DUMMYFUNCTION("""COMPUTED_VALUE"""),"https://drive.google.com/file/d/1-WYTpy6_0DIjtInKIEXrsDJ8LDkT4oZw/view?usp=drivesdk")</f>
        <v>https://drive.google.com/file/d/1-WYTpy6_0DIjtInKIEXrsDJ8LDkT4oZw/view?usp=drivesdk</v>
      </c>
      <c r="D3393" s="12"/>
      <c r="E3393" s="11">
        <v>3431.0</v>
      </c>
      <c r="F3393" s="2"/>
    </row>
    <row r="3394" ht="1.5" customHeight="1">
      <c r="A3394" s="4" t="str">
        <f>IFERROR(__xludf.DUMMYFUNCTION("""COMPUTED_VALUE"""),"12. Faye, 39. Radar, 42. Rubber")</f>
        <v>12. Faye, 39. Radar, 42. Rubber</v>
      </c>
      <c r="B3394" s="4" t="str">
        <f>IFERROR(__xludf.DUMMYFUNCTION("""COMPUTED_VALUE"""),"12, 39, 42")</f>
        <v>12, 39, 42</v>
      </c>
      <c r="C3394" s="5" t="str">
        <f>IFERROR(__xludf.DUMMYFUNCTION("""COMPUTED_VALUE"""),"https://drive.google.com/file/d/1pMjAnSVQjiSOhTETzEhRnZKFVJNqB8Hz/view?usp=drivesdk")</f>
        <v>https://drive.google.com/file/d/1pMjAnSVQjiSOhTETzEhRnZKFVJNqB8Hz/view?usp=drivesdk</v>
      </c>
      <c r="D3394" s="12"/>
      <c r="E3394" s="11">
        <v>3432.0</v>
      </c>
      <c r="F3394" s="2"/>
    </row>
    <row r="3395" ht="1.5" customHeight="1">
      <c r="A3395" s="4" t="str">
        <f>IFERROR(__xludf.DUMMYFUNCTION("""COMPUTED_VALUE"""),"46. Princess")</f>
        <v>46. Princess</v>
      </c>
      <c r="B3395" s="4" t="str">
        <f>IFERROR(__xludf.DUMMYFUNCTION("""COMPUTED_VALUE"""),"46")</f>
        <v>46</v>
      </c>
      <c r="C3395" s="5" t="str">
        <f>IFERROR(__xludf.DUMMYFUNCTION("""COMPUTED_VALUE"""),"https://drive.google.com/file/d/1JK3wSiH038AndKi2-YQ8M2kWH-E1HSNO/view?usp=drivesdk")</f>
        <v>https://drive.google.com/file/d/1JK3wSiH038AndKi2-YQ8M2kWH-E1HSNO/view?usp=drivesdk</v>
      </c>
      <c r="D3395" s="12"/>
      <c r="E3395" s="11">
        <v>3433.0</v>
      </c>
      <c r="F3395" s="2"/>
    </row>
    <row r="3396" ht="1.5" customHeight="1">
      <c r="A3396" s="4" t="str">
        <f>IFERROR(__xludf.DUMMYFUNCTION("""COMPUTED_VALUE"""),"46. Princess")</f>
        <v>46. Princess</v>
      </c>
      <c r="B3396" s="4" t="str">
        <f>IFERROR(__xludf.DUMMYFUNCTION("""COMPUTED_VALUE"""),"46")</f>
        <v>46</v>
      </c>
      <c r="C3396" s="5" t="str">
        <f>IFERROR(__xludf.DUMMYFUNCTION("""COMPUTED_VALUE"""),"https://drive.google.com/file/d/1A33T9RaXdpjRofDBKN-fu2q-Nk5lfU31/view?usp=drivesdk")</f>
        <v>https://drive.google.com/file/d/1A33T9RaXdpjRofDBKN-fu2q-Nk5lfU31/view?usp=drivesdk</v>
      </c>
      <c r="D3396" s="12"/>
      <c r="E3396" s="11">
        <v>3434.0</v>
      </c>
      <c r="F3396" s="2"/>
    </row>
    <row r="3397" ht="1.5" customHeight="1">
      <c r="A3397" s="4" t="str">
        <f>IFERROR(__xludf.DUMMYFUNCTION("""COMPUTED_VALUE"""),"12. Faye, 39. Radar, 42. Rubber")</f>
        <v>12. Faye, 39. Radar, 42. Rubber</v>
      </c>
      <c r="B3397" s="4" t="str">
        <f>IFERROR(__xludf.DUMMYFUNCTION("""COMPUTED_VALUE"""),"12, 39, 42")</f>
        <v>12, 39, 42</v>
      </c>
      <c r="C3397" s="5" t="str">
        <f>IFERROR(__xludf.DUMMYFUNCTION("""COMPUTED_VALUE"""),"https://drive.google.com/file/d/1bHF1gxjXsY2qABh0wWySQXmPlEibwBgq/view?usp=drivesdk")</f>
        <v>https://drive.google.com/file/d/1bHF1gxjXsY2qABh0wWySQXmPlEibwBgq/view?usp=drivesdk</v>
      </c>
      <c r="D3397" s="12"/>
      <c r="E3397" s="11">
        <v>3435.0</v>
      </c>
      <c r="F3397" s="2"/>
    </row>
    <row r="3398" ht="1.5" customHeight="1">
      <c r="A3398" s="4" t="str">
        <f>IFERROR(__xludf.DUMMYFUNCTION("""COMPUTED_VALUE"""),"43. Bruno")</f>
        <v>43. Bruno</v>
      </c>
      <c r="B3398" s="4" t="str">
        <f>IFERROR(__xludf.DUMMYFUNCTION("""COMPUTED_VALUE"""),"43")</f>
        <v>43</v>
      </c>
      <c r="C3398" s="5" t="str">
        <f>IFERROR(__xludf.DUMMYFUNCTION("""COMPUTED_VALUE"""),"https://drive.google.com/file/d/1QEK8RjvSKpkIld87ir_ZvsViwyHSdt7C/view?usp=drivesdk")</f>
        <v>https://drive.google.com/file/d/1QEK8RjvSKpkIld87ir_ZvsViwyHSdt7C/view?usp=drivesdk</v>
      </c>
      <c r="D3398" s="12"/>
      <c r="E3398" s="11">
        <v>3436.0</v>
      </c>
      <c r="F3398" s="2"/>
    </row>
    <row r="3399" ht="1.5" customHeight="1">
      <c r="A3399" s="4" t="str">
        <f>IFERROR(__xludf.DUMMYFUNCTION("""COMPUTED_VALUE"""),"1. Microwave")</f>
        <v>1. Microwave</v>
      </c>
      <c r="B3399" s="4" t="str">
        <f>IFERROR(__xludf.DUMMYFUNCTION("""COMPUTED_VALUE"""),"1")</f>
        <v>1</v>
      </c>
      <c r="C3399" s="5" t="str">
        <f>IFERROR(__xludf.DUMMYFUNCTION("""COMPUTED_VALUE"""),"https://drive.google.com/file/d/1WBMKIcJnzNEo2qMpqBtWP1el8F1Rhj4G/view?usp=drivesdk")</f>
        <v>https://drive.google.com/file/d/1WBMKIcJnzNEo2qMpqBtWP1el8F1Rhj4G/view?usp=drivesdk</v>
      </c>
      <c r="D3399" s="12"/>
      <c r="E3399" s="11">
        <v>3437.0</v>
      </c>
      <c r="F3399" s="2"/>
    </row>
    <row r="3400" ht="1.5" customHeight="1">
      <c r="A3400" s="4" t="str">
        <f>IFERROR(__xludf.DUMMYFUNCTION("""COMPUTED_VALUE"""),"1. Microwave")</f>
        <v>1. Microwave</v>
      </c>
      <c r="B3400" s="4" t="str">
        <f>IFERROR(__xludf.DUMMYFUNCTION("""COMPUTED_VALUE"""),"1")</f>
        <v>1</v>
      </c>
      <c r="C3400" s="5" t="str">
        <f>IFERROR(__xludf.DUMMYFUNCTION("""COMPUTED_VALUE"""),"https://drive.google.com/file/d/1gHi7XTXUgSzjeljZy7qBT3_8PjYsMG8d/view?usp=drivesdk")</f>
        <v>https://drive.google.com/file/d/1gHi7XTXUgSzjeljZy7qBT3_8PjYsMG8d/view?usp=drivesdk</v>
      </c>
      <c r="D3400" s="12"/>
      <c r="E3400" s="11">
        <v>3438.0</v>
      </c>
      <c r="F3400" s="2"/>
    </row>
    <row r="3401" ht="1.5" customHeight="1">
      <c r="A3401" s="4" t="str">
        <f>IFERROR(__xludf.DUMMYFUNCTION("""COMPUTED_VALUE"""),"6. Snickers")</f>
        <v>6. Snickers</v>
      </c>
      <c r="B3401" s="4" t="str">
        <f>IFERROR(__xludf.DUMMYFUNCTION("""COMPUTED_VALUE"""),"6")</f>
        <v>6</v>
      </c>
      <c r="C3401" s="5" t="str">
        <f>IFERROR(__xludf.DUMMYFUNCTION("""COMPUTED_VALUE"""),"https://drive.google.com/file/d/17pPi9w1l24SDxSIdIz2FWUie3Oy8jZii/view?usp=drivesdk")</f>
        <v>https://drive.google.com/file/d/17pPi9w1l24SDxSIdIz2FWUie3Oy8jZii/view?usp=drivesdk</v>
      </c>
      <c r="D3401" s="12"/>
      <c r="E3401" s="11">
        <v>3439.0</v>
      </c>
      <c r="F3401" s="2"/>
    </row>
    <row r="3402" ht="1.5" customHeight="1">
      <c r="A3402" s="4" t="str">
        <f>IFERROR(__xludf.DUMMYFUNCTION("""COMPUTED_VALUE"""),"6. Snickers")</f>
        <v>6. Snickers</v>
      </c>
      <c r="B3402" s="4" t="str">
        <f>IFERROR(__xludf.DUMMYFUNCTION("""COMPUTED_VALUE"""),"6")</f>
        <v>6</v>
      </c>
      <c r="C3402" s="5" t="str">
        <f>IFERROR(__xludf.DUMMYFUNCTION("""COMPUTED_VALUE"""),"https://drive.google.com/file/d/1kq7ae6ouUky_YaZUty8_9ZgI4oUSv04m/view?usp=drivesdk")</f>
        <v>https://drive.google.com/file/d/1kq7ae6ouUky_YaZUty8_9ZgI4oUSv04m/view?usp=drivesdk</v>
      </c>
      <c r="D3402" s="12"/>
      <c r="E3402" s="11">
        <v>3440.0</v>
      </c>
      <c r="F3402" s="2"/>
    </row>
    <row r="3403" ht="1.5" customHeight="1">
      <c r="A3403" s="4" t="str">
        <f>IFERROR(__xludf.DUMMYFUNCTION("""COMPUTED_VALUE"""),"6. Snickers")</f>
        <v>6. Snickers</v>
      </c>
      <c r="B3403" s="4" t="str">
        <f>IFERROR(__xludf.DUMMYFUNCTION("""COMPUTED_VALUE"""),"6")</f>
        <v>6</v>
      </c>
      <c r="C3403" s="5" t="str">
        <f>IFERROR(__xludf.DUMMYFUNCTION("""COMPUTED_VALUE"""),"https://drive.google.com/file/d/1J5vMIIBw5aaZ1YFZQDMUz9YAAyObRGAL/view?usp=drivesdk")</f>
        <v>https://drive.google.com/file/d/1J5vMIIBw5aaZ1YFZQDMUz9YAAyObRGAL/view?usp=drivesdk</v>
      </c>
      <c r="D3403" s="12"/>
      <c r="E3403" s="11">
        <v>3441.0</v>
      </c>
      <c r="F3403" s="2"/>
    </row>
    <row r="3404" ht="1.5" customHeight="1">
      <c r="A3404" s="4" t="str">
        <f>IFERROR(__xludf.DUMMYFUNCTION("""COMPUTED_VALUE"""),"6. Snickers")</f>
        <v>6. Snickers</v>
      </c>
      <c r="B3404" s="4" t="str">
        <f>IFERROR(__xludf.DUMMYFUNCTION("""COMPUTED_VALUE"""),"6")</f>
        <v>6</v>
      </c>
      <c r="C3404" s="5" t="str">
        <f>IFERROR(__xludf.DUMMYFUNCTION("""COMPUTED_VALUE"""),"https://drive.google.com/file/d/17t_1KmMgw_Z7DkD1M97GVnofnUCsKMpW/view?usp=drivesdk")</f>
        <v>https://drive.google.com/file/d/17t_1KmMgw_Z7DkD1M97GVnofnUCsKMpW/view?usp=drivesdk</v>
      </c>
      <c r="D3404" s="12"/>
      <c r="E3404" s="11">
        <v>3442.0</v>
      </c>
      <c r="F3404" s="2"/>
    </row>
    <row r="3405" ht="1.5" customHeight="1">
      <c r="A3405" s="4" t="str">
        <f>IFERROR(__xludf.DUMMYFUNCTION("""COMPUTED_VALUE"""),"1. Microwave")</f>
        <v>1. Microwave</v>
      </c>
      <c r="B3405" s="4" t="str">
        <f>IFERROR(__xludf.DUMMYFUNCTION("""COMPUTED_VALUE"""),"1")</f>
        <v>1</v>
      </c>
      <c r="C3405" s="5" t="str">
        <f>IFERROR(__xludf.DUMMYFUNCTION("""COMPUTED_VALUE"""),"https://drive.google.com/file/d/1veXbIEZexonJwsztDGIQqp_TViVK15Vk/view?usp=drivesdk")</f>
        <v>https://drive.google.com/file/d/1veXbIEZexonJwsztDGIQqp_TViVK15Vk/view?usp=drivesdk</v>
      </c>
      <c r="D3405" s="12"/>
      <c r="E3405" s="11">
        <v>3443.0</v>
      </c>
      <c r="F3405" s="2"/>
    </row>
    <row r="3406" ht="1.5" customHeight="1">
      <c r="A3406" s="4" t="str">
        <f>IFERROR(__xludf.DUMMYFUNCTION("""COMPUTED_VALUE"""),"2. Twix")</f>
        <v>2. Twix</v>
      </c>
      <c r="B3406" s="4" t="str">
        <f>IFERROR(__xludf.DUMMYFUNCTION("""COMPUTED_VALUE"""),"2")</f>
        <v>2</v>
      </c>
      <c r="C3406" s="5" t="str">
        <f>IFERROR(__xludf.DUMMYFUNCTION("""COMPUTED_VALUE"""),"https://drive.google.com/file/d/1Y51ODyDGmnwAl2PLXYpB-V37DasBTNCf/view?usp=drivesdk")</f>
        <v>https://drive.google.com/file/d/1Y51ODyDGmnwAl2PLXYpB-V37DasBTNCf/view?usp=drivesdk</v>
      </c>
      <c r="D3406" s="12"/>
      <c r="E3406" s="11">
        <v>3444.0</v>
      </c>
      <c r="F3406" s="2"/>
    </row>
    <row r="3407" ht="1.5" customHeight="1">
      <c r="A3407" s="4" t="str">
        <f>IFERROR(__xludf.DUMMYFUNCTION("""COMPUTED_VALUE"""),"5. Eraser")</f>
        <v>5. Eraser</v>
      </c>
      <c r="B3407" s="4" t="str">
        <f>IFERROR(__xludf.DUMMYFUNCTION("""COMPUTED_VALUE"""),"5")</f>
        <v>5</v>
      </c>
      <c r="C3407" s="5" t="str">
        <f>IFERROR(__xludf.DUMMYFUNCTION("""COMPUTED_VALUE"""),"https://drive.google.com/file/d/1_Q-8OizVI7JqPmaL1LV67mJGsoBSoM_v/view?usp=drivesdk")</f>
        <v>https://drive.google.com/file/d/1_Q-8OizVI7JqPmaL1LV67mJGsoBSoM_v/view?usp=drivesdk</v>
      </c>
      <c r="D3407" s="12"/>
      <c r="E3407" s="11">
        <v>3445.0</v>
      </c>
      <c r="F3407" s="2"/>
    </row>
    <row r="3408" ht="1.5" customHeight="1">
      <c r="A3408" s="4" t="str">
        <f>IFERROR(__xludf.DUMMYFUNCTION("""COMPUTED_VALUE"""),"5. Eraser")</f>
        <v>5. Eraser</v>
      </c>
      <c r="B3408" s="4" t="str">
        <f>IFERROR(__xludf.DUMMYFUNCTION("""COMPUTED_VALUE"""),"5")</f>
        <v>5</v>
      </c>
      <c r="C3408" s="5" t="str">
        <f>IFERROR(__xludf.DUMMYFUNCTION("""COMPUTED_VALUE"""),"https://drive.google.com/file/d/1zNzNq8JTCGalmW1boK96Bu8qEBZS0Ihp/view?usp=drivesdk")</f>
        <v>https://drive.google.com/file/d/1zNzNq8JTCGalmW1boK96Bu8qEBZS0Ihp/view?usp=drivesdk</v>
      </c>
      <c r="D3408" s="12"/>
      <c r="E3408" s="11">
        <v>3446.0</v>
      </c>
      <c r="F3408" s="2"/>
    </row>
    <row r="3409" ht="1.5" customHeight="1">
      <c r="A3409" s="4" t="str">
        <f>IFERROR(__xludf.DUMMYFUNCTION("""COMPUTED_VALUE"""),"2. Twix")</f>
        <v>2. Twix</v>
      </c>
      <c r="B3409" s="4" t="str">
        <f>IFERROR(__xludf.DUMMYFUNCTION("""COMPUTED_VALUE"""),"2")</f>
        <v>2</v>
      </c>
      <c r="C3409" s="5" t="str">
        <f>IFERROR(__xludf.DUMMYFUNCTION("""COMPUTED_VALUE"""),"https://drive.google.com/file/d/1HiVxRqinI86FTlPfckTrX2clHOzGlKqn/view?usp=drivesdk")</f>
        <v>https://drive.google.com/file/d/1HiVxRqinI86FTlPfckTrX2clHOzGlKqn/view?usp=drivesdk</v>
      </c>
      <c r="D3409" s="12"/>
      <c r="E3409" s="11">
        <v>3447.0</v>
      </c>
      <c r="F3409" s="2"/>
    </row>
    <row r="3410" ht="1.5" customHeight="1">
      <c r="A3410" s="4" t="str">
        <f>IFERROR(__xludf.DUMMYFUNCTION("""COMPUTED_VALUE"""),"2. Twix")</f>
        <v>2. Twix</v>
      </c>
      <c r="B3410" s="4" t="str">
        <f>IFERROR(__xludf.DUMMYFUNCTION("""COMPUTED_VALUE"""),"2")</f>
        <v>2</v>
      </c>
      <c r="C3410" s="5" t="str">
        <f>IFERROR(__xludf.DUMMYFUNCTION("""COMPUTED_VALUE"""),"https://drive.google.com/file/d/1bn2TDEJNqe4Byq8DwB7XX5133RDFh2w7/view?usp=drivesdk")</f>
        <v>https://drive.google.com/file/d/1bn2TDEJNqe4Byq8DwB7XX5133RDFh2w7/view?usp=drivesdk</v>
      </c>
      <c r="D3410" s="12"/>
      <c r="E3410" s="11">
        <v>3448.0</v>
      </c>
      <c r="F3410" s="2"/>
    </row>
    <row r="3411" ht="1.5" customHeight="1">
      <c r="A3411" s="4" t="str">
        <f>IFERROR(__xludf.DUMMYFUNCTION("""COMPUTED_VALUE"""),"2. Twix")</f>
        <v>2. Twix</v>
      </c>
      <c r="B3411" s="4" t="str">
        <f>IFERROR(__xludf.DUMMYFUNCTION("""COMPUTED_VALUE"""),"2")</f>
        <v>2</v>
      </c>
      <c r="C3411" s="5" t="str">
        <f>IFERROR(__xludf.DUMMYFUNCTION("""COMPUTED_VALUE"""),"https://drive.google.com/file/d/1SYoWxCItwZdULEb6E-WHGMJqnyJNOovA/view?usp=drivesdk")</f>
        <v>https://drive.google.com/file/d/1SYoWxCItwZdULEb6E-WHGMJqnyJNOovA/view?usp=drivesdk</v>
      </c>
      <c r="D3411" s="12"/>
      <c r="E3411" s="11">
        <v>3449.0</v>
      </c>
      <c r="F3411" s="2"/>
    </row>
    <row r="3412" ht="1.5" customHeight="1">
      <c r="A3412" s="4" t="str">
        <f>IFERROR(__xludf.DUMMYFUNCTION("""COMPUTED_VALUE"""),"2. Twix")</f>
        <v>2. Twix</v>
      </c>
      <c r="B3412" s="4" t="str">
        <f>IFERROR(__xludf.DUMMYFUNCTION("""COMPUTED_VALUE"""),"2")</f>
        <v>2</v>
      </c>
      <c r="C3412" s="5" t="str">
        <f>IFERROR(__xludf.DUMMYFUNCTION("""COMPUTED_VALUE"""),"https://drive.google.com/file/d/1HHmmCK_nwi554bYUlm1HXcmU5eUdyn-f/view?usp=drivesdk")</f>
        <v>https://drive.google.com/file/d/1HHmmCK_nwi554bYUlm1HXcmU5eUdyn-f/view?usp=drivesdk</v>
      </c>
      <c r="D3412" s="12"/>
      <c r="E3412" s="11">
        <v>3450.0</v>
      </c>
      <c r="F3412" s="2"/>
    </row>
    <row r="3413" ht="1.5" customHeight="1">
      <c r="A3413" s="4" t="str">
        <f>IFERROR(__xludf.DUMMYFUNCTION("""COMPUTED_VALUE"""),"2. Twix")</f>
        <v>2. Twix</v>
      </c>
      <c r="B3413" s="4" t="str">
        <f>IFERROR(__xludf.DUMMYFUNCTION("""COMPUTED_VALUE"""),"2")</f>
        <v>2</v>
      </c>
      <c r="C3413" s="5" t="str">
        <f>IFERROR(__xludf.DUMMYFUNCTION("""COMPUTED_VALUE"""),"https://drive.google.com/file/d/1fWUz73IXs1Kx59nYscBMOgMxwHBtGotc/view?usp=drivesdk")</f>
        <v>https://drive.google.com/file/d/1fWUz73IXs1Kx59nYscBMOgMxwHBtGotc/view?usp=drivesdk</v>
      </c>
      <c r="D3413" s="12"/>
      <c r="E3413" s="11">
        <v>3451.0</v>
      </c>
      <c r="F3413" s="2"/>
    </row>
    <row r="3414" ht="1.5" customHeight="1">
      <c r="A3414" s="4" t="str">
        <f>IFERROR(__xludf.DUMMYFUNCTION("""COMPUTED_VALUE"""),"2. Twix")</f>
        <v>2. Twix</v>
      </c>
      <c r="B3414" s="4" t="str">
        <f>IFERROR(__xludf.DUMMYFUNCTION("""COMPUTED_VALUE"""),"2")</f>
        <v>2</v>
      </c>
      <c r="C3414" s="5" t="str">
        <f>IFERROR(__xludf.DUMMYFUNCTION("""COMPUTED_VALUE"""),"https://drive.google.com/file/d/1k601smTcNbKQRrgw1e4Yeot2L_blratp/view?usp=drivesdk")</f>
        <v>https://drive.google.com/file/d/1k601smTcNbKQRrgw1e4Yeot2L_blratp/view?usp=drivesdk</v>
      </c>
      <c r="D3414" s="12"/>
      <c r="E3414" s="11">
        <v>3452.0</v>
      </c>
      <c r="F3414" s="2"/>
    </row>
    <row r="3415" ht="1.5" customHeight="1">
      <c r="A3415" s="4" t="str">
        <f>IFERROR(__xludf.DUMMYFUNCTION("""COMPUTED_VALUE"""),"2. Twix")</f>
        <v>2. Twix</v>
      </c>
      <c r="B3415" s="4" t="str">
        <f>IFERROR(__xludf.DUMMYFUNCTION("""COMPUTED_VALUE"""),"2")</f>
        <v>2</v>
      </c>
      <c r="C3415" s="5" t="str">
        <f>IFERROR(__xludf.DUMMYFUNCTION("""COMPUTED_VALUE"""),"https://drive.google.com/file/d/19p0Gd5vGkMSqvdavAVcoNFbK7Lbzhn1Q/view?usp=drivesdk")</f>
        <v>https://drive.google.com/file/d/19p0Gd5vGkMSqvdavAVcoNFbK7Lbzhn1Q/view?usp=drivesdk</v>
      </c>
      <c r="D3415" s="12"/>
      <c r="E3415" s="11">
        <v>3453.0</v>
      </c>
      <c r="F3415" s="2"/>
    </row>
    <row r="3416" ht="1.5" customHeight="1">
      <c r="A3416" s="4" t="str">
        <f>IFERROR(__xludf.DUMMYFUNCTION("""COMPUTED_VALUE"""),"2. Twix")</f>
        <v>2. Twix</v>
      </c>
      <c r="B3416" s="4" t="str">
        <f>IFERROR(__xludf.DUMMYFUNCTION("""COMPUTED_VALUE"""),"2")</f>
        <v>2</v>
      </c>
      <c r="C3416" s="5" t="str">
        <f>IFERROR(__xludf.DUMMYFUNCTION("""COMPUTED_VALUE"""),"https://drive.google.com/file/d/1IrnJvi8EUu2VeSqAKFIy9Q7f-dlKP3GI/view?usp=drivesdk")</f>
        <v>https://drive.google.com/file/d/1IrnJvi8EUu2VeSqAKFIy9Q7f-dlKP3GI/view?usp=drivesdk</v>
      </c>
      <c r="D3416" s="12"/>
      <c r="E3416" s="11">
        <v>3454.0</v>
      </c>
      <c r="F3416" s="2"/>
    </row>
    <row r="3417" ht="1.5" customHeight="1">
      <c r="A3417" s="4" t="str">
        <f>IFERROR(__xludf.DUMMYFUNCTION("""COMPUTED_VALUE"""),"2. Twix")</f>
        <v>2. Twix</v>
      </c>
      <c r="B3417" s="4" t="str">
        <f>IFERROR(__xludf.DUMMYFUNCTION("""COMPUTED_VALUE"""),"2")</f>
        <v>2</v>
      </c>
      <c r="C3417" s="5" t="str">
        <f>IFERROR(__xludf.DUMMYFUNCTION("""COMPUTED_VALUE"""),"https://drive.google.com/file/d/1JpR6FmvY4_vH9PgEASXEsPhenByoUqsB/view?usp=drivesdk")</f>
        <v>https://drive.google.com/file/d/1JpR6FmvY4_vH9PgEASXEsPhenByoUqsB/view?usp=drivesdk</v>
      </c>
      <c r="D3417" s="12"/>
      <c r="E3417" s="11">
        <v>3455.0</v>
      </c>
      <c r="F3417" s="2"/>
    </row>
    <row r="3418" ht="1.5" customHeight="1">
      <c r="A3418" s="4" t="str">
        <f>IFERROR(__xludf.DUMMYFUNCTION("""COMPUTED_VALUE"""),"2. Twix")</f>
        <v>2. Twix</v>
      </c>
      <c r="B3418" s="4" t="str">
        <f>IFERROR(__xludf.DUMMYFUNCTION("""COMPUTED_VALUE"""),"2")</f>
        <v>2</v>
      </c>
      <c r="C3418" s="5" t="str">
        <f>IFERROR(__xludf.DUMMYFUNCTION("""COMPUTED_VALUE"""),"https://drive.google.com/file/d/11svDGaJp1ZAfheajvRXvFAd4XlfpbNok/view?usp=drivesdk")</f>
        <v>https://drive.google.com/file/d/11svDGaJp1ZAfheajvRXvFAd4XlfpbNok/view?usp=drivesdk</v>
      </c>
      <c r="D3418" s="12"/>
      <c r="E3418" s="11">
        <v>3456.0</v>
      </c>
      <c r="F3418" s="2"/>
    </row>
    <row r="3419" ht="1.5" customHeight="1">
      <c r="A3419" s="4" t="str">
        <f>IFERROR(__xludf.DUMMYFUNCTION("""COMPUTED_VALUE"""),"2. Twix")</f>
        <v>2. Twix</v>
      </c>
      <c r="B3419" s="4" t="str">
        <f>IFERROR(__xludf.DUMMYFUNCTION("""COMPUTED_VALUE"""),"2")</f>
        <v>2</v>
      </c>
      <c r="C3419" s="5" t="str">
        <f>IFERROR(__xludf.DUMMYFUNCTION("""COMPUTED_VALUE"""),"https://drive.google.com/file/d/1BUergYR_0ubhM72BAvDr-1mjb_zY47vP/view?usp=drivesdk")</f>
        <v>https://drive.google.com/file/d/1BUergYR_0ubhM72BAvDr-1mjb_zY47vP/view?usp=drivesdk</v>
      </c>
      <c r="D3419" s="12"/>
      <c r="E3419" s="11">
        <v>3457.0</v>
      </c>
      <c r="F3419" s="2"/>
    </row>
    <row r="3420" ht="1.5" customHeight="1">
      <c r="A3420" s="4" t="str">
        <f>IFERROR(__xludf.DUMMYFUNCTION("""COMPUTED_VALUE"""),"2. Twix")</f>
        <v>2. Twix</v>
      </c>
      <c r="B3420" s="4" t="str">
        <f>IFERROR(__xludf.DUMMYFUNCTION("""COMPUTED_VALUE"""),"2")</f>
        <v>2</v>
      </c>
      <c r="C3420" s="5" t="str">
        <f>IFERROR(__xludf.DUMMYFUNCTION("""COMPUTED_VALUE"""),"https://drive.google.com/file/d/11rbJMyFBv-SHtlFEQUwk4L8slGn4bW91/view?usp=drivesdk")</f>
        <v>https://drive.google.com/file/d/11rbJMyFBv-SHtlFEQUwk4L8slGn4bW91/view?usp=drivesdk</v>
      </c>
      <c r="D3420" s="12"/>
      <c r="E3420" s="11">
        <v>3458.0</v>
      </c>
      <c r="F3420" s="2"/>
    </row>
    <row r="3421" ht="1.5" customHeight="1">
      <c r="A3421" s="4" t="str">
        <f>IFERROR(__xludf.DUMMYFUNCTION("""COMPUTED_VALUE"""),"2. Twix")</f>
        <v>2. Twix</v>
      </c>
      <c r="B3421" s="4" t="str">
        <f>IFERROR(__xludf.DUMMYFUNCTION("""COMPUTED_VALUE"""),"2")</f>
        <v>2</v>
      </c>
      <c r="C3421" s="5" t="str">
        <f>IFERROR(__xludf.DUMMYFUNCTION("""COMPUTED_VALUE"""),"https://drive.google.com/file/d/1rE4kkSVmj3ebnzwTekXzK-0CkuTn1O7j/view?usp=drivesdk")</f>
        <v>https://drive.google.com/file/d/1rE4kkSVmj3ebnzwTekXzK-0CkuTn1O7j/view?usp=drivesdk</v>
      </c>
      <c r="D3421" s="12"/>
      <c r="E3421" s="11">
        <v>3459.0</v>
      </c>
      <c r="F3421" s="2"/>
    </row>
    <row r="3422" ht="1.5" customHeight="1">
      <c r="A3422" s="4" t="str">
        <f>IFERROR(__xludf.DUMMYFUNCTION("""COMPUTED_VALUE"""),"4. Eggs")</f>
        <v>4. Eggs</v>
      </c>
      <c r="B3422" s="4" t="str">
        <f>IFERROR(__xludf.DUMMYFUNCTION("""COMPUTED_VALUE"""),"4")</f>
        <v>4</v>
      </c>
      <c r="C3422" s="5" t="str">
        <f>IFERROR(__xludf.DUMMYFUNCTION("""COMPUTED_VALUE"""),"https://drive.google.com/file/d/1nP8t821BIYin8o_6VUjAvno9L-2KBIKH/view?usp=drivesdk")</f>
        <v>https://drive.google.com/file/d/1nP8t821BIYin8o_6VUjAvno9L-2KBIKH/view?usp=drivesdk</v>
      </c>
      <c r="D3422" s="12"/>
      <c r="E3422" s="11">
        <v>3460.0</v>
      </c>
      <c r="F3422" s="2"/>
    </row>
    <row r="3423" ht="1.5" customHeight="1">
      <c r="A3423" s="4" t="str">
        <f>IFERROR(__xludf.DUMMYFUNCTION("""COMPUTED_VALUE"""),"5. Eraser")</f>
        <v>5. Eraser</v>
      </c>
      <c r="B3423" s="4" t="str">
        <f>IFERROR(__xludf.DUMMYFUNCTION("""COMPUTED_VALUE"""),"5")</f>
        <v>5</v>
      </c>
      <c r="C3423" s="5" t="str">
        <f>IFERROR(__xludf.DUMMYFUNCTION("""COMPUTED_VALUE"""),"https://drive.google.com/file/d/1YfnhMh8PHPfL3cefYzotUuAN-7O0p08C/view?usp=drivesdk")</f>
        <v>https://drive.google.com/file/d/1YfnhMh8PHPfL3cefYzotUuAN-7O0p08C/view?usp=drivesdk</v>
      </c>
      <c r="D3423" s="12"/>
      <c r="E3423" s="11">
        <v>3461.0</v>
      </c>
      <c r="F3423" s="2"/>
    </row>
    <row r="3424" ht="1.5" customHeight="1">
      <c r="A3424" s="4" t="str">
        <f>IFERROR(__xludf.DUMMYFUNCTION("""COMPUTED_VALUE"""),"2. Twix")</f>
        <v>2. Twix</v>
      </c>
      <c r="B3424" s="4" t="str">
        <f>IFERROR(__xludf.DUMMYFUNCTION("""COMPUTED_VALUE"""),"2")</f>
        <v>2</v>
      </c>
      <c r="C3424" s="5" t="str">
        <f>IFERROR(__xludf.DUMMYFUNCTION("""COMPUTED_VALUE"""),"https://drive.google.com/file/d/1bkgyztYYGhdFzORG2LH5gBoVkDzX36pb/view?usp=drivesdk")</f>
        <v>https://drive.google.com/file/d/1bkgyztYYGhdFzORG2LH5gBoVkDzX36pb/view?usp=drivesdk</v>
      </c>
      <c r="D3424" s="12"/>
      <c r="E3424" s="11">
        <v>3462.0</v>
      </c>
      <c r="F3424" s="2"/>
    </row>
    <row r="3425" ht="1.5" customHeight="1">
      <c r="A3425" s="4" t="str">
        <f>IFERROR(__xludf.DUMMYFUNCTION("""COMPUTED_VALUE"""),"5. Eraser, 4. Eggs")</f>
        <v>5. Eraser, 4. Eggs</v>
      </c>
      <c r="B3425" s="4" t="str">
        <f>IFERROR(__xludf.DUMMYFUNCTION("""COMPUTED_VALUE"""),"5, 4")</f>
        <v>5, 4</v>
      </c>
      <c r="C3425" s="5" t="str">
        <f>IFERROR(__xludf.DUMMYFUNCTION("""COMPUTED_VALUE"""),"https://drive.google.com/file/d/1uv6h3TzkJbu7lXbyOm9uYCxRHUpGpoMR/view?usp=drivesdk")</f>
        <v>https://drive.google.com/file/d/1uv6h3TzkJbu7lXbyOm9uYCxRHUpGpoMR/view?usp=drivesdk</v>
      </c>
      <c r="D3425" s="12"/>
      <c r="E3425" s="11">
        <v>3463.0</v>
      </c>
      <c r="F3425" s="2"/>
    </row>
    <row r="3426" ht="1.5" customHeight="1">
      <c r="A3426" s="4" t="str">
        <f>IFERROR(__xludf.DUMMYFUNCTION("""COMPUTED_VALUE"""),"5. Eraser, 4. Eggs")</f>
        <v>5. Eraser, 4. Eggs</v>
      </c>
      <c r="B3426" s="4" t="str">
        <f>IFERROR(__xludf.DUMMYFUNCTION("""COMPUTED_VALUE"""),"5, 4")</f>
        <v>5, 4</v>
      </c>
      <c r="C3426" s="5" t="str">
        <f>IFERROR(__xludf.DUMMYFUNCTION("""COMPUTED_VALUE"""),"https://drive.google.com/file/d/15DOTb0gABxVZbemTZhUg4HRhqz3BkRcc/view?usp=drivesdk")</f>
        <v>https://drive.google.com/file/d/15DOTb0gABxVZbemTZhUg4HRhqz3BkRcc/view?usp=drivesdk</v>
      </c>
      <c r="D3426" s="12"/>
      <c r="E3426" s="11">
        <v>3464.0</v>
      </c>
      <c r="F3426" s="2"/>
    </row>
    <row r="3427" ht="1.5" customHeight="1">
      <c r="A3427" s="4" t="str">
        <f>IFERROR(__xludf.DUMMYFUNCTION("""COMPUTED_VALUE"""),"4. Eggs")</f>
        <v>4. Eggs</v>
      </c>
      <c r="B3427" s="4" t="str">
        <f>IFERROR(__xludf.DUMMYFUNCTION("""COMPUTED_VALUE"""),"4")</f>
        <v>4</v>
      </c>
      <c r="C3427" s="5" t="str">
        <f>IFERROR(__xludf.DUMMYFUNCTION("""COMPUTED_VALUE"""),"https://drive.google.com/file/d/1UzqvaoA2lEGOGe23Dcrlg1H3fDWz6BpB/view?usp=drivesdk")</f>
        <v>https://drive.google.com/file/d/1UzqvaoA2lEGOGe23Dcrlg1H3fDWz6BpB/view?usp=drivesdk</v>
      </c>
      <c r="D3427" s="12"/>
      <c r="E3427" s="11">
        <v>3465.0</v>
      </c>
      <c r="F3427" s="2"/>
    </row>
    <row r="3428" ht="1.5" customHeight="1">
      <c r="A3428" s="4" t="str">
        <f>IFERROR(__xludf.DUMMYFUNCTION("""COMPUTED_VALUE"""),"4. Eggs")</f>
        <v>4. Eggs</v>
      </c>
      <c r="B3428" s="4" t="str">
        <f>IFERROR(__xludf.DUMMYFUNCTION("""COMPUTED_VALUE"""),"4")</f>
        <v>4</v>
      </c>
      <c r="C3428" s="5" t="str">
        <f>IFERROR(__xludf.DUMMYFUNCTION("""COMPUTED_VALUE"""),"https://drive.google.com/file/d/1Uoch_DabJzLu1tQdXM0W5HBnumRtm618/view?usp=drivesdk")</f>
        <v>https://drive.google.com/file/d/1Uoch_DabJzLu1tQdXM0W5HBnumRtm618/view?usp=drivesdk</v>
      </c>
      <c r="D3428" s="12"/>
      <c r="E3428" s="11">
        <v>3466.0</v>
      </c>
      <c r="F3428" s="2"/>
    </row>
    <row r="3429" ht="1.5" customHeight="1">
      <c r="A3429" s="4" t="str">
        <f>IFERROR(__xludf.DUMMYFUNCTION("""COMPUTED_VALUE"""),"5. Eraser")</f>
        <v>5. Eraser</v>
      </c>
      <c r="B3429" s="4" t="str">
        <f>IFERROR(__xludf.DUMMYFUNCTION("""COMPUTED_VALUE"""),"5")</f>
        <v>5</v>
      </c>
      <c r="C3429" s="5" t="str">
        <f>IFERROR(__xludf.DUMMYFUNCTION("""COMPUTED_VALUE"""),"https://drive.google.com/file/d/1WZBLwL2X6YNwTweTKa6pJC5n1pQv1bUw/view?usp=drivesdk")</f>
        <v>https://drive.google.com/file/d/1WZBLwL2X6YNwTweTKa6pJC5n1pQv1bUw/view?usp=drivesdk</v>
      </c>
      <c r="D3429" s="12"/>
      <c r="E3429" s="11">
        <v>3467.0</v>
      </c>
      <c r="F3429" s="2"/>
    </row>
    <row r="3430" ht="1.5" customHeight="1">
      <c r="A3430" s="4" t="str">
        <f>IFERROR(__xludf.DUMMYFUNCTION("""COMPUTED_VALUE"""),"5. Eraser")</f>
        <v>5. Eraser</v>
      </c>
      <c r="B3430" s="4" t="str">
        <f>IFERROR(__xludf.DUMMYFUNCTION("""COMPUTED_VALUE"""),"5")</f>
        <v>5</v>
      </c>
      <c r="C3430" s="5" t="str">
        <f>IFERROR(__xludf.DUMMYFUNCTION("""COMPUTED_VALUE"""),"https://drive.google.com/file/d/1WFjZV6CWB9aWNScR19vqdcTy2EPSbgwX/view?usp=drivesdk")</f>
        <v>https://drive.google.com/file/d/1WFjZV6CWB9aWNScR19vqdcTy2EPSbgwX/view?usp=drivesdk</v>
      </c>
      <c r="D3430" s="12"/>
      <c r="E3430" s="11">
        <v>3468.0</v>
      </c>
      <c r="F3430" s="2"/>
    </row>
    <row r="3431" ht="1.5" customHeight="1">
      <c r="A3431" s="4" t="str">
        <f>IFERROR(__xludf.DUMMYFUNCTION("""COMPUTED_VALUE"""),"4. Eggs")</f>
        <v>4. Eggs</v>
      </c>
      <c r="B3431" s="4" t="str">
        <f>IFERROR(__xludf.DUMMYFUNCTION("""COMPUTED_VALUE"""),"4")</f>
        <v>4</v>
      </c>
      <c r="C3431" s="5" t="str">
        <f>IFERROR(__xludf.DUMMYFUNCTION("""COMPUTED_VALUE"""),"https://drive.google.com/file/d/18s_XmS_V1m69m4eGWHZeT8tnMmmBhRkA/view?usp=drivesdk")</f>
        <v>https://drive.google.com/file/d/18s_XmS_V1m69m4eGWHZeT8tnMmmBhRkA/view?usp=drivesdk</v>
      </c>
      <c r="D3431" s="12"/>
      <c r="E3431" s="11">
        <v>3469.0</v>
      </c>
      <c r="F3431" s="2"/>
    </row>
    <row r="3432" ht="1.5" customHeight="1">
      <c r="A3432" s="4" t="str">
        <f>IFERROR(__xludf.DUMMYFUNCTION("""COMPUTED_VALUE"""),"5. Eraser")</f>
        <v>5. Eraser</v>
      </c>
      <c r="B3432" s="4" t="str">
        <f>IFERROR(__xludf.DUMMYFUNCTION("""COMPUTED_VALUE"""),"5")</f>
        <v>5</v>
      </c>
      <c r="C3432" s="5" t="str">
        <f>IFERROR(__xludf.DUMMYFUNCTION("""COMPUTED_VALUE"""),"https://drive.google.com/file/d/15X3SOvQla4A6uyOdk8rU8GIqlqiM7hE_/view?usp=drivesdk")</f>
        <v>https://drive.google.com/file/d/15X3SOvQla4A6uyOdk8rU8GIqlqiM7hE_/view?usp=drivesdk</v>
      </c>
      <c r="D3432" s="12"/>
      <c r="E3432" s="11">
        <v>3470.0</v>
      </c>
      <c r="F3432" s="2"/>
    </row>
    <row r="3433" ht="1.5" customHeight="1">
      <c r="A3433" s="4" t="str">
        <f>IFERROR(__xludf.DUMMYFUNCTION("""COMPUTED_VALUE"""),"2. Twix")</f>
        <v>2. Twix</v>
      </c>
      <c r="B3433" s="4" t="str">
        <f>IFERROR(__xludf.DUMMYFUNCTION("""COMPUTED_VALUE"""),"2")</f>
        <v>2</v>
      </c>
      <c r="C3433" s="5" t="str">
        <f>IFERROR(__xludf.DUMMYFUNCTION("""COMPUTED_VALUE"""),"https://drive.google.com/file/d/1ebxSFP8qbNAkMFhbLN4gBUazDyQFXC9w/view?usp=drivesdk")</f>
        <v>https://drive.google.com/file/d/1ebxSFP8qbNAkMFhbLN4gBUazDyQFXC9w/view?usp=drivesdk</v>
      </c>
      <c r="D3433" s="12"/>
      <c r="E3433" s="11">
        <v>3471.0</v>
      </c>
      <c r="F3433" s="2"/>
    </row>
    <row r="3434" ht="1.5" customHeight="1">
      <c r="A3434" s="4" t="str">
        <f>IFERROR(__xludf.DUMMYFUNCTION("""COMPUTED_VALUE"""),"2. Twix")</f>
        <v>2. Twix</v>
      </c>
      <c r="B3434" s="4" t="str">
        <f>IFERROR(__xludf.DUMMYFUNCTION("""COMPUTED_VALUE"""),"2")</f>
        <v>2</v>
      </c>
      <c r="C3434" s="5" t="str">
        <f>IFERROR(__xludf.DUMMYFUNCTION("""COMPUTED_VALUE"""),"https://drive.google.com/file/d/1B3aGivq5qypDT5eYJnUlIH4T3vP1lQsH/view?usp=drivesdk")</f>
        <v>https://drive.google.com/file/d/1B3aGivq5qypDT5eYJnUlIH4T3vP1lQsH/view?usp=drivesdk</v>
      </c>
      <c r="D3434" s="12"/>
      <c r="E3434" s="11">
        <v>3472.0</v>
      </c>
      <c r="F3434" s="2"/>
    </row>
    <row r="3435" ht="1.5" customHeight="1">
      <c r="A3435" s="4" t="str">
        <f>IFERROR(__xludf.DUMMYFUNCTION("""COMPUTED_VALUE"""),"2. Twix")</f>
        <v>2. Twix</v>
      </c>
      <c r="B3435" s="4" t="str">
        <f>IFERROR(__xludf.DUMMYFUNCTION("""COMPUTED_VALUE"""),"2")</f>
        <v>2</v>
      </c>
      <c r="C3435" s="5" t="str">
        <f>IFERROR(__xludf.DUMMYFUNCTION("""COMPUTED_VALUE"""),"https://drive.google.com/file/d/13HzKOkVmkT0kfiZPPhftI3EbADZAZOog/view?usp=drivesdk")</f>
        <v>https://drive.google.com/file/d/13HzKOkVmkT0kfiZPPhftI3EbADZAZOog/view?usp=drivesdk</v>
      </c>
      <c r="D3435" s="12"/>
      <c r="E3435" s="11">
        <v>3473.0</v>
      </c>
      <c r="F3435" s="2"/>
    </row>
    <row r="3436" ht="1.5" customHeight="1">
      <c r="A3436" s="4" t="str">
        <f>IFERROR(__xludf.DUMMYFUNCTION("""COMPUTED_VALUE"""),"73. Coronavirus")</f>
        <v>73. Coronavirus</v>
      </c>
      <c r="B3436" s="4" t="str">
        <f>IFERROR(__xludf.DUMMYFUNCTION("""COMPUTED_VALUE"""),"73")</f>
        <v>73</v>
      </c>
      <c r="C3436" s="5" t="str">
        <f>IFERROR(__xludf.DUMMYFUNCTION("""COMPUTED_VALUE"""),"https://drive.google.com/file/d/1RyXnBn_XiIKPGrvUN3EX6iwAD1QOOoup/view?usp=drivesdk")</f>
        <v>https://drive.google.com/file/d/1RyXnBn_XiIKPGrvUN3EX6iwAD1QOOoup/view?usp=drivesdk</v>
      </c>
      <c r="D3436" s="12"/>
      <c r="E3436" s="11">
        <v>3474.0</v>
      </c>
      <c r="F3436" s="2"/>
    </row>
    <row r="3437" ht="1.5" customHeight="1">
      <c r="A3437" s="4" t="str">
        <f>IFERROR(__xludf.DUMMYFUNCTION("""COMPUTED_VALUE"""),"73. Coronavirus")</f>
        <v>73. Coronavirus</v>
      </c>
      <c r="B3437" s="4" t="str">
        <f>IFERROR(__xludf.DUMMYFUNCTION("""COMPUTED_VALUE"""),"73")</f>
        <v>73</v>
      </c>
      <c r="C3437" s="5" t="str">
        <f>IFERROR(__xludf.DUMMYFUNCTION("""COMPUTED_VALUE"""),"https://drive.google.com/file/d/1LvBNimLTVFey_9IZ-I4K_HHT5y7dsm98/view?usp=drivesdk")</f>
        <v>https://drive.google.com/file/d/1LvBNimLTVFey_9IZ-I4K_HHT5y7dsm98/view?usp=drivesdk</v>
      </c>
      <c r="D3437" s="12"/>
      <c r="E3437" s="11">
        <v>3475.0</v>
      </c>
      <c r="F3437" s="2"/>
    </row>
    <row r="3438" ht="1.5" customHeight="1">
      <c r="A3438" s="4" t="str">
        <f>IFERROR(__xludf.DUMMYFUNCTION("""COMPUTED_VALUE"""),"73. Coronavirus")</f>
        <v>73. Coronavirus</v>
      </c>
      <c r="B3438" s="4" t="str">
        <f>IFERROR(__xludf.DUMMYFUNCTION("""COMPUTED_VALUE"""),"73")</f>
        <v>73</v>
      </c>
      <c r="C3438" s="5" t="str">
        <f>IFERROR(__xludf.DUMMYFUNCTION("""COMPUTED_VALUE"""),"https://drive.google.com/file/d/1OrhbFrHPK9cz5B53II78a8QFqliCiA73/view?usp=drivesdk")</f>
        <v>https://drive.google.com/file/d/1OrhbFrHPK9cz5B53II78a8QFqliCiA73/view?usp=drivesdk</v>
      </c>
      <c r="D3438" s="12"/>
      <c r="E3438" s="11">
        <v>3476.0</v>
      </c>
      <c r="F3438" s="2"/>
    </row>
    <row r="3439" ht="1.5" customHeight="1">
      <c r="A3439" s="4" t="str">
        <f>IFERROR(__xludf.DUMMYFUNCTION("""COMPUTED_VALUE"""),"73. Coronavirus")</f>
        <v>73. Coronavirus</v>
      </c>
      <c r="B3439" s="4" t="str">
        <f>IFERROR(__xludf.DUMMYFUNCTION("""COMPUTED_VALUE"""),"73")</f>
        <v>73</v>
      </c>
      <c r="C3439" s="5" t="str">
        <f>IFERROR(__xludf.DUMMYFUNCTION("""COMPUTED_VALUE"""),"https://drive.google.com/file/d/1q3rT0bRsfZu2SlKLnJapwaSqwQ2dhNlj/view?usp=drivesdk")</f>
        <v>https://drive.google.com/file/d/1q3rT0bRsfZu2SlKLnJapwaSqwQ2dhNlj/view?usp=drivesdk</v>
      </c>
      <c r="D3439" s="12"/>
      <c r="E3439" s="11">
        <v>3477.0</v>
      </c>
      <c r="F3439" s="2"/>
    </row>
    <row r="3440" ht="1.5" customHeight="1">
      <c r="A3440" s="4" t="str">
        <f>IFERROR(__xludf.DUMMYFUNCTION("""COMPUTED_VALUE"""),"73. Coronavirus")</f>
        <v>73. Coronavirus</v>
      </c>
      <c r="B3440" s="4" t="str">
        <f>IFERROR(__xludf.DUMMYFUNCTION("""COMPUTED_VALUE"""),"73")</f>
        <v>73</v>
      </c>
      <c r="C3440" s="5" t="str">
        <f>IFERROR(__xludf.DUMMYFUNCTION("""COMPUTED_VALUE"""),"https://drive.google.com/file/d/1ZqQZY-c-rbuLqucSI8P4Ugg-VBztCTcf/view?usp=drivesdk")</f>
        <v>https://drive.google.com/file/d/1ZqQZY-c-rbuLqucSI8P4Ugg-VBztCTcf/view?usp=drivesdk</v>
      </c>
      <c r="D3440" s="12"/>
      <c r="E3440" s="11">
        <v>3478.0</v>
      </c>
      <c r="F3440" s="2"/>
    </row>
    <row r="3441" ht="1.5" customHeight="1">
      <c r="A3441" s="4" t="str">
        <f>IFERROR(__xludf.DUMMYFUNCTION("""COMPUTED_VALUE"""),"73. Coronavirus")</f>
        <v>73. Coronavirus</v>
      </c>
      <c r="B3441" s="4" t="str">
        <f>IFERROR(__xludf.DUMMYFUNCTION("""COMPUTED_VALUE"""),"73")</f>
        <v>73</v>
      </c>
      <c r="C3441" s="5" t="str">
        <f>IFERROR(__xludf.DUMMYFUNCTION("""COMPUTED_VALUE"""),"https://drive.google.com/file/d/1FkP_XWbI5yqLGIeqHCLWsSMVib1uz8cs/view?usp=drivesdk")</f>
        <v>https://drive.google.com/file/d/1FkP_XWbI5yqLGIeqHCLWsSMVib1uz8cs/view?usp=drivesdk</v>
      </c>
      <c r="D3441" s="12"/>
      <c r="E3441" s="11">
        <v>3479.0</v>
      </c>
      <c r="F3441" s="2"/>
    </row>
    <row r="3442" ht="1.5" customHeight="1">
      <c r="A3442" s="4" t="str">
        <f>IFERROR(__xludf.DUMMYFUNCTION("""COMPUTED_VALUE"""),"73. Coronavirus")</f>
        <v>73. Coronavirus</v>
      </c>
      <c r="B3442" s="4" t="str">
        <f>IFERROR(__xludf.DUMMYFUNCTION("""COMPUTED_VALUE"""),"73")</f>
        <v>73</v>
      </c>
      <c r="C3442" s="5" t="str">
        <f>IFERROR(__xludf.DUMMYFUNCTION("""COMPUTED_VALUE"""),"https://drive.google.com/file/d/1Jn7khLCA1pxVhAtnQHNuVDrYsz4o1EGg/view?usp=drivesdk")</f>
        <v>https://drive.google.com/file/d/1Jn7khLCA1pxVhAtnQHNuVDrYsz4o1EGg/view?usp=drivesdk</v>
      </c>
      <c r="D3442" s="12"/>
      <c r="E3442" s="11">
        <v>3480.0</v>
      </c>
      <c r="F3442" s="2"/>
    </row>
    <row r="3443" ht="1.5" customHeight="1">
      <c r="A3443" s="4" t="str">
        <f>IFERROR(__xludf.DUMMYFUNCTION("""COMPUTED_VALUE"""),"73. Coronavirus")</f>
        <v>73. Coronavirus</v>
      </c>
      <c r="B3443" s="4" t="str">
        <f>IFERROR(__xludf.DUMMYFUNCTION("""COMPUTED_VALUE"""),"73")</f>
        <v>73</v>
      </c>
      <c r="C3443" s="5" t="str">
        <f>IFERROR(__xludf.DUMMYFUNCTION("""COMPUTED_VALUE"""),"https://drive.google.com/file/d/1i--H7YoT38_-rOL5AZcfrsWDIBxwMkn-/view?usp=drivesdk")</f>
        <v>https://drive.google.com/file/d/1i--H7YoT38_-rOL5AZcfrsWDIBxwMkn-/view?usp=drivesdk</v>
      </c>
      <c r="D3443" s="12"/>
      <c r="E3443" s="11">
        <v>3481.0</v>
      </c>
      <c r="F3443" s="2"/>
    </row>
    <row r="3444" ht="1.5" customHeight="1">
      <c r="A3444" s="4" t="str">
        <f>IFERROR(__xludf.DUMMYFUNCTION("""COMPUTED_VALUE"""),"73. Coronavirus")</f>
        <v>73. Coronavirus</v>
      </c>
      <c r="B3444" s="4" t="str">
        <f>IFERROR(__xludf.DUMMYFUNCTION("""COMPUTED_VALUE"""),"73")</f>
        <v>73</v>
      </c>
      <c r="C3444" s="5" t="str">
        <f>IFERROR(__xludf.DUMMYFUNCTION("""COMPUTED_VALUE"""),"https://drive.google.com/file/d/1Z68Bgrow8f_M5qeZxSY4E8g6gm13O_BZ/view?usp=drivesdk")</f>
        <v>https://drive.google.com/file/d/1Z68Bgrow8f_M5qeZxSY4E8g6gm13O_BZ/view?usp=drivesdk</v>
      </c>
      <c r="D3444" s="12"/>
      <c r="E3444" s="11">
        <v>3482.0</v>
      </c>
      <c r="F3444" s="2"/>
    </row>
    <row r="3445" ht="1.5" customHeight="1">
      <c r="A3445" s="4" t="str">
        <f>IFERROR(__xludf.DUMMYFUNCTION("""COMPUTED_VALUE"""),"73. Coronavirus")</f>
        <v>73. Coronavirus</v>
      </c>
      <c r="B3445" s="4" t="str">
        <f>IFERROR(__xludf.DUMMYFUNCTION("""COMPUTED_VALUE"""),"73")</f>
        <v>73</v>
      </c>
      <c r="C3445" s="5" t="str">
        <f>IFERROR(__xludf.DUMMYFUNCTION("""COMPUTED_VALUE"""),"https://drive.google.com/file/d/1lzAPxkEp2WUlecC81CAQN6CpvDAITMQx/view?usp=drivesdk")</f>
        <v>https://drive.google.com/file/d/1lzAPxkEp2WUlecC81CAQN6CpvDAITMQx/view?usp=drivesdk</v>
      </c>
      <c r="D3445" s="12"/>
      <c r="E3445" s="11">
        <v>3483.0</v>
      </c>
      <c r="F3445" s="2"/>
    </row>
    <row r="3446" ht="1.5" customHeight="1">
      <c r="A3446" s="4" t="str">
        <f>IFERROR(__xludf.DUMMYFUNCTION("""COMPUTED_VALUE"""),"67. Waffles")</f>
        <v>67. Waffles</v>
      </c>
      <c r="B3446" s="4" t="str">
        <f>IFERROR(__xludf.DUMMYFUNCTION("""COMPUTED_VALUE"""),"67")</f>
        <v>67</v>
      </c>
      <c r="C3446" s="5" t="str">
        <f>IFERROR(__xludf.DUMMYFUNCTION("""COMPUTED_VALUE"""),"https://drive.google.com/file/d/1M5hbzCB6xgOMw8WG0wcYITdnp_qe7ouJ/view?usp=drivesdk")</f>
        <v>https://drive.google.com/file/d/1M5hbzCB6xgOMw8WG0wcYITdnp_qe7ouJ/view?usp=drivesdk</v>
      </c>
      <c r="D3446" s="12"/>
      <c r="E3446" s="11">
        <v>3484.0</v>
      </c>
      <c r="F3446" s="2"/>
    </row>
    <row r="3447" ht="1.5" customHeight="1">
      <c r="A3447" s="4" t="str">
        <f>IFERROR(__xludf.DUMMYFUNCTION("""COMPUTED_VALUE"""),"67. Waffles")</f>
        <v>67. Waffles</v>
      </c>
      <c r="B3447" s="4" t="str">
        <f>IFERROR(__xludf.DUMMYFUNCTION("""COMPUTED_VALUE"""),"67")</f>
        <v>67</v>
      </c>
      <c r="C3447" s="5" t="str">
        <f>IFERROR(__xludf.DUMMYFUNCTION("""COMPUTED_VALUE"""),"https://drive.google.com/file/d/1YlHynL9VEtTRyVZydZFqZfszdvej6onx/view?usp=drivesdk")</f>
        <v>https://drive.google.com/file/d/1YlHynL9VEtTRyVZydZFqZfszdvej6onx/view?usp=drivesdk</v>
      </c>
      <c r="D3447" s="12"/>
      <c r="E3447" s="11">
        <v>3485.0</v>
      </c>
      <c r="F3447" s="2"/>
    </row>
    <row r="3448" ht="1.5" customHeight="1">
      <c r="A3448" s="4" t="str">
        <f>IFERROR(__xludf.DUMMYFUNCTION("""COMPUTED_VALUE"""),"67. Waffles")</f>
        <v>67. Waffles</v>
      </c>
      <c r="B3448" s="4" t="str">
        <f>IFERROR(__xludf.DUMMYFUNCTION("""COMPUTED_VALUE"""),"67")</f>
        <v>67</v>
      </c>
      <c r="C3448" s="5" t="str">
        <f>IFERROR(__xludf.DUMMYFUNCTION("""COMPUTED_VALUE"""),"https://drive.google.com/file/d/1L7rznUYLTMUr6TRkp1WamaRvD2BmmF6l/view?usp=drivesdk")</f>
        <v>https://drive.google.com/file/d/1L7rznUYLTMUr6TRkp1WamaRvD2BmmF6l/view?usp=drivesdk</v>
      </c>
      <c r="D3448" s="12"/>
      <c r="E3448" s="11">
        <v>3486.0</v>
      </c>
      <c r="F3448" s="2"/>
    </row>
    <row r="3449" ht="1.5" customHeight="1">
      <c r="A3449" s="4" t="str">
        <f>IFERROR(__xludf.DUMMYFUNCTION("""COMPUTED_VALUE"""),"58. Eden")</f>
        <v>58. Eden</v>
      </c>
      <c r="B3449" s="4" t="str">
        <f>IFERROR(__xludf.DUMMYFUNCTION("""COMPUTED_VALUE"""),"58")</f>
        <v>58</v>
      </c>
      <c r="C3449" s="5" t="str">
        <f>IFERROR(__xludf.DUMMYFUNCTION("""COMPUTED_VALUE"""),"https://drive.google.com/file/d/18spY0oobgtW8SqCeh2bykl4PwAtfCcjp/view?usp=drivesdk")</f>
        <v>https://drive.google.com/file/d/18spY0oobgtW8SqCeh2bykl4PwAtfCcjp/view?usp=drivesdk</v>
      </c>
      <c r="D3449" s="12"/>
      <c r="E3449" s="11">
        <v>3487.0</v>
      </c>
      <c r="F3449" s="2"/>
    </row>
    <row r="3450" ht="1.5" customHeight="1">
      <c r="A3450" s="4" t="str">
        <f>IFERROR(__xludf.DUMMYFUNCTION("""COMPUTED_VALUE"""),"58. Eden")</f>
        <v>58. Eden</v>
      </c>
      <c r="B3450" s="4" t="str">
        <f>IFERROR(__xludf.DUMMYFUNCTION("""COMPUTED_VALUE"""),"58")</f>
        <v>58</v>
      </c>
      <c r="C3450" s="5" t="str">
        <f>IFERROR(__xludf.DUMMYFUNCTION("""COMPUTED_VALUE"""),"https://drive.google.com/file/d/1cqQBS2j1XRyxjZy6hMfgp2yTzyPZl8xk/view?usp=drivesdk")</f>
        <v>https://drive.google.com/file/d/1cqQBS2j1XRyxjZy6hMfgp2yTzyPZl8xk/view?usp=drivesdk</v>
      </c>
      <c r="D3450" s="12"/>
      <c r="E3450" s="11">
        <v>3488.0</v>
      </c>
      <c r="F3450" s="2"/>
    </row>
    <row r="3451" ht="1.5" customHeight="1">
      <c r="A3451" s="4" t="str">
        <f>IFERROR(__xludf.DUMMYFUNCTION("""COMPUTED_VALUE"""),"58. Eden")</f>
        <v>58. Eden</v>
      </c>
      <c r="B3451" s="4" t="str">
        <f>IFERROR(__xludf.DUMMYFUNCTION("""COMPUTED_VALUE"""),"58")</f>
        <v>58</v>
      </c>
      <c r="C3451" s="5" t="str">
        <f>IFERROR(__xludf.DUMMYFUNCTION("""COMPUTED_VALUE"""),"https://drive.google.com/file/d/1ReX2_qzulmQO_aoX8gYr2bvpmgh7Goxg/view?usp=drivesdk")</f>
        <v>https://drive.google.com/file/d/1ReX2_qzulmQO_aoX8gYr2bvpmgh7Goxg/view?usp=drivesdk</v>
      </c>
      <c r="D3451" s="12"/>
      <c r="E3451" s="11">
        <v>3489.0</v>
      </c>
      <c r="F3451" s="2"/>
    </row>
    <row r="3452" ht="1.5" customHeight="1">
      <c r="A3452" s="4" t="str">
        <f>IFERROR(__xludf.DUMMYFUNCTION("""COMPUTED_VALUE"""),"58. Eden")</f>
        <v>58. Eden</v>
      </c>
      <c r="B3452" s="4" t="str">
        <f>IFERROR(__xludf.DUMMYFUNCTION("""COMPUTED_VALUE"""),"58")</f>
        <v>58</v>
      </c>
      <c r="C3452" s="5" t="str">
        <f>IFERROR(__xludf.DUMMYFUNCTION("""COMPUTED_VALUE"""),"https://drive.google.com/file/d/1t3MXlPrQZcr46gD9S9E960CF8fC0_WK7/view?usp=drivesdk")</f>
        <v>https://drive.google.com/file/d/1t3MXlPrQZcr46gD9S9E960CF8fC0_WK7/view?usp=drivesdk</v>
      </c>
      <c r="D3452" s="12"/>
      <c r="E3452" s="11">
        <v>3490.0</v>
      </c>
      <c r="F3452" s="2"/>
    </row>
    <row r="3453" ht="1.5" customHeight="1">
      <c r="A3453" s="4" t="str">
        <f>IFERROR(__xludf.DUMMYFUNCTION("""COMPUTED_VALUE"""),"73. Coronavirus")</f>
        <v>73. Coronavirus</v>
      </c>
      <c r="B3453" s="4" t="str">
        <f>IFERROR(__xludf.DUMMYFUNCTION("""COMPUTED_VALUE"""),"73")</f>
        <v>73</v>
      </c>
      <c r="C3453" s="5" t="str">
        <f>IFERROR(__xludf.DUMMYFUNCTION("""COMPUTED_VALUE"""),"https://drive.google.com/file/d/1YwDOC1EhhG0A-VVtVIFwCgyg9VuSpidj/view?usp=drivesdk")</f>
        <v>https://drive.google.com/file/d/1YwDOC1EhhG0A-VVtVIFwCgyg9VuSpidj/view?usp=drivesdk</v>
      </c>
      <c r="D3453" s="12"/>
      <c r="E3453" s="11">
        <v>3491.0</v>
      </c>
      <c r="F3453" s="2"/>
    </row>
    <row r="3454" ht="1.5" customHeight="1">
      <c r="A3454" s="4" t="str">
        <f>IFERROR(__xludf.DUMMYFUNCTION("""COMPUTED_VALUE"""),"58. Eden")</f>
        <v>58. Eden</v>
      </c>
      <c r="B3454" s="4" t="str">
        <f>IFERROR(__xludf.DUMMYFUNCTION("""COMPUTED_VALUE"""),"58")</f>
        <v>58</v>
      </c>
      <c r="C3454" s="5" t="str">
        <f>IFERROR(__xludf.DUMMYFUNCTION("""COMPUTED_VALUE"""),"https://drive.google.com/file/d/1AvRddJnHV2M2trEplhfX4trJULydzna_/view?usp=drivesdk")</f>
        <v>https://drive.google.com/file/d/1AvRddJnHV2M2trEplhfX4trJULydzna_/view?usp=drivesdk</v>
      </c>
      <c r="D3454" s="12"/>
      <c r="E3454" s="11">
        <v>3492.0</v>
      </c>
      <c r="F3454" s="2"/>
    </row>
    <row r="3455" ht="1.5" customHeight="1">
      <c r="A3455" s="4" t="str">
        <f>IFERROR(__xludf.DUMMYFUNCTION("""COMPUTED_VALUE"""),"73. Coronavirus")</f>
        <v>73. Coronavirus</v>
      </c>
      <c r="B3455" s="4" t="str">
        <f>IFERROR(__xludf.DUMMYFUNCTION("""COMPUTED_VALUE"""),"73")</f>
        <v>73</v>
      </c>
      <c r="C3455" s="5" t="str">
        <f>IFERROR(__xludf.DUMMYFUNCTION("""COMPUTED_VALUE"""),"https://drive.google.com/file/d/1jCOgvWyxOGws5sPVTTK-OXSG0qrPgYjq/view?usp=drivesdk")</f>
        <v>https://drive.google.com/file/d/1jCOgvWyxOGws5sPVTTK-OXSG0qrPgYjq/view?usp=drivesdk</v>
      </c>
      <c r="D3455" s="12"/>
      <c r="E3455" s="11">
        <v>3493.0</v>
      </c>
      <c r="F3455" s="2"/>
    </row>
    <row r="3456" ht="1.5" customHeight="1">
      <c r="A3456" s="4" t="str">
        <f>IFERROR(__xludf.DUMMYFUNCTION("""COMPUTED_VALUE"""),"58. Eden")</f>
        <v>58. Eden</v>
      </c>
      <c r="B3456" s="4" t="str">
        <f>IFERROR(__xludf.DUMMYFUNCTION("""COMPUTED_VALUE"""),"58")</f>
        <v>58</v>
      </c>
      <c r="C3456" s="5" t="str">
        <f>IFERROR(__xludf.DUMMYFUNCTION("""COMPUTED_VALUE"""),"https://drive.google.com/file/d/1q_QNNFjI4Lndl_nZiZT0nQRhb_jJeu8i/view?usp=drivesdk")</f>
        <v>https://drive.google.com/file/d/1q_QNNFjI4Lndl_nZiZT0nQRhb_jJeu8i/view?usp=drivesdk</v>
      </c>
      <c r="D3456" s="12"/>
      <c r="E3456" s="11">
        <v>3494.0</v>
      </c>
      <c r="F3456" s="2"/>
    </row>
    <row r="3457" ht="1.5" customHeight="1">
      <c r="A3457" s="4" t="str">
        <f>IFERROR(__xludf.DUMMYFUNCTION("""COMPUTED_VALUE"""),"73. Coronavirus")</f>
        <v>73. Coronavirus</v>
      </c>
      <c r="B3457" s="4" t="str">
        <f>IFERROR(__xludf.DUMMYFUNCTION("""COMPUTED_VALUE"""),"73")</f>
        <v>73</v>
      </c>
      <c r="C3457" s="5" t="str">
        <f>IFERROR(__xludf.DUMMYFUNCTION("""COMPUTED_VALUE"""),"https://drive.google.com/file/d/1kzcgPbXteg1kCYTaFeQZrP0bLexI-PP7/view?usp=drivesdk")</f>
        <v>https://drive.google.com/file/d/1kzcgPbXteg1kCYTaFeQZrP0bLexI-PP7/view?usp=drivesdk</v>
      </c>
      <c r="D3457" s="12"/>
      <c r="E3457" s="11">
        <v>3495.0</v>
      </c>
      <c r="F3457" s="2"/>
    </row>
    <row r="3458" ht="1.5" customHeight="1">
      <c r="A3458" s="4" t="str">
        <f>IFERROR(__xludf.DUMMYFUNCTION("""COMPUTED_VALUE"""),"73. Coronavirus")</f>
        <v>73. Coronavirus</v>
      </c>
      <c r="B3458" s="4" t="str">
        <f>IFERROR(__xludf.DUMMYFUNCTION("""COMPUTED_VALUE"""),"73")</f>
        <v>73</v>
      </c>
      <c r="C3458" s="5" t="str">
        <f>IFERROR(__xludf.DUMMYFUNCTION("""COMPUTED_VALUE"""),"https://drive.google.com/file/d/1oeA-ZaiLrwz65B7_Ydqv4hpSoq_UTWnd/view?usp=drivesdk")</f>
        <v>https://drive.google.com/file/d/1oeA-ZaiLrwz65B7_Ydqv4hpSoq_UTWnd/view?usp=drivesdk</v>
      </c>
      <c r="D3458" s="12"/>
      <c r="E3458" s="11">
        <v>3496.0</v>
      </c>
      <c r="F3458" s="2"/>
    </row>
    <row r="3459" ht="1.5" customHeight="1">
      <c r="A3459" s="4" t="str">
        <f>IFERROR(__xludf.DUMMYFUNCTION("""COMPUTED_VALUE"""),"73. Coronavirus")</f>
        <v>73. Coronavirus</v>
      </c>
      <c r="B3459" s="4" t="str">
        <f>IFERROR(__xludf.DUMMYFUNCTION("""COMPUTED_VALUE"""),"73")</f>
        <v>73</v>
      </c>
      <c r="C3459" s="5" t="str">
        <f>IFERROR(__xludf.DUMMYFUNCTION("""COMPUTED_VALUE"""),"https://drive.google.com/file/d/1WeXmoeRbulaygWwrF9pRKSmVkIBV1HwP/view?usp=drivesdk")</f>
        <v>https://drive.google.com/file/d/1WeXmoeRbulaygWwrF9pRKSmVkIBV1HwP/view?usp=drivesdk</v>
      </c>
      <c r="D3459" s="12"/>
      <c r="E3459" s="11">
        <v>3497.0</v>
      </c>
      <c r="F3459" s="2"/>
    </row>
    <row r="3460" ht="1.5" customHeight="1">
      <c r="A3460" s="4" t="str">
        <f>IFERROR(__xludf.DUMMYFUNCTION("""COMPUTED_VALUE"""),"73. Coronavirus")</f>
        <v>73. Coronavirus</v>
      </c>
      <c r="B3460" s="4" t="str">
        <f>IFERROR(__xludf.DUMMYFUNCTION("""COMPUTED_VALUE"""),"73")</f>
        <v>73</v>
      </c>
      <c r="C3460" s="5" t="str">
        <f>IFERROR(__xludf.DUMMYFUNCTION("""COMPUTED_VALUE"""),"https://drive.google.com/file/d/1MzQemy_Di_F2JTTXc_JbuyzRxDo9x6Co/view?usp=drivesdk")</f>
        <v>https://drive.google.com/file/d/1MzQemy_Di_F2JTTXc_JbuyzRxDo9x6Co/view?usp=drivesdk</v>
      </c>
      <c r="D3460" s="12"/>
      <c r="E3460" s="11">
        <v>3498.0</v>
      </c>
      <c r="F3460" s="2"/>
    </row>
    <row r="3461" ht="1.5" customHeight="1">
      <c r="A3461" s="4" t="str">
        <f>IFERROR(__xludf.DUMMYFUNCTION("""COMPUTED_VALUE"""),"73. Coronavirus")</f>
        <v>73. Coronavirus</v>
      </c>
      <c r="B3461" s="4" t="str">
        <f>IFERROR(__xludf.DUMMYFUNCTION("""COMPUTED_VALUE"""),"73")</f>
        <v>73</v>
      </c>
      <c r="C3461" s="5" t="str">
        <f>IFERROR(__xludf.DUMMYFUNCTION("""COMPUTED_VALUE"""),"https://drive.google.com/file/d/1QqlVtD_nf2rfSQnzT4FaTBcQcL1fsR54/view?usp=drivesdk")</f>
        <v>https://drive.google.com/file/d/1QqlVtD_nf2rfSQnzT4FaTBcQcL1fsR54/view?usp=drivesdk</v>
      </c>
      <c r="D3461" s="12"/>
      <c r="E3461" s="11">
        <v>3499.0</v>
      </c>
      <c r="F3461" s="2"/>
    </row>
    <row r="3462" ht="1.5" customHeight="1">
      <c r="A3462" s="4" t="str">
        <f>IFERROR(__xludf.DUMMYFUNCTION("""COMPUTED_VALUE"""),"73. Coronavirus")</f>
        <v>73. Coronavirus</v>
      </c>
      <c r="B3462" s="4" t="str">
        <f>IFERROR(__xludf.DUMMYFUNCTION("""COMPUTED_VALUE"""),"73")</f>
        <v>73</v>
      </c>
      <c r="C3462" s="5" t="str">
        <f>IFERROR(__xludf.DUMMYFUNCTION("""COMPUTED_VALUE"""),"https://drive.google.com/file/d/1pz9MVzKGFAN6Rv3C7SSjj_8uF061IkDJ/view?usp=drivesdk")</f>
        <v>https://drive.google.com/file/d/1pz9MVzKGFAN6Rv3C7SSjj_8uF061IkDJ/view?usp=drivesdk</v>
      </c>
      <c r="D3462" s="12"/>
      <c r="E3462" s="11">
        <v>3500.0</v>
      </c>
      <c r="F3462" s="2"/>
    </row>
    <row r="3463" ht="1.5" customHeight="1">
      <c r="A3463" s="4" t="str">
        <f>IFERROR(__xludf.DUMMYFUNCTION("""COMPUTED_VALUE"""),"73. Coronavirus")</f>
        <v>73. Coronavirus</v>
      </c>
      <c r="B3463" s="4" t="str">
        <f>IFERROR(__xludf.DUMMYFUNCTION("""COMPUTED_VALUE"""),"73")</f>
        <v>73</v>
      </c>
      <c r="C3463" s="5" t="str">
        <f>IFERROR(__xludf.DUMMYFUNCTION("""COMPUTED_VALUE"""),"https://drive.google.com/file/d/1TrZBezZdtW-ftUciTQHwMY5ZB50eaL9q/view?usp=drivesdk")</f>
        <v>https://drive.google.com/file/d/1TrZBezZdtW-ftUciTQHwMY5ZB50eaL9q/view?usp=drivesdk</v>
      </c>
      <c r="D3463" s="12"/>
      <c r="E3463" s="11">
        <v>3501.0</v>
      </c>
      <c r="F3463" s="2"/>
    </row>
    <row r="3464" ht="1.5" customHeight="1">
      <c r="A3464" s="4" t="str">
        <f>IFERROR(__xludf.DUMMYFUNCTION("""COMPUTED_VALUE"""),"73. Coronavirus")</f>
        <v>73. Coronavirus</v>
      </c>
      <c r="B3464" s="4" t="str">
        <f>IFERROR(__xludf.DUMMYFUNCTION("""COMPUTED_VALUE"""),"73")</f>
        <v>73</v>
      </c>
      <c r="C3464" s="5" t="str">
        <f>IFERROR(__xludf.DUMMYFUNCTION("""COMPUTED_VALUE"""),"https://drive.google.com/file/d/1qybNKr7TW0j756Cp04jwP2CjG6sRNoRg/view?usp=drivesdk")</f>
        <v>https://drive.google.com/file/d/1qybNKr7TW0j756Cp04jwP2CjG6sRNoRg/view?usp=drivesdk</v>
      </c>
      <c r="D3464" s="12"/>
      <c r="E3464" s="11">
        <v>3502.0</v>
      </c>
      <c r="F3464" s="2"/>
    </row>
    <row r="3465" ht="1.5" customHeight="1">
      <c r="A3465" s="4" t="str">
        <f>IFERROR(__xludf.DUMMYFUNCTION("""COMPUTED_VALUE"""),"73. Coronavirus")</f>
        <v>73. Coronavirus</v>
      </c>
      <c r="B3465" s="4" t="str">
        <f>IFERROR(__xludf.DUMMYFUNCTION("""COMPUTED_VALUE"""),"73")</f>
        <v>73</v>
      </c>
      <c r="C3465" s="5" t="str">
        <f>IFERROR(__xludf.DUMMYFUNCTION("""COMPUTED_VALUE"""),"https://drive.google.com/file/d/11H7uR_lsIVJhSWRyM247J3eNsPze5l3b/view?usp=drivesdk")</f>
        <v>https://drive.google.com/file/d/11H7uR_lsIVJhSWRyM247J3eNsPze5l3b/view?usp=drivesdk</v>
      </c>
      <c r="D3465" s="12"/>
      <c r="E3465" s="11">
        <v>3503.0</v>
      </c>
      <c r="F3465" s="2"/>
    </row>
    <row r="3466" ht="1.5" customHeight="1">
      <c r="A3466" s="4" t="str">
        <f>IFERROR(__xludf.DUMMYFUNCTION("""COMPUTED_VALUE"""),"73. Coronavirus")</f>
        <v>73. Coronavirus</v>
      </c>
      <c r="B3466" s="4" t="str">
        <f>IFERROR(__xludf.DUMMYFUNCTION("""COMPUTED_VALUE"""),"73")</f>
        <v>73</v>
      </c>
      <c r="C3466" s="5" t="str">
        <f>IFERROR(__xludf.DUMMYFUNCTION("""COMPUTED_VALUE"""),"https://drive.google.com/file/d/1ypMDm4ovpnSdGNmiws3c7CXsExYJLBwF/view?usp=drivesdk")</f>
        <v>https://drive.google.com/file/d/1ypMDm4ovpnSdGNmiws3c7CXsExYJLBwF/view?usp=drivesdk</v>
      </c>
      <c r="D3466" s="12"/>
      <c r="E3466" s="11">
        <v>3504.0</v>
      </c>
      <c r="F3466" s="2"/>
    </row>
    <row r="3467" ht="1.5" customHeight="1">
      <c r="A3467" s="4" t="str">
        <f>IFERROR(__xludf.DUMMYFUNCTION("""COMPUTED_VALUE"""),"73. Coronavirus")</f>
        <v>73. Coronavirus</v>
      </c>
      <c r="B3467" s="4" t="str">
        <f>IFERROR(__xludf.DUMMYFUNCTION("""COMPUTED_VALUE"""),"73")</f>
        <v>73</v>
      </c>
      <c r="C3467" s="5" t="str">
        <f>IFERROR(__xludf.DUMMYFUNCTION("""COMPUTED_VALUE"""),"https://drive.google.com/file/d/18Bb56JJn5kcfQX3XElzcpt_lqMxDEWef/view?usp=drivesdk")</f>
        <v>https://drive.google.com/file/d/18Bb56JJn5kcfQX3XElzcpt_lqMxDEWef/view?usp=drivesdk</v>
      </c>
      <c r="D3467" s="12"/>
      <c r="E3467" s="11">
        <v>3505.0</v>
      </c>
      <c r="F3467" s="2"/>
    </row>
    <row r="3468" ht="1.5" customHeight="1">
      <c r="A3468" s="4" t="str">
        <f>IFERROR(__xludf.DUMMYFUNCTION("""COMPUTED_VALUE"""),"73. Coronavirus")</f>
        <v>73. Coronavirus</v>
      </c>
      <c r="B3468" s="4" t="str">
        <f>IFERROR(__xludf.DUMMYFUNCTION("""COMPUTED_VALUE"""),"73")</f>
        <v>73</v>
      </c>
      <c r="C3468" s="5" t="str">
        <f>IFERROR(__xludf.DUMMYFUNCTION("""COMPUTED_VALUE"""),"https://drive.google.com/file/d/1n1cQaO8ooAVZ_r--y1KKKiGfUn4VvaD5/view?usp=drivesdk")</f>
        <v>https://drive.google.com/file/d/1n1cQaO8ooAVZ_r--y1KKKiGfUn4VvaD5/view?usp=drivesdk</v>
      </c>
      <c r="D3468" s="12"/>
      <c r="E3468" s="11">
        <v>3506.0</v>
      </c>
      <c r="F3468" s="2"/>
    </row>
    <row r="3469" ht="1.5" customHeight="1">
      <c r="A3469" s="4" t="str">
        <f>IFERROR(__xludf.DUMMYFUNCTION("""COMPUTED_VALUE"""),"73. Coronavirus")</f>
        <v>73. Coronavirus</v>
      </c>
      <c r="B3469" s="4" t="str">
        <f>IFERROR(__xludf.DUMMYFUNCTION("""COMPUTED_VALUE"""),"73")</f>
        <v>73</v>
      </c>
      <c r="C3469" s="5" t="str">
        <f>IFERROR(__xludf.DUMMYFUNCTION("""COMPUTED_VALUE"""),"https://drive.google.com/file/d/1i3o-IBQfYwKrA6Up_SxBLoQIQZAIOFJi/view?usp=drivesdk")</f>
        <v>https://drive.google.com/file/d/1i3o-IBQfYwKrA6Up_SxBLoQIQZAIOFJi/view?usp=drivesdk</v>
      </c>
      <c r="D3469" s="12"/>
      <c r="E3469" s="11">
        <v>3507.0</v>
      </c>
      <c r="F3469" s="2"/>
    </row>
    <row r="3470" ht="1.5" customHeight="1">
      <c r="A3470" s="4" t="str">
        <f>IFERROR(__xludf.DUMMYFUNCTION("""COMPUTED_VALUE"""),"73. Coronavirus")</f>
        <v>73. Coronavirus</v>
      </c>
      <c r="B3470" s="4" t="str">
        <f>IFERROR(__xludf.DUMMYFUNCTION("""COMPUTED_VALUE"""),"73")</f>
        <v>73</v>
      </c>
      <c r="C3470" s="5" t="str">
        <f>IFERROR(__xludf.DUMMYFUNCTION("""COMPUTED_VALUE"""),"https://drive.google.com/file/d/1quAsAYTsPf8ZTS3aM1IwTQk9wiJvZBV9/view?usp=drivesdk")</f>
        <v>https://drive.google.com/file/d/1quAsAYTsPf8ZTS3aM1IwTQk9wiJvZBV9/view?usp=drivesdk</v>
      </c>
      <c r="D3470" s="12"/>
      <c r="E3470" s="11">
        <v>3508.0</v>
      </c>
      <c r="F3470" s="2"/>
    </row>
    <row r="3471" ht="1.5" customHeight="1">
      <c r="A3471" s="4" t="str">
        <f>IFERROR(__xludf.DUMMYFUNCTION("""COMPUTED_VALUE"""),"73. Coronavirus")</f>
        <v>73. Coronavirus</v>
      </c>
      <c r="B3471" s="4" t="str">
        <f>IFERROR(__xludf.DUMMYFUNCTION("""COMPUTED_VALUE"""),"73")</f>
        <v>73</v>
      </c>
      <c r="C3471" s="5" t="str">
        <f>IFERROR(__xludf.DUMMYFUNCTION("""COMPUTED_VALUE"""),"https://drive.google.com/file/d/1ljGGxr3TFHu3SbAjCEOQFOnrxH01KVD7/view?usp=drivesdk")</f>
        <v>https://drive.google.com/file/d/1ljGGxr3TFHu3SbAjCEOQFOnrxH01KVD7/view?usp=drivesdk</v>
      </c>
      <c r="D3471" s="12"/>
      <c r="E3471" s="11">
        <v>3509.0</v>
      </c>
      <c r="F3471" s="2"/>
    </row>
    <row r="3472" ht="1.5" customHeight="1">
      <c r="A3472" s="4" t="str">
        <f>IFERROR(__xludf.DUMMYFUNCTION("""COMPUTED_VALUE"""),"73. Coronavirus")</f>
        <v>73. Coronavirus</v>
      </c>
      <c r="B3472" s="4" t="str">
        <f>IFERROR(__xludf.DUMMYFUNCTION("""COMPUTED_VALUE"""),"73")</f>
        <v>73</v>
      </c>
      <c r="C3472" s="5" t="str">
        <f>IFERROR(__xludf.DUMMYFUNCTION("""COMPUTED_VALUE"""),"https://drive.google.com/file/d/1ANbmw0of3UCQk-lPCVvgXnUG7fcM-QfC/view?usp=drivesdk")</f>
        <v>https://drive.google.com/file/d/1ANbmw0of3UCQk-lPCVvgXnUG7fcM-QfC/view?usp=drivesdk</v>
      </c>
      <c r="D3472" s="12"/>
      <c r="E3472" s="11">
        <v>3510.0</v>
      </c>
      <c r="F3472" s="2"/>
    </row>
    <row r="3473" ht="1.5" customHeight="1">
      <c r="A3473" s="4" t="str">
        <f>IFERROR(__xludf.DUMMYFUNCTION("""COMPUTED_VALUE"""),"73. Coronavirus")</f>
        <v>73. Coronavirus</v>
      </c>
      <c r="B3473" s="4" t="str">
        <f>IFERROR(__xludf.DUMMYFUNCTION("""COMPUTED_VALUE"""),"73")</f>
        <v>73</v>
      </c>
      <c r="C3473" s="5" t="str">
        <f>IFERROR(__xludf.DUMMYFUNCTION("""COMPUTED_VALUE"""),"https://drive.google.com/file/d/14pl0D2v2UaqonlyExqZG5q_KHM9kgAob/view?usp=drivesdk")</f>
        <v>https://drive.google.com/file/d/14pl0D2v2UaqonlyExqZG5q_KHM9kgAob/view?usp=drivesdk</v>
      </c>
      <c r="D3473" s="12"/>
      <c r="E3473" s="11">
        <v>3511.0</v>
      </c>
      <c r="F3473" s="2"/>
    </row>
    <row r="3474" ht="1.5" customHeight="1">
      <c r="A3474" s="4" t="str">
        <f>IFERROR(__xludf.DUMMYFUNCTION("""COMPUTED_VALUE"""),"73. Coronavirus")</f>
        <v>73. Coronavirus</v>
      </c>
      <c r="B3474" s="4" t="str">
        <f>IFERROR(__xludf.DUMMYFUNCTION("""COMPUTED_VALUE"""),"73")</f>
        <v>73</v>
      </c>
      <c r="C3474" s="5" t="str">
        <f>IFERROR(__xludf.DUMMYFUNCTION("""COMPUTED_VALUE"""),"https://drive.google.com/file/d/150HwHU8QSSWYOLtlPJaABBiTCZhRDXDr/view?usp=drivesdk")</f>
        <v>https://drive.google.com/file/d/150HwHU8QSSWYOLtlPJaABBiTCZhRDXDr/view?usp=drivesdk</v>
      </c>
      <c r="D3474" s="12"/>
      <c r="E3474" s="11">
        <v>3512.0</v>
      </c>
      <c r="F3474" s="2"/>
    </row>
    <row r="3475" ht="1.5" customHeight="1">
      <c r="A3475" s="4" t="str">
        <f>IFERROR(__xludf.DUMMYFUNCTION("""COMPUTED_VALUE"""),"73. Coronavirus")</f>
        <v>73. Coronavirus</v>
      </c>
      <c r="B3475" s="4" t="str">
        <f>IFERROR(__xludf.DUMMYFUNCTION("""COMPUTED_VALUE"""),"73")</f>
        <v>73</v>
      </c>
      <c r="C3475" s="5" t="str">
        <f>IFERROR(__xludf.DUMMYFUNCTION("""COMPUTED_VALUE"""),"https://drive.google.com/file/d/1ZIIIv__W662xf1Xp9mY16O6nkYHZE_We/view?usp=drivesdk")</f>
        <v>https://drive.google.com/file/d/1ZIIIv__W662xf1Xp9mY16O6nkYHZE_We/view?usp=drivesdk</v>
      </c>
      <c r="D3475" s="12"/>
      <c r="E3475" s="11">
        <v>3513.0</v>
      </c>
      <c r="F3475" s="2"/>
    </row>
    <row r="3476" ht="1.5" customHeight="1">
      <c r="A3476" s="4" t="str">
        <f>IFERROR(__xludf.DUMMYFUNCTION("""COMPUTED_VALUE"""),"73. Coronavirus")</f>
        <v>73. Coronavirus</v>
      </c>
      <c r="B3476" s="4" t="str">
        <f>IFERROR(__xludf.DUMMYFUNCTION("""COMPUTED_VALUE"""),"73")</f>
        <v>73</v>
      </c>
      <c r="C3476" s="5" t="str">
        <f>IFERROR(__xludf.DUMMYFUNCTION("""COMPUTED_VALUE"""),"https://drive.google.com/file/d/1w8u092qlGgeC2o9-9OQXz4NoxbyMLUZw/view?usp=drivesdk")</f>
        <v>https://drive.google.com/file/d/1w8u092qlGgeC2o9-9OQXz4NoxbyMLUZw/view?usp=drivesdk</v>
      </c>
      <c r="D3476" s="12"/>
      <c r="E3476" s="11">
        <v>3514.0</v>
      </c>
      <c r="F3476" s="2"/>
    </row>
    <row r="3477" ht="1.5" customHeight="1">
      <c r="A3477" s="4" t="str">
        <f>IFERROR(__xludf.DUMMYFUNCTION("""COMPUTED_VALUE"""),"73. Coronavirus")</f>
        <v>73. Coronavirus</v>
      </c>
      <c r="B3477" s="4" t="str">
        <f>IFERROR(__xludf.DUMMYFUNCTION("""COMPUTED_VALUE"""),"73")</f>
        <v>73</v>
      </c>
      <c r="C3477" s="5" t="str">
        <f>IFERROR(__xludf.DUMMYFUNCTION("""COMPUTED_VALUE"""),"https://drive.google.com/file/d/1M5_zmQfaxLf9GquHXSVv4bfU9xEK6u9q/view?usp=drivesdk")</f>
        <v>https://drive.google.com/file/d/1M5_zmQfaxLf9GquHXSVv4bfU9xEK6u9q/view?usp=drivesdk</v>
      </c>
      <c r="D3477" s="12"/>
      <c r="E3477" s="11">
        <v>3515.0</v>
      </c>
      <c r="F3477" s="2"/>
    </row>
    <row r="3478" ht="1.5" customHeight="1">
      <c r="A3478" s="4" t="str">
        <f>IFERROR(__xludf.DUMMYFUNCTION("""COMPUTED_VALUE"""),"73. Coronavirus")</f>
        <v>73. Coronavirus</v>
      </c>
      <c r="B3478" s="4" t="str">
        <f>IFERROR(__xludf.DUMMYFUNCTION("""COMPUTED_VALUE"""),"73")</f>
        <v>73</v>
      </c>
      <c r="C3478" s="5" t="str">
        <f>IFERROR(__xludf.DUMMYFUNCTION("""COMPUTED_VALUE"""),"https://drive.google.com/file/d/1xjQYAD1ecVBmbA-5SvnJTWbIPw6vvlDF/view?usp=drivesdk")</f>
        <v>https://drive.google.com/file/d/1xjQYAD1ecVBmbA-5SvnJTWbIPw6vvlDF/view?usp=drivesdk</v>
      </c>
      <c r="D3478" s="12"/>
      <c r="E3478" s="11">
        <v>3516.0</v>
      </c>
      <c r="F3478" s="2"/>
    </row>
    <row r="3479" ht="1.5" customHeight="1">
      <c r="A3479" s="4" t="str">
        <f>IFERROR(__xludf.DUMMYFUNCTION("""COMPUTED_VALUE"""),"73. Coronavirus")</f>
        <v>73. Coronavirus</v>
      </c>
      <c r="B3479" s="4" t="str">
        <f>IFERROR(__xludf.DUMMYFUNCTION("""COMPUTED_VALUE"""),"73")</f>
        <v>73</v>
      </c>
      <c r="C3479" s="5" t="str">
        <f>IFERROR(__xludf.DUMMYFUNCTION("""COMPUTED_VALUE"""),"https://drive.google.com/file/d/1sSF8ChpqpzQTJUXgAQKpJFTiZ9wmgmXM/view?usp=drivesdk")</f>
        <v>https://drive.google.com/file/d/1sSF8ChpqpzQTJUXgAQKpJFTiZ9wmgmXM/view?usp=drivesdk</v>
      </c>
      <c r="D3479" s="12"/>
      <c r="E3479" s="11">
        <v>3517.0</v>
      </c>
      <c r="F3479" s="2"/>
    </row>
    <row r="3480" ht="1.5" customHeight="1">
      <c r="A3480" s="4" t="str">
        <f>IFERROR(__xludf.DUMMYFUNCTION("""COMPUTED_VALUE"""),"73. Coronavirus")</f>
        <v>73. Coronavirus</v>
      </c>
      <c r="B3480" s="4" t="str">
        <f>IFERROR(__xludf.DUMMYFUNCTION("""COMPUTED_VALUE"""),"73")</f>
        <v>73</v>
      </c>
      <c r="C3480" s="5" t="str">
        <f>IFERROR(__xludf.DUMMYFUNCTION("""COMPUTED_VALUE"""),"https://drive.google.com/file/d/1jTFV-P-NGWPgkhvKVU3FKjGtCd5oQYr6/view?usp=drivesdk")</f>
        <v>https://drive.google.com/file/d/1jTFV-P-NGWPgkhvKVU3FKjGtCd5oQYr6/view?usp=drivesdk</v>
      </c>
      <c r="D3480" s="12"/>
      <c r="E3480" s="11">
        <v>3518.0</v>
      </c>
      <c r="F3480" s="2"/>
    </row>
    <row r="3481" ht="1.5" customHeight="1">
      <c r="A3481" s="4" t="str">
        <f>IFERROR(__xludf.DUMMYFUNCTION("""COMPUTED_VALUE"""),"73. Coronavirus")</f>
        <v>73. Coronavirus</v>
      </c>
      <c r="B3481" s="4" t="str">
        <f>IFERROR(__xludf.DUMMYFUNCTION("""COMPUTED_VALUE"""),"73")</f>
        <v>73</v>
      </c>
      <c r="C3481" s="5" t="str">
        <f>IFERROR(__xludf.DUMMYFUNCTION("""COMPUTED_VALUE"""),"https://drive.google.com/file/d/1HoTJ9r9ABzqsBEmcpjbIP8K_zdBLIgPG/view?usp=drivesdk")</f>
        <v>https://drive.google.com/file/d/1HoTJ9r9ABzqsBEmcpjbIP8K_zdBLIgPG/view?usp=drivesdk</v>
      </c>
      <c r="D3481" s="12"/>
      <c r="E3481" s="11">
        <v>3519.0</v>
      </c>
      <c r="F3481" s="2"/>
    </row>
    <row r="3482" ht="1.5" customHeight="1">
      <c r="A3482" s="4" t="str">
        <f>IFERROR(__xludf.DUMMYFUNCTION("""COMPUTED_VALUE"""),"73. Coronavirus")</f>
        <v>73. Coronavirus</v>
      </c>
      <c r="B3482" s="4" t="str">
        <f>IFERROR(__xludf.DUMMYFUNCTION("""COMPUTED_VALUE"""),"73")</f>
        <v>73</v>
      </c>
      <c r="C3482" s="5" t="str">
        <f>IFERROR(__xludf.DUMMYFUNCTION("""COMPUTED_VALUE"""),"https://drive.google.com/file/d/1icgk_b7IIktR0gql2pJ3fhSQeupKla-k/view?usp=drivesdk")</f>
        <v>https://drive.google.com/file/d/1icgk_b7IIktR0gql2pJ3fhSQeupKla-k/view?usp=drivesdk</v>
      </c>
      <c r="D3482" s="12"/>
      <c r="E3482" s="11">
        <v>3520.0</v>
      </c>
      <c r="F3482" s="2"/>
    </row>
    <row r="3483" ht="1.5" customHeight="1">
      <c r="A3483" s="4" t="str">
        <f>IFERROR(__xludf.DUMMYFUNCTION("""COMPUTED_VALUE"""),"73. Coronavirus")</f>
        <v>73. Coronavirus</v>
      </c>
      <c r="B3483" s="4" t="str">
        <f>IFERROR(__xludf.DUMMYFUNCTION("""COMPUTED_VALUE"""),"73")</f>
        <v>73</v>
      </c>
      <c r="C3483" s="5" t="str">
        <f>IFERROR(__xludf.DUMMYFUNCTION("""COMPUTED_VALUE"""),"https://drive.google.com/file/d/1OgmEY29kf570CYCc36_RDuD-hxil4dB_/view?usp=drivesdk")</f>
        <v>https://drive.google.com/file/d/1OgmEY29kf570CYCc36_RDuD-hxil4dB_/view?usp=drivesdk</v>
      </c>
      <c r="D3483" s="12"/>
      <c r="E3483" s="11">
        <v>3521.0</v>
      </c>
      <c r="F3483" s="2"/>
    </row>
    <row r="3484" ht="1.5" customHeight="1">
      <c r="A3484" s="4" t="str">
        <f>IFERROR(__xludf.DUMMYFUNCTION("""COMPUTED_VALUE"""),"73. Coronavirus")</f>
        <v>73. Coronavirus</v>
      </c>
      <c r="B3484" s="4" t="str">
        <f>IFERROR(__xludf.DUMMYFUNCTION("""COMPUTED_VALUE"""),"73")</f>
        <v>73</v>
      </c>
      <c r="C3484" s="5" t="str">
        <f>IFERROR(__xludf.DUMMYFUNCTION("""COMPUTED_VALUE"""),"https://drive.google.com/file/d/1CLnitvdSTcx3imGI8XHt5qvWOrgZWhUp/view?usp=drivesdk")</f>
        <v>https://drive.google.com/file/d/1CLnitvdSTcx3imGI8XHt5qvWOrgZWhUp/view?usp=drivesdk</v>
      </c>
      <c r="D3484" s="12"/>
      <c r="E3484" s="11">
        <v>3522.0</v>
      </c>
      <c r="F3484" s="2"/>
    </row>
    <row r="3485" ht="1.5" customHeight="1">
      <c r="A3485" s="4" t="str">
        <f>IFERROR(__xludf.DUMMYFUNCTION("""COMPUTED_VALUE"""),"73. Coronavirus")</f>
        <v>73. Coronavirus</v>
      </c>
      <c r="B3485" s="4" t="str">
        <f>IFERROR(__xludf.DUMMYFUNCTION("""COMPUTED_VALUE"""),"73")</f>
        <v>73</v>
      </c>
      <c r="C3485" s="5" t="str">
        <f>IFERROR(__xludf.DUMMYFUNCTION("""COMPUTED_VALUE"""),"https://drive.google.com/file/d/1CnG2kZWvX-WWG0JP5MddsuaM6AWQmtvZ/view?usp=drivesdk")</f>
        <v>https://drive.google.com/file/d/1CnG2kZWvX-WWG0JP5MddsuaM6AWQmtvZ/view?usp=drivesdk</v>
      </c>
      <c r="D3485" s="12"/>
      <c r="E3485" s="11">
        <v>3523.0</v>
      </c>
      <c r="F3485" s="2"/>
    </row>
    <row r="3486" ht="1.5" customHeight="1">
      <c r="A3486" s="4" t="str">
        <f>IFERROR(__xludf.DUMMYFUNCTION("""COMPUTED_VALUE"""),"73. Coronavirus")</f>
        <v>73. Coronavirus</v>
      </c>
      <c r="B3486" s="4" t="str">
        <f>IFERROR(__xludf.DUMMYFUNCTION("""COMPUTED_VALUE"""),"73")</f>
        <v>73</v>
      </c>
      <c r="C3486" s="5" t="str">
        <f>IFERROR(__xludf.DUMMYFUNCTION("""COMPUTED_VALUE"""),"https://drive.google.com/file/d/1GoBfKDWSxD8qrojVI_AZCYSpMpBDoDxf/view?usp=drivesdk")</f>
        <v>https://drive.google.com/file/d/1GoBfKDWSxD8qrojVI_AZCYSpMpBDoDxf/view?usp=drivesdk</v>
      </c>
      <c r="D3486" s="12"/>
      <c r="E3486" s="11">
        <v>3524.0</v>
      </c>
      <c r="F3486" s="2"/>
    </row>
    <row r="3487" ht="1.5" customHeight="1">
      <c r="A3487" s="4" t="str">
        <f>IFERROR(__xludf.DUMMYFUNCTION("""COMPUTED_VALUE"""),"73. Coronavirus")</f>
        <v>73. Coronavirus</v>
      </c>
      <c r="B3487" s="4" t="str">
        <f>IFERROR(__xludf.DUMMYFUNCTION("""COMPUTED_VALUE"""),"73")</f>
        <v>73</v>
      </c>
      <c r="C3487" s="5" t="str">
        <f>IFERROR(__xludf.DUMMYFUNCTION("""COMPUTED_VALUE"""),"https://drive.google.com/file/d/1pSmBDHlT2AWu0OcVNDTE39ipXf7AhbRq/view?usp=drivesdk")</f>
        <v>https://drive.google.com/file/d/1pSmBDHlT2AWu0OcVNDTE39ipXf7AhbRq/view?usp=drivesdk</v>
      </c>
      <c r="D3487" s="12"/>
      <c r="E3487" s="11">
        <v>3525.0</v>
      </c>
      <c r="F3487" s="2"/>
    </row>
    <row r="3488" ht="1.5" customHeight="1">
      <c r="A3488" s="4" t="str">
        <f>IFERROR(__xludf.DUMMYFUNCTION("""COMPUTED_VALUE"""),"73. Coronavirus")</f>
        <v>73. Coronavirus</v>
      </c>
      <c r="B3488" s="4" t="str">
        <f>IFERROR(__xludf.DUMMYFUNCTION("""COMPUTED_VALUE"""),"73")</f>
        <v>73</v>
      </c>
      <c r="C3488" s="5" t="str">
        <f>IFERROR(__xludf.DUMMYFUNCTION("""COMPUTED_VALUE"""),"https://drive.google.com/file/d/1pCgKCopzShTqTLQKzXva7LfotcKXwkPX/view?usp=drivesdk")</f>
        <v>https://drive.google.com/file/d/1pCgKCopzShTqTLQKzXva7LfotcKXwkPX/view?usp=drivesdk</v>
      </c>
      <c r="D3488" s="12"/>
      <c r="E3488" s="11">
        <v>3526.0</v>
      </c>
      <c r="F3488" s="2"/>
    </row>
    <row r="3489" ht="1.5" customHeight="1">
      <c r="A3489" s="4" t="str">
        <f>IFERROR(__xludf.DUMMYFUNCTION("""COMPUTED_VALUE"""),"73. Coronavirus")</f>
        <v>73. Coronavirus</v>
      </c>
      <c r="B3489" s="4" t="str">
        <f>IFERROR(__xludf.DUMMYFUNCTION("""COMPUTED_VALUE"""),"73")</f>
        <v>73</v>
      </c>
      <c r="C3489" s="5" t="str">
        <f>IFERROR(__xludf.DUMMYFUNCTION("""COMPUTED_VALUE"""),"https://drive.google.com/file/d/1ktuhm3ZNpi0CKl_KGATnhengbAlqSZP7/view?usp=drivesdk")</f>
        <v>https://drive.google.com/file/d/1ktuhm3ZNpi0CKl_KGATnhengbAlqSZP7/view?usp=drivesdk</v>
      </c>
      <c r="D3489" s="12"/>
      <c r="E3489" s="11">
        <v>3527.0</v>
      </c>
      <c r="F3489" s="2"/>
    </row>
    <row r="3490" ht="1.5" customHeight="1">
      <c r="A3490" s="4" t="str">
        <f>IFERROR(__xludf.DUMMYFUNCTION("""COMPUTED_VALUE"""),"73. Coronavirus")</f>
        <v>73. Coronavirus</v>
      </c>
      <c r="B3490" s="4" t="str">
        <f>IFERROR(__xludf.DUMMYFUNCTION("""COMPUTED_VALUE"""),"73")</f>
        <v>73</v>
      </c>
      <c r="C3490" s="5" t="str">
        <f>IFERROR(__xludf.DUMMYFUNCTION("""COMPUTED_VALUE"""),"https://drive.google.com/file/d/1dhycuwzj0kdgQ4ikxFXq58MfuSCRyYLG/view?usp=drivesdk")</f>
        <v>https://drive.google.com/file/d/1dhycuwzj0kdgQ4ikxFXq58MfuSCRyYLG/view?usp=drivesdk</v>
      </c>
      <c r="D3490" s="12"/>
      <c r="E3490" s="11">
        <v>3528.0</v>
      </c>
      <c r="F3490" s="2"/>
    </row>
    <row r="3491" ht="1.5" customHeight="1">
      <c r="A3491" s="4" t="str">
        <f>IFERROR(__xludf.DUMMYFUNCTION("""COMPUTED_VALUE"""),"73. Coronavirus")</f>
        <v>73. Coronavirus</v>
      </c>
      <c r="B3491" s="4" t="str">
        <f>IFERROR(__xludf.DUMMYFUNCTION("""COMPUTED_VALUE"""),"73")</f>
        <v>73</v>
      </c>
      <c r="C3491" s="5" t="str">
        <f>IFERROR(__xludf.DUMMYFUNCTION("""COMPUTED_VALUE"""),"https://drive.google.com/file/d/1O-qdYd5CEsrsOWfzSPj67fouhU7v64SF/view?usp=drivesdk")</f>
        <v>https://drive.google.com/file/d/1O-qdYd5CEsrsOWfzSPj67fouhU7v64SF/view?usp=drivesdk</v>
      </c>
      <c r="D3491" s="12"/>
      <c r="E3491" s="11">
        <v>3529.0</v>
      </c>
      <c r="F3491" s="2"/>
    </row>
    <row r="3492" ht="1.5" customHeight="1">
      <c r="A3492" s="4" t="str">
        <f>IFERROR(__xludf.DUMMYFUNCTION("""COMPUTED_VALUE"""),"73. Coronavirus")</f>
        <v>73. Coronavirus</v>
      </c>
      <c r="B3492" s="4" t="str">
        <f>IFERROR(__xludf.DUMMYFUNCTION("""COMPUTED_VALUE"""),"73")</f>
        <v>73</v>
      </c>
      <c r="C3492" s="5" t="str">
        <f>IFERROR(__xludf.DUMMYFUNCTION("""COMPUTED_VALUE"""),"https://drive.google.com/file/d/1kI1x-3Qg6ESIQc3OUEUtfyTdCGX-aLwe/view?usp=drivesdk")</f>
        <v>https://drive.google.com/file/d/1kI1x-3Qg6ESIQc3OUEUtfyTdCGX-aLwe/view?usp=drivesdk</v>
      </c>
      <c r="D3492" s="12"/>
      <c r="E3492" s="11">
        <v>3530.0</v>
      </c>
      <c r="F3492" s="2"/>
    </row>
    <row r="3493" ht="1.5" customHeight="1">
      <c r="A3493" s="4" t="str">
        <f>IFERROR(__xludf.DUMMYFUNCTION("""COMPUTED_VALUE"""),"73. Coronavirus")</f>
        <v>73. Coronavirus</v>
      </c>
      <c r="B3493" s="4" t="str">
        <f>IFERROR(__xludf.DUMMYFUNCTION("""COMPUTED_VALUE"""),"73")</f>
        <v>73</v>
      </c>
      <c r="C3493" s="5" t="str">
        <f>IFERROR(__xludf.DUMMYFUNCTION("""COMPUTED_VALUE"""),"https://drive.google.com/file/d/1t0OtxmVXdxb3vQFf7mpKCgliIkoK9gfW/view?usp=drivesdk")</f>
        <v>https://drive.google.com/file/d/1t0OtxmVXdxb3vQFf7mpKCgliIkoK9gfW/view?usp=drivesdk</v>
      </c>
      <c r="D3493" s="12"/>
      <c r="E3493" s="11">
        <v>3531.0</v>
      </c>
      <c r="F3493" s="2"/>
    </row>
    <row r="3494" ht="1.5" customHeight="1">
      <c r="A3494" s="4" t="str">
        <f>IFERROR(__xludf.DUMMYFUNCTION("""COMPUTED_VALUE"""),"73. Coronavirus")</f>
        <v>73. Coronavirus</v>
      </c>
      <c r="B3494" s="4" t="str">
        <f>IFERROR(__xludf.DUMMYFUNCTION("""COMPUTED_VALUE"""),"73")</f>
        <v>73</v>
      </c>
      <c r="C3494" s="5" t="str">
        <f>IFERROR(__xludf.DUMMYFUNCTION("""COMPUTED_VALUE"""),"https://drive.google.com/file/d/1LxBmesyPNmZIk7w2H5fyoBa5rzroBbZ6/view?usp=drivesdk")</f>
        <v>https://drive.google.com/file/d/1LxBmesyPNmZIk7w2H5fyoBa5rzroBbZ6/view?usp=drivesdk</v>
      </c>
      <c r="D3494" s="12"/>
      <c r="E3494" s="11">
        <v>3532.0</v>
      </c>
      <c r="F3494" s="2"/>
    </row>
    <row r="3495" ht="1.5" customHeight="1">
      <c r="A3495" s="4" t="str">
        <f>IFERROR(__xludf.DUMMYFUNCTION("""COMPUTED_VALUE"""),"73. Coronavirus")</f>
        <v>73. Coronavirus</v>
      </c>
      <c r="B3495" s="4" t="str">
        <f>IFERROR(__xludf.DUMMYFUNCTION("""COMPUTED_VALUE"""),"73")</f>
        <v>73</v>
      </c>
      <c r="C3495" s="5" t="str">
        <f>IFERROR(__xludf.DUMMYFUNCTION("""COMPUTED_VALUE"""),"https://drive.google.com/file/d/1UWW3BbqFyx_LP9kYiEJELQi8RkiW708s/view?usp=drivesdk")</f>
        <v>https://drive.google.com/file/d/1UWW3BbqFyx_LP9kYiEJELQi8RkiW708s/view?usp=drivesdk</v>
      </c>
      <c r="D3495" s="12"/>
      <c r="E3495" s="11">
        <v>3533.0</v>
      </c>
      <c r="F3495" s="2"/>
    </row>
    <row r="3496" ht="1.5" customHeight="1">
      <c r="A3496" s="4" t="str">
        <f>IFERROR(__xludf.DUMMYFUNCTION("""COMPUTED_VALUE"""),"73. Coronavirus")</f>
        <v>73. Coronavirus</v>
      </c>
      <c r="B3496" s="4" t="str">
        <f>IFERROR(__xludf.DUMMYFUNCTION("""COMPUTED_VALUE"""),"73")</f>
        <v>73</v>
      </c>
      <c r="C3496" s="5" t="str">
        <f>IFERROR(__xludf.DUMMYFUNCTION("""COMPUTED_VALUE"""),"https://drive.google.com/file/d/1LMTtyO6nVZLBcrdfIet5Uxp6lqUnLoud/view?usp=drivesdk")</f>
        <v>https://drive.google.com/file/d/1LMTtyO6nVZLBcrdfIet5Uxp6lqUnLoud/view?usp=drivesdk</v>
      </c>
      <c r="D3496" s="12"/>
      <c r="E3496" s="11">
        <v>3534.0</v>
      </c>
      <c r="F3496" s="2"/>
    </row>
    <row r="3497" ht="1.5" customHeight="1">
      <c r="A3497" s="4" t="str">
        <f>IFERROR(__xludf.DUMMYFUNCTION("""COMPUTED_VALUE"""),"73. Coronavirus")</f>
        <v>73. Coronavirus</v>
      </c>
      <c r="B3497" s="4" t="str">
        <f>IFERROR(__xludf.DUMMYFUNCTION("""COMPUTED_VALUE"""),"73")</f>
        <v>73</v>
      </c>
      <c r="C3497" s="5" t="str">
        <f>IFERROR(__xludf.DUMMYFUNCTION("""COMPUTED_VALUE"""),"https://drive.google.com/file/d/1PjTEZZ4UXH0I8pOKbN2rd-gTtw5DmKcb/view?usp=drivesdk")</f>
        <v>https://drive.google.com/file/d/1PjTEZZ4UXH0I8pOKbN2rd-gTtw5DmKcb/view?usp=drivesdk</v>
      </c>
      <c r="D3497" s="12"/>
      <c r="E3497" s="11">
        <v>3535.0</v>
      </c>
      <c r="F3497" s="2"/>
    </row>
    <row r="3498" ht="1.5" customHeight="1">
      <c r="A3498" s="4" t="str">
        <f>IFERROR(__xludf.DUMMYFUNCTION("""COMPUTED_VALUE"""),"73. Coronavirus")</f>
        <v>73. Coronavirus</v>
      </c>
      <c r="B3498" s="4" t="str">
        <f>IFERROR(__xludf.DUMMYFUNCTION("""COMPUTED_VALUE"""),"73")</f>
        <v>73</v>
      </c>
      <c r="C3498" s="5" t="str">
        <f>IFERROR(__xludf.DUMMYFUNCTION("""COMPUTED_VALUE"""),"https://drive.google.com/file/d/1EC1qRycAQcqi1lC3rrYGFw3gv7_oSVj8/view?usp=drivesdk")</f>
        <v>https://drive.google.com/file/d/1EC1qRycAQcqi1lC3rrYGFw3gv7_oSVj8/view?usp=drivesdk</v>
      </c>
      <c r="D3498" s="12"/>
      <c r="E3498" s="11">
        <v>3536.0</v>
      </c>
      <c r="F3498" s="2"/>
    </row>
    <row r="3499" ht="1.5" customHeight="1">
      <c r="A3499" s="4" t="str">
        <f>IFERROR(__xludf.DUMMYFUNCTION("""COMPUTED_VALUE"""),"73. Coronavirus")</f>
        <v>73. Coronavirus</v>
      </c>
      <c r="B3499" s="4" t="str">
        <f>IFERROR(__xludf.DUMMYFUNCTION("""COMPUTED_VALUE"""),"73")</f>
        <v>73</v>
      </c>
      <c r="C3499" s="5" t="str">
        <f>IFERROR(__xludf.DUMMYFUNCTION("""COMPUTED_VALUE"""),"https://drive.google.com/file/d/1OtDSEHx9PVWQ_kPyu4h8DMQHk6v1-_R_/view?usp=drivesdk")</f>
        <v>https://drive.google.com/file/d/1OtDSEHx9PVWQ_kPyu4h8DMQHk6v1-_R_/view?usp=drivesdk</v>
      </c>
      <c r="D3499" s="12"/>
      <c r="E3499" s="11">
        <v>3537.0</v>
      </c>
      <c r="F3499" s="2"/>
    </row>
    <row r="3500" ht="1.5" customHeight="1">
      <c r="A3500" s="4" t="str">
        <f>IFERROR(__xludf.DUMMYFUNCTION("""COMPUTED_VALUE"""),"73. Coronavirus")</f>
        <v>73. Coronavirus</v>
      </c>
      <c r="B3500" s="4" t="str">
        <f>IFERROR(__xludf.DUMMYFUNCTION("""COMPUTED_VALUE"""),"73")</f>
        <v>73</v>
      </c>
      <c r="C3500" s="5" t="str">
        <f>IFERROR(__xludf.DUMMYFUNCTION("""COMPUTED_VALUE"""),"https://drive.google.com/file/d/1TGDLm4e_a28hXqGdukYfKw4M_wAvxBLF/view?usp=drivesdk")</f>
        <v>https://drive.google.com/file/d/1TGDLm4e_a28hXqGdukYfKw4M_wAvxBLF/view?usp=drivesdk</v>
      </c>
      <c r="D3500" s="12"/>
      <c r="E3500" s="11">
        <v>3538.0</v>
      </c>
      <c r="F3500" s="2"/>
    </row>
    <row r="3501" ht="1.5" customHeight="1">
      <c r="A3501" s="4" t="str">
        <f>IFERROR(__xludf.DUMMYFUNCTION("""COMPUTED_VALUE"""),"73. Coronavirus")</f>
        <v>73. Coronavirus</v>
      </c>
      <c r="B3501" s="4" t="str">
        <f>IFERROR(__xludf.DUMMYFUNCTION("""COMPUTED_VALUE"""),"73")</f>
        <v>73</v>
      </c>
      <c r="C3501" s="5" t="str">
        <f>IFERROR(__xludf.DUMMYFUNCTION("""COMPUTED_VALUE"""),"https://drive.google.com/file/d/1-Gmzl7Pdenxpnr04kShCztZRkimpPFTV/view?usp=drivesdk")</f>
        <v>https://drive.google.com/file/d/1-Gmzl7Pdenxpnr04kShCztZRkimpPFTV/view?usp=drivesdk</v>
      </c>
      <c r="D3501" s="12"/>
      <c r="E3501" s="11">
        <v>3539.0</v>
      </c>
      <c r="F3501" s="2"/>
    </row>
    <row r="3502" ht="1.5" customHeight="1">
      <c r="A3502" s="4" t="str">
        <f>IFERROR(__xludf.DUMMYFUNCTION("""COMPUTED_VALUE"""),"73. Coronavirus")</f>
        <v>73. Coronavirus</v>
      </c>
      <c r="B3502" s="4" t="str">
        <f>IFERROR(__xludf.DUMMYFUNCTION("""COMPUTED_VALUE"""),"73")</f>
        <v>73</v>
      </c>
      <c r="C3502" s="5" t="str">
        <f>IFERROR(__xludf.DUMMYFUNCTION("""COMPUTED_VALUE"""),"https://drive.google.com/file/d/1wsH2GeWBjlR_5uRDW5YEoDCrLXV4BkOF/view?usp=drivesdk")</f>
        <v>https://drive.google.com/file/d/1wsH2GeWBjlR_5uRDW5YEoDCrLXV4BkOF/view?usp=drivesdk</v>
      </c>
      <c r="D3502" s="12"/>
      <c r="E3502" s="11">
        <v>3540.0</v>
      </c>
      <c r="F3502" s="2"/>
    </row>
    <row r="3503" ht="1.5" customHeight="1">
      <c r="A3503" s="4" t="str">
        <f>IFERROR(__xludf.DUMMYFUNCTION("""COMPUTED_VALUE"""),"73. Coronavirus")</f>
        <v>73. Coronavirus</v>
      </c>
      <c r="B3503" s="4" t="str">
        <f>IFERROR(__xludf.DUMMYFUNCTION("""COMPUTED_VALUE"""),"73")</f>
        <v>73</v>
      </c>
      <c r="C3503" s="5" t="str">
        <f>IFERROR(__xludf.DUMMYFUNCTION("""COMPUTED_VALUE"""),"https://drive.google.com/file/d/1_VZkNO5p7vH0rOqZJmSZJtCEBVM_7Y67/view?usp=drivesdk")</f>
        <v>https://drive.google.com/file/d/1_VZkNO5p7vH0rOqZJmSZJtCEBVM_7Y67/view?usp=drivesdk</v>
      </c>
      <c r="D3503" s="12"/>
      <c r="E3503" s="11">
        <v>3541.0</v>
      </c>
      <c r="F3503" s="2"/>
    </row>
    <row r="3504" ht="1.5" customHeight="1">
      <c r="A3504" s="4" t="str">
        <f>IFERROR(__xludf.DUMMYFUNCTION("""COMPUTED_VALUE"""),"2. Twix")</f>
        <v>2. Twix</v>
      </c>
      <c r="B3504" s="4" t="str">
        <f>IFERROR(__xludf.DUMMYFUNCTION("""COMPUTED_VALUE"""),"2")</f>
        <v>2</v>
      </c>
      <c r="C3504" s="5" t="str">
        <f>IFERROR(__xludf.DUMMYFUNCTION("""COMPUTED_VALUE"""),"https://drive.google.com/file/d/1Hdi8dOAZxQGg90jHk-io82aNTLa7mg6X/view?usp=drivesdk")</f>
        <v>https://drive.google.com/file/d/1Hdi8dOAZxQGg90jHk-io82aNTLa7mg6X/view?usp=drivesdk</v>
      </c>
      <c r="D3504" s="12"/>
      <c r="E3504" s="11">
        <v>3542.0</v>
      </c>
      <c r="F3504" s="2"/>
    </row>
    <row r="3505" ht="1.5" customHeight="1">
      <c r="A3505" s="4" t="str">
        <f>IFERROR(__xludf.DUMMYFUNCTION("""COMPUTED_VALUE"""),"73. Coronavirus")</f>
        <v>73. Coronavirus</v>
      </c>
      <c r="B3505" s="4" t="str">
        <f>IFERROR(__xludf.DUMMYFUNCTION("""COMPUTED_VALUE"""),"73")</f>
        <v>73</v>
      </c>
      <c r="C3505" s="5" t="str">
        <f>IFERROR(__xludf.DUMMYFUNCTION("""COMPUTED_VALUE"""),"https://drive.google.com/file/d/1HJpqyaCHB_E6efIPnkRy98eiT-6-qanc/view?usp=drivesdk")</f>
        <v>https://drive.google.com/file/d/1HJpqyaCHB_E6efIPnkRy98eiT-6-qanc/view?usp=drivesdk</v>
      </c>
      <c r="D3505" s="12"/>
      <c r="E3505" s="11">
        <v>3543.0</v>
      </c>
      <c r="F3505" s="2"/>
    </row>
    <row r="3506" ht="1.5" customHeight="1">
      <c r="A3506" s="4" t="str">
        <f>IFERROR(__xludf.DUMMYFUNCTION("""COMPUTED_VALUE"""),"2. Twix")</f>
        <v>2. Twix</v>
      </c>
      <c r="B3506" s="4" t="str">
        <f>IFERROR(__xludf.DUMMYFUNCTION("""COMPUTED_VALUE"""),"2")</f>
        <v>2</v>
      </c>
      <c r="C3506" s="5" t="str">
        <f>IFERROR(__xludf.DUMMYFUNCTION("""COMPUTED_VALUE"""),"https://drive.google.com/file/d/14kLnkGTFxcICFi8Q2a9OdmQMWuF349Rf/view?usp=drivesdk")</f>
        <v>https://drive.google.com/file/d/14kLnkGTFxcICFi8Q2a9OdmQMWuF349Rf/view?usp=drivesdk</v>
      </c>
      <c r="D3506" s="12"/>
      <c r="E3506" s="11">
        <v>3544.0</v>
      </c>
      <c r="F3506" s="2"/>
    </row>
    <row r="3507" ht="1.5" customHeight="1">
      <c r="A3507" s="4" t="str">
        <f>IFERROR(__xludf.DUMMYFUNCTION("""COMPUTED_VALUE"""),"2. Twix")</f>
        <v>2. Twix</v>
      </c>
      <c r="B3507" s="4" t="str">
        <f>IFERROR(__xludf.DUMMYFUNCTION("""COMPUTED_VALUE"""),"2")</f>
        <v>2</v>
      </c>
      <c r="C3507" s="5" t="str">
        <f>IFERROR(__xludf.DUMMYFUNCTION("""COMPUTED_VALUE"""),"https://drive.google.com/file/d/1TqyrHJnPEy45D_d6z-rgFCb_CtJ7aStY/view?usp=drivesdk")</f>
        <v>https://drive.google.com/file/d/1TqyrHJnPEy45D_d6z-rgFCb_CtJ7aStY/view?usp=drivesdk</v>
      </c>
      <c r="D3507" s="12"/>
      <c r="E3507" s="11">
        <v>3545.0</v>
      </c>
      <c r="F3507" s="2"/>
    </row>
    <row r="3508" ht="1.5" customHeight="1">
      <c r="A3508" s="4" t="str">
        <f>IFERROR(__xludf.DUMMYFUNCTION("""COMPUTED_VALUE"""),"73. Coronavirus")</f>
        <v>73. Coronavirus</v>
      </c>
      <c r="B3508" s="4" t="str">
        <f>IFERROR(__xludf.DUMMYFUNCTION("""COMPUTED_VALUE"""),"73")</f>
        <v>73</v>
      </c>
      <c r="C3508" s="5" t="str">
        <f>IFERROR(__xludf.DUMMYFUNCTION("""COMPUTED_VALUE"""),"https://drive.google.com/file/d/182jOnvLLw5ixs5IbjwzciCF6aQwDAdXE/view?usp=drivesdk")</f>
        <v>https://drive.google.com/file/d/182jOnvLLw5ixs5IbjwzciCF6aQwDAdXE/view?usp=drivesdk</v>
      </c>
      <c r="D3508" s="12"/>
      <c r="E3508" s="11">
        <v>3546.0</v>
      </c>
      <c r="F3508" s="2"/>
    </row>
    <row r="3509" ht="1.5" customHeight="1">
      <c r="A3509" s="4" t="str">
        <f>IFERROR(__xludf.DUMMYFUNCTION("""COMPUTED_VALUE"""),"2. Twix")</f>
        <v>2. Twix</v>
      </c>
      <c r="B3509" s="4" t="str">
        <f>IFERROR(__xludf.DUMMYFUNCTION("""COMPUTED_VALUE"""),"2")</f>
        <v>2</v>
      </c>
      <c r="C3509" s="5" t="str">
        <f>IFERROR(__xludf.DUMMYFUNCTION("""COMPUTED_VALUE"""),"https://drive.google.com/file/d/1ZmgvfUEa_oFhl9H_fTK8aRk8ZPhtGHfg/view?usp=drivesdk")</f>
        <v>https://drive.google.com/file/d/1ZmgvfUEa_oFhl9H_fTK8aRk8ZPhtGHfg/view?usp=drivesdk</v>
      </c>
      <c r="D3509" s="12"/>
      <c r="E3509" s="11">
        <v>3547.0</v>
      </c>
      <c r="F3509" s="2"/>
    </row>
    <row r="3510" ht="1.5" customHeight="1">
      <c r="A3510" s="4" t="str">
        <f>IFERROR(__xludf.DUMMYFUNCTION("""COMPUTED_VALUE"""),"2. Twix")</f>
        <v>2. Twix</v>
      </c>
      <c r="B3510" s="4" t="str">
        <f>IFERROR(__xludf.DUMMYFUNCTION("""COMPUTED_VALUE"""),"2")</f>
        <v>2</v>
      </c>
      <c r="C3510" s="5" t="str">
        <f>IFERROR(__xludf.DUMMYFUNCTION("""COMPUTED_VALUE"""),"https://drive.google.com/file/d/1Rx_o3hn58cq8dlHSX_kisdOk0U73nq1I/view?usp=drivesdk")</f>
        <v>https://drive.google.com/file/d/1Rx_o3hn58cq8dlHSX_kisdOk0U73nq1I/view?usp=drivesdk</v>
      </c>
      <c r="D3510" s="12"/>
      <c r="E3510" s="11">
        <v>3548.0</v>
      </c>
      <c r="F3510" s="2"/>
    </row>
    <row r="3511" ht="1.5" customHeight="1">
      <c r="A3511" s="4" t="str">
        <f>IFERROR(__xludf.DUMMYFUNCTION("""COMPUTED_VALUE"""),"73. Coronavirus")</f>
        <v>73. Coronavirus</v>
      </c>
      <c r="B3511" s="4" t="str">
        <f>IFERROR(__xludf.DUMMYFUNCTION("""COMPUTED_VALUE"""),"73")</f>
        <v>73</v>
      </c>
      <c r="C3511" s="5" t="str">
        <f>IFERROR(__xludf.DUMMYFUNCTION("""COMPUTED_VALUE"""),"https://drive.google.com/file/d/1uu9d_iMsV2PJ5O_VS69fe6Bc3KfnwRVt/view?usp=drivesdk")</f>
        <v>https://drive.google.com/file/d/1uu9d_iMsV2PJ5O_VS69fe6Bc3KfnwRVt/view?usp=drivesdk</v>
      </c>
      <c r="D3511" s="12"/>
      <c r="E3511" s="11">
        <v>3549.0</v>
      </c>
      <c r="F3511" s="2"/>
    </row>
    <row r="3512" ht="1.5" customHeight="1">
      <c r="A3512" s="4" t="str">
        <f>IFERROR(__xludf.DUMMYFUNCTION("""COMPUTED_VALUE"""),"2. Twix")</f>
        <v>2. Twix</v>
      </c>
      <c r="B3512" s="4" t="str">
        <f>IFERROR(__xludf.DUMMYFUNCTION("""COMPUTED_VALUE"""),"2")</f>
        <v>2</v>
      </c>
      <c r="C3512" s="5" t="str">
        <f>IFERROR(__xludf.DUMMYFUNCTION("""COMPUTED_VALUE"""),"https://drive.google.com/file/d/1T-GesFSt6cKofsWNoAkr1IWoQgGV8fc2/view?usp=drivesdk")</f>
        <v>https://drive.google.com/file/d/1T-GesFSt6cKofsWNoAkr1IWoQgGV8fc2/view?usp=drivesdk</v>
      </c>
      <c r="D3512" s="12"/>
      <c r="E3512" s="11">
        <v>3550.0</v>
      </c>
      <c r="F3512" s="2"/>
    </row>
    <row r="3513" ht="1.5" customHeight="1">
      <c r="A3513" s="4" t="str">
        <f>IFERROR(__xludf.DUMMYFUNCTION("""COMPUTED_VALUE"""),"73. Coronavirus")</f>
        <v>73. Coronavirus</v>
      </c>
      <c r="B3513" s="4" t="str">
        <f>IFERROR(__xludf.DUMMYFUNCTION("""COMPUTED_VALUE"""),"73")</f>
        <v>73</v>
      </c>
      <c r="C3513" s="5" t="str">
        <f>IFERROR(__xludf.DUMMYFUNCTION("""COMPUTED_VALUE"""),"https://drive.google.com/file/d/1g_9sjsE1NOHfRxKdstH76DBzTqFOMzlX/view?usp=drivesdk")</f>
        <v>https://drive.google.com/file/d/1g_9sjsE1NOHfRxKdstH76DBzTqFOMzlX/view?usp=drivesdk</v>
      </c>
      <c r="D3513" s="12"/>
      <c r="E3513" s="11">
        <v>3551.0</v>
      </c>
      <c r="F3513" s="2"/>
    </row>
    <row r="3514" ht="1.5" customHeight="1">
      <c r="A3514" s="4" t="str">
        <f>IFERROR(__xludf.DUMMYFUNCTION("""COMPUTED_VALUE"""),"73. Coronavirus, 5. Eraser")</f>
        <v>73. Coronavirus, 5. Eraser</v>
      </c>
      <c r="B3514" s="4" t="str">
        <f>IFERROR(__xludf.DUMMYFUNCTION("""COMPUTED_VALUE"""),"73, 5")</f>
        <v>73, 5</v>
      </c>
      <c r="C3514" s="5" t="str">
        <f>IFERROR(__xludf.DUMMYFUNCTION("""COMPUTED_VALUE"""),"https://drive.google.com/file/d/1laA-IvsVPVYiwFymU6N3R1ZJQxE-6M0g/view?usp=drivesdk")</f>
        <v>https://drive.google.com/file/d/1laA-IvsVPVYiwFymU6N3R1ZJQxE-6M0g/view?usp=drivesdk</v>
      </c>
      <c r="D3514" s="12"/>
      <c r="E3514" s="11">
        <v>3552.0</v>
      </c>
      <c r="F3514" s="2"/>
    </row>
    <row r="3515" ht="1.5" customHeight="1">
      <c r="A3515" s="4" t="str">
        <f>IFERROR(__xludf.DUMMYFUNCTION("""COMPUTED_VALUE"""),"2. Twix")</f>
        <v>2. Twix</v>
      </c>
      <c r="B3515" s="4" t="str">
        <f>IFERROR(__xludf.DUMMYFUNCTION("""COMPUTED_VALUE"""),"2")</f>
        <v>2</v>
      </c>
      <c r="C3515" s="5" t="str">
        <f>IFERROR(__xludf.DUMMYFUNCTION("""COMPUTED_VALUE"""),"https://drive.google.com/file/d/1V_rRuIYemOJQrvpyEYMqfx8jZgiuc8ZQ/view?usp=drivesdk")</f>
        <v>https://drive.google.com/file/d/1V_rRuIYemOJQrvpyEYMqfx8jZgiuc8ZQ/view?usp=drivesdk</v>
      </c>
      <c r="D3515" s="12"/>
      <c r="E3515" s="11">
        <v>3553.0</v>
      </c>
      <c r="F3515" s="2"/>
    </row>
    <row r="3516" ht="1.5" customHeight="1">
      <c r="A3516" s="4" t="str">
        <f>IFERROR(__xludf.DUMMYFUNCTION("""COMPUTED_VALUE"""),"73. Coronavirus")</f>
        <v>73. Coronavirus</v>
      </c>
      <c r="B3516" s="4" t="str">
        <f>IFERROR(__xludf.DUMMYFUNCTION("""COMPUTED_VALUE"""),"73")</f>
        <v>73</v>
      </c>
      <c r="C3516" s="5" t="str">
        <f>IFERROR(__xludf.DUMMYFUNCTION("""COMPUTED_VALUE"""),"https://drive.google.com/file/d/1RgznGhGLyJ7BNiBvfmKdwRj_b5qeS96J/view?usp=drivesdk")</f>
        <v>https://drive.google.com/file/d/1RgznGhGLyJ7BNiBvfmKdwRj_b5qeS96J/view?usp=drivesdk</v>
      </c>
      <c r="D3516" s="12"/>
      <c r="E3516" s="11">
        <v>3554.0</v>
      </c>
      <c r="F3516" s="2"/>
    </row>
    <row r="3517" ht="1.5" customHeight="1">
      <c r="A3517" s="4" t="str">
        <f>IFERROR(__xludf.DUMMYFUNCTION("""COMPUTED_VALUE"""),"73. Coronavirus")</f>
        <v>73. Coronavirus</v>
      </c>
      <c r="B3517" s="4" t="str">
        <f>IFERROR(__xludf.DUMMYFUNCTION("""COMPUTED_VALUE"""),"73")</f>
        <v>73</v>
      </c>
      <c r="C3517" s="5" t="str">
        <f>IFERROR(__xludf.DUMMYFUNCTION("""COMPUTED_VALUE"""),"https://drive.google.com/file/d/1Hy6Zjfh5WqhAJio_9gI-da0bZ08DzjTD/view?usp=drivesdk")</f>
        <v>https://drive.google.com/file/d/1Hy6Zjfh5WqhAJio_9gI-da0bZ08DzjTD/view?usp=drivesdk</v>
      </c>
      <c r="D3517" s="12"/>
      <c r="E3517" s="11">
        <v>3555.0</v>
      </c>
      <c r="F3517" s="2"/>
    </row>
    <row r="3518" ht="1.5" customHeight="1">
      <c r="A3518" s="4" t="str">
        <f>IFERROR(__xludf.DUMMYFUNCTION("""COMPUTED_VALUE"""),"73. Coronavirus, 5. Eraser")</f>
        <v>73. Coronavirus, 5. Eraser</v>
      </c>
      <c r="B3518" s="4" t="str">
        <f>IFERROR(__xludf.DUMMYFUNCTION("""COMPUTED_VALUE"""),"73, 5")</f>
        <v>73, 5</v>
      </c>
      <c r="C3518" s="5" t="str">
        <f>IFERROR(__xludf.DUMMYFUNCTION("""COMPUTED_VALUE"""),"https://drive.google.com/file/d/1J9vDBM_nVggTE9rJG2BIHSKdYfkitV2T/view?usp=drivesdk")</f>
        <v>https://drive.google.com/file/d/1J9vDBM_nVggTE9rJG2BIHSKdYfkitV2T/view?usp=drivesdk</v>
      </c>
      <c r="D3518" s="12"/>
      <c r="E3518" s="11">
        <v>3556.0</v>
      </c>
      <c r="F3518" s="2"/>
    </row>
    <row r="3519" ht="1.5" customHeight="1">
      <c r="A3519" s="4" t="str">
        <f>IFERROR(__xludf.DUMMYFUNCTION("""COMPUTED_VALUE"""),"73. Coronavirus")</f>
        <v>73. Coronavirus</v>
      </c>
      <c r="B3519" s="4" t="str">
        <f>IFERROR(__xludf.DUMMYFUNCTION("""COMPUTED_VALUE"""),"73")</f>
        <v>73</v>
      </c>
      <c r="C3519" s="5" t="str">
        <f>IFERROR(__xludf.DUMMYFUNCTION("""COMPUTED_VALUE"""),"https://drive.google.com/file/d/1gbYtjKF7Z5vNv-ftvoOoNjUy5gHZBTgM/view?usp=drivesdk")</f>
        <v>https://drive.google.com/file/d/1gbYtjKF7Z5vNv-ftvoOoNjUy5gHZBTgM/view?usp=drivesdk</v>
      </c>
      <c r="D3519" s="12"/>
      <c r="E3519" s="11">
        <v>3557.0</v>
      </c>
      <c r="F3519" s="2"/>
    </row>
    <row r="3520" ht="1.5" customHeight="1">
      <c r="A3520" s="4" t="str">
        <f>IFERROR(__xludf.DUMMYFUNCTION("""COMPUTED_VALUE"""),"4. Eggs")</f>
        <v>4. Eggs</v>
      </c>
      <c r="B3520" s="4" t="str">
        <f>IFERROR(__xludf.DUMMYFUNCTION("""COMPUTED_VALUE"""),"4")</f>
        <v>4</v>
      </c>
      <c r="C3520" s="5" t="str">
        <f>IFERROR(__xludf.DUMMYFUNCTION("""COMPUTED_VALUE"""),"https://drive.google.com/file/d/18-HEPTzoBkx19kzwshLetE4ZzfJuY96Y/view?usp=drivesdk")</f>
        <v>https://drive.google.com/file/d/18-HEPTzoBkx19kzwshLetE4ZzfJuY96Y/view?usp=drivesdk</v>
      </c>
      <c r="D3520" s="12"/>
      <c r="E3520" s="11">
        <v>3558.0</v>
      </c>
      <c r="F3520" s="2"/>
    </row>
    <row r="3521" ht="1.5" customHeight="1">
      <c r="A3521" s="4" t="str">
        <f>IFERROR(__xludf.DUMMYFUNCTION("""COMPUTED_VALUE"""),"4. Eggs")</f>
        <v>4. Eggs</v>
      </c>
      <c r="B3521" s="4" t="str">
        <f>IFERROR(__xludf.DUMMYFUNCTION("""COMPUTED_VALUE"""),"4")</f>
        <v>4</v>
      </c>
      <c r="C3521" s="5" t="str">
        <f>IFERROR(__xludf.DUMMYFUNCTION("""COMPUTED_VALUE"""),"https://drive.google.com/file/d/1WJM0f4SiIPPzGsZFtbm1l-Hd1yTD6iRw/view?usp=drivesdk")</f>
        <v>https://drive.google.com/file/d/1WJM0f4SiIPPzGsZFtbm1l-Hd1yTD6iRw/view?usp=drivesdk</v>
      </c>
      <c r="D3521" s="12"/>
      <c r="E3521" s="11">
        <v>3559.0</v>
      </c>
      <c r="F3521" s="2"/>
    </row>
    <row r="3522" ht="1.5" customHeight="1">
      <c r="A3522" s="4" t="str">
        <f>IFERROR(__xludf.DUMMYFUNCTION("""COMPUTED_VALUE"""),"4. Eggs")</f>
        <v>4. Eggs</v>
      </c>
      <c r="B3522" s="4" t="str">
        <f>IFERROR(__xludf.DUMMYFUNCTION("""COMPUTED_VALUE"""),"4")</f>
        <v>4</v>
      </c>
      <c r="C3522" s="5" t="str">
        <f>IFERROR(__xludf.DUMMYFUNCTION("""COMPUTED_VALUE"""),"https://drive.google.com/file/d/1Ld8eiATBBldljNS8vLwjU9t6j6oiOq10/view?usp=drivesdk")</f>
        <v>https://drive.google.com/file/d/1Ld8eiATBBldljNS8vLwjU9t6j6oiOq10/view?usp=drivesdk</v>
      </c>
      <c r="D3522" s="12"/>
      <c r="E3522" s="11">
        <v>3560.0</v>
      </c>
      <c r="F3522" s="2"/>
    </row>
    <row r="3523" ht="1.5" customHeight="1">
      <c r="A3523" s="4" t="str">
        <f>IFERROR(__xludf.DUMMYFUNCTION("""COMPUTED_VALUE"""),"73. Coronavirus")</f>
        <v>73. Coronavirus</v>
      </c>
      <c r="B3523" s="4" t="str">
        <f>IFERROR(__xludf.DUMMYFUNCTION("""COMPUTED_VALUE"""),"73")</f>
        <v>73</v>
      </c>
      <c r="C3523" s="5" t="str">
        <f>IFERROR(__xludf.DUMMYFUNCTION("""COMPUTED_VALUE"""),"https://drive.google.com/file/d/1kT37NyHIb3aN2hUvAax5mZo2hrYaBjdT/view?usp=drivesdk")</f>
        <v>https://drive.google.com/file/d/1kT37NyHIb3aN2hUvAax5mZo2hrYaBjdT/view?usp=drivesdk</v>
      </c>
      <c r="D3523" s="12"/>
      <c r="E3523" s="11">
        <v>3561.0</v>
      </c>
      <c r="F3523" s="2"/>
    </row>
    <row r="3524" ht="1.5" customHeight="1">
      <c r="A3524" s="4" t="str">
        <f>IFERROR(__xludf.DUMMYFUNCTION("""COMPUTED_VALUE"""),"5. Eraser")</f>
        <v>5. Eraser</v>
      </c>
      <c r="B3524" s="4" t="str">
        <f>IFERROR(__xludf.DUMMYFUNCTION("""COMPUTED_VALUE"""),"5")</f>
        <v>5</v>
      </c>
      <c r="C3524" s="5" t="str">
        <f>IFERROR(__xludf.DUMMYFUNCTION("""COMPUTED_VALUE"""),"https://drive.google.com/file/d/1DARRIexaFwIhz65oUP3hOSNq63fxItEL/view?usp=drivesdk")</f>
        <v>https://drive.google.com/file/d/1DARRIexaFwIhz65oUP3hOSNq63fxItEL/view?usp=drivesdk</v>
      </c>
      <c r="D3524" s="12"/>
      <c r="E3524" s="11">
        <v>3562.0</v>
      </c>
      <c r="F3524" s="2"/>
    </row>
    <row r="3525" ht="1.5" customHeight="1">
      <c r="A3525" s="4" t="str">
        <f>IFERROR(__xludf.DUMMYFUNCTION("""COMPUTED_VALUE"""),"4. Eggs")</f>
        <v>4. Eggs</v>
      </c>
      <c r="B3525" s="4" t="str">
        <f>IFERROR(__xludf.DUMMYFUNCTION("""COMPUTED_VALUE"""),"4")</f>
        <v>4</v>
      </c>
      <c r="C3525" s="5" t="str">
        <f>IFERROR(__xludf.DUMMYFUNCTION("""COMPUTED_VALUE"""),"https://drive.google.com/file/d/1uBXwbJBa4s4wHY8EFm5Te0oDnh8qgKTS/view?usp=drivesdk")</f>
        <v>https://drive.google.com/file/d/1uBXwbJBa4s4wHY8EFm5Te0oDnh8qgKTS/view?usp=drivesdk</v>
      </c>
      <c r="D3525" s="12"/>
      <c r="E3525" s="11">
        <v>3563.0</v>
      </c>
      <c r="F3525" s="2"/>
    </row>
    <row r="3526" ht="1.5" customHeight="1">
      <c r="A3526" s="4" t="str">
        <f>IFERROR(__xludf.DUMMYFUNCTION("""COMPUTED_VALUE"""),"4. Eggs")</f>
        <v>4. Eggs</v>
      </c>
      <c r="B3526" s="4" t="str">
        <f>IFERROR(__xludf.DUMMYFUNCTION("""COMPUTED_VALUE"""),"4")</f>
        <v>4</v>
      </c>
      <c r="C3526" s="5" t="str">
        <f>IFERROR(__xludf.DUMMYFUNCTION("""COMPUTED_VALUE"""),"https://drive.google.com/file/d/10CY8p3uAV-zkOCoWIipwTz_IicFrRijq/view?usp=drivesdk")</f>
        <v>https://drive.google.com/file/d/10CY8p3uAV-zkOCoWIipwTz_IicFrRijq/view?usp=drivesdk</v>
      </c>
      <c r="D3526" s="12"/>
      <c r="E3526" s="11">
        <v>3564.0</v>
      </c>
      <c r="F3526" s="2"/>
    </row>
    <row r="3527" ht="1.5" customHeight="1">
      <c r="A3527" s="4" t="str">
        <f>IFERROR(__xludf.DUMMYFUNCTION("""COMPUTED_VALUE"""),"4. Eggs")</f>
        <v>4. Eggs</v>
      </c>
      <c r="B3527" s="4" t="str">
        <f>IFERROR(__xludf.DUMMYFUNCTION("""COMPUTED_VALUE"""),"4")</f>
        <v>4</v>
      </c>
      <c r="C3527" s="5" t="str">
        <f>IFERROR(__xludf.DUMMYFUNCTION("""COMPUTED_VALUE"""),"https://drive.google.com/file/d/1ikKrjxHTkOQ6_IvQh3gYh0Vu1ph6nnSW/view?usp=drivesdk")</f>
        <v>https://drive.google.com/file/d/1ikKrjxHTkOQ6_IvQh3gYh0Vu1ph6nnSW/view?usp=drivesdk</v>
      </c>
      <c r="D3527" s="12"/>
      <c r="E3527" s="11">
        <v>3565.0</v>
      </c>
      <c r="F3527" s="2"/>
    </row>
    <row r="3528" ht="1.5" customHeight="1">
      <c r="A3528" s="4" t="str">
        <f>IFERROR(__xludf.DUMMYFUNCTION("""COMPUTED_VALUE"""),"5. Eraser")</f>
        <v>5. Eraser</v>
      </c>
      <c r="B3528" s="4" t="str">
        <f>IFERROR(__xludf.DUMMYFUNCTION("""COMPUTED_VALUE"""),"5")</f>
        <v>5</v>
      </c>
      <c r="C3528" s="5" t="str">
        <f>IFERROR(__xludf.DUMMYFUNCTION("""COMPUTED_VALUE"""),"https://drive.google.com/file/d/1YKpYDigeDt2OUimVKPHwredWYxwm573F/view?usp=drivesdk")</f>
        <v>https://drive.google.com/file/d/1YKpYDigeDt2OUimVKPHwredWYxwm573F/view?usp=drivesdk</v>
      </c>
      <c r="D3528" s="12"/>
      <c r="E3528" s="11">
        <v>3566.0</v>
      </c>
      <c r="F3528" s="2"/>
    </row>
    <row r="3529" ht="1.5" customHeight="1">
      <c r="A3529" s="4" t="str">
        <f>IFERROR(__xludf.DUMMYFUNCTION("""COMPUTED_VALUE"""),"4. Eggs")</f>
        <v>4. Eggs</v>
      </c>
      <c r="B3529" s="4" t="str">
        <f>IFERROR(__xludf.DUMMYFUNCTION("""COMPUTED_VALUE"""),"4")</f>
        <v>4</v>
      </c>
      <c r="C3529" s="5" t="str">
        <f>IFERROR(__xludf.DUMMYFUNCTION("""COMPUTED_VALUE"""),"https://drive.google.com/file/d/1_F3JxEJwMIocgxpc8kXY25-HOAHT7ylw/view?usp=drivesdk")</f>
        <v>https://drive.google.com/file/d/1_F3JxEJwMIocgxpc8kXY25-HOAHT7ylw/view?usp=drivesdk</v>
      </c>
      <c r="D3529" s="12"/>
      <c r="E3529" s="11">
        <v>3567.0</v>
      </c>
      <c r="F3529" s="2"/>
    </row>
    <row r="3530" ht="1.5" customHeight="1">
      <c r="A3530" s="4" t="str">
        <f>IFERROR(__xludf.DUMMYFUNCTION("""COMPUTED_VALUE"""),"4. Eggs")</f>
        <v>4. Eggs</v>
      </c>
      <c r="B3530" s="4" t="str">
        <f>IFERROR(__xludf.DUMMYFUNCTION("""COMPUTED_VALUE"""),"4")</f>
        <v>4</v>
      </c>
      <c r="C3530" s="5" t="str">
        <f>IFERROR(__xludf.DUMMYFUNCTION("""COMPUTED_VALUE"""),"https://drive.google.com/file/d/1cp3N4Zq04IUo2y-RE2DJHgDRI4m0OX5Q/view?usp=drivesdk")</f>
        <v>https://drive.google.com/file/d/1cp3N4Zq04IUo2y-RE2DJHgDRI4m0OX5Q/view?usp=drivesdk</v>
      </c>
      <c r="D3530" s="12"/>
      <c r="E3530" s="11">
        <v>3568.0</v>
      </c>
      <c r="F3530" s="2"/>
    </row>
    <row r="3531" ht="1.5" customHeight="1">
      <c r="A3531" s="4" t="str">
        <f>IFERROR(__xludf.DUMMYFUNCTION("""COMPUTED_VALUE"""),"73. Coronavirus")</f>
        <v>73. Coronavirus</v>
      </c>
      <c r="B3531" s="4" t="str">
        <f>IFERROR(__xludf.DUMMYFUNCTION("""COMPUTED_VALUE"""),"73")</f>
        <v>73</v>
      </c>
      <c r="C3531" s="5" t="str">
        <f>IFERROR(__xludf.DUMMYFUNCTION("""COMPUTED_VALUE"""),"https://drive.google.com/file/d/19jB8ZMIm3fitAQC04VQcFArP8WRU-VBj/view?usp=drivesdk")</f>
        <v>https://drive.google.com/file/d/19jB8ZMIm3fitAQC04VQcFArP8WRU-VBj/view?usp=drivesdk</v>
      </c>
      <c r="D3531" s="12"/>
      <c r="E3531" s="11">
        <v>3569.0</v>
      </c>
      <c r="F3531" s="2"/>
    </row>
    <row r="3532" ht="1.5" customHeight="1">
      <c r="A3532" s="4" t="str">
        <f>IFERROR(__xludf.DUMMYFUNCTION("""COMPUTED_VALUE"""),"4. Eggs")</f>
        <v>4. Eggs</v>
      </c>
      <c r="B3532" s="4" t="str">
        <f>IFERROR(__xludf.DUMMYFUNCTION("""COMPUTED_VALUE"""),"4")</f>
        <v>4</v>
      </c>
      <c r="C3532" s="5" t="str">
        <f>IFERROR(__xludf.DUMMYFUNCTION("""COMPUTED_VALUE"""),"https://drive.google.com/file/d/18ueF6xA_PKmo98-U0Kjy0SHsiue3YDdO/view?usp=drivesdk")</f>
        <v>https://drive.google.com/file/d/18ueF6xA_PKmo98-U0Kjy0SHsiue3YDdO/view?usp=drivesdk</v>
      </c>
      <c r="D3532" s="12"/>
      <c r="E3532" s="11">
        <v>3570.0</v>
      </c>
      <c r="F3532" s="2"/>
    </row>
    <row r="3533" ht="1.5" customHeight="1">
      <c r="A3533" s="4" t="str">
        <f>IFERROR(__xludf.DUMMYFUNCTION("""COMPUTED_VALUE"""),"5. Eraser")</f>
        <v>5. Eraser</v>
      </c>
      <c r="B3533" s="4" t="str">
        <f>IFERROR(__xludf.DUMMYFUNCTION("""COMPUTED_VALUE"""),"5")</f>
        <v>5</v>
      </c>
      <c r="C3533" s="5" t="str">
        <f>IFERROR(__xludf.DUMMYFUNCTION("""COMPUTED_VALUE"""),"https://drive.google.com/file/d/1qI-Larl5DHPs02rDUEA5gDsrP4b-HaKU/view?usp=drivesdk")</f>
        <v>https://drive.google.com/file/d/1qI-Larl5DHPs02rDUEA5gDsrP4b-HaKU/view?usp=drivesdk</v>
      </c>
      <c r="D3533" s="12"/>
      <c r="E3533" s="11">
        <v>3571.0</v>
      </c>
      <c r="F3533" s="2"/>
    </row>
    <row r="3534" ht="1.5" customHeight="1">
      <c r="A3534" s="4" t="str">
        <f>IFERROR(__xludf.DUMMYFUNCTION("""COMPUTED_VALUE"""),"4. Eggs")</f>
        <v>4. Eggs</v>
      </c>
      <c r="B3534" s="4" t="str">
        <f>IFERROR(__xludf.DUMMYFUNCTION("""COMPUTED_VALUE"""),"4")</f>
        <v>4</v>
      </c>
      <c r="C3534" s="5" t="str">
        <f>IFERROR(__xludf.DUMMYFUNCTION("""COMPUTED_VALUE"""),"https://drive.google.com/file/d/1cclwq4oUGx06ruQV5FHrj2rHvHJUUnpt/view?usp=drivesdk")</f>
        <v>https://drive.google.com/file/d/1cclwq4oUGx06ruQV5FHrj2rHvHJUUnpt/view?usp=drivesdk</v>
      </c>
      <c r="D3534" s="12"/>
      <c r="E3534" s="11">
        <v>3572.0</v>
      </c>
      <c r="F3534" s="2"/>
    </row>
    <row r="3535" ht="1.5" customHeight="1">
      <c r="A3535" s="4" t="str">
        <f>IFERROR(__xludf.DUMMYFUNCTION("""COMPUTED_VALUE"""),"73. Coronavirus")</f>
        <v>73. Coronavirus</v>
      </c>
      <c r="B3535" s="4" t="str">
        <f>IFERROR(__xludf.DUMMYFUNCTION("""COMPUTED_VALUE"""),"73")</f>
        <v>73</v>
      </c>
      <c r="C3535" s="5" t="str">
        <f>IFERROR(__xludf.DUMMYFUNCTION("""COMPUTED_VALUE"""),"https://drive.google.com/file/d/1SyrgeOzbuHxhhojDkrVFdJKlAoPzBcoh/view?usp=drivesdk")</f>
        <v>https://drive.google.com/file/d/1SyrgeOzbuHxhhojDkrVFdJKlAoPzBcoh/view?usp=drivesdk</v>
      </c>
      <c r="D3535" s="12"/>
      <c r="E3535" s="11">
        <v>3573.0</v>
      </c>
      <c r="F3535" s="2"/>
    </row>
    <row r="3536" ht="1.5" customHeight="1">
      <c r="A3536" s="4" t="str">
        <f>IFERROR(__xludf.DUMMYFUNCTION("""COMPUTED_VALUE"""),"4. Eggs")</f>
        <v>4. Eggs</v>
      </c>
      <c r="B3536" s="4" t="str">
        <f>IFERROR(__xludf.DUMMYFUNCTION("""COMPUTED_VALUE"""),"4")</f>
        <v>4</v>
      </c>
      <c r="C3536" s="5" t="str">
        <f>IFERROR(__xludf.DUMMYFUNCTION("""COMPUTED_VALUE"""),"https://drive.google.com/file/d/1rOcSMyqlfR-D8-brG3nNsWwevrHHEvhv/view?usp=drivesdk")</f>
        <v>https://drive.google.com/file/d/1rOcSMyqlfR-D8-brG3nNsWwevrHHEvhv/view?usp=drivesdk</v>
      </c>
      <c r="D3536" s="12"/>
      <c r="E3536" s="11">
        <v>3574.0</v>
      </c>
      <c r="F3536" s="2"/>
    </row>
    <row r="3537" ht="1.5" customHeight="1">
      <c r="A3537" s="4" t="str">
        <f>IFERROR(__xludf.DUMMYFUNCTION("""COMPUTED_VALUE"""),"4. Eggs")</f>
        <v>4. Eggs</v>
      </c>
      <c r="B3537" s="4" t="str">
        <f>IFERROR(__xludf.DUMMYFUNCTION("""COMPUTED_VALUE"""),"4")</f>
        <v>4</v>
      </c>
      <c r="C3537" s="5" t="str">
        <f>IFERROR(__xludf.DUMMYFUNCTION("""COMPUTED_VALUE"""),"https://drive.google.com/file/d/1arNd28c4YLN53jQ0PHG9ARYko2hSbHpt/view?usp=drivesdk")</f>
        <v>https://drive.google.com/file/d/1arNd28c4YLN53jQ0PHG9ARYko2hSbHpt/view?usp=drivesdk</v>
      </c>
      <c r="D3537" s="12"/>
      <c r="E3537" s="11">
        <v>3575.0</v>
      </c>
      <c r="F3537" s="2"/>
    </row>
    <row r="3538" ht="1.5" customHeight="1">
      <c r="A3538" s="4" t="str">
        <f>IFERROR(__xludf.DUMMYFUNCTION("""COMPUTED_VALUE"""),"4. Eggs")</f>
        <v>4. Eggs</v>
      </c>
      <c r="B3538" s="4" t="str">
        <f>IFERROR(__xludf.DUMMYFUNCTION("""COMPUTED_VALUE"""),"4")</f>
        <v>4</v>
      </c>
      <c r="C3538" s="5" t="str">
        <f>IFERROR(__xludf.DUMMYFUNCTION("""COMPUTED_VALUE"""),"https://drive.google.com/file/d/1hqIBS2PggHCVokCL44O0PVnNgm7N2Iho/view?usp=drivesdk")</f>
        <v>https://drive.google.com/file/d/1hqIBS2PggHCVokCL44O0PVnNgm7N2Iho/view?usp=drivesdk</v>
      </c>
      <c r="D3538" s="12"/>
      <c r="E3538" s="11">
        <v>3576.0</v>
      </c>
      <c r="F3538" s="2"/>
    </row>
    <row r="3539" ht="1.5" customHeight="1">
      <c r="A3539" s="4" t="str">
        <f>IFERROR(__xludf.DUMMYFUNCTION("""COMPUTED_VALUE"""),"4. Eggs")</f>
        <v>4. Eggs</v>
      </c>
      <c r="B3539" s="4" t="str">
        <f>IFERROR(__xludf.DUMMYFUNCTION("""COMPUTED_VALUE"""),"4")</f>
        <v>4</v>
      </c>
      <c r="C3539" s="5" t="str">
        <f>IFERROR(__xludf.DUMMYFUNCTION("""COMPUTED_VALUE"""),"https://drive.google.com/file/d/157UkD9fgllP_onT6NqUts4OGDjUz2TIE/view?usp=drivesdk")</f>
        <v>https://drive.google.com/file/d/157UkD9fgllP_onT6NqUts4OGDjUz2TIE/view?usp=drivesdk</v>
      </c>
      <c r="D3539" s="12"/>
      <c r="E3539" s="11">
        <v>3577.0</v>
      </c>
      <c r="F3539" s="2"/>
    </row>
    <row r="3540" ht="1.5" customHeight="1">
      <c r="A3540" s="4" t="str">
        <f>IFERROR(__xludf.DUMMYFUNCTION("""COMPUTED_VALUE"""),"5. Eraser")</f>
        <v>5. Eraser</v>
      </c>
      <c r="B3540" s="4" t="str">
        <f>IFERROR(__xludf.DUMMYFUNCTION("""COMPUTED_VALUE"""),"5")</f>
        <v>5</v>
      </c>
      <c r="C3540" s="5" t="str">
        <f>IFERROR(__xludf.DUMMYFUNCTION("""COMPUTED_VALUE"""),"https://drive.google.com/file/d/1H4cd2USId441z6nV4XKdi63YavUcPMrC/view?usp=drivesdk")</f>
        <v>https://drive.google.com/file/d/1H4cd2USId441z6nV4XKdi63YavUcPMrC/view?usp=drivesdk</v>
      </c>
      <c r="D3540" s="12"/>
      <c r="E3540" s="11">
        <v>3578.0</v>
      </c>
      <c r="F3540" s="2"/>
    </row>
    <row r="3541" ht="1.5" customHeight="1">
      <c r="A3541" s="4" t="str">
        <f>IFERROR(__xludf.DUMMYFUNCTION("""COMPUTED_VALUE"""),"4. Eggs")</f>
        <v>4. Eggs</v>
      </c>
      <c r="B3541" s="4" t="str">
        <f>IFERROR(__xludf.DUMMYFUNCTION("""COMPUTED_VALUE"""),"4")</f>
        <v>4</v>
      </c>
      <c r="C3541" s="5" t="str">
        <f>IFERROR(__xludf.DUMMYFUNCTION("""COMPUTED_VALUE"""),"https://drive.google.com/file/d/1-w_ecR2UJmNC3IfholLCDS2zlfCfV52Y/view?usp=drivesdk")</f>
        <v>https://drive.google.com/file/d/1-w_ecR2UJmNC3IfholLCDS2zlfCfV52Y/view?usp=drivesdk</v>
      </c>
      <c r="D3541" s="12"/>
      <c r="E3541" s="11">
        <v>3579.0</v>
      </c>
      <c r="F3541" s="2"/>
    </row>
    <row r="3542" ht="1.5" customHeight="1">
      <c r="A3542" s="4" t="str">
        <f>IFERROR(__xludf.DUMMYFUNCTION("""COMPUTED_VALUE"""),"4. Eggs")</f>
        <v>4. Eggs</v>
      </c>
      <c r="B3542" s="4" t="str">
        <f>IFERROR(__xludf.DUMMYFUNCTION("""COMPUTED_VALUE"""),"4")</f>
        <v>4</v>
      </c>
      <c r="C3542" s="5" t="str">
        <f>IFERROR(__xludf.DUMMYFUNCTION("""COMPUTED_VALUE"""),"https://drive.google.com/file/d/1yJzW8wVG07PbXwXMXJZj36vGPSoF9jCT/view?usp=drivesdk")</f>
        <v>https://drive.google.com/file/d/1yJzW8wVG07PbXwXMXJZj36vGPSoF9jCT/view?usp=drivesdk</v>
      </c>
      <c r="D3542" s="12"/>
      <c r="E3542" s="11">
        <v>3580.0</v>
      </c>
      <c r="F3542" s="2"/>
    </row>
    <row r="3543" ht="1.5" customHeight="1">
      <c r="A3543" s="4" t="str">
        <f>IFERROR(__xludf.DUMMYFUNCTION("""COMPUTED_VALUE"""),"5. Eraser")</f>
        <v>5. Eraser</v>
      </c>
      <c r="B3543" s="4" t="str">
        <f>IFERROR(__xludf.DUMMYFUNCTION("""COMPUTED_VALUE"""),"5")</f>
        <v>5</v>
      </c>
      <c r="C3543" s="5" t="str">
        <f>IFERROR(__xludf.DUMMYFUNCTION("""COMPUTED_VALUE"""),"https://drive.google.com/file/d/13BBnRBdvHMRzMln-rDj56TChN1aeHekV/view?usp=drivesdk")</f>
        <v>https://drive.google.com/file/d/13BBnRBdvHMRzMln-rDj56TChN1aeHekV/view?usp=drivesdk</v>
      </c>
      <c r="D3543" s="12"/>
      <c r="E3543" s="11">
        <v>3581.0</v>
      </c>
      <c r="F3543" s="2"/>
    </row>
    <row r="3544" ht="1.5" customHeight="1">
      <c r="A3544" s="4" t="str">
        <f>IFERROR(__xludf.DUMMYFUNCTION("""COMPUTED_VALUE"""),"4. Eggs")</f>
        <v>4. Eggs</v>
      </c>
      <c r="B3544" s="4" t="str">
        <f>IFERROR(__xludf.DUMMYFUNCTION("""COMPUTED_VALUE"""),"4")</f>
        <v>4</v>
      </c>
      <c r="C3544" s="5" t="str">
        <f>IFERROR(__xludf.DUMMYFUNCTION("""COMPUTED_VALUE"""),"https://drive.google.com/file/d/1Q9A6tSl9EXoOLWHQ9i9mHRHROcrLiR6Z/view?usp=drivesdk")</f>
        <v>https://drive.google.com/file/d/1Q9A6tSl9EXoOLWHQ9i9mHRHROcrLiR6Z/view?usp=drivesdk</v>
      </c>
      <c r="D3544" s="12"/>
      <c r="E3544" s="11">
        <v>3582.0</v>
      </c>
      <c r="F3544" s="2"/>
    </row>
    <row r="3545" ht="1.5" customHeight="1">
      <c r="A3545" s="4" t="str">
        <f>IFERROR(__xludf.DUMMYFUNCTION("""COMPUTED_VALUE"""),"4. Eggs")</f>
        <v>4. Eggs</v>
      </c>
      <c r="B3545" s="4" t="str">
        <f>IFERROR(__xludf.DUMMYFUNCTION("""COMPUTED_VALUE"""),"4")</f>
        <v>4</v>
      </c>
      <c r="C3545" s="5" t="str">
        <f>IFERROR(__xludf.DUMMYFUNCTION("""COMPUTED_VALUE"""),"https://drive.google.com/file/d/1rNU086jy3y16bYuhmipoqwjgJKu3puth/view?usp=drivesdk")</f>
        <v>https://drive.google.com/file/d/1rNU086jy3y16bYuhmipoqwjgJKu3puth/view?usp=drivesdk</v>
      </c>
      <c r="D3545" s="12"/>
      <c r="E3545" s="11">
        <v>3583.0</v>
      </c>
      <c r="F3545" s="2"/>
    </row>
    <row r="3546" ht="1.5" customHeight="1">
      <c r="A3546" s="4" t="str">
        <f>IFERROR(__xludf.DUMMYFUNCTION("""COMPUTED_VALUE"""),"4. Eggs")</f>
        <v>4. Eggs</v>
      </c>
      <c r="B3546" s="4" t="str">
        <f>IFERROR(__xludf.DUMMYFUNCTION("""COMPUTED_VALUE"""),"4")</f>
        <v>4</v>
      </c>
      <c r="C3546" s="5" t="str">
        <f>IFERROR(__xludf.DUMMYFUNCTION("""COMPUTED_VALUE"""),"https://drive.google.com/file/d/1RZVc13biwvfVgOQUEzHrzBRhFGdhNsFx/view?usp=drivesdk")</f>
        <v>https://drive.google.com/file/d/1RZVc13biwvfVgOQUEzHrzBRhFGdhNsFx/view?usp=drivesdk</v>
      </c>
      <c r="D3546" s="12"/>
      <c r="E3546" s="11">
        <v>3584.0</v>
      </c>
      <c r="F3546" s="2"/>
    </row>
    <row r="3547" ht="1.5" customHeight="1">
      <c r="A3547" s="4" t="str">
        <f>IFERROR(__xludf.DUMMYFUNCTION("""COMPUTED_VALUE"""),"5. Eraser")</f>
        <v>5. Eraser</v>
      </c>
      <c r="B3547" s="4" t="str">
        <f>IFERROR(__xludf.DUMMYFUNCTION("""COMPUTED_VALUE"""),"5")</f>
        <v>5</v>
      </c>
      <c r="C3547" s="5" t="str">
        <f>IFERROR(__xludf.DUMMYFUNCTION("""COMPUTED_VALUE"""),"https://drive.google.com/file/d/17jdhbVUBCNvP6nWy-Em6xBm3SzWQRxQN/view?usp=drivesdk")</f>
        <v>https://drive.google.com/file/d/17jdhbVUBCNvP6nWy-Em6xBm3SzWQRxQN/view?usp=drivesdk</v>
      </c>
      <c r="D3547" s="12"/>
      <c r="E3547" s="11">
        <v>3585.0</v>
      </c>
      <c r="F3547" s="2"/>
    </row>
    <row r="3548" ht="1.5" customHeight="1">
      <c r="A3548" s="4" t="str">
        <f>IFERROR(__xludf.DUMMYFUNCTION("""COMPUTED_VALUE"""),"4. Eggs")</f>
        <v>4. Eggs</v>
      </c>
      <c r="B3548" s="4" t="str">
        <f>IFERROR(__xludf.DUMMYFUNCTION("""COMPUTED_VALUE"""),"4")</f>
        <v>4</v>
      </c>
      <c r="C3548" s="5" t="str">
        <f>IFERROR(__xludf.DUMMYFUNCTION("""COMPUTED_VALUE"""),"https://drive.google.com/file/d/1NQ_PcatLa463o6x_q2BZcWpjUWOXCSkF/view?usp=drivesdk")</f>
        <v>https://drive.google.com/file/d/1NQ_PcatLa463o6x_q2BZcWpjUWOXCSkF/view?usp=drivesdk</v>
      </c>
      <c r="D3548" s="12"/>
      <c r="E3548" s="11">
        <v>3586.0</v>
      </c>
      <c r="F3548" s="2"/>
    </row>
    <row r="3549" ht="1.5" customHeight="1">
      <c r="A3549" s="4" t="str">
        <f>IFERROR(__xludf.DUMMYFUNCTION("""COMPUTED_VALUE"""),"5. Eraser")</f>
        <v>5. Eraser</v>
      </c>
      <c r="B3549" s="4" t="str">
        <f>IFERROR(__xludf.DUMMYFUNCTION("""COMPUTED_VALUE"""),"5")</f>
        <v>5</v>
      </c>
      <c r="C3549" s="5" t="str">
        <f>IFERROR(__xludf.DUMMYFUNCTION("""COMPUTED_VALUE"""),"https://drive.google.com/file/d/1rmhKgQYWRm0aC0Ruz_kbIogoweciglvn/view?usp=drivesdk")</f>
        <v>https://drive.google.com/file/d/1rmhKgQYWRm0aC0Ruz_kbIogoweciglvn/view?usp=drivesdk</v>
      </c>
      <c r="D3549" s="12"/>
      <c r="E3549" s="11">
        <v>3587.0</v>
      </c>
      <c r="F3549" s="2"/>
    </row>
    <row r="3550" ht="1.5" customHeight="1">
      <c r="A3550" s="4" t="str">
        <f>IFERROR(__xludf.DUMMYFUNCTION("""COMPUTED_VALUE"""),"5. Eraser, 4. Eggs")</f>
        <v>5. Eraser, 4. Eggs</v>
      </c>
      <c r="B3550" s="4" t="str">
        <f>IFERROR(__xludf.DUMMYFUNCTION("""COMPUTED_VALUE"""),"5, 4")</f>
        <v>5, 4</v>
      </c>
      <c r="C3550" s="5" t="str">
        <f>IFERROR(__xludf.DUMMYFUNCTION("""COMPUTED_VALUE"""),"https://drive.google.com/file/d/1W-Qzj8-GhiK5qlWcf_8sUmgTiohD4NFG/view?usp=drivesdk")</f>
        <v>https://drive.google.com/file/d/1W-Qzj8-GhiK5qlWcf_8sUmgTiohD4NFG/view?usp=drivesdk</v>
      </c>
      <c r="D3550" s="12"/>
      <c r="E3550" s="11">
        <v>3588.0</v>
      </c>
      <c r="F3550" s="2"/>
    </row>
    <row r="3551" ht="1.5" customHeight="1">
      <c r="A3551" s="4" t="str">
        <f>IFERROR(__xludf.DUMMYFUNCTION("""COMPUTED_VALUE"""),"4. Eggs")</f>
        <v>4. Eggs</v>
      </c>
      <c r="B3551" s="4" t="str">
        <f>IFERROR(__xludf.DUMMYFUNCTION("""COMPUTED_VALUE"""),"4")</f>
        <v>4</v>
      </c>
      <c r="C3551" s="5" t="str">
        <f>IFERROR(__xludf.DUMMYFUNCTION("""COMPUTED_VALUE"""),"https://drive.google.com/file/d/1H1I9l21pDf6oHHIrFaTOTu1BCiGyJ9mt/view?usp=drivesdk")</f>
        <v>https://drive.google.com/file/d/1H1I9l21pDf6oHHIrFaTOTu1BCiGyJ9mt/view?usp=drivesdk</v>
      </c>
      <c r="D3551" s="12"/>
      <c r="E3551" s="11">
        <v>3589.0</v>
      </c>
      <c r="F3551" s="2"/>
    </row>
    <row r="3552" ht="1.5" customHeight="1">
      <c r="A3552" s="4" t="str">
        <f>IFERROR(__xludf.DUMMYFUNCTION("""COMPUTED_VALUE"""),"4. Eggs")</f>
        <v>4. Eggs</v>
      </c>
      <c r="B3552" s="4" t="str">
        <f>IFERROR(__xludf.DUMMYFUNCTION("""COMPUTED_VALUE"""),"4")</f>
        <v>4</v>
      </c>
      <c r="C3552" s="5" t="str">
        <f>IFERROR(__xludf.DUMMYFUNCTION("""COMPUTED_VALUE"""),"https://drive.google.com/file/d/1nFEBwdHrrANb56Ch75ywq54073xmrR1W/view?usp=drivesdk")</f>
        <v>https://drive.google.com/file/d/1nFEBwdHrrANb56Ch75ywq54073xmrR1W/view?usp=drivesdk</v>
      </c>
      <c r="D3552" s="12"/>
      <c r="E3552" s="11">
        <v>3590.0</v>
      </c>
      <c r="F3552" s="2"/>
    </row>
    <row r="3553" ht="1.5" customHeight="1">
      <c r="A3553" s="4" t="str">
        <f>IFERROR(__xludf.DUMMYFUNCTION("""COMPUTED_VALUE"""),"5. Eraser")</f>
        <v>5. Eraser</v>
      </c>
      <c r="B3553" s="4" t="str">
        <f>IFERROR(__xludf.DUMMYFUNCTION("""COMPUTED_VALUE"""),"5")</f>
        <v>5</v>
      </c>
      <c r="C3553" s="5" t="str">
        <f>IFERROR(__xludf.DUMMYFUNCTION("""COMPUTED_VALUE"""),"https://drive.google.com/file/d/1Ug8uvxtWFyh5DS83STz3ZV8OhP00iwXK/view?usp=drivesdk")</f>
        <v>https://drive.google.com/file/d/1Ug8uvxtWFyh5DS83STz3ZV8OhP00iwXK/view?usp=drivesdk</v>
      </c>
      <c r="D3553" s="12"/>
      <c r="E3553" s="11">
        <v>3591.0</v>
      </c>
      <c r="F3553" s="2"/>
    </row>
    <row r="3554" ht="1.5" customHeight="1">
      <c r="A3554" s="4" t="str">
        <f>IFERROR(__xludf.DUMMYFUNCTION("""COMPUTED_VALUE"""),"4. Eggs")</f>
        <v>4. Eggs</v>
      </c>
      <c r="B3554" s="4" t="str">
        <f>IFERROR(__xludf.DUMMYFUNCTION("""COMPUTED_VALUE"""),"4")</f>
        <v>4</v>
      </c>
      <c r="C3554" s="5" t="str">
        <f>IFERROR(__xludf.DUMMYFUNCTION("""COMPUTED_VALUE"""),"https://drive.google.com/file/d/1GEkCQtm9Ky2KaB4-Mg1PSdehncEO5rdp/view?usp=drivesdk")</f>
        <v>https://drive.google.com/file/d/1GEkCQtm9Ky2KaB4-Mg1PSdehncEO5rdp/view?usp=drivesdk</v>
      </c>
      <c r="D3554" s="12"/>
      <c r="E3554" s="11">
        <v>3592.0</v>
      </c>
      <c r="F3554" s="2"/>
    </row>
    <row r="3555" ht="1.5" customHeight="1">
      <c r="A3555" s="4" t="str">
        <f>IFERROR(__xludf.DUMMYFUNCTION("""COMPUTED_VALUE"""),"4. Eggs")</f>
        <v>4. Eggs</v>
      </c>
      <c r="B3555" s="4" t="str">
        <f>IFERROR(__xludf.DUMMYFUNCTION("""COMPUTED_VALUE"""),"4")</f>
        <v>4</v>
      </c>
      <c r="C3555" s="5" t="str">
        <f>IFERROR(__xludf.DUMMYFUNCTION("""COMPUTED_VALUE"""),"https://drive.google.com/file/d/1hhz5-Bz6SQ2gzqLx7N71iGMaC7qJgwnw/view?usp=drivesdk")</f>
        <v>https://drive.google.com/file/d/1hhz5-Bz6SQ2gzqLx7N71iGMaC7qJgwnw/view?usp=drivesdk</v>
      </c>
      <c r="D3555" s="12"/>
      <c r="E3555" s="11">
        <v>3593.0</v>
      </c>
      <c r="F3555" s="2"/>
    </row>
    <row r="3556" ht="1.5" customHeight="1">
      <c r="A3556" s="4" t="str">
        <f>IFERROR(__xludf.DUMMYFUNCTION("""COMPUTED_VALUE"""),"5. Eraser")</f>
        <v>5. Eraser</v>
      </c>
      <c r="B3556" s="4" t="str">
        <f>IFERROR(__xludf.DUMMYFUNCTION("""COMPUTED_VALUE"""),"5")</f>
        <v>5</v>
      </c>
      <c r="C3556" s="5" t="str">
        <f>IFERROR(__xludf.DUMMYFUNCTION("""COMPUTED_VALUE"""),"https://drive.google.com/file/d/16U_bBTozOdsvl0HNO9IYTU7Zz8uYXPTQ/view?usp=drivesdk")</f>
        <v>https://drive.google.com/file/d/16U_bBTozOdsvl0HNO9IYTU7Zz8uYXPTQ/view?usp=drivesdk</v>
      </c>
      <c r="D3556" s="12"/>
      <c r="E3556" s="11">
        <v>3594.0</v>
      </c>
      <c r="F3556" s="2"/>
    </row>
    <row r="3557" ht="1.5" customHeight="1">
      <c r="A3557" s="4" t="str">
        <f>IFERROR(__xludf.DUMMYFUNCTION("""COMPUTED_VALUE"""),"5. Eraser")</f>
        <v>5. Eraser</v>
      </c>
      <c r="B3557" s="4" t="str">
        <f>IFERROR(__xludf.DUMMYFUNCTION("""COMPUTED_VALUE"""),"5")</f>
        <v>5</v>
      </c>
      <c r="C3557" s="5" t="str">
        <f>IFERROR(__xludf.DUMMYFUNCTION("""COMPUTED_VALUE"""),"https://drive.google.com/file/d/1Fvq6LJ5IrR9d8QDuG-lTfqtel9vjsSmX/view?usp=drivesdk")</f>
        <v>https://drive.google.com/file/d/1Fvq6LJ5IrR9d8QDuG-lTfqtel9vjsSmX/view?usp=drivesdk</v>
      </c>
      <c r="D3557" s="12"/>
      <c r="E3557" s="11">
        <v>3595.0</v>
      </c>
      <c r="F3557" s="2"/>
    </row>
    <row r="3558" ht="1.5" customHeight="1">
      <c r="A3558" s="4" t="str">
        <f>IFERROR(__xludf.DUMMYFUNCTION("""COMPUTED_VALUE"""),"4. Eggs")</f>
        <v>4. Eggs</v>
      </c>
      <c r="B3558" s="4" t="str">
        <f>IFERROR(__xludf.DUMMYFUNCTION("""COMPUTED_VALUE"""),"4")</f>
        <v>4</v>
      </c>
      <c r="C3558" s="5" t="str">
        <f>IFERROR(__xludf.DUMMYFUNCTION("""COMPUTED_VALUE"""),"https://drive.google.com/file/d/1961yr_cMuM9mZEw-rHjpjocV22-Nl1CJ/view?usp=drivesdk")</f>
        <v>https://drive.google.com/file/d/1961yr_cMuM9mZEw-rHjpjocV22-Nl1CJ/view?usp=drivesdk</v>
      </c>
      <c r="D3558" s="12"/>
      <c r="E3558" s="11">
        <v>3596.0</v>
      </c>
      <c r="F3558" s="2"/>
    </row>
    <row r="3559" ht="1.5" customHeight="1">
      <c r="A3559" s="4" t="str">
        <f>IFERROR(__xludf.DUMMYFUNCTION("""COMPUTED_VALUE"""),"5. Eraser")</f>
        <v>5. Eraser</v>
      </c>
      <c r="B3559" s="4" t="str">
        <f>IFERROR(__xludf.DUMMYFUNCTION("""COMPUTED_VALUE"""),"5")</f>
        <v>5</v>
      </c>
      <c r="C3559" s="5" t="str">
        <f>IFERROR(__xludf.DUMMYFUNCTION("""COMPUTED_VALUE"""),"https://drive.google.com/file/d/14cWfIA5K9ve1cYmeJI_xwzI-551PydQs/view?usp=drivesdk")</f>
        <v>https://drive.google.com/file/d/14cWfIA5K9ve1cYmeJI_xwzI-551PydQs/view?usp=drivesdk</v>
      </c>
      <c r="D3559" s="12"/>
      <c r="E3559" s="11">
        <v>3597.0</v>
      </c>
      <c r="F3559" s="2"/>
    </row>
    <row r="3560" ht="1.5" customHeight="1">
      <c r="A3560" s="4" t="str">
        <f>IFERROR(__xludf.DUMMYFUNCTION("""COMPUTED_VALUE"""),"4. Eggs")</f>
        <v>4. Eggs</v>
      </c>
      <c r="B3560" s="4" t="str">
        <f>IFERROR(__xludf.DUMMYFUNCTION("""COMPUTED_VALUE"""),"4")</f>
        <v>4</v>
      </c>
      <c r="C3560" s="5" t="str">
        <f>IFERROR(__xludf.DUMMYFUNCTION("""COMPUTED_VALUE"""),"https://drive.google.com/file/d/15kA6FqXg996ItyXrTf-iylbb4pARo6Ut/view?usp=drivesdk")</f>
        <v>https://drive.google.com/file/d/15kA6FqXg996ItyXrTf-iylbb4pARo6Ut/view?usp=drivesdk</v>
      </c>
      <c r="D3560" s="12"/>
      <c r="E3560" s="11">
        <v>3598.0</v>
      </c>
      <c r="F3560" s="2"/>
    </row>
    <row r="3561" ht="1.5" customHeight="1">
      <c r="A3561" s="4" t="str">
        <f>IFERROR(__xludf.DUMMYFUNCTION("""COMPUTED_VALUE"""),"4. Eggs")</f>
        <v>4. Eggs</v>
      </c>
      <c r="B3561" s="4" t="str">
        <f>IFERROR(__xludf.DUMMYFUNCTION("""COMPUTED_VALUE"""),"4")</f>
        <v>4</v>
      </c>
      <c r="C3561" s="5" t="str">
        <f>IFERROR(__xludf.DUMMYFUNCTION("""COMPUTED_VALUE"""),"https://drive.google.com/file/d/1sXtXHzuLrOOaK87W0x7ydI4stdntx7b5/view?usp=drivesdk")</f>
        <v>https://drive.google.com/file/d/1sXtXHzuLrOOaK87W0x7ydI4stdntx7b5/view?usp=drivesdk</v>
      </c>
      <c r="D3561" s="12"/>
      <c r="E3561" s="11">
        <v>3599.0</v>
      </c>
      <c r="F3561" s="2"/>
    </row>
    <row r="3562" ht="1.5" customHeight="1">
      <c r="A3562" s="4" t="str">
        <f>IFERROR(__xludf.DUMMYFUNCTION("""COMPUTED_VALUE"""),"5. Eraser")</f>
        <v>5. Eraser</v>
      </c>
      <c r="B3562" s="4" t="str">
        <f>IFERROR(__xludf.DUMMYFUNCTION("""COMPUTED_VALUE"""),"5")</f>
        <v>5</v>
      </c>
      <c r="C3562" s="5" t="str">
        <f>IFERROR(__xludf.DUMMYFUNCTION("""COMPUTED_VALUE"""),"https://drive.google.com/file/d/12P0q1GiyM0pXfwoN-6LlupOCWqg_cVEJ/view?usp=drivesdk")</f>
        <v>https://drive.google.com/file/d/12P0q1GiyM0pXfwoN-6LlupOCWqg_cVEJ/view?usp=drivesdk</v>
      </c>
      <c r="D3562" s="12"/>
      <c r="E3562" s="11">
        <v>3600.0</v>
      </c>
      <c r="F3562" s="2"/>
    </row>
    <row r="3563" ht="1.5" customHeight="1">
      <c r="A3563" s="4" t="str">
        <f>IFERROR(__xludf.DUMMYFUNCTION("""COMPUTED_VALUE"""),"4. Eggs")</f>
        <v>4. Eggs</v>
      </c>
      <c r="B3563" s="4" t="str">
        <f>IFERROR(__xludf.DUMMYFUNCTION("""COMPUTED_VALUE"""),"4")</f>
        <v>4</v>
      </c>
      <c r="C3563" s="5" t="str">
        <f>IFERROR(__xludf.DUMMYFUNCTION("""COMPUTED_VALUE"""),"https://drive.google.com/file/d/1pi2gs3HV4NYQFa8KBqAfmajg0l9ceMn1/view?usp=drivesdk")</f>
        <v>https://drive.google.com/file/d/1pi2gs3HV4NYQFa8KBqAfmajg0l9ceMn1/view?usp=drivesdk</v>
      </c>
      <c r="D3563" s="12"/>
      <c r="E3563" s="11">
        <v>3601.0</v>
      </c>
      <c r="F3563" s="2"/>
    </row>
    <row r="3564" ht="1.5" customHeight="1">
      <c r="A3564" s="4" t="str">
        <f>IFERROR(__xludf.DUMMYFUNCTION("""COMPUTED_VALUE"""),"4. Eggs")</f>
        <v>4. Eggs</v>
      </c>
      <c r="B3564" s="4" t="str">
        <f>IFERROR(__xludf.DUMMYFUNCTION("""COMPUTED_VALUE"""),"4")</f>
        <v>4</v>
      </c>
      <c r="C3564" s="5" t="str">
        <f>IFERROR(__xludf.DUMMYFUNCTION("""COMPUTED_VALUE"""),"https://drive.google.com/file/d/1Egj4Yb4XUjg_wmlO9Sg8zZVS-zOFcq2f/view?usp=drivesdk")</f>
        <v>https://drive.google.com/file/d/1Egj4Yb4XUjg_wmlO9Sg8zZVS-zOFcq2f/view?usp=drivesdk</v>
      </c>
      <c r="D3564" s="12"/>
      <c r="E3564" s="11">
        <v>3602.0</v>
      </c>
      <c r="F3564" s="2"/>
    </row>
    <row r="3565" ht="1.5" customHeight="1">
      <c r="A3565" s="4" t="str">
        <f>IFERROR(__xludf.DUMMYFUNCTION("""COMPUTED_VALUE"""),"4. Eggs")</f>
        <v>4. Eggs</v>
      </c>
      <c r="B3565" s="4" t="str">
        <f>IFERROR(__xludf.DUMMYFUNCTION("""COMPUTED_VALUE"""),"4")</f>
        <v>4</v>
      </c>
      <c r="C3565" s="5" t="str">
        <f>IFERROR(__xludf.DUMMYFUNCTION("""COMPUTED_VALUE"""),"https://drive.google.com/file/d/1OpWLC4BT_3-QmHdxdaySc713DPy7p2PW/view?usp=drivesdk")</f>
        <v>https://drive.google.com/file/d/1OpWLC4BT_3-QmHdxdaySc713DPy7p2PW/view?usp=drivesdk</v>
      </c>
      <c r="D3565" s="12"/>
      <c r="E3565" s="11">
        <v>3603.0</v>
      </c>
      <c r="F3565" s="2"/>
    </row>
    <row r="3566" ht="1.5" customHeight="1">
      <c r="A3566" s="4" t="str">
        <f>IFERROR(__xludf.DUMMYFUNCTION("""COMPUTED_VALUE"""),"4. Eggs")</f>
        <v>4. Eggs</v>
      </c>
      <c r="B3566" s="4" t="str">
        <f>IFERROR(__xludf.DUMMYFUNCTION("""COMPUTED_VALUE"""),"4")</f>
        <v>4</v>
      </c>
      <c r="C3566" s="5" t="str">
        <f>IFERROR(__xludf.DUMMYFUNCTION("""COMPUTED_VALUE"""),"https://drive.google.com/file/d/1-E_mbmvW92k63LK3ChUzRY6UlIpZSiE6/view?usp=drivesdk")</f>
        <v>https://drive.google.com/file/d/1-E_mbmvW92k63LK3ChUzRY6UlIpZSiE6/view?usp=drivesdk</v>
      </c>
      <c r="D3566" s="12"/>
      <c r="E3566" s="11">
        <v>3604.0</v>
      </c>
      <c r="F3566" s="2"/>
    </row>
    <row r="3567" ht="1.5" customHeight="1">
      <c r="A3567" s="4" t="str">
        <f>IFERROR(__xludf.DUMMYFUNCTION("""COMPUTED_VALUE"""),"4. Eggs")</f>
        <v>4. Eggs</v>
      </c>
      <c r="B3567" s="4" t="str">
        <f>IFERROR(__xludf.DUMMYFUNCTION("""COMPUTED_VALUE"""),"4")</f>
        <v>4</v>
      </c>
      <c r="C3567" s="5" t="str">
        <f>IFERROR(__xludf.DUMMYFUNCTION("""COMPUTED_VALUE"""),"https://drive.google.com/file/d/1Fe1Qw6s3RVNkPQGToL9_vbPVNvqB8VMe/view?usp=drivesdk")</f>
        <v>https://drive.google.com/file/d/1Fe1Qw6s3RVNkPQGToL9_vbPVNvqB8VMe/view?usp=drivesdk</v>
      </c>
      <c r="D3567" s="12"/>
      <c r="E3567" s="11">
        <v>3605.0</v>
      </c>
      <c r="F3567" s="2"/>
    </row>
    <row r="3568" ht="1.5" customHeight="1">
      <c r="A3568" s="4" t="str">
        <f>IFERROR(__xludf.DUMMYFUNCTION("""COMPUTED_VALUE"""),"4. Eggs")</f>
        <v>4. Eggs</v>
      </c>
      <c r="B3568" s="4" t="str">
        <f>IFERROR(__xludf.DUMMYFUNCTION("""COMPUTED_VALUE"""),"4")</f>
        <v>4</v>
      </c>
      <c r="C3568" s="5" t="str">
        <f>IFERROR(__xludf.DUMMYFUNCTION("""COMPUTED_VALUE"""),"https://drive.google.com/file/d/1JCJM57fjzKnTNHd3i8eET-JF_AIdcpuo/view?usp=drivesdk")</f>
        <v>https://drive.google.com/file/d/1JCJM57fjzKnTNHd3i8eET-JF_AIdcpuo/view?usp=drivesdk</v>
      </c>
      <c r="D3568" s="12"/>
      <c r="E3568" s="11">
        <v>3606.0</v>
      </c>
      <c r="F3568" s="2"/>
    </row>
    <row r="3569" ht="1.5" customHeight="1">
      <c r="A3569" s="4" t="str">
        <f>IFERROR(__xludf.DUMMYFUNCTION("""COMPUTED_VALUE"""),"5. Eraser, 4. Eggs")</f>
        <v>5. Eraser, 4. Eggs</v>
      </c>
      <c r="B3569" s="4" t="str">
        <f>IFERROR(__xludf.DUMMYFUNCTION("""COMPUTED_VALUE"""),"5, 4")</f>
        <v>5, 4</v>
      </c>
      <c r="C3569" s="5" t="str">
        <f>IFERROR(__xludf.DUMMYFUNCTION("""COMPUTED_VALUE"""),"https://drive.google.com/file/d/1YqBLiraG1kDaPPEo7QDbac-WkgM2WVsy/view?usp=drivesdk")</f>
        <v>https://drive.google.com/file/d/1YqBLiraG1kDaPPEo7QDbac-WkgM2WVsy/view?usp=drivesdk</v>
      </c>
      <c r="D3569" s="12"/>
      <c r="E3569" s="11">
        <v>3607.0</v>
      </c>
      <c r="F3569" s="2"/>
    </row>
    <row r="3570" ht="1.5" customHeight="1">
      <c r="A3570" s="4" t="str">
        <f>IFERROR(__xludf.DUMMYFUNCTION("""COMPUTED_VALUE"""),"5. Eraser, 4. Eggs")</f>
        <v>5. Eraser, 4. Eggs</v>
      </c>
      <c r="B3570" s="4" t="str">
        <f>IFERROR(__xludf.DUMMYFUNCTION("""COMPUTED_VALUE"""),"5, 4")</f>
        <v>5, 4</v>
      </c>
      <c r="C3570" s="5" t="str">
        <f>IFERROR(__xludf.DUMMYFUNCTION("""COMPUTED_VALUE"""),"https://drive.google.com/file/d/1Kvy5fKALt09lUBlyTcwW3kCmUcfje6UI/view?usp=drivesdk")</f>
        <v>https://drive.google.com/file/d/1Kvy5fKALt09lUBlyTcwW3kCmUcfje6UI/view?usp=drivesdk</v>
      </c>
      <c r="D3570" s="12"/>
      <c r="E3570" s="11">
        <v>3608.0</v>
      </c>
      <c r="F3570" s="2"/>
    </row>
    <row r="3571" ht="1.5" customHeight="1">
      <c r="A3571" s="4" t="str">
        <f>IFERROR(__xludf.DUMMYFUNCTION("""COMPUTED_VALUE"""),"5. Eraser, 4. Eggs")</f>
        <v>5. Eraser, 4. Eggs</v>
      </c>
      <c r="B3571" s="4" t="str">
        <f>IFERROR(__xludf.DUMMYFUNCTION("""COMPUTED_VALUE"""),"5, 4")</f>
        <v>5, 4</v>
      </c>
      <c r="C3571" s="5" t="str">
        <f>IFERROR(__xludf.DUMMYFUNCTION("""COMPUTED_VALUE"""),"https://drive.google.com/file/d/1WQgQ4cC8gN3hedzi_3KYrQpKNL_FF-rw/view?usp=drivesdk")</f>
        <v>https://drive.google.com/file/d/1WQgQ4cC8gN3hedzi_3KYrQpKNL_FF-rw/view?usp=drivesdk</v>
      </c>
      <c r="D3571" s="12"/>
      <c r="E3571" s="11">
        <v>3609.0</v>
      </c>
      <c r="F3571" s="2"/>
    </row>
    <row r="3572" ht="1.5" customHeight="1">
      <c r="A3572" s="4" t="str">
        <f>IFERROR(__xludf.DUMMYFUNCTION("""COMPUTED_VALUE"""),"5. Eraser, 4. Eggs")</f>
        <v>5. Eraser, 4. Eggs</v>
      </c>
      <c r="B3572" s="4" t="str">
        <f>IFERROR(__xludf.DUMMYFUNCTION("""COMPUTED_VALUE"""),"5, 4")</f>
        <v>5, 4</v>
      </c>
      <c r="C3572" s="5" t="str">
        <f>IFERROR(__xludf.DUMMYFUNCTION("""COMPUTED_VALUE"""),"https://drive.google.com/file/d/1w3NaHOMjR1OiRdmbCdGkbwzS1PHa2FA7/view?usp=drivesdk")</f>
        <v>https://drive.google.com/file/d/1w3NaHOMjR1OiRdmbCdGkbwzS1PHa2FA7/view?usp=drivesdk</v>
      </c>
      <c r="D3572" s="12"/>
      <c r="E3572" s="11">
        <v>3610.0</v>
      </c>
      <c r="F3572" s="2"/>
    </row>
    <row r="3573" ht="1.5" customHeight="1">
      <c r="A3573" s="4" t="str">
        <f>IFERROR(__xludf.DUMMYFUNCTION("""COMPUTED_VALUE"""),"5. Eraser")</f>
        <v>5. Eraser</v>
      </c>
      <c r="B3573" s="4" t="str">
        <f>IFERROR(__xludf.DUMMYFUNCTION("""COMPUTED_VALUE"""),"5")</f>
        <v>5</v>
      </c>
      <c r="C3573" s="5" t="str">
        <f>IFERROR(__xludf.DUMMYFUNCTION("""COMPUTED_VALUE"""),"https://drive.google.com/file/d/1mDeA9CBI-4jkMJaq4Cx_i8ye0f4YJTi5/view?usp=drivesdk")</f>
        <v>https://drive.google.com/file/d/1mDeA9CBI-4jkMJaq4Cx_i8ye0f4YJTi5/view?usp=drivesdk</v>
      </c>
      <c r="D3573" s="12"/>
      <c r="E3573" s="11">
        <v>3611.0</v>
      </c>
      <c r="F3573" s="2"/>
    </row>
    <row r="3574" ht="1.5" customHeight="1">
      <c r="A3574" s="4" t="str">
        <f>IFERROR(__xludf.DUMMYFUNCTION("""COMPUTED_VALUE"""),"5. Eraser")</f>
        <v>5. Eraser</v>
      </c>
      <c r="B3574" s="4" t="str">
        <f>IFERROR(__xludf.DUMMYFUNCTION("""COMPUTED_VALUE"""),"5")</f>
        <v>5</v>
      </c>
      <c r="C3574" s="5" t="str">
        <f>IFERROR(__xludf.DUMMYFUNCTION("""COMPUTED_VALUE"""),"https://drive.google.com/file/d/1u_WW9dDmJO801EgVaKUzexxKYWuHWwAc/view?usp=drivesdk")</f>
        <v>https://drive.google.com/file/d/1u_WW9dDmJO801EgVaKUzexxKYWuHWwAc/view?usp=drivesdk</v>
      </c>
      <c r="D3574" s="12"/>
      <c r="E3574" s="11">
        <v>3612.0</v>
      </c>
      <c r="F3574" s="2"/>
    </row>
    <row r="3575" ht="1.5" customHeight="1">
      <c r="A3575" s="4" t="str">
        <f>IFERROR(__xludf.DUMMYFUNCTION("""COMPUTED_VALUE"""),"4. Eggs")</f>
        <v>4. Eggs</v>
      </c>
      <c r="B3575" s="4" t="str">
        <f>IFERROR(__xludf.DUMMYFUNCTION("""COMPUTED_VALUE"""),"4")</f>
        <v>4</v>
      </c>
      <c r="C3575" s="5" t="str">
        <f>IFERROR(__xludf.DUMMYFUNCTION("""COMPUTED_VALUE"""),"https://drive.google.com/file/d/1aYxFAxUIh1Ob_tnAULG_I82WXSV-IzB6/view?usp=drivesdk")</f>
        <v>https://drive.google.com/file/d/1aYxFAxUIh1Ob_tnAULG_I82WXSV-IzB6/view?usp=drivesdk</v>
      </c>
      <c r="D3575" s="12"/>
      <c r="E3575" s="11">
        <v>3613.0</v>
      </c>
      <c r="F3575" s="2"/>
    </row>
    <row r="3576" ht="1.5" customHeight="1">
      <c r="A3576" s="4" t="str">
        <f>IFERROR(__xludf.DUMMYFUNCTION("""COMPUTED_VALUE"""),"4. Eggs")</f>
        <v>4. Eggs</v>
      </c>
      <c r="B3576" s="4" t="str">
        <f>IFERROR(__xludf.DUMMYFUNCTION("""COMPUTED_VALUE"""),"4")</f>
        <v>4</v>
      </c>
      <c r="C3576" s="5" t="str">
        <f>IFERROR(__xludf.DUMMYFUNCTION("""COMPUTED_VALUE"""),"https://drive.google.com/file/d/1MYQ4dH1aZmUKXI37cc6N9wOB88-ldH8F/view?usp=drivesdk")</f>
        <v>https://drive.google.com/file/d/1MYQ4dH1aZmUKXI37cc6N9wOB88-ldH8F/view?usp=drivesdk</v>
      </c>
      <c r="D3576" s="12"/>
      <c r="E3576" s="11">
        <v>3614.0</v>
      </c>
      <c r="F3576" s="2"/>
    </row>
    <row r="3577" ht="1.5" customHeight="1">
      <c r="A3577" s="4" t="str">
        <f>IFERROR(__xludf.DUMMYFUNCTION("""COMPUTED_VALUE"""),"5. Eraser")</f>
        <v>5. Eraser</v>
      </c>
      <c r="B3577" s="4" t="str">
        <f>IFERROR(__xludf.DUMMYFUNCTION("""COMPUTED_VALUE"""),"5")</f>
        <v>5</v>
      </c>
      <c r="C3577" s="5" t="str">
        <f>IFERROR(__xludf.DUMMYFUNCTION("""COMPUTED_VALUE"""),"https://drive.google.com/file/d/11m6M2iogq4cYOjkZP9AeebZ1dpa0ILLC/view?usp=drivesdk")</f>
        <v>https://drive.google.com/file/d/11m6M2iogq4cYOjkZP9AeebZ1dpa0ILLC/view?usp=drivesdk</v>
      </c>
      <c r="D3577" s="12"/>
      <c r="E3577" s="11">
        <v>3615.0</v>
      </c>
      <c r="F3577" s="2"/>
    </row>
    <row r="3578" ht="1.5" customHeight="1">
      <c r="A3578" s="4" t="str">
        <f>IFERROR(__xludf.DUMMYFUNCTION("""COMPUTED_VALUE"""),"5. Eraser, 4. Eggs")</f>
        <v>5. Eraser, 4. Eggs</v>
      </c>
      <c r="B3578" s="4" t="str">
        <f>IFERROR(__xludf.DUMMYFUNCTION("""COMPUTED_VALUE"""),"5, 4")</f>
        <v>5, 4</v>
      </c>
      <c r="C3578" s="5" t="str">
        <f>IFERROR(__xludf.DUMMYFUNCTION("""COMPUTED_VALUE"""),"https://drive.google.com/file/d/1dfETIbwD8-QZtU1ucusLRL1199YFWzAD/view?usp=drivesdk")</f>
        <v>https://drive.google.com/file/d/1dfETIbwD8-QZtU1ucusLRL1199YFWzAD/view?usp=drivesdk</v>
      </c>
      <c r="D3578" s="12"/>
      <c r="E3578" s="11">
        <v>3616.0</v>
      </c>
      <c r="F3578" s="2"/>
    </row>
    <row r="3579" ht="1.5" customHeight="1">
      <c r="A3579" s="4" t="str">
        <f>IFERROR(__xludf.DUMMYFUNCTION("""COMPUTED_VALUE"""),"4. Eggs")</f>
        <v>4. Eggs</v>
      </c>
      <c r="B3579" s="4" t="str">
        <f>IFERROR(__xludf.DUMMYFUNCTION("""COMPUTED_VALUE"""),"4")</f>
        <v>4</v>
      </c>
      <c r="C3579" s="5" t="str">
        <f>IFERROR(__xludf.DUMMYFUNCTION("""COMPUTED_VALUE"""),"https://drive.google.com/file/d/1KWM_Z-d19FucDqWXCNS30p9CeNVIR3XK/view?usp=drivesdk")</f>
        <v>https://drive.google.com/file/d/1KWM_Z-d19FucDqWXCNS30p9CeNVIR3XK/view?usp=drivesdk</v>
      </c>
      <c r="D3579" s="12"/>
      <c r="E3579" s="11">
        <v>3617.0</v>
      </c>
      <c r="F3579" s="2"/>
    </row>
    <row r="3580" ht="1.5" customHeight="1">
      <c r="A3580" s="4" t="str">
        <f>IFERROR(__xludf.DUMMYFUNCTION("""COMPUTED_VALUE"""),"4. Eggs")</f>
        <v>4. Eggs</v>
      </c>
      <c r="B3580" s="4" t="str">
        <f>IFERROR(__xludf.DUMMYFUNCTION("""COMPUTED_VALUE"""),"4")</f>
        <v>4</v>
      </c>
      <c r="C3580" s="5" t="str">
        <f>IFERROR(__xludf.DUMMYFUNCTION("""COMPUTED_VALUE"""),"https://drive.google.com/file/d/1eYwD3K6bsqPmswf_keH8l6AUVKgyg9AY/view?usp=drivesdk")</f>
        <v>https://drive.google.com/file/d/1eYwD3K6bsqPmswf_keH8l6AUVKgyg9AY/view?usp=drivesdk</v>
      </c>
      <c r="D3580" s="12"/>
      <c r="E3580" s="11">
        <v>3618.0</v>
      </c>
      <c r="F3580" s="2"/>
    </row>
    <row r="3581" ht="1.5" customHeight="1">
      <c r="A3581" s="4" t="str">
        <f>IFERROR(__xludf.DUMMYFUNCTION("""COMPUTED_VALUE"""),"5. Eraser")</f>
        <v>5. Eraser</v>
      </c>
      <c r="B3581" s="4" t="str">
        <f>IFERROR(__xludf.DUMMYFUNCTION("""COMPUTED_VALUE"""),"5")</f>
        <v>5</v>
      </c>
      <c r="C3581" s="5" t="str">
        <f>IFERROR(__xludf.DUMMYFUNCTION("""COMPUTED_VALUE"""),"https://drive.google.com/file/d/10TQUlFCpBh4P-k5Hag3rDatcpqf-GR5I/view?usp=drivesdk")</f>
        <v>https://drive.google.com/file/d/10TQUlFCpBh4P-k5Hag3rDatcpqf-GR5I/view?usp=drivesdk</v>
      </c>
      <c r="D3581" s="12"/>
      <c r="E3581" s="11">
        <v>3619.0</v>
      </c>
      <c r="F3581" s="2"/>
    </row>
    <row r="3582" ht="1.5" customHeight="1">
      <c r="A3582" s="4" t="str">
        <f>IFERROR(__xludf.DUMMYFUNCTION("""COMPUTED_VALUE"""),"5. Eraser")</f>
        <v>5. Eraser</v>
      </c>
      <c r="B3582" s="4" t="str">
        <f>IFERROR(__xludf.DUMMYFUNCTION("""COMPUTED_VALUE"""),"5")</f>
        <v>5</v>
      </c>
      <c r="C3582" s="5" t="str">
        <f>IFERROR(__xludf.DUMMYFUNCTION("""COMPUTED_VALUE"""),"https://drive.google.com/file/d/1ksJ9nyyjkEPg60uqKoq4gfUT592PceUu/view?usp=drivesdk")</f>
        <v>https://drive.google.com/file/d/1ksJ9nyyjkEPg60uqKoq4gfUT592PceUu/view?usp=drivesdk</v>
      </c>
      <c r="D3582" s="12"/>
      <c r="E3582" s="11">
        <v>3620.0</v>
      </c>
      <c r="F3582" s="2"/>
    </row>
    <row r="3583" ht="1.5" customHeight="1">
      <c r="A3583" s="4" t="str">
        <f>IFERROR(__xludf.DUMMYFUNCTION("""COMPUTED_VALUE"""),"5. Eraser, 4. Eggs")</f>
        <v>5. Eraser, 4. Eggs</v>
      </c>
      <c r="B3583" s="4" t="str">
        <f>IFERROR(__xludf.DUMMYFUNCTION("""COMPUTED_VALUE"""),"5, 4")</f>
        <v>5, 4</v>
      </c>
      <c r="C3583" s="5" t="str">
        <f>IFERROR(__xludf.DUMMYFUNCTION("""COMPUTED_VALUE"""),"https://drive.google.com/file/d/1qJoLEwGWP2rpJBA0FA4Ah5TGJdlXwEQ1/view?usp=drivesdk")</f>
        <v>https://drive.google.com/file/d/1qJoLEwGWP2rpJBA0FA4Ah5TGJdlXwEQ1/view?usp=drivesdk</v>
      </c>
      <c r="D3583" s="12"/>
      <c r="E3583" s="11">
        <v>3621.0</v>
      </c>
      <c r="F3583" s="2"/>
    </row>
    <row r="3584" ht="1.5" customHeight="1">
      <c r="A3584" s="4" t="str">
        <f>IFERROR(__xludf.DUMMYFUNCTION("""COMPUTED_VALUE"""),"5. Eraser, 4. Eggs")</f>
        <v>5. Eraser, 4. Eggs</v>
      </c>
      <c r="B3584" s="4" t="str">
        <f>IFERROR(__xludf.DUMMYFUNCTION("""COMPUTED_VALUE"""),"5, 4")</f>
        <v>5, 4</v>
      </c>
      <c r="C3584" s="5" t="str">
        <f>IFERROR(__xludf.DUMMYFUNCTION("""COMPUTED_VALUE"""),"https://drive.google.com/file/d/1wwOY8M07_dFPf5V52rbWKnT7OTdpaX_R/view?usp=drivesdk")</f>
        <v>https://drive.google.com/file/d/1wwOY8M07_dFPf5V52rbWKnT7OTdpaX_R/view?usp=drivesdk</v>
      </c>
      <c r="D3584" s="12"/>
      <c r="E3584" s="11">
        <v>3622.0</v>
      </c>
      <c r="F3584" s="2"/>
    </row>
    <row r="3585" ht="1.5" customHeight="1">
      <c r="A3585" s="4" t="str">
        <f>IFERROR(__xludf.DUMMYFUNCTION("""COMPUTED_VALUE"""),"5. Eraser, 4. Eggs")</f>
        <v>5. Eraser, 4. Eggs</v>
      </c>
      <c r="B3585" s="4" t="str">
        <f>IFERROR(__xludf.DUMMYFUNCTION("""COMPUTED_VALUE"""),"5, 4")</f>
        <v>5, 4</v>
      </c>
      <c r="C3585" s="5" t="str">
        <f>IFERROR(__xludf.DUMMYFUNCTION("""COMPUTED_VALUE"""),"https://drive.google.com/file/d/1agcyzWqti4ZjZjDmHwERarlIe2lkr5eL/view?usp=drivesdk")</f>
        <v>https://drive.google.com/file/d/1agcyzWqti4ZjZjDmHwERarlIe2lkr5eL/view?usp=drivesdk</v>
      </c>
      <c r="D3585" s="12"/>
      <c r="E3585" s="11">
        <v>3623.0</v>
      </c>
      <c r="F3585" s="2"/>
    </row>
    <row r="3586" ht="1.5" customHeight="1">
      <c r="A3586" s="4" t="str">
        <f>IFERROR(__xludf.DUMMYFUNCTION("""COMPUTED_VALUE"""),"5. Eraser, 4. Eggs")</f>
        <v>5. Eraser, 4. Eggs</v>
      </c>
      <c r="B3586" s="4" t="str">
        <f>IFERROR(__xludf.DUMMYFUNCTION("""COMPUTED_VALUE"""),"5, 4")</f>
        <v>5, 4</v>
      </c>
      <c r="C3586" s="5" t="str">
        <f>IFERROR(__xludf.DUMMYFUNCTION("""COMPUTED_VALUE"""),"https://drive.google.com/file/d/1GBf9n1agVzsOVdrCZKSZ6PEqcMqOhI9a/view?usp=drivesdk")</f>
        <v>https://drive.google.com/file/d/1GBf9n1agVzsOVdrCZKSZ6PEqcMqOhI9a/view?usp=drivesdk</v>
      </c>
      <c r="D3586" s="12"/>
      <c r="E3586" s="11">
        <v>3624.0</v>
      </c>
      <c r="F3586" s="2"/>
    </row>
    <row r="3587" ht="1.5" customHeight="1">
      <c r="A3587" s="4" t="str">
        <f>IFERROR(__xludf.DUMMYFUNCTION("""COMPUTED_VALUE"""),"5. Eraser")</f>
        <v>5. Eraser</v>
      </c>
      <c r="B3587" s="4" t="str">
        <f>IFERROR(__xludf.DUMMYFUNCTION("""COMPUTED_VALUE"""),"5")</f>
        <v>5</v>
      </c>
      <c r="C3587" s="5" t="str">
        <f>IFERROR(__xludf.DUMMYFUNCTION("""COMPUTED_VALUE"""),"https://drive.google.com/file/d/16edCvSeTdE2e5L5dY-iDpE-Wub0pgHn8/view?usp=drivesdk")</f>
        <v>https://drive.google.com/file/d/16edCvSeTdE2e5L5dY-iDpE-Wub0pgHn8/view?usp=drivesdk</v>
      </c>
      <c r="D3587" s="12"/>
      <c r="E3587" s="11">
        <v>3625.0</v>
      </c>
      <c r="F3587" s="2"/>
    </row>
    <row r="3588" ht="1.5" customHeight="1">
      <c r="A3588" s="4" t="str">
        <f>IFERROR(__xludf.DUMMYFUNCTION("""COMPUTED_VALUE"""),"5. Eraser, 4. Eggs")</f>
        <v>5. Eraser, 4. Eggs</v>
      </c>
      <c r="B3588" s="4" t="str">
        <f>IFERROR(__xludf.DUMMYFUNCTION("""COMPUTED_VALUE"""),"5, 4")</f>
        <v>5, 4</v>
      </c>
      <c r="C3588" s="5" t="str">
        <f>IFERROR(__xludf.DUMMYFUNCTION("""COMPUTED_VALUE"""),"https://drive.google.com/file/d/1HLzUetQ3gW790FvuXhVlfPJOOpjSbVFx/view?usp=drivesdk")</f>
        <v>https://drive.google.com/file/d/1HLzUetQ3gW790FvuXhVlfPJOOpjSbVFx/view?usp=drivesdk</v>
      </c>
      <c r="D3588" s="12"/>
      <c r="E3588" s="11">
        <v>3626.0</v>
      </c>
      <c r="F3588" s="2"/>
    </row>
    <row r="3589" ht="1.5" customHeight="1">
      <c r="A3589" s="4" t="str">
        <f>IFERROR(__xludf.DUMMYFUNCTION("""COMPUTED_VALUE"""),"5. Eraser, 4. Eggs")</f>
        <v>5. Eraser, 4. Eggs</v>
      </c>
      <c r="B3589" s="4" t="str">
        <f>IFERROR(__xludf.DUMMYFUNCTION("""COMPUTED_VALUE"""),"5, 4")</f>
        <v>5, 4</v>
      </c>
      <c r="C3589" s="5" t="str">
        <f>IFERROR(__xludf.DUMMYFUNCTION("""COMPUTED_VALUE"""),"https://drive.google.com/file/d/1y2PBSq_8fTqnJkBQjT6LevS_vRGJ61Vl/view?usp=drivesdk")</f>
        <v>https://drive.google.com/file/d/1y2PBSq_8fTqnJkBQjT6LevS_vRGJ61Vl/view?usp=drivesdk</v>
      </c>
      <c r="D3589" s="12"/>
      <c r="E3589" s="11">
        <v>3627.0</v>
      </c>
      <c r="F3589" s="2"/>
    </row>
    <row r="3590" ht="1.5" customHeight="1">
      <c r="A3590" s="4" t="str">
        <f>IFERROR(__xludf.DUMMYFUNCTION("""COMPUTED_VALUE"""),"5. Eraser")</f>
        <v>5. Eraser</v>
      </c>
      <c r="B3590" s="4" t="str">
        <f>IFERROR(__xludf.DUMMYFUNCTION("""COMPUTED_VALUE"""),"5")</f>
        <v>5</v>
      </c>
      <c r="C3590" s="5" t="str">
        <f>IFERROR(__xludf.DUMMYFUNCTION("""COMPUTED_VALUE"""),"https://drive.google.com/file/d/1nTkB2DU3P2TmYAXLJuLV_QipFfAyFdhs/view?usp=drivesdk")</f>
        <v>https://drive.google.com/file/d/1nTkB2DU3P2TmYAXLJuLV_QipFfAyFdhs/view?usp=drivesdk</v>
      </c>
      <c r="D3590" s="12"/>
      <c r="E3590" s="11">
        <v>3628.0</v>
      </c>
      <c r="F3590" s="2"/>
    </row>
    <row r="3591" ht="1.5" customHeight="1">
      <c r="A3591" s="4" t="str">
        <f>IFERROR(__xludf.DUMMYFUNCTION("""COMPUTED_VALUE"""),"5. Eraser, 4. Eggs")</f>
        <v>5. Eraser, 4. Eggs</v>
      </c>
      <c r="B3591" s="4" t="str">
        <f>IFERROR(__xludf.DUMMYFUNCTION("""COMPUTED_VALUE"""),"5, 4")</f>
        <v>5, 4</v>
      </c>
      <c r="C3591" s="5" t="str">
        <f>IFERROR(__xludf.DUMMYFUNCTION("""COMPUTED_VALUE"""),"https://drive.google.com/file/d/1vksBicHb_eXfBX__6QACowaSon1zm7nt/view?usp=drivesdk")</f>
        <v>https://drive.google.com/file/d/1vksBicHb_eXfBX__6QACowaSon1zm7nt/view?usp=drivesdk</v>
      </c>
      <c r="D3591" s="12"/>
      <c r="E3591" s="11">
        <v>3629.0</v>
      </c>
      <c r="F3591" s="2"/>
    </row>
    <row r="3592" ht="1.5" customHeight="1">
      <c r="A3592" s="4" t="str">
        <f>IFERROR(__xludf.DUMMYFUNCTION("""COMPUTED_VALUE"""),"5. Eraser")</f>
        <v>5. Eraser</v>
      </c>
      <c r="B3592" s="4" t="str">
        <f>IFERROR(__xludf.DUMMYFUNCTION("""COMPUTED_VALUE"""),"5")</f>
        <v>5</v>
      </c>
      <c r="C3592" s="5" t="str">
        <f>IFERROR(__xludf.DUMMYFUNCTION("""COMPUTED_VALUE"""),"https://drive.google.com/file/d/18J0t8gPQLALmMEMNY_6FsMXJMCJ95ihj/view?usp=drivesdk")</f>
        <v>https://drive.google.com/file/d/18J0t8gPQLALmMEMNY_6FsMXJMCJ95ihj/view?usp=drivesdk</v>
      </c>
      <c r="D3592" s="12"/>
      <c r="E3592" s="11">
        <v>3630.0</v>
      </c>
      <c r="F3592" s="2"/>
    </row>
    <row r="3593" ht="1.5" customHeight="1">
      <c r="A3593" s="4" t="str">
        <f>IFERROR(__xludf.DUMMYFUNCTION("""COMPUTED_VALUE"""),"5. Eraser, 4. Eggs")</f>
        <v>5. Eraser, 4. Eggs</v>
      </c>
      <c r="B3593" s="4" t="str">
        <f>IFERROR(__xludf.DUMMYFUNCTION("""COMPUTED_VALUE"""),"5, 4")</f>
        <v>5, 4</v>
      </c>
      <c r="C3593" s="5" t="str">
        <f>IFERROR(__xludf.DUMMYFUNCTION("""COMPUTED_VALUE"""),"https://drive.google.com/file/d/10GK8P_X_dN0IEZQlYkNSmKiXCdahAxjw/view?usp=drivesdk")</f>
        <v>https://drive.google.com/file/d/10GK8P_X_dN0IEZQlYkNSmKiXCdahAxjw/view?usp=drivesdk</v>
      </c>
      <c r="D3593" s="12"/>
      <c r="E3593" s="11">
        <v>3631.0</v>
      </c>
      <c r="F3593" s="2"/>
    </row>
    <row r="3594" ht="1.5" customHeight="1">
      <c r="A3594" s="4" t="str">
        <f>IFERROR(__xludf.DUMMYFUNCTION("""COMPUTED_VALUE"""),"4. Eggs")</f>
        <v>4. Eggs</v>
      </c>
      <c r="B3594" s="4" t="str">
        <f>IFERROR(__xludf.DUMMYFUNCTION("""COMPUTED_VALUE"""),"4")</f>
        <v>4</v>
      </c>
      <c r="C3594" s="5" t="str">
        <f>IFERROR(__xludf.DUMMYFUNCTION("""COMPUTED_VALUE"""),"https://drive.google.com/file/d/1sbY2PI1VP3R72ht9OI7eJiF38MOXRkiE/view?usp=drivesdk")</f>
        <v>https://drive.google.com/file/d/1sbY2PI1VP3R72ht9OI7eJiF38MOXRkiE/view?usp=drivesdk</v>
      </c>
      <c r="D3594" s="12"/>
      <c r="E3594" s="11">
        <v>3632.0</v>
      </c>
      <c r="F3594" s="2"/>
    </row>
    <row r="3595" ht="1.5" customHeight="1">
      <c r="A3595" s="4" t="str">
        <f>IFERROR(__xludf.DUMMYFUNCTION("""COMPUTED_VALUE"""),"5. Eraser")</f>
        <v>5. Eraser</v>
      </c>
      <c r="B3595" s="4" t="str">
        <f>IFERROR(__xludf.DUMMYFUNCTION("""COMPUTED_VALUE"""),"5")</f>
        <v>5</v>
      </c>
      <c r="C3595" s="5" t="str">
        <f>IFERROR(__xludf.DUMMYFUNCTION("""COMPUTED_VALUE"""),"https://drive.google.com/file/d/1NkAzYTpMyPB_i_7Aa3nzreBJdOh81aPH/view?usp=drivesdk")</f>
        <v>https://drive.google.com/file/d/1NkAzYTpMyPB_i_7Aa3nzreBJdOh81aPH/view?usp=drivesdk</v>
      </c>
      <c r="D3595" s="12"/>
      <c r="E3595" s="11">
        <v>3633.0</v>
      </c>
      <c r="F3595" s="2"/>
    </row>
    <row r="3596" ht="1.5" customHeight="1">
      <c r="A3596" s="4" t="str">
        <f>IFERROR(__xludf.DUMMYFUNCTION("""COMPUTED_VALUE"""),"5. Eraser")</f>
        <v>5. Eraser</v>
      </c>
      <c r="B3596" s="4" t="str">
        <f>IFERROR(__xludf.DUMMYFUNCTION("""COMPUTED_VALUE"""),"5")</f>
        <v>5</v>
      </c>
      <c r="C3596" s="5" t="str">
        <f>IFERROR(__xludf.DUMMYFUNCTION("""COMPUTED_VALUE"""),"https://drive.google.com/file/d/1EXyryCDEjjHECxnO1KGz1t_7iZJ8QEcT/view?usp=drivesdk")</f>
        <v>https://drive.google.com/file/d/1EXyryCDEjjHECxnO1KGz1t_7iZJ8QEcT/view?usp=drivesdk</v>
      </c>
      <c r="D3596" s="12"/>
      <c r="E3596" s="11">
        <v>3634.0</v>
      </c>
      <c r="F3596" s="2"/>
    </row>
    <row r="3597" ht="1.5" customHeight="1">
      <c r="A3597" s="4" t="str">
        <f>IFERROR(__xludf.DUMMYFUNCTION("""COMPUTED_VALUE"""),"5. Eraser")</f>
        <v>5. Eraser</v>
      </c>
      <c r="B3597" s="4" t="str">
        <f>IFERROR(__xludf.DUMMYFUNCTION("""COMPUTED_VALUE"""),"5")</f>
        <v>5</v>
      </c>
      <c r="C3597" s="5" t="str">
        <f>IFERROR(__xludf.DUMMYFUNCTION("""COMPUTED_VALUE"""),"https://drive.google.com/file/d/1U0TBKC8_Ku_Fc8nvPaq4b8kiB08Hu-sM/view?usp=drivesdk")</f>
        <v>https://drive.google.com/file/d/1U0TBKC8_Ku_Fc8nvPaq4b8kiB08Hu-sM/view?usp=drivesdk</v>
      </c>
      <c r="D3597" s="12"/>
      <c r="E3597" s="11">
        <v>3635.0</v>
      </c>
      <c r="F3597" s="2"/>
    </row>
    <row r="3598" ht="1.5" customHeight="1">
      <c r="A3598" s="4" t="str">
        <f>IFERROR(__xludf.DUMMYFUNCTION("""COMPUTED_VALUE"""),"4. Eggs")</f>
        <v>4. Eggs</v>
      </c>
      <c r="B3598" s="4" t="str">
        <f>IFERROR(__xludf.DUMMYFUNCTION("""COMPUTED_VALUE"""),"4")</f>
        <v>4</v>
      </c>
      <c r="C3598" s="5" t="str">
        <f>IFERROR(__xludf.DUMMYFUNCTION("""COMPUTED_VALUE"""),"https://drive.google.com/file/d/1qUCWEgxaJV6xgdo00Tm6BBAAB0eM6oAC/view?usp=drivesdk")</f>
        <v>https://drive.google.com/file/d/1qUCWEgxaJV6xgdo00Tm6BBAAB0eM6oAC/view?usp=drivesdk</v>
      </c>
      <c r="D3598" s="12"/>
      <c r="E3598" s="11">
        <v>3636.0</v>
      </c>
      <c r="F3598" s="2"/>
    </row>
    <row r="3599" ht="1.5" customHeight="1">
      <c r="A3599" s="4" t="str">
        <f>IFERROR(__xludf.DUMMYFUNCTION("""COMPUTED_VALUE"""),"5. Eraser, 4. Eggs")</f>
        <v>5. Eraser, 4. Eggs</v>
      </c>
      <c r="B3599" s="4" t="str">
        <f>IFERROR(__xludf.DUMMYFUNCTION("""COMPUTED_VALUE"""),"5, 4")</f>
        <v>5, 4</v>
      </c>
      <c r="C3599" s="5" t="str">
        <f>IFERROR(__xludf.DUMMYFUNCTION("""COMPUTED_VALUE"""),"https://drive.google.com/file/d/1gSVhUEECUJjUs9F9neBCk8nclB_p6g8b/view?usp=drivesdk")</f>
        <v>https://drive.google.com/file/d/1gSVhUEECUJjUs9F9neBCk8nclB_p6g8b/view?usp=drivesdk</v>
      </c>
      <c r="D3599" s="12"/>
      <c r="E3599" s="11">
        <v>3637.0</v>
      </c>
      <c r="F3599" s="2"/>
    </row>
    <row r="3600" ht="1.5" customHeight="1">
      <c r="A3600" s="4" t="str">
        <f>IFERROR(__xludf.DUMMYFUNCTION("""COMPUTED_VALUE"""),"5. Eraser")</f>
        <v>5. Eraser</v>
      </c>
      <c r="B3600" s="4" t="str">
        <f>IFERROR(__xludf.DUMMYFUNCTION("""COMPUTED_VALUE"""),"5")</f>
        <v>5</v>
      </c>
      <c r="C3600" s="5" t="str">
        <f>IFERROR(__xludf.DUMMYFUNCTION("""COMPUTED_VALUE"""),"https://drive.google.com/file/d/1Bh9_T7yvJ3UnkLWnwEjUy1GXl09vC4xc/view?usp=drivesdk")</f>
        <v>https://drive.google.com/file/d/1Bh9_T7yvJ3UnkLWnwEjUy1GXl09vC4xc/view?usp=drivesdk</v>
      </c>
      <c r="D3600" s="12"/>
      <c r="E3600" s="11">
        <v>3638.0</v>
      </c>
      <c r="F3600" s="2"/>
    </row>
    <row r="3601" ht="1.5" customHeight="1">
      <c r="A3601" s="4" t="str">
        <f>IFERROR(__xludf.DUMMYFUNCTION("""COMPUTED_VALUE"""),"33. Zee")</f>
        <v>33. Zee</v>
      </c>
      <c r="B3601" s="4" t="str">
        <f>IFERROR(__xludf.DUMMYFUNCTION("""COMPUTED_VALUE"""),"33")</f>
        <v>33</v>
      </c>
      <c r="C3601" s="5" t="str">
        <f>IFERROR(__xludf.DUMMYFUNCTION("""COMPUTED_VALUE"""),"https://drive.google.com/file/d/1RR9hFt_j4HIxyithjaT5LtZ2SAQRP4nv/view?usp=drivesdk")</f>
        <v>https://drive.google.com/file/d/1RR9hFt_j4HIxyithjaT5LtZ2SAQRP4nv/view?usp=drivesdk</v>
      </c>
      <c r="D3601" s="12"/>
      <c r="E3601" s="11">
        <v>3639.0</v>
      </c>
      <c r="F3601" s="2"/>
    </row>
    <row r="3602" ht="1.5" customHeight="1">
      <c r="A3602" s="4" t="str">
        <f>IFERROR(__xludf.DUMMYFUNCTION("""COMPUTED_VALUE"""),"5. Eraser")</f>
        <v>5. Eraser</v>
      </c>
      <c r="B3602" s="4" t="str">
        <f>IFERROR(__xludf.DUMMYFUNCTION("""COMPUTED_VALUE"""),"5")</f>
        <v>5</v>
      </c>
      <c r="C3602" s="5" t="str">
        <f>IFERROR(__xludf.DUMMYFUNCTION("""COMPUTED_VALUE"""),"https://drive.google.com/file/d/1DTX4geYqOpgpEr3xWvV7HdQUEAPSbXml/view?usp=drivesdk")</f>
        <v>https://drive.google.com/file/d/1DTX4geYqOpgpEr3xWvV7HdQUEAPSbXml/view?usp=drivesdk</v>
      </c>
      <c r="D3602" s="12"/>
      <c r="E3602" s="11">
        <v>3640.0</v>
      </c>
      <c r="F3602" s="2"/>
    </row>
    <row r="3603" ht="1.5" customHeight="1">
      <c r="A3603" s="4" t="str">
        <f>IFERROR(__xludf.DUMMYFUNCTION("""COMPUTED_VALUE"""),"30. Pepper")</f>
        <v>30. Pepper</v>
      </c>
      <c r="B3603" s="4" t="str">
        <f>IFERROR(__xludf.DUMMYFUNCTION("""COMPUTED_VALUE"""),"30")</f>
        <v>30</v>
      </c>
      <c r="C3603" s="5" t="str">
        <f>IFERROR(__xludf.DUMMYFUNCTION("""COMPUTED_VALUE"""),"https://drive.google.com/file/d/1k1R5sQlr9JHJmZTxnYdH4nTITsSNpZff/view?usp=drivesdk")</f>
        <v>https://drive.google.com/file/d/1k1R5sQlr9JHJmZTxnYdH4nTITsSNpZff/view?usp=drivesdk</v>
      </c>
      <c r="D3603" s="12"/>
      <c r="E3603" s="11">
        <v>3641.0</v>
      </c>
      <c r="F3603" s="2"/>
    </row>
    <row r="3604" ht="1.5" customHeight="1">
      <c r="A3604" s="4" t="str">
        <f>IFERROR(__xludf.DUMMYFUNCTION("""COMPUTED_VALUE"""),"30. Pepper")</f>
        <v>30. Pepper</v>
      </c>
      <c r="B3604" s="4" t="str">
        <f>IFERROR(__xludf.DUMMYFUNCTION("""COMPUTED_VALUE"""),"30")</f>
        <v>30</v>
      </c>
      <c r="C3604" s="5" t="str">
        <f>IFERROR(__xludf.DUMMYFUNCTION("""COMPUTED_VALUE"""),"https://drive.google.com/file/d/1TvE2aXI94jjlYYjGuyhtWIFszduZhwo5/view?usp=drivesdk")</f>
        <v>https://drive.google.com/file/d/1TvE2aXI94jjlYYjGuyhtWIFszduZhwo5/view?usp=drivesdk</v>
      </c>
      <c r="D3604" s="12"/>
      <c r="E3604" s="11">
        <v>3642.0</v>
      </c>
      <c r="F3604" s="2"/>
    </row>
    <row r="3605" ht="1.5" customHeight="1">
      <c r="A3605" s="4" t="str">
        <f>IFERROR(__xludf.DUMMYFUNCTION("""COMPUTED_VALUE"""),"30. Pepper")</f>
        <v>30. Pepper</v>
      </c>
      <c r="B3605" s="4" t="str">
        <f>IFERROR(__xludf.DUMMYFUNCTION("""COMPUTED_VALUE"""),"30")</f>
        <v>30</v>
      </c>
      <c r="C3605" s="5" t="str">
        <f>IFERROR(__xludf.DUMMYFUNCTION("""COMPUTED_VALUE"""),"https://drive.google.com/file/d/1XjFJPoYObKEDkoDBNMV8mUQj6Tq-WOvN/view?usp=drivesdk")</f>
        <v>https://drive.google.com/file/d/1XjFJPoYObKEDkoDBNMV8mUQj6Tq-WOvN/view?usp=drivesdk</v>
      </c>
      <c r="D3605" s="12"/>
      <c r="E3605" s="11">
        <v>3643.0</v>
      </c>
      <c r="F3605" s="2"/>
    </row>
    <row r="3606" ht="1.5" customHeight="1">
      <c r="A3606" s="4" t="str">
        <f>IFERROR(__xludf.DUMMYFUNCTION("""COMPUTED_VALUE"""),"4. Eggs")</f>
        <v>4. Eggs</v>
      </c>
      <c r="B3606" s="4" t="str">
        <f>IFERROR(__xludf.DUMMYFUNCTION("""COMPUTED_VALUE"""),"4")</f>
        <v>4</v>
      </c>
      <c r="C3606" s="5" t="str">
        <f>IFERROR(__xludf.DUMMYFUNCTION("""COMPUTED_VALUE"""),"https://drive.google.com/file/d/13hM0_dDExqGlhC82qpTjtZzS4uu4rc-L/view?usp=drivesdk")</f>
        <v>https://drive.google.com/file/d/13hM0_dDExqGlhC82qpTjtZzS4uu4rc-L/view?usp=drivesdk</v>
      </c>
      <c r="D3606" s="12"/>
      <c r="E3606" s="11">
        <v>3644.0</v>
      </c>
      <c r="F3606" s="2"/>
    </row>
    <row r="3607" ht="1.5" customHeight="1">
      <c r="A3607" s="4" t="str">
        <f>IFERROR(__xludf.DUMMYFUNCTION("""COMPUTED_VALUE"""),"30. Pepper")</f>
        <v>30. Pepper</v>
      </c>
      <c r="B3607" s="4" t="str">
        <f>IFERROR(__xludf.DUMMYFUNCTION("""COMPUTED_VALUE"""),"30")</f>
        <v>30</v>
      </c>
      <c r="C3607" s="5" t="str">
        <f>IFERROR(__xludf.DUMMYFUNCTION("""COMPUTED_VALUE"""),"https://drive.google.com/file/d/1sDLvXWzRnS7aGWgC9f1fvc9Y7gOTxg19/view?usp=drivesdk")</f>
        <v>https://drive.google.com/file/d/1sDLvXWzRnS7aGWgC9f1fvc9Y7gOTxg19/view?usp=drivesdk</v>
      </c>
      <c r="D3607" s="12"/>
      <c r="E3607" s="11">
        <v>3645.0</v>
      </c>
      <c r="F3607" s="2"/>
    </row>
    <row r="3608" ht="1.5" customHeight="1">
      <c r="A3608" s="4" t="str">
        <f>IFERROR(__xludf.DUMMYFUNCTION("""COMPUTED_VALUE"""),"4. Eggs")</f>
        <v>4. Eggs</v>
      </c>
      <c r="B3608" s="4" t="str">
        <f>IFERROR(__xludf.DUMMYFUNCTION("""COMPUTED_VALUE"""),"4")</f>
        <v>4</v>
      </c>
      <c r="C3608" s="5" t="str">
        <f>IFERROR(__xludf.DUMMYFUNCTION("""COMPUTED_VALUE"""),"https://drive.google.com/file/d/1TAGJ-UZyCl0YW9-s2MSYyDXalUm_XAzp/view?usp=drivesdk")</f>
        <v>https://drive.google.com/file/d/1TAGJ-UZyCl0YW9-s2MSYyDXalUm_XAzp/view?usp=drivesdk</v>
      </c>
      <c r="D3608" s="12"/>
      <c r="E3608" s="11">
        <v>3646.0</v>
      </c>
      <c r="F3608" s="2"/>
    </row>
    <row r="3609" ht="1.5" customHeight="1">
      <c r="A3609" s="4" t="str">
        <f>IFERROR(__xludf.DUMMYFUNCTION("""COMPUTED_VALUE"""),"33. Zee")</f>
        <v>33. Zee</v>
      </c>
      <c r="B3609" s="4" t="str">
        <f>IFERROR(__xludf.DUMMYFUNCTION("""COMPUTED_VALUE"""),"33")</f>
        <v>33</v>
      </c>
      <c r="C3609" s="5" t="str">
        <f>IFERROR(__xludf.DUMMYFUNCTION("""COMPUTED_VALUE"""),"https://drive.google.com/file/d/1WMhrnecII9w-Hxd3eYt76GC7ABQZU6wo/view?usp=drivesdk")</f>
        <v>https://drive.google.com/file/d/1WMhrnecII9w-Hxd3eYt76GC7ABQZU6wo/view?usp=drivesdk</v>
      </c>
      <c r="D3609" s="12"/>
      <c r="E3609" s="11">
        <v>3647.0</v>
      </c>
      <c r="F3609" s="2"/>
    </row>
    <row r="3610" ht="1.5" customHeight="1">
      <c r="A3610" s="4" t="str">
        <f>IFERROR(__xludf.DUMMYFUNCTION("""COMPUTED_VALUE"""),"30. Pepper")</f>
        <v>30. Pepper</v>
      </c>
      <c r="B3610" s="4" t="str">
        <f>IFERROR(__xludf.DUMMYFUNCTION("""COMPUTED_VALUE"""),"30")</f>
        <v>30</v>
      </c>
      <c r="C3610" s="5" t="str">
        <f>IFERROR(__xludf.DUMMYFUNCTION("""COMPUTED_VALUE"""),"https://drive.google.com/file/d/167MEUOz20p4TTii5872rV0hx3Y3lL2He/view?usp=drivesdk")</f>
        <v>https://drive.google.com/file/d/167MEUOz20p4TTii5872rV0hx3Y3lL2He/view?usp=drivesdk</v>
      </c>
      <c r="D3610" s="12"/>
      <c r="E3610" s="11">
        <v>3648.0</v>
      </c>
      <c r="F3610" s="2"/>
    </row>
    <row r="3611" ht="1.5" customHeight="1">
      <c r="A3611" s="4" t="str">
        <f>IFERROR(__xludf.DUMMYFUNCTION("""COMPUTED_VALUE"""),"33. Zee")</f>
        <v>33. Zee</v>
      </c>
      <c r="B3611" s="4" t="str">
        <f>IFERROR(__xludf.DUMMYFUNCTION("""COMPUTED_VALUE"""),"33")</f>
        <v>33</v>
      </c>
      <c r="C3611" s="5" t="str">
        <f>IFERROR(__xludf.DUMMYFUNCTION("""COMPUTED_VALUE"""),"https://drive.google.com/file/d/1YK7GSWKG9uGLyedteetySku4Qlj-6gd9/view?usp=drivesdk")</f>
        <v>https://drive.google.com/file/d/1YK7GSWKG9uGLyedteetySku4Qlj-6gd9/view?usp=drivesdk</v>
      </c>
      <c r="D3611" s="12"/>
      <c r="E3611" s="11">
        <v>3649.0</v>
      </c>
      <c r="F3611" s="2"/>
    </row>
    <row r="3612" ht="1.5" customHeight="1">
      <c r="A3612" s="4" t="str">
        <f>IFERROR(__xludf.DUMMYFUNCTION("""COMPUTED_VALUE"""),"33. Zee")</f>
        <v>33. Zee</v>
      </c>
      <c r="B3612" s="4" t="str">
        <f>IFERROR(__xludf.DUMMYFUNCTION("""COMPUTED_VALUE"""),"33")</f>
        <v>33</v>
      </c>
      <c r="C3612" s="5" t="str">
        <f>IFERROR(__xludf.DUMMYFUNCTION("""COMPUTED_VALUE"""),"https://drive.google.com/file/d/12Hl5X9c5PjH9pcHITbYYkv1Zk3XLLSZN/view?usp=drivesdk")</f>
        <v>https://drive.google.com/file/d/12Hl5X9c5PjH9pcHITbYYkv1Zk3XLLSZN/view?usp=drivesdk</v>
      </c>
      <c r="D3612" s="12"/>
      <c r="E3612" s="11">
        <v>3650.0</v>
      </c>
      <c r="F3612" s="2"/>
    </row>
    <row r="3613" ht="1.5" customHeight="1">
      <c r="A3613" s="4" t="str">
        <f>IFERROR(__xludf.DUMMYFUNCTION("""COMPUTED_VALUE"""),"4. Eggs")</f>
        <v>4. Eggs</v>
      </c>
      <c r="B3613" s="4" t="str">
        <f>IFERROR(__xludf.DUMMYFUNCTION("""COMPUTED_VALUE"""),"4")</f>
        <v>4</v>
      </c>
      <c r="C3613" s="5" t="str">
        <f>IFERROR(__xludf.DUMMYFUNCTION("""COMPUTED_VALUE"""),"https://drive.google.com/file/d/1j0adDy9o8tRn4M4DUb3I-8hehf2u-ygu/view?usp=drivesdk")</f>
        <v>https://drive.google.com/file/d/1j0adDy9o8tRn4M4DUb3I-8hehf2u-ygu/view?usp=drivesdk</v>
      </c>
      <c r="D3613" s="12"/>
      <c r="E3613" s="11">
        <v>3651.0</v>
      </c>
      <c r="F3613" s="2"/>
    </row>
    <row r="3614" ht="1.5" customHeight="1">
      <c r="A3614" s="4" t="str">
        <f>IFERROR(__xludf.DUMMYFUNCTION("""COMPUTED_VALUE"""),"5. Eraser")</f>
        <v>5. Eraser</v>
      </c>
      <c r="B3614" s="4" t="str">
        <f>IFERROR(__xludf.DUMMYFUNCTION("""COMPUTED_VALUE"""),"5")</f>
        <v>5</v>
      </c>
      <c r="C3614" s="5" t="str">
        <f>IFERROR(__xludf.DUMMYFUNCTION("""COMPUTED_VALUE"""),"https://drive.google.com/file/d/160V12F_QeCM-BBHSpQuarxWxU4TaWeja/view?usp=drivesdk")</f>
        <v>https://drive.google.com/file/d/160V12F_QeCM-BBHSpQuarxWxU4TaWeja/view?usp=drivesdk</v>
      </c>
      <c r="D3614" s="12"/>
      <c r="E3614" s="11">
        <v>3652.0</v>
      </c>
      <c r="F3614" s="2"/>
    </row>
    <row r="3615" ht="1.5" customHeight="1">
      <c r="A3615" s="4" t="str">
        <f>IFERROR(__xludf.DUMMYFUNCTION("""COMPUTED_VALUE"""),"33. Zee")</f>
        <v>33. Zee</v>
      </c>
      <c r="B3615" s="4" t="str">
        <f>IFERROR(__xludf.DUMMYFUNCTION("""COMPUTED_VALUE"""),"33")</f>
        <v>33</v>
      </c>
      <c r="C3615" s="5" t="str">
        <f>IFERROR(__xludf.DUMMYFUNCTION("""COMPUTED_VALUE"""),"https://drive.google.com/file/d/1o-bIr3ihqHP3BJbgv3nZq0RVp_QvW2m0/view?usp=drivesdk")</f>
        <v>https://drive.google.com/file/d/1o-bIr3ihqHP3BJbgv3nZq0RVp_QvW2m0/view?usp=drivesdk</v>
      </c>
      <c r="D3615" s="12"/>
      <c r="E3615" s="11">
        <v>3653.0</v>
      </c>
      <c r="F3615" s="2"/>
    </row>
    <row r="3616" ht="1.5" customHeight="1">
      <c r="A3616" s="4" t="str">
        <f>IFERROR(__xludf.DUMMYFUNCTION("""COMPUTED_VALUE"""),"0. NotACat")</f>
        <v>0. NotACat</v>
      </c>
      <c r="B3616" s="4" t="str">
        <f>IFERROR(__xludf.DUMMYFUNCTION("""COMPUTED_VALUE"""),"0")</f>
        <v>0</v>
      </c>
      <c r="C3616" s="5" t="str">
        <f>IFERROR(__xludf.DUMMYFUNCTION("""COMPUTED_VALUE"""),"https://drive.google.com/file/d/1EcRV58JgrOCuAEzKEQX4M880uiPo4S8i/view?usp=drivesdk")</f>
        <v>https://drive.google.com/file/d/1EcRV58JgrOCuAEzKEQX4M880uiPo4S8i/view?usp=drivesdk</v>
      </c>
      <c r="D3616" s="12"/>
      <c r="E3616" s="11">
        <v>3654.0</v>
      </c>
      <c r="F3616" s="2"/>
    </row>
    <row r="3617" ht="1.5" customHeight="1">
      <c r="A3617" s="4" t="str">
        <f>IFERROR(__xludf.DUMMYFUNCTION("""COMPUTED_VALUE"""),"0. NotACat")</f>
        <v>0. NotACat</v>
      </c>
      <c r="B3617" s="4" t="str">
        <f>IFERROR(__xludf.DUMMYFUNCTION("""COMPUTED_VALUE"""),"0")</f>
        <v>0</v>
      </c>
      <c r="C3617" s="5" t="str">
        <f>IFERROR(__xludf.DUMMYFUNCTION("""COMPUTED_VALUE"""),"https://drive.google.com/file/d/1mpPIPIUiwsBkVbXOxNszwwMJCg7jk6gl/view?usp=drivesdk")</f>
        <v>https://drive.google.com/file/d/1mpPIPIUiwsBkVbXOxNszwwMJCg7jk6gl/view?usp=drivesdk</v>
      </c>
      <c r="D3617" s="12"/>
      <c r="E3617" s="11">
        <v>3655.0</v>
      </c>
      <c r="F3617" s="2"/>
    </row>
    <row r="3618" ht="1.5" customHeight="1">
      <c r="A3618" s="4" t="str">
        <f>IFERROR(__xludf.DUMMYFUNCTION("""COMPUTED_VALUE"""),"32. Noir")</f>
        <v>32. Noir</v>
      </c>
      <c r="B3618" s="4" t="str">
        <f>IFERROR(__xludf.DUMMYFUNCTION("""COMPUTED_VALUE"""),"32")</f>
        <v>32</v>
      </c>
      <c r="C3618" s="5" t="str">
        <f>IFERROR(__xludf.DUMMYFUNCTION("""COMPUTED_VALUE"""),"https://drive.google.com/file/d/1oTGTH9biHIAjvVikAggShFkUaybQcANq/view?usp=drivesdk")</f>
        <v>https://drive.google.com/file/d/1oTGTH9biHIAjvVikAggShFkUaybQcANq/view?usp=drivesdk</v>
      </c>
      <c r="D3618" s="12"/>
      <c r="E3618" s="11">
        <v>3656.0</v>
      </c>
      <c r="F3618" s="2"/>
    </row>
    <row r="3619" ht="1.5" customHeight="1">
      <c r="A3619" s="4" t="str">
        <f>IFERROR(__xludf.DUMMYFUNCTION("""COMPUTED_VALUE"""),"29. Ginger")</f>
        <v>29. Ginger</v>
      </c>
      <c r="B3619" s="4" t="str">
        <f>IFERROR(__xludf.DUMMYFUNCTION("""COMPUTED_VALUE"""),"29")</f>
        <v>29</v>
      </c>
      <c r="C3619" s="5" t="str">
        <f>IFERROR(__xludf.DUMMYFUNCTION("""COMPUTED_VALUE"""),"https://drive.google.com/file/d/1oROnKed7wuFFMjVekma5HT5SP7OEpULu/view?usp=drivesdk")</f>
        <v>https://drive.google.com/file/d/1oROnKed7wuFFMjVekma5HT5SP7OEpULu/view?usp=drivesdk</v>
      </c>
      <c r="D3619" s="12"/>
      <c r="E3619" s="11">
        <v>3657.0</v>
      </c>
      <c r="F3619" s="2"/>
    </row>
    <row r="3620" ht="1.5" customHeight="1">
      <c r="A3620" s="4" t="str">
        <f>IFERROR(__xludf.DUMMYFUNCTION("""COMPUTED_VALUE"""),"29. Ginger")</f>
        <v>29. Ginger</v>
      </c>
      <c r="B3620" s="4" t="str">
        <f>IFERROR(__xludf.DUMMYFUNCTION("""COMPUTED_VALUE"""),"29")</f>
        <v>29</v>
      </c>
      <c r="C3620" s="5" t="str">
        <f>IFERROR(__xludf.DUMMYFUNCTION("""COMPUTED_VALUE"""),"https://drive.google.com/file/d/1Y37XDzVcn_heqXiNUiLBnY9IVoChA2Qi/view?usp=drivesdk")</f>
        <v>https://drive.google.com/file/d/1Y37XDzVcn_heqXiNUiLBnY9IVoChA2Qi/view?usp=drivesdk</v>
      </c>
      <c r="D3620" s="12"/>
      <c r="E3620" s="11">
        <v>3658.0</v>
      </c>
      <c r="F3620" s="2"/>
    </row>
    <row r="3621" ht="1.5" customHeight="1">
      <c r="A3621" s="4" t="str">
        <f>IFERROR(__xludf.DUMMYFUNCTION("""COMPUTED_VALUE"""),"24. Garfield")</f>
        <v>24. Garfield</v>
      </c>
      <c r="B3621" s="4" t="str">
        <f>IFERROR(__xludf.DUMMYFUNCTION("""COMPUTED_VALUE"""),"24")</f>
        <v>24</v>
      </c>
      <c r="C3621" s="5" t="str">
        <f>IFERROR(__xludf.DUMMYFUNCTION("""COMPUTED_VALUE"""),"https://drive.google.com/file/d/1hnWkdx18wtBAu0sFzmt49wAO5beb7aBZ/view?usp=drivesdk")</f>
        <v>https://drive.google.com/file/d/1hnWkdx18wtBAu0sFzmt49wAO5beb7aBZ/view?usp=drivesdk</v>
      </c>
      <c r="D3621" s="12"/>
      <c r="E3621" s="11">
        <v>3659.0</v>
      </c>
      <c r="F3621" s="2"/>
    </row>
    <row r="3622" ht="1.5" customHeight="1">
      <c r="A3622" s="4" t="str">
        <f>IFERROR(__xludf.DUMMYFUNCTION("""COMPUTED_VALUE"""),"24. Garfield")</f>
        <v>24. Garfield</v>
      </c>
      <c r="B3622" s="4" t="str">
        <f>IFERROR(__xludf.DUMMYFUNCTION("""COMPUTED_VALUE"""),"24")</f>
        <v>24</v>
      </c>
      <c r="C3622" s="5" t="str">
        <f>IFERROR(__xludf.DUMMYFUNCTION("""COMPUTED_VALUE"""),"https://drive.google.com/file/d/1i73o7KBcuaOrkAUBWp8FuC16YaZhRqG3/view?usp=drivesdk")</f>
        <v>https://drive.google.com/file/d/1i73o7KBcuaOrkAUBWp8FuC16YaZhRqG3/view?usp=drivesdk</v>
      </c>
      <c r="D3622" s="12"/>
      <c r="E3622" s="11">
        <v>3660.0</v>
      </c>
      <c r="F3622" s="2"/>
    </row>
    <row r="3623" ht="1.5" customHeight="1">
      <c r="A3623" s="4" t="str">
        <f>IFERROR(__xludf.DUMMYFUNCTION("""COMPUTED_VALUE"""),"24. Garfield")</f>
        <v>24. Garfield</v>
      </c>
      <c r="B3623" s="4" t="str">
        <f>IFERROR(__xludf.DUMMYFUNCTION("""COMPUTED_VALUE"""),"24")</f>
        <v>24</v>
      </c>
      <c r="C3623" s="5" t="str">
        <f>IFERROR(__xludf.DUMMYFUNCTION("""COMPUTED_VALUE"""),"https://drive.google.com/file/d/12SqGrcnewkeRIQUvv1iu5tKE7QMNxnld/view?usp=drivesdk")</f>
        <v>https://drive.google.com/file/d/12SqGrcnewkeRIQUvv1iu5tKE7QMNxnld/view?usp=drivesdk</v>
      </c>
      <c r="D3623" s="12"/>
      <c r="E3623" s="11">
        <v>3661.0</v>
      </c>
      <c r="F3623" s="2"/>
    </row>
    <row r="3624" ht="1.5" customHeight="1">
      <c r="A3624" s="4" t="str">
        <f>IFERROR(__xludf.DUMMYFUNCTION("""COMPUTED_VALUE"""),"24. Garfield")</f>
        <v>24. Garfield</v>
      </c>
      <c r="B3624" s="4" t="str">
        <f>IFERROR(__xludf.DUMMYFUNCTION("""COMPUTED_VALUE"""),"24")</f>
        <v>24</v>
      </c>
      <c r="C3624" s="5" t="str">
        <f>IFERROR(__xludf.DUMMYFUNCTION("""COMPUTED_VALUE"""),"https://drive.google.com/file/d/1cqbQHFjgy2vj-SDIS3--HWarqImYCJod/view?usp=drivesdk")</f>
        <v>https://drive.google.com/file/d/1cqbQHFjgy2vj-SDIS3--HWarqImYCJod/view?usp=drivesdk</v>
      </c>
      <c r="D3624" s="12"/>
      <c r="E3624" s="11">
        <v>3662.0</v>
      </c>
      <c r="F3624" s="2"/>
    </row>
    <row r="3625" ht="1.5" customHeight="1">
      <c r="A3625" s="4" t="str">
        <f>IFERROR(__xludf.DUMMYFUNCTION("""COMPUTED_VALUE"""),"24. Garfield")</f>
        <v>24. Garfield</v>
      </c>
      <c r="B3625" s="4" t="str">
        <f>IFERROR(__xludf.DUMMYFUNCTION("""COMPUTED_VALUE"""),"24")</f>
        <v>24</v>
      </c>
      <c r="C3625" s="5" t="str">
        <f>IFERROR(__xludf.DUMMYFUNCTION("""COMPUTED_VALUE"""),"https://drive.google.com/file/d/1woszUhElS-kwglxcUMLkhyVILikvxTzY/view?usp=drivesdk")</f>
        <v>https://drive.google.com/file/d/1woszUhElS-kwglxcUMLkhyVILikvxTzY/view?usp=drivesdk</v>
      </c>
      <c r="D3625" s="12"/>
      <c r="E3625" s="11">
        <v>3663.0</v>
      </c>
      <c r="F3625" s="2"/>
    </row>
    <row r="3626" ht="1.5" customHeight="1">
      <c r="A3626" s="4" t="str">
        <f>IFERROR(__xludf.DUMMYFUNCTION("""COMPUTED_VALUE"""),"24. Garfield")</f>
        <v>24. Garfield</v>
      </c>
      <c r="B3626" s="4" t="str">
        <f>IFERROR(__xludf.DUMMYFUNCTION("""COMPUTED_VALUE"""),"24")</f>
        <v>24</v>
      </c>
      <c r="C3626" s="5" t="str">
        <f>IFERROR(__xludf.DUMMYFUNCTION("""COMPUTED_VALUE"""),"https://drive.google.com/file/d/1hJWy1C79OuExxeFJUCoWAMSmvCQd2ao9/view?usp=drivesdk")</f>
        <v>https://drive.google.com/file/d/1hJWy1C79OuExxeFJUCoWAMSmvCQd2ao9/view?usp=drivesdk</v>
      </c>
      <c r="D3626" s="12"/>
      <c r="E3626" s="11">
        <v>3664.0</v>
      </c>
      <c r="F3626" s="2"/>
    </row>
    <row r="3627" ht="1.5" customHeight="1">
      <c r="A3627" s="4" t="str">
        <f>IFERROR(__xludf.DUMMYFUNCTION("""COMPUTED_VALUE"""),"24. Garfield")</f>
        <v>24. Garfield</v>
      </c>
      <c r="B3627" s="4" t="str">
        <f>IFERROR(__xludf.DUMMYFUNCTION("""COMPUTED_VALUE"""),"24")</f>
        <v>24</v>
      </c>
      <c r="C3627" s="5" t="str">
        <f>IFERROR(__xludf.DUMMYFUNCTION("""COMPUTED_VALUE"""),"https://drive.google.com/file/d/14zoYinVW1AWYezomWIrorLFwJ3EspIx0/view?usp=drivesdk")</f>
        <v>https://drive.google.com/file/d/14zoYinVW1AWYezomWIrorLFwJ3EspIx0/view?usp=drivesdk</v>
      </c>
      <c r="D3627" s="12"/>
      <c r="E3627" s="11">
        <v>3665.0</v>
      </c>
      <c r="F3627" s="2"/>
    </row>
    <row r="3628" ht="1.5" customHeight="1">
      <c r="A3628" s="4" t="str">
        <f>IFERROR(__xludf.DUMMYFUNCTION("""COMPUTED_VALUE"""),"24. Garfield")</f>
        <v>24. Garfield</v>
      </c>
      <c r="B3628" s="4" t="str">
        <f>IFERROR(__xludf.DUMMYFUNCTION("""COMPUTED_VALUE"""),"24")</f>
        <v>24</v>
      </c>
      <c r="C3628" s="5" t="str">
        <f>IFERROR(__xludf.DUMMYFUNCTION("""COMPUTED_VALUE"""),"https://drive.google.com/file/d/1E7qYGKvLsoQNsgu_lWAD4iGdcDg-7436/view?usp=drivesdk")</f>
        <v>https://drive.google.com/file/d/1E7qYGKvLsoQNsgu_lWAD4iGdcDg-7436/view?usp=drivesdk</v>
      </c>
      <c r="D3628" s="12"/>
      <c r="E3628" s="11">
        <v>3666.0</v>
      </c>
      <c r="F3628" s="2"/>
    </row>
    <row r="3629" ht="1.5" customHeight="1">
      <c r="A3629" s="4" t="str">
        <f>IFERROR(__xludf.DUMMYFUNCTION("""COMPUTED_VALUE"""),"24. Garfield")</f>
        <v>24. Garfield</v>
      </c>
      <c r="B3629" s="4" t="str">
        <f>IFERROR(__xludf.DUMMYFUNCTION("""COMPUTED_VALUE"""),"24")</f>
        <v>24</v>
      </c>
      <c r="C3629" s="5" t="str">
        <f>IFERROR(__xludf.DUMMYFUNCTION("""COMPUTED_VALUE"""),"https://drive.google.com/file/d/1OiGmO9_zxbwAuWCr8-yq_XpmWfAgwfJW/view?usp=drivesdk")</f>
        <v>https://drive.google.com/file/d/1OiGmO9_zxbwAuWCr8-yq_XpmWfAgwfJW/view?usp=drivesdk</v>
      </c>
      <c r="D3629" s="12"/>
      <c r="E3629" s="11">
        <v>3667.0</v>
      </c>
      <c r="F3629" s="2"/>
    </row>
    <row r="3630" ht="1.5" customHeight="1">
      <c r="A3630" s="4" t="str">
        <f>IFERROR(__xludf.DUMMYFUNCTION("""COMPUTED_VALUE"""),"24. Garfield")</f>
        <v>24. Garfield</v>
      </c>
      <c r="B3630" s="4" t="str">
        <f>IFERROR(__xludf.DUMMYFUNCTION("""COMPUTED_VALUE"""),"24")</f>
        <v>24</v>
      </c>
      <c r="C3630" s="5" t="str">
        <f>IFERROR(__xludf.DUMMYFUNCTION("""COMPUTED_VALUE"""),"https://drive.google.com/file/d/1F7R-dSwrRZL0kuQj5Z6fUYKctE9kpova/view?usp=drivesdk")</f>
        <v>https://drive.google.com/file/d/1F7R-dSwrRZL0kuQj5Z6fUYKctE9kpova/view?usp=drivesdk</v>
      </c>
      <c r="D3630" s="12"/>
      <c r="E3630" s="11">
        <v>3668.0</v>
      </c>
      <c r="F3630" s="2"/>
    </row>
    <row r="3631" ht="1.5" customHeight="1">
      <c r="A3631" s="4" t="str">
        <f>IFERROR(__xludf.DUMMYFUNCTION("""COMPUTED_VALUE"""),"7. Hershey")</f>
        <v>7. Hershey</v>
      </c>
      <c r="B3631" s="4" t="str">
        <f>IFERROR(__xludf.DUMMYFUNCTION("""COMPUTED_VALUE"""),"7")</f>
        <v>7</v>
      </c>
      <c r="C3631" s="5" t="str">
        <f>IFERROR(__xludf.DUMMYFUNCTION("""COMPUTED_VALUE"""),"https://drive.google.com/file/d/1L3rtBt7OqQY07ev0nzLirWkpe3iBm1jr/view?usp=drivesdk")</f>
        <v>https://drive.google.com/file/d/1L3rtBt7OqQY07ev0nzLirWkpe3iBm1jr/view?usp=drivesdk</v>
      </c>
      <c r="D3631" s="12"/>
      <c r="E3631" s="11">
        <v>3669.0</v>
      </c>
      <c r="F3631" s="2"/>
    </row>
    <row r="3632" ht="1.5" customHeight="1">
      <c r="A3632" s="4" t="str">
        <f>IFERROR(__xludf.DUMMYFUNCTION("""COMPUTED_VALUE"""),"7. Hershey")</f>
        <v>7. Hershey</v>
      </c>
      <c r="B3632" s="4" t="str">
        <f>IFERROR(__xludf.DUMMYFUNCTION("""COMPUTED_VALUE"""),"7")</f>
        <v>7</v>
      </c>
      <c r="C3632" s="5" t="str">
        <f>IFERROR(__xludf.DUMMYFUNCTION("""COMPUTED_VALUE"""),"https://drive.google.com/file/d/1ZyVAq7_jMDXjsabBHevLZUewHJfRFaUg/view?usp=drivesdk")</f>
        <v>https://drive.google.com/file/d/1ZyVAq7_jMDXjsabBHevLZUewHJfRFaUg/view?usp=drivesdk</v>
      </c>
      <c r="D3632" s="12"/>
      <c r="E3632" s="11">
        <v>3670.0</v>
      </c>
      <c r="F3632" s="2"/>
    </row>
    <row r="3633" ht="1.5" customHeight="1">
      <c r="A3633" s="4" t="str">
        <f>IFERROR(__xludf.DUMMYFUNCTION("""COMPUTED_VALUE"""),"7. Hershey")</f>
        <v>7. Hershey</v>
      </c>
      <c r="B3633" s="4" t="str">
        <f>IFERROR(__xludf.DUMMYFUNCTION("""COMPUTED_VALUE"""),"7")</f>
        <v>7</v>
      </c>
      <c r="C3633" s="5" t="str">
        <f>IFERROR(__xludf.DUMMYFUNCTION("""COMPUTED_VALUE"""),"https://drive.google.com/file/d/1AfTGzBFeHIvJAaDW8zRsfkc0cYJobHFg/view?usp=drivesdk")</f>
        <v>https://drive.google.com/file/d/1AfTGzBFeHIvJAaDW8zRsfkc0cYJobHFg/view?usp=drivesdk</v>
      </c>
      <c r="D3633" s="12"/>
      <c r="E3633" s="11">
        <v>3671.0</v>
      </c>
      <c r="F3633" s="2"/>
    </row>
    <row r="3634" ht="1.5" customHeight="1">
      <c r="A3634" s="4" t="str">
        <f>IFERROR(__xludf.DUMMYFUNCTION("""COMPUTED_VALUE"""),"7. Hershey, 24. Garfield")</f>
        <v>7. Hershey, 24. Garfield</v>
      </c>
      <c r="B3634" s="4" t="str">
        <f>IFERROR(__xludf.DUMMYFUNCTION("""COMPUTED_VALUE"""),"7, 24")</f>
        <v>7, 24</v>
      </c>
      <c r="C3634" s="5" t="str">
        <f>IFERROR(__xludf.DUMMYFUNCTION("""COMPUTED_VALUE"""),"https://drive.google.com/file/d/1r9BI8QJUlr8FDQQnEGoqCt0dZddesEGM/view?usp=drivesdk")</f>
        <v>https://drive.google.com/file/d/1r9BI8QJUlr8FDQQnEGoqCt0dZddesEGM/view?usp=drivesdk</v>
      </c>
      <c r="D3634" s="12"/>
      <c r="E3634" s="11">
        <v>3672.0</v>
      </c>
      <c r="F3634" s="2"/>
    </row>
    <row r="3635" ht="1.5" customHeight="1">
      <c r="A3635" s="4" t="str">
        <f>IFERROR(__xludf.DUMMYFUNCTION("""COMPUTED_VALUE"""),"7. Hershey")</f>
        <v>7. Hershey</v>
      </c>
      <c r="B3635" s="4" t="str">
        <f>IFERROR(__xludf.DUMMYFUNCTION("""COMPUTED_VALUE"""),"7")</f>
        <v>7</v>
      </c>
      <c r="C3635" s="5" t="str">
        <f>IFERROR(__xludf.DUMMYFUNCTION("""COMPUTED_VALUE"""),"https://drive.google.com/file/d/1HPAYp6I0MyyVSaQy-t_5vx9d6dIOuvt4/view?usp=drivesdk")</f>
        <v>https://drive.google.com/file/d/1HPAYp6I0MyyVSaQy-t_5vx9d6dIOuvt4/view?usp=drivesdk</v>
      </c>
      <c r="D3635" s="12"/>
      <c r="E3635" s="11">
        <v>3673.0</v>
      </c>
      <c r="F3635" s="2"/>
    </row>
    <row r="3636" ht="1.5" customHeight="1">
      <c r="A3636" s="4" t="str">
        <f>IFERROR(__xludf.DUMMYFUNCTION("""COMPUTED_VALUE"""),"7. Hershey")</f>
        <v>7. Hershey</v>
      </c>
      <c r="B3636" s="4" t="str">
        <f>IFERROR(__xludf.DUMMYFUNCTION("""COMPUTED_VALUE"""),"7")</f>
        <v>7</v>
      </c>
      <c r="C3636" s="5" t="str">
        <f>IFERROR(__xludf.DUMMYFUNCTION("""COMPUTED_VALUE"""),"https://drive.google.com/file/d/1LRUYjVfzsctQzG-Mbt8j20fbtKWUpbIw/view?usp=drivesdk")</f>
        <v>https://drive.google.com/file/d/1LRUYjVfzsctQzG-Mbt8j20fbtKWUpbIw/view?usp=drivesdk</v>
      </c>
      <c r="D3636" s="12"/>
      <c r="E3636" s="11">
        <v>3674.0</v>
      </c>
      <c r="F3636" s="2"/>
    </row>
    <row r="3637" ht="1.5" customHeight="1">
      <c r="A3637" s="4" t="str">
        <f>IFERROR(__xludf.DUMMYFUNCTION("""COMPUTED_VALUE"""),"7. Hershey")</f>
        <v>7. Hershey</v>
      </c>
      <c r="B3637" s="4" t="str">
        <f>IFERROR(__xludf.DUMMYFUNCTION("""COMPUTED_VALUE"""),"7")</f>
        <v>7</v>
      </c>
      <c r="C3637" s="5" t="str">
        <f>IFERROR(__xludf.DUMMYFUNCTION("""COMPUTED_VALUE"""),"https://drive.google.com/file/d/1_2VNXhGPOPyj9XqhhZY2u_tFTPONiDQX/view?usp=drivesdk")</f>
        <v>https://drive.google.com/file/d/1_2VNXhGPOPyj9XqhhZY2u_tFTPONiDQX/view?usp=drivesdk</v>
      </c>
      <c r="D3637" s="12"/>
      <c r="E3637" s="11">
        <v>3675.0</v>
      </c>
      <c r="F3637" s="2"/>
    </row>
    <row r="3638" ht="1.5" customHeight="1">
      <c r="A3638" s="4" t="str">
        <f>IFERROR(__xludf.DUMMYFUNCTION("""COMPUTED_VALUE"""),"2. Twix")</f>
        <v>2. Twix</v>
      </c>
      <c r="B3638" s="4" t="str">
        <f>IFERROR(__xludf.DUMMYFUNCTION("""COMPUTED_VALUE"""),"2")</f>
        <v>2</v>
      </c>
      <c r="C3638" s="5" t="str">
        <f>IFERROR(__xludf.DUMMYFUNCTION("""COMPUTED_VALUE"""),"https://drive.google.com/file/d/1xIXv61iqo19m42V07E0LB_w9QrJV3PX4/view?usp=drivesdk")</f>
        <v>https://drive.google.com/file/d/1xIXv61iqo19m42V07E0LB_w9QrJV3PX4/view?usp=drivesdk</v>
      </c>
      <c r="D3638" s="12"/>
      <c r="E3638" s="11">
        <v>3676.0</v>
      </c>
      <c r="F3638" s="2"/>
    </row>
    <row r="3639" ht="1.5" customHeight="1">
      <c r="A3639" s="4" t="str">
        <f>IFERROR(__xludf.DUMMYFUNCTION("""COMPUTED_VALUE"""),"2. Twix")</f>
        <v>2. Twix</v>
      </c>
      <c r="B3639" s="4" t="str">
        <f>IFERROR(__xludf.DUMMYFUNCTION("""COMPUTED_VALUE"""),"2")</f>
        <v>2</v>
      </c>
      <c r="C3639" s="5" t="str">
        <f>IFERROR(__xludf.DUMMYFUNCTION("""COMPUTED_VALUE"""),"https://drive.google.com/file/d/1lyzT4NGFm4QfaH9gAP1D18ZTWZdE9NW3/view?usp=drivesdk")</f>
        <v>https://drive.google.com/file/d/1lyzT4NGFm4QfaH9gAP1D18ZTWZdE9NW3/view?usp=drivesdk</v>
      </c>
      <c r="D3639" s="12"/>
      <c r="E3639" s="11">
        <v>3677.0</v>
      </c>
      <c r="F3639" s="2"/>
    </row>
    <row r="3640" ht="1.5" customHeight="1">
      <c r="A3640" s="4" t="str">
        <f>IFERROR(__xludf.DUMMYFUNCTION("""COMPUTED_VALUE"""),"2. Twix")</f>
        <v>2. Twix</v>
      </c>
      <c r="B3640" s="4" t="str">
        <f>IFERROR(__xludf.DUMMYFUNCTION("""COMPUTED_VALUE"""),"2")</f>
        <v>2</v>
      </c>
      <c r="C3640" s="5" t="str">
        <f>IFERROR(__xludf.DUMMYFUNCTION("""COMPUTED_VALUE"""),"https://drive.google.com/file/d/1p7SHVx9nCRvN7TJvnC060HnHXFcq5X0Q/view?usp=drivesdk")</f>
        <v>https://drive.google.com/file/d/1p7SHVx9nCRvN7TJvnC060HnHXFcq5X0Q/view?usp=drivesdk</v>
      </c>
      <c r="D3640" s="12"/>
      <c r="E3640" s="11">
        <v>3678.0</v>
      </c>
      <c r="F3640" s="2"/>
    </row>
    <row r="3641" ht="1.5" customHeight="1">
      <c r="A3641" s="4" t="str">
        <f>IFERROR(__xludf.DUMMYFUNCTION("""COMPUTED_VALUE"""),"2. Twix")</f>
        <v>2. Twix</v>
      </c>
      <c r="B3641" s="4" t="str">
        <f>IFERROR(__xludf.DUMMYFUNCTION("""COMPUTED_VALUE"""),"2")</f>
        <v>2</v>
      </c>
      <c r="C3641" s="5" t="str">
        <f>IFERROR(__xludf.DUMMYFUNCTION("""COMPUTED_VALUE"""),"https://drive.google.com/file/d/1_zNB0qE4teqB04Wdjvz0sT_bqHpIth5k/view?usp=drivesdk")</f>
        <v>https://drive.google.com/file/d/1_zNB0qE4teqB04Wdjvz0sT_bqHpIth5k/view?usp=drivesdk</v>
      </c>
      <c r="D3641" s="12"/>
      <c r="E3641" s="11">
        <v>3679.0</v>
      </c>
      <c r="F3641" s="2"/>
    </row>
    <row r="3642" ht="1.5" customHeight="1">
      <c r="A3642" s="4" t="str">
        <f>IFERROR(__xludf.DUMMYFUNCTION("""COMPUTED_VALUE"""),"1. Microwave")</f>
        <v>1. Microwave</v>
      </c>
      <c r="B3642" s="4" t="str">
        <f>IFERROR(__xludf.DUMMYFUNCTION("""COMPUTED_VALUE"""),"1")</f>
        <v>1</v>
      </c>
      <c r="C3642" s="5" t="str">
        <f>IFERROR(__xludf.DUMMYFUNCTION("""COMPUTED_VALUE"""),"https://drive.google.com/file/d/1nWTWnAWaM5qy60keBOuMBSNrPpjVqeBj/view?usp=drivesdk")</f>
        <v>https://drive.google.com/file/d/1nWTWnAWaM5qy60keBOuMBSNrPpjVqeBj/view?usp=drivesdk</v>
      </c>
      <c r="D3642" s="12"/>
      <c r="E3642" s="11">
        <v>3680.0</v>
      </c>
      <c r="F3642" s="2"/>
    </row>
    <row r="3643" ht="1.5" customHeight="1">
      <c r="A3643" s="4" t="str">
        <f>IFERROR(__xludf.DUMMYFUNCTION("""COMPUTED_VALUE"""),"24. Garfield")</f>
        <v>24. Garfield</v>
      </c>
      <c r="B3643" s="4" t="str">
        <f>IFERROR(__xludf.DUMMYFUNCTION("""COMPUTED_VALUE"""),"24")</f>
        <v>24</v>
      </c>
      <c r="C3643" s="5" t="str">
        <f>IFERROR(__xludf.DUMMYFUNCTION("""COMPUTED_VALUE"""),"https://drive.google.com/file/d/1E0Ae4eH7gAOTEaQFwrY8AX-Naley1waP/view?usp=drivesdk")</f>
        <v>https://drive.google.com/file/d/1E0Ae4eH7gAOTEaQFwrY8AX-Naley1waP/view?usp=drivesdk</v>
      </c>
      <c r="D3643" s="12"/>
      <c r="E3643" s="11">
        <v>3681.0</v>
      </c>
      <c r="F3643" s="2"/>
    </row>
    <row r="3644" ht="1.5" customHeight="1">
      <c r="A3644" s="4" t="str">
        <f>IFERROR(__xludf.DUMMYFUNCTION("""COMPUTED_VALUE"""),"24. Garfield, 26. Tang")</f>
        <v>24. Garfield, 26. Tang</v>
      </c>
      <c r="B3644" s="4" t="str">
        <f>IFERROR(__xludf.DUMMYFUNCTION("""COMPUTED_VALUE"""),"24, 26")</f>
        <v>24, 26</v>
      </c>
      <c r="C3644" s="5" t="str">
        <f>IFERROR(__xludf.DUMMYFUNCTION("""COMPUTED_VALUE"""),"https://drive.google.com/file/d/1tYGh8XMSsafeOA6dwDwDCHYZ0BwkkmPp/view?usp=drivesdk")</f>
        <v>https://drive.google.com/file/d/1tYGh8XMSsafeOA6dwDwDCHYZ0BwkkmPp/view?usp=drivesdk</v>
      </c>
      <c r="D3644" s="12"/>
      <c r="E3644" s="11">
        <v>3682.0</v>
      </c>
      <c r="F3644" s="2"/>
    </row>
    <row r="3645" ht="1.5" customHeight="1">
      <c r="A3645" s="4" t="str">
        <f>IFERROR(__xludf.DUMMYFUNCTION("""COMPUTED_VALUE"""),"22. Glockenspiel")</f>
        <v>22. Glockenspiel</v>
      </c>
      <c r="B3645" s="4" t="str">
        <f>IFERROR(__xludf.DUMMYFUNCTION("""COMPUTED_VALUE"""),"22")</f>
        <v>22</v>
      </c>
      <c r="C3645" s="5" t="str">
        <f>IFERROR(__xludf.DUMMYFUNCTION("""COMPUTED_VALUE"""),"https://drive.google.com/file/d/1wopObae4mW-XUYJcICMleMjkJfNNFOGd/view?usp=drivesdk")</f>
        <v>https://drive.google.com/file/d/1wopObae4mW-XUYJcICMleMjkJfNNFOGd/view?usp=drivesdk</v>
      </c>
      <c r="D3645" s="12"/>
      <c r="E3645" s="11">
        <v>3683.0</v>
      </c>
      <c r="F3645" s="2"/>
    </row>
    <row r="3646" ht="1.5" customHeight="1">
      <c r="A3646" s="4" t="str">
        <f>IFERROR(__xludf.DUMMYFUNCTION("""COMPUTED_VALUE"""),"22. Glockenspiel")</f>
        <v>22. Glockenspiel</v>
      </c>
      <c r="B3646" s="4" t="str">
        <f>IFERROR(__xludf.DUMMYFUNCTION("""COMPUTED_VALUE"""),"22")</f>
        <v>22</v>
      </c>
      <c r="C3646" s="5" t="str">
        <f>IFERROR(__xludf.DUMMYFUNCTION("""COMPUTED_VALUE"""),"https://drive.google.com/file/d/1NtyNmflyUWW7eojgRsp9m4egMZtjQ4TA/view?usp=drivesdk")</f>
        <v>https://drive.google.com/file/d/1NtyNmflyUWW7eojgRsp9m4egMZtjQ4TA/view?usp=drivesdk</v>
      </c>
      <c r="D3646" s="12"/>
      <c r="E3646" s="11">
        <v>3684.0</v>
      </c>
      <c r="F3646" s="2"/>
    </row>
    <row r="3647" ht="1.5" customHeight="1">
      <c r="A3647" s="4" t="str">
        <f>IFERROR(__xludf.DUMMYFUNCTION("""COMPUTED_VALUE"""),"0. NotACat")</f>
        <v>0. NotACat</v>
      </c>
      <c r="B3647" s="4" t="str">
        <f>IFERROR(__xludf.DUMMYFUNCTION("""COMPUTED_VALUE"""),"0")</f>
        <v>0</v>
      </c>
      <c r="C3647" s="5" t="str">
        <f>IFERROR(__xludf.DUMMYFUNCTION("""COMPUTED_VALUE"""),"https://drive.google.com/file/d/1-Xf_Df3URzZmxLltGOAsyRht_oBzHc3b/view?usp=drivesdk")</f>
        <v>https://drive.google.com/file/d/1-Xf_Df3URzZmxLltGOAsyRht_oBzHc3b/view?usp=drivesdk</v>
      </c>
      <c r="D3647" s="12"/>
      <c r="E3647" s="11">
        <v>3685.0</v>
      </c>
      <c r="F3647" s="2"/>
    </row>
    <row r="3648" ht="1.5" customHeight="1">
      <c r="A3648" s="4" t="str">
        <f>IFERROR(__xludf.DUMMYFUNCTION("""COMPUTED_VALUE"""),"29. Ginger")</f>
        <v>29. Ginger</v>
      </c>
      <c r="B3648" s="4" t="str">
        <f>IFERROR(__xludf.DUMMYFUNCTION("""COMPUTED_VALUE"""),"29")</f>
        <v>29</v>
      </c>
      <c r="C3648" s="5" t="str">
        <f>IFERROR(__xludf.DUMMYFUNCTION("""COMPUTED_VALUE"""),"https://drive.google.com/file/d/1TE7IPsothGABwdvChB62Vi_K0ztG-6PO/view?usp=drivesdk")</f>
        <v>https://drive.google.com/file/d/1TE7IPsothGABwdvChB62Vi_K0ztG-6PO/view?usp=drivesdk</v>
      </c>
      <c r="D3648" s="12"/>
      <c r="E3648" s="11">
        <v>3686.0</v>
      </c>
      <c r="F3648" s="2"/>
    </row>
    <row r="3649" ht="1.5" customHeight="1">
      <c r="A3649" s="4" t="str">
        <f>IFERROR(__xludf.DUMMYFUNCTION("""COMPUTED_VALUE"""),"29. Ginger")</f>
        <v>29. Ginger</v>
      </c>
      <c r="B3649" s="4" t="str">
        <f>IFERROR(__xludf.DUMMYFUNCTION("""COMPUTED_VALUE"""),"29")</f>
        <v>29</v>
      </c>
      <c r="C3649" s="5" t="str">
        <f>IFERROR(__xludf.DUMMYFUNCTION("""COMPUTED_VALUE"""),"https://drive.google.com/file/d/1BqSjPruExF4LQXKnzwvhNwA5gT0mGFGW/view?usp=drivesdk")</f>
        <v>https://drive.google.com/file/d/1BqSjPruExF4LQXKnzwvhNwA5gT0mGFGW/view?usp=drivesdk</v>
      </c>
      <c r="D3649" s="12"/>
      <c r="E3649" s="11">
        <v>3687.0</v>
      </c>
      <c r="F3649" s="2"/>
    </row>
    <row r="3650" ht="1.5" customHeight="1">
      <c r="A3650" s="4" t="str">
        <f>IFERROR(__xludf.DUMMYFUNCTION("""COMPUTED_VALUE"""),"29. Ginger")</f>
        <v>29. Ginger</v>
      </c>
      <c r="B3650" s="4" t="str">
        <f>IFERROR(__xludf.DUMMYFUNCTION("""COMPUTED_VALUE"""),"29")</f>
        <v>29</v>
      </c>
      <c r="C3650" s="5" t="str">
        <f>IFERROR(__xludf.DUMMYFUNCTION("""COMPUTED_VALUE"""),"https://drive.google.com/file/d/11FOUYuEOAayTrP9EHiTxF7i48evgCQIJ/view?usp=drivesdk")</f>
        <v>https://drive.google.com/file/d/11FOUYuEOAayTrP9EHiTxF7i48evgCQIJ/view?usp=drivesdk</v>
      </c>
      <c r="D3650" s="12"/>
      <c r="E3650" s="11">
        <v>3688.0</v>
      </c>
      <c r="F3650" s="2"/>
    </row>
    <row r="3651" ht="1.5" customHeight="1">
      <c r="A3651" s="4" t="str">
        <f>IFERROR(__xludf.DUMMYFUNCTION("""COMPUTED_VALUE"""),"29. Ginger")</f>
        <v>29. Ginger</v>
      </c>
      <c r="B3651" s="4" t="str">
        <f>IFERROR(__xludf.DUMMYFUNCTION("""COMPUTED_VALUE"""),"29")</f>
        <v>29</v>
      </c>
      <c r="C3651" s="5" t="str">
        <f>IFERROR(__xludf.DUMMYFUNCTION("""COMPUTED_VALUE"""),"https://drive.google.com/file/d/1uPpkCXuoh4T-VhJR-fhtpN2_vw7TgNix/view?usp=drivesdk")</f>
        <v>https://drive.google.com/file/d/1uPpkCXuoh4T-VhJR-fhtpN2_vw7TgNix/view?usp=drivesdk</v>
      </c>
      <c r="D3651" s="12"/>
      <c r="E3651" s="11">
        <v>3689.0</v>
      </c>
      <c r="F3651" s="2"/>
    </row>
    <row r="3652" ht="1.5" customHeight="1">
      <c r="A3652" s="4" t="str">
        <f>IFERROR(__xludf.DUMMYFUNCTION("""COMPUTED_VALUE"""),"30. Pepper")</f>
        <v>30. Pepper</v>
      </c>
      <c r="B3652" s="4" t="str">
        <f>IFERROR(__xludf.DUMMYFUNCTION("""COMPUTED_VALUE"""),"30")</f>
        <v>30</v>
      </c>
      <c r="C3652" s="5" t="str">
        <f>IFERROR(__xludf.DUMMYFUNCTION("""COMPUTED_VALUE"""),"https://drive.google.com/file/d/1bPTWIhskristW6FWY1UaUX4lm1hUwW_t/view?usp=drivesdk")</f>
        <v>https://drive.google.com/file/d/1bPTWIhskristW6FWY1UaUX4lm1hUwW_t/view?usp=drivesdk</v>
      </c>
      <c r="D3652" s="12"/>
      <c r="E3652" s="11">
        <v>3690.0</v>
      </c>
      <c r="F3652" s="2"/>
    </row>
    <row r="3653" ht="1.5" customHeight="1">
      <c r="A3653" s="4" t="str">
        <f>IFERROR(__xludf.DUMMYFUNCTION("""COMPUTED_VALUE"""),"47. Nefarious, 42. Rubber, 45. Boots, 12. Faye, 38. Winston")</f>
        <v>47. Nefarious, 42. Rubber, 45. Boots, 12. Faye, 38. Winston</v>
      </c>
      <c r="B3653" s="4" t="str">
        <f>IFERROR(__xludf.DUMMYFUNCTION("""COMPUTED_VALUE"""),"47, 42, 45, 12, 38")</f>
        <v>47, 42, 45, 12, 38</v>
      </c>
      <c r="C3653" s="5" t="str">
        <f>IFERROR(__xludf.DUMMYFUNCTION("""COMPUTED_VALUE"""),"https://drive.google.com/file/d/10t0GEYI8baqrB8SRYVnfbcyDHaYwY8n4/view?usp=drivesdk")</f>
        <v>https://drive.google.com/file/d/10t0GEYI8baqrB8SRYVnfbcyDHaYwY8n4/view?usp=drivesdk</v>
      </c>
      <c r="D3653" s="12"/>
      <c r="E3653" s="11">
        <v>3691.0</v>
      </c>
      <c r="F3653" s="2"/>
    </row>
    <row r="3654" ht="1.5" customHeight="1">
      <c r="A3654" s="4" t="str">
        <f>IFERROR(__xludf.DUMMYFUNCTION("""COMPUTED_VALUE"""),"0. NotACat")</f>
        <v>0. NotACat</v>
      </c>
      <c r="B3654" s="4" t="str">
        <f>IFERROR(__xludf.DUMMYFUNCTION("""COMPUTED_VALUE"""),"0")</f>
        <v>0</v>
      </c>
      <c r="C3654" s="5" t="str">
        <f>IFERROR(__xludf.DUMMYFUNCTION("""COMPUTED_VALUE"""),"https://drive.google.com/file/d/1pEN-h-DvM2MTZHTq8v098jPhiU1Drgc2/view?usp=drivesdk")</f>
        <v>https://drive.google.com/file/d/1pEN-h-DvM2MTZHTq8v098jPhiU1Drgc2/view?usp=drivesdk</v>
      </c>
      <c r="D3654" s="12"/>
      <c r="E3654" s="11">
        <v>3692.0</v>
      </c>
      <c r="F3654" s="2"/>
    </row>
    <row r="3655" ht="1.5" customHeight="1">
      <c r="A3655" s="4" t="str">
        <f>IFERROR(__xludf.DUMMYFUNCTION("""COMPUTED_VALUE"""),"64. Ernie")</f>
        <v>64. Ernie</v>
      </c>
      <c r="B3655" s="4" t="str">
        <f>IFERROR(__xludf.DUMMYFUNCTION("""COMPUTED_VALUE"""),"64")</f>
        <v>64</v>
      </c>
      <c r="C3655" s="5" t="str">
        <f>IFERROR(__xludf.DUMMYFUNCTION("""COMPUTED_VALUE"""),"https://drive.google.com/file/d/1rbCduYZXox8r_0zQ-MvyaesOcrPsAsTx/view?usp=drivesdk")</f>
        <v>https://drive.google.com/file/d/1rbCduYZXox8r_0zQ-MvyaesOcrPsAsTx/view?usp=drivesdk</v>
      </c>
      <c r="D3655" s="12"/>
      <c r="E3655" s="11">
        <v>3693.0</v>
      </c>
      <c r="F3655" s="2"/>
    </row>
    <row r="3656" ht="1.5" customHeight="1">
      <c r="A3656" s="4" t="str">
        <f>IFERROR(__xludf.DUMMYFUNCTION("""COMPUTED_VALUE"""),"64. Ernie")</f>
        <v>64. Ernie</v>
      </c>
      <c r="B3656" s="4" t="str">
        <f>IFERROR(__xludf.DUMMYFUNCTION("""COMPUTED_VALUE"""),"64")</f>
        <v>64</v>
      </c>
      <c r="C3656" s="5" t="str">
        <f>IFERROR(__xludf.DUMMYFUNCTION("""COMPUTED_VALUE"""),"https://drive.google.com/file/d/1JjVjeiCl_LXJ749Xz4o5WbVoKu0_7i80/view?usp=drivesdk")</f>
        <v>https://drive.google.com/file/d/1JjVjeiCl_LXJ749Xz4o5WbVoKu0_7i80/view?usp=drivesdk</v>
      </c>
      <c r="D3656" s="12"/>
      <c r="E3656" s="11">
        <v>3694.0</v>
      </c>
      <c r="F3656" s="2"/>
    </row>
    <row r="3657" ht="1.5" customHeight="1">
      <c r="A3657" s="4" t="str">
        <f>IFERROR(__xludf.DUMMYFUNCTION("""COMPUTED_VALUE"""),"64. Ernie")</f>
        <v>64. Ernie</v>
      </c>
      <c r="B3657" s="4" t="str">
        <f>IFERROR(__xludf.DUMMYFUNCTION("""COMPUTED_VALUE"""),"64")</f>
        <v>64</v>
      </c>
      <c r="C3657" s="5" t="str">
        <f>IFERROR(__xludf.DUMMYFUNCTION("""COMPUTED_VALUE"""),"https://drive.google.com/file/d/1O4uN-Mfs306VVy3wJW4BoRz-2m-xzMu5/view?usp=drivesdk")</f>
        <v>https://drive.google.com/file/d/1O4uN-Mfs306VVy3wJW4BoRz-2m-xzMu5/view?usp=drivesdk</v>
      </c>
      <c r="D3657" s="12"/>
      <c r="E3657" s="11">
        <v>3695.0</v>
      </c>
      <c r="F3657" s="2"/>
    </row>
    <row r="3658" ht="1.5" customHeight="1">
      <c r="A3658" s="4" t="str">
        <f>IFERROR(__xludf.DUMMYFUNCTION("""COMPUTED_VALUE"""),"64. Ernie")</f>
        <v>64. Ernie</v>
      </c>
      <c r="B3658" s="4" t="str">
        <f>IFERROR(__xludf.DUMMYFUNCTION("""COMPUTED_VALUE"""),"64")</f>
        <v>64</v>
      </c>
      <c r="C3658" s="5" t="str">
        <f>IFERROR(__xludf.DUMMYFUNCTION("""COMPUTED_VALUE"""),"https://drive.google.com/file/d/1sVBaLXQSXOQwnRv37V7gJCaRm1aVaNis/view?usp=drivesdk")</f>
        <v>https://drive.google.com/file/d/1sVBaLXQSXOQwnRv37V7gJCaRm1aVaNis/view?usp=drivesdk</v>
      </c>
      <c r="D3658" s="12"/>
      <c r="E3658" s="11">
        <v>3696.0</v>
      </c>
      <c r="F3658" s="2"/>
    </row>
    <row r="3659" ht="1.5" customHeight="1">
      <c r="A3659" s="4" t="str">
        <f>IFERROR(__xludf.DUMMYFUNCTION("""COMPUTED_VALUE"""),"45. Boots")</f>
        <v>45. Boots</v>
      </c>
      <c r="B3659" s="4" t="str">
        <f>IFERROR(__xludf.DUMMYFUNCTION("""COMPUTED_VALUE"""),"45")</f>
        <v>45</v>
      </c>
      <c r="C3659" s="5" t="str">
        <f>IFERROR(__xludf.DUMMYFUNCTION("""COMPUTED_VALUE"""),"https://drive.google.com/file/d/1oK9qSC4Ran5AO648uVJo9jSbVFfwnmh6/view?usp=drivesdk")</f>
        <v>https://drive.google.com/file/d/1oK9qSC4Ran5AO648uVJo9jSbVFfwnmh6/view?usp=drivesdk</v>
      </c>
      <c r="D3659" s="12"/>
      <c r="E3659" s="11">
        <v>3697.0</v>
      </c>
      <c r="F3659" s="2"/>
    </row>
    <row r="3660" ht="1.5" customHeight="1">
      <c r="A3660" s="4" t="str">
        <f>IFERROR(__xludf.DUMMYFUNCTION("""COMPUTED_VALUE"""),"45. Boots")</f>
        <v>45. Boots</v>
      </c>
      <c r="B3660" s="4" t="str">
        <f>IFERROR(__xludf.DUMMYFUNCTION("""COMPUTED_VALUE"""),"45")</f>
        <v>45</v>
      </c>
      <c r="C3660" s="5" t="str">
        <f>IFERROR(__xludf.DUMMYFUNCTION("""COMPUTED_VALUE"""),"https://drive.google.com/file/d/1uhV9VQXqHHX2kXcQ9oOucx_IzuZt2Rt9/view?usp=drivesdk")</f>
        <v>https://drive.google.com/file/d/1uhV9VQXqHHX2kXcQ9oOucx_IzuZt2Rt9/view?usp=drivesdk</v>
      </c>
      <c r="D3660" s="12"/>
      <c r="E3660" s="11">
        <v>3698.0</v>
      </c>
      <c r="F3660" s="2"/>
    </row>
    <row r="3661" ht="1.5" customHeight="1">
      <c r="A3661" s="4" t="str">
        <f>IFERROR(__xludf.DUMMYFUNCTION("""COMPUTED_VALUE"""),"47. Nefarious")</f>
        <v>47. Nefarious</v>
      </c>
      <c r="B3661" s="4" t="str">
        <f>IFERROR(__xludf.DUMMYFUNCTION("""COMPUTED_VALUE"""),"47")</f>
        <v>47</v>
      </c>
      <c r="C3661" s="5" t="str">
        <f>IFERROR(__xludf.DUMMYFUNCTION("""COMPUTED_VALUE"""),"https://drive.google.com/file/d/1VODDVsrW8CPvHGXVIlr0WG4TElpiPxCM/view?usp=drivesdk")</f>
        <v>https://drive.google.com/file/d/1VODDVsrW8CPvHGXVIlr0WG4TElpiPxCM/view?usp=drivesdk</v>
      </c>
      <c r="D3661" s="12"/>
      <c r="E3661" s="11">
        <v>3699.0</v>
      </c>
      <c r="F3661" s="2"/>
    </row>
    <row r="3662" ht="1.5" customHeight="1">
      <c r="A3662" s="4" t="str">
        <f>IFERROR(__xludf.DUMMYFUNCTION("""COMPUTED_VALUE"""),"12. Faye")</f>
        <v>12. Faye</v>
      </c>
      <c r="B3662" s="4" t="str">
        <f>IFERROR(__xludf.DUMMYFUNCTION("""COMPUTED_VALUE"""),"12")</f>
        <v>12</v>
      </c>
      <c r="C3662" s="5" t="str">
        <f>IFERROR(__xludf.DUMMYFUNCTION("""COMPUTED_VALUE"""),"https://drive.google.com/file/d/1HCWBWkwkvpgCsrnPdIQfOnELhpJYFBoP/view?usp=drivesdk")</f>
        <v>https://drive.google.com/file/d/1HCWBWkwkvpgCsrnPdIQfOnELhpJYFBoP/view?usp=drivesdk</v>
      </c>
      <c r="D3662" s="12"/>
      <c r="E3662" s="11">
        <v>3700.0</v>
      </c>
      <c r="F3662" s="2"/>
    </row>
    <row r="3663" ht="1.5" customHeight="1">
      <c r="A3663" s="4" t="str">
        <f>IFERROR(__xludf.DUMMYFUNCTION("""COMPUTED_VALUE"""),"12. Faye, 47. Nefarious")</f>
        <v>12. Faye, 47. Nefarious</v>
      </c>
      <c r="B3663" s="4" t="str">
        <f>IFERROR(__xludf.DUMMYFUNCTION("""COMPUTED_VALUE"""),"12, 47")</f>
        <v>12, 47</v>
      </c>
      <c r="C3663" s="5" t="str">
        <f>IFERROR(__xludf.DUMMYFUNCTION("""COMPUTED_VALUE"""),"https://drive.google.com/file/d/1ENRiGfZgZ7kL6ekZVOkaYeosaAxhTQYC/view?usp=drivesdk")</f>
        <v>https://drive.google.com/file/d/1ENRiGfZgZ7kL6ekZVOkaYeosaAxhTQYC/view?usp=drivesdk</v>
      </c>
      <c r="D3663" s="12"/>
      <c r="E3663" s="11">
        <v>3701.0</v>
      </c>
      <c r="F3663" s="2"/>
    </row>
    <row r="3664" ht="1.5" customHeight="1">
      <c r="A3664" s="4" t="str">
        <f>IFERROR(__xludf.DUMMYFUNCTION("""COMPUTED_VALUE"""),"45. Boots")</f>
        <v>45. Boots</v>
      </c>
      <c r="B3664" s="4" t="str">
        <f>IFERROR(__xludf.DUMMYFUNCTION("""COMPUTED_VALUE"""),"45")</f>
        <v>45</v>
      </c>
      <c r="C3664" s="5" t="str">
        <f>IFERROR(__xludf.DUMMYFUNCTION("""COMPUTED_VALUE"""),"https://drive.google.com/file/d/1jqco_myzXSllkL6DyuV-iF4M7oIu3tj2/view?usp=drivesdk")</f>
        <v>https://drive.google.com/file/d/1jqco_myzXSllkL6DyuV-iF4M7oIu3tj2/view?usp=drivesdk</v>
      </c>
      <c r="D3664" s="12"/>
      <c r="E3664" s="11">
        <v>3702.0</v>
      </c>
      <c r="F3664" s="2"/>
    </row>
    <row r="3665" ht="1.5" customHeight="1">
      <c r="A3665" s="4" t="str">
        <f>IFERROR(__xludf.DUMMYFUNCTION("""COMPUTED_VALUE"""),"12. Faye, 45. Boots")</f>
        <v>12. Faye, 45. Boots</v>
      </c>
      <c r="B3665" s="4" t="str">
        <f>IFERROR(__xludf.DUMMYFUNCTION("""COMPUTED_VALUE"""),"12, 45")</f>
        <v>12, 45</v>
      </c>
      <c r="C3665" s="5" t="str">
        <f>IFERROR(__xludf.DUMMYFUNCTION("""COMPUTED_VALUE"""),"https://drive.google.com/file/d/1rxE0hEDMBMGk-fzdCbHuMHfYhH2Q5Ak4/view?usp=drivesdk")</f>
        <v>https://drive.google.com/file/d/1rxE0hEDMBMGk-fzdCbHuMHfYhH2Q5Ak4/view?usp=drivesdk</v>
      </c>
      <c r="D3665" s="12"/>
      <c r="E3665" s="11">
        <v>3703.0</v>
      </c>
      <c r="F3665" s="2"/>
    </row>
    <row r="3666" ht="1.5" customHeight="1">
      <c r="A3666" s="4" t="str">
        <f>IFERROR(__xludf.DUMMYFUNCTION("""COMPUTED_VALUE"""),"45. Boots")</f>
        <v>45. Boots</v>
      </c>
      <c r="B3666" s="4" t="str">
        <f>IFERROR(__xludf.DUMMYFUNCTION("""COMPUTED_VALUE"""),"45")</f>
        <v>45</v>
      </c>
      <c r="C3666" s="5" t="str">
        <f>IFERROR(__xludf.DUMMYFUNCTION("""COMPUTED_VALUE"""),"https://drive.google.com/file/d/1PJb5eKBiSYIlKiDFcYJFHLWb238Kh8ca/view?usp=drivesdk")</f>
        <v>https://drive.google.com/file/d/1PJb5eKBiSYIlKiDFcYJFHLWb238Kh8ca/view?usp=drivesdk</v>
      </c>
      <c r="D3666" s="12"/>
      <c r="E3666" s="11">
        <v>3704.0</v>
      </c>
      <c r="F3666" s="2"/>
    </row>
    <row r="3667" ht="1.5" customHeight="1">
      <c r="A3667" s="4" t="str">
        <f>IFERROR(__xludf.DUMMYFUNCTION("""COMPUTED_VALUE"""),"47. Nefarious, 12. Faye")</f>
        <v>47. Nefarious, 12. Faye</v>
      </c>
      <c r="B3667" s="4" t="str">
        <f>IFERROR(__xludf.DUMMYFUNCTION("""COMPUTED_VALUE"""),"47, 12")</f>
        <v>47, 12</v>
      </c>
      <c r="C3667" s="5" t="str">
        <f>IFERROR(__xludf.DUMMYFUNCTION("""COMPUTED_VALUE"""),"https://drive.google.com/file/d/1eOZFiBcgQhnrcDge2B73FMtAFDsnGtrJ/view?usp=drivesdk")</f>
        <v>https://drive.google.com/file/d/1eOZFiBcgQhnrcDge2B73FMtAFDsnGtrJ/view?usp=drivesdk</v>
      </c>
      <c r="D3667" s="12"/>
      <c r="E3667" s="11">
        <v>3705.0</v>
      </c>
      <c r="F3667" s="2"/>
    </row>
    <row r="3668" ht="1.5" customHeight="1">
      <c r="A3668" s="4" t="str">
        <f>IFERROR(__xludf.DUMMYFUNCTION("""COMPUTED_VALUE"""),"47. Nefarious, 12. Faye")</f>
        <v>47. Nefarious, 12. Faye</v>
      </c>
      <c r="B3668" s="4" t="str">
        <f>IFERROR(__xludf.DUMMYFUNCTION("""COMPUTED_VALUE"""),"47, 12")</f>
        <v>47, 12</v>
      </c>
      <c r="C3668" s="5" t="str">
        <f>IFERROR(__xludf.DUMMYFUNCTION("""COMPUTED_VALUE"""),"https://drive.google.com/file/d/1pEDCkZfpj49i_Fl-fPhjNFiZyP3R5NQX/view?usp=drivesdk")</f>
        <v>https://drive.google.com/file/d/1pEDCkZfpj49i_Fl-fPhjNFiZyP3R5NQX/view?usp=drivesdk</v>
      </c>
      <c r="D3668" s="12"/>
      <c r="E3668" s="11">
        <v>3706.0</v>
      </c>
      <c r="F3668" s="2"/>
    </row>
    <row r="3669" ht="1.5" customHeight="1">
      <c r="A3669" s="4" t="str">
        <f>IFERROR(__xludf.DUMMYFUNCTION("""COMPUTED_VALUE"""),"47. Nefarious, 12. Faye, 45. Boots")</f>
        <v>47. Nefarious, 12. Faye, 45. Boots</v>
      </c>
      <c r="B3669" s="4" t="str">
        <f>IFERROR(__xludf.DUMMYFUNCTION("""COMPUTED_VALUE"""),"47, 12, 45")</f>
        <v>47, 12, 45</v>
      </c>
      <c r="C3669" s="5" t="str">
        <f>IFERROR(__xludf.DUMMYFUNCTION("""COMPUTED_VALUE"""),"https://drive.google.com/file/d/1jP1fhciasENrrQsS2ZRrkuTus5GYZlJQ/view?usp=drivesdk")</f>
        <v>https://drive.google.com/file/d/1jP1fhciasENrrQsS2ZRrkuTus5GYZlJQ/view?usp=drivesdk</v>
      </c>
      <c r="D3669" s="12"/>
      <c r="E3669" s="11">
        <v>3707.0</v>
      </c>
      <c r="F3669" s="2"/>
    </row>
    <row r="3670" ht="1.5" customHeight="1">
      <c r="A3670" s="4" t="str">
        <f>IFERROR(__xludf.DUMMYFUNCTION("""COMPUTED_VALUE"""),"12. Faye, 45. Boots")</f>
        <v>12. Faye, 45. Boots</v>
      </c>
      <c r="B3670" s="4" t="str">
        <f>IFERROR(__xludf.DUMMYFUNCTION("""COMPUTED_VALUE"""),"12, 45")</f>
        <v>12, 45</v>
      </c>
      <c r="C3670" s="5" t="str">
        <f>IFERROR(__xludf.DUMMYFUNCTION("""COMPUTED_VALUE"""),"https://drive.google.com/file/d/1n-S8XHGPbXuImlCHhZ9EIlusiIUppoWZ/view?usp=drivesdk")</f>
        <v>https://drive.google.com/file/d/1n-S8XHGPbXuImlCHhZ9EIlusiIUppoWZ/view?usp=drivesdk</v>
      </c>
      <c r="D3670" s="12"/>
      <c r="E3670" s="11">
        <v>3708.0</v>
      </c>
      <c r="F3670" s="2"/>
    </row>
    <row r="3671" ht="1.5" customHeight="1">
      <c r="A3671" s="4" t="str">
        <f>IFERROR(__xludf.DUMMYFUNCTION("""COMPUTED_VALUE"""),"12. Faye")</f>
        <v>12. Faye</v>
      </c>
      <c r="B3671" s="4" t="str">
        <f>IFERROR(__xludf.DUMMYFUNCTION("""COMPUTED_VALUE"""),"12")</f>
        <v>12</v>
      </c>
      <c r="C3671" s="5" t="str">
        <f>IFERROR(__xludf.DUMMYFUNCTION("""COMPUTED_VALUE"""),"https://drive.google.com/file/d/1to7Em0i-E8pwB_WjkYIx27FBvCjqWXyp/view?usp=drivesdk")</f>
        <v>https://drive.google.com/file/d/1to7Em0i-E8pwB_WjkYIx27FBvCjqWXyp/view?usp=drivesdk</v>
      </c>
      <c r="D3671" s="12"/>
      <c r="E3671" s="11">
        <v>3709.0</v>
      </c>
      <c r="F3671" s="2"/>
    </row>
    <row r="3672" ht="1.5" customHeight="1">
      <c r="A3672" s="4" t="str">
        <f>IFERROR(__xludf.DUMMYFUNCTION("""COMPUTED_VALUE"""),"12. Faye")</f>
        <v>12. Faye</v>
      </c>
      <c r="B3672" s="4" t="str">
        <f>IFERROR(__xludf.DUMMYFUNCTION("""COMPUTED_VALUE"""),"12")</f>
        <v>12</v>
      </c>
      <c r="C3672" s="5" t="str">
        <f>IFERROR(__xludf.DUMMYFUNCTION("""COMPUTED_VALUE"""),"https://drive.google.com/file/d/1Jjj1B99mD90QhOGulZcOW2VpdJynxguU/view?usp=drivesdk")</f>
        <v>https://drive.google.com/file/d/1Jjj1B99mD90QhOGulZcOW2VpdJynxguU/view?usp=drivesdk</v>
      </c>
      <c r="D3672" s="12"/>
      <c r="E3672" s="11">
        <v>3710.0</v>
      </c>
      <c r="F3672" s="2"/>
    </row>
    <row r="3673" ht="1.5" customHeight="1">
      <c r="A3673" s="4" t="str">
        <f>IFERROR(__xludf.DUMMYFUNCTION("""COMPUTED_VALUE"""),"12. Faye")</f>
        <v>12. Faye</v>
      </c>
      <c r="B3673" s="4" t="str">
        <f>IFERROR(__xludf.DUMMYFUNCTION("""COMPUTED_VALUE"""),"12")</f>
        <v>12</v>
      </c>
      <c r="C3673" s="5" t="str">
        <f>IFERROR(__xludf.DUMMYFUNCTION("""COMPUTED_VALUE"""),"https://drive.google.com/file/d/1kxJjqAL12BgVsi133xKQxD4ydymRA-OM/view?usp=drivesdk")</f>
        <v>https://drive.google.com/file/d/1kxJjqAL12BgVsi133xKQxD4ydymRA-OM/view?usp=drivesdk</v>
      </c>
      <c r="D3673" s="12"/>
      <c r="E3673" s="11">
        <v>3711.0</v>
      </c>
      <c r="F3673" s="2"/>
    </row>
    <row r="3674" ht="1.5" customHeight="1">
      <c r="A3674" s="4" t="str">
        <f>IFERROR(__xludf.DUMMYFUNCTION("""COMPUTED_VALUE"""),"12. Faye")</f>
        <v>12. Faye</v>
      </c>
      <c r="B3674" s="4" t="str">
        <f>IFERROR(__xludf.DUMMYFUNCTION("""COMPUTED_VALUE"""),"12")</f>
        <v>12</v>
      </c>
      <c r="C3674" s="5" t="str">
        <f>IFERROR(__xludf.DUMMYFUNCTION("""COMPUTED_VALUE"""),"https://drive.google.com/file/d/1yGYszsYOjm8MtTzTFQqW_C2k7tq1E9Ge/view?usp=drivesdk")</f>
        <v>https://drive.google.com/file/d/1yGYszsYOjm8MtTzTFQqW_C2k7tq1E9Ge/view?usp=drivesdk</v>
      </c>
      <c r="D3674" s="12"/>
      <c r="E3674" s="11">
        <v>3712.0</v>
      </c>
      <c r="F3674" s="2"/>
    </row>
    <row r="3675" ht="1.5" customHeight="1">
      <c r="A3675" s="4" t="str">
        <f>IFERROR(__xludf.DUMMYFUNCTION("""COMPUTED_VALUE"""),"12. Faye")</f>
        <v>12. Faye</v>
      </c>
      <c r="B3675" s="4" t="str">
        <f>IFERROR(__xludf.DUMMYFUNCTION("""COMPUTED_VALUE"""),"12")</f>
        <v>12</v>
      </c>
      <c r="C3675" s="5" t="str">
        <f>IFERROR(__xludf.DUMMYFUNCTION("""COMPUTED_VALUE"""),"https://drive.google.com/file/d/1uw0YbuXmw7cFrjulhdymh5167LwsOAwR/view?usp=drivesdk")</f>
        <v>https://drive.google.com/file/d/1uw0YbuXmw7cFrjulhdymh5167LwsOAwR/view?usp=drivesdk</v>
      </c>
      <c r="D3675" s="12"/>
      <c r="E3675" s="11">
        <v>3713.0</v>
      </c>
      <c r="F3675" s="2"/>
    </row>
    <row r="3676" ht="1.5" customHeight="1">
      <c r="A3676" s="4" t="str">
        <f>IFERROR(__xludf.DUMMYFUNCTION("""COMPUTED_VALUE"""),"12. Faye, 45. Boots, 47. Nefarious")</f>
        <v>12. Faye, 45. Boots, 47. Nefarious</v>
      </c>
      <c r="B3676" s="4" t="str">
        <f>IFERROR(__xludf.DUMMYFUNCTION("""COMPUTED_VALUE"""),"12, 45, 47")</f>
        <v>12, 45, 47</v>
      </c>
      <c r="C3676" s="5" t="str">
        <f>IFERROR(__xludf.DUMMYFUNCTION("""COMPUTED_VALUE"""),"https://drive.google.com/file/d/1R79dm6NVlOIC1w1Gu5-5JE6-QVcpPMBB/view?usp=drivesdk")</f>
        <v>https://drive.google.com/file/d/1R79dm6NVlOIC1w1Gu5-5JE6-QVcpPMBB/view?usp=drivesdk</v>
      </c>
      <c r="D3676" s="12"/>
      <c r="E3676" s="11">
        <v>3714.0</v>
      </c>
      <c r="F3676" s="2"/>
    </row>
    <row r="3677" ht="1.5" customHeight="1">
      <c r="A3677" s="4" t="str">
        <f>IFERROR(__xludf.DUMMYFUNCTION("""COMPUTED_VALUE"""),"45. Boots")</f>
        <v>45. Boots</v>
      </c>
      <c r="B3677" s="4" t="str">
        <f>IFERROR(__xludf.DUMMYFUNCTION("""COMPUTED_VALUE"""),"45")</f>
        <v>45</v>
      </c>
      <c r="C3677" s="5" t="str">
        <f>IFERROR(__xludf.DUMMYFUNCTION("""COMPUTED_VALUE"""),"https://drive.google.com/file/d/1fpE9mVfOjMSHEceSdQMxTFMZATtXMFL4/view?usp=drivesdk")</f>
        <v>https://drive.google.com/file/d/1fpE9mVfOjMSHEceSdQMxTFMZATtXMFL4/view?usp=drivesdk</v>
      </c>
      <c r="D3677" s="12"/>
      <c r="E3677" s="11">
        <v>3715.0</v>
      </c>
      <c r="F3677" s="2"/>
    </row>
    <row r="3678" ht="1.5" customHeight="1">
      <c r="A3678" s="4" t="str">
        <f>IFERROR(__xludf.DUMMYFUNCTION("""COMPUTED_VALUE"""),"12. Faye")</f>
        <v>12. Faye</v>
      </c>
      <c r="B3678" s="4" t="str">
        <f>IFERROR(__xludf.DUMMYFUNCTION("""COMPUTED_VALUE"""),"12")</f>
        <v>12</v>
      </c>
      <c r="C3678" s="5" t="str">
        <f>IFERROR(__xludf.DUMMYFUNCTION("""COMPUTED_VALUE"""),"https://drive.google.com/file/d/1FbGbXg8kXZ2db4vHRmXkNw__WE5gMfFv/view?usp=drivesdk")</f>
        <v>https://drive.google.com/file/d/1FbGbXg8kXZ2db4vHRmXkNw__WE5gMfFv/view?usp=drivesdk</v>
      </c>
      <c r="D3678" s="12"/>
      <c r="E3678" s="11">
        <v>3716.0</v>
      </c>
      <c r="F3678" s="2"/>
    </row>
    <row r="3679" ht="1.5" customHeight="1">
      <c r="A3679" s="4" t="str">
        <f>IFERROR(__xludf.DUMMYFUNCTION("""COMPUTED_VALUE"""),"47. Nefarious")</f>
        <v>47. Nefarious</v>
      </c>
      <c r="B3679" s="4" t="str">
        <f>IFERROR(__xludf.DUMMYFUNCTION("""COMPUTED_VALUE"""),"47")</f>
        <v>47</v>
      </c>
      <c r="C3679" s="5" t="str">
        <f>IFERROR(__xludf.DUMMYFUNCTION("""COMPUTED_VALUE"""),"https://drive.google.com/file/d/1Vfd9Ln5_p9dm5CCPqihuuLNjeiyuhUJX/view?usp=drivesdk")</f>
        <v>https://drive.google.com/file/d/1Vfd9Ln5_p9dm5CCPqihuuLNjeiyuhUJX/view?usp=drivesdk</v>
      </c>
      <c r="D3679" s="12"/>
      <c r="E3679" s="11">
        <v>3717.0</v>
      </c>
      <c r="F3679" s="2"/>
    </row>
    <row r="3680" ht="1.5" customHeight="1">
      <c r="A3680" s="4" t="str">
        <f>IFERROR(__xludf.DUMMYFUNCTION("""COMPUTED_VALUE"""),"12. Faye")</f>
        <v>12. Faye</v>
      </c>
      <c r="B3680" s="4" t="str">
        <f>IFERROR(__xludf.DUMMYFUNCTION("""COMPUTED_VALUE"""),"12")</f>
        <v>12</v>
      </c>
      <c r="C3680" s="5" t="str">
        <f>IFERROR(__xludf.DUMMYFUNCTION("""COMPUTED_VALUE"""),"https://drive.google.com/file/d/1Z8ttjALKfJmbnW5ShuEuOm3IaP4XphJG/view?usp=drivesdk")</f>
        <v>https://drive.google.com/file/d/1Z8ttjALKfJmbnW5ShuEuOm3IaP4XphJG/view?usp=drivesdk</v>
      </c>
      <c r="D3680" s="12"/>
      <c r="E3680" s="11">
        <v>3718.0</v>
      </c>
      <c r="F3680" s="2"/>
    </row>
    <row r="3681" ht="1.5" customHeight="1">
      <c r="A3681" s="4" t="str">
        <f>IFERROR(__xludf.DUMMYFUNCTION("""COMPUTED_VALUE"""),"46. Princess")</f>
        <v>46. Princess</v>
      </c>
      <c r="B3681" s="4" t="str">
        <f>IFERROR(__xludf.DUMMYFUNCTION("""COMPUTED_VALUE"""),"46")</f>
        <v>46</v>
      </c>
      <c r="C3681" s="5" t="str">
        <f>IFERROR(__xludf.DUMMYFUNCTION("""COMPUTED_VALUE"""),"https://drive.google.com/file/d/1uMoeMvfa2CsFtA3YxO82qgfdAOJqeWDT/view?usp=drivesdk")</f>
        <v>https://drive.google.com/file/d/1uMoeMvfa2CsFtA3YxO82qgfdAOJqeWDT/view?usp=drivesdk</v>
      </c>
      <c r="D3681" s="12"/>
      <c r="E3681" s="11">
        <v>3719.0</v>
      </c>
      <c r="F3681" s="2"/>
    </row>
    <row r="3682" ht="1.5" customHeight="1">
      <c r="A3682" s="4" t="str">
        <f>IFERROR(__xludf.DUMMYFUNCTION("""COMPUTED_VALUE"""),"47. Nefarious")</f>
        <v>47. Nefarious</v>
      </c>
      <c r="B3682" s="4" t="str">
        <f>IFERROR(__xludf.DUMMYFUNCTION("""COMPUTED_VALUE"""),"47")</f>
        <v>47</v>
      </c>
      <c r="C3682" s="5" t="str">
        <f>IFERROR(__xludf.DUMMYFUNCTION("""COMPUTED_VALUE"""),"https://drive.google.com/file/d/1FqkfnnGynSNKaHvarEi_sZBeUOAJHY_z/view?usp=drivesdk")</f>
        <v>https://drive.google.com/file/d/1FqkfnnGynSNKaHvarEi_sZBeUOAJHY_z/view?usp=drivesdk</v>
      </c>
      <c r="D3682" s="12"/>
      <c r="E3682" s="11">
        <v>3720.0</v>
      </c>
      <c r="F3682" s="2"/>
    </row>
    <row r="3683" ht="1.5" customHeight="1">
      <c r="A3683" s="4" t="str">
        <f>IFERROR(__xludf.DUMMYFUNCTION("""COMPUTED_VALUE"""),"45. Boots, 12. Faye, 47. Nefarious")</f>
        <v>45. Boots, 12. Faye, 47. Nefarious</v>
      </c>
      <c r="B3683" s="4" t="str">
        <f>IFERROR(__xludf.DUMMYFUNCTION("""COMPUTED_VALUE"""),"45, 12, 47")</f>
        <v>45, 12, 47</v>
      </c>
      <c r="C3683" s="5" t="str">
        <f>IFERROR(__xludf.DUMMYFUNCTION("""COMPUTED_VALUE"""),"https://drive.google.com/file/d/1MOMQ-LlHXlvRZf5VytRu2uerA9Hh62aK/view?usp=drivesdk")</f>
        <v>https://drive.google.com/file/d/1MOMQ-LlHXlvRZf5VytRu2uerA9Hh62aK/view?usp=drivesdk</v>
      </c>
      <c r="D3683" s="12"/>
      <c r="E3683" s="11">
        <v>3721.0</v>
      </c>
      <c r="F3683" s="2"/>
    </row>
    <row r="3684" ht="1.5" customHeight="1">
      <c r="A3684" s="4" t="str">
        <f>IFERROR(__xludf.DUMMYFUNCTION("""COMPUTED_VALUE"""),"45. Boots, 12. Faye, 47. Nefarious")</f>
        <v>45. Boots, 12. Faye, 47. Nefarious</v>
      </c>
      <c r="B3684" s="4" t="str">
        <f>IFERROR(__xludf.DUMMYFUNCTION("""COMPUTED_VALUE"""),"45, 12, 47")</f>
        <v>45, 12, 47</v>
      </c>
      <c r="C3684" s="5" t="str">
        <f>IFERROR(__xludf.DUMMYFUNCTION("""COMPUTED_VALUE"""),"https://drive.google.com/file/d/1Mc-zN__kqISg1fxjEwPbnFPW-JYiVlRh/view?usp=drivesdk")</f>
        <v>https://drive.google.com/file/d/1Mc-zN__kqISg1fxjEwPbnFPW-JYiVlRh/view?usp=drivesdk</v>
      </c>
      <c r="D3684" s="12"/>
      <c r="E3684" s="11">
        <v>3722.0</v>
      </c>
      <c r="F3684" s="2"/>
    </row>
    <row r="3685" ht="1.5" customHeight="1">
      <c r="A3685" s="4" t="str">
        <f>IFERROR(__xludf.DUMMYFUNCTION("""COMPUTED_VALUE"""),"45. Boots")</f>
        <v>45. Boots</v>
      </c>
      <c r="B3685" s="4" t="str">
        <f>IFERROR(__xludf.DUMMYFUNCTION("""COMPUTED_VALUE"""),"45")</f>
        <v>45</v>
      </c>
      <c r="C3685" s="5" t="str">
        <f>IFERROR(__xludf.DUMMYFUNCTION("""COMPUTED_VALUE"""),"https://drive.google.com/file/d/1WX3kE-i1oT7Lv4g6xa6tm2bLj-RxL7dO/view?usp=drivesdk")</f>
        <v>https://drive.google.com/file/d/1WX3kE-i1oT7Lv4g6xa6tm2bLj-RxL7dO/view?usp=drivesdk</v>
      </c>
      <c r="D3685" s="12"/>
      <c r="E3685" s="11">
        <v>3723.0</v>
      </c>
      <c r="F3685" s="2"/>
    </row>
    <row r="3686" ht="1.5" customHeight="1">
      <c r="A3686" s="4" t="str">
        <f>IFERROR(__xludf.DUMMYFUNCTION("""COMPUTED_VALUE"""),"61. Cassie, 46. Princess")</f>
        <v>61. Cassie, 46. Princess</v>
      </c>
      <c r="B3686" s="4" t="str">
        <f>IFERROR(__xludf.DUMMYFUNCTION("""COMPUTED_VALUE"""),"61, 46")</f>
        <v>61, 46</v>
      </c>
      <c r="C3686" s="5" t="str">
        <f>IFERROR(__xludf.DUMMYFUNCTION("""COMPUTED_VALUE"""),"https://drive.google.com/file/d/1oKwJk3fLC95gX2hDtMP7ctDvCEcBVfl4/view?usp=drivesdk")</f>
        <v>https://drive.google.com/file/d/1oKwJk3fLC95gX2hDtMP7ctDvCEcBVfl4/view?usp=drivesdk</v>
      </c>
      <c r="D3686" s="12"/>
      <c r="E3686" s="11">
        <v>3724.0</v>
      </c>
      <c r="F3686" s="2"/>
    </row>
    <row r="3687" ht="1.5" customHeight="1">
      <c r="A3687" s="4" t="str">
        <f>IFERROR(__xludf.DUMMYFUNCTION("""COMPUTED_VALUE"""),"45. Boots")</f>
        <v>45. Boots</v>
      </c>
      <c r="B3687" s="4" t="str">
        <f>IFERROR(__xludf.DUMMYFUNCTION("""COMPUTED_VALUE"""),"45")</f>
        <v>45</v>
      </c>
      <c r="C3687" s="5" t="str">
        <f>IFERROR(__xludf.DUMMYFUNCTION("""COMPUTED_VALUE"""),"https://drive.google.com/file/d/1dqDPv_H7g5XzfiRfC5nTt-hlgqtBaOIX/view?usp=drivesdk")</f>
        <v>https://drive.google.com/file/d/1dqDPv_H7g5XzfiRfC5nTt-hlgqtBaOIX/view?usp=drivesdk</v>
      </c>
      <c r="D3687" s="12"/>
      <c r="E3687" s="11">
        <v>3725.0</v>
      </c>
      <c r="F3687" s="2"/>
    </row>
    <row r="3688" ht="1.5" customHeight="1">
      <c r="A3688" s="4" t="str">
        <f>IFERROR(__xludf.DUMMYFUNCTION("""COMPUTED_VALUE"""),"12. Faye")</f>
        <v>12. Faye</v>
      </c>
      <c r="B3688" s="4" t="str">
        <f>IFERROR(__xludf.DUMMYFUNCTION("""COMPUTED_VALUE"""),"12")</f>
        <v>12</v>
      </c>
      <c r="C3688" s="5" t="str">
        <f>IFERROR(__xludf.DUMMYFUNCTION("""COMPUTED_VALUE"""),"https://drive.google.com/file/d/1ZDKNiUolGQ4wwMfDnYY3IfpZHw3XwUjQ/view?usp=drivesdk")</f>
        <v>https://drive.google.com/file/d/1ZDKNiUolGQ4wwMfDnYY3IfpZHw3XwUjQ/view?usp=drivesdk</v>
      </c>
      <c r="D3688" s="12"/>
      <c r="E3688" s="11">
        <v>3726.0</v>
      </c>
      <c r="F3688" s="2"/>
    </row>
    <row r="3689" ht="1.5" customHeight="1">
      <c r="A3689" s="4" t="str">
        <f>IFERROR(__xludf.DUMMYFUNCTION("""COMPUTED_VALUE"""),"61. Cassie, 46. Princess")</f>
        <v>61. Cassie, 46. Princess</v>
      </c>
      <c r="B3689" s="4" t="str">
        <f>IFERROR(__xludf.DUMMYFUNCTION("""COMPUTED_VALUE"""),"61, 46")</f>
        <v>61, 46</v>
      </c>
      <c r="C3689" s="5" t="str">
        <f>IFERROR(__xludf.DUMMYFUNCTION("""COMPUTED_VALUE"""),"https://drive.google.com/file/d/1wMONHI0CN2Ew6qhS-Zlgwad7nIwHue9y/view?usp=drivesdk")</f>
        <v>https://drive.google.com/file/d/1wMONHI0CN2Ew6qhS-Zlgwad7nIwHue9y/view?usp=drivesdk</v>
      </c>
      <c r="D3689" s="12"/>
      <c r="E3689" s="11">
        <v>3727.0</v>
      </c>
      <c r="F3689" s="2"/>
    </row>
    <row r="3690" ht="1.5" customHeight="1">
      <c r="A3690" s="4" t="str">
        <f>IFERROR(__xludf.DUMMYFUNCTION("""COMPUTED_VALUE"""),"12. Faye, 47. Nefarious")</f>
        <v>12. Faye, 47. Nefarious</v>
      </c>
      <c r="B3690" s="4" t="str">
        <f>IFERROR(__xludf.DUMMYFUNCTION("""COMPUTED_VALUE"""),"12, 47")</f>
        <v>12, 47</v>
      </c>
      <c r="C3690" s="5" t="str">
        <f>IFERROR(__xludf.DUMMYFUNCTION("""COMPUTED_VALUE"""),"https://drive.google.com/file/d/1BBP-gENshA1tna60HX-E7BUs-CzLGDFd/view?usp=drivesdk")</f>
        <v>https://drive.google.com/file/d/1BBP-gENshA1tna60HX-E7BUs-CzLGDFd/view?usp=drivesdk</v>
      </c>
      <c r="D3690" s="12"/>
      <c r="E3690" s="11">
        <v>3728.0</v>
      </c>
      <c r="F3690" s="2"/>
    </row>
    <row r="3691" ht="1.5" customHeight="1">
      <c r="A3691" s="4" t="str">
        <f>IFERROR(__xludf.DUMMYFUNCTION("""COMPUTED_VALUE"""),"45. Boots")</f>
        <v>45. Boots</v>
      </c>
      <c r="B3691" s="4" t="str">
        <f>IFERROR(__xludf.DUMMYFUNCTION("""COMPUTED_VALUE"""),"45")</f>
        <v>45</v>
      </c>
      <c r="C3691" s="5" t="str">
        <f>IFERROR(__xludf.DUMMYFUNCTION("""COMPUTED_VALUE"""),"https://drive.google.com/file/d/1suQfLXpPV4JFHZ1dlvbkc2tKxV7w2g1b/view?usp=drivesdk")</f>
        <v>https://drive.google.com/file/d/1suQfLXpPV4JFHZ1dlvbkc2tKxV7w2g1b/view?usp=drivesdk</v>
      </c>
      <c r="D3691" s="12"/>
      <c r="E3691" s="11">
        <v>3729.0</v>
      </c>
      <c r="F3691" s="2"/>
    </row>
    <row r="3692" ht="1.5" customHeight="1">
      <c r="A3692" s="4" t="str">
        <f>IFERROR(__xludf.DUMMYFUNCTION("""COMPUTED_VALUE"""),"61. Cassie, 46. Princess")</f>
        <v>61. Cassie, 46. Princess</v>
      </c>
      <c r="B3692" s="4" t="str">
        <f>IFERROR(__xludf.DUMMYFUNCTION("""COMPUTED_VALUE"""),"61, 46")</f>
        <v>61, 46</v>
      </c>
      <c r="C3692" s="5" t="str">
        <f>IFERROR(__xludf.DUMMYFUNCTION("""COMPUTED_VALUE"""),"https://drive.google.com/file/d/11FB61Nqt3kSjoh7rk3oVOzeU8AxbadjH/view?usp=drivesdk")</f>
        <v>https://drive.google.com/file/d/11FB61Nqt3kSjoh7rk3oVOzeU8AxbadjH/view?usp=drivesdk</v>
      </c>
      <c r="D3692" s="12"/>
      <c r="E3692" s="11">
        <v>3730.0</v>
      </c>
      <c r="F3692" s="2"/>
    </row>
    <row r="3693" ht="1.5" customHeight="1">
      <c r="A3693" s="4" t="str">
        <f>IFERROR(__xludf.DUMMYFUNCTION("""COMPUTED_VALUE"""),"12. Faye, 47. Nefarious")</f>
        <v>12. Faye, 47. Nefarious</v>
      </c>
      <c r="B3693" s="4" t="str">
        <f>IFERROR(__xludf.DUMMYFUNCTION("""COMPUTED_VALUE"""),"12, 47")</f>
        <v>12, 47</v>
      </c>
      <c r="C3693" s="5" t="str">
        <f>IFERROR(__xludf.DUMMYFUNCTION("""COMPUTED_VALUE"""),"https://drive.google.com/file/d/1DKUA5-otzZFGArDS2L0Gs7DOOUo63A-4/view?usp=drivesdk")</f>
        <v>https://drive.google.com/file/d/1DKUA5-otzZFGArDS2L0Gs7DOOUo63A-4/view?usp=drivesdk</v>
      </c>
      <c r="D3693" s="12"/>
      <c r="E3693" s="11">
        <v>3731.0</v>
      </c>
      <c r="F3693" s="2"/>
    </row>
    <row r="3694" ht="1.5" customHeight="1">
      <c r="A3694" s="4" t="str">
        <f>IFERROR(__xludf.DUMMYFUNCTION("""COMPUTED_VALUE"""),"46. Princess")</f>
        <v>46. Princess</v>
      </c>
      <c r="B3694" s="4" t="str">
        <f>IFERROR(__xludf.DUMMYFUNCTION("""COMPUTED_VALUE"""),"46")</f>
        <v>46</v>
      </c>
      <c r="C3694" s="5" t="str">
        <f>IFERROR(__xludf.DUMMYFUNCTION("""COMPUTED_VALUE"""),"https://drive.google.com/file/d/1xiYrO3sX6kjSKg5P22tZHw4czd9c_6BQ/view?usp=drivesdk")</f>
        <v>https://drive.google.com/file/d/1xiYrO3sX6kjSKg5P22tZHw4czd9c_6BQ/view?usp=drivesdk</v>
      </c>
      <c r="D3694" s="12"/>
      <c r="E3694" s="11">
        <v>3732.0</v>
      </c>
      <c r="F3694" s="2"/>
    </row>
    <row r="3695" ht="1.5" customHeight="1">
      <c r="A3695" s="4" t="str">
        <f>IFERROR(__xludf.DUMMYFUNCTION("""COMPUTED_VALUE"""),"47. Nefarious")</f>
        <v>47. Nefarious</v>
      </c>
      <c r="B3695" s="4" t="str">
        <f>IFERROR(__xludf.DUMMYFUNCTION("""COMPUTED_VALUE"""),"47")</f>
        <v>47</v>
      </c>
      <c r="C3695" s="5" t="str">
        <f>IFERROR(__xludf.DUMMYFUNCTION("""COMPUTED_VALUE"""),"https://drive.google.com/file/d/1C_DMI1q8G4KYGO7v7_9crKdxAGbMj_0G/view?usp=drivesdk")</f>
        <v>https://drive.google.com/file/d/1C_DMI1q8G4KYGO7v7_9crKdxAGbMj_0G/view?usp=drivesdk</v>
      </c>
      <c r="D3695" s="12"/>
      <c r="E3695" s="11">
        <v>3733.0</v>
      </c>
      <c r="F3695" s="2"/>
    </row>
    <row r="3696" ht="1.5" customHeight="1">
      <c r="A3696" s="4" t="str">
        <f>IFERROR(__xludf.DUMMYFUNCTION("""COMPUTED_VALUE"""),"1. Microwave")</f>
        <v>1. Microwave</v>
      </c>
      <c r="B3696" s="4" t="str">
        <f>IFERROR(__xludf.DUMMYFUNCTION("""COMPUTED_VALUE"""),"1")</f>
        <v>1</v>
      </c>
      <c r="C3696" s="5" t="str">
        <f>IFERROR(__xludf.DUMMYFUNCTION("""COMPUTED_VALUE"""),"https://drive.google.com/file/d/1LAEnaVD7Y9etDhRTfVgZpIbbr0HYbBMt/view?usp=drivesdk")</f>
        <v>https://drive.google.com/file/d/1LAEnaVD7Y9etDhRTfVgZpIbbr0HYbBMt/view?usp=drivesdk</v>
      </c>
      <c r="D3696" s="12"/>
      <c r="E3696" s="11">
        <v>3734.0</v>
      </c>
      <c r="F3696" s="2"/>
    </row>
    <row r="3697" ht="1.5" customHeight="1">
      <c r="A3697" s="4" t="str">
        <f>IFERROR(__xludf.DUMMYFUNCTION("""COMPUTED_VALUE"""),"61. Cassie")</f>
        <v>61. Cassie</v>
      </c>
      <c r="B3697" s="4" t="str">
        <f>IFERROR(__xludf.DUMMYFUNCTION("""COMPUTED_VALUE"""),"61")</f>
        <v>61</v>
      </c>
      <c r="C3697" s="5" t="str">
        <f>IFERROR(__xludf.DUMMYFUNCTION("""COMPUTED_VALUE"""),"https://drive.google.com/file/d/1yk7ti4GO0Rfp_BEFtH2bkzubGfNtpcZF/view?usp=drivesdk")</f>
        <v>https://drive.google.com/file/d/1yk7ti4GO0Rfp_BEFtH2bkzubGfNtpcZF/view?usp=drivesdk</v>
      </c>
      <c r="D3697" s="12"/>
      <c r="E3697" s="11">
        <v>3735.0</v>
      </c>
      <c r="F3697" s="2"/>
    </row>
    <row r="3698" ht="1.5" customHeight="1">
      <c r="A3698" s="4" t="str">
        <f>IFERROR(__xludf.DUMMYFUNCTION("""COMPUTED_VALUE"""),"1. Microwave")</f>
        <v>1. Microwave</v>
      </c>
      <c r="B3698" s="4" t="str">
        <f>IFERROR(__xludf.DUMMYFUNCTION("""COMPUTED_VALUE"""),"1")</f>
        <v>1</v>
      </c>
      <c r="C3698" s="5" t="str">
        <f>IFERROR(__xludf.DUMMYFUNCTION("""COMPUTED_VALUE"""),"https://drive.google.com/file/d/1gJVItrc8dl_9gFaj1vAKXA7JCmUwYBQ8/view?usp=drivesdk")</f>
        <v>https://drive.google.com/file/d/1gJVItrc8dl_9gFaj1vAKXA7JCmUwYBQ8/view?usp=drivesdk</v>
      </c>
      <c r="D3698" s="12"/>
      <c r="E3698" s="11">
        <v>3736.0</v>
      </c>
      <c r="F3698" s="2"/>
    </row>
    <row r="3699" ht="1.5" customHeight="1">
      <c r="A3699" s="4" t="str">
        <f>IFERROR(__xludf.DUMMYFUNCTION("""COMPUTED_VALUE"""),"20. Citlali")</f>
        <v>20. Citlali</v>
      </c>
      <c r="B3699" s="4" t="str">
        <f>IFERROR(__xludf.DUMMYFUNCTION("""COMPUTED_VALUE"""),"20")</f>
        <v>20</v>
      </c>
      <c r="C3699" s="5" t="str">
        <f>IFERROR(__xludf.DUMMYFUNCTION("""COMPUTED_VALUE"""),"https://drive.google.com/file/d/1TKEN0G-x0_6aLR8JR7uElGwhGwtRVdpU/view?usp=drivesdk")</f>
        <v>https://drive.google.com/file/d/1TKEN0G-x0_6aLR8JR7uElGwhGwtRVdpU/view?usp=drivesdk</v>
      </c>
      <c r="D3699" s="12"/>
      <c r="E3699" s="11">
        <v>3737.0</v>
      </c>
      <c r="F3699" s="2"/>
    </row>
    <row r="3700" ht="1.5" customHeight="1">
      <c r="A3700" s="4" t="str">
        <f>IFERROR(__xludf.DUMMYFUNCTION("""COMPUTED_VALUE"""),"1. Microwave")</f>
        <v>1. Microwave</v>
      </c>
      <c r="B3700" s="4" t="str">
        <f>IFERROR(__xludf.DUMMYFUNCTION("""COMPUTED_VALUE"""),"1")</f>
        <v>1</v>
      </c>
      <c r="C3700" s="5" t="str">
        <f>IFERROR(__xludf.DUMMYFUNCTION("""COMPUTED_VALUE"""),"https://drive.google.com/file/d/137Erb_VpMDH3f1qgoVvjjElafPtKyVed/view?usp=drivesdk")</f>
        <v>https://drive.google.com/file/d/137Erb_VpMDH3f1qgoVvjjElafPtKyVed/view?usp=drivesdk</v>
      </c>
      <c r="D3700" s="12"/>
      <c r="E3700" s="11">
        <v>3738.0</v>
      </c>
      <c r="F3700" s="2"/>
    </row>
    <row r="3701" ht="1.5" customHeight="1">
      <c r="A3701" s="4" t="str">
        <f>IFERROR(__xludf.DUMMYFUNCTION("""COMPUTED_VALUE"""),"20. Citlali")</f>
        <v>20. Citlali</v>
      </c>
      <c r="B3701" s="4" t="str">
        <f>IFERROR(__xludf.DUMMYFUNCTION("""COMPUTED_VALUE"""),"20")</f>
        <v>20</v>
      </c>
      <c r="C3701" s="5" t="str">
        <f>IFERROR(__xludf.DUMMYFUNCTION("""COMPUTED_VALUE"""),"https://drive.google.com/file/d/1BAxMhuIfBGTClwk4LsUhpb2LiV282fCg/view?usp=drivesdk")</f>
        <v>https://drive.google.com/file/d/1BAxMhuIfBGTClwk4LsUhpb2LiV282fCg/view?usp=drivesdk</v>
      </c>
      <c r="D3701" s="12"/>
      <c r="E3701" s="11">
        <v>3739.0</v>
      </c>
      <c r="F3701" s="2"/>
    </row>
    <row r="3702" ht="1.5" customHeight="1">
      <c r="A3702" s="4" t="str">
        <f>IFERROR(__xludf.DUMMYFUNCTION("""COMPUTED_VALUE"""),"1. Microwave")</f>
        <v>1. Microwave</v>
      </c>
      <c r="B3702" s="4" t="str">
        <f>IFERROR(__xludf.DUMMYFUNCTION("""COMPUTED_VALUE"""),"1")</f>
        <v>1</v>
      </c>
      <c r="C3702" s="5" t="str">
        <f>IFERROR(__xludf.DUMMYFUNCTION("""COMPUTED_VALUE"""),"https://drive.google.com/file/d/1t5oQ3lOLd2-dIlys9h0iEyOIYvpoL9Qq/view?usp=drivesdk")</f>
        <v>https://drive.google.com/file/d/1t5oQ3lOLd2-dIlys9h0iEyOIYvpoL9Qq/view?usp=drivesdk</v>
      </c>
      <c r="D3702" s="12"/>
      <c r="E3702" s="11">
        <v>3740.0</v>
      </c>
      <c r="F3702" s="2"/>
    </row>
    <row r="3703" ht="1.5" customHeight="1">
      <c r="A3703" s="4" t="str">
        <f>IFERROR(__xludf.DUMMYFUNCTION("""COMPUTED_VALUE"""),"1. Microwave")</f>
        <v>1. Microwave</v>
      </c>
      <c r="B3703" s="4" t="str">
        <f>IFERROR(__xludf.DUMMYFUNCTION("""COMPUTED_VALUE"""),"1")</f>
        <v>1</v>
      </c>
      <c r="C3703" s="5" t="str">
        <f>IFERROR(__xludf.DUMMYFUNCTION("""COMPUTED_VALUE"""),"https://drive.google.com/file/d/1Fr1NoXN1uD_baeEDE2oEfrzaZYWlviGu/view?usp=drivesdk")</f>
        <v>https://drive.google.com/file/d/1Fr1NoXN1uD_baeEDE2oEfrzaZYWlviGu/view?usp=drivesdk</v>
      </c>
      <c r="D3703" s="12"/>
      <c r="E3703" s="11">
        <v>3741.0</v>
      </c>
      <c r="F3703" s="2"/>
    </row>
    <row r="3704" ht="1.5" customHeight="1">
      <c r="A3704" s="4" t="str">
        <f>IFERROR(__xludf.DUMMYFUNCTION("""COMPUTED_VALUE"""),"1. Microwave")</f>
        <v>1. Microwave</v>
      </c>
      <c r="B3704" s="4" t="str">
        <f>IFERROR(__xludf.DUMMYFUNCTION("""COMPUTED_VALUE"""),"1")</f>
        <v>1</v>
      </c>
      <c r="C3704" s="5" t="str">
        <f>IFERROR(__xludf.DUMMYFUNCTION("""COMPUTED_VALUE"""),"https://drive.google.com/file/d/1XiOWMcygZGxr0el6N1yZcSfEyTbyZKF7/view?usp=drivesdk")</f>
        <v>https://drive.google.com/file/d/1XiOWMcygZGxr0el6N1yZcSfEyTbyZKF7/view?usp=drivesdk</v>
      </c>
      <c r="D3704" s="12"/>
      <c r="E3704" s="11">
        <v>3742.0</v>
      </c>
      <c r="F3704" s="2"/>
    </row>
    <row r="3705" ht="1.5" customHeight="1">
      <c r="A3705" s="4" t="str">
        <f>IFERROR(__xludf.DUMMYFUNCTION("""COMPUTED_VALUE"""),"20. Citlali")</f>
        <v>20. Citlali</v>
      </c>
      <c r="B3705" s="4" t="str">
        <f>IFERROR(__xludf.DUMMYFUNCTION("""COMPUTED_VALUE"""),"20")</f>
        <v>20</v>
      </c>
      <c r="C3705" s="5" t="str">
        <f>IFERROR(__xludf.DUMMYFUNCTION("""COMPUTED_VALUE"""),"https://drive.google.com/file/d/1U7F6ZQkaazUKcDJyD11txwC7qIYb6fIl/view?usp=drivesdk")</f>
        <v>https://drive.google.com/file/d/1U7F6ZQkaazUKcDJyD11txwC7qIYb6fIl/view?usp=drivesdk</v>
      </c>
      <c r="D3705" s="12"/>
      <c r="E3705" s="11">
        <v>3743.0</v>
      </c>
      <c r="F3705" s="2"/>
    </row>
    <row r="3706" ht="1.5" customHeight="1">
      <c r="A3706" s="4" t="str">
        <f>IFERROR(__xludf.DUMMYFUNCTION("""COMPUTED_VALUE"""),"1. Microwave")</f>
        <v>1. Microwave</v>
      </c>
      <c r="B3706" s="4" t="str">
        <f>IFERROR(__xludf.DUMMYFUNCTION("""COMPUTED_VALUE"""),"1")</f>
        <v>1</v>
      </c>
      <c r="C3706" s="5" t="str">
        <f>IFERROR(__xludf.DUMMYFUNCTION("""COMPUTED_VALUE"""),"https://drive.google.com/file/d/1b8idcfrJwIYt58jJmQdo1Y72C-cVpzbA/view?usp=drivesdk")</f>
        <v>https://drive.google.com/file/d/1b8idcfrJwIYt58jJmQdo1Y72C-cVpzbA/view?usp=drivesdk</v>
      </c>
      <c r="D3706" s="12"/>
      <c r="E3706" s="11">
        <v>3744.0</v>
      </c>
      <c r="F3706" s="2"/>
    </row>
    <row r="3707" ht="1.5" customHeight="1">
      <c r="A3707" s="4" t="str">
        <f>IFERROR(__xludf.DUMMYFUNCTION("""COMPUTED_VALUE"""),"20. Citlali")</f>
        <v>20. Citlali</v>
      </c>
      <c r="B3707" s="4" t="str">
        <f>IFERROR(__xludf.DUMMYFUNCTION("""COMPUTED_VALUE"""),"20")</f>
        <v>20</v>
      </c>
      <c r="C3707" s="5" t="str">
        <f>IFERROR(__xludf.DUMMYFUNCTION("""COMPUTED_VALUE"""),"https://drive.google.com/file/d/1dRwEJ-Zhi7gDQLimEE7BXEAlMZK_h5Ou/view?usp=drivesdk")</f>
        <v>https://drive.google.com/file/d/1dRwEJ-Zhi7gDQLimEE7BXEAlMZK_h5Ou/view?usp=drivesdk</v>
      </c>
      <c r="D3707" s="12"/>
      <c r="E3707" s="11">
        <v>3745.0</v>
      </c>
      <c r="F3707" s="2"/>
    </row>
    <row r="3708" ht="1.5" customHeight="1">
      <c r="A3708" s="4" t="str">
        <f>IFERROR(__xludf.DUMMYFUNCTION("""COMPUTED_VALUE"""),"1. Microwave")</f>
        <v>1. Microwave</v>
      </c>
      <c r="B3708" s="4" t="str">
        <f>IFERROR(__xludf.DUMMYFUNCTION("""COMPUTED_VALUE"""),"1")</f>
        <v>1</v>
      </c>
      <c r="C3708" s="5" t="str">
        <f>IFERROR(__xludf.DUMMYFUNCTION("""COMPUTED_VALUE"""),"https://drive.google.com/file/d/1LtxqbPHarxTIFlkZJw9X-Eai1vjhtII5/view?usp=drivesdk")</f>
        <v>https://drive.google.com/file/d/1LtxqbPHarxTIFlkZJw9X-Eai1vjhtII5/view?usp=drivesdk</v>
      </c>
      <c r="D3708" s="12"/>
      <c r="E3708" s="11">
        <v>3746.0</v>
      </c>
      <c r="F3708" s="2"/>
    </row>
    <row r="3709" ht="1.5" customHeight="1">
      <c r="A3709" s="4" t="str">
        <f>IFERROR(__xludf.DUMMYFUNCTION("""COMPUTED_VALUE"""),"1. Microwave")</f>
        <v>1. Microwave</v>
      </c>
      <c r="B3709" s="4" t="str">
        <f>IFERROR(__xludf.DUMMYFUNCTION("""COMPUTED_VALUE"""),"1")</f>
        <v>1</v>
      </c>
      <c r="C3709" s="5" t="str">
        <f>IFERROR(__xludf.DUMMYFUNCTION("""COMPUTED_VALUE"""),"https://drive.google.com/file/d/1deUSO2QiXWkfy7tIBKgVRkRz0v3Fwzxv/view?usp=drivesdk")</f>
        <v>https://drive.google.com/file/d/1deUSO2QiXWkfy7tIBKgVRkRz0v3Fwzxv/view?usp=drivesdk</v>
      </c>
      <c r="D3709" s="12"/>
      <c r="E3709" s="11">
        <v>3747.0</v>
      </c>
      <c r="F3709" s="2"/>
    </row>
    <row r="3710" ht="1.5" customHeight="1">
      <c r="A3710" s="4" t="str">
        <f>IFERROR(__xludf.DUMMYFUNCTION("""COMPUTED_VALUE"""),"1. Microwave")</f>
        <v>1. Microwave</v>
      </c>
      <c r="B3710" s="4" t="str">
        <f>IFERROR(__xludf.DUMMYFUNCTION("""COMPUTED_VALUE"""),"1")</f>
        <v>1</v>
      </c>
      <c r="C3710" s="5" t="str">
        <f>IFERROR(__xludf.DUMMYFUNCTION("""COMPUTED_VALUE"""),"https://drive.google.com/file/d/1R9uacGgu8XvmTruJLTXjkdkWAnpHjg_D/view?usp=drivesdk")</f>
        <v>https://drive.google.com/file/d/1R9uacGgu8XvmTruJLTXjkdkWAnpHjg_D/view?usp=drivesdk</v>
      </c>
      <c r="D3710" s="12"/>
      <c r="E3710" s="11">
        <v>3748.0</v>
      </c>
      <c r="F3710" s="2"/>
    </row>
    <row r="3711" ht="1.5" customHeight="1">
      <c r="A3711" s="4" t="str">
        <f>IFERROR(__xludf.DUMMYFUNCTION("""COMPUTED_VALUE"""),"1. Microwave")</f>
        <v>1. Microwave</v>
      </c>
      <c r="B3711" s="4" t="str">
        <f>IFERROR(__xludf.DUMMYFUNCTION("""COMPUTED_VALUE"""),"1")</f>
        <v>1</v>
      </c>
      <c r="C3711" s="5" t="str">
        <f>IFERROR(__xludf.DUMMYFUNCTION("""COMPUTED_VALUE"""),"https://drive.google.com/file/d/1cGmtsEXlPlum-JPq2ZEZFdtNBySFi97n/view?usp=drivesdk")</f>
        <v>https://drive.google.com/file/d/1cGmtsEXlPlum-JPq2ZEZFdtNBySFi97n/view?usp=drivesdk</v>
      </c>
      <c r="D3711" s="12"/>
      <c r="E3711" s="11">
        <v>3749.0</v>
      </c>
      <c r="F3711" s="2"/>
    </row>
    <row r="3712" ht="1.5" customHeight="1">
      <c r="A3712" s="4" t="str">
        <f>IFERROR(__xludf.DUMMYFUNCTION("""COMPUTED_VALUE"""),"1. Microwave")</f>
        <v>1. Microwave</v>
      </c>
      <c r="B3712" s="4" t="str">
        <f>IFERROR(__xludf.DUMMYFUNCTION("""COMPUTED_VALUE"""),"1")</f>
        <v>1</v>
      </c>
      <c r="C3712" s="5" t="str">
        <f>IFERROR(__xludf.DUMMYFUNCTION("""COMPUTED_VALUE"""),"https://drive.google.com/file/d/1XJm2XOSxUM__BmBizDo3aLJl3MKD2GqO/view?usp=drivesdk")</f>
        <v>https://drive.google.com/file/d/1XJm2XOSxUM__BmBizDo3aLJl3MKD2GqO/view?usp=drivesdk</v>
      </c>
      <c r="D3712" s="12"/>
      <c r="E3712" s="11">
        <v>3750.0</v>
      </c>
      <c r="F3712" s="2"/>
    </row>
    <row r="3713" ht="1.5" customHeight="1">
      <c r="A3713" s="4" t="str">
        <f>IFERROR(__xludf.DUMMYFUNCTION("""COMPUTED_VALUE"""),"1. Microwave")</f>
        <v>1. Microwave</v>
      </c>
      <c r="B3713" s="4" t="str">
        <f>IFERROR(__xludf.DUMMYFUNCTION("""COMPUTED_VALUE"""),"1")</f>
        <v>1</v>
      </c>
      <c r="C3713" s="5" t="str">
        <f>IFERROR(__xludf.DUMMYFUNCTION("""COMPUTED_VALUE"""),"https://drive.google.com/file/d/1L4ATDd0n4asKNR-TRP1qBhIIXzwKyVKy/view?usp=drivesdk")</f>
        <v>https://drive.google.com/file/d/1L4ATDd0n4asKNR-TRP1qBhIIXzwKyVKy/view?usp=drivesdk</v>
      </c>
      <c r="D3713" s="12"/>
      <c r="E3713" s="11">
        <v>3751.0</v>
      </c>
      <c r="F3713" s="2"/>
    </row>
    <row r="3714" ht="1.5" customHeight="1">
      <c r="A3714" s="4" t="str">
        <f>IFERROR(__xludf.DUMMYFUNCTION("""COMPUTED_VALUE"""),"5. Eraser")</f>
        <v>5. Eraser</v>
      </c>
      <c r="B3714" s="4" t="str">
        <f>IFERROR(__xludf.DUMMYFUNCTION("""COMPUTED_VALUE"""),"5")</f>
        <v>5</v>
      </c>
      <c r="C3714" s="5" t="str">
        <f>IFERROR(__xludf.DUMMYFUNCTION("""COMPUTED_VALUE"""),"https://drive.google.com/file/d/1N0WI1PuzTNa_hB3kt1LIwpilx-0y7MuQ/view?usp=drivesdk")</f>
        <v>https://drive.google.com/file/d/1N0WI1PuzTNa_hB3kt1LIwpilx-0y7MuQ/view?usp=drivesdk</v>
      </c>
      <c r="D3714" s="12"/>
      <c r="E3714" s="11">
        <v>3752.0</v>
      </c>
      <c r="F3714" s="2"/>
    </row>
    <row r="3715" ht="1.5" customHeight="1">
      <c r="A3715" s="4" t="str">
        <f>IFERROR(__xludf.DUMMYFUNCTION("""COMPUTED_VALUE"""),"5. Eraser")</f>
        <v>5. Eraser</v>
      </c>
      <c r="B3715" s="4" t="str">
        <f>IFERROR(__xludf.DUMMYFUNCTION("""COMPUTED_VALUE"""),"5")</f>
        <v>5</v>
      </c>
      <c r="C3715" s="5" t="str">
        <f>IFERROR(__xludf.DUMMYFUNCTION("""COMPUTED_VALUE"""),"https://drive.google.com/file/d/1us9TymQy7jq_-cC4bWxey1oD6nWswen7/view?usp=drivesdk")</f>
        <v>https://drive.google.com/file/d/1us9TymQy7jq_-cC4bWxey1oD6nWswen7/view?usp=drivesdk</v>
      </c>
      <c r="D3715" s="12"/>
      <c r="E3715" s="11">
        <v>3753.0</v>
      </c>
      <c r="F3715" s="2"/>
    </row>
    <row r="3716" ht="1.5" customHeight="1">
      <c r="A3716" s="4" t="str">
        <f>IFERROR(__xludf.DUMMYFUNCTION("""COMPUTED_VALUE"""),"5. Eraser")</f>
        <v>5. Eraser</v>
      </c>
      <c r="B3716" s="4" t="str">
        <f>IFERROR(__xludf.DUMMYFUNCTION("""COMPUTED_VALUE"""),"5")</f>
        <v>5</v>
      </c>
      <c r="C3716" s="5" t="str">
        <f>IFERROR(__xludf.DUMMYFUNCTION("""COMPUTED_VALUE"""),"https://drive.google.com/file/d/1nxAoob0hw_4TzSSrMTQI_spmbkte3Otk/view?usp=drivesdk")</f>
        <v>https://drive.google.com/file/d/1nxAoob0hw_4TzSSrMTQI_spmbkte3Otk/view?usp=drivesdk</v>
      </c>
      <c r="D3716" s="12"/>
      <c r="E3716" s="11">
        <v>3754.0</v>
      </c>
      <c r="F3716" s="2"/>
    </row>
    <row r="3717" ht="1.5" customHeight="1">
      <c r="A3717" s="4" t="str">
        <f>IFERROR(__xludf.DUMMYFUNCTION("""COMPUTED_VALUE"""),"1. Microwave")</f>
        <v>1. Microwave</v>
      </c>
      <c r="B3717" s="4" t="str">
        <f>IFERROR(__xludf.DUMMYFUNCTION("""COMPUTED_VALUE"""),"1")</f>
        <v>1</v>
      </c>
      <c r="C3717" s="5" t="str">
        <f>IFERROR(__xludf.DUMMYFUNCTION("""COMPUTED_VALUE"""),"https://drive.google.com/file/d/1JPZgfnCR6YUTAwpZfWqxHMIZX53J81v_/view?usp=drivesdk")</f>
        <v>https://drive.google.com/file/d/1JPZgfnCR6YUTAwpZfWqxHMIZX53J81v_/view?usp=drivesdk</v>
      </c>
      <c r="D3717" s="12"/>
      <c r="E3717" s="11">
        <v>3755.0</v>
      </c>
      <c r="F3717" s="2"/>
    </row>
    <row r="3718" ht="1.5" customHeight="1">
      <c r="A3718" s="4" t="str">
        <f>IFERROR(__xludf.DUMMYFUNCTION("""COMPUTED_VALUE"""),"5. Eraser")</f>
        <v>5. Eraser</v>
      </c>
      <c r="B3718" s="4" t="str">
        <f>IFERROR(__xludf.DUMMYFUNCTION("""COMPUTED_VALUE"""),"5")</f>
        <v>5</v>
      </c>
      <c r="C3718" s="5" t="str">
        <f>IFERROR(__xludf.DUMMYFUNCTION("""COMPUTED_VALUE"""),"https://drive.google.com/file/d/1uC6yuLUZ1RVva-l_uC-0mIWA0RiboHyE/view?usp=drivesdk")</f>
        <v>https://drive.google.com/file/d/1uC6yuLUZ1RVva-l_uC-0mIWA0RiboHyE/view?usp=drivesdk</v>
      </c>
      <c r="D3718" s="12"/>
      <c r="E3718" s="11">
        <v>3756.0</v>
      </c>
      <c r="F3718" s="2"/>
    </row>
    <row r="3719" ht="1.5" customHeight="1">
      <c r="A3719" s="4" t="str">
        <f>IFERROR(__xludf.DUMMYFUNCTION("""COMPUTED_VALUE"""),"5. Eraser")</f>
        <v>5. Eraser</v>
      </c>
      <c r="B3719" s="4" t="str">
        <f>IFERROR(__xludf.DUMMYFUNCTION("""COMPUTED_VALUE"""),"5")</f>
        <v>5</v>
      </c>
      <c r="C3719" s="5" t="str">
        <f>IFERROR(__xludf.DUMMYFUNCTION("""COMPUTED_VALUE"""),"https://drive.google.com/file/d/1E47tJL6MLTY5KfwKZGWGTFf110Mcz1Te/view?usp=drivesdk")</f>
        <v>https://drive.google.com/file/d/1E47tJL6MLTY5KfwKZGWGTFf110Mcz1Te/view?usp=drivesdk</v>
      </c>
      <c r="D3719" s="12"/>
      <c r="E3719" s="11">
        <v>3757.0</v>
      </c>
      <c r="F3719" s="2"/>
    </row>
    <row r="3720" ht="1.5" customHeight="1">
      <c r="A3720" s="4" t="str">
        <f>IFERROR(__xludf.DUMMYFUNCTION("""COMPUTED_VALUE"""),"1. Microwave")</f>
        <v>1. Microwave</v>
      </c>
      <c r="B3720" s="4" t="str">
        <f>IFERROR(__xludf.DUMMYFUNCTION("""COMPUTED_VALUE"""),"1")</f>
        <v>1</v>
      </c>
      <c r="C3720" s="5" t="str">
        <f>IFERROR(__xludf.DUMMYFUNCTION("""COMPUTED_VALUE"""),"https://drive.google.com/file/d/19dd9hAIL_l8tHno_JX4f5meheRLXca5Y/view?usp=drivesdk")</f>
        <v>https://drive.google.com/file/d/19dd9hAIL_l8tHno_JX4f5meheRLXca5Y/view?usp=drivesdk</v>
      </c>
      <c r="D3720" s="12"/>
      <c r="E3720" s="11">
        <v>3758.0</v>
      </c>
      <c r="F3720" s="2"/>
    </row>
    <row r="3721" ht="1.5" customHeight="1">
      <c r="A3721" s="4" t="str">
        <f>IFERROR(__xludf.DUMMYFUNCTION("""COMPUTED_VALUE"""),"5. Eraser")</f>
        <v>5. Eraser</v>
      </c>
      <c r="B3721" s="4" t="str">
        <f>IFERROR(__xludf.DUMMYFUNCTION("""COMPUTED_VALUE"""),"5")</f>
        <v>5</v>
      </c>
      <c r="C3721" s="5" t="str">
        <f>IFERROR(__xludf.DUMMYFUNCTION("""COMPUTED_VALUE"""),"https://drive.google.com/file/d/1bSyKWUplqisJvf0h8AEAPOmFz8YJurtn/view?usp=drivesdk")</f>
        <v>https://drive.google.com/file/d/1bSyKWUplqisJvf0h8AEAPOmFz8YJurtn/view?usp=drivesdk</v>
      </c>
      <c r="D3721" s="12"/>
      <c r="E3721" s="11">
        <v>3759.0</v>
      </c>
      <c r="F3721" s="2"/>
    </row>
    <row r="3722" ht="1.5" customHeight="1">
      <c r="A3722" s="4" t="str">
        <f>IFERROR(__xludf.DUMMYFUNCTION("""COMPUTED_VALUE"""),"5. Eraser")</f>
        <v>5. Eraser</v>
      </c>
      <c r="B3722" s="4" t="str">
        <f>IFERROR(__xludf.DUMMYFUNCTION("""COMPUTED_VALUE"""),"5")</f>
        <v>5</v>
      </c>
      <c r="C3722" s="5" t="str">
        <f>IFERROR(__xludf.DUMMYFUNCTION("""COMPUTED_VALUE"""),"https://drive.google.com/file/d/1EHV6Hfiq48hNtqruiaxZiKz8-Mt0yq8Y/view?usp=drivesdk")</f>
        <v>https://drive.google.com/file/d/1EHV6Hfiq48hNtqruiaxZiKz8-Mt0yq8Y/view?usp=drivesdk</v>
      </c>
      <c r="D3722" s="12"/>
      <c r="E3722" s="11">
        <v>3760.0</v>
      </c>
      <c r="F3722" s="2"/>
    </row>
    <row r="3723" ht="1.5" customHeight="1">
      <c r="A3723" s="4" t="str">
        <f>IFERROR(__xludf.DUMMYFUNCTION("""COMPUTED_VALUE"""),"5. Eraser")</f>
        <v>5. Eraser</v>
      </c>
      <c r="B3723" s="4" t="str">
        <f>IFERROR(__xludf.DUMMYFUNCTION("""COMPUTED_VALUE"""),"5")</f>
        <v>5</v>
      </c>
      <c r="C3723" s="5" t="str">
        <f>IFERROR(__xludf.DUMMYFUNCTION("""COMPUTED_VALUE"""),"https://drive.google.com/file/d/15qpH2QmD6WTgbZGtVbmENzdkveHk-qGt/view?usp=drivesdk")</f>
        <v>https://drive.google.com/file/d/15qpH2QmD6WTgbZGtVbmENzdkveHk-qGt/view?usp=drivesdk</v>
      </c>
      <c r="D3723" s="12"/>
      <c r="E3723" s="11">
        <v>3761.0</v>
      </c>
      <c r="F3723" s="2"/>
    </row>
    <row r="3724" ht="1.5" customHeight="1">
      <c r="A3724" s="4" t="str">
        <f>IFERROR(__xludf.DUMMYFUNCTION("""COMPUTED_VALUE"""),"1. Microwave")</f>
        <v>1. Microwave</v>
      </c>
      <c r="B3724" s="4" t="str">
        <f>IFERROR(__xludf.DUMMYFUNCTION("""COMPUTED_VALUE"""),"1")</f>
        <v>1</v>
      </c>
      <c r="C3724" s="5" t="str">
        <f>IFERROR(__xludf.DUMMYFUNCTION("""COMPUTED_VALUE"""),"https://drive.google.com/file/d/1rllLklUI4w4AlsHGFVsZTqbnz6rfIgGq/view?usp=drivesdk")</f>
        <v>https://drive.google.com/file/d/1rllLklUI4w4AlsHGFVsZTqbnz6rfIgGq/view?usp=drivesdk</v>
      </c>
      <c r="D3724" s="12"/>
      <c r="E3724" s="11">
        <v>3762.0</v>
      </c>
      <c r="F3724" s="2"/>
    </row>
    <row r="3725" ht="1.5" customHeight="1">
      <c r="A3725" s="4" t="str">
        <f>IFERROR(__xludf.DUMMYFUNCTION("""COMPUTED_VALUE"""),"5. Eraser")</f>
        <v>5. Eraser</v>
      </c>
      <c r="B3725" s="4" t="str">
        <f>IFERROR(__xludf.DUMMYFUNCTION("""COMPUTED_VALUE"""),"5")</f>
        <v>5</v>
      </c>
      <c r="C3725" s="5" t="str">
        <f>IFERROR(__xludf.DUMMYFUNCTION("""COMPUTED_VALUE"""),"https://drive.google.com/file/d/1v68n5m41aPL4Jfe-FcG2cwyGoYhPjkZv/view?usp=drivesdk")</f>
        <v>https://drive.google.com/file/d/1v68n5m41aPL4Jfe-FcG2cwyGoYhPjkZv/view?usp=drivesdk</v>
      </c>
      <c r="D3725" s="12"/>
      <c r="E3725" s="11">
        <v>3763.0</v>
      </c>
      <c r="F3725" s="2"/>
    </row>
    <row r="3726" ht="1.5" customHeight="1">
      <c r="A3726" s="4" t="str">
        <f>IFERROR(__xludf.DUMMYFUNCTION("""COMPUTED_VALUE"""),"5. Eraser")</f>
        <v>5. Eraser</v>
      </c>
      <c r="B3726" s="4" t="str">
        <f>IFERROR(__xludf.DUMMYFUNCTION("""COMPUTED_VALUE"""),"5")</f>
        <v>5</v>
      </c>
      <c r="C3726" s="5" t="str">
        <f>IFERROR(__xludf.DUMMYFUNCTION("""COMPUTED_VALUE"""),"https://drive.google.com/file/d/1H4l6nkLGPc572ssnYHGKwlB-ttppJDf2/view?usp=drivesdk")</f>
        <v>https://drive.google.com/file/d/1H4l6nkLGPc572ssnYHGKwlB-ttppJDf2/view?usp=drivesdk</v>
      </c>
      <c r="D3726" s="12"/>
      <c r="E3726" s="11">
        <v>3764.0</v>
      </c>
      <c r="F3726" s="2"/>
    </row>
    <row r="3727" ht="1.5" customHeight="1">
      <c r="A3727" s="4" t="str">
        <f>IFERROR(__xludf.DUMMYFUNCTION("""COMPUTED_VALUE"""),"20. Citlali")</f>
        <v>20. Citlali</v>
      </c>
      <c r="B3727" s="4" t="str">
        <f>IFERROR(__xludf.DUMMYFUNCTION("""COMPUTED_VALUE"""),"20")</f>
        <v>20</v>
      </c>
      <c r="C3727" s="5" t="str">
        <f>IFERROR(__xludf.DUMMYFUNCTION("""COMPUTED_VALUE"""),"https://drive.google.com/file/d/1uuNgD0BQt-9PryNKsVhxSVTbkhOfRg8I/view?usp=drivesdk")</f>
        <v>https://drive.google.com/file/d/1uuNgD0BQt-9PryNKsVhxSVTbkhOfRg8I/view?usp=drivesdk</v>
      </c>
      <c r="D3727" s="12"/>
      <c r="E3727" s="11">
        <v>3765.0</v>
      </c>
      <c r="F3727" s="2"/>
    </row>
    <row r="3728" ht="1.5" customHeight="1">
      <c r="A3728" s="4" t="str">
        <f>IFERROR(__xludf.DUMMYFUNCTION("""COMPUTED_VALUE"""),"5. Eraser")</f>
        <v>5. Eraser</v>
      </c>
      <c r="B3728" s="4" t="str">
        <f>IFERROR(__xludf.DUMMYFUNCTION("""COMPUTED_VALUE"""),"5")</f>
        <v>5</v>
      </c>
      <c r="C3728" s="5" t="str">
        <f>IFERROR(__xludf.DUMMYFUNCTION("""COMPUTED_VALUE"""),"https://drive.google.com/file/d/1wxwAmGIfqWOtjhnmp1e9Ikzr4bv5525V/view?usp=drivesdk")</f>
        <v>https://drive.google.com/file/d/1wxwAmGIfqWOtjhnmp1e9Ikzr4bv5525V/view?usp=drivesdk</v>
      </c>
      <c r="D3728" s="12"/>
      <c r="E3728" s="11">
        <v>3766.0</v>
      </c>
      <c r="F3728" s="2"/>
    </row>
    <row r="3729" ht="1.5" customHeight="1">
      <c r="A3729" s="4" t="str">
        <f>IFERROR(__xludf.DUMMYFUNCTION("""COMPUTED_VALUE"""),"20. Citlali")</f>
        <v>20. Citlali</v>
      </c>
      <c r="B3729" s="4" t="str">
        <f>IFERROR(__xludf.DUMMYFUNCTION("""COMPUTED_VALUE"""),"20")</f>
        <v>20</v>
      </c>
      <c r="C3729" s="5" t="str">
        <f>IFERROR(__xludf.DUMMYFUNCTION("""COMPUTED_VALUE"""),"https://drive.google.com/file/d/1W8QdkfLdEYTJnihEf06JwMiAo34fxYpd/view?usp=drivesdk")</f>
        <v>https://drive.google.com/file/d/1W8QdkfLdEYTJnihEf06JwMiAo34fxYpd/view?usp=drivesdk</v>
      </c>
      <c r="D3729" s="12"/>
      <c r="E3729" s="11">
        <v>3767.0</v>
      </c>
      <c r="F3729" s="2"/>
    </row>
    <row r="3730" ht="1.5" customHeight="1">
      <c r="A3730" s="4" t="str">
        <f>IFERROR(__xludf.DUMMYFUNCTION("""COMPUTED_VALUE"""),"1. Microwave")</f>
        <v>1. Microwave</v>
      </c>
      <c r="B3730" s="4" t="str">
        <f>IFERROR(__xludf.DUMMYFUNCTION("""COMPUTED_VALUE"""),"1")</f>
        <v>1</v>
      </c>
      <c r="C3730" s="5" t="str">
        <f>IFERROR(__xludf.DUMMYFUNCTION("""COMPUTED_VALUE"""),"https://drive.google.com/file/d/14rHf9mpCpD8ZWNEOT_V2C1sOnH1Qo0Hx/view?usp=drivesdk")</f>
        <v>https://drive.google.com/file/d/14rHf9mpCpD8ZWNEOT_V2C1sOnH1Qo0Hx/view?usp=drivesdk</v>
      </c>
      <c r="D3730" s="12"/>
      <c r="E3730" s="11">
        <v>3768.0</v>
      </c>
      <c r="F3730" s="2"/>
    </row>
    <row r="3731" ht="1.5" customHeight="1">
      <c r="A3731" s="4" t="str">
        <f>IFERROR(__xludf.DUMMYFUNCTION("""COMPUTED_VALUE"""),"1. Microwave")</f>
        <v>1. Microwave</v>
      </c>
      <c r="B3731" s="4" t="str">
        <f>IFERROR(__xludf.DUMMYFUNCTION("""COMPUTED_VALUE"""),"1")</f>
        <v>1</v>
      </c>
      <c r="C3731" s="5" t="str">
        <f>IFERROR(__xludf.DUMMYFUNCTION("""COMPUTED_VALUE"""),"https://drive.google.com/file/d/1bzMzC_W7MFDZN05a0cXsroUl4KrRCvTS/view?usp=drivesdk")</f>
        <v>https://drive.google.com/file/d/1bzMzC_W7MFDZN05a0cXsroUl4KrRCvTS/view?usp=drivesdk</v>
      </c>
      <c r="D3731" s="12"/>
      <c r="E3731" s="11">
        <v>3769.0</v>
      </c>
      <c r="F3731" s="2"/>
    </row>
    <row r="3732" ht="1.5" customHeight="1">
      <c r="A3732" s="4" t="str">
        <f>IFERROR(__xludf.DUMMYFUNCTION("""COMPUTED_VALUE"""),"1. Microwave")</f>
        <v>1. Microwave</v>
      </c>
      <c r="B3732" s="4" t="str">
        <f>IFERROR(__xludf.DUMMYFUNCTION("""COMPUTED_VALUE"""),"1")</f>
        <v>1</v>
      </c>
      <c r="C3732" s="5" t="str">
        <f>IFERROR(__xludf.DUMMYFUNCTION("""COMPUTED_VALUE"""),"https://drive.google.com/file/d/1E_1MiM1mGtJWAPcfc2rY2NxmgixS7sOy/view?usp=drivesdk")</f>
        <v>https://drive.google.com/file/d/1E_1MiM1mGtJWAPcfc2rY2NxmgixS7sOy/view?usp=drivesdk</v>
      </c>
      <c r="D3732" s="12"/>
      <c r="E3732" s="11">
        <v>3770.0</v>
      </c>
      <c r="F3732" s="2"/>
    </row>
    <row r="3733" ht="1.5" customHeight="1">
      <c r="A3733" s="4" t="str">
        <f>IFERROR(__xludf.DUMMYFUNCTION("""COMPUTED_VALUE"""),"1. Microwave")</f>
        <v>1. Microwave</v>
      </c>
      <c r="B3733" s="4" t="str">
        <f>IFERROR(__xludf.DUMMYFUNCTION("""COMPUTED_VALUE"""),"1")</f>
        <v>1</v>
      </c>
      <c r="C3733" s="5" t="str">
        <f>IFERROR(__xludf.DUMMYFUNCTION("""COMPUTED_VALUE"""),"https://drive.google.com/file/d/1OSnBoaI521uUBLamlH6lipvj7pAEzl-B/view?usp=drivesdk")</f>
        <v>https://drive.google.com/file/d/1OSnBoaI521uUBLamlH6lipvj7pAEzl-B/view?usp=drivesdk</v>
      </c>
      <c r="D3733" s="12"/>
      <c r="E3733" s="11">
        <v>3771.0</v>
      </c>
      <c r="F3733" s="2"/>
    </row>
    <row r="3734" ht="1.5" customHeight="1">
      <c r="A3734" s="4" t="str">
        <f>IFERROR(__xludf.DUMMYFUNCTION("""COMPUTED_VALUE"""),"1. Microwave")</f>
        <v>1. Microwave</v>
      </c>
      <c r="B3734" s="4" t="str">
        <f>IFERROR(__xludf.DUMMYFUNCTION("""COMPUTED_VALUE"""),"1")</f>
        <v>1</v>
      </c>
      <c r="C3734" s="5" t="str">
        <f>IFERROR(__xludf.DUMMYFUNCTION("""COMPUTED_VALUE"""),"https://drive.google.com/file/d/157Bmse4e0vRhTOlSYPLdciQa98sUmuIM/view?usp=drivesdk")</f>
        <v>https://drive.google.com/file/d/157Bmse4e0vRhTOlSYPLdciQa98sUmuIM/view?usp=drivesdk</v>
      </c>
      <c r="D3734" s="12"/>
      <c r="E3734" s="11">
        <v>3772.0</v>
      </c>
      <c r="F3734" s="2"/>
    </row>
    <row r="3735" ht="1.5" customHeight="1">
      <c r="A3735" s="4" t="str">
        <f>IFERROR(__xludf.DUMMYFUNCTION("""COMPUTED_VALUE"""),"1. Microwave")</f>
        <v>1. Microwave</v>
      </c>
      <c r="B3735" s="4" t="str">
        <f>IFERROR(__xludf.DUMMYFUNCTION("""COMPUTED_VALUE"""),"1")</f>
        <v>1</v>
      </c>
      <c r="C3735" s="5" t="str">
        <f>IFERROR(__xludf.DUMMYFUNCTION("""COMPUTED_VALUE"""),"https://drive.google.com/file/d/1atSMsuDQaamgP3AUgAC7IrCKX6mlG3Q3/view?usp=drivesdk")</f>
        <v>https://drive.google.com/file/d/1atSMsuDQaamgP3AUgAC7IrCKX6mlG3Q3/view?usp=drivesdk</v>
      </c>
      <c r="D3735" s="12"/>
      <c r="E3735" s="11">
        <v>3773.0</v>
      </c>
      <c r="F3735" s="2"/>
    </row>
    <row r="3736" ht="1.5" customHeight="1">
      <c r="A3736" s="4" t="str">
        <f>IFERROR(__xludf.DUMMYFUNCTION("""COMPUTED_VALUE"""),"1. Microwave")</f>
        <v>1. Microwave</v>
      </c>
      <c r="B3736" s="4" t="str">
        <f>IFERROR(__xludf.DUMMYFUNCTION("""COMPUTED_VALUE"""),"1")</f>
        <v>1</v>
      </c>
      <c r="C3736" s="5" t="str">
        <f>IFERROR(__xludf.DUMMYFUNCTION("""COMPUTED_VALUE"""),"https://drive.google.com/file/d/1iP9g28QQ6DkGbAHSG-3AiDrdJILbPlV1/view?usp=drivesdk")</f>
        <v>https://drive.google.com/file/d/1iP9g28QQ6DkGbAHSG-3AiDrdJILbPlV1/view?usp=drivesdk</v>
      </c>
      <c r="D3736" s="12"/>
      <c r="E3736" s="11">
        <v>3774.0</v>
      </c>
      <c r="F3736" s="2"/>
    </row>
    <row r="3737" ht="1.5" customHeight="1">
      <c r="A3737" s="4" t="str">
        <f>IFERROR(__xludf.DUMMYFUNCTION("""COMPUTED_VALUE"""),"1. Microwave")</f>
        <v>1. Microwave</v>
      </c>
      <c r="B3737" s="4" t="str">
        <f>IFERROR(__xludf.DUMMYFUNCTION("""COMPUTED_VALUE"""),"1")</f>
        <v>1</v>
      </c>
      <c r="C3737" s="5" t="str">
        <f>IFERROR(__xludf.DUMMYFUNCTION("""COMPUTED_VALUE"""),"https://drive.google.com/file/d/1mDx0SgfAW8Fkzgw_mNEI2CG7FbSu8tDg/view?usp=drivesdk")</f>
        <v>https://drive.google.com/file/d/1mDx0SgfAW8Fkzgw_mNEI2CG7FbSu8tDg/view?usp=drivesdk</v>
      </c>
      <c r="D3737" s="12"/>
      <c r="E3737" s="11">
        <v>3775.0</v>
      </c>
      <c r="F3737" s="2"/>
    </row>
    <row r="3738" ht="1.5" customHeight="1">
      <c r="A3738" s="4" t="str">
        <f>IFERROR(__xludf.DUMMYFUNCTION("""COMPUTED_VALUE"""),"1. Microwave")</f>
        <v>1. Microwave</v>
      </c>
      <c r="B3738" s="4" t="str">
        <f>IFERROR(__xludf.DUMMYFUNCTION("""COMPUTED_VALUE"""),"1")</f>
        <v>1</v>
      </c>
      <c r="C3738" s="5" t="str">
        <f>IFERROR(__xludf.DUMMYFUNCTION("""COMPUTED_VALUE"""),"https://drive.google.com/file/d/1QkJqpDy9Y2OG7H1Vi-fMRcVZYDWyE_0x/view?usp=drivesdk")</f>
        <v>https://drive.google.com/file/d/1QkJqpDy9Y2OG7H1Vi-fMRcVZYDWyE_0x/view?usp=drivesdk</v>
      </c>
      <c r="D3738" s="12"/>
      <c r="E3738" s="11">
        <v>3776.0</v>
      </c>
      <c r="F3738" s="2"/>
    </row>
    <row r="3739" ht="1.5" customHeight="1">
      <c r="A3739" s="4" t="str">
        <f>IFERROR(__xludf.DUMMYFUNCTION("""COMPUTED_VALUE"""),"1. Microwave")</f>
        <v>1. Microwave</v>
      </c>
      <c r="B3739" s="4" t="str">
        <f>IFERROR(__xludf.DUMMYFUNCTION("""COMPUTED_VALUE"""),"1")</f>
        <v>1</v>
      </c>
      <c r="C3739" s="5" t="str">
        <f>IFERROR(__xludf.DUMMYFUNCTION("""COMPUTED_VALUE"""),"https://drive.google.com/file/d/1e3QHRbBlQqcZlk_M0oDWRpG5rUNiiWtC/view?usp=drivesdk")</f>
        <v>https://drive.google.com/file/d/1e3QHRbBlQqcZlk_M0oDWRpG5rUNiiWtC/view?usp=drivesdk</v>
      </c>
      <c r="D3739" s="12"/>
      <c r="E3739" s="11">
        <v>3777.0</v>
      </c>
      <c r="F3739" s="2"/>
    </row>
    <row r="3740" ht="1.5" customHeight="1">
      <c r="A3740" s="4" t="str">
        <f>IFERROR(__xludf.DUMMYFUNCTION("""COMPUTED_VALUE"""),"1. Microwave")</f>
        <v>1. Microwave</v>
      </c>
      <c r="B3740" s="4" t="str">
        <f>IFERROR(__xludf.DUMMYFUNCTION("""COMPUTED_VALUE"""),"1")</f>
        <v>1</v>
      </c>
      <c r="C3740" s="5" t="str">
        <f>IFERROR(__xludf.DUMMYFUNCTION("""COMPUTED_VALUE"""),"https://drive.google.com/file/d/12sh630Gc7Jl8rrWnL1go08CbPUmkdjAs/view?usp=drivesdk")</f>
        <v>https://drive.google.com/file/d/12sh630Gc7Jl8rrWnL1go08CbPUmkdjAs/view?usp=drivesdk</v>
      </c>
      <c r="D3740" s="12"/>
      <c r="E3740" s="11">
        <v>3778.0</v>
      </c>
      <c r="F3740" s="2"/>
    </row>
    <row r="3741" ht="1.5" customHeight="1">
      <c r="A3741" s="4" t="str">
        <f>IFERROR(__xludf.DUMMYFUNCTION("""COMPUTED_VALUE"""),"1. Microwave")</f>
        <v>1. Microwave</v>
      </c>
      <c r="B3741" s="4" t="str">
        <f>IFERROR(__xludf.DUMMYFUNCTION("""COMPUTED_VALUE"""),"1")</f>
        <v>1</v>
      </c>
      <c r="C3741" s="5" t="str">
        <f>IFERROR(__xludf.DUMMYFUNCTION("""COMPUTED_VALUE"""),"https://drive.google.com/file/d/1S8Hr1gmEjX6Yzx2qWmRLk2tgOHhNV_hH/view?usp=drivesdk")</f>
        <v>https://drive.google.com/file/d/1S8Hr1gmEjX6Yzx2qWmRLk2tgOHhNV_hH/view?usp=drivesdk</v>
      </c>
      <c r="D3741" s="12"/>
      <c r="E3741" s="11">
        <v>3779.0</v>
      </c>
      <c r="F3741" s="2"/>
    </row>
    <row r="3742" ht="1.5" customHeight="1">
      <c r="A3742" s="4" t="str">
        <f>IFERROR(__xludf.DUMMYFUNCTION("""COMPUTED_VALUE"""),"1. Microwave")</f>
        <v>1. Microwave</v>
      </c>
      <c r="B3742" s="4" t="str">
        <f>IFERROR(__xludf.DUMMYFUNCTION("""COMPUTED_VALUE"""),"1")</f>
        <v>1</v>
      </c>
      <c r="C3742" s="5" t="str">
        <f>IFERROR(__xludf.DUMMYFUNCTION("""COMPUTED_VALUE"""),"https://drive.google.com/file/d/1B9TypZdoHmVw5XLLxfSwBMfE-SXLohEV/view?usp=drivesdk")</f>
        <v>https://drive.google.com/file/d/1B9TypZdoHmVw5XLLxfSwBMfE-SXLohEV/view?usp=drivesdk</v>
      </c>
      <c r="D3742" s="12"/>
      <c r="E3742" s="11">
        <v>3780.0</v>
      </c>
      <c r="F3742" s="2"/>
    </row>
    <row r="3743" ht="1.5" customHeight="1">
      <c r="A3743" s="4" t="str">
        <f>IFERROR(__xludf.DUMMYFUNCTION("""COMPUTED_VALUE"""),"1. Microwave")</f>
        <v>1. Microwave</v>
      </c>
      <c r="B3743" s="4" t="str">
        <f>IFERROR(__xludf.DUMMYFUNCTION("""COMPUTED_VALUE"""),"1")</f>
        <v>1</v>
      </c>
      <c r="C3743" s="5" t="str">
        <f>IFERROR(__xludf.DUMMYFUNCTION("""COMPUTED_VALUE"""),"https://drive.google.com/file/d/1IlHeWV3AmGl6f59TsMJkZlYbc6TdgzDR/view?usp=drivesdk")</f>
        <v>https://drive.google.com/file/d/1IlHeWV3AmGl6f59TsMJkZlYbc6TdgzDR/view?usp=drivesdk</v>
      </c>
      <c r="D3743" s="12"/>
      <c r="E3743" s="11">
        <v>3781.0</v>
      </c>
      <c r="F3743" s="2"/>
    </row>
    <row r="3744" ht="1.5" customHeight="1">
      <c r="A3744" s="4" t="str">
        <f>IFERROR(__xludf.DUMMYFUNCTION("""COMPUTED_VALUE"""),"1. Microwave")</f>
        <v>1. Microwave</v>
      </c>
      <c r="B3744" s="4" t="str">
        <f>IFERROR(__xludf.DUMMYFUNCTION("""COMPUTED_VALUE"""),"1")</f>
        <v>1</v>
      </c>
      <c r="C3744" s="5" t="str">
        <f>IFERROR(__xludf.DUMMYFUNCTION("""COMPUTED_VALUE"""),"https://drive.google.com/file/d/1lDkLYZZKKycki_XQo58FhnZcdMW7A1df/view?usp=drivesdk")</f>
        <v>https://drive.google.com/file/d/1lDkLYZZKKycki_XQo58FhnZcdMW7A1df/view?usp=drivesdk</v>
      </c>
      <c r="D3744" s="12"/>
      <c r="E3744" s="11">
        <v>3782.0</v>
      </c>
      <c r="F3744" s="2"/>
    </row>
    <row r="3745" ht="1.5" customHeight="1">
      <c r="A3745" s="4" t="str">
        <f>IFERROR(__xludf.DUMMYFUNCTION("""COMPUTED_VALUE"""),"1. Microwave")</f>
        <v>1. Microwave</v>
      </c>
      <c r="B3745" s="4" t="str">
        <f>IFERROR(__xludf.DUMMYFUNCTION("""COMPUTED_VALUE"""),"1")</f>
        <v>1</v>
      </c>
      <c r="C3745" s="5" t="str">
        <f>IFERROR(__xludf.DUMMYFUNCTION("""COMPUTED_VALUE"""),"https://drive.google.com/file/d/1ihXljQqHmm0jZ8wXfTTwGL8CR0quz_Jj/view?usp=drivesdk")</f>
        <v>https://drive.google.com/file/d/1ihXljQqHmm0jZ8wXfTTwGL8CR0quz_Jj/view?usp=drivesdk</v>
      </c>
      <c r="D3745" s="12"/>
      <c r="E3745" s="11">
        <v>3783.0</v>
      </c>
      <c r="F3745" s="2"/>
    </row>
    <row r="3746" ht="1.5" customHeight="1">
      <c r="A3746" s="4" t="str">
        <f>IFERROR(__xludf.DUMMYFUNCTION("""COMPUTED_VALUE"""),"1. Microwave")</f>
        <v>1. Microwave</v>
      </c>
      <c r="B3746" s="4" t="str">
        <f>IFERROR(__xludf.DUMMYFUNCTION("""COMPUTED_VALUE"""),"1")</f>
        <v>1</v>
      </c>
      <c r="C3746" s="5" t="str">
        <f>IFERROR(__xludf.DUMMYFUNCTION("""COMPUTED_VALUE"""),"https://drive.google.com/file/d/1UaaR07D-cZZf5pDwQazVv8JYFBaE4c2y/view?usp=drivesdk")</f>
        <v>https://drive.google.com/file/d/1UaaR07D-cZZf5pDwQazVv8JYFBaE4c2y/view?usp=drivesdk</v>
      </c>
      <c r="D3746" s="12"/>
      <c r="E3746" s="11">
        <v>3784.0</v>
      </c>
      <c r="F3746" s="2"/>
    </row>
    <row r="3747" ht="1.5" customHeight="1">
      <c r="A3747" s="4" t="str">
        <f>IFERROR(__xludf.DUMMYFUNCTION("""COMPUTED_VALUE"""),"1. Microwave")</f>
        <v>1. Microwave</v>
      </c>
      <c r="B3747" s="4" t="str">
        <f>IFERROR(__xludf.DUMMYFUNCTION("""COMPUTED_VALUE"""),"1")</f>
        <v>1</v>
      </c>
      <c r="C3747" s="5" t="str">
        <f>IFERROR(__xludf.DUMMYFUNCTION("""COMPUTED_VALUE"""),"https://drive.google.com/file/d/1bqqspeKxqhNBAZAKBdN41L2hHx4AYSbA/view?usp=drivesdk")</f>
        <v>https://drive.google.com/file/d/1bqqspeKxqhNBAZAKBdN41L2hHx4AYSbA/view?usp=drivesdk</v>
      </c>
      <c r="D3747" s="12"/>
      <c r="E3747" s="11">
        <v>3785.0</v>
      </c>
      <c r="F3747" s="2"/>
    </row>
    <row r="3748" ht="1.5" customHeight="1">
      <c r="A3748" s="4" t="str">
        <f>IFERROR(__xludf.DUMMYFUNCTION("""COMPUTED_VALUE"""),"12. Faye")</f>
        <v>12. Faye</v>
      </c>
      <c r="B3748" s="4" t="str">
        <f>IFERROR(__xludf.DUMMYFUNCTION("""COMPUTED_VALUE"""),"12")</f>
        <v>12</v>
      </c>
      <c r="C3748" s="5" t="str">
        <f>IFERROR(__xludf.DUMMYFUNCTION("""COMPUTED_VALUE"""),"https://drive.google.com/file/d/1iXAQ-TRbNSscC-JWbm1gHyjv5EalQEUY/view?usp=drivesdk")</f>
        <v>https://drive.google.com/file/d/1iXAQ-TRbNSscC-JWbm1gHyjv5EalQEUY/view?usp=drivesdk</v>
      </c>
      <c r="D3748" s="12"/>
      <c r="E3748" s="11">
        <v>3786.0</v>
      </c>
      <c r="F3748" s="2"/>
    </row>
    <row r="3749" ht="1.5" customHeight="1">
      <c r="A3749" s="4" t="str">
        <f>IFERROR(__xludf.DUMMYFUNCTION("""COMPUTED_VALUE"""),"42. Rubber")</f>
        <v>42. Rubber</v>
      </c>
      <c r="B3749" s="4" t="str">
        <f>IFERROR(__xludf.DUMMYFUNCTION("""COMPUTED_VALUE"""),"42")</f>
        <v>42</v>
      </c>
      <c r="C3749" s="5" t="str">
        <f>IFERROR(__xludf.DUMMYFUNCTION("""COMPUTED_VALUE"""),"https://drive.google.com/file/d/1FZcmmYQAFG1j2rasmbVtMXyx6Dt-Y2Qj/view?usp=drivesdk")</f>
        <v>https://drive.google.com/file/d/1FZcmmYQAFG1j2rasmbVtMXyx6Dt-Y2Qj/view?usp=drivesdk</v>
      </c>
      <c r="D3749" s="12"/>
      <c r="E3749" s="11">
        <v>3787.0</v>
      </c>
      <c r="F3749" s="2"/>
    </row>
    <row r="3750" ht="1.5" customHeight="1">
      <c r="A3750" s="4" t="str">
        <f>IFERROR(__xludf.DUMMYFUNCTION("""COMPUTED_VALUE"""),"1. Microwave")</f>
        <v>1. Microwave</v>
      </c>
      <c r="B3750" s="4" t="str">
        <f>IFERROR(__xludf.DUMMYFUNCTION("""COMPUTED_VALUE"""),"1")</f>
        <v>1</v>
      </c>
      <c r="C3750" s="5" t="str">
        <f>IFERROR(__xludf.DUMMYFUNCTION("""COMPUTED_VALUE"""),"https://drive.google.com/file/d/1a6LwcecfdwqORz2kITuETuFA0f6eD6Jx/view?usp=drivesdk")</f>
        <v>https://drive.google.com/file/d/1a6LwcecfdwqORz2kITuETuFA0f6eD6Jx/view?usp=drivesdk</v>
      </c>
      <c r="D3750" s="12"/>
      <c r="E3750" s="11">
        <v>3788.0</v>
      </c>
      <c r="F3750" s="2"/>
    </row>
    <row r="3751" ht="1.5" customHeight="1">
      <c r="A3751" s="4" t="str">
        <f>IFERROR(__xludf.DUMMYFUNCTION("""COMPUTED_VALUE"""),"47. Nefarious")</f>
        <v>47. Nefarious</v>
      </c>
      <c r="B3751" s="4" t="str">
        <f>IFERROR(__xludf.DUMMYFUNCTION("""COMPUTED_VALUE"""),"47")</f>
        <v>47</v>
      </c>
      <c r="C3751" s="5" t="str">
        <f>IFERROR(__xludf.DUMMYFUNCTION("""COMPUTED_VALUE"""),"https://drive.google.com/file/d/1L6hrsGlJ_BxK9k1hqJjJYw2h6x_lLhzT/view?usp=drivesdk")</f>
        <v>https://drive.google.com/file/d/1L6hrsGlJ_BxK9k1hqJjJYw2h6x_lLhzT/view?usp=drivesdk</v>
      </c>
      <c r="D3751" s="12"/>
      <c r="E3751" s="11">
        <v>3789.0</v>
      </c>
      <c r="F3751" s="2"/>
    </row>
    <row r="3752" ht="1.5" customHeight="1">
      <c r="A3752" s="4" t="str">
        <f>IFERROR(__xludf.DUMMYFUNCTION("""COMPUTED_VALUE"""),"1. Microwave")</f>
        <v>1. Microwave</v>
      </c>
      <c r="B3752" s="4" t="str">
        <f>IFERROR(__xludf.DUMMYFUNCTION("""COMPUTED_VALUE"""),"1")</f>
        <v>1</v>
      </c>
      <c r="C3752" s="5" t="str">
        <f>IFERROR(__xludf.DUMMYFUNCTION("""COMPUTED_VALUE"""),"https://drive.google.com/file/d/1Z6A1PjDTDkoV0CzzbpxMIRpTGSXiN9H0/view?usp=drivesdk")</f>
        <v>https://drive.google.com/file/d/1Z6A1PjDTDkoV0CzzbpxMIRpTGSXiN9H0/view?usp=drivesdk</v>
      </c>
      <c r="D3752" s="12"/>
      <c r="E3752" s="11">
        <v>3790.0</v>
      </c>
      <c r="F3752" s="2"/>
    </row>
    <row r="3753" ht="1.5" customHeight="1">
      <c r="A3753" s="4" t="str">
        <f>IFERROR(__xludf.DUMMYFUNCTION("""COMPUTED_VALUE"""),"1. Microwave")</f>
        <v>1. Microwave</v>
      </c>
      <c r="B3753" s="4" t="str">
        <f>IFERROR(__xludf.DUMMYFUNCTION("""COMPUTED_VALUE"""),"1")</f>
        <v>1</v>
      </c>
      <c r="C3753" s="5" t="str">
        <f>IFERROR(__xludf.DUMMYFUNCTION("""COMPUTED_VALUE"""),"https://drive.google.com/file/d/1c2P3PI3YyxkVy5yHfd_0f2OS7gkugndp/view?usp=drivesdk")</f>
        <v>https://drive.google.com/file/d/1c2P3PI3YyxkVy5yHfd_0f2OS7gkugndp/view?usp=drivesdk</v>
      </c>
      <c r="D3753" s="12"/>
      <c r="E3753" s="11">
        <v>3791.0</v>
      </c>
      <c r="F3753" s="2"/>
    </row>
    <row r="3754" ht="1.5" customHeight="1">
      <c r="A3754" s="4" t="str">
        <f>IFERROR(__xludf.DUMMYFUNCTION("""COMPUTED_VALUE"""),"1. Microwave")</f>
        <v>1. Microwave</v>
      </c>
      <c r="B3754" s="4" t="str">
        <f>IFERROR(__xludf.DUMMYFUNCTION("""COMPUTED_VALUE"""),"1")</f>
        <v>1</v>
      </c>
      <c r="C3754" s="5" t="str">
        <f>IFERROR(__xludf.DUMMYFUNCTION("""COMPUTED_VALUE"""),"https://drive.google.com/file/d/1SZH6RjWa4eytzsK1nizkjdfeW3RgnUhs/view?usp=drivesdk")</f>
        <v>https://drive.google.com/file/d/1SZH6RjWa4eytzsK1nizkjdfeW3RgnUhs/view?usp=drivesdk</v>
      </c>
      <c r="D3754" s="12"/>
      <c r="E3754" s="11">
        <v>3792.0</v>
      </c>
      <c r="F3754" s="2"/>
    </row>
    <row r="3755" ht="1.5" customHeight="1">
      <c r="A3755" s="4" t="str">
        <f>IFERROR(__xludf.DUMMYFUNCTION("""COMPUTED_VALUE"""),"1. Microwave")</f>
        <v>1. Microwave</v>
      </c>
      <c r="B3755" s="4" t="str">
        <f>IFERROR(__xludf.DUMMYFUNCTION("""COMPUTED_VALUE"""),"1")</f>
        <v>1</v>
      </c>
      <c r="C3755" s="5" t="str">
        <f>IFERROR(__xludf.DUMMYFUNCTION("""COMPUTED_VALUE"""),"https://drive.google.com/file/d/1PjuisACg24H0-5Aj4Grx97VcBclh435g/view?usp=drivesdk")</f>
        <v>https://drive.google.com/file/d/1PjuisACg24H0-5Aj4Grx97VcBclh435g/view?usp=drivesdk</v>
      </c>
      <c r="D3755" s="12"/>
      <c r="E3755" s="11">
        <v>3793.0</v>
      </c>
      <c r="F3755" s="2"/>
    </row>
    <row r="3756" ht="1.5" customHeight="1">
      <c r="A3756" s="4" t="str">
        <f>IFERROR(__xludf.DUMMYFUNCTION("""COMPUTED_VALUE"""),"12. Faye")</f>
        <v>12. Faye</v>
      </c>
      <c r="B3756" s="4" t="str">
        <f>IFERROR(__xludf.DUMMYFUNCTION("""COMPUTED_VALUE"""),"12")</f>
        <v>12</v>
      </c>
      <c r="C3756" s="5" t="str">
        <f>IFERROR(__xludf.DUMMYFUNCTION("""COMPUTED_VALUE"""),"https://drive.google.com/file/d/1qivgAIu2OKO8rgwNp0R3ZS1bhm2wfDZs/view?usp=drivesdk")</f>
        <v>https://drive.google.com/file/d/1qivgAIu2OKO8rgwNp0R3ZS1bhm2wfDZs/view?usp=drivesdk</v>
      </c>
      <c r="D3756" s="12"/>
      <c r="E3756" s="11">
        <v>3794.0</v>
      </c>
      <c r="F3756" s="2"/>
    </row>
    <row r="3757" ht="1.5" customHeight="1">
      <c r="A3757" s="4" t="str">
        <f>IFERROR(__xludf.DUMMYFUNCTION("""COMPUTED_VALUE"""),"1. Microwave")</f>
        <v>1. Microwave</v>
      </c>
      <c r="B3757" s="4" t="str">
        <f>IFERROR(__xludf.DUMMYFUNCTION("""COMPUTED_VALUE"""),"1")</f>
        <v>1</v>
      </c>
      <c r="C3757" s="5" t="str">
        <f>IFERROR(__xludf.DUMMYFUNCTION("""COMPUTED_VALUE"""),"https://drive.google.com/file/d/1OUqD0DLA0gXZc7cE7XnaFDPlemS8K3r3/view?usp=drivesdk")</f>
        <v>https://drive.google.com/file/d/1OUqD0DLA0gXZc7cE7XnaFDPlemS8K3r3/view?usp=drivesdk</v>
      </c>
      <c r="D3757" s="12"/>
      <c r="E3757" s="11">
        <v>3795.0</v>
      </c>
      <c r="F3757" s="2"/>
    </row>
    <row r="3758" ht="1.5" customHeight="1">
      <c r="A3758" s="4" t="str">
        <f>IFERROR(__xludf.DUMMYFUNCTION("""COMPUTED_VALUE"""),"1. Microwave")</f>
        <v>1. Microwave</v>
      </c>
      <c r="B3758" s="4" t="str">
        <f>IFERROR(__xludf.DUMMYFUNCTION("""COMPUTED_VALUE"""),"1")</f>
        <v>1</v>
      </c>
      <c r="C3758" s="5" t="str">
        <f>IFERROR(__xludf.DUMMYFUNCTION("""COMPUTED_VALUE"""),"https://drive.google.com/file/d/1-d91pXUzQtBZF-U7i405xn5zLTPS0eCr/view?usp=drivesdk")</f>
        <v>https://drive.google.com/file/d/1-d91pXUzQtBZF-U7i405xn5zLTPS0eCr/view?usp=drivesdk</v>
      </c>
      <c r="D3758" s="12"/>
      <c r="E3758" s="11">
        <v>3796.0</v>
      </c>
      <c r="F3758" s="2"/>
    </row>
    <row r="3759" ht="1.5" customHeight="1">
      <c r="A3759" s="4" t="str">
        <f>IFERROR(__xludf.DUMMYFUNCTION("""COMPUTED_VALUE"""),"1. Microwave")</f>
        <v>1. Microwave</v>
      </c>
      <c r="B3759" s="4" t="str">
        <f>IFERROR(__xludf.DUMMYFUNCTION("""COMPUTED_VALUE"""),"1")</f>
        <v>1</v>
      </c>
      <c r="C3759" s="5" t="str">
        <f>IFERROR(__xludf.DUMMYFUNCTION("""COMPUTED_VALUE"""),"https://drive.google.com/file/d/17Gf0RXGVXUlSMzmwmBD12igi9ARRar8h/view?usp=drivesdk")</f>
        <v>https://drive.google.com/file/d/17Gf0RXGVXUlSMzmwmBD12igi9ARRar8h/view?usp=drivesdk</v>
      </c>
      <c r="D3759" s="12"/>
      <c r="E3759" s="11">
        <v>3797.0</v>
      </c>
      <c r="F3759" s="2"/>
    </row>
    <row r="3760" ht="1.5" customHeight="1">
      <c r="A3760" s="4" t="str">
        <f>IFERROR(__xludf.DUMMYFUNCTION("""COMPUTED_VALUE"""),"1. Microwave")</f>
        <v>1. Microwave</v>
      </c>
      <c r="B3760" s="4" t="str">
        <f>IFERROR(__xludf.DUMMYFUNCTION("""COMPUTED_VALUE"""),"1")</f>
        <v>1</v>
      </c>
      <c r="C3760" s="5" t="str">
        <f>IFERROR(__xludf.DUMMYFUNCTION("""COMPUTED_VALUE"""),"https://drive.google.com/file/d/1OPdka7zWHeCOFUsr5rwNR3SnBYVS8n2B/view?usp=drivesdk")</f>
        <v>https://drive.google.com/file/d/1OPdka7zWHeCOFUsr5rwNR3SnBYVS8n2B/view?usp=drivesdk</v>
      </c>
      <c r="D3760" s="12"/>
      <c r="E3760" s="11">
        <v>3798.0</v>
      </c>
      <c r="F3760" s="2"/>
    </row>
    <row r="3761" ht="1.5" customHeight="1">
      <c r="A3761" s="4" t="str">
        <f>IFERROR(__xludf.DUMMYFUNCTION("""COMPUTED_VALUE"""),"1. Microwave")</f>
        <v>1. Microwave</v>
      </c>
      <c r="B3761" s="4" t="str">
        <f>IFERROR(__xludf.DUMMYFUNCTION("""COMPUTED_VALUE"""),"1")</f>
        <v>1</v>
      </c>
      <c r="C3761" s="5" t="str">
        <f>IFERROR(__xludf.DUMMYFUNCTION("""COMPUTED_VALUE"""),"https://drive.google.com/file/d/1zMxQRpdO2huFYTrqTrfepz67gScRgzkc/view?usp=drivesdk")</f>
        <v>https://drive.google.com/file/d/1zMxQRpdO2huFYTrqTrfepz67gScRgzkc/view?usp=drivesdk</v>
      </c>
      <c r="D3761" s="12"/>
      <c r="E3761" s="11">
        <v>3799.0</v>
      </c>
      <c r="F3761" s="2"/>
    </row>
    <row r="3762" ht="1.5" customHeight="1">
      <c r="A3762" s="4" t="str">
        <f>IFERROR(__xludf.DUMMYFUNCTION("""COMPUTED_VALUE"""),"12. Faye, 38. Winston, 47. Nefarious, 58. Eden, 41. Gregory")</f>
        <v>12. Faye, 38. Winston, 47. Nefarious, 58. Eden, 41. Gregory</v>
      </c>
      <c r="B3762" s="4" t="str">
        <f>IFERROR(__xludf.DUMMYFUNCTION("""COMPUTED_VALUE"""),"12, 38, 47, 58, 41")</f>
        <v>12, 38, 47, 58, 41</v>
      </c>
      <c r="C3762" s="5" t="str">
        <f>IFERROR(__xludf.DUMMYFUNCTION("""COMPUTED_VALUE"""),"https://drive.google.com/file/d/1iLoqQQL0QLXSDHXJSWQlFz5aZ1MFVs1q/view?usp=drivesdk")</f>
        <v>https://drive.google.com/file/d/1iLoqQQL0QLXSDHXJSWQlFz5aZ1MFVs1q/view?usp=drivesdk</v>
      </c>
      <c r="D3762" s="12"/>
      <c r="E3762" s="11">
        <v>3800.0</v>
      </c>
      <c r="F3762" s="2"/>
    </row>
    <row r="3763" ht="1.5" customHeight="1">
      <c r="A3763" s="4" t="str">
        <f>IFERROR(__xludf.DUMMYFUNCTION("""COMPUTED_VALUE"""),"45. Boots, 42. Rubber, 47. Nefarious, 12. Faye, 38. Winston")</f>
        <v>45. Boots, 42. Rubber, 47. Nefarious, 12. Faye, 38. Winston</v>
      </c>
      <c r="B3763" s="4" t="str">
        <f>IFERROR(__xludf.DUMMYFUNCTION("""COMPUTED_VALUE"""),"45, 42, 47, 12, 38")</f>
        <v>45, 42, 47, 12, 38</v>
      </c>
      <c r="C3763" s="5" t="str">
        <f>IFERROR(__xludf.DUMMYFUNCTION("""COMPUTED_VALUE"""),"https://drive.google.com/file/d/1Xw-Zx4LBTOp0BqkBbcNmTtw1CT_9Pbb4/view?usp=drivesdk")</f>
        <v>https://drive.google.com/file/d/1Xw-Zx4LBTOp0BqkBbcNmTtw1CT_9Pbb4/view?usp=drivesdk</v>
      </c>
      <c r="D3763" s="12"/>
      <c r="E3763" s="11">
        <v>3801.0</v>
      </c>
      <c r="F3763" s="2"/>
    </row>
    <row r="3764" ht="1.5" customHeight="1">
      <c r="A3764" s="4" t="str">
        <f>IFERROR(__xludf.DUMMYFUNCTION("""COMPUTED_VALUE"""),"12. Faye, 38. Winston, 58. Eden, 41. Gregory, 42. Rubber, 45. Boots")</f>
        <v>12. Faye, 38. Winston, 58. Eden, 41. Gregory, 42. Rubber, 45. Boots</v>
      </c>
      <c r="B3764" s="4" t="str">
        <f>IFERROR(__xludf.DUMMYFUNCTION("""COMPUTED_VALUE"""),"12, 38, 58, 41, 42, 45")</f>
        <v>12, 38, 58, 41, 42, 45</v>
      </c>
      <c r="C3764" s="5" t="str">
        <f>IFERROR(__xludf.DUMMYFUNCTION("""COMPUTED_VALUE"""),"https://drive.google.com/file/d/1AhkUW1L_cXgfzYS9DEJRd0Vj8QU0h4tK/view?usp=drivesdk")</f>
        <v>https://drive.google.com/file/d/1AhkUW1L_cXgfzYS9DEJRd0Vj8QU0h4tK/view?usp=drivesdk</v>
      </c>
      <c r="D3764" s="12"/>
      <c r="E3764" s="11">
        <v>3802.0</v>
      </c>
      <c r="F3764" s="2"/>
    </row>
    <row r="3765" ht="1.5" customHeight="1">
      <c r="A3765" s="4" t="str">
        <f>IFERROR(__xludf.DUMMYFUNCTION("""COMPUTED_VALUE"""),"12. Faye, 38. Winston, 58. Eden, 41. Gregory, 42. Rubber, 45. Boots")</f>
        <v>12. Faye, 38. Winston, 58. Eden, 41. Gregory, 42. Rubber, 45. Boots</v>
      </c>
      <c r="B3765" s="4" t="str">
        <f>IFERROR(__xludf.DUMMYFUNCTION("""COMPUTED_VALUE"""),"12, 38, 58, 41, 42, 45")</f>
        <v>12, 38, 58, 41, 42, 45</v>
      </c>
      <c r="C3765" s="5" t="str">
        <f>IFERROR(__xludf.DUMMYFUNCTION("""COMPUTED_VALUE"""),"https://drive.google.com/file/d/1pkx3vb6PgGuCjyR9HbW7k3ctHDOQAiRX/view?usp=drivesdk")</f>
        <v>https://drive.google.com/file/d/1pkx3vb6PgGuCjyR9HbW7k3ctHDOQAiRX/view?usp=drivesdk</v>
      </c>
      <c r="D3765" s="12"/>
      <c r="E3765" s="11">
        <v>3803.0</v>
      </c>
      <c r="F3765" s="2"/>
    </row>
    <row r="3766" ht="1.5" customHeight="1">
      <c r="A3766" s="4" t="str">
        <f>IFERROR(__xludf.DUMMYFUNCTION("""COMPUTED_VALUE"""),"41. Gregory, 58. Eden")</f>
        <v>41. Gregory, 58. Eden</v>
      </c>
      <c r="B3766" s="4" t="str">
        <f>IFERROR(__xludf.DUMMYFUNCTION("""COMPUTED_VALUE"""),"41, 58")</f>
        <v>41, 58</v>
      </c>
      <c r="C3766" s="5" t="str">
        <f>IFERROR(__xludf.DUMMYFUNCTION("""COMPUTED_VALUE"""),"https://drive.google.com/file/d/1Ly3B1Ln7gN-DnziiXDVWsCJrLxXOtMtu/view?usp=drivesdk")</f>
        <v>https://drive.google.com/file/d/1Ly3B1Ln7gN-DnziiXDVWsCJrLxXOtMtu/view?usp=drivesdk</v>
      </c>
      <c r="D3766" s="12"/>
      <c r="E3766" s="11">
        <v>3804.0</v>
      </c>
      <c r="F3766" s="2"/>
    </row>
    <row r="3767" ht="1.5" customHeight="1">
      <c r="A3767" s="4" t="str">
        <f>IFERROR(__xludf.DUMMYFUNCTION("""COMPUTED_VALUE"""),"45. Boots, 12. Faye, 38. Winston, 42. Rubber")</f>
        <v>45. Boots, 12. Faye, 38. Winston, 42. Rubber</v>
      </c>
      <c r="B3767" s="4" t="str">
        <f>IFERROR(__xludf.DUMMYFUNCTION("""COMPUTED_VALUE"""),"45, 12, 38, 42")</f>
        <v>45, 12, 38, 42</v>
      </c>
      <c r="C3767" s="5" t="str">
        <f>IFERROR(__xludf.DUMMYFUNCTION("""COMPUTED_VALUE"""),"https://drive.google.com/file/d/1TET3_QNdxUpiNnwfVogPR2PsdQdZdAbg/view?usp=drivesdk")</f>
        <v>https://drive.google.com/file/d/1TET3_QNdxUpiNnwfVogPR2PsdQdZdAbg/view?usp=drivesdk</v>
      </c>
      <c r="D3767" s="12"/>
      <c r="E3767" s="11">
        <v>3805.0</v>
      </c>
      <c r="F3767" s="2"/>
    </row>
    <row r="3768" ht="1.5" customHeight="1">
      <c r="A3768" s="4" t="str">
        <f>IFERROR(__xludf.DUMMYFUNCTION("""COMPUTED_VALUE"""),"45. Boots, 12. Faye, 38. Winston, 42. Rubber")</f>
        <v>45. Boots, 12. Faye, 38. Winston, 42. Rubber</v>
      </c>
      <c r="B3768" s="4" t="str">
        <f>IFERROR(__xludf.DUMMYFUNCTION("""COMPUTED_VALUE"""),"45, 12, 38, 42")</f>
        <v>45, 12, 38, 42</v>
      </c>
      <c r="C3768" s="5" t="str">
        <f>IFERROR(__xludf.DUMMYFUNCTION("""COMPUTED_VALUE"""),"https://drive.google.com/file/d/1gUL_8s520aAeIrWXiMHe0TnmnvWtvkCY/view?usp=drivesdk")</f>
        <v>https://drive.google.com/file/d/1gUL_8s520aAeIrWXiMHe0TnmnvWtvkCY/view?usp=drivesdk</v>
      </c>
      <c r="D3768" s="12"/>
      <c r="E3768" s="11">
        <v>3806.0</v>
      </c>
      <c r="F3768" s="2"/>
    </row>
    <row r="3769" ht="1.5" customHeight="1">
      <c r="A3769" s="4" t="str">
        <f>IFERROR(__xludf.DUMMYFUNCTION("""COMPUTED_VALUE"""),"58. Eden, 41. Gregory")</f>
        <v>58. Eden, 41. Gregory</v>
      </c>
      <c r="B3769" s="4" t="str">
        <f>IFERROR(__xludf.DUMMYFUNCTION("""COMPUTED_VALUE"""),"58, 41")</f>
        <v>58, 41</v>
      </c>
      <c r="C3769" s="5" t="str">
        <f>IFERROR(__xludf.DUMMYFUNCTION("""COMPUTED_VALUE"""),"https://drive.google.com/file/d/1A-DvotCiND511Enf5PmEiL-zDl73YcvR/view?usp=drivesdk")</f>
        <v>https://drive.google.com/file/d/1A-DvotCiND511Enf5PmEiL-zDl73YcvR/view?usp=drivesdk</v>
      </c>
      <c r="D3769" s="12"/>
      <c r="E3769" s="11">
        <v>3807.0</v>
      </c>
      <c r="F3769" s="2"/>
    </row>
    <row r="3770" ht="1.5" customHeight="1">
      <c r="A3770" s="4" t="str">
        <f>IFERROR(__xludf.DUMMYFUNCTION("""COMPUTED_VALUE"""),"45. Boots, 58. Eden, 38. Winston, 47. Nefarious, 42. Rubber, 12. Faye")</f>
        <v>45. Boots, 58. Eden, 38. Winston, 47. Nefarious, 42. Rubber, 12. Faye</v>
      </c>
      <c r="B3770" s="4" t="str">
        <f>IFERROR(__xludf.DUMMYFUNCTION("""COMPUTED_VALUE"""),"45, 58, 38, 47, 42, 12")</f>
        <v>45, 58, 38, 47, 42, 12</v>
      </c>
      <c r="C3770" s="5" t="str">
        <f>IFERROR(__xludf.DUMMYFUNCTION("""COMPUTED_VALUE"""),"https://drive.google.com/file/d/1N3GCG6T5TMrlvUVtYn6sW4wHmOHbtwvw/view?usp=drivesdk")</f>
        <v>https://drive.google.com/file/d/1N3GCG6T5TMrlvUVtYn6sW4wHmOHbtwvw/view?usp=drivesdk</v>
      </c>
      <c r="D3770" s="12"/>
      <c r="E3770" s="11">
        <v>3808.0</v>
      </c>
      <c r="F3770" s="2"/>
    </row>
    <row r="3771" ht="1.5" customHeight="1">
      <c r="A3771" s="4" t="str">
        <f>IFERROR(__xludf.DUMMYFUNCTION("""COMPUTED_VALUE"""),"61. Cassie")</f>
        <v>61. Cassie</v>
      </c>
      <c r="B3771" s="4" t="str">
        <f>IFERROR(__xludf.DUMMYFUNCTION("""COMPUTED_VALUE"""),"61")</f>
        <v>61</v>
      </c>
      <c r="C3771" s="5" t="str">
        <f>IFERROR(__xludf.DUMMYFUNCTION("""COMPUTED_VALUE"""),"https://drive.google.com/file/d/1nK_yoeW66CSyJ8B2cn0uLQOlo86rGfJD/view?usp=drivesdk")</f>
        <v>https://drive.google.com/file/d/1nK_yoeW66CSyJ8B2cn0uLQOlo86rGfJD/view?usp=drivesdk</v>
      </c>
      <c r="D3771" s="12"/>
      <c r="E3771" s="11">
        <v>3809.0</v>
      </c>
      <c r="F3771" s="2"/>
    </row>
    <row r="3772" ht="1.5" customHeight="1">
      <c r="A3772" s="4" t="str">
        <f>IFERROR(__xludf.DUMMYFUNCTION("""COMPUTED_VALUE"""),"38. Winston, 42. Rubber, 45. Boots, 12. Faye, 58. Eden")</f>
        <v>38. Winston, 42. Rubber, 45. Boots, 12. Faye, 58. Eden</v>
      </c>
      <c r="B3772" s="4" t="str">
        <f>IFERROR(__xludf.DUMMYFUNCTION("""COMPUTED_VALUE"""),"38, 42, 45, 12, 58")</f>
        <v>38, 42, 45, 12, 58</v>
      </c>
      <c r="C3772" s="5" t="str">
        <f>IFERROR(__xludf.DUMMYFUNCTION("""COMPUTED_VALUE"""),"https://drive.google.com/file/d/1B9I4EyC0b6aGV8I1umimg2ymNvL7Tenh/view?usp=drivesdk")</f>
        <v>https://drive.google.com/file/d/1B9I4EyC0b6aGV8I1umimg2ymNvL7Tenh/view?usp=drivesdk</v>
      </c>
      <c r="D3772" s="12"/>
      <c r="E3772" s="11">
        <v>3810.0</v>
      </c>
      <c r="F3772" s="2"/>
    </row>
    <row r="3773" ht="1.5" customHeight="1">
      <c r="A3773" s="4" t="str">
        <f>IFERROR(__xludf.DUMMYFUNCTION("""COMPUTED_VALUE"""),"47. Nefarious, 38. Winston, 12. Faye, 58. Eden")</f>
        <v>47. Nefarious, 38. Winston, 12. Faye, 58. Eden</v>
      </c>
      <c r="B3773" s="4" t="str">
        <f>IFERROR(__xludf.DUMMYFUNCTION("""COMPUTED_VALUE"""),"47, 38, 12, 58")</f>
        <v>47, 38, 12, 58</v>
      </c>
      <c r="C3773" s="5" t="str">
        <f>IFERROR(__xludf.DUMMYFUNCTION("""COMPUTED_VALUE"""),"https://drive.google.com/file/d/1KWOj3YKsHWHbmVPi7DkPGQRxpilyKrH_/view?usp=drivesdk")</f>
        <v>https://drive.google.com/file/d/1KWOj3YKsHWHbmVPi7DkPGQRxpilyKrH_/view?usp=drivesdk</v>
      </c>
      <c r="D3773" s="12"/>
      <c r="E3773" s="11">
        <v>3811.0</v>
      </c>
      <c r="F3773" s="2"/>
    </row>
    <row r="3774" ht="1.5" customHeight="1">
      <c r="A3774" s="4" t="str">
        <f>IFERROR(__xludf.DUMMYFUNCTION("""COMPUTED_VALUE"""),"12. Faye, 38. Winston, 58. Eden, 41. Gregory")</f>
        <v>12. Faye, 38. Winston, 58. Eden, 41. Gregory</v>
      </c>
      <c r="B3774" s="4" t="str">
        <f>IFERROR(__xludf.DUMMYFUNCTION("""COMPUTED_VALUE"""),"12, 38, 58, 41")</f>
        <v>12, 38, 58, 41</v>
      </c>
      <c r="C3774" s="5" t="str">
        <f>IFERROR(__xludf.DUMMYFUNCTION("""COMPUTED_VALUE"""),"https://drive.google.com/file/d/1OSQajSJ_W5aZegQJaptpZ15prondYl9B/view?usp=drivesdk")</f>
        <v>https://drive.google.com/file/d/1OSQajSJ_W5aZegQJaptpZ15prondYl9B/view?usp=drivesdk</v>
      </c>
      <c r="D3774" s="12"/>
      <c r="E3774" s="11">
        <v>3812.0</v>
      </c>
      <c r="F3774" s="2"/>
    </row>
    <row r="3775" ht="1.5" customHeight="1">
      <c r="A3775" s="4" t="str">
        <f>IFERROR(__xludf.DUMMYFUNCTION("""COMPUTED_VALUE"""),"45. Boots, 12. Faye, 42. Rubber, 38. Winston")</f>
        <v>45. Boots, 12. Faye, 42. Rubber, 38. Winston</v>
      </c>
      <c r="B3775" s="4" t="str">
        <f>IFERROR(__xludf.DUMMYFUNCTION("""COMPUTED_VALUE"""),"45, 12, 42, 38")</f>
        <v>45, 12, 42, 38</v>
      </c>
      <c r="C3775" s="5" t="str">
        <f>IFERROR(__xludf.DUMMYFUNCTION("""COMPUTED_VALUE"""),"https://drive.google.com/file/d/16gPu70olpFO5_N4Y6TGRiy9bCjOghwnH/view?usp=drivesdk")</f>
        <v>https://drive.google.com/file/d/16gPu70olpFO5_N4Y6TGRiy9bCjOghwnH/view?usp=drivesdk</v>
      </c>
      <c r="D3775" s="12"/>
      <c r="E3775" s="11">
        <v>3813.0</v>
      </c>
      <c r="F3775" s="2"/>
    </row>
    <row r="3776" ht="1.5" customHeight="1">
      <c r="A3776" s="4" t="str">
        <f>IFERROR(__xludf.DUMMYFUNCTION("""COMPUTED_VALUE"""),"45. Boots, 12. Faye, 38. Winston, 58. Eden, 41. Gregory")</f>
        <v>45. Boots, 12. Faye, 38. Winston, 58. Eden, 41. Gregory</v>
      </c>
      <c r="B3776" s="4" t="str">
        <f>IFERROR(__xludf.DUMMYFUNCTION("""COMPUTED_VALUE"""),"45, 12, 38, 58, 41")</f>
        <v>45, 12, 38, 58, 41</v>
      </c>
      <c r="C3776" s="5" t="str">
        <f>IFERROR(__xludf.DUMMYFUNCTION("""COMPUTED_VALUE"""),"https://drive.google.com/file/d/12__nV2OJFrcSy_1qR3JYX4zzVnr2XKkG/view?usp=drivesdk")</f>
        <v>https://drive.google.com/file/d/12__nV2OJFrcSy_1qR3JYX4zzVnr2XKkG/view?usp=drivesdk</v>
      </c>
      <c r="D3776" s="12"/>
      <c r="E3776" s="11">
        <v>3814.0</v>
      </c>
      <c r="F3776" s="2"/>
    </row>
    <row r="3777" ht="1.5" customHeight="1">
      <c r="A3777" s="4" t="str">
        <f>IFERROR(__xludf.DUMMYFUNCTION("""COMPUTED_VALUE"""),"58. Eden, 41. Gregory")</f>
        <v>58. Eden, 41. Gregory</v>
      </c>
      <c r="B3777" s="4" t="str">
        <f>IFERROR(__xludf.DUMMYFUNCTION("""COMPUTED_VALUE"""),"58, 41")</f>
        <v>58, 41</v>
      </c>
      <c r="C3777" s="5" t="str">
        <f>IFERROR(__xludf.DUMMYFUNCTION("""COMPUTED_VALUE"""),"https://drive.google.com/file/d/1htrYsNGeR41b3dxYoxax-rbAj9F6Cy8r/view?usp=drivesdk")</f>
        <v>https://drive.google.com/file/d/1htrYsNGeR41b3dxYoxax-rbAj9F6Cy8r/view?usp=drivesdk</v>
      </c>
      <c r="D3777" s="12"/>
      <c r="E3777" s="11">
        <v>3815.0</v>
      </c>
      <c r="F3777" s="2"/>
    </row>
    <row r="3778" ht="1.5" customHeight="1">
      <c r="A3778" s="4" t="str">
        <f>IFERROR(__xludf.DUMMYFUNCTION("""COMPUTED_VALUE"""),"61. Cassie")</f>
        <v>61. Cassie</v>
      </c>
      <c r="B3778" s="4" t="str">
        <f>IFERROR(__xludf.DUMMYFUNCTION("""COMPUTED_VALUE"""),"61")</f>
        <v>61</v>
      </c>
      <c r="C3778" s="5" t="str">
        <f>IFERROR(__xludf.DUMMYFUNCTION("""COMPUTED_VALUE"""),"https://drive.google.com/file/d/1NIOj_zDzaYjD1n7WMqQA88WkVL28fMM_/view?usp=drivesdk")</f>
        <v>https://drive.google.com/file/d/1NIOj_zDzaYjD1n7WMqQA88WkVL28fMM_/view?usp=drivesdk</v>
      </c>
      <c r="D3778" s="12"/>
      <c r="E3778" s="11">
        <v>3816.0</v>
      </c>
      <c r="F3778" s="2"/>
    </row>
    <row r="3779" ht="1.5" customHeight="1">
      <c r="A3779" s="4" t="str">
        <f>IFERROR(__xludf.DUMMYFUNCTION("""COMPUTED_VALUE"""),"45. Boots")</f>
        <v>45. Boots</v>
      </c>
      <c r="B3779" s="4" t="str">
        <f>IFERROR(__xludf.DUMMYFUNCTION("""COMPUTED_VALUE"""),"45")</f>
        <v>45</v>
      </c>
      <c r="C3779" s="5" t="str">
        <f>IFERROR(__xludf.DUMMYFUNCTION("""COMPUTED_VALUE"""),"https://drive.google.com/file/d/1zLd7_lJBTh4TLVyuhNPVFO1O1RiOE66v/view?usp=drivesdk")</f>
        <v>https://drive.google.com/file/d/1zLd7_lJBTh4TLVyuhNPVFO1O1RiOE66v/view?usp=drivesdk</v>
      </c>
      <c r="D3779" s="12"/>
      <c r="E3779" s="11">
        <v>3817.0</v>
      </c>
      <c r="F3779" s="2"/>
    </row>
    <row r="3780" ht="1.5" customHeight="1">
      <c r="A3780" s="4" t="str">
        <f>IFERROR(__xludf.DUMMYFUNCTION("""COMPUTED_VALUE"""),"12. Faye, 45. Boots")</f>
        <v>12. Faye, 45. Boots</v>
      </c>
      <c r="B3780" s="4" t="str">
        <f>IFERROR(__xludf.DUMMYFUNCTION("""COMPUTED_VALUE"""),"12, 45")</f>
        <v>12, 45</v>
      </c>
      <c r="C3780" s="5" t="str">
        <f>IFERROR(__xludf.DUMMYFUNCTION("""COMPUTED_VALUE"""),"https://drive.google.com/file/d/12-IwRVtDwesAt_nBu6vZeLWGv-Gj-FDy/view?usp=drivesdk")</f>
        <v>https://drive.google.com/file/d/12-IwRVtDwesAt_nBu6vZeLWGv-Gj-FDy/view?usp=drivesdk</v>
      </c>
      <c r="D3780" s="12"/>
      <c r="E3780" s="11">
        <v>3818.0</v>
      </c>
      <c r="F3780" s="2"/>
    </row>
    <row r="3781" ht="1.5" customHeight="1">
      <c r="A3781" s="4" t="str">
        <f>IFERROR(__xludf.DUMMYFUNCTION("""COMPUTED_VALUE"""),"42. Rubber, 12. Faye")</f>
        <v>42. Rubber, 12. Faye</v>
      </c>
      <c r="B3781" s="4" t="str">
        <f>IFERROR(__xludf.DUMMYFUNCTION("""COMPUTED_VALUE"""),"42, 12")</f>
        <v>42, 12</v>
      </c>
      <c r="C3781" s="5" t="str">
        <f>IFERROR(__xludf.DUMMYFUNCTION("""COMPUTED_VALUE"""),"https://drive.google.com/file/d/1fQX8nPE8gfL2LCFu9Iuk6cEJxGjdUi41/view?usp=drivesdk")</f>
        <v>https://drive.google.com/file/d/1fQX8nPE8gfL2LCFu9Iuk6cEJxGjdUi41/view?usp=drivesdk</v>
      </c>
      <c r="D3781" s="12"/>
      <c r="E3781" s="11">
        <v>3819.0</v>
      </c>
      <c r="F3781" s="2"/>
    </row>
    <row r="3782" ht="1.5" customHeight="1">
      <c r="A3782" s="4" t="str">
        <f>IFERROR(__xludf.DUMMYFUNCTION("""COMPUTED_VALUE"""),"61. Cassie")</f>
        <v>61. Cassie</v>
      </c>
      <c r="B3782" s="4" t="str">
        <f>IFERROR(__xludf.DUMMYFUNCTION("""COMPUTED_VALUE"""),"61")</f>
        <v>61</v>
      </c>
      <c r="C3782" s="5" t="str">
        <f>IFERROR(__xludf.DUMMYFUNCTION("""COMPUTED_VALUE"""),"https://drive.google.com/file/d/1ZttQ_Y4XAD5Db617qBodZ2LFcCHTAhX2/view?usp=drivesdk")</f>
        <v>https://drive.google.com/file/d/1ZttQ_Y4XAD5Db617qBodZ2LFcCHTAhX2/view?usp=drivesdk</v>
      </c>
      <c r="D3782" s="12"/>
      <c r="E3782" s="11">
        <v>3820.0</v>
      </c>
      <c r="F3782" s="2"/>
    </row>
    <row r="3783" ht="1.5" customHeight="1">
      <c r="A3783" s="4" t="str">
        <f>IFERROR(__xludf.DUMMYFUNCTION("""COMPUTED_VALUE"""),"47. Nefarious, 38. Winston, 12. Faye, 45. Boots")</f>
        <v>47. Nefarious, 38. Winston, 12. Faye, 45. Boots</v>
      </c>
      <c r="B3783" s="4" t="str">
        <f>IFERROR(__xludf.DUMMYFUNCTION("""COMPUTED_VALUE"""),"47, 38, 12, 45")</f>
        <v>47, 38, 12, 45</v>
      </c>
      <c r="C3783" s="5" t="str">
        <f>IFERROR(__xludf.DUMMYFUNCTION("""COMPUTED_VALUE"""),"https://drive.google.com/file/d/1_kWU5sy5gXBJ5MYknp9OxPUjDZ28kUQh/view?usp=drivesdk")</f>
        <v>https://drive.google.com/file/d/1_kWU5sy5gXBJ5MYknp9OxPUjDZ28kUQh/view?usp=drivesdk</v>
      </c>
      <c r="D3783" s="12"/>
      <c r="E3783" s="11">
        <v>3821.0</v>
      </c>
      <c r="F3783" s="2"/>
    </row>
    <row r="3784" ht="1.5" customHeight="1">
      <c r="A3784" s="4" t="str">
        <f>IFERROR(__xludf.DUMMYFUNCTION("""COMPUTED_VALUE"""),"61. Cassie")</f>
        <v>61. Cassie</v>
      </c>
      <c r="B3784" s="4" t="str">
        <f>IFERROR(__xludf.DUMMYFUNCTION("""COMPUTED_VALUE"""),"61")</f>
        <v>61</v>
      </c>
      <c r="C3784" s="5" t="str">
        <f>IFERROR(__xludf.DUMMYFUNCTION("""COMPUTED_VALUE"""),"https://drive.google.com/file/d/14mXPZS3r0qllAIz9MEifiWl0j9AUqSZf/view?usp=drivesdk")</f>
        <v>https://drive.google.com/file/d/14mXPZS3r0qllAIz9MEifiWl0j9AUqSZf/view?usp=drivesdk</v>
      </c>
      <c r="D3784" s="12"/>
      <c r="E3784" s="11">
        <v>3822.0</v>
      </c>
      <c r="F3784" s="2"/>
    </row>
    <row r="3785" ht="1.5" customHeight="1">
      <c r="A3785" s="4" t="str">
        <f>IFERROR(__xludf.DUMMYFUNCTION("""COMPUTED_VALUE"""),"42. Rubber, 45. Boots, 12. Faye, 47. Nefarious")</f>
        <v>42. Rubber, 45. Boots, 12. Faye, 47. Nefarious</v>
      </c>
      <c r="B3785" s="4" t="str">
        <f>IFERROR(__xludf.DUMMYFUNCTION("""COMPUTED_VALUE"""),"42, 45, 12, 47")</f>
        <v>42, 45, 12, 47</v>
      </c>
      <c r="C3785" s="5" t="str">
        <f>IFERROR(__xludf.DUMMYFUNCTION("""COMPUTED_VALUE"""),"https://drive.google.com/file/d/1ptpDpGMS-HrolXnXmks_n-JflJ-SVdi0/view?usp=drivesdk")</f>
        <v>https://drive.google.com/file/d/1ptpDpGMS-HrolXnXmks_n-JflJ-SVdi0/view?usp=drivesdk</v>
      </c>
      <c r="D3785" s="12"/>
      <c r="E3785" s="11">
        <v>3823.0</v>
      </c>
      <c r="F3785" s="2"/>
    </row>
    <row r="3786" ht="1.5" customHeight="1">
      <c r="A3786" s="4" t="str">
        <f>IFERROR(__xludf.DUMMYFUNCTION("""COMPUTED_VALUE"""),"42. Rubber, 45. Boots, 12. Faye, 47. Nefarious")</f>
        <v>42. Rubber, 45. Boots, 12. Faye, 47. Nefarious</v>
      </c>
      <c r="B3786" s="4" t="str">
        <f>IFERROR(__xludf.DUMMYFUNCTION("""COMPUTED_VALUE"""),"42, 45, 12, 47")</f>
        <v>42, 45, 12, 47</v>
      </c>
      <c r="C3786" s="5" t="str">
        <f>IFERROR(__xludf.DUMMYFUNCTION("""COMPUTED_VALUE"""),"https://drive.google.com/file/d/1eAfa5xX4gND4jIuonMYnqzVLF2yy_iaf/view?usp=drivesdk")</f>
        <v>https://drive.google.com/file/d/1eAfa5xX4gND4jIuonMYnqzVLF2yy_iaf/view?usp=drivesdk</v>
      </c>
      <c r="D3786" s="12"/>
      <c r="E3786" s="11">
        <v>3824.0</v>
      </c>
      <c r="F3786" s="2"/>
    </row>
    <row r="3787" ht="1.5" customHeight="1">
      <c r="A3787" s="4" t="str">
        <f>IFERROR(__xludf.DUMMYFUNCTION("""COMPUTED_VALUE"""),"42. Rubber, 38. Winston, 12. Faye, 47. Nefarious")</f>
        <v>42. Rubber, 38. Winston, 12. Faye, 47. Nefarious</v>
      </c>
      <c r="B3787" s="4" t="str">
        <f>IFERROR(__xludf.DUMMYFUNCTION("""COMPUTED_VALUE"""),"42, 38, 12, 47")</f>
        <v>42, 38, 12, 47</v>
      </c>
      <c r="C3787" s="5" t="str">
        <f>IFERROR(__xludf.DUMMYFUNCTION("""COMPUTED_VALUE"""),"https://drive.google.com/file/d/1nhMZUOin9zzIwYBvp-9D58-HEDgTonZc/view?usp=drivesdk")</f>
        <v>https://drive.google.com/file/d/1nhMZUOin9zzIwYBvp-9D58-HEDgTonZc/view?usp=drivesdk</v>
      </c>
      <c r="D3787" s="12"/>
      <c r="E3787" s="11">
        <v>3825.0</v>
      </c>
      <c r="F3787" s="2"/>
    </row>
    <row r="3788" ht="1.5" customHeight="1">
      <c r="A3788" s="4" t="str">
        <f>IFERROR(__xludf.DUMMYFUNCTION("""COMPUTED_VALUE"""),"45. Boots, 42. Rubber, 12. Faye, 47. Nefarious")</f>
        <v>45. Boots, 42. Rubber, 12. Faye, 47. Nefarious</v>
      </c>
      <c r="B3788" s="4" t="str">
        <f>IFERROR(__xludf.DUMMYFUNCTION("""COMPUTED_VALUE"""),"45, 42, 12, 47")</f>
        <v>45, 42, 12, 47</v>
      </c>
      <c r="C3788" s="5" t="str">
        <f>IFERROR(__xludf.DUMMYFUNCTION("""COMPUTED_VALUE"""),"https://drive.google.com/file/d/16ylOI19QtFChHhf3tVjcW2zZ4wjEPMyB/view?usp=drivesdk")</f>
        <v>https://drive.google.com/file/d/16ylOI19QtFChHhf3tVjcW2zZ4wjEPMyB/view?usp=drivesdk</v>
      </c>
      <c r="D3788" s="12"/>
      <c r="E3788" s="11">
        <v>3826.0</v>
      </c>
      <c r="F3788" s="2"/>
    </row>
    <row r="3789" ht="1.5" customHeight="1">
      <c r="A3789" s="4" t="str">
        <f>IFERROR(__xludf.DUMMYFUNCTION("""COMPUTED_VALUE"""),"45. Boots, 42. Rubber, 12. Faye, 47. Nefarious")</f>
        <v>45. Boots, 42. Rubber, 12. Faye, 47. Nefarious</v>
      </c>
      <c r="B3789" s="4" t="str">
        <f>IFERROR(__xludf.DUMMYFUNCTION("""COMPUTED_VALUE"""),"45, 42, 12, 47")</f>
        <v>45, 42, 12, 47</v>
      </c>
      <c r="C3789" s="5" t="str">
        <f>IFERROR(__xludf.DUMMYFUNCTION("""COMPUTED_VALUE"""),"https://drive.google.com/file/d/10J50vriEhUQ2OW115G0cr8L5juDJ_Cwn/view?usp=drivesdk")</f>
        <v>https://drive.google.com/file/d/10J50vriEhUQ2OW115G0cr8L5juDJ_Cwn/view?usp=drivesdk</v>
      </c>
      <c r="D3789" s="12"/>
      <c r="E3789" s="11">
        <v>3827.0</v>
      </c>
      <c r="F3789" s="2"/>
    </row>
    <row r="3790" ht="1.5" customHeight="1">
      <c r="A3790" s="4" t="str">
        <f>IFERROR(__xludf.DUMMYFUNCTION("""COMPUTED_VALUE"""),"42. Rubber, 12. Faye")</f>
        <v>42. Rubber, 12. Faye</v>
      </c>
      <c r="B3790" s="4" t="str">
        <f>IFERROR(__xludf.DUMMYFUNCTION("""COMPUTED_VALUE"""),"42, 12")</f>
        <v>42, 12</v>
      </c>
      <c r="C3790" s="5" t="str">
        <f>IFERROR(__xludf.DUMMYFUNCTION("""COMPUTED_VALUE"""),"https://drive.google.com/file/d/1As6jPMFY3L2kTjeP4O9066OrzRq32kvU/view?usp=drivesdk")</f>
        <v>https://drive.google.com/file/d/1As6jPMFY3L2kTjeP4O9066OrzRq32kvU/view?usp=drivesdk</v>
      </c>
      <c r="D3790" s="12"/>
      <c r="E3790" s="11">
        <v>3828.0</v>
      </c>
      <c r="F3790" s="2"/>
    </row>
    <row r="3791" ht="1.5" customHeight="1">
      <c r="A3791" s="4" t="str">
        <f>IFERROR(__xludf.DUMMYFUNCTION("""COMPUTED_VALUE"""),"38. Winston")</f>
        <v>38. Winston</v>
      </c>
      <c r="B3791" s="4" t="str">
        <f>IFERROR(__xludf.DUMMYFUNCTION("""COMPUTED_VALUE"""),"38")</f>
        <v>38</v>
      </c>
      <c r="C3791" s="5" t="str">
        <f>IFERROR(__xludf.DUMMYFUNCTION("""COMPUTED_VALUE"""),"https://drive.google.com/file/d/1z137gnEOqV4GiGSd_jyyTWp0Rk3RLqQ9/view?usp=drivesdk")</f>
        <v>https://drive.google.com/file/d/1z137gnEOqV4GiGSd_jyyTWp0Rk3RLqQ9/view?usp=drivesdk</v>
      </c>
      <c r="D3791" s="12"/>
      <c r="E3791" s="11">
        <v>3829.0</v>
      </c>
      <c r="F3791" s="2"/>
    </row>
    <row r="3792" ht="1.5" customHeight="1">
      <c r="A3792" s="4" t="str">
        <f>IFERROR(__xludf.DUMMYFUNCTION("""COMPUTED_VALUE"""),"61. Cassie")</f>
        <v>61. Cassie</v>
      </c>
      <c r="B3792" s="4" t="str">
        <f>IFERROR(__xludf.DUMMYFUNCTION("""COMPUTED_VALUE"""),"61")</f>
        <v>61</v>
      </c>
      <c r="C3792" s="5" t="str">
        <f>IFERROR(__xludf.DUMMYFUNCTION("""COMPUTED_VALUE"""),"https://drive.google.com/file/d/1UTt1FKxlelptNHGRQIGgm7z5FlfXi2UP/view?usp=drivesdk")</f>
        <v>https://drive.google.com/file/d/1UTt1FKxlelptNHGRQIGgm7z5FlfXi2UP/view?usp=drivesdk</v>
      </c>
      <c r="D3792" s="12"/>
      <c r="E3792" s="11">
        <v>3830.0</v>
      </c>
      <c r="F3792" s="2"/>
    </row>
    <row r="3793" ht="1.5" customHeight="1">
      <c r="A3793" s="4" t="str">
        <f>IFERROR(__xludf.DUMMYFUNCTION("""COMPUTED_VALUE"""),"45. Boots, 42. Rubber, 12. Faye, 47. Nefarious, 38. Winston")</f>
        <v>45. Boots, 42. Rubber, 12. Faye, 47. Nefarious, 38. Winston</v>
      </c>
      <c r="B3793" s="4" t="str">
        <f>IFERROR(__xludf.DUMMYFUNCTION("""COMPUTED_VALUE"""),"45, 42, 12, 47, 38")</f>
        <v>45, 42, 12, 47, 38</v>
      </c>
      <c r="C3793" s="5" t="str">
        <f>IFERROR(__xludf.DUMMYFUNCTION("""COMPUTED_VALUE"""),"https://drive.google.com/file/d/1cq2ESp_cLhcL_iXB-tkTNGDJa4UupxkK/view?usp=drivesdk")</f>
        <v>https://drive.google.com/file/d/1cq2ESp_cLhcL_iXB-tkTNGDJa4UupxkK/view?usp=drivesdk</v>
      </c>
      <c r="D3793" s="12"/>
      <c r="E3793" s="11">
        <v>3831.0</v>
      </c>
      <c r="F3793" s="2"/>
    </row>
    <row r="3794" ht="1.5" customHeight="1">
      <c r="A3794" s="4" t="str">
        <f>IFERROR(__xludf.DUMMYFUNCTION("""COMPUTED_VALUE"""),"43. Bruno, 61. Cassie")</f>
        <v>43. Bruno, 61. Cassie</v>
      </c>
      <c r="B3794" s="4" t="str">
        <f>IFERROR(__xludf.DUMMYFUNCTION("""COMPUTED_VALUE"""),"43, 61")</f>
        <v>43, 61</v>
      </c>
      <c r="C3794" s="5" t="str">
        <f>IFERROR(__xludf.DUMMYFUNCTION("""COMPUTED_VALUE"""),"https://drive.google.com/file/d/1KrDEOaimpi-8Aq_6iVaXdWgTEzyJWXgi/view?usp=drivesdk")</f>
        <v>https://drive.google.com/file/d/1KrDEOaimpi-8Aq_6iVaXdWgTEzyJWXgi/view?usp=drivesdk</v>
      </c>
      <c r="D3794" s="12"/>
      <c r="E3794" s="11">
        <v>3832.0</v>
      </c>
      <c r="F3794" s="2"/>
    </row>
    <row r="3795" ht="1.5" customHeight="1">
      <c r="A3795" s="4" t="str">
        <f>IFERROR(__xludf.DUMMYFUNCTION("""COMPUTED_VALUE"""),"45. Boots, 42. Rubber, 12. Faye, 47. Nefarious, 38. Winston")</f>
        <v>45. Boots, 42. Rubber, 12. Faye, 47. Nefarious, 38. Winston</v>
      </c>
      <c r="B3795" s="4" t="str">
        <f>IFERROR(__xludf.DUMMYFUNCTION("""COMPUTED_VALUE"""),"45, 42, 12, 47, 38")</f>
        <v>45, 42, 12, 47, 38</v>
      </c>
      <c r="C3795" s="5" t="str">
        <f>IFERROR(__xludf.DUMMYFUNCTION("""COMPUTED_VALUE"""),"https://drive.google.com/file/d/1bTBR6Jb8q8Gxm45FfhixxHoH4K8JqCYO/view?usp=drivesdk")</f>
        <v>https://drive.google.com/file/d/1bTBR6Jb8q8Gxm45FfhixxHoH4K8JqCYO/view?usp=drivesdk</v>
      </c>
      <c r="D3795" s="12"/>
      <c r="E3795" s="11">
        <v>3833.0</v>
      </c>
      <c r="F3795" s="2"/>
    </row>
    <row r="3796" ht="1.5" customHeight="1">
      <c r="A3796" s="4" t="str">
        <f>IFERROR(__xludf.DUMMYFUNCTION("""COMPUTED_VALUE"""),"45. Boots, 42. Rubber, 12. Faye, 47. Nefarious, 38. Winston")</f>
        <v>45. Boots, 42. Rubber, 12. Faye, 47. Nefarious, 38. Winston</v>
      </c>
      <c r="B3796" s="4" t="str">
        <f>IFERROR(__xludf.DUMMYFUNCTION("""COMPUTED_VALUE"""),"45, 42, 12, 47, 38")</f>
        <v>45, 42, 12, 47, 38</v>
      </c>
      <c r="C3796" s="5" t="str">
        <f>IFERROR(__xludf.DUMMYFUNCTION("""COMPUTED_VALUE"""),"https://drive.google.com/file/d/12WEnb3L0_dXTk2UeydsxuSEBTSZbBPuw/view?usp=drivesdk")</f>
        <v>https://drive.google.com/file/d/12WEnb3L0_dXTk2UeydsxuSEBTSZbBPuw/view?usp=drivesdk</v>
      </c>
      <c r="D3796" s="12"/>
      <c r="E3796" s="11">
        <v>3834.0</v>
      </c>
      <c r="F3796" s="2"/>
    </row>
    <row r="3797" ht="1.5" customHeight="1">
      <c r="A3797" s="4" t="str">
        <f>IFERROR(__xludf.DUMMYFUNCTION("""COMPUTED_VALUE"""),"43. Bruno, 61. Cassie")</f>
        <v>43. Bruno, 61. Cassie</v>
      </c>
      <c r="B3797" s="4" t="str">
        <f>IFERROR(__xludf.DUMMYFUNCTION("""COMPUTED_VALUE"""),"43, 61")</f>
        <v>43, 61</v>
      </c>
      <c r="C3797" s="5" t="str">
        <f>IFERROR(__xludf.DUMMYFUNCTION("""COMPUTED_VALUE"""),"https://drive.google.com/file/d/1WFv8iW-TDbCYrNCenCAvxPs3IYMnh34-/view?usp=drivesdk")</f>
        <v>https://drive.google.com/file/d/1WFv8iW-TDbCYrNCenCAvxPs3IYMnh34-/view?usp=drivesdk</v>
      </c>
      <c r="D3797" s="12"/>
      <c r="E3797" s="11">
        <v>3835.0</v>
      </c>
      <c r="F3797" s="2"/>
    </row>
    <row r="3798" ht="1.5" customHeight="1">
      <c r="A3798" s="4" t="str">
        <f>IFERROR(__xludf.DUMMYFUNCTION("""COMPUTED_VALUE"""),"45. Boots, 42. Rubber, 12. Faye, 47. Nefarious")</f>
        <v>45. Boots, 42. Rubber, 12. Faye, 47. Nefarious</v>
      </c>
      <c r="B3798" s="4" t="str">
        <f>IFERROR(__xludf.DUMMYFUNCTION("""COMPUTED_VALUE"""),"45, 42, 12, 47")</f>
        <v>45, 42, 12, 47</v>
      </c>
      <c r="C3798" s="5" t="str">
        <f>IFERROR(__xludf.DUMMYFUNCTION("""COMPUTED_VALUE"""),"https://drive.google.com/file/d/1DNHZXImlu9Fl1nb5NXcPMzu9bLHTMBvt/view?usp=drivesdk")</f>
        <v>https://drive.google.com/file/d/1DNHZXImlu9Fl1nb5NXcPMzu9bLHTMBvt/view?usp=drivesdk</v>
      </c>
      <c r="D3798" s="12"/>
      <c r="E3798" s="11">
        <v>3836.0</v>
      </c>
      <c r="F3798" s="2"/>
    </row>
    <row r="3799" ht="1.5" customHeight="1">
      <c r="A3799" s="4" t="str">
        <f>IFERROR(__xludf.DUMMYFUNCTION("""COMPUTED_VALUE"""),"61. Cassie")</f>
        <v>61. Cassie</v>
      </c>
      <c r="B3799" s="4" t="str">
        <f>IFERROR(__xludf.DUMMYFUNCTION("""COMPUTED_VALUE"""),"61")</f>
        <v>61</v>
      </c>
      <c r="C3799" s="5" t="str">
        <f>IFERROR(__xludf.DUMMYFUNCTION("""COMPUTED_VALUE"""),"https://drive.google.com/file/d/1rUdFsLJJz-cCJxwMbXvUlZWwylAZBY95/view?usp=drivesdk")</f>
        <v>https://drive.google.com/file/d/1rUdFsLJJz-cCJxwMbXvUlZWwylAZBY95/view?usp=drivesdk</v>
      </c>
      <c r="D3799" s="12"/>
      <c r="E3799" s="11">
        <v>3837.0</v>
      </c>
      <c r="F3799" s="2"/>
    </row>
    <row r="3800" ht="1.5" customHeight="1">
      <c r="A3800" s="4" t="str">
        <f>IFERROR(__xludf.DUMMYFUNCTION("""COMPUTED_VALUE"""),"45. Boots, 42. Rubber, 12. Faye, 47. Nefarious, 38. Winston")</f>
        <v>45. Boots, 42. Rubber, 12. Faye, 47. Nefarious, 38. Winston</v>
      </c>
      <c r="B3800" s="4" t="str">
        <f>IFERROR(__xludf.DUMMYFUNCTION("""COMPUTED_VALUE"""),"45, 42, 12, 47, 38")</f>
        <v>45, 42, 12, 47, 38</v>
      </c>
      <c r="C3800" s="5" t="str">
        <f>IFERROR(__xludf.DUMMYFUNCTION("""COMPUTED_VALUE"""),"https://drive.google.com/file/d/1ycaUV1MBITCmdBtX_FDTERvtSgTVTQRQ/view?usp=drivesdk")</f>
        <v>https://drive.google.com/file/d/1ycaUV1MBITCmdBtX_FDTERvtSgTVTQRQ/view?usp=drivesdk</v>
      </c>
      <c r="D3800" s="12"/>
      <c r="E3800" s="11">
        <v>3838.0</v>
      </c>
      <c r="F3800" s="2"/>
    </row>
    <row r="3801" ht="1.5" customHeight="1">
      <c r="A3801" s="4" t="str">
        <f>IFERROR(__xludf.DUMMYFUNCTION("""COMPUTED_VALUE"""),"43. Bruno, 61. Cassie")</f>
        <v>43. Bruno, 61. Cassie</v>
      </c>
      <c r="B3801" s="4" t="str">
        <f>IFERROR(__xludf.DUMMYFUNCTION("""COMPUTED_VALUE"""),"43, 61")</f>
        <v>43, 61</v>
      </c>
      <c r="C3801" s="5" t="str">
        <f>IFERROR(__xludf.DUMMYFUNCTION("""COMPUTED_VALUE"""),"https://drive.google.com/file/d/1h9tN3fwllgTWNoWCu95GhQ9mm3B2ucrc/view?usp=drivesdk")</f>
        <v>https://drive.google.com/file/d/1h9tN3fwllgTWNoWCu95GhQ9mm3B2ucrc/view?usp=drivesdk</v>
      </c>
      <c r="D3801" s="12"/>
      <c r="E3801" s="11">
        <v>3839.0</v>
      </c>
      <c r="F3801" s="2"/>
    </row>
    <row r="3802" ht="1.5" customHeight="1">
      <c r="A3802" s="4" t="str">
        <f>IFERROR(__xludf.DUMMYFUNCTION("""COMPUTED_VALUE"""),"45. Boots, 42. Rubber, 12. Faye, 47. Nefarious")</f>
        <v>45. Boots, 42. Rubber, 12. Faye, 47. Nefarious</v>
      </c>
      <c r="B3802" s="4" t="str">
        <f>IFERROR(__xludf.DUMMYFUNCTION("""COMPUTED_VALUE"""),"45, 42, 12, 47")</f>
        <v>45, 42, 12, 47</v>
      </c>
      <c r="C3802" s="5" t="str">
        <f>IFERROR(__xludf.DUMMYFUNCTION("""COMPUTED_VALUE"""),"https://drive.google.com/file/d/1ZNHg7CRhtCpJVYxV_Vmms6YmkrhEknSE/view?usp=drivesdk")</f>
        <v>https://drive.google.com/file/d/1ZNHg7CRhtCpJVYxV_Vmms6YmkrhEknSE/view?usp=drivesdk</v>
      </c>
      <c r="D3802" s="12"/>
      <c r="E3802" s="11">
        <v>3840.0</v>
      </c>
      <c r="F3802" s="2"/>
    </row>
    <row r="3803" ht="1.5" customHeight="1">
      <c r="A3803" s="4" t="str">
        <f>IFERROR(__xludf.DUMMYFUNCTION("""COMPUTED_VALUE"""),"38. Winston, 42. Rubber, 45. Boots, 47. Nefarious")</f>
        <v>38. Winston, 42. Rubber, 45. Boots, 47. Nefarious</v>
      </c>
      <c r="B3803" s="4" t="str">
        <f>IFERROR(__xludf.DUMMYFUNCTION("""COMPUTED_VALUE"""),"38, 42, 45, 47")</f>
        <v>38, 42, 45, 47</v>
      </c>
      <c r="C3803" s="5" t="str">
        <f>IFERROR(__xludf.DUMMYFUNCTION("""COMPUTED_VALUE"""),"https://drive.google.com/file/d/1KDYoG-SO_X4OTtJZO6N_zfLg20viYkh8/view?usp=drivesdk")</f>
        <v>https://drive.google.com/file/d/1KDYoG-SO_X4OTtJZO6N_zfLg20viYkh8/view?usp=drivesdk</v>
      </c>
      <c r="D3803" s="12"/>
      <c r="E3803" s="11">
        <v>3841.0</v>
      </c>
      <c r="F3803" s="2"/>
    </row>
    <row r="3804" ht="1.5" customHeight="1">
      <c r="A3804" s="4" t="str">
        <f>IFERROR(__xludf.DUMMYFUNCTION("""COMPUTED_VALUE"""),"43. Bruno, 61. Cassie")</f>
        <v>43. Bruno, 61. Cassie</v>
      </c>
      <c r="B3804" s="4" t="str">
        <f>IFERROR(__xludf.DUMMYFUNCTION("""COMPUTED_VALUE"""),"43, 61")</f>
        <v>43, 61</v>
      </c>
      <c r="C3804" s="5" t="str">
        <f>IFERROR(__xludf.DUMMYFUNCTION("""COMPUTED_VALUE"""),"https://drive.google.com/file/d/1yyGzQoXgkBibIKOy8-kNYr1vCCdGoypP/view?usp=drivesdk")</f>
        <v>https://drive.google.com/file/d/1yyGzQoXgkBibIKOy8-kNYr1vCCdGoypP/view?usp=drivesdk</v>
      </c>
      <c r="D3804" s="12"/>
      <c r="E3804" s="11">
        <v>3842.0</v>
      </c>
      <c r="F3804" s="2"/>
    </row>
    <row r="3805" ht="1.5" customHeight="1">
      <c r="A3805" s="4" t="str">
        <f>IFERROR(__xludf.DUMMYFUNCTION("""COMPUTED_VALUE"""),"42. Rubber, 45. Boots, 12. Faye")</f>
        <v>42. Rubber, 45. Boots, 12. Faye</v>
      </c>
      <c r="B3805" s="4" t="str">
        <f>IFERROR(__xludf.DUMMYFUNCTION("""COMPUTED_VALUE"""),"42, 45, 12")</f>
        <v>42, 45, 12</v>
      </c>
      <c r="C3805" s="5" t="str">
        <f>IFERROR(__xludf.DUMMYFUNCTION("""COMPUTED_VALUE"""),"https://drive.google.com/file/d/1gBL37H9xfDENLp0EMNCRTcQbjn51mAc3/view?usp=drivesdk")</f>
        <v>https://drive.google.com/file/d/1gBL37H9xfDENLp0EMNCRTcQbjn51mAc3/view?usp=drivesdk</v>
      </c>
      <c r="D3805" s="12"/>
      <c r="E3805" s="11">
        <v>3843.0</v>
      </c>
      <c r="F3805" s="2"/>
    </row>
    <row r="3806" ht="1.5" customHeight="1">
      <c r="A3806" s="4" t="str">
        <f>IFERROR(__xludf.DUMMYFUNCTION("""COMPUTED_VALUE"""),"47. Nefarious, 12. Faye, 42. Rubber")</f>
        <v>47. Nefarious, 12. Faye, 42. Rubber</v>
      </c>
      <c r="B3806" s="4" t="str">
        <f>IFERROR(__xludf.DUMMYFUNCTION("""COMPUTED_VALUE"""),"47, 12, 42")</f>
        <v>47, 12, 42</v>
      </c>
      <c r="C3806" s="5" t="str">
        <f>IFERROR(__xludf.DUMMYFUNCTION("""COMPUTED_VALUE"""),"https://drive.google.com/file/d/1UGAFIAAo7I8ZrF-Zm1FlZ5yEqEov2rCy/view?usp=drivesdk")</f>
        <v>https://drive.google.com/file/d/1UGAFIAAo7I8ZrF-Zm1FlZ5yEqEov2rCy/view?usp=drivesdk</v>
      </c>
      <c r="D3806" s="12"/>
      <c r="E3806" s="11">
        <v>3844.0</v>
      </c>
      <c r="F3806" s="2"/>
    </row>
    <row r="3807" ht="1.5" customHeight="1">
      <c r="A3807" s="4" t="str">
        <f>IFERROR(__xludf.DUMMYFUNCTION("""COMPUTED_VALUE"""),"47. Nefarious, 12. Faye, 42. Rubber")</f>
        <v>47. Nefarious, 12. Faye, 42. Rubber</v>
      </c>
      <c r="B3807" s="4" t="str">
        <f>IFERROR(__xludf.DUMMYFUNCTION("""COMPUTED_VALUE"""),"47, 12, 42")</f>
        <v>47, 12, 42</v>
      </c>
      <c r="C3807" s="5" t="str">
        <f>IFERROR(__xludf.DUMMYFUNCTION("""COMPUTED_VALUE"""),"https://drive.google.com/file/d/1AvBJQXCueqMXdYaOCh9gs4v3W1V7hE9m/view?usp=drivesdk")</f>
        <v>https://drive.google.com/file/d/1AvBJQXCueqMXdYaOCh9gs4v3W1V7hE9m/view?usp=drivesdk</v>
      </c>
      <c r="D3807" s="12"/>
      <c r="E3807" s="11">
        <v>3845.0</v>
      </c>
      <c r="F3807" s="2"/>
    </row>
    <row r="3808" ht="1.5" customHeight="1">
      <c r="A3808" s="4" t="str">
        <f>IFERROR(__xludf.DUMMYFUNCTION("""COMPUTED_VALUE"""),"45. Boots, 42. Rubber, 47. Nefarious, 38. Winston")</f>
        <v>45. Boots, 42. Rubber, 47. Nefarious, 38. Winston</v>
      </c>
      <c r="B3808" s="4" t="str">
        <f>IFERROR(__xludf.DUMMYFUNCTION("""COMPUTED_VALUE"""),"45, 42, 47, 38")</f>
        <v>45, 42, 47, 38</v>
      </c>
      <c r="C3808" s="5" t="str">
        <f>IFERROR(__xludf.DUMMYFUNCTION("""COMPUTED_VALUE"""),"https://drive.google.com/file/d/1s5ovObeJSUFTAxyFwPipI5Om_C8lzI8i/view?usp=drivesdk")</f>
        <v>https://drive.google.com/file/d/1s5ovObeJSUFTAxyFwPipI5Om_C8lzI8i/view?usp=drivesdk</v>
      </c>
      <c r="D3808" s="12"/>
      <c r="E3808" s="11">
        <v>3846.0</v>
      </c>
      <c r="F3808" s="2"/>
    </row>
    <row r="3809" ht="1.5" customHeight="1">
      <c r="A3809" s="4" t="str">
        <f>IFERROR(__xludf.DUMMYFUNCTION("""COMPUTED_VALUE"""),"47. Nefarious, 12. Faye, 42. Rubber")</f>
        <v>47. Nefarious, 12. Faye, 42. Rubber</v>
      </c>
      <c r="B3809" s="4" t="str">
        <f>IFERROR(__xludf.DUMMYFUNCTION("""COMPUTED_VALUE"""),"47, 12, 42")</f>
        <v>47, 12, 42</v>
      </c>
      <c r="C3809" s="5" t="str">
        <f>IFERROR(__xludf.DUMMYFUNCTION("""COMPUTED_VALUE"""),"https://drive.google.com/file/d/12IS6j-0_GXoX4qPefhuzOZ3haEobr30U/view?usp=drivesdk")</f>
        <v>https://drive.google.com/file/d/12IS6j-0_GXoX4qPefhuzOZ3haEobr30U/view?usp=drivesdk</v>
      </c>
      <c r="D3809" s="12"/>
      <c r="E3809" s="11">
        <v>3847.0</v>
      </c>
      <c r="F3809" s="2"/>
    </row>
    <row r="3810" ht="1.5" customHeight="1">
      <c r="A3810" s="4" t="str">
        <f>IFERROR(__xludf.DUMMYFUNCTION("""COMPUTED_VALUE"""),"43. Bruno")</f>
        <v>43. Bruno</v>
      </c>
      <c r="B3810" s="4" t="str">
        <f>IFERROR(__xludf.DUMMYFUNCTION("""COMPUTED_VALUE"""),"43")</f>
        <v>43</v>
      </c>
      <c r="C3810" s="5" t="str">
        <f>IFERROR(__xludf.DUMMYFUNCTION("""COMPUTED_VALUE"""),"https://drive.google.com/file/d/14NEcka3iIkA3xEnFIPTvGtCO6ni5tIJZ/view?usp=drivesdk")</f>
        <v>https://drive.google.com/file/d/14NEcka3iIkA3xEnFIPTvGtCO6ni5tIJZ/view?usp=drivesdk</v>
      </c>
      <c r="D3810" s="12"/>
      <c r="E3810" s="11">
        <v>3848.0</v>
      </c>
      <c r="F3810" s="2"/>
    </row>
    <row r="3811" ht="1.5" customHeight="1">
      <c r="A3811" s="4" t="str">
        <f>IFERROR(__xludf.DUMMYFUNCTION("""COMPUTED_VALUE"""),"43. Bruno")</f>
        <v>43. Bruno</v>
      </c>
      <c r="B3811" s="4" t="str">
        <f>IFERROR(__xludf.DUMMYFUNCTION("""COMPUTED_VALUE"""),"43")</f>
        <v>43</v>
      </c>
      <c r="C3811" s="5" t="str">
        <f>IFERROR(__xludf.DUMMYFUNCTION("""COMPUTED_VALUE"""),"https://drive.google.com/file/d/1RYmvQ6haWHFc6Dtn7kjYmZiIZG6jNZsk/view?usp=drivesdk")</f>
        <v>https://drive.google.com/file/d/1RYmvQ6haWHFc6Dtn7kjYmZiIZG6jNZsk/view?usp=drivesdk</v>
      </c>
      <c r="D3811" s="12"/>
      <c r="E3811" s="11">
        <v>3849.0</v>
      </c>
      <c r="F3811" s="2"/>
    </row>
    <row r="3812" ht="1.5" customHeight="1">
      <c r="A3812" s="4" t="str">
        <f>IFERROR(__xludf.DUMMYFUNCTION("""COMPUTED_VALUE"""),"43. Bruno")</f>
        <v>43. Bruno</v>
      </c>
      <c r="B3812" s="4" t="str">
        <f>IFERROR(__xludf.DUMMYFUNCTION("""COMPUTED_VALUE"""),"43")</f>
        <v>43</v>
      </c>
      <c r="C3812" s="5" t="str">
        <f>IFERROR(__xludf.DUMMYFUNCTION("""COMPUTED_VALUE"""),"https://drive.google.com/file/d/1FCOhXyRNsVIfZz4qLpRkmrzRqesW_dAz/view?usp=drivesdk")</f>
        <v>https://drive.google.com/file/d/1FCOhXyRNsVIfZz4qLpRkmrzRqesW_dAz/view?usp=drivesdk</v>
      </c>
      <c r="D3812" s="12"/>
      <c r="E3812" s="11">
        <v>3850.0</v>
      </c>
      <c r="F3812" s="2"/>
    </row>
    <row r="3813" ht="1.5" customHeight="1">
      <c r="A3813" s="4" t="str">
        <f>IFERROR(__xludf.DUMMYFUNCTION("""COMPUTED_VALUE"""),"43. Bruno")</f>
        <v>43. Bruno</v>
      </c>
      <c r="B3813" s="4" t="str">
        <f>IFERROR(__xludf.DUMMYFUNCTION("""COMPUTED_VALUE"""),"43")</f>
        <v>43</v>
      </c>
      <c r="C3813" s="5" t="str">
        <f>IFERROR(__xludf.DUMMYFUNCTION("""COMPUTED_VALUE"""),"https://drive.google.com/file/d/1lIsT94fFcEP7gBhLHSYQturCvJsE9rlw/view?usp=drivesdk")</f>
        <v>https://drive.google.com/file/d/1lIsT94fFcEP7gBhLHSYQturCvJsE9rlw/view?usp=drivesdk</v>
      </c>
      <c r="D3813" s="12"/>
      <c r="E3813" s="11">
        <v>3851.0</v>
      </c>
      <c r="F3813" s="2"/>
    </row>
    <row r="3814" ht="1.5" customHeight="1">
      <c r="A3814" s="4" t="str">
        <f>IFERROR(__xludf.DUMMYFUNCTION("""COMPUTED_VALUE"""),"43. Bruno")</f>
        <v>43. Bruno</v>
      </c>
      <c r="B3814" s="4" t="str">
        <f>IFERROR(__xludf.DUMMYFUNCTION("""COMPUTED_VALUE"""),"43")</f>
        <v>43</v>
      </c>
      <c r="C3814" s="5" t="str">
        <f>IFERROR(__xludf.DUMMYFUNCTION("""COMPUTED_VALUE"""),"https://drive.google.com/file/d/1RyCDfnBEAtGVUCppHyvF0TC_5TRv3dxf/view?usp=drivesdk")</f>
        <v>https://drive.google.com/file/d/1RyCDfnBEAtGVUCppHyvF0TC_5TRv3dxf/view?usp=drivesdk</v>
      </c>
      <c r="D3814" s="12"/>
      <c r="E3814" s="11">
        <v>3852.0</v>
      </c>
      <c r="F3814" s="2"/>
    </row>
    <row r="3815" ht="1.5" customHeight="1">
      <c r="A3815" s="4" t="str">
        <f>IFERROR(__xludf.DUMMYFUNCTION("""COMPUTED_VALUE"""),"43. Bruno, 12. Faye, 47. Nefarious, 42. Rubber, 38. Winston, 45. Boots")</f>
        <v>43. Bruno, 12. Faye, 47. Nefarious, 42. Rubber, 38. Winston, 45. Boots</v>
      </c>
      <c r="B3815" s="4" t="str">
        <f>IFERROR(__xludf.DUMMYFUNCTION("""COMPUTED_VALUE"""),"43, 12, 47, 42, 38, 45")</f>
        <v>43, 12, 47, 42, 38, 45</v>
      </c>
      <c r="C3815" s="5" t="str">
        <f>IFERROR(__xludf.DUMMYFUNCTION("""COMPUTED_VALUE"""),"https://drive.google.com/file/d/16hRj48Jlr1UPkWdEvDIWDCjHM5PyGQIu/view?usp=drivesdk")</f>
        <v>https://drive.google.com/file/d/16hRj48Jlr1UPkWdEvDIWDCjHM5PyGQIu/view?usp=drivesdk</v>
      </c>
      <c r="D3815" s="12"/>
      <c r="E3815" s="11">
        <v>3853.0</v>
      </c>
      <c r="F3815" s="2"/>
    </row>
    <row r="3816" ht="1.5" customHeight="1">
      <c r="A3816" s="4" t="str">
        <f>IFERROR(__xludf.DUMMYFUNCTION("""COMPUTED_VALUE"""),"43. Bruno")</f>
        <v>43. Bruno</v>
      </c>
      <c r="B3816" s="4" t="str">
        <f>IFERROR(__xludf.DUMMYFUNCTION("""COMPUTED_VALUE"""),"43")</f>
        <v>43</v>
      </c>
      <c r="C3816" s="5" t="str">
        <f>IFERROR(__xludf.DUMMYFUNCTION("""COMPUTED_VALUE"""),"https://drive.google.com/file/d/1DYOKOlWzr3j8rhEAU2kmTgk5ZdYGTPTT/view?usp=drivesdk")</f>
        <v>https://drive.google.com/file/d/1DYOKOlWzr3j8rhEAU2kmTgk5ZdYGTPTT/view?usp=drivesdk</v>
      </c>
      <c r="D3816" s="12"/>
      <c r="E3816" s="11">
        <v>3854.0</v>
      </c>
      <c r="F3816" s="2"/>
    </row>
    <row r="3817" ht="1.5" customHeight="1">
      <c r="A3817" s="4" t="str">
        <f>IFERROR(__xludf.DUMMYFUNCTION("""COMPUTED_VALUE"""),"43. Bruno")</f>
        <v>43. Bruno</v>
      </c>
      <c r="B3817" s="4" t="str">
        <f>IFERROR(__xludf.DUMMYFUNCTION("""COMPUTED_VALUE"""),"43")</f>
        <v>43</v>
      </c>
      <c r="C3817" s="5" t="str">
        <f>IFERROR(__xludf.DUMMYFUNCTION("""COMPUTED_VALUE"""),"https://drive.google.com/file/d/1GaIN7qbBtL-Ccw-zScE4h6lYyca6vQE8/view?usp=drivesdk")</f>
        <v>https://drive.google.com/file/d/1GaIN7qbBtL-Ccw-zScE4h6lYyca6vQE8/view?usp=drivesdk</v>
      </c>
      <c r="D3817" s="12"/>
      <c r="E3817" s="11">
        <v>3855.0</v>
      </c>
      <c r="F3817" s="2"/>
    </row>
    <row r="3818" ht="1.5" customHeight="1">
      <c r="A3818" s="4" t="str">
        <f>IFERROR(__xludf.DUMMYFUNCTION("""COMPUTED_VALUE"""),"43. Bruno")</f>
        <v>43. Bruno</v>
      </c>
      <c r="B3818" s="4" t="str">
        <f>IFERROR(__xludf.DUMMYFUNCTION("""COMPUTED_VALUE"""),"43")</f>
        <v>43</v>
      </c>
      <c r="C3818" s="5" t="str">
        <f>IFERROR(__xludf.DUMMYFUNCTION("""COMPUTED_VALUE"""),"https://drive.google.com/file/d/14W6AShTyczVjLXkY1vC-b6sZIBU6kZau/view?usp=drivesdk")</f>
        <v>https://drive.google.com/file/d/14W6AShTyczVjLXkY1vC-b6sZIBU6kZau/view?usp=drivesdk</v>
      </c>
      <c r="D3818" s="12"/>
      <c r="E3818" s="11">
        <v>3856.0</v>
      </c>
      <c r="F3818" s="2"/>
    </row>
    <row r="3819" ht="1.5" customHeight="1">
      <c r="A3819" s="4" t="str">
        <f>IFERROR(__xludf.DUMMYFUNCTION("""COMPUTED_VALUE"""),"43. Bruno, 12. Faye, 47. Nefarious, 42. Rubber, 38. Winston, 45. Boots")</f>
        <v>43. Bruno, 12. Faye, 47. Nefarious, 42. Rubber, 38. Winston, 45. Boots</v>
      </c>
      <c r="B3819" s="4" t="str">
        <f>IFERROR(__xludf.DUMMYFUNCTION("""COMPUTED_VALUE"""),"43, 12, 47, 42, 38, 45")</f>
        <v>43, 12, 47, 42, 38, 45</v>
      </c>
      <c r="C3819" s="5" t="str">
        <f>IFERROR(__xludf.DUMMYFUNCTION("""COMPUTED_VALUE"""),"https://drive.google.com/file/d/1UtugCQEtGO8CLxLchN8P9A9j0dcu-ZVh/view?usp=drivesdk")</f>
        <v>https://drive.google.com/file/d/1UtugCQEtGO8CLxLchN8P9A9j0dcu-ZVh/view?usp=drivesdk</v>
      </c>
      <c r="D3819" s="12"/>
      <c r="E3819" s="11">
        <v>3857.0</v>
      </c>
      <c r="F3819" s="2"/>
    </row>
    <row r="3820" ht="1.5" customHeight="1">
      <c r="A3820" s="4" t="str">
        <f>IFERROR(__xludf.DUMMYFUNCTION("""COMPUTED_VALUE"""),"43. Bruno, 61. Cassie")</f>
        <v>43. Bruno, 61. Cassie</v>
      </c>
      <c r="B3820" s="4" t="str">
        <f>IFERROR(__xludf.DUMMYFUNCTION("""COMPUTED_VALUE"""),"43, 61")</f>
        <v>43, 61</v>
      </c>
      <c r="C3820" s="5" t="str">
        <f>IFERROR(__xludf.DUMMYFUNCTION("""COMPUTED_VALUE"""),"https://drive.google.com/file/d/175Gr6cREiRL1Gw-dwaocMxNP-jCsivwW/view?usp=drivesdk")</f>
        <v>https://drive.google.com/file/d/175Gr6cREiRL1Gw-dwaocMxNP-jCsivwW/view?usp=drivesdk</v>
      </c>
      <c r="D3820" s="12"/>
      <c r="E3820" s="11">
        <v>3858.0</v>
      </c>
      <c r="F3820" s="2"/>
    </row>
    <row r="3821" ht="1.5" customHeight="1">
      <c r="A3821" s="4" t="str">
        <f>IFERROR(__xludf.DUMMYFUNCTION("""COMPUTED_VALUE"""),"43. Bruno, 61. Cassie")</f>
        <v>43. Bruno, 61. Cassie</v>
      </c>
      <c r="B3821" s="4" t="str">
        <f>IFERROR(__xludf.DUMMYFUNCTION("""COMPUTED_VALUE"""),"43, 61")</f>
        <v>43, 61</v>
      </c>
      <c r="C3821" s="5" t="str">
        <f>IFERROR(__xludf.DUMMYFUNCTION("""COMPUTED_VALUE"""),"https://drive.google.com/file/d/1MoBeV2A1ztHrL7Fo8w57TqqRsYfenZIL/view?usp=drivesdk")</f>
        <v>https://drive.google.com/file/d/1MoBeV2A1ztHrL7Fo8w57TqqRsYfenZIL/view?usp=drivesdk</v>
      </c>
      <c r="D3821" s="12"/>
      <c r="E3821" s="11">
        <v>3859.0</v>
      </c>
      <c r="F3821" s="2"/>
    </row>
    <row r="3822" ht="1.5" customHeight="1">
      <c r="A3822" s="4" t="str">
        <f>IFERROR(__xludf.DUMMYFUNCTION("""COMPUTED_VALUE"""),"43. Bruno")</f>
        <v>43. Bruno</v>
      </c>
      <c r="B3822" s="4" t="str">
        <f>IFERROR(__xludf.DUMMYFUNCTION("""COMPUTED_VALUE"""),"43")</f>
        <v>43</v>
      </c>
      <c r="C3822" s="5" t="str">
        <f>IFERROR(__xludf.DUMMYFUNCTION("""COMPUTED_VALUE"""),"https://drive.google.com/file/d/1R9N6vNJzjxf8CAXQmNeeOx_LoHRyEpcR/view?usp=drivesdk")</f>
        <v>https://drive.google.com/file/d/1R9N6vNJzjxf8CAXQmNeeOx_LoHRyEpcR/view?usp=drivesdk</v>
      </c>
      <c r="D3822" s="12"/>
      <c r="E3822" s="11">
        <v>3860.0</v>
      </c>
      <c r="F3822" s="2"/>
    </row>
    <row r="3823" ht="1.5" customHeight="1">
      <c r="A3823" s="4" t="str">
        <f>IFERROR(__xludf.DUMMYFUNCTION("""COMPUTED_VALUE"""),"43. Bruno, 12. Faye, 47. Nefarious, 42. Rubber, 38. Winston, 45. Boots")</f>
        <v>43. Bruno, 12. Faye, 47. Nefarious, 42. Rubber, 38. Winston, 45. Boots</v>
      </c>
      <c r="B3823" s="4" t="str">
        <f>IFERROR(__xludf.DUMMYFUNCTION("""COMPUTED_VALUE"""),"43, 12, 47, 42, 38, 45")</f>
        <v>43, 12, 47, 42, 38, 45</v>
      </c>
      <c r="C3823" s="5" t="str">
        <f>IFERROR(__xludf.DUMMYFUNCTION("""COMPUTED_VALUE"""),"https://drive.google.com/file/d/1CekK1GnPBDmnrt9qu1t4zqiSGi_mrCqR/view?usp=drivesdk")</f>
        <v>https://drive.google.com/file/d/1CekK1GnPBDmnrt9qu1t4zqiSGi_mrCqR/view?usp=drivesdk</v>
      </c>
      <c r="D3823" s="12"/>
      <c r="E3823" s="11">
        <v>3861.0</v>
      </c>
      <c r="F3823" s="2"/>
    </row>
    <row r="3824" ht="1.5" customHeight="1">
      <c r="A3824" s="4" t="str">
        <f>IFERROR(__xludf.DUMMYFUNCTION("""COMPUTED_VALUE"""),"43. Bruno")</f>
        <v>43. Bruno</v>
      </c>
      <c r="B3824" s="4" t="str">
        <f>IFERROR(__xludf.DUMMYFUNCTION("""COMPUTED_VALUE"""),"43")</f>
        <v>43</v>
      </c>
      <c r="C3824" s="5" t="str">
        <f>IFERROR(__xludf.DUMMYFUNCTION("""COMPUTED_VALUE"""),"https://drive.google.com/file/d/1d1_mIMT3usPsEb_Vz0GhK4WK3tkLSZx5/view?usp=drivesdk")</f>
        <v>https://drive.google.com/file/d/1d1_mIMT3usPsEb_Vz0GhK4WK3tkLSZx5/view?usp=drivesdk</v>
      </c>
      <c r="D3824" s="12"/>
      <c r="E3824" s="11">
        <v>3862.0</v>
      </c>
      <c r="F3824" s="2"/>
    </row>
    <row r="3825" ht="1.5" customHeight="1">
      <c r="A3825" s="4" t="str">
        <f>IFERROR(__xludf.DUMMYFUNCTION("""COMPUTED_VALUE"""),"43. Bruno, 12. Faye, 47. Nefarious, 42. Rubber, 38. Winston, 45. Boots")</f>
        <v>43. Bruno, 12. Faye, 47. Nefarious, 42. Rubber, 38. Winston, 45. Boots</v>
      </c>
      <c r="B3825" s="4" t="str">
        <f>IFERROR(__xludf.DUMMYFUNCTION("""COMPUTED_VALUE"""),"43, 12, 47, 42, 38, 45")</f>
        <v>43, 12, 47, 42, 38, 45</v>
      </c>
      <c r="C3825" s="5" t="str">
        <f>IFERROR(__xludf.DUMMYFUNCTION("""COMPUTED_VALUE"""),"https://drive.google.com/file/d/1G-tMgyOfpA7r67B87GGl6Hxs2wFZM_rd/view?usp=drivesdk")</f>
        <v>https://drive.google.com/file/d/1G-tMgyOfpA7r67B87GGl6Hxs2wFZM_rd/view?usp=drivesdk</v>
      </c>
      <c r="D3825" s="12"/>
      <c r="E3825" s="11">
        <v>3863.0</v>
      </c>
      <c r="F3825" s="2"/>
    </row>
    <row r="3826" ht="1.5" customHeight="1">
      <c r="A3826" s="4" t="str">
        <f>IFERROR(__xludf.DUMMYFUNCTION("""COMPUTED_VALUE"""),"12. Faye, 41. Gregory, 38. Winston, 47. Nefarious, 42. Rubber, 45. Boots")</f>
        <v>12. Faye, 41. Gregory, 38. Winston, 47. Nefarious, 42. Rubber, 45. Boots</v>
      </c>
      <c r="B3826" s="4" t="str">
        <f>IFERROR(__xludf.DUMMYFUNCTION("""COMPUTED_VALUE"""),"12, 41, 38, 47, 42, 45")</f>
        <v>12, 41, 38, 47, 42, 45</v>
      </c>
      <c r="C3826" s="5" t="str">
        <f>IFERROR(__xludf.DUMMYFUNCTION("""COMPUTED_VALUE"""),"https://drive.google.com/file/d/1rza_6oiXImoMvUqGFGWhCvz02xbaB0jG/view?usp=drivesdk")</f>
        <v>https://drive.google.com/file/d/1rza_6oiXImoMvUqGFGWhCvz02xbaB0jG/view?usp=drivesdk</v>
      </c>
      <c r="D3826" s="12"/>
      <c r="E3826" s="11">
        <v>3864.0</v>
      </c>
      <c r="F3826" s="2"/>
    </row>
    <row r="3827" ht="1.5" customHeight="1">
      <c r="A3827" s="4" t="str">
        <f>IFERROR(__xludf.DUMMYFUNCTION("""COMPUTED_VALUE"""),"43. Bruno, 12. Faye, 47. Nefarious, 42. Rubber")</f>
        <v>43. Bruno, 12. Faye, 47. Nefarious, 42. Rubber</v>
      </c>
      <c r="B3827" s="4" t="str">
        <f>IFERROR(__xludf.DUMMYFUNCTION("""COMPUTED_VALUE"""),"43, 12, 47, 42")</f>
        <v>43, 12, 47, 42</v>
      </c>
      <c r="C3827" s="5" t="str">
        <f>IFERROR(__xludf.DUMMYFUNCTION("""COMPUTED_VALUE"""),"https://drive.google.com/file/d/1Dz02_SiDBNd7oguTD2ROayw2IT65png_/view?usp=drivesdk")</f>
        <v>https://drive.google.com/file/d/1Dz02_SiDBNd7oguTD2ROayw2IT65png_/view?usp=drivesdk</v>
      </c>
      <c r="D3827" s="12"/>
      <c r="E3827" s="11">
        <v>3865.0</v>
      </c>
      <c r="F3827" s="2"/>
    </row>
    <row r="3828" ht="1.5" customHeight="1">
      <c r="A3828" s="4" t="str">
        <f>IFERROR(__xludf.DUMMYFUNCTION("""COMPUTED_VALUE"""),"12. Faye, 41. Gregory, 38. Winston, 47. Nefarious, 42. Rubber, 45. Boots")</f>
        <v>12. Faye, 41. Gregory, 38. Winston, 47. Nefarious, 42. Rubber, 45. Boots</v>
      </c>
      <c r="B3828" s="4" t="str">
        <f>IFERROR(__xludf.DUMMYFUNCTION("""COMPUTED_VALUE"""),"12, 41, 38, 47, 42, 45")</f>
        <v>12, 41, 38, 47, 42, 45</v>
      </c>
      <c r="C3828" s="5" t="str">
        <f>IFERROR(__xludf.DUMMYFUNCTION("""COMPUTED_VALUE"""),"https://drive.google.com/file/d/1q5kRDzA4eo9BweaJggnBdw7fY5yuZTr6/view?usp=drivesdk")</f>
        <v>https://drive.google.com/file/d/1q5kRDzA4eo9BweaJggnBdw7fY5yuZTr6/view?usp=drivesdk</v>
      </c>
      <c r="D3828" s="12"/>
      <c r="E3828" s="11">
        <v>3866.0</v>
      </c>
      <c r="F3828" s="2"/>
    </row>
    <row r="3829" ht="1.5" customHeight="1">
      <c r="A3829" s="4" t="str">
        <f>IFERROR(__xludf.DUMMYFUNCTION("""COMPUTED_VALUE"""),"12. Faye, 41. Gregory, 38. Winston, 47. Nefarious, 42. Rubber, 45. Boots")</f>
        <v>12. Faye, 41. Gregory, 38. Winston, 47. Nefarious, 42. Rubber, 45. Boots</v>
      </c>
      <c r="B3829" s="4" t="str">
        <f>IFERROR(__xludf.DUMMYFUNCTION("""COMPUTED_VALUE"""),"12, 41, 38, 47, 42, 45")</f>
        <v>12, 41, 38, 47, 42, 45</v>
      </c>
      <c r="C3829" s="5" t="str">
        <f>IFERROR(__xludf.DUMMYFUNCTION("""COMPUTED_VALUE"""),"https://drive.google.com/file/d/1kGxUZBTVWz9f8qMmTeg4AGx7dl3bVhIe/view?usp=drivesdk")</f>
        <v>https://drive.google.com/file/d/1kGxUZBTVWz9f8qMmTeg4AGx7dl3bVhIe/view?usp=drivesdk</v>
      </c>
      <c r="D3829" s="12"/>
      <c r="E3829" s="11">
        <v>3867.0</v>
      </c>
      <c r="F3829" s="2"/>
    </row>
    <row r="3830" ht="1.5" customHeight="1">
      <c r="A3830" s="4" t="str">
        <f>IFERROR(__xludf.DUMMYFUNCTION("""COMPUTED_VALUE"""),"38. Winston, 42. Rubber, 47. Nefarious")</f>
        <v>38. Winston, 42. Rubber, 47. Nefarious</v>
      </c>
      <c r="B3830" s="4" t="str">
        <f>IFERROR(__xludf.DUMMYFUNCTION("""COMPUTED_VALUE"""),"38, 42, 47")</f>
        <v>38, 42, 47</v>
      </c>
      <c r="C3830" s="5" t="str">
        <f>IFERROR(__xludf.DUMMYFUNCTION("""COMPUTED_VALUE"""),"https://drive.google.com/file/d/1Rs-SNzbA0oCpkHwsMvTU7E7TNnP2F1uB/view?usp=drivesdk")</f>
        <v>https://drive.google.com/file/d/1Rs-SNzbA0oCpkHwsMvTU7E7TNnP2F1uB/view?usp=drivesdk</v>
      </c>
      <c r="D3830" s="12"/>
      <c r="E3830" s="11">
        <v>3868.0</v>
      </c>
      <c r="F3830" s="2"/>
    </row>
    <row r="3831" ht="1.5" customHeight="1">
      <c r="A3831" s="4" t="str">
        <f>IFERROR(__xludf.DUMMYFUNCTION("""COMPUTED_VALUE"""),"43. Bruno, 12. Faye, 47. Nefarious, 42. Rubber")</f>
        <v>43. Bruno, 12. Faye, 47. Nefarious, 42. Rubber</v>
      </c>
      <c r="B3831" s="4" t="str">
        <f>IFERROR(__xludf.DUMMYFUNCTION("""COMPUTED_VALUE"""),"43, 12, 47, 42")</f>
        <v>43, 12, 47, 42</v>
      </c>
      <c r="C3831" s="5" t="str">
        <f>IFERROR(__xludf.DUMMYFUNCTION("""COMPUTED_VALUE"""),"https://drive.google.com/file/d/1Ns3sbpirwtyMtjBwV_BOOBoSIlVd4KkJ/view?usp=drivesdk")</f>
        <v>https://drive.google.com/file/d/1Ns3sbpirwtyMtjBwV_BOOBoSIlVd4KkJ/view?usp=drivesdk</v>
      </c>
      <c r="D3831" s="12"/>
      <c r="E3831" s="11">
        <v>3869.0</v>
      </c>
      <c r="F3831" s="2"/>
    </row>
    <row r="3832" ht="1.5" customHeight="1">
      <c r="A3832" s="4" t="str">
        <f>IFERROR(__xludf.DUMMYFUNCTION("""COMPUTED_VALUE"""),"47. Nefarious, 12. Faye")</f>
        <v>47. Nefarious, 12. Faye</v>
      </c>
      <c r="B3832" s="4" t="str">
        <f>IFERROR(__xludf.DUMMYFUNCTION("""COMPUTED_VALUE"""),"47, 12")</f>
        <v>47, 12</v>
      </c>
      <c r="C3832" s="5" t="str">
        <f>IFERROR(__xludf.DUMMYFUNCTION("""COMPUTED_VALUE"""),"https://drive.google.com/file/d/1dGvMGYOvhtwapVlwQ-rpUybQNxImCfbJ/view?usp=drivesdk")</f>
        <v>https://drive.google.com/file/d/1dGvMGYOvhtwapVlwQ-rpUybQNxImCfbJ/view?usp=drivesdk</v>
      </c>
      <c r="D3832" s="12"/>
      <c r="E3832" s="11">
        <v>3870.0</v>
      </c>
      <c r="F3832" s="2"/>
    </row>
    <row r="3833" ht="1.5" customHeight="1">
      <c r="A3833" s="4" t="str">
        <f>IFERROR(__xludf.DUMMYFUNCTION("""COMPUTED_VALUE"""),"12. Faye, 41. Gregory, 38. Winston, 47. Nefarious, 42. Rubber, 45. Boots")</f>
        <v>12. Faye, 41. Gregory, 38. Winston, 47. Nefarious, 42. Rubber, 45. Boots</v>
      </c>
      <c r="B3833" s="4" t="str">
        <f>IFERROR(__xludf.DUMMYFUNCTION("""COMPUTED_VALUE"""),"12, 41, 38, 47, 42, 45")</f>
        <v>12, 41, 38, 47, 42, 45</v>
      </c>
      <c r="C3833" s="5" t="str">
        <f>IFERROR(__xludf.DUMMYFUNCTION("""COMPUTED_VALUE"""),"https://drive.google.com/file/d/1qcJfX75WaMvQnOPJV3wRpDD7gkyaLoUL/view?usp=drivesdk")</f>
        <v>https://drive.google.com/file/d/1qcJfX75WaMvQnOPJV3wRpDD7gkyaLoUL/view?usp=drivesdk</v>
      </c>
      <c r="D3833" s="12"/>
      <c r="E3833" s="11">
        <v>3871.0</v>
      </c>
      <c r="F3833" s="2"/>
    </row>
    <row r="3834" ht="1.5" customHeight="1">
      <c r="A3834" s="4" t="str">
        <f>IFERROR(__xludf.DUMMYFUNCTION("""COMPUTED_VALUE"""),"38. Winston, 12. Faye, 47. Nefarious, 42. Rubber, 43. Bruno, 45. Boots")</f>
        <v>38. Winston, 12. Faye, 47. Nefarious, 42. Rubber, 43. Bruno, 45. Boots</v>
      </c>
      <c r="B3834" s="4" t="str">
        <f>IFERROR(__xludf.DUMMYFUNCTION("""COMPUTED_VALUE"""),"38, 12, 47, 42, 43, 45")</f>
        <v>38, 12, 47, 42, 43, 45</v>
      </c>
      <c r="C3834" s="5" t="str">
        <f>IFERROR(__xludf.DUMMYFUNCTION("""COMPUTED_VALUE"""),"https://drive.google.com/file/d/1JHnr-ZkPdolABvrnuJBD0wqWLy1GmKRx/view?usp=drivesdk")</f>
        <v>https://drive.google.com/file/d/1JHnr-ZkPdolABvrnuJBD0wqWLy1GmKRx/view?usp=drivesdk</v>
      </c>
      <c r="D3834" s="12"/>
      <c r="E3834" s="11">
        <v>3872.0</v>
      </c>
      <c r="F3834" s="2"/>
    </row>
    <row r="3835" ht="1.5" customHeight="1">
      <c r="A3835" s="4" t="str">
        <f>IFERROR(__xludf.DUMMYFUNCTION("""COMPUTED_VALUE"""),"47. Nefarious, 43. Bruno, 12. Faye")</f>
        <v>47. Nefarious, 43. Bruno, 12. Faye</v>
      </c>
      <c r="B3835" s="4" t="str">
        <f>IFERROR(__xludf.DUMMYFUNCTION("""COMPUTED_VALUE"""),"47, 43, 12")</f>
        <v>47, 43, 12</v>
      </c>
      <c r="C3835" s="5" t="str">
        <f>IFERROR(__xludf.DUMMYFUNCTION("""COMPUTED_VALUE"""),"https://drive.google.com/file/d/136Niqrjtdus1RoqoqBdT-5_K6YA1bvcw/view?usp=drivesdk")</f>
        <v>https://drive.google.com/file/d/136Niqrjtdus1RoqoqBdT-5_K6YA1bvcw/view?usp=drivesdk</v>
      </c>
      <c r="D3835" s="12"/>
      <c r="E3835" s="11">
        <v>3873.0</v>
      </c>
      <c r="F3835" s="2"/>
    </row>
    <row r="3836" ht="1.5" customHeight="1">
      <c r="A3836" s="4" t="str">
        <f>IFERROR(__xludf.DUMMYFUNCTION("""COMPUTED_VALUE"""),"12. Faye")</f>
        <v>12. Faye</v>
      </c>
      <c r="B3836" s="4" t="str">
        <f>IFERROR(__xludf.DUMMYFUNCTION("""COMPUTED_VALUE"""),"12")</f>
        <v>12</v>
      </c>
      <c r="C3836" s="5" t="str">
        <f>IFERROR(__xludf.DUMMYFUNCTION("""COMPUTED_VALUE"""),"https://drive.google.com/file/d/17qPTriH5lpTUtqlLDBYGKADDi428W3jP/view?usp=drivesdk")</f>
        <v>https://drive.google.com/file/d/17qPTriH5lpTUtqlLDBYGKADDi428W3jP/view?usp=drivesdk</v>
      </c>
      <c r="D3836" s="12"/>
      <c r="E3836" s="11">
        <v>3874.0</v>
      </c>
      <c r="F3836" s="2"/>
    </row>
    <row r="3837" ht="1.5" customHeight="1">
      <c r="A3837" s="4" t="str">
        <f>IFERROR(__xludf.DUMMYFUNCTION("""COMPUTED_VALUE"""),"47. Nefarious, 12. Faye, 38. Winston, 42. Rubber, 45. Boots, 43. Bruno")</f>
        <v>47. Nefarious, 12. Faye, 38. Winston, 42. Rubber, 45. Boots, 43. Bruno</v>
      </c>
      <c r="B3837" s="4" t="str">
        <f>IFERROR(__xludf.DUMMYFUNCTION("""COMPUTED_VALUE"""),"47, 12, 38, 42, 45, 43")</f>
        <v>47, 12, 38, 42, 45, 43</v>
      </c>
      <c r="C3837" s="5" t="str">
        <f>IFERROR(__xludf.DUMMYFUNCTION("""COMPUTED_VALUE"""),"https://drive.google.com/file/d/17w8WO2s54FR3iBkinkI_L7Fe6iKw0Uq9/view?usp=drivesdk")</f>
        <v>https://drive.google.com/file/d/17w8WO2s54FR3iBkinkI_L7Fe6iKw0Uq9/view?usp=drivesdk</v>
      </c>
      <c r="D3837" s="12"/>
      <c r="E3837" s="11">
        <v>3875.0</v>
      </c>
      <c r="F3837" s="2"/>
    </row>
    <row r="3838" ht="1.5" customHeight="1">
      <c r="A3838" s="4" t="str">
        <f>IFERROR(__xludf.DUMMYFUNCTION("""COMPUTED_VALUE"""),"43. Bruno, 47. Nefarious, 12. Faye")</f>
        <v>43. Bruno, 47. Nefarious, 12. Faye</v>
      </c>
      <c r="B3838" s="4" t="str">
        <f>IFERROR(__xludf.DUMMYFUNCTION("""COMPUTED_VALUE"""),"43, 47, 12")</f>
        <v>43, 47, 12</v>
      </c>
      <c r="C3838" s="5" t="str">
        <f>IFERROR(__xludf.DUMMYFUNCTION("""COMPUTED_VALUE"""),"https://drive.google.com/file/d/1T5LyFg7cnZZaiKX4Wum3gEAsDZBDtWtC/view?usp=drivesdk")</f>
        <v>https://drive.google.com/file/d/1T5LyFg7cnZZaiKX4Wum3gEAsDZBDtWtC/view?usp=drivesdk</v>
      </c>
      <c r="D3838" s="12"/>
      <c r="E3838" s="11">
        <v>3876.0</v>
      </c>
      <c r="F3838" s="2"/>
    </row>
    <row r="3839" ht="1.5" customHeight="1">
      <c r="A3839" s="4" t="str">
        <f>IFERROR(__xludf.DUMMYFUNCTION("""COMPUTED_VALUE"""),"38. Winston, 41. Gregory, 47. Nefarious, 42. Rubber, 45. Boots, 12. Faye")</f>
        <v>38. Winston, 41. Gregory, 47. Nefarious, 42. Rubber, 45. Boots, 12. Faye</v>
      </c>
      <c r="B3839" s="4" t="str">
        <f>IFERROR(__xludf.DUMMYFUNCTION("""COMPUTED_VALUE"""),"38, 41, 47, 42, 45, 12")</f>
        <v>38, 41, 47, 42, 45, 12</v>
      </c>
      <c r="C3839" s="5" t="str">
        <f>IFERROR(__xludf.DUMMYFUNCTION("""COMPUTED_VALUE"""),"https://drive.google.com/file/d/12dJBtHnHl5Ihwfymt0te9GWBkPXgNYF4/view?usp=drivesdk")</f>
        <v>https://drive.google.com/file/d/12dJBtHnHl5Ihwfymt0te9GWBkPXgNYF4/view?usp=drivesdk</v>
      </c>
      <c r="D3839" s="12"/>
      <c r="E3839" s="11">
        <v>3877.0</v>
      </c>
      <c r="F3839" s="2"/>
    </row>
    <row r="3840" ht="1.5" customHeight="1">
      <c r="A3840" s="4" t="str">
        <f>IFERROR(__xludf.DUMMYFUNCTION("""COMPUTED_VALUE"""),"38. Winston, 41. Gregory, 47. Nefarious, 42. Rubber, 45. Boots, 12. Faye")</f>
        <v>38. Winston, 41. Gregory, 47. Nefarious, 42. Rubber, 45. Boots, 12. Faye</v>
      </c>
      <c r="B3840" s="4" t="str">
        <f>IFERROR(__xludf.DUMMYFUNCTION("""COMPUTED_VALUE"""),"38, 41, 47, 42, 45, 12")</f>
        <v>38, 41, 47, 42, 45, 12</v>
      </c>
      <c r="C3840" s="5" t="str">
        <f>IFERROR(__xludf.DUMMYFUNCTION("""COMPUTED_VALUE"""),"https://drive.google.com/file/d/1KYjkm2tmw0u_lT2zr3KzO1gLWasf1dVP/view?usp=drivesdk")</f>
        <v>https://drive.google.com/file/d/1KYjkm2tmw0u_lT2zr3KzO1gLWasf1dVP/view?usp=drivesdk</v>
      </c>
      <c r="D3840" s="12"/>
      <c r="E3840" s="11">
        <v>3878.0</v>
      </c>
      <c r="F3840" s="2"/>
    </row>
    <row r="3841" ht="1.5" customHeight="1">
      <c r="A3841" s="4" t="str">
        <f>IFERROR(__xludf.DUMMYFUNCTION("""COMPUTED_VALUE"""),"42. Rubber, 41. Gregory, 38. Winston, 47. Nefarious, 45. Boots")</f>
        <v>42. Rubber, 41. Gregory, 38. Winston, 47. Nefarious, 45. Boots</v>
      </c>
      <c r="B3841" s="4" t="str">
        <f>IFERROR(__xludf.DUMMYFUNCTION("""COMPUTED_VALUE"""),"42, 41, 38, 47, 45")</f>
        <v>42, 41, 38, 47, 45</v>
      </c>
      <c r="C3841" s="5" t="str">
        <f>IFERROR(__xludf.DUMMYFUNCTION("""COMPUTED_VALUE"""),"https://drive.google.com/file/d/1bbpyqYEKnK1jjRG0yqyHL7Bm8HYm8YZy/view?usp=drivesdk")</f>
        <v>https://drive.google.com/file/d/1bbpyqYEKnK1jjRG0yqyHL7Bm8HYm8YZy/view?usp=drivesdk</v>
      </c>
      <c r="D3841" s="12"/>
      <c r="E3841" s="11">
        <v>3879.0</v>
      </c>
      <c r="F3841" s="2"/>
    </row>
    <row r="3842" ht="1.5" customHeight="1">
      <c r="A3842" s="4" t="str">
        <f>IFERROR(__xludf.DUMMYFUNCTION("""COMPUTED_VALUE"""),"39. Radar, 45. Boots, 47. Nefarious")</f>
        <v>39. Radar, 45. Boots, 47. Nefarious</v>
      </c>
      <c r="B3842" s="4" t="str">
        <f>IFERROR(__xludf.DUMMYFUNCTION("""COMPUTED_VALUE"""),"39, 45, 47")</f>
        <v>39, 45, 47</v>
      </c>
      <c r="C3842" s="5" t="str">
        <f>IFERROR(__xludf.DUMMYFUNCTION("""COMPUTED_VALUE"""),"https://drive.google.com/file/d/1_QtWdCdj7jgiPoLBfN2O2-uxZOhpnnKV/view?usp=drivesdk")</f>
        <v>https://drive.google.com/file/d/1_QtWdCdj7jgiPoLBfN2O2-uxZOhpnnKV/view?usp=drivesdk</v>
      </c>
      <c r="D3842" s="12"/>
      <c r="E3842" s="11">
        <v>3880.0</v>
      </c>
      <c r="F3842" s="2"/>
    </row>
    <row r="3843" ht="1.5" customHeight="1">
      <c r="A3843" s="4" t="str">
        <f>IFERROR(__xludf.DUMMYFUNCTION("""COMPUTED_VALUE"""),"47. Nefarious, 42. Rubber, 12. Faye, 43. Bruno")</f>
        <v>47. Nefarious, 42. Rubber, 12. Faye, 43. Bruno</v>
      </c>
      <c r="B3843" s="4" t="str">
        <f>IFERROR(__xludf.DUMMYFUNCTION("""COMPUTED_VALUE"""),"47, 42, 12, 43")</f>
        <v>47, 42, 12, 43</v>
      </c>
      <c r="C3843" s="5" t="str">
        <f>IFERROR(__xludf.DUMMYFUNCTION("""COMPUTED_VALUE"""),"https://drive.google.com/file/d/1VK2w8dfR5XivOqrmp0GWpVztQm7G_7pP/view?usp=drivesdk")</f>
        <v>https://drive.google.com/file/d/1VK2w8dfR5XivOqrmp0GWpVztQm7G_7pP/view?usp=drivesdk</v>
      </c>
      <c r="D3843" s="12"/>
      <c r="E3843" s="11">
        <v>3881.0</v>
      </c>
      <c r="F3843" s="2"/>
    </row>
    <row r="3844" ht="1.5" customHeight="1">
      <c r="A3844" s="4" t="str">
        <f>IFERROR(__xludf.DUMMYFUNCTION("""COMPUTED_VALUE"""),"38. Winston, 41. Gregory, 42. Rubber, 12. Faye, 47. Nefarious")</f>
        <v>38. Winston, 41. Gregory, 42. Rubber, 12. Faye, 47. Nefarious</v>
      </c>
      <c r="B3844" s="4" t="str">
        <f>IFERROR(__xludf.DUMMYFUNCTION("""COMPUTED_VALUE"""),"38, 41, 42, 12, 47")</f>
        <v>38, 41, 42, 12, 47</v>
      </c>
      <c r="C3844" s="5" t="str">
        <f>IFERROR(__xludf.DUMMYFUNCTION("""COMPUTED_VALUE"""),"https://drive.google.com/file/d/1FAfH1D_g4nQMfiZNas1Forognz5gjMdh/view?usp=drivesdk")</f>
        <v>https://drive.google.com/file/d/1FAfH1D_g4nQMfiZNas1Forognz5gjMdh/view?usp=drivesdk</v>
      </c>
      <c r="D3844" s="12"/>
      <c r="E3844" s="11">
        <v>3882.0</v>
      </c>
      <c r="F3844" s="2"/>
    </row>
    <row r="3845" ht="1.5" customHeight="1">
      <c r="A3845" s="4" t="str">
        <f>IFERROR(__xludf.DUMMYFUNCTION("""COMPUTED_VALUE"""),"12. Faye, 47. Nefarious")</f>
        <v>12. Faye, 47. Nefarious</v>
      </c>
      <c r="B3845" s="4" t="str">
        <f>IFERROR(__xludf.DUMMYFUNCTION("""COMPUTED_VALUE"""),"12, 47")</f>
        <v>12, 47</v>
      </c>
      <c r="C3845" s="5" t="str">
        <f>IFERROR(__xludf.DUMMYFUNCTION("""COMPUTED_VALUE"""),"https://drive.google.com/file/d/1JwL39LipzYjKLg0wLo3xsiGUEesnQD3I/view?usp=drivesdk")</f>
        <v>https://drive.google.com/file/d/1JwL39LipzYjKLg0wLo3xsiGUEesnQD3I/view?usp=drivesdk</v>
      </c>
      <c r="D3845" s="12"/>
      <c r="E3845" s="11">
        <v>3883.0</v>
      </c>
      <c r="F3845" s="2"/>
    </row>
    <row r="3846" ht="1.5" customHeight="1">
      <c r="A3846" s="4" t="str">
        <f>IFERROR(__xludf.DUMMYFUNCTION("""COMPUTED_VALUE"""),"47. Nefarious, 12. Faye, 41. Gregory")</f>
        <v>47. Nefarious, 12. Faye, 41. Gregory</v>
      </c>
      <c r="B3846" s="4" t="str">
        <f>IFERROR(__xludf.DUMMYFUNCTION("""COMPUTED_VALUE"""),"47, 12, 41")</f>
        <v>47, 12, 41</v>
      </c>
      <c r="C3846" s="5" t="str">
        <f>IFERROR(__xludf.DUMMYFUNCTION("""COMPUTED_VALUE"""),"https://drive.google.com/file/d/1SyUGLIeJcD1OGR5R5Z6Ur_1CzH3QwLYD/view?usp=drivesdk")</f>
        <v>https://drive.google.com/file/d/1SyUGLIeJcD1OGR5R5Z6Ur_1CzH3QwLYD/view?usp=drivesdk</v>
      </c>
      <c r="D3846" s="12"/>
      <c r="E3846" s="11">
        <v>3884.0</v>
      </c>
      <c r="F3846" s="2"/>
    </row>
    <row r="3847" ht="1.5" customHeight="1">
      <c r="A3847" s="4" t="str">
        <f>IFERROR(__xludf.DUMMYFUNCTION("""COMPUTED_VALUE"""),"42. Rubber, 38. Winston, 41. Gregory, 47. Nefarious, 12. Faye")</f>
        <v>42. Rubber, 38. Winston, 41. Gregory, 47. Nefarious, 12. Faye</v>
      </c>
      <c r="B3847" s="4" t="str">
        <f>IFERROR(__xludf.DUMMYFUNCTION("""COMPUTED_VALUE"""),"42, 38, 41, 47, 12")</f>
        <v>42, 38, 41, 47, 12</v>
      </c>
      <c r="C3847" s="5" t="str">
        <f>IFERROR(__xludf.DUMMYFUNCTION("""COMPUTED_VALUE"""),"https://drive.google.com/file/d/1MdZ6NHlm_YjKCT4aFeK7rBiemqUgebYM/view?usp=drivesdk")</f>
        <v>https://drive.google.com/file/d/1MdZ6NHlm_YjKCT4aFeK7rBiemqUgebYM/view?usp=drivesdk</v>
      </c>
      <c r="D3847" s="12"/>
      <c r="E3847" s="11">
        <v>3885.0</v>
      </c>
      <c r="F3847" s="2"/>
    </row>
    <row r="3848" ht="1.5" customHeight="1">
      <c r="A3848" s="4" t="str">
        <f>IFERROR(__xludf.DUMMYFUNCTION("""COMPUTED_VALUE"""),"38. Winston, 41. Gregory, 42. Rubber, 47. Nefarious, 12. Faye, 45. Boots")</f>
        <v>38. Winston, 41. Gregory, 42. Rubber, 47. Nefarious, 12. Faye, 45. Boots</v>
      </c>
      <c r="B3848" s="4" t="str">
        <f>IFERROR(__xludf.DUMMYFUNCTION("""COMPUTED_VALUE"""),"38, 41, 42, 47, 12, 45")</f>
        <v>38, 41, 42, 47, 12, 45</v>
      </c>
      <c r="C3848" s="5" t="str">
        <f>IFERROR(__xludf.DUMMYFUNCTION("""COMPUTED_VALUE"""),"https://drive.google.com/file/d/1Zult-m0BLY7VVyrlt_0uhMd0c8oFlvZn/view?usp=drivesdk")</f>
        <v>https://drive.google.com/file/d/1Zult-m0BLY7VVyrlt_0uhMd0c8oFlvZn/view?usp=drivesdk</v>
      </c>
      <c r="D3848" s="12"/>
      <c r="E3848" s="11">
        <v>3886.0</v>
      </c>
      <c r="F3848" s="2"/>
    </row>
    <row r="3849" ht="1.5" customHeight="1">
      <c r="A3849" s="4" t="str">
        <f>IFERROR(__xludf.DUMMYFUNCTION("""COMPUTED_VALUE"""),"38. Winston, 41. Gregory, 42. Rubber, 47. Nefarious")</f>
        <v>38. Winston, 41. Gregory, 42. Rubber, 47. Nefarious</v>
      </c>
      <c r="B3849" s="4" t="str">
        <f>IFERROR(__xludf.DUMMYFUNCTION("""COMPUTED_VALUE"""),"38, 41, 42, 47")</f>
        <v>38, 41, 42, 47</v>
      </c>
      <c r="C3849" s="5" t="str">
        <f>IFERROR(__xludf.DUMMYFUNCTION("""COMPUTED_VALUE"""),"https://drive.google.com/file/d/1fXczp6I2Ro9DsJXBKLsCtEF2FoX4OnCf/view?usp=drivesdk")</f>
        <v>https://drive.google.com/file/d/1fXczp6I2Ro9DsJXBKLsCtEF2FoX4OnCf/view?usp=drivesdk</v>
      </c>
      <c r="D3849" s="12"/>
      <c r="E3849" s="11">
        <v>3887.0</v>
      </c>
      <c r="F3849" s="2"/>
    </row>
    <row r="3850" ht="1.5" customHeight="1">
      <c r="A3850" s="4" t="str">
        <f>IFERROR(__xludf.DUMMYFUNCTION("""COMPUTED_VALUE"""),"42. Rubber, 38. Winston, 41. Gregory, 12. Faye, 47. Nefarious")</f>
        <v>42. Rubber, 38. Winston, 41. Gregory, 12. Faye, 47. Nefarious</v>
      </c>
      <c r="B3850" s="4" t="str">
        <f>IFERROR(__xludf.DUMMYFUNCTION("""COMPUTED_VALUE"""),"42, 38, 41, 12, 47")</f>
        <v>42, 38, 41, 12, 47</v>
      </c>
      <c r="C3850" s="5" t="str">
        <f>IFERROR(__xludf.DUMMYFUNCTION("""COMPUTED_VALUE"""),"https://drive.google.com/file/d/1wliWOw089xKLnQWaMVyyKUnVYEUEyuFa/view?usp=drivesdk")</f>
        <v>https://drive.google.com/file/d/1wliWOw089xKLnQWaMVyyKUnVYEUEyuFa/view?usp=drivesdk</v>
      </c>
      <c r="D3850" s="12"/>
      <c r="E3850" s="11">
        <v>3888.0</v>
      </c>
      <c r="F3850" s="2"/>
    </row>
    <row r="3851" ht="1.5" customHeight="1">
      <c r="A3851" s="4" t="str">
        <f>IFERROR(__xludf.DUMMYFUNCTION("""COMPUTED_VALUE"""),"38. Winston, 41. Gregory, 47. Nefarious, 42. Rubber, 45. Boots, 12. Faye")</f>
        <v>38. Winston, 41. Gregory, 47. Nefarious, 42. Rubber, 45. Boots, 12. Faye</v>
      </c>
      <c r="B3851" s="4" t="str">
        <f>IFERROR(__xludf.DUMMYFUNCTION("""COMPUTED_VALUE"""),"38, 41, 47, 42, 45, 12")</f>
        <v>38, 41, 47, 42, 45, 12</v>
      </c>
      <c r="C3851" s="5" t="str">
        <f>IFERROR(__xludf.DUMMYFUNCTION("""COMPUTED_VALUE"""),"https://drive.google.com/file/d/154IN_uIKpowZG1Ba1nkvbFcvJY4u7GD8/view?usp=drivesdk")</f>
        <v>https://drive.google.com/file/d/154IN_uIKpowZG1Ba1nkvbFcvJY4u7GD8/view?usp=drivesdk</v>
      </c>
      <c r="D3851" s="12"/>
      <c r="E3851" s="11">
        <v>3889.0</v>
      </c>
      <c r="F3851" s="2"/>
    </row>
    <row r="3852" ht="1.5" customHeight="1">
      <c r="A3852" s="4" t="str">
        <f>IFERROR(__xludf.DUMMYFUNCTION("""COMPUTED_VALUE"""),"12. Faye, 47. Nefarious")</f>
        <v>12. Faye, 47. Nefarious</v>
      </c>
      <c r="B3852" s="4" t="str">
        <f>IFERROR(__xludf.DUMMYFUNCTION("""COMPUTED_VALUE"""),"12, 47")</f>
        <v>12, 47</v>
      </c>
      <c r="C3852" s="5" t="str">
        <f>IFERROR(__xludf.DUMMYFUNCTION("""COMPUTED_VALUE"""),"https://drive.google.com/file/d/13SouckKQws-ETYZEtunaSbkf-Pqj9UEI/view?usp=drivesdk")</f>
        <v>https://drive.google.com/file/d/13SouckKQws-ETYZEtunaSbkf-Pqj9UEI/view?usp=drivesdk</v>
      </c>
      <c r="D3852" s="12"/>
      <c r="E3852" s="11">
        <v>3890.0</v>
      </c>
      <c r="F3852" s="2"/>
    </row>
    <row r="3853" ht="1.5" customHeight="1">
      <c r="A3853" s="4" t="str">
        <f>IFERROR(__xludf.DUMMYFUNCTION("""COMPUTED_VALUE"""),"42. Rubber, 38. Winston, 41. Gregory, 12. Faye, 47. Nefarious")</f>
        <v>42. Rubber, 38. Winston, 41. Gregory, 12. Faye, 47. Nefarious</v>
      </c>
      <c r="B3853" s="4" t="str">
        <f>IFERROR(__xludf.DUMMYFUNCTION("""COMPUTED_VALUE"""),"42, 38, 41, 12, 47")</f>
        <v>42, 38, 41, 12, 47</v>
      </c>
      <c r="C3853" s="5" t="str">
        <f>IFERROR(__xludf.DUMMYFUNCTION("""COMPUTED_VALUE"""),"https://drive.google.com/file/d/1crb_l8DhiujoUFBVvARUknumxNy40tXf/view?usp=drivesdk")</f>
        <v>https://drive.google.com/file/d/1crb_l8DhiujoUFBVvARUknumxNy40tXf/view?usp=drivesdk</v>
      </c>
      <c r="D3853" s="12"/>
      <c r="E3853" s="11">
        <v>3891.0</v>
      </c>
      <c r="F3853" s="2"/>
    </row>
    <row r="3854" ht="1.5" customHeight="1">
      <c r="A3854" s="4" t="str">
        <f>IFERROR(__xludf.DUMMYFUNCTION("""COMPUTED_VALUE"""),"42. Rubber, 38. Winston, 12. Faye, 47. Nefarious")</f>
        <v>42. Rubber, 38. Winston, 12. Faye, 47. Nefarious</v>
      </c>
      <c r="B3854" s="4" t="str">
        <f>IFERROR(__xludf.DUMMYFUNCTION("""COMPUTED_VALUE"""),"42, 38, 12, 47")</f>
        <v>42, 38, 12, 47</v>
      </c>
      <c r="C3854" s="5" t="str">
        <f>IFERROR(__xludf.DUMMYFUNCTION("""COMPUTED_VALUE"""),"https://drive.google.com/file/d/1E5f_7R3-obpI_CewCSc0UxlsL_zti_CH/view?usp=drivesdk")</f>
        <v>https://drive.google.com/file/d/1E5f_7R3-obpI_CewCSc0UxlsL_zti_CH/view?usp=drivesdk</v>
      </c>
      <c r="D3854" s="12"/>
      <c r="E3854" s="11">
        <v>3892.0</v>
      </c>
      <c r="F3854" s="2"/>
    </row>
    <row r="3855" ht="1.5" customHeight="1">
      <c r="A3855" s="4" t="str">
        <f>IFERROR(__xludf.DUMMYFUNCTION("""COMPUTED_VALUE"""),"42. Rubber, 47. Nefarious, 12. Faye")</f>
        <v>42. Rubber, 47. Nefarious, 12. Faye</v>
      </c>
      <c r="B3855" s="4" t="str">
        <f>IFERROR(__xludf.DUMMYFUNCTION("""COMPUTED_VALUE"""),"42, 47, 12")</f>
        <v>42, 47, 12</v>
      </c>
      <c r="C3855" s="5" t="str">
        <f>IFERROR(__xludf.DUMMYFUNCTION("""COMPUTED_VALUE"""),"https://drive.google.com/file/d/17SiXpm4Cfp0PtRpPsTzlJETa1d-TeM9l/view?usp=drivesdk")</f>
        <v>https://drive.google.com/file/d/17SiXpm4Cfp0PtRpPsTzlJETa1d-TeM9l/view?usp=drivesdk</v>
      </c>
      <c r="D3855" s="12"/>
      <c r="E3855" s="11">
        <v>3893.0</v>
      </c>
      <c r="F3855" s="2"/>
    </row>
    <row r="3856" ht="1.5" customHeight="1">
      <c r="A3856" s="4" t="str">
        <f>IFERROR(__xludf.DUMMYFUNCTION("""COMPUTED_VALUE"""),"42. Rubber, 38. Winston, 41. Gregory, 12. Faye, 47. Nefarious")</f>
        <v>42. Rubber, 38. Winston, 41. Gregory, 12. Faye, 47. Nefarious</v>
      </c>
      <c r="B3856" s="4" t="str">
        <f>IFERROR(__xludf.DUMMYFUNCTION("""COMPUTED_VALUE"""),"42, 38, 41, 12, 47")</f>
        <v>42, 38, 41, 12, 47</v>
      </c>
      <c r="C3856" s="5" t="str">
        <f>IFERROR(__xludf.DUMMYFUNCTION("""COMPUTED_VALUE"""),"https://drive.google.com/file/d/11UWXRbHx23y8HeL6Qu2Qw5Qxx1YIe18J/view?usp=drivesdk")</f>
        <v>https://drive.google.com/file/d/11UWXRbHx23y8HeL6Qu2Qw5Qxx1YIe18J/view?usp=drivesdk</v>
      </c>
      <c r="D3856" s="12"/>
      <c r="E3856" s="11">
        <v>3894.0</v>
      </c>
      <c r="F3856" s="2"/>
    </row>
    <row r="3857" ht="1.5" customHeight="1">
      <c r="A3857" s="4" t="str">
        <f>IFERROR(__xludf.DUMMYFUNCTION("""COMPUTED_VALUE"""),"12. Faye, 47. Nefarious")</f>
        <v>12. Faye, 47. Nefarious</v>
      </c>
      <c r="B3857" s="4" t="str">
        <f>IFERROR(__xludf.DUMMYFUNCTION("""COMPUTED_VALUE"""),"12, 47")</f>
        <v>12, 47</v>
      </c>
      <c r="C3857" s="5" t="str">
        <f>IFERROR(__xludf.DUMMYFUNCTION("""COMPUTED_VALUE"""),"https://drive.google.com/file/d/1d4JZjf3IIidxOCR1hu-n1co93RTFg_2D/view?usp=drivesdk")</f>
        <v>https://drive.google.com/file/d/1d4JZjf3IIidxOCR1hu-n1co93RTFg_2D/view?usp=drivesdk</v>
      </c>
      <c r="D3857" s="12"/>
      <c r="E3857" s="11">
        <v>3895.0</v>
      </c>
      <c r="F3857" s="2"/>
    </row>
    <row r="3858" ht="1.5" customHeight="1">
      <c r="A3858" s="4" t="str">
        <f>IFERROR(__xludf.DUMMYFUNCTION("""COMPUTED_VALUE"""),"45. Boots")</f>
        <v>45. Boots</v>
      </c>
      <c r="B3858" s="4" t="str">
        <f>IFERROR(__xludf.DUMMYFUNCTION("""COMPUTED_VALUE"""),"45")</f>
        <v>45</v>
      </c>
      <c r="C3858" s="5" t="str">
        <f>IFERROR(__xludf.DUMMYFUNCTION("""COMPUTED_VALUE"""),"https://drive.google.com/file/d/1PJf8z9nSpOyYBRD2yrycafFrsG2hx2Hw/view?usp=drivesdk")</f>
        <v>https://drive.google.com/file/d/1PJf8z9nSpOyYBRD2yrycafFrsG2hx2Hw/view?usp=drivesdk</v>
      </c>
      <c r="D3858" s="12"/>
      <c r="E3858" s="11">
        <v>3896.0</v>
      </c>
      <c r="F3858" s="2"/>
    </row>
    <row r="3859" ht="1.5" customHeight="1">
      <c r="A3859" s="4" t="str">
        <f>IFERROR(__xludf.DUMMYFUNCTION("""COMPUTED_VALUE"""),"12. Faye, 41. Gregory, 47. Nefarious")</f>
        <v>12. Faye, 41. Gregory, 47. Nefarious</v>
      </c>
      <c r="B3859" s="4" t="str">
        <f>IFERROR(__xludf.DUMMYFUNCTION("""COMPUTED_VALUE"""),"12, 41, 47")</f>
        <v>12, 41, 47</v>
      </c>
      <c r="C3859" s="5" t="str">
        <f>IFERROR(__xludf.DUMMYFUNCTION("""COMPUTED_VALUE"""),"https://drive.google.com/file/d/1iWDTILM_IV45ZvleR7c3N24Nssf9ScVT/view?usp=drivesdk")</f>
        <v>https://drive.google.com/file/d/1iWDTILM_IV45ZvleR7c3N24Nssf9ScVT/view?usp=drivesdk</v>
      </c>
      <c r="D3859" s="12"/>
      <c r="E3859" s="11">
        <v>3897.0</v>
      </c>
      <c r="F3859" s="2"/>
    </row>
    <row r="3860" ht="1.5" customHeight="1">
      <c r="A3860" s="4" t="str">
        <f>IFERROR(__xludf.DUMMYFUNCTION("""COMPUTED_VALUE"""),"47. Nefarious")</f>
        <v>47. Nefarious</v>
      </c>
      <c r="B3860" s="4" t="str">
        <f>IFERROR(__xludf.DUMMYFUNCTION("""COMPUTED_VALUE"""),"47")</f>
        <v>47</v>
      </c>
      <c r="C3860" s="5" t="str">
        <f>IFERROR(__xludf.DUMMYFUNCTION("""COMPUTED_VALUE"""),"https://drive.google.com/file/d/1sqCamWxzSqxBidWSTboSYlyQAMVbvn5m/view?usp=drivesdk")</f>
        <v>https://drive.google.com/file/d/1sqCamWxzSqxBidWSTboSYlyQAMVbvn5m/view?usp=drivesdk</v>
      </c>
      <c r="D3860" s="12"/>
      <c r="E3860" s="11">
        <v>3898.0</v>
      </c>
      <c r="F3860" s="2"/>
    </row>
    <row r="3861" ht="1.5" customHeight="1">
      <c r="A3861" s="4" t="str">
        <f>IFERROR(__xludf.DUMMYFUNCTION("""COMPUTED_VALUE"""),"41. Gregory")</f>
        <v>41. Gregory</v>
      </c>
      <c r="B3861" s="4" t="str">
        <f>IFERROR(__xludf.DUMMYFUNCTION("""COMPUTED_VALUE"""),"41")</f>
        <v>41</v>
      </c>
      <c r="C3861" s="5" t="str">
        <f>IFERROR(__xludf.DUMMYFUNCTION("""COMPUTED_VALUE"""),"https://drive.google.com/file/d/12joMolNV6rygUHhyIw4JbEBW2Cn0ZgLR/view?usp=drivesdk")</f>
        <v>https://drive.google.com/file/d/12joMolNV6rygUHhyIw4JbEBW2Cn0ZgLR/view?usp=drivesdk</v>
      </c>
      <c r="D3861" s="12"/>
      <c r="E3861" s="11">
        <v>3899.0</v>
      </c>
      <c r="F3861" s="2"/>
    </row>
    <row r="3862" ht="1.5" customHeight="1">
      <c r="A3862" s="4" t="str">
        <f>IFERROR(__xludf.DUMMYFUNCTION("""COMPUTED_VALUE"""),"41. Gregory")</f>
        <v>41. Gregory</v>
      </c>
      <c r="B3862" s="4" t="str">
        <f>IFERROR(__xludf.DUMMYFUNCTION("""COMPUTED_VALUE"""),"41")</f>
        <v>41</v>
      </c>
      <c r="C3862" s="5" t="str">
        <f>IFERROR(__xludf.DUMMYFUNCTION("""COMPUTED_VALUE"""),"https://drive.google.com/file/d/1iRznf6etHXBI3Cze7bcZNXiirI5rXWnd/view?usp=drivesdk")</f>
        <v>https://drive.google.com/file/d/1iRznf6etHXBI3Cze7bcZNXiirI5rXWnd/view?usp=drivesdk</v>
      </c>
      <c r="D3862" s="12"/>
      <c r="E3862" s="11">
        <v>3900.0</v>
      </c>
      <c r="F3862" s="2"/>
    </row>
    <row r="3863" ht="1.5" customHeight="1">
      <c r="A3863" s="4" t="str">
        <f>IFERROR(__xludf.DUMMYFUNCTION("""COMPUTED_VALUE"""),"45. Boots, 42. Rubber")</f>
        <v>45. Boots, 42. Rubber</v>
      </c>
      <c r="B3863" s="4" t="str">
        <f>IFERROR(__xludf.DUMMYFUNCTION("""COMPUTED_VALUE"""),"45, 42")</f>
        <v>45, 42</v>
      </c>
      <c r="C3863" s="5" t="str">
        <f>IFERROR(__xludf.DUMMYFUNCTION("""COMPUTED_VALUE"""),"https://drive.google.com/file/d/1JeisAUwcrfuizTfAIi0QxDqDGr1Ltbqp/view?usp=drivesdk")</f>
        <v>https://drive.google.com/file/d/1JeisAUwcrfuizTfAIi0QxDqDGr1Ltbqp/view?usp=drivesdk</v>
      </c>
      <c r="D3863" s="12"/>
      <c r="E3863" s="11">
        <v>3901.0</v>
      </c>
      <c r="F3863" s="2"/>
    </row>
    <row r="3864" ht="1.5" customHeight="1">
      <c r="A3864" s="4" t="str">
        <f>IFERROR(__xludf.DUMMYFUNCTION("""COMPUTED_VALUE"""),"45. Boots, 42. Rubber")</f>
        <v>45. Boots, 42. Rubber</v>
      </c>
      <c r="B3864" s="4" t="str">
        <f>IFERROR(__xludf.DUMMYFUNCTION("""COMPUTED_VALUE"""),"45, 42")</f>
        <v>45, 42</v>
      </c>
      <c r="C3864" s="5" t="str">
        <f>IFERROR(__xludf.DUMMYFUNCTION("""COMPUTED_VALUE"""),"https://drive.google.com/file/d/1R2_Uew2IgyVt6oTNemX7lDoQzU7TntAw/view?usp=drivesdk")</f>
        <v>https://drive.google.com/file/d/1R2_Uew2IgyVt6oTNemX7lDoQzU7TntAw/view?usp=drivesdk</v>
      </c>
      <c r="D3864" s="12"/>
      <c r="E3864" s="11">
        <v>3902.0</v>
      </c>
      <c r="F3864" s="2"/>
    </row>
    <row r="3865" ht="1.5" customHeight="1">
      <c r="A3865" s="4" t="str">
        <f>IFERROR(__xludf.DUMMYFUNCTION("""COMPUTED_VALUE"""),"42. Rubber, 41. Gregory, 47. Nefarious, 43. Bruno")</f>
        <v>42. Rubber, 41. Gregory, 47. Nefarious, 43. Bruno</v>
      </c>
      <c r="B3865" s="4" t="str">
        <f>IFERROR(__xludf.DUMMYFUNCTION("""COMPUTED_VALUE"""),"42, 41, 47, 43")</f>
        <v>42, 41, 47, 43</v>
      </c>
      <c r="C3865" s="5" t="str">
        <f>IFERROR(__xludf.DUMMYFUNCTION("""COMPUTED_VALUE"""),"https://drive.google.com/file/d/1pA4wmWo_1_tRtFLjdcIeBgl2eiZWyEo_/view?usp=drivesdk")</f>
        <v>https://drive.google.com/file/d/1pA4wmWo_1_tRtFLjdcIeBgl2eiZWyEo_/view?usp=drivesdk</v>
      </c>
      <c r="D3865" s="12"/>
      <c r="E3865" s="11">
        <v>3903.0</v>
      </c>
      <c r="F3865" s="2"/>
    </row>
    <row r="3866" ht="1.5" customHeight="1">
      <c r="A3866" s="4" t="str">
        <f>IFERROR(__xludf.DUMMYFUNCTION("""COMPUTED_VALUE"""),"38. Winston")</f>
        <v>38. Winston</v>
      </c>
      <c r="B3866" s="4" t="str">
        <f>IFERROR(__xludf.DUMMYFUNCTION("""COMPUTED_VALUE"""),"38")</f>
        <v>38</v>
      </c>
      <c r="C3866" s="5" t="str">
        <f>IFERROR(__xludf.DUMMYFUNCTION("""COMPUTED_VALUE"""),"https://drive.google.com/file/d/1dIvgmkjolcbKGNgDv-S_qmLgxYwygWCz/view?usp=drivesdk")</f>
        <v>https://drive.google.com/file/d/1dIvgmkjolcbKGNgDv-S_qmLgxYwygWCz/view?usp=drivesdk</v>
      </c>
      <c r="D3866" s="12"/>
      <c r="E3866" s="11">
        <v>3904.0</v>
      </c>
      <c r="F3866" s="2"/>
    </row>
    <row r="3867" ht="1.5" customHeight="1">
      <c r="A3867" s="4" t="str">
        <f>IFERROR(__xludf.DUMMYFUNCTION("""COMPUTED_VALUE"""),"42. Rubber")</f>
        <v>42. Rubber</v>
      </c>
      <c r="B3867" s="4" t="str">
        <f>IFERROR(__xludf.DUMMYFUNCTION("""COMPUTED_VALUE"""),"42")</f>
        <v>42</v>
      </c>
      <c r="C3867" s="5" t="str">
        <f>IFERROR(__xludf.DUMMYFUNCTION("""COMPUTED_VALUE"""),"https://drive.google.com/file/d/1vhIPgjWY19ZcnJAKahPwA-SSDMFB3JuB/view?usp=drivesdk")</f>
        <v>https://drive.google.com/file/d/1vhIPgjWY19ZcnJAKahPwA-SSDMFB3JuB/view?usp=drivesdk</v>
      </c>
      <c r="D3867" s="12"/>
      <c r="E3867" s="11">
        <v>3905.0</v>
      </c>
      <c r="F3867" s="2"/>
    </row>
    <row r="3868" ht="1.5" customHeight="1">
      <c r="A3868" s="4" t="str">
        <f>IFERROR(__xludf.DUMMYFUNCTION("""COMPUTED_VALUE"""),"45. Boots, 42. Rubber")</f>
        <v>45. Boots, 42. Rubber</v>
      </c>
      <c r="B3868" s="4" t="str">
        <f>IFERROR(__xludf.DUMMYFUNCTION("""COMPUTED_VALUE"""),"45, 42")</f>
        <v>45, 42</v>
      </c>
      <c r="C3868" s="5" t="str">
        <f>IFERROR(__xludf.DUMMYFUNCTION("""COMPUTED_VALUE"""),"https://drive.google.com/file/d/1fYjzMlPDVL02DKklfgVqnkQtknpHfW03/view?usp=drivesdk")</f>
        <v>https://drive.google.com/file/d/1fYjzMlPDVL02DKklfgVqnkQtknpHfW03/view?usp=drivesdk</v>
      </c>
      <c r="D3868" s="12"/>
      <c r="E3868" s="11">
        <v>3906.0</v>
      </c>
      <c r="F3868" s="2"/>
    </row>
    <row r="3869" ht="1.5" customHeight="1">
      <c r="A3869" s="4" t="str">
        <f>IFERROR(__xludf.DUMMYFUNCTION("""COMPUTED_VALUE"""),"45. Boots, 42. Rubber")</f>
        <v>45. Boots, 42. Rubber</v>
      </c>
      <c r="B3869" s="4" t="str">
        <f>IFERROR(__xludf.DUMMYFUNCTION("""COMPUTED_VALUE"""),"45, 42")</f>
        <v>45, 42</v>
      </c>
      <c r="C3869" s="5" t="str">
        <f>IFERROR(__xludf.DUMMYFUNCTION("""COMPUTED_VALUE"""),"https://drive.google.com/file/d/1fJKHhJhYnPppgaSSSYXyIVyqacZGDALu/view?usp=drivesdk")</f>
        <v>https://drive.google.com/file/d/1fJKHhJhYnPppgaSSSYXyIVyqacZGDALu/view?usp=drivesdk</v>
      </c>
      <c r="D3869" s="12"/>
      <c r="E3869" s="11">
        <v>3907.0</v>
      </c>
      <c r="F3869" s="2"/>
    </row>
    <row r="3870" ht="1.5" customHeight="1">
      <c r="A3870" s="4" t="str">
        <f>IFERROR(__xludf.DUMMYFUNCTION("""COMPUTED_VALUE"""),"45. Boots, 42. Rubber, 38. Winston, 41. Gregory, 47. Nefarious")</f>
        <v>45. Boots, 42. Rubber, 38. Winston, 41. Gregory, 47. Nefarious</v>
      </c>
      <c r="B3870" s="4" t="str">
        <f>IFERROR(__xludf.DUMMYFUNCTION("""COMPUTED_VALUE"""),"45, 42, 38, 41, 47")</f>
        <v>45, 42, 38, 41, 47</v>
      </c>
      <c r="C3870" s="5" t="str">
        <f>IFERROR(__xludf.DUMMYFUNCTION("""COMPUTED_VALUE"""),"https://drive.google.com/file/d/1XyH-xRWSUZWrCDrGPaKqgSJV-_AAEp0g/view?usp=drivesdk")</f>
        <v>https://drive.google.com/file/d/1XyH-xRWSUZWrCDrGPaKqgSJV-_AAEp0g/view?usp=drivesdk</v>
      </c>
      <c r="D3870" s="12"/>
      <c r="E3870" s="11">
        <v>3908.0</v>
      </c>
      <c r="F3870" s="2"/>
    </row>
    <row r="3871" ht="1.5" customHeight="1">
      <c r="A3871" s="4" t="str">
        <f>IFERROR(__xludf.DUMMYFUNCTION("""COMPUTED_VALUE"""),"45. Boots, 42. Rubber, 38. Winston, 41. Gregory, 47. Nefarious")</f>
        <v>45. Boots, 42. Rubber, 38. Winston, 41. Gregory, 47. Nefarious</v>
      </c>
      <c r="B3871" s="4" t="str">
        <f>IFERROR(__xludf.DUMMYFUNCTION("""COMPUTED_VALUE"""),"45, 42, 38, 41, 47")</f>
        <v>45, 42, 38, 41, 47</v>
      </c>
      <c r="C3871" s="5" t="str">
        <f>IFERROR(__xludf.DUMMYFUNCTION("""COMPUTED_VALUE"""),"https://drive.google.com/file/d/1d0Fd0jMR6MxF9gzUNsqeUMVc1l15fxa-/view?usp=drivesdk")</f>
        <v>https://drive.google.com/file/d/1d0Fd0jMR6MxF9gzUNsqeUMVc1l15fxa-/view?usp=drivesdk</v>
      </c>
      <c r="D3871" s="12"/>
      <c r="E3871" s="11">
        <v>3909.0</v>
      </c>
      <c r="F3871" s="2"/>
    </row>
    <row r="3872" ht="1.5" customHeight="1">
      <c r="A3872" s="4" t="str">
        <f>IFERROR(__xludf.DUMMYFUNCTION("""COMPUTED_VALUE"""),"47. Nefarious")</f>
        <v>47. Nefarious</v>
      </c>
      <c r="B3872" s="4" t="str">
        <f>IFERROR(__xludf.DUMMYFUNCTION("""COMPUTED_VALUE"""),"47")</f>
        <v>47</v>
      </c>
      <c r="C3872" s="5" t="str">
        <f>IFERROR(__xludf.DUMMYFUNCTION("""COMPUTED_VALUE"""),"https://drive.google.com/file/d/1xuN08KPS8MKLIBpqmIzjz2eloRvrDAz4/view?usp=drivesdk")</f>
        <v>https://drive.google.com/file/d/1xuN08KPS8MKLIBpqmIzjz2eloRvrDAz4/view?usp=drivesdk</v>
      </c>
      <c r="D3872" s="12"/>
      <c r="E3872" s="11">
        <v>3910.0</v>
      </c>
      <c r="F3872" s="2"/>
    </row>
    <row r="3873" ht="1.5" customHeight="1">
      <c r="A3873" s="4" t="str">
        <f>IFERROR(__xludf.DUMMYFUNCTION("""COMPUTED_VALUE"""),"41. Gregory")</f>
        <v>41. Gregory</v>
      </c>
      <c r="B3873" s="4" t="str">
        <f>IFERROR(__xludf.DUMMYFUNCTION("""COMPUTED_VALUE"""),"41")</f>
        <v>41</v>
      </c>
      <c r="C3873" s="5" t="str">
        <f>IFERROR(__xludf.DUMMYFUNCTION("""COMPUTED_VALUE"""),"https://drive.google.com/file/d/1ufs2sJlOW7LlLFCa7PsXAXscZsM9PaVA/view?usp=drivesdk")</f>
        <v>https://drive.google.com/file/d/1ufs2sJlOW7LlLFCa7PsXAXscZsM9PaVA/view?usp=drivesdk</v>
      </c>
      <c r="D3873" s="12"/>
      <c r="E3873" s="11">
        <v>3911.0</v>
      </c>
      <c r="F3873" s="2"/>
    </row>
    <row r="3874" ht="1.5" customHeight="1">
      <c r="A3874" s="4" t="str">
        <f>IFERROR(__xludf.DUMMYFUNCTION("""COMPUTED_VALUE"""),"38. Winston")</f>
        <v>38. Winston</v>
      </c>
      <c r="B3874" s="4" t="str">
        <f>IFERROR(__xludf.DUMMYFUNCTION("""COMPUTED_VALUE"""),"38")</f>
        <v>38</v>
      </c>
      <c r="C3874" s="5" t="str">
        <f>IFERROR(__xludf.DUMMYFUNCTION("""COMPUTED_VALUE"""),"https://drive.google.com/file/d/1ojPQ_W-u_brM2MbCHY5aStkLxkFPV-GK/view?usp=drivesdk")</f>
        <v>https://drive.google.com/file/d/1ojPQ_W-u_brM2MbCHY5aStkLxkFPV-GK/view?usp=drivesdk</v>
      </c>
      <c r="D3874" s="12"/>
      <c r="E3874" s="11">
        <v>3912.0</v>
      </c>
      <c r="F3874" s="2"/>
    </row>
    <row r="3875" ht="1.5" customHeight="1">
      <c r="A3875" s="4" t="str">
        <f>IFERROR(__xludf.DUMMYFUNCTION("""COMPUTED_VALUE"""),"45. Boots, 42. Rubber, 41. Gregory, 38. Winston, 47. Nefarious")</f>
        <v>45. Boots, 42. Rubber, 41. Gregory, 38. Winston, 47. Nefarious</v>
      </c>
      <c r="B3875" s="4" t="str">
        <f>IFERROR(__xludf.DUMMYFUNCTION("""COMPUTED_VALUE"""),"45, 42, 41, 38, 47")</f>
        <v>45, 42, 41, 38, 47</v>
      </c>
      <c r="C3875" s="5" t="str">
        <f>IFERROR(__xludf.DUMMYFUNCTION("""COMPUTED_VALUE"""),"https://drive.google.com/file/d/1A1ubEvClWFk13bnVaB1-8YKKlXnzqMeQ/view?usp=drivesdk")</f>
        <v>https://drive.google.com/file/d/1A1ubEvClWFk13bnVaB1-8YKKlXnzqMeQ/view?usp=drivesdk</v>
      </c>
      <c r="D3875" s="12"/>
      <c r="E3875" s="11">
        <v>3913.0</v>
      </c>
      <c r="F3875" s="2"/>
    </row>
    <row r="3876" ht="1.5" customHeight="1">
      <c r="A3876" s="4" t="str">
        <f>IFERROR(__xludf.DUMMYFUNCTION("""COMPUTED_VALUE"""),"61. Cassie")</f>
        <v>61. Cassie</v>
      </c>
      <c r="B3876" s="4" t="str">
        <f>IFERROR(__xludf.DUMMYFUNCTION("""COMPUTED_VALUE"""),"61")</f>
        <v>61</v>
      </c>
      <c r="C3876" s="5" t="str">
        <f>IFERROR(__xludf.DUMMYFUNCTION("""COMPUTED_VALUE"""),"https://drive.google.com/file/d/1D_uku3XyjMJiESOZ-kfpkuk2hjzVdRcr/view?usp=drivesdk")</f>
        <v>https://drive.google.com/file/d/1D_uku3XyjMJiESOZ-kfpkuk2hjzVdRcr/view?usp=drivesdk</v>
      </c>
      <c r="D3876" s="12"/>
      <c r="E3876" s="11">
        <v>3914.0</v>
      </c>
      <c r="F3876" s="2"/>
    </row>
    <row r="3877" ht="1.5" customHeight="1">
      <c r="A3877" s="4" t="str">
        <f>IFERROR(__xludf.DUMMYFUNCTION("""COMPUTED_VALUE"""),"61. Cassie")</f>
        <v>61. Cassie</v>
      </c>
      <c r="B3877" s="4" t="str">
        <f>IFERROR(__xludf.DUMMYFUNCTION("""COMPUTED_VALUE"""),"61")</f>
        <v>61</v>
      </c>
      <c r="C3877" s="5" t="str">
        <f>IFERROR(__xludf.DUMMYFUNCTION("""COMPUTED_VALUE"""),"https://drive.google.com/file/d/1YljCq3aUtZT8WzTf0Da5LsdXIMBqAyK9/view?usp=drivesdk")</f>
        <v>https://drive.google.com/file/d/1YljCq3aUtZT8WzTf0Da5LsdXIMBqAyK9/view?usp=drivesdk</v>
      </c>
      <c r="D3877" s="12"/>
      <c r="E3877" s="11">
        <v>3915.0</v>
      </c>
      <c r="F3877" s="2"/>
    </row>
    <row r="3878" ht="1.5" customHeight="1">
      <c r="A3878" s="4" t="str">
        <f>IFERROR(__xludf.DUMMYFUNCTION("""COMPUTED_VALUE"""),"41. Gregory, 45. Boots, 47. Nefarious")</f>
        <v>41. Gregory, 45. Boots, 47. Nefarious</v>
      </c>
      <c r="B3878" s="4" t="str">
        <f>IFERROR(__xludf.DUMMYFUNCTION("""COMPUTED_VALUE"""),"41, 45, 47")</f>
        <v>41, 45, 47</v>
      </c>
      <c r="C3878" s="5" t="str">
        <f>IFERROR(__xludf.DUMMYFUNCTION("""COMPUTED_VALUE"""),"https://drive.google.com/file/d/192EK-0nquhP_GfrzWWyC2fWFVmeQLYqY/view?usp=drivesdk")</f>
        <v>https://drive.google.com/file/d/192EK-0nquhP_GfrzWWyC2fWFVmeQLYqY/view?usp=drivesdk</v>
      </c>
      <c r="D3878" s="12"/>
      <c r="E3878" s="11">
        <v>3916.0</v>
      </c>
      <c r="F3878" s="2"/>
    </row>
    <row r="3879" ht="1.5" customHeight="1">
      <c r="A3879" s="4" t="str">
        <f>IFERROR(__xludf.DUMMYFUNCTION("""COMPUTED_VALUE"""),"42. Rubber, 45. Boots, 41. Gregory")</f>
        <v>42. Rubber, 45. Boots, 41. Gregory</v>
      </c>
      <c r="B3879" s="4" t="str">
        <f>IFERROR(__xludf.DUMMYFUNCTION("""COMPUTED_VALUE"""),"42, 45, 41")</f>
        <v>42, 45, 41</v>
      </c>
      <c r="C3879" s="5" t="str">
        <f>IFERROR(__xludf.DUMMYFUNCTION("""COMPUTED_VALUE"""),"https://drive.google.com/file/d/1Zn4fvO5sO5Fjz15PL407wHKQQSod-pKb/view?usp=drivesdk")</f>
        <v>https://drive.google.com/file/d/1Zn4fvO5sO5Fjz15PL407wHKQQSod-pKb/view?usp=drivesdk</v>
      </c>
      <c r="D3879" s="12"/>
      <c r="E3879" s="11">
        <v>3917.0</v>
      </c>
      <c r="F3879" s="2"/>
    </row>
    <row r="3880" ht="1.5" customHeight="1">
      <c r="A3880" s="4" t="str">
        <f>IFERROR(__xludf.DUMMYFUNCTION("""COMPUTED_VALUE"""),"45. Boots, 42. Rubber, 38. Winston, 41. Gregory, 47. Nefarious")</f>
        <v>45. Boots, 42. Rubber, 38. Winston, 41. Gregory, 47. Nefarious</v>
      </c>
      <c r="B3880" s="4" t="str">
        <f>IFERROR(__xludf.DUMMYFUNCTION("""COMPUTED_VALUE"""),"45, 42, 38, 41, 47")</f>
        <v>45, 42, 38, 41, 47</v>
      </c>
      <c r="C3880" s="5" t="str">
        <f>IFERROR(__xludf.DUMMYFUNCTION("""COMPUTED_VALUE"""),"https://drive.google.com/file/d/1-iCGFA-IO9ronC2gh02BxvT_1uZekUM-/view?usp=drivesdk")</f>
        <v>https://drive.google.com/file/d/1-iCGFA-IO9ronC2gh02BxvT_1uZekUM-/view?usp=drivesdk</v>
      </c>
      <c r="D3880" s="12"/>
      <c r="E3880" s="11">
        <v>3918.0</v>
      </c>
      <c r="F3880" s="2"/>
    </row>
    <row r="3881" ht="1.5" customHeight="1">
      <c r="A3881" s="4" t="str">
        <f>IFERROR(__xludf.DUMMYFUNCTION("""COMPUTED_VALUE"""),"47. Nefarious, 42. Rubber, 41. Gregory")</f>
        <v>47. Nefarious, 42. Rubber, 41. Gregory</v>
      </c>
      <c r="B3881" s="4" t="str">
        <f>IFERROR(__xludf.DUMMYFUNCTION("""COMPUTED_VALUE"""),"47, 42, 41")</f>
        <v>47, 42, 41</v>
      </c>
      <c r="C3881" s="5" t="str">
        <f>IFERROR(__xludf.DUMMYFUNCTION("""COMPUTED_VALUE"""),"https://drive.google.com/file/d/1Bre5T-CQhN3skW4Ugu98tzYgfnldA7IV/view?usp=drivesdk")</f>
        <v>https://drive.google.com/file/d/1Bre5T-CQhN3skW4Ugu98tzYgfnldA7IV/view?usp=drivesdk</v>
      </c>
      <c r="D3881" s="12"/>
      <c r="E3881" s="11">
        <v>3919.0</v>
      </c>
      <c r="F3881" s="2"/>
    </row>
    <row r="3882" ht="1.5" customHeight="1">
      <c r="A3882" s="4" t="str">
        <f>IFERROR(__xludf.DUMMYFUNCTION("""COMPUTED_VALUE"""),"38. Winston, 42. Rubber, 45. Boots, 41. Gregory, 47. Nefarious")</f>
        <v>38. Winston, 42. Rubber, 45. Boots, 41. Gregory, 47. Nefarious</v>
      </c>
      <c r="B3882" s="4" t="str">
        <f>IFERROR(__xludf.DUMMYFUNCTION("""COMPUTED_VALUE"""),"38, 42, 45, 41, 47")</f>
        <v>38, 42, 45, 41, 47</v>
      </c>
      <c r="C3882" s="5" t="str">
        <f>IFERROR(__xludf.DUMMYFUNCTION("""COMPUTED_VALUE"""),"https://drive.google.com/file/d/1vLW4W62brO7xG6TLluWzPNeKOL9pcTV7/view?usp=drivesdk")</f>
        <v>https://drive.google.com/file/d/1vLW4W62brO7xG6TLluWzPNeKOL9pcTV7/view?usp=drivesdk</v>
      </c>
      <c r="D3882" s="12"/>
      <c r="E3882" s="11">
        <v>3920.0</v>
      </c>
      <c r="F3882" s="2"/>
    </row>
    <row r="3883" ht="1.5" customHeight="1">
      <c r="A3883" s="4" t="str">
        <f>IFERROR(__xludf.DUMMYFUNCTION("""COMPUTED_VALUE"""),"45. Boots, 42. Rubber, 41. Gregory")</f>
        <v>45. Boots, 42. Rubber, 41. Gregory</v>
      </c>
      <c r="B3883" s="4" t="str">
        <f>IFERROR(__xludf.DUMMYFUNCTION("""COMPUTED_VALUE"""),"45, 42, 41")</f>
        <v>45, 42, 41</v>
      </c>
      <c r="C3883" s="5" t="str">
        <f>IFERROR(__xludf.DUMMYFUNCTION("""COMPUTED_VALUE"""),"https://drive.google.com/file/d/1KkOyKnifc-EwIXxzrrUDE4vAefpSTpJ1/view?usp=drivesdk")</f>
        <v>https://drive.google.com/file/d/1KkOyKnifc-EwIXxzrrUDE4vAefpSTpJ1/view?usp=drivesdk</v>
      </c>
      <c r="D3883" s="12"/>
      <c r="E3883" s="11">
        <v>3921.0</v>
      </c>
      <c r="F3883" s="2"/>
    </row>
    <row r="3884" ht="1.5" customHeight="1">
      <c r="A3884" s="4" t="str">
        <f>IFERROR(__xludf.DUMMYFUNCTION("""COMPUTED_VALUE"""),"38. Winston, 42. Rubber, 45. Boots, 41. Gregory, 47. Nefarious")</f>
        <v>38. Winston, 42. Rubber, 45. Boots, 41. Gregory, 47. Nefarious</v>
      </c>
      <c r="B3884" s="4" t="str">
        <f>IFERROR(__xludf.DUMMYFUNCTION("""COMPUTED_VALUE"""),"38, 42, 45, 41, 47")</f>
        <v>38, 42, 45, 41, 47</v>
      </c>
      <c r="C3884" s="5" t="str">
        <f>IFERROR(__xludf.DUMMYFUNCTION("""COMPUTED_VALUE"""),"https://drive.google.com/file/d/1gSHvz2AGvXqYJQR61H6zxebnBnM14AEh/view?usp=drivesdk")</f>
        <v>https://drive.google.com/file/d/1gSHvz2AGvXqYJQR61H6zxebnBnM14AEh/view?usp=drivesdk</v>
      </c>
      <c r="D3884" s="12"/>
      <c r="E3884" s="11">
        <v>3922.0</v>
      </c>
      <c r="F3884" s="2"/>
    </row>
    <row r="3885" ht="1.5" customHeight="1">
      <c r="A3885" s="4" t="str">
        <f>IFERROR(__xludf.DUMMYFUNCTION("""COMPUTED_VALUE"""),"41. Gregory, 45. Boots, 47. Nefarious, 42. Rubber")</f>
        <v>41. Gregory, 45. Boots, 47. Nefarious, 42. Rubber</v>
      </c>
      <c r="B3885" s="4" t="str">
        <f>IFERROR(__xludf.DUMMYFUNCTION("""COMPUTED_VALUE"""),"41, 45, 47, 42")</f>
        <v>41, 45, 47, 42</v>
      </c>
      <c r="C3885" s="5" t="str">
        <f>IFERROR(__xludf.DUMMYFUNCTION("""COMPUTED_VALUE"""),"https://drive.google.com/file/d/1ABE4nhmPCrRkzrB6FMbqrV5Cfxdi_D6A/view?usp=drivesdk")</f>
        <v>https://drive.google.com/file/d/1ABE4nhmPCrRkzrB6FMbqrV5Cfxdi_D6A/view?usp=drivesdk</v>
      </c>
      <c r="D3885" s="12"/>
      <c r="E3885" s="11">
        <v>3923.0</v>
      </c>
      <c r="F3885" s="2"/>
    </row>
    <row r="3886" ht="1.5" customHeight="1">
      <c r="A3886" s="4" t="str">
        <f>IFERROR(__xludf.DUMMYFUNCTION("""COMPUTED_VALUE"""),"61. Cassie")</f>
        <v>61. Cassie</v>
      </c>
      <c r="B3886" s="4" t="str">
        <f>IFERROR(__xludf.DUMMYFUNCTION("""COMPUTED_VALUE"""),"61")</f>
        <v>61</v>
      </c>
      <c r="C3886" s="5" t="str">
        <f>IFERROR(__xludf.DUMMYFUNCTION("""COMPUTED_VALUE"""),"https://drive.google.com/file/d/1DZvHhDZxFOqW4PJJBMbRAqM0935kzMxI/view?usp=drivesdk")</f>
        <v>https://drive.google.com/file/d/1DZvHhDZxFOqW4PJJBMbRAqM0935kzMxI/view?usp=drivesdk</v>
      </c>
      <c r="D3886" s="12"/>
      <c r="E3886" s="11">
        <v>3924.0</v>
      </c>
      <c r="F3886" s="2"/>
    </row>
    <row r="3887" ht="1.5" customHeight="1">
      <c r="A3887" s="4" t="str">
        <f>IFERROR(__xludf.DUMMYFUNCTION("""COMPUTED_VALUE"""),"61. Cassie")</f>
        <v>61. Cassie</v>
      </c>
      <c r="B3887" s="4" t="str">
        <f>IFERROR(__xludf.DUMMYFUNCTION("""COMPUTED_VALUE"""),"61")</f>
        <v>61</v>
      </c>
      <c r="C3887" s="5" t="str">
        <f>IFERROR(__xludf.DUMMYFUNCTION("""COMPUTED_VALUE"""),"https://drive.google.com/file/d/1NLP43R4jRJWqmarg6rzgPY0-AcLB3PSQ/view?usp=drivesdk")</f>
        <v>https://drive.google.com/file/d/1NLP43R4jRJWqmarg6rzgPY0-AcLB3PSQ/view?usp=drivesdk</v>
      </c>
      <c r="D3887" s="12"/>
      <c r="E3887" s="11">
        <v>3925.0</v>
      </c>
      <c r="F3887" s="2"/>
    </row>
    <row r="3888" ht="1.5" customHeight="1">
      <c r="A3888" s="4" t="str">
        <f>IFERROR(__xludf.DUMMYFUNCTION("""COMPUTED_VALUE"""),"47. Nefarious, 42. Rubber, 41. Gregory")</f>
        <v>47. Nefarious, 42. Rubber, 41. Gregory</v>
      </c>
      <c r="B3888" s="4" t="str">
        <f>IFERROR(__xludf.DUMMYFUNCTION("""COMPUTED_VALUE"""),"47, 42, 41")</f>
        <v>47, 42, 41</v>
      </c>
      <c r="C3888" s="5" t="str">
        <f>IFERROR(__xludf.DUMMYFUNCTION("""COMPUTED_VALUE"""),"https://drive.google.com/file/d/1OvbJghX_wgnRIYcBA7RgcvHuT-9p5EPs/view?usp=drivesdk")</f>
        <v>https://drive.google.com/file/d/1OvbJghX_wgnRIYcBA7RgcvHuT-9p5EPs/view?usp=drivesdk</v>
      </c>
      <c r="D3888" s="12"/>
      <c r="E3888" s="11">
        <v>3926.0</v>
      </c>
      <c r="F3888" s="2"/>
    </row>
    <row r="3889" ht="1.5" customHeight="1">
      <c r="A3889" s="4" t="str">
        <f>IFERROR(__xludf.DUMMYFUNCTION("""COMPUTED_VALUE"""),"47. Nefarious, 42. Rubber, 41. Gregory")</f>
        <v>47. Nefarious, 42. Rubber, 41. Gregory</v>
      </c>
      <c r="B3889" s="4" t="str">
        <f>IFERROR(__xludf.DUMMYFUNCTION("""COMPUTED_VALUE"""),"47, 42, 41")</f>
        <v>47, 42, 41</v>
      </c>
      <c r="C3889" s="5" t="str">
        <f>IFERROR(__xludf.DUMMYFUNCTION("""COMPUTED_VALUE"""),"https://drive.google.com/file/d/1jBis6_dFcu2PjGL8HITe7QJz45ciHNap/view?usp=drivesdk")</f>
        <v>https://drive.google.com/file/d/1jBis6_dFcu2PjGL8HITe7QJz45ciHNap/view?usp=drivesdk</v>
      </c>
      <c r="D3889" s="12"/>
      <c r="E3889" s="11">
        <v>3927.0</v>
      </c>
      <c r="F3889" s="2"/>
    </row>
    <row r="3890" ht="1.5" customHeight="1">
      <c r="A3890" s="4" t="str">
        <f>IFERROR(__xludf.DUMMYFUNCTION("""COMPUTED_VALUE"""),"47. Nefarious, 42. Rubber, 41. Gregory, 45. Boots")</f>
        <v>47. Nefarious, 42. Rubber, 41. Gregory, 45. Boots</v>
      </c>
      <c r="B3890" s="4" t="str">
        <f>IFERROR(__xludf.DUMMYFUNCTION("""COMPUTED_VALUE"""),"47, 42, 41, 45")</f>
        <v>47, 42, 41, 45</v>
      </c>
      <c r="C3890" s="5" t="str">
        <f>IFERROR(__xludf.DUMMYFUNCTION("""COMPUTED_VALUE"""),"https://drive.google.com/file/d/1UNcgZDTd674ARqjURkBM2ssvlBx0lR6f/view?usp=drivesdk")</f>
        <v>https://drive.google.com/file/d/1UNcgZDTd674ARqjURkBM2ssvlBx0lR6f/view?usp=drivesdk</v>
      </c>
      <c r="D3890" s="12"/>
      <c r="E3890" s="11">
        <v>3928.0</v>
      </c>
      <c r="F3890" s="2"/>
    </row>
    <row r="3891" ht="1.5" customHeight="1">
      <c r="A3891" s="4" t="str">
        <f>IFERROR(__xludf.DUMMYFUNCTION("""COMPUTED_VALUE"""),"42. Rubber, 41. Gregory, 45. Boots")</f>
        <v>42. Rubber, 41. Gregory, 45. Boots</v>
      </c>
      <c r="B3891" s="4" t="str">
        <f>IFERROR(__xludf.DUMMYFUNCTION("""COMPUTED_VALUE"""),"42, 41, 45")</f>
        <v>42, 41, 45</v>
      </c>
      <c r="C3891" s="5" t="str">
        <f>IFERROR(__xludf.DUMMYFUNCTION("""COMPUTED_VALUE"""),"https://drive.google.com/file/d/1pEOn2SPyOviTdoCzMr50zqOjGJs1qVvP/view?usp=drivesdk")</f>
        <v>https://drive.google.com/file/d/1pEOn2SPyOviTdoCzMr50zqOjGJs1qVvP/view?usp=drivesdk</v>
      </c>
      <c r="D3891" s="12"/>
      <c r="E3891" s="11">
        <v>3929.0</v>
      </c>
      <c r="F3891" s="2"/>
    </row>
    <row r="3892" ht="1.5" customHeight="1">
      <c r="A3892" s="4" t="str">
        <f>IFERROR(__xludf.DUMMYFUNCTION("""COMPUTED_VALUE"""),"38. Winston, 42. Rubber, 45. Boots, 41. Gregory, 47. Nefarious")</f>
        <v>38. Winston, 42. Rubber, 45. Boots, 41. Gregory, 47. Nefarious</v>
      </c>
      <c r="B3892" s="4" t="str">
        <f>IFERROR(__xludf.DUMMYFUNCTION("""COMPUTED_VALUE"""),"38, 42, 45, 41, 47")</f>
        <v>38, 42, 45, 41, 47</v>
      </c>
      <c r="C3892" s="5" t="str">
        <f>IFERROR(__xludf.DUMMYFUNCTION("""COMPUTED_VALUE"""),"https://drive.google.com/file/d/1yNGsGk9NxL2CdpC4ZaAUopRvxHtQfVfw/view?usp=drivesdk")</f>
        <v>https://drive.google.com/file/d/1yNGsGk9NxL2CdpC4ZaAUopRvxHtQfVfw/view?usp=drivesdk</v>
      </c>
      <c r="D3892" s="12"/>
      <c r="E3892" s="11">
        <v>3930.0</v>
      </c>
      <c r="F3892" s="2"/>
    </row>
    <row r="3893" ht="1.5" customHeight="1">
      <c r="A3893" s="4" t="str">
        <f>IFERROR(__xludf.DUMMYFUNCTION("""COMPUTED_VALUE"""),"45. Boots, 42. Rubber, 38. Winston, 47. Nefarious, 41. Gregory")</f>
        <v>45. Boots, 42. Rubber, 38. Winston, 47. Nefarious, 41. Gregory</v>
      </c>
      <c r="B3893" s="4" t="str">
        <f>IFERROR(__xludf.DUMMYFUNCTION("""COMPUTED_VALUE"""),"45, 42, 38, 47, 41")</f>
        <v>45, 42, 38, 47, 41</v>
      </c>
      <c r="C3893" s="5" t="str">
        <f>IFERROR(__xludf.DUMMYFUNCTION("""COMPUTED_VALUE"""),"https://drive.google.com/file/d/1geW1yGM9yoPFhIXfaM3eWU953Kk1cXLI/view?usp=drivesdk")</f>
        <v>https://drive.google.com/file/d/1geW1yGM9yoPFhIXfaM3eWU953Kk1cXLI/view?usp=drivesdk</v>
      </c>
      <c r="D3893" s="12"/>
      <c r="E3893" s="11">
        <v>3931.0</v>
      </c>
      <c r="F3893" s="2"/>
    </row>
    <row r="3894" ht="1.5" customHeight="1">
      <c r="A3894" s="4" t="str">
        <f>IFERROR(__xludf.DUMMYFUNCTION("""COMPUTED_VALUE"""),"45. Boots, 42. Rubber, 47. Nefarious, 41. Gregory")</f>
        <v>45. Boots, 42. Rubber, 47. Nefarious, 41. Gregory</v>
      </c>
      <c r="B3894" s="4" t="str">
        <f>IFERROR(__xludf.DUMMYFUNCTION("""COMPUTED_VALUE"""),"45, 42, 47, 41")</f>
        <v>45, 42, 47, 41</v>
      </c>
      <c r="C3894" s="5" t="str">
        <f>IFERROR(__xludf.DUMMYFUNCTION("""COMPUTED_VALUE"""),"https://drive.google.com/file/d/1n23iItOEHSG_DAKaTBYnS43CbFpRYrzN/view?usp=drivesdk")</f>
        <v>https://drive.google.com/file/d/1n23iItOEHSG_DAKaTBYnS43CbFpRYrzN/view?usp=drivesdk</v>
      </c>
      <c r="D3894" s="12"/>
      <c r="E3894" s="11">
        <v>3932.0</v>
      </c>
      <c r="F3894" s="2"/>
    </row>
    <row r="3895" ht="1.5" customHeight="1">
      <c r="A3895" s="4" t="str">
        <f>IFERROR(__xludf.DUMMYFUNCTION("""COMPUTED_VALUE"""),"38. Winston, 42. Rubber")</f>
        <v>38. Winston, 42. Rubber</v>
      </c>
      <c r="B3895" s="4" t="str">
        <f>IFERROR(__xludf.DUMMYFUNCTION("""COMPUTED_VALUE"""),"38, 42")</f>
        <v>38, 42</v>
      </c>
      <c r="C3895" s="5" t="str">
        <f>IFERROR(__xludf.DUMMYFUNCTION("""COMPUTED_VALUE"""),"https://drive.google.com/file/d/18OFYpZk_HaqGIKywhYR7F-ycaV17_ar1/view?usp=drivesdk")</f>
        <v>https://drive.google.com/file/d/18OFYpZk_HaqGIKywhYR7F-ycaV17_ar1/view?usp=drivesdk</v>
      </c>
      <c r="D3895" s="12"/>
      <c r="E3895" s="11">
        <v>3933.0</v>
      </c>
      <c r="F3895" s="2"/>
    </row>
    <row r="3896" ht="1.5" customHeight="1">
      <c r="A3896" s="4" t="str">
        <f>IFERROR(__xludf.DUMMYFUNCTION("""COMPUTED_VALUE"""),"47. Nefarious")</f>
        <v>47. Nefarious</v>
      </c>
      <c r="B3896" s="4" t="str">
        <f>IFERROR(__xludf.DUMMYFUNCTION("""COMPUTED_VALUE"""),"47")</f>
        <v>47</v>
      </c>
      <c r="C3896" s="5" t="str">
        <f>IFERROR(__xludf.DUMMYFUNCTION("""COMPUTED_VALUE"""),"https://drive.google.com/file/d/1VCcGjSqKALUUIjjTZj3qGPCxF9d3xFr-/view?usp=drivesdk")</f>
        <v>https://drive.google.com/file/d/1VCcGjSqKALUUIjjTZj3qGPCxF9d3xFr-/view?usp=drivesdk</v>
      </c>
      <c r="D3896" s="12"/>
      <c r="E3896" s="11">
        <v>3934.0</v>
      </c>
      <c r="F3896" s="2"/>
    </row>
    <row r="3897" ht="1.5" customHeight="1">
      <c r="A3897" s="4" t="str">
        <f>IFERROR(__xludf.DUMMYFUNCTION("""COMPUTED_VALUE"""),"45. Boots, 41. Gregory, 42. Rubber, 47. Nefarious")</f>
        <v>45. Boots, 41. Gregory, 42. Rubber, 47. Nefarious</v>
      </c>
      <c r="B3897" s="4" t="str">
        <f>IFERROR(__xludf.DUMMYFUNCTION("""COMPUTED_VALUE"""),"45, 41, 42, 47")</f>
        <v>45, 41, 42, 47</v>
      </c>
      <c r="C3897" s="5" t="str">
        <f>IFERROR(__xludf.DUMMYFUNCTION("""COMPUTED_VALUE"""),"https://drive.google.com/file/d/1e3SnOQCRxcaSQwX6vT6BMqCJELLzYYbq/view?usp=drivesdk")</f>
        <v>https://drive.google.com/file/d/1e3SnOQCRxcaSQwX6vT6BMqCJELLzYYbq/view?usp=drivesdk</v>
      </c>
      <c r="D3897" s="12"/>
      <c r="E3897" s="11">
        <v>3935.0</v>
      </c>
      <c r="F3897" s="2"/>
    </row>
    <row r="3898" ht="1.5" customHeight="1">
      <c r="A3898" s="4" t="str">
        <f>IFERROR(__xludf.DUMMYFUNCTION("""COMPUTED_VALUE"""),"41. Gregory, 42. Rubber, 47. Nefarious")</f>
        <v>41. Gregory, 42. Rubber, 47. Nefarious</v>
      </c>
      <c r="B3898" s="4" t="str">
        <f>IFERROR(__xludf.DUMMYFUNCTION("""COMPUTED_VALUE"""),"41, 42, 47")</f>
        <v>41, 42, 47</v>
      </c>
      <c r="C3898" s="5" t="str">
        <f>IFERROR(__xludf.DUMMYFUNCTION("""COMPUTED_VALUE"""),"https://drive.google.com/file/d/18VVnJSUidyCBAKGBnq490K8oLp_vw4te/view?usp=drivesdk")</f>
        <v>https://drive.google.com/file/d/18VVnJSUidyCBAKGBnq490K8oLp_vw4te/view?usp=drivesdk</v>
      </c>
      <c r="D3898" s="12"/>
      <c r="E3898" s="11">
        <v>3936.0</v>
      </c>
      <c r="F3898" s="2"/>
    </row>
    <row r="3899" ht="1.5" customHeight="1">
      <c r="A3899" s="4" t="str">
        <f>IFERROR(__xludf.DUMMYFUNCTION("""COMPUTED_VALUE"""),"45. Boots, 42. Rubber, 41. Gregory, 47. Nefarious")</f>
        <v>45. Boots, 42. Rubber, 41. Gregory, 47. Nefarious</v>
      </c>
      <c r="B3899" s="4" t="str">
        <f>IFERROR(__xludf.DUMMYFUNCTION("""COMPUTED_VALUE"""),"45, 42, 41, 47")</f>
        <v>45, 42, 41, 47</v>
      </c>
      <c r="C3899" s="5" t="str">
        <f>IFERROR(__xludf.DUMMYFUNCTION("""COMPUTED_VALUE"""),"https://drive.google.com/file/d/1FXinxsUbUo2Upq1GJhrt6zqWAC6IzvID/view?usp=drivesdk")</f>
        <v>https://drive.google.com/file/d/1FXinxsUbUo2Upq1GJhrt6zqWAC6IzvID/view?usp=drivesdk</v>
      </c>
      <c r="D3899" s="12"/>
      <c r="E3899" s="11">
        <v>3937.0</v>
      </c>
      <c r="F3899" s="2"/>
    </row>
    <row r="3900" ht="1.5" customHeight="1">
      <c r="A3900" s="4" t="str">
        <f>IFERROR(__xludf.DUMMYFUNCTION("""COMPUTED_VALUE"""),"45. Boots, 42. Rubber, 41. Gregory, 47. Nefarious, 38. Winston")</f>
        <v>45. Boots, 42. Rubber, 41. Gregory, 47. Nefarious, 38. Winston</v>
      </c>
      <c r="B3900" s="4" t="str">
        <f>IFERROR(__xludf.DUMMYFUNCTION("""COMPUTED_VALUE"""),"45, 42, 41, 47, 38")</f>
        <v>45, 42, 41, 47, 38</v>
      </c>
      <c r="C3900" s="5" t="str">
        <f>IFERROR(__xludf.DUMMYFUNCTION("""COMPUTED_VALUE"""),"https://drive.google.com/file/d/164Yj85mKuGCAALocIZ3qrxHoNwg6S2PI/view?usp=drivesdk")</f>
        <v>https://drive.google.com/file/d/164Yj85mKuGCAALocIZ3qrxHoNwg6S2PI/view?usp=drivesdk</v>
      </c>
      <c r="D3900" s="12"/>
      <c r="E3900" s="11">
        <v>3938.0</v>
      </c>
      <c r="F3900" s="2"/>
    </row>
    <row r="3901" ht="1.5" customHeight="1">
      <c r="A3901" s="4" t="str">
        <f>IFERROR(__xludf.DUMMYFUNCTION("""COMPUTED_VALUE"""),"45. Boots, 42. Rubber, 41. Gregory, 47. Nefarious")</f>
        <v>45. Boots, 42. Rubber, 41. Gregory, 47. Nefarious</v>
      </c>
      <c r="B3901" s="4" t="str">
        <f>IFERROR(__xludf.DUMMYFUNCTION("""COMPUTED_VALUE"""),"45, 42, 41, 47")</f>
        <v>45, 42, 41, 47</v>
      </c>
      <c r="C3901" s="5" t="str">
        <f>IFERROR(__xludf.DUMMYFUNCTION("""COMPUTED_VALUE"""),"https://drive.google.com/file/d/1yhCcLjYQGlhuojrWEKfFwEsMYDcR_zfz/view?usp=drivesdk")</f>
        <v>https://drive.google.com/file/d/1yhCcLjYQGlhuojrWEKfFwEsMYDcR_zfz/view?usp=drivesdk</v>
      </c>
      <c r="D3901" s="12"/>
      <c r="E3901" s="11">
        <v>3939.0</v>
      </c>
      <c r="F3901" s="2"/>
    </row>
    <row r="3902" ht="1.5" customHeight="1">
      <c r="A3902" s="4" t="str">
        <f>IFERROR(__xludf.DUMMYFUNCTION("""COMPUTED_VALUE"""),"45. Boots, 42. Rubber, 41. Gregory, 47. Nefarious, 38. Winston")</f>
        <v>45. Boots, 42. Rubber, 41. Gregory, 47. Nefarious, 38. Winston</v>
      </c>
      <c r="B3902" s="4" t="str">
        <f>IFERROR(__xludf.DUMMYFUNCTION("""COMPUTED_VALUE"""),"45, 42, 41, 47, 38")</f>
        <v>45, 42, 41, 47, 38</v>
      </c>
      <c r="C3902" s="5" t="str">
        <f>IFERROR(__xludf.DUMMYFUNCTION("""COMPUTED_VALUE"""),"https://drive.google.com/file/d/1tbvJT7iAevZ6EUB8HTCdILUwSsfI_Hei/view?usp=drivesdk")</f>
        <v>https://drive.google.com/file/d/1tbvJT7iAevZ6EUB8HTCdILUwSsfI_Hei/view?usp=drivesdk</v>
      </c>
      <c r="D3902" s="12"/>
      <c r="E3902" s="11">
        <v>3940.0</v>
      </c>
      <c r="F3902" s="2"/>
    </row>
    <row r="3903" ht="1.5" customHeight="1">
      <c r="A3903" s="4" t="str">
        <f>IFERROR(__xludf.DUMMYFUNCTION("""COMPUTED_VALUE"""),"45. Boots, 42. Rubber, 41. Gregory")</f>
        <v>45. Boots, 42. Rubber, 41. Gregory</v>
      </c>
      <c r="B3903" s="4" t="str">
        <f>IFERROR(__xludf.DUMMYFUNCTION("""COMPUTED_VALUE"""),"45, 42, 41")</f>
        <v>45, 42, 41</v>
      </c>
      <c r="C3903" s="5" t="str">
        <f>IFERROR(__xludf.DUMMYFUNCTION("""COMPUTED_VALUE"""),"https://drive.google.com/file/d/13D1_UKXmAW3Sx4l3ZJABBWI9Hi1laaPF/view?usp=drivesdk")</f>
        <v>https://drive.google.com/file/d/13D1_UKXmAW3Sx4l3ZJABBWI9Hi1laaPF/view?usp=drivesdk</v>
      </c>
      <c r="D3903" s="12"/>
      <c r="E3903" s="11">
        <v>3941.0</v>
      </c>
      <c r="F3903" s="2"/>
    </row>
    <row r="3904" ht="1.5" customHeight="1">
      <c r="A3904" s="4" t="str">
        <f>IFERROR(__xludf.DUMMYFUNCTION("""COMPUTED_VALUE"""),"45. Boots, 42. Rubber, 41. Gregory, 47. Nefarious, 38. Winston")</f>
        <v>45. Boots, 42. Rubber, 41. Gregory, 47. Nefarious, 38. Winston</v>
      </c>
      <c r="B3904" s="4" t="str">
        <f>IFERROR(__xludf.DUMMYFUNCTION("""COMPUTED_VALUE"""),"45, 42, 41, 47, 38")</f>
        <v>45, 42, 41, 47, 38</v>
      </c>
      <c r="C3904" s="5" t="str">
        <f>IFERROR(__xludf.DUMMYFUNCTION("""COMPUTED_VALUE"""),"https://drive.google.com/file/d/1siJOTNCP6yQWj-UEwYVGhmz4LxY4iLzf/view?usp=drivesdk")</f>
        <v>https://drive.google.com/file/d/1siJOTNCP6yQWj-UEwYVGhmz4LxY4iLzf/view?usp=drivesdk</v>
      </c>
      <c r="D3904" s="12"/>
      <c r="E3904" s="11">
        <v>3942.0</v>
      </c>
      <c r="F3904" s="2"/>
    </row>
    <row r="3905" ht="1.5" customHeight="1">
      <c r="A3905" s="4" t="str">
        <f>IFERROR(__xludf.DUMMYFUNCTION("""COMPUTED_VALUE"""),"45. Boots, 42. Rubber, 41. Gregory, 47. Nefarious, 38. Winston")</f>
        <v>45. Boots, 42. Rubber, 41. Gregory, 47. Nefarious, 38. Winston</v>
      </c>
      <c r="B3905" s="4" t="str">
        <f>IFERROR(__xludf.DUMMYFUNCTION("""COMPUTED_VALUE"""),"45, 42, 41, 47, 38")</f>
        <v>45, 42, 41, 47, 38</v>
      </c>
      <c r="C3905" s="5" t="str">
        <f>IFERROR(__xludf.DUMMYFUNCTION("""COMPUTED_VALUE"""),"https://drive.google.com/file/d/1ykAphPyluLwmIjXblI1hPf_aW-eoFCrM/view?usp=drivesdk")</f>
        <v>https://drive.google.com/file/d/1ykAphPyluLwmIjXblI1hPf_aW-eoFCrM/view?usp=drivesdk</v>
      </c>
      <c r="D3905" s="12"/>
      <c r="E3905" s="11">
        <v>3943.0</v>
      </c>
      <c r="F3905" s="2"/>
    </row>
    <row r="3906" ht="1.5" customHeight="1">
      <c r="A3906" s="4" t="str">
        <f>IFERROR(__xludf.DUMMYFUNCTION("""COMPUTED_VALUE"""),"45. Boots, 42. Rubber, 41. Gregory, 47. Nefarious, 38. Winston")</f>
        <v>45. Boots, 42. Rubber, 41. Gregory, 47. Nefarious, 38. Winston</v>
      </c>
      <c r="B3906" s="4" t="str">
        <f>IFERROR(__xludf.DUMMYFUNCTION("""COMPUTED_VALUE"""),"45, 42, 41, 47, 38")</f>
        <v>45, 42, 41, 47, 38</v>
      </c>
      <c r="C3906" s="5" t="str">
        <f>IFERROR(__xludf.DUMMYFUNCTION("""COMPUTED_VALUE"""),"https://drive.google.com/file/d/1NaRS69-aPMyPaptmQB4S95KteVgZNYht/view?usp=drivesdk")</f>
        <v>https://drive.google.com/file/d/1NaRS69-aPMyPaptmQB4S95KteVgZNYht/view?usp=drivesdk</v>
      </c>
      <c r="D3906" s="12"/>
      <c r="E3906" s="11">
        <v>3944.0</v>
      </c>
      <c r="F3906" s="2"/>
    </row>
    <row r="3907" ht="1.5" customHeight="1">
      <c r="A3907" s="4" t="str">
        <f>IFERROR(__xludf.DUMMYFUNCTION("""COMPUTED_VALUE"""),"42. Rubber, 41. Gregory, 47. Nefarious, 38. Winston")</f>
        <v>42. Rubber, 41. Gregory, 47. Nefarious, 38. Winston</v>
      </c>
      <c r="B3907" s="4" t="str">
        <f>IFERROR(__xludf.DUMMYFUNCTION("""COMPUTED_VALUE"""),"42, 41, 47, 38")</f>
        <v>42, 41, 47, 38</v>
      </c>
      <c r="C3907" s="5" t="str">
        <f>IFERROR(__xludf.DUMMYFUNCTION("""COMPUTED_VALUE"""),"https://drive.google.com/file/d/15wchgWMcoDNxxbE4Ya-eXhpD_JM-3SKE/view?usp=drivesdk")</f>
        <v>https://drive.google.com/file/d/15wchgWMcoDNxxbE4Ya-eXhpD_JM-3SKE/view?usp=drivesdk</v>
      </c>
      <c r="D3907" s="12"/>
      <c r="E3907" s="11">
        <v>3945.0</v>
      </c>
      <c r="F3907" s="2"/>
    </row>
    <row r="3908" ht="1.5" customHeight="1">
      <c r="A3908" s="4" t="str">
        <f>IFERROR(__xludf.DUMMYFUNCTION("""COMPUTED_VALUE"""),"61. Cassie")</f>
        <v>61. Cassie</v>
      </c>
      <c r="B3908" s="4" t="str">
        <f>IFERROR(__xludf.DUMMYFUNCTION("""COMPUTED_VALUE"""),"61")</f>
        <v>61</v>
      </c>
      <c r="C3908" s="5" t="str">
        <f>IFERROR(__xludf.DUMMYFUNCTION("""COMPUTED_VALUE"""),"https://drive.google.com/file/d/1h4smVz0tQ-mHUhVaqsFuDoL60lcyPFAK/view?usp=drivesdk")</f>
        <v>https://drive.google.com/file/d/1h4smVz0tQ-mHUhVaqsFuDoL60lcyPFAK/view?usp=drivesdk</v>
      </c>
      <c r="D3908" s="12"/>
      <c r="E3908" s="11">
        <v>3946.0</v>
      </c>
      <c r="F3908" s="2"/>
    </row>
    <row r="3909" ht="1.5" customHeight="1">
      <c r="A3909" s="4" t="str">
        <f>IFERROR(__xludf.DUMMYFUNCTION("""COMPUTED_VALUE"""),"45. Boots, 42. Rubber, 41. Gregory, 47. Nefarious, 38. Winston")</f>
        <v>45. Boots, 42. Rubber, 41. Gregory, 47. Nefarious, 38. Winston</v>
      </c>
      <c r="B3909" s="4" t="str">
        <f>IFERROR(__xludf.DUMMYFUNCTION("""COMPUTED_VALUE"""),"45, 42, 41, 47, 38")</f>
        <v>45, 42, 41, 47, 38</v>
      </c>
      <c r="C3909" s="5" t="str">
        <f>IFERROR(__xludf.DUMMYFUNCTION("""COMPUTED_VALUE"""),"https://drive.google.com/file/d/10XmY7HiBsk_vMFIaB4_nRcdc4PGA-842/view?usp=drivesdk")</f>
        <v>https://drive.google.com/file/d/10XmY7HiBsk_vMFIaB4_nRcdc4PGA-842/view?usp=drivesdk</v>
      </c>
      <c r="D3909" s="12"/>
      <c r="E3909" s="11">
        <v>3947.0</v>
      </c>
      <c r="F3909" s="2"/>
    </row>
    <row r="3910" ht="1.5" customHeight="1">
      <c r="A3910" s="4" t="str">
        <f>IFERROR(__xludf.DUMMYFUNCTION("""COMPUTED_VALUE"""),"45. Boots, 42. Rubber, 41. Gregory, 47. Nefarious, 38. Winston")</f>
        <v>45. Boots, 42. Rubber, 41. Gregory, 47. Nefarious, 38. Winston</v>
      </c>
      <c r="B3910" s="4" t="str">
        <f>IFERROR(__xludf.DUMMYFUNCTION("""COMPUTED_VALUE"""),"45, 42, 41, 47, 38")</f>
        <v>45, 42, 41, 47, 38</v>
      </c>
      <c r="C3910" s="5" t="str">
        <f>IFERROR(__xludf.DUMMYFUNCTION("""COMPUTED_VALUE"""),"https://drive.google.com/file/d/11oXOVuy7bxZlSZV2TnUD-Hw3MiRaQxMp/view?usp=drivesdk")</f>
        <v>https://drive.google.com/file/d/11oXOVuy7bxZlSZV2TnUD-Hw3MiRaQxMp/view?usp=drivesdk</v>
      </c>
      <c r="D3910" s="12"/>
      <c r="E3910" s="11">
        <v>3948.0</v>
      </c>
      <c r="F3910" s="2"/>
    </row>
    <row r="3911" ht="1.5" customHeight="1">
      <c r="A3911" s="4" t="str">
        <f>IFERROR(__xludf.DUMMYFUNCTION("""COMPUTED_VALUE"""),"61. Cassie")</f>
        <v>61. Cassie</v>
      </c>
      <c r="B3911" s="4" t="str">
        <f>IFERROR(__xludf.DUMMYFUNCTION("""COMPUTED_VALUE"""),"61")</f>
        <v>61</v>
      </c>
      <c r="C3911" s="5" t="str">
        <f>IFERROR(__xludf.DUMMYFUNCTION("""COMPUTED_VALUE"""),"https://drive.google.com/file/d/1Ehbtb_vYX6TTuiXXre0hMqMd-aFFClDT/view?usp=drivesdk")</f>
        <v>https://drive.google.com/file/d/1Ehbtb_vYX6TTuiXXre0hMqMd-aFFClDT/view?usp=drivesdk</v>
      </c>
      <c r="D3911" s="12"/>
      <c r="E3911" s="11">
        <v>3949.0</v>
      </c>
      <c r="F3911" s="2"/>
    </row>
    <row r="3912" ht="1.5" customHeight="1">
      <c r="A3912" s="4" t="str">
        <f>IFERROR(__xludf.DUMMYFUNCTION("""COMPUTED_VALUE"""),"61. Cassie")</f>
        <v>61. Cassie</v>
      </c>
      <c r="B3912" s="4" t="str">
        <f>IFERROR(__xludf.DUMMYFUNCTION("""COMPUTED_VALUE"""),"61")</f>
        <v>61</v>
      </c>
      <c r="C3912" s="5" t="str">
        <f>IFERROR(__xludf.DUMMYFUNCTION("""COMPUTED_VALUE"""),"https://drive.google.com/file/d/1o66T7xkQ-WxJ6VQ-1XRP-jTDZdDTLs9P/view?usp=drivesdk")</f>
        <v>https://drive.google.com/file/d/1o66T7xkQ-WxJ6VQ-1XRP-jTDZdDTLs9P/view?usp=drivesdk</v>
      </c>
      <c r="D3912" s="12"/>
      <c r="E3912" s="11">
        <v>3950.0</v>
      </c>
      <c r="F3912" s="2"/>
    </row>
    <row r="3913" ht="1.5" customHeight="1">
      <c r="A3913" s="4" t="str">
        <f>IFERROR(__xludf.DUMMYFUNCTION("""COMPUTED_VALUE"""),"38. Winston")</f>
        <v>38. Winston</v>
      </c>
      <c r="B3913" s="4" t="str">
        <f>IFERROR(__xludf.DUMMYFUNCTION("""COMPUTED_VALUE"""),"38")</f>
        <v>38</v>
      </c>
      <c r="C3913" s="5" t="str">
        <f>IFERROR(__xludf.DUMMYFUNCTION("""COMPUTED_VALUE"""),"https://drive.google.com/file/d/1RgkO1TidRd2F4MjZz0JZcPMd1W0eL4ag/view?usp=drivesdk")</f>
        <v>https://drive.google.com/file/d/1RgkO1TidRd2F4MjZz0JZcPMd1W0eL4ag/view?usp=drivesdk</v>
      </c>
      <c r="D3913" s="12"/>
      <c r="E3913" s="11">
        <v>3951.0</v>
      </c>
      <c r="F3913" s="2"/>
    </row>
    <row r="3914" ht="1.5" customHeight="1">
      <c r="A3914" s="4" t="str">
        <f>IFERROR(__xludf.DUMMYFUNCTION("""COMPUTED_VALUE"""),"45. Boots")</f>
        <v>45. Boots</v>
      </c>
      <c r="B3914" s="4" t="str">
        <f>IFERROR(__xludf.DUMMYFUNCTION("""COMPUTED_VALUE"""),"45")</f>
        <v>45</v>
      </c>
      <c r="C3914" s="5" t="str">
        <f>IFERROR(__xludf.DUMMYFUNCTION("""COMPUTED_VALUE"""),"https://drive.google.com/file/d/1C8JY0RJrToXMiJSU8wWW214CxnnvZ8qO/view?usp=drivesdk")</f>
        <v>https://drive.google.com/file/d/1C8JY0RJrToXMiJSU8wWW214CxnnvZ8qO/view?usp=drivesdk</v>
      </c>
      <c r="D3914" s="12"/>
      <c r="E3914" s="11">
        <v>3952.0</v>
      </c>
      <c r="F3914" s="2"/>
    </row>
    <row r="3915" ht="1.5" customHeight="1">
      <c r="A3915" s="4" t="str">
        <f>IFERROR(__xludf.DUMMYFUNCTION("""COMPUTED_VALUE"""),"42. Rubber, 41. Gregory, 47. Nefarious, 38. Winston")</f>
        <v>42. Rubber, 41. Gregory, 47. Nefarious, 38. Winston</v>
      </c>
      <c r="B3915" s="4" t="str">
        <f>IFERROR(__xludf.DUMMYFUNCTION("""COMPUTED_VALUE"""),"42, 41, 47, 38")</f>
        <v>42, 41, 47, 38</v>
      </c>
      <c r="C3915" s="5" t="str">
        <f>IFERROR(__xludf.DUMMYFUNCTION("""COMPUTED_VALUE"""),"https://drive.google.com/file/d/1tknJEyOCFWwXXmz-DX4XoU1xkjDM29mB/view?usp=drivesdk")</f>
        <v>https://drive.google.com/file/d/1tknJEyOCFWwXXmz-DX4XoU1xkjDM29mB/view?usp=drivesdk</v>
      </c>
      <c r="D3915" s="12"/>
      <c r="E3915" s="11">
        <v>3953.0</v>
      </c>
      <c r="F3915" s="2"/>
    </row>
    <row r="3916" ht="1.5" customHeight="1">
      <c r="A3916" s="4" t="str">
        <f>IFERROR(__xludf.DUMMYFUNCTION("""COMPUTED_VALUE"""),"45. Boots, 42. Rubber, 41. Gregory, 47. Nefarious, 38. Winston")</f>
        <v>45. Boots, 42. Rubber, 41. Gregory, 47. Nefarious, 38. Winston</v>
      </c>
      <c r="B3916" s="4" t="str">
        <f>IFERROR(__xludf.DUMMYFUNCTION("""COMPUTED_VALUE"""),"45, 42, 41, 47, 38")</f>
        <v>45, 42, 41, 47, 38</v>
      </c>
      <c r="C3916" s="5" t="str">
        <f>IFERROR(__xludf.DUMMYFUNCTION("""COMPUTED_VALUE"""),"https://drive.google.com/file/d/11_qcIgz88fl4JMJK_71FQW0mYhW9B_Mq/view?usp=drivesdk")</f>
        <v>https://drive.google.com/file/d/11_qcIgz88fl4JMJK_71FQW0mYhW9B_Mq/view?usp=drivesdk</v>
      </c>
      <c r="D3916" s="12"/>
      <c r="E3916" s="11">
        <v>3954.0</v>
      </c>
      <c r="F3916" s="2"/>
    </row>
    <row r="3917" ht="1.5" customHeight="1">
      <c r="A3917" s="4" t="str">
        <f>IFERROR(__xludf.DUMMYFUNCTION("""COMPUTED_VALUE"""),"45. Boots, 42. Rubber, 41. Gregory, 47. Nefarious, 38. Winston")</f>
        <v>45. Boots, 42. Rubber, 41. Gregory, 47. Nefarious, 38. Winston</v>
      </c>
      <c r="B3917" s="4" t="str">
        <f>IFERROR(__xludf.DUMMYFUNCTION("""COMPUTED_VALUE"""),"45, 42, 41, 47, 38")</f>
        <v>45, 42, 41, 47, 38</v>
      </c>
      <c r="C3917" s="5" t="str">
        <f>IFERROR(__xludf.DUMMYFUNCTION("""COMPUTED_VALUE"""),"https://drive.google.com/file/d/1KfAFa3Zh9KIKNSGh7f5YD-UpG-mu0RAi/view?usp=drivesdk")</f>
        <v>https://drive.google.com/file/d/1KfAFa3Zh9KIKNSGh7f5YD-UpG-mu0RAi/view?usp=drivesdk</v>
      </c>
      <c r="D3917" s="12"/>
      <c r="E3917" s="11">
        <v>3955.0</v>
      </c>
      <c r="F3917" s="2"/>
    </row>
    <row r="3918" ht="1.5" customHeight="1">
      <c r="A3918" s="4" t="str">
        <f>IFERROR(__xludf.DUMMYFUNCTION("""COMPUTED_VALUE"""),"61. Cassie")</f>
        <v>61. Cassie</v>
      </c>
      <c r="B3918" s="4" t="str">
        <f>IFERROR(__xludf.DUMMYFUNCTION("""COMPUTED_VALUE"""),"61")</f>
        <v>61</v>
      </c>
      <c r="C3918" s="5" t="str">
        <f>IFERROR(__xludf.DUMMYFUNCTION("""COMPUTED_VALUE"""),"https://drive.google.com/file/d/1ZPY_f7vUMxOi6hh_sQVljiPz1gtRN_cD/view?usp=drivesdk")</f>
        <v>https://drive.google.com/file/d/1ZPY_f7vUMxOi6hh_sQVljiPz1gtRN_cD/view?usp=drivesdk</v>
      </c>
      <c r="D3918" s="12"/>
      <c r="E3918" s="11">
        <v>3956.0</v>
      </c>
      <c r="F3918" s="2"/>
    </row>
    <row r="3919" ht="1.5" customHeight="1">
      <c r="A3919" s="4" t="str">
        <f>IFERROR(__xludf.DUMMYFUNCTION("""COMPUTED_VALUE"""),"45. Boots")</f>
        <v>45. Boots</v>
      </c>
      <c r="B3919" s="4" t="str">
        <f>IFERROR(__xludf.DUMMYFUNCTION("""COMPUTED_VALUE"""),"45")</f>
        <v>45</v>
      </c>
      <c r="C3919" s="5" t="str">
        <f>IFERROR(__xludf.DUMMYFUNCTION("""COMPUTED_VALUE"""),"https://drive.google.com/file/d/1NvoAv50dUCvSPuDInf8-lwFH9NylOWG0/view?usp=drivesdk")</f>
        <v>https://drive.google.com/file/d/1NvoAv50dUCvSPuDInf8-lwFH9NylOWG0/view?usp=drivesdk</v>
      </c>
      <c r="D3919" s="12"/>
      <c r="E3919" s="11">
        <v>3957.0</v>
      </c>
      <c r="F3919" s="2"/>
    </row>
    <row r="3920" ht="1.5" customHeight="1">
      <c r="A3920" s="4" t="str">
        <f>IFERROR(__xludf.DUMMYFUNCTION("""COMPUTED_VALUE"""),"42. Rubber, 41. Gregory, 47. Nefarious, 38. Winston")</f>
        <v>42. Rubber, 41. Gregory, 47. Nefarious, 38. Winston</v>
      </c>
      <c r="B3920" s="4" t="str">
        <f>IFERROR(__xludf.DUMMYFUNCTION("""COMPUTED_VALUE"""),"42, 41, 47, 38")</f>
        <v>42, 41, 47, 38</v>
      </c>
      <c r="C3920" s="5" t="str">
        <f>IFERROR(__xludf.DUMMYFUNCTION("""COMPUTED_VALUE"""),"https://drive.google.com/file/d/11TtvGm60JIOncxkpVH7euKh6fdOFi1TV/view?usp=drivesdk")</f>
        <v>https://drive.google.com/file/d/11TtvGm60JIOncxkpVH7euKh6fdOFi1TV/view?usp=drivesdk</v>
      </c>
      <c r="D3920" s="12"/>
      <c r="E3920" s="11">
        <v>3958.0</v>
      </c>
      <c r="F3920" s="2"/>
    </row>
    <row r="3921" ht="1.5" customHeight="1">
      <c r="A3921" s="4" t="str">
        <f>IFERROR(__xludf.DUMMYFUNCTION("""COMPUTED_VALUE"""),"47. Nefarious")</f>
        <v>47. Nefarious</v>
      </c>
      <c r="B3921" s="4" t="str">
        <f>IFERROR(__xludf.DUMMYFUNCTION("""COMPUTED_VALUE"""),"47")</f>
        <v>47</v>
      </c>
      <c r="C3921" s="5" t="str">
        <f>IFERROR(__xludf.DUMMYFUNCTION("""COMPUTED_VALUE"""),"https://drive.google.com/file/d/1x3LJj_xc2CxTQxFFJKXQXQxhE4mtAHfL/view?usp=drivesdk")</f>
        <v>https://drive.google.com/file/d/1x3LJj_xc2CxTQxFFJKXQXQxhE4mtAHfL/view?usp=drivesdk</v>
      </c>
      <c r="D3921" s="12"/>
      <c r="E3921" s="11">
        <v>3959.0</v>
      </c>
      <c r="F3921" s="2"/>
    </row>
    <row r="3922" ht="1.5" customHeight="1">
      <c r="A3922" s="4" t="str">
        <f>IFERROR(__xludf.DUMMYFUNCTION("""COMPUTED_VALUE"""),"42. Rubber, 41. Gregory, 47. Nefarious, 38. Winston")</f>
        <v>42. Rubber, 41. Gregory, 47. Nefarious, 38. Winston</v>
      </c>
      <c r="B3922" s="4" t="str">
        <f>IFERROR(__xludf.DUMMYFUNCTION("""COMPUTED_VALUE"""),"42, 41, 47, 38")</f>
        <v>42, 41, 47, 38</v>
      </c>
      <c r="C3922" s="5" t="str">
        <f>IFERROR(__xludf.DUMMYFUNCTION("""COMPUTED_VALUE"""),"https://drive.google.com/file/d/1akqKnuGu5fxuFH1fu3qXDAaRND-HqQcP/view?usp=drivesdk")</f>
        <v>https://drive.google.com/file/d/1akqKnuGu5fxuFH1fu3qXDAaRND-HqQcP/view?usp=drivesdk</v>
      </c>
      <c r="D3922" s="12"/>
      <c r="E3922" s="11">
        <v>3960.0</v>
      </c>
      <c r="F3922" s="2"/>
    </row>
    <row r="3923" ht="1.5" customHeight="1">
      <c r="A3923" s="4" t="str">
        <f>IFERROR(__xludf.DUMMYFUNCTION("""COMPUTED_VALUE"""),"42. Rubber, 41. Gregory, 47. Nefarious, 38. Winston")</f>
        <v>42. Rubber, 41. Gregory, 47. Nefarious, 38. Winston</v>
      </c>
      <c r="B3923" s="4" t="str">
        <f>IFERROR(__xludf.DUMMYFUNCTION("""COMPUTED_VALUE"""),"42, 41, 47, 38")</f>
        <v>42, 41, 47, 38</v>
      </c>
      <c r="C3923" s="5" t="str">
        <f>IFERROR(__xludf.DUMMYFUNCTION("""COMPUTED_VALUE"""),"https://drive.google.com/file/d/1FTo-vITqU4Hd41vxS33Grm7cgrBZdeRs/view?usp=drivesdk")</f>
        <v>https://drive.google.com/file/d/1FTo-vITqU4Hd41vxS33Grm7cgrBZdeRs/view?usp=drivesdk</v>
      </c>
      <c r="D3923" s="12"/>
      <c r="E3923" s="11">
        <v>3961.0</v>
      </c>
      <c r="F3923" s="2"/>
    </row>
    <row r="3924" ht="1.5" customHeight="1">
      <c r="A3924" s="4" t="str">
        <f>IFERROR(__xludf.DUMMYFUNCTION("""COMPUTED_VALUE"""),"42. Rubber, 47. Nefarious, 41. Gregory")</f>
        <v>42. Rubber, 47. Nefarious, 41. Gregory</v>
      </c>
      <c r="B3924" s="4" t="str">
        <f>IFERROR(__xludf.DUMMYFUNCTION("""COMPUTED_VALUE"""),"42, 47, 41")</f>
        <v>42, 47, 41</v>
      </c>
      <c r="C3924" s="5" t="str">
        <f>IFERROR(__xludf.DUMMYFUNCTION("""COMPUTED_VALUE"""),"https://drive.google.com/file/d/1T1Hra-qHfOWajMyNmLG8nurEvFaDzEVt/view?usp=drivesdk")</f>
        <v>https://drive.google.com/file/d/1T1Hra-qHfOWajMyNmLG8nurEvFaDzEVt/view?usp=drivesdk</v>
      </c>
      <c r="D3924" s="12"/>
      <c r="E3924" s="11">
        <v>3962.0</v>
      </c>
      <c r="F3924" s="2"/>
    </row>
    <row r="3925" ht="1.5" customHeight="1">
      <c r="A3925" s="4" t="str">
        <f>IFERROR(__xludf.DUMMYFUNCTION("""COMPUTED_VALUE"""),"42. Rubber, 47. Nefarious, 41. Gregory")</f>
        <v>42. Rubber, 47. Nefarious, 41. Gregory</v>
      </c>
      <c r="B3925" s="4" t="str">
        <f>IFERROR(__xludf.DUMMYFUNCTION("""COMPUTED_VALUE"""),"42, 47, 41")</f>
        <v>42, 47, 41</v>
      </c>
      <c r="C3925" s="5" t="str">
        <f>IFERROR(__xludf.DUMMYFUNCTION("""COMPUTED_VALUE"""),"https://drive.google.com/file/d/1ySfwusvkdyVb09GM_NNNEmzA7NQamkU4/view?usp=drivesdk")</f>
        <v>https://drive.google.com/file/d/1ySfwusvkdyVb09GM_NNNEmzA7NQamkU4/view?usp=drivesdk</v>
      </c>
      <c r="D3925" s="12"/>
      <c r="E3925" s="11">
        <v>3963.0</v>
      </c>
      <c r="F3925" s="2"/>
    </row>
    <row r="3926" ht="1.5" customHeight="1">
      <c r="A3926" s="4" t="str">
        <f>IFERROR(__xludf.DUMMYFUNCTION("""COMPUTED_VALUE"""),"42. Rubber, 41. Gregory, 47. Nefarious, 38. Winston")</f>
        <v>42. Rubber, 41. Gregory, 47. Nefarious, 38. Winston</v>
      </c>
      <c r="B3926" s="4" t="str">
        <f>IFERROR(__xludf.DUMMYFUNCTION("""COMPUTED_VALUE"""),"42, 41, 47, 38")</f>
        <v>42, 41, 47, 38</v>
      </c>
      <c r="C3926" s="5" t="str">
        <f>IFERROR(__xludf.DUMMYFUNCTION("""COMPUTED_VALUE"""),"https://drive.google.com/file/d/1Sojmp5Qqp_fA-1NvsUg8YI6qA0DJMkzF/view?usp=drivesdk")</f>
        <v>https://drive.google.com/file/d/1Sojmp5Qqp_fA-1NvsUg8YI6qA0DJMkzF/view?usp=drivesdk</v>
      </c>
      <c r="D3926" s="12"/>
      <c r="E3926" s="11">
        <v>3964.0</v>
      </c>
      <c r="F3926" s="2"/>
    </row>
    <row r="3927" ht="1.5" customHeight="1">
      <c r="A3927" s="4" t="str">
        <f>IFERROR(__xludf.DUMMYFUNCTION("""COMPUTED_VALUE"""),"42. Rubber, 47. Nefarious, 41. Gregory")</f>
        <v>42. Rubber, 47. Nefarious, 41. Gregory</v>
      </c>
      <c r="B3927" s="4" t="str">
        <f>IFERROR(__xludf.DUMMYFUNCTION("""COMPUTED_VALUE"""),"42, 47, 41")</f>
        <v>42, 47, 41</v>
      </c>
      <c r="C3927" s="5" t="str">
        <f>IFERROR(__xludf.DUMMYFUNCTION("""COMPUTED_VALUE"""),"https://drive.google.com/file/d/17g2N0ZyxfmuKrJ23KAkU_pW05oui1H_1/view?usp=drivesdk")</f>
        <v>https://drive.google.com/file/d/17g2N0ZyxfmuKrJ23KAkU_pW05oui1H_1/view?usp=drivesdk</v>
      </c>
      <c r="D3927" s="12"/>
      <c r="E3927" s="11">
        <v>3965.0</v>
      </c>
      <c r="F3927" s="2"/>
    </row>
    <row r="3928" ht="1.5" customHeight="1">
      <c r="A3928" s="4" t="str">
        <f>IFERROR(__xludf.DUMMYFUNCTION("""COMPUTED_VALUE"""),"42. Rubber, 47. Nefarious, 41. Gregory")</f>
        <v>42. Rubber, 47. Nefarious, 41. Gregory</v>
      </c>
      <c r="B3928" s="4" t="str">
        <f>IFERROR(__xludf.DUMMYFUNCTION("""COMPUTED_VALUE"""),"42, 47, 41")</f>
        <v>42, 47, 41</v>
      </c>
      <c r="C3928" s="5" t="str">
        <f>IFERROR(__xludf.DUMMYFUNCTION("""COMPUTED_VALUE"""),"https://drive.google.com/file/d/1-fnbGD6lY09Rm4HWR8Zer103KnGnDafD/view?usp=drivesdk")</f>
        <v>https://drive.google.com/file/d/1-fnbGD6lY09Rm4HWR8Zer103KnGnDafD/view?usp=drivesdk</v>
      </c>
      <c r="D3928" s="12"/>
      <c r="E3928" s="11">
        <v>3966.0</v>
      </c>
      <c r="F3928" s="2"/>
    </row>
    <row r="3929" ht="1.5" customHeight="1">
      <c r="A3929" s="4" t="str">
        <f>IFERROR(__xludf.DUMMYFUNCTION("""COMPUTED_VALUE"""),"42. Rubber, 47. Nefarious, 41. Gregory")</f>
        <v>42. Rubber, 47. Nefarious, 41. Gregory</v>
      </c>
      <c r="B3929" s="4" t="str">
        <f>IFERROR(__xludf.DUMMYFUNCTION("""COMPUTED_VALUE"""),"42, 47, 41")</f>
        <v>42, 47, 41</v>
      </c>
      <c r="C3929" s="5" t="str">
        <f>IFERROR(__xludf.DUMMYFUNCTION("""COMPUTED_VALUE"""),"https://drive.google.com/file/d/1dVo4fiiM_A5cWKrkkVDODDZw0X9chL0l/view?usp=drivesdk")</f>
        <v>https://drive.google.com/file/d/1dVo4fiiM_A5cWKrkkVDODDZw0X9chL0l/view?usp=drivesdk</v>
      </c>
      <c r="D3929" s="12"/>
      <c r="E3929" s="11">
        <v>3967.0</v>
      </c>
      <c r="F3929" s="2"/>
    </row>
    <row r="3930" ht="1.5" customHeight="1">
      <c r="A3930" s="4" t="str">
        <f>IFERROR(__xludf.DUMMYFUNCTION("""COMPUTED_VALUE"""),"41. Gregory, 42. Rubber")</f>
        <v>41. Gregory, 42. Rubber</v>
      </c>
      <c r="B3930" s="4" t="str">
        <f>IFERROR(__xludf.DUMMYFUNCTION("""COMPUTED_VALUE"""),"41, 42")</f>
        <v>41, 42</v>
      </c>
      <c r="C3930" s="5" t="str">
        <f>IFERROR(__xludf.DUMMYFUNCTION("""COMPUTED_VALUE"""),"https://drive.google.com/file/d/1nqtxwwou2x1M4z92usdtmAgpNuaDRJDx/view?usp=drivesdk")</f>
        <v>https://drive.google.com/file/d/1nqtxwwou2x1M4z92usdtmAgpNuaDRJDx/view?usp=drivesdk</v>
      </c>
      <c r="D3930" s="12"/>
      <c r="E3930" s="11">
        <v>3968.0</v>
      </c>
      <c r="F3930" s="2"/>
    </row>
    <row r="3931" ht="1.5" customHeight="1">
      <c r="A3931" s="4" t="str">
        <f>IFERROR(__xludf.DUMMYFUNCTION("""COMPUTED_VALUE"""),"38. Winston")</f>
        <v>38. Winston</v>
      </c>
      <c r="B3931" s="4" t="str">
        <f>IFERROR(__xludf.DUMMYFUNCTION("""COMPUTED_VALUE"""),"38")</f>
        <v>38</v>
      </c>
      <c r="C3931" s="5" t="str">
        <f>IFERROR(__xludf.DUMMYFUNCTION("""COMPUTED_VALUE"""),"https://drive.google.com/file/d/1kIV7yPd9dilBA4oaIUR4zFGe_Vid85aj/view?usp=drivesdk")</f>
        <v>https://drive.google.com/file/d/1kIV7yPd9dilBA4oaIUR4zFGe_Vid85aj/view?usp=drivesdk</v>
      </c>
      <c r="D3931" s="12"/>
      <c r="E3931" s="11">
        <v>3969.0</v>
      </c>
      <c r="F3931" s="2"/>
    </row>
    <row r="3932" ht="1.5" customHeight="1">
      <c r="A3932" s="4" t="str">
        <f>IFERROR(__xludf.DUMMYFUNCTION("""COMPUTED_VALUE"""),"41. Gregory")</f>
        <v>41. Gregory</v>
      </c>
      <c r="B3932" s="4" t="str">
        <f>IFERROR(__xludf.DUMMYFUNCTION("""COMPUTED_VALUE"""),"41")</f>
        <v>41</v>
      </c>
      <c r="C3932" s="5" t="str">
        <f>IFERROR(__xludf.DUMMYFUNCTION("""COMPUTED_VALUE"""),"https://drive.google.com/file/d/1WS__-s0tO6v1ZuJ5x5PnOQ3lGJa3fc5e/view?usp=drivesdk")</f>
        <v>https://drive.google.com/file/d/1WS__-s0tO6v1ZuJ5x5PnOQ3lGJa3fc5e/view?usp=drivesdk</v>
      </c>
      <c r="D3932" s="12"/>
      <c r="E3932" s="11">
        <v>3970.0</v>
      </c>
      <c r="F3932" s="2"/>
    </row>
    <row r="3933" ht="1.5" customHeight="1">
      <c r="A3933" s="4" t="str">
        <f>IFERROR(__xludf.DUMMYFUNCTION("""COMPUTED_VALUE"""),"41. Gregory, 42. Rubber, 47. Nefarious")</f>
        <v>41. Gregory, 42. Rubber, 47. Nefarious</v>
      </c>
      <c r="B3933" s="4" t="str">
        <f>IFERROR(__xludf.DUMMYFUNCTION("""COMPUTED_VALUE"""),"41, 42, 47")</f>
        <v>41, 42, 47</v>
      </c>
      <c r="C3933" s="5" t="str">
        <f>IFERROR(__xludf.DUMMYFUNCTION("""COMPUTED_VALUE"""),"https://drive.google.com/file/d/1GC69-OHwbRvUJj5lx2plgbBr8mZXw8JJ/view?usp=drivesdk")</f>
        <v>https://drive.google.com/file/d/1GC69-OHwbRvUJj5lx2plgbBr8mZXw8JJ/view?usp=drivesdk</v>
      </c>
      <c r="D3933" s="12"/>
      <c r="E3933" s="11">
        <v>3971.0</v>
      </c>
      <c r="F3933" s="2"/>
    </row>
    <row r="3934" ht="1.5" customHeight="1">
      <c r="A3934" s="4" t="str">
        <f>IFERROR(__xludf.DUMMYFUNCTION("""COMPUTED_VALUE"""),"41. Gregory, 42. Rubber")</f>
        <v>41. Gregory, 42. Rubber</v>
      </c>
      <c r="B3934" s="4" t="str">
        <f>IFERROR(__xludf.DUMMYFUNCTION("""COMPUTED_VALUE"""),"41, 42")</f>
        <v>41, 42</v>
      </c>
      <c r="C3934" s="5" t="str">
        <f>IFERROR(__xludf.DUMMYFUNCTION("""COMPUTED_VALUE"""),"https://drive.google.com/file/d/1TZXqI-VxrIPHv5rHQP3_7QMC8jD9Igjb/view?usp=drivesdk")</f>
        <v>https://drive.google.com/file/d/1TZXqI-VxrIPHv5rHQP3_7QMC8jD9Igjb/view?usp=drivesdk</v>
      </c>
      <c r="D3934" s="12"/>
      <c r="E3934" s="11">
        <v>3972.0</v>
      </c>
      <c r="F3934" s="2"/>
    </row>
    <row r="3935" ht="1.5" customHeight="1">
      <c r="A3935" s="4" t="str">
        <f>IFERROR(__xludf.DUMMYFUNCTION("""COMPUTED_VALUE"""),"42. Rubber, 47. Nefarious")</f>
        <v>42. Rubber, 47. Nefarious</v>
      </c>
      <c r="B3935" s="4" t="str">
        <f>IFERROR(__xludf.DUMMYFUNCTION("""COMPUTED_VALUE"""),"42, 47")</f>
        <v>42, 47</v>
      </c>
      <c r="C3935" s="5" t="str">
        <f>IFERROR(__xludf.DUMMYFUNCTION("""COMPUTED_VALUE"""),"https://drive.google.com/file/d/1c99HuAEHheYw9J0rBz11JgohuqDSWWN2/view?usp=drivesdk")</f>
        <v>https://drive.google.com/file/d/1c99HuAEHheYw9J0rBz11JgohuqDSWWN2/view?usp=drivesdk</v>
      </c>
      <c r="D3935" s="12"/>
      <c r="E3935" s="11">
        <v>3973.0</v>
      </c>
      <c r="F3935" s="2"/>
    </row>
    <row r="3936" ht="1.5" customHeight="1">
      <c r="A3936" s="4" t="str">
        <f>IFERROR(__xludf.DUMMYFUNCTION("""COMPUTED_VALUE"""),"47. Nefarious, 38. Winston, 42. Rubber, 41. Gregory")</f>
        <v>47. Nefarious, 38. Winston, 42. Rubber, 41. Gregory</v>
      </c>
      <c r="B3936" s="4" t="str">
        <f>IFERROR(__xludf.DUMMYFUNCTION("""COMPUTED_VALUE"""),"47, 38, 42, 41")</f>
        <v>47, 38, 42, 41</v>
      </c>
      <c r="C3936" s="5" t="str">
        <f>IFERROR(__xludf.DUMMYFUNCTION("""COMPUTED_VALUE"""),"https://drive.google.com/file/d/1Oeg3KKoD6sqM_cIU0doS3OT_L5tYSM5A/view?usp=drivesdk")</f>
        <v>https://drive.google.com/file/d/1Oeg3KKoD6sqM_cIU0doS3OT_L5tYSM5A/view?usp=drivesdk</v>
      </c>
      <c r="D3936" s="12"/>
      <c r="E3936" s="11">
        <v>3974.0</v>
      </c>
      <c r="F3936" s="2"/>
    </row>
    <row r="3937" ht="1.5" customHeight="1">
      <c r="A3937" s="4" t="str">
        <f>IFERROR(__xludf.DUMMYFUNCTION("""COMPUTED_VALUE"""),"41. Gregory, 42. Rubber, 47. Nefarious")</f>
        <v>41. Gregory, 42. Rubber, 47. Nefarious</v>
      </c>
      <c r="B3937" s="4" t="str">
        <f>IFERROR(__xludf.DUMMYFUNCTION("""COMPUTED_VALUE"""),"41, 42, 47")</f>
        <v>41, 42, 47</v>
      </c>
      <c r="C3937" s="5" t="str">
        <f>IFERROR(__xludf.DUMMYFUNCTION("""COMPUTED_VALUE"""),"https://drive.google.com/file/d/1klih4lrdDDLJLB79etAE4X1hLF1MkOZ0/view?usp=drivesdk")</f>
        <v>https://drive.google.com/file/d/1klih4lrdDDLJLB79etAE4X1hLF1MkOZ0/view?usp=drivesdk</v>
      </c>
      <c r="D3937" s="12"/>
      <c r="E3937" s="11">
        <v>3975.0</v>
      </c>
      <c r="F3937" s="2"/>
    </row>
    <row r="3938" ht="1.5" customHeight="1">
      <c r="A3938" s="4" t="str">
        <f>IFERROR(__xludf.DUMMYFUNCTION("""COMPUTED_VALUE"""),"47. Nefarious, 38. Winston, 41. Gregory")</f>
        <v>47. Nefarious, 38. Winston, 41. Gregory</v>
      </c>
      <c r="B3938" s="4" t="str">
        <f>IFERROR(__xludf.DUMMYFUNCTION("""COMPUTED_VALUE"""),"47, 38, 41")</f>
        <v>47, 38, 41</v>
      </c>
      <c r="C3938" s="5" t="str">
        <f>IFERROR(__xludf.DUMMYFUNCTION("""COMPUTED_VALUE"""),"https://drive.google.com/file/d/1D92uAG3asacErl00FIRg2s9mcU5dxR4G/view?usp=drivesdk")</f>
        <v>https://drive.google.com/file/d/1D92uAG3asacErl00FIRg2s9mcU5dxR4G/view?usp=drivesdk</v>
      </c>
      <c r="D3938" s="12"/>
      <c r="E3938" s="11">
        <v>3976.0</v>
      </c>
      <c r="F3938" s="2"/>
    </row>
    <row r="3939" ht="1.5" customHeight="1">
      <c r="A3939" s="4" t="str">
        <f>IFERROR(__xludf.DUMMYFUNCTION("""COMPUTED_VALUE"""),"42. Rubber, 47. Nefarious, 41. Gregory")</f>
        <v>42. Rubber, 47. Nefarious, 41. Gregory</v>
      </c>
      <c r="B3939" s="4" t="str">
        <f>IFERROR(__xludf.DUMMYFUNCTION("""COMPUTED_VALUE"""),"42, 47, 41")</f>
        <v>42, 47, 41</v>
      </c>
      <c r="C3939" s="5" t="str">
        <f>IFERROR(__xludf.DUMMYFUNCTION("""COMPUTED_VALUE"""),"https://drive.google.com/file/d/12n_FcO02qctVN7JKbgeJc4nJYb2mI6wW/view?usp=drivesdk")</f>
        <v>https://drive.google.com/file/d/12n_FcO02qctVN7JKbgeJc4nJYb2mI6wW/view?usp=drivesdk</v>
      </c>
      <c r="D3939" s="12"/>
      <c r="E3939" s="11">
        <v>3977.0</v>
      </c>
      <c r="F3939" s="2"/>
    </row>
    <row r="3940" ht="1.5" customHeight="1">
      <c r="A3940" s="4" t="str">
        <f>IFERROR(__xludf.DUMMYFUNCTION("""COMPUTED_VALUE"""),"47. Nefarious, 38. Winston, 41. Gregory")</f>
        <v>47. Nefarious, 38. Winston, 41. Gregory</v>
      </c>
      <c r="B3940" s="4" t="str">
        <f>IFERROR(__xludf.DUMMYFUNCTION("""COMPUTED_VALUE"""),"47, 38, 41")</f>
        <v>47, 38, 41</v>
      </c>
      <c r="C3940" s="5" t="str">
        <f>IFERROR(__xludf.DUMMYFUNCTION("""COMPUTED_VALUE"""),"https://drive.google.com/file/d/1CuPmqg1Rz4M8sicyx0paLDr9s01honLZ/view?usp=drivesdk")</f>
        <v>https://drive.google.com/file/d/1CuPmqg1Rz4M8sicyx0paLDr9s01honLZ/view?usp=drivesdk</v>
      </c>
      <c r="D3940" s="12"/>
      <c r="E3940" s="11">
        <v>3978.0</v>
      </c>
      <c r="F3940" s="2"/>
    </row>
    <row r="3941" ht="1.5" customHeight="1">
      <c r="A3941" s="4" t="str">
        <f>IFERROR(__xludf.DUMMYFUNCTION("""COMPUTED_VALUE"""),"42. Rubber, 47. Nefarious, 41. Gregory")</f>
        <v>42. Rubber, 47. Nefarious, 41. Gregory</v>
      </c>
      <c r="B3941" s="4" t="str">
        <f>IFERROR(__xludf.DUMMYFUNCTION("""COMPUTED_VALUE"""),"42, 47, 41")</f>
        <v>42, 47, 41</v>
      </c>
      <c r="C3941" s="5" t="str">
        <f>IFERROR(__xludf.DUMMYFUNCTION("""COMPUTED_VALUE"""),"https://drive.google.com/file/d/1BYhkGaeReSlHP8lc5iwUQP5bENhoAWmn/view?usp=drivesdk")</f>
        <v>https://drive.google.com/file/d/1BYhkGaeReSlHP8lc5iwUQP5bENhoAWmn/view?usp=drivesdk</v>
      </c>
      <c r="D3941" s="12"/>
      <c r="E3941" s="11">
        <v>3979.0</v>
      </c>
      <c r="F3941" s="2"/>
    </row>
    <row r="3942" ht="1.5" customHeight="1">
      <c r="A3942" s="4" t="str">
        <f>IFERROR(__xludf.DUMMYFUNCTION("""COMPUTED_VALUE"""),"61. Cassie")</f>
        <v>61. Cassie</v>
      </c>
      <c r="B3942" s="4" t="str">
        <f>IFERROR(__xludf.DUMMYFUNCTION("""COMPUTED_VALUE"""),"61")</f>
        <v>61</v>
      </c>
      <c r="C3942" s="5" t="str">
        <f>IFERROR(__xludf.DUMMYFUNCTION("""COMPUTED_VALUE"""),"https://drive.google.com/file/d/1vKhKMzaZJVKy3pPDu4SUL05jv6c8jp9L/view?usp=drivesdk")</f>
        <v>https://drive.google.com/file/d/1vKhKMzaZJVKy3pPDu4SUL05jv6c8jp9L/view?usp=drivesdk</v>
      </c>
      <c r="D3942" s="12"/>
      <c r="E3942" s="11">
        <v>3980.0</v>
      </c>
      <c r="F3942" s="2"/>
    </row>
    <row r="3943" ht="1.5" customHeight="1">
      <c r="A3943" s="4" t="str">
        <f>IFERROR(__xludf.DUMMYFUNCTION("""COMPUTED_VALUE"""),"41. Gregory, 47. Nefarious, 42. Rubber")</f>
        <v>41. Gregory, 47. Nefarious, 42. Rubber</v>
      </c>
      <c r="B3943" s="4" t="str">
        <f>IFERROR(__xludf.DUMMYFUNCTION("""COMPUTED_VALUE"""),"41, 47, 42")</f>
        <v>41, 47, 42</v>
      </c>
      <c r="C3943" s="5" t="str">
        <f>IFERROR(__xludf.DUMMYFUNCTION("""COMPUTED_VALUE"""),"https://drive.google.com/file/d/1n2jj4a5VwXV3snYLJzsWFVK_kFR1zf2W/view?usp=drivesdk")</f>
        <v>https://drive.google.com/file/d/1n2jj4a5VwXV3snYLJzsWFVK_kFR1zf2W/view?usp=drivesdk</v>
      </c>
      <c r="D3943" s="12"/>
      <c r="E3943" s="11">
        <v>3981.0</v>
      </c>
      <c r="F3943" s="2"/>
    </row>
    <row r="3944" ht="1.5" customHeight="1">
      <c r="A3944" s="4" t="str">
        <f>IFERROR(__xludf.DUMMYFUNCTION("""COMPUTED_VALUE"""),"61. Cassie")</f>
        <v>61. Cassie</v>
      </c>
      <c r="B3944" s="4" t="str">
        <f>IFERROR(__xludf.DUMMYFUNCTION("""COMPUTED_VALUE"""),"61")</f>
        <v>61</v>
      </c>
      <c r="C3944" s="5" t="str">
        <f>IFERROR(__xludf.DUMMYFUNCTION("""COMPUTED_VALUE"""),"https://drive.google.com/file/d/1K-RDMQ8VDBvRLz_dhMKYkMiAz0e8WU_1/view?usp=drivesdk")</f>
        <v>https://drive.google.com/file/d/1K-RDMQ8VDBvRLz_dhMKYkMiAz0e8WU_1/view?usp=drivesdk</v>
      </c>
      <c r="D3944" s="12"/>
      <c r="E3944" s="11">
        <v>3982.0</v>
      </c>
      <c r="F3944" s="2"/>
    </row>
    <row r="3945" ht="1.5" customHeight="1">
      <c r="A3945" s="4" t="str">
        <f>IFERROR(__xludf.DUMMYFUNCTION("""COMPUTED_VALUE"""),"47. Nefarious, 87. Bandit, 38. Winston, 41. Gregory")</f>
        <v>47. Nefarious, 87. Bandit, 38. Winston, 41. Gregory</v>
      </c>
      <c r="B3945" s="4" t="str">
        <f>IFERROR(__xludf.DUMMYFUNCTION("""COMPUTED_VALUE"""),"47, 87, 38, 41")</f>
        <v>47, 87, 38, 41</v>
      </c>
      <c r="C3945" s="5" t="str">
        <f>IFERROR(__xludf.DUMMYFUNCTION("""COMPUTED_VALUE"""),"https://drive.google.com/file/d/1e57OIY-ud6bXhN0jPu4LisiBPmc24fMq/view?usp=drivesdk")</f>
        <v>https://drive.google.com/file/d/1e57OIY-ud6bXhN0jPu4LisiBPmc24fMq/view?usp=drivesdk</v>
      </c>
      <c r="D3945" s="12"/>
      <c r="E3945" s="11">
        <v>3983.0</v>
      </c>
      <c r="F3945" s="2"/>
    </row>
    <row r="3946" ht="1.5" customHeight="1">
      <c r="A3946" s="4" t="str">
        <f>IFERROR(__xludf.DUMMYFUNCTION("""COMPUTED_VALUE"""),"41. Gregory, 47. Nefarious, 42. Rubber")</f>
        <v>41. Gregory, 47. Nefarious, 42. Rubber</v>
      </c>
      <c r="B3946" s="4" t="str">
        <f>IFERROR(__xludf.DUMMYFUNCTION("""COMPUTED_VALUE"""),"41, 47, 42")</f>
        <v>41, 47, 42</v>
      </c>
      <c r="C3946" s="5" t="str">
        <f>IFERROR(__xludf.DUMMYFUNCTION("""COMPUTED_VALUE"""),"https://drive.google.com/file/d/1YI9E5jh5qbypWic8CH9fYkPB1cL2jUBc/view?usp=drivesdk")</f>
        <v>https://drive.google.com/file/d/1YI9E5jh5qbypWic8CH9fYkPB1cL2jUBc/view?usp=drivesdk</v>
      </c>
      <c r="D3946" s="12"/>
      <c r="E3946" s="11">
        <v>3984.0</v>
      </c>
      <c r="F3946" s="2"/>
    </row>
    <row r="3947" ht="1.5" customHeight="1">
      <c r="A3947" s="4" t="str">
        <f>IFERROR(__xludf.DUMMYFUNCTION("""COMPUTED_VALUE"""),"47. Nefarious, 41. Gregory, 38. Winston")</f>
        <v>47. Nefarious, 41. Gregory, 38. Winston</v>
      </c>
      <c r="B3947" s="4" t="str">
        <f>IFERROR(__xludf.DUMMYFUNCTION("""COMPUTED_VALUE"""),"47, 41, 38")</f>
        <v>47, 41, 38</v>
      </c>
      <c r="C3947" s="5" t="str">
        <f>IFERROR(__xludf.DUMMYFUNCTION("""COMPUTED_VALUE"""),"https://drive.google.com/file/d/12wntdniHc0SxVtdZI54eb53EyuEYf__a/view?usp=drivesdk")</f>
        <v>https://drive.google.com/file/d/12wntdniHc0SxVtdZI54eb53EyuEYf__a/view?usp=drivesdk</v>
      </c>
      <c r="D3947" s="12"/>
      <c r="E3947" s="11">
        <v>3985.0</v>
      </c>
      <c r="F3947" s="2"/>
    </row>
    <row r="3948" ht="1.5" customHeight="1">
      <c r="A3948" s="4" t="str">
        <f>IFERROR(__xludf.DUMMYFUNCTION("""COMPUTED_VALUE"""),"42. Rubber, 47. Nefarious, 41. Gregory")</f>
        <v>42. Rubber, 47. Nefarious, 41. Gregory</v>
      </c>
      <c r="B3948" s="4" t="str">
        <f>IFERROR(__xludf.DUMMYFUNCTION("""COMPUTED_VALUE"""),"42, 47, 41")</f>
        <v>42, 47, 41</v>
      </c>
      <c r="C3948" s="5" t="str">
        <f>IFERROR(__xludf.DUMMYFUNCTION("""COMPUTED_VALUE"""),"https://drive.google.com/file/d/1XVlxF0FV_y2jaHGqEzY6RN4vC29BjPH_/view?usp=drivesdk")</f>
        <v>https://drive.google.com/file/d/1XVlxF0FV_y2jaHGqEzY6RN4vC29BjPH_/view?usp=drivesdk</v>
      </c>
      <c r="D3948" s="12"/>
      <c r="E3948" s="11">
        <v>3986.0</v>
      </c>
      <c r="F3948" s="2"/>
    </row>
    <row r="3949" ht="1.5" customHeight="1">
      <c r="A3949" s="4" t="str">
        <f>IFERROR(__xludf.DUMMYFUNCTION("""COMPUTED_VALUE"""),"42. Rubber, 47. Nefarious, 41. Gregory")</f>
        <v>42. Rubber, 47. Nefarious, 41. Gregory</v>
      </c>
      <c r="B3949" s="4" t="str">
        <f>IFERROR(__xludf.DUMMYFUNCTION("""COMPUTED_VALUE"""),"42, 47, 41")</f>
        <v>42, 47, 41</v>
      </c>
      <c r="C3949" s="5" t="str">
        <f>IFERROR(__xludf.DUMMYFUNCTION("""COMPUTED_VALUE"""),"https://drive.google.com/file/d/1h8pL4Ph777o_lSIHXdoJY9544dtw4dtw/view?usp=drivesdk")</f>
        <v>https://drive.google.com/file/d/1h8pL4Ph777o_lSIHXdoJY9544dtw4dtw/view?usp=drivesdk</v>
      </c>
      <c r="D3949" s="12"/>
      <c r="E3949" s="11">
        <v>3987.0</v>
      </c>
      <c r="F3949" s="2"/>
    </row>
    <row r="3950" ht="1.5" customHeight="1">
      <c r="A3950" s="4" t="str">
        <f>IFERROR(__xludf.DUMMYFUNCTION("""COMPUTED_VALUE"""),"47. Nefarious, 41. Gregory, 38. Winston")</f>
        <v>47. Nefarious, 41. Gregory, 38. Winston</v>
      </c>
      <c r="B3950" s="4" t="str">
        <f>IFERROR(__xludf.DUMMYFUNCTION("""COMPUTED_VALUE"""),"47, 41, 38")</f>
        <v>47, 41, 38</v>
      </c>
      <c r="C3950" s="5" t="str">
        <f>IFERROR(__xludf.DUMMYFUNCTION("""COMPUTED_VALUE"""),"https://drive.google.com/file/d/10n6svtXzt461selx4ZstEaq15zSUocGz/view?usp=drivesdk")</f>
        <v>https://drive.google.com/file/d/10n6svtXzt461selx4ZstEaq15zSUocGz/view?usp=drivesdk</v>
      </c>
      <c r="D3950" s="12"/>
      <c r="E3950" s="11">
        <v>3988.0</v>
      </c>
      <c r="F3950" s="2"/>
    </row>
    <row r="3951" ht="1.5" customHeight="1">
      <c r="A3951" s="4" t="str">
        <f>IFERROR(__xludf.DUMMYFUNCTION("""COMPUTED_VALUE"""),"47. Nefarious, 41. Gregory, 38. Winston")</f>
        <v>47. Nefarious, 41. Gregory, 38. Winston</v>
      </c>
      <c r="B3951" s="4" t="str">
        <f>IFERROR(__xludf.DUMMYFUNCTION("""COMPUTED_VALUE"""),"47, 41, 38")</f>
        <v>47, 41, 38</v>
      </c>
      <c r="C3951" s="5" t="str">
        <f>IFERROR(__xludf.DUMMYFUNCTION("""COMPUTED_VALUE"""),"https://drive.google.com/file/d/1fggJe62HUoUH5qPgwfykyAVTeJTxL45R/view?usp=drivesdk")</f>
        <v>https://drive.google.com/file/d/1fggJe62HUoUH5qPgwfykyAVTeJTxL45R/view?usp=drivesdk</v>
      </c>
      <c r="D3951" s="12"/>
      <c r="E3951" s="11">
        <v>3989.0</v>
      </c>
      <c r="F3951" s="2"/>
    </row>
    <row r="3952" ht="1.5" customHeight="1">
      <c r="A3952" s="4" t="str">
        <f>IFERROR(__xludf.DUMMYFUNCTION("""COMPUTED_VALUE"""),"47. Nefarious")</f>
        <v>47. Nefarious</v>
      </c>
      <c r="B3952" s="4" t="str">
        <f>IFERROR(__xludf.DUMMYFUNCTION("""COMPUTED_VALUE"""),"47")</f>
        <v>47</v>
      </c>
      <c r="C3952" s="5" t="str">
        <f>IFERROR(__xludf.DUMMYFUNCTION("""COMPUTED_VALUE"""),"https://drive.google.com/file/d/1_8OnuG5XLx8gR_eUaTdLBJzMqCjxa6Jn/view?usp=drivesdk")</f>
        <v>https://drive.google.com/file/d/1_8OnuG5XLx8gR_eUaTdLBJzMqCjxa6Jn/view?usp=drivesdk</v>
      </c>
      <c r="D3952" s="12"/>
      <c r="E3952" s="11">
        <v>3990.0</v>
      </c>
      <c r="F3952" s="2"/>
    </row>
    <row r="3953" ht="1.5" customHeight="1">
      <c r="A3953" s="4" t="str">
        <f>IFERROR(__xludf.DUMMYFUNCTION("""COMPUTED_VALUE"""),"86. Honda")</f>
        <v>86. Honda</v>
      </c>
      <c r="B3953" s="4" t="str">
        <f>IFERROR(__xludf.DUMMYFUNCTION("""COMPUTED_VALUE"""),"86")</f>
        <v>86</v>
      </c>
      <c r="C3953" s="5" t="str">
        <f>IFERROR(__xludf.DUMMYFUNCTION("""COMPUTED_VALUE"""),"https://drive.google.com/file/d/1X7YkduCUS5e4eBzsj9wmlcsgxMMpAOzL/view?usp=drivesdk")</f>
        <v>https://drive.google.com/file/d/1X7YkduCUS5e4eBzsj9wmlcsgxMMpAOzL/view?usp=drivesdk</v>
      </c>
      <c r="D3953" s="12"/>
      <c r="E3953" s="11">
        <v>3991.0</v>
      </c>
      <c r="F3953" s="2"/>
    </row>
    <row r="3954" ht="1.5" customHeight="1">
      <c r="A3954" s="4" t="str">
        <f>IFERROR(__xludf.DUMMYFUNCTION("""COMPUTED_VALUE"""),"47. Nefarious, 38. Winston")</f>
        <v>47. Nefarious, 38. Winston</v>
      </c>
      <c r="B3954" s="4" t="str">
        <f>IFERROR(__xludf.DUMMYFUNCTION("""COMPUTED_VALUE"""),"47, 38")</f>
        <v>47, 38</v>
      </c>
      <c r="C3954" s="5" t="str">
        <f>IFERROR(__xludf.DUMMYFUNCTION("""COMPUTED_VALUE"""),"https://drive.google.com/file/d/1mUaXSuLiWcttS4SEXjbo1ZsT8qoyBpnk/view?usp=drivesdk")</f>
        <v>https://drive.google.com/file/d/1mUaXSuLiWcttS4SEXjbo1ZsT8qoyBpnk/view?usp=drivesdk</v>
      </c>
      <c r="D3954" s="12"/>
      <c r="E3954" s="11">
        <v>3992.0</v>
      </c>
      <c r="F3954" s="2"/>
    </row>
    <row r="3955" ht="1.5" customHeight="1">
      <c r="A3955" s="4" t="str">
        <f>IFERROR(__xludf.DUMMYFUNCTION("""COMPUTED_VALUE"""),"47. Nefarious, 41. Gregory, 42. Rubber")</f>
        <v>47. Nefarious, 41. Gregory, 42. Rubber</v>
      </c>
      <c r="B3955" s="4" t="str">
        <f>IFERROR(__xludf.DUMMYFUNCTION("""COMPUTED_VALUE"""),"47, 41, 42")</f>
        <v>47, 41, 42</v>
      </c>
      <c r="C3955" s="5" t="str">
        <f>IFERROR(__xludf.DUMMYFUNCTION("""COMPUTED_VALUE"""),"https://drive.google.com/file/d/1hnHYvrvIrVGBB1f5zF_V4gTHde6Hmfs1/view?usp=drivesdk")</f>
        <v>https://drive.google.com/file/d/1hnHYvrvIrVGBB1f5zF_V4gTHde6Hmfs1/view?usp=drivesdk</v>
      </c>
      <c r="D3955" s="12"/>
      <c r="E3955" s="11">
        <v>3993.0</v>
      </c>
      <c r="F3955" s="2"/>
    </row>
    <row r="3956" ht="1.5" customHeight="1">
      <c r="A3956" s="4" t="str">
        <f>IFERROR(__xludf.DUMMYFUNCTION("""COMPUTED_VALUE"""),"47. Nefarious, 38. Winston")</f>
        <v>47. Nefarious, 38. Winston</v>
      </c>
      <c r="B3956" s="4" t="str">
        <f>IFERROR(__xludf.DUMMYFUNCTION("""COMPUTED_VALUE"""),"47, 38")</f>
        <v>47, 38</v>
      </c>
      <c r="C3956" s="5" t="str">
        <f>IFERROR(__xludf.DUMMYFUNCTION("""COMPUTED_VALUE"""),"https://drive.google.com/file/d/18AhVQtv-vI-AqypnWZvXslzFo5RdxCfD/view?usp=drivesdk")</f>
        <v>https://drive.google.com/file/d/18AhVQtv-vI-AqypnWZvXslzFo5RdxCfD/view?usp=drivesdk</v>
      </c>
      <c r="D3956" s="12"/>
      <c r="E3956" s="11">
        <v>3994.0</v>
      </c>
      <c r="F3956" s="2"/>
    </row>
    <row r="3957" ht="1.5" customHeight="1">
      <c r="A3957" s="4" t="str">
        <f>IFERROR(__xludf.DUMMYFUNCTION("""COMPUTED_VALUE"""),"12. Faye, 41. Gregory, 45. Boots")</f>
        <v>12. Faye, 41. Gregory, 45. Boots</v>
      </c>
      <c r="B3957" s="4" t="str">
        <f>IFERROR(__xludf.DUMMYFUNCTION("""COMPUTED_VALUE"""),"12, 41, 45")</f>
        <v>12, 41, 45</v>
      </c>
      <c r="C3957" s="5" t="str">
        <f>IFERROR(__xludf.DUMMYFUNCTION("""COMPUTED_VALUE"""),"https://drive.google.com/file/d/1gCI5I9CuvVLsrPdeo4aWNXMjmELD-v0S/view?usp=drivesdk")</f>
        <v>https://drive.google.com/file/d/1gCI5I9CuvVLsrPdeo4aWNXMjmELD-v0S/view?usp=drivesdk</v>
      </c>
      <c r="D3957" s="12"/>
      <c r="E3957" s="11">
        <v>3995.0</v>
      </c>
      <c r="F3957" s="2"/>
    </row>
    <row r="3958" ht="1.5" customHeight="1">
      <c r="A3958" s="4" t="str">
        <f>IFERROR(__xludf.DUMMYFUNCTION("""COMPUTED_VALUE"""),"61. Cassie")</f>
        <v>61. Cassie</v>
      </c>
      <c r="B3958" s="4" t="str">
        <f>IFERROR(__xludf.DUMMYFUNCTION("""COMPUTED_VALUE"""),"61")</f>
        <v>61</v>
      </c>
      <c r="C3958" s="5" t="str">
        <f>IFERROR(__xludf.DUMMYFUNCTION("""COMPUTED_VALUE"""),"https://drive.google.com/file/d/1E8BYt2-VvsnsA3fCR4etU4TeWfSET0ZD/view?usp=drivesdk")</f>
        <v>https://drive.google.com/file/d/1E8BYt2-VvsnsA3fCR4etU4TeWfSET0ZD/view?usp=drivesdk</v>
      </c>
      <c r="D3958" s="12"/>
      <c r="E3958" s="11">
        <v>3996.0</v>
      </c>
      <c r="F3958" s="2"/>
    </row>
    <row r="3959" ht="1.5" customHeight="1">
      <c r="A3959" s="4" t="str">
        <f>IFERROR(__xludf.DUMMYFUNCTION("""COMPUTED_VALUE"""),"47. Nefarious, 38. Winston")</f>
        <v>47. Nefarious, 38. Winston</v>
      </c>
      <c r="B3959" s="4" t="str">
        <f>IFERROR(__xludf.DUMMYFUNCTION("""COMPUTED_VALUE"""),"47, 38")</f>
        <v>47, 38</v>
      </c>
      <c r="C3959" s="5" t="str">
        <f>IFERROR(__xludf.DUMMYFUNCTION("""COMPUTED_VALUE"""),"https://drive.google.com/file/d/1JwAUeM3ev6ejWKLEixWleKGj6E8Rl_W4/view?usp=drivesdk")</f>
        <v>https://drive.google.com/file/d/1JwAUeM3ev6ejWKLEixWleKGj6E8Rl_W4/view?usp=drivesdk</v>
      </c>
      <c r="D3959" s="12"/>
      <c r="E3959" s="11">
        <v>3997.0</v>
      </c>
      <c r="F3959" s="2"/>
    </row>
    <row r="3960" ht="1.5" customHeight="1">
      <c r="A3960" s="4" t="str">
        <f>IFERROR(__xludf.DUMMYFUNCTION("""COMPUTED_VALUE"""),"86. Honda")</f>
        <v>86. Honda</v>
      </c>
      <c r="B3960" s="4" t="str">
        <f>IFERROR(__xludf.DUMMYFUNCTION("""COMPUTED_VALUE"""),"86")</f>
        <v>86</v>
      </c>
      <c r="C3960" s="5" t="str">
        <f>IFERROR(__xludf.DUMMYFUNCTION("""COMPUTED_VALUE"""),"https://drive.google.com/file/d/1nUIBtbKWPMzDc-wLiopiIqqGXW-_KxS-/view?usp=drivesdk")</f>
        <v>https://drive.google.com/file/d/1nUIBtbKWPMzDc-wLiopiIqqGXW-_KxS-/view?usp=drivesdk</v>
      </c>
      <c r="D3960" s="12"/>
      <c r="E3960" s="11">
        <v>3998.0</v>
      </c>
      <c r="F3960" s="2"/>
    </row>
    <row r="3961" ht="1.5" customHeight="1">
      <c r="A3961" s="4" t="str">
        <f>IFERROR(__xludf.DUMMYFUNCTION("""COMPUTED_VALUE"""),"86. Honda")</f>
        <v>86. Honda</v>
      </c>
      <c r="B3961" s="4" t="str">
        <f>IFERROR(__xludf.DUMMYFUNCTION("""COMPUTED_VALUE"""),"86")</f>
        <v>86</v>
      </c>
      <c r="C3961" s="5" t="str">
        <f>IFERROR(__xludf.DUMMYFUNCTION("""COMPUTED_VALUE"""),"https://drive.google.com/file/d/1U-VKGWagtX2JM-piUx0fagfES02n-QOn/view?usp=drivesdk")</f>
        <v>https://drive.google.com/file/d/1U-VKGWagtX2JM-piUx0fagfES02n-QOn/view?usp=drivesdk</v>
      </c>
      <c r="D3961" s="12"/>
      <c r="E3961" s="11">
        <v>3999.0</v>
      </c>
      <c r="F3961" s="2"/>
    </row>
    <row r="3962" ht="1.5" customHeight="1">
      <c r="A3962" s="4" t="str">
        <f>IFERROR(__xludf.DUMMYFUNCTION("""COMPUTED_VALUE"""),"61. Cassie")</f>
        <v>61. Cassie</v>
      </c>
      <c r="B3962" s="4" t="str">
        <f>IFERROR(__xludf.DUMMYFUNCTION("""COMPUTED_VALUE"""),"61")</f>
        <v>61</v>
      </c>
      <c r="C3962" s="5" t="str">
        <f>IFERROR(__xludf.DUMMYFUNCTION("""COMPUTED_VALUE"""),"https://drive.google.com/file/d/1UiXBJU99pviGSvtBn3um2ngRR2IdNRuB/view?usp=drivesdk")</f>
        <v>https://drive.google.com/file/d/1UiXBJU99pviGSvtBn3um2ngRR2IdNRuB/view?usp=drivesdk</v>
      </c>
      <c r="D3962" s="12"/>
      <c r="E3962" s="11">
        <v>4000.0</v>
      </c>
      <c r="F3962" s="2"/>
    </row>
    <row r="3963" ht="1.5" customHeight="1">
      <c r="A3963" s="4" t="str">
        <f>IFERROR(__xludf.DUMMYFUNCTION("""COMPUTED_VALUE"""),"47. Nefarious, 38. Winston")</f>
        <v>47. Nefarious, 38. Winston</v>
      </c>
      <c r="B3963" s="4" t="str">
        <f>IFERROR(__xludf.DUMMYFUNCTION("""COMPUTED_VALUE"""),"47, 38")</f>
        <v>47, 38</v>
      </c>
      <c r="C3963" s="5" t="str">
        <f>IFERROR(__xludf.DUMMYFUNCTION("""COMPUTED_VALUE"""),"https://drive.google.com/file/d/11U4IAwuKqQau-4Gz5wVAHe-lKRj4XtME/view?usp=drivesdk")</f>
        <v>https://drive.google.com/file/d/11U4IAwuKqQau-4Gz5wVAHe-lKRj4XtME/view?usp=drivesdk</v>
      </c>
      <c r="D3963" s="12"/>
      <c r="E3963" s="11">
        <v>4001.0</v>
      </c>
      <c r="F3963" s="2"/>
    </row>
    <row r="3964" ht="1.5" customHeight="1">
      <c r="A3964" s="4" t="str">
        <f>IFERROR(__xludf.DUMMYFUNCTION("""COMPUTED_VALUE"""),"41. Gregory")</f>
        <v>41. Gregory</v>
      </c>
      <c r="B3964" s="4" t="str">
        <f>IFERROR(__xludf.DUMMYFUNCTION("""COMPUTED_VALUE"""),"41")</f>
        <v>41</v>
      </c>
      <c r="C3964" s="5" t="str">
        <f>IFERROR(__xludf.DUMMYFUNCTION("""COMPUTED_VALUE"""),"https://drive.google.com/file/d/101YV3wE451kskr7E7FKc1-P0fGOz3ZdJ/view?usp=drivesdk")</f>
        <v>https://drive.google.com/file/d/101YV3wE451kskr7E7FKc1-P0fGOz3ZdJ/view?usp=drivesdk</v>
      </c>
      <c r="D3964" s="12"/>
      <c r="E3964" s="11">
        <v>4002.0</v>
      </c>
      <c r="F3964" s="2"/>
    </row>
    <row r="3965" ht="1.5" customHeight="1">
      <c r="A3965" s="4" t="str">
        <f>IFERROR(__xludf.DUMMYFUNCTION("""COMPUTED_VALUE"""),"47. Nefarious, 41. Gregory, 12. Faye, 45. Boots")</f>
        <v>47. Nefarious, 41. Gregory, 12. Faye, 45. Boots</v>
      </c>
      <c r="B3965" s="4" t="str">
        <f>IFERROR(__xludf.DUMMYFUNCTION("""COMPUTED_VALUE"""),"47, 41, 12, 45")</f>
        <v>47, 41, 12, 45</v>
      </c>
      <c r="C3965" s="5" t="str">
        <f>IFERROR(__xludf.DUMMYFUNCTION("""COMPUTED_VALUE"""),"https://drive.google.com/file/d/1nHZgJIFdZGoTpMm2Wnf2nAjOEeEUMguu/view?usp=drivesdk")</f>
        <v>https://drive.google.com/file/d/1nHZgJIFdZGoTpMm2Wnf2nAjOEeEUMguu/view?usp=drivesdk</v>
      </c>
      <c r="D3965" s="12"/>
      <c r="E3965" s="11">
        <v>4003.0</v>
      </c>
      <c r="F3965" s="2"/>
    </row>
    <row r="3966" ht="1.5" customHeight="1">
      <c r="A3966" s="4" t="str">
        <f>IFERROR(__xludf.DUMMYFUNCTION("""COMPUTED_VALUE"""),"38. Winston, 47. Nefarious")</f>
        <v>38. Winston, 47. Nefarious</v>
      </c>
      <c r="B3966" s="4" t="str">
        <f>IFERROR(__xludf.DUMMYFUNCTION("""COMPUTED_VALUE"""),"38, 47")</f>
        <v>38, 47</v>
      </c>
      <c r="C3966" s="5" t="str">
        <f>IFERROR(__xludf.DUMMYFUNCTION("""COMPUTED_VALUE"""),"https://drive.google.com/file/d/1vosa10mIRQfuwkPP_LsdK5ZyVewPHNav/view?usp=drivesdk")</f>
        <v>https://drive.google.com/file/d/1vosa10mIRQfuwkPP_LsdK5ZyVewPHNav/view?usp=drivesdk</v>
      </c>
      <c r="D3966" s="12"/>
      <c r="E3966" s="11">
        <v>4004.0</v>
      </c>
      <c r="F3966" s="2"/>
    </row>
    <row r="3967" ht="1.5" customHeight="1">
      <c r="A3967" s="4" t="str">
        <f>IFERROR(__xludf.DUMMYFUNCTION("""COMPUTED_VALUE"""),"38. Winston, 47. Nefarious, 41. Gregory")</f>
        <v>38. Winston, 47. Nefarious, 41. Gregory</v>
      </c>
      <c r="B3967" s="4" t="str">
        <f>IFERROR(__xludf.DUMMYFUNCTION("""COMPUTED_VALUE"""),"38, 47, 41")</f>
        <v>38, 47, 41</v>
      </c>
      <c r="C3967" s="5" t="str">
        <f>IFERROR(__xludf.DUMMYFUNCTION("""COMPUTED_VALUE"""),"https://drive.google.com/file/d/1bS_kbwWnaHYS_dQhqgBfmVtAfIJCDN3y/view?usp=drivesdk")</f>
        <v>https://drive.google.com/file/d/1bS_kbwWnaHYS_dQhqgBfmVtAfIJCDN3y/view?usp=drivesdk</v>
      </c>
      <c r="D3967" s="12"/>
      <c r="E3967" s="11">
        <v>4005.0</v>
      </c>
      <c r="F3967" s="2"/>
    </row>
    <row r="3968" ht="1.5" customHeight="1">
      <c r="A3968" s="4" t="str">
        <f>IFERROR(__xludf.DUMMYFUNCTION("""COMPUTED_VALUE"""),"61. Cassie")</f>
        <v>61. Cassie</v>
      </c>
      <c r="B3968" s="4" t="str">
        <f>IFERROR(__xludf.DUMMYFUNCTION("""COMPUTED_VALUE"""),"61")</f>
        <v>61</v>
      </c>
      <c r="C3968" s="5" t="str">
        <f>IFERROR(__xludf.DUMMYFUNCTION("""COMPUTED_VALUE"""),"https://drive.google.com/file/d/1Qdfepl7wlD4qgoErGidNhOeoQHpXu6px/view?usp=drivesdk")</f>
        <v>https://drive.google.com/file/d/1Qdfepl7wlD4qgoErGidNhOeoQHpXu6px/view?usp=drivesdk</v>
      </c>
      <c r="D3968" s="12"/>
      <c r="E3968" s="11">
        <v>4006.0</v>
      </c>
      <c r="F3968" s="2"/>
    </row>
    <row r="3969" ht="1.5" customHeight="1">
      <c r="A3969" s="4" t="str">
        <f>IFERROR(__xludf.DUMMYFUNCTION("""COMPUTED_VALUE"""),"38. Winston, 47. Nefarious")</f>
        <v>38. Winston, 47. Nefarious</v>
      </c>
      <c r="B3969" s="4" t="str">
        <f>IFERROR(__xludf.DUMMYFUNCTION("""COMPUTED_VALUE"""),"38, 47")</f>
        <v>38, 47</v>
      </c>
      <c r="C3969" s="5" t="str">
        <f>IFERROR(__xludf.DUMMYFUNCTION("""COMPUTED_VALUE"""),"https://drive.google.com/file/d/1iB7-QtHQv9_k998e8gqIUdgFWjd3nNx9/view?usp=drivesdk")</f>
        <v>https://drive.google.com/file/d/1iB7-QtHQv9_k998e8gqIUdgFWjd3nNx9/view?usp=drivesdk</v>
      </c>
      <c r="D3969" s="12"/>
      <c r="E3969" s="11">
        <v>4007.0</v>
      </c>
      <c r="F3969" s="2"/>
    </row>
    <row r="3970" ht="1.5" customHeight="1">
      <c r="A3970" s="4" t="str">
        <f>IFERROR(__xludf.DUMMYFUNCTION("""COMPUTED_VALUE"""),"42. Rubber, 45. Boots, 12. Faye")</f>
        <v>42. Rubber, 45. Boots, 12. Faye</v>
      </c>
      <c r="B3970" s="4" t="str">
        <f>IFERROR(__xludf.DUMMYFUNCTION("""COMPUTED_VALUE"""),"42, 45, 12")</f>
        <v>42, 45, 12</v>
      </c>
      <c r="C3970" s="5" t="str">
        <f>IFERROR(__xludf.DUMMYFUNCTION("""COMPUTED_VALUE"""),"https://drive.google.com/file/d/1fENQdYon8L5W8nS7KulYM22-WXGlem55/view?usp=drivesdk")</f>
        <v>https://drive.google.com/file/d/1fENQdYon8L5W8nS7KulYM22-WXGlem55/view?usp=drivesdk</v>
      </c>
      <c r="D3970" s="12"/>
      <c r="E3970" s="11">
        <v>4008.0</v>
      </c>
      <c r="F3970" s="2"/>
    </row>
    <row r="3971" ht="1.5" customHeight="1">
      <c r="A3971" s="4" t="str">
        <f>IFERROR(__xludf.DUMMYFUNCTION("""COMPUTED_VALUE"""),"1. Microwave")</f>
        <v>1. Microwave</v>
      </c>
      <c r="B3971" s="4" t="str">
        <f>IFERROR(__xludf.DUMMYFUNCTION("""COMPUTED_VALUE"""),"1")</f>
        <v>1</v>
      </c>
      <c r="C3971" s="5" t="str">
        <f>IFERROR(__xludf.DUMMYFUNCTION("""COMPUTED_VALUE"""),"https://drive.google.com/file/d/1gKLlggNp7NKRBkQ7EwqiDY78qMIrIztB/view?usp=drivesdk")</f>
        <v>https://drive.google.com/file/d/1gKLlggNp7NKRBkQ7EwqiDY78qMIrIztB/view?usp=drivesdk</v>
      </c>
      <c r="D3971" s="12"/>
      <c r="E3971" s="11">
        <v>4009.0</v>
      </c>
      <c r="F3971" s="2"/>
    </row>
    <row r="3972" ht="1.5" customHeight="1">
      <c r="A3972" s="4" t="str">
        <f>IFERROR(__xludf.DUMMYFUNCTION("""COMPUTED_VALUE"""),"64. Ernie")</f>
        <v>64. Ernie</v>
      </c>
      <c r="B3972" s="4" t="str">
        <f>IFERROR(__xludf.DUMMYFUNCTION("""COMPUTED_VALUE"""),"64")</f>
        <v>64</v>
      </c>
      <c r="C3972" s="5" t="str">
        <f>IFERROR(__xludf.DUMMYFUNCTION("""COMPUTED_VALUE"""),"https://drive.google.com/file/d/1lGgjm4bhpYJllq_RHbAdAJr_S-0VXwUj/view?usp=drivesdk")</f>
        <v>https://drive.google.com/file/d/1lGgjm4bhpYJllq_RHbAdAJr_S-0VXwUj/view?usp=drivesdk</v>
      </c>
      <c r="D3972" s="12"/>
      <c r="E3972" s="11">
        <v>4010.0</v>
      </c>
      <c r="F3972" s="2"/>
    </row>
    <row r="3973" ht="1.5" customHeight="1">
      <c r="A3973" s="4" t="str">
        <f>IFERROR(__xludf.DUMMYFUNCTION("""COMPUTED_VALUE"""),"64. Ernie")</f>
        <v>64. Ernie</v>
      </c>
      <c r="B3973" s="4" t="str">
        <f>IFERROR(__xludf.DUMMYFUNCTION("""COMPUTED_VALUE"""),"64")</f>
        <v>64</v>
      </c>
      <c r="C3973" s="5" t="str">
        <f>IFERROR(__xludf.DUMMYFUNCTION("""COMPUTED_VALUE"""),"https://drive.google.com/file/d/1syk9SS0ocC0YpY9yDMmibFmqLtFUAE7g/view?usp=drivesdk")</f>
        <v>https://drive.google.com/file/d/1syk9SS0ocC0YpY9yDMmibFmqLtFUAE7g/view?usp=drivesdk</v>
      </c>
      <c r="D3973" s="12"/>
      <c r="E3973" s="11">
        <v>4011.0</v>
      </c>
      <c r="F3973" s="2"/>
    </row>
    <row r="3974" ht="1.5" customHeight="1">
      <c r="A3974" s="4" t="str">
        <f>IFERROR(__xludf.DUMMYFUNCTION("""COMPUTED_VALUE"""),"64. Ernie")</f>
        <v>64. Ernie</v>
      </c>
      <c r="B3974" s="4" t="str">
        <f>IFERROR(__xludf.DUMMYFUNCTION("""COMPUTED_VALUE"""),"64")</f>
        <v>64</v>
      </c>
      <c r="C3974" s="5" t="str">
        <f>IFERROR(__xludf.DUMMYFUNCTION("""COMPUTED_VALUE"""),"https://drive.google.com/file/d/1c5RxnYR18CjywFavhLPJv-8HudyUoxTt/view?usp=drivesdk")</f>
        <v>https://drive.google.com/file/d/1c5RxnYR18CjywFavhLPJv-8HudyUoxTt/view?usp=drivesdk</v>
      </c>
      <c r="D3974" s="12"/>
      <c r="E3974" s="11">
        <v>4012.0</v>
      </c>
      <c r="F3974" s="2"/>
    </row>
    <row r="3975" ht="1.5" customHeight="1">
      <c r="A3975" s="4" t="str">
        <f>IFERROR(__xludf.DUMMYFUNCTION("""COMPUTED_VALUE"""),"64. Ernie")</f>
        <v>64. Ernie</v>
      </c>
      <c r="B3975" s="4" t="str">
        <f>IFERROR(__xludf.DUMMYFUNCTION("""COMPUTED_VALUE"""),"64")</f>
        <v>64</v>
      </c>
      <c r="C3975" s="5" t="str">
        <f>IFERROR(__xludf.DUMMYFUNCTION("""COMPUTED_VALUE"""),"https://drive.google.com/file/d/19sezQkAZwmIhZwAxz28P1SN-9ET4vFc-/view?usp=drivesdk")</f>
        <v>https://drive.google.com/file/d/19sezQkAZwmIhZwAxz28P1SN-9ET4vFc-/view?usp=drivesdk</v>
      </c>
      <c r="D3975" s="12"/>
      <c r="E3975" s="11">
        <v>4013.0</v>
      </c>
      <c r="F3975" s="2"/>
    </row>
    <row r="3976" ht="1.5" customHeight="1">
      <c r="A3976" s="4" t="str">
        <f>IFERROR(__xludf.DUMMYFUNCTION("""COMPUTED_VALUE"""),"1. Microwave")</f>
        <v>1. Microwave</v>
      </c>
      <c r="B3976" s="4" t="str">
        <f>IFERROR(__xludf.DUMMYFUNCTION("""COMPUTED_VALUE"""),"1")</f>
        <v>1</v>
      </c>
      <c r="C3976" s="5" t="str">
        <f>IFERROR(__xludf.DUMMYFUNCTION("""COMPUTED_VALUE"""),"https://drive.google.com/file/d/1OcU_PuAEAk1aMYCnNU2IWzH97CloR9gC/view?usp=drivesdk")</f>
        <v>https://drive.google.com/file/d/1OcU_PuAEAk1aMYCnNU2IWzH97CloR9gC/view?usp=drivesdk</v>
      </c>
      <c r="D3976" s="12"/>
      <c r="E3976" s="11">
        <v>4014.0</v>
      </c>
      <c r="F3976" s="2"/>
    </row>
    <row r="3977" ht="1.5" customHeight="1">
      <c r="A3977" s="4" t="str">
        <f>IFERROR(__xludf.DUMMYFUNCTION("""COMPUTED_VALUE"""),"1. Microwave")</f>
        <v>1. Microwave</v>
      </c>
      <c r="B3977" s="4" t="str">
        <f>IFERROR(__xludf.DUMMYFUNCTION("""COMPUTED_VALUE"""),"1")</f>
        <v>1</v>
      </c>
      <c r="C3977" s="5" t="str">
        <f>IFERROR(__xludf.DUMMYFUNCTION("""COMPUTED_VALUE"""),"https://drive.google.com/file/d/1hkOaxdUVFE_qvmUfFG5gzI6NZ1tBhdX0/view?usp=drivesdk")</f>
        <v>https://drive.google.com/file/d/1hkOaxdUVFE_qvmUfFG5gzI6NZ1tBhdX0/view?usp=drivesdk</v>
      </c>
      <c r="D3977" s="12"/>
      <c r="E3977" s="11">
        <v>4015.0</v>
      </c>
      <c r="F3977" s="2"/>
    </row>
    <row r="3978" ht="1.5" customHeight="1">
      <c r="A3978" s="4" t="str">
        <f>IFERROR(__xludf.DUMMYFUNCTION("""COMPUTED_VALUE"""),"4. Eggs, 5. Eraser")</f>
        <v>4. Eggs, 5. Eraser</v>
      </c>
      <c r="B3978" s="4" t="str">
        <f>IFERROR(__xludf.DUMMYFUNCTION("""COMPUTED_VALUE"""),"4, 5")</f>
        <v>4, 5</v>
      </c>
      <c r="C3978" s="5" t="str">
        <f>IFERROR(__xludf.DUMMYFUNCTION("""COMPUTED_VALUE"""),"https://drive.google.com/file/d/155wllZqaVr4ympBHd4Txt4uI9DwnOFeW/view?usp=drivesdk")</f>
        <v>https://drive.google.com/file/d/155wllZqaVr4ympBHd4Txt4uI9DwnOFeW/view?usp=drivesdk</v>
      </c>
      <c r="D3978" s="12"/>
      <c r="E3978" s="11">
        <v>4016.0</v>
      </c>
      <c r="F3978" s="2"/>
    </row>
    <row r="3979" ht="1.5" customHeight="1">
      <c r="A3979" s="4" t="str">
        <f>IFERROR(__xludf.DUMMYFUNCTION("""COMPUTED_VALUE"""),"4. Eggs, 5. Eraser")</f>
        <v>4. Eggs, 5. Eraser</v>
      </c>
      <c r="B3979" s="4" t="str">
        <f>IFERROR(__xludf.DUMMYFUNCTION("""COMPUTED_VALUE"""),"4, 5")</f>
        <v>4, 5</v>
      </c>
      <c r="C3979" s="5" t="str">
        <f>IFERROR(__xludf.DUMMYFUNCTION("""COMPUTED_VALUE"""),"https://drive.google.com/file/d/1gwtnR56R6tqwpLSEBx85AxIj2ylnTWVj/view?usp=drivesdk")</f>
        <v>https://drive.google.com/file/d/1gwtnR56R6tqwpLSEBx85AxIj2ylnTWVj/view?usp=drivesdk</v>
      </c>
      <c r="D3979" s="12"/>
      <c r="E3979" s="11">
        <v>4017.0</v>
      </c>
      <c r="F3979" s="2"/>
    </row>
    <row r="3980" ht="1.5" customHeight="1">
      <c r="A3980" s="4" t="str">
        <f>IFERROR(__xludf.DUMMYFUNCTION("""COMPUTED_VALUE"""),"4. Eggs")</f>
        <v>4. Eggs</v>
      </c>
      <c r="B3980" s="4" t="str">
        <f>IFERROR(__xludf.DUMMYFUNCTION("""COMPUTED_VALUE"""),"4")</f>
        <v>4</v>
      </c>
      <c r="C3980" s="5" t="str">
        <f>IFERROR(__xludf.DUMMYFUNCTION("""COMPUTED_VALUE"""),"https://drive.google.com/file/d/1Y87eEKLj49dJw8ymAal9cb5NiIbN7Wu2/view?usp=drivesdk")</f>
        <v>https://drive.google.com/file/d/1Y87eEKLj49dJw8ymAal9cb5NiIbN7Wu2/view?usp=drivesdk</v>
      </c>
      <c r="D3980" s="12"/>
      <c r="E3980" s="11">
        <v>4018.0</v>
      </c>
      <c r="F3980" s="2"/>
    </row>
    <row r="3981" ht="1.5" customHeight="1">
      <c r="A3981" s="4" t="str">
        <f>IFERROR(__xludf.DUMMYFUNCTION("""COMPUTED_VALUE"""),"1. Microwave")</f>
        <v>1. Microwave</v>
      </c>
      <c r="B3981" s="4" t="str">
        <f>IFERROR(__xludf.DUMMYFUNCTION("""COMPUTED_VALUE"""),"1")</f>
        <v>1</v>
      </c>
      <c r="C3981" s="5" t="str">
        <f>IFERROR(__xludf.DUMMYFUNCTION("""COMPUTED_VALUE"""),"https://drive.google.com/file/d/1Wx5kL6DD_gt95VR3ib6ewOEOUZjZvhHj/view?usp=drivesdk")</f>
        <v>https://drive.google.com/file/d/1Wx5kL6DD_gt95VR3ib6ewOEOUZjZvhHj/view?usp=drivesdk</v>
      </c>
      <c r="D3981" s="12"/>
      <c r="E3981" s="11">
        <v>4019.0</v>
      </c>
      <c r="F3981" s="2"/>
    </row>
    <row r="3982" ht="1.5" customHeight="1">
      <c r="A3982" s="4" t="str">
        <f>IFERROR(__xludf.DUMMYFUNCTION("""COMPUTED_VALUE"""),"1. Microwave")</f>
        <v>1. Microwave</v>
      </c>
      <c r="B3982" s="4" t="str">
        <f>IFERROR(__xludf.DUMMYFUNCTION("""COMPUTED_VALUE"""),"1")</f>
        <v>1</v>
      </c>
      <c r="C3982" s="5" t="str">
        <f>IFERROR(__xludf.DUMMYFUNCTION("""COMPUTED_VALUE"""),"https://drive.google.com/file/d/1oTG1_vWabjbTNlFJUDwmobZbN7NrK4_r/view?usp=drivesdk")</f>
        <v>https://drive.google.com/file/d/1oTG1_vWabjbTNlFJUDwmobZbN7NrK4_r/view?usp=drivesdk</v>
      </c>
      <c r="D3982" s="12"/>
      <c r="E3982" s="11">
        <v>4020.0</v>
      </c>
      <c r="F3982" s="2"/>
    </row>
    <row r="3983" ht="1.5" customHeight="1">
      <c r="A3983" s="4" t="str">
        <f>IFERROR(__xludf.DUMMYFUNCTION("""COMPUTED_VALUE"""),"29. Ginger")</f>
        <v>29. Ginger</v>
      </c>
      <c r="B3983" s="4" t="str">
        <f>IFERROR(__xludf.DUMMYFUNCTION("""COMPUTED_VALUE"""),"29")</f>
        <v>29</v>
      </c>
      <c r="C3983" s="5" t="str">
        <f>IFERROR(__xludf.DUMMYFUNCTION("""COMPUTED_VALUE"""),"https://drive.google.com/file/d/1FeuNg2Z4AvM6_lCxqQTFshLjk5fNIUQX/view?usp=drivesdk")</f>
        <v>https://drive.google.com/file/d/1FeuNg2Z4AvM6_lCxqQTFshLjk5fNIUQX/view?usp=drivesdk</v>
      </c>
      <c r="D3983" s="12"/>
      <c r="E3983" s="11">
        <v>4021.0</v>
      </c>
      <c r="F3983" s="2"/>
    </row>
    <row r="3984" ht="1.5" customHeight="1">
      <c r="A3984" s="4" t="str">
        <f>IFERROR(__xludf.DUMMYFUNCTION("""COMPUTED_VALUE"""),"1. Microwave")</f>
        <v>1. Microwave</v>
      </c>
      <c r="B3984" s="4" t="str">
        <f>IFERROR(__xludf.DUMMYFUNCTION("""COMPUTED_VALUE"""),"1")</f>
        <v>1</v>
      </c>
      <c r="C3984" s="5" t="str">
        <f>IFERROR(__xludf.DUMMYFUNCTION("""COMPUTED_VALUE"""),"https://drive.google.com/file/d/1e6jx8dhpm4WyRdOfxTIv6CEszY2-Bvpr/view?usp=drivesdk")</f>
        <v>https://drive.google.com/file/d/1e6jx8dhpm4WyRdOfxTIv6CEszY2-Bvpr/view?usp=drivesdk</v>
      </c>
      <c r="D3984" s="12"/>
      <c r="E3984" s="11">
        <v>4022.0</v>
      </c>
      <c r="F3984" s="2"/>
    </row>
    <row r="3985" ht="1.5" customHeight="1">
      <c r="A3985" s="4" t="str">
        <f>IFERROR(__xludf.DUMMYFUNCTION("""COMPUTED_VALUE"""),"1. Microwave")</f>
        <v>1. Microwave</v>
      </c>
      <c r="B3985" s="4" t="str">
        <f>IFERROR(__xludf.DUMMYFUNCTION("""COMPUTED_VALUE"""),"1")</f>
        <v>1</v>
      </c>
      <c r="C3985" s="5" t="str">
        <f>IFERROR(__xludf.DUMMYFUNCTION("""COMPUTED_VALUE"""),"https://drive.google.com/file/d/1w2Zv6061wJ836N-r_1u-uoWWMO4uqssm/view?usp=drivesdk")</f>
        <v>https://drive.google.com/file/d/1w2Zv6061wJ836N-r_1u-uoWWMO4uqssm/view?usp=drivesdk</v>
      </c>
      <c r="D3985" s="12"/>
      <c r="E3985" s="11">
        <v>4023.0</v>
      </c>
      <c r="F3985" s="2"/>
    </row>
    <row r="3986" ht="1.5" customHeight="1">
      <c r="A3986" s="4" t="str">
        <f>IFERROR(__xludf.DUMMYFUNCTION("""COMPUTED_VALUE"""),"1. Microwave")</f>
        <v>1. Microwave</v>
      </c>
      <c r="B3986" s="4" t="str">
        <f>IFERROR(__xludf.DUMMYFUNCTION("""COMPUTED_VALUE"""),"1")</f>
        <v>1</v>
      </c>
      <c r="C3986" s="5" t="str">
        <f>IFERROR(__xludf.DUMMYFUNCTION("""COMPUTED_VALUE"""),"https://drive.google.com/file/d/1GFMZ1lHId0XNjbM-TPjYhGNdJh_ugTBx/view?usp=drivesdk")</f>
        <v>https://drive.google.com/file/d/1GFMZ1lHId0XNjbM-TPjYhGNdJh_ugTBx/view?usp=drivesdk</v>
      </c>
      <c r="D3986" s="12"/>
      <c r="E3986" s="11">
        <v>4024.0</v>
      </c>
      <c r="F3986" s="2"/>
    </row>
    <row r="3987" ht="1.5" customHeight="1">
      <c r="A3987" s="4" t="str">
        <f>IFERROR(__xludf.DUMMYFUNCTION("""COMPUTED_VALUE"""),"1. Microwave")</f>
        <v>1. Microwave</v>
      </c>
      <c r="B3987" s="4" t="str">
        <f>IFERROR(__xludf.DUMMYFUNCTION("""COMPUTED_VALUE"""),"1")</f>
        <v>1</v>
      </c>
      <c r="C3987" s="5" t="str">
        <f>IFERROR(__xludf.DUMMYFUNCTION("""COMPUTED_VALUE"""),"https://drive.google.com/file/d/1jBfDThrpf8_RqfBy8DWOkXZ2PC3Zs6U1/view?usp=drivesdk")</f>
        <v>https://drive.google.com/file/d/1jBfDThrpf8_RqfBy8DWOkXZ2PC3Zs6U1/view?usp=drivesdk</v>
      </c>
      <c r="D3987" s="12"/>
      <c r="E3987" s="11">
        <v>4025.0</v>
      </c>
      <c r="F3987" s="2"/>
    </row>
    <row r="3988" ht="1.5" customHeight="1">
      <c r="A3988" s="4" t="str">
        <f>IFERROR(__xludf.DUMMYFUNCTION("""COMPUTED_VALUE"""),"4. Eggs, 5. Eraser")</f>
        <v>4. Eggs, 5. Eraser</v>
      </c>
      <c r="B3988" s="4" t="str">
        <f>IFERROR(__xludf.DUMMYFUNCTION("""COMPUTED_VALUE"""),"4, 5")</f>
        <v>4, 5</v>
      </c>
      <c r="C3988" s="5" t="str">
        <f>IFERROR(__xludf.DUMMYFUNCTION("""COMPUTED_VALUE"""),"https://drive.google.com/file/d/1pxVsIggc1tMaqwwWOhHhfrKbf5sp3Siw/view?usp=drivesdk")</f>
        <v>https://drive.google.com/file/d/1pxVsIggc1tMaqwwWOhHhfrKbf5sp3Siw/view?usp=drivesdk</v>
      </c>
      <c r="D3988" s="12"/>
      <c r="E3988" s="11">
        <v>4026.0</v>
      </c>
      <c r="F3988" s="2"/>
    </row>
    <row r="3989" ht="1.5" customHeight="1">
      <c r="A3989" s="4" t="str">
        <f>IFERROR(__xludf.DUMMYFUNCTION("""COMPUTED_VALUE"""),"2. Twix")</f>
        <v>2. Twix</v>
      </c>
      <c r="B3989" s="4" t="str">
        <f>IFERROR(__xludf.DUMMYFUNCTION("""COMPUTED_VALUE"""),"2")</f>
        <v>2</v>
      </c>
      <c r="C3989" s="5" t="str">
        <f>IFERROR(__xludf.DUMMYFUNCTION("""COMPUTED_VALUE"""),"https://drive.google.com/file/d/1QhfdOZVAGpNRqEf3AZYuuyXXlZs2n-rr/view?usp=drivesdk")</f>
        <v>https://drive.google.com/file/d/1QhfdOZVAGpNRqEf3AZYuuyXXlZs2n-rr/view?usp=drivesdk</v>
      </c>
      <c r="D3989" s="12"/>
      <c r="E3989" s="11">
        <v>4027.0</v>
      </c>
      <c r="F3989" s="2"/>
    </row>
    <row r="3990" ht="1.5" customHeight="1">
      <c r="A3990" s="4" t="str">
        <f>IFERROR(__xludf.DUMMYFUNCTION("""COMPUTED_VALUE"""),"4. Eggs, 5. Eraser")</f>
        <v>4. Eggs, 5. Eraser</v>
      </c>
      <c r="B3990" s="4" t="str">
        <f>IFERROR(__xludf.DUMMYFUNCTION("""COMPUTED_VALUE"""),"4, 5")</f>
        <v>4, 5</v>
      </c>
      <c r="C3990" s="5" t="str">
        <f>IFERROR(__xludf.DUMMYFUNCTION("""COMPUTED_VALUE"""),"https://drive.google.com/file/d/1tzUv5QJ_7EaKJ9b1YmnQoJFR_nzjyvez/view?usp=drivesdk")</f>
        <v>https://drive.google.com/file/d/1tzUv5QJ_7EaKJ9b1YmnQoJFR_nzjyvez/view?usp=drivesdk</v>
      </c>
      <c r="D3990" s="12"/>
      <c r="E3990" s="11">
        <v>4028.0</v>
      </c>
      <c r="F3990" s="2"/>
    </row>
    <row r="3991" ht="1.5" customHeight="1">
      <c r="A3991" s="4" t="str">
        <f>IFERROR(__xludf.DUMMYFUNCTION("""COMPUTED_VALUE"""),"4. Eggs, 5. Eraser")</f>
        <v>4. Eggs, 5. Eraser</v>
      </c>
      <c r="B3991" s="4" t="str">
        <f>IFERROR(__xludf.DUMMYFUNCTION("""COMPUTED_VALUE"""),"4, 5")</f>
        <v>4, 5</v>
      </c>
      <c r="C3991" s="5" t="str">
        <f>IFERROR(__xludf.DUMMYFUNCTION("""COMPUTED_VALUE"""),"https://drive.google.com/file/d/14VzAKsO7Ah3doSil5Xo81nlBZQFfJMSy/view?usp=drivesdk")</f>
        <v>https://drive.google.com/file/d/14VzAKsO7Ah3doSil5Xo81nlBZQFfJMSy/view?usp=drivesdk</v>
      </c>
      <c r="D3991" s="12"/>
      <c r="E3991" s="11">
        <v>4029.0</v>
      </c>
      <c r="F3991" s="2"/>
    </row>
    <row r="3992" ht="1.5" customHeight="1">
      <c r="A3992" s="4" t="str">
        <f>IFERROR(__xludf.DUMMYFUNCTION("""COMPUTED_VALUE"""),"61. Cassie")</f>
        <v>61. Cassie</v>
      </c>
      <c r="B3992" s="4" t="str">
        <f>IFERROR(__xludf.DUMMYFUNCTION("""COMPUTED_VALUE"""),"61")</f>
        <v>61</v>
      </c>
      <c r="C3992" s="5" t="str">
        <f>IFERROR(__xludf.DUMMYFUNCTION("""COMPUTED_VALUE"""),"https://drive.google.com/file/d/1zjra6ZjS2-arRJ5FkZpzBGlsYaTf62Cq/view?usp=drivesdk")</f>
        <v>https://drive.google.com/file/d/1zjra6ZjS2-arRJ5FkZpzBGlsYaTf62Cq/view?usp=drivesdk</v>
      </c>
      <c r="D3992" s="12"/>
      <c r="E3992" s="11">
        <v>4030.0</v>
      </c>
      <c r="F3992" s="2"/>
    </row>
    <row r="3993" ht="1.5" customHeight="1">
      <c r="A3993" s="4" t="str">
        <f>IFERROR(__xludf.DUMMYFUNCTION("""COMPUTED_VALUE"""),"33. Zee")</f>
        <v>33. Zee</v>
      </c>
      <c r="B3993" s="4" t="str">
        <f>IFERROR(__xludf.DUMMYFUNCTION("""COMPUTED_VALUE"""),"33")</f>
        <v>33</v>
      </c>
      <c r="C3993" s="5" t="str">
        <f>IFERROR(__xludf.DUMMYFUNCTION("""COMPUTED_VALUE"""),"https://drive.google.com/file/d/1Dn-6zZ9oRB7GuQg-9XYQ0dccMLqNyGNO/view?usp=drivesdk")</f>
        <v>https://drive.google.com/file/d/1Dn-6zZ9oRB7GuQg-9XYQ0dccMLqNyGNO/view?usp=drivesdk</v>
      </c>
      <c r="D3993" s="12"/>
      <c r="E3993" s="11">
        <v>4031.0</v>
      </c>
      <c r="F3993" s="2"/>
    </row>
    <row r="3994" ht="1.5" customHeight="1">
      <c r="A3994" s="4" t="str">
        <f>IFERROR(__xludf.DUMMYFUNCTION("""COMPUTED_VALUE"""),"30. Pepper, 29. Ginger, 27. Angel, 32. Noir")</f>
        <v>30. Pepper, 29. Ginger, 27. Angel, 32. Noir</v>
      </c>
      <c r="B3994" s="4" t="str">
        <f>IFERROR(__xludf.DUMMYFUNCTION("""COMPUTED_VALUE"""),"30, 29, 27, 32")</f>
        <v>30, 29, 27, 32</v>
      </c>
      <c r="C3994" s="5" t="str">
        <f>IFERROR(__xludf.DUMMYFUNCTION("""COMPUTED_VALUE"""),"https://drive.google.com/file/d/1I8yQKnpfCV5wqx0HWY-SEIYBezYWtJP3/view?usp=drivesdk")</f>
        <v>https://drive.google.com/file/d/1I8yQKnpfCV5wqx0HWY-SEIYBezYWtJP3/view?usp=drivesdk</v>
      </c>
      <c r="D3994" s="12"/>
      <c r="E3994" s="11">
        <v>4032.0</v>
      </c>
      <c r="F3994" s="2"/>
    </row>
    <row r="3995" ht="1.5" customHeight="1">
      <c r="A3995" s="4" t="str">
        <f>IFERROR(__xludf.DUMMYFUNCTION("""COMPUTED_VALUE"""),"32. Noir, 29. Ginger")</f>
        <v>32. Noir, 29. Ginger</v>
      </c>
      <c r="B3995" s="4" t="str">
        <f>IFERROR(__xludf.DUMMYFUNCTION("""COMPUTED_VALUE"""),"32, 29")</f>
        <v>32, 29</v>
      </c>
      <c r="C3995" s="5" t="str">
        <f>IFERROR(__xludf.DUMMYFUNCTION("""COMPUTED_VALUE"""),"https://drive.google.com/file/d/17b-IdJVBEzmT_esbhDLsythjAxHpqAo4/view?usp=drivesdk")</f>
        <v>https://drive.google.com/file/d/17b-IdJVBEzmT_esbhDLsythjAxHpqAo4/view?usp=drivesdk</v>
      </c>
      <c r="D3995" s="12"/>
      <c r="E3995" s="11">
        <v>4033.0</v>
      </c>
      <c r="F3995" s="2"/>
    </row>
    <row r="3996" ht="1.5" customHeight="1">
      <c r="A3996" s="4" t="str">
        <f>IFERROR(__xludf.DUMMYFUNCTION("""COMPUTED_VALUE"""),"1. Microwave")</f>
        <v>1. Microwave</v>
      </c>
      <c r="B3996" s="4" t="str">
        <f>IFERROR(__xludf.DUMMYFUNCTION("""COMPUTED_VALUE"""),"1")</f>
        <v>1</v>
      </c>
      <c r="C3996" s="5" t="str">
        <f>IFERROR(__xludf.DUMMYFUNCTION("""COMPUTED_VALUE"""),"https://drive.google.com/file/d/1BtUw4fPT6Lv6ZN2aBrsjDrtBH6KLzdaq/view?usp=drivesdk")</f>
        <v>https://drive.google.com/file/d/1BtUw4fPT6Lv6ZN2aBrsjDrtBH6KLzdaq/view?usp=drivesdk</v>
      </c>
      <c r="D3996" s="12"/>
      <c r="E3996" s="11">
        <v>4034.0</v>
      </c>
      <c r="F3996" s="2"/>
    </row>
    <row r="3997" ht="1.5" customHeight="1">
      <c r="A3997" s="4" t="str">
        <f>IFERROR(__xludf.DUMMYFUNCTION("""COMPUTED_VALUE"""),"7. Hershey")</f>
        <v>7. Hershey</v>
      </c>
      <c r="B3997" s="4" t="str">
        <f>IFERROR(__xludf.DUMMYFUNCTION("""COMPUTED_VALUE"""),"7")</f>
        <v>7</v>
      </c>
      <c r="C3997" s="5" t="str">
        <f>IFERROR(__xludf.DUMMYFUNCTION("""COMPUTED_VALUE"""),"https://drive.google.com/file/d/1aauQksY8HC_YWJHjrALQvcxTEdGBvTXg/view?usp=drivesdk")</f>
        <v>https://drive.google.com/file/d/1aauQksY8HC_YWJHjrALQvcxTEdGBvTXg/view?usp=drivesdk</v>
      </c>
      <c r="D3997" s="12"/>
      <c r="E3997" s="11">
        <v>4035.0</v>
      </c>
      <c r="F3997" s="2"/>
    </row>
    <row r="3998" ht="1.5" customHeight="1">
      <c r="A3998" s="4" t="str">
        <f>IFERROR(__xludf.DUMMYFUNCTION("""COMPUTED_VALUE"""),"33. Zee, 27. Angel")</f>
        <v>33. Zee, 27. Angel</v>
      </c>
      <c r="B3998" s="4" t="str">
        <f>IFERROR(__xludf.DUMMYFUNCTION("""COMPUTED_VALUE"""),"33, 27")</f>
        <v>33, 27</v>
      </c>
      <c r="C3998" s="5" t="str">
        <f>IFERROR(__xludf.DUMMYFUNCTION("""COMPUTED_VALUE"""),"https://drive.google.com/file/d/121JblkgJNgN7m2nnReJiSazfU2kTMlKH/view?usp=drivesdk")</f>
        <v>https://drive.google.com/file/d/121JblkgJNgN7m2nnReJiSazfU2kTMlKH/view?usp=drivesdk</v>
      </c>
      <c r="D3998" s="12"/>
      <c r="E3998" s="11">
        <v>4036.0</v>
      </c>
      <c r="F3998" s="2"/>
    </row>
    <row r="3999" ht="1.5" customHeight="1">
      <c r="A3999" s="4" t="str">
        <f>IFERROR(__xludf.DUMMYFUNCTION("""COMPUTED_VALUE"""),"33. Zee, 27. Angel")</f>
        <v>33. Zee, 27. Angel</v>
      </c>
      <c r="B3999" s="4" t="str">
        <f>IFERROR(__xludf.DUMMYFUNCTION("""COMPUTED_VALUE"""),"33, 27")</f>
        <v>33, 27</v>
      </c>
      <c r="C3999" s="5" t="str">
        <f>IFERROR(__xludf.DUMMYFUNCTION("""COMPUTED_VALUE"""),"https://drive.google.com/file/d/1SxlqnYubyRVUUorsgzQd-XAU8eKraojA/view?usp=drivesdk")</f>
        <v>https://drive.google.com/file/d/1SxlqnYubyRVUUorsgzQd-XAU8eKraojA/view?usp=drivesdk</v>
      </c>
      <c r="D3999" s="12"/>
      <c r="E3999" s="11">
        <v>4037.0</v>
      </c>
      <c r="F3999" s="2"/>
    </row>
    <row r="4000" ht="1.5" customHeight="1">
      <c r="A4000" s="4" t="str">
        <f>IFERROR(__xludf.DUMMYFUNCTION("""COMPUTED_VALUE"""),"30. Pepper")</f>
        <v>30. Pepper</v>
      </c>
      <c r="B4000" s="4" t="str">
        <f>IFERROR(__xludf.DUMMYFUNCTION("""COMPUTED_VALUE"""),"30")</f>
        <v>30</v>
      </c>
      <c r="C4000" s="5" t="str">
        <f>IFERROR(__xludf.DUMMYFUNCTION("""COMPUTED_VALUE"""),"https://drive.google.com/file/d/10YlUFfIaPtGrjs0Tz4Sj5v5xMhqKlCw6/view?usp=drivesdk")</f>
        <v>https://drive.google.com/file/d/10YlUFfIaPtGrjs0Tz4Sj5v5xMhqKlCw6/view?usp=drivesdk</v>
      </c>
      <c r="D4000" s="12"/>
      <c r="E4000" s="11">
        <v>4038.0</v>
      </c>
      <c r="F4000" s="2"/>
    </row>
    <row r="4001" ht="1.5" customHeight="1">
      <c r="A4001" s="4" t="str">
        <f>IFERROR(__xludf.DUMMYFUNCTION("""COMPUTED_VALUE"""),"21. Paquini, 80. Atzi")</f>
        <v>21. Paquini, 80. Atzi</v>
      </c>
      <c r="B4001" s="4" t="str">
        <f>IFERROR(__xludf.DUMMYFUNCTION("""COMPUTED_VALUE"""),"21, 80")</f>
        <v>21, 80</v>
      </c>
      <c r="C4001" s="5" t="str">
        <f>IFERROR(__xludf.DUMMYFUNCTION("""COMPUTED_VALUE"""),"https://drive.google.com/file/d/1iN-YyCLsNulw9jCFCycDqUawA8VEkA0a/view?usp=drivesdk")</f>
        <v>https://drive.google.com/file/d/1iN-YyCLsNulw9jCFCycDqUawA8VEkA0a/view?usp=drivesdk</v>
      </c>
      <c r="D4001" s="12"/>
      <c r="E4001" s="11">
        <v>4039.0</v>
      </c>
      <c r="F4001" s="2"/>
    </row>
    <row r="4002" ht="1.5" customHeight="1">
      <c r="A4002" s="4" t="str">
        <f>IFERROR(__xludf.DUMMYFUNCTION("""COMPUTED_VALUE"""),"21. Paquini, 80. Atzi")</f>
        <v>21. Paquini, 80. Atzi</v>
      </c>
      <c r="B4002" s="4" t="str">
        <f>IFERROR(__xludf.DUMMYFUNCTION("""COMPUTED_VALUE"""),"21, 80")</f>
        <v>21, 80</v>
      </c>
      <c r="C4002" s="5" t="str">
        <f>IFERROR(__xludf.DUMMYFUNCTION("""COMPUTED_VALUE"""),"https://drive.google.com/file/d/195BPE2n5b4qlMzd7TSZQFTd7JiSnTwhn/view?usp=drivesdk")</f>
        <v>https://drive.google.com/file/d/195BPE2n5b4qlMzd7TSZQFTd7JiSnTwhn/view?usp=drivesdk</v>
      </c>
      <c r="D4002" s="12"/>
      <c r="E4002" s="11">
        <v>4040.0</v>
      </c>
      <c r="F4002" s="2"/>
    </row>
    <row r="4003" ht="1.5" customHeight="1">
      <c r="A4003" s="4" t="str">
        <f>IFERROR(__xludf.DUMMYFUNCTION("""COMPUTED_VALUE"""),"1. Microwave")</f>
        <v>1. Microwave</v>
      </c>
      <c r="B4003" s="4" t="str">
        <f>IFERROR(__xludf.DUMMYFUNCTION("""COMPUTED_VALUE"""),"1")</f>
        <v>1</v>
      </c>
      <c r="C4003" s="5" t="str">
        <f>IFERROR(__xludf.DUMMYFUNCTION("""COMPUTED_VALUE"""),"https://drive.google.com/file/d/1Pt1MYmQHpujXEfUlOlbGQTGwV9g8c9CP/view?usp=drivesdk")</f>
        <v>https://drive.google.com/file/d/1Pt1MYmQHpujXEfUlOlbGQTGwV9g8c9CP/view?usp=drivesdk</v>
      </c>
      <c r="D4003" s="12"/>
      <c r="E4003" s="11">
        <v>4041.0</v>
      </c>
      <c r="F4003" s="2"/>
    </row>
    <row r="4004" ht="1.5" customHeight="1">
      <c r="A4004" s="4" t="str">
        <f>IFERROR(__xludf.DUMMYFUNCTION("""COMPUTED_VALUE"""),"7. Hershey")</f>
        <v>7. Hershey</v>
      </c>
      <c r="B4004" s="4" t="str">
        <f>IFERROR(__xludf.DUMMYFUNCTION("""COMPUTED_VALUE"""),"7")</f>
        <v>7</v>
      </c>
      <c r="C4004" s="5" t="str">
        <f>IFERROR(__xludf.DUMMYFUNCTION("""COMPUTED_VALUE"""),"https://drive.google.com/file/d/1YJpeKb7esAdnBv1vzITCi6XeY5Q9Uzik/view?usp=drivesdk")</f>
        <v>https://drive.google.com/file/d/1YJpeKb7esAdnBv1vzITCi6XeY5Q9Uzik/view?usp=drivesdk</v>
      </c>
      <c r="D4004" s="12"/>
      <c r="E4004" s="11">
        <v>4042.0</v>
      </c>
      <c r="F4004" s="2"/>
    </row>
    <row r="4005" ht="1.5" customHeight="1">
      <c r="A4005" s="4" t="str">
        <f>IFERROR(__xludf.DUMMYFUNCTION("""COMPUTED_VALUE"""),"7. Hershey")</f>
        <v>7. Hershey</v>
      </c>
      <c r="B4005" s="4" t="str">
        <f>IFERROR(__xludf.DUMMYFUNCTION("""COMPUTED_VALUE"""),"7")</f>
        <v>7</v>
      </c>
      <c r="C4005" s="5" t="str">
        <f>IFERROR(__xludf.DUMMYFUNCTION("""COMPUTED_VALUE"""),"https://drive.google.com/file/d/1FLhSCPwj-0ZAiJ5Ki6bZciMeXNSj0gsm/view?usp=drivesdk")</f>
        <v>https://drive.google.com/file/d/1FLhSCPwj-0ZAiJ5Ki6bZciMeXNSj0gsm/view?usp=drivesdk</v>
      </c>
      <c r="D4005" s="12"/>
      <c r="E4005" s="11">
        <v>4043.0</v>
      </c>
      <c r="F4005" s="2"/>
    </row>
    <row r="4006" ht="1.5" customHeight="1">
      <c r="A4006" s="4" t="str">
        <f>IFERROR(__xludf.DUMMYFUNCTION("""COMPUTED_VALUE"""),"7. Hershey")</f>
        <v>7. Hershey</v>
      </c>
      <c r="B4006" s="4" t="str">
        <f>IFERROR(__xludf.DUMMYFUNCTION("""COMPUTED_VALUE"""),"7")</f>
        <v>7</v>
      </c>
      <c r="C4006" s="5" t="str">
        <f>IFERROR(__xludf.DUMMYFUNCTION("""COMPUTED_VALUE"""),"https://drive.google.com/file/d/1o0vlhy1PGzNDRQBjIGroZYPspqgBa_26/view?usp=drivesdk")</f>
        <v>https://drive.google.com/file/d/1o0vlhy1PGzNDRQBjIGroZYPspqgBa_26/view?usp=drivesdk</v>
      </c>
      <c r="D4006" s="12"/>
      <c r="E4006" s="11">
        <v>4044.0</v>
      </c>
      <c r="F4006" s="2"/>
    </row>
    <row r="4007" ht="1.5" customHeight="1">
      <c r="A4007" s="4" t="str">
        <f>IFERROR(__xludf.DUMMYFUNCTION("""COMPUTED_VALUE"""),"7. Hershey")</f>
        <v>7. Hershey</v>
      </c>
      <c r="B4007" s="4" t="str">
        <f>IFERROR(__xludf.DUMMYFUNCTION("""COMPUTED_VALUE"""),"7")</f>
        <v>7</v>
      </c>
      <c r="C4007" s="5" t="str">
        <f>IFERROR(__xludf.DUMMYFUNCTION("""COMPUTED_VALUE"""),"https://drive.google.com/file/d/14OEcWgkdXOlwF4bEmwCd0otEsgAX27C6/view?usp=drivesdk")</f>
        <v>https://drive.google.com/file/d/14OEcWgkdXOlwF4bEmwCd0otEsgAX27C6/view?usp=drivesdk</v>
      </c>
      <c r="D4007" s="12"/>
      <c r="E4007" s="11">
        <v>4045.0</v>
      </c>
      <c r="F4007" s="2"/>
    </row>
    <row r="4008" ht="1.5" customHeight="1">
      <c r="A4008" s="4" t="str">
        <f>IFERROR(__xludf.DUMMYFUNCTION("""COMPUTED_VALUE"""),"48. Houdini")</f>
        <v>48. Houdini</v>
      </c>
      <c r="B4008" s="4" t="str">
        <f>IFERROR(__xludf.DUMMYFUNCTION("""COMPUTED_VALUE"""),"48")</f>
        <v>48</v>
      </c>
      <c r="C4008" s="5" t="str">
        <f>IFERROR(__xludf.DUMMYFUNCTION("""COMPUTED_VALUE"""),"https://drive.google.com/file/d/1FCjLWFzzYJi3TEVpgIkfS2D0NP7n4BEE/view?usp=drivesdk")</f>
        <v>https://drive.google.com/file/d/1FCjLWFzzYJi3TEVpgIkfS2D0NP7n4BEE/view?usp=drivesdk</v>
      </c>
      <c r="D4008" s="12"/>
      <c r="E4008" s="11">
        <v>4046.0</v>
      </c>
      <c r="F4008" s="2"/>
    </row>
    <row r="4009" ht="1.5" customHeight="1">
      <c r="A4009" s="4" t="str">
        <f>IFERROR(__xludf.DUMMYFUNCTION("""COMPUTED_VALUE"""),"48. Houdini")</f>
        <v>48. Houdini</v>
      </c>
      <c r="B4009" s="4" t="str">
        <f>IFERROR(__xludf.DUMMYFUNCTION("""COMPUTED_VALUE"""),"48")</f>
        <v>48</v>
      </c>
      <c r="C4009" s="5" t="str">
        <f>IFERROR(__xludf.DUMMYFUNCTION("""COMPUTED_VALUE"""),"https://drive.google.com/file/d/1nnSWpVr0Ec3VhTPOSXxRPieK9Tri_LQQ/view?usp=drivesdk")</f>
        <v>https://drive.google.com/file/d/1nnSWpVr0Ec3VhTPOSXxRPieK9Tri_LQQ/view?usp=drivesdk</v>
      </c>
      <c r="D4009" s="12"/>
      <c r="E4009" s="11">
        <v>4047.0</v>
      </c>
      <c r="F4009" s="2"/>
    </row>
    <row r="4010" ht="1.5" customHeight="1">
      <c r="A4010" s="4" t="str">
        <f>IFERROR(__xludf.DUMMYFUNCTION("""COMPUTED_VALUE"""),"48. Houdini")</f>
        <v>48. Houdini</v>
      </c>
      <c r="B4010" s="4" t="str">
        <f>IFERROR(__xludf.DUMMYFUNCTION("""COMPUTED_VALUE"""),"48")</f>
        <v>48</v>
      </c>
      <c r="C4010" s="5" t="str">
        <f>IFERROR(__xludf.DUMMYFUNCTION("""COMPUTED_VALUE"""),"https://drive.google.com/file/d/1GhioyZyE3ly7bq__-2jWv8AP_TGm3zXB/view?usp=drivesdk")</f>
        <v>https://drive.google.com/file/d/1GhioyZyE3ly7bq__-2jWv8AP_TGm3zXB/view?usp=drivesdk</v>
      </c>
      <c r="D4010" s="12"/>
      <c r="E4010" s="11">
        <v>4048.0</v>
      </c>
      <c r="F4010" s="2"/>
    </row>
    <row r="4011" ht="1.5" customHeight="1">
      <c r="A4011" s="4" t="str">
        <f>IFERROR(__xludf.DUMMYFUNCTION("""COMPUTED_VALUE"""),"48. Houdini")</f>
        <v>48. Houdini</v>
      </c>
      <c r="B4011" s="4" t="str">
        <f>IFERROR(__xludf.DUMMYFUNCTION("""COMPUTED_VALUE"""),"48")</f>
        <v>48</v>
      </c>
      <c r="C4011" s="5" t="str">
        <f>IFERROR(__xludf.DUMMYFUNCTION("""COMPUTED_VALUE"""),"https://drive.google.com/file/d/11bLJ9mFlmrkg5HohiT4PQB3jCGQNmSKk/view?usp=drivesdk")</f>
        <v>https://drive.google.com/file/d/11bLJ9mFlmrkg5HohiT4PQB3jCGQNmSKk/view?usp=drivesdk</v>
      </c>
      <c r="D4011" s="12"/>
      <c r="E4011" s="11">
        <v>4049.0</v>
      </c>
      <c r="F4011" s="2"/>
    </row>
    <row r="4012" ht="1.5" customHeight="1">
      <c r="A4012" s="4" t="str">
        <f>IFERROR(__xludf.DUMMYFUNCTION("""COMPUTED_VALUE"""),"5. Eraser")</f>
        <v>5. Eraser</v>
      </c>
      <c r="B4012" s="4" t="str">
        <f>IFERROR(__xludf.DUMMYFUNCTION("""COMPUTED_VALUE"""),"5")</f>
        <v>5</v>
      </c>
      <c r="C4012" s="5" t="str">
        <f>IFERROR(__xludf.DUMMYFUNCTION("""COMPUTED_VALUE"""),"https://drive.google.com/file/d/1_XAtnKNPwPwONi4mDzgPF11QUdtnJLv5/view?usp=drivesdk")</f>
        <v>https://drive.google.com/file/d/1_XAtnKNPwPwONi4mDzgPF11QUdtnJLv5/view?usp=drivesdk</v>
      </c>
      <c r="D4012" s="12"/>
      <c r="E4012" s="11">
        <v>4050.0</v>
      </c>
      <c r="F4012" s="2"/>
    </row>
    <row r="4013" ht="1.5" customHeight="1">
      <c r="A4013" s="4" t="str">
        <f>IFERROR(__xludf.DUMMYFUNCTION("""COMPUTED_VALUE"""),"5. Eraser")</f>
        <v>5. Eraser</v>
      </c>
      <c r="B4013" s="4" t="str">
        <f>IFERROR(__xludf.DUMMYFUNCTION("""COMPUTED_VALUE"""),"5")</f>
        <v>5</v>
      </c>
      <c r="C4013" s="5" t="str">
        <f>IFERROR(__xludf.DUMMYFUNCTION("""COMPUTED_VALUE"""),"https://drive.google.com/file/d/1UBGk7GMPGFlej7hCJ-g1au59KmDPhNR2/view?usp=drivesdk")</f>
        <v>https://drive.google.com/file/d/1UBGk7GMPGFlej7hCJ-g1au59KmDPhNR2/view?usp=drivesdk</v>
      </c>
      <c r="D4013" s="12"/>
      <c r="E4013" s="11">
        <v>4051.0</v>
      </c>
      <c r="F4013" s="2"/>
    </row>
    <row r="4014" ht="1.5" customHeight="1">
      <c r="A4014" s="4" t="str">
        <f>IFERROR(__xludf.DUMMYFUNCTION("""COMPUTED_VALUE"""),"5. Eraser")</f>
        <v>5. Eraser</v>
      </c>
      <c r="B4014" s="4" t="str">
        <f>IFERROR(__xludf.DUMMYFUNCTION("""COMPUTED_VALUE"""),"5")</f>
        <v>5</v>
      </c>
      <c r="C4014" s="5" t="str">
        <f>IFERROR(__xludf.DUMMYFUNCTION("""COMPUTED_VALUE"""),"https://drive.google.com/file/d/12SZx6yfgLMi-V8yUWPRopW1DUgJ9cPDN/view?usp=drivesdk")</f>
        <v>https://drive.google.com/file/d/12SZx6yfgLMi-V8yUWPRopW1DUgJ9cPDN/view?usp=drivesdk</v>
      </c>
      <c r="D4014" s="12"/>
      <c r="E4014" s="11">
        <v>4052.0</v>
      </c>
      <c r="F4014" s="2"/>
    </row>
    <row r="4015" ht="1.5" customHeight="1">
      <c r="A4015" s="4" t="str">
        <f>IFERROR(__xludf.DUMMYFUNCTION("""COMPUTED_VALUE"""),"5. Eraser")</f>
        <v>5. Eraser</v>
      </c>
      <c r="B4015" s="4" t="str">
        <f>IFERROR(__xludf.DUMMYFUNCTION("""COMPUTED_VALUE"""),"5")</f>
        <v>5</v>
      </c>
      <c r="C4015" s="5" t="str">
        <f>IFERROR(__xludf.DUMMYFUNCTION("""COMPUTED_VALUE"""),"https://drive.google.com/file/d/1gsMlwKn-XR7Ky9vLa4p3cUw1v6KmiBM0/view?usp=drivesdk")</f>
        <v>https://drive.google.com/file/d/1gsMlwKn-XR7Ky9vLa4p3cUw1v6KmiBM0/view?usp=drivesdk</v>
      </c>
      <c r="D4015" s="12"/>
      <c r="E4015" s="11">
        <v>4053.0</v>
      </c>
      <c r="F4015" s="2"/>
    </row>
    <row r="4016" ht="1.5" customHeight="1">
      <c r="A4016" s="4" t="str">
        <f>IFERROR(__xludf.DUMMYFUNCTION("""COMPUTED_VALUE"""),"5. Eraser, 4. Eggs")</f>
        <v>5. Eraser, 4. Eggs</v>
      </c>
      <c r="B4016" s="4" t="str">
        <f>IFERROR(__xludf.DUMMYFUNCTION("""COMPUTED_VALUE"""),"5, 4")</f>
        <v>5, 4</v>
      </c>
      <c r="C4016" s="5" t="str">
        <f>IFERROR(__xludf.DUMMYFUNCTION("""COMPUTED_VALUE"""),"https://drive.google.com/file/d/1fQXVag7yNkP86vtxpBjQD20soNlBCm84/view?usp=drivesdk")</f>
        <v>https://drive.google.com/file/d/1fQXVag7yNkP86vtxpBjQD20soNlBCm84/view?usp=drivesdk</v>
      </c>
      <c r="D4016" s="12"/>
      <c r="E4016" s="11">
        <v>4054.0</v>
      </c>
      <c r="F4016" s="2"/>
    </row>
    <row r="4017" ht="1.5" customHeight="1">
      <c r="A4017" s="4" t="str">
        <f>IFERROR(__xludf.DUMMYFUNCTION("""COMPUTED_VALUE"""),"4. Eggs")</f>
        <v>4. Eggs</v>
      </c>
      <c r="B4017" s="4" t="str">
        <f>IFERROR(__xludf.DUMMYFUNCTION("""COMPUTED_VALUE"""),"4")</f>
        <v>4</v>
      </c>
      <c r="C4017" s="5" t="str">
        <f>IFERROR(__xludf.DUMMYFUNCTION("""COMPUTED_VALUE"""),"https://drive.google.com/file/d/1avkMpzRZYlSmjr26PP-kwRaDqMm-xUhm/view?usp=drivesdk")</f>
        <v>https://drive.google.com/file/d/1avkMpzRZYlSmjr26PP-kwRaDqMm-xUhm/view?usp=drivesdk</v>
      </c>
      <c r="D4017" s="12"/>
      <c r="E4017" s="11">
        <v>4055.0</v>
      </c>
      <c r="F4017" s="2"/>
    </row>
    <row r="4018" ht="1.5" customHeight="1">
      <c r="A4018" s="4" t="str">
        <f>IFERROR(__xludf.DUMMYFUNCTION("""COMPUTED_VALUE"""),"1. Microwave")</f>
        <v>1. Microwave</v>
      </c>
      <c r="B4018" s="4" t="str">
        <f>IFERROR(__xludf.DUMMYFUNCTION("""COMPUTED_VALUE"""),"1")</f>
        <v>1</v>
      </c>
      <c r="C4018" s="5" t="str">
        <f>IFERROR(__xludf.DUMMYFUNCTION("""COMPUTED_VALUE"""),"https://drive.google.com/file/d/1PU6JcV0bAvq-fDN3pTgmU9r_eQ19F0oo/view?usp=drivesdk")</f>
        <v>https://drive.google.com/file/d/1PU6JcV0bAvq-fDN3pTgmU9r_eQ19F0oo/view?usp=drivesdk</v>
      </c>
      <c r="D4018" s="12"/>
      <c r="E4018" s="11">
        <v>4056.0</v>
      </c>
      <c r="F4018" s="2"/>
    </row>
    <row r="4019" ht="1.5" customHeight="1">
      <c r="A4019" s="4" t="str">
        <f>IFERROR(__xludf.DUMMYFUNCTION("""COMPUTED_VALUE"""),"1. Microwave")</f>
        <v>1. Microwave</v>
      </c>
      <c r="B4019" s="4" t="str">
        <f>IFERROR(__xludf.DUMMYFUNCTION("""COMPUTED_VALUE"""),"1")</f>
        <v>1</v>
      </c>
      <c r="C4019" s="5" t="str">
        <f>IFERROR(__xludf.DUMMYFUNCTION("""COMPUTED_VALUE"""),"https://drive.google.com/file/d/1Hh1ixXDC3LpFevTy3m_tskp7zhLEr_ik/view?usp=drivesdk")</f>
        <v>https://drive.google.com/file/d/1Hh1ixXDC3LpFevTy3m_tskp7zhLEr_ik/view?usp=drivesdk</v>
      </c>
      <c r="D4019" s="12"/>
      <c r="E4019" s="11">
        <v>4057.0</v>
      </c>
      <c r="F4019" s="2"/>
    </row>
    <row r="4020" ht="1.5" customHeight="1">
      <c r="A4020" s="4" t="str">
        <f>IFERROR(__xludf.DUMMYFUNCTION("""COMPUTED_VALUE"""),"1. Microwave")</f>
        <v>1. Microwave</v>
      </c>
      <c r="B4020" s="4" t="str">
        <f>IFERROR(__xludf.DUMMYFUNCTION("""COMPUTED_VALUE"""),"1")</f>
        <v>1</v>
      </c>
      <c r="C4020" s="5" t="str">
        <f>IFERROR(__xludf.DUMMYFUNCTION("""COMPUTED_VALUE"""),"https://drive.google.com/file/d/11iuZR4fN7wyZjW9tczIkSDOUBedWZD3O/view?usp=drivesdk")</f>
        <v>https://drive.google.com/file/d/11iuZR4fN7wyZjW9tczIkSDOUBedWZD3O/view?usp=drivesdk</v>
      </c>
      <c r="D4020" s="12"/>
      <c r="E4020" s="11">
        <v>4058.0</v>
      </c>
      <c r="F4020" s="2"/>
    </row>
    <row r="4021" ht="1.5" customHeight="1">
      <c r="A4021" s="4" t="str">
        <f>IFERROR(__xludf.DUMMYFUNCTION("""COMPUTED_VALUE"""),"5. Eraser")</f>
        <v>5. Eraser</v>
      </c>
      <c r="B4021" s="4" t="str">
        <f>IFERROR(__xludf.DUMMYFUNCTION("""COMPUTED_VALUE"""),"5")</f>
        <v>5</v>
      </c>
      <c r="C4021" s="5" t="str">
        <f>IFERROR(__xludf.DUMMYFUNCTION("""COMPUTED_VALUE"""),"https://drive.google.com/file/d/1p0xHu6aWORH0_K73MPD4pEvs3UWEjKi3/view?usp=drivesdk")</f>
        <v>https://drive.google.com/file/d/1p0xHu6aWORH0_K73MPD4pEvs3UWEjKi3/view?usp=drivesdk</v>
      </c>
      <c r="D4021" s="12"/>
      <c r="E4021" s="11">
        <v>4059.0</v>
      </c>
      <c r="F4021" s="2"/>
    </row>
    <row r="4022" ht="1.5" customHeight="1">
      <c r="A4022" s="4" t="str">
        <f>IFERROR(__xludf.DUMMYFUNCTION("""COMPUTED_VALUE"""),"5. Eraser")</f>
        <v>5. Eraser</v>
      </c>
      <c r="B4022" s="4" t="str">
        <f>IFERROR(__xludf.DUMMYFUNCTION("""COMPUTED_VALUE"""),"5")</f>
        <v>5</v>
      </c>
      <c r="C4022" s="5" t="str">
        <f>IFERROR(__xludf.DUMMYFUNCTION("""COMPUTED_VALUE"""),"https://drive.google.com/file/d/15vTB1egI_1ycKiF9rgMR3qvEtiy_NCjr/view?usp=drivesdk")</f>
        <v>https://drive.google.com/file/d/15vTB1egI_1ycKiF9rgMR3qvEtiy_NCjr/view?usp=drivesdk</v>
      </c>
      <c r="D4022" s="12"/>
      <c r="E4022" s="11">
        <v>4060.0</v>
      </c>
      <c r="F4022" s="2"/>
    </row>
    <row r="4023" ht="1.5" customHeight="1">
      <c r="A4023" s="4" t="str">
        <f>IFERROR(__xludf.DUMMYFUNCTION("""COMPUTED_VALUE"""),"87. Bandit")</f>
        <v>87. Bandit</v>
      </c>
      <c r="B4023" s="4" t="str">
        <f>IFERROR(__xludf.DUMMYFUNCTION("""COMPUTED_VALUE"""),"87")</f>
        <v>87</v>
      </c>
      <c r="C4023" s="5" t="str">
        <f>IFERROR(__xludf.DUMMYFUNCTION("""COMPUTED_VALUE"""),"https://drive.google.com/file/d/10VqBNiSrraA1VohhgJRZ9OFGMnbEdMvV/view?usp=drivesdk")</f>
        <v>https://drive.google.com/file/d/10VqBNiSrraA1VohhgJRZ9OFGMnbEdMvV/view?usp=drivesdk</v>
      </c>
      <c r="D4023" s="12"/>
      <c r="E4023" s="11">
        <v>4061.0</v>
      </c>
      <c r="F4023" s="2"/>
    </row>
    <row r="4024" ht="1.5" customHeight="1">
      <c r="A4024" s="4" t="str">
        <f>IFERROR(__xludf.DUMMYFUNCTION("""COMPUTED_VALUE"""),"29. Ginger")</f>
        <v>29. Ginger</v>
      </c>
      <c r="B4024" s="4" t="str">
        <f>IFERROR(__xludf.DUMMYFUNCTION("""COMPUTED_VALUE"""),"29")</f>
        <v>29</v>
      </c>
      <c r="C4024" s="5" t="str">
        <f>IFERROR(__xludf.DUMMYFUNCTION("""COMPUTED_VALUE"""),"https://drive.google.com/file/d/1lv7nsNjbJ843ZoJYhYi3jVYDfmvL_XA_/view?usp=drivesdk")</f>
        <v>https://drive.google.com/file/d/1lv7nsNjbJ843ZoJYhYi3jVYDfmvL_XA_/view?usp=drivesdk</v>
      </c>
      <c r="D4024" s="12"/>
      <c r="E4024" s="11">
        <v>4062.0</v>
      </c>
      <c r="F4024" s="2"/>
    </row>
    <row r="4025" ht="1.5" customHeight="1">
      <c r="A4025" s="4" t="str">
        <f>IFERROR(__xludf.DUMMYFUNCTION("""COMPUTED_VALUE"""),"27. Angel")</f>
        <v>27. Angel</v>
      </c>
      <c r="B4025" s="4" t="str">
        <f>IFERROR(__xludf.DUMMYFUNCTION("""COMPUTED_VALUE"""),"27")</f>
        <v>27</v>
      </c>
      <c r="C4025" s="5" t="str">
        <f>IFERROR(__xludf.DUMMYFUNCTION("""COMPUTED_VALUE"""),"https://drive.google.com/file/d/1F2nm9ccI_fTsCJTbtDRG1eiRGEsCw94F/view?usp=drivesdk")</f>
        <v>https://drive.google.com/file/d/1F2nm9ccI_fTsCJTbtDRG1eiRGEsCw94F/view?usp=drivesdk</v>
      </c>
      <c r="D4025" s="12"/>
      <c r="E4025" s="11">
        <v>4063.0</v>
      </c>
      <c r="F4025" s="2"/>
    </row>
    <row r="4026" ht="1.5" customHeight="1">
      <c r="A4026" s="4" t="str">
        <f>IFERROR(__xludf.DUMMYFUNCTION("""COMPUTED_VALUE"""),"29. Ginger, 27. Angel")</f>
        <v>29. Ginger, 27. Angel</v>
      </c>
      <c r="B4026" s="4" t="str">
        <f>IFERROR(__xludf.DUMMYFUNCTION("""COMPUTED_VALUE"""),"29, 27")</f>
        <v>29, 27</v>
      </c>
      <c r="C4026" s="5" t="str">
        <f>IFERROR(__xludf.DUMMYFUNCTION("""COMPUTED_VALUE"""),"https://drive.google.com/file/d/1OpI_rlMqCGfCO57zj1V3O34g4cD-P6t2/view?usp=drivesdk")</f>
        <v>https://drive.google.com/file/d/1OpI_rlMqCGfCO57zj1V3O34g4cD-P6t2/view?usp=drivesdk</v>
      </c>
      <c r="D4026" s="12"/>
      <c r="E4026" s="11">
        <v>4064.0</v>
      </c>
      <c r="F4026" s="2"/>
    </row>
    <row r="4027" ht="1.5" customHeight="1">
      <c r="A4027" s="4" t="str">
        <f>IFERROR(__xludf.DUMMYFUNCTION("""COMPUTED_VALUE"""),"29. Ginger, 27. Angel")</f>
        <v>29. Ginger, 27. Angel</v>
      </c>
      <c r="B4027" s="4" t="str">
        <f>IFERROR(__xludf.DUMMYFUNCTION("""COMPUTED_VALUE"""),"29, 27")</f>
        <v>29, 27</v>
      </c>
      <c r="C4027" s="5" t="str">
        <f>IFERROR(__xludf.DUMMYFUNCTION("""COMPUTED_VALUE"""),"https://drive.google.com/file/d/1H4dGJeqfd8Jhw6UnES6o4n3_i9WtGNqy/view?usp=drivesdk")</f>
        <v>https://drive.google.com/file/d/1H4dGJeqfd8Jhw6UnES6o4n3_i9WtGNqy/view?usp=drivesdk</v>
      </c>
      <c r="D4027" s="12"/>
      <c r="E4027" s="11">
        <v>4065.0</v>
      </c>
      <c r="F4027" s="2"/>
    </row>
    <row r="4028" ht="1.5" customHeight="1">
      <c r="A4028" s="4" t="str">
        <f>IFERROR(__xludf.DUMMYFUNCTION("""COMPUTED_VALUE"""),"1. Microwave")</f>
        <v>1. Microwave</v>
      </c>
      <c r="B4028" s="4" t="str">
        <f>IFERROR(__xludf.DUMMYFUNCTION("""COMPUTED_VALUE"""),"1")</f>
        <v>1</v>
      </c>
      <c r="C4028" s="5" t="str">
        <f>IFERROR(__xludf.DUMMYFUNCTION("""COMPUTED_VALUE"""),"https://drive.google.com/file/d/1JEUBreMqOtq1Bx2GflSmUts_Rcvv30qX/view?usp=drivesdk")</f>
        <v>https://drive.google.com/file/d/1JEUBreMqOtq1Bx2GflSmUts_Rcvv30qX/view?usp=drivesdk</v>
      </c>
      <c r="D4028" s="12"/>
      <c r="E4028" s="11">
        <v>4066.0</v>
      </c>
      <c r="F4028" s="2"/>
    </row>
    <row r="4029" ht="1.5" customHeight="1">
      <c r="A4029" s="4" t="str">
        <f>IFERROR(__xludf.DUMMYFUNCTION("""COMPUTED_VALUE"""),"1. Microwave")</f>
        <v>1. Microwave</v>
      </c>
      <c r="B4029" s="4" t="str">
        <f>IFERROR(__xludf.DUMMYFUNCTION("""COMPUTED_VALUE"""),"1")</f>
        <v>1</v>
      </c>
      <c r="C4029" s="5" t="str">
        <f>IFERROR(__xludf.DUMMYFUNCTION("""COMPUTED_VALUE"""),"https://drive.google.com/file/d/1nIITbw66hC8DVkGZeE1qejiSJo-bL-Dr/view?usp=drivesdk")</f>
        <v>https://drive.google.com/file/d/1nIITbw66hC8DVkGZeE1qejiSJo-bL-Dr/view?usp=drivesdk</v>
      </c>
      <c r="D4029" s="12"/>
      <c r="E4029" s="11">
        <v>4067.0</v>
      </c>
      <c r="F4029" s="2"/>
    </row>
    <row r="4030" ht="1.5" customHeight="1">
      <c r="A4030" s="4" t="str">
        <f>IFERROR(__xludf.DUMMYFUNCTION("""COMPUTED_VALUE"""),"1. Microwave")</f>
        <v>1. Microwave</v>
      </c>
      <c r="B4030" s="4" t="str">
        <f>IFERROR(__xludf.DUMMYFUNCTION("""COMPUTED_VALUE"""),"1")</f>
        <v>1</v>
      </c>
      <c r="C4030" s="5" t="str">
        <f>IFERROR(__xludf.DUMMYFUNCTION("""COMPUTED_VALUE"""),"https://drive.google.com/file/d/1InD6LWOvqLMR9S5msHdjaguxiQw9H8Tu/view?usp=drivesdk")</f>
        <v>https://drive.google.com/file/d/1InD6LWOvqLMR9S5msHdjaguxiQw9H8Tu/view?usp=drivesdk</v>
      </c>
      <c r="D4030" s="12"/>
      <c r="E4030" s="11">
        <v>4068.0</v>
      </c>
      <c r="F4030" s="2"/>
    </row>
    <row r="4031" ht="1.5" customHeight="1">
      <c r="A4031" s="4" t="str">
        <f>IFERROR(__xludf.DUMMYFUNCTION("""COMPUTED_VALUE"""),"1. Microwave")</f>
        <v>1. Microwave</v>
      </c>
      <c r="B4031" s="4" t="str">
        <f>IFERROR(__xludf.DUMMYFUNCTION("""COMPUTED_VALUE"""),"1")</f>
        <v>1</v>
      </c>
      <c r="C4031" s="5" t="str">
        <f>IFERROR(__xludf.DUMMYFUNCTION("""COMPUTED_VALUE"""),"https://drive.google.com/file/d/17VBlk5y1uLp1VMtnnddpyRATdVarPdQt/view?usp=drivesdk")</f>
        <v>https://drive.google.com/file/d/17VBlk5y1uLp1VMtnnddpyRATdVarPdQt/view?usp=drivesdk</v>
      </c>
      <c r="D4031" s="12"/>
      <c r="E4031" s="11">
        <v>4069.0</v>
      </c>
      <c r="F4031" s="2"/>
    </row>
    <row r="4032" ht="1.5" customHeight="1">
      <c r="A4032" s="4" t="str">
        <f>IFERROR(__xludf.DUMMYFUNCTION("""COMPUTED_VALUE"""),"1. Microwave")</f>
        <v>1. Microwave</v>
      </c>
      <c r="B4032" s="4" t="str">
        <f>IFERROR(__xludf.DUMMYFUNCTION("""COMPUTED_VALUE"""),"1")</f>
        <v>1</v>
      </c>
      <c r="C4032" s="5" t="str">
        <f>IFERROR(__xludf.DUMMYFUNCTION("""COMPUTED_VALUE"""),"https://drive.google.com/file/d/1dUv-DvwUhojZXM8fZQ7JG9NbJnn2vVVZ/view?usp=drivesdk")</f>
        <v>https://drive.google.com/file/d/1dUv-DvwUhojZXM8fZQ7JG9NbJnn2vVVZ/view?usp=drivesdk</v>
      </c>
      <c r="D4032" s="12"/>
      <c r="E4032" s="11">
        <v>4070.0</v>
      </c>
      <c r="F4032" s="2"/>
    </row>
    <row r="4033" ht="1.5" customHeight="1">
      <c r="A4033" s="4" t="str">
        <f>IFERROR(__xludf.DUMMYFUNCTION("""COMPUTED_VALUE"""),"1. Microwave")</f>
        <v>1. Microwave</v>
      </c>
      <c r="B4033" s="4" t="str">
        <f>IFERROR(__xludf.DUMMYFUNCTION("""COMPUTED_VALUE"""),"1")</f>
        <v>1</v>
      </c>
      <c r="C4033" s="5" t="str">
        <f>IFERROR(__xludf.DUMMYFUNCTION("""COMPUTED_VALUE"""),"https://drive.google.com/file/d/1P3qwJkPriKdmK856eokd2ziC1Gg02sZp/view?usp=drivesdk")</f>
        <v>https://drive.google.com/file/d/1P3qwJkPriKdmK856eokd2ziC1Gg02sZp/view?usp=drivesdk</v>
      </c>
      <c r="D4033" s="12"/>
      <c r="E4033" s="11">
        <v>4071.0</v>
      </c>
      <c r="F4033" s="2"/>
    </row>
    <row r="4034" ht="1.5" customHeight="1">
      <c r="A4034" s="4" t="str">
        <f>IFERROR(__xludf.DUMMYFUNCTION("""COMPUTED_VALUE"""),"2. Twix")</f>
        <v>2. Twix</v>
      </c>
      <c r="B4034" s="4" t="str">
        <f>IFERROR(__xludf.DUMMYFUNCTION("""COMPUTED_VALUE"""),"2")</f>
        <v>2</v>
      </c>
      <c r="C4034" s="5" t="str">
        <f>IFERROR(__xludf.DUMMYFUNCTION("""COMPUTED_VALUE"""),"https://drive.google.com/file/d/11sZdhxJYzszgdhL4Y7s-r4zGtbslEIEw/view?usp=drivesdk")</f>
        <v>https://drive.google.com/file/d/11sZdhxJYzszgdhL4Y7s-r4zGtbslEIEw/view?usp=drivesdk</v>
      </c>
      <c r="D4034" s="12"/>
      <c r="E4034" s="11">
        <v>4072.0</v>
      </c>
      <c r="F4034" s="2"/>
    </row>
    <row r="4035" ht="1.5" customHeight="1">
      <c r="A4035" s="4" t="str">
        <f>IFERROR(__xludf.DUMMYFUNCTION("""COMPUTED_VALUE"""),"2. Twix")</f>
        <v>2. Twix</v>
      </c>
      <c r="B4035" s="4" t="str">
        <f>IFERROR(__xludf.DUMMYFUNCTION("""COMPUTED_VALUE"""),"2")</f>
        <v>2</v>
      </c>
      <c r="C4035" s="5" t="str">
        <f>IFERROR(__xludf.DUMMYFUNCTION("""COMPUTED_VALUE"""),"https://drive.google.com/file/d/1LimzUU3UbFKtYsV4UM7qABWU6O34Nvdn/view?usp=drivesdk")</f>
        <v>https://drive.google.com/file/d/1LimzUU3UbFKtYsV4UM7qABWU6O34Nvdn/view?usp=drivesdk</v>
      </c>
      <c r="D4035" s="12"/>
      <c r="E4035" s="11">
        <v>4073.0</v>
      </c>
      <c r="F4035" s="2"/>
    </row>
    <row r="4036" ht="1.5" customHeight="1">
      <c r="A4036" s="4" t="str">
        <f>IFERROR(__xludf.DUMMYFUNCTION("""COMPUTED_VALUE"""),"2. Twix")</f>
        <v>2. Twix</v>
      </c>
      <c r="B4036" s="4" t="str">
        <f>IFERROR(__xludf.DUMMYFUNCTION("""COMPUTED_VALUE"""),"2")</f>
        <v>2</v>
      </c>
      <c r="C4036" s="5" t="str">
        <f>IFERROR(__xludf.DUMMYFUNCTION("""COMPUTED_VALUE"""),"https://drive.google.com/file/d/1Zw1TzSpbLSCVkIrWRqNURBD5zApMUZAf/view?usp=drivesdk")</f>
        <v>https://drive.google.com/file/d/1Zw1TzSpbLSCVkIrWRqNURBD5zApMUZAf/view?usp=drivesdk</v>
      </c>
      <c r="D4036" s="12"/>
      <c r="E4036" s="11">
        <v>4074.0</v>
      </c>
      <c r="F4036" s="2"/>
    </row>
    <row r="4037" ht="1.5" customHeight="1">
      <c r="A4037" s="4" t="str">
        <f>IFERROR(__xludf.DUMMYFUNCTION("""COMPUTED_VALUE"""),"2. Twix")</f>
        <v>2. Twix</v>
      </c>
      <c r="B4037" s="4" t="str">
        <f>IFERROR(__xludf.DUMMYFUNCTION("""COMPUTED_VALUE"""),"2")</f>
        <v>2</v>
      </c>
      <c r="C4037" s="5" t="str">
        <f>IFERROR(__xludf.DUMMYFUNCTION("""COMPUTED_VALUE"""),"https://drive.google.com/file/d/1eIxopJKPpLsL9O3RyxeioPYzbmIn3agU/view?usp=drivesdk")</f>
        <v>https://drive.google.com/file/d/1eIxopJKPpLsL9O3RyxeioPYzbmIn3agU/view?usp=drivesdk</v>
      </c>
      <c r="D4037" s="12"/>
      <c r="E4037" s="11">
        <v>4075.0</v>
      </c>
      <c r="F4037" s="2"/>
    </row>
    <row r="4038" ht="1.5" customHeight="1">
      <c r="A4038" s="4" t="str">
        <f>IFERROR(__xludf.DUMMYFUNCTION("""COMPUTED_VALUE"""),"2. Twix")</f>
        <v>2. Twix</v>
      </c>
      <c r="B4038" s="4" t="str">
        <f>IFERROR(__xludf.DUMMYFUNCTION("""COMPUTED_VALUE"""),"2")</f>
        <v>2</v>
      </c>
      <c r="C4038" s="5" t="str">
        <f>IFERROR(__xludf.DUMMYFUNCTION("""COMPUTED_VALUE"""),"https://drive.google.com/file/d/17lBQrhhSheXa-owX_zDm0wj9VlaDz2Rg/view?usp=drivesdk")</f>
        <v>https://drive.google.com/file/d/17lBQrhhSheXa-owX_zDm0wj9VlaDz2Rg/view?usp=drivesdk</v>
      </c>
      <c r="D4038" s="12"/>
      <c r="E4038" s="11">
        <v>4076.0</v>
      </c>
      <c r="F4038" s="2"/>
    </row>
    <row r="4039" ht="1.5" customHeight="1">
      <c r="A4039" s="4" t="str">
        <f>IFERROR(__xludf.DUMMYFUNCTION("""COMPUTED_VALUE"""),"20. Citlali")</f>
        <v>20. Citlali</v>
      </c>
      <c r="B4039" s="4" t="str">
        <f>IFERROR(__xludf.DUMMYFUNCTION("""COMPUTED_VALUE"""),"20")</f>
        <v>20</v>
      </c>
      <c r="C4039" s="5" t="str">
        <f>IFERROR(__xludf.DUMMYFUNCTION("""COMPUTED_VALUE"""),"https://drive.google.com/file/d/1ybcb1dLordHrxsx8qU0RD8sRs2MiQnUx/view?usp=drivesdk")</f>
        <v>https://drive.google.com/file/d/1ybcb1dLordHrxsx8qU0RD8sRs2MiQnUx/view?usp=drivesdk</v>
      </c>
      <c r="D4039" s="12"/>
      <c r="E4039" s="11">
        <v>4077.0</v>
      </c>
      <c r="F4039" s="2"/>
    </row>
    <row r="4040" ht="1.5" customHeight="1">
      <c r="A4040" s="4" t="str">
        <f>IFERROR(__xludf.DUMMYFUNCTION("""COMPUTED_VALUE"""),"20. Citlali")</f>
        <v>20. Citlali</v>
      </c>
      <c r="B4040" s="4" t="str">
        <f>IFERROR(__xludf.DUMMYFUNCTION("""COMPUTED_VALUE"""),"20")</f>
        <v>20</v>
      </c>
      <c r="C4040" s="5" t="str">
        <f>IFERROR(__xludf.DUMMYFUNCTION("""COMPUTED_VALUE"""),"https://drive.google.com/file/d/1fu7d-I6krIH_3dtBSKGohzJYo8Hogji0/view?usp=drivesdk")</f>
        <v>https://drive.google.com/file/d/1fu7d-I6krIH_3dtBSKGohzJYo8Hogji0/view?usp=drivesdk</v>
      </c>
      <c r="D4040" s="12"/>
      <c r="E4040" s="11">
        <v>4078.0</v>
      </c>
      <c r="F4040" s="2"/>
    </row>
    <row r="4041" ht="1.5" customHeight="1">
      <c r="A4041" s="4" t="str">
        <f>IFERROR(__xludf.DUMMYFUNCTION("""COMPUTED_VALUE"""),"12. Faye, 40. Dumpster, 42. Rubber, 58. Eden, 45. Boots, 38. Winston, 44. Shitbag Cuntface")</f>
        <v>12. Faye, 40. Dumpster, 42. Rubber, 58. Eden, 45. Boots, 38. Winston, 44. Shitbag Cuntface</v>
      </c>
      <c r="B4041" s="4" t="str">
        <f>IFERROR(__xludf.DUMMYFUNCTION("""COMPUTED_VALUE"""),"12, 40, 42, 58, 45, 38, 44")</f>
        <v>12, 40, 42, 58, 45, 38, 44</v>
      </c>
      <c r="C4041" s="5" t="str">
        <f>IFERROR(__xludf.DUMMYFUNCTION("""COMPUTED_VALUE"""),"https://drive.google.com/file/d/1AZF260Pahh8pBQ4ehfrIBy6G3yXncstS/view?usp=drivesdk")</f>
        <v>https://drive.google.com/file/d/1AZF260Pahh8pBQ4ehfrIBy6G3yXncstS/view?usp=drivesdk</v>
      </c>
      <c r="D4041" s="12"/>
      <c r="E4041" s="11">
        <v>4079.0</v>
      </c>
      <c r="F4041" s="2"/>
    </row>
    <row r="4042" ht="1.5" customHeight="1">
      <c r="A4042" s="4" t="str">
        <f>IFERROR(__xludf.DUMMYFUNCTION("""COMPUTED_VALUE"""),"12. Faye, 58. Eden, 45. Boots, 38. Winston")</f>
        <v>12. Faye, 58. Eden, 45. Boots, 38. Winston</v>
      </c>
      <c r="B4042" s="4" t="str">
        <f>IFERROR(__xludf.DUMMYFUNCTION("""COMPUTED_VALUE"""),"12, 58, 45, 38")</f>
        <v>12, 58, 45, 38</v>
      </c>
      <c r="C4042" s="5" t="str">
        <f>IFERROR(__xludf.DUMMYFUNCTION("""COMPUTED_VALUE"""),"https://drive.google.com/file/d/1OBsM5IdTrNO-ys7wpFJAV7DLqLoKHiuN/view?usp=drivesdk")</f>
        <v>https://drive.google.com/file/d/1OBsM5IdTrNO-ys7wpFJAV7DLqLoKHiuN/view?usp=drivesdk</v>
      </c>
      <c r="D4042" s="12"/>
      <c r="E4042" s="11">
        <v>4080.0</v>
      </c>
      <c r="F4042" s="2"/>
    </row>
    <row r="4043" ht="1.5" customHeight="1">
      <c r="A4043" s="4" t="str">
        <f>IFERROR(__xludf.DUMMYFUNCTION("""COMPUTED_VALUE"""),"20. Citlali")</f>
        <v>20. Citlali</v>
      </c>
      <c r="B4043" s="4" t="str">
        <f>IFERROR(__xludf.DUMMYFUNCTION("""COMPUTED_VALUE"""),"20")</f>
        <v>20</v>
      </c>
      <c r="C4043" s="5" t="str">
        <f>IFERROR(__xludf.DUMMYFUNCTION("""COMPUTED_VALUE"""),"https://drive.google.com/file/d/1KrcK55CDyfsRwi2jyR51e2td4s-FrOOZ/view?usp=drivesdk")</f>
        <v>https://drive.google.com/file/d/1KrcK55CDyfsRwi2jyR51e2td4s-FrOOZ/view?usp=drivesdk</v>
      </c>
      <c r="D4043" s="12"/>
      <c r="E4043" s="11">
        <v>4081.0</v>
      </c>
      <c r="F4043" s="2"/>
    </row>
    <row r="4044" ht="1.5" customHeight="1">
      <c r="A4044" s="4" t="str">
        <f>IFERROR(__xludf.DUMMYFUNCTION("""COMPUTED_VALUE"""),"12. Faye")</f>
        <v>12. Faye</v>
      </c>
      <c r="B4044" s="4" t="str">
        <f>IFERROR(__xludf.DUMMYFUNCTION("""COMPUTED_VALUE"""),"12")</f>
        <v>12</v>
      </c>
      <c r="C4044" s="5" t="str">
        <f>IFERROR(__xludf.DUMMYFUNCTION("""COMPUTED_VALUE"""),"https://drive.google.com/file/d/1Zrq_74wIELvLmUL5Yb0WlncWuEoNUJek/view?usp=drivesdk")</f>
        <v>https://drive.google.com/file/d/1Zrq_74wIELvLmUL5Yb0WlncWuEoNUJek/view?usp=drivesdk</v>
      </c>
      <c r="D4044" s="12"/>
      <c r="E4044" s="11">
        <v>4082.0</v>
      </c>
      <c r="F4044" s="2"/>
    </row>
    <row r="4045" ht="1.5" customHeight="1">
      <c r="A4045" s="4" t="str">
        <f>IFERROR(__xludf.DUMMYFUNCTION("""COMPUTED_VALUE"""),"26. Tang")</f>
        <v>26. Tang</v>
      </c>
      <c r="B4045" s="4" t="str">
        <f>IFERROR(__xludf.DUMMYFUNCTION("""COMPUTED_VALUE"""),"26")</f>
        <v>26</v>
      </c>
      <c r="C4045" s="5" t="str">
        <f>IFERROR(__xludf.DUMMYFUNCTION("""COMPUTED_VALUE"""),"https://drive.google.com/file/d/1e2uiMijVjHfFT1MCtcbgYgbYg3ljPZKz/view?usp=drivesdk")</f>
        <v>https://drive.google.com/file/d/1e2uiMijVjHfFT1MCtcbgYgbYg3ljPZKz/view?usp=drivesdk</v>
      </c>
      <c r="D4045" s="12"/>
      <c r="E4045" s="11">
        <v>4083.0</v>
      </c>
      <c r="F4045" s="2"/>
    </row>
    <row r="4046" ht="1.5" customHeight="1">
      <c r="A4046" s="4" t="str">
        <f>IFERROR(__xludf.DUMMYFUNCTION("""COMPUTED_VALUE"""),"24. Garfield")</f>
        <v>24. Garfield</v>
      </c>
      <c r="B4046" s="4" t="str">
        <f>IFERROR(__xludf.DUMMYFUNCTION("""COMPUTED_VALUE"""),"24")</f>
        <v>24</v>
      </c>
      <c r="C4046" s="5" t="str">
        <f>IFERROR(__xludf.DUMMYFUNCTION("""COMPUTED_VALUE"""),"https://drive.google.com/file/d/1mW4IVWtFswZ3Q9ajf8sQKJfgGEN6h5mg/view?usp=drivesdk")</f>
        <v>https://drive.google.com/file/d/1mW4IVWtFswZ3Q9ajf8sQKJfgGEN6h5mg/view?usp=drivesdk</v>
      </c>
      <c r="D4046" s="12"/>
      <c r="E4046" s="11">
        <v>4084.0</v>
      </c>
      <c r="F4046" s="2"/>
    </row>
    <row r="4047" ht="1.5" customHeight="1">
      <c r="A4047" s="4" t="str">
        <f>IFERROR(__xludf.DUMMYFUNCTION("""COMPUTED_VALUE"""),"25. Aphrodite")</f>
        <v>25. Aphrodite</v>
      </c>
      <c r="B4047" s="4" t="str">
        <f>IFERROR(__xludf.DUMMYFUNCTION("""COMPUTED_VALUE"""),"25")</f>
        <v>25</v>
      </c>
      <c r="C4047" s="5" t="str">
        <f>IFERROR(__xludf.DUMMYFUNCTION("""COMPUTED_VALUE"""),"https://drive.google.com/file/d/14KLWzmmL396hedpKJ4iXy3ru9C5Artup/view?usp=drivesdk")</f>
        <v>https://drive.google.com/file/d/14KLWzmmL396hedpKJ4iXy3ru9C5Artup/view?usp=drivesdk</v>
      </c>
      <c r="D4047" s="12"/>
      <c r="E4047" s="11">
        <v>4085.0</v>
      </c>
      <c r="F4047" s="2"/>
    </row>
    <row r="4048" ht="1.5" customHeight="1">
      <c r="A4048" s="4" t="str">
        <f>IFERROR(__xludf.DUMMYFUNCTION("""COMPUTED_VALUE"""),"52. Voidling")</f>
        <v>52. Voidling</v>
      </c>
      <c r="B4048" s="4" t="str">
        <f>IFERROR(__xludf.DUMMYFUNCTION("""COMPUTED_VALUE"""),"52")</f>
        <v>52</v>
      </c>
      <c r="C4048" s="5" t="str">
        <f>IFERROR(__xludf.DUMMYFUNCTION("""COMPUTED_VALUE"""),"https://drive.google.com/file/d/1oYMA5FfnRWh4hRI4UBiV43vfsv1anjRv/view?usp=drivesdk")</f>
        <v>https://drive.google.com/file/d/1oYMA5FfnRWh4hRI4UBiV43vfsv1anjRv/view?usp=drivesdk</v>
      </c>
      <c r="D4048" s="12"/>
      <c r="E4048" s="11">
        <v>4086.0</v>
      </c>
      <c r="F4048" s="2"/>
    </row>
    <row r="4049" ht="1.5" customHeight="1">
      <c r="A4049" s="4" t="str">
        <f>IFERROR(__xludf.DUMMYFUNCTION("""COMPUTED_VALUE"""),"48. Houdini")</f>
        <v>48. Houdini</v>
      </c>
      <c r="B4049" s="4" t="str">
        <f>IFERROR(__xludf.DUMMYFUNCTION("""COMPUTED_VALUE"""),"48")</f>
        <v>48</v>
      </c>
      <c r="C4049" s="5" t="str">
        <f>IFERROR(__xludf.DUMMYFUNCTION("""COMPUTED_VALUE"""),"https://drive.google.com/file/d/1fYkW3btLoZI6jA8__7sucY6kuFhbk75U/view?usp=drivesdk")</f>
        <v>https://drive.google.com/file/d/1fYkW3btLoZI6jA8__7sucY6kuFhbk75U/view?usp=drivesdk</v>
      </c>
      <c r="D4049" s="12"/>
      <c r="E4049" s="11">
        <v>4087.0</v>
      </c>
      <c r="F4049" s="2"/>
    </row>
    <row r="4050" ht="1.5" customHeight="1">
      <c r="A4050" s="4" t="str">
        <f>IFERROR(__xludf.DUMMYFUNCTION("""COMPUTED_VALUE"""),"48. Houdini")</f>
        <v>48. Houdini</v>
      </c>
      <c r="B4050" s="4" t="str">
        <f>IFERROR(__xludf.DUMMYFUNCTION("""COMPUTED_VALUE"""),"48")</f>
        <v>48</v>
      </c>
      <c r="C4050" s="5" t="str">
        <f>IFERROR(__xludf.DUMMYFUNCTION("""COMPUTED_VALUE"""),"https://drive.google.com/file/d/1niBnvRcWrjfd2FQqjuQn-crw-UVqXBmP/view?usp=drivesdk")</f>
        <v>https://drive.google.com/file/d/1niBnvRcWrjfd2FQqjuQn-crw-UVqXBmP/view?usp=drivesdk</v>
      </c>
      <c r="D4050" s="12"/>
      <c r="E4050" s="11">
        <v>4088.0</v>
      </c>
      <c r="F4050" s="2"/>
    </row>
    <row r="4051" ht="1.5" customHeight="1">
      <c r="A4051" s="4" t="str">
        <f>IFERROR(__xludf.DUMMYFUNCTION("""COMPUTED_VALUE"""),"63. Mr Stinky")</f>
        <v>63. Mr Stinky</v>
      </c>
      <c r="B4051" s="4" t="str">
        <f>IFERROR(__xludf.DUMMYFUNCTION("""COMPUTED_VALUE"""),"63")</f>
        <v>63</v>
      </c>
      <c r="C4051" s="5" t="str">
        <f>IFERROR(__xludf.DUMMYFUNCTION("""COMPUTED_VALUE"""),"https://drive.google.com/file/d/15dU1fmO-w2Yqg8hOxDFIPNfWRTtG8tZM/view?usp=drivesdk")</f>
        <v>https://drive.google.com/file/d/15dU1fmO-w2Yqg8hOxDFIPNfWRTtG8tZM/view?usp=drivesdk</v>
      </c>
      <c r="D4051" s="12"/>
      <c r="E4051" s="11">
        <v>4089.0</v>
      </c>
      <c r="F4051" s="2"/>
    </row>
    <row r="4052" ht="1.5" customHeight="1">
      <c r="A4052" s="4" t="str">
        <f>IFERROR(__xludf.DUMMYFUNCTION("""COMPUTED_VALUE"""),"47. Nefarious, 44. Shitbag Cuntface, 12. Faye")</f>
        <v>47. Nefarious, 44. Shitbag Cuntface, 12. Faye</v>
      </c>
      <c r="B4052" s="4" t="str">
        <f>IFERROR(__xludf.DUMMYFUNCTION("""COMPUTED_VALUE"""),"47, 44, 12")</f>
        <v>47, 44, 12</v>
      </c>
      <c r="C4052" s="5" t="str">
        <f>IFERROR(__xludf.DUMMYFUNCTION("""COMPUTED_VALUE"""),"https://drive.google.com/file/d/1WX1Co3eiIXdyHsd0zZdc4O-3WOHspGXC/view?usp=drivesdk")</f>
        <v>https://drive.google.com/file/d/1WX1Co3eiIXdyHsd0zZdc4O-3WOHspGXC/view?usp=drivesdk</v>
      </c>
      <c r="D4052" s="12"/>
      <c r="E4052" s="11">
        <v>4090.0</v>
      </c>
      <c r="F4052" s="2"/>
    </row>
    <row r="4053" ht="1.5" customHeight="1">
      <c r="A4053" s="4" t="str">
        <f>IFERROR(__xludf.DUMMYFUNCTION("""COMPUTED_VALUE"""),"40. Dumpster")</f>
        <v>40. Dumpster</v>
      </c>
      <c r="B4053" s="4" t="str">
        <f>IFERROR(__xludf.DUMMYFUNCTION("""COMPUTED_VALUE"""),"40")</f>
        <v>40</v>
      </c>
      <c r="C4053" s="5" t="str">
        <f>IFERROR(__xludf.DUMMYFUNCTION("""COMPUTED_VALUE"""),"https://drive.google.com/file/d/1iSK4mENt-USw74nquTsx2Oczz3AzS6no/view?usp=drivesdk")</f>
        <v>https://drive.google.com/file/d/1iSK4mENt-USw74nquTsx2Oczz3AzS6no/view?usp=drivesdk</v>
      </c>
      <c r="D4053" s="12"/>
      <c r="E4053" s="11">
        <v>4091.0</v>
      </c>
      <c r="F4053" s="2"/>
    </row>
    <row r="4054" ht="1.5" customHeight="1">
      <c r="A4054" s="4" t="str">
        <f>IFERROR(__xludf.DUMMYFUNCTION("""COMPUTED_VALUE"""),"46. Princess")</f>
        <v>46. Princess</v>
      </c>
      <c r="B4054" s="4" t="str">
        <f>IFERROR(__xludf.DUMMYFUNCTION("""COMPUTED_VALUE"""),"46")</f>
        <v>46</v>
      </c>
      <c r="C4054" s="5" t="str">
        <f>IFERROR(__xludf.DUMMYFUNCTION("""COMPUTED_VALUE"""),"https://drive.google.com/file/d/1O8YJ7JBQDdsdfrtvS9Pn_pmaZ8EEmHXG/view?usp=drivesdk")</f>
        <v>https://drive.google.com/file/d/1O8YJ7JBQDdsdfrtvS9Pn_pmaZ8EEmHXG/view?usp=drivesdk</v>
      </c>
      <c r="D4054" s="12"/>
      <c r="E4054" s="11">
        <v>4092.0</v>
      </c>
      <c r="F4054" s="2"/>
    </row>
    <row r="4055" ht="1.5" customHeight="1">
      <c r="A4055" s="4" t="str">
        <f>IFERROR(__xludf.DUMMYFUNCTION("""COMPUTED_VALUE"""),"41. Gregory")</f>
        <v>41. Gregory</v>
      </c>
      <c r="B4055" s="4" t="str">
        <f>IFERROR(__xludf.DUMMYFUNCTION("""COMPUTED_VALUE"""),"41")</f>
        <v>41</v>
      </c>
      <c r="C4055" s="5" t="str">
        <f>IFERROR(__xludf.DUMMYFUNCTION("""COMPUTED_VALUE"""),"https://drive.google.com/file/d/18-et7S6HZH07RmH5Be_4mjOMWjn169sn/view?usp=drivesdk")</f>
        <v>https://drive.google.com/file/d/18-et7S6HZH07RmH5Be_4mjOMWjn169sn/view?usp=drivesdk</v>
      </c>
      <c r="D4055" s="12"/>
      <c r="E4055" s="11">
        <v>4093.0</v>
      </c>
      <c r="F4055" s="2"/>
    </row>
    <row r="4056" ht="1.5" customHeight="1">
      <c r="A4056" s="4" t="str">
        <f>IFERROR(__xludf.DUMMYFUNCTION("""COMPUTED_VALUE"""),"45. Boots")</f>
        <v>45. Boots</v>
      </c>
      <c r="B4056" s="4" t="str">
        <f>IFERROR(__xludf.DUMMYFUNCTION("""COMPUTED_VALUE"""),"45")</f>
        <v>45</v>
      </c>
      <c r="C4056" s="5" t="str">
        <f>IFERROR(__xludf.DUMMYFUNCTION("""COMPUTED_VALUE"""),"https://drive.google.com/file/d/1cUz_lOgmH3nFQnA0Hv0bSRsEHVI9DzAN/view?usp=drivesdk")</f>
        <v>https://drive.google.com/file/d/1cUz_lOgmH3nFQnA0Hv0bSRsEHVI9DzAN/view?usp=drivesdk</v>
      </c>
      <c r="D4056" s="12"/>
      <c r="E4056" s="11">
        <v>4094.0</v>
      </c>
      <c r="F4056" s="2"/>
    </row>
    <row r="4057" ht="1.5" customHeight="1">
      <c r="A4057" s="4" t="str">
        <f>IFERROR(__xludf.DUMMYFUNCTION("""COMPUTED_VALUE"""),"58. Eden, 12. Faye, 47. Nefarious")</f>
        <v>58. Eden, 12. Faye, 47. Nefarious</v>
      </c>
      <c r="B4057" s="4" t="str">
        <f>IFERROR(__xludf.DUMMYFUNCTION("""COMPUTED_VALUE"""),"58, 12, 47")</f>
        <v>58, 12, 47</v>
      </c>
      <c r="C4057" s="5" t="str">
        <f>IFERROR(__xludf.DUMMYFUNCTION("""COMPUTED_VALUE"""),"https://drive.google.com/file/d/1q-T0DOxUxm-nrPS9hW8SIclx6VGIf8ab/view?usp=drivesdk")</f>
        <v>https://drive.google.com/file/d/1q-T0DOxUxm-nrPS9hW8SIclx6VGIf8ab/view?usp=drivesdk</v>
      </c>
      <c r="D4057" s="12"/>
      <c r="E4057" s="11">
        <v>4095.0</v>
      </c>
      <c r="F4057" s="2"/>
    </row>
    <row r="4058" ht="1.5" customHeight="1">
      <c r="A4058" s="4" t="str">
        <f>IFERROR(__xludf.DUMMYFUNCTION("""COMPUTED_VALUE"""),"2. Twix")</f>
        <v>2. Twix</v>
      </c>
      <c r="B4058" s="4" t="str">
        <f>IFERROR(__xludf.DUMMYFUNCTION("""COMPUTED_VALUE"""),"2")</f>
        <v>2</v>
      </c>
      <c r="C4058" s="5" t="str">
        <f>IFERROR(__xludf.DUMMYFUNCTION("""COMPUTED_VALUE"""),"https://drive.google.com/file/d/1AyBn8gdfftGIJMiJIOUv16RJN1y-6dyz/view?usp=drivesdk")</f>
        <v>https://drive.google.com/file/d/1AyBn8gdfftGIJMiJIOUv16RJN1y-6dyz/view?usp=drivesdk</v>
      </c>
      <c r="D4058" s="12"/>
      <c r="E4058" s="11">
        <v>4096.0</v>
      </c>
      <c r="F4058" s="2"/>
    </row>
    <row r="4059" ht="1.5" customHeight="1">
      <c r="A4059" s="4" t="str">
        <f>IFERROR(__xludf.DUMMYFUNCTION("""COMPUTED_VALUE"""),"2. Twix")</f>
        <v>2. Twix</v>
      </c>
      <c r="B4059" s="4" t="str">
        <f>IFERROR(__xludf.DUMMYFUNCTION("""COMPUTED_VALUE"""),"2")</f>
        <v>2</v>
      </c>
      <c r="C4059" s="5" t="str">
        <f>IFERROR(__xludf.DUMMYFUNCTION("""COMPUTED_VALUE"""),"https://drive.google.com/file/d/1sgrVoV85cFH9bt0MhNdQnPS9qS8oblzz/view?usp=drivesdk")</f>
        <v>https://drive.google.com/file/d/1sgrVoV85cFH9bt0MhNdQnPS9qS8oblzz/view?usp=drivesdk</v>
      </c>
      <c r="D4059" s="12"/>
      <c r="E4059" s="11">
        <v>4097.0</v>
      </c>
      <c r="F4059" s="2"/>
    </row>
    <row r="4060" ht="1.5" customHeight="1">
      <c r="A4060" s="4" t="str">
        <f>IFERROR(__xludf.DUMMYFUNCTION("""COMPUTED_VALUE"""),"2. Twix")</f>
        <v>2. Twix</v>
      </c>
      <c r="B4060" s="4" t="str">
        <f>IFERROR(__xludf.DUMMYFUNCTION("""COMPUTED_VALUE"""),"2")</f>
        <v>2</v>
      </c>
      <c r="C4060" s="5" t="str">
        <f>IFERROR(__xludf.DUMMYFUNCTION("""COMPUTED_VALUE"""),"https://drive.google.com/file/d/1MIb9ZXaRnSzL_aAF5R1VY9I774brL0GS/view?usp=drivesdk")</f>
        <v>https://drive.google.com/file/d/1MIb9ZXaRnSzL_aAF5R1VY9I774brL0GS/view?usp=drivesdk</v>
      </c>
      <c r="D4060" s="12"/>
      <c r="E4060" s="11">
        <v>4098.0</v>
      </c>
      <c r="F4060" s="2"/>
    </row>
    <row r="4061" ht="1.5" customHeight="1">
      <c r="A4061" s="4" t="str">
        <f>IFERROR(__xludf.DUMMYFUNCTION("""COMPUTED_VALUE"""),"2. Twix")</f>
        <v>2. Twix</v>
      </c>
      <c r="B4061" s="4" t="str">
        <f>IFERROR(__xludf.DUMMYFUNCTION("""COMPUTED_VALUE"""),"2")</f>
        <v>2</v>
      </c>
      <c r="C4061" s="5" t="str">
        <f>IFERROR(__xludf.DUMMYFUNCTION("""COMPUTED_VALUE"""),"https://drive.google.com/file/d/1CpEEshmYNc_tYYO2JkzV4hzCKxE9JNqW/view?usp=drivesdk")</f>
        <v>https://drive.google.com/file/d/1CpEEshmYNc_tYYO2JkzV4hzCKxE9JNqW/view?usp=drivesdk</v>
      </c>
      <c r="D4061" s="12"/>
      <c r="E4061" s="11">
        <v>4099.0</v>
      </c>
      <c r="F4061" s="2"/>
    </row>
    <row r="4062" ht="1.5" customHeight="1">
      <c r="A4062" s="4" t="str">
        <f>IFERROR(__xludf.DUMMYFUNCTION("""COMPUTED_VALUE"""),"48. Houdini")</f>
        <v>48. Houdini</v>
      </c>
      <c r="B4062" s="4" t="str">
        <f>IFERROR(__xludf.DUMMYFUNCTION("""COMPUTED_VALUE"""),"48")</f>
        <v>48</v>
      </c>
      <c r="C4062" s="5" t="str">
        <f>IFERROR(__xludf.DUMMYFUNCTION("""COMPUTED_VALUE"""),"https://drive.google.com/file/d/19RN-hhDDWhR5lsqPBiTeLziYeQf1hOXq/view?usp=drivesdk")</f>
        <v>https://drive.google.com/file/d/19RN-hhDDWhR5lsqPBiTeLziYeQf1hOXq/view?usp=drivesdk</v>
      </c>
      <c r="D4062" s="12"/>
      <c r="E4062" s="11">
        <v>4100.0</v>
      </c>
      <c r="F4062" s="2"/>
    </row>
    <row r="4063" ht="1.5" customHeight="1">
      <c r="A4063" s="4" t="str">
        <f>IFERROR(__xludf.DUMMYFUNCTION("""COMPUTED_VALUE"""),"48. Houdini")</f>
        <v>48. Houdini</v>
      </c>
      <c r="B4063" s="4" t="str">
        <f>IFERROR(__xludf.DUMMYFUNCTION("""COMPUTED_VALUE"""),"48")</f>
        <v>48</v>
      </c>
      <c r="C4063" s="5" t="str">
        <f>IFERROR(__xludf.DUMMYFUNCTION("""COMPUTED_VALUE"""),"https://drive.google.com/file/d/1ottzwiC-dmSmOlaOroMboM7SAZP05WvV/view?usp=drivesdk")</f>
        <v>https://drive.google.com/file/d/1ottzwiC-dmSmOlaOroMboM7SAZP05WvV/view?usp=drivesdk</v>
      </c>
      <c r="D4063" s="12"/>
      <c r="E4063" s="11">
        <v>4101.0</v>
      </c>
      <c r="F4063" s="2"/>
    </row>
    <row r="4064" ht="1.5" customHeight="1">
      <c r="A4064" s="4" t="str">
        <f>IFERROR(__xludf.DUMMYFUNCTION("""COMPUTED_VALUE"""),"63. Mr Stinky")</f>
        <v>63. Mr Stinky</v>
      </c>
      <c r="B4064" s="4" t="str">
        <f>IFERROR(__xludf.DUMMYFUNCTION("""COMPUTED_VALUE"""),"63")</f>
        <v>63</v>
      </c>
      <c r="C4064" s="5" t="str">
        <f>IFERROR(__xludf.DUMMYFUNCTION("""COMPUTED_VALUE"""),"https://drive.google.com/file/d/1NXeLdPvfrKxEKo0bDdDTpTYfr8d2aADS/view?usp=drivesdk")</f>
        <v>https://drive.google.com/file/d/1NXeLdPvfrKxEKo0bDdDTpTYfr8d2aADS/view?usp=drivesdk</v>
      </c>
      <c r="D4064" s="12"/>
      <c r="E4064" s="11">
        <v>4102.0</v>
      </c>
      <c r="F4064" s="2"/>
    </row>
    <row r="4065" ht="1.5" customHeight="1">
      <c r="A4065" s="4" t="str">
        <f>IFERROR(__xludf.DUMMYFUNCTION("""COMPUTED_VALUE"""),"0. NotACat")</f>
        <v>0. NotACat</v>
      </c>
      <c r="B4065" s="4" t="str">
        <f>IFERROR(__xludf.DUMMYFUNCTION("""COMPUTED_VALUE"""),"0")</f>
        <v>0</v>
      </c>
      <c r="C4065" s="5" t="str">
        <f>IFERROR(__xludf.DUMMYFUNCTION("""COMPUTED_VALUE"""),"https://drive.google.com/file/d/1detd-wpxi_2n0C4ay49UjOQYNH0WgENV/view?usp=drivesdk")</f>
        <v>https://drive.google.com/file/d/1detd-wpxi_2n0C4ay49UjOQYNH0WgENV/view?usp=drivesdk</v>
      </c>
      <c r="D4065" s="12"/>
      <c r="E4065" s="11">
        <v>4103.0</v>
      </c>
      <c r="F4065" s="2"/>
    </row>
    <row r="4066" ht="1.5" customHeight="1">
      <c r="A4066" s="4" t="str">
        <f>IFERROR(__xludf.DUMMYFUNCTION("""COMPUTED_VALUE"""),"0. NotACat")</f>
        <v>0. NotACat</v>
      </c>
      <c r="B4066" s="4" t="str">
        <f>IFERROR(__xludf.DUMMYFUNCTION("""COMPUTED_VALUE"""),"0")</f>
        <v>0</v>
      </c>
      <c r="C4066" s="5" t="str">
        <f>IFERROR(__xludf.DUMMYFUNCTION("""COMPUTED_VALUE"""),"https://drive.google.com/file/d/11h7k_bT6oIN1tnrFMYQdmuQpl2PMEYlk/view?usp=drivesdk")</f>
        <v>https://drive.google.com/file/d/11h7k_bT6oIN1tnrFMYQdmuQpl2PMEYlk/view?usp=drivesdk</v>
      </c>
      <c r="D4066" s="12"/>
      <c r="E4066" s="11">
        <v>4104.0</v>
      </c>
      <c r="F4066" s="2"/>
    </row>
    <row r="4067" ht="1.5" customHeight="1">
      <c r="A4067" s="4" t="str">
        <f>IFERROR(__xludf.DUMMYFUNCTION("""COMPUTED_VALUE"""),"0. NotACat")</f>
        <v>0. NotACat</v>
      </c>
      <c r="B4067" s="4" t="str">
        <f>IFERROR(__xludf.DUMMYFUNCTION("""COMPUTED_VALUE"""),"0")</f>
        <v>0</v>
      </c>
      <c r="C4067" s="5" t="str">
        <f>IFERROR(__xludf.DUMMYFUNCTION("""COMPUTED_VALUE"""),"https://drive.google.com/file/d/1CX2ZxL0tmBuryIFSQQ3v6_nJ-DHc6hwA/view?usp=drivesdk")</f>
        <v>https://drive.google.com/file/d/1CX2ZxL0tmBuryIFSQQ3v6_nJ-DHc6hwA/view?usp=drivesdk</v>
      </c>
      <c r="D4067" s="12"/>
      <c r="E4067" s="11">
        <v>4105.0</v>
      </c>
      <c r="F4067" s="2"/>
    </row>
    <row r="4068" ht="1.5" customHeight="1">
      <c r="A4068" s="4" t="str">
        <f>IFERROR(__xludf.DUMMYFUNCTION("""COMPUTED_VALUE"""),"0. NotACat")</f>
        <v>0. NotACat</v>
      </c>
      <c r="B4068" s="4" t="str">
        <f>IFERROR(__xludf.DUMMYFUNCTION("""COMPUTED_VALUE"""),"0")</f>
        <v>0</v>
      </c>
      <c r="C4068" s="5" t="str">
        <f>IFERROR(__xludf.DUMMYFUNCTION("""COMPUTED_VALUE"""),"https://drive.google.com/file/d/1r-__QvctSgY9Yqpc6Zao08TOhTTxwXGx/view?usp=drivesdk")</f>
        <v>https://drive.google.com/file/d/1r-__QvctSgY9Yqpc6Zao08TOhTTxwXGx/view?usp=drivesdk</v>
      </c>
      <c r="D4068" s="12"/>
      <c r="E4068" s="11">
        <v>4106.0</v>
      </c>
      <c r="F4068" s="2"/>
    </row>
    <row r="4069" ht="1.5" customHeight="1">
      <c r="A4069" s="4" t="str">
        <f>IFERROR(__xludf.DUMMYFUNCTION("""COMPUTED_VALUE"""),"0. NotACat")</f>
        <v>0. NotACat</v>
      </c>
      <c r="B4069" s="4" t="str">
        <f>IFERROR(__xludf.DUMMYFUNCTION("""COMPUTED_VALUE"""),"0")</f>
        <v>0</v>
      </c>
      <c r="C4069" s="5" t="str">
        <f>IFERROR(__xludf.DUMMYFUNCTION("""COMPUTED_VALUE"""),"https://drive.google.com/file/d/1k7cfmRg-ZxJ6DWHcL3HJweb27Td2YdwY/view?usp=drivesdk")</f>
        <v>https://drive.google.com/file/d/1k7cfmRg-ZxJ6DWHcL3HJweb27Td2YdwY/view?usp=drivesdk</v>
      </c>
      <c r="D4069" s="12"/>
      <c r="E4069" s="11">
        <v>4107.0</v>
      </c>
      <c r="F4069" s="2"/>
    </row>
    <row r="4070" ht="1.5" customHeight="1">
      <c r="A4070" s="4" t="str">
        <f>IFERROR(__xludf.DUMMYFUNCTION("""COMPUTED_VALUE"""),"0. NotACat")</f>
        <v>0. NotACat</v>
      </c>
      <c r="B4070" s="4" t="str">
        <f>IFERROR(__xludf.DUMMYFUNCTION("""COMPUTED_VALUE"""),"0")</f>
        <v>0</v>
      </c>
      <c r="C4070" s="5" t="str">
        <f>IFERROR(__xludf.DUMMYFUNCTION("""COMPUTED_VALUE"""),"https://drive.google.com/file/d/1oxMYvoejuFW3jPNEBZT2wetXjlh9cnxP/view?usp=drivesdk")</f>
        <v>https://drive.google.com/file/d/1oxMYvoejuFW3jPNEBZT2wetXjlh9cnxP/view?usp=drivesdk</v>
      </c>
      <c r="D4070" s="12"/>
      <c r="E4070" s="11">
        <v>4108.0</v>
      </c>
      <c r="F4070" s="2"/>
    </row>
    <row r="4071" ht="1.5" customHeight="1">
      <c r="A4071" s="4" t="str">
        <f>IFERROR(__xludf.DUMMYFUNCTION("""COMPUTED_VALUE"""),"0. NotACat")</f>
        <v>0. NotACat</v>
      </c>
      <c r="B4071" s="4" t="str">
        <f>IFERROR(__xludf.DUMMYFUNCTION("""COMPUTED_VALUE"""),"0")</f>
        <v>0</v>
      </c>
      <c r="C4071" s="5" t="str">
        <f>IFERROR(__xludf.DUMMYFUNCTION("""COMPUTED_VALUE"""),"https://drive.google.com/file/d/1LO3lPy4KDxYyw5onsrg_LT99l_KErNu7/view?usp=drivesdk")</f>
        <v>https://drive.google.com/file/d/1LO3lPy4KDxYyw5onsrg_LT99l_KErNu7/view?usp=drivesdk</v>
      </c>
      <c r="D4071" s="12"/>
      <c r="E4071" s="11">
        <v>4109.0</v>
      </c>
      <c r="F4071" s="2"/>
    </row>
    <row r="4072" ht="1.5" customHeight="1">
      <c r="A4072" s="4" t="str">
        <f>IFERROR(__xludf.DUMMYFUNCTION("""COMPUTED_VALUE"""),"0. NotACat")</f>
        <v>0. NotACat</v>
      </c>
      <c r="B4072" s="4" t="str">
        <f>IFERROR(__xludf.DUMMYFUNCTION("""COMPUTED_VALUE"""),"0")</f>
        <v>0</v>
      </c>
      <c r="C4072" s="5" t="str">
        <f>IFERROR(__xludf.DUMMYFUNCTION("""COMPUTED_VALUE"""),"https://drive.google.com/file/d/1ScXt2Foyb6lCEGBWYN5ekbiEkODsRQLD/view?usp=drivesdk")</f>
        <v>https://drive.google.com/file/d/1ScXt2Foyb6lCEGBWYN5ekbiEkODsRQLD/view?usp=drivesdk</v>
      </c>
      <c r="D4072" s="12"/>
      <c r="E4072" s="11">
        <v>4110.0</v>
      </c>
      <c r="F4072" s="2"/>
    </row>
    <row r="4073" ht="1.5" customHeight="1">
      <c r="A4073" s="4" t="str">
        <f>IFERROR(__xludf.DUMMYFUNCTION("""COMPUTED_VALUE"""),"0. NotACat")</f>
        <v>0. NotACat</v>
      </c>
      <c r="B4073" s="4" t="str">
        <f>IFERROR(__xludf.DUMMYFUNCTION("""COMPUTED_VALUE"""),"0")</f>
        <v>0</v>
      </c>
      <c r="C4073" s="5" t="str">
        <f>IFERROR(__xludf.DUMMYFUNCTION("""COMPUTED_VALUE"""),"https://drive.google.com/file/d/15ktVsOOf3eROW19qIKSfg7hboHOvy-gJ/view?usp=drivesdk")</f>
        <v>https://drive.google.com/file/d/15ktVsOOf3eROW19qIKSfg7hboHOvy-gJ/view?usp=drivesdk</v>
      </c>
      <c r="D4073" s="12"/>
      <c r="E4073" s="11">
        <v>4111.0</v>
      </c>
      <c r="F4073" s="2"/>
    </row>
    <row r="4074" ht="1.5" customHeight="1">
      <c r="A4074" s="4" t="str">
        <f>IFERROR(__xludf.DUMMYFUNCTION("""COMPUTED_VALUE"""),"0. NotACat")</f>
        <v>0. NotACat</v>
      </c>
      <c r="B4074" s="4" t="str">
        <f>IFERROR(__xludf.DUMMYFUNCTION("""COMPUTED_VALUE"""),"0")</f>
        <v>0</v>
      </c>
      <c r="C4074" s="5" t="str">
        <f>IFERROR(__xludf.DUMMYFUNCTION("""COMPUTED_VALUE"""),"https://drive.google.com/file/d/1gN9MHNJ65vl8UagH-FCoWu7WydEwc9PR/view?usp=drivesdk")</f>
        <v>https://drive.google.com/file/d/1gN9MHNJ65vl8UagH-FCoWu7WydEwc9PR/view?usp=drivesdk</v>
      </c>
      <c r="D4074" s="12"/>
      <c r="E4074" s="11">
        <v>4112.0</v>
      </c>
      <c r="F4074" s="2"/>
    </row>
    <row r="4075" ht="1.5" customHeight="1">
      <c r="A4075" s="4" t="str">
        <f>IFERROR(__xludf.DUMMYFUNCTION("""COMPUTED_VALUE"""),"0. NotACat")</f>
        <v>0. NotACat</v>
      </c>
      <c r="B4075" s="4" t="str">
        <f>IFERROR(__xludf.DUMMYFUNCTION("""COMPUTED_VALUE"""),"0")</f>
        <v>0</v>
      </c>
      <c r="C4075" s="5" t="str">
        <f>IFERROR(__xludf.DUMMYFUNCTION("""COMPUTED_VALUE"""),"https://drive.google.com/file/d/1T88u3-3OU7gZDT_3pJNq-KBnCUmSFhPR/view?usp=drivesdk")</f>
        <v>https://drive.google.com/file/d/1T88u3-3OU7gZDT_3pJNq-KBnCUmSFhPR/view?usp=drivesdk</v>
      </c>
      <c r="D4075" s="12"/>
      <c r="E4075" s="11">
        <v>4113.0</v>
      </c>
      <c r="F4075" s="2"/>
    </row>
    <row r="4076" ht="1.5" customHeight="1">
      <c r="A4076" s="4" t="str">
        <f>IFERROR(__xludf.DUMMYFUNCTION("""COMPUTED_VALUE"""),"0. NotACat")</f>
        <v>0. NotACat</v>
      </c>
      <c r="B4076" s="4" t="str">
        <f>IFERROR(__xludf.DUMMYFUNCTION("""COMPUTED_VALUE"""),"0")</f>
        <v>0</v>
      </c>
      <c r="C4076" s="5" t="str">
        <f>IFERROR(__xludf.DUMMYFUNCTION("""COMPUTED_VALUE"""),"https://drive.google.com/file/d/13a1LS0ct0uOox906k8QXvWi_PiPdR3Ij/view?usp=drivesdk")</f>
        <v>https://drive.google.com/file/d/13a1LS0ct0uOox906k8QXvWi_PiPdR3Ij/view?usp=drivesdk</v>
      </c>
      <c r="D4076" s="12"/>
      <c r="E4076" s="11">
        <v>4114.0</v>
      </c>
      <c r="F4076" s="2"/>
    </row>
    <row r="4077" ht="1.5" customHeight="1">
      <c r="A4077" s="4" t="str">
        <f>IFERROR(__xludf.DUMMYFUNCTION("""COMPUTED_VALUE"""),"0. NotACat")</f>
        <v>0. NotACat</v>
      </c>
      <c r="B4077" s="4" t="str">
        <f>IFERROR(__xludf.DUMMYFUNCTION("""COMPUTED_VALUE"""),"0")</f>
        <v>0</v>
      </c>
      <c r="C4077" s="5" t="str">
        <f>IFERROR(__xludf.DUMMYFUNCTION("""COMPUTED_VALUE"""),"https://drive.google.com/file/d/1997lKUNflmtkCuUBtIcJu59injmJs0-9/view?usp=drivesdk")</f>
        <v>https://drive.google.com/file/d/1997lKUNflmtkCuUBtIcJu59injmJs0-9/view?usp=drivesdk</v>
      </c>
      <c r="D4077" s="12"/>
      <c r="E4077" s="11">
        <v>4115.0</v>
      </c>
      <c r="F4077" s="2"/>
    </row>
    <row r="4078" ht="1.5" customHeight="1">
      <c r="A4078" s="4" t="str">
        <f>IFERROR(__xludf.DUMMYFUNCTION("""COMPUTED_VALUE"""),"1. Microwave")</f>
        <v>1. Microwave</v>
      </c>
      <c r="B4078" s="4" t="str">
        <f>IFERROR(__xludf.DUMMYFUNCTION("""COMPUTED_VALUE"""),"1")</f>
        <v>1</v>
      </c>
      <c r="C4078" s="5" t="str">
        <f>IFERROR(__xludf.DUMMYFUNCTION("""COMPUTED_VALUE"""),"https://drive.google.com/file/d/1KOIouKFKFSybzQzI_9zuIOPBxJdwHu51/view?usp=drivesdk")</f>
        <v>https://drive.google.com/file/d/1KOIouKFKFSybzQzI_9zuIOPBxJdwHu51/view?usp=drivesdk</v>
      </c>
      <c r="D4078" s="12"/>
      <c r="E4078" s="11">
        <v>4116.0</v>
      </c>
      <c r="F4078" s="2"/>
    </row>
    <row r="4079" ht="1.5" customHeight="1">
      <c r="A4079" s="4" t="str">
        <f>IFERROR(__xludf.DUMMYFUNCTION("""COMPUTED_VALUE"""),"5. Eraser, 4. Eggs")</f>
        <v>5. Eraser, 4. Eggs</v>
      </c>
      <c r="B4079" s="4" t="str">
        <f>IFERROR(__xludf.DUMMYFUNCTION("""COMPUTED_VALUE"""),"5, 4")</f>
        <v>5, 4</v>
      </c>
      <c r="C4079" s="5" t="str">
        <f>IFERROR(__xludf.DUMMYFUNCTION("""COMPUTED_VALUE"""),"https://drive.google.com/file/d/1DpbLEx4sZ0zmq-O-j9QQwXGd4FTsajJh/view?usp=drivesdk")</f>
        <v>https://drive.google.com/file/d/1DpbLEx4sZ0zmq-O-j9QQwXGd4FTsajJh/view?usp=drivesdk</v>
      </c>
      <c r="D4079" s="12"/>
      <c r="E4079" s="11">
        <v>4117.0</v>
      </c>
      <c r="F4079" s="2"/>
    </row>
    <row r="4080" ht="1.5" customHeight="1">
      <c r="A4080" s="4" t="str">
        <f>IFERROR(__xludf.DUMMYFUNCTION("""COMPUTED_VALUE"""),"1. Microwave")</f>
        <v>1. Microwave</v>
      </c>
      <c r="B4080" s="4" t="str">
        <f>IFERROR(__xludf.DUMMYFUNCTION("""COMPUTED_VALUE"""),"1")</f>
        <v>1</v>
      </c>
      <c r="C4080" s="5" t="str">
        <f>IFERROR(__xludf.DUMMYFUNCTION("""COMPUTED_VALUE"""),"https://drive.google.com/file/d/1oEmcpr706bmx5PnzCsLFewCaG2OOPi5Q/view?usp=drivesdk")</f>
        <v>https://drive.google.com/file/d/1oEmcpr706bmx5PnzCsLFewCaG2OOPi5Q/view?usp=drivesdk</v>
      </c>
      <c r="D4080" s="12"/>
      <c r="E4080" s="11">
        <v>4118.0</v>
      </c>
      <c r="F4080" s="2"/>
    </row>
    <row r="4081" ht="1.5" customHeight="1">
      <c r="A4081" s="4" t="str">
        <f>IFERROR(__xludf.DUMMYFUNCTION("""COMPUTED_VALUE"""),"1. Microwave")</f>
        <v>1. Microwave</v>
      </c>
      <c r="B4081" s="4" t="str">
        <f>IFERROR(__xludf.DUMMYFUNCTION("""COMPUTED_VALUE"""),"1")</f>
        <v>1</v>
      </c>
      <c r="C4081" s="5" t="str">
        <f>IFERROR(__xludf.DUMMYFUNCTION("""COMPUTED_VALUE"""),"https://drive.google.com/file/d/1LH4I7p1CBC8IYM3qDm4O7V8rfUjYBJY-/view?usp=drivesdk")</f>
        <v>https://drive.google.com/file/d/1LH4I7p1CBC8IYM3qDm4O7V8rfUjYBJY-/view?usp=drivesdk</v>
      </c>
      <c r="D4081" s="12"/>
      <c r="E4081" s="11">
        <v>4119.0</v>
      </c>
      <c r="F4081" s="2"/>
    </row>
    <row r="4082" ht="1.5" customHeight="1">
      <c r="A4082" s="4" t="str">
        <f>IFERROR(__xludf.DUMMYFUNCTION("""COMPUTED_VALUE"""),"1. Microwave")</f>
        <v>1. Microwave</v>
      </c>
      <c r="B4082" s="4" t="str">
        <f>IFERROR(__xludf.DUMMYFUNCTION("""COMPUTED_VALUE"""),"1")</f>
        <v>1</v>
      </c>
      <c r="C4082" s="5" t="str">
        <f>IFERROR(__xludf.DUMMYFUNCTION("""COMPUTED_VALUE"""),"https://drive.google.com/file/d/1BSWxKI7eSOCCZcljkvZWKnVPe031nV95/view?usp=drivesdk")</f>
        <v>https://drive.google.com/file/d/1BSWxKI7eSOCCZcljkvZWKnVPe031nV95/view?usp=drivesdk</v>
      </c>
      <c r="D4082" s="12"/>
      <c r="E4082" s="11">
        <v>4120.0</v>
      </c>
      <c r="F4082" s="2"/>
    </row>
    <row r="4083" ht="1.5" customHeight="1">
      <c r="A4083" s="4" t="str">
        <f>IFERROR(__xludf.DUMMYFUNCTION("""COMPUTED_VALUE"""),"1. Microwave")</f>
        <v>1. Microwave</v>
      </c>
      <c r="B4083" s="4" t="str">
        <f>IFERROR(__xludf.DUMMYFUNCTION("""COMPUTED_VALUE"""),"1")</f>
        <v>1</v>
      </c>
      <c r="C4083" s="5" t="str">
        <f>IFERROR(__xludf.DUMMYFUNCTION("""COMPUTED_VALUE"""),"https://drive.google.com/file/d/1Mk3z08Kaa2kZlrCPmGMFgmmevCL0tw9F/view?usp=drivesdk")</f>
        <v>https://drive.google.com/file/d/1Mk3z08Kaa2kZlrCPmGMFgmmevCL0tw9F/view?usp=drivesdk</v>
      </c>
      <c r="D4083" s="12"/>
      <c r="E4083" s="11">
        <v>4121.0</v>
      </c>
      <c r="F4083" s="2"/>
    </row>
    <row r="4084" ht="1.5" customHeight="1">
      <c r="A4084" s="4" t="str">
        <f>IFERROR(__xludf.DUMMYFUNCTION("""COMPUTED_VALUE"""),"0. NotACat")</f>
        <v>0. NotACat</v>
      </c>
      <c r="B4084" s="4" t="str">
        <f>IFERROR(__xludf.DUMMYFUNCTION("""COMPUTED_VALUE"""),"0")</f>
        <v>0</v>
      </c>
      <c r="C4084" s="5" t="str">
        <f>IFERROR(__xludf.DUMMYFUNCTION("""COMPUTED_VALUE"""),"https://drive.google.com/file/d/1o--UJXNcVqlcIXOTZ16urVAsRUGMoi32/view?usp=drivesdk")</f>
        <v>https://drive.google.com/file/d/1o--UJXNcVqlcIXOTZ16urVAsRUGMoi32/view?usp=drivesdk</v>
      </c>
      <c r="D4084" s="12"/>
      <c r="E4084" s="11">
        <v>4122.0</v>
      </c>
      <c r="F4084" s="2"/>
    </row>
    <row r="4085" ht="1.5" customHeight="1">
      <c r="A4085" s="4" t="str">
        <f>IFERROR(__xludf.DUMMYFUNCTION("""COMPUTED_VALUE"""),"30. Pepper, 33. Zee, 27. Angel")</f>
        <v>30. Pepper, 33. Zee, 27. Angel</v>
      </c>
      <c r="B4085" s="4" t="str">
        <f>IFERROR(__xludf.DUMMYFUNCTION("""COMPUTED_VALUE"""),"30, 33, 27")</f>
        <v>30, 33, 27</v>
      </c>
      <c r="C4085" s="5" t="str">
        <f>IFERROR(__xludf.DUMMYFUNCTION("""COMPUTED_VALUE"""),"https://drive.google.com/file/d/1tZoJoiAFgnh_pJg337BhKcUetpWGZHnp/view?usp=drivesdk")</f>
        <v>https://drive.google.com/file/d/1tZoJoiAFgnh_pJg337BhKcUetpWGZHnp/view?usp=drivesdk</v>
      </c>
      <c r="D4085" s="12"/>
      <c r="E4085" s="11">
        <v>4123.0</v>
      </c>
      <c r="F4085" s="2"/>
    </row>
    <row r="4086" ht="1.5" customHeight="1">
      <c r="A4086" s="4" t="str">
        <f>IFERROR(__xludf.DUMMYFUNCTION("""COMPUTED_VALUE"""),"30. Pepper, 33. Zee, 27. Angel")</f>
        <v>30. Pepper, 33. Zee, 27. Angel</v>
      </c>
      <c r="B4086" s="4" t="str">
        <f>IFERROR(__xludf.DUMMYFUNCTION("""COMPUTED_VALUE"""),"30, 33, 27")</f>
        <v>30, 33, 27</v>
      </c>
      <c r="C4086" s="5" t="str">
        <f>IFERROR(__xludf.DUMMYFUNCTION("""COMPUTED_VALUE"""),"https://drive.google.com/file/d/11suK5qfG3xYI1LX15aVBS_CYqSdqyF1L/view?usp=drivesdk")</f>
        <v>https://drive.google.com/file/d/11suK5qfG3xYI1LX15aVBS_CYqSdqyF1L/view?usp=drivesdk</v>
      </c>
      <c r="D4086" s="12"/>
      <c r="E4086" s="11">
        <v>4124.0</v>
      </c>
      <c r="F4086" s="2"/>
    </row>
    <row r="4087" ht="1.5" customHeight="1">
      <c r="A4087" s="4" t="str">
        <f>IFERROR(__xludf.DUMMYFUNCTION("""COMPUTED_VALUE"""),"48. Houdini")</f>
        <v>48. Houdini</v>
      </c>
      <c r="B4087" s="4" t="str">
        <f>IFERROR(__xludf.DUMMYFUNCTION("""COMPUTED_VALUE"""),"48")</f>
        <v>48</v>
      </c>
      <c r="C4087" s="5" t="str">
        <f>IFERROR(__xludf.DUMMYFUNCTION("""COMPUTED_VALUE"""),"https://drive.google.com/file/d/1SEO5y2iYXCYvbmMPHSWio5iAvP2OorPh/view?usp=drivesdk")</f>
        <v>https://drive.google.com/file/d/1SEO5y2iYXCYvbmMPHSWio5iAvP2OorPh/view?usp=drivesdk</v>
      </c>
      <c r="D4087" s="12"/>
      <c r="E4087" s="11">
        <v>4125.0</v>
      </c>
      <c r="F4087" s="2"/>
    </row>
    <row r="4088" ht="1.5" customHeight="1">
      <c r="A4088" s="4" t="str">
        <f>IFERROR(__xludf.DUMMYFUNCTION("""COMPUTED_VALUE"""),"33. Zee")</f>
        <v>33. Zee</v>
      </c>
      <c r="B4088" s="4" t="str">
        <f>IFERROR(__xludf.DUMMYFUNCTION("""COMPUTED_VALUE"""),"33")</f>
        <v>33</v>
      </c>
      <c r="C4088" s="5" t="str">
        <f>IFERROR(__xludf.DUMMYFUNCTION("""COMPUTED_VALUE"""),"https://drive.google.com/file/d/1SL9G4nCoOl2kDzJTujs57vjWNm5zC1O5/view?usp=drivesdk")</f>
        <v>https://drive.google.com/file/d/1SL9G4nCoOl2kDzJTujs57vjWNm5zC1O5/view?usp=drivesdk</v>
      </c>
      <c r="D4088" s="12"/>
      <c r="E4088" s="11">
        <v>4126.0</v>
      </c>
      <c r="F4088" s="2"/>
    </row>
    <row r="4089" ht="1.5" customHeight="1">
      <c r="A4089" s="4" t="str">
        <f>IFERROR(__xludf.DUMMYFUNCTION("""COMPUTED_VALUE"""),"30. Pepper")</f>
        <v>30. Pepper</v>
      </c>
      <c r="B4089" s="4" t="str">
        <f>IFERROR(__xludf.DUMMYFUNCTION("""COMPUTED_VALUE"""),"30")</f>
        <v>30</v>
      </c>
      <c r="C4089" s="5" t="str">
        <f>IFERROR(__xludf.DUMMYFUNCTION("""COMPUTED_VALUE"""),"https://drive.google.com/file/d/1hE3HFL6fYJ7HCoJvaRN2G_VXdnXj-GOp/view?usp=drivesdk")</f>
        <v>https://drive.google.com/file/d/1hE3HFL6fYJ7HCoJvaRN2G_VXdnXj-GOp/view?usp=drivesdk</v>
      </c>
      <c r="D4089" s="12"/>
      <c r="E4089" s="11">
        <v>4127.0</v>
      </c>
      <c r="F4089" s="2"/>
    </row>
    <row r="4090" ht="1.5" customHeight="1">
      <c r="A4090" s="4" t="str">
        <f>IFERROR(__xludf.DUMMYFUNCTION("""COMPUTED_VALUE"""),"29. Ginger")</f>
        <v>29. Ginger</v>
      </c>
      <c r="B4090" s="4" t="str">
        <f>IFERROR(__xludf.DUMMYFUNCTION("""COMPUTED_VALUE"""),"29")</f>
        <v>29</v>
      </c>
      <c r="C4090" s="5" t="str">
        <f>IFERROR(__xludf.DUMMYFUNCTION("""COMPUTED_VALUE"""),"https://drive.google.com/file/d/1S9EXdakRV-xyI1WDYeeilbJrw8GEHn2m/view?usp=drivesdk")</f>
        <v>https://drive.google.com/file/d/1S9EXdakRV-xyI1WDYeeilbJrw8GEHn2m/view?usp=drivesdk</v>
      </c>
      <c r="D4090" s="12"/>
      <c r="E4090" s="11">
        <v>4128.0</v>
      </c>
      <c r="F4090" s="2"/>
    </row>
    <row r="4091" ht="1.5" customHeight="1">
      <c r="A4091" s="4" t="str">
        <f>IFERROR(__xludf.DUMMYFUNCTION("""COMPUTED_VALUE"""),"32. Noir")</f>
        <v>32. Noir</v>
      </c>
      <c r="B4091" s="4" t="str">
        <f>IFERROR(__xludf.DUMMYFUNCTION("""COMPUTED_VALUE"""),"32")</f>
        <v>32</v>
      </c>
      <c r="C4091" s="5" t="str">
        <f>IFERROR(__xludf.DUMMYFUNCTION("""COMPUTED_VALUE"""),"https://drive.google.com/file/d/1vVdx90gLUpuiz90ZtfGOkxMEhRXi-UKg/view?usp=drivesdk")</f>
        <v>https://drive.google.com/file/d/1vVdx90gLUpuiz90ZtfGOkxMEhRXi-UKg/view?usp=drivesdk</v>
      </c>
      <c r="D4091" s="12"/>
      <c r="E4091" s="11">
        <v>4129.0</v>
      </c>
      <c r="F4091" s="2"/>
    </row>
    <row r="4092" ht="1.5" customHeight="1">
      <c r="A4092" s="4" t="str">
        <f>IFERROR(__xludf.DUMMYFUNCTION("""COMPUTED_VALUE"""),"32. Noir")</f>
        <v>32. Noir</v>
      </c>
      <c r="B4092" s="4" t="str">
        <f>IFERROR(__xludf.DUMMYFUNCTION("""COMPUTED_VALUE"""),"32")</f>
        <v>32</v>
      </c>
      <c r="C4092" s="5" t="str">
        <f>IFERROR(__xludf.DUMMYFUNCTION("""COMPUTED_VALUE"""),"https://drive.google.com/file/d/15ewRYJZhUzhO2HMW3fEKApc2bhN3qhp6/view?usp=drivesdk")</f>
        <v>https://drive.google.com/file/d/15ewRYJZhUzhO2HMW3fEKApc2bhN3qhp6/view?usp=drivesdk</v>
      </c>
      <c r="D4092" s="12"/>
      <c r="E4092" s="11">
        <v>4130.0</v>
      </c>
      <c r="F4092" s="2"/>
    </row>
    <row r="4093" ht="1.5" customHeight="1">
      <c r="A4093" s="4" t="str">
        <f>IFERROR(__xludf.DUMMYFUNCTION("""COMPUTED_VALUE"""),"1. Microwave")</f>
        <v>1. Microwave</v>
      </c>
      <c r="B4093" s="4" t="str">
        <f>IFERROR(__xludf.DUMMYFUNCTION("""COMPUTED_VALUE"""),"1")</f>
        <v>1</v>
      </c>
      <c r="C4093" s="5" t="str">
        <f>IFERROR(__xludf.DUMMYFUNCTION("""COMPUTED_VALUE"""),"https://drive.google.com/file/d/1SbyLUszEgFepim42QQJbWMVB26yAkU56/view?usp=drivesdk")</f>
        <v>https://drive.google.com/file/d/1SbyLUszEgFepim42QQJbWMVB26yAkU56/view?usp=drivesdk</v>
      </c>
      <c r="D4093" s="12"/>
      <c r="E4093" s="11">
        <v>4131.0</v>
      </c>
      <c r="F4093" s="2"/>
    </row>
    <row r="4094" ht="1.5" customHeight="1">
      <c r="A4094" s="4" t="str">
        <f>IFERROR(__xludf.DUMMYFUNCTION("""COMPUTED_VALUE"""),"35. Stove")</f>
        <v>35. Stove</v>
      </c>
      <c r="B4094" s="4" t="str">
        <f>IFERROR(__xludf.DUMMYFUNCTION("""COMPUTED_VALUE"""),"35")</f>
        <v>35</v>
      </c>
      <c r="C4094" s="5" t="str">
        <f>IFERROR(__xludf.DUMMYFUNCTION("""COMPUTED_VALUE"""),"https://drive.google.com/file/d/1yy33f2wucpIMR6xncSXG6tAg2SNZnlBe/view?usp=drivesdk")</f>
        <v>https://drive.google.com/file/d/1yy33f2wucpIMR6xncSXG6tAg2SNZnlBe/view?usp=drivesdk</v>
      </c>
      <c r="D4094" s="12"/>
      <c r="E4094" s="11">
        <v>4132.0</v>
      </c>
      <c r="F4094" s="2"/>
    </row>
    <row r="4095" ht="1.5" customHeight="1">
      <c r="A4095" s="4" t="str">
        <f>IFERROR(__xludf.DUMMYFUNCTION("""COMPUTED_VALUE"""),"35. Stove")</f>
        <v>35. Stove</v>
      </c>
      <c r="B4095" s="4" t="str">
        <f>IFERROR(__xludf.DUMMYFUNCTION("""COMPUTED_VALUE"""),"35")</f>
        <v>35</v>
      </c>
      <c r="C4095" s="5" t="str">
        <f>IFERROR(__xludf.DUMMYFUNCTION("""COMPUTED_VALUE"""),"https://drive.google.com/file/d/1NBNeS0tIvX4VCwZBOnPZT8occLYxAAl6/view?usp=drivesdk")</f>
        <v>https://drive.google.com/file/d/1NBNeS0tIvX4VCwZBOnPZT8occLYxAAl6/view?usp=drivesdk</v>
      </c>
      <c r="D4095" s="12"/>
      <c r="E4095" s="11">
        <v>4133.0</v>
      </c>
      <c r="F4095" s="2"/>
    </row>
    <row r="4096" ht="1.5" customHeight="1">
      <c r="A4096" s="4" t="str">
        <f>IFERROR(__xludf.DUMMYFUNCTION("""COMPUTED_VALUE"""),"63. Mr Stinky, 33. Zee")</f>
        <v>63. Mr Stinky, 33. Zee</v>
      </c>
      <c r="B4096" s="4" t="str">
        <f>IFERROR(__xludf.DUMMYFUNCTION("""COMPUTED_VALUE"""),"63, 33")</f>
        <v>63, 33</v>
      </c>
      <c r="C4096" s="5" t="str">
        <f>IFERROR(__xludf.DUMMYFUNCTION("""COMPUTED_VALUE"""),"https://drive.google.com/file/d/1-4wxH19qtUs2FRbIu7ArhGvuVNZr0l9Y/view?usp=drivesdk")</f>
        <v>https://drive.google.com/file/d/1-4wxH19qtUs2FRbIu7ArhGvuVNZr0l9Y/view?usp=drivesdk</v>
      </c>
      <c r="D4096" s="12"/>
      <c r="E4096" s="11">
        <v>4134.0</v>
      </c>
      <c r="F4096" s="2"/>
    </row>
    <row r="4097" ht="1.5" customHeight="1">
      <c r="A4097" s="4" t="str">
        <f>IFERROR(__xludf.DUMMYFUNCTION("""COMPUTED_VALUE"""),"36. Scringle")</f>
        <v>36. Scringle</v>
      </c>
      <c r="B4097" s="4" t="str">
        <f>IFERROR(__xludf.DUMMYFUNCTION("""COMPUTED_VALUE"""),"36")</f>
        <v>36</v>
      </c>
      <c r="C4097" s="5" t="str">
        <f>IFERROR(__xludf.DUMMYFUNCTION("""COMPUTED_VALUE"""),"https://drive.google.com/file/d/1NaE9pW-TeX6deEgYToZqQFWMZWyyYbVg/view?usp=drivesdk")</f>
        <v>https://drive.google.com/file/d/1NaE9pW-TeX6deEgYToZqQFWMZWyyYbVg/view?usp=drivesdk</v>
      </c>
      <c r="D4097" s="12"/>
      <c r="E4097" s="11">
        <v>4135.0</v>
      </c>
      <c r="F4097" s="2"/>
    </row>
    <row r="4098" ht="1.5" customHeight="1">
      <c r="A4098" s="4" t="str">
        <f>IFERROR(__xludf.DUMMYFUNCTION("""COMPUTED_VALUE"""),"29. Ginger, 30. Pepper")</f>
        <v>29. Ginger, 30. Pepper</v>
      </c>
      <c r="B4098" s="4" t="str">
        <f>IFERROR(__xludf.DUMMYFUNCTION("""COMPUTED_VALUE"""),"29, 30")</f>
        <v>29, 30</v>
      </c>
      <c r="C4098" s="5" t="str">
        <f>IFERROR(__xludf.DUMMYFUNCTION("""COMPUTED_VALUE"""),"https://drive.google.com/file/d/16cj47qOnuvTIvwWGkhrFc9nbte22_0Eg/view?usp=drivesdk")</f>
        <v>https://drive.google.com/file/d/16cj47qOnuvTIvwWGkhrFc9nbte22_0Eg/view?usp=drivesdk</v>
      </c>
      <c r="D4098" s="12"/>
      <c r="E4098" s="11">
        <v>4136.0</v>
      </c>
      <c r="F4098" s="2"/>
    </row>
    <row r="4099" ht="1.5" customHeight="1">
      <c r="A4099" s="4" t="str">
        <f>IFERROR(__xludf.DUMMYFUNCTION("""COMPUTED_VALUE"""),"32. Noir")</f>
        <v>32. Noir</v>
      </c>
      <c r="B4099" s="4" t="str">
        <f>IFERROR(__xludf.DUMMYFUNCTION("""COMPUTED_VALUE"""),"32")</f>
        <v>32</v>
      </c>
      <c r="C4099" s="5" t="str">
        <f>IFERROR(__xludf.DUMMYFUNCTION("""COMPUTED_VALUE"""),"https://drive.google.com/file/d/1r35VxVp9Scj2yM0DO8qO6K-hVZtH-9DT/view?usp=drivesdk")</f>
        <v>https://drive.google.com/file/d/1r35VxVp9Scj2yM0DO8qO6K-hVZtH-9DT/view?usp=drivesdk</v>
      </c>
      <c r="D4099" s="12"/>
      <c r="E4099" s="11">
        <v>4137.0</v>
      </c>
      <c r="F4099" s="2"/>
    </row>
    <row r="4100" ht="1.5" customHeight="1">
      <c r="A4100" s="4" t="str">
        <f>IFERROR(__xludf.DUMMYFUNCTION("""COMPUTED_VALUE"""),"32. Noir")</f>
        <v>32. Noir</v>
      </c>
      <c r="B4100" s="4" t="str">
        <f>IFERROR(__xludf.DUMMYFUNCTION("""COMPUTED_VALUE"""),"32")</f>
        <v>32</v>
      </c>
      <c r="C4100" s="5" t="str">
        <f>IFERROR(__xludf.DUMMYFUNCTION("""COMPUTED_VALUE"""),"https://drive.google.com/file/d/1CYMcDjKZZhwfNOUup3LDiCL4II5NR-Z3/view?usp=drivesdk")</f>
        <v>https://drive.google.com/file/d/1CYMcDjKZZhwfNOUup3LDiCL4II5NR-Z3/view?usp=drivesdk</v>
      </c>
      <c r="D4100" s="12"/>
      <c r="E4100" s="11">
        <v>4138.0</v>
      </c>
      <c r="F4100" s="2"/>
    </row>
    <row r="4101" ht="1.5" customHeight="1">
      <c r="A4101" s="4" t="str">
        <f>IFERROR(__xludf.DUMMYFUNCTION("""COMPUTED_VALUE"""),"32. Noir")</f>
        <v>32. Noir</v>
      </c>
      <c r="B4101" s="4" t="str">
        <f>IFERROR(__xludf.DUMMYFUNCTION("""COMPUTED_VALUE"""),"32")</f>
        <v>32</v>
      </c>
      <c r="C4101" s="5" t="str">
        <f>IFERROR(__xludf.DUMMYFUNCTION("""COMPUTED_VALUE"""),"https://drive.google.com/file/d/1X4f2x7sd0sVCIXtY9UQ9uNpdF4elAUGh/view?usp=drivesdk")</f>
        <v>https://drive.google.com/file/d/1X4f2x7sd0sVCIXtY9UQ9uNpdF4elAUGh/view?usp=drivesdk</v>
      </c>
      <c r="D4101" s="12"/>
      <c r="E4101" s="11">
        <v>4139.0</v>
      </c>
      <c r="F4101" s="2"/>
    </row>
    <row r="4102" ht="1.5" customHeight="1">
      <c r="A4102" s="4" t="str">
        <f>IFERROR(__xludf.DUMMYFUNCTION("""COMPUTED_VALUE"""),"29. Ginger")</f>
        <v>29. Ginger</v>
      </c>
      <c r="B4102" s="4" t="str">
        <f>IFERROR(__xludf.DUMMYFUNCTION("""COMPUTED_VALUE"""),"29")</f>
        <v>29</v>
      </c>
      <c r="C4102" s="5" t="str">
        <f>IFERROR(__xludf.DUMMYFUNCTION("""COMPUTED_VALUE"""),"https://drive.google.com/file/d/1AcJfaXiT-UdIHfBibIyTyxOIKSk-cUGc/view?usp=drivesdk")</f>
        <v>https://drive.google.com/file/d/1AcJfaXiT-UdIHfBibIyTyxOIKSk-cUGc/view?usp=drivesdk</v>
      </c>
      <c r="D4102" s="12"/>
      <c r="E4102" s="11">
        <v>4140.0</v>
      </c>
      <c r="F4102" s="2"/>
    </row>
    <row r="4103" ht="1.5" customHeight="1">
      <c r="A4103" s="4" t="str">
        <f>IFERROR(__xludf.DUMMYFUNCTION("""COMPUTED_VALUE"""),"0. NotACat")</f>
        <v>0. NotACat</v>
      </c>
      <c r="B4103" s="4" t="str">
        <f>IFERROR(__xludf.DUMMYFUNCTION("""COMPUTED_VALUE"""),"0")</f>
        <v>0</v>
      </c>
      <c r="C4103" s="5" t="str">
        <f>IFERROR(__xludf.DUMMYFUNCTION("""COMPUTED_VALUE"""),"https://drive.google.com/file/d/1_5RpMxV3at4BGwvwPhJUfVLl5AL1bCGv/view?usp=drivesdk")</f>
        <v>https://drive.google.com/file/d/1_5RpMxV3at4BGwvwPhJUfVLl5AL1bCGv/view?usp=drivesdk</v>
      </c>
      <c r="D4103" s="12"/>
      <c r="E4103" s="11">
        <v>4141.0</v>
      </c>
      <c r="F4103" s="2"/>
    </row>
    <row r="4104" ht="1.5" customHeight="1">
      <c r="A4104" s="4" t="str">
        <f>IFERROR(__xludf.DUMMYFUNCTION("""COMPUTED_VALUE"""),"0. NotACat")</f>
        <v>0. NotACat</v>
      </c>
      <c r="B4104" s="4" t="str">
        <f>IFERROR(__xludf.DUMMYFUNCTION("""COMPUTED_VALUE"""),"0")</f>
        <v>0</v>
      </c>
      <c r="C4104" s="5" t="str">
        <f>IFERROR(__xludf.DUMMYFUNCTION("""COMPUTED_VALUE"""),"https://drive.google.com/file/d/1fQJDxkkb-Y1RJZbJ_iLFPKthtnV4K_Nm/view?usp=drivesdk")</f>
        <v>https://drive.google.com/file/d/1fQJDxkkb-Y1RJZbJ_iLFPKthtnV4K_Nm/view?usp=drivesdk</v>
      </c>
      <c r="D4104" s="12"/>
      <c r="E4104" s="11">
        <v>4142.0</v>
      </c>
      <c r="F4104" s="2"/>
    </row>
    <row r="4105" ht="1.5" customHeight="1">
      <c r="A4105" s="4" t="str">
        <f>IFERROR(__xludf.DUMMYFUNCTION("""COMPUTED_VALUE"""),"0. NotACat")</f>
        <v>0. NotACat</v>
      </c>
      <c r="B4105" s="4" t="str">
        <f>IFERROR(__xludf.DUMMYFUNCTION("""COMPUTED_VALUE"""),"0")</f>
        <v>0</v>
      </c>
      <c r="C4105" s="5" t="str">
        <f>IFERROR(__xludf.DUMMYFUNCTION("""COMPUTED_VALUE"""),"https://drive.google.com/file/d/1bY5LCH6Tfb9Kr-z4dr72NBhNW59eu5cu/view?usp=drivesdk")</f>
        <v>https://drive.google.com/file/d/1bY5LCH6Tfb9Kr-z4dr72NBhNW59eu5cu/view?usp=drivesdk</v>
      </c>
      <c r="D4105" s="12"/>
      <c r="E4105" s="11">
        <v>4143.0</v>
      </c>
      <c r="F4105" s="2"/>
    </row>
    <row r="4106" ht="1.5" customHeight="1">
      <c r="A4106" s="4" t="str">
        <f>IFERROR(__xludf.DUMMYFUNCTION("""COMPUTED_VALUE"""),"29. Ginger")</f>
        <v>29. Ginger</v>
      </c>
      <c r="B4106" s="4" t="str">
        <f>IFERROR(__xludf.DUMMYFUNCTION("""COMPUTED_VALUE"""),"29")</f>
        <v>29</v>
      </c>
      <c r="C4106" s="5" t="str">
        <f>IFERROR(__xludf.DUMMYFUNCTION("""COMPUTED_VALUE"""),"https://drive.google.com/file/d/15A6t-wcZO2hpOcQ88RCvOq91As3zuBde/view?usp=drivesdk")</f>
        <v>https://drive.google.com/file/d/15A6t-wcZO2hpOcQ88RCvOq91As3zuBde/view?usp=drivesdk</v>
      </c>
      <c r="D4106" s="12"/>
      <c r="E4106" s="11">
        <v>4144.0</v>
      </c>
      <c r="F4106" s="2"/>
    </row>
    <row r="4107" ht="1.5" customHeight="1">
      <c r="A4107" s="4" t="str">
        <f>IFERROR(__xludf.DUMMYFUNCTION("""COMPUTED_VALUE"""),"32. Noir")</f>
        <v>32. Noir</v>
      </c>
      <c r="B4107" s="4" t="str">
        <f>IFERROR(__xludf.DUMMYFUNCTION("""COMPUTED_VALUE"""),"32")</f>
        <v>32</v>
      </c>
      <c r="C4107" s="5" t="str">
        <f>IFERROR(__xludf.DUMMYFUNCTION("""COMPUTED_VALUE"""),"https://drive.google.com/file/d/1O4BVMLdtGTEY8iMxLcXWYaprPXnc9RSx/view?usp=drivesdk")</f>
        <v>https://drive.google.com/file/d/1O4BVMLdtGTEY8iMxLcXWYaprPXnc9RSx/view?usp=drivesdk</v>
      </c>
      <c r="D4107" s="12"/>
      <c r="E4107" s="11">
        <v>4145.0</v>
      </c>
      <c r="F4107" s="2"/>
    </row>
    <row r="4108" ht="1.5" customHeight="1">
      <c r="A4108" s="4" t="str">
        <f>IFERROR(__xludf.DUMMYFUNCTION("""COMPUTED_VALUE"""),"29. Ginger, 30. Pepper")</f>
        <v>29. Ginger, 30. Pepper</v>
      </c>
      <c r="B4108" s="4" t="str">
        <f>IFERROR(__xludf.DUMMYFUNCTION("""COMPUTED_VALUE"""),"29, 30")</f>
        <v>29, 30</v>
      </c>
      <c r="C4108" s="5" t="str">
        <f>IFERROR(__xludf.DUMMYFUNCTION("""COMPUTED_VALUE"""),"https://drive.google.com/file/d/1lHLTD_XFDff8Clek98fVXomF7oDz3RQj/view?usp=drivesdk")</f>
        <v>https://drive.google.com/file/d/1lHLTD_XFDff8Clek98fVXomF7oDz3RQj/view?usp=drivesdk</v>
      </c>
      <c r="D4108" s="12"/>
      <c r="E4108" s="11">
        <v>4146.0</v>
      </c>
      <c r="F4108" s="2"/>
    </row>
    <row r="4109" ht="1.5" customHeight="1">
      <c r="A4109" s="4" t="str">
        <f>IFERROR(__xludf.DUMMYFUNCTION("""COMPUTED_VALUE"""),"33. Zee")</f>
        <v>33. Zee</v>
      </c>
      <c r="B4109" s="4" t="str">
        <f>IFERROR(__xludf.DUMMYFUNCTION("""COMPUTED_VALUE"""),"33")</f>
        <v>33</v>
      </c>
      <c r="C4109" s="5" t="str">
        <f>IFERROR(__xludf.DUMMYFUNCTION("""COMPUTED_VALUE"""),"https://drive.google.com/file/d/1W-M2jVUjwVCU5aZhNhkR0buOAQY-PTA7/view?usp=drivesdk")</f>
        <v>https://drive.google.com/file/d/1W-M2jVUjwVCU5aZhNhkR0buOAQY-PTA7/view?usp=drivesdk</v>
      </c>
      <c r="D4109" s="12"/>
      <c r="E4109" s="11">
        <v>4147.0</v>
      </c>
      <c r="F4109" s="2"/>
    </row>
    <row r="4110" ht="1.5" customHeight="1">
      <c r="A4110" s="4" t="str">
        <f>IFERROR(__xludf.DUMMYFUNCTION("""COMPUTED_VALUE"""),"0. NotACat")</f>
        <v>0. NotACat</v>
      </c>
      <c r="B4110" s="4" t="str">
        <f>IFERROR(__xludf.DUMMYFUNCTION("""COMPUTED_VALUE"""),"0")</f>
        <v>0</v>
      </c>
      <c r="C4110" s="5" t="str">
        <f>IFERROR(__xludf.DUMMYFUNCTION("""COMPUTED_VALUE"""),"https://drive.google.com/file/d/1N38gyJC1rmXxey6EdsWk-w7Cf5vjIaW9/view?usp=drivesdk")</f>
        <v>https://drive.google.com/file/d/1N38gyJC1rmXxey6EdsWk-w7Cf5vjIaW9/view?usp=drivesdk</v>
      </c>
      <c r="D4110" s="12"/>
      <c r="E4110" s="11">
        <v>4148.0</v>
      </c>
      <c r="F4110" s="2"/>
    </row>
    <row r="4111" ht="1.5" customHeight="1">
      <c r="A4111" s="4" t="str">
        <f>IFERROR(__xludf.DUMMYFUNCTION("""COMPUTED_VALUE"""),"0. NotACat")</f>
        <v>0. NotACat</v>
      </c>
      <c r="B4111" s="4" t="str">
        <f>IFERROR(__xludf.DUMMYFUNCTION("""COMPUTED_VALUE"""),"0")</f>
        <v>0</v>
      </c>
      <c r="C4111" s="5" t="str">
        <f>IFERROR(__xludf.DUMMYFUNCTION("""COMPUTED_VALUE"""),"https://drive.google.com/file/d/1-Q74RBA2Z0fJiPzMuB9qp1VwxaTCCFoI/view?usp=drivesdk")</f>
        <v>https://drive.google.com/file/d/1-Q74RBA2Z0fJiPzMuB9qp1VwxaTCCFoI/view?usp=drivesdk</v>
      </c>
      <c r="D4111" s="12"/>
      <c r="E4111" s="11">
        <v>4149.0</v>
      </c>
      <c r="F4111" s="2"/>
    </row>
    <row r="4112" ht="1.5" customHeight="1">
      <c r="A4112" s="4" t="str">
        <f>IFERROR(__xludf.DUMMYFUNCTION("""COMPUTED_VALUE"""),"1. Microwave")</f>
        <v>1. Microwave</v>
      </c>
      <c r="B4112" s="4" t="str">
        <f>IFERROR(__xludf.DUMMYFUNCTION("""COMPUTED_VALUE"""),"1")</f>
        <v>1</v>
      </c>
      <c r="C4112" s="5" t="str">
        <f>IFERROR(__xludf.DUMMYFUNCTION("""COMPUTED_VALUE"""),"https://drive.google.com/file/d/1gm8eDwkWeLAFT0wh9qvJ84HI6x_VYrvM/view?usp=drivesdk")</f>
        <v>https://drive.google.com/file/d/1gm8eDwkWeLAFT0wh9qvJ84HI6x_VYrvM/view?usp=drivesdk</v>
      </c>
      <c r="D4112" s="12"/>
      <c r="E4112" s="11">
        <v>4150.0</v>
      </c>
      <c r="F4112" s="2"/>
    </row>
    <row r="4113" ht="1.5" customHeight="1">
      <c r="A4113" s="4" t="str">
        <f>IFERROR(__xludf.DUMMYFUNCTION("""COMPUTED_VALUE"""),"1. Microwave")</f>
        <v>1. Microwave</v>
      </c>
      <c r="B4113" s="4" t="str">
        <f>IFERROR(__xludf.DUMMYFUNCTION("""COMPUTED_VALUE"""),"1")</f>
        <v>1</v>
      </c>
      <c r="C4113" s="5" t="str">
        <f>IFERROR(__xludf.DUMMYFUNCTION("""COMPUTED_VALUE"""),"https://drive.google.com/file/d/1k9SLyFOOwhBDpvwEmaIf509Q4sgTeNwV/view?usp=drivesdk")</f>
        <v>https://drive.google.com/file/d/1k9SLyFOOwhBDpvwEmaIf509Q4sgTeNwV/view?usp=drivesdk</v>
      </c>
      <c r="D4113" s="12"/>
      <c r="E4113" s="11">
        <v>4151.0</v>
      </c>
      <c r="F4113" s="2"/>
    </row>
    <row r="4114" ht="1.5" customHeight="1">
      <c r="A4114" s="4" t="str">
        <f>IFERROR(__xludf.DUMMYFUNCTION("""COMPUTED_VALUE"""),"1. Microwave")</f>
        <v>1. Microwave</v>
      </c>
      <c r="B4114" s="4" t="str">
        <f>IFERROR(__xludf.DUMMYFUNCTION("""COMPUTED_VALUE"""),"1")</f>
        <v>1</v>
      </c>
      <c r="C4114" s="5" t="str">
        <f>IFERROR(__xludf.DUMMYFUNCTION("""COMPUTED_VALUE"""),"https://drive.google.com/file/d/1MS2AhYwV1Tu5ApMBmzT_fmk0bmvp1sov/view?usp=drivesdk")</f>
        <v>https://drive.google.com/file/d/1MS2AhYwV1Tu5ApMBmzT_fmk0bmvp1sov/view?usp=drivesdk</v>
      </c>
      <c r="D4114" s="12"/>
      <c r="E4114" s="11">
        <v>4152.0</v>
      </c>
      <c r="F4114" s="2"/>
    </row>
    <row r="4115" ht="1.5" customHeight="1">
      <c r="A4115" s="4" t="str">
        <f>IFERROR(__xludf.DUMMYFUNCTION("""COMPUTED_VALUE"""),"1. Microwave")</f>
        <v>1. Microwave</v>
      </c>
      <c r="B4115" s="4" t="str">
        <f>IFERROR(__xludf.DUMMYFUNCTION("""COMPUTED_VALUE"""),"1")</f>
        <v>1</v>
      </c>
      <c r="C4115" s="5" t="str">
        <f>IFERROR(__xludf.DUMMYFUNCTION("""COMPUTED_VALUE"""),"https://drive.google.com/file/d/1Bu5tO9hgoMBnlyVYh5ODL6MFhG0BXXj9/view?usp=drivesdk")</f>
        <v>https://drive.google.com/file/d/1Bu5tO9hgoMBnlyVYh5ODL6MFhG0BXXj9/view?usp=drivesdk</v>
      </c>
      <c r="D4115" s="12"/>
      <c r="E4115" s="11">
        <v>4153.0</v>
      </c>
      <c r="F4115" s="2"/>
    </row>
    <row r="4116" ht="1.5" customHeight="1">
      <c r="A4116" s="4" t="str">
        <f>IFERROR(__xludf.DUMMYFUNCTION("""COMPUTED_VALUE"""),"1. Microwave")</f>
        <v>1. Microwave</v>
      </c>
      <c r="B4116" s="4" t="str">
        <f>IFERROR(__xludf.DUMMYFUNCTION("""COMPUTED_VALUE"""),"1")</f>
        <v>1</v>
      </c>
      <c r="C4116" s="5" t="str">
        <f>IFERROR(__xludf.DUMMYFUNCTION("""COMPUTED_VALUE"""),"https://drive.google.com/file/d/1y5n-mDTHaK8FKwJN39srOoOtiDdJymYl/view?usp=drivesdk")</f>
        <v>https://drive.google.com/file/d/1y5n-mDTHaK8FKwJN39srOoOtiDdJymYl/view?usp=drivesdk</v>
      </c>
      <c r="D4116" s="12"/>
      <c r="E4116" s="11">
        <v>4154.0</v>
      </c>
      <c r="F4116" s="2"/>
    </row>
    <row r="4117" ht="1.5" customHeight="1">
      <c r="A4117" s="4" t="str">
        <f>IFERROR(__xludf.DUMMYFUNCTION("""COMPUTED_VALUE"""),"1. Microwave")</f>
        <v>1. Microwave</v>
      </c>
      <c r="B4117" s="4" t="str">
        <f>IFERROR(__xludf.DUMMYFUNCTION("""COMPUTED_VALUE"""),"1")</f>
        <v>1</v>
      </c>
      <c r="C4117" s="5" t="str">
        <f>IFERROR(__xludf.DUMMYFUNCTION("""COMPUTED_VALUE"""),"https://drive.google.com/file/d/1u4O4l6eHei1lPeC2icSR2RbSG91iBYdr/view?usp=drivesdk")</f>
        <v>https://drive.google.com/file/d/1u4O4l6eHei1lPeC2icSR2RbSG91iBYdr/view?usp=drivesdk</v>
      </c>
      <c r="D4117" s="12"/>
      <c r="E4117" s="11">
        <v>4155.0</v>
      </c>
      <c r="F4117" s="2"/>
    </row>
    <row r="4118" ht="1.5" customHeight="1">
      <c r="A4118" s="4" t="str">
        <f>IFERROR(__xludf.DUMMYFUNCTION("""COMPUTED_VALUE"""),"30. Pepper, 29. Ginger, 27. Angel")</f>
        <v>30. Pepper, 29. Ginger, 27. Angel</v>
      </c>
      <c r="B4118" s="4" t="str">
        <f>IFERROR(__xludf.DUMMYFUNCTION("""COMPUTED_VALUE"""),"30, 29, 27")</f>
        <v>30, 29, 27</v>
      </c>
      <c r="C4118" s="5" t="str">
        <f>IFERROR(__xludf.DUMMYFUNCTION("""COMPUTED_VALUE"""),"https://drive.google.com/file/d/1-vnclv_PWJz55YdsZcNgqaXaRWZdvPqq/view?usp=drivesdk")</f>
        <v>https://drive.google.com/file/d/1-vnclv_PWJz55YdsZcNgqaXaRWZdvPqq/view?usp=drivesdk</v>
      </c>
      <c r="D4118" s="12"/>
      <c r="E4118" s="11">
        <v>4156.0</v>
      </c>
      <c r="F4118" s="2"/>
    </row>
    <row r="4119" ht="1.5" customHeight="1">
      <c r="A4119" s="4" t="str">
        <f>IFERROR(__xludf.DUMMYFUNCTION("""COMPUTED_VALUE"""),"27. Angel, 30. Pepper")</f>
        <v>27. Angel, 30. Pepper</v>
      </c>
      <c r="B4119" s="4" t="str">
        <f>IFERROR(__xludf.DUMMYFUNCTION("""COMPUTED_VALUE"""),"27, 30")</f>
        <v>27, 30</v>
      </c>
      <c r="C4119" s="5" t="str">
        <f>IFERROR(__xludf.DUMMYFUNCTION("""COMPUTED_VALUE"""),"https://drive.google.com/file/d/1xuoUXAU6TCkR1a3hiFYIWkMuVohviiKJ/view?usp=drivesdk")</f>
        <v>https://drive.google.com/file/d/1xuoUXAU6TCkR1a3hiFYIWkMuVohviiKJ/view?usp=drivesdk</v>
      </c>
      <c r="D4119" s="12"/>
      <c r="E4119" s="11">
        <v>4157.0</v>
      </c>
      <c r="F4119" s="2"/>
    </row>
    <row r="4120" ht="1.5" customHeight="1">
      <c r="A4120" s="4" t="str">
        <f>IFERROR(__xludf.DUMMYFUNCTION("""COMPUTED_VALUE"""),"33. Zee, 32. Noir")</f>
        <v>33. Zee, 32. Noir</v>
      </c>
      <c r="B4120" s="4" t="str">
        <f>IFERROR(__xludf.DUMMYFUNCTION("""COMPUTED_VALUE"""),"33, 32")</f>
        <v>33, 32</v>
      </c>
      <c r="C4120" s="5" t="str">
        <f>IFERROR(__xludf.DUMMYFUNCTION("""COMPUTED_VALUE"""),"https://drive.google.com/file/d/1h5k1FfV2zPecn2m_9pZNUB6liivN5yq7/view?usp=drivesdk")</f>
        <v>https://drive.google.com/file/d/1h5k1FfV2zPecn2m_9pZNUB6liivN5yq7/view?usp=drivesdk</v>
      </c>
      <c r="D4120" s="12"/>
      <c r="E4120" s="11">
        <v>4158.0</v>
      </c>
      <c r="F4120" s="2"/>
    </row>
    <row r="4121" ht="1.5" customHeight="1">
      <c r="A4121" s="4" t="str">
        <f>IFERROR(__xludf.DUMMYFUNCTION("""COMPUTED_VALUE"""),"32. Noir, 33. Zee")</f>
        <v>32. Noir, 33. Zee</v>
      </c>
      <c r="B4121" s="4" t="str">
        <f>IFERROR(__xludf.DUMMYFUNCTION("""COMPUTED_VALUE"""),"32, 33")</f>
        <v>32, 33</v>
      </c>
      <c r="C4121" s="5" t="str">
        <f>IFERROR(__xludf.DUMMYFUNCTION("""COMPUTED_VALUE"""),"https://drive.google.com/file/d/1GeJe02bd2PfIFXSg5tN1reeXnUDqURJt/view?usp=drivesdk")</f>
        <v>https://drive.google.com/file/d/1GeJe02bd2PfIFXSg5tN1reeXnUDqURJt/view?usp=drivesdk</v>
      </c>
      <c r="D4121" s="12"/>
      <c r="E4121" s="11">
        <v>4159.0</v>
      </c>
      <c r="F4121" s="2"/>
    </row>
    <row r="4122" ht="1.5" customHeight="1">
      <c r="A4122" s="4" t="str">
        <f>IFERROR(__xludf.DUMMYFUNCTION("""COMPUTED_VALUE"""),"0. NotACat")</f>
        <v>0. NotACat</v>
      </c>
      <c r="B4122" s="4" t="str">
        <f>IFERROR(__xludf.DUMMYFUNCTION("""COMPUTED_VALUE"""),"0")</f>
        <v>0</v>
      </c>
      <c r="C4122" s="5" t="str">
        <f>IFERROR(__xludf.DUMMYFUNCTION("""COMPUTED_VALUE"""),"https://drive.google.com/file/d/18HwvH14iN66GvsGMB9zcjPqFoKm69O9p/view?usp=drivesdk")</f>
        <v>https://drive.google.com/file/d/18HwvH14iN66GvsGMB9zcjPqFoKm69O9p/view?usp=drivesdk</v>
      </c>
      <c r="D4122" s="12"/>
      <c r="E4122" s="11">
        <v>4160.0</v>
      </c>
      <c r="F4122" s="2"/>
    </row>
    <row r="4123" ht="1.5" customHeight="1">
      <c r="A4123" s="4" t="str">
        <f>IFERROR(__xludf.DUMMYFUNCTION("""COMPUTED_VALUE"""),"0. NotACat")</f>
        <v>0. NotACat</v>
      </c>
      <c r="B4123" s="4" t="str">
        <f>IFERROR(__xludf.DUMMYFUNCTION("""COMPUTED_VALUE"""),"0")</f>
        <v>0</v>
      </c>
      <c r="C4123" s="5" t="str">
        <f>IFERROR(__xludf.DUMMYFUNCTION("""COMPUTED_VALUE"""),"https://drive.google.com/file/d/1MLd8LuErI9wIMdgvaAXPf6D_PTkfJfZS/view?usp=drivesdk")</f>
        <v>https://drive.google.com/file/d/1MLd8LuErI9wIMdgvaAXPf6D_PTkfJfZS/view?usp=drivesdk</v>
      </c>
      <c r="D4123" s="12"/>
      <c r="E4123" s="11">
        <v>4161.0</v>
      </c>
      <c r="F4123" s="2"/>
    </row>
    <row r="4124" ht="1.5" customHeight="1">
      <c r="A4124" s="4" t="str">
        <f>IFERROR(__xludf.DUMMYFUNCTION("""COMPUTED_VALUE"""),"1. Microwave")</f>
        <v>1. Microwave</v>
      </c>
      <c r="B4124" s="4" t="str">
        <f>IFERROR(__xludf.DUMMYFUNCTION("""COMPUTED_VALUE"""),"1")</f>
        <v>1</v>
      </c>
      <c r="C4124" s="5" t="str">
        <f>IFERROR(__xludf.DUMMYFUNCTION("""COMPUTED_VALUE"""),"https://drive.google.com/file/d/1acKbyQRHjEnRvdP79Get-2B7ssiLMI4u/view?usp=drivesdk")</f>
        <v>https://drive.google.com/file/d/1acKbyQRHjEnRvdP79Get-2B7ssiLMI4u/view?usp=drivesdk</v>
      </c>
      <c r="D4124" s="12"/>
      <c r="E4124" s="11">
        <v>4162.0</v>
      </c>
      <c r="F4124" s="2"/>
    </row>
    <row r="4125" ht="1.5" customHeight="1">
      <c r="A4125" s="4" t="str">
        <f>IFERROR(__xludf.DUMMYFUNCTION("""COMPUTED_VALUE"""),"62. Gorygreg")</f>
        <v>62. Gorygreg</v>
      </c>
      <c r="B4125" s="4" t="str">
        <f>IFERROR(__xludf.DUMMYFUNCTION("""COMPUTED_VALUE"""),"62")</f>
        <v>62</v>
      </c>
      <c r="C4125" s="5" t="str">
        <f>IFERROR(__xludf.DUMMYFUNCTION("""COMPUTED_VALUE"""),"https://drive.google.com/file/d/1MLjSnC91eaWhWOUh6hCnY63SwXrBooq4/view?usp=drivesdk")</f>
        <v>https://drive.google.com/file/d/1MLjSnC91eaWhWOUh6hCnY63SwXrBooq4/view?usp=drivesdk</v>
      </c>
      <c r="D4125" s="12"/>
      <c r="E4125" s="11">
        <v>4163.0</v>
      </c>
      <c r="F4125" s="2"/>
    </row>
    <row r="4126" ht="1.5" customHeight="1">
      <c r="A4126" s="4" t="str">
        <f>IFERROR(__xludf.DUMMYFUNCTION("""COMPUTED_VALUE"""),"58. Eden, 47. Nefarious")</f>
        <v>58. Eden, 47. Nefarious</v>
      </c>
      <c r="B4126" s="4" t="str">
        <f>IFERROR(__xludf.DUMMYFUNCTION("""COMPUTED_VALUE"""),"58, 47")</f>
        <v>58, 47</v>
      </c>
      <c r="C4126" s="5" t="str">
        <f>IFERROR(__xludf.DUMMYFUNCTION("""COMPUTED_VALUE"""),"https://drive.google.com/file/d/1HWuJr0JpZIq0FvCHJI2auYIP0C45MbDz/view?usp=drivesdk")</f>
        <v>https://drive.google.com/file/d/1HWuJr0JpZIq0FvCHJI2auYIP0C45MbDz/view?usp=drivesdk</v>
      </c>
      <c r="D4126" s="12"/>
      <c r="E4126" s="11">
        <v>4164.0</v>
      </c>
      <c r="F4126" s="2"/>
    </row>
    <row r="4127" ht="1.5" customHeight="1">
      <c r="A4127" s="4" t="str">
        <f>IFERROR(__xludf.DUMMYFUNCTION("""COMPUTED_VALUE"""),"46. Princess")</f>
        <v>46. Princess</v>
      </c>
      <c r="B4127" s="4" t="str">
        <f>IFERROR(__xludf.DUMMYFUNCTION("""COMPUTED_VALUE"""),"46")</f>
        <v>46</v>
      </c>
      <c r="C4127" s="5" t="str">
        <f>IFERROR(__xludf.DUMMYFUNCTION("""COMPUTED_VALUE"""),"https://drive.google.com/file/d/1o7vgdcThc0p70Yxlq00-0q55aJuRV9Ka/view?usp=drivesdk")</f>
        <v>https://drive.google.com/file/d/1o7vgdcThc0p70Yxlq00-0q55aJuRV9Ka/view?usp=drivesdk</v>
      </c>
      <c r="D4127" s="12"/>
      <c r="E4127" s="11">
        <v>4165.0</v>
      </c>
      <c r="F4127" s="2"/>
    </row>
    <row r="4128" ht="1.5" customHeight="1">
      <c r="A4128" s="4" t="str">
        <f>IFERROR(__xludf.DUMMYFUNCTION("""COMPUTED_VALUE"""),"1. Microwave")</f>
        <v>1. Microwave</v>
      </c>
      <c r="B4128" s="4" t="str">
        <f>IFERROR(__xludf.DUMMYFUNCTION("""COMPUTED_VALUE"""),"1")</f>
        <v>1</v>
      </c>
      <c r="C4128" s="5" t="str">
        <f>IFERROR(__xludf.DUMMYFUNCTION("""COMPUTED_VALUE"""),"https://drive.google.com/file/d/1gD07tIJGrW-ezHZWDaQqT0jmCnyjaxRi/view?usp=drivesdk")</f>
        <v>https://drive.google.com/file/d/1gD07tIJGrW-ezHZWDaQqT0jmCnyjaxRi/view?usp=drivesdk</v>
      </c>
      <c r="D4128" s="12"/>
      <c r="E4128" s="11">
        <v>4166.0</v>
      </c>
      <c r="F4128" s="2"/>
    </row>
    <row r="4129" ht="1.5" customHeight="1">
      <c r="A4129" s="4" t="str">
        <f>IFERROR(__xludf.DUMMYFUNCTION("""COMPUTED_VALUE"""),"1. Microwave")</f>
        <v>1. Microwave</v>
      </c>
      <c r="B4129" s="4" t="str">
        <f>IFERROR(__xludf.DUMMYFUNCTION("""COMPUTED_VALUE"""),"1")</f>
        <v>1</v>
      </c>
      <c r="C4129" s="5" t="str">
        <f>IFERROR(__xludf.DUMMYFUNCTION("""COMPUTED_VALUE"""),"https://drive.google.com/file/d/1MYOSaljlDXGVk-e7f0OjYH05CFz20c0y/view?usp=drivesdk")</f>
        <v>https://drive.google.com/file/d/1MYOSaljlDXGVk-e7f0OjYH05CFz20c0y/view?usp=drivesdk</v>
      </c>
      <c r="D4129" s="12"/>
      <c r="E4129" s="11">
        <v>4167.0</v>
      </c>
      <c r="F4129" s="2"/>
    </row>
    <row r="4130" ht="1.5" customHeight="1">
      <c r="A4130" s="4" t="str">
        <f>IFERROR(__xludf.DUMMYFUNCTION("""COMPUTED_VALUE"""),"1. Microwave")</f>
        <v>1. Microwave</v>
      </c>
      <c r="B4130" s="4" t="str">
        <f>IFERROR(__xludf.DUMMYFUNCTION("""COMPUTED_VALUE"""),"1")</f>
        <v>1</v>
      </c>
      <c r="C4130" s="5" t="str">
        <f>IFERROR(__xludf.DUMMYFUNCTION("""COMPUTED_VALUE"""),"https://drive.google.com/file/d/1TaaoNyGtGNcu0QBEz9RgVJpaxf3ZSPpS/view?usp=drivesdk")</f>
        <v>https://drive.google.com/file/d/1TaaoNyGtGNcu0QBEz9RgVJpaxf3ZSPpS/view?usp=drivesdk</v>
      </c>
      <c r="D4130" s="12"/>
      <c r="E4130" s="11">
        <v>4168.0</v>
      </c>
      <c r="F4130" s="2"/>
    </row>
    <row r="4131" ht="1.5" customHeight="1">
      <c r="A4131" s="4" t="str">
        <f>IFERROR(__xludf.DUMMYFUNCTION("""COMPUTED_VALUE"""),"1. Microwave")</f>
        <v>1. Microwave</v>
      </c>
      <c r="B4131" s="4" t="str">
        <f>IFERROR(__xludf.DUMMYFUNCTION("""COMPUTED_VALUE"""),"1")</f>
        <v>1</v>
      </c>
      <c r="C4131" s="5" t="str">
        <f>IFERROR(__xludf.DUMMYFUNCTION("""COMPUTED_VALUE"""),"https://drive.google.com/file/d/1onAVcL6DCRFCJviQQS0cPen2fxEZu01V/view?usp=drivesdk")</f>
        <v>https://drive.google.com/file/d/1onAVcL6DCRFCJviQQS0cPen2fxEZu01V/view?usp=drivesdk</v>
      </c>
      <c r="D4131" s="12"/>
      <c r="E4131" s="11">
        <v>4169.0</v>
      </c>
      <c r="F4131" s="2"/>
    </row>
    <row r="4132" ht="1.5" customHeight="1">
      <c r="A4132" s="4" t="str">
        <f>IFERROR(__xludf.DUMMYFUNCTION("""COMPUTED_VALUE"""),"1. Microwave")</f>
        <v>1. Microwave</v>
      </c>
      <c r="B4132" s="4" t="str">
        <f>IFERROR(__xludf.DUMMYFUNCTION("""COMPUTED_VALUE"""),"1")</f>
        <v>1</v>
      </c>
      <c r="C4132" s="5" t="str">
        <f>IFERROR(__xludf.DUMMYFUNCTION("""COMPUTED_VALUE"""),"https://drive.google.com/file/d/1H0ldJB8qsAl8qvnkDmiNDFygBpgUTdWu/view?usp=drivesdk")</f>
        <v>https://drive.google.com/file/d/1H0ldJB8qsAl8qvnkDmiNDFygBpgUTdWu/view?usp=drivesdk</v>
      </c>
      <c r="D4132" s="12"/>
      <c r="E4132" s="11">
        <v>4170.0</v>
      </c>
      <c r="F4132" s="2"/>
    </row>
    <row r="4133" ht="1.5" customHeight="1">
      <c r="A4133" s="4" t="str">
        <f>IFERROR(__xludf.DUMMYFUNCTION("""COMPUTED_VALUE"""),"6. Snickers")</f>
        <v>6. Snickers</v>
      </c>
      <c r="B4133" s="4" t="str">
        <f>IFERROR(__xludf.DUMMYFUNCTION("""COMPUTED_VALUE"""),"6")</f>
        <v>6</v>
      </c>
      <c r="C4133" s="5" t="str">
        <f>IFERROR(__xludf.DUMMYFUNCTION("""COMPUTED_VALUE"""),"https://drive.google.com/file/d/1NqujbMFmIcHx8BxwNCMptkz63hmUExRi/view?usp=drivesdk")</f>
        <v>https://drive.google.com/file/d/1NqujbMFmIcHx8BxwNCMptkz63hmUExRi/view?usp=drivesdk</v>
      </c>
      <c r="D4133" s="12"/>
      <c r="E4133" s="11">
        <v>4171.0</v>
      </c>
      <c r="F4133" s="2"/>
    </row>
    <row r="4134" ht="1.5" customHeight="1">
      <c r="A4134" s="4" t="str">
        <f>IFERROR(__xludf.DUMMYFUNCTION("""COMPUTED_VALUE"""),"6. Snickers")</f>
        <v>6. Snickers</v>
      </c>
      <c r="B4134" s="4" t="str">
        <f>IFERROR(__xludf.DUMMYFUNCTION("""COMPUTED_VALUE"""),"6")</f>
        <v>6</v>
      </c>
      <c r="C4134" s="5" t="str">
        <f>IFERROR(__xludf.DUMMYFUNCTION("""COMPUTED_VALUE"""),"https://drive.google.com/file/d/1DvJVMFPdSgYCQ7dpNX7geLvG6zDI6RIc/view?usp=drivesdk")</f>
        <v>https://drive.google.com/file/d/1DvJVMFPdSgYCQ7dpNX7geLvG6zDI6RIc/view?usp=drivesdk</v>
      </c>
      <c r="D4134" s="12"/>
      <c r="E4134" s="11">
        <v>4172.0</v>
      </c>
      <c r="F4134" s="2"/>
    </row>
    <row r="4135" ht="1.5" customHeight="1">
      <c r="A4135" s="4" t="str">
        <f>IFERROR(__xludf.DUMMYFUNCTION("""COMPUTED_VALUE"""),"4. Eggs, 5. Eraser")</f>
        <v>4. Eggs, 5. Eraser</v>
      </c>
      <c r="B4135" s="4" t="str">
        <f>IFERROR(__xludf.DUMMYFUNCTION("""COMPUTED_VALUE"""),"4, 5")</f>
        <v>4, 5</v>
      </c>
      <c r="C4135" s="5" t="str">
        <f>IFERROR(__xludf.DUMMYFUNCTION("""COMPUTED_VALUE"""),"https://drive.google.com/file/d/15TPcbPwxJellQOFowDLP7ND-dkaMfTzP/view?usp=drivesdk")</f>
        <v>https://drive.google.com/file/d/15TPcbPwxJellQOFowDLP7ND-dkaMfTzP/view?usp=drivesdk</v>
      </c>
      <c r="D4135" s="12"/>
      <c r="E4135" s="11">
        <v>4173.0</v>
      </c>
      <c r="F4135" s="2"/>
    </row>
    <row r="4136" ht="1.5" customHeight="1">
      <c r="A4136" s="4" t="str">
        <f>IFERROR(__xludf.DUMMYFUNCTION("""COMPUTED_VALUE"""),"1. Microwave")</f>
        <v>1. Microwave</v>
      </c>
      <c r="B4136" s="4" t="str">
        <f>IFERROR(__xludf.DUMMYFUNCTION("""COMPUTED_VALUE"""),"1")</f>
        <v>1</v>
      </c>
      <c r="C4136" s="5" t="str">
        <f>IFERROR(__xludf.DUMMYFUNCTION("""COMPUTED_VALUE"""),"https://drive.google.com/file/d/1MtHPcKdPv8yvNX8KfGgRIwKJrb_cEodJ/view?usp=drivesdk")</f>
        <v>https://drive.google.com/file/d/1MtHPcKdPv8yvNX8KfGgRIwKJrb_cEodJ/view?usp=drivesdk</v>
      </c>
      <c r="D4136" s="12"/>
      <c r="E4136" s="11">
        <v>4174.0</v>
      </c>
      <c r="F4136" s="2"/>
    </row>
    <row r="4137" ht="1.5" customHeight="1">
      <c r="A4137" s="4" t="str">
        <f>IFERROR(__xludf.DUMMYFUNCTION("""COMPUTED_VALUE"""),"0. NotACat")</f>
        <v>0. NotACat</v>
      </c>
      <c r="B4137" s="4" t="str">
        <f>IFERROR(__xludf.DUMMYFUNCTION("""COMPUTED_VALUE"""),"0")</f>
        <v>0</v>
      </c>
      <c r="C4137" s="5" t="str">
        <f>IFERROR(__xludf.DUMMYFUNCTION("""COMPUTED_VALUE"""),"https://drive.google.com/file/d/1iodGRNoy--LjfYvlwVRQGhhiZ-UTHET6/view?usp=drivesdk")</f>
        <v>https://drive.google.com/file/d/1iodGRNoy--LjfYvlwVRQGhhiZ-UTHET6/view?usp=drivesdk</v>
      </c>
      <c r="D4137" s="12"/>
      <c r="E4137" s="11">
        <v>4175.0</v>
      </c>
      <c r="F4137" s="2"/>
    </row>
    <row r="4138" ht="1.5" customHeight="1">
      <c r="A4138" s="4" t="str">
        <f>IFERROR(__xludf.DUMMYFUNCTION("""COMPUTED_VALUE"""),"1. Microwave")</f>
        <v>1. Microwave</v>
      </c>
      <c r="B4138" s="4" t="str">
        <f>IFERROR(__xludf.DUMMYFUNCTION("""COMPUTED_VALUE"""),"1")</f>
        <v>1</v>
      </c>
      <c r="C4138" s="5" t="str">
        <f>IFERROR(__xludf.DUMMYFUNCTION("""COMPUTED_VALUE"""),"https://drive.google.com/file/d/1Zmdfv1-F0KBbThE_coGqiBr9qZ-4EH6f/view?usp=drivesdk")</f>
        <v>https://drive.google.com/file/d/1Zmdfv1-F0KBbThE_coGqiBr9qZ-4EH6f/view?usp=drivesdk</v>
      </c>
      <c r="D4138" s="12"/>
      <c r="E4138" s="11">
        <v>4176.0</v>
      </c>
      <c r="F4138" s="2"/>
    </row>
    <row r="4139" ht="1.5" customHeight="1">
      <c r="A4139" s="4" t="str">
        <f>IFERROR(__xludf.DUMMYFUNCTION("""COMPUTED_VALUE"""),"1. Microwave")</f>
        <v>1. Microwave</v>
      </c>
      <c r="B4139" s="4" t="str">
        <f>IFERROR(__xludf.DUMMYFUNCTION("""COMPUTED_VALUE"""),"1")</f>
        <v>1</v>
      </c>
      <c r="C4139" s="5" t="str">
        <f>IFERROR(__xludf.DUMMYFUNCTION("""COMPUTED_VALUE"""),"https://drive.google.com/file/d/1STbpgGpI2_xovZk_BERgcjOKXvjQp2F6/view?usp=drivesdk")</f>
        <v>https://drive.google.com/file/d/1STbpgGpI2_xovZk_BERgcjOKXvjQp2F6/view?usp=drivesdk</v>
      </c>
      <c r="D4139" s="12"/>
      <c r="E4139" s="11">
        <v>4177.0</v>
      </c>
      <c r="F4139" s="2"/>
    </row>
    <row r="4140" ht="1.5" customHeight="1">
      <c r="A4140" s="4" t="str">
        <f>IFERROR(__xludf.DUMMYFUNCTION("""COMPUTED_VALUE"""),"0. NotACat")</f>
        <v>0. NotACat</v>
      </c>
      <c r="B4140" s="4" t="str">
        <f>IFERROR(__xludf.DUMMYFUNCTION("""COMPUTED_VALUE"""),"0")</f>
        <v>0</v>
      </c>
      <c r="C4140" s="5" t="str">
        <f>IFERROR(__xludf.DUMMYFUNCTION("""COMPUTED_VALUE"""),"https://drive.google.com/file/d/1cE3BMpRJeaHbtPO6rKUvREWDAoGRAGr2/view?usp=drivesdk")</f>
        <v>https://drive.google.com/file/d/1cE3BMpRJeaHbtPO6rKUvREWDAoGRAGr2/view?usp=drivesdk</v>
      </c>
      <c r="D4140" s="12"/>
      <c r="E4140" s="11">
        <v>4178.0</v>
      </c>
      <c r="F4140" s="2"/>
    </row>
    <row r="4141" ht="1.5" customHeight="1">
      <c r="A4141" s="4" t="str">
        <f>IFERROR(__xludf.DUMMYFUNCTION("""COMPUTED_VALUE"""),"0. NotACat")</f>
        <v>0. NotACat</v>
      </c>
      <c r="B4141" s="4" t="str">
        <f>IFERROR(__xludf.DUMMYFUNCTION("""COMPUTED_VALUE"""),"0")</f>
        <v>0</v>
      </c>
      <c r="C4141" s="5" t="str">
        <f>IFERROR(__xludf.DUMMYFUNCTION("""COMPUTED_VALUE"""),"https://drive.google.com/file/d/1bLjMWsnND9DOiacLyZNhqIYSzuQMkJGG/view?usp=drivesdk")</f>
        <v>https://drive.google.com/file/d/1bLjMWsnND9DOiacLyZNhqIYSzuQMkJGG/view?usp=drivesdk</v>
      </c>
      <c r="D4141" s="12"/>
      <c r="E4141" s="11">
        <v>4179.0</v>
      </c>
      <c r="F4141" s="2"/>
    </row>
    <row r="4142" ht="1.5" customHeight="1">
      <c r="A4142" s="4" t="str">
        <f>IFERROR(__xludf.DUMMYFUNCTION("""COMPUTED_VALUE"""),"2. Twix")</f>
        <v>2. Twix</v>
      </c>
      <c r="B4142" s="4" t="str">
        <f>IFERROR(__xludf.DUMMYFUNCTION("""COMPUTED_VALUE"""),"2")</f>
        <v>2</v>
      </c>
      <c r="C4142" s="5" t="str">
        <f>IFERROR(__xludf.DUMMYFUNCTION("""COMPUTED_VALUE"""),"https://drive.google.com/file/d/1X1G5aO2BqXebc3CdjYoYRCWv2ZVojTzZ/view?usp=drivesdk")</f>
        <v>https://drive.google.com/file/d/1X1G5aO2BqXebc3CdjYoYRCWv2ZVojTzZ/view?usp=drivesdk</v>
      </c>
      <c r="D4142" s="12"/>
      <c r="E4142" s="11">
        <v>4180.0</v>
      </c>
      <c r="F4142" s="2"/>
    </row>
    <row r="4143" ht="1.5" customHeight="1">
      <c r="A4143" s="4" t="str">
        <f>IFERROR(__xludf.DUMMYFUNCTION("""COMPUTED_VALUE"""),"33. Zee")</f>
        <v>33. Zee</v>
      </c>
      <c r="B4143" s="4" t="str">
        <f>IFERROR(__xludf.DUMMYFUNCTION("""COMPUTED_VALUE"""),"33")</f>
        <v>33</v>
      </c>
      <c r="C4143" s="5" t="str">
        <f>IFERROR(__xludf.DUMMYFUNCTION("""COMPUTED_VALUE"""),"https://drive.google.com/file/d/1kL9mhxOyjOUv2T-jStuoZs69MPV6dBod/view?usp=drivesdk")</f>
        <v>https://drive.google.com/file/d/1kL9mhxOyjOUv2T-jStuoZs69MPV6dBod/view?usp=drivesdk</v>
      </c>
      <c r="D4143" s="12"/>
      <c r="E4143" s="11">
        <v>4181.0</v>
      </c>
      <c r="F4143" s="2"/>
    </row>
    <row r="4144" ht="1.5" customHeight="1">
      <c r="A4144" s="4" t="str">
        <f>IFERROR(__xludf.DUMMYFUNCTION("""COMPUTED_VALUE"""),"1. Microwave")</f>
        <v>1. Microwave</v>
      </c>
      <c r="B4144" s="4" t="str">
        <f>IFERROR(__xludf.DUMMYFUNCTION("""COMPUTED_VALUE"""),"1")</f>
        <v>1</v>
      </c>
      <c r="C4144" s="5" t="str">
        <f>IFERROR(__xludf.DUMMYFUNCTION("""COMPUTED_VALUE"""),"https://drive.google.com/file/d/1RocG51oEyqOahER1lUksUFZ7F-RZptqs/view?usp=drivesdk")</f>
        <v>https://drive.google.com/file/d/1RocG51oEyqOahER1lUksUFZ7F-RZptqs/view?usp=drivesdk</v>
      </c>
      <c r="D4144" s="12"/>
      <c r="E4144" s="11">
        <v>4182.0</v>
      </c>
      <c r="F4144" s="2"/>
    </row>
    <row r="4145" ht="1.5" customHeight="1">
      <c r="A4145" s="4" t="str">
        <f>IFERROR(__xludf.DUMMYFUNCTION("""COMPUTED_VALUE"""),"0. NotACat")</f>
        <v>0. NotACat</v>
      </c>
      <c r="B4145" s="4" t="str">
        <f>IFERROR(__xludf.DUMMYFUNCTION("""COMPUTED_VALUE"""),"0")</f>
        <v>0</v>
      </c>
      <c r="C4145" s="5" t="str">
        <f>IFERROR(__xludf.DUMMYFUNCTION("""COMPUTED_VALUE"""),"https://drive.google.com/file/d/12ZB-OOVADK61nrR5UDtd41b5lLJO0fXZ/view?usp=drivesdk")</f>
        <v>https://drive.google.com/file/d/12ZB-OOVADK61nrR5UDtd41b5lLJO0fXZ/view?usp=drivesdk</v>
      </c>
      <c r="D4145" s="12"/>
      <c r="E4145" s="11">
        <v>4183.0</v>
      </c>
      <c r="F4145" s="2"/>
    </row>
    <row r="4146" ht="1.5" customHeight="1">
      <c r="A4146" s="4" t="str">
        <f>IFERROR(__xludf.DUMMYFUNCTION("""COMPUTED_VALUE"""),"1. Microwave")</f>
        <v>1. Microwave</v>
      </c>
      <c r="B4146" s="4" t="str">
        <f>IFERROR(__xludf.DUMMYFUNCTION("""COMPUTED_VALUE"""),"1")</f>
        <v>1</v>
      </c>
      <c r="C4146" s="5" t="str">
        <f>IFERROR(__xludf.DUMMYFUNCTION("""COMPUTED_VALUE"""),"https://drive.google.com/file/d/10Fxi1h2iUoUI-Y4AZlLlc7x2NeNB160K/view?usp=drivesdk")</f>
        <v>https://drive.google.com/file/d/10Fxi1h2iUoUI-Y4AZlLlc7x2NeNB160K/view?usp=drivesdk</v>
      </c>
      <c r="D4146" s="12"/>
      <c r="E4146" s="11">
        <v>4184.0</v>
      </c>
      <c r="F4146" s="2"/>
    </row>
    <row r="4147" ht="1.5" customHeight="1">
      <c r="A4147" s="4" t="str">
        <f>IFERROR(__xludf.DUMMYFUNCTION("""COMPUTED_VALUE"""),"2. Twix")</f>
        <v>2. Twix</v>
      </c>
      <c r="B4147" s="4" t="str">
        <f>IFERROR(__xludf.DUMMYFUNCTION("""COMPUTED_VALUE"""),"2")</f>
        <v>2</v>
      </c>
      <c r="C4147" s="5" t="str">
        <f>IFERROR(__xludf.DUMMYFUNCTION("""COMPUTED_VALUE"""),"https://drive.google.com/file/d/1eGGshUMbSlTLP5ROuHLIX3zVB3e4W6al/view?usp=drivesdk")</f>
        <v>https://drive.google.com/file/d/1eGGshUMbSlTLP5ROuHLIX3zVB3e4W6al/view?usp=drivesdk</v>
      </c>
      <c r="D4147" s="12"/>
      <c r="E4147" s="11">
        <v>4185.0</v>
      </c>
      <c r="F4147" s="2"/>
    </row>
    <row r="4148" ht="1.5" customHeight="1">
      <c r="A4148" s="4" t="str">
        <f>IFERROR(__xludf.DUMMYFUNCTION("""COMPUTED_VALUE"""),"0. NotACat")</f>
        <v>0. NotACat</v>
      </c>
      <c r="B4148" s="4" t="str">
        <f>IFERROR(__xludf.DUMMYFUNCTION("""COMPUTED_VALUE"""),"0")</f>
        <v>0</v>
      </c>
      <c r="C4148" s="5" t="str">
        <f>IFERROR(__xludf.DUMMYFUNCTION("""COMPUTED_VALUE"""),"https://drive.google.com/file/d/1rPD3zlvU2xnJzrPMqlLbwqeZ1GT-V7lb/view?usp=drivesdk")</f>
        <v>https://drive.google.com/file/d/1rPD3zlvU2xnJzrPMqlLbwqeZ1GT-V7lb/view?usp=drivesdk</v>
      </c>
      <c r="D4148" s="12"/>
      <c r="E4148" s="11">
        <v>4186.0</v>
      </c>
      <c r="F4148" s="2"/>
    </row>
    <row r="4149" ht="1.5" customHeight="1">
      <c r="A4149" s="4" t="str">
        <f>IFERROR(__xludf.DUMMYFUNCTION("""COMPUTED_VALUE"""),"47. Nefarious")</f>
        <v>47. Nefarious</v>
      </c>
      <c r="B4149" s="4" t="str">
        <f>IFERROR(__xludf.DUMMYFUNCTION("""COMPUTED_VALUE"""),"47")</f>
        <v>47</v>
      </c>
      <c r="C4149" s="5" t="str">
        <f>IFERROR(__xludf.DUMMYFUNCTION("""COMPUTED_VALUE"""),"https://drive.google.com/file/d/1gPwBivPdUQU8CxZ5J7yYCvzcoO0sFyEe/view?usp=drivesdk")</f>
        <v>https://drive.google.com/file/d/1gPwBivPdUQU8CxZ5J7yYCvzcoO0sFyEe/view?usp=drivesdk</v>
      </c>
      <c r="D4149" s="12"/>
      <c r="E4149" s="11">
        <v>4187.0</v>
      </c>
      <c r="F4149" s="2"/>
    </row>
    <row r="4150" ht="1.5" customHeight="1">
      <c r="A4150" s="4" t="str">
        <f>IFERROR(__xludf.DUMMYFUNCTION("""COMPUTED_VALUE"""),"0. NotACat")</f>
        <v>0. NotACat</v>
      </c>
      <c r="B4150" s="4" t="str">
        <f>IFERROR(__xludf.DUMMYFUNCTION("""COMPUTED_VALUE"""),"0")</f>
        <v>0</v>
      </c>
      <c r="C4150" s="5" t="str">
        <f>IFERROR(__xludf.DUMMYFUNCTION("""COMPUTED_VALUE"""),"https://drive.google.com/file/d/1dkzit2IEBwEjwTU5t8CbarlYuvpUG3Xh/view?usp=drivesdk")</f>
        <v>https://drive.google.com/file/d/1dkzit2IEBwEjwTU5t8CbarlYuvpUG3Xh/view?usp=drivesdk</v>
      </c>
      <c r="D4150" s="12"/>
      <c r="E4150" s="11">
        <v>4188.0</v>
      </c>
      <c r="F4150" s="2"/>
    </row>
    <row r="4151" ht="1.5" customHeight="1">
      <c r="A4151" s="4" t="str">
        <f>IFERROR(__xludf.DUMMYFUNCTION("""COMPUTED_VALUE"""),"0. NotACat")</f>
        <v>0. NotACat</v>
      </c>
      <c r="B4151" s="4" t="str">
        <f>IFERROR(__xludf.DUMMYFUNCTION("""COMPUTED_VALUE"""),"0")</f>
        <v>0</v>
      </c>
      <c r="C4151" s="5" t="str">
        <f>IFERROR(__xludf.DUMMYFUNCTION("""COMPUTED_VALUE"""),"https://drive.google.com/file/d/1PJEzeUXcrZLtOX1LqDz9CZJ1apWr1Der/view?usp=drivesdk")</f>
        <v>https://drive.google.com/file/d/1PJEzeUXcrZLtOX1LqDz9CZJ1apWr1Der/view?usp=drivesdk</v>
      </c>
      <c r="D4151" s="12"/>
      <c r="E4151" s="11">
        <v>4189.0</v>
      </c>
      <c r="F4151" s="2"/>
    </row>
    <row r="4152" ht="1.5" customHeight="1">
      <c r="A4152" s="4" t="str">
        <f>IFERROR(__xludf.DUMMYFUNCTION("""COMPUTED_VALUE"""),"1. Microwave")</f>
        <v>1. Microwave</v>
      </c>
      <c r="B4152" s="4" t="str">
        <f>IFERROR(__xludf.DUMMYFUNCTION("""COMPUTED_VALUE"""),"1")</f>
        <v>1</v>
      </c>
      <c r="C4152" s="5" t="str">
        <f>IFERROR(__xludf.DUMMYFUNCTION("""COMPUTED_VALUE"""),"https://drive.google.com/file/d/1Fh_EPbyD_fMyHgdbOe-fNvcGe3hoNNy4/view?usp=drivesdk")</f>
        <v>https://drive.google.com/file/d/1Fh_EPbyD_fMyHgdbOe-fNvcGe3hoNNy4/view?usp=drivesdk</v>
      </c>
      <c r="D4152" s="12"/>
      <c r="E4152" s="11">
        <v>4190.0</v>
      </c>
      <c r="F4152" s="2"/>
    </row>
    <row r="4153" ht="1.5" customHeight="1">
      <c r="A4153" s="4" t="str">
        <f>IFERROR(__xludf.DUMMYFUNCTION("""COMPUTED_VALUE"""),"0. NotACat")</f>
        <v>0. NotACat</v>
      </c>
      <c r="B4153" s="4" t="str">
        <f>IFERROR(__xludf.DUMMYFUNCTION("""COMPUTED_VALUE"""),"0")</f>
        <v>0</v>
      </c>
      <c r="C4153" s="5" t="str">
        <f>IFERROR(__xludf.DUMMYFUNCTION("""COMPUTED_VALUE"""),"https://drive.google.com/file/d/1xA2NKDhrHYWQIRBBXtjX2G-nKEg0-ts-/view?usp=drivesdk")</f>
        <v>https://drive.google.com/file/d/1xA2NKDhrHYWQIRBBXtjX2G-nKEg0-ts-/view?usp=drivesdk</v>
      </c>
      <c r="D4153" s="12"/>
      <c r="E4153" s="11">
        <v>4191.0</v>
      </c>
      <c r="F4153" s="2"/>
    </row>
    <row r="4154" ht="1.5" customHeight="1">
      <c r="A4154" s="4" t="str">
        <f>IFERROR(__xludf.DUMMYFUNCTION("""COMPUTED_VALUE"""),"1. Microwave")</f>
        <v>1. Microwave</v>
      </c>
      <c r="B4154" s="4" t="str">
        <f>IFERROR(__xludf.DUMMYFUNCTION("""COMPUTED_VALUE"""),"1")</f>
        <v>1</v>
      </c>
      <c r="C4154" s="5" t="str">
        <f>IFERROR(__xludf.DUMMYFUNCTION("""COMPUTED_VALUE"""),"https://drive.google.com/file/d/1IkBNFS78kDRMpNWjFr2ZBpKMnCf-7KHz/view?usp=drivesdk")</f>
        <v>https://drive.google.com/file/d/1IkBNFS78kDRMpNWjFr2ZBpKMnCf-7KHz/view?usp=drivesdk</v>
      </c>
      <c r="D4154" s="12"/>
      <c r="E4154" s="11">
        <v>4192.0</v>
      </c>
      <c r="F4154" s="2"/>
    </row>
    <row r="4155" ht="1.5" customHeight="1">
      <c r="A4155" s="4" t="str">
        <f>IFERROR(__xludf.DUMMYFUNCTION("""COMPUTED_VALUE"""),"0. NotACat")</f>
        <v>0. NotACat</v>
      </c>
      <c r="B4155" s="4" t="str">
        <f>IFERROR(__xludf.DUMMYFUNCTION("""COMPUTED_VALUE"""),"0")</f>
        <v>0</v>
      </c>
      <c r="C4155" s="5" t="str">
        <f>IFERROR(__xludf.DUMMYFUNCTION("""COMPUTED_VALUE"""),"https://drive.google.com/file/d/1E8xe_sz-RTK9GwpyiYzy1WzxmUO0k8AJ/view?usp=drivesdk")</f>
        <v>https://drive.google.com/file/d/1E8xe_sz-RTK9GwpyiYzy1WzxmUO0k8AJ/view?usp=drivesdk</v>
      </c>
      <c r="D4155" s="12"/>
      <c r="E4155" s="11">
        <v>4193.0</v>
      </c>
      <c r="F4155" s="2"/>
    </row>
    <row r="4156" ht="1.5" customHeight="1">
      <c r="A4156" s="4" t="str">
        <f>IFERROR(__xludf.DUMMYFUNCTION("""COMPUTED_VALUE"""),"0. NotACat")</f>
        <v>0. NotACat</v>
      </c>
      <c r="B4156" s="4" t="str">
        <f>IFERROR(__xludf.DUMMYFUNCTION("""COMPUTED_VALUE"""),"0")</f>
        <v>0</v>
      </c>
      <c r="C4156" s="5" t="str">
        <f>IFERROR(__xludf.DUMMYFUNCTION("""COMPUTED_VALUE"""),"https://drive.google.com/file/d/1oCSPXrqEzEiImGjMIrMDz_MAgZtrE_MX/view?usp=drivesdk")</f>
        <v>https://drive.google.com/file/d/1oCSPXrqEzEiImGjMIrMDz_MAgZtrE_MX/view?usp=drivesdk</v>
      </c>
      <c r="D4156" s="12"/>
      <c r="E4156" s="11">
        <v>4194.0</v>
      </c>
      <c r="F4156" s="2"/>
    </row>
    <row r="4157" ht="1.5" customHeight="1">
      <c r="A4157" s="4" t="str">
        <f>IFERROR(__xludf.DUMMYFUNCTION("""COMPUTED_VALUE"""),"47. Nefarious")</f>
        <v>47. Nefarious</v>
      </c>
      <c r="B4157" s="4" t="str">
        <f>IFERROR(__xludf.DUMMYFUNCTION("""COMPUTED_VALUE"""),"47")</f>
        <v>47</v>
      </c>
      <c r="C4157" s="5" t="str">
        <f>IFERROR(__xludf.DUMMYFUNCTION("""COMPUTED_VALUE"""),"https://drive.google.com/file/d/1s0j0cxX7FZqvbhZJj1ONe6r1FLMQj0oN/view?usp=drivesdk")</f>
        <v>https://drive.google.com/file/d/1s0j0cxX7FZqvbhZJj1ONe6r1FLMQj0oN/view?usp=drivesdk</v>
      </c>
      <c r="D4157" s="12"/>
      <c r="E4157" s="11">
        <v>4195.0</v>
      </c>
      <c r="F4157" s="2"/>
    </row>
    <row r="4158" ht="1.5" customHeight="1">
      <c r="A4158" s="4" t="str">
        <f>IFERROR(__xludf.DUMMYFUNCTION("""COMPUTED_VALUE"""),"47. Nefarious, 41. Gregory, 58. Eden, 39. Radar, 42. Rubber")</f>
        <v>47. Nefarious, 41. Gregory, 58. Eden, 39. Radar, 42. Rubber</v>
      </c>
      <c r="B4158" s="4" t="str">
        <f>IFERROR(__xludf.DUMMYFUNCTION("""COMPUTED_VALUE"""),"47, 41, 58, 39, 42")</f>
        <v>47, 41, 58, 39, 42</v>
      </c>
      <c r="C4158" s="5" t="str">
        <f>IFERROR(__xludf.DUMMYFUNCTION("""COMPUTED_VALUE"""),"https://drive.google.com/file/d/1e0_7WIMvO1fCv8R7mvD5AZh7GyGduMB0/view?usp=drivesdk")</f>
        <v>https://drive.google.com/file/d/1e0_7WIMvO1fCv8R7mvD5AZh7GyGduMB0/view?usp=drivesdk</v>
      </c>
      <c r="D4158" s="12"/>
      <c r="E4158" s="11">
        <v>4196.0</v>
      </c>
      <c r="F4158" s="2"/>
    </row>
    <row r="4159" ht="1.5" customHeight="1">
      <c r="A4159" s="4" t="str">
        <f>IFERROR(__xludf.DUMMYFUNCTION("""COMPUTED_VALUE"""),"0. NotACat")</f>
        <v>0. NotACat</v>
      </c>
      <c r="B4159" s="4" t="str">
        <f>IFERROR(__xludf.DUMMYFUNCTION("""COMPUTED_VALUE"""),"0")</f>
        <v>0</v>
      </c>
      <c r="C4159" s="5" t="str">
        <f>IFERROR(__xludf.DUMMYFUNCTION("""COMPUTED_VALUE"""),"https://drive.google.com/file/d/1wuQZ4qnjAxJtVdQfVIEYkfrNCvvL6FZO/view?usp=drivesdk")</f>
        <v>https://drive.google.com/file/d/1wuQZ4qnjAxJtVdQfVIEYkfrNCvvL6FZO/view?usp=drivesdk</v>
      </c>
      <c r="D4159" s="12"/>
      <c r="E4159" s="11">
        <v>4197.0</v>
      </c>
      <c r="F4159" s="2"/>
    </row>
    <row r="4160" ht="1.5" customHeight="1">
      <c r="A4160" s="4" t="str">
        <f>IFERROR(__xludf.DUMMYFUNCTION("""COMPUTED_VALUE"""),"0. NotACat")</f>
        <v>0. NotACat</v>
      </c>
      <c r="B4160" s="4" t="str">
        <f>IFERROR(__xludf.DUMMYFUNCTION("""COMPUTED_VALUE"""),"0")</f>
        <v>0</v>
      </c>
      <c r="C4160" s="5" t="str">
        <f>IFERROR(__xludf.DUMMYFUNCTION("""COMPUTED_VALUE"""),"https://drive.google.com/file/d/1f7h1B4vGSD0LlOdxBOHzmuuAGkT7vsPb/view?usp=drivesdk")</f>
        <v>https://drive.google.com/file/d/1f7h1B4vGSD0LlOdxBOHzmuuAGkT7vsPb/view?usp=drivesdk</v>
      </c>
      <c r="D4160" s="12"/>
      <c r="E4160" s="11">
        <v>4198.0</v>
      </c>
      <c r="F4160" s="2"/>
    </row>
    <row r="4161" ht="1.5" customHeight="1">
      <c r="A4161" s="4" t="str">
        <f>IFERROR(__xludf.DUMMYFUNCTION("""COMPUTED_VALUE"""),"47. Nefarious, 42. Rubber, 39. Radar, 41. Gregory, 58. Eden")</f>
        <v>47. Nefarious, 42. Rubber, 39. Radar, 41. Gregory, 58. Eden</v>
      </c>
      <c r="B4161" s="4" t="str">
        <f>IFERROR(__xludf.DUMMYFUNCTION("""COMPUTED_VALUE"""),"47, 42, 39, 41, 58")</f>
        <v>47, 42, 39, 41, 58</v>
      </c>
      <c r="C4161" s="5" t="str">
        <f>IFERROR(__xludf.DUMMYFUNCTION("""COMPUTED_VALUE"""),"https://drive.google.com/file/d/1YbAVTvWSRaWvhG4qkYpGkODpY31_Z9Ge/view?usp=drivesdk")</f>
        <v>https://drive.google.com/file/d/1YbAVTvWSRaWvhG4qkYpGkODpY31_Z9Ge/view?usp=drivesdk</v>
      </c>
      <c r="D4161" s="12"/>
      <c r="E4161" s="11">
        <v>4199.0</v>
      </c>
      <c r="F4161" s="2"/>
    </row>
    <row r="4162" ht="1.5" customHeight="1">
      <c r="A4162" s="4" t="str">
        <f>IFERROR(__xludf.DUMMYFUNCTION("""COMPUTED_VALUE"""),"0. NotACat")</f>
        <v>0. NotACat</v>
      </c>
      <c r="B4162" s="4" t="str">
        <f>IFERROR(__xludf.DUMMYFUNCTION("""COMPUTED_VALUE"""),"0")</f>
        <v>0</v>
      </c>
      <c r="C4162" s="5" t="str">
        <f>IFERROR(__xludf.DUMMYFUNCTION("""COMPUTED_VALUE"""),"https://drive.google.com/file/d/1By1VpyMa5E7XdSuP2nAe44mvk25MviKk/view?usp=drivesdk")</f>
        <v>https://drive.google.com/file/d/1By1VpyMa5E7XdSuP2nAe44mvk25MviKk/view?usp=drivesdk</v>
      </c>
      <c r="D4162" s="12"/>
      <c r="E4162" s="11">
        <v>4200.0</v>
      </c>
      <c r="F4162" s="2"/>
    </row>
    <row r="4163" ht="1.5" customHeight="1">
      <c r="A4163" s="4" t="str">
        <f>IFERROR(__xludf.DUMMYFUNCTION("""COMPUTED_VALUE"""),"47. Nefarious, 39. Radar, 58. Eden, 42. Rubber, 41. Gregory")</f>
        <v>47. Nefarious, 39. Radar, 58. Eden, 42. Rubber, 41. Gregory</v>
      </c>
      <c r="B4163" s="4" t="str">
        <f>IFERROR(__xludf.DUMMYFUNCTION("""COMPUTED_VALUE"""),"47, 39, 58, 42, 41")</f>
        <v>47, 39, 58, 42, 41</v>
      </c>
      <c r="C4163" s="5" t="str">
        <f>IFERROR(__xludf.DUMMYFUNCTION("""COMPUTED_VALUE"""),"https://drive.google.com/file/d/1luXhT0Np6Gr1Ys1lD48DX9cQ6dvK_Xgj/view?usp=drivesdk")</f>
        <v>https://drive.google.com/file/d/1luXhT0Np6Gr1Ys1lD48DX9cQ6dvK_Xgj/view?usp=drivesdk</v>
      </c>
      <c r="D4163" s="12"/>
      <c r="E4163" s="11">
        <v>4201.0</v>
      </c>
      <c r="F4163" s="2"/>
    </row>
    <row r="4164" ht="1.5" customHeight="1">
      <c r="A4164" s="4" t="str">
        <f>IFERROR(__xludf.DUMMYFUNCTION("""COMPUTED_VALUE"""),"47. Nefarious, 58. Eden, 42. Rubber, 41. Gregory")</f>
        <v>47. Nefarious, 58. Eden, 42. Rubber, 41. Gregory</v>
      </c>
      <c r="B4164" s="4" t="str">
        <f>IFERROR(__xludf.DUMMYFUNCTION("""COMPUTED_VALUE"""),"47, 58, 42, 41")</f>
        <v>47, 58, 42, 41</v>
      </c>
      <c r="C4164" s="5" t="str">
        <f>IFERROR(__xludf.DUMMYFUNCTION("""COMPUTED_VALUE"""),"https://drive.google.com/file/d/1zR3x39bqZLneIODWlQvZLMew4h7VH1bw/view?usp=drivesdk")</f>
        <v>https://drive.google.com/file/d/1zR3x39bqZLneIODWlQvZLMew4h7VH1bw/view?usp=drivesdk</v>
      </c>
      <c r="D4164" s="12"/>
      <c r="E4164" s="11">
        <v>4202.0</v>
      </c>
      <c r="F4164" s="2"/>
    </row>
    <row r="4165" ht="1.5" customHeight="1">
      <c r="A4165" s="4" t="str">
        <f>IFERROR(__xludf.DUMMYFUNCTION("""COMPUTED_VALUE"""),"0. NotACat")</f>
        <v>0. NotACat</v>
      </c>
      <c r="B4165" s="4" t="str">
        <f>IFERROR(__xludf.DUMMYFUNCTION("""COMPUTED_VALUE"""),"0")</f>
        <v>0</v>
      </c>
      <c r="C4165" s="5" t="str">
        <f>IFERROR(__xludf.DUMMYFUNCTION("""COMPUTED_VALUE"""),"https://drive.google.com/file/d/1Msk7_rbEc6yoFL7QGVKTzQ4QmAv8Ocwy/view?usp=drivesdk")</f>
        <v>https://drive.google.com/file/d/1Msk7_rbEc6yoFL7QGVKTzQ4QmAv8Ocwy/view?usp=drivesdk</v>
      </c>
      <c r="D4165" s="12"/>
      <c r="E4165" s="11">
        <v>4203.0</v>
      </c>
      <c r="F4165" s="2"/>
    </row>
    <row r="4166" ht="1.5" customHeight="1">
      <c r="A4166" s="4" t="str">
        <f>IFERROR(__xludf.DUMMYFUNCTION("""COMPUTED_VALUE"""),"47. Nefarious, 42. Rubber, 41. Gregory, 39. Radar, 58. Eden")</f>
        <v>47. Nefarious, 42. Rubber, 41. Gregory, 39. Radar, 58. Eden</v>
      </c>
      <c r="B4166" s="4" t="str">
        <f>IFERROR(__xludf.DUMMYFUNCTION("""COMPUTED_VALUE"""),"47, 42, 41, 39, 58")</f>
        <v>47, 42, 41, 39, 58</v>
      </c>
      <c r="C4166" s="5" t="str">
        <f>IFERROR(__xludf.DUMMYFUNCTION("""COMPUTED_VALUE"""),"https://drive.google.com/file/d/1ftx-fV_6VwXOP6QBf84J9hP3ViNNFWJ2/view?usp=drivesdk")</f>
        <v>https://drive.google.com/file/d/1ftx-fV_6VwXOP6QBf84J9hP3ViNNFWJ2/view?usp=drivesdk</v>
      </c>
      <c r="D4166" s="12"/>
      <c r="E4166" s="11">
        <v>4204.0</v>
      </c>
      <c r="F4166" s="2"/>
    </row>
    <row r="4167" ht="1.5" customHeight="1">
      <c r="A4167" s="4" t="str">
        <f>IFERROR(__xludf.DUMMYFUNCTION("""COMPUTED_VALUE"""),"1. Microwave")</f>
        <v>1. Microwave</v>
      </c>
      <c r="B4167" s="4" t="str">
        <f>IFERROR(__xludf.DUMMYFUNCTION("""COMPUTED_VALUE"""),"1")</f>
        <v>1</v>
      </c>
      <c r="C4167" s="5" t="str">
        <f>IFERROR(__xludf.DUMMYFUNCTION("""COMPUTED_VALUE"""),"https://drive.google.com/file/d/1VPqmOkXKqnDhmmleLj7nXWng55Bg_WiN/view?usp=drivesdk")</f>
        <v>https://drive.google.com/file/d/1VPqmOkXKqnDhmmleLj7nXWng55Bg_WiN/view?usp=drivesdk</v>
      </c>
      <c r="D4167" s="12"/>
      <c r="E4167" s="11">
        <v>4205.0</v>
      </c>
      <c r="F4167" s="2"/>
    </row>
    <row r="4168" ht="1.5" customHeight="1">
      <c r="A4168" s="4" t="str">
        <f>IFERROR(__xludf.DUMMYFUNCTION("""COMPUTED_VALUE"""),"47. Nefarious, 58. Eden, 42. Rubber, 41. Gregory, 39. Radar")</f>
        <v>47. Nefarious, 58. Eden, 42. Rubber, 41. Gregory, 39. Radar</v>
      </c>
      <c r="B4168" s="4" t="str">
        <f>IFERROR(__xludf.DUMMYFUNCTION("""COMPUTED_VALUE"""),"47, 58, 42, 41, 39")</f>
        <v>47, 58, 42, 41, 39</v>
      </c>
      <c r="C4168" s="5" t="str">
        <f>IFERROR(__xludf.DUMMYFUNCTION("""COMPUTED_VALUE"""),"https://drive.google.com/file/d/1HIOVawIPNtL-v4GbxhzVYTxaMIKA2xfk/view?usp=drivesdk")</f>
        <v>https://drive.google.com/file/d/1HIOVawIPNtL-v4GbxhzVYTxaMIKA2xfk/view?usp=drivesdk</v>
      </c>
      <c r="D4168" s="12"/>
      <c r="E4168" s="11">
        <v>4206.0</v>
      </c>
      <c r="F4168" s="2"/>
    </row>
    <row r="4169" ht="1.5" customHeight="1">
      <c r="A4169" s="4" t="str">
        <f>IFERROR(__xludf.DUMMYFUNCTION("""COMPUTED_VALUE"""),"2. Twix")</f>
        <v>2. Twix</v>
      </c>
      <c r="B4169" s="4" t="str">
        <f>IFERROR(__xludf.DUMMYFUNCTION("""COMPUTED_VALUE"""),"2")</f>
        <v>2</v>
      </c>
      <c r="C4169" s="5" t="str">
        <f>IFERROR(__xludf.DUMMYFUNCTION("""COMPUTED_VALUE"""),"https://drive.google.com/file/d/1H0D8nabi4UHw0gQIKieco0rjqELRCINR/view?usp=drivesdk")</f>
        <v>https://drive.google.com/file/d/1H0D8nabi4UHw0gQIKieco0rjqELRCINR/view?usp=drivesdk</v>
      </c>
      <c r="D4169" s="12"/>
      <c r="E4169" s="11">
        <v>4207.0</v>
      </c>
      <c r="F4169" s="2"/>
    </row>
    <row r="4170" ht="1.5" customHeight="1">
      <c r="A4170" s="4" t="str">
        <f>IFERROR(__xludf.DUMMYFUNCTION("""COMPUTED_VALUE"""),"2. Twix")</f>
        <v>2. Twix</v>
      </c>
      <c r="B4170" s="4" t="str">
        <f>IFERROR(__xludf.DUMMYFUNCTION("""COMPUTED_VALUE"""),"2")</f>
        <v>2</v>
      </c>
      <c r="C4170" s="5" t="str">
        <f>IFERROR(__xludf.DUMMYFUNCTION("""COMPUTED_VALUE"""),"https://drive.google.com/file/d/13DCGngTy-C6uBrHv_2QDoJ_WmRlTNtuc/view?usp=drivesdk")</f>
        <v>https://drive.google.com/file/d/13DCGngTy-C6uBrHv_2QDoJ_WmRlTNtuc/view?usp=drivesdk</v>
      </c>
      <c r="D4170" s="12"/>
      <c r="E4170" s="11">
        <v>4208.0</v>
      </c>
      <c r="F4170" s="2"/>
    </row>
    <row r="4171" ht="1.5" customHeight="1">
      <c r="A4171" s="4" t="str">
        <f>IFERROR(__xludf.DUMMYFUNCTION("""COMPUTED_VALUE"""),"2. Twix")</f>
        <v>2. Twix</v>
      </c>
      <c r="B4171" s="4" t="str">
        <f>IFERROR(__xludf.DUMMYFUNCTION("""COMPUTED_VALUE"""),"2")</f>
        <v>2</v>
      </c>
      <c r="C4171" s="5" t="str">
        <f>IFERROR(__xludf.DUMMYFUNCTION("""COMPUTED_VALUE"""),"https://drive.google.com/file/d/1qHvOfVkgOMyUarZPzrt-37rvjq1F3-Jw/view?usp=drivesdk")</f>
        <v>https://drive.google.com/file/d/1qHvOfVkgOMyUarZPzrt-37rvjq1F3-Jw/view?usp=drivesdk</v>
      </c>
      <c r="D4171" s="12"/>
      <c r="E4171" s="11">
        <v>4209.0</v>
      </c>
      <c r="F4171" s="2"/>
    </row>
    <row r="4172" ht="1.5" customHeight="1">
      <c r="A4172" s="4" t="str">
        <f>IFERROR(__xludf.DUMMYFUNCTION("""COMPUTED_VALUE"""),"32. Noir")</f>
        <v>32. Noir</v>
      </c>
      <c r="B4172" s="4" t="str">
        <f>IFERROR(__xludf.DUMMYFUNCTION("""COMPUTED_VALUE"""),"32")</f>
        <v>32</v>
      </c>
      <c r="C4172" s="5" t="str">
        <f>IFERROR(__xludf.DUMMYFUNCTION("""COMPUTED_VALUE"""),"https://drive.google.com/file/d/1cxPfvKY_adUyWC6gQG3z6-qzXvhKeM0b/view?usp=drivesdk")</f>
        <v>https://drive.google.com/file/d/1cxPfvKY_adUyWC6gQG3z6-qzXvhKeM0b/view?usp=drivesdk</v>
      </c>
      <c r="D4172" s="12"/>
      <c r="E4172" s="11">
        <v>4210.0</v>
      </c>
      <c r="F4172" s="2"/>
    </row>
    <row r="4173" ht="1.5" customHeight="1">
      <c r="A4173" s="4" t="str">
        <f>IFERROR(__xludf.DUMMYFUNCTION("""COMPUTED_VALUE"""),"4. Eggs")</f>
        <v>4. Eggs</v>
      </c>
      <c r="B4173" s="4" t="str">
        <f>IFERROR(__xludf.DUMMYFUNCTION("""COMPUTED_VALUE"""),"4")</f>
        <v>4</v>
      </c>
      <c r="C4173" s="5" t="str">
        <f>IFERROR(__xludf.DUMMYFUNCTION("""COMPUTED_VALUE"""),"https://drive.google.com/file/d/10mvyb6qaJ8XkaiyzPxHLPZi8NeKUmfJo/view?usp=drivesdk")</f>
        <v>https://drive.google.com/file/d/10mvyb6qaJ8XkaiyzPxHLPZi8NeKUmfJo/view?usp=drivesdk</v>
      </c>
      <c r="D4173" s="12"/>
      <c r="E4173" s="11">
        <v>4211.0</v>
      </c>
      <c r="F4173" s="2"/>
    </row>
    <row r="4174" ht="1.5" customHeight="1">
      <c r="A4174" s="4" t="str">
        <f>IFERROR(__xludf.DUMMYFUNCTION("""COMPUTED_VALUE"""),"2. Twix, 4. Eggs, 5. Eraser")</f>
        <v>2. Twix, 4. Eggs, 5. Eraser</v>
      </c>
      <c r="B4174" s="4" t="str">
        <f>IFERROR(__xludf.DUMMYFUNCTION("""COMPUTED_VALUE"""),"2, 4, 5")</f>
        <v>2, 4, 5</v>
      </c>
      <c r="C4174" s="5" t="str">
        <f>IFERROR(__xludf.DUMMYFUNCTION("""COMPUTED_VALUE"""),"https://drive.google.com/file/d/1UaVdQQeeh2mqhz3RQeKXBtM0r3sSiQWS/view?usp=drivesdk")</f>
        <v>https://drive.google.com/file/d/1UaVdQQeeh2mqhz3RQeKXBtM0r3sSiQWS/view?usp=drivesdk</v>
      </c>
      <c r="D4174" s="12"/>
      <c r="E4174" s="11">
        <v>4212.0</v>
      </c>
      <c r="F4174" s="2"/>
    </row>
    <row r="4175" ht="1.5" customHeight="1">
      <c r="A4175" s="4" t="str">
        <f>IFERROR(__xludf.DUMMYFUNCTION("""COMPUTED_VALUE"""),"1. Microwave")</f>
        <v>1. Microwave</v>
      </c>
      <c r="B4175" s="4" t="str">
        <f>IFERROR(__xludf.DUMMYFUNCTION("""COMPUTED_VALUE"""),"1")</f>
        <v>1</v>
      </c>
      <c r="C4175" s="5" t="str">
        <f>IFERROR(__xludf.DUMMYFUNCTION("""COMPUTED_VALUE"""),"https://drive.google.com/file/d/1BSpS0DicMbmvt0nCMNjJHymn5Bl1gYP3/view?usp=drivesdk")</f>
        <v>https://drive.google.com/file/d/1BSpS0DicMbmvt0nCMNjJHymn5Bl1gYP3/view?usp=drivesdk</v>
      </c>
      <c r="D4175" s="12"/>
      <c r="E4175" s="11">
        <v>4213.0</v>
      </c>
      <c r="F4175" s="2"/>
    </row>
    <row r="4176" ht="1.5" customHeight="1">
      <c r="A4176" s="4" t="str">
        <f>IFERROR(__xludf.DUMMYFUNCTION("""COMPUTED_VALUE"""),"1. Microwave")</f>
        <v>1. Microwave</v>
      </c>
      <c r="B4176" s="4" t="str">
        <f>IFERROR(__xludf.DUMMYFUNCTION("""COMPUTED_VALUE"""),"1")</f>
        <v>1</v>
      </c>
      <c r="C4176" s="5" t="str">
        <f>IFERROR(__xludf.DUMMYFUNCTION("""COMPUTED_VALUE"""),"https://drive.google.com/file/d/16meI_h9Pcu2fdxc3lYHHwpTTq3uBUb5N/view?usp=drivesdk")</f>
        <v>https://drive.google.com/file/d/16meI_h9Pcu2fdxc3lYHHwpTTq3uBUb5N/view?usp=drivesdk</v>
      </c>
      <c r="D4176" s="12"/>
      <c r="E4176" s="11">
        <v>4214.0</v>
      </c>
      <c r="F4176" s="2"/>
    </row>
    <row r="4177" ht="1.5" customHeight="1">
      <c r="A4177" s="4" t="str">
        <f>IFERROR(__xludf.DUMMYFUNCTION("""COMPUTED_VALUE"""),"1. Microwave")</f>
        <v>1. Microwave</v>
      </c>
      <c r="B4177" s="4" t="str">
        <f>IFERROR(__xludf.DUMMYFUNCTION("""COMPUTED_VALUE"""),"1")</f>
        <v>1</v>
      </c>
      <c r="C4177" s="5" t="str">
        <f>IFERROR(__xludf.DUMMYFUNCTION("""COMPUTED_VALUE"""),"https://drive.google.com/file/d/1sd6HvnQElhV-VQVAEeVOtyeB81CJPY7K/view?usp=drivesdk")</f>
        <v>https://drive.google.com/file/d/1sd6HvnQElhV-VQVAEeVOtyeB81CJPY7K/view?usp=drivesdk</v>
      </c>
      <c r="D4177" s="12"/>
      <c r="E4177" s="11">
        <v>4215.0</v>
      </c>
      <c r="F4177" s="2"/>
    </row>
    <row r="4178" ht="1.5" customHeight="1">
      <c r="A4178" s="4" t="str">
        <f>IFERROR(__xludf.DUMMYFUNCTION("""COMPUTED_VALUE"""),"1. Microwave")</f>
        <v>1. Microwave</v>
      </c>
      <c r="B4178" s="4" t="str">
        <f>IFERROR(__xludf.DUMMYFUNCTION("""COMPUTED_VALUE"""),"1")</f>
        <v>1</v>
      </c>
      <c r="C4178" s="5" t="str">
        <f>IFERROR(__xludf.DUMMYFUNCTION("""COMPUTED_VALUE"""),"https://drive.google.com/file/d/13_HyqnESBN0uwtmZ0Irr29YRz2bi7wOM/view?usp=drivesdk")</f>
        <v>https://drive.google.com/file/d/13_HyqnESBN0uwtmZ0Irr29YRz2bi7wOM/view?usp=drivesdk</v>
      </c>
      <c r="D4178" s="12"/>
      <c r="E4178" s="11">
        <v>4216.0</v>
      </c>
      <c r="F4178" s="2"/>
    </row>
    <row r="4179" ht="1.5" customHeight="1">
      <c r="A4179" s="4" t="str">
        <f>IFERROR(__xludf.DUMMYFUNCTION("""COMPUTED_VALUE"""),"1. Microwave")</f>
        <v>1. Microwave</v>
      </c>
      <c r="B4179" s="4" t="str">
        <f>IFERROR(__xludf.DUMMYFUNCTION("""COMPUTED_VALUE"""),"1")</f>
        <v>1</v>
      </c>
      <c r="C4179" s="5" t="str">
        <f>IFERROR(__xludf.DUMMYFUNCTION("""COMPUTED_VALUE"""),"https://drive.google.com/file/d/1-pZRUvQR2UZQh3Q1Layzs-G4endAvE37/view?usp=drivesdk")</f>
        <v>https://drive.google.com/file/d/1-pZRUvQR2UZQh3Q1Layzs-G4endAvE37/view?usp=drivesdk</v>
      </c>
      <c r="D4179" s="12"/>
      <c r="E4179" s="11">
        <v>4217.0</v>
      </c>
      <c r="F4179" s="2"/>
    </row>
    <row r="4180" ht="1.5" customHeight="1">
      <c r="A4180" s="4" t="str">
        <f>IFERROR(__xludf.DUMMYFUNCTION("""COMPUTED_VALUE"""),"1. Microwave")</f>
        <v>1. Microwave</v>
      </c>
      <c r="B4180" s="4" t="str">
        <f>IFERROR(__xludf.DUMMYFUNCTION("""COMPUTED_VALUE"""),"1")</f>
        <v>1</v>
      </c>
      <c r="C4180" s="5" t="str">
        <f>IFERROR(__xludf.DUMMYFUNCTION("""COMPUTED_VALUE"""),"https://drive.google.com/file/d/1in_EIEmIlj0ReVewszQtPJComeQtsQRL/view?usp=drivesdk")</f>
        <v>https://drive.google.com/file/d/1in_EIEmIlj0ReVewszQtPJComeQtsQRL/view?usp=drivesdk</v>
      </c>
      <c r="D4180" s="12"/>
      <c r="E4180" s="11">
        <v>4218.0</v>
      </c>
      <c r="F4180" s="2"/>
    </row>
    <row r="4181" ht="1.5" customHeight="1">
      <c r="A4181" s="4" t="str">
        <f>IFERROR(__xludf.DUMMYFUNCTION("""COMPUTED_VALUE"""),"1. Microwave")</f>
        <v>1. Microwave</v>
      </c>
      <c r="B4181" s="4" t="str">
        <f>IFERROR(__xludf.DUMMYFUNCTION("""COMPUTED_VALUE"""),"1")</f>
        <v>1</v>
      </c>
      <c r="C4181" s="5" t="str">
        <f>IFERROR(__xludf.DUMMYFUNCTION("""COMPUTED_VALUE"""),"https://drive.google.com/file/d/1oHOucUOwS2vvhullig_6hdVQ8ELZ2cue/view?usp=drivesdk")</f>
        <v>https://drive.google.com/file/d/1oHOucUOwS2vvhullig_6hdVQ8ELZ2cue/view?usp=drivesdk</v>
      </c>
      <c r="D4181" s="12"/>
      <c r="E4181" s="11">
        <v>4219.0</v>
      </c>
      <c r="F4181" s="2"/>
    </row>
    <row r="4182" ht="1.5" customHeight="1">
      <c r="A4182" s="4" t="str">
        <f>IFERROR(__xludf.DUMMYFUNCTION("""COMPUTED_VALUE"""),"1. Microwave")</f>
        <v>1. Microwave</v>
      </c>
      <c r="B4182" s="4" t="str">
        <f>IFERROR(__xludf.DUMMYFUNCTION("""COMPUTED_VALUE"""),"1")</f>
        <v>1</v>
      </c>
      <c r="C4182" s="5" t="str">
        <f>IFERROR(__xludf.DUMMYFUNCTION("""COMPUTED_VALUE"""),"https://drive.google.com/file/d/1-mke9U57uQO1f3GJrdDMLZQrmpZXKg_H/view?usp=drivesdk")</f>
        <v>https://drive.google.com/file/d/1-mke9U57uQO1f3GJrdDMLZQrmpZXKg_H/view?usp=drivesdk</v>
      </c>
      <c r="D4182" s="12"/>
      <c r="E4182" s="11">
        <v>4220.0</v>
      </c>
      <c r="F4182" s="2"/>
    </row>
    <row r="4183" ht="1.5" customHeight="1">
      <c r="A4183" s="4" t="str">
        <f>IFERROR(__xludf.DUMMYFUNCTION("""COMPUTED_VALUE"""),"1. Microwave")</f>
        <v>1. Microwave</v>
      </c>
      <c r="B4183" s="4" t="str">
        <f>IFERROR(__xludf.DUMMYFUNCTION("""COMPUTED_VALUE"""),"1")</f>
        <v>1</v>
      </c>
      <c r="C4183" s="5" t="str">
        <f>IFERROR(__xludf.DUMMYFUNCTION("""COMPUTED_VALUE"""),"https://drive.google.com/file/d/1l6fvfOQVxB86nk7kzMBAOuj69fNUrSy2/view?usp=drivesdk")</f>
        <v>https://drive.google.com/file/d/1l6fvfOQVxB86nk7kzMBAOuj69fNUrSy2/view?usp=drivesdk</v>
      </c>
      <c r="D4183" s="12"/>
      <c r="E4183" s="11">
        <v>4221.0</v>
      </c>
      <c r="F4183" s="2"/>
    </row>
    <row r="4184" ht="1.5" customHeight="1">
      <c r="A4184" s="4" t="str">
        <f>IFERROR(__xludf.DUMMYFUNCTION("""COMPUTED_VALUE"""),"0. NotACat")</f>
        <v>0. NotACat</v>
      </c>
      <c r="B4184" s="4" t="str">
        <f>IFERROR(__xludf.DUMMYFUNCTION("""COMPUTED_VALUE"""),"0")</f>
        <v>0</v>
      </c>
      <c r="C4184" s="5" t="str">
        <f>IFERROR(__xludf.DUMMYFUNCTION("""COMPUTED_VALUE"""),"https://drive.google.com/file/d/1GKpu9cOukT9hMyiX_y1UvcNo16OHzaSx/view?usp=drivesdk")</f>
        <v>https://drive.google.com/file/d/1GKpu9cOukT9hMyiX_y1UvcNo16OHzaSx/view?usp=drivesdk</v>
      </c>
      <c r="D4184" s="12"/>
      <c r="E4184" s="11">
        <v>4222.0</v>
      </c>
      <c r="F4184" s="2"/>
    </row>
    <row r="4185" ht="1.5" customHeight="1">
      <c r="A4185" s="4" t="str">
        <f>IFERROR(__xludf.DUMMYFUNCTION("""COMPUTED_VALUE"""),"0. NotACat")</f>
        <v>0. NotACat</v>
      </c>
      <c r="B4185" s="4" t="str">
        <f>IFERROR(__xludf.DUMMYFUNCTION("""COMPUTED_VALUE"""),"0")</f>
        <v>0</v>
      </c>
      <c r="C4185" s="5" t="str">
        <f>IFERROR(__xludf.DUMMYFUNCTION("""COMPUTED_VALUE"""),"https://drive.google.com/file/d/18TXHt7wc2D3JJ8F2MowV35f4ShLDTmN-/view?usp=drivesdk")</f>
        <v>https://drive.google.com/file/d/18TXHt7wc2D3JJ8F2MowV35f4ShLDTmN-/view?usp=drivesdk</v>
      </c>
      <c r="D4185" s="12"/>
      <c r="E4185" s="11">
        <v>4223.0</v>
      </c>
      <c r="F4185" s="2"/>
    </row>
    <row r="4186" ht="1.5" customHeight="1">
      <c r="A4186" s="4" t="str">
        <f>IFERROR(__xludf.DUMMYFUNCTION("""COMPUTED_VALUE"""),"0. NotACat")</f>
        <v>0. NotACat</v>
      </c>
      <c r="B4186" s="4" t="str">
        <f>IFERROR(__xludf.DUMMYFUNCTION("""COMPUTED_VALUE"""),"0")</f>
        <v>0</v>
      </c>
      <c r="C4186" s="5" t="str">
        <f>IFERROR(__xludf.DUMMYFUNCTION("""COMPUTED_VALUE"""),"https://drive.google.com/file/d/1HofC64AvsfrpGF7buyk84YDdGWGzeQg3/view?usp=drivesdk")</f>
        <v>https://drive.google.com/file/d/1HofC64AvsfrpGF7buyk84YDdGWGzeQg3/view?usp=drivesdk</v>
      </c>
      <c r="D4186" s="12"/>
      <c r="E4186" s="11">
        <v>4224.0</v>
      </c>
      <c r="F4186" s="2"/>
    </row>
    <row r="4187" ht="1.5" customHeight="1">
      <c r="A4187" s="4" t="str">
        <f>IFERROR(__xludf.DUMMYFUNCTION("""COMPUTED_VALUE"""),"0. NotACat")</f>
        <v>0. NotACat</v>
      </c>
      <c r="B4187" s="4" t="str">
        <f>IFERROR(__xludf.DUMMYFUNCTION("""COMPUTED_VALUE"""),"0")</f>
        <v>0</v>
      </c>
      <c r="C4187" s="5" t="str">
        <f>IFERROR(__xludf.DUMMYFUNCTION("""COMPUTED_VALUE"""),"https://drive.google.com/file/d/1AgFm8tAiywo8QAPE6Bjx2bQlm3xQa936/view?usp=drivesdk")</f>
        <v>https://drive.google.com/file/d/1AgFm8tAiywo8QAPE6Bjx2bQlm3xQa936/view?usp=drivesdk</v>
      </c>
      <c r="D4187" s="12"/>
      <c r="E4187" s="11">
        <v>4225.0</v>
      </c>
      <c r="F4187" s="2"/>
    </row>
    <row r="4188" ht="1.5" customHeight="1">
      <c r="A4188" s="4" t="str">
        <f>IFERROR(__xludf.DUMMYFUNCTION("""COMPUTED_VALUE"""),"0. NotACat")</f>
        <v>0. NotACat</v>
      </c>
      <c r="B4188" s="4" t="str">
        <f>IFERROR(__xludf.DUMMYFUNCTION("""COMPUTED_VALUE"""),"0")</f>
        <v>0</v>
      </c>
      <c r="C4188" s="5" t="str">
        <f>IFERROR(__xludf.DUMMYFUNCTION("""COMPUTED_VALUE"""),"https://drive.google.com/file/d/12u-J9gWsnrINeSadSrHjtKsHkJ8y7RBF/view?usp=drivesdk")</f>
        <v>https://drive.google.com/file/d/12u-J9gWsnrINeSadSrHjtKsHkJ8y7RBF/view?usp=drivesdk</v>
      </c>
      <c r="D4188" s="12"/>
      <c r="E4188" s="11">
        <v>4226.0</v>
      </c>
      <c r="F4188" s="2"/>
    </row>
    <row r="4189" ht="1.5" customHeight="1">
      <c r="A4189" s="4" t="str">
        <f>IFERROR(__xludf.DUMMYFUNCTION("""COMPUTED_VALUE"""),"0. NotACat")</f>
        <v>0. NotACat</v>
      </c>
      <c r="B4189" s="4" t="str">
        <f>IFERROR(__xludf.DUMMYFUNCTION("""COMPUTED_VALUE"""),"0")</f>
        <v>0</v>
      </c>
      <c r="C4189" s="5" t="str">
        <f>IFERROR(__xludf.DUMMYFUNCTION("""COMPUTED_VALUE"""),"https://drive.google.com/file/d/11y8Wt82NDCccIRVTUyzoK1U-2QZMSBTx/view?usp=drivesdk")</f>
        <v>https://drive.google.com/file/d/11y8Wt82NDCccIRVTUyzoK1U-2QZMSBTx/view?usp=drivesdk</v>
      </c>
      <c r="D4189" s="12"/>
      <c r="E4189" s="11">
        <v>4227.0</v>
      </c>
      <c r="F4189" s="2"/>
    </row>
    <row r="4190" ht="1.5" customHeight="1">
      <c r="A4190" s="4" t="str">
        <f>IFERROR(__xludf.DUMMYFUNCTION("""COMPUTED_VALUE"""),"0. NotACat")</f>
        <v>0. NotACat</v>
      </c>
      <c r="B4190" s="4" t="str">
        <f>IFERROR(__xludf.DUMMYFUNCTION("""COMPUTED_VALUE"""),"0")</f>
        <v>0</v>
      </c>
      <c r="C4190" s="5" t="str">
        <f>IFERROR(__xludf.DUMMYFUNCTION("""COMPUTED_VALUE"""),"https://drive.google.com/file/d/11V1_elpGKOXhgLtpGMMX6aVcjOCt-HP4/view?usp=drivesdk")</f>
        <v>https://drive.google.com/file/d/11V1_elpGKOXhgLtpGMMX6aVcjOCt-HP4/view?usp=drivesdk</v>
      </c>
      <c r="D4190" s="12"/>
      <c r="E4190" s="11">
        <v>4228.0</v>
      </c>
      <c r="F4190" s="2"/>
    </row>
    <row r="4191" ht="1.5" customHeight="1">
      <c r="A4191" s="4" t="str">
        <f>IFERROR(__xludf.DUMMYFUNCTION("""COMPUTED_VALUE"""),"2. Twix")</f>
        <v>2. Twix</v>
      </c>
      <c r="B4191" s="4" t="str">
        <f>IFERROR(__xludf.DUMMYFUNCTION("""COMPUTED_VALUE"""),"2")</f>
        <v>2</v>
      </c>
      <c r="C4191" s="5" t="str">
        <f>IFERROR(__xludf.DUMMYFUNCTION("""COMPUTED_VALUE"""),"https://drive.google.com/file/d/1e4AC6TCh9UdvXQE6B3HzR17WkgIGfGh2/view?usp=drivesdk")</f>
        <v>https://drive.google.com/file/d/1e4AC6TCh9UdvXQE6B3HzR17WkgIGfGh2/view?usp=drivesdk</v>
      </c>
      <c r="D4191" s="12"/>
      <c r="E4191" s="11">
        <v>4229.0</v>
      </c>
      <c r="F4191" s="2"/>
    </row>
    <row r="4192" ht="1.5" customHeight="1">
      <c r="A4192" s="4" t="str">
        <f>IFERROR(__xludf.DUMMYFUNCTION("""COMPUTED_VALUE"""),"2. Twix")</f>
        <v>2. Twix</v>
      </c>
      <c r="B4192" s="4" t="str">
        <f>IFERROR(__xludf.DUMMYFUNCTION("""COMPUTED_VALUE"""),"2")</f>
        <v>2</v>
      </c>
      <c r="C4192" s="5" t="str">
        <f>IFERROR(__xludf.DUMMYFUNCTION("""COMPUTED_VALUE"""),"https://drive.google.com/file/d/16K4Q_fz1ThkKtLVLTSHD_AjhBrUakjrF/view?usp=drivesdk")</f>
        <v>https://drive.google.com/file/d/16K4Q_fz1ThkKtLVLTSHD_AjhBrUakjrF/view?usp=drivesdk</v>
      </c>
      <c r="D4192" s="12"/>
      <c r="E4192" s="11">
        <v>4230.0</v>
      </c>
      <c r="F4192" s="2"/>
    </row>
    <row r="4193" ht="1.5" customHeight="1">
      <c r="A4193" s="4" t="str">
        <f>IFERROR(__xludf.DUMMYFUNCTION("""COMPUTED_VALUE"""),"2. Twix")</f>
        <v>2. Twix</v>
      </c>
      <c r="B4193" s="4" t="str">
        <f>IFERROR(__xludf.DUMMYFUNCTION("""COMPUTED_VALUE"""),"2")</f>
        <v>2</v>
      </c>
      <c r="C4193" s="5" t="str">
        <f>IFERROR(__xludf.DUMMYFUNCTION("""COMPUTED_VALUE"""),"https://drive.google.com/file/d/1gTcDA2EajyijXUcPLq_dcVtcPjZMk_F4/view?usp=drivesdk")</f>
        <v>https://drive.google.com/file/d/1gTcDA2EajyijXUcPLq_dcVtcPjZMk_F4/view?usp=drivesdk</v>
      </c>
      <c r="D4193" s="12"/>
      <c r="E4193" s="11">
        <v>4231.0</v>
      </c>
      <c r="F4193" s="2"/>
    </row>
    <row r="4194" ht="1.5" customHeight="1">
      <c r="A4194" s="4" t="str">
        <f>IFERROR(__xludf.DUMMYFUNCTION("""COMPUTED_VALUE"""),"4. Eggs, 5. Eraser, 2. Twix")</f>
        <v>4. Eggs, 5. Eraser, 2. Twix</v>
      </c>
      <c r="B4194" s="4" t="str">
        <f>IFERROR(__xludf.DUMMYFUNCTION("""COMPUTED_VALUE"""),"4, 5, 2")</f>
        <v>4, 5, 2</v>
      </c>
      <c r="C4194" s="5" t="str">
        <f>IFERROR(__xludf.DUMMYFUNCTION("""COMPUTED_VALUE"""),"https://drive.google.com/file/d/1lwnf9Mno_5xmbzIXFg4gHwI9DqNtxS98/view?usp=drivesdk")</f>
        <v>https://drive.google.com/file/d/1lwnf9Mno_5xmbzIXFg4gHwI9DqNtxS98/view?usp=drivesdk</v>
      </c>
      <c r="D4194" s="12"/>
      <c r="E4194" s="11">
        <v>4232.0</v>
      </c>
      <c r="F4194" s="2"/>
    </row>
    <row r="4195" ht="1.5" customHeight="1">
      <c r="A4195" s="4" t="str">
        <f>IFERROR(__xludf.DUMMYFUNCTION("""COMPUTED_VALUE"""),"2. Twix")</f>
        <v>2. Twix</v>
      </c>
      <c r="B4195" s="4" t="str">
        <f>IFERROR(__xludf.DUMMYFUNCTION("""COMPUTED_VALUE"""),"2")</f>
        <v>2</v>
      </c>
      <c r="C4195" s="5" t="str">
        <f>IFERROR(__xludf.DUMMYFUNCTION("""COMPUTED_VALUE"""),"https://drive.google.com/file/d/1V-9otNqimBjo4vD1wDcxYropNkPfrToe/view?usp=drivesdk")</f>
        <v>https://drive.google.com/file/d/1V-9otNqimBjo4vD1wDcxYropNkPfrToe/view?usp=drivesdk</v>
      </c>
      <c r="D4195" s="12"/>
      <c r="E4195" s="11">
        <v>4233.0</v>
      </c>
      <c r="F4195" s="2"/>
    </row>
    <row r="4196" ht="1.5" customHeight="1">
      <c r="A4196" s="4" t="str">
        <f>IFERROR(__xludf.DUMMYFUNCTION("""COMPUTED_VALUE"""),"47. Nefarious, 45. Boots, 41. Gregory, 62. Gorygreg, 61. Cassie, 42. Rubber, 58. Eden, 44. Shitbag Cuntface")</f>
        <v>47. Nefarious, 45. Boots, 41. Gregory, 62. Gorygreg, 61. Cassie, 42. Rubber, 58. Eden, 44. Shitbag Cuntface</v>
      </c>
      <c r="B4196" s="4" t="str">
        <f>IFERROR(__xludf.DUMMYFUNCTION("""COMPUTED_VALUE"""),"47, 45, 41, 62, 61, 42, 58, 44")</f>
        <v>47, 45, 41, 62, 61, 42, 58, 44</v>
      </c>
      <c r="C4196" s="5" t="str">
        <f>IFERROR(__xludf.DUMMYFUNCTION("""COMPUTED_VALUE"""),"https://drive.google.com/file/d/1ap4_inhJOexWE9pYOnnuoVW-0JxTbILK/view?usp=drivesdk")</f>
        <v>https://drive.google.com/file/d/1ap4_inhJOexWE9pYOnnuoVW-0JxTbILK/view?usp=drivesdk</v>
      </c>
      <c r="D4196" s="12"/>
      <c r="E4196" s="11">
        <v>4234.0</v>
      </c>
      <c r="F4196" s="2"/>
    </row>
    <row r="4197" ht="1.5" customHeight="1">
      <c r="A4197" s="4" t="str">
        <f>IFERROR(__xludf.DUMMYFUNCTION("""COMPUTED_VALUE"""),"2. Twix")</f>
        <v>2. Twix</v>
      </c>
      <c r="B4197" s="4" t="str">
        <f>IFERROR(__xludf.DUMMYFUNCTION("""COMPUTED_VALUE"""),"2")</f>
        <v>2</v>
      </c>
      <c r="C4197" s="5" t="str">
        <f>IFERROR(__xludf.DUMMYFUNCTION("""COMPUTED_VALUE"""),"https://drive.google.com/file/d/1v8gv3AyPRoFd3lfLLuEajEE_-P6gSfWU/view?usp=drivesdk")</f>
        <v>https://drive.google.com/file/d/1v8gv3AyPRoFd3lfLLuEajEE_-P6gSfWU/view?usp=drivesdk</v>
      </c>
      <c r="D4197" s="12"/>
      <c r="E4197" s="11">
        <v>4235.0</v>
      </c>
      <c r="F4197" s="2"/>
    </row>
    <row r="4198" ht="1.5" customHeight="1">
      <c r="A4198" s="4" t="str">
        <f>IFERROR(__xludf.DUMMYFUNCTION("""COMPUTED_VALUE"""),"47. Nefarious, 45. Boots, 61. Cassie, 41. Gregory, 62. Gorygreg, 44. Shitbag Cuntface, 42. Rubber")</f>
        <v>47. Nefarious, 45. Boots, 61. Cassie, 41. Gregory, 62. Gorygreg, 44. Shitbag Cuntface, 42. Rubber</v>
      </c>
      <c r="B4198" s="4" t="str">
        <f>IFERROR(__xludf.DUMMYFUNCTION("""COMPUTED_VALUE"""),"47, 45, 61, 41, 62, 44, 42")</f>
        <v>47, 45, 61, 41, 62, 44, 42</v>
      </c>
      <c r="C4198" s="5" t="str">
        <f>IFERROR(__xludf.DUMMYFUNCTION("""COMPUTED_VALUE"""),"https://drive.google.com/file/d/15skXIK0aWXT7vcAzQlV-rJUK4jRwr40J/view?usp=drivesdk")</f>
        <v>https://drive.google.com/file/d/15skXIK0aWXT7vcAzQlV-rJUK4jRwr40J/view?usp=drivesdk</v>
      </c>
      <c r="D4198" s="12"/>
      <c r="E4198" s="11">
        <v>4236.0</v>
      </c>
      <c r="F4198" s="2"/>
    </row>
    <row r="4199" ht="1.5" customHeight="1">
      <c r="A4199" s="4" t="str">
        <f>IFERROR(__xludf.DUMMYFUNCTION("""COMPUTED_VALUE"""),"41. Gregory, 62. Gorygreg, 39. Radar, 42. Rubber, 61. Cassie, 47. Nefarious, 45. Boots, 44. Shitbag Cuntface, 58. Eden")</f>
        <v>41. Gregory, 62. Gorygreg, 39. Radar, 42. Rubber, 61. Cassie, 47. Nefarious, 45. Boots, 44. Shitbag Cuntface, 58. Eden</v>
      </c>
      <c r="B4199" s="4" t="str">
        <f>IFERROR(__xludf.DUMMYFUNCTION("""COMPUTED_VALUE"""),"41, 62, 39, 42, 61, 47, 45, 44, 58")</f>
        <v>41, 62, 39, 42, 61, 47, 45, 44, 58</v>
      </c>
      <c r="C4199" s="5" t="str">
        <f>IFERROR(__xludf.DUMMYFUNCTION("""COMPUTED_VALUE"""),"https://drive.google.com/file/d/1XL2rvADIWZ4KpD_nEXWj3OmyEmCf02ds/view?usp=drivesdk")</f>
        <v>https://drive.google.com/file/d/1XL2rvADIWZ4KpD_nEXWj3OmyEmCf02ds/view?usp=drivesdk</v>
      </c>
      <c r="D4199" s="12"/>
      <c r="E4199" s="11">
        <v>4237.0</v>
      </c>
      <c r="F4199" s="2"/>
    </row>
    <row r="4200" ht="1.5" customHeight="1">
      <c r="A4200" s="4" t="str">
        <f>IFERROR(__xludf.DUMMYFUNCTION("""COMPUTED_VALUE"""),"2. Twix")</f>
        <v>2. Twix</v>
      </c>
      <c r="B4200" s="4" t="str">
        <f>IFERROR(__xludf.DUMMYFUNCTION("""COMPUTED_VALUE"""),"2")</f>
        <v>2</v>
      </c>
      <c r="C4200" s="5" t="str">
        <f>IFERROR(__xludf.DUMMYFUNCTION("""COMPUTED_VALUE"""),"https://drive.google.com/file/d/1012jR0Wd3ql5Hq341Dvc8vtbiSVyLEAG/view?usp=drivesdk")</f>
        <v>https://drive.google.com/file/d/1012jR0Wd3ql5Hq341Dvc8vtbiSVyLEAG/view?usp=drivesdk</v>
      </c>
      <c r="D4200" s="12"/>
      <c r="E4200" s="11">
        <v>4238.0</v>
      </c>
      <c r="F4200" s="2"/>
    </row>
    <row r="4201" ht="1.5" customHeight="1">
      <c r="A4201" s="4" t="str">
        <f>IFERROR(__xludf.DUMMYFUNCTION("""COMPUTED_VALUE"""),"47. Nefarious, 45. Boots, 44. Shitbag Cuntface, 61. Cassie, 41. Gregory, 62. Gorygreg, 39. Radar, 58. Eden, 42. Rubber")</f>
        <v>47. Nefarious, 45. Boots, 44. Shitbag Cuntface, 61. Cassie, 41. Gregory, 62. Gorygreg, 39. Radar, 58. Eden, 42. Rubber</v>
      </c>
      <c r="B4201" s="4" t="str">
        <f>IFERROR(__xludf.DUMMYFUNCTION("""COMPUTED_VALUE"""),"47, 45, 44, 61, 41, 62, 39, 58, 42")</f>
        <v>47, 45, 44, 61, 41, 62, 39, 58, 42</v>
      </c>
      <c r="C4201" s="5" t="str">
        <f>IFERROR(__xludf.DUMMYFUNCTION("""COMPUTED_VALUE"""),"https://drive.google.com/file/d/1ehZoD7wHki3BAJk1lV2c2kfjY0UNPGrp/view?usp=drivesdk")</f>
        <v>https://drive.google.com/file/d/1ehZoD7wHki3BAJk1lV2c2kfjY0UNPGrp/view?usp=drivesdk</v>
      </c>
      <c r="D4201" s="12"/>
      <c r="E4201" s="11">
        <v>4239.0</v>
      </c>
      <c r="F4201" s="2"/>
    </row>
    <row r="4202" ht="1.5" customHeight="1">
      <c r="A4202" s="4" t="str">
        <f>IFERROR(__xludf.DUMMYFUNCTION("""COMPUTED_VALUE"""),"47. Nefarious, 44. Shitbag Cuntface, 61. Cassie, 41. Gregory, 62. Gorygreg, 45. Boots, 58. Eden, 42. Rubber")</f>
        <v>47. Nefarious, 44. Shitbag Cuntface, 61. Cassie, 41. Gregory, 62. Gorygreg, 45. Boots, 58. Eden, 42. Rubber</v>
      </c>
      <c r="B4202" s="4" t="str">
        <f>IFERROR(__xludf.DUMMYFUNCTION("""COMPUTED_VALUE"""),"47, 44, 61, 41, 62, 45, 58, 42")</f>
        <v>47, 44, 61, 41, 62, 45, 58, 42</v>
      </c>
      <c r="C4202" s="5" t="str">
        <f>IFERROR(__xludf.DUMMYFUNCTION("""COMPUTED_VALUE"""),"https://drive.google.com/file/d/1AZ3AThOnOT3ogyzPATHjkv_Gc_a4S_-t/view?usp=drivesdk")</f>
        <v>https://drive.google.com/file/d/1AZ3AThOnOT3ogyzPATHjkv_Gc_a4S_-t/view?usp=drivesdk</v>
      </c>
      <c r="D4202" s="12"/>
      <c r="E4202" s="11">
        <v>4240.0</v>
      </c>
      <c r="F4202" s="2"/>
    </row>
    <row r="4203" ht="1.5" customHeight="1">
      <c r="A4203" s="4" t="str">
        <f>IFERROR(__xludf.DUMMYFUNCTION("""COMPUTED_VALUE"""),"2. Twix")</f>
        <v>2. Twix</v>
      </c>
      <c r="B4203" s="4" t="str">
        <f>IFERROR(__xludf.DUMMYFUNCTION("""COMPUTED_VALUE"""),"2")</f>
        <v>2</v>
      </c>
      <c r="C4203" s="5" t="str">
        <f>IFERROR(__xludf.DUMMYFUNCTION("""COMPUTED_VALUE"""),"https://drive.google.com/file/d/1EvrNTKvsp74IHe5BbqHcPoB-rsdvZz3p/view?usp=drivesdk")</f>
        <v>https://drive.google.com/file/d/1EvrNTKvsp74IHe5BbqHcPoB-rsdvZz3p/view?usp=drivesdk</v>
      </c>
      <c r="D4203" s="12"/>
      <c r="E4203" s="11">
        <v>4241.0</v>
      </c>
      <c r="F4203" s="2"/>
    </row>
    <row r="4204" ht="1.5" customHeight="1">
      <c r="A4204" s="4" t="str">
        <f>IFERROR(__xludf.DUMMYFUNCTION("""COMPUTED_VALUE"""),"2. Twix")</f>
        <v>2. Twix</v>
      </c>
      <c r="B4204" s="4" t="str">
        <f>IFERROR(__xludf.DUMMYFUNCTION("""COMPUTED_VALUE"""),"2")</f>
        <v>2</v>
      </c>
      <c r="C4204" s="5" t="str">
        <f>IFERROR(__xludf.DUMMYFUNCTION("""COMPUTED_VALUE"""),"https://drive.google.com/file/d/1ToClmiMIUZtQjLiWZXste_u3WZmilb-v/view?usp=drivesdk")</f>
        <v>https://drive.google.com/file/d/1ToClmiMIUZtQjLiWZXste_u3WZmilb-v/view?usp=drivesdk</v>
      </c>
      <c r="D4204" s="12"/>
      <c r="E4204" s="11">
        <v>4242.0</v>
      </c>
      <c r="F4204" s="2"/>
    </row>
    <row r="4205" ht="1.5" customHeight="1">
      <c r="A4205" s="4" t="str">
        <f>IFERROR(__xludf.DUMMYFUNCTION("""COMPUTED_VALUE"""),"4. Eggs, 5. Eraser, 2. Twix")</f>
        <v>4. Eggs, 5. Eraser, 2. Twix</v>
      </c>
      <c r="B4205" s="4" t="str">
        <f>IFERROR(__xludf.DUMMYFUNCTION("""COMPUTED_VALUE"""),"4, 5, 2")</f>
        <v>4, 5, 2</v>
      </c>
      <c r="C4205" s="5" t="str">
        <f>IFERROR(__xludf.DUMMYFUNCTION("""COMPUTED_VALUE"""),"https://drive.google.com/file/d/1YvAO9TlQXLHOpFhnlNawIMsYRZ4bGdxn/view?usp=drivesdk")</f>
        <v>https://drive.google.com/file/d/1YvAO9TlQXLHOpFhnlNawIMsYRZ4bGdxn/view?usp=drivesdk</v>
      </c>
      <c r="D4205" s="12"/>
      <c r="E4205" s="11">
        <v>4243.0</v>
      </c>
      <c r="F4205" s="2"/>
    </row>
    <row r="4206" ht="1.5" customHeight="1">
      <c r="A4206" s="4" t="str">
        <f>IFERROR(__xludf.DUMMYFUNCTION("""COMPUTED_VALUE"""),"2. Twix")</f>
        <v>2. Twix</v>
      </c>
      <c r="B4206" s="4" t="str">
        <f>IFERROR(__xludf.DUMMYFUNCTION("""COMPUTED_VALUE"""),"2")</f>
        <v>2</v>
      </c>
      <c r="C4206" s="5" t="str">
        <f>IFERROR(__xludf.DUMMYFUNCTION("""COMPUTED_VALUE"""),"https://drive.google.com/file/d/1hP88vfI3D2oTqEIkv8N5zNMQq8qWDpxy/view?usp=drivesdk")</f>
        <v>https://drive.google.com/file/d/1hP88vfI3D2oTqEIkv8N5zNMQq8qWDpxy/view?usp=drivesdk</v>
      </c>
      <c r="D4206" s="12"/>
      <c r="E4206" s="11">
        <v>4244.0</v>
      </c>
      <c r="F4206" s="2"/>
    </row>
    <row r="4207" ht="1.5" customHeight="1">
      <c r="A4207" s="4" t="str">
        <f>IFERROR(__xludf.DUMMYFUNCTION("""COMPUTED_VALUE"""),"47. Nefarious, 58. Eden, 61. Cassie, 41. Gregory, 62. Gorygreg, 44. Shitbag Cuntface, 45. Boots, 39. Radar, 42. Rubber, 38. Winston")</f>
        <v>47. Nefarious, 58. Eden, 61. Cassie, 41. Gregory, 62. Gorygreg, 44. Shitbag Cuntface, 45. Boots, 39. Radar, 42. Rubber, 38. Winston</v>
      </c>
      <c r="B4207" s="4" t="str">
        <f>IFERROR(__xludf.DUMMYFUNCTION("""COMPUTED_VALUE"""),"47, 58, 61, 41, 62, 44, 45, 39, 42, 38")</f>
        <v>47, 58, 61, 41, 62, 44, 45, 39, 42, 38</v>
      </c>
      <c r="C4207" s="5" t="str">
        <f>IFERROR(__xludf.DUMMYFUNCTION("""COMPUTED_VALUE"""),"https://drive.google.com/file/d/1WAzn_e5aU4uCCRWdpBesHemeDqPRgLMD/view?usp=drivesdk")</f>
        <v>https://drive.google.com/file/d/1WAzn_e5aU4uCCRWdpBesHemeDqPRgLMD/view?usp=drivesdk</v>
      </c>
      <c r="D4207" s="12"/>
      <c r="E4207" s="11">
        <v>4245.0</v>
      </c>
      <c r="F4207" s="2"/>
    </row>
    <row r="4208" ht="1.5" customHeight="1">
      <c r="A4208" s="4" t="str">
        <f>IFERROR(__xludf.DUMMYFUNCTION("""COMPUTED_VALUE"""),"47. Nefarious, 44. Shitbag Cuntface, 41. Gregory, 62. Gorygreg, 61. Cassie, 58. Eden, 42. Rubber, 45. Boots")</f>
        <v>47. Nefarious, 44. Shitbag Cuntface, 41. Gregory, 62. Gorygreg, 61. Cassie, 58. Eden, 42. Rubber, 45. Boots</v>
      </c>
      <c r="B4208" s="4" t="str">
        <f>IFERROR(__xludf.DUMMYFUNCTION("""COMPUTED_VALUE"""),"47, 44, 41, 62, 61, 58, 42, 45")</f>
        <v>47, 44, 41, 62, 61, 58, 42, 45</v>
      </c>
      <c r="C4208" s="5" t="str">
        <f>IFERROR(__xludf.DUMMYFUNCTION("""COMPUTED_VALUE"""),"https://drive.google.com/file/d/1aLU_dyPpzp8lkDfy_32EJTg4DmfytGkX/view?usp=drivesdk")</f>
        <v>https://drive.google.com/file/d/1aLU_dyPpzp8lkDfy_32EJTg4DmfytGkX/view?usp=drivesdk</v>
      </c>
      <c r="D4208" s="12"/>
      <c r="E4208" s="11">
        <v>4246.0</v>
      </c>
      <c r="F4208" s="2"/>
    </row>
    <row r="4209" ht="1.5" customHeight="1">
      <c r="A4209" s="4" t="str">
        <f>IFERROR(__xludf.DUMMYFUNCTION("""COMPUTED_VALUE"""),"47. Nefarious, 41. Gregory, 62. Gorygreg, 45. Boots, 44. Shitbag Cuntface, 58. Eden, 42. Rubber")</f>
        <v>47. Nefarious, 41. Gregory, 62. Gorygreg, 45. Boots, 44. Shitbag Cuntface, 58. Eden, 42. Rubber</v>
      </c>
      <c r="B4209" s="4" t="str">
        <f>IFERROR(__xludf.DUMMYFUNCTION("""COMPUTED_VALUE"""),"47, 41, 62, 45, 44, 58, 42")</f>
        <v>47, 41, 62, 45, 44, 58, 42</v>
      </c>
      <c r="C4209" s="5" t="str">
        <f>IFERROR(__xludf.DUMMYFUNCTION("""COMPUTED_VALUE"""),"https://drive.google.com/file/d/1LWL6APL3gb4Uo4lBLaecVly1lhFjA7Db/view?usp=drivesdk")</f>
        <v>https://drive.google.com/file/d/1LWL6APL3gb4Uo4lBLaecVly1lhFjA7Db/view?usp=drivesdk</v>
      </c>
      <c r="D4209" s="12"/>
      <c r="E4209" s="11">
        <v>4247.0</v>
      </c>
      <c r="F4209" s="2"/>
    </row>
    <row r="4210" ht="1.5" customHeight="1">
      <c r="A4210" s="4" t="str">
        <f>IFERROR(__xludf.DUMMYFUNCTION("""COMPUTED_VALUE"""),"2. Twix")</f>
        <v>2. Twix</v>
      </c>
      <c r="B4210" s="4" t="str">
        <f>IFERROR(__xludf.DUMMYFUNCTION("""COMPUTED_VALUE"""),"2")</f>
        <v>2</v>
      </c>
      <c r="C4210" s="5" t="str">
        <f>IFERROR(__xludf.DUMMYFUNCTION("""COMPUTED_VALUE"""),"https://drive.google.com/file/d/1sgBe2KO2zvTxoH0DjOBwHbgRdu4DFb-G/view?usp=drivesdk")</f>
        <v>https://drive.google.com/file/d/1sgBe2KO2zvTxoH0DjOBwHbgRdu4DFb-G/view?usp=drivesdk</v>
      </c>
      <c r="D4210" s="12"/>
      <c r="E4210" s="11">
        <v>4248.0</v>
      </c>
      <c r="F4210" s="2"/>
    </row>
    <row r="4211" ht="1.5" customHeight="1">
      <c r="A4211" s="4" t="str">
        <f>IFERROR(__xludf.DUMMYFUNCTION("""COMPUTED_VALUE"""),"2. Twix")</f>
        <v>2. Twix</v>
      </c>
      <c r="B4211" s="4" t="str">
        <f>IFERROR(__xludf.DUMMYFUNCTION("""COMPUTED_VALUE"""),"2")</f>
        <v>2</v>
      </c>
      <c r="C4211" s="5" t="str">
        <f>IFERROR(__xludf.DUMMYFUNCTION("""COMPUTED_VALUE"""),"https://drive.google.com/file/d/1UTHgwWr53DFDZn0WzjD6wyh5FmWZR1Ff/view?usp=drivesdk")</f>
        <v>https://drive.google.com/file/d/1UTHgwWr53DFDZn0WzjD6wyh5FmWZR1Ff/view?usp=drivesdk</v>
      </c>
      <c r="D4211" s="12"/>
      <c r="E4211" s="11">
        <v>4249.0</v>
      </c>
      <c r="F4211" s="2"/>
    </row>
    <row r="4212" ht="1.5" customHeight="1">
      <c r="A4212" s="4" t="str">
        <f>IFERROR(__xludf.DUMMYFUNCTION("""COMPUTED_VALUE"""),"2. Twix")</f>
        <v>2. Twix</v>
      </c>
      <c r="B4212" s="4" t="str">
        <f>IFERROR(__xludf.DUMMYFUNCTION("""COMPUTED_VALUE"""),"2")</f>
        <v>2</v>
      </c>
      <c r="C4212" s="5" t="str">
        <f>IFERROR(__xludf.DUMMYFUNCTION("""COMPUTED_VALUE"""),"https://drive.google.com/file/d/1QYTTeAsF7TJ5OcNunTPwPy73TRzEVBjU/view?usp=drivesdk")</f>
        <v>https://drive.google.com/file/d/1QYTTeAsF7TJ5OcNunTPwPy73TRzEVBjU/view?usp=drivesdk</v>
      </c>
      <c r="D4212" s="12"/>
      <c r="E4212" s="11">
        <v>4250.0</v>
      </c>
      <c r="F4212" s="2"/>
    </row>
    <row r="4213" ht="1.5" customHeight="1">
      <c r="A4213" s="4" t="str">
        <f>IFERROR(__xludf.DUMMYFUNCTION("""COMPUTED_VALUE"""),"1. Microwave")</f>
        <v>1. Microwave</v>
      </c>
      <c r="B4213" s="4" t="str">
        <f>IFERROR(__xludf.DUMMYFUNCTION("""COMPUTED_VALUE"""),"1")</f>
        <v>1</v>
      </c>
      <c r="C4213" s="5" t="str">
        <f>IFERROR(__xludf.DUMMYFUNCTION("""COMPUTED_VALUE"""),"https://drive.google.com/file/d/1CzWeQ-DZcLrOYAKygg1ZcJRUekoGp8Z7/view?usp=drivesdk")</f>
        <v>https://drive.google.com/file/d/1CzWeQ-DZcLrOYAKygg1ZcJRUekoGp8Z7/view?usp=drivesdk</v>
      </c>
      <c r="D4213" s="12"/>
      <c r="E4213" s="11">
        <v>4251.0</v>
      </c>
      <c r="F4213" s="2"/>
    </row>
    <row r="4214" ht="1.5" customHeight="1">
      <c r="A4214" s="4" t="str">
        <f>IFERROR(__xludf.DUMMYFUNCTION("""COMPUTED_VALUE"""),"1. Microwave")</f>
        <v>1. Microwave</v>
      </c>
      <c r="B4214" s="4" t="str">
        <f>IFERROR(__xludf.DUMMYFUNCTION("""COMPUTED_VALUE"""),"1")</f>
        <v>1</v>
      </c>
      <c r="C4214" s="5" t="str">
        <f>IFERROR(__xludf.DUMMYFUNCTION("""COMPUTED_VALUE"""),"https://drive.google.com/file/d/1wBay0zZ6ruAawjN-fWOi73L19G-aUIF7/view?usp=drivesdk")</f>
        <v>https://drive.google.com/file/d/1wBay0zZ6ruAawjN-fWOi73L19G-aUIF7/view?usp=drivesdk</v>
      </c>
      <c r="D4214" s="12"/>
      <c r="E4214" s="11">
        <v>4252.0</v>
      </c>
      <c r="F4214" s="2"/>
    </row>
    <row r="4215" ht="1.5" customHeight="1">
      <c r="A4215" s="4" t="str">
        <f>IFERROR(__xludf.DUMMYFUNCTION("""COMPUTED_VALUE"""),"1. Microwave")</f>
        <v>1. Microwave</v>
      </c>
      <c r="B4215" s="4" t="str">
        <f>IFERROR(__xludf.DUMMYFUNCTION("""COMPUTED_VALUE"""),"1")</f>
        <v>1</v>
      </c>
      <c r="C4215" s="5" t="str">
        <f>IFERROR(__xludf.DUMMYFUNCTION("""COMPUTED_VALUE"""),"https://drive.google.com/file/d/1AHEX9xPWXketfXtZKhfiKl1hWZDrP1MN/view?usp=drivesdk")</f>
        <v>https://drive.google.com/file/d/1AHEX9xPWXketfXtZKhfiKl1hWZDrP1MN/view?usp=drivesdk</v>
      </c>
      <c r="D4215" s="12"/>
      <c r="E4215" s="11">
        <v>4253.0</v>
      </c>
      <c r="F4215" s="2"/>
    </row>
    <row r="4216" ht="1.5" customHeight="1">
      <c r="A4216" s="4" t="str">
        <f>IFERROR(__xludf.DUMMYFUNCTION("""COMPUTED_VALUE"""),"4. Eggs, 5. Eraser")</f>
        <v>4. Eggs, 5. Eraser</v>
      </c>
      <c r="B4216" s="4" t="str">
        <f>IFERROR(__xludf.DUMMYFUNCTION("""COMPUTED_VALUE"""),"4, 5")</f>
        <v>4, 5</v>
      </c>
      <c r="C4216" s="5" t="str">
        <f>IFERROR(__xludf.DUMMYFUNCTION("""COMPUTED_VALUE"""),"https://drive.google.com/file/d/1sM2nkgLpYvFAaEPJUphH85xECFVHYC9R/view?usp=drivesdk")</f>
        <v>https://drive.google.com/file/d/1sM2nkgLpYvFAaEPJUphH85xECFVHYC9R/view?usp=drivesdk</v>
      </c>
      <c r="D4216" s="12"/>
      <c r="E4216" s="11">
        <v>4254.0</v>
      </c>
      <c r="F4216" s="2"/>
    </row>
    <row r="4217" ht="1.5" customHeight="1">
      <c r="A4217" s="4" t="str">
        <f>IFERROR(__xludf.DUMMYFUNCTION("""COMPUTED_VALUE"""),"2. Twix")</f>
        <v>2. Twix</v>
      </c>
      <c r="B4217" s="4" t="str">
        <f>IFERROR(__xludf.DUMMYFUNCTION("""COMPUTED_VALUE"""),"2")</f>
        <v>2</v>
      </c>
      <c r="C4217" s="5" t="str">
        <f>IFERROR(__xludf.DUMMYFUNCTION("""COMPUTED_VALUE"""),"https://drive.google.com/file/d/1mkQVx9pJqNvkcOPyC7jx36dLR-lrFMWl/view?usp=drivesdk")</f>
        <v>https://drive.google.com/file/d/1mkQVx9pJqNvkcOPyC7jx36dLR-lrFMWl/view?usp=drivesdk</v>
      </c>
      <c r="D4217" s="12"/>
      <c r="E4217" s="11">
        <v>4255.0</v>
      </c>
      <c r="F4217" s="2"/>
    </row>
    <row r="4218" ht="1.5" customHeight="1">
      <c r="A4218" s="4" t="str">
        <f>IFERROR(__xludf.DUMMYFUNCTION("""COMPUTED_VALUE"""),"1. Microwave")</f>
        <v>1. Microwave</v>
      </c>
      <c r="B4218" s="4" t="str">
        <f>IFERROR(__xludf.DUMMYFUNCTION("""COMPUTED_VALUE"""),"1")</f>
        <v>1</v>
      </c>
      <c r="C4218" s="5" t="str">
        <f>IFERROR(__xludf.DUMMYFUNCTION("""COMPUTED_VALUE"""),"https://drive.google.com/file/d/1Ufj04Q773CBFcAJEtE6DAdfbB1KeJygX/view?usp=drivesdk")</f>
        <v>https://drive.google.com/file/d/1Ufj04Q773CBFcAJEtE6DAdfbB1KeJygX/view?usp=drivesdk</v>
      </c>
      <c r="D4218" s="12"/>
      <c r="E4218" s="11">
        <v>4256.0</v>
      </c>
      <c r="F4218" s="2"/>
    </row>
    <row r="4219" ht="1.5" customHeight="1">
      <c r="A4219" s="4" t="str">
        <f>IFERROR(__xludf.DUMMYFUNCTION("""COMPUTED_VALUE"""),"1. Microwave")</f>
        <v>1. Microwave</v>
      </c>
      <c r="B4219" s="4" t="str">
        <f>IFERROR(__xludf.DUMMYFUNCTION("""COMPUTED_VALUE"""),"1")</f>
        <v>1</v>
      </c>
      <c r="C4219" s="5" t="str">
        <f>IFERROR(__xludf.DUMMYFUNCTION("""COMPUTED_VALUE"""),"https://drive.google.com/file/d/1E2aVuUbboNHbWLRgISYOviQCvfL_T8-t/view?usp=drivesdk")</f>
        <v>https://drive.google.com/file/d/1E2aVuUbboNHbWLRgISYOviQCvfL_T8-t/view?usp=drivesdk</v>
      </c>
      <c r="D4219" s="12"/>
      <c r="E4219" s="11">
        <v>4257.0</v>
      </c>
      <c r="F4219" s="2"/>
    </row>
    <row r="4220" ht="1.5" customHeight="1">
      <c r="A4220" s="4" t="str">
        <f>IFERROR(__xludf.DUMMYFUNCTION("""COMPUTED_VALUE"""),"1. Microwave")</f>
        <v>1. Microwave</v>
      </c>
      <c r="B4220" s="4" t="str">
        <f>IFERROR(__xludf.DUMMYFUNCTION("""COMPUTED_VALUE"""),"1")</f>
        <v>1</v>
      </c>
      <c r="C4220" s="5" t="str">
        <f>IFERROR(__xludf.DUMMYFUNCTION("""COMPUTED_VALUE"""),"https://drive.google.com/file/d/1c04rR_dRRzpV9eETxoKBcysbsA_yYkk_/view?usp=drivesdk")</f>
        <v>https://drive.google.com/file/d/1c04rR_dRRzpV9eETxoKBcysbsA_yYkk_/view?usp=drivesdk</v>
      </c>
      <c r="D4220" s="12"/>
      <c r="E4220" s="11">
        <v>4258.0</v>
      </c>
      <c r="F4220" s="2"/>
    </row>
    <row r="4221" ht="1.5" customHeight="1">
      <c r="A4221" s="4" t="str">
        <f>IFERROR(__xludf.DUMMYFUNCTION("""COMPUTED_VALUE"""),"0. NotACat")</f>
        <v>0. NotACat</v>
      </c>
      <c r="B4221" s="4" t="str">
        <f>IFERROR(__xludf.DUMMYFUNCTION("""COMPUTED_VALUE"""),"0")</f>
        <v>0</v>
      </c>
      <c r="C4221" s="5" t="str">
        <f>IFERROR(__xludf.DUMMYFUNCTION("""COMPUTED_VALUE"""),"https://drive.google.com/file/d/1g4e4TRRyEbTcdOCaLAe3dWHc_IicVwgN/view?usp=drivesdk")</f>
        <v>https://drive.google.com/file/d/1g4e4TRRyEbTcdOCaLAe3dWHc_IicVwgN/view?usp=drivesdk</v>
      </c>
      <c r="D4221" s="12"/>
      <c r="E4221" s="11">
        <v>4259.0</v>
      </c>
      <c r="F4221" s="2"/>
    </row>
    <row r="4222" ht="1.5" customHeight="1">
      <c r="A4222" s="4" t="str">
        <f>IFERROR(__xludf.DUMMYFUNCTION("""COMPUTED_VALUE"""),"30. Pepper")</f>
        <v>30. Pepper</v>
      </c>
      <c r="B4222" s="4" t="str">
        <f>IFERROR(__xludf.DUMMYFUNCTION("""COMPUTED_VALUE"""),"30")</f>
        <v>30</v>
      </c>
      <c r="C4222" s="5" t="str">
        <f>IFERROR(__xludf.DUMMYFUNCTION("""COMPUTED_VALUE"""),"https://drive.google.com/file/d/1GZSj_WM2-8PexZihHPhaQ7ecZaQKcrxn/view?usp=drivesdk")</f>
        <v>https://drive.google.com/file/d/1GZSj_WM2-8PexZihHPhaQ7ecZaQKcrxn/view?usp=drivesdk</v>
      </c>
      <c r="D4222" s="12"/>
      <c r="E4222" s="11">
        <v>4260.0</v>
      </c>
      <c r="F4222" s="2"/>
    </row>
    <row r="4223" ht="1.5" customHeight="1">
      <c r="A4223" s="4" t="str">
        <f>IFERROR(__xludf.DUMMYFUNCTION("""COMPUTED_VALUE"""),"1. Microwave")</f>
        <v>1. Microwave</v>
      </c>
      <c r="B4223" s="4" t="str">
        <f>IFERROR(__xludf.DUMMYFUNCTION("""COMPUTED_VALUE"""),"1")</f>
        <v>1</v>
      </c>
      <c r="C4223" s="5" t="str">
        <f>IFERROR(__xludf.DUMMYFUNCTION("""COMPUTED_VALUE"""),"https://drive.google.com/file/d/1QJ_9U2jvoU8eLMlhp2oV0yhBe-Fk7005/view?usp=drivesdk")</f>
        <v>https://drive.google.com/file/d/1QJ_9U2jvoU8eLMlhp2oV0yhBe-Fk7005/view?usp=drivesdk</v>
      </c>
      <c r="D4223" s="12"/>
      <c r="E4223" s="11">
        <v>4261.0</v>
      </c>
      <c r="F4223" s="2"/>
    </row>
    <row r="4224" ht="1.5" customHeight="1">
      <c r="A4224" s="4" t="str">
        <f>IFERROR(__xludf.DUMMYFUNCTION("""COMPUTED_VALUE"""),"1. Microwave")</f>
        <v>1. Microwave</v>
      </c>
      <c r="B4224" s="4" t="str">
        <f>IFERROR(__xludf.DUMMYFUNCTION("""COMPUTED_VALUE"""),"1")</f>
        <v>1</v>
      </c>
      <c r="C4224" s="5" t="str">
        <f>IFERROR(__xludf.DUMMYFUNCTION("""COMPUTED_VALUE"""),"https://drive.google.com/file/d/19U6aaP0llEZ2fyIiE7x2S0U6wj-xQUiI/view?usp=drivesdk")</f>
        <v>https://drive.google.com/file/d/19U6aaP0llEZ2fyIiE7x2S0U6wj-xQUiI/view?usp=drivesdk</v>
      </c>
      <c r="D4224" s="12"/>
      <c r="E4224" s="11">
        <v>4262.0</v>
      </c>
      <c r="F4224" s="2"/>
    </row>
    <row r="4225" ht="1.5" customHeight="1">
      <c r="A4225" s="4" t="str">
        <f>IFERROR(__xludf.DUMMYFUNCTION("""COMPUTED_VALUE"""),"1. Microwave")</f>
        <v>1. Microwave</v>
      </c>
      <c r="B4225" s="4" t="str">
        <f>IFERROR(__xludf.DUMMYFUNCTION("""COMPUTED_VALUE"""),"1")</f>
        <v>1</v>
      </c>
      <c r="C4225" s="5" t="str">
        <f>IFERROR(__xludf.DUMMYFUNCTION("""COMPUTED_VALUE"""),"https://drive.google.com/file/d/18941O8N637JUP81gQsmPdx685IjRkjQZ/view?usp=drivesdk")</f>
        <v>https://drive.google.com/file/d/18941O8N637JUP81gQsmPdx685IjRkjQZ/view?usp=drivesdk</v>
      </c>
      <c r="D4225" s="12"/>
      <c r="E4225" s="11">
        <v>4263.0</v>
      </c>
      <c r="F4225" s="2"/>
    </row>
    <row r="4226" ht="1.5" customHeight="1">
      <c r="A4226" s="4" t="str">
        <f>IFERROR(__xludf.DUMMYFUNCTION("""COMPUTED_VALUE"""),"1. Microwave")</f>
        <v>1. Microwave</v>
      </c>
      <c r="B4226" s="4" t="str">
        <f>IFERROR(__xludf.DUMMYFUNCTION("""COMPUTED_VALUE"""),"1")</f>
        <v>1</v>
      </c>
      <c r="C4226" s="5" t="str">
        <f>IFERROR(__xludf.DUMMYFUNCTION("""COMPUTED_VALUE"""),"https://drive.google.com/file/d/1xJVwcjWkD7SP-SfaKZat0jewajK9lVjE/view?usp=drivesdk")</f>
        <v>https://drive.google.com/file/d/1xJVwcjWkD7SP-SfaKZat0jewajK9lVjE/view?usp=drivesdk</v>
      </c>
      <c r="D4226" s="12"/>
      <c r="E4226" s="11">
        <v>4264.0</v>
      </c>
      <c r="F4226" s="2"/>
    </row>
    <row r="4227" ht="1.5" customHeight="1">
      <c r="A4227" s="4" t="str">
        <f>IFERROR(__xludf.DUMMYFUNCTION("""COMPUTED_VALUE"""),"5. Eraser")</f>
        <v>5. Eraser</v>
      </c>
      <c r="B4227" s="4" t="str">
        <f>IFERROR(__xludf.DUMMYFUNCTION("""COMPUTED_VALUE"""),"5")</f>
        <v>5</v>
      </c>
      <c r="C4227" s="5" t="str">
        <f>IFERROR(__xludf.DUMMYFUNCTION("""COMPUTED_VALUE"""),"https://drive.google.com/file/d/1LoZlFWR9j4jb2607C6kF3kgddLKABX-u/view?usp=drivesdk")</f>
        <v>https://drive.google.com/file/d/1LoZlFWR9j4jb2607C6kF3kgddLKABX-u/view?usp=drivesdk</v>
      </c>
      <c r="D4227" s="12"/>
      <c r="E4227" s="11">
        <v>4265.0</v>
      </c>
      <c r="F4227" s="2"/>
    </row>
    <row r="4228" ht="1.5" customHeight="1">
      <c r="A4228" s="4" t="str">
        <f>IFERROR(__xludf.DUMMYFUNCTION("""COMPUTED_VALUE"""),"5. Eraser")</f>
        <v>5. Eraser</v>
      </c>
      <c r="B4228" s="4" t="str">
        <f>IFERROR(__xludf.DUMMYFUNCTION("""COMPUTED_VALUE"""),"5")</f>
        <v>5</v>
      </c>
      <c r="C4228" s="5" t="str">
        <f>IFERROR(__xludf.DUMMYFUNCTION("""COMPUTED_VALUE"""),"https://drive.google.com/file/d/1Nh3a1T6IB1Hk8mUwLQJoRSB0Tck5f23H/view?usp=drivesdk")</f>
        <v>https://drive.google.com/file/d/1Nh3a1T6IB1Hk8mUwLQJoRSB0Tck5f23H/view?usp=drivesdk</v>
      </c>
      <c r="D4228" s="12"/>
      <c r="E4228" s="11">
        <v>4266.0</v>
      </c>
      <c r="F4228" s="2"/>
    </row>
    <row r="4229" ht="1.5" customHeight="1">
      <c r="A4229" s="4" t="str">
        <f>IFERROR(__xludf.DUMMYFUNCTION("""COMPUTED_VALUE"""),"35. Stove")</f>
        <v>35. Stove</v>
      </c>
      <c r="B4229" s="4" t="str">
        <f>IFERROR(__xludf.DUMMYFUNCTION("""COMPUTED_VALUE"""),"35")</f>
        <v>35</v>
      </c>
      <c r="C4229" s="5" t="str">
        <f>IFERROR(__xludf.DUMMYFUNCTION("""COMPUTED_VALUE"""),"https://drive.google.com/file/d/1ArpSXL_Djj21YvbUbhOBiaV5otcK99wa/view?usp=drivesdk")</f>
        <v>https://drive.google.com/file/d/1ArpSXL_Djj21YvbUbhOBiaV5otcK99wa/view?usp=drivesdk</v>
      </c>
      <c r="D4229" s="12"/>
      <c r="E4229" s="11">
        <v>4267.0</v>
      </c>
      <c r="F4229" s="2"/>
    </row>
    <row r="4230" ht="1.5" customHeight="1">
      <c r="A4230" s="4" t="str">
        <f>IFERROR(__xludf.DUMMYFUNCTION("""COMPUTED_VALUE"""),"27. Angel")</f>
        <v>27. Angel</v>
      </c>
      <c r="B4230" s="4" t="str">
        <f>IFERROR(__xludf.DUMMYFUNCTION("""COMPUTED_VALUE"""),"27")</f>
        <v>27</v>
      </c>
      <c r="C4230" s="5" t="str">
        <f>IFERROR(__xludf.DUMMYFUNCTION("""COMPUTED_VALUE"""),"https://drive.google.com/file/d/1dpbS6nvJZz42YudFJvB_sXeciIcE68X6/view?usp=drivesdk")</f>
        <v>https://drive.google.com/file/d/1dpbS6nvJZz42YudFJvB_sXeciIcE68X6/view?usp=drivesdk</v>
      </c>
      <c r="D4230" s="12"/>
      <c r="E4230" s="11">
        <v>4268.0</v>
      </c>
      <c r="F4230" s="2"/>
    </row>
    <row r="4231" ht="1.5" customHeight="1">
      <c r="A4231" s="4" t="str">
        <f>IFERROR(__xludf.DUMMYFUNCTION("""COMPUTED_VALUE"""),"29. Ginger")</f>
        <v>29. Ginger</v>
      </c>
      <c r="B4231" s="4" t="str">
        <f>IFERROR(__xludf.DUMMYFUNCTION("""COMPUTED_VALUE"""),"29")</f>
        <v>29</v>
      </c>
      <c r="C4231" s="5" t="str">
        <f>IFERROR(__xludf.DUMMYFUNCTION("""COMPUTED_VALUE"""),"https://drive.google.com/file/d/1R-U4LFIyTgLrEsGx3--LUlDcNTbsw32x/view?usp=drivesdk")</f>
        <v>https://drive.google.com/file/d/1R-U4LFIyTgLrEsGx3--LUlDcNTbsw32x/view?usp=drivesdk</v>
      </c>
      <c r="D4231" s="12"/>
      <c r="E4231" s="11">
        <v>4269.0</v>
      </c>
      <c r="F4231" s="2"/>
    </row>
    <row r="4232" ht="1.5" customHeight="1">
      <c r="A4232" s="4" t="str">
        <f>IFERROR(__xludf.DUMMYFUNCTION("""COMPUTED_VALUE"""),"30. Pepper")</f>
        <v>30. Pepper</v>
      </c>
      <c r="B4232" s="4" t="str">
        <f>IFERROR(__xludf.DUMMYFUNCTION("""COMPUTED_VALUE"""),"30")</f>
        <v>30</v>
      </c>
      <c r="C4232" s="5" t="str">
        <f>IFERROR(__xludf.DUMMYFUNCTION("""COMPUTED_VALUE"""),"https://drive.google.com/file/d/1Z4bZZUG6IkPCUigpZiNXUJG2glAKigW1/view?usp=drivesdk")</f>
        <v>https://drive.google.com/file/d/1Z4bZZUG6IkPCUigpZiNXUJG2glAKigW1/view?usp=drivesdk</v>
      </c>
      <c r="D4232" s="12"/>
      <c r="E4232" s="11">
        <v>4270.0</v>
      </c>
      <c r="F4232" s="2"/>
    </row>
    <row r="4233" ht="1.5" customHeight="1">
      <c r="A4233" s="4" t="str">
        <f>IFERROR(__xludf.DUMMYFUNCTION("""COMPUTED_VALUE"""),"33. Zee")</f>
        <v>33. Zee</v>
      </c>
      <c r="B4233" s="4" t="str">
        <f>IFERROR(__xludf.DUMMYFUNCTION("""COMPUTED_VALUE"""),"33")</f>
        <v>33</v>
      </c>
      <c r="C4233" s="5" t="str">
        <f>IFERROR(__xludf.DUMMYFUNCTION("""COMPUTED_VALUE"""),"https://drive.google.com/file/d/1YucDG8rRAHniZvuX-QV6WXmLONFIkKho/view?usp=drivesdk")</f>
        <v>https://drive.google.com/file/d/1YucDG8rRAHniZvuX-QV6WXmLONFIkKho/view?usp=drivesdk</v>
      </c>
      <c r="D4233" s="12"/>
      <c r="E4233" s="11">
        <v>4271.0</v>
      </c>
      <c r="F4233" s="2"/>
    </row>
    <row r="4234" ht="1.5" customHeight="1">
      <c r="A4234" s="4" t="str">
        <f>IFERROR(__xludf.DUMMYFUNCTION("""COMPUTED_VALUE"""),"1. Microwave")</f>
        <v>1. Microwave</v>
      </c>
      <c r="B4234" s="4" t="str">
        <f>IFERROR(__xludf.DUMMYFUNCTION("""COMPUTED_VALUE"""),"1")</f>
        <v>1</v>
      </c>
      <c r="C4234" s="5" t="str">
        <f>IFERROR(__xludf.DUMMYFUNCTION("""COMPUTED_VALUE"""),"https://drive.google.com/file/d/1nSlVRaiFMw2mYZo0O3F9rUAGwFY6i9BA/view?usp=drivesdk")</f>
        <v>https://drive.google.com/file/d/1nSlVRaiFMw2mYZo0O3F9rUAGwFY6i9BA/view?usp=drivesdk</v>
      </c>
      <c r="D4234" s="12"/>
      <c r="E4234" s="11">
        <v>4272.0</v>
      </c>
      <c r="F4234" s="2"/>
    </row>
    <row r="4235" ht="1.5" customHeight="1">
      <c r="A4235" s="4" t="str">
        <f>IFERROR(__xludf.DUMMYFUNCTION("""COMPUTED_VALUE"""),"32. Noir")</f>
        <v>32. Noir</v>
      </c>
      <c r="B4235" s="4" t="str">
        <f>IFERROR(__xludf.DUMMYFUNCTION("""COMPUTED_VALUE"""),"32")</f>
        <v>32</v>
      </c>
      <c r="C4235" s="5" t="str">
        <f>IFERROR(__xludf.DUMMYFUNCTION("""COMPUTED_VALUE"""),"https://drive.google.com/file/d/1Le_aI6gLH-SZM72G4FZmFd-e7MyNLF-U/view?usp=drivesdk")</f>
        <v>https://drive.google.com/file/d/1Le_aI6gLH-SZM72G4FZmFd-e7MyNLF-U/view?usp=drivesdk</v>
      </c>
      <c r="D4235" s="12"/>
      <c r="E4235" s="11">
        <v>4273.0</v>
      </c>
      <c r="F4235" s="2"/>
    </row>
    <row r="4236" ht="1.5" customHeight="1">
      <c r="A4236" s="4" t="str">
        <f>IFERROR(__xludf.DUMMYFUNCTION("""COMPUTED_VALUE"""),"32. Noir")</f>
        <v>32. Noir</v>
      </c>
      <c r="B4236" s="4" t="str">
        <f>IFERROR(__xludf.DUMMYFUNCTION("""COMPUTED_VALUE"""),"32")</f>
        <v>32</v>
      </c>
      <c r="C4236" s="5" t="str">
        <f>IFERROR(__xludf.DUMMYFUNCTION("""COMPUTED_VALUE"""),"https://drive.google.com/file/d/1OMhDvBIsEs7wnM1YcAgvyUKAQ1h1SaTi/view?usp=drivesdk")</f>
        <v>https://drive.google.com/file/d/1OMhDvBIsEs7wnM1YcAgvyUKAQ1h1SaTi/view?usp=drivesdk</v>
      </c>
      <c r="D4236" s="12"/>
      <c r="E4236" s="11">
        <v>4274.0</v>
      </c>
      <c r="F4236" s="2"/>
    </row>
    <row r="4237" ht="1.5" customHeight="1">
      <c r="A4237" s="4" t="str">
        <f>IFERROR(__xludf.DUMMYFUNCTION("""COMPUTED_VALUE"""),"50. Thor")</f>
        <v>50. Thor</v>
      </c>
      <c r="B4237" s="4" t="str">
        <f>IFERROR(__xludf.DUMMYFUNCTION("""COMPUTED_VALUE"""),"50")</f>
        <v>50</v>
      </c>
      <c r="C4237" s="5" t="str">
        <f>IFERROR(__xludf.DUMMYFUNCTION("""COMPUTED_VALUE"""),"https://drive.google.com/file/d/1xyYEHzWWouHmnm85NpdGCEJv1c5bXv5C/view?usp=drivesdk")</f>
        <v>https://drive.google.com/file/d/1xyYEHzWWouHmnm85NpdGCEJv1c5bXv5C/view?usp=drivesdk</v>
      </c>
      <c r="D4237" s="12"/>
      <c r="E4237" s="11">
        <v>4275.0</v>
      </c>
      <c r="F4237" s="2"/>
    </row>
    <row r="4238" ht="1.5" customHeight="1">
      <c r="A4238" s="4" t="str">
        <f>IFERROR(__xludf.DUMMYFUNCTION("""COMPUTED_VALUE"""),"49. Freya, 50. Thor")</f>
        <v>49. Freya, 50. Thor</v>
      </c>
      <c r="B4238" s="4" t="str">
        <f>IFERROR(__xludf.DUMMYFUNCTION("""COMPUTED_VALUE"""),"49, 50")</f>
        <v>49, 50</v>
      </c>
      <c r="C4238" s="5" t="str">
        <f>IFERROR(__xludf.DUMMYFUNCTION("""COMPUTED_VALUE"""),"https://drive.google.com/file/d/1EJ9QuttLoyGReyJqbWOgrLuwKz6ORKg7/view?usp=drivesdk")</f>
        <v>https://drive.google.com/file/d/1EJ9QuttLoyGReyJqbWOgrLuwKz6ORKg7/view?usp=drivesdk</v>
      </c>
      <c r="D4238" s="12"/>
      <c r="E4238" s="11">
        <v>4276.0</v>
      </c>
      <c r="F4238" s="2"/>
    </row>
    <row r="4239" ht="1.5" customHeight="1">
      <c r="A4239" s="4" t="str">
        <f>IFERROR(__xludf.DUMMYFUNCTION("""COMPUTED_VALUE"""),"50. Thor")</f>
        <v>50. Thor</v>
      </c>
      <c r="B4239" s="4" t="str">
        <f>IFERROR(__xludf.DUMMYFUNCTION("""COMPUTED_VALUE"""),"50")</f>
        <v>50</v>
      </c>
      <c r="C4239" s="5" t="str">
        <f>IFERROR(__xludf.DUMMYFUNCTION("""COMPUTED_VALUE"""),"https://drive.google.com/file/d/14RbVBDB253_wE_IYEyizPIscS77euEUg/view?usp=drivesdk")</f>
        <v>https://drive.google.com/file/d/14RbVBDB253_wE_IYEyizPIscS77euEUg/view?usp=drivesdk</v>
      </c>
      <c r="D4239" s="12"/>
      <c r="E4239" s="11">
        <v>4277.0</v>
      </c>
      <c r="F4239" s="2"/>
    </row>
    <row r="4240" ht="1.5" customHeight="1">
      <c r="A4240" s="4" t="str">
        <f>IFERROR(__xludf.DUMMYFUNCTION("""COMPUTED_VALUE"""),"50. Thor")</f>
        <v>50. Thor</v>
      </c>
      <c r="B4240" s="4" t="str">
        <f>IFERROR(__xludf.DUMMYFUNCTION("""COMPUTED_VALUE"""),"50")</f>
        <v>50</v>
      </c>
      <c r="C4240" s="5" t="str">
        <f>IFERROR(__xludf.DUMMYFUNCTION("""COMPUTED_VALUE"""),"https://drive.google.com/file/d/1u0jriRLM0OAIb0cPBG8T5qi63zTbZniM/view?usp=drivesdk")</f>
        <v>https://drive.google.com/file/d/1u0jriRLM0OAIb0cPBG8T5qi63zTbZniM/view?usp=drivesdk</v>
      </c>
      <c r="D4240" s="12"/>
      <c r="E4240" s="11">
        <v>4278.0</v>
      </c>
      <c r="F4240" s="2"/>
    </row>
    <row r="4241" ht="1.5" customHeight="1">
      <c r="A4241" s="4" t="str">
        <f>IFERROR(__xludf.DUMMYFUNCTION("""COMPUTED_VALUE"""),"49. Freya")</f>
        <v>49. Freya</v>
      </c>
      <c r="B4241" s="4" t="str">
        <f>IFERROR(__xludf.DUMMYFUNCTION("""COMPUTED_VALUE"""),"49")</f>
        <v>49</v>
      </c>
      <c r="C4241" s="5" t="str">
        <f>IFERROR(__xludf.DUMMYFUNCTION("""COMPUTED_VALUE"""),"https://drive.google.com/file/d/1lWs-4_3eiAC2mEZeFb7Kv7-4xf6ghncb/view?usp=drivesdk")</f>
        <v>https://drive.google.com/file/d/1lWs-4_3eiAC2mEZeFb7Kv7-4xf6ghncb/view?usp=drivesdk</v>
      </c>
      <c r="D4241" s="12"/>
      <c r="E4241" s="11">
        <v>4279.0</v>
      </c>
      <c r="F4241" s="2"/>
    </row>
    <row r="4242" ht="1.5" customHeight="1">
      <c r="A4242" s="4" t="str">
        <f>IFERROR(__xludf.DUMMYFUNCTION("""COMPUTED_VALUE"""),"49. Freya")</f>
        <v>49. Freya</v>
      </c>
      <c r="B4242" s="4" t="str">
        <f>IFERROR(__xludf.DUMMYFUNCTION("""COMPUTED_VALUE"""),"49")</f>
        <v>49</v>
      </c>
      <c r="C4242" s="5" t="str">
        <f>IFERROR(__xludf.DUMMYFUNCTION("""COMPUTED_VALUE"""),"https://drive.google.com/file/d/1_-ccGeUUqIwNTldOhI5B7OBGzTicwA1P/view?usp=drivesdk")</f>
        <v>https://drive.google.com/file/d/1_-ccGeUUqIwNTldOhI5B7OBGzTicwA1P/view?usp=drivesdk</v>
      </c>
      <c r="D4242" s="12"/>
      <c r="E4242" s="11">
        <v>4280.0</v>
      </c>
      <c r="F4242" s="2"/>
    </row>
    <row r="4243" ht="1.5" customHeight="1">
      <c r="A4243" s="4" t="str">
        <f>IFERROR(__xludf.DUMMYFUNCTION("""COMPUTED_VALUE"""),"49. Freya")</f>
        <v>49. Freya</v>
      </c>
      <c r="B4243" s="4" t="str">
        <f>IFERROR(__xludf.DUMMYFUNCTION("""COMPUTED_VALUE"""),"49")</f>
        <v>49</v>
      </c>
      <c r="C4243" s="5" t="str">
        <f>IFERROR(__xludf.DUMMYFUNCTION("""COMPUTED_VALUE"""),"https://drive.google.com/file/d/1WxerROhq8PBaamEPsVN57Cg858zulWNq/view?usp=drivesdk")</f>
        <v>https://drive.google.com/file/d/1WxerROhq8PBaamEPsVN57Cg858zulWNq/view?usp=drivesdk</v>
      </c>
      <c r="D4243" s="12"/>
      <c r="E4243" s="11">
        <v>4281.0</v>
      </c>
      <c r="F4243" s="2"/>
    </row>
    <row r="4244" ht="1.5" customHeight="1">
      <c r="A4244" s="4" t="str">
        <f>IFERROR(__xludf.DUMMYFUNCTION("""COMPUTED_VALUE"""),"49. Freya")</f>
        <v>49. Freya</v>
      </c>
      <c r="B4244" s="4" t="str">
        <f>IFERROR(__xludf.DUMMYFUNCTION("""COMPUTED_VALUE"""),"49")</f>
        <v>49</v>
      </c>
      <c r="C4244" s="5" t="str">
        <f>IFERROR(__xludf.DUMMYFUNCTION("""COMPUTED_VALUE"""),"https://drive.google.com/file/d/1vJs9wen2odyJO9Qf1L8yPw8WYKeAVZT6/view?usp=drivesdk")</f>
        <v>https://drive.google.com/file/d/1vJs9wen2odyJO9Qf1L8yPw8WYKeAVZT6/view?usp=drivesdk</v>
      </c>
      <c r="D4244" s="12"/>
      <c r="E4244" s="11">
        <v>4282.0</v>
      </c>
      <c r="F4244" s="2"/>
    </row>
    <row r="4245" ht="1.5" customHeight="1">
      <c r="A4245" s="4" t="str">
        <f>IFERROR(__xludf.DUMMYFUNCTION("""COMPUTED_VALUE"""),"49. Freya")</f>
        <v>49. Freya</v>
      </c>
      <c r="B4245" s="4" t="str">
        <f>IFERROR(__xludf.DUMMYFUNCTION("""COMPUTED_VALUE"""),"49")</f>
        <v>49</v>
      </c>
      <c r="C4245" s="5" t="str">
        <f>IFERROR(__xludf.DUMMYFUNCTION("""COMPUTED_VALUE"""),"https://drive.google.com/file/d/1U3SGXVxXn11hh3RTmZjsgylUk3gN8Fne/view?usp=drivesdk")</f>
        <v>https://drive.google.com/file/d/1U3SGXVxXn11hh3RTmZjsgylUk3gN8Fne/view?usp=drivesdk</v>
      </c>
      <c r="D4245" s="12"/>
      <c r="E4245" s="11">
        <v>4283.0</v>
      </c>
      <c r="F4245" s="2"/>
    </row>
    <row r="4246" ht="1.5" customHeight="1">
      <c r="A4246" s="4" t="str">
        <f>IFERROR(__xludf.DUMMYFUNCTION("""COMPUTED_VALUE"""),"0. NotACat")</f>
        <v>0. NotACat</v>
      </c>
      <c r="B4246" s="4" t="str">
        <f>IFERROR(__xludf.DUMMYFUNCTION("""COMPUTED_VALUE"""),"0")</f>
        <v>0</v>
      </c>
      <c r="C4246" s="5" t="str">
        <f>IFERROR(__xludf.DUMMYFUNCTION("""COMPUTED_VALUE"""),"https://drive.google.com/file/d/1oThfI1g5QG3RVvHgT8bYHb4dJD2ORkfg/view?usp=drivesdk")</f>
        <v>https://drive.google.com/file/d/1oThfI1g5QG3RVvHgT8bYHb4dJD2ORkfg/view?usp=drivesdk</v>
      </c>
      <c r="D4246" s="12"/>
      <c r="E4246" s="11">
        <v>4284.0</v>
      </c>
      <c r="F4246" s="2"/>
    </row>
    <row r="4247" ht="1.5" customHeight="1">
      <c r="A4247" s="4" t="str">
        <f>IFERROR(__xludf.DUMMYFUNCTION("""COMPUTED_VALUE"""),"1. Microwave")</f>
        <v>1. Microwave</v>
      </c>
      <c r="B4247" s="4" t="str">
        <f>IFERROR(__xludf.DUMMYFUNCTION("""COMPUTED_VALUE"""),"1")</f>
        <v>1</v>
      </c>
      <c r="C4247" s="5" t="str">
        <f>IFERROR(__xludf.DUMMYFUNCTION("""COMPUTED_VALUE"""),"https://drive.google.com/file/d/1jTuoEsINZuSu9GwT9h4ZlrejlegCTLcS/view?usp=drivesdk")</f>
        <v>https://drive.google.com/file/d/1jTuoEsINZuSu9GwT9h4ZlrejlegCTLcS/view?usp=drivesdk</v>
      </c>
      <c r="D4247" s="12"/>
      <c r="E4247" s="11">
        <v>4285.0</v>
      </c>
      <c r="F4247" s="2"/>
    </row>
    <row r="4248" ht="1.5" customHeight="1">
      <c r="A4248" s="4" t="str">
        <f>IFERROR(__xludf.DUMMYFUNCTION("""COMPUTED_VALUE"""),"0. NotACat")</f>
        <v>0. NotACat</v>
      </c>
      <c r="B4248" s="4" t="str">
        <f>IFERROR(__xludf.DUMMYFUNCTION("""COMPUTED_VALUE"""),"0")</f>
        <v>0</v>
      </c>
      <c r="C4248" s="5" t="str">
        <f>IFERROR(__xludf.DUMMYFUNCTION("""COMPUTED_VALUE"""),"https://drive.google.com/file/d/1doXKX9zVMT5iw2R7YZUCbFJBDs2IJOjg/view?usp=drivesdk")</f>
        <v>https://drive.google.com/file/d/1doXKX9zVMT5iw2R7YZUCbFJBDs2IJOjg/view?usp=drivesdk</v>
      </c>
      <c r="D4248" s="12"/>
      <c r="E4248" s="11">
        <v>4286.0</v>
      </c>
      <c r="F4248" s="2"/>
    </row>
    <row r="4249" ht="1.5" customHeight="1">
      <c r="A4249" s="4" t="str">
        <f>IFERROR(__xludf.DUMMYFUNCTION("""COMPUTED_VALUE"""),"64. Ernie")</f>
        <v>64. Ernie</v>
      </c>
      <c r="B4249" s="4" t="str">
        <f>IFERROR(__xludf.DUMMYFUNCTION("""COMPUTED_VALUE"""),"64")</f>
        <v>64</v>
      </c>
      <c r="C4249" s="5" t="str">
        <f>IFERROR(__xludf.DUMMYFUNCTION("""COMPUTED_VALUE"""),"https://drive.google.com/file/d/14db7kjfsgsgmtXVGuDmLrlPZo34a1rlO/view?usp=drivesdk")</f>
        <v>https://drive.google.com/file/d/14db7kjfsgsgmtXVGuDmLrlPZo34a1rlO/view?usp=drivesdk</v>
      </c>
      <c r="D4249" s="12"/>
      <c r="E4249" s="11">
        <v>4287.0</v>
      </c>
      <c r="F4249" s="2"/>
    </row>
    <row r="4250" ht="1.5" customHeight="1">
      <c r="A4250" s="4" t="str">
        <f>IFERROR(__xludf.DUMMYFUNCTION("""COMPUTED_VALUE"""),"64. Ernie")</f>
        <v>64. Ernie</v>
      </c>
      <c r="B4250" s="4" t="str">
        <f>IFERROR(__xludf.DUMMYFUNCTION("""COMPUTED_VALUE"""),"64")</f>
        <v>64</v>
      </c>
      <c r="C4250" s="5" t="str">
        <f>IFERROR(__xludf.DUMMYFUNCTION("""COMPUTED_VALUE"""),"https://drive.google.com/file/d/1L5tBY1d_R39OzxfTRub3mDwvyUCFLFmb/view?usp=drivesdk")</f>
        <v>https://drive.google.com/file/d/1L5tBY1d_R39OzxfTRub3mDwvyUCFLFmb/view?usp=drivesdk</v>
      </c>
      <c r="D4250" s="12"/>
      <c r="E4250" s="11">
        <v>4288.0</v>
      </c>
      <c r="F4250" s="2"/>
    </row>
    <row r="4251" ht="1.5" customHeight="1">
      <c r="A4251" s="4" t="str">
        <f>IFERROR(__xludf.DUMMYFUNCTION("""COMPUTED_VALUE"""),"64. Ernie")</f>
        <v>64. Ernie</v>
      </c>
      <c r="B4251" s="4" t="str">
        <f>IFERROR(__xludf.DUMMYFUNCTION("""COMPUTED_VALUE"""),"64")</f>
        <v>64</v>
      </c>
      <c r="C4251" s="5" t="str">
        <f>IFERROR(__xludf.DUMMYFUNCTION("""COMPUTED_VALUE"""),"https://drive.google.com/file/d/1eYnyNx1XhUoNteQ77i50z7Z4UUar5GrT/view?usp=drivesdk")</f>
        <v>https://drive.google.com/file/d/1eYnyNx1XhUoNteQ77i50z7Z4UUar5GrT/view?usp=drivesdk</v>
      </c>
      <c r="D4251" s="12"/>
      <c r="E4251" s="11">
        <v>4289.0</v>
      </c>
      <c r="F4251" s="2"/>
    </row>
    <row r="4252" ht="1.5" customHeight="1">
      <c r="A4252" s="4" t="str">
        <f>IFERROR(__xludf.DUMMYFUNCTION("""COMPUTED_VALUE"""),"8. Pencil")</f>
        <v>8. Pencil</v>
      </c>
      <c r="B4252" s="4" t="str">
        <f>IFERROR(__xludf.DUMMYFUNCTION("""COMPUTED_VALUE"""),"8")</f>
        <v>8</v>
      </c>
      <c r="C4252" s="5" t="str">
        <f>IFERROR(__xludf.DUMMYFUNCTION("""COMPUTED_VALUE"""),"https://drive.google.com/file/d/1ph-BAl-OpSrkRiVAGCyRNb3iFebmFnm6/view?usp=drivesdk")</f>
        <v>https://drive.google.com/file/d/1ph-BAl-OpSrkRiVAGCyRNb3iFebmFnm6/view?usp=drivesdk</v>
      </c>
      <c r="D4252" s="12"/>
      <c r="E4252" s="11">
        <v>4290.0</v>
      </c>
      <c r="F4252" s="2"/>
    </row>
    <row r="4253" ht="1.5" customHeight="1">
      <c r="A4253" s="4" t="str">
        <f>IFERROR(__xludf.DUMMYFUNCTION("""COMPUTED_VALUE"""),"49. Freya")</f>
        <v>49. Freya</v>
      </c>
      <c r="B4253" s="4" t="str">
        <f>IFERROR(__xludf.DUMMYFUNCTION("""COMPUTED_VALUE"""),"49")</f>
        <v>49</v>
      </c>
      <c r="C4253" s="5" t="str">
        <f>IFERROR(__xludf.DUMMYFUNCTION("""COMPUTED_VALUE"""),"https://drive.google.com/file/d/1ofyr1uPm3v5xczTYPvpaNQfSjyOHgHHL/view?usp=drivesdk")</f>
        <v>https://drive.google.com/file/d/1ofyr1uPm3v5xczTYPvpaNQfSjyOHgHHL/view?usp=drivesdk</v>
      </c>
      <c r="D4253" s="12"/>
      <c r="E4253" s="11">
        <v>4291.0</v>
      </c>
      <c r="F4253" s="2"/>
    </row>
    <row r="4254" ht="1.5" customHeight="1">
      <c r="A4254" s="4" t="str">
        <f>IFERROR(__xludf.DUMMYFUNCTION("""COMPUTED_VALUE"""),"49. Freya")</f>
        <v>49. Freya</v>
      </c>
      <c r="B4254" s="4" t="str">
        <f>IFERROR(__xludf.DUMMYFUNCTION("""COMPUTED_VALUE"""),"49")</f>
        <v>49</v>
      </c>
      <c r="C4254" s="5" t="str">
        <f>IFERROR(__xludf.DUMMYFUNCTION("""COMPUTED_VALUE"""),"https://drive.google.com/file/d/1FtkLUkaP_1yCsjcp5doKmjsaBT9Hl6XT/view?usp=drivesdk")</f>
        <v>https://drive.google.com/file/d/1FtkLUkaP_1yCsjcp5doKmjsaBT9Hl6XT/view?usp=drivesdk</v>
      </c>
      <c r="D4254" s="12"/>
      <c r="E4254" s="11">
        <v>4292.0</v>
      </c>
      <c r="F4254" s="2"/>
    </row>
    <row r="4255" ht="1.5" customHeight="1">
      <c r="A4255" s="4" t="str">
        <f>IFERROR(__xludf.DUMMYFUNCTION("""COMPUTED_VALUE"""),"49. Freya")</f>
        <v>49. Freya</v>
      </c>
      <c r="B4255" s="4" t="str">
        <f>IFERROR(__xludf.DUMMYFUNCTION("""COMPUTED_VALUE"""),"49")</f>
        <v>49</v>
      </c>
      <c r="C4255" s="5" t="str">
        <f>IFERROR(__xludf.DUMMYFUNCTION("""COMPUTED_VALUE"""),"https://drive.google.com/file/d/1WU8uTexKdyLkBy8Rk3yIseI0CsgS4O3m/view?usp=drivesdk")</f>
        <v>https://drive.google.com/file/d/1WU8uTexKdyLkBy8Rk3yIseI0CsgS4O3m/view?usp=drivesdk</v>
      </c>
      <c r="D4255" s="12"/>
      <c r="E4255" s="11">
        <v>4293.0</v>
      </c>
      <c r="F4255" s="2"/>
    </row>
    <row r="4256" ht="1.5" customHeight="1">
      <c r="A4256" s="4" t="str">
        <f>IFERROR(__xludf.DUMMYFUNCTION("""COMPUTED_VALUE"""),"50. Thor")</f>
        <v>50. Thor</v>
      </c>
      <c r="B4256" s="4" t="str">
        <f>IFERROR(__xludf.DUMMYFUNCTION("""COMPUTED_VALUE"""),"50")</f>
        <v>50</v>
      </c>
      <c r="C4256" s="5" t="str">
        <f>IFERROR(__xludf.DUMMYFUNCTION("""COMPUTED_VALUE"""),"https://drive.google.com/file/d/1Jmx4GtUCpNwL8qLElp9eOgiDBMowiCbp/view?usp=drivesdk")</f>
        <v>https://drive.google.com/file/d/1Jmx4GtUCpNwL8qLElp9eOgiDBMowiCbp/view?usp=drivesdk</v>
      </c>
      <c r="D4256" s="12"/>
      <c r="E4256" s="11">
        <v>4294.0</v>
      </c>
      <c r="F4256" s="2"/>
    </row>
    <row r="4257" ht="1.5" customHeight="1">
      <c r="A4257" s="4" t="str">
        <f>IFERROR(__xludf.DUMMYFUNCTION("""COMPUTED_VALUE"""),"50. Thor")</f>
        <v>50. Thor</v>
      </c>
      <c r="B4257" s="4" t="str">
        <f>IFERROR(__xludf.DUMMYFUNCTION("""COMPUTED_VALUE"""),"50")</f>
        <v>50</v>
      </c>
      <c r="C4257" s="5" t="str">
        <f>IFERROR(__xludf.DUMMYFUNCTION("""COMPUTED_VALUE"""),"https://drive.google.com/file/d/1RuS3katCxlbry0AB3S9VFzAiWaTsdSRR/view?usp=drivesdk")</f>
        <v>https://drive.google.com/file/d/1RuS3katCxlbry0AB3S9VFzAiWaTsdSRR/view?usp=drivesdk</v>
      </c>
      <c r="D4257" s="12"/>
      <c r="E4257" s="11">
        <v>4295.0</v>
      </c>
      <c r="F4257" s="2"/>
    </row>
    <row r="4258" ht="1.5" customHeight="1">
      <c r="A4258" s="4" t="str">
        <f>IFERROR(__xludf.DUMMYFUNCTION("""COMPUTED_VALUE"""),"49. Freya")</f>
        <v>49. Freya</v>
      </c>
      <c r="B4258" s="4" t="str">
        <f>IFERROR(__xludf.DUMMYFUNCTION("""COMPUTED_VALUE"""),"49")</f>
        <v>49</v>
      </c>
      <c r="C4258" s="5" t="str">
        <f>IFERROR(__xludf.DUMMYFUNCTION("""COMPUTED_VALUE"""),"https://drive.google.com/file/d/1sKoooQdbSxMsQNTYh2awwUhglx6Yyb0y/view?usp=drivesdk")</f>
        <v>https://drive.google.com/file/d/1sKoooQdbSxMsQNTYh2awwUhglx6Yyb0y/view?usp=drivesdk</v>
      </c>
      <c r="D4258" s="12"/>
      <c r="E4258" s="11">
        <v>4296.0</v>
      </c>
      <c r="F4258" s="2"/>
    </row>
    <row r="4259" ht="1.5" customHeight="1">
      <c r="A4259" s="4" t="str">
        <f>IFERROR(__xludf.DUMMYFUNCTION("""COMPUTED_VALUE"""),"61. Cassie, 47. Nefarious, 12. Faye")</f>
        <v>61. Cassie, 47. Nefarious, 12. Faye</v>
      </c>
      <c r="B4259" s="4" t="str">
        <f>IFERROR(__xludf.DUMMYFUNCTION("""COMPUTED_VALUE"""),"61, 47, 12")</f>
        <v>61, 47, 12</v>
      </c>
      <c r="C4259" s="5" t="str">
        <f>IFERROR(__xludf.DUMMYFUNCTION("""COMPUTED_VALUE"""),"https://drive.google.com/file/d/1nf3H7MTFoUFrf9xfbqoeS_sgUH92F5Qv/view?usp=drivesdk")</f>
        <v>https://drive.google.com/file/d/1nf3H7MTFoUFrf9xfbqoeS_sgUH92F5Qv/view?usp=drivesdk</v>
      </c>
      <c r="D4259" s="12"/>
      <c r="E4259" s="11">
        <v>4297.0</v>
      </c>
      <c r="F4259" s="2"/>
    </row>
    <row r="4260" ht="1.5" customHeight="1">
      <c r="A4260" s="4" t="str">
        <f>IFERROR(__xludf.DUMMYFUNCTION("""COMPUTED_VALUE"""),"45. Boots, 58. Eden, 47. Nefarious, 39. Radar, 61. Cassie, 38. Winston, 12. Faye")</f>
        <v>45. Boots, 58. Eden, 47. Nefarious, 39. Radar, 61. Cassie, 38. Winston, 12. Faye</v>
      </c>
      <c r="B4260" s="4" t="str">
        <f>IFERROR(__xludf.DUMMYFUNCTION("""COMPUTED_VALUE"""),"45, 58, 47, 39, 61, 38, 12")</f>
        <v>45, 58, 47, 39, 61, 38, 12</v>
      </c>
      <c r="C4260" s="5" t="str">
        <f>IFERROR(__xludf.DUMMYFUNCTION("""COMPUTED_VALUE"""),"https://drive.google.com/file/d/1NUnPIZYxxki2esQZyz4BcwybqQUV8VZb/view?usp=drivesdk")</f>
        <v>https://drive.google.com/file/d/1NUnPIZYxxki2esQZyz4BcwybqQUV8VZb/view?usp=drivesdk</v>
      </c>
      <c r="D4260" s="12"/>
      <c r="E4260" s="11">
        <v>4298.0</v>
      </c>
      <c r="F4260" s="2"/>
    </row>
    <row r="4261" ht="1.5" customHeight="1">
      <c r="A4261" s="4" t="str">
        <f>IFERROR(__xludf.DUMMYFUNCTION("""COMPUTED_VALUE"""),"45. Boots")</f>
        <v>45. Boots</v>
      </c>
      <c r="B4261" s="4" t="str">
        <f>IFERROR(__xludf.DUMMYFUNCTION("""COMPUTED_VALUE"""),"45")</f>
        <v>45</v>
      </c>
      <c r="C4261" s="5" t="str">
        <f>IFERROR(__xludf.DUMMYFUNCTION("""COMPUTED_VALUE"""),"https://drive.google.com/file/d/1asp0cyhGD7esD-YyVvpMzI0azY-MxvIm/view?usp=drivesdk")</f>
        <v>https://drive.google.com/file/d/1asp0cyhGD7esD-YyVvpMzI0azY-MxvIm/view?usp=drivesdk</v>
      </c>
      <c r="D4261" s="12"/>
      <c r="E4261" s="11">
        <v>4299.0</v>
      </c>
      <c r="F4261" s="2"/>
    </row>
    <row r="4262" ht="1.5" customHeight="1">
      <c r="A4262" s="4" t="str">
        <f>IFERROR(__xludf.DUMMYFUNCTION("""COMPUTED_VALUE"""),"61. Cassie, 47. Nefarious, 38. Winston, 39. Radar, 41. Gregory, 58. Eden, 12. Faye, 42. Rubber")</f>
        <v>61. Cassie, 47. Nefarious, 38. Winston, 39. Radar, 41. Gregory, 58. Eden, 12. Faye, 42. Rubber</v>
      </c>
      <c r="B4262" s="4" t="str">
        <f>IFERROR(__xludf.DUMMYFUNCTION("""COMPUTED_VALUE"""),"61, 47, 38, 39, 41, 58, 12, 42")</f>
        <v>61, 47, 38, 39, 41, 58, 12, 42</v>
      </c>
      <c r="C4262" s="5" t="str">
        <f>IFERROR(__xludf.DUMMYFUNCTION("""COMPUTED_VALUE"""),"https://drive.google.com/file/d/1AF9MqrBbcW_2F_6ciX-alHqDLLweEnZc/view?usp=drivesdk")</f>
        <v>https://drive.google.com/file/d/1AF9MqrBbcW_2F_6ciX-alHqDLLweEnZc/view?usp=drivesdk</v>
      </c>
      <c r="D4262" s="12"/>
      <c r="E4262" s="11">
        <v>4300.0</v>
      </c>
      <c r="F4262" s="2"/>
    </row>
    <row r="4263" ht="1.5" customHeight="1">
      <c r="A4263" s="4" t="str">
        <f>IFERROR(__xludf.DUMMYFUNCTION("""COMPUTED_VALUE"""),"5. Eraser, 2. Twix")</f>
        <v>5. Eraser, 2. Twix</v>
      </c>
      <c r="B4263" s="4" t="str">
        <f>IFERROR(__xludf.DUMMYFUNCTION("""COMPUTED_VALUE"""),"5, 2")</f>
        <v>5, 2</v>
      </c>
      <c r="C4263" s="5" t="str">
        <f>IFERROR(__xludf.DUMMYFUNCTION("""COMPUTED_VALUE"""),"https://drive.google.com/file/d/1dta3XqFTjP6E9isZwcNGR1d6WzVTLdlU/view?usp=drivesdk")</f>
        <v>https://drive.google.com/file/d/1dta3XqFTjP6E9isZwcNGR1d6WzVTLdlU/view?usp=drivesdk</v>
      </c>
      <c r="D4263" s="12"/>
      <c r="E4263" s="11">
        <v>4301.0</v>
      </c>
      <c r="F4263" s="2"/>
    </row>
    <row r="4264" ht="1.5" customHeight="1">
      <c r="A4264" s="4" t="str">
        <f>IFERROR(__xludf.DUMMYFUNCTION("""COMPUTED_VALUE"""),"6. Snickers")</f>
        <v>6. Snickers</v>
      </c>
      <c r="B4264" s="4" t="str">
        <f>IFERROR(__xludf.DUMMYFUNCTION("""COMPUTED_VALUE"""),"6")</f>
        <v>6</v>
      </c>
      <c r="C4264" s="5" t="str">
        <f>IFERROR(__xludf.DUMMYFUNCTION("""COMPUTED_VALUE"""),"https://drive.google.com/file/d/1dOCIti1AV5hfkc9IWiCz5AiJ9XjmF4-k/view?usp=drivesdk")</f>
        <v>https://drive.google.com/file/d/1dOCIti1AV5hfkc9IWiCz5AiJ9XjmF4-k/view?usp=drivesdk</v>
      </c>
      <c r="D4264" s="12"/>
      <c r="E4264" s="11">
        <v>4302.0</v>
      </c>
      <c r="F4264" s="2"/>
    </row>
    <row r="4265" ht="1.5" customHeight="1">
      <c r="A4265" s="4" t="str">
        <f>IFERROR(__xludf.DUMMYFUNCTION("""COMPUTED_VALUE"""),"22. Glockenspiel")</f>
        <v>22. Glockenspiel</v>
      </c>
      <c r="B4265" s="4" t="str">
        <f>IFERROR(__xludf.DUMMYFUNCTION("""COMPUTED_VALUE"""),"22")</f>
        <v>22</v>
      </c>
      <c r="C4265" s="5" t="str">
        <f>IFERROR(__xludf.DUMMYFUNCTION("""COMPUTED_VALUE"""),"https://drive.google.com/file/d/1SlHQWJ8jvW2oP8WAnjZFkaZCCQvWzxjb/view?usp=drivesdk")</f>
        <v>https://drive.google.com/file/d/1SlHQWJ8jvW2oP8WAnjZFkaZCCQvWzxjb/view?usp=drivesdk</v>
      </c>
      <c r="D4265" s="12"/>
      <c r="E4265" s="11">
        <v>4303.0</v>
      </c>
      <c r="F4265" s="2"/>
    </row>
    <row r="4266" ht="1.5" customHeight="1">
      <c r="A4266" s="4" t="str">
        <f>IFERROR(__xludf.DUMMYFUNCTION("""COMPUTED_VALUE"""),"22. Glockenspiel")</f>
        <v>22. Glockenspiel</v>
      </c>
      <c r="B4266" s="4" t="str">
        <f>IFERROR(__xludf.DUMMYFUNCTION("""COMPUTED_VALUE"""),"22")</f>
        <v>22</v>
      </c>
      <c r="C4266" s="5" t="str">
        <f>IFERROR(__xludf.DUMMYFUNCTION("""COMPUTED_VALUE"""),"https://drive.google.com/file/d/1uKGD-lV0b9aIAERyq0PwIcbdJH84cMdZ/view?usp=drivesdk")</f>
        <v>https://drive.google.com/file/d/1uKGD-lV0b9aIAERyq0PwIcbdJH84cMdZ/view?usp=drivesdk</v>
      </c>
      <c r="D4266" s="12"/>
      <c r="E4266" s="11">
        <v>4304.0</v>
      </c>
      <c r="F4266" s="2"/>
    </row>
    <row r="4267" ht="1.5" customHeight="1">
      <c r="A4267" s="4" t="str">
        <f>IFERROR(__xludf.DUMMYFUNCTION("""COMPUTED_VALUE"""),"22. Glockenspiel")</f>
        <v>22. Glockenspiel</v>
      </c>
      <c r="B4267" s="4" t="str">
        <f>IFERROR(__xludf.DUMMYFUNCTION("""COMPUTED_VALUE"""),"22")</f>
        <v>22</v>
      </c>
      <c r="C4267" s="5" t="str">
        <f>IFERROR(__xludf.DUMMYFUNCTION("""COMPUTED_VALUE"""),"https://drive.google.com/file/d/12mhVt9ajf2_qQJVfzadwmvTKWzyKvd4W/view?usp=drivesdk")</f>
        <v>https://drive.google.com/file/d/12mhVt9ajf2_qQJVfzadwmvTKWzyKvd4W/view?usp=drivesdk</v>
      </c>
      <c r="D4267" s="12"/>
      <c r="E4267" s="11">
        <v>4305.0</v>
      </c>
      <c r="F4267" s="2"/>
    </row>
    <row r="4268" ht="1.5" customHeight="1">
      <c r="A4268" s="4" t="str">
        <f>IFERROR(__xludf.DUMMYFUNCTION("""COMPUTED_VALUE"""),"22. Glockenspiel")</f>
        <v>22. Glockenspiel</v>
      </c>
      <c r="B4268" s="4" t="str">
        <f>IFERROR(__xludf.DUMMYFUNCTION("""COMPUTED_VALUE"""),"22")</f>
        <v>22</v>
      </c>
      <c r="C4268" s="5" t="str">
        <f>IFERROR(__xludf.DUMMYFUNCTION("""COMPUTED_VALUE"""),"https://drive.google.com/file/d/17xXLwxlyg4-O4T999E81GqHXtayzwnpO/view?usp=drivesdk")</f>
        <v>https://drive.google.com/file/d/17xXLwxlyg4-O4T999E81GqHXtayzwnpO/view?usp=drivesdk</v>
      </c>
      <c r="D4268" s="12"/>
      <c r="E4268" s="11">
        <v>4306.0</v>
      </c>
      <c r="F4268" s="2"/>
    </row>
    <row r="4269" ht="1.5" customHeight="1">
      <c r="A4269" s="4" t="str">
        <f>IFERROR(__xludf.DUMMYFUNCTION("""COMPUTED_VALUE"""),"22. Glockenspiel")</f>
        <v>22. Glockenspiel</v>
      </c>
      <c r="B4269" s="4" t="str">
        <f>IFERROR(__xludf.DUMMYFUNCTION("""COMPUTED_VALUE"""),"22")</f>
        <v>22</v>
      </c>
      <c r="C4269" s="5" t="str">
        <f>IFERROR(__xludf.DUMMYFUNCTION("""COMPUTED_VALUE"""),"https://drive.google.com/file/d/1fEMZjcY1OdkCPrnwD6xvU5eK20Rs_VI0/view?usp=drivesdk")</f>
        <v>https://drive.google.com/file/d/1fEMZjcY1OdkCPrnwD6xvU5eK20Rs_VI0/view?usp=drivesdk</v>
      </c>
      <c r="D4269" s="12"/>
      <c r="E4269" s="11">
        <v>4307.0</v>
      </c>
      <c r="F4269" s="2"/>
    </row>
    <row r="4270" ht="1.5" customHeight="1">
      <c r="A4270" s="4" t="str">
        <f>IFERROR(__xludf.DUMMYFUNCTION("""COMPUTED_VALUE"""),"1. Microwave")</f>
        <v>1. Microwave</v>
      </c>
      <c r="B4270" s="4" t="str">
        <f>IFERROR(__xludf.DUMMYFUNCTION("""COMPUTED_VALUE"""),"1")</f>
        <v>1</v>
      </c>
      <c r="C4270" s="5" t="str">
        <f>IFERROR(__xludf.DUMMYFUNCTION("""COMPUTED_VALUE"""),"https://drive.google.com/file/d/17cQQPxI8sZVSeWxLGE-1_563HjsDJkVo/view?usp=drivesdk")</f>
        <v>https://drive.google.com/file/d/17cQQPxI8sZVSeWxLGE-1_563HjsDJkVo/view?usp=drivesdk</v>
      </c>
      <c r="D4270" s="12"/>
      <c r="E4270" s="11">
        <v>4308.0</v>
      </c>
      <c r="F4270" s="2"/>
    </row>
    <row r="4271" ht="1.5" customHeight="1">
      <c r="A4271" s="4" t="str">
        <f>IFERROR(__xludf.DUMMYFUNCTION("""COMPUTED_VALUE"""),"1. Microwave")</f>
        <v>1. Microwave</v>
      </c>
      <c r="B4271" s="4" t="str">
        <f>IFERROR(__xludf.DUMMYFUNCTION("""COMPUTED_VALUE"""),"1")</f>
        <v>1</v>
      </c>
      <c r="C4271" s="5" t="str">
        <f>IFERROR(__xludf.DUMMYFUNCTION("""COMPUTED_VALUE"""),"https://drive.google.com/file/d/1J08i5042HBWqCHQLfN3XQ2ubcU8hpp_y/view?usp=drivesdk")</f>
        <v>https://drive.google.com/file/d/1J08i5042HBWqCHQLfN3XQ2ubcU8hpp_y/view?usp=drivesdk</v>
      </c>
      <c r="D4271" s="12"/>
      <c r="E4271" s="11">
        <v>4309.0</v>
      </c>
      <c r="F4271" s="2"/>
    </row>
    <row r="4272" ht="1.5" customHeight="1">
      <c r="A4272" s="4" t="str">
        <f>IFERROR(__xludf.DUMMYFUNCTION("""COMPUTED_VALUE"""),"1. Microwave")</f>
        <v>1. Microwave</v>
      </c>
      <c r="B4272" s="4" t="str">
        <f>IFERROR(__xludf.DUMMYFUNCTION("""COMPUTED_VALUE"""),"1")</f>
        <v>1</v>
      </c>
      <c r="C4272" s="5" t="str">
        <f>IFERROR(__xludf.DUMMYFUNCTION("""COMPUTED_VALUE"""),"https://drive.google.com/file/d/1WnHadFtv6vKsYuBEnjb99O5-pg6XjByB/view?usp=drivesdk")</f>
        <v>https://drive.google.com/file/d/1WnHadFtv6vKsYuBEnjb99O5-pg6XjByB/view?usp=drivesdk</v>
      </c>
      <c r="D4272" s="12"/>
      <c r="E4272" s="11">
        <v>4310.0</v>
      </c>
      <c r="F4272" s="2"/>
    </row>
    <row r="4273" ht="1.5" customHeight="1">
      <c r="A4273" s="4" t="str">
        <f>IFERROR(__xludf.DUMMYFUNCTION("""COMPUTED_VALUE"""),"2. Twix")</f>
        <v>2. Twix</v>
      </c>
      <c r="B4273" s="4" t="str">
        <f>IFERROR(__xludf.DUMMYFUNCTION("""COMPUTED_VALUE"""),"2")</f>
        <v>2</v>
      </c>
      <c r="C4273" s="5" t="str">
        <f>IFERROR(__xludf.DUMMYFUNCTION("""COMPUTED_VALUE"""),"https://drive.google.com/file/d/1XiZtt-V_LtbpVaqtO6i3Rk5fsUpIIBF_/view?usp=drivesdk")</f>
        <v>https://drive.google.com/file/d/1XiZtt-V_LtbpVaqtO6i3Rk5fsUpIIBF_/view?usp=drivesdk</v>
      </c>
      <c r="D4273" s="12"/>
      <c r="E4273" s="11">
        <v>4311.0</v>
      </c>
      <c r="F4273" s="2"/>
    </row>
    <row r="4274" ht="1.5" customHeight="1">
      <c r="A4274" s="4" t="str">
        <f>IFERROR(__xludf.DUMMYFUNCTION("""COMPUTED_VALUE"""),"2. Twix")</f>
        <v>2. Twix</v>
      </c>
      <c r="B4274" s="4" t="str">
        <f>IFERROR(__xludf.DUMMYFUNCTION("""COMPUTED_VALUE"""),"2")</f>
        <v>2</v>
      </c>
      <c r="C4274" s="5" t="str">
        <f>IFERROR(__xludf.DUMMYFUNCTION("""COMPUTED_VALUE"""),"https://drive.google.com/file/d/1Ttlzujl7berfzpv3q1roi2RL43PXlYae/view?usp=drivesdk")</f>
        <v>https://drive.google.com/file/d/1Ttlzujl7berfzpv3q1roi2RL43PXlYae/view?usp=drivesdk</v>
      </c>
      <c r="D4274" s="12"/>
      <c r="E4274" s="11">
        <v>4312.0</v>
      </c>
      <c r="F4274" s="2"/>
    </row>
    <row r="4275" ht="1.5" customHeight="1">
      <c r="A4275" s="4" t="str">
        <f>IFERROR(__xludf.DUMMYFUNCTION("""COMPUTED_VALUE"""),"2. Twix")</f>
        <v>2. Twix</v>
      </c>
      <c r="B4275" s="4" t="str">
        <f>IFERROR(__xludf.DUMMYFUNCTION("""COMPUTED_VALUE"""),"2")</f>
        <v>2</v>
      </c>
      <c r="C4275" s="5" t="str">
        <f>IFERROR(__xludf.DUMMYFUNCTION("""COMPUTED_VALUE"""),"https://drive.google.com/file/d/1-A8RO3t34quxQzuGYHF-Kp0-KEvtPyPT/view?usp=drivesdk")</f>
        <v>https://drive.google.com/file/d/1-A8RO3t34quxQzuGYHF-Kp0-KEvtPyPT/view?usp=drivesdk</v>
      </c>
      <c r="D4275" s="12"/>
      <c r="E4275" s="11">
        <v>4313.0</v>
      </c>
      <c r="F4275" s="2"/>
    </row>
    <row r="4276" ht="1.5" customHeight="1">
      <c r="A4276" s="4" t="str">
        <f>IFERROR(__xludf.DUMMYFUNCTION("""COMPUTED_VALUE"""),"0. NotACat")</f>
        <v>0. NotACat</v>
      </c>
      <c r="B4276" s="4" t="str">
        <f>IFERROR(__xludf.DUMMYFUNCTION("""COMPUTED_VALUE"""),"0")</f>
        <v>0</v>
      </c>
      <c r="C4276" s="5" t="str">
        <f>IFERROR(__xludf.DUMMYFUNCTION("""COMPUTED_VALUE"""),"https://drive.google.com/file/d/1QHsbEDrPgmUUbVJUtYQWR5jb7LAqbMWW/view?usp=drivesdk")</f>
        <v>https://drive.google.com/file/d/1QHsbEDrPgmUUbVJUtYQWR5jb7LAqbMWW/view?usp=drivesdk</v>
      </c>
      <c r="D4276" s="12"/>
      <c r="E4276" s="11">
        <v>4314.0</v>
      </c>
      <c r="F4276" s="2"/>
    </row>
    <row r="4277" ht="1.5" customHeight="1">
      <c r="A4277" s="4" t="str">
        <f>IFERROR(__xludf.DUMMYFUNCTION("""COMPUTED_VALUE"""),"30. Pepper, 27. Angel")</f>
        <v>30. Pepper, 27. Angel</v>
      </c>
      <c r="B4277" s="4" t="str">
        <f>IFERROR(__xludf.DUMMYFUNCTION("""COMPUTED_VALUE"""),"30, 27")</f>
        <v>30, 27</v>
      </c>
      <c r="C4277" s="5" t="str">
        <f>IFERROR(__xludf.DUMMYFUNCTION("""COMPUTED_VALUE"""),"https://drive.google.com/file/d/1xKhHjINW5ljFXQGpjcnzlJUWORCAqkIP/view?usp=drivesdk")</f>
        <v>https://drive.google.com/file/d/1xKhHjINW5ljFXQGpjcnzlJUWORCAqkIP/view?usp=drivesdk</v>
      </c>
      <c r="D4277" s="12"/>
      <c r="E4277" s="11">
        <v>4315.0</v>
      </c>
      <c r="F4277" s="2"/>
    </row>
    <row r="4278" ht="1.5" customHeight="1">
      <c r="A4278" s="4" t="str">
        <f>IFERROR(__xludf.DUMMYFUNCTION("""COMPUTED_VALUE"""),"27. Angel, 30. Pepper")</f>
        <v>27. Angel, 30. Pepper</v>
      </c>
      <c r="B4278" s="4" t="str">
        <f>IFERROR(__xludf.DUMMYFUNCTION("""COMPUTED_VALUE"""),"27, 30")</f>
        <v>27, 30</v>
      </c>
      <c r="C4278" s="5" t="str">
        <f>IFERROR(__xludf.DUMMYFUNCTION("""COMPUTED_VALUE"""),"https://drive.google.com/file/d/1RvnUYOv_p66D58Ix4ra1XMRW9vIJUxOs/view?usp=drivesdk")</f>
        <v>https://drive.google.com/file/d/1RvnUYOv_p66D58Ix4ra1XMRW9vIJUxOs/view?usp=drivesdk</v>
      </c>
      <c r="D4278" s="12"/>
      <c r="E4278" s="11">
        <v>4316.0</v>
      </c>
      <c r="F4278" s="2"/>
    </row>
    <row r="4279" ht="1.5" customHeight="1">
      <c r="A4279" s="4" t="str">
        <f>IFERROR(__xludf.DUMMYFUNCTION("""COMPUTED_VALUE"""),"30. Pepper")</f>
        <v>30. Pepper</v>
      </c>
      <c r="B4279" s="4" t="str">
        <f>IFERROR(__xludf.DUMMYFUNCTION("""COMPUTED_VALUE"""),"30")</f>
        <v>30</v>
      </c>
      <c r="C4279" s="5" t="str">
        <f>IFERROR(__xludf.DUMMYFUNCTION("""COMPUTED_VALUE"""),"https://drive.google.com/file/d/19OTqWEomnOmE5xT6T25g_mHb_pQLBwKa/view?usp=drivesdk")</f>
        <v>https://drive.google.com/file/d/19OTqWEomnOmE5xT6T25g_mHb_pQLBwKa/view?usp=drivesdk</v>
      </c>
      <c r="D4279" s="12"/>
      <c r="E4279" s="11">
        <v>4317.0</v>
      </c>
      <c r="F4279" s="2"/>
    </row>
    <row r="4280" ht="1.5" customHeight="1">
      <c r="A4280" s="4" t="str">
        <f>IFERROR(__xludf.DUMMYFUNCTION("""COMPUTED_VALUE"""),"29. Ginger")</f>
        <v>29. Ginger</v>
      </c>
      <c r="B4280" s="4" t="str">
        <f>IFERROR(__xludf.DUMMYFUNCTION("""COMPUTED_VALUE"""),"29")</f>
        <v>29</v>
      </c>
      <c r="C4280" s="5" t="str">
        <f>IFERROR(__xludf.DUMMYFUNCTION("""COMPUTED_VALUE"""),"https://drive.google.com/file/d/16T9zTPdr_j9cH3aan2i07N0U_dQmSKDe/view?usp=drivesdk")</f>
        <v>https://drive.google.com/file/d/16T9zTPdr_j9cH3aan2i07N0U_dQmSKDe/view?usp=drivesdk</v>
      </c>
      <c r="D4280" s="12"/>
      <c r="E4280" s="11">
        <v>4318.0</v>
      </c>
      <c r="F4280" s="2"/>
    </row>
    <row r="4281" ht="1.5" customHeight="1">
      <c r="A4281" s="4" t="str">
        <f>IFERROR(__xludf.DUMMYFUNCTION("""COMPUTED_VALUE"""),"32. Noir")</f>
        <v>32. Noir</v>
      </c>
      <c r="B4281" s="4" t="str">
        <f>IFERROR(__xludf.DUMMYFUNCTION("""COMPUTED_VALUE"""),"32")</f>
        <v>32</v>
      </c>
      <c r="C4281" s="5" t="str">
        <f>IFERROR(__xludf.DUMMYFUNCTION("""COMPUTED_VALUE"""),"https://drive.google.com/file/d/1-Ky7BeKdd63uY_iAm4LQsG1jIAP7KRrl/view?usp=drivesdk")</f>
        <v>https://drive.google.com/file/d/1-Ky7BeKdd63uY_iAm4LQsG1jIAP7KRrl/view?usp=drivesdk</v>
      </c>
      <c r="D4281" s="12"/>
      <c r="E4281" s="11">
        <v>4319.0</v>
      </c>
      <c r="F4281" s="2"/>
    </row>
    <row r="4282" ht="1.5" customHeight="1">
      <c r="A4282" s="4" t="str">
        <f>IFERROR(__xludf.DUMMYFUNCTION("""COMPUTED_VALUE"""),"29. Ginger, 32. Noir")</f>
        <v>29. Ginger, 32. Noir</v>
      </c>
      <c r="B4282" s="4" t="str">
        <f>IFERROR(__xludf.DUMMYFUNCTION("""COMPUTED_VALUE"""),"29, 32")</f>
        <v>29, 32</v>
      </c>
      <c r="C4282" s="5" t="str">
        <f>IFERROR(__xludf.DUMMYFUNCTION("""COMPUTED_VALUE"""),"https://drive.google.com/file/d/1CYqClRb25dV8lxwkq496qV4HanuFfnLQ/view?usp=drivesdk")</f>
        <v>https://drive.google.com/file/d/1CYqClRb25dV8lxwkq496qV4HanuFfnLQ/view?usp=drivesdk</v>
      </c>
      <c r="D4282" s="12"/>
      <c r="E4282" s="11">
        <v>4320.0</v>
      </c>
      <c r="F4282" s="2"/>
    </row>
    <row r="4283" ht="1.5" customHeight="1">
      <c r="A4283" s="4" t="str">
        <f>IFERROR(__xludf.DUMMYFUNCTION("""COMPUTED_VALUE"""),"29. Ginger, 30. Pepper")</f>
        <v>29. Ginger, 30. Pepper</v>
      </c>
      <c r="B4283" s="4" t="str">
        <f>IFERROR(__xludf.DUMMYFUNCTION("""COMPUTED_VALUE"""),"29, 30")</f>
        <v>29, 30</v>
      </c>
      <c r="C4283" s="5" t="str">
        <f>IFERROR(__xludf.DUMMYFUNCTION("""COMPUTED_VALUE"""),"https://drive.google.com/file/d/1quNO2QeUG6uaXmTS4dtg5fiqfQndBfiL/view?usp=drivesdk")</f>
        <v>https://drive.google.com/file/d/1quNO2QeUG6uaXmTS4dtg5fiqfQndBfiL/view?usp=drivesdk</v>
      </c>
      <c r="D4283" s="12"/>
      <c r="E4283" s="11">
        <v>4321.0</v>
      </c>
      <c r="F4283" s="2"/>
    </row>
    <row r="4284" ht="1.5" customHeight="1">
      <c r="A4284" s="4" t="str">
        <f>IFERROR(__xludf.DUMMYFUNCTION("""COMPUTED_VALUE"""),"49. Freya")</f>
        <v>49. Freya</v>
      </c>
      <c r="B4284" s="4" t="str">
        <f>IFERROR(__xludf.DUMMYFUNCTION("""COMPUTED_VALUE"""),"49")</f>
        <v>49</v>
      </c>
      <c r="C4284" s="5" t="str">
        <f>IFERROR(__xludf.DUMMYFUNCTION("""COMPUTED_VALUE"""),"https://drive.google.com/file/d/1WyfJylS1UQ3vdhBvpw6js8LuhdcjGGMT/view?usp=drivesdk")</f>
        <v>https://drive.google.com/file/d/1WyfJylS1UQ3vdhBvpw6js8LuhdcjGGMT/view?usp=drivesdk</v>
      </c>
      <c r="D4284" s="12"/>
      <c r="E4284" s="11">
        <v>4322.0</v>
      </c>
      <c r="F4284" s="2"/>
    </row>
    <row r="4285" ht="1.5" customHeight="1">
      <c r="A4285" s="4" t="str">
        <f>IFERROR(__xludf.DUMMYFUNCTION("""COMPUTED_VALUE"""),"0. NotACat")</f>
        <v>0. NotACat</v>
      </c>
      <c r="B4285" s="4" t="str">
        <f>IFERROR(__xludf.DUMMYFUNCTION("""COMPUTED_VALUE"""),"0")</f>
        <v>0</v>
      </c>
      <c r="C4285" s="5" t="str">
        <f>IFERROR(__xludf.DUMMYFUNCTION("""COMPUTED_VALUE"""),"https://drive.google.com/file/d/1HC_MPchfE3TZ0tpCYiRJxp09bLHo6dlC/view?usp=drivesdk")</f>
        <v>https://drive.google.com/file/d/1HC_MPchfE3TZ0tpCYiRJxp09bLHo6dlC/view?usp=drivesdk</v>
      </c>
      <c r="D4285" s="12"/>
      <c r="E4285" s="11">
        <v>4323.0</v>
      </c>
      <c r="F4285" s="2"/>
    </row>
    <row r="4286" ht="1.5" customHeight="1">
      <c r="A4286" s="4" t="str">
        <f>IFERROR(__xludf.DUMMYFUNCTION("""COMPUTED_VALUE"""),"32. Noir")</f>
        <v>32. Noir</v>
      </c>
      <c r="B4286" s="4" t="str">
        <f>IFERROR(__xludf.DUMMYFUNCTION("""COMPUTED_VALUE"""),"32")</f>
        <v>32</v>
      </c>
      <c r="C4286" s="5" t="str">
        <f>IFERROR(__xludf.DUMMYFUNCTION("""COMPUTED_VALUE"""),"https://drive.google.com/file/d/1Q-Vg22ZeLojE79KMw3GeYdyonQlemufO/view?usp=drivesdk")</f>
        <v>https://drive.google.com/file/d/1Q-Vg22ZeLojE79KMw3GeYdyonQlemufO/view?usp=drivesdk</v>
      </c>
      <c r="D4286" s="12"/>
      <c r="E4286" s="11">
        <v>4324.0</v>
      </c>
      <c r="F4286" s="2"/>
    </row>
    <row r="4287" ht="1.5" customHeight="1">
      <c r="A4287" s="4" t="str">
        <f>IFERROR(__xludf.DUMMYFUNCTION("""COMPUTED_VALUE"""),"1. Microwave")</f>
        <v>1. Microwave</v>
      </c>
      <c r="B4287" s="4" t="str">
        <f>IFERROR(__xludf.DUMMYFUNCTION("""COMPUTED_VALUE"""),"1")</f>
        <v>1</v>
      </c>
      <c r="C4287" s="5" t="str">
        <f>IFERROR(__xludf.DUMMYFUNCTION("""COMPUTED_VALUE"""),"https://drive.google.com/file/d/174BA8z2kGi-duLghEZX2h5lwMlU7Zcl_/view?usp=drivesdk")</f>
        <v>https://drive.google.com/file/d/174BA8z2kGi-duLghEZX2h5lwMlU7Zcl_/view?usp=drivesdk</v>
      </c>
      <c r="D4287" s="12"/>
      <c r="E4287" s="11">
        <v>4325.0</v>
      </c>
      <c r="F4287" s="2"/>
    </row>
    <row r="4288" ht="1.5" customHeight="1">
      <c r="A4288" s="4" t="str">
        <f>IFERROR(__xludf.DUMMYFUNCTION("""COMPUTED_VALUE"""),"1. Microwave")</f>
        <v>1. Microwave</v>
      </c>
      <c r="B4288" s="4" t="str">
        <f>IFERROR(__xludf.DUMMYFUNCTION("""COMPUTED_VALUE"""),"1")</f>
        <v>1</v>
      </c>
      <c r="C4288" s="5" t="str">
        <f>IFERROR(__xludf.DUMMYFUNCTION("""COMPUTED_VALUE"""),"https://drive.google.com/file/d/1-VMexsio4Trm9RfMV0YQlGTIzXF6QQdt/view?usp=drivesdk")</f>
        <v>https://drive.google.com/file/d/1-VMexsio4Trm9RfMV0YQlGTIzXF6QQdt/view?usp=drivesdk</v>
      </c>
      <c r="D4288" s="12"/>
      <c r="E4288" s="11">
        <v>4326.0</v>
      </c>
      <c r="F4288" s="2"/>
    </row>
    <row r="4289" ht="1.5" customHeight="1">
      <c r="A4289" s="4" t="str">
        <f>IFERROR(__xludf.DUMMYFUNCTION("""COMPUTED_VALUE"""),"1. Microwave")</f>
        <v>1. Microwave</v>
      </c>
      <c r="B4289" s="4" t="str">
        <f>IFERROR(__xludf.DUMMYFUNCTION("""COMPUTED_VALUE"""),"1")</f>
        <v>1</v>
      </c>
      <c r="C4289" s="5" t="str">
        <f>IFERROR(__xludf.DUMMYFUNCTION("""COMPUTED_VALUE"""),"https://drive.google.com/file/d/1t2LqpnxiXi0LsbPEpOCcbb5eFlWcOhJC/view?usp=drivesdk")</f>
        <v>https://drive.google.com/file/d/1t2LqpnxiXi0LsbPEpOCcbb5eFlWcOhJC/view?usp=drivesdk</v>
      </c>
      <c r="D4289" s="12"/>
      <c r="E4289" s="11">
        <v>4327.0</v>
      </c>
      <c r="F4289" s="2"/>
    </row>
    <row r="4290" ht="1.5" customHeight="1">
      <c r="A4290" s="4" t="str">
        <f>IFERROR(__xludf.DUMMYFUNCTION("""COMPUTED_VALUE"""),"1. Microwave")</f>
        <v>1. Microwave</v>
      </c>
      <c r="B4290" s="4" t="str">
        <f>IFERROR(__xludf.DUMMYFUNCTION("""COMPUTED_VALUE"""),"1")</f>
        <v>1</v>
      </c>
      <c r="C4290" s="5" t="str">
        <f>IFERROR(__xludf.DUMMYFUNCTION("""COMPUTED_VALUE"""),"https://drive.google.com/file/d/1jvxSaCCtgdu2ACbUFAAaPjPHnETVmQFn/view?usp=drivesdk")</f>
        <v>https://drive.google.com/file/d/1jvxSaCCtgdu2ACbUFAAaPjPHnETVmQFn/view?usp=drivesdk</v>
      </c>
      <c r="D4290" s="12"/>
      <c r="E4290" s="11">
        <v>4328.0</v>
      </c>
      <c r="F4290" s="2"/>
    </row>
    <row r="4291" ht="1.5" customHeight="1">
      <c r="A4291" s="4" t="str">
        <f>IFERROR(__xludf.DUMMYFUNCTION("""COMPUTED_VALUE"""),"1. Microwave")</f>
        <v>1. Microwave</v>
      </c>
      <c r="B4291" s="4" t="str">
        <f>IFERROR(__xludf.DUMMYFUNCTION("""COMPUTED_VALUE"""),"1")</f>
        <v>1</v>
      </c>
      <c r="C4291" s="5" t="str">
        <f>IFERROR(__xludf.DUMMYFUNCTION("""COMPUTED_VALUE"""),"https://drive.google.com/file/d/1ixPo5Z-FaD4jRyW5z2l9TTNq4y3ro6Ij/view?usp=drivesdk")</f>
        <v>https://drive.google.com/file/d/1ixPo5Z-FaD4jRyW5z2l9TTNq4y3ro6Ij/view?usp=drivesdk</v>
      </c>
      <c r="D4291" s="12"/>
      <c r="E4291" s="11">
        <v>4329.0</v>
      </c>
      <c r="F4291" s="2"/>
    </row>
    <row r="4292" ht="1.5" customHeight="1">
      <c r="A4292" s="4" t="str">
        <f>IFERROR(__xludf.DUMMYFUNCTION("""COMPUTED_VALUE"""),"27. Angel")</f>
        <v>27. Angel</v>
      </c>
      <c r="B4292" s="4" t="str">
        <f>IFERROR(__xludf.DUMMYFUNCTION("""COMPUTED_VALUE"""),"27")</f>
        <v>27</v>
      </c>
      <c r="C4292" s="5" t="str">
        <f>IFERROR(__xludf.DUMMYFUNCTION("""COMPUTED_VALUE"""),"https://drive.google.com/file/d/1Do7EaRf2u-UBZrV1w0EA72yrbLD5xBFV/view?usp=drivesdk")</f>
        <v>https://drive.google.com/file/d/1Do7EaRf2u-UBZrV1w0EA72yrbLD5xBFV/view?usp=drivesdk</v>
      </c>
      <c r="D4292" s="12"/>
      <c r="E4292" s="11">
        <v>4330.0</v>
      </c>
      <c r="F4292" s="2"/>
    </row>
    <row r="4293" ht="1.5" customHeight="1">
      <c r="A4293" s="4" t="str">
        <f>IFERROR(__xludf.DUMMYFUNCTION("""COMPUTED_VALUE"""),"27. Angel")</f>
        <v>27. Angel</v>
      </c>
      <c r="B4293" s="4" t="str">
        <f>IFERROR(__xludf.DUMMYFUNCTION("""COMPUTED_VALUE"""),"27")</f>
        <v>27</v>
      </c>
      <c r="C4293" s="5" t="str">
        <f>IFERROR(__xludf.DUMMYFUNCTION("""COMPUTED_VALUE"""),"https://drive.google.com/file/d/1oy5f_hT_zRiPDfoRPbZdRlIIJ_dleX_n/view?usp=drivesdk")</f>
        <v>https://drive.google.com/file/d/1oy5f_hT_zRiPDfoRPbZdRlIIJ_dleX_n/view?usp=drivesdk</v>
      </c>
      <c r="D4293" s="12"/>
      <c r="E4293" s="11">
        <v>4331.0</v>
      </c>
      <c r="F4293" s="2"/>
    </row>
    <row r="4294" ht="1.5" customHeight="1">
      <c r="A4294" s="4" t="str">
        <f>IFERROR(__xludf.DUMMYFUNCTION("""COMPUTED_VALUE"""),"27. Angel")</f>
        <v>27. Angel</v>
      </c>
      <c r="B4294" s="4" t="str">
        <f>IFERROR(__xludf.DUMMYFUNCTION("""COMPUTED_VALUE"""),"27")</f>
        <v>27</v>
      </c>
      <c r="C4294" s="5" t="str">
        <f>IFERROR(__xludf.DUMMYFUNCTION("""COMPUTED_VALUE"""),"https://drive.google.com/file/d/1yiG4hXPtrqrDCk4R6TgtedjHQOKEz5uk/view?usp=drivesdk")</f>
        <v>https://drive.google.com/file/d/1yiG4hXPtrqrDCk4R6TgtedjHQOKEz5uk/view?usp=drivesdk</v>
      </c>
      <c r="D4294" s="12"/>
      <c r="E4294" s="11">
        <v>4332.0</v>
      </c>
      <c r="F4294" s="2"/>
    </row>
    <row r="4295" ht="1.5" customHeight="1">
      <c r="A4295" s="4" t="str">
        <f>IFERROR(__xludf.DUMMYFUNCTION("""COMPUTED_VALUE"""),"27. Angel")</f>
        <v>27. Angel</v>
      </c>
      <c r="B4295" s="4" t="str">
        <f>IFERROR(__xludf.DUMMYFUNCTION("""COMPUTED_VALUE"""),"27")</f>
        <v>27</v>
      </c>
      <c r="C4295" s="5" t="str">
        <f>IFERROR(__xludf.DUMMYFUNCTION("""COMPUTED_VALUE"""),"https://drive.google.com/file/d/1yIUReukGGScDca3sqalS1ygShylmlR51/view?usp=drivesdk")</f>
        <v>https://drive.google.com/file/d/1yIUReukGGScDca3sqalS1ygShylmlR51/view?usp=drivesdk</v>
      </c>
      <c r="D4295" s="12"/>
      <c r="E4295" s="11">
        <v>4333.0</v>
      </c>
      <c r="F4295" s="2"/>
    </row>
    <row r="4296" ht="1.5" customHeight="1">
      <c r="A4296" s="4" t="str">
        <f>IFERROR(__xludf.DUMMYFUNCTION("""COMPUTED_VALUE"""),"33. Zee")</f>
        <v>33. Zee</v>
      </c>
      <c r="B4296" s="4" t="str">
        <f>IFERROR(__xludf.DUMMYFUNCTION("""COMPUTED_VALUE"""),"33")</f>
        <v>33</v>
      </c>
      <c r="C4296" s="5" t="str">
        <f>IFERROR(__xludf.DUMMYFUNCTION("""COMPUTED_VALUE"""),"https://drive.google.com/file/d/1dPXGQ8-HhoNoI2AqvU9_eF4y9DDPtM7B/view?usp=drivesdk")</f>
        <v>https://drive.google.com/file/d/1dPXGQ8-HhoNoI2AqvU9_eF4y9DDPtM7B/view?usp=drivesdk</v>
      </c>
      <c r="D4296" s="12"/>
      <c r="E4296" s="11">
        <v>4334.0</v>
      </c>
      <c r="F4296" s="2"/>
    </row>
    <row r="4297" ht="1.5" customHeight="1">
      <c r="A4297" s="4" t="str">
        <f>IFERROR(__xludf.DUMMYFUNCTION("""COMPUTED_VALUE"""),"33. Zee")</f>
        <v>33. Zee</v>
      </c>
      <c r="B4297" s="4" t="str">
        <f>IFERROR(__xludf.DUMMYFUNCTION("""COMPUTED_VALUE"""),"33")</f>
        <v>33</v>
      </c>
      <c r="C4297" s="5" t="str">
        <f>IFERROR(__xludf.DUMMYFUNCTION("""COMPUTED_VALUE"""),"https://drive.google.com/file/d/1sm5AKvaeYUYlRID68PXgwz2tQy9gQkMF/view?usp=drivesdk")</f>
        <v>https://drive.google.com/file/d/1sm5AKvaeYUYlRID68PXgwz2tQy9gQkMF/view?usp=drivesdk</v>
      </c>
      <c r="D4297" s="12"/>
      <c r="E4297" s="11">
        <v>4335.0</v>
      </c>
      <c r="F4297" s="2"/>
    </row>
    <row r="4298" ht="1.5" customHeight="1">
      <c r="A4298" s="4" t="str">
        <f>IFERROR(__xludf.DUMMYFUNCTION("""COMPUTED_VALUE"""),"29. Ginger, 30. Pepper")</f>
        <v>29. Ginger, 30. Pepper</v>
      </c>
      <c r="B4298" s="4" t="str">
        <f>IFERROR(__xludf.DUMMYFUNCTION("""COMPUTED_VALUE"""),"29, 30")</f>
        <v>29, 30</v>
      </c>
      <c r="C4298" s="5" t="str">
        <f>IFERROR(__xludf.DUMMYFUNCTION("""COMPUTED_VALUE"""),"https://drive.google.com/file/d/1G73y-zrF_SHaayIk2w0OrHlBRO1bNofH/view?usp=drivesdk")</f>
        <v>https://drive.google.com/file/d/1G73y-zrF_SHaayIk2w0OrHlBRO1bNofH/view?usp=drivesdk</v>
      </c>
      <c r="D4298" s="12"/>
      <c r="E4298" s="11">
        <v>4336.0</v>
      </c>
      <c r="F4298" s="2"/>
    </row>
    <row r="4299" ht="1.5" customHeight="1">
      <c r="A4299" s="4" t="str">
        <f>IFERROR(__xludf.DUMMYFUNCTION("""COMPUTED_VALUE"""),"29. Ginger, 30. Pepper")</f>
        <v>29. Ginger, 30. Pepper</v>
      </c>
      <c r="B4299" s="4" t="str">
        <f>IFERROR(__xludf.DUMMYFUNCTION("""COMPUTED_VALUE"""),"29, 30")</f>
        <v>29, 30</v>
      </c>
      <c r="C4299" s="5" t="str">
        <f>IFERROR(__xludf.DUMMYFUNCTION("""COMPUTED_VALUE"""),"https://drive.google.com/file/d/1LFIVe5OyAeRg-pHjgufHr57AU3ATGPN3/view?usp=drivesdk")</f>
        <v>https://drive.google.com/file/d/1LFIVe5OyAeRg-pHjgufHr57AU3ATGPN3/view?usp=drivesdk</v>
      </c>
      <c r="D4299" s="12"/>
      <c r="E4299" s="11">
        <v>4337.0</v>
      </c>
      <c r="F4299" s="2"/>
    </row>
    <row r="4300" ht="1.5" customHeight="1">
      <c r="A4300" s="4" t="str">
        <f>IFERROR(__xludf.DUMMYFUNCTION("""COMPUTED_VALUE"""),"29. Ginger, 30. Pepper, 27. Angel")</f>
        <v>29. Ginger, 30. Pepper, 27. Angel</v>
      </c>
      <c r="B4300" s="4" t="str">
        <f>IFERROR(__xludf.DUMMYFUNCTION("""COMPUTED_VALUE"""),"29, 30, 27")</f>
        <v>29, 30, 27</v>
      </c>
      <c r="C4300" s="5" t="str">
        <f>IFERROR(__xludf.DUMMYFUNCTION("""COMPUTED_VALUE"""),"https://drive.google.com/file/d/13U4yTj7pOzMhCPd-NJVsd94TxgJRSZA4/view?usp=drivesdk")</f>
        <v>https://drive.google.com/file/d/13U4yTj7pOzMhCPd-NJVsd94TxgJRSZA4/view?usp=drivesdk</v>
      </c>
      <c r="D4300" s="12"/>
      <c r="E4300" s="11">
        <v>4338.0</v>
      </c>
      <c r="F4300" s="2"/>
    </row>
    <row r="4301" ht="1.5" customHeight="1">
      <c r="A4301" s="4" t="str">
        <f>IFERROR(__xludf.DUMMYFUNCTION("""COMPUTED_VALUE"""),"4. Eggs, 5. Eraser")</f>
        <v>4. Eggs, 5. Eraser</v>
      </c>
      <c r="B4301" s="4" t="str">
        <f>IFERROR(__xludf.DUMMYFUNCTION("""COMPUTED_VALUE"""),"4, 5")</f>
        <v>4, 5</v>
      </c>
      <c r="C4301" s="5" t="str">
        <f>IFERROR(__xludf.DUMMYFUNCTION("""COMPUTED_VALUE"""),"https://drive.google.com/file/d/1SkLaJepkr6SfuQ4hUDMlyjYbCVT71bOM/view?usp=drivesdk")</f>
        <v>https://drive.google.com/file/d/1SkLaJepkr6SfuQ4hUDMlyjYbCVT71bOM/view?usp=drivesdk</v>
      </c>
      <c r="D4301" s="12"/>
      <c r="E4301" s="11">
        <v>4339.0</v>
      </c>
      <c r="F4301" s="2"/>
    </row>
    <row r="4302" ht="1.5" customHeight="1">
      <c r="A4302" s="4" t="str">
        <f>IFERROR(__xludf.DUMMYFUNCTION("""COMPUTED_VALUE"""),"1. Microwave")</f>
        <v>1. Microwave</v>
      </c>
      <c r="B4302" s="4" t="str">
        <f>IFERROR(__xludf.DUMMYFUNCTION("""COMPUTED_VALUE"""),"1")</f>
        <v>1</v>
      </c>
      <c r="C4302" s="5" t="str">
        <f>IFERROR(__xludf.DUMMYFUNCTION("""COMPUTED_VALUE"""),"https://drive.google.com/file/d/10remnPyjV3GG8MThHHVlasPNT_7JW7XP/view?usp=drivesdk")</f>
        <v>https://drive.google.com/file/d/10remnPyjV3GG8MThHHVlasPNT_7JW7XP/view?usp=drivesdk</v>
      </c>
      <c r="D4302" s="12"/>
      <c r="E4302" s="11">
        <v>4340.0</v>
      </c>
      <c r="F4302" s="2"/>
    </row>
    <row r="4303" ht="1.5" customHeight="1">
      <c r="A4303" s="4" t="str">
        <f>IFERROR(__xludf.DUMMYFUNCTION("""COMPUTED_VALUE"""),"1. Microwave")</f>
        <v>1. Microwave</v>
      </c>
      <c r="B4303" s="4" t="str">
        <f>IFERROR(__xludf.DUMMYFUNCTION("""COMPUTED_VALUE"""),"1")</f>
        <v>1</v>
      </c>
      <c r="C4303" s="5" t="str">
        <f>IFERROR(__xludf.DUMMYFUNCTION("""COMPUTED_VALUE"""),"https://drive.google.com/file/d/1XhdNHBUCmo7gwPxkDX07q6NLr1_sljAn/view?usp=drivesdk")</f>
        <v>https://drive.google.com/file/d/1XhdNHBUCmo7gwPxkDX07q6NLr1_sljAn/view?usp=drivesdk</v>
      </c>
      <c r="D4303" s="12"/>
      <c r="E4303" s="11">
        <v>4341.0</v>
      </c>
      <c r="F4303" s="2"/>
    </row>
    <row r="4304" ht="1.5" customHeight="1">
      <c r="A4304" s="4" t="str">
        <f>IFERROR(__xludf.DUMMYFUNCTION("""COMPUTED_VALUE"""),"1. Microwave")</f>
        <v>1. Microwave</v>
      </c>
      <c r="B4304" s="4" t="str">
        <f>IFERROR(__xludf.DUMMYFUNCTION("""COMPUTED_VALUE"""),"1")</f>
        <v>1</v>
      </c>
      <c r="C4304" s="5" t="str">
        <f>IFERROR(__xludf.DUMMYFUNCTION("""COMPUTED_VALUE"""),"https://drive.google.com/file/d/1DutS1T4XeizERo7Xjnfa8xwhqcQ49k2W/view?usp=drivesdk")</f>
        <v>https://drive.google.com/file/d/1DutS1T4XeizERo7Xjnfa8xwhqcQ49k2W/view?usp=drivesdk</v>
      </c>
      <c r="D4304" s="12"/>
      <c r="E4304" s="11">
        <v>4342.0</v>
      </c>
      <c r="F4304" s="2"/>
    </row>
    <row r="4305" ht="1.5" customHeight="1">
      <c r="A4305" s="4" t="str">
        <f>IFERROR(__xludf.DUMMYFUNCTION("""COMPUTED_VALUE"""),"1. Microwave")</f>
        <v>1. Microwave</v>
      </c>
      <c r="B4305" s="4" t="str">
        <f>IFERROR(__xludf.DUMMYFUNCTION("""COMPUTED_VALUE"""),"1")</f>
        <v>1</v>
      </c>
      <c r="C4305" s="5" t="str">
        <f>IFERROR(__xludf.DUMMYFUNCTION("""COMPUTED_VALUE"""),"https://drive.google.com/file/d/13WkiPg4x7H0mdg_lD7Nm8KA_rednK2J1/view?usp=drivesdk")</f>
        <v>https://drive.google.com/file/d/13WkiPg4x7H0mdg_lD7Nm8KA_rednK2J1/view?usp=drivesdk</v>
      </c>
      <c r="D4305" s="12"/>
      <c r="E4305" s="11">
        <v>4343.0</v>
      </c>
      <c r="F4305" s="2"/>
    </row>
    <row r="4306" ht="1.5" customHeight="1">
      <c r="A4306" s="4" t="str">
        <f>IFERROR(__xludf.DUMMYFUNCTION("""COMPUTED_VALUE"""),"2. Twix")</f>
        <v>2. Twix</v>
      </c>
      <c r="B4306" s="4" t="str">
        <f>IFERROR(__xludf.DUMMYFUNCTION("""COMPUTED_VALUE"""),"2")</f>
        <v>2</v>
      </c>
      <c r="C4306" s="5" t="str">
        <f>IFERROR(__xludf.DUMMYFUNCTION("""COMPUTED_VALUE"""),"https://drive.google.com/file/d/1IecyARftrtZFF4pYa6Zlx4Aj0g7KNdKp/view?usp=drivesdk")</f>
        <v>https://drive.google.com/file/d/1IecyARftrtZFF4pYa6Zlx4Aj0g7KNdKp/view?usp=drivesdk</v>
      </c>
      <c r="D4306" s="12"/>
      <c r="E4306" s="11">
        <v>4344.0</v>
      </c>
      <c r="F4306" s="2"/>
    </row>
    <row r="4307" ht="1.5" customHeight="1">
      <c r="A4307" s="4" t="str">
        <f>IFERROR(__xludf.DUMMYFUNCTION("""COMPUTED_VALUE"""),"4. Eggs")</f>
        <v>4. Eggs</v>
      </c>
      <c r="B4307" s="4" t="str">
        <f>IFERROR(__xludf.DUMMYFUNCTION("""COMPUTED_VALUE"""),"4")</f>
        <v>4</v>
      </c>
      <c r="C4307" s="5" t="str">
        <f>IFERROR(__xludf.DUMMYFUNCTION("""COMPUTED_VALUE"""),"https://drive.google.com/file/d/17zhWIR0XoHPg8Dn5Pqm_eq3_5CZ6j4fq/view?usp=drivesdk")</f>
        <v>https://drive.google.com/file/d/17zhWIR0XoHPg8Dn5Pqm_eq3_5CZ6j4fq/view?usp=drivesdk</v>
      </c>
      <c r="D4307" s="12"/>
      <c r="E4307" s="11">
        <v>4345.0</v>
      </c>
      <c r="F4307" s="2"/>
    </row>
    <row r="4308" ht="1.5" customHeight="1">
      <c r="A4308" s="4" t="str">
        <f>IFERROR(__xludf.DUMMYFUNCTION("""COMPUTED_VALUE"""),"5. Eraser")</f>
        <v>5. Eraser</v>
      </c>
      <c r="B4308" s="4" t="str">
        <f>IFERROR(__xludf.DUMMYFUNCTION("""COMPUTED_VALUE"""),"5")</f>
        <v>5</v>
      </c>
      <c r="C4308" s="5" t="str">
        <f>IFERROR(__xludf.DUMMYFUNCTION("""COMPUTED_VALUE"""),"https://drive.google.com/file/d/1J5r945snOwvSk_4xzul8XiFyE0wCGXwC/view?usp=drivesdk")</f>
        <v>https://drive.google.com/file/d/1J5r945snOwvSk_4xzul8XiFyE0wCGXwC/view?usp=drivesdk</v>
      </c>
      <c r="D4308" s="12"/>
      <c r="E4308" s="11">
        <v>4346.0</v>
      </c>
      <c r="F4308" s="2"/>
    </row>
    <row r="4309" ht="1.5" customHeight="1">
      <c r="A4309" s="4" t="str">
        <f>IFERROR(__xludf.DUMMYFUNCTION("""COMPUTED_VALUE"""),"5. Eraser")</f>
        <v>5. Eraser</v>
      </c>
      <c r="B4309" s="4" t="str">
        <f>IFERROR(__xludf.DUMMYFUNCTION("""COMPUTED_VALUE"""),"5")</f>
        <v>5</v>
      </c>
      <c r="C4309" s="5" t="str">
        <f>IFERROR(__xludf.DUMMYFUNCTION("""COMPUTED_VALUE"""),"https://drive.google.com/file/d/1SxvnVu_RKgk4ka-24MhETaabzMa6pUCm/view?usp=drivesdk")</f>
        <v>https://drive.google.com/file/d/1SxvnVu_RKgk4ka-24MhETaabzMa6pUCm/view?usp=drivesdk</v>
      </c>
      <c r="D4309" s="12"/>
      <c r="E4309" s="11">
        <v>4347.0</v>
      </c>
      <c r="F4309" s="2"/>
    </row>
    <row r="4310" ht="1.5" customHeight="1">
      <c r="A4310" s="4" t="str">
        <f>IFERROR(__xludf.DUMMYFUNCTION("""COMPUTED_VALUE"""),"2. Twix")</f>
        <v>2. Twix</v>
      </c>
      <c r="B4310" s="4" t="str">
        <f>IFERROR(__xludf.DUMMYFUNCTION("""COMPUTED_VALUE"""),"2")</f>
        <v>2</v>
      </c>
      <c r="C4310" s="5" t="str">
        <f>IFERROR(__xludf.DUMMYFUNCTION("""COMPUTED_VALUE"""),"https://drive.google.com/file/d/1xKcrGx_HBhEAtQ8QMjs8gNfo5HqsEWAA/view?usp=drivesdk")</f>
        <v>https://drive.google.com/file/d/1xKcrGx_HBhEAtQ8QMjs8gNfo5HqsEWAA/view?usp=drivesdk</v>
      </c>
      <c r="D4310" s="12"/>
      <c r="E4310" s="11">
        <v>4348.0</v>
      </c>
      <c r="F4310" s="2"/>
    </row>
    <row r="4311" ht="1.5" customHeight="1">
      <c r="A4311" s="4" t="str">
        <f>IFERROR(__xludf.DUMMYFUNCTION("""COMPUTED_VALUE"""),"2. Twix")</f>
        <v>2. Twix</v>
      </c>
      <c r="B4311" s="4" t="str">
        <f>IFERROR(__xludf.DUMMYFUNCTION("""COMPUTED_VALUE"""),"2")</f>
        <v>2</v>
      </c>
      <c r="C4311" s="5" t="str">
        <f>IFERROR(__xludf.DUMMYFUNCTION("""COMPUTED_VALUE"""),"https://drive.google.com/file/d/1uwprnLyU0k2GXaqNgn_iYIhorElu_zm8/view?usp=drivesdk")</f>
        <v>https://drive.google.com/file/d/1uwprnLyU0k2GXaqNgn_iYIhorElu_zm8/view?usp=drivesdk</v>
      </c>
      <c r="D4311" s="12"/>
      <c r="E4311" s="11">
        <v>4349.0</v>
      </c>
      <c r="F4311" s="2"/>
    </row>
    <row r="4312" ht="1.5" customHeight="1">
      <c r="A4312" s="4" t="str">
        <f>IFERROR(__xludf.DUMMYFUNCTION("""COMPUTED_VALUE"""),"2. Twix")</f>
        <v>2. Twix</v>
      </c>
      <c r="B4312" s="4" t="str">
        <f>IFERROR(__xludf.DUMMYFUNCTION("""COMPUTED_VALUE"""),"2")</f>
        <v>2</v>
      </c>
      <c r="C4312" s="5" t="str">
        <f>IFERROR(__xludf.DUMMYFUNCTION("""COMPUTED_VALUE"""),"https://drive.google.com/file/d/1J9fQDolCqZ3yLQnQ9ep61J1L_uZQcvTU/view?usp=drivesdk")</f>
        <v>https://drive.google.com/file/d/1J9fQDolCqZ3yLQnQ9ep61J1L_uZQcvTU/view?usp=drivesdk</v>
      </c>
      <c r="D4312" s="12"/>
      <c r="E4312" s="11">
        <v>4350.0</v>
      </c>
      <c r="F4312" s="2"/>
    </row>
    <row r="4313" ht="1.5" customHeight="1">
      <c r="A4313" s="4" t="str">
        <f>IFERROR(__xludf.DUMMYFUNCTION("""COMPUTED_VALUE"""),"2. Twix")</f>
        <v>2. Twix</v>
      </c>
      <c r="B4313" s="4" t="str">
        <f>IFERROR(__xludf.DUMMYFUNCTION("""COMPUTED_VALUE"""),"2")</f>
        <v>2</v>
      </c>
      <c r="C4313" s="5" t="str">
        <f>IFERROR(__xludf.DUMMYFUNCTION("""COMPUTED_VALUE"""),"https://drive.google.com/file/d/1jILku8ddWjwPOr8XTsuDETtTW3W-IRgN/view?usp=drivesdk")</f>
        <v>https://drive.google.com/file/d/1jILku8ddWjwPOr8XTsuDETtTW3W-IRgN/view?usp=drivesdk</v>
      </c>
      <c r="D4313" s="12"/>
      <c r="E4313" s="11">
        <v>4351.0</v>
      </c>
      <c r="F4313" s="2"/>
    </row>
    <row r="4314" ht="1.5" customHeight="1">
      <c r="A4314" s="4" t="str">
        <f>IFERROR(__xludf.DUMMYFUNCTION("""COMPUTED_VALUE"""),"2. Twix")</f>
        <v>2. Twix</v>
      </c>
      <c r="B4314" s="4" t="str">
        <f>IFERROR(__xludf.DUMMYFUNCTION("""COMPUTED_VALUE"""),"2")</f>
        <v>2</v>
      </c>
      <c r="C4314" s="5" t="str">
        <f>IFERROR(__xludf.DUMMYFUNCTION("""COMPUTED_VALUE"""),"https://drive.google.com/file/d/1CDkr3LPI8CTsufhU8mpH_hf7PYDmlSUb/view?usp=drivesdk")</f>
        <v>https://drive.google.com/file/d/1CDkr3LPI8CTsufhU8mpH_hf7PYDmlSUb/view?usp=drivesdk</v>
      </c>
      <c r="D4314" s="12"/>
      <c r="E4314" s="11">
        <v>4352.0</v>
      </c>
      <c r="F4314" s="2"/>
    </row>
    <row r="4315" ht="1.5" customHeight="1">
      <c r="A4315" s="4" t="str">
        <f>IFERROR(__xludf.DUMMYFUNCTION("""COMPUTED_VALUE"""),"1. Microwave")</f>
        <v>1. Microwave</v>
      </c>
      <c r="B4315" s="4" t="str">
        <f>IFERROR(__xludf.DUMMYFUNCTION("""COMPUTED_VALUE"""),"1")</f>
        <v>1</v>
      </c>
      <c r="C4315" s="5" t="str">
        <f>IFERROR(__xludf.DUMMYFUNCTION("""COMPUTED_VALUE"""),"https://drive.google.com/file/d/12Xo8brSbBLB1gNXj7QLjshzxQGm1i05Q/view?usp=drivesdk")</f>
        <v>https://drive.google.com/file/d/12Xo8brSbBLB1gNXj7QLjshzxQGm1i05Q/view?usp=drivesdk</v>
      </c>
      <c r="D4315" s="12"/>
      <c r="E4315" s="11">
        <v>4353.0</v>
      </c>
      <c r="F4315" s="2"/>
    </row>
    <row r="4316" ht="1.5" customHeight="1">
      <c r="A4316" s="4" t="str">
        <f>IFERROR(__xludf.DUMMYFUNCTION("""COMPUTED_VALUE"""),"29. Ginger")</f>
        <v>29. Ginger</v>
      </c>
      <c r="B4316" s="4" t="str">
        <f>IFERROR(__xludf.DUMMYFUNCTION("""COMPUTED_VALUE"""),"29")</f>
        <v>29</v>
      </c>
      <c r="C4316" s="5" t="str">
        <f>IFERROR(__xludf.DUMMYFUNCTION("""COMPUTED_VALUE"""),"https://drive.google.com/file/d/1c0uQh4Iu9UkkqrnE2kBBjBjGr0qIbUKr/view?usp=drivesdk")</f>
        <v>https://drive.google.com/file/d/1c0uQh4Iu9UkkqrnE2kBBjBjGr0qIbUKr/view?usp=drivesdk</v>
      </c>
      <c r="D4316" s="12"/>
      <c r="E4316" s="11">
        <v>4354.0</v>
      </c>
      <c r="F4316" s="2"/>
    </row>
    <row r="4317" ht="1.5" customHeight="1">
      <c r="A4317" s="4" t="str">
        <f>IFERROR(__xludf.DUMMYFUNCTION("""COMPUTED_VALUE"""),"27. Angel")</f>
        <v>27. Angel</v>
      </c>
      <c r="B4317" s="4" t="str">
        <f>IFERROR(__xludf.DUMMYFUNCTION("""COMPUTED_VALUE"""),"27")</f>
        <v>27</v>
      </c>
      <c r="C4317" s="5" t="str">
        <f>IFERROR(__xludf.DUMMYFUNCTION("""COMPUTED_VALUE"""),"https://drive.google.com/file/d/1P6bZvfhOWnC4NejRKuZEJdUsAnv-070l/view?usp=drivesdk")</f>
        <v>https://drive.google.com/file/d/1P6bZvfhOWnC4NejRKuZEJdUsAnv-070l/view?usp=drivesdk</v>
      </c>
      <c r="D4317" s="12"/>
      <c r="E4317" s="11">
        <v>4355.0</v>
      </c>
      <c r="F4317" s="2"/>
    </row>
    <row r="4318" ht="1.5" customHeight="1">
      <c r="A4318" s="4" t="str">
        <f>IFERROR(__xludf.DUMMYFUNCTION("""COMPUTED_VALUE"""),"29. Ginger, 30. Pepper")</f>
        <v>29. Ginger, 30. Pepper</v>
      </c>
      <c r="B4318" s="4" t="str">
        <f>IFERROR(__xludf.DUMMYFUNCTION("""COMPUTED_VALUE"""),"29, 30")</f>
        <v>29, 30</v>
      </c>
      <c r="C4318" s="5" t="str">
        <f>IFERROR(__xludf.DUMMYFUNCTION("""COMPUTED_VALUE"""),"https://drive.google.com/file/d/1FIL2Fjdp-A2dLEOh2iSqz7eCwcOqUfl6/view?usp=drivesdk")</f>
        <v>https://drive.google.com/file/d/1FIL2Fjdp-A2dLEOh2iSqz7eCwcOqUfl6/view?usp=drivesdk</v>
      </c>
      <c r="D4318" s="12"/>
      <c r="E4318" s="11">
        <v>4356.0</v>
      </c>
      <c r="F4318" s="2"/>
    </row>
    <row r="4319" ht="1.5" customHeight="1">
      <c r="A4319" s="4" t="str">
        <f>IFERROR(__xludf.DUMMYFUNCTION("""COMPUTED_VALUE"""),"29. Ginger")</f>
        <v>29. Ginger</v>
      </c>
      <c r="B4319" s="4" t="str">
        <f>IFERROR(__xludf.DUMMYFUNCTION("""COMPUTED_VALUE"""),"29")</f>
        <v>29</v>
      </c>
      <c r="C4319" s="5" t="str">
        <f>IFERROR(__xludf.DUMMYFUNCTION("""COMPUTED_VALUE"""),"https://drive.google.com/file/d/1czPhjrfQxWXnyPI3cHuC5D1zo_KPsjwI/view?usp=drivesdk")</f>
        <v>https://drive.google.com/file/d/1czPhjrfQxWXnyPI3cHuC5D1zo_KPsjwI/view?usp=drivesdk</v>
      </c>
      <c r="D4319" s="12"/>
      <c r="E4319" s="11">
        <v>4357.0</v>
      </c>
      <c r="F4319" s="2"/>
    </row>
    <row r="4320" ht="1.5" customHeight="1">
      <c r="A4320" s="4" t="str">
        <f>IFERROR(__xludf.DUMMYFUNCTION("""COMPUTED_VALUE"""),"32. Noir, 33. Zee")</f>
        <v>32. Noir, 33. Zee</v>
      </c>
      <c r="B4320" s="4" t="str">
        <f>IFERROR(__xludf.DUMMYFUNCTION("""COMPUTED_VALUE"""),"32, 33")</f>
        <v>32, 33</v>
      </c>
      <c r="C4320" s="5" t="str">
        <f>IFERROR(__xludf.DUMMYFUNCTION("""COMPUTED_VALUE"""),"https://drive.google.com/file/d/1oiLDnnjV-s4BGsiNQ2mxXUy86ttOXqEK/view?usp=drivesdk")</f>
        <v>https://drive.google.com/file/d/1oiLDnnjV-s4BGsiNQ2mxXUy86ttOXqEK/view?usp=drivesdk</v>
      </c>
      <c r="D4320" s="12"/>
      <c r="E4320" s="11">
        <v>4358.0</v>
      </c>
      <c r="F4320" s="2"/>
    </row>
    <row r="4321" ht="1.5" customHeight="1">
      <c r="A4321" s="4" t="str">
        <f>IFERROR(__xludf.DUMMYFUNCTION("""COMPUTED_VALUE"""),"33. Zee, 32. Noir, 27. Angel")</f>
        <v>33. Zee, 32. Noir, 27. Angel</v>
      </c>
      <c r="B4321" s="4" t="str">
        <f>IFERROR(__xludf.DUMMYFUNCTION("""COMPUTED_VALUE"""),"33, 32, 27")</f>
        <v>33, 32, 27</v>
      </c>
      <c r="C4321" s="5" t="str">
        <f>IFERROR(__xludf.DUMMYFUNCTION("""COMPUTED_VALUE"""),"https://drive.google.com/file/d/1_G17mB5IC9Wu9sVOnJDp2FXQeeq-iT20/view?usp=drivesdk")</f>
        <v>https://drive.google.com/file/d/1_G17mB5IC9Wu9sVOnJDp2FXQeeq-iT20/view?usp=drivesdk</v>
      </c>
      <c r="D4321" s="12"/>
      <c r="E4321" s="11">
        <v>4359.0</v>
      </c>
      <c r="F4321" s="2"/>
    </row>
    <row r="4322" ht="1.5" customHeight="1">
      <c r="A4322" s="4" t="str">
        <f>IFERROR(__xludf.DUMMYFUNCTION("""COMPUTED_VALUE"""),"29. Ginger, 30. Pepper")</f>
        <v>29. Ginger, 30. Pepper</v>
      </c>
      <c r="B4322" s="4" t="str">
        <f>IFERROR(__xludf.DUMMYFUNCTION("""COMPUTED_VALUE"""),"29, 30")</f>
        <v>29, 30</v>
      </c>
      <c r="C4322" s="5" t="str">
        <f>IFERROR(__xludf.DUMMYFUNCTION("""COMPUTED_VALUE"""),"https://drive.google.com/file/d/1avZtJMeL6wM7uqkbIzB2bJ33bgjNylTI/view?usp=drivesdk")</f>
        <v>https://drive.google.com/file/d/1avZtJMeL6wM7uqkbIzB2bJ33bgjNylTI/view?usp=drivesdk</v>
      </c>
      <c r="D4322" s="12"/>
      <c r="E4322" s="11">
        <v>4360.0</v>
      </c>
      <c r="F4322" s="2"/>
    </row>
    <row r="4323" ht="1.5" customHeight="1">
      <c r="A4323" s="4" t="str">
        <f>IFERROR(__xludf.DUMMYFUNCTION("""COMPUTED_VALUE"""),"33. Zee, 32. Noir")</f>
        <v>33. Zee, 32. Noir</v>
      </c>
      <c r="B4323" s="4" t="str">
        <f>IFERROR(__xludf.DUMMYFUNCTION("""COMPUTED_VALUE"""),"33, 32")</f>
        <v>33, 32</v>
      </c>
      <c r="C4323" s="5" t="str">
        <f>IFERROR(__xludf.DUMMYFUNCTION("""COMPUTED_VALUE"""),"https://drive.google.com/file/d/1dlFEDE-gKkfXKW5KVCu3rHEBnchfblZR/view?usp=drivesdk")</f>
        <v>https://drive.google.com/file/d/1dlFEDE-gKkfXKW5KVCu3rHEBnchfblZR/view?usp=drivesdk</v>
      </c>
      <c r="D4323" s="12"/>
      <c r="E4323" s="11">
        <v>4361.0</v>
      </c>
      <c r="F4323" s="2"/>
    </row>
    <row r="4324" ht="1.5" customHeight="1">
      <c r="A4324" s="4" t="str">
        <f>IFERROR(__xludf.DUMMYFUNCTION("""COMPUTED_VALUE"""),"33. Zee")</f>
        <v>33. Zee</v>
      </c>
      <c r="B4324" s="4" t="str">
        <f>IFERROR(__xludf.DUMMYFUNCTION("""COMPUTED_VALUE"""),"33")</f>
        <v>33</v>
      </c>
      <c r="C4324" s="5" t="str">
        <f>IFERROR(__xludf.DUMMYFUNCTION("""COMPUTED_VALUE"""),"https://drive.google.com/file/d/1egZhIPTi2Y97rOMdBNoeeWRTVVLmgjhf/view?usp=drivesdk")</f>
        <v>https://drive.google.com/file/d/1egZhIPTi2Y97rOMdBNoeeWRTVVLmgjhf/view?usp=drivesdk</v>
      </c>
      <c r="D4324" s="12"/>
      <c r="E4324" s="11">
        <v>4362.0</v>
      </c>
      <c r="F4324" s="2"/>
    </row>
    <row r="4325" ht="1.5" customHeight="1">
      <c r="A4325" s="4" t="str">
        <f>IFERROR(__xludf.DUMMYFUNCTION("""COMPUTED_VALUE"""),"0. NotACat")</f>
        <v>0. NotACat</v>
      </c>
      <c r="B4325" s="4" t="str">
        <f>IFERROR(__xludf.DUMMYFUNCTION("""COMPUTED_VALUE"""),"0")</f>
        <v>0</v>
      </c>
      <c r="C4325" s="5" t="str">
        <f>IFERROR(__xludf.DUMMYFUNCTION("""COMPUTED_VALUE"""),"https://drive.google.com/file/d/1RGHmy15nQ_15Tx2nPiKOVKH7OwxMRiD_/view?usp=drivesdk")</f>
        <v>https://drive.google.com/file/d/1RGHmy15nQ_15Tx2nPiKOVKH7OwxMRiD_/view?usp=drivesdk</v>
      </c>
      <c r="D4325" s="12"/>
      <c r="E4325" s="11">
        <v>4363.0</v>
      </c>
      <c r="F4325" s="2"/>
    </row>
    <row r="4326" ht="1.5" customHeight="1">
      <c r="A4326" s="4" t="str">
        <f>IFERROR(__xludf.DUMMYFUNCTION("""COMPUTED_VALUE"""),"1. Microwave")</f>
        <v>1. Microwave</v>
      </c>
      <c r="B4326" s="4" t="str">
        <f>IFERROR(__xludf.DUMMYFUNCTION("""COMPUTED_VALUE"""),"1")</f>
        <v>1</v>
      </c>
      <c r="C4326" s="5" t="str">
        <f>IFERROR(__xludf.DUMMYFUNCTION("""COMPUTED_VALUE"""),"https://drive.google.com/file/d/1IHBv9ZdoRRov7VfzEtpsdQAeBbS80Z-H/view?usp=drivesdk")</f>
        <v>https://drive.google.com/file/d/1IHBv9ZdoRRov7VfzEtpsdQAeBbS80Z-H/view?usp=drivesdk</v>
      </c>
      <c r="D4326" s="12"/>
      <c r="E4326" s="11">
        <v>4364.0</v>
      </c>
      <c r="F4326" s="2"/>
    </row>
    <row r="4327" ht="1.5" customHeight="1">
      <c r="A4327" s="4" t="str">
        <f>IFERROR(__xludf.DUMMYFUNCTION("""COMPUTED_VALUE"""),"33. Zee, 32. Noir")</f>
        <v>33. Zee, 32. Noir</v>
      </c>
      <c r="B4327" s="4" t="str">
        <f>IFERROR(__xludf.DUMMYFUNCTION("""COMPUTED_VALUE"""),"33, 32")</f>
        <v>33, 32</v>
      </c>
      <c r="C4327" s="5" t="str">
        <f>IFERROR(__xludf.DUMMYFUNCTION("""COMPUTED_VALUE"""),"https://drive.google.com/file/d/1gfTyKq2mHiDzSWIbRnv3cTNNPfOxM7bu/view?usp=drivesdk")</f>
        <v>https://drive.google.com/file/d/1gfTyKq2mHiDzSWIbRnv3cTNNPfOxM7bu/view?usp=drivesdk</v>
      </c>
      <c r="D4327" s="12"/>
      <c r="E4327" s="11">
        <v>4365.0</v>
      </c>
      <c r="F4327" s="2"/>
    </row>
    <row r="4328" ht="1.5" customHeight="1">
      <c r="A4328" s="4" t="str">
        <f>IFERROR(__xludf.DUMMYFUNCTION("""COMPUTED_VALUE"""),"33. Zee, 32. Noir")</f>
        <v>33. Zee, 32. Noir</v>
      </c>
      <c r="B4328" s="4" t="str">
        <f>IFERROR(__xludf.DUMMYFUNCTION("""COMPUTED_VALUE"""),"33, 32")</f>
        <v>33, 32</v>
      </c>
      <c r="C4328" s="5" t="str">
        <f>IFERROR(__xludf.DUMMYFUNCTION("""COMPUTED_VALUE"""),"https://drive.google.com/file/d/15mnxwSh1a7jRFXrmoybUDuoNUc-urzy-/view?usp=drivesdk")</f>
        <v>https://drive.google.com/file/d/15mnxwSh1a7jRFXrmoybUDuoNUc-urzy-/view?usp=drivesdk</v>
      </c>
      <c r="D4328" s="12"/>
      <c r="E4328" s="11">
        <v>4366.0</v>
      </c>
      <c r="F4328" s="2"/>
    </row>
    <row r="4329" ht="1.5" customHeight="1">
      <c r="A4329" s="4" t="str">
        <f>IFERROR(__xludf.DUMMYFUNCTION("""COMPUTED_VALUE"""),"49. Freya")</f>
        <v>49. Freya</v>
      </c>
      <c r="B4329" s="4" t="str">
        <f>IFERROR(__xludf.DUMMYFUNCTION("""COMPUTED_VALUE"""),"49")</f>
        <v>49</v>
      </c>
      <c r="C4329" s="5" t="str">
        <f>IFERROR(__xludf.DUMMYFUNCTION("""COMPUTED_VALUE"""),"https://drive.google.com/file/d/1ulg-Y6X4EdTFKrvOKwRBfriJzO3wyRmZ/view?usp=drivesdk")</f>
        <v>https://drive.google.com/file/d/1ulg-Y6X4EdTFKrvOKwRBfriJzO3wyRmZ/view?usp=drivesdk</v>
      </c>
      <c r="D4329" s="12"/>
      <c r="E4329" s="11">
        <v>4367.0</v>
      </c>
      <c r="F4329" s="2"/>
    </row>
    <row r="4330" ht="1.5" customHeight="1">
      <c r="A4330" s="4" t="str">
        <f>IFERROR(__xludf.DUMMYFUNCTION("""COMPUTED_VALUE"""),"49. Freya")</f>
        <v>49. Freya</v>
      </c>
      <c r="B4330" s="4" t="str">
        <f>IFERROR(__xludf.DUMMYFUNCTION("""COMPUTED_VALUE"""),"49")</f>
        <v>49</v>
      </c>
      <c r="C4330" s="5" t="str">
        <f>IFERROR(__xludf.DUMMYFUNCTION("""COMPUTED_VALUE"""),"https://drive.google.com/file/d/1m88XYw5FOihnI-_jMAh-2o_vETqvUED-/view?usp=drivesdk")</f>
        <v>https://drive.google.com/file/d/1m88XYw5FOihnI-_jMAh-2o_vETqvUED-/view?usp=drivesdk</v>
      </c>
      <c r="D4330" s="12"/>
      <c r="E4330" s="11">
        <v>4368.0</v>
      </c>
      <c r="F4330" s="2"/>
    </row>
    <row r="4331" ht="1.5" customHeight="1">
      <c r="A4331" s="4" t="str">
        <f>IFERROR(__xludf.DUMMYFUNCTION("""COMPUTED_VALUE"""),"49. Freya")</f>
        <v>49. Freya</v>
      </c>
      <c r="B4331" s="4" t="str">
        <f>IFERROR(__xludf.DUMMYFUNCTION("""COMPUTED_VALUE"""),"49")</f>
        <v>49</v>
      </c>
      <c r="C4331" s="5" t="str">
        <f>IFERROR(__xludf.DUMMYFUNCTION("""COMPUTED_VALUE"""),"https://drive.google.com/file/d/1eMafeOfErXsx6Rx9mBtu39haMqCbTYYM/view?usp=drivesdk")</f>
        <v>https://drive.google.com/file/d/1eMafeOfErXsx6Rx9mBtu39haMqCbTYYM/view?usp=drivesdk</v>
      </c>
      <c r="D4331" s="12"/>
      <c r="E4331" s="11">
        <v>4369.0</v>
      </c>
      <c r="F4331" s="2"/>
    </row>
    <row r="4332" ht="1.5" customHeight="1">
      <c r="A4332" s="4" t="str">
        <f>IFERROR(__xludf.DUMMYFUNCTION("""COMPUTED_VALUE"""),"27. Angel")</f>
        <v>27. Angel</v>
      </c>
      <c r="B4332" s="4" t="str">
        <f>IFERROR(__xludf.DUMMYFUNCTION("""COMPUTED_VALUE"""),"27")</f>
        <v>27</v>
      </c>
      <c r="C4332" s="5" t="str">
        <f>IFERROR(__xludf.DUMMYFUNCTION("""COMPUTED_VALUE"""),"https://drive.google.com/file/d/1CpRWT1oQVT0HMBVaXRVpZwFV7mJKDxfD/view?usp=drivesdk")</f>
        <v>https://drive.google.com/file/d/1CpRWT1oQVT0HMBVaXRVpZwFV7mJKDxfD/view?usp=drivesdk</v>
      </c>
      <c r="D4332" s="12"/>
      <c r="E4332" s="11">
        <v>4370.0</v>
      </c>
      <c r="F4332" s="2"/>
    </row>
    <row r="4333" ht="1.5" customHeight="1">
      <c r="A4333" s="4" t="str">
        <f>IFERROR(__xludf.DUMMYFUNCTION("""COMPUTED_VALUE"""),"27. Angel")</f>
        <v>27. Angel</v>
      </c>
      <c r="B4333" s="4" t="str">
        <f>IFERROR(__xludf.DUMMYFUNCTION("""COMPUTED_VALUE"""),"27")</f>
        <v>27</v>
      </c>
      <c r="C4333" s="5" t="str">
        <f>IFERROR(__xludf.DUMMYFUNCTION("""COMPUTED_VALUE"""),"https://drive.google.com/file/d/1eP6NHwFz8v-6IWoE65eD_x3ps2YeZwHv/view?usp=drivesdk")</f>
        <v>https://drive.google.com/file/d/1eP6NHwFz8v-6IWoE65eD_x3ps2YeZwHv/view?usp=drivesdk</v>
      </c>
      <c r="D4333" s="12"/>
      <c r="E4333" s="11">
        <v>4371.0</v>
      </c>
      <c r="F4333" s="2"/>
    </row>
    <row r="4334" ht="1.5" customHeight="1">
      <c r="A4334" s="4" t="str">
        <f>IFERROR(__xludf.DUMMYFUNCTION("""COMPUTED_VALUE"""),"27. Angel")</f>
        <v>27. Angel</v>
      </c>
      <c r="B4334" s="4" t="str">
        <f>IFERROR(__xludf.DUMMYFUNCTION("""COMPUTED_VALUE"""),"27")</f>
        <v>27</v>
      </c>
      <c r="C4334" s="5" t="str">
        <f>IFERROR(__xludf.DUMMYFUNCTION("""COMPUTED_VALUE"""),"https://drive.google.com/file/d/1GPW5Lsv8DGPqU9pTvAFUgXA4JgykBoUr/view?usp=drivesdk")</f>
        <v>https://drive.google.com/file/d/1GPW5Lsv8DGPqU9pTvAFUgXA4JgykBoUr/view?usp=drivesdk</v>
      </c>
      <c r="D4334" s="12"/>
      <c r="E4334" s="11">
        <v>4372.0</v>
      </c>
      <c r="F4334" s="2"/>
    </row>
    <row r="4335" ht="1.5" customHeight="1">
      <c r="A4335" s="4" t="str">
        <f>IFERROR(__xludf.DUMMYFUNCTION("""COMPUTED_VALUE"""),"30. Pepper")</f>
        <v>30. Pepper</v>
      </c>
      <c r="B4335" s="4" t="str">
        <f>IFERROR(__xludf.DUMMYFUNCTION("""COMPUTED_VALUE"""),"30")</f>
        <v>30</v>
      </c>
      <c r="C4335" s="5" t="str">
        <f>IFERROR(__xludf.DUMMYFUNCTION("""COMPUTED_VALUE"""),"https://drive.google.com/file/d/1kNO_OwxmRMlUEJHXGqneno4dzfwZ-BNG/view?usp=drivesdk")</f>
        <v>https://drive.google.com/file/d/1kNO_OwxmRMlUEJHXGqneno4dzfwZ-BNG/view?usp=drivesdk</v>
      </c>
      <c r="D4335" s="12"/>
      <c r="E4335" s="11">
        <v>4373.0</v>
      </c>
      <c r="F4335" s="2"/>
    </row>
    <row r="4336" ht="1.5" customHeight="1">
      <c r="A4336" s="4" t="str">
        <f>IFERROR(__xludf.DUMMYFUNCTION("""COMPUTED_VALUE"""),"30. Pepper")</f>
        <v>30. Pepper</v>
      </c>
      <c r="B4336" s="4" t="str">
        <f>IFERROR(__xludf.DUMMYFUNCTION("""COMPUTED_VALUE"""),"30")</f>
        <v>30</v>
      </c>
      <c r="C4336" s="5" t="str">
        <f>IFERROR(__xludf.DUMMYFUNCTION("""COMPUTED_VALUE"""),"https://drive.google.com/file/d/1bD_crwUtPyCr6PfIhPGaEpKAyum0t9bF/view?usp=drivesdk")</f>
        <v>https://drive.google.com/file/d/1bD_crwUtPyCr6PfIhPGaEpKAyum0t9bF/view?usp=drivesdk</v>
      </c>
      <c r="D4336" s="12"/>
      <c r="E4336" s="11">
        <v>4374.0</v>
      </c>
      <c r="F4336" s="2"/>
    </row>
    <row r="4337" ht="1.5" customHeight="1">
      <c r="A4337" s="4" t="str">
        <f>IFERROR(__xludf.DUMMYFUNCTION("""COMPUTED_VALUE"""),"30. Pepper")</f>
        <v>30. Pepper</v>
      </c>
      <c r="B4337" s="4" t="str">
        <f>IFERROR(__xludf.DUMMYFUNCTION("""COMPUTED_VALUE"""),"30")</f>
        <v>30</v>
      </c>
      <c r="C4337" s="5" t="str">
        <f>IFERROR(__xludf.DUMMYFUNCTION("""COMPUTED_VALUE"""),"https://drive.google.com/file/d/17IDdyRPNi9iXOOUl-yNbda9PaI3XdN1X/view?usp=drivesdk")</f>
        <v>https://drive.google.com/file/d/17IDdyRPNi9iXOOUl-yNbda9PaI3XdN1X/view?usp=drivesdk</v>
      </c>
      <c r="D4337" s="12"/>
      <c r="E4337" s="11">
        <v>4375.0</v>
      </c>
      <c r="F4337" s="2"/>
    </row>
    <row r="4338" ht="1.5" customHeight="1">
      <c r="A4338" s="4" t="str">
        <f>IFERROR(__xludf.DUMMYFUNCTION("""COMPUTED_VALUE"""),"30. Pepper")</f>
        <v>30. Pepper</v>
      </c>
      <c r="B4338" s="4" t="str">
        <f>IFERROR(__xludf.DUMMYFUNCTION("""COMPUTED_VALUE"""),"30")</f>
        <v>30</v>
      </c>
      <c r="C4338" s="5" t="str">
        <f>IFERROR(__xludf.DUMMYFUNCTION("""COMPUTED_VALUE"""),"https://drive.google.com/file/d/1GFvy1W0xPlDyDnZpk-K1IAS038MEyqH6/view?usp=drivesdk")</f>
        <v>https://drive.google.com/file/d/1GFvy1W0xPlDyDnZpk-K1IAS038MEyqH6/view?usp=drivesdk</v>
      </c>
      <c r="D4338" s="12"/>
      <c r="E4338" s="11">
        <v>4376.0</v>
      </c>
      <c r="F4338" s="2"/>
    </row>
    <row r="4339" ht="1.5" customHeight="1">
      <c r="A4339" s="4" t="str">
        <f>IFERROR(__xludf.DUMMYFUNCTION("""COMPUTED_VALUE"""),"29. Ginger")</f>
        <v>29. Ginger</v>
      </c>
      <c r="B4339" s="4" t="str">
        <f>IFERROR(__xludf.DUMMYFUNCTION("""COMPUTED_VALUE"""),"29")</f>
        <v>29</v>
      </c>
      <c r="C4339" s="5" t="str">
        <f>IFERROR(__xludf.DUMMYFUNCTION("""COMPUTED_VALUE"""),"https://drive.google.com/file/d/1K9ooPJGdPJaR6W9zDqR7JGgev50qNPu2/view?usp=drivesdk")</f>
        <v>https://drive.google.com/file/d/1K9ooPJGdPJaR6W9zDqR7JGgev50qNPu2/view?usp=drivesdk</v>
      </c>
      <c r="D4339" s="12"/>
      <c r="E4339" s="11">
        <v>4377.0</v>
      </c>
      <c r="F4339" s="2"/>
    </row>
    <row r="4340" ht="1.5" customHeight="1">
      <c r="A4340" s="4" t="str">
        <f>IFERROR(__xludf.DUMMYFUNCTION("""COMPUTED_VALUE"""),"29. Ginger, 27. Angel")</f>
        <v>29. Ginger, 27. Angel</v>
      </c>
      <c r="B4340" s="4" t="str">
        <f>IFERROR(__xludf.DUMMYFUNCTION("""COMPUTED_VALUE"""),"29, 27")</f>
        <v>29, 27</v>
      </c>
      <c r="C4340" s="5" t="str">
        <f>IFERROR(__xludf.DUMMYFUNCTION("""COMPUTED_VALUE"""),"https://drive.google.com/file/d/16q1ibar1UMuuutkm21Z4g6QdALXDddLz/view?usp=drivesdk")</f>
        <v>https://drive.google.com/file/d/16q1ibar1UMuuutkm21Z4g6QdALXDddLz/view?usp=drivesdk</v>
      </c>
      <c r="D4340" s="12"/>
      <c r="E4340" s="11">
        <v>4378.0</v>
      </c>
      <c r="F4340" s="2"/>
    </row>
    <row r="4341" ht="1.5" customHeight="1">
      <c r="A4341" s="4" t="str">
        <f>IFERROR(__xludf.DUMMYFUNCTION("""COMPUTED_VALUE"""),"29. Ginger")</f>
        <v>29. Ginger</v>
      </c>
      <c r="B4341" s="4" t="str">
        <f>IFERROR(__xludf.DUMMYFUNCTION("""COMPUTED_VALUE"""),"29")</f>
        <v>29</v>
      </c>
      <c r="C4341" s="5" t="str">
        <f>IFERROR(__xludf.DUMMYFUNCTION("""COMPUTED_VALUE"""),"https://drive.google.com/file/d/18rkkdDfBrmEwx805fl7-i20d5Ok0WIaB/view?usp=drivesdk")</f>
        <v>https://drive.google.com/file/d/18rkkdDfBrmEwx805fl7-i20d5Ok0WIaB/view?usp=drivesdk</v>
      </c>
      <c r="D4341" s="12"/>
      <c r="E4341" s="11">
        <v>4379.0</v>
      </c>
      <c r="F4341" s="2"/>
    </row>
    <row r="4342" ht="1.5" customHeight="1">
      <c r="A4342" s="4" t="str">
        <f>IFERROR(__xludf.DUMMYFUNCTION("""COMPUTED_VALUE"""),"64. Ernie")</f>
        <v>64. Ernie</v>
      </c>
      <c r="B4342" s="4" t="str">
        <f>IFERROR(__xludf.DUMMYFUNCTION("""COMPUTED_VALUE"""),"64")</f>
        <v>64</v>
      </c>
      <c r="C4342" s="5" t="str">
        <f>IFERROR(__xludf.DUMMYFUNCTION("""COMPUTED_VALUE"""),"https://drive.google.com/file/d/1QMKncC7jSg4zcE2_NCmjdOw5z0MSqeuY/view?usp=drivesdk")</f>
        <v>https://drive.google.com/file/d/1QMKncC7jSg4zcE2_NCmjdOw5z0MSqeuY/view?usp=drivesdk</v>
      </c>
      <c r="D4342" s="12"/>
      <c r="E4342" s="11">
        <v>4380.0</v>
      </c>
      <c r="F4342" s="2"/>
    </row>
    <row r="4343" ht="1.5" customHeight="1">
      <c r="A4343" s="4" t="str">
        <f>IFERROR(__xludf.DUMMYFUNCTION("""COMPUTED_VALUE"""),"64. Ernie")</f>
        <v>64. Ernie</v>
      </c>
      <c r="B4343" s="4" t="str">
        <f>IFERROR(__xludf.DUMMYFUNCTION("""COMPUTED_VALUE"""),"64")</f>
        <v>64</v>
      </c>
      <c r="C4343" s="5" t="str">
        <f>IFERROR(__xludf.DUMMYFUNCTION("""COMPUTED_VALUE"""),"https://drive.google.com/file/d/1GS5yXoGWh7IuXRUH5SFoWd993OwGVWo-/view?usp=drivesdk")</f>
        <v>https://drive.google.com/file/d/1GS5yXoGWh7IuXRUH5SFoWd993OwGVWo-/view?usp=drivesdk</v>
      </c>
      <c r="D4343" s="12"/>
      <c r="E4343" s="11">
        <v>4381.0</v>
      </c>
      <c r="F4343" s="2"/>
    </row>
    <row r="4344" ht="1.5" customHeight="1">
      <c r="A4344" s="4" t="str">
        <f>IFERROR(__xludf.DUMMYFUNCTION("""COMPUTED_VALUE"""),"64. Ernie")</f>
        <v>64. Ernie</v>
      </c>
      <c r="B4344" s="4" t="str">
        <f>IFERROR(__xludf.DUMMYFUNCTION("""COMPUTED_VALUE"""),"64")</f>
        <v>64</v>
      </c>
      <c r="C4344" s="5" t="str">
        <f>IFERROR(__xludf.DUMMYFUNCTION("""COMPUTED_VALUE"""),"https://drive.google.com/file/d/1GYRsSiWwkXGCHDe9vm8lrLPx0Z1_AAM8/view?usp=drivesdk")</f>
        <v>https://drive.google.com/file/d/1GYRsSiWwkXGCHDe9vm8lrLPx0Z1_AAM8/view?usp=drivesdk</v>
      </c>
      <c r="D4344" s="12"/>
      <c r="E4344" s="11">
        <v>4382.0</v>
      </c>
      <c r="F4344" s="2"/>
    </row>
    <row r="4345" ht="1.5" customHeight="1">
      <c r="A4345" s="4" t="str">
        <f>IFERROR(__xludf.DUMMYFUNCTION("""COMPUTED_VALUE"""),"1. Microwave")</f>
        <v>1. Microwave</v>
      </c>
      <c r="B4345" s="4" t="str">
        <f>IFERROR(__xludf.DUMMYFUNCTION("""COMPUTED_VALUE"""),"1")</f>
        <v>1</v>
      </c>
      <c r="C4345" s="5" t="str">
        <f>IFERROR(__xludf.DUMMYFUNCTION("""COMPUTED_VALUE"""),"https://drive.google.com/file/d/1ScsjtTjhef6eR4GqJ6WrndKzSBn4mj4p/view?usp=drivesdk")</f>
        <v>https://drive.google.com/file/d/1ScsjtTjhef6eR4GqJ6WrndKzSBn4mj4p/view?usp=drivesdk</v>
      </c>
      <c r="D4345" s="12"/>
      <c r="E4345" s="11">
        <v>4383.0</v>
      </c>
      <c r="F4345" s="2"/>
    </row>
    <row r="4346" ht="1.5" customHeight="1">
      <c r="A4346" s="4" t="str">
        <f>IFERROR(__xludf.DUMMYFUNCTION("""COMPUTED_VALUE"""),"1. Microwave")</f>
        <v>1. Microwave</v>
      </c>
      <c r="B4346" s="4" t="str">
        <f>IFERROR(__xludf.DUMMYFUNCTION("""COMPUTED_VALUE"""),"1")</f>
        <v>1</v>
      </c>
      <c r="C4346" s="5" t="str">
        <f>IFERROR(__xludf.DUMMYFUNCTION("""COMPUTED_VALUE"""),"https://drive.google.com/file/d/1qdECEDLhbOkgfCbJ0huVe_QWeu2Vlvvb/view?usp=drivesdk")</f>
        <v>https://drive.google.com/file/d/1qdECEDLhbOkgfCbJ0huVe_QWeu2Vlvvb/view?usp=drivesdk</v>
      </c>
      <c r="D4346" s="12"/>
      <c r="E4346" s="11">
        <v>4384.0</v>
      </c>
      <c r="F4346" s="2"/>
    </row>
    <row r="4347" ht="1.5" customHeight="1">
      <c r="A4347" s="4" t="str">
        <f>IFERROR(__xludf.DUMMYFUNCTION("""COMPUTED_VALUE"""),"1. Microwave")</f>
        <v>1. Microwave</v>
      </c>
      <c r="B4347" s="4" t="str">
        <f>IFERROR(__xludf.DUMMYFUNCTION("""COMPUTED_VALUE"""),"1")</f>
        <v>1</v>
      </c>
      <c r="C4347" s="5" t="str">
        <f>IFERROR(__xludf.DUMMYFUNCTION("""COMPUTED_VALUE"""),"https://drive.google.com/file/d/1ZLj-c593_bRY2m0GrA-86RQjJwW2IqVe/view?usp=drivesdk")</f>
        <v>https://drive.google.com/file/d/1ZLj-c593_bRY2m0GrA-86RQjJwW2IqVe/view?usp=drivesdk</v>
      </c>
      <c r="D4347" s="12"/>
      <c r="E4347" s="11">
        <v>4385.0</v>
      </c>
      <c r="F4347" s="2"/>
    </row>
    <row r="4348" ht="1.5" customHeight="1">
      <c r="A4348" s="4" t="str">
        <f>IFERROR(__xludf.DUMMYFUNCTION("""COMPUTED_VALUE"""),"1. Microwave")</f>
        <v>1. Microwave</v>
      </c>
      <c r="B4348" s="4" t="str">
        <f>IFERROR(__xludf.DUMMYFUNCTION("""COMPUTED_VALUE"""),"1")</f>
        <v>1</v>
      </c>
      <c r="C4348" s="5" t="str">
        <f>IFERROR(__xludf.DUMMYFUNCTION("""COMPUTED_VALUE"""),"https://drive.google.com/file/d/1XoJ--gCd8R5B_4pDt7VF5mJuUsUKBq_w/view?usp=drivesdk")</f>
        <v>https://drive.google.com/file/d/1XoJ--gCd8R5B_4pDt7VF5mJuUsUKBq_w/view?usp=drivesdk</v>
      </c>
      <c r="D4348" s="12"/>
      <c r="E4348" s="11">
        <v>4386.0</v>
      </c>
      <c r="F4348" s="2"/>
    </row>
    <row r="4349" ht="1.5" customHeight="1">
      <c r="A4349" s="4" t="str">
        <f>IFERROR(__xludf.DUMMYFUNCTION("""COMPUTED_VALUE"""),"49. Freya")</f>
        <v>49. Freya</v>
      </c>
      <c r="B4349" s="4" t="str">
        <f>IFERROR(__xludf.DUMMYFUNCTION("""COMPUTED_VALUE"""),"49")</f>
        <v>49</v>
      </c>
      <c r="C4349" s="5" t="str">
        <f>IFERROR(__xludf.DUMMYFUNCTION("""COMPUTED_VALUE"""),"https://drive.google.com/file/d/1MCqnBA_QPset8NQRJ_WO-iQauj7wmy7U/view?usp=drivesdk")</f>
        <v>https://drive.google.com/file/d/1MCqnBA_QPset8NQRJ_WO-iQauj7wmy7U/view?usp=drivesdk</v>
      </c>
      <c r="D4349" s="12"/>
      <c r="E4349" s="11">
        <v>4387.0</v>
      </c>
      <c r="F4349" s="2"/>
    </row>
    <row r="4350" ht="1.5" customHeight="1">
      <c r="A4350" s="4" t="str">
        <f>IFERROR(__xludf.DUMMYFUNCTION("""COMPUTED_VALUE"""),"49. Freya")</f>
        <v>49. Freya</v>
      </c>
      <c r="B4350" s="4" t="str">
        <f>IFERROR(__xludf.DUMMYFUNCTION("""COMPUTED_VALUE"""),"49")</f>
        <v>49</v>
      </c>
      <c r="C4350" s="5" t="str">
        <f>IFERROR(__xludf.DUMMYFUNCTION("""COMPUTED_VALUE"""),"https://drive.google.com/file/d/1ebRRBsN0Zbm2Cyxj98jU4SxYIg0okQVH/view?usp=drivesdk")</f>
        <v>https://drive.google.com/file/d/1ebRRBsN0Zbm2Cyxj98jU4SxYIg0okQVH/view?usp=drivesdk</v>
      </c>
      <c r="D4350" s="12"/>
      <c r="E4350" s="11">
        <v>4388.0</v>
      </c>
      <c r="F4350" s="2"/>
    </row>
    <row r="4351" ht="1.5" customHeight="1">
      <c r="A4351" s="4" t="str">
        <f>IFERROR(__xludf.DUMMYFUNCTION("""COMPUTED_VALUE"""),"49. Freya")</f>
        <v>49. Freya</v>
      </c>
      <c r="B4351" s="4" t="str">
        <f>IFERROR(__xludf.DUMMYFUNCTION("""COMPUTED_VALUE"""),"49")</f>
        <v>49</v>
      </c>
      <c r="C4351" s="5" t="str">
        <f>IFERROR(__xludf.DUMMYFUNCTION("""COMPUTED_VALUE"""),"https://drive.google.com/file/d/1muBPVtQDRSiqxsDVD2v9qFQb5_aomES9/view?usp=drivesdk")</f>
        <v>https://drive.google.com/file/d/1muBPVtQDRSiqxsDVD2v9qFQb5_aomES9/view?usp=drivesdk</v>
      </c>
      <c r="D4351" s="12"/>
      <c r="E4351" s="11">
        <v>4389.0</v>
      </c>
      <c r="F4351" s="2"/>
    </row>
    <row r="4352" ht="1.5" customHeight="1">
      <c r="A4352" s="4" t="str">
        <f>IFERROR(__xludf.DUMMYFUNCTION("""COMPUTED_VALUE"""),"50. Thor")</f>
        <v>50. Thor</v>
      </c>
      <c r="B4352" s="4" t="str">
        <f>IFERROR(__xludf.DUMMYFUNCTION("""COMPUTED_VALUE"""),"50")</f>
        <v>50</v>
      </c>
      <c r="C4352" s="5" t="str">
        <f>IFERROR(__xludf.DUMMYFUNCTION("""COMPUTED_VALUE"""),"https://drive.google.com/file/d/10X4K5ysbQ_h6SVnZZ7UEuzBEB8GMUzzY/view?usp=drivesdk")</f>
        <v>https://drive.google.com/file/d/10X4K5ysbQ_h6SVnZZ7UEuzBEB8GMUzzY/view?usp=drivesdk</v>
      </c>
      <c r="D4352" s="12"/>
      <c r="E4352" s="11">
        <v>4390.0</v>
      </c>
      <c r="F4352" s="2"/>
    </row>
    <row r="4353" ht="1.5" customHeight="1">
      <c r="A4353" s="4" t="str">
        <f>IFERROR(__xludf.DUMMYFUNCTION("""COMPUTED_VALUE"""),"50. Thor")</f>
        <v>50. Thor</v>
      </c>
      <c r="B4353" s="4" t="str">
        <f>IFERROR(__xludf.DUMMYFUNCTION("""COMPUTED_VALUE"""),"50")</f>
        <v>50</v>
      </c>
      <c r="C4353" s="5" t="str">
        <f>IFERROR(__xludf.DUMMYFUNCTION("""COMPUTED_VALUE"""),"https://drive.google.com/file/d/1LxfYgvelzxmvtPAaRgFj-y65cuNvceMD/view?usp=drivesdk")</f>
        <v>https://drive.google.com/file/d/1LxfYgvelzxmvtPAaRgFj-y65cuNvceMD/view?usp=drivesdk</v>
      </c>
      <c r="D4353" s="12"/>
      <c r="E4353" s="11">
        <v>4391.0</v>
      </c>
      <c r="F4353" s="2"/>
    </row>
    <row r="4354" ht="1.5" customHeight="1">
      <c r="A4354" s="4" t="str">
        <f>IFERROR(__xludf.DUMMYFUNCTION("""COMPUTED_VALUE"""),"27. Angel")</f>
        <v>27. Angel</v>
      </c>
      <c r="B4354" s="4" t="str">
        <f>IFERROR(__xludf.DUMMYFUNCTION("""COMPUTED_VALUE"""),"27")</f>
        <v>27</v>
      </c>
      <c r="C4354" s="5" t="str">
        <f>IFERROR(__xludf.DUMMYFUNCTION("""COMPUTED_VALUE"""),"https://drive.google.com/file/d/1JzsH2VhPlw_oaPKN6CQBnpSTe__w483p/view?usp=drivesdk")</f>
        <v>https://drive.google.com/file/d/1JzsH2VhPlw_oaPKN6CQBnpSTe__w483p/view?usp=drivesdk</v>
      </c>
      <c r="D4354" s="12"/>
      <c r="E4354" s="11">
        <v>4392.0</v>
      </c>
      <c r="F4354" s="2"/>
    </row>
    <row r="4355" ht="1.5" customHeight="1">
      <c r="A4355" s="4" t="str">
        <f>IFERROR(__xludf.DUMMYFUNCTION("""COMPUTED_VALUE"""),"27. Angel")</f>
        <v>27. Angel</v>
      </c>
      <c r="B4355" s="4" t="str">
        <f>IFERROR(__xludf.DUMMYFUNCTION("""COMPUTED_VALUE"""),"27")</f>
        <v>27</v>
      </c>
      <c r="C4355" s="5" t="str">
        <f>IFERROR(__xludf.DUMMYFUNCTION("""COMPUTED_VALUE"""),"https://drive.google.com/file/d/1LSEQXljqVKWWayLic1aSyoLXO7ZarFkz/view?usp=drivesdk")</f>
        <v>https://drive.google.com/file/d/1LSEQXljqVKWWayLic1aSyoLXO7ZarFkz/view?usp=drivesdk</v>
      </c>
      <c r="D4355" s="12"/>
      <c r="E4355" s="11">
        <v>4393.0</v>
      </c>
      <c r="F4355" s="2"/>
    </row>
    <row r="4356" ht="1.5" customHeight="1">
      <c r="A4356" s="4" t="str">
        <f>IFERROR(__xludf.DUMMYFUNCTION("""COMPUTED_VALUE"""),"30. Pepper")</f>
        <v>30. Pepper</v>
      </c>
      <c r="B4356" s="4" t="str">
        <f>IFERROR(__xludf.DUMMYFUNCTION("""COMPUTED_VALUE"""),"30")</f>
        <v>30</v>
      </c>
      <c r="C4356" s="5" t="str">
        <f>IFERROR(__xludf.DUMMYFUNCTION("""COMPUTED_VALUE"""),"https://drive.google.com/file/d/1jFhBeXncv5n_vQaoX-RuIXuiTsIKXOBd/view?usp=drivesdk")</f>
        <v>https://drive.google.com/file/d/1jFhBeXncv5n_vQaoX-RuIXuiTsIKXOBd/view?usp=drivesdk</v>
      </c>
      <c r="D4356" s="12"/>
      <c r="E4356" s="11">
        <v>4394.0</v>
      </c>
      <c r="F4356" s="2"/>
    </row>
    <row r="4357" ht="1.5" customHeight="1">
      <c r="A4357" s="4" t="str">
        <f>IFERROR(__xludf.DUMMYFUNCTION("""COMPUTED_VALUE"""),"27. Angel, 30. Pepper, 29. Ginger")</f>
        <v>27. Angel, 30. Pepper, 29. Ginger</v>
      </c>
      <c r="B4357" s="4" t="str">
        <f>IFERROR(__xludf.DUMMYFUNCTION("""COMPUTED_VALUE"""),"27, 30, 29")</f>
        <v>27, 30, 29</v>
      </c>
      <c r="C4357" s="5" t="str">
        <f>IFERROR(__xludf.DUMMYFUNCTION("""COMPUTED_VALUE"""),"https://drive.google.com/file/d/13TrgBuhRDw2Jq7qA8il0TvnZMrWzM4Qe/view?usp=drivesdk")</f>
        <v>https://drive.google.com/file/d/13TrgBuhRDw2Jq7qA8il0TvnZMrWzM4Qe/view?usp=drivesdk</v>
      </c>
      <c r="D4357" s="12"/>
      <c r="E4357" s="11">
        <v>4395.0</v>
      </c>
      <c r="F4357" s="2"/>
    </row>
    <row r="4358" ht="1.5" customHeight="1">
      <c r="A4358" s="4" t="str">
        <f>IFERROR(__xludf.DUMMYFUNCTION("""COMPUTED_VALUE"""),"29. Ginger, 30. Pepper")</f>
        <v>29. Ginger, 30. Pepper</v>
      </c>
      <c r="B4358" s="4" t="str">
        <f>IFERROR(__xludf.DUMMYFUNCTION("""COMPUTED_VALUE"""),"29, 30")</f>
        <v>29, 30</v>
      </c>
      <c r="C4358" s="5" t="str">
        <f>IFERROR(__xludf.DUMMYFUNCTION("""COMPUTED_VALUE"""),"https://drive.google.com/file/d/18MyQ-A1omiTbbrbi0MyISc8Q9fT9VGL2/view?usp=drivesdk")</f>
        <v>https://drive.google.com/file/d/18MyQ-A1omiTbbrbi0MyISc8Q9fT9VGL2/view?usp=drivesdk</v>
      </c>
      <c r="D4358" s="12"/>
      <c r="E4358" s="11">
        <v>4396.0</v>
      </c>
      <c r="F4358" s="2"/>
    </row>
    <row r="4359" ht="1.5" customHeight="1">
      <c r="A4359" s="4" t="str">
        <f>IFERROR(__xludf.DUMMYFUNCTION("""COMPUTED_VALUE"""),"29. Ginger")</f>
        <v>29. Ginger</v>
      </c>
      <c r="B4359" s="4" t="str">
        <f>IFERROR(__xludf.DUMMYFUNCTION("""COMPUTED_VALUE"""),"29")</f>
        <v>29</v>
      </c>
      <c r="C4359" s="5" t="str">
        <f>IFERROR(__xludf.DUMMYFUNCTION("""COMPUTED_VALUE"""),"https://drive.google.com/file/d/1Izt3lyi6PfzXJH21R2627BvQa_7wjaef/view?usp=drivesdk")</f>
        <v>https://drive.google.com/file/d/1Izt3lyi6PfzXJH21R2627BvQa_7wjaef/view?usp=drivesdk</v>
      </c>
      <c r="D4359" s="12"/>
      <c r="E4359" s="11">
        <v>4397.0</v>
      </c>
      <c r="F4359" s="2"/>
    </row>
    <row r="4360" ht="1.5" customHeight="1">
      <c r="A4360" s="4" t="str">
        <f>IFERROR(__xludf.DUMMYFUNCTION("""COMPUTED_VALUE"""),"29. Ginger, 30. Pepper")</f>
        <v>29. Ginger, 30. Pepper</v>
      </c>
      <c r="B4360" s="4" t="str">
        <f>IFERROR(__xludf.DUMMYFUNCTION("""COMPUTED_VALUE"""),"29, 30")</f>
        <v>29, 30</v>
      </c>
      <c r="C4360" s="5" t="str">
        <f>IFERROR(__xludf.DUMMYFUNCTION("""COMPUTED_VALUE"""),"https://drive.google.com/file/d/12rHBULrwKZejptjb2mZChvpdFIfslAkM/view?usp=drivesdk")</f>
        <v>https://drive.google.com/file/d/12rHBULrwKZejptjb2mZChvpdFIfslAkM/view?usp=drivesdk</v>
      </c>
      <c r="D4360" s="12"/>
      <c r="E4360" s="11">
        <v>4398.0</v>
      </c>
      <c r="F4360" s="2"/>
    </row>
    <row r="4361" ht="1.5" customHeight="1">
      <c r="A4361" s="4" t="str">
        <f>IFERROR(__xludf.DUMMYFUNCTION("""COMPUTED_VALUE"""),"1. Microwave")</f>
        <v>1. Microwave</v>
      </c>
      <c r="B4361" s="4" t="str">
        <f>IFERROR(__xludf.DUMMYFUNCTION("""COMPUTED_VALUE"""),"1")</f>
        <v>1</v>
      </c>
      <c r="C4361" s="5" t="str">
        <f>IFERROR(__xludf.DUMMYFUNCTION("""COMPUTED_VALUE"""),"https://drive.google.com/file/d/1U8Uo7PNP-0iuF0IZbPRHrYOTBdeoDiOd/view?usp=drivesdk")</f>
        <v>https://drive.google.com/file/d/1U8Uo7PNP-0iuF0IZbPRHrYOTBdeoDiOd/view?usp=drivesdk</v>
      </c>
      <c r="D4361" s="12"/>
      <c r="E4361" s="11">
        <v>4399.0</v>
      </c>
      <c r="F4361" s="2"/>
    </row>
    <row r="4362" ht="1.5" customHeight="1">
      <c r="A4362" s="4" t="str">
        <f>IFERROR(__xludf.DUMMYFUNCTION("""COMPUTED_VALUE"""),"1. Microwave")</f>
        <v>1. Microwave</v>
      </c>
      <c r="B4362" s="4" t="str">
        <f>IFERROR(__xludf.DUMMYFUNCTION("""COMPUTED_VALUE"""),"1")</f>
        <v>1</v>
      </c>
      <c r="C4362" s="5" t="str">
        <f>IFERROR(__xludf.DUMMYFUNCTION("""COMPUTED_VALUE"""),"https://drive.google.com/file/d/1bJipStwIXPTIijAaPu-9i7cmrbNFZl4f/view?usp=drivesdk")</f>
        <v>https://drive.google.com/file/d/1bJipStwIXPTIijAaPu-9i7cmrbNFZl4f/view?usp=drivesdk</v>
      </c>
      <c r="D4362" s="12"/>
      <c r="E4362" s="11">
        <v>4400.0</v>
      </c>
      <c r="F4362" s="2"/>
    </row>
    <row r="4363" ht="1.5" customHeight="1">
      <c r="A4363" s="4" t="str">
        <f>IFERROR(__xludf.DUMMYFUNCTION("""COMPUTED_VALUE"""),"1. Microwave")</f>
        <v>1. Microwave</v>
      </c>
      <c r="B4363" s="4" t="str">
        <f>IFERROR(__xludf.DUMMYFUNCTION("""COMPUTED_VALUE"""),"1")</f>
        <v>1</v>
      </c>
      <c r="C4363" s="5" t="str">
        <f>IFERROR(__xludf.DUMMYFUNCTION("""COMPUTED_VALUE"""),"https://drive.google.com/file/d/1EZDMWI0HO8NCgWvj9t167mqckxU7i5VU/view?usp=drivesdk")</f>
        <v>https://drive.google.com/file/d/1EZDMWI0HO8NCgWvj9t167mqckxU7i5VU/view?usp=drivesdk</v>
      </c>
      <c r="D4363" s="12"/>
      <c r="E4363" s="11">
        <v>4401.0</v>
      </c>
      <c r="F4363" s="2"/>
    </row>
    <row r="4364" ht="1.5" customHeight="1">
      <c r="A4364" s="4" t="str">
        <f>IFERROR(__xludf.DUMMYFUNCTION("""COMPUTED_VALUE"""),"1. Microwave")</f>
        <v>1. Microwave</v>
      </c>
      <c r="B4364" s="4" t="str">
        <f>IFERROR(__xludf.DUMMYFUNCTION("""COMPUTED_VALUE"""),"1")</f>
        <v>1</v>
      </c>
      <c r="C4364" s="5" t="str">
        <f>IFERROR(__xludf.DUMMYFUNCTION("""COMPUTED_VALUE"""),"https://drive.google.com/file/d/1iUYhnD-k3KmhG5xe0wntCkrohWZlE_h5/view?usp=drivesdk")</f>
        <v>https://drive.google.com/file/d/1iUYhnD-k3KmhG5xe0wntCkrohWZlE_h5/view?usp=drivesdk</v>
      </c>
      <c r="D4364" s="12"/>
      <c r="E4364" s="11">
        <v>4402.0</v>
      </c>
      <c r="F4364" s="2"/>
    </row>
    <row r="4365" ht="1.5" customHeight="1">
      <c r="A4365" s="4" t="str">
        <f>IFERROR(__xludf.DUMMYFUNCTION("""COMPUTED_VALUE"""),"1. Microwave")</f>
        <v>1. Microwave</v>
      </c>
      <c r="B4365" s="4" t="str">
        <f>IFERROR(__xludf.DUMMYFUNCTION("""COMPUTED_VALUE"""),"1")</f>
        <v>1</v>
      </c>
      <c r="C4365" s="5" t="str">
        <f>IFERROR(__xludf.DUMMYFUNCTION("""COMPUTED_VALUE"""),"https://drive.google.com/file/d/1jFABQHnNlLlNgLcBjp30rT_NyMD-CgNZ/view?usp=drivesdk")</f>
        <v>https://drive.google.com/file/d/1jFABQHnNlLlNgLcBjp30rT_NyMD-CgNZ/view?usp=drivesdk</v>
      </c>
      <c r="D4365" s="12"/>
      <c r="E4365" s="11">
        <v>4403.0</v>
      </c>
      <c r="F4365" s="2"/>
    </row>
    <row r="4366" ht="1.5" customHeight="1">
      <c r="A4366" s="4" t="str">
        <f>IFERROR(__xludf.DUMMYFUNCTION("""COMPUTED_VALUE"""),"1. Microwave")</f>
        <v>1. Microwave</v>
      </c>
      <c r="B4366" s="4" t="str">
        <f>IFERROR(__xludf.DUMMYFUNCTION("""COMPUTED_VALUE"""),"1")</f>
        <v>1</v>
      </c>
      <c r="C4366" s="5" t="str">
        <f>IFERROR(__xludf.DUMMYFUNCTION("""COMPUTED_VALUE"""),"https://drive.google.com/file/d/1i_9E7mLk8yYmkh8a1yFPZe47E5JWeu0P/view?usp=drivesdk")</f>
        <v>https://drive.google.com/file/d/1i_9E7mLk8yYmkh8a1yFPZe47E5JWeu0P/view?usp=drivesdk</v>
      </c>
      <c r="D4366" s="12"/>
      <c r="E4366" s="11">
        <v>4404.0</v>
      </c>
      <c r="F4366" s="2"/>
    </row>
    <row r="4367" ht="1.5" customHeight="1">
      <c r="A4367" s="4" t="str">
        <f>IFERROR(__xludf.DUMMYFUNCTION("""COMPUTED_VALUE"""),"1. Microwave")</f>
        <v>1. Microwave</v>
      </c>
      <c r="B4367" s="4" t="str">
        <f>IFERROR(__xludf.DUMMYFUNCTION("""COMPUTED_VALUE"""),"1")</f>
        <v>1</v>
      </c>
      <c r="C4367" s="5" t="str">
        <f>IFERROR(__xludf.DUMMYFUNCTION("""COMPUTED_VALUE"""),"https://drive.google.com/file/d/15524RBrlvZJ6EAvuG03vf9Z4Cn81VZNr/view?usp=drivesdk")</f>
        <v>https://drive.google.com/file/d/15524RBrlvZJ6EAvuG03vf9Z4Cn81VZNr/view?usp=drivesdk</v>
      </c>
      <c r="D4367" s="12"/>
      <c r="E4367" s="11">
        <v>4405.0</v>
      </c>
      <c r="F4367" s="2"/>
    </row>
    <row r="4368" ht="1.5" customHeight="1">
      <c r="A4368" s="4" t="str">
        <f>IFERROR(__xludf.DUMMYFUNCTION("""COMPUTED_VALUE"""),"2. Twix")</f>
        <v>2. Twix</v>
      </c>
      <c r="B4368" s="4" t="str">
        <f>IFERROR(__xludf.DUMMYFUNCTION("""COMPUTED_VALUE"""),"2")</f>
        <v>2</v>
      </c>
      <c r="C4368" s="5" t="str">
        <f>IFERROR(__xludf.DUMMYFUNCTION("""COMPUTED_VALUE"""),"https://drive.google.com/file/d/1BB9NdmCuWV3hUbfPUQthtORvFSWDgKtB/view?usp=drivesdk")</f>
        <v>https://drive.google.com/file/d/1BB9NdmCuWV3hUbfPUQthtORvFSWDgKtB/view?usp=drivesdk</v>
      </c>
      <c r="D4368" s="12"/>
      <c r="E4368" s="11">
        <v>4406.0</v>
      </c>
      <c r="F4368" s="2"/>
    </row>
    <row r="4369" ht="1.5" customHeight="1">
      <c r="A4369" s="4" t="str">
        <f>IFERROR(__xludf.DUMMYFUNCTION("""COMPUTED_VALUE"""),"2. Twix")</f>
        <v>2. Twix</v>
      </c>
      <c r="B4369" s="4" t="str">
        <f>IFERROR(__xludf.DUMMYFUNCTION("""COMPUTED_VALUE"""),"2")</f>
        <v>2</v>
      </c>
      <c r="C4369" s="5" t="str">
        <f>IFERROR(__xludf.DUMMYFUNCTION("""COMPUTED_VALUE"""),"https://drive.google.com/file/d/1SHUX2nW154B2s4DLh0w6HfJrBZFA5f8S/view?usp=drivesdk")</f>
        <v>https://drive.google.com/file/d/1SHUX2nW154B2s4DLh0w6HfJrBZFA5f8S/view?usp=drivesdk</v>
      </c>
      <c r="D4369" s="12"/>
      <c r="E4369" s="11">
        <v>4407.0</v>
      </c>
      <c r="F4369" s="2"/>
    </row>
    <row r="4370" ht="1.5" customHeight="1">
      <c r="A4370" s="4" t="str">
        <f>IFERROR(__xludf.DUMMYFUNCTION("""COMPUTED_VALUE"""),"27. Angel")</f>
        <v>27. Angel</v>
      </c>
      <c r="B4370" s="4" t="str">
        <f>IFERROR(__xludf.DUMMYFUNCTION("""COMPUTED_VALUE"""),"27")</f>
        <v>27</v>
      </c>
      <c r="C4370" s="5" t="str">
        <f>IFERROR(__xludf.DUMMYFUNCTION("""COMPUTED_VALUE"""),"https://drive.google.com/file/d/1_WpX8nUOYY8VO7b0OTSJefAvX8bYNLbD/view?usp=drivesdk")</f>
        <v>https://drive.google.com/file/d/1_WpX8nUOYY8VO7b0OTSJefAvX8bYNLbD/view?usp=drivesdk</v>
      </c>
      <c r="D4370" s="12"/>
      <c r="E4370" s="11">
        <v>4408.0</v>
      </c>
      <c r="F4370" s="2"/>
    </row>
    <row r="4371" ht="1.5" customHeight="1">
      <c r="A4371" s="4" t="str">
        <f>IFERROR(__xludf.DUMMYFUNCTION("""COMPUTED_VALUE"""),"27. Angel")</f>
        <v>27. Angel</v>
      </c>
      <c r="B4371" s="4" t="str">
        <f>IFERROR(__xludf.DUMMYFUNCTION("""COMPUTED_VALUE"""),"27")</f>
        <v>27</v>
      </c>
      <c r="C4371" s="5" t="str">
        <f>IFERROR(__xludf.DUMMYFUNCTION("""COMPUTED_VALUE"""),"https://drive.google.com/file/d/1MrBl6gYVV4dcfv9x1YcZqharZ8ftnEH6/view?usp=drivesdk")</f>
        <v>https://drive.google.com/file/d/1MrBl6gYVV4dcfv9x1YcZqharZ8ftnEH6/view?usp=drivesdk</v>
      </c>
      <c r="D4371" s="12"/>
      <c r="E4371" s="11">
        <v>4409.0</v>
      </c>
      <c r="F4371" s="2"/>
    </row>
    <row r="4372" ht="1.5" customHeight="1">
      <c r="A4372" s="4" t="str">
        <f>IFERROR(__xludf.DUMMYFUNCTION("""COMPUTED_VALUE"""),"27. Angel")</f>
        <v>27. Angel</v>
      </c>
      <c r="B4372" s="4" t="str">
        <f>IFERROR(__xludf.DUMMYFUNCTION("""COMPUTED_VALUE"""),"27")</f>
        <v>27</v>
      </c>
      <c r="C4372" s="5" t="str">
        <f>IFERROR(__xludf.DUMMYFUNCTION("""COMPUTED_VALUE"""),"https://drive.google.com/file/d/1pBuZXOP48iaumF0nlqpcCF4uLPmwhwVY/view?usp=drivesdk")</f>
        <v>https://drive.google.com/file/d/1pBuZXOP48iaumF0nlqpcCF4uLPmwhwVY/view?usp=drivesdk</v>
      </c>
      <c r="D4372" s="12"/>
      <c r="E4372" s="11">
        <v>4410.0</v>
      </c>
      <c r="F4372" s="2"/>
    </row>
    <row r="4373" ht="1.5" customHeight="1">
      <c r="A4373" s="4" t="str">
        <f>IFERROR(__xludf.DUMMYFUNCTION("""COMPUTED_VALUE"""),"27. Angel")</f>
        <v>27. Angel</v>
      </c>
      <c r="B4373" s="4" t="str">
        <f>IFERROR(__xludf.DUMMYFUNCTION("""COMPUTED_VALUE"""),"27")</f>
        <v>27</v>
      </c>
      <c r="C4373" s="5" t="str">
        <f>IFERROR(__xludf.DUMMYFUNCTION("""COMPUTED_VALUE"""),"https://drive.google.com/file/d/1iAOI9gjWRaNLFRpfZLPIm3deMBwAQePl/view?usp=drivesdk")</f>
        <v>https://drive.google.com/file/d/1iAOI9gjWRaNLFRpfZLPIm3deMBwAQePl/view?usp=drivesdk</v>
      </c>
      <c r="D4373" s="12"/>
      <c r="E4373" s="11">
        <v>4411.0</v>
      </c>
      <c r="F4373" s="2"/>
    </row>
    <row r="4374" ht="1.5" customHeight="1">
      <c r="A4374" s="4" t="str">
        <f>IFERROR(__xludf.DUMMYFUNCTION("""COMPUTED_VALUE"""),"27. Angel")</f>
        <v>27. Angel</v>
      </c>
      <c r="B4374" s="4" t="str">
        <f>IFERROR(__xludf.DUMMYFUNCTION("""COMPUTED_VALUE"""),"27")</f>
        <v>27</v>
      </c>
      <c r="C4374" s="5" t="str">
        <f>IFERROR(__xludf.DUMMYFUNCTION("""COMPUTED_VALUE"""),"https://drive.google.com/file/d/1ko26Szt_ZLemsuAKTHxH05DlLkU8KiCY/view?usp=drivesdk")</f>
        <v>https://drive.google.com/file/d/1ko26Szt_ZLemsuAKTHxH05DlLkU8KiCY/view?usp=drivesdk</v>
      </c>
      <c r="D4374" s="12"/>
      <c r="E4374" s="11">
        <v>4412.0</v>
      </c>
      <c r="F4374" s="2"/>
    </row>
    <row r="4375" ht="1.5" customHeight="1">
      <c r="A4375" s="4" t="str">
        <f>IFERROR(__xludf.DUMMYFUNCTION("""COMPUTED_VALUE"""),"1. Microwave")</f>
        <v>1. Microwave</v>
      </c>
      <c r="B4375" s="4" t="str">
        <f>IFERROR(__xludf.DUMMYFUNCTION("""COMPUTED_VALUE"""),"1")</f>
        <v>1</v>
      </c>
      <c r="C4375" s="5" t="str">
        <f>IFERROR(__xludf.DUMMYFUNCTION("""COMPUTED_VALUE"""),"https://drive.google.com/file/d/104ZA2tvzGCgqH3PJ8ks_IC5grSIKqRdp/view?usp=drivesdk")</f>
        <v>https://drive.google.com/file/d/104ZA2tvzGCgqH3PJ8ks_IC5grSIKqRdp/view?usp=drivesdk</v>
      </c>
      <c r="D4375" s="12"/>
      <c r="E4375" s="11">
        <v>4413.0</v>
      </c>
      <c r="F4375" s="2"/>
    </row>
    <row r="4376" ht="1.5" customHeight="1">
      <c r="A4376" s="4" t="str">
        <f>IFERROR(__xludf.DUMMYFUNCTION("""COMPUTED_VALUE"""),"1. Microwave")</f>
        <v>1. Microwave</v>
      </c>
      <c r="B4376" s="4" t="str">
        <f>IFERROR(__xludf.DUMMYFUNCTION("""COMPUTED_VALUE"""),"1")</f>
        <v>1</v>
      </c>
      <c r="C4376" s="5" t="str">
        <f>IFERROR(__xludf.DUMMYFUNCTION("""COMPUTED_VALUE"""),"https://drive.google.com/file/d/153IBQkttMQPRbLNtWLJ4ridIT3cQvclt/view?usp=drivesdk")</f>
        <v>https://drive.google.com/file/d/153IBQkttMQPRbLNtWLJ4ridIT3cQvclt/view?usp=drivesdk</v>
      </c>
      <c r="D4376" s="12"/>
      <c r="E4376" s="11">
        <v>4414.0</v>
      </c>
      <c r="F4376" s="2"/>
    </row>
    <row r="4377" ht="1.5" customHeight="1">
      <c r="A4377" s="4" t="str">
        <f>IFERROR(__xludf.DUMMYFUNCTION("""COMPUTED_VALUE"""),"0. NotACat")</f>
        <v>0. NotACat</v>
      </c>
      <c r="B4377" s="4" t="str">
        <f>IFERROR(__xludf.DUMMYFUNCTION("""COMPUTED_VALUE"""),"0")</f>
        <v>0</v>
      </c>
      <c r="C4377" s="5" t="str">
        <f>IFERROR(__xludf.DUMMYFUNCTION("""COMPUTED_VALUE"""),"https://drive.google.com/file/d/1oVQGkJGLVj_7hLjAEQuFxcZER9h9TO8I/view?usp=drivesdk")</f>
        <v>https://drive.google.com/file/d/1oVQGkJGLVj_7hLjAEQuFxcZER9h9TO8I/view?usp=drivesdk</v>
      </c>
      <c r="D4377" s="12"/>
      <c r="E4377" s="11">
        <v>4415.0</v>
      </c>
      <c r="F4377" s="2"/>
    </row>
    <row r="4378" ht="1.5" customHeight="1">
      <c r="A4378" s="4" t="str">
        <f>IFERROR(__xludf.DUMMYFUNCTION("""COMPUTED_VALUE"""),"87. Bandit")</f>
        <v>87. Bandit</v>
      </c>
      <c r="B4378" s="4" t="str">
        <f>IFERROR(__xludf.DUMMYFUNCTION("""COMPUTED_VALUE"""),"87")</f>
        <v>87</v>
      </c>
      <c r="C4378" s="5" t="str">
        <f>IFERROR(__xludf.DUMMYFUNCTION("""COMPUTED_VALUE"""),"https://drive.google.com/file/d/1IA94rfRafH1McbiCoMOiSwD2VexQcQB3/view?usp=drivesdk")</f>
        <v>https://drive.google.com/file/d/1IA94rfRafH1McbiCoMOiSwD2VexQcQB3/view?usp=drivesdk</v>
      </c>
      <c r="D4378" s="12"/>
      <c r="E4378" s="11">
        <v>4416.0</v>
      </c>
      <c r="F4378" s="2"/>
    </row>
    <row r="4379" ht="1.5" customHeight="1">
      <c r="A4379" s="4" t="str">
        <f>IFERROR(__xludf.DUMMYFUNCTION("""COMPUTED_VALUE"""),"47. Nefarious, 38. Winston")</f>
        <v>47. Nefarious, 38. Winston</v>
      </c>
      <c r="B4379" s="4" t="str">
        <f>IFERROR(__xludf.DUMMYFUNCTION("""COMPUTED_VALUE"""),"47, 38")</f>
        <v>47, 38</v>
      </c>
      <c r="C4379" s="5" t="str">
        <f>IFERROR(__xludf.DUMMYFUNCTION("""COMPUTED_VALUE"""),"https://drive.google.com/file/d/1jcmPOK5DvowCQM_WKFb6iCFo_WPDcpN0/view?usp=drivesdk")</f>
        <v>https://drive.google.com/file/d/1jcmPOK5DvowCQM_WKFb6iCFo_WPDcpN0/view?usp=drivesdk</v>
      </c>
      <c r="D4379" s="12"/>
      <c r="E4379" s="11">
        <v>4417.0</v>
      </c>
      <c r="F4379" s="2"/>
    </row>
    <row r="4380" ht="1.5" customHeight="1">
      <c r="A4380" s="4" t="str">
        <f>IFERROR(__xludf.DUMMYFUNCTION("""COMPUTED_VALUE"""),"2. Twix")</f>
        <v>2. Twix</v>
      </c>
      <c r="B4380" s="4" t="str">
        <f>IFERROR(__xludf.DUMMYFUNCTION("""COMPUTED_VALUE"""),"2")</f>
        <v>2</v>
      </c>
      <c r="C4380" s="5" t="str">
        <f>IFERROR(__xludf.DUMMYFUNCTION("""COMPUTED_VALUE"""),"https://drive.google.com/file/d/19fMebUyrz5RhQ4dnkuJkxqJewKFwPvCl/view?usp=drivesdk")</f>
        <v>https://drive.google.com/file/d/19fMebUyrz5RhQ4dnkuJkxqJewKFwPvCl/view?usp=drivesdk</v>
      </c>
      <c r="D4380" s="12"/>
      <c r="E4380" s="11">
        <v>4418.0</v>
      </c>
      <c r="F4380" s="2"/>
    </row>
    <row r="4381" ht="1.5" customHeight="1">
      <c r="A4381" s="4" t="str">
        <f>IFERROR(__xludf.DUMMYFUNCTION("""COMPUTED_VALUE"""),"2. Twix")</f>
        <v>2. Twix</v>
      </c>
      <c r="B4381" s="4" t="str">
        <f>IFERROR(__xludf.DUMMYFUNCTION("""COMPUTED_VALUE"""),"2")</f>
        <v>2</v>
      </c>
      <c r="C4381" s="5" t="str">
        <f>IFERROR(__xludf.DUMMYFUNCTION("""COMPUTED_VALUE"""),"https://drive.google.com/file/d/1xIoxUPTD3qw6Bm_yntZzfl2dQ06gUftN/view?usp=drivesdk")</f>
        <v>https://drive.google.com/file/d/1xIoxUPTD3qw6Bm_yntZzfl2dQ06gUftN/view?usp=drivesdk</v>
      </c>
      <c r="D4381" s="12"/>
      <c r="E4381" s="11">
        <v>4419.0</v>
      </c>
      <c r="F4381" s="2"/>
    </row>
    <row r="4382" ht="1.5" customHeight="1">
      <c r="A4382" s="4" t="str">
        <f>IFERROR(__xludf.DUMMYFUNCTION("""COMPUTED_VALUE"""),"5. Eraser")</f>
        <v>5. Eraser</v>
      </c>
      <c r="B4382" s="4" t="str">
        <f>IFERROR(__xludf.DUMMYFUNCTION("""COMPUTED_VALUE"""),"5")</f>
        <v>5</v>
      </c>
      <c r="C4382" s="5" t="str">
        <f>IFERROR(__xludf.DUMMYFUNCTION("""COMPUTED_VALUE"""),"https://drive.google.com/file/d/1VPCm8adGpb31dn9VWVeB7pI6iboB21ob/view?usp=drivesdk")</f>
        <v>https://drive.google.com/file/d/1VPCm8adGpb31dn9VWVeB7pI6iboB21ob/view?usp=drivesdk</v>
      </c>
      <c r="D4382" s="12"/>
      <c r="E4382" s="11">
        <v>4420.0</v>
      </c>
      <c r="F4382" s="2"/>
    </row>
    <row r="4383" ht="1.5" customHeight="1">
      <c r="A4383" s="4" t="str">
        <f>IFERROR(__xludf.DUMMYFUNCTION("""COMPUTED_VALUE"""),"4. Eggs, 5. Eraser")</f>
        <v>4. Eggs, 5. Eraser</v>
      </c>
      <c r="B4383" s="4" t="str">
        <f>IFERROR(__xludf.DUMMYFUNCTION("""COMPUTED_VALUE"""),"4, 5")</f>
        <v>4, 5</v>
      </c>
      <c r="C4383" s="5" t="str">
        <f>IFERROR(__xludf.DUMMYFUNCTION("""COMPUTED_VALUE"""),"https://drive.google.com/file/d/1QE_u7s3bsU2m5Dt_Gx9CQsuGQgL4iA2R/view?usp=drivesdk")</f>
        <v>https://drive.google.com/file/d/1QE_u7s3bsU2m5Dt_Gx9CQsuGQgL4iA2R/view?usp=drivesdk</v>
      </c>
      <c r="D4383" s="12"/>
      <c r="E4383" s="11">
        <v>4421.0</v>
      </c>
      <c r="F4383" s="2"/>
    </row>
    <row r="4384" ht="1.5" customHeight="1">
      <c r="A4384" s="4" t="str">
        <f>IFERROR(__xludf.DUMMYFUNCTION("""COMPUTED_VALUE"""),"0. NotACat")</f>
        <v>0. NotACat</v>
      </c>
      <c r="B4384" s="4" t="str">
        <f>IFERROR(__xludf.DUMMYFUNCTION("""COMPUTED_VALUE"""),"0")</f>
        <v>0</v>
      </c>
      <c r="C4384" s="5" t="str">
        <f>IFERROR(__xludf.DUMMYFUNCTION("""COMPUTED_VALUE"""),"https://drive.google.com/file/d/1zVitWLhIH2NmOcuitprCMoav_0Kee-vC/view?usp=drivesdk")</f>
        <v>https://drive.google.com/file/d/1zVitWLhIH2NmOcuitprCMoav_0Kee-vC/view?usp=drivesdk</v>
      </c>
      <c r="D4384" s="12"/>
      <c r="E4384" s="11">
        <v>4422.0</v>
      </c>
      <c r="F4384" s="2"/>
    </row>
    <row r="4385" ht="1.5" customHeight="1">
      <c r="A4385" s="4" t="str">
        <f>IFERROR(__xludf.DUMMYFUNCTION("""COMPUTED_VALUE"""),"0. NotACat")</f>
        <v>0. NotACat</v>
      </c>
      <c r="B4385" s="4" t="str">
        <f>IFERROR(__xludf.DUMMYFUNCTION("""COMPUTED_VALUE"""),"0")</f>
        <v>0</v>
      </c>
      <c r="C4385" s="5" t="str">
        <f>IFERROR(__xludf.DUMMYFUNCTION("""COMPUTED_VALUE"""),"https://drive.google.com/file/d/1j4IlCdDrf3fpooQ8jBg3RLSArvMnCSsH/view?usp=drivesdk")</f>
        <v>https://drive.google.com/file/d/1j4IlCdDrf3fpooQ8jBg3RLSArvMnCSsH/view?usp=drivesdk</v>
      </c>
      <c r="D4385" s="12"/>
      <c r="E4385" s="11">
        <v>4423.0</v>
      </c>
      <c r="F4385" s="2"/>
    </row>
    <row r="4386" ht="1.5" customHeight="1">
      <c r="A4386" s="4" t="str">
        <f>IFERROR(__xludf.DUMMYFUNCTION("""COMPUTED_VALUE"""),"0. NotACat")</f>
        <v>0. NotACat</v>
      </c>
      <c r="B4386" s="4" t="str">
        <f>IFERROR(__xludf.DUMMYFUNCTION("""COMPUTED_VALUE"""),"0")</f>
        <v>0</v>
      </c>
      <c r="C4386" s="5" t="str">
        <f>IFERROR(__xludf.DUMMYFUNCTION("""COMPUTED_VALUE"""),"https://drive.google.com/file/d/1O9ID18eLoUAj9FJDzsbdzjGS_pQxTsuv/view?usp=drivesdk")</f>
        <v>https://drive.google.com/file/d/1O9ID18eLoUAj9FJDzsbdzjGS_pQxTsuv/view?usp=drivesdk</v>
      </c>
      <c r="D4386" s="12"/>
      <c r="E4386" s="11">
        <v>4424.0</v>
      </c>
      <c r="F4386" s="2"/>
    </row>
    <row r="4387" ht="1.5" customHeight="1">
      <c r="A4387" s="4" t="str">
        <f>IFERROR(__xludf.DUMMYFUNCTION("""COMPUTED_VALUE"""),"0. NotACat")</f>
        <v>0. NotACat</v>
      </c>
      <c r="B4387" s="4" t="str">
        <f>IFERROR(__xludf.DUMMYFUNCTION("""COMPUTED_VALUE"""),"0")</f>
        <v>0</v>
      </c>
      <c r="C4387" s="5" t="str">
        <f>IFERROR(__xludf.DUMMYFUNCTION("""COMPUTED_VALUE"""),"https://drive.google.com/file/d/12u1YFM-SWMui9EovhK73mR342fwlxwpB/view?usp=drivesdk")</f>
        <v>https://drive.google.com/file/d/12u1YFM-SWMui9EovhK73mR342fwlxwpB/view?usp=drivesdk</v>
      </c>
      <c r="D4387" s="12"/>
      <c r="E4387" s="11">
        <v>4425.0</v>
      </c>
      <c r="F4387" s="2"/>
    </row>
    <row r="4388" ht="1.5" customHeight="1">
      <c r="A4388" s="4" t="str">
        <f>IFERROR(__xludf.DUMMYFUNCTION("""COMPUTED_VALUE"""),"1. Microwave")</f>
        <v>1. Microwave</v>
      </c>
      <c r="B4388" s="4" t="str">
        <f>IFERROR(__xludf.DUMMYFUNCTION("""COMPUTED_VALUE"""),"1")</f>
        <v>1</v>
      </c>
      <c r="C4388" s="5" t="str">
        <f>IFERROR(__xludf.DUMMYFUNCTION("""COMPUTED_VALUE"""),"https://drive.google.com/file/d/1jVz7PrfuleoVPDGynwxlT4d9kvS55zMe/view?usp=drivesdk")</f>
        <v>https://drive.google.com/file/d/1jVz7PrfuleoVPDGynwxlT4d9kvS55zMe/view?usp=drivesdk</v>
      </c>
      <c r="D4388" s="12"/>
      <c r="E4388" s="11">
        <v>4426.0</v>
      </c>
      <c r="F4388" s="2"/>
    </row>
    <row r="4389" ht="1.5" customHeight="1">
      <c r="A4389" s="4" t="str">
        <f>IFERROR(__xludf.DUMMYFUNCTION("""COMPUTED_VALUE"""),"1. Microwave")</f>
        <v>1. Microwave</v>
      </c>
      <c r="B4389" s="4" t="str">
        <f>IFERROR(__xludf.DUMMYFUNCTION("""COMPUTED_VALUE"""),"1")</f>
        <v>1</v>
      </c>
      <c r="C4389" s="5" t="str">
        <f>IFERROR(__xludf.DUMMYFUNCTION("""COMPUTED_VALUE"""),"https://drive.google.com/file/d/15FSewD2921vfUJK1JWZVtOCUnb5MuIZl/view?usp=drivesdk")</f>
        <v>https://drive.google.com/file/d/15FSewD2921vfUJK1JWZVtOCUnb5MuIZl/view?usp=drivesdk</v>
      </c>
      <c r="D4389" s="12"/>
      <c r="E4389" s="11">
        <v>4427.0</v>
      </c>
      <c r="F4389" s="2"/>
    </row>
    <row r="4390" ht="1.5" customHeight="1">
      <c r="A4390" s="4" t="str">
        <f>IFERROR(__xludf.DUMMYFUNCTION("""COMPUTED_VALUE"""),"1. Microwave")</f>
        <v>1. Microwave</v>
      </c>
      <c r="B4390" s="4" t="str">
        <f>IFERROR(__xludf.DUMMYFUNCTION("""COMPUTED_VALUE"""),"1")</f>
        <v>1</v>
      </c>
      <c r="C4390" s="5" t="str">
        <f>IFERROR(__xludf.DUMMYFUNCTION("""COMPUTED_VALUE"""),"https://drive.google.com/file/d/193uWZQu2UNxVOWzW54tkT3fd4yc4h7YN/view?usp=drivesdk")</f>
        <v>https://drive.google.com/file/d/193uWZQu2UNxVOWzW54tkT3fd4yc4h7YN/view?usp=drivesdk</v>
      </c>
      <c r="D4390" s="12"/>
      <c r="E4390" s="11">
        <v>4428.0</v>
      </c>
      <c r="F4390" s="2"/>
    </row>
    <row r="4391" ht="1.5" customHeight="1">
      <c r="A4391" s="4" t="str">
        <f>IFERROR(__xludf.DUMMYFUNCTION("""COMPUTED_VALUE"""),"29. Ginger")</f>
        <v>29. Ginger</v>
      </c>
      <c r="B4391" s="4" t="str">
        <f>IFERROR(__xludf.DUMMYFUNCTION("""COMPUTED_VALUE"""),"29")</f>
        <v>29</v>
      </c>
      <c r="C4391" s="5" t="str">
        <f>IFERROR(__xludf.DUMMYFUNCTION("""COMPUTED_VALUE"""),"https://drive.google.com/file/d/1FMYU1M4YtAS1EB0Rx_65OPSdai3wehpB/view?usp=drivesdk")</f>
        <v>https://drive.google.com/file/d/1FMYU1M4YtAS1EB0Rx_65OPSdai3wehpB/view?usp=drivesdk</v>
      </c>
      <c r="D4391" s="12"/>
      <c r="E4391" s="11">
        <v>4429.0</v>
      </c>
      <c r="F4391" s="2"/>
    </row>
    <row r="4392" ht="1.5" customHeight="1">
      <c r="A4392" s="4" t="str">
        <f>IFERROR(__xludf.DUMMYFUNCTION("""COMPUTED_VALUE"""),"29. Ginger")</f>
        <v>29. Ginger</v>
      </c>
      <c r="B4392" s="4" t="str">
        <f>IFERROR(__xludf.DUMMYFUNCTION("""COMPUTED_VALUE"""),"29")</f>
        <v>29</v>
      </c>
      <c r="C4392" s="5" t="str">
        <f>IFERROR(__xludf.DUMMYFUNCTION("""COMPUTED_VALUE"""),"https://drive.google.com/file/d/1ipQNlHPAtv55jl4p9Y3ykI7LHRqyr49E/view?usp=drivesdk")</f>
        <v>https://drive.google.com/file/d/1ipQNlHPAtv55jl4p9Y3ykI7LHRqyr49E/view?usp=drivesdk</v>
      </c>
      <c r="D4392" s="12"/>
      <c r="E4392" s="11">
        <v>4430.0</v>
      </c>
      <c r="F4392" s="2"/>
    </row>
    <row r="4393" ht="1.5" customHeight="1">
      <c r="A4393" s="4" t="str">
        <f>IFERROR(__xludf.DUMMYFUNCTION("""COMPUTED_VALUE"""),"30. Pepper")</f>
        <v>30. Pepper</v>
      </c>
      <c r="B4393" s="4" t="str">
        <f>IFERROR(__xludf.DUMMYFUNCTION("""COMPUTED_VALUE"""),"30")</f>
        <v>30</v>
      </c>
      <c r="C4393" s="5" t="str">
        <f>IFERROR(__xludf.DUMMYFUNCTION("""COMPUTED_VALUE"""),"https://drive.google.com/file/d/10ZnepdvZlvXWkBS1EMnzWpOQWGlA0nzn/view?usp=drivesdk")</f>
        <v>https://drive.google.com/file/d/10ZnepdvZlvXWkBS1EMnzWpOQWGlA0nzn/view?usp=drivesdk</v>
      </c>
      <c r="D4393" s="12"/>
      <c r="E4393" s="11">
        <v>4431.0</v>
      </c>
      <c r="F4393" s="2"/>
    </row>
    <row r="4394" ht="1.5" customHeight="1">
      <c r="A4394" s="4" t="str">
        <f>IFERROR(__xludf.DUMMYFUNCTION("""COMPUTED_VALUE"""),"27. Angel, 29. Ginger")</f>
        <v>27. Angel, 29. Ginger</v>
      </c>
      <c r="B4394" s="4" t="str">
        <f>IFERROR(__xludf.DUMMYFUNCTION("""COMPUTED_VALUE"""),"27, 29")</f>
        <v>27, 29</v>
      </c>
      <c r="C4394" s="5" t="str">
        <f>IFERROR(__xludf.DUMMYFUNCTION("""COMPUTED_VALUE"""),"https://drive.google.com/file/d/1EgvHukMjL2kGJMI1ZYLQmtT98pM42KhY/view?usp=drivesdk")</f>
        <v>https://drive.google.com/file/d/1EgvHukMjL2kGJMI1ZYLQmtT98pM42KhY/view?usp=drivesdk</v>
      </c>
      <c r="D4394" s="12"/>
      <c r="E4394" s="11">
        <v>4432.0</v>
      </c>
      <c r="F4394" s="2"/>
    </row>
    <row r="4395" ht="1.5" customHeight="1">
      <c r="A4395" s="4" t="str">
        <f>IFERROR(__xludf.DUMMYFUNCTION("""COMPUTED_VALUE"""),"0. NotACat")</f>
        <v>0. NotACat</v>
      </c>
      <c r="B4395" s="4" t="str">
        <f>IFERROR(__xludf.DUMMYFUNCTION("""COMPUTED_VALUE"""),"0")</f>
        <v>0</v>
      </c>
      <c r="C4395" s="5" t="str">
        <f>IFERROR(__xludf.DUMMYFUNCTION("""COMPUTED_VALUE"""),"https://drive.google.com/file/d/1BXSg3X1CJe9z-EeDY--duroqsUQER5US/view?usp=drivesdk")</f>
        <v>https://drive.google.com/file/d/1BXSg3X1CJe9z-EeDY--duroqsUQER5US/view?usp=drivesdk</v>
      </c>
      <c r="D4395" s="12"/>
      <c r="E4395" s="11">
        <v>4433.0</v>
      </c>
      <c r="F4395" s="2"/>
    </row>
    <row r="4396" ht="1.5" customHeight="1">
      <c r="A4396" s="4" t="str">
        <f>IFERROR(__xludf.DUMMYFUNCTION("""COMPUTED_VALUE"""),"5. Eraser")</f>
        <v>5. Eraser</v>
      </c>
      <c r="B4396" s="4" t="str">
        <f>IFERROR(__xludf.DUMMYFUNCTION("""COMPUTED_VALUE"""),"5")</f>
        <v>5</v>
      </c>
      <c r="C4396" s="5" t="str">
        <f>IFERROR(__xludf.DUMMYFUNCTION("""COMPUTED_VALUE"""),"https://drive.google.com/file/d/1iUy-sTJ1CKmP-8--h_Z64mkj47f6dnxX/view?usp=drivesdk")</f>
        <v>https://drive.google.com/file/d/1iUy-sTJ1CKmP-8--h_Z64mkj47f6dnxX/view?usp=drivesdk</v>
      </c>
      <c r="D4396" s="12"/>
      <c r="E4396" s="11">
        <v>4434.0</v>
      </c>
      <c r="F4396" s="2"/>
    </row>
    <row r="4397" ht="1.5" customHeight="1">
      <c r="A4397" s="4" t="str">
        <f>IFERROR(__xludf.DUMMYFUNCTION("""COMPUTED_VALUE"""),"2. Twix")</f>
        <v>2. Twix</v>
      </c>
      <c r="B4397" s="4" t="str">
        <f>IFERROR(__xludf.DUMMYFUNCTION("""COMPUTED_VALUE"""),"2")</f>
        <v>2</v>
      </c>
      <c r="C4397" s="5" t="str">
        <f>IFERROR(__xludf.DUMMYFUNCTION("""COMPUTED_VALUE"""),"https://drive.google.com/file/d/1LbuvlRHVjd2YbiA_etZMuybmNBbuJs9t/view?usp=drivesdk")</f>
        <v>https://drive.google.com/file/d/1LbuvlRHVjd2YbiA_etZMuybmNBbuJs9t/view?usp=drivesdk</v>
      </c>
      <c r="D4397" s="12"/>
      <c r="E4397" s="11">
        <v>4435.0</v>
      </c>
      <c r="F4397" s="2"/>
    </row>
    <row r="4398" ht="1.5" customHeight="1">
      <c r="A4398" s="4" t="str">
        <f>IFERROR(__xludf.DUMMYFUNCTION("""COMPUTED_VALUE"""),"2. Twix")</f>
        <v>2. Twix</v>
      </c>
      <c r="B4398" s="4" t="str">
        <f>IFERROR(__xludf.DUMMYFUNCTION("""COMPUTED_VALUE"""),"2")</f>
        <v>2</v>
      </c>
      <c r="C4398" s="5" t="str">
        <f>IFERROR(__xludf.DUMMYFUNCTION("""COMPUTED_VALUE"""),"https://drive.google.com/file/d/1vJsGDcMHTyLptAMode5lrOHGH5ZIGwWJ/view?usp=drivesdk")</f>
        <v>https://drive.google.com/file/d/1vJsGDcMHTyLptAMode5lrOHGH5ZIGwWJ/view?usp=drivesdk</v>
      </c>
      <c r="D4398" s="12"/>
      <c r="E4398" s="11">
        <v>4436.0</v>
      </c>
      <c r="F4398" s="2"/>
    </row>
    <row r="4399" ht="1.5" customHeight="1">
      <c r="A4399" s="4" t="str">
        <f>IFERROR(__xludf.DUMMYFUNCTION("""COMPUTED_VALUE"""),"2. Twix")</f>
        <v>2. Twix</v>
      </c>
      <c r="B4399" s="4" t="str">
        <f>IFERROR(__xludf.DUMMYFUNCTION("""COMPUTED_VALUE"""),"2")</f>
        <v>2</v>
      </c>
      <c r="C4399" s="5" t="str">
        <f>IFERROR(__xludf.DUMMYFUNCTION("""COMPUTED_VALUE"""),"https://drive.google.com/file/d/1CEXfPrwYzTcmRjK__7LNfROlu6qCB8Sb/view?usp=drivesdk")</f>
        <v>https://drive.google.com/file/d/1CEXfPrwYzTcmRjK__7LNfROlu6qCB8Sb/view?usp=drivesdk</v>
      </c>
      <c r="D4399" s="12"/>
      <c r="E4399" s="11">
        <v>4437.0</v>
      </c>
      <c r="F4399" s="2"/>
    </row>
    <row r="4400" ht="1.5" customHeight="1">
      <c r="A4400" s="4" t="str">
        <f>IFERROR(__xludf.DUMMYFUNCTION("""COMPUTED_VALUE"""),"2. Twix")</f>
        <v>2. Twix</v>
      </c>
      <c r="B4400" s="4" t="str">
        <f>IFERROR(__xludf.DUMMYFUNCTION("""COMPUTED_VALUE"""),"2")</f>
        <v>2</v>
      </c>
      <c r="C4400" s="5" t="str">
        <f>IFERROR(__xludf.DUMMYFUNCTION("""COMPUTED_VALUE"""),"https://drive.google.com/file/d/1E8TRlOzJPIgSRSwtQxfXPXH1YrKG9NMy/view?usp=drivesdk")</f>
        <v>https://drive.google.com/file/d/1E8TRlOzJPIgSRSwtQxfXPXH1YrKG9NMy/view?usp=drivesdk</v>
      </c>
      <c r="D4400" s="12"/>
      <c r="E4400" s="11">
        <v>4438.0</v>
      </c>
      <c r="F4400" s="2"/>
    </row>
    <row r="4401" ht="1.5" customHeight="1">
      <c r="A4401" s="4" t="str">
        <f>IFERROR(__xludf.DUMMYFUNCTION("""COMPUTED_VALUE"""),"2. Twix")</f>
        <v>2. Twix</v>
      </c>
      <c r="B4401" s="4" t="str">
        <f>IFERROR(__xludf.DUMMYFUNCTION("""COMPUTED_VALUE"""),"2")</f>
        <v>2</v>
      </c>
      <c r="C4401" s="5" t="str">
        <f>IFERROR(__xludf.DUMMYFUNCTION("""COMPUTED_VALUE"""),"https://drive.google.com/file/d/1GHqk8JebG3bNOcjMDc_AG0EUsTO1410_/view?usp=drivesdk")</f>
        <v>https://drive.google.com/file/d/1GHqk8JebG3bNOcjMDc_AG0EUsTO1410_/view?usp=drivesdk</v>
      </c>
      <c r="D4401" s="12"/>
      <c r="E4401" s="11">
        <v>4439.0</v>
      </c>
      <c r="F4401" s="2"/>
    </row>
    <row r="4402" ht="1.5" customHeight="1">
      <c r="A4402" s="4" t="str">
        <f>IFERROR(__xludf.DUMMYFUNCTION("""COMPUTED_VALUE"""),"5. Eraser")</f>
        <v>5. Eraser</v>
      </c>
      <c r="B4402" s="4" t="str">
        <f>IFERROR(__xludf.DUMMYFUNCTION("""COMPUTED_VALUE"""),"5")</f>
        <v>5</v>
      </c>
      <c r="C4402" s="5" t="str">
        <f>IFERROR(__xludf.DUMMYFUNCTION("""COMPUTED_VALUE"""),"https://drive.google.com/file/d/11D7sWotQwQzGpzWJOho6N_cz1vJ33AnM/view?usp=drivesdk")</f>
        <v>https://drive.google.com/file/d/11D7sWotQwQzGpzWJOho6N_cz1vJ33AnM/view?usp=drivesdk</v>
      </c>
      <c r="D4402" s="12"/>
      <c r="E4402" s="11">
        <v>4440.0</v>
      </c>
      <c r="F4402" s="2"/>
    </row>
    <row r="4403" ht="1.5" customHeight="1">
      <c r="A4403" s="4" t="str">
        <f>IFERROR(__xludf.DUMMYFUNCTION("""COMPUTED_VALUE"""),"2. Twix")</f>
        <v>2. Twix</v>
      </c>
      <c r="B4403" s="4" t="str">
        <f>IFERROR(__xludf.DUMMYFUNCTION("""COMPUTED_VALUE"""),"2")</f>
        <v>2</v>
      </c>
      <c r="C4403" s="5" t="str">
        <f>IFERROR(__xludf.DUMMYFUNCTION("""COMPUTED_VALUE"""),"https://drive.google.com/file/d/1dT1a-90rGvQSDY2HKyeawafmCQjp8_TP/view?usp=drivesdk")</f>
        <v>https://drive.google.com/file/d/1dT1a-90rGvQSDY2HKyeawafmCQjp8_TP/view?usp=drivesdk</v>
      </c>
      <c r="D4403" s="12"/>
      <c r="E4403" s="11">
        <v>4441.0</v>
      </c>
      <c r="F4403" s="2"/>
    </row>
    <row r="4404" ht="1.5" customHeight="1">
      <c r="A4404" s="4" t="str">
        <f>IFERROR(__xludf.DUMMYFUNCTION("""COMPUTED_VALUE"""),"5. Eraser")</f>
        <v>5. Eraser</v>
      </c>
      <c r="B4404" s="4" t="str">
        <f>IFERROR(__xludf.DUMMYFUNCTION("""COMPUTED_VALUE"""),"5")</f>
        <v>5</v>
      </c>
      <c r="C4404" s="5" t="str">
        <f>IFERROR(__xludf.DUMMYFUNCTION("""COMPUTED_VALUE"""),"https://drive.google.com/file/d/1iLyx0-SaZcb8Hg8tt4N9ftQfSVWw9_9k/view?usp=drivesdk")</f>
        <v>https://drive.google.com/file/d/1iLyx0-SaZcb8Hg8tt4N9ftQfSVWw9_9k/view?usp=drivesdk</v>
      </c>
      <c r="D4404" s="12"/>
      <c r="E4404" s="11">
        <v>4442.0</v>
      </c>
      <c r="F4404" s="2"/>
    </row>
    <row r="4405" ht="1.5" customHeight="1">
      <c r="A4405" s="4" t="str">
        <f>IFERROR(__xludf.DUMMYFUNCTION("""COMPUTED_VALUE"""),"4. Eggs")</f>
        <v>4. Eggs</v>
      </c>
      <c r="B4405" s="4" t="str">
        <f>IFERROR(__xludf.DUMMYFUNCTION("""COMPUTED_VALUE"""),"4")</f>
        <v>4</v>
      </c>
      <c r="C4405" s="5" t="str">
        <f>IFERROR(__xludf.DUMMYFUNCTION("""COMPUTED_VALUE"""),"https://drive.google.com/file/d/1jvrZjcdcZ7dJfs4-aJpCeP7bKyVuzEU6/view?usp=drivesdk")</f>
        <v>https://drive.google.com/file/d/1jvrZjcdcZ7dJfs4-aJpCeP7bKyVuzEU6/view?usp=drivesdk</v>
      </c>
      <c r="D4405" s="12"/>
      <c r="E4405" s="11">
        <v>4443.0</v>
      </c>
      <c r="F4405" s="2"/>
    </row>
    <row r="4406" ht="1.5" customHeight="1">
      <c r="A4406" s="4" t="str">
        <f>IFERROR(__xludf.DUMMYFUNCTION("""COMPUTED_VALUE"""),"4. Eggs")</f>
        <v>4. Eggs</v>
      </c>
      <c r="B4406" s="4" t="str">
        <f>IFERROR(__xludf.DUMMYFUNCTION("""COMPUTED_VALUE"""),"4")</f>
        <v>4</v>
      </c>
      <c r="C4406" s="5" t="str">
        <f>IFERROR(__xludf.DUMMYFUNCTION("""COMPUTED_VALUE"""),"https://drive.google.com/file/d/1IH-eOVPbgFK8hhRBb9LjOS2Hwuli3toP/view?usp=drivesdk")</f>
        <v>https://drive.google.com/file/d/1IH-eOVPbgFK8hhRBb9LjOS2Hwuli3toP/view?usp=drivesdk</v>
      </c>
      <c r="D4406" s="12"/>
      <c r="E4406" s="11">
        <v>4444.0</v>
      </c>
      <c r="F4406" s="2"/>
    </row>
    <row r="4407" ht="1.5" customHeight="1">
      <c r="A4407" s="4" t="str">
        <f>IFERROR(__xludf.DUMMYFUNCTION("""COMPUTED_VALUE"""),"1. Microwave")</f>
        <v>1. Microwave</v>
      </c>
      <c r="B4407" s="4" t="str">
        <f>IFERROR(__xludf.DUMMYFUNCTION("""COMPUTED_VALUE"""),"1")</f>
        <v>1</v>
      </c>
      <c r="C4407" s="5" t="str">
        <f>IFERROR(__xludf.DUMMYFUNCTION("""COMPUTED_VALUE"""),"https://drive.google.com/file/d/1wBvR33z6p_gIjYhpb6QeY36YgsLTP5Wk/view?usp=drivesdk")</f>
        <v>https://drive.google.com/file/d/1wBvR33z6p_gIjYhpb6QeY36YgsLTP5Wk/view?usp=drivesdk</v>
      </c>
      <c r="D4407" s="12"/>
      <c r="E4407" s="11">
        <v>4445.0</v>
      </c>
      <c r="F4407" s="2"/>
    </row>
    <row r="4408" ht="1.5" customHeight="1">
      <c r="A4408" s="4" t="str">
        <f>IFERROR(__xludf.DUMMYFUNCTION("""COMPUTED_VALUE"""),"1. Microwave")</f>
        <v>1. Microwave</v>
      </c>
      <c r="B4408" s="4" t="str">
        <f>IFERROR(__xludf.DUMMYFUNCTION("""COMPUTED_VALUE"""),"1")</f>
        <v>1</v>
      </c>
      <c r="C4408" s="5" t="str">
        <f>IFERROR(__xludf.DUMMYFUNCTION("""COMPUTED_VALUE"""),"https://drive.google.com/file/d/1Hs_LRD6Kp4EAhp1I0dySXgMg32whhnfD/view?usp=drivesdk")</f>
        <v>https://drive.google.com/file/d/1Hs_LRD6Kp4EAhp1I0dySXgMg32whhnfD/view?usp=drivesdk</v>
      </c>
      <c r="D4408" s="12"/>
      <c r="E4408" s="11">
        <v>4446.0</v>
      </c>
      <c r="F4408" s="2"/>
    </row>
    <row r="4409" ht="1.5" customHeight="1">
      <c r="A4409" s="4" t="str">
        <f>IFERROR(__xludf.DUMMYFUNCTION("""COMPUTED_VALUE"""),"1. Microwave")</f>
        <v>1. Microwave</v>
      </c>
      <c r="B4409" s="4" t="str">
        <f>IFERROR(__xludf.DUMMYFUNCTION("""COMPUTED_VALUE"""),"1")</f>
        <v>1</v>
      </c>
      <c r="C4409" s="5" t="str">
        <f>IFERROR(__xludf.DUMMYFUNCTION("""COMPUTED_VALUE"""),"https://drive.google.com/file/d/1cRsS1avYaLRkRomyEpfFZhAexneEXbdI/view?usp=drivesdk")</f>
        <v>https://drive.google.com/file/d/1cRsS1avYaLRkRomyEpfFZhAexneEXbdI/view?usp=drivesdk</v>
      </c>
      <c r="D4409" s="12"/>
      <c r="E4409" s="11">
        <v>4447.0</v>
      </c>
      <c r="F4409" s="2"/>
    </row>
    <row r="4410" ht="1.5" customHeight="1">
      <c r="A4410" s="4" t="str">
        <f>IFERROR(__xludf.DUMMYFUNCTION("""COMPUTED_VALUE"""),"1. Microwave")</f>
        <v>1. Microwave</v>
      </c>
      <c r="B4410" s="4" t="str">
        <f>IFERROR(__xludf.DUMMYFUNCTION("""COMPUTED_VALUE"""),"1")</f>
        <v>1</v>
      </c>
      <c r="C4410" s="5" t="str">
        <f>IFERROR(__xludf.DUMMYFUNCTION("""COMPUTED_VALUE"""),"https://drive.google.com/file/d/1pRIkCOFwRc5qrlP2YNwUZk2Ea-H2vCtl/view?usp=drivesdk")</f>
        <v>https://drive.google.com/file/d/1pRIkCOFwRc5qrlP2YNwUZk2Ea-H2vCtl/view?usp=drivesdk</v>
      </c>
      <c r="D4410" s="12"/>
      <c r="E4410" s="11">
        <v>4448.0</v>
      </c>
      <c r="F4410" s="2"/>
    </row>
    <row r="4411" ht="1.5" customHeight="1">
      <c r="A4411" s="4" t="str">
        <f>IFERROR(__xludf.DUMMYFUNCTION("""COMPUTED_VALUE"""),"1. Microwave")</f>
        <v>1. Microwave</v>
      </c>
      <c r="B4411" s="4" t="str">
        <f>IFERROR(__xludf.DUMMYFUNCTION("""COMPUTED_VALUE"""),"1")</f>
        <v>1</v>
      </c>
      <c r="C4411" s="5" t="str">
        <f>IFERROR(__xludf.DUMMYFUNCTION("""COMPUTED_VALUE"""),"https://drive.google.com/file/d/1vfas7OCD5e1j9PsnDHfhjT4ve7sBHnPc/view?usp=drivesdk")</f>
        <v>https://drive.google.com/file/d/1vfas7OCD5e1j9PsnDHfhjT4ve7sBHnPc/view?usp=drivesdk</v>
      </c>
      <c r="D4411" s="12"/>
      <c r="E4411" s="11">
        <v>4449.0</v>
      </c>
      <c r="F4411" s="2"/>
    </row>
    <row r="4412" ht="1.5" customHeight="1">
      <c r="A4412" s="4" t="str">
        <f>IFERROR(__xludf.DUMMYFUNCTION("""COMPUTED_VALUE"""),"30. Pepper")</f>
        <v>30. Pepper</v>
      </c>
      <c r="B4412" s="4" t="str">
        <f>IFERROR(__xludf.DUMMYFUNCTION("""COMPUTED_VALUE"""),"30")</f>
        <v>30</v>
      </c>
      <c r="C4412" s="5" t="str">
        <f>IFERROR(__xludf.DUMMYFUNCTION("""COMPUTED_VALUE"""),"https://drive.google.com/file/d/1xOsECHbTjl7ce717OVlg2Ey4r-P15t4z/view?usp=drivesdk")</f>
        <v>https://drive.google.com/file/d/1xOsECHbTjl7ce717OVlg2Ey4r-P15t4z/view?usp=drivesdk</v>
      </c>
      <c r="D4412" s="12"/>
      <c r="E4412" s="11">
        <v>4450.0</v>
      </c>
      <c r="F4412" s="2"/>
    </row>
    <row r="4413" ht="1.5" customHeight="1">
      <c r="A4413" s="4" t="str">
        <f>IFERROR(__xludf.DUMMYFUNCTION("""COMPUTED_VALUE"""),"28. Friga")</f>
        <v>28. Friga</v>
      </c>
      <c r="B4413" s="4" t="str">
        <f>IFERROR(__xludf.DUMMYFUNCTION("""COMPUTED_VALUE"""),"28")</f>
        <v>28</v>
      </c>
      <c r="C4413" s="5" t="str">
        <f>IFERROR(__xludf.DUMMYFUNCTION("""COMPUTED_VALUE"""),"https://drive.google.com/file/d/1ZDcWK9KrLPHlPlQvbLeFUiaSkVw3FixK/view?usp=drivesdk")</f>
        <v>https://drive.google.com/file/d/1ZDcWK9KrLPHlPlQvbLeFUiaSkVw3FixK/view?usp=drivesdk</v>
      </c>
      <c r="D4413" s="12"/>
      <c r="E4413" s="11">
        <v>4451.0</v>
      </c>
      <c r="F4413" s="2"/>
    </row>
    <row r="4414" ht="1.5" customHeight="1">
      <c r="A4414" s="4" t="str">
        <f>IFERROR(__xludf.DUMMYFUNCTION("""COMPUTED_VALUE"""),"1. Microwave")</f>
        <v>1. Microwave</v>
      </c>
      <c r="B4414" s="4" t="str">
        <f>IFERROR(__xludf.DUMMYFUNCTION("""COMPUTED_VALUE"""),"1")</f>
        <v>1</v>
      </c>
      <c r="C4414" s="5" t="str">
        <f>IFERROR(__xludf.DUMMYFUNCTION("""COMPUTED_VALUE"""),"https://drive.google.com/file/d/18pcq5xgpxyUjGpLBVUYK6QAOzBiIG40V/view?usp=drivesdk")</f>
        <v>https://drive.google.com/file/d/18pcq5xgpxyUjGpLBVUYK6QAOzBiIG40V/view?usp=drivesdk</v>
      </c>
      <c r="D4414" s="12"/>
      <c r="E4414" s="11">
        <v>4452.0</v>
      </c>
      <c r="F4414" s="2"/>
    </row>
    <row r="4415" ht="1.5" customHeight="1">
      <c r="A4415" s="4" t="str">
        <f>IFERROR(__xludf.DUMMYFUNCTION("""COMPUTED_VALUE"""),"1. Microwave")</f>
        <v>1. Microwave</v>
      </c>
      <c r="B4415" s="4" t="str">
        <f>IFERROR(__xludf.DUMMYFUNCTION("""COMPUTED_VALUE"""),"1")</f>
        <v>1</v>
      </c>
      <c r="C4415" s="5" t="str">
        <f>IFERROR(__xludf.DUMMYFUNCTION("""COMPUTED_VALUE"""),"https://drive.google.com/file/d/1PdqAwl6R7hU5qgX9UpKXSHl9t3PtAJ0Z/view?usp=drivesdk")</f>
        <v>https://drive.google.com/file/d/1PdqAwl6R7hU5qgX9UpKXSHl9t3PtAJ0Z/view?usp=drivesdk</v>
      </c>
      <c r="D4415" s="12"/>
      <c r="E4415" s="11">
        <v>4453.0</v>
      </c>
      <c r="F4415" s="2"/>
    </row>
    <row r="4416" ht="1.5" customHeight="1">
      <c r="A4416" s="4" t="str">
        <f>IFERROR(__xludf.DUMMYFUNCTION("""COMPUTED_VALUE"""),"30. Pepper")</f>
        <v>30. Pepper</v>
      </c>
      <c r="B4416" s="4" t="str">
        <f>IFERROR(__xludf.DUMMYFUNCTION("""COMPUTED_VALUE"""),"30")</f>
        <v>30</v>
      </c>
      <c r="C4416" s="5" t="str">
        <f>IFERROR(__xludf.DUMMYFUNCTION("""COMPUTED_VALUE"""),"https://drive.google.com/file/d/1kq0KRcnz7PDKmg1c_AQ9bNO9kaIWQosM/view?usp=drivesdk")</f>
        <v>https://drive.google.com/file/d/1kq0KRcnz7PDKmg1c_AQ9bNO9kaIWQosM/view?usp=drivesdk</v>
      </c>
      <c r="D4416" s="12"/>
      <c r="E4416" s="11">
        <v>4454.0</v>
      </c>
      <c r="F4416" s="2"/>
    </row>
    <row r="4417" ht="1.5" customHeight="1">
      <c r="A4417" s="4" t="str">
        <f>IFERROR(__xludf.DUMMYFUNCTION("""COMPUTED_VALUE"""),"32. Noir, 29. Ginger")</f>
        <v>32. Noir, 29. Ginger</v>
      </c>
      <c r="B4417" s="4" t="str">
        <f>IFERROR(__xludf.DUMMYFUNCTION("""COMPUTED_VALUE"""),"32, 29")</f>
        <v>32, 29</v>
      </c>
      <c r="C4417" s="5" t="str">
        <f>IFERROR(__xludf.DUMMYFUNCTION("""COMPUTED_VALUE"""),"https://drive.google.com/file/d/1_PzbUGy-VddnPUptZvhvM0ss59jU_525/view?usp=drivesdk")</f>
        <v>https://drive.google.com/file/d/1_PzbUGy-VddnPUptZvhvM0ss59jU_525/view?usp=drivesdk</v>
      </c>
      <c r="D4417" s="12"/>
      <c r="E4417" s="11">
        <v>4455.0</v>
      </c>
      <c r="F4417" s="2"/>
    </row>
    <row r="4418" ht="1.5" customHeight="1">
      <c r="A4418" s="4" t="str">
        <f>IFERROR(__xludf.DUMMYFUNCTION("""COMPUTED_VALUE"""),"91. Butter")</f>
        <v>91. Butter</v>
      </c>
      <c r="B4418" s="4" t="str">
        <f>IFERROR(__xludf.DUMMYFUNCTION("""COMPUTED_VALUE"""),"91")</f>
        <v>91</v>
      </c>
      <c r="C4418" s="5" t="str">
        <f>IFERROR(__xludf.DUMMYFUNCTION("""COMPUTED_VALUE"""),"https://drive.google.com/file/d/1PS2P5gDbcH1SWLyIwtK8Vy3plu71lcox/view?usp=drivesdk")</f>
        <v>https://drive.google.com/file/d/1PS2P5gDbcH1SWLyIwtK8Vy3plu71lcox/view?usp=drivesdk</v>
      </c>
      <c r="D4418" s="12"/>
      <c r="E4418" s="11">
        <v>4456.0</v>
      </c>
      <c r="F4418" s="2"/>
    </row>
    <row r="4419" ht="1.5" customHeight="1">
      <c r="A4419" s="4" t="str">
        <f>IFERROR(__xludf.DUMMYFUNCTION("""COMPUTED_VALUE"""),"4. Eggs, 5. Eraser")</f>
        <v>4. Eggs, 5. Eraser</v>
      </c>
      <c r="B4419" s="4" t="str">
        <f>IFERROR(__xludf.DUMMYFUNCTION("""COMPUTED_VALUE"""),"4, 5")</f>
        <v>4, 5</v>
      </c>
      <c r="C4419" s="5" t="str">
        <f>IFERROR(__xludf.DUMMYFUNCTION("""COMPUTED_VALUE"""),"https://drive.google.com/file/d/1xRk1Iy_gHpHiwDOZWjvlb3U93wQIiJOj/view?usp=drivesdk")</f>
        <v>https://drive.google.com/file/d/1xRk1Iy_gHpHiwDOZWjvlb3U93wQIiJOj/view?usp=drivesdk</v>
      </c>
      <c r="D4419" s="12"/>
      <c r="E4419" s="11">
        <v>4457.0</v>
      </c>
      <c r="F4419" s="2"/>
    </row>
    <row r="4420" ht="1.5" customHeight="1">
      <c r="A4420" s="4" t="str">
        <f>IFERROR(__xludf.DUMMYFUNCTION("""COMPUTED_VALUE"""),"5. Eraser")</f>
        <v>5. Eraser</v>
      </c>
      <c r="B4420" s="4" t="str">
        <f>IFERROR(__xludf.DUMMYFUNCTION("""COMPUTED_VALUE"""),"5")</f>
        <v>5</v>
      </c>
      <c r="C4420" s="5" t="str">
        <f>IFERROR(__xludf.DUMMYFUNCTION("""COMPUTED_VALUE"""),"https://drive.google.com/file/d/1ajhRijsFoereN6KYRHMAyiynlwNCDAmA/view?usp=drivesdk")</f>
        <v>https://drive.google.com/file/d/1ajhRijsFoereN6KYRHMAyiynlwNCDAmA/view?usp=drivesdk</v>
      </c>
      <c r="D4420" s="12"/>
      <c r="E4420" s="11">
        <v>4458.0</v>
      </c>
      <c r="F4420" s="2"/>
    </row>
    <row r="4421" ht="1.5" customHeight="1">
      <c r="A4421" s="4" t="str">
        <f>IFERROR(__xludf.DUMMYFUNCTION("""COMPUTED_VALUE"""),"2. Twix")</f>
        <v>2. Twix</v>
      </c>
      <c r="B4421" s="4" t="str">
        <f>IFERROR(__xludf.DUMMYFUNCTION("""COMPUTED_VALUE"""),"2")</f>
        <v>2</v>
      </c>
      <c r="C4421" s="5" t="str">
        <f>IFERROR(__xludf.DUMMYFUNCTION("""COMPUTED_VALUE"""),"https://drive.google.com/file/d/1AixdcLykvtq6zjJflRnjB9MvyznI5wNq/view?usp=drivesdk")</f>
        <v>https://drive.google.com/file/d/1AixdcLykvtq6zjJflRnjB9MvyznI5wNq/view?usp=drivesdk</v>
      </c>
      <c r="D4421" s="12"/>
      <c r="E4421" s="11">
        <v>4459.0</v>
      </c>
      <c r="F4421" s="2"/>
    </row>
    <row r="4422" ht="1.5" customHeight="1">
      <c r="A4422" s="4" t="str">
        <f>IFERROR(__xludf.DUMMYFUNCTION("""COMPUTED_VALUE"""),"1. Microwave")</f>
        <v>1. Microwave</v>
      </c>
      <c r="B4422" s="4" t="str">
        <f>IFERROR(__xludf.DUMMYFUNCTION("""COMPUTED_VALUE"""),"1")</f>
        <v>1</v>
      </c>
      <c r="C4422" s="5" t="str">
        <f>IFERROR(__xludf.DUMMYFUNCTION("""COMPUTED_VALUE"""),"https://drive.google.com/file/d/1m73yWtZ380Hryv6x-7dwUB9ZbsfcdUo7/view?usp=drivesdk")</f>
        <v>https://drive.google.com/file/d/1m73yWtZ380Hryv6x-7dwUB9ZbsfcdUo7/view?usp=drivesdk</v>
      </c>
      <c r="D4422" s="12"/>
      <c r="E4422" s="11">
        <v>4460.0</v>
      </c>
      <c r="F4422" s="2"/>
    </row>
    <row r="4423" ht="1.5" customHeight="1">
      <c r="A4423" s="4" t="str">
        <f>IFERROR(__xludf.DUMMYFUNCTION("""COMPUTED_VALUE"""),"1. Microwave")</f>
        <v>1. Microwave</v>
      </c>
      <c r="B4423" s="4" t="str">
        <f>IFERROR(__xludf.DUMMYFUNCTION("""COMPUTED_VALUE"""),"1")</f>
        <v>1</v>
      </c>
      <c r="C4423" s="5" t="str">
        <f>IFERROR(__xludf.DUMMYFUNCTION("""COMPUTED_VALUE"""),"https://drive.google.com/file/d/1yZbY6p1bmB87q6jHc-omPbDBspPJ36bS/view?usp=drivesdk")</f>
        <v>https://drive.google.com/file/d/1yZbY6p1bmB87q6jHc-omPbDBspPJ36bS/view?usp=drivesdk</v>
      </c>
      <c r="D4423" s="12"/>
      <c r="E4423" s="11">
        <v>4461.0</v>
      </c>
      <c r="F4423" s="2"/>
    </row>
    <row r="4424" ht="1.5" customHeight="1">
      <c r="A4424" s="4" t="str">
        <f>IFERROR(__xludf.DUMMYFUNCTION("""COMPUTED_VALUE"""),"1. Microwave")</f>
        <v>1. Microwave</v>
      </c>
      <c r="B4424" s="4" t="str">
        <f>IFERROR(__xludf.DUMMYFUNCTION("""COMPUTED_VALUE"""),"1")</f>
        <v>1</v>
      </c>
      <c r="C4424" s="5" t="str">
        <f>IFERROR(__xludf.DUMMYFUNCTION("""COMPUTED_VALUE"""),"https://drive.google.com/file/d/13rzwjR4Be3wpLTrpZA8VZeHjuJdmqZR5/view?usp=drivesdk")</f>
        <v>https://drive.google.com/file/d/13rzwjR4Be3wpLTrpZA8VZeHjuJdmqZR5/view?usp=drivesdk</v>
      </c>
      <c r="D4424" s="12"/>
      <c r="E4424" s="11">
        <v>4462.0</v>
      </c>
      <c r="F4424" s="2"/>
    </row>
    <row r="4425" ht="1.5" customHeight="1">
      <c r="A4425" s="4" t="str">
        <f>IFERROR(__xludf.DUMMYFUNCTION("""COMPUTED_VALUE"""),"1. Microwave")</f>
        <v>1. Microwave</v>
      </c>
      <c r="B4425" s="4" t="str">
        <f>IFERROR(__xludf.DUMMYFUNCTION("""COMPUTED_VALUE"""),"1")</f>
        <v>1</v>
      </c>
      <c r="C4425" s="5" t="str">
        <f>IFERROR(__xludf.DUMMYFUNCTION("""COMPUTED_VALUE"""),"https://drive.google.com/file/d/1gtsCPCEAL9RbNsOnPrHr2jXcWK2tPJ_m/view?usp=drivesdk")</f>
        <v>https://drive.google.com/file/d/1gtsCPCEAL9RbNsOnPrHr2jXcWK2tPJ_m/view?usp=drivesdk</v>
      </c>
      <c r="D4425" s="12"/>
      <c r="E4425" s="11">
        <v>4463.0</v>
      </c>
      <c r="F4425" s="2"/>
    </row>
    <row r="4426" ht="1.5" customHeight="1">
      <c r="A4426" s="4" t="str">
        <f>IFERROR(__xludf.DUMMYFUNCTION("""COMPUTED_VALUE"""),"49. Freya")</f>
        <v>49. Freya</v>
      </c>
      <c r="B4426" s="4" t="str">
        <f>IFERROR(__xludf.DUMMYFUNCTION("""COMPUTED_VALUE"""),"49")</f>
        <v>49</v>
      </c>
      <c r="C4426" s="5" t="str">
        <f>IFERROR(__xludf.DUMMYFUNCTION("""COMPUTED_VALUE"""),"https://drive.google.com/file/d/13PnfE4eKyzzmSFoZBrAK0Y_JsDCmW0iL/view?usp=drivesdk")</f>
        <v>https://drive.google.com/file/d/13PnfE4eKyzzmSFoZBrAK0Y_JsDCmW0iL/view?usp=drivesdk</v>
      </c>
      <c r="D4426" s="12"/>
      <c r="E4426" s="11">
        <v>4464.0</v>
      </c>
      <c r="F4426" s="2"/>
    </row>
    <row r="4427" ht="1.5" customHeight="1">
      <c r="A4427" s="4" t="str">
        <f>IFERROR(__xludf.DUMMYFUNCTION("""COMPUTED_VALUE"""),"1. Microwave")</f>
        <v>1. Microwave</v>
      </c>
      <c r="B4427" s="4" t="str">
        <f>IFERROR(__xludf.DUMMYFUNCTION("""COMPUTED_VALUE"""),"1")</f>
        <v>1</v>
      </c>
      <c r="C4427" s="5" t="str">
        <f>IFERROR(__xludf.DUMMYFUNCTION("""COMPUTED_VALUE"""),"https://drive.google.com/file/d/1SoRgvN5q7LHFqan2RHH5olMcIFB_LK2p/view?usp=drivesdk")</f>
        <v>https://drive.google.com/file/d/1SoRgvN5q7LHFqan2RHH5olMcIFB_LK2p/view?usp=drivesdk</v>
      </c>
      <c r="D4427" s="12"/>
      <c r="E4427" s="11">
        <v>4465.0</v>
      </c>
      <c r="F4427" s="2"/>
    </row>
    <row r="4428" ht="1.5" customHeight="1">
      <c r="A4428" s="4" t="str">
        <f>IFERROR(__xludf.DUMMYFUNCTION("""COMPUTED_VALUE"""),"1. Microwave")</f>
        <v>1. Microwave</v>
      </c>
      <c r="B4428" s="4" t="str">
        <f>IFERROR(__xludf.DUMMYFUNCTION("""COMPUTED_VALUE"""),"1")</f>
        <v>1</v>
      </c>
      <c r="C4428" s="5" t="str">
        <f>IFERROR(__xludf.DUMMYFUNCTION("""COMPUTED_VALUE"""),"https://drive.google.com/file/d/1dTDviFumhKTJ81nIc_vuW2c8a2_dOQkz/view?usp=drivesdk")</f>
        <v>https://drive.google.com/file/d/1dTDviFumhKTJ81nIc_vuW2c8a2_dOQkz/view?usp=drivesdk</v>
      </c>
      <c r="D4428" s="12"/>
      <c r="E4428" s="11">
        <v>4466.0</v>
      </c>
      <c r="F4428" s="2"/>
    </row>
    <row r="4429" ht="1.5" customHeight="1">
      <c r="A4429" s="4" t="str">
        <f>IFERROR(__xludf.DUMMYFUNCTION("""COMPUTED_VALUE"""),"1. Microwave")</f>
        <v>1. Microwave</v>
      </c>
      <c r="B4429" s="4" t="str">
        <f>IFERROR(__xludf.DUMMYFUNCTION("""COMPUTED_VALUE"""),"1")</f>
        <v>1</v>
      </c>
      <c r="C4429" s="5" t="str">
        <f>IFERROR(__xludf.DUMMYFUNCTION("""COMPUTED_VALUE"""),"https://drive.google.com/file/d/14sbWWeOKhxNsAKr-xdoFKhHjDHiZoeCP/view?usp=drivesdk")</f>
        <v>https://drive.google.com/file/d/14sbWWeOKhxNsAKr-xdoFKhHjDHiZoeCP/view?usp=drivesdk</v>
      </c>
      <c r="D4429" s="12"/>
      <c r="E4429" s="11">
        <v>4467.0</v>
      </c>
      <c r="F4429" s="2"/>
    </row>
    <row r="4430" ht="1.5" customHeight="1">
      <c r="A4430" s="4" t="str">
        <f>IFERROR(__xludf.DUMMYFUNCTION("""COMPUTED_VALUE"""),"1. Microwave")</f>
        <v>1. Microwave</v>
      </c>
      <c r="B4430" s="4" t="str">
        <f>IFERROR(__xludf.DUMMYFUNCTION("""COMPUTED_VALUE"""),"1")</f>
        <v>1</v>
      </c>
      <c r="C4430" s="5" t="str">
        <f>IFERROR(__xludf.DUMMYFUNCTION("""COMPUTED_VALUE"""),"https://drive.google.com/file/d/1QZ1x_KOnJdQGinMSESe7LwuSkjz0jnGw/view?usp=drivesdk")</f>
        <v>https://drive.google.com/file/d/1QZ1x_KOnJdQGinMSESe7LwuSkjz0jnGw/view?usp=drivesdk</v>
      </c>
      <c r="D4430" s="12"/>
      <c r="E4430" s="11">
        <v>4468.0</v>
      </c>
      <c r="F4430" s="2"/>
    </row>
    <row r="4431" ht="1.5" customHeight="1">
      <c r="A4431" s="4" t="str">
        <f>IFERROR(__xludf.DUMMYFUNCTION("""COMPUTED_VALUE"""),"40. Dumpster, 45. Boots")</f>
        <v>40. Dumpster, 45. Boots</v>
      </c>
      <c r="B4431" s="4" t="str">
        <f>IFERROR(__xludf.DUMMYFUNCTION("""COMPUTED_VALUE"""),"40, 45")</f>
        <v>40, 45</v>
      </c>
      <c r="C4431" s="5" t="str">
        <f>IFERROR(__xludf.DUMMYFUNCTION("""COMPUTED_VALUE"""),"https://drive.google.com/file/d/1x8g5FiH1nKxU2XTMKZZM6wWFCgwO7wWP/view?usp=drivesdk")</f>
        <v>https://drive.google.com/file/d/1x8g5FiH1nKxU2XTMKZZM6wWFCgwO7wWP/view?usp=drivesdk</v>
      </c>
      <c r="D4431" s="12"/>
      <c r="E4431" s="11">
        <v>4469.0</v>
      </c>
      <c r="F4431" s="2"/>
    </row>
    <row r="4432" ht="1.5" customHeight="1">
      <c r="A4432" s="4" t="str">
        <f>IFERROR(__xludf.DUMMYFUNCTION("""COMPUTED_VALUE"""),"40. Dumpster, 44. Shitbag Cuntface")</f>
        <v>40. Dumpster, 44. Shitbag Cuntface</v>
      </c>
      <c r="B4432" s="4" t="str">
        <f>IFERROR(__xludf.DUMMYFUNCTION("""COMPUTED_VALUE"""),"40, 44")</f>
        <v>40, 44</v>
      </c>
      <c r="C4432" s="5" t="str">
        <f>IFERROR(__xludf.DUMMYFUNCTION("""COMPUTED_VALUE"""),"https://drive.google.com/file/d/18e402bJbc8rlrJT6kNnsRm3GSqwKjCrK/view?usp=drivesdk")</f>
        <v>https://drive.google.com/file/d/18e402bJbc8rlrJT6kNnsRm3GSqwKjCrK/view?usp=drivesdk</v>
      </c>
      <c r="D4432" s="12"/>
      <c r="E4432" s="11">
        <v>4470.0</v>
      </c>
      <c r="F4432" s="2"/>
    </row>
    <row r="4433" ht="1.5" customHeight="1">
      <c r="A4433" s="4" t="str">
        <f>IFERROR(__xludf.DUMMYFUNCTION("""COMPUTED_VALUE"""),"40. Dumpster")</f>
        <v>40. Dumpster</v>
      </c>
      <c r="B4433" s="4" t="str">
        <f>IFERROR(__xludf.DUMMYFUNCTION("""COMPUTED_VALUE"""),"40")</f>
        <v>40</v>
      </c>
      <c r="C4433" s="5" t="str">
        <f>IFERROR(__xludf.DUMMYFUNCTION("""COMPUTED_VALUE"""),"https://drive.google.com/file/d/1RY5PZVQlNWONY3u1ulEVOsIvzRe45G6T/view?usp=drivesdk")</f>
        <v>https://drive.google.com/file/d/1RY5PZVQlNWONY3u1ulEVOsIvzRe45G6T/view?usp=drivesdk</v>
      </c>
      <c r="D4433" s="12"/>
      <c r="E4433" s="11">
        <v>4471.0</v>
      </c>
      <c r="F4433" s="2"/>
    </row>
    <row r="4434" ht="1.5" customHeight="1">
      <c r="A4434" s="4" t="str">
        <f>IFERROR(__xludf.DUMMYFUNCTION("""COMPUTED_VALUE"""),"52. Voidling")</f>
        <v>52. Voidling</v>
      </c>
      <c r="B4434" s="4" t="str">
        <f>IFERROR(__xludf.DUMMYFUNCTION("""COMPUTED_VALUE"""),"52")</f>
        <v>52</v>
      </c>
      <c r="C4434" s="5" t="str">
        <f>IFERROR(__xludf.DUMMYFUNCTION("""COMPUTED_VALUE"""),"https://drive.google.com/file/d/1skIiKZJyckVxN5Qt72gyNY9rbw3b8GJj/view?usp=drivesdk")</f>
        <v>https://drive.google.com/file/d/1skIiKZJyckVxN5Qt72gyNY9rbw3b8GJj/view?usp=drivesdk</v>
      </c>
      <c r="D4434" s="12"/>
      <c r="E4434" s="11">
        <v>4472.0</v>
      </c>
      <c r="F4434" s="2"/>
    </row>
    <row r="4435" ht="1.5" customHeight="1">
      <c r="A4435" s="4" t="str">
        <f>IFERROR(__xludf.DUMMYFUNCTION("""COMPUTED_VALUE"""),"40. Dumpster, 58. Eden, 46. Princess, 44. Shitbag Cuntface, 39. Radar, 47. Nefarious, 45. Boots, 38. Winston")</f>
        <v>40. Dumpster, 58. Eden, 46. Princess, 44. Shitbag Cuntface, 39. Radar, 47. Nefarious, 45. Boots, 38. Winston</v>
      </c>
      <c r="B4435" s="4" t="str">
        <f>IFERROR(__xludf.DUMMYFUNCTION("""COMPUTED_VALUE"""),"40, 58, 46, 44, 39, 47, 45, 38")</f>
        <v>40, 58, 46, 44, 39, 47, 45, 38</v>
      </c>
      <c r="C4435" s="5" t="str">
        <f>IFERROR(__xludf.DUMMYFUNCTION("""COMPUTED_VALUE"""),"https://drive.google.com/file/d/10fIuh5F12ZSd6K6yHo-uyw_FcBe9ztnB/view?usp=drivesdk")</f>
        <v>https://drive.google.com/file/d/10fIuh5F12ZSd6K6yHo-uyw_FcBe9ztnB/view?usp=drivesdk</v>
      </c>
      <c r="D4435" s="12"/>
      <c r="E4435" s="11">
        <v>4473.0</v>
      </c>
      <c r="F4435" s="2"/>
    </row>
    <row r="4436" ht="1.5" customHeight="1">
      <c r="A4436" s="4" t="str">
        <f>IFERROR(__xludf.DUMMYFUNCTION("""COMPUTED_VALUE"""),"47. Nefarious, 40. Dumpster")</f>
        <v>47. Nefarious, 40. Dumpster</v>
      </c>
      <c r="B4436" s="4" t="str">
        <f>IFERROR(__xludf.DUMMYFUNCTION("""COMPUTED_VALUE"""),"47, 40")</f>
        <v>47, 40</v>
      </c>
      <c r="C4436" s="5" t="str">
        <f>IFERROR(__xludf.DUMMYFUNCTION("""COMPUTED_VALUE"""),"https://drive.google.com/file/d/1tCmvhIQtKJTYhIjxSJSDA4ldjpxrsbGb/view?usp=drivesdk")</f>
        <v>https://drive.google.com/file/d/1tCmvhIQtKJTYhIjxSJSDA4ldjpxrsbGb/view?usp=drivesdk</v>
      </c>
      <c r="D4436" s="12"/>
      <c r="E4436" s="11">
        <v>4474.0</v>
      </c>
      <c r="F4436" s="2"/>
    </row>
    <row r="4437" ht="1.5" customHeight="1">
      <c r="A4437" s="4" t="str">
        <f>IFERROR(__xludf.DUMMYFUNCTION("""COMPUTED_VALUE"""),"46. Princess")</f>
        <v>46. Princess</v>
      </c>
      <c r="B4437" s="4" t="str">
        <f>IFERROR(__xludf.DUMMYFUNCTION("""COMPUTED_VALUE"""),"46")</f>
        <v>46</v>
      </c>
      <c r="C4437" s="5" t="str">
        <f>IFERROR(__xludf.DUMMYFUNCTION("""COMPUTED_VALUE"""),"https://drive.google.com/file/d/1jEpiNzh6uh401JmCoPptLI7CqX83RStl/view?usp=drivesdk")</f>
        <v>https://drive.google.com/file/d/1jEpiNzh6uh401JmCoPptLI7CqX83RStl/view?usp=drivesdk</v>
      </c>
      <c r="D4437" s="12"/>
      <c r="E4437" s="11">
        <v>4475.0</v>
      </c>
      <c r="F4437" s="2"/>
    </row>
    <row r="4438" ht="1.5" customHeight="1">
      <c r="A4438" s="4" t="str">
        <f>IFERROR(__xludf.DUMMYFUNCTION("""COMPUTED_VALUE"""),"44. Shitbag Cuntface, 40. Dumpster, 45. Boots")</f>
        <v>44. Shitbag Cuntface, 40. Dumpster, 45. Boots</v>
      </c>
      <c r="B4438" s="4" t="str">
        <f>IFERROR(__xludf.DUMMYFUNCTION("""COMPUTED_VALUE"""),"44, 40, 45")</f>
        <v>44, 40, 45</v>
      </c>
      <c r="C4438" s="5" t="str">
        <f>IFERROR(__xludf.DUMMYFUNCTION("""COMPUTED_VALUE"""),"https://drive.google.com/file/d/1v51GuBvnsfUQDzyQHE1sIfT-CK_JXs0H/view?usp=drivesdk")</f>
        <v>https://drive.google.com/file/d/1v51GuBvnsfUQDzyQHE1sIfT-CK_JXs0H/view?usp=drivesdk</v>
      </c>
      <c r="D4438" s="12"/>
      <c r="E4438" s="11">
        <v>4476.0</v>
      </c>
      <c r="F4438" s="2"/>
    </row>
    <row r="4439" ht="1.5" customHeight="1">
      <c r="A4439" s="4" t="str">
        <f>IFERROR(__xludf.DUMMYFUNCTION("""COMPUTED_VALUE"""),"47. Nefarious")</f>
        <v>47. Nefarious</v>
      </c>
      <c r="B4439" s="4" t="str">
        <f>IFERROR(__xludf.DUMMYFUNCTION("""COMPUTED_VALUE"""),"47")</f>
        <v>47</v>
      </c>
      <c r="C4439" s="5" t="str">
        <f>IFERROR(__xludf.DUMMYFUNCTION("""COMPUTED_VALUE"""),"https://drive.google.com/file/d/1tlerCFsMCttatFxCOBeX5HMxasdMuBsK/view?usp=drivesdk")</f>
        <v>https://drive.google.com/file/d/1tlerCFsMCttatFxCOBeX5HMxasdMuBsK/view?usp=drivesdk</v>
      </c>
      <c r="D4439" s="12"/>
      <c r="E4439" s="11">
        <v>4477.0</v>
      </c>
      <c r="F4439" s="2"/>
    </row>
    <row r="4440" ht="1.5" customHeight="1">
      <c r="A4440" s="4" t="str">
        <f>IFERROR(__xludf.DUMMYFUNCTION("""COMPUTED_VALUE"""),"5. Eraser")</f>
        <v>5. Eraser</v>
      </c>
      <c r="B4440" s="4" t="str">
        <f>IFERROR(__xludf.DUMMYFUNCTION("""COMPUTED_VALUE"""),"5")</f>
        <v>5</v>
      </c>
      <c r="C4440" s="5" t="str">
        <f>IFERROR(__xludf.DUMMYFUNCTION("""COMPUTED_VALUE"""),"https://drive.google.com/file/d/1_U5nWr5FESEGve6LIdNFQlURmvF8UMD5/view?usp=drivesdk")</f>
        <v>https://drive.google.com/file/d/1_U5nWr5FESEGve6LIdNFQlURmvF8UMD5/view?usp=drivesdk</v>
      </c>
      <c r="D4440" s="12"/>
      <c r="E4440" s="11">
        <v>4478.0</v>
      </c>
      <c r="F4440" s="2"/>
    </row>
    <row r="4441" ht="1.5" customHeight="1">
      <c r="A4441" s="4" t="str">
        <f>IFERROR(__xludf.DUMMYFUNCTION("""COMPUTED_VALUE"""),"1. Microwave")</f>
        <v>1. Microwave</v>
      </c>
      <c r="B4441" s="4" t="str">
        <f>IFERROR(__xludf.DUMMYFUNCTION("""COMPUTED_VALUE"""),"1")</f>
        <v>1</v>
      </c>
      <c r="C4441" s="5" t="str">
        <f>IFERROR(__xludf.DUMMYFUNCTION("""COMPUTED_VALUE"""),"https://drive.google.com/file/d/18FhTRVZ_82G0SfyaeBCqVYMBsD4zNaM3/view?usp=drivesdk")</f>
        <v>https://drive.google.com/file/d/18FhTRVZ_82G0SfyaeBCqVYMBsD4zNaM3/view?usp=drivesdk</v>
      </c>
      <c r="D4441" s="12"/>
      <c r="E4441" s="11">
        <v>4479.0</v>
      </c>
      <c r="F4441" s="2"/>
    </row>
    <row r="4442" ht="1.5" customHeight="1">
      <c r="A4442" s="4" t="str">
        <f>IFERROR(__xludf.DUMMYFUNCTION("""COMPUTED_VALUE"""),"1. Microwave")</f>
        <v>1. Microwave</v>
      </c>
      <c r="B4442" s="4" t="str">
        <f>IFERROR(__xludf.DUMMYFUNCTION("""COMPUTED_VALUE"""),"1")</f>
        <v>1</v>
      </c>
      <c r="C4442" s="5" t="str">
        <f>IFERROR(__xludf.DUMMYFUNCTION("""COMPUTED_VALUE"""),"https://drive.google.com/file/d/1HsaJXykzeJv5xBkEQegnSDsaBbu4in3_/view?usp=drivesdk")</f>
        <v>https://drive.google.com/file/d/1HsaJXykzeJv5xBkEQegnSDsaBbu4in3_/view?usp=drivesdk</v>
      </c>
      <c r="D4442" s="12"/>
      <c r="E4442" s="11">
        <v>4480.0</v>
      </c>
      <c r="F4442" s="2"/>
    </row>
    <row r="4443" ht="1.5" customHeight="1">
      <c r="A4443" s="4" t="str">
        <f>IFERROR(__xludf.DUMMYFUNCTION("""COMPUTED_VALUE"""),"24. Garfield, 55. Callie, 52. Voidling")</f>
        <v>24. Garfield, 55. Callie, 52. Voidling</v>
      </c>
      <c r="B4443" s="4" t="str">
        <f>IFERROR(__xludf.DUMMYFUNCTION("""COMPUTED_VALUE"""),"24, 55, 52")</f>
        <v>24, 55, 52</v>
      </c>
      <c r="C4443" s="5" t="str">
        <f>IFERROR(__xludf.DUMMYFUNCTION("""COMPUTED_VALUE"""),"https://drive.google.com/file/d/1JiVFMRwLsbyqRc3Y4wjxtr2IjCpEPYxh/view?usp=drivesdk")</f>
        <v>https://drive.google.com/file/d/1JiVFMRwLsbyqRc3Y4wjxtr2IjCpEPYxh/view?usp=drivesdk</v>
      </c>
      <c r="D4443" s="12"/>
      <c r="E4443" s="11">
        <v>4481.0</v>
      </c>
      <c r="F4443" s="2"/>
    </row>
    <row r="4444" ht="1.5" customHeight="1">
      <c r="A4444" s="4" t="str">
        <f>IFERROR(__xludf.DUMMYFUNCTION("""COMPUTED_VALUE"""),"64. Ernie")</f>
        <v>64. Ernie</v>
      </c>
      <c r="B4444" s="4" t="str">
        <f>IFERROR(__xludf.DUMMYFUNCTION("""COMPUTED_VALUE"""),"64")</f>
        <v>64</v>
      </c>
      <c r="C4444" s="5" t="str">
        <f>IFERROR(__xludf.DUMMYFUNCTION("""COMPUTED_VALUE"""),"https://drive.google.com/file/d/19283lhdYVxpcLnCyCuY8iLNUQMvOTz8d/view?usp=drivesdk")</f>
        <v>https://drive.google.com/file/d/19283lhdYVxpcLnCyCuY8iLNUQMvOTz8d/view?usp=drivesdk</v>
      </c>
      <c r="D4444" s="12"/>
      <c r="E4444" s="11">
        <v>4482.0</v>
      </c>
      <c r="F4444" s="2"/>
    </row>
    <row r="4445" ht="1.5" customHeight="1">
      <c r="A4445" s="4" t="str">
        <f>IFERROR(__xludf.DUMMYFUNCTION("""COMPUTED_VALUE"""),"64. Ernie")</f>
        <v>64. Ernie</v>
      </c>
      <c r="B4445" s="4" t="str">
        <f>IFERROR(__xludf.DUMMYFUNCTION("""COMPUTED_VALUE"""),"64")</f>
        <v>64</v>
      </c>
      <c r="C4445" s="5" t="str">
        <f>IFERROR(__xludf.DUMMYFUNCTION("""COMPUTED_VALUE"""),"https://drive.google.com/file/d/1t6RyMEqhYQHVUusyekwmMQMcW5ohnIFy/view?usp=drivesdk")</f>
        <v>https://drive.google.com/file/d/1t6RyMEqhYQHVUusyekwmMQMcW5ohnIFy/view?usp=drivesdk</v>
      </c>
      <c r="D4445" s="12"/>
      <c r="E4445" s="11">
        <v>4483.0</v>
      </c>
      <c r="F4445" s="2"/>
    </row>
    <row r="4446" ht="1.5" customHeight="1">
      <c r="A4446" s="4" t="str">
        <f>IFERROR(__xludf.DUMMYFUNCTION("""COMPUTED_VALUE"""),"64. Ernie")</f>
        <v>64. Ernie</v>
      </c>
      <c r="B4446" s="4" t="str">
        <f>IFERROR(__xludf.DUMMYFUNCTION("""COMPUTED_VALUE"""),"64")</f>
        <v>64</v>
      </c>
      <c r="C4446" s="5" t="str">
        <f>IFERROR(__xludf.DUMMYFUNCTION("""COMPUTED_VALUE"""),"https://drive.google.com/file/d/1UNcKmqkE24ZwShx1dfxGu7arfeC3RMXq/view?usp=drivesdk")</f>
        <v>https://drive.google.com/file/d/1UNcKmqkE24ZwShx1dfxGu7arfeC3RMXq/view?usp=drivesdk</v>
      </c>
      <c r="D4446" s="12"/>
      <c r="E4446" s="11">
        <v>4484.0</v>
      </c>
      <c r="F4446" s="2"/>
    </row>
    <row r="4447" ht="1.5" customHeight="1">
      <c r="A4447" s="4" t="str">
        <f>IFERROR(__xludf.DUMMYFUNCTION("""COMPUTED_VALUE"""),"64. Ernie")</f>
        <v>64. Ernie</v>
      </c>
      <c r="B4447" s="4" t="str">
        <f>IFERROR(__xludf.DUMMYFUNCTION("""COMPUTED_VALUE"""),"64")</f>
        <v>64</v>
      </c>
      <c r="C4447" s="5" t="str">
        <f>IFERROR(__xludf.DUMMYFUNCTION("""COMPUTED_VALUE"""),"https://drive.google.com/file/d/1kyjNB7Oln39uuN0uPBytat7chn6m-u7r/view?usp=drivesdk")</f>
        <v>https://drive.google.com/file/d/1kyjNB7Oln39uuN0uPBytat7chn6m-u7r/view?usp=drivesdk</v>
      </c>
      <c r="D4447" s="12"/>
      <c r="E4447" s="11">
        <v>4485.0</v>
      </c>
      <c r="F4447" s="2"/>
    </row>
    <row r="4448" ht="1.5" customHeight="1">
      <c r="A4448" s="4" t="str">
        <f>IFERROR(__xludf.DUMMYFUNCTION("""COMPUTED_VALUE"""),"1. Microwave")</f>
        <v>1. Microwave</v>
      </c>
      <c r="B4448" s="4" t="str">
        <f>IFERROR(__xludf.DUMMYFUNCTION("""COMPUTED_VALUE"""),"1")</f>
        <v>1</v>
      </c>
      <c r="C4448" s="5" t="str">
        <f>IFERROR(__xludf.DUMMYFUNCTION("""COMPUTED_VALUE"""),"https://drive.google.com/file/d/1ix5JQG58v3OrodgjQFpbMf2jEoT0mPJm/view?usp=drivesdk")</f>
        <v>https://drive.google.com/file/d/1ix5JQG58v3OrodgjQFpbMf2jEoT0mPJm/view?usp=drivesdk</v>
      </c>
      <c r="D4448" s="12"/>
      <c r="E4448" s="11">
        <v>4486.0</v>
      </c>
      <c r="F4448" s="2"/>
    </row>
    <row r="4449" ht="1.5" customHeight="1">
      <c r="A4449" s="4" t="str">
        <f>IFERROR(__xludf.DUMMYFUNCTION("""COMPUTED_VALUE"""),"1. Microwave")</f>
        <v>1. Microwave</v>
      </c>
      <c r="B4449" s="4" t="str">
        <f>IFERROR(__xludf.DUMMYFUNCTION("""COMPUTED_VALUE"""),"1")</f>
        <v>1</v>
      </c>
      <c r="C4449" s="5" t="str">
        <f>IFERROR(__xludf.DUMMYFUNCTION("""COMPUTED_VALUE"""),"https://drive.google.com/file/d/1tudl5xbj6roOpygGquJjuD65e_Tgqabb/view?usp=drivesdk")</f>
        <v>https://drive.google.com/file/d/1tudl5xbj6roOpygGquJjuD65e_Tgqabb/view?usp=drivesdk</v>
      </c>
      <c r="D4449" s="12"/>
      <c r="E4449" s="11">
        <v>4487.0</v>
      </c>
      <c r="F4449" s="2"/>
    </row>
    <row r="4450" ht="1.5" customHeight="1">
      <c r="A4450" s="4" t="str">
        <f>IFERROR(__xludf.DUMMYFUNCTION("""COMPUTED_VALUE"""),"1. Microwave")</f>
        <v>1. Microwave</v>
      </c>
      <c r="B4450" s="4" t="str">
        <f>IFERROR(__xludf.DUMMYFUNCTION("""COMPUTED_VALUE"""),"1")</f>
        <v>1</v>
      </c>
      <c r="C4450" s="5" t="str">
        <f>IFERROR(__xludf.DUMMYFUNCTION("""COMPUTED_VALUE"""),"https://drive.google.com/file/d/1JwgE74qLXYYwzztlgYtmXfWmZHNY--gP/view?usp=drivesdk")</f>
        <v>https://drive.google.com/file/d/1JwgE74qLXYYwzztlgYtmXfWmZHNY--gP/view?usp=drivesdk</v>
      </c>
      <c r="D4450" s="12"/>
      <c r="E4450" s="11">
        <v>4488.0</v>
      </c>
      <c r="F4450" s="2"/>
    </row>
    <row r="4451" ht="1.5" customHeight="1">
      <c r="A4451" s="4" t="str">
        <f>IFERROR(__xludf.DUMMYFUNCTION("""COMPUTED_VALUE"""),"1. Microwave")</f>
        <v>1. Microwave</v>
      </c>
      <c r="B4451" s="4" t="str">
        <f>IFERROR(__xludf.DUMMYFUNCTION("""COMPUTED_VALUE"""),"1")</f>
        <v>1</v>
      </c>
      <c r="C4451" s="5" t="str">
        <f>IFERROR(__xludf.DUMMYFUNCTION("""COMPUTED_VALUE"""),"https://drive.google.com/file/d/1QtVTrDJ6J0sgFWFOmeKZYbS2tTxCeayt/view?usp=drivesdk")</f>
        <v>https://drive.google.com/file/d/1QtVTrDJ6J0sgFWFOmeKZYbS2tTxCeayt/view?usp=drivesdk</v>
      </c>
      <c r="D4451" s="12"/>
      <c r="E4451" s="11">
        <v>4489.0</v>
      </c>
      <c r="F4451" s="2"/>
    </row>
    <row r="4452" ht="1.5" customHeight="1">
      <c r="A4452" s="4" t="str">
        <f>IFERROR(__xludf.DUMMYFUNCTION("""COMPUTED_VALUE"""),"29. Ginger")</f>
        <v>29. Ginger</v>
      </c>
      <c r="B4452" s="4" t="str">
        <f>IFERROR(__xludf.DUMMYFUNCTION("""COMPUTED_VALUE"""),"29")</f>
        <v>29</v>
      </c>
      <c r="C4452" s="5" t="str">
        <f>IFERROR(__xludf.DUMMYFUNCTION("""COMPUTED_VALUE"""),"https://drive.google.com/file/d/1XlPkgMlq_LjqZDAJIq484exxsm6g-9Nh/view?usp=drivesdk")</f>
        <v>https://drive.google.com/file/d/1XlPkgMlq_LjqZDAJIq484exxsm6g-9Nh/view?usp=drivesdk</v>
      </c>
      <c r="D4452" s="12"/>
      <c r="E4452" s="11">
        <v>4490.0</v>
      </c>
      <c r="F4452" s="2"/>
    </row>
    <row r="4453" ht="1.5" customHeight="1">
      <c r="A4453" s="4" t="str">
        <f>IFERROR(__xludf.DUMMYFUNCTION("""COMPUTED_VALUE"""),"29. Ginger")</f>
        <v>29. Ginger</v>
      </c>
      <c r="B4453" s="4" t="str">
        <f>IFERROR(__xludf.DUMMYFUNCTION("""COMPUTED_VALUE"""),"29")</f>
        <v>29</v>
      </c>
      <c r="C4453" s="5" t="str">
        <f>IFERROR(__xludf.DUMMYFUNCTION("""COMPUTED_VALUE"""),"https://drive.google.com/file/d/1-Zy2MSG2WTQZwKBJg6ykZXdmOoy7jw4L/view?usp=drivesdk")</f>
        <v>https://drive.google.com/file/d/1-Zy2MSG2WTQZwKBJg6ykZXdmOoy7jw4L/view?usp=drivesdk</v>
      </c>
      <c r="D4453" s="12"/>
      <c r="E4453" s="11">
        <v>4491.0</v>
      </c>
      <c r="F4453" s="2"/>
    </row>
    <row r="4454" ht="1.5" customHeight="1">
      <c r="A4454" s="4" t="str">
        <f>IFERROR(__xludf.DUMMYFUNCTION("""COMPUTED_VALUE"""),"27. Angel, 30. Pepper")</f>
        <v>27. Angel, 30. Pepper</v>
      </c>
      <c r="B4454" s="4" t="str">
        <f>IFERROR(__xludf.DUMMYFUNCTION("""COMPUTED_VALUE"""),"27, 30")</f>
        <v>27, 30</v>
      </c>
      <c r="C4454" s="5" t="str">
        <f>IFERROR(__xludf.DUMMYFUNCTION("""COMPUTED_VALUE"""),"https://drive.google.com/file/d/19EopycyguBQhHWS30n66cISvQQrZfAX0/view?usp=drivesdk")</f>
        <v>https://drive.google.com/file/d/19EopycyguBQhHWS30n66cISvQQrZfAX0/view?usp=drivesdk</v>
      </c>
      <c r="D4454" s="12"/>
      <c r="E4454" s="11">
        <v>4492.0</v>
      </c>
      <c r="F4454" s="2"/>
    </row>
    <row r="4455" ht="1.5" customHeight="1">
      <c r="A4455" s="4" t="str">
        <f>IFERROR(__xludf.DUMMYFUNCTION("""COMPUTED_VALUE"""),"27. Angel")</f>
        <v>27. Angel</v>
      </c>
      <c r="B4455" s="4" t="str">
        <f>IFERROR(__xludf.DUMMYFUNCTION("""COMPUTED_VALUE"""),"27")</f>
        <v>27</v>
      </c>
      <c r="C4455" s="5" t="str">
        <f>IFERROR(__xludf.DUMMYFUNCTION("""COMPUTED_VALUE"""),"https://drive.google.com/file/d/1RbBv45N8alFJk98dAW-VA0l8rh0tAVh1/view?usp=drivesdk")</f>
        <v>https://drive.google.com/file/d/1RbBv45N8alFJk98dAW-VA0l8rh0tAVh1/view?usp=drivesdk</v>
      </c>
      <c r="D4455" s="12"/>
      <c r="E4455" s="11">
        <v>4493.0</v>
      </c>
      <c r="F4455" s="2"/>
    </row>
    <row r="4456" ht="1.5" customHeight="1">
      <c r="A4456" s="4" t="str">
        <f>IFERROR(__xludf.DUMMYFUNCTION("""COMPUTED_VALUE"""),"5. Eraser, 2. Twix")</f>
        <v>5. Eraser, 2. Twix</v>
      </c>
      <c r="B4456" s="4" t="str">
        <f>IFERROR(__xludf.DUMMYFUNCTION("""COMPUTED_VALUE"""),"5, 2")</f>
        <v>5, 2</v>
      </c>
      <c r="C4456" s="5" t="str">
        <f>IFERROR(__xludf.DUMMYFUNCTION("""COMPUTED_VALUE"""),"https://drive.google.com/file/d/1Ws87AFiixwFuO79Q9mjz1s7MhgwzM3da/view?usp=drivesdk")</f>
        <v>https://drive.google.com/file/d/1Ws87AFiixwFuO79Q9mjz1s7MhgwzM3da/view?usp=drivesdk</v>
      </c>
      <c r="D4456" s="12"/>
      <c r="E4456" s="11">
        <v>4494.0</v>
      </c>
      <c r="F4456" s="2"/>
    </row>
    <row r="4457" ht="1.5" customHeight="1">
      <c r="A4457" s="4" t="str">
        <f>IFERROR(__xludf.DUMMYFUNCTION("""COMPUTED_VALUE"""),"5. Eraser")</f>
        <v>5. Eraser</v>
      </c>
      <c r="B4457" s="4" t="str">
        <f>IFERROR(__xludf.DUMMYFUNCTION("""COMPUTED_VALUE"""),"5")</f>
        <v>5</v>
      </c>
      <c r="C4457" s="5" t="str">
        <f>IFERROR(__xludf.DUMMYFUNCTION("""COMPUTED_VALUE"""),"https://drive.google.com/file/d/1D6FbjTwqOrGt8tQZbDUJTa5VYvlLnvX7/view?usp=drivesdk")</f>
        <v>https://drive.google.com/file/d/1D6FbjTwqOrGt8tQZbDUJTa5VYvlLnvX7/view?usp=drivesdk</v>
      </c>
      <c r="D4457" s="12"/>
      <c r="E4457" s="11">
        <v>4495.0</v>
      </c>
      <c r="F4457" s="2"/>
    </row>
    <row r="4458" ht="1.5" customHeight="1">
      <c r="A4458" s="4" t="str">
        <f>IFERROR(__xludf.DUMMYFUNCTION("""COMPUTED_VALUE"""),"2. Twix")</f>
        <v>2. Twix</v>
      </c>
      <c r="B4458" s="4" t="str">
        <f>IFERROR(__xludf.DUMMYFUNCTION("""COMPUTED_VALUE"""),"2")</f>
        <v>2</v>
      </c>
      <c r="C4458" s="5" t="str">
        <f>IFERROR(__xludf.DUMMYFUNCTION("""COMPUTED_VALUE"""),"https://drive.google.com/file/d/1Yy0SU7PxPsC_TbTEQn0E5yzaiOrFepyB/view?usp=drivesdk")</f>
        <v>https://drive.google.com/file/d/1Yy0SU7PxPsC_TbTEQn0E5yzaiOrFepyB/view?usp=drivesdk</v>
      </c>
      <c r="D4458" s="12"/>
      <c r="E4458" s="11">
        <v>4496.0</v>
      </c>
      <c r="F4458" s="2"/>
    </row>
    <row r="4459" ht="1.5" customHeight="1">
      <c r="A4459" s="4" t="str">
        <f>IFERROR(__xludf.DUMMYFUNCTION("""COMPUTED_VALUE"""),"30. Pepper")</f>
        <v>30. Pepper</v>
      </c>
      <c r="B4459" s="4" t="str">
        <f>IFERROR(__xludf.DUMMYFUNCTION("""COMPUTED_VALUE"""),"30")</f>
        <v>30</v>
      </c>
      <c r="C4459" s="5" t="str">
        <f>IFERROR(__xludf.DUMMYFUNCTION("""COMPUTED_VALUE"""),"https://drive.google.com/file/d/1oAUTK1bIyLs7-__TU7Do68ZeIURHsjcG/view?usp=drivesdk")</f>
        <v>https://drive.google.com/file/d/1oAUTK1bIyLs7-__TU7Do68ZeIURHsjcG/view?usp=drivesdk</v>
      </c>
      <c r="D4459" s="12"/>
      <c r="E4459" s="11">
        <v>4497.0</v>
      </c>
      <c r="F4459" s="2"/>
    </row>
    <row r="4460" ht="1.5" customHeight="1">
      <c r="A4460" s="4" t="str">
        <f>IFERROR(__xludf.DUMMYFUNCTION("""COMPUTED_VALUE"""),"36. Scringle")</f>
        <v>36. Scringle</v>
      </c>
      <c r="B4460" s="4" t="str">
        <f>IFERROR(__xludf.DUMMYFUNCTION("""COMPUTED_VALUE"""),"36")</f>
        <v>36</v>
      </c>
      <c r="C4460" s="5" t="str">
        <f>IFERROR(__xludf.DUMMYFUNCTION("""COMPUTED_VALUE"""),"https://drive.google.com/file/d/1D8RCwOxLJj-qN9RHsUax53mP6FOPuvSs/view?usp=drivesdk")</f>
        <v>https://drive.google.com/file/d/1D8RCwOxLJj-qN9RHsUax53mP6FOPuvSs/view?usp=drivesdk</v>
      </c>
      <c r="D4460" s="12"/>
      <c r="E4460" s="11">
        <v>4498.0</v>
      </c>
      <c r="F4460" s="2"/>
    </row>
    <row r="4461" ht="1.5" customHeight="1">
      <c r="A4461" s="4" t="str">
        <f>IFERROR(__xludf.DUMMYFUNCTION("""COMPUTED_VALUE"""),"29. Ginger")</f>
        <v>29. Ginger</v>
      </c>
      <c r="B4461" s="4" t="str">
        <f>IFERROR(__xludf.DUMMYFUNCTION("""COMPUTED_VALUE"""),"29")</f>
        <v>29</v>
      </c>
      <c r="C4461" s="5" t="str">
        <f>IFERROR(__xludf.DUMMYFUNCTION("""COMPUTED_VALUE"""),"https://drive.google.com/file/d/1WWCMFUCdBy0KC9fytgZ0AHtflOCMFys8/view?usp=drivesdk")</f>
        <v>https://drive.google.com/file/d/1WWCMFUCdBy0KC9fytgZ0AHtflOCMFys8/view?usp=drivesdk</v>
      </c>
      <c r="D4461" s="12"/>
      <c r="E4461" s="11">
        <v>4499.0</v>
      </c>
      <c r="F4461" s="2"/>
    </row>
    <row r="4462" ht="1.5" customHeight="1">
      <c r="A4462" s="4" t="str">
        <f>IFERROR(__xludf.DUMMYFUNCTION("""COMPUTED_VALUE"""),"64. Ernie")</f>
        <v>64. Ernie</v>
      </c>
      <c r="B4462" s="4" t="str">
        <f>IFERROR(__xludf.DUMMYFUNCTION("""COMPUTED_VALUE"""),"64")</f>
        <v>64</v>
      </c>
      <c r="C4462" s="5" t="str">
        <f>IFERROR(__xludf.DUMMYFUNCTION("""COMPUTED_VALUE"""),"https://drive.google.com/file/d/1rKPTqGtas9lXSfh4aDK2s9wJh17z9bIp/view?usp=drivesdk")</f>
        <v>https://drive.google.com/file/d/1rKPTqGtas9lXSfh4aDK2s9wJh17z9bIp/view?usp=drivesdk</v>
      </c>
      <c r="D4462" s="12"/>
      <c r="E4462" s="11">
        <v>4500.0</v>
      </c>
      <c r="F4462" s="2"/>
    </row>
    <row r="4463" ht="1.5" customHeight="1">
      <c r="A4463" s="4" t="str">
        <f>IFERROR(__xludf.DUMMYFUNCTION("""COMPUTED_VALUE"""),"4. Eggs")</f>
        <v>4. Eggs</v>
      </c>
      <c r="B4463" s="4" t="str">
        <f>IFERROR(__xludf.DUMMYFUNCTION("""COMPUTED_VALUE"""),"4")</f>
        <v>4</v>
      </c>
      <c r="C4463" s="5" t="str">
        <f>IFERROR(__xludf.DUMMYFUNCTION("""COMPUTED_VALUE"""),"https://drive.google.com/file/d/1-571PE494kt0APnRt0yMVlgb4r41aXc0/view?usp=drivesdk")</f>
        <v>https://drive.google.com/file/d/1-571PE494kt0APnRt0yMVlgb4r41aXc0/view?usp=drivesdk</v>
      </c>
      <c r="D4463" s="12"/>
      <c r="E4463" s="11">
        <v>4501.0</v>
      </c>
      <c r="F4463" s="2"/>
    </row>
    <row r="4464" ht="1.5" customHeight="1">
      <c r="A4464" s="4" t="str">
        <f>IFERROR(__xludf.DUMMYFUNCTION("""COMPUTED_VALUE"""),"2. Twix")</f>
        <v>2. Twix</v>
      </c>
      <c r="B4464" s="4" t="str">
        <f>IFERROR(__xludf.DUMMYFUNCTION("""COMPUTED_VALUE"""),"2")</f>
        <v>2</v>
      </c>
      <c r="C4464" s="5" t="str">
        <f>IFERROR(__xludf.DUMMYFUNCTION("""COMPUTED_VALUE"""),"https://drive.google.com/file/d/1WwDaiP5aQwapShJkNo5kjpCSFWzO7N_H/view?usp=drivesdk")</f>
        <v>https://drive.google.com/file/d/1WwDaiP5aQwapShJkNo5kjpCSFWzO7N_H/view?usp=drivesdk</v>
      </c>
      <c r="D4464" s="12"/>
      <c r="E4464" s="11">
        <v>4502.0</v>
      </c>
      <c r="F4464" s="2"/>
    </row>
    <row r="4465" ht="1.5" customHeight="1">
      <c r="A4465" s="4" t="str">
        <f>IFERROR(__xludf.DUMMYFUNCTION("""COMPUTED_VALUE"""),"2. Twix")</f>
        <v>2. Twix</v>
      </c>
      <c r="B4465" s="4" t="str">
        <f>IFERROR(__xludf.DUMMYFUNCTION("""COMPUTED_VALUE"""),"2")</f>
        <v>2</v>
      </c>
      <c r="C4465" s="5" t="str">
        <f>IFERROR(__xludf.DUMMYFUNCTION("""COMPUTED_VALUE"""),"https://drive.google.com/file/d/1BHmCobvodvxreeiVE_9-yHjis-nnPEMW/view?usp=drivesdk")</f>
        <v>https://drive.google.com/file/d/1BHmCobvodvxreeiVE_9-yHjis-nnPEMW/view?usp=drivesdk</v>
      </c>
      <c r="D4465" s="12"/>
      <c r="E4465" s="11">
        <v>4503.0</v>
      </c>
      <c r="F4465" s="2"/>
    </row>
    <row r="4466" ht="1.5" customHeight="1">
      <c r="A4466" s="4" t="str">
        <f>IFERROR(__xludf.DUMMYFUNCTION("""COMPUTED_VALUE"""),"2. Twix")</f>
        <v>2. Twix</v>
      </c>
      <c r="B4466" s="4" t="str">
        <f>IFERROR(__xludf.DUMMYFUNCTION("""COMPUTED_VALUE"""),"2")</f>
        <v>2</v>
      </c>
      <c r="C4466" s="5" t="str">
        <f>IFERROR(__xludf.DUMMYFUNCTION("""COMPUTED_VALUE"""),"https://drive.google.com/file/d/1bIULOw6Go2_8DKnAA0kK-S11Q1BgnAXa/view?usp=drivesdk")</f>
        <v>https://drive.google.com/file/d/1bIULOw6Go2_8DKnAA0kK-S11Q1BgnAXa/view?usp=drivesdk</v>
      </c>
      <c r="D4466" s="12"/>
      <c r="E4466" s="11">
        <v>4504.0</v>
      </c>
      <c r="F4466" s="2"/>
    </row>
    <row r="4467" ht="1.5" customHeight="1">
      <c r="A4467" s="4" t="str">
        <f>IFERROR(__xludf.DUMMYFUNCTION("""COMPUTED_VALUE"""),"2. Twix")</f>
        <v>2. Twix</v>
      </c>
      <c r="B4467" s="4" t="str">
        <f>IFERROR(__xludf.DUMMYFUNCTION("""COMPUTED_VALUE"""),"2")</f>
        <v>2</v>
      </c>
      <c r="C4467" s="5" t="str">
        <f>IFERROR(__xludf.DUMMYFUNCTION("""COMPUTED_VALUE"""),"https://drive.google.com/file/d/1S5baImv3OXHWN533VpF0p9oeEaFxWWEf/view?usp=drivesdk")</f>
        <v>https://drive.google.com/file/d/1S5baImv3OXHWN533VpF0p9oeEaFxWWEf/view?usp=drivesdk</v>
      </c>
      <c r="D4467" s="12"/>
      <c r="E4467" s="11">
        <v>4505.0</v>
      </c>
      <c r="F4467" s="2"/>
    </row>
    <row r="4468" ht="1.5" customHeight="1">
      <c r="A4468" s="4" t="str">
        <f>IFERROR(__xludf.DUMMYFUNCTION("""COMPUTED_VALUE"""),"40. Dumpster")</f>
        <v>40. Dumpster</v>
      </c>
      <c r="B4468" s="4" t="str">
        <f>IFERROR(__xludf.DUMMYFUNCTION("""COMPUTED_VALUE"""),"40")</f>
        <v>40</v>
      </c>
      <c r="C4468" s="5" t="str">
        <f>IFERROR(__xludf.DUMMYFUNCTION("""COMPUTED_VALUE"""),"https://drive.google.com/file/d/1GCVMVQqqv6Dn5q4eZN9Isp6PyqarLUum/view?usp=drivesdk")</f>
        <v>https://drive.google.com/file/d/1GCVMVQqqv6Dn5q4eZN9Isp6PyqarLUum/view?usp=drivesdk</v>
      </c>
      <c r="D4468" s="12"/>
      <c r="E4468" s="11">
        <v>4506.0</v>
      </c>
      <c r="F4468" s="2"/>
    </row>
    <row r="4469" ht="1.5" customHeight="1">
      <c r="A4469" s="4" t="str">
        <f>IFERROR(__xludf.DUMMYFUNCTION("""COMPUTED_VALUE"""),"39. Radar, 40. Dumpster, 62. Gorygreg, 47. Nefarious")</f>
        <v>39. Radar, 40. Dumpster, 62. Gorygreg, 47. Nefarious</v>
      </c>
      <c r="B4469" s="4" t="str">
        <f>IFERROR(__xludf.DUMMYFUNCTION("""COMPUTED_VALUE"""),"39, 40, 62, 47")</f>
        <v>39, 40, 62, 47</v>
      </c>
      <c r="C4469" s="5" t="str">
        <f>IFERROR(__xludf.DUMMYFUNCTION("""COMPUTED_VALUE"""),"https://drive.google.com/file/d/1DhZkO31UwXGr2PmbqvF-__cTOUO6YbbB/view?usp=drivesdk")</f>
        <v>https://drive.google.com/file/d/1DhZkO31UwXGr2PmbqvF-__cTOUO6YbbB/view?usp=drivesdk</v>
      </c>
      <c r="D4469" s="12"/>
      <c r="E4469" s="11">
        <v>4507.0</v>
      </c>
      <c r="F4469" s="2"/>
    </row>
    <row r="4470" ht="1.5" customHeight="1">
      <c r="A4470" s="4" t="str">
        <f>IFERROR(__xludf.DUMMYFUNCTION("""COMPUTED_VALUE"""),"62. Gorygreg, 39. Radar, 40. Dumpster, 47. Nefarious")</f>
        <v>62. Gorygreg, 39. Radar, 40. Dumpster, 47. Nefarious</v>
      </c>
      <c r="B4470" s="4" t="str">
        <f>IFERROR(__xludf.DUMMYFUNCTION("""COMPUTED_VALUE"""),"62, 39, 40, 47")</f>
        <v>62, 39, 40, 47</v>
      </c>
      <c r="C4470" s="5" t="str">
        <f>IFERROR(__xludf.DUMMYFUNCTION("""COMPUTED_VALUE"""),"https://drive.google.com/file/d/1r_KNp16yDmnyV8XcEC_XCeyf8pLxv0ii/view?usp=drivesdk")</f>
        <v>https://drive.google.com/file/d/1r_KNp16yDmnyV8XcEC_XCeyf8pLxv0ii/view?usp=drivesdk</v>
      </c>
      <c r="D4470" s="12"/>
      <c r="E4470" s="11">
        <v>4508.0</v>
      </c>
      <c r="F4470" s="2"/>
    </row>
    <row r="4471" ht="1.5" customHeight="1">
      <c r="A4471" s="4" t="str">
        <f>IFERROR(__xludf.DUMMYFUNCTION("""COMPUTED_VALUE"""),"41. Gregory")</f>
        <v>41. Gregory</v>
      </c>
      <c r="B4471" s="4" t="str">
        <f>IFERROR(__xludf.DUMMYFUNCTION("""COMPUTED_VALUE"""),"41")</f>
        <v>41</v>
      </c>
      <c r="C4471" s="5" t="str">
        <f>IFERROR(__xludf.DUMMYFUNCTION("""COMPUTED_VALUE"""),"https://drive.google.com/file/d/1GGOw-lT0MXJsKVrchGZzwoe5x3AHrWOo/view?usp=drivesdk")</f>
        <v>https://drive.google.com/file/d/1GGOw-lT0MXJsKVrchGZzwoe5x3AHrWOo/view?usp=drivesdk</v>
      </c>
      <c r="D4471" s="12"/>
      <c r="E4471" s="11">
        <v>4509.0</v>
      </c>
      <c r="F4471" s="2"/>
    </row>
    <row r="4472" ht="1.5" customHeight="1">
      <c r="A4472" s="4" t="str">
        <f>IFERROR(__xludf.DUMMYFUNCTION("""COMPUTED_VALUE"""),"40. Dumpster, 58. Eden")</f>
        <v>40. Dumpster, 58. Eden</v>
      </c>
      <c r="B4472" s="4" t="str">
        <f>IFERROR(__xludf.DUMMYFUNCTION("""COMPUTED_VALUE"""),"40, 58")</f>
        <v>40, 58</v>
      </c>
      <c r="C4472" s="5" t="str">
        <f>IFERROR(__xludf.DUMMYFUNCTION("""COMPUTED_VALUE"""),"https://drive.google.com/file/d/14W325UkQqpbyX8j656y0rEyCk1d7XoOG/view?usp=drivesdk")</f>
        <v>https://drive.google.com/file/d/14W325UkQqpbyX8j656y0rEyCk1d7XoOG/view?usp=drivesdk</v>
      </c>
      <c r="D4472" s="12"/>
      <c r="E4472" s="11">
        <v>4510.0</v>
      </c>
      <c r="F4472" s="2"/>
    </row>
    <row r="4473" ht="1.5" customHeight="1">
      <c r="A4473" s="4" t="str">
        <f>IFERROR(__xludf.DUMMYFUNCTION("""COMPUTED_VALUE"""),"47. Nefarious")</f>
        <v>47. Nefarious</v>
      </c>
      <c r="B4473" s="4" t="str">
        <f>IFERROR(__xludf.DUMMYFUNCTION("""COMPUTED_VALUE"""),"47")</f>
        <v>47</v>
      </c>
      <c r="C4473" s="5" t="str">
        <f>IFERROR(__xludf.DUMMYFUNCTION("""COMPUTED_VALUE"""),"https://drive.google.com/file/d/1SV1FPOy8WdPLiyylzN0wntMUb7n8Ipji/view?usp=drivesdk")</f>
        <v>https://drive.google.com/file/d/1SV1FPOy8WdPLiyylzN0wntMUb7n8Ipji/view?usp=drivesdk</v>
      </c>
      <c r="D4473" s="12"/>
      <c r="E4473" s="11">
        <v>4511.0</v>
      </c>
      <c r="F4473" s="2"/>
    </row>
    <row r="4474" ht="1.5" customHeight="1">
      <c r="A4474" s="4" t="str">
        <f>IFERROR(__xludf.DUMMYFUNCTION("""COMPUTED_VALUE"""),"58. Eden, 42. Rubber")</f>
        <v>58. Eden, 42. Rubber</v>
      </c>
      <c r="B4474" s="4" t="str">
        <f>IFERROR(__xludf.DUMMYFUNCTION("""COMPUTED_VALUE"""),"58, 42")</f>
        <v>58, 42</v>
      </c>
      <c r="C4474" s="5" t="str">
        <f>IFERROR(__xludf.DUMMYFUNCTION("""COMPUTED_VALUE"""),"https://drive.google.com/file/d/1YEtMPqNjk1GugmljlcCPdADh_-Snoq9T/view?usp=drivesdk")</f>
        <v>https://drive.google.com/file/d/1YEtMPqNjk1GugmljlcCPdADh_-Snoq9T/view?usp=drivesdk</v>
      </c>
      <c r="D4474" s="12"/>
      <c r="E4474" s="11">
        <v>4512.0</v>
      </c>
      <c r="F4474" s="2"/>
    </row>
    <row r="4475" ht="1.5" customHeight="1">
      <c r="A4475" s="4" t="str">
        <f>IFERROR(__xludf.DUMMYFUNCTION("""COMPUTED_VALUE"""),"42. Rubber, 47. Nefarious, 58. Eden, 38. Winston, 45. Boots")</f>
        <v>42. Rubber, 47. Nefarious, 58. Eden, 38. Winston, 45. Boots</v>
      </c>
      <c r="B4475" s="4" t="str">
        <f>IFERROR(__xludf.DUMMYFUNCTION("""COMPUTED_VALUE"""),"42, 47, 58, 38, 45")</f>
        <v>42, 47, 58, 38, 45</v>
      </c>
      <c r="C4475" s="5" t="str">
        <f>IFERROR(__xludf.DUMMYFUNCTION("""COMPUTED_VALUE"""),"https://drive.google.com/file/d/1ercssYplscg-bW2dqeTrusCa6jr2lGMc/view?usp=drivesdk")</f>
        <v>https://drive.google.com/file/d/1ercssYplscg-bW2dqeTrusCa6jr2lGMc/view?usp=drivesdk</v>
      </c>
      <c r="D4475" s="12"/>
      <c r="E4475" s="11">
        <v>4513.0</v>
      </c>
      <c r="F4475" s="2"/>
    </row>
    <row r="4476" ht="1.5" customHeight="1">
      <c r="A4476" s="4" t="str">
        <f>IFERROR(__xludf.DUMMYFUNCTION("""COMPUTED_VALUE"""),"58. Eden, 42. Rubber")</f>
        <v>58. Eden, 42. Rubber</v>
      </c>
      <c r="B4476" s="4" t="str">
        <f>IFERROR(__xludf.DUMMYFUNCTION("""COMPUTED_VALUE"""),"58, 42")</f>
        <v>58, 42</v>
      </c>
      <c r="C4476" s="5" t="str">
        <f>IFERROR(__xludf.DUMMYFUNCTION("""COMPUTED_VALUE"""),"https://drive.google.com/file/d/17298sUc9ZCkOqvFvm-p3vEaE6ju66rX7/view?usp=drivesdk")</f>
        <v>https://drive.google.com/file/d/17298sUc9ZCkOqvFvm-p3vEaE6ju66rX7/view?usp=drivesdk</v>
      </c>
      <c r="D4476" s="12"/>
      <c r="E4476" s="11">
        <v>4514.0</v>
      </c>
      <c r="F4476" s="2"/>
    </row>
    <row r="4477" ht="1.5" customHeight="1">
      <c r="A4477" s="4" t="str">
        <f>IFERROR(__xludf.DUMMYFUNCTION("""COMPUTED_VALUE"""),"41. Gregory")</f>
        <v>41. Gregory</v>
      </c>
      <c r="B4477" s="4" t="str">
        <f>IFERROR(__xludf.DUMMYFUNCTION("""COMPUTED_VALUE"""),"41")</f>
        <v>41</v>
      </c>
      <c r="C4477" s="5" t="str">
        <f>IFERROR(__xludf.DUMMYFUNCTION("""COMPUTED_VALUE"""),"https://drive.google.com/file/d/1835p0cOXIKeTBf93cNH0rSJJAaJKh_Kt/view?usp=drivesdk")</f>
        <v>https://drive.google.com/file/d/1835p0cOXIKeTBf93cNH0rSJJAaJKh_Kt/view?usp=drivesdk</v>
      </c>
      <c r="D4477" s="12"/>
      <c r="E4477" s="11">
        <v>4515.0</v>
      </c>
      <c r="F4477" s="2"/>
    </row>
    <row r="4478" ht="1.5" customHeight="1">
      <c r="A4478" s="4" t="str">
        <f>IFERROR(__xludf.DUMMYFUNCTION("""COMPUTED_VALUE"""),"69. Kinder")</f>
        <v>69. Kinder</v>
      </c>
      <c r="B4478" s="4" t="str">
        <f>IFERROR(__xludf.DUMMYFUNCTION("""COMPUTED_VALUE"""),"69")</f>
        <v>69</v>
      </c>
      <c r="C4478" s="5" t="str">
        <f>IFERROR(__xludf.DUMMYFUNCTION("""COMPUTED_VALUE"""),"https://drive.google.com/file/d/1NCw0mo0C8z6L8V4SKu_PTnEY9kxjzrf0/view?usp=drivesdk")</f>
        <v>https://drive.google.com/file/d/1NCw0mo0C8z6L8V4SKu_PTnEY9kxjzrf0/view?usp=drivesdk</v>
      </c>
      <c r="D4478" s="12"/>
      <c r="E4478" s="11">
        <v>4516.0</v>
      </c>
      <c r="F4478" s="2"/>
    </row>
    <row r="4479" ht="1.5" customHeight="1">
      <c r="A4479" s="4" t="str">
        <f>IFERROR(__xludf.DUMMYFUNCTION("""COMPUTED_VALUE"""),"69. Kinder")</f>
        <v>69. Kinder</v>
      </c>
      <c r="B4479" s="4" t="str">
        <f>IFERROR(__xludf.DUMMYFUNCTION("""COMPUTED_VALUE"""),"69")</f>
        <v>69</v>
      </c>
      <c r="C4479" s="5" t="str">
        <f>IFERROR(__xludf.DUMMYFUNCTION("""COMPUTED_VALUE"""),"https://drive.google.com/file/d/1im7JAcYndZktMjoP4THAuBhfEjgHXNhg/view?usp=drivesdk")</f>
        <v>https://drive.google.com/file/d/1im7JAcYndZktMjoP4THAuBhfEjgHXNhg/view?usp=drivesdk</v>
      </c>
      <c r="D4479" s="12"/>
      <c r="E4479" s="11">
        <v>4517.0</v>
      </c>
      <c r="F4479" s="2"/>
    </row>
    <row r="4480" ht="1.5" customHeight="1">
      <c r="A4480" s="4" t="str">
        <f>IFERROR(__xludf.DUMMYFUNCTION("""COMPUTED_VALUE"""),"47. Nefarious, 62. Gorygreg, 39. Radar, 44. Shitbag Cuntface, 58. Eden, 45. Boots, 41. Gregory")</f>
        <v>47. Nefarious, 62. Gorygreg, 39. Radar, 44. Shitbag Cuntface, 58. Eden, 45. Boots, 41. Gregory</v>
      </c>
      <c r="B4480" s="4" t="str">
        <f>IFERROR(__xludf.DUMMYFUNCTION("""COMPUTED_VALUE"""),"47, 62, 39, 44, 58, 45, 41")</f>
        <v>47, 62, 39, 44, 58, 45, 41</v>
      </c>
      <c r="C4480" s="5" t="str">
        <f>IFERROR(__xludf.DUMMYFUNCTION("""COMPUTED_VALUE"""),"https://drive.google.com/file/d/1vwb2VeexzyqAeumYxChrTeqnqV701ifi/view?usp=drivesdk")</f>
        <v>https://drive.google.com/file/d/1vwb2VeexzyqAeumYxChrTeqnqV701ifi/view?usp=drivesdk</v>
      </c>
      <c r="D4480" s="12"/>
      <c r="E4480" s="11">
        <v>4518.0</v>
      </c>
      <c r="F4480" s="2"/>
    </row>
    <row r="4481" ht="1.5" customHeight="1">
      <c r="A4481" s="4" t="str">
        <f>IFERROR(__xludf.DUMMYFUNCTION("""COMPUTED_VALUE"""),"40. Dumpster, 47. Nefarious, 41. Gregory, 62. Gorygreg, 39. Radar, 45. Boots, 38. Winston, 44. Shitbag Cuntface")</f>
        <v>40. Dumpster, 47. Nefarious, 41. Gregory, 62. Gorygreg, 39. Radar, 45. Boots, 38. Winston, 44. Shitbag Cuntface</v>
      </c>
      <c r="B4481" s="4" t="str">
        <f>IFERROR(__xludf.DUMMYFUNCTION("""COMPUTED_VALUE"""),"40, 47, 41, 62, 39, 45, 38, 44")</f>
        <v>40, 47, 41, 62, 39, 45, 38, 44</v>
      </c>
      <c r="C4481" s="5" t="str">
        <f>IFERROR(__xludf.DUMMYFUNCTION("""COMPUTED_VALUE"""),"https://drive.google.com/file/d/1NtUbvD65-UF3XerxMngF9UBuJxHpiQM4/view?usp=drivesdk")</f>
        <v>https://drive.google.com/file/d/1NtUbvD65-UF3XerxMngF9UBuJxHpiQM4/view?usp=drivesdk</v>
      </c>
      <c r="D4481" s="12"/>
      <c r="E4481" s="11">
        <v>4519.0</v>
      </c>
      <c r="F4481" s="2"/>
    </row>
    <row r="4482" ht="1.5" customHeight="1">
      <c r="A4482" s="4" t="str">
        <f>IFERROR(__xludf.DUMMYFUNCTION("""COMPUTED_VALUE"""),"40. Dumpster, 47. Nefarious, 95. Ariel")</f>
        <v>40. Dumpster, 47. Nefarious, 95. Ariel</v>
      </c>
      <c r="B4482" s="4" t="str">
        <f>IFERROR(__xludf.DUMMYFUNCTION("""COMPUTED_VALUE"""),"40, 47, 95")</f>
        <v>40, 47, 95</v>
      </c>
      <c r="C4482" s="5" t="str">
        <f>IFERROR(__xludf.DUMMYFUNCTION("""COMPUTED_VALUE"""),"https://drive.google.com/file/d/1u7QAUvaDAae2F3pli4nHYvvxliNYd4MZ/view?usp=drivesdk")</f>
        <v>https://drive.google.com/file/d/1u7QAUvaDAae2F3pli4nHYvvxliNYd4MZ/view?usp=drivesdk</v>
      </c>
      <c r="D4482" s="12"/>
      <c r="E4482" s="11">
        <v>4520.0</v>
      </c>
      <c r="F4482" s="2"/>
    </row>
    <row r="4483" ht="1.5" customHeight="1">
      <c r="A4483" s="4" t="str">
        <f>IFERROR(__xludf.DUMMYFUNCTION("""COMPUTED_VALUE"""),"95. Ariel, 47. Nefarious, 40. Dumpster")</f>
        <v>95. Ariel, 47. Nefarious, 40. Dumpster</v>
      </c>
      <c r="B4483" s="4" t="str">
        <f>IFERROR(__xludf.DUMMYFUNCTION("""COMPUTED_VALUE"""),"95, 47, 40")</f>
        <v>95, 47, 40</v>
      </c>
      <c r="C4483" s="5" t="str">
        <f>IFERROR(__xludf.DUMMYFUNCTION("""COMPUTED_VALUE"""),"https://drive.google.com/file/d/1ejngudfmVqMvnRnkuf1z_pBmRWCS2E8B/view?usp=drivesdk")</f>
        <v>https://drive.google.com/file/d/1ejngudfmVqMvnRnkuf1z_pBmRWCS2E8B/view?usp=drivesdk</v>
      </c>
      <c r="D4483" s="12"/>
      <c r="E4483" s="11">
        <v>4521.0</v>
      </c>
      <c r="F4483" s="2"/>
    </row>
    <row r="4484" ht="1.5" customHeight="1">
      <c r="A4484" s="4" t="str">
        <f>IFERROR(__xludf.DUMMYFUNCTION("""COMPUTED_VALUE"""),"39. Radar, 44. Shitbag Cuntface")</f>
        <v>39. Radar, 44. Shitbag Cuntface</v>
      </c>
      <c r="B4484" s="4" t="str">
        <f>IFERROR(__xludf.DUMMYFUNCTION("""COMPUTED_VALUE"""),"39, 44")</f>
        <v>39, 44</v>
      </c>
      <c r="C4484" s="5" t="str">
        <f>IFERROR(__xludf.DUMMYFUNCTION("""COMPUTED_VALUE"""),"https://drive.google.com/file/d/1YkOoLy5Em73gVdzvOUPTbDZFTYDvRmJ7/view?usp=drivesdk")</f>
        <v>https://drive.google.com/file/d/1YkOoLy5Em73gVdzvOUPTbDZFTYDvRmJ7/view?usp=drivesdk</v>
      </c>
      <c r="D4484" s="12"/>
      <c r="E4484" s="11">
        <v>4522.0</v>
      </c>
      <c r="F4484" s="2"/>
    </row>
    <row r="4485" ht="1.5" customHeight="1">
      <c r="A4485" s="4" t="str">
        <f>IFERROR(__xludf.DUMMYFUNCTION("""COMPUTED_VALUE"""),"45. Boots, 3. Ford F-150, 44. Shitbag Cuntface")</f>
        <v>45. Boots, 3. Ford F-150, 44. Shitbag Cuntface</v>
      </c>
      <c r="B4485" s="4" t="str">
        <f>IFERROR(__xludf.DUMMYFUNCTION("""COMPUTED_VALUE"""),"45, 3, 44")</f>
        <v>45, 3, 44</v>
      </c>
      <c r="C4485" s="5" t="str">
        <f>IFERROR(__xludf.DUMMYFUNCTION("""COMPUTED_VALUE"""),"https://drive.google.com/file/d/1-Avk9NasqQtk8doCMIjmycAkKuqhJuCy/view?usp=drivesdk")</f>
        <v>https://drive.google.com/file/d/1-Avk9NasqQtk8doCMIjmycAkKuqhJuCy/view?usp=drivesdk</v>
      </c>
      <c r="D4485" s="12"/>
      <c r="E4485" s="11">
        <v>4523.0</v>
      </c>
      <c r="F4485" s="2"/>
    </row>
    <row r="4486" ht="1.5" customHeight="1">
      <c r="A4486" s="4" t="str">
        <f>IFERROR(__xludf.DUMMYFUNCTION("""COMPUTED_VALUE"""),"41. Gregory, 44. Shitbag Cuntface, 39. Radar")</f>
        <v>41. Gregory, 44. Shitbag Cuntface, 39. Radar</v>
      </c>
      <c r="B4486" s="4" t="str">
        <f>IFERROR(__xludf.DUMMYFUNCTION("""COMPUTED_VALUE"""),"41, 44, 39")</f>
        <v>41, 44, 39</v>
      </c>
      <c r="C4486" s="5" t="str">
        <f>IFERROR(__xludf.DUMMYFUNCTION("""COMPUTED_VALUE"""),"https://drive.google.com/file/d/1PD8aX5e2_x5egRGeQmPysO6Bfu-s8QoO/view?usp=drivesdk")</f>
        <v>https://drive.google.com/file/d/1PD8aX5e2_x5egRGeQmPysO6Bfu-s8QoO/view?usp=drivesdk</v>
      </c>
      <c r="D4486" s="12"/>
      <c r="E4486" s="11">
        <v>4524.0</v>
      </c>
      <c r="F4486" s="2"/>
    </row>
    <row r="4487" ht="1.5" customHeight="1">
      <c r="A4487" s="4" t="str">
        <f>IFERROR(__xludf.DUMMYFUNCTION("""COMPUTED_VALUE"""),"41. Gregory, 44. Shitbag Cuntface, 39. Radar")</f>
        <v>41. Gregory, 44. Shitbag Cuntface, 39. Radar</v>
      </c>
      <c r="B4487" s="4" t="str">
        <f>IFERROR(__xludf.DUMMYFUNCTION("""COMPUTED_VALUE"""),"41, 44, 39")</f>
        <v>41, 44, 39</v>
      </c>
      <c r="C4487" s="5" t="str">
        <f>IFERROR(__xludf.DUMMYFUNCTION("""COMPUTED_VALUE"""),"https://drive.google.com/file/d/1LDMCnen6l0QOOLki1Vouwmr5xZEbKIJ0/view?usp=drivesdk")</f>
        <v>https://drive.google.com/file/d/1LDMCnen6l0QOOLki1Vouwmr5xZEbKIJ0/view?usp=drivesdk</v>
      </c>
      <c r="D4487" s="12"/>
      <c r="E4487" s="11">
        <v>4525.0</v>
      </c>
      <c r="F4487" s="2"/>
    </row>
    <row r="4488" ht="1.5" customHeight="1">
      <c r="A4488" s="4" t="str">
        <f>IFERROR(__xludf.DUMMYFUNCTION("""COMPUTED_VALUE"""),"89. Petal")</f>
        <v>89. Petal</v>
      </c>
      <c r="B4488" s="4" t="str">
        <f>IFERROR(__xludf.DUMMYFUNCTION("""COMPUTED_VALUE"""),"89")</f>
        <v>89</v>
      </c>
      <c r="C4488" s="5" t="str">
        <f>IFERROR(__xludf.DUMMYFUNCTION("""COMPUTED_VALUE"""),"https://drive.google.com/file/d/1ymB0Zv3TDRuP8picHK4Rsr6jNO7V43Ok/view?usp=drivesdk")</f>
        <v>https://drive.google.com/file/d/1ymB0Zv3TDRuP8picHK4Rsr6jNO7V43Ok/view?usp=drivesdk</v>
      </c>
      <c r="D4488" s="12"/>
      <c r="E4488" s="11">
        <v>4526.0</v>
      </c>
      <c r="F4488" s="2"/>
    </row>
    <row r="4489" ht="1.5" customHeight="1">
      <c r="A4489" s="4" t="str">
        <f>IFERROR(__xludf.DUMMYFUNCTION("""COMPUTED_VALUE"""),"89. Petal")</f>
        <v>89. Petal</v>
      </c>
      <c r="B4489" s="4" t="str">
        <f>IFERROR(__xludf.DUMMYFUNCTION("""COMPUTED_VALUE"""),"89")</f>
        <v>89</v>
      </c>
      <c r="C4489" s="5" t="str">
        <f>IFERROR(__xludf.DUMMYFUNCTION("""COMPUTED_VALUE"""),"https://drive.google.com/file/d/1PdHrsD3di8avR5W4fqYz9FM0OP6qW_wp/view?usp=drivesdk")</f>
        <v>https://drive.google.com/file/d/1PdHrsD3di8avR5W4fqYz9FM0OP6qW_wp/view?usp=drivesdk</v>
      </c>
      <c r="D4489" s="12"/>
      <c r="E4489" s="11">
        <v>4527.0</v>
      </c>
      <c r="F4489" s="2"/>
    </row>
    <row r="4490" ht="1.5" customHeight="1">
      <c r="A4490" s="4" t="str">
        <f>IFERROR(__xludf.DUMMYFUNCTION("""COMPUTED_VALUE"""),"89. Petal")</f>
        <v>89. Petal</v>
      </c>
      <c r="B4490" s="4" t="str">
        <f>IFERROR(__xludf.DUMMYFUNCTION("""COMPUTED_VALUE"""),"89")</f>
        <v>89</v>
      </c>
      <c r="C4490" s="5" t="str">
        <f>IFERROR(__xludf.DUMMYFUNCTION("""COMPUTED_VALUE"""),"https://drive.google.com/file/d/169HCjmGOLncGN5G-zSfiN5zcDKyFWBsY/view?usp=drivesdk")</f>
        <v>https://drive.google.com/file/d/169HCjmGOLncGN5G-zSfiN5zcDKyFWBsY/view?usp=drivesdk</v>
      </c>
      <c r="D4490" s="12"/>
      <c r="E4490" s="11">
        <v>4528.0</v>
      </c>
      <c r="F4490" s="2"/>
    </row>
    <row r="4491" ht="1.5" customHeight="1">
      <c r="A4491" s="4" t="str">
        <f>IFERROR(__xludf.DUMMYFUNCTION("""COMPUTED_VALUE"""),"2. Twix")</f>
        <v>2. Twix</v>
      </c>
      <c r="B4491" s="4" t="str">
        <f>IFERROR(__xludf.DUMMYFUNCTION("""COMPUTED_VALUE"""),"2")</f>
        <v>2</v>
      </c>
      <c r="C4491" s="5" t="str">
        <f>IFERROR(__xludf.DUMMYFUNCTION("""COMPUTED_VALUE"""),"https://drive.google.com/file/d/1o5SoHxfwhFHaxEXnMy2Pys6h6QBCo6Gu/view?usp=drivesdk")</f>
        <v>https://drive.google.com/file/d/1o5SoHxfwhFHaxEXnMy2Pys6h6QBCo6Gu/view?usp=drivesdk</v>
      </c>
      <c r="D4491" s="12"/>
      <c r="E4491" s="11">
        <v>4529.0</v>
      </c>
      <c r="F4491" s="2"/>
    </row>
    <row r="4492" ht="1.5" customHeight="1">
      <c r="A4492" s="4" t="str">
        <f>IFERROR(__xludf.DUMMYFUNCTION("""COMPUTED_VALUE"""),"2. Twix")</f>
        <v>2. Twix</v>
      </c>
      <c r="B4492" s="4" t="str">
        <f>IFERROR(__xludf.DUMMYFUNCTION("""COMPUTED_VALUE"""),"2")</f>
        <v>2</v>
      </c>
      <c r="C4492" s="5" t="str">
        <f>IFERROR(__xludf.DUMMYFUNCTION("""COMPUTED_VALUE"""),"https://drive.google.com/file/d/1ISAaRX0nbZK8er4HprLdikWfkN4Eso1F/view?usp=drivesdk")</f>
        <v>https://drive.google.com/file/d/1ISAaRX0nbZK8er4HprLdikWfkN4Eso1F/view?usp=drivesdk</v>
      </c>
      <c r="D4492" s="12"/>
      <c r="E4492" s="11">
        <v>4530.0</v>
      </c>
      <c r="F4492" s="2"/>
    </row>
    <row r="4493" ht="1.5" customHeight="1">
      <c r="A4493" s="4" t="str">
        <f>IFERROR(__xludf.DUMMYFUNCTION("""COMPUTED_VALUE"""),"1. Microwave")</f>
        <v>1. Microwave</v>
      </c>
      <c r="B4493" s="4" t="str">
        <f>IFERROR(__xludf.DUMMYFUNCTION("""COMPUTED_VALUE"""),"1")</f>
        <v>1</v>
      </c>
      <c r="C4493" s="5" t="str">
        <f>IFERROR(__xludf.DUMMYFUNCTION("""COMPUTED_VALUE"""),"https://drive.google.com/file/d/1wzZuS_zVzKqoFnQK306UGresEfujOehp/view?usp=drivesdk")</f>
        <v>https://drive.google.com/file/d/1wzZuS_zVzKqoFnQK306UGresEfujOehp/view?usp=drivesdk</v>
      </c>
      <c r="D4493" s="12"/>
      <c r="E4493" s="11">
        <v>4531.0</v>
      </c>
      <c r="F4493" s="2"/>
    </row>
    <row r="4494" ht="1.5" customHeight="1">
      <c r="A4494" s="4" t="str">
        <f>IFERROR(__xludf.DUMMYFUNCTION("""COMPUTED_VALUE"""),"1. Microwave")</f>
        <v>1. Microwave</v>
      </c>
      <c r="B4494" s="4" t="str">
        <f>IFERROR(__xludf.DUMMYFUNCTION("""COMPUTED_VALUE"""),"1")</f>
        <v>1</v>
      </c>
      <c r="C4494" s="5" t="str">
        <f>IFERROR(__xludf.DUMMYFUNCTION("""COMPUTED_VALUE"""),"https://drive.google.com/file/d/1Q_lo8I2r9Mt_FpagkTd99yvfikTVpnff/view?usp=drivesdk")</f>
        <v>https://drive.google.com/file/d/1Q_lo8I2r9Mt_FpagkTd99yvfikTVpnff/view?usp=drivesdk</v>
      </c>
      <c r="D4494" s="12"/>
      <c r="E4494" s="11">
        <v>4532.0</v>
      </c>
      <c r="F4494" s="2"/>
    </row>
    <row r="4495" ht="1.5" customHeight="1">
      <c r="A4495" s="4" t="str">
        <f>IFERROR(__xludf.DUMMYFUNCTION("""COMPUTED_VALUE"""),"1. Microwave")</f>
        <v>1. Microwave</v>
      </c>
      <c r="B4495" s="4" t="str">
        <f>IFERROR(__xludf.DUMMYFUNCTION("""COMPUTED_VALUE"""),"1")</f>
        <v>1</v>
      </c>
      <c r="C4495" s="5" t="str">
        <f>IFERROR(__xludf.DUMMYFUNCTION("""COMPUTED_VALUE"""),"https://drive.google.com/file/d/1uU-HSlEHznchF35P2Uhr_E9JbC9KIizA/view?usp=drivesdk")</f>
        <v>https://drive.google.com/file/d/1uU-HSlEHznchF35P2Uhr_E9JbC9KIizA/view?usp=drivesdk</v>
      </c>
      <c r="D4495" s="12"/>
      <c r="E4495" s="11">
        <v>4533.0</v>
      </c>
      <c r="F4495" s="2"/>
    </row>
    <row r="4496" ht="1.5" customHeight="1">
      <c r="A4496" s="4" t="str">
        <f>IFERROR(__xludf.DUMMYFUNCTION("""COMPUTED_VALUE"""),"0. NotACat")</f>
        <v>0. NotACat</v>
      </c>
      <c r="B4496" s="4" t="str">
        <f>IFERROR(__xludf.DUMMYFUNCTION("""COMPUTED_VALUE"""),"0")</f>
        <v>0</v>
      </c>
      <c r="C4496" s="5" t="str">
        <f>IFERROR(__xludf.DUMMYFUNCTION("""COMPUTED_VALUE"""),"https://drive.google.com/file/d/1iYObdMZd5c8tJbzUdJQdE3if34Ry6Oei/view?usp=drivesdk")</f>
        <v>https://drive.google.com/file/d/1iYObdMZd5c8tJbzUdJQdE3if34Ry6Oei/view?usp=drivesdk</v>
      </c>
      <c r="D4496" s="12"/>
      <c r="E4496" s="11">
        <v>4534.0</v>
      </c>
      <c r="F4496" s="2"/>
    </row>
    <row r="4497" ht="1.5" customHeight="1">
      <c r="A4497" s="4" t="str">
        <f>IFERROR(__xludf.DUMMYFUNCTION("""COMPUTED_VALUE"""),"49. Freya, 50. Thor")</f>
        <v>49. Freya, 50. Thor</v>
      </c>
      <c r="B4497" s="4" t="str">
        <f>IFERROR(__xludf.DUMMYFUNCTION("""COMPUTED_VALUE"""),"49, 50")</f>
        <v>49, 50</v>
      </c>
      <c r="C4497" s="5" t="str">
        <f>IFERROR(__xludf.DUMMYFUNCTION("""COMPUTED_VALUE"""),"https://drive.google.com/file/d/1I55BYcg7nv0iVekGhy_S3HcjrGqXrHWL/view?usp=drivesdk")</f>
        <v>https://drive.google.com/file/d/1I55BYcg7nv0iVekGhy_S3HcjrGqXrHWL/view?usp=drivesdk</v>
      </c>
      <c r="D4497" s="12"/>
      <c r="E4497" s="11">
        <v>4535.0</v>
      </c>
      <c r="F4497" s="2"/>
    </row>
    <row r="4498" ht="1.5" customHeight="1">
      <c r="A4498" s="4" t="str">
        <f>IFERROR(__xludf.DUMMYFUNCTION("""COMPUTED_VALUE"""),"32. Noir")</f>
        <v>32. Noir</v>
      </c>
      <c r="B4498" s="4" t="str">
        <f>IFERROR(__xludf.DUMMYFUNCTION("""COMPUTED_VALUE"""),"32")</f>
        <v>32</v>
      </c>
      <c r="C4498" s="5" t="str">
        <f>IFERROR(__xludf.DUMMYFUNCTION("""COMPUTED_VALUE"""),"https://drive.google.com/file/d/1CPb4STDNo7z-jCwNeFlG2B-2WP_IdYRz/view?usp=drivesdk")</f>
        <v>https://drive.google.com/file/d/1CPb4STDNo7z-jCwNeFlG2B-2WP_IdYRz/view?usp=drivesdk</v>
      </c>
      <c r="D4498" s="12"/>
      <c r="E4498" s="11">
        <v>4536.0</v>
      </c>
      <c r="F4498" s="2"/>
    </row>
    <row r="4499" ht="1.5" customHeight="1">
      <c r="A4499" s="4" t="str">
        <f>IFERROR(__xludf.DUMMYFUNCTION("""COMPUTED_VALUE"""),"1. Microwave")</f>
        <v>1. Microwave</v>
      </c>
      <c r="B4499" s="4" t="str">
        <f>IFERROR(__xludf.DUMMYFUNCTION("""COMPUTED_VALUE"""),"1")</f>
        <v>1</v>
      </c>
      <c r="C4499" s="5" t="str">
        <f>IFERROR(__xludf.DUMMYFUNCTION("""COMPUTED_VALUE"""),"https://drive.google.com/file/d/1X2WzSdzyJobW-bOI-DWwxxr9BUzBPTqR/view?usp=drivesdk")</f>
        <v>https://drive.google.com/file/d/1X2WzSdzyJobW-bOI-DWwxxr9BUzBPTqR/view?usp=drivesdk</v>
      </c>
      <c r="D4499" s="12"/>
      <c r="E4499" s="11">
        <v>4537.0</v>
      </c>
      <c r="F4499" s="2"/>
    </row>
    <row r="4500" ht="1.5" customHeight="1">
      <c r="A4500" s="4" t="str">
        <f>IFERROR(__xludf.DUMMYFUNCTION("""COMPUTED_VALUE"""),"2. Twix")</f>
        <v>2. Twix</v>
      </c>
      <c r="B4500" s="4" t="str">
        <f>IFERROR(__xludf.DUMMYFUNCTION("""COMPUTED_VALUE"""),"2")</f>
        <v>2</v>
      </c>
      <c r="C4500" s="5" t="str">
        <f>IFERROR(__xludf.DUMMYFUNCTION("""COMPUTED_VALUE"""),"https://drive.google.com/file/d/1oAzhZ00RNsBwaNmNRHZWDRf3nmPA1JOv/view?usp=drivesdk")</f>
        <v>https://drive.google.com/file/d/1oAzhZ00RNsBwaNmNRHZWDRf3nmPA1JOv/view?usp=drivesdk</v>
      </c>
      <c r="D4500" s="12"/>
      <c r="E4500" s="11">
        <v>4538.0</v>
      </c>
      <c r="F4500" s="2"/>
    </row>
    <row r="4501" ht="1.5" customHeight="1">
      <c r="A4501" s="4" t="str">
        <f>IFERROR(__xludf.DUMMYFUNCTION("""COMPUTED_VALUE"""),"1. Microwave")</f>
        <v>1. Microwave</v>
      </c>
      <c r="B4501" s="4" t="str">
        <f>IFERROR(__xludf.DUMMYFUNCTION("""COMPUTED_VALUE"""),"1")</f>
        <v>1</v>
      </c>
      <c r="C4501" s="5" t="str">
        <f>IFERROR(__xludf.DUMMYFUNCTION("""COMPUTED_VALUE"""),"https://drive.google.com/file/d/11JtSE6y_VxMlSSL00gvfjMxaQcBunSDk/view?usp=drivesdk")</f>
        <v>https://drive.google.com/file/d/11JtSE6y_VxMlSSL00gvfjMxaQcBunSDk/view?usp=drivesdk</v>
      </c>
      <c r="D4501" s="12"/>
      <c r="E4501" s="11">
        <v>4539.0</v>
      </c>
      <c r="F4501" s="2"/>
    </row>
    <row r="4502" ht="1.5" customHeight="1">
      <c r="A4502" s="4" t="str">
        <f>IFERROR(__xludf.DUMMYFUNCTION("""COMPUTED_VALUE"""),"1. Microwave")</f>
        <v>1. Microwave</v>
      </c>
      <c r="B4502" s="4" t="str">
        <f>IFERROR(__xludf.DUMMYFUNCTION("""COMPUTED_VALUE"""),"1")</f>
        <v>1</v>
      </c>
      <c r="C4502" s="5" t="str">
        <f>IFERROR(__xludf.DUMMYFUNCTION("""COMPUTED_VALUE"""),"https://drive.google.com/file/d/18Mu11NHV1FREPRio6tus3JPtP9wL1kET/view?usp=drivesdk")</f>
        <v>https://drive.google.com/file/d/18Mu11NHV1FREPRio6tus3JPtP9wL1kET/view?usp=drivesdk</v>
      </c>
      <c r="D4502" s="12"/>
      <c r="E4502" s="11">
        <v>4540.0</v>
      </c>
      <c r="F4502" s="2"/>
    </row>
    <row r="4503" ht="1.5" customHeight="1">
      <c r="A4503" s="4" t="str">
        <f>IFERROR(__xludf.DUMMYFUNCTION("""COMPUTED_VALUE"""),"30. Pepper")</f>
        <v>30. Pepper</v>
      </c>
      <c r="B4503" s="4" t="str">
        <f>IFERROR(__xludf.DUMMYFUNCTION("""COMPUTED_VALUE"""),"30")</f>
        <v>30</v>
      </c>
      <c r="C4503" s="5" t="str">
        <f>IFERROR(__xludf.DUMMYFUNCTION("""COMPUTED_VALUE"""),"https://drive.google.com/file/d/1UuCy1m02e5B35xi5K9awkfUMqmIRt86p/view?usp=drivesdk")</f>
        <v>https://drive.google.com/file/d/1UuCy1m02e5B35xi5K9awkfUMqmIRt86p/view?usp=drivesdk</v>
      </c>
      <c r="D4503" s="12"/>
      <c r="E4503" s="11">
        <v>4541.0</v>
      </c>
      <c r="F4503" s="2"/>
    </row>
    <row r="4504" ht="1.5" customHeight="1">
      <c r="A4504" s="4" t="str">
        <f>IFERROR(__xludf.DUMMYFUNCTION("""COMPUTED_VALUE"""),"1. Microwave")</f>
        <v>1. Microwave</v>
      </c>
      <c r="B4504" s="4" t="str">
        <f>IFERROR(__xludf.DUMMYFUNCTION("""COMPUTED_VALUE"""),"1")</f>
        <v>1</v>
      </c>
      <c r="C4504" s="5" t="str">
        <f>IFERROR(__xludf.DUMMYFUNCTION("""COMPUTED_VALUE"""),"https://drive.google.com/file/d/1czt0G1UFz7T-SGTLy8jWSnOEl8P1w-N1/view?usp=drivesdk")</f>
        <v>https://drive.google.com/file/d/1czt0G1UFz7T-SGTLy8jWSnOEl8P1w-N1/view?usp=drivesdk</v>
      </c>
      <c r="D4504" s="12"/>
      <c r="E4504" s="11">
        <v>4542.0</v>
      </c>
      <c r="F4504" s="2"/>
    </row>
    <row r="4505" ht="1.5" customHeight="1">
      <c r="A4505" s="4" t="str">
        <f>IFERROR(__xludf.DUMMYFUNCTION("""COMPUTED_VALUE"""),"1. Microwave")</f>
        <v>1. Microwave</v>
      </c>
      <c r="B4505" s="4" t="str">
        <f>IFERROR(__xludf.DUMMYFUNCTION("""COMPUTED_VALUE"""),"1")</f>
        <v>1</v>
      </c>
      <c r="C4505" s="5" t="str">
        <f>IFERROR(__xludf.DUMMYFUNCTION("""COMPUTED_VALUE"""),"https://drive.google.com/file/d/1k8tAJhOV08bSyrPtKE7k23N3aixOpS6G/view?usp=drivesdk")</f>
        <v>https://drive.google.com/file/d/1k8tAJhOV08bSyrPtKE7k23N3aixOpS6G/view?usp=drivesdk</v>
      </c>
      <c r="D4505" s="12"/>
      <c r="E4505" s="11">
        <v>4543.0</v>
      </c>
      <c r="F4505" s="2"/>
    </row>
    <row r="4506" ht="1.5" customHeight="1">
      <c r="A4506" s="4" t="str">
        <f>IFERROR(__xludf.DUMMYFUNCTION("""COMPUTED_VALUE"""),"1. Microwave")</f>
        <v>1. Microwave</v>
      </c>
      <c r="B4506" s="4" t="str">
        <f>IFERROR(__xludf.DUMMYFUNCTION("""COMPUTED_VALUE"""),"1")</f>
        <v>1</v>
      </c>
      <c r="C4506" s="5" t="str">
        <f>IFERROR(__xludf.DUMMYFUNCTION("""COMPUTED_VALUE"""),"https://drive.google.com/file/d/1ucwHYgwTTojrSeIlM9gobigav5EyhiOV/view?usp=drivesdk")</f>
        <v>https://drive.google.com/file/d/1ucwHYgwTTojrSeIlM9gobigav5EyhiOV/view?usp=drivesdk</v>
      </c>
      <c r="D4506" s="12"/>
      <c r="E4506" s="11">
        <v>4544.0</v>
      </c>
      <c r="F4506" s="2"/>
    </row>
    <row r="4507" ht="1.5" customHeight="1">
      <c r="A4507" s="4" t="str">
        <f>IFERROR(__xludf.DUMMYFUNCTION("""COMPUTED_VALUE"""),"0. NotACat")</f>
        <v>0. NotACat</v>
      </c>
      <c r="B4507" s="4" t="str">
        <f>IFERROR(__xludf.DUMMYFUNCTION("""COMPUTED_VALUE"""),"0")</f>
        <v>0</v>
      </c>
      <c r="C4507" s="5" t="str">
        <f>IFERROR(__xludf.DUMMYFUNCTION("""COMPUTED_VALUE"""),"https://drive.google.com/file/d/15cFKiX2Bn5KarXiNkZWoBoshVLRdDMya/view?usp=drivesdk")</f>
        <v>https://drive.google.com/file/d/15cFKiX2Bn5KarXiNkZWoBoshVLRdDMya/view?usp=drivesdk</v>
      </c>
      <c r="D4507" s="12"/>
      <c r="E4507" s="11">
        <v>4545.0</v>
      </c>
      <c r="F4507" s="2"/>
    </row>
    <row r="4508" ht="1.5" customHeight="1">
      <c r="A4508" s="4" t="str">
        <f>IFERROR(__xludf.DUMMYFUNCTION("""COMPUTED_VALUE"""),"32. Noir, 63. Mr Stinky")</f>
        <v>32. Noir, 63. Mr Stinky</v>
      </c>
      <c r="B4508" s="4" t="str">
        <f>IFERROR(__xludf.DUMMYFUNCTION("""COMPUTED_VALUE"""),"32, 63")</f>
        <v>32, 63</v>
      </c>
      <c r="C4508" s="5" t="str">
        <f>IFERROR(__xludf.DUMMYFUNCTION("""COMPUTED_VALUE"""),"https://drive.google.com/file/d/1ABPU0Pk57Ps6w5C7gRd7hlxIdwQCn78H/view?usp=drivesdk")</f>
        <v>https://drive.google.com/file/d/1ABPU0Pk57Ps6w5C7gRd7hlxIdwQCn78H/view?usp=drivesdk</v>
      </c>
      <c r="D4508" s="12"/>
      <c r="E4508" s="11">
        <v>4546.0</v>
      </c>
      <c r="F4508" s="2"/>
    </row>
    <row r="4509" ht="1.5" customHeight="1">
      <c r="A4509" s="4" t="str">
        <f>IFERROR(__xludf.DUMMYFUNCTION("""COMPUTED_VALUE"""),"27. Angel, 30. Pepper, 33. Zee")</f>
        <v>27. Angel, 30. Pepper, 33. Zee</v>
      </c>
      <c r="B4509" s="4" t="str">
        <f>IFERROR(__xludf.DUMMYFUNCTION("""COMPUTED_VALUE"""),"27, 30, 33")</f>
        <v>27, 30, 33</v>
      </c>
      <c r="C4509" s="5" t="str">
        <f>IFERROR(__xludf.DUMMYFUNCTION("""COMPUTED_VALUE"""),"https://drive.google.com/file/d/17yDN8nEIZCWIJdaR5-h3fpPALkiuDwJR/view?usp=drivesdk")</f>
        <v>https://drive.google.com/file/d/17yDN8nEIZCWIJdaR5-h3fpPALkiuDwJR/view?usp=drivesdk</v>
      </c>
      <c r="D4509" s="12"/>
      <c r="E4509" s="11">
        <v>4547.0</v>
      </c>
      <c r="F4509" s="2"/>
    </row>
    <row r="4510" ht="1.5" customHeight="1">
      <c r="A4510" s="4" t="str">
        <f>IFERROR(__xludf.DUMMYFUNCTION("""COMPUTED_VALUE"""),"30. Pepper")</f>
        <v>30. Pepper</v>
      </c>
      <c r="B4510" s="4" t="str">
        <f>IFERROR(__xludf.DUMMYFUNCTION("""COMPUTED_VALUE"""),"30")</f>
        <v>30</v>
      </c>
      <c r="C4510" s="5" t="str">
        <f>IFERROR(__xludf.DUMMYFUNCTION("""COMPUTED_VALUE"""),"https://drive.google.com/file/d/1EWqgGUzaLtFw9MlzRYaBoSn8HlayWAS3/view?usp=drivesdk")</f>
        <v>https://drive.google.com/file/d/1EWqgGUzaLtFw9MlzRYaBoSn8HlayWAS3/view?usp=drivesdk</v>
      </c>
      <c r="D4510" s="12"/>
      <c r="E4510" s="11">
        <v>4548.0</v>
      </c>
      <c r="F4510" s="2"/>
    </row>
    <row r="4511" ht="1.5" customHeight="1">
      <c r="A4511" s="4" t="str">
        <f>IFERROR(__xludf.DUMMYFUNCTION("""COMPUTED_VALUE"""),"30. Pepper")</f>
        <v>30. Pepper</v>
      </c>
      <c r="B4511" s="4" t="str">
        <f>IFERROR(__xludf.DUMMYFUNCTION("""COMPUTED_VALUE"""),"30")</f>
        <v>30</v>
      </c>
      <c r="C4511" s="5" t="str">
        <f>IFERROR(__xludf.DUMMYFUNCTION("""COMPUTED_VALUE"""),"https://drive.google.com/file/d/1ErpkTfl7DoMXfQm3-pEyYQnL8DPeC00B/view?usp=drivesdk")</f>
        <v>https://drive.google.com/file/d/1ErpkTfl7DoMXfQm3-pEyYQnL8DPeC00B/view?usp=drivesdk</v>
      </c>
      <c r="D4511" s="12"/>
      <c r="E4511" s="11">
        <v>4549.0</v>
      </c>
      <c r="F4511" s="2"/>
    </row>
    <row r="4512" ht="1.5" customHeight="1">
      <c r="A4512" s="4" t="str">
        <f>IFERROR(__xludf.DUMMYFUNCTION("""COMPUTED_VALUE"""),"2. Twix")</f>
        <v>2. Twix</v>
      </c>
      <c r="B4512" s="4" t="str">
        <f>IFERROR(__xludf.DUMMYFUNCTION("""COMPUTED_VALUE"""),"2")</f>
        <v>2</v>
      </c>
      <c r="C4512" s="5" t="str">
        <f>IFERROR(__xludf.DUMMYFUNCTION("""COMPUTED_VALUE"""),"https://drive.google.com/file/d/14T8_kLsV3NAq4aRayMGXvMQVG2YlbV9h/view?usp=drivesdk")</f>
        <v>https://drive.google.com/file/d/14T8_kLsV3NAq4aRayMGXvMQVG2YlbV9h/view?usp=drivesdk</v>
      </c>
      <c r="D4512" s="12"/>
      <c r="E4512" s="11">
        <v>4550.0</v>
      </c>
      <c r="F4512" s="2"/>
    </row>
    <row r="4513" ht="1.5" customHeight="1">
      <c r="A4513" s="4" t="str">
        <f>IFERROR(__xludf.DUMMYFUNCTION("""COMPUTED_VALUE"""),"6. Snickers")</f>
        <v>6. Snickers</v>
      </c>
      <c r="B4513" s="4" t="str">
        <f>IFERROR(__xludf.DUMMYFUNCTION("""COMPUTED_VALUE"""),"6")</f>
        <v>6</v>
      </c>
      <c r="C4513" s="5" t="str">
        <f>IFERROR(__xludf.DUMMYFUNCTION("""COMPUTED_VALUE"""),"https://drive.google.com/file/d/1DGeh_fqIsWGQ9QN2a5QQnERf49wdqb9H/view?usp=drivesdk")</f>
        <v>https://drive.google.com/file/d/1DGeh_fqIsWGQ9QN2a5QQnERf49wdqb9H/view?usp=drivesdk</v>
      </c>
      <c r="D4513" s="12"/>
      <c r="E4513" s="11">
        <v>4551.0</v>
      </c>
      <c r="F4513" s="2"/>
    </row>
    <row r="4514" ht="1.5" customHeight="1">
      <c r="A4514" s="4" t="str">
        <f>IFERROR(__xludf.DUMMYFUNCTION("""COMPUTED_VALUE"""),"6. Snickers")</f>
        <v>6. Snickers</v>
      </c>
      <c r="B4514" s="4" t="str">
        <f>IFERROR(__xludf.DUMMYFUNCTION("""COMPUTED_VALUE"""),"6")</f>
        <v>6</v>
      </c>
      <c r="C4514" s="5" t="str">
        <f>IFERROR(__xludf.DUMMYFUNCTION("""COMPUTED_VALUE"""),"https://drive.google.com/file/d/1oFStxA6KQJbExx5Z-RF6Z3-1BJ2IQA6r/view?usp=drivesdk")</f>
        <v>https://drive.google.com/file/d/1oFStxA6KQJbExx5Z-RF6Z3-1BJ2IQA6r/view?usp=drivesdk</v>
      </c>
      <c r="D4514" s="12"/>
      <c r="E4514" s="11">
        <v>4552.0</v>
      </c>
      <c r="F4514" s="2"/>
    </row>
    <row r="4515" ht="1.5" customHeight="1">
      <c r="A4515" s="4" t="str">
        <f>IFERROR(__xludf.DUMMYFUNCTION("""COMPUTED_VALUE"""),"6. Snickers")</f>
        <v>6. Snickers</v>
      </c>
      <c r="B4515" s="4" t="str">
        <f>IFERROR(__xludf.DUMMYFUNCTION("""COMPUTED_VALUE"""),"6")</f>
        <v>6</v>
      </c>
      <c r="C4515" s="5" t="str">
        <f>IFERROR(__xludf.DUMMYFUNCTION("""COMPUTED_VALUE"""),"https://drive.google.com/file/d/1bqGcl0Sbnf0se7KYn1Q9Ta2fmoUiTfZz/view?usp=drivesdk")</f>
        <v>https://drive.google.com/file/d/1bqGcl0Sbnf0se7KYn1Q9Ta2fmoUiTfZz/view?usp=drivesdk</v>
      </c>
      <c r="D4515" s="12"/>
      <c r="E4515" s="11">
        <v>4553.0</v>
      </c>
      <c r="F4515" s="2"/>
    </row>
    <row r="4516" ht="1.5" customHeight="1">
      <c r="A4516" s="4" t="str">
        <f>IFERROR(__xludf.DUMMYFUNCTION("""COMPUTED_VALUE"""),"1. Microwave")</f>
        <v>1. Microwave</v>
      </c>
      <c r="B4516" s="4" t="str">
        <f>IFERROR(__xludf.DUMMYFUNCTION("""COMPUTED_VALUE"""),"1")</f>
        <v>1</v>
      </c>
      <c r="C4516" s="5" t="str">
        <f>IFERROR(__xludf.DUMMYFUNCTION("""COMPUTED_VALUE"""),"https://drive.google.com/file/d/1eDxoRqRs_c9WREpA94H5KwUhwHrPVUi2/view?usp=drivesdk")</f>
        <v>https://drive.google.com/file/d/1eDxoRqRs_c9WREpA94H5KwUhwHrPVUi2/view?usp=drivesdk</v>
      </c>
      <c r="D4516" s="12"/>
      <c r="E4516" s="11">
        <v>4554.0</v>
      </c>
      <c r="F4516" s="2"/>
    </row>
    <row r="4517" ht="1.5" customHeight="1">
      <c r="A4517" s="4" t="str">
        <f>IFERROR(__xludf.DUMMYFUNCTION("""COMPUTED_VALUE"""),"1. Microwave")</f>
        <v>1. Microwave</v>
      </c>
      <c r="B4517" s="4" t="str">
        <f>IFERROR(__xludf.DUMMYFUNCTION("""COMPUTED_VALUE"""),"1")</f>
        <v>1</v>
      </c>
      <c r="C4517" s="5" t="str">
        <f>IFERROR(__xludf.DUMMYFUNCTION("""COMPUTED_VALUE"""),"https://drive.google.com/file/d/1b2pU4hBjW3utto8D4n37c8p96kaoMThQ/view?usp=drivesdk")</f>
        <v>https://drive.google.com/file/d/1b2pU4hBjW3utto8D4n37c8p96kaoMThQ/view?usp=drivesdk</v>
      </c>
      <c r="D4517" s="12"/>
      <c r="E4517" s="11">
        <v>4555.0</v>
      </c>
      <c r="F4517" s="2"/>
    </row>
    <row r="4518" ht="1.5" customHeight="1">
      <c r="A4518" s="4" t="str">
        <f>IFERROR(__xludf.DUMMYFUNCTION("""COMPUTED_VALUE"""),"1. Microwave")</f>
        <v>1. Microwave</v>
      </c>
      <c r="B4518" s="4" t="str">
        <f>IFERROR(__xludf.DUMMYFUNCTION("""COMPUTED_VALUE"""),"1")</f>
        <v>1</v>
      </c>
      <c r="C4518" s="5" t="str">
        <f>IFERROR(__xludf.DUMMYFUNCTION("""COMPUTED_VALUE"""),"https://drive.google.com/file/d/1WfQX99bsRF-PRogEqZmmypNGpJJHlTxr/view?usp=drivesdk")</f>
        <v>https://drive.google.com/file/d/1WfQX99bsRF-PRogEqZmmypNGpJJHlTxr/view?usp=drivesdk</v>
      </c>
      <c r="D4518" s="12"/>
      <c r="E4518" s="11">
        <v>4556.0</v>
      </c>
      <c r="F4518" s="2"/>
    </row>
    <row r="4519" ht="1.5" customHeight="1">
      <c r="A4519" s="4" t="str">
        <f>IFERROR(__xludf.DUMMYFUNCTION("""COMPUTED_VALUE"""),"6. Snickers")</f>
        <v>6. Snickers</v>
      </c>
      <c r="B4519" s="4" t="str">
        <f>IFERROR(__xludf.DUMMYFUNCTION("""COMPUTED_VALUE"""),"6")</f>
        <v>6</v>
      </c>
      <c r="C4519" s="5" t="str">
        <f>IFERROR(__xludf.DUMMYFUNCTION("""COMPUTED_VALUE"""),"https://drive.google.com/file/d/1veJeyvY14z3y3l_Bu5lZIr7vWGLd4zHX/view?usp=drivesdk")</f>
        <v>https://drive.google.com/file/d/1veJeyvY14z3y3l_Bu5lZIr7vWGLd4zHX/view?usp=drivesdk</v>
      </c>
      <c r="D4519" s="12"/>
      <c r="E4519" s="11">
        <v>4557.0</v>
      </c>
      <c r="F4519" s="2"/>
    </row>
    <row r="4520" ht="1.5" customHeight="1">
      <c r="A4520" s="4" t="str">
        <f>IFERROR(__xludf.DUMMYFUNCTION("""COMPUTED_VALUE"""),"49. Freya, 50. Thor")</f>
        <v>49. Freya, 50. Thor</v>
      </c>
      <c r="B4520" s="4" t="str">
        <f>IFERROR(__xludf.DUMMYFUNCTION("""COMPUTED_VALUE"""),"49, 50")</f>
        <v>49, 50</v>
      </c>
      <c r="C4520" s="5" t="str">
        <f>IFERROR(__xludf.DUMMYFUNCTION("""COMPUTED_VALUE"""),"https://drive.google.com/file/d/1dHgvhUrgJeh36OcHJ-mjfXe8u8WICJje/view?usp=drivesdk")</f>
        <v>https://drive.google.com/file/d/1dHgvhUrgJeh36OcHJ-mjfXe8u8WICJje/view?usp=drivesdk</v>
      </c>
      <c r="D4520" s="12"/>
      <c r="E4520" s="11">
        <v>4558.0</v>
      </c>
      <c r="F4520" s="2"/>
    </row>
    <row r="4521" ht="1.5" customHeight="1">
      <c r="A4521" s="4" t="str">
        <f>IFERROR(__xludf.DUMMYFUNCTION("""COMPUTED_VALUE"""),"27. Angel, 30. Pepper, 32. Noir, 29. Ginger, 33. Zee")</f>
        <v>27. Angel, 30. Pepper, 32. Noir, 29. Ginger, 33. Zee</v>
      </c>
      <c r="B4521" s="4" t="str">
        <f>IFERROR(__xludf.DUMMYFUNCTION("""COMPUTED_VALUE"""),"27, 30, 32, 29, 33")</f>
        <v>27, 30, 32, 29, 33</v>
      </c>
      <c r="C4521" s="5" t="str">
        <f>IFERROR(__xludf.DUMMYFUNCTION("""COMPUTED_VALUE"""),"https://drive.google.com/file/d/1HcFtQo_rqx6M0k3AfH_XmFXGnA_yMAVh/view?usp=drivesdk")</f>
        <v>https://drive.google.com/file/d/1HcFtQo_rqx6M0k3AfH_XmFXGnA_yMAVh/view?usp=drivesdk</v>
      </c>
      <c r="D4521" s="12"/>
      <c r="E4521" s="11">
        <v>4559.0</v>
      </c>
      <c r="F4521" s="2"/>
    </row>
    <row r="4522" ht="1.5" customHeight="1">
      <c r="A4522" s="4" t="str">
        <f>IFERROR(__xludf.DUMMYFUNCTION("""COMPUTED_VALUE"""),"63. Mr Stinky")</f>
        <v>63. Mr Stinky</v>
      </c>
      <c r="B4522" s="4" t="str">
        <f>IFERROR(__xludf.DUMMYFUNCTION("""COMPUTED_VALUE"""),"63")</f>
        <v>63</v>
      </c>
      <c r="C4522" s="5" t="str">
        <f>IFERROR(__xludf.DUMMYFUNCTION("""COMPUTED_VALUE"""),"https://drive.google.com/file/d/16vUA2Q2MgnAzi2zkPir9Q-_IlaOj4kMu/view?usp=drivesdk")</f>
        <v>https://drive.google.com/file/d/16vUA2Q2MgnAzi2zkPir9Q-_IlaOj4kMu/view?usp=drivesdk</v>
      </c>
      <c r="D4522" s="12"/>
      <c r="E4522" s="11">
        <v>4560.0</v>
      </c>
      <c r="F4522" s="2"/>
    </row>
    <row r="4523" ht="1.5" customHeight="1">
      <c r="A4523" s="4" t="str">
        <f>IFERROR(__xludf.DUMMYFUNCTION("""COMPUTED_VALUE"""),"29. Ginger")</f>
        <v>29. Ginger</v>
      </c>
      <c r="B4523" s="4" t="str">
        <f>IFERROR(__xludf.DUMMYFUNCTION("""COMPUTED_VALUE"""),"29")</f>
        <v>29</v>
      </c>
      <c r="C4523" s="5" t="str">
        <f>IFERROR(__xludf.DUMMYFUNCTION("""COMPUTED_VALUE"""),"https://drive.google.com/file/d/1PNfbPVLzelOjlWx0jMDlvIlKXJUpDtYS/view?usp=drivesdk")</f>
        <v>https://drive.google.com/file/d/1PNfbPVLzelOjlWx0jMDlvIlKXJUpDtYS/view?usp=drivesdk</v>
      </c>
      <c r="D4523" s="12"/>
      <c r="E4523" s="11">
        <v>4561.0</v>
      </c>
      <c r="F4523" s="2"/>
    </row>
    <row r="4524" ht="1.5" customHeight="1">
      <c r="A4524" s="4" t="str">
        <f>IFERROR(__xludf.DUMMYFUNCTION("""COMPUTED_VALUE"""),"32. Noir, 27. Angel, 29. Ginger, 33. Zee")</f>
        <v>32. Noir, 27. Angel, 29. Ginger, 33. Zee</v>
      </c>
      <c r="B4524" s="4" t="str">
        <f>IFERROR(__xludf.DUMMYFUNCTION("""COMPUTED_VALUE"""),"32, 27, 29, 33")</f>
        <v>32, 27, 29, 33</v>
      </c>
      <c r="C4524" s="5" t="str">
        <f>IFERROR(__xludf.DUMMYFUNCTION("""COMPUTED_VALUE"""),"https://drive.google.com/file/d/1WdwrZZr2kIyp42qE43-yDWEmIVWPWa6-/view?usp=drivesdk")</f>
        <v>https://drive.google.com/file/d/1WdwrZZr2kIyp42qE43-yDWEmIVWPWa6-/view?usp=drivesdk</v>
      </c>
      <c r="D4524" s="12"/>
      <c r="E4524" s="11">
        <v>4562.0</v>
      </c>
      <c r="F4524" s="2"/>
    </row>
    <row r="4525" ht="1.5" customHeight="1">
      <c r="A4525" s="4" t="str">
        <f>IFERROR(__xludf.DUMMYFUNCTION("""COMPUTED_VALUE"""),"5. Eraser")</f>
        <v>5. Eraser</v>
      </c>
      <c r="B4525" s="4" t="str">
        <f>IFERROR(__xludf.DUMMYFUNCTION("""COMPUTED_VALUE"""),"5")</f>
        <v>5</v>
      </c>
      <c r="C4525" s="5" t="str">
        <f>IFERROR(__xludf.DUMMYFUNCTION("""COMPUTED_VALUE"""),"https://drive.google.com/file/d/1s1nsOQ4vZdJ6oNmPy9D3L0od4RjzbY3L/view?usp=drivesdk")</f>
        <v>https://drive.google.com/file/d/1s1nsOQ4vZdJ6oNmPy9D3L0od4RjzbY3L/view?usp=drivesdk</v>
      </c>
      <c r="D4525" s="12"/>
      <c r="E4525" s="11">
        <v>4563.0</v>
      </c>
      <c r="F4525" s="2"/>
    </row>
    <row r="4526" ht="1.5" customHeight="1">
      <c r="A4526" s="4" t="str">
        <f>IFERROR(__xludf.DUMMYFUNCTION("""COMPUTED_VALUE"""),"5. Eraser")</f>
        <v>5. Eraser</v>
      </c>
      <c r="B4526" s="4" t="str">
        <f>IFERROR(__xludf.DUMMYFUNCTION("""COMPUTED_VALUE"""),"5")</f>
        <v>5</v>
      </c>
      <c r="C4526" s="5" t="str">
        <f>IFERROR(__xludf.DUMMYFUNCTION("""COMPUTED_VALUE"""),"https://drive.google.com/file/d/1AV7XIbUkRnqX5OTgUu9gES3_giIST5y7/view?usp=drivesdk")</f>
        <v>https://drive.google.com/file/d/1AV7XIbUkRnqX5OTgUu9gES3_giIST5y7/view?usp=drivesdk</v>
      </c>
      <c r="D4526" s="12"/>
      <c r="E4526" s="11">
        <v>4564.0</v>
      </c>
      <c r="F4526" s="2"/>
    </row>
    <row r="4527" ht="1.5" customHeight="1">
      <c r="A4527" s="4" t="str">
        <f>IFERROR(__xludf.DUMMYFUNCTION("""COMPUTED_VALUE"""),"33. Zee")</f>
        <v>33. Zee</v>
      </c>
      <c r="B4527" s="4" t="str">
        <f>IFERROR(__xludf.DUMMYFUNCTION("""COMPUTED_VALUE"""),"33")</f>
        <v>33</v>
      </c>
      <c r="C4527" s="5" t="str">
        <f>IFERROR(__xludf.DUMMYFUNCTION("""COMPUTED_VALUE"""),"https://drive.google.com/file/d/19ZIsy1IDc0Ilgjl1ViHm_QcxcgtxThW3/view?usp=drivesdk")</f>
        <v>https://drive.google.com/file/d/19ZIsy1IDc0Ilgjl1ViHm_QcxcgtxThW3/view?usp=drivesdk</v>
      </c>
      <c r="D4527" s="12"/>
      <c r="E4527" s="11">
        <v>4565.0</v>
      </c>
      <c r="F4527" s="2"/>
    </row>
    <row r="4528" ht="1.5" customHeight="1">
      <c r="A4528" s="4" t="str">
        <f>IFERROR(__xludf.DUMMYFUNCTION("""COMPUTED_VALUE"""),"27. Angel, 30. Pepper, 29. Ginger")</f>
        <v>27. Angel, 30. Pepper, 29. Ginger</v>
      </c>
      <c r="B4528" s="4" t="str">
        <f>IFERROR(__xludf.DUMMYFUNCTION("""COMPUTED_VALUE"""),"27, 30, 29")</f>
        <v>27, 30, 29</v>
      </c>
      <c r="C4528" s="5" t="str">
        <f>IFERROR(__xludf.DUMMYFUNCTION("""COMPUTED_VALUE"""),"https://drive.google.com/file/d/1m2CTL80YlOdIctLpYBZ9BSzCI_7j-xwD/view?usp=drivesdk")</f>
        <v>https://drive.google.com/file/d/1m2CTL80YlOdIctLpYBZ9BSzCI_7j-xwD/view?usp=drivesdk</v>
      </c>
      <c r="D4528" s="12"/>
      <c r="E4528" s="11">
        <v>4566.0</v>
      </c>
      <c r="F4528" s="2"/>
    </row>
    <row r="4529" ht="1.5" customHeight="1">
      <c r="A4529" s="4" t="str">
        <f>IFERROR(__xludf.DUMMYFUNCTION("""COMPUTED_VALUE"""),"68. Unnamed Noir Child")</f>
        <v>68. Unnamed Noir Child</v>
      </c>
      <c r="B4529" s="4" t="str">
        <f>IFERROR(__xludf.DUMMYFUNCTION("""COMPUTED_VALUE"""),"68")</f>
        <v>68</v>
      </c>
      <c r="C4529" s="5" t="str">
        <f>IFERROR(__xludf.DUMMYFUNCTION("""COMPUTED_VALUE"""),"https://drive.google.com/file/d/1BB91PvSddDbaHzv7cWz0mDv96J1sHEq2/view?usp=drivesdk")</f>
        <v>https://drive.google.com/file/d/1BB91PvSddDbaHzv7cWz0mDv96J1sHEq2/view?usp=drivesdk</v>
      </c>
      <c r="D4529" s="12"/>
      <c r="E4529" s="11">
        <v>4567.0</v>
      </c>
      <c r="F4529" s="2"/>
    </row>
    <row r="4530" ht="1.5" customHeight="1">
      <c r="A4530" s="4" t="str">
        <f>IFERROR(__xludf.DUMMYFUNCTION("""COMPUTED_VALUE"""),"2. Twix")</f>
        <v>2. Twix</v>
      </c>
      <c r="B4530" s="4" t="str">
        <f>IFERROR(__xludf.DUMMYFUNCTION("""COMPUTED_VALUE"""),"2")</f>
        <v>2</v>
      </c>
      <c r="C4530" s="5" t="str">
        <f>IFERROR(__xludf.DUMMYFUNCTION("""COMPUTED_VALUE"""),"https://drive.google.com/file/d/1o7wfEvbVHj3QCHZ-LjVD1OYh3UDhgmT7/view?usp=drivesdk")</f>
        <v>https://drive.google.com/file/d/1o7wfEvbVHj3QCHZ-LjVD1OYh3UDhgmT7/view?usp=drivesdk</v>
      </c>
      <c r="D4530" s="12"/>
      <c r="E4530" s="11">
        <v>4568.0</v>
      </c>
      <c r="F4530" s="2"/>
    </row>
    <row r="4531" ht="1.5" customHeight="1">
      <c r="A4531" s="4" t="str">
        <f>IFERROR(__xludf.DUMMYFUNCTION("""COMPUTED_VALUE"""),"2. Twix")</f>
        <v>2. Twix</v>
      </c>
      <c r="B4531" s="4" t="str">
        <f>IFERROR(__xludf.DUMMYFUNCTION("""COMPUTED_VALUE"""),"2")</f>
        <v>2</v>
      </c>
      <c r="C4531" s="5" t="str">
        <f>IFERROR(__xludf.DUMMYFUNCTION("""COMPUTED_VALUE"""),"https://drive.google.com/file/d/1R819PbjVleqWihTSDCW79yhELJaXMTU6/view?usp=drivesdk")</f>
        <v>https://drive.google.com/file/d/1R819PbjVleqWihTSDCW79yhELJaXMTU6/view?usp=drivesdk</v>
      </c>
      <c r="D4531" s="12"/>
      <c r="E4531" s="11">
        <v>4569.0</v>
      </c>
      <c r="F4531" s="2"/>
    </row>
    <row r="4532" ht="1.5" customHeight="1">
      <c r="A4532" s="4" t="str">
        <f>IFERROR(__xludf.DUMMYFUNCTION("""COMPUTED_VALUE"""),"30. Pepper, 29. Ginger")</f>
        <v>30. Pepper, 29. Ginger</v>
      </c>
      <c r="B4532" s="4" t="str">
        <f>IFERROR(__xludf.DUMMYFUNCTION("""COMPUTED_VALUE"""),"30, 29")</f>
        <v>30, 29</v>
      </c>
      <c r="C4532" s="5" t="str">
        <f>IFERROR(__xludf.DUMMYFUNCTION("""COMPUTED_VALUE"""),"https://drive.google.com/file/d/10oHqeT9FBFuIhKV8riskRmVaPI_qWv7Y/view?usp=drivesdk")</f>
        <v>https://drive.google.com/file/d/10oHqeT9FBFuIhKV8riskRmVaPI_qWv7Y/view?usp=drivesdk</v>
      </c>
      <c r="D4532" s="12"/>
      <c r="E4532" s="11">
        <v>4570.0</v>
      </c>
      <c r="F4532" s="2"/>
    </row>
    <row r="4533" ht="1.5" customHeight="1">
      <c r="A4533" s="4" t="str">
        <f>IFERROR(__xludf.DUMMYFUNCTION("""COMPUTED_VALUE"""),"27. Angel, 30. Pepper, 29. Ginger")</f>
        <v>27. Angel, 30. Pepper, 29. Ginger</v>
      </c>
      <c r="B4533" s="4" t="str">
        <f>IFERROR(__xludf.DUMMYFUNCTION("""COMPUTED_VALUE"""),"27, 30, 29")</f>
        <v>27, 30, 29</v>
      </c>
      <c r="C4533" s="5" t="str">
        <f>IFERROR(__xludf.DUMMYFUNCTION("""COMPUTED_VALUE"""),"https://drive.google.com/file/d/1Zz0gVyYAhP76fFLiZBYbB4MwzLRT1Op0/view?usp=drivesdk")</f>
        <v>https://drive.google.com/file/d/1Zz0gVyYAhP76fFLiZBYbB4MwzLRT1Op0/view?usp=drivesdk</v>
      </c>
      <c r="D4533" s="12"/>
      <c r="E4533" s="11">
        <v>4571.0</v>
      </c>
      <c r="F4533" s="2"/>
    </row>
    <row r="4534" ht="1.5" customHeight="1">
      <c r="A4534" s="4" t="str">
        <f>IFERROR(__xludf.DUMMYFUNCTION("""COMPUTED_VALUE"""),"33. Zee")</f>
        <v>33. Zee</v>
      </c>
      <c r="B4534" s="4" t="str">
        <f>IFERROR(__xludf.DUMMYFUNCTION("""COMPUTED_VALUE"""),"33")</f>
        <v>33</v>
      </c>
      <c r="C4534" s="5" t="str">
        <f>IFERROR(__xludf.DUMMYFUNCTION("""COMPUTED_VALUE"""),"https://drive.google.com/file/d/17msqWhK0zt5SoTmQcj6_PRh4n8wqPF1v/view?usp=drivesdk")</f>
        <v>https://drive.google.com/file/d/17msqWhK0zt5SoTmQcj6_PRh4n8wqPF1v/view?usp=drivesdk</v>
      </c>
      <c r="D4534" s="12"/>
      <c r="E4534" s="11">
        <v>4572.0</v>
      </c>
      <c r="F4534" s="2"/>
    </row>
    <row r="4535" ht="1.5" customHeight="1">
      <c r="A4535" s="4" t="str">
        <f>IFERROR(__xludf.DUMMYFUNCTION("""COMPUTED_VALUE"""),"30. Pepper")</f>
        <v>30. Pepper</v>
      </c>
      <c r="B4535" s="4" t="str">
        <f>IFERROR(__xludf.DUMMYFUNCTION("""COMPUTED_VALUE"""),"30")</f>
        <v>30</v>
      </c>
      <c r="C4535" s="5" t="str">
        <f>IFERROR(__xludf.DUMMYFUNCTION("""COMPUTED_VALUE"""),"https://drive.google.com/file/d/1wkEDR0iOtPn80Lxm5GBCML5OMBPQZ1QX/view?usp=drivesdk")</f>
        <v>https://drive.google.com/file/d/1wkEDR0iOtPn80Lxm5GBCML5OMBPQZ1QX/view?usp=drivesdk</v>
      </c>
      <c r="D4535" s="12"/>
      <c r="E4535" s="11">
        <v>4573.0</v>
      </c>
      <c r="F4535" s="2"/>
    </row>
    <row r="4536" ht="1.5" customHeight="1">
      <c r="A4536" s="4" t="str">
        <f>IFERROR(__xludf.DUMMYFUNCTION("""COMPUTED_VALUE"""),"29. Ginger")</f>
        <v>29. Ginger</v>
      </c>
      <c r="B4536" s="4" t="str">
        <f>IFERROR(__xludf.DUMMYFUNCTION("""COMPUTED_VALUE"""),"29")</f>
        <v>29</v>
      </c>
      <c r="C4536" s="5" t="str">
        <f>IFERROR(__xludf.DUMMYFUNCTION("""COMPUTED_VALUE"""),"https://drive.google.com/file/d/1eyg3_HB1VXryhblTjww11g1R3vXyFb5R/view?usp=drivesdk")</f>
        <v>https://drive.google.com/file/d/1eyg3_HB1VXryhblTjww11g1R3vXyFb5R/view?usp=drivesdk</v>
      </c>
      <c r="D4536" s="12"/>
      <c r="E4536" s="11">
        <v>4574.0</v>
      </c>
      <c r="F4536" s="2"/>
    </row>
    <row r="4537" ht="1.5" customHeight="1">
      <c r="A4537" s="4" t="str">
        <f>IFERROR(__xludf.DUMMYFUNCTION("""COMPUTED_VALUE"""),"1. Microwave")</f>
        <v>1. Microwave</v>
      </c>
      <c r="B4537" s="4" t="str">
        <f>IFERROR(__xludf.DUMMYFUNCTION("""COMPUTED_VALUE"""),"1")</f>
        <v>1</v>
      </c>
      <c r="C4537" s="5" t="str">
        <f>IFERROR(__xludf.DUMMYFUNCTION("""COMPUTED_VALUE"""),"https://drive.google.com/file/d/1f2oblcGqDuRbGcBOxW0gFqsrMl3-vM5i/view?usp=drivesdk")</f>
        <v>https://drive.google.com/file/d/1f2oblcGqDuRbGcBOxW0gFqsrMl3-vM5i/view?usp=drivesdk</v>
      </c>
      <c r="D4537" s="12"/>
      <c r="E4537" s="11">
        <v>4575.0</v>
      </c>
      <c r="F4537" s="2"/>
    </row>
    <row r="4538" ht="1.5" customHeight="1">
      <c r="A4538" s="4" t="str">
        <f>IFERROR(__xludf.DUMMYFUNCTION("""COMPUTED_VALUE"""),"44. Shitbag Cuntface, 39. Radar, 61. Cassie, 42. Rubber, 95. Ariel, 38. Winston, 47. Nefarious, 58. Eden, 45. Boots")</f>
        <v>44. Shitbag Cuntface, 39. Radar, 61. Cassie, 42. Rubber, 95. Ariel, 38. Winston, 47. Nefarious, 58. Eden, 45. Boots</v>
      </c>
      <c r="B4538" s="4" t="str">
        <f>IFERROR(__xludf.DUMMYFUNCTION("""COMPUTED_VALUE"""),"44, 39, 61, 42, 95, 38, 47, 58, 45")</f>
        <v>44, 39, 61, 42, 95, 38, 47, 58, 45</v>
      </c>
      <c r="C4538" s="5" t="str">
        <f>IFERROR(__xludf.DUMMYFUNCTION("""COMPUTED_VALUE"""),"https://drive.google.com/file/d/1C2QgEnkdeXahxzLtP0AnGHzNFeVUcWkD/view?usp=drivesdk")</f>
        <v>https://drive.google.com/file/d/1C2QgEnkdeXahxzLtP0AnGHzNFeVUcWkD/view?usp=drivesdk</v>
      </c>
      <c r="D4538" s="12"/>
      <c r="E4538" s="11">
        <v>4576.0</v>
      </c>
      <c r="F4538" s="2"/>
    </row>
    <row r="4539" ht="1.5" customHeight="1">
      <c r="A4539" s="4" t="str">
        <f>IFERROR(__xludf.DUMMYFUNCTION("""COMPUTED_VALUE"""),"44. Shitbag Cuntface, 61. Cassie, 39. Radar")</f>
        <v>44. Shitbag Cuntface, 61. Cassie, 39. Radar</v>
      </c>
      <c r="B4539" s="4" t="str">
        <f>IFERROR(__xludf.DUMMYFUNCTION("""COMPUTED_VALUE"""),"44, 61, 39")</f>
        <v>44, 61, 39</v>
      </c>
      <c r="C4539" s="5" t="str">
        <f>IFERROR(__xludf.DUMMYFUNCTION("""COMPUTED_VALUE"""),"https://drive.google.com/file/d/1b61_nvtqd29z8d6fHJrYKWpEdL8X0i57/view?usp=drivesdk")</f>
        <v>https://drive.google.com/file/d/1b61_nvtqd29z8d6fHJrYKWpEdL8X0i57/view?usp=drivesdk</v>
      </c>
      <c r="D4539" s="12"/>
      <c r="E4539" s="11">
        <v>4577.0</v>
      </c>
      <c r="F4539" s="2"/>
    </row>
    <row r="4540" ht="1.5" customHeight="1">
      <c r="A4540" s="4" t="str">
        <f>IFERROR(__xludf.DUMMYFUNCTION("""COMPUTED_VALUE"""),"42. Rubber, 95. Ariel, 47. Nefarious")</f>
        <v>42. Rubber, 95. Ariel, 47. Nefarious</v>
      </c>
      <c r="B4540" s="4" t="str">
        <f>IFERROR(__xludf.DUMMYFUNCTION("""COMPUTED_VALUE"""),"42, 95, 47")</f>
        <v>42, 95, 47</v>
      </c>
      <c r="C4540" s="5" t="str">
        <f>IFERROR(__xludf.DUMMYFUNCTION("""COMPUTED_VALUE"""),"https://drive.google.com/file/d/1oVz3GKyzhglDo0H-YTeN2ZqDS5uXSspP/view?usp=drivesdk")</f>
        <v>https://drive.google.com/file/d/1oVz3GKyzhglDo0H-YTeN2ZqDS5uXSspP/view?usp=drivesdk</v>
      </c>
      <c r="D4540" s="12"/>
      <c r="E4540" s="11">
        <v>4578.0</v>
      </c>
      <c r="F4540" s="2"/>
    </row>
    <row r="4541" ht="1.5" customHeight="1">
      <c r="A4541" s="4" t="str">
        <f>IFERROR(__xludf.DUMMYFUNCTION("""COMPUTED_VALUE"""),"42. Rubber, 95. Ariel")</f>
        <v>42. Rubber, 95. Ariel</v>
      </c>
      <c r="B4541" s="4" t="str">
        <f>IFERROR(__xludf.DUMMYFUNCTION("""COMPUTED_VALUE"""),"42, 95")</f>
        <v>42, 95</v>
      </c>
      <c r="C4541" s="5" t="str">
        <f>IFERROR(__xludf.DUMMYFUNCTION("""COMPUTED_VALUE"""),"https://drive.google.com/file/d/1djLfTZ7ayEPdJKmC-3y0PK6DZdRD-8Jr/view?usp=drivesdk")</f>
        <v>https://drive.google.com/file/d/1djLfTZ7ayEPdJKmC-3y0PK6DZdRD-8Jr/view?usp=drivesdk</v>
      </c>
      <c r="D4541" s="12"/>
      <c r="E4541" s="11">
        <v>4579.0</v>
      </c>
      <c r="F4541" s="2"/>
    </row>
    <row r="4542" ht="1.5" customHeight="1">
      <c r="A4542" s="4" t="str">
        <f>IFERROR(__xludf.DUMMYFUNCTION("""COMPUTED_VALUE"""),"47. Nefarious, 38. Winston, 58. Eden, 42. Rubber, 95. Ariel, 44. Shitbag Cuntface, 45. Boots, 40. Dumpster, 55. Callie, 39. Radar")</f>
        <v>47. Nefarious, 38. Winston, 58. Eden, 42. Rubber, 95. Ariel, 44. Shitbag Cuntface, 45. Boots, 40. Dumpster, 55. Callie, 39. Radar</v>
      </c>
      <c r="B4542" s="4" t="str">
        <f>IFERROR(__xludf.DUMMYFUNCTION("""COMPUTED_VALUE"""),"47, 38, 58, 42, 95, 44, 45, 40, 55, 39")</f>
        <v>47, 38, 58, 42, 95, 44, 45, 40, 55, 39</v>
      </c>
      <c r="C4542" s="5" t="str">
        <f>IFERROR(__xludf.DUMMYFUNCTION("""COMPUTED_VALUE"""),"https://drive.google.com/file/d/1QNcklmKws2IYRB8qA_bNhCZsGCPWwk-B/view?usp=drivesdk")</f>
        <v>https://drive.google.com/file/d/1QNcklmKws2IYRB8qA_bNhCZsGCPWwk-B/view?usp=drivesdk</v>
      </c>
      <c r="D4542" s="12"/>
      <c r="E4542" s="11">
        <v>4580.0</v>
      </c>
      <c r="F4542" s="2"/>
    </row>
    <row r="4543" ht="1.5" customHeight="1">
      <c r="A4543" s="4" t="str">
        <f>IFERROR(__xludf.DUMMYFUNCTION("""COMPUTED_VALUE"""),"58. Eden, 42. Rubber, 44. Shitbag Cuntface, 41. Gregory, 61. Cassie, 45. Boots, 47. Nefarious, 38. Winston")</f>
        <v>58. Eden, 42. Rubber, 44. Shitbag Cuntface, 41. Gregory, 61. Cassie, 45. Boots, 47. Nefarious, 38. Winston</v>
      </c>
      <c r="B4543" s="4" t="str">
        <f>IFERROR(__xludf.DUMMYFUNCTION("""COMPUTED_VALUE"""),"58, 42, 44, 41, 61, 45, 47, 38")</f>
        <v>58, 42, 44, 41, 61, 45, 47, 38</v>
      </c>
      <c r="C4543" s="5" t="str">
        <f>IFERROR(__xludf.DUMMYFUNCTION("""COMPUTED_VALUE"""),"https://drive.google.com/file/d/12zqZkEWwfMuorp_Ekz0fH2d6xPOC6KjD/view?usp=drivesdk")</f>
        <v>https://drive.google.com/file/d/12zqZkEWwfMuorp_Ekz0fH2d6xPOC6KjD/view?usp=drivesdk</v>
      </c>
      <c r="D4543" s="12"/>
      <c r="E4543" s="11">
        <v>4581.0</v>
      </c>
      <c r="F4543" s="2"/>
    </row>
    <row r="4544" ht="1.5" customHeight="1">
      <c r="A4544" s="4" t="str">
        <f>IFERROR(__xludf.DUMMYFUNCTION("""COMPUTED_VALUE"""),"38. Winston, 95. Ariel, 47. Nefarious")</f>
        <v>38. Winston, 95. Ariel, 47. Nefarious</v>
      </c>
      <c r="B4544" s="4" t="str">
        <f>IFERROR(__xludf.DUMMYFUNCTION("""COMPUTED_VALUE"""),"38, 95, 47")</f>
        <v>38, 95, 47</v>
      </c>
      <c r="C4544" s="5" t="str">
        <f>IFERROR(__xludf.DUMMYFUNCTION("""COMPUTED_VALUE"""),"https://drive.google.com/file/d/1HGxtf-DvpybVj7GaLtNUg0nnZ9IsBLwA/view?usp=drivesdk")</f>
        <v>https://drive.google.com/file/d/1HGxtf-DvpybVj7GaLtNUg0nnZ9IsBLwA/view?usp=drivesdk</v>
      </c>
      <c r="D4544" s="12"/>
      <c r="E4544" s="11">
        <v>4582.0</v>
      </c>
      <c r="F4544" s="2"/>
    </row>
    <row r="4545" ht="1.5" customHeight="1">
      <c r="A4545" s="4" t="str">
        <f>IFERROR(__xludf.DUMMYFUNCTION("""COMPUTED_VALUE"""),"38. Winston, 47. Nefarious, 39. Radar")</f>
        <v>38. Winston, 47. Nefarious, 39. Radar</v>
      </c>
      <c r="B4545" s="4" t="str">
        <f>IFERROR(__xludf.DUMMYFUNCTION("""COMPUTED_VALUE"""),"38, 47, 39")</f>
        <v>38, 47, 39</v>
      </c>
      <c r="C4545" s="5" t="str">
        <f>IFERROR(__xludf.DUMMYFUNCTION("""COMPUTED_VALUE"""),"https://drive.google.com/file/d/1VRgNkZ-pLC75hwNio8qox-2oCzlyPRWk/view?usp=drivesdk")</f>
        <v>https://drive.google.com/file/d/1VRgNkZ-pLC75hwNio8qox-2oCzlyPRWk/view?usp=drivesdk</v>
      </c>
      <c r="D4545" s="12"/>
      <c r="E4545" s="11">
        <v>4583.0</v>
      </c>
      <c r="F4545" s="2"/>
    </row>
    <row r="4546" ht="1.5" customHeight="1">
      <c r="A4546" s="4" t="str">
        <f>IFERROR(__xludf.DUMMYFUNCTION("""COMPUTED_VALUE"""),"12. Faye")</f>
        <v>12. Faye</v>
      </c>
      <c r="B4546" s="4" t="str">
        <f>IFERROR(__xludf.DUMMYFUNCTION("""COMPUTED_VALUE"""),"12")</f>
        <v>12</v>
      </c>
      <c r="C4546" s="5" t="str">
        <f>IFERROR(__xludf.DUMMYFUNCTION("""COMPUTED_VALUE"""),"https://drive.google.com/file/d/1A4VqZO9cA9aoMsbUuPajzmlFttG42P2u/view?usp=drivesdk")</f>
        <v>https://drive.google.com/file/d/1A4VqZO9cA9aoMsbUuPajzmlFttG42P2u/view?usp=drivesdk</v>
      </c>
      <c r="D4546" s="12"/>
      <c r="E4546" s="11">
        <v>4584.0</v>
      </c>
      <c r="F4546" s="2"/>
    </row>
    <row r="4547" ht="1.5" customHeight="1">
      <c r="A4547" s="4" t="str">
        <f>IFERROR(__xludf.DUMMYFUNCTION("""COMPUTED_VALUE"""),"32. Noir")</f>
        <v>32. Noir</v>
      </c>
      <c r="B4547" s="4" t="str">
        <f>IFERROR(__xludf.DUMMYFUNCTION("""COMPUTED_VALUE"""),"32")</f>
        <v>32</v>
      </c>
      <c r="C4547" s="5" t="str">
        <f>IFERROR(__xludf.DUMMYFUNCTION("""COMPUTED_VALUE"""),"https://drive.google.com/file/d/11DBD8sHcTKHH5GmDRkFL9i2MSQvNZhQt/view?usp=drivesdk")</f>
        <v>https://drive.google.com/file/d/11DBD8sHcTKHH5GmDRkFL9i2MSQvNZhQt/view?usp=drivesdk</v>
      </c>
      <c r="D4547" s="12"/>
      <c r="E4547" s="11">
        <v>4585.0</v>
      </c>
      <c r="F4547" s="2"/>
    </row>
    <row r="4548" ht="1.5" customHeight="1">
      <c r="A4548" s="4" t="str">
        <f>IFERROR(__xludf.DUMMYFUNCTION("""COMPUTED_VALUE"""),"48. Houdini")</f>
        <v>48. Houdini</v>
      </c>
      <c r="B4548" s="4" t="str">
        <f>IFERROR(__xludf.DUMMYFUNCTION("""COMPUTED_VALUE"""),"48")</f>
        <v>48</v>
      </c>
      <c r="C4548" s="5" t="str">
        <f>IFERROR(__xludf.DUMMYFUNCTION("""COMPUTED_VALUE"""),"https://drive.google.com/file/d/1IV9p_I7wTT6pJji22GqPOE2w_a9uoPtr/view?usp=drivesdk")</f>
        <v>https://drive.google.com/file/d/1IV9p_I7wTT6pJji22GqPOE2w_a9uoPtr/view?usp=drivesdk</v>
      </c>
      <c r="D4548" s="12"/>
      <c r="E4548" s="11">
        <v>4586.0</v>
      </c>
      <c r="F4548" s="2"/>
    </row>
    <row r="4549" ht="1.5" customHeight="1">
      <c r="A4549" s="4" t="str">
        <f>IFERROR(__xludf.DUMMYFUNCTION("""COMPUTED_VALUE"""),"48. Houdini")</f>
        <v>48. Houdini</v>
      </c>
      <c r="B4549" s="4" t="str">
        <f>IFERROR(__xludf.DUMMYFUNCTION("""COMPUTED_VALUE"""),"48")</f>
        <v>48</v>
      </c>
      <c r="C4549" s="5" t="str">
        <f>IFERROR(__xludf.DUMMYFUNCTION("""COMPUTED_VALUE"""),"https://drive.google.com/file/d/1LhID0Tjozkp9xH0lshfBrCkZmLcwPxGb/view?usp=drivesdk")</f>
        <v>https://drive.google.com/file/d/1LhID0Tjozkp9xH0lshfBrCkZmLcwPxGb/view?usp=drivesdk</v>
      </c>
      <c r="D4549" s="12"/>
      <c r="E4549" s="11">
        <v>4587.0</v>
      </c>
      <c r="F4549" s="2"/>
    </row>
    <row r="4550" ht="1.5" customHeight="1">
      <c r="A4550" s="4" t="str">
        <f>IFERROR(__xludf.DUMMYFUNCTION("""COMPUTED_VALUE"""),"29. Ginger")</f>
        <v>29. Ginger</v>
      </c>
      <c r="B4550" s="4" t="str">
        <f>IFERROR(__xludf.DUMMYFUNCTION("""COMPUTED_VALUE"""),"29")</f>
        <v>29</v>
      </c>
      <c r="C4550" s="5" t="str">
        <f>IFERROR(__xludf.DUMMYFUNCTION("""COMPUTED_VALUE"""),"https://drive.google.com/file/d/1OTF-BgyRUdaLalvE7IaxNab6m579aVPs/view?usp=drivesdk")</f>
        <v>https://drive.google.com/file/d/1OTF-BgyRUdaLalvE7IaxNab6m579aVPs/view?usp=drivesdk</v>
      </c>
      <c r="D4550" s="12"/>
      <c r="E4550" s="11">
        <v>4588.0</v>
      </c>
      <c r="F4550" s="2"/>
    </row>
    <row r="4551" ht="1.5" customHeight="1">
      <c r="A4551" s="4" t="str">
        <f>IFERROR(__xludf.DUMMYFUNCTION("""COMPUTED_VALUE"""),"27. Angel")</f>
        <v>27. Angel</v>
      </c>
      <c r="B4551" s="4" t="str">
        <f>IFERROR(__xludf.DUMMYFUNCTION("""COMPUTED_VALUE"""),"27")</f>
        <v>27</v>
      </c>
      <c r="C4551" s="5" t="str">
        <f>IFERROR(__xludf.DUMMYFUNCTION("""COMPUTED_VALUE"""),"https://drive.google.com/file/d/1AS-84dWKFz670mxJJtwRz1zYQnr092VG/view?usp=drivesdk")</f>
        <v>https://drive.google.com/file/d/1AS-84dWKFz670mxJJtwRz1zYQnr092VG/view?usp=drivesdk</v>
      </c>
      <c r="D4551" s="12"/>
      <c r="E4551" s="11">
        <v>4589.0</v>
      </c>
      <c r="F4551" s="2"/>
    </row>
    <row r="4552" ht="1.5" customHeight="1">
      <c r="A4552" s="4" t="str">
        <f>IFERROR(__xludf.DUMMYFUNCTION("""COMPUTED_VALUE"""),"32. Noir")</f>
        <v>32. Noir</v>
      </c>
      <c r="B4552" s="4" t="str">
        <f>IFERROR(__xludf.DUMMYFUNCTION("""COMPUTED_VALUE"""),"32")</f>
        <v>32</v>
      </c>
      <c r="C4552" s="5" t="str">
        <f>IFERROR(__xludf.DUMMYFUNCTION("""COMPUTED_VALUE"""),"https://drive.google.com/file/d/1MMfohtC_fxWRwv-N1fHa3yyIWwmdBxaz/view?usp=drivesdk")</f>
        <v>https://drive.google.com/file/d/1MMfohtC_fxWRwv-N1fHa3yyIWwmdBxaz/view?usp=drivesdk</v>
      </c>
      <c r="D4552" s="12"/>
      <c r="E4552" s="11">
        <v>4590.0</v>
      </c>
      <c r="F4552" s="2"/>
    </row>
    <row r="4553" ht="1.5" customHeight="1">
      <c r="A4553" s="4" t="str">
        <f>IFERROR(__xludf.DUMMYFUNCTION("""COMPUTED_VALUE"""),"49. Freya")</f>
        <v>49. Freya</v>
      </c>
      <c r="B4553" s="4" t="str">
        <f>IFERROR(__xludf.DUMMYFUNCTION("""COMPUTED_VALUE"""),"49")</f>
        <v>49</v>
      </c>
      <c r="C4553" s="5" t="str">
        <f>IFERROR(__xludf.DUMMYFUNCTION("""COMPUTED_VALUE"""),"https://drive.google.com/file/d/1nhRSn67apaVzJOPEfvYy71f3mL6LUgRV/view?usp=drivesdk")</f>
        <v>https://drive.google.com/file/d/1nhRSn67apaVzJOPEfvYy71f3mL6LUgRV/view?usp=drivesdk</v>
      </c>
      <c r="D4553" s="12"/>
      <c r="E4553" s="11">
        <v>4591.0</v>
      </c>
      <c r="F4553" s="2"/>
    </row>
    <row r="4554" ht="1.5" customHeight="1">
      <c r="A4554" s="4" t="str">
        <f>IFERROR(__xludf.DUMMYFUNCTION("""COMPUTED_VALUE"""),"0. NotACat")</f>
        <v>0. NotACat</v>
      </c>
      <c r="B4554" s="4" t="str">
        <f>IFERROR(__xludf.DUMMYFUNCTION("""COMPUTED_VALUE"""),"0")</f>
        <v>0</v>
      </c>
      <c r="C4554" s="5" t="str">
        <f>IFERROR(__xludf.DUMMYFUNCTION("""COMPUTED_VALUE"""),"https://drive.google.com/file/d/1dAnQBjrtuPB2fX4gpxbP1og3MIks0pWv/view?usp=drivesdk")</f>
        <v>https://drive.google.com/file/d/1dAnQBjrtuPB2fX4gpxbP1og3MIks0pWv/view?usp=drivesdk</v>
      </c>
      <c r="D4554" s="12"/>
      <c r="E4554" s="11">
        <v>4592.0</v>
      </c>
      <c r="F4554" s="2"/>
    </row>
    <row r="4555" ht="1.5" customHeight="1">
      <c r="A4555" s="4" t="str">
        <f>IFERROR(__xludf.DUMMYFUNCTION("""COMPUTED_VALUE"""),"0. NotACat")</f>
        <v>0. NotACat</v>
      </c>
      <c r="B4555" s="4" t="str">
        <f>IFERROR(__xludf.DUMMYFUNCTION("""COMPUTED_VALUE"""),"0")</f>
        <v>0</v>
      </c>
      <c r="C4555" s="5" t="str">
        <f>IFERROR(__xludf.DUMMYFUNCTION("""COMPUTED_VALUE"""),"https://drive.google.com/file/d/1fquYYZgJCN7ibeEgfEVsfNU3-Z5D-9XW/view?usp=drivesdk")</f>
        <v>https://drive.google.com/file/d/1fquYYZgJCN7ibeEgfEVsfNU3-Z5D-9XW/view?usp=drivesdk</v>
      </c>
      <c r="D4555" s="12"/>
      <c r="E4555" s="11">
        <v>4593.0</v>
      </c>
      <c r="F4555" s="2"/>
    </row>
    <row r="4556" ht="1.5" customHeight="1">
      <c r="A4556" s="4" t="str">
        <f>IFERROR(__xludf.DUMMYFUNCTION("""COMPUTED_VALUE"""),"30. Pepper, 32. Noir")</f>
        <v>30. Pepper, 32. Noir</v>
      </c>
      <c r="B4556" s="4" t="str">
        <f>IFERROR(__xludf.DUMMYFUNCTION("""COMPUTED_VALUE"""),"30, 32")</f>
        <v>30, 32</v>
      </c>
      <c r="C4556" s="5" t="str">
        <f>IFERROR(__xludf.DUMMYFUNCTION("""COMPUTED_VALUE"""),"https://drive.google.com/file/d/1bAjrKmM3oZqTmL16Nko2OFTlbQx0A5LL/view?usp=drivesdk")</f>
        <v>https://drive.google.com/file/d/1bAjrKmM3oZqTmL16Nko2OFTlbQx0A5LL/view?usp=drivesdk</v>
      </c>
      <c r="D4556" s="12"/>
      <c r="E4556" s="11">
        <v>4594.0</v>
      </c>
      <c r="F4556" s="2"/>
    </row>
    <row r="4557" ht="1.5" customHeight="1">
      <c r="A4557" s="4" t="str">
        <f>IFERROR(__xludf.DUMMYFUNCTION("""COMPUTED_VALUE"""),"30. Pepper, 32. Noir, 29. Ginger")</f>
        <v>30. Pepper, 32. Noir, 29. Ginger</v>
      </c>
      <c r="B4557" s="4" t="str">
        <f>IFERROR(__xludf.DUMMYFUNCTION("""COMPUTED_VALUE"""),"30, 32, 29")</f>
        <v>30, 32, 29</v>
      </c>
      <c r="C4557" s="5" t="str">
        <f>IFERROR(__xludf.DUMMYFUNCTION("""COMPUTED_VALUE"""),"https://drive.google.com/file/d/1yobpctTfnApymecXlOfzjlPJF9Ivzf9F/view?usp=drivesdk")</f>
        <v>https://drive.google.com/file/d/1yobpctTfnApymecXlOfzjlPJF9Ivzf9F/view?usp=drivesdk</v>
      </c>
      <c r="D4557" s="12"/>
      <c r="E4557" s="11">
        <v>4595.0</v>
      </c>
      <c r="F4557" s="2"/>
    </row>
    <row r="4558" ht="1.5" customHeight="1">
      <c r="A4558" s="4" t="str">
        <f>IFERROR(__xludf.DUMMYFUNCTION("""COMPUTED_VALUE"""),"1. Microwave")</f>
        <v>1. Microwave</v>
      </c>
      <c r="B4558" s="4" t="str">
        <f>IFERROR(__xludf.DUMMYFUNCTION("""COMPUTED_VALUE"""),"1")</f>
        <v>1</v>
      </c>
      <c r="C4558" s="5" t="str">
        <f>IFERROR(__xludf.DUMMYFUNCTION("""COMPUTED_VALUE"""),"https://drive.google.com/file/d/1vGaYy4mZbg1MXBonkEMf8dirNPLslo1i/view?usp=drivesdk")</f>
        <v>https://drive.google.com/file/d/1vGaYy4mZbg1MXBonkEMf8dirNPLslo1i/view?usp=drivesdk</v>
      </c>
      <c r="D4558" s="12"/>
      <c r="E4558" s="11">
        <v>4596.0</v>
      </c>
      <c r="F4558" s="2"/>
    </row>
    <row r="4559" ht="1.5" customHeight="1">
      <c r="A4559" s="4" t="str">
        <f>IFERROR(__xludf.DUMMYFUNCTION("""COMPUTED_VALUE"""),"1. Microwave")</f>
        <v>1. Microwave</v>
      </c>
      <c r="B4559" s="4" t="str">
        <f>IFERROR(__xludf.DUMMYFUNCTION("""COMPUTED_VALUE"""),"1")</f>
        <v>1</v>
      </c>
      <c r="C4559" s="5" t="str">
        <f>IFERROR(__xludf.DUMMYFUNCTION("""COMPUTED_VALUE"""),"https://drive.google.com/file/d/1Cnu7oXmgcY4yb0W382JLeKBZSCeStc-4/view?usp=drivesdk")</f>
        <v>https://drive.google.com/file/d/1Cnu7oXmgcY4yb0W382JLeKBZSCeStc-4/view?usp=drivesdk</v>
      </c>
      <c r="D4559" s="12"/>
      <c r="E4559" s="11">
        <v>4597.0</v>
      </c>
      <c r="F4559" s="2"/>
    </row>
    <row r="4560" ht="1.5" customHeight="1">
      <c r="A4560" s="4" t="str">
        <f>IFERROR(__xludf.DUMMYFUNCTION("""COMPUTED_VALUE"""),"1. Microwave")</f>
        <v>1. Microwave</v>
      </c>
      <c r="B4560" s="4" t="str">
        <f>IFERROR(__xludf.DUMMYFUNCTION("""COMPUTED_VALUE"""),"1")</f>
        <v>1</v>
      </c>
      <c r="C4560" s="5" t="str">
        <f>IFERROR(__xludf.DUMMYFUNCTION("""COMPUTED_VALUE"""),"https://drive.google.com/file/d/1hpeZNjOb3pv1iSwVJOlZ9W3Lato0cchY/view?usp=drivesdk")</f>
        <v>https://drive.google.com/file/d/1hpeZNjOb3pv1iSwVJOlZ9W3Lato0cchY/view?usp=drivesdk</v>
      </c>
      <c r="D4560" s="12"/>
      <c r="E4560" s="11">
        <v>4598.0</v>
      </c>
      <c r="F4560" s="2"/>
    </row>
    <row r="4561" ht="1.5" customHeight="1">
      <c r="A4561" s="4" t="str">
        <f>IFERROR(__xludf.DUMMYFUNCTION("""COMPUTED_VALUE"""),"1. Microwave")</f>
        <v>1. Microwave</v>
      </c>
      <c r="B4561" s="4" t="str">
        <f>IFERROR(__xludf.DUMMYFUNCTION("""COMPUTED_VALUE"""),"1")</f>
        <v>1</v>
      </c>
      <c r="C4561" s="5" t="str">
        <f>IFERROR(__xludf.DUMMYFUNCTION("""COMPUTED_VALUE"""),"https://drive.google.com/file/d/1WAjnqKDLGJ0s_kSPiMNO1EE4sEkrYmTc/view?usp=drivesdk")</f>
        <v>https://drive.google.com/file/d/1WAjnqKDLGJ0s_kSPiMNO1EE4sEkrYmTc/view?usp=drivesdk</v>
      </c>
      <c r="D4561" s="12"/>
      <c r="E4561" s="11">
        <v>4599.0</v>
      </c>
      <c r="F4561" s="2"/>
    </row>
    <row r="4562" ht="1.5" customHeight="1">
      <c r="A4562" s="4" t="str">
        <f>IFERROR(__xludf.DUMMYFUNCTION("""COMPUTED_VALUE"""),"2. Twix")</f>
        <v>2. Twix</v>
      </c>
      <c r="B4562" s="4" t="str">
        <f>IFERROR(__xludf.DUMMYFUNCTION("""COMPUTED_VALUE"""),"2")</f>
        <v>2</v>
      </c>
      <c r="C4562" s="5" t="str">
        <f>IFERROR(__xludf.DUMMYFUNCTION("""COMPUTED_VALUE"""),"https://drive.google.com/file/d/1k3Do6uyonVAiInO9Awk3nkzkJROSC6Ul/view?usp=drivesdk")</f>
        <v>https://drive.google.com/file/d/1k3Do6uyonVAiInO9Awk3nkzkJROSC6Ul/view?usp=drivesdk</v>
      </c>
      <c r="D4562" s="12"/>
      <c r="E4562" s="11">
        <v>4600.0</v>
      </c>
      <c r="F4562" s="2"/>
    </row>
    <row r="4563" ht="1.5" customHeight="1">
      <c r="A4563" s="4" t="str">
        <f>IFERROR(__xludf.DUMMYFUNCTION("""COMPUTED_VALUE"""),"2. Twix")</f>
        <v>2. Twix</v>
      </c>
      <c r="B4563" s="4" t="str">
        <f>IFERROR(__xludf.DUMMYFUNCTION("""COMPUTED_VALUE"""),"2")</f>
        <v>2</v>
      </c>
      <c r="C4563" s="5" t="str">
        <f>IFERROR(__xludf.DUMMYFUNCTION("""COMPUTED_VALUE"""),"https://drive.google.com/file/d/1AKnTyZHcgjhKySD7lO3184WVmB_QfrdM/view?usp=drivesdk")</f>
        <v>https://drive.google.com/file/d/1AKnTyZHcgjhKySD7lO3184WVmB_QfrdM/view?usp=drivesdk</v>
      </c>
      <c r="D4563" s="12"/>
      <c r="E4563" s="11">
        <v>4601.0</v>
      </c>
      <c r="F4563" s="2"/>
    </row>
    <row r="4564" ht="1.5" customHeight="1">
      <c r="A4564" s="4" t="str">
        <f>IFERROR(__xludf.DUMMYFUNCTION("""COMPUTED_VALUE"""),"1. Microwave")</f>
        <v>1. Microwave</v>
      </c>
      <c r="B4564" s="4" t="str">
        <f>IFERROR(__xludf.DUMMYFUNCTION("""COMPUTED_VALUE"""),"1")</f>
        <v>1</v>
      </c>
      <c r="C4564" s="5" t="str">
        <f>IFERROR(__xludf.DUMMYFUNCTION("""COMPUTED_VALUE"""),"https://drive.google.com/file/d/1K9Vkspl3Hi0suKfKBGZnWNUJ6PACzeTa/view?usp=drivesdk")</f>
        <v>https://drive.google.com/file/d/1K9Vkspl3Hi0suKfKBGZnWNUJ6PACzeTa/view?usp=drivesdk</v>
      </c>
      <c r="D4564" s="12"/>
      <c r="E4564" s="11">
        <v>4602.0</v>
      </c>
      <c r="F4564" s="2"/>
    </row>
    <row r="4565" ht="1.5" customHeight="1">
      <c r="A4565" s="4" t="str">
        <f>IFERROR(__xludf.DUMMYFUNCTION("""COMPUTED_VALUE"""),"1. Microwave")</f>
        <v>1. Microwave</v>
      </c>
      <c r="B4565" s="4" t="str">
        <f>IFERROR(__xludf.DUMMYFUNCTION("""COMPUTED_VALUE"""),"1")</f>
        <v>1</v>
      </c>
      <c r="C4565" s="5" t="str">
        <f>IFERROR(__xludf.DUMMYFUNCTION("""COMPUTED_VALUE"""),"https://drive.google.com/file/d/1arHeCVnn97J9i0FlQuqvSMdLKDv4snPt/view?usp=drivesdk")</f>
        <v>https://drive.google.com/file/d/1arHeCVnn97J9i0FlQuqvSMdLKDv4snPt/view?usp=drivesdk</v>
      </c>
      <c r="D4565" s="12"/>
      <c r="E4565" s="11">
        <v>4603.0</v>
      </c>
      <c r="F4565" s="2"/>
    </row>
    <row r="4566" ht="1.5" customHeight="1">
      <c r="A4566" s="4" t="str">
        <f>IFERROR(__xludf.DUMMYFUNCTION("""COMPUTED_VALUE"""),"1. Microwave")</f>
        <v>1. Microwave</v>
      </c>
      <c r="B4566" s="4" t="str">
        <f>IFERROR(__xludf.DUMMYFUNCTION("""COMPUTED_VALUE"""),"1")</f>
        <v>1</v>
      </c>
      <c r="C4566" s="5" t="str">
        <f>IFERROR(__xludf.DUMMYFUNCTION("""COMPUTED_VALUE"""),"https://drive.google.com/file/d/1GB_VExSiKo1RZCHRynA63ODGzthcZavn/view?usp=drivesdk")</f>
        <v>https://drive.google.com/file/d/1GB_VExSiKo1RZCHRynA63ODGzthcZavn/view?usp=drivesdk</v>
      </c>
      <c r="D4566" s="12"/>
      <c r="E4566" s="11">
        <v>4604.0</v>
      </c>
      <c r="F4566" s="2"/>
    </row>
    <row r="4567" ht="1.5" customHeight="1">
      <c r="A4567" s="4" t="str">
        <f>IFERROR(__xludf.DUMMYFUNCTION("""COMPUTED_VALUE"""),"1. Microwave")</f>
        <v>1. Microwave</v>
      </c>
      <c r="B4567" s="4" t="str">
        <f>IFERROR(__xludf.DUMMYFUNCTION("""COMPUTED_VALUE"""),"1")</f>
        <v>1</v>
      </c>
      <c r="C4567" s="5" t="str">
        <f>IFERROR(__xludf.DUMMYFUNCTION("""COMPUTED_VALUE"""),"https://drive.google.com/file/d/1QmPhGwpjo7W7p8XFWDtNVZ3FoaD7DFsw/view?usp=drivesdk")</f>
        <v>https://drive.google.com/file/d/1QmPhGwpjo7W7p8XFWDtNVZ3FoaD7DFsw/view?usp=drivesdk</v>
      </c>
      <c r="D4567" s="12"/>
      <c r="E4567" s="11">
        <v>4605.0</v>
      </c>
      <c r="F4567" s="2"/>
    </row>
    <row r="4568" ht="1.5" customHeight="1">
      <c r="A4568" s="4" t="str">
        <f>IFERROR(__xludf.DUMMYFUNCTION("""COMPUTED_VALUE"""),"30. Pepper")</f>
        <v>30. Pepper</v>
      </c>
      <c r="B4568" s="4" t="str">
        <f>IFERROR(__xludf.DUMMYFUNCTION("""COMPUTED_VALUE"""),"30")</f>
        <v>30</v>
      </c>
      <c r="C4568" s="5" t="str">
        <f>IFERROR(__xludf.DUMMYFUNCTION("""COMPUTED_VALUE"""),"https://drive.google.com/file/d/18ZNgzZv2OC5mySEX6-MMnE4QUSaoharI/view?usp=drivesdk")</f>
        <v>https://drive.google.com/file/d/18ZNgzZv2OC5mySEX6-MMnE4QUSaoharI/view?usp=drivesdk</v>
      </c>
      <c r="D4568" s="12"/>
      <c r="E4568" s="11">
        <v>4606.0</v>
      </c>
      <c r="F4568" s="2"/>
    </row>
    <row r="4569" ht="1.5" customHeight="1">
      <c r="A4569" s="4" t="str">
        <f>IFERROR(__xludf.DUMMYFUNCTION("""COMPUTED_VALUE"""),"1. Microwave")</f>
        <v>1. Microwave</v>
      </c>
      <c r="B4569" s="4" t="str">
        <f>IFERROR(__xludf.DUMMYFUNCTION("""COMPUTED_VALUE"""),"1")</f>
        <v>1</v>
      </c>
      <c r="C4569" s="5" t="str">
        <f>IFERROR(__xludf.DUMMYFUNCTION("""COMPUTED_VALUE"""),"https://drive.google.com/file/d/1dtRD7rksR3eV98JpRyWFq1Qw9-yYzFS9/view?usp=drivesdk")</f>
        <v>https://drive.google.com/file/d/1dtRD7rksR3eV98JpRyWFq1Qw9-yYzFS9/view?usp=drivesdk</v>
      </c>
      <c r="D4569" s="12"/>
      <c r="E4569" s="11">
        <v>4607.0</v>
      </c>
      <c r="F4569" s="2"/>
    </row>
    <row r="4570" ht="1.5" customHeight="1">
      <c r="A4570" s="4" t="str">
        <f>IFERROR(__xludf.DUMMYFUNCTION("""COMPUTED_VALUE"""),"1. Microwave")</f>
        <v>1. Microwave</v>
      </c>
      <c r="B4570" s="4" t="str">
        <f>IFERROR(__xludf.DUMMYFUNCTION("""COMPUTED_VALUE"""),"1")</f>
        <v>1</v>
      </c>
      <c r="C4570" s="5" t="str">
        <f>IFERROR(__xludf.DUMMYFUNCTION("""COMPUTED_VALUE"""),"https://drive.google.com/file/d/1CZvpYUCzBVRdpEXQ-qHjHSBupRCGf7wx/view?usp=drivesdk")</f>
        <v>https://drive.google.com/file/d/1CZvpYUCzBVRdpEXQ-qHjHSBupRCGf7wx/view?usp=drivesdk</v>
      </c>
      <c r="D4570" s="12"/>
      <c r="E4570" s="11">
        <v>4608.0</v>
      </c>
      <c r="F4570" s="2"/>
    </row>
    <row r="4571" ht="1.5" customHeight="1">
      <c r="A4571" s="4" t="str">
        <f>IFERROR(__xludf.DUMMYFUNCTION("""COMPUTED_VALUE"""),"9. Melvin")</f>
        <v>9. Melvin</v>
      </c>
      <c r="B4571" s="4" t="str">
        <f>IFERROR(__xludf.DUMMYFUNCTION("""COMPUTED_VALUE"""),"9")</f>
        <v>9</v>
      </c>
      <c r="C4571" s="5" t="str">
        <f>IFERROR(__xludf.DUMMYFUNCTION("""COMPUTED_VALUE"""),"https://drive.google.com/file/d/1yH1mJ7o019B6DZQEfiNkqfviviQoTh1s/view?usp=drivesdk")</f>
        <v>https://drive.google.com/file/d/1yH1mJ7o019B6DZQEfiNkqfviviQoTh1s/view?usp=drivesdk</v>
      </c>
      <c r="D4571" s="12"/>
      <c r="E4571" s="11">
        <v>4609.0</v>
      </c>
      <c r="F4571" s="2"/>
    </row>
    <row r="4572" ht="1.5" customHeight="1">
      <c r="A4572" s="4" t="str">
        <f>IFERROR(__xludf.DUMMYFUNCTION("""COMPUTED_VALUE"""),"9. Melvin")</f>
        <v>9. Melvin</v>
      </c>
      <c r="B4572" s="4" t="str">
        <f>IFERROR(__xludf.DUMMYFUNCTION("""COMPUTED_VALUE"""),"9")</f>
        <v>9</v>
      </c>
      <c r="C4572" s="5" t="str">
        <f>IFERROR(__xludf.DUMMYFUNCTION("""COMPUTED_VALUE"""),"https://drive.google.com/file/d/1QzuegUjO-02G3yxdEYffr66icLlRiXAp/view?usp=drivesdk")</f>
        <v>https://drive.google.com/file/d/1QzuegUjO-02G3yxdEYffr66icLlRiXAp/view?usp=drivesdk</v>
      </c>
      <c r="D4572" s="12"/>
      <c r="E4572" s="11">
        <v>4610.0</v>
      </c>
      <c r="F4572" s="2"/>
    </row>
    <row r="4573" ht="1.5" customHeight="1">
      <c r="A4573" s="4" t="str">
        <f>IFERROR(__xludf.DUMMYFUNCTION("""COMPUTED_VALUE"""),"0. NotACat")</f>
        <v>0. NotACat</v>
      </c>
      <c r="B4573" s="4" t="str">
        <f>IFERROR(__xludf.DUMMYFUNCTION("""COMPUTED_VALUE"""),"0")</f>
        <v>0</v>
      </c>
      <c r="C4573" s="5" t="str">
        <f>IFERROR(__xludf.DUMMYFUNCTION("""COMPUTED_VALUE"""),"https://drive.google.com/file/d/12FtcnG1vN9cmNyXICDX_H_6m5YqwyyWy/view?usp=drivesdk")</f>
        <v>https://drive.google.com/file/d/12FtcnG1vN9cmNyXICDX_H_6m5YqwyyWy/view?usp=drivesdk</v>
      </c>
      <c r="D4573" s="12"/>
      <c r="E4573" s="11">
        <v>4611.0</v>
      </c>
      <c r="F4573" s="2"/>
    </row>
    <row r="4574" ht="1.5" customHeight="1">
      <c r="A4574" s="4" t="str">
        <f>IFERROR(__xludf.DUMMYFUNCTION("""COMPUTED_VALUE"""),"2. Twix")</f>
        <v>2. Twix</v>
      </c>
      <c r="B4574" s="4" t="str">
        <f>IFERROR(__xludf.DUMMYFUNCTION("""COMPUTED_VALUE"""),"2")</f>
        <v>2</v>
      </c>
      <c r="C4574" s="5" t="str">
        <f>IFERROR(__xludf.DUMMYFUNCTION("""COMPUTED_VALUE"""),"https://drive.google.com/file/d/1cBghHIoQPPzRcb0MznusNO2mw53Btqjx/view?usp=drivesdk")</f>
        <v>https://drive.google.com/file/d/1cBghHIoQPPzRcb0MznusNO2mw53Btqjx/view?usp=drivesdk</v>
      </c>
      <c r="D4574" s="12"/>
      <c r="E4574" s="11">
        <v>4612.0</v>
      </c>
      <c r="F4574" s="2"/>
    </row>
    <row r="4575" ht="1.5" customHeight="1">
      <c r="A4575" s="4" t="str">
        <f>IFERROR(__xludf.DUMMYFUNCTION("""COMPUTED_VALUE"""),"2. Twix")</f>
        <v>2. Twix</v>
      </c>
      <c r="B4575" s="4" t="str">
        <f>IFERROR(__xludf.DUMMYFUNCTION("""COMPUTED_VALUE"""),"2")</f>
        <v>2</v>
      </c>
      <c r="C4575" s="5" t="str">
        <f>IFERROR(__xludf.DUMMYFUNCTION("""COMPUTED_VALUE"""),"https://drive.google.com/file/d/1k8LLGzDT2zFhb0UcswJrxouxWkE5DtYN/view?usp=drivesdk")</f>
        <v>https://drive.google.com/file/d/1k8LLGzDT2zFhb0UcswJrxouxWkE5DtYN/view?usp=drivesdk</v>
      </c>
      <c r="D4575" s="12"/>
      <c r="E4575" s="11">
        <v>4613.0</v>
      </c>
      <c r="F4575" s="2"/>
    </row>
    <row r="4576" ht="1.5" customHeight="1">
      <c r="A4576" s="4" t="str">
        <f>IFERROR(__xludf.DUMMYFUNCTION("""COMPUTED_VALUE"""),"2. Twix")</f>
        <v>2. Twix</v>
      </c>
      <c r="B4576" s="4" t="str">
        <f>IFERROR(__xludf.DUMMYFUNCTION("""COMPUTED_VALUE"""),"2")</f>
        <v>2</v>
      </c>
      <c r="C4576" s="5" t="str">
        <f>IFERROR(__xludf.DUMMYFUNCTION("""COMPUTED_VALUE"""),"https://drive.google.com/file/d/1cirDBg_RA04XAOM3o3Oggg1oVW5g4pju/view?usp=drivesdk")</f>
        <v>https://drive.google.com/file/d/1cirDBg_RA04XAOM3o3Oggg1oVW5g4pju/view?usp=drivesdk</v>
      </c>
      <c r="D4576" s="12"/>
      <c r="E4576" s="11">
        <v>4614.0</v>
      </c>
      <c r="F4576" s="2"/>
    </row>
    <row r="4577" ht="1.5" customHeight="1">
      <c r="A4577" s="4" t="str">
        <f>IFERROR(__xludf.DUMMYFUNCTION("""COMPUTED_VALUE"""),"2. Twix")</f>
        <v>2. Twix</v>
      </c>
      <c r="B4577" s="4" t="str">
        <f>IFERROR(__xludf.DUMMYFUNCTION("""COMPUTED_VALUE"""),"2")</f>
        <v>2</v>
      </c>
      <c r="C4577" s="5" t="str">
        <f>IFERROR(__xludf.DUMMYFUNCTION("""COMPUTED_VALUE"""),"https://drive.google.com/file/d/1tZ48mX0Ky23Kxd6NZTEpec5Akjf22u-L/view?usp=drivesdk")</f>
        <v>https://drive.google.com/file/d/1tZ48mX0Ky23Kxd6NZTEpec5Akjf22u-L/view?usp=drivesdk</v>
      </c>
      <c r="D4577" s="12"/>
      <c r="E4577" s="11">
        <v>4615.0</v>
      </c>
      <c r="F4577" s="2"/>
    </row>
    <row r="4578" ht="1.5" customHeight="1">
      <c r="A4578" s="4" t="str">
        <f>IFERROR(__xludf.DUMMYFUNCTION("""COMPUTED_VALUE"""),"4. Eggs, 5. Eraser")</f>
        <v>4. Eggs, 5. Eraser</v>
      </c>
      <c r="B4578" s="4" t="str">
        <f>IFERROR(__xludf.DUMMYFUNCTION("""COMPUTED_VALUE"""),"4, 5")</f>
        <v>4, 5</v>
      </c>
      <c r="C4578" s="5" t="str">
        <f>IFERROR(__xludf.DUMMYFUNCTION("""COMPUTED_VALUE"""),"https://drive.google.com/file/d/1wQvvBJUtKpyuqn0SVb7aeK2722phg5Qf/view?usp=drivesdk")</f>
        <v>https://drive.google.com/file/d/1wQvvBJUtKpyuqn0SVb7aeK2722phg5Qf/view?usp=drivesdk</v>
      </c>
      <c r="D4578" s="12"/>
      <c r="E4578" s="11">
        <v>4616.0</v>
      </c>
      <c r="F4578" s="2"/>
    </row>
    <row r="4579" ht="1.5" customHeight="1">
      <c r="A4579" s="4" t="str">
        <f>IFERROR(__xludf.DUMMYFUNCTION("""COMPUTED_VALUE"""),"2. Twix")</f>
        <v>2. Twix</v>
      </c>
      <c r="B4579" s="4" t="str">
        <f>IFERROR(__xludf.DUMMYFUNCTION("""COMPUTED_VALUE"""),"2")</f>
        <v>2</v>
      </c>
      <c r="C4579" s="5" t="str">
        <f>IFERROR(__xludf.DUMMYFUNCTION("""COMPUTED_VALUE"""),"https://drive.google.com/file/d/1MI1OnOP1vJLSIuD_joGJXnki6EzOG4Fp/view?usp=drivesdk")</f>
        <v>https://drive.google.com/file/d/1MI1OnOP1vJLSIuD_joGJXnki6EzOG4Fp/view?usp=drivesdk</v>
      </c>
      <c r="D4579" s="12"/>
      <c r="E4579" s="11">
        <v>4617.0</v>
      </c>
      <c r="F4579" s="2"/>
    </row>
    <row r="4580" ht="1.5" customHeight="1">
      <c r="A4580" s="4" t="str">
        <f>IFERROR(__xludf.DUMMYFUNCTION("""COMPUTED_VALUE"""),"1. Microwave")</f>
        <v>1. Microwave</v>
      </c>
      <c r="B4580" s="4" t="str">
        <f>IFERROR(__xludf.DUMMYFUNCTION("""COMPUTED_VALUE"""),"1")</f>
        <v>1</v>
      </c>
      <c r="C4580" s="5" t="str">
        <f>IFERROR(__xludf.DUMMYFUNCTION("""COMPUTED_VALUE"""),"https://drive.google.com/file/d/1l3tDLtOn4zNmopdSBnRusg3yvpjzKuHy/view?usp=drivesdk")</f>
        <v>https://drive.google.com/file/d/1l3tDLtOn4zNmopdSBnRusg3yvpjzKuHy/view?usp=drivesdk</v>
      </c>
      <c r="D4580" s="12"/>
      <c r="E4580" s="11">
        <v>4618.0</v>
      </c>
      <c r="F4580" s="2"/>
    </row>
    <row r="4581" ht="1.5" customHeight="1">
      <c r="A4581" s="4" t="str">
        <f>IFERROR(__xludf.DUMMYFUNCTION("""COMPUTED_VALUE"""),"1. Microwave")</f>
        <v>1. Microwave</v>
      </c>
      <c r="B4581" s="4" t="str">
        <f>IFERROR(__xludf.DUMMYFUNCTION("""COMPUTED_VALUE"""),"1")</f>
        <v>1</v>
      </c>
      <c r="C4581" s="5" t="str">
        <f>IFERROR(__xludf.DUMMYFUNCTION("""COMPUTED_VALUE"""),"https://drive.google.com/file/d/112EHPSOZNDreNdobYnfsNTr3Ny3GomMS/view?usp=drivesdk")</f>
        <v>https://drive.google.com/file/d/112EHPSOZNDreNdobYnfsNTr3Ny3GomMS/view?usp=drivesdk</v>
      </c>
      <c r="D4581" s="12"/>
      <c r="E4581" s="11">
        <v>4619.0</v>
      </c>
      <c r="F4581" s="2"/>
    </row>
    <row r="4582" ht="1.5" customHeight="1">
      <c r="A4582" s="4" t="str">
        <f>IFERROR(__xludf.DUMMYFUNCTION("""COMPUTED_VALUE"""),"1. Microwave")</f>
        <v>1. Microwave</v>
      </c>
      <c r="B4582" s="4" t="str">
        <f>IFERROR(__xludf.DUMMYFUNCTION("""COMPUTED_VALUE"""),"1")</f>
        <v>1</v>
      </c>
      <c r="C4582" s="5" t="str">
        <f>IFERROR(__xludf.DUMMYFUNCTION("""COMPUTED_VALUE"""),"https://drive.google.com/file/d/13I4CrsMG019z4vlU9X34j6ZSJS5gTCZu/view?usp=drivesdk")</f>
        <v>https://drive.google.com/file/d/13I4CrsMG019z4vlU9X34j6ZSJS5gTCZu/view?usp=drivesdk</v>
      </c>
      <c r="D4582" s="12"/>
      <c r="E4582" s="11">
        <v>4620.0</v>
      </c>
      <c r="F4582" s="2"/>
    </row>
    <row r="4583" ht="1.5" customHeight="1">
      <c r="A4583" s="4" t="str">
        <f>IFERROR(__xludf.DUMMYFUNCTION("""COMPUTED_VALUE"""),"1. Microwave")</f>
        <v>1. Microwave</v>
      </c>
      <c r="B4583" s="4" t="str">
        <f>IFERROR(__xludf.DUMMYFUNCTION("""COMPUTED_VALUE"""),"1")</f>
        <v>1</v>
      </c>
      <c r="C4583" s="5" t="str">
        <f>IFERROR(__xludf.DUMMYFUNCTION("""COMPUTED_VALUE"""),"https://drive.google.com/file/d/11UWQx3LAJVRTGdAqdp8yX2iKcnxgdZCf/view?usp=drivesdk")</f>
        <v>https://drive.google.com/file/d/11UWQx3LAJVRTGdAqdp8yX2iKcnxgdZCf/view?usp=drivesdk</v>
      </c>
      <c r="D4583" s="12"/>
      <c r="E4583" s="11">
        <v>4621.0</v>
      </c>
      <c r="F4583" s="2"/>
    </row>
    <row r="4584" ht="1.5" customHeight="1">
      <c r="A4584" s="4" t="str">
        <f>IFERROR(__xludf.DUMMYFUNCTION("""COMPUTED_VALUE"""),"29. Ginger, 30. Pepper, 27. Angel")</f>
        <v>29. Ginger, 30. Pepper, 27. Angel</v>
      </c>
      <c r="B4584" s="4" t="str">
        <f>IFERROR(__xludf.DUMMYFUNCTION("""COMPUTED_VALUE"""),"29, 30, 27")</f>
        <v>29, 30, 27</v>
      </c>
      <c r="C4584" s="5" t="str">
        <f>IFERROR(__xludf.DUMMYFUNCTION("""COMPUTED_VALUE"""),"https://drive.google.com/file/d/1LuV8b786-61x5vov8idllMaCmmemA_XY/view?usp=drivesdk")</f>
        <v>https://drive.google.com/file/d/1LuV8b786-61x5vov8idllMaCmmemA_XY/view?usp=drivesdk</v>
      </c>
      <c r="D4584" s="12"/>
      <c r="E4584" s="11">
        <v>4622.0</v>
      </c>
      <c r="F4584" s="2"/>
    </row>
    <row r="4585" ht="1.5" customHeight="1">
      <c r="A4585" s="4" t="str">
        <f>IFERROR(__xludf.DUMMYFUNCTION("""COMPUTED_VALUE"""),"29. Ginger")</f>
        <v>29. Ginger</v>
      </c>
      <c r="B4585" s="4" t="str">
        <f>IFERROR(__xludf.DUMMYFUNCTION("""COMPUTED_VALUE"""),"29")</f>
        <v>29</v>
      </c>
      <c r="C4585" s="5" t="str">
        <f>IFERROR(__xludf.DUMMYFUNCTION("""COMPUTED_VALUE"""),"https://drive.google.com/file/d/1SrFtYM2gmR9oTsUs7xNNMDo6zc13vg6u/view?usp=drivesdk")</f>
        <v>https://drive.google.com/file/d/1SrFtYM2gmR9oTsUs7xNNMDo6zc13vg6u/view?usp=drivesdk</v>
      </c>
      <c r="D4585" s="12"/>
      <c r="E4585" s="11">
        <v>4623.0</v>
      </c>
      <c r="F4585" s="2"/>
    </row>
    <row r="4586" ht="1.5" customHeight="1">
      <c r="A4586" s="4" t="str">
        <f>IFERROR(__xludf.DUMMYFUNCTION("""COMPUTED_VALUE"""),"30. Pepper")</f>
        <v>30. Pepper</v>
      </c>
      <c r="B4586" s="4" t="str">
        <f>IFERROR(__xludf.DUMMYFUNCTION("""COMPUTED_VALUE"""),"30")</f>
        <v>30</v>
      </c>
      <c r="C4586" s="5" t="str">
        <f>IFERROR(__xludf.DUMMYFUNCTION("""COMPUTED_VALUE"""),"https://drive.google.com/file/d/12dKiSiiha9gUrkgYaVMMRppbJS3CKwjz/view?usp=drivesdk")</f>
        <v>https://drive.google.com/file/d/12dKiSiiha9gUrkgYaVMMRppbJS3CKwjz/view?usp=drivesdk</v>
      </c>
      <c r="D4586" s="12"/>
      <c r="E4586" s="11">
        <v>4624.0</v>
      </c>
      <c r="F4586" s="2"/>
    </row>
    <row r="4587" ht="1.5" customHeight="1">
      <c r="A4587" s="4" t="str">
        <f>IFERROR(__xludf.DUMMYFUNCTION("""COMPUTED_VALUE"""),"4. Eggs, 5. Eraser")</f>
        <v>4. Eggs, 5. Eraser</v>
      </c>
      <c r="B4587" s="4" t="str">
        <f>IFERROR(__xludf.DUMMYFUNCTION("""COMPUTED_VALUE"""),"4, 5")</f>
        <v>4, 5</v>
      </c>
      <c r="C4587" s="5" t="str">
        <f>IFERROR(__xludf.DUMMYFUNCTION("""COMPUTED_VALUE"""),"https://drive.google.com/file/d/1JRXPB3cSX5Pq9kd1ZSOAezTZP5ImjTrR/view?usp=drivesdk")</f>
        <v>https://drive.google.com/file/d/1JRXPB3cSX5Pq9kd1ZSOAezTZP5ImjTrR/view?usp=drivesdk</v>
      </c>
      <c r="D4587" s="12"/>
      <c r="E4587" s="11">
        <v>4625.0</v>
      </c>
      <c r="F4587" s="2"/>
    </row>
    <row r="4588" ht="1.5" customHeight="1">
      <c r="A4588" s="4" t="str">
        <f>IFERROR(__xludf.DUMMYFUNCTION("""COMPUTED_VALUE"""),"4. Eggs")</f>
        <v>4. Eggs</v>
      </c>
      <c r="B4588" s="4" t="str">
        <f>IFERROR(__xludf.DUMMYFUNCTION("""COMPUTED_VALUE"""),"4")</f>
        <v>4</v>
      </c>
      <c r="C4588" s="5" t="str">
        <f>IFERROR(__xludf.DUMMYFUNCTION("""COMPUTED_VALUE"""),"https://drive.google.com/file/d/1_vSlV7ijh4G9bEV31KcunI0feV-NmgT2/view?usp=drivesdk")</f>
        <v>https://drive.google.com/file/d/1_vSlV7ijh4G9bEV31KcunI0feV-NmgT2/view?usp=drivesdk</v>
      </c>
      <c r="D4588" s="12"/>
      <c r="E4588" s="11">
        <v>4626.0</v>
      </c>
      <c r="F4588" s="2"/>
    </row>
    <row r="4589" ht="1.5" customHeight="1">
      <c r="A4589" s="4" t="str">
        <f>IFERROR(__xludf.DUMMYFUNCTION("""COMPUTED_VALUE"""),"1. Microwave")</f>
        <v>1. Microwave</v>
      </c>
      <c r="B4589" s="4" t="str">
        <f>IFERROR(__xludf.DUMMYFUNCTION("""COMPUTED_VALUE"""),"1")</f>
        <v>1</v>
      </c>
      <c r="C4589" s="5" t="str">
        <f>IFERROR(__xludf.DUMMYFUNCTION("""COMPUTED_VALUE"""),"https://drive.google.com/file/d/1CAeA3pswEuOm4IaMJMVI8kKOi1ccCUMN/view?usp=drivesdk")</f>
        <v>https://drive.google.com/file/d/1CAeA3pswEuOm4IaMJMVI8kKOi1ccCUMN/view?usp=drivesdk</v>
      </c>
      <c r="D4589" s="12"/>
      <c r="E4589" s="11">
        <v>4627.0</v>
      </c>
      <c r="F4589" s="2"/>
    </row>
    <row r="4590" ht="1.5" customHeight="1">
      <c r="A4590" s="4" t="str">
        <f>IFERROR(__xludf.DUMMYFUNCTION("""COMPUTED_VALUE"""),"2. Twix")</f>
        <v>2. Twix</v>
      </c>
      <c r="B4590" s="4" t="str">
        <f>IFERROR(__xludf.DUMMYFUNCTION("""COMPUTED_VALUE"""),"2")</f>
        <v>2</v>
      </c>
      <c r="C4590" s="5" t="str">
        <f>IFERROR(__xludf.DUMMYFUNCTION("""COMPUTED_VALUE"""),"https://drive.google.com/file/d/1tmRgraQ_2pES1MvsIoK_3hCp6d4Jjz_x/view?usp=drivesdk")</f>
        <v>https://drive.google.com/file/d/1tmRgraQ_2pES1MvsIoK_3hCp6d4Jjz_x/view?usp=drivesdk</v>
      </c>
      <c r="D4590" s="12"/>
      <c r="E4590" s="11">
        <v>4628.0</v>
      </c>
      <c r="F4590" s="2"/>
    </row>
    <row r="4591" ht="1.5" customHeight="1">
      <c r="A4591" s="4" t="str">
        <f>IFERROR(__xludf.DUMMYFUNCTION("""COMPUTED_VALUE"""),"2. Twix")</f>
        <v>2. Twix</v>
      </c>
      <c r="B4591" s="4" t="str">
        <f>IFERROR(__xludf.DUMMYFUNCTION("""COMPUTED_VALUE"""),"2")</f>
        <v>2</v>
      </c>
      <c r="C4591" s="5" t="str">
        <f>IFERROR(__xludf.DUMMYFUNCTION("""COMPUTED_VALUE"""),"https://drive.google.com/file/d/1-Xs70Uy58ClxV9MTG_cHt6N6Jo4hV3KT/view?usp=drivesdk")</f>
        <v>https://drive.google.com/file/d/1-Xs70Uy58ClxV9MTG_cHt6N6Jo4hV3KT/view?usp=drivesdk</v>
      </c>
      <c r="D4591" s="12"/>
      <c r="E4591" s="11">
        <v>4629.0</v>
      </c>
      <c r="F4591" s="2"/>
    </row>
    <row r="4592" ht="1.5" customHeight="1">
      <c r="A4592" s="4" t="str">
        <f>IFERROR(__xludf.DUMMYFUNCTION("""COMPUTED_VALUE"""),"0. NotACat")</f>
        <v>0. NotACat</v>
      </c>
      <c r="B4592" s="4" t="str">
        <f>IFERROR(__xludf.DUMMYFUNCTION("""COMPUTED_VALUE"""),"0")</f>
        <v>0</v>
      </c>
      <c r="C4592" s="5" t="str">
        <f>IFERROR(__xludf.DUMMYFUNCTION("""COMPUTED_VALUE"""),"https://drive.google.com/file/d/1ecokNCXy5lnqUjamXXck4YskXvgIWQC9/view?usp=drivesdk")</f>
        <v>https://drive.google.com/file/d/1ecokNCXy5lnqUjamXXck4YskXvgIWQC9/view?usp=drivesdk</v>
      </c>
      <c r="D4592" s="12"/>
      <c r="E4592" s="11">
        <v>4630.0</v>
      </c>
      <c r="F4592" s="2"/>
    </row>
    <row r="4593" ht="1.5" customHeight="1">
      <c r="A4593" s="4" t="str">
        <f>IFERROR(__xludf.DUMMYFUNCTION("""COMPUTED_VALUE"""),"2. Twix")</f>
        <v>2. Twix</v>
      </c>
      <c r="B4593" s="4" t="str">
        <f>IFERROR(__xludf.DUMMYFUNCTION("""COMPUTED_VALUE"""),"2")</f>
        <v>2</v>
      </c>
      <c r="C4593" s="5" t="str">
        <f>IFERROR(__xludf.DUMMYFUNCTION("""COMPUTED_VALUE"""),"https://drive.google.com/file/d/160f3OiLDHJT-3jSorCKKDgFsGO074m7Y/view?usp=drivesdk")</f>
        <v>https://drive.google.com/file/d/160f3OiLDHJT-3jSorCKKDgFsGO074m7Y/view?usp=drivesdk</v>
      </c>
      <c r="D4593" s="12"/>
      <c r="E4593" s="11">
        <v>4631.0</v>
      </c>
      <c r="F4593" s="2"/>
    </row>
    <row r="4594" ht="1.5" customHeight="1">
      <c r="A4594" s="4" t="str">
        <f>IFERROR(__xludf.DUMMYFUNCTION("""COMPUTED_VALUE"""),"2. Twix")</f>
        <v>2. Twix</v>
      </c>
      <c r="B4594" s="4" t="str">
        <f>IFERROR(__xludf.DUMMYFUNCTION("""COMPUTED_VALUE"""),"2")</f>
        <v>2</v>
      </c>
      <c r="C4594" s="5" t="str">
        <f>IFERROR(__xludf.DUMMYFUNCTION("""COMPUTED_VALUE"""),"https://drive.google.com/file/d/1J4d7-i8B6yMiKV6xxa4pfUHuCFSEkFOT/view?usp=drivesdk")</f>
        <v>https://drive.google.com/file/d/1J4d7-i8B6yMiKV6xxa4pfUHuCFSEkFOT/view?usp=drivesdk</v>
      </c>
      <c r="D4594" s="12"/>
      <c r="E4594" s="11">
        <v>4632.0</v>
      </c>
      <c r="F4594" s="2"/>
    </row>
    <row r="4595" ht="1.5" customHeight="1">
      <c r="A4595" s="4" t="str">
        <f>IFERROR(__xludf.DUMMYFUNCTION("""COMPUTED_VALUE"""),"2. Twix")</f>
        <v>2. Twix</v>
      </c>
      <c r="B4595" s="4" t="str">
        <f>IFERROR(__xludf.DUMMYFUNCTION("""COMPUTED_VALUE"""),"2")</f>
        <v>2</v>
      </c>
      <c r="C4595" s="5" t="str">
        <f>IFERROR(__xludf.DUMMYFUNCTION("""COMPUTED_VALUE"""),"https://drive.google.com/file/d/1RNVfqMDPIVxAGHBFTulxyvR9WGnOevKN/view?usp=drivesdk")</f>
        <v>https://drive.google.com/file/d/1RNVfqMDPIVxAGHBFTulxyvR9WGnOevKN/view?usp=drivesdk</v>
      </c>
      <c r="D4595" s="12"/>
      <c r="E4595" s="11">
        <v>4633.0</v>
      </c>
      <c r="F4595" s="2"/>
    </row>
    <row r="4596" ht="1.5" customHeight="1">
      <c r="A4596" s="4" t="str">
        <f>IFERROR(__xludf.DUMMYFUNCTION("""COMPUTED_VALUE"""),"2. Twix")</f>
        <v>2. Twix</v>
      </c>
      <c r="B4596" s="4" t="str">
        <f>IFERROR(__xludf.DUMMYFUNCTION("""COMPUTED_VALUE"""),"2")</f>
        <v>2</v>
      </c>
      <c r="C4596" s="5" t="str">
        <f>IFERROR(__xludf.DUMMYFUNCTION("""COMPUTED_VALUE"""),"https://drive.google.com/file/d/1IvG610JP1tvwtEcpwMYymo6AWqPbbVko/view?usp=drivesdk")</f>
        <v>https://drive.google.com/file/d/1IvG610JP1tvwtEcpwMYymo6AWqPbbVko/view?usp=drivesdk</v>
      </c>
      <c r="D4596" s="12"/>
      <c r="E4596" s="11">
        <v>4634.0</v>
      </c>
      <c r="F4596" s="2"/>
    </row>
    <row r="4597" ht="1.5" customHeight="1">
      <c r="A4597" s="4" t="str">
        <f>IFERROR(__xludf.DUMMYFUNCTION("""COMPUTED_VALUE"""),"2. Twix")</f>
        <v>2. Twix</v>
      </c>
      <c r="B4597" s="4" t="str">
        <f>IFERROR(__xludf.DUMMYFUNCTION("""COMPUTED_VALUE"""),"2")</f>
        <v>2</v>
      </c>
      <c r="C4597" s="5" t="str">
        <f>IFERROR(__xludf.DUMMYFUNCTION("""COMPUTED_VALUE"""),"https://drive.google.com/file/d/1W6DagXUqIWHe1AOvaR6l5qNPn4ttSBft/view?usp=drivesdk")</f>
        <v>https://drive.google.com/file/d/1W6DagXUqIWHe1AOvaR6l5qNPn4ttSBft/view?usp=drivesdk</v>
      </c>
      <c r="D4597" s="12"/>
      <c r="E4597" s="11">
        <v>4635.0</v>
      </c>
      <c r="F4597" s="2"/>
    </row>
    <row r="4598" ht="1.5" customHeight="1">
      <c r="A4598" s="4" t="str">
        <f>IFERROR(__xludf.DUMMYFUNCTION("""COMPUTED_VALUE"""),"2. Twix")</f>
        <v>2. Twix</v>
      </c>
      <c r="B4598" s="4" t="str">
        <f>IFERROR(__xludf.DUMMYFUNCTION("""COMPUTED_VALUE"""),"2")</f>
        <v>2</v>
      </c>
      <c r="C4598" s="5" t="str">
        <f>IFERROR(__xludf.DUMMYFUNCTION("""COMPUTED_VALUE"""),"https://drive.google.com/file/d/1mh7xDPWL6hWryr-Qa7xM2waKfbI4y-q9/view?usp=drivesdk")</f>
        <v>https://drive.google.com/file/d/1mh7xDPWL6hWryr-Qa7xM2waKfbI4y-q9/view?usp=drivesdk</v>
      </c>
      <c r="D4598" s="12"/>
      <c r="E4598" s="11">
        <v>4636.0</v>
      </c>
      <c r="F4598" s="2"/>
    </row>
    <row r="4599" ht="1.5" customHeight="1">
      <c r="A4599" s="4" t="str">
        <f>IFERROR(__xludf.DUMMYFUNCTION("""COMPUTED_VALUE"""),"1. Microwave")</f>
        <v>1. Microwave</v>
      </c>
      <c r="B4599" s="4" t="str">
        <f>IFERROR(__xludf.DUMMYFUNCTION("""COMPUTED_VALUE"""),"1")</f>
        <v>1</v>
      </c>
      <c r="C4599" s="5" t="str">
        <f>IFERROR(__xludf.DUMMYFUNCTION("""COMPUTED_VALUE"""),"https://drive.google.com/file/d/1Nd7O4CPP4np1QFR2J5AYGA60p2QXkf8M/view?usp=drivesdk")</f>
        <v>https://drive.google.com/file/d/1Nd7O4CPP4np1QFR2J5AYGA60p2QXkf8M/view?usp=drivesdk</v>
      </c>
      <c r="D4599" s="12"/>
      <c r="E4599" s="11">
        <v>4637.0</v>
      </c>
      <c r="F4599" s="2"/>
    </row>
    <row r="4600" ht="1.5" customHeight="1">
      <c r="A4600" s="4" t="str">
        <f>IFERROR(__xludf.DUMMYFUNCTION("""COMPUTED_VALUE"""),"7. Hershey")</f>
        <v>7. Hershey</v>
      </c>
      <c r="B4600" s="4" t="str">
        <f>IFERROR(__xludf.DUMMYFUNCTION("""COMPUTED_VALUE"""),"7")</f>
        <v>7</v>
      </c>
      <c r="C4600" s="5" t="str">
        <f>IFERROR(__xludf.DUMMYFUNCTION("""COMPUTED_VALUE"""),"https://drive.google.com/file/d/1jLQ2EwIyPbeOLQrsftFRZDy5duedDdjW/view?usp=drivesdk")</f>
        <v>https://drive.google.com/file/d/1jLQ2EwIyPbeOLQrsftFRZDy5duedDdjW/view?usp=drivesdk</v>
      </c>
      <c r="D4600" s="12"/>
      <c r="E4600" s="11">
        <v>4638.0</v>
      </c>
      <c r="F4600" s="2"/>
    </row>
    <row r="4601" ht="1.5" customHeight="1">
      <c r="A4601" s="4" t="str">
        <f>IFERROR(__xludf.DUMMYFUNCTION("""COMPUTED_VALUE"""),"4. Eggs, 5. Eraser")</f>
        <v>4. Eggs, 5. Eraser</v>
      </c>
      <c r="B4601" s="4" t="str">
        <f>IFERROR(__xludf.DUMMYFUNCTION("""COMPUTED_VALUE"""),"4, 5")</f>
        <v>4, 5</v>
      </c>
      <c r="C4601" s="5" t="str">
        <f>IFERROR(__xludf.DUMMYFUNCTION("""COMPUTED_VALUE"""),"https://drive.google.com/file/d/1vzaBihjaUCjbRnQgPqUcgx8EeLrhO5oe/view?usp=drivesdk")</f>
        <v>https://drive.google.com/file/d/1vzaBihjaUCjbRnQgPqUcgx8EeLrhO5oe/view?usp=drivesdk</v>
      </c>
      <c r="D4601" s="12"/>
      <c r="E4601" s="11">
        <v>4639.0</v>
      </c>
      <c r="F4601" s="2"/>
    </row>
    <row r="4602" ht="1.5" customHeight="1">
      <c r="A4602" s="4" t="str">
        <f>IFERROR(__xludf.DUMMYFUNCTION("""COMPUTED_VALUE"""),"4. Eggs, 5. Eraser")</f>
        <v>4. Eggs, 5. Eraser</v>
      </c>
      <c r="B4602" s="4" t="str">
        <f>IFERROR(__xludf.DUMMYFUNCTION("""COMPUTED_VALUE"""),"4, 5")</f>
        <v>4, 5</v>
      </c>
      <c r="C4602" s="5" t="str">
        <f>IFERROR(__xludf.DUMMYFUNCTION("""COMPUTED_VALUE"""),"https://drive.google.com/file/d/1WQOuthXSjzFFyadXOPf3N5tEMHLm2lUh/view?usp=drivesdk")</f>
        <v>https://drive.google.com/file/d/1WQOuthXSjzFFyadXOPf3N5tEMHLm2lUh/view?usp=drivesdk</v>
      </c>
      <c r="D4602" s="12"/>
      <c r="E4602" s="11">
        <v>4640.0</v>
      </c>
      <c r="F4602" s="2"/>
    </row>
    <row r="4603" ht="1.5" customHeight="1">
      <c r="A4603" s="4" t="str">
        <f>IFERROR(__xludf.DUMMYFUNCTION("""COMPUTED_VALUE"""),"2. Twix")</f>
        <v>2. Twix</v>
      </c>
      <c r="B4603" s="4" t="str">
        <f>IFERROR(__xludf.DUMMYFUNCTION("""COMPUTED_VALUE"""),"2")</f>
        <v>2</v>
      </c>
      <c r="C4603" s="5" t="str">
        <f>IFERROR(__xludf.DUMMYFUNCTION("""COMPUTED_VALUE"""),"https://drive.google.com/file/d/1msyxRiPtCUW0gH7jV6_gw3k5--1lXxTs/view?usp=drivesdk")</f>
        <v>https://drive.google.com/file/d/1msyxRiPtCUW0gH7jV6_gw3k5--1lXxTs/view?usp=drivesdk</v>
      </c>
      <c r="D4603" s="12"/>
      <c r="E4603" s="11">
        <v>4641.0</v>
      </c>
      <c r="F4603" s="2"/>
    </row>
    <row r="4604" ht="1.5" customHeight="1">
      <c r="A4604" s="4" t="str">
        <f>IFERROR(__xludf.DUMMYFUNCTION("""COMPUTED_VALUE"""),"2. Twix")</f>
        <v>2. Twix</v>
      </c>
      <c r="B4604" s="4" t="str">
        <f>IFERROR(__xludf.DUMMYFUNCTION("""COMPUTED_VALUE"""),"2")</f>
        <v>2</v>
      </c>
      <c r="C4604" s="5" t="str">
        <f>IFERROR(__xludf.DUMMYFUNCTION("""COMPUTED_VALUE"""),"https://drive.google.com/file/d/1pITyArA0l2gtlPFeW1JSYQC_75Ko0IPQ/view?usp=drivesdk")</f>
        <v>https://drive.google.com/file/d/1pITyArA0l2gtlPFeW1JSYQC_75Ko0IPQ/view?usp=drivesdk</v>
      </c>
      <c r="D4604" s="12"/>
      <c r="E4604" s="11">
        <v>4642.0</v>
      </c>
      <c r="F4604" s="2"/>
    </row>
    <row r="4605" ht="1.5" customHeight="1">
      <c r="A4605" s="4" t="str">
        <f>IFERROR(__xludf.DUMMYFUNCTION("""COMPUTED_VALUE"""),"2. Twix")</f>
        <v>2. Twix</v>
      </c>
      <c r="B4605" s="4" t="str">
        <f>IFERROR(__xludf.DUMMYFUNCTION("""COMPUTED_VALUE"""),"2")</f>
        <v>2</v>
      </c>
      <c r="C4605" s="5" t="str">
        <f>IFERROR(__xludf.DUMMYFUNCTION("""COMPUTED_VALUE"""),"https://drive.google.com/file/d/1cWsLU3HGFyPen9iaWEu9o7jZyxGkMtJT/view?usp=drivesdk")</f>
        <v>https://drive.google.com/file/d/1cWsLU3HGFyPen9iaWEu9o7jZyxGkMtJT/view?usp=drivesdk</v>
      </c>
      <c r="D4605" s="12"/>
      <c r="E4605" s="11">
        <v>4643.0</v>
      </c>
      <c r="F4605" s="2"/>
    </row>
    <row r="4606" ht="1.5" customHeight="1">
      <c r="A4606" s="4" t="str">
        <f>IFERROR(__xludf.DUMMYFUNCTION("""COMPUTED_VALUE"""),"2. Twix")</f>
        <v>2. Twix</v>
      </c>
      <c r="B4606" s="4" t="str">
        <f>IFERROR(__xludf.DUMMYFUNCTION("""COMPUTED_VALUE"""),"2")</f>
        <v>2</v>
      </c>
      <c r="C4606" s="5" t="str">
        <f>IFERROR(__xludf.DUMMYFUNCTION("""COMPUTED_VALUE"""),"https://drive.google.com/file/d/10JxAediTxH5ZuOl3OeSw1kEpRZ4LTuHn/view?usp=drivesdk")</f>
        <v>https://drive.google.com/file/d/10JxAediTxH5ZuOl3OeSw1kEpRZ4LTuHn/view?usp=drivesdk</v>
      </c>
      <c r="D4606" s="12"/>
      <c r="E4606" s="11">
        <v>4644.0</v>
      </c>
      <c r="F4606" s="2"/>
    </row>
    <row r="4607" ht="1.5" customHeight="1">
      <c r="A4607" s="4" t="str">
        <f>IFERROR(__xludf.DUMMYFUNCTION("""COMPUTED_VALUE"""),"17. Bobbie")</f>
        <v>17. Bobbie</v>
      </c>
      <c r="B4607" s="4" t="str">
        <f>IFERROR(__xludf.DUMMYFUNCTION("""COMPUTED_VALUE"""),"17")</f>
        <v>17</v>
      </c>
      <c r="C4607" s="5" t="str">
        <f>IFERROR(__xludf.DUMMYFUNCTION("""COMPUTED_VALUE"""),"https://drive.google.com/file/d/1mUqsN17y_v-Gqb4IKTvYSP9aD0WY2byx/view?usp=drivesdk")</f>
        <v>https://drive.google.com/file/d/1mUqsN17y_v-Gqb4IKTvYSP9aD0WY2byx/view?usp=drivesdk</v>
      </c>
      <c r="D4607" s="12"/>
      <c r="E4607" s="11">
        <v>4645.0</v>
      </c>
      <c r="F4607" s="2"/>
    </row>
    <row r="4608" ht="1.5" customHeight="1">
      <c r="A4608" s="4" t="str">
        <f>IFERROR(__xludf.DUMMYFUNCTION("""COMPUTED_VALUE"""),"23. Tlacuilo")</f>
        <v>23. Tlacuilo</v>
      </c>
      <c r="B4608" s="4" t="str">
        <f>IFERROR(__xludf.DUMMYFUNCTION("""COMPUTED_VALUE"""),"23")</f>
        <v>23</v>
      </c>
      <c r="C4608" s="5" t="str">
        <f>IFERROR(__xludf.DUMMYFUNCTION("""COMPUTED_VALUE"""),"https://drive.google.com/file/d/1qR_rUOxunHbmpuobSpXdww7Bh-3HRrX8/view?usp=drivesdk")</f>
        <v>https://drive.google.com/file/d/1qR_rUOxunHbmpuobSpXdww7Bh-3HRrX8/view?usp=drivesdk</v>
      </c>
      <c r="D4608" s="12"/>
      <c r="E4608" s="11">
        <v>4646.0</v>
      </c>
      <c r="F4608" s="2"/>
    </row>
    <row r="4609" ht="1.5" customHeight="1">
      <c r="A4609" s="4" t="str">
        <f>IFERROR(__xludf.DUMMYFUNCTION("""COMPUTED_VALUE"""),"1. Microwave")</f>
        <v>1. Microwave</v>
      </c>
      <c r="B4609" s="4" t="str">
        <f>IFERROR(__xludf.DUMMYFUNCTION("""COMPUTED_VALUE"""),"1")</f>
        <v>1</v>
      </c>
      <c r="C4609" s="5" t="str">
        <f>IFERROR(__xludf.DUMMYFUNCTION("""COMPUTED_VALUE"""),"https://drive.google.com/file/d/1izPZA12klj_qqhYDTy5P0u-ebWK7hLiw/view?usp=drivesdk")</f>
        <v>https://drive.google.com/file/d/1izPZA12klj_qqhYDTy5P0u-ebWK7hLiw/view?usp=drivesdk</v>
      </c>
      <c r="D4609" s="12"/>
      <c r="E4609" s="11">
        <v>4647.0</v>
      </c>
      <c r="F4609" s="2"/>
    </row>
    <row r="4610" ht="1.5" customHeight="1">
      <c r="A4610" s="4" t="str">
        <f>IFERROR(__xludf.DUMMYFUNCTION("""COMPUTED_VALUE"""),"2. Twix")</f>
        <v>2. Twix</v>
      </c>
      <c r="B4610" s="4" t="str">
        <f>IFERROR(__xludf.DUMMYFUNCTION("""COMPUTED_VALUE"""),"2")</f>
        <v>2</v>
      </c>
      <c r="C4610" s="5" t="str">
        <f>IFERROR(__xludf.DUMMYFUNCTION("""COMPUTED_VALUE"""),"https://drive.google.com/file/d/1U4StjxOCYMbLRYHSOPxyGeQBF03frsCk/view?usp=drivesdk")</f>
        <v>https://drive.google.com/file/d/1U4StjxOCYMbLRYHSOPxyGeQBF03frsCk/view?usp=drivesdk</v>
      </c>
      <c r="D4610" s="12"/>
      <c r="E4610" s="11">
        <v>4648.0</v>
      </c>
      <c r="F4610" s="2"/>
    </row>
    <row r="4611" ht="1.5" customHeight="1">
      <c r="A4611" s="4" t="str">
        <f>IFERROR(__xludf.DUMMYFUNCTION("""COMPUTED_VALUE"""),"2. Twix")</f>
        <v>2. Twix</v>
      </c>
      <c r="B4611" s="4" t="str">
        <f>IFERROR(__xludf.DUMMYFUNCTION("""COMPUTED_VALUE"""),"2")</f>
        <v>2</v>
      </c>
      <c r="C4611" s="5" t="str">
        <f>IFERROR(__xludf.DUMMYFUNCTION("""COMPUTED_VALUE"""),"https://drive.google.com/file/d/1rYea1PrTtt07b9kvTOx6lKGJMa33Lvdi/view?usp=drivesdk")</f>
        <v>https://drive.google.com/file/d/1rYea1PrTtt07b9kvTOx6lKGJMa33Lvdi/view?usp=drivesdk</v>
      </c>
      <c r="D4611" s="12"/>
      <c r="E4611" s="11">
        <v>4649.0</v>
      </c>
      <c r="F4611" s="2"/>
    </row>
    <row r="4612" ht="1.5" customHeight="1">
      <c r="A4612" s="4" t="str">
        <f>IFERROR(__xludf.DUMMYFUNCTION("""COMPUTED_VALUE"""),"2. Twix")</f>
        <v>2. Twix</v>
      </c>
      <c r="B4612" s="4" t="str">
        <f>IFERROR(__xludf.DUMMYFUNCTION("""COMPUTED_VALUE"""),"2")</f>
        <v>2</v>
      </c>
      <c r="C4612" s="5" t="str">
        <f>IFERROR(__xludf.DUMMYFUNCTION("""COMPUTED_VALUE"""),"https://drive.google.com/file/d/18ylopUqiHLZOYuH5QjfsX5I5RYmQumRb/view?usp=drivesdk")</f>
        <v>https://drive.google.com/file/d/18ylopUqiHLZOYuH5QjfsX5I5RYmQumRb/view?usp=drivesdk</v>
      </c>
      <c r="D4612" s="12"/>
      <c r="E4612" s="11">
        <v>4650.0</v>
      </c>
      <c r="F4612" s="2"/>
    </row>
    <row r="4613" ht="1.5" customHeight="1">
      <c r="A4613" s="4" t="str">
        <f>IFERROR(__xludf.DUMMYFUNCTION("""COMPUTED_VALUE"""),"2. Twix")</f>
        <v>2. Twix</v>
      </c>
      <c r="B4613" s="4" t="str">
        <f>IFERROR(__xludf.DUMMYFUNCTION("""COMPUTED_VALUE"""),"2")</f>
        <v>2</v>
      </c>
      <c r="C4613" s="5" t="str">
        <f>IFERROR(__xludf.DUMMYFUNCTION("""COMPUTED_VALUE"""),"https://drive.google.com/file/d/13xUWKkERnPnpBWL3EcZesAjWDaitH14e/view?usp=drivesdk")</f>
        <v>https://drive.google.com/file/d/13xUWKkERnPnpBWL3EcZesAjWDaitH14e/view?usp=drivesdk</v>
      </c>
      <c r="D4613" s="12"/>
      <c r="E4613" s="11">
        <v>4651.0</v>
      </c>
      <c r="F4613" s="2"/>
    </row>
    <row r="4614" ht="1.5" customHeight="1">
      <c r="A4614" s="4" t="str">
        <f>IFERROR(__xludf.DUMMYFUNCTION("""COMPUTED_VALUE"""),"1. Microwave")</f>
        <v>1. Microwave</v>
      </c>
      <c r="B4614" s="4" t="str">
        <f>IFERROR(__xludf.DUMMYFUNCTION("""COMPUTED_VALUE"""),"1")</f>
        <v>1</v>
      </c>
      <c r="C4614" s="5" t="str">
        <f>IFERROR(__xludf.DUMMYFUNCTION("""COMPUTED_VALUE"""),"https://drive.google.com/file/d/16p_E-PIJkkcUpo-sAXOXpaFx1MW7myhY/view?usp=drivesdk")</f>
        <v>https://drive.google.com/file/d/16p_E-PIJkkcUpo-sAXOXpaFx1MW7myhY/view?usp=drivesdk</v>
      </c>
      <c r="D4614" s="12"/>
      <c r="E4614" s="11">
        <v>4652.0</v>
      </c>
      <c r="F4614" s="2"/>
    </row>
    <row r="4615" ht="1.5" customHeight="1">
      <c r="A4615" s="4" t="str">
        <f>IFERROR(__xludf.DUMMYFUNCTION("""COMPUTED_VALUE"""),"1. Microwave")</f>
        <v>1. Microwave</v>
      </c>
      <c r="B4615" s="4" t="str">
        <f>IFERROR(__xludf.DUMMYFUNCTION("""COMPUTED_VALUE"""),"1")</f>
        <v>1</v>
      </c>
      <c r="C4615" s="5" t="str">
        <f>IFERROR(__xludf.DUMMYFUNCTION("""COMPUTED_VALUE"""),"https://drive.google.com/file/d/1QEK-V7sWbcsdZoBD_SZ8xDBOl462JfUt/view?usp=drivesdk")</f>
        <v>https://drive.google.com/file/d/1QEK-V7sWbcsdZoBD_SZ8xDBOl462JfUt/view?usp=drivesdk</v>
      </c>
      <c r="D4615" s="12"/>
      <c r="E4615" s="11">
        <v>4653.0</v>
      </c>
      <c r="F4615" s="2"/>
    </row>
    <row r="4616" ht="1.5" customHeight="1">
      <c r="A4616" s="4" t="str">
        <f>IFERROR(__xludf.DUMMYFUNCTION("""COMPUTED_VALUE"""),"1. Microwave")</f>
        <v>1. Microwave</v>
      </c>
      <c r="B4616" s="4" t="str">
        <f>IFERROR(__xludf.DUMMYFUNCTION("""COMPUTED_VALUE"""),"1")</f>
        <v>1</v>
      </c>
      <c r="C4616" s="5" t="str">
        <f>IFERROR(__xludf.DUMMYFUNCTION("""COMPUTED_VALUE"""),"https://drive.google.com/file/d/12jj7JDTH29pFvWQWTbPlKGvBojM-NwRx/view?usp=drivesdk")</f>
        <v>https://drive.google.com/file/d/12jj7JDTH29pFvWQWTbPlKGvBojM-NwRx/view?usp=drivesdk</v>
      </c>
      <c r="D4616" s="12"/>
      <c r="E4616" s="11">
        <v>4654.0</v>
      </c>
      <c r="F4616" s="2"/>
    </row>
    <row r="4617" ht="1.5" customHeight="1">
      <c r="A4617" s="4" t="str">
        <f>IFERROR(__xludf.DUMMYFUNCTION("""COMPUTED_VALUE"""),"1. Microwave")</f>
        <v>1. Microwave</v>
      </c>
      <c r="B4617" s="4" t="str">
        <f>IFERROR(__xludf.DUMMYFUNCTION("""COMPUTED_VALUE"""),"1")</f>
        <v>1</v>
      </c>
      <c r="C4617" s="5" t="str">
        <f>IFERROR(__xludf.DUMMYFUNCTION("""COMPUTED_VALUE"""),"https://drive.google.com/file/d/1ngtuCX3k2i0Jf-1MaEAkVPsSd3jSiWF3/view?usp=drivesdk")</f>
        <v>https://drive.google.com/file/d/1ngtuCX3k2i0Jf-1MaEAkVPsSd3jSiWF3/view?usp=drivesdk</v>
      </c>
      <c r="D4617" s="12"/>
      <c r="E4617" s="11">
        <v>4655.0</v>
      </c>
      <c r="F4617" s="2"/>
    </row>
    <row r="4618" ht="1.5" customHeight="1">
      <c r="A4618" s="4" t="str">
        <f>IFERROR(__xludf.DUMMYFUNCTION("""COMPUTED_VALUE"""),"2. Twix")</f>
        <v>2. Twix</v>
      </c>
      <c r="B4618" s="4" t="str">
        <f>IFERROR(__xludf.DUMMYFUNCTION("""COMPUTED_VALUE"""),"2")</f>
        <v>2</v>
      </c>
      <c r="C4618" s="5" t="str">
        <f>IFERROR(__xludf.DUMMYFUNCTION("""COMPUTED_VALUE"""),"https://drive.google.com/file/d/1XycPzIxgWSczK-J8u3U5kZb-vo1ovEDL/view?usp=drivesdk")</f>
        <v>https://drive.google.com/file/d/1XycPzIxgWSczK-J8u3U5kZb-vo1ovEDL/view?usp=drivesdk</v>
      </c>
      <c r="D4618" s="12"/>
      <c r="E4618" s="11">
        <v>4656.0</v>
      </c>
      <c r="F4618" s="2"/>
    </row>
    <row r="4619" ht="1.5" customHeight="1">
      <c r="A4619" s="4" t="str">
        <f>IFERROR(__xludf.DUMMYFUNCTION("""COMPUTED_VALUE"""),"1. Microwave")</f>
        <v>1. Microwave</v>
      </c>
      <c r="B4619" s="4" t="str">
        <f>IFERROR(__xludf.DUMMYFUNCTION("""COMPUTED_VALUE"""),"1")</f>
        <v>1</v>
      </c>
      <c r="C4619" s="5" t="str">
        <f>IFERROR(__xludf.DUMMYFUNCTION("""COMPUTED_VALUE"""),"https://drive.google.com/file/d/1HJQGT8lPN-4-wa6OGvNd2wp4ce0Ffo4M/view?usp=drivesdk")</f>
        <v>https://drive.google.com/file/d/1HJQGT8lPN-4-wa6OGvNd2wp4ce0Ffo4M/view?usp=drivesdk</v>
      </c>
      <c r="D4619" s="12"/>
      <c r="E4619" s="11">
        <v>4657.0</v>
      </c>
      <c r="F4619" s="2"/>
    </row>
    <row r="4620" ht="1.5" customHeight="1">
      <c r="A4620" s="4" t="str">
        <f>IFERROR(__xludf.DUMMYFUNCTION("""COMPUTED_VALUE"""),"1. Microwave")</f>
        <v>1. Microwave</v>
      </c>
      <c r="B4620" s="4" t="str">
        <f>IFERROR(__xludf.DUMMYFUNCTION("""COMPUTED_VALUE"""),"1")</f>
        <v>1</v>
      </c>
      <c r="C4620" s="5" t="str">
        <f>IFERROR(__xludf.DUMMYFUNCTION("""COMPUTED_VALUE"""),"https://drive.google.com/file/d/1MoOBFFTC5Ical00PqefReW5myp--gx5x/view?usp=drivesdk")</f>
        <v>https://drive.google.com/file/d/1MoOBFFTC5Ical00PqefReW5myp--gx5x/view?usp=drivesdk</v>
      </c>
      <c r="D4620" s="12"/>
      <c r="E4620" s="11">
        <v>4658.0</v>
      </c>
      <c r="F4620" s="2"/>
    </row>
    <row r="4621" ht="1.5" customHeight="1">
      <c r="A4621" s="4" t="str">
        <f>IFERROR(__xludf.DUMMYFUNCTION("""COMPUTED_VALUE"""),"1. Microwave")</f>
        <v>1. Microwave</v>
      </c>
      <c r="B4621" s="4" t="str">
        <f>IFERROR(__xludf.DUMMYFUNCTION("""COMPUTED_VALUE"""),"1")</f>
        <v>1</v>
      </c>
      <c r="C4621" s="5" t="str">
        <f>IFERROR(__xludf.DUMMYFUNCTION("""COMPUTED_VALUE"""),"https://drive.google.com/file/d/14iv3qykX22wHaFmZWI-WNQSXfzOqdkP6/view?usp=drivesdk")</f>
        <v>https://drive.google.com/file/d/14iv3qykX22wHaFmZWI-WNQSXfzOqdkP6/view?usp=drivesdk</v>
      </c>
      <c r="D4621" s="12"/>
      <c r="E4621" s="11">
        <v>4659.0</v>
      </c>
      <c r="F4621" s="2"/>
    </row>
    <row r="4622" ht="1.5" customHeight="1">
      <c r="A4622" s="4" t="str">
        <f>IFERROR(__xludf.DUMMYFUNCTION("""COMPUTED_VALUE"""),"1. Microwave")</f>
        <v>1. Microwave</v>
      </c>
      <c r="B4622" s="4" t="str">
        <f>IFERROR(__xludf.DUMMYFUNCTION("""COMPUTED_VALUE"""),"1")</f>
        <v>1</v>
      </c>
      <c r="C4622" s="5" t="str">
        <f>IFERROR(__xludf.DUMMYFUNCTION("""COMPUTED_VALUE"""),"https://drive.google.com/file/d/1fNXOhhEjP7Jg4kLxPsuCL0OX3YVFhxN5/view?usp=drivesdk")</f>
        <v>https://drive.google.com/file/d/1fNXOhhEjP7Jg4kLxPsuCL0OX3YVFhxN5/view?usp=drivesdk</v>
      </c>
      <c r="D4622" s="12"/>
      <c r="E4622" s="11">
        <v>4660.0</v>
      </c>
      <c r="F4622" s="2"/>
    </row>
    <row r="4623" ht="1.5" customHeight="1">
      <c r="A4623" s="4" t="str">
        <f>IFERROR(__xludf.DUMMYFUNCTION("""COMPUTED_VALUE"""),"1. Microwave")</f>
        <v>1. Microwave</v>
      </c>
      <c r="B4623" s="4" t="str">
        <f>IFERROR(__xludf.DUMMYFUNCTION("""COMPUTED_VALUE"""),"1")</f>
        <v>1</v>
      </c>
      <c r="C4623" s="5" t="str">
        <f>IFERROR(__xludf.DUMMYFUNCTION("""COMPUTED_VALUE"""),"https://drive.google.com/file/d/1Zw9AqpESw4MJ0MO_zWk308kMudhid0uR/view?usp=drivesdk")</f>
        <v>https://drive.google.com/file/d/1Zw9AqpESw4MJ0MO_zWk308kMudhid0uR/view?usp=drivesdk</v>
      </c>
      <c r="D4623" s="12"/>
      <c r="E4623" s="11">
        <v>4661.0</v>
      </c>
      <c r="F4623" s="2"/>
    </row>
    <row r="4624" ht="1.5" customHeight="1">
      <c r="A4624" s="4" t="str">
        <f>IFERROR(__xludf.DUMMYFUNCTION("""COMPUTED_VALUE"""),"42. Rubber, 44. Shitbag Cuntface, 39. Radar")</f>
        <v>42. Rubber, 44. Shitbag Cuntface, 39. Radar</v>
      </c>
      <c r="B4624" s="4" t="str">
        <f>IFERROR(__xludf.DUMMYFUNCTION("""COMPUTED_VALUE"""),"42, 44, 39")</f>
        <v>42, 44, 39</v>
      </c>
      <c r="C4624" s="5" t="str">
        <f>IFERROR(__xludf.DUMMYFUNCTION("""COMPUTED_VALUE"""),"https://drive.google.com/file/d/1d0R8at3_Lp0u3RdmoCnjp0FJhxq8qbYX/view?usp=drivesdk")</f>
        <v>https://drive.google.com/file/d/1d0R8at3_Lp0u3RdmoCnjp0FJhxq8qbYX/view?usp=drivesdk</v>
      </c>
      <c r="D4624" s="12"/>
      <c r="E4624" s="11">
        <v>4662.0</v>
      </c>
      <c r="F4624" s="2"/>
    </row>
    <row r="4625" ht="1.5" customHeight="1">
      <c r="A4625" s="4" t="str">
        <f>IFERROR(__xludf.DUMMYFUNCTION("""COMPUTED_VALUE"""),"42. Rubber, 38. Winston, 44. Shitbag Cuntface, 58. Eden, 95. Ariel")</f>
        <v>42. Rubber, 38. Winston, 44. Shitbag Cuntface, 58. Eden, 95. Ariel</v>
      </c>
      <c r="B4625" s="4" t="str">
        <f>IFERROR(__xludf.DUMMYFUNCTION("""COMPUTED_VALUE"""),"42, 38, 44, 58, 95")</f>
        <v>42, 38, 44, 58, 95</v>
      </c>
      <c r="C4625" s="5" t="str">
        <f>IFERROR(__xludf.DUMMYFUNCTION("""COMPUTED_VALUE"""),"https://drive.google.com/file/d/1VVpf_5msdMEmyWYEXy6Uk8Ea_SY2l6xQ/view?usp=drivesdk")</f>
        <v>https://drive.google.com/file/d/1VVpf_5msdMEmyWYEXy6Uk8Ea_SY2l6xQ/view?usp=drivesdk</v>
      </c>
      <c r="D4625" s="12"/>
      <c r="E4625" s="11">
        <v>4663.0</v>
      </c>
      <c r="F4625" s="2"/>
    </row>
    <row r="4626" ht="1.5" customHeight="1">
      <c r="A4626" s="4" t="str">
        <f>IFERROR(__xludf.DUMMYFUNCTION("""COMPUTED_VALUE"""),"47. Nefarious")</f>
        <v>47. Nefarious</v>
      </c>
      <c r="B4626" s="4" t="str">
        <f>IFERROR(__xludf.DUMMYFUNCTION("""COMPUTED_VALUE"""),"47")</f>
        <v>47</v>
      </c>
      <c r="C4626" s="5" t="str">
        <f>IFERROR(__xludf.DUMMYFUNCTION("""COMPUTED_VALUE"""),"https://drive.google.com/file/d/1ZKMc_42vfKncJ_N_kEWCyW3eASik9ZC1/view?usp=drivesdk")</f>
        <v>https://drive.google.com/file/d/1ZKMc_42vfKncJ_N_kEWCyW3eASik9ZC1/view?usp=drivesdk</v>
      </c>
      <c r="D4626" s="12"/>
      <c r="E4626" s="11">
        <v>4664.0</v>
      </c>
      <c r="F4626" s="2"/>
    </row>
    <row r="4627" ht="1.5" customHeight="1">
      <c r="A4627" s="4" t="str">
        <f>IFERROR(__xludf.DUMMYFUNCTION("""COMPUTED_VALUE"""),"42. Rubber, 58. Eden, 38. Winston, 61. Cassie, 44. Shitbag Cuntface")</f>
        <v>42. Rubber, 58. Eden, 38. Winston, 61. Cassie, 44. Shitbag Cuntface</v>
      </c>
      <c r="B4627" s="4" t="str">
        <f>IFERROR(__xludf.DUMMYFUNCTION("""COMPUTED_VALUE"""),"42, 58, 38, 61, 44")</f>
        <v>42, 58, 38, 61, 44</v>
      </c>
      <c r="C4627" s="5" t="str">
        <f>IFERROR(__xludf.DUMMYFUNCTION("""COMPUTED_VALUE"""),"https://drive.google.com/file/d/1k6RixNzL8EcSOa7qZmOHF-O5MXBaWFON/view?usp=drivesdk")</f>
        <v>https://drive.google.com/file/d/1k6RixNzL8EcSOa7qZmOHF-O5MXBaWFON/view?usp=drivesdk</v>
      </c>
      <c r="D4627" s="12"/>
      <c r="E4627" s="11">
        <v>4665.0</v>
      </c>
      <c r="F4627" s="2"/>
    </row>
    <row r="4628" ht="1.5" customHeight="1">
      <c r="A4628" s="4" t="str">
        <f>IFERROR(__xludf.DUMMYFUNCTION("""COMPUTED_VALUE"""),"42. Rubber")</f>
        <v>42. Rubber</v>
      </c>
      <c r="B4628" s="4" t="str">
        <f>IFERROR(__xludf.DUMMYFUNCTION("""COMPUTED_VALUE"""),"42")</f>
        <v>42</v>
      </c>
      <c r="C4628" s="5" t="str">
        <f>IFERROR(__xludf.DUMMYFUNCTION("""COMPUTED_VALUE"""),"https://drive.google.com/file/d/178xpDjLehDkqlyyqF2-hxCvyDe7O_y6K/view?usp=drivesdk")</f>
        <v>https://drive.google.com/file/d/178xpDjLehDkqlyyqF2-hxCvyDe7O_y6K/view?usp=drivesdk</v>
      </c>
      <c r="D4628" s="12"/>
      <c r="E4628" s="11">
        <v>4666.0</v>
      </c>
      <c r="F4628" s="2"/>
    </row>
    <row r="4629" ht="1.5" customHeight="1">
      <c r="A4629" s="4" t="str">
        <f>IFERROR(__xludf.DUMMYFUNCTION("""COMPUTED_VALUE"""),"39. Radar, 42. Rubber, 45. Boots, 58. Eden, 44. Shitbag Cuntface, 38. Winston, 40. Dumpster")</f>
        <v>39. Radar, 42. Rubber, 45. Boots, 58. Eden, 44. Shitbag Cuntface, 38. Winston, 40. Dumpster</v>
      </c>
      <c r="B4629" s="4" t="str">
        <f>IFERROR(__xludf.DUMMYFUNCTION("""COMPUTED_VALUE"""),"39, 42, 45, 58, 44, 38, 40")</f>
        <v>39, 42, 45, 58, 44, 38, 40</v>
      </c>
      <c r="C4629" s="5" t="str">
        <f>IFERROR(__xludf.DUMMYFUNCTION("""COMPUTED_VALUE"""),"https://drive.google.com/file/d/1gZitmesnzB1iMv827IG6b5YMhIhRMV58/view?usp=drivesdk")</f>
        <v>https://drive.google.com/file/d/1gZitmesnzB1iMv827IG6b5YMhIhRMV58/view?usp=drivesdk</v>
      </c>
      <c r="D4629" s="12"/>
      <c r="E4629" s="11">
        <v>4667.0</v>
      </c>
      <c r="F4629" s="2"/>
    </row>
    <row r="4630" ht="1.5" customHeight="1">
      <c r="A4630" s="4" t="str">
        <f>IFERROR(__xludf.DUMMYFUNCTION("""COMPUTED_VALUE"""),"44. Shitbag Cuntface, 45. Boots")</f>
        <v>44. Shitbag Cuntface, 45. Boots</v>
      </c>
      <c r="B4630" s="4" t="str">
        <f>IFERROR(__xludf.DUMMYFUNCTION("""COMPUTED_VALUE"""),"44, 45")</f>
        <v>44, 45</v>
      </c>
      <c r="C4630" s="5" t="str">
        <f>IFERROR(__xludf.DUMMYFUNCTION("""COMPUTED_VALUE"""),"https://drive.google.com/file/d/1GOZkFUhiQlkxyJ0-7tFoiu-W1b93W-zS/view?usp=drivesdk")</f>
        <v>https://drive.google.com/file/d/1GOZkFUhiQlkxyJ0-7tFoiu-W1b93W-zS/view?usp=drivesdk</v>
      </c>
      <c r="D4630" s="12"/>
      <c r="E4630" s="11">
        <v>4668.0</v>
      </c>
      <c r="F4630" s="2"/>
    </row>
    <row r="4631" ht="1.5" customHeight="1">
      <c r="A4631" s="4" t="str">
        <f>IFERROR(__xludf.DUMMYFUNCTION("""COMPUTED_VALUE"""),"42. Rubber")</f>
        <v>42. Rubber</v>
      </c>
      <c r="B4631" s="4" t="str">
        <f>IFERROR(__xludf.DUMMYFUNCTION("""COMPUTED_VALUE"""),"42")</f>
        <v>42</v>
      </c>
      <c r="C4631" s="5" t="str">
        <f>IFERROR(__xludf.DUMMYFUNCTION("""COMPUTED_VALUE"""),"https://drive.google.com/file/d/1Ex4C1NSzqjYWbRBUCHGNJldzmX7lvyXy/view?usp=drivesdk")</f>
        <v>https://drive.google.com/file/d/1Ex4C1NSzqjYWbRBUCHGNJldzmX7lvyXy/view?usp=drivesdk</v>
      </c>
      <c r="D4631" s="12"/>
      <c r="E4631" s="11">
        <v>4669.0</v>
      </c>
      <c r="F4631" s="2"/>
    </row>
    <row r="4632" ht="1.5" customHeight="1">
      <c r="A4632" s="4" t="str">
        <f>IFERROR(__xludf.DUMMYFUNCTION("""COMPUTED_VALUE"""),"39. Radar")</f>
        <v>39. Radar</v>
      </c>
      <c r="B4632" s="4" t="str">
        <f>IFERROR(__xludf.DUMMYFUNCTION("""COMPUTED_VALUE"""),"39")</f>
        <v>39</v>
      </c>
      <c r="C4632" s="5" t="str">
        <f>IFERROR(__xludf.DUMMYFUNCTION("""COMPUTED_VALUE"""),"https://drive.google.com/file/d/1i2HcIu70pmr5VIrR2iu8BYFAHhsj4xeH/view?usp=drivesdk")</f>
        <v>https://drive.google.com/file/d/1i2HcIu70pmr5VIrR2iu8BYFAHhsj4xeH/view?usp=drivesdk</v>
      </c>
      <c r="D4632" s="12"/>
      <c r="E4632" s="11">
        <v>4670.0</v>
      </c>
      <c r="F4632" s="2"/>
    </row>
    <row r="4633" ht="1.5" customHeight="1">
      <c r="A4633" s="4" t="str">
        <f>IFERROR(__xludf.DUMMYFUNCTION("""COMPUTED_VALUE"""),"45. Boots, 58. Eden, 44. Shitbag Cuntface")</f>
        <v>45. Boots, 58. Eden, 44. Shitbag Cuntface</v>
      </c>
      <c r="B4633" s="4" t="str">
        <f>IFERROR(__xludf.DUMMYFUNCTION("""COMPUTED_VALUE"""),"45, 58, 44")</f>
        <v>45, 58, 44</v>
      </c>
      <c r="C4633" s="5" t="str">
        <f>IFERROR(__xludf.DUMMYFUNCTION("""COMPUTED_VALUE"""),"https://drive.google.com/file/d/1UKKK3Ih0fnjVL7oY9ek9xMcmU6g0Be56/view?usp=drivesdk")</f>
        <v>https://drive.google.com/file/d/1UKKK3Ih0fnjVL7oY9ek9xMcmU6g0Be56/view?usp=drivesdk</v>
      </c>
      <c r="D4633" s="12"/>
      <c r="E4633" s="11">
        <v>4671.0</v>
      </c>
      <c r="F4633" s="2"/>
    </row>
    <row r="4634" ht="1.5" customHeight="1">
      <c r="A4634" s="4" t="str">
        <f>IFERROR(__xludf.DUMMYFUNCTION("""COMPUTED_VALUE"""),"1. Microwave")</f>
        <v>1. Microwave</v>
      </c>
      <c r="B4634" s="4" t="str">
        <f>IFERROR(__xludf.DUMMYFUNCTION("""COMPUTED_VALUE"""),"1")</f>
        <v>1</v>
      </c>
      <c r="C4634" s="5" t="str">
        <f>IFERROR(__xludf.DUMMYFUNCTION("""COMPUTED_VALUE"""),"https://drive.google.com/file/d/1ARyPmvr8AwOLFTN_qT6-N_TfdssuQIbx/view?usp=drivesdk")</f>
        <v>https://drive.google.com/file/d/1ARyPmvr8AwOLFTN_qT6-N_TfdssuQIbx/view?usp=drivesdk</v>
      </c>
      <c r="D4634" s="12"/>
      <c r="E4634" s="11">
        <v>4672.0</v>
      </c>
      <c r="F4634" s="2"/>
    </row>
    <row r="4635" ht="1.5" customHeight="1">
      <c r="A4635" s="4" t="str">
        <f>IFERROR(__xludf.DUMMYFUNCTION("""COMPUTED_VALUE"""),"1. Microwave")</f>
        <v>1. Microwave</v>
      </c>
      <c r="B4635" s="4" t="str">
        <f>IFERROR(__xludf.DUMMYFUNCTION("""COMPUTED_VALUE"""),"1")</f>
        <v>1</v>
      </c>
      <c r="C4635" s="5" t="str">
        <f>IFERROR(__xludf.DUMMYFUNCTION("""COMPUTED_VALUE"""),"https://drive.google.com/file/d/1aUUNU77Hh4F5gGAERNtkDxdB4yJ6uNpt/view?usp=drivesdk")</f>
        <v>https://drive.google.com/file/d/1aUUNU77Hh4F5gGAERNtkDxdB4yJ6uNpt/view?usp=drivesdk</v>
      </c>
      <c r="D4635" s="12"/>
      <c r="E4635" s="11">
        <v>4673.0</v>
      </c>
      <c r="F4635" s="2"/>
    </row>
    <row r="4636" ht="1.5" customHeight="1">
      <c r="A4636" s="4" t="str">
        <f>IFERROR(__xludf.DUMMYFUNCTION("""COMPUTED_VALUE"""),"1. Microwave")</f>
        <v>1. Microwave</v>
      </c>
      <c r="B4636" s="4" t="str">
        <f>IFERROR(__xludf.DUMMYFUNCTION("""COMPUTED_VALUE"""),"1")</f>
        <v>1</v>
      </c>
      <c r="C4636" s="5" t="str">
        <f>IFERROR(__xludf.DUMMYFUNCTION("""COMPUTED_VALUE"""),"https://drive.google.com/file/d/1Zzmmv9Ni3zar1bPx1ym-GRy8UX-X555s/view?usp=drivesdk")</f>
        <v>https://drive.google.com/file/d/1Zzmmv9Ni3zar1bPx1ym-GRy8UX-X555s/view?usp=drivesdk</v>
      </c>
      <c r="D4636" s="12"/>
      <c r="E4636" s="11">
        <v>4674.0</v>
      </c>
      <c r="F4636" s="2"/>
    </row>
    <row r="4637" ht="1.5" customHeight="1">
      <c r="A4637" s="4" t="str">
        <f>IFERROR(__xludf.DUMMYFUNCTION("""COMPUTED_VALUE"""),"1. Microwave")</f>
        <v>1. Microwave</v>
      </c>
      <c r="B4637" s="4" t="str">
        <f>IFERROR(__xludf.DUMMYFUNCTION("""COMPUTED_VALUE"""),"1")</f>
        <v>1</v>
      </c>
      <c r="C4637" s="5" t="str">
        <f>IFERROR(__xludf.DUMMYFUNCTION("""COMPUTED_VALUE"""),"https://drive.google.com/file/d/1BfXESSWpNZAM25NHpG_SnWQ9jeXCZ7ja/view?usp=drivesdk")</f>
        <v>https://drive.google.com/file/d/1BfXESSWpNZAM25NHpG_SnWQ9jeXCZ7ja/view?usp=drivesdk</v>
      </c>
      <c r="D4637" s="12"/>
      <c r="E4637" s="11">
        <v>4675.0</v>
      </c>
      <c r="F4637" s="2"/>
    </row>
    <row r="4638" ht="1.5" customHeight="1">
      <c r="A4638" s="4" t="str">
        <f>IFERROR(__xludf.DUMMYFUNCTION("""COMPUTED_VALUE"""),"4. Eggs")</f>
        <v>4. Eggs</v>
      </c>
      <c r="B4638" s="4" t="str">
        <f>IFERROR(__xludf.DUMMYFUNCTION("""COMPUTED_VALUE"""),"4")</f>
        <v>4</v>
      </c>
      <c r="C4638" s="5" t="str">
        <f>IFERROR(__xludf.DUMMYFUNCTION("""COMPUTED_VALUE"""),"https://drive.google.com/file/d/1i14ZeHuK70b8qXktltfBOEjK47u7MGeG/view?usp=drivesdk")</f>
        <v>https://drive.google.com/file/d/1i14ZeHuK70b8qXktltfBOEjK47u7MGeG/view?usp=drivesdk</v>
      </c>
      <c r="D4638" s="12"/>
      <c r="E4638" s="11">
        <v>4676.0</v>
      </c>
      <c r="F4638" s="2"/>
    </row>
    <row r="4639" ht="1.5" customHeight="1">
      <c r="A4639" s="4" t="str">
        <f>IFERROR(__xludf.DUMMYFUNCTION("""COMPUTED_VALUE"""),"5. Eraser")</f>
        <v>5. Eraser</v>
      </c>
      <c r="B4639" s="4" t="str">
        <f>IFERROR(__xludf.DUMMYFUNCTION("""COMPUTED_VALUE"""),"5")</f>
        <v>5</v>
      </c>
      <c r="C4639" s="5" t="str">
        <f>IFERROR(__xludf.DUMMYFUNCTION("""COMPUTED_VALUE"""),"https://drive.google.com/file/d/1wrywWHFAgqPe9xhvWgM1ElqgEoQ65yGm/view?usp=drivesdk")</f>
        <v>https://drive.google.com/file/d/1wrywWHFAgqPe9xhvWgM1ElqgEoQ65yGm/view?usp=drivesdk</v>
      </c>
      <c r="D4639" s="12"/>
      <c r="E4639" s="11">
        <v>4677.0</v>
      </c>
      <c r="F4639" s="2"/>
    </row>
    <row r="4640" ht="1.5" customHeight="1">
      <c r="A4640" s="4" t="str">
        <f>IFERROR(__xludf.DUMMYFUNCTION("""COMPUTED_VALUE"""),"2. Twix")</f>
        <v>2. Twix</v>
      </c>
      <c r="B4640" s="4" t="str">
        <f>IFERROR(__xludf.DUMMYFUNCTION("""COMPUTED_VALUE"""),"2")</f>
        <v>2</v>
      </c>
      <c r="C4640" s="5" t="str">
        <f>IFERROR(__xludf.DUMMYFUNCTION("""COMPUTED_VALUE"""),"https://drive.google.com/file/d/1Q7R8R1wEmEN4-48dXjJPQnfEQ403O3Ue/view?usp=drivesdk")</f>
        <v>https://drive.google.com/file/d/1Q7R8R1wEmEN4-48dXjJPQnfEQ403O3Ue/view?usp=drivesdk</v>
      </c>
      <c r="D4640" s="12"/>
      <c r="E4640" s="11">
        <v>4678.0</v>
      </c>
      <c r="F4640" s="2"/>
    </row>
    <row r="4641" ht="1.5" customHeight="1">
      <c r="A4641" s="4" t="str">
        <f>IFERROR(__xludf.DUMMYFUNCTION("""COMPUTED_VALUE"""),"5. Eraser")</f>
        <v>5. Eraser</v>
      </c>
      <c r="B4641" s="4" t="str">
        <f>IFERROR(__xludf.DUMMYFUNCTION("""COMPUTED_VALUE"""),"5")</f>
        <v>5</v>
      </c>
      <c r="C4641" s="5" t="str">
        <f>IFERROR(__xludf.DUMMYFUNCTION("""COMPUTED_VALUE"""),"https://drive.google.com/file/d/1WHNM2AKYNCo3GDiP2NnUQMhduPulxy4B/view?usp=drivesdk")</f>
        <v>https://drive.google.com/file/d/1WHNM2AKYNCo3GDiP2NnUQMhduPulxy4B/view?usp=drivesdk</v>
      </c>
      <c r="D4641" s="12"/>
      <c r="E4641" s="11">
        <v>4679.0</v>
      </c>
      <c r="F4641" s="2"/>
    </row>
    <row r="4642" ht="1.5" customHeight="1">
      <c r="A4642" s="4" t="str">
        <f>IFERROR(__xludf.DUMMYFUNCTION("""COMPUTED_VALUE"""),"63. Mr Stinky")</f>
        <v>63. Mr Stinky</v>
      </c>
      <c r="B4642" s="4" t="str">
        <f>IFERROR(__xludf.DUMMYFUNCTION("""COMPUTED_VALUE"""),"63")</f>
        <v>63</v>
      </c>
      <c r="C4642" s="5" t="str">
        <f>IFERROR(__xludf.DUMMYFUNCTION("""COMPUTED_VALUE"""),"https://drive.google.com/file/d/1OYL4Mz-fgzUvO_rztDKVjONIdndDfbDk/view?usp=drivesdk")</f>
        <v>https://drive.google.com/file/d/1OYL4Mz-fgzUvO_rztDKVjONIdndDfbDk/view?usp=drivesdk</v>
      </c>
      <c r="D4642" s="12"/>
      <c r="E4642" s="11">
        <v>4680.0</v>
      </c>
      <c r="F4642" s="2"/>
    </row>
    <row r="4643" ht="1.5" customHeight="1">
      <c r="A4643" s="4" t="str">
        <f>IFERROR(__xludf.DUMMYFUNCTION("""COMPUTED_VALUE"""),"17. Bobbie")</f>
        <v>17. Bobbie</v>
      </c>
      <c r="B4643" s="4" t="str">
        <f>IFERROR(__xludf.DUMMYFUNCTION("""COMPUTED_VALUE"""),"17")</f>
        <v>17</v>
      </c>
      <c r="C4643" s="5" t="str">
        <f>IFERROR(__xludf.DUMMYFUNCTION("""COMPUTED_VALUE"""),"https://drive.google.com/file/d/1JfnTnc0W-w6w0QaCulxaik8yNqd9zbuU/view?usp=drivesdk")</f>
        <v>https://drive.google.com/file/d/1JfnTnc0W-w6w0QaCulxaik8yNqd9zbuU/view?usp=drivesdk</v>
      </c>
      <c r="D4643" s="12"/>
      <c r="E4643" s="11">
        <v>4681.0</v>
      </c>
      <c r="F4643" s="2"/>
    </row>
    <row r="4644" ht="1.5" customHeight="1">
      <c r="A4644" s="4" t="str">
        <f>IFERROR(__xludf.DUMMYFUNCTION("""COMPUTED_VALUE"""),"17. Bobbie")</f>
        <v>17. Bobbie</v>
      </c>
      <c r="B4644" s="4" t="str">
        <f>IFERROR(__xludf.DUMMYFUNCTION("""COMPUTED_VALUE"""),"17")</f>
        <v>17</v>
      </c>
      <c r="C4644" s="5" t="str">
        <f>IFERROR(__xludf.DUMMYFUNCTION("""COMPUTED_VALUE"""),"https://drive.google.com/file/d/16TH_lshRnZlgxolfQAGQExQYxptMvOG9/view?usp=drivesdk")</f>
        <v>https://drive.google.com/file/d/16TH_lshRnZlgxolfQAGQExQYxptMvOG9/view?usp=drivesdk</v>
      </c>
      <c r="D4644" s="12"/>
      <c r="E4644" s="11">
        <v>4682.0</v>
      </c>
      <c r="F4644" s="2"/>
    </row>
    <row r="4645" ht="1.5" customHeight="1">
      <c r="A4645" s="4" t="str">
        <f>IFERROR(__xludf.DUMMYFUNCTION("""COMPUTED_VALUE"""),"6. Snickers")</f>
        <v>6. Snickers</v>
      </c>
      <c r="B4645" s="4" t="str">
        <f>IFERROR(__xludf.DUMMYFUNCTION("""COMPUTED_VALUE"""),"6")</f>
        <v>6</v>
      </c>
      <c r="C4645" s="5" t="str">
        <f>IFERROR(__xludf.DUMMYFUNCTION("""COMPUTED_VALUE"""),"https://drive.google.com/file/d/1vhWQSWYAJ7J8OTYeNnoZrWED3jhbtqsp/view?usp=drivesdk")</f>
        <v>https://drive.google.com/file/d/1vhWQSWYAJ7J8OTYeNnoZrWED3jhbtqsp/view?usp=drivesdk</v>
      </c>
      <c r="D4645" s="12"/>
      <c r="E4645" s="11">
        <v>4683.0</v>
      </c>
      <c r="F4645" s="2"/>
    </row>
    <row r="4646" ht="1.5" customHeight="1">
      <c r="A4646" s="4" t="str">
        <f>IFERROR(__xludf.DUMMYFUNCTION("""COMPUTED_VALUE"""),"1. Microwave")</f>
        <v>1. Microwave</v>
      </c>
      <c r="B4646" s="4" t="str">
        <f>IFERROR(__xludf.DUMMYFUNCTION("""COMPUTED_VALUE"""),"1")</f>
        <v>1</v>
      </c>
      <c r="C4646" s="5" t="str">
        <f>IFERROR(__xludf.DUMMYFUNCTION("""COMPUTED_VALUE"""),"https://drive.google.com/file/d/1iDn9lln15M6K4mYgeHDaacLVA1updWyc/view?usp=drivesdk")</f>
        <v>https://drive.google.com/file/d/1iDn9lln15M6K4mYgeHDaacLVA1updWyc/view?usp=drivesdk</v>
      </c>
      <c r="D4646" s="12"/>
      <c r="E4646" s="11">
        <v>4684.0</v>
      </c>
      <c r="F4646" s="2"/>
    </row>
    <row r="4647" ht="1.5" customHeight="1">
      <c r="A4647" s="4" t="str">
        <f>IFERROR(__xludf.DUMMYFUNCTION("""COMPUTED_VALUE"""),"1. Microwave")</f>
        <v>1. Microwave</v>
      </c>
      <c r="B4647" s="4" t="str">
        <f>IFERROR(__xludf.DUMMYFUNCTION("""COMPUTED_VALUE"""),"1")</f>
        <v>1</v>
      </c>
      <c r="C4647" s="5" t="str">
        <f>IFERROR(__xludf.DUMMYFUNCTION("""COMPUTED_VALUE"""),"https://drive.google.com/file/d/1QwYC7j198QzWtGDymM-0aThXcnnOqZji/view?usp=drivesdk")</f>
        <v>https://drive.google.com/file/d/1QwYC7j198QzWtGDymM-0aThXcnnOqZji/view?usp=drivesdk</v>
      </c>
      <c r="D4647" s="12"/>
      <c r="E4647" s="11">
        <v>4685.0</v>
      </c>
      <c r="F4647" s="2"/>
    </row>
    <row r="4648" ht="1.5" customHeight="1">
      <c r="A4648" s="4" t="str">
        <f>IFERROR(__xludf.DUMMYFUNCTION("""COMPUTED_VALUE"""),"1. Microwave")</f>
        <v>1. Microwave</v>
      </c>
      <c r="B4648" s="4" t="str">
        <f>IFERROR(__xludf.DUMMYFUNCTION("""COMPUTED_VALUE"""),"1")</f>
        <v>1</v>
      </c>
      <c r="C4648" s="5" t="str">
        <f>IFERROR(__xludf.DUMMYFUNCTION("""COMPUTED_VALUE"""),"https://drive.google.com/file/d/1eJI9uPpOLMXEy6c5HdcqxL0m889HvWi4/view?usp=drivesdk")</f>
        <v>https://drive.google.com/file/d/1eJI9uPpOLMXEy6c5HdcqxL0m889HvWi4/view?usp=drivesdk</v>
      </c>
      <c r="D4648" s="12"/>
      <c r="E4648" s="11">
        <v>4686.0</v>
      </c>
      <c r="F4648" s="2"/>
    </row>
    <row r="4649" ht="1.5" customHeight="1">
      <c r="A4649" s="4" t="str">
        <f>IFERROR(__xludf.DUMMYFUNCTION("""COMPUTED_VALUE"""),"2. Twix")</f>
        <v>2. Twix</v>
      </c>
      <c r="B4649" s="4" t="str">
        <f>IFERROR(__xludf.DUMMYFUNCTION("""COMPUTED_VALUE"""),"2")</f>
        <v>2</v>
      </c>
      <c r="C4649" s="5" t="str">
        <f>IFERROR(__xludf.DUMMYFUNCTION("""COMPUTED_VALUE"""),"https://drive.google.com/file/d/1eSrGbmpsc1KEF1vWXrLxmF10-IYf6LVp/view?usp=drivesdk")</f>
        <v>https://drive.google.com/file/d/1eSrGbmpsc1KEF1vWXrLxmF10-IYf6LVp/view?usp=drivesdk</v>
      </c>
      <c r="D4649" s="12"/>
      <c r="E4649" s="11">
        <v>4687.0</v>
      </c>
      <c r="F4649" s="2"/>
    </row>
    <row r="4650" ht="1.5" customHeight="1">
      <c r="A4650" s="4" t="str">
        <f>IFERROR(__xludf.DUMMYFUNCTION("""COMPUTED_VALUE"""),"6. Snickers")</f>
        <v>6. Snickers</v>
      </c>
      <c r="B4650" s="4" t="str">
        <f>IFERROR(__xludf.DUMMYFUNCTION("""COMPUTED_VALUE"""),"6")</f>
        <v>6</v>
      </c>
      <c r="C4650" s="5" t="str">
        <f>IFERROR(__xludf.DUMMYFUNCTION("""COMPUTED_VALUE"""),"https://drive.google.com/file/d/1_VuAbCaMQSBMyms1RrryYnbSg7YIczIH/view?usp=drivesdk")</f>
        <v>https://drive.google.com/file/d/1_VuAbCaMQSBMyms1RrryYnbSg7YIczIH/view?usp=drivesdk</v>
      </c>
      <c r="D4650" s="12"/>
      <c r="E4650" s="11">
        <v>4688.0</v>
      </c>
      <c r="F4650" s="2"/>
    </row>
    <row r="4651" ht="1.5" customHeight="1">
      <c r="A4651" s="4" t="str">
        <f>IFERROR(__xludf.DUMMYFUNCTION("""COMPUTED_VALUE"""),"1. Microwave")</f>
        <v>1. Microwave</v>
      </c>
      <c r="B4651" s="4" t="str">
        <f>IFERROR(__xludf.DUMMYFUNCTION("""COMPUTED_VALUE"""),"1")</f>
        <v>1</v>
      </c>
      <c r="C4651" s="5" t="str">
        <f>IFERROR(__xludf.DUMMYFUNCTION("""COMPUTED_VALUE"""),"https://drive.google.com/file/d/1cOCgbcsi-EK5BEzYHB9wN8txwQBoizD_/view?usp=drivesdk")</f>
        <v>https://drive.google.com/file/d/1cOCgbcsi-EK5BEzYHB9wN8txwQBoizD_/view?usp=drivesdk</v>
      </c>
      <c r="D4651" s="12"/>
      <c r="E4651" s="11">
        <v>4689.0</v>
      </c>
      <c r="F4651" s="2"/>
    </row>
    <row r="4652" ht="1.5" customHeight="1">
      <c r="A4652" s="4" t="str">
        <f>IFERROR(__xludf.DUMMYFUNCTION("""COMPUTED_VALUE"""),"1. Microwave")</f>
        <v>1. Microwave</v>
      </c>
      <c r="B4652" s="4" t="str">
        <f>IFERROR(__xludf.DUMMYFUNCTION("""COMPUTED_VALUE"""),"1")</f>
        <v>1</v>
      </c>
      <c r="C4652" s="5" t="str">
        <f>IFERROR(__xludf.DUMMYFUNCTION("""COMPUTED_VALUE"""),"https://drive.google.com/file/d/1043u1UKNL80LZXA13oejrYum8t4p4AMl/view?usp=drivesdk")</f>
        <v>https://drive.google.com/file/d/1043u1UKNL80LZXA13oejrYum8t4p4AMl/view?usp=drivesdk</v>
      </c>
      <c r="D4652" s="12"/>
      <c r="E4652" s="11">
        <v>4690.0</v>
      </c>
      <c r="F4652" s="2"/>
    </row>
    <row r="4653" ht="1.5" customHeight="1">
      <c r="A4653" s="4" t="str">
        <f>IFERROR(__xludf.DUMMYFUNCTION("""COMPUTED_VALUE"""),"1. Microwave")</f>
        <v>1. Microwave</v>
      </c>
      <c r="B4653" s="4" t="str">
        <f>IFERROR(__xludf.DUMMYFUNCTION("""COMPUTED_VALUE"""),"1")</f>
        <v>1</v>
      </c>
      <c r="C4653" s="5" t="str">
        <f>IFERROR(__xludf.DUMMYFUNCTION("""COMPUTED_VALUE"""),"https://drive.google.com/file/d/1yslutZkQaTEcIrrKoISLaiUKAF_gtNGY/view?usp=drivesdk")</f>
        <v>https://drive.google.com/file/d/1yslutZkQaTEcIrrKoISLaiUKAF_gtNGY/view?usp=drivesdk</v>
      </c>
      <c r="D4653" s="12"/>
      <c r="E4653" s="11">
        <v>4691.0</v>
      </c>
      <c r="F4653" s="2"/>
    </row>
    <row r="4654" ht="1.5" customHeight="1">
      <c r="A4654" s="4" t="str">
        <f>IFERROR(__xludf.DUMMYFUNCTION("""COMPUTED_VALUE"""),"1. Microwave")</f>
        <v>1. Microwave</v>
      </c>
      <c r="B4654" s="4" t="str">
        <f>IFERROR(__xludf.DUMMYFUNCTION("""COMPUTED_VALUE"""),"1")</f>
        <v>1</v>
      </c>
      <c r="C4654" s="5" t="str">
        <f>IFERROR(__xludf.DUMMYFUNCTION("""COMPUTED_VALUE"""),"https://drive.google.com/file/d/16xsP5DooiLo1ty_JZ9L6xyxuSiyvX3ep/view?usp=drivesdk")</f>
        <v>https://drive.google.com/file/d/16xsP5DooiLo1ty_JZ9L6xyxuSiyvX3ep/view?usp=drivesdk</v>
      </c>
      <c r="D4654" s="12"/>
      <c r="E4654" s="11">
        <v>4692.0</v>
      </c>
      <c r="F4654" s="2"/>
    </row>
    <row r="4655" ht="1.5" customHeight="1">
      <c r="A4655" s="4" t="str">
        <f>IFERROR(__xludf.DUMMYFUNCTION("""COMPUTED_VALUE"""),"1. Microwave")</f>
        <v>1. Microwave</v>
      </c>
      <c r="B4655" s="4" t="str">
        <f>IFERROR(__xludf.DUMMYFUNCTION("""COMPUTED_VALUE"""),"1")</f>
        <v>1</v>
      </c>
      <c r="C4655" s="5" t="str">
        <f>IFERROR(__xludf.DUMMYFUNCTION("""COMPUTED_VALUE"""),"https://drive.google.com/file/d/1cGvdbMDhHQT1g40rVJtIuaqwc33wjkzs/view?usp=drivesdk")</f>
        <v>https://drive.google.com/file/d/1cGvdbMDhHQT1g40rVJtIuaqwc33wjkzs/view?usp=drivesdk</v>
      </c>
      <c r="D4655" s="12"/>
      <c r="E4655" s="11">
        <v>4693.0</v>
      </c>
      <c r="F4655" s="2"/>
    </row>
    <row r="4656" ht="1.5" customHeight="1">
      <c r="A4656" s="4" t="str">
        <f>IFERROR(__xludf.DUMMYFUNCTION("""COMPUTED_VALUE"""),"1. Microwave")</f>
        <v>1. Microwave</v>
      </c>
      <c r="B4656" s="4" t="str">
        <f>IFERROR(__xludf.DUMMYFUNCTION("""COMPUTED_VALUE"""),"1")</f>
        <v>1</v>
      </c>
      <c r="C4656" s="5" t="str">
        <f>IFERROR(__xludf.DUMMYFUNCTION("""COMPUTED_VALUE"""),"https://drive.google.com/file/d/1nsEYrHucrPW_XqeguNrOt26Km36ny09E/view?usp=drivesdk")</f>
        <v>https://drive.google.com/file/d/1nsEYrHucrPW_XqeguNrOt26Km36ny09E/view?usp=drivesdk</v>
      </c>
      <c r="D4656" s="12"/>
      <c r="E4656" s="11">
        <v>4694.0</v>
      </c>
      <c r="F4656" s="2"/>
    </row>
    <row r="4657" ht="1.5" customHeight="1">
      <c r="A4657" s="4" t="str">
        <f>IFERROR(__xludf.DUMMYFUNCTION("""COMPUTED_VALUE"""),"1. Microwave")</f>
        <v>1. Microwave</v>
      </c>
      <c r="B4657" s="4" t="str">
        <f>IFERROR(__xludf.DUMMYFUNCTION("""COMPUTED_VALUE"""),"1")</f>
        <v>1</v>
      </c>
      <c r="C4657" s="5" t="str">
        <f>IFERROR(__xludf.DUMMYFUNCTION("""COMPUTED_VALUE"""),"https://drive.google.com/file/d/1eC7I21p_ivup4Cbvh_opislh6dtu_kEQ/view?usp=drivesdk")</f>
        <v>https://drive.google.com/file/d/1eC7I21p_ivup4Cbvh_opislh6dtu_kEQ/view?usp=drivesdk</v>
      </c>
      <c r="D4657" s="12"/>
      <c r="E4657" s="11">
        <v>4695.0</v>
      </c>
      <c r="F4657" s="2"/>
    </row>
    <row r="4658" ht="1.5" customHeight="1">
      <c r="A4658" s="4" t="str">
        <f>IFERROR(__xludf.DUMMYFUNCTION("""COMPUTED_VALUE"""),"1. Microwave")</f>
        <v>1. Microwave</v>
      </c>
      <c r="B4658" s="4" t="str">
        <f>IFERROR(__xludf.DUMMYFUNCTION("""COMPUTED_VALUE"""),"1")</f>
        <v>1</v>
      </c>
      <c r="C4658" s="5" t="str">
        <f>IFERROR(__xludf.DUMMYFUNCTION("""COMPUTED_VALUE"""),"https://drive.google.com/file/d/1HrsZU8X-QLJfMFJ0jHj8DgMGlZuiJ-8E/view?usp=drivesdk")</f>
        <v>https://drive.google.com/file/d/1HrsZU8X-QLJfMFJ0jHj8DgMGlZuiJ-8E/view?usp=drivesdk</v>
      </c>
      <c r="D4658" s="12"/>
      <c r="E4658" s="11">
        <v>4696.0</v>
      </c>
      <c r="F4658" s="2"/>
    </row>
    <row r="4659" ht="1.5" customHeight="1">
      <c r="A4659" s="4" t="str">
        <f>IFERROR(__xludf.DUMMYFUNCTION("""COMPUTED_VALUE"""),"88. Vincente, 12. Faye, 45. Boots, 42. Rubber")</f>
        <v>88. Vincente, 12. Faye, 45. Boots, 42. Rubber</v>
      </c>
      <c r="B4659" s="4" t="str">
        <f>IFERROR(__xludf.DUMMYFUNCTION("""COMPUTED_VALUE"""),"88, 12, 45, 42")</f>
        <v>88, 12, 45, 42</v>
      </c>
      <c r="C4659" s="5" t="str">
        <f>IFERROR(__xludf.DUMMYFUNCTION("""COMPUTED_VALUE"""),"https://drive.google.com/file/d/1O9-rLxNVUiTWl8eIZBHs5EygqFE7J3AR/view?usp=drivesdk")</f>
        <v>https://drive.google.com/file/d/1O9-rLxNVUiTWl8eIZBHs5EygqFE7J3AR/view?usp=drivesdk</v>
      </c>
      <c r="D4659" s="12"/>
      <c r="E4659" s="11">
        <v>4697.0</v>
      </c>
      <c r="F4659" s="2"/>
    </row>
    <row r="4660" ht="1.5" customHeight="1">
      <c r="A4660" s="4" t="str">
        <f>IFERROR(__xludf.DUMMYFUNCTION("""COMPUTED_VALUE"""),"88. Vincente, 12. Faye, 45. Boots, 42. Rubber")</f>
        <v>88. Vincente, 12. Faye, 45. Boots, 42. Rubber</v>
      </c>
      <c r="B4660" s="4" t="str">
        <f>IFERROR(__xludf.DUMMYFUNCTION("""COMPUTED_VALUE"""),"88, 12, 45, 42")</f>
        <v>88, 12, 45, 42</v>
      </c>
      <c r="C4660" s="5" t="str">
        <f>IFERROR(__xludf.DUMMYFUNCTION("""COMPUTED_VALUE"""),"https://drive.google.com/file/d/1PMMtKgVYGcghgfIwcalw5QnU8hEd0fYj/view?usp=drivesdk")</f>
        <v>https://drive.google.com/file/d/1PMMtKgVYGcghgfIwcalw5QnU8hEd0fYj/view?usp=drivesdk</v>
      </c>
      <c r="D4660" s="12"/>
      <c r="E4660" s="11">
        <v>4698.0</v>
      </c>
      <c r="F4660" s="2"/>
    </row>
    <row r="4661" ht="1.5" customHeight="1">
      <c r="A4661" s="4" t="str">
        <f>IFERROR(__xludf.DUMMYFUNCTION("""COMPUTED_VALUE"""),"88. Vincente")</f>
        <v>88. Vincente</v>
      </c>
      <c r="B4661" s="4" t="str">
        <f>IFERROR(__xludf.DUMMYFUNCTION("""COMPUTED_VALUE"""),"88")</f>
        <v>88</v>
      </c>
      <c r="C4661" s="5" t="str">
        <f>IFERROR(__xludf.DUMMYFUNCTION("""COMPUTED_VALUE"""),"https://drive.google.com/file/d/1YvjM2RasvuXeZmJOTg2LsDqadJ9aXVl4/view?usp=drivesdk")</f>
        <v>https://drive.google.com/file/d/1YvjM2RasvuXeZmJOTg2LsDqadJ9aXVl4/view?usp=drivesdk</v>
      </c>
      <c r="D4661" s="12"/>
      <c r="E4661" s="11">
        <v>4699.0</v>
      </c>
      <c r="F4661" s="2"/>
    </row>
    <row r="4662" ht="1.5" customHeight="1">
      <c r="A4662" s="4" t="str">
        <f>IFERROR(__xludf.DUMMYFUNCTION("""COMPUTED_VALUE"""),"12. Faye, 88. Vincente")</f>
        <v>12. Faye, 88. Vincente</v>
      </c>
      <c r="B4662" s="4" t="str">
        <f>IFERROR(__xludf.DUMMYFUNCTION("""COMPUTED_VALUE"""),"12, 88")</f>
        <v>12, 88</v>
      </c>
      <c r="C4662" s="5" t="str">
        <f>IFERROR(__xludf.DUMMYFUNCTION("""COMPUTED_VALUE"""),"https://drive.google.com/file/d/11zHN9diio6tkYOQri_drNPVbUc15_9Cx/view?usp=drivesdk")</f>
        <v>https://drive.google.com/file/d/11zHN9diio6tkYOQri_drNPVbUc15_9Cx/view?usp=drivesdk</v>
      </c>
      <c r="D4662" s="12"/>
      <c r="E4662" s="11">
        <v>4700.0</v>
      </c>
      <c r="F4662" s="2"/>
    </row>
    <row r="4663" ht="1.5" customHeight="1">
      <c r="A4663" s="4" t="str">
        <f>IFERROR(__xludf.DUMMYFUNCTION("""COMPUTED_VALUE"""),"88. Vincente")</f>
        <v>88. Vincente</v>
      </c>
      <c r="B4663" s="4" t="str">
        <f>IFERROR(__xludf.DUMMYFUNCTION("""COMPUTED_VALUE"""),"88")</f>
        <v>88</v>
      </c>
      <c r="C4663" s="5" t="str">
        <f>IFERROR(__xludf.DUMMYFUNCTION("""COMPUTED_VALUE"""),"https://drive.google.com/file/d/1pv4yxm2J6C0NhC0TnTNGFb-QfJr0JW1Q/view?usp=drivesdk")</f>
        <v>https://drive.google.com/file/d/1pv4yxm2J6C0NhC0TnTNGFb-QfJr0JW1Q/view?usp=drivesdk</v>
      </c>
      <c r="D4663" s="12"/>
      <c r="E4663" s="11">
        <v>4701.0</v>
      </c>
      <c r="F4663" s="2"/>
    </row>
    <row r="4664" ht="1.5" customHeight="1">
      <c r="A4664" s="4" t="str">
        <f>IFERROR(__xludf.DUMMYFUNCTION("""COMPUTED_VALUE"""),"88. Vincente, 44. Shitbag Cuntface")</f>
        <v>88. Vincente, 44. Shitbag Cuntface</v>
      </c>
      <c r="B4664" s="4" t="str">
        <f>IFERROR(__xludf.DUMMYFUNCTION("""COMPUTED_VALUE"""),"88, 44")</f>
        <v>88, 44</v>
      </c>
      <c r="C4664" s="5" t="str">
        <f>IFERROR(__xludf.DUMMYFUNCTION("""COMPUTED_VALUE"""),"https://drive.google.com/file/d/14GUnmjaJ7Lf_cZJyfaPyTV0Q-gU5uvzI/view?usp=drivesdk")</f>
        <v>https://drive.google.com/file/d/14GUnmjaJ7Lf_cZJyfaPyTV0Q-gU5uvzI/view?usp=drivesdk</v>
      </c>
      <c r="D4664" s="12"/>
      <c r="E4664" s="11">
        <v>4702.0</v>
      </c>
      <c r="F4664" s="2"/>
    </row>
    <row r="4665" ht="1.5" customHeight="1">
      <c r="A4665" s="4" t="str">
        <f>IFERROR(__xludf.DUMMYFUNCTION("""COMPUTED_VALUE"""),"88. Vincente, 44. Shitbag Cuntface")</f>
        <v>88. Vincente, 44. Shitbag Cuntface</v>
      </c>
      <c r="B4665" s="4" t="str">
        <f>IFERROR(__xludf.DUMMYFUNCTION("""COMPUTED_VALUE"""),"88, 44")</f>
        <v>88, 44</v>
      </c>
      <c r="C4665" s="5" t="str">
        <f>IFERROR(__xludf.DUMMYFUNCTION("""COMPUTED_VALUE"""),"https://drive.google.com/file/d/1ulx-CKyvRGewBG9G38PlsOyeN4JSwANB/view?usp=drivesdk")</f>
        <v>https://drive.google.com/file/d/1ulx-CKyvRGewBG9G38PlsOyeN4JSwANB/view?usp=drivesdk</v>
      </c>
      <c r="D4665" s="12"/>
      <c r="E4665" s="11">
        <v>4703.0</v>
      </c>
      <c r="F4665" s="2"/>
    </row>
    <row r="4666" ht="1.5" customHeight="1">
      <c r="A4666" s="4" t="str">
        <f>IFERROR(__xludf.DUMMYFUNCTION("""COMPUTED_VALUE"""),"62. Gorygreg, 88. Vincente")</f>
        <v>62. Gorygreg, 88. Vincente</v>
      </c>
      <c r="B4666" s="4" t="str">
        <f>IFERROR(__xludf.DUMMYFUNCTION("""COMPUTED_VALUE"""),"62, 88")</f>
        <v>62, 88</v>
      </c>
      <c r="C4666" s="5" t="str">
        <f>IFERROR(__xludf.DUMMYFUNCTION("""COMPUTED_VALUE"""),"https://drive.google.com/file/d/1X3fZMpy1n8Pc-FtCWOpRNsrKL3dofAfo/view?usp=drivesdk")</f>
        <v>https://drive.google.com/file/d/1X3fZMpy1n8Pc-FtCWOpRNsrKL3dofAfo/view?usp=drivesdk</v>
      </c>
      <c r="D4666" s="12"/>
      <c r="E4666" s="11">
        <v>4704.0</v>
      </c>
      <c r="F4666" s="2"/>
    </row>
    <row r="4667" ht="1.5" customHeight="1">
      <c r="A4667" s="4" t="str">
        <f>IFERROR(__xludf.DUMMYFUNCTION("""COMPUTED_VALUE"""),"88. Vincente, 62. Gorygreg")</f>
        <v>88. Vincente, 62. Gorygreg</v>
      </c>
      <c r="B4667" s="4" t="str">
        <f>IFERROR(__xludf.DUMMYFUNCTION("""COMPUTED_VALUE"""),"88, 62")</f>
        <v>88, 62</v>
      </c>
      <c r="C4667" s="5" t="str">
        <f>IFERROR(__xludf.DUMMYFUNCTION("""COMPUTED_VALUE"""),"https://drive.google.com/file/d/1CheaSTxjRHl1cM1vCAaWiCRc_5irSAY1/view?usp=drivesdk")</f>
        <v>https://drive.google.com/file/d/1CheaSTxjRHl1cM1vCAaWiCRc_5irSAY1/view?usp=drivesdk</v>
      </c>
      <c r="D4667" s="12"/>
      <c r="E4667" s="11">
        <v>4705.0</v>
      </c>
      <c r="F4667" s="2"/>
    </row>
    <row r="4668" ht="1.5" customHeight="1">
      <c r="A4668" s="4" t="str">
        <f>IFERROR(__xludf.DUMMYFUNCTION("""COMPUTED_VALUE"""),"58. Eden, 41. Gregory, 45. Boots")</f>
        <v>58. Eden, 41. Gregory, 45. Boots</v>
      </c>
      <c r="B4668" s="4" t="str">
        <f>IFERROR(__xludf.DUMMYFUNCTION("""COMPUTED_VALUE"""),"58, 41, 45")</f>
        <v>58, 41, 45</v>
      </c>
      <c r="C4668" s="5" t="str">
        <f>IFERROR(__xludf.DUMMYFUNCTION("""COMPUTED_VALUE"""),"https://drive.google.com/file/d/1uuVppCRL6F6REyfabDtuMI63dqiD2R4k/view?usp=drivesdk")</f>
        <v>https://drive.google.com/file/d/1uuVppCRL6F6REyfabDtuMI63dqiD2R4k/view?usp=drivesdk</v>
      </c>
      <c r="D4668" s="12"/>
      <c r="E4668" s="11">
        <v>4706.0</v>
      </c>
      <c r="F4668" s="2"/>
    </row>
    <row r="4669" ht="1.5" customHeight="1">
      <c r="A4669" s="4" t="str">
        <f>IFERROR(__xludf.DUMMYFUNCTION("""COMPUTED_VALUE"""),"58. Eden, 45. Boots, 41. Gregory")</f>
        <v>58. Eden, 45. Boots, 41. Gregory</v>
      </c>
      <c r="B4669" s="4" t="str">
        <f>IFERROR(__xludf.DUMMYFUNCTION("""COMPUTED_VALUE"""),"58, 45, 41")</f>
        <v>58, 45, 41</v>
      </c>
      <c r="C4669" s="5" t="str">
        <f>IFERROR(__xludf.DUMMYFUNCTION("""COMPUTED_VALUE"""),"https://drive.google.com/file/d/14UO5_v8w-gDU4rYbM67eAAldOqGRu649/view?usp=drivesdk")</f>
        <v>https://drive.google.com/file/d/14UO5_v8w-gDU4rYbM67eAAldOqGRu649/view?usp=drivesdk</v>
      </c>
      <c r="D4669" s="12"/>
      <c r="E4669" s="11">
        <v>4707.0</v>
      </c>
      <c r="F4669" s="2"/>
    </row>
    <row r="4670" ht="1.5" customHeight="1">
      <c r="A4670" s="4" t="str">
        <f>IFERROR(__xludf.DUMMYFUNCTION("""COMPUTED_VALUE"""),"42. Rubber")</f>
        <v>42. Rubber</v>
      </c>
      <c r="B4670" s="4" t="str">
        <f>IFERROR(__xludf.DUMMYFUNCTION("""COMPUTED_VALUE"""),"42")</f>
        <v>42</v>
      </c>
      <c r="C4670" s="5" t="str">
        <f>IFERROR(__xludf.DUMMYFUNCTION("""COMPUTED_VALUE"""),"https://drive.google.com/file/d/1VVi5y-u9J0fjTWy5XsT7r6Jnt_i-C0f2/view?usp=drivesdk")</f>
        <v>https://drive.google.com/file/d/1VVi5y-u9J0fjTWy5XsT7r6Jnt_i-C0f2/view?usp=drivesdk</v>
      </c>
      <c r="D4670" s="12"/>
      <c r="E4670" s="11">
        <v>4708.0</v>
      </c>
      <c r="F4670" s="2"/>
    </row>
    <row r="4671" ht="1.5" customHeight="1">
      <c r="A4671" s="4" t="str">
        <f>IFERROR(__xludf.DUMMYFUNCTION("""COMPUTED_VALUE"""),"58. Eden")</f>
        <v>58. Eden</v>
      </c>
      <c r="B4671" s="4" t="str">
        <f>IFERROR(__xludf.DUMMYFUNCTION("""COMPUTED_VALUE"""),"58")</f>
        <v>58</v>
      </c>
      <c r="C4671" s="5" t="str">
        <f>IFERROR(__xludf.DUMMYFUNCTION("""COMPUTED_VALUE"""),"https://drive.google.com/file/d/1CGFA3wO10RVU57jp6-30ycA5LDEvxrWt/view?usp=drivesdk")</f>
        <v>https://drive.google.com/file/d/1CGFA3wO10RVU57jp6-30ycA5LDEvxrWt/view?usp=drivesdk</v>
      </c>
      <c r="D4671" s="12"/>
      <c r="E4671" s="11">
        <v>4709.0</v>
      </c>
      <c r="F4671" s="2"/>
    </row>
    <row r="4672" ht="1.5" customHeight="1">
      <c r="A4672" s="4" t="str">
        <f>IFERROR(__xludf.DUMMYFUNCTION("""COMPUTED_VALUE"""),"45. Boots, 41. Gregory")</f>
        <v>45. Boots, 41. Gregory</v>
      </c>
      <c r="B4672" s="4" t="str">
        <f>IFERROR(__xludf.DUMMYFUNCTION("""COMPUTED_VALUE"""),"45, 41")</f>
        <v>45, 41</v>
      </c>
      <c r="C4672" s="5" t="str">
        <f>IFERROR(__xludf.DUMMYFUNCTION("""COMPUTED_VALUE"""),"https://drive.google.com/file/d/1xJiffEwEs5N-rK5ZhQyguhoEkDjQLadx/view?usp=drivesdk")</f>
        <v>https://drive.google.com/file/d/1xJiffEwEs5N-rK5ZhQyguhoEkDjQLadx/view?usp=drivesdk</v>
      </c>
      <c r="D4672" s="12"/>
      <c r="E4672" s="11">
        <v>4710.0</v>
      </c>
      <c r="F4672" s="2"/>
    </row>
    <row r="4673" ht="1.5" customHeight="1">
      <c r="A4673" s="4" t="str">
        <f>IFERROR(__xludf.DUMMYFUNCTION("""COMPUTED_VALUE"""),"45. Boots, 41. Gregory, 39. Radar")</f>
        <v>45. Boots, 41. Gregory, 39. Radar</v>
      </c>
      <c r="B4673" s="4" t="str">
        <f>IFERROR(__xludf.DUMMYFUNCTION("""COMPUTED_VALUE"""),"45, 41, 39")</f>
        <v>45, 41, 39</v>
      </c>
      <c r="C4673" s="5" t="str">
        <f>IFERROR(__xludf.DUMMYFUNCTION("""COMPUTED_VALUE"""),"https://drive.google.com/file/d/1yn8oYnizxHoumh5xghZUMrG00QUJO5ho/view?usp=drivesdk")</f>
        <v>https://drive.google.com/file/d/1yn8oYnizxHoumh5xghZUMrG00QUJO5ho/view?usp=drivesdk</v>
      </c>
      <c r="D4673" s="12"/>
      <c r="E4673" s="11">
        <v>4711.0</v>
      </c>
      <c r="F4673" s="2"/>
    </row>
    <row r="4674" ht="1.5" customHeight="1">
      <c r="A4674" s="4" t="str">
        <f>IFERROR(__xludf.DUMMYFUNCTION("""COMPUTED_VALUE"""),"88. Vincente")</f>
        <v>88. Vincente</v>
      </c>
      <c r="B4674" s="4" t="str">
        <f>IFERROR(__xludf.DUMMYFUNCTION("""COMPUTED_VALUE"""),"88")</f>
        <v>88</v>
      </c>
      <c r="C4674" s="5" t="str">
        <f>IFERROR(__xludf.DUMMYFUNCTION("""COMPUTED_VALUE"""),"https://drive.google.com/file/d/1cGo_KZ6gWAVa6aiWM_P1VeFigx-cexiA/view?usp=drivesdk")</f>
        <v>https://drive.google.com/file/d/1cGo_KZ6gWAVa6aiWM_P1VeFigx-cexiA/view?usp=drivesdk</v>
      </c>
      <c r="D4674" s="12"/>
      <c r="E4674" s="11">
        <v>4712.0</v>
      </c>
      <c r="F4674" s="2"/>
    </row>
    <row r="4675" ht="1.5" customHeight="1">
      <c r="A4675" s="4" t="str">
        <f>IFERROR(__xludf.DUMMYFUNCTION("""COMPUTED_VALUE"""),"58. Eden, 45. Boots, 41. Gregory")</f>
        <v>58. Eden, 45. Boots, 41. Gregory</v>
      </c>
      <c r="B4675" s="4" t="str">
        <f>IFERROR(__xludf.DUMMYFUNCTION("""COMPUTED_VALUE"""),"58, 45, 41")</f>
        <v>58, 45, 41</v>
      </c>
      <c r="C4675" s="5" t="str">
        <f>IFERROR(__xludf.DUMMYFUNCTION("""COMPUTED_VALUE"""),"https://drive.google.com/file/d/1u7AcFYhV1MPn5bBycSWtT448N_S-lBrO/view?usp=drivesdk")</f>
        <v>https://drive.google.com/file/d/1u7AcFYhV1MPn5bBycSWtT448N_S-lBrO/view?usp=drivesdk</v>
      </c>
      <c r="D4675" s="12"/>
      <c r="E4675" s="11">
        <v>4713.0</v>
      </c>
      <c r="F4675" s="2"/>
    </row>
    <row r="4676" ht="1.5" customHeight="1">
      <c r="A4676" s="4" t="str">
        <f>IFERROR(__xludf.DUMMYFUNCTION("""COMPUTED_VALUE"""),"58. Eden, 45. Boots, 41. Gregory")</f>
        <v>58. Eden, 45. Boots, 41. Gregory</v>
      </c>
      <c r="B4676" s="4" t="str">
        <f>IFERROR(__xludf.DUMMYFUNCTION("""COMPUTED_VALUE"""),"58, 45, 41")</f>
        <v>58, 45, 41</v>
      </c>
      <c r="C4676" s="5" t="str">
        <f>IFERROR(__xludf.DUMMYFUNCTION("""COMPUTED_VALUE"""),"https://drive.google.com/file/d/10LxpSV5EOIESf_9ONTnhuOzWrwRxxVlC/view?usp=drivesdk")</f>
        <v>https://drive.google.com/file/d/10LxpSV5EOIESf_9ONTnhuOzWrwRxxVlC/view?usp=drivesdk</v>
      </c>
      <c r="D4676" s="12"/>
      <c r="E4676" s="11">
        <v>4714.0</v>
      </c>
      <c r="F4676" s="2"/>
    </row>
    <row r="4677" ht="1.5" customHeight="1">
      <c r="A4677" s="4" t="str">
        <f>IFERROR(__xludf.DUMMYFUNCTION("""COMPUTED_VALUE"""),"62. Gorygreg, 88. Vincente")</f>
        <v>62. Gorygreg, 88. Vincente</v>
      </c>
      <c r="B4677" s="4" t="str">
        <f>IFERROR(__xludf.DUMMYFUNCTION("""COMPUTED_VALUE"""),"62, 88")</f>
        <v>62, 88</v>
      </c>
      <c r="C4677" s="5" t="str">
        <f>IFERROR(__xludf.DUMMYFUNCTION("""COMPUTED_VALUE"""),"https://drive.google.com/file/d/1amtMEX7dG2IlG97HNRKCnwHFNcl0CmDV/view?usp=drivesdk")</f>
        <v>https://drive.google.com/file/d/1amtMEX7dG2IlG97HNRKCnwHFNcl0CmDV/view?usp=drivesdk</v>
      </c>
      <c r="D4677" s="12"/>
      <c r="E4677" s="11">
        <v>4715.0</v>
      </c>
      <c r="F4677" s="2"/>
    </row>
    <row r="4678" ht="1.5" customHeight="1">
      <c r="A4678" s="4" t="str">
        <f>IFERROR(__xludf.DUMMYFUNCTION("""COMPUTED_VALUE"""),"62. Gorygreg, 88. Vincente")</f>
        <v>62. Gorygreg, 88. Vincente</v>
      </c>
      <c r="B4678" s="4" t="str">
        <f>IFERROR(__xludf.DUMMYFUNCTION("""COMPUTED_VALUE"""),"62, 88")</f>
        <v>62, 88</v>
      </c>
      <c r="C4678" s="5" t="str">
        <f>IFERROR(__xludf.DUMMYFUNCTION("""COMPUTED_VALUE"""),"https://drive.google.com/file/d/1Gj52fPpah940ZZu-VI2JH8w1do-RMYgo/view?usp=drivesdk")</f>
        <v>https://drive.google.com/file/d/1Gj52fPpah940ZZu-VI2JH8w1do-RMYgo/view?usp=drivesdk</v>
      </c>
      <c r="D4678" s="12"/>
      <c r="E4678" s="11">
        <v>4716.0</v>
      </c>
      <c r="F4678" s="2"/>
    </row>
    <row r="4679" ht="1.5" customHeight="1">
      <c r="A4679" s="4" t="str">
        <f>IFERROR(__xludf.DUMMYFUNCTION("""COMPUTED_VALUE"""),"44. Shitbag Cuntface, 62. Gorygreg")</f>
        <v>44. Shitbag Cuntface, 62. Gorygreg</v>
      </c>
      <c r="B4679" s="4" t="str">
        <f>IFERROR(__xludf.DUMMYFUNCTION("""COMPUTED_VALUE"""),"44, 62")</f>
        <v>44, 62</v>
      </c>
      <c r="C4679" s="5" t="str">
        <f>IFERROR(__xludf.DUMMYFUNCTION("""COMPUTED_VALUE"""),"https://drive.google.com/file/d/1C8rY_ii7w7zUIwzutHQudaDedTE9uRlZ/view?usp=drivesdk")</f>
        <v>https://drive.google.com/file/d/1C8rY_ii7w7zUIwzutHQudaDedTE9uRlZ/view?usp=drivesdk</v>
      </c>
      <c r="D4679" s="12"/>
      <c r="E4679" s="11">
        <v>4717.0</v>
      </c>
      <c r="F4679" s="2"/>
    </row>
    <row r="4680" ht="1.5" customHeight="1">
      <c r="A4680" s="4" t="str">
        <f>IFERROR(__xludf.DUMMYFUNCTION("""COMPUTED_VALUE"""),"62. Gorygreg, 44. Shitbag Cuntface")</f>
        <v>62. Gorygreg, 44. Shitbag Cuntface</v>
      </c>
      <c r="B4680" s="4" t="str">
        <f>IFERROR(__xludf.DUMMYFUNCTION("""COMPUTED_VALUE"""),"62, 44")</f>
        <v>62, 44</v>
      </c>
      <c r="C4680" s="5" t="str">
        <f>IFERROR(__xludf.DUMMYFUNCTION("""COMPUTED_VALUE"""),"https://drive.google.com/file/d/1faEjUiUawhVdxEjV0PpPyvKPbdbpxJTl/view?usp=drivesdk")</f>
        <v>https://drive.google.com/file/d/1faEjUiUawhVdxEjV0PpPyvKPbdbpxJTl/view?usp=drivesdk</v>
      </c>
      <c r="D4680" s="12"/>
      <c r="E4680" s="11">
        <v>4718.0</v>
      </c>
      <c r="F4680" s="2"/>
    </row>
    <row r="4681" ht="1.5" customHeight="1">
      <c r="A4681" s="4" t="str">
        <f>IFERROR(__xludf.DUMMYFUNCTION("""COMPUTED_VALUE"""),"62. Gorygreg, 88. Vincente")</f>
        <v>62. Gorygreg, 88. Vincente</v>
      </c>
      <c r="B4681" s="4" t="str">
        <f>IFERROR(__xludf.DUMMYFUNCTION("""COMPUTED_VALUE"""),"62, 88")</f>
        <v>62, 88</v>
      </c>
      <c r="C4681" s="5" t="str">
        <f>IFERROR(__xludf.DUMMYFUNCTION("""COMPUTED_VALUE"""),"https://drive.google.com/file/d/1lL2sxgH9sMiy3ZfyKbcyhuWyc51Mbjh7/view?usp=drivesdk")</f>
        <v>https://drive.google.com/file/d/1lL2sxgH9sMiy3ZfyKbcyhuWyc51Mbjh7/view?usp=drivesdk</v>
      </c>
      <c r="D4681" s="12"/>
      <c r="E4681" s="11">
        <v>4719.0</v>
      </c>
      <c r="F4681" s="2"/>
    </row>
    <row r="4682" ht="1.5" customHeight="1">
      <c r="A4682" s="4" t="str">
        <f>IFERROR(__xludf.DUMMYFUNCTION("""COMPUTED_VALUE"""),"44. Shitbag Cuntface, 62. Gorygreg")</f>
        <v>44. Shitbag Cuntface, 62. Gorygreg</v>
      </c>
      <c r="B4682" s="4" t="str">
        <f>IFERROR(__xludf.DUMMYFUNCTION("""COMPUTED_VALUE"""),"44, 62")</f>
        <v>44, 62</v>
      </c>
      <c r="C4682" s="5" t="str">
        <f>IFERROR(__xludf.DUMMYFUNCTION("""COMPUTED_VALUE"""),"https://drive.google.com/file/d/1cm3FDBoRB474UPdsKBzPlroAP6SKb5KK/view?usp=drivesdk")</f>
        <v>https://drive.google.com/file/d/1cm3FDBoRB474UPdsKBzPlroAP6SKb5KK/view?usp=drivesdk</v>
      </c>
      <c r="D4682" s="12"/>
      <c r="E4682" s="11">
        <v>4720.0</v>
      </c>
      <c r="F4682" s="2"/>
    </row>
    <row r="4683" ht="1.5" customHeight="1">
      <c r="A4683" s="4" t="str">
        <f>IFERROR(__xludf.DUMMYFUNCTION("""COMPUTED_VALUE"""),"62. Gorygreg, 44. Shitbag Cuntface")</f>
        <v>62. Gorygreg, 44. Shitbag Cuntface</v>
      </c>
      <c r="B4683" s="4" t="str">
        <f>IFERROR(__xludf.DUMMYFUNCTION("""COMPUTED_VALUE"""),"62, 44")</f>
        <v>62, 44</v>
      </c>
      <c r="C4683" s="5" t="str">
        <f>IFERROR(__xludf.DUMMYFUNCTION("""COMPUTED_VALUE"""),"https://drive.google.com/file/d/1stUiHhSrZt-v4errWDev94W9aeGbCKvv/view?usp=drivesdk")</f>
        <v>https://drive.google.com/file/d/1stUiHhSrZt-v4errWDev94W9aeGbCKvv/view?usp=drivesdk</v>
      </c>
      <c r="D4683" s="12"/>
      <c r="E4683" s="11">
        <v>4721.0</v>
      </c>
      <c r="F4683" s="2"/>
    </row>
    <row r="4684" ht="1.5" customHeight="1">
      <c r="A4684" s="4" t="str">
        <f>IFERROR(__xludf.DUMMYFUNCTION("""COMPUTED_VALUE"""),"62. Gorygreg")</f>
        <v>62. Gorygreg</v>
      </c>
      <c r="B4684" s="4" t="str">
        <f>IFERROR(__xludf.DUMMYFUNCTION("""COMPUTED_VALUE"""),"62")</f>
        <v>62</v>
      </c>
      <c r="C4684" s="5" t="str">
        <f>IFERROR(__xludf.DUMMYFUNCTION("""COMPUTED_VALUE"""),"https://drive.google.com/file/d/1o-XoKu6hlGSHlYsjY5FVpae4uFZPXewU/view?usp=drivesdk")</f>
        <v>https://drive.google.com/file/d/1o-XoKu6hlGSHlYsjY5FVpae4uFZPXewU/view?usp=drivesdk</v>
      </c>
      <c r="D4684" s="12"/>
      <c r="E4684" s="11">
        <v>4722.0</v>
      </c>
      <c r="F4684" s="2"/>
    </row>
    <row r="4685" ht="1.5" customHeight="1">
      <c r="A4685" s="4" t="str">
        <f>IFERROR(__xludf.DUMMYFUNCTION("""COMPUTED_VALUE"""),"62. Gorygreg")</f>
        <v>62. Gorygreg</v>
      </c>
      <c r="B4685" s="4" t="str">
        <f>IFERROR(__xludf.DUMMYFUNCTION("""COMPUTED_VALUE"""),"62")</f>
        <v>62</v>
      </c>
      <c r="C4685" s="5" t="str">
        <f>IFERROR(__xludf.DUMMYFUNCTION("""COMPUTED_VALUE"""),"https://drive.google.com/file/d/1R6KvWQYBXCSSTA_1BSH0FddiVPTLpNhe/view?usp=drivesdk")</f>
        <v>https://drive.google.com/file/d/1R6KvWQYBXCSSTA_1BSH0FddiVPTLpNhe/view?usp=drivesdk</v>
      </c>
      <c r="D4685" s="12"/>
      <c r="E4685" s="11">
        <v>4723.0</v>
      </c>
      <c r="F4685" s="2"/>
    </row>
    <row r="4686" ht="1.5" customHeight="1">
      <c r="A4686" s="4" t="str">
        <f>IFERROR(__xludf.DUMMYFUNCTION("""COMPUTED_VALUE"""),"44. Shitbag Cuntface")</f>
        <v>44. Shitbag Cuntface</v>
      </c>
      <c r="B4686" s="4" t="str">
        <f>IFERROR(__xludf.DUMMYFUNCTION("""COMPUTED_VALUE"""),"44")</f>
        <v>44</v>
      </c>
      <c r="C4686" s="5" t="str">
        <f>IFERROR(__xludf.DUMMYFUNCTION("""COMPUTED_VALUE"""),"https://drive.google.com/file/d/1u1KNTn8nBpgDttkOndn5LP-QN44-mR_F/view?usp=drivesdk")</f>
        <v>https://drive.google.com/file/d/1u1KNTn8nBpgDttkOndn5LP-QN44-mR_F/view?usp=drivesdk</v>
      </c>
      <c r="D4686" s="12"/>
      <c r="E4686" s="11">
        <v>4724.0</v>
      </c>
      <c r="F4686" s="2"/>
    </row>
    <row r="4687" ht="1.5" customHeight="1">
      <c r="A4687" s="4" t="str">
        <f>IFERROR(__xludf.DUMMYFUNCTION("""COMPUTED_VALUE"""),"42. Rubber")</f>
        <v>42. Rubber</v>
      </c>
      <c r="B4687" s="4" t="str">
        <f>IFERROR(__xludf.DUMMYFUNCTION("""COMPUTED_VALUE"""),"42")</f>
        <v>42</v>
      </c>
      <c r="C4687" s="5" t="str">
        <f>IFERROR(__xludf.DUMMYFUNCTION("""COMPUTED_VALUE"""),"https://drive.google.com/file/d/1Km5p7RYkRkBbYEseqNQ1hQeaLMuXuNZM/view?usp=drivesdk")</f>
        <v>https://drive.google.com/file/d/1Km5p7RYkRkBbYEseqNQ1hQeaLMuXuNZM/view?usp=drivesdk</v>
      </c>
      <c r="D4687" s="12"/>
      <c r="E4687" s="11">
        <v>4725.0</v>
      </c>
      <c r="F4687" s="2"/>
    </row>
    <row r="4688" ht="1.5" customHeight="1">
      <c r="A4688" s="4" t="str">
        <f>IFERROR(__xludf.DUMMYFUNCTION("""COMPUTED_VALUE"""),"42. Rubber")</f>
        <v>42. Rubber</v>
      </c>
      <c r="B4688" s="4" t="str">
        <f>IFERROR(__xludf.DUMMYFUNCTION("""COMPUTED_VALUE"""),"42")</f>
        <v>42</v>
      </c>
      <c r="C4688" s="5" t="str">
        <f>IFERROR(__xludf.DUMMYFUNCTION("""COMPUTED_VALUE"""),"https://drive.google.com/file/d/1niEGHlEmPdCf4eo6LjwMGg-h_7r1uUjk/view?usp=drivesdk")</f>
        <v>https://drive.google.com/file/d/1niEGHlEmPdCf4eo6LjwMGg-h_7r1uUjk/view?usp=drivesdk</v>
      </c>
      <c r="D4688" s="12"/>
      <c r="E4688" s="11">
        <v>4726.0</v>
      </c>
      <c r="F4688" s="2"/>
    </row>
    <row r="4689" ht="1.5" customHeight="1">
      <c r="A4689" s="4" t="str">
        <f>IFERROR(__xludf.DUMMYFUNCTION("""COMPUTED_VALUE"""),"42. Rubber")</f>
        <v>42. Rubber</v>
      </c>
      <c r="B4689" s="4" t="str">
        <f>IFERROR(__xludf.DUMMYFUNCTION("""COMPUTED_VALUE"""),"42")</f>
        <v>42</v>
      </c>
      <c r="C4689" s="5" t="str">
        <f>IFERROR(__xludf.DUMMYFUNCTION("""COMPUTED_VALUE"""),"https://drive.google.com/file/d/1SAyquZ2c2F4KKn9Tc_SbuvJVOpQX6txl/view?usp=drivesdk")</f>
        <v>https://drive.google.com/file/d/1SAyquZ2c2F4KKn9Tc_SbuvJVOpQX6txl/view?usp=drivesdk</v>
      </c>
      <c r="D4689" s="12"/>
      <c r="E4689" s="11">
        <v>4727.0</v>
      </c>
      <c r="F4689" s="2"/>
    </row>
    <row r="4690" ht="1.5" customHeight="1">
      <c r="A4690" s="4" t="str">
        <f>IFERROR(__xludf.DUMMYFUNCTION("""COMPUTED_VALUE"""),"44. Shitbag Cuntface, 88. Vincente")</f>
        <v>44. Shitbag Cuntface, 88. Vincente</v>
      </c>
      <c r="B4690" s="4" t="str">
        <f>IFERROR(__xludf.DUMMYFUNCTION("""COMPUTED_VALUE"""),"44, 88")</f>
        <v>44, 88</v>
      </c>
      <c r="C4690" s="5" t="str">
        <f>IFERROR(__xludf.DUMMYFUNCTION("""COMPUTED_VALUE"""),"https://drive.google.com/file/d/19-D4_6mfSHIhS3HvW_yciUGPRPO-yecc/view?usp=drivesdk")</f>
        <v>https://drive.google.com/file/d/19-D4_6mfSHIhS3HvW_yciUGPRPO-yecc/view?usp=drivesdk</v>
      </c>
      <c r="D4690" s="12"/>
      <c r="E4690" s="11">
        <v>4728.0</v>
      </c>
      <c r="F4690" s="2"/>
    </row>
    <row r="4691" ht="1.5" customHeight="1">
      <c r="A4691" s="4" t="str">
        <f>IFERROR(__xludf.DUMMYFUNCTION("""COMPUTED_VALUE"""),"44. Shitbag Cuntface, 88. Vincente")</f>
        <v>44. Shitbag Cuntface, 88. Vincente</v>
      </c>
      <c r="B4691" s="4" t="str">
        <f>IFERROR(__xludf.DUMMYFUNCTION("""COMPUTED_VALUE"""),"44, 88")</f>
        <v>44, 88</v>
      </c>
      <c r="C4691" s="5" t="str">
        <f>IFERROR(__xludf.DUMMYFUNCTION("""COMPUTED_VALUE"""),"https://drive.google.com/file/d/1ClW-nLeOhsUdMu1UifFm4aJ33Z0lQ7Dm/view?usp=drivesdk")</f>
        <v>https://drive.google.com/file/d/1ClW-nLeOhsUdMu1UifFm4aJ33Z0lQ7Dm/view?usp=drivesdk</v>
      </c>
      <c r="D4691" s="12"/>
      <c r="E4691" s="11">
        <v>4729.0</v>
      </c>
      <c r="F4691" s="2"/>
    </row>
    <row r="4692" ht="1.5" customHeight="1">
      <c r="A4692" s="4" t="str">
        <f>IFERROR(__xludf.DUMMYFUNCTION("""COMPUTED_VALUE"""),"58. Eden, 88. Vincente, 45. Boots")</f>
        <v>58. Eden, 88. Vincente, 45. Boots</v>
      </c>
      <c r="B4692" s="4" t="str">
        <f>IFERROR(__xludf.DUMMYFUNCTION("""COMPUTED_VALUE"""),"58, 88, 45")</f>
        <v>58, 88, 45</v>
      </c>
      <c r="C4692" s="5" t="str">
        <f>IFERROR(__xludf.DUMMYFUNCTION("""COMPUTED_VALUE"""),"https://drive.google.com/file/d/1CgtvN-mzH6ob84pWtWbscKvbd7eYbmpc/view?usp=drivesdk")</f>
        <v>https://drive.google.com/file/d/1CgtvN-mzH6ob84pWtWbscKvbd7eYbmpc/view?usp=drivesdk</v>
      </c>
      <c r="D4692" s="12"/>
      <c r="E4692" s="11">
        <v>4730.0</v>
      </c>
      <c r="F4692" s="2"/>
    </row>
    <row r="4693" ht="1.5" customHeight="1">
      <c r="A4693" s="4" t="str">
        <f>IFERROR(__xludf.DUMMYFUNCTION("""COMPUTED_VALUE"""),"58. Eden, 42. Rubber, 88. Vincente")</f>
        <v>58. Eden, 42. Rubber, 88. Vincente</v>
      </c>
      <c r="B4693" s="4" t="str">
        <f>IFERROR(__xludf.DUMMYFUNCTION("""COMPUTED_VALUE"""),"58, 42, 88")</f>
        <v>58, 42, 88</v>
      </c>
      <c r="C4693" s="5" t="str">
        <f>IFERROR(__xludf.DUMMYFUNCTION("""COMPUTED_VALUE"""),"https://drive.google.com/file/d/1H6WqpoKc14z6IiHmhMbP3LC3SIqHyZdQ/view?usp=drivesdk")</f>
        <v>https://drive.google.com/file/d/1H6WqpoKc14z6IiHmhMbP3LC3SIqHyZdQ/view?usp=drivesdk</v>
      </c>
      <c r="D4693" s="12"/>
      <c r="E4693" s="11">
        <v>4731.0</v>
      </c>
      <c r="F4693" s="2"/>
    </row>
    <row r="4694" ht="1.5" customHeight="1">
      <c r="A4694" s="4" t="str">
        <f>IFERROR(__xludf.DUMMYFUNCTION("""COMPUTED_VALUE"""),"58. Eden")</f>
        <v>58. Eden</v>
      </c>
      <c r="B4694" s="4" t="str">
        <f>IFERROR(__xludf.DUMMYFUNCTION("""COMPUTED_VALUE"""),"58")</f>
        <v>58</v>
      </c>
      <c r="C4694" s="5" t="str">
        <f>IFERROR(__xludf.DUMMYFUNCTION("""COMPUTED_VALUE"""),"https://drive.google.com/file/d/1YNuU8qhsocOya8_GKzk3glB4qeFHa63i/view?usp=drivesdk")</f>
        <v>https://drive.google.com/file/d/1YNuU8qhsocOya8_GKzk3glB4qeFHa63i/view?usp=drivesdk</v>
      </c>
      <c r="D4694" s="12"/>
      <c r="E4694" s="11">
        <v>4732.0</v>
      </c>
      <c r="F4694" s="2"/>
    </row>
    <row r="4695" ht="1.5" customHeight="1">
      <c r="A4695" s="4" t="str">
        <f>IFERROR(__xludf.DUMMYFUNCTION("""COMPUTED_VALUE"""),"58. Eden")</f>
        <v>58. Eden</v>
      </c>
      <c r="B4695" s="4" t="str">
        <f>IFERROR(__xludf.DUMMYFUNCTION("""COMPUTED_VALUE"""),"58")</f>
        <v>58</v>
      </c>
      <c r="C4695" s="5" t="str">
        <f>IFERROR(__xludf.DUMMYFUNCTION("""COMPUTED_VALUE"""),"https://drive.google.com/file/d/1UP7g7vXqVwbR8p3AU9fLx4tsfvvhDz2s/view?usp=drivesdk")</f>
        <v>https://drive.google.com/file/d/1UP7g7vXqVwbR8p3AU9fLx4tsfvvhDz2s/view?usp=drivesdk</v>
      </c>
      <c r="D4695" s="12"/>
      <c r="E4695" s="11">
        <v>4733.0</v>
      </c>
      <c r="F4695" s="2"/>
    </row>
    <row r="4696" ht="1.5" customHeight="1">
      <c r="A4696" s="4" t="str">
        <f>IFERROR(__xludf.DUMMYFUNCTION("""COMPUTED_VALUE"""),"58. Eden")</f>
        <v>58. Eden</v>
      </c>
      <c r="B4696" s="4" t="str">
        <f>IFERROR(__xludf.DUMMYFUNCTION("""COMPUTED_VALUE"""),"58")</f>
        <v>58</v>
      </c>
      <c r="C4696" s="5" t="str">
        <f>IFERROR(__xludf.DUMMYFUNCTION("""COMPUTED_VALUE"""),"https://drive.google.com/file/d/1qitnKiH15k5EzBbWNfbmksjg8s_95zAw/view?usp=drivesdk")</f>
        <v>https://drive.google.com/file/d/1qitnKiH15k5EzBbWNfbmksjg8s_95zAw/view?usp=drivesdk</v>
      </c>
      <c r="D4696" s="12"/>
      <c r="E4696" s="11">
        <v>4734.0</v>
      </c>
      <c r="F4696" s="2"/>
    </row>
    <row r="4697" ht="1.5" customHeight="1">
      <c r="A4697" s="4" t="str">
        <f>IFERROR(__xludf.DUMMYFUNCTION("""COMPUTED_VALUE"""),"58. Eden, 42. Rubber, 88. Vincente")</f>
        <v>58. Eden, 42. Rubber, 88. Vincente</v>
      </c>
      <c r="B4697" s="4" t="str">
        <f>IFERROR(__xludf.DUMMYFUNCTION("""COMPUTED_VALUE"""),"58, 42, 88")</f>
        <v>58, 42, 88</v>
      </c>
      <c r="C4697" s="5" t="str">
        <f>IFERROR(__xludf.DUMMYFUNCTION("""COMPUTED_VALUE"""),"https://drive.google.com/file/d/1jthCBqhaNP0yFkxlmFEGcfeoe-nXDssh/view?usp=drivesdk")</f>
        <v>https://drive.google.com/file/d/1jthCBqhaNP0yFkxlmFEGcfeoe-nXDssh/view?usp=drivesdk</v>
      </c>
      <c r="D4697" s="12"/>
      <c r="E4697" s="11">
        <v>4735.0</v>
      </c>
      <c r="F4697" s="2"/>
    </row>
    <row r="4698" ht="1.5" customHeight="1">
      <c r="A4698" s="4" t="str">
        <f>IFERROR(__xludf.DUMMYFUNCTION("""COMPUTED_VALUE"""),"58. Eden, 42. Rubber, 88. Vincente")</f>
        <v>58. Eden, 42. Rubber, 88. Vincente</v>
      </c>
      <c r="B4698" s="4" t="str">
        <f>IFERROR(__xludf.DUMMYFUNCTION("""COMPUTED_VALUE"""),"58, 42, 88")</f>
        <v>58, 42, 88</v>
      </c>
      <c r="C4698" s="5" t="str">
        <f>IFERROR(__xludf.DUMMYFUNCTION("""COMPUTED_VALUE"""),"https://drive.google.com/file/d/1KZFF0G8fxf5S6EZ1h6adHp45ACuvPlrC/view?usp=drivesdk")</f>
        <v>https://drive.google.com/file/d/1KZFF0G8fxf5S6EZ1h6adHp45ACuvPlrC/view?usp=drivesdk</v>
      </c>
      <c r="D4698" s="12"/>
      <c r="E4698" s="11">
        <v>4736.0</v>
      </c>
      <c r="F4698" s="2"/>
    </row>
    <row r="4699" ht="1.5" customHeight="1">
      <c r="A4699" s="4" t="str">
        <f>IFERROR(__xludf.DUMMYFUNCTION("""COMPUTED_VALUE"""),"58. Eden, 42. Rubber, 88. Vincente")</f>
        <v>58. Eden, 42. Rubber, 88. Vincente</v>
      </c>
      <c r="B4699" s="4" t="str">
        <f>IFERROR(__xludf.DUMMYFUNCTION("""COMPUTED_VALUE"""),"58, 42, 88")</f>
        <v>58, 42, 88</v>
      </c>
      <c r="C4699" s="5" t="str">
        <f>IFERROR(__xludf.DUMMYFUNCTION("""COMPUTED_VALUE"""),"https://drive.google.com/file/d/1FEFFAWOZHPziuM-KQWzksY_33LLmGieY/view?usp=drivesdk")</f>
        <v>https://drive.google.com/file/d/1FEFFAWOZHPziuM-KQWzksY_33LLmGieY/view?usp=drivesdk</v>
      </c>
      <c r="D4699" s="12"/>
      <c r="E4699" s="11">
        <v>4737.0</v>
      </c>
      <c r="F4699" s="2"/>
    </row>
    <row r="4700" ht="1.5" customHeight="1">
      <c r="A4700" s="4" t="str">
        <f>IFERROR(__xludf.DUMMYFUNCTION("""COMPUTED_VALUE"""),"58. Eden, 42. Rubber, 88. Vincente")</f>
        <v>58. Eden, 42. Rubber, 88. Vincente</v>
      </c>
      <c r="B4700" s="4" t="str">
        <f>IFERROR(__xludf.DUMMYFUNCTION("""COMPUTED_VALUE"""),"58, 42, 88")</f>
        <v>58, 42, 88</v>
      </c>
      <c r="C4700" s="5" t="str">
        <f>IFERROR(__xludf.DUMMYFUNCTION("""COMPUTED_VALUE"""),"https://drive.google.com/file/d/1B8vpZj228SRltbyL5A2y9_ywOkOBLddI/view?usp=drivesdk")</f>
        <v>https://drive.google.com/file/d/1B8vpZj228SRltbyL5A2y9_ywOkOBLddI/view?usp=drivesdk</v>
      </c>
      <c r="D4700" s="12"/>
      <c r="E4700" s="11">
        <v>4738.0</v>
      </c>
      <c r="F4700" s="2"/>
    </row>
    <row r="4701" ht="1.5" customHeight="1">
      <c r="A4701" s="4" t="str">
        <f>IFERROR(__xludf.DUMMYFUNCTION("""COMPUTED_VALUE"""),"42. Rubber, 58. Eden, 88. Vincente")</f>
        <v>42. Rubber, 58. Eden, 88. Vincente</v>
      </c>
      <c r="B4701" s="4" t="str">
        <f>IFERROR(__xludf.DUMMYFUNCTION("""COMPUTED_VALUE"""),"42, 58, 88")</f>
        <v>42, 58, 88</v>
      </c>
      <c r="C4701" s="5" t="str">
        <f>IFERROR(__xludf.DUMMYFUNCTION("""COMPUTED_VALUE"""),"https://drive.google.com/file/d/1otX66FGYWBgK_EvOUUuqWkKz-TLqvu5j/view?usp=drivesdk")</f>
        <v>https://drive.google.com/file/d/1otX66FGYWBgK_EvOUUuqWkKz-TLqvu5j/view?usp=drivesdk</v>
      </c>
      <c r="D4701" s="12"/>
      <c r="E4701" s="11">
        <v>4739.0</v>
      </c>
      <c r="F4701" s="2"/>
    </row>
    <row r="4702" ht="1.5" customHeight="1">
      <c r="A4702" s="4" t="str">
        <f>IFERROR(__xludf.DUMMYFUNCTION("""COMPUTED_VALUE"""),"42. Rubber, 58. Eden")</f>
        <v>42. Rubber, 58. Eden</v>
      </c>
      <c r="B4702" s="4" t="str">
        <f>IFERROR(__xludf.DUMMYFUNCTION("""COMPUTED_VALUE"""),"42, 58")</f>
        <v>42, 58</v>
      </c>
      <c r="C4702" s="5" t="str">
        <f>IFERROR(__xludf.DUMMYFUNCTION("""COMPUTED_VALUE"""),"https://drive.google.com/file/d/1zhyUACHairMEH2mFhtlyl0_SxQ9KxrKH/view?usp=drivesdk")</f>
        <v>https://drive.google.com/file/d/1zhyUACHairMEH2mFhtlyl0_SxQ9KxrKH/view?usp=drivesdk</v>
      </c>
      <c r="D4702" s="12"/>
      <c r="E4702" s="11">
        <v>4740.0</v>
      </c>
      <c r="F4702" s="2"/>
    </row>
    <row r="4703" ht="1.5" customHeight="1">
      <c r="A4703" s="4" t="str">
        <f>IFERROR(__xludf.DUMMYFUNCTION("""COMPUTED_VALUE"""),"2. Twix")</f>
        <v>2. Twix</v>
      </c>
      <c r="B4703" s="4" t="str">
        <f>IFERROR(__xludf.DUMMYFUNCTION("""COMPUTED_VALUE"""),"2")</f>
        <v>2</v>
      </c>
      <c r="C4703" s="5" t="str">
        <f>IFERROR(__xludf.DUMMYFUNCTION("""COMPUTED_VALUE"""),"https://drive.google.com/file/d/1gTAqg3NVEkeH1g4CFhSCSeMqgi4GblTL/view?usp=drivesdk")</f>
        <v>https://drive.google.com/file/d/1gTAqg3NVEkeH1g4CFhSCSeMqgi4GblTL/view?usp=drivesdk</v>
      </c>
      <c r="D4703" s="12"/>
      <c r="E4703" s="11">
        <v>4741.0</v>
      </c>
      <c r="F4703" s="2"/>
    </row>
    <row r="4704" ht="1.5" customHeight="1">
      <c r="A4704" s="4" t="str">
        <f>IFERROR(__xludf.DUMMYFUNCTION("""COMPUTED_VALUE"""),"4. Eggs")</f>
        <v>4. Eggs</v>
      </c>
      <c r="B4704" s="4" t="str">
        <f>IFERROR(__xludf.DUMMYFUNCTION("""COMPUTED_VALUE"""),"4")</f>
        <v>4</v>
      </c>
      <c r="C4704" s="5" t="str">
        <f>IFERROR(__xludf.DUMMYFUNCTION("""COMPUTED_VALUE"""),"https://drive.google.com/file/d/1Bqf5ZPb4mq9_cm_drw0bL1AzTITg_FSI/view?usp=drivesdk")</f>
        <v>https://drive.google.com/file/d/1Bqf5ZPb4mq9_cm_drw0bL1AzTITg_FSI/view?usp=drivesdk</v>
      </c>
      <c r="D4704" s="12"/>
      <c r="E4704" s="11">
        <v>4742.0</v>
      </c>
      <c r="F4704" s="2"/>
    </row>
    <row r="4705" ht="1.5" customHeight="1">
      <c r="A4705" s="4" t="str">
        <f>IFERROR(__xludf.DUMMYFUNCTION("""COMPUTED_VALUE"""),"0. NotACat")</f>
        <v>0. NotACat</v>
      </c>
      <c r="B4705" s="4" t="str">
        <f>IFERROR(__xludf.DUMMYFUNCTION("""COMPUTED_VALUE"""),"0")</f>
        <v>0</v>
      </c>
      <c r="C4705" s="5" t="str">
        <f>IFERROR(__xludf.DUMMYFUNCTION("""COMPUTED_VALUE"""),"https://drive.google.com/file/d/1CiOUUKPh_h3DrFjlhzFuvi30em1KFFSe/view?usp=drivesdk")</f>
        <v>https://drive.google.com/file/d/1CiOUUKPh_h3DrFjlhzFuvi30em1KFFSe/view?usp=drivesdk</v>
      </c>
      <c r="D4705" s="12"/>
      <c r="E4705" s="11">
        <v>4743.0</v>
      </c>
      <c r="F4705" s="2"/>
    </row>
    <row r="4706" ht="1.5" customHeight="1">
      <c r="A4706" s="4" t="str">
        <f>IFERROR(__xludf.DUMMYFUNCTION("""COMPUTED_VALUE"""),"0. NotACat")</f>
        <v>0. NotACat</v>
      </c>
      <c r="B4706" s="4" t="str">
        <f>IFERROR(__xludf.DUMMYFUNCTION("""COMPUTED_VALUE"""),"0")</f>
        <v>0</v>
      </c>
      <c r="C4706" s="5" t="str">
        <f>IFERROR(__xludf.DUMMYFUNCTION("""COMPUTED_VALUE"""),"https://drive.google.com/file/d/1YL0Zk6nE4p9zi_DH6b-SpS9nYl_FAQij/view?usp=drivesdk")</f>
        <v>https://drive.google.com/file/d/1YL0Zk6nE4p9zi_DH6b-SpS9nYl_FAQij/view?usp=drivesdk</v>
      </c>
      <c r="D4706" s="12"/>
      <c r="E4706" s="11">
        <v>4744.0</v>
      </c>
      <c r="F4706" s="2"/>
    </row>
    <row r="4707" ht="1.5" customHeight="1">
      <c r="A4707" s="4" t="str">
        <f>IFERROR(__xludf.DUMMYFUNCTION("""COMPUTED_VALUE"""),"0. NotACat")</f>
        <v>0. NotACat</v>
      </c>
      <c r="B4707" s="4" t="str">
        <f>IFERROR(__xludf.DUMMYFUNCTION("""COMPUTED_VALUE"""),"0")</f>
        <v>0</v>
      </c>
      <c r="C4707" s="5" t="str">
        <f>IFERROR(__xludf.DUMMYFUNCTION("""COMPUTED_VALUE"""),"https://drive.google.com/file/d/19Gq4lcRsiGIc3UtGEV3-Dqvs-i5F2hFA/view?usp=drivesdk")</f>
        <v>https://drive.google.com/file/d/19Gq4lcRsiGIc3UtGEV3-Dqvs-i5F2hFA/view?usp=drivesdk</v>
      </c>
      <c r="D4707" s="12"/>
      <c r="E4707" s="11">
        <v>4745.0</v>
      </c>
      <c r="F4707" s="2"/>
    </row>
    <row r="4708" ht="1.5" customHeight="1">
      <c r="A4708" s="4" t="str">
        <f>IFERROR(__xludf.DUMMYFUNCTION("""COMPUTED_VALUE"""),"0. NotACat")</f>
        <v>0. NotACat</v>
      </c>
      <c r="B4708" s="4" t="str">
        <f>IFERROR(__xludf.DUMMYFUNCTION("""COMPUTED_VALUE"""),"0")</f>
        <v>0</v>
      </c>
      <c r="C4708" s="5" t="str">
        <f>IFERROR(__xludf.DUMMYFUNCTION("""COMPUTED_VALUE"""),"https://drive.google.com/file/d/163AGRakbsQc31h3qFho-Xp3CCSf4ULxX/view?usp=drivesdk")</f>
        <v>https://drive.google.com/file/d/163AGRakbsQc31h3qFho-Xp3CCSf4ULxX/view?usp=drivesdk</v>
      </c>
      <c r="D4708" s="12"/>
      <c r="E4708" s="11">
        <v>4746.0</v>
      </c>
      <c r="F4708" s="2"/>
    </row>
    <row r="4709" ht="1.5" customHeight="1">
      <c r="A4709" s="4" t="str">
        <f>IFERROR(__xludf.DUMMYFUNCTION("""COMPUTED_VALUE"""),"0. NotACat")</f>
        <v>0. NotACat</v>
      </c>
      <c r="B4709" s="4" t="str">
        <f>IFERROR(__xludf.DUMMYFUNCTION("""COMPUTED_VALUE"""),"0")</f>
        <v>0</v>
      </c>
      <c r="C4709" s="5" t="str">
        <f>IFERROR(__xludf.DUMMYFUNCTION("""COMPUTED_VALUE"""),"https://drive.google.com/file/d/1BKzaMvbowbdurzS_mYOgKYXYGqjTUahd/view?usp=drivesdk")</f>
        <v>https://drive.google.com/file/d/1BKzaMvbowbdurzS_mYOgKYXYGqjTUahd/view?usp=drivesdk</v>
      </c>
      <c r="D4709" s="12"/>
      <c r="E4709" s="11">
        <v>4747.0</v>
      </c>
      <c r="F4709" s="2"/>
    </row>
    <row r="4710" ht="1.5" customHeight="1">
      <c r="A4710" s="4" t="str">
        <f>IFERROR(__xludf.DUMMYFUNCTION("""COMPUTED_VALUE"""),"2. Twix")</f>
        <v>2. Twix</v>
      </c>
      <c r="B4710" s="4" t="str">
        <f>IFERROR(__xludf.DUMMYFUNCTION("""COMPUTED_VALUE"""),"2")</f>
        <v>2</v>
      </c>
      <c r="C4710" s="5" t="str">
        <f>IFERROR(__xludf.DUMMYFUNCTION("""COMPUTED_VALUE"""),"https://drive.google.com/file/d/1tMgIFWw1_l8UHZoycDqyruiqVCGExEwt/view?usp=drivesdk")</f>
        <v>https://drive.google.com/file/d/1tMgIFWw1_l8UHZoycDqyruiqVCGExEwt/view?usp=drivesdk</v>
      </c>
      <c r="D4710" s="12"/>
      <c r="E4710" s="11">
        <v>4748.0</v>
      </c>
      <c r="F4710" s="2"/>
    </row>
    <row r="4711" ht="1.5" customHeight="1">
      <c r="A4711" s="4" t="str">
        <f>IFERROR(__xludf.DUMMYFUNCTION("""COMPUTED_VALUE"""),"2. Twix")</f>
        <v>2. Twix</v>
      </c>
      <c r="B4711" s="4" t="str">
        <f>IFERROR(__xludf.DUMMYFUNCTION("""COMPUTED_VALUE"""),"2")</f>
        <v>2</v>
      </c>
      <c r="C4711" s="5" t="str">
        <f>IFERROR(__xludf.DUMMYFUNCTION("""COMPUTED_VALUE"""),"https://drive.google.com/file/d/1abmUM4apQfEiR1caEPPrxDJrEUn6zwl2/view?usp=drivesdk")</f>
        <v>https://drive.google.com/file/d/1abmUM4apQfEiR1caEPPrxDJrEUn6zwl2/view?usp=drivesdk</v>
      </c>
      <c r="D4711" s="12"/>
      <c r="E4711" s="11">
        <v>4749.0</v>
      </c>
      <c r="F4711" s="2"/>
    </row>
    <row r="4712" ht="1.5" customHeight="1">
      <c r="A4712" s="4" t="str">
        <f>IFERROR(__xludf.DUMMYFUNCTION("""COMPUTED_VALUE"""),"0. NotACat")</f>
        <v>0. NotACat</v>
      </c>
      <c r="B4712" s="4" t="str">
        <f>IFERROR(__xludf.DUMMYFUNCTION("""COMPUTED_VALUE"""),"0")</f>
        <v>0</v>
      </c>
      <c r="C4712" s="5" t="str">
        <f>IFERROR(__xludf.DUMMYFUNCTION("""COMPUTED_VALUE"""),"https://drive.google.com/file/d/1rG29kXr4QDuwODrBSDbzgwSasRr41Hwl/view?usp=drivesdk")</f>
        <v>https://drive.google.com/file/d/1rG29kXr4QDuwODrBSDbzgwSasRr41Hwl/view?usp=drivesdk</v>
      </c>
      <c r="D4712" s="12"/>
      <c r="E4712" s="11">
        <v>4750.0</v>
      </c>
      <c r="F4712" s="2"/>
    </row>
    <row r="4713" ht="1.5" customHeight="1">
      <c r="A4713" s="4" t="str">
        <f>IFERROR(__xludf.DUMMYFUNCTION("""COMPUTED_VALUE"""),"2. Twix")</f>
        <v>2. Twix</v>
      </c>
      <c r="B4713" s="4" t="str">
        <f>IFERROR(__xludf.DUMMYFUNCTION("""COMPUTED_VALUE"""),"2")</f>
        <v>2</v>
      </c>
      <c r="C4713" s="5" t="str">
        <f>IFERROR(__xludf.DUMMYFUNCTION("""COMPUTED_VALUE"""),"https://drive.google.com/file/d/1qUkWuYXruVMj6yrS_hFG_HYtMG29cvq8/view?usp=drivesdk")</f>
        <v>https://drive.google.com/file/d/1qUkWuYXruVMj6yrS_hFG_HYtMG29cvq8/view?usp=drivesdk</v>
      </c>
      <c r="D4713" s="12"/>
      <c r="E4713" s="11">
        <v>4751.0</v>
      </c>
      <c r="F4713" s="2"/>
    </row>
    <row r="4714" ht="1.5" customHeight="1">
      <c r="A4714" s="4" t="str">
        <f>IFERROR(__xludf.DUMMYFUNCTION("""COMPUTED_VALUE"""),"1. Microwave")</f>
        <v>1. Microwave</v>
      </c>
      <c r="B4714" s="4" t="str">
        <f>IFERROR(__xludf.DUMMYFUNCTION("""COMPUTED_VALUE"""),"1")</f>
        <v>1</v>
      </c>
      <c r="C4714" s="5" t="str">
        <f>IFERROR(__xludf.DUMMYFUNCTION("""COMPUTED_VALUE"""),"https://drive.google.com/file/d/1UOQ6e7nKKUvV-5y_j7BqtRxMbT868r2K/view?usp=drivesdk")</f>
        <v>https://drive.google.com/file/d/1UOQ6e7nKKUvV-5y_j7BqtRxMbT868r2K/view?usp=drivesdk</v>
      </c>
      <c r="D4714" s="12"/>
      <c r="E4714" s="11">
        <v>4752.0</v>
      </c>
      <c r="F4714" s="2"/>
    </row>
    <row r="4715" ht="1.5" customHeight="1">
      <c r="A4715" s="4" t="str">
        <f>IFERROR(__xludf.DUMMYFUNCTION("""COMPUTED_VALUE"""),"5. Eraser")</f>
        <v>5. Eraser</v>
      </c>
      <c r="B4715" s="4" t="str">
        <f>IFERROR(__xludf.DUMMYFUNCTION("""COMPUTED_VALUE"""),"5")</f>
        <v>5</v>
      </c>
      <c r="C4715" s="5" t="str">
        <f>IFERROR(__xludf.DUMMYFUNCTION("""COMPUTED_VALUE"""),"https://drive.google.com/file/d/1XiNwweDTC2SDKIVkV0SS3UAGkxhXnQZ8/view?usp=drivesdk")</f>
        <v>https://drive.google.com/file/d/1XiNwweDTC2SDKIVkV0SS3UAGkxhXnQZ8/view?usp=drivesdk</v>
      </c>
      <c r="D4715" s="12"/>
      <c r="E4715" s="11">
        <v>4753.0</v>
      </c>
      <c r="F4715" s="2"/>
    </row>
    <row r="4716" ht="1.5" customHeight="1">
      <c r="A4716" s="4" t="str">
        <f>IFERROR(__xludf.DUMMYFUNCTION("""COMPUTED_VALUE"""),"2. Twix")</f>
        <v>2. Twix</v>
      </c>
      <c r="B4716" s="4" t="str">
        <f>IFERROR(__xludf.DUMMYFUNCTION("""COMPUTED_VALUE"""),"2")</f>
        <v>2</v>
      </c>
      <c r="C4716" s="5" t="str">
        <f>IFERROR(__xludf.DUMMYFUNCTION("""COMPUTED_VALUE"""),"https://drive.google.com/file/d/1sUPxhZXPSrEo51tK2Y_ka1wuw7noTj6B/view?usp=drivesdk")</f>
        <v>https://drive.google.com/file/d/1sUPxhZXPSrEo51tK2Y_ka1wuw7noTj6B/view?usp=drivesdk</v>
      </c>
      <c r="D4716" s="12"/>
      <c r="E4716" s="11">
        <v>4754.0</v>
      </c>
      <c r="F4716" s="2"/>
    </row>
    <row r="4717" ht="1.5" customHeight="1">
      <c r="A4717" s="4" t="str">
        <f>IFERROR(__xludf.DUMMYFUNCTION("""COMPUTED_VALUE"""),"2. Twix")</f>
        <v>2. Twix</v>
      </c>
      <c r="B4717" s="4" t="str">
        <f>IFERROR(__xludf.DUMMYFUNCTION("""COMPUTED_VALUE"""),"2")</f>
        <v>2</v>
      </c>
      <c r="C4717" s="5" t="str">
        <f>IFERROR(__xludf.DUMMYFUNCTION("""COMPUTED_VALUE"""),"https://drive.google.com/file/d/10V1bhcurppJLz-OTl_tmJEmEz50SRXXV/view?usp=drivesdk")</f>
        <v>https://drive.google.com/file/d/10V1bhcurppJLz-OTl_tmJEmEz50SRXXV/view?usp=drivesdk</v>
      </c>
      <c r="D4717" s="12"/>
      <c r="E4717" s="11">
        <v>4755.0</v>
      </c>
      <c r="F4717" s="2"/>
    </row>
    <row r="4718" ht="1.5" customHeight="1">
      <c r="A4718" s="4" t="str">
        <f>IFERROR(__xludf.DUMMYFUNCTION("""COMPUTED_VALUE"""),"5. Eraser")</f>
        <v>5. Eraser</v>
      </c>
      <c r="B4718" s="4" t="str">
        <f>IFERROR(__xludf.DUMMYFUNCTION("""COMPUTED_VALUE"""),"5")</f>
        <v>5</v>
      </c>
      <c r="C4718" s="5" t="str">
        <f>IFERROR(__xludf.DUMMYFUNCTION("""COMPUTED_VALUE"""),"https://drive.google.com/file/d/16cVaYWRrscBxazGY2mzdMgB2Y8QCfjG8/view?usp=drivesdk")</f>
        <v>https://drive.google.com/file/d/16cVaYWRrscBxazGY2mzdMgB2Y8QCfjG8/view?usp=drivesdk</v>
      </c>
      <c r="D4718" s="12"/>
      <c r="E4718" s="11">
        <v>4756.0</v>
      </c>
      <c r="F4718" s="2"/>
    </row>
    <row r="4719" ht="1.5" customHeight="1">
      <c r="A4719" s="4" t="str">
        <f>IFERROR(__xludf.DUMMYFUNCTION("""COMPUTED_VALUE"""),"0. NotACat")</f>
        <v>0. NotACat</v>
      </c>
      <c r="B4719" s="4" t="str">
        <f>IFERROR(__xludf.DUMMYFUNCTION("""COMPUTED_VALUE"""),"0")</f>
        <v>0</v>
      </c>
      <c r="C4719" s="5" t="str">
        <f>IFERROR(__xludf.DUMMYFUNCTION("""COMPUTED_VALUE"""),"https://drive.google.com/file/d/1CYuhDjEuR5RxDxRZjeJ4T4MwlCp8li8J/view?usp=drivesdk")</f>
        <v>https://drive.google.com/file/d/1CYuhDjEuR5RxDxRZjeJ4T4MwlCp8li8J/view?usp=drivesdk</v>
      </c>
      <c r="D4719" s="12"/>
      <c r="E4719" s="11">
        <v>4757.0</v>
      </c>
      <c r="F4719" s="2"/>
    </row>
    <row r="4720" ht="1.5" customHeight="1">
      <c r="A4720" s="4" t="str">
        <f>IFERROR(__xludf.DUMMYFUNCTION("""COMPUTED_VALUE"""),"5. Eraser")</f>
        <v>5. Eraser</v>
      </c>
      <c r="B4720" s="4" t="str">
        <f>IFERROR(__xludf.DUMMYFUNCTION("""COMPUTED_VALUE"""),"5")</f>
        <v>5</v>
      </c>
      <c r="C4720" s="5" t="str">
        <f>IFERROR(__xludf.DUMMYFUNCTION("""COMPUTED_VALUE"""),"https://drive.google.com/file/d/1YCuagmO_2b6DCz5ZkXTKEaj8Y47wAYsK/view?usp=drivesdk")</f>
        <v>https://drive.google.com/file/d/1YCuagmO_2b6DCz5ZkXTKEaj8Y47wAYsK/view?usp=drivesdk</v>
      </c>
      <c r="D4720" s="12"/>
      <c r="E4720" s="11">
        <v>4758.0</v>
      </c>
      <c r="F4720" s="2"/>
    </row>
    <row r="4721" ht="1.5" customHeight="1">
      <c r="A4721" s="4" t="str">
        <f>IFERROR(__xludf.DUMMYFUNCTION("""COMPUTED_VALUE"""),"1. Microwave")</f>
        <v>1. Microwave</v>
      </c>
      <c r="B4721" s="4" t="str">
        <f>IFERROR(__xludf.DUMMYFUNCTION("""COMPUTED_VALUE"""),"1")</f>
        <v>1</v>
      </c>
      <c r="C4721" s="5" t="str">
        <f>IFERROR(__xludf.DUMMYFUNCTION("""COMPUTED_VALUE"""),"https://drive.google.com/file/d/1eaX7-R0_zSFkic0khlHhUjTdYrT2q3sG/view?usp=drivesdk")</f>
        <v>https://drive.google.com/file/d/1eaX7-R0_zSFkic0khlHhUjTdYrT2q3sG/view?usp=drivesdk</v>
      </c>
      <c r="D4721" s="12"/>
      <c r="E4721" s="11">
        <v>4759.0</v>
      </c>
      <c r="F4721" s="2"/>
    </row>
    <row r="4722" ht="1.5" customHeight="1">
      <c r="A4722" s="4" t="str">
        <f>IFERROR(__xludf.DUMMYFUNCTION("""COMPUTED_VALUE"""),"1. Microwave")</f>
        <v>1. Microwave</v>
      </c>
      <c r="B4722" s="4" t="str">
        <f>IFERROR(__xludf.DUMMYFUNCTION("""COMPUTED_VALUE"""),"1")</f>
        <v>1</v>
      </c>
      <c r="C4722" s="5" t="str">
        <f>IFERROR(__xludf.DUMMYFUNCTION("""COMPUTED_VALUE"""),"https://drive.google.com/file/d/1GuAnAm_5R1ExcBf0qpMfxu9hN0YSPEkp/view?usp=drivesdk")</f>
        <v>https://drive.google.com/file/d/1GuAnAm_5R1ExcBf0qpMfxu9hN0YSPEkp/view?usp=drivesdk</v>
      </c>
      <c r="D4722" s="12"/>
      <c r="E4722" s="11">
        <v>4760.0</v>
      </c>
      <c r="F4722" s="2"/>
    </row>
    <row r="4723" ht="1.5" customHeight="1">
      <c r="A4723" s="4" t="str">
        <f>IFERROR(__xludf.DUMMYFUNCTION("""COMPUTED_VALUE"""),"2. Twix")</f>
        <v>2. Twix</v>
      </c>
      <c r="B4723" s="4" t="str">
        <f>IFERROR(__xludf.DUMMYFUNCTION("""COMPUTED_VALUE"""),"2")</f>
        <v>2</v>
      </c>
      <c r="C4723" s="5" t="str">
        <f>IFERROR(__xludf.DUMMYFUNCTION("""COMPUTED_VALUE"""),"https://drive.google.com/file/d/12M4Q-u-YJM-OCM_EcOXA809BQmg1FrDu/view?usp=drivesdk")</f>
        <v>https://drive.google.com/file/d/12M4Q-u-YJM-OCM_EcOXA809BQmg1FrDu/view?usp=drivesdk</v>
      </c>
      <c r="D4723" s="12"/>
      <c r="E4723" s="11">
        <v>4761.0</v>
      </c>
      <c r="F4723" s="2"/>
    </row>
    <row r="4724" ht="1.5" customHeight="1">
      <c r="A4724" s="4" t="str">
        <f>IFERROR(__xludf.DUMMYFUNCTION("""COMPUTED_VALUE"""),"2. Twix")</f>
        <v>2. Twix</v>
      </c>
      <c r="B4724" s="4" t="str">
        <f>IFERROR(__xludf.DUMMYFUNCTION("""COMPUTED_VALUE"""),"2")</f>
        <v>2</v>
      </c>
      <c r="C4724" s="5" t="str">
        <f>IFERROR(__xludf.DUMMYFUNCTION("""COMPUTED_VALUE"""),"https://drive.google.com/file/d/1KVyQLfaYn3--x8rg8AV7BXxLwA6tP6tH/view?usp=drivesdk")</f>
        <v>https://drive.google.com/file/d/1KVyQLfaYn3--x8rg8AV7BXxLwA6tP6tH/view?usp=drivesdk</v>
      </c>
      <c r="D4724" s="12"/>
      <c r="E4724" s="11">
        <v>4762.0</v>
      </c>
      <c r="F4724" s="2"/>
    </row>
    <row r="4725" ht="1.5" customHeight="1">
      <c r="A4725" s="4" t="str">
        <f>IFERROR(__xludf.DUMMYFUNCTION("""COMPUTED_VALUE"""),"2. Twix")</f>
        <v>2. Twix</v>
      </c>
      <c r="B4725" s="4" t="str">
        <f>IFERROR(__xludf.DUMMYFUNCTION("""COMPUTED_VALUE"""),"2")</f>
        <v>2</v>
      </c>
      <c r="C4725" s="5" t="str">
        <f>IFERROR(__xludf.DUMMYFUNCTION("""COMPUTED_VALUE"""),"https://drive.google.com/file/d/11VO3vTT3m6u4KRR4iUlqCtUq2hxP8dLO/view?usp=drivesdk")</f>
        <v>https://drive.google.com/file/d/11VO3vTT3m6u4KRR4iUlqCtUq2hxP8dLO/view?usp=drivesdk</v>
      </c>
      <c r="D4725" s="12"/>
      <c r="E4725" s="11">
        <v>4763.0</v>
      </c>
      <c r="F4725" s="2"/>
    </row>
    <row r="4726" ht="1.5" customHeight="1">
      <c r="A4726" s="4" t="str">
        <f>IFERROR(__xludf.DUMMYFUNCTION("""COMPUTED_VALUE"""),"2. Twix")</f>
        <v>2. Twix</v>
      </c>
      <c r="B4726" s="4" t="str">
        <f>IFERROR(__xludf.DUMMYFUNCTION("""COMPUTED_VALUE"""),"2")</f>
        <v>2</v>
      </c>
      <c r="C4726" s="5" t="str">
        <f>IFERROR(__xludf.DUMMYFUNCTION("""COMPUTED_VALUE"""),"https://drive.google.com/file/d/1M6UJSbxyTqyJehMb9dNKX6kQ4u7kUoIy/view?usp=drivesdk")</f>
        <v>https://drive.google.com/file/d/1M6UJSbxyTqyJehMb9dNKX6kQ4u7kUoIy/view?usp=drivesdk</v>
      </c>
      <c r="D4726" s="12"/>
      <c r="E4726" s="11">
        <v>4764.0</v>
      </c>
      <c r="F4726" s="2"/>
    </row>
    <row r="4727" ht="1.5" customHeight="1">
      <c r="A4727" s="4" t="str">
        <f>IFERROR(__xludf.DUMMYFUNCTION("""COMPUTED_VALUE"""),"2. Twix")</f>
        <v>2. Twix</v>
      </c>
      <c r="B4727" s="4" t="str">
        <f>IFERROR(__xludf.DUMMYFUNCTION("""COMPUTED_VALUE"""),"2")</f>
        <v>2</v>
      </c>
      <c r="C4727" s="5" t="str">
        <f>IFERROR(__xludf.DUMMYFUNCTION("""COMPUTED_VALUE"""),"https://drive.google.com/file/d/1paK8gBD8-RvTY_jeitxh6dtSr3lsRfyM/view?usp=drivesdk")</f>
        <v>https://drive.google.com/file/d/1paK8gBD8-RvTY_jeitxh6dtSr3lsRfyM/view?usp=drivesdk</v>
      </c>
      <c r="D4727" s="12"/>
      <c r="E4727" s="11">
        <v>4765.0</v>
      </c>
      <c r="F4727" s="2"/>
    </row>
    <row r="4728" ht="1.5" customHeight="1">
      <c r="A4728" s="4" t="str">
        <f>IFERROR(__xludf.DUMMYFUNCTION("""COMPUTED_VALUE"""),"1. Microwave")</f>
        <v>1. Microwave</v>
      </c>
      <c r="B4728" s="4" t="str">
        <f>IFERROR(__xludf.DUMMYFUNCTION("""COMPUTED_VALUE"""),"1")</f>
        <v>1</v>
      </c>
      <c r="C4728" s="5" t="str">
        <f>IFERROR(__xludf.DUMMYFUNCTION("""COMPUTED_VALUE"""),"https://drive.google.com/file/d/1VA0ekUzBCgHDWDEFAd_0wyeg1TxE0ndv/view?usp=drivesdk")</f>
        <v>https://drive.google.com/file/d/1VA0ekUzBCgHDWDEFAd_0wyeg1TxE0ndv/view?usp=drivesdk</v>
      </c>
      <c r="D4728" s="12"/>
      <c r="E4728" s="11">
        <v>4766.0</v>
      </c>
      <c r="F4728" s="2"/>
    </row>
    <row r="4729" ht="1.5" customHeight="1">
      <c r="A4729" s="4" t="str">
        <f>IFERROR(__xludf.DUMMYFUNCTION("""COMPUTED_VALUE"""),"1. Microwave")</f>
        <v>1. Microwave</v>
      </c>
      <c r="B4729" s="4" t="str">
        <f>IFERROR(__xludf.DUMMYFUNCTION("""COMPUTED_VALUE"""),"1")</f>
        <v>1</v>
      </c>
      <c r="C4729" s="5" t="str">
        <f>IFERROR(__xludf.DUMMYFUNCTION("""COMPUTED_VALUE"""),"https://drive.google.com/file/d/1tLUya7ZQWfWOGewPxjJnnse0Ff8ptd7G/view?usp=drivesdk")</f>
        <v>https://drive.google.com/file/d/1tLUya7ZQWfWOGewPxjJnnse0Ff8ptd7G/view?usp=drivesdk</v>
      </c>
      <c r="D4729" s="12"/>
      <c r="E4729" s="11">
        <v>4767.0</v>
      </c>
      <c r="F4729" s="2"/>
    </row>
    <row r="4730" ht="1.5" customHeight="1">
      <c r="A4730" s="4" t="str">
        <f>IFERROR(__xludf.DUMMYFUNCTION("""COMPUTED_VALUE"""),"0. NotACat")</f>
        <v>0. NotACat</v>
      </c>
      <c r="B4730" s="4" t="str">
        <f>IFERROR(__xludf.DUMMYFUNCTION("""COMPUTED_VALUE"""),"0")</f>
        <v>0</v>
      </c>
      <c r="C4730" s="5" t="str">
        <f>IFERROR(__xludf.DUMMYFUNCTION("""COMPUTED_VALUE"""),"https://drive.google.com/file/d/1w12Jf5wSQzclwjLcZHvbKwkpsT5ZRg3b/view?usp=drivesdk")</f>
        <v>https://drive.google.com/file/d/1w12Jf5wSQzclwjLcZHvbKwkpsT5ZRg3b/view?usp=drivesdk</v>
      </c>
      <c r="D4730" s="12"/>
      <c r="E4730" s="11">
        <v>4768.0</v>
      </c>
      <c r="F4730" s="2"/>
    </row>
    <row r="4731" ht="1.5" customHeight="1">
      <c r="A4731" s="4" t="str">
        <f>IFERROR(__xludf.DUMMYFUNCTION("""COMPUTED_VALUE"""),"91. Butter")</f>
        <v>91. Butter</v>
      </c>
      <c r="B4731" s="4" t="str">
        <f>IFERROR(__xludf.DUMMYFUNCTION("""COMPUTED_VALUE"""),"91")</f>
        <v>91</v>
      </c>
      <c r="C4731" s="5" t="str">
        <f>IFERROR(__xludf.DUMMYFUNCTION("""COMPUTED_VALUE"""),"https://drive.google.com/file/d/1EHAd9B2COATDZE-G_vWPq3ooyvQPhofv/view?usp=drivesdk")</f>
        <v>https://drive.google.com/file/d/1EHAd9B2COATDZE-G_vWPq3ooyvQPhofv/view?usp=drivesdk</v>
      </c>
      <c r="D4731" s="12"/>
      <c r="E4731" s="11">
        <v>4769.0</v>
      </c>
      <c r="F4731" s="2"/>
    </row>
    <row r="4732" ht="1.5" customHeight="1">
      <c r="A4732" s="4" t="str">
        <f>IFERROR(__xludf.DUMMYFUNCTION("""COMPUTED_VALUE"""),"91. Butter")</f>
        <v>91. Butter</v>
      </c>
      <c r="B4732" s="4" t="str">
        <f>IFERROR(__xludf.DUMMYFUNCTION("""COMPUTED_VALUE"""),"91")</f>
        <v>91</v>
      </c>
      <c r="C4732" s="5" t="str">
        <f>IFERROR(__xludf.DUMMYFUNCTION("""COMPUTED_VALUE"""),"https://drive.google.com/file/d/1TjQo6HDXLArF4nLWdadKpzkckCcaTH4c/view?usp=drivesdk")</f>
        <v>https://drive.google.com/file/d/1TjQo6HDXLArF4nLWdadKpzkckCcaTH4c/view?usp=drivesdk</v>
      </c>
      <c r="D4732" s="12"/>
      <c r="E4732" s="11">
        <v>4770.0</v>
      </c>
      <c r="F4732" s="2"/>
    </row>
    <row r="4733" ht="1.5" customHeight="1">
      <c r="A4733" s="4" t="str">
        <f>IFERROR(__xludf.DUMMYFUNCTION("""COMPUTED_VALUE"""),"91. Butter")</f>
        <v>91. Butter</v>
      </c>
      <c r="B4733" s="4" t="str">
        <f>IFERROR(__xludf.DUMMYFUNCTION("""COMPUTED_VALUE"""),"91")</f>
        <v>91</v>
      </c>
      <c r="C4733" s="5" t="str">
        <f>IFERROR(__xludf.DUMMYFUNCTION("""COMPUTED_VALUE"""),"https://drive.google.com/file/d/19T9W963_PPKwpowjGVQS2FcnWgWr3H0F/view?usp=drivesdk")</f>
        <v>https://drive.google.com/file/d/19T9W963_PPKwpowjGVQS2FcnWgWr3H0F/view?usp=drivesdk</v>
      </c>
      <c r="D4733" s="12"/>
      <c r="E4733" s="11">
        <v>4771.0</v>
      </c>
      <c r="F4733" s="2"/>
    </row>
    <row r="4734" ht="1.5" customHeight="1">
      <c r="A4734" s="4" t="str">
        <f>IFERROR(__xludf.DUMMYFUNCTION("""COMPUTED_VALUE"""),"0. NotACat")</f>
        <v>0. NotACat</v>
      </c>
      <c r="B4734" s="4" t="str">
        <f>IFERROR(__xludf.DUMMYFUNCTION("""COMPUTED_VALUE"""),"0")</f>
        <v>0</v>
      </c>
      <c r="C4734" s="5" t="str">
        <f>IFERROR(__xludf.DUMMYFUNCTION("""COMPUTED_VALUE"""),"https://drive.google.com/file/d/15VtO_B_HpMWeNhsYv8oHAW36u5SAjWXo/view?usp=drivesdk")</f>
        <v>https://drive.google.com/file/d/15VtO_B_HpMWeNhsYv8oHAW36u5SAjWXo/view?usp=drivesdk</v>
      </c>
      <c r="D4734" s="12"/>
      <c r="E4734" s="11">
        <v>4772.0</v>
      </c>
      <c r="F4734" s="2"/>
    </row>
    <row r="4735" ht="1.5" customHeight="1">
      <c r="A4735" s="4" t="str">
        <f>IFERROR(__xludf.DUMMYFUNCTION("""COMPUTED_VALUE"""),"0. NotACat")</f>
        <v>0. NotACat</v>
      </c>
      <c r="B4735" s="4" t="str">
        <f>IFERROR(__xludf.DUMMYFUNCTION("""COMPUTED_VALUE"""),"0")</f>
        <v>0</v>
      </c>
      <c r="C4735" s="5" t="str">
        <f>IFERROR(__xludf.DUMMYFUNCTION("""COMPUTED_VALUE"""),"https://drive.google.com/file/d/1V2lufJKqOBZvW4RcDVc1MgUmmyj-zbXE/view?usp=drivesdk")</f>
        <v>https://drive.google.com/file/d/1V2lufJKqOBZvW4RcDVc1MgUmmyj-zbXE/view?usp=drivesdk</v>
      </c>
      <c r="D4735" s="12"/>
      <c r="E4735" s="11">
        <v>4773.0</v>
      </c>
      <c r="F4735" s="2"/>
    </row>
    <row r="4736" ht="1.5" customHeight="1">
      <c r="A4736" s="4" t="str">
        <f>IFERROR(__xludf.DUMMYFUNCTION("""COMPUTED_VALUE"""),"12. Faye")</f>
        <v>12. Faye</v>
      </c>
      <c r="B4736" s="4" t="str">
        <f>IFERROR(__xludf.DUMMYFUNCTION("""COMPUTED_VALUE"""),"12")</f>
        <v>12</v>
      </c>
      <c r="C4736" s="5" t="str">
        <f>IFERROR(__xludf.DUMMYFUNCTION("""COMPUTED_VALUE"""),"https://drive.google.com/file/d/1HJu0-x4-aTYKM548VUrdEeQ-smKjs491/view?usp=drivesdk")</f>
        <v>https://drive.google.com/file/d/1HJu0-x4-aTYKM548VUrdEeQ-smKjs491/view?usp=drivesdk</v>
      </c>
      <c r="D4736" s="12"/>
      <c r="E4736" s="11">
        <v>4774.0</v>
      </c>
      <c r="F4736" s="2"/>
    </row>
    <row r="4737" ht="1.5" customHeight="1">
      <c r="A4737" s="4" t="str">
        <f>IFERROR(__xludf.DUMMYFUNCTION("""COMPUTED_VALUE"""),"58. Eden")</f>
        <v>58. Eden</v>
      </c>
      <c r="B4737" s="4" t="str">
        <f>IFERROR(__xludf.DUMMYFUNCTION("""COMPUTED_VALUE"""),"58")</f>
        <v>58</v>
      </c>
      <c r="C4737" s="5" t="str">
        <f>IFERROR(__xludf.DUMMYFUNCTION("""COMPUTED_VALUE"""),"https://drive.google.com/file/d/1UGTT4sX7ntyfLQLNzi9fQyUIKCe52dDc/view?usp=drivesdk")</f>
        <v>https://drive.google.com/file/d/1UGTT4sX7ntyfLQLNzi9fQyUIKCe52dDc/view?usp=drivesdk</v>
      </c>
      <c r="D4737" s="12"/>
      <c r="E4737" s="11">
        <v>4775.0</v>
      </c>
      <c r="F4737" s="2"/>
    </row>
    <row r="4738" ht="1.5" customHeight="1">
      <c r="A4738" s="4" t="str">
        <f>IFERROR(__xludf.DUMMYFUNCTION("""COMPUTED_VALUE"""),"0. NotACat")</f>
        <v>0. NotACat</v>
      </c>
      <c r="B4738" s="4" t="str">
        <f>IFERROR(__xludf.DUMMYFUNCTION("""COMPUTED_VALUE"""),"0")</f>
        <v>0</v>
      </c>
      <c r="C4738" s="5" t="str">
        <f>IFERROR(__xludf.DUMMYFUNCTION("""COMPUTED_VALUE"""),"https://drive.google.com/file/d/1LkLGHSuZWptnnulTlkij2Eunk4rDWNRx/view?usp=drivesdk")</f>
        <v>https://drive.google.com/file/d/1LkLGHSuZWptnnulTlkij2Eunk4rDWNRx/view?usp=drivesdk</v>
      </c>
      <c r="D4738" s="12"/>
      <c r="E4738" s="11">
        <v>4776.0</v>
      </c>
      <c r="F4738" s="2"/>
    </row>
    <row r="4739" ht="1.5" customHeight="1">
      <c r="A4739" s="4" t="str">
        <f>IFERROR(__xludf.DUMMYFUNCTION("""COMPUTED_VALUE"""),"0. NotACat")</f>
        <v>0. NotACat</v>
      </c>
      <c r="B4739" s="4" t="str">
        <f>IFERROR(__xludf.DUMMYFUNCTION("""COMPUTED_VALUE"""),"0")</f>
        <v>0</v>
      </c>
      <c r="C4739" s="5" t="str">
        <f>IFERROR(__xludf.DUMMYFUNCTION("""COMPUTED_VALUE"""),"https://drive.google.com/file/d/1qntFiCcGk2xyb_Wl3LIWk4ODa7uALfoZ/view?usp=drivesdk")</f>
        <v>https://drive.google.com/file/d/1qntFiCcGk2xyb_Wl3LIWk4ODa7uALfoZ/view?usp=drivesdk</v>
      </c>
      <c r="D4739" s="12"/>
      <c r="E4739" s="11">
        <v>4777.0</v>
      </c>
      <c r="F4739" s="2"/>
    </row>
    <row r="4740" ht="1.5" customHeight="1">
      <c r="A4740" s="4" t="str">
        <f>IFERROR(__xludf.DUMMYFUNCTION("""COMPUTED_VALUE"""),"0. NotACat")</f>
        <v>0. NotACat</v>
      </c>
      <c r="B4740" s="4" t="str">
        <f>IFERROR(__xludf.DUMMYFUNCTION("""COMPUTED_VALUE"""),"0")</f>
        <v>0</v>
      </c>
      <c r="C4740" s="5" t="str">
        <f>IFERROR(__xludf.DUMMYFUNCTION("""COMPUTED_VALUE"""),"https://drive.google.com/file/d/1tfQ-zAN8NheklCVMCzt6oLpS7VIcedV4/view?usp=drivesdk")</f>
        <v>https://drive.google.com/file/d/1tfQ-zAN8NheklCVMCzt6oLpS7VIcedV4/view?usp=drivesdk</v>
      </c>
      <c r="D4740" s="12"/>
      <c r="E4740" s="11">
        <v>4778.0</v>
      </c>
      <c r="F4740" s="2"/>
    </row>
    <row r="4741" ht="1.5" customHeight="1">
      <c r="A4741" s="4" t="str">
        <f>IFERROR(__xludf.DUMMYFUNCTION("""COMPUTED_VALUE"""),"0. NotACat")</f>
        <v>0. NotACat</v>
      </c>
      <c r="B4741" s="4" t="str">
        <f>IFERROR(__xludf.DUMMYFUNCTION("""COMPUTED_VALUE"""),"0")</f>
        <v>0</v>
      </c>
      <c r="C4741" s="5" t="str">
        <f>IFERROR(__xludf.DUMMYFUNCTION("""COMPUTED_VALUE"""),"https://drive.google.com/file/d/1J7QxcgewxgQoyYYhnqy1sD9w7PdMtvso/view?usp=drivesdk")</f>
        <v>https://drive.google.com/file/d/1J7QxcgewxgQoyYYhnqy1sD9w7PdMtvso/view?usp=drivesdk</v>
      </c>
      <c r="D4741" s="12"/>
      <c r="E4741" s="11">
        <v>4779.0</v>
      </c>
      <c r="F4741" s="2"/>
    </row>
    <row r="4742" ht="1.5" customHeight="1">
      <c r="A4742" s="4" t="str">
        <f>IFERROR(__xludf.DUMMYFUNCTION("""COMPUTED_VALUE"""),"3. Ford F-150")</f>
        <v>3. Ford F-150</v>
      </c>
      <c r="B4742" s="4" t="str">
        <f>IFERROR(__xludf.DUMMYFUNCTION("""COMPUTED_VALUE"""),"3")</f>
        <v>3</v>
      </c>
      <c r="C4742" s="5" t="str">
        <f>IFERROR(__xludf.DUMMYFUNCTION("""COMPUTED_VALUE"""),"https://drive.google.com/file/d/1oqzveiUPMzd2-oDfXf2BOVV2oPNKdJJr/view?usp=drivesdk")</f>
        <v>https://drive.google.com/file/d/1oqzveiUPMzd2-oDfXf2BOVV2oPNKdJJr/view?usp=drivesdk</v>
      </c>
      <c r="D4742" s="12"/>
      <c r="E4742" s="11">
        <v>4780.0</v>
      </c>
      <c r="F4742" s="2"/>
    </row>
    <row r="4743" ht="1.5" customHeight="1">
      <c r="A4743" s="4" t="str">
        <f>IFERROR(__xludf.DUMMYFUNCTION("""COMPUTED_VALUE"""),"3. Ford F-150")</f>
        <v>3. Ford F-150</v>
      </c>
      <c r="B4743" s="4" t="str">
        <f>IFERROR(__xludf.DUMMYFUNCTION("""COMPUTED_VALUE"""),"3")</f>
        <v>3</v>
      </c>
      <c r="C4743" s="5" t="str">
        <f>IFERROR(__xludf.DUMMYFUNCTION("""COMPUTED_VALUE"""),"https://drive.google.com/file/d/16Yzzg6JFdtULc9sqvG1FDsXsQY1Sf6b6/view?usp=drivesdk")</f>
        <v>https://drive.google.com/file/d/16Yzzg6JFdtULc9sqvG1FDsXsQY1Sf6b6/view?usp=drivesdk</v>
      </c>
      <c r="D4743" s="12"/>
      <c r="E4743" s="11">
        <v>4781.0</v>
      </c>
      <c r="F4743" s="2"/>
    </row>
    <row r="4744" ht="1.5" customHeight="1">
      <c r="A4744" s="4" t="str">
        <f>IFERROR(__xludf.DUMMYFUNCTION("""COMPUTED_VALUE"""),"3. Ford F-150")</f>
        <v>3. Ford F-150</v>
      </c>
      <c r="B4744" s="4" t="str">
        <f>IFERROR(__xludf.DUMMYFUNCTION("""COMPUTED_VALUE"""),"3")</f>
        <v>3</v>
      </c>
      <c r="C4744" s="5" t="str">
        <f>IFERROR(__xludf.DUMMYFUNCTION("""COMPUTED_VALUE"""),"https://drive.google.com/file/d/1gd3iHF9zq0PNPjpi3X-xjH2xHZWygy7R/view?usp=drivesdk")</f>
        <v>https://drive.google.com/file/d/1gd3iHF9zq0PNPjpi3X-xjH2xHZWygy7R/view?usp=drivesdk</v>
      </c>
      <c r="D4744" s="12"/>
      <c r="E4744" s="11">
        <v>4782.0</v>
      </c>
      <c r="F4744" s="2"/>
    </row>
    <row r="4745" ht="1.5" customHeight="1">
      <c r="A4745" s="4" t="str">
        <f>IFERROR(__xludf.DUMMYFUNCTION("""COMPUTED_VALUE"""),"3. Ford F-150")</f>
        <v>3. Ford F-150</v>
      </c>
      <c r="B4745" s="4" t="str">
        <f>IFERROR(__xludf.DUMMYFUNCTION("""COMPUTED_VALUE"""),"3")</f>
        <v>3</v>
      </c>
      <c r="C4745" s="5" t="str">
        <f>IFERROR(__xludf.DUMMYFUNCTION("""COMPUTED_VALUE"""),"https://drive.google.com/file/d/1wuWGOq0teRjehBuezirpISzvZwD2b6sK/view?usp=drivesdk")</f>
        <v>https://drive.google.com/file/d/1wuWGOq0teRjehBuezirpISzvZwD2b6sK/view?usp=drivesdk</v>
      </c>
      <c r="D4745" s="12"/>
      <c r="E4745" s="11">
        <v>4783.0</v>
      </c>
      <c r="F4745" s="2"/>
    </row>
    <row r="4746" ht="1.5" customHeight="1">
      <c r="A4746" s="4" t="str">
        <f>IFERROR(__xludf.DUMMYFUNCTION("""COMPUTED_VALUE"""),"3. Ford F-150")</f>
        <v>3. Ford F-150</v>
      </c>
      <c r="B4746" s="4" t="str">
        <f>IFERROR(__xludf.DUMMYFUNCTION("""COMPUTED_VALUE"""),"3")</f>
        <v>3</v>
      </c>
      <c r="C4746" s="5" t="str">
        <f>IFERROR(__xludf.DUMMYFUNCTION("""COMPUTED_VALUE"""),"https://drive.google.com/file/d/1v2QmEu2w6KI6QPBkgSlPq-zXEOhSk31D/view?usp=drivesdk")</f>
        <v>https://drive.google.com/file/d/1v2QmEu2w6KI6QPBkgSlPq-zXEOhSk31D/view?usp=drivesdk</v>
      </c>
      <c r="D4746" s="12"/>
      <c r="E4746" s="11">
        <v>4784.0</v>
      </c>
      <c r="F4746" s="2"/>
    </row>
    <row r="4747" ht="1.5" customHeight="1">
      <c r="A4747" s="4" t="str">
        <f>IFERROR(__xludf.DUMMYFUNCTION("""COMPUTED_VALUE"""),"3. Ford F-150")</f>
        <v>3. Ford F-150</v>
      </c>
      <c r="B4747" s="4" t="str">
        <f>IFERROR(__xludf.DUMMYFUNCTION("""COMPUTED_VALUE"""),"3")</f>
        <v>3</v>
      </c>
      <c r="C4747" s="5" t="str">
        <f>IFERROR(__xludf.DUMMYFUNCTION("""COMPUTED_VALUE"""),"https://drive.google.com/file/d/11g-FNJRyPWa8R0Ll0Bq_59n2VkTf-Irb/view?usp=drivesdk")</f>
        <v>https://drive.google.com/file/d/11g-FNJRyPWa8R0Ll0Bq_59n2VkTf-Irb/view?usp=drivesdk</v>
      </c>
      <c r="D4747" s="12"/>
      <c r="E4747" s="11">
        <v>4785.0</v>
      </c>
      <c r="F4747" s="2"/>
    </row>
    <row r="4748" ht="1.5" customHeight="1">
      <c r="A4748" s="4" t="str">
        <f>IFERROR(__xludf.DUMMYFUNCTION("""COMPUTED_VALUE"""),"3. Ford F-150")</f>
        <v>3. Ford F-150</v>
      </c>
      <c r="B4748" s="4" t="str">
        <f>IFERROR(__xludf.DUMMYFUNCTION("""COMPUTED_VALUE"""),"3")</f>
        <v>3</v>
      </c>
      <c r="C4748" s="5" t="str">
        <f>IFERROR(__xludf.DUMMYFUNCTION("""COMPUTED_VALUE"""),"https://drive.google.com/file/d/1vxR034WshlDkiqVt6g5YLMScSCQbEcMq/view?usp=drivesdk")</f>
        <v>https://drive.google.com/file/d/1vxR034WshlDkiqVt6g5YLMScSCQbEcMq/view?usp=drivesdk</v>
      </c>
      <c r="D4748" s="12"/>
      <c r="E4748" s="11">
        <v>4786.0</v>
      </c>
      <c r="F4748" s="2"/>
    </row>
    <row r="4749" ht="1.5" customHeight="1">
      <c r="A4749" s="4" t="str">
        <f>IFERROR(__xludf.DUMMYFUNCTION("""COMPUTED_VALUE"""),"3. Ford F-150")</f>
        <v>3. Ford F-150</v>
      </c>
      <c r="B4749" s="4" t="str">
        <f>IFERROR(__xludf.DUMMYFUNCTION("""COMPUTED_VALUE"""),"3")</f>
        <v>3</v>
      </c>
      <c r="C4749" s="5" t="str">
        <f>IFERROR(__xludf.DUMMYFUNCTION("""COMPUTED_VALUE"""),"https://drive.google.com/file/d/1oOGVESojWngljZmzGxpPx7jw0XLiIIRe/view?usp=drivesdk")</f>
        <v>https://drive.google.com/file/d/1oOGVESojWngljZmzGxpPx7jw0XLiIIRe/view?usp=drivesdk</v>
      </c>
      <c r="D4749" s="12"/>
      <c r="E4749" s="11">
        <v>4787.0</v>
      </c>
      <c r="F4749" s="2"/>
    </row>
    <row r="4750" ht="1.5" customHeight="1">
      <c r="A4750" s="4" t="str">
        <f>IFERROR(__xludf.DUMMYFUNCTION("""COMPUTED_VALUE"""),"3. Ford F-150")</f>
        <v>3. Ford F-150</v>
      </c>
      <c r="B4750" s="4" t="str">
        <f>IFERROR(__xludf.DUMMYFUNCTION("""COMPUTED_VALUE"""),"3")</f>
        <v>3</v>
      </c>
      <c r="C4750" s="5" t="str">
        <f>IFERROR(__xludf.DUMMYFUNCTION("""COMPUTED_VALUE"""),"https://drive.google.com/file/d/1uD2zRX-Qqs9l8cJtk6NEta5hNKCz_hZN/view?usp=drivesdk")</f>
        <v>https://drive.google.com/file/d/1uD2zRX-Qqs9l8cJtk6NEta5hNKCz_hZN/view?usp=drivesdk</v>
      </c>
      <c r="D4750" s="12"/>
      <c r="E4750" s="11">
        <v>4788.0</v>
      </c>
      <c r="F4750" s="2"/>
    </row>
    <row r="4751" ht="1.5" customHeight="1">
      <c r="A4751" s="4" t="str">
        <f>IFERROR(__xludf.DUMMYFUNCTION("""COMPUTED_VALUE"""),"3. Ford F-150")</f>
        <v>3. Ford F-150</v>
      </c>
      <c r="B4751" s="4" t="str">
        <f>IFERROR(__xludf.DUMMYFUNCTION("""COMPUTED_VALUE"""),"3")</f>
        <v>3</v>
      </c>
      <c r="C4751" s="5" t="str">
        <f>IFERROR(__xludf.DUMMYFUNCTION("""COMPUTED_VALUE"""),"https://drive.google.com/file/d/1sxmu1QbJuPfL4rWvhzdzoquglP7XCMmR/view?usp=drivesdk")</f>
        <v>https://drive.google.com/file/d/1sxmu1QbJuPfL4rWvhzdzoquglP7XCMmR/view?usp=drivesdk</v>
      </c>
      <c r="D4751" s="12"/>
      <c r="E4751" s="11">
        <v>4789.0</v>
      </c>
      <c r="F4751" s="2"/>
    </row>
    <row r="4752" ht="1.5" customHeight="1">
      <c r="A4752" s="4" t="str">
        <f>IFERROR(__xludf.DUMMYFUNCTION("""COMPUTED_VALUE"""),"1. Microwave")</f>
        <v>1. Microwave</v>
      </c>
      <c r="B4752" s="4" t="str">
        <f>IFERROR(__xludf.DUMMYFUNCTION("""COMPUTED_VALUE"""),"1")</f>
        <v>1</v>
      </c>
      <c r="C4752" s="5" t="str">
        <f>IFERROR(__xludf.DUMMYFUNCTION("""COMPUTED_VALUE"""),"https://drive.google.com/file/d/14ugL9LXBv24yfd_7c9TrdhPG6By9CQqO/view?usp=drivesdk")</f>
        <v>https://drive.google.com/file/d/14ugL9LXBv24yfd_7c9TrdhPG6By9CQqO/view?usp=drivesdk</v>
      </c>
      <c r="D4752" s="12"/>
      <c r="E4752" s="11">
        <v>4790.0</v>
      </c>
      <c r="F4752" s="2"/>
    </row>
    <row r="4753" ht="1.5" customHeight="1">
      <c r="A4753" s="4" t="str">
        <f>IFERROR(__xludf.DUMMYFUNCTION("""COMPUTED_VALUE"""),"0. NotACat")</f>
        <v>0. NotACat</v>
      </c>
      <c r="B4753" s="4" t="str">
        <f>IFERROR(__xludf.DUMMYFUNCTION("""COMPUTED_VALUE"""),"0")</f>
        <v>0</v>
      </c>
      <c r="C4753" s="5" t="str">
        <f>IFERROR(__xludf.DUMMYFUNCTION("""COMPUTED_VALUE"""),"https://drive.google.com/file/d/1l5PmMXJTPwWaQxQHXSzbhnoN__y_y-VF/view?usp=drivesdk")</f>
        <v>https://drive.google.com/file/d/1l5PmMXJTPwWaQxQHXSzbhnoN__y_y-VF/view?usp=drivesdk</v>
      </c>
      <c r="D4753" s="12"/>
      <c r="E4753" s="11">
        <v>4791.0</v>
      </c>
      <c r="F4753" s="2"/>
    </row>
    <row r="4754" ht="1.5" customHeight="1">
      <c r="A4754" s="4" t="str">
        <f>IFERROR(__xludf.DUMMYFUNCTION("""COMPUTED_VALUE"""),"0. NotACat")</f>
        <v>0. NotACat</v>
      </c>
      <c r="B4754" s="4" t="str">
        <f>IFERROR(__xludf.DUMMYFUNCTION("""COMPUTED_VALUE"""),"0")</f>
        <v>0</v>
      </c>
      <c r="C4754" s="5" t="str">
        <f>IFERROR(__xludf.DUMMYFUNCTION("""COMPUTED_VALUE"""),"https://drive.google.com/file/d/1waoWf9u0jKuCx776cM-1gKmtICxk3Vpl/view?usp=drivesdk")</f>
        <v>https://drive.google.com/file/d/1waoWf9u0jKuCx776cM-1gKmtICxk3Vpl/view?usp=drivesdk</v>
      </c>
      <c r="D4754" s="12"/>
      <c r="E4754" s="11">
        <v>4792.0</v>
      </c>
      <c r="F4754" s="2"/>
    </row>
    <row r="4755" ht="1.5" customHeight="1">
      <c r="A4755" s="4" t="str">
        <f>IFERROR(__xludf.DUMMYFUNCTION("""COMPUTED_VALUE"""),"2. Twix")</f>
        <v>2. Twix</v>
      </c>
      <c r="B4755" s="4" t="str">
        <f>IFERROR(__xludf.DUMMYFUNCTION("""COMPUTED_VALUE"""),"2")</f>
        <v>2</v>
      </c>
      <c r="C4755" s="5" t="str">
        <f>IFERROR(__xludf.DUMMYFUNCTION("""COMPUTED_VALUE"""),"https://drive.google.com/file/d/1_cUBqagvaqVRo6Y4UyssB00ibmfqigCR/view?usp=drivesdk")</f>
        <v>https://drive.google.com/file/d/1_cUBqagvaqVRo6Y4UyssB00ibmfqigCR/view?usp=drivesdk</v>
      </c>
      <c r="D4755" s="12"/>
      <c r="E4755" s="11">
        <v>4793.0</v>
      </c>
      <c r="F4755" s="2"/>
    </row>
    <row r="4756" ht="1.5" customHeight="1">
      <c r="A4756" s="4" t="str">
        <f>IFERROR(__xludf.DUMMYFUNCTION("""COMPUTED_VALUE"""),"2. Twix")</f>
        <v>2. Twix</v>
      </c>
      <c r="B4756" s="4" t="str">
        <f>IFERROR(__xludf.DUMMYFUNCTION("""COMPUTED_VALUE"""),"2")</f>
        <v>2</v>
      </c>
      <c r="C4756" s="5" t="str">
        <f>IFERROR(__xludf.DUMMYFUNCTION("""COMPUTED_VALUE"""),"https://drive.google.com/file/d/13_sWFueep7_D0y2s9uKTMVsrFuNEQusP/view?usp=drivesdk")</f>
        <v>https://drive.google.com/file/d/13_sWFueep7_D0y2s9uKTMVsrFuNEQusP/view?usp=drivesdk</v>
      </c>
      <c r="D4756" s="12"/>
      <c r="E4756" s="11">
        <v>4794.0</v>
      </c>
      <c r="F4756" s="2"/>
    </row>
    <row r="4757" ht="1.5" customHeight="1">
      <c r="A4757" s="4" t="str">
        <f>IFERROR(__xludf.DUMMYFUNCTION("""COMPUTED_VALUE"""),"0. NotACat")</f>
        <v>0. NotACat</v>
      </c>
      <c r="B4757" s="4" t="str">
        <f>IFERROR(__xludf.DUMMYFUNCTION("""COMPUTED_VALUE"""),"0")</f>
        <v>0</v>
      </c>
      <c r="C4757" s="5" t="str">
        <f>IFERROR(__xludf.DUMMYFUNCTION("""COMPUTED_VALUE"""),"https://drive.google.com/file/d/1IP1YkU-NhHxERSTkeDsKXo9GiKC0nd_Y/view?usp=drivesdk")</f>
        <v>https://drive.google.com/file/d/1IP1YkU-NhHxERSTkeDsKXo9GiKC0nd_Y/view?usp=drivesdk</v>
      </c>
      <c r="D4757" s="12"/>
      <c r="E4757" s="11">
        <v>4795.0</v>
      </c>
      <c r="F4757" s="2"/>
    </row>
    <row r="4758" ht="1.5" customHeight="1">
      <c r="A4758" s="4" t="str">
        <f>IFERROR(__xludf.DUMMYFUNCTION("""COMPUTED_VALUE"""),"58. Eden, 12. Faye")</f>
        <v>58. Eden, 12. Faye</v>
      </c>
      <c r="B4758" s="4" t="str">
        <f>IFERROR(__xludf.DUMMYFUNCTION("""COMPUTED_VALUE"""),"58, 12")</f>
        <v>58, 12</v>
      </c>
      <c r="C4758" s="5" t="str">
        <f>IFERROR(__xludf.DUMMYFUNCTION("""COMPUTED_VALUE"""),"https://drive.google.com/file/d/1p2TYAMFfs5pVsfLOOHwKxSon2cUAPQSI/view?usp=drivesdk")</f>
        <v>https://drive.google.com/file/d/1p2TYAMFfs5pVsfLOOHwKxSon2cUAPQSI/view?usp=drivesdk</v>
      </c>
      <c r="D4758" s="12"/>
      <c r="E4758" s="11">
        <v>4796.0</v>
      </c>
      <c r="F4758" s="2"/>
    </row>
    <row r="4759" ht="1.5" customHeight="1">
      <c r="A4759" s="4" t="str">
        <f>IFERROR(__xludf.DUMMYFUNCTION("""COMPUTED_VALUE"""),"58. Eden, 12. Faye")</f>
        <v>58. Eden, 12. Faye</v>
      </c>
      <c r="B4759" s="4" t="str">
        <f>IFERROR(__xludf.DUMMYFUNCTION("""COMPUTED_VALUE"""),"58, 12")</f>
        <v>58, 12</v>
      </c>
      <c r="C4759" s="5" t="str">
        <f>IFERROR(__xludf.DUMMYFUNCTION("""COMPUTED_VALUE"""),"https://drive.google.com/file/d/1Lu4fwtF9Vo2Qzx8OBSS5O-UnyyoMmnGi/view?usp=drivesdk")</f>
        <v>https://drive.google.com/file/d/1Lu4fwtF9Vo2Qzx8OBSS5O-UnyyoMmnGi/view?usp=drivesdk</v>
      </c>
      <c r="D4759" s="12"/>
      <c r="E4759" s="11">
        <v>4797.0</v>
      </c>
      <c r="F4759" s="2"/>
    </row>
    <row r="4760" ht="1.5" customHeight="1">
      <c r="A4760" s="4" t="str">
        <f>IFERROR(__xludf.DUMMYFUNCTION("""COMPUTED_VALUE"""),"12. Faye")</f>
        <v>12. Faye</v>
      </c>
      <c r="B4760" s="4" t="str">
        <f>IFERROR(__xludf.DUMMYFUNCTION("""COMPUTED_VALUE"""),"12")</f>
        <v>12</v>
      </c>
      <c r="C4760" s="5" t="str">
        <f>IFERROR(__xludf.DUMMYFUNCTION("""COMPUTED_VALUE"""),"https://drive.google.com/file/d/1d7mCnhUyKZdKeZYk7sgjbhC3jW2PGRtg/view?usp=drivesdk")</f>
        <v>https://drive.google.com/file/d/1d7mCnhUyKZdKeZYk7sgjbhC3jW2PGRtg/view?usp=drivesdk</v>
      </c>
      <c r="D4760" s="12"/>
      <c r="E4760" s="11">
        <v>4798.0</v>
      </c>
      <c r="F4760" s="2"/>
    </row>
    <row r="4761" ht="1.5" customHeight="1">
      <c r="A4761" s="4" t="str">
        <f>IFERROR(__xludf.DUMMYFUNCTION("""COMPUTED_VALUE"""),"58. Eden")</f>
        <v>58. Eden</v>
      </c>
      <c r="B4761" s="4" t="str">
        <f>IFERROR(__xludf.DUMMYFUNCTION("""COMPUTED_VALUE"""),"58")</f>
        <v>58</v>
      </c>
      <c r="C4761" s="5" t="str">
        <f>IFERROR(__xludf.DUMMYFUNCTION("""COMPUTED_VALUE"""),"https://drive.google.com/file/d/1JIKMISGicyMuClhRVLxzwmQD_7ZwK9MV/view?usp=drivesdk")</f>
        <v>https://drive.google.com/file/d/1JIKMISGicyMuClhRVLxzwmQD_7ZwK9MV/view?usp=drivesdk</v>
      </c>
      <c r="D4761" s="12"/>
      <c r="E4761" s="11">
        <v>4799.0</v>
      </c>
      <c r="F4761" s="2"/>
    </row>
    <row r="4762" ht="1.5" customHeight="1">
      <c r="A4762" s="4" t="str">
        <f>IFERROR(__xludf.DUMMYFUNCTION("""COMPUTED_VALUE"""),"12. Faye, 58. Eden")</f>
        <v>12. Faye, 58. Eden</v>
      </c>
      <c r="B4762" s="4" t="str">
        <f>IFERROR(__xludf.DUMMYFUNCTION("""COMPUTED_VALUE"""),"12, 58")</f>
        <v>12, 58</v>
      </c>
      <c r="C4762" s="5" t="str">
        <f>IFERROR(__xludf.DUMMYFUNCTION("""COMPUTED_VALUE"""),"https://drive.google.com/file/d/1qOg-n_6wanSizDuCg12H3q5slfrCO-WH/view?usp=drivesdk")</f>
        <v>https://drive.google.com/file/d/1qOg-n_6wanSizDuCg12H3q5slfrCO-WH/view?usp=drivesdk</v>
      </c>
      <c r="D4762" s="12"/>
      <c r="E4762" s="11">
        <v>4800.0</v>
      </c>
      <c r="F4762" s="2"/>
    </row>
    <row r="4763" ht="1.5" customHeight="1">
      <c r="A4763" s="4" t="str">
        <f>IFERROR(__xludf.DUMMYFUNCTION("""COMPUTED_VALUE"""),"0. NotACat")</f>
        <v>0. NotACat</v>
      </c>
      <c r="B4763" s="4" t="str">
        <f>IFERROR(__xludf.DUMMYFUNCTION("""COMPUTED_VALUE"""),"0")</f>
        <v>0</v>
      </c>
      <c r="C4763" s="5" t="str">
        <f>IFERROR(__xludf.DUMMYFUNCTION("""COMPUTED_VALUE"""),"https://drive.google.com/file/d/1ZV-EfQlZ_8AcJOELJVMQK6tF0S_kDJ2U/view?usp=drivesdk")</f>
        <v>https://drive.google.com/file/d/1ZV-EfQlZ_8AcJOELJVMQK6tF0S_kDJ2U/view?usp=drivesdk</v>
      </c>
      <c r="D4763" s="12"/>
      <c r="E4763" s="11">
        <v>4801.0</v>
      </c>
      <c r="F4763" s="2"/>
    </row>
    <row r="4764" ht="1.5" customHeight="1">
      <c r="A4764" s="4" t="str">
        <f>IFERROR(__xludf.DUMMYFUNCTION("""COMPUTED_VALUE"""),"1. Microwave")</f>
        <v>1. Microwave</v>
      </c>
      <c r="B4764" s="4" t="str">
        <f>IFERROR(__xludf.DUMMYFUNCTION("""COMPUTED_VALUE"""),"1")</f>
        <v>1</v>
      </c>
      <c r="C4764" s="5" t="str">
        <f>IFERROR(__xludf.DUMMYFUNCTION("""COMPUTED_VALUE"""),"https://drive.google.com/file/d/1ssW9YsQNlyTG-o8w430BWwNB2ugUmCNW/view?usp=drivesdk")</f>
        <v>https://drive.google.com/file/d/1ssW9YsQNlyTG-o8w430BWwNB2ugUmCNW/view?usp=drivesdk</v>
      </c>
      <c r="D4764" s="12"/>
      <c r="E4764" s="11">
        <v>4802.0</v>
      </c>
      <c r="F4764" s="2"/>
    </row>
    <row r="4765" ht="1.5" customHeight="1">
      <c r="A4765" s="4" t="str">
        <f>IFERROR(__xludf.DUMMYFUNCTION("""COMPUTED_VALUE"""),"1. Microwave")</f>
        <v>1. Microwave</v>
      </c>
      <c r="B4765" s="4" t="str">
        <f>IFERROR(__xludf.DUMMYFUNCTION("""COMPUTED_VALUE"""),"1")</f>
        <v>1</v>
      </c>
      <c r="C4765" s="5" t="str">
        <f>IFERROR(__xludf.DUMMYFUNCTION("""COMPUTED_VALUE"""),"https://drive.google.com/file/d/1NC58IBz9cS6eqALxykf-PvhrMbso1i_0/view?usp=drivesdk")</f>
        <v>https://drive.google.com/file/d/1NC58IBz9cS6eqALxykf-PvhrMbso1i_0/view?usp=drivesdk</v>
      </c>
      <c r="D4765" s="12"/>
      <c r="E4765" s="11">
        <v>4803.0</v>
      </c>
      <c r="F4765" s="2"/>
    </row>
    <row r="4766" ht="1.5" customHeight="1">
      <c r="A4766" s="4" t="str">
        <f>IFERROR(__xludf.DUMMYFUNCTION("""COMPUTED_VALUE"""),"1. Microwave")</f>
        <v>1. Microwave</v>
      </c>
      <c r="B4766" s="4" t="str">
        <f>IFERROR(__xludf.DUMMYFUNCTION("""COMPUTED_VALUE"""),"1")</f>
        <v>1</v>
      </c>
      <c r="C4766" s="5" t="str">
        <f>IFERROR(__xludf.DUMMYFUNCTION("""COMPUTED_VALUE"""),"https://drive.google.com/file/d/1KJHMemO-OdWfQEKYoHIoFlgb3wL7PUdo/view?usp=drivesdk")</f>
        <v>https://drive.google.com/file/d/1KJHMemO-OdWfQEKYoHIoFlgb3wL7PUdo/view?usp=drivesdk</v>
      </c>
      <c r="D4766" s="12"/>
      <c r="E4766" s="11">
        <v>4804.0</v>
      </c>
      <c r="F4766" s="2"/>
    </row>
    <row r="4767" ht="1.5" customHeight="1">
      <c r="A4767" s="4" t="str">
        <f>IFERROR(__xludf.DUMMYFUNCTION("""COMPUTED_VALUE"""),"1. Microwave")</f>
        <v>1. Microwave</v>
      </c>
      <c r="B4767" s="4" t="str">
        <f>IFERROR(__xludf.DUMMYFUNCTION("""COMPUTED_VALUE"""),"1")</f>
        <v>1</v>
      </c>
      <c r="C4767" s="5" t="str">
        <f>IFERROR(__xludf.DUMMYFUNCTION("""COMPUTED_VALUE"""),"https://drive.google.com/file/d/1ytZdK1eef9CfwjWmPu9KsDLZt1gcYBl4/view?usp=drivesdk")</f>
        <v>https://drive.google.com/file/d/1ytZdK1eef9CfwjWmPu9KsDLZt1gcYBl4/view?usp=drivesdk</v>
      </c>
      <c r="D4767" s="12"/>
      <c r="E4767" s="11">
        <v>4805.0</v>
      </c>
      <c r="F4767" s="2"/>
    </row>
    <row r="4768" ht="1.5" customHeight="1">
      <c r="A4768" s="4" t="str">
        <f>IFERROR(__xludf.DUMMYFUNCTION("""COMPUTED_VALUE"""),"1. Microwave")</f>
        <v>1. Microwave</v>
      </c>
      <c r="B4768" s="4" t="str">
        <f>IFERROR(__xludf.DUMMYFUNCTION("""COMPUTED_VALUE"""),"1")</f>
        <v>1</v>
      </c>
      <c r="C4768" s="5" t="str">
        <f>IFERROR(__xludf.DUMMYFUNCTION("""COMPUTED_VALUE"""),"https://drive.google.com/file/d/1l602W-hnjgcZSYwElpxY_BbFprzN2DX_/view?usp=drivesdk")</f>
        <v>https://drive.google.com/file/d/1l602W-hnjgcZSYwElpxY_BbFprzN2DX_/view?usp=drivesdk</v>
      </c>
      <c r="D4768" s="12"/>
      <c r="E4768" s="11">
        <v>4806.0</v>
      </c>
      <c r="F4768" s="2"/>
    </row>
    <row r="4769" ht="1.5" customHeight="1">
      <c r="A4769" s="4" t="str">
        <f>IFERROR(__xludf.DUMMYFUNCTION("""COMPUTED_VALUE"""),"1. Microwave")</f>
        <v>1. Microwave</v>
      </c>
      <c r="B4769" s="4" t="str">
        <f>IFERROR(__xludf.DUMMYFUNCTION("""COMPUTED_VALUE"""),"1")</f>
        <v>1</v>
      </c>
      <c r="C4769" s="5" t="str">
        <f>IFERROR(__xludf.DUMMYFUNCTION("""COMPUTED_VALUE"""),"https://drive.google.com/file/d/1nSq9gMUv8t5yKrLSFRypfujX0zBGgPZJ/view?usp=drivesdk")</f>
        <v>https://drive.google.com/file/d/1nSq9gMUv8t5yKrLSFRypfujX0zBGgPZJ/view?usp=drivesdk</v>
      </c>
      <c r="D4769" s="12"/>
      <c r="E4769" s="11">
        <v>4807.0</v>
      </c>
      <c r="F4769" s="2"/>
    </row>
    <row r="4770" ht="1.5" customHeight="1">
      <c r="A4770" s="4" t="str">
        <f>IFERROR(__xludf.DUMMYFUNCTION("""COMPUTED_VALUE"""),"1. Microwave")</f>
        <v>1. Microwave</v>
      </c>
      <c r="B4770" s="4" t="str">
        <f>IFERROR(__xludf.DUMMYFUNCTION("""COMPUTED_VALUE"""),"1")</f>
        <v>1</v>
      </c>
      <c r="C4770" s="5" t="str">
        <f>IFERROR(__xludf.DUMMYFUNCTION("""COMPUTED_VALUE"""),"https://drive.google.com/file/d/1vyOGW0xYYCfzRwFUSGfLaQI7yYn9uHI8/view?usp=drivesdk")</f>
        <v>https://drive.google.com/file/d/1vyOGW0xYYCfzRwFUSGfLaQI7yYn9uHI8/view?usp=drivesdk</v>
      </c>
      <c r="D4770" s="12"/>
      <c r="E4770" s="11">
        <v>4808.0</v>
      </c>
      <c r="F4770" s="2"/>
    </row>
    <row r="4771" ht="1.5" customHeight="1">
      <c r="A4771" s="4" t="str">
        <f>IFERROR(__xludf.DUMMYFUNCTION("""COMPUTED_VALUE"""),"1. Microwave")</f>
        <v>1. Microwave</v>
      </c>
      <c r="B4771" s="4" t="str">
        <f>IFERROR(__xludf.DUMMYFUNCTION("""COMPUTED_VALUE"""),"1")</f>
        <v>1</v>
      </c>
      <c r="C4771" s="5" t="str">
        <f>IFERROR(__xludf.DUMMYFUNCTION("""COMPUTED_VALUE"""),"https://drive.google.com/file/d/1mVkcCmozOqPXqbPrdgXVr7RaC0GZPpTC/view?usp=drivesdk")</f>
        <v>https://drive.google.com/file/d/1mVkcCmozOqPXqbPrdgXVr7RaC0GZPpTC/view?usp=drivesdk</v>
      </c>
      <c r="D4771" s="12"/>
      <c r="E4771" s="11">
        <v>4809.0</v>
      </c>
      <c r="F4771" s="2"/>
    </row>
    <row r="4772" ht="1.5" customHeight="1">
      <c r="A4772" s="4" t="str">
        <f>IFERROR(__xludf.DUMMYFUNCTION("""COMPUTED_VALUE"""),"0. NotACat")</f>
        <v>0. NotACat</v>
      </c>
      <c r="B4772" s="4" t="str">
        <f>IFERROR(__xludf.DUMMYFUNCTION("""COMPUTED_VALUE"""),"0")</f>
        <v>0</v>
      </c>
      <c r="C4772" s="5" t="str">
        <f>IFERROR(__xludf.DUMMYFUNCTION("""COMPUTED_VALUE"""),"https://drive.google.com/file/d/1EMGxmRFm-nkb2KozAqmpG0oY8FMzRqM2/view?usp=drivesdk")</f>
        <v>https://drive.google.com/file/d/1EMGxmRFm-nkb2KozAqmpG0oY8FMzRqM2/view?usp=drivesdk</v>
      </c>
      <c r="D4772" s="12"/>
      <c r="E4772" s="11">
        <v>4810.0</v>
      </c>
      <c r="F4772" s="2"/>
    </row>
    <row r="4773" ht="1.5" customHeight="1">
      <c r="A4773" s="4" t="str">
        <f>IFERROR(__xludf.DUMMYFUNCTION("""COMPUTED_VALUE"""),"1. Microwave")</f>
        <v>1. Microwave</v>
      </c>
      <c r="B4773" s="4" t="str">
        <f>IFERROR(__xludf.DUMMYFUNCTION("""COMPUTED_VALUE"""),"1")</f>
        <v>1</v>
      </c>
      <c r="C4773" s="5" t="str">
        <f>IFERROR(__xludf.DUMMYFUNCTION("""COMPUTED_VALUE"""),"https://drive.google.com/file/d/1DfwQOaNajof_u85-ZDyicXSRs4EU7tCI/view?usp=drivesdk")</f>
        <v>https://drive.google.com/file/d/1DfwQOaNajof_u85-ZDyicXSRs4EU7tCI/view?usp=drivesdk</v>
      </c>
      <c r="D4773" s="12"/>
      <c r="E4773" s="11">
        <v>4811.0</v>
      </c>
      <c r="F4773" s="2"/>
    </row>
    <row r="4774" ht="1.5" customHeight="1">
      <c r="A4774" s="4" t="str">
        <f>IFERROR(__xludf.DUMMYFUNCTION("""COMPUTED_VALUE"""),"1. Microwave")</f>
        <v>1. Microwave</v>
      </c>
      <c r="B4774" s="4" t="str">
        <f>IFERROR(__xludf.DUMMYFUNCTION("""COMPUTED_VALUE"""),"1")</f>
        <v>1</v>
      </c>
      <c r="C4774" s="5" t="str">
        <f>IFERROR(__xludf.DUMMYFUNCTION("""COMPUTED_VALUE"""),"https://drive.google.com/file/d/1BrfQoP3KQomAdfNYOWPc0dkDah6MxA1o/view?usp=drivesdk")</f>
        <v>https://drive.google.com/file/d/1BrfQoP3KQomAdfNYOWPc0dkDah6MxA1o/view?usp=drivesdk</v>
      </c>
      <c r="D4774" s="12"/>
      <c r="E4774" s="11">
        <v>4812.0</v>
      </c>
      <c r="F4774" s="2"/>
    </row>
    <row r="4775" ht="1.5" customHeight="1">
      <c r="A4775" s="4" t="str">
        <f>IFERROR(__xludf.DUMMYFUNCTION("""COMPUTED_VALUE"""),"76. Eezard, 1. Microwave")</f>
        <v>76. Eezard, 1. Microwave</v>
      </c>
      <c r="B4775" s="4" t="str">
        <f>IFERROR(__xludf.DUMMYFUNCTION("""COMPUTED_VALUE"""),"76, 1")</f>
        <v>76, 1</v>
      </c>
      <c r="C4775" s="5" t="str">
        <f>IFERROR(__xludf.DUMMYFUNCTION("""COMPUTED_VALUE"""),"https://drive.google.com/file/d/1mvOfWITtv8ZjBAZKUohlvFXOKzDQWRAH/view?usp=drivesdk")</f>
        <v>https://drive.google.com/file/d/1mvOfWITtv8ZjBAZKUohlvFXOKzDQWRAH/view?usp=drivesdk</v>
      </c>
      <c r="D4775" s="12"/>
      <c r="E4775" s="11">
        <v>4813.0</v>
      </c>
      <c r="F4775" s="2"/>
    </row>
    <row r="4776" ht="1.5" customHeight="1">
      <c r="A4776" s="4" t="str">
        <f>IFERROR(__xludf.DUMMYFUNCTION("""COMPUTED_VALUE"""),"76. Eezard")</f>
        <v>76. Eezard</v>
      </c>
      <c r="B4776" s="4" t="str">
        <f>IFERROR(__xludf.DUMMYFUNCTION("""COMPUTED_VALUE"""),"76")</f>
        <v>76</v>
      </c>
      <c r="C4776" s="5" t="str">
        <f>IFERROR(__xludf.DUMMYFUNCTION("""COMPUTED_VALUE"""),"https://drive.google.com/file/d/1u2WZTHIETu9bBEp4J_77qOI-5wDdeJ6s/view?usp=drivesdk")</f>
        <v>https://drive.google.com/file/d/1u2WZTHIETu9bBEp4J_77qOI-5wDdeJ6s/view?usp=drivesdk</v>
      </c>
      <c r="D4776" s="12"/>
      <c r="E4776" s="11">
        <v>4814.0</v>
      </c>
      <c r="F4776" s="2"/>
    </row>
    <row r="4777" ht="1.5" customHeight="1">
      <c r="A4777" s="4" t="str">
        <f>IFERROR(__xludf.DUMMYFUNCTION("""COMPUTED_VALUE"""),"76. Eezard")</f>
        <v>76. Eezard</v>
      </c>
      <c r="B4777" s="4" t="str">
        <f>IFERROR(__xludf.DUMMYFUNCTION("""COMPUTED_VALUE"""),"76")</f>
        <v>76</v>
      </c>
      <c r="C4777" s="5" t="str">
        <f>IFERROR(__xludf.DUMMYFUNCTION("""COMPUTED_VALUE"""),"https://drive.google.com/file/d/1PouMqQKBeq1sH7yS_dHKG8B2JLpF9nvf/view?usp=drivesdk")</f>
        <v>https://drive.google.com/file/d/1PouMqQKBeq1sH7yS_dHKG8B2JLpF9nvf/view?usp=drivesdk</v>
      </c>
      <c r="D4777" s="12"/>
      <c r="E4777" s="11">
        <v>4815.0</v>
      </c>
      <c r="F4777" s="2"/>
    </row>
    <row r="4778" ht="1.5" customHeight="1">
      <c r="A4778" s="4" t="str">
        <f>IFERROR(__xludf.DUMMYFUNCTION("""COMPUTED_VALUE"""),"76. Eezard")</f>
        <v>76. Eezard</v>
      </c>
      <c r="B4778" s="4" t="str">
        <f>IFERROR(__xludf.DUMMYFUNCTION("""COMPUTED_VALUE"""),"76")</f>
        <v>76</v>
      </c>
      <c r="C4778" s="5" t="str">
        <f>IFERROR(__xludf.DUMMYFUNCTION("""COMPUTED_VALUE"""),"https://drive.google.com/file/d/1McjRn0EU-ZFFIgvaNKZXuLTEXNRJV6yj/view?usp=drivesdk")</f>
        <v>https://drive.google.com/file/d/1McjRn0EU-ZFFIgvaNKZXuLTEXNRJV6yj/view?usp=drivesdk</v>
      </c>
      <c r="D4778" s="12"/>
      <c r="E4778" s="11">
        <v>4816.0</v>
      </c>
      <c r="F4778" s="2"/>
    </row>
    <row r="4779" ht="1.5" customHeight="1">
      <c r="A4779" s="4" t="str">
        <f>IFERROR(__xludf.DUMMYFUNCTION("""COMPUTED_VALUE"""),"1. Microwave")</f>
        <v>1. Microwave</v>
      </c>
      <c r="B4779" s="4" t="str">
        <f>IFERROR(__xludf.DUMMYFUNCTION("""COMPUTED_VALUE"""),"1")</f>
        <v>1</v>
      </c>
      <c r="C4779" s="5" t="str">
        <f>IFERROR(__xludf.DUMMYFUNCTION("""COMPUTED_VALUE"""),"https://drive.google.com/file/d/1ChciQRBaY3dxo5CBNB29xJDywzznjCLY/view?usp=drivesdk")</f>
        <v>https://drive.google.com/file/d/1ChciQRBaY3dxo5CBNB29xJDywzznjCLY/view?usp=drivesdk</v>
      </c>
      <c r="D4779" s="12"/>
      <c r="E4779" s="11">
        <v>4817.0</v>
      </c>
      <c r="F4779" s="2"/>
    </row>
    <row r="4780" ht="1.5" customHeight="1">
      <c r="A4780" s="4" t="str">
        <f>IFERROR(__xludf.DUMMYFUNCTION("""COMPUTED_VALUE"""),"4. Eggs, 5. Eraser")</f>
        <v>4. Eggs, 5. Eraser</v>
      </c>
      <c r="B4780" s="4" t="str">
        <f>IFERROR(__xludf.DUMMYFUNCTION("""COMPUTED_VALUE"""),"4, 5")</f>
        <v>4, 5</v>
      </c>
      <c r="C4780" s="5" t="str">
        <f>IFERROR(__xludf.DUMMYFUNCTION("""COMPUTED_VALUE"""),"https://drive.google.com/file/d/1FOWKLw_jjwO-GWko4SsyLp8TJXzstpDw/view?usp=drivesdk")</f>
        <v>https://drive.google.com/file/d/1FOWKLw_jjwO-GWko4SsyLp8TJXzstpDw/view?usp=drivesdk</v>
      </c>
      <c r="D4780" s="12"/>
      <c r="E4780" s="11">
        <v>4818.0</v>
      </c>
      <c r="F4780" s="2"/>
    </row>
    <row r="4781" ht="1.5" customHeight="1">
      <c r="A4781" s="4" t="str">
        <f>IFERROR(__xludf.DUMMYFUNCTION("""COMPUTED_VALUE"""),"2. Twix")</f>
        <v>2. Twix</v>
      </c>
      <c r="B4781" s="4" t="str">
        <f>IFERROR(__xludf.DUMMYFUNCTION("""COMPUTED_VALUE"""),"2")</f>
        <v>2</v>
      </c>
      <c r="C4781" s="5" t="str">
        <f>IFERROR(__xludf.DUMMYFUNCTION("""COMPUTED_VALUE"""),"https://drive.google.com/file/d/1ean2Z8NBSQByQrN-T1R4YxtexQLf2Zcz/view?usp=drivesdk")</f>
        <v>https://drive.google.com/file/d/1ean2Z8NBSQByQrN-T1R4YxtexQLf2Zcz/view?usp=drivesdk</v>
      </c>
      <c r="D4781" s="12"/>
      <c r="E4781" s="11">
        <v>4819.0</v>
      </c>
      <c r="F4781" s="2"/>
    </row>
    <row r="4782" ht="1.5" customHeight="1">
      <c r="A4782" s="4" t="str">
        <f>IFERROR(__xludf.DUMMYFUNCTION("""COMPUTED_VALUE"""),"0. NotACat")</f>
        <v>0. NotACat</v>
      </c>
      <c r="B4782" s="4" t="str">
        <f>IFERROR(__xludf.DUMMYFUNCTION("""COMPUTED_VALUE"""),"0")</f>
        <v>0</v>
      </c>
      <c r="C4782" s="5" t="str">
        <f>IFERROR(__xludf.DUMMYFUNCTION("""COMPUTED_VALUE"""),"https://drive.google.com/file/d/13h4FM9cysiRrrhmy4wu418hUMmfGHeUJ/view?usp=drivesdk")</f>
        <v>https://drive.google.com/file/d/13h4FM9cysiRrrhmy4wu418hUMmfGHeUJ/view?usp=drivesdk</v>
      </c>
      <c r="D4782" s="12"/>
      <c r="E4782" s="11">
        <v>4820.0</v>
      </c>
      <c r="F4782" s="2"/>
    </row>
    <row r="4783" ht="1.5" customHeight="1">
      <c r="A4783" s="4" t="str">
        <f>IFERROR(__xludf.DUMMYFUNCTION("""COMPUTED_VALUE"""),"0. NotACat")</f>
        <v>0. NotACat</v>
      </c>
      <c r="B4783" s="4" t="str">
        <f>IFERROR(__xludf.DUMMYFUNCTION("""COMPUTED_VALUE"""),"0")</f>
        <v>0</v>
      </c>
      <c r="C4783" s="5" t="str">
        <f>IFERROR(__xludf.DUMMYFUNCTION("""COMPUTED_VALUE"""),"https://drive.google.com/file/d/1u7oUV57pKJYCYHrp2I8pWJxCkXDulQFB/view?usp=drivesdk")</f>
        <v>https://drive.google.com/file/d/1u7oUV57pKJYCYHrp2I8pWJxCkXDulQFB/view?usp=drivesdk</v>
      </c>
      <c r="D4783" s="12"/>
      <c r="E4783" s="11">
        <v>4821.0</v>
      </c>
      <c r="F4783" s="2"/>
    </row>
    <row r="4784" ht="1.5" customHeight="1">
      <c r="A4784" s="4" t="str">
        <f>IFERROR(__xludf.DUMMYFUNCTION("""COMPUTED_VALUE"""),"1. Microwave")</f>
        <v>1. Microwave</v>
      </c>
      <c r="B4784" s="4" t="str">
        <f>IFERROR(__xludf.DUMMYFUNCTION("""COMPUTED_VALUE"""),"1")</f>
        <v>1</v>
      </c>
      <c r="C4784" s="5" t="str">
        <f>IFERROR(__xludf.DUMMYFUNCTION("""COMPUTED_VALUE"""),"https://drive.google.com/file/d/17LLAe1uIsvnVE27e0pxjiA7yqg5UDy4M/view?usp=drivesdk")</f>
        <v>https://drive.google.com/file/d/17LLAe1uIsvnVE27e0pxjiA7yqg5UDy4M/view?usp=drivesdk</v>
      </c>
      <c r="D4784" s="12"/>
      <c r="E4784" s="11">
        <v>4822.0</v>
      </c>
      <c r="F4784" s="2"/>
    </row>
    <row r="4785" ht="1.5" customHeight="1">
      <c r="A4785" s="4" t="str">
        <f>IFERROR(__xludf.DUMMYFUNCTION("""COMPUTED_VALUE"""),"29. Ginger")</f>
        <v>29. Ginger</v>
      </c>
      <c r="B4785" s="4" t="str">
        <f>IFERROR(__xludf.DUMMYFUNCTION("""COMPUTED_VALUE"""),"29")</f>
        <v>29</v>
      </c>
      <c r="C4785" s="5" t="str">
        <f>IFERROR(__xludf.DUMMYFUNCTION("""COMPUTED_VALUE"""),"https://drive.google.com/file/d/1M2okS6uzHS2O0VkjvWGTP1TXWj291YP-/view?usp=drivesdk")</f>
        <v>https://drive.google.com/file/d/1M2okS6uzHS2O0VkjvWGTP1TXWj291YP-/view?usp=drivesdk</v>
      </c>
      <c r="D4785" s="12"/>
      <c r="E4785" s="11">
        <v>4823.0</v>
      </c>
      <c r="F4785" s="2"/>
    </row>
    <row r="4786" ht="1.5" customHeight="1">
      <c r="A4786" s="4" t="str">
        <f>IFERROR(__xludf.DUMMYFUNCTION("""COMPUTED_VALUE"""),"29. Ginger")</f>
        <v>29. Ginger</v>
      </c>
      <c r="B4786" s="4" t="str">
        <f>IFERROR(__xludf.DUMMYFUNCTION("""COMPUTED_VALUE"""),"29")</f>
        <v>29</v>
      </c>
      <c r="C4786" s="5" t="str">
        <f>IFERROR(__xludf.DUMMYFUNCTION("""COMPUTED_VALUE"""),"https://drive.google.com/file/d/1eJZYZOEbUJFRfjPslQud9YO_2PEObGaw/view?usp=drivesdk")</f>
        <v>https://drive.google.com/file/d/1eJZYZOEbUJFRfjPslQud9YO_2PEObGaw/view?usp=drivesdk</v>
      </c>
      <c r="D4786" s="12"/>
      <c r="E4786" s="11">
        <v>4824.0</v>
      </c>
      <c r="F4786" s="2"/>
    </row>
    <row r="4787" ht="1.5" customHeight="1">
      <c r="A4787" s="4" t="str">
        <f>IFERROR(__xludf.DUMMYFUNCTION("""COMPUTED_VALUE"""),"0. NotACat")</f>
        <v>0. NotACat</v>
      </c>
      <c r="B4787" s="4" t="str">
        <f>IFERROR(__xludf.DUMMYFUNCTION("""COMPUTED_VALUE"""),"0")</f>
        <v>0</v>
      </c>
      <c r="C4787" s="5" t="str">
        <f>IFERROR(__xludf.DUMMYFUNCTION("""COMPUTED_VALUE"""),"https://drive.google.com/file/d/1G2jvqADhd2VXsvSSWxCA6ywne038LpC3/view?usp=drivesdk")</f>
        <v>https://drive.google.com/file/d/1G2jvqADhd2VXsvSSWxCA6ywne038LpC3/view?usp=drivesdk</v>
      </c>
      <c r="D4787" s="12"/>
      <c r="E4787" s="11">
        <v>4825.0</v>
      </c>
      <c r="F4787" s="2"/>
    </row>
    <row r="4788" ht="1.5" customHeight="1">
      <c r="A4788" s="4" t="str">
        <f>IFERROR(__xludf.DUMMYFUNCTION("""COMPUTED_VALUE"""),"6. Snickers")</f>
        <v>6. Snickers</v>
      </c>
      <c r="B4788" s="4" t="str">
        <f>IFERROR(__xludf.DUMMYFUNCTION("""COMPUTED_VALUE"""),"6")</f>
        <v>6</v>
      </c>
      <c r="C4788" s="5" t="str">
        <f>IFERROR(__xludf.DUMMYFUNCTION("""COMPUTED_VALUE"""),"https://drive.google.com/file/d/13My_QvXFV2E-BNJ1e9lA3cm357Duakzg/view?usp=drivesdk")</f>
        <v>https://drive.google.com/file/d/13My_QvXFV2E-BNJ1e9lA3cm357Duakzg/view?usp=drivesdk</v>
      </c>
      <c r="D4788" s="12"/>
      <c r="E4788" s="11">
        <v>4826.0</v>
      </c>
      <c r="F4788" s="2"/>
    </row>
    <row r="4789" ht="1.5" customHeight="1">
      <c r="A4789" s="4" t="str">
        <f>IFERROR(__xludf.DUMMYFUNCTION("""COMPUTED_VALUE"""),"0. NotACat")</f>
        <v>0. NotACat</v>
      </c>
      <c r="B4789" s="4" t="str">
        <f>IFERROR(__xludf.DUMMYFUNCTION("""COMPUTED_VALUE"""),"0")</f>
        <v>0</v>
      </c>
      <c r="C4789" s="5" t="str">
        <f>IFERROR(__xludf.DUMMYFUNCTION("""COMPUTED_VALUE"""),"https://drive.google.com/file/d/1NOokN8AVPX0Ftr8XJhANOR3W-10ZGNPq/view?usp=drivesdk")</f>
        <v>https://drive.google.com/file/d/1NOokN8AVPX0Ftr8XJhANOR3W-10ZGNPq/view?usp=drivesdk</v>
      </c>
      <c r="D4789" s="12"/>
      <c r="E4789" s="11">
        <v>4827.0</v>
      </c>
      <c r="F4789" s="2"/>
    </row>
    <row r="4790" ht="1.5" customHeight="1">
      <c r="A4790" s="4" t="str">
        <f>IFERROR(__xludf.DUMMYFUNCTION("""COMPUTED_VALUE"""),"29. Ginger")</f>
        <v>29. Ginger</v>
      </c>
      <c r="B4790" s="4" t="str">
        <f>IFERROR(__xludf.DUMMYFUNCTION("""COMPUTED_VALUE"""),"29")</f>
        <v>29</v>
      </c>
      <c r="C4790" s="5" t="str">
        <f>IFERROR(__xludf.DUMMYFUNCTION("""COMPUTED_VALUE"""),"https://drive.google.com/file/d/17JxktiZkmThB13k5QothZBq-VCF_n2Sb/view?usp=drivesdk")</f>
        <v>https://drive.google.com/file/d/17JxktiZkmThB13k5QothZBq-VCF_n2Sb/view?usp=drivesdk</v>
      </c>
      <c r="D4790" s="12"/>
      <c r="E4790" s="11">
        <v>4828.0</v>
      </c>
      <c r="F4790" s="2"/>
    </row>
    <row r="4791" ht="1.5" customHeight="1">
      <c r="A4791" s="4" t="str">
        <f>IFERROR(__xludf.DUMMYFUNCTION("""COMPUTED_VALUE"""),"1. Microwave")</f>
        <v>1. Microwave</v>
      </c>
      <c r="B4791" s="4" t="str">
        <f>IFERROR(__xludf.DUMMYFUNCTION("""COMPUTED_VALUE"""),"1")</f>
        <v>1</v>
      </c>
      <c r="C4791" s="5" t="str">
        <f>IFERROR(__xludf.DUMMYFUNCTION("""COMPUTED_VALUE"""),"https://drive.google.com/file/d/17cy-FEnOmSs7acabrqmQkOZ2Iy0paMM1/view?usp=drivesdk")</f>
        <v>https://drive.google.com/file/d/17cy-FEnOmSs7acabrqmQkOZ2Iy0paMM1/view?usp=drivesdk</v>
      </c>
      <c r="D4791" s="12"/>
      <c r="E4791" s="11">
        <v>4829.0</v>
      </c>
      <c r="F4791" s="2"/>
    </row>
    <row r="4792" ht="1.5" customHeight="1">
      <c r="A4792" s="4" t="str">
        <f>IFERROR(__xludf.DUMMYFUNCTION("""COMPUTED_VALUE"""),"1. Microwave")</f>
        <v>1. Microwave</v>
      </c>
      <c r="B4792" s="4" t="str">
        <f>IFERROR(__xludf.DUMMYFUNCTION("""COMPUTED_VALUE"""),"1")</f>
        <v>1</v>
      </c>
      <c r="C4792" s="5" t="str">
        <f>IFERROR(__xludf.DUMMYFUNCTION("""COMPUTED_VALUE"""),"https://drive.google.com/file/d/1xRyi7mRqdeqN8DSyvP_d9HW5II-UUZIk/view?usp=drivesdk")</f>
        <v>https://drive.google.com/file/d/1xRyi7mRqdeqN8DSyvP_d9HW5II-UUZIk/view?usp=drivesdk</v>
      </c>
      <c r="D4792" s="12"/>
      <c r="E4792" s="11">
        <v>4830.0</v>
      </c>
      <c r="F4792" s="2"/>
    </row>
    <row r="4793" ht="1.5" customHeight="1">
      <c r="A4793" s="4" t="str">
        <f>IFERROR(__xludf.DUMMYFUNCTION("""COMPUTED_VALUE"""),"1. Microwave")</f>
        <v>1. Microwave</v>
      </c>
      <c r="B4793" s="4" t="str">
        <f>IFERROR(__xludf.DUMMYFUNCTION("""COMPUTED_VALUE"""),"1")</f>
        <v>1</v>
      </c>
      <c r="C4793" s="5" t="str">
        <f>IFERROR(__xludf.DUMMYFUNCTION("""COMPUTED_VALUE"""),"https://drive.google.com/file/d/1CWxvDJpmHEODBZ4kYEvy8h4fpUl_8P2X/view?usp=drivesdk")</f>
        <v>https://drive.google.com/file/d/1CWxvDJpmHEODBZ4kYEvy8h4fpUl_8P2X/view?usp=drivesdk</v>
      </c>
      <c r="D4793" s="12"/>
      <c r="E4793" s="11">
        <v>4831.0</v>
      </c>
      <c r="F4793" s="2"/>
    </row>
    <row r="4794" ht="1.5" customHeight="1">
      <c r="A4794" s="4" t="str">
        <f>IFERROR(__xludf.DUMMYFUNCTION("""COMPUTED_VALUE"""),"1. Microwave")</f>
        <v>1. Microwave</v>
      </c>
      <c r="B4794" s="4" t="str">
        <f>IFERROR(__xludf.DUMMYFUNCTION("""COMPUTED_VALUE"""),"1")</f>
        <v>1</v>
      </c>
      <c r="C4794" s="5" t="str">
        <f>IFERROR(__xludf.DUMMYFUNCTION("""COMPUTED_VALUE"""),"https://drive.google.com/file/d/1qRy_TPhXuMyle9cmz3uO7Zg87Amw_CW9/view?usp=drivesdk")</f>
        <v>https://drive.google.com/file/d/1qRy_TPhXuMyle9cmz3uO7Zg87Amw_CW9/view?usp=drivesdk</v>
      </c>
      <c r="D4794" s="12"/>
      <c r="E4794" s="11">
        <v>4832.0</v>
      </c>
      <c r="F4794" s="2"/>
    </row>
    <row r="4795" ht="1.5" customHeight="1">
      <c r="A4795" s="4" t="str">
        <f>IFERROR(__xludf.DUMMYFUNCTION("""COMPUTED_VALUE"""),"0. NotACat")</f>
        <v>0. NotACat</v>
      </c>
      <c r="B4795" s="4" t="str">
        <f>IFERROR(__xludf.DUMMYFUNCTION("""COMPUTED_VALUE"""),"0")</f>
        <v>0</v>
      </c>
      <c r="C4795" s="5" t="str">
        <f>IFERROR(__xludf.DUMMYFUNCTION("""COMPUTED_VALUE"""),"https://drive.google.com/file/d/1TTdD8ubc5fTADo8IGl88RVLuNQPHUI9Z/view?usp=drivesdk")</f>
        <v>https://drive.google.com/file/d/1TTdD8ubc5fTADo8IGl88RVLuNQPHUI9Z/view?usp=drivesdk</v>
      </c>
      <c r="D4795" s="12"/>
      <c r="E4795" s="11">
        <v>4833.0</v>
      </c>
      <c r="F4795" s="2"/>
    </row>
    <row r="4796" ht="1.5" customHeight="1">
      <c r="A4796" s="4" t="str">
        <f>IFERROR(__xludf.DUMMYFUNCTION("""COMPUTED_VALUE"""),"0. NotACat")</f>
        <v>0. NotACat</v>
      </c>
      <c r="B4796" s="4" t="str">
        <f>IFERROR(__xludf.DUMMYFUNCTION("""COMPUTED_VALUE"""),"0")</f>
        <v>0</v>
      </c>
      <c r="C4796" s="5" t="str">
        <f>IFERROR(__xludf.DUMMYFUNCTION("""COMPUTED_VALUE"""),"https://drive.google.com/file/d/1LC2-UcydEyH9IL2nYrQMpTDLB79z17aA/view?usp=drivesdk")</f>
        <v>https://drive.google.com/file/d/1LC2-UcydEyH9IL2nYrQMpTDLB79z17aA/view?usp=drivesdk</v>
      </c>
      <c r="D4796" s="12"/>
      <c r="E4796" s="11">
        <v>4834.0</v>
      </c>
      <c r="F4796" s="2"/>
    </row>
    <row r="4797" ht="1.5" customHeight="1">
      <c r="A4797" s="4" t="str">
        <f>IFERROR(__xludf.DUMMYFUNCTION("""COMPUTED_VALUE"""),"76. Eezard")</f>
        <v>76. Eezard</v>
      </c>
      <c r="B4797" s="4" t="str">
        <f>IFERROR(__xludf.DUMMYFUNCTION("""COMPUTED_VALUE"""),"76")</f>
        <v>76</v>
      </c>
      <c r="C4797" s="5" t="str">
        <f>IFERROR(__xludf.DUMMYFUNCTION("""COMPUTED_VALUE"""),"https://drive.google.com/file/d/12fhIUQKUZ7HePelIICxOMkO41ySVcXuz/view?usp=drivesdk")</f>
        <v>https://drive.google.com/file/d/12fhIUQKUZ7HePelIICxOMkO41ySVcXuz/view?usp=drivesdk</v>
      </c>
      <c r="D4797" s="12"/>
      <c r="E4797" s="11">
        <v>4835.0</v>
      </c>
      <c r="F4797" s="2"/>
    </row>
    <row r="4798" ht="1.5" customHeight="1">
      <c r="A4798" s="4" t="str">
        <f>IFERROR(__xludf.DUMMYFUNCTION("""COMPUTED_VALUE"""),"76. Eezard")</f>
        <v>76. Eezard</v>
      </c>
      <c r="B4798" s="4" t="str">
        <f>IFERROR(__xludf.DUMMYFUNCTION("""COMPUTED_VALUE"""),"76")</f>
        <v>76</v>
      </c>
      <c r="C4798" s="5" t="str">
        <f>IFERROR(__xludf.DUMMYFUNCTION("""COMPUTED_VALUE"""),"https://drive.google.com/file/d/1PcxcrDkHoI4vRtMXJdtGCNMzUKh2Jsf2/view?usp=drivesdk")</f>
        <v>https://drive.google.com/file/d/1PcxcrDkHoI4vRtMXJdtGCNMzUKh2Jsf2/view?usp=drivesdk</v>
      </c>
      <c r="D4798" s="12"/>
      <c r="E4798" s="11">
        <v>4836.0</v>
      </c>
      <c r="F4798" s="2"/>
    </row>
    <row r="4799" ht="1.5" customHeight="1">
      <c r="A4799" s="4" t="str">
        <f>IFERROR(__xludf.DUMMYFUNCTION("""COMPUTED_VALUE"""),"76. Eezard")</f>
        <v>76. Eezard</v>
      </c>
      <c r="B4799" s="4" t="str">
        <f>IFERROR(__xludf.DUMMYFUNCTION("""COMPUTED_VALUE"""),"76")</f>
        <v>76</v>
      </c>
      <c r="C4799" s="5" t="str">
        <f>IFERROR(__xludf.DUMMYFUNCTION("""COMPUTED_VALUE"""),"https://drive.google.com/file/d/1VgoQ__mbqPZAgSdd6Fqli3vxtOzU69yz/view?usp=drivesdk")</f>
        <v>https://drive.google.com/file/d/1VgoQ__mbqPZAgSdd6Fqli3vxtOzU69yz/view?usp=drivesdk</v>
      </c>
      <c r="D4799" s="12"/>
      <c r="E4799" s="11">
        <v>4837.0</v>
      </c>
      <c r="F4799" s="2"/>
    </row>
    <row r="4800" ht="1.5" customHeight="1">
      <c r="A4800" s="4" t="str">
        <f>IFERROR(__xludf.DUMMYFUNCTION("""COMPUTED_VALUE"""),"4. Eggs, 5. Eraser")</f>
        <v>4. Eggs, 5. Eraser</v>
      </c>
      <c r="B4800" s="4" t="str">
        <f>IFERROR(__xludf.DUMMYFUNCTION("""COMPUTED_VALUE"""),"4, 5")</f>
        <v>4, 5</v>
      </c>
      <c r="C4800" s="5" t="str">
        <f>IFERROR(__xludf.DUMMYFUNCTION("""COMPUTED_VALUE"""),"https://drive.google.com/file/d/1BophhUVcacrA5jgmNd_sDQVwwghPYgpk/view?usp=drivesdk")</f>
        <v>https://drive.google.com/file/d/1BophhUVcacrA5jgmNd_sDQVwwghPYgpk/view?usp=drivesdk</v>
      </c>
      <c r="D4800" s="12"/>
      <c r="E4800" s="11">
        <v>4838.0</v>
      </c>
      <c r="F4800" s="2"/>
    </row>
    <row r="4801" ht="1.5" customHeight="1">
      <c r="A4801" s="4" t="str">
        <f>IFERROR(__xludf.DUMMYFUNCTION("""COMPUTED_VALUE"""),"2. Twix, 4. Eggs")</f>
        <v>2. Twix, 4. Eggs</v>
      </c>
      <c r="B4801" s="4" t="str">
        <f>IFERROR(__xludf.DUMMYFUNCTION("""COMPUTED_VALUE"""),"2, 4")</f>
        <v>2, 4</v>
      </c>
      <c r="C4801" s="5" t="str">
        <f>IFERROR(__xludf.DUMMYFUNCTION("""COMPUTED_VALUE"""),"https://drive.google.com/file/d/1UXTXKjphjnOeru7Jeoc-MxpmIVoXcjnA/view?usp=drivesdk")</f>
        <v>https://drive.google.com/file/d/1UXTXKjphjnOeru7Jeoc-MxpmIVoXcjnA/view?usp=drivesdk</v>
      </c>
      <c r="D4801" s="12"/>
      <c r="E4801" s="11">
        <v>4839.0</v>
      </c>
      <c r="F4801" s="2"/>
    </row>
    <row r="4802" ht="1.5" customHeight="1">
      <c r="A4802" s="4" t="str">
        <f>IFERROR(__xludf.DUMMYFUNCTION("""COMPUTED_VALUE"""),"4. Eggs")</f>
        <v>4. Eggs</v>
      </c>
      <c r="B4802" s="4" t="str">
        <f>IFERROR(__xludf.DUMMYFUNCTION("""COMPUTED_VALUE"""),"4")</f>
        <v>4</v>
      </c>
      <c r="C4802" s="5" t="str">
        <f>IFERROR(__xludf.DUMMYFUNCTION("""COMPUTED_VALUE"""),"https://drive.google.com/file/d/13aOhFMf5vs9wK_QjKdlv6z4Cpom4Spal/view?usp=drivesdk")</f>
        <v>https://drive.google.com/file/d/13aOhFMf5vs9wK_QjKdlv6z4Cpom4Spal/view?usp=drivesdk</v>
      </c>
      <c r="D4802" s="12"/>
      <c r="E4802" s="11">
        <v>4840.0</v>
      </c>
      <c r="F4802" s="2"/>
    </row>
    <row r="4803" ht="1.5" customHeight="1">
      <c r="A4803" s="4" t="str">
        <f>IFERROR(__xludf.DUMMYFUNCTION("""COMPUTED_VALUE"""),"5. Eraser")</f>
        <v>5. Eraser</v>
      </c>
      <c r="B4803" s="4" t="str">
        <f>IFERROR(__xludf.DUMMYFUNCTION("""COMPUTED_VALUE"""),"5")</f>
        <v>5</v>
      </c>
      <c r="C4803" s="5" t="str">
        <f>IFERROR(__xludf.DUMMYFUNCTION("""COMPUTED_VALUE"""),"https://drive.google.com/file/d/1IVPEJ_YN1x-sO1SjpToYZuzSXhzbzoTA/view?usp=drivesdk")</f>
        <v>https://drive.google.com/file/d/1IVPEJ_YN1x-sO1SjpToYZuzSXhzbzoTA/view?usp=drivesdk</v>
      </c>
      <c r="D4803" s="12"/>
      <c r="E4803" s="11">
        <v>4841.0</v>
      </c>
      <c r="F4803" s="2"/>
    </row>
    <row r="4804" ht="1.5" customHeight="1">
      <c r="A4804" s="4" t="str">
        <f>IFERROR(__xludf.DUMMYFUNCTION("""COMPUTED_VALUE"""),"5. Eraser, 4. Eggs")</f>
        <v>5. Eraser, 4. Eggs</v>
      </c>
      <c r="B4804" s="4" t="str">
        <f>IFERROR(__xludf.DUMMYFUNCTION("""COMPUTED_VALUE"""),"5, 4")</f>
        <v>5, 4</v>
      </c>
      <c r="C4804" s="5" t="str">
        <f>IFERROR(__xludf.DUMMYFUNCTION("""COMPUTED_VALUE"""),"https://drive.google.com/file/d/1EdH74vk7Zbvbf3GL6E2l-mYyKeEP8LWT/view?usp=drivesdk")</f>
        <v>https://drive.google.com/file/d/1EdH74vk7Zbvbf3GL6E2l-mYyKeEP8LWT/view?usp=drivesdk</v>
      </c>
      <c r="D4804" s="12"/>
      <c r="E4804" s="11">
        <v>4842.0</v>
      </c>
      <c r="F4804" s="2"/>
    </row>
    <row r="4805" ht="1.5" customHeight="1">
      <c r="A4805" s="4" t="str">
        <f>IFERROR(__xludf.DUMMYFUNCTION("""COMPUTED_VALUE"""),"4. Eggs")</f>
        <v>4. Eggs</v>
      </c>
      <c r="B4805" s="4" t="str">
        <f>IFERROR(__xludf.DUMMYFUNCTION("""COMPUTED_VALUE"""),"4")</f>
        <v>4</v>
      </c>
      <c r="C4805" s="5" t="str">
        <f>IFERROR(__xludf.DUMMYFUNCTION("""COMPUTED_VALUE"""),"https://drive.google.com/file/d/1E0bphhzOoxmX3EQOrLInxYVEgzSTBXgL/view?usp=drivesdk")</f>
        <v>https://drive.google.com/file/d/1E0bphhzOoxmX3EQOrLInxYVEgzSTBXgL/view?usp=drivesdk</v>
      </c>
      <c r="D4805" s="12"/>
      <c r="E4805" s="11">
        <v>4843.0</v>
      </c>
      <c r="F4805" s="2"/>
    </row>
    <row r="4806" ht="1.5" customHeight="1">
      <c r="A4806" s="4" t="str">
        <f>IFERROR(__xludf.DUMMYFUNCTION("""COMPUTED_VALUE"""),"5. Eraser")</f>
        <v>5. Eraser</v>
      </c>
      <c r="B4806" s="4" t="str">
        <f>IFERROR(__xludf.DUMMYFUNCTION("""COMPUTED_VALUE"""),"5")</f>
        <v>5</v>
      </c>
      <c r="C4806" s="5" t="str">
        <f>IFERROR(__xludf.DUMMYFUNCTION("""COMPUTED_VALUE"""),"https://drive.google.com/file/d/1WUKx651ZGdNPnCXa9LFUshQd7U-Db60v/view?usp=drivesdk")</f>
        <v>https://drive.google.com/file/d/1WUKx651ZGdNPnCXa9LFUshQd7U-Db60v/view?usp=drivesdk</v>
      </c>
      <c r="D4806" s="12"/>
      <c r="E4806" s="11">
        <v>4844.0</v>
      </c>
      <c r="F4806" s="2"/>
    </row>
    <row r="4807" ht="1.5" customHeight="1">
      <c r="A4807" s="4" t="str">
        <f>IFERROR(__xludf.DUMMYFUNCTION("""COMPUTED_VALUE"""),"4. Eggs")</f>
        <v>4. Eggs</v>
      </c>
      <c r="B4807" s="4" t="str">
        <f>IFERROR(__xludf.DUMMYFUNCTION("""COMPUTED_VALUE"""),"4")</f>
        <v>4</v>
      </c>
      <c r="C4807" s="5" t="str">
        <f>IFERROR(__xludf.DUMMYFUNCTION("""COMPUTED_VALUE"""),"https://drive.google.com/file/d/1BjCrkpGKkeDNnZsi7uyk4taHOHgxe3kP/view?usp=drivesdk")</f>
        <v>https://drive.google.com/file/d/1BjCrkpGKkeDNnZsi7uyk4taHOHgxe3kP/view?usp=drivesdk</v>
      </c>
      <c r="D4807" s="12"/>
      <c r="E4807" s="11">
        <v>4845.0</v>
      </c>
      <c r="F4807" s="2"/>
    </row>
    <row r="4808" ht="1.5" customHeight="1">
      <c r="A4808" s="4" t="str">
        <f>IFERROR(__xludf.DUMMYFUNCTION("""COMPUTED_VALUE"""),"4. Eggs")</f>
        <v>4. Eggs</v>
      </c>
      <c r="B4808" s="4" t="str">
        <f>IFERROR(__xludf.DUMMYFUNCTION("""COMPUTED_VALUE"""),"4")</f>
        <v>4</v>
      </c>
      <c r="C4808" s="5" t="str">
        <f>IFERROR(__xludf.DUMMYFUNCTION("""COMPUTED_VALUE"""),"https://drive.google.com/file/d/1FbJg_I5BY80AzLzOOCBGVh3cMZwcngkS/view?usp=drivesdk")</f>
        <v>https://drive.google.com/file/d/1FbJg_I5BY80AzLzOOCBGVh3cMZwcngkS/view?usp=drivesdk</v>
      </c>
      <c r="D4808" s="12"/>
      <c r="E4808" s="11">
        <v>4846.0</v>
      </c>
      <c r="F4808" s="2"/>
    </row>
    <row r="4809" ht="1.5" customHeight="1">
      <c r="A4809" s="4" t="str">
        <f>IFERROR(__xludf.DUMMYFUNCTION("""COMPUTED_VALUE"""),"4. Eggs")</f>
        <v>4. Eggs</v>
      </c>
      <c r="B4809" s="4" t="str">
        <f>IFERROR(__xludf.DUMMYFUNCTION("""COMPUTED_VALUE"""),"4")</f>
        <v>4</v>
      </c>
      <c r="C4809" s="5" t="str">
        <f>IFERROR(__xludf.DUMMYFUNCTION("""COMPUTED_VALUE"""),"https://drive.google.com/file/d/1YL_vBPJOP9ypklrUW5e70w8vo0_YZQJS/view?usp=drivesdk")</f>
        <v>https://drive.google.com/file/d/1YL_vBPJOP9ypklrUW5e70w8vo0_YZQJS/view?usp=drivesdk</v>
      </c>
      <c r="D4809" s="12"/>
      <c r="E4809" s="11">
        <v>4847.0</v>
      </c>
      <c r="F4809" s="2"/>
    </row>
    <row r="4810" ht="1.5" customHeight="1">
      <c r="A4810" s="4" t="str">
        <f>IFERROR(__xludf.DUMMYFUNCTION("""COMPUTED_VALUE"""),"4. Eggs")</f>
        <v>4. Eggs</v>
      </c>
      <c r="B4810" s="4" t="str">
        <f>IFERROR(__xludf.DUMMYFUNCTION("""COMPUTED_VALUE"""),"4")</f>
        <v>4</v>
      </c>
      <c r="C4810" s="5" t="str">
        <f>IFERROR(__xludf.DUMMYFUNCTION("""COMPUTED_VALUE"""),"https://drive.google.com/file/d/1z0vBkyUXRMGuPeOk_kXxYglNVEMxrTwV/view?usp=drivesdk")</f>
        <v>https://drive.google.com/file/d/1z0vBkyUXRMGuPeOk_kXxYglNVEMxrTwV/view?usp=drivesdk</v>
      </c>
      <c r="D4810" s="12"/>
      <c r="E4810" s="11">
        <v>4848.0</v>
      </c>
      <c r="F4810" s="2"/>
    </row>
    <row r="4811" ht="1.5" customHeight="1">
      <c r="A4811" s="4" t="str">
        <f>IFERROR(__xludf.DUMMYFUNCTION("""COMPUTED_VALUE"""),"4. Eggs")</f>
        <v>4. Eggs</v>
      </c>
      <c r="B4811" s="4" t="str">
        <f>IFERROR(__xludf.DUMMYFUNCTION("""COMPUTED_VALUE"""),"4")</f>
        <v>4</v>
      </c>
      <c r="C4811" s="5" t="str">
        <f>IFERROR(__xludf.DUMMYFUNCTION("""COMPUTED_VALUE"""),"https://drive.google.com/file/d/1363_P2tRoSHVhhPxrjwvrQQsB8NAfUrl/view?usp=drivesdk")</f>
        <v>https://drive.google.com/file/d/1363_P2tRoSHVhhPxrjwvrQQsB8NAfUrl/view?usp=drivesdk</v>
      </c>
      <c r="D4811" s="12"/>
      <c r="E4811" s="11">
        <v>4849.0</v>
      </c>
      <c r="F4811" s="2"/>
    </row>
    <row r="4812" ht="1.5" customHeight="1">
      <c r="A4812" s="4" t="str">
        <f>IFERROR(__xludf.DUMMYFUNCTION("""COMPUTED_VALUE"""),"5. Eraser")</f>
        <v>5. Eraser</v>
      </c>
      <c r="B4812" s="4" t="str">
        <f>IFERROR(__xludf.DUMMYFUNCTION("""COMPUTED_VALUE"""),"5")</f>
        <v>5</v>
      </c>
      <c r="C4812" s="5" t="str">
        <f>IFERROR(__xludf.DUMMYFUNCTION("""COMPUTED_VALUE"""),"https://drive.google.com/file/d/104bYBzpIKjsxyrVjtN3vWJABeDD5TqsT/view?usp=drivesdk")</f>
        <v>https://drive.google.com/file/d/104bYBzpIKjsxyrVjtN3vWJABeDD5TqsT/view?usp=drivesdk</v>
      </c>
      <c r="D4812" s="12"/>
      <c r="E4812" s="11">
        <v>4850.0</v>
      </c>
      <c r="F4812" s="2"/>
    </row>
    <row r="4813" ht="1.5" customHeight="1">
      <c r="A4813" s="4" t="str">
        <f>IFERROR(__xludf.DUMMYFUNCTION("""COMPUTED_VALUE"""),"4. Eggs, 5. Eraser")</f>
        <v>4. Eggs, 5. Eraser</v>
      </c>
      <c r="B4813" s="4" t="str">
        <f>IFERROR(__xludf.DUMMYFUNCTION("""COMPUTED_VALUE"""),"4, 5")</f>
        <v>4, 5</v>
      </c>
      <c r="C4813" s="5" t="str">
        <f>IFERROR(__xludf.DUMMYFUNCTION("""COMPUTED_VALUE"""),"https://drive.google.com/file/d/1Q27yEChIL_uSugQbqIRg_OCfWr2r3ISa/view?usp=drivesdk")</f>
        <v>https://drive.google.com/file/d/1Q27yEChIL_uSugQbqIRg_OCfWr2r3ISa/view?usp=drivesdk</v>
      </c>
      <c r="D4813" s="12"/>
      <c r="E4813" s="11">
        <v>4851.0</v>
      </c>
      <c r="F4813" s="2"/>
    </row>
    <row r="4814" ht="1.5" customHeight="1">
      <c r="A4814" s="4" t="str">
        <f>IFERROR(__xludf.DUMMYFUNCTION("""COMPUTED_VALUE"""),"4. Eggs, 5. Eraser")</f>
        <v>4. Eggs, 5. Eraser</v>
      </c>
      <c r="B4814" s="4" t="str">
        <f>IFERROR(__xludf.DUMMYFUNCTION("""COMPUTED_VALUE"""),"4, 5")</f>
        <v>4, 5</v>
      </c>
      <c r="C4814" s="5" t="str">
        <f>IFERROR(__xludf.DUMMYFUNCTION("""COMPUTED_VALUE"""),"https://drive.google.com/file/d/1bU9waN65PDe9L-qB38-iatafsRnI5ENq/view?usp=drivesdk")</f>
        <v>https://drive.google.com/file/d/1bU9waN65PDe9L-qB38-iatafsRnI5ENq/view?usp=drivesdk</v>
      </c>
      <c r="D4814" s="12"/>
      <c r="E4814" s="11">
        <v>4852.0</v>
      </c>
      <c r="F4814" s="2"/>
    </row>
    <row r="4815" ht="1.5" customHeight="1">
      <c r="A4815" s="4" t="str">
        <f>IFERROR(__xludf.DUMMYFUNCTION("""COMPUTED_VALUE"""),"4. Eggs, 5. Eraser")</f>
        <v>4. Eggs, 5. Eraser</v>
      </c>
      <c r="B4815" s="4" t="str">
        <f>IFERROR(__xludf.DUMMYFUNCTION("""COMPUTED_VALUE"""),"4, 5")</f>
        <v>4, 5</v>
      </c>
      <c r="C4815" s="5" t="str">
        <f>IFERROR(__xludf.DUMMYFUNCTION("""COMPUTED_VALUE"""),"https://drive.google.com/file/d/1YTtbEbXVRBx1ok6Sz3gTvIW51Uw0Sm-I/view?usp=drivesdk")</f>
        <v>https://drive.google.com/file/d/1YTtbEbXVRBx1ok6Sz3gTvIW51Uw0Sm-I/view?usp=drivesdk</v>
      </c>
      <c r="D4815" s="12"/>
      <c r="E4815" s="11">
        <v>4853.0</v>
      </c>
      <c r="F4815" s="2"/>
    </row>
    <row r="4816" ht="1.5" customHeight="1">
      <c r="A4816" s="4" t="str">
        <f>IFERROR(__xludf.DUMMYFUNCTION("""COMPUTED_VALUE"""),"4. Eggs, 5. Eraser")</f>
        <v>4. Eggs, 5. Eraser</v>
      </c>
      <c r="B4816" s="4" t="str">
        <f>IFERROR(__xludf.DUMMYFUNCTION("""COMPUTED_VALUE"""),"4, 5")</f>
        <v>4, 5</v>
      </c>
      <c r="C4816" s="5" t="str">
        <f>IFERROR(__xludf.DUMMYFUNCTION("""COMPUTED_VALUE"""),"https://drive.google.com/file/d/1kC8ezYsPbDPerjfjbvKah3hoXHrP6af4/view?usp=drivesdk")</f>
        <v>https://drive.google.com/file/d/1kC8ezYsPbDPerjfjbvKah3hoXHrP6af4/view?usp=drivesdk</v>
      </c>
      <c r="D4816" s="12"/>
      <c r="E4816" s="11">
        <v>4854.0</v>
      </c>
      <c r="F4816" s="2"/>
    </row>
    <row r="4817" ht="1.5" customHeight="1">
      <c r="A4817" s="4" t="str">
        <f>IFERROR(__xludf.DUMMYFUNCTION("""COMPUTED_VALUE"""),"2. Twix")</f>
        <v>2. Twix</v>
      </c>
      <c r="B4817" s="4" t="str">
        <f>IFERROR(__xludf.DUMMYFUNCTION("""COMPUTED_VALUE"""),"2")</f>
        <v>2</v>
      </c>
      <c r="C4817" s="5" t="str">
        <f>IFERROR(__xludf.DUMMYFUNCTION("""COMPUTED_VALUE"""),"https://drive.google.com/file/d/1Ltkm7WxJBZnZfr__2F8qNBdgEHjZ6JVI/view?usp=drivesdk")</f>
        <v>https://drive.google.com/file/d/1Ltkm7WxJBZnZfr__2F8qNBdgEHjZ6JVI/view?usp=drivesdk</v>
      </c>
      <c r="D4817" s="12"/>
      <c r="E4817" s="11">
        <v>4855.0</v>
      </c>
      <c r="F4817" s="2"/>
    </row>
    <row r="4818" ht="1.5" customHeight="1">
      <c r="A4818" s="4" t="str">
        <f>IFERROR(__xludf.DUMMYFUNCTION("""COMPUTED_VALUE"""),"2. Twix")</f>
        <v>2. Twix</v>
      </c>
      <c r="B4818" s="4" t="str">
        <f>IFERROR(__xludf.DUMMYFUNCTION("""COMPUTED_VALUE"""),"2")</f>
        <v>2</v>
      </c>
      <c r="C4818" s="5" t="str">
        <f>IFERROR(__xludf.DUMMYFUNCTION("""COMPUTED_VALUE"""),"https://drive.google.com/file/d/1Fd0cH0h5iJzDZKXTT5WwJFo3LuvNFyHZ/view?usp=drivesdk")</f>
        <v>https://drive.google.com/file/d/1Fd0cH0h5iJzDZKXTT5WwJFo3LuvNFyHZ/view?usp=drivesdk</v>
      </c>
      <c r="D4818" s="12"/>
      <c r="E4818" s="11">
        <v>4856.0</v>
      </c>
      <c r="F4818" s="2"/>
    </row>
    <row r="4819" ht="1.5" customHeight="1">
      <c r="A4819" s="4" t="str">
        <f>IFERROR(__xludf.DUMMYFUNCTION("""COMPUTED_VALUE"""),"2. Twix")</f>
        <v>2. Twix</v>
      </c>
      <c r="B4819" s="4" t="str">
        <f>IFERROR(__xludf.DUMMYFUNCTION("""COMPUTED_VALUE"""),"2")</f>
        <v>2</v>
      </c>
      <c r="C4819" s="5" t="str">
        <f>IFERROR(__xludf.DUMMYFUNCTION("""COMPUTED_VALUE"""),"https://drive.google.com/file/d/1hyT_jmh4_VpGyjIoBHBSoDsNvT6DZytV/view?usp=drivesdk")</f>
        <v>https://drive.google.com/file/d/1hyT_jmh4_VpGyjIoBHBSoDsNvT6DZytV/view?usp=drivesdk</v>
      </c>
      <c r="D4819" s="12"/>
      <c r="E4819" s="11">
        <v>4857.0</v>
      </c>
      <c r="F4819" s="2"/>
    </row>
    <row r="4820" ht="1.5" customHeight="1">
      <c r="A4820" s="4" t="str">
        <f>IFERROR(__xludf.DUMMYFUNCTION("""COMPUTED_VALUE"""),"2. Twix")</f>
        <v>2. Twix</v>
      </c>
      <c r="B4820" s="4" t="str">
        <f>IFERROR(__xludf.DUMMYFUNCTION("""COMPUTED_VALUE"""),"2")</f>
        <v>2</v>
      </c>
      <c r="C4820" s="5" t="str">
        <f>IFERROR(__xludf.DUMMYFUNCTION("""COMPUTED_VALUE"""),"https://drive.google.com/file/d/1CwWS8FN-w88wBjwPeirY4Vs2CwYFQYcf/view?usp=drivesdk")</f>
        <v>https://drive.google.com/file/d/1CwWS8FN-w88wBjwPeirY4Vs2CwYFQYcf/view?usp=drivesdk</v>
      </c>
      <c r="D4820" s="12"/>
      <c r="E4820" s="11">
        <v>4858.0</v>
      </c>
      <c r="F4820" s="2"/>
    </row>
    <row r="4821" ht="1.5" customHeight="1">
      <c r="A4821" s="4" t="str">
        <f>IFERROR(__xludf.DUMMYFUNCTION("""COMPUTED_VALUE"""),"2. Twix")</f>
        <v>2. Twix</v>
      </c>
      <c r="B4821" s="4" t="str">
        <f>IFERROR(__xludf.DUMMYFUNCTION("""COMPUTED_VALUE"""),"2")</f>
        <v>2</v>
      </c>
      <c r="C4821" s="5" t="str">
        <f>IFERROR(__xludf.DUMMYFUNCTION("""COMPUTED_VALUE"""),"https://drive.google.com/file/d/1T6W5MftINHj_K8XSa9uQKegGH4NTnb8R/view?usp=drivesdk")</f>
        <v>https://drive.google.com/file/d/1T6W5MftINHj_K8XSa9uQKegGH4NTnb8R/view?usp=drivesdk</v>
      </c>
      <c r="D4821" s="12"/>
      <c r="E4821" s="11">
        <v>4859.0</v>
      </c>
      <c r="F4821" s="2"/>
    </row>
    <row r="4822" ht="1.5" customHeight="1">
      <c r="A4822" s="4" t="str">
        <f>IFERROR(__xludf.DUMMYFUNCTION("""COMPUTED_VALUE"""),"2. Twix")</f>
        <v>2. Twix</v>
      </c>
      <c r="B4822" s="4" t="str">
        <f>IFERROR(__xludf.DUMMYFUNCTION("""COMPUTED_VALUE"""),"2")</f>
        <v>2</v>
      </c>
      <c r="C4822" s="5" t="str">
        <f>IFERROR(__xludf.DUMMYFUNCTION("""COMPUTED_VALUE"""),"https://drive.google.com/file/d/1Syjohm9M6y8jK3GtyEERNoFxfeG7-e_F/view?usp=drivesdk")</f>
        <v>https://drive.google.com/file/d/1Syjohm9M6y8jK3GtyEERNoFxfeG7-e_F/view?usp=drivesdk</v>
      </c>
      <c r="D4822" s="12"/>
      <c r="E4822" s="11">
        <v>4860.0</v>
      </c>
      <c r="F4822" s="2"/>
    </row>
    <row r="4823" ht="1.5" customHeight="1">
      <c r="A4823" s="4" t="str">
        <f>IFERROR(__xludf.DUMMYFUNCTION("""COMPUTED_VALUE"""),"2. Twix")</f>
        <v>2. Twix</v>
      </c>
      <c r="B4823" s="4" t="str">
        <f>IFERROR(__xludf.DUMMYFUNCTION("""COMPUTED_VALUE"""),"2")</f>
        <v>2</v>
      </c>
      <c r="C4823" s="5" t="str">
        <f>IFERROR(__xludf.DUMMYFUNCTION("""COMPUTED_VALUE"""),"https://drive.google.com/file/d/18kcQ-SpkoRUDDbATdz7ZLFyp5ZephKNm/view?usp=drivesdk")</f>
        <v>https://drive.google.com/file/d/18kcQ-SpkoRUDDbATdz7ZLFyp5ZephKNm/view?usp=drivesdk</v>
      </c>
      <c r="D4823" s="12"/>
      <c r="E4823" s="11">
        <v>4861.0</v>
      </c>
      <c r="F4823" s="2"/>
    </row>
    <row r="4824" ht="1.5" customHeight="1">
      <c r="A4824" s="4" t="str">
        <f>IFERROR(__xludf.DUMMYFUNCTION("""COMPUTED_VALUE"""),"88. Vincente, 44. Shitbag Cuntface, 58. Eden")</f>
        <v>88. Vincente, 44. Shitbag Cuntface, 58. Eden</v>
      </c>
      <c r="B4824" s="4" t="str">
        <f>IFERROR(__xludf.DUMMYFUNCTION("""COMPUTED_VALUE"""),"88, 44, 58")</f>
        <v>88, 44, 58</v>
      </c>
      <c r="C4824" s="5" t="str">
        <f>IFERROR(__xludf.DUMMYFUNCTION("""COMPUTED_VALUE"""),"https://drive.google.com/file/d/1C2J1mNc_C6Ukw7BP8DEqCf9Bger6cRhw/view?usp=drivesdk")</f>
        <v>https://drive.google.com/file/d/1C2J1mNc_C6Ukw7BP8DEqCf9Bger6cRhw/view?usp=drivesdk</v>
      </c>
      <c r="D4824" s="12"/>
      <c r="E4824" s="11">
        <v>4862.0</v>
      </c>
      <c r="F4824" s="2"/>
    </row>
    <row r="4825" ht="1.5" customHeight="1">
      <c r="A4825" s="4" t="str">
        <f>IFERROR(__xludf.DUMMYFUNCTION("""COMPUTED_VALUE"""),"88. Vincente, 47. Nefarious, 41. Gregory, 45. Boots")</f>
        <v>88. Vincente, 47. Nefarious, 41. Gregory, 45. Boots</v>
      </c>
      <c r="B4825" s="4" t="str">
        <f>IFERROR(__xludf.DUMMYFUNCTION("""COMPUTED_VALUE"""),"88, 47, 41, 45")</f>
        <v>88, 47, 41, 45</v>
      </c>
      <c r="C4825" s="5" t="str">
        <f>IFERROR(__xludf.DUMMYFUNCTION("""COMPUTED_VALUE"""),"https://drive.google.com/file/d/1MlVqSLEWeKNtMwzRoOOmI45rmffWBOpM/view?usp=drivesdk")</f>
        <v>https://drive.google.com/file/d/1MlVqSLEWeKNtMwzRoOOmI45rmffWBOpM/view?usp=drivesdk</v>
      </c>
      <c r="D4825" s="12"/>
      <c r="E4825" s="11">
        <v>4863.0</v>
      </c>
      <c r="F4825" s="2"/>
    </row>
    <row r="4826" ht="1.5" customHeight="1">
      <c r="A4826" s="4" t="str">
        <f>IFERROR(__xludf.DUMMYFUNCTION("""COMPUTED_VALUE"""),"88. Vincente")</f>
        <v>88. Vincente</v>
      </c>
      <c r="B4826" s="4" t="str">
        <f>IFERROR(__xludf.DUMMYFUNCTION("""COMPUTED_VALUE"""),"88")</f>
        <v>88</v>
      </c>
      <c r="C4826" s="5" t="str">
        <f>IFERROR(__xludf.DUMMYFUNCTION("""COMPUTED_VALUE"""),"https://drive.google.com/file/d/1IXLYzBijEn9zxPnm6KJ3DeU8brgcACtH/view?usp=drivesdk")</f>
        <v>https://drive.google.com/file/d/1IXLYzBijEn9zxPnm6KJ3DeU8brgcACtH/view?usp=drivesdk</v>
      </c>
      <c r="D4826" s="12"/>
      <c r="E4826" s="11">
        <v>4864.0</v>
      </c>
      <c r="F4826" s="2"/>
    </row>
    <row r="4827" ht="1.5" customHeight="1">
      <c r="A4827" s="4" t="str">
        <f>IFERROR(__xludf.DUMMYFUNCTION("""COMPUTED_VALUE"""),"88. Vincente, 44. Shitbag Cuntface, 47. Nefarious, 41. Gregory")</f>
        <v>88. Vincente, 44. Shitbag Cuntface, 47. Nefarious, 41. Gregory</v>
      </c>
      <c r="B4827" s="4" t="str">
        <f>IFERROR(__xludf.DUMMYFUNCTION("""COMPUTED_VALUE"""),"88, 44, 47, 41")</f>
        <v>88, 44, 47, 41</v>
      </c>
      <c r="C4827" s="5" t="str">
        <f>IFERROR(__xludf.DUMMYFUNCTION("""COMPUTED_VALUE"""),"https://drive.google.com/file/d/1U3vQjAAkmyC7T1ieo90gwTXvgZtHQNTF/view?usp=drivesdk")</f>
        <v>https://drive.google.com/file/d/1U3vQjAAkmyC7T1ieo90gwTXvgZtHQNTF/view?usp=drivesdk</v>
      </c>
      <c r="D4827" s="12"/>
      <c r="E4827" s="11">
        <v>4865.0</v>
      </c>
      <c r="F4827" s="2"/>
    </row>
    <row r="4828" ht="1.5" customHeight="1">
      <c r="A4828" s="4" t="str">
        <f>IFERROR(__xludf.DUMMYFUNCTION("""COMPUTED_VALUE"""),"12. Faye")</f>
        <v>12. Faye</v>
      </c>
      <c r="B4828" s="4" t="str">
        <f>IFERROR(__xludf.DUMMYFUNCTION("""COMPUTED_VALUE"""),"12")</f>
        <v>12</v>
      </c>
      <c r="C4828" s="5" t="str">
        <f>IFERROR(__xludf.DUMMYFUNCTION("""COMPUTED_VALUE"""),"https://drive.google.com/file/d/1tLmvkSM4zJ-qE5ffAxZssuX02--ZH6XM/view?usp=drivesdk")</f>
        <v>https://drive.google.com/file/d/1tLmvkSM4zJ-qE5ffAxZssuX02--ZH6XM/view?usp=drivesdk</v>
      </c>
      <c r="D4828" s="12"/>
      <c r="E4828" s="11">
        <v>4866.0</v>
      </c>
      <c r="F4828" s="2"/>
    </row>
    <row r="4829" ht="1.5" customHeight="1">
      <c r="A4829" s="4" t="str">
        <f>IFERROR(__xludf.DUMMYFUNCTION("""COMPUTED_VALUE"""),"12. Faye")</f>
        <v>12. Faye</v>
      </c>
      <c r="B4829" s="4" t="str">
        <f>IFERROR(__xludf.DUMMYFUNCTION("""COMPUTED_VALUE"""),"12")</f>
        <v>12</v>
      </c>
      <c r="C4829" s="5" t="str">
        <f>IFERROR(__xludf.DUMMYFUNCTION("""COMPUTED_VALUE"""),"https://drive.google.com/file/d/1mNKVjxI0AkylfkfLk1cR9VSWXWTuAiw1/view?usp=drivesdk")</f>
        <v>https://drive.google.com/file/d/1mNKVjxI0AkylfkfLk1cR9VSWXWTuAiw1/view?usp=drivesdk</v>
      </c>
      <c r="D4829" s="12"/>
      <c r="E4829" s="11">
        <v>4867.0</v>
      </c>
      <c r="F4829" s="2"/>
    </row>
    <row r="4830" ht="1.5" customHeight="1">
      <c r="A4830" s="4" t="str">
        <f>IFERROR(__xludf.DUMMYFUNCTION("""COMPUTED_VALUE"""),"58. Eden")</f>
        <v>58. Eden</v>
      </c>
      <c r="B4830" s="4" t="str">
        <f>IFERROR(__xludf.DUMMYFUNCTION("""COMPUTED_VALUE"""),"58")</f>
        <v>58</v>
      </c>
      <c r="C4830" s="5" t="str">
        <f>IFERROR(__xludf.DUMMYFUNCTION("""COMPUTED_VALUE"""),"https://drive.google.com/file/d/1LfQn0se6qRdr9M0V3yoSd-sVHz98KEEV/view?usp=drivesdk")</f>
        <v>https://drive.google.com/file/d/1LfQn0se6qRdr9M0V3yoSd-sVHz98KEEV/view?usp=drivesdk</v>
      </c>
      <c r="D4830" s="12"/>
      <c r="E4830" s="11">
        <v>4868.0</v>
      </c>
      <c r="F4830" s="2"/>
    </row>
    <row r="4831" ht="1.5" customHeight="1">
      <c r="A4831" s="4" t="str">
        <f>IFERROR(__xludf.DUMMYFUNCTION("""COMPUTED_VALUE"""),"47. Nefarious")</f>
        <v>47. Nefarious</v>
      </c>
      <c r="B4831" s="4" t="str">
        <f>IFERROR(__xludf.DUMMYFUNCTION("""COMPUTED_VALUE"""),"47")</f>
        <v>47</v>
      </c>
      <c r="C4831" s="5" t="str">
        <f>IFERROR(__xludf.DUMMYFUNCTION("""COMPUTED_VALUE"""),"https://drive.google.com/file/d/19lkVWkzyvYXAOYvOPqHJzfL2DhGido_0/view?usp=drivesdk")</f>
        <v>https://drive.google.com/file/d/19lkVWkzyvYXAOYvOPqHJzfL2DhGido_0/view?usp=drivesdk</v>
      </c>
      <c r="D4831" s="12"/>
      <c r="E4831" s="11">
        <v>4869.0</v>
      </c>
      <c r="F4831" s="2"/>
    </row>
    <row r="4832" ht="1.5" customHeight="1">
      <c r="A4832" s="4" t="str">
        <f>IFERROR(__xludf.DUMMYFUNCTION("""COMPUTED_VALUE"""),"0. NotACat, 4. Eggs")</f>
        <v>0. NotACat, 4. Eggs</v>
      </c>
      <c r="B4832" s="4" t="str">
        <f>IFERROR(__xludf.DUMMYFUNCTION("""COMPUTED_VALUE"""),"0, 4")</f>
        <v>0, 4</v>
      </c>
      <c r="C4832" s="5" t="str">
        <f>IFERROR(__xludf.DUMMYFUNCTION("""COMPUTED_VALUE"""),"https://drive.google.com/file/d/1elMkldiZZjlzuOkAv11t13Jmy2yQzc7C/view?usp=drivesdk")</f>
        <v>https://drive.google.com/file/d/1elMkldiZZjlzuOkAv11t13Jmy2yQzc7C/view?usp=drivesdk</v>
      </c>
      <c r="D4832" s="12"/>
      <c r="E4832" s="11">
        <v>4870.0</v>
      </c>
      <c r="F4832" s="2"/>
    </row>
    <row r="4833" ht="1.5" customHeight="1">
      <c r="A4833" s="4" t="str">
        <f>IFERROR(__xludf.DUMMYFUNCTION("""COMPUTED_VALUE"""),"1. Microwave")</f>
        <v>1. Microwave</v>
      </c>
      <c r="B4833" s="4" t="str">
        <f>IFERROR(__xludf.DUMMYFUNCTION("""COMPUTED_VALUE"""),"1")</f>
        <v>1</v>
      </c>
      <c r="C4833" s="5" t="str">
        <f>IFERROR(__xludf.DUMMYFUNCTION("""COMPUTED_VALUE"""),"https://drive.google.com/file/d/1juz909aCkiBB6F2wDHLZwdOxXJu2nMTw/view?usp=drivesdk")</f>
        <v>https://drive.google.com/file/d/1juz909aCkiBB6F2wDHLZwdOxXJu2nMTw/view?usp=drivesdk</v>
      </c>
      <c r="D4833" s="12"/>
      <c r="E4833" s="11">
        <v>4871.0</v>
      </c>
      <c r="F4833" s="2"/>
    </row>
    <row r="4834" ht="1.5" customHeight="1">
      <c r="A4834" s="4" t="str">
        <f>IFERROR(__xludf.DUMMYFUNCTION("""COMPUTED_VALUE"""),"1. Microwave")</f>
        <v>1. Microwave</v>
      </c>
      <c r="B4834" s="4" t="str">
        <f>IFERROR(__xludf.DUMMYFUNCTION("""COMPUTED_VALUE"""),"1")</f>
        <v>1</v>
      </c>
      <c r="C4834" s="5" t="str">
        <f>IFERROR(__xludf.DUMMYFUNCTION("""COMPUTED_VALUE"""),"https://drive.google.com/file/d/1CDff97DwHL_yyQhM9u0SPlq5wo9kUGG9/view?usp=drivesdk")</f>
        <v>https://drive.google.com/file/d/1CDff97DwHL_yyQhM9u0SPlq5wo9kUGG9/view?usp=drivesdk</v>
      </c>
      <c r="D4834" s="12"/>
      <c r="E4834" s="11">
        <v>4872.0</v>
      </c>
      <c r="F4834" s="2"/>
    </row>
    <row r="4835" ht="1.5" customHeight="1">
      <c r="A4835" s="4" t="str">
        <f>IFERROR(__xludf.DUMMYFUNCTION("""COMPUTED_VALUE"""),"1. Microwave")</f>
        <v>1. Microwave</v>
      </c>
      <c r="B4835" s="4" t="str">
        <f>IFERROR(__xludf.DUMMYFUNCTION("""COMPUTED_VALUE"""),"1")</f>
        <v>1</v>
      </c>
      <c r="C4835" s="5" t="str">
        <f>IFERROR(__xludf.DUMMYFUNCTION("""COMPUTED_VALUE"""),"https://drive.google.com/file/d/1KyQ1KEbTguL53OPVeaGTWq8zljEmRJQv/view?usp=drivesdk")</f>
        <v>https://drive.google.com/file/d/1KyQ1KEbTguL53OPVeaGTWq8zljEmRJQv/view?usp=drivesdk</v>
      </c>
      <c r="D4835" s="12"/>
      <c r="E4835" s="11">
        <v>4873.0</v>
      </c>
      <c r="F4835" s="2"/>
    </row>
    <row r="4836" ht="1.5" customHeight="1">
      <c r="A4836" s="4" t="str">
        <f>IFERROR(__xludf.DUMMYFUNCTION("""COMPUTED_VALUE"""),"1. Microwave")</f>
        <v>1. Microwave</v>
      </c>
      <c r="B4836" s="4" t="str">
        <f>IFERROR(__xludf.DUMMYFUNCTION("""COMPUTED_VALUE"""),"1")</f>
        <v>1</v>
      </c>
      <c r="C4836" s="5" t="str">
        <f>IFERROR(__xludf.DUMMYFUNCTION("""COMPUTED_VALUE"""),"https://drive.google.com/file/d/1gwceOaIZtRlTUxetlXVNrfTYMmb1OhW9/view?usp=drivesdk")</f>
        <v>https://drive.google.com/file/d/1gwceOaIZtRlTUxetlXVNrfTYMmb1OhW9/view?usp=drivesdk</v>
      </c>
      <c r="D4836" s="12"/>
      <c r="E4836" s="11">
        <v>4874.0</v>
      </c>
      <c r="F4836" s="2"/>
    </row>
    <row r="4837" ht="1.5" customHeight="1">
      <c r="A4837" s="4" t="str">
        <f>IFERROR(__xludf.DUMMYFUNCTION("""COMPUTED_VALUE"""),"12. Faye")</f>
        <v>12. Faye</v>
      </c>
      <c r="B4837" s="4" t="str">
        <f>IFERROR(__xludf.DUMMYFUNCTION("""COMPUTED_VALUE"""),"12")</f>
        <v>12</v>
      </c>
      <c r="C4837" s="5" t="str">
        <f>IFERROR(__xludf.DUMMYFUNCTION("""COMPUTED_VALUE"""),"https://drive.google.com/file/d/108_tytlx57uDKvxkEfuRjxJzfPk6nAPt/view?usp=drivesdk")</f>
        <v>https://drive.google.com/file/d/108_tytlx57uDKvxkEfuRjxJzfPk6nAPt/view?usp=drivesdk</v>
      </c>
      <c r="D4837" s="12"/>
      <c r="E4837" s="11">
        <v>4875.0</v>
      </c>
      <c r="F4837" s="2"/>
    </row>
    <row r="4838" ht="1.5" customHeight="1">
      <c r="A4838" s="4" t="str">
        <f>IFERROR(__xludf.DUMMYFUNCTION("""COMPUTED_VALUE"""),"4. Eggs")</f>
        <v>4. Eggs</v>
      </c>
      <c r="B4838" s="4" t="str">
        <f>IFERROR(__xludf.DUMMYFUNCTION("""COMPUTED_VALUE"""),"4")</f>
        <v>4</v>
      </c>
      <c r="C4838" s="5" t="str">
        <f>IFERROR(__xludf.DUMMYFUNCTION("""COMPUTED_VALUE"""),"https://drive.google.com/file/d/1Dv_Wn_bjd2UPX0DbjcfTxwbOPpqrIJfk/view?usp=drivesdk")</f>
        <v>https://drive.google.com/file/d/1Dv_Wn_bjd2UPX0DbjcfTxwbOPpqrIJfk/view?usp=drivesdk</v>
      </c>
      <c r="D4838" s="12"/>
      <c r="E4838" s="11">
        <v>4876.0</v>
      </c>
      <c r="F4838" s="2"/>
    </row>
    <row r="4839" ht="1.5" customHeight="1">
      <c r="A4839" s="4" t="str">
        <f>IFERROR(__xludf.DUMMYFUNCTION("""COMPUTED_VALUE"""),"5. Eraser")</f>
        <v>5. Eraser</v>
      </c>
      <c r="B4839" s="4" t="str">
        <f>IFERROR(__xludf.DUMMYFUNCTION("""COMPUTED_VALUE"""),"5")</f>
        <v>5</v>
      </c>
      <c r="C4839" s="5" t="str">
        <f>IFERROR(__xludf.DUMMYFUNCTION("""COMPUTED_VALUE"""),"https://drive.google.com/file/d/1dorYyJLv5_oSdFgwfbYcboyoj8F1_sxI/view?usp=drivesdk")</f>
        <v>https://drive.google.com/file/d/1dorYyJLv5_oSdFgwfbYcboyoj8F1_sxI/view?usp=drivesdk</v>
      </c>
      <c r="D4839" s="12"/>
      <c r="E4839" s="11">
        <v>4877.0</v>
      </c>
      <c r="F4839" s="2"/>
    </row>
    <row r="4840" ht="1.5" customHeight="1">
      <c r="A4840" s="4" t="str">
        <f>IFERROR(__xludf.DUMMYFUNCTION("""COMPUTED_VALUE"""),"1. Microwave")</f>
        <v>1. Microwave</v>
      </c>
      <c r="B4840" s="4" t="str">
        <f>IFERROR(__xludf.DUMMYFUNCTION("""COMPUTED_VALUE"""),"1")</f>
        <v>1</v>
      </c>
      <c r="C4840" s="5" t="str">
        <f>IFERROR(__xludf.DUMMYFUNCTION("""COMPUTED_VALUE"""),"https://drive.google.com/file/d/1cJFA2Wc96OX5HTR6xccaKgt5y90-pBOI/view?usp=drivesdk")</f>
        <v>https://drive.google.com/file/d/1cJFA2Wc96OX5HTR6xccaKgt5y90-pBOI/view?usp=drivesdk</v>
      </c>
      <c r="D4840" s="12"/>
      <c r="E4840" s="11">
        <v>4878.0</v>
      </c>
      <c r="F4840" s="2"/>
    </row>
    <row r="4841" ht="1.5" customHeight="1">
      <c r="A4841" s="4" t="str">
        <f>IFERROR(__xludf.DUMMYFUNCTION("""COMPUTED_VALUE"""),"2. Twix")</f>
        <v>2. Twix</v>
      </c>
      <c r="B4841" s="4" t="str">
        <f>IFERROR(__xludf.DUMMYFUNCTION("""COMPUTED_VALUE"""),"2")</f>
        <v>2</v>
      </c>
      <c r="C4841" s="5" t="str">
        <f>IFERROR(__xludf.DUMMYFUNCTION("""COMPUTED_VALUE"""),"https://drive.google.com/file/d/1O2kpUN2d4tgzJbYDzH57_plA1IHdkhFa/view?usp=drivesdk")</f>
        <v>https://drive.google.com/file/d/1O2kpUN2d4tgzJbYDzH57_plA1IHdkhFa/view?usp=drivesdk</v>
      </c>
      <c r="D4841" s="12"/>
      <c r="E4841" s="11">
        <v>4879.0</v>
      </c>
      <c r="F4841" s="2"/>
    </row>
    <row r="4842" ht="1.5" customHeight="1">
      <c r="A4842" s="4" t="str">
        <f>IFERROR(__xludf.DUMMYFUNCTION("""COMPUTED_VALUE"""),"2. Twix")</f>
        <v>2. Twix</v>
      </c>
      <c r="B4842" s="4" t="str">
        <f>IFERROR(__xludf.DUMMYFUNCTION("""COMPUTED_VALUE"""),"2")</f>
        <v>2</v>
      </c>
      <c r="C4842" s="5" t="str">
        <f>IFERROR(__xludf.DUMMYFUNCTION("""COMPUTED_VALUE"""),"https://drive.google.com/file/d/1bGWaOdx_7zO0Qb6Zsv-4TqEf55UEExc6/view?usp=drivesdk")</f>
        <v>https://drive.google.com/file/d/1bGWaOdx_7zO0Qb6Zsv-4TqEf55UEExc6/view?usp=drivesdk</v>
      </c>
      <c r="D4842" s="12"/>
      <c r="E4842" s="11">
        <v>4880.0</v>
      </c>
      <c r="F4842" s="2"/>
    </row>
    <row r="4843" ht="1.5" customHeight="1">
      <c r="A4843" s="4" t="str">
        <f>IFERROR(__xludf.DUMMYFUNCTION("""COMPUTED_VALUE"""),"2. Twix")</f>
        <v>2. Twix</v>
      </c>
      <c r="B4843" s="4" t="str">
        <f>IFERROR(__xludf.DUMMYFUNCTION("""COMPUTED_VALUE"""),"2")</f>
        <v>2</v>
      </c>
      <c r="C4843" s="5" t="str">
        <f>IFERROR(__xludf.DUMMYFUNCTION("""COMPUTED_VALUE"""),"https://drive.google.com/file/d/1_vdh5imLviGyU4voDsMBZ09JeWzxlKL7/view?usp=drivesdk")</f>
        <v>https://drive.google.com/file/d/1_vdh5imLviGyU4voDsMBZ09JeWzxlKL7/view?usp=drivesdk</v>
      </c>
      <c r="D4843" s="12"/>
      <c r="E4843" s="11">
        <v>4881.0</v>
      </c>
      <c r="F4843" s="2"/>
    </row>
    <row r="4844" ht="1.5" customHeight="1">
      <c r="A4844" s="4" t="str">
        <f>IFERROR(__xludf.DUMMYFUNCTION("""COMPUTED_VALUE"""),"2. Twix")</f>
        <v>2. Twix</v>
      </c>
      <c r="B4844" s="4" t="str">
        <f>IFERROR(__xludf.DUMMYFUNCTION("""COMPUTED_VALUE"""),"2")</f>
        <v>2</v>
      </c>
      <c r="C4844" s="5" t="str">
        <f>IFERROR(__xludf.DUMMYFUNCTION("""COMPUTED_VALUE"""),"https://drive.google.com/file/d/1zgH9h6PdV-UIJ3G3PQ9yXXJqOuMlNXFM/view?usp=drivesdk")</f>
        <v>https://drive.google.com/file/d/1zgH9h6PdV-UIJ3G3PQ9yXXJqOuMlNXFM/view?usp=drivesdk</v>
      </c>
      <c r="D4844" s="12"/>
      <c r="E4844" s="11">
        <v>4882.0</v>
      </c>
      <c r="F4844" s="2"/>
    </row>
    <row r="4845" ht="1.5" customHeight="1">
      <c r="A4845" s="4" t="str">
        <f>IFERROR(__xludf.DUMMYFUNCTION("""COMPUTED_VALUE"""),"12. Faye")</f>
        <v>12. Faye</v>
      </c>
      <c r="B4845" s="4" t="str">
        <f>IFERROR(__xludf.DUMMYFUNCTION("""COMPUTED_VALUE"""),"12")</f>
        <v>12</v>
      </c>
      <c r="C4845" s="5" t="str">
        <f>IFERROR(__xludf.DUMMYFUNCTION("""COMPUTED_VALUE"""),"https://drive.google.com/file/d/14JYHS_37dMOvFiJA2AMwyYMxPf6VtQVY/view?usp=drivesdk")</f>
        <v>https://drive.google.com/file/d/14JYHS_37dMOvFiJA2AMwyYMxPf6VtQVY/view?usp=drivesdk</v>
      </c>
      <c r="D4845" s="12"/>
      <c r="E4845" s="11">
        <v>4883.0</v>
      </c>
      <c r="F4845" s="2"/>
    </row>
    <row r="4846" ht="1.5" customHeight="1">
      <c r="A4846" s="4" t="str">
        <f>IFERROR(__xludf.DUMMYFUNCTION("""COMPUTED_VALUE"""),"12. Faye")</f>
        <v>12. Faye</v>
      </c>
      <c r="B4846" s="4" t="str">
        <f>IFERROR(__xludf.DUMMYFUNCTION("""COMPUTED_VALUE"""),"12")</f>
        <v>12</v>
      </c>
      <c r="C4846" s="5" t="str">
        <f>IFERROR(__xludf.DUMMYFUNCTION("""COMPUTED_VALUE"""),"https://drive.google.com/file/d/1dQ2UUESAPoZMwvIRpRIsWZAQedW-rKBw/view?usp=drivesdk")</f>
        <v>https://drive.google.com/file/d/1dQ2UUESAPoZMwvIRpRIsWZAQedW-rKBw/view?usp=drivesdk</v>
      </c>
      <c r="D4846" s="12"/>
      <c r="E4846" s="11">
        <v>4884.0</v>
      </c>
      <c r="F4846" s="2"/>
    </row>
    <row r="4847" ht="1.5" customHeight="1">
      <c r="A4847" s="4" t="str">
        <f>IFERROR(__xludf.DUMMYFUNCTION("""COMPUTED_VALUE"""),"58. Eden")</f>
        <v>58. Eden</v>
      </c>
      <c r="B4847" s="4" t="str">
        <f>IFERROR(__xludf.DUMMYFUNCTION("""COMPUTED_VALUE"""),"58")</f>
        <v>58</v>
      </c>
      <c r="C4847" s="5" t="str">
        <f>IFERROR(__xludf.DUMMYFUNCTION("""COMPUTED_VALUE"""),"https://drive.google.com/file/d/1ec-tUPNZhmBnJhwug6xjW3BJFkGM7AEU/view?usp=drivesdk")</f>
        <v>https://drive.google.com/file/d/1ec-tUPNZhmBnJhwug6xjW3BJFkGM7AEU/view?usp=drivesdk</v>
      </c>
      <c r="D4847" s="12"/>
      <c r="E4847" s="11">
        <v>4885.0</v>
      </c>
      <c r="F4847" s="2"/>
    </row>
    <row r="4848" ht="1.5" customHeight="1">
      <c r="A4848" s="4" t="str">
        <f>IFERROR(__xludf.DUMMYFUNCTION("""COMPUTED_VALUE"""),"58. Eden")</f>
        <v>58. Eden</v>
      </c>
      <c r="B4848" s="4" t="str">
        <f>IFERROR(__xludf.DUMMYFUNCTION("""COMPUTED_VALUE"""),"58")</f>
        <v>58</v>
      </c>
      <c r="C4848" s="5" t="str">
        <f>IFERROR(__xludf.DUMMYFUNCTION("""COMPUTED_VALUE"""),"https://drive.google.com/file/d/1IzOZIXabXaik38QqXyv-s-3L-bZhcp0i/view?usp=drivesdk")</f>
        <v>https://drive.google.com/file/d/1IzOZIXabXaik38QqXyv-s-3L-bZhcp0i/view?usp=drivesdk</v>
      </c>
      <c r="D4848" s="12"/>
      <c r="E4848" s="11">
        <v>4886.0</v>
      </c>
      <c r="F4848" s="2"/>
    </row>
    <row r="4849" ht="1.5" customHeight="1">
      <c r="A4849" s="4" t="str">
        <f>IFERROR(__xludf.DUMMYFUNCTION("""COMPUTED_VALUE"""),"58. Eden")</f>
        <v>58. Eden</v>
      </c>
      <c r="B4849" s="4" t="str">
        <f>IFERROR(__xludf.DUMMYFUNCTION("""COMPUTED_VALUE"""),"58")</f>
        <v>58</v>
      </c>
      <c r="C4849" s="5" t="str">
        <f>IFERROR(__xludf.DUMMYFUNCTION("""COMPUTED_VALUE"""),"https://drive.google.com/file/d/19HRzYCpJBVgTBsvee4QdOiPbKxvxLd5h/view?usp=drivesdk")</f>
        <v>https://drive.google.com/file/d/19HRzYCpJBVgTBsvee4QdOiPbKxvxLd5h/view?usp=drivesdk</v>
      </c>
      <c r="D4849" s="12"/>
      <c r="E4849" s="11">
        <v>4887.0</v>
      </c>
      <c r="F4849" s="2"/>
    </row>
    <row r="4850" ht="1.5" customHeight="1">
      <c r="A4850" s="4" t="str">
        <f>IFERROR(__xludf.DUMMYFUNCTION("""COMPUTED_VALUE"""),"0. NotACat")</f>
        <v>0. NotACat</v>
      </c>
      <c r="B4850" s="4" t="str">
        <f>IFERROR(__xludf.DUMMYFUNCTION("""COMPUTED_VALUE"""),"0")</f>
        <v>0</v>
      </c>
      <c r="C4850" s="5" t="str">
        <f>IFERROR(__xludf.DUMMYFUNCTION("""COMPUTED_VALUE"""),"https://drive.google.com/file/d/1F04obeSw99ibUGE5S3Vi_hubebN3jrw1/view?usp=drivesdk")</f>
        <v>https://drive.google.com/file/d/1F04obeSw99ibUGE5S3Vi_hubebN3jrw1/view?usp=drivesdk</v>
      </c>
      <c r="D4850" s="12"/>
      <c r="E4850" s="11">
        <v>4888.0</v>
      </c>
      <c r="F4850" s="2"/>
    </row>
    <row r="4851" ht="1.5" customHeight="1">
      <c r="A4851" s="4" t="str">
        <f>IFERROR(__xludf.DUMMYFUNCTION("""COMPUTED_VALUE"""),"0. NotACat")</f>
        <v>0. NotACat</v>
      </c>
      <c r="B4851" s="4" t="str">
        <f>IFERROR(__xludf.DUMMYFUNCTION("""COMPUTED_VALUE"""),"0")</f>
        <v>0</v>
      </c>
      <c r="C4851" s="5" t="str">
        <f>IFERROR(__xludf.DUMMYFUNCTION("""COMPUTED_VALUE"""),"https://drive.google.com/file/d/1jzjUGXpWyEp7De8MpjFvKEl85-MrbyLh/view?usp=drivesdk")</f>
        <v>https://drive.google.com/file/d/1jzjUGXpWyEp7De8MpjFvKEl85-MrbyLh/view?usp=drivesdk</v>
      </c>
      <c r="D4851" s="12"/>
      <c r="E4851" s="11">
        <v>4889.0</v>
      </c>
      <c r="F4851" s="2"/>
    </row>
    <row r="4852" ht="1.5" customHeight="1">
      <c r="A4852" s="4" t="str">
        <f>IFERROR(__xludf.DUMMYFUNCTION("""COMPUTED_VALUE"""),"0. NotACat")</f>
        <v>0. NotACat</v>
      </c>
      <c r="B4852" s="4" t="str">
        <f>IFERROR(__xludf.DUMMYFUNCTION("""COMPUTED_VALUE"""),"0")</f>
        <v>0</v>
      </c>
      <c r="C4852" s="5" t="str">
        <f>IFERROR(__xludf.DUMMYFUNCTION("""COMPUTED_VALUE"""),"https://drive.google.com/file/d/1geJLufqd_gE3cfhl4bQ0OZAhWtQeiX6X/view?usp=drivesdk")</f>
        <v>https://drive.google.com/file/d/1geJLufqd_gE3cfhl4bQ0OZAhWtQeiX6X/view?usp=drivesdk</v>
      </c>
      <c r="D4852" s="12"/>
      <c r="E4852" s="11">
        <v>4890.0</v>
      </c>
      <c r="F4852" s="2"/>
    </row>
    <row r="4853" ht="1.5" customHeight="1">
      <c r="A4853" s="4" t="str">
        <f>IFERROR(__xludf.DUMMYFUNCTION("""COMPUTED_VALUE"""),"0. NotACat")</f>
        <v>0. NotACat</v>
      </c>
      <c r="B4853" s="4" t="str">
        <f>IFERROR(__xludf.DUMMYFUNCTION("""COMPUTED_VALUE"""),"0")</f>
        <v>0</v>
      </c>
      <c r="C4853" s="5" t="str">
        <f>IFERROR(__xludf.DUMMYFUNCTION("""COMPUTED_VALUE"""),"https://drive.google.com/file/d/13JoEnvOiy5ctg2Xj05A3bCURcXotSt39/view?usp=drivesdk")</f>
        <v>https://drive.google.com/file/d/13JoEnvOiy5ctg2Xj05A3bCURcXotSt39/view?usp=drivesdk</v>
      </c>
      <c r="D4853" s="12"/>
      <c r="E4853" s="11">
        <v>4891.0</v>
      </c>
      <c r="F4853" s="2"/>
    </row>
    <row r="4854" ht="1.5" customHeight="1">
      <c r="A4854" s="4" t="str">
        <f>IFERROR(__xludf.DUMMYFUNCTION("""COMPUTED_VALUE"""),"0. NotACat")</f>
        <v>0. NotACat</v>
      </c>
      <c r="B4854" s="4" t="str">
        <f>IFERROR(__xludf.DUMMYFUNCTION("""COMPUTED_VALUE"""),"0")</f>
        <v>0</v>
      </c>
      <c r="C4854" s="5" t="str">
        <f>IFERROR(__xludf.DUMMYFUNCTION("""COMPUTED_VALUE"""),"https://drive.google.com/file/d/1TCGDSNMAYm2xz3yzpTKRuWFG9lJlz10L/view?usp=drivesdk")</f>
        <v>https://drive.google.com/file/d/1TCGDSNMAYm2xz3yzpTKRuWFG9lJlz10L/view?usp=drivesdk</v>
      </c>
      <c r="D4854" s="12"/>
      <c r="E4854" s="11">
        <v>4892.0</v>
      </c>
      <c r="F4854" s="2"/>
    </row>
    <row r="4855" ht="1.5" customHeight="1">
      <c r="A4855" s="4" t="str">
        <f>IFERROR(__xludf.DUMMYFUNCTION("""COMPUTED_VALUE"""),"1. Microwave")</f>
        <v>1. Microwave</v>
      </c>
      <c r="B4855" s="4" t="str">
        <f>IFERROR(__xludf.DUMMYFUNCTION("""COMPUTED_VALUE"""),"1")</f>
        <v>1</v>
      </c>
      <c r="C4855" s="5" t="str">
        <f>IFERROR(__xludf.DUMMYFUNCTION("""COMPUTED_VALUE"""),"https://drive.google.com/file/d/1j86n1_tJq3TGnXRM5noCWMda0hENP77E/view?usp=drivesdk")</f>
        <v>https://drive.google.com/file/d/1j86n1_tJq3TGnXRM5noCWMda0hENP77E/view?usp=drivesdk</v>
      </c>
      <c r="D4855" s="12"/>
      <c r="E4855" s="11">
        <v>4893.0</v>
      </c>
      <c r="F4855" s="2"/>
    </row>
    <row r="4856" ht="1.5" customHeight="1">
      <c r="A4856" s="4" t="str">
        <f>IFERROR(__xludf.DUMMYFUNCTION("""COMPUTED_VALUE"""),"1. Microwave")</f>
        <v>1. Microwave</v>
      </c>
      <c r="B4856" s="4" t="str">
        <f>IFERROR(__xludf.DUMMYFUNCTION("""COMPUTED_VALUE"""),"1")</f>
        <v>1</v>
      </c>
      <c r="C4856" s="5" t="str">
        <f>IFERROR(__xludf.DUMMYFUNCTION("""COMPUTED_VALUE"""),"https://drive.google.com/file/d/1EjAbRNzpW_IpbLbMrMIVBDKp1mv9kFDn/view?usp=drivesdk")</f>
        <v>https://drive.google.com/file/d/1EjAbRNzpW_IpbLbMrMIVBDKp1mv9kFDn/view?usp=drivesdk</v>
      </c>
      <c r="D4856" s="12"/>
      <c r="E4856" s="11">
        <v>4894.0</v>
      </c>
      <c r="F4856" s="2"/>
    </row>
    <row r="4857" ht="1.5" customHeight="1">
      <c r="A4857" s="4" t="str">
        <f>IFERROR(__xludf.DUMMYFUNCTION("""COMPUTED_VALUE"""),"0. NotACat")</f>
        <v>0. NotACat</v>
      </c>
      <c r="B4857" s="4" t="str">
        <f>IFERROR(__xludf.DUMMYFUNCTION("""COMPUTED_VALUE"""),"0")</f>
        <v>0</v>
      </c>
      <c r="C4857" s="5" t="str">
        <f>IFERROR(__xludf.DUMMYFUNCTION("""COMPUTED_VALUE"""),"https://drive.google.com/file/d/1ADIpWT084wW7r7WTBeWgCMakNgtsD0rD/view?usp=drivesdk")</f>
        <v>https://drive.google.com/file/d/1ADIpWT084wW7r7WTBeWgCMakNgtsD0rD/view?usp=drivesdk</v>
      </c>
      <c r="D4857" s="12"/>
      <c r="E4857" s="11">
        <v>4895.0</v>
      </c>
      <c r="F4857" s="2"/>
    </row>
    <row r="4858" ht="1.5" customHeight="1">
      <c r="A4858" s="4" t="str">
        <f>IFERROR(__xludf.DUMMYFUNCTION("""COMPUTED_VALUE"""),"0. NotACat")</f>
        <v>0. NotACat</v>
      </c>
      <c r="B4858" s="4" t="str">
        <f>IFERROR(__xludf.DUMMYFUNCTION("""COMPUTED_VALUE"""),"0")</f>
        <v>0</v>
      </c>
      <c r="C4858" s="5" t="str">
        <f>IFERROR(__xludf.DUMMYFUNCTION("""COMPUTED_VALUE"""),"https://drive.google.com/file/d/10R4t41rDZ8Tk6hYdlGhRPlMgLwsWbQkv/view?usp=drivesdk")</f>
        <v>https://drive.google.com/file/d/10R4t41rDZ8Tk6hYdlGhRPlMgLwsWbQkv/view?usp=drivesdk</v>
      </c>
      <c r="D4858" s="12"/>
      <c r="E4858" s="11">
        <v>4896.0</v>
      </c>
      <c r="F4858" s="2"/>
    </row>
    <row r="4859" ht="1.5" customHeight="1">
      <c r="A4859" s="4" t="str">
        <f>IFERROR(__xludf.DUMMYFUNCTION("""COMPUTED_VALUE"""),"0. NotACat")</f>
        <v>0. NotACat</v>
      </c>
      <c r="B4859" s="4" t="str">
        <f>IFERROR(__xludf.DUMMYFUNCTION("""COMPUTED_VALUE"""),"0")</f>
        <v>0</v>
      </c>
      <c r="C4859" s="5" t="str">
        <f>IFERROR(__xludf.DUMMYFUNCTION("""COMPUTED_VALUE"""),"https://drive.google.com/file/d/1WjbLcsFy11l7qSsUOM_jg10rfBBxCcry/view?usp=drivesdk")</f>
        <v>https://drive.google.com/file/d/1WjbLcsFy11l7qSsUOM_jg10rfBBxCcry/view?usp=drivesdk</v>
      </c>
      <c r="D4859" s="12"/>
      <c r="E4859" s="11">
        <v>4897.0</v>
      </c>
      <c r="F4859" s="2"/>
    </row>
    <row r="4860" ht="1.5" customHeight="1">
      <c r="A4860" s="4" t="str">
        <f>IFERROR(__xludf.DUMMYFUNCTION("""COMPUTED_VALUE"""),"0. NotACat")</f>
        <v>0. NotACat</v>
      </c>
      <c r="B4860" s="4" t="str">
        <f>IFERROR(__xludf.DUMMYFUNCTION("""COMPUTED_VALUE"""),"0")</f>
        <v>0</v>
      </c>
      <c r="C4860" s="5" t="str">
        <f>IFERROR(__xludf.DUMMYFUNCTION("""COMPUTED_VALUE"""),"https://drive.google.com/file/d/1eVd2e6FJbWkhc1gFgCBNXzikI0yFcO55/view?usp=drivesdk")</f>
        <v>https://drive.google.com/file/d/1eVd2e6FJbWkhc1gFgCBNXzikI0yFcO55/view?usp=drivesdk</v>
      </c>
      <c r="D4860" s="12"/>
      <c r="E4860" s="11">
        <v>4898.0</v>
      </c>
      <c r="F4860" s="2"/>
    </row>
    <row r="4861" ht="1.5" customHeight="1">
      <c r="A4861" s="4" t="str">
        <f>IFERROR(__xludf.DUMMYFUNCTION("""COMPUTED_VALUE"""),"0. NotACat")</f>
        <v>0. NotACat</v>
      </c>
      <c r="B4861" s="4" t="str">
        <f>IFERROR(__xludf.DUMMYFUNCTION("""COMPUTED_VALUE"""),"0")</f>
        <v>0</v>
      </c>
      <c r="C4861" s="5" t="str">
        <f>IFERROR(__xludf.DUMMYFUNCTION("""COMPUTED_VALUE"""),"https://drive.google.com/file/d/1XxtfrcgLqVNmF0-9rzkFWl3SyDXKgKVE/view?usp=drivesdk")</f>
        <v>https://drive.google.com/file/d/1XxtfrcgLqVNmF0-9rzkFWl3SyDXKgKVE/view?usp=drivesdk</v>
      </c>
      <c r="D4861" s="12"/>
      <c r="E4861" s="11">
        <v>4899.0</v>
      </c>
      <c r="F4861" s="2"/>
    </row>
    <row r="4862" ht="1.5" customHeight="1">
      <c r="A4862" s="4" t="str">
        <f>IFERROR(__xludf.DUMMYFUNCTION("""COMPUTED_VALUE"""),"89. Petal")</f>
        <v>89. Petal</v>
      </c>
      <c r="B4862" s="4" t="str">
        <f>IFERROR(__xludf.DUMMYFUNCTION("""COMPUTED_VALUE"""),"89")</f>
        <v>89</v>
      </c>
      <c r="C4862" s="5" t="str">
        <f>IFERROR(__xludf.DUMMYFUNCTION("""COMPUTED_VALUE"""),"https://drive.google.com/file/d/1TFkvQfWaleZVIjX3h89oKzYo5L1jJs1t/view?usp=drivesdk")</f>
        <v>https://drive.google.com/file/d/1TFkvQfWaleZVIjX3h89oKzYo5L1jJs1t/view?usp=drivesdk</v>
      </c>
      <c r="D4862" s="12"/>
      <c r="E4862" s="11">
        <v>4900.0</v>
      </c>
      <c r="F4862" s="2"/>
    </row>
    <row r="4863" ht="1.5" customHeight="1">
      <c r="A4863" s="4" t="str">
        <f>IFERROR(__xludf.DUMMYFUNCTION("""COMPUTED_VALUE"""),"1. Microwave")</f>
        <v>1. Microwave</v>
      </c>
      <c r="B4863" s="4" t="str">
        <f>IFERROR(__xludf.DUMMYFUNCTION("""COMPUTED_VALUE"""),"1")</f>
        <v>1</v>
      </c>
      <c r="C4863" s="5" t="str">
        <f>IFERROR(__xludf.DUMMYFUNCTION("""COMPUTED_VALUE"""),"https://drive.google.com/file/d/1JvgZjYLEZdSW0JWecdJUvprSXnK7M8zI/view?usp=drivesdk")</f>
        <v>https://drive.google.com/file/d/1JvgZjYLEZdSW0JWecdJUvprSXnK7M8zI/view?usp=drivesdk</v>
      </c>
      <c r="D4863" s="12"/>
      <c r="E4863" s="11">
        <v>4901.0</v>
      </c>
      <c r="F4863" s="2"/>
    </row>
    <row r="4864" ht="1.5" customHeight="1">
      <c r="A4864" s="4" t="str">
        <f>IFERROR(__xludf.DUMMYFUNCTION("""COMPUTED_VALUE"""),"90. Chimichanga")</f>
        <v>90. Chimichanga</v>
      </c>
      <c r="B4864" s="4" t="str">
        <f>IFERROR(__xludf.DUMMYFUNCTION("""COMPUTED_VALUE"""),"90")</f>
        <v>90</v>
      </c>
      <c r="C4864" s="5" t="str">
        <f>IFERROR(__xludf.DUMMYFUNCTION("""COMPUTED_VALUE"""),"https://drive.google.com/file/d/1fHdEgWoDjRdDnFlF5iyTiwDz96-AYbXq/view?usp=drivesdk")</f>
        <v>https://drive.google.com/file/d/1fHdEgWoDjRdDnFlF5iyTiwDz96-AYbXq/view?usp=drivesdk</v>
      </c>
      <c r="D4864" s="12"/>
      <c r="E4864" s="11">
        <v>4902.0</v>
      </c>
      <c r="F4864" s="2"/>
    </row>
    <row r="4865" ht="1.5" customHeight="1">
      <c r="A4865" s="4" t="str">
        <f>IFERROR(__xludf.DUMMYFUNCTION("""COMPUTED_VALUE"""),"90. Chimichanga")</f>
        <v>90. Chimichanga</v>
      </c>
      <c r="B4865" s="4" t="str">
        <f>IFERROR(__xludf.DUMMYFUNCTION("""COMPUTED_VALUE"""),"90")</f>
        <v>90</v>
      </c>
      <c r="C4865" s="5" t="str">
        <f>IFERROR(__xludf.DUMMYFUNCTION("""COMPUTED_VALUE"""),"https://drive.google.com/file/d/1eTgf78nLqHZ0MTA2InO_CivlF83hnR7V/view?usp=drivesdk")</f>
        <v>https://drive.google.com/file/d/1eTgf78nLqHZ0MTA2InO_CivlF83hnR7V/view?usp=drivesdk</v>
      </c>
      <c r="D4865" s="12"/>
      <c r="E4865" s="11">
        <v>4903.0</v>
      </c>
      <c r="F4865" s="2"/>
    </row>
    <row r="4866" ht="1.5" customHeight="1">
      <c r="A4866" s="4" t="str">
        <f>IFERROR(__xludf.DUMMYFUNCTION("""COMPUTED_VALUE"""),"90. Chimichanga")</f>
        <v>90. Chimichanga</v>
      </c>
      <c r="B4866" s="4" t="str">
        <f>IFERROR(__xludf.DUMMYFUNCTION("""COMPUTED_VALUE"""),"90")</f>
        <v>90</v>
      </c>
      <c r="C4866" s="5" t="str">
        <f>IFERROR(__xludf.DUMMYFUNCTION("""COMPUTED_VALUE"""),"https://drive.google.com/file/d/1RbDM5G88ZEqmCixYmXyiHmVD0wtgKldh/view?usp=drivesdk")</f>
        <v>https://drive.google.com/file/d/1RbDM5G88ZEqmCixYmXyiHmVD0wtgKldh/view?usp=drivesdk</v>
      </c>
      <c r="D4866" s="12"/>
      <c r="E4866" s="11">
        <v>4904.0</v>
      </c>
      <c r="F4866" s="2"/>
    </row>
    <row r="4867" ht="1.5" customHeight="1">
      <c r="A4867" s="4" t="str">
        <f>IFERROR(__xludf.DUMMYFUNCTION("""COMPUTED_VALUE"""),"1. Microwave")</f>
        <v>1. Microwave</v>
      </c>
      <c r="B4867" s="4" t="str">
        <f>IFERROR(__xludf.DUMMYFUNCTION("""COMPUTED_VALUE"""),"1")</f>
        <v>1</v>
      </c>
      <c r="C4867" s="5" t="str">
        <f>IFERROR(__xludf.DUMMYFUNCTION("""COMPUTED_VALUE"""),"https://drive.google.com/file/d/11DEIihtDHsgpN8vLxLGKmS2IbMrsrryw/view?usp=drivesdk")</f>
        <v>https://drive.google.com/file/d/11DEIihtDHsgpN8vLxLGKmS2IbMrsrryw/view?usp=drivesdk</v>
      </c>
      <c r="D4867" s="12"/>
      <c r="E4867" s="11">
        <v>4905.0</v>
      </c>
      <c r="F4867" s="2"/>
    </row>
    <row r="4868" ht="1.5" customHeight="1">
      <c r="A4868" s="4" t="str">
        <f>IFERROR(__xludf.DUMMYFUNCTION("""COMPUTED_VALUE"""),"1. Microwave")</f>
        <v>1. Microwave</v>
      </c>
      <c r="B4868" s="4" t="str">
        <f>IFERROR(__xludf.DUMMYFUNCTION("""COMPUTED_VALUE"""),"1")</f>
        <v>1</v>
      </c>
      <c r="C4868" s="5" t="str">
        <f>IFERROR(__xludf.DUMMYFUNCTION("""COMPUTED_VALUE"""),"https://drive.google.com/file/d/1hpgC7BcJggQwJy4QgTKQiJ-mX_KzoXC2/view?usp=drivesdk")</f>
        <v>https://drive.google.com/file/d/1hpgC7BcJggQwJy4QgTKQiJ-mX_KzoXC2/view?usp=drivesdk</v>
      </c>
      <c r="D4868" s="12"/>
      <c r="E4868" s="11">
        <v>4906.0</v>
      </c>
      <c r="F4868" s="2"/>
    </row>
    <row r="4869" ht="1.5" customHeight="1">
      <c r="A4869" s="4" t="str">
        <f>IFERROR(__xludf.DUMMYFUNCTION("""COMPUTED_VALUE"""),"1. Microwave")</f>
        <v>1. Microwave</v>
      </c>
      <c r="B4869" s="4" t="str">
        <f>IFERROR(__xludf.DUMMYFUNCTION("""COMPUTED_VALUE"""),"1")</f>
        <v>1</v>
      </c>
      <c r="C4869" s="5" t="str">
        <f>IFERROR(__xludf.DUMMYFUNCTION("""COMPUTED_VALUE"""),"https://drive.google.com/file/d/1GDeQa9k2SSA55YA38AGG24klD2KhJ57n/view?usp=drivesdk")</f>
        <v>https://drive.google.com/file/d/1GDeQa9k2SSA55YA38AGG24klD2KhJ57n/view?usp=drivesdk</v>
      </c>
      <c r="D4869" s="12"/>
      <c r="E4869" s="11">
        <v>4907.0</v>
      </c>
      <c r="F4869" s="2"/>
    </row>
    <row r="4870" ht="1.5" customHeight="1">
      <c r="A4870" s="4" t="str">
        <f>IFERROR(__xludf.DUMMYFUNCTION("""COMPUTED_VALUE"""),"1. Microwave")</f>
        <v>1. Microwave</v>
      </c>
      <c r="B4870" s="4" t="str">
        <f>IFERROR(__xludf.DUMMYFUNCTION("""COMPUTED_VALUE"""),"1")</f>
        <v>1</v>
      </c>
      <c r="C4870" s="5" t="str">
        <f>IFERROR(__xludf.DUMMYFUNCTION("""COMPUTED_VALUE"""),"https://drive.google.com/file/d/12QdyN9X8ASRYxLnl73Ii_kw-xaok-X9v/view?usp=drivesdk")</f>
        <v>https://drive.google.com/file/d/12QdyN9X8ASRYxLnl73Ii_kw-xaok-X9v/view?usp=drivesdk</v>
      </c>
      <c r="D4870" s="12"/>
      <c r="E4870" s="11">
        <v>4908.0</v>
      </c>
      <c r="F4870" s="2"/>
    </row>
    <row r="4871" ht="1.5" customHeight="1">
      <c r="A4871" s="4" t="str">
        <f>IFERROR(__xludf.DUMMYFUNCTION("""COMPUTED_VALUE"""),"1. Microwave")</f>
        <v>1. Microwave</v>
      </c>
      <c r="B4871" s="4" t="str">
        <f>IFERROR(__xludf.DUMMYFUNCTION("""COMPUTED_VALUE"""),"1")</f>
        <v>1</v>
      </c>
      <c r="C4871" s="5" t="str">
        <f>IFERROR(__xludf.DUMMYFUNCTION("""COMPUTED_VALUE"""),"https://drive.google.com/file/d/1atNDfZuJ5efM4Sktf0jrNMnpxa-yRiNF/view?usp=drivesdk")</f>
        <v>https://drive.google.com/file/d/1atNDfZuJ5efM4Sktf0jrNMnpxa-yRiNF/view?usp=drivesdk</v>
      </c>
      <c r="D4871" s="12"/>
      <c r="E4871" s="11">
        <v>4909.0</v>
      </c>
      <c r="F4871" s="2"/>
    </row>
    <row r="4872" ht="1.5" customHeight="1">
      <c r="A4872" s="4" t="str">
        <f>IFERROR(__xludf.DUMMYFUNCTION("""COMPUTED_VALUE"""),"1. Microwave")</f>
        <v>1. Microwave</v>
      </c>
      <c r="B4872" s="4" t="str">
        <f>IFERROR(__xludf.DUMMYFUNCTION("""COMPUTED_VALUE"""),"1")</f>
        <v>1</v>
      </c>
      <c r="C4872" s="5" t="str">
        <f>IFERROR(__xludf.DUMMYFUNCTION("""COMPUTED_VALUE"""),"https://drive.google.com/file/d/1eeGFY-YZg7r-URWkoQvW-X03JkZXehVR/view?usp=drivesdk")</f>
        <v>https://drive.google.com/file/d/1eeGFY-YZg7r-URWkoQvW-X03JkZXehVR/view?usp=drivesdk</v>
      </c>
      <c r="D4872" s="12"/>
      <c r="E4872" s="11">
        <v>4910.0</v>
      </c>
      <c r="F4872" s="2"/>
    </row>
    <row r="4873" ht="1.5" customHeight="1">
      <c r="A4873" s="4" t="str">
        <f>IFERROR(__xludf.DUMMYFUNCTION("""COMPUTED_VALUE"""),"1. Microwave")</f>
        <v>1. Microwave</v>
      </c>
      <c r="B4873" s="4" t="str">
        <f>IFERROR(__xludf.DUMMYFUNCTION("""COMPUTED_VALUE"""),"1")</f>
        <v>1</v>
      </c>
      <c r="C4873" s="5" t="str">
        <f>IFERROR(__xludf.DUMMYFUNCTION("""COMPUTED_VALUE"""),"https://drive.google.com/file/d/194JECuP_qbBPZ6Qmswo7iobS3GdAkSjd/view?usp=drivesdk")</f>
        <v>https://drive.google.com/file/d/194JECuP_qbBPZ6Qmswo7iobS3GdAkSjd/view?usp=drivesdk</v>
      </c>
      <c r="D4873" s="12"/>
      <c r="E4873" s="11">
        <v>4911.0</v>
      </c>
      <c r="F4873" s="2"/>
    </row>
    <row r="4874" ht="1.5" customHeight="1">
      <c r="A4874" s="4" t="str">
        <f>IFERROR(__xludf.DUMMYFUNCTION("""COMPUTED_VALUE"""),"1. Microwave")</f>
        <v>1. Microwave</v>
      </c>
      <c r="B4874" s="4" t="str">
        <f>IFERROR(__xludf.DUMMYFUNCTION("""COMPUTED_VALUE"""),"1")</f>
        <v>1</v>
      </c>
      <c r="C4874" s="5" t="str">
        <f>IFERROR(__xludf.DUMMYFUNCTION("""COMPUTED_VALUE"""),"https://drive.google.com/file/d/1OhOGSryzz0B9E_xOkxvXSAeNPXN4Mdue/view?usp=drivesdk")</f>
        <v>https://drive.google.com/file/d/1OhOGSryzz0B9E_xOkxvXSAeNPXN4Mdue/view?usp=drivesdk</v>
      </c>
      <c r="D4874" s="12"/>
      <c r="E4874" s="11">
        <v>4912.0</v>
      </c>
      <c r="F4874" s="2"/>
    </row>
    <row r="4875" ht="1.5" customHeight="1">
      <c r="A4875" s="4" t="str">
        <f>IFERROR(__xludf.DUMMYFUNCTION("""COMPUTED_VALUE"""),"1. Microwave")</f>
        <v>1. Microwave</v>
      </c>
      <c r="B4875" s="4" t="str">
        <f>IFERROR(__xludf.DUMMYFUNCTION("""COMPUTED_VALUE"""),"1")</f>
        <v>1</v>
      </c>
      <c r="C4875" s="5" t="str">
        <f>IFERROR(__xludf.DUMMYFUNCTION("""COMPUTED_VALUE"""),"https://drive.google.com/file/d/1wqoQHexIdOhwjKlOUNHs821XJ1aWvkgO/view?usp=drivesdk")</f>
        <v>https://drive.google.com/file/d/1wqoQHexIdOhwjKlOUNHs821XJ1aWvkgO/view?usp=drivesdk</v>
      </c>
      <c r="D4875" s="12"/>
      <c r="E4875" s="11">
        <v>4913.0</v>
      </c>
      <c r="F4875" s="2"/>
    </row>
    <row r="4876" ht="1.5" customHeight="1">
      <c r="A4876" s="4" t="str">
        <f>IFERROR(__xludf.DUMMYFUNCTION("""COMPUTED_VALUE"""),"1. Microwave")</f>
        <v>1. Microwave</v>
      </c>
      <c r="B4876" s="4" t="str">
        <f>IFERROR(__xludf.DUMMYFUNCTION("""COMPUTED_VALUE"""),"1")</f>
        <v>1</v>
      </c>
      <c r="C4876" s="5" t="str">
        <f>IFERROR(__xludf.DUMMYFUNCTION("""COMPUTED_VALUE"""),"https://drive.google.com/file/d/19G3iGWYWkWvTUwwEoUrqwrRrQaDvcUBW/view?usp=drivesdk")</f>
        <v>https://drive.google.com/file/d/19G3iGWYWkWvTUwwEoUrqwrRrQaDvcUBW/view?usp=drivesdk</v>
      </c>
      <c r="D4876" s="12"/>
      <c r="E4876" s="11">
        <v>4914.0</v>
      </c>
      <c r="F4876" s="2"/>
    </row>
    <row r="4877" ht="1.5" customHeight="1">
      <c r="A4877" s="4" t="str">
        <f>IFERROR(__xludf.DUMMYFUNCTION("""COMPUTED_VALUE"""),"1. Microwave")</f>
        <v>1. Microwave</v>
      </c>
      <c r="B4877" s="4" t="str">
        <f>IFERROR(__xludf.DUMMYFUNCTION("""COMPUTED_VALUE"""),"1")</f>
        <v>1</v>
      </c>
      <c r="C4877" s="5" t="str">
        <f>IFERROR(__xludf.DUMMYFUNCTION("""COMPUTED_VALUE"""),"https://drive.google.com/file/d/1eVHq3a29QXdbdSmk1opW21uFyI0v8uIb/view?usp=drivesdk")</f>
        <v>https://drive.google.com/file/d/1eVHq3a29QXdbdSmk1opW21uFyI0v8uIb/view?usp=drivesdk</v>
      </c>
      <c r="D4877" s="12"/>
      <c r="E4877" s="11">
        <v>4915.0</v>
      </c>
      <c r="F4877" s="2"/>
    </row>
    <row r="4878" ht="1.5" customHeight="1">
      <c r="A4878" s="4" t="str">
        <f>IFERROR(__xludf.DUMMYFUNCTION("""COMPUTED_VALUE"""),"1. Microwave")</f>
        <v>1. Microwave</v>
      </c>
      <c r="B4878" s="4" t="str">
        <f>IFERROR(__xludf.DUMMYFUNCTION("""COMPUTED_VALUE"""),"1")</f>
        <v>1</v>
      </c>
      <c r="C4878" s="5" t="str">
        <f>IFERROR(__xludf.DUMMYFUNCTION("""COMPUTED_VALUE"""),"https://drive.google.com/file/d/16PUM6nKaszRM3zXXHWbeZe3Iw7U-6GJi/view?usp=drivesdk")</f>
        <v>https://drive.google.com/file/d/16PUM6nKaszRM3zXXHWbeZe3Iw7U-6GJi/view?usp=drivesdk</v>
      </c>
      <c r="D4878" s="12"/>
      <c r="E4878" s="11">
        <v>4916.0</v>
      </c>
      <c r="F4878" s="2"/>
    </row>
    <row r="4879" ht="1.5" customHeight="1">
      <c r="A4879" s="4" t="str">
        <f>IFERROR(__xludf.DUMMYFUNCTION("""COMPUTED_VALUE"""),"5. Eraser")</f>
        <v>5. Eraser</v>
      </c>
      <c r="B4879" s="4" t="str">
        <f>IFERROR(__xludf.DUMMYFUNCTION("""COMPUTED_VALUE"""),"5")</f>
        <v>5</v>
      </c>
      <c r="C4879" s="5" t="str">
        <f>IFERROR(__xludf.DUMMYFUNCTION("""COMPUTED_VALUE"""),"https://drive.google.com/file/d/1h0I-Ydue5yZEqM-dVozEXY5mA17ceHoH/view?usp=drivesdk")</f>
        <v>https://drive.google.com/file/d/1h0I-Ydue5yZEqM-dVozEXY5mA17ceHoH/view?usp=drivesdk</v>
      </c>
      <c r="D4879" s="12"/>
      <c r="E4879" s="11">
        <v>4917.0</v>
      </c>
      <c r="F4879" s="2"/>
    </row>
    <row r="4880" ht="1.5" customHeight="1">
      <c r="A4880" s="4" t="str">
        <f>IFERROR(__xludf.DUMMYFUNCTION("""COMPUTED_VALUE"""),"5. Eraser")</f>
        <v>5. Eraser</v>
      </c>
      <c r="B4880" s="4" t="str">
        <f>IFERROR(__xludf.DUMMYFUNCTION("""COMPUTED_VALUE"""),"5")</f>
        <v>5</v>
      </c>
      <c r="C4880" s="5" t="str">
        <f>IFERROR(__xludf.DUMMYFUNCTION("""COMPUTED_VALUE"""),"https://drive.google.com/file/d/10HgdRa0BxV2tX7ezqz9TmrqPQvyhRJIz/view?usp=drivesdk")</f>
        <v>https://drive.google.com/file/d/10HgdRa0BxV2tX7ezqz9TmrqPQvyhRJIz/view?usp=drivesdk</v>
      </c>
      <c r="D4880" s="12"/>
      <c r="E4880" s="11">
        <v>4918.0</v>
      </c>
      <c r="F4880" s="2"/>
    </row>
    <row r="4881" ht="1.5" customHeight="1">
      <c r="A4881" s="4" t="str">
        <f>IFERROR(__xludf.DUMMYFUNCTION("""COMPUTED_VALUE"""),"4. Eggs")</f>
        <v>4. Eggs</v>
      </c>
      <c r="B4881" s="4" t="str">
        <f>IFERROR(__xludf.DUMMYFUNCTION("""COMPUTED_VALUE"""),"4")</f>
        <v>4</v>
      </c>
      <c r="C4881" s="5" t="str">
        <f>IFERROR(__xludf.DUMMYFUNCTION("""COMPUTED_VALUE"""),"https://drive.google.com/file/d/1uBy4zs3BXgvq_FHShC1jlvqtJ4ffA7n9/view?usp=drivesdk")</f>
        <v>https://drive.google.com/file/d/1uBy4zs3BXgvq_FHShC1jlvqtJ4ffA7n9/view?usp=drivesdk</v>
      </c>
      <c r="D4881" s="12"/>
      <c r="E4881" s="11">
        <v>4919.0</v>
      </c>
      <c r="F4881" s="2"/>
    </row>
    <row r="4882" ht="1.5" customHeight="1">
      <c r="A4882" s="4" t="str">
        <f>IFERROR(__xludf.DUMMYFUNCTION("""COMPUTED_VALUE"""),"2. Twix")</f>
        <v>2. Twix</v>
      </c>
      <c r="B4882" s="4" t="str">
        <f>IFERROR(__xludf.DUMMYFUNCTION("""COMPUTED_VALUE"""),"2")</f>
        <v>2</v>
      </c>
      <c r="C4882" s="5" t="str">
        <f>IFERROR(__xludf.DUMMYFUNCTION("""COMPUTED_VALUE"""),"https://drive.google.com/file/d/18WeQOLn3ikEv503aWZ21jF_Krrf-wWpB/view?usp=drivesdk")</f>
        <v>https://drive.google.com/file/d/18WeQOLn3ikEv503aWZ21jF_Krrf-wWpB/view?usp=drivesdk</v>
      </c>
      <c r="D4882" s="12"/>
      <c r="E4882" s="11">
        <v>4920.0</v>
      </c>
      <c r="F4882" s="2"/>
    </row>
    <row r="4883" ht="1.5" customHeight="1">
      <c r="A4883" s="4" t="str">
        <f>IFERROR(__xludf.DUMMYFUNCTION("""COMPUTED_VALUE"""),"17. Bobbie")</f>
        <v>17. Bobbie</v>
      </c>
      <c r="B4883" s="4" t="str">
        <f>IFERROR(__xludf.DUMMYFUNCTION("""COMPUTED_VALUE"""),"17")</f>
        <v>17</v>
      </c>
      <c r="C4883" s="5" t="str">
        <f>IFERROR(__xludf.DUMMYFUNCTION("""COMPUTED_VALUE"""),"https://drive.google.com/file/d/1gOir8kT68hJm_t4OR4DoaFcOPMroXrf9/view?usp=drivesdk")</f>
        <v>https://drive.google.com/file/d/1gOir8kT68hJm_t4OR4DoaFcOPMroXrf9/view?usp=drivesdk</v>
      </c>
      <c r="D4883" s="12"/>
      <c r="E4883" s="11">
        <v>4921.0</v>
      </c>
      <c r="F4883" s="2"/>
    </row>
    <row r="4884" ht="1.5" customHeight="1">
      <c r="A4884" s="4" t="str">
        <f>IFERROR(__xludf.DUMMYFUNCTION("""COMPUTED_VALUE"""),"17. Bobbie")</f>
        <v>17. Bobbie</v>
      </c>
      <c r="B4884" s="4" t="str">
        <f>IFERROR(__xludf.DUMMYFUNCTION("""COMPUTED_VALUE"""),"17")</f>
        <v>17</v>
      </c>
      <c r="C4884" s="5" t="str">
        <f>IFERROR(__xludf.DUMMYFUNCTION("""COMPUTED_VALUE"""),"https://drive.google.com/file/d/19F1kMQ6q91nN75Pz0M7_rxwOjGmQ00TT/view?usp=drivesdk")</f>
        <v>https://drive.google.com/file/d/19F1kMQ6q91nN75Pz0M7_rxwOjGmQ00TT/view?usp=drivesdk</v>
      </c>
      <c r="D4884" s="12"/>
      <c r="E4884" s="11">
        <v>4922.0</v>
      </c>
      <c r="F4884" s="2"/>
    </row>
    <row r="4885" ht="1.5" customHeight="1">
      <c r="A4885" s="4" t="str">
        <f>IFERROR(__xludf.DUMMYFUNCTION("""COMPUTED_VALUE"""),"17. Bobbie")</f>
        <v>17. Bobbie</v>
      </c>
      <c r="B4885" s="4" t="str">
        <f>IFERROR(__xludf.DUMMYFUNCTION("""COMPUTED_VALUE"""),"17")</f>
        <v>17</v>
      </c>
      <c r="C4885" s="5" t="str">
        <f>IFERROR(__xludf.DUMMYFUNCTION("""COMPUTED_VALUE"""),"https://drive.google.com/file/d/1Lq9My7QojYJoUQ9Kj5cBTrMg1VyPaein/view?usp=drivesdk")</f>
        <v>https://drive.google.com/file/d/1Lq9My7QojYJoUQ9Kj5cBTrMg1VyPaein/view?usp=drivesdk</v>
      </c>
      <c r="D4885" s="12"/>
      <c r="E4885" s="11">
        <v>4923.0</v>
      </c>
      <c r="F4885" s="2"/>
    </row>
    <row r="4886" ht="1.5" customHeight="1">
      <c r="A4886" s="4" t="str">
        <f>IFERROR(__xludf.DUMMYFUNCTION("""COMPUTED_VALUE"""),"0. NotACat")</f>
        <v>0. NotACat</v>
      </c>
      <c r="B4886" s="4" t="str">
        <f>IFERROR(__xludf.DUMMYFUNCTION("""COMPUTED_VALUE"""),"0")</f>
        <v>0</v>
      </c>
      <c r="C4886" s="5" t="str">
        <f>IFERROR(__xludf.DUMMYFUNCTION("""COMPUTED_VALUE"""),"https://drive.google.com/file/d/1G2-lGfDcjhKSOnldIc6gdJ69SpGmNf6y/view?usp=drivesdk")</f>
        <v>https://drive.google.com/file/d/1G2-lGfDcjhKSOnldIc6gdJ69SpGmNf6y/view?usp=drivesdk</v>
      </c>
      <c r="D4886" s="12"/>
      <c r="E4886" s="11">
        <v>4924.0</v>
      </c>
      <c r="F4886" s="2"/>
    </row>
    <row r="4887" ht="1.5" customHeight="1">
      <c r="A4887" s="4" t="str">
        <f>IFERROR(__xludf.DUMMYFUNCTION("""COMPUTED_VALUE"""),"36. Scringle")</f>
        <v>36. Scringle</v>
      </c>
      <c r="B4887" s="4" t="str">
        <f>IFERROR(__xludf.DUMMYFUNCTION("""COMPUTED_VALUE"""),"36")</f>
        <v>36</v>
      </c>
      <c r="C4887" s="5" t="str">
        <f>IFERROR(__xludf.DUMMYFUNCTION("""COMPUTED_VALUE"""),"https://drive.google.com/file/d/1pLhol1zMFkesMRNRn0SjWIznbyhRjqR-/view?usp=drivesdk")</f>
        <v>https://drive.google.com/file/d/1pLhol1zMFkesMRNRn0SjWIznbyhRjqR-/view?usp=drivesdk</v>
      </c>
      <c r="D4887" s="12"/>
      <c r="E4887" s="11">
        <v>4925.0</v>
      </c>
      <c r="F4887" s="2"/>
    </row>
    <row r="4888" ht="1.5" customHeight="1">
      <c r="A4888" s="4" t="str">
        <f>IFERROR(__xludf.DUMMYFUNCTION("""COMPUTED_VALUE"""),"4. Eggs, 5. Eraser")</f>
        <v>4. Eggs, 5. Eraser</v>
      </c>
      <c r="B4888" s="4" t="str">
        <f>IFERROR(__xludf.DUMMYFUNCTION("""COMPUTED_VALUE"""),"4, 5")</f>
        <v>4, 5</v>
      </c>
      <c r="C4888" s="5" t="str">
        <f>IFERROR(__xludf.DUMMYFUNCTION("""COMPUTED_VALUE"""),"https://drive.google.com/file/d/1z1GgspHfxaWnK8hf4eWseMf8GhYybMyM/view?usp=drivesdk")</f>
        <v>https://drive.google.com/file/d/1z1GgspHfxaWnK8hf4eWseMf8GhYybMyM/view?usp=drivesdk</v>
      </c>
      <c r="D4888" s="12"/>
      <c r="E4888" s="11">
        <v>4926.0</v>
      </c>
      <c r="F4888" s="2"/>
    </row>
    <row r="4889" ht="1.5" customHeight="1">
      <c r="A4889" s="4" t="str">
        <f>IFERROR(__xludf.DUMMYFUNCTION("""COMPUTED_VALUE"""),"1. Microwave")</f>
        <v>1. Microwave</v>
      </c>
      <c r="B4889" s="4" t="str">
        <f>IFERROR(__xludf.DUMMYFUNCTION("""COMPUTED_VALUE"""),"1")</f>
        <v>1</v>
      </c>
      <c r="C4889" s="5" t="str">
        <f>IFERROR(__xludf.DUMMYFUNCTION("""COMPUTED_VALUE"""),"https://drive.google.com/file/d/1sPPEzrA61fTyUOjANx7pjXOKhxdYXQ7I/view?usp=drivesdk")</f>
        <v>https://drive.google.com/file/d/1sPPEzrA61fTyUOjANx7pjXOKhxdYXQ7I/view?usp=drivesdk</v>
      </c>
      <c r="D4889" s="12"/>
      <c r="E4889" s="11">
        <v>4927.0</v>
      </c>
      <c r="F4889" s="2"/>
    </row>
    <row r="4890" ht="1.5" customHeight="1">
      <c r="A4890" s="4" t="str">
        <f>IFERROR(__xludf.DUMMYFUNCTION("""COMPUTED_VALUE"""),"2. Twix")</f>
        <v>2. Twix</v>
      </c>
      <c r="B4890" s="4" t="str">
        <f>IFERROR(__xludf.DUMMYFUNCTION("""COMPUTED_VALUE"""),"2")</f>
        <v>2</v>
      </c>
      <c r="C4890" s="5" t="str">
        <f>IFERROR(__xludf.DUMMYFUNCTION("""COMPUTED_VALUE"""),"https://drive.google.com/file/d/119ef30GZmMqKOIqBTltjilDXCCRqO2n1/view?usp=drivesdk")</f>
        <v>https://drive.google.com/file/d/119ef30GZmMqKOIqBTltjilDXCCRqO2n1/view?usp=drivesdk</v>
      </c>
      <c r="D4890" s="12"/>
      <c r="E4890" s="11">
        <v>4928.0</v>
      </c>
      <c r="F4890" s="2"/>
    </row>
    <row r="4891" ht="1.5" customHeight="1">
      <c r="A4891" s="4" t="str">
        <f>IFERROR(__xludf.DUMMYFUNCTION("""COMPUTED_VALUE"""),"0. NotACat")</f>
        <v>0. NotACat</v>
      </c>
      <c r="B4891" s="4" t="str">
        <f>IFERROR(__xludf.DUMMYFUNCTION("""COMPUTED_VALUE"""),"0")</f>
        <v>0</v>
      </c>
      <c r="C4891" s="5" t="str">
        <f>IFERROR(__xludf.DUMMYFUNCTION("""COMPUTED_VALUE"""),"https://drive.google.com/file/d/1ecMYRteOoICgv-zTVWIICrxZ-BagPD3G/view?usp=drivesdk")</f>
        <v>https://drive.google.com/file/d/1ecMYRteOoICgv-zTVWIICrxZ-BagPD3G/view?usp=drivesdk</v>
      </c>
      <c r="D4891" s="12"/>
      <c r="E4891" s="11">
        <v>4929.0</v>
      </c>
      <c r="F4891" s="2"/>
    </row>
    <row r="4892" ht="1.5" customHeight="1">
      <c r="A4892" s="4" t="str">
        <f>IFERROR(__xludf.DUMMYFUNCTION("""COMPUTED_VALUE"""),"9. Melvin")</f>
        <v>9. Melvin</v>
      </c>
      <c r="B4892" s="4" t="str">
        <f>IFERROR(__xludf.DUMMYFUNCTION("""COMPUTED_VALUE"""),"9")</f>
        <v>9</v>
      </c>
      <c r="C4892" s="5" t="str">
        <f>IFERROR(__xludf.DUMMYFUNCTION("""COMPUTED_VALUE"""),"https://drive.google.com/file/d/1YPsKHfq2U_FU00vGDQjwoCSzhbqabKeV/view?usp=drivesdk")</f>
        <v>https://drive.google.com/file/d/1YPsKHfq2U_FU00vGDQjwoCSzhbqabKeV/view?usp=drivesdk</v>
      </c>
      <c r="D4892" s="12"/>
      <c r="E4892" s="11">
        <v>4930.0</v>
      </c>
      <c r="F4892" s="2"/>
    </row>
    <row r="4893" ht="1.5" customHeight="1">
      <c r="A4893" s="4" t="str">
        <f>IFERROR(__xludf.DUMMYFUNCTION("""COMPUTED_VALUE"""),"35. Stove")</f>
        <v>35. Stove</v>
      </c>
      <c r="B4893" s="4" t="str">
        <f>IFERROR(__xludf.DUMMYFUNCTION("""COMPUTED_VALUE"""),"35")</f>
        <v>35</v>
      </c>
      <c r="C4893" s="5" t="str">
        <f>IFERROR(__xludf.DUMMYFUNCTION("""COMPUTED_VALUE"""),"https://drive.google.com/file/d/1pXGp6YQ3fmU74moC8J3xTvm5DKuze0Al/view?usp=drivesdk")</f>
        <v>https://drive.google.com/file/d/1pXGp6YQ3fmU74moC8J3xTvm5DKuze0Al/view?usp=drivesdk</v>
      </c>
      <c r="D4893" s="12"/>
      <c r="E4893" s="11">
        <v>4931.0</v>
      </c>
      <c r="F4893" s="2"/>
    </row>
    <row r="4894" ht="1.5" customHeight="1">
      <c r="A4894" s="4" t="str">
        <f>IFERROR(__xludf.DUMMYFUNCTION("""COMPUTED_VALUE"""),"5. Eraser")</f>
        <v>5. Eraser</v>
      </c>
      <c r="B4894" s="4" t="str">
        <f>IFERROR(__xludf.DUMMYFUNCTION("""COMPUTED_VALUE"""),"5")</f>
        <v>5</v>
      </c>
      <c r="C4894" s="5" t="str">
        <f>IFERROR(__xludf.DUMMYFUNCTION("""COMPUTED_VALUE"""),"https://drive.google.com/file/d/1wkPy5C9zXRNRPiWX0FavtXpwuZ8czQzD/view?usp=drivesdk")</f>
        <v>https://drive.google.com/file/d/1wkPy5C9zXRNRPiWX0FavtXpwuZ8czQzD/view?usp=drivesdk</v>
      </c>
      <c r="D4894" s="12"/>
      <c r="E4894" s="11">
        <v>4932.0</v>
      </c>
      <c r="F4894" s="2"/>
    </row>
    <row r="4895" ht="1.5" customHeight="1">
      <c r="A4895" s="4" t="str">
        <f>IFERROR(__xludf.DUMMYFUNCTION("""COMPUTED_VALUE"""),"5. Eraser")</f>
        <v>5. Eraser</v>
      </c>
      <c r="B4895" s="4" t="str">
        <f>IFERROR(__xludf.DUMMYFUNCTION("""COMPUTED_VALUE"""),"5")</f>
        <v>5</v>
      </c>
      <c r="C4895" s="5" t="str">
        <f>IFERROR(__xludf.DUMMYFUNCTION("""COMPUTED_VALUE"""),"https://drive.google.com/file/d/1LDVESXI4Wn9Q4P4-clAl2IVSQ-3ifW9U/view?usp=drivesdk")</f>
        <v>https://drive.google.com/file/d/1LDVESXI4Wn9Q4P4-clAl2IVSQ-3ifW9U/view?usp=drivesdk</v>
      </c>
      <c r="D4895" s="12"/>
      <c r="E4895" s="11">
        <v>4933.0</v>
      </c>
      <c r="F4895" s="2"/>
    </row>
    <row r="4896" ht="1.5" customHeight="1">
      <c r="A4896" s="4" t="str">
        <f>IFERROR(__xludf.DUMMYFUNCTION("""COMPUTED_VALUE"""),"6. Snickers")</f>
        <v>6. Snickers</v>
      </c>
      <c r="B4896" s="4" t="str">
        <f>IFERROR(__xludf.DUMMYFUNCTION("""COMPUTED_VALUE"""),"6")</f>
        <v>6</v>
      </c>
      <c r="C4896" s="5" t="str">
        <f>IFERROR(__xludf.DUMMYFUNCTION("""COMPUTED_VALUE"""),"https://drive.google.com/file/d/175Tjq2UwApyL89WyImdJpIVS2NlRPOn3/view?usp=drivesdk")</f>
        <v>https://drive.google.com/file/d/175Tjq2UwApyL89WyImdJpIVS2NlRPOn3/view?usp=drivesdk</v>
      </c>
      <c r="D4896" s="12"/>
      <c r="E4896" s="11">
        <v>4934.0</v>
      </c>
      <c r="F4896" s="2"/>
    </row>
    <row r="4897" ht="1.5" customHeight="1">
      <c r="A4897" s="4" t="str">
        <f>IFERROR(__xludf.DUMMYFUNCTION("""COMPUTED_VALUE"""),"2. Twix")</f>
        <v>2. Twix</v>
      </c>
      <c r="B4897" s="4" t="str">
        <f>IFERROR(__xludf.DUMMYFUNCTION("""COMPUTED_VALUE"""),"2")</f>
        <v>2</v>
      </c>
      <c r="C4897" s="5" t="str">
        <f>IFERROR(__xludf.DUMMYFUNCTION("""COMPUTED_VALUE"""),"https://drive.google.com/file/d/1R-23ZHHkWJahYZD7I-eBFL9imXm4rnHM/view?usp=drivesdk")</f>
        <v>https://drive.google.com/file/d/1R-23ZHHkWJahYZD7I-eBFL9imXm4rnHM/view?usp=drivesdk</v>
      </c>
      <c r="D4897" s="12"/>
      <c r="E4897" s="11">
        <v>4935.0</v>
      </c>
      <c r="F4897" s="2"/>
    </row>
    <row r="4898" ht="1.5" customHeight="1">
      <c r="A4898" s="4" t="str">
        <f>IFERROR(__xludf.DUMMYFUNCTION("""COMPUTED_VALUE"""),"2. Twix")</f>
        <v>2. Twix</v>
      </c>
      <c r="B4898" s="4" t="str">
        <f>IFERROR(__xludf.DUMMYFUNCTION("""COMPUTED_VALUE"""),"2")</f>
        <v>2</v>
      </c>
      <c r="C4898" s="5" t="str">
        <f>IFERROR(__xludf.DUMMYFUNCTION("""COMPUTED_VALUE"""),"https://drive.google.com/file/d/1evE9e2UAc0-55orU71mWgFydM3-htWU8/view?usp=drivesdk")</f>
        <v>https://drive.google.com/file/d/1evE9e2UAc0-55orU71mWgFydM3-htWU8/view?usp=drivesdk</v>
      </c>
      <c r="D4898" s="12"/>
      <c r="E4898" s="11">
        <v>4936.0</v>
      </c>
      <c r="F4898" s="2"/>
    </row>
    <row r="4899" ht="1.5" customHeight="1">
      <c r="A4899" s="4" t="str">
        <f>IFERROR(__xludf.DUMMYFUNCTION("""COMPUTED_VALUE"""),"4. Eggs")</f>
        <v>4. Eggs</v>
      </c>
      <c r="B4899" s="4" t="str">
        <f>IFERROR(__xludf.DUMMYFUNCTION("""COMPUTED_VALUE"""),"4")</f>
        <v>4</v>
      </c>
      <c r="C4899" s="5" t="str">
        <f>IFERROR(__xludf.DUMMYFUNCTION("""COMPUTED_VALUE"""),"https://drive.google.com/file/d/1mpc6kX9uCqNMhCsU6iuJUi_bAclFA63b/view?usp=drivesdk")</f>
        <v>https://drive.google.com/file/d/1mpc6kX9uCqNMhCsU6iuJUi_bAclFA63b/view?usp=drivesdk</v>
      </c>
      <c r="D4899" s="12"/>
      <c r="E4899" s="11">
        <v>4937.0</v>
      </c>
      <c r="F4899" s="2"/>
    </row>
    <row r="4900" ht="1.5" customHeight="1">
      <c r="A4900" s="4" t="str">
        <f>IFERROR(__xludf.DUMMYFUNCTION("""COMPUTED_VALUE"""),"5. Eraser")</f>
        <v>5. Eraser</v>
      </c>
      <c r="B4900" s="4" t="str">
        <f>IFERROR(__xludf.DUMMYFUNCTION("""COMPUTED_VALUE"""),"5")</f>
        <v>5</v>
      </c>
      <c r="C4900" s="5" t="str">
        <f>IFERROR(__xludf.DUMMYFUNCTION("""COMPUTED_VALUE"""),"https://drive.google.com/file/d/11zPK3ODUHCn7VQvNs2J-S3fReqs3721A/view?usp=drivesdk")</f>
        <v>https://drive.google.com/file/d/11zPK3ODUHCn7VQvNs2J-S3fReqs3721A/view?usp=drivesdk</v>
      </c>
      <c r="D4900" s="12"/>
      <c r="E4900" s="11">
        <v>4938.0</v>
      </c>
      <c r="F4900" s="2"/>
    </row>
    <row r="4901" ht="1.5" customHeight="1">
      <c r="A4901" s="4" t="str">
        <f>IFERROR(__xludf.DUMMYFUNCTION("""COMPUTED_VALUE"""),"4. Eggs, 5. Eraser")</f>
        <v>4. Eggs, 5. Eraser</v>
      </c>
      <c r="B4901" s="4" t="str">
        <f>IFERROR(__xludf.DUMMYFUNCTION("""COMPUTED_VALUE"""),"4, 5")</f>
        <v>4, 5</v>
      </c>
      <c r="C4901" s="5" t="str">
        <f>IFERROR(__xludf.DUMMYFUNCTION("""COMPUTED_VALUE"""),"https://drive.google.com/file/d/1soR0F4hOx6JmRZFMgXegHzXL2Ejh9Xu7/view?usp=drivesdk")</f>
        <v>https://drive.google.com/file/d/1soR0F4hOx6JmRZFMgXegHzXL2Ejh9Xu7/view?usp=drivesdk</v>
      </c>
      <c r="D4901" s="12"/>
      <c r="E4901" s="11">
        <v>4939.0</v>
      </c>
      <c r="F4901" s="2"/>
    </row>
    <row r="4902" ht="1.5" customHeight="1">
      <c r="A4902" s="4" t="str">
        <f>IFERROR(__xludf.DUMMYFUNCTION("""COMPUTED_VALUE"""),"5. Eraser")</f>
        <v>5. Eraser</v>
      </c>
      <c r="B4902" s="4" t="str">
        <f>IFERROR(__xludf.DUMMYFUNCTION("""COMPUTED_VALUE"""),"5")</f>
        <v>5</v>
      </c>
      <c r="C4902" s="5" t="str">
        <f>IFERROR(__xludf.DUMMYFUNCTION("""COMPUTED_VALUE"""),"https://drive.google.com/file/d/17e2JE0--QHlh3h8wTEnqq0HnDbYLwxDi/view?usp=drivesdk")</f>
        <v>https://drive.google.com/file/d/17e2JE0--QHlh3h8wTEnqq0HnDbYLwxDi/view?usp=drivesdk</v>
      </c>
      <c r="D4902" s="12"/>
      <c r="E4902" s="11">
        <v>4940.0</v>
      </c>
      <c r="F4902" s="2"/>
    </row>
    <row r="4903" ht="1.5" customHeight="1">
      <c r="A4903" s="4" t="str">
        <f>IFERROR(__xludf.DUMMYFUNCTION("""COMPUTED_VALUE"""),"4. Eggs, 5. Eraser")</f>
        <v>4. Eggs, 5. Eraser</v>
      </c>
      <c r="B4903" s="4" t="str">
        <f>IFERROR(__xludf.DUMMYFUNCTION("""COMPUTED_VALUE"""),"4, 5")</f>
        <v>4, 5</v>
      </c>
      <c r="C4903" s="5" t="str">
        <f>IFERROR(__xludf.DUMMYFUNCTION("""COMPUTED_VALUE"""),"https://drive.google.com/file/d/19ncckjma8AZV97ABd_h-ju1sMFhK0s47/view?usp=drivesdk")</f>
        <v>https://drive.google.com/file/d/19ncckjma8AZV97ABd_h-ju1sMFhK0s47/view?usp=drivesdk</v>
      </c>
      <c r="D4903" s="12"/>
      <c r="E4903" s="11">
        <v>4941.0</v>
      </c>
      <c r="F4903" s="2"/>
    </row>
    <row r="4904" ht="1.5" customHeight="1">
      <c r="A4904" s="4" t="str">
        <f>IFERROR(__xludf.DUMMYFUNCTION("""COMPUTED_VALUE"""),"1. Microwave")</f>
        <v>1. Microwave</v>
      </c>
      <c r="B4904" s="4" t="str">
        <f>IFERROR(__xludf.DUMMYFUNCTION("""COMPUTED_VALUE"""),"1")</f>
        <v>1</v>
      </c>
      <c r="C4904" s="5" t="str">
        <f>IFERROR(__xludf.DUMMYFUNCTION("""COMPUTED_VALUE"""),"https://drive.google.com/file/d/1E0kAf2MvfhMasqvFIGF-VpnEK_w6-Ckl/view?usp=drivesdk")</f>
        <v>https://drive.google.com/file/d/1E0kAf2MvfhMasqvFIGF-VpnEK_w6-Ckl/view?usp=drivesdk</v>
      </c>
      <c r="D4904" s="12"/>
      <c r="E4904" s="11">
        <v>4942.0</v>
      </c>
      <c r="F4904" s="2"/>
    </row>
    <row r="4905" ht="1.5" customHeight="1">
      <c r="A4905" s="4" t="str">
        <f>IFERROR(__xludf.DUMMYFUNCTION("""COMPUTED_VALUE"""),"2. Twix")</f>
        <v>2. Twix</v>
      </c>
      <c r="B4905" s="4" t="str">
        <f>IFERROR(__xludf.DUMMYFUNCTION("""COMPUTED_VALUE"""),"2")</f>
        <v>2</v>
      </c>
      <c r="C4905" s="5" t="str">
        <f>IFERROR(__xludf.DUMMYFUNCTION("""COMPUTED_VALUE"""),"https://drive.google.com/file/d/1RNbuToyMDCmkFzslKX5XqiRXiQy23JXq/view?usp=drivesdk")</f>
        <v>https://drive.google.com/file/d/1RNbuToyMDCmkFzslKX5XqiRXiQy23JXq/view?usp=drivesdk</v>
      </c>
      <c r="D4905" s="12"/>
      <c r="E4905" s="11">
        <v>4943.0</v>
      </c>
      <c r="F4905" s="2"/>
    </row>
    <row r="4906" ht="1.5" customHeight="1">
      <c r="A4906" s="4" t="str">
        <f>IFERROR(__xludf.DUMMYFUNCTION("""COMPUTED_VALUE"""),"8. Pencil")</f>
        <v>8. Pencil</v>
      </c>
      <c r="B4906" s="4" t="str">
        <f>IFERROR(__xludf.DUMMYFUNCTION("""COMPUTED_VALUE"""),"8")</f>
        <v>8</v>
      </c>
      <c r="C4906" s="5" t="str">
        <f>IFERROR(__xludf.DUMMYFUNCTION("""COMPUTED_VALUE"""),"https://drive.google.com/file/d/1ApwhyKr67zVVHyX3WNfA8hy7IxE3gSeC/view?usp=drivesdk")</f>
        <v>https://drive.google.com/file/d/1ApwhyKr67zVVHyX3WNfA8hy7IxE3gSeC/view?usp=drivesdk</v>
      </c>
      <c r="D4906" s="12"/>
      <c r="E4906" s="11">
        <v>4944.0</v>
      </c>
      <c r="F4906" s="2"/>
    </row>
    <row r="4907" ht="1.5" customHeight="1">
      <c r="A4907" s="4" t="str">
        <f>IFERROR(__xludf.DUMMYFUNCTION("""COMPUTED_VALUE"""),"8. Pencil")</f>
        <v>8. Pencil</v>
      </c>
      <c r="B4907" s="4" t="str">
        <f>IFERROR(__xludf.DUMMYFUNCTION("""COMPUTED_VALUE"""),"8")</f>
        <v>8</v>
      </c>
      <c r="C4907" s="5" t="str">
        <f>IFERROR(__xludf.DUMMYFUNCTION("""COMPUTED_VALUE"""),"https://drive.google.com/file/d/1_6j8sgLP4vAuHCsvNdsQCeLNdeeZHXah/view?usp=drivesdk")</f>
        <v>https://drive.google.com/file/d/1_6j8sgLP4vAuHCsvNdsQCeLNdeeZHXah/view?usp=drivesdk</v>
      </c>
      <c r="D4907" s="12"/>
      <c r="E4907" s="11">
        <v>4945.0</v>
      </c>
      <c r="F4907" s="2"/>
    </row>
    <row r="4908" ht="1.5" customHeight="1">
      <c r="A4908" s="4" t="str">
        <f>IFERROR(__xludf.DUMMYFUNCTION("""COMPUTED_VALUE"""),"8. Pencil")</f>
        <v>8. Pencil</v>
      </c>
      <c r="B4908" s="4" t="str">
        <f>IFERROR(__xludf.DUMMYFUNCTION("""COMPUTED_VALUE"""),"8")</f>
        <v>8</v>
      </c>
      <c r="C4908" s="5" t="str">
        <f>IFERROR(__xludf.DUMMYFUNCTION("""COMPUTED_VALUE"""),"https://drive.google.com/file/d/1BRashJXbQMP3ra0LwUV7kvhW0puGfacy/view?usp=drivesdk")</f>
        <v>https://drive.google.com/file/d/1BRashJXbQMP3ra0LwUV7kvhW0puGfacy/view?usp=drivesdk</v>
      </c>
      <c r="D4908" s="12"/>
      <c r="E4908" s="11">
        <v>4946.0</v>
      </c>
      <c r="F4908" s="2"/>
    </row>
    <row r="4909" ht="1.5" customHeight="1">
      <c r="A4909" s="4" t="str">
        <f>IFERROR(__xludf.DUMMYFUNCTION("""COMPUTED_VALUE"""),"8. Pencil")</f>
        <v>8. Pencil</v>
      </c>
      <c r="B4909" s="4" t="str">
        <f>IFERROR(__xludf.DUMMYFUNCTION("""COMPUTED_VALUE"""),"8")</f>
        <v>8</v>
      </c>
      <c r="C4909" s="5" t="str">
        <f>IFERROR(__xludf.DUMMYFUNCTION("""COMPUTED_VALUE"""),"https://drive.google.com/file/d/1daFoErkHnvx0AjrfniUP8pCcxjCRMkgO/view?usp=drivesdk")</f>
        <v>https://drive.google.com/file/d/1daFoErkHnvx0AjrfniUP8pCcxjCRMkgO/view?usp=drivesdk</v>
      </c>
      <c r="D4909" s="12"/>
      <c r="E4909" s="11">
        <v>4947.0</v>
      </c>
      <c r="F4909" s="2"/>
    </row>
    <row r="4910" ht="1.5" customHeight="1">
      <c r="A4910" s="4" t="str">
        <f>IFERROR(__xludf.DUMMYFUNCTION("""COMPUTED_VALUE"""),"0. NotACat")</f>
        <v>0. NotACat</v>
      </c>
      <c r="B4910" s="4" t="str">
        <f>IFERROR(__xludf.DUMMYFUNCTION("""COMPUTED_VALUE"""),"0")</f>
        <v>0</v>
      </c>
      <c r="C4910" s="5" t="str">
        <f>IFERROR(__xludf.DUMMYFUNCTION("""COMPUTED_VALUE"""),"https://drive.google.com/file/d/1Bn91rGohUbQlPd4_Wz-PRl62M6mxBrUG/view?usp=drivesdk")</f>
        <v>https://drive.google.com/file/d/1Bn91rGohUbQlPd4_Wz-PRl62M6mxBrUG/view?usp=drivesdk</v>
      </c>
      <c r="D4910" s="12"/>
      <c r="E4910" s="11">
        <v>4948.0</v>
      </c>
      <c r="F4910" s="2"/>
    </row>
    <row r="4911" ht="1.5" customHeight="1">
      <c r="A4911" s="4" t="str">
        <f>IFERROR(__xludf.DUMMYFUNCTION("""COMPUTED_VALUE"""),"1. Microwave")</f>
        <v>1. Microwave</v>
      </c>
      <c r="B4911" s="4" t="str">
        <f>IFERROR(__xludf.DUMMYFUNCTION("""COMPUTED_VALUE"""),"1")</f>
        <v>1</v>
      </c>
      <c r="C4911" s="5" t="str">
        <f>IFERROR(__xludf.DUMMYFUNCTION("""COMPUTED_VALUE"""),"https://drive.google.com/file/d/1rEcX77Id417r2iLt1BYZxR-nVpR4YSa9/view?usp=drivesdk")</f>
        <v>https://drive.google.com/file/d/1rEcX77Id417r2iLt1BYZxR-nVpR4YSa9/view?usp=drivesdk</v>
      </c>
      <c r="D4911" s="12"/>
      <c r="E4911" s="11">
        <v>4949.0</v>
      </c>
      <c r="F4911" s="2"/>
    </row>
    <row r="4912" ht="1.5" customHeight="1">
      <c r="A4912" s="4" t="str">
        <f>IFERROR(__xludf.DUMMYFUNCTION("""COMPUTED_VALUE"""),"1. Microwave")</f>
        <v>1. Microwave</v>
      </c>
      <c r="B4912" s="4" t="str">
        <f>IFERROR(__xludf.DUMMYFUNCTION("""COMPUTED_VALUE"""),"1")</f>
        <v>1</v>
      </c>
      <c r="C4912" s="5" t="str">
        <f>IFERROR(__xludf.DUMMYFUNCTION("""COMPUTED_VALUE"""),"https://drive.google.com/file/d/1-k0ZrL0tO58R6H__IyulJ3Nbh5ysNaZQ/view?usp=drivesdk")</f>
        <v>https://drive.google.com/file/d/1-k0ZrL0tO58R6H__IyulJ3Nbh5ysNaZQ/view?usp=drivesdk</v>
      </c>
      <c r="D4912" s="12"/>
      <c r="E4912" s="11">
        <v>4950.0</v>
      </c>
      <c r="F4912" s="2"/>
    </row>
    <row r="4913" ht="1.5" customHeight="1">
      <c r="A4913" s="4" t="str">
        <f>IFERROR(__xludf.DUMMYFUNCTION("""COMPUTED_VALUE"""),"0. NotACat")</f>
        <v>0. NotACat</v>
      </c>
      <c r="B4913" s="4" t="str">
        <f>IFERROR(__xludf.DUMMYFUNCTION("""COMPUTED_VALUE"""),"0")</f>
        <v>0</v>
      </c>
      <c r="C4913" s="5" t="str">
        <f>IFERROR(__xludf.DUMMYFUNCTION("""COMPUTED_VALUE"""),"https://drive.google.com/file/d/1qOJXjxq2bg-VaX7jrkKH4a4VUcU4JJ3f/view?usp=drivesdk")</f>
        <v>https://drive.google.com/file/d/1qOJXjxq2bg-VaX7jrkKH4a4VUcU4JJ3f/view?usp=drivesdk</v>
      </c>
      <c r="D4913" s="12"/>
      <c r="E4913" s="11">
        <v>4951.0</v>
      </c>
      <c r="F4913" s="2"/>
    </row>
    <row r="4914" ht="1.5" customHeight="1">
      <c r="A4914" s="4" t="str">
        <f>IFERROR(__xludf.DUMMYFUNCTION("""COMPUTED_VALUE"""),"0. NotACat")</f>
        <v>0. NotACat</v>
      </c>
      <c r="B4914" s="4" t="str">
        <f>IFERROR(__xludf.DUMMYFUNCTION("""COMPUTED_VALUE"""),"0")</f>
        <v>0</v>
      </c>
      <c r="C4914" s="5" t="str">
        <f>IFERROR(__xludf.DUMMYFUNCTION("""COMPUTED_VALUE"""),"https://drive.google.com/file/d/1sHJrsA7_R99WlBykNHKoLM0h_NZdu4CF/view?usp=drivesdk")</f>
        <v>https://drive.google.com/file/d/1sHJrsA7_R99WlBykNHKoLM0h_NZdu4CF/view?usp=drivesdk</v>
      </c>
      <c r="D4914" s="12"/>
      <c r="E4914" s="11">
        <v>4952.0</v>
      </c>
      <c r="F4914" s="2"/>
    </row>
    <row r="4915" ht="1.5" customHeight="1">
      <c r="A4915" s="4" t="str">
        <f>IFERROR(__xludf.DUMMYFUNCTION("""COMPUTED_VALUE"""),"0. NotACat")</f>
        <v>0. NotACat</v>
      </c>
      <c r="B4915" s="4" t="str">
        <f>IFERROR(__xludf.DUMMYFUNCTION("""COMPUTED_VALUE"""),"0")</f>
        <v>0</v>
      </c>
      <c r="C4915" s="5" t="str">
        <f>IFERROR(__xludf.DUMMYFUNCTION("""COMPUTED_VALUE"""),"https://drive.google.com/file/d/1nljreNxtTQ2ooyQ61Iy-sHs9jNovgLEv/view?usp=drivesdk")</f>
        <v>https://drive.google.com/file/d/1nljreNxtTQ2ooyQ61Iy-sHs9jNovgLEv/view?usp=drivesdk</v>
      </c>
      <c r="D4915" s="12"/>
      <c r="E4915" s="11">
        <v>4953.0</v>
      </c>
      <c r="F4915" s="2"/>
    </row>
    <row r="4916" ht="1.5" customHeight="1">
      <c r="A4916" s="4" t="str">
        <f>IFERROR(__xludf.DUMMYFUNCTION("""COMPUTED_VALUE"""),"0. NotACat")</f>
        <v>0. NotACat</v>
      </c>
      <c r="B4916" s="4" t="str">
        <f>IFERROR(__xludf.DUMMYFUNCTION("""COMPUTED_VALUE"""),"0")</f>
        <v>0</v>
      </c>
      <c r="C4916" s="5" t="str">
        <f>IFERROR(__xludf.DUMMYFUNCTION("""COMPUTED_VALUE"""),"https://drive.google.com/file/d/169ev-kFHr9jdZK4is4ZtAbOjqG3hrI9M/view?usp=drivesdk")</f>
        <v>https://drive.google.com/file/d/169ev-kFHr9jdZK4is4ZtAbOjqG3hrI9M/view?usp=drivesdk</v>
      </c>
      <c r="D4916" s="12"/>
      <c r="E4916" s="11">
        <v>4954.0</v>
      </c>
      <c r="F4916" s="2"/>
    </row>
    <row r="4917" ht="1.5" customHeight="1">
      <c r="A4917" s="4" t="str">
        <f>IFERROR(__xludf.DUMMYFUNCTION("""COMPUTED_VALUE"""),"0. NotACat")</f>
        <v>0. NotACat</v>
      </c>
      <c r="B4917" s="4" t="str">
        <f>IFERROR(__xludf.DUMMYFUNCTION("""COMPUTED_VALUE"""),"0")</f>
        <v>0</v>
      </c>
      <c r="C4917" s="5" t="str">
        <f>IFERROR(__xludf.DUMMYFUNCTION("""COMPUTED_VALUE"""),"https://drive.google.com/file/d/13_jQrKwRmHbsFjm46l1l5YrhWILH5Dqx/view?usp=drivesdk")</f>
        <v>https://drive.google.com/file/d/13_jQrKwRmHbsFjm46l1l5YrhWILH5Dqx/view?usp=drivesdk</v>
      </c>
      <c r="D4917" s="12"/>
      <c r="E4917" s="11">
        <v>4955.0</v>
      </c>
      <c r="F4917" s="2"/>
    </row>
    <row r="4918" ht="1.5" customHeight="1">
      <c r="A4918" s="4" t="str">
        <f>IFERROR(__xludf.DUMMYFUNCTION("""COMPUTED_VALUE"""),"0. NotACat")</f>
        <v>0. NotACat</v>
      </c>
      <c r="B4918" s="4" t="str">
        <f>IFERROR(__xludf.DUMMYFUNCTION("""COMPUTED_VALUE"""),"0")</f>
        <v>0</v>
      </c>
      <c r="C4918" s="5" t="str">
        <f>IFERROR(__xludf.DUMMYFUNCTION("""COMPUTED_VALUE"""),"https://drive.google.com/file/d/1LMS28mG4NqTWjq-tIrKfILPr4vvxbk-w/view?usp=drivesdk")</f>
        <v>https://drive.google.com/file/d/1LMS28mG4NqTWjq-tIrKfILPr4vvxbk-w/view?usp=drivesdk</v>
      </c>
      <c r="D4918" s="12"/>
      <c r="E4918" s="11">
        <v>4956.0</v>
      </c>
      <c r="F4918" s="2"/>
    </row>
    <row r="4919" ht="1.5" customHeight="1">
      <c r="A4919" s="4" t="str">
        <f>IFERROR(__xludf.DUMMYFUNCTION("""COMPUTED_VALUE"""),"0. NotACat")</f>
        <v>0. NotACat</v>
      </c>
      <c r="B4919" s="4" t="str">
        <f>IFERROR(__xludf.DUMMYFUNCTION("""COMPUTED_VALUE"""),"0")</f>
        <v>0</v>
      </c>
      <c r="C4919" s="5" t="str">
        <f>IFERROR(__xludf.DUMMYFUNCTION("""COMPUTED_VALUE"""),"https://drive.google.com/file/d/1I6y3xkabXgqr1dhGC4QCjYiPihF5fKPC/view?usp=drivesdk")</f>
        <v>https://drive.google.com/file/d/1I6y3xkabXgqr1dhGC4QCjYiPihF5fKPC/view?usp=drivesdk</v>
      </c>
      <c r="D4919" s="12"/>
      <c r="E4919" s="11">
        <v>4957.0</v>
      </c>
      <c r="F4919" s="2"/>
    </row>
    <row r="4920" ht="1.5" customHeight="1">
      <c r="A4920" s="4" t="str">
        <f>IFERROR(__xludf.DUMMYFUNCTION("""COMPUTED_VALUE"""),"0. NotACat")</f>
        <v>0. NotACat</v>
      </c>
      <c r="B4920" s="4" t="str">
        <f>IFERROR(__xludf.DUMMYFUNCTION("""COMPUTED_VALUE"""),"0")</f>
        <v>0</v>
      </c>
      <c r="C4920" s="5" t="str">
        <f>IFERROR(__xludf.DUMMYFUNCTION("""COMPUTED_VALUE"""),"https://drive.google.com/file/d/1FM0JqZTpAce8aHK3MNOvK5PyaGeYHad5/view?usp=drivesdk")</f>
        <v>https://drive.google.com/file/d/1FM0JqZTpAce8aHK3MNOvK5PyaGeYHad5/view?usp=drivesdk</v>
      </c>
      <c r="D4920" s="12"/>
      <c r="E4920" s="11">
        <v>4958.0</v>
      </c>
      <c r="F4920" s="2"/>
    </row>
    <row r="4921" ht="1.5" customHeight="1">
      <c r="A4921" s="4" t="str">
        <f>IFERROR(__xludf.DUMMYFUNCTION("""COMPUTED_VALUE"""),"0. NotACat")</f>
        <v>0. NotACat</v>
      </c>
      <c r="B4921" s="4" t="str">
        <f>IFERROR(__xludf.DUMMYFUNCTION("""COMPUTED_VALUE"""),"0")</f>
        <v>0</v>
      </c>
      <c r="C4921" s="5" t="str">
        <f>IFERROR(__xludf.DUMMYFUNCTION("""COMPUTED_VALUE"""),"https://drive.google.com/file/d/1NthXxfBOOHRFP2vu2AnxiMyMsPLSsMW8/view?usp=drivesdk")</f>
        <v>https://drive.google.com/file/d/1NthXxfBOOHRFP2vu2AnxiMyMsPLSsMW8/view?usp=drivesdk</v>
      </c>
      <c r="D4921" s="12"/>
      <c r="E4921" s="11">
        <v>4959.0</v>
      </c>
      <c r="F4921" s="2"/>
    </row>
    <row r="4922" ht="1.5" customHeight="1">
      <c r="A4922" s="4" t="str">
        <f>IFERROR(__xludf.DUMMYFUNCTION("""COMPUTED_VALUE"""),"0. NotACat")</f>
        <v>0. NotACat</v>
      </c>
      <c r="B4922" s="4" t="str">
        <f>IFERROR(__xludf.DUMMYFUNCTION("""COMPUTED_VALUE"""),"0")</f>
        <v>0</v>
      </c>
      <c r="C4922" s="5" t="str">
        <f>IFERROR(__xludf.DUMMYFUNCTION("""COMPUTED_VALUE"""),"https://drive.google.com/file/d/1HQ2go8Dg6DE9zBx596Wuh-xg9VcNrYkJ/view?usp=drivesdk")</f>
        <v>https://drive.google.com/file/d/1HQ2go8Dg6DE9zBx596Wuh-xg9VcNrYkJ/view?usp=drivesdk</v>
      </c>
      <c r="D4922" s="12"/>
      <c r="E4922" s="11">
        <v>4960.0</v>
      </c>
      <c r="F4922" s="2"/>
    </row>
    <row r="4923" ht="1.5" customHeight="1">
      <c r="A4923" s="4" t="str">
        <f>IFERROR(__xludf.DUMMYFUNCTION("""COMPUTED_VALUE"""),"0. NotACat")</f>
        <v>0. NotACat</v>
      </c>
      <c r="B4923" s="4" t="str">
        <f>IFERROR(__xludf.DUMMYFUNCTION("""COMPUTED_VALUE"""),"0")</f>
        <v>0</v>
      </c>
      <c r="C4923" s="5" t="str">
        <f>IFERROR(__xludf.DUMMYFUNCTION("""COMPUTED_VALUE"""),"https://drive.google.com/file/d/1rVH76jk3m6zV8DxWSTdX05ubYWTnyzdA/view?usp=drivesdk")</f>
        <v>https://drive.google.com/file/d/1rVH76jk3m6zV8DxWSTdX05ubYWTnyzdA/view?usp=drivesdk</v>
      </c>
      <c r="D4923" s="12"/>
      <c r="E4923" s="11">
        <v>4961.0</v>
      </c>
      <c r="F4923" s="2"/>
    </row>
    <row r="4924" ht="1.5" customHeight="1">
      <c r="A4924" s="4" t="str">
        <f>IFERROR(__xludf.DUMMYFUNCTION("""COMPUTED_VALUE"""),"0. NotACat")</f>
        <v>0. NotACat</v>
      </c>
      <c r="B4924" s="4" t="str">
        <f>IFERROR(__xludf.DUMMYFUNCTION("""COMPUTED_VALUE"""),"0")</f>
        <v>0</v>
      </c>
      <c r="C4924" s="5" t="str">
        <f>IFERROR(__xludf.DUMMYFUNCTION("""COMPUTED_VALUE"""),"https://drive.google.com/file/d/1BfnduRUVu_HynnQrBXaecLRfkpgOwa3W/view?usp=drivesdk")</f>
        <v>https://drive.google.com/file/d/1BfnduRUVu_HynnQrBXaecLRfkpgOwa3W/view?usp=drivesdk</v>
      </c>
      <c r="D4924" s="12"/>
      <c r="E4924" s="11">
        <v>4962.0</v>
      </c>
      <c r="F4924" s="2"/>
    </row>
    <row r="4925" ht="1.5" customHeight="1">
      <c r="A4925" s="4" t="str">
        <f>IFERROR(__xludf.DUMMYFUNCTION("""COMPUTED_VALUE"""),"0. NotACat")</f>
        <v>0. NotACat</v>
      </c>
      <c r="B4925" s="4" t="str">
        <f>IFERROR(__xludf.DUMMYFUNCTION("""COMPUTED_VALUE"""),"0")</f>
        <v>0</v>
      </c>
      <c r="C4925" s="5" t="str">
        <f>IFERROR(__xludf.DUMMYFUNCTION("""COMPUTED_VALUE"""),"https://drive.google.com/file/d/1yg_JGOXnupU7zkn0wOfalXTJSPmA8lNG/view?usp=drivesdk")</f>
        <v>https://drive.google.com/file/d/1yg_JGOXnupU7zkn0wOfalXTJSPmA8lNG/view?usp=drivesdk</v>
      </c>
      <c r="D4925" s="12"/>
      <c r="E4925" s="11">
        <v>4963.0</v>
      </c>
      <c r="F4925" s="2"/>
    </row>
    <row r="4926" ht="1.5" customHeight="1">
      <c r="A4926" s="4" t="str">
        <f>IFERROR(__xludf.DUMMYFUNCTION("""COMPUTED_VALUE"""),"0. NotACat")</f>
        <v>0. NotACat</v>
      </c>
      <c r="B4926" s="4" t="str">
        <f>IFERROR(__xludf.DUMMYFUNCTION("""COMPUTED_VALUE"""),"0")</f>
        <v>0</v>
      </c>
      <c r="C4926" s="5" t="str">
        <f>IFERROR(__xludf.DUMMYFUNCTION("""COMPUTED_VALUE"""),"https://drive.google.com/file/d/1ErbQB44o2f1PZxTxGK2wTT2Mpx1dJ5MD/view?usp=drivesdk")</f>
        <v>https://drive.google.com/file/d/1ErbQB44o2f1PZxTxGK2wTT2Mpx1dJ5MD/view?usp=drivesdk</v>
      </c>
      <c r="D4926" s="12"/>
      <c r="E4926" s="11">
        <v>4964.0</v>
      </c>
      <c r="F4926" s="2"/>
    </row>
    <row r="4927" ht="1.5" customHeight="1">
      <c r="A4927" s="4" t="str">
        <f>IFERROR(__xludf.DUMMYFUNCTION("""COMPUTED_VALUE"""),"1. Microwave")</f>
        <v>1. Microwave</v>
      </c>
      <c r="B4927" s="4" t="str">
        <f>IFERROR(__xludf.DUMMYFUNCTION("""COMPUTED_VALUE"""),"1")</f>
        <v>1</v>
      </c>
      <c r="C4927" s="5" t="str">
        <f>IFERROR(__xludf.DUMMYFUNCTION("""COMPUTED_VALUE"""),"https://drive.google.com/file/d/15mF9HScaVhlOZpkxDl8fuaoAUx5ueiY_/view?usp=drivesdk")</f>
        <v>https://drive.google.com/file/d/15mF9HScaVhlOZpkxDl8fuaoAUx5ueiY_/view?usp=drivesdk</v>
      </c>
      <c r="D4927" s="12"/>
      <c r="E4927" s="11">
        <v>4965.0</v>
      </c>
      <c r="F4927" s="2"/>
    </row>
    <row r="4928" ht="1.5" customHeight="1">
      <c r="A4928" s="4" t="str">
        <f>IFERROR(__xludf.DUMMYFUNCTION("""COMPUTED_VALUE"""),"1. Microwave")</f>
        <v>1. Microwave</v>
      </c>
      <c r="B4928" s="4" t="str">
        <f>IFERROR(__xludf.DUMMYFUNCTION("""COMPUTED_VALUE"""),"1")</f>
        <v>1</v>
      </c>
      <c r="C4928" s="5" t="str">
        <f>IFERROR(__xludf.DUMMYFUNCTION("""COMPUTED_VALUE"""),"https://drive.google.com/file/d/1akzph_llPOixsfrAbl16DqgMwT7yBu72/view?usp=drivesdk")</f>
        <v>https://drive.google.com/file/d/1akzph_llPOixsfrAbl16DqgMwT7yBu72/view?usp=drivesdk</v>
      </c>
      <c r="D4928" s="12"/>
      <c r="E4928" s="11">
        <v>4966.0</v>
      </c>
      <c r="F4928" s="2"/>
    </row>
    <row r="4929" ht="1.5" customHeight="1">
      <c r="A4929" s="4" t="str">
        <f>IFERROR(__xludf.DUMMYFUNCTION("""COMPUTED_VALUE"""),"1. Microwave")</f>
        <v>1. Microwave</v>
      </c>
      <c r="B4929" s="4" t="str">
        <f>IFERROR(__xludf.DUMMYFUNCTION("""COMPUTED_VALUE"""),"1")</f>
        <v>1</v>
      </c>
      <c r="C4929" s="5" t="str">
        <f>IFERROR(__xludf.DUMMYFUNCTION("""COMPUTED_VALUE"""),"https://drive.google.com/file/d/1502UC6JtSBN1-j7wy7kO06nK7QXrhy-I/view?usp=drivesdk")</f>
        <v>https://drive.google.com/file/d/1502UC6JtSBN1-j7wy7kO06nK7QXrhy-I/view?usp=drivesdk</v>
      </c>
      <c r="D4929" s="12"/>
      <c r="E4929" s="11">
        <v>4967.0</v>
      </c>
      <c r="F4929" s="2"/>
    </row>
    <row r="4930" ht="1.5" customHeight="1">
      <c r="A4930" s="4" t="str">
        <f>IFERROR(__xludf.DUMMYFUNCTION("""COMPUTED_VALUE"""),"1. Microwave")</f>
        <v>1. Microwave</v>
      </c>
      <c r="B4930" s="4" t="str">
        <f>IFERROR(__xludf.DUMMYFUNCTION("""COMPUTED_VALUE"""),"1")</f>
        <v>1</v>
      </c>
      <c r="C4930" s="5" t="str">
        <f>IFERROR(__xludf.DUMMYFUNCTION("""COMPUTED_VALUE"""),"https://drive.google.com/file/d/1ujiF34J5ghHR_mzZkIQRp9flhPbJetV3/view?usp=drivesdk")</f>
        <v>https://drive.google.com/file/d/1ujiF34J5ghHR_mzZkIQRp9flhPbJetV3/view?usp=drivesdk</v>
      </c>
      <c r="D4930" s="12"/>
      <c r="E4930" s="11">
        <v>4968.0</v>
      </c>
      <c r="F4930" s="2"/>
    </row>
    <row r="4931" ht="1.5" customHeight="1">
      <c r="A4931" s="4" t="str">
        <f>IFERROR(__xludf.DUMMYFUNCTION("""COMPUTED_VALUE"""),"1. Microwave")</f>
        <v>1. Microwave</v>
      </c>
      <c r="B4931" s="4" t="str">
        <f>IFERROR(__xludf.DUMMYFUNCTION("""COMPUTED_VALUE"""),"1")</f>
        <v>1</v>
      </c>
      <c r="C4931" s="5" t="str">
        <f>IFERROR(__xludf.DUMMYFUNCTION("""COMPUTED_VALUE"""),"https://drive.google.com/file/d/1B2_JBlNW5tVnHirOjjdVFnuxl1_USs5W/view?usp=drivesdk")</f>
        <v>https://drive.google.com/file/d/1B2_JBlNW5tVnHirOjjdVFnuxl1_USs5W/view?usp=drivesdk</v>
      </c>
      <c r="D4931" s="12"/>
      <c r="E4931" s="11">
        <v>4969.0</v>
      </c>
      <c r="F4931" s="2"/>
    </row>
    <row r="4932" ht="1.5" customHeight="1">
      <c r="A4932" s="4" t="str">
        <f>IFERROR(__xludf.DUMMYFUNCTION("""COMPUTED_VALUE"""),"4. Eggs")</f>
        <v>4. Eggs</v>
      </c>
      <c r="B4932" s="4" t="str">
        <f>IFERROR(__xludf.DUMMYFUNCTION("""COMPUTED_VALUE"""),"4")</f>
        <v>4</v>
      </c>
      <c r="C4932" s="5" t="str">
        <f>IFERROR(__xludf.DUMMYFUNCTION("""COMPUTED_VALUE"""),"https://drive.google.com/file/d/1DXvsvJ_P7YQIE_C976aLpZlxyNi-E7ON/view?usp=drivesdk")</f>
        <v>https://drive.google.com/file/d/1DXvsvJ_P7YQIE_C976aLpZlxyNi-E7ON/view?usp=drivesdk</v>
      </c>
      <c r="D4932" s="12"/>
      <c r="E4932" s="11">
        <v>4970.0</v>
      </c>
      <c r="F4932" s="2"/>
    </row>
    <row r="4933" ht="1.5" customHeight="1">
      <c r="A4933" s="4" t="str">
        <f>IFERROR(__xludf.DUMMYFUNCTION("""COMPUTED_VALUE"""),"5. Eraser")</f>
        <v>5. Eraser</v>
      </c>
      <c r="B4933" s="4" t="str">
        <f>IFERROR(__xludf.DUMMYFUNCTION("""COMPUTED_VALUE"""),"5")</f>
        <v>5</v>
      </c>
      <c r="C4933" s="5" t="str">
        <f>IFERROR(__xludf.DUMMYFUNCTION("""COMPUTED_VALUE"""),"https://drive.google.com/file/d/1pP0Y6nebM0BB01XQKWBHsJWToFdkaSqF/view?usp=drivesdk")</f>
        <v>https://drive.google.com/file/d/1pP0Y6nebM0BB01XQKWBHsJWToFdkaSqF/view?usp=drivesdk</v>
      </c>
      <c r="D4933" s="12"/>
      <c r="E4933" s="11">
        <v>4971.0</v>
      </c>
      <c r="F4933" s="2"/>
    </row>
    <row r="4934" ht="1.5" customHeight="1">
      <c r="A4934" s="4" t="str">
        <f>IFERROR(__xludf.DUMMYFUNCTION("""COMPUTED_VALUE"""),"4. Eggs")</f>
        <v>4. Eggs</v>
      </c>
      <c r="B4934" s="4" t="str">
        <f>IFERROR(__xludf.DUMMYFUNCTION("""COMPUTED_VALUE"""),"4")</f>
        <v>4</v>
      </c>
      <c r="C4934" s="5" t="str">
        <f>IFERROR(__xludf.DUMMYFUNCTION("""COMPUTED_VALUE"""),"https://drive.google.com/file/d/1XShJyulF2u7mC3jZPLFLKp4UIvS1PaIh/view?usp=drivesdk")</f>
        <v>https://drive.google.com/file/d/1XShJyulF2u7mC3jZPLFLKp4UIvS1PaIh/view?usp=drivesdk</v>
      </c>
      <c r="D4934" s="12"/>
      <c r="E4934" s="11">
        <v>4972.0</v>
      </c>
      <c r="F4934" s="2"/>
    </row>
    <row r="4935" ht="1.5" customHeight="1">
      <c r="A4935" s="4" t="str">
        <f>IFERROR(__xludf.DUMMYFUNCTION("""COMPUTED_VALUE"""),"45. Boots, 41. Gregory, 47. Nefarious, 42. Rubber")</f>
        <v>45. Boots, 41. Gregory, 47. Nefarious, 42. Rubber</v>
      </c>
      <c r="B4935" s="4" t="str">
        <f>IFERROR(__xludf.DUMMYFUNCTION("""COMPUTED_VALUE"""),"45, 41, 47, 42")</f>
        <v>45, 41, 47, 42</v>
      </c>
      <c r="C4935" s="5" t="str">
        <f>IFERROR(__xludf.DUMMYFUNCTION("""COMPUTED_VALUE"""),"https://drive.google.com/file/d/17jdp7CAyic5HK-mNeCFsf4ZeKUarWe-w/view?usp=drivesdk")</f>
        <v>https://drive.google.com/file/d/17jdp7CAyic5HK-mNeCFsf4ZeKUarWe-w/view?usp=drivesdk</v>
      </c>
      <c r="D4935" s="12"/>
      <c r="E4935" s="11">
        <v>4973.0</v>
      </c>
      <c r="F4935" s="2"/>
    </row>
    <row r="4936" ht="1.5" customHeight="1">
      <c r="A4936" s="4" t="str">
        <f>IFERROR(__xludf.DUMMYFUNCTION("""COMPUTED_VALUE"""),"41. Gregory, 42. Rubber, 88. Vincente, 58. Eden, 47. Nefarious, 39. Radar, 45. Boots")</f>
        <v>41. Gregory, 42. Rubber, 88. Vincente, 58. Eden, 47. Nefarious, 39. Radar, 45. Boots</v>
      </c>
      <c r="B4936" s="4" t="str">
        <f>IFERROR(__xludf.DUMMYFUNCTION("""COMPUTED_VALUE"""),"41, 42, 88, 58, 47, 39, 45")</f>
        <v>41, 42, 88, 58, 47, 39, 45</v>
      </c>
      <c r="C4936" s="5" t="str">
        <f>IFERROR(__xludf.DUMMYFUNCTION("""COMPUTED_VALUE"""),"https://drive.google.com/file/d/15rUnMblRM7RMsoMsmBQQ0kjsYR50AmrU/view?usp=drivesdk")</f>
        <v>https://drive.google.com/file/d/15rUnMblRM7RMsoMsmBQQ0kjsYR50AmrU/view?usp=drivesdk</v>
      </c>
      <c r="D4936" s="12"/>
      <c r="E4936" s="11">
        <v>4974.0</v>
      </c>
      <c r="F4936" s="2"/>
    </row>
    <row r="4937" ht="1.5" customHeight="1">
      <c r="A4937" s="4" t="str">
        <f>IFERROR(__xludf.DUMMYFUNCTION("""COMPUTED_VALUE"""),"44. Shitbag Cuntface, 61. Cassie")</f>
        <v>44. Shitbag Cuntface, 61. Cassie</v>
      </c>
      <c r="B4937" s="4" t="str">
        <f>IFERROR(__xludf.DUMMYFUNCTION("""COMPUTED_VALUE"""),"44, 61")</f>
        <v>44, 61</v>
      </c>
      <c r="C4937" s="5" t="str">
        <f>IFERROR(__xludf.DUMMYFUNCTION("""COMPUTED_VALUE"""),"https://drive.google.com/file/d/1xb79q6q7y7SquwxiRm0DuxiQvKBL3lDX/view?usp=drivesdk")</f>
        <v>https://drive.google.com/file/d/1xb79q6q7y7SquwxiRm0DuxiQvKBL3lDX/view?usp=drivesdk</v>
      </c>
      <c r="D4937" s="12"/>
      <c r="E4937" s="11">
        <v>4975.0</v>
      </c>
      <c r="F4937" s="2"/>
    </row>
    <row r="4938" ht="1.5" customHeight="1">
      <c r="A4938" s="4" t="str">
        <f>IFERROR(__xludf.DUMMYFUNCTION("""COMPUTED_VALUE"""),"44. Shitbag Cuntface, 61. Cassie")</f>
        <v>44. Shitbag Cuntface, 61. Cassie</v>
      </c>
      <c r="B4938" s="4" t="str">
        <f>IFERROR(__xludf.DUMMYFUNCTION("""COMPUTED_VALUE"""),"44, 61")</f>
        <v>44, 61</v>
      </c>
      <c r="C4938" s="5" t="str">
        <f>IFERROR(__xludf.DUMMYFUNCTION("""COMPUTED_VALUE"""),"https://drive.google.com/file/d/1uoNV0zS-dEDKTqtl2lU2cxr-Sd-uaAeg/view?usp=drivesdk")</f>
        <v>https://drive.google.com/file/d/1uoNV0zS-dEDKTqtl2lU2cxr-Sd-uaAeg/view?usp=drivesdk</v>
      </c>
      <c r="D4938" s="12"/>
      <c r="E4938" s="11">
        <v>4976.0</v>
      </c>
      <c r="F4938" s="2"/>
    </row>
    <row r="4939" ht="1.5" customHeight="1">
      <c r="A4939" s="4" t="str">
        <f>IFERROR(__xludf.DUMMYFUNCTION("""COMPUTED_VALUE"""),"62. Gorygreg, 42. Rubber, 88. Vincente")</f>
        <v>62. Gorygreg, 42. Rubber, 88. Vincente</v>
      </c>
      <c r="B4939" s="4" t="str">
        <f>IFERROR(__xludf.DUMMYFUNCTION("""COMPUTED_VALUE"""),"62, 42, 88")</f>
        <v>62, 42, 88</v>
      </c>
      <c r="C4939" s="5" t="str">
        <f>IFERROR(__xludf.DUMMYFUNCTION("""COMPUTED_VALUE"""),"https://drive.google.com/file/d/1vGrmUjzzFAnB4XjuQcEHBm0zZL3_8Aac/view?usp=drivesdk")</f>
        <v>https://drive.google.com/file/d/1vGrmUjzzFAnB4XjuQcEHBm0zZL3_8Aac/view?usp=drivesdk</v>
      </c>
      <c r="D4939" s="12"/>
      <c r="E4939" s="11">
        <v>4977.0</v>
      </c>
      <c r="F4939" s="2"/>
    </row>
    <row r="4940" ht="1.5" customHeight="1">
      <c r="A4940" s="4" t="str">
        <f>IFERROR(__xludf.DUMMYFUNCTION("""COMPUTED_VALUE"""),"62. Gorygreg, 42. Rubber, 58. Eden, 88. Vincente, 38. Winston, 44. Shitbag Cuntface")</f>
        <v>62. Gorygreg, 42. Rubber, 58. Eden, 88. Vincente, 38. Winston, 44. Shitbag Cuntface</v>
      </c>
      <c r="B4940" s="4" t="str">
        <f>IFERROR(__xludf.DUMMYFUNCTION("""COMPUTED_VALUE"""),"62, 42, 58, 88, 38, 44")</f>
        <v>62, 42, 58, 88, 38, 44</v>
      </c>
      <c r="C4940" s="5" t="str">
        <f>IFERROR(__xludf.DUMMYFUNCTION("""COMPUTED_VALUE"""),"https://drive.google.com/file/d/1RSWI7Fb9AMmEv_7uzawFylSUgdKJ4UTe/view?usp=drivesdk")</f>
        <v>https://drive.google.com/file/d/1RSWI7Fb9AMmEv_7uzawFylSUgdKJ4UTe/view?usp=drivesdk</v>
      </c>
      <c r="D4940" s="12"/>
      <c r="E4940" s="11">
        <v>4978.0</v>
      </c>
      <c r="F4940" s="2"/>
    </row>
    <row r="4941" ht="1.5" customHeight="1">
      <c r="A4941" s="4" t="str">
        <f>IFERROR(__xludf.DUMMYFUNCTION("""COMPUTED_VALUE"""),"42. Rubber, 58. Eden, 88. Vincente, 44. Shitbag Cuntface, 61. Cassie")</f>
        <v>42. Rubber, 58. Eden, 88. Vincente, 44. Shitbag Cuntface, 61. Cassie</v>
      </c>
      <c r="B4941" s="4" t="str">
        <f>IFERROR(__xludf.DUMMYFUNCTION("""COMPUTED_VALUE"""),"42, 58, 88, 44, 61")</f>
        <v>42, 58, 88, 44, 61</v>
      </c>
      <c r="C4941" s="5" t="str">
        <f>IFERROR(__xludf.DUMMYFUNCTION("""COMPUTED_VALUE"""),"https://drive.google.com/file/d/12YBSzccKUoZLHt8Mub8fb1ItXGsNOGWE/view?usp=drivesdk")</f>
        <v>https://drive.google.com/file/d/12YBSzccKUoZLHt8Mub8fb1ItXGsNOGWE/view?usp=drivesdk</v>
      </c>
      <c r="D4941" s="12"/>
      <c r="E4941" s="11">
        <v>4979.0</v>
      </c>
      <c r="F4941" s="2"/>
    </row>
    <row r="4942" ht="1.5" customHeight="1">
      <c r="A4942" s="4" t="str">
        <f>IFERROR(__xludf.DUMMYFUNCTION("""COMPUTED_VALUE"""),"42. Rubber")</f>
        <v>42. Rubber</v>
      </c>
      <c r="B4942" s="4" t="str">
        <f>IFERROR(__xludf.DUMMYFUNCTION("""COMPUTED_VALUE"""),"42")</f>
        <v>42</v>
      </c>
      <c r="C4942" s="5" t="str">
        <f>IFERROR(__xludf.DUMMYFUNCTION("""COMPUTED_VALUE"""),"https://drive.google.com/file/d/1VKW7DMJVQeT0odvbW7nUEXmf-l-8q05f/view?usp=drivesdk")</f>
        <v>https://drive.google.com/file/d/1VKW7DMJVQeT0odvbW7nUEXmf-l-8q05f/view?usp=drivesdk</v>
      </c>
      <c r="D4942" s="12"/>
      <c r="E4942" s="11">
        <v>4980.0</v>
      </c>
      <c r="F4942" s="2"/>
    </row>
    <row r="4943" ht="1.5" customHeight="1">
      <c r="A4943" s="4" t="str">
        <f>IFERROR(__xludf.DUMMYFUNCTION("""COMPUTED_VALUE"""),"58. Eden, 42. Rubber, 40. Dumpster")</f>
        <v>58. Eden, 42. Rubber, 40. Dumpster</v>
      </c>
      <c r="B4943" s="4" t="str">
        <f>IFERROR(__xludf.DUMMYFUNCTION("""COMPUTED_VALUE"""),"58, 42, 40")</f>
        <v>58, 42, 40</v>
      </c>
      <c r="C4943" s="5" t="str">
        <f>IFERROR(__xludf.DUMMYFUNCTION("""COMPUTED_VALUE"""),"https://drive.google.com/file/d/1YZTAN2oHQv86xZaebr5g5Kvdv_zSgALH/view?usp=drivesdk")</f>
        <v>https://drive.google.com/file/d/1YZTAN2oHQv86xZaebr5g5Kvdv_zSgALH/view?usp=drivesdk</v>
      </c>
      <c r="D4943" s="12"/>
      <c r="E4943" s="11">
        <v>4981.0</v>
      </c>
      <c r="F4943" s="2"/>
    </row>
    <row r="4944" ht="1.5" customHeight="1">
      <c r="A4944" s="4" t="str">
        <f>IFERROR(__xludf.DUMMYFUNCTION("""COMPUTED_VALUE"""),"94. Itztli")</f>
        <v>94. Itztli</v>
      </c>
      <c r="B4944" s="4" t="str">
        <f>IFERROR(__xludf.DUMMYFUNCTION("""COMPUTED_VALUE"""),"94")</f>
        <v>94</v>
      </c>
      <c r="C4944" s="5" t="str">
        <f>IFERROR(__xludf.DUMMYFUNCTION("""COMPUTED_VALUE"""),"https://drive.google.com/file/d/1G_j0if4uneNUmsSVDdoOn7azkDqsIyX0/view?usp=drivesdk")</f>
        <v>https://drive.google.com/file/d/1G_j0if4uneNUmsSVDdoOn7azkDqsIyX0/view?usp=drivesdk</v>
      </c>
      <c r="D4944" s="12"/>
      <c r="E4944" s="11">
        <v>4982.0</v>
      </c>
      <c r="F4944" s="2"/>
    </row>
    <row r="4945" ht="1.5" customHeight="1">
      <c r="A4945" s="4" t="str">
        <f>IFERROR(__xludf.DUMMYFUNCTION("""COMPUTED_VALUE"""),"94. Itztli")</f>
        <v>94. Itztli</v>
      </c>
      <c r="B4945" s="4" t="str">
        <f>IFERROR(__xludf.DUMMYFUNCTION("""COMPUTED_VALUE"""),"94")</f>
        <v>94</v>
      </c>
      <c r="C4945" s="5" t="str">
        <f>IFERROR(__xludf.DUMMYFUNCTION("""COMPUTED_VALUE"""),"https://drive.google.com/file/d/16dh8VSw-jCreP83nDlJ8D2TdMd5QidaB/view?usp=drivesdk")</f>
        <v>https://drive.google.com/file/d/16dh8VSw-jCreP83nDlJ8D2TdMd5QidaB/view?usp=drivesdk</v>
      </c>
      <c r="D4945" s="12"/>
      <c r="E4945" s="11">
        <v>4983.0</v>
      </c>
      <c r="F4945" s="2"/>
    </row>
    <row r="4946" ht="1.5" customHeight="1">
      <c r="A4946" s="4" t="str">
        <f>IFERROR(__xludf.DUMMYFUNCTION("""COMPUTED_VALUE"""),"94. Itztli")</f>
        <v>94. Itztli</v>
      </c>
      <c r="B4946" s="4" t="str">
        <f>IFERROR(__xludf.DUMMYFUNCTION("""COMPUTED_VALUE"""),"94")</f>
        <v>94</v>
      </c>
      <c r="C4946" s="5" t="str">
        <f>IFERROR(__xludf.DUMMYFUNCTION("""COMPUTED_VALUE"""),"https://drive.google.com/file/d/1v90Nn9X3vRE-yR3YzU0yBVu0_HlME1px/view?usp=drivesdk")</f>
        <v>https://drive.google.com/file/d/1v90Nn9X3vRE-yR3YzU0yBVu0_HlME1px/view?usp=drivesdk</v>
      </c>
      <c r="D4946" s="12"/>
      <c r="E4946" s="11">
        <v>4984.0</v>
      </c>
      <c r="F4946" s="2"/>
    </row>
    <row r="4947" ht="1.5" customHeight="1">
      <c r="A4947" s="4" t="str">
        <f>IFERROR(__xludf.DUMMYFUNCTION("""COMPUTED_VALUE"""),"92. Cloudy")</f>
        <v>92. Cloudy</v>
      </c>
      <c r="B4947" s="4" t="str">
        <f>IFERROR(__xludf.DUMMYFUNCTION("""COMPUTED_VALUE"""),"92")</f>
        <v>92</v>
      </c>
      <c r="C4947" s="5" t="str">
        <f>IFERROR(__xludf.DUMMYFUNCTION("""COMPUTED_VALUE"""),"https://drive.google.com/file/d/1O1P7dsNvYr5jDiFZ3KIepdqSrzWJzcam/view?usp=drivesdk")</f>
        <v>https://drive.google.com/file/d/1O1P7dsNvYr5jDiFZ3KIepdqSrzWJzcam/view?usp=drivesdk</v>
      </c>
      <c r="D4947" s="12"/>
      <c r="E4947" s="11">
        <v>4985.0</v>
      </c>
      <c r="F4947" s="2"/>
    </row>
    <row r="4948" ht="1.5" customHeight="1">
      <c r="A4948" s="4" t="str">
        <f>IFERROR(__xludf.DUMMYFUNCTION("""COMPUTED_VALUE"""),"0. NotACat")</f>
        <v>0. NotACat</v>
      </c>
      <c r="B4948" s="4" t="str">
        <f>IFERROR(__xludf.DUMMYFUNCTION("""COMPUTED_VALUE"""),"0")</f>
        <v>0</v>
      </c>
      <c r="C4948" s="5" t="str">
        <f>IFERROR(__xludf.DUMMYFUNCTION("""COMPUTED_VALUE"""),"https://drive.google.com/file/d/1py4szi4CHtTRncGTuCU25uhl6LA05Oif/view?usp=drivesdk")</f>
        <v>https://drive.google.com/file/d/1py4szi4CHtTRncGTuCU25uhl6LA05Oif/view?usp=drivesdk</v>
      </c>
      <c r="D4948" s="12"/>
      <c r="E4948" s="11">
        <v>4986.0</v>
      </c>
      <c r="F4948" s="2"/>
    </row>
    <row r="4949" ht="1.5" customHeight="1">
      <c r="A4949" s="4" t="str">
        <f>IFERROR(__xludf.DUMMYFUNCTION("""COMPUTED_VALUE"""),"29. Ginger")</f>
        <v>29. Ginger</v>
      </c>
      <c r="B4949" s="4" t="str">
        <f>IFERROR(__xludf.DUMMYFUNCTION("""COMPUTED_VALUE"""),"29")</f>
        <v>29</v>
      </c>
      <c r="C4949" s="5" t="str">
        <f>IFERROR(__xludf.DUMMYFUNCTION("""COMPUTED_VALUE"""),"https://drive.google.com/file/d/1dARRMshqjmz7GV-iJ0_5JYat7sLsHv08/view?usp=drivesdk")</f>
        <v>https://drive.google.com/file/d/1dARRMshqjmz7GV-iJ0_5JYat7sLsHv08/view?usp=drivesdk</v>
      </c>
      <c r="D4949" s="12"/>
      <c r="E4949" s="11">
        <v>4987.0</v>
      </c>
      <c r="F4949" s="2"/>
    </row>
    <row r="4950" ht="1.5" customHeight="1">
      <c r="A4950" s="4" t="str">
        <f>IFERROR(__xludf.DUMMYFUNCTION("""COMPUTED_VALUE"""),"29. Ginger")</f>
        <v>29. Ginger</v>
      </c>
      <c r="B4950" s="4" t="str">
        <f>IFERROR(__xludf.DUMMYFUNCTION("""COMPUTED_VALUE"""),"29")</f>
        <v>29</v>
      </c>
      <c r="C4950" s="5" t="str">
        <f>IFERROR(__xludf.DUMMYFUNCTION("""COMPUTED_VALUE"""),"https://drive.google.com/file/d/1WItkHMDAi9Ph0Cnk7O_uja6-hTp35tjD/view?usp=drivesdk")</f>
        <v>https://drive.google.com/file/d/1WItkHMDAi9Ph0Cnk7O_uja6-hTp35tjD/view?usp=drivesdk</v>
      </c>
      <c r="D4950" s="12"/>
      <c r="E4950" s="11">
        <v>4988.0</v>
      </c>
      <c r="F4950" s="2"/>
    </row>
    <row r="4951" ht="1.5" customHeight="1">
      <c r="A4951" s="4" t="str">
        <f>IFERROR(__xludf.DUMMYFUNCTION("""COMPUTED_VALUE"""),"27. Angel, 30. Pepper")</f>
        <v>27. Angel, 30. Pepper</v>
      </c>
      <c r="B4951" s="4" t="str">
        <f>IFERROR(__xludf.DUMMYFUNCTION("""COMPUTED_VALUE"""),"27, 30")</f>
        <v>27, 30</v>
      </c>
      <c r="C4951" s="5" t="str">
        <f>IFERROR(__xludf.DUMMYFUNCTION("""COMPUTED_VALUE"""),"https://drive.google.com/file/d/1f91u_bMgQBxJj9uZmV7oQnqXPESBVSh5/view?usp=drivesdk")</f>
        <v>https://drive.google.com/file/d/1f91u_bMgQBxJj9uZmV7oQnqXPESBVSh5/view?usp=drivesdk</v>
      </c>
      <c r="D4951" s="12"/>
      <c r="E4951" s="11">
        <v>4989.0</v>
      </c>
      <c r="F4951" s="2"/>
    </row>
    <row r="4952" ht="1.5" customHeight="1">
      <c r="A4952" s="4" t="str">
        <f>IFERROR(__xludf.DUMMYFUNCTION("""COMPUTED_VALUE"""),"0. NotACat")</f>
        <v>0. NotACat</v>
      </c>
      <c r="B4952" s="4" t="str">
        <f>IFERROR(__xludf.DUMMYFUNCTION("""COMPUTED_VALUE"""),"0")</f>
        <v>0</v>
      </c>
      <c r="C4952" s="5" t="str">
        <f>IFERROR(__xludf.DUMMYFUNCTION("""COMPUTED_VALUE"""),"https://drive.google.com/file/d/1gmcddS-HZU0FdxMrgPbutjr7t1hl8X3W/view?usp=drivesdk")</f>
        <v>https://drive.google.com/file/d/1gmcddS-HZU0FdxMrgPbutjr7t1hl8X3W/view?usp=drivesdk</v>
      </c>
      <c r="D4952" s="12"/>
      <c r="E4952" s="11">
        <v>4990.0</v>
      </c>
      <c r="F4952" s="2"/>
    </row>
    <row r="4953" ht="1.5" customHeight="1">
      <c r="A4953" s="4" t="str">
        <f>IFERROR(__xludf.DUMMYFUNCTION("""COMPUTED_VALUE"""),"0. NotACat")</f>
        <v>0. NotACat</v>
      </c>
      <c r="B4953" s="4" t="str">
        <f>IFERROR(__xludf.DUMMYFUNCTION("""COMPUTED_VALUE"""),"0")</f>
        <v>0</v>
      </c>
      <c r="C4953" s="5" t="str">
        <f>IFERROR(__xludf.DUMMYFUNCTION("""COMPUTED_VALUE"""),"https://drive.google.com/file/d/1BFEirZL_mnhjdZMp3UOVIIDS36_llBXB/view?usp=drivesdk")</f>
        <v>https://drive.google.com/file/d/1BFEirZL_mnhjdZMp3UOVIIDS36_llBXB/view?usp=drivesdk</v>
      </c>
      <c r="D4953" s="12"/>
      <c r="E4953" s="11">
        <v>4991.0</v>
      </c>
      <c r="F4953" s="2"/>
    </row>
    <row r="4954" ht="1.5" customHeight="1">
      <c r="A4954" s="4" t="str">
        <f>IFERROR(__xludf.DUMMYFUNCTION("""COMPUTED_VALUE"""),"1. Microwave")</f>
        <v>1. Microwave</v>
      </c>
      <c r="B4954" s="4" t="str">
        <f>IFERROR(__xludf.DUMMYFUNCTION("""COMPUTED_VALUE"""),"1")</f>
        <v>1</v>
      </c>
      <c r="C4954" s="5" t="str">
        <f>IFERROR(__xludf.DUMMYFUNCTION("""COMPUTED_VALUE"""),"https://drive.google.com/file/d/1W1CxKVLv-Z5b0jK3xogWAYuCZxK4z_IP/view?usp=drivesdk")</f>
        <v>https://drive.google.com/file/d/1W1CxKVLv-Z5b0jK3xogWAYuCZxK4z_IP/view?usp=drivesdk</v>
      </c>
      <c r="D4954" s="12"/>
      <c r="E4954" s="11">
        <v>4992.0</v>
      </c>
      <c r="F4954" s="2"/>
    </row>
    <row r="4955" ht="1.5" customHeight="1">
      <c r="A4955" s="4" t="str">
        <f>IFERROR(__xludf.DUMMYFUNCTION("""COMPUTED_VALUE"""),"1. Microwave")</f>
        <v>1. Microwave</v>
      </c>
      <c r="B4955" s="4" t="str">
        <f>IFERROR(__xludf.DUMMYFUNCTION("""COMPUTED_VALUE"""),"1")</f>
        <v>1</v>
      </c>
      <c r="C4955" s="5" t="str">
        <f>IFERROR(__xludf.DUMMYFUNCTION("""COMPUTED_VALUE"""),"https://drive.google.com/file/d/13zweuZ-W3NX86FP_hsR8EqQ1w8nIv1VL/view?usp=drivesdk")</f>
        <v>https://drive.google.com/file/d/13zweuZ-W3NX86FP_hsR8EqQ1w8nIv1VL/view?usp=drivesdk</v>
      </c>
      <c r="D4955" s="12"/>
      <c r="E4955" s="11">
        <v>4993.0</v>
      </c>
      <c r="F4955" s="2"/>
    </row>
    <row r="4956" ht="1.5" customHeight="1">
      <c r="A4956" s="4" t="str">
        <f>IFERROR(__xludf.DUMMYFUNCTION("""COMPUTED_VALUE"""),"1. Microwave")</f>
        <v>1. Microwave</v>
      </c>
      <c r="B4956" s="4" t="str">
        <f>IFERROR(__xludf.DUMMYFUNCTION("""COMPUTED_VALUE"""),"1")</f>
        <v>1</v>
      </c>
      <c r="C4956" s="5" t="str">
        <f>IFERROR(__xludf.DUMMYFUNCTION("""COMPUTED_VALUE"""),"https://drive.google.com/file/d/1HMWnVA33-9oUrmZsB_2mbtKAfhnOutWN/view?usp=drivesdk")</f>
        <v>https://drive.google.com/file/d/1HMWnVA33-9oUrmZsB_2mbtKAfhnOutWN/view?usp=drivesdk</v>
      </c>
      <c r="D4956" s="12"/>
      <c r="E4956" s="11">
        <v>4994.0</v>
      </c>
      <c r="F4956" s="2"/>
    </row>
    <row r="4957" ht="1.5" customHeight="1">
      <c r="A4957" s="4" t="str">
        <f>IFERROR(__xludf.DUMMYFUNCTION("""COMPUTED_VALUE"""),"1. Microwave")</f>
        <v>1. Microwave</v>
      </c>
      <c r="B4957" s="4" t="str">
        <f>IFERROR(__xludf.DUMMYFUNCTION("""COMPUTED_VALUE"""),"1")</f>
        <v>1</v>
      </c>
      <c r="C4957" s="5" t="str">
        <f>IFERROR(__xludf.DUMMYFUNCTION("""COMPUTED_VALUE"""),"https://drive.google.com/file/d/1NVmFJMsuFMtvSj0oNtW6P5SeqZBvsZ5O/view?usp=drivesdk")</f>
        <v>https://drive.google.com/file/d/1NVmFJMsuFMtvSj0oNtW6P5SeqZBvsZ5O/view?usp=drivesdk</v>
      </c>
      <c r="D4957" s="12"/>
      <c r="E4957" s="11">
        <v>4995.0</v>
      </c>
      <c r="F4957" s="2"/>
    </row>
    <row r="4958" ht="1.5" customHeight="1">
      <c r="A4958" s="4" t="str">
        <f>IFERROR(__xludf.DUMMYFUNCTION("""COMPUTED_VALUE"""),"1. Microwave")</f>
        <v>1. Microwave</v>
      </c>
      <c r="B4958" s="4" t="str">
        <f>IFERROR(__xludf.DUMMYFUNCTION("""COMPUTED_VALUE"""),"1")</f>
        <v>1</v>
      </c>
      <c r="C4958" s="5" t="str">
        <f>IFERROR(__xludf.DUMMYFUNCTION("""COMPUTED_VALUE"""),"https://drive.google.com/file/d/171uQw_PgX3B937KOrMC-xHnAjBpugBvz/view?usp=drivesdk")</f>
        <v>https://drive.google.com/file/d/171uQw_PgX3B937KOrMC-xHnAjBpugBvz/view?usp=drivesdk</v>
      </c>
      <c r="D4958" s="12"/>
      <c r="E4958" s="11">
        <v>4996.0</v>
      </c>
      <c r="F4958" s="2"/>
    </row>
    <row r="4959" ht="1.5" customHeight="1">
      <c r="A4959" s="4" t="str">
        <f>IFERROR(__xludf.DUMMYFUNCTION("""COMPUTED_VALUE"""),"1. Microwave")</f>
        <v>1. Microwave</v>
      </c>
      <c r="B4959" s="4" t="str">
        <f>IFERROR(__xludf.DUMMYFUNCTION("""COMPUTED_VALUE"""),"1")</f>
        <v>1</v>
      </c>
      <c r="C4959" s="5" t="str">
        <f>IFERROR(__xludf.DUMMYFUNCTION("""COMPUTED_VALUE"""),"https://drive.google.com/file/d/11GsmOvxiLuRy31byfSE_wfSKNrTiU7xa/view?usp=drivesdk")</f>
        <v>https://drive.google.com/file/d/11GsmOvxiLuRy31byfSE_wfSKNrTiU7xa/view?usp=drivesdk</v>
      </c>
      <c r="D4959" s="12"/>
      <c r="E4959" s="11">
        <v>4997.0</v>
      </c>
      <c r="F4959" s="2"/>
    </row>
    <row r="4960" ht="1.5" customHeight="1">
      <c r="A4960" s="4" t="str">
        <f>IFERROR(__xludf.DUMMYFUNCTION("""COMPUTED_VALUE"""),"2. Twix")</f>
        <v>2. Twix</v>
      </c>
      <c r="B4960" s="4" t="str">
        <f>IFERROR(__xludf.DUMMYFUNCTION("""COMPUTED_VALUE"""),"2")</f>
        <v>2</v>
      </c>
      <c r="C4960" s="5" t="str">
        <f>IFERROR(__xludf.DUMMYFUNCTION("""COMPUTED_VALUE"""),"https://drive.google.com/file/d/14ARPowMTnozbAU2V_pWfZSVTPkU48hCC/view?usp=drivesdk")</f>
        <v>https://drive.google.com/file/d/14ARPowMTnozbAU2V_pWfZSVTPkU48hCC/view?usp=drivesdk</v>
      </c>
      <c r="D4960" s="12"/>
      <c r="E4960" s="11">
        <v>4998.0</v>
      </c>
      <c r="F4960" s="2"/>
    </row>
    <row r="4961" ht="1.5" customHeight="1">
      <c r="A4961" s="4" t="str">
        <f>IFERROR(__xludf.DUMMYFUNCTION("""COMPUTED_VALUE"""),"2. Twix")</f>
        <v>2. Twix</v>
      </c>
      <c r="B4961" s="4" t="str">
        <f>IFERROR(__xludf.DUMMYFUNCTION("""COMPUTED_VALUE"""),"2")</f>
        <v>2</v>
      </c>
      <c r="C4961" s="5" t="str">
        <f>IFERROR(__xludf.DUMMYFUNCTION("""COMPUTED_VALUE"""),"https://drive.google.com/file/d/1WOFapDl7PtiFGq_dkzj0zq1x36nibFPm/view?usp=drivesdk")</f>
        <v>https://drive.google.com/file/d/1WOFapDl7PtiFGq_dkzj0zq1x36nibFPm/view?usp=drivesdk</v>
      </c>
      <c r="D4961" s="12"/>
      <c r="E4961" s="11">
        <v>4999.0</v>
      </c>
      <c r="F4961" s="2"/>
    </row>
    <row r="4962" ht="1.5" customHeight="1">
      <c r="A4962" s="4" t="str">
        <f>IFERROR(__xludf.DUMMYFUNCTION("""COMPUTED_VALUE"""),"2. Twix")</f>
        <v>2. Twix</v>
      </c>
      <c r="B4962" s="4" t="str">
        <f>IFERROR(__xludf.DUMMYFUNCTION("""COMPUTED_VALUE"""),"2")</f>
        <v>2</v>
      </c>
      <c r="C4962" s="5" t="str">
        <f>IFERROR(__xludf.DUMMYFUNCTION("""COMPUTED_VALUE"""),"https://drive.google.com/file/d/1ccybxyPMsuG778uyMeZt33Ez7-rOO8FK/view?usp=drivesdk")</f>
        <v>https://drive.google.com/file/d/1ccybxyPMsuG778uyMeZt33Ez7-rOO8FK/view?usp=drivesdk</v>
      </c>
      <c r="D4962" s="12"/>
      <c r="E4962" s="11">
        <v>5000.0</v>
      </c>
      <c r="F4962" s="2"/>
    </row>
    <row r="4963" ht="1.5" customHeight="1">
      <c r="A4963" s="4" t="str">
        <f>IFERROR(__xludf.DUMMYFUNCTION("""COMPUTED_VALUE"""),"2. Twix")</f>
        <v>2. Twix</v>
      </c>
      <c r="B4963" s="4" t="str">
        <f>IFERROR(__xludf.DUMMYFUNCTION("""COMPUTED_VALUE"""),"2")</f>
        <v>2</v>
      </c>
      <c r="C4963" s="5" t="str">
        <f>IFERROR(__xludf.DUMMYFUNCTION("""COMPUTED_VALUE"""),"https://drive.google.com/file/d/16w-W6oBTHolYBJD1Ted13QcQKWIMvfkg/view?usp=drivesdk")</f>
        <v>https://drive.google.com/file/d/16w-W6oBTHolYBJD1Ted13QcQKWIMvfkg/view?usp=drivesdk</v>
      </c>
      <c r="D4963" s="12"/>
      <c r="E4963" s="11">
        <v>5001.0</v>
      </c>
      <c r="F4963" s="2"/>
    </row>
    <row r="4964" ht="1.5" customHeight="1">
      <c r="A4964" s="4" t="str">
        <f>IFERROR(__xludf.DUMMYFUNCTION("""COMPUTED_VALUE"""),"2. Twix")</f>
        <v>2. Twix</v>
      </c>
      <c r="B4964" s="4" t="str">
        <f>IFERROR(__xludf.DUMMYFUNCTION("""COMPUTED_VALUE"""),"2")</f>
        <v>2</v>
      </c>
      <c r="C4964" s="5" t="str">
        <f>IFERROR(__xludf.DUMMYFUNCTION("""COMPUTED_VALUE"""),"https://drive.google.com/file/d/1m_wBlz3O1biYFcCjLEfFhzWAZGopkSNO/view?usp=drivesdk")</f>
        <v>https://drive.google.com/file/d/1m_wBlz3O1biYFcCjLEfFhzWAZGopkSNO/view?usp=drivesdk</v>
      </c>
      <c r="D4964" s="12"/>
      <c r="E4964" s="11">
        <v>5002.0</v>
      </c>
      <c r="F4964" s="2"/>
    </row>
    <row r="4965" ht="1.5" customHeight="1">
      <c r="A4965" s="4" t="str">
        <f>IFERROR(__xludf.DUMMYFUNCTION("""COMPUTED_VALUE"""),"2. Twix")</f>
        <v>2. Twix</v>
      </c>
      <c r="B4965" s="4" t="str">
        <f>IFERROR(__xludf.DUMMYFUNCTION("""COMPUTED_VALUE"""),"2")</f>
        <v>2</v>
      </c>
      <c r="C4965" s="5" t="str">
        <f>IFERROR(__xludf.DUMMYFUNCTION("""COMPUTED_VALUE"""),"https://drive.google.com/file/d/1uc-shQ8KEPuv3LDP7chCNDWzdiiyeB6N/view?usp=drivesdk")</f>
        <v>https://drive.google.com/file/d/1uc-shQ8KEPuv3LDP7chCNDWzdiiyeB6N/view?usp=drivesdk</v>
      </c>
      <c r="D4965" s="12"/>
      <c r="E4965" s="11">
        <v>5003.0</v>
      </c>
      <c r="F4965" s="2"/>
    </row>
    <row r="4966" ht="1.5" customHeight="1">
      <c r="A4966" s="4" t="str">
        <f>IFERROR(__xludf.DUMMYFUNCTION("""COMPUTED_VALUE"""),"2. Twix")</f>
        <v>2. Twix</v>
      </c>
      <c r="B4966" s="4" t="str">
        <f>IFERROR(__xludf.DUMMYFUNCTION("""COMPUTED_VALUE"""),"2")</f>
        <v>2</v>
      </c>
      <c r="C4966" s="5" t="str">
        <f>IFERROR(__xludf.DUMMYFUNCTION("""COMPUTED_VALUE"""),"https://drive.google.com/file/d/1AMq4TUTJKbV4hsCmnUORfoFYu3tohZ6v/view?usp=drivesdk")</f>
        <v>https://drive.google.com/file/d/1AMq4TUTJKbV4hsCmnUORfoFYu3tohZ6v/view?usp=drivesdk</v>
      </c>
      <c r="D4966" s="12"/>
      <c r="E4966" s="11">
        <v>5004.0</v>
      </c>
      <c r="F4966" s="2"/>
    </row>
    <row r="4967" ht="1.5" customHeight="1">
      <c r="A4967" s="4" t="str">
        <f>IFERROR(__xludf.DUMMYFUNCTION("""COMPUTED_VALUE"""),"1. Microwave")</f>
        <v>1. Microwave</v>
      </c>
      <c r="B4967" s="4" t="str">
        <f>IFERROR(__xludf.DUMMYFUNCTION("""COMPUTED_VALUE"""),"1")</f>
        <v>1</v>
      </c>
      <c r="C4967" s="5" t="str">
        <f>IFERROR(__xludf.DUMMYFUNCTION("""COMPUTED_VALUE"""),"https://drive.google.com/file/d/1LNMGccpeJ3w_SoGo89JXhhn9K5T8eBSw/view?usp=drivesdk")</f>
        <v>https://drive.google.com/file/d/1LNMGccpeJ3w_SoGo89JXhhn9K5T8eBSw/view?usp=drivesdk</v>
      </c>
      <c r="D4967" s="12"/>
      <c r="E4967" s="11">
        <v>5005.0</v>
      </c>
      <c r="F4967" s="2"/>
    </row>
    <row r="4968" ht="1.5" customHeight="1">
      <c r="A4968" s="4" t="str">
        <f>IFERROR(__xludf.DUMMYFUNCTION("""COMPUTED_VALUE"""),"0. NotACat")</f>
        <v>0. NotACat</v>
      </c>
      <c r="B4968" s="4" t="str">
        <f>IFERROR(__xludf.DUMMYFUNCTION("""COMPUTED_VALUE"""),"0")</f>
        <v>0</v>
      </c>
      <c r="C4968" s="5" t="str">
        <f>IFERROR(__xludf.DUMMYFUNCTION("""COMPUTED_VALUE"""),"https://drive.google.com/file/d/1jHZCPEJU_nHAMZnzVtcUfbJX8wSHXWjc/view?usp=drivesdk")</f>
        <v>https://drive.google.com/file/d/1jHZCPEJU_nHAMZnzVtcUfbJX8wSHXWjc/view?usp=drivesdk</v>
      </c>
      <c r="D4968" s="12"/>
      <c r="E4968" s="11">
        <v>5006.0</v>
      </c>
      <c r="F4968" s="2"/>
    </row>
    <row r="4969" ht="1.5" customHeight="1">
      <c r="A4969" s="4" t="str">
        <f>IFERROR(__xludf.DUMMYFUNCTION("""COMPUTED_VALUE"""),"5. Eraser")</f>
        <v>5. Eraser</v>
      </c>
      <c r="B4969" s="4" t="str">
        <f>IFERROR(__xludf.DUMMYFUNCTION("""COMPUTED_VALUE"""),"5")</f>
        <v>5</v>
      </c>
      <c r="C4969" s="5" t="str">
        <f>IFERROR(__xludf.DUMMYFUNCTION("""COMPUTED_VALUE"""),"https://drive.google.com/file/d/1LkQ4qGO-516T1kjsHpo66U1sjh0L6Htq/view?usp=drivesdk")</f>
        <v>https://drive.google.com/file/d/1LkQ4qGO-516T1kjsHpo66U1sjh0L6Htq/view?usp=drivesdk</v>
      </c>
      <c r="D4969" s="12"/>
      <c r="E4969" s="11">
        <v>5007.0</v>
      </c>
      <c r="F4969" s="2"/>
    </row>
    <row r="4970" ht="1.5" customHeight="1">
      <c r="A4970" s="4" t="str">
        <f>IFERROR(__xludf.DUMMYFUNCTION("""COMPUTED_VALUE"""),"4. Eggs")</f>
        <v>4. Eggs</v>
      </c>
      <c r="B4970" s="4" t="str">
        <f>IFERROR(__xludf.DUMMYFUNCTION("""COMPUTED_VALUE"""),"4")</f>
        <v>4</v>
      </c>
      <c r="C4970" s="5" t="str">
        <f>IFERROR(__xludf.DUMMYFUNCTION("""COMPUTED_VALUE"""),"https://drive.google.com/file/d/1HibcGrN5zuzwb3EQf0LT3a0KJCFk9w7O/view?usp=drivesdk")</f>
        <v>https://drive.google.com/file/d/1HibcGrN5zuzwb3EQf0LT3a0KJCFk9w7O/view?usp=drivesdk</v>
      </c>
      <c r="D4970" s="12"/>
      <c r="E4970" s="11">
        <v>5008.0</v>
      </c>
      <c r="F4970" s="2"/>
    </row>
    <row r="4971" ht="1.5" customHeight="1">
      <c r="A4971" s="4" t="str">
        <f>IFERROR(__xludf.DUMMYFUNCTION("""COMPUTED_VALUE"""),"2. Twix")</f>
        <v>2. Twix</v>
      </c>
      <c r="B4971" s="4" t="str">
        <f>IFERROR(__xludf.DUMMYFUNCTION("""COMPUTED_VALUE"""),"2")</f>
        <v>2</v>
      </c>
      <c r="C4971" s="5" t="str">
        <f>IFERROR(__xludf.DUMMYFUNCTION("""COMPUTED_VALUE"""),"https://drive.google.com/file/d/1HKII-eETuFykcgrmHJgrYnd9tCMm7Ngf/view?usp=drivesdk")</f>
        <v>https://drive.google.com/file/d/1HKII-eETuFykcgrmHJgrYnd9tCMm7Ngf/view?usp=drivesdk</v>
      </c>
      <c r="D4971" s="12"/>
      <c r="E4971" s="11">
        <v>5009.0</v>
      </c>
      <c r="F4971" s="2"/>
    </row>
    <row r="4972" ht="1.5" customHeight="1">
      <c r="A4972" s="4" t="str">
        <f>IFERROR(__xludf.DUMMYFUNCTION("""COMPUTED_VALUE"""),"1. Microwave")</f>
        <v>1. Microwave</v>
      </c>
      <c r="B4972" s="4" t="str">
        <f>IFERROR(__xludf.DUMMYFUNCTION("""COMPUTED_VALUE"""),"1")</f>
        <v>1</v>
      </c>
      <c r="C4972" s="5" t="str">
        <f>IFERROR(__xludf.DUMMYFUNCTION("""COMPUTED_VALUE"""),"https://drive.google.com/file/d/1DOMUSo4Fjw2QFSMwE028_3qE_SxbJvJE/view?usp=drivesdk")</f>
        <v>https://drive.google.com/file/d/1DOMUSo4Fjw2QFSMwE028_3qE_SxbJvJE/view?usp=drivesdk</v>
      </c>
      <c r="D4972" s="12"/>
      <c r="E4972" s="11">
        <v>5010.0</v>
      </c>
      <c r="F4972" s="2"/>
    </row>
    <row r="4973" ht="1.5" customHeight="1">
      <c r="A4973" s="4" t="str">
        <f>IFERROR(__xludf.DUMMYFUNCTION("""COMPUTED_VALUE"""),"1. Microwave")</f>
        <v>1. Microwave</v>
      </c>
      <c r="B4973" s="4" t="str">
        <f>IFERROR(__xludf.DUMMYFUNCTION("""COMPUTED_VALUE"""),"1")</f>
        <v>1</v>
      </c>
      <c r="C4973" s="5" t="str">
        <f>IFERROR(__xludf.DUMMYFUNCTION("""COMPUTED_VALUE"""),"https://drive.google.com/file/d/1ZSUXKqOfuOim37B3wfhXynuG2jafW_TY/view?usp=drivesdk")</f>
        <v>https://drive.google.com/file/d/1ZSUXKqOfuOim37B3wfhXynuG2jafW_TY/view?usp=drivesdk</v>
      </c>
      <c r="D4973" s="12"/>
      <c r="E4973" s="11">
        <v>5011.0</v>
      </c>
      <c r="F4973" s="2"/>
    </row>
    <row r="4974" ht="1.5" customHeight="1">
      <c r="A4974" s="4" t="str">
        <f>IFERROR(__xludf.DUMMYFUNCTION("""COMPUTED_VALUE"""),"35. Stove")</f>
        <v>35. Stove</v>
      </c>
      <c r="B4974" s="4" t="str">
        <f>IFERROR(__xludf.DUMMYFUNCTION("""COMPUTED_VALUE"""),"35")</f>
        <v>35</v>
      </c>
      <c r="C4974" s="5" t="str">
        <f>IFERROR(__xludf.DUMMYFUNCTION("""COMPUTED_VALUE"""),"https://drive.google.com/file/d/1NUq6Pp2HdAthj908mgqRUmrKuVf_kXg1/view?usp=drivesdk")</f>
        <v>https://drive.google.com/file/d/1NUq6Pp2HdAthj908mgqRUmrKuVf_kXg1/view?usp=drivesdk</v>
      </c>
      <c r="D4974" s="12"/>
      <c r="E4974" s="11">
        <v>5012.0</v>
      </c>
      <c r="F4974" s="2"/>
    </row>
    <row r="4975" ht="1.5" customHeight="1">
      <c r="A4975" s="4" t="str">
        <f>IFERROR(__xludf.DUMMYFUNCTION("""COMPUTED_VALUE"""),"59. Creamsicle")</f>
        <v>59. Creamsicle</v>
      </c>
      <c r="B4975" s="4" t="str">
        <f>IFERROR(__xludf.DUMMYFUNCTION("""COMPUTED_VALUE"""),"59")</f>
        <v>59</v>
      </c>
      <c r="C4975" s="5" t="str">
        <f>IFERROR(__xludf.DUMMYFUNCTION("""COMPUTED_VALUE"""),"https://drive.google.com/file/d/1koAljCPPS8aGJvKtTOJEZLdDob4n2U2r/view?usp=drivesdk")</f>
        <v>https://drive.google.com/file/d/1koAljCPPS8aGJvKtTOJEZLdDob4n2U2r/view?usp=drivesdk</v>
      </c>
      <c r="D4975" s="12"/>
      <c r="E4975" s="11">
        <v>5013.0</v>
      </c>
      <c r="F4975" s="2"/>
    </row>
    <row r="4976" ht="1.5" customHeight="1">
      <c r="A4976" s="4" t="str">
        <f>IFERROR(__xludf.DUMMYFUNCTION("""COMPUTED_VALUE"""),"59. Creamsicle")</f>
        <v>59. Creamsicle</v>
      </c>
      <c r="B4976" s="4" t="str">
        <f>IFERROR(__xludf.DUMMYFUNCTION("""COMPUTED_VALUE"""),"59")</f>
        <v>59</v>
      </c>
      <c r="C4976" s="5" t="str">
        <f>IFERROR(__xludf.DUMMYFUNCTION("""COMPUTED_VALUE"""),"https://drive.google.com/file/d/1NZjN7ARVm-OPEpm61WqvLUMzM-cWTtTr/view?usp=drivesdk")</f>
        <v>https://drive.google.com/file/d/1NZjN7ARVm-OPEpm61WqvLUMzM-cWTtTr/view?usp=drivesdk</v>
      </c>
      <c r="D4976" s="12"/>
      <c r="E4976" s="11">
        <v>5014.0</v>
      </c>
      <c r="F4976" s="2"/>
    </row>
    <row r="4977" ht="1.5" customHeight="1">
      <c r="A4977" s="4" t="str">
        <f>IFERROR(__xludf.DUMMYFUNCTION("""COMPUTED_VALUE"""),"59. Creamsicle")</f>
        <v>59. Creamsicle</v>
      </c>
      <c r="B4977" s="4" t="str">
        <f>IFERROR(__xludf.DUMMYFUNCTION("""COMPUTED_VALUE"""),"59")</f>
        <v>59</v>
      </c>
      <c r="C4977" s="5" t="str">
        <f>IFERROR(__xludf.DUMMYFUNCTION("""COMPUTED_VALUE"""),"https://drive.google.com/file/d/1fBIZyi2E4hV6GLPFVVEbVK0IfXNhtb31/view?usp=drivesdk")</f>
        <v>https://drive.google.com/file/d/1fBIZyi2E4hV6GLPFVVEbVK0IfXNhtb31/view?usp=drivesdk</v>
      </c>
      <c r="D4977" s="12"/>
      <c r="E4977" s="11">
        <v>5015.0</v>
      </c>
      <c r="F4977" s="2"/>
    </row>
    <row r="4978" ht="1.5" customHeight="1">
      <c r="A4978" s="4" t="str">
        <f>IFERROR(__xludf.DUMMYFUNCTION("""COMPUTED_VALUE"""),"60. Redacted")</f>
        <v>60. Redacted</v>
      </c>
      <c r="B4978" s="4" t="str">
        <f>IFERROR(__xludf.DUMMYFUNCTION("""COMPUTED_VALUE"""),"60")</f>
        <v>60</v>
      </c>
      <c r="C4978" s="5" t="str">
        <f>IFERROR(__xludf.DUMMYFUNCTION("""COMPUTED_VALUE"""),"https://drive.google.com/file/d/1152CVsvbiIqTH3p26LnAi1hfhlWJFanf/view?usp=drivesdk")</f>
        <v>https://drive.google.com/file/d/1152CVsvbiIqTH3p26LnAi1hfhlWJFanf/view?usp=drivesdk</v>
      </c>
      <c r="D4978" s="12"/>
      <c r="E4978" s="11">
        <v>5016.0</v>
      </c>
      <c r="F4978" s="2"/>
    </row>
    <row r="4979" ht="1.5" customHeight="1">
      <c r="A4979" s="4" t="str">
        <f>IFERROR(__xludf.DUMMYFUNCTION("""COMPUTED_VALUE"""),"1. Microwave")</f>
        <v>1. Microwave</v>
      </c>
      <c r="B4979" s="4" t="str">
        <f>IFERROR(__xludf.DUMMYFUNCTION("""COMPUTED_VALUE"""),"1")</f>
        <v>1</v>
      </c>
      <c r="C4979" s="5" t="str">
        <f>IFERROR(__xludf.DUMMYFUNCTION("""COMPUTED_VALUE"""),"https://drive.google.com/file/d/1-pPaiXig97UJNVY-KCC8tTSaDsqHbzbW/view?usp=drivesdk")</f>
        <v>https://drive.google.com/file/d/1-pPaiXig97UJNVY-KCC8tTSaDsqHbzbW/view?usp=drivesdk</v>
      </c>
      <c r="D4979" s="12"/>
      <c r="E4979" s="11">
        <v>5017.0</v>
      </c>
      <c r="F4979" s="2"/>
    </row>
    <row r="4980" ht="1.5" customHeight="1">
      <c r="A4980" s="4" t="str">
        <f>IFERROR(__xludf.DUMMYFUNCTION("""COMPUTED_VALUE"""),"1. Microwave")</f>
        <v>1. Microwave</v>
      </c>
      <c r="B4980" s="4" t="str">
        <f>IFERROR(__xludf.DUMMYFUNCTION("""COMPUTED_VALUE"""),"1")</f>
        <v>1</v>
      </c>
      <c r="C4980" s="5" t="str">
        <f>IFERROR(__xludf.DUMMYFUNCTION("""COMPUTED_VALUE"""),"https://drive.google.com/file/d/1FJw7FjcZySUSnmEi6303ZpanFjRJ-cyb/view?usp=drivesdk")</f>
        <v>https://drive.google.com/file/d/1FJw7FjcZySUSnmEi6303ZpanFjRJ-cyb/view?usp=drivesdk</v>
      </c>
      <c r="D4980" s="12"/>
      <c r="E4980" s="11">
        <v>5018.0</v>
      </c>
      <c r="F4980" s="2"/>
    </row>
    <row r="4981" ht="1.5" customHeight="1">
      <c r="A4981" s="4" t="str">
        <f>IFERROR(__xludf.DUMMYFUNCTION("""COMPUTED_VALUE"""),"0. NotACat")</f>
        <v>0. NotACat</v>
      </c>
      <c r="B4981" s="4" t="str">
        <f>IFERROR(__xludf.DUMMYFUNCTION("""COMPUTED_VALUE"""),"0")</f>
        <v>0</v>
      </c>
      <c r="C4981" s="5" t="str">
        <f>IFERROR(__xludf.DUMMYFUNCTION("""COMPUTED_VALUE"""),"https://drive.google.com/file/d/1lv2Q1XEGD6HPJ6Cgl4bQ2jO1oc_55scd/view?usp=drivesdk")</f>
        <v>https://drive.google.com/file/d/1lv2Q1XEGD6HPJ6Cgl4bQ2jO1oc_55scd/view?usp=drivesdk</v>
      </c>
      <c r="D4981" s="12"/>
      <c r="E4981" s="11">
        <v>5019.0</v>
      </c>
      <c r="F4981" s="2"/>
    </row>
    <row r="4982" ht="1.5" customHeight="1">
      <c r="A4982" s="4" t="str">
        <f>IFERROR(__xludf.DUMMYFUNCTION("""COMPUTED_VALUE"""),"1. Microwave")</f>
        <v>1. Microwave</v>
      </c>
      <c r="B4982" s="4" t="str">
        <f>IFERROR(__xludf.DUMMYFUNCTION("""COMPUTED_VALUE"""),"1")</f>
        <v>1</v>
      </c>
      <c r="C4982" s="5" t="str">
        <f>IFERROR(__xludf.DUMMYFUNCTION("""COMPUTED_VALUE"""),"https://drive.google.com/file/d/1btRwonAuaH81He4xqsKZSLHtncP5pPwG/view?usp=drivesdk")</f>
        <v>https://drive.google.com/file/d/1btRwonAuaH81He4xqsKZSLHtncP5pPwG/view?usp=drivesdk</v>
      </c>
      <c r="D4982" s="12"/>
      <c r="E4982" s="11">
        <v>5020.0</v>
      </c>
      <c r="F4982" s="2"/>
    </row>
    <row r="4983" ht="1.5" customHeight="1">
      <c r="A4983" s="4" t="str">
        <f>IFERROR(__xludf.DUMMYFUNCTION("""COMPUTED_VALUE"""),"0. NotACat")</f>
        <v>0. NotACat</v>
      </c>
      <c r="B4983" s="4" t="str">
        <f>IFERROR(__xludf.DUMMYFUNCTION("""COMPUTED_VALUE"""),"0")</f>
        <v>0</v>
      </c>
      <c r="C4983" s="5" t="str">
        <f>IFERROR(__xludf.DUMMYFUNCTION("""COMPUTED_VALUE"""),"https://drive.google.com/file/d/1mZvL45OB2SHp5PHcno4Gsl-xdG_pOVZk/view?usp=drivesdk")</f>
        <v>https://drive.google.com/file/d/1mZvL45OB2SHp5PHcno4Gsl-xdG_pOVZk/view?usp=drivesdk</v>
      </c>
      <c r="D4983" s="12"/>
      <c r="E4983" s="11">
        <v>5021.0</v>
      </c>
      <c r="F4983" s="2"/>
    </row>
    <row r="4984" ht="1.5" customHeight="1">
      <c r="A4984" s="4" t="str">
        <f>IFERROR(__xludf.DUMMYFUNCTION("""COMPUTED_VALUE"""),"1. Microwave")</f>
        <v>1. Microwave</v>
      </c>
      <c r="B4984" s="4" t="str">
        <f>IFERROR(__xludf.DUMMYFUNCTION("""COMPUTED_VALUE"""),"1")</f>
        <v>1</v>
      </c>
      <c r="C4984" s="5" t="str">
        <f>IFERROR(__xludf.DUMMYFUNCTION("""COMPUTED_VALUE"""),"https://drive.google.com/file/d/1S4IpiN5b-j2a6yk968-eL-LJLYWxGIQJ/view?usp=drivesdk")</f>
        <v>https://drive.google.com/file/d/1S4IpiN5b-j2a6yk968-eL-LJLYWxGIQJ/view?usp=drivesdk</v>
      </c>
      <c r="D4984" s="12"/>
      <c r="E4984" s="11">
        <v>5022.0</v>
      </c>
      <c r="F4984" s="2"/>
    </row>
    <row r="4985" ht="1.5" customHeight="1">
      <c r="A4985" s="4" t="str">
        <f>IFERROR(__xludf.DUMMYFUNCTION("""COMPUTED_VALUE"""),"1. Microwave")</f>
        <v>1. Microwave</v>
      </c>
      <c r="B4985" s="4" t="str">
        <f>IFERROR(__xludf.DUMMYFUNCTION("""COMPUTED_VALUE"""),"1")</f>
        <v>1</v>
      </c>
      <c r="C4985" s="5" t="str">
        <f>IFERROR(__xludf.DUMMYFUNCTION("""COMPUTED_VALUE"""),"https://drive.google.com/file/d/1k444MBixTlrpCunnKI4wApenjKBYu9sT/view?usp=drivesdk")</f>
        <v>https://drive.google.com/file/d/1k444MBixTlrpCunnKI4wApenjKBYu9sT/view?usp=drivesdk</v>
      </c>
      <c r="D4985" s="12"/>
      <c r="E4985" s="11">
        <v>5023.0</v>
      </c>
      <c r="F4985" s="2"/>
    </row>
    <row r="4986" ht="1.5" customHeight="1">
      <c r="A4986" s="4" t="str">
        <f>IFERROR(__xludf.DUMMYFUNCTION("""COMPUTED_VALUE"""),"1. Microwave")</f>
        <v>1. Microwave</v>
      </c>
      <c r="B4986" s="4" t="str">
        <f>IFERROR(__xludf.DUMMYFUNCTION("""COMPUTED_VALUE"""),"1")</f>
        <v>1</v>
      </c>
      <c r="C4986" s="5" t="str">
        <f>IFERROR(__xludf.DUMMYFUNCTION("""COMPUTED_VALUE"""),"https://drive.google.com/file/d/1DsIfu3mQFhw9WQ3V88tFItUtSM38JPhz/view?usp=drivesdk")</f>
        <v>https://drive.google.com/file/d/1DsIfu3mQFhw9WQ3V88tFItUtSM38JPhz/view?usp=drivesdk</v>
      </c>
      <c r="D4986" s="12"/>
      <c r="E4986" s="11">
        <v>5024.0</v>
      </c>
      <c r="F4986" s="2"/>
    </row>
    <row r="4987" ht="1.5" customHeight="1">
      <c r="A4987" s="4" t="str">
        <f>IFERROR(__xludf.DUMMYFUNCTION("""COMPUTED_VALUE"""),"1. Microwave")</f>
        <v>1. Microwave</v>
      </c>
      <c r="B4987" s="4" t="str">
        <f>IFERROR(__xludf.DUMMYFUNCTION("""COMPUTED_VALUE"""),"1")</f>
        <v>1</v>
      </c>
      <c r="C4987" s="5" t="str">
        <f>IFERROR(__xludf.DUMMYFUNCTION("""COMPUTED_VALUE"""),"https://drive.google.com/file/d/1OAXB5bXphGbFGmCRo7JIvlkHe-WVA4dI/view?usp=drivesdk")</f>
        <v>https://drive.google.com/file/d/1OAXB5bXphGbFGmCRo7JIvlkHe-WVA4dI/view?usp=drivesdk</v>
      </c>
      <c r="D4987" s="12"/>
      <c r="E4987" s="11">
        <v>5025.0</v>
      </c>
      <c r="F4987" s="2"/>
    </row>
    <row r="4988" ht="1.5" customHeight="1">
      <c r="A4988" s="4" t="str">
        <f>IFERROR(__xludf.DUMMYFUNCTION("""COMPUTED_VALUE"""),"1. Microwave")</f>
        <v>1. Microwave</v>
      </c>
      <c r="B4988" s="4" t="str">
        <f>IFERROR(__xludf.DUMMYFUNCTION("""COMPUTED_VALUE"""),"1")</f>
        <v>1</v>
      </c>
      <c r="C4988" s="5" t="str">
        <f>IFERROR(__xludf.DUMMYFUNCTION("""COMPUTED_VALUE"""),"https://drive.google.com/file/d/1_vF8exN_ZTdhsx87MuHMBEri67O4xi2z/view?usp=drivesdk")</f>
        <v>https://drive.google.com/file/d/1_vF8exN_ZTdhsx87MuHMBEri67O4xi2z/view?usp=drivesdk</v>
      </c>
      <c r="D4988" s="12"/>
      <c r="E4988" s="11">
        <v>5026.0</v>
      </c>
      <c r="F4988" s="2"/>
    </row>
    <row r="4989" ht="1.5" customHeight="1">
      <c r="A4989" s="4" t="str">
        <f>IFERROR(__xludf.DUMMYFUNCTION("""COMPUTED_VALUE"""),"1. Microwave")</f>
        <v>1. Microwave</v>
      </c>
      <c r="B4989" s="4" t="str">
        <f>IFERROR(__xludf.DUMMYFUNCTION("""COMPUTED_VALUE"""),"1")</f>
        <v>1</v>
      </c>
      <c r="C4989" s="5" t="str">
        <f>IFERROR(__xludf.DUMMYFUNCTION("""COMPUTED_VALUE"""),"https://drive.google.com/file/d/1OyWRY2SeJQ7uRFznwONtt_G0YzqU79MG/view?usp=drivesdk")</f>
        <v>https://drive.google.com/file/d/1OyWRY2SeJQ7uRFznwONtt_G0YzqU79MG/view?usp=drivesdk</v>
      </c>
      <c r="D4989" s="12"/>
      <c r="E4989" s="11">
        <v>5027.0</v>
      </c>
      <c r="F4989" s="2"/>
    </row>
    <row r="4990" ht="1.5" customHeight="1">
      <c r="A4990" s="4" t="str">
        <f>IFERROR(__xludf.DUMMYFUNCTION("""COMPUTED_VALUE"""),"1. Microwave")</f>
        <v>1. Microwave</v>
      </c>
      <c r="B4990" s="4" t="str">
        <f>IFERROR(__xludf.DUMMYFUNCTION("""COMPUTED_VALUE"""),"1")</f>
        <v>1</v>
      </c>
      <c r="C4990" s="5" t="str">
        <f>IFERROR(__xludf.DUMMYFUNCTION("""COMPUTED_VALUE"""),"https://drive.google.com/file/d/1Y5r3R22vEikz1ecgvPVDqPS4K3dJe0pz/view?usp=drivesdk")</f>
        <v>https://drive.google.com/file/d/1Y5r3R22vEikz1ecgvPVDqPS4K3dJe0pz/view?usp=drivesdk</v>
      </c>
      <c r="D4990" s="12"/>
      <c r="E4990" s="11">
        <v>5028.0</v>
      </c>
      <c r="F4990" s="2"/>
    </row>
    <row r="4991" ht="1.5" customHeight="1">
      <c r="A4991" s="4" t="str">
        <f>IFERROR(__xludf.DUMMYFUNCTION("""COMPUTED_VALUE"""),"1. Microwave")</f>
        <v>1. Microwave</v>
      </c>
      <c r="B4991" s="4" t="str">
        <f>IFERROR(__xludf.DUMMYFUNCTION("""COMPUTED_VALUE"""),"1")</f>
        <v>1</v>
      </c>
      <c r="C4991" s="5" t="str">
        <f>IFERROR(__xludf.DUMMYFUNCTION("""COMPUTED_VALUE"""),"https://drive.google.com/file/d/1JYS6RXRYWx-VBlun6wE0LajEEMosh3-e/view?usp=drivesdk")</f>
        <v>https://drive.google.com/file/d/1JYS6RXRYWx-VBlun6wE0LajEEMosh3-e/view?usp=drivesdk</v>
      </c>
      <c r="D4991" s="12"/>
      <c r="E4991" s="11">
        <v>5029.0</v>
      </c>
      <c r="F4991" s="2"/>
    </row>
    <row r="4992" ht="1.5" customHeight="1">
      <c r="A4992" s="4" t="str">
        <f>IFERROR(__xludf.DUMMYFUNCTION("""COMPUTED_VALUE"""),"1. Microwave")</f>
        <v>1. Microwave</v>
      </c>
      <c r="B4992" s="4" t="str">
        <f>IFERROR(__xludf.DUMMYFUNCTION("""COMPUTED_VALUE"""),"1")</f>
        <v>1</v>
      </c>
      <c r="C4992" s="5" t="str">
        <f>IFERROR(__xludf.DUMMYFUNCTION("""COMPUTED_VALUE"""),"https://drive.google.com/file/d/1K_S75n5vuWFTDNyB8i7jR3RuxFrhGDyk/view?usp=drivesdk")</f>
        <v>https://drive.google.com/file/d/1K_S75n5vuWFTDNyB8i7jR3RuxFrhGDyk/view?usp=drivesdk</v>
      </c>
      <c r="D4992" s="12"/>
      <c r="E4992" s="11">
        <v>5030.0</v>
      </c>
      <c r="F4992" s="2"/>
    </row>
    <row r="4993" ht="1.5" customHeight="1">
      <c r="A4993" s="4" t="str">
        <f>IFERROR(__xludf.DUMMYFUNCTION("""COMPUTED_VALUE"""),"1. Microwave")</f>
        <v>1. Microwave</v>
      </c>
      <c r="B4993" s="4" t="str">
        <f>IFERROR(__xludf.DUMMYFUNCTION("""COMPUTED_VALUE"""),"1")</f>
        <v>1</v>
      </c>
      <c r="C4993" s="5" t="str">
        <f>IFERROR(__xludf.DUMMYFUNCTION("""COMPUTED_VALUE"""),"https://drive.google.com/file/d/18Mt46H0w69jLI0wuxXiSOGGDVrfOpIYo/view?usp=drivesdk")</f>
        <v>https://drive.google.com/file/d/18Mt46H0w69jLI0wuxXiSOGGDVrfOpIYo/view?usp=drivesdk</v>
      </c>
      <c r="D4993" s="12"/>
      <c r="E4993" s="11">
        <v>5031.0</v>
      </c>
      <c r="F4993" s="2"/>
    </row>
    <row r="4994" ht="1.5" customHeight="1">
      <c r="A4994" s="4" t="str">
        <f>IFERROR(__xludf.DUMMYFUNCTION("""COMPUTED_VALUE"""),"1. Microwave")</f>
        <v>1. Microwave</v>
      </c>
      <c r="B4994" s="4" t="str">
        <f>IFERROR(__xludf.DUMMYFUNCTION("""COMPUTED_VALUE"""),"1")</f>
        <v>1</v>
      </c>
      <c r="C4994" s="5" t="str">
        <f>IFERROR(__xludf.DUMMYFUNCTION("""COMPUTED_VALUE"""),"https://drive.google.com/file/d/19yTHunJ_v7IsF-6Vpo_o0dtub4DdksWP/view?usp=drivesdk")</f>
        <v>https://drive.google.com/file/d/19yTHunJ_v7IsF-6Vpo_o0dtub4DdksWP/view?usp=drivesdk</v>
      </c>
      <c r="D4994" s="12"/>
      <c r="E4994" s="11">
        <v>5032.0</v>
      </c>
      <c r="F4994" s="2"/>
    </row>
    <row r="4995" ht="1.5" customHeight="1">
      <c r="A4995" s="4" t="str">
        <f>IFERROR(__xludf.DUMMYFUNCTION("""COMPUTED_VALUE"""),"1. Microwave")</f>
        <v>1. Microwave</v>
      </c>
      <c r="B4995" s="4" t="str">
        <f>IFERROR(__xludf.DUMMYFUNCTION("""COMPUTED_VALUE"""),"1")</f>
        <v>1</v>
      </c>
      <c r="C4995" s="5" t="str">
        <f>IFERROR(__xludf.DUMMYFUNCTION("""COMPUTED_VALUE"""),"https://drive.google.com/file/d/1BZ-yXyYcYtkob3PU9lbV8BahNd37xFzA/view?usp=drivesdk")</f>
        <v>https://drive.google.com/file/d/1BZ-yXyYcYtkob3PU9lbV8BahNd37xFzA/view?usp=drivesdk</v>
      </c>
      <c r="D4995" s="12"/>
      <c r="E4995" s="11">
        <v>5033.0</v>
      </c>
      <c r="F4995" s="2"/>
    </row>
    <row r="4996" ht="1.5" customHeight="1">
      <c r="A4996" s="4" t="str">
        <f>IFERROR(__xludf.DUMMYFUNCTION("""COMPUTED_VALUE"""),"1. Microwave")</f>
        <v>1. Microwave</v>
      </c>
      <c r="B4996" s="4" t="str">
        <f>IFERROR(__xludf.DUMMYFUNCTION("""COMPUTED_VALUE"""),"1")</f>
        <v>1</v>
      </c>
      <c r="C4996" s="5" t="str">
        <f>IFERROR(__xludf.DUMMYFUNCTION("""COMPUTED_VALUE"""),"https://drive.google.com/file/d/1DxFC7YsGdPgske5dD2DQi39oCDDyL988/view?usp=drivesdk")</f>
        <v>https://drive.google.com/file/d/1DxFC7YsGdPgske5dD2DQi39oCDDyL988/view?usp=drivesdk</v>
      </c>
      <c r="D4996" s="12"/>
      <c r="E4996" s="11">
        <v>5034.0</v>
      </c>
      <c r="F4996" s="2"/>
    </row>
    <row r="4997" ht="1.5" customHeight="1">
      <c r="A4997" s="4" t="str">
        <f>IFERROR(__xludf.DUMMYFUNCTION("""COMPUTED_VALUE"""),"1. Microwave")</f>
        <v>1. Microwave</v>
      </c>
      <c r="B4997" s="4" t="str">
        <f>IFERROR(__xludf.DUMMYFUNCTION("""COMPUTED_VALUE"""),"1")</f>
        <v>1</v>
      </c>
      <c r="C4997" s="5" t="str">
        <f>IFERROR(__xludf.DUMMYFUNCTION("""COMPUTED_VALUE"""),"https://drive.google.com/file/d/15IvwOscSbJIF5BovjH-dBe0M5ZCZotBB/view?usp=drivesdk")</f>
        <v>https://drive.google.com/file/d/15IvwOscSbJIF5BovjH-dBe0M5ZCZotBB/view?usp=drivesdk</v>
      </c>
      <c r="D4997" s="12"/>
      <c r="E4997" s="11">
        <v>5035.0</v>
      </c>
      <c r="F4997" s="2"/>
    </row>
    <row r="4998" ht="1.5" customHeight="1">
      <c r="A4998" s="4" t="str">
        <f>IFERROR(__xludf.DUMMYFUNCTION("""COMPUTED_VALUE"""),"1. Microwave, 3. Ford F-150")</f>
        <v>1. Microwave, 3. Ford F-150</v>
      </c>
      <c r="B4998" s="4" t="str">
        <f>IFERROR(__xludf.DUMMYFUNCTION("""COMPUTED_VALUE"""),"1, 3")</f>
        <v>1, 3</v>
      </c>
      <c r="C4998" s="5" t="str">
        <f>IFERROR(__xludf.DUMMYFUNCTION("""COMPUTED_VALUE"""),"https://drive.google.com/file/d/1bnpte7tJr-fgj86q9Mn5Gm_Qqw3Gu4oD/view?usp=drivesdk")</f>
        <v>https://drive.google.com/file/d/1bnpte7tJr-fgj86q9Mn5Gm_Qqw3Gu4oD/view?usp=drivesdk</v>
      </c>
      <c r="D4998" s="12"/>
      <c r="E4998" s="11">
        <v>5036.0</v>
      </c>
      <c r="F4998" s="2"/>
    </row>
    <row r="4999" ht="1.5" customHeight="1">
      <c r="A4999" s="4" t="str">
        <f>IFERROR(__xludf.DUMMYFUNCTION("""COMPUTED_VALUE"""),"1. Microwave, 3. Ford F-150")</f>
        <v>1. Microwave, 3. Ford F-150</v>
      </c>
      <c r="B4999" s="4" t="str">
        <f>IFERROR(__xludf.DUMMYFUNCTION("""COMPUTED_VALUE"""),"1, 3")</f>
        <v>1, 3</v>
      </c>
      <c r="C4999" s="5" t="str">
        <f>IFERROR(__xludf.DUMMYFUNCTION("""COMPUTED_VALUE"""),"https://drive.google.com/file/d/1kWTkm3mXfaXrJOlXXtqggYa_nioSKYbf/view?usp=drivesdk")</f>
        <v>https://drive.google.com/file/d/1kWTkm3mXfaXrJOlXXtqggYa_nioSKYbf/view?usp=drivesdk</v>
      </c>
      <c r="D4999" s="12"/>
      <c r="E4999" s="11">
        <v>5037.0</v>
      </c>
      <c r="F4999" s="2"/>
    </row>
    <row r="5000" ht="1.5" customHeight="1">
      <c r="A5000" s="4" t="str">
        <f>IFERROR(__xludf.DUMMYFUNCTION("""COMPUTED_VALUE"""),"1. Microwave, 3. Ford F-150")</f>
        <v>1. Microwave, 3. Ford F-150</v>
      </c>
      <c r="B5000" s="4" t="str">
        <f>IFERROR(__xludf.DUMMYFUNCTION("""COMPUTED_VALUE"""),"1, 3")</f>
        <v>1, 3</v>
      </c>
      <c r="C5000" s="5" t="str">
        <f>IFERROR(__xludf.DUMMYFUNCTION("""COMPUTED_VALUE"""),"https://drive.google.com/file/d/1gQk8vtT_DQyruJVN6jmgpQT1mmx9um8M/view?usp=drivesdk")</f>
        <v>https://drive.google.com/file/d/1gQk8vtT_DQyruJVN6jmgpQT1mmx9um8M/view?usp=drivesdk</v>
      </c>
      <c r="D5000" s="12"/>
      <c r="E5000" s="11">
        <v>5038.0</v>
      </c>
      <c r="F5000" s="2"/>
    </row>
    <row r="5001" ht="1.5" customHeight="1">
      <c r="A5001" s="4" t="str">
        <f>IFERROR(__xludf.DUMMYFUNCTION("""COMPUTED_VALUE"""),"0. NotACat")</f>
        <v>0. NotACat</v>
      </c>
      <c r="B5001" s="4" t="str">
        <f>IFERROR(__xludf.DUMMYFUNCTION("""COMPUTED_VALUE"""),"0")</f>
        <v>0</v>
      </c>
      <c r="C5001" s="5" t="str">
        <f>IFERROR(__xludf.DUMMYFUNCTION("""COMPUTED_VALUE"""),"https://drive.google.com/file/d/1MKIc_Fd1yUmtR-ZUaPMZV3I4ZVvfPq_y/view?usp=drivesdk")</f>
        <v>https://drive.google.com/file/d/1MKIc_Fd1yUmtR-ZUaPMZV3I4ZVvfPq_y/view?usp=drivesdk</v>
      </c>
      <c r="D5001" s="12"/>
      <c r="E5001" s="11">
        <v>5039.0</v>
      </c>
      <c r="F5001" s="2"/>
    </row>
    <row r="5002" ht="1.5" customHeight="1">
      <c r="A5002" s="4" t="str">
        <f>IFERROR(__xludf.DUMMYFUNCTION("""COMPUTED_VALUE"""),"1. Microwave")</f>
        <v>1. Microwave</v>
      </c>
      <c r="B5002" s="4" t="str">
        <f>IFERROR(__xludf.DUMMYFUNCTION("""COMPUTED_VALUE"""),"1")</f>
        <v>1</v>
      </c>
      <c r="C5002" s="5" t="str">
        <f>IFERROR(__xludf.DUMMYFUNCTION("""COMPUTED_VALUE"""),"https://drive.google.com/file/d/1H-o25tAC4yCtGds6u-vozqsTBEL6MVOi/view?usp=drivesdk")</f>
        <v>https://drive.google.com/file/d/1H-o25tAC4yCtGds6u-vozqsTBEL6MVOi/view?usp=drivesdk</v>
      </c>
      <c r="D5002" s="12"/>
      <c r="E5002" s="11">
        <v>5040.0</v>
      </c>
      <c r="F5002" s="2"/>
    </row>
    <row r="5003" ht="1.5" customHeight="1">
      <c r="A5003" s="4" t="str">
        <f>IFERROR(__xludf.DUMMYFUNCTION("""COMPUTED_VALUE"""),"1. Microwave")</f>
        <v>1. Microwave</v>
      </c>
      <c r="B5003" s="4" t="str">
        <f>IFERROR(__xludf.DUMMYFUNCTION("""COMPUTED_VALUE"""),"1")</f>
        <v>1</v>
      </c>
      <c r="C5003" s="5" t="str">
        <f>IFERROR(__xludf.DUMMYFUNCTION("""COMPUTED_VALUE"""),"https://drive.google.com/file/d/1PpH9qTeJ44JANrQyrzFbYtKQO6NzgRNN/view?usp=drivesdk")</f>
        <v>https://drive.google.com/file/d/1PpH9qTeJ44JANrQyrzFbYtKQO6NzgRNN/view?usp=drivesdk</v>
      </c>
      <c r="D5003" s="12"/>
      <c r="E5003" s="11">
        <v>5041.0</v>
      </c>
      <c r="F5003" s="2"/>
    </row>
    <row r="5004" ht="1.5" customHeight="1">
      <c r="A5004" s="4" t="str">
        <f>IFERROR(__xludf.DUMMYFUNCTION("""COMPUTED_VALUE"""),"1. Microwave")</f>
        <v>1. Microwave</v>
      </c>
      <c r="B5004" s="4" t="str">
        <f>IFERROR(__xludf.DUMMYFUNCTION("""COMPUTED_VALUE"""),"1")</f>
        <v>1</v>
      </c>
      <c r="C5004" s="5" t="str">
        <f>IFERROR(__xludf.DUMMYFUNCTION("""COMPUTED_VALUE"""),"https://drive.google.com/file/d/137QlLBopGzA_3m3G9zuEjnrs4EywNKzG/view?usp=drivesdk")</f>
        <v>https://drive.google.com/file/d/137QlLBopGzA_3m3G9zuEjnrs4EywNKzG/view?usp=drivesdk</v>
      </c>
      <c r="D5004" s="12"/>
      <c r="E5004" s="11">
        <v>5042.0</v>
      </c>
      <c r="F5004" s="2"/>
    </row>
    <row r="5005" ht="1.5" customHeight="1">
      <c r="A5005" s="4" t="str">
        <f>IFERROR(__xludf.DUMMYFUNCTION("""COMPUTED_VALUE"""),"0. NotACat")</f>
        <v>0. NotACat</v>
      </c>
      <c r="B5005" s="4" t="str">
        <f>IFERROR(__xludf.DUMMYFUNCTION("""COMPUTED_VALUE"""),"0")</f>
        <v>0</v>
      </c>
      <c r="C5005" s="5" t="str">
        <f>IFERROR(__xludf.DUMMYFUNCTION("""COMPUTED_VALUE"""),"https://drive.google.com/file/d/1ibz2xGN3Y-S9xnu_7_rNPPlVhzYZwOWD/view?usp=drivesdk")</f>
        <v>https://drive.google.com/file/d/1ibz2xGN3Y-S9xnu_7_rNPPlVhzYZwOWD/view?usp=drivesdk</v>
      </c>
      <c r="D5005" s="12"/>
      <c r="E5005" s="11">
        <v>5043.0</v>
      </c>
      <c r="F5005" s="2"/>
    </row>
    <row r="5006" ht="1.5" customHeight="1">
      <c r="A5006" s="4" t="str">
        <f>IFERROR(__xludf.DUMMYFUNCTION("""COMPUTED_VALUE"""),"0. NotACat")</f>
        <v>0. NotACat</v>
      </c>
      <c r="B5006" s="4" t="str">
        <f>IFERROR(__xludf.DUMMYFUNCTION("""COMPUTED_VALUE"""),"0")</f>
        <v>0</v>
      </c>
      <c r="C5006" s="5" t="str">
        <f>IFERROR(__xludf.DUMMYFUNCTION("""COMPUTED_VALUE"""),"https://drive.google.com/file/d/1kfL8N14MZv8ObLa74OGlUhPinJ5iSAJN/view?usp=drivesdk")</f>
        <v>https://drive.google.com/file/d/1kfL8N14MZv8ObLa74OGlUhPinJ5iSAJN/view?usp=drivesdk</v>
      </c>
      <c r="D5006" s="12"/>
      <c r="E5006" s="11">
        <v>5044.0</v>
      </c>
      <c r="F5006" s="2"/>
    </row>
    <row r="5007" ht="1.5" customHeight="1">
      <c r="A5007" s="4" t="str">
        <f>IFERROR(__xludf.DUMMYFUNCTION("""COMPUTED_VALUE"""),"94. Itztli")</f>
        <v>94. Itztli</v>
      </c>
      <c r="B5007" s="4" t="str">
        <f>IFERROR(__xludf.DUMMYFUNCTION("""COMPUTED_VALUE"""),"94")</f>
        <v>94</v>
      </c>
      <c r="C5007" s="5" t="str">
        <f>IFERROR(__xludf.DUMMYFUNCTION("""COMPUTED_VALUE"""),"https://drive.google.com/file/d/1KMssrAjsnS2MzAYDc5tMyeLb3ksaXFCA/view?usp=drivesdk")</f>
        <v>https://drive.google.com/file/d/1KMssrAjsnS2MzAYDc5tMyeLb3ksaXFCA/view?usp=drivesdk</v>
      </c>
      <c r="D5007" s="12"/>
      <c r="E5007" s="11">
        <v>5045.0</v>
      </c>
      <c r="F5007" s="2"/>
    </row>
    <row r="5008" ht="1.5" customHeight="1">
      <c r="A5008" s="4" t="str">
        <f>IFERROR(__xludf.DUMMYFUNCTION("""COMPUTED_VALUE"""),"1. Microwave")</f>
        <v>1. Microwave</v>
      </c>
      <c r="B5008" s="4" t="str">
        <f>IFERROR(__xludf.DUMMYFUNCTION("""COMPUTED_VALUE"""),"1")</f>
        <v>1</v>
      </c>
      <c r="C5008" s="5" t="str">
        <f>IFERROR(__xludf.DUMMYFUNCTION("""COMPUTED_VALUE"""),"https://drive.google.com/file/d/1UU-58HQb3PkN2YBsm9B56dV_Do2svmcH/view?usp=drivesdk")</f>
        <v>https://drive.google.com/file/d/1UU-58HQb3PkN2YBsm9B56dV_Do2svmcH/view?usp=drivesdk</v>
      </c>
      <c r="D5008" s="12"/>
      <c r="E5008" s="11">
        <v>5046.0</v>
      </c>
      <c r="F5008" s="2"/>
    </row>
    <row r="5009" ht="1.5" customHeight="1">
      <c r="A5009" s="4" t="str">
        <f>IFERROR(__xludf.DUMMYFUNCTION("""COMPUTED_VALUE"""),"1. Microwave")</f>
        <v>1. Microwave</v>
      </c>
      <c r="B5009" s="4" t="str">
        <f>IFERROR(__xludf.DUMMYFUNCTION("""COMPUTED_VALUE"""),"1")</f>
        <v>1</v>
      </c>
      <c r="C5009" s="5" t="str">
        <f>IFERROR(__xludf.DUMMYFUNCTION("""COMPUTED_VALUE"""),"https://drive.google.com/file/d/1O9lBpv0F8u4j2-W71e4k29W3k5ffMrPu/view?usp=drivesdk")</f>
        <v>https://drive.google.com/file/d/1O9lBpv0F8u4j2-W71e4k29W3k5ffMrPu/view?usp=drivesdk</v>
      </c>
      <c r="D5009" s="12"/>
      <c r="E5009" s="11">
        <v>5047.0</v>
      </c>
      <c r="F5009" s="2"/>
    </row>
    <row r="5010" ht="1.5" customHeight="1">
      <c r="A5010" s="4" t="str">
        <f>IFERROR(__xludf.DUMMYFUNCTION("""COMPUTED_VALUE"""),"0. NotACat")</f>
        <v>0. NotACat</v>
      </c>
      <c r="B5010" s="4" t="str">
        <f>IFERROR(__xludf.DUMMYFUNCTION("""COMPUTED_VALUE"""),"0")</f>
        <v>0</v>
      </c>
      <c r="C5010" s="5" t="str">
        <f>IFERROR(__xludf.DUMMYFUNCTION("""COMPUTED_VALUE"""),"https://drive.google.com/file/d/1o7QB-85CRbmyi1pZc6RQwLxqiILkGtLx/view?usp=drivesdk")</f>
        <v>https://drive.google.com/file/d/1o7QB-85CRbmyi1pZc6RQwLxqiILkGtLx/view?usp=drivesdk</v>
      </c>
      <c r="D5010" s="12"/>
      <c r="E5010" s="11">
        <v>5048.0</v>
      </c>
      <c r="F5010" s="2"/>
    </row>
    <row r="5011" ht="1.5" customHeight="1">
      <c r="A5011" s="4" t="str">
        <f>IFERROR(__xludf.DUMMYFUNCTION("""COMPUTED_VALUE"""),"1. Microwave")</f>
        <v>1. Microwave</v>
      </c>
      <c r="B5011" s="4" t="str">
        <f>IFERROR(__xludf.DUMMYFUNCTION("""COMPUTED_VALUE"""),"1")</f>
        <v>1</v>
      </c>
      <c r="C5011" s="5" t="str">
        <f>IFERROR(__xludf.DUMMYFUNCTION("""COMPUTED_VALUE"""),"https://drive.google.com/file/d/1GC0qXeVFdrls3oyzQ_McgCAQFhaHvNj9/view?usp=drivesdk")</f>
        <v>https://drive.google.com/file/d/1GC0qXeVFdrls3oyzQ_McgCAQFhaHvNj9/view?usp=drivesdk</v>
      </c>
      <c r="D5011" s="12"/>
      <c r="E5011" s="11">
        <v>5049.0</v>
      </c>
      <c r="F5011" s="2"/>
    </row>
    <row r="5012" ht="1.5" customHeight="1">
      <c r="A5012" s="4" t="str">
        <f>IFERROR(__xludf.DUMMYFUNCTION("""COMPUTED_VALUE"""),"0. NotACat")</f>
        <v>0. NotACat</v>
      </c>
      <c r="B5012" s="4" t="str">
        <f>IFERROR(__xludf.DUMMYFUNCTION("""COMPUTED_VALUE"""),"0")</f>
        <v>0</v>
      </c>
      <c r="C5012" s="5" t="str">
        <f>IFERROR(__xludf.DUMMYFUNCTION("""COMPUTED_VALUE"""),"https://drive.google.com/file/d/16nlBvBMaj86yxQ8Fj8FgJzjp2T9EE7wx/view?usp=drivesdk")</f>
        <v>https://drive.google.com/file/d/16nlBvBMaj86yxQ8Fj8FgJzjp2T9EE7wx/view?usp=drivesdk</v>
      </c>
      <c r="D5012" s="12"/>
      <c r="E5012" s="11">
        <v>5050.0</v>
      </c>
      <c r="F5012" s="2"/>
    </row>
    <row r="5013" ht="1.5" customHeight="1">
      <c r="A5013" s="4" t="str">
        <f>IFERROR(__xludf.DUMMYFUNCTION("""COMPUTED_VALUE"""),"1. Microwave")</f>
        <v>1. Microwave</v>
      </c>
      <c r="B5013" s="4" t="str">
        <f>IFERROR(__xludf.DUMMYFUNCTION("""COMPUTED_VALUE"""),"1")</f>
        <v>1</v>
      </c>
      <c r="C5013" s="5" t="str">
        <f>IFERROR(__xludf.DUMMYFUNCTION("""COMPUTED_VALUE"""),"https://drive.google.com/file/d/1g_uh2rLAGzu_dNMPUj9lSPAuzsQRK3M9/view?usp=drivesdk")</f>
        <v>https://drive.google.com/file/d/1g_uh2rLAGzu_dNMPUj9lSPAuzsQRK3M9/view?usp=drivesdk</v>
      </c>
      <c r="D5013" s="12"/>
      <c r="E5013" s="11">
        <v>5051.0</v>
      </c>
      <c r="F5013" s="2"/>
    </row>
    <row r="5014" ht="1.5" customHeight="1">
      <c r="A5014" s="4" t="str">
        <f>IFERROR(__xludf.DUMMYFUNCTION("""COMPUTED_VALUE"""),"29. Ginger")</f>
        <v>29. Ginger</v>
      </c>
      <c r="B5014" s="4" t="str">
        <f>IFERROR(__xludf.DUMMYFUNCTION("""COMPUTED_VALUE"""),"29")</f>
        <v>29</v>
      </c>
      <c r="C5014" s="5" t="str">
        <f>IFERROR(__xludf.DUMMYFUNCTION("""COMPUTED_VALUE"""),"https://drive.google.com/file/d/1TzRxzZPka_ZmG_sJHwMOiEkEyy-_5HYt/view?usp=drivesdk")</f>
        <v>https://drive.google.com/file/d/1TzRxzZPka_ZmG_sJHwMOiEkEyy-_5HYt/view?usp=drivesdk</v>
      </c>
      <c r="D5014" s="12"/>
      <c r="E5014" s="11">
        <v>5052.0</v>
      </c>
      <c r="F5014" s="2"/>
    </row>
    <row r="5015" ht="1.5" customHeight="1">
      <c r="A5015" s="4" t="str">
        <f>IFERROR(__xludf.DUMMYFUNCTION("""COMPUTED_VALUE"""),"49. Freya")</f>
        <v>49. Freya</v>
      </c>
      <c r="B5015" s="4" t="str">
        <f>IFERROR(__xludf.DUMMYFUNCTION("""COMPUTED_VALUE"""),"49")</f>
        <v>49</v>
      </c>
      <c r="C5015" s="5" t="str">
        <f>IFERROR(__xludf.DUMMYFUNCTION("""COMPUTED_VALUE"""),"https://drive.google.com/file/d/1g9fU5p4N9wxztSyEUKmla6czzbHfPKgJ/view?usp=drivesdk")</f>
        <v>https://drive.google.com/file/d/1g9fU5p4N9wxztSyEUKmla6czzbHfPKgJ/view?usp=drivesdk</v>
      </c>
      <c r="D5015" s="12"/>
      <c r="E5015" s="11">
        <v>5053.0</v>
      </c>
      <c r="F5015" s="2"/>
    </row>
    <row r="5016" ht="1.5" customHeight="1">
      <c r="A5016" s="4" t="str">
        <f>IFERROR(__xludf.DUMMYFUNCTION("""COMPUTED_VALUE"""),"0. NotACat")</f>
        <v>0. NotACat</v>
      </c>
      <c r="B5016" s="4" t="str">
        <f>IFERROR(__xludf.DUMMYFUNCTION("""COMPUTED_VALUE"""),"0")</f>
        <v>0</v>
      </c>
      <c r="C5016" s="5" t="str">
        <f>IFERROR(__xludf.DUMMYFUNCTION("""COMPUTED_VALUE"""),"https://drive.google.com/file/d/1LUvS2B6U8x2k1S2LJ17-qZQd_Hjjzrh7/view?usp=drivesdk")</f>
        <v>https://drive.google.com/file/d/1LUvS2B6U8x2k1S2LJ17-qZQd_Hjjzrh7/view?usp=drivesdk</v>
      </c>
      <c r="D5016" s="12"/>
      <c r="E5016" s="11">
        <v>5054.0</v>
      </c>
      <c r="F5016" s="2"/>
    </row>
    <row r="5017" ht="1.5" customHeight="1">
      <c r="A5017" s="4" t="str">
        <f>IFERROR(__xludf.DUMMYFUNCTION("""COMPUTED_VALUE"""),"0. NotACat")</f>
        <v>0. NotACat</v>
      </c>
      <c r="B5017" s="4" t="str">
        <f>IFERROR(__xludf.DUMMYFUNCTION("""COMPUTED_VALUE"""),"0")</f>
        <v>0</v>
      </c>
      <c r="C5017" s="5" t="str">
        <f>IFERROR(__xludf.DUMMYFUNCTION("""COMPUTED_VALUE"""),"https://drive.google.com/file/d/1_2j2kgWSmoJK6a-wEtFDJfzzn_nX7tJK/view?usp=drivesdk")</f>
        <v>https://drive.google.com/file/d/1_2j2kgWSmoJK6a-wEtFDJfzzn_nX7tJK/view?usp=drivesdk</v>
      </c>
      <c r="D5017" s="12"/>
      <c r="E5017" s="11">
        <v>5055.0</v>
      </c>
      <c r="F5017" s="2"/>
    </row>
    <row r="5018" ht="1.5" customHeight="1">
      <c r="A5018" s="4" t="str">
        <f>IFERROR(__xludf.DUMMYFUNCTION("""COMPUTED_VALUE"""),"0. NotACat")</f>
        <v>0. NotACat</v>
      </c>
      <c r="B5018" s="4" t="str">
        <f>IFERROR(__xludf.DUMMYFUNCTION("""COMPUTED_VALUE"""),"0")</f>
        <v>0</v>
      </c>
      <c r="C5018" s="5" t="str">
        <f>IFERROR(__xludf.DUMMYFUNCTION("""COMPUTED_VALUE"""),"https://drive.google.com/file/d/1mkkkhOJILvTzcsW__4n3B1nBnrtPhlvI/view?usp=drivesdk")</f>
        <v>https://drive.google.com/file/d/1mkkkhOJILvTzcsW__4n3B1nBnrtPhlvI/view?usp=drivesdk</v>
      </c>
      <c r="D5018" s="12"/>
      <c r="E5018" s="11">
        <v>5056.0</v>
      </c>
      <c r="F5018" s="2"/>
    </row>
    <row r="5019" ht="1.5" customHeight="1">
      <c r="A5019" s="4" t="str">
        <f>IFERROR(__xludf.DUMMYFUNCTION("""COMPUTED_VALUE"""),"0. NotACat")</f>
        <v>0. NotACat</v>
      </c>
      <c r="B5019" s="4" t="str">
        <f>IFERROR(__xludf.DUMMYFUNCTION("""COMPUTED_VALUE"""),"0")</f>
        <v>0</v>
      </c>
      <c r="C5019" s="5" t="str">
        <f>IFERROR(__xludf.DUMMYFUNCTION("""COMPUTED_VALUE"""),"https://drive.google.com/file/d/1AJAXsG2tKSIuMG3GbAJ-1FpG4yZlGgXX/view?usp=drivesdk")</f>
        <v>https://drive.google.com/file/d/1AJAXsG2tKSIuMG3GbAJ-1FpG4yZlGgXX/view?usp=drivesdk</v>
      </c>
      <c r="D5019" s="12"/>
      <c r="E5019" s="11">
        <v>5057.0</v>
      </c>
      <c r="F5019" s="2"/>
    </row>
    <row r="5020" ht="1.5" customHeight="1">
      <c r="A5020" s="4" t="str">
        <f>IFERROR(__xludf.DUMMYFUNCTION("""COMPUTED_VALUE"""),"0. NotACat")</f>
        <v>0. NotACat</v>
      </c>
      <c r="B5020" s="4" t="str">
        <f>IFERROR(__xludf.DUMMYFUNCTION("""COMPUTED_VALUE"""),"0")</f>
        <v>0</v>
      </c>
      <c r="C5020" s="5" t="str">
        <f>IFERROR(__xludf.DUMMYFUNCTION("""COMPUTED_VALUE"""),"https://drive.google.com/file/d/1h843bdHOm4Z8CJvenXvM5fRklVpwOzYl/view?usp=drivesdk")</f>
        <v>https://drive.google.com/file/d/1h843bdHOm4Z8CJvenXvM5fRklVpwOzYl/view?usp=drivesdk</v>
      </c>
      <c r="D5020" s="12"/>
      <c r="E5020" s="11">
        <v>5058.0</v>
      </c>
      <c r="F5020" s="2"/>
    </row>
    <row r="5021" ht="1.5" customHeight="1">
      <c r="A5021" s="4" t="str">
        <f>IFERROR(__xludf.DUMMYFUNCTION("""COMPUTED_VALUE"""),"0. NotACat")</f>
        <v>0. NotACat</v>
      </c>
      <c r="B5021" s="4" t="str">
        <f>IFERROR(__xludf.DUMMYFUNCTION("""COMPUTED_VALUE"""),"0")</f>
        <v>0</v>
      </c>
      <c r="C5021" s="5" t="str">
        <f>IFERROR(__xludf.DUMMYFUNCTION("""COMPUTED_VALUE"""),"https://drive.google.com/file/d/1_S4YTiJm70qhzGAkjrEm2BIrwv9CdHbZ/view?usp=drivesdk")</f>
        <v>https://drive.google.com/file/d/1_S4YTiJm70qhzGAkjrEm2BIrwv9CdHbZ/view?usp=drivesdk</v>
      </c>
      <c r="D5021" s="12"/>
      <c r="E5021" s="11">
        <v>5059.0</v>
      </c>
      <c r="F5021" s="2"/>
    </row>
    <row r="5022" ht="1.5" customHeight="1">
      <c r="A5022" s="4" t="str">
        <f>IFERROR(__xludf.DUMMYFUNCTION("""COMPUTED_VALUE"""),"0. NotACat")</f>
        <v>0. NotACat</v>
      </c>
      <c r="B5022" s="4" t="str">
        <f>IFERROR(__xludf.DUMMYFUNCTION("""COMPUTED_VALUE"""),"0")</f>
        <v>0</v>
      </c>
      <c r="C5022" s="5" t="str">
        <f>IFERROR(__xludf.DUMMYFUNCTION("""COMPUTED_VALUE"""),"https://drive.google.com/file/d/1e9xsAaqQ9FHpe37bMyEiTJp9Qte_KdQT/view?usp=drivesdk")</f>
        <v>https://drive.google.com/file/d/1e9xsAaqQ9FHpe37bMyEiTJp9Qte_KdQT/view?usp=drivesdk</v>
      </c>
      <c r="D5022" s="12"/>
      <c r="E5022" s="11">
        <v>5060.0</v>
      </c>
      <c r="F5022" s="2"/>
    </row>
    <row r="5023" ht="1.5" customHeight="1">
      <c r="A5023" s="4" t="str">
        <f>IFERROR(__xludf.DUMMYFUNCTION("""COMPUTED_VALUE"""),"0. NotACat")</f>
        <v>0. NotACat</v>
      </c>
      <c r="B5023" s="4" t="str">
        <f>IFERROR(__xludf.DUMMYFUNCTION("""COMPUTED_VALUE"""),"0")</f>
        <v>0</v>
      </c>
      <c r="C5023" s="5" t="str">
        <f>IFERROR(__xludf.DUMMYFUNCTION("""COMPUTED_VALUE"""),"https://drive.google.com/file/d/1M_tVs4Ar-kg4CItlsYi_s7xMO0-7_dH8/view?usp=drivesdk")</f>
        <v>https://drive.google.com/file/d/1M_tVs4Ar-kg4CItlsYi_s7xMO0-7_dH8/view?usp=drivesdk</v>
      </c>
      <c r="D5023" s="12"/>
      <c r="E5023" s="11">
        <v>5061.0</v>
      </c>
      <c r="F5023" s="2"/>
    </row>
    <row r="5024" ht="1.5" customHeight="1">
      <c r="A5024" s="4" t="str">
        <f>IFERROR(__xludf.DUMMYFUNCTION("""COMPUTED_VALUE"""),"0. NotACat")</f>
        <v>0. NotACat</v>
      </c>
      <c r="B5024" s="4" t="str">
        <f>IFERROR(__xludf.DUMMYFUNCTION("""COMPUTED_VALUE"""),"0")</f>
        <v>0</v>
      </c>
      <c r="C5024" s="5" t="str">
        <f>IFERROR(__xludf.DUMMYFUNCTION("""COMPUTED_VALUE"""),"https://drive.google.com/file/d/16Oe3AIVx0AhsyU-zvEh5kx7eCIfJa06z/view?usp=drivesdk")</f>
        <v>https://drive.google.com/file/d/16Oe3AIVx0AhsyU-zvEh5kx7eCIfJa06z/view?usp=drivesdk</v>
      </c>
      <c r="D5024" s="12"/>
      <c r="E5024" s="11">
        <v>5062.0</v>
      </c>
      <c r="F5024" s="2"/>
    </row>
    <row r="5025" ht="1.5" customHeight="1">
      <c r="A5025" s="4" t="str">
        <f>IFERROR(__xludf.DUMMYFUNCTION("""COMPUTED_VALUE"""),"6. Snickers")</f>
        <v>6. Snickers</v>
      </c>
      <c r="B5025" s="4" t="str">
        <f>IFERROR(__xludf.DUMMYFUNCTION("""COMPUTED_VALUE"""),"6")</f>
        <v>6</v>
      </c>
      <c r="C5025" s="5" t="str">
        <f>IFERROR(__xludf.DUMMYFUNCTION("""COMPUTED_VALUE"""),"https://drive.google.com/file/d/1_V8XkWjXuo9Nj5WjHxIkP_x0IKIGAQi8/view?usp=drivesdk")</f>
        <v>https://drive.google.com/file/d/1_V8XkWjXuo9Nj5WjHxIkP_x0IKIGAQi8/view?usp=drivesdk</v>
      </c>
      <c r="D5025" s="12"/>
      <c r="E5025" s="11">
        <v>5063.0</v>
      </c>
      <c r="F5025" s="2"/>
    </row>
    <row r="5026" ht="1.5" customHeight="1">
      <c r="A5026" s="4" t="str">
        <f>IFERROR(__xludf.DUMMYFUNCTION("""COMPUTED_VALUE"""),"0. NotACat")</f>
        <v>0. NotACat</v>
      </c>
      <c r="B5026" s="4" t="str">
        <f>IFERROR(__xludf.DUMMYFUNCTION("""COMPUTED_VALUE"""),"0")</f>
        <v>0</v>
      </c>
      <c r="C5026" s="5" t="str">
        <f>IFERROR(__xludf.DUMMYFUNCTION("""COMPUTED_VALUE"""),"https://drive.google.com/file/d/1kKZ91XOUYDiGnVfcjyOHvQtyUDIY3y1v/view?usp=drivesdk")</f>
        <v>https://drive.google.com/file/d/1kKZ91XOUYDiGnVfcjyOHvQtyUDIY3y1v/view?usp=drivesdk</v>
      </c>
      <c r="D5026" s="12"/>
      <c r="E5026" s="11">
        <v>5064.0</v>
      </c>
      <c r="F5026" s="2"/>
    </row>
    <row r="5027" ht="1.5" customHeight="1">
      <c r="A5027" s="4" t="str">
        <f>IFERROR(__xludf.DUMMYFUNCTION("""COMPUTED_VALUE"""),"2. Twix")</f>
        <v>2. Twix</v>
      </c>
      <c r="B5027" s="4" t="str">
        <f>IFERROR(__xludf.DUMMYFUNCTION("""COMPUTED_VALUE"""),"2")</f>
        <v>2</v>
      </c>
      <c r="C5027" s="5" t="str">
        <f>IFERROR(__xludf.DUMMYFUNCTION("""COMPUTED_VALUE"""),"https://drive.google.com/file/d/1isBg9eCSdEvskGIQcs8iOZ4hEn0bxn_e/view?usp=drivesdk")</f>
        <v>https://drive.google.com/file/d/1isBg9eCSdEvskGIQcs8iOZ4hEn0bxn_e/view?usp=drivesdk</v>
      </c>
      <c r="D5027" s="12"/>
      <c r="E5027" s="11">
        <v>5065.0</v>
      </c>
      <c r="F5027" s="2"/>
    </row>
    <row r="5028" ht="1.5" customHeight="1">
      <c r="A5028" s="4" t="str">
        <f>IFERROR(__xludf.DUMMYFUNCTION("""COMPUTED_VALUE"""),"2. Twix")</f>
        <v>2. Twix</v>
      </c>
      <c r="B5028" s="4" t="str">
        <f>IFERROR(__xludf.DUMMYFUNCTION("""COMPUTED_VALUE"""),"2")</f>
        <v>2</v>
      </c>
      <c r="C5028" s="5" t="str">
        <f>IFERROR(__xludf.DUMMYFUNCTION("""COMPUTED_VALUE"""),"https://drive.google.com/file/d/1YhmUt0gbqxOACtxA1h6SypAmWNshY02h/view?usp=drivesdk")</f>
        <v>https://drive.google.com/file/d/1YhmUt0gbqxOACtxA1h6SypAmWNshY02h/view?usp=drivesdk</v>
      </c>
      <c r="D5028" s="12"/>
      <c r="E5028" s="11">
        <v>5066.0</v>
      </c>
      <c r="F5028" s="2"/>
    </row>
    <row r="5029" ht="1.5" customHeight="1">
      <c r="A5029" s="4" t="str">
        <f>IFERROR(__xludf.DUMMYFUNCTION("""COMPUTED_VALUE"""),"2. Twix")</f>
        <v>2. Twix</v>
      </c>
      <c r="B5029" s="4" t="str">
        <f>IFERROR(__xludf.DUMMYFUNCTION("""COMPUTED_VALUE"""),"2")</f>
        <v>2</v>
      </c>
      <c r="C5029" s="5" t="str">
        <f>IFERROR(__xludf.DUMMYFUNCTION("""COMPUTED_VALUE"""),"https://drive.google.com/file/d/1rmwr7gd1F7quE400CQOF-u9fIXYLswTG/view?usp=drivesdk")</f>
        <v>https://drive.google.com/file/d/1rmwr7gd1F7quE400CQOF-u9fIXYLswTG/view?usp=drivesdk</v>
      </c>
      <c r="D5029" s="12"/>
      <c r="E5029" s="11">
        <v>5067.0</v>
      </c>
      <c r="F5029" s="2"/>
    </row>
    <row r="5030" ht="1.5" customHeight="1">
      <c r="A5030" s="4" t="str">
        <f>IFERROR(__xludf.DUMMYFUNCTION("""COMPUTED_VALUE"""),"1. Microwave")</f>
        <v>1. Microwave</v>
      </c>
      <c r="B5030" s="4" t="str">
        <f>IFERROR(__xludf.DUMMYFUNCTION("""COMPUTED_VALUE"""),"1")</f>
        <v>1</v>
      </c>
      <c r="C5030" s="5" t="str">
        <f>IFERROR(__xludf.DUMMYFUNCTION("""COMPUTED_VALUE"""),"https://drive.google.com/file/d/1FlwP0uyXHRIlhgsVu1jnM9tbJZFp--hQ/view?usp=drivesdk")</f>
        <v>https://drive.google.com/file/d/1FlwP0uyXHRIlhgsVu1jnM9tbJZFp--hQ/view?usp=drivesdk</v>
      </c>
      <c r="D5030" s="12"/>
      <c r="E5030" s="11">
        <v>5068.0</v>
      </c>
      <c r="F5030" s="2"/>
    </row>
    <row r="5031" ht="1.5" customHeight="1">
      <c r="A5031" s="4" t="str">
        <f>IFERROR(__xludf.DUMMYFUNCTION("""COMPUTED_VALUE"""),"1. Microwave")</f>
        <v>1. Microwave</v>
      </c>
      <c r="B5031" s="4" t="str">
        <f>IFERROR(__xludf.DUMMYFUNCTION("""COMPUTED_VALUE"""),"1")</f>
        <v>1</v>
      </c>
      <c r="C5031" s="5" t="str">
        <f>IFERROR(__xludf.DUMMYFUNCTION("""COMPUTED_VALUE"""),"https://drive.google.com/file/d/1picOcIvWS9yhZgG8u_0M2V9GDkfcQsai/view?usp=drivesdk")</f>
        <v>https://drive.google.com/file/d/1picOcIvWS9yhZgG8u_0M2V9GDkfcQsai/view?usp=drivesdk</v>
      </c>
      <c r="D5031" s="12"/>
      <c r="E5031" s="11">
        <v>5069.0</v>
      </c>
      <c r="F5031" s="2"/>
    </row>
    <row r="5032" ht="1.5" customHeight="1">
      <c r="A5032" s="4" t="str">
        <f>IFERROR(__xludf.DUMMYFUNCTION("""COMPUTED_VALUE"""),"1. Microwave")</f>
        <v>1. Microwave</v>
      </c>
      <c r="B5032" s="4" t="str">
        <f>IFERROR(__xludf.DUMMYFUNCTION("""COMPUTED_VALUE"""),"1")</f>
        <v>1</v>
      </c>
      <c r="C5032" s="5" t="str">
        <f>IFERROR(__xludf.DUMMYFUNCTION("""COMPUTED_VALUE"""),"https://drive.google.com/file/d/1UZFCE_nweReGFUF6BEcH8nFv03UM_yQG/view?usp=drivesdk")</f>
        <v>https://drive.google.com/file/d/1UZFCE_nweReGFUF6BEcH8nFv03UM_yQG/view?usp=drivesdk</v>
      </c>
      <c r="D5032" s="12"/>
      <c r="E5032" s="11">
        <v>5070.0</v>
      </c>
      <c r="F5032" s="2"/>
    </row>
    <row r="5033" ht="1.5" customHeight="1">
      <c r="A5033" s="4" t="str">
        <f>IFERROR(__xludf.DUMMYFUNCTION("""COMPUTED_VALUE"""),"1. Microwave")</f>
        <v>1. Microwave</v>
      </c>
      <c r="B5033" s="4" t="str">
        <f>IFERROR(__xludf.DUMMYFUNCTION("""COMPUTED_VALUE"""),"1")</f>
        <v>1</v>
      </c>
      <c r="C5033" s="5" t="str">
        <f>IFERROR(__xludf.DUMMYFUNCTION("""COMPUTED_VALUE"""),"https://drive.google.com/file/d/1aZCckTL_48f_9V1HvQii61O5gCjnYnWE/view?usp=drivesdk")</f>
        <v>https://drive.google.com/file/d/1aZCckTL_48f_9V1HvQii61O5gCjnYnWE/view?usp=drivesdk</v>
      </c>
      <c r="D5033" s="12"/>
      <c r="E5033" s="11">
        <v>5071.0</v>
      </c>
      <c r="F5033" s="2"/>
    </row>
    <row r="5034" ht="1.5" customHeight="1">
      <c r="A5034" s="4" t="str">
        <f>IFERROR(__xludf.DUMMYFUNCTION("""COMPUTED_VALUE"""),"1. Microwave")</f>
        <v>1. Microwave</v>
      </c>
      <c r="B5034" s="4" t="str">
        <f>IFERROR(__xludf.DUMMYFUNCTION("""COMPUTED_VALUE"""),"1")</f>
        <v>1</v>
      </c>
      <c r="C5034" s="5" t="str">
        <f>IFERROR(__xludf.DUMMYFUNCTION("""COMPUTED_VALUE"""),"https://drive.google.com/file/d/1R8MRRe85v2CWYvfzznQJHSzIEiVER6Nc/view?usp=drivesdk")</f>
        <v>https://drive.google.com/file/d/1R8MRRe85v2CWYvfzznQJHSzIEiVER6Nc/view?usp=drivesdk</v>
      </c>
      <c r="D5034" s="12"/>
      <c r="E5034" s="11">
        <v>5072.0</v>
      </c>
      <c r="F5034" s="2"/>
    </row>
    <row r="5035" ht="1.5" customHeight="1">
      <c r="A5035" s="4" t="str">
        <f>IFERROR(__xludf.DUMMYFUNCTION("""COMPUTED_VALUE"""),"1. Microwave")</f>
        <v>1. Microwave</v>
      </c>
      <c r="B5035" s="4" t="str">
        <f>IFERROR(__xludf.DUMMYFUNCTION("""COMPUTED_VALUE"""),"1")</f>
        <v>1</v>
      </c>
      <c r="C5035" s="5" t="str">
        <f>IFERROR(__xludf.DUMMYFUNCTION("""COMPUTED_VALUE"""),"https://drive.google.com/file/d/1cqc8TMLRedccI7sCrc2J5rqmBGvLqQ28/view?usp=drivesdk")</f>
        <v>https://drive.google.com/file/d/1cqc8TMLRedccI7sCrc2J5rqmBGvLqQ28/view?usp=drivesdk</v>
      </c>
      <c r="D5035" s="12"/>
      <c r="E5035" s="11">
        <v>5073.0</v>
      </c>
      <c r="F5035" s="2"/>
    </row>
    <row r="5036" ht="1.5" customHeight="1">
      <c r="A5036" s="4" t="str">
        <f>IFERROR(__xludf.DUMMYFUNCTION("""COMPUTED_VALUE"""),"1. Microwave")</f>
        <v>1. Microwave</v>
      </c>
      <c r="B5036" s="4" t="str">
        <f>IFERROR(__xludf.DUMMYFUNCTION("""COMPUTED_VALUE"""),"1")</f>
        <v>1</v>
      </c>
      <c r="C5036" s="5" t="str">
        <f>IFERROR(__xludf.DUMMYFUNCTION("""COMPUTED_VALUE"""),"https://drive.google.com/file/d/1HMQks5bblL1K8PueDW27EmDtIXVqTASt/view?usp=drivesdk")</f>
        <v>https://drive.google.com/file/d/1HMQks5bblL1K8PueDW27EmDtIXVqTASt/view?usp=drivesdk</v>
      </c>
      <c r="D5036" s="12"/>
      <c r="E5036" s="11">
        <v>5074.0</v>
      </c>
      <c r="F5036" s="2"/>
    </row>
    <row r="5037" ht="1.5" customHeight="1">
      <c r="A5037" s="4" t="str">
        <f>IFERROR(__xludf.DUMMYFUNCTION("""COMPUTED_VALUE"""),"6. Snickers")</f>
        <v>6. Snickers</v>
      </c>
      <c r="B5037" s="4" t="str">
        <f>IFERROR(__xludf.DUMMYFUNCTION("""COMPUTED_VALUE"""),"6")</f>
        <v>6</v>
      </c>
      <c r="C5037" s="5" t="str">
        <f>IFERROR(__xludf.DUMMYFUNCTION("""COMPUTED_VALUE"""),"https://drive.google.com/file/d/1JmOz_KiKso91kipwUDN5CKaBQ2KvdX7S/view?usp=drivesdk")</f>
        <v>https://drive.google.com/file/d/1JmOz_KiKso91kipwUDN5CKaBQ2KvdX7S/view?usp=drivesdk</v>
      </c>
      <c r="D5037" s="12"/>
      <c r="E5037" s="11">
        <v>5075.0</v>
      </c>
      <c r="F5037" s="2"/>
    </row>
    <row r="5038" ht="1.5" customHeight="1">
      <c r="A5038" s="4" t="str">
        <f>IFERROR(__xludf.DUMMYFUNCTION("""COMPUTED_VALUE"""),"6. Snickers")</f>
        <v>6. Snickers</v>
      </c>
      <c r="B5038" s="4" t="str">
        <f>IFERROR(__xludf.DUMMYFUNCTION("""COMPUTED_VALUE"""),"6")</f>
        <v>6</v>
      </c>
      <c r="C5038" s="5" t="str">
        <f>IFERROR(__xludf.DUMMYFUNCTION("""COMPUTED_VALUE"""),"https://drive.google.com/file/d/1YK7HIkqcvNG7iJNEShPzQg2wN3N5CJHg/view?usp=drivesdk")</f>
        <v>https://drive.google.com/file/d/1YK7HIkqcvNG7iJNEShPzQg2wN3N5CJHg/view?usp=drivesdk</v>
      </c>
      <c r="D5038" s="12"/>
      <c r="E5038" s="11">
        <v>5076.0</v>
      </c>
      <c r="F5038" s="2"/>
    </row>
    <row r="5039" ht="1.5" customHeight="1">
      <c r="A5039" s="4" t="str">
        <f>IFERROR(__xludf.DUMMYFUNCTION("""COMPUTED_VALUE"""),"6. Snickers")</f>
        <v>6. Snickers</v>
      </c>
      <c r="B5039" s="4" t="str">
        <f>IFERROR(__xludf.DUMMYFUNCTION("""COMPUTED_VALUE"""),"6")</f>
        <v>6</v>
      </c>
      <c r="C5039" s="5" t="str">
        <f>IFERROR(__xludf.DUMMYFUNCTION("""COMPUTED_VALUE"""),"https://drive.google.com/file/d/1yadKGmZsMvXxQTp3vx_bclKss9RLL_8Y/view?usp=drivesdk")</f>
        <v>https://drive.google.com/file/d/1yadKGmZsMvXxQTp3vx_bclKss9RLL_8Y/view?usp=drivesdk</v>
      </c>
      <c r="D5039" s="12"/>
      <c r="E5039" s="11">
        <v>5077.0</v>
      </c>
      <c r="F5039" s="2"/>
    </row>
    <row r="5040" ht="1.5" customHeight="1">
      <c r="A5040" s="4" t="str">
        <f>IFERROR(__xludf.DUMMYFUNCTION("""COMPUTED_VALUE"""),"6. Snickers")</f>
        <v>6. Snickers</v>
      </c>
      <c r="B5040" s="4" t="str">
        <f>IFERROR(__xludf.DUMMYFUNCTION("""COMPUTED_VALUE"""),"6")</f>
        <v>6</v>
      </c>
      <c r="C5040" s="5" t="str">
        <f>IFERROR(__xludf.DUMMYFUNCTION("""COMPUTED_VALUE"""),"https://drive.google.com/file/d/1we2mQmi17f1jNwVMAeSydcmLeZEd6xEy/view?usp=drivesdk")</f>
        <v>https://drive.google.com/file/d/1we2mQmi17f1jNwVMAeSydcmLeZEd6xEy/view?usp=drivesdk</v>
      </c>
      <c r="D5040" s="12"/>
      <c r="E5040" s="11">
        <v>5078.0</v>
      </c>
      <c r="F5040" s="2"/>
    </row>
    <row r="5041" ht="1.5" customHeight="1">
      <c r="A5041" s="4" t="str">
        <f>IFERROR(__xludf.DUMMYFUNCTION("""COMPUTED_VALUE"""),"6. Snickers")</f>
        <v>6. Snickers</v>
      </c>
      <c r="B5041" s="4" t="str">
        <f>IFERROR(__xludf.DUMMYFUNCTION("""COMPUTED_VALUE"""),"6")</f>
        <v>6</v>
      </c>
      <c r="C5041" s="5" t="str">
        <f>IFERROR(__xludf.DUMMYFUNCTION("""COMPUTED_VALUE"""),"https://drive.google.com/file/d/1r1qnkjGlQHmHmx5Z18ia7AP8u2PC9UY1/view?usp=drivesdk")</f>
        <v>https://drive.google.com/file/d/1r1qnkjGlQHmHmx5Z18ia7AP8u2PC9UY1/view?usp=drivesdk</v>
      </c>
      <c r="D5041" s="12"/>
      <c r="E5041" s="11">
        <v>5079.0</v>
      </c>
      <c r="F5041" s="2"/>
    </row>
    <row r="5042" ht="1.5" customHeight="1">
      <c r="A5042" s="4" t="str">
        <f>IFERROR(__xludf.DUMMYFUNCTION("""COMPUTED_VALUE"""),"6. Snickers")</f>
        <v>6. Snickers</v>
      </c>
      <c r="B5042" s="4" t="str">
        <f>IFERROR(__xludf.DUMMYFUNCTION("""COMPUTED_VALUE"""),"6")</f>
        <v>6</v>
      </c>
      <c r="C5042" s="5" t="str">
        <f>IFERROR(__xludf.DUMMYFUNCTION("""COMPUTED_VALUE"""),"https://drive.google.com/file/d/1F1HLX_tgSBzfhH5dZS9rNoOG7kFHJkUn/view?usp=drivesdk")</f>
        <v>https://drive.google.com/file/d/1F1HLX_tgSBzfhH5dZS9rNoOG7kFHJkUn/view?usp=drivesdk</v>
      </c>
      <c r="D5042" s="12"/>
      <c r="E5042" s="11">
        <v>5080.0</v>
      </c>
      <c r="F5042" s="2"/>
    </row>
    <row r="5043" ht="1.5" customHeight="1">
      <c r="A5043" s="4" t="str">
        <f>IFERROR(__xludf.DUMMYFUNCTION("""COMPUTED_VALUE"""),"6. Snickers")</f>
        <v>6. Snickers</v>
      </c>
      <c r="B5043" s="4" t="str">
        <f>IFERROR(__xludf.DUMMYFUNCTION("""COMPUTED_VALUE"""),"6")</f>
        <v>6</v>
      </c>
      <c r="C5043" s="5" t="str">
        <f>IFERROR(__xludf.DUMMYFUNCTION("""COMPUTED_VALUE"""),"https://drive.google.com/file/d/1aRp5C_sJ-IbMGCl0EZQ54uZEoyl5bJL0/view?usp=drivesdk")</f>
        <v>https://drive.google.com/file/d/1aRp5C_sJ-IbMGCl0EZQ54uZEoyl5bJL0/view?usp=drivesdk</v>
      </c>
      <c r="D5043" s="12"/>
      <c r="E5043" s="11">
        <v>5081.0</v>
      </c>
      <c r="F5043" s="2"/>
    </row>
    <row r="5044" ht="1.5" customHeight="1">
      <c r="A5044" s="4" t="str">
        <f>IFERROR(__xludf.DUMMYFUNCTION("""COMPUTED_VALUE"""),"6. Snickers")</f>
        <v>6. Snickers</v>
      </c>
      <c r="B5044" s="4" t="str">
        <f>IFERROR(__xludf.DUMMYFUNCTION("""COMPUTED_VALUE"""),"6")</f>
        <v>6</v>
      </c>
      <c r="C5044" s="5" t="str">
        <f>IFERROR(__xludf.DUMMYFUNCTION("""COMPUTED_VALUE"""),"https://drive.google.com/file/d/1y04UC8CM2PWfwY9dqePIEyHHnmmBfUV-/view?usp=drivesdk")</f>
        <v>https://drive.google.com/file/d/1y04UC8CM2PWfwY9dqePIEyHHnmmBfUV-/view?usp=drivesdk</v>
      </c>
      <c r="D5044" s="12"/>
      <c r="E5044" s="11">
        <v>5082.0</v>
      </c>
      <c r="F5044" s="2"/>
    </row>
    <row r="5045" ht="1.5" customHeight="1">
      <c r="A5045" s="4" t="str">
        <f>IFERROR(__xludf.DUMMYFUNCTION("""COMPUTED_VALUE"""),"6. Snickers")</f>
        <v>6. Snickers</v>
      </c>
      <c r="B5045" s="4" t="str">
        <f>IFERROR(__xludf.DUMMYFUNCTION("""COMPUTED_VALUE"""),"6")</f>
        <v>6</v>
      </c>
      <c r="C5045" s="5" t="str">
        <f>IFERROR(__xludf.DUMMYFUNCTION("""COMPUTED_VALUE"""),"https://drive.google.com/file/d/1-0MvXUYFRApmMd5DM4F1ARH_rI5-xhKg/view?usp=drivesdk")</f>
        <v>https://drive.google.com/file/d/1-0MvXUYFRApmMd5DM4F1ARH_rI5-xhKg/view?usp=drivesdk</v>
      </c>
      <c r="D5045" s="12"/>
      <c r="E5045" s="11">
        <v>5083.0</v>
      </c>
      <c r="F5045" s="2"/>
    </row>
    <row r="5046" ht="1.5" customHeight="1">
      <c r="A5046" s="4" t="str">
        <f>IFERROR(__xludf.DUMMYFUNCTION("""COMPUTED_VALUE"""),"0. NotACat")</f>
        <v>0. NotACat</v>
      </c>
      <c r="B5046" s="4" t="str">
        <f>IFERROR(__xludf.DUMMYFUNCTION("""COMPUTED_VALUE"""),"0")</f>
        <v>0</v>
      </c>
      <c r="C5046" s="5" t="str">
        <f>IFERROR(__xludf.DUMMYFUNCTION("""COMPUTED_VALUE"""),"https://drive.google.com/file/d/1pN2glfhSuUwD6mBq0OkLGfAV38XHuqL9/view?usp=drivesdk")</f>
        <v>https://drive.google.com/file/d/1pN2glfhSuUwD6mBq0OkLGfAV38XHuqL9/view?usp=drivesdk</v>
      </c>
      <c r="D5046" s="12"/>
      <c r="E5046" s="11">
        <v>5084.0</v>
      </c>
      <c r="F5046" s="2"/>
    </row>
    <row r="5047" ht="1.5" customHeight="1">
      <c r="A5047" s="4" t="str">
        <f>IFERROR(__xludf.DUMMYFUNCTION("""COMPUTED_VALUE"""),"0. NotACat")</f>
        <v>0. NotACat</v>
      </c>
      <c r="B5047" s="4" t="str">
        <f>IFERROR(__xludf.DUMMYFUNCTION("""COMPUTED_VALUE"""),"0")</f>
        <v>0</v>
      </c>
      <c r="C5047" s="5" t="str">
        <f>IFERROR(__xludf.DUMMYFUNCTION("""COMPUTED_VALUE"""),"https://drive.google.com/file/d/1NOMhoOw-bGAzWeM1EfSbFep3115gqsRO/view?usp=drivesdk")</f>
        <v>https://drive.google.com/file/d/1NOMhoOw-bGAzWeM1EfSbFep3115gqsRO/view?usp=drivesdk</v>
      </c>
      <c r="D5047" s="12"/>
      <c r="E5047" s="11">
        <v>5085.0</v>
      </c>
      <c r="F5047" s="2"/>
    </row>
    <row r="5048" ht="1.5" customHeight="1">
      <c r="A5048" s="4" t="str">
        <f>IFERROR(__xludf.DUMMYFUNCTION("""COMPUTED_VALUE"""),"0. NotACat")</f>
        <v>0. NotACat</v>
      </c>
      <c r="B5048" s="4" t="str">
        <f>IFERROR(__xludf.DUMMYFUNCTION("""COMPUTED_VALUE"""),"0")</f>
        <v>0</v>
      </c>
      <c r="C5048" s="5" t="str">
        <f>IFERROR(__xludf.DUMMYFUNCTION("""COMPUTED_VALUE"""),"https://drive.google.com/file/d/1Bvqa_pocxFSXWXx0RlpY6pQBF46Z7BwC/view?usp=drivesdk")</f>
        <v>https://drive.google.com/file/d/1Bvqa_pocxFSXWXx0RlpY6pQBF46Z7BwC/view?usp=drivesdk</v>
      </c>
      <c r="D5048" s="12"/>
      <c r="E5048" s="11">
        <v>5086.0</v>
      </c>
      <c r="F5048" s="2"/>
    </row>
    <row r="5049" ht="1.5" customHeight="1">
      <c r="A5049" s="4" t="str">
        <f>IFERROR(__xludf.DUMMYFUNCTION("""COMPUTED_VALUE"""),"5. Eraser")</f>
        <v>5. Eraser</v>
      </c>
      <c r="B5049" s="4" t="str">
        <f>IFERROR(__xludf.DUMMYFUNCTION("""COMPUTED_VALUE"""),"5")</f>
        <v>5</v>
      </c>
      <c r="C5049" s="5" t="str">
        <f>IFERROR(__xludf.DUMMYFUNCTION("""COMPUTED_VALUE"""),"https://drive.google.com/file/d/1BbOUdXKp4EhUv89tzxBqAaYueZ54VQE4/view?usp=drivesdk")</f>
        <v>https://drive.google.com/file/d/1BbOUdXKp4EhUv89tzxBqAaYueZ54VQE4/view?usp=drivesdk</v>
      </c>
      <c r="D5049" s="12"/>
      <c r="E5049" s="11">
        <v>5087.0</v>
      </c>
      <c r="F5049" s="2"/>
    </row>
    <row r="5050" ht="1.5" customHeight="1">
      <c r="A5050" s="4" t="str">
        <f>IFERROR(__xludf.DUMMYFUNCTION("""COMPUTED_VALUE"""),"32. Noir")</f>
        <v>32. Noir</v>
      </c>
      <c r="B5050" s="4" t="str">
        <f>IFERROR(__xludf.DUMMYFUNCTION("""COMPUTED_VALUE"""),"32")</f>
        <v>32</v>
      </c>
      <c r="C5050" s="5" t="str">
        <f>IFERROR(__xludf.DUMMYFUNCTION("""COMPUTED_VALUE"""),"https://drive.google.com/file/d/1H_OG_GTTgOSpes3jvfqfwl24sgYozdkD/view?usp=drivesdk")</f>
        <v>https://drive.google.com/file/d/1H_OG_GTTgOSpes3jvfqfwl24sgYozdkD/view?usp=drivesdk</v>
      </c>
      <c r="D5050" s="12"/>
      <c r="E5050" s="11">
        <v>5088.0</v>
      </c>
      <c r="F5050" s="2"/>
    </row>
    <row r="5051" ht="1.5" customHeight="1">
      <c r="A5051" s="4" t="str">
        <f>IFERROR(__xludf.DUMMYFUNCTION("""COMPUTED_VALUE"""),"1. Microwave")</f>
        <v>1. Microwave</v>
      </c>
      <c r="B5051" s="4" t="str">
        <f>IFERROR(__xludf.DUMMYFUNCTION("""COMPUTED_VALUE"""),"1")</f>
        <v>1</v>
      </c>
      <c r="C5051" s="5" t="str">
        <f>IFERROR(__xludf.DUMMYFUNCTION("""COMPUTED_VALUE"""),"https://drive.google.com/file/d/1o-KWUbUYk2ZtmWwXNvTYfpZex7DZMWQ8/view?usp=drivesdk")</f>
        <v>https://drive.google.com/file/d/1o-KWUbUYk2ZtmWwXNvTYfpZex7DZMWQ8/view?usp=drivesdk</v>
      </c>
      <c r="D5051" s="12"/>
      <c r="E5051" s="11">
        <v>5089.0</v>
      </c>
      <c r="F5051" s="2"/>
    </row>
    <row r="5052" ht="1.5" customHeight="1">
      <c r="A5052" s="4" t="str">
        <f>IFERROR(__xludf.DUMMYFUNCTION("""COMPUTED_VALUE"""),"1. Microwave")</f>
        <v>1. Microwave</v>
      </c>
      <c r="B5052" s="4" t="str">
        <f>IFERROR(__xludf.DUMMYFUNCTION("""COMPUTED_VALUE"""),"1")</f>
        <v>1</v>
      </c>
      <c r="C5052" s="5" t="str">
        <f>IFERROR(__xludf.DUMMYFUNCTION("""COMPUTED_VALUE"""),"https://drive.google.com/file/d/1MmnQf7Z-YZnmUWVQ_oGwJfjFfDdxd5E8/view?usp=drivesdk")</f>
        <v>https://drive.google.com/file/d/1MmnQf7Z-YZnmUWVQ_oGwJfjFfDdxd5E8/view?usp=drivesdk</v>
      </c>
      <c r="D5052" s="12"/>
      <c r="E5052" s="11">
        <v>5090.0</v>
      </c>
      <c r="F5052" s="2"/>
    </row>
    <row r="5053" ht="1.5" customHeight="1">
      <c r="A5053" s="4" t="str">
        <f>IFERROR(__xludf.DUMMYFUNCTION("""COMPUTED_VALUE"""),"1. Microwave")</f>
        <v>1. Microwave</v>
      </c>
      <c r="B5053" s="4" t="str">
        <f>IFERROR(__xludf.DUMMYFUNCTION("""COMPUTED_VALUE"""),"1")</f>
        <v>1</v>
      </c>
      <c r="C5053" s="5" t="str">
        <f>IFERROR(__xludf.DUMMYFUNCTION("""COMPUTED_VALUE"""),"https://drive.google.com/file/d/1gG12429wuinc4sxNLvSQUBf5jLiH5p1t/view?usp=drivesdk")</f>
        <v>https://drive.google.com/file/d/1gG12429wuinc4sxNLvSQUBf5jLiH5p1t/view?usp=drivesdk</v>
      </c>
      <c r="D5053" s="12"/>
      <c r="E5053" s="11">
        <v>5091.0</v>
      </c>
      <c r="F5053" s="2"/>
    </row>
    <row r="5054" ht="1.5" customHeight="1">
      <c r="A5054" s="4" t="str">
        <f>IFERROR(__xludf.DUMMYFUNCTION("""COMPUTED_VALUE"""),"1. Microwave")</f>
        <v>1. Microwave</v>
      </c>
      <c r="B5054" s="4" t="str">
        <f>IFERROR(__xludf.DUMMYFUNCTION("""COMPUTED_VALUE"""),"1")</f>
        <v>1</v>
      </c>
      <c r="C5054" s="5" t="str">
        <f>IFERROR(__xludf.DUMMYFUNCTION("""COMPUTED_VALUE"""),"https://drive.google.com/file/d/1rfwC7g-IKzW1pWiiOD987EFlY1L-1wFW/view?usp=drivesdk")</f>
        <v>https://drive.google.com/file/d/1rfwC7g-IKzW1pWiiOD987EFlY1L-1wFW/view?usp=drivesdk</v>
      </c>
      <c r="D5054" s="12"/>
      <c r="E5054" s="11">
        <v>5092.0</v>
      </c>
      <c r="F5054" s="2"/>
    </row>
    <row r="5055" ht="1.5" customHeight="1">
      <c r="A5055" s="4" t="str">
        <f>IFERROR(__xludf.DUMMYFUNCTION("""COMPUTED_VALUE"""),"1. Microwave")</f>
        <v>1. Microwave</v>
      </c>
      <c r="B5055" s="4" t="str">
        <f>IFERROR(__xludf.DUMMYFUNCTION("""COMPUTED_VALUE"""),"1")</f>
        <v>1</v>
      </c>
      <c r="C5055" s="5" t="str">
        <f>IFERROR(__xludf.DUMMYFUNCTION("""COMPUTED_VALUE"""),"https://drive.google.com/file/d/1zaSBkxMlmnz6gfaA7R7pqoJJUCZd_GOo/view?usp=drivesdk")</f>
        <v>https://drive.google.com/file/d/1zaSBkxMlmnz6gfaA7R7pqoJJUCZd_GOo/view?usp=drivesdk</v>
      </c>
      <c r="D5055" s="12"/>
      <c r="E5055" s="11">
        <v>5093.0</v>
      </c>
      <c r="F5055" s="2"/>
    </row>
    <row r="5056" ht="1.5" customHeight="1">
      <c r="A5056" s="4" t="str">
        <f>IFERROR(__xludf.DUMMYFUNCTION("""COMPUTED_VALUE"""),"2. Twix")</f>
        <v>2. Twix</v>
      </c>
      <c r="B5056" s="4" t="str">
        <f>IFERROR(__xludf.DUMMYFUNCTION("""COMPUTED_VALUE"""),"2")</f>
        <v>2</v>
      </c>
      <c r="C5056" s="5" t="str">
        <f>IFERROR(__xludf.DUMMYFUNCTION("""COMPUTED_VALUE"""),"https://drive.google.com/file/d/1K49ax5nfkJQHq8iKr4b5WZADLj3GDVgI/view?usp=drivesdk")</f>
        <v>https://drive.google.com/file/d/1K49ax5nfkJQHq8iKr4b5WZADLj3GDVgI/view?usp=drivesdk</v>
      </c>
      <c r="D5056" s="12"/>
      <c r="E5056" s="11">
        <v>5094.0</v>
      </c>
      <c r="F5056" s="2"/>
    </row>
    <row r="5057" ht="1.5" customHeight="1">
      <c r="A5057" s="4" t="str">
        <f>IFERROR(__xludf.DUMMYFUNCTION("""COMPUTED_VALUE"""),"2. Twix")</f>
        <v>2. Twix</v>
      </c>
      <c r="B5057" s="4" t="str">
        <f>IFERROR(__xludf.DUMMYFUNCTION("""COMPUTED_VALUE"""),"2")</f>
        <v>2</v>
      </c>
      <c r="C5057" s="5" t="str">
        <f>IFERROR(__xludf.DUMMYFUNCTION("""COMPUTED_VALUE"""),"https://drive.google.com/file/d/1oG6SgqBdoKVzKKQuUZMPRXReMIvXTeOm/view?usp=drivesdk")</f>
        <v>https://drive.google.com/file/d/1oG6SgqBdoKVzKKQuUZMPRXReMIvXTeOm/view?usp=drivesdk</v>
      </c>
      <c r="D5057" s="12"/>
      <c r="E5057" s="11">
        <v>5095.0</v>
      </c>
      <c r="F5057" s="2"/>
    </row>
    <row r="5058" ht="1.5" customHeight="1">
      <c r="A5058" s="4" t="str">
        <f>IFERROR(__xludf.DUMMYFUNCTION("""COMPUTED_VALUE"""),"2. Twix")</f>
        <v>2. Twix</v>
      </c>
      <c r="B5058" s="4" t="str">
        <f>IFERROR(__xludf.DUMMYFUNCTION("""COMPUTED_VALUE"""),"2")</f>
        <v>2</v>
      </c>
      <c r="C5058" s="5" t="str">
        <f>IFERROR(__xludf.DUMMYFUNCTION("""COMPUTED_VALUE"""),"https://drive.google.com/file/d/1wGZob4e33bYuDp1TbMJeouWvIQP37m_O/view?usp=drivesdk")</f>
        <v>https://drive.google.com/file/d/1wGZob4e33bYuDp1TbMJeouWvIQP37m_O/view?usp=drivesdk</v>
      </c>
      <c r="D5058" s="12"/>
      <c r="E5058" s="11">
        <v>5096.0</v>
      </c>
      <c r="F5058" s="2"/>
    </row>
    <row r="5059" ht="1.5" customHeight="1">
      <c r="A5059" s="4" t="str">
        <f>IFERROR(__xludf.DUMMYFUNCTION("""COMPUTED_VALUE"""),"2. Twix")</f>
        <v>2. Twix</v>
      </c>
      <c r="B5059" s="4" t="str">
        <f>IFERROR(__xludf.DUMMYFUNCTION("""COMPUTED_VALUE"""),"2")</f>
        <v>2</v>
      </c>
      <c r="C5059" s="5" t="str">
        <f>IFERROR(__xludf.DUMMYFUNCTION("""COMPUTED_VALUE"""),"https://drive.google.com/file/d/1i-3E5CXilnSsSAxfQfCfTzIx9FeHvkOb/view?usp=drivesdk")</f>
        <v>https://drive.google.com/file/d/1i-3E5CXilnSsSAxfQfCfTzIx9FeHvkOb/view?usp=drivesdk</v>
      </c>
      <c r="D5059" s="12"/>
      <c r="E5059" s="11">
        <v>5097.0</v>
      </c>
      <c r="F5059" s="2"/>
    </row>
    <row r="5060" ht="1.5" customHeight="1">
      <c r="A5060" s="4" t="str">
        <f>IFERROR(__xludf.DUMMYFUNCTION("""COMPUTED_VALUE"""),"69. Kinder")</f>
        <v>69. Kinder</v>
      </c>
      <c r="B5060" s="4" t="str">
        <f>IFERROR(__xludf.DUMMYFUNCTION("""COMPUTED_VALUE"""),"69")</f>
        <v>69</v>
      </c>
      <c r="C5060" s="5" t="str">
        <f>IFERROR(__xludf.DUMMYFUNCTION("""COMPUTED_VALUE"""),"https://drive.google.com/file/d/11cwHnFQ48OuaKsfiB5oT9Wvdu6709pcO/view?usp=drivesdk")</f>
        <v>https://drive.google.com/file/d/11cwHnFQ48OuaKsfiB5oT9Wvdu6709pcO/view?usp=drivesdk</v>
      </c>
      <c r="D5060" s="12"/>
      <c r="E5060" s="11">
        <v>5098.0</v>
      </c>
      <c r="F5060" s="2"/>
    </row>
    <row r="5061" ht="1.5" customHeight="1">
      <c r="A5061" s="4" t="str">
        <f>IFERROR(__xludf.DUMMYFUNCTION("""COMPUTED_VALUE"""),"58. Eden")</f>
        <v>58. Eden</v>
      </c>
      <c r="B5061" s="4" t="str">
        <f>IFERROR(__xludf.DUMMYFUNCTION("""COMPUTED_VALUE"""),"58")</f>
        <v>58</v>
      </c>
      <c r="C5061" s="5" t="str">
        <f>IFERROR(__xludf.DUMMYFUNCTION("""COMPUTED_VALUE"""),"https://drive.google.com/file/d/1OVqhjsKjDUSmn3UnwtjqGAGkLp9Ibh_E/view?usp=drivesdk")</f>
        <v>https://drive.google.com/file/d/1OVqhjsKjDUSmn3UnwtjqGAGkLp9Ibh_E/view?usp=drivesdk</v>
      </c>
      <c r="D5061" s="12"/>
      <c r="E5061" s="11">
        <v>5099.0</v>
      </c>
      <c r="F5061" s="2"/>
    </row>
    <row r="5062" ht="1.5" customHeight="1">
      <c r="A5062" s="4" t="str">
        <f>IFERROR(__xludf.DUMMYFUNCTION("""COMPUTED_VALUE"""),"88. Vincente")</f>
        <v>88. Vincente</v>
      </c>
      <c r="B5062" s="4" t="str">
        <f>IFERROR(__xludf.DUMMYFUNCTION("""COMPUTED_VALUE"""),"88")</f>
        <v>88</v>
      </c>
      <c r="C5062" s="5" t="str">
        <f>IFERROR(__xludf.DUMMYFUNCTION("""COMPUTED_VALUE"""),"https://drive.google.com/file/d/1KEm0K0_AaDBWl0TfrRMhSVq0yL_342yR/view?usp=drivesdk")</f>
        <v>https://drive.google.com/file/d/1KEm0K0_AaDBWl0TfrRMhSVq0yL_342yR/view?usp=drivesdk</v>
      </c>
      <c r="D5062" s="12"/>
      <c r="E5062" s="11">
        <v>5100.0</v>
      </c>
      <c r="F5062" s="2"/>
    </row>
    <row r="5063" ht="1.5" customHeight="1">
      <c r="A5063" s="4" t="str">
        <f>IFERROR(__xludf.DUMMYFUNCTION("""COMPUTED_VALUE"""),"88. Vincente")</f>
        <v>88. Vincente</v>
      </c>
      <c r="B5063" s="4" t="str">
        <f>IFERROR(__xludf.DUMMYFUNCTION("""COMPUTED_VALUE"""),"88")</f>
        <v>88</v>
      </c>
      <c r="C5063" s="5" t="str">
        <f>IFERROR(__xludf.DUMMYFUNCTION("""COMPUTED_VALUE"""),"https://drive.google.com/file/d/19qFHD7kjgY3PrgCm8tqTb1qczPRBmOsd/view?usp=drivesdk")</f>
        <v>https://drive.google.com/file/d/19qFHD7kjgY3PrgCm8tqTb1qczPRBmOsd/view?usp=drivesdk</v>
      </c>
      <c r="D5063" s="12"/>
      <c r="E5063" s="11">
        <v>5101.0</v>
      </c>
      <c r="F5063" s="2"/>
    </row>
    <row r="5064" ht="1.5" customHeight="1">
      <c r="A5064" s="4" t="str">
        <f>IFERROR(__xludf.DUMMYFUNCTION("""COMPUTED_VALUE"""),"58. Eden, 44. Shitbag Cuntface, 45. Boots, 95. Ariel, 41. Gregory, 38. Winston, 61. Cassie")</f>
        <v>58. Eden, 44. Shitbag Cuntface, 45. Boots, 95. Ariel, 41. Gregory, 38. Winston, 61. Cassie</v>
      </c>
      <c r="B5064" s="4" t="str">
        <f>IFERROR(__xludf.DUMMYFUNCTION("""COMPUTED_VALUE"""),"58, 44, 45, 95, 41, 38, 61")</f>
        <v>58, 44, 45, 95, 41, 38, 61</v>
      </c>
      <c r="C5064" s="5" t="str">
        <f>IFERROR(__xludf.DUMMYFUNCTION("""COMPUTED_VALUE"""),"https://drive.google.com/file/d/1m86SpbFIyon3pvFfMGFp6m-13LXE-OVO/view?usp=drivesdk")</f>
        <v>https://drive.google.com/file/d/1m86SpbFIyon3pvFfMGFp6m-13LXE-OVO/view?usp=drivesdk</v>
      </c>
      <c r="D5064" s="12"/>
      <c r="E5064" s="11">
        <v>5102.0</v>
      </c>
      <c r="F5064" s="2"/>
    </row>
    <row r="5065" ht="1.5" customHeight="1">
      <c r="A5065" s="4" t="str">
        <f>IFERROR(__xludf.DUMMYFUNCTION("""COMPUTED_VALUE"""),"58. Eden, 45. Boots, 44. Shitbag Cuntface, 95. Ariel, 41. Gregory, 61. Cassie, 38. Winston")</f>
        <v>58. Eden, 45. Boots, 44. Shitbag Cuntface, 95. Ariel, 41. Gregory, 61. Cassie, 38. Winston</v>
      </c>
      <c r="B5065" s="4" t="str">
        <f>IFERROR(__xludf.DUMMYFUNCTION("""COMPUTED_VALUE"""),"58, 45, 44, 95, 41, 61, 38")</f>
        <v>58, 45, 44, 95, 41, 61, 38</v>
      </c>
      <c r="C5065" s="5" t="str">
        <f>IFERROR(__xludf.DUMMYFUNCTION("""COMPUTED_VALUE"""),"https://drive.google.com/file/d/1m8rbnpJzuNmWJDqNvQtgZjxJ0EBsyvto/view?usp=drivesdk")</f>
        <v>https://drive.google.com/file/d/1m8rbnpJzuNmWJDqNvQtgZjxJ0EBsyvto/view?usp=drivesdk</v>
      </c>
      <c r="D5065" s="12"/>
      <c r="E5065" s="11">
        <v>5103.0</v>
      </c>
      <c r="F5065" s="2"/>
    </row>
    <row r="5066" ht="1.5" customHeight="1">
      <c r="A5066" s="4" t="str">
        <f>IFERROR(__xludf.DUMMYFUNCTION("""COMPUTED_VALUE"""),"88. Vincente, 95. Ariel, 41. Gregory, 38. Winston, 45. Boots, 44. Shitbag Cuntface")</f>
        <v>88. Vincente, 95. Ariel, 41. Gregory, 38. Winston, 45. Boots, 44. Shitbag Cuntface</v>
      </c>
      <c r="B5066" s="4" t="str">
        <f>IFERROR(__xludf.DUMMYFUNCTION("""COMPUTED_VALUE"""),"88, 95, 41, 38, 45, 44")</f>
        <v>88, 95, 41, 38, 45, 44</v>
      </c>
      <c r="C5066" s="5" t="str">
        <f>IFERROR(__xludf.DUMMYFUNCTION("""COMPUTED_VALUE"""),"https://drive.google.com/file/d/19-DmraMq7-ySRFoD_Jj2isTzSUJEznZo/view?usp=drivesdk")</f>
        <v>https://drive.google.com/file/d/19-DmraMq7-ySRFoD_Jj2isTzSUJEznZo/view?usp=drivesdk</v>
      </c>
      <c r="D5066" s="12"/>
      <c r="E5066" s="11">
        <v>5104.0</v>
      </c>
      <c r="F5066" s="2"/>
    </row>
    <row r="5067" ht="1.5" customHeight="1">
      <c r="A5067" s="4" t="str">
        <f>IFERROR(__xludf.DUMMYFUNCTION("""COMPUTED_VALUE"""),"2. Twix")</f>
        <v>2. Twix</v>
      </c>
      <c r="B5067" s="4" t="str">
        <f>IFERROR(__xludf.DUMMYFUNCTION("""COMPUTED_VALUE"""),"2")</f>
        <v>2</v>
      </c>
      <c r="C5067" s="5" t="str">
        <f>IFERROR(__xludf.DUMMYFUNCTION("""COMPUTED_VALUE"""),"https://drive.google.com/file/d/1ixrFfuRzbhRTb_8gyzUFX1LRWqF80DEX/view?usp=drivesdk")</f>
        <v>https://drive.google.com/file/d/1ixrFfuRzbhRTb_8gyzUFX1LRWqF80DEX/view?usp=drivesdk</v>
      </c>
      <c r="D5067" s="12"/>
      <c r="E5067" s="11">
        <v>5105.0</v>
      </c>
      <c r="F5067" s="2"/>
    </row>
    <row r="5068" ht="1.5" customHeight="1">
      <c r="A5068" s="4" t="str">
        <f>IFERROR(__xludf.DUMMYFUNCTION("""COMPUTED_VALUE"""),"5. Eraser")</f>
        <v>5. Eraser</v>
      </c>
      <c r="B5068" s="4" t="str">
        <f>IFERROR(__xludf.DUMMYFUNCTION("""COMPUTED_VALUE"""),"5")</f>
        <v>5</v>
      </c>
      <c r="C5068" s="5" t="str">
        <f>IFERROR(__xludf.DUMMYFUNCTION("""COMPUTED_VALUE"""),"https://drive.google.com/file/d/1FTtodXdhaTfTMuHlREaBumSBunKiamYC/view?usp=drivesdk")</f>
        <v>https://drive.google.com/file/d/1FTtodXdhaTfTMuHlREaBumSBunKiamYC/view?usp=drivesdk</v>
      </c>
      <c r="D5068" s="12"/>
      <c r="E5068" s="11">
        <v>5106.0</v>
      </c>
      <c r="F5068" s="2"/>
    </row>
    <row r="5069" ht="1.5" customHeight="1">
      <c r="A5069" s="4" t="str">
        <f>IFERROR(__xludf.DUMMYFUNCTION("""COMPUTED_VALUE"""),"4. Eggs")</f>
        <v>4. Eggs</v>
      </c>
      <c r="B5069" s="4" t="str">
        <f>IFERROR(__xludf.DUMMYFUNCTION("""COMPUTED_VALUE"""),"4")</f>
        <v>4</v>
      </c>
      <c r="C5069" s="5" t="str">
        <f>IFERROR(__xludf.DUMMYFUNCTION("""COMPUTED_VALUE"""),"https://drive.google.com/file/d/194E8yXwGGgH3zfieHVjUIvGwB5Pyb-nD/view?usp=drivesdk")</f>
        <v>https://drive.google.com/file/d/194E8yXwGGgH3zfieHVjUIvGwB5Pyb-nD/view?usp=drivesdk</v>
      </c>
      <c r="D5069" s="12"/>
      <c r="E5069" s="11">
        <v>5107.0</v>
      </c>
      <c r="F5069" s="2"/>
    </row>
    <row r="5070" ht="1.5" customHeight="1">
      <c r="A5070" s="4" t="str">
        <f>IFERROR(__xludf.DUMMYFUNCTION("""COMPUTED_VALUE"""),"27. Angel")</f>
        <v>27. Angel</v>
      </c>
      <c r="B5070" s="4" t="str">
        <f>IFERROR(__xludf.DUMMYFUNCTION("""COMPUTED_VALUE"""),"27")</f>
        <v>27</v>
      </c>
      <c r="C5070" s="5" t="str">
        <f>IFERROR(__xludf.DUMMYFUNCTION("""COMPUTED_VALUE"""),"https://drive.google.com/file/d/1mK4mmG6dKrWAaoEiLKZBjp10CGCamOFu/view?usp=drivesdk")</f>
        <v>https://drive.google.com/file/d/1mK4mmG6dKrWAaoEiLKZBjp10CGCamOFu/view?usp=drivesdk</v>
      </c>
      <c r="D5070" s="12"/>
      <c r="E5070" s="11">
        <v>5108.0</v>
      </c>
      <c r="F5070" s="2"/>
    </row>
    <row r="5071" ht="1.5" customHeight="1">
      <c r="A5071" s="4" t="str">
        <f>IFERROR(__xludf.DUMMYFUNCTION("""COMPUTED_VALUE"""),"49. Freya, 50. Thor")</f>
        <v>49. Freya, 50. Thor</v>
      </c>
      <c r="B5071" s="4" t="str">
        <f>IFERROR(__xludf.DUMMYFUNCTION("""COMPUTED_VALUE"""),"49, 50")</f>
        <v>49, 50</v>
      </c>
      <c r="C5071" s="5" t="str">
        <f>IFERROR(__xludf.DUMMYFUNCTION("""COMPUTED_VALUE"""),"https://drive.google.com/file/d/1wARMN3bE1FHx4_3JFBCUsicQWNyk53NJ/view?usp=drivesdk")</f>
        <v>https://drive.google.com/file/d/1wARMN3bE1FHx4_3JFBCUsicQWNyk53NJ/view?usp=drivesdk</v>
      </c>
      <c r="D5071" s="12"/>
      <c r="E5071" s="11">
        <v>5109.0</v>
      </c>
      <c r="F5071" s="2"/>
    </row>
    <row r="5072" ht="1.5" customHeight="1">
      <c r="A5072" s="4" t="str">
        <f>IFERROR(__xludf.DUMMYFUNCTION("""COMPUTED_VALUE"""),"33. Zee, 32. Noir")</f>
        <v>33. Zee, 32. Noir</v>
      </c>
      <c r="B5072" s="4" t="str">
        <f>IFERROR(__xludf.DUMMYFUNCTION("""COMPUTED_VALUE"""),"33, 32")</f>
        <v>33, 32</v>
      </c>
      <c r="C5072" s="5" t="str">
        <f>IFERROR(__xludf.DUMMYFUNCTION("""COMPUTED_VALUE"""),"https://drive.google.com/file/d/1xWMLLl8wASVXumUe8SH4jt-xrDjhgcBb/view?usp=drivesdk")</f>
        <v>https://drive.google.com/file/d/1xWMLLl8wASVXumUe8SH4jt-xrDjhgcBb/view?usp=drivesdk</v>
      </c>
      <c r="D5072" s="12"/>
      <c r="E5072" s="11">
        <v>5110.0</v>
      </c>
      <c r="F5072" s="2"/>
    </row>
    <row r="5073" ht="1.5" customHeight="1">
      <c r="A5073" s="4" t="str">
        <f>IFERROR(__xludf.DUMMYFUNCTION("""COMPUTED_VALUE"""),"49. Freya, 50. Thor")</f>
        <v>49. Freya, 50. Thor</v>
      </c>
      <c r="B5073" s="4" t="str">
        <f>IFERROR(__xludf.DUMMYFUNCTION("""COMPUTED_VALUE"""),"49, 50")</f>
        <v>49, 50</v>
      </c>
      <c r="C5073" s="5" t="str">
        <f>IFERROR(__xludf.DUMMYFUNCTION("""COMPUTED_VALUE"""),"https://drive.google.com/file/d/1UA4CC532p_4Oez04n2Y0rEO9fR68S-_7/view?usp=drivesdk")</f>
        <v>https://drive.google.com/file/d/1UA4CC532p_4Oez04n2Y0rEO9fR68S-_7/view?usp=drivesdk</v>
      </c>
      <c r="D5073" s="12"/>
      <c r="E5073" s="11">
        <v>5111.0</v>
      </c>
      <c r="F5073" s="2"/>
    </row>
    <row r="5074" ht="1.5" customHeight="1">
      <c r="A5074" s="4" t="str">
        <f>IFERROR(__xludf.DUMMYFUNCTION("""COMPUTED_VALUE"""),"0. NotACat")</f>
        <v>0. NotACat</v>
      </c>
      <c r="B5074" s="4" t="str">
        <f>IFERROR(__xludf.DUMMYFUNCTION("""COMPUTED_VALUE"""),"0")</f>
        <v>0</v>
      </c>
      <c r="C5074" s="5" t="str">
        <f>IFERROR(__xludf.DUMMYFUNCTION("""COMPUTED_VALUE"""),"https://drive.google.com/file/d/1yQ98tbn3cTTBMphvpwqIaI-4fMIBEVNE/view?usp=drivesdk")</f>
        <v>https://drive.google.com/file/d/1yQ98tbn3cTTBMphvpwqIaI-4fMIBEVNE/view?usp=drivesdk</v>
      </c>
      <c r="D5074" s="12"/>
      <c r="E5074" s="11">
        <v>5112.0</v>
      </c>
      <c r="F5074" s="2"/>
    </row>
    <row r="5075" ht="1.5" customHeight="1">
      <c r="A5075" s="4" t="str">
        <f>IFERROR(__xludf.DUMMYFUNCTION("""COMPUTED_VALUE"""),"2. Twix")</f>
        <v>2. Twix</v>
      </c>
      <c r="B5075" s="4" t="str">
        <f>IFERROR(__xludf.DUMMYFUNCTION("""COMPUTED_VALUE"""),"2")</f>
        <v>2</v>
      </c>
      <c r="C5075" s="5" t="str">
        <f>IFERROR(__xludf.DUMMYFUNCTION("""COMPUTED_VALUE"""),"https://drive.google.com/file/d/1SJFB7tsAB22Em_05YLWgB-nZ8WX5MVIM/view?usp=drivesdk")</f>
        <v>https://drive.google.com/file/d/1SJFB7tsAB22Em_05YLWgB-nZ8WX5MVIM/view?usp=drivesdk</v>
      </c>
      <c r="D5075" s="12"/>
      <c r="E5075" s="11">
        <v>5113.0</v>
      </c>
      <c r="F5075" s="2"/>
    </row>
    <row r="5076" ht="1.5" customHeight="1">
      <c r="A5076" s="4" t="str">
        <f>IFERROR(__xludf.DUMMYFUNCTION("""COMPUTED_VALUE"""),"0. NotACat")</f>
        <v>0. NotACat</v>
      </c>
      <c r="B5076" s="4" t="str">
        <f>IFERROR(__xludf.DUMMYFUNCTION("""COMPUTED_VALUE"""),"0")</f>
        <v>0</v>
      </c>
      <c r="C5076" s="5" t="str">
        <f>IFERROR(__xludf.DUMMYFUNCTION("""COMPUTED_VALUE"""),"https://drive.google.com/file/d/1ldYR9UI2JsH7cmqSNVIAqOczhFflVCIP/view?usp=drivesdk")</f>
        <v>https://drive.google.com/file/d/1ldYR9UI2JsH7cmqSNVIAqOczhFflVCIP/view?usp=drivesdk</v>
      </c>
      <c r="D5076" s="12"/>
      <c r="E5076" s="11">
        <v>5114.0</v>
      </c>
      <c r="F5076" s="2"/>
    </row>
    <row r="5077" ht="1.5" customHeight="1">
      <c r="A5077" s="4" t="str">
        <f>IFERROR(__xludf.DUMMYFUNCTION("""COMPUTED_VALUE"""),"0. NotACat")</f>
        <v>0. NotACat</v>
      </c>
      <c r="B5077" s="4" t="str">
        <f>IFERROR(__xludf.DUMMYFUNCTION("""COMPUTED_VALUE"""),"0")</f>
        <v>0</v>
      </c>
      <c r="C5077" s="5" t="str">
        <f>IFERROR(__xludf.DUMMYFUNCTION("""COMPUTED_VALUE"""),"https://drive.google.com/file/d/1AuqzNZpKCPwWneKDcpK5t1PsaVAocxZF/view?usp=drivesdk")</f>
        <v>https://drive.google.com/file/d/1AuqzNZpKCPwWneKDcpK5t1PsaVAocxZF/view?usp=drivesdk</v>
      </c>
      <c r="D5077" s="12"/>
      <c r="E5077" s="11">
        <v>5115.0</v>
      </c>
      <c r="F5077" s="2"/>
    </row>
    <row r="5078" ht="1.5" customHeight="1">
      <c r="A5078" s="4" t="str">
        <f>IFERROR(__xludf.DUMMYFUNCTION("""COMPUTED_VALUE"""),"97.  Simba")</f>
        <v>97.  Simba</v>
      </c>
      <c r="B5078" s="4" t="str">
        <f>IFERROR(__xludf.DUMMYFUNCTION("""COMPUTED_VALUE"""),"97")</f>
        <v>97</v>
      </c>
      <c r="C5078" s="5" t="str">
        <f>IFERROR(__xludf.DUMMYFUNCTION("""COMPUTED_VALUE"""),"https://drive.google.com/file/d/1cv8t9ITZnqZQxzWFRZ-7bs4JgNTjhjIm/view?usp=drivesdk")</f>
        <v>https://drive.google.com/file/d/1cv8t9ITZnqZQxzWFRZ-7bs4JgNTjhjIm/view?usp=drivesdk</v>
      </c>
      <c r="D5078" s="12"/>
      <c r="E5078" s="11">
        <v>5116.0</v>
      </c>
      <c r="F5078" s="2"/>
    </row>
    <row r="5079" ht="1.5" customHeight="1">
      <c r="A5079" s="4" t="str">
        <f>IFERROR(__xludf.DUMMYFUNCTION("""COMPUTED_VALUE"""),"97.  Simba")</f>
        <v>97.  Simba</v>
      </c>
      <c r="B5079" s="4" t="str">
        <f>IFERROR(__xludf.DUMMYFUNCTION("""COMPUTED_VALUE"""),"97")</f>
        <v>97</v>
      </c>
      <c r="C5079" s="5" t="str">
        <f>IFERROR(__xludf.DUMMYFUNCTION("""COMPUTED_VALUE"""),"https://drive.google.com/file/d/1lpzq5rORQm4O3EAjmDxEr8IvtT0o9n86/view?usp=drivesdk")</f>
        <v>https://drive.google.com/file/d/1lpzq5rORQm4O3EAjmDxEr8IvtT0o9n86/view?usp=drivesdk</v>
      </c>
      <c r="D5079" s="12"/>
      <c r="E5079" s="11">
        <v>5117.0</v>
      </c>
      <c r="F5079" s="2"/>
    </row>
    <row r="5080" ht="1.5" customHeight="1">
      <c r="A5080" s="4" t="str">
        <f>IFERROR(__xludf.DUMMYFUNCTION("""COMPUTED_VALUE"""),"97.  Simba")</f>
        <v>97.  Simba</v>
      </c>
      <c r="B5080" s="4" t="str">
        <f>IFERROR(__xludf.DUMMYFUNCTION("""COMPUTED_VALUE"""),"97")</f>
        <v>97</v>
      </c>
      <c r="C5080" s="5" t="str">
        <f>IFERROR(__xludf.DUMMYFUNCTION("""COMPUTED_VALUE"""),"https://drive.google.com/file/d/1HqDeIlLdFIS3Youe-Wf5oEcBXXjc6CjC/view?usp=drivesdk")</f>
        <v>https://drive.google.com/file/d/1HqDeIlLdFIS3Youe-Wf5oEcBXXjc6CjC/view?usp=drivesdk</v>
      </c>
      <c r="D5080" s="12"/>
      <c r="E5080" s="11">
        <v>5118.0</v>
      </c>
      <c r="F5080" s="2"/>
    </row>
    <row r="5081" ht="1.5" customHeight="1">
      <c r="A5081" s="4" t="str">
        <f>IFERROR(__xludf.DUMMYFUNCTION("""COMPUTED_VALUE"""),"97.  Simba")</f>
        <v>97.  Simba</v>
      </c>
      <c r="B5081" s="4" t="str">
        <f>IFERROR(__xludf.DUMMYFUNCTION("""COMPUTED_VALUE"""),"97")</f>
        <v>97</v>
      </c>
      <c r="C5081" s="5" t="str">
        <f>IFERROR(__xludf.DUMMYFUNCTION("""COMPUTED_VALUE"""),"https://drive.google.com/file/d/1Ub8o6QSgeG579aJWsyC0PuOqUFJvzZTD/view?usp=drivesdk")</f>
        <v>https://drive.google.com/file/d/1Ub8o6QSgeG579aJWsyC0PuOqUFJvzZTD/view?usp=drivesdk</v>
      </c>
      <c r="D5081" s="12"/>
      <c r="E5081" s="11">
        <v>5119.0</v>
      </c>
      <c r="F5081" s="2"/>
    </row>
    <row r="5082" ht="1.5" customHeight="1">
      <c r="A5082" s="4" t="str">
        <f>IFERROR(__xludf.DUMMYFUNCTION("""COMPUTED_VALUE"""),"96. Barbie")</f>
        <v>96. Barbie</v>
      </c>
      <c r="B5082" s="4" t="str">
        <f>IFERROR(__xludf.DUMMYFUNCTION("""COMPUTED_VALUE"""),"96")</f>
        <v>96</v>
      </c>
      <c r="C5082" s="5" t="str">
        <f>IFERROR(__xludf.DUMMYFUNCTION("""COMPUTED_VALUE"""),"https://drive.google.com/file/d/1oDi3v-dXldMOjjicFm2IjAM-erjBM1Hh/view?usp=drivesdk")</f>
        <v>https://drive.google.com/file/d/1oDi3v-dXldMOjjicFm2IjAM-erjBM1Hh/view?usp=drivesdk</v>
      </c>
      <c r="D5082" s="12"/>
      <c r="E5082" s="11">
        <v>5120.0</v>
      </c>
      <c r="F5082" s="2"/>
    </row>
    <row r="5083" ht="1.5" customHeight="1">
      <c r="A5083" s="4" t="str">
        <f>IFERROR(__xludf.DUMMYFUNCTION("""COMPUTED_VALUE"""),"96. Barbie")</f>
        <v>96. Barbie</v>
      </c>
      <c r="B5083" s="4" t="str">
        <f>IFERROR(__xludf.DUMMYFUNCTION("""COMPUTED_VALUE"""),"96")</f>
        <v>96</v>
      </c>
      <c r="C5083" s="5" t="str">
        <f>IFERROR(__xludf.DUMMYFUNCTION("""COMPUTED_VALUE"""),"https://drive.google.com/file/d/1V88gYP1J44YF3m2258jAzHBN8VtChiLk/view?usp=drivesdk")</f>
        <v>https://drive.google.com/file/d/1V88gYP1J44YF3m2258jAzHBN8VtChiLk/view?usp=drivesdk</v>
      </c>
      <c r="D5083" s="12"/>
      <c r="E5083" s="11">
        <v>5121.0</v>
      </c>
      <c r="F5083" s="2"/>
    </row>
    <row r="5084" ht="1.5" customHeight="1">
      <c r="A5084" s="4" t="str">
        <f>IFERROR(__xludf.DUMMYFUNCTION("""COMPUTED_VALUE"""),"1. Microwave")</f>
        <v>1. Microwave</v>
      </c>
      <c r="B5084" s="4" t="str">
        <f>IFERROR(__xludf.DUMMYFUNCTION("""COMPUTED_VALUE"""),"1")</f>
        <v>1</v>
      </c>
      <c r="C5084" s="5" t="str">
        <f>IFERROR(__xludf.DUMMYFUNCTION("""COMPUTED_VALUE"""),"https://drive.google.com/file/d/1riCYo_x-YhhJpN5LJ3wQlulNqLyRulGG/view?usp=drivesdk")</f>
        <v>https://drive.google.com/file/d/1riCYo_x-YhhJpN5LJ3wQlulNqLyRulGG/view?usp=drivesdk</v>
      </c>
      <c r="D5084" s="12"/>
      <c r="E5084" s="11">
        <v>5122.0</v>
      </c>
      <c r="F5084" s="2"/>
    </row>
    <row r="5085" ht="1.5" customHeight="1">
      <c r="A5085" s="4" t="str">
        <f>IFERROR(__xludf.DUMMYFUNCTION("""COMPUTED_VALUE"""),"1. Microwave")</f>
        <v>1. Microwave</v>
      </c>
      <c r="B5085" s="4" t="str">
        <f>IFERROR(__xludf.DUMMYFUNCTION("""COMPUTED_VALUE"""),"1")</f>
        <v>1</v>
      </c>
      <c r="C5085" s="5" t="str">
        <f>IFERROR(__xludf.DUMMYFUNCTION("""COMPUTED_VALUE"""),"https://drive.google.com/file/d/1A6jpZRoHHG1P1VwoBGsFasXLE3ZxXVXn/view?usp=drivesdk")</f>
        <v>https://drive.google.com/file/d/1A6jpZRoHHG1P1VwoBGsFasXLE3ZxXVXn/view?usp=drivesdk</v>
      </c>
      <c r="D5085" s="12"/>
      <c r="E5085" s="11">
        <v>5123.0</v>
      </c>
      <c r="F5085" s="2"/>
    </row>
    <row r="5086" ht="1.5" customHeight="1">
      <c r="A5086" s="4" t="str">
        <f>IFERROR(__xludf.DUMMYFUNCTION("""COMPUTED_VALUE"""),"4. Eggs")</f>
        <v>4. Eggs</v>
      </c>
      <c r="B5086" s="4" t="str">
        <f>IFERROR(__xludf.DUMMYFUNCTION("""COMPUTED_VALUE"""),"4")</f>
        <v>4</v>
      </c>
      <c r="C5086" s="5" t="str">
        <f>IFERROR(__xludf.DUMMYFUNCTION("""COMPUTED_VALUE"""),"https://drive.google.com/file/d/1B1xNxctjvnYcGjRckA1s_RpCCuL4Jj5U/view?usp=drivesdk")</f>
        <v>https://drive.google.com/file/d/1B1xNxctjvnYcGjRckA1s_RpCCuL4Jj5U/view?usp=drivesdk</v>
      </c>
      <c r="D5086" s="12"/>
      <c r="E5086" s="11">
        <v>5124.0</v>
      </c>
      <c r="F5086" s="2"/>
    </row>
    <row r="5087" ht="1.5" customHeight="1">
      <c r="A5087" s="4" t="str">
        <f>IFERROR(__xludf.DUMMYFUNCTION("""COMPUTED_VALUE"""),"2. Twix")</f>
        <v>2. Twix</v>
      </c>
      <c r="B5087" s="4" t="str">
        <f>IFERROR(__xludf.DUMMYFUNCTION("""COMPUTED_VALUE"""),"2")</f>
        <v>2</v>
      </c>
      <c r="C5087" s="5" t="str">
        <f>IFERROR(__xludf.DUMMYFUNCTION("""COMPUTED_VALUE"""),"https://drive.google.com/file/d/1Lb9OBuYSwHMHRNzseItPE70DkvjVJSZh/view?usp=drivesdk")</f>
        <v>https://drive.google.com/file/d/1Lb9OBuYSwHMHRNzseItPE70DkvjVJSZh/view?usp=drivesdk</v>
      </c>
      <c r="D5087" s="12"/>
      <c r="E5087" s="11">
        <v>5125.0</v>
      </c>
      <c r="F5087" s="2"/>
    </row>
    <row r="5088" ht="1.5" customHeight="1">
      <c r="A5088" s="4" t="str">
        <f>IFERROR(__xludf.DUMMYFUNCTION("""COMPUTED_VALUE"""),"2. Twix")</f>
        <v>2. Twix</v>
      </c>
      <c r="B5088" s="4" t="str">
        <f>IFERROR(__xludf.DUMMYFUNCTION("""COMPUTED_VALUE"""),"2")</f>
        <v>2</v>
      </c>
      <c r="C5088" s="5" t="str">
        <f>IFERROR(__xludf.DUMMYFUNCTION("""COMPUTED_VALUE"""),"https://drive.google.com/file/d/1dw_qrB7bEmpfoDyXKV6Hmwe33d8BED5-/view?usp=drivesdk")</f>
        <v>https://drive.google.com/file/d/1dw_qrB7bEmpfoDyXKV6Hmwe33d8BED5-/view?usp=drivesdk</v>
      </c>
      <c r="D5088" s="12"/>
      <c r="E5088" s="11">
        <v>5126.0</v>
      </c>
      <c r="F5088" s="2"/>
    </row>
    <row r="5089" ht="1.5" customHeight="1">
      <c r="A5089" s="4" t="str">
        <f>IFERROR(__xludf.DUMMYFUNCTION("""COMPUTED_VALUE"""),"2. Twix")</f>
        <v>2. Twix</v>
      </c>
      <c r="B5089" s="4" t="str">
        <f>IFERROR(__xludf.DUMMYFUNCTION("""COMPUTED_VALUE"""),"2")</f>
        <v>2</v>
      </c>
      <c r="C5089" s="5" t="str">
        <f>IFERROR(__xludf.DUMMYFUNCTION("""COMPUTED_VALUE"""),"https://drive.google.com/file/d/1IvXc2aguzp-oNG2RVygYqJLteKQcqUUO/view?usp=drivesdk")</f>
        <v>https://drive.google.com/file/d/1IvXc2aguzp-oNG2RVygYqJLteKQcqUUO/view?usp=drivesdk</v>
      </c>
      <c r="D5089" s="12"/>
      <c r="E5089" s="11">
        <v>5127.0</v>
      </c>
      <c r="F5089" s="2"/>
    </row>
    <row r="5090" ht="1.5" customHeight="1">
      <c r="A5090" s="4" t="str">
        <f>IFERROR(__xludf.DUMMYFUNCTION("""COMPUTED_VALUE"""),"2. Twix")</f>
        <v>2. Twix</v>
      </c>
      <c r="B5090" s="4" t="str">
        <f>IFERROR(__xludf.DUMMYFUNCTION("""COMPUTED_VALUE"""),"2")</f>
        <v>2</v>
      </c>
      <c r="C5090" s="5" t="str">
        <f>IFERROR(__xludf.DUMMYFUNCTION("""COMPUTED_VALUE"""),"https://drive.google.com/file/d/19EptwAoGqZi8a6zkBrUO70cUxreMOzn0/view?usp=drivesdk")</f>
        <v>https://drive.google.com/file/d/19EptwAoGqZi8a6zkBrUO70cUxreMOzn0/view?usp=drivesdk</v>
      </c>
      <c r="D5090" s="12"/>
      <c r="E5090" s="11">
        <v>5128.0</v>
      </c>
      <c r="F5090" s="2"/>
    </row>
    <row r="5091" ht="1.5" customHeight="1">
      <c r="A5091" s="4" t="str">
        <f>IFERROR(__xludf.DUMMYFUNCTION("""COMPUTED_VALUE"""),"2. Twix")</f>
        <v>2. Twix</v>
      </c>
      <c r="B5091" s="4" t="str">
        <f>IFERROR(__xludf.DUMMYFUNCTION("""COMPUTED_VALUE"""),"2")</f>
        <v>2</v>
      </c>
      <c r="C5091" s="5" t="str">
        <f>IFERROR(__xludf.DUMMYFUNCTION("""COMPUTED_VALUE"""),"https://drive.google.com/file/d/1dH9iqKuobb3bNcj0QEaWZWpKgI9Cxi-x/view?usp=drivesdk")</f>
        <v>https://drive.google.com/file/d/1dH9iqKuobb3bNcj0QEaWZWpKgI9Cxi-x/view?usp=drivesdk</v>
      </c>
      <c r="D5091" s="12"/>
      <c r="E5091" s="11">
        <v>5129.0</v>
      </c>
      <c r="F5091" s="2"/>
    </row>
    <row r="5092" ht="1.5" customHeight="1">
      <c r="A5092" s="4" t="str">
        <f>IFERROR(__xludf.DUMMYFUNCTION("""COMPUTED_VALUE"""),"1. Microwave")</f>
        <v>1. Microwave</v>
      </c>
      <c r="B5092" s="4" t="str">
        <f>IFERROR(__xludf.DUMMYFUNCTION("""COMPUTED_VALUE"""),"1")</f>
        <v>1</v>
      </c>
      <c r="C5092" s="5" t="str">
        <f>IFERROR(__xludf.DUMMYFUNCTION("""COMPUTED_VALUE"""),"https://drive.google.com/file/d/1rX4C0or12EsBXFgZTtf9aB8-G4ySLOdx/view?usp=drivesdk")</f>
        <v>https://drive.google.com/file/d/1rX4C0or12EsBXFgZTtf9aB8-G4ySLOdx/view?usp=drivesdk</v>
      </c>
      <c r="D5092" s="12"/>
      <c r="E5092" s="11">
        <v>5130.0</v>
      </c>
      <c r="F5092" s="2"/>
    </row>
    <row r="5093" ht="1.5" customHeight="1">
      <c r="A5093" s="4" t="str">
        <f>IFERROR(__xludf.DUMMYFUNCTION("""COMPUTED_VALUE"""),"0. NotACat")</f>
        <v>0. NotACat</v>
      </c>
      <c r="B5093" s="4" t="str">
        <f>IFERROR(__xludf.DUMMYFUNCTION("""COMPUTED_VALUE"""),"0")</f>
        <v>0</v>
      </c>
      <c r="C5093" s="5" t="str">
        <f>IFERROR(__xludf.DUMMYFUNCTION("""COMPUTED_VALUE"""),"https://drive.google.com/file/d/1Z1F42IEyZ3x7mT3-uxh-wlwquCyqm74H/view?usp=drivesdk")</f>
        <v>https://drive.google.com/file/d/1Z1F42IEyZ3x7mT3-uxh-wlwquCyqm74H/view?usp=drivesdk</v>
      </c>
      <c r="D5093" s="12"/>
      <c r="E5093" s="11">
        <v>5131.0</v>
      </c>
      <c r="F5093" s="2"/>
    </row>
    <row r="5094" ht="1.5" customHeight="1">
      <c r="A5094" s="4" t="str">
        <f>IFERROR(__xludf.DUMMYFUNCTION("""COMPUTED_VALUE"""),"0. NotACat")</f>
        <v>0. NotACat</v>
      </c>
      <c r="B5094" s="4" t="str">
        <f>IFERROR(__xludf.DUMMYFUNCTION("""COMPUTED_VALUE"""),"0")</f>
        <v>0</v>
      </c>
      <c r="C5094" s="5" t="str">
        <f>IFERROR(__xludf.DUMMYFUNCTION("""COMPUTED_VALUE"""),"https://drive.google.com/file/d/1JvqxQEb_z_1KUWHkYdTsU3xFqLzy0wC8/view?usp=drivesdk")</f>
        <v>https://drive.google.com/file/d/1JvqxQEb_z_1KUWHkYdTsU3xFqLzy0wC8/view?usp=drivesdk</v>
      </c>
      <c r="D5094" s="12"/>
      <c r="E5094" s="11">
        <v>5132.0</v>
      </c>
      <c r="F5094" s="2"/>
    </row>
    <row r="5095" ht="1.5" customHeight="1">
      <c r="A5095" s="4" t="str">
        <f>IFERROR(__xludf.DUMMYFUNCTION("""COMPUTED_VALUE"""),"0. NotACat")</f>
        <v>0. NotACat</v>
      </c>
      <c r="B5095" s="4" t="str">
        <f>IFERROR(__xludf.DUMMYFUNCTION("""COMPUTED_VALUE"""),"0")</f>
        <v>0</v>
      </c>
      <c r="C5095" s="5" t="str">
        <f>IFERROR(__xludf.DUMMYFUNCTION("""COMPUTED_VALUE"""),"https://drive.google.com/file/d/1hpNWExtpXJu1n6PTbDTSfVl5_CfIuAxK/view?usp=drivesdk")</f>
        <v>https://drive.google.com/file/d/1hpNWExtpXJu1n6PTbDTSfVl5_CfIuAxK/view?usp=drivesdk</v>
      </c>
      <c r="D5095" s="12"/>
      <c r="E5095" s="11">
        <v>5133.0</v>
      </c>
      <c r="F5095" s="2"/>
    </row>
    <row r="5096" ht="1.5" customHeight="1">
      <c r="A5096" s="4" t="str">
        <f>IFERROR(__xludf.DUMMYFUNCTION("""COMPUTED_VALUE"""),"0. NotACat")</f>
        <v>0. NotACat</v>
      </c>
      <c r="B5096" s="4" t="str">
        <f>IFERROR(__xludf.DUMMYFUNCTION("""COMPUTED_VALUE"""),"0")</f>
        <v>0</v>
      </c>
      <c r="C5096" s="5" t="str">
        <f>IFERROR(__xludf.DUMMYFUNCTION("""COMPUTED_VALUE"""),"https://drive.google.com/file/d/1U6am6zEyk0KsuG3kOkuTmaHbkfbsUADE/view?usp=drivesdk")</f>
        <v>https://drive.google.com/file/d/1U6am6zEyk0KsuG3kOkuTmaHbkfbsUADE/view?usp=drivesdk</v>
      </c>
      <c r="D5096" s="12"/>
      <c r="E5096" s="11">
        <v>5134.0</v>
      </c>
      <c r="F5096" s="2"/>
    </row>
    <row r="5097" ht="1.5" customHeight="1">
      <c r="A5097" s="4" t="str">
        <f>IFERROR(__xludf.DUMMYFUNCTION("""COMPUTED_VALUE"""),"0. NotACat")</f>
        <v>0. NotACat</v>
      </c>
      <c r="B5097" s="4" t="str">
        <f>IFERROR(__xludf.DUMMYFUNCTION("""COMPUTED_VALUE"""),"0")</f>
        <v>0</v>
      </c>
      <c r="C5097" s="5" t="str">
        <f>IFERROR(__xludf.DUMMYFUNCTION("""COMPUTED_VALUE"""),"https://drive.google.com/file/d/1FFuxpztmzajT9XyGxn2ENJX-3rSSKrEJ/view?usp=drivesdk")</f>
        <v>https://drive.google.com/file/d/1FFuxpztmzajT9XyGxn2ENJX-3rSSKrEJ/view?usp=drivesdk</v>
      </c>
      <c r="D5097" s="12"/>
      <c r="E5097" s="11">
        <v>5135.0</v>
      </c>
      <c r="F5097" s="2"/>
    </row>
    <row r="5098" ht="1.5" customHeight="1">
      <c r="A5098" s="4" t="str">
        <f>IFERROR(__xludf.DUMMYFUNCTION("""COMPUTED_VALUE"""),"0. NotACat")</f>
        <v>0. NotACat</v>
      </c>
      <c r="B5098" s="4" t="str">
        <f>IFERROR(__xludf.DUMMYFUNCTION("""COMPUTED_VALUE"""),"0")</f>
        <v>0</v>
      </c>
      <c r="C5098" s="5" t="str">
        <f>IFERROR(__xludf.DUMMYFUNCTION("""COMPUTED_VALUE"""),"https://drive.google.com/file/d/1zV0CleaQX58U1Dgl8uh4xccxS3lDgiHH/view?usp=drivesdk")</f>
        <v>https://drive.google.com/file/d/1zV0CleaQX58U1Dgl8uh4xccxS3lDgiHH/view?usp=drivesdk</v>
      </c>
      <c r="D5098" s="12"/>
      <c r="E5098" s="11">
        <v>5136.0</v>
      </c>
      <c r="F5098" s="2"/>
    </row>
    <row r="5099" ht="1.5" customHeight="1">
      <c r="A5099" s="4" t="str">
        <f>IFERROR(__xludf.DUMMYFUNCTION("""COMPUTED_VALUE"""),"2. Twix")</f>
        <v>2. Twix</v>
      </c>
      <c r="B5099" s="4" t="str">
        <f>IFERROR(__xludf.DUMMYFUNCTION("""COMPUTED_VALUE"""),"2")</f>
        <v>2</v>
      </c>
      <c r="C5099" s="5" t="str">
        <f>IFERROR(__xludf.DUMMYFUNCTION("""COMPUTED_VALUE"""),"https://drive.google.com/file/d/1rfK8nDLn8kslPdc2BgJumGLObSNCCG9R/view?usp=drivesdk")</f>
        <v>https://drive.google.com/file/d/1rfK8nDLn8kslPdc2BgJumGLObSNCCG9R/view?usp=drivesdk</v>
      </c>
      <c r="D5099" s="12"/>
      <c r="E5099" s="11">
        <v>5137.0</v>
      </c>
      <c r="F5099" s="2"/>
    </row>
    <row r="5100" ht="1.5" customHeight="1">
      <c r="A5100" s="4" t="str">
        <f>IFERROR(__xludf.DUMMYFUNCTION("""COMPUTED_VALUE"""),"2. Twix")</f>
        <v>2. Twix</v>
      </c>
      <c r="B5100" s="4" t="str">
        <f>IFERROR(__xludf.DUMMYFUNCTION("""COMPUTED_VALUE"""),"2")</f>
        <v>2</v>
      </c>
      <c r="C5100" s="5" t="str">
        <f>IFERROR(__xludf.DUMMYFUNCTION("""COMPUTED_VALUE"""),"https://drive.google.com/file/d/1PiqJReYsnT1v1kor-WriRqSx9LXJmBKw/view?usp=drivesdk")</f>
        <v>https://drive.google.com/file/d/1PiqJReYsnT1v1kor-WriRqSx9LXJmBKw/view?usp=drivesdk</v>
      </c>
      <c r="D5100" s="12"/>
      <c r="E5100" s="11">
        <v>5138.0</v>
      </c>
      <c r="F5100" s="2"/>
    </row>
    <row r="5101" ht="1.5" customHeight="1">
      <c r="A5101" s="4" t="str">
        <f>IFERROR(__xludf.DUMMYFUNCTION("""COMPUTED_VALUE"""),"97.  Simba, 98. Timon")</f>
        <v>97.  Simba, 98. Timon</v>
      </c>
      <c r="B5101" s="4" t="str">
        <f>IFERROR(__xludf.DUMMYFUNCTION("""COMPUTED_VALUE"""),"97, 98")</f>
        <v>97, 98</v>
      </c>
      <c r="C5101" s="5" t="str">
        <f>IFERROR(__xludf.DUMMYFUNCTION("""COMPUTED_VALUE"""),"https://drive.google.com/file/d/1Dx4FnZwbJXq5ggANwlLxNQ8Rwn6lnUn5/view?usp=drivesdk")</f>
        <v>https://drive.google.com/file/d/1Dx4FnZwbJXq5ggANwlLxNQ8Rwn6lnUn5/view?usp=drivesdk</v>
      </c>
      <c r="D5101" s="12"/>
      <c r="E5101" s="11">
        <v>5139.0</v>
      </c>
      <c r="F5101" s="2"/>
    </row>
    <row r="5102" ht="1.5" customHeight="1">
      <c r="A5102" s="4" t="str">
        <f>IFERROR(__xludf.DUMMYFUNCTION("""COMPUTED_VALUE"""),"97.  Simba, 98. Timon")</f>
        <v>97.  Simba, 98. Timon</v>
      </c>
      <c r="B5102" s="4" t="str">
        <f>IFERROR(__xludf.DUMMYFUNCTION("""COMPUTED_VALUE"""),"97, 98")</f>
        <v>97, 98</v>
      </c>
      <c r="C5102" s="5" t="str">
        <f>IFERROR(__xludf.DUMMYFUNCTION("""COMPUTED_VALUE"""),"https://drive.google.com/file/d/1jipexGsBFyUFwYft25tCIhct-Ovpt4vg/view?usp=drivesdk")</f>
        <v>https://drive.google.com/file/d/1jipexGsBFyUFwYft25tCIhct-Ovpt4vg/view?usp=drivesdk</v>
      </c>
      <c r="D5102" s="12"/>
      <c r="E5102" s="11">
        <v>5140.0</v>
      </c>
      <c r="F5102" s="2"/>
    </row>
    <row r="5103" ht="1.5" customHeight="1">
      <c r="A5103" s="4" t="str">
        <f>IFERROR(__xludf.DUMMYFUNCTION("""COMPUTED_VALUE"""),"5. Eraser")</f>
        <v>5. Eraser</v>
      </c>
      <c r="B5103" s="4" t="str">
        <f>IFERROR(__xludf.DUMMYFUNCTION("""COMPUTED_VALUE"""),"5")</f>
        <v>5</v>
      </c>
      <c r="C5103" s="5" t="str">
        <f>IFERROR(__xludf.DUMMYFUNCTION("""COMPUTED_VALUE"""),"https://drive.google.com/file/d/1EGodW5dTUNLPzndU5NvO4G6F0qAVlzR9/view?usp=drivesdk")</f>
        <v>https://drive.google.com/file/d/1EGodW5dTUNLPzndU5NvO4G6F0qAVlzR9/view?usp=drivesdk</v>
      </c>
      <c r="D5103" s="12"/>
      <c r="E5103" s="11">
        <v>5141.0</v>
      </c>
      <c r="F5103" s="2"/>
    </row>
    <row r="5104" ht="1.5" customHeight="1">
      <c r="A5104" s="4" t="str">
        <f>IFERROR(__xludf.DUMMYFUNCTION("""COMPUTED_VALUE"""),"4. Eggs")</f>
        <v>4. Eggs</v>
      </c>
      <c r="B5104" s="4" t="str">
        <f>IFERROR(__xludf.DUMMYFUNCTION("""COMPUTED_VALUE"""),"4")</f>
        <v>4</v>
      </c>
      <c r="C5104" s="5" t="str">
        <f>IFERROR(__xludf.DUMMYFUNCTION("""COMPUTED_VALUE"""),"https://drive.google.com/file/d/1KMVFVUeSpooC9GSnSntsZJYIbdviHKzl/view?usp=drivesdk")</f>
        <v>https://drive.google.com/file/d/1KMVFVUeSpooC9GSnSntsZJYIbdviHKzl/view?usp=drivesdk</v>
      </c>
      <c r="D5104" s="12"/>
      <c r="E5104" s="11">
        <v>5142.0</v>
      </c>
      <c r="F5104" s="2"/>
    </row>
    <row r="5105" ht="1.5" customHeight="1">
      <c r="A5105" s="4" t="str">
        <f>IFERROR(__xludf.DUMMYFUNCTION("""COMPUTED_VALUE"""),"2. Twix")</f>
        <v>2. Twix</v>
      </c>
      <c r="B5105" s="4" t="str">
        <f>IFERROR(__xludf.DUMMYFUNCTION("""COMPUTED_VALUE"""),"2")</f>
        <v>2</v>
      </c>
      <c r="C5105" s="5" t="str">
        <f>IFERROR(__xludf.DUMMYFUNCTION("""COMPUTED_VALUE"""),"https://drive.google.com/file/d/1LuYBCYOYxfNqRrUkbFimN_wCrbGFQD--/view?usp=drivesdk")</f>
        <v>https://drive.google.com/file/d/1LuYBCYOYxfNqRrUkbFimN_wCrbGFQD--/view?usp=drivesdk</v>
      </c>
      <c r="D5105" s="12"/>
      <c r="E5105" s="11">
        <v>5143.0</v>
      </c>
      <c r="F5105" s="2"/>
    </row>
    <row r="5106" ht="1.5" customHeight="1">
      <c r="A5106" s="4" t="str">
        <f>IFERROR(__xludf.DUMMYFUNCTION("""COMPUTED_VALUE"""),"5. Eraser")</f>
        <v>5. Eraser</v>
      </c>
      <c r="B5106" s="4" t="str">
        <f>IFERROR(__xludf.DUMMYFUNCTION("""COMPUTED_VALUE"""),"5")</f>
        <v>5</v>
      </c>
      <c r="C5106" s="5" t="str">
        <f>IFERROR(__xludf.DUMMYFUNCTION("""COMPUTED_VALUE"""),"https://drive.google.com/file/d/16BHtmEv7kOWRL4YnK5BunOtW_8yNnzR8/view?usp=drivesdk")</f>
        <v>https://drive.google.com/file/d/16BHtmEv7kOWRL4YnK5BunOtW_8yNnzR8/view?usp=drivesdk</v>
      </c>
      <c r="D5106" s="12"/>
      <c r="E5106" s="11">
        <v>5144.0</v>
      </c>
      <c r="F5106" s="2"/>
    </row>
    <row r="5107" ht="1.5" customHeight="1">
      <c r="A5107" s="4" t="str">
        <f>IFERROR(__xludf.DUMMYFUNCTION("""COMPUTED_VALUE"""),"4. Eggs")</f>
        <v>4. Eggs</v>
      </c>
      <c r="B5107" s="4" t="str">
        <f>IFERROR(__xludf.DUMMYFUNCTION("""COMPUTED_VALUE"""),"4")</f>
        <v>4</v>
      </c>
      <c r="C5107" s="5" t="str">
        <f>IFERROR(__xludf.DUMMYFUNCTION("""COMPUTED_VALUE"""),"https://drive.google.com/file/d/17Hw5TDPGNKKA3541TQc-d5H41FoMNxSc/view?usp=drivesdk")</f>
        <v>https://drive.google.com/file/d/17Hw5TDPGNKKA3541TQc-d5H41FoMNxSc/view?usp=drivesdk</v>
      </c>
      <c r="D5107" s="12"/>
      <c r="E5107" s="11">
        <v>5145.0</v>
      </c>
      <c r="F5107" s="2"/>
    </row>
    <row r="5108" ht="1.5" customHeight="1">
      <c r="A5108" s="4" t="str">
        <f>IFERROR(__xludf.DUMMYFUNCTION("""COMPUTED_VALUE"""),"2. Twix")</f>
        <v>2. Twix</v>
      </c>
      <c r="B5108" s="4" t="str">
        <f>IFERROR(__xludf.DUMMYFUNCTION("""COMPUTED_VALUE"""),"2")</f>
        <v>2</v>
      </c>
      <c r="C5108" s="5" t="str">
        <f>IFERROR(__xludf.DUMMYFUNCTION("""COMPUTED_VALUE"""),"https://drive.google.com/file/d/1WAzvBii6CHnXGcp2vfRu7CuANMRK9PhY/view?usp=drivesdk")</f>
        <v>https://drive.google.com/file/d/1WAzvBii6CHnXGcp2vfRu7CuANMRK9PhY/view?usp=drivesdk</v>
      </c>
      <c r="D5108" s="12"/>
      <c r="E5108" s="11">
        <v>5146.0</v>
      </c>
      <c r="F5108" s="2"/>
    </row>
    <row r="5109" ht="1.5" customHeight="1">
      <c r="A5109" s="4" t="str">
        <f>IFERROR(__xludf.DUMMYFUNCTION("""COMPUTED_VALUE"""),"2. Twix")</f>
        <v>2. Twix</v>
      </c>
      <c r="B5109" s="4" t="str">
        <f>IFERROR(__xludf.DUMMYFUNCTION("""COMPUTED_VALUE"""),"2")</f>
        <v>2</v>
      </c>
      <c r="C5109" s="5" t="str">
        <f>IFERROR(__xludf.DUMMYFUNCTION("""COMPUTED_VALUE"""),"https://drive.google.com/file/d/15sksaYZOC90moHWD1LfXxrA4Am0E5FoB/view?usp=drivesdk")</f>
        <v>https://drive.google.com/file/d/15sksaYZOC90moHWD1LfXxrA4Am0E5FoB/view?usp=drivesdk</v>
      </c>
      <c r="D5109" s="12"/>
      <c r="E5109" s="11">
        <v>5147.0</v>
      </c>
      <c r="F5109" s="2"/>
    </row>
    <row r="5110" ht="1.5" customHeight="1">
      <c r="A5110" s="4" t="str">
        <f>IFERROR(__xludf.DUMMYFUNCTION("""COMPUTED_VALUE"""),"2. Twix")</f>
        <v>2. Twix</v>
      </c>
      <c r="B5110" s="4" t="str">
        <f>IFERROR(__xludf.DUMMYFUNCTION("""COMPUTED_VALUE"""),"2")</f>
        <v>2</v>
      </c>
      <c r="C5110" s="5" t="str">
        <f>IFERROR(__xludf.DUMMYFUNCTION("""COMPUTED_VALUE"""),"https://drive.google.com/file/d/16exfb8c92Yil09COpNmohsy_PtJr_gqG/view?usp=drivesdk")</f>
        <v>https://drive.google.com/file/d/16exfb8c92Yil09COpNmohsy_PtJr_gqG/view?usp=drivesdk</v>
      </c>
      <c r="D5110" s="12"/>
      <c r="E5110" s="11">
        <v>5148.0</v>
      </c>
      <c r="F5110" s="2"/>
    </row>
    <row r="5111" ht="1.5" customHeight="1">
      <c r="A5111" s="4" t="str">
        <f>IFERROR(__xludf.DUMMYFUNCTION("""COMPUTED_VALUE"""),"1. Microwave")</f>
        <v>1. Microwave</v>
      </c>
      <c r="B5111" s="4" t="str">
        <f>IFERROR(__xludf.DUMMYFUNCTION("""COMPUTED_VALUE"""),"1")</f>
        <v>1</v>
      </c>
      <c r="C5111" s="5" t="str">
        <f>IFERROR(__xludf.DUMMYFUNCTION("""COMPUTED_VALUE"""),"https://drive.google.com/file/d/1EEVOl7EpXthlXVFfbsfuuhofjxTWffWE/view?usp=drivesdk")</f>
        <v>https://drive.google.com/file/d/1EEVOl7EpXthlXVFfbsfuuhofjxTWffWE/view?usp=drivesdk</v>
      </c>
      <c r="D5111" s="12"/>
      <c r="E5111" s="11">
        <v>5149.0</v>
      </c>
      <c r="F5111" s="2"/>
    </row>
    <row r="5112" ht="1.5" customHeight="1">
      <c r="A5112" s="4" t="str">
        <f>IFERROR(__xludf.DUMMYFUNCTION("""COMPUTED_VALUE"""),"1. Microwave")</f>
        <v>1. Microwave</v>
      </c>
      <c r="B5112" s="4" t="str">
        <f>IFERROR(__xludf.DUMMYFUNCTION("""COMPUTED_VALUE"""),"1")</f>
        <v>1</v>
      </c>
      <c r="C5112" s="5" t="str">
        <f>IFERROR(__xludf.DUMMYFUNCTION("""COMPUTED_VALUE"""),"https://drive.google.com/file/d/1zN-8G9dWdFNgx-znQWbVb2SpVxH6CGmv/view?usp=drivesdk")</f>
        <v>https://drive.google.com/file/d/1zN-8G9dWdFNgx-znQWbVb2SpVxH6CGmv/view?usp=drivesdk</v>
      </c>
      <c r="D5112" s="12"/>
      <c r="E5112" s="11">
        <v>5150.0</v>
      </c>
      <c r="F5112" s="2"/>
    </row>
    <row r="5113" ht="1.5" customHeight="1">
      <c r="A5113" s="4" t="str">
        <f>IFERROR(__xludf.DUMMYFUNCTION("""COMPUTED_VALUE"""),"1. Microwave")</f>
        <v>1. Microwave</v>
      </c>
      <c r="B5113" s="4" t="str">
        <f>IFERROR(__xludf.DUMMYFUNCTION("""COMPUTED_VALUE"""),"1")</f>
        <v>1</v>
      </c>
      <c r="C5113" s="5" t="str">
        <f>IFERROR(__xludf.DUMMYFUNCTION("""COMPUTED_VALUE"""),"https://drive.google.com/file/d/1_WAZSXB_TVvYmVbugRV-863IvHT4jkzV/view?usp=drivesdk")</f>
        <v>https://drive.google.com/file/d/1_WAZSXB_TVvYmVbugRV-863IvHT4jkzV/view?usp=drivesdk</v>
      </c>
      <c r="D5113" s="12"/>
      <c r="E5113" s="11">
        <v>5151.0</v>
      </c>
      <c r="F5113" s="2"/>
    </row>
    <row r="5114" ht="1.5" customHeight="1">
      <c r="A5114" s="4" t="str">
        <f>IFERROR(__xludf.DUMMYFUNCTION("""COMPUTED_VALUE"""),"4. Eggs, 5. Eraser")</f>
        <v>4. Eggs, 5. Eraser</v>
      </c>
      <c r="B5114" s="4" t="str">
        <f>IFERROR(__xludf.DUMMYFUNCTION("""COMPUTED_VALUE"""),"4, 5")</f>
        <v>4, 5</v>
      </c>
      <c r="C5114" s="5" t="str">
        <f>IFERROR(__xludf.DUMMYFUNCTION("""COMPUTED_VALUE"""),"https://drive.google.com/file/d/1KDPnkLYBM46EcYsMETIzhgBoTWf02_i7/view?usp=drivesdk")</f>
        <v>https://drive.google.com/file/d/1KDPnkLYBM46EcYsMETIzhgBoTWf02_i7/view?usp=drivesdk</v>
      </c>
      <c r="D5114" s="12"/>
      <c r="E5114" s="11">
        <v>5152.0</v>
      </c>
      <c r="F5114" s="2"/>
    </row>
    <row r="5115" ht="1.5" customHeight="1">
      <c r="A5115" s="4" t="str">
        <f>IFERROR(__xludf.DUMMYFUNCTION("""COMPUTED_VALUE"""),"0. NotACat")</f>
        <v>0. NotACat</v>
      </c>
      <c r="B5115" s="4" t="str">
        <f>IFERROR(__xludf.DUMMYFUNCTION("""COMPUTED_VALUE"""),"0")</f>
        <v>0</v>
      </c>
      <c r="C5115" s="5" t="str">
        <f>IFERROR(__xludf.DUMMYFUNCTION("""COMPUTED_VALUE"""),"https://drive.google.com/file/d/1FekryZGqNVdDvaaWuSRLwkVw1EdSa5PE/view?usp=drivesdk")</f>
        <v>https://drive.google.com/file/d/1FekryZGqNVdDvaaWuSRLwkVw1EdSa5PE/view?usp=drivesdk</v>
      </c>
      <c r="D5115" s="12"/>
      <c r="E5115" s="11">
        <v>5153.0</v>
      </c>
      <c r="F5115" s="2"/>
    </row>
    <row r="5116" ht="1.5" customHeight="1">
      <c r="A5116" s="4" t="str">
        <f>IFERROR(__xludf.DUMMYFUNCTION("""COMPUTED_VALUE"""),"6. Snickers")</f>
        <v>6. Snickers</v>
      </c>
      <c r="B5116" s="4" t="str">
        <f>IFERROR(__xludf.DUMMYFUNCTION("""COMPUTED_VALUE"""),"6")</f>
        <v>6</v>
      </c>
      <c r="C5116" s="5" t="str">
        <f>IFERROR(__xludf.DUMMYFUNCTION("""COMPUTED_VALUE"""),"https://drive.google.com/file/d/1k-x-JE6AvHJ2bAlw5Xso86xBPtZfN-_R/view?usp=drivesdk")</f>
        <v>https://drive.google.com/file/d/1k-x-JE6AvHJ2bAlw5Xso86xBPtZfN-_R/view?usp=drivesdk</v>
      </c>
      <c r="D5116" s="12"/>
      <c r="E5116" s="11">
        <v>5154.0</v>
      </c>
      <c r="F5116" s="2"/>
    </row>
    <row r="5117" ht="1.5" customHeight="1">
      <c r="A5117" s="4" t="str">
        <f>IFERROR(__xludf.DUMMYFUNCTION("""COMPUTED_VALUE"""),"6. Snickers")</f>
        <v>6. Snickers</v>
      </c>
      <c r="B5117" s="4" t="str">
        <f>IFERROR(__xludf.DUMMYFUNCTION("""COMPUTED_VALUE"""),"6")</f>
        <v>6</v>
      </c>
      <c r="C5117" s="5" t="str">
        <f>IFERROR(__xludf.DUMMYFUNCTION("""COMPUTED_VALUE"""),"https://drive.google.com/file/d/1gSS_Pb3_Rm3dcCbHQMqeTmf1Ks-h3PH8/view?usp=drivesdk")</f>
        <v>https://drive.google.com/file/d/1gSS_Pb3_Rm3dcCbHQMqeTmf1Ks-h3PH8/view?usp=drivesdk</v>
      </c>
      <c r="D5117" s="12"/>
      <c r="E5117" s="11">
        <v>5155.0</v>
      </c>
      <c r="F5117" s="2"/>
    </row>
    <row r="5118" ht="1.5" customHeight="1">
      <c r="A5118" s="4" t="str">
        <f>IFERROR(__xludf.DUMMYFUNCTION("""COMPUTED_VALUE"""),"6. Snickers")</f>
        <v>6. Snickers</v>
      </c>
      <c r="B5118" s="4" t="str">
        <f>IFERROR(__xludf.DUMMYFUNCTION("""COMPUTED_VALUE"""),"6")</f>
        <v>6</v>
      </c>
      <c r="C5118" s="5" t="str">
        <f>IFERROR(__xludf.DUMMYFUNCTION("""COMPUTED_VALUE"""),"https://drive.google.com/file/d/1xwXy3h7IeRJ09Egi6xzKu81JvsGzhK3h/view?usp=drivesdk")</f>
        <v>https://drive.google.com/file/d/1xwXy3h7IeRJ09Egi6xzKu81JvsGzhK3h/view?usp=drivesdk</v>
      </c>
      <c r="D5118" s="12"/>
      <c r="E5118" s="11">
        <v>5156.0</v>
      </c>
      <c r="F5118" s="2"/>
    </row>
    <row r="5119" ht="1.5" customHeight="1">
      <c r="A5119" s="4" t="str">
        <f>IFERROR(__xludf.DUMMYFUNCTION("""COMPUTED_VALUE"""),"1. Microwave")</f>
        <v>1. Microwave</v>
      </c>
      <c r="B5119" s="4" t="str">
        <f>IFERROR(__xludf.DUMMYFUNCTION("""COMPUTED_VALUE"""),"1")</f>
        <v>1</v>
      </c>
      <c r="C5119" s="5" t="str">
        <f>IFERROR(__xludf.DUMMYFUNCTION("""COMPUTED_VALUE"""),"https://drive.google.com/file/d/1J2sZKg_HXaVA7npVL2YCHh4OVZnVpINw/view?usp=drivesdk")</f>
        <v>https://drive.google.com/file/d/1J2sZKg_HXaVA7npVL2YCHh4OVZnVpINw/view?usp=drivesdk</v>
      </c>
      <c r="D5119" s="12"/>
      <c r="E5119" s="11">
        <v>5157.0</v>
      </c>
      <c r="F5119" s="2"/>
    </row>
    <row r="5120" ht="1.5" customHeight="1">
      <c r="A5120" s="4" t="str">
        <f>IFERROR(__xludf.DUMMYFUNCTION("""COMPUTED_VALUE"""),"1. Microwave")</f>
        <v>1. Microwave</v>
      </c>
      <c r="B5120" s="4" t="str">
        <f>IFERROR(__xludf.DUMMYFUNCTION("""COMPUTED_VALUE"""),"1")</f>
        <v>1</v>
      </c>
      <c r="C5120" s="5" t="str">
        <f>IFERROR(__xludf.DUMMYFUNCTION("""COMPUTED_VALUE"""),"https://drive.google.com/file/d/1WuzF3vyDuSLpWcj-v6UFhsVNF5L70eEz/view?usp=drivesdk")</f>
        <v>https://drive.google.com/file/d/1WuzF3vyDuSLpWcj-v6UFhsVNF5L70eEz/view?usp=drivesdk</v>
      </c>
      <c r="D5120" s="12"/>
      <c r="E5120" s="11">
        <v>5158.0</v>
      </c>
      <c r="F5120" s="2"/>
    </row>
    <row r="5121" ht="1.5" customHeight="1">
      <c r="A5121" s="4" t="str">
        <f>IFERROR(__xludf.DUMMYFUNCTION("""COMPUTED_VALUE"""),"1. Microwave")</f>
        <v>1. Microwave</v>
      </c>
      <c r="B5121" s="4" t="str">
        <f>IFERROR(__xludf.DUMMYFUNCTION("""COMPUTED_VALUE"""),"1")</f>
        <v>1</v>
      </c>
      <c r="C5121" s="5" t="str">
        <f>IFERROR(__xludf.DUMMYFUNCTION("""COMPUTED_VALUE"""),"https://drive.google.com/file/d/1fwwA0XUzKcX9S2XPlWmg75eAcyN9h7B7/view?usp=drivesdk")</f>
        <v>https://drive.google.com/file/d/1fwwA0XUzKcX9S2XPlWmg75eAcyN9h7B7/view?usp=drivesdk</v>
      </c>
      <c r="D5121" s="12"/>
      <c r="E5121" s="11">
        <v>5159.0</v>
      </c>
      <c r="F5121" s="2"/>
    </row>
    <row r="5122" ht="1.5" customHeight="1">
      <c r="A5122" s="4" t="str">
        <f>IFERROR(__xludf.DUMMYFUNCTION("""COMPUTED_VALUE"""),"1. Microwave")</f>
        <v>1. Microwave</v>
      </c>
      <c r="B5122" s="4" t="str">
        <f>IFERROR(__xludf.DUMMYFUNCTION("""COMPUTED_VALUE"""),"1")</f>
        <v>1</v>
      </c>
      <c r="C5122" s="5" t="str">
        <f>IFERROR(__xludf.DUMMYFUNCTION("""COMPUTED_VALUE"""),"https://drive.google.com/file/d/1Oo0sAuLu8elCm4uitv6XcLalyhzx0VmQ/view?usp=drivesdk")</f>
        <v>https://drive.google.com/file/d/1Oo0sAuLu8elCm4uitv6XcLalyhzx0VmQ/view?usp=drivesdk</v>
      </c>
      <c r="D5122" s="12"/>
      <c r="E5122" s="11">
        <v>5160.0</v>
      </c>
      <c r="F5122" s="2"/>
    </row>
    <row r="5123" ht="1.5" customHeight="1">
      <c r="A5123" s="4" t="str">
        <f>IFERROR(__xludf.DUMMYFUNCTION("""COMPUTED_VALUE"""),"98. Timon, 97.  Simba")</f>
        <v>98. Timon, 97.  Simba</v>
      </c>
      <c r="B5123" s="4" t="str">
        <f>IFERROR(__xludf.DUMMYFUNCTION("""COMPUTED_VALUE"""),"98, 97")</f>
        <v>98, 97</v>
      </c>
      <c r="C5123" s="5" t="str">
        <f>IFERROR(__xludf.DUMMYFUNCTION("""COMPUTED_VALUE"""),"https://drive.google.com/file/d/1VxV0vXdaJFYK1r83NBd4SzO_6Gr5dzTF/view?usp=drivesdk")</f>
        <v>https://drive.google.com/file/d/1VxV0vXdaJFYK1r83NBd4SzO_6Gr5dzTF/view?usp=drivesdk</v>
      </c>
      <c r="D5123" s="12"/>
      <c r="E5123" s="11">
        <v>5161.0</v>
      </c>
      <c r="F5123" s="2"/>
    </row>
    <row r="5124" ht="1.5" customHeight="1">
      <c r="A5124" s="4" t="str">
        <f>IFERROR(__xludf.DUMMYFUNCTION("""COMPUTED_VALUE"""),"0. NotACat")</f>
        <v>0. NotACat</v>
      </c>
      <c r="B5124" s="4" t="str">
        <f>IFERROR(__xludf.DUMMYFUNCTION("""COMPUTED_VALUE"""),"0")</f>
        <v>0</v>
      </c>
      <c r="C5124" s="5" t="str">
        <f>IFERROR(__xludf.DUMMYFUNCTION("""COMPUTED_VALUE"""),"https://drive.google.com/file/d/1KHvgM2R6XuDIYtfoJ7QCQEf4cVM97iN7/view?usp=drivesdk")</f>
        <v>https://drive.google.com/file/d/1KHvgM2R6XuDIYtfoJ7QCQEf4cVM97iN7/view?usp=drivesdk</v>
      </c>
      <c r="D5124" s="12"/>
      <c r="E5124" s="11">
        <v>5162.0</v>
      </c>
      <c r="F5124" s="2"/>
    </row>
    <row r="5125" ht="1.5" customHeight="1">
      <c r="A5125" s="4" t="str">
        <f>IFERROR(__xludf.DUMMYFUNCTION("""COMPUTED_VALUE"""),"0. NotACat")</f>
        <v>0. NotACat</v>
      </c>
      <c r="B5125" s="4" t="str">
        <f>IFERROR(__xludf.DUMMYFUNCTION("""COMPUTED_VALUE"""),"0")</f>
        <v>0</v>
      </c>
      <c r="C5125" s="5" t="str">
        <f>IFERROR(__xludf.DUMMYFUNCTION("""COMPUTED_VALUE"""),"https://drive.google.com/file/d/1bzp2-DvmtJH1zvhXXqOxaKUxNCHpyY3p/view?usp=drivesdk")</f>
        <v>https://drive.google.com/file/d/1bzp2-DvmtJH1zvhXXqOxaKUxNCHpyY3p/view?usp=drivesdk</v>
      </c>
      <c r="D5125" s="12"/>
      <c r="E5125" s="11">
        <v>5163.0</v>
      </c>
      <c r="F5125" s="2"/>
    </row>
    <row r="5126" ht="1.5" customHeight="1">
      <c r="A5126" s="4" t="str">
        <f>IFERROR(__xludf.DUMMYFUNCTION("""COMPUTED_VALUE"""),"0. NotACat")</f>
        <v>0. NotACat</v>
      </c>
      <c r="B5126" s="4" t="str">
        <f>IFERROR(__xludf.DUMMYFUNCTION("""COMPUTED_VALUE"""),"0")</f>
        <v>0</v>
      </c>
      <c r="C5126" s="5" t="str">
        <f>IFERROR(__xludf.DUMMYFUNCTION("""COMPUTED_VALUE"""),"https://drive.google.com/file/d/1c1jDprTEinhroi0WiKR3DW683eP49uv-/view?usp=drivesdk")</f>
        <v>https://drive.google.com/file/d/1c1jDprTEinhroi0WiKR3DW683eP49uv-/view?usp=drivesdk</v>
      </c>
      <c r="D5126" s="12"/>
      <c r="E5126" s="11">
        <v>5164.0</v>
      </c>
      <c r="F5126" s="2"/>
    </row>
    <row r="5127" ht="1.5" customHeight="1">
      <c r="A5127" s="4" t="str">
        <f>IFERROR(__xludf.DUMMYFUNCTION("""COMPUTED_VALUE"""),"0. NotACat")</f>
        <v>0. NotACat</v>
      </c>
      <c r="B5127" s="4" t="str">
        <f>IFERROR(__xludf.DUMMYFUNCTION("""COMPUTED_VALUE"""),"0")</f>
        <v>0</v>
      </c>
      <c r="C5127" s="5" t="str">
        <f>IFERROR(__xludf.DUMMYFUNCTION("""COMPUTED_VALUE"""),"https://drive.google.com/file/d/1GUpDEBRXtANo-k8xdVLI4JDRFdNAejyV/view?usp=drivesdk")</f>
        <v>https://drive.google.com/file/d/1GUpDEBRXtANo-k8xdVLI4JDRFdNAejyV/view?usp=drivesdk</v>
      </c>
      <c r="D5127" s="12"/>
      <c r="E5127" s="11">
        <v>5165.0</v>
      </c>
      <c r="F5127" s="2"/>
    </row>
    <row r="5128" ht="1.5" customHeight="1">
      <c r="A5128" s="4" t="str">
        <f>IFERROR(__xludf.DUMMYFUNCTION("""COMPUTED_VALUE"""),"0. NotACat")</f>
        <v>0. NotACat</v>
      </c>
      <c r="B5128" s="4" t="str">
        <f>IFERROR(__xludf.DUMMYFUNCTION("""COMPUTED_VALUE"""),"0")</f>
        <v>0</v>
      </c>
      <c r="C5128" s="5" t="str">
        <f>IFERROR(__xludf.DUMMYFUNCTION("""COMPUTED_VALUE"""),"https://drive.google.com/file/d/12DxG1MWuWk6HG9UR84FU7upwA59QIF0B/view?usp=drivesdk")</f>
        <v>https://drive.google.com/file/d/12DxG1MWuWk6HG9UR84FU7upwA59QIF0B/view?usp=drivesdk</v>
      </c>
      <c r="D5128" s="12"/>
      <c r="E5128" s="11">
        <v>5166.0</v>
      </c>
      <c r="F5128" s="2"/>
    </row>
    <row r="5129" ht="1.5" customHeight="1">
      <c r="A5129" s="4" t="str">
        <f>IFERROR(__xludf.DUMMYFUNCTION("""COMPUTED_VALUE"""),"0. NotACat")</f>
        <v>0. NotACat</v>
      </c>
      <c r="B5129" s="4" t="str">
        <f>IFERROR(__xludf.DUMMYFUNCTION("""COMPUTED_VALUE"""),"0")</f>
        <v>0</v>
      </c>
      <c r="C5129" s="5" t="str">
        <f>IFERROR(__xludf.DUMMYFUNCTION("""COMPUTED_VALUE"""),"https://drive.google.com/file/d/1kkt5-RdIFtE9mYp_x0C9kIBFOiajq9Xe/view?usp=drivesdk")</f>
        <v>https://drive.google.com/file/d/1kkt5-RdIFtE9mYp_x0C9kIBFOiajq9Xe/view?usp=drivesdk</v>
      </c>
      <c r="D5129" s="12"/>
      <c r="E5129" s="11">
        <v>5167.0</v>
      </c>
      <c r="F5129" s="2"/>
    </row>
    <row r="5130" ht="1.5" customHeight="1">
      <c r="A5130" s="4" t="str">
        <f>IFERROR(__xludf.DUMMYFUNCTION("""COMPUTED_VALUE"""),"0. NotACat")</f>
        <v>0. NotACat</v>
      </c>
      <c r="B5130" s="4" t="str">
        <f>IFERROR(__xludf.DUMMYFUNCTION("""COMPUTED_VALUE"""),"0")</f>
        <v>0</v>
      </c>
      <c r="C5130" s="5" t="str">
        <f>IFERROR(__xludf.DUMMYFUNCTION("""COMPUTED_VALUE"""),"https://drive.google.com/file/d/1ipIZIoRFnmszK8FU-93SoVrr31igWeQ2/view?usp=drivesdk")</f>
        <v>https://drive.google.com/file/d/1ipIZIoRFnmszK8FU-93SoVrr31igWeQ2/view?usp=drivesdk</v>
      </c>
      <c r="D5130" s="12"/>
      <c r="E5130" s="11">
        <v>5168.0</v>
      </c>
      <c r="F5130" s="2"/>
    </row>
    <row r="5131" ht="1.5" customHeight="1">
      <c r="A5131" s="4" t="str">
        <f>IFERROR(__xludf.DUMMYFUNCTION("""COMPUTED_VALUE"""),"0. NotACat")</f>
        <v>0. NotACat</v>
      </c>
      <c r="B5131" s="4" t="str">
        <f>IFERROR(__xludf.DUMMYFUNCTION("""COMPUTED_VALUE"""),"0")</f>
        <v>0</v>
      </c>
      <c r="C5131" s="5" t="str">
        <f>IFERROR(__xludf.DUMMYFUNCTION("""COMPUTED_VALUE"""),"https://drive.google.com/file/d/1fpbkpoZinZYQ7O4E7MQUO6TSgzABzyHI/view?usp=drivesdk")</f>
        <v>https://drive.google.com/file/d/1fpbkpoZinZYQ7O4E7MQUO6TSgzABzyHI/view?usp=drivesdk</v>
      </c>
      <c r="D5131" s="12"/>
      <c r="E5131" s="11">
        <v>5169.0</v>
      </c>
      <c r="F5131" s="2"/>
    </row>
    <row r="5132" ht="1.5" customHeight="1">
      <c r="A5132" s="4" t="str">
        <f>IFERROR(__xludf.DUMMYFUNCTION("""COMPUTED_VALUE"""),"0. NotACat")</f>
        <v>0. NotACat</v>
      </c>
      <c r="B5132" s="4" t="str">
        <f>IFERROR(__xludf.DUMMYFUNCTION("""COMPUTED_VALUE"""),"0")</f>
        <v>0</v>
      </c>
      <c r="C5132" s="5" t="str">
        <f>IFERROR(__xludf.DUMMYFUNCTION("""COMPUTED_VALUE"""),"https://drive.google.com/file/d/1c-C7CZEh4CMbPOq7yclyGRoeUrAcXUrz/view?usp=drivesdk")</f>
        <v>https://drive.google.com/file/d/1c-C7CZEh4CMbPOq7yclyGRoeUrAcXUrz/view?usp=drivesdk</v>
      </c>
      <c r="D5132" s="12"/>
      <c r="E5132" s="11">
        <v>5170.0</v>
      </c>
      <c r="F5132" s="2"/>
    </row>
    <row r="5133" ht="1.5" customHeight="1">
      <c r="A5133" s="4" t="str">
        <f>IFERROR(__xludf.DUMMYFUNCTION("""COMPUTED_VALUE"""),"1. Microwave")</f>
        <v>1. Microwave</v>
      </c>
      <c r="B5133" s="4" t="str">
        <f>IFERROR(__xludf.DUMMYFUNCTION("""COMPUTED_VALUE"""),"1")</f>
        <v>1</v>
      </c>
      <c r="C5133" s="5" t="str">
        <f>IFERROR(__xludf.DUMMYFUNCTION("""COMPUTED_VALUE"""),"https://drive.google.com/file/d/1oaEzfXZvxmLg_JLzOnTKQiArrtZqT0eE/view?usp=drivesdk")</f>
        <v>https://drive.google.com/file/d/1oaEzfXZvxmLg_JLzOnTKQiArrtZqT0eE/view?usp=drivesdk</v>
      </c>
      <c r="D5133" s="12"/>
      <c r="E5133" s="11">
        <v>5171.0</v>
      </c>
      <c r="F5133" s="2"/>
    </row>
    <row r="5134" ht="1.5" customHeight="1">
      <c r="A5134" s="4" t="str">
        <f>IFERROR(__xludf.DUMMYFUNCTION("""COMPUTED_VALUE"""),"1. Microwave")</f>
        <v>1. Microwave</v>
      </c>
      <c r="B5134" s="4" t="str">
        <f>IFERROR(__xludf.DUMMYFUNCTION("""COMPUTED_VALUE"""),"1")</f>
        <v>1</v>
      </c>
      <c r="C5134" s="5" t="str">
        <f>IFERROR(__xludf.DUMMYFUNCTION("""COMPUTED_VALUE"""),"https://drive.google.com/file/d/1CLMIvLptOihfNlNqKE2lhU_BSsu0Swls/view?usp=drivesdk")</f>
        <v>https://drive.google.com/file/d/1CLMIvLptOihfNlNqKE2lhU_BSsu0Swls/view?usp=drivesdk</v>
      </c>
      <c r="D5134" s="12"/>
      <c r="E5134" s="11">
        <v>5172.0</v>
      </c>
      <c r="F5134" s="2"/>
    </row>
    <row r="5135" ht="1.5" customHeight="1">
      <c r="A5135" s="4" t="str">
        <f>IFERROR(__xludf.DUMMYFUNCTION("""COMPUTED_VALUE"""),"1. Microwave")</f>
        <v>1. Microwave</v>
      </c>
      <c r="B5135" s="4" t="str">
        <f>IFERROR(__xludf.DUMMYFUNCTION("""COMPUTED_VALUE"""),"1")</f>
        <v>1</v>
      </c>
      <c r="C5135" s="5" t="str">
        <f>IFERROR(__xludf.DUMMYFUNCTION("""COMPUTED_VALUE"""),"https://drive.google.com/file/d/1TDAtk_dK2bqUFHR8aXYiboiNjl69WszX/view?usp=drivesdk")</f>
        <v>https://drive.google.com/file/d/1TDAtk_dK2bqUFHR8aXYiboiNjl69WszX/view?usp=drivesdk</v>
      </c>
      <c r="D5135" s="12"/>
      <c r="E5135" s="11">
        <v>5173.0</v>
      </c>
      <c r="F5135" s="2"/>
    </row>
    <row r="5136" ht="1.5" customHeight="1">
      <c r="A5136" s="4" t="str">
        <f>IFERROR(__xludf.DUMMYFUNCTION("""COMPUTED_VALUE"""),"1. Microwave")</f>
        <v>1. Microwave</v>
      </c>
      <c r="B5136" s="4" t="str">
        <f>IFERROR(__xludf.DUMMYFUNCTION("""COMPUTED_VALUE"""),"1")</f>
        <v>1</v>
      </c>
      <c r="C5136" s="5" t="str">
        <f>IFERROR(__xludf.DUMMYFUNCTION("""COMPUTED_VALUE"""),"https://drive.google.com/file/d/1R9CNwQkndp4zzWz503tL4nIvMRWKkaim/view?usp=drivesdk")</f>
        <v>https://drive.google.com/file/d/1R9CNwQkndp4zzWz503tL4nIvMRWKkaim/view?usp=drivesdk</v>
      </c>
      <c r="D5136" s="12"/>
      <c r="E5136" s="11">
        <v>5174.0</v>
      </c>
      <c r="F5136" s="2"/>
    </row>
    <row r="5137" ht="1.5" customHeight="1">
      <c r="A5137" s="4" t="str">
        <f>IFERROR(__xludf.DUMMYFUNCTION("""COMPUTED_VALUE"""),"1. Microwave")</f>
        <v>1. Microwave</v>
      </c>
      <c r="B5137" s="4" t="str">
        <f>IFERROR(__xludf.DUMMYFUNCTION("""COMPUTED_VALUE"""),"1")</f>
        <v>1</v>
      </c>
      <c r="C5137" s="5" t="str">
        <f>IFERROR(__xludf.DUMMYFUNCTION("""COMPUTED_VALUE"""),"https://drive.google.com/file/d/1Mmk0HQ6iAHRIG8Pkph888f4f8lwfLKkX/view?usp=drivesdk")</f>
        <v>https://drive.google.com/file/d/1Mmk0HQ6iAHRIG8Pkph888f4f8lwfLKkX/view?usp=drivesdk</v>
      </c>
      <c r="D5137" s="12"/>
      <c r="E5137" s="11">
        <v>5175.0</v>
      </c>
      <c r="F5137" s="2"/>
    </row>
    <row r="5138" ht="1.5" customHeight="1">
      <c r="A5138" s="4" t="str">
        <f>IFERROR(__xludf.DUMMYFUNCTION("""COMPUTED_VALUE"""),"1. Microwave")</f>
        <v>1. Microwave</v>
      </c>
      <c r="B5138" s="4" t="str">
        <f>IFERROR(__xludf.DUMMYFUNCTION("""COMPUTED_VALUE"""),"1")</f>
        <v>1</v>
      </c>
      <c r="C5138" s="5" t="str">
        <f>IFERROR(__xludf.DUMMYFUNCTION("""COMPUTED_VALUE"""),"https://drive.google.com/file/d/11ivQ8DpEc7GVdQSqbrs26netEo30_6hw/view?usp=drivesdk")</f>
        <v>https://drive.google.com/file/d/11ivQ8DpEc7GVdQSqbrs26netEo30_6hw/view?usp=drivesdk</v>
      </c>
      <c r="D5138" s="12"/>
      <c r="E5138" s="11">
        <v>5176.0</v>
      </c>
      <c r="F5138" s="2"/>
    </row>
    <row r="5139" ht="1.5" customHeight="1">
      <c r="A5139" s="4" t="str">
        <f>IFERROR(__xludf.DUMMYFUNCTION("""COMPUTED_VALUE"""),"1. Microwave")</f>
        <v>1. Microwave</v>
      </c>
      <c r="B5139" s="4" t="str">
        <f>IFERROR(__xludf.DUMMYFUNCTION("""COMPUTED_VALUE"""),"1")</f>
        <v>1</v>
      </c>
      <c r="C5139" s="5" t="str">
        <f>IFERROR(__xludf.DUMMYFUNCTION("""COMPUTED_VALUE"""),"https://drive.google.com/file/d/1pTxArkJH0d3_CNKZO1rUiXUGAF6OVZER/view?usp=drivesdk")</f>
        <v>https://drive.google.com/file/d/1pTxArkJH0d3_CNKZO1rUiXUGAF6OVZER/view?usp=drivesdk</v>
      </c>
      <c r="D5139" s="12"/>
      <c r="E5139" s="11">
        <v>5177.0</v>
      </c>
      <c r="F5139" s="2"/>
    </row>
    <row r="5140" ht="1.5" customHeight="1">
      <c r="A5140" s="4" t="str">
        <f>IFERROR(__xludf.DUMMYFUNCTION("""COMPUTED_VALUE"""),"1. Microwave")</f>
        <v>1. Microwave</v>
      </c>
      <c r="B5140" s="4" t="str">
        <f>IFERROR(__xludf.DUMMYFUNCTION("""COMPUTED_VALUE"""),"1")</f>
        <v>1</v>
      </c>
      <c r="C5140" s="5" t="str">
        <f>IFERROR(__xludf.DUMMYFUNCTION("""COMPUTED_VALUE"""),"https://drive.google.com/file/d/1kqcyaN2PSYSX0zUlSslpoHRR5HZIOzX7/view?usp=drivesdk")</f>
        <v>https://drive.google.com/file/d/1kqcyaN2PSYSX0zUlSslpoHRR5HZIOzX7/view?usp=drivesdk</v>
      </c>
      <c r="D5140" s="12"/>
      <c r="E5140" s="11">
        <v>5178.0</v>
      </c>
      <c r="F5140" s="2"/>
    </row>
    <row r="5141" ht="1.5" customHeight="1">
      <c r="A5141" s="4" t="str">
        <f>IFERROR(__xludf.DUMMYFUNCTION("""COMPUTED_VALUE"""),"1. Microwave")</f>
        <v>1. Microwave</v>
      </c>
      <c r="B5141" s="4" t="str">
        <f>IFERROR(__xludf.DUMMYFUNCTION("""COMPUTED_VALUE"""),"1")</f>
        <v>1</v>
      </c>
      <c r="C5141" s="5" t="str">
        <f>IFERROR(__xludf.DUMMYFUNCTION("""COMPUTED_VALUE"""),"https://drive.google.com/file/d/1tyr7guau_Tr49WGw_Cij4XKQF1zK0-DE/view?usp=drivesdk")</f>
        <v>https://drive.google.com/file/d/1tyr7guau_Tr49WGw_Cij4XKQF1zK0-DE/view?usp=drivesdk</v>
      </c>
      <c r="D5141" s="12"/>
      <c r="E5141" s="11">
        <v>5179.0</v>
      </c>
      <c r="F5141" s="2"/>
    </row>
    <row r="5142" ht="1.5" customHeight="1">
      <c r="A5142" s="4" t="str">
        <f>IFERROR(__xludf.DUMMYFUNCTION("""COMPUTED_VALUE"""),"5. Eraser")</f>
        <v>5. Eraser</v>
      </c>
      <c r="B5142" s="4" t="str">
        <f>IFERROR(__xludf.DUMMYFUNCTION("""COMPUTED_VALUE"""),"5")</f>
        <v>5</v>
      </c>
      <c r="C5142" s="5" t="str">
        <f>IFERROR(__xludf.DUMMYFUNCTION("""COMPUTED_VALUE"""),"https://drive.google.com/file/d/1nehJARYCJGIVzABn6Ch0vuytSkCKcDbv/view?usp=drivesdk")</f>
        <v>https://drive.google.com/file/d/1nehJARYCJGIVzABn6Ch0vuytSkCKcDbv/view?usp=drivesdk</v>
      </c>
      <c r="D5142" s="12"/>
      <c r="E5142" s="11">
        <v>5180.0</v>
      </c>
      <c r="F5142" s="2"/>
    </row>
    <row r="5143" ht="1.5" customHeight="1">
      <c r="A5143" s="4" t="str">
        <f>IFERROR(__xludf.DUMMYFUNCTION("""COMPUTED_VALUE"""),"5. Eraser")</f>
        <v>5. Eraser</v>
      </c>
      <c r="B5143" s="4" t="str">
        <f>IFERROR(__xludf.DUMMYFUNCTION("""COMPUTED_VALUE"""),"5")</f>
        <v>5</v>
      </c>
      <c r="C5143" s="5" t="str">
        <f>IFERROR(__xludf.DUMMYFUNCTION("""COMPUTED_VALUE"""),"https://drive.google.com/file/d/18T67ARgd-GUJKSE7-BNc6yTB01S1l8mu/view?usp=drivesdk")</f>
        <v>https://drive.google.com/file/d/18T67ARgd-GUJKSE7-BNc6yTB01S1l8mu/view?usp=drivesdk</v>
      </c>
      <c r="D5143" s="12"/>
      <c r="E5143" s="11">
        <v>5181.0</v>
      </c>
      <c r="F5143" s="2"/>
    </row>
    <row r="5144" ht="1.5" customHeight="1">
      <c r="A5144" s="4" t="str">
        <f>IFERROR(__xludf.DUMMYFUNCTION("""COMPUTED_VALUE"""),"2. Twix")</f>
        <v>2. Twix</v>
      </c>
      <c r="B5144" s="4" t="str">
        <f>IFERROR(__xludf.DUMMYFUNCTION("""COMPUTED_VALUE"""),"2")</f>
        <v>2</v>
      </c>
      <c r="C5144" s="5" t="str">
        <f>IFERROR(__xludf.DUMMYFUNCTION("""COMPUTED_VALUE"""),"https://drive.google.com/file/d/1F2ULRJHNKgnM6eXWWT0RFR26zTt-JuBJ/view?usp=drivesdk")</f>
        <v>https://drive.google.com/file/d/1F2ULRJHNKgnM6eXWWT0RFR26zTt-JuBJ/view?usp=drivesdk</v>
      </c>
      <c r="D5144" s="12"/>
      <c r="E5144" s="11">
        <v>5182.0</v>
      </c>
      <c r="F5144" s="2"/>
    </row>
    <row r="5145" ht="1.5" customHeight="1">
      <c r="A5145" s="4" t="str">
        <f>IFERROR(__xludf.DUMMYFUNCTION("""COMPUTED_VALUE"""),"1. Microwave")</f>
        <v>1. Microwave</v>
      </c>
      <c r="B5145" s="4" t="str">
        <f>IFERROR(__xludf.DUMMYFUNCTION("""COMPUTED_VALUE"""),"1")</f>
        <v>1</v>
      </c>
      <c r="C5145" s="5" t="str">
        <f>IFERROR(__xludf.DUMMYFUNCTION("""COMPUTED_VALUE"""),"https://drive.google.com/file/d/18ZtTyGz7X6TeUgam-WxyMyfATnUdgwYN/view?usp=drivesdk")</f>
        <v>https://drive.google.com/file/d/18ZtTyGz7X6TeUgam-WxyMyfATnUdgwYN/view?usp=drivesdk</v>
      </c>
      <c r="D5145" s="12"/>
      <c r="E5145" s="11">
        <v>5183.0</v>
      </c>
      <c r="F5145" s="2"/>
    </row>
    <row r="5146" ht="1.5" customHeight="1">
      <c r="A5146" s="4" t="str">
        <f>IFERROR(__xludf.DUMMYFUNCTION("""COMPUTED_VALUE"""),"1. Microwave")</f>
        <v>1. Microwave</v>
      </c>
      <c r="B5146" s="4" t="str">
        <f>IFERROR(__xludf.DUMMYFUNCTION("""COMPUTED_VALUE"""),"1")</f>
        <v>1</v>
      </c>
      <c r="C5146" s="5" t="str">
        <f>IFERROR(__xludf.DUMMYFUNCTION("""COMPUTED_VALUE"""),"https://drive.google.com/file/d/1evWGZlPzZly9WhhlMfHB39AQ2_3Tojt7/view?usp=drivesdk")</f>
        <v>https://drive.google.com/file/d/1evWGZlPzZly9WhhlMfHB39AQ2_3Tojt7/view?usp=drivesdk</v>
      </c>
      <c r="D5146" s="12"/>
      <c r="E5146" s="11">
        <v>5184.0</v>
      </c>
      <c r="F5146" s="2"/>
    </row>
    <row r="5147" ht="1.5" customHeight="1">
      <c r="A5147" s="4" t="str">
        <f>IFERROR(__xludf.DUMMYFUNCTION("""COMPUTED_VALUE"""),"2. Twix, 4. Eggs, 5. Eraser")</f>
        <v>2. Twix, 4. Eggs, 5. Eraser</v>
      </c>
      <c r="B5147" s="4" t="str">
        <f>IFERROR(__xludf.DUMMYFUNCTION("""COMPUTED_VALUE"""),"2, 4, 5")</f>
        <v>2, 4, 5</v>
      </c>
      <c r="C5147" s="5" t="str">
        <f>IFERROR(__xludf.DUMMYFUNCTION("""COMPUTED_VALUE"""),"https://drive.google.com/file/d/1DplDq47z5SkeZqrDbkFCrCZ4ZeLjtk6d/view?usp=drivesdk")</f>
        <v>https://drive.google.com/file/d/1DplDq47z5SkeZqrDbkFCrCZ4ZeLjtk6d/view?usp=drivesdk</v>
      </c>
      <c r="D5147" s="12"/>
      <c r="E5147" s="11">
        <v>5185.0</v>
      </c>
      <c r="F5147" s="2"/>
    </row>
    <row r="5148" ht="1.5" customHeight="1">
      <c r="A5148" s="4" t="str">
        <f>IFERROR(__xludf.DUMMYFUNCTION("""COMPUTED_VALUE"""),"2. Twix")</f>
        <v>2. Twix</v>
      </c>
      <c r="B5148" s="4" t="str">
        <f>IFERROR(__xludf.DUMMYFUNCTION("""COMPUTED_VALUE"""),"2")</f>
        <v>2</v>
      </c>
      <c r="C5148" s="5" t="str">
        <f>IFERROR(__xludf.DUMMYFUNCTION("""COMPUTED_VALUE"""),"https://drive.google.com/file/d/1Wh2Vo99VlySO5C7GqC0qx4nLKOHfLlSX/view?usp=drivesdk")</f>
        <v>https://drive.google.com/file/d/1Wh2Vo99VlySO5C7GqC0qx4nLKOHfLlSX/view?usp=drivesdk</v>
      </c>
      <c r="D5148" s="12"/>
      <c r="E5148" s="11">
        <v>5186.0</v>
      </c>
      <c r="F5148" s="2"/>
    </row>
    <row r="5149" ht="1.5" customHeight="1">
      <c r="A5149" s="4" t="str">
        <f>IFERROR(__xludf.DUMMYFUNCTION("""COMPUTED_VALUE"""),"2. Twix")</f>
        <v>2. Twix</v>
      </c>
      <c r="B5149" s="4" t="str">
        <f>IFERROR(__xludf.DUMMYFUNCTION("""COMPUTED_VALUE"""),"2")</f>
        <v>2</v>
      </c>
      <c r="C5149" s="5" t="str">
        <f>IFERROR(__xludf.DUMMYFUNCTION("""COMPUTED_VALUE"""),"https://drive.google.com/file/d/1JjxQ9W-y-devks6Jm68wcqf51rY4PZfg/view?usp=drivesdk")</f>
        <v>https://drive.google.com/file/d/1JjxQ9W-y-devks6Jm68wcqf51rY4PZfg/view?usp=drivesdk</v>
      </c>
      <c r="D5149" s="12"/>
      <c r="E5149" s="11">
        <v>5187.0</v>
      </c>
      <c r="F5149" s="2"/>
    </row>
    <row r="5150" ht="1.5" customHeight="1">
      <c r="A5150" s="4" t="str">
        <f>IFERROR(__xludf.DUMMYFUNCTION("""COMPUTED_VALUE"""),"5. Eraser")</f>
        <v>5. Eraser</v>
      </c>
      <c r="B5150" s="4" t="str">
        <f>IFERROR(__xludf.DUMMYFUNCTION("""COMPUTED_VALUE"""),"5")</f>
        <v>5</v>
      </c>
      <c r="C5150" s="5" t="str">
        <f>IFERROR(__xludf.DUMMYFUNCTION("""COMPUTED_VALUE"""),"https://drive.google.com/file/d/1qnCVyCMyo6_srFhuI7Ed5nuvxU5CsNuY/view?usp=drivesdk")</f>
        <v>https://drive.google.com/file/d/1qnCVyCMyo6_srFhuI7Ed5nuvxU5CsNuY/view?usp=drivesdk</v>
      </c>
      <c r="D5150" s="12"/>
      <c r="E5150" s="11">
        <v>5188.0</v>
      </c>
      <c r="F5150" s="2"/>
    </row>
    <row r="5151" ht="1.5" customHeight="1">
      <c r="A5151" s="4" t="str">
        <f>IFERROR(__xludf.DUMMYFUNCTION("""COMPUTED_VALUE"""),"5. Eraser")</f>
        <v>5. Eraser</v>
      </c>
      <c r="B5151" s="4" t="str">
        <f>IFERROR(__xludf.DUMMYFUNCTION("""COMPUTED_VALUE"""),"5")</f>
        <v>5</v>
      </c>
      <c r="C5151" s="5" t="str">
        <f>IFERROR(__xludf.DUMMYFUNCTION("""COMPUTED_VALUE"""),"https://drive.google.com/file/d/1TlFYr-L8k0eOpD56YabtFuPzM92ZdsOT/view?usp=drivesdk")</f>
        <v>https://drive.google.com/file/d/1TlFYr-L8k0eOpD56YabtFuPzM92ZdsOT/view?usp=drivesdk</v>
      </c>
      <c r="D5151" s="12"/>
      <c r="E5151" s="11">
        <v>5189.0</v>
      </c>
      <c r="F5151" s="2"/>
    </row>
    <row r="5152" ht="1.5" customHeight="1">
      <c r="A5152" s="4" t="str">
        <f>IFERROR(__xludf.DUMMYFUNCTION("""COMPUTED_VALUE"""),"5. Eraser")</f>
        <v>5. Eraser</v>
      </c>
      <c r="B5152" s="4" t="str">
        <f>IFERROR(__xludf.DUMMYFUNCTION("""COMPUTED_VALUE"""),"5")</f>
        <v>5</v>
      </c>
      <c r="C5152" s="5" t="str">
        <f>IFERROR(__xludf.DUMMYFUNCTION("""COMPUTED_VALUE"""),"https://drive.google.com/file/d/1zpOKHowmiWkUv7PLs0a6n-psbESlRJOl/view?usp=drivesdk")</f>
        <v>https://drive.google.com/file/d/1zpOKHowmiWkUv7PLs0a6n-psbESlRJOl/view?usp=drivesdk</v>
      </c>
      <c r="D5152" s="12"/>
      <c r="E5152" s="11">
        <v>5190.0</v>
      </c>
      <c r="F5152" s="2"/>
    </row>
    <row r="5153" ht="1.5" customHeight="1">
      <c r="A5153" s="4" t="str">
        <f>IFERROR(__xludf.DUMMYFUNCTION("""COMPUTED_VALUE"""),"1. Microwave")</f>
        <v>1. Microwave</v>
      </c>
      <c r="B5153" s="4" t="str">
        <f>IFERROR(__xludf.DUMMYFUNCTION("""COMPUTED_VALUE"""),"1")</f>
        <v>1</v>
      </c>
      <c r="C5153" s="5" t="str">
        <f>IFERROR(__xludf.DUMMYFUNCTION("""COMPUTED_VALUE"""),"https://drive.google.com/file/d/1o0BI6w_Do074wzLYxc43K7f9aLt5Jm7M/view?usp=drivesdk")</f>
        <v>https://drive.google.com/file/d/1o0BI6w_Do074wzLYxc43K7f9aLt5Jm7M/view?usp=drivesdk</v>
      </c>
      <c r="D5153" s="12"/>
      <c r="E5153" s="11">
        <v>5191.0</v>
      </c>
      <c r="F5153" s="2"/>
    </row>
    <row r="5154" ht="1.5" customHeight="1">
      <c r="A5154" s="4" t="str">
        <f>IFERROR(__xludf.DUMMYFUNCTION("""COMPUTED_VALUE"""),"1. Microwave")</f>
        <v>1. Microwave</v>
      </c>
      <c r="B5154" s="4" t="str">
        <f>IFERROR(__xludf.DUMMYFUNCTION("""COMPUTED_VALUE"""),"1")</f>
        <v>1</v>
      </c>
      <c r="C5154" s="5" t="str">
        <f>IFERROR(__xludf.DUMMYFUNCTION("""COMPUTED_VALUE"""),"https://drive.google.com/file/d/1pACBEUGx9ykm_35k3XVFmSlRPfodkSiH/view?usp=drivesdk")</f>
        <v>https://drive.google.com/file/d/1pACBEUGx9ykm_35k3XVFmSlRPfodkSiH/view?usp=drivesdk</v>
      </c>
      <c r="D5154" s="12"/>
      <c r="E5154" s="11">
        <v>5192.0</v>
      </c>
      <c r="F5154" s="2"/>
    </row>
    <row r="5155" ht="1.5" customHeight="1">
      <c r="A5155" s="4" t="str">
        <f>IFERROR(__xludf.DUMMYFUNCTION("""COMPUTED_VALUE"""),"99. Nezhui")</f>
        <v>99. Nezhui</v>
      </c>
      <c r="B5155" s="4" t="str">
        <f>IFERROR(__xludf.DUMMYFUNCTION("""COMPUTED_VALUE"""),"99")</f>
        <v>99</v>
      </c>
      <c r="C5155" s="5" t="str">
        <f>IFERROR(__xludf.DUMMYFUNCTION("""COMPUTED_VALUE"""),"https://drive.google.com/file/d/1JsebVhfZ6lCyH9Wn0V_8-xL2cUDJYWYr/view?usp=drivesdk")</f>
        <v>https://drive.google.com/file/d/1JsebVhfZ6lCyH9Wn0V_8-xL2cUDJYWYr/view?usp=drivesdk</v>
      </c>
      <c r="D5155" s="12"/>
      <c r="E5155" s="11">
        <v>5193.0</v>
      </c>
      <c r="F5155" s="2"/>
    </row>
    <row r="5156" ht="1.5" customHeight="1">
      <c r="A5156" s="4" t="str">
        <f>IFERROR(__xludf.DUMMYFUNCTION("""COMPUTED_VALUE"""),"99. Nezhui")</f>
        <v>99. Nezhui</v>
      </c>
      <c r="B5156" s="4" t="str">
        <f>IFERROR(__xludf.DUMMYFUNCTION("""COMPUTED_VALUE"""),"99")</f>
        <v>99</v>
      </c>
      <c r="C5156" s="5" t="str">
        <f>IFERROR(__xludf.DUMMYFUNCTION("""COMPUTED_VALUE"""),"https://drive.google.com/file/d/1YZ3toDZYzZ9---GnkTe8lwFC84S0i-mN/view?usp=drivesdk")</f>
        <v>https://drive.google.com/file/d/1YZ3toDZYzZ9---GnkTe8lwFC84S0i-mN/view?usp=drivesdk</v>
      </c>
      <c r="D5156" s="12"/>
      <c r="E5156" s="11">
        <v>5194.0</v>
      </c>
      <c r="F5156" s="2"/>
    </row>
    <row r="5157" ht="1.5" customHeight="1">
      <c r="A5157" s="4" t="str">
        <f>IFERROR(__xludf.DUMMYFUNCTION("""COMPUTED_VALUE"""),"100. Coatl")</f>
        <v>100. Coatl</v>
      </c>
      <c r="B5157" s="4" t="str">
        <f>IFERROR(__xludf.DUMMYFUNCTION("""COMPUTED_VALUE"""),"100")</f>
        <v>100</v>
      </c>
      <c r="C5157" s="5" t="str">
        <f>IFERROR(__xludf.DUMMYFUNCTION("""COMPUTED_VALUE"""),"https://drive.google.com/file/d/1KmOD0PNmeSz5e0b8Yr7ddFMC5iCNOlEM/view?usp=drivesdk")</f>
        <v>https://drive.google.com/file/d/1KmOD0PNmeSz5e0b8Yr7ddFMC5iCNOlEM/view?usp=drivesdk</v>
      </c>
      <c r="D5157" s="12"/>
      <c r="E5157" s="11">
        <v>5195.0</v>
      </c>
      <c r="F5157" s="2"/>
    </row>
    <row r="5158" ht="1.5" customHeight="1">
      <c r="A5158" s="4" t="str">
        <f>IFERROR(__xludf.DUMMYFUNCTION("""COMPUTED_VALUE"""),"92. Cloudy")</f>
        <v>92. Cloudy</v>
      </c>
      <c r="B5158" s="4" t="str">
        <f>IFERROR(__xludf.DUMMYFUNCTION("""COMPUTED_VALUE"""),"92")</f>
        <v>92</v>
      </c>
      <c r="C5158" s="5" t="str">
        <f>IFERROR(__xludf.DUMMYFUNCTION("""COMPUTED_VALUE"""),"https://drive.google.com/file/d/1sSzmJTgHPZEjrGeD5CUuzyvQfun-kxUj/view?usp=drivesdk")</f>
        <v>https://drive.google.com/file/d/1sSzmJTgHPZEjrGeD5CUuzyvQfun-kxUj/view?usp=drivesdk</v>
      </c>
      <c r="D5158" s="12"/>
      <c r="E5158" s="11">
        <v>5196.0</v>
      </c>
      <c r="F5158" s="2"/>
    </row>
    <row r="5159" ht="1.5" customHeight="1">
      <c r="A5159" s="4" t="str">
        <f>IFERROR(__xludf.DUMMYFUNCTION("""COMPUTED_VALUE"""),"92. Cloudy")</f>
        <v>92. Cloudy</v>
      </c>
      <c r="B5159" s="4" t="str">
        <f>IFERROR(__xludf.DUMMYFUNCTION("""COMPUTED_VALUE"""),"92")</f>
        <v>92</v>
      </c>
      <c r="C5159" s="5" t="str">
        <f>IFERROR(__xludf.DUMMYFUNCTION("""COMPUTED_VALUE"""),"https://drive.google.com/file/d/1kNBDwFdrQj9lWISPd55KrAyDoRZ05RS-/view?usp=drivesdk")</f>
        <v>https://drive.google.com/file/d/1kNBDwFdrQj9lWISPd55KrAyDoRZ05RS-/view?usp=drivesdk</v>
      </c>
      <c r="D5159" s="12"/>
      <c r="E5159" s="11">
        <v>5197.0</v>
      </c>
      <c r="F5159" s="2"/>
    </row>
    <row r="5160" ht="1.5" customHeight="1">
      <c r="A5160" s="4" t="str">
        <f>IFERROR(__xludf.DUMMYFUNCTION("""COMPUTED_VALUE"""),"93. Meatball")</f>
        <v>93. Meatball</v>
      </c>
      <c r="B5160" s="4" t="str">
        <f>IFERROR(__xludf.DUMMYFUNCTION("""COMPUTED_VALUE"""),"93")</f>
        <v>93</v>
      </c>
      <c r="C5160" s="5" t="str">
        <f>IFERROR(__xludf.DUMMYFUNCTION("""COMPUTED_VALUE"""),"https://drive.google.com/file/d/1_aH1NDzOyZmPFzZjQj3k9Y2D9X-dWLmA/view?usp=drivesdk")</f>
        <v>https://drive.google.com/file/d/1_aH1NDzOyZmPFzZjQj3k9Y2D9X-dWLmA/view?usp=drivesdk</v>
      </c>
      <c r="D5160" s="12"/>
      <c r="E5160" s="11">
        <v>5198.0</v>
      </c>
      <c r="F5160" s="2"/>
    </row>
    <row r="5161" ht="1.5" customHeight="1">
      <c r="A5161" s="4" t="str">
        <f>IFERROR(__xludf.DUMMYFUNCTION("""COMPUTED_VALUE"""),"35. Stove")</f>
        <v>35. Stove</v>
      </c>
      <c r="B5161" s="4" t="str">
        <f>IFERROR(__xludf.DUMMYFUNCTION("""COMPUTED_VALUE"""),"35")</f>
        <v>35</v>
      </c>
      <c r="C5161" s="5" t="str">
        <f>IFERROR(__xludf.DUMMYFUNCTION("""COMPUTED_VALUE"""),"https://drive.google.com/file/d/15JbWu0TDUZkWDjJPHmfr7RJDARcEkZcX/view?usp=drivesdk")</f>
        <v>https://drive.google.com/file/d/15JbWu0TDUZkWDjJPHmfr7RJDARcEkZcX/view?usp=drivesdk</v>
      </c>
      <c r="D5161" s="12"/>
      <c r="E5161" s="11">
        <v>5199.0</v>
      </c>
      <c r="F5161" s="2"/>
    </row>
    <row r="5162" ht="1.5" customHeight="1">
      <c r="A5162" s="4" t="str">
        <f>IFERROR(__xludf.DUMMYFUNCTION("""COMPUTED_VALUE"""),"1. Microwave")</f>
        <v>1. Microwave</v>
      </c>
      <c r="B5162" s="4" t="str">
        <f>IFERROR(__xludf.DUMMYFUNCTION("""COMPUTED_VALUE"""),"1")</f>
        <v>1</v>
      </c>
      <c r="C5162" s="5" t="str">
        <f>IFERROR(__xludf.DUMMYFUNCTION("""COMPUTED_VALUE"""),"https://drive.google.com/file/d/1fkpGpf05Uluw9pMjpm7rJXmDN4CnlMd0/view?usp=drivesdk")</f>
        <v>https://drive.google.com/file/d/1fkpGpf05Uluw9pMjpm7rJXmDN4CnlMd0/view?usp=drivesdk</v>
      </c>
      <c r="D5162" s="12"/>
      <c r="E5162" s="11">
        <v>5200.0</v>
      </c>
      <c r="F5162" s="2"/>
    </row>
    <row r="5163" ht="1.5" customHeight="1">
      <c r="A5163" s="4" t="str">
        <f>IFERROR(__xludf.DUMMYFUNCTION("""COMPUTED_VALUE"""),"1. Microwave")</f>
        <v>1. Microwave</v>
      </c>
      <c r="B5163" s="4" t="str">
        <f>IFERROR(__xludf.DUMMYFUNCTION("""COMPUTED_VALUE"""),"1")</f>
        <v>1</v>
      </c>
      <c r="C5163" s="5" t="str">
        <f>IFERROR(__xludf.DUMMYFUNCTION("""COMPUTED_VALUE"""),"https://drive.google.com/file/d/1_ONzcfWBB6bqfJg6LU8EFXx-C5YujoZS/view?usp=drivesdk")</f>
        <v>https://drive.google.com/file/d/1_ONzcfWBB6bqfJg6LU8EFXx-C5YujoZS/view?usp=drivesdk</v>
      </c>
      <c r="D5163" s="12"/>
      <c r="E5163" s="11">
        <v>5201.0</v>
      </c>
      <c r="F5163" s="2"/>
    </row>
    <row r="5164" ht="1.5" customHeight="1">
      <c r="A5164" s="4" t="str">
        <f>IFERROR(__xludf.DUMMYFUNCTION("""COMPUTED_VALUE"""),"1. Microwave")</f>
        <v>1. Microwave</v>
      </c>
      <c r="B5164" s="4" t="str">
        <f>IFERROR(__xludf.DUMMYFUNCTION("""COMPUTED_VALUE"""),"1")</f>
        <v>1</v>
      </c>
      <c r="C5164" s="5" t="str">
        <f>IFERROR(__xludf.DUMMYFUNCTION("""COMPUTED_VALUE"""),"https://drive.google.com/file/d/1MrFNVF7y38C7yVMlFhEVcAbo_58B_Mt0/view?usp=drivesdk")</f>
        <v>https://drive.google.com/file/d/1MrFNVF7y38C7yVMlFhEVcAbo_58B_Mt0/view?usp=drivesdk</v>
      </c>
      <c r="D5164" s="12"/>
      <c r="E5164" s="11">
        <v>5202.0</v>
      </c>
      <c r="F5164" s="2"/>
    </row>
    <row r="5165" ht="1.5" customHeight="1">
      <c r="A5165" s="4" t="str">
        <f>IFERROR(__xludf.DUMMYFUNCTION("""COMPUTED_VALUE"""),"1. Microwave")</f>
        <v>1. Microwave</v>
      </c>
      <c r="B5165" s="4" t="str">
        <f>IFERROR(__xludf.DUMMYFUNCTION("""COMPUTED_VALUE"""),"1")</f>
        <v>1</v>
      </c>
      <c r="C5165" s="5" t="str">
        <f>IFERROR(__xludf.DUMMYFUNCTION("""COMPUTED_VALUE"""),"https://drive.google.com/file/d/1U8cfDtY-CiChs6BbUfiZ7vNjj349OGRc/view?usp=drivesdk")</f>
        <v>https://drive.google.com/file/d/1U8cfDtY-CiChs6BbUfiZ7vNjj349OGRc/view?usp=drivesdk</v>
      </c>
      <c r="D5165" s="12"/>
      <c r="E5165" s="11">
        <v>5203.0</v>
      </c>
      <c r="F5165" s="2"/>
    </row>
    <row r="5166" ht="1.5" customHeight="1">
      <c r="A5166" s="4" t="str">
        <f>IFERROR(__xludf.DUMMYFUNCTION("""COMPUTED_VALUE"""),"1. Microwave")</f>
        <v>1. Microwave</v>
      </c>
      <c r="B5166" s="4" t="str">
        <f>IFERROR(__xludf.DUMMYFUNCTION("""COMPUTED_VALUE"""),"1")</f>
        <v>1</v>
      </c>
      <c r="C5166" s="5" t="str">
        <f>IFERROR(__xludf.DUMMYFUNCTION("""COMPUTED_VALUE"""),"https://drive.google.com/file/d/1wstba8pBEB0c6E7sMESLJndxtCP_R_G_/view?usp=drivesdk")</f>
        <v>https://drive.google.com/file/d/1wstba8pBEB0c6E7sMESLJndxtCP_R_G_/view?usp=drivesdk</v>
      </c>
      <c r="D5166" s="12"/>
      <c r="E5166" s="11">
        <v>5204.0</v>
      </c>
      <c r="F5166" s="2"/>
    </row>
    <row r="5167" ht="1.5" customHeight="1">
      <c r="A5167" s="4" t="str">
        <f>IFERROR(__xludf.DUMMYFUNCTION("""COMPUTED_VALUE"""),"1. Microwave")</f>
        <v>1. Microwave</v>
      </c>
      <c r="B5167" s="4" t="str">
        <f>IFERROR(__xludf.DUMMYFUNCTION("""COMPUTED_VALUE"""),"1")</f>
        <v>1</v>
      </c>
      <c r="C5167" s="5" t="str">
        <f>IFERROR(__xludf.DUMMYFUNCTION("""COMPUTED_VALUE"""),"https://drive.google.com/file/d/15-rsnWpTr-ZW1Et-_9DfqDH_pT8uxPwS/view?usp=drivesdk")</f>
        <v>https://drive.google.com/file/d/15-rsnWpTr-ZW1Et-_9DfqDH_pT8uxPwS/view?usp=drivesdk</v>
      </c>
      <c r="D5167" s="12"/>
      <c r="E5167" s="11">
        <v>5205.0</v>
      </c>
      <c r="F5167" s="2"/>
    </row>
    <row r="5168" ht="1.5" customHeight="1">
      <c r="A5168" s="4" t="str">
        <f>IFERROR(__xludf.DUMMYFUNCTION("""COMPUTED_VALUE"""),"1. Microwave")</f>
        <v>1. Microwave</v>
      </c>
      <c r="B5168" s="4" t="str">
        <f>IFERROR(__xludf.DUMMYFUNCTION("""COMPUTED_VALUE"""),"1")</f>
        <v>1</v>
      </c>
      <c r="C5168" s="5" t="str">
        <f>IFERROR(__xludf.DUMMYFUNCTION("""COMPUTED_VALUE"""),"https://drive.google.com/file/d/10QEVo9ra7qWMG1O7Ts8g2A2AYF_r5ebR/view?usp=drivesdk")</f>
        <v>https://drive.google.com/file/d/10QEVo9ra7qWMG1O7Ts8g2A2AYF_r5ebR/view?usp=drivesdk</v>
      </c>
      <c r="D5168" s="12"/>
      <c r="E5168" s="11">
        <v>5206.0</v>
      </c>
      <c r="F5168" s="2"/>
    </row>
    <row r="5169" ht="1.5" customHeight="1">
      <c r="A5169" s="4" t="str">
        <f>IFERROR(__xludf.DUMMYFUNCTION("""COMPUTED_VALUE"""),"1. Microwave")</f>
        <v>1. Microwave</v>
      </c>
      <c r="B5169" s="4" t="str">
        <f>IFERROR(__xludf.DUMMYFUNCTION("""COMPUTED_VALUE"""),"1")</f>
        <v>1</v>
      </c>
      <c r="C5169" s="5" t="str">
        <f>IFERROR(__xludf.DUMMYFUNCTION("""COMPUTED_VALUE"""),"https://drive.google.com/file/d/1RVnlB8kWxU5YMxC-l5KBfjaNR066-j9_/view?usp=drivesdk")</f>
        <v>https://drive.google.com/file/d/1RVnlB8kWxU5YMxC-l5KBfjaNR066-j9_/view?usp=drivesdk</v>
      </c>
      <c r="D5169" s="12"/>
      <c r="E5169" s="11">
        <v>5207.0</v>
      </c>
      <c r="F5169" s="2"/>
    </row>
    <row r="5170" ht="1.5" customHeight="1">
      <c r="A5170" s="4" t="str">
        <f>IFERROR(__xludf.DUMMYFUNCTION("""COMPUTED_VALUE"""),"1. Microwave")</f>
        <v>1. Microwave</v>
      </c>
      <c r="B5170" s="4" t="str">
        <f>IFERROR(__xludf.DUMMYFUNCTION("""COMPUTED_VALUE"""),"1")</f>
        <v>1</v>
      </c>
      <c r="C5170" s="5" t="str">
        <f>IFERROR(__xludf.DUMMYFUNCTION("""COMPUTED_VALUE"""),"https://drive.google.com/file/d/1flDfO-0BQGt1mgqqYSOJltxA95FB-NDV/view?usp=drivesdk")</f>
        <v>https://drive.google.com/file/d/1flDfO-0BQGt1mgqqYSOJltxA95FB-NDV/view?usp=drivesdk</v>
      </c>
      <c r="D5170" s="12"/>
      <c r="E5170" s="11">
        <v>5208.0</v>
      </c>
      <c r="F5170" s="2"/>
    </row>
    <row r="5171" ht="1.5" customHeight="1">
      <c r="A5171" s="4" t="str">
        <f>IFERROR(__xludf.DUMMYFUNCTION("""COMPUTED_VALUE"""),"1. Microwave")</f>
        <v>1. Microwave</v>
      </c>
      <c r="B5171" s="4" t="str">
        <f>IFERROR(__xludf.DUMMYFUNCTION("""COMPUTED_VALUE"""),"1")</f>
        <v>1</v>
      </c>
      <c r="C5171" s="5" t="str">
        <f>IFERROR(__xludf.DUMMYFUNCTION("""COMPUTED_VALUE"""),"https://drive.google.com/file/d/1B1AQREbNcOyDwj0Q4p-gER7ft4W5za1h/view?usp=drivesdk")</f>
        <v>https://drive.google.com/file/d/1B1AQREbNcOyDwj0Q4p-gER7ft4W5za1h/view?usp=drivesdk</v>
      </c>
      <c r="D5171" s="12"/>
      <c r="E5171" s="11">
        <v>5209.0</v>
      </c>
      <c r="F5171" s="2"/>
    </row>
    <row r="5172" ht="1.5" customHeight="1">
      <c r="A5172" s="4" t="str">
        <f>IFERROR(__xludf.DUMMYFUNCTION("""COMPUTED_VALUE"""),"1. Microwave")</f>
        <v>1. Microwave</v>
      </c>
      <c r="B5172" s="4" t="str">
        <f>IFERROR(__xludf.DUMMYFUNCTION("""COMPUTED_VALUE"""),"1")</f>
        <v>1</v>
      </c>
      <c r="C5172" s="5" t="str">
        <f>IFERROR(__xludf.DUMMYFUNCTION("""COMPUTED_VALUE"""),"https://drive.google.com/file/d/1BijLvjkbiv_M0YLX04AeYkwV3cMj5XMZ/view?usp=drivesdk")</f>
        <v>https://drive.google.com/file/d/1BijLvjkbiv_M0YLX04AeYkwV3cMj5XMZ/view?usp=drivesdk</v>
      </c>
      <c r="D5172" s="12"/>
      <c r="E5172" s="11">
        <v>5210.0</v>
      </c>
      <c r="F5172" s="2"/>
    </row>
    <row r="5173" ht="1.5" customHeight="1">
      <c r="A5173" s="4" t="str">
        <f>IFERROR(__xludf.DUMMYFUNCTION("""COMPUTED_VALUE"""),"1. Microwave")</f>
        <v>1. Microwave</v>
      </c>
      <c r="B5173" s="4" t="str">
        <f>IFERROR(__xludf.DUMMYFUNCTION("""COMPUTED_VALUE"""),"1")</f>
        <v>1</v>
      </c>
      <c r="C5173" s="5" t="str">
        <f>IFERROR(__xludf.DUMMYFUNCTION("""COMPUTED_VALUE"""),"https://drive.google.com/file/d/1dhCpPPyZWs7RYKeZM3XWor9fC39ZXet6/view?usp=drivesdk")</f>
        <v>https://drive.google.com/file/d/1dhCpPPyZWs7RYKeZM3XWor9fC39ZXet6/view?usp=drivesdk</v>
      </c>
      <c r="D5173" s="12"/>
      <c r="E5173" s="11">
        <v>5211.0</v>
      </c>
      <c r="F5173" s="2"/>
    </row>
    <row r="5174" ht="1.5" customHeight="1">
      <c r="A5174" s="4" t="str">
        <f>IFERROR(__xludf.DUMMYFUNCTION("""COMPUTED_VALUE"""),"1. Microwave")</f>
        <v>1. Microwave</v>
      </c>
      <c r="B5174" s="4" t="str">
        <f>IFERROR(__xludf.DUMMYFUNCTION("""COMPUTED_VALUE"""),"1")</f>
        <v>1</v>
      </c>
      <c r="C5174" s="5" t="str">
        <f>IFERROR(__xludf.DUMMYFUNCTION("""COMPUTED_VALUE"""),"https://drive.google.com/file/d/1YBIXVTT72woiYOFq3EsUOkOLMGUuFOSt/view?usp=drivesdk")</f>
        <v>https://drive.google.com/file/d/1YBIXVTT72woiYOFq3EsUOkOLMGUuFOSt/view?usp=drivesdk</v>
      </c>
      <c r="D5174" s="12"/>
      <c r="E5174" s="11">
        <v>5212.0</v>
      </c>
      <c r="F5174" s="2"/>
    </row>
    <row r="5175" ht="1.5" customHeight="1">
      <c r="A5175" s="4" t="str">
        <f>IFERROR(__xludf.DUMMYFUNCTION("""COMPUTED_VALUE"""),"1. Microwave")</f>
        <v>1. Microwave</v>
      </c>
      <c r="B5175" s="4" t="str">
        <f>IFERROR(__xludf.DUMMYFUNCTION("""COMPUTED_VALUE"""),"1")</f>
        <v>1</v>
      </c>
      <c r="C5175" s="5" t="str">
        <f>IFERROR(__xludf.DUMMYFUNCTION("""COMPUTED_VALUE"""),"https://drive.google.com/file/d/1safrBTcgGtUbztYJggkfmKrxv3t9baEc/view?usp=drivesdk")</f>
        <v>https://drive.google.com/file/d/1safrBTcgGtUbztYJggkfmKrxv3t9baEc/view?usp=drivesdk</v>
      </c>
      <c r="D5175" s="12"/>
      <c r="E5175" s="11">
        <v>5213.0</v>
      </c>
      <c r="F5175" s="2"/>
    </row>
    <row r="5176" ht="1.5" customHeight="1">
      <c r="A5176" s="4" t="str">
        <f>IFERROR(__xludf.DUMMYFUNCTION("""COMPUTED_VALUE"""),"1. Microwave")</f>
        <v>1. Microwave</v>
      </c>
      <c r="B5176" s="4" t="str">
        <f>IFERROR(__xludf.DUMMYFUNCTION("""COMPUTED_VALUE"""),"1")</f>
        <v>1</v>
      </c>
      <c r="C5176" s="5" t="str">
        <f>IFERROR(__xludf.DUMMYFUNCTION("""COMPUTED_VALUE"""),"https://drive.google.com/file/d/1SoJ87RDJbwAcjtNhNvypUJuaAXlg-klv/view?usp=drivesdk")</f>
        <v>https://drive.google.com/file/d/1SoJ87RDJbwAcjtNhNvypUJuaAXlg-klv/view?usp=drivesdk</v>
      </c>
      <c r="D5176" s="12"/>
      <c r="E5176" s="11">
        <v>5214.0</v>
      </c>
      <c r="F5176" s="2"/>
    </row>
    <row r="5177" ht="1.5" customHeight="1">
      <c r="A5177" s="4" t="str">
        <f>IFERROR(__xludf.DUMMYFUNCTION("""COMPUTED_VALUE"""),"2. Twix")</f>
        <v>2. Twix</v>
      </c>
      <c r="B5177" s="4" t="str">
        <f>IFERROR(__xludf.DUMMYFUNCTION("""COMPUTED_VALUE"""),"2")</f>
        <v>2</v>
      </c>
      <c r="C5177" s="5" t="str">
        <f>IFERROR(__xludf.DUMMYFUNCTION("""COMPUTED_VALUE"""),"https://drive.google.com/file/d/1XwrQE7c7Dx2lCJ-LRBRyV-MxVIWVaDH2/view?usp=drivesdk")</f>
        <v>https://drive.google.com/file/d/1XwrQE7c7Dx2lCJ-LRBRyV-MxVIWVaDH2/view?usp=drivesdk</v>
      </c>
      <c r="D5177" s="12"/>
      <c r="E5177" s="11">
        <v>5215.0</v>
      </c>
      <c r="F5177" s="2"/>
    </row>
    <row r="5178" ht="1.5" customHeight="1">
      <c r="A5178" s="4" t="str">
        <f>IFERROR(__xludf.DUMMYFUNCTION("""COMPUTED_VALUE"""),"1. Microwave")</f>
        <v>1. Microwave</v>
      </c>
      <c r="B5178" s="4" t="str">
        <f>IFERROR(__xludf.DUMMYFUNCTION("""COMPUTED_VALUE"""),"1")</f>
        <v>1</v>
      </c>
      <c r="C5178" s="5" t="str">
        <f>IFERROR(__xludf.DUMMYFUNCTION("""COMPUTED_VALUE"""),"https://drive.google.com/file/d/1CdK_9FrtCFtELTB1KTnlCHSS3EvQtjtc/view?usp=drivesdk")</f>
        <v>https://drive.google.com/file/d/1CdK_9FrtCFtELTB1KTnlCHSS3EvQtjtc/view?usp=drivesdk</v>
      </c>
      <c r="D5178" s="12"/>
      <c r="E5178" s="11">
        <v>5216.0</v>
      </c>
      <c r="F5178" s="2"/>
    </row>
    <row r="5179" ht="1.5" customHeight="1">
      <c r="A5179" s="4" t="str">
        <f>IFERROR(__xludf.DUMMYFUNCTION("""COMPUTED_VALUE"""),"1. Microwave")</f>
        <v>1. Microwave</v>
      </c>
      <c r="B5179" s="4" t="str">
        <f>IFERROR(__xludf.DUMMYFUNCTION("""COMPUTED_VALUE"""),"1")</f>
        <v>1</v>
      </c>
      <c r="C5179" s="5" t="str">
        <f>IFERROR(__xludf.DUMMYFUNCTION("""COMPUTED_VALUE"""),"https://drive.google.com/file/d/1ezY43s-mx3qdn_NMAbnuYa_O74UoXkCg/view?usp=drivesdk")</f>
        <v>https://drive.google.com/file/d/1ezY43s-mx3qdn_NMAbnuYa_O74UoXkCg/view?usp=drivesdk</v>
      </c>
      <c r="D5179" s="12"/>
      <c r="E5179" s="11">
        <v>5217.0</v>
      </c>
      <c r="F5179" s="2"/>
    </row>
    <row r="5180" ht="1.5" customHeight="1">
      <c r="A5180" s="4" t="str">
        <f>IFERROR(__xludf.DUMMYFUNCTION("""COMPUTED_VALUE"""),"1. Microwave")</f>
        <v>1. Microwave</v>
      </c>
      <c r="B5180" s="4" t="str">
        <f>IFERROR(__xludf.DUMMYFUNCTION("""COMPUTED_VALUE"""),"1")</f>
        <v>1</v>
      </c>
      <c r="C5180" s="5" t="str">
        <f>IFERROR(__xludf.DUMMYFUNCTION("""COMPUTED_VALUE"""),"https://drive.google.com/file/d/1-lX3jEYNduzmW72LT49W_C2nctrcbkbx/view?usp=drivesdk")</f>
        <v>https://drive.google.com/file/d/1-lX3jEYNduzmW72LT49W_C2nctrcbkbx/view?usp=drivesdk</v>
      </c>
      <c r="D5180" s="12"/>
      <c r="E5180" s="11">
        <v>5218.0</v>
      </c>
      <c r="F5180" s="2"/>
    </row>
    <row r="5181" ht="1.5" customHeight="1">
      <c r="A5181" s="4" t="str">
        <f>IFERROR(__xludf.DUMMYFUNCTION("""COMPUTED_VALUE"""),"41. Gregory, 88. Vincente")</f>
        <v>41. Gregory, 88. Vincente</v>
      </c>
      <c r="B5181" s="4" t="str">
        <f>IFERROR(__xludf.DUMMYFUNCTION("""COMPUTED_VALUE"""),"41, 88")</f>
        <v>41, 88</v>
      </c>
      <c r="C5181" s="5" t="str">
        <f>IFERROR(__xludf.DUMMYFUNCTION("""COMPUTED_VALUE"""),"https://drive.google.com/file/d/1NNfUYwhPVTpX0DJP--EN_9zXFSfjfgMY/view?usp=drivesdk")</f>
        <v>https://drive.google.com/file/d/1NNfUYwhPVTpX0DJP--EN_9zXFSfjfgMY/view?usp=drivesdk</v>
      </c>
      <c r="D5181" s="12"/>
      <c r="E5181" s="11">
        <v>5219.0</v>
      </c>
      <c r="F5181" s="2"/>
    </row>
    <row r="5182" ht="1.5" customHeight="1">
      <c r="A5182" s="4" t="str">
        <f>IFERROR(__xludf.DUMMYFUNCTION("""COMPUTED_VALUE"""),"41. Gregory, 88. Vincente")</f>
        <v>41. Gregory, 88. Vincente</v>
      </c>
      <c r="B5182" s="4" t="str">
        <f>IFERROR(__xludf.DUMMYFUNCTION("""COMPUTED_VALUE"""),"41, 88")</f>
        <v>41, 88</v>
      </c>
      <c r="C5182" s="5" t="str">
        <f>IFERROR(__xludf.DUMMYFUNCTION("""COMPUTED_VALUE"""),"https://drive.google.com/file/d/1v6kv9MizB4AbyK5H-7K3UQoN8QZ3yHGr/view?usp=drivesdk")</f>
        <v>https://drive.google.com/file/d/1v6kv9MizB4AbyK5H-7K3UQoN8QZ3yHGr/view?usp=drivesdk</v>
      </c>
      <c r="D5182" s="12"/>
      <c r="E5182" s="11">
        <v>5220.0</v>
      </c>
      <c r="F5182" s="2"/>
    </row>
    <row r="5183" ht="1.5" customHeight="1">
      <c r="A5183" s="4" t="str">
        <f>IFERROR(__xludf.DUMMYFUNCTION("""COMPUTED_VALUE"""),"41. Gregory")</f>
        <v>41. Gregory</v>
      </c>
      <c r="B5183" s="4" t="str">
        <f>IFERROR(__xludf.DUMMYFUNCTION("""COMPUTED_VALUE"""),"41")</f>
        <v>41</v>
      </c>
      <c r="C5183" s="5" t="str">
        <f>IFERROR(__xludf.DUMMYFUNCTION("""COMPUTED_VALUE"""),"https://drive.google.com/file/d/10fhRLri-6ghaBJvD51tWionxa-69i0-o/view?usp=drivesdk")</f>
        <v>https://drive.google.com/file/d/10fhRLri-6ghaBJvD51tWionxa-69i0-o/view?usp=drivesdk</v>
      </c>
      <c r="D5183" s="12"/>
      <c r="E5183" s="11">
        <v>5221.0</v>
      </c>
      <c r="F5183" s="2"/>
    </row>
    <row r="5184" ht="1.5" customHeight="1">
      <c r="A5184" s="4" t="str">
        <f>IFERROR(__xludf.DUMMYFUNCTION("""COMPUTED_VALUE"""),"41. Gregory")</f>
        <v>41. Gregory</v>
      </c>
      <c r="B5184" s="4" t="str">
        <f>IFERROR(__xludf.DUMMYFUNCTION("""COMPUTED_VALUE"""),"41")</f>
        <v>41</v>
      </c>
      <c r="C5184" s="5" t="str">
        <f>IFERROR(__xludf.DUMMYFUNCTION("""COMPUTED_VALUE"""),"https://drive.google.com/file/d/17PsqjYf5zwsUyFAZjfe_szirHa1w5orY/view?usp=drivesdk")</f>
        <v>https://drive.google.com/file/d/17PsqjYf5zwsUyFAZjfe_szirHa1w5orY/view?usp=drivesdk</v>
      </c>
      <c r="D5184" s="12"/>
      <c r="E5184" s="11">
        <v>5222.0</v>
      </c>
      <c r="F5184" s="2"/>
    </row>
    <row r="5185" ht="1.5" customHeight="1">
      <c r="A5185" s="4" t="str">
        <f>IFERROR(__xludf.DUMMYFUNCTION("""COMPUTED_VALUE"""),"58. Eden")</f>
        <v>58. Eden</v>
      </c>
      <c r="B5185" s="4" t="str">
        <f>IFERROR(__xludf.DUMMYFUNCTION("""COMPUTED_VALUE"""),"58")</f>
        <v>58</v>
      </c>
      <c r="C5185" s="5" t="str">
        <f>IFERROR(__xludf.DUMMYFUNCTION("""COMPUTED_VALUE"""),"https://drive.google.com/file/d/1eZwQaeBWpF4UwsmaSMCiIdrUAX_F0AZz/view?usp=drivesdk")</f>
        <v>https://drive.google.com/file/d/1eZwQaeBWpF4UwsmaSMCiIdrUAX_F0AZz/view?usp=drivesdk</v>
      </c>
      <c r="D5185" s="12"/>
      <c r="E5185" s="11">
        <v>5223.0</v>
      </c>
      <c r="F5185" s="2"/>
    </row>
    <row r="5186" ht="1.5" customHeight="1">
      <c r="A5186" s="4" t="str">
        <f>IFERROR(__xludf.DUMMYFUNCTION("""COMPUTED_VALUE"""),"58. Eden")</f>
        <v>58. Eden</v>
      </c>
      <c r="B5186" s="4" t="str">
        <f>IFERROR(__xludf.DUMMYFUNCTION("""COMPUTED_VALUE"""),"58")</f>
        <v>58</v>
      </c>
      <c r="C5186" s="5" t="str">
        <f>IFERROR(__xludf.DUMMYFUNCTION("""COMPUTED_VALUE"""),"https://drive.google.com/file/d/1e4aJKOW_QvJiiplS6SyCGB1XP8-O3H-N/view?usp=drivesdk")</f>
        <v>https://drive.google.com/file/d/1e4aJKOW_QvJiiplS6SyCGB1XP8-O3H-N/view?usp=drivesdk</v>
      </c>
      <c r="D5186" s="12"/>
      <c r="E5186" s="11">
        <v>5224.0</v>
      </c>
      <c r="F5186" s="2"/>
    </row>
    <row r="5187" ht="1.5" customHeight="1">
      <c r="A5187" s="4" t="str">
        <f>IFERROR(__xludf.DUMMYFUNCTION("""COMPUTED_VALUE"""),"1. Microwave")</f>
        <v>1. Microwave</v>
      </c>
      <c r="B5187" s="4" t="str">
        <f>IFERROR(__xludf.DUMMYFUNCTION("""COMPUTED_VALUE"""),"1")</f>
        <v>1</v>
      </c>
      <c r="C5187" s="5" t="str">
        <f>IFERROR(__xludf.DUMMYFUNCTION("""COMPUTED_VALUE"""),"https://drive.google.com/file/d/1dm0ctlYAnMgxy2DTbEsjKVcHXoZy4sFD/view?usp=drivesdk")</f>
        <v>https://drive.google.com/file/d/1dm0ctlYAnMgxy2DTbEsjKVcHXoZy4sFD/view?usp=drivesdk</v>
      </c>
      <c r="D5187" s="12"/>
      <c r="E5187" s="11">
        <v>5225.0</v>
      </c>
      <c r="F5187" s="2"/>
    </row>
    <row r="5188" ht="1.5" customHeight="1">
      <c r="A5188" s="4" t="str">
        <f>IFERROR(__xludf.DUMMYFUNCTION("""COMPUTED_VALUE"""),"1. Microwave")</f>
        <v>1. Microwave</v>
      </c>
      <c r="B5188" s="4" t="str">
        <f>IFERROR(__xludf.DUMMYFUNCTION("""COMPUTED_VALUE"""),"1")</f>
        <v>1</v>
      </c>
      <c r="C5188" s="5" t="str">
        <f>IFERROR(__xludf.DUMMYFUNCTION("""COMPUTED_VALUE"""),"https://drive.google.com/file/d/1YZRbMA4WuIOfbOk1djDTOIbY0PWKCZNK/view?usp=drivesdk")</f>
        <v>https://drive.google.com/file/d/1YZRbMA4WuIOfbOk1djDTOIbY0PWKCZNK/view?usp=drivesdk</v>
      </c>
      <c r="D5188" s="12"/>
      <c r="E5188" s="11">
        <v>5226.0</v>
      </c>
      <c r="F5188" s="2"/>
    </row>
    <row r="5189" ht="1.5" customHeight="1">
      <c r="A5189" s="4" t="str">
        <f>IFERROR(__xludf.DUMMYFUNCTION("""COMPUTED_VALUE"""),"101. Nori")</f>
        <v>101. Nori</v>
      </c>
      <c r="B5189" s="4" t="str">
        <f>IFERROR(__xludf.DUMMYFUNCTION("""COMPUTED_VALUE"""),"101")</f>
        <v>101</v>
      </c>
      <c r="C5189" s="5" t="str">
        <f>IFERROR(__xludf.DUMMYFUNCTION("""COMPUTED_VALUE"""),"https://drive.google.com/file/d/1olD8JOHFz1X5wuYKM2rX9tt4FcWo1yf6/view?usp=drivesdk")</f>
        <v>https://drive.google.com/file/d/1olD8JOHFz1X5wuYKM2rX9tt4FcWo1yf6/view?usp=drivesdk</v>
      </c>
      <c r="D5189" s="12"/>
      <c r="E5189" s="11">
        <v>5227.0</v>
      </c>
      <c r="F5189" s="2"/>
    </row>
    <row r="5190" ht="1.5" customHeight="1">
      <c r="A5190" s="4" t="str">
        <f>IFERROR(__xludf.DUMMYFUNCTION("""COMPUTED_VALUE"""),"101. Nori")</f>
        <v>101. Nori</v>
      </c>
      <c r="B5190" s="4" t="str">
        <f>IFERROR(__xludf.DUMMYFUNCTION("""COMPUTED_VALUE"""),"101")</f>
        <v>101</v>
      </c>
      <c r="C5190" s="5" t="str">
        <f>IFERROR(__xludf.DUMMYFUNCTION("""COMPUTED_VALUE"""),"https://drive.google.com/file/d/1BtbfEuIdmust5UiLuG_6niELM_nQWe7q/view?usp=drivesdk")</f>
        <v>https://drive.google.com/file/d/1BtbfEuIdmust5UiLuG_6niELM_nQWe7q/view?usp=drivesdk</v>
      </c>
      <c r="D5190" s="12"/>
      <c r="E5190" s="11">
        <v>5228.0</v>
      </c>
      <c r="F5190" s="2"/>
    </row>
    <row r="5191" ht="1.5" customHeight="1">
      <c r="A5191" s="4" t="str">
        <f>IFERROR(__xludf.DUMMYFUNCTION("""COMPUTED_VALUE"""),"101. Nori")</f>
        <v>101. Nori</v>
      </c>
      <c r="B5191" s="4" t="str">
        <f>IFERROR(__xludf.DUMMYFUNCTION("""COMPUTED_VALUE"""),"101")</f>
        <v>101</v>
      </c>
      <c r="C5191" s="5" t="str">
        <f>IFERROR(__xludf.DUMMYFUNCTION("""COMPUTED_VALUE"""),"https://drive.google.com/file/d/1XcrXnrYQ6oYwpv8nMHX7Kf0oNkE17S4s/view?usp=drivesdk")</f>
        <v>https://drive.google.com/file/d/1XcrXnrYQ6oYwpv8nMHX7Kf0oNkE17S4s/view?usp=drivesdk</v>
      </c>
      <c r="D5191" s="12"/>
      <c r="E5191" s="11">
        <v>5229.0</v>
      </c>
      <c r="F5191" s="2"/>
    </row>
    <row r="5192" ht="1.5" customHeight="1">
      <c r="A5192" s="4" t="str">
        <f>IFERROR(__xludf.DUMMYFUNCTION("""COMPUTED_VALUE"""),"101. Nori")</f>
        <v>101. Nori</v>
      </c>
      <c r="B5192" s="4" t="str">
        <f>IFERROR(__xludf.DUMMYFUNCTION("""COMPUTED_VALUE"""),"101")</f>
        <v>101</v>
      </c>
      <c r="C5192" s="5" t="str">
        <f>IFERROR(__xludf.DUMMYFUNCTION("""COMPUTED_VALUE"""),"https://drive.google.com/file/d/1EjBeSR_U2WbY3uCjU1gS7dslEdYJ3Nx1/view?usp=drivesdk")</f>
        <v>https://drive.google.com/file/d/1EjBeSR_U2WbY3uCjU1gS7dslEdYJ3Nx1/view?usp=drivesdk</v>
      </c>
      <c r="D5192" s="12"/>
      <c r="E5192" s="11">
        <v>5230.0</v>
      </c>
      <c r="F5192" s="2"/>
    </row>
    <row r="5193" ht="1.5" customHeight="1">
      <c r="A5193" s="4" t="str">
        <f>IFERROR(__xludf.DUMMYFUNCTION("""COMPUTED_VALUE"""),"1. Microwave")</f>
        <v>1. Microwave</v>
      </c>
      <c r="B5193" s="4" t="str">
        <f>IFERROR(__xludf.DUMMYFUNCTION("""COMPUTED_VALUE"""),"1")</f>
        <v>1</v>
      </c>
      <c r="C5193" s="5" t="str">
        <f>IFERROR(__xludf.DUMMYFUNCTION("""COMPUTED_VALUE"""),"https://drive.google.com/file/d/12kp7v1miei4YNj2t2NpGiGxjNj5378op/view?usp=drivesdk")</f>
        <v>https://drive.google.com/file/d/12kp7v1miei4YNj2t2NpGiGxjNj5378op/view?usp=drivesdk</v>
      </c>
      <c r="D5193" s="12"/>
      <c r="E5193" s="11">
        <v>5231.0</v>
      </c>
      <c r="F5193" s="2"/>
    </row>
    <row r="5194" ht="1.5" customHeight="1">
      <c r="A5194" s="4" t="str">
        <f>IFERROR(__xludf.DUMMYFUNCTION("""COMPUTED_VALUE"""),"1. Microwave")</f>
        <v>1. Microwave</v>
      </c>
      <c r="B5194" s="4" t="str">
        <f>IFERROR(__xludf.DUMMYFUNCTION("""COMPUTED_VALUE"""),"1")</f>
        <v>1</v>
      </c>
      <c r="C5194" s="5" t="str">
        <f>IFERROR(__xludf.DUMMYFUNCTION("""COMPUTED_VALUE"""),"https://drive.google.com/file/d/1OLEO7WYgXRWs9RErIrN5-UJHqFA2Pcxd/view?usp=drivesdk")</f>
        <v>https://drive.google.com/file/d/1OLEO7WYgXRWs9RErIrN5-UJHqFA2Pcxd/view?usp=drivesdk</v>
      </c>
      <c r="D5194" s="12"/>
      <c r="E5194" s="11">
        <v>5232.0</v>
      </c>
      <c r="F5194" s="2"/>
    </row>
    <row r="5195" ht="1.5" customHeight="1">
      <c r="A5195" s="4" t="str">
        <f>IFERROR(__xludf.DUMMYFUNCTION("""COMPUTED_VALUE"""),"1. Microwave")</f>
        <v>1. Microwave</v>
      </c>
      <c r="B5195" s="4" t="str">
        <f>IFERROR(__xludf.DUMMYFUNCTION("""COMPUTED_VALUE"""),"1")</f>
        <v>1</v>
      </c>
      <c r="C5195" s="5" t="str">
        <f>IFERROR(__xludf.DUMMYFUNCTION("""COMPUTED_VALUE"""),"https://drive.google.com/file/d/1GbR9N9ZsoFLUXo9E9bwuanxHJRwqQgdp/view?usp=drivesdk")</f>
        <v>https://drive.google.com/file/d/1GbR9N9ZsoFLUXo9E9bwuanxHJRwqQgdp/view?usp=drivesdk</v>
      </c>
      <c r="D5195" s="12"/>
      <c r="E5195" s="11">
        <v>5233.0</v>
      </c>
      <c r="F5195" s="2"/>
    </row>
    <row r="5196" ht="1.5" customHeight="1">
      <c r="A5196" s="4" t="str">
        <f>IFERROR(__xludf.DUMMYFUNCTION("""COMPUTED_VALUE"""),"1. Microwave")</f>
        <v>1. Microwave</v>
      </c>
      <c r="B5196" s="4" t="str">
        <f>IFERROR(__xludf.DUMMYFUNCTION("""COMPUTED_VALUE"""),"1")</f>
        <v>1</v>
      </c>
      <c r="C5196" s="5" t="str">
        <f>IFERROR(__xludf.DUMMYFUNCTION("""COMPUTED_VALUE"""),"https://drive.google.com/file/d/1AXE5_Nr3ceUlabSUIMDy4X7xiFyV4K19/view?usp=drivesdk")</f>
        <v>https://drive.google.com/file/d/1AXE5_Nr3ceUlabSUIMDy4X7xiFyV4K19/view?usp=drivesdk</v>
      </c>
      <c r="D5196" s="12"/>
      <c r="E5196" s="11">
        <v>5234.0</v>
      </c>
      <c r="F5196" s="2"/>
    </row>
    <row r="5197" ht="1.5" customHeight="1">
      <c r="A5197" s="4" t="str">
        <f>IFERROR(__xludf.DUMMYFUNCTION("""COMPUTED_VALUE"""),"1. Microwave")</f>
        <v>1. Microwave</v>
      </c>
      <c r="B5197" s="4" t="str">
        <f>IFERROR(__xludf.DUMMYFUNCTION("""COMPUTED_VALUE"""),"1")</f>
        <v>1</v>
      </c>
      <c r="C5197" s="5" t="str">
        <f>IFERROR(__xludf.DUMMYFUNCTION("""COMPUTED_VALUE"""),"https://drive.google.com/file/d/1r_u1tXmX17cv5Ka6hMDYEHAq-aOJOpRh/view?usp=drivesdk")</f>
        <v>https://drive.google.com/file/d/1r_u1tXmX17cv5Ka6hMDYEHAq-aOJOpRh/view?usp=drivesdk</v>
      </c>
      <c r="D5197" s="12"/>
      <c r="E5197" s="11">
        <v>5235.0</v>
      </c>
      <c r="F5197" s="2"/>
    </row>
    <row r="5198" ht="1.5" customHeight="1">
      <c r="A5198" s="4" t="str">
        <f>IFERROR(__xludf.DUMMYFUNCTION("""COMPUTED_VALUE"""),"1. Microwave")</f>
        <v>1. Microwave</v>
      </c>
      <c r="B5198" s="4" t="str">
        <f>IFERROR(__xludf.DUMMYFUNCTION("""COMPUTED_VALUE"""),"1")</f>
        <v>1</v>
      </c>
      <c r="C5198" s="5" t="str">
        <f>IFERROR(__xludf.DUMMYFUNCTION("""COMPUTED_VALUE"""),"https://drive.google.com/file/d/1JI85VU22Kd-EkazjKxgmEp-hX1lDF5tF/view?usp=drivesdk")</f>
        <v>https://drive.google.com/file/d/1JI85VU22Kd-EkazjKxgmEp-hX1lDF5tF/view?usp=drivesdk</v>
      </c>
      <c r="D5198" s="12"/>
      <c r="E5198" s="11">
        <v>5236.0</v>
      </c>
      <c r="F5198" s="2"/>
    </row>
    <row r="5199" ht="1.5" customHeight="1">
      <c r="A5199" s="4" t="str">
        <f>IFERROR(__xludf.DUMMYFUNCTION("""COMPUTED_VALUE"""),"1. Microwave")</f>
        <v>1. Microwave</v>
      </c>
      <c r="B5199" s="4" t="str">
        <f>IFERROR(__xludf.DUMMYFUNCTION("""COMPUTED_VALUE"""),"1")</f>
        <v>1</v>
      </c>
      <c r="C5199" s="5" t="str">
        <f>IFERROR(__xludf.DUMMYFUNCTION("""COMPUTED_VALUE"""),"https://drive.google.com/file/d/13ec2qV7zHsR_8BxBQDy4aVApwkvAC2cr/view?usp=drivesdk")</f>
        <v>https://drive.google.com/file/d/13ec2qV7zHsR_8BxBQDy4aVApwkvAC2cr/view?usp=drivesdk</v>
      </c>
      <c r="D5199" s="12"/>
      <c r="E5199" s="11">
        <v>5237.0</v>
      </c>
      <c r="F5199" s="2"/>
    </row>
    <row r="5200" ht="1.5" customHeight="1">
      <c r="A5200" s="4" t="str">
        <f>IFERROR(__xludf.DUMMYFUNCTION("""COMPUTED_VALUE"""),"0. NotACat")</f>
        <v>0. NotACat</v>
      </c>
      <c r="B5200" s="4" t="str">
        <f>IFERROR(__xludf.DUMMYFUNCTION("""COMPUTED_VALUE"""),"0")</f>
        <v>0</v>
      </c>
      <c r="C5200" s="5" t="str">
        <f>IFERROR(__xludf.DUMMYFUNCTION("""COMPUTED_VALUE"""),"https://drive.google.com/file/d/1irAmC9rjbWo2od7m3wld0aAZSyNo2Fmf/view?usp=drivesdk")</f>
        <v>https://drive.google.com/file/d/1irAmC9rjbWo2od7m3wld0aAZSyNo2Fmf/view?usp=drivesdk</v>
      </c>
      <c r="D5200" s="12"/>
      <c r="E5200" s="11">
        <v>5238.0</v>
      </c>
      <c r="F5200" s="2"/>
    </row>
    <row r="5201" ht="1.5" customHeight="1">
      <c r="A5201" s="4" t="str">
        <f>IFERROR(__xludf.DUMMYFUNCTION("""COMPUTED_VALUE"""),"38. Winston")</f>
        <v>38. Winston</v>
      </c>
      <c r="B5201" s="4" t="str">
        <f>IFERROR(__xludf.DUMMYFUNCTION("""COMPUTED_VALUE"""),"38")</f>
        <v>38</v>
      </c>
      <c r="C5201" s="5" t="str">
        <f>IFERROR(__xludf.DUMMYFUNCTION("""COMPUTED_VALUE"""),"https://drive.google.com/file/d/13IErop1H40QeyN2ViWbcl2iXa4ZN2XQe/view?usp=drivesdk")</f>
        <v>https://drive.google.com/file/d/13IErop1H40QeyN2ViWbcl2iXa4ZN2XQe/view?usp=drivesdk</v>
      </c>
      <c r="D5201" s="12"/>
      <c r="E5201" s="11">
        <v>5239.0</v>
      </c>
      <c r="F5201" s="2"/>
    </row>
    <row r="5202" ht="1.5" customHeight="1">
      <c r="A5202" s="4" t="str">
        <f>IFERROR(__xludf.DUMMYFUNCTION("""COMPUTED_VALUE"""),"38. Winston")</f>
        <v>38. Winston</v>
      </c>
      <c r="B5202" s="4" t="str">
        <f>IFERROR(__xludf.DUMMYFUNCTION("""COMPUTED_VALUE"""),"38")</f>
        <v>38</v>
      </c>
      <c r="C5202" s="5" t="str">
        <f>IFERROR(__xludf.DUMMYFUNCTION("""COMPUTED_VALUE"""),"https://drive.google.com/file/d/1rLvVYn6EkJyZz2wb6L2S0b-ZWtjlyH3F/view?usp=drivesdk")</f>
        <v>https://drive.google.com/file/d/1rLvVYn6EkJyZz2wb6L2S0b-ZWtjlyH3F/view?usp=drivesdk</v>
      </c>
      <c r="D5202" s="12"/>
      <c r="E5202" s="11">
        <v>5240.0</v>
      </c>
      <c r="F5202" s="2"/>
    </row>
    <row r="5203" ht="1.5" customHeight="1">
      <c r="A5203" s="4" t="str">
        <f>IFERROR(__xludf.DUMMYFUNCTION("""COMPUTED_VALUE"""),"38. Winston")</f>
        <v>38. Winston</v>
      </c>
      <c r="B5203" s="4" t="str">
        <f>IFERROR(__xludf.DUMMYFUNCTION("""COMPUTED_VALUE"""),"38")</f>
        <v>38</v>
      </c>
      <c r="C5203" s="5" t="str">
        <f>IFERROR(__xludf.DUMMYFUNCTION("""COMPUTED_VALUE"""),"https://drive.google.com/file/d/1OaEdXqNwFtcsxDwZ_F0-G_-SIgcsThFZ/view?usp=drivesdk")</f>
        <v>https://drive.google.com/file/d/1OaEdXqNwFtcsxDwZ_F0-G_-SIgcsThFZ/view?usp=drivesdk</v>
      </c>
      <c r="D5203" s="12"/>
      <c r="E5203" s="11">
        <v>5241.0</v>
      </c>
      <c r="F5203" s="2"/>
    </row>
    <row r="5204" ht="1.5" customHeight="1">
      <c r="A5204" s="4" t="str">
        <f>IFERROR(__xludf.DUMMYFUNCTION("""COMPUTED_VALUE"""),"80. Atzi")</f>
        <v>80. Atzi</v>
      </c>
      <c r="B5204" s="4" t="str">
        <f>IFERROR(__xludf.DUMMYFUNCTION("""COMPUTED_VALUE"""),"80")</f>
        <v>80</v>
      </c>
      <c r="C5204" s="5" t="str">
        <f>IFERROR(__xludf.DUMMYFUNCTION("""COMPUTED_VALUE"""),"https://drive.google.com/file/d/1jD9Ta_Dzn4jNQ-Ms3RlizswtbhVTNKzw/view?usp=drivesdk")</f>
        <v>https://drive.google.com/file/d/1jD9Ta_Dzn4jNQ-Ms3RlizswtbhVTNKzw/view?usp=drivesdk</v>
      </c>
      <c r="D5204" s="12"/>
      <c r="E5204" s="11">
        <v>5242.0</v>
      </c>
      <c r="F5204" s="2"/>
    </row>
    <row r="5205" ht="1.5" customHeight="1">
      <c r="A5205" s="4" t="str">
        <f>IFERROR(__xludf.DUMMYFUNCTION("""COMPUTED_VALUE"""),"80. Atzi")</f>
        <v>80. Atzi</v>
      </c>
      <c r="B5205" s="4" t="str">
        <f>IFERROR(__xludf.DUMMYFUNCTION("""COMPUTED_VALUE"""),"80")</f>
        <v>80</v>
      </c>
      <c r="C5205" s="5" t="str">
        <f>IFERROR(__xludf.DUMMYFUNCTION("""COMPUTED_VALUE"""),"https://drive.google.com/file/d/1cOqExEz4MDGJmMKjyz8L-zB0qB0UZUfb/view?usp=drivesdk")</f>
        <v>https://drive.google.com/file/d/1cOqExEz4MDGJmMKjyz8L-zB0qB0UZUfb/view?usp=drivesdk</v>
      </c>
      <c r="D5205" s="12"/>
      <c r="E5205" s="11">
        <v>5243.0</v>
      </c>
      <c r="F5205" s="2"/>
    </row>
    <row r="5206" ht="1.5" customHeight="1">
      <c r="A5206" s="4" t="str">
        <f>IFERROR(__xludf.DUMMYFUNCTION("""COMPUTED_VALUE"""),"38. Winston")</f>
        <v>38. Winston</v>
      </c>
      <c r="B5206" s="4" t="str">
        <f>IFERROR(__xludf.DUMMYFUNCTION("""COMPUTED_VALUE"""),"38")</f>
        <v>38</v>
      </c>
      <c r="C5206" s="5" t="str">
        <f>IFERROR(__xludf.DUMMYFUNCTION("""COMPUTED_VALUE"""),"https://drive.google.com/file/d/1dN6UEZ_CmHU6uo7cbOJr7tplaIalkzu0/view?usp=drivesdk")</f>
        <v>https://drive.google.com/file/d/1dN6UEZ_CmHU6uo7cbOJr7tplaIalkzu0/view?usp=drivesdk</v>
      </c>
      <c r="D5206" s="12"/>
      <c r="E5206" s="11">
        <v>5244.0</v>
      </c>
      <c r="F5206" s="2"/>
    </row>
    <row r="5207" ht="1.5" customHeight="1">
      <c r="A5207" s="4" t="str">
        <f>IFERROR(__xludf.DUMMYFUNCTION("""COMPUTED_VALUE"""),"38. Winston")</f>
        <v>38. Winston</v>
      </c>
      <c r="B5207" s="4" t="str">
        <f>IFERROR(__xludf.DUMMYFUNCTION("""COMPUTED_VALUE"""),"38")</f>
        <v>38</v>
      </c>
      <c r="C5207" s="5" t="str">
        <f>IFERROR(__xludf.DUMMYFUNCTION("""COMPUTED_VALUE"""),"https://drive.google.com/file/d/1cZe2I2z2wgDiHqiFA2C9ohuoPTyclXle/view?usp=drivesdk")</f>
        <v>https://drive.google.com/file/d/1cZe2I2z2wgDiHqiFA2C9ohuoPTyclXle/view?usp=drivesdk</v>
      </c>
      <c r="D5207" s="12"/>
      <c r="E5207" s="11">
        <v>5245.0</v>
      </c>
      <c r="F5207" s="2"/>
    </row>
    <row r="5208" ht="1.5" customHeight="1">
      <c r="A5208" s="4" t="str">
        <f>IFERROR(__xludf.DUMMYFUNCTION("""COMPUTED_VALUE"""),"42. Rubber")</f>
        <v>42. Rubber</v>
      </c>
      <c r="B5208" s="4" t="str">
        <f>IFERROR(__xludf.DUMMYFUNCTION("""COMPUTED_VALUE"""),"42")</f>
        <v>42</v>
      </c>
      <c r="C5208" s="5" t="str">
        <f>IFERROR(__xludf.DUMMYFUNCTION("""COMPUTED_VALUE"""),"https://drive.google.com/file/d/1VRDDlDtxs7ix5tLGjTYx7N4vRz2vL0Kk/view?usp=drivesdk")</f>
        <v>https://drive.google.com/file/d/1VRDDlDtxs7ix5tLGjTYx7N4vRz2vL0Kk/view?usp=drivesdk</v>
      </c>
      <c r="D5208" s="12"/>
      <c r="E5208" s="11">
        <v>5246.0</v>
      </c>
      <c r="F5208" s="2"/>
    </row>
    <row r="5209" ht="1.5" customHeight="1">
      <c r="A5209" s="4" t="str">
        <f>IFERROR(__xludf.DUMMYFUNCTION("""COMPUTED_VALUE"""),"88. Vincente, 42. Rubber, 44. Shitbag Cuntface, 39. Radar, 95. Ariel")</f>
        <v>88. Vincente, 42. Rubber, 44. Shitbag Cuntface, 39. Radar, 95. Ariel</v>
      </c>
      <c r="B5209" s="4" t="str">
        <f>IFERROR(__xludf.DUMMYFUNCTION("""COMPUTED_VALUE"""),"88, 42, 44, 39, 95")</f>
        <v>88, 42, 44, 39, 95</v>
      </c>
      <c r="C5209" s="5" t="str">
        <f>IFERROR(__xludf.DUMMYFUNCTION("""COMPUTED_VALUE"""),"https://drive.google.com/file/d/1AWyV5pVKedPO3UOpbgH74QfMqdcHVQ4b/view?usp=drivesdk")</f>
        <v>https://drive.google.com/file/d/1AWyV5pVKedPO3UOpbgH74QfMqdcHVQ4b/view?usp=drivesdk</v>
      </c>
      <c r="D5209" s="12"/>
      <c r="E5209" s="11">
        <v>5247.0</v>
      </c>
      <c r="F5209" s="2"/>
    </row>
    <row r="5210" ht="1.5" customHeight="1">
      <c r="A5210" s="4" t="str">
        <f>IFERROR(__xludf.DUMMYFUNCTION("""COMPUTED_VALUE"""),"88. Vincente, 95. Ariel")</f>
        <v>88. Vincente, 95. Ariel</v>
      </c>
      <c r="B5210" s="4" t="str">
        <f>IFERROR(__xludf.DUMMYFUNCTION("""COMPUTED_VALUE"""),"88, 95")</f>
        <v>88, 95</v>
      </c>
      <c r="C5210" s="5" t="str">
        <f>IFERROR(__xludf.DUMMYFUNCTION("""COMPUTED_VALUE"""),"https://drive.google.com/file/d/1-_ayfE66-u02LtGn7etQExeRGyn7lhlY/view?usp=drivesdk")</f>
        <v>https://drive.google.com/file/d/1-_ayfE66-u02LtGn7etQExeRGyn7lhlY/view?usp=drivesdk</v>
      </c>
      <c r="D5210" s="12"/>
      <c r="E5210" s="11">
        <v>5248.0</v>
      </c>
      <c r="F5210" s="2"/>
    </row>
    <row r="5211" ht="1.5" customHeight="1">
      <c r="A5211" s="4" t="str">
        <f>IFERROR(__xludf.DUMMYFUNCTION("""COMPUTED_VALUE"""),"88. Vincente")</f>
        <v>88. Vincente</v>
      </c>
      <c r="B5211" s="4" t="str">
        <f>IFERROR(__xludf.DUMMYFUNCTION("""COMPUTED_VALUE"""),"88")</f>
        <v>88</v>
      </c>
      <c r="C5211" s="5" t="str">
        <f>IFERROR(__xludf.DUMMYFUNCTION("""COMPUTED_VALUE"""),"https://drive.google.com/file/d/1JTBpWmVcU-gDk7z53gzRvspJ4Ec8BxnW/view?usp=drivesdk")</f>
        <v>https://drive.google.com/file/d/1JTBpWmVcU-gDk7z53gzRvspJ4Ec8BxnW/view?usp=drivesdk</v>
      </c>
      <c r="D5211" s="12"/>
      <c r="E5211" s="11">
        <v>5249.0</v>
      </c>
      <c r="F5211" s="2"/>
    </row>
    <row r="5212" ht="1.5" customHeight="1">
      <c r="A5212" s="4" t="str">
        <f>IFERROR(__xludf.DUMMYFUNCTION("""COMPUTED_VALUE"""),"95. Ariel, 41. Gregory, 44. Shitbag Cuntface, 42. Rubber, 61. Cassie")</f>
        <v>95. Ariel, 41. Gregory, 44. Shitbag Cuntface, 42. Rubber, 61. Cassie</v>
      </c>
      <c r="B5212" s="4" t="str">
        <f>IFERROR(__xludf.DUMMYFUNCTION("""COMPUTED_VALUE"""),"95, 41, 44, 42, 61")</f>
        <v>95, 41, 44, 42, 61</v>
      </c>
      <c r="C5212" s="5" t="str">
        <f>IFERROR(__xludf.DUMMYFUNCTION("""COMPUTED_VALUE"""),"https://drive.google.com/file/d/1D9Br2qLU46MgSDS34IgLyF7Skw24HMEJ/view?usp=drivesdk")</f>
        <v>https://drive.google.com/file/d/1D9Br2qLU46MgSDS34IgLyF7Skw24HMEJ/view?usp=drivesdk</v>
      </c>
      <c r="D5212" s="12"/>
      <c r="E5212" s="11">
        <v>5250.0</v>
      </c>
      <c r="F5212" s="2"/>
    </row>
    <row r="5213" ht="1.5" customHeight="1">
      <c r="A5213" s="4" t="str">
        <f>IFERROR(__xludf.DUMMYFUNCTION("""COMPUTED_VALUE"""),"88. Vincente, 95. Ariel")</f>
        <v>88. Vincente, 95. Ariel</v>
      </c>
      <c r="B5213" s="4" t="str">
        <f>IFERROR(__xludf.DUMMYFUNCTION("""COMPUTED_VALUE"""),"88, 95")</f>
        <v>88, 95</v>
      </c>
      <c r="C5213" s="5" t="str">
        <f>IFERROR(__xludf.DUMMYFUNCTION("""COMPUTED_VALUE"""),"https://drive.google.com/file/d/1M3ucLBg5_TlZJMGGsp-J_VQ4H-MC8nOy/view?usp=drivesdk")</f>
        <v>https://drive.google.com/file/d/1M3ucLBg5_TlZJMGGsp-J_VQ4H-MC8nOy/view?usp=drivesdk</v>
      </c>
      <c r="D5213" s="12"/>
      <c r="E5213" s="11">
        <v>5251.0</v>
      </c>
      <c r="F5213" s="2"/>
    </row>
    <row r="5214" ht="1.5" customHeight="1">
      <c r="A5214" s="4" t="str">
        <f>IFERROR(__xludf.DUMMYFUNCTION("""COMPUTED_VALUE"""),"1. Microwave")</f>
        <v>1. Microwave</v>
      </c>
      <c r="B5214" s="4" t="str">
        <f>IFERROR(__xludf.DUMMYFUNCTION("""COMPUTED_VALUE"""),"1")</f>
        <v>1</v>
      </c>
      <c r="C5214" s="5" t="str">
        <f>IFERROR(__xludf.DUMMYFUNCTION("""COMPUTED_VALUE"""),"https://drive.google.com/file/d/1IKrUwxhsLnuPHRQtocOMJunjqe1k2NCZ/view?usp=drivesdk")</f>
        <v>https://drive.google.com/file/d/1IKrUwxhsLnuPHRQtocOMJunjqe1k2NCZ/view?usp=drivesdk</v>
      </c>
      <c r="D5214" s="12"/>
      <c r="E5214" s="11">
        <v>5252.0</v>
      </c>
      <c r="F5214" s="2"/>
    </row>
    <row r="5215" ht="1.5" customHeight="1">
      <c r="A5215" s="4" t="str">
        <f>IFERROR(__xludf.DUMMYFUNCTION("""COMPUTED_VALUE"""),"1. Microwave")</f>
        <v>1. Microwave</v>
      </c>
      <c r="B5215" s="4" t="str">
        <f>IFERROR(__xludf.DUMMYFUNCTION("""COMPUTED_VALUE"""),"1")</f>
        <v>1</v>
      </c>
      <c r="C5215" s="5" t="str">
        <f>IFERROR(__xludf.DUMMYFUNCTION("""COMPUTED_VALUE"""),"https://drive.google.com/file/d/1gb-eZSVcNLb2p5W6Br0zePat29NBaNmv/view?usp=drivesdk")</f>
        <v>https://drive.google.com/file/d/1gb-eZSVcNLb2p5W6Br0zePat29NBaNmv/view?usp=drivesdk</v>
      </c>
      <c r="D5215" s="12"/>
      <c r="E5215" s="11">
        <v>5253.0</v>
      </c>
      <c r="F5215" s="2"/>
    </row>
    <row r="5216" ht="1.5" customHeight="1">
      <c r="A5216" s="4" t="str">
        <f>IFERROR(__xludf.DUMMYFUNCTION("""COMPUTED_VALUE"""),"1. Microwave")</f>
        <v>1. Microwave</v>
      </c>
      <c r="B5216" s="4" t="str">
        <f>IFERROR(__xludf.DUMMYFUNCTION("""COMPUTED_VALUE"""),"1")</f>
        <v>1</v>
      </c>
      <c r="C5216" s="5" t="str">
        <f>IFERROR(__xludf.DUMMYFUNCTION("""COMPUTED_VALUE"""),"https://drive.google.com/file/d/1tzfzCJAqzbvXan1XOEahof6KqAUyR0cn/view?usp=drivesdk")</f>
        <v>https://drive.google.com/file/d/1tzfzCJAqzbvXan1XOEahof6KqAUyR0cn/view?usp=drivesdk</v>
      </c>
      <c r="D5216" s="12"/>
      <c r="E5216" s="11">
        <v>5254.0</v>
      </c>
      <c r="F5216" s="2"/>
    </row>
    <row r="5217" ht="1.5" customHeight="1">
      <c r="A5217" s="4" t="str">
        <f>IFERROR(__xludf.DUMMYFUNCTION("""COMPUTED_VALUE"""),"5. Eraser")</f>
        <v>5. Eraser</v>
      </c>
      <c r="B5217" s="4" t="str">
        <f>IFERROR(__xludf.DUMMYFUNCTION("""COMPUTED_VALUE"""),"5")</f>
        <v>5</v>
      </c>
      <c r="C5217" s="5" t="str">
        <f>IFERROR(__xludf.DUMMYFUNCTION("""COMPUTED_VALUE"""),"https://drive.google.com/file/d/1AINs4QpLuhHuAltRRMx5FK2sWFku0WU6/view?usp=drivesdk")</f>
        <v>https://drive.google.com/file/d/1AINs4QpLuhHuAltRRMx5FK2sWFku0WU6/view?usp=drivesdk</v>
      </c>
      <c r="D5217" s="12"/>
      <c r="E5217" s="11">
        <v>5255.0</v>
      </c>
      <c r="F5217" s="2"/>
    </row>
    <row r="5218" ht="1.5" customHeight="1">
      <c r="A5218" s="4" t="str">
        <f>IFERROR(__xludf.DUMMYFUNCTION("""COMPUTED_VALUE"""),"4. Eggs")</f>
        <v>4. Eggs</v>
      </c>
      <c r="B5218" s="4" t="str">
        <f>IFERROR(__xludf.DUMMYFUNCTION("""COMPUTED_VALUE"""),"4")</f>
        <v>4</v>
      </c>
      <c r="C5218" s="5" t="str">
        <f>IFERROR(__xludf.DUMMYFUNCTION("""COMPUTED_VALUE"""),"https://drive.google.com/file/d/1vBPCSDO821qXFAPUxk_G3a0xeLNIOl8A/view?usp=drivesdk")</f>
        <v>https://drive.google.com/file/d/1vBPCSDO821qXFAPUxk_G3a0xeLNIOl8A/view?usp=drivesdk</v>
      </c>
      <c r="D5218" s="12"/>
      <c r="E5218" s="11">
        <v>5256.0</v>
      </c>
      <c r="F5218" s="2"/>
    </row>
    <row r="5219" ht="1.5" customHeight="1">
      <c r="A5219" s="4" t="str">
        <f>IFERROR(__xludf.DUMMYFUNCTION("""COMPUTED_VALUE"""),"4. Eggs, 5. Eraser")</f>
        <v>4. Eggs, 5. Eraser</v>
      </c>
      <c r="B5219" s="4" t="str">
        <f>IFERROR(__xludf.DUMMYFUNCTION("""COMPUTED_VALUE"""),"4, 5")</f>
        <v>4, 5</v>
      </c>
      <c r="C5219" s="5" t="str">
        <f>IFERROR(__xludf.DUMMYFUNCTION("""COMPUTED_VALUE"""),"https://drive.google.com/file/d/1yrvqZebE-28OZoFNO9qzosf1xebJt5xs/view?usp=drivesdk")</f>
        <v>https://drive.google.com/file/d/1yrvqZebE-28OZoFNO9qzosf1xebJt5xs/view?usp=drivesdk</v>
      </c>
      <c r="D5219" s="12"/>
      <c r="E5219" s="11">
        <v>5257.0</v>
      </c>
      <c r="F5219" s="2"/>
    </row>
    <row r="5220" ht="1.5" customHeight="1">
      <c r="A5220" s="4" t="str">
        <f>IFERROR(__xludf.DUMMYFUNCTION("""COMPUTED_VALUE"""),"1. Microwave")</f>
        <v>1. Microwave</v>
      </c>
      <c r="B5220" s="4" t="str">
        <f>IFERROR(__xludf.DUMMYFUNCTION("""COMPUTED_VALUE"""),"1")</f>
        <v>1</v>
      </c>
      <c r="C5220" s="5" t="str">
        <f>IFERROR(__xludf.DUMMYFUNCTION("""COMPUTED_VALUE"""),"https://drive.google.com/file/d/1Qw9Qoaf4r-So6gnE5e6IJuFwHtK5SjBZ/view?usp=drivesdk")</f>
        <v>https://drive.google.com/file/d/1Qw9Qoaf4r-So6gnE5e6IJuFwHtK5SjBZ/view?usp=drivesdk</v>
      </c>
      <c r="D5220" s="12"/>
      <c r="E5220" s="11">
        <v>5258.0</v>
      </c>
      <c r="F5220" s="2"/>
    </row>
    <row r="5221" ht="1.5" customHeight="1">
      <c r="A5221" s="4" t="str">
        <f>IFERROR(__xludf.DUMMYFUNCTION("""COMPUTED_VALUE"""),"61. Cassie, 12. Faye")</f>
        <v>61. Cassie, 12. Faye</v>
      </c>
      <c r="B5221" s="4" t="str">
        <f>IFERROR(__xludf.DUMMYFUNCTION("""COMPUTED_VALUE"""),"61, 12")</f>
        <v>61, 12</v>
      </c>
      <c r="C5221" s="5" t="str">
        <f>IFERROR(__xludf.DUMMYFUNCTION("""COMPUTED_VALUE"""),"https://drive.google.com/file/d/1b0w4kaksyFK12hlA2Cf0Nw1OzOCdmOsQ/view?usp=drivesdk")</f>
        <v>https://drive.google.com/file/d/1b0w4kaksyFK12hlA2Cf0Nw1OzOCdmOsQ/view?usp=drivesdk</v>
      </c>
      <c r="D5221" s="12"/>
      <c r="E5221" s="11">
        <v>5259.0</v>
      </c>
      <c r="F5221" s="2"/>
    </row>
    <row r="5222" ht="1.5" customHeight="1">
      <c r="A5222" s="4" t="str">
        <f>IFERROR(__xludf.DUMMYFUNCTION("""COMPUTED_VALUE"""),"0. NotACat")</f>
        <v>0. NotACat</v>
      </c>
      <c r="B5222" s="4" t="str">
        <f>IFERROR(__xludf.DUMMYFUNCTION("""COMPUTED_VALUE"""),"0")</f>
        <v>0</v>
      </c>
      <c r="C5222" s="5" t="str">
        <f>IFERROR(__xludf.DUMMYFUNCTION("""COMPUTED_VALUE"""),"https://drive.google.com/file/d/1YhmZf8yxtzvyLv7WE_Xy5QMnWbVodwJM/view?usp=drivesdk")</f>
        <v>https://drive.google.com/file/d/1YhmZf8yxtzvyLv7WE_Xy5QMnWbVodwJM/view?usp=drivesdk</v>
      </c>
      <c r="D5222" s="12"/>
      <c r="E5222" s="11">
        <v>5260.0</v>
      </c>
      <c r="F5222" s="2"/>
    </row>
    <row r="5223" ht="1.5" customHeight="1">
      <c r="A5223" s="4" t="str">
        <f>IFERROR(__xludf.DUMMYFUNCTION("""COMPUTED_VALUE"""),"1. Microwave")</f>
        <v>1. Microwave</v>
      </c>
      <c r="B5223" s="4" t="str">
        <f>IFERROR(__xludf.DUMMYFUNCTION("""COMPUTED_VALUE"""),"1")</f>
        <v>1</v>
      </c>
      <c r="C5223" s="5" t="str">
        <f>IFERROR(__xludf.DUMMYFUNCTION("""COMPUTED_VALUE"""),"https://drive.google.com/file/d/1OjF0_yKtzx14lLnBC803rMVlJ0XK9NUf/view?usp=drivesdk")</f>
        <v>https://drive.google.com/file/d/1OjF0_yKtzx14lLnBC803rMVlJ0XK9NUf/view?usp=drivesdk</v>
      </c>
      <c r="D5223" s="12"/>
      <c r="E5223" s="11">
        <v>5261.0</v>
      </c>
      <c r="F5223" s="2"/>
    </row>
    <row r="5224" ht="1.5" customHeight="1">
      <c r="A5224" s="4" t="str">
        <f>IFERROR(__xludf.DUMMYFUNCTION("""COMPUTED_VALUE"""),"1. Microwave")</f>
        <v>1. Microwave</v>
      </c>
      <c r="B5224" s="4" t="str">
        <f>IFERROR(__xludf.DUMMYFUNCTION("""COMPUTED_VALUE"""),"1")</f>
        <v>1</v>
      </c>
      <c r="C5224" s="5" t="str">
        <f>IFERROR(__xludf.DUMMYFUNCTION("""COMPUTED_VALUE"""),"https://drive.google.com/file/d/19Ik3jdKaY55wtALPXABh3tjjrs3u5c3I/view?usp=drivesdk")</f>
        <v>https://drive.google.com/file/d/19Ik3jdKaY55wtALPXABh3tjjrs3u5c3I/view?usp=drivesdk</v>
      </c>
      <c r="D5224" s="12"/>
      <c r="E5224" s="11">
        <v>5262.0</v>
      </c>
      <c r="F5224" s="2"/>
    </row>
    <row r="5225" ht="1.5" customHeight="1">
      <c r="A5225" s="4" t="str">
        <f>IFERROR(__xludf.DUMMYFUNCTION("""COMPUTED_VALUE"""),"1. Microwave")</f>
        <v>1. Microwave</v>
      </c>
      <c r="B5225" s="4" t="str">
        <f>IFERROR(__xludf.DUMMYFUNCTION("""COMPUTED_VALUE"""),"1")</f>
        <v>1</v>
      </c>
      <c r="C5225" s="5" t="str">
        <f>IFERROR(__xludf.DUMMYFUNCTION("""COMPUTED_VALUE"""),"https://drive.google.com/file/d/1-t_RkSTk-G8-OAtVYSAq4kvpdGUgq3cE/view?usp=drivesdk")</f>
        <v>https://drive.google.com/file/d/1-t_RkSTk-G8-OAtVYSAq4kvpdGUgq3cE/view?usp=drivesdk</v>
      </c>
      <c r="D5225" s="12"/>
      <c r="E5225" s="11">
        <v>5263.0</v>
      </c>
      <c r="F5225" s="2"/>
    </row>
    <row r="5226" ht="1.5" customHeight="1">
      <c r="A5226" s="4" t="str">
        <f>IFERROR(__xludf.DUMMYFUNCTION("""COMPUTED_VALUE"""),"1. Microwave")</f>
        <v>1. Microwave</v>
      </c>
      <c r="B5226" s="4" t="str">
        <f>IFERROR(__xludf.DUMMYFUNCTION("""COMPUTED_VALUE"""),"1")</f>
        <v>1</v>
      </c>
      <c r="C5226" s="5" t="str">
        <f>IFERROR(__xludf.DUMMYFUNCTION("""COMPUTED_VALUE"""),"https://drive.google.com/file/d/1A9mzAjDL-yYltmHvrZHlLZBNCCXUG2zF/view?usp=drivesdk")</f>
        <v>https://drive.google.com/file/d/1A9mzAjDL-yYltmHvrZHlLZBNCCXUG2zF/view?usp=drivesdk</v>
      </c>
      <c r="D5226" s="12"/>
      <c r="E5226" s="11">
        <v>5264.0</v>
      </c>
      <c r="F5226" s="2"/>
    </row>
    <row r="5227" ht="1.5" customHeight="1">
      <c r="A5227" s="4" t="str">
        <f>IFERROR(__xludf.DUMMYFUNCTION("""COMPUTED_VALUE"""),"2. Twix")</f>
        <v>2. Twix</v>
      </c>
      <c r="B5227" s="4" t="str">
        <f>IFERROR(__xludf.DUMMYFUNCTION("""COMPUTED_VALUE"""),"2")</f>
        <v>2</v>
      </c>
      <c r="C5227" s="5" t="str">
        <f>IFERROR(__xludf.DUMMYFUNCTION("""COMPUTED_VALUE"""),"https://drive.google.com/file/d/1Ano1dC92BrKmLomE6qT0UNNPAlR_X4xs/view?usp=drivesdk")</f>
        <v>https://drive.google.com/file/d/1Ano1dC92BrKmLomE6qT0UNNPAlR_X4xs/view?usp=drivesdk</v>
      </c>
      <c r="D5227" s="12"/>
      <c r="E5227" s="11">
        <v>5265.0</v>
      </c>
      <c r="F5227" s="2"/>
    </row>
    <row r="5228" ht="1.5" customHeight="1">
      <c r="A5228" s="4" t="str">
        <f>IFERROR(__xludf.DUMMYFUNCTION("""COMPUTED_VALUE"""),"2. Twix")</f>
        <v>2. Twix</v>
      </c>
      <c r="B5228" s="4" t="str">
        <f>IFERROR(__xludf.DUMMYFUNCTION("""COMPUTED_VALUE"""),"2")</f>
        <v>2</v>
      </c>
      <c r="C5228" s="5" t="str">
        <f>IFERROR(__xludf.DUMMYFUNCTION("""COMPUTED_VALUE"""),"https://drive.google.com/file/d/1YJF-Cr3A1nMYXwThYizKXXmqPGvc66sT/view?usp=drivesdk")</f>
        <v>https://drive.google.com/file/d/1YJF-Cr3A1nMYXwThYizKXXmqPGvc66sT/view?usp=drivesdk</v>
      </c>
      <c r="D5228" s="12"/>
      <c r="E5228" s="11">
        <v>5266.0</v>
      </c>
      <c r="F5228" s="2"/>
    </row>
    <row r="5229" ht="1.5" customHeight="1">
      <c r="A5229" s="4" t="str">
        <f>IFERROR(__xludf.DUMMYFUNCTION("""COMPUTED_VALUE"""),"2. Twix")</f>
        <v>2. Twix</v>
      </c>
      <c r="B5229" s="4" t="str">
        <f>IFERROR(__xludf.DUMMYFUNCTION("""COMPUTED_VALUE"""),"2")</f>
        <v>2</v>
      </c>
      <c r="C5229" s="5" t="str">
        <f>IFERROR(__xludf.DUMMYFUNCTION("""COMPUTED_VALUE"""),"https://drive.google.com/file/d/1C9fuNyngIbb6fX_MqJckKuDfmcJOHljl/view?usp=drivesdk")</f>
        <v>https://drive.google.com/file/d/1C9fuNyngIbb6fX_MqJckKuDfmcJOHljl/view?usp=drivesdk</v>
      </c>
      <c r="D5229" s="12"/>
      <c r="E5229" s="11">
        <v>5267.0</v>
      </c>
      <c r="F5229" s="2"/>
    </row>
    <row r="5230" ht="1.5" customHeight="1">
      <c r="A5230" s="4" t="str">
        <f>IFERROR(__xludf.DUMMYFUNCTION("""COMPUTED_VALUE"""),"2. Twix")</f>
        <v>2. Twix</v>
      </c>
      <c r="B5230" s="4" t="str">
        <f>IFERROR(__xludf.DUMMYFUNCTION("""COMPUTED_VALUE"""),"2")</f>
        <v>2</v>
      </c>
      <c r="C5230" s="5" t="str">
        <f>IFERROR(__xludf.DUMMYFUNCTION("""COMPUTED_VALUE"""),"https://drive.google.com/file/d/1BbhzWETHs3_fKWu7Fd9T_DsEo_7AzY2z/view?usp=drivesdk")</f>
        <v>https://drive.google.com/file/d/1BbhzWETHs3_fKWu7Fd9T_DsEo_7AzY2z/view?usp=drivesdk</v>
      </c>
      <c r="D5230" s="12"/>
      <c r="E5230" s="11">
        <v>5268.0</v>
      </c>
      <c r="F5230" s="2"/>
    </row>
    <row r="5231" ht="1.5" customHeight="1">
      <c r="A5231" s="4" t="str">
        <f>IFERROR(__xludf.DUMMYFUNCTION("""COMPUTED_VALUE"""),"2. Twix")</f>
        <v>2. Twix</v>
      </c>
      <c r="B5231" s="4" t="str">
        <f>IFERROR(__xludf.DUMMYFUNCTION("""COMPUTED_VALUE"""),"2")</f>
        <v>2</v>
      </c>
      <c r="C5231" s="5" t="str">
        <f>IFERROR(__xludf.DUMMYFUNCTION("""COMPUTED_VALUE"""),"https://drive.google.com/file/d/1U0srSS1bnC8rLCRXgfX-tsNAWbHUS0kz/view?usp=drivesdk")</f>
        <v>https://drive.google.com/file/d/1U0srSS1bnC8rLCRXgfX-tsNAWbHUS0kz/view?usp=drivesdk</v>
      </c>
      <c r="D5231" s="12"/>
      <c r="E5231" s="11">
        <v>5269.0</v>
      </c>
      <c r="F5231" s="2"/>
    </row>
    <row r="5232" ht="1.5" customHeight="1">
      <c r="A5232" s="4" t="str">
        <f>IFERROR(__xludf.DUMMYFUNCTION("""COMPUTED_VALUE"""),"2. Twix")</f>
        <v>2. Twix</v>
      </c>
      <c r="B5232" s="4" t="str">
        <f>IFERROR(__xludf.DUMMYFUNCTION("""COMPUTED_VALUE"""),"2")</f>
        <v>2</v>
      </c>
      <c r="C5232" s="5" t="str">
        <f>IFERROR(__xludf.DUMMYFUNCTION("""COMPUTED_VALUE"""),"https://drive.google.com/file/d/18cuqMzt8ZNxQpLECH3TefmTBJhvnZDnm/view?usp=drivesdk")</f>
        <v>https://drive.google.com/file/d/18cuqMzt8ZNxQpLECH3TefmTBJhvnZDnm/view?usp=drivesdk</v>
      </c>
      <c r="D5232" s="12"/>
      <c r="E5232" s="11">
        <v>5270.0</v>
      </c>
      <c r="F5232" s="2"/>
    </row>
    <row r="5233" ht="1.5" customHeight="1">
      <c r="A5233" s="4" t="str">
        <f>IFERROR(__xludf.DUMMYFUNCTION("""COMPUTED_VALUE"""),"2. Twix")</f>
        <v>2. Twix</v>
      </c>
      <c r="B5233" s="4" t="str">
        <f>IFERROR(__xludf.DUMMYFUNCTION("""COMPUTED_VALUE"""),"2")</f>
        <v>2</v>
      </c>
      <c r="C5233" s="5" t="str">
        <f>IFERROR(__xludf.DUMMYFUNCTION("""COMPUTED_VALUE"""),"https://drive.google.com/file/d/1s6i2nqihWp8WqbEDzmu5BYbB5FP4oaYF/view?usp=drivesdk")</f>
        <v>https://drive.google.com/file/d/1s6i2nqihWp8WqbEDzmu5BYbB5FP4oaYF/view?usp=drivesdk</v>
      </c>
      <c r="D5233" s="12"/>
      <c r="E5233" s="11">
        <v>5271.0</v>
      </c>
      <c r="F5233" s="2"/>
    </row>
    <row r="5234" ht="1.5" customHeight="1">
      <c r="A5234" s="4" t="str">
        <f>IFERROR(__xludf.DUMMYFUNCTION("""COMPUTED_VALUE"""),"1. Microwave")</f>
        <v>1. Microwave</v>
      </c>
      <c r="B5234" s="4" t="str">
        <f>IFERROR(__xludf.DUMMYFUNCTION("""COMPUTED_VALUE"""),"1")</f>
        <v>1</v>
      </c>
      <c r="C5234" s="5" t="str">
        <f>IFERROR(__xludf.DUMMYFUNCTION("""COMPUTED_VALUE"""),"https://drive.google.com/file/d/1tCnTg7LSnYL9CbdqHJrQF2oAflQb7lud/view?usp=drivesdk")</f>
        <v>https://drive.google.com/file/d/1tCnTg7LSnYL9CbdqHJrQF2oAflQb7lud/view?usp=drivesdk</v>
      </c>
      <c r="D5234" s="12"/>
      <c r="E5234" s="11">
        <v>5272.0</v>
      </c>
      <c r="F5234" s="2"/>
    </row>
    <row r="5235" ht="1.5" customHeight="1">
      <c r="A5235" s="4" t="str">
        <f>IFERROR(__xludf.DUMMYFUNCTION("""COMPUTED_VALUE"""),"1. Microwave")</f>
        <v>1. Microwave</v>
      </c>
      <c r="B5235" s="4" t="str">
        <f>IFERROR(__xludf.DUMMYFUNCTION("""COMPUTED_VALUE"""),"1")</f>
        <v>1</v>
      </c>
      <c r="C5235" s="5" t="str">
        <f>IFERROR(__xludf.DUMMYFUNCTION("""COMPUTED_VALUE"""),"https://drive.google.com/file/d/1ao3PFYStasRlajXwJ8t5JSnfeli0hzVs/view?usp=drivesdk")</f>
        <v>https://drive.google.com/file/d/1ao3PFYStasRlajXwJ8t5JSnfeli0hzVs/view?usp=drivesdk</v>
      </c>
      <c r="D5235" s="12"/>
      <c r="E5235" s="11">
        <v>5273.0</v>
      </c>
      <c r="F5235" s="2"/>
    </row>
    <row r="5236" ht="1.5" customHeight="1">
      <c r="A5236" s="4" t="str">
        <f>IFERROR(__xludf.DUMMYFUNCTION("""COMPUTED_VALUE"""),"62. Gorygreg")</f>
        <v>62. Gorygreg</v>
      </c>
      <c r="B5236" s="4" t="str">
        <f>IFERROR(__xludf.DUMMYFUNCTION("""COMPUTED_VALUE"""),"62")</f>
        <v>62</v>
      </c>
      <c r="C5236" s="5" t="str">
        <f>IFERROR(__xludf.DUMMYFUNCTION("""COMPUTED_VALUE"""),"https://drive.google.com/file/d/1-kJGOs0C6HO60EDnKmIUu06qR1JhFhCa/view?usp=drivesdk")</f>
        <v>https://drive.google.com/file/d/1-kJGOs0C6HO60EDnKmIUu06qR1JhFhCa/view?usp=drivesdk</v>
      </c>
      <c r="D5236" s="12"/>
      <c r="E5236" s="11">
        <v>5274.0</v>
      </c>
      <c r="F5236" s="2"/>
    </row>
    <row r="5237" ht="1.5" customHeight="1">
      <c r="A5237" s="4" t="str">
        <f>IFERROR(__xludf.DUMMYFUNCTION("""COMPUTED_VALUE"""),"1. Microwave")</f>
        <v>1. Microwave</v>
      </c>
      <c r="B5237" s="4" t="str">
        <f>IFERROR(__xludf.DUMMYFUNCTION("""COMPUTED_VALUE"""),"1")</f>
        <v>1</v>
      </c>
      <c r="C5237" s="5" t="str">
        <f>IFERROR(__xludf.DUMMYFUNCTION("""COMPUTED_VALUE"""),"https://drive.google.com/file/d/1CL-RcwbATKhjoua7ZlTxehX6RYXUgWby/view?usp=drivesdk")</f>
        <v>https://drive.google.com/file/d/1CL-RcwbATKhjoua7ZlTxehX6RYXUgWby/view?usp=drivesdk</v>
      </c>
      <c r="D5237" s="12"/>
      <c r="E5237" s="11">
        <v>5275.0</v>
      </c>
      <c r="F5237" s="2"/>
    </row>
    <row r="5238" ht="1.5" customHeight="1">
      <c r="A5238" s="4" t="str">
        <f>IFERROR(__xludf.DUMMYFUNCTION("""COMPUTED_VALUE"""),"1. Microwave")</f>
        <v>1. Microwave</v>
      </c>
      <c r="B5238" s="4" t="str">
        <f>IFERROR(__xludf.DUMMYFUNCTION("""COMPUTED_VALUE"""),"1")</f>
        <v>1</v>
      </c>
      <c r="C5238" s="5" t="str">
        <f>IFERROR(__xludf.DUMMYFUNCTION("""COMPUTED_VALUE"""),"https://drive.google.com/file/d/1TmpnovNs1FQawBP_RFNBOggrNFSlIZx4/view?usp=drivesdk")</f>
        <v>https://drive.google.com/file/d/1TmpnovNs1FQawBP_RFNBOggrNFSlIZx4/view?usp=drivesdk</v>
      </c>
      <c r="D5238" s="12"/>
      <c r="E5238" s="11">
        <v>5276.0</v>
      </c>
      <c r="F5238" s="2"/>
    </row>
    <row r="5239" ht="1.5" customHeight="1">
      <c r="A5239" s="4" t="str">
        <f>IFERROR(__xludf.DUMMYFUNCTION("""COMPUTED_VALUE"""),"1. Microwave")</f>
        <v>1. Microwave</v>
      </c>
      <c r="B5239" s="4" t="str">
        <f>IFERROR(__xludf.DUMMYFUNCTION("""COMPUTED_VALUE"""),"1")</f>
        <v>1</v>
      </c>
      <c r="C5239" s="5" t="str">
        <f>IFERROR(__xludf.DUMMYFUNCTION("""COMPUTED_VALUE"""),"https://drive.google.com/file/d/1SgS9l2qDfmQaAg9e5FRMehTK0BxhPEaK/view?usp=drivesdk")</f>
        <v>https://drive.google.com/file/d/1SgS9l2qDfmQaAg9e5FRMehTK0BxhPEaK/view?usp=drivesdk</v>
      </c>
      <c r="D5239" s="12"/>
      <c r="E5239" s="11">
        <v>5277.0</v>
      </c>
      <c r="F5239" s="2"/>
    </row>
    <row r="5240" ht="1.5" customHeight="1">
      <c r="A5240" s="4" t="str">
        <f>IFERROR(__xludf.DUMMYFUNCTION("""COMPUTED_VALUE"""),"35. Stove")</f>
        <v>35. Stove</v>
      </c>
      <c r="B5240" s="4" t="str">
        <f>IFERROR(__xludf.DUMMYFUNCTION("""COMPUTED_VALUE"""),"35")</f>
        <v>35</v>
      </c>
      <c r="C5240" s="5" t="str">
        <f>IFERROR(__xludf.DUMMYFUNCTION("""COMPUTED_VALUE"""),"https://drive.google.com/file/d/1moRmZBIroEAkeWek8G2U-8gfXz5hA95z/view?usp=drivesdk")</f>
        <v>https://drive.google.com/file/d/1moRmZBIroEAkeWek8G2U-8gfXz5hA95z/view?usp=drivesdk</v>
      </c>
      <c r="D5240" s="12"/>
      <c r="E5240" s="11">
        <v>5278.0</v>
      </c>
      <c r="F5240" s="2"/>
    </row>
    <row r="5241" ht="1.5" customHeight="1">
      <c r="A5241" s="4" t="str">
        <f>IFERROR(__xludf.DUMMYFUNCTION("""COMPUTED_VALUE"""),"62. Gorygreg")</f>
        <v>62. Gorygreg</v>
      </c>
      <c r="B5241" s="4" t="str">
        <f>IFERROR(__xludf.DUMMYFUNCTION("""COMPUTED_VALUE"""),"62")</f>
        <v>62</v>
      </c>
      <c r="C5241" s="5" t="str">
        <f>IFERROR(__xludf.DUMMYFUNCTION("""COMPUTED_VALUE"""),"https://drive.google.com/file/d/1pWcWJpuVj-ACDHkPwteMbq7smNz65XDG/view?usp=drivesdk")</f>
        <v>https://drive.google.com/file/d/1pWcWJpuVj-ACDHkPwteMbq7smNz65XDG/view?usp=drivesdk</v>
      </c>
      <c r="D5241" s="12"/>
      <c r="E5241" s="11">
        <v>5279.0</v>
      </c>
      <c r="F5241" s="2"/>
    </row>
    <row r="5242" ht="1.5" customHeight="1">
      <c r="A5242" s="4" t="str">
        <f>IFERROR(__xludf.DUMMYFUNCTION("""COMPUTED_VALUE"""),"62. Gorygreg")</f>
        <v>62. Gorygreg</v>
      </c>
      <c r="B5242" s="4" t="str">
        <f>IFERROR(__xludf.DUMMYFUNCTION("""COMPUTED_VALUE"""),"62")</f>
        <v>62</v>
      </c>
      <c r="C5242" s="5" t="str">
        <f>IFERROR(__xludf.DUMMYFUNCTION("""COMPUTED_VALUE"""),"https://drive.google.com/file/d/12x3hf9-hOlpfwTDGxuKsj_K7M0qlAWCY/view?usp=drivesdk")</f>
        <v>https://drive.google.com/file/d/12x3hf9-hOlpfwTDGxuKsj_K7M0qlAWCY/view?usp=drivesdk</v>
      </c>
      <c r="D5242" s="12"/>
      <c r="E5242" s="11">
        <v>5280.0</v>
      </c>
      <c r="F5242" s="2"/>
    </row>
    <row r="5243" ht="1.5" customHeight="1">
      <c r="A5243" s="4" t="str">
        <f>IFERROR(__xludf.DUMMYFUNCTION("""COMPUTED_VALUE"""),"62. Gorygreg")</f>
        <v>62. Gorygreg</v>
      </c>
      <c r="B5243" s="4" t="str">
        <f>IFERROR(__xludf.DUMMYFUNCTION("""COMPUTED_VALUE"""),"62")</f>
        <v>62</v>
      </c>
      <c r="C5243" s="5" t="str">
        <f>IFERROR(__xludf.DUMMYFUNCTION("""COMPUTED_VALUE"""),"https://drive.google.com/file/d/1JWGgoOBk2fptb0lXX26lGf-bs94CUa7w/view?usp=drivesdk")</f>
        <v>https://drive.google.com/file/d/1JWGgoOBk2fptb0lXX26lGf-bs94CUa7w/view?usp=drivesdk</v>
      </c>
      <c r="D5243" s="12"/>
      <c r="E5243" s="11">
        <v>5281.0</v>
      </c>
      <c r="F5243" s="2"/>
    </row>
    <row r="5244" ht="1.5" customHeight="1">
      <c r="A5244" s="4" t="str">
        <f>IFERROR(__xludf.DUMMYFUNCTION("""COMPUTED_VALUE"""),"62. Gorygreg")</f>
        <v>62. Gorygreg</v>
      </c>
      <c r="B5244" s="4" t="str">
        <f>IFERROR(__xludf.DUMMYFUNCTION("""COMPUTED_VALUE"""),"62")</f>
        <v>62</v>
      </c>
      <c r="C5244" s="5" t="str">
        <f>IFERROR(__xludf.DUMMYFUNCTION("""COMPUTED_VALUE"""),"https://drive.google.com/file/d/1uhN3JhEPE576PtaNCa9hRR-JTCj603kq/view?usp=drivesdk")</f>
        <v>https://drive.google.com/file/d/1uhN3JhEPE576PtaNCa9hRR-JTCj603kq/view?usp=drivesdk</v>
      </c>
      <c r="D5244" s="12"/>
      <c r="E5244" s="11">
        <v>5282.0</v>
      </c>
      <c r="F5244" s="2"/>
    </row>
    <row r="5245" ht="1.5" customHeight="1">
      <c r="A5245" s="4" t="str">
        <f>IFERROR(__xludf.DUMMYFUNCTION("""COMPUTED_VALUE"""),"62. Gorygreg")</f>
        <v>62. Gorygreg</v>
      </c>
      <c r="B5245" s="4" t="str">
        <f>IFERROR(__xludf.DUMMYFUNCTION("""COMPUTED_VALUE"""),"62")</f>
        <v>62</v>
      </c>
      <c r="C5245" s="5" t="str">
        <f>IFERROR(__xludf.DUMMYFUNCTION("""COMPUTED_VALUE"""),"https://drive.google.com/file/d/1DkCtgraBAdjjVojn5-9wHS02s_q739tD/view?usp=drivesdk")</f>
        <v>https://drive.google.com/file/d/1DkCtgraBAdjjVojn5-9wHS02s_q739tD/view?usp=drivesdk</v>
      </c>
      <c r="D5245" s="12"/>
      <c r="E5245" s="11">
        <v>5283.0</v>
      </c>
      <c r="F5245" s="2"/>
    </row>
    <row r="5246" ht="1.5" customHeight="1">
      <c r="A5246" s="4" t="str">
        <f>IFERROR(__xludf.DUMMYFUNCTION("""COMPUTED_VALUE"""),"62. Gorygreg")</f>
        <v>62. Gorygreg</v>
      </c>
      <c r="B5246" s="4" t="str">
        <f>IFERROR(__xludf.DUMMYFUNCTION("""COMPUTED_VALUE"""),"62")</f>
        <v>62</v>
      </c>
      <c r="C5246" s="5" t="str">
        <f>IFERROR(__xludf.DUMMYFUNCTION("""COMPUTED_VALUE"""),"https://drive.google.com/file/d/1T_wg_lG6aJDrR9J_oE23VDlSdPu9dOIl/view?usp=drivesdk")</f>
        <v>https://drive.google.com/file/d/1T_wg_lG6aJDrR9J_oE23VDlSdPu9dOIl/view?usp=drivesdk</v>
      </c>
      <c r="D5246" s="12"/>
      <c r="E5246" s="11">
        <v>5284.0</v>
      </c>
      <c r="F5246" s="2"/>
    </row>
    <row r="5247" ht="1.5" customHeight="1">
      <c r="A5247" s="4" t="str">
        <f>IFERROR(__xludf.DUMMYFUNCTION("""COMPUTED_VALUE"""),"62. Gorygreg, 40. Dumpster")</f>
        <v>62. Gorygreg, 40. Dumpster</v>
      </c>
      <c r="B5247" s="4" t="str">
        <f>IFERROR(__xludf.DUMMYFUNCTION("""COMPUTED_VALUE"""),"62, 40")</f>
        <v>62, 40</v>
      </c>
      <c r="C5247" s="5" t="str">
        <f>IFERROR(__xludf.DUMMYFUNCTION("""COMPUTED_VALUE"""),"https://drive.google.com/file/d/1T4XX521io83dUVq7I8wCV1uF60VZ4aGH/view?usp=drivesdk")</f>
        <v>https://drive.google.com/file/d/1T4XX521io83dUVq7I8wCV1uF60VZ4aGH/view?usp=drivesdk</v>
      </c>
      <c r="D5247" s="12"/>
      <c r="E5247" s="11">
        <v>5285.0</v>
      </c>
      <c r="F5247" s="2"/>
    </row>
    <row r="5248" ht="1.5" customHeight="1">
      <c r="A5248" s="4" t="str">
        <f>IFERROR(__xludf.DUMMYFUNCTION("""COMPUTED_VALUE"""),"62. Gorygreg, 40. Dumpster")</f>
        <v>62. Gorygreg, 40. Dumpster</v>
      </c>
      <c r="B5248" s="4" t="str">
        <f>IFERROR(__xludf.DUMMYFUNCTION("""COMPUTED_VALUE"""),"62, 40")</f>
        <v>62, 40</v>
      </c>
      <c r="C5248" s="5" t="str">
        <f>IFERROR(__xludf.DUMMYFUNCTION("""COMPUTED_VALUE"""),"https://drive.google.com/file/d/1-48cvMCiv-496eolqne8e-y4NsbIxHGR/view?usp=drivesdk")</f>
        <v>https://drive.google.com/file/d/1-48cvMCiv-496eolqne8e-y4NsbIxHGR/view?usp=drivesdk</v>
      </c>
      <c r="D5248" s="12"/>
      <c r="E5248" s="11">
        <v>5286.0</v>
      </c>
      <c r="F5248" s="2"/>
    </row>
    <row r="5249" ht="1.5" customHeight="1">
      <c r="A5249" s="4" t="str">
        <f>IFERROR(__xludf.DUMMYFUNCTION("""COMPUTED_VALUE"""),"62. Gorygreg, 40. Dumpster")</f>
        <v>62. Gorygreg, 40. Dumpster</v>
      </c>
      <c r="B5249" s="4" t="str">
        <f>IFERROR(__xludf.DUMMYFUNCTION("""COMPUTED_VALUE"""),"62, 40")</f>
        <v>62, 40</v>
      </c>
      <c r="C5249" s="5" t="str">
        <f>IFERROR(__xludf.DUMMYFUNCTION("""COMPUTED_VALUE"""),"https://drive.google.com/file/d/1L4Wkkb1oX5gI1B4QUEDdb99sPBOYNywq/view?usp=drivesdk")</f>
        <v>https://drive.google.com/file/d/1L4Wkkb1oX5gI1B4QUEDdb99sPBOYNywq/view?usp=drivesdk</v>
      </c>
      <c r="D5249" s="12"/>
      <c r="E5249" s="11">
        <v>5287.0</v>
      </c>
      <c r="F5249" s="2"/>
    </row>
    <row r="5250" ht="1.5" customHeight="1">
      <c r="A5250" s="4" t="str">
        <f>IFERROR(__xludf.DUMMYFUNCTION("""COMPUTED_VALUE"""),"0. NotACat")</f>
        <v>0. NotACat</v>
      </c>
      <c r="B5250" s="4" t="str">
        <f>IFERROR(__xludf.DUMMYFUNCTION("""COMPUTED_VALUE"""),"0")</f>
        <v>0</v>
      </c>
      <c r="C5250" s="5" t="str">
        <f>IFERROR(__xludf.DUMMYFUNCTION("""COMPUTED_VALUE"""),"https://drive.google.com/file/d/1HjuLcVQNPDOe6tgbmb4JQ1GaAbvKzi9R/view?usp=drivesdk")</f>
        <v>https://drive.google.com/file/d/1HjuLcVQNPDOe6tgbmb4JQ1GaAbvKzi9R/view?usp=drivesdk</v>
      </c>
      <c r="D5250" s="12"/>
      <c r="E5250" s="11">
        <v>5288.0</v>
      </c>
      <c r="F5250" s="2"/>
    </row>
    <row r="5251" ht="1.5" customHeight="1">
      <c r="A5251" s="4" t="str">
        <f>IFERROR(__xludf.DUMMYFUNCTION("""COMPUTED_VALUE"""),"42. Rubber, 39. Radar, 44. Shitbag Cuntface")</f>
        <v>42. Rubber, 39. Radar, 44. Shitbag Cuntface</v>
      </c>
      <c r="B5251" s="4" t="str">
        <f>IFERROR(__xludf.DUMMYFUNCTION("""COMPUTED_VALUE"""),"42, 39, 44")</f>
        <v>42, 39, 44</v>
      </c>
      <c r="C5251" s="5" t="str">
        <f>IFERROR(__xludf.DUMMYFUNCTION("""COMPUTED_VALUE"""),"https://drive.google.com/file/d/1xZesskvNrejGHd7lwZ_xRNkNFk2JBBQq/view?usp=drivesdk")</f>
        <v>https://drive.google.com/file/d/1xZesskvNrejGHd7lwZ_xRNkNFk2JBBQq/view?usp=drivesdk</v>
      </c>
      <c r="D5251" s="12"/>
      <c r="E5251" s="11">
        <v>5289.0</v>
      </c>
      <c r="F5251" s="2"/>
    </row>
    <row r="5252" ht="1.5" customHeight="1">
      <c r="A5252" s="4" t="str">
        <f>IFERROR(__xludf.DUMMYFUNCTION("""COMPUTED_VALUE"""),"42. Rubber, 39. Radar, 44. Shitbag Cuntface")</f>
        <v>42. Rubber, 39. Radar, 44. Shitbag Cuntface</v>
      </c>
      <c r="B5252" s="4" t="str">
        <f>IFERROR(__xludf.DUMMYFUNCTION("""COMPUTED_VALUE"""),"42, 39, 44")</f>
        <v>42, 39, 44</v>
      </c>
      <c r="C5252" s="5" t="str">
        <f>IFERROR(__xludf.DUMMYFUNCTION("""COMPUTED_VALUE"""),"https://drive.google.com/file/d/1WQzTgq-TNYzhHMrDirnVqMjcv7ZDsNTH/view?usp=drivesdk")</f>
        <v>https://drive.google.com/file/d/1WQzTgq-TNYzhHMrDirnVqMjcv7ZDsNTH/view?usp=drivesdk</v>
      </c>
      <c r="D5252" s="12"/>
      <c r="E5252" s="11">
        <v>5290.0</v>
      </c>
      <c r="F5252" s="2"/>
    </row>
    <row r="5253" ht="1.5" customHeight="1">
      <c r="A5253" s="4" t="str">
        <f>IFERROR(__xludf.DUMMYFUNCTION("""COMPUTED_VALUE"""),"40. Dumpster, 39. Radar")</f>
        <v>40. Dumpster, 39. Radar</v>
      </c>
      <c r="B5253" s="4" t="str">
        <f>IFERROR(__xludf.DUMMYFUNCTION("""COMPUTED_VALUE"""),"40, 39")</f>
        <v>40, 39</v>
      </c>
      <c r="C5253" s="5" t="str">
        <f>IFERROR(__xludf.DUMMYFUNCTION("""COMPUTED_VALUE"""),"https://drive.google.com/file/d/1MDPkvZtu8Ao8SWC2u3vZPFupbJH5Gjge/view?usp=drivesdk")</f>
        <v>https://drive.google.com/file/d/1MDPkvZtu8Ao8SWC2u3vZPFupbJH5Gjge/view?usp=drivesdk</v>
      </c>
      <c r="D5253" s="12"/>
      <c r="E5253" s="11">
        <v>5291.0</v>
      </c>
      <c r="F5253" s="2"/>
    </row>
    <row r="5254" ht="1.5" customHeight="1">
      <c r="A5254" s="4" t="str">
        <f>IFERROR(__xludf.DUMMYFUNCTION("""COMPUTED_VALUE"""),"88. Vincente, 42. Rubber, 40. Dumpster, 44. Shitbag Cuntface, 41. Gregory, 95. Ariel")</f>
        <v>88. Vincente, 42. Rubber, 40. Dumpster, 44. Shitbag Cuntface, 41. Gregory, 95. Ariel</v>
      </c>
      <c r="B5254" s="4" t="str">
        <f>IFERROR(__xludf.DUMMYFUNCTION("""COMPUTED_VALUE"""),"88, 42, 40, 44, 41, 95")</f>
        <v>88, 42, 40, 44, 41, 95</v>
      </c>
      <c r="C5254" s="5" t="str">
        <f>IFERROR(__xludf.DUMMYFUNCTION("""COMPUTED_VALUE"""),"https://drive.google.com/file/d/1yiSB1fmWsvRrzFf-R1r0FtyEAq_w7afF/view?usp=drivesdk")</f>
        <v>https://drive.google.com/file/d/1yiSB1fmWsvRrzFf-R1r0FtyEAq_w7afF/view?usp=drivesdk</v>
      </c>
      <c r="D5254" s="12"/>
      <c r="E5254" s="11">
        <v>5292.0</v>
      </c>
      <c r="F5254" s="2"/>
    </row>
    <row r="5255" ht="1.5" customHeight="1">
      <c r="A5255" s="4" t="str">
        <f>IFERROR(__xludf.DUMMYFUNCTION("""COMPUTED_VALUE"""),"88. Vincente, 42. Rubber, 40. Dumpster, 44. Shitbag Cuntface, 41. Gregory, 95. Ariel")</f>
        <v>88. Vincente, 42. Rubber, 40. Dumpster, 44. Shitbag Cuntface, 41. Gregory, 95. Ariel</v>
      </c>
      <c r="B5255" s="4" t="str">
        <f>IFERROR(__xludf.DUMMYFUNCTION("""COMPUTED_VALUE"""),"88, 42, 40, 44, 41, 95")</f>
        <v>88, 42, 40, 44, 41, 95</v>
      </c>
      <c r="C5255" s="5" t="str">
        <f>IFERROR(__xludf.DUMMYFUNCTION("""COMPUTED_VALUE"""),"https://drive.google.com/file/d/1vOBbFzXS7FG3A8QtnoTtP2OhSQNKjUrN/view?usp=drivesdk")</f>
        <v>https://drive.google.com/file/d/1vOBbFzXS7FG3A8QtnoTtP2OhSQNKjUrN/view?usp=drivesdk</v>
      </c>
      <c r="D5255" s="12"/>
      <c r="E5255" s="11">
        <v>5293.0</v>
      </c>
      <c r="F5255" s="2"/>
    </row>
    <row r="5256" ht="1.5" customHeight="1">
      <c r="A5256" s="4" t="str">
        <f>IFERROR(__xludf.DUMMYFUNCTION("""COMPUTED_VALUE"""),"61. Cassie")</f>
        <v>61. Cassie</v>
      </c>
      <c r="B5256" s="4" t="str">
        <f>IFERROR(__xludf.DUMMYFUNCTION("""COMPUTED_VALUE"""),"61")</f>
        <v>61</v>
      </c>
      <c r="C5256" s="5" t="str">
        <f>IFERROR(__xludf.DUMMYFUNCTION("""COMPUTED_VALUE"""),"https://drive.google.com/file/d/1VQY8_dGchj9jyw59lIx3tygQiAW2CoNZ/view?usp=drivesdk")</f>
        <v>https://drive.google.com/file/d/1VQY8_dGchj9jyw59lIx3tygQiAW2CoNZ/view?usp=drivesdk</v>
      </c>
      <c r="D5256" s="12"/>
      <c r="E5256" s="11">
        <v>5294.0</v>
      </c>
      <c r="F5256" s="2"/>
    </row>
    <row r="5257" ht="1.5" customHeight="1">
      <c r="A5257" s="4" t="str">
        <f>IFERROR(__xludf.DUMMYFUNCTION("""COMPUTED_VALUE"""),"88. Vincente, 62. Gorygreg, 38. Winston, 39. Radar, 42. Rubber, 40. Dumpster")</f>
        <v>88. Vincente, 62. Gorygreg, 38. Winston, 39. Radar, 42. Rubber, 40. Dumpster</v>
      </c>
      <c r="B5257" s="4" t="str">
        <f>IFERROR(__xludf.DUMMYFUNCTION("""COMPUTED_VALUE"""),"88, 62, 38, 39, 42, 40")</f>
        <v>88, 62, 38, 39, 42, 40</v>
      </c>
      <c r="C5257" s="5" t="str">
        <f>IFERROR(__xludf.DUMMYFUNCTION("""COMPUTED_VALUE"""),"https://drive.google.com/file/d/1kzNC0h4xffV0dJVYc1E2VUaWkjBxre3h/view?usp=drivesdk")</f>
        <v>https://drive.google.com/file/d/1kzNC0h4xffV0dJVYc1E2VUaWkjBxre3h/view?usp=drivesdk</v>
      </c>
      <c r="D5257" s="12"/>
      <c r="E5257" s="11">
        <v>5295.0</v>
      </c>
      <c r="F5257" s="2"/>
    </row>
    <row r="5258" ht="1.5" customHeight="1">
      <c r="A5258" s="4" t="str">
        <f>IFERROR(__xludf.DUMMYFUNCTION("""COMPUTED_VALUE"""),"88. Vincente, 62. Gorygreg, 38. Winston, 39. Radar, 42. Rubber, 40. Dumpster, 44. Shitbag Cuntface, 95. Ariel")</f>
        <v>88. Vincente, 62. Gorygreg, 38. Winston, 39. Radar, 42. Rubber, 40. Dumpster, 44. Shitbag Cuntface, 95. Ariel</v>
      </c>
      <c r="B5258" s="4" t="str">
        <f>IFERROR(__xludf.DUMMYFUNCTION("""COMPUTED_VALUE"""),"88, 62, 38, 39, 42, 40, 44, 95")</f>
        <v>88, 62, 38, 39, 42, 40, 44, 95</v>
      </c>
      <c r="C5258" s="5" t="str">
        <f>IFERROR(__xludf.DUMMYFUNCTION("""COMPUTED_VALUE"""),"https://drive.google.com/file/d/1Vo86qb9hIC8DYdcdGpRRPwZ4AJMuSug3/view?usp=drivesdk")</f>
        <v>https://drive.google.com/file/d/1Vo86qb9hIC8DYdcdGpRRPwZ4AJMuSug3/view?usp=drivesdk</v>
      </c>
      <c r="D5258" s="12"/>
      <c r="E5258" s="11">
        <v>5296.0</v>
      </c>
      <c r="F5258" s="2"/>
    </row>
    <row r="5259" ht="1.5" customHeight="1">
      <c r="A5259" s="4" t="str">
        <f>IFERROR(__xludf.DUMMYFUNCTION("""COMPUTED_VALUE"""),"47. Nefarious, 95. Ariel, 40. Dumpster, 39. Radar, 42. Rubber, 38. Winston, 62. Gorygreg")</f>
        <v>47. Nefarious, 95. Ariel, 40. Dumpster, 39. Radar, 42. Rubber, 38. Winston, 62. Gorygreg</v>
      </c>
      <c r="B5259" s="4" t="str">
        <f>IFERROR(__xludf.DUMMYFUNCTION("""COMPUTED_VALUE"""),"47, 95, 40, 39, 42, 38, 62")</f>
        <v>47, 95, 40, 39, 42, 38, 62</v>
      </c>
      <c r="C5259" s="5" t="str">
        <f>IFERROR(__xludf.DUMMYFUNCTION("""COMPUTED_VALUE"""),"https://drive.google.com/file/d/1wosqtoHJ_ON4MBAYjeKYI5d5puczrM4R/view?usp=drivesdk")</f>
        <v>https://drive.google.com/file/d/1wosqtoHJ_ON4MBAYjeKYI5d5puczrM4R/view?usp=drivesdk</v>
      </c>
      <c r="D5259" s="12"/>
      <c r="E5259" s="11">
        <v>5297.0</v>
      </c>
      <c r="F5259" s="2"/>
    </row>
    <row r="5260" ht="1.5" customHeight="1">
      <c r="A5260" s="4" t="str">
        <f>IFERROR(__xludf.DUMMYFUNCTION("""COMPUTED_VALUE"""),"40. Dumpster, 88. Vincente, 62. Gorygreg, 42. Rubber, 38. Winston")</f>
        <v>40. Dumpster, 88. Vincente, 62. Gorygreg, 42. Rubber, 38. Winston</v>
      </c>
      <c r="B5260" s="4" t="str">
        <f>IFERROR(__xludf.DUMMYFUNCTION("""COMPUTED_VALUE"""),"40, 88, 62, 42, 38")</f>
        <v>40, 88, 62, 42, 38</v>
      </c>
      <c r="C5260" s="5" t="str">
        <f>IFERROR(__xludf.DUMMYFUNCTION("""COMPUTED_VALUE"""),"https://drive.google.com/file/d/18r9DC1T2WR1awzUa0jA6nS4WTnqdi3iD/view?usp=drivesdk")</f>
        <v>https://drive.google.com/file/d/18r9DC1T2WR1awzUa0jA6nS4WTnqdi3iD/view?usp=drivesdk</v>
      </c>
      <c r="D5260" s="12"/>
      <c r="E5260" s="11">
        <v>5298.0</v>
      </c>
      <c r="F5260" s="2"/>
    </row>
    <row r="5261" ht="1.5" customHeight="1">
      <c r="A5261" s="4" t="str">
        <f>IFERROR(__xludf.DUMMYFUNCTION("""COMPUTED_VALUE"""),"0. NotACat")</f>
        <v>0. NotACat</v>
      </c>
      <c r="B5261" s="4" t="str">
        <f>IFERROR(__xludf.DUMMYFUNCTION("""COMPUTED_VALUE"""),"0")</f>
        <v>0</v>
      </c>
      <c r="C5261" s="5" t="str">
        <f>IFERROR(__xludf.DUMMYFUNCTION("""COMPUTED_VALUE"""),"https://drive.google.com/file/d/1uVQFfg6lQkmYSVTxaVMywFx9-pop7JI-/view?usp=drivesdk")</f>
        <v>https://drive.google.com/file/d/1uVQFfg6lQkmYSVTxaVMywFx9-pop7JI-/view?usp=drivesdk</v>
      </c>
      <c r="D5261" s="12"/>
      <c r="E5261" s="11">
        <v>5299.0</v>
      </c>
      <c r="F5261" s="2"/>
    </row>
    <row r="5262" ht="1.5" customHeight="1">
      <c r="A5262" s="4" t="str">
        <f>IFERROR(__xludf.DUMMYFUNCTION("""COMPUTED_VALUE"""),"102. Keaton")</f>
        <v>102. Keaton</v>
      </c>
      <c r="B5262" s="4" t="str">
        <f>IFERROR(__xludf.DUMMYFUNCTION("""COMPUTED_VALUE"""),"102")</f>
        <v>102</v>
      </c>
      <c r="C5262" s="5" t="str">
        <f>IFERROR(__xludf.DUMMYFUNCTION("""COMPUTED_VALUE"""),"https://drive.google.com/file/d/1iORXRiuhBxsGb0Q-7BEknmMbljFAscKB/view?usp=drivesdk")</f>
        <v>https://drive.google.com/file/d/1iORXRiuhBxsGb0Q-7BEknmMbljFAscKB/view?usp=drivesdk</v>
      </c>
      <c r="D5262" s="12"/>
      <c r="E5262" s="11">
        <v>5300.0</v>
      </c>
      <c r="F5262" s="2"/>
    </row>
    <row r="5263" ht="1.5" customHeight="1">
      <c r="A5263" s="4" t="str">
        <f>IFERROR(__xludf.DUMMYFUNCTION("""COMPUTED_VALUE"""),"102. Keaton")</f>
        <v>102. Keaton</v>
      </c>
      <c r="B5263" s="4" t="str">
        <f>IFERROR(__xludf.DUMMYFUNCTION("""COMPUTED_VALUE"""),"102")</f>
        <v>102</v>
      </c>
      <c r="C5263" s="5" t="str">
        <f>IFERROR(__xludf.DUMMYFUNCTION("""COMPUTED_VALUE"""),"https://drive.google.com/file/d/1FxOISt3RDduLuDoXXwYlf3E9y7GNZlYW/view?usp=drivesdk")</f>
        <v>https://drive.google.com/file/d/1FxOISt3RDduLuDoXXwYlf3E9y7GNZlYW/view?usp=drivesdk</v>
      </c>
      <c r="D5263" s="12"/>
      <c r="E5263" s="11">
        <v>5301.0</v>
      </c>
      <c r="F5263" s="2"/>
    </row>
    <row r="5264" ht="1.5" customHeight="1">
      <c r="A5264" s="4" t="str">
        <f>IFERROR(__xludf.DUMMYFUNCTION("""COMPUTED_VALUE"""),"41. Gregory, 95. Ariel, 103. Bea, 45. Boots, 44. Shitbag Cuntface")</f>
        <v>41. Gregory, 95. Ariel, 103. Bea, 45. Boots, 44. Shitbag Cuntface</v>
      </c>
      <c r="B5264" s="4" t="str">
        <f>IFERROR(__xludf.DUMMYFUNCTION("""COMPUTED_VALUE"""),"41, 95, 103, 45, 44")</f>
        <v>41, 95, 103, 45, 44</v>
      </c>
      <c r="C5264" s="5" t="str">
        <f>IFERROR(__xludf.DUMMYFUNCTION("""COMPUTED_VALUE"""),"https://drive.google.com/file/d/1KE71a7x4GNL5ZJGXt2qxSxTDURzeVnhh/view?usp=drivesdk")</f>
        <v>https://drive.google.com/file/d/1KE71a7x4GNL5ZJGXt2qxSxTDURzeVnhh/view?usp=drivesdk</v>
      </c>
      <c r="D5264" s="12"/>
      <c r="E5264" s="11">
        <v>5302.0</v>
      </c>
      <c r="F5264" s="2"/>
    </row>
    <row r="5265" ht="1.5" customHeight="1">
      <c r="A5265" s="4" t="str">
        <f>IFERROR(__xludf.DUMMYFUNCTION("""COMPUTED_VALUE"""),"62. Gorygreg, 103. Bea, 41. Gregory, 42. Rubber, 95. Ariel, 104. Joji, 44. Shitbag Cuntface, 45. Boots")</f>
        <v>62. Gorygreg, 103. Bea, 41. Gregory, 42. Rubber, 95. Ariel, 104. Joji, 44. Shitbag Cuntface, 45. Boots</v>
      </c>
      <c r="B5265" s="4" t="str">
        <f>IFERROR(__xludf.DUMMYFUNCTION("""COMPUTED_VALUE"""),"62, 103, 41, 42, 95, 104, 44, 45")</f>
        <v>62, 103, 41, 42, 95, 104, 44, 45</v>
      </c>
      <c r="C5265" s="5" t="str">
        <f>IFERROR(__xludf.DUMMYFUNCTION("""COMPUTED_VALUE"""),"https://drive.google.com/file/d/1won2OPiHvesReqOOgj83jqp1O1CFZ-w-/view?usp=drivesdk")</f>
        <v>https://drive.google.com/file/d/1won2OPiHvesReqOOgj83jqp1O1CFZ-w-/view?usp=drivesdk</v>
      </c>
      <c r="D5265" s="12"/>
      <c r="E5265" s="11">
        <v>5303.0</v>
      </c>
      <c r="F5265" s="2"/>
    </row>
    <row r="5266" ht="1.5" customHeight="1">
      <c r="A5266" s="4" t="str">
        <f>IFERROR(__xludf.DUMMYFUNCTION("""COMPUTED_VALUE"""),"62. Gorygreg, 41. Gregory, 95. Ariel, 42. Rubber, 44. Shitbag Cuntface, 45. Boots, 104. Joji, 103. Bea")</f>
        <v>62. Gorygreg, 41. Gregory, 95. Ariel, 42. Rubber, 44. Shitbag Cuntface, 45. Boots, 104. Joji, 103. Bea</v>
      </c>
      <c r="B5266" s="4" t="str">
        <f>IFERROR(__xludf.DUMMYFUNCTION("""COMPUTED_VALUE"""),"62, 41, 95, 42, 44, 45, 104, 103")</f>
        <v>62, 41, 95, 42, 44, 45, 104, 103</v>
      </c>
      <c r="C5266" s="5" t="str">
        <f>IFERROR(__xludf.DUMMYFUNCTION("""COMPUTED_VALUE"""),"https://drive.google.com/file/d/1TzD0bTqSKD24sCjizKlAEFCm9McNAzOi/view?usp=drivesdk")</f>
        <v>https://drive.google.com/file/d/1TzD0bTqSKD24sCjizKlAEFCm9McNAzOi/view?usp=drivesdk</v>
      </c>
      <c r="D5266" s="12"/>
      <c r="E5266" s="11">
        <v>5304.0</v>
      </c>
      <c r="F5266" s="2"/>
    </row>
    <row r="5267" ht="1.5" customHeight="1">
      <c r="A5267" s="4" t="str">
        <f>IFERROR(__xludf.DUMMYFUNCTION("""COMPUTED_VALUE"""),"62. Gorygreg, 103. Bea, 104. Joji, 45. Boots, 41. Gregory, 44. Shitbag Cuntface, 95. Ariel, 42. Rubber")</f>
        <v>62. Gorygreg, 103. Bea, 104. Joji, 45. Boots, 41. Gregory, 44. Shitbag Cuntface, 95. Ariel, 42. Rubber</v>
      </c>
      <c r="B5267" s="4" t="str">
        <f>IFERROR(__xludf.DUMMYFUNCTION("""COMPUTED_VALUE"""),"62, 103, 104, 45, 41, 44, 95, 42")</f>
        <v>62, 103, 104, 45, 41, 44, 95, 42</v>
      </c>
      <c r="C5267" s="5" t="str">
        <f>IFERROR(__xludf.DUMMYFUNCTION("""COMPUTED_VALUE"""),"https://drive.google.com/file/d/1KK-qbU6PoNbw65lKF-stEZck0e_Jrr3x/view?usp=drivesdk")</f>
        <v>https://drive.google.com/file/d/1KK-qbU6PoNbw65lKF-stEZck0e_Jrr3x/view?usp=drivesdk</v>
      </c>
      <c r="D5267" s="12"/>
      <c r="E5267" s="11">
        <v>5305.0</v>
      </c>
      <c r="F5267" s="2"/>
    </row>
    <row r="5268" ht="1.5" customHeight="1">
      <c r="A5268" s="4" t="str">
        <f>IFERROR(__xludf.DUMMYFUNCTION("""COMPUTED_VALUE"""),"62. Gorygreg, 103. Bea, 88. Vincente, 42. Rubber, 95. Ariel, 41. Gregory, 104. Joji, 45. Boots, 44. Shitbag Cuntface")</f>
        <v>62. Gorygreg, 103. Bea, 88. Vincente, 42. Rubber, 95. Ariel, 41. Gregory, 104. Joji, 45. Boots, 44. Shitbag Cuntface</v>
      </c>
      <c r="B5268" s="4" t="str">
        <f>IFERROR(__xludf.DUMMYFUNCTION("""COMPUTED_VALUE"""),"62, 103, 88, 42, 95, 41, 104, 45, 44")</f>
        <v>62, 103, 88, 42, 95, 41, 104, 45, 44</v>
      </c>
      <c r="C5268" s="5" t="str">
        <f>IFERROR(__xludf.DUMMYFUNCTION("""COMPUTED_VALUE"""),"https://drive.google.com/file/d/1iN2V5tf097xsDJxWKtkb4SjRGLXPAaqz/view?usp=drivesdk")</f>
        <v>https://drive.google.com/file/d/1iN2V5tf097xsDJxWKtkb4SjRGLXPAaqz/view?usp=drivesdk</v>
      </c>
      <c r="D5268" s="12"/>
      <c r="E5268" s="11">
        <v>5306.0</v>
      </c>
      <c r="F5268" s="2"/>
    </row>
    <row r="5269" ht="1.5" customHeight="1">
      <c r="A5269" s="4" t="str">
        <f>IFERROR(__xludf.DUMMYFUNCTION("""COMPUTED_VALUE"""),"88. Vincente, 62. Gorygreg, 103. Bea, 41. Gregory, 42. Rubber, 95. Ariel, 104. Joji, 45. Boots, 44. Shitbag Cuntface")</f>
        <v>88. Vincente, 62. Gorygreg, 103. Bea, 41. Gregory, 42. Rubber, 95. Ariel, 104. Joji, 45. Boots, 44. Shitbag Cuntface</v>
      </c>
      <c r="B5269" s="4" t="str">
        <f>IFERROR(__xludf.DUMMYFUNCTION("""COMPUTED_VALUE"""),"88, 62, 103, 41, 42, 95, 104, 45, 44")</f>
        <v>88, 62, 103, 41, 42, 95, 104, 45, 44</v>
      </c>
      <c r="C5269" s="5" t="str">
        <f>IFERROR(__xludf.DUMMYFUNCTION("""COMPUTED_VALUE"""),"https://drive.google.com/file/d/1CDY-_cI897VIWz5UQOhbb9XmsTHeMmgX/view?usp=drivesdk")</f>
        <v>https://drive.google.com/file/d/1CDY-_cI897VIWz5UQOhbb9XmsTHeMmgX/view?usp=drivesdk</v>
      </c>
      <c r="D5269" s="12"/>
      <c r="E5269" s="11">
        <v>5307.0</v>
      </c>
      <c r="F5269" s="2"/>
    </row>
    <row r="5270" ht="1.5" customHeight="1">
      <c r="A5270" s="4" t="str">
        <f>IFERROR(__xludf.DUMMYFUNCTION("""COMPUTED_VALUE"""),"88. Vincente, 62. Gorygreg, 103. Bea, 95. Ariel, 42. Rubber, 41. Gregory, 104. Joji, 45. Boots, 44. Shitbag Cuntface")</f>
        <v>88. Vincente, 62. Gorygreg, 103. Bea, 95. Ariel, 42. Rubber, 41. Gregory, 104. Joji, 45. Boots, 44. Shitbag Cuntface</v>
      </c>
      <c r="B5270" s="4" t="str">
        <f>IFERROR(__xludf.DUMMYFUNCTION("""COMPUTED_VALUE"""),"88, 62, 103, 95, 42, 41, 104, 45, 44")</f>
        <v>88, 62, 103, 95, 42, 41, 104, 45, 44</v>
      </c>
      <c r="C5270" s="5" t="str">
        <f>IFERROR(__xludf.DUMMYFUNCTION("""COMPUTED_VALUE"""),"https://drive.google.com/file/d/12OaLHJ3lJfOZqRbQjK57C9uihWn_izO8/view?usp=drivesdk")</f>
        <v>https://drive.google.com/file/d/12OaLHJ3lJfOZqRbQjK57C9uihWn_izO8/view?usp=drivesdk</v>
      </c>
      <c r="D5270" s="12"/>
      <c r="E5270" s="11">
        <v>5308.0</v>
      </c>
      <c r="F5270" s="2"/>
    </row>
    <row r="5271" ht="1.5" customHeight="1">
      <c r="A5271" s="4" t="str">
        <f>IFERROR(__xludf.DUMMYFUNCTION("""COMPUTED_VALUE"""),"88. Vincente, 62. Gorygreg, 41. Gregory, 42. Rubber, 95. Ariel, 103. Bea, 45. Boots, 44. Shitbag Cuntface, 104. Joji, 47. Nefarious")</f>
        <v>88. Vincente, 62. Gorygreg, 41. Gregory, 42. Rubber, 95. Ariel, 103. Bea, 45. Boots, 44. Shitbag Cuntface, 104. Joji, 47. Nefarious</v>
      </c>
      <c r="B5271" s="4" t="str">
        <f>IFERROR(__xludf.DUMMYFUNCTION("""COMPUTED_VALUE"""),"88, 62, 41, 42, 95, 103, 45, 44, 104, 47")</f>
        <v>88, 62, 41, 42, 95, 103, 45, 44, 104, 47</v>
      </c>
      <c r="C5271" s="5" t="str">
        <f>IFERROR(__xludf.DUMMYFUNCTION("""COMPUTED_VALUE"""),"https://drive.google.com/file/d/1zSGqWfbrgahvJf1EEJ3tk_XyiaOOYCTX/view?usp=drivesdk")</f>
        <v>https://drive.google.com/file/d/1zSGqWfbrgahvJf1EEJ3tk_XyiaOOYCTX/view?usp=drivesdk</v>
      </c>
      <c r="D5271" s="12"/>
      <c r="E5271" s="11">
        <v>5309.0</v>
      </c>
      <c r="F5271" s="2"/>
    </row>
    <row r="5272" ht="1.5" customHeight="1">
      <c r="A5272" s="4" t="str">
        <f>IFERROR(__xludf.DUMMYFUNCTION("""COMPUTED_VALUE"""),"88. Vincente, 62. Gorygreg, 103. Bea, 41. Gregory, 42. Rubber, 95. Ariel, 47. Nefarious, 104. Joji, 45. Boots, 44. Shitbag Cuntface")</f>
        <v>88. Vincente, 62. Gorygreg, 103. Bea, 41. Gregory, 42. Rubber, 95. Ariel, 47. Nefarious, 104. Joji, 45. Boots, 44. Shitbag Cuntface</v>
      </c>
      <c r="B5272" s="4" t="str">
        <f>IFERROR(__xludf.DUMMYFUNCTION("""COMPUTED_VALUE"""),"88, 62, 103, 41, 42, 95, 47, 104, 45, 44")</f>
        <v>88, 62, 103, 41, 42, 95, 47, 104, 45, 44</v>
      </c>
      <c r="C5272" s="5" t="str">
        <f>IFERROR(__xludf.DUMMYFUNCTION("""COMPUTED_VALUE"""),"https://drive.google.com/file/d/1tfWsaqectrqwlPEOWGKn5H4_mrKm0Cml/view?usp=drivesdk")</f>
        <v>https://drive.google.com/file/d/1tfWsaqectrqwlPEOWGKn5H4_mrKm0Cml/view?usp=drivesdk</v>
      </c>
      <c r="D5272" s="12"/>
      <c r="E5272" s="11">
        <v>5310.0</v>
      </c>
      <c r="F5272" s="2"/>
    </row>
    <row r="5273" ht="1.5" customHeight="1">
      <c r="A5273" s="4" t="str">
        <f>IFERROR(__xludf.DUMMYFUNCTION("""COMPUTED_VALUE"""),"62. Gorygreg, 41. Gregory, 95. Ariel, 88. Vincente")</f>
        <v>62. Gorygreg, 41. Gregory, 95. Ariel, 88. Vincente</v>
      </c>
      <c r="B5273" s="4" t="str">
        <f>IFERROR(__xludf.DUMMYFUNCTION("""COMPUTED_VALUE"""),"62, 41, 95, 88")</f>
        <v>62, 41, 95, 88</v>
      </c>
      <c r="C5273" s="5" t="str">
        <f>IFERROR(__xludf.DUMMYFUNCTION("""COMPUTED_VALUE"""),"https://drive.google.com/file/d/1HXBaCGfMCQzlYlrzG_Q5zMPWl2jkbIXn/view?usp=drivesdk")</f>
        <v>https://drive.google.com/file/d/1HXBaCGfMCQzlYlrzG_Q5zMPWl2jkbIXn/view?usp=drivesdk</v>
      </c>
      <c r="D5273" s="12"/>
      <c r="E5273" s="11">
        <v>5311.0</v>
      </c>
      <c r="F5273" s="2"/>
    </row>
    <row r="5274" ht="1.5" customHeight="1">
      <c r="A5274" s="4" t="str">
        <f>IFERROR(__xludf.DUMMYFUNCTION("""COMPUTED_VALUE"""),"45. Boots, 41. Gregory, 62. Gorygreg, 88. Vincente, 95. Ariel")</f>
        <v>45. Boots, 41. Gregory, 62. Gorygreg, 88. Vincente, 95. Ariel</v>
      </c>
      <c r="B5274" s="4" t="str">
        <f>IFERROR(__xludf.DUMMYFUNCTION("""COMPUTED_VALUE"""),"45, 41, 62, 88, 95")</f>
        <v>45, 41, 62, 88, 95</v>
      </c>
      <c r="C5274" s="5" t="str">
        <f>IFERROR(__xludf.DUMMYFUNCTION("""COMPUTED_VALUE"""),"https://drive.google.com/file/d/15DpVREnJ2nO6d8GEZdehrWm0DMWzBGtl/view?usp=drivesdk")</f>
        <v>https://drive.google.com/file/d/15DpVREnJ2nO6d8GEZdehrWm0DMWzBGtl/view?usp=drivesdk</v>
      </c>
      <c r="D5274" s="12"/>
      <c r="E5274" s="11">
        <v>5312.0</v>
      </c>
      <c r="F5274" s="2"/>
    </row>
    <row r="5275" ht="1.5" customHeight="1">
      <c r="A5275" s="4" t="str">
        <f>IFERROR(__xludf.DUMMYFUNCTION("""COMPUTED_VALUE"""),"17. Bobbie, 93. Meatball, 92. Cloudy")</f>
        <v>17. Bobbie, 93. Meatball, 92. Cloudy</v>
      </c>
      <c r="B5275" s="4" t="str">
        <f>IFERROR(__xludf.DUMMYFUNCTION("""COMPUTED_VALUE"""),"17, 93, 92")</f>
        <v>17, 93, 92</v>
      </c>
      <c r="C5275" s="5" t="str">
        <f>IFERROR(__xludf.DUMMYFUNCTION("""COMPUTED_VALUE"""),"https://drive.google.com/file/d/10kK04JuG6DyKJi-7thqWUg4OXiy404Pv/view?usp=drivesdk")</f>
        <v>https://drive.google.com/file/d/10kK04JuG6DyKJi-7thqWUg4OXiy404Pv/view?usp=drivesdk</v>
      </c>
      <c r="D5275" s="12"/>
      <c r="E5275" s="11">
        <v>5313.0</v>
      </c>
      <c r="F5275" s="2"/>
    </row>
    <row r="5276" ht="1.5" customHeight="1">
      <c r="A5276" s="4" t="str">
        <f>IFERROR(__xludf.DUMMYFUNCTION("""COMPUTED_VALUE"""),"1. Microwave")</f>
        <v>1. Microwave</v>
      </c>
      <c r="B5276" s="4" t="str">
        <f>IFERROR(__xludf.DUMMYFUNCTION("""COMPUTED_VALUE"""),"1")</f>
        <v>1</v>
      </c>
      <c r="C5276" s="5" t="str">
        <f>IFERROR(__xludf.DUMMYFUNCTION("""COMPUTED_VALUE"""),"https://drive.google.com/file/d/1FIREybvfAuWqVhM5mDossFtG89y-hIHf/view?usp=drivesdk")</f>
        <v>https://drive.google.com/file/d/1FIREybvfAuWqVhM5mDossFtG89y-hIHf/view?usp=drivesdk</v>
      </c>
      <c r="D5276" s="12"/>
      <c r="E5276" s="11">
        <v>5314.0</v>
      </c>
      <c r="F5276" s="2"/>
    </row>
    <row r="5277" ht="1.5" customHeight="1">
      <c r="A5277" s="4" t="str">
        <f>IFERROR(__xludf.DUMMYFUNCTION("""COMPUTED_VALUE"""),"1. Microwave")</f>
        <v>1. Microwave</v>
      </c>
      <c r="B5277" s="4" t="str">
        <f>IFERROR(__xludf.DUMMYFUNCTION("""COMPUTED_VALUE"""),"1")</f>
        <v>1</v>
      </c>
      <c r="C5277" s="5" t="str">
        <f>IFERROR(__xludf.DUMMYFUNCTION("""COMPUTED_VALUE"""),"https://drive.google.com/file/d/1VsC525oouEgHOmzaggApwoWhoMLBIAWp/view?usp=drivesdk")</f>
        <v>https://drive.google.com/file/d/1VsC525oouEgHOmzaggApwoWhoMLBIAWp/view?usp=drivesdk</v>
      </c>
      <c r="D5277" s="12"/>
      <c r="E5277" s="11">
        <v>5315.0</v>
      </c>
      <c r="F5277" s="2"/>
    </row>
    <row r="5278" ht="1.5" customHeight="1">
      <c r="A5278" s="4" t="str">
        <f>IFERROR(__xludf.DUMMYFUNCTION("""COMPUTED_VALUE"""),"1. Microwave")</f>
        <v>1. Microwave</v>
      </c>
      <c r="B5278" s="4" t="str">
        <f>IFERROR(__xludf.DUMMYFUNCTION("""COMPUTED_VALUE"""),"1")</f>
        <v>1</v>
      </c>
      <c r="C5278" s="5" t="str">
        <f>IFERROR(__xludf.DUMMYFUNCTION("""COMPUTED_VALUE"""),"https://drive.google.com/file/d/18cqyxrK0ZUmNT14Gwh5VECCyBTf6s_wi/view?usp=drivesdk")</f>
        <v>https://drive.google.com/file/d/18cqyxrK0ZUmNT14Gwh5VECCyBTf6s_wi/view?usp=drivesdk</v>
      </c>
      <c r="D5278" s="12"/>
      <c r="E5278" s="11">
        <v>5316.0</v>
      </c>
      <c r="F5278" s="2"/>
    </row>
    <row r="5279" ht="1.5" customHeight="1">
      <c r="A5279" s="4" t="str">
        <f>IFERROR(__xludf.DUMMYFUNCTION("""COMPUTED_VALUE"""),"1. Microwave")</f>
        <v>1. Microwave</v>
      </c>
      <c r="B5279" s="4" t="str">
        <f>IFERROR(__xludf.DUMMYFUNCTION("""COMPUTED_VALUE"""),"1")</f>
        <v>1</v>
      </c>
      <c r="C5279" s="5" t="str">
        <f>IFERROR(__xludf.DUMMYFUNCTION("""COMPUTED_VALUE"""),"https://drive.google.com/file/d/1hloFwsgkk8528ko5vQYgETL9RQjVR-Ao/view?usp=drivesdk")</f>
        <v>https://drive.google.com/file/d/1hloFwsgkk8528ko5vQYgETL9RQjVR-Ao/view?usp=drivesdk</v>
      </c>
      <c r="D5279" s="12"/>
      <c r="E5279" s="11">
        <v>5317.0</v>
      </c>
      <c r="F5279" s="2"/>
    </row>
    <row r="5280" ht="1.5" customHeight="1">
      <c r="A5280" s="4" t="str">
        <f>IFERROR(__xludf.DUMMYFUNCTION("""COMPUTED_VALUE"""),"1. Microwave")</f>
        <v>1. Microwave</v>
      </c>
      <c r="B5280" s="4" t="str">
        <f>IFERROR(__xludf.DUMMYFUNCTION("""COMPUTED_VALUE"""),"1")</f>
        <v>1</v>
      </c>
      <c r="C5280" s="5" t="str">
        <f>IFERROR(__xludf.DUMMYFUNCTION("""COMPUTED_VALUE"""),"https://drive.google.com/file/d/1ULSqfT49NpDgPgeX-6mwLSP_HrwZWq_A/view?usp=drivesdk")</f>
        <v>https://drive.google.com/file/d/1ULSqfT49NpDgPgeX-6mwLSP_HrwZWq_A/view?usp=drivesdk</v>
      </c>
      <c r="D5280" s="12"/>
      <c r="E5280" s="11">
        <v>5318.0</v>
      </c>
      <c r="F5280" s="2"/>
    </row>
    <row r="5281" ht="1.5" customHeight="1">
      <c r="A5281" s="4" t="str">
        <f>IFERROR(__xludf.DUMMYFUNCTION("""COMPUTED_VALUE"""),"1. Microwave")</f>
        <v>1. Microwave</v>
      </c>
      <c r="B5281" s="4" t="str">
        <f>IFERROR(__xludf.DUMMYFUNCTION("""COMPUTED_VALUE"""),"1")</f>
        <v>1</v>
      </c>
      <c r="C5281" s="5" t="str">
        <f>IFERROR(__xludf.DUMMYFUNCTION("""COMPUTED_VALUE"""),"https://drive.google.com/file/d/1iQMvU0fK3AW29SThWywZ-6CyKPqlnZK9/view?usp=drivesdk")</f>
        <v>https://drive.google.com/file/d/1iQMvU0fK3AW29SThWywZ-6CyKPqlnZK9/view?usp=drivesdk</v>
      </c>
      <c r="D5281" s="12"/>
      <c r="E5281" s="11">
        <v>5319.0</v>
      </c>
      <c r="F5281" s="2"/>
    </row>
    <row r="5282" ht="1.5" customHeight="1">
      <c r="A5282" s="4" t="str">
        <f>IFERROR(__xludf.DUMMYFUNCTION("""COMPUTED_VALUE"""),"1. Microwave")</f>
        <v>1. Microwave</v>
      </c>
      <c r="B5282" s="4" t="str">
        <f>IFERROR(__xludf.DUMMYFUNCTION("""COMPUTED_VALUE"""),"1")</f>
        <v>1</v>
      </c>
      <c r="C5282" s="5" t="str">
        <f>IFERROR(__xludf.DUMMYFUNCTION("""COMPUTED_VALUE"""),"https://drive.google.com/file/d/14ifsUN_l-E7ehRQj6eGHHjZgcSvJy9QA/view?usp=drivesdk")</f>
        <v>https://drive.google.com/file/d/14ifsUN_l-E7ehRQj6eGHHjZgcSvJy9QA/view?usp=drivesdk</v>
      </c>
      <c r="D5282" s="12"/>
      <c r="E5282" s="11">
        <v>5320.0</v>
      </c>
      <c r="F5282" s="2"/>
    </row>
    <row r="5283" ht="1.5" customHeight="1">
      <c r="A5283" s="4" t="str">
        <f>IFERROR(__xludf.DUMMYFUNCTION("""COMPUTED_VALUE"""),"1. Microwave")</f>
        <v>1. Microwave</v>
      </c>
      <c r="B5283" s="4" t="str">
        <f>IFERROR(__xludf.DUMMYFUNCTION("""COMPUTED_VALUE"""),"1")</f>
        <v>1</v>
      </c>
      <c r="C5283" s="5" t="str">
        <f>IFERROR(__xludf.DUMMYFUNCTION("""COMPUTED_VALUE"""),"https://drive.google.com/file/d/1sRw2NxB12xhuBKelUVPT-5gfpplhAtQy/view?usp=drivesdk")</f>
        <v>https://drive.google.com/file/d/1sRw2NxB12xhuBKelUVPT-5gfpplhAtQy/view?usp=drivesdk</v>
      </c>
      <c r="D5283" s="12"/>
      <c r="E5283" s="11">
        <v>5321.0</v>
      </c>
      <c r="F5283" s="2"/>
    </row>
    <row r="5284" ht="1.5" customHeight="1">
      <c r="A5284" s="4" t="str">
        <f>IFERROR(__xludf.DUMMYFUNCTION("""COMPUTED_VALUE"""),"1. Microwave")</f>
        <v>1. Microwave</v>
      </c>
      <c r="B5284" s="4" t="str">
        <f>IFERROR(__xludf.DUMMYFUNCTION("""COMPUTED_VALUE"""),"1")</f>
        <v>1</v>
      </c>
      <c r="C5284" s="5" t="str">
        <f>IFERROR(__xludf.DUMMYFUNCTION("""COMPUTED_VALUE"""),"https://drive.google.com/file/d/1-vwkY4qC4QJcpraC6oXNFABEKv3HEzCA/view?usp=drivesdk")</f>
        <v>https://drive.google.com/file/d/1-vwkY4qC4QJcpraC6oXNFABEKv3HEzCA/view?usp=drivesdk</v>
      </c>
      <c r="D5284" s="12"/>
      <c r="E5284" s="11">
        <v>5322.0</v>
      </c>
      <c r="F5284" s="2"/>
    </row>
    <row r="5285" ht="1.5" customHeight="1">
      <c r="A5285" s="4" t="str">
        <f>IFERROR(__xludf.DUMMYFUNCTION("""COMPUTED_VALUE"""),"1. Microwave")</f>
        <v>1. Microwave</v>
      </c>
      <c r="B5285" s="4" t="str">
        <f>IFERROR(__xludf.DUMMYFUNCTION("""COMPUTED_VALUE"""),"1")</f>
        <v>1</v>
      </c>
      <c r="C5285" s="5" t="str">
        <f>IFERROR(__xludf.DUMMYFUNCTION("""COMPUTED_VALUE"""),"https://drive.google.com/file/d/1rjUVBGfXWIJSvj5hjrwk1mEahnutkmzD/view?usp=drivesdk")</f>
        <v>https://drive.google.com/file/d/1rjUVBGfXWIJSvj5hjrwk1mEahnutkmzD/view?usp=drivesdk</v>
      </c>
      <c r="D5285" s="12"/>
      <c r="E5285" s="11">
        <v>5323.0</v>
      </c>
      <c r="F5285" s="2"/>
    </row>
    <row r="5286" ht="1.5" customHeight="1">
      <c r="A5286" s="4" t="str">
        <f>IFERROR(__xludf.DUMMYFUNCTION("""COMPUTED_VALUE"""),"0. NotACat")</f>
        <v>0. NotACat</v>
      </c>
      <c r="B5286" s="4" t="str">
        <f>IFERROR(__xludf.DUMMYFUNCTION("""COMPUTED_VALUE"""),"0")</f>
        <v>0</v>
      </c>
      <c r="C5286" s="5" t="str">
        <f>IFERROR(__xludf.DUMMYFUNCTION("""COMPUTED_VALUE"""),"https://drive.google.com/file/d/1tjNzPenu5C9Kiae0mc58Htqfu1c-RPAq/view?usp=drivesdk")</f>
        <v>https://drive.google.com/file/d/1tjNzPenu5C9Kiae0mc58Htqfu1c-RPAq/view?usp=drivesdk</v>
      </c>
      <c r="D5286" s="12"/>
      <c r="E5286" s="11">
        <v>5324.0</v>
      </c>
      <c r="F5286" s="2"/>
    </row>
    <row r="5287" ht="1.5" customHeight="1">
      <c r="A5287" s="4" t="str">
        <f>IFERROR(__xludf.DUMMYFUNCTION("""COMPUTED_VALUE"""),"0. NotACat")</f>
        <v>0. NotACat</v>
      </c>
      <c r="B5287" s="4" t="str">
        <f>IFERROR(__xludf.DUMMYFUNCTION("""COMPUTED_VALUE"""),"0")</f>
        <v>0</v>
      </c>
      <c r="C5287" s="5" t="str">
        <f>IFERROR(__xludf.DUMMYFUNCTION("""COMPUTED_VALUE"""),"https://drive.google.com/file/d/1oGK9j8v2XNyaWa-slPsuReiq_9OSbv92/view?usp=drivesdk")</f>
        <v>https://drive.google.com/file/d/1oGK9j8v2XNyaWa-slPsuReiq_9OSbv92/view?usp=drivesdk</v>
      </c>
      <c r="D5287" s="12"/>
      <c r="E5287" s="11">
        <v>5325.0</v>
      </c>
      <c r="F5287" s="2"/>
    </row>
    <row r="5288" ht="1.5" customHeight="1">
      <c r="A5288" s="4" t="str">
        <f>IFERROR(__xludf.DUMMYFUNCTION("""COMPUTED_VALUE"""),"1. Microwave")</f>
        <v>1. Microwave</v>
      </c>
      <c r="B5288" s="4" t="str">
        <f>IFERROR(__xludf.DUMMYFUNCTION("""COMPUTED_VALUE"""),"1")</f>
        <v>1</v>
      </c>
      <c r="C5288" s="5" t="str">
        <f>IFERROR(__xludf.DUMMYFUNCTION("""COMPUTED_VALUE"""),"https://drive.google.com/file/d/1Mro1bwCFLo3sqZD0EvhQZycLxePBWSUa/view?usp=drivesdk")</f>
        <v>https://drive.google.com/file/d/1Mro1bwCFLo3sqZD0EvhQZycLxePBWSUa/view?usp=drivesdk</v>
      </c>
      <c r="D5288" s="12"/>
      <c r="E5288" s="11">
        <v>5326.0</v>
      </c>
      <c r="F5288" s="2"/>
    </row>
    <row r="5289" ht="1.5" customHeight="1">
      <c r="A5289" s="4" t="str">
        <f>IFERROR(__xludf.DUMMYFUNCTION("""COMPUTED_VALUE"""),"1. Microwave")</f>
        <v>1. Microwave</v>
      </c>
      <c r="B5289" s="4" t="str">
        <f>IFERROR(__xludf.DUMMYFUNCTION("""COMPUTED_VALUE"""),"1")</f>
        <v>1</v>
      </c>
      <c r="C5289" s="5" t="str">
        <f>IFERROR(__xludf.DUMMYFUNCTION("""COMPUTED_VALUE"""),"https://drive.google.com/file/d/1dvRjLxat0c37JN5r3_vghW7hEHzHrWaf/view?usp=drivesdk")</f>
        <v>https://drive.google.com/file/d/1dvRjLxat0c37JN5r3_vghW7hEHzHrWaf/view?usp=drivesdk</v>
      </c>
      <c r="D5289" s="12"/>
      <c r="E5289" s="11">
        <v>5327.0</v>
      </c>
      <c r="F5289" s="2"/>
    </row>
    <row r="5290" ht="1.5" customHeight="1">
      <c r="A5290" s="4" t="str">
        <f>IFERROR(__xludf.DUMMYFUNCTION("""COMPUTED_VALUE"""),"1. Microwave")</f>
        <v>1. Microwave</v>
      </c>
      <c r="B5290" s="4" t="str">
        <f>IFERROR(__xludf.DUMMYFUNCTION("""COMPUTED_VALUE"""),"1")</f>
        <v>1</v>
      </c>
      <c r="C5290" s="5" t="str">
        <f>IFERROR(__xludf.DUMMYFUNCTION("""COMPUTED_VALUE"""),"https://drive.google.com/file/d/1b16-5FfsD6OzwHSGvEmRI3sGNxThVRZD/view?usp=drivesdk")</f>
        <v>https://drive.google.com/file/d/1b16-5FfsD6OzwHSGvEmRI3sGNxThVRZD/view?usp=drivesdk</v>
      </c>
      <c r="D5290" s="12"/>
      <c r="E5290" s="11">
        <v>5328.0</v>
      </c>
      <c r="F5290" s="2"/>
    </row>
    <row r="5291" ht="1.5" customHeight="1">
      <c r="A5291" s="4" t="str">
        <f>IFERROR(__xludf.DUMMYFUNCTION("""COMPUTED_VALUE"""),"35. Stove")</f>
        <v>35. Stove</v>
      </c>
      <c r="B5291" s="4" t="str">
        <f>IFERROR(__xludf.DUMMYFUNCTION("""COMPUTED_VALUE"""),"35")</f>
        <v>35</v>
      </c>
      <c r="C5291" s="5" t="str">
        <f>IFERROR(__xludf.DUMMYFUNCTION("""COMPUTED_VALUE"""),"https://drive.google.com/file/d/1ST8tFUBRQFABFrIhg2dGAewetdlC5ptY/view?usp=drivesdk")</f>
        <v>https://drive.google.com/file/d/1ST8tFUBRQFABFrIhg2dGAewetdlC5ptY/view?usp=drivesdk</v>
      </c>
      <c r="D5291" s="12"/>
      <c r="E5291" s="11">
        <v>5329.0</v>
      </c>
      <c r="F5291" s="2"/>
    </row>
    <row r="5292" ht="1.5" customHeight="1">
      <c r="A5292" s="4" t="str">
        <f>IFERROR(__xludf.DUMMYFUNCTION("""COMPUTED_VALUE"""),"2. Twix")</f>
        <v>2. Twix</v>
      </c>
      <c r="B5292" s="4" t="str">
        <f>IFERROR(__xludf.DUMMYFUNCTION("""COMPUTED_VALUE"""),"2")</f>
        <v>2</v>
      </c>
      <c r="C5292" s="5" t="str">
        <f>IFERROR(__xludf.DUMMYFUNCTION("""COMPUTED_VALUE"""),"https://drive.google.com/file/d/1e5_2H10Ax_NiR3CeiTsvgg9TYtl8XAfy/view?usp=drivesdk")</f>
        <v>https://drive.google.com/file/d/1e5_2H10Ax_NiR3CeiTsvgg9TYtl8XAfy/view?usp=drivesdk</v>
      </c>
      <c r="D5292" s="12"/>
      <c r="E5292" s="11">
        <v>5330.0</v>
      </c>
      <c r="F5292" s="2"/>
    </row>
    <row r="5293" ht="1.5" customHeight="1">
      <c r="A5293" s="4" t="str">
        <f>IFERROR(__xludf.DUMMYFUNCTION("""COMPUTED_VALUE"""),"76. Eezard")</f>
        <v>76. Eezard</v>
      </c>
      <c r="B5293" s="4" t="str">
        <f>IFERROR(__xludf.DUMMYFUNCTION("""COMPUTED_VALUE"""),"76")</f>
        <v>76</v>
      </c>
      <c r="C5293" s="5" t="str">
        <f>IFERROR(__xludf.DUMMYFUNCTION("""COMPUTED_VALUE"""),"https://drive.google.com/file/d/1gIi1q01PPT8P7NFw1MzYuyKm_3AQPScS/view?usp=drivesdk")</f>
        <v>https://drive.google.com/file/d/1gIi1q01PPT8P7NFw1MzYuyKm_3AQPScS/view?usp=drivesdk</v>
      </c>
      <c r="D5293" s="12"/>
      <c r="E5293" s="11">
        <v>5331.0</v>
      </c>
      <c r="F5293" s="2"/>
    </row>
    <row r="5294" ht="1.5" customHeight="1">
      <c r="A5294" s="4" t="str">
        <f>IFERROR(__xludf.DUMMYFUNCTION("""COMPUTED_VALUE"""),"1. Microwave")</f>
        <v>1. Microwave</v>
      </c>
      <c r="B5294" s="4" t="str">
        <f>IFERROR(__xludf.DUMMYFUNCTION("""COMPUTED_VALUE"""),"1")</f>
        <v>1</v>
      </c>
      <c r="C5294" s="5" t="str">
        <f>IFERROR(__xludf.DUMMYFUNCTION("""COMPUTED_VALUE"""),"https://drive.google.com/file/d/1Eif0daeaCwTpEr0i7Im-gbvSl_H1EyR9/view?usp=drivesdk")</f>
        <v>https://drive.google.com/file/d/1Eif0daeaCwTpEr0i7Im-gbvSl_H1EyR9/view?usp=drivesdk</v>
      </c>
      <c r="D5294" s="12"/>
      <c r="E5294" s="11">
        <v>5332.0</v>
      </c>
      <c r="F5294" s="2"/>
    </row>
    <row r="5295" ht="1.5" customHeight="1">
      <c r="A5295" s="4" t="str">
        <f>IFERROR(__xludf.DUMMYFUNCTION("""COMPUTED_VALUE"""),"4. Eggs, 5. Eraser")</f>
        <v>4. Eggs, 5. Eraser</v>
      </c>
      <c r="B5295" s="4" t="str">
        <f>IFERROR(__xludf.DUMMYFUNCTION("""COMPUTED_VALUE"""),"4, 5")</f>
        <v>4, 5</v>
      </c>
      <c r="C5295" s="5" t="str">
        <f>IFERROR(__xludf.DUMMYFUNCTION("""COMPUTED_VALUE"""),"https://drive.google.com/file/d/1OBNiz-LSx4yOvvsDjFQ_K9b_PyTueMb-/view?usp=drivesdk")</f>
        <v>https://drive.google.com/file/d/1OBNiz-LSx4yOvvsDjFQ_K9b_PyTueMb-/view?usp=drivesdk</v>
      </c>
      <c r="D5295" s="12"/>
      <c r="E5295" s="11">
        <v>5333.0</v>
      </c>
      <c r="F5295" s="2"/>
    </row>
    <row r="5296" ht="1.5" customHeight="1">
      <c r="A5296" s="4" t="str">
        <f>IFERROR(__xludf.DUMMYFUNCTION("""COMPUTED_VALUE"""),"5. Eraser, 4. Eggs")</f>
        <v>5. Eraser, 4. Eggs</v>
      </c>
      <c r="B5296" s="4" t="str">
        <f>IFERROR(__xludf.DUMMYFUNCTION("""COMPUTED_VALUE"""),"5, 4")</f>
        <v>5, 4</v>
      </c>
      <c r="C5296" s="5" t="str">
        <f>IFERROR(__xludf.DUMMYFUNCTION("""COMPUTED_VALUE"""),"https://drive.google.com/file/d/1d42y8ptTG6rT94-8Y5FDEHxi4G16azMU/view?usp=drivesdk")</f>
        <v>https://drive.google.com/file/d/1d42y8ptTG6rT94-8Y5FDEHxi4G16azMU/view?usp=drivesdk</v>
      </c>
      <c r="D5296" s="12"/>
      <c r="E5296" s="11">
        <v>5334.0</v>
      </c>
      <c r="F5296" s="2"/>
    </row>
    <row r="5297" ht="1.5" customHeight="1">
      <c r="A5297" s="4" t="str">
        <f>IFERROR(__xludf.DUMMYFUNCTION("""COMPUTED_VALUE"""),"4. Eggs, 5. Eraser")</f>
        <v>4. Eggs, 5. Eraser</v>
      </c>
      <c r="B5297" s="4" t="str">
        <f>IFERROR(__xludf.DUMMYFUNCTION("""COMPUTED_VALUE"""),"4, 5")</f>
        <v>4, 5</v>
      </c>
      <c r="C5297" s="5" t="str">
        <f>IFERROR(__xludf.DUMMYFUNCTION("""COMPUTED_VALUE"""),"https://drive.google.com/file/d/1rVPyMkY3tvE2EnRu83eU94IMkmdYylXc/view?usp=drivesdk")</f>
        <v>https://drive.google.com/file/d/1rVPyMkY3tvE2EnRu83eU94IMkmdYylXc/view?usp=drivesdk</v>
      </c>
      <c r="D5297" s="12"/>
      <c r="E5297" s="11">
        <v>5335.0</v>
      </c>
      <c r="F5297" s="2"/>
    </row>
    <row r="5298" ht="1.5" customHeight="1">
      <c r="A5298" s="4" t="str">
        <f>IFERROR(__xludf.DUMMYFUNCTION("""COMPUTED_VALUE"""),"4. Eggs, 5. Eraser")</f>
        <v>4. Eggs, 5. Eraser</v>
      </c>
      <c r="B5298" s="4" t="str">
        <f>IFERROR(__xludf.DUMMYFUNCTION("""COMPUTED_VALUE"""),"4, 5")</f>
        <v>4, 5</v>
      </c>
      <c r="C5298" s="5" t="str">
        <f>IFERROR(__xludf.DUMMYFUNCTION("""COMPUTED_VALUE"""),"https://drive.google.com/file/d/1_RaJf7xb-nBYDUfL0zv7-b9b1Qszq2HF/view?usp=drivesdk")</f>
        <v>https://drive.google.com/file/d/1_RaJf7xb-nBYDUfL0zv7-b9b1Qszq2HF/view?usp=drivesdk</v>
      </c>
      <c r="D5298" s="12"/>
      <c r="E5298" s="11">
        <v>5336.0</v>
      </c>
      <c r="F5298" s="2"/>
    </row>
    <row r="5299" ht="1.5" customHeight="1">
      <c r="A5299" s="4" t="str">
        <f>IFERROR(__xludf.DUMMYFUNCTION("""COMPUTED_VALUE"""),"32. Noir")</f>
        <v>32. Noir</v>
      </c>
      <c r="B5299" s="4" t="str">
        <f>IFERROR(__xludf.DUMMYFUNCTION("""COMPUTED_VALUE"""),"32")</f>
        <v>32</v>
      </c>
      <c r="C5299" s="5" t="str">
        <f>IFERROR(__xludf.DUMMYFUNCTION("""COMPUTED_VALUE"""),"https://drive.google.com/file/d/1wLBQWcV1nIeAx57p5fgWk2cAwWMK-FBk/view?usp=drivesdk")</f>
        <v>https://drive.google.com/file/d/1wLBQWcV1nIeAx57p5fgWk2cAwWMK-FBk/view?usp=drivesdk</v>
      </c>
      <c r="D5299" s="12"/>
      <c r="E5299" s="11">
        <v>5337.0</v>
      </c>
      <c r="F5299" s="2"/>
    </row>
    <row r="5300" ht="1.5" customHeight="1">
      <c r="A5300" s="4" t="str">
        <f>IFERROR(__xludf.DUMMYFUNCTION("""COMPUTED_VALUE"""),"1. Microwave")</f>
        <v>1. Microwave</v>
      </c>
      <c r="B5300" s="4" t="str">
        <f>IFERROR(__xludf.DUMMYFUNCTION("""COMPUTED_VALUE"""),"1")</f>
        <v>1</v>
      </c>
      <c r="C5300" s="5" t="str">
        <f>IFERROR(__xludf.DUMMYFUNCTION("""COMPUTED_VALUE"""),"https://drive.google.com/file/d/1t3BSjtiLLUeVrk0z74iKUsDeB8_c5p0Y/view?usp=drivesdk")</f>
        <v>https://drive.google.com/file/d/1t3BSjtiLLUeVrk0z74iKUsDeB8_c5p0Y/view?usp=drivesdk</v>
      </c>
      <c r="D5300" s="12"/>
      <c r="E5300" s="11">
        <v>5338.0</v>
      </c>
      <c r="F5300" s="2"/>
    </row>
    <row r="5301" ht="1.5" customHeight="1">
      <c r="A5301" s="4" t="str">
        <f>IFERROR(__xludf.DUMMYFUNCTION("""COMPUTED_VALUE"""),"2. Twix")</f>
        <v>2. Twix</v>
      </c>
      <c r="B5301" s="4" t="str">
        <f>IFERROR(__xludf.DUMMYFUNCTION("""COMPUTED_VALUE"""),"2")</f>
        <v>2</v>
      </c>
      <c r="C5301" s="5" t="str">
        <f>IFERROR(__xludf.DUMMYFUNCTION("""COMPUTED_VALUE"""),"https://drive.google.com/file/d/173OmOF1IkqiNNWd7pWNozFtkMyCsW9ch/view?usp=drivesdk")</f>
        <v>https://drive.google.com/file/d/173OmOF1IkqiNNWd7pWNozFtkMyCsW9ch/view?usp=drivesdk</v>
      </c>
      <c r="D5301" s="12"/>
      <c r="E5301" s="11">
        <v>5339.0</v>
      </c>
      <c r="F5301" s="2"/>
    </row>
    <row r="5302" ht="1.5" customHeight="1">
      <c r="A5302" s="4" t="str">
        <f>IFERROR(__xludf.DUMMYFUNCTION("""COMPUTED_VALUE"""),"1. Microwave")</f>
        <v>1. Microwave</v>
      </c>
      <c r="B5302" s="4" t="str">
        <f>IFERROR(__xludf.DUMMYFUNCTION("""COMPUTED_VALUE"""),"1")</f>
        <v>1</v>
      </c>
      <c r="C5302" s="5" t="str">
        <f>IFERROR(__xludf.DUMMYFUNCTION("""COMPUTED_VALUE"""),"https://drive.google.com/file/d/1dSqNX6A4M-B-EiN_JsRjXIRXJp7DVA2S/view?usp=drivesdk")</f>
        <v>https://drive.google.com/file/d/1dSqNX6A4M-B-EiN_JsRjXIRXJp7DVA2S/view?usp=drivesdk</v>
      </c>
      <c r="D5302" s="12"/>
      <c r="E5302" s="11">
        <v>5340.0</v>
      </c>
      <c r="F5302" s="2"/>
    </row>
    <row r="5303" ht="1.5" customHeight="1">
      <c r="A5303" s="4" t="str">
        <f>IFERROR(__xludf.DUMMYFUNCTION("""COMPUTED_VALUE"""),"1. Microwave")</f>
        <v>1. Microwave</v>
      </c>
      <c r="B5303" s="4" t="str">
        <f>IFERROR(__xludf.DUMMYFUNCTION("""COMPUTED_VALUE"""),"1")</f>
        <v>1</v>
      </c>
      <c r="C5303" s="5" t="str">
        <f>IFERROR(__xludf.DUMMYFUNCTION("""COMPUTED_VALUE"""),"https://drive.google.com/file/d/17nud_tS2F3s39_h639zvvQ7fD2AFCwNt/view?usp=drivesdk")</f>
        <v>https://drive.google.com/file/d/17nud_tS2F3s39_h639zvvQ7fD2AFCwNt/view?usp=drivesdk</v>
      </c>
      <c r="D5303" s="12"/>
      <c r="E5303" s="11">
        <v>5341.0</v>
      </c>
      <c r="F5303" s="2"/>
    </row>
    <row r="5304" ht="1.5" customHeight="1">
      <c r="A5304" s="4" t="str">
        <f>IFERROR(__xludf.DUMMYFUNCTION("""COMPUTED_VALUE"""),"1. Microwave")</f>
        <v>1. Microwave</v>
      </c>
      <c r="B5304" s="4" t="str">
        <f>IFERROR(__xludf.DUMMYFUNCTION("""COMPUTED_VALUE"""),"1")</f>
        <v>1</v>
      </c>
      <c r="C5304" s="5" t="str">
        <f>IFERROR(__xludf.DUMMYFUNCTION("""COMPUTED_VALUE"""),"https://drive.google.com/file/d/13OgzxGD9dqV_vNXEEbGc7cJAg1PbRrqO/view?usp=drivesdk")</f>
        <v>https://drive.google.com/file/d/13OgzxGD9dqV_vNXEEbGc7cJAg1PbRrqO/view?usp=drivesdk</v>
      </c>
      <c r="D5304" s="12"/>
      <c r="E5304" s="11">
        <v>5342.0</v>
      </c>
      <c r="F5304" s="2"/>
    </row>
    <row r="5305" ht="1.5" customHeight="1">
      <c r="A5305" s="4" t="str">
        <f>IFERROR(__xludf.DUMMYFUNCTION("""COMPUTED_VALUE"""),"1. Microwave")</f>
        <v>1. Microwave</v>
      </c>
      <c r="B5305" s="4" t="str">
        <f>IFERROR(__xludf.DUMMYFUNCTION("""COMPUTED_VALUE"""),"1")</f>
        <v>1</v>
      </c>
      <c r="C5305" s="5" t="str">
        <f>IFERROR(__xludf.DUMMYFUNCTION("""COMPUTED_VALUE"""),"https://drive.google.com/file/d/1lQR_OUZgTvZUiX93Nff_w4WnciP3OqL7/view?usp=drivesdk")</f>
        <v>https://drive.google.com/file/d/1lQR_OUZgTvZUiX93Nff_w4WnciP3OqL7/view?usp=drivesdk</v>
      </c>
      <c r="D5305" s="12"/>
      <c r="E5305" s="11">
        <v>5343.0</v>
      </c>
      <c r="F5305" s="2"/>
    </row>
    <row r="5306" ht="1.5" customHeight="1">
      <c r="A5306" s="4" t="str">
        <f>IFERROR(__xludf.DUMMYFUNCTION("""COMPUTED_VALUE"""),"17. Bobbie")</f>
        <v>17. Bobbie</v>
      </c>
      <c r="B5306" s="4" t="str">
        <f>IFERROR(__xludf.DUMMYFUNCTION("""COMPUTED_VALUE"""),"17")</f>
        <v>17</v>
      </c>
      <c r="C5306" s="5" t="str">
        <f>IFERROR(__xludf.DUMMYFUNCTION("""COMPUTED_VALUE"""),"https://drive.google.com/file/d/1OD7aXEVUK8rQ1LgdOdxEomjet12_1_dk/view?usp=drivesdk")</f>
        <v>https://drive.google.com/file/d/1OD7aXEVUK8rQ1LgdOdxEomjet12_1_dk/view?usp=drivesdk</v>
      </c>
      <c r="D5306" s="12"/>
      <c r="E5306" s="11">
        <v>5344.0</v>
      </c>
      <c r="F5306" s="2"/>
    </row>
    <row r="5307" ht="1.5" customHeight="1">
      <c r="A5307" s="4" t="str">
        <f>IFERROR(__xludf.DUMMYFUNCTION("""COMPUTED_VALUE"""),"17. Bobbie")</f>
        <v>17. Bobbie</v>
      </c>
      <c r="B5307" s="4" t="str">
        <f>IFERROR(__xludf.DUMMYFUNCTION("""COMPUTED_VALUE"""),"17")</f>
        <v>17</v>
      </c>
      <c r="C5307" s="5" t="str">
        <f>IFERROR(__xludf.DUMMYFUNCTION("""COMPUTED_VALUE"""),"https://drive.google.com/file/d/1x9uiGqDegArn00ETl-9rEV3t8whuJfkd/view?usp=drivesdk")</f>
        <v>https://drive.google.com/file/d/1x9uiGqDegArn00ETl-9rEV3t8whuJfkd/view?usp=drivesdk</v>
      </c>
      <c r="D5307" s="12"/>
      <c r="E5307" s="11">
        <v>5345.0</v>
      </c>
      <c r="F5307" s="2"/>
    </row>
    <row r="5308" ht="1.5" customHeight="1">
      <c r="A5308" s="4" t="str">
        <f>IFERROR(__xludf.DUMMYFUNCTION("""COMPUTED_VALUE"""),"17. Bobbie")</f>
        <v>17. Bobbie</v>
      </c>
      <c r="B5308" s="4" t="str">
        <f>IFERROR(__xludf.DUMMYFUNCTION("""COMPUTED_VALUE"""),"17")</f>
        <v>17</v>
      </c>
      <c r="C5308" s="5" t="str">
        <f>IFERROR(__xludf.DUMMYFUNCTION("""COMPUTED_VALUE"""),"https://drive.google.com/file/d/11kHoS7mndnxmZO5-3LRYDJzZBJ9t96-1/view?usp=drivesdk")</f>
        <v>https://drive.google.com/file/d/11kHoS7mndnxmZO5-3LRYDJzZBJ9t96-1/view?usp=drivesdk</v>
      </c>
      <c r="D5308" s="12"/>
      <c r="E5308" s="11">
        <v>5346.0</v>
      </c>
      <c r="F5308" s="2"/>
    </row>
    <row r="5309" ht="1.5" customHeight="1">
      <c r="A5309" s="4" t="str">
        <f>IFERROR(__xludf.DUMMYFUNCTION("""COMPUTED_VALUE"""),"1. Microwave")</f>
        <v>1. Microwave</v>
      </c>
      <c r="B5309" s="4" t="str">
        <f>IFERROR(__xludf.DUMMYFUNCTION("""COMPUTED_VALUE"""),"1")</f>
        <v>1</v>
      </c>
      <c r="C5309" s="5" t="str">
        <f>IFERROR(__xludf.DUMMYFUNCTION("""COMPUTED_VALUE"""),"https://drive.google.com/file/d/1kVpIoR3mMRAAx_i5_BkTVOYT-P88G-Pk/view?usp=drivesdk")</f>
        <v>https://drive.google.com/file/d/1kVpIoR3mMRAAx_i5_BkTVOYT-P88G-Pk/view?usp=drivesdk</v>
      </c>
      <c r="D5309" s="12"/>
      <c r="E5309" s="11">
        <v>5347.0</v>
      </c>
      <c r="F5309" s="2"/>
    </row>
    <row r="5310" ht="1.5" customHeight="1">
      <c r="A5310" s="4" t="str">
        <f>IFERROR(__xludf.DUMMYFUNCTION("""COMPUTED_VALUE"""),"1. Microwave")</f>
        <v>1. Microwave</v>
      </c>
      <c r="B5310" s="4" t="str">
        <f>IFERROR(__xludf.DUMMYFUNCTION("""COMPUTED_VALUE"""),"1")</f>
        <v>1</v>
      </c>
      <c r="C5310" s="5" t="str">
        <f>IFERROR(__xludf.DUMMYFUNCTION("""COMPUTED_VALUE"""),"https://drive.google.com/file/d/1NV8eU7B5oEOVPurlLJkvU-iH7KPI7CsV/view?usp=drivesdk")</f>
        <v>https://drive.google.com/file/d/1NV8eU7B5oEOVPurlLJkvU-iH7KPI7CsV/view?usp=drivesdk</v>
      </c>
      <c r="D5310" s="12"/>
      <c r="E5310" s="11">
        <v>5348.0</v>
      </c>
      <c r="F5310" s="2"/>
    </row>
    <row r="5311" ht="1.5" customHeight="1">
      <c r="A5311" s="4" t="str">
        <f>IFERROR(__xludf.DUMMYFUNCTION("""COMPUTED_VALUE"""),"1. Microwave")</f>
        <v>1. Microwave</v>
      </c>
      <c r="B5311" s="4" t="str">
        <f>IFERROR(__xludf.DUMMYFUNCTION("""COMPUTED_VALUE"""),"1")</f>
        <v>1</v>
      </c>
      <c r="C5311" s="5" t="str">
        <f>IFERROR(__xludf.DUMMYFUNCTION("""COMPUTED_VALUE"""),"https://drive.google.com/file/d/1EWgNxHXbughOYistTV78flWWcHgSTjDk/view?usp=drivesdk")</f>
        <v>https://drive.google.com/file/d/1EWgNxHXbughOYistTV78flWWcHgSTjDk/view?usp=drivesdk</v>
      </c>
      <c r="D5311" s="12"/>
      <c r="E5311" s="11">
        <v>5349.0</v>
      </c>
      <c r="F5311" s="2"/>
    </row>
    <row r="5312" ht="1.5" customHeight="1">
      <c r="A5312" s="4" t="str">
        <f>IFERROR(__xludf.DUMMYFUNCTION("""COMPUTED_VALUE"""),"1. Microwave")</f>
        <v>1. Microwave</v>
      </c>
      <c r="B5312" s="4" t="str">
        <f>IFERROR(__xludf.DUMMYFUNCTION("""COMPUTED_VALUE"""),"1")</f>
        <v>1</v>
      </c>
      <c r="C5312" s="5" t="str">
        <f>IFERROR(__xludf.DUMMYFUNCTION("""COMPUTED_VALUE"""),"https://drive.google.com/file/d/1T5YFE8Y8nCfKKfWn86ncMccQlFGbhUkr/view?usp=drivesdk")</f>
        <v>https://drive.google.com/file/d/1T5YFE8Y8nCfKKfWn86ncMccQlFGbhUkr/view?usp=drivesdk</v>
      </c>
      <c r="D5312" s="12"/>
      <c r="E5312" s="11">
        <v>5350.0</v>
      </c>
      <c r="F5312" s="2"/>
    </row>
    <row r="5313" ht="1.5" customHeight="1">
      <c r="A5313" s="4" t="str">
        <f>IFERROR(__xludf.DUMMYFUNCTION("""COMPUTED_VALUE"""),"1. Microwave")</f>
        <v>1. Microwave</v>
      </c>
      <c r="B5313" s="4" t="str">
        <f>IFERROR(__xludf.DUMMYFUNCTION("""COMPUTED_VALUE"""),"1")</f>
        <v>1</v>
      </c>
      <c r="C5313" s="5" t="str">
        <f>IFERROR(__xludf.DUMMYFUNCTION("""COMPUTED_VALUE"""),"https://drive.google.com/file/d/1Rh8CUYe8gy-EZVQj6Z5nMs19IoVI3aA7/view?usp=drivesdk")</f>
        <v>https://drive.google.com/file/d/1Rh8CUYe8gy-EZVQj6Z5nMs19IoVI3aA7/view?usp=drivesdk</v>
      </c>
      <c r="D5313" s="12"/>
      <c r="E5313" s="11">
        <v>5351.0</v>
      </c>
      <c r="F5313" s="2"/>
    </row>
    <row r="5314" ht="1.5" customHeight="1">
      <c r="A5314" s="4" t="str">
        <f>IFERROR(__xludf.DUMMYFUNCTION("""COMPUTED_VALUE"""),"1. Microwave")</f>
        <v>1. Microwave</v>
      </c>
      <c r="B5314" s="4" t="str">
        <f>IFERROR(__xludf.DUMMYFUNCTION("""COMPUTED_VALUE"""),"1")</f>
        <v>1</v>
      </c>
      <c r="C5314" s="5" t="str">
        <f>IFERROR(__xludf.DUMMYFUNCTION("""COMPUTED_VALUE"""),"https://drive.google.com/file/d/1qSANr60YqUkr-EYlpptEAzjrUZ_9liYN/view?usp=drivesdk")</f>
        <v>https://drive.google.com/file/d/1qSANr60YqUkr-EYlpptEAzjrUZ_9liYN/view?usp=drivesdk</v>
      </c>
      <c r="D5314" s="12"/>
      <c r="E5314" s="11">
        <v>5352.0</v>
      </c>
      <c r="F5314" s="2"/>
    </row>
    <row r="5315" ht="1.5" customHeight="1">
      <c r="A5315" s="4" t="str">
        <f>IFERROR(__xludf.DUMMYFUNCTION("""COMPUTED_VALUE"""),"1. Microwave")</f>
        <v>1. Microwave</v>
      </c>
      <c r="B5315" s="4" t="str">
        <f>IFERROR(__xludf.DUMMYFUNCTION("""COMPUTED_VALUE"""),"1")</f>
        <v>1</v>
      </c>
      <c r="C5315" s="5" t="str">
        <f>IFERROR(__xludf.DUMMYFUNCTION("""COMPUTED_VALUE"""),"https://drive.google.com/file/d/1x3XjxVfNrhUjl2APe395aEFE6XzMlqx1/view?usp=drivesdk")</f>
        <v>https://drive.google.com/file/d/1x3XjxVfNrhUjl2APe395aEFE6XzMlqx1/view?usp=drivesdk</v>
      </c>
      <c r="D5315" s="12"/>
      <c r="E5315" s="11">
        <v>5353.0</v>
      </c>
      <c r="F5315" s="2"/>
    </row>
    <row r="5316" ht="1.5" customHeight="1">
      <c r="A5316" s="4" t="str">
        <f>IFERROR(__xludf.DUMMYFUNCTION("""COMPUTED_VALUE"""),"1. Microwave")</f>
        <v>1. Microwave</v>
      </c>
      <c r="B5316" s="4" t="str">
        <f>IFERROR(__xludf.DUMMYFUNCTION("""COMPUTED_VALUE"""),"1")</f>
        <v>1</v>
      </c>
      <c r="C5316" s="5" t="str">
        <f>IFERROR(__xludf.DUMMYFUNCTION("""COMPUTED_VALUE"""),"https://drive.google.com/file/d/1X-XNNpB5SX3oA61NJdVwn3IN5J0BFSIT/view?usp=drivesdk")</f>
        <v>https://drive.google.com/file/d/1X-XNNpB5SX3oA61NJdVwn3IN5J0BFSIT/view?usp=drivesdk</v>
      </c>
      <c r="D5316" s="12"/>
      <c r="E5316" s="11">
        <v>5354.0</v>
      </c>
      <c r="F5316" s="2"/>
    </row>
    <row r="5317" ht="1.5" customHeight="1">
      <c r="A5317" s="4" t="str">
        <f>IFERROR(__xludf.DUMMYFUNCTION("""COMPUTED_VALUE"""),"1. Microwave")</f>
        <v>1. Microwave</v>
      </c>
      <c r="B5317" s="4" t="str">
        <f>IFERROR(__xludf.DUMMYFUNCTION("""COMPUTED_VALUE"""),"1")</f>
        <v>1</v>
      </c>
      <c r="C5317" s="5" t="str">
        <f>IFERROR(__xludf.DUMMYFUNCTION("""COMPUTED_VALUE"""),"https://drive.google.com/file/d/1xa8XmPDzIRVw2FhpoFn4_GgX2PA6IOzU/view?usp=drivesdk")</f>
        <v>https://drive.google.com/file/d/1xa8XmPDzIRVw2FhpoFn4_GgX2PA6IOzU/view?usp=drivesdk</v>
      </c>
      <c r="D5317" s="12"/>
      <c r="E5317" s="11">
        <v>5355.0</v>
      </c>
      <c r="F5317" s="2"/>
    </row>
    <row r="5318" ht="1.5" customHeight="1">
      <c r="A5318" s="4" t="str">
        <f>IFERROR(__xludf.DUMMYFUNCTION("""COMPUTED_VALUE"""),"1. Microwave")</f>
        <v>1. Microwave</v>
      </c>
      <c r="B5318" s="4" t="str">
        <f>IFERROR(__xludf.DUMMYFUNCTION("""COMPUTED_VALUE"""),"1")</f>
        <v>1</v>
      </c>
      <c r="C5318" s="5" t="str">
        <f>IFERROR(__xludf.DUMMYFUNCTION("""COMPUTED_VALUE"""),"https://drive.google.com/file/d/1vVXgz7As6WxrZEFMxWH1_8oPaVdZ9x29/view?usp=drivesdk")</f>
        <v>https://drive.google.com/file/d/1vVXgz7As6WxrZEFMxWH1_8oPaVdZ9x29/view?usp=drivesdk</v>
      </c>
      <c r="D5318" s="12"/>
      <c r="E5318" s="11">
        <v>5356.0</v>
      </c>
      <c r="F5318" s="2"/>
    </row>
    <row r="5319" ht="1.5" customHeight="1">
      <c r="A5319" s="4" t="str">
        <f>IFERROR(__xludf.DUMMYFUNCTION("""COMPUTED_VALUE"""),"1. Microwave")</f>
        <v>1. Microwave</v>
      </c>
      <c r="B5319" s="4" t="str">
        <f>IFERROR(__xludf.DUMMYFUNCTION("""COMPUTED_VALUE"""),"1")</f>
        <v>1</v>
      </c>
      <c r="C5319" s="5" t="str">
        <f>IFERROR(__xludf.DUMMYFUNCTION("""COMPUTED_VALUE"""),"https://drive.google.com/file/d/1nVZKsDjEDvmmC8azc1PhC6bFvDVIvsAE/view?usp=drivesdk")</f>
        <v>https://drive.google.com/file/d/1nVZKsDjEDvmmC8azc1PhC6bFvDVIvsAE/view?usp=drivesdk</v>
      </c>
      <c r="D5319" s="12"/>
      <c r="E5319" s="11">
        <v>5357.0</v>
      </c>
      <c r="F5319" s="2"/>
    </row>
    <row r="5320" ht="1.5" customHeight="1">
      <c r="A5320" s="4" t="str">
        <f>IFERROR(__xludf.DUMMYFUNCTION("""COMPUTED_VALUE"""),"1. Microwave")</f>
        <v>1. Microwave</v>
      </c>
      <c r="B5320" s="4" t="str">
        <f>IFERROR(__xludf.DUMMYFUNCTION("""COMPUTED_VALUE"""),"1")</f>
        <v>1</v>
      </c>
      <c r="C5320" s="5" t="str">
        <f>IFERROR(__xludf.DUMMYFUNCTION("""COMPUTED_VALUE"""),"https://drive.google.com/file/d/1Dx8Mi12b0pgtq8n6aRh24lMBpxT-pRnj/view?usp=drivesdk")</f>
        <v>https://drive.google.com/file/d/1Dx8Mi12b0pgtq8n6aRh24lMBpxT-pRnj/view?usp=drivesdk</v>
      </c>
      <c r="D5320" s="12"/>
      <c r="E5320" s="11">
        <v>5358.0</v>
      </c>
      <c r="F5320" s="2"/>
    </row>
    <row r="5321" ht="1.5" customHeight="1">
      <c r="A5321" s="4" t="str">
        <f>IFERROR(__xludf.DUMMYFUNCTION("""COMPUTED_VALUE"""),"1. Microwave")</f>
        <v>1. Microwave</v>
      </c>
      <c r="B5321" s="4" t="str">
        <f>IFERROR(__xludf.DUMMYFUNCTION("""COMPUTED_VALUE"""),"1")</f>
        <v>1</v>
      </c>
      <c r="C5321" s="5" t="str">
        <f>IFERROR(__xludf.DUMMYFUNCTION("""COMPUTED_VALUE"""),"https://drive.google.com/file/d/1LywVnwz3l9VBz3XRW0nurufxjTpnGbKt/view?usp=drivesdk")</f>
        <v>https://drive.google.com/file/d/1LywVnwz3l9VBz3XRW0nurufxjTpnGbKt/view?usp=drivesdk</v>
      </c>
      <c r="D5321" s="12"/>
      <c r="E5321" s="11">
        <v>5359.0</v>
      </c>
      <c r="F5321" s="2"/>
    </row>
    <row r="5322" ht="1.5" customHeight="1">
      <c r="A5322" s="4" t="str">
        <f>IFERROR(__xludf.DUMMYFUNCTION("""COMPUTED_VALUE"""),"1. Microwave")</f>
        <v>1. Microwave</v>
      </c>
      <c r="B5322" s="4" t="str">
        <f>IFERROR(__xludf.DUMMYFUNCTION("""COMPUTED_VALUE"""),"1")</f>
        <v>1</v>
      </c>
      <c r="C5322" s="5" t="str">
        <f>IFERROR(__xludf.DUMMYFUNCTION("""COMPUTED_VALUE"""),"https://drive.google.com/file/d/1qyZaU9gDdiekRzcm_-pvcBeGkl4lelA1/view?usp=drivesdk")</f>
        <v>https://drive.google.com/file/d/1qyZaU9gDdiekRzcm_-pvcBeGkl4lelA1/view?usp=drivesdk</v>
      </c>
      <c r="D5322" s="12"/>
      <c r="E5322" s="11">
        <v>5360.0</v>
      </c>
      <c r="F5322" s="2"/>
    </row>
    <row r="5323" ht="1.5" customHeight="1">
      <c r="A5323" s="4" t="str">
        <f>IFERROR(__xludf.DUMMYFUNCTION("""COMPUTED_VALUE"""),"99. Nezhui, 65. Tepi")</f>
        <v>99. Nezhui, 65. Tepi</v>
      </c>
      <c r="B5323" s="4" t="str">
        <f>IFERROR(__xludf.DUMMYFUNCTION("""COMPUTED_VALUE"""),"99, 65")</f>
        <v>99, 65</v>
      </c>
      <c r="C5323" s="5" t="str">
        <f>IFERROR(__xludf.DUMMYFUNCTION("""COMPUTED_VALUE"""),"https://drive.google.com/file/d/13UruzL-6f6pT0PSPBAhPY7XbBOAL8evg/view?usp=drivesdk")</f>
        <v>https://drive.google.com/file/d/13UruzL-6f6pT0PSPBAhPY7XbBOAL8evg/view?usp=drivesdk</v>
      </c>
      <c r="D5323" s="12"/>
      <c r="E5323" s="11">
        <v>5361.0</v>
      </c>
      <c r="F5323" s="2"/>
    </row>
    <row r="5324" ht="1.5" customHeight="1">
      <c r="A5324" s="4" t="str">
        <f>IFERROR(__xludf.DUMMYFUNCTION("""COMPUTED_VALUE"""),"99. Nezhui, 65. Tepi")</f>
        <v>99. Nezhui, 65. Tepi</v>
      </c>
      <c r="B5324" s="4" t="str">
        <f>IFERROR(__xludf.DUMMYFUNCTION("""COMPUTED_VALUE"""),"99, 65")</f>
        <v>99, 65</v>
      </c>
      <c r="C5324" s="5" t="str">
        <f>IFERROR(__xludf.DUMMYFUNCTION("""COMPUTED_VALUE"""),"https://drive.google.com/file/d/1k-kjdVSTRgTFIEOt-zOJ6f-plQkdu7K7/view?usp=drivesdk")</f>
        <v>https://drive.google.com/file/d/1k-kjdVSTRgTFIEOt-zOJ6f-plQkdu7K7/view?usp=drivesdk</v>
      </c>
      <c r="D5324" s="12"/>
      <c r="E5324" s="11">
        <v>5362.0</v>
      </c>
      <c r="F5324" s="2"/>
    </row>
    <row r="5325" ht="1.5" customHeight="1">
      <c r="A5325" s="4" t="str">
        <f>IFERROR(__xludf.DUMMYFUNCTION("""COMPUTED_VALUE"""),"65. Tepi")</f>
        <v>65. Tepi</v>
      </c>
      <c r="B5325" s="4" t="str">
        <f>IFERROR(__xludf.DUMMYFUNCTION("""COMPUTED_VALUE"""),"65")</f>
        <v>65</v>
      </c>
      <c r="C5325" s="5" t="str">
        <f>IFERROR(__xludf.DUMMYFUNCTION("""COMPUTED_VALUE"""),"https://drive.google.com/file/d/1k8bwzFZSPu6vveg3QUIQjs8dCPqUF0iw/view?usp=drivesdk")</f>
        <v>https://drive.google.com/file/d/1k8bwzFZSPu6vveg3QUIQjs8dCPqUF0iw/view?usp=drivesdk</v>
      </c>
      <c r="D5325" s="12"/>
      <c r="E5325" s="11">
        <v>5363.0</v>
      </c>
      <c r="F5325" s="2"/>
    </row>
    <row r="5326" ht="1.5" customHeight="1">
      <c r="A5326" s="4" t="str">
        <f>IFERROR(__xludf.DUMMYFUNCTION("""COMPUTED_VALUE"""),"99. Nezhui")</f>
        <v>99. Nezhui</v>
      </c>
      <c r="B5326" s="4" t="str">
        <f>IFERROR(__xludf.DUMMYFUNCTION("""COMPUTED_VALUE"""),"99")</f>
        <v>99</v>
      </c>
      <c r="C5326" s="5" t="str">
        <f>IFERROR(__xludf.DUMMYFUNCTION("""COMPUTED_VALUE"""),"https://drive.google.com/file/d/1fQV1VNcOhi5DKEW0IYgWxzbDvhh7HURC/view?usp=drivesdk")</f>
        <v>https://drive.google.com/file/d/1fQV1VNcOhi5DKEW0IYgWxzbDvhh7HURC/view?usp=drivesdk</v>
      </c>
      <c r="D5326" s="12"/>
      <c r="E5326" s="11">
        <v>5364.0</v>
      </c>
      <c r="F5326" s="2"/>
    </row>
    <row r="5327" ht="1.5" customHeight="1">
      <c r="A5327" s="4" t="str">
        <f>IFERROR(__xludf.DUMMYFUNCTION("""COMPUTED_VALUE"""),"65. Tepi")</f>
        <v>65. Tepi</v>
      </c>
      <c r="B5327" s="4" t="str">
        <f>IFERROR(__xludf.DUMMYFUNCTION("""COMPUTED_VALUE"""),"65")</f>
        <v>65</v>
      </c>
      <c r="C5327" s="5" t="str">
        <f>IFERROR(__xludf.DUMMYFUNCTION("""COMPUTED_VALUE"""),"https://drive.google.com/file/d/1KkkGifKxIHRpRrUJbJuYgnJFf2IrRd-z/view?usp=drivesdk")</f>
        <v>https://drive.google.com/file/d/1KkkGifKxIHRpRrUJbJuYgnJFf2IrRd-z/view?usp=drivesdk</v>
      </c>
      <c r="D5327" s="12"/>
      <c r="E5327" s="11">
        <v>5365.0</v>
      </c>
      <c r="F5327" s="2"/>
    </row>
    <row r="5328" ht="1.5" customHeight="1">
      <c r="A5328" s="4" t="str">
        <f>IFERROR(__xludf.DUMMYFUNCTION("""COMPUTED_VALUE"""),"99. Nezhui")</f>
        <v>99. Nezhui</v>
      </c>
      <c r="B5328" s="4" t="str">
        <f>IFERROR(__xludf.DUMMYFUNCTION("""COMPUTED_VALUE"""),"99")</f>
        <v>99</v>
      </c>
      <c r="C5328" s="5" t="str">
        <f>IFERROR(__xludf.DUMMYFUNCTION("""COMPUTED_VALUE"""),"https://drive.google.com/file/d/1W9-9sh4-pjWyQ6ix84rfZ5peZkximq6l/view?usp=drivesdk")</f>
        <v>https://drive.google.com/file/d/1W9-9sh4-pjWyQ6ix84rfZ5peZkximq6l/view?usp=drivesdk</v>
      </c>
      <c r="D5328" s="12"/>
      <c r="E5328" s="11">
        <v>5366.0</v>
      </c>
      <c r="F5328" s="2"/>
    </row>
    <row r="5329" ht="1.5" customHeight="1">
      <c r="A5329" s="4" t="str">
        <f>IFERROR(__xludf.DUMMYFUNCTION("""COMPUTED_VALUE"""),"65. Tepi")</f>
        <v>65. Tepi</v>
      </c>
      <c r="B5329" s="4" t="str">
        <f>IFERROR(__xludf.DUMMYFUNCTION("""COMPUTED_VALUE"""),"65")</f>
        <v>65</v>
      </c>
      <c r="C5329" s="5" t="str">
        <f>IFERROR(__xludf.DUMMYFUNCTION("""COMPUTED_VALUE"""),"https://drive.google.com/file/d/1_HtSrLrn_iahle0nOev7NdZEEAbj6zLR/view?usp=drivesdk")</f>
        <v>https://drive.google.com/file/d/1_HtSrLrn_iahle0nOev7NdZEEAbj6zLR/view?usp=drivesdk</v>
      </c>
      <c r="D5329" s="12"/>
      <c r="E5329" s="11">
        <v>5367.0</v>
      </c>
      <c r="F5329" s="2"/>
    </row>
    <row r="5330" ht="1.5" customHeight="1">
      <c r="A5330" s="4" t="str">
        <f>IFERROR(__xludf.DUMMYFUNCTION("""COMPUTED_VALUE"""),"99. Nezhui, 65. Tepi")</f>
        <v>99. Nezhui, 65. Tepi</v>
      </c>
      <c r="B5330" s="4" t="str">
        <f>IFERROR(__xludf.DUMMYFUNCTION("""COMPUTED_VALUE"""),"99, 65")</f>
        <v>99, 65</v>
      </c>
      <c r="C5330" s="5" t="str">
        <f>IFERROR(__xludf.DUMMYFUNCTION("""COMPUTED_VALUE"""),"https://drive.google.com/file/d/1zUTMZ1OUfyBFxUF95lEm5nU20sQe7k_Y/view?usp=drivesdk")</f>
        <v>https://drive.google.com/file/d/1zUTMZ1OUfyBFxUF95lEm5nU20sQe7k_Y/view?usp=drivesdk</v>
      </c>
      <c r="D5330" s="12"/>
      <c r="E5330" s="11">
        <v>5368.0</v>
      </c>
      <c r="F5330" s="2"/>
    </row>
    <row r="5331" ht="1.5" customHeight="1">
      <c r="A5331" s="4" t="str">
        <f>IFERROR(__xludf.DUMMYFUNCTION("""COMPUTED_VALUE"""),"1. Microwave")</f>
        <v>1. Microwave</v>
      </c>
      <c r="B5331" s="4" t="str">
        <f>IFERROR(__xludf.DUMMYFUNCTION("""COMPUTED_VALUE"""),"1")</f>
        <v>1</v>
      </c>
      <c r="C5331" s="5" t="str">
        <f>IFERROR(__xludf.DUMMYFUNCTION("""COMPUTED_VALUE"""),"https://drive.google.com/file/d/1BiF0mhszJW-PlblAlRb942xCt7aPOh2o/view?usp=drivesdk")</f>
        <v>https://drive.google.com/file/d/1BiF0mhszJW-PlblAlRb942xCt7aPOh2o/view?usp=drivesdk</v>
      </c>
      <c r="D5331" s="12"/>
      <c r="E5331" s="11">
        <v>5369.0</v>
      </c>
      <c r="F5331" s="2"/>
    </row>
    <row r="5332" ht="1.5" customHeight="1">
      <c r="A5332" s="4" t="str">
        <f>IFERROR(__xludf.DUMMYFUNCTION("""COMPUTED_VALUE"""),"1. Microwave")</f>
        <v>1. Microwave</v>
      </c>
      <c r="B5332" s="4" t="str">
        <f>IFERROR(__xludf.DUMMYFUNCTION("""COMPUTED_VALUE"""),"1")</f>
        <v>1</v>
      </c>
      <c r="C5332" s="5" t="str">
        <f>IFERROR(__xludf.DUMMYFUNCTION("""COMPUTED_VALUE"""),"https://drive.google.com/file/d/1NuASnHsdiXsOeTqvgdbcVLpoz_-fsU3Y/view?usp=drivesdk")</f>
        <v>https://drive.google.com/file/d/1NuASnHsdiXsOeTqvgdbcVLpoz_-fsU3Y/view?usp=drivesdk</v>
      </c>
      <c r="D5332" s="12"/>
      <c r="E5332" s="11">
        <v>5370.0</v>
      </c>
      <c r="F5332" s="2"/>
    </row>
    <row r="5333" ht="1.5" customHeight="1">
      <c r="A5333" s="4" t="str">
        <f>IFERROR(__xludf.DUMMYFUNCTION("""COMPUTED_VALUE"""),"1. Microwave")</f>
        <v>1. Microwave</v>
      </c>
      <c r="B5333" s="4" t="str">
        <f>IFERROR(__xludf.DUMMYFUNCTION("""COMPUTED_VALUE"""),"1")</f>
        <v>1</v>
      </c>
      <c r="C5333" s="5" t="str">
        <f>IFERROR(__xludf.DUMMYFUNCTION("""COMPUTED_VALUE"""),"https://drive.google.com/file/d/1ttky3fhoZ9iXIxZ6REWVNX1lhdVQJ6zU/view?usp=drivesdk")</f>
        <v>https://drive.google.com/file/d/1ttky3fhoZ9iXIxZ6REWVNX1lhdVQJ6zU/view?usp=drivesdk</v>
      </c>
      <c r="D5333" s="12"/>
      <c r="E5333" s="11">
        <v>5371.0</v>
      </c>
      <c r="F5333" s="2"/>
    </row>
    <row r="5334" ht="1.5" customHeight="1">
      <c r="A5334" s="4" t="str">
        <f>IFERROR(__xludf.DUMMYFUNCTION("""COMPUTED_VALUE"""),"5. Eraser")</f>
        <v>5. Eraser</v>
      </c>
      <c r="B5334" s="4" t="str">
        <f>IFERROR(__xludf.DUMMYFUNCTION("""COMPUTED_VALUE"""),"5")</f>
        <v>5</v>
      </c>
      <c r="C5334" s="5" t="str">
        <f>IFERROR(__xludf.DUMMYFUNCTION("""COMPUTED_VALUE"""),"https://drive.google.com/file/d/1lO9ViOOsROPq_C8e4pQoOVWMP_Z16UwO/view?usp=drivesdk")</f>
        <v>https://drive.google.com/file/d/1lO9ViOOsROPq_C8e4pQoOVWMP_Z16UwO/view?usp=drivesdk</v>
      </c>
      <c r="D5334" s="12"/>
      <c r="E5334" s="11">
        <v>5372.0</v>
      </c>
      <c r="F5334" s="2"/>
    </row>
    <row r="5335" ht="1.5" customHeight="1">
      <c r="A5335" s="4" t="str">
        <f>IFERROR(__xludf.DUMMYFUNCTION("""COMPUTED_VALUE"""),"1. Microwave")</f>
        <v>1. Microwave</v>
      </c>
      <c r="B5335" s="4" t="str">
        <f>IFERROR(__xludf.DUMMYFUNCTION("""COMPUTED_VALUE"""),"1")</f>
        <v>1</v>
      </c>
      <c r="C5335" s="5" t="str">
        <f>IFERROR(__xludf.DUMMYFUNCTION("""COMPUTED_VALUE"""),"https://drive.google.com/file/d/1VygAAw760alZ6Ha3qjbIx7p_y1MmlPgX/view?usp=drivesdk")</f>
        <v>https://drive.google.com/file/d/1VygAAw760alZ6Ha3qjbIx7p_y1MmlPgX/view?usp=drivesdk</v>
      </c>
      <c r="D5335" s="12"/>
      <c r="E5335" s="11">
        <v>5373.0</v>
      </c>
      <c r="F5335" s="2"/>
    </row>
    <row r="5336" ht="1.5" customHeight="1">
      <c r="A5336" s="4" t="str">
        <f>IFERROR(__xludf.DUMMYFUNCTION("""COMPUTED_VALUE"""),"97.  Simba")</f>
        <v>97.  Simba</v>
      </c>
      <c r="B5336" s="4" t="str">
        <f>IFERROR(__xludf.DUMMYFUNCTION("""COMPUTED_VALUE"""),"97")</f>
        <v>97</v>
      </c>
      <c r="C5336" s="5" t="str">
        <f>IFERROR(__xludf.DUMMYFUNCTION("""COMPUTED_VALUE"""),"https://drive.google.com/file/d/1dE_cwDeMQ-1Q4-uIymbXYHU9CsDb46Ci/view?usp=drivesdk")</f>
        <v>https://drive.google.com/file/d/1dE_cwDeMQ-1Q4-uIymbXYHU9CsDb46Ci/view?usp=drivesdk</v>
      </c>
      <c r="D5336" s="12"/>
      <c r="E5336" s="11">
        <v>5374.0</v>
      </c>
      <c r="F5336" s="2"/>
    </row>
    <row r="5337" ht="1.5" customHeight="1">
      <c r="A5337" s="4" t="str">
        <f>IFERROR(__xludf.DUMMYFUNCTION("""COMPUTED_VALUE"""),"80. Atzi")</f>
        <v>80. Atzi</v>
      </c>
      <c r="B5337" s="4" t="str">
        <f>IFERROR(__xludf.DUMMYFUNCTION("""COMPUTED_VALUE"""),"80")</f>
        <v>80</v>
      </c>
      <c r="C5337" s="5" t="str">
        <f>IFERROR(__xludf.DUMMYFUNCTION("""COMPUTED_VALUE"""),"https://drive.google.com/file/d/1qAZzTNftGX132zWqx6rtUChD_Cl8iwVP/view?usp=drivesdk")</f>
        <v>https://drive.google.com/file/d/1qAZzTNftGX132zWqx6rtUChD_Cl8iwVP/view?usp=drivesdk</v>
      </c>
      <c r="D5337" s="12"/>
      <c r="E5337" s="11">
        <v>5375.0</v>
      </c>
      <c r="F5337" s="2"/>
    </row>
    <row r="5338" ht="1.5" customHeight="1">
      <c r="A5338" s="4" t="str">
        <f>IFERROR(__xludf.DUMMYFUNCTION("""COMPUTED_VALUE"""),"80. Atzi")</f>
        <v>80. Atzi</v>
      </c>
      <c r="B5338" s="4" t="str">
        <f>IFERROR(__xludf.DUMMYFUNCTION("""COMPUTED_VALUE"""),"80")</f>
        <v>80</v>
      </c>
      <c r="C5338" s="5" t="str">
        <f>IFERROR(__xludf.DUMMYFUNCTION("""COMPUTED_VALUE"""),"https://drive.google.com/file/d/1LrcA-fNLrW1ZL6ctDYKJkZ2RHSpmc00d/view?usp=drivesdk")</f>
        <v>https://drive.google.com/file/d/1LrcA-fNLrW1ZL6ctDYKJkZ2RHSpmc00d/view?usp=drivesdk</v>
      </c>
      <c r="D5338" s="12"/>
      <c r="E5338" s="11">
        <v>5376.0</v>
      </c>
      <c r="F5338" s="2"/>
    </row>
    <row r="5339" ht="1.5" customHeight="1">
      <c r="A5339" s="4" t="str">
        <f>IFERROR(__xludf.DUMMYFUNCTION("""COMPUTED_VALUE"""),"80. Atzi, 106. Ami")</f>
        <v>80. Atzi, 106. Ami</v>
      </c>
      <c r="B5339" s="4" t="str">
        <f>IFERROR(__xludf.DUMMYFUNCTION("""COMPUTED_VALUE"""),"80, 106")</f>
        <v>80, 106</v>
      </c>
      <c r="C5339" s="5" t="str">
        <f>IFERROR(__xludf.DUMMYFUNCTION("""COMPUTED_VALUE"""),"https://drive.google.com/file/d/1n7MW7jRiiWo9kph-S0xxXcn89oqSTGcQ/view?usp=drivesdk")</f>
        <v>https://drive.google.com/file/d/1n7MW7jRiiWo9kph-S0xxXcn89oqSTGcQ/view?usp=drivesdk</v>
      </c>
      <c r="D5339" s="12"/>
      <c r="E5339" s="11">
        <v>5377.0</v>
      </c>
      <c r="F5339" s="2"/>
    </row>
    <row r="5340" ht="1.5" customHeight="1">
      <c r="A5340" s="4" t="str">
        <f>IFERROR(__xludf.DUMMYFUNCTION("""COMPUTED_VALUE"""),"80. Atzi, 106. Ami")</f>
        <v>80. Atzi, 106. Ami</v>
      </c>
      <c r="B5340" s="4" t="str">
        <f>IFERROR(__xludf.DUMMYFUNCTION("""COMPUTED_VALUE"""),"80, 106")</f>
        <v>80, 106</v>
      </c>
      <c r="C5340" s="5" t="str">
        <f>IFERROR(__xludf.DUMMYFUNCTION("""COMPUTED_VALUE"""),"https://drive.google.com/file/d/1jUPimvh4E3D08aXntHiSQSAg8paVWtve/view?usp=drivesdk")</f>
        <v>https://drive.google.com/file/d/1jUPimvh4E3D08aXntHiSQSAg8paVWtve/view?usp=drivesdk</v>
      </c>
      <c r="D5340" s="12"/>
      <c r="E5340" s="11">
        <v>5378.0</v>
      </c>
      <c r="F5340" s="2"/>
    </row>
    <row r="5341" ht="1.5" customHeight="1">
      <c r="A5341" s="4" t="str">
        <f>IFERROR(__xludf.DUMMYFUNCTION("""COMPUTED_VALUE"""),"107. Miztli")</f>
        <v>107. Miztli</v>
      </c>
      <c r="B5341" s="4" t="str">
        <f>IFERROR(__xludf.DUMMYFUNCTION("""COMPUTED_VALUE"""),"107")</f>
        <v>107</v>
      </c>
      <c r="C5341" s="5" t="str">
        <f>IFERROR(__xludf.DUMMYFUNCTION("""COMPUTED_VALUE"""),"https://drive.google.com/file/d/1hPYHaqjkqNr7vRLWGMyMM4cAGQOcZaVs/view?usp=drivesdk")</f>
        <v>https://drive.google.com/file/d/1hPYHaqjkqNr7vRLWGMyMM4cAGQOcZaVs/view?usp=drivesdk</v>
      </c>
      <c r="D5341" s="12"/>
      <c r="E5341" s="11">
        <v>5379.0</v>
      </c>
      <c r="F5341" s="2"/>
    </row>
    <row r="5342" ht="1.5" customHeight="1">
      <c r="A5342" s="4" t="str">
        <f>IFERROR(__xludf.DUMMYFUNCTION("""COMPUTED_VALUE"""),"106. Ami")</f>
        <v>106. Ami</v>
      </c>
      <c r="B5342" s="4" t="str">
        <f>IFERROR(__xludf.DUMMYFUNCTION("""COMPUTED_VALUE"""),"106")</f>
        <v>106</v>
      </c>
      <c r="C5342" s="5" t="str">
        <f>IFERROR(__xludf.DUMMYFUNCTION("""COMPUTED_VALUE"""),"https://drive.google.com/file/d/1TP2P8tDk0wrY8o8D2eRhO8CgNqxxqhNz/view?usp=drivesdk")</f>
        <v>https://drive.google.com/file/d/1TP2P8tDk0wrY8o8D2eRhO8CgNqxxqhNz/view?usp=drivesdk</v>
      </c>
      <c r="D5342" s="12"/>
      <c r="E5342" s="11">
        <v>5380.0</v>
      </c>
      <c r="F5342" s="2"/>
    </row>
    <row r="5343" ht="1.5" customHeight="1">
      <c r="A5343" s="4" t="str">
        <f>IFERROR(__xludf.DUMMYFUNCTION("""COMPUTED_VALUE"""),"106. Ami")</f>
        <v>106. Ami</v>
      </c>
      <c r="B5343" s="4" t="str">
        <f>IFERROR(__xludf.DUMMYFUNCTION("""COMPUTED_VALUE"""),"106")</f>
        <v>106</v>
      </c>
      <c r="C5343" s="5" t="str">
        <f>IFERROR(__xludf.DUMMYFUNCTION("""COMPUTED_VALUE"""),"https://drive.google.com/file/d/1AwRRd-fgf8mJnoPiMMDG7n89hjLr7513/view?usp=drivesdk")</f>
        <v>https://drive.google.com/file/d/1AwRRd-fgf8mJnoPiMMDG7n89hjLr7513/view?usp=drivesdk</v>
      </c>
      <c r="D5343" s="12"/>
      <c r="E5343" s="11">
        <v>5381.0</v>
      </c>
      <c r="F5343" s="2"/>
    </row>
    <row r="5344" ht="1.5" customHeight="1">
      <c r="A5344" s="4" t="str">
        <f>IFERROR(__xludf.DUMMYFUNCTION("""COMPUTED_VALUE"""),"99. Nezhui")</f>
        <v>99. Nezhui</v>
      </c>
      <c r="B5344" s="4" t="str">
        <f>IFERROR(__xludf.DUMMYFUNCTION("""COMPUTED_VALUE"""),"99")</f>
        <v>99</v>
      </c>
      <c r="C5344" s="5" t="str">
        <f>IFERROR(__xludf.DUMMYFUNCTION("""COMPUTED_VALUE"""),"https://drive.google.com/file/d/1xtp6xhuxb7e5KSWg0Q-aJWrQR9IxxM_C/view?usp=drivesdk")</f>
        <v>https://drive.google.com/file/d/1xtp6xhuxb7e5KSWg0Q-aJWrQR9IxxM_C/view?usp=drivesdk</v>
      </c>
      <c r="D5344" s="12"/>
      <c r="E5344" s="11">
        <v>5382.0</v>
      </c>
      <c r="F5344" s="2"/>
    </row>
    <row r="5345" ht="1.5" customHeight="1">
      <c r="A5345" s="4" t="str">
        <f>IFERROR(__xludf.DUMMYFUNCTION("""COMPUTED_VALUE"""),"99. Nezhui")</f>
        <v>99. Nezhui</v>
      </c>
      <c r="B5345" s="4" t="str">
        <f>IFERROR(__xludf.DUMMYFUNCTION("""COMPUTED_VALUE"""),"99")</f>
        <v>99</v>
      </c>
      <c r="C5345" s="5" t="str">
        <f>IFERROR(__xludf.DUMMYFUNCTION("""COMPUTED_VALUE"""),"https://drive.google.com/file/d/1WGwu086ReAVEk38t_gs0OOHQ1E4dQ-Kl/view?usp=drivesdk")</f>
        <v>https://drive.google.com/file/d/1WGwu086ReAVEk38t_gs0OOHQ1E4dQ-Kl/view?usp=drivesdk</v>
      </c>
      <c r="D5345" s="12"/>
      <c r="E5345" s="11">
        <v>5383.0</v>
      </c>
      <c r="F5345" s="2"/>
    </row>
    <row r="5346" ht="1.5" customHeight="1">
      <c r="A5346" s="4" t="str">
        <f>IFERROR(__xludf.DUMMYFUNCTION("""COMPUTED_VALUE"""),"99. Nezhui")</f>
        <v>99. Nezhui</v>
      </c>
      <c r="B5346" s="4" t="str">
        <f>IFERROR(__xludf.DUMMYFUNCTION("""COMPUTED_VALUE"""),"99")</f>
        <v>99</v>
      </c>
      <c r="C5346" s="5" t="str">
        <f>IFERROR(__xludf.DUMMYFUNCTION("""COMPUTED_VALUE"""),"https://drive.google.com/file/d/1_t_EVCpVACybPETQcA0mafgQuVfgabwG/view?usp=drivesdk")</f>
        <v>https://drive.google.com/file/d/1_t_EVCpVACybPETQcA0mafgQuVfgabwG/view?usp=drivesdk</v>
      </c>
      <c r="D5346" s="12"/>
      <c r="E5346" s="11">
        <v>5384.0</v>
      </c>
      <c r="F5346" s="2"/>
    </row>
    <row r="5347" ht="1.5" customHeight="1">
      <c r="A5347" s="4" t="str">
        <f>IFERROR(__xludf.DUMMYFUNCTION("""COMPUTED_VALUE"""),"99. Nezhui")</f>
        <v>99. Nezhui</v>
      </c>
      <c r="B5347" s="4" t="str">
        <f>IFERROR(__xludf.DUMMYFUNCTION("""COMPUTED_VALUE"""),"99")</f>
        <v>99</v>
      </c>
      <c r="C5347" s="5" t="str">
        <f>IFERROR(__xludf.DUMMYFUNCTION("""COMPUTED_VALUE"""),"https://drive.google.com/file/d/10kPf8cA5sS5jQSo0LFbL8Q28nAEihhOr/view?usp=drivesdk")</f>
        <v>https://drive.google.com/file/d/10kPf8cA5sS5jQSo0LFbL8Q28nAEihhOr/view?usp=drivesdk</v>
      </c>
      <c r="D5347" s="12"/>
      <c r="E5347" s="11">
        <v>5385.0</v>
      </c>
      <c r="F5347" s="2"/>
    </row>
    <row r="5348" ht="1.5" customHeight="1">
      <c r="A5348" s="4" t="str">
        <f>IFERROR(__xludf.DUMMYFUNCTION("""COMPUTED_VALUE"""),"65. Tepi")</f>
        <v>65. Tepi</v>
      </c>
      <c r="B5348" s="4" t="str">
        <f>IFERROR(__xludf.DUMMYFUNCTION("""COMPUTED_VALUE"""),"65")</f>
        <v>65</v>
      </c>
      <c r="C5348" s="5" t="str">
        <f>IFERROR(__xludf.DUMMYFUNCTION("""COMPUTED_VALUE"""),"https://drive.google.com/file/d/1KWHYVxkWPaJtCX6WkUCc5sEDR6sIDHAp/view?usp=drivesdk")</f>
        <v>https://drive.google.com/file/d/1KWHYVxkWPaJtCX6WkUCc5sEDR6sIDHAp/view?usp=drivesdk</v>
      </c>
      <c r="D5348" s="12"/>
      <c r="E5348" s="11">
        <v>5386.0</v>
      </c>
      <c r="F5348" s="2"/>
    </row>
    <row r="5349" ht="1.5" customHeight="1">
      <c r="A5349" s="4" t="str">
        <f>IFERROR(__xludf.DUMMYFUNCTION("""COMPUTED_VALUE"""),"99. Nezhui")</f>
        <v>99. Nezhui</v>
      </c>
      <c r="B5349" s="4" t="str">
        <f>IFERROR(__xludf.DUMMYFUNCTION("""COMPUTED_VALUE"""),"99")</f>
        <v>99</v>
      </c>
      <c r="C5349" s="5" t="str">
        <f>IFERROR(__xludf.DUMMYFUNCTION("""COMPUTED_VALUE"""),"https://drive.google.com/file/d/1d5dWQqwaB4DA24fsk2Sh78UvBsry6j1v/view?usp=drivesdk")</f>
        <v>https://drive.google.com/file/d/1d5dWQqwaB4DA24fsk2Sh78UvBsry6j1v/view?usp=drivesdk</v>
      </c>
      <c r="D5349" s="12"/>
      <c r="E5349" s="11">
        <v>5387.0</v>
      </c>
      <c r="F5349" s="2"/>
    </row>
    <row r="5350" ht="1.5" customHeight="1">
      <c r="A5350" s="4" t="str">
        <f>IFERROR(__xludf.DUMMYFUNCTION("""COMPUTED_VALUE"""),"105. Chilton")</f>
        <v>105. Chilton</v>
      </c>
      <c r="B5350" s="4" t="str">
        <f>IFERROR(__xludf.DUMMYFUNCTION("""COMPUTED_VALUE"""),"105")</f>
        <v>105</v>
      </c>
      <c r="C5350" s="5" t="str">
        <f>IFERROR(__xludf.DUMMYFUNCTION("""COMPUTED_VALUE"""),"https://drive.google.com/file/d/14HOeDUlUXlNkOh8fNGDyrE9Ye0IGAF9m/view?usp=drivesdk")</f>
        <v>https://drive.google.com/file/d/14HOeDUlUXlNkOh8fNGDyrE9Ye0IGAF9m/view?usp=drivesdk</v>
      </c>
      <c r="D5350" s="12"/>
      <c r="E5350" s="11">
        <v>5388.0</v>
      </c>
      <c r="F5350" s="2"/>
    </row>
    <row r="5351" ht="1.5" customHeight="1">
      <c r="A5351" s="4" t="str">
        <f>IFERROR(__xludf.DUMMYFUNCTION("""COMPUTED_VALUE"""),"100. Coatl, 105. Chilton")</f>
        <v>100. Coatl, 105. Chilton</v>
      </c>
      <c r="B5351" s="4" t="str">
        <f>IFERROR(__xludf.DUMMYFUNCTION("""COMPUTED_VALUE"""),"100, 105")</f>
        <v>100, 105</v>
      </c>
      <c r="C5351" s="5" t="str">
        <f>IFERROR(__xludf.DUMMYFUNCTION("""COMPUTED_VALUE"""),"https://drive.google.com/file/d/1vSeuvlra4tL6eHXc2YwKM7bd20zTzErC/view?usp=drivesdk")</f>
        <v>https://drive.google.com/file/d/1vSeuvlra4tL6eHXc2YwKM7bd20zTzErC/view?usp=drivesdk</v>
      </c>
      <c r="D5351" s="12"/>
      <c r="E5351" s="11">
        <v>5389.0</v>
      </c>
      <c r="F5351" s="2"/>
    </row>
    <row r="5352" ht="1.5" customHeight="1">
      <c r="A5352" s="4" t="str">
        <f>IFERROR(__xludf.DUMMYFUNCTION("""COMPUTED_VALUE"""),"94. Itztli")</f>
        <v>94. Itztli</v>
      </c>
      <c r="B5352" s="4" t="str">
        <f>IFERROR(__xludf.DUMMYFUNCTION("""COMPUTED_VALUE"""),"94")</f>
        <v>94</v>
      </c>
      <c r="C5352" s="5" t="str">
        <f>IFERROR(__xludf.DUMMYFUNCTION("""COMPUTED_VALUE"""),"https://drive.google.com/file/d/1LjuY8LrC8UotifGR4aZopOvzW-rsmD5b/view?usp=drivesdk")</f>
        <v>https://drive.google.com/file/d/1LjuY8LrC8UotifGR4aZopOvzW-rsmD5b/view?usp=drivesdk</v>
      </c>
      <c r="D5352" s="12"/>
      <c r="E5352" s="11">
        <v>5390.0</v>
      </c>
      <c r="F5352" s="2"/>
    </row>
    <row r="5353" ht="1.5" customHeight="1">
      <c r="A5353" s="4" t="str">
        <f>IFERROR(__xludf.DUMMYFUNCTION("""COMPUTED_VALUE"""),"94. Itztli")</f>
        <v>94. Itztli</v>
      </c>
      <c r="B5353" s="4" t="str">
        <f>IFERROR(__xludf.DUMMYFUNCTION("""COMPUTED_VALUE"""),"94")</f>
        <v>94</v>
      </c>
      <c r="C5353" s="5" t="str">
        <f>IFERROR(__xludf.DUMMYFUNCTION("""COMPUTED_VALUE"""),"https://drive.google.com/file/d/1cJjz0pv0mWwq-yxiONfj1_DcGNX_htVM/view?usp=drivesdk")</f>
        <v>https://drive.google.com/file/d/1cJjz0pv0mWwq-yxiONfj1_DcGNX_htVM/view?usp=drivesdk</v>
      </c>
      <c r="D5353" s="12"/>
      <c r="E5353" s="11">
        <v>5391.0</v>
      </c>
      <c r="F5353" s="2"/>
    </row>
    <row r="5354" ht="1.5" customHeight="1">
      <c r="A5354" s="4" t="str">
        <f>IFERROR(__xludf.DUMMYFUNCTION("""COMPUTED_VALUE"""),"108. Mazatl, 109. Tlalli")</f>
        <v>108. Mazatl, 109. Tlalli</v>
      </c>
      <c r="B5354" s="4" t="str">
        <f>IFERROR(__xludf.DUMMYFUNCTION("""COMPUTED_VALUE"""),"108, 109")</f>
        <v>108, 109</v>
      </c>
      <c r="C5354" s="5" t="str">
        <f>IFERROR(__xludf.DUMMYFUNCTION("""COMPUTED_VALUE"""),"https://drive.google.com/file/d/1WPfMQODHgiJUB1ctIVh-0vljNclZaJck/view?usp=drivesdk")</f>
        <v>https://drive.google.com/file/d/1WPfMQODHgiJUB1ctIVh-0vljNclZaJck/view?usp=drivesdk</v>
      </c>
      <c r="D5354" s="12"/>
      <c r="E5354" s="11">
        <v>5392.0</v>
      </c>
      <c r="F5354" s="2"/>
    </row>
    <row r="5355" ht="1.5" customHeight="1">
      <c r="A5355" s="4" t="str">
        <f>IFERROR(__xludf.DUMMYFUNCTION("""COMPUTED_VALUE"""),"1. Microwave")</f>
        <v>1. Microwave</v>
      </c>
      <c r="B5355" s="4" t="str">
        <f>IFERROR(__xludf.DUMMYFUNCTION("""COMPUTED_VALUE"""),"1")</f>
        <v>1</v>
      </c>
      <c r="C5355" s="5" t="str">
        <f>IFERROR(__xludf.DUMMYFUNCTION("""COMPUTED_VALUE"""),"https://drive.google.com/file/d/1LO8BVKIWz-WuZvDFWz0RXfomZYQtQUJo/view?usp=drivesdk")</f>
        <v>https://drive.google.com/file/d/1LO8BVKIWz-WuZvDFWz0RXfomZYQtQUJo/view?usp=drivesdk</v>
      </c>
      <c r="D5355" s="12"/>
      <c r="E5355" s="11">
        <v>5393.0</v>
      </c>
      <c r="F5355" s="2"/>
    </row>
    <row r="5356" ht="1.5" customHeight="1">
      <c r="A5356" s="4" t="str">
        <f>IFERROR(__xludf.DUMMYFUNCTION("""COMPUTED_VALUE"""),"1. Microwave")</f>
        <v>1. Microwave</v>
      </c>
      <c r="B5356" s="4" t="str">
        <f>IFERROR(__xludf.DUMMYFUNCTION("""COMPUTED_VALUE"""),"1")</f>
        <v>1</v>
      </c>
      <c r="C5356" s="5" t="str">
        <f>IFERROR(__xludf.DUMMYFUNCTION("""COMPUTED_VALUE"""),"https://drive.google.com/file/d/11oNQeFpTJcDwMaqWZRDf5_NmYqfD-VQj/view?usp=drivesdk")</f>
        <v>https://drive.google.com/file/d/11oNQeFpTJcDwMaqWZRDf5_NmYqfD-VQj/view?usp=drivesdk</v>
      </c>
      <c r="D5356" s="12"/>
      <c r="E5356" s="11">
        <v>5394.0</v>
      </c>
      <c r="F5356" s="2"/>
    </row>
    <row r="5357" ht="1.5" customHeight="1">
      <c r="A5357" s="4" t="str">
        <f>IFERROR(__xludf.DUMMYFUNCTION("""COMPUTED_VALUE"""),"4. Eggs, 5. Eraser")</f>
        <v>4. Eggs, 5. Eraser</v>
      </c>
      <c r="B5357" s="4" t="str">
        <f>IFERROR(__xludf.DUMMYFUNCTION("""COMPUTED_VALUE"""),"4, 5")</f>
        <v>4, 5</v>
      </c>
      <c r="C5357" s="5" t="str">
        <f>IFERROR(__xludf.DUMMYFUNCTION("""COMPUTED_VALUE"""),"https://drive.google.com/file/d/1hCJ2kPjJNGjPqGi9Ij0Rxwa6rgw9LtjW/view?usp=drivesdk")</f>
        <v>https://drive.google.com/file/d/1hCJ2kPjJNGjPqGi9Ij0Rxwa6rgw9LtjW/view?usp=drivesdk</v>
      </c>
      <c r="D5357" s="12"/>
      <c r="E5357" s="11">
        <v>5395.0</v>
      </c>
      <c r="F5357" s="2"/>
    </row>
    <row r="5358" ht="1.5" customHeight="1">
      <c r="A5358" s="4" t="str">
        <f>IFERROR(__xludf.DUMMYFUNCTION("""COMPUTED_VALUE"""),"4. Eggs, 5. Eraser")</f>
        <v>4. Eggs, 5. Eraser</v>
      </c>
      <c r="B5358" s="4" t="str">
        <f>IFERROR(__xludf.DUMMYFUNCTION("""COMPUTED_VALUE"""),"4, 5")</f>
        <v>4, 5</v>
      </c>
      <c r="C5358" s="5" t="str">
        <f>IFERROR(__xludf.DUMMYFUNCTION("""COMPUTED_VALUE"""),"https://drive.google.com/file/d/1GqOlotoxo1i9-PNpDsr5xHYoeIxH2XYw/view?usp=drivesdk")</f>
        <v>https://drive.google.com/file/d/1GqOlotoxo1i9-PNpDsr5xHYoeIxH2XYw/view?usp=drivesdk</v>
      </c>
      <c r="D5358" s="12"/>
      <c r="E5358" s="11">
        <v>5396.0</v>
      </c>
      <c r="F5358" s="2"/>
    </row>
    <row r="5359" ht="1.5" customHeight="1">
      <c r="A5359" s="4" t="str">
        <f>IFERROR(__xludf.DUMMYFUNCTION("""COMPUTED_VALUE"""),"1. Microwave")</f>
        <v>1. Microwave</v>
      </c>
      <c r="B5359" s="4" t="str">
        <f>IFERROR(__xludf.DUMMYFUNCTION("""COMPUTED_VALUE"""),"1")</f>
        <v>1</v>
      </c>
      <c r="C5359" s="5" t="str">
        <f>IFERROR(__xludf.DUMMYFUNCTION("""COMPUTED_VALUE"""),"https://drive.google.com/file/d/1lKAXn_fEHVCSWHUJV7QtR3-DrcG_VbcK/view?usp=drivesdk")</f>
        <v>https://drive.google.com/file/d/1lKAXn_fEHVCSWHUJV7QtR3-DrcG_VbcK/view?usp=drivesdk</v>
      </c>
      <c r="D5359" s="12"/>
      <c r="E5359" s="11">
        <v>5397.0</v>
      </c>
      <c r="F5359" s="2"/>
    </row>
    <row r="5360" ht="1.5" customHeight="1">
      <c r="A5360" s="4" t="str">
        <f>IFERROR(__xludf.DUMMYFUNCTION("""COMPUTED_VALUE"""),"108. Mazatl, 109. Tlalli, 106. Ami, 110. Ahua, 111. Mayatl")</f>
        <v>108. Mazatl, 109. Tlalli, 106. Ami, 110. Ahua, 111. Mayatl</v>
      </c>
      <c r="B5360" s="4" t="str">
        <f>IFERROR(__xludf.DUMMYFUNCTION("""COMPUTED_VALUE"""),"108, 109, 106, 110, 111")</f>
        <v>108, 109, 106, 110, 111</v>
      </c>
      <c r="C5360" s="5" t="str">
        <f>IFERROR(__xludf.DUMMYFUNCTION("""COMPUTED_VALUE"""),"https://drive.google.com/file/d/1-e6P5PVmfJX4Ie0sDz1cht_7YBpPXgPL/view?usp=drivesdk")</f>
        <v>https://drive.google.com/file/d/1-e6P5PVmfJX4Ie0sDz1cht_7YBpPXgPL/view?usp=drivesdk</v>
      </c>
      <c r="D5360" s="12"/>
      <c r="E5360" s="11">
        <v>5398.0</v>
      </c>
      <c r="F5360" s="2"/>
    </row>
    <row r="5361" ht="1.5" customHeight="1">
      <c r="A5361" s="4" t="str">
        <f>IFERROR(__xludf.DUMMYFUNCTION("""COMPUTED_VALUE"""),"108. Mazatl, 109. Tlalli, 106. Ami, 110. Ahua, 111. Mayatl")</f>
        <v>108. Mazatl, 109. Tlalli, 106. Ami, 110. Ahua, 111. Mayatl</v>
      </c>
      <c r="B5361" s="4" t="str">
        <f>IFERROR(__xludf.DUMMYFUNCTION("""COMPUTED_VALUE"""),"108, 109, 106, 110, 111")</f>
        <v>108, 109, 106, 110, 111</v>
      </c>
      <c r="C5361" s="5" t="str">
        <f>IFERROR(__xludf.DUMMYFUNCTION("""COMPUTED_VALUE"""),"https://drive.google.com/file/d/1fuwOk8kKUZbDLq60a0kcyCYXIfSrYDo5/view?usp=drivesdk")</f>
        <v>https://drive.google.com/file/d/1fuwOk8kKUZbDLq60a0kcyCYXIfSrYDo5/view?usp=drivesdk</v>
      </c>
      <c r="D5361" s="12"/>
      <c r="E5361" s="11">
        <v>5399.0</v>
      </c>
      <c r="F5361" s="2"/>
    </row>
    <row r="5362" ht="1.5" customHeight="1">
      <c r="A5362" s="4" t="str">
        <f>IFERROR(__xludf.DUMMYFUNCTION("""COMPUTED_VALUE"""),"108. Mazatl, 109. Tlalli, 106. Ami, 111. Mayatl")</f>
        <v>108. Mazatl, 109. Tlalli, 106. Ami, 111. Mayatl</v>
      </c>
      <c r="B5362" s="4" t="str">
        <f>IFERROR(__xludf.DUMMYFUNCTION("""COMPUTED_VALUE"""),"108, 109, 106, 111")</f>
        <v>108, 109, 106, 111</v>
      </c>
      <c r="C5362" s="5" t="str">
        <f>IFERROR(__xludf.DUMMYFUNCTION("""COMPUTED_VALUE"""),"https://drive.google.com/file/d/1YkWf35B27OdqWj9oTsWgSYXUFbyS6Fte/view?usp=drivesdk")</f>
        <v>https://drive.google.com/file/d/1YkWf35B27OdqWj9oTsWgSYXUFbyS6Fte/view?usp=drivesdk</v>
      </c>
      <c r="D5362" s="12"/>
      <c r="E5362" s="11">
        <v>5400.0</v>
      </c>
      <c r="F5362" s="2"/>
    </row>
    <row r="5363" ht="1.5" customHeight="1">
      <c r="A5363" s="4" t="str">
        <f>IFERROR(__xludf.DUMMYFUNCTION("""COMPUTED_VALUE"""),"110. Ahua")</f>
        <v>110. Ahua</v>
      </c>
      <c r="B5363" s="4" t="str">
        <f>IFERROR(__xludf.DUMMYFUNCTION("""COMPUTED_VALUE"""),"110")</f>
        <v>110</v>
      </c>
      <c r="C5363" s="5" t="str">
        <f>IFERROR(__xludf.DUMMYFUNCTION("""COMPUTED_VALUE"""),"https://drive.google.com/file/d/1P0-9KyhcRyZJzsPqFbU1O98j1sSxeL0B/view?usp=drivesdk")</f>
        <v>https://drive.google.com/file/d/1P0-9KyhcRyZJzsPqFbU1O98j1sSxeL0B/view?usp=drivesdk</v>
      </c>
      <c r="D5363" s="12"/>
      <c r="E5363" s="11">
        <v>5401.0</v>
      </c>
      <c r="F5363" s="2"/>
    </row>
    <row r="5364" ht="1.5" customHeight="1">
      <c r="A5364" s="4" t="str">
        <f>IFERROR(__xludf.DUMMYFUNCTION("""COMPUTED_VALUE"""),"108. Mazatl, 109. Tlalli, 106. Ami, 111. Mayatl")</f>
        <v>108. Mazatl, 109. Tlalli, 106. Ami, 111. Mayatl</v>
      </c>
      <c r="B5364" s="4" t="str">
        <f>IFERROR(__xludf.DUMMYFUNCTION("""COMPUTED_VALUE"""),"108, 109, 106, 111")</f>
        <v>108, 109, 106, 111</v>
      </c>
      <c r="C5364" s="5" t="str">
        <f>IFERROR(__xludf.DUMMYFUNCTION("""COMPUTED_VALUE"""),"https://drive.google.com/file/d/16FRa0zLuvrPO4bR47wrmcTQNjB4HQa0U/view?usp=drivesdk")</f>
        <v>https://drive.google.com/file/d/16FRa0zLuvrPO4bR47wrmcTQNjB4HQa0U/view?usp=drivesdk</v>
      </c>
      <c r="D5364" s="12"/>
      <c r="E5364" s="11">
        <v>5402.0</v>
      </c>
      <c r="F5364" s="2"/>
    </row>
    <row r="5365" ht="1.5" customHeight="1">
      <c r="A5365" s="4" t="str">
        <f>IFERROR(__xludf.DUMMYFUNCTION("""COMPUTED_VALUE"""),"108. Mazatl, 109. Tlalli, 106. Ami, 111. Mayatl")</f>
        <v>108. Mazatl, 109. Tlalli, 106. Ami, 111. Mayatl</v>
      </c>
      <c r="B5365" s="4" t="str">
        <f>IFERROR(__xludf.DUMMYFUNCTION("""COMPUTED_VALUE"""),"108, 109, 106, 111")</f>
        <v>108, 109, 106, 111</v>
      </c>
      <c r="C5365" s="5" t="str">
        <f>IFERROR(__xludf.DUMMYFUNCTION("""COMPUTED_VALUE"""),"https://drive.google.com/file/d/1CUnvNk-EvoXZPw6gglWocR0DVbNbAiyM/view?usp=drivesdk")</f>
        <v>https://drive.google.com/file/d/1CUnvNk-EvoXZPw6gglWocR0DVbNbAiyM/view?usp=drivesdk</v>
      </c>
      <c r="D5365" s="12"/>
      <c r="E5365" s="11">
        <v>5403.0</v>
      </c>
      <c r="F5365" s="2"/>
    </row>
    <row r="5366" ht="1.5" customHeight="1">
      <c r="A5366" s="4" t="str">
        <f>IFERROR(__xludf.DUMMYFUNCTION("""COMPUTED_VALUE"""),"100. Coatl, 99. Nezhui")</f>
        <v>100. Coatl, 99. Nezhui</v>
      </c>
      <c r="B5366" s="4" t="str">
        <f>IFERROR(__xludf.DUMMYFUNCTION("""COMPUTED_VALUE"""),"100, 99")</f>
        <v>100, 99</v>
      </c>
      <c r="C5366" s="5" t="str">
        <f>IFERROR(__xludf.DUMMYFUNCTION("""COMPUTED_VALUE"""),"https://drive.google.com/file/d/1RXiT4iJPsNWVt57mNzBd3sPa5d6juS3O/view?usp=drivesdk")</f>
        <v>https://drive.google.com/file/d/1RXiT4iJPsNWVt57mNzBd3sPa5d6juS3O/view?usp=drivesdk</v>
      </c>
      <c r="D5366" s="12"/>
      <c r="E5366" s="11">
        <v>5404.0</v>
      </c>
      <c r="F5366" s="2"/>
    </row>
    <row r="5367" ht="1.5" customHeight="1">
      <c r="A5367" s="4" t="str">
        <f>IFERROR(__xludf.DUMMYFUNCTION("""COMPUTED_VALUE"""),"100. Coatl, 99. Nezhui")</f>
        <v>100. Coatl, 99. Nezhui</v>
      </c>
      <c r="B5367" s="4" t="str">
        <f>IFERROR(__xludf.DUMMYFUNCTION("""COMPUTED_VALUE"""),"100, 99")</f>
        <v>100, 99</v>
      </c>
      <c r="C5367" s="5" t="str">
        <f>IFERROR(__xludf.DUMMYFUNCTION("""COMPUTED_VALUE"""),"https://drive.google.com/file/d/12hVMlg4rpWi6zKaT3IGwPmoFQg4Xlx1r/view?usp=drivesdk")</f>
        <v>https://drive.google.com/file/d/12hVMlg4rpWi6zKaT3IGwPmoFQg4Xlx1r/view?usp=drivesdk</v>
      </c>
      <c r="D5367" s="12"/>
      <c r="E5367" s="11">
        <v>5405.0</v>
      </c>
      <c r="F5367" s="2"/>
    </row>
    <row r="5368" ht="1.5" customHeight="1">
      <c r="A5368" s="4" t="str">
        <f>IFERROR(__xludf.DUMMYFUNCTION("""COMPUTED_VALUE"""),"100. Coatl")</f>
        <v>100. Coatl</v>
      </c>
      <c r="B5368" s="4" t="str">
        <f>IFERROR(__xludf.DUMMYFUNCTION("""COMPUTED_VALUE"""),"100")</f>
        <v>100</v>
      </c>
      <c r="C5368" s="5" t="str">
        <f>IFERROR(__xludf.DUMMYFUNCTION("""COMPUTED_VALUE"""),"https://drive.google.com/file/d/1oAN_eYQFbgdPb9g1wzpdX8vWubmocSoc/view?usp=drivesdk")</f>
        <v>https://drive.google.com/file/d/1oAN_eYQFbgdPb9g1wzpdX8vWubmocSoc/view?usp=drivesdk</v>
      </c>
      <c r="D5368" s="12"/>
      <c r="E5368" s="11">
        <v>5406.0</v>
      </c>
      <c r="F5368" s="2"/>
    </row>
    <row r="5369" ht="1.5" customHeight="1">
      <c r="A5369" s="4" t="str">
        <f>IFERROR(__xludf.DUMMYFUNCTION("""COMPUTED_VALUE"""),"100. Coatl")</f>
        <v>100. Coatl</v>
      </c>
      <c r="B5369" s="4" t="str">
        <f>IFERROR(__xludf.DUMMYFUNCTION("""COMPUTED_VALUE"""),"100")</f>
        <v>100</v>
      </c>
      <c r="C5369" s="5" t="str">
        <f>IFERROR(__xludf.DUMMYFUNCTION("""COMPUTED_VALUE"""),"https://drive.google.com/file/d/18Q1Ok5_fvRTkUikp4S1p544B_B0VGvgj/view?usp=drivesdk")</f>
        <v>https://drive.google.com/file/d/18Q1Ok5_fvRTkUikp4S1p544B_B0VGvgj/view?usp=drivesdk</v>
      </c>
      <c r="D5369" s="12"/>
      <c r="E5369" s="11">
        <v>5407.0</v>
      </c>
      <c r="F5369" s="2"/>
    </row>
    <row r="5370" ht="1.5" customHeight="1">
      <c r="A5370" s="4" t="str">
        <f>IFERROR(__xludf.DUMMYFUNCTION("""COMPUTED_VALUE"""),"92. Cloudy")</f>
        <v>92. Cloudy</v>
      </c>
      <c r="B5370" s="4" t="str">
        <f>IFERROR(__xludf.DUMMYFUNCTION("""COMPUTED_VALUE"""),"92")</f>
        <v>92</v>
      </c>
      <c r="C5370" s="5" t="str">
        <f>IFERROR(__xludf.DUMMYFUNCTION("""COMPUTED_VALUE"""),"https://drive.google.com/file/d/1kmY-3oCF_4RJ0j0Z53nvW7XG1ZsKmSUa/view?usp=drivesdk")</f>
        <v>https://drive.google.com/file/d/1kmY-3oCF_4RJ0j0Z53nvW7XG1ZsKmSUa/view?usp=drivesdk</v>
      </c>
      <c r="D5370" s="12"/>
      <c r="E5370" s="11">
        <v>5408.0</v>
      </c>
      <c r="F5370" s="2"/>
    </row>
    <row r="5371" ht="1.5" customHeight="1">
      <c r="A5371" s="4" t="str">
        <f>IFERROR(__xludf.DUMMYFUNCTION("""COMPUTED_VALUE"""),"93. Meatball")</f>
        <v>93. Meatball</v>
      </c>
      <c r="B5371" s="4" t="str">
        <f>IFERROR(__xludf.DUMMYFUNCTION("""COMPUTED_VALUE"""),"93")</f>
        <v>93</v>
      </c>
      <c r="C5371" s="5" t="str">
        <f>IFERROR(__xludf.DUMMYFUNCTION("""COMPUTED_VALUE"""),"https://drive.google.com/file/d/1Xd94iEngiJIzv4n9dtjxRd0L2TCA9-WJ/view?usp=drivesdk")</f>
        <v>https://drive.google.com/file/d/1Xd94iEngiJIzv4n9dtjxRd0L2TCA9-WJ/view?usp=drivesdk</v>
      </c>
      <c r="D5371" s="12"/>
      <c r="E5371" s="11">
        <v>5409.0</v>
      </c>
      <c r="F5371" s="2"/>
    </row>
    <row r="5372" ht="1.5" customHeight="1">
      <c r="A5372" s="4" t="str">
        <f>IFERROR(__xludf.DUMMYFUNCTION("""COMPUTED_VALUE"""),"76. Eezard")</f>
        <v>76. Eezard</v>
      </c>
      <c r="B5372" s="4" t="str">
        <f>IFERROR(__xludf.DUMMYFUNCTION("""COMPUTED_VALUE"""),"76")</f>
        <v>76</v>
      </c>
      <c r="C5372" s="5" t="str">
        <f>IFERROR(__xludf.DUMMYFUNCTION("""COMPUTED_VALUE"""),"https://drive.google.com/file/d/1hN1nfpZN_nPag8k8LhG1BIY5yOlopCA2/view?usp=drivesdk")</f>
        <v>https://drive.google.com/file/d/1hN1nfpZN_nPag8k8LhG1BIY5yOlopCA2/view?usp=drivesdk</v>
      </c>
      <c r="D5372" s="12"/>
      <c r="E5372" s="11">
        <v>5410.0</v>
      </c>
      <c r="F5372" s="2"/>
    </row>
    <row r="5373" ht="1.5" customHeight="1">
      <c r="A5373" s="4" t="str">
        <f>IFERROR(__xludf.DUMMYFUNCTION("""COMPUTED_VALUE"""),"6. Snickers")</f>
        <v>6. Snickers</v>
      </c>
      <c r="B5373" s="4" t="str">
        <f>IFERROR(__xludf.DUMMYFUNCTION("""COMPUTED_VALUE"""),"6")</f>
        <v>6</v>
      </c>
      <c r="C5373" s="5" t="str">
        <f>IFERROR(__xludf.DUMMYFUNCTION("""COMPUTED_VALUE"""),"https://drive.google.com/file/d/1OcpxwU3ZLQGRV6ttU7I8K9_TGXVESd8v/view?usp=drivesdk")</f>
        <v>https://drive.google.com/file/d/1OcpxwU3ZLQGRV6ttU7I8K9_TGXVESd8v/view?usp=drivesdk</v>
      </c>
      <c r="D5373" s="12"/>
      <c r="E5373" s="11">
        <v>5411.0</v>
      </c>
      <c r="F5373" s="2"/>
    </row>
    <row r="5374" ht="1.5" customHeight="1">
      <c r="A5374" s="4" t="str">
        <f>IFERROR(__xludf.DUMMYFUNCTION("""COMPUTED_VALUE"""),"41. Gregory, 95. Ariel, 102. Keaton")</f>
        <v>41. Gregory, 95. Ariel, 102. Keaton</v>
      </c>
      <c r="B5374" s="4" t="str">
        <f>IFERROR(__xludf.DUMMYFUNCTION("""COMPUTED_VALUE"""),"41, 95, 102")</f>
        <v>41, 95, 102</v>
      </c>
      <c r="C5374" s="5" t="str">
        <f>IFERROR(__xludf.DUMMYFUNCTION("""COMPUTED_VALUE"""),"https://drive.google.com/file/d/1SbNvxpiTS9As21yjA_G2POSKCvTPOCu7/view?usp=drivesdk")</f>
        <v>https://drive.google.com/file/d/1SbNvxpiTS9As21yjA_G2POSKCvTPOCu7/view?usp=drivesdk</v>
      </c>
      <c r="D5374" s="12"/>
      <c r="E5374" s="11">
        <v>5412.0</v>
      </c>
      <c r="F5374" s="2"/>
    </row>
    <row r="5375" ht="1.5" customHeight="1">
      <c r="A5375" s="4" t="str">
        <f>IFERROR(__xludf.DUMMYFUNCTION("""COMPUTED_VALUE"""),"84. Maddox")</f>
        <v>84. Maddox</v>
      </c>
      <c r="B5375" s="4" t="str">
        <f>IFERROR(__xludf.DUMMYFUNCTION("""COMPUTED_VALUE"""),"84")</f>
        <v>84</v>
      </c>
      <c r="C5375" s="5" t="str">
        <f>IFERROR(__xludf.DUMMYFUNCTION("""COMPUTED_VALUE"""),"https://drive.google.com/file/d/10luXLecu5C9x_mPvxi-vC10DxzGVHuuE/view?usp=drivesdk")</f>
        <v>https://drive.google.com/file/d/10luXLecu5C9x_mPvxi-vC10DxzGVHuuE/view?usp=drivesdk</v>
      </c>
      <c r="D5375" s="12"/>
      <c r="E5375" s="11">
        <v>5413.0</v>
      </c>
      <c r="F5375" s="2"/>
    </row>
    <row r="5376" ht="1.5" customHeight="1">
      <c r="A5376" s="4" t="str">
        <f>IFERROR(__xludf.DUMMYFUNCTION("""COMPUTED_VALUE"""),"41. Gregory, 102. Keaton")</f>
        <v>41. Gregory, 102. Keaton</v>
      </c>
      <c r="B5376" s="4" t="str">
        <f>IFERROR(__xludf.DUMMYFUNCTION("""COMPUTED_VALUE"""),"41, 102")</f>
        <v>41, 102</v>
      </c>
      <c r="C5376" s="5" t="str">
        <f>IFERROR(__xludf.DUMMYFUNCTION("""COMPUTED_VALUE"""),"https://drive.google.com/file/d/1pl9s8SK-D_ueZeWOSqFPISQUdJBGkguu/view?usp=drivesdk")</f>
        <v>https://drive.google.com/file/d/1pl9s8SK-D_ueZeWOSqFPISQUdJBGkguu/view?usp=drivesdk</v>
      </c>
      <c r="D5376" s="12"/>
      <c r="E5376" s="11">
        <v>5414.0</v>
      </c>
      <c r="F5376" s="2"/>
    </row>
    <row r="5377" ht="1.5" customHeight="1">
      <c r="A5377" s="4" t="str">
        <f>IFERROR(__xludf.DUMMYFUNCTION("""COMPUTED_VALUE"""),"96. Barbie")</f>
        <v>96. Barbie</v>
      </c>
      <c r="B5377" s="4" t="str">
        <f>IFERROR(__xludf.DUMMYFUNCTION("""COMPUTED_VALUE"""),"96")</f>
        <v>96</v>
      </c>
      <c r="C5377" s="5" t="str">
        <f>IFERROR(__xludf.DUMMYFUNCTION("""COMPUTED_VALUE"""),"https://drive.google.com/file/d/1BRo3e81z5AgNAZn_uAQ4ayTPoGh8P4NE/view?usp=drivesdk")</f>
        <v>https://drive.google.com/file/d/1BRo3e81z5AgNAZn_uAQ4ayTPoGh8P4NE/view?usp=drivesdk</v>
      </c>
      <c r="D5377" s="12"/>
      <c r="E5377" s="11">
        <v>5415.0</v>
      </c>
      <c r="F5377" s="2"/>
    </row>
    <row r="5378" ht="1.5" customHeight="1">
      <c r="A5378" s="4" t="str">
        <f>IFERROR(__xludf.DUMMYFUNCTION("""COMPUTED_VALUE"""),"4. Eggs, 5. Eraser")</f>
        <v>4. Eggs, 5. Eraser</v>
      </c>
      <c r="B5378" s="4" t="str">
        <f>IFERROR(__xludf.DUMMYFUNCTION("""COMPUTED_VALUE"""),"4, 5")</f>
        <v>4, 5</v>
      </c>
      <c r="C5378" s="5" t="str">
        <f>IFERROR(__xludf.DUMMYFUNCTION("""COMPUTED_VALUE"""),"https://drive.google.com/file/d/1JsCRaxKX5h0hEdPyEwDLMXBVNjRmNkNn/view?usp=drivesdk")</f>
        <v>https://drive.google.com/file/d/1JsCRaxKX5h0hEdPyEwDLMXBVNjRmNkNn/view?usp=drivesdk</v>
      </c>
      <c r="D5378" s="12"/>
      <c r="E5378" s="11">
        <v>5416.0</v>
      </c>
      <c r="F5378" s="2"/>
    </row>
    <row r="5379" ht="1.5" customHeight="1">
      <c r="A5379" s="4" t="str">
        <f>IFERROR(__xludf.DUMMYFUNCTION("""COMPUTED_VALUE"""),"101. Nori")</f>
        <v>101. Nori</v>
      </c>
      <c r="B5379" s="4" t="str">
        <f>IFERROR(__xludf.DUMMYFUNCTION("""COMPUTED_VALUE"""),"101")</f>
        <v>101</v>
      </c>
      <c r="C5379" s="5" t="str">
        <f>IFERROR(__xludf.DUMMYFUNCTION("""COMPUTED_VALUE"""),"https://drive.google.com/file/d/1Ghagxq_xWVe8RP7jrVbjYjaWQCM43ppF/view?usp=drivesdk")</f>
        <v>https://drive.google.com/file/d/1Ghagxq_xWVe8RP7jrVbjYjaWQCM43ppF/view?usp=drivesdk</v>
      </c>
      <c r="D5379" s="12"/>
      <c r="E5379" s="11">
        <v>5417.0</v>
      </c>
      <c r="F5379" s="2"/>
    </row>
    <row r="5380" ht="1.5" customHeight="1">
      <c r="A5380" s="4" t="str">
        <f>IFERROR(__xludf.DUMMYFUNCTION("""COMPUTED_VALUE"""),"101. Nori")</f>
        <v>101. Nori</v>
      </c>
      <c r="B5380" s="4" t="str">
        <f>IFERROR(__xludf.DUMMYFUNCTION("""COMPUTED_VALUE"""),"101")</f>
        <v>101</v>
      </c>
      <c r="C5380" s="5" t="str">
        <f>IFERROR(__xludf.DUMMYFUNCTION("""COMPUTED_VALUE"""),"https://drive.google.com/file/d/15ytsEwwAMl6o5cCrxZ0PXNCrhXEeoFbb/view?usp=drivesdk")</f>
        <v>https://drive.google.com/file/d/15ytsEwwAMl6o5cCrxZ0PXNCrhXEeoFbb/view?usp=drivesdk</v>
      </c>
      <c r="D5380" s="12"/>
      <c r="E5380" s="11">
        <v>5418.0</v>
      </c>
      <c r="F5380" s="2"/>
    </row>
    <row r="5381" ht="1.5" customHeight="1">
      <c r="A5381" s="4" t="str">
        <f>IFERROR(__xludf.DUMMYFUNCTION("""COMPUTED_VALUE"""),"101. Nori")</f>
        <v>101. Nori</v>
      </c>
      <c r="B5381" s="4" t="str">
        <f>IFERROR(__xludf.DUMMYFUNCTION("""COMPUTED_VALUE"""),"101")</f>
        <v>101</v>
      </c>
      <c r="C5381" s="5" t="str">
        <f>IFERROR(__xludf.DUMMYFUNCTION("""COMPUTED_VALUE"""),"https://drive.google.com/file/d/1B_0o59bBfurwU9mBHDxmL0ya-2cVbaEA/view?usp=drivesdk")</f>
        <v>https://drive.google.com/file/d/1B_0o59bBfurwU9mBHDxmL0ya-2cVbaEA/view?usp=drivesdk</v>
      </c>
      <c r="D5381" s="12"/>
      <c r="E5381" s="11">
        <v>5419.0</v>
      </c>
      <c r="F5381" s="2"/>
    </row>
    <row r="5382" ht="1.5" customHeight="1">
      <c r="A5382" s="4" t="str">
        <f>IFERROR(__xludf.DUMMYFUNCTION("""COMPUTED_VALUE"""),"1. Microwave")</f>
        <v>1. Microwave</v>
      </c>
      <c r="B5382" s="4" t="str">
        <f>IFERROR(__xludf.DUMMYFUNCTION("""COMPUTED_VALUE"""),"1")</f>
        <v>1</v>
      </c>
      <c r="C5382" s="5" t="str">
        <f>IFERROR(__xludf.DUMMYFUNCTION("""COMPUTED_VALUE"""),"https://drive.google.com/file/d/1tElfuuN975UDbrXYgp2Wt28bRDw79qGG/view?usp=drivesdk")</f>
        <v>https://drive.google.com/file/d/1tElfuuN975UDbrXYgp2Wt28bRDw79qGG/view?usp=drivesdk</v>
      </c>
      <c r="D5382" s="12"/>
      <c r="E5382" s="11">
        <v>5420.0</v>
      </c>
      <c r="F5382" s="2"/>
    </row>
    <row r="5383" ht="1.5" customHeight="1">
      <c r="A5383" s="4" t="str">
        <f>IFERROR(__xludf.DUMMYFUNCTION("""COMPUTED_VALUE"""),"1. Microwave")</f>
        <v>1. Microwave</v>
      </c>
      <c r="B5383" s="4" t="str">
        <f>IFERROR(__xludf.DUMMYFUNCTION("""COMPUTED_VALUE"""),"1")</f>
        <v>1</v>
      </c>
      <c r="C5383" s="5" t="str">
        <f>IFERROR(__xludf.DUMMYFUNCTION("""COMPUTED_VALUE"""),"https://drive.google.com/file/d/1qd_0-FJ-FDOjj1e7y908-vOOj188VveC/view?usp=drivesdk")</f>
        <v>https://drive.google.com/file/d/1qd_0-FJ-FDOjj1e7y908-vOOj188VveC/view?usp=drivesdk</v>
      </c>
      <c r="D5383" s="12"/>
      <c r="E5383" s="11">
        <v>5421.0</v>
      </c>
      <c r="F5383" s="2"/>
    </row>
    <row r="5384" ht="1.5" customHeight="1">
      <c r="A5384" s="4" t="str">
        <f>IFERROR(__xludf.DUMMYFUNCTION("""COMPUTED_VALUE"""),"1. Microwave")</f>
        <v>1. Microwave</v>
      </c>
      <c r="B5384" s="4" t="str">
        <f>IFERROR(__xludf.DUMMYFUNCTION("""COMPUTED_VALUE"""),"1")</f>
        <v>1</v>
      </c>
      <c r="C5384" s="5" t="str">
        <f>IFERROR(__xludf.DUMMYFUNCTION("""COMPUTED_VALUE"""),"https://drive.google.com/file/d/1Q-iWeo32lqpS1k4sP6AwgbWtxNiUtg49/view?usp=drivesdk")</f>
        <v>https://drive.google.com/file/d/1Q-iWeo32lqpS1k4sP6AwgbWtxNiUtg49/view?usp=drivesdk</v>
      </c>
      <c r="D5384" s="12"/>
      <c r="E5384" s="11">
        <v>5422.0</v>
      </c>
      <c r="F5384" s="2"/>
    </row>
    <row r="5385" ht="1.5" customHeight="1">
      <c r="A5385" s="4" t="str">
        <f>IFERROR(__xludf.DUMMYFUNCTION("""COMPUTED_VALUE"""),"1. Microwave")</f>
        <v>1. Microwave</v>
      </c>
      <c r="B5385" s="4" t="str">
        <f>IFERROR(__xludf.DUMMYFUNCTION("""COMPUTED_VALUE"""),"1")</f>
        <v>1</v>
      </c>
      <c r="C5385" s="5" t="str">
        <f>IFERROR(__xludf.DUMMYFUNCTION("""COMPUTED_VALUE"""),"https://drive.google.com/file/d/1YCGPU5SwOAPcjYURDmRHydcJU96ACwr1/view?usp=drivesdk")</f>
        <v>https://drive.google.com/file/d/1YCGPU5SwOAPcjYURDmRHydcJU96ACwr1/view?usp=drivesdk</v>
      </c>
      <c r="D5385" s="12"/>
      <c r="E5385" s="11">
        <v>5423.0</v>
      </c>
      <c r="F5385" s="2"/>
    </row>
    <row r="5386" ht="1.5" customHeight="1">
      <c r="A5386" s="4" t="str">
        <f>IFERROR(__xludf.DUMMYFUNCTION("""COMPUTED_VALUE"""),"29. Ginger, 30. Pepper, 27. Angel, 33. Zee")</f>
        <v>29. Ginger, 30. Pepper, 27. Angel, 33. Zee</v>
      </c>
      <c r="B5386" s="4" t="str">
        <f>IFERROR(__xludf.DUMMYFUNCTION("""COMPUTED_VALUE"""),"29, 30, 27, 33")</f>
        <v>29, 30, 27, 33</v>
      </c>
      <c r="C5386" s="5" t="str">
        <f>IFERROR(__xludf.DUMMYFUNCTION("""COMPUTED_VALUE"""),"https://drive.google.com/file/d/1NqVwozxsxZVJxmCBcWb-cy3SoFAQRfVu/view?usp=drivesdk")</f>
        <v>https://drive.google.com/file/d/1NqVwozxsxZVJxmCBcWb-cy3SoFAQRfVu/view?usp=drivesdk</v>
      </c>
      <c r="D5386" s="12"/>
      <c r="E5386" s="11">
        <v>5424.0</v>
      </c>
      <c r="F5386" s="2"/>
    </row>
    <row r="5387" ht="1.5" customHeight="1">
      <c r="A5387" s="4" t="str">
        <f>IFERROR(__xludf.DUMMYFUNCTION("""COMPUTED_VALUE"""),"49. Freya, 50. Thor")</f>
        <v>49. Freya, 50. Thor</v>
      </c>
      <c r="B5387" s="4" t="str">
        <f>IFERROR(__xludf.DUMMYFUNCTION("""COMPUTED_VALUE"""),"49, 50")</f>
        <v>49, 50</v>
      </c>
      <c r="C5387" s="5" t="str">
        <f>IFERROR(__xludf.DUMMYFUNCTION("""COMPUTED_VALUE"""),"https://drive.google.com/file/d/1STHjZWqlXqF-Hh9dGeDrg2LOmTfCkWJt/view?usp=drivesdk")</f>
        <v>https://drive.google.com/file/d/1STHjZWqlXqF-Hh9dGeDrg2LOmTfCkWJt/view?usp=drivesdk</v>
      </c>
      <c r="D5387" s="12"/>
      <c r="E5387" s="11">
        <v>5425.0</v>
      </c>
      <c r="F5387" s="2"/>
    </row>
    <row r="5388" ht="1.5" customHeight="1">
      <c r="A5388" s="4" t="str">
        <f>IFERROR(__xludf.DUMMYFUNCTION("""COMPUTED_VALUE"""),"49. Freya, 50. Thor")</f>
        <v>49. Freya, 50. Thor</v>
      </c>
      <c r="B5388" s="4" t="str">
        <f>IFERROR(__xludf.DUMMYFUNCTION("""COMPUTED_VALUE"""),"49, 50")</f>
        <v>49, 50</v>
      </c>
      <c r="C5388" s="5" t="str">
        <f>IFERROR(__xludf.DUMMYFUNCTION("""COMPUTED_VALUE"""),"https://drive.google.com/file/d/1ZL-x51jCagRaX4AyrBf9ezuNrjDGjDIL/view?usp=drivesdk")</f>
        <v>https://drive.google.com/file/d/1ZL-x51jCagRaX4AyrBf9ezuNrjDGjDIL/view?usp=drivesdk</v>
      </c>
      <c r="D5388" s="12"/>
      <c r="E5388" s="11">
        <v>5426.0</v>
      </c>
      <c r="F5388" s="2"/>
    </row>
    <row r="5389" ht="1.5" customHeight="1">
      <c r="A5389" s="4" t="str">
        <f>IFERROR(__xludf.DUMMYFUNCTION("""COMPUTED_VALUE"""),"47. Nefarious")</f>
        <v>47. Nefarious</v>
      </c>
      <c r="B5389" s="4" t="str">
        <f>IFERROR(__xludf.DUMMYFUNCTION("""COMPUTED_VALUE"""),"47")</f>
        <v>47</v>
      </c>
      <c r="C5389" s="5" t="str">
        <f>IFERROR(__xludf.DUMMYFUNCTION("""COMPUTED_VALUE"""),"https://drive.google.com/file/d/1o-fvsdZ3FamuGJ_trDEfYG--_lYeJlsU/view?usp=drivesdk")</f>
        <v>https://drive.google.com/file/d/1o-fvsdZ3FamuGJ_trDEfYG--_lYeJlsU/view?usp=drivesdk</v>
      </c>
      <c r="D5389" s="12"/>
      <c r="E5389" s="11">
        <v>5427.0</v>
      </c>
      <c r="F5389" s="2"/>
    </row>
    <row r="5390" ht="1.5" customHeight="1">
      <c r="A5390" s="4" t="str">
        <f>IFERROR(__xludf.DUMMYFUNCTION("""COMPUTED_VALUE"""),"62. Gorygreg, 88. Vincente, 44. Shitbag Cuntface, 95. Ariel, 39. Radar, 58. Eden")</f>
        <v>62. Gorygreg, 88. Vincente, 44. Shitbag Cuntface, 95. Ariel, 39. Radar, 58. Eden</v>
      </c>
      <c r="B5390" s="4" t="str">
        <f>IFERROR(__xludf.DUMMYFUNCTION("""COMPUTED_VALUE"""),"62, 88, 44, 95, 39, 58")</f>
        <v>62, 88, 44, 95, 39, 58</v>
      </c>
      <c r="C5390" s="5" t="str">
        <f>IFERROR(__xludf.DUMMYFUNCTION("""COMPUTED_VALUE"""),"https://drive.google.com/file/d/17DnsT9gBd9dQ0d3jI056C1GhLMZgBOOE/view?usp=drivesdk")</f>
        <v>https://drive.google.com/file/d/17DnsT9gBd9dQ0d3jI056C1GhLMZgBOOE/view?usp=drivesdk</v>
      </c>
      <c r="D5390" s="12"/>
      <c r="E5390" s="11">
        <v>5428.0</v>
      </c>
      <c r="F5390" s="2"/>
    </row>
    <row r="5391" ht="1.5" customHeight="1">
      <c r="A5391" s="4" t="str">
        <f>IFERROR(__xludf.DUMMYFUNCTION("""COMPUTED_VALUE"""),"62. Gorygreg, 39. Radar, 44. Shitbag Cuntface, 58. Eden, 95. Ariel, 88. Vincente")</f>
        <v>62. Gorygreg, 39. Radar, 44. Shitbag Cuntface, 58. Eden, 95. Ariel, 88. Vincente</v>
      </c>
      <c r="B5391" s="4" t="str">
        <f>IFERROR(__xludf.DUMMYFUNCTION("""COMPUTED_VALUE"""),"62, 39, 44, 58, 95, 88")</f>
        <v>62, 39, 44, 58, 95, 88</v>
      </c>
      <c r="C5391" s="5" t="str">
        <f>IFERROR(__xludf.DUMMYFUNCTION("""COMPUTED_VALUE"""),"https://drive.google.com/file/d/134y3pszutfBQjD70ItwQ_8y4hVfqO-AI/view?usp=drivesdk")</f>
        <v>https://drive.google.com/file/d/134y3pszutfBQjD70ItwQ_8y4hVfqO-AI/view?usp=drivesdk</v>
      </c>
      <c r="D5391" s="12"/>
      <c r="E5391" s="11">
        <v>5429.0</v>
      </c>
      <c r="F5391" s="2"/>
    </row>
    <row r="5392" ht="1.5" customHeight="1">
      <c r="A5392" s="4" t="str">
        <f>IFERROR(__xludf.DUMMYFUNCTION("""COMPUTED_VALUE"""),"62. Gorygreg, 39. Radar, 44. Shitbag Cuntface, 58. Eden, 95. Ariel")</f>
        <v>62. Gorygreg, 39. Radar, 44. Shitbag Cuntface, 58. Eden, 95. Ariel</v>
      </c>
      <c r="B5392" s="4" t="str">
        <f>IFERROR(__xludf.DUMMYFUNCTION("""COMPUTED_VALUE"""),"62, 39, 44, 58, 95")</f>
        <v>62, 39, 44, 58, 95</v>
      </c>
      <c r="C5392" s="5" t="str">
        <f>IFERROR(__xludf.DUMMYFUNCTION("""COMPUTED_VALUE"""),"https://drive.google.com/file/d/1bao7EfCFGFZaTC4Ia8NEXv4kNKnuziyF/view?usp=drivesdk")</f>
        <v>https://drive.google.com/file/d/1bao7EfCFGFZaTC4Ia8NEXv4kNKnuziyF/view?usp=drivesdk</v>
      </c>
      <c r="D5392" s="12"/>
      <c r="E5392" s="11">
        <v>5430.0</v>
      </c>
      <c r="F5392" s="2"/>
    </row>
    <row r="5393" ht="1.5" customHeight="1">
      <c r="A5393" s="4" t="str">
        <f>IFERROR(__xludf.DUMMYFUNCTION("""COMPUTED_VALUE"""),"88. Vincente, 44. Shitbag Cuntface, 45. Boots")</f>
        <v>88. Vincente, 44. Shitbag Cuntface, 45. Boots</v>
      </c>
      <c r="B5393" s="4" t="str">
        <f>IFERROR(__xludf.DUMMYFUNCTION("""COMPUTED_VALUE"""),"88, 44, 45")</f>
        <v>88, 44, 45</v>
      </c>
      <c r="C5393" s="5" t="str">
        <f>IFERROR(__xludf.DUMMYFUNCTION("""COMPUTED_VALUE"""),"https://drive.google.com/file/d/1r9-vw0gH6lUBVxbbGPUR86HQcSQwXJKi/view?usp=drivesdk")</f>
        <v>https://drive.google.com/file/d/1r9-vw0gH6lUBVxbbGPUR86HQcSQwXJKi/view?usp=drivesdk</v>
      </c>
      <c r="D5393" s="12"/>
      <c r="E5393" s="11">
        <v>5431.0</v>
      </c>
      <c r="F5393" s="2"/>
    </row>
    <row r="5394" ht="1.5" customHeight="1">
      <c r="A5394" s="4" t="str">
        <f>IFERROR(__xludf.DUMMYFUNCTION("""COMPUTED_VALUE"""),"88. Vincente, 44. Shitbag Cuntface, 45. Boots")</f>
        <v>88. Vincente, 44. Shitbag Cuntface, 45. Boots</v>
      </c>
      <c r="B5394" s="4" t="str">
        <f>IFERROR(__xludf.DUMMYFUNCTION("""COMPUTED_VALUE"""),"88, 44, 45")</f>
        <v>88, 44, 45</v>
      </c>
      <c r="C5394" s="5" t="str">
        <f>IFERROR(__xludf.DUMMYFUNCTION("""COMPUTED_VALUE"""),"https://drive.google.com/file/d/1eoztvVYIz4Q2PJNIk0sPr05gEkfmWP_i/view?usp=drivesdk")</f>
        <v>https://drive.google.com/file/d/1eoztvVYIz4Q2PJNIk0sPr05gEkfmWP_i/view?usp=drivesdk</v>
      </c>
      <c r="D5394" s="12"/>
      <c r="E5394" s="11">
        <v>5432.0</v>
      </c>
      <c r="F5394" s="2"/>
    </row>
    <row r="5395" ht="1.5" customHeight="1">
      <c r="A5395" s="4" t="str">
        <f>IFERROR(__xludf.DUMMYFUNCTION("""COMPUTED_VALUE"""),"95. Ariel, 39. Radar")</f>
        <v>95. Ariel, 39. Radar</v>
      </c>
      <c r="B5395" s="4" t="str">
        <f>IFERROR(__xludf.DUMMYFUNCTION("""COMPUTED_VALUE"""),"95, 39")</f>
        <v>95, 39</v>
      </c>
      <c r="C5395" s="5" t="str">
        <f>IFERROR(__xludf.DUMMYFUNCTION("""COMPUTED_VALUE"""),"https://drive.google.com/file/d/19uSzhGWTEwTcYDEHmi_LJEe15MJcBQP_/view?usp=drivesdk")</f>
        <v>https://drive.google.com/file/d/19uSzhGWTEwTcYDEHmi_LJEe15MJcBQP_/view?usp=drivesdk</v>
      </c>
      <c r="D5395" s="12"/>
      <c r="E5395" s="11">
        <v>5433.0</v>
      </c>
      <c r="F5395" s="2"/>
    </row>
    <row r="5396" ht="1.5" customHeight="1">
      <c r="A5396" s="4" t="str">
        <f>IFERROR(__xludf.DUMMYFUNCTION("""COMPUTED_VALUE"""),"95. Ariel")</f>
        <v>95. Ariel</v>
      </c>
      <c r="B5396" s="4" t="str">
        <f>IFERROR(__xludf.DUMMYFUNCTION("""COMPUTED_VALUE"""),"95")</f>
        <v>95</v>
      </c>
      <c r="C5396" s="5" t="str">
        <f>IFERROR(__xludf.DUMMYFUNCTION("""COMPUTED_VALUE"""),"https://drive.google.com/file/d/1JsW33ftSRqbuPzHX-lJMj8V0vzVtEc7k/view?usp=drivesdk")</f>
        <v>https://drive.google.com/file/d/1JsW33ftSRqbuPzHX-lJMj8V0vzVtEc7k/view?usp=drivesdk</v>
      </c>
      <c r="D5396" s="12"/>
      <c r="E5396" s="11">
        <v>5434.0</v>
      </c>
      <c r="F5396" s="2"/>
    </row>
    <row r="5397" ht="1.5" customHeight="1">
      <c r="A5397" s="4" t="str">
        <f>IFERROR(__xludf.DUMMYFUNCTION("""COMPUTED_VALUE"""),"95. Ariel")</f>
        <v>95. Ariel</v>
      </c>
      <c r="B5397" s="4" t="str">
        <f>IFERROR(__xludf.DUMMYFUNCTION("""COMPUTED_VALUE"""),"95")</f>
        <v>95</v>
      </c>
      <c r="C5397" s="5" t="str">
        <f>IFERROR(__xludf.DUMMYFUNCTION("""COMPUTED_VALUE"""),"https://drive.google.com/file/d/1igyn2d-vwh7NzDJAaaCcYDyW8r8XsLw9/view?usp=drivesdk")</f>
        <v>https://drive.google.com/file/d/1igyn2d-vwh7NzDJAaaCcYDyW8r8XsLw9/view?usp=drivesdk</v>
      </c>
      <c r="D5397" s="12"/>
      <c r="E5397" s="11">
        <v>5435.0</v>
      </c>
      <c r="F5397" s="2"/>
    </row>
    <row r="5398" ht="1.5" customHeight="1">
      <c r="A5398" s="4" t="str">
        <f>IFERROR(__xludf.DUMMYFUNCTION("""COMPUTED_VALUE"""),"95. Ariel")</f>
        <v>95. Ariel</v>
      </c>
      <c r="B5398" s="4" t="str">
        <f>IFERROR(__xludf.DUMMYFUNCTION("""COMPUTED_VALUE"""),"95")</f>
        <v>95</v>
      </c>
      <c r="C5398" s="5" t="str">
        <f>IFERROR(__xludf.DUMMYFUNCTION("""COMPUTED_VALUE"""),"https://drive.google.com/file/d/1NZRnaN6vmZkNiJsmgottapoG0KkjAdpy/view?usp=drivesdk")</f>
        <v>https://drive.google.com/file/d/1NZRnaN6vmZkNiJsmgottapoG0KkjAdpy/view?usp=drivesdk</v>
      </c>
      <c r="D5398" s="12"/>
      <c r="E5398" s="11">
        <v>5436.0</v>
      </c>
      <c r="F5398" s="2"/>
    </row>
    <row r="5399" ht="1.5" customHeight="1">
      <c r="A5399" s="4" t="str">
        <f>IFERROR(__xludf.DUMMYFUNCTION("""COMPUTED_VALUE"""),"95. Ariel")</f>
        <v>95. Ariel</v>
      </c>
      <c r="B5399" s="4" t="str">
        <f>IFERROR(__xludf.DUMMYFUNCTION("""COMPUTED_VALUE"""),"95")</f>
        <v>95</v>
      </c>
      <c r="C5399" s="5" t="str">
        <f>IFERROR(__xludf.DUMMYFUNCTION("""COMPUTED_VALUE"""),"https://drive.google.com/file/d/1kpeB-XwhIGXlBanhtiOQPSsQRcdzcWE2/view?usp=drivesdk")</f>
        <v>https://drive.google.com/file/d/1kpeB-XwhIGXlBanhtiOQPSsQRcdzcWE2/view?usp=drivesdk</v>
      </c>
      <c r="D5399" s="12"/>
      <c r="E5399" s="11">
        <v>5437.0</v>
      </c>
      <c r="F5399" s="2"/>
    </row>
    <row r="5400" ht="1.5" customHeight="1">
      <c r="A5400" s="4" t="str">
        <f>IFERROR(__xludf.DUMMYFUNCTION("""COMPUTED_VALUE"""),"47. Nefarious")</f>
        <v>47. Nefarious</v>
      </c>
      <c r="B5400" s="4" t="str">
        <f>IFERROR(__xludf.DUMMYFUNCTION("""COMPUTED_VALUE"""),"47")</f>
        <v>47</v>
      </c>
      <c r="C5400" s="5" t="str">
        <f>IFERROR(__xludf.DUMMYFUNCTION("""COMPUTED_VALUE"""),"https://drive.google.com/file/d/1BHnBFCLHoM0CDBXn9M11GoMy90zkwJZj/view?usp=drivesdk")</f>
        <v>https://drive.google.com/file/d/1BHnBFCLHoM0CDBXn9M11GoMy90zkwJZj/view?usp=drivesdk</v>
      </c>
      <c r="D5400" s="12"/>
      <c r="E5400" s="11">
        <v>5438.0</v>
      </c>
      <c r="F5400" s="2"/>
    </row>
    <row r="5401" ht="1.5" customHeight="1">
      <c r="A5401" s="4" t="str">
        <f>IFERROR(__xludf.DUMMYFUNCTION("""COMPUTED_VALUE"""),"47. Nefarious")</f>
        <v>47. Nefarious</v>
      </c>
      <c r="B5401" s="4" t="str">
        <f>IFERROR(__xludf.DUMMYFUNCTION("""COMPUTED_VALUE"""),"47")</f>
        <v>47</v>
      </c>
      <c r="C5401" s="5" t="str">
        <f>IFERROR(__xludf.DUMMYFUNCTION("""COMPUTED_VALUE"""),"https://drive.google.com/file/d/1SUTvL4Gud_vtpv5VD1s9TUaQMWSQoo-8/view?usp=drivesdk")</f>
        <v>https://drive.google.com/file/d/1SUTvL4Gud_vtpv5VD1s9TUaQMWSQoo-8/view?usp=drivesdk</v>
      </c>
      <c r="D5401" s="12"/>
      <c r="E5401" s="11">
        <v>5439.0</v>
      </c>
      <c r="F5401" s="2"/>
    </row>
    <row r="5402" ht="1.5" customHeight="1">
      <c r="A5402" s="4" t="str">
        <f>IFERROR(__xludf.DUMMYFUNCTION("""COMPUTED_VALUE"""),"1. Microwave")</f>
        <v>1. Microwave</v>
      </c>
      <c r="B5402" s="4" t="str">
        <f>IFERROR(__xludf.DUMMYFUNCTION("""COMPUTED_VALUE"""),"1")</f>
        <v>1</v>
      </c>
      <c r="C5402" s="5" t="str">
        <f>IFERROR(__xludf.DUMMYFUNCTION("""COMPUTED_VALUE"""),"https://drive.google.com/file/d/1bbixTdgoTMRZgrCN8KVz_duTBtSUrggB/view?usp=drivesdk")</f>
        <v>https://drive.google.com/file/d/1bbixTdgoTMRZgrCN8KVz_duTBtSUrggB/view?usp=drivesdk</v>
      </c>
      <c r="D5402" s="12"/>
      <c r="E5402" s="11">
        <v>5440.0</v>
      </c>
      <c r="F5402" s="2"/>
    </row>
    <row r="5403" ht="1.5" customHeight="1">
      <c r="A5403" s="4" t="str">
        <f>IFERROR(__xludf.DUMMYFUNCTION("""COMPUTED_VALUE"""),"1. Microwave")</f>
        <v>1. Microwave</v>
      </c>
      <c r="B5403" s="4" t="str">
        <f>IFERROR(__xludf.DUMMYFUNCTION("""COMPUTED_VALUE"""),"1")</f>
        <v>1</v>
      </c>
      <c r="C5403" s="5" t="str">
        <f>IFERROR(__xludf.DUMMYFUNCTION("""COMPUTED_VALUE"""),"https://drive.google.com/file/d/1k7MJfrrfF3E7_byEajq9Um3JbjUutY1h/view?usp=drivesdk")</f>
        <v>https://drive.google.com/file/d/1k7MJfrrfF3E7_byEajq9Um3JbjUutY1h/view?usp=drivesdk</v>
      </c>
      <c r="D5403" s="12"/>
      <c r="E5403" s="11">
        <v>5441.0</v>
      </c>
      <c r="F5403" s="2"/>
    </row>
    <row r="5404" ht="1.5" customHeight="1">
      <c r="A5404" s="4" t="str">
        <f>IFERROR(__xludf.DUMMYFUNCTION("""COMPUTED_VALUE"""),"1. Microwave")</f>
        <v>1. Microwave</v>
      </c>
      <c r="B5404" s="4" t="str">
        <f>IFERROR(__xludf.DUMMYFUNCTION("""COMPUTED_VALUE"""),"1")</f>
        <v>1</v>
      </c>
      <c r="C5404" s="5" t="str">
        <f>IFERROR(__xludf.DUMMYFUNCTION("""COMPUTED_VALUE"""),"https://drive.google.com/file/d/1kyjq8G3XFe2UE7-VEV57EpawvslFj2CD/view?usp=drivesdk")</f>
        <v>https://drive.google.com/file/d/1kyjq8G3XFe2UE7-VEV57EpawvslFj2CD/view?usp=drivesdk</v>
      </c>
      <c r="D5404" s="12"/>
      <c r="E5404" s="11">
        <v>5442.0</v>
      </c>
      <c r="F5404" s="2"/>
    </row>
    <row r="5405" ht="1.5" customHeight="1">
      <c r="A5405" s="4" t="str">
        <f>IFERROR(__xludf.DUMMYFUNCTION("""COMPUTED_VALUE"""),"1. Microwave")</f>
        <v>1. Microwave</v>
      </c>
      <c r="B5405" s="4" t="str">
        <f>IFERROR(__xludf.DUMMYFUNCTION("""COMPUTED_VALUE"""),"1")</f>
        <v>1</v>
      </c>
      <c r="C5405" s="5" t="str">
        <f>IFERROR(__xludf.DUMMYFUNCTION("""COMPUTED_VALUE"""),"https://drive.google.com/file/d/1GxHJDKS2hBepqz-IibJzD14_iTDhSJ6p/view?usp=drivesdk")</f>
        <v>https://drive.google.com/file/d/1GxHJDKS2hBepqz-IibJzD14_iTDhSJ6p/view?usp=drivesdk</v>
      </c>
      <c r="D5405" s="12"/>
      <c r="E5405" s="11">
        <v>5443.0</v>
      </c>
      <c r="F5405" s="2"/>
    </row>
    <row r="5406" ht="1.5" customHeight="1">
      <c r="A5406" s="4" t="str">
        <f>IFERROR(__xludf.DUMMYFUNCTION("""COMPUTED_VALUE"""),"1. Microwave")</f>
        <v>1. Microwave</v>
      </c>
      <c r="B5406" s="4" t="str">
        <f>IFERROR(__xludf.DUMMYFUNCTION("""COMPUTED_VALUE"""),"1")</f>
        <v>1</v>
      </c>
      <c r="C5406" s="5" t="str">
        <f>IFERROR(__xludf.DUMMYFUNCTION("""COMPUTED_VALUE"""),"https://drive.google.com/file/d/1k3LLHQMrWqGozvRJdKm3z_NkX1X3ad3k/view?usp=drivesdk")</f>
        <v>https://drive.google.com/file/d/1k3LLHQMrWqGozvRJdKm3z_NkX1X3ad3k/view?usp=drivesdk</v>
      </c>
      <c r="D5406" s="12"/>
      <c r="E5406" s="11">
        <v>5444.0</v>
      </c>
      <c r="F5406" s="2"/>
    </row>
    <row r="5407" ht="1.5" customHeight="1">
      <c r="A5407" s="4" t="str">
        <f>IFERROR(__xludf.DUMMYFUNCTION("""COMPUTED_VALUE"""),"1. Microwave")</f>
        <v>1. Microwave</v>
      </c>
      <c r="B5407" s="4" t="str">
        <f>IFERROR(__xludf.DUMMYFUNCTION("""COMPUTED_VALUE"""),"1")</f>
        <v>1</v>
      </c>
      <c r="C5407" s="5" t="str">
        <f>IFERROR(__xludf.DUMMYFUNCTION("""COMPUTED_VALUE"""),"https://drive.google.com/file/d/1Kr4WkjeWp4XGs57oXWXPYeWDpHTywVN9/view?usp=drivesdk")</f>
        <v>https://drive.google.com/file/d/1Kr4WkjeWp4XGs57oXWXPYeWDpHTywVN9/view?usp=drivesdk</v>
      </c>
      <c r="D5407" s="12"/>
      <c r="E5407" s="11">
        <v>5445.0</v>
      </c>
      <c r="F5407" s="2"/>
    </row>
    <row r="5408" ht="1.5" customHeight="1">
      <c r="A5408" s="4" t="str">
        <f>IFERROR(__xludf.DUMMYFUNCTION("""COMPUTED_VALUE"""),"1. Microwave")</f>
        <v>1. Microwave</v>
      </c>
      <c r="B5408" s="4" t="str">
        <f>IFERROR(__xludf.DUMMYFUNCTION("""COMPUTED_VALUE"""),"1")</f>
        <v>1</v>
      </c>
      <c r="C5408" s="5" t="str">
        <f>IFERROR(__xludf.DUMMYFUNCTION("""COMPUTED_VALUE"""),"https://drive.google.com/file/d/1J8srCv0CEJ_Gk4zPZRuOV58AanGS0CLM/view?usp=drivesdk")</f>
        <v>https://drive.google.com/file/d/1J8srCv0CEJ_Gk4zPZRuOV58AanGS0CLM/view?usp=drivesdk</v>
      </c>
      <c r="D5408" s="12"/>
      <c r="E5408" s="11">
        <v>5446.0</v>
      </c>
      <c r="F5408" s="2"/>
    </row>
    <row r="5409" ht="1.5" customHeight="1">
      <c r="A5409" s="4" t="str">
        <f>IFERROR(__xludf.DUMMYFUNCTION("""COMPUTED_VALUE"""),"1. Microwave")</f>
        <v>1. Microwave</v>
      </c>
      <c r="B5409" s="4" t="str">
        <f>IFERROR(__xludf.DUMMYFUNCTION("""COMPUTED_VALUE"""),"1")</f>
        <v>1</v>
      </c>
      <c r="C5409" s="5" t="str">
        <f>IFERROR(__xludf.DUMMYFUNCTION("""COMPUTED_VALUE"""),"https://drive.google.com/file/d/193itgal4--4mo42qdQLov0naTvkgr4ul/view?usp=drivesdk")</f>
        <v>https://drive.google.com/file/d/193itgal4--4mo42qdQLov0naTvkgr4ul/view?usp=drivesdk</v>
      </c>
      <c r="D5409" s="12"/>
      <c r="E5409" s="11">
        <v>5447.0</v>
      </c>
      <c r="F5409" s="2"/>
    </row>
    <row r="5410" ht="1.5" customHeight="1">
      <c r="A5410" s="4" t="str">
        <f>IFERROR(__xludf.DUMMYFUNCTION("""COMPUTED_VALUE"""),"1. Microwave")</f>
        <v>1. Microwave</v>
      </c>
      <c r="B5410" s="4" t="str">
        <f>IFERROR(__xludf.DUMMYFUNCTION("""COMPUTED_VALUE"""),"1")</f>
        <v>1</v>
      </c>
      <c r="C5410" s="5" t="str">
        <f>IFERROR(__xludf.DUMMYFUNCTION("""COMPUTED_VALUE"""),"https://drive.google.com/file/d/1Fa--CzEWs-nhG9EeaTgzHuRMQ_uiyXy5/view?usp=drivesdk")</f>
        <v>https://drive.google.com/file/d/1Fa--CzEWs-nhG9EeaTgzHuRMQ_uiyXy5/view?usp=drivesdk</v>
      </c>
      <c r="D5410" s="12"/>
      <c r="E5410" s="11">
        <v>5448.0</v>
      </c>
      <c r="F5410" s="2"/>
    </row>
    <row r="5411" ht="1.5" customHeight="1">
      <c r="A5411" s="4" t="str">
        <f>IFERROR(__xludf.DUMMYFUNCTION("""COMPUTED_VALUE"""),"1. Microwave")</f>
        <v>1. Microwave</v>
      </c>
      <c r="B5411" s="4" t="str">
        <f>IFERROR(__xludf.DUMMYFUNCTION("""COMPUTED_VALUE"""),"1")</f>
        <v>1</v>
      </c>
      <c r="C5411" s="5" t="str">
        <f>IFERROR(__xludf.DUMMYFUNCTION("""COMPUTED_VALUE"""),"https://drive.google.com/file/d/1LK91sqjjvneoAWQBkqahaymLfjCw7-Li/view?usp=drivesdk")</f>
        <v>https://drive.google.com/file/d/1LK91sqjjvneoAWQBkqahaymLfjCw7-Li/view?usp=drivesdk</v>
      </c>
      <c r="D5411" s="12"/>
      <c r="E5411" s="11">
        <v>5449.0</v>
      </c>
      <c r="F5411" s="2"/>
    </row>
    <row r="5412" ht="1.5" customHeight="1">
      <c r="A5412" s="4" t="str">
        <f>IFERROR(__xludf.DUMMYFUNCTION("""COMPUTED_VALUE"""),"1. Microwave")</f>
        <v>1. Microwave</v>
      </c>
      <c r="B5412" s="4" t="str">
        <f>IFERROR(__xludf.DUMMYFUNCTION("""COMPUTED_VALUE"""),"1")</f>
        <v>1</v>
      </c>
      <c r="C5412" s="5" t="str">
        <f>IFERROR(__xludf.DUMMYFUNCTION("""COMPUTED_VALUE"""),"https://drive.google.com/file/d/1klI-TYJxgXvyY8zTimWdvCDm3raSrGDZ/view?usp=drivesdk")</f>
        <v>https://drive.google.com/file/d/1klI-TYJxgXvyY8zTimWdvCDm3raSrGDZ/view?usp=drivesdk</v>
      </c>
      <c r="D5412" s="12"/>
      <c r="E5412" s="11">
        <v>5450.0</v>
      </c>
      <c r="F5412" s="2"/>
    </row>
    <row r="5413" ht="1.5" customHeight="1">
      <c r="A5413" s="4" t="str">
        <f>IFERROR(__xludf.DUMMYFUNCTION("""COMPUTED_VALUE"""),"1. Microwave")</f>
        <v>1. Microwave</v>
      </c>
      <c r="B5413" s="4" t="str">
        <f>IFERROR(__xludf.DUMMYFUNCTION("""COMPUTED_VALUE"""),"1")</f>
        <v>1</v>
      </c>
      <c r="C5413" s="5" t="str">
        <f>IFERROR(__xludf.DUMMYFUNCTION("""COMPUTED_VALUE"""),"https://drive.google.com/file/d/1vf862wPDeruaAv3AqDe0lHmQrGDP8PCJ/view?usp=drivesdk")</f>
        <v>https://drive.google.com/file/d/1vf862wPDeruaAv3AqDe0lHmQrGDP8PCJ/view?usp=drivesdk</v>
      </c>
      <c r="D5413" s="12"/>
      <c r="E5413" s="11">
        <v>5451.0</v>
      </c>
      <c r="F5413" s="2"/>
    </row>
    <row r="5414" ht="1.5" customHeight="1">
      <c r="A5414" s="4" t="str">
        <f>IFERROR(__xludf.DUMMYFUNCTION("""COMPUTED_VALUE"""),"1. Microwave")</f>
        <v>1. Microwave</v>
      </c>
      <c r="B5414" s="4" t="str">
        <f>IFERROR(__xludf.DUMMYFUNCTION("""COMPUTED_VALUE"""),"1")</f>
        <v>1</v>
      </c>
      <c r="C5414" s="5" t="str">
        <f>IFERROR(__xludf.DUMMYFUNCTION("""COMPUTED_VALUE"""),"https://drive.google.com/file/d/1X2GxETWk8yYwK64UbKfs_gF3jtWkxIbW/view?usp=drivesdk")</f>
        <v>https://drive.google.com/file/d/1X2GxETWk8yYwK64UbKfs_gF3jtWkxIbW/view?usp=drivesdk</v>
      </c>
      <c r="D5414" s="12"/>
      <c r="E5414" s="11">
        <v>5452.0</v>
      </c>
      <c r="F5414" s="2"/>
    </row>
    <row r="5415" ht="1.5" customHeight="1">
      <c r="A5415" s="4" t="str">
        <f>IFERROR(__xludf.DUMMYFUNCTION("""COMPUTED_VALUE"""),"105. Chilton, 100. Coatl, 99. Nezhui")</f>
        <v>105. Chilton, 100. Coatl, 99. Nezhui</v>
      </c>
      <c r="B5415" s="4" t="str">
        <f>IFERROR(__xludf.DUMMYFUNCTION("""COMPUTED_VALUE"""),"105, 100, 99")</f>
        <v>105, 100, 99</v>
      </c>
      <c r="C5415" s="5" t="str">
        <f>IFERROR(__xludf.DUMMYFUNCTION("""COMPUTED_VALUE"""),"https://drive.google.com/file/d/1NPffhPvOq5MV5MZlImAMtK9VyX80TR8W/view?usp=drivesdk")</f>
        <v>https://drive.google.com/file/d/1NPffhPvOq5MV5MZlImAMtK9VyX80TR8W/view?usp=drivesdk</v>
      </c>
      <c r="D5415" s="12"/>
      <c r="E5415" s="11">
        <v>5453.0</v>
      </c>
      <c r="F5415" s="2"/>
    </row>
    <row r="5416" ht="1.5" customHeight="1">
      <c r="A5416" s="4" t="str">
        <f>IFERROR(__xludf.DUMMYFUNCTION("""COMPUTED_VALUE"""),"65. Tepi")</f>
        <v>65. Tepi</v>
      </c>
      <c r="B5416" s="4" t="str">
        <f>IFERROR(__xludf.DUMMYFUNCTION("""COMPUTED_VALUE"""),"65")</f>
        <v>65</v>
      </c>
      <c r="C5416" s="5" t="str">
        <f>IFERROR(__xludf.DUMMYFUNCTION("""COMPUTED_VALUE"""),"https://drive.google.com/file/d/1B2ixySZp2rUYKXdkXwPV80PLJu_cRp_5/view?usp=drivesdk")</f>
        <v>https://drive.google.com/file/d/1B2ixySZp2rUYKXdkXwPV80PLJu_cRp_5/view?usp=drivesdk</v>
      </c>
      <c r="D5416" s="12"/>
      <c r="E5416" s="11">
        <v>5454.0</v>
      </c>
      <c r="F5416" s="2"/>
    </row>
    <row r="5417" ht="1.5" customHeight="1">
      <c r="A5417" s="4" t="str">
        <f>IFERROR(__xludf.DUMMYFUNCTION("""COMPUTED_VALUE"""),"105. Chilton")</f>
        <v>105. Chilton</v>
      </c>
      <c r="B5417" s="4" t="str">
        <f>IFERROR(__xludf.DUMMYFUNCTION("""COMPUTED_VALUE"""),"105")</f>
        <v>105</v>
      </c>
      <c r="C5417" s="5" t="str">
        <f>IFERROR(__xludf.DUMMYFUNCTION("""COMPUTED_VALUE"""),"https://drive.google.com/file/d/14cPNT-sf5jlvanbVWtY23R4MbNp423Iz/view?usp=drivesdk")</f>
        <v>https://drive.google.com/file/d/14cPNT-sf5jlvanbVWtY23R4MbNp423Iz/view?usp=drivesdk</v>
      </c>
      <c r="D5417" s="12"/>
      <c r="E5417" s="11">
        <v>5455.0</v>
      </c>
      <c r="F5417" s="2"/>
    </row>
    <row r="5418" ht="1.5" customHeight="1">
      <c r="A5418" s="4" t="str">
        <f>IFERROR(__xludf.DUMMYFUNCTION("""COMPUTED_VALUE"""),"99. Nezhui")</f>
        <v>99. Nezhui</v>
      </c>
      <c r="B5418" s="4" t="str">
        <f>IFERROR(__xludf.DUMMYFUNCTION("""COMPUTED_VALUE"""),"99")</f>
        <v>99</v>
      </c>
      <c r="C5418" s="5" t="str">
        <f>IFERROR(__xludf.DUMMYFUNCTION("""COMPUTED_VALUE"""),"https://drive.google.com/file/d/1A1RyktZ-8RGmOaIjmwrCDlc-XNbP3YU5/view?usp=drivesdk")</f>
        <v>https://drive.google.com/file/d/1A1RyktZ-8RGmOaIjmwrCDlc-XNbP3YU5/view?usp=drivesdk</v>
      </c>
      <c r="D5418" s="12"/>
      <c r="E5418" s="11">
        <v>5456.0</v>
      </c>
      <c r="F5418" s="2"/>
    </row>
    <row r="5419" ht="1.5" customHeight="1">
      <c r="A5419" s="4" t="str">
        <f>IFERROR(__xludf.DUMMYFUNCTION("""COMPUTED_VALUE"""),"100. Coatl")</f>
        <v>100. Coatl</v>
      </c>
      <c r="B5419" s="4" t="str">
        <f>IFERROR(__xludf.DUMMYFUNCTION("""COMPUTED_VALUE"""),"100")</f>
        <v>100</v>
      </c>
      <c r="C5419" s="5" t="str">
        <f>IFERROR(__xludf.DUMMYFUNCTION("""COMPUTED_VALUE"""),"https://drive.google.com/file/d/1idgA8IkOyNIFpRlcZuseXLA98rJFXRCd/view?usp=drivesdk")</f>
        <v>https://drive.google.com/file/d/1idgA8IkOyNIFpRlcZuseXLA98rJFXRCd/view?usp=drivesdk</v>
      </c>
      <c r="D5419" s="12"/>
      <c r="E5419" s="11">
        <v>5457.0</v>
      </c>
      <c r="F5419" s="2"/>
    </row>
    <row r="5420" ht="1.5" customHeight="1">
      <c r="A5420" s="4" t="str">
        <f>IFERROR(__xludf.DUMMYFUNCTION("""COMPUTED_VALUE"""),"110. Ahua")</f>
        <v>110. Ahua</v>
      </c>
      <c r="B5420" s="4" t="str">
        <f>IFERROR(__xludf.DUMMYFUNCTION("""COMPUTED_VALUE"""),"110")</f>
        <v>110</v>
      </c>
      <c r="C5420" s="5" t="str">
        <f>IFERROR(__xludf.DUMMYFUNCTION("""COMPUTED_VALUE"""),"https://drive.google.com/file/d/1iax8u3ZYy59eJfJ5IejtMZiX_Ew0QqE1/view?usp=drivesdk")</f>
        <v>https://drive.google.com/file/d/1iax8u3ZYy59eJfJ5IejtMZiX_Ew0QqE1/view?usp=drivesdk</v>
      </c>
      <c r="D5420" s="12"/>
      <c r="E5420" s="11">
        <v>5458.0</v>
      </c>
      <c r="F5420" s="2"/>
    </row>
    <row r="5421" ht="1.5" customHeight="1">
      <c r="A5421" s="4" t="str">
        <f>IFERROR(__xludf.DUMMYFUNCTION("""COMPUTED_VALUE"""),"94. Itztli")</f>
        <v>94. Itztli</v>
      </c>
      <c r="B5421" s="4" t="str">
        <f>IFERROR(__xludf.DUMMYFUNCTION("""COMPUTED_VALUE"""),"94")</f>
        <v>94</v>
      </c>
      <c r="C5421" s="5" t="str">
        <f>IFERROR(__xludf.DUMMYFUNCTION("""COMPUTED_VALUE"""),"https://drive.google.com/file/d/1p4q5iPBO_L3Z5JGSizXQ1XwQWKMNuMWa/view?usp=drivesdk")</f>
        <v>https://drive.google.com/file/d/1p4q5iPBO_L3Z5JGSizXQ1XwQWKMNuMWa/view?usp=drivesdk</v>
      </c>
      <c r="D5421" s="12"/>
      <c r="E5421" s="11">
        <v>5459.0</v>
      </c>
      <c r="F5421" s="2"/>
    </row>
    <row r="5422" ht="1.5" customHeight="1">
      <c r="A5422" s="4" t="str">
        <f>IFERROR(__xludf.DUMMYFUNCTION("""COMPUTED_VALUE"""),"109. Tlalli")</f>
        <v>109. Tlalli</v>
      </c>
      <c r="B5422" s="4" t="str">
        <f>IFERROR(__xludf.DUMMYFUNCTION("""COMPUTED_VALUE"""),"109")</f>
        <v>109</v>
      </c>
      <c r="C5422" s="5" t="str">
        <f>IFERROR(__xludf.DUMMYFUNCTION("""COMPUTED_VALUE"""),"https://drive.google.com/file/d/1EnptCADZl1VEHBPTX0Rr-PVNvxWQI7QB/view?usp=drivesdk")</f>
        <v>https://drive.google.com/file/d/1EnptCADZl1VEHBPTX0Rr-PVNvxWQI7QB/view?usp=drivesdk</v>
      </c>
      <c r="D5422" s="12"/>
      <c r="E5422" s="11">
        <v>5460.0</v>
      </c>
      <c r="F5422" s="2"/>
    </row>
    <row r="5423" ht="1.5" customHeight="1">
      <c r="A5423" s="4" t="str">
        <f>IFERROR(__xludf.DUMMYFUNCTION("""COMPUTED_VALUE"""),"1. Microwave")</f>
        <v>1. Microwave</v>
      </c>
      <c r="B5423" s="4" t="str">
        <f>IFERROR(__xludf.DUMMYFUNCTION("""COMPUTED_VALUE"""),"1")</f>
        <v>1</v>
      </c>
      <c r="C5423" s="5" t="str">
        <f>IFERROR(__xludf.DUMMYFUNCTION("""COMPUTED_VALUE"""),"https://drive.google.com/file/d/1MvkV1ddiXtXOjWdeooN9vYqo0RC1JjeP/view?usp=drivesdk")</f>
        <v>https://drive.google.com/file/d/1MvkV1ddiXtXOjWdeooN9vYqo0RC1JjeP/view?usp=drivesdk</v>
      </c>
      <c r="D5423" s="12"/>
      <c r="E5423" s="11">
        <v>5461.0</v>
      </c>
      <c r="F5423" s="2"/>
    </row>
    <row r="5424" ht="1.5" customHeight="1">
      <c r="A5424" s="4" t="str">
        <f>IFERROR(__xludf.DUMMYFUNCTION("""COMPUTED_VALUE"""),"1. Microwave")</f>
        <v>1. Microwave</v>
      </c>
      <c r="B5424" s="4" t="str">
        <f>IFERROR(__xludf.DUMMYFUNCTION("""COMPUTED_VALUE"""),"1")</f>
        <v>1</v>
      </c>
      <c r="C5424" s="5" t="str">
        <f>IFERROR(__xludf.DUMMYFUNCTION("""COMPUTED_VALUE"""),"https://drive.google.com/file/d/1IaTqa9CmfZK55bGoFGNPoKQopo82Pj7l/view?usp=drivesdk")</f>
        <v>https://drive.google.com/file/d/1IaTqa9CmfZK55bGoFGNPoKQopo82Pj7l/view?usp=drivesdk</v>
      </c>
      <c r="D5424" s="12"/>
      <c r="E5424" s="11">
        <v>5462.0</v>
      </c>
      <c r="F5424" s="2"/>
    </row>
    <row r="5425" ht="1.5" customHeight="1">
      <c r="A5425" s="4" t="str">
        <f>IFERROR(__xludf.DUMMYFUNCTION("""COMPUTED_VALUE"""),"9. Melvin")</f>
        <v>9. Melvin</v>
      </c>
      <c r="B5425" s="4" t="str">
        <f>IFERROR(__xludf.DUMMYFUNCTION("""COMPUTED_VALUE"""),"9")</f>
        <v>9</v>
      </c>
      <c r="C5425" s="5" t="str">
        <f>IFERROR(__xludf.DUMMYFUNCTION("""COMPUTED_VALUE"""),"https://drive.google.com/file/d/1ekmSHzlTAWhYqT6vFzkQHybQ_OoKg1uU/view?usp=drivesdk")</f>
        <v>https://drive.google.com/file/d/1ekmSHzlTAWhYqT6vFzkQHybQ_OoKg1uU/view?usp=drivesdk</v>
      </c>
      <c r="D5425" s="12"/>
      <c r="E5425" s="11">
        <v>5463.0</v>
      </c>
      <c r="F5425" s="2"/>
    </row>
    <row r="5426" ht="1.5" customHeight="1">
      <c r="A5426" s="4" t="str">
        <f>IFERROR(__xludf.DUMMYFUNCTION("""COMPUTED_VALUE"""),"1. Microwave")</f>
        <v>1. Microwave</v>
      </c>
      <c r="B5426" s="4" t="str">
        <f>IFERROR(__xludf.DUMMYFUNCTION("""COMPUTED_VALUE"""),"1")</f>
        <v>1</v>
      </c>
      <c r="C5426" s="5" t="str">
        <f>IFERROR(__xludf.DUMMYFUNCTION("""COMPUTED_VALUE"""),"https://drive.google.com/file/d/1SBfiPL_Djq55xRLfwlgcNE6sa1SIRyOf/view?usp=drivesdk")</f>
        <v>https://drive.google.com/file/d/1SBfiPL_Djq55xRLfwlgcNE6sa1SIRyOf/view?usp=drivesdk</v>
      </c>
      <c r="D5426" s="12"/>
      <c r="E5426" s="11">
        <v>5464.0</v>
      </c>
      <c r="F5426" s="2"/>
    </row>
    <row r="5427" ht="1.5" customHeight="1">
      <c r="A5427" s="4" t="str">
        <f>IFERROR(__xludf.DUMMYFUNCTION("""COMPUTED_VALUE"""),"1. Microwave")</f>
        <v>1. Microwave</v>
      </c>
      <c r="B5427" s="4" t="str">
        <f>IFERROR(__xludf.DUMMYFUNCTION("""COMPUTED_VALUE"""),"1")</f>
        <v>1</v>
      </c>
      <c r="C5427" s="5" t="str">
        <f>IFERROR(__xludf.DUMMYFUNCTION("""COMPUTED_VALUE"""),"https://drive.google.com/file/d/1PFbF44HHEaaQkFyxoX_bIgwkE8LDqD3B/view?usp=drivesdk")</f>
        <v>https://drive.google.com/file/d/1PFbF44HHEaaQkFyxoX_bIgwkE8LDqD3B/view?usp=drivesdk</v>
      </c>
      <c r="D5427" s="12"/>
      <c r="E5427" s="11">
        <v>5465.0</v>
      </c>
      <c r="F5427" s="2"/>
    </row>
    <row r="5428" ht="1.5" customHeight="1">
      <c r="A5428" s="4" t="str">
        <f>IFERROR(__xludf.DUMMYFUNCTION("""COMPUTED_VALUE"""),"9. Melvin")</f>
        <v>9. Melvin</v>
      </c>
      <c r="B5428" s="4" t="str">
        <f>IFERROR(__xludf.DUMMYFUNCTION("""COMPUTED_VALUE"""),"9")</f>
        <v>9</v>
      </c>
      <c r="C5428" s="5" t="str">
        <f>IFERROR(__xludf.DUMMYFUNCTION("""COMPUTED_VALUE"""),"https://drive.google.com/file/d/134PdlAdhBrDC7p0RWanvFXDABsCD_-R1/view?usp=drivesdk")</f>
        <v>https://drive.google.com/file/d/134PdlAdhBrDC7p0RWanvFXDABsCD_-R1/view?usp=drivesdk</v>
      </c>
      <c r="D5428" s="12"/>
      <c r="E5428" s="11">
        <v>5466.0</v>
      </c>
      <c r="F5428" s="2"/>
    </row>
    <row r="5429" ht="1.5" customHeight="1">
      <c r="A5429" s="4" t="str">
        <f>IFERROR(__xludf.DUMMYFUNCTION("""COMPUTED_VALUE"""),"4. Eggs, 5. Eraser")</f>
        <v>4. Eggs, 5. Eraser</v>
      </c>
      <c r="B5429" s="4" t="str">
        <f>IFERROR(__xludf.DUMMYFUNCTION("""COMPUTED_VALUE"""),"4, 5")</f>
        <v>4, 5</v>
      </c>
      <c r="C5429" s="5" t="str">
        <f>IFERROR(__xludf.DUMMYFUNCTION("""COMPUTED_VALUE"""),"https://drive.google.com/file/d/10RT97jPQqLJswwv0GLBcBnJ9HGh0tF5j/view?usp=drivesdk")</f>
        <v>https://drive.google.com/file/d/10RT97jPQqLJswwv0GLBcBnJ9HGh0tF5j/view?usp=drivesdk</v>
      </c>
      <c r="D5429" s="12"/>
      <c r="E5429" s="11">
        <v>5467.0</v>
      </c>
      <c r="F5429" s="2"/>
    </row>
    <row r="5430" ht="1.5" customHeight="1">
      <c r="A5430" s="4" t="str">
        <f>IFERROR(__xludf.DUMMYFUNCTION("""COMPUTED_VALUE"""),"5. Eraser")</f>
        <v>5. Eraser</v>
      </c>
      <c r="B5430" s="4" t="str">
        <f>IFERROR(__xludf.DUMMYFUNCTION("""COMPUTED_VALUE"""),"5")</f>
        <v>5</v>
      </c>
      <c r="C5430" s="5" t="str">
        <f>IFERROR(__xludf.DUMMYFUNCTION("""COMPUTED_VALUE"""),"https://drive.google.com/file/d/16hVYi-PhGjwJA5kAjzuJumWiAxtAfaSE/view?usp=drivesdk")</f>
        <v>https://drive.google.com/file/d/16hVYi-PhGjwJA5kAjzuJumWiAxtAfaSE/view?usp=drivesdk</v>
      </c>
      <c r="D5430" s="12"/>
      <c r="E5430" s="11">
        <v>5468.0</v>
      </c>
      <c r="F5430" s="2"/>
    </row>
    <row r="5431" ht="1.5" customHeight="1">
      <c r="A5431" s="4" t="str">
        <f>IFERROR(__xludf.DUMMYFUNCTION("""COMPUTED_VALUE"""),"58. Eden")</f>
        <v>58. Eden</v>
      </c>
      <c r="B5431" s="4" t="str">
        <f>IFERROR(__xludf.DUMMYFUNCTION("""COMPUTED_VALUE"""),"58")</f>
        <v>58</v>
      </c>
      <c r="C5431" s="5" t="str">
        <f>IFERROR(__xludf.DUMMYFUNCTION("""COMPUTED_VALUE"""),"https://drive.google.com/file/d/1utNwYEe8VwXP_ZUSoSpCaa-2YspQPvaj/view?usp=drivesdk")</f>
        <v>https://drive.google.com/file/d/1utNwYEe8VwXP_ZUSoSpCaa-2YspQPvaj/view?usp=drivesdk</v>
      </c>
      <c r="D5431" s="12"/>
      <c r="E5431" s="11">
        <v>5469.0</v>
      </c>
      <c r="F5431" s="2"/>
    </row>
    <row r="5432" ht="1.5" customHeight="1">
      <c r="A5432" s="4" t="str">
        <f>IFERROR(__xludf.DUMMYFUNCTION("""COMPUTED_VALUE"""),"1. Microwave")</f>
        <v>1. Microwave</v>
      </c>
      <c r="B5432" s="4" t="str">
        <f>IFERROR(__xludf.DUMMYFUNCTION("""COMPUTED_VALUE"""),"1")</f>
        <v>1</v>
      </c>
      <c r="C5432" s="5" t="str">
        <f>IFERROR(__xludf.DUMMYFUNCTION("""COMPUTED_VALUE"""),"https://drive.google.com/file/d/19bbGBG0i9SScnrDL_32I63teUChzdrPp/view?usp=drivesdk")</f>
        <v>https://drive.google.com/file/d/19bbGBG0i9SScnrDL_32I63teUChzdrPp/view?usp=drivesdk</v>
      </c>
      <c r="D5432" s="12"/>
      <c r="E5432" s="11">
        <v>5470.0</v>
      </c>
      <c r="F5432" s="2"/>
    </row>
    <row r="5433" ht="1.5" customHeight="1">
      <c r="A5433" s="4" t="str">
        <f>IFERROR(__xludf.DUMMYFUNCTION("""COMPUTED_VALUE"""),"1. Microwave")</f>
        <v>1. Microwave</v>
      </c>
      <c r="B5433" s="4" t="str">
        <f>IFERROR(__xludf.DUMMYFUNCTION("""COMPUTED_VALUE"""),"1")</f>
        <v>1</v>
      </c>
      <c r="C5433" s="5" t="str">
        <f>IFERROR(__xludf.DUMMYFUNCTION("""COMPUTED_VALUE"""),"https://drive.google.com/file/d/1L1JYaNBWBpXKSSjbxFtjP609hWt89jlT/view?usp=drivesdk")</f>
        <v>https://drive.google.com/file/d/1L1JYaNBWBpXKSSjbxFtjP609hWt89jlT/view?usp=drivesdk</v>
      </c>
      <c r="D5433" s="12"/>
      <c r="E5433" s="11">
        <v>5471.0</v>
      </c>
      <c r="F5433" s="2"/>
    </row>
    <row r="5434" ht="1.5" customHeight="1">
      <c r="A5434" s="4" t="str">
        <f>IFERROR(__xludf.DUMMYFUNCTION("""COMPUTED_VALUE"""),"9. Melvin")</f>
        <v>9. Melvin</v>
      </c>
      <c r="B5434" s="4" t="str">
        <f>IFERROR(__xludf.DUMMYFUNCTION("""COMPUTED_VALUE"""),"9")</f>
        <v>9</v>
      </c>
      <c r="C5434" s="5" t="str">
        <f>IFERROR(__xludf.DUMMYFUNCTION("""COMPUTED_VALUE"""),"https://drive.google.com/file/d/1AHgj-yKghoaNiqbbuJkx9A8jPoxFII4m/view?usp=drivesdk")</f>
        <v>https://drive.google.com/file/d/1AHgj-yKghoaNiqbbuJkx9A8jPoxFII4m/view?usp=drivesdk</v>
      </c>
      <c r="D5434" s="12"/>
      <c r="E5434" s="11">
        <v>5472.0</v>
      </c>
      <c r="F5434" s="2"/>
    </row>
    <row r="5435" ht="1.5" customHeight="1">
      <c r="A5435" s="4" t="str">
        <f>IFERROR(__xludf.DUMMYFUNCTION("""COMPUTED_VALUE"""),"80. Atzi")</f>
        <v>80. Atzi</v>
      </c>
      <c r="B5435" s="4" t="str">
        <f>IFERROR(__xludf.DUMMYFUNCTION("""COMPUTED_VALUE"""),"80")</f>
        <v>80</v>
      </c>
      <c r="C5435" s="5" t="str">
        <f>IFERROR(__xludf.DUMMYFUNCTION("""COMPUTED_VALUE"""),"https://drive.google.com/file/d/1jHhllbhNxLTjTGBJ2eu9fI831vBLtIHL/view?usp=drivesdk")</f>
        <v>https://drive.google.com/file/d/1jHhllbhNxLTjTGBJ2eu9fI831vBLtIHL/view?usp=drivesdk</v>
      </c>
      <c r="D5435" s="12"/>
      <c r="E5435" s="11">
        <v>5473.0</v>
      </c>
      <c r="F5435" s="2"/>
    </row>
    <row r="5436" ht="1.5" customHeight="1">
      <c r="A5436" s="4" t="str">
        <f>IFERROR(__xludf.DUMMYFUNCTION("""COMPUTED_VALUE"""),"0. NotACat")</f>
        <v>0. NotACat</v>
      </c>
      <c r="B5436" s="4" t="str">
        <f>IFERROR(__xludf.DUMMYFUNCTION("""COMPUTED_VALUE"""),"0")</f>
        <v>0</v>
      </c>
      <c r="C5436" s="5" t="str">
        <f>IFERROR(__xludf.DUMMYFUNCTION("""COMPUTED_VALUE"""),"https://drive.google.com/file/d/14o85JuJQs71aavil2x9wTVU4mmvAbDi2/view?usp=drivesdk")</f>
        <v>https://drive.google.com/file/d/14o85JuJQs71aavil2x9wTVU4mmvAbDi2/view?usp=drivesdk</v>
      </c>
      <c r="D5436" s="12"/>
      <c r="E5436" s="11">
        <v>5474.0</v>
      </c>
      <c r="F5436" s="2"/>
    </row>
    <row r="5437" ht="1.5" customHeight="1">
      <c r="A5437" s="4" t="str">
        <f>IFERROR(__xludf.DUMMYFUNCTION("""COMPUTED_VALUE"""),"42. Rubber")</f>
        <v>42. Rubber</v>
      </c>
      <c r="B5437" s="4" t="str">
        <f>IFERROR(__xludf.DUMMYFUNCTION("""COMPUTED_VALUE"""),"42")</f>
        <v>42</v>
      </c>
      <c r="C5437" s="5" t="str">
        <f>IFERROR(__xludf.DUMMYFUNCTION("""COMPUTED_VALUE"""),"https://drive.google.com/file/d/16A8BDqLp9IZuofm4EoM_4iCSnuxhVa4c/view?usp=drivesdk")</f>
        <v>https://drive.google.com/file/d/16A8BDqLp9IZuofm4EoM_4iCSnuxhVa4c/view?usp=drivesdk</v>
      </c>
      <c r="D5437" s="12"/>
      <c r="E5437" s="11">
        <v>5475.0</v>
      </c>
      <c r="F5437" s="2"/>
    </row>
    <row r="5438" ht="1.5" customHeight="1">
      <c r="A5438" s="4" t="str">
        <f>IFERROR(__xludf.DUMMYFUNCTION("""COMPUTED_VALUE"""),"42. Rubber")</f>
        <v>42. Rubber</v>
      </c>
      <c r="B5438" s="4" t="str">
        <f>IFERROR(__xludf.DUMMYFUNCTION("""COMPUTED_VALUE"""),"42")</f>
        <v>42</v>
      </c>
      <c r="C5438" s="5" t="str">
        <f>IFERROR(__xludf.DUMMYFUNCTION("""COMPUTED_VALUE"""),"https://drive.google.com/file/d/19QGwcIZqY-y6oBVASV0aER8iK3wqkAKJ/view?usp=drivesdk")</f>
        <v>https://drive.google.com/file/d/19QGwcIZqY-y6oBVASV0aER8iK3wqkAKJ/view?usp=drivesdk</v>
      </c>
      <c r="D5438" s="12"/>
      <c r="E5438" s="11">
        <v>5476.0</v>
      </c>
      <c r="F5438" s="2"/>
    </row>
    <row r="5439" ht="1.5" customHeight="1">
      <c r="A5439" s="4" t="str">
        <f>IFERROR(__xludf.DUMMYFUNCTION("""COMPUTED_VALUE"""),"42. Rubber")</f>
        <v>42. Rubber</v>
      </c>
      <c r="B5439" s="4" t="str">
        <f>IFERROR(__xludf.DUMMYFUNCTION("""COMPUTED_VALUE"""),"42")</f>
        <v>42</v>
      </c>
      <c r="C5439" s="5" t="str">
        <f>IFERROR(__xludf.DUMMYFUNCTION("""COMPUTED_VALUE"""),"https://drive.google.com/file/d/13WedUIv4DNkhwfumpr59a6_EcohTkTr9/view?usp=drivesdk")</f>
        <v>https://drive.google.com/file/d/13WedUIv4DNkhwfumpr59a6_EcohTkTr9/view?usp=drivesdk</v>
      </c>
      <c r="D5439" s="12"/>
      <c r="E5439" s="11">
        <v>5477.0</v>
      </c>
      <c r="F5439" s="2"/>
    </row>
    <row r="5440" ht="1.5" customHeight="1">
      <c r="A5440" s="4" t="str">
        <f>IFERROR(__xludf.DUMMYFUNCTION("""COMPUTED_VALUE"""),"42. Rubber")</f>
        <v>42. Rubber</v>
      </c>
      <c r="B5440" s="4" t="str">
        <f>IFERROR(__xludf.DUMMYFUNCTION("""COMPUTED_VALUE"""),"42")</f>
        <v>42</v>
      </c>
      <c r="C5440" s="5" t="str">
        <f>IFERROR(__xludf.DUMMYFUNCTION("""COMPUTED_VALUE"""),"https://drive.google.com/file/d/156VPWC6TqUhYHPFDztiftGwWrfxpHGxk/view?usp=drivesdk")</f>
        <v>https://drive.google.com/file/d/156VPWC6TqUhYHPFDztiftGwWrfxpHGxk/view?usp=drivesdk</v>
      </c>
      <c r="D5440" s="12"/>
      <c r="E5440" s="11">
        <v>5478.0</v>
      </c>
      <c r="F5440" s="2"/>
    </row>
    <row r="5441" ht="1.5" customHeight="1">
      <c r="A5441" s="4" t="str">
        <f>IFERROR(__xludf.DUMMYFUNCTION("""COMPUTED_VALUE"""),"1. Microwave")</f>
        <v>1. Microwave</v>
      </c>
      <c r="B5441" s="4" t="str">
        <f>IFERROR(__xludf.DUMMYFUNCTION("""COMPUTED_VALUE"""),"1")</f>
        <v>1</v>
      </c>
      <c r="C5441" s="5" t="str">
        <f>IFERROR(__xludf.DUMMYFUNCTION("""COMPUTED_VALUE"""),"https://drive.google.com/file/d/1M6Ii5PXHua7TuSmFzLx5BORZ78t95mEy/view?usp=drivesdk")</f>
        <v>https://drive.google.com/file/d/1M6Ii5PXHua7TuSmFzLx5BORZ78t95mEy/view?usp=drivesdk</v>
      </c>
      <c r="D5441" s="12"/>
      <c r="E5441" s="11">
        <v>5479.0</v>
      </c>
      <c r="F5441" s="2"/>
    </row>
    <row r="5442" ht="1.5" customHeight="1">
      <c r="A5442" s="4" t="str">
        <f>IFERROR(__xludf.DUMMYFUNCTION("""COMPUTED_VALUE"""),"1. Microwave")</f>
        <v>1. Microwave</v>
      </c>
      <c r="B5442" s="4" t="str">
        <f>IFERROR(__xludf.DUMMYFUNCTION("""COMPUTED_VALUE"""),"1")</f>
        <v>1</v>
      </c>
      <c r="C5442" s="5" t="str">
        <f>IFERROR(__xludf.DUMMYFUNCTION("""COMPUTED_VALUE"""),"https://drive.google.com/file/d/1lRSXlr6_7kSShca1cGmCUTKymwWRk1va/view?usp=drivesdk")</f>
        <v>https://drive.google.com/file/d/1lRSXlr6_7kSShca1cGmCUTKymwWRk1va/view?usp=drivesdk</v>
      </c>
      <c r="D5442" s="12"/>
      <c r="E5442" s="11">
        <v>5480.0</v>
      </c>
      <c r="F5442" s="2"/>
    </row>
    <row r="5443" ht="1.5" customHeight="1">
      <c r="A5443" s="4" t="str">
        <f>IFERROR(__xludf.DUMMYFUNCTION("""COMPUTED_VALUE"""),"1. Microwave")</f>
        <v>1. Microwave</v>
      </c>
      <c r="B5443" s="4" t="str">
        <f>IFERROR(__xludf.DUMMYFUNCTION("""COMPUTED_VALUE"""),"1")</f>
        <v>1</v>
      </c>
      <c r="C5443" s="5" t="str">
        <f>IFERROR(__xludf.DUMMYFUNCTION("""COMPUTED_VALUE"""),"https://drive.google.com/file/d/1PScFz_MTO2sWNWhQInReuINmnA-SLcX0/view?usp=drivesdk")</f>
        <v>https://drive.google.com/file/d/1PScFz_MTO2sWNWhQInReuINmnA-SLcX0/view?usp=drivesdk</v>
      </c>
      <c r="D5443" s="12"/>
      <c r="E5443" s="11">
        <v>5481.0</v>
      </c>
      <c r="F5443" s="2"/>
    </row>
    <row r="5444" ht="1.5" customHeight="1">
      <c r="A5444" s="4" t="str">
        <f>IFERROR(__xludf.DUMMYFUNCTION("""COMPUTED_VALUE"""),"1. Microwave")</f>
        <v>1. Microwave</v>
      </c>
      <c r="B5444" s="4" t="str">
        <f>IFERROR(__xludf.DUMMYFUNCTION("""COMPUTED_VALUE"""),"1")</f>
        <v>1</v>
      </c>
      <c r="C5444" s="5" t="str">
        <f>IFERROR(__xludf.DUMMYFUNCTION("""COMPUTED_VALUE"""),"https://drive.google.com/file/d/17avCAQye7eqrLay7htFT107Z9Ysyo8CP/view?usp=drivesdk")</f>
        <v>https://drive.google.com/file/d/17avCAQye7eqrLay7htFT107Z9Ysyo8CP/view?usp=drivesdk</v>
      </c>
      <c r="D5444" s="12"/>
      <c r="E5444" s="11">
        <v>5482.0</v>
      </c>
      <c r="F5444" s="2"/>
    </row>
    <row r="5445" ht="1.5" customHeight="1">
      <c r="A5445" s="4" t="str">
        <f>IFERROR(__xludf.DUMMYFUNCTION("""COMPUTED_VALUE"""),"41. Gregory")</f>
        <v>41. Gregory</v>
      </c>
      <c r="B5445" s="4" t="str">
        <f>IFERROR(__xludf.DUMMYFUNCTION("""COMPUTED_VALUE"""),"41")</f>
        <v>41</v>
      </c>
      <c r="C5445" s="5" t="str">
        <f>IFERROR(__xludf.DUMMYFUNCTION("""COMPUTED_VALUE"""),"https://drive.google.com/file/d/1sFdVT6myvmKQrc5l2rjxUyMxPr1taofi/view?usp=drivesdk")</f>
        <v>https://drive.google.com/file/d/1sFdVT6myvmKQrc5l2rjxUyMxPr1taofi/view?usp=drivesdk</v>
      </c>
      <c r="D5445" s="12"/>
      <c r="E5445" s="11">
        <v>5483.0</v>
      </c>
      <c r="F5445" s="2"/>
    </row>
    <row r="5446" ht="1.5" customHeight="1">
      <c r="A5446" s="4" t="str">
        <f>IFERROR(__xludf.DUMMYFUNCTION("""COMPUTED_VALUE"""),"41. Gregory")</f>
        <v>41. Gregory</v>
      </c>
      <c r="B5446" s="4" t="str">
        <f>IFERROR(__xludf.DUMMYFUNCTION("""COMPUTED_VALUE"""),"41")</f>
        <v>41</v>
      </c>
      <c r="C5446" s="5" t="str">
        <f>IFERROR(__xludf.DUMMYFUNCTION("""COMPUTED_VALUE"""),"https://drive.google.com/file/d/1CovnRZvYkKVz5bGpG0XDJF08Zvsl59D1/view?usp=drivesdk")</f>
        <v>https://drive.google.com/file/d/1CovnRZvYkKVz5bGpG0XDJF08Zvsl59D1/view?usp=drivesdk</v>
      </c>
      <c r="D5446" s="12"/>
      <c r="E5446" s="11">
        <v>5484.0</v>
      </c>
      <c r="F5446" s="2"/>
    </row>
    <row r="5447" ht="1.5" customHeight="1">
      <c r="A5447" s="4" t="str">
        <f>IFERROR(__xludf.DUMMYFUNCTION("""COMPUTED_VALUE"""),"41. Gregory")</f>
        <v>41. Gregory</v>
      </c>
      <c r="B5447" s="4" t="str">
        <f>IFERROR(__xludf.DUMMYFUNCTION("""COMPUTED_VALUE"""),"41")</f>
        <v>41</v>
      </c>
      <c r="C5447" s="5" t="str">
        <f>IFERROR(__xludf.DUMMYFUNCTION("""COMPUTED_VALUE"""),"https://drive.google.com/file/d/1xT6iJngh_C62IUDpMRyw022gKTC04IvF/view?usp=drivesdk")</f>
        <v>https://drive.google.com/file/d/1xT6iJngh_C62IUDpMRyw022gKTC04IvF/view?usp=drivesdk</v>
      </c>
      <c r="D5447" s="12"/>
      <c r="E5447" s="11">
        <v>5485.0</v>
      </c>
      <c r="F5447" s="2"/>
    </row>
    <row r="5448" ht="1.5" customHeight="1">
      <c r="A5448" s="4" t="str">
        <f>IFERROR(__xludf.DUMMYFUNCTION("""COMPUTED_VALUE"""),"1. Microwave")</f>
        <v>1. Microwave</v>
      </c>
      <c r="B5448" s="4" t="str">
        <f>IFERROR(__xludf.DUMMYFUNCTION("""COMPUTED_VALUE"""),"1")</f>
        <v>1</v>
      </c>
      <c r="C5448" s="5" t="str">
        <f>IFERROR(__xludf.DUMMYFUNCTION("""COMPUTED_VALUE"""),"https://drive.google.com/file/d/1uT1V_SFmQ9OtedwfzNOaGGoBvHE3-kHH/view?usp=drivesdk")</f>
        <v>https://drive.google.com/file/d/1uT1V_SFmQ9OtedwfzNOaGGoBvHE3-kHH/view?usp=drivesdk</v>
      </c>
      <c r="D5448" s="12"/>
      <c r="E5448" s="11">
        <v>5486.0</v>
      </c>
      <c r="F5448" s="2"/>
    </row>
    <row r="5449" ht="1.5" customHeight="1">
      <c r="A5449" s="4" t="str">
        <f>IFERROR(__xludf.DUMMYFUNCTION("""COMPUTED_VALUE"""),"1. Microwave")</f>
        <v>1. Microwave</v>
      </c>
      <c r="B5449" s="4" t="str">
        <f>IFERROR(__xludf.DUMMYFUNCTION("""COMPUTED_VALUE"""),"1")</f>
        <v>1</v>
      </c>
      <c r="C5449" s="5" t="str">
        <f>IFERROR(__xludf.DUMMYFUNCTION("""COMPUTED_VALUE"""),"https://drive.google.com/file/d/1uyI_prYRwe97bbGZAdNaw85wSgYi7Gry/view?usp=drivesdk")</f>
        <v>https://drive.google.com/file/d/1uyI_prYRwe97bbGZAdNaw85wSgYi7Gry/view?usp=drivesdk</v>
      </c>
      <c r="D5449" s="12"/>
      <c r="E5449" s="11">
        <v>5487.0</v>
      </c>
      <c r="F5449" s="2"/>
    </row>
    <row r="5450" ht="1.5" customHeight="1">
      <c r="A5450" s="4" t="str">
        <f>IFERROR(__xludf.DUMMYFUNCTION("""COMPUTED_VALUE"""),"1. Microwave")</f>
        <v>1. Microwave</v>
      </c>
      <c r="B5450" s="4" t="str">
        <f>IFERROR(__xludf.DUMMYFUNCTION("""COMPUTED_VALUE"""),"1")</f>
        <v>1</v>
      </c>
      <c r="C5450" s="5" t="str">
        <f>IFERROR(__xludf.DUMMYFUNCTION("""COMPUTED_VALUE"""),"https://drive.google.com/file/d/1glor-SJqZMOYSd2FlPUTvh6xGJ5oU_N2/view?usp=drivesdk")</f>
        <v>https://drive.google.com/file/d/1glor-SJqZMOYSd2FlPUTvh6xGJ5oU_N2/view?usp=drivesdk</v>
      </c>
      <c r="D5450" s="12"/>
      <c r="E5450" s="11">
        <v>5488.0</v>
      </c>
      <c r="F5450" s="2"/>
    </row>
    <row r="5451" ht="1.5" customHeight="1">
      <c r="A5451" s="4" t="str">
        <f>IFERROR(__xludf.DUMMYFUNCTION("""COMPUTED_VALUE"""),"1. Microwave")</f>
        <v>1. Microwave</v>
      </c>
      <c r="B5451" s="4" t="str">
        <f>IFERROR(__xludf.DUMMYFUNCTION("""COMPUTED_VALUE"""),"1")</f>
        <v>1</v>
      </c>
      <c r="C5451" s="5" t="str">
        <f>IFERROR(__xludf.DUMMYFUNCTION("""COMPUTED_VALUE"""),"https://drive.google.com/file/d/1cs_2Rjjcv-PuCPaSG7F112meUL0VwU3U/view?usp=drivesdk")</f>
        <v>https://drive.google.com/file/d/1cs_2Rjjcv-PuCPaSG7F112meUL0VwU3U/view?usp=drivesdk</v>
      </c>
      <c r="D5451" s="12"/>
      <c r="E5451" s="11">
        <v>5489.0</v>
      </c>
      <c r="F5451" s="2"/>
    </row>
    <row r="5452" ht="1.5" customHeight="1">
      <c r="A5452" s="4" t="str">
        <f>IFERROR(__xludf.DUMMYFUNCTION("""COMPUTED_VALUE"""),"1. Microwave")</f>
        <v>1. Microwave</v>
      </c>
      <c r="B5452" s="4" t="str">
        <f>IFERROR(__xludf.DUMMYFUNCTION("""COMPUTED_VALUE"""),"1")</f>
        <v>1</v>
      </c>
      <c r="C5452" s="5" t="str">
        <f>IFERROR(__xludf.DUMMYFUNCTION("""COMPUTED_VALUE"""),"https://drive.google.com/file/d/12T_ZSjm2abN41FBdJ2huXockBcyrJo5U/view?usp=drivesdk")</f>
        <v>https://drive.google.com/file/d/12T_ZSjm2abN41FBdJ2huXockBcyrJo5U/view?usp=drivesdk</v>
      </c>
      <c r="D5452" s="12"/>
      <c r="E5452" s="11">
        <v>5490.0</v>
      </c>
      <c r="F5452" s="2"/>
    </row>
    <row r="5453" ht="1.5" customHeight="1">
      <c r="A5453" s="4" t="str">
        <f>IFERROR(__xludf.DUMMYFUNCTION("""COMPUTED_VALUE"""),"1. Microwave")</f>
        <v>1. Microwave</v>
      </c>
      <c r="B5453" s="4" t="str">
        <f>IFERROR(__xludf.DUMMYFUNCTION("""COMPUTED_VALUE"""),"1")</f>
        <v>1</v>
      </c>
      <c r="C5453" s="5" t="str">
        <f>IFERROR(__xludf.DUMMYFUNCTION("""COMPUTED_VALUE"""),"https://drive.google.com/file/d/1jMH0sapBaLKm184ktGePe-HjMNNqNE4Y/view?usp=drivesdk")</f>
        <v>https://drive.google.com/file/d/1jMH0sapBaLKm184ktGePe-HjMNNqNE4Y/view?usp=drivesdk</v>
      </c>
      <c r="D5453" s="12"/>
      <c r="E5453" s="11">
        <v>5491.0</v>
      </c>
      <c r="F5453" s="2"/>
    </row>
    <row r="5454" ht="1.5" customHeight="1">
      <c r="A5454" s="4" t="str">
        <f>IFERROR(__xludf.DUMMYFUNCTION("""COMPUTED_VALUE"""),"1. Microwave")</f>
        <v>1. Microwave</v>
      </c>
      <c r="B5454" s="4" t="str">
        <f>IFERROR(__xludf.DUMMYFUNCTION("""COMPUTED_VALUE"""),"1")</f>
        <v>1</v>
      </c>
      <c r="C5454" s="5" t="str">
        <f>IFERROR(__xludf.DUMMYFUNCTION("""COMPUTED_VALUE"""),"https://drive.google.com/file/d/1BpNyWf2YAfg78MxhSxtxedV8vbUnr7R6/view?usp=drivesdk")</f>
        <v>https://drive.google.com/file/d/1BpNyWf2YAfg78MxhSxtxedV8vbUnr7R6/view?usp=drivesdk</v>
      </c>
      <c r="D5454" s="12"/>
      <c r="E5454" s="11">
        <v>5492.0</v>
      </c>
      <c r="F5454" s="2"/>
    </row>
    <row r="5455" ht="1.5" customHeight="1">
      <c r="A5455" s="4" t="str">
        <f>IFERROR(__xludf.DUMMYFUNCTION("""COMPUTED_VALUE"""),"1. Microwave")</f>
        <v>1. Microwave</v>
      </c>
      <c r="B5455" s="4" t="str">
        <f>IFERROR(__xludf.DUMMYFUNCTION("""COMPUTED_VALUE"""),"1")</f>
        <v>1</v>
      </c>
      <c r="C5455" s="5" t="str">
        <f>IFERROR(__xludf.DUMMYFUNCTION("""COMPUTED_VALUE"""),"https://drive.google.com/file/d/17ZVSn6zT32BsnlANrA_ePAQaiPRDmBbm/view?usp=drivesdk")</f>
        <v>https://drive.google.com/file/d/17ZVSn6zT32BsnlANrA_ePAQaiPRDmBbm/view?usp=drivesdk</v>
      </c>
      <c r="D5455" s="12"/>
      <c r="E5455" s="11">
        <v>5493.0</v>
      </c>
      <c r="F5455" s="2"/>
    </row>
    <row r="5456" ht="1.5" customHeight="1">
      <c r="A5456" s="4" t="str">
        <f>IFERROR(__xludf.DUMMYFUNCTION("""COMPUTED_VALUE"""),"1. Microwave")</f>
        <v>1. Microwave</v>
      </c>
      <c r="B5456" s="4" t="str">
        <f>IFERROR(__xludf.DUMMYFUNCTION("""COMPUTED_VALUE"""),"1")</f>
        <v>1</v>
      </c>
      <c r="C5456" s="5" t="str">
        <f>IFERROR(__xludf.DUMMYFUNCTION("""COMPUTED_VALUE"""),"https://drive.google.com/file/d/1auM0dDnWVQpA1GwVZVKCv7W9jv7E46yq/view?usp=drivesdk")</f>
        <v>https://drive.google.com/file/d/1auM0dDnWVQpA1GwVZVKCv7W9jv7E46yq/view?usp=drivesdk</v>
      </c>
      <c r="D5456" s="12"/>
      <c r="E5456" s="11">
        <v>5494.0</v>
      </c>
      <c r="F5456" s="2"/>
    </row>
    <row r="5457" ht="1.5" customHeight="1">
      <c r="A5457" s="4" t="str">
        <f>IFERROR(__xludf.DUMMYFUNCTION("""COMPUTED_VALUE"""),"1. Microwave")</f>
        <v>1. Microwave</v>
      </c>
      <c r="B5457" s="4" t="str">
        <f>IFERROR(__xludf.DUMMYFUNCTION("""COMPUTED_VALUE"""),"1")</f>
        <v>1</v>
      </c>
      <c r="C5457" s="5" t="str">
        <f>IFERROR(__xludf.DUMMYFUNCTION("""COMPUTED_VALUE"""),"https://drive.google.com/file/d/1DGxOIzYfcYvQOjY92g7tWj4AeHlh0Tjy/view?usp=drivesdk")</f>
        <v>https://drive.google.com/file/d/1DGxOIzYfcYvQOjY92g7tWj4AeHlh0Tjy/view?usp=drivesdk</v>
      </c>
      <c r="D5457" s="12"/>
      <c r="E5457" s="11">
        <v>5495.0</v>
      </c>
      <c r="F5457" s="2"/>
    </row>
    <row r="5458" ht="1.5" customHeight="1">
      <c r="A5458" s="4" t="str">
        <f>IFERROR(__xludf.DUMMYFUNCTION("""COMPUTED_VALUE"""),"1. Microwave")</f>
        <v>1. Microwave</v>
      </c>
      <c r="B5458" s="4" t="str">
        <f>IFERROR(__xludf.DUMMYFUNCTION("""COMPUTED_VALUE"""),"1")</f>
        <v>1</v>
      </c>
      <c r="C5458" s="5" t="str">
        <f>IFERROR(__xludf.DUMMYFUNCTION("""COMPUTED_VALUE"""),"https://drive.google.com/file/d/19jbppFVUfYAj_zrCBZYQECqnyK2T2dOP/view?usp=drivesdk")</f>
        <v>https://drive.google.com/file/d/19jbppFVUfYAj_zrCBZYQECqnyK2T2dOP/view?usp=drivesdk</v>
      </c>
      <c r="D5458" s="12"/>
      <c r="E5458" s="11">
        <v>5496.0</v>
      </c>
      <c r="F5458" s="2"/>
    </row>
    <row r="5459" ht="1.5" customHeight="1">
      <c r="A5459" s="4" t="str">
        <f>IFERROR(__xludf.DUMMYFUNCTION("""COMPUTED_VALUE"""),"1. Microwave")</f>
        <v>1. Microwave</v>
      </c>
      <c r="B5459" s="4" t="str">
        <f>IFERROR(__xludf.DUMMYFUNCTION("""COMPUTED_VALUE"""),"1")</f>
        <v>1</v>
      </c>
      <c r="C5459" s="5" t="str">
        <f>IFERROR(__xludf.DUMMYFUNCTION("""COMPUTED_VALUE"""),"https://drive.google.com/file/d/1ZV6ECt_nE6ELjZHD7a6b0pXDmkzaUbLL/view?usp=drivesdk")</f>
        <v>https://drive.google.com/file/d/1ZV6ECt_nE6ELjZHD7a6b0pXDmkzaUbLL/view?usp=drivesdk</v>
      </c>
      <c r="D5459" s="12"/>
      <c r="E5459" s="11">
        <v>5497.0</v>
      </c>
      <c r="F5459" s="2"/>
    </row>
    <row r="5460" ht="1.5" customHeight="1">
      <c r="A5460" s="4" t="str">
        <f>IFERROR(__xludf.DUMMYFUNCTION("""COMPUTED_VALUE"""),"1. Microwave")</f>
        <v>1. Microwave</v>
      </c>
      <c r="B5460" s="4" t="str">
        <f>IFERROR(__xludf.DUMMYFUNCTION("""COMPUTED_VALUE"""),"1")</f>
        <v>1</v>
      </c>
      <c r="C5460" s="5" t="str">
        <f>IFERROR(__xludf.DUMMYFUNCTION("""COMPUTED_VALUE"""),"https://drive.google.com/file/d/1NQrBqKR3iydnIQyH6W3z8h6MMX54rYDt/view?usp=drivesdk")</f>
        <v>https://drive.google.com/file/d/1NQrBqKR3iydnIQyH6W3z8h6MMX54rYDt/view?usp=drivesdk</v>
      </c>
      <c r="D5460" s="12"/>
      <c r="E5460" s="11">
        <v>5498.0</v>
      </c>
      <c r="F5460" s="2"/>
    </row>
    <row r="5461" ht="1.5" customHeight="1">
      <c r="A5461" s="4" t="str">
        <f>IFERROR(__xludf.DUMMYFUNCTION("""COMPUTED_VALUE"""),"1. Microwave")</f>
        <v>1. Microwave</v>
      </c>
      <c r="B5461" s="4" t="str">
        <f>IFERROR(__xludf.DUMMYFUNCTION("""COMPUTED_VALUE"""),"1")</f>
        <v>1</v>
      </c>
      <c r="C5461" s="5" t="str">
        <f>IFERROR(__xludf.DUMMYFUNCTION("""COMPUTED_VALUE"""),"https://drive.google.com/file/d/1DMv7iWa4qKJcXb-2iT7smYbZsb2GVj8J/view?usp=drivesdk")</f>
        <v>https://drive.google.com/file/d/1DMv7iWa4qKJcXb-2iT7smYbZsb2GVj8J/view?usp=drivesdk</v>
      </c>
      <c r="D5461" s="12"/>
      <c r="E5461" s="11">
        <v>5499.0</v>
      </c>
      <c r="F5461" s="2"/>
    </row>
    <row r="5462" ht="1.5" customHeight="1">
      <c r="A5462" s="4" t="str">
        <f>IFERROR(__xludf.DUMMYFUNCTION("""COMPUTED_VALUE"""),"1. Microwave")</f>
        <v>1. Microwave</v>
      </c>
      <c r="B5462" s="4" t="str">
        <f>IFERROR(__xludf.DUMMYFUNCTION("""COMPUTED_VALUE"""),"1")</f>
        <v>1</v>
      </c>
      <c r="C5462" s="5" t="str">
        <f>IFERROR(__xludf.DUMMYFUNCTION("""COMPUTED_VALUE"""),"https://drive.google.com/file/d/1qtbS5sCPGw2ZUqRbE-dygOp6j59UNiG1/view?usp=drivesdk")</f>
        <v>https://drive.google.com/file/d/1qtbS5sCPGw2ZUqRbE-dygOp6j59UNiG1/view?usp=drivesdk</v>
      </c>
      <c r="D5462" s="12"/>
      <c r="E5462" s="11">
        <v>5500.0</v>
      </c>
      <c r="F5462" s="2"/>
    </row>
    <row r="5463" ht="1.5" customHeight="1">
      <c r="A5463" s="4" t="str">
        <f>IFERROR(__xludf.DUMMYFUNCTION("""COMPUTED_VALUE"""),"1. Microwave")</f>
        <v>1. Microwave</v>
      </c>
      <c r="B5463" s="4" t="str">
        <f>IFERROR(__xludf.DUMMYFUNCTION("""COMPUTED_VALUE"""),"1")</f>
        <v>1</v>
      </c>
      <c r="C5463" s="5" t="str">
        <f>IFERROR(__xludf.DUMMYFUNCTION("""COMPUTED_VALUE"""),"https://drive.google.com/file/d/14-Gyw_Gs1grCW-W6bbCMMxnHSLytE8Zf/view?usp=drivesdk")</f>
        <v>https://drive.google.com/file/d/14-Gyw_Gs1grCW-W6bbCMMxnHSLytE8Zf/view?usp=drivesdk</v>
      </c>
      <c r="D5463" s="12"/>
      <c r="E5463" s="11">
        <v>5501.0</v>
      </c>
      <c r="F5463" s="2"/>
    </row>
    <row r="5464" ht="1.5" customHeight="1">
      <c r="A5464" s="4" t="str">
        <f>IFERROR(__xludf.DUMMYFUNCTION("""COMPUTED_VALUE"""),"4. Eggs")</f>
        <v>4. Eggs</v>
      </c>
      <c r="B5464" s="4" t="str">
        <f>IFERROR(__xludf.DUMMYFUNCTION("""COMPUTED_VALUE"""),"4")</f>
        <v>4</v>
      </c>
      <c r="C5464" s="5" t="str">
        <f>IFERROR(__xludf.DUMMYFUNCTION("""COMPUTED_VALUE"""),"https://drive.google.com/file/d/1I4Hj5R1jAMIbpTH3zBgdyuva4ons0Lya/view?usp=drivesdk")</f>
        <v>https://drive.google.com/file/d/1I4Hj5R1jAMIbpTH3zBgdyuva4ons0Lya/view?usp=drivesdk</v>
      </c>
      <c r="D5464" s="12"/>
      <c r="E5464" s="11">
        <v>5502.0</v>
      </c>
      <c r="F5464" s="2"/>
    </row>
    <row r="5465" ht="1.5" customHeight="1">
      <c r="A5465" s="4" t="str">
        <f>IFERROR(__xludf.DUMMYFUNCTION("""COMPUTED_VALUE"""),"0. NotACat")</f>
        <v>0. NotACat</v>
      </c>
      <c r="B5465" s="4" t="str">
        <f>IFERROR(__xludf.DUMMYFUNCTION("""COMPUTED_VALUE"""),"0")</f>
        <v>0</v>
      </c>
      <c r="C5465" s="5" t="str">
        <f>IFERROR(__xludf.DUMMYFUNCTION("""COMPUTED_VALUE"""),"https://drive.google.com/file/d/1OBX0YWmWCpqH6FHeDYsxuWXiTafxniYt/view?usp=drivesdk")</f>
        <v>https://drive.google.com/file/d/1OBX0YWmWCpqH6FHeDYsxuWXiTafxniYt/view?usp=drivesdk</v>
      </c>
      <c r="D5465" s="12"/>
      <c r="E5465" s="11">
        <v>5503.0</v>
      </c>
      <c r="F5465" s="2"/>
    </row>
    <row r="5466" ht="1.5" customHeight="1">
      <c r="A5466" s="4" t="str">
        <f>IFERROR(__xludf.DUMMYFUNCTION("""COMPUTED_VALUE"""),"4. Eggs, 5. Eraser")</f>
        <v>4. Eggs, 5. Eraser</v>
      </c>
      <c r="B5466" s="4" t="str">
        <f>IFERROR(__xludf.DUMMYFUNCTION("""COMPUTED_VALUE"""),"4, 5")</f>
        <v>4, 5</v>
      </c>
      <c r="C5466" s="5" t="str">
        <f>IFERROR(__xludf.DUMMYFUNCTION("""COMPUTED_VALUE"""),"https://drive.google.com/file/d/1aG3hM-SQHZewz2H_ab88D0TokoWOdBYR/view?usp=drivesdk")</f>
        <v>https://drive.google.com/file/d/1aG3hM-SQHZewz2H_ab88D0TokoWOdBYR/view?usp=drivesdk</v>
      </c>
      <c r="D5466" s="12"/>
      <c r="E5466" s="11">
        <v>5504.0</v>
      </c>
      <c r="F5466" s="2"/>
    </row>
    <row r="5467" ht="1.5" customHeight="1">
      <c r="A5467" s="4" t="str">
        <f>IFERROR(__xludf.DUMMYFUNCTION("""COMPUTED_VALUE"""),"5. Eraser")</f>
        <v>5. Eraser</v>
      </c>
      <c r="B5467" s="4" t="str">
        <f>IFERROR(__xludf.DUMMYFUNCTION("""COMPUTED_VALUE"""),"5")</f>
        <v>5</v>
      </c>
      <c r="C5467" s="5" t="str">
        <f>IFERROR(__xludf.DUMMYFUNCTION("""COMPUTED_VALUE"""),"https://drive.google.com/file/d/1IuPXoxa4XWM9PAAhiyJi1MwffE6MoywA/view?usp=drivesdk")</f>
        <v>https://drive.google.com/file/d/1IuPXoxa4XWM9PAAhiyJi1MwffE6MoywA/view?usp=drivesdk</v>
      </c>
      <c r="D5467" s="12"/>
      <c r="E5467" s="11">
        <v>5505.0</v>
      </c>
      <c r="F5467" s="2"/>
    </row>
    <row r="5468" ht="1.5" customHeight="1">
      <c r="A5468" s="4" t="str">
        <f>IFERROR(__xludf.DUMMYFUNCTION("""COMPUTED_VALUE"""),"39. Radar, 88. Vincente, 40. Dumpster, 45. Boots, 38. Winston, 95. Ariel, 44. Shitbag Cuntface")</f>
        <v>39. Radar, 88. Vincente, 40. Dumpster, 45. Boots, 38. Winston, 95. Ariel, 44. Shitbag Cuntface</v>
      </c>
      <c r="B5468" s="4" t="str">
        <f>IFERROR(__xludf.DUMMYFUNCTION("""COMPUTED_VALUE"""),"39, 88, 40, 45, 38, 95, 44")</f>
        <v>39, 88, 40, 45, 38, 95, 44</v>
      </c>
      <c r="C5468" s="5" t="str">
        <f>IFERROR(__xludf.DUMMYFUNCTION("""COMPUTED_VALUE"""),"https://drive.google.com/file/d/12sVbiB9_c2nVEbiJzLuKsZCHaTQrIz3t/view?usp=drivesdk")</f>
        <v>https://drive.google.com/file/d/12sVbiB9_c2nVEbiJzLuKsZCHaTQrIz3t/view?usp=drivesdk</v>
      </c>
      <c r="D5468" s="12"/>
      <c r="E5468" s="11">
        <v>5506.0</v>
      </c>
      <c r="F5468" s="2"/>
    </row>
    <row r="5469" ht="1.5" customHeight="1">
      <c r="A5469" s="4" t="str">
        <f>IFERROR(__xludf.DUMMYFUNCTION("""COMPUTED_VALUE"""),"39. Radar, 88. Vincente, 38. Winston, 40. Dumpster, 45. Boots, 95. Ariel, 44. Shitbag Cuntface")</f>
        <v>39. Radar, 88. Vincente, 38. Winston, 40. Dumpster, 45. Boots, 95. Ariel, 44. Shitbag Cuntface</v>
      </c>
      <c r="B5469" s="4" t="str">
        <f>IFERROR(__xludf.DUMMYFUNCTION("""COMPUTED_VALUE"""),"39, 88, 38, 40, 45, 95, 44")</f>
        <v>39, 88, 38, 40, 45, 95, 44</v>
      </c>
      <c r="C5469" s="5" t="str">
        <f>IFERROR(__xludf.DUMMYFUNCTION("""COMPUTED_VALUE"""),"https://drive.google.com/file/d/1RW-MYQUB_4nk62kJv52-WEEuXzBvIrWk/view?usp=drivesdk")</f>
        <v>https://drive.google.com/file/d/1RW-MYQUB_4nk62kJv52-WEEuXzBvIrWk/view?usp=drivesdk</v>
      </c>
      <c r="D5469" s="12"/>
      <c r="E5469" s="11">
        <v>5507.0</v>
      </c>
      <c r="F5469" s="2"/>
    </row>
    <row r="5470" ht="1.5" customHeight="1">
      <c r="A5470" s="4" t="str">
        <f>IFERROR(__xludf.DUMMYFUNCTION("""COMPUTED_VALUE"""),"45. Boots, 44. Shitbag Cuntface, 95. Ariel")</f>
        <v>45. Boots, 44. Shitbag Cuntface, 95. Ariel</v>
      </c>
      <c r="B5470" s="4" t="str">
        <f>IFERROR(__xludf.DUMMYFUNCTION("""COMPUTED_VALUE"""),"45, 44, 95")</f>
        <v>45, 44, 95</v>
      </c>
      <c r="C5470" s="5" t="str">
        <f>IFERROR(__xludf.DUMMYFUNCTION("""COMPUTED_VALUE"""),"https://drive.google.com/file/d/1RUKBrhLDdqqXah9NOGxoorvOZpGh-5O0/view?usp=drivesdk")</f>
        <v>https://drive.google.com/file/d/1RUKBrhLDdqqXah9NOGxoorvOZpGh-5O0/view?usp=drivesdk</v>
      </c>
      <c r="D5470" s="12"/>
      <c r="E5470" s="11">
        <v>5508.0</v>
      </c>
      <c r="F5470" s="2"/>
    </row>
    <row r="5471" ht="1.5" customHeight="1">
      <c r="A5471" s="4" t="str">
        <f>IFERROR(__xludf.DUMMYFUNCTION("""COMPUTED_VALUE"""),"38. Winston")</f>
        <v>38. Winston</v>
      </c>
      <c r="B5471" s="4" t="str">
        <f>IFERROR(__xludf.DUMMYFUNCTION("""COMPUTED_VALUE"""),"38")</f>
        <v>38</v>
      </c>
      <c r="C5471" s="5" t="str">
        <f>IFERROR(__xludf.DUMMYFUNCTION("""COMPUTED_VALUE"""),"https://drive.google.com/file/d/1Q7-jpTSDIVUY8b0X2x0jVq5p0caJCk5g/view?usp=drivesdk")</f>
        <v>https://drive.google.com/file/d/1Q7-jpTSDIVUY8b0X2x0jVq5p0caJCk5g/view?usp=drivesdk</v>
      </c>
      <c r="D5471" s="12"/>
      <c r="E5471" s="11">
        <v>5509.0</v>
      </c>
      <c r="F5471" s="2"/>
    </row>
    <row r="5472" ht="1.5" customHeight="1">
      <c r="A5472" s="4" t="str">
        <f>IFERROR(__xludf.DUMMYFUNCTION("""COMPUTED_VALUE"""),"38. Winston")</f>
        <v>38. Winston</v>
      </c>
      <c r="B5472" s="4" t="str">
        <f>IFERROR(__xludf.DUMMYFUNCTION("""COMPUTED_VALUE"""),"38")</f>
        <v>38</v>
      </c>
      <c r="C5472" s="5" t="str">
        <f>IFERROR(__xludf.DUMMYFUNCTION("""COMPUTED_VALUE"""),"https://drive.google.com/file/d/1MyaGOAlwia9ArV5yF3hG9Fmb2b4BstME/view?usp=drivesdk")</f>
        <v>https://drive.google.com/file/d/1MyaGOAlwia9ArV5yF3hG9Fmb2b4BstME/view?usp=drivesdk</v>
      </c>
      <c r="D5472" s="12"/>
      <c r="E5472" s="11">
        <v>5510.0</v>
      </c>
      <c r="F5472" s="2"/>
    </row>
    <row r="5473" ht="1.5" customHeight="1">
      <c r="A5473" s="4" t="str">
        <f>IFERROR(__xludf.DUMMYFUNCTION("""COMPUTED_VALUE"""),"40. Dumpster")</f>
        <v>40. Dumpster</v>
      </c>
      <c r="B5473" s="4" t="str">
        <f>IFERROR(__xludf.DUMMYFUNCTION("""COMPUTED_VALUE"""),"40")</f>
        <v>40</v>
      </c>
      <c r="C5473" s="5" t="str">
        <f>IFERROR(__xludf.DUMMYFUNCTION("""COMPUTED_VALUE"""),"https://drive.google.com/file/d/1BFOXe4cnLpLOadpWjUeiOKinSglvFSYi/view?usp=drivesdk")</f>
        <v>https://drive.google.com/file/d/1BFOXe4cnLpLOadpWjUeiOKinSglvFSYi/view?usp=drivesdk</v>
      </c>
      <c r="D5473" s="12"/>
      <c r="E5473" s="11">
        <v>5511.0</v>
      </c>
      <c r="F5473" s="2"/>
    </row>
    <row r="5474" ht="1.5" customHeight="1">
      <c r="A5474" s="4" t="str">
        <f>IFERROR(__xludf.DUMMYFUNCTION("""COMPUTED_VALUE"""),"40. Dumpster, 44. Shitbag Cuntface")</f>
        <v>40. Dumpster, 44. Shitbag Cuntface</v>
      </c>
      <c r="B5474" s="4" t="str">
        <f>IFERROR(__xludf.DUMMYFUNCTION("""COMPUTED_VALUE"""),"40, 44")</f>
        <v>40, 44</v>
      </c>
      <c r="C5474" s="5" t="str">
        <f>IFERROR(__xludf.DUMMYFUNCTION("""COMPUTED_VALUE"""),"https://drive.google.com/file/d/1aEw5LO2g2A5oU2Srl_Crfa6O2eTnRVdA/view?usp=drivesdk")</f>
        <v>https://drive.google.com/file/d/1aEw5LO2g2A5oU2Srl_Crfa6O2eTnRVdA/view?usp=drivesdk</v>
      </c>
      <c r="D5474" s="12"/>
      <c r="E5474" s="11">
        <v>5512.0</v>
      </c>
      <c r="F5474" s="2"/>
    </row>
    <row r="5475" ht="1.5" customHeight="1">
      <c r="A5475" s="4" t="str">
        <f>IFERROR(__xludf.DUMMYFUNCTION("""COMPUTED_VALUE"""),"95. Ariel, 88. Vincente")</f>
        <v>95. Ariel, 88. Vincente</v>
      </c>
      <c r="B5475" s="4" t="str">
        <f>IFERROR(__xludf.DUMMYFUNCTION("""COMPUTED_VALUE"""),"95, 88")</f>
        <v>95, 88</v>
      </c>
      <c r="C5475" s="5" t="str">
        <f>IFERROR(__xludf.DUMMYFUNCTION("""COMPUTED_VALUE"""),"https://drive.google.com/file/d/1vkzG9qKk_hnL4W3Mek0r6psmvQK-o5kd/view?usp=drivesdk")</f>
        <v>https://drive.google.com/file/d/1vkzG9qKk_hnL4W3Mek0r6psmvQK-o5kd/view?usp=drivesdk</v>
      </c>
      <c r="D5475" s="12"/>
      <c r="E5475" s="11">
        <v>5513.0</v>
      </c>
      <c r="F5475" s="2"/>
    </row>
    <row r="5476" ht="1.5" customHeight="1">
      <c r="A5476" s="4" t="str">
        <f>IFERROR(__xludf.DUMMYFUNCTION("""COMPUTED_VALUE"""),"95. Ariel, 88. Vincente")</f>
        <v>95. Ariel, 88. Vincente</v>
      </c>
      <c r="B5476" s="4" t="str">
        <f>IFERROR(__xludf.DUMMYFUNCTION("""COMPUTED_VALUE"""),"95, 88")</f>
        <v>95, 88</v>
      </c>
      <c r="C5476" s="5" t="str">
        <f>IFERROR(__xludf.DUMMYFUNCTION("""COMPUTED_VALUE"""),"https://drive.google.com/file/d/16yYapwoj4tgTbstDzA6N-vc-3MvLyelH/view?usp=drivesdk")</f>
        <v>https://drive.google.com/file/d/16yYapwoj4tgTbstDzA6N-vc-3MvLyelH/view?usp=drivesdk</v>
      </c>
      <c r="D5476" s="12"/>
      <c r="E5476" s="11">
        <v>5514.0</v>
      </c>
      <c r="F5476" s="2"/>
    </row>
    <row r="5477" ht="1.5" customHeight="1">
      <c r="A5477" s="4" t="str">
        <f>IFERROR(__xludf.DUMMYFUNCTION("""COMPUTED_VALUE"""),"95. Ariel, 88. Vincente")</f>
        <v>95. Ariel, 88. Vincente</v>
      </c>
      <c r="B5477" s="4" t="str">
        <f>IFERROR(__xludf.DUMMYFUNCTION("""COMPUTED_VALUE"""),"95, 88")</f>
        <v>95, 88</v>
      </c>
      <c r="C5477" s="5" t="str">
        <f>IFERROR(__xludf.DUMMYFUNCTION("""COMPUTED_VALUE"""),"https://drive.google.com/file/d/1JV-UrHk7W18O4KIEMrFih7Y27OmPcMHS/view?usp=drivesdk")</f>
        <v>https://drive.google.com/file/d/1JV-UrHk7W18O4KIEMrFih7Y27OmPcMHS/view?usp=drivesdk</v>
      </c>
      <c r="D5477" s="12"/>
      <c r="E5477" s="11">
        <v>5515.0</v>
      </c>
      <c r="F5477" s="2"/>
    </row>
    <row r="5478" ht="1.5" customHeight="1">
      <c r="A5478" s="4" t="str">
        <f>IFERROR(__xludf.DUMMYFUNCTION("""COMPUTED_VALUE"""),"45. Boots")</f>
        <v>45. Boots</v>
      </c>
      <c r="B5478" s="4" t="str">
        <f>IFERROR(__xludf.DUMMYFUNCTION("""COMPUTED_VALUE"""),"45")</f>
        <v>45</v>
      </c>
      <c r="C5478" s="5" t="str">
        <f>IFERROR(__xludf.DUMMYFUNCTION("""COMPUTED_VALUE"""),"https://drive.google.com/file/d/1E9GcC9RNAqadZWfe3nTcoU2BzqfLbopD/view?usp=drivesdk")</f>
        <v>https://drive.google.com/file/d/1E9GcC9RNAqadZWfe3nTcoU2BzqfLbopD/view?usp=drivesdk</v>
      </c>
      <c r="D5478" s="12"/>
      <c r="E5478" s="11">
        <v>5516.0</v>
      </c>
      <c r="F5478" s="2"/>
    </row>
    <row r="5479" ht="1.5" customHeight="1">
      <c r="A5479" s="4" t="str">
        <f>IFERROR(__xludf.DUMMYFUNCTION("""COMPUTED_VALUE"""),"45. Boots")</f>
        <v>45. Boots</v>
      </c>
      <c r="B5479" s="4" t="str">
        <f>IFERROR(__xludf.DUMMYFUNCTION("""COMPUTED_VALUE"""),"45")</f>
        <v>45</v>
      </c>
      <c r="C5479" s="5" t="str">
        <f>IFERROR(__xludf.DUMMYFUNCTION("""COMPUTED_VALUE"""),"https://drive.google.com/file/d/1yRgP7vt0It0_BggvTr6Hkg45MfMsuddD/view?usp=drivesdk")</f>
        <v>https://drive.google.com/file/d/1yRgP7vt0It0_BggvTr6Hkg45MfMsuddD/view?usp=drivesdk</v>
      </c>
      <c r="D5479" s="12"/>
      <c r="E5479" s="11">
        <v>5517.0</v>
      </c>
      <c r="F5479" s="2"/>
    </row>
    <row r="5480" ht="1.5" customHeight="1">
      <c r="A5480" s="4" t="str">
        <f>IFERROR(__xludf.DUMMYFUNCTION("""COMPUTED_VALUE"""),"45. Boots")</f>
        <v>45. Boots</v>
      </c>
      <c r="B5480" s="4" t="str">
        <f>IFERROR(__xludf.DUMMYFUNCTION("""COMPUTED_VALUE"""),"45")</f>
        <v>45</v>
      </c>
      <c r="C5480" s="5" t="str">
        <f>IFERROR(__xludf.DUMMYFUNCTION("""COMPUTED_VALUE"""),"https://drive.google.com/file/d/1hTniZqyc5XftQENhcpZJ_pxOaUKdVClw/view?usp=drivesdk")</f>
        <v>https://drive.google.com/file/d/1hTniZqyc5XftQENhcpZJ_pxOaUKdVClw/view?usp=drivesdk</v>
      </c>
      <c r="D5480" s="12"/>
      <c r="E5480" s="11">
        <v>5518.0</v>
      </c>
      <c r="F5480" s="2"/>
    </row>
    <row r="5481" ht="1.5" customHeight="1">
      <c r="A5481" s="4" t="str">
        <f>IFERROR(__xludf.DUMMYFUNCTION("""COMPUTED_VALUE"""),"99. Nezhui")</f>
        <v>99. Nezhui</v>
      </c>
      <c r="B5481" s="4" t="str">
        <f>IFERROR(__xludf.DUMMYFUNCTION("""COMPUTED_VALUE"""),"99")</f>
        <v>99</v>
      </c>
      <c r="C5481" s="5" t="str">
        <f>IFERROR(__xludf.DUMMYFUNCTION("""COMPUTED_VALUE"""),"https://drive.google.com/file/d/1s-X9xy5z5WJFqVNwx9joyz_kYz2aC253/view?usp=drivesdk")</f>
        <v>https://drive.google.com/file/d/1s-X9xy5z5WJFqVNwx9joyz_kYz2aC253/view?usp=drivesdk</v>
      </c>
      <c r="D5481" s="12"/>
      <c r="E5481" s="11">
        <v>5519.0</v>
      </c>
      <c r="F5481" s="2"/>
    </row>
    <row r="5482" ht="1.5" customHeight="1">
      <c r="A5482" s="4" t="str">
        <f>IFERROR(__xludf.DUMMYFUNCTION("""COMPUTED_VALUE"""),"99. Nezhui")</f>
        <v>99. Nezhui</v>
      </c>
      <c r="B5482" s="4" t="str">
        <f>IFERROR(__xludf.DUMMYFUNCTION("""COMPUTED_VALUE"""),"99")</f>
        <v>99</v>
      </c>
      <c r="C5482" s="5" t="str">
        <f>IFERROR(__xludf.DUMMYFUNCTION("""COMPUTED_VALUE"""),"https://drive.google.com/file/d/12qixH4sSOZ-IjdRGkkx56L1spo3ejf61/view?usp=drivesdk")</f>
        <v>https://drive.google.com/file/d/12qixH4sSOZ-IjdRGkkx56L1spo3ejf61/view?usp=drivesdk</v>
      </c>
      <c r="D5482" s="12"/>
      <c r="E5482" s="11">
        <v>5520.0</v>
      </c>
      <c r="F5482" s="2"/>
    </row>
    <row r="5483" ht="1.5" customHeight="1">
      <c r="A5483" s="4" t="str">
        <f>IFERROR(__xludf.DUMMYFUNCTION("""COMPUTED_VALUE"""),"99. Nezhui")</f>
        <v>99. Nezhui</v>
      </c>
      <c r="B5483" s="4" t="str">
        <f>IFERROR(__xludf.DUMMYFUNCTION("""COMPUTED_VALUE"""),"99")</f>
        <v>99</v>
      </c>
      <c r="C5483" s="5" t="str">
        <f>IFERROR(__xludf.DUMMYFUNCTION("""COMPUTED_VALUE"""),"https://drive.google.com/file/d/1C62wFcULjGcD-hZA2bl9XcqEmiAt5vsJ/view?usp=drivesdk")</f>
        <v>https://drive.google.com/file/d/1C62wFcULjGcD-hZA2bl9XcqEmiAt5vsJ/view?usp=drivesdk</v>
      </c>
      <c r="D5483" s="12"/>
      <c r="E5483" s="11">
        <v>5521.0</v>
      </c>
      <c r="F5483" s="2"/>
    </row>
    <row r="5484" ht="1.5" customHeight="1">
      <c r="A5484" s="4" t="str">
        <f>IFERROR(__xludf.DUMMYFUNCTION("""COMPUTED_VALUE"""),"99. Nezhui")</f>
        <v>99. Nezhui</v>
      </c>
      <c r="B5484" s="4" t="str">
        <f>IFERROR(__xludf.DUMMYFUNCTION("""COMPUTED_VALUE"""),"99")</f>
        <v>99</v>
      </c>
      <c r="C5484" s="5" t="str">
        <f>IFERROR(__xludf.DUMMYFUNCTION("""COMPUTED_VALUE"""),"https://drive.google.com/file/d/1qFT1kb8ltulp2f0dvwOdQd4fqYNUpojB/view?usp=drivesdk")</f>
        <v>https://drive.google.com/file/d/1qFT1kb8ltulp2f0dvwOdQd4fqYNUpojB/view?usp=drivesdk</v>
      </c>
      <c r="D5484" s="12"/>
      <c r="E5484" s="11">
        <v>5522.0</v>
      </c>
      <c r="F5484" s="2"/>
    </row>
    <row r="5485" ht="1.5" customHeight="1">
      <c r="A5485" s="4" t="str">
        <f>IFERROR(__xludf.DUMMYFUNCTION("""COMPUTED_VALUE"""),"99. Nezhui")</f>
        <v>99. Nezhui</v>
      </c>
      <c r="B5485" s="4" t="str">
        <f>IFERROR(__xludf.DUMMYFUNCTION("""COMPUTED_VALUE"""),"99")</f>
        <v>99</v>
      </c>
      <c r="C5485" s="5" t="str">
        <f>IFERROR(__xludf.DUMMYFUNCTION("""COMPUTED_VALUE"""),"https://drive.google.com/file/d/1XKzMIN1fZETqS5uohA73XaSCWR6z1cfe/view?usp=drivesdk")</f>
        <v>https://drive.google.com/file/d/1XKzMIN1fZETqS5uohA73XaSCWR6z1cfe/view?usp=drivesdk</v>
      </c>
      <c r="D5485" s="12"/>
      <c r="E5485" s="11">
        <v>5523.0</v>
      </c>
      <c r="F5485" s="2"/>
    </row>
    <row r="5486" ht="1.5" customHeight="1">
      <c r="A5486" s="4" t="str">
        <f>IFERROR(__xludf.DUMMYFUNCTION("""COMPUTED_VALUE"""),"113. Ty")</f>
        <v>113. Ty</v>
      </c>
      <c r="B5486" s="4" t="str">
        <f>IFERROR(__xludf.DUMMYFUNCTION("""COMPUTED_VALUE"""),"113")</f>
        <v>113</v>
      </c>
      <c r="C5486" s="5" t="str">
        <f>IFERROR(__xludf.DUMMYFUNCTION("""COMPUTED_VALUE"""),"https://drive.google.com/file/d/1Vn4A8AZdiz4N8V39hqaJr3WKf8HvF_IN/view?usp=drivesdk")</f>
        <v>https://drive.google.com/file/d/1Vn4A8AZdiz4N8V39hqaJr3WKf8HvF_IN/view?usp=drivesdk</v>
      </c>
      <c r="D5486" s="12"/>
      <c r="E5486" s="11">
        <v>5524.0</v>
      </c>
      <c r="F5486" s="2"/>
    </row>
    <row r="5487" ht="1.5" customHeight="1">
      <c r="A5487" s="4" t="str">
        <f>IFERROR(__xludf.DUMMYFUNCTION("""COMPUTED_VALUE"""),"17. Bobbie")</f>
        <v>17. Bobbie</v>
      </c>
      <c r="B5487" s="4" t="str">
        <f>IFERROR(__xludf.DUMMYFUNCTION("""COMPUTED_VALUE"""),"17")</f>
        <v>17</v>
      </c>
      <c r="C5487" s="5" t="str">
        <f>IFERROR(__xludf.DUMMYFUNCTION("""COMPUTED_VALUE"""),"https://drive.google.com/file/d/1QHmrVhPKcTjNJagkSjIfe6R33Qg206Rk/view?usp=drivesdk")</f>
        <v>https://drive.google.com/file/d/1QHmrVhPKcTjNJagkSjIfe6R33Qg206Rk/view?usp=drivesdk</v>
      </c>
      <c r="D5487" s="12"/>
      <c r="E5487" s="11">
        <v>5525.0</v>
      </c>
      <c r="F5487" s="2"/>
    </row>
    <row r="5488" ht="1.5" customHeight="1">
      <c r="A5488" s="4" t="str">
        <f>IFERROR(__xludf.DUMMYFUNCTION("""COMPUTED_VALUE"""),"93. Meatball")</f>
        <v>93. Meatball</v>
      </c>
      <c r="B5488" s="4" t="str">
        <f>IFERROR(__xludf.DUMMYFUNCTION("""COMPUTED_VALUE"""),"93")</f>
        <v>93</v>
      </c>
      <c r="C5488" s="5" t="str">
        <f>IFERROR(__xludf.DUMMYFUNCTION("""COMPUTED_VALUE"""),"https://drive.google.com/file/d/1h949kXP7gB6lu6zee-DgmynaK9u1gFXt/view?usp=drivesdk")</f>
        <v>https://drive.google.com/file/d/1h949kXP7gB6lu6zee-DgmynaK9u1gFXt/view?usp=drivesdk</v>
      </c>
      <c r="D5488" s="12"/>
      <c r="E5488" s="11">
        <v>5526.0</v>
      </c>
      <c r="F5488" s="2"/>
    </row>
    <row r="5489" ht="1.5" customHeight="1">
      <c r="A5489" s="4" t="str">
        <f>IFERROR(__xludf.DUMMYFUNCTION("""COMPUTED_VALUE"""),"1. Microwave")</f>
        <v>1. Microwave</v>
      </c>
      <c r="B5489" s="4" t="str">
        <f>IFERROR(__xludf.DUMMYFUNCTION("""COMPUTED_VALUE"""),"1")</f>
        <v>1</v>
      </c>
      <c r="C5489" s="5" t="str">
        <f>IFERROR(__xludf.DUMMYFUNCTION("""COMPUTED_VALUE"""),"https://drive.google.com/file/d/18PPtGCgLtDbUzFfpVNa9T0MBvji2iheh/view?usp=drivesdk")</f>
        <v>https://drive.google.com/file/d/18PPtGCgLtDbUzFfpVNa9T0MBvji2iheh/view?usp=drivesdk</v>
      </c>
      <c r="D5489" s="12"/>
      <c r="E5489" s="11">
        <v>5527.0</v>
      </c>
      <c r="F5489" s="2"/>
    </row>
    <row r="5490" ht="1.5" customHeight="1">
      <c r="A5490" s="4" t="str">
        <f>IFERROR(__xludf.DUMMYFUNCTION("""COMPUTED_VALUE"""),"114. Elision")</f>
        <v>114. Elision</v>
      </c>
      <c r="B5490" s="4" t="str">
        <f>IFERROR(__xludf.DUMMYFUNCTION("""COMPUTED_VALUE"""),"114")</f>
        <v>114</v>
      </c>
      <c r="C5490" s="5" t="str">
        <f>IFERROR(__xludf.DUMMYFUNCTION("""COMPUTED_VALUE"""),"https://drive.google.com/file/d/1P_UhJngpN6ApnVIKXryPA2cUPWLcV1wi/view?usp=drivesdk")</f>
        <v>https://drive.google.com/file/d/1P_UhJngpN6ApnVIKXryPA2cUPWLcV1wi/view?usp=drivesdk</v>
      </c>
      <c r="D5490" s="12"/>
      <c r="E5490" s="11">
        <v>5528.0</v>
      </c>
      <c r="F5490" s="2"/>
    </row>
    <row r="5491" ht="1.5" customHeight="1">
      <c r="A5491" s="4" t="str">
        <f>IFERROR(__xludf.DUMMYFUNCTION("""COMPUTED_VALUE"""),"114. Elision")</f>
        <v>114. Elision</v>
      </c>
      <c r="B5491" s="4" t="str">
        <f>IFERROR(__xludf.DUMMYFUNCTION("""COMPUTED_VALUE"""),"114")</f>
        <v>114</v>
      </c>
      <c r="C5491" s="5" t="str">
        <f>IFERROR(__xludf.DUMMYFUNCTION("""COMPUTED_VALUE"""),"https://drive.google.com/file/d/10NdbOAznGjYXq0DT0F59FumthKJ6rkYV/view?usp=drivesdk")</f>
        <v>https://drive.google.com/file/d/10NdbOAznGjYXq0DT0F59FumthKJ6rkYV/view?usp=drivesdk</v>
      </c>
      <c r="D5491" s="12"/>
      <c r="E5491" s="11">
        <v>5529.0</v>
      </c>
      <c r="F5491" s="2"/>
    </row>
    <row r="5492" ht="1.5" customHeight="1">
      <c r="A5492" s="4" t="str">
        <f>IFERROR(__xludf.DUMMYFUNCTION("""COMPUTED_VALUE"""),"114. Elision")</f>
        <v>114. Elision</v>
      </c>
      <c r="B5492" s="4" t="str">
        <f>IFERROR(__xludf.DUMMYFUNCTION("""COMPUTED_VALUE"""),"114")</f>
        <v>114</v>
      </c>
      <c r="C5492" s="5" t="str">
        <f>IFERROR(__xludf.DUMMYFUNCTION("""COMPUTED_VALUE"""),"https://drive.google.com/file/d/1hRMg3ePog-Mp65ZyaXxHs8attoiSpEXa/view?usp=drivesdk")</f>
        <v>https://drive.google.com/file/d/1hRMg3ePog-Mp65ZyaXxHs8attoiSpEXa/view?usp=drivesdk</v>
      </c>
      <c r="D5492" s="12"/>
      <c r="E5492" s="11">
        <v>5530.0</v>
      </c>
      <c r="F5492" s="2"/>
    </row>
    <row r="5493" ht="1.5" customHeight="1">
      <c r="A5493" s="4" t="str">
        <f>IFERROR(__xludf.DUMMYFUNCTION("""COMPUTED_VALUE"""),"1. Microwave")</f>
        <v>1. Microwave</v>
      </c>
      <c r="B5493" s="4" t="str">
        <f>IFERROR(__xludf.DUMMYFUNCTION("""COMPUTED_VALUE"""),"1")</f>
        <v>1</v>
      </c>
      <c r="C5493" s="5" t="str">
        <f>IFERROR(__xludf.DUMMYFUNCTION("""COMPUTED_VALUE"""),"https://drive.google.com/file/d/1VplFBo_M8CnLwg6Um-uUokhTl8PdISQi/view?usp=drivesdk")</f>
        <v>https://drive.google.com/file/d/1VplFBo_M8CnLwg6Um-uUokhTl8PdISQi/view?usp=drivesdk</v>
      </c>
      <c r="D5493" s="12"/>
      <c r="E5493" s="11">
        <v>5531.0</v>
      </c>
      <c r="F5493" s="2"/>
    </row>
    <row r="5494" ht="1.5" customHeight="1">
      <c r="A5494" s="4" t="str">
        <f>IFERROR(__xludf.DUMMYFUNCTION("""COMPUTED_VALUE"""),"1. Microwave")</f>
        <v>1. Microwave</v>
      </c>
      <c r="B5494" s="4" t="str">
        <f>IFERROR(__xludf.DUMMYFUNCTION("""COMPUTED_VALUE"""),"1")</f>
        <v>1</v>
      </c>
      <c r="C5494" s="5" t="str">
        <f>IFERROR(__xludf.DUMMYFUNCTION("""COMPUTED_VALUE"""),"https://drive.google.com/file/d/18ywVqkQsYXVGvyMHfEVBUL9bHVi_jepS/view?usp=drivesdk")</f>
        <v>https://drive.google.com/file/d/18ywVqkQsYXVGvyMHfEVBUL9bHVi_jepS/view?usp=drivesdk</v>
      </c>
      <c r="D5494" s="12"/>
      <c r="E5494" s="11">
        <v>5532.0</v>
      </c>
      <c r="F5494" s="2"/>
    </row>
    <row r="5495" ht="1.5" customHeight="1">
      <c r="A5495" s="4" t="str">
        <f>IFERROR(__xludf.DUMMYFUNCTION("""COMPUTED_VALUE"""),"0. NotACat")</f>
        <v>0. NotACat</v>
      </c>
      <c r="B5495" s="4" t="str">
        <f>IFERROR(__xludf.DUMMYFUNCTION("""COMPUTED_VALUE"""),"0")</f>
        <v>0</v>
      </c>
      <c r="C5495" s="5" t="str">
        <f>IFERROR(__xludf.DUMMYFUNCTION("""COMPUTED_VALUE"""),"https://drive.google.com/file/d/1HgbnQNH43rFKk34H3KSyU9qG6Ydlf_3U/view?usp=drivesdk")</f>
        <v>https://drive.google.com/file/d/1HgbnQNH43rFKk34H3KSyU9qG6Ydlf_3U/view?usp=drivesdk</v>
      </c>
      <c r="D5495" s="12"/>
      <c r="E5495" s="11">
        <v>5533.0</v>
      </c>
      <c r="F5495" s="2"/>
    </row>
    <row r="5496" ht="1.5" customHeight="1">
      <c r="A5496" s="4" t="str">
        <f>IFERROR(__xludf.DUMMYFUNCTION("""COMPUTED_VALUE"""),"1. Microwave")</f>
        <v>1. Microwave</v>
      </c>
      <c r="B5496" s="4" t="str">
        <f>IFERROR(__xludf.DUMMYFUNCTION("""COMPUTED_VALUE"""),"1")</f>
        <v>1</v>
      </c>
      <c r="C5496" s="5" t="str">
        <f>IFERROR(__xludf.DUMMYFUNCTION("""COMPUTED_VALUE"""),"https://drive.google.com/file/d/1acC6ueFx5bY9H37XZjBs1Cd6fanNt-Jt/view?usp=drivesdk")</f>
        <v>https://drive.google.com/file/d/1acC6ueFx5bY9H37XZjBs1Cd6fanNt-Jt/view?usp=drivesdk</v>
      </c>
      <c r="D5496" s="12"/>
      <c r="E5496" s="11">
        <v>5534.0</v>
      </c>
      <c r="F5496" s="2"/>
    </row>
    <row r="5497" ht="1.5" customHeight="1">
      <c r="A5497" s="4" t="str">
        <f>IFERROR(__xludf.DUMMYFUNCTION("""COMPUTED_VALUE"""),"1. Microwave")</f>
        <v>1. Microwave</v>
      </c>
      <c r="B5497" s="4" t="str">
        <f>IFERROR(__xludf.DUMMYFUNCTION("""COMPUTED_VALUE"""),"1")</f>
        <v>1</v>
      </c>
      <c r="C5497" s="5" t="str">
        <f>IFERROR(__xludf.DUMMYFUNCTION("""COMPUTED_VALUE"""),"https://drive.google.com/file/d/1vLwxgiamSoI2wIuTa_Wcl3hysRECA0Oe/view?usp=drivesdk")</f>
        <v>https://drive.google.com/file/d/1vLwxgiamSoI2wIuTa_Wcl3hysRECA0Oe/view?usp=drivesdk</v>
      </c>
      <c r="D5497" s="12"/>
      <c r="E5497" s="11">
        <v>5535.0</v>
      </c>
      <c r="F5497" s="2"/>
    </row>
    <row r="5498" ht="1.5" customHeight="1">
      <c r="A5498" s="4" t="str">
        <f>IFERROR(__xludf.DUMMYFUNCTION("""COMPUTED_VALUE"""),"1. Microwave")</f>
        <v>1. Microwave</v>
      </c>
      <c r="B5498" s="4" t="str">
        <f>IFERROR(__xludf.DUMMYFUNCTION("""COMPUTED_VALUE"""),"1")</f>
        <v>1</v>
      </c>
      <c r="C5498" s="5" t="str">
        <f>IFERROR(__xludf.DUMMYFUNCTION("""COMPUTED_VALUE"""),"https://drive.google.com/file/d/11i6IjXb7CUG4q4aoT36fNFZnlWr2LjQd/view?usp=drivesdk")</f>
        <v>https://drive.google.com/file/d/11i6IjXb7CUG4q4aoT36fNFZnlWr2LjQd/view?usp=drivesdk</v>
      </c>
      <c r="D5498" s="12"/>
      <c r="E5498" s="11">
        <v>5536.0</v>
      </c>
      <c r="F5498" s="2"/>
    </row>
    <row r="5499" ht="1.5" customHeight="1">
      <c r="A5499" s="4" t="str">
        <f>IFERROR(__xludf.DUMMYFUNCTION("""COMPUTED_VALUE"""),"1. Microwave")</f>
        <v>1. Microwave</v>
      </c>
      <c r="B5499" s="4" t="str">
        <f>IFERROR(__xludf.DUMMYFUNCTION("""COMPUTED_VALUE"""),"1")</f>
        <v>1</v>
      </c>
      <c r="C5499" s="5" t="str">
        <f>IFERROR(__xludf.DUMMYFUNCTION("""COMPUTED_VALUE"""),"https://drive.google.com/file/d/1tyJtV0qrM9E4yW3S2AK7Lth4il0LNLwp/view?usp=drivesdk")</f>
        <v>https://drive.google.com/file/d/1tyJtV0qrM9E4yW3S2AK7Lth4il0LNLwp/view?usp=drivesdk</v>
      </c>
      <c r="D5499" s="12"/>
      <c r="E5499" s="11">
        <v>5537.0</v>
      </c>
      <c r="F5499" s="2"/>
    </row>
    <row r="5500" ht="1.5" customHeight="1">
      <c r="A5500" s="4" t="str">
        <f>IFERROR(__xludf.DUMMYFUNCTION("""COMPUTED_VALUE"""),"1. Microwave")</f>
        <v>1. Microwave</v>
      </c>
      <c r="B5500" s="4" t="str">
        <f>IFERROR(__xludf.DUMMYFUNCTION("""COMPUTED_VALUE"""),"1")</f>
        <v>1</v>
      </c>
      <c r="C5500" s="5" t="str">
        <f>IFERROR(__xludf.DUMMYFUNCTION("""COMPUTED_VALUE"""),"https://drive.google.com/file/d/1sjMkLCjGXzI0bOkMbQbSWh7T7O2MflLZ/view?usp=drivesdk")</f>
        <v>https://drive.google.com/file/d/1sjMkLCjGXzI0bOkMbQbSWh7T7O2MflLZ/view?usp=drivesdk</v>
      </c>
      <c r="D5500" s="12"/>
      <c r="E5500" s="11">
        <v>5538.0</v>
      </c>
      <c r="F5500" s="2"/>
    </row>
    <row r="5501" ht="1.5" customHeight="1">
      <c r="A5501" s="4" t="str">
        <f>IFERROR(__xludf.DUMMYFUNCTION("""COMPUTED_VALUE"""),"1. Microwave")</f>
        <v>1. Microwave</v>
      </c>
      <c r="B5501" s="4" t="str">
        <f>IFERROR(__xludf.DUMMYFUNCTION("""COMPUTED_VALUE"""),"1")</f>
        <v>1</v>
      </c>
      <c r="C5501" s="5" t="str">
        <f>IFERROR(__xludf.DUMMYFUNCTION("""COMPUTED_VALUE"""),"https://drive.google.com/file/d/1KJ8VzKgp45DtfEUxzq9HPiuluTExiGDN/view?usp=drivesdk")</f>
        <v>https://drive.google.com/file/d/1KJ8VzKgp45DtfEUxzq9HPiuluTExiGDN/view?usp=drivesdk</v>
      </c>
      <c r="D5501" s="12"/>
      <c r="E5501" s="11">
        <v>5539.0</v>
      </c>
      <c r="F5501" s="2"/>
    </row>
    <row r="5502" ht="1.5" customHeight="1">
      <c r="A5502" s="4" t="str">
        <f>IFERROR(__xludf.DUMMYFUNCTION("""COMPUTED_VALUE"""),"1. Microwave")</f>
        <v>1. Microwave</v>
      </c>
      <c r="B5502" s="4" t="str">
        <f>IFERROR(__xludf.DUMMYFUNCTION("""COMPUTED_VALUE"""),"1")</f>
        <v>1</v>
      </c>
      <c r="C5502" s="5" t="str">
        <f>IFERROR(__xludf.DUMMYFUNCTION("""COMPUTED_VALUE"""),"https://drive.google.com/file/d/1jFrc8_pb7bTtELJmnTQRFMYtQY_6eHu4/view?usp=drivesdk")</f>
        <v>https://drive.google.com/file/d/1jFrc8_pb7bTtELJmnTQRFMYtQY_6eHu4/view?usp=drivesdk</v>
      </c>
      <c r="D5502" s="12"/>
      <c r="E5502" s="11">
        <v>5540.0</v>
      </c>
      <c r="F5502" s="2"/>
    </row>
    <row r="5503" ht="1.5" customHeight="1">
      <c r="A5503" s="4" t="str">
        <f>IFERROR(__xludf.DUMMYFUNCTION("""COMPUTED_VALUE"""),"42. Rubber")</f>
        <v>42. Rubber</v>
      </c>
      <c r="B5503" s="4" t="str">
        <f>IFERROR(__xludf.DUMMYFUNCTION("""COMPUTED_VALUE"""),"42")</f>
        <v>42</v>
      </c>
      <c r="C5503" s="5" t="str">
        <f>IFERROR(__xludf.DUMMYFUNCTION("""COMPUTED_VALUE"""),"https://drive.google.com/file/d/1ms2mijefDpE6BzHriJGR_m0wKVX_ZP90/view?usp=drivesdk")</f>
        <v>https://drive.google.com/file/d/1ms2mijefDpE6BzHriJGR_m0wKVX_ZP90/view?usp=drivesdk</v>
      </c>
      <c r="D5503" s="12"/>
      <c r="E5503" s="11">
        <v>5541.0</v>
      </c>
      <c r="F5503" s="2"/>
    </row>
    <row r="5504" ht="1.5" customHeight="1">
      <c r="A5504" s="4" t="str">
        <f>IFERROR(__xludf.DUMMYFUNCTION("""COMPUTED_VALUE"""),"42. Rubber")</f>
        <v>42. Rubber</v>
      </c>
      <c r="B5504" s="4" t="str">
        <f>IFERROR(__xludf.DUMMYFUNCTION("""COMPUTED_VALUE"""),"42")</f>
        <v>42</v>
      </c>
      <c r="C5504" s="5" t="str">
        <f>IFERROR(__xludf.DUMMYFUNCTION("""COMPUTED_VALUE"""),"https://drive.google.com/file/d/1XoQgcujLmI4rfgizVsJOgK-L_gg7egy3/view?usp=drivesdk")</f>
        <v>https://drive.google.com/file/d/1XoQgcujLmI4rfgizVsJOgK-L_gg7egy3/view?usp=drivesdk</v>
      </c>
      <c r="D5504" s="12"/>
      <c r="E5504" s="11">
        <v>5542.0</v>
      </c>
      <c r="F5504" s="2"/>
    </row>
    <row r="5505" ht="1.5" customHeight="1">
      <c r="A5505" s="4" t="str">
        <f>IFERROR(__xludf.DUMMYFUNCTION("""COMPUTED_VALUE"""),"2. Twix")</f>
        <v>2. Twix</v>
      </c>
      <c r="B5505" s="4" t="str">
        <f>IFERROR(__xludf.DUMMYFUNCTION("""COMPUTED_VALUE"""),"2")</f>
        <v>2</v>
      </c>
      <c r="C5505" s="5" t="str">
        <f>IFERROR(__xludf.DUMMYFUNCTION("""COMPUTED_VALUE"""),"https://drive.google.com/file/d/1nlRmrqg4rmxM-3IHyTmL860uEKsxhYCw/view?usp=drivesdk")</f>
        <v>https://drive.google.com/file/d/1nlRmrqg4rmxM-3IHyTmL860uEKsxhYCw/view?usp=drivesdk</v>
      </c>
      <c r="D5505" s="12"/>
      <c r="E5505" s="11">
        <v>5543.0</v>
      </c>
      <c r="F5505" s="2"/>
    </row>
    <row r="5506" ht="1.5" customHeight="1">
      <c r="A5506" s="4" t="str">
        <f>IFERROR(__xludf.DUMMYFUNCTION("""COMPUTED_VALUE"""),"2. Twix")</f>
        <v>2. Twix</v>
      </c>
      <c r="B5506" s="4" t="str">
        <f>IFERROR(__xludf.DUMMYFUNCTION("""COMPUTED_VALUE"""),"2")</f>
        <v>2</v>
      </c>
      <c r="C5506" s="5" t="str">
        <f>IFERROR(__xludf.DUMMYFUNCTION("""COMPUTED_VALUE"""),"https://drive.google.com/file/d/14PQr4PWLhZNnWh7DsvcZ2fBJwc9JoUP0/view?usp=drivesdk")</f>
        <v>https://drive.google.com/file/d/14PQr4PWLhZNnWh7DsvcZ2fBJwc9JoUP0/view?usp=drivesdk</v>
      </c>
      <c r="D5506" s="12"/>
      <c r="E5506" s="11">
        <v>5544.0</v>
      </c>
      <c r="F5506" s="2"/>
    </row>
    <row r="5507" ht="1.5" customHeight="1">
      <c r="A5507" s="4" t="str">
        <f>IFERROR(__xludf.DUMMYFUNCTION("""COMPUTED_VALUE"""),"2. Twix")</f>
        <v>2. Twix</v>
      </c>
      <c r="B5507" s="4" t="str">
        <f>IFERROR(__xludf.DUMMYFUNCTION("""COMPUTED_VALUE"""),"2")</f>
        <v>2</v>
      </c>
      <c r="C5507" s="5" t="str">
        <f>IFERROR(__xludf.DUMMYFUNCTION("""COMPUTED_VALUE"""),"https://drive.google.com/file/d/1l5OKL6AvwtjTwZSdimpWqJGpkXsdm0t9/view?usp=drivesdk")</f>
        <v>https://drive.google.com/file/d/1l5OKL6AvwtjTwZSdimpWqJGpkXsdm0t9/view?usp=drivesdk</v>
      </c>
      <c r="D5507" s="12"/>
      <c r="E5507" s="11">
        <v>5545.0</v>
      </c>
      <c r="F5507" s="2"/>
    </row>
    <row r="5508" ht="1.5" customHeight="1">
      <c r="A5508" s="4" t="str">
        <f>IFERROR(__xludf.DUMMYFUNCTION("""COMPUTED_VALUE"""),"2. Twix")</f>
        <v>2. Twix</v>
      </c>
      <c r="B5508" s="4" t="str">
        <f>IFERROR(__xludf.DUMMYFUNCTION("""COMPUTED_VALUE"""),"2")</f>
        <v>2</v>
      </c>
      <c r="C5508" s="5" t="str">
        <f>IFERROR(__xludf.DUMMYFUNCTION("""COMPUTED_VALUE"""),"https://drive.google.com/file/d/1dk21gY0Y24_aMb_1DJMT-x-tRYveAdsb/view?usp=drivesdk")</f>
        <v>https://drive.google.com/file/d/1dk21gY0Y24_aMb_1DJMT-x-tRYveAdsb/view?usp=drivesdk</v>
      </c>
      <c r="D5508" s="12"/>
      <c r="E5508" s="11">
        <v>5546.0</v>
      </c>
      <c r="F5508" s="2"/>
    </row>
    <row r="5509" ht="1.5" customHeight="1">
      <c r="A5509" s="4" t="str">
        <f>IFERROR(__xludf.DUMMYFUNCTION("""COMPUTED_VALUE"""),"0. NotACat")</f>
        <v>0. NotACat</v>
      </c>
      <c r="B5509" s="4" t="str">
        <f>IFERROR(__xludf.DUMMYFUNCTION("""COMPUTED_VALUE"""),"0")</f>
        <v>0</v>
      </c>
      <c r="C5509" s="5" t="str">
        <f>IFERROR(__xludf.DUMMYFUNCTION("""COMPUTED_VALUE"""),"https://drive.google.com/file/d/1fujub09U5AVZYXoJ3DB2Op0pfbF-yaHi/view?usp=drivesdk")</f>
        <v>https://drive.google.com/file/d/1fujub09U5AVZYXoJ3DB2Op0pfbF-yaHi/view?usp=drivesdk</v>
      </c>
      <c r="D5509" s="12"/>
      <c r="E5509" s="11">
        <v>5547.0</v>
      </c>
      <c r="F5509" s="2"/>
    </row>
    <row r="5510" ht="1.5" customHeight="1">
      <c r="A5510" s="4" t="str">
        <f>IFERROR(__xludf.DUMMYFUNCTION("""COMPUTED_VALUE"""),"1. Microwave")</f>
        <v>1. Microwave</v>
      </c>
      <c r="B5510" s="4" t="str">
        <f>IFERROR(__xludf.DUMMYFUNCTION("""COMPUTED_VALUE"""),"1")</f>
        <v>1</v>
      </c>
      <c r="C5510" s="5" t="str">
        <f>IFERROR(__xludf.DUMMYFUNCTION("""COMPUTED_VALUE"""),"https://drive.google.com/file/d/16gRLs6h_1mZVYI4CwElAguvkG7c37MEY/view?usp=drivesdk")</f>
        <v>https://drive.google.com/file/d/16gRLs6h_1mZVYI4CwElAguvkG7c37MEY/view?usp=drivesdk</v>
      </c>
      <c r="D5510" s="12"/>
      <c r="E5510" s="11">
        <v>5548.0</v>
      </c>
      <c r="F5510" s="2"/>
    </row>
    <row r="5511" ht="1.5" customHeight="1">
      <c r="A5511" s="4" t="str">
        <f>IFERROR(__xludf.DUMMYFUNCTION("""COMPUTED_VALUE"""),"1. Microwave")</f>
        <v>1. Microwave</v>
      </c>
      <c r="B5511" s="4" t="str">
        <f>IFERROR(__xludf.DUMMYFUNCTION("""COMPUTED_VALUE"""),"1")</f>
        <v>1</v>
      </c>
      <c r="C5511" s="5" t="str">
        <f>IFERROR(__xludf.DUMMYFUNCTION("""COMPUTED_VALUE"""),"https://drive.google.com/file/d/19SD4N7P1Sx649v7EWZ6bBNMmT-0_6STm/view?usp=drivesdk")</f>
        <v>https://drive.google.com/file/d/19SD4N7P1Sx649v7EWZ6bBNMmT-0_6STm/view?usp=drivesdk</v>
      </c>
      <c r="D5511" s="12"/>
      <c r="E5511" s="11">
        <v>5549.0</v>
      </c>
      <c r="F5511" s="2"/>
    </row>
    <row r="5512" ht="1.5" customHeight="1">
      <c r="A5512" s="4" t="str">
        <f>IFERROR(__xludf.DUMMYFUNCTION("""COMPUTED_VALUE"""),"1. Microwave")</f>
        <v>1. Microwave</v>
      </c>
      <c r="B5512" s="4" t="str">
        <f>IFERROR(__xludf.DUMMYFUNCTION("""COMPUTED_VALUE"""),"1")</f>
        <v>1</v>
      </c>
      <c r="C5512" s="5" t="str">
        <f>IFERROR(__xludf.DUMMYFUNCTION("""COMPUTED_VALUE"""),"https://drive.google.com/file/d/1wITRIQSmh0pVRT-QiDAnCGEneNzVD9QY/view?usp=drivesdk")</f>
        <v>https://drive.google.com/file/d/1wITRIQSmh0pVRT-QiDAnCGEneNzVD9QY/view?usp=drivesdk</v>
      </c>
      <c r="D5512" s="12"/>
      <c r="E5512" s="11">
        <v>5550.0</v>
      </c>
      <c r="F5512" s="2"/>
    </row>
    <row r="5513" ht="1.5" customHeight="1">
      <c r="A5513" s="4" t="str">
        <f>IFERROR(__xludf.DUMMYFUNCTION("""COMPUTED_VALUE"""),"1. Microwave")</f>
        <v>1. Microwave</v>
      </c>
      <c r="B5513" s="4" t="str">
        <f>IFERROR(__xludf.DUMMYFUNCTION("""COMPUTED_VALUE"""),"1")</f>
        <v>1</v>
      </c>
      <c r="C5513" s="5" t="str">
        <f>IFERROR(__xludf.DUMMYFUNCTION("""COMPUTED_VALUE"""),"https://drive.google.com/file/d/1kwi6kuTIJkBbw8vczeUU9xd9ywWjZi3P/view?usp=drivesdk")</f>
        <v>https://drive.google.com/file/d/1kwi6kuTIJkBbw8vczeUU9xd9ywWjZi3P/view?usp=drivesdk</v>
      </c>
      <c r="D5513" s="12"/>
      <c r="E5513" s="11">
        <v>5551.0</v>
      </c>
      <c r="F5513" s="2"/>
    </row>
    <row r="5514" ht="1.5" customHeight="1">
      <c r="A5514" s="4" t="str">
        <f>IFERROR(__xludf.DUMMYFUNCTION("""COMPUTED_VALUE"""),"1. Microwave")</f>
        <v>1. Microwave</v>
      </c>
      <c r="B5514" s="4" t="str">
        <f>IFERROR(__xludf.DUMMYFUNCTION("""COMPUTED_VALUE"""),"1")</f>
        <v>1</v>
      </c>
      <c r="C5514" s="5" t="str">
        <f>IFERROR(__xludf.DUMMYFUNCTION("""COMPUTED_VALUE"""),"https://drive.google.com/file/d/17UV9quIxT7z3Zsm-aMRgZ0DX1oJDYuIk/view?usp=drivesdk")</f>
        <v>https://drive.google.com/file/d/17UV9quIxT7z3Zsm-aMRgZ0DX1oJDYuIk/view?usp=drivesdk</v>
      </c>
      <c r="D5514" s="12"/>
      <c r="E5514" s="11">
        <v>5552.0</v>
      </c>
      <c r="F5514" s="2"/>
    </row>
    <row r="5515" ht="1.5" customHeight="1">
      <c r="A5515" s="4" t="str">
        <f>IFERROR(__xludf.DUMMYFUNCTION("""COMPUTED_VALUE"""),"1. Microwave")</f>
        <v>1. Microwave</v>
      </c>
      <c r="B5515" s="4" t="str">
        <f>IFERROR(__xludf.DUMMYFUNCTION("""COMPUTED_VALUE"""),"1")</f>
        <v>1</v>
      </c>
      <c r="C5515" s="5" t="str">
        <f>IFERROR(__xludf.DUMMYFUNCTION("""COMPUTED_VALUE"""),"https://drive.google.com/file/d/1fZ_wzUexFSq4jY4uvw-zHp34-IDVebxc/view?usp=drivesdk")</f>
        <v>https://drive.google.com/file/d/1fZ_wzUexFSq4jY4uvw-zHp34-IDVebxc/view?usp=drivesdk</v>
      </c>
      <c r="D5515" s="12"/>
      <c r="E5515" s="11">
        <v>5553.0</v>
      </c>
      <c r="F5515" s="2"/>
    </row>
    <row r="5516" ht="1.5" customHeight="1">
      <c r="A5516" s="4" t="str">
        <f>IFERROR(__xludf.DUMMYFUNCTION("""COMPUTED_VALUE"""),"1. Microwave")</f>
        <v>1. Microwave</v>
      </c>
      <c r="B5516" s="4" t="str">
        <f>IFERROR(__xludf.DUMMYFUNCTION("""COMPUTED_VALUE"""),"1")</f>
        <v>1</v>
      </c>
      <c r="C5516" s="5" t="str">
        <f>IFERROR(__xludf.DUMMYFUNCTION("""COMPUTED_VALUE"""),"https://drive.google.com/file/d/1JBLEgrDWyi_3pmREqeygas-rBRjoDUzP/view?usp=drivesdk")</f>
        <v>https://drive.google.com/file/d/1JBLEgrDWyi_3pmREqeygas-rBRjoDUzP/view?usp=drivesdk</v>
      </c>
      <c r="D5516" s="12"/>
      <c r="E5516" s="11">
        <v>5554.0</v>
      </c>
      <c r="F5516" s="2"/>
    </row>
    <row r="5517" ht="1.5" customHeight="1">
      <c r="A5517" s="4" t="str">
        <f>IFERROR(__xludf.DUMMYFUNCTION("""COMPUTED_VALUE"""),"1. Microwave")</f>
        <v>1. Microwave</v>
      </c>
      <c r="B5517" s="4" t="str">
        <f>IFERROR(__xludf.DUMMYFUNCTION("""COMPUTED_VALUE"""),"1")</f>
        <v>1</v>
      </c>
      <c r="C5517" s="5" t="str">
        <f>IFERROR(__xludf.DUMMYFUNCTION("""COMPUTED_VALUE"""),"https://drive.google.com/file/d/1dkldZaO-Qrxukds3yVbLg705W7ialGww/view?usp=drivesdk")</f>
        <v>https://drive.google.com/file/d/1dkldZaO-Qrxukds3yVbLg705W7ialGww/view?usp=drivesdk</v>
      </c>
      <c r="D5517" s="12"/>
      <c r="E5517" s="11">
        <v>5555.0</v>
      </c>
      <c r="F5517" s="2"/>
    </row>
    <row r="5518" ht="1.5" customHeight="1">
      <c r="A5518" s="4" t="str">
        <f>IFERROR(__xludf.DUMMYFUNCTION("""COMPUTED_VALUE"""),"1. Microwave")</f>
        <v>1. Microwave</v>
      </c>
      <c r="B5518" s="4" t="str">
        <f>IFERROR(__xludf.DUMMYFUNCTION("""COMPUTED_VALUE"""),"1")</f>
        <v>1</v>
      </c>
      <c r="C5518" s="5" t="str">
        <f>IFERROR(__xludf.DUMMYFUNCTION("""COMPUTED_VALUE"""),"https://drive.google.com/file/d/1PCDvhfh00-4Uto8GYhT9KBHU06gKYczp/view?usp=drivesdk")</f>
        <v>https://drive.google.com/file/d/1PCDvhfh00-4Uto8GYhT9KBHU06gKYczp/view?usp=drivesdk</v>
      </c>
      <c r="D5518" s="12"/>
      <c r="E5518" s="11">
        <v>5556.0</v>
      </c>
      <c r="F5518" s="2"/>
    </row>
    <row r="5519" ht="1.5" customHeight="1">
      <c r="A5519" s="4" t="str">
        <f>IFERROR(__xludf.DUMMYFUNCTION("""COMPUTED_VALUE"""),"2. Twix")</f>
        <v>2. Twix</v>
      </c>
      <c r="B5519" s="4" t="str">
        <f>IFERROR(__xludf.DUMMYFUNCTION("""COMPUTED_VALUE"""),"2")</f>
        <v>2</v>
      </c>
      <c r="C5519" s="5" t="str">
        <f>IFERROR(__xludf.DUMMYFUNCTION("""COMPUTED_VALUE"""),"https://drive.google.com/file/d/1R5gtxoqsY6uHTpoQT2jGAxQ2Az6zN-wJ/view?usp=drivesdk")</f>
        <v>https://drive.google.com/file/d/1R5gtxoqsY6uHTpoQT2jGAxQ2Az6zN-wJ/view?usp=drivesdk</v>
      </c>
      <c r="D5519" s="12"/>
      <c r="E5519" s="11">
        <v>5557.0</v>
      </c>
      <c r="F5519" s="2"/>
    </row>
    <row r="5520" ht="1.5" customHeight="1">
      <c r="A5520" s="4" t="str">
        <f>IFERROR(__xludf.DUMMYFUNCTION("""COMPUTED_VALUE"""),"2. Twix")</f>
        <v>2. Twix</v>
      </c>
      <c r="B5520" s="4" t="str">
        <f>IFERROR(__xludf.DUMMYFUNCTION("""COMPUTED_VALUE"""),"2")</f>
        <v>2</v>
      </c>
      <c r="C5520" s="5" t="str">
        <f>IFERROR(__xludf.DUMMYFUNCTION("""COMPUTED_VALUE"""),"https://drive.google.com/file/d/1-4ECas_rCBhHfputVileLNRm6eaWDA__/view?usp=drivesdk")</f>
        <v>https://drive.google.com/file/d/1-4ECas_rCBhHfputVileLNRm6eaWDA__/view?usp=drivesdk</v>
      </c>
      <c r="D5520" s="12"/>
      <c r="E5520" s="11">
        <v>5558.0</v>
      </c>
      <c r="F5520" s="2"/>
    </row>
    <row r="5521" ht="1.5" customHeight="1">
      <c r="A5521" s="4" t="str">
        <f>IFERROR(__xludf.DUMMYFUNCTION("""COMPUTED_VALUE"""),"1. Microwave")</f>
        <v>1. Microwave</v>
      </c>
      <c r="B5521" s="4" t="str">
        <f>IFERROR(__xludf.DUMMYFUNCTION("""COMPUTED_VALUE"""),"1")</f>
        <v>1</v>
      </c>
      <c r="C5521" s="5" t="str">
        <f>IFERROR(__xludf.DUMMYFUNCTION("""COMPUTED_VALUE"""),"https://drive.google.com/file/d/1vXDB0WKIubVlO26FALOkRJ1s60rB1rG1/view?usp=drivesdk")</f>
        <v>https://drive.google.com/file/d/1vXDB0WKIubVlO26FALOkRJ1s60rB1rG1/view?usp=drivesdk</v>
      </c>
      <c r="D5521" s="12"/>
      <c r="E5521" s="11">
        <v>5559.0</v>
      </c>
      <c r="F5521" s="2"/>
    </row>
    <row r="5522" ht="1.5" customHeight="1">
      <c r="A5522" s="4" t="str">
        <f>IFERROR(__xludf.DUMMYFUNCTION("""COMPUTED_VALUE"""),"1. Microwave")</f>
        <v>1. Microwave</v>
      </c>
      <c r="B5522" s="4" t="str">
        <f>IFERROR(__xludf.DUMMYFUNCTION("""COMPUTED_VALUE"""),"1")</f>
        <v>1</v>
      </c>
      <c r="C5522" s="5" t="str">
        <f>IFERROR(__xludf.DUMMYFUNCTION("""COMPUTED_VALUE"""),"https://drive.google.com/file/d/1jSM6KXEltIatwiJwQhX_OzeJAYMa3RI6/view?usp=drivesdk")</f>
        <v>https://drive.google.com/file/d/1jSM6KXEltIatwiJwQhX_OzeJAYMa3RI6/view?usp=drivesdk</v>
      </c>
      <c r="D5522" s="12"/>
      <c r="E5522" s="11">
        <v>5560.0</v>
      </c>
      <c r="F5522" s="2"/>
    </row>
    <row r="5523" ht="1.5" customHeight="1">
      <c r="A5523" s="4" t="str">
        <f>IFERROR(__xludf.DUMMYFUNCTION("""COMPUTED_VALUE"""),"1. Microwave")</f>
        <v>1. Microwave</v>
      </c>
      <c r="B5523" s="4" t="str">
        <f>IFERROR(__xludf.DUMMYFUNCTION("""COMPUTED_VALUE"""),"1")</f>
        <v>1</v>
      </c>
      <c r="C5523" s="5" t="str">
        <f>IFERROR(__xludf.DUMMYFUNCTION("""COMPUTED_VALUE"""),"https://drive.google.com/file/d/1dSPj82gbBBAYJvFNCK3jUYEJIVXMjt6w/view?usp=drivesdk")</f>
        <v>https://drive.google.com/file/d/1dSPj82gbBBAYJvFNCK3jUYEJIVXMjt6w/view?usp=drivesdk</v>
      </c>
      <c r="D5523" s="12"/>
      <c r="E5523" s="11">
        <v>5561.0</v>
      </c>
      <c r="F5523" s="2"/>
    </row>
    <row r="5524" ht="1.5" customHeight="1">
      <c r="A5524" s="4" t="str">
        <f>IFERROR(__xludf.DUMMYFUNCTION("""COMPUTED_VALUE"""),"0. NotACat")</f>
        <v>0. NotACat</v>
      </c>
      <c r="B5524" s="4" t="str">
        <f>IFERROR(__xludf.DUMMYFUNCTION("""COMPUTED_VALUE"""),"0")</f>
        <v>0</v>
      </c>
      <c r="C5524" s="5" t="str">
        <f>IFERROR(__xludf.DUMMYFUNCTION("""COMPUTED_VALUE"""),"https://drive.google.com/file/d/1iMKxv-pPeK5wuDAPIhv06GyOPp3GleoL/view?usp=drivesdk")</f>
        <v>https://drive.google.com/file/d/1iMKxv-pPeK5wuDAPIhv06GyOPp3GleoL/view?usp=drivesdk</v>
      </c>
      <c r="D5524" s="12"/>
      <c r="E5524" s="11">
        <v>5562.0</v>
      </c>
      <c r="F5524" s="2"/>
    </row>
    <row r="5525" ht="1.5" customHeight="1">
      <c r="A5525" s="4" t="str">
        <f>IFERROR(__xludf.DUMMYFUNCTION("""COMPUTED_VALUE"""),"1. Microwave")</f>
        <v>1. Microwave</v>
      </c>
      <c r="B5525" s="4" t="str">
        <f>IFERROR(__xludf.DUMMYFUNCTION("""COMPUTED_VALUE"""),"1")</f>
        <v>1</v>
      </c>
      <c r="C5525" s="5" t="str">
        <f>IFERROR(__xludf.DUMMYFUNCTION("""COMPUTED_VALUE"""),"https://drive.google.com/file/d/1Uod1uTvKArUthh_gKKy-eJnH7JRfxFUK/view?usp=drivesdk")</f>
        <v>https://drive.google.com/file/d/1Uod1uTvKArUthh_gKKy-eJnH7JRfxFUK/view?usp=drivesdk</v>
      </c>
      <c r="D5525" s="12"/>
      <c r="E5525" s="11">
        <v>5563.0</v>
      </c>
      <c r="F5525" s="2"/>
    </row>
    <row r="5526" ht="1.5" customHeight="1">
      <c r="A5526" s="4" t="str">
        <f>IFERROR(__xludf.DUMMYFUNCTION("""COMPUTED_VALUE"""),"1. Microwave")</f>
        <v>1. Microwave</v>
      </c>
      <c r="B5526" s="4" t="str">
        <f>IFERROR(__xludf.DUMMYFUNCTION("""COMPUTED_VALUE"""),"1")</f>
        <v>1</v>
      </c>
      <c r="C5526" s="5" t="str">
        <f>IFERROR(__xludf.DUMMYFUNCTION("""COMPUTED_VALUE"""),"https://drive.google.com/file/d/1QcYFYg2zds0PGp0z6mQ_9oXNnn9r_8Lh/view?usp=drivesdk")</f>
        <v>https://drive.google.com/file/d/1QcYFYg2zds0PGp0z6mQ_9oXNnn9r_8Lh/view?usp=drivesdk</v>
      </c>
      <c r="D5526" s="12"/>
      <c r="E5526" s="11">
        <v>5564.0</v>
      </c>
      <c r="F5526" s="2"/>
    </row>
    <row r="5527" ht="1.5" customHeight="1">
      <c r="A5527" s="4" t="str">
        <f>IFERROR(__xludf.DUMMYFUNCTION("""COMPUTED_VALUE"""),"1. Microwave")</f>
        <v>1. Microwave</v>
      </c>
      <c r="B5527" s="4" t="str">
        <f>IFERROR(__xludf.DUMMYFUNCTION("""COMPUTED_VALUE"""),"1")</f>
        <v>1</v>
      </c>
      <c r="C5527" s="5" t="str">
        <f>IFERROR(__xludf.DUMMYFUNCTION("""COMPUTED_VALUE"""),"https://drive.google.com/file/d/1cCao_7qwYFFgKaVJC8T1K68f-pVlbi4l/view?usp=drivesdk")</f>
        <v>https://drive.google.com/file/d/1cCao_7qwYFFgKaVJC8T1K68f-pVlbi4l/view?usp=drivesdk</v>
      </c>
      <c r="D5527" s="12"/>
      <c r="E5527" s="11">
        <v>5565.0</v>
      </c>
      <c r="F5527" s="2"/>
    </row>
    <row r="5528" ht="1.5" customHeight="1">
      <c r="A5528" s="4" t="str">
        <f>IFERROR(__xludf.DUMMYFUNCTION("""COMPUTED_VALUE"""),"1. Microwave")</f>
        <v>1. Microwave</v>
      </c>
      <c r="B5528" s="4" t="str">
        <f>IFERROR(__xludf.DUMMYFUNCTION("""COMPUTED_VALUE"""),"1")</f>
        <v>1</v>
      </c>
      <c r="C5528" s="5" t="str">
        <f>IFERROR(__xludf.DUMMYFUNCTION("""COMPUTED_VALUE"""),"https://drive.google.com/file/d/1nVxVAObyb-Ef4mhItx-YOT79D0Be_7LL/view?usp=drivesdk")</f>
        <v>https://drive.google.com/file/d/1nVxVAObyb-Ef4mhItx-YOT79D0Be_7LL/view?usp=drivesdk</v>
      </c>
      <c r="D5528" s="12"/>
      <c r="E5528" s="11">
        <v>5566.0</v>
      </c>
      <c r="F5528" s="2"/>
    </row>
    <row r="5529" ht="1.5" customHeight="1">
      <c r="A5529" s="4" t="str">
        <f>IFERROR(__xludf.DUMMYFUNCTION("""COMPUTED_VALUE"""),"1. Microwave")</f>
        <v>1. Microwave</v>
      </c>
      <c r="B5529" s="4" t="str">
        <f>IFERROR(__xludf.DUMMYFUNCTION("""COMPUTED_VALUE"""),"1")</f>
        <v>1</v>
      </c>
      <c r="C5529" s="5" t="str">
        <f>IFERROR(__xludf.DUMMYFUNCTION("""COMPUTED_VALUE"""),"https://drive.google.com/file/d/1l8bqQNM3MppisQr4l14ubllQmOLuzOs0/view?usp=drivesdk")</f>
        <v>https://drive.google.com/file/d/1l8bqQNM3MppisQr4l14ubllQmOLuzOs0/view?usp=drivesdk</v>
      </c>
      <c r="D5529" s="12"/>
      <c r="E5529" s="11">
        <v>5567.0</v>
      </c>
      <c r="F5529" s="2"/>
    </row>
    <row r="5530" ht="1.5" customHeight="1">
      <c r="A5530" s="4" t="str">
        <f>IFERROR(__xludf.DUMMYFUNCTION("""COMPUTED_VALUE"""),"5. Eraser")</f>
        <v>5. Eraser</v>
      </c>
      <c r="B5530" s="4" t="str">
        <f>IFERROR(__xludf.DUMMYFUNCTION("""COMPUTED_VALUE"""),"5")</f>
        <v>5</v>
      </c>
      <c r="C5530" s="5" t="str">
        <f>IFERROR(__xludf.DUMMYFUNCTION("""COMPUTED_VALUE"""),"https://drive.google.com/file/d/1ozEP6LdDtkWNbXs4OCG1G4ChZ7s5pthP/view?usp=drivesdk")</f>
        <v>https://drive.google.com/file/d/1ozEP6LdDtkWNbXs4OCG1G4ChZ7s5pthP/view?usp=drivesdk</v>
      </c>
      <c r="D5530" s="12"/>
      <c r="E5530" s="11">
        <v>5568.0</v>
      </c>
      <c r="F5530" s="2"/>
    </row>
    <row r="5531" ht="1.5" customHeight="1">
      <c r="A5531" s="4" t="str">
        <f>IFERROR(__xludf.DUMMYFUNCTION("""COMPUTED_VALUE"""),"4. Eggs")</f>
        <v>4. Eggs</v>
      </c>
      <c r="B5531" s="4" t="str">
        <f>IFERROR(__xludf.DUMMYFUNCTION("""COMPUTED_VALUE"""),"4")</f>
        <v>4</v>
      </c>
      <c r="C5531" s="5" t="str">
        <f>IFERROR(__xludf.DUMMYFUNCTION("""COMPUTED_VALUE"""),"https://drive.google.com/file/d/1Sme3Y7_3zwpJ75kdS8jvJI9w7a5Pcw_4/view?usp=drivesdk")</f>
        <v>https://drive.google.com/file/d/1Sme3Y7_3zwpJ75kdS8jvJI9w7a5Pcw_4/view?usp=drivesdk</v>
      </c>
      <c r="D5531" s="12"/>
      <c r="E5531" s="11">
        <v>5569.0</v>
      </c>
      <c r="F5531" s="2"/>
    </row>
    <row r="5532" ht="1.5" customHeight="1">
      <c r="A5532" s="4" t="str">
        <f>IFERROR(__xludf.DUMMYFUNCTION("""COMPUTED_VALUE"""),"1. Microwave")</f>
        <v>1. Microwave</v>
      </c>
      <c r="B5532" s="4" t="str">
        <f>IFERROR(__xludf.DUMMYFUNCTION("""COMPUTED_VALUE"""),"1")</f>
        <v>1</v>
      </c>
      <c r="C5532" s="5" t="str">
        <f>IFERROR(__xludf.DUMMYFUNCTION("""COMPUTED_VALUE"""),"https://drive.google.com/file/d/1Rr_jGyh9N7edE0WYMf1PBZVv1Y5NyRL3/view?usp=drivesdk")</f>
        <v>https://drive.google.com/file/d/1Rr_jGyh9N7edE0WYMf1PBZVv1Y5NyRL3/view?usp=drivesdk</v>
      </c>
      <c r="D5532" s="12"/>
      <c r="E5532" s="11">
        <v>5570.0</v>
      </c>
      <c r="F5532" s="2"/>
    </row>
    <row r="5533" ht="1.5" customHeight="1">
      <c r="A5533" s="4" t="str">
        <f>IFERROR(__xludf.DUMMYFUNCTION("""COMPUTED_VALUE"""),"1. Microwave")</f>
        <v>1. Microwave</v>
      </c>
      <c r="B5533" s="4" t="str">
        <f>IFERROR(__xludf.DUMMYFUNCTION("""COMPUTED_VALUE"""),"1")</f>
        <v>1</v>
      </c>
      <c r="C5533" s="5" t="str">
        <f>IFERROR(__xludf.DUMMYFUNCTION("""COMPUTED_VALUE"""),"https://drive.google.com/file/d/1-V8cFd04KPYISwE4SukZa7JJJuqKUmAE/view?usp=drivesdk")</f>
        <v>https://drive.google.com/file/d/1-V8cFd04KPYISwE4SukZa7JJJuqKUmAE/view?usp=drivesdk</v>
      </c>
      <c r="D5533" s="12"/>
      <c r="E5533" s="11">
        <v>5571.0</v>
      </c>
      <c r="F5533" s="2"/>
    </row>
    <row r="5534" ht="1.5" customHeight="1">
      <c r="A5534" s="4" t="str">
        <f>IFERROR(__xludf.DUMMYFUNCTION("""COMPUTED_VALUE"""),"1. Microwave")</f>
        <v>1. Microwave</v>
      </c>
      <c r="B5534" s="4" t="str">
        <f>IFERROR(__xludf.DUMMYFUNCTION("""COMPUTED_VALUE"""),"1")</f>
        <v>1</v>
      </c>
      <c r="C5534" s="5" t="str">
        <f>IFERROR(__xludf.DUMMYFUNCTION("""COMPUTED_VALUE"""),"https://drive.google.com/file/d/1YtNCXgjoYk4_wLkKw-EtLLLP7ElLM2nX/view?usp=drivesdk")</f>
        <v>https://drive.google.com/file/d/1YtNCXgjoYk4_wLkKw-EtLLLP7ElLM2nX/view?usp=drivesdk</v>
      </c>
      <c r="D5534" s="12"/>
      <c r="E5534" s="11">
        <v>5572.0</v>
      </c>
      <c r="F5534" s="2"/>
    </row>
    <row r="5535" ht="1.5" customHeight="1">
      <c r="A5535" s="4" t="str">
        <f>IFERROR(__xludf.DUMMYFUNCTION("""COMPUTED_VALUE"""),"1. Microwave")</f>
        <v>1. Microwave</v>
      </c>
      <c r="B5535" s="4" t="str">
        <f>IFERROR(__xludf.DUMMYFUNCTION("""COMPUTED_VALUE"""),"1")</f>
        <v>1</v>
      </c>
      <c r="C5535" s="5" t="str">
        <f>IFERROR(__xludf.DUMMYFUNCTION("""COMPUTED_VALUE"""),"https://drive.google.com/file/d/1JXItjC3P37OrzkOOK8HY3KhKL_mKP2lT/view?usp=drivesdk")</f>
        <v>https://drive.google.com/file/d/1JXItjC3P37OrzkOOK8HY3KhKL_mKP2lT/view?usp=drivesdk</v>
      </c>
      <c r="D5535" s="12"/>
      <c r="E5535" s="11">
        <v>5573.0</v>
      </c>
      <c r="F5535" s="2"/>
    </row>
    <row r="5536" ht="1.5" customHeight="1">
      <c r="A5536" s="4" t="str">
        <f>IFERROR(__xludf.DUMMYFUNCTION("""COMPUTED_VALUE"""),"1. Microwave")</f>
        <v>1. Microwave</v>
      </c>
      <c r="B5536" s="4" t="str">
        <f>IFERROR(__xludf.DUMMYFUNCTION("""COMPUTED_VALUE"""),"1")</f>
        <v>1</v>
      </c>
      <c r="C5536" s="5" t="str">
        <f>IFERROR(__xludf.DUMMYFUNCTION("""COMPUTED_VALUE"""),"https://drive.google.com/file/d/1c0SFbRl5B8TyBIkKx5tAvQo-fbhOa52n/view?usp=drivesdk")</f>
        <v>https://drive.google.com/file/d/1c0SFbRl5B8TyBIkKx5tAvQo-fbhOa52n/view?usp=drivesdk</v>
      </c>
      <c r="D5536" s="12"/>
      <c r="E5536" s="11">
        <v>5574.0</v>
      </c>
      <c r="F5536" s="2"/>
    </row>
    <row r="5537" ht="1.5" customHeight="1">
      <c r="A5537" s="4" t="str">
        <f>IFERROR(__xludf.DUMMYFUNCTION("""COMPUTED_VALUE"""),"1. Microwave")</f>
        <v>1. Microwave</v>
      </c>
      <c r="B5537" s="4" t="str">
        <f>IFERROR(__xludf.DUMMYFUNCTION("""COMPUTED_VALUE"""),"1")</f>
        <v>1</v>
      </c>
      <c r="C5537" s="5" t="str">
        <f>IFERROR(__xludf.DUMMYFUNCTION("""COMPUTED_VALUE"""),"https://drive.google.com/file/d/1GZtFMvIgjgs-bfNu49FURyDedG3Ar-kP/view?usp=drivesdk")</f>
        <v>https://drive.google.com/file/d/1GZtFMvIgjgs-bfNu49FURyDedG3Ar-kP/view?usp=drivesdk</v>
      </c>
      <c r="D5537" s="12"/>
      <c r="E5537" s="11">
        <v>5575.0</v>
      </c>
      <c r="F5537" s="2"/>
    </row>
    <row r="5538" ht="1.5" customHeight="1">
      <c r="A5538" s="4" t="str">
        <f>IFERROR(__xludf.DUMMYFUNCTION("""COMPUTED_VALUE"""),"1. Microwave")</f>
        <v>1. Microwave</v>
      </c>
      <c r="B5538" s="4" t="str">
        <f>IFERROR(__xludf.DUMMYFUNCTION("""COMPUTED_VALUE"""),"1")</f>
        <v>1</v>
      </c>
      <c r="C5538" s="5" t="str">
        <f>IFERROR(__xludf.DUMMYFUNCTION("""COMPUTED_VALUE"""),"https://drive.google.com/file/d/1r9fb79TOt2BPHWP3htlZK_GVxolTvVFF/view?usp=drivesdk")</f>
        <v>https://drive.google.com/file/d/1r9fb79TOt2BPHWP3htlZK_GVxolTvVFF/view?usp=drivesdk</v>
      </c>
      <c r="D5538" s="12"/>
      <c r="E5538" s="11">
        <v>5576.0</v>
      </c>
      <c r="F5538" s="2"/>
    </row>
    <row r="5539" ht="1.5" customHeight="1">
      <c r="A5539" s="4" t="str">
        <f>IFERROR(__xludf.DUMMYFUNCTION("""COMPUTED_VALUE"""),"1. Microwave")</f>
        <v>1. Microwave</v>
      </c>
      <c r="B5539" s="4" t="str">
        <f>IFERROR(__xludf.DUMMYFUNCTION("""COMPUTED_VALUE"""),"1")</f>
        <v>1</v>
      </c>
      <c r="C5539" s="5" t="str">
        <f>IFERROR(__xludf.DUMMYFUNCTION("""COMPUTED_VALUE"""),"https://drive.google.com/file/d/19Bxg3_ghGxwdKJluaCGmdyzCDAA7B-ra/view?usp=drivesdk")</f>
        <v>https://drive.google.com/file/d/19Bxg3_ghGxwdKJluaCGmdyzCDAA7B-ra/view?usp=drivesdk</v>
      </c>
      <c r="D5539" s="12"/>
      <c r="E5539" s="11">
        <v>5577.0</v>
      </c>
      <c r="F5539" s="2"/>
    </row>
    <row r="5540" ht="1.5" customHeight="1">
      <c r="A5540" s="4" t="str">
        <f>IFERROR(__xludf.DUMMYFUNCTION("""COMPUTED_VALUE"""),"1. Microwave")</f>
        <v>1. Microwave</v>
      </c>
      <c r="B5540" s="4" t="str">
        <f>IFERROR(__xludf.DUMMYFUNCTION("""COMPUTED_VALUE"""),"1")</f>
        <v>1</v>
      </c>
      <c r="C5540" s="5" t="str">
        <f>IFERROR(__xludf.DUMMYFUNCTION("""COMPUTED_VALUE"""),"https://drive.google.com/file/d/1qmYWOUJH-uMLHXMAV3YjaBC_yKs8MDNY/view?usp=drivesdk")</f>
        <v>https://drive.google.com/file/d/1qmYWOUJH-uMLHXMAV3YjaBC_yKs8MDNY/view?usp=drivesdk</v>
      </c>
      <c r="D5540" s="12"/>
      <c r="E5540" s="11">
        <v>5578.0</v>
      </c>
      <c r="F5540" s="2"/>
    </row>
    <row r="5541" ht="1.5" customHeight="1">
      <c r="A5541" s="4" t="str">
        <f>IFERROR(__xludf.DUMMYFUNCTION("""COMPUTED_VALUE"""),"1. Microwave")</f>
        <v>1. Microwave</v>
      </c>
      <c r="B5541" s="4" t="str">
        <f>IFERROR(__xludf.DUMMYFUNCTION("""COMPUTED_VALUE"""),"1")</f>
        <v>1</v>
      </c>
      <c r="C5541" s="5" t="str">
        <f>IFERROR(__xludf.DUMMYFUNCTION("""COMPUTED_VALUE"""),"https://drive.google.com/file/d/1aW8clrohi-dC9LWpV04Jyz9w4a0HeX6v/view?usp=drivesdk")</f>
        <v>https://drive.google.com/file/d/1aW8clrohi-dC9LWpV04Jyz9w4a0HeX6v/view?usp=drivesdk</v>
      </c>
      <c r="D5541" s="12"/>
      <c r="E5541" s="11">
        <v>5579.0</v>
      </c>
      <c r="F5541" s="2"/>
    </row>
    <row r="5542" ht="1.5" customHeight="1">
      <c r="A5542" s="4" t="str">
        <f>IFERROR(__xludf.DUMMYFUNCTION("""COMPUTED_VALUE"""),"1. Microwave")</f>
        <v>1. Microwave</v>
      </c>
      <c r="B5542" s="4" t="str">
        <f>IFERROR(__xludf.DUMMYFUNCTION("""COMPUTED_VALUE"""),"1")</f>
        <v>1</v>
      </c>
      <c r="C5542" s="5" t="str">
        <f>IFERROR(__xludf.DUMMYFUNCTION("""COMPUTED_VALUE"""),"https://drive.google.com/file/d/1JDez0vdsBJVihuGw29GjTaBGFVdQ3Kno/view?usp=drivesdk")</f>
        <v>https://drive.google.com/file/d/1JDez0vdsBJVihuGw29GjTaBGFVdQ3Kno/view?usp=drivesdk</v>
      </c>
      <c r="D5542" s="12"/>
      <c r="E5542" s="11">
        <v>5580.0</v>
      </c>
      <c r="F5542" s="2"/>
    </row>
    <row r="5543" ht="1.5" customHeight="1">
      <c r="A5543" s="4" t="str">
        <f>IFERROR(__xludf.DUMMYFUNCTION("""COMPUTED_VALUE"""),"2. Twix")</f>
        <v>2. Twix</v>
      </c>
      <c r="B5543" s="4" t="str">
        <f>IFERROR(__xludf.DUMMYFUNCTION("""COMPUTED_VALUE"""),"2")</f>
        <v>2</v>
      </c>
      <c r="C5543" s="5" t="str">
        <f>IFERROR(__xludf.DUMMYFUNCTION("""COMPUTED_VALUE"""),"https://drive.google.com/file/d/1tSCNT9WbDIj4tHE04dDhiMwXanbIUAtg/view?usp=drivesdk")</f>
        <v>https://drive.google.com/file/d/1tSCNT9WbDIj4tHE04dDhiMwXanbIUAtg/view?usp=drivesdk</v>
      </c>
      <c r="D5543" s="12"/>
      <c r="E5543" s="11">
        <v>5581.0</v>
      </c>
      <c r="F5543" s="2"/>
    </row>
    <row r="5544" ht="1.5" customHeight="1">
      <c r="A5544" s="4" t="str">
        <f>IFERROR(__xludf.DUMMYFUNCTION("""COMPUTED_VALUE"""),"1. Microwave")</f>
        <v>1. Microwave</v>
      </c>
      <c r="B5544" s="4" t="str">
        <f>IFERROR(__xludf.DUMMYFUNCTION("""COMPUTED_VALUE"""),"1")</f>
        <v>1</v>
      </c>
      <c r="C5544" s="5" t="str">
        <f>IFERROR(__xludf.DUMMYFUNCTION("""COMPUTED_VALUE"""),"https://drive.google.com/file/d/1Fu0XHzMKzzlDYxzLMvcezwL81mqy-Who/view?usp=drivesdk")</f>
        <v>https://drive.google.com/file/d/1Fu0XHzMKzzlDYxzLMvcezwL81mqy-Who/view?usp=drivesdk</v>
      </c>
      <c r="D5544" s="12"/>
      <c r="E5544" s="11">
        <v>5582.0</v>
      </c>
      <c r="F5544" s="2"/>
    </row>
    <row r="5545" ht="1.5" customHeight="1">
      <c r="A5545" s="4" t="str">
        <f>IFERROR(__xludf.DUMMYFUNCTION("""COMPUTED_VALUE"""),"115. Toothless")</f>
        <v>115. Toothless</v>
      </c>
      <c r="B5545" s="4" t="str">
        <f>IFERROR(__xludf.DUMMYFUNCTION("""COMPUTED_VALUE"""),"115")</f>
        <v>115</v>
      </c>
      <c r="C5545" s="5" t="str">
        <f>IFERROR(__xludf.DUMMYFUNCTION("""COMPUTED_VALUE"""),"https://drive.google.com/file/d/1usIc4zowqiRuPp45RcsmgKvVjgj09KrM/view?usp=drivesdk")</f>
        <v>https://drive.google.com/file/d/1usIc4zowqiRuPp45RcsmgKvVjgj09KrM/view?usp=drivesdk</v>
      </c>
      <c r="D5545" s="12"/>
      <c r="E5545" s="11">
        <v>5583.0</v>
      </c>
      <c r="F5545" s="2"/>
    </row>
    <row r="5546" ht="1.5" customHeight="1">
      <c r="A5546" s="4" t="str">
        <f>IFERROR(__xludf.DUMMYFUNCTION("""COMPUTED_VALUE"""),"115. Toothless")</f>
        <v>115. Toothless</v>
      </c>
      <c r="B5546" s="4" t="str">
        <f>IFERROR(__xludf.DUMMYFUNCTION("""COMPUTED_VALUE"""),"115")</f>
        <v>115</v>
      </c>
      <c r="C5546" s="5" t="str">
        <f>IFERROR(__xludf.DUMMYFUNCTION("""COMPUTED_VALUE"""),"https://drive.google.com/file/d/1WaHw8xhIHL78JAm2MsmlhLHj8qTHYdSY/view?usp=drivesdk")</f>
        <v>https://drive.google.com/file/d/1WaHw8xhIHL78JAm2MsmlhLHj8qTHYdSY/view?usp=drivesdk</v>
      </c>
      <c r="D5546" s="12"/>
      <c r="E5546" s="11">
        <v>5584.0</v>
      </c>
      <c r="F5546" s="2"/>
    </row>
    <row r="5547" ht="1.5" customHeight="1">
      <c r="A5547" s="4" t="str">
        <f>IFERROR(__xludf.DUMMYFUNCTION("""COMPUTED_VALUE"""),"29. Ginger, 30. Pepper")</f>
        <v>29. Ginger, 30. Pepper</v>
      </c>
      <c r="B5547" s="4" t="str">
        <f>IFERROR(__xludf.DUMMYFUNCTION("""COMPUTED_VALUE"""),"29, 30")</f>
        <v>29, 30</v>
      </c>
      <c r="C5547" s="5" t="str">
        <f>IFERROR(__xludf.DUMMYFUNCTION("""COMPUTED_VALUE"""),"https://drive.google.com/file/d/1mgpzc5tCzJSRTZBVKboh0ywqJMRbS8oK/view?usp=drivesdk")</f>
        <v>https://drive.google.com/file/d/1mgpzc5tCzJSRTZBVKboh0ywqJMRbS8oK/view?usp=drivesdk</v>
      </c>
      <c r="D5547" s="12"/>
      <c r="E5547" s="11">
        <v>5585.0</v>
      </c>
      <c r="F5547" s="2"/>
    </row>
    <row r="5548" ht="1.5" customHeight="1">
      <c r="A5548" s="4" t="str">
        <f>IFERROR(__xludf.DUMMYFUNCTION("""COMPUTED_VALUE"""),"115. Toothless")</f>
        <v>115. Toothless</v>
      </c>
      <c r="B5548" s="4" t="str">
        <f>IFERROR(__xludf.DUMMYFUNCTION("""COMPUTED_VALUE"""),"115")</f>
        <v>115</v>
      </c>
      <c r="C5548" s="5" t="str">
        <f>IFERROR(__xludf.DUMMYFUNCTION("""COMPUTED_VALUE"""),"https://drive.google.com/file/d/1LNTrYABmIb9-7dbGYBCdo-14QBpyZE9-/view?usp=drivesdk")</f>
        <v>https://drive.google.com/file/d/1LNTrYABmIb9-7dbGYBCdo-14QBpyZE9-/view?usp=drivesdk</v>
      </c>
      <c r="D5548" s="12"/>
      <c r="E5548" s="11">
        <v>5586.0</v>
      </c>
      <c r="F5548" s="2"/>
    </row>
    <row r="5549" ht="1.5" customHeight="1">
      <c r="A5549" s="4" t="str">
        <f>IFERROR(__xludf.DUMMYFUNCTION("""COMPUTED_VALUE"""),"115. Toothless")</f>
        <v>115. Toothless</v>
      </c>
      <c r="B5549" s="4" t="str">
        <f>IFERROR(__xludf.DUMMYFUNCTION("""COMPUTED_VALUE"""),"115")</f>
        <v>115</v>
      </c>
      <c r="C5549" s="5" t="str">
        <f>IFERROR(__xludf.DUMMYFUNCTION("""COMPUTED_VALUE"""),"https://drive.google.com/file/d/1GUcC_ZG8Y2ND6gBUheTHXv4SKntxjSXH/view?usp=drivesdk")</f>
        <v>https://drive.google.com/file/d/1GUcC_ZG8Y2ND6gBUheTHXv4SKntxjSXH/view?usp=drivesdk</v>
      </c>
      <c r="D5549" s="12"/>
      <c r="E5549" s="11">
        <v>5587.0</v>
      </c>
      <c r="F5549" s="2"/>
    </row>
    <row r="5550" ht="1.5" customHeight="1">
      <c r="A5550" s="4" t="str">
        <f>IFERROR(__xludf.DUMMYFUNCTION("""COMPUTED_VALUE"""),"115. Toothless")</f>
        <v>115. Toothless</v>
      </c>
      <c r="B5550" s="4" t="str">
        <f>IFERROR(__xludf.DUMMYFUNCTION("""COMPUTED_VALUE"""),"115")</f>
        <v>115</v>
      </c>
      <c r="C5550" s="5" t="str">
        <f>IFERROR(__xludf.DUMMYFUNCTION("""COMPUTED_VALUE"""),"https://drive.google.com/file/d/14DjPsuOvztcuspCrDEFKWjb6qmYSn6qu/view?usp=drivesdk")</f>
        <v>https://drive.google.com/file/d/14DjPsuOvztcuspCrDEFKWjb6qmYSn6qu/view?usp=drivesdk</v>
      </c>
      <c r="D5550" s="12"/>
      <c r="E5550" s="11">
        <v>5588.0</v>
      </c>
      <c r="F5550" s="2"/>
    </row>
    <row r="5551" ht="1.5" customHeight="1">
      <c r="A5551" s="4" t="str">
        <f>IFERROR(__xludf.DUMMYFUNCTION("""COMPUTED_VALUE"""),"115. Toothless")</f>
        <v>115. Toothless</v>
      </c>
      <c r="B5551" s="4" t="str">
        <f>IFERROR(__xludf.DUMMYFUNCTION("""COMPUTED_VALUE"""),"115")</f>
        <v>115</v>
      </c>
      <c r="C5551" s="5" t="str">
        <f>IFERROR(__xludf.DUMMYFUNCTION("""COMPUTED_VALUE"""),"https://drive.google.com/file/d/1thk1ev52l8qa958x6unsv7l9d9UUmeXz/view?usp=drivesdk")</f>
        <v>https://drive.google.com/file/d/1thk1ev52l8qa958x6unsv7l9d9UUmeXz/view?usp=drivesdk</v>
      </c>
      <c r="D5551" s="12"/>
      <c r="E5551" s="11">
        <v>5589.0</v>
      </c>
      <c r="F5551" s="2"/>
    </row>
    <row r="5552" ht="1.5" customHeight="1">
      <c r="A5552" s="4" t="str">
        <f>IFERROR(__xludf.DUMMYFUNCTION("""COMPUTED_VALUE"""),"115. Toothless")</f>
        <v>115. Toothless</v>
      </c>
      <c r="B5552" s="4" t="str">
        <f>IFERROR(__xludf.DUMMYFUNCTION("""COMPUTED_VALUE"""),"115")</f>
        <v>115</v>
      </c>
      <c r="C5552" s="5" t="str">
        <f>IFERROR(__xludf.DUMMYFUNCTION("""COMPUTED_VALUE"""),"https://drive.google.com/file/d/19xFQ37ICAZ-s88xKBF_hrYzBmpyWZCe9/view?usp=drivesdk")</f>
        <v>https://drive.google.com/file/d/19xFQ37ICAZ-s88xKBF_hrYzBmpyWZCe9/view?usp=drivesdk</v>
      </c>
      <c r="D5552" s="12"/>
      <c r="E5552" s="11">
        <v>5590.0</v>
      </c>
      <c r="F5552" s="2"/>
    </row>
    <row r="5553" ht="1.5" customHeight="1">
      <c r="A5553" s="4" t="str">
        <f>IFERROR(__xludf.DUMMYFUNCTION("""COMPUTED_VALUE"""),"115. Toothless")</f>
        <v>115. Toothless</v>
      </c>
      <c r="B5553" s="4" t="str">
        <f>IFERROR(__xludf.DUMMYFUNCTION("""COMPUTED_VALUE"""),"115")</f>
        <v>115</v>
      </c>
      <c r="C5553" s="5" t="str">
        <f>IFERROR(__xludf.DUMMYFUNCTION("""COMPUTED_VALUE"""),"https://drive.google.com/file/d/1FeH1ByBa8HlqgBg1PqX0Xp-SAtskuyym/view?usp=drivesdk")</f>
        <v>https://drive.google.com/file/d/1FeH1ByBa8HlqgBg1PqX0Xp-SAtskuyym/view?usp=drivesdk</v>
      </c>
      <c r="D5553" s="12"/>
      <c r="E5553" s="11">
        <v>5591.0</v>
      </c>
      <c r="F5553" s="2"/>
    </row>
    <row r="5554" ht="1.5" customHeight="1">
      <c r="A5554" s="4" t="str">
        <f>IFERROR(__xludf.DUMMYFUNCTION("""COMPUTED_VALUE"""),"115. Toothless")</f>
        <v>115. Toothless</v>
      </c>
      <c r="B5554" s="4" t="str">
        <f>IFERROR(__xludf.DUMMYFUNCTION("""COMPUTED_VALUE"""),"115")</f>
        <v>115</v>
      </c>
      <c r="C5554" s="5" t="str">
        <f>IFERROR(__xludf.DUMMYFUNCTION("""COMPUTED_VALUE"""),"https://drive.google.com/file/d/1L11rGcGvbj68nwtjLgTVi9o3Dt-csgax/view?usp=drivesdk")</f>
        <v>https://drive.google.com/file/d/1L11rGcGvbj68nwtjLgTVi9o3Dt-csgax/view?usp=drivesdk</v>
      </c>
      <c r="D5554" s="12"/>
      <c r="E5554" s="11">
        <v>5592.0</v>
      </c>
      <c r="F5554" s="2"/>
    </row>
    <row r="5555" ht="1.5" customHeight="1">
      <c r="A5555" s="4" t="str">
        <f>IFERROR(__xludf.DUMMYFUNCTION("""COMPUTED_VALUE"""),"115. Toothless")</f>
        <v>115. Toothless</v>
      </c>
      <c r="B5555" s="4" t="str">
        <f>IFERROR(__xludf.DUMMYFUNCTION("""COMPUTED_VALUE"""),"115")</f>
        <v>115</v>
      </c>
      <c r="C5555" s="5" t="str">
        <f>IFERROR(__xludf.DUMMYFUNCTION("""COMPUTED_VALUE"""),"https://drive.google.com/file/d/1uZFCQl7dKZbOAG_8ERKjNTl0yn8Yj1kA/view?usp=drivesdk")</f>
        <v>https://drive.google.com/file/d/1uZFCQl7dKZbOAG_8ERKjNTl0yn8Yj1kA/view?usp=drivesdk</v>
      </c>
      <c r="D5555" s="12"/>
      <c r="E5555" s="11">
        <v>5593.0</v>
      </c>
      <c r="F5555" s="2"/>
    </row>
    <row r="5556" ht="1.5" customHeight="1">
      <c r="A5556" s="4" t="str">
        <f>IFERROR(__xludf.DUMMYFUNCTION("""COMPUTED_VALUE"""),"115. Toothless")</f>
        <v>115. Toothless</v>
      </c>
      <c r="B5556" s="4" t="str">
        <f>IFERROR(__xludf.DUMMYFUNCTION("""COMPUTED_VALUE"""),"115")</f>
        <v>115</v>
      </c>
      <c r="C5556" s="5" t="str">
        <f>IFERROR(__xludf.DUMMYFUNCTION("""COMPUTED_VALUE"""),"https://drive.google.com/file/d/1fPrE3kkqNUh5UCSpp17NbMU-XI8c4qFT/view?usp=drivesdk")</f>
        <v>https://drive.google.com/file/d/1fPrE3kkqNUh5UCSpp17NbMU-XI8c4qFT/view?usp=drivesdk</v>
      </c>
      <c r="D5556" s="12"/>
      <c r="E5556" s="11">
        <v>5594.0</v>
      </c>
      <c r="F5556" s="2"/>
    </row>
    <row r="5557" ht="1.5" customHeight="1">
      <c r="A5557" s="4" t="str">
        <f>IFERROR(__xludf.DUMMYFUNCTION("""COMPUTED_VALUE"""),"115. Toothless")</f>
        <v>115. Toothless</v>
      </c>
      <c r="B5557" s="4" t="str">
        <f>IFERROR(__xludf.DUMMYFUNCTION("""COMPUTED_VALUE"""),"115")</f>
        <v>115</v>
      </c>
      <c r="C5557" s="5" t="str">
        <f>IFERROR(__xludf.DUMMYFUNCTION("""COMPUTED_VALUE"""),"https://drive.google.com/file/d/1kenkduUt7PYbXiaZOazrGK4yvxghQpV_/view?usp=drivesdk")</f>
        <v>https://drive.google.com/file/d/1kenkduUt7PYbXiaZOazrGK4yvxghQpV_/view?usp=drivesdk</v>
      </c>
      <c r="D5557" s="12"/>
      <c r="E5557" s="11">
        <v>5595.0</v>
      </c>
      <c r="F5557" s="2"/>
    </row>
    <row r="5558" ht="1.5" customHeight="1">
      <c r="A5558" s="4" t="str">
        <f>IFERROR(__xludf.DUMMYFUNCTION("""COMPUTED_VALUE"""),"115. Toothless")</f>
        <v>115. Toothless</v>
      </c>
      <c r="B5558" s="4" t="str">
        <f>IFERROR(__xludf.DUMMYFUNCTION("""COMPUTED_VALUE"""),"115")</f>
        <v>115</v>
      </c>
      <c r="C5558" s="5" t="str">
        <f>IFERROR(__xludf.DUMMYFUNCTION("""COMPUTED_VALUE"""),"https://drive.google.com/file/d/14n-uIJyhrLjzYsaCZHu43q-GWbmFCDt3/view?usp=drivesdk")</f>
        <v>https://drive.google.com/file/d/14n-uIJyhrLjzYsaCZHu43q-GWbmFCDt3/view?usp=drivesdk</v>
      </c>
      <c r="D5558" s="12"/>
      <c r="E5558" s="11">
        <v>5596.0</v>
      </c>
      <c r="F5558" s="2"/>
    </row>
    <row r="5559" ht="1.5" customHeight="1">
      <c r="A5559" s="4" t="str">
        <f>IFERROR(__xludf.DUMMYFUNCTION("""COMPUTED_VALUE"""),"115. Toothless")</f>
        <v>115. Toothless</v>
      </c>
      <c r="B5559" s="4" t="str">
        <f>IFERROR(__xludf.DUMMYFUNCTION("""COMPUTED_VALUE"""),"115")</f>
        <v>115</v>
      </c>
      <c r="C5559" s="5" t="str">
        <f>IFERROR(__xludf.DUMMYFUNCTION("""COMPUTED_VALUE"""),"https://drive.google.com/file/d/1B5o6igYWV3-RMaPIFP-L-ttCuORF54DJ/view?usp=drivesdk")</f>
        <v>https://drive.google.com/file/d/1B5o6igYWV3-RMaPIFP-L-ttCuORF54DJ/view?usp=drivesdk</v>
      </c>
      <c r="D5559" s="12"/>
      <c r="E5559" s="11">
        <v>5597.0</v>
      </c>
      <c r="F5559" s="2"/>
    </row>
    <row r="5560" ht="1.5" customHeight="1">
      <c r="A5560" s="4" t="str">
        <f>IFERROR(__xludf.DUMMYFUNCTION("""COMPUTED_VALUE"""),"115. Toothless")</f>
        <v>115. Toothless</v>
      </c>
      <c r="B5560" s="4" t="str">
        <f>IFERROR(__xludf.DUMMYFUNCTION("""COMPUTED_VALUE"""),"115")</f>
        <v>115</v>
      </c>
      <c r="C5560" s="5" t="str">
        <f>IFERROR(__xludf.DUMMYFUNCTION("""COMPUTED_VALUE"""),"https://drive.google.com/file/d/1k68iXsLZWGDDeuZAK30aPnGPZmoOnukF/view?usp=drivesdk")</f>
        <v>https://drive.google.com/file/d/1k68iXsLZWGDDeuZAK30aPnGPZmoOnukF/view?usp=drivesdk</v>
      </c>
      <c r="D5560" s="12"/>
      <c r="E5560" s="11">
        <v>5598.0</v>
      </c>
      <c r="F5560" s="2"/>
    </row>
    <row r="5561" ht="1.5" customHeight="1">
      <c r="A5561" s="4" t="str">
        <f>IFERROR(__xludf.DUMMYFUNCTION("""COMPUTED_VALUE"""),"115. Toothless")</f>
        <v>115. Toothless</v>
      </c>
      <c r="B5561" s="4" t="str">
        <f>IFERROR(__xludf.DUMMYFUNCTION("""COMPUTED_VALUE"""),"115")</f>
        <v>115</v>
      </c>
      <c r="C5561" s="5" t="str">
        <f>IFERROR(__xludf.DUMMYFUNCTION("""COMPUTED_VALUE"""),"https://drive.google.com/file/d/1okCL23B_7KTNP359ytoW_tWXEODhYQGb/view?usp=drivesdk")</f>
        <v>https://drive.google.com/file/d/1okCL23B_7KTNP359ytoW_tWXEODhYQGb/view?usp=drivesdk</v>
      </c>
      <c r="D5561" s="12"/>
      <c r="E5561" s="11">
        <v>5599.0</v>
      </c>
      <c r="F5561" s="2"/>
    </row>
    <row r="5562" ht="1.5" customHeight="1">
      <c r="A5562" s="4" t="str">
        <f>IFERROR(__xludf.DUMMYFUNCTION("""COMPUTED_VALUE"""),"115. Toothless")</f>
        <v>115. Toothless</v>
      </c>
      <c r="B5562" s="4" t="str">
        <f>IFERROR(__xludf.DUMMYFUNCTION("""COMPUTED_VALUE"""),"115")</f>
        <v>115</v>
      </c>
      <c r="C5562" s="5" t="str">
        <f>IFERROR(__xludf.DUMMYFUNCTION("""COMPUTED_VALUE"""),"https://drive.google.com/file/d/1n0qN5DyBXeY1-RXjvxKusT-dBnKbIrlo/view?usp=drivesdk")</f>
        <v>https://drive.google.com/file/d/1n0qN5DyBXeY1-RXjvxKusT-dBnKbIrlo/view?usp=drivesdk</v>
      </c>
      <c r="D5562" s="12"/>
      <c r="E5562" s="11">
        <v>5600.0</v>
      </c>
      <c r="F5562" s="2"/>
    </row>
    <row r="5563" ht="1.5" customHeight="1">
      <c r="A5563" s="4" t="str">
        <f>IFERROR(__xludf.DUMMYFUNCTION("""COMPUTED_VALUE"""),"96. Barbie")</f>
        <v>96. Barbie</v>
      </c>
      <c r="B5563" s="4" t="str">
        <f>IFERROR(__xludf.DUMMYFUNCTION("""COMPUTED_VALUE"""),"96")</f>
        <v>96</v>
      </c>
      <c r="C5563" s="5" t="str">
        <f>IFERROR(__xludf.DUMMYFUNCTION("""COMPUTED_VALUE"""),"https://drive.google.com/file/d/1r_ifQTw5TkwBiEi4qcUbe42xTUsm31xv/view?usp=drivesdk")</f>
        <v>https://drive.google.com/file/d/1r_ifQTw5TkwBiEi4qcUbe42xTUsm31xv/view?usp=drivesdk</v>
      </c>
      <c r="D5563" s="12"/>
      <c r="E5563" s="11">
        <v>5601.0</v>
      </c>
      <c r="F5563" s="2"/>
    </row>
    <row r="5564" ht="1.5" customHeight="1">
      <c r="A5564" s="4" t="str">
        <f>IFERROR(__xludf.DUMMYFUNCTION("""COMPUTED_VALUE"""),"80. Atzi")</f>
        <v>80. Atzi</v>
      </c>
      <c r="B5564" s="4" t="str">
        <f>IFERROR(__xludf.DUMMYFUNCTION("""COMPUTED_VALUE"""),"80")</f>
        <v>80</v>
      </c>
      <c r="C5564" s="5" t="str">
        <f>IFERROR(__xludf.DUMMYFUNCTION("""COMPUTED_VALUE"""),"https://drive.google.com/file/d/1VK_LyHGMIz6pUTC7UvNhlBifKDhiPDNw/view?usp=drivesdk")</f>
        <v>https://drive.google.com/file/d/1VK_LyHGMIz6pUTC7UvNhlBifKDhiPDNw/view?usp=drivesdk</v>
      </c>
      <c r="D5564" s="12"/>
      <c r="E5564" s="11">
        <v>5602.0</v>
      </c>
      <c r="F5564" s="2"/>
    </row>
    <row r="5565" ht="1.5" customHeight="1">
      <c r="A5565" s="4" t="str">
        <f>IFERROR(__xludf.DUMMYFUNCTION("""COMPUTED_VALUE"""),"80. Atzi, 116. Itzel")</f>
        <v>80. Atzi, 116. Itzel</v>
      </c>
      <c r="B5565" s="4" t="str">
        <f>IFERROR(__xludf.DUMMYFUNCTION("""COMPUTED_VALUE"""),"80, 116")</f>
        <v>80, 116</v>
      </c>
      <c r="C5565" s="5" t="str">
        <f>IFERROR(__xludf.DUMMYFUNCTION("""COMPUTED_VALUE"""),"https://drive.google.com/file/d/10oUN9uZ1V6MQeXx1OZ2GrgINRH12d57f/view?usp=drivesdk")</f>
        <v>https://drive.google.com/file/d/10oUN9uZ1V6MQeXx1OZ2GrgINRH12d57f/view?usp=drivesdk</v>
      </c>
      <c r="D5565" s="12"/>
      <c r="E5565" s="11">
        <v>5603.0</v>
      </c>
      <c r="F5565" s="2"/>
    </row>
    <row r="5566" ht="1.5" customHeight="1">
      <c r="A5566" s="4" t="str">
        <f>IFERROR(__xludf.DUMMYFUNCTION("""COMPUTED_VALUE"""),"114. Elision")</f>
        <v>114. Elision</v>
      </c>
      <c r="B5566" s="4" t="str">
        <f>IFERROR(__xludf.DUMMYFUNCTION("""COMPUTED_VALUE"""),"114")</f>
        <v>114</v>
      </c>
      <c r="C5566" s="5" t="str">
        <f>IFERROR(__xludf.DUMMYFUNCTION("""COMPUTED_VALUE"""),"https://drive.google.com/file/d/1lpaEOK9IJgr-e0NX7ou_SfhPK94ni_H9/view?usp=drivesdk")</f>
        <v>https://drive.google.com/file/d/1lpaEOK9IJgr-e0NX7ou_SfhPK94ni_H9/view?usp=drivesdk</v>
      </c>
      <c r="D5566" s="12"/>
      <c r="E5566" s="11">
        <v>5604.0</v>
      </c>
      <c r="F5566" s="2"/>
    </row>
    <row r="5567" ht="1.5" customHeight="1">
      <c r="A5567" s="4" t="str">
        <f>IFERROR(__xludf.DUMMYFUNCTION("""COMPUTED_VALUE"""),"4. Eggs, 5. Eraser")</f>
        <v>4. Eggs, 5. Eraser</v>
      </c>
      <c r="B5567" s="4" t="str">
        <f>IFERROR(__xludf.DUMMYFUNCTION("""COMPUTED_VALUE"""),"4, 5")</f>
        <v>4, 5</v>
      </c>
      <c r="C5567" s="5" t="str">
        <f>IFERROR(__xludf.DUMMYFUNCTION("""COMPUTED_VALUE"""),"https://drive.google.com/file/d/1dvWUziVHm-azytUotUgrabWa78j0wHXQ/view?usp=drivesdk")</f>
        <v>https://drive.google.com/file/d/1dvWUziVHm-azytUotUgrabWa78j0wHXQ/view?usp=drivesdk</v>
      </c>
      <c r="D5567" s="12"/>
      <c r="E5567" s="11">
        <v>5605.0</v>
      </c>
      <c r="F5567" s="2"/>
    </row>
    <row r="5568" ht="1.5" customHeight="1">
      <c r="A5568" s="4" t="str">
        <f>IFERROR(__xludf.DUMMYFUNCTION("""COMPUTED_VALUE"""),"80. Atzi")</f>
        <v>80. Atzi</v>
      </c>
      <c r="B5568" s="4" t="str">
        <f>IFERROR(__xludf.DUMMYFUNCTION("""COMPUTED_VALUE"""),"80")</f>
        <v>80</v>
      </c>
      <c r="C5568" s="5" t="str">
        <f>IFERROR(__xludf.DUMMYFUNCTION("""COMPUTED_VALUE"""),"https://drive.google.com/file/d/1vum_vkqxyXXbzrLnhPu73o0_Is4nV-t6/view?usp=drivesdk")</f>
        <v>https://drive.google.com/file/d/1vum_vkqxyXXbzrLnhPu73o0_Is4nV-t6/view?usp=drivesdk</v>
      </c>
      <c r="D5568" s="12"/>
      <c r="E5568" s="11">
        <v>5606.0</v>
      </c>
      <c r="F5568" s="2"/>
    </row>
    <row r="5569" ht="1.5" customHeight="1">
      <c r="A5569" s="4" t="str">
        <f>IFERROR(__xludf.DUMMYFUNCTION("""COMPUTED_VALUE"""),"80. Atzi, 116. Itzel")</f>
        <v>80. Atzi, 116. Itzel</v>
      </c>
      <c r="B5569" s="4" t="str">
        <f>IFERROR(__xludf.DUMMYFUNCTION("""COMPUTED_VALUE"""),"80, 116")</f>
        <v>80, 116</v>
      </c>
      <c r="C5569" s="5" t="str">
        <f>IFERROR(__xludf.DUMMYFUNCTION("""COMPUTED_VALUE"""),"https://drive.google.com/file/d/1w15HeqSwBLO28HANHZ-wS8z9xk6AXgdn/view?usp=drivesdk")</f>
        <v>https://drive.google.com/file/d/1w15HeqSwBLO28HANHZ-wS8z9xk6AXgdn/view?usp=drivesdk</v>
      </c>
      <c r="D5569" s="12"/>
      <c r="E5569" s="11">
        <v>5607.0</v>
      </c>
      <c r="F5569" s="2"/>
    </row>
    <row r="5570" ht="1.5" customHeight="1">
      <c r="A5570" s="4" t="str">
        <f>IFERROR(__xludf.DUMMYFUNCTION("""COMPUTED_VALUE"""),"114. Elision")</f>
        <v>114. Elision</v>
      </c>
      <c r="B5570" s="4" t="str">
        <f>IFERROR(__xludf.DUMMYFUNCTION("""COMPUTED_VALUE"""),"114")</f>
        <v>114</v>
      </c>
      <c r="C5570" s="5" t="str">
        <f>IFERROR(__xludf.DUMMYFUNCTION("""COMPUTED_VALUE"""),"https://drive.google.com/file/d/13AA3p5BF-dgPumXQOQIXYs1F4Ays5g0o/view?usp=drivesdk")</f>
        <v>https://drive.google.com/file/d/13AA3p5BF-dgPumXQOQIXYs1F4Ays5g0o/view?usp=drivesdk</v>
      </c>
      <c r="D5570" s="12"/>
      <c r="E5570" s="11">
        <v>5608.0</v>
      </c>
      <c r="F5570" s="2"/>
    </row>
    <row r="5571" ht="1.5" customHeight="1">
      <c r="A5571" s="4" t="str">
        <f>IFERROR(__xludf.DUMMYFUNCTION("""COMPUTED_VALUE"""),"4. Eggs, 5. Eraser")</f>
        <v>4. Eggs, 5. Eraser</v>
      </c>
      <c r="B5571" s="4" t="str">
        <f>IFERROR(__xludf.DUMMYFUNCTION("""COMPUTED_VALUE"""),"4, 5")</f>
        <v>4, 5</v>
      </c>
      <c r="C5571" s="5" t="str">
        <f>IFERROR(__xludf.DUMMYFUNCTION("""COMPUTED_VALUE"""),"https://drive.google.com/file/d/11Rj_EZdkBTNElbiTE9V87HzpQ8syXdQZ/view?usp=drivesdk")</f>
        <v>https://drive.google.com/file/d/11Rj_EZdkBTNElbiTE9V87HzpQ8syXdQZ/view?usp=drivesdk</v>
      </c>
      <c r="D5571" s="12"/>
      <c r="E5571" s="11">
        <v>5609.0</v>
      </c>
      <c r="F5571" s="2"/>
    </row>
    <row r="5572" ht="1.5" customHeight="1">
      <c r="A5572" s="4" t="str">
        <f>IFERROR(__xludf.DUMMYFUNCTION("""COMPUTED_VALUE"""),"0. NotACat")</f>
        <v>0. NotACat</v>
      </c>
      <c r="B5572" s="4" t="str">
        <f>IFERROR(__xludf.DUMMYFUNCTION("""COMPUTED_VALUE"""),"0")</f>
        <v>0</v>
      </c>
      <c r="C5572" s="5" t="str">
        <f>IFERROR(__xludf.DUMMYFUNCTION("""COMPUTED_VALUE"""),"https://drive.google.com/file/d/1V21-2n4N7IMZ3ZrQfZzo_OOeK-1ax4ch/view?usp=drivesdk")</f>
        <v>https://drive.google.com/file/d/1V21-2n4N7IMZ3ZrQfZzo_OOeK-1ax4ch/view?usp=drivesdk</v>
      </c>
      <c r="D5572" s="12"/>
      <c r="E5572" s="11">
        <v>5610.0</v>
      </c>
      <c r="F5572" s="2"/>
    </row>
    <row r="5573" ht="1.5" customHeight="1">
      <c r="A5573" s="4" t="str">
        <f>IFERROR(__xludf.DUMMYFUNCTION("""COMPUTED_VALUE"""),"80. Atzi, 116. Itzel")</f>
        <v>80. Atzi, 116. Itzel</v>
      </c>
      <c r="B5573" s="4" t="str">
        <f>IFERROR(__xludf.DUMMYFUNCTION("""COMPUTED_VALUE"""),"80, 116")</f>
        <v>80, 116</v>
      </c>
      <c r="C5573" s="5" t="str">
        <f>IFERROR(__xludf.DUMMYFUNCTION("""COMPUTED_VALUE"""),"https://drive.google.com/file/d/11lFQJu-wWmFjueEpDFrmEZVqE7LZL72Y/view?usp=drivesdk")</f>
        <v>https://drive.google.com/file/d/11lFQJu-wWmFjueEpDFrmEZVqE7LZL72Y/view?usp=drivesdk</v>
      </c>
      <c r="D5573" s="12"/>
      <c r="E5573" s="11">
        <v>5611.0</v>
      </c>
      <c r="F5573" s="2"/>
    </row>
    <row r="5574" ht="1.5" customHeight="1">
      <c r="A5574" s="4" t="str">
        <f>IFERROR(__xludf.DUMMYFUNCTION("""COMPUTED_VALUE"""),"0. NotACat")</f>
        <v>0. NotACat</v>
      </c>
      <c r="B5574" s="4" t="str">
        <f>IFERROR(__xludf.DUMMYFUNCTION("""COMPUTED_VALUE"""),"0")</f>
        <v>0</v>
      </c>
      <c r="C5574" s="5" t="str">
        <f>IFERROR(__xludf.DUMMYFUNCTION("""COMPUTED_VALUE"""),"https://drive.google.com/file/d/1XZDCYFRVgUHhTLmveycqEPDQXaPOS2RQ/view?usp=drivesdk")</f>
        <v>https://drive.google.com/file/d/1XZDCYFRVgUHhTLmveycqEPDQXaPOS2RQ/view?usp=drivesdk</v>
      </c>
      <c r="D5574" s="12"/>
      <c r="E5574" s="11">
        <v>5612.0</v>
      </c>
      <c r="F5574" s="2"/>
    </row>
    <row r="5575" ht="1.5" customHeight="1">
      <c r="A5575" s="4" t="str">
        <f>IFERROR(__xludf.DUMMYFUNCTION("""COMPUTED_VALUE"""),"97.  Simba")</f>
        <v>97.  Simba</v>
      </c>
      <c r="B5575" s="4" t="str">
        <f>IFERROR(__xludf.DUMMYFUNCTION("""COMPUTED_VALUE"""),"97")</f>
        <v>97</v>
      </c>
      <c r="C5575" s="5" t="str">
        <f>IFERROR(__xludf.DUMMYFUNCTION("""COMPUTED_VALUE"""),"https://drive.google.com/file/d/1tp_ihXo6UZsy_m_I9MxSDllDGMMZ2z0Z/view?usp=drivesdk")</f>
        <v>https://drive.google.com/file/d/1tp_ihXo6UZsy_m_I9MxSDllDGMMZ2z0Z/view?usp=drivesdk</v>
      </c>
      <c r="D5575" s="12"/>
      <c r="E5575" s="11">
        <v>5613.0</v>
      </c>
      <c r="F5575" s="2"/>
    </row>
    <row r="5576" ht="1.5" customHeight="1">
      <c r="A5576" s="4" t="str">
        <f>IFERROR(__xludf.DUMMYFUNCTION("""COMPUTED_VALUE"""),"2. Twix")</f>
        <v>2. Twix</v>
      </c>
      <c r="B5576" s="4" t="str">
        <f>IFERROR(__xludf.DUMMYFUNCTION("""COMPUTED_VALUE"""),"2")</f>
        <v>2</v>
      </c>
      <c r="C5576" s="5" t="str">
        <f>IFERROR(__xludf.DUMMYFUNCTION("""COMPUTED_VALUE"""),"https://drive.google.com/file/d/1v1CPqK3OAa897pCEVXvzIZOxFAY8eJli/view?usp=drivesdk")</f>
        <v>https://drive.google.com/file/d/1v1CPqK3OAa897pCEVXvzIZOxFAY8eJli/view?usp=drivesdk</v>
      </c>
      <c r="D5576" s="12"/>
      <c r="E5576" s="11">
        <v>5614.0</v>
      </c>
      <c r="F5576" s="2"/>
    </row>
    <row r="5577" ht="1.5" customHeight="1">
      <c r="A5577" s="4" t="str">
        <f>IFERROR(__xludf.DUMMYFUNCTION("""COMPUTED_VALUE"""),"115. Toothless")</f>
        <v>115. Toothless</v>
      </c>
      <c r="B5577" s="4" t="str">
        <f>IFERROR(__xludf.DUMMYFUNCTION("""COMPUTED_VALUE"""),"115")</f>
        <v>115</v>
      </c>
      <c r="C5577" s="5" t="str">
        <f>IFERROR(__xludf.DUMMYFUNCTION("""COMPUTED_VALUE"""),"https://drive.google.com/file/d/17kOp0dYU6-qirXLrgRQBJp6J8hAKY0DQ/view?usp=drivesdk")</f>
        <v>https://drive.google.com/file/d/17kOp0dYU6-qirXLrgRQBJp6J8hAKY0DQ/view?usp=drivesdk</v>
      </c>
      <c r="D5577" s="12"/>
      <c r="E5577" s="11">
        <v>5615.0</v>
      </c>
      <c r="F5577" s="2"/>
    </row>
    <row r="5578" ht="1.5" customHeight="1">
      <c r="A5578" s="4" t="str">
        <f>IFERROR(__xludf.DUMMYFUNCTION("""COMPUTED_VALUE"""),"115. Toothless")</f>
        <v>115. Toothless</v>
      </c>
      <c r="B5578" s="4" t="str">
        <f>IFERROR(__xludf.DUMMYFUNCTION("""COMPUTED_VALUE"""),"115")</f>
        <v>115</v>
      </c>
      <c r="C5578" s="5" t="str">
        <f>IFERROR(__xludf.DUMMYFUNCTION("""COMPUTED_VALUE"""),"https://drive.google.com/file/d/11OIjJ0HV3Ftnykw7XFNpEetWZuSjbGGu/view?usp=drivesdk")</f>
        <v>https://drive.google.com/file/d/11OIjJ0HV3Ftnykw7XFNpEetWZuSjbGGu/view?usp=drivesdk</v>
      </c>
      <c r="D5578" s="12"/>
      <c r="E5578" s="11">
        <v>5616.0</v>
      </c>
      <c r="F5578" s="2"/>
    </row>
    <row r="5579" ht="1.5" customHeight="1">
      <c r="A5579" s="4" t="str">
        <f>IFERROR(__xludf.DUMMYFUNCTION("""COMPUTED_VALUE"""),"115. Toothless")</f>
        <v>115. Toothless</v>
      </c>
      <c r="B5579" s="4" t="str">
        <f>IFERROR(__xludf.DUMMYFUNCTION("""COMPUTED_VALUE"""),"115")</f>
        <v>115</v>
      </c>
      <c r="C5579" s="5" t="str">
        <f>IFERROR(__xludf.DUMMYFUNCTION("""COMPUTED_VALUE"""),"https://drive.google.com/file/d/1ZRQ4rqphH9RRNcqSOBf-V6sMDp5vUVuC/view?usp=drivesdk")</f>
        <v>https://drive.google.com/file/d/1ZRQ4rqphH9RRNcqSOBf-V6sMDp5vUVuC/view?usp=drivesdk</v>
      </c>
      <c r="D5579" s="12"/>
      <c r="E5579" s="11">
        <v>5617.0</v>
      </c>
      <c r="F5579" s="2"/>
    </row>
    <row r="5580" ht="1.5" customHeight="1">
      <c r="A5580" s="4" t="str">
        <f>IFERROR(__xludf.DUMMYFUNCTION("""COMPUTED_VALUE"""),"115. Toothless")</f>
        <v>115. Toothless</v>
      </c>
      <c r="B5580" s="4" t="str">
        <f>IFERROR(__xludf.DUMMYFUNCTION("""COMPUTED_VALUE"""),"115")</f>
        <v>115</v>
      </c>
      <c r="C5580" s="5" t="str">
        <f>IFERROR(__xludf.DUMMYFUNCTION("""COMPUTED_VALUE"""),"https://drive.google.com/file/d/1EVKiqm9oc-ps1-A6XZBkLfJGlI7ZvIu_/view?usp=drivesdk")</f>
        <v>https://drive.google.com/file/d/1EVKiqm9oc-ps1-A6XZBkLfJGlI7ZvIu_/view?usp=drivesdk</v>
      </c>
      <c r="D5580" s="12"/>
      <c r="E5580" s="11">
        <v>5618.0</v>
      </c>
      <c r="F5580" s="2"/>
    </row>
    <row r="5581" ht="1.5" customHeight="1">
      <c r="A5581" s="4" t="str">
        <f>IFERROR(__xludf.DUMMYFUNCTION("""COMPUTED_VALUE"""),"115. Toothless")</f>
        <v>115. Toothless</v>
      </c>
      <c r="B5581" s="4" t="str">
        <f>IFERROR(__xludf.DUMMYFUNCTION("""COMPUTED_VALUE"""),"115")</f>
        <v>115</v>
      </c>
      <c r="C5581" s="5" t="str">
        <f>IFERROR(__xludf.DUMMYFUNCTION("""COMPUTED_VALUE"""),"https://drive.google.com/file/d/1NqJ__9W5dr5AKOSvZ_5KA6M0LyRFoH2w/view?usp=drivesdk")</f>
        <v>https://drive.google.com/file/d/1NqJ__9W5dr5AKOSvZ_5KA6M0LyRFoH2w/view?usp=drivesdk</v>
      </c>
      <c r="D5581" s="12"/>
      <c r="E5581" s="11">
        <v>5619.0</v>
      </c>
      <c r="F5581" s="2"/>
    </row>
    <row r="5582" ht="1.5" customHeight="1">
      <c r="A5582" s="4" t="str">
        <f>IFERROR(__xludf.DUMMYFUNCTION("""COMPUTED_VALUE"""),"115. Toothless")</f>
        <v>115. Toothless</v>
      </c>
      <c r="B5582" s="4" t="str">
        <f>IFERROR(__xludf.DUMMYFUNCTION("""COMPUTED_VALUE"""),"115")</f>
        <v>115</v>
      </c>
      <c r="C5582" s="5" t="str">
        <f>IFERROR(__xludf.DUMMYFUNCTION("""COMPUTED_VALUE"""),"https://drive.google.com/file/d/1IXtk0jaAf50XQi8CbX6C3WPXYvm_DSWL/view?usp=drivesdk")</f>
        <v>https://drive.google.com/file/d/1IXtk0jaAf50XQi8CbX6C3WPXYvm_DSWL/view?usp=drivesdk</v>
      </c>
      <c r="D5582" s="12"/>
      <c r="E5582" s="11">
        <v>5620.0</v>
      </c>
      <c r="F5582" s="2"/>
    </row>
    <row r="5583" ht="1.5" customHeight="1">
      <c r="A5583" s="4" t="str">
        <f>IFERROR(__xludf.DUMMYFUNCTION("""COMPUTED_VALUE"""),"1. Microwave")</f>
        <v>1. Microwave</v>
      </c>
      <c r="B5583" s="4" t="str">
        <f>IFERROR(__xludf.DUMMYFUNCTION("""COMPUTED_VALUE"""),"1")</f>
        <v>1</v>
      </c>
      <c r="C5583" s="5" t="str">
        <f>IFERROR(__xludf.DUMMYFUNCTION("""COMPUTED_VALUE"""),"https://drive.google.com/file/d/12cXJ2a2cf4J490vx6GHh4PgZKW9PHJI-/view?usp=drivesdk")</f>
        <v>https://drive.google.com/file/d/12cXJ2a2cf4J490vx6GHh4PgZKW9PHJI-/view?usp=drivesdk</v>
      </c>
      <c r="D5583" s="12"/>
      <c r="E5583" s="11">
        <v>5621.0</v>
      </c>
      <c r="F5583" s="2"/>
    </row>
    <row r="5584" ht="1.5" customHeight="1">
      <c r="A5584" s="4" t="str">
        <f>IFERROR(__xludf.DUMMYFUNCTION("""COMPUTED_VALUE"""),"1. Microwave")</f>
        <v>1. Microwave</v>
      </c>
      <c r="B5584" s="4" t="str">
        <f>IFERROR(__xludf.DUMMYFUNCTION("""COMPUTED_VALUE"""),"1")</f>
        <v>1</v>
      </c>
      <c r="C5584" s="5" t="str">
        <f>IFERROR(__xludf.DUMMYFUNCTION("""COMPUTED_VALUE"""),"https://drive.google.com/file/d/1_X4uNFhRyo-Zqm0Pem4jgHr2dICqrveR/view?usp=drivesdk")</f>
        <v>https://drive.google.com/file/d/1_X4uNFhRyo-Zqm0Pem4jgHr2dICqrveR/view?usp=drivesdk</v>
      </c>
      <c r="D5584" s="12"/>
      <c r="E5584" s="11">
        <v>5622.0</v>
      </c>
      <c r="F5584" s="2"/>
    </row>
    <row r="5585" ht="1.5" customHeight="1">
      <c r="A5585" s="4" t="str">
        <f>IFERROR(__xludf.DUMMYFUNCTION("""COMPUTED_VALUE"""),"1. Microwave")</f>
        <v>1. Microwave</v>
      </c>
      <c r="B5585" s="4" t="str">
        <f>IFERROR(__xludf.DUMMYFUNCTION("""COMPUTED_VALUE"""),"1")</f>
        <v>1</v>
      </c>
      <c r="C5585" s="5" t="str">
        <f>IFERROR(__xludf.DUMMYFUNCTION("""COMPUTED_VALUE"""),"https://drive.google.com/file/d/1_IqumkWSaNvPhcpxZ3gQwP8QYTtJCkdh/view?usp=drivesdk")</f>
        <v>https://drive.google.com/file/d/1_IqumkWSaNvPhcpxZ3gQwP8QYTtJCkdh/view?usp=drivesdk</v>
      </c>
      <c r="D5585" s="12"/>
      <c r="E5585" s="11">
        <v>5623.0</v>
      </c>
      <c r="F5585" s="2"/>
    </row>
    <row r="5586" ht="1.5" customHeight="1">
      <c r="A5586" s="4" t="str">
        <f>IFERROR(__xludf.DUMMYFUNCTION("""COMPUTED_VALUE"""),"2. Twix")</f>
        <v>2. Twix</v>
      </c>
      <c r="B5586" s="4" t="str">
        <f>IFERROR(__xludf.DUMMYFUNCTION("""COMPUTED_VALUE"""),"2")</f>
        <v>2</v>
      </c>
      <c r="C5586" s="5" t="str">
        <f>IFERROR(__xludf.DUMMYFUNCTION("""COMPUTED_VALUE"""),"https://drive.google.com/file/d/1i3xNiwIoQqpUl9uXVx5JkqCWhU71Vzny/view?usp=drivesdk")</f>
        <v>https://drive.google.com/file/d/1i3xNiwIoQqpUl9uXVx5JkqCWhU71Vzny/view?usp=drivesdk</v>
      </c>
      <c r="D5586" s="12"/>
      <c r="E5586" s="11">
        <v>5624.0</v>
      </c>
      <c r="F5586" s="2"/>
    </row>
    <row r="5587" ht="1.5" customHeight="1">
      <c r="A5587" s="4" t="str">
        <f>IFERROR(__xludf.DUMMYFUNCTION("""COMPUTED_VALUE"""),"69. Kinder")</f>
        <v>69. Kinder</v>
      </c>
      <c r="B5587" s="4" t="str">
        <f>IFERROR(__xludf.DUMMYFUNCTION("""COMPUTED_VALUE"""),"69")</f>
        <v>69</v>
      </c>
      <c r="C5587" s="5" t="str">
        <f>IFERROR(__xludf.DUMMYFUNCTION("""COMPUTED_VALUE"""),"https://drive.google.com/file/d/1rmjQPGHIZsZAE3b_lzkOZsm6vEz2_yIj/view?usp=drivesdk")</f>
        <v>https://drive.google.com/file/d/1rmjQPGHIZsZAE3b_lzkOZsm6vEz2_yIj/view?usp=drivesdk</v>
      </c>
      <c r="D5587" s="12"/>
      <c r="E5587" s="11">
        <v>5625.0</v>
      </c>
      <c r="F5587" s="2"/>
    </row>
    <row r="5588" ht="1.5" customHeight="1">
      <c r="A5588" s="4" t="str">
        <f>IFERROR(__xludf.DUMMYFUNCTION("""COMPUTED_VALUE"""),"2. Twix")</f>
        <v>2. Twix</v>
      </c>
      <c r="B5588" s="4" t="str">
        <f>IFERROR(__xludf.DUMMYFUNCTION("""COMPUTED_VALUE"""),"2")</f>
        <v>2</v>
      </c>
      <c r="C5588" s="5" t="str">
        <f>IFERROR(__xludf.DUMMYFUNCTION("""COMPUTED_VALUE"""),"https://drive.google.com/file/d/1Zic2air5-8LkSQdg6codXz9Cz5yFubmS/view?usp=drivesdk")</f>
        <v>https://drive.google.com/file/d/1Zic2air5-8LkSQdg6codXz9Cz5yFubmS/view?usp=drivesdk</v>
      </c>
      <c r="D5588" s="12"/>
      <c r="E5588" s="11">
        <v>5626.0</v>
      </c>
      <c r="F5588" s="2"/>
    </row>
    <row r="5589" ht="1.5" customHeight="1">
      <c r="A5589" s="4" t="str">
        <f>IFERROR(__xludf.DUMMYFUNCTION("""COMPUTED_VALUE"""),"2. Twix")</f>
        <v>2. Twix</v>
      </c>
      <c r="B5589" s="4" t="str">
        <f>IFERROR(__xludf.DUMMYFUNCTION("""COMPUTED_VALUE"""),"2")</f>
        <v>2</v>
      </c>
      <c r="C5589" s="5" t="str">
        <f>IFERROR(__xludf.DUMMYFUNCTION("""COMPUTED_VALUE"""),"https://drive.google.com/file/d/1Hsjo1o-LAN15OaZKE4pdLJM-rckTj1YP/view?usp=drivesdk")</f>
        <v>https://drive.google.com/file/d/1Hsjo1o-LAN15OaZKE4pdLJM-rckTj1YP/view?usp=drivesdk</v>
      </c>
      <c r="D5589" s="12"/>
      <c r="E5589" s="11">
        <v>5627.0</v>
      </c>
      <c r="F5589" s="2"/>
    </row>
    <row r="5590" ht="1.5" customHeight="1">
      <c r="A5590" s="4" t="str">
        <f>IFERROR(__xludf.DUMMYFUNCTION("""COMPUTED_VALUE"""),"1. Microwave")</f>
        <v>1. Microwave</v>
      </c>
      <c r="B5590" s="4" t="str">
        <f>IFERROR(__xludf.DUMMYFUNCTION("""COMPUTED_VALUE"""),"1")</f>
        <v>1</v>
      </c>
      <c r="C5590" s="5" t="str">
        <f>IFERROR(__xludf.DUMMYFUNCTION("""COMPUTED_VALUE"""),"https://drive.google.com/file/d/1WwPphMpMbF-NaPK-bV_C62h_FJZIMafj/view?usp=drivesdk")</f>
        <v>https://drive.google.com/file/d/1WwPphMpMbF-NaPK-bV_C62h_FJZIMafj/view?usp=drivesdk</v>
      </c>
      <c r="D5590" s="12"/>
      <c r="E5590" s="11">
        <v>5628.0</v>
      </c>
      <c r="F5590" s="2"/>
    </row>
    <row r="5591" ht="1.5" customHeight="1">
      <c r="A5591" s="4" t="str">
        <f>IFERROR(__xludf.DUMMYFUNCTION("""COMPUTED_VALUE"""),"1. Microwave")</f>
        <v>1. Microwave</v>
      </c>
      <c r="B5591" s="4" t="str">
        <f>IFERROR(__xludf.DUMMYFUNCTION("""COMPUTED_VALUE"""),"1")</f>
        <v>1</v>
      </c>
      <c r="C5591" s="5" t="str">
        <f>IFERROR(__xludf.DUMMYFUNCTION("""COMPUTED_VALUE"""),"https://drive.google.com/file/d/1Dz0Sydfgh1XhMdq7GnxjFfyS-r0RJqQ3/view?usp=drivesdk")</f>
        <v>https://drive.google.com/file/d/1Dz0Sydfgh1XhMdq7GnxjFfyS-r0RJqQ3/view?usp=drivesdk</v>
      </c>
      <c r="D5591" s="12"/>
      <c r="E5591" s="11">
        <v>5629.0</v>
      </c>
      <c r="F5591" s="2"/>
    </row>
    <row r="5592" ht="1.5" customHeight="1">
      <c r="A5592" s="4" t="str">
        <f>IFERROR(__xludf.DUMMYFUNCTION("""COMPUTED_VALUE"""),"4. Eggs, 5. Eraser")</f>
        <v>4. Eggs, 5. Eraser</v>
      </c>
      <c r="B5592" s="4" t="str">
        <f>IFERROR(__xludf.DUMMYFUNCTION("""COMPUTED_VALUE"""),"4, 5")</f>
        <v>4, 5</v>
      </c>
      <c r="C5592" s="5" t="str">
        <f>IFERROR(__xludf.DUMMYFUNCTION("""COMPUTED_VALUE"""),"https://drive.google.com/file/d/1W9-MMaVGbQca1PfmY0AE7WIAzZGeFiMf/view?usp=drivesdk")</f>
        <v>https://drive.google.com/file/d/1W9-MMaVGbQca1PfmY0AE7WIAzZGeFiMf/view?usp=drivesdk</v>
      </c>
      <c r="D5592" s="12"/>
      <c r="E5592" s="11">
        <v>5630.0</v>
      </c>
      <c r="F5592" s="2"/>
    </row>
    <row r="5593" ht="1.5" customHeight="1">
      <c r="A5593" s="4" t="str">
        <f>IFERROR(__xludf.DUMMYFUNCTION("""COMPUTED_VALUE"""),"47. Nefarious, 45. Boots")</f>
        <v>47. Nefarious, 45. Boots</v>
      </c>
      <c r="B5593" s="4" t="str">
        <f>IFERROR(__xludf.DUMMYFUNCTION("""COMPUTED_VALUE"""),"47, 45")</f>
        <v>47, 45</v>
      </c>
      <c r="C5593" s="5" t="str">
        <f>IFERROR(__xludf.DUMMYFUNCTION("""COMPUTED_VALUE"""),"https://drive.google.com/file/d/11AyQ_Fy5SlOzejCF0EdkpONysyAIGHGH/view?usp=drivesdk")</f>
        <v>https://drive.google.com/file/d/11AyQ_Fy5SlOzejCF0EdkpONysyAIGHGH/view?usp=drivesdk</v>
      </c>
      <c r="D5593" s="12"/>
      <c r="E5593" s="11">
        <v>5631.0</v>
      </c>
      <c r="F5593" s="2"/>
    </row>
    <row r="5594" ht="1.5" customHeight="1">
      <c r="A5594" s="4" t="str">
        <f>IFERROR(__xludf.DUMMYFUNCTION("""COMPUTED_VALUE"""),"4. Eggs")</f>
        <v>4. Eggs</v>
      </c>
      <c r="B5594" s="4" t="str">
        <f>IFERROR(__xludf.DUMMYFUNCTION("""COMPUTED_VALUE"""),"4")</f>
        <v>4</v>
      </c>
      <c r="C5594" s="5" t="str">
        <f>IFERROR(__xludf.DUMMYFUNCTION("""COMPUTED_VALUE"""),"https://drive.google.com/file/d/1TchB8FoDVMkMeD8DcYQXf6QwJBdNp_CL/view?usp=drivesdk")</f>
        <v>https://drive.google.com/file/d/1TchB8FoDVMkMeD8DcYQXf6QwJBdNp_CL/view?usp=drivesdk</v>
      </c>
      <c r="D5594" s="12"/>
      <c r="E5594" s="11">
        <v>5632.0</v>
      </c>
      <c r="F5594" s="2"/>
    </row>
    <row r="5595" ht="1.5" customHeight="1">
      <c r="A5595" s="4" t="str">
        <f>IFERROR(__xludf.DUMMYFUNCTION("""COMPUTED_VALUE"""),"5. Eraser")</f>
        <v>5. Eraser</v>
      </c>
      <c r="B5595" s="4" t="str">
        <f>IFERROR(__xludf.DUMMYFUNCTION("""COMPUTED_VALUE"""),"5")</f>
        <v>5</v>
      </c>
      <c r="C5595" s="5" t="str">
        <f>IFERROR(__xludf.DUMMYFUNCTION("""COMPUTED_VALUE"""),"https://drive.google.com/file/d/1b-0qaRUGVZOUoqeEJnHhNgwBZfcxmKr5/view?usp=drivesdk")</f>
        <v>https://drive.google.com/file/d/1b-0qaRUGVZOUoqeEJnHhNgwBZfcxmKr5/view?usp=drivesdk</v>
      </c>
      <c r="D5595" s="12"/>
      <c r="E5595" s="11">
        <v>5633.0</v>
      </c>
      <c r="F5595" s="2"/>
    </row>
    <row r="5596" ht="1.5" customHeight="1">
      <c r="A5596" s="4" t="str">
        <f>IFERROR(__xludf.DUMMYFUNCTION("""COMPUTED_VALUE"""),"2. Twix")</f>
        <v>2. Twix</v>
      </c>
      <c r="B5596" s="4" t="str">
        <f>IFERROR(__xludf.DUMMYFUNCTION("""COMPUTED_VALUE"""),"2")</f>
        <v>2</v>
      </c>
      <c r="C5596" s="5" t="str">
        <f>IFERROR(__xludf.DUMMYFUNCTION("""COMPUTED_VALUE"""),"https://drive.google.com/file/d/1EYpURShlCptfMb0Stl5sGWSgghou6Mcc/view?usp=drivesdk")</f>
        <v>https://drive.google.com/file/d/1EYpURShlCptfMb0Stl5sGWSgghou6Mcc/view?usp=drivesdk</v>
      </c>
      <c r="D5596" s="12"/>
      <c r="E5596" s="11">
        <v>5634.0</v>
      </c>
      <c r="F5596" s="2"/>
    </row>
    <row r="5597" ht="1.5" customHeight="1">
      <c r="A5597" s="4" t="str">
        <f>IFERROR(__xludf.DUMMYFUNCTION("""COMPUTED_VALUE"""),"2. Twix")</f>
        <v>2. Twix</v>
      </c>
      <c r="B5597" s="4" t="str">
        <f>IFERROR(__xludf.DUMMYFUNCTION("""COMPUTED_VALUE"""),"2")</f>
        <v>2</v>
      </c>
      <c r="C5597" s="5" t="str">
        <f>IFERROR(__xludf.DUMMYFUNCTION("""COMPUTED_VALUE"""),"https://drive.google.com/file/d/13R8UhfkU9Wgb2_U8eNlQfQE89i8oLfyz/view?usp=drivesdk")</f>
        <v>https://drive.google.com/file/d/13R8UhfkU9Wgb2_U8eNlQfQE89i8oLfyz/view?usp=drivesdk</v>
      </c>
      <c r="D5597" s="12"/>
      <c r="E5597" s="11">
        <v>5635.0</v>
      </c>
      <c r="F5597" s="2"/>
    </row>
    <row r="5598" ht="1.5" customHeight="1">
      <c r="A5598" s="4" t="str">
        <f>IFERROR(__xludf.DUMMYFUNCTION("""COMPUTED_VALUE"""),"2. Twix")</f>
        <v>2. Twix</v>
      </c>
      <c r="B5598" s="4" t="str">
        <f>IFERROR(__xludf.DUMMYFUNCTION("""COMPUTED_VALUE"""),"2")</f>
        <v>2</v>
      </c>
      <c r="C5598" s="5" t="str">
        <f>IFERROR(__xludf.DUMMYFUNCTION("""COMPUTED_VALUE"""),"https://drive.google.com/file/d/1oTmmBgoYOLw0Jpxk-b3a81eT9g666O0k/view?usp=drivesdk")</f>
        <v>https://drive.google.com/file/d/1oTmmBgoYOLw0Jpxk-b3a81eT9g666O0k/view?usp=drivesdk</v>
      </c>
      <c r="D5598" s="12"/>
      <c r="E5598" s="11">
        <v>5636.0</v>
      </c>
      <c r="F5598" s="2"/>
    </row>
    <row r="5599" ht="1.5" customHeight="1">
      <c r="A5599" s="4" t="str">
        <f>IFERROR(__xludf.DUMMYFUNCTION("""COMPUTED_VALUE"""),"0. NotACat")</f>
        <v>0. NotACat</v>
      </c>
      <c r="B5599" s="4" t="str">
        <f>IFERROR(__xludf.DUMMYFUNCTION("""COMPUTED_VALUE"""),"0")</f>
        <v>0</v>
      </c>
      <c r="C5599" s="5" t="str">
        <f>IFERROR(__xludf.DUMMYFUNCTION("""COMPUTED_VALUE"""),"https://drive.google.com/file/d/1ZFQX-AQqdHaSQfmx8M3myRZgQY9BVeIK/view?usp=drivesdk")</f>
        <v>https://drive.google.com/file/d/1ZFQX-AQqdHaSQfmx8M3myRZgQY9BVeIK/view?usp=drivesdk</v>
      </c>
      <c r="D5599" s="12"/>
      <c r="E5599" s="11">
        <v>5637.0</v>
      </c>
      <c r="F5599" s="2"/>
    </row>
    <row r="5600" ht="1.5" customHeight="1">
      <c r="A5600" s="4" t="str">
        <f>IFERROR(__xludf.DUMMYFUNCTION("""COMPUTED_VALUE"""),"1. Microwave")</f>
        <v>1. Microwave</v>
      </c>
      <c r="B5600" s="4" t="str">
        <f>IFERROR(__xludf.DUMMYFUNCTION("""COMPUTED_VALUE"""),"1")</f>
        <v>1</v>
      </c>
      <c r="C5600" s="5" t="str">
        <f>IFERROR(__xludf.DUMMYFUNCTION("""COMPUTED_VALUE"""),"https://drive.google.com/file/d/15tTrGbsiHOfwk-0g2IblDS3UcNV7ortj/view?usp=drivesdk")</f>
        <v>https://drive.google.com/file/d/15tTrGbsiHOfwk-0g2IblDS3UcNV7ortj/view?usp=drivesdk</v>
      </c>
      <c r="D5600" s="12"/>
      <c r="E5600" s="11">
        <v>5638.0</v>
      </c>
      <c r="F5600" s="2"/>
    </row>
    <row r="5601" ht="1.5" customHeight="1">
      <c r="A5601" s="4" t="str">
        <f>IFERROR(__xludf.DUMMYFUNCTION("""COMPUTED_VALUE"""),"1. Microwave")</f>
        <v>1. Microwave</v>
      </c>
      <c r="B5601" s="4" t="str">
        <f>IFERROR(__xludf.DUMMYFUNCTION("""COMPUTED_VALUE"""),"1")</f>
        <v>1</v>
      </c>
      <c r="C5601" s="5" t="str">
        <f>IFERROR(__xludf.DUMMYFUNCTION("""COMPUTED_VALUE"""),"https://drive.google.com/file/d/1SM1caSJnU66Sk6Z9w13DTA085xTDjjPb/view?usp=drivesdk")</f>
        <v>https://drive.google.com/file/d/1SM1caSJnU66Sk6Z9w13DTA085xTDjjPb/view?usp=drivesdk</v>
      </c>
      <c r="D5601" s="12"/>
      <c r="E5601" s="11">
        <v>5639.0</v>
      </c>
      <c r="F5601" s="2"/>
    </row>
    <row r="5602" ht="1.5" customHeight="1">
      <c r="A5602" s="4" t="str">
        <f>IFERROR(__xludf.DUMMYFUNCTION("""COMPUTED_VALUE"""),"1. Microwave")</f>
        <v>1. Microwave</v>
      </c>
      <c r="B5602" s="4" t="str">
        <f>IFERROR(__xludf.DUMMYFUNCTION("""COMPUTED_VALUE"""),"1")</f>
        <v>1</v>
      </c>
      <c r="C5602" s="5" t="str">
        <f>IFERROR(__xludf.DUMMYFUNCTION("""COMPUTED_VALUE"""),"https://drive.google.com/file/d/1HsdE4Vrjr5xf-zLzOkSpweJ1V_nD9WVE/view?usp=drivesdk")</f>
        <v>https://drive.google.com/file/d/1HsdE4Vrjr5xf-zLzOkSpweJ1V_nD9WVE/view?usp=drivesdk</v>
      </c>
      <c r="D5602" s="12"/>
      <c r="E5602" s="11">
        <v>5640.0</v>
      </c>
      <c r="F5602" s="2"/>
    </row>
    <row r="5603" ht="1.5" customHeight="1">
      <c r="A5603" s="4" t="str">
        <f>IFERROR(__xludf.DUMMYFUNCTION("""COMPUTED_VALUE"""),"110. Ahua")</f>
        <v>110. Ahua</v>
      </c>
      <c r="B5603" s="4" t="str">
        <f>IFERROR(__xludf.DUMMYFUNCTION("""COMPUTED_VALUE"""),"110")</f>
        <v>110</v>
      </c>
      <c r="C5603" s="5" t="str">
        <f>IFERROR(__xludf.DUMMYFUNCTION("""COMPUTED_VALUE"""),"https://drive.google.com/file/d/1fxk_GX2_ZxALn1UXMbFm9XZGvYOby3ny/view?usp=drivesdk")</f>
        <v>https://drive.google.com/file/d/1fxk_GX2_ZxALn1UXMbFm9XZGvYOby3ny/view?usp=drivesdk</v>
      </c>
      <c r="D5603" s="12"/>
      <c r="E5603" s="11">
        <v>5641.0</v>
      </c>
      <c r="F5603" s="2"/>
    </row>
    <row r="5604" ht="1.5" customHeight="1">
      <c r="A5604" s="4" t="str">
        <f>IFERROR(__xludf.DUMMYFUNCTION("""COMPUTED_VALUE"""),"110. Ahua")</f>
        <v>110. Ahua</v>
      </c>
      <c r="B5604" s="4" t="str">
        <f>IFERROR(__xludf.DUMMYFUNCTION("""COMPUTED_VALUE"""),"110")</f>
        <v>110</v>
      </c>
      <c r="C5604" s="5" t="str">
        <f>IFERROR(__xludf.DUMMYFUNCTION("""COMPUTED_VALUE"""),"https://drive.google.com/file/d/13KoUkaNn5tD_BVgTkOpLl2jRciwm2XjF/view?usp=drivesdk")</f>
        <v>https://drive.google.com/file/d/13KoUkaNn5tD_BVgTkOpLl2jRciwm2XjF/view?usp=drivesdk</v>
      </c>
      <c r="D5604" s="12"/>
      <c r="E5604" s="11">
        <v>5642.0</v>
      </c>
      <c r="F5604" s="2"/>
    </row>
    <row r="5605" ht="1.5" customHeight="1">
      <c r="A5605" s="4" t="str">
        <f>IFERROR(__xludf.DUMMYFUNCTION("""COMPUTED_VALUE"""),"4. Eggs, 5. Eraser")</f>
        <v>4. Eggs, 5. Eraser</v>
      </c>
      <c r="B5605" s="4" t="str">
        <f>IFERROR(__xludf.DUMMYFUNCTION("""COMPUTED_VALUE"""),"4, 5")</f>
        <v>4, 5</v>
      </c>
      <c r="C5605" s="5" t="str">
        <f>IFERROR(__xludf.DUMMYFUNCTION("""COMPUTED_VALUE"""),"https://drive.google.com/file/d/1TBgqd6BUDNGeKCEsaMA1nFrwPywb6RCc/view?usp=drivesdk")</f>
        <v>https://drive.google.com/file/d/1TBgqd6BUDNGeKCEsaMA1nFrwPywb6RCc/view?usp=drivesdk</v>
      </c>
      <c r="D5605" s="12"/>
      <c r="E5605" s="11">
        <v>5643.0</v>
      </c>
      <c r="F5605" s="2"/>
    </row>
    <row r="5606" ht="1.5" customHeight="1">
      <c r="A5606" s="4" t="str">
        <f>IFERROR(__xludf.DUMMYFUNCTION("""COMPUTED_VALUE"""),"1. Microwave")</f>
        <v>1. Microwave</v>
      </c>
      <c r="B5606" s="4" t="str">
        <f>IFERROR(__xludf.DUMMYFUNCTION("""COMPUTED_VALUE"""),"1")</f>
        <v>1</v>
      </c>
      <c r="C5606" s="5" t="str">
        <f>IFERROR(__xludf.DUMMYFUNCTION("""COMPUTED_VALUE"""),"https://drive.google.com/file/d/1RjIkIbO358DFQKSR2kKN44kkzToOTSY6/view?usp=drivesdk")</f>
        <v>https://drive.google.com/file/d/1RjIkIbO358DFQKSR2kKN44kkzToOTSY6/view?usp=drivesdk</v>
      </c>
      <c r="D5606" s="12"/>
      <c r="E5606" s="11">
        <v>5644.0</v>
      </c>
      <c r="F5606" s="2"/>
    </row>
    <row r="5607" ht="1.5" customHeight="1">
      <c r="A5607" s="4" t="str">
        <f>IFERROR(__xludf.DUMMYFUNCTION("""COMPUTED_VALUE"""),"1. Microwave")</f>
        <v>1. Microwave</v>
      </c>
      <c r="B5607" s="4" t="str">
        <f>IFERROR(__xludf.DUMMYFUNCTION("""COMPUTED_VALUE"""),"1")</f>
        <v>1</v>
      </c>
      <c r="C5607" s="5" t="str">
        <f>IFERROR(__xludf.DUMMYFUNCTION("""COMPUTED_VALUE"""),"https://drive.google.com/file/d/1q7FrbhOheHqqCTDLMEGAkhz8tmy-aivC/view?usp=drivesdk")</f>
        <v>https://drive.google.com/file/d/1q7FrbhOheHqqCTDLMEGAkhz8tmy-aivC/view?usp=drivesdk</v>
      </c>
      <c r="D5607" s="12"/>
      <c r="E5607" s="11">
        <v>5645.0</v>
      </c>
      <c r="F5607" s="2"/>
    </row>
    <row r="5608" ht="1.5" customHeight="1">
      <c r="A5608" s="4" t="str">
        <f>IFERROR(__xludf.DUMMYFUNCTION("""COMPUTED_VALUE"""),"1. Microwave")</f>
        <v>1. Microwave</v>
      </c>
      <c r="B5608" s="4" t="str">
        <f>IFERROR(__xludf.DUMMYFUNCTION("""COMPUTED_VALUE"""),"1")</f>
        <v>1</v>
      </c>
      <c r="C5608" s="5" t="str">
        <f>IFERROR(__xludf.DUMMYFUNCTION("""COMPUTED_VALUE"""),"https://drive.google.com/file/d/12xcxNUzZi9Nn7KsAeQyehO56QayWTteu/view?usp=drivesdk")</f>
        <v>https://drive.google.com/file/d/12xcxNUzZi9Nn7KsAeQyehO56QayWTteu/view?usp=drivesdk</v>
      </c>
      <c r="D5608" s="12"/>
      <c r="E5608" s="11">
        <v>5646.0</v>
      </c>
      <c r="F5608" s="2"/>
    </row>
    <row r="5609" ht="1.5" customHeight="1">
      <c r="A5609" s="4" t="str">
        <f>IFERROR(__xludf.DUMMYFUNCTION("""COMPUTED_VALUE"""),"1. Microwave")</f>
        <v>1. Microwave</v>
      </c>
      <c r="B5609" s="4" t="str">
        <f>IFERROR(__xludf.DUMMYFUNCTION("""COMPUTED_VALUE"""),"1")</f>
        <v>1</v>
      </c>
      <c r="C5609" s="5" t="str">
        <f>IFERROR(__xludf.DUMMYFUNCTION("""COMPUTED_VALUE"""),"https://drive.google.com/file/d/1A9qPmbVkMvNtzDOwpV9tZOyRh7k-0nJs/view?usp=drivesdk")</f>
        <v>https://drive.google.com/file/d/1A9qPmbVkMvNtzDOwpV9tZOyRh7k-0nJs/view?usp=drivesdk</v>
      </c>
      <c r="D5609" s="12"/>
      <c r="E5609" s="11">
        <v>5647.0</v>
      </c>
      <c r="F5609" s="2"/>
    </row>
    <row r="5610" ht="1.5" customHeight="1">
      <c r="A5610" s="4" t="str">
        <f>IFERROR(__xludf.DUMMYFUNCTION("""COMPUTED_VALUE"""),"1. Microwave")</f>
        <v>1. Microwave</v>
      </c>
      <c r="B5610" s="4" t="str">
        <f>IFERROR(__xludf.DUMMYFUNCTION("""COMPUTED_VALUE"""),"1")</f>
        <v>1</v>
      </c>
      <c r="C5610" s="5" t="str">
        <f>IFERROR(__xludf.DUMMYFUNCTION("""COMPUTED_VALUE"""),"https://drive.google.com/file/d/1r1w5WXehqSkKTsZTPBCqVRCDyE84Z4M4/view?usp=drivesdk")</f>
        <v>https://drive.google.com/file/d/1r1w5WXehqSkKTsZTPBCqVRCDyE84Z4M4/view?usp=drivesdk</v>
      </c>
      <c r="D5610" s="12"/>
      <c r="E5610" s="11">
        <v>5648.0</v>
      </c>
      <c r="F5610" s="2"/>
    </row>
    <row r="5611" ht="1.5" customHeight="1">
      <c r="A5611" s="4" t="str">
        <f>IFERROR(__xludf.DUMMYFUNCTION("""COMPUTED_VALUE"""),"1. Microwave")</f>
        <v>1. Microwave</v>
      </c>
      <c r="B5611" s="4" t="str">
        <f>IFERROR(__xludf.DUMMYFUNCTION("""COMPUTED_VALUE"""),"1")</f>
        <v>1</v>
      </c>
      <c r="C5611" s="5" t="str">
        <f>IFERROR(__xludf.DUMMYFUNCTION("""COMPUTED_VALUE"""),"https://drive.google.com/file/d/1fjgRwExxM4whwpylyK5bjC4HeHkUF7xz/view?usp=drivesdk")</f>
        <v>https://drive.google.com/file/d/1fjgRwExxM4whwpylyK5bjC4HeHkUF7xz/view?usp=drivesdk</v>
      </c>
      <c r="D5611" s="12"/>
      <c r="E5611" s="11">
        <v>5649.0</v>
      </c>
      <c r="F5611" s="2"/>
    </row>
    <row r="5612" ht="1.5" customHeight="1">
      <c r="A5612" s="4" t="str">
        <f>IFERROR(__xludf.DUMMYFUNCTION("""COMPUTED_VALUE"""),"1. Microwave")</f>
        <v>1. Microwave</v>
      </c>
      <c r="B5612" s="4" t="str">
        <f>IFERROR(__xludf.DUMMYFUNCTION("""COMPUTED_VALUE"""),"1")</f>
        <v>1</v>
      </c>
      <c r="C5612" s="5" t="str">
        <f>IFERROR(__xludf.DUMMYFUNCTION("""COMPUTED_VALUE"""),"https://drive.google.com/file/d/1yVasd0v9Mb_mGfgq_5VoCuKKGNbZuMkt/view?usp=drivesdk")</f>
        <v>https://drive.google.com/file/d/1yVasd0v9Mb_mGfgq_5VoCuKKGNbZuMkt/view?usp=drivesdk</v>
      </c>
      <c r="D5612" s="12"/>
      <c r="E5612" s="11">
        <v>5650.0</v>
      </c>
      <c r="F5612" s="2"/>
    </row>
    <row r="5613" ht="1.5" customHeight="1">
      <c r="A5613" s="4" t="str">
        <f>IFERROR(__xludf.DUMMYFUNCTION("""COMPUTED_VALUE"""),"1. Microwave")</f>
        <v>1. Microwave</v>
      </c>
      <c r="B5613" s="4" t="str">
        <f>IFERROR(__xludf.DUMMYFUNCTION("""COMPUTED_VALUE"""),"1")</f>
        <v>1</v>
      </c>
      <c r="C5613" s="5" t="str">
        <f>IFERROR(__xludf.DUMMYFUNCTION("""COMPUTED_VALUE"""),"https://drive.google.com/file/d/1sQpSgXLbh6Hrd5IK_cRRjhzmO8i_UFGT/view?usp=drivesdk")</f>
        <v>https://drive.google.com/file/d/1sQpSgXLbh6Hrd5IK_cRRjhzmO8i_UFGT/view?usp=drivesdk</v>
      </c>
      <c r="D5613" s="12"/>
      <c r="E5613" s="11">
        <v>5651.0</v>
      </c>
      <c r="F5613" s="2"/>
    </row>
    <row r="5614" ht="1.5" customHeight="1">
      <c r="A5614" s="4" t="str">
        <f>IFERROR(__xludf.DUMMYFUNCTION("""COMPUTED_VALUE"""),"1. Microwave")</f>
        <v>1. Microwave</v>
      </c>
      <c r="B5614" s="4" t="str">
        <f>IFERROR(__xludf.DUMMYFUNCTION("""COMPUTED_VALUE"""),"1")</f>
        <v>1</v>
      </c>
      <c r="C5614" s="5" t="str">
        <f>IFERROR(__xludf.DUMMYFUNCTION("""COMPUTED_VALUE"""),"https://drive.google.com/file/d/1IdyMtVJ5N5XArzXbTErtIfQYv7il5UX1/view?usp=drivesdk")</f>
        <v>https://drive.google.com/file/d/1IdyMtVJ5N5XArzXbTErtIfQYv7il5UX1/view?usp=drivesdk</v>
      </c>
      <c r="D5614" s="12"/>
      <c r="E5614" s="11">
        <v>5652.0</v>
      </c>
      <c r="F5614" s="2"/>
    </row>
    <row r="5615" ht="1.5" customHeight="1">
      <c r="A5615" s="4" t="str">
        <f>IFERROR(__xludf.DUMMYFUNCTION("""COMPUTED_VALUE"""),"0. NotACat")</f>
        <v>0. NotACat</v>
      </c>
      <c r="B5615" s="4" t="str">
        <f>IFERROR(__xludf.DUMMYFUNCTION("""COMPUTED_VALUE"""),"0")</f>
        <v>0</v>
      </c>
      <c r="C5615" s="5" t="str">
        <f>IFERROR(__xludf.DUMMYFUNCTION("""COMPUTED_VALUE"""),"https://drive.google.com/file/d/1PogrXnCWT-i-WGi490ILbu55BlGCM2Xy/view?usp=drivesdk")</f>
        <v>https://drive.google.com/file/d/1PogrXnCWT-i-WGi490ILbu55BlGCM2Xy/view?usp=drivesdk</v>
      </c>
      <c r="D5615" s="12"/>
      <c r="E5615" s="11">
        <v>5653.0</v>
      </c>
      <c r="F5615" s="2"/>
    </row>
    <row r="5616" ht="1.5" customHeight="1">
      <c r="A5616" s="4" t="str">
        <f>IFERROR(__xludf.DUMMYFUNCTION("""COMPUTED_VALUE"""),"0. NotACat")</f>
        <v>0. NotACat</v>
      </c>
      <c r="B5616" s="4" t="str">
        <f>IFERROR(__xludf.DUMMYFUNCTION("""COMPUTED_VALUE"""),"0")</f>
        <v>0</v>
      </c>
      <c r="C5616" s="5" t="str">
        <f>IFERROR(__xludf.DUMMYFUNCTION("""COMPUTED_VALUE"""),"https://drive.google.com/file/d/1sU85a9M2xbCOz5Bot3-toIMyzlC-ngoB/view?usp=drivesdk")</f>
        <v>https://drive.google.com/file/d/1sU85a9M2xbCOz5Bot3-toIMyzlC-ngoB/view?usp=drivesdk</v>
      </c>
      <c r="D5616" s="12"/>
      <c r="E5616" s="11">
        <v>5654.0</v>
      </c>
      <c r="F5616" s="2"/>
    </row>
    <row r="5617" ht="1.5" customHeight="1">
      <c r="A5617" s="4" t="str">
        <f>IFERROR(__xludf.DUMMYFUNCTION("""COMPUTED_VALUE"""),"1. Microwave")</f>
        <v>1. Microwave</v>
      </c>
      <c r="B5617" s="4" t="str">
        <f>IFERROR(__xludf.DUMMYFUNCTION("""COMPUTED_VALUE"""),"1")</f>
        <v>1</v>
      </c>
      <c r="C5617" s="5" t="str">
        <f>IFERROR(__xludf.DUMMYFUNCTION("""COMPUTED_VALUE"""),"https://drive.google.com/file/d/1wH4gPhX6BRNI-I1vTZ9NhWAKDsya6-tS/view?usp=drivesdk")</f>
        <v>https://drive.google.com/file/d/1wH4gPhX6BRNI-I1vTZ9NhWAKDsya6-tS/view?usp=drivesdk</v>
      </c>
      <c r="D5617" s="12"/>
      <c r="E5617" s="11">
        <v>5655.0</v>
      </c>
      <c r="F5617" s="2"/>
    </row>
    <row r="5618" ht="1.5" customHeight="1">
      <c r="A5618" s="4" t="str">
        <f>IFERROR(__xludf.DUMMYFUNCTION("""COMPUTED_VALUE"""),"80. Atzi, 111. Mayatl, 116. Itzel")</f>
        <v>80. Atzi, 111. Mayatl, 116. Itzel</v>
      </c>
      <c r="B5618" s="4" t="str">
        <f>IFERROR(__xludf.DUMMYFUNCTION("""COMPUTED_VALUE"""),"80, 111, 116")</f>
        <v>80, 111, 116</v>
      </c>
      <c r="C5618" s="5" t="str">
        <f>IFERROR(__xludf.DUMMYFUNCTION("""COMPUTED_VALUE"""),"https://drive.google.com/file/d/1Fso39uDwFoInKZ5MDw_CjPrNcLPdzCS3/view?usp=drivesdk")</f>
        <v>https://drive.google.com/file/d/1Fso39uDwFoInKZ5MDw_CjPrNcLPdzCS3/view?usp=drivesdk</v>
      </c>
      <c r="D5618" s="12"/>
      <c r="E5618" s="11">
        <v>5656.0</v>
      </c>
      <c r="F5618" s="2"/>
    </row>
    <row r="5619" ht="1.5" customHeight="1">
      <c r="A5619" s="4" t="str">
        <f>IFERROR(__xludf.DUMMYFUNCTION("""COMPUTED_VALUE"""),"80. Atzi, 111. Mayatl, 116. Itzel")</f>
        <v>80. Atzi, 111. Mayatl, 116. Itzel</v>
      </c>
      <c r="B5619" s="4" t="str">
        <f>IFERROR(__xludf.DUMMYFUNCTION("""COMPUTED_VALUE"""),"80, 111, 116")</f>
        <v>80, 111, 116</v>
      </c>
      <c r="C5619" s="5" t="str">
        <f>IFERROR(__xludf.DUMMYFUNCTION("""COMPUTED_VALUE"""),"https://drive.google.com/file/d/1CXKw_h9stsXE64-pLP6Hl7mEWI2E91es/view?usp=drivesdk")</f>
        <v>https://drive.google.com/file/d/1CXKw_h9stsXE64-pLP6Hl7mEWI2E91es/view?usp=drivesdk</v>
      </c>
      <c r="D5619" s="12"/>
      <c r="E5619" s="11">
        <v>5657.0</v>
      </c>
      <c r="F5619" s="2"/>
    </row>
    <row r="5620" ht="1.5" customHeight="1">
      <c r="A5620" s="4" t="str">
        <f>IFERROR(__xludf.DUMMYFUNCTION("""COMPUTED_VALUE"""),"80. Atzi, 116. Itzel")</f>
        <v>80. Atzi, 116. Itzel</v>
      </c>
      <c r="B5620" s="4" t="str">
        <f>IFERROR(__xludf.DUMMYFUNCTION("""COMPUTED_VALUE"""),"80, 116")</f>
        <v>80, 116</v>
      </c>
      <c r="C5620" s="5" t="str">
        <f>IFERROR(__xludf.DUMMYFUNCTION("""COMPUTED_VALUE"""),"https://drive.google.com/file/d/13WJVymEzQxDZ0RyYILbUrmJNwVefKKKc/view?usp=drivesdk")</f>
        <v>https://drive.google.com/file/d/13WJVymEzQxDZ0RyYILbUrmJNwVefKKKc/view?usp=drivesdk</v>
      </c>
      <c r="D5620" s="12"/>
      <c r="E5620" s="11">
        <v>5658.0</v>
      </c>
      <c r="F5620" s="2"/>
    </row>
    <row r="5621" ht="1.5" customHeight="1">
      <c r="A5621" s="4" t="str">
        <f>IFERROR(__xludf.DUMMYFUNCTION("""COMPUTED_VALUE"""),"1. Microwave")</f>
        <v>1. Microwave</v>
      </c>
      <c r="B5621" s="4" t="str">
        <f>IFERROR(__xludf.DUMMYFUNCTION("""COMPUTED_VALUE"""),"1")</f>
        <v>1</v>
      </c>
      <c r="C5621" s="5" t="str">
        <f>IFERROR(__xludf.DUMMYFUNCTION("""COMPUTED_VALUE"""),"https://drive.google.com/file/d/1LDqYxoqSwhXTWXkfM9mYFcSPd3hm8IkQ/view?usp=drivesdk")</f>
        <v>https://drive.google.com/file/d/1LDqYxoqSwhXTWXkfM9mYFcSPd3hm8IkQ/view?usp=drivesdk</v>
      </c>
      <c r="D5621" s="12"/>
      <c r="E5621" s="11">
        <v>5659.0</v>
      </c>
      <c r="F5621" s="2"/>
    </row>
    <row r="5622" ht="1.5" customHeight="1">
      <c r="A5622" s="4" t="str">
        <f>IFERROR(__xludf.DUMMYFUNCTION("""COMPUTED_VALUE"""),"35. Stove")</f>
        <v>35. Stove</v>
      </c>
      <c r="B5622" s="4" t="str">
        <f>IFERROR(__xludf.DUMMYFUNCTION("""COMPUTED_VALUE"""),"35")</f>
        <v>35</v>
      </c>
      <c r="C5622" s="5" t="str">
        <f>IFERROR(__xludf.DUMMYFUNCTION("""COMPUTED_VALUE"""),"https://drive.google.com/file/d/1_39u1tTkIAZWsUXbO7v-LLpBwSmznRtA/view?usp=drivesdk")</f>
        <v>https://drive.google.com/file/d/1_39u1tTkIAZWsUXbO7v-LLpBwSmznRtA/view?usp=drivesdk</v>
      </c>
      <c r="D5622" s="12"/>
      <c r="E5622" s="11">
        <v>5660.0</v>
      </c>
      <c r="F5622" s="2"/>
    </row>
    <row r="5623" ht="1.5" customHeight="1">
      <c r="A5623" s="4" t="str">
        <f>IFERROR(__xludf.DUMMYFUNCTION("""COMPUTED_VALUE"""),"1. Microwave")</f>
        <v>1. Microwave</v>
      </c>
      <c r="B5623" s="4" t="str">
        <f>IFERROR(__xludf.DUMMYFUNCTION("""COMPUTED_VALUE"""),"1")</f>
        <v>1</v>
      </c>
      <c r="C5623" s="5" t="str">
        <f>IFERROR(__xludf.DUMMYFUNCTION("""COMPUTED_VALUE"""),"https://drive.google.com/file/d/18l9SPhGj3sEEpgIqp0wQe7P96_eTvIsG/view?usp=drivesdk")</f>
        <v>https://drive.google.com/file/d/18l9SPhGj3sEEpgIqp0wQe7P96_eTvIsG/view?usp=drivesdk</v>
      </c>
      <c r="D5623" s="12"/>
      <c r="E5623" s="11">
        <v>5661.0</v>
      </c>
      <c r="F5623" s="2"/>
    </row>
    <row r="5624" ht="1.5" customHeight="1">
      <c r="A5624" s="4" t="str">
        <f>IFERROR(__xludf.DUMMYFUNCTION("""COMPUTED_VALUE"""),"101. Nori")</f>
        <v>101. Nori</v>
      </c>
      <c r="B5624" s="4" t="str">
        <f>IFERROR(__xludf.DUMMYFUNCTION("""COMPUTED_VALUE"""),"101")</f>
        <v>101</v>
      </c>
      <c r="C5624" s="5" t="str">
        <f>IFERROR(__xludf.DUMMYFUNCTION("""COMPUTED_VALUE"""),"https://drive.google.com/file/d/1O75fB3RX1UEg0VcRb9V395W8AX2IoLHj/view?usp=drivesdk")</f>
        <v>https://drive.google.com/file/d/1O75fB3RX1UEg0VcRb9V395W8AX2IoLHj/view?usp=drivesdk</v>
      </c>
      <c r="D5624" s="12"/>
      <c r="E5624" s="11">
        <v>5662.0</v>
      </c>
      <c r="F5624" s="2"/>
    </row>
    <row r="5625" ht="1.5" customHeight="1">
      <c r="A5625" s="4" t="str">
        <f>IFERROR(__xludf.DUMMYFUNCTION("""COMPUTED_VALUE"""),"101. Nori")</f>
        <v>101. Nori</v>
      </c>
      <c r="B5625" s="4" t="str">
        <f>IFERROR(__xludf.DUMMYFUNCTION("""COMPUTED_VALUE"""),"101")</f>
        <v>101</v>
      </c>
      <c r="C5625" s="5" t="str">
        <f>IFERROR(__xludf.DUMMYFUNCTION("""COMPUTED_VALUE"""),"https://drive.google.com/file/d/15-P5RpuPMwyXnc5krEYnmG4h-lsxvQwz/view?usp=drivesdk")</f>
        <v>https://drive.google.com/file/d/15-P5RpuPMwyXnc5krEYnmG4h-lsxvQwz/view?usp=drivesdk</v>
      </c>
      <c r="D5625" s="12"/>
      <c r="E5625" s="11">
        <v>5663.0</v>
      </c>
      <c r="F5625" s="2"/>
    </row>
    <row r="5626" ht="1.5" customHeight="1">
      <c r="A5626" s="4" t="str">
        <f>IFERROR(__xludf.DUMMYFUNCTION("""COMPUTED_VALUE"""),"101. Nori")</f>
        <v>101. Nori</v>
      </c>
      <c r="B5626" s="4" t="str">
        <f>IFERROR(__xludf.DUMMYFUNCTION("""COMPUTED_VALUE"""),"101")</f>
        <v>101</v>
      </c>
      <c r="C5626" s="5" t="str">
        <f>IFERROR(__xludf.DUMMYFUNCTION("""COMPUTED_VALUE"""),"https://drive.google.com/file/d/1u0nYpE65Y0Tp2jEVNVmi557JBv_auPDK/view?usp=drivesdk")</f>
        <v>https://drive.google.com/file/d/1u0nYpE65Y0Tp2jEVNVmi557JBv_auPDK/view?usp=drivesdk</v>
      </c>
      <c r="D5626" s="12"/>
      <c r="E5626" s="11">
        <v>5664.0</v>
      </c>
      <c r="F5626" s="2"/>
    </row>
    <row r="5627" ht="1.5" customHeight="1">
      <c r="A5627" s="4" t="str">
        <f>IFERROR(__xludf.DUMMYFUNCTION("""COMPUTED_VALUE"""),"101. Nori")</f>
        <v>101. Nori</v>
      </c>
      <c r="B5627" s="4" t="str">
        <f>IFERROR(__xludf.DUMMYFUNCTION("""COMPUTED_VALUE"""),"101")</f>
        <v>101</v>
      </c>
      <c r="C5627" s="5" t="str">
        <f>IFERROR(__xludf.DUMMYFUNCTION("""COMPUTED_VALUE"""),"https://drive.google.com/file/d/1zFL1unQh4GId6wzPmv9F8MUTRjAu6R9_/view?usp=drivesdk")</f>
        <v>https://drive.google.com/file/d/1zFL1unQh4GId6wzPmv9F8MUTRjAu6R9_/view?usp=drivesdk</v>
      </c>
      <c r="D5627" s="12"/>
      <c r="E5627" s="11">
        <v>5665.0</v>
      </c>
      <c r="F5627" s="2"/>
    </row>
    <row r="5628" ht="1.5" customHeight="1">
      <c r="A5628" s="4" t="str">
        <f>IFERROR(__xludf.DUMMYFUNCTION("""COMPUTED_VALUE"""),"101. Nori")</f>
        <v>101. Nori</v>
      </c>
      <c r="B5628" s="4" t="str">
        <f>IFERROR(__xludf.DUMMYFUNCTION("""COMPUTED_VALUE"""),"101")</f>
        <v>101</v>
      </c>
      <c r="C5628" s="5" t="str">
        <f>IFERROR(__xludf.DUMMYFUNCTION("""COMPUTED_VALUE"""),"https://drive.google.com/file/d/1AStBEgeqfAYTeellPQX0SI_ugQr6irg8/view?usp=drivesdk")</f>
        <v>https://drive.google.com/file/d/1AStBEgeqfAYTeellPQX0SI_ugQr6irg8/view?usp=drivesdk</v>
      </c>
      <c r="D5628" s="12"/>
      <c r="E5628" s="11">
        <v>5666.0</v>
      </c>
      <c r="F5628" s="2"/>
    </row>
    <row r="5629" ht="1.5" customHeight="1">
      <c r="A5629" s="4" t="str">
        <f>IFERROR(__xludf.DUMMYFUNCTION("""COMPUTED_VALUE"""),"101. Nori")</f>
        <v>101. Nori</v>
      </c>
      <c r="B5629" s="4" t="str">
        <f>IFERROR(__xludf.DUMMYFUNCTION("""COMPUTED_VALUE"""),"101")</f>
        <v>101</v>
      </c>
      <c r="C5629" s="5" t="str">
        <f>IFERROR(__xludf.DUMMYFUNCTION("""COMPUTED_VALUE"""),"https://drive.google.com/file/d/1wNreoKsLgrnvEBwrGVEPBxKYSYy9xDpO/view?usp=drivesdk")</f>
        <v>https://drive.google.com/file/d/1wNreoKsLgrnvEBwrGVEPBxKYSYy9xDpO/view?usp=drivesdk</v>
      </c>
      <c r="D5629" s="12"/>
      <c r="E5629" s="11">
        <v>5667.0</v>
      </c>
      <c r="F5629" s="2"/>
    </row>
    <row r="5630" ht="1.5" customHeight="1">
      <c r="A5630" s="4" t="str">
        <f>IFERROR(__xludf.DUMMYFUNCTION("""COMPUTED_VALUE"""),"101. Nori")</f>
        <v>101. Nori</v>
      </c>
      <c r="B5630" s="4" t="str">
        <f>IFERROR(__xludf.DUMMYFUNCTION("""COMPUTED_VALUE"""),"101")</f>
        <v>101</v>
      </c>
      <c r="C5630" s="5" t="str">
        <f>IFERROR(__xludf.DUMMYFUNCTION("""COMPUTED_VALUE"""),"https://drive.google.com/file/d/17d2r4rh1CZewkhWgd2zU2iXxTnb0kxdC/view?usp=drivesdk")</f>
        <v>https://drive.google.com/file/d/17d2r4rh1CZewkhWgd2zU2iXxTnb0kxdC/view?usp=drivesdk</v>
      </c>
      <c r="D5630" s="12"/>
      <c r="E5630" s="11">
        <v>5668.0</v>
      </c>
      <c r="F5630" s="2"/>
    </row>
    <row r="5631" ht="1.5" customHeight="1">
      <c r="A5631" s="4" t="str">
        <f>IFERROR(__xludf.DUMMYFUNCTION("""COMPUTED_VALUE"""),"101. Nori")</f>
        <v>101. Nori</v>
      </c>
      <c r="B5631" s="4" t="str">
        <f>IFERROR(__xludf.DUMMYFUNCTION("""COMPUTED_VALUE"""),"101")</f>
        <v>101</v>
      </c>
      <c r="C5631" s="5" t="str">
        <f>IFERROR(__xludf.DUMMYFUNCTION("""COMPUTED_VALUE"""),"https://drive.google.com/file/d/1lcdQt6-vT9PAG9vbNjkXjyKAtD_-AD81/view?usp=drivesdk")</f>
        <v>https://drive.google.com/file/d/1lcdQt6-vT9PAG9vbNjkXjyKAtD_-AD81/view?usp=drivesdk</v>
      </c>
      <c r="D5631" s="12"/>
      <c r="E5631" s="11">
        <v>5669.0</v>
      </c>
      <c r="F5631" s="2"/>
    </row>
    <row r="5632" ht="1.5" customHeight="1">
      <c r="A5632" s="4" t="str">
        <f>IFERROR(__xludf.DUMMYFUNCTION("""COMPUTED_VALUE"""),"0. NotACat")</f>
        <v>0. NotACat</v>
      </c>
      <c r="B5632" s="4" t="str">
        <f>IFERROR(__xludf.DUMMYFUNCTION("""COMPUTED_VALUE"""),"0")</f>
        <v>0</v>
      </c>
      <c r="C5632" s="5" t="str">
        <f>IFERROR(__xludf.DUMMYFUNCTION("""COMPUTED_VALUE"""),"https://drive.google.com/file/d/1aacxRWr8oGTVQLhrBlOrqQd4UrIWnVYQ/view?usp=drivesdk")</f>
        <v>https://drive.google.com/file/d/1aacxRWr8oGTVQLhrBlOrqQd4UrIWnVYQ/view?usp=drivesdk</v>
      </c>
      <c r="D5632" s="12"/>
      <c r="E5632" s="11">
        <v>5670.0</v>
      </c>
      <c r="F5632" s="2"/>
    </row>
    <row r="5633" ht="1.5" customHeight="1">
      <c r="A5633" s="4" t="str">
        <f>IFERROR(__xludf.DUMMYFUNCTION("""COMPUTED_VALUE"""),"0. NotACat")</f>
        <v>0. NotACat</v>
      </c>
      <c r="B5633" s="4" t="str">
        <f>IFERROR(__xludf.DUMMYFUNCTION("""COMPUTED_VALUE"""),"0")</f>
        <v>0</v>
      </c>
      <c r="C5633" s="5" t="str">
        <f>IFERROR(__xludf.DUMMYFUNCTION("""COMPUTED_VALUE"""),"https://drive.google.com/file/d/1qr1oAyIo_mie9MkY7eaLTIqxImKw8LRP/view?usp=drivesdk")</f>
        <v>https://drive.google.com/file/d/1qr1oAyIo_mie9MkY7eaLTIqxImKw8LRP/view?usp=drivesdk</v>
      </c>
      <c r="D5633" s="12"/>
      <c r="E5633" s="11">
        <v>5671.0</v>
      </c>
      <c r="F5633" s="2"/>
    </row>
    <row r="5634" ht="1.5" customHeight="1">
      <c r="A5634" s="4" t="str">
        <f>IFERROR(__xludf.DUMMYFUNCTION("""COMPUTED_VALUE"""),"0. NotACat")</f>
        <v>0. NotACat</v>
      </c>
      <c r="B5634" s="4" t="str">
        <f>IFERROR(__xludf.DUMMYFUNCTION("""COMPUTED_VALUE"""),"0")</f>
        <v>0</v>
      </c>
      <c r="C5634" s="5" t="str">
        <f>IFERROR(__xludf.DUMMYFUNCTION("""COMPUTED_VALUE"""),"https://drive.google.com/file/d/1tuh0XeuYuHDuXtyuGWteLA7eUe_GscWP/view?usp=drivesdk")</f>
        <v>https://drive.google.com/file/d/1tuh0XeuYuHDuXtyuGWteLA7eUe_GscWP/view?usp=drivesdk</v>
      </c>
      <c r="D5634" s="12"/>
      <c r="E5634" s="11">
        <v>5672.0</v>
      </c>
      <c r="F5634" s="2"/>
    </row>
    <row r="5635" ht="1.5" customHeight="1">
      <c r="A5635" s="4" t="str">
        <f>IFERROR(__xludf.DUMMYFUNCTION("""COMPUTED_VALUE"""),"0. NotACat")</f>
        <v>0. NotACat</v>
      </c>
      <c r="B5635" s="4" t="str">
        <f>IFERROR(__xludf.DUMMYFUNCTION("""COMPUTED_VALUE"""),"0")</f>
        <v>0</v>
      </c>
      <c r="C5635" s="5" t="str">
        <f>IFERROR(__xludf.DUMMYFUNCTION("""COMPUTED_VALUE"""),"https://drive.google.com/file/d/1StxmQP8q23CXKJmXv-yVXIe7VuhP5emD/view?usp=drivesdk")</f>
        <v>https://drive.google.com/file/d/1StxmQP8q23CXKJmXv-yVXIe7VuhP5emD/view?usp=drivesdk</v>
      </c>
      <c r="D5635" s="12"/>
      <c r="E5635" s="11">
        <v>5673.0</v>
      </c>
      <c r="F5635" s="2"/>
    </row>
    <row r="5636" ht="1.5" customHeight="1">
      <c r="A5636" s="4" t="str">
        <f>IFERROR(__xludf.DUMMYFUNCTION("""COMPUTED_VALUE"""),"0. NotACat")</f>
        <v>0. NotACat</v>
      </c>
      <c r="B5636" s="4" t="str">
        <f>IFERROR(__xludf.DUMMYFUNCTION("""COMPUTED_VALUE"""),"0")</f>
        <v>0</v>
      </c>
      <c r="C5636" s="5" t="str">
        <f>IFERROR(__xludf.DUMMYFUNCTION("""COMPUTED_VALUE"""),"https://drive.google.com/file/d/1PdWZulTXmohyRexRrM4E5-Th3ZbiT4Yz/view?usp=drivesdk")</f>
        <v>https://drive.google.com/file/d/1PdWZulTXmohyRexRrM4E5-Th3ZbiT4Yz/view?usp=drivesdk</v>
      </c>
      <c r="D5636" s="12"/>
      <c r="E5636" s="11">
        <v>5674.0</v>
      </c>
      <c r="F5636" s="2"/>
    </row>
    <row r="5637" ht="1.5" customHeight="1">
      <c r="A5637" s="4" t="str">
        <f>IFERROR(__xludf.DUMMYFUNCTION("""COMPUTED_VALUE"""),"0. NotACat")</f>
        <v>0. NotACat</v>
      </c>
      <c r="B5637" s="4" t="str">
        <f>IFERROR(__xludf.DUMMYFUNCTION("""COMPUTED_VALUE"""),"0")</f>
        <v>0</v>
      </c>
      <c r="C5637" s="5" t="str">
        <f>IFERROR(__xludf.DUMMYFUNCTION("""COMPUTED_VALUE"""),"https://drive.google.com/file/d/1PwRFESn48UZOY2zcM3gbfMMyoZU5iFS3/view?usp=drivesdk")</f>
        <v>https://drive.google.com/file/d/1PwRFESn48UZOY2zcM3gbfMMyoZU5iFS3/view?usp=drivesdk</v>
      </c>
      <c r="D5637" s="12"/>
      <c r="E5637" s="11">
        <v>5675.0</v>
      </c>
      <c r="F5637" s="2"/>
    </row>
    <row r="5638" ht="1.5" customHeight="1">
      <c r="A5638" s="4" t="str">
        <f>IFERROR(__xludf.DUMMYFUNCTION("""COMPUTED_VALUE"""),"0. NotACat")</f>
        <v>0. NotACat</v>
      </c>
      <c r="B5638" s="4" t="str">
        <f>IFERROR(__xludf.DUMMYFUNCTION("""COMPUTED_VALUE"""),"0")</f>
        <v>0</v>
      </c>
      <c r="C5638" s="5" t="str">
        <f>IFERROR(__xludf.DUMMYFUNCTION("""COMPUTED_VALUE"""),"https://drive.google.com/file/d/1alFSdiGjQE2ERC_iS9qFoqLDHFabgxx5/view?usp=drivesdk")</f>
        <v>https://drive.google.com/file/d/1alFSdiGjQE2ERC_iS9qFoqLDHFabgxx5/view?usp=drivesdk</v>
      </c>
      <c r="D5638" s="12"/>
      <c r="E5638" s="11">
        <v>5676.0</v>
      </c>
      <c r="F5638" s="2"/>
    </row>
    <row r="5639" ht="1.5" customHeight="1">
      <c r="A5639" s="4" t="str">
        <f>IFERROR(__xludf.DUMMYFUNCTION("""COMPUTED_VALUE"""),"2. Twix")</f>
        <v>2. Twix</v>
      </c>
      <c r="B5639" s="4" t="str">
        <f>IFERROR(__xludf.DUMMYFUNCTION("""COMPUTED_VALUE"""),"2")</f>
        <v>2</v>
      </c>
      <c r="C5639" s="5" t="str">
        <f>IFERROR(__xludf.DUMMYFUNCTION("""COMPUTED_VALUE"""),"https://drive.google.com/file/d/1PBwSm5uq1KfGh4PCwp_9ck4_ZxkTZcwf/view?usp=drivesdk")</f>
        <v>https://drive.google.com/file/d/1PBwSm5uq1KfGh4PCwp_9ck4_ZxkTZcwf/view?usp=drivesdk</v>
      </c>
      <c r="D5639" s="12"/>
      <c r="E5639" s="11">
        <v>5677.0</v>
      </c>
      <c r="F5639" s="2"/>
    </row>
    <row r="5640" ht="1.5" customHeight="1">
      <c r="A5640" s="4" t="str">
        <f>IFERROR(__xludf.DUMMYFUNCTION("""COMPUTED_VALUE"""),"2. Twix")</f>
        <v>2. Twix</v>
      </c>
      <c r="B5640" s="4" t="str">
        <f>IFERROR(__xludf.DUMMYFUNCTION("""COMPUTED_VALUE"""),"2")</f>
        <v>2</v>
      </c>
      <c r="C5640" s="5" t="str">
        <f>IFERROR(__xludf.DUMMYFUNCTION("""COMPUTED_VALUE"""),"https://drive.google.com/file/d/1J50AWLm5Lsih2OadevhR22RHEAwpZ9HK/view?usp=drivesdk")</f>
        <v>https://drive.google.com/file/d/1J50AWLm5Lsih2OadevhR22RHEAwpZ9HK/view?usp=drivesdk</v>
      </c>
      <c r="D5640" s="12"/>
      <c r="E5640" s="11">
        <v>5678.0</v>
      </c>
      <c r="F5640" s="2"/>
    </row>
    <row r="5641" ht="1.5" customHeight="1">
      <c r="A5641" s="4" t="str">
        <f>IFERROR(__xludf.DUMMYFUNCTION("""COMPUTED_VALUE"""),"2. Twix")</f>
        <v>2. Twix</v>
      </c>
      <c r="B5641" s="4" t="str">
        <f>IFERROR(__xludf.DUMMYFUNCTION("""COMPUTED_VALUE"""),"2")</f>
        <v>2</v>
      </c>
      <c r="C5641" s="5" t="str">
        <f>IFERROR(__xludf.DUMMYFUNCTION("""COMPUTED_VALUE"""),"https://drive.google.com/file/d/1P9ZbbqgnX8LLBfQ2quqM3cV-JSB4OSKE/view?usp=drivesdk")</f>
        <v>https://drive.google.com/file/d/1P9ZbbqgnX8LLBfQ2quqM3cV-JSB4OSKE/view?usp=drivesdk</v>
      </c>
      <c r="D5641" s="12"/>
      <c r="E5641" s="11">
        <v>5679.0</v>
      </c>
      <c r="F5641" s="2"/>
    </row>
    <row r="5642" ht="1.5" customHeight="1">
      <c r="A5642" s="4" t="str">
        <f>IFERROR(__xludf.DUMMYFUNCTION("""COMPUTED_VALUE"""),"2. Twix")</f>
        <v>2. Twix</v>
      </c>
      <c r="B5642" s="4" t="str">
        <f>IFERROR(__xludf.DUMMYFUNCTION("""COMPUTED_VALUE"""),"2")</f>
        <v>2</v>
      </c>
      <c r="C5642" s="5" t="str">
        <f>IFERROR(__xludf.DUMMYFUNCTION("""COMPUTED_VALUE"""),"https://drive.google.com/file/d/1iSbUbL76g8rhsblhb5-LuD-hHZ4JvKgA/view?usp=drivesdk")</f>
        <v>https://drive.google.com/file/d/1iSbUbL76g8rhsblhb5-LuD-hHZ4JvKgA/view?usp=drivesdk</v>
      </c>
      <c r="D5642" s="12"/>
      <c r="E5642" s="11">
        <v>5680.0</v>
      </c>
      <c r="F5642" s="2"/>
    </row>
    <row r="5643" ht="1.5" customHeight="1">
      <c r="A5643" s="4" t="str">
        <f>IFERROR(__xludf.DUMMYFUNCTION("""COMPUTED_VALUE"""),"4. Eggs")</f>
        <v>4. Eggs</v>
      </c>
      <c r="B5643" s="4" t="str">
        <f>IFERROR(__xludf.DUMMYFUNCTION("""COMPUTED_VALUE"""),"4")</f>
        <v>4</v>
      </c>
      <c r="C5643" s="5" t="str">
        <f>IFERROR(__xludf.DUMMYFUNCTION("""COMPUTED_VALUE"""),"https://drive.google.com/file/d/1Etq3lv48kZvM7pYYXCxceNfkyzZv4F_j/view?usp=drivesdk")</f>
        <v>https://drive.google.com/file/d/1Etq3lv48kZvM7pYYXCxceNfkyzZv4F_j/view?usp=drivesdk</v>
      </c>
      <c r="D5643" s="12"/>
      <c r="E5643" s="11">
        <v>5681.0</v>
      </c>
      <c r="F5643" s="2"/>
    </row>
    <row r="5644" ht="1.5" customHeight="1">
      <c r="A5644" s="4" t="str">
        <f>IFERROR(__xludf.DUMMYFUNCTION("""COMPUTED_VALUE"""),"4. Eggs")</f>
        <v>4. Eggs</v>
      </c>
      <c r="B5644" s="4" t="str">
        <f>IFERROR(__xludf.DUMMYFUNCTION("""COMPUTED_VALUE"""),"4")</f>
        <v>4</v>
      </c>
      <c r="C5644" s="5" t="str">
        <f>IFERROR(__xludf.DUMMYFUNCTION("""COMPUTED_VALUE"""),"https://drive.google.com/file/d/1XdHzv2rwEf5cbJZJq3_HveZEd-5wdSsX/view?usp=drivesdk")</f>
        <v>https://drive.google.com/file/d/1XdHzv2rwEf5cbJZJq3_HveZEd-5wdSsX/view?usp=drivesdk</v>
      </c>
      <c r="D5644" s="12"/>
      <c r="E5644" s="11">
        <v>5682.0</v>
      </c>
      <c r="F5644" s="2"/>
    </row>
    <row r="5645" ht="1.5" customHeight="1">
      <c r="A5645" s="4" t="str">
        <f>IFERROR(__xludf.DUMMYFUNCTION("""COMPUTED_VALUE"""),"1. Microwave")</f>
        <v>1. Microwave</v>
      </c>
      <c r="B5645" s="4" t="str">
        <f>IFERROR(__xludf.DUMMYFUNCTION("""COMPUTED_VALUE"""),"1")</f>
        <v>1</v>
      </c>
      <c r="C5645" s="5" t="str">
        <f>IFERROR(__xludf.DUMMYFUNCTION("""COMPUTED_VALUE"""),"https://drive.google.com/file/d/1oAZDSx6X1LEzYwYF1AgtquCizwQmJANZ/view?usp=drivesdk")</f>
        <v>https://drive.google.com/file/d/1oAZDSx6X1LEzYwYF1AgtquCizwQmJANZ/view?usp=drivesdk</v>
      </c>
      <c r="D5645" s="12"/>
      <c r="E5645" s="11">
        <v>5683.0</v>
      </c>
      <c r="F5645" s="2"/>
    </row>
    <row r="5646" ht="1.5" customHeight="1">
      <c r="A5646" s="4" t="str">
        <f>IFERROR(__xludf.DUMMYFUNCTION("""COMPUTED_VALUE"""),"42. Rubber, 95. Ariel, 45. Boots, 47. Nefarious")</f>
        <v>42. Rubber, 95. Ariel, 45. Boots, 47. Nefarious</v>
      </c>
      <c r="B5646" s="4" t="str">
        <f>IFERROR(__xludf.DUMMYFUNCTION("""COMPUTED_VALUE"""),"42, 95, 45, 47")</f>
        <v>42, 95, 45, 47</v>
      </c>
      <c r="C5646" s="5" t="str">
        <f>IFERROR(__xludf.DUMMYFUNCTION("""COMPUTED_VALUE"""),"https://drive.google.com/file/d/1_zt0uTCnIKsU3iFSZib7KeVBJyvx2QFj/view?usp=drivesdk")</f>
        <v>https://drive.google.com/file/d/1_zt0uTCnIKsU3iFSZib7KeVBJyvx2QFj/view?usp=drivesdk</v>
      </c>
      <c r="D5646" s="12"/>
      <c r="E5646" s="11">
        <v>5684.0</v>
      </c>
      <c r="F5646" s="2"/>
    </row>
    <row r="5647" ht="1.5" customHeight="1">
      <c r="A5647" s="4" t="str">
        <f>IFERROR(__xludf.DUMMYFUNCTION("""COMPUTED_VALUE"""),"58. Eden, 42. Rubber, 95. Ariel, 45. Boots")</f>
        <v>58. Eden, 42. Rubber, 95. Ariel, 45. Boots</v>
      </c>
      <c r="B5647" s="4" t="str">
        <f>IFERROR(__xludf.DUMMYFUNCTION("""COMPUTED_VALUE"""),"58, 42, 95, 45")</f>
        <v>58, 42, 95, 45</v>
      </c>
      <c r="C5647" s="5" t="str">
        <f>IFERROR(__xludf.DUMMYFUNCTION("""COMPUTED_VALUE"""),"https://drive.google.com/file/d/13IL4dRyD7uuITf7Ud4NZXetQ5yD8Qk9S/view?usp=drivesdk")</f>
        <v>https://drive.google.com/file/d/13IL4dRyD7uuITf7Ud4NZXetQ5yD8Qk9S/view?usp=drivesdk</v>
      </c>
      <c r="D5647" s="12"/>
      <c r="E5647" s="11">
        <v>5685.0</v>
      </c>
      <c r="F5647" s="2"/>
    </row>
    <row r="5648" ht="1.5" customHeight="1">
      <c r="A5648" s="4" t="str">
        <f>IFERROR(__xludf.DUMMYFUNCTION("""COMPUTED_VALUE"""),"58. Eden, 95. Ariel, 42. Rubber, 45. Boots, 47. Nefarious, 44. Shitbag Cuntface")</f>
        <v>58. Eden, 95. Ariel, 42. Rubber, 45. Boots, 47. Nefarious, 44. Shitbag Cuntface</v>
      </c>
      <c r="B5648" s="4" t="str">
        <f>IFERROR(__xludf.DUMMYFUNCTION("""COMPUTED_VALUE"""),"58, 95, 42, 45, 47, 44")</f>
        <v>58, 95, 42, 45, 47, 44</v>
      </c>
      <c r="C5648" s="5" t="str">
        <f>IFERROR(__xludf.DUMMYFUNCTION("""COMPUTED_VALUE"""),"https://drive.google.com/file/d/1YTP9iPgMN6MM0sUw1figEpp9m8mhnS5S/view?usp=drivesdk")</f>
        <v>https://drive.google.com/file/d/1YTP9iPgMN6MM0sUw1figEpp9m8mhnS5S/view?usp=drivesdk</v>
      </c>
      <c r="D5648" s="12"/>
      <c r="E5648" s="11">
        <v>5686.0</v>
      </c>
      <c r="F5648" s="2"/>
    </row>
    <row r="5649" ht="1.5" customHeight="1">
      <c r="A5649" s="4" t="str">
        <f>IFERROR(__xludf.DUMMYFUNCTION("""COMPUTED_VALUE"""),"62. Gorygreg")</f>
        <v>62. Gorygreg</v>
      </c>
      <c r="B5649" s="4" t="str">
        <f>IFERROR(__xludf.DUMMYFUNCTION("""COMPUTED_VALUE"""),"62")</f>
        <v>62</v>
      </c>
      <c r="C5649" s="5" t="str">
        <f>IFERROR(__xludf.DUMMYFUNCTION("""COMPUTED_VALUE"""),"https://drive.google.com/file/d/1FxhB8Nl4HWIlsn4psT9BYmR9BCpOpvR3/view?usp=drivesdk")</f>
        <v>https://drive.google.com/file/d/1FxhB8Nl4HWIlsn4psT9BYmR9BCpOpvR3/view?usp=drivesdk</v>
      </c>
      <c r="D5649" s="12"/>
      <c r="E5649" s="11">
        <v>5687.0</v>
      </c>
      <c r="F5649" s="2"/>
    </row>
    <row r="5650" ht="1.5" customHeight="1">
      <c r="A5650" s="4" t="str">
        <f>IFERROR(__xludf.DUMMYFUNCTION("""COMPUTED_VALUE"""),"62. Gorygreg")</f>
        <v>62. Gorygreg</v>
      </c>
      <c r="B5650" s="4" t="str">
        <f>IFERROR(__xludf.DUMMYFUNCTION("""COMPUTED_VALUE"""),"62")</f>
        <v>62</v>
      </c>
      <c r="C5650" s="5" t="str">
        <f>IFERROR(__xludf.DUMMYFUNCTION("""COMPUTED_VALUE"""),"https://drive.google.com/file/d/1JxwGGRCGSfgkWOWnFE-vAGemKPIeJor1/view?usp=drivesdk")</f>
        <v>https://drive.google.com/file/d/1JxwGGRCGSfgkWOWnFE-vAGemKPIeJor1/view?usp=drivesdk</v>
      </c>
      <c r="D5650" s="12"/>
      <c r="E5650" s="11">
        <v>5688.0</v>
      </c>
      <c r="F5650" s="2"/>
    </row>
    <row r="5651" ht="1.5" customHeight="1">
      <c r="A5651" s="4" t="str">
        <f>IFERROR(__xludf.DUMMYFUNCTION("""COMPUTED_VALUE"""),"47. Nefarious, 62. Gorygreg, 45. Boots, 58. Eden, 40. Dumpster, 39. Radar")</f>
        <v>47. Nefarious, 62. Gorygreg, 45. Boots, 58. Eden, 40. Dumpster, 39. Radar</v>
      </c>
      <c r="B5651" s="4" t="str">
        <f>IFERROR(__xludf.DUMMYFUNCTION("""COMPUTED_VALUE"""),"47, 62, 45, 58, 40, 39")</f>
        <v>47, 62, 45, 58, 40, 39</v>
      </c>
      <c r="C5651" s="5" t="str">
        <f>IFERROR(__xludf.DUMMYFUNCTION("""COMPUTED_VALUE"""),"https://drive.google.com/file/d/1Ym6UNmR-cxNE8jH3tobsiexhubthpA3t/view?usp=drivesdk")</f>
        <v>https://drive.google.com/file/d/1Ym6UNmR-cxNE8jH3tobsiexhubthpA3t/view?usp=drivesdk</v>
      </c>
      <c r="D5651" s="12"/>
      <c r="E5651" s="11">
        <v>5689.0</v>
      </c>
      <c r="F5651" s="2"/>
    </row>
    <row r="5652" ht="1.5" customHeight="1">
      <c r="A5652" s="4" t="str">
        <f>IFERROR(__xludf.DUMMYFUNCTION("""COMPUTED_VALUE"""),"62. Gorygreg, 58. Eden, 45. Boots, 40. Dumpster, 47. Nefarious, 39. Radar")</f>
        <v>62. Gorygreg, 58. Eden, 45. Boots, 40. Dumpster, 47. Nefarious, 39. Radar</v>
      </c>
      <c r="B5652" s="4" t="str">
        <f>IFERROR(__xludf.DUMMYFUNCTION("""COMPUTED_VALUE"""),"62, 58, 45, 40, 47, 39")</f>
        <v>62, 58, 45, 40, 47, 39</v>
      </c>
      <c r="C5652" s="5" t="str">
        <f>IFERROR(__xludf.DUMMYFUNCTION("""COMPUTED_VALUE"""),"https://drive.google.com/file/d/1qfliXuSZIoq9JhnUE9ImvppPms6Bh771/view?usp=drivesdk")</f>
        <v>https://drive.google.com/file/d/1qfliXuSZIoq9JhnUE9ImvppPms6Bh771/view?usp=drivesdk</v>
      </c>
      <c r="D5652" s="12"/>
      <c r="E5652" s="11">
        <v>5690.0</v>
      </c>
      <c r="F5652" s="2"/>
    </row>
    <row r="5653" ht="1.5" customHeight="1">
      <c r="A5653" s="4" t="str">
        <f>IFERROR(__xludf.DUMMYFUNCTION("""COMPUTED_VALUE"""),"47. Nefarious, 58. Eden, 45. Boots, 42. Rubber, 40. Dumpster, 62. Gorygreg")</f>
        <v>47. Nefarious, 58. Eden, 45. Boots, 42. Rubber, 40. Dumpster, 62. Gorygreg</v>
      </c>
      <c r="B5653" s="4" t="str">
        <f>IFERROR(__xludf.DUMMYFUNCTION("""COMPUTED_VALUE"""),"47, 58, 45, 42, 40, 62")</f>
        <v>47, 58, 45, 42, 40, 62</v>
      </c>
      <c r="C5653" s="5" t="str">
        <f>IFERROR(__xludf.DUMMYFUNCTION("""COMPUTED_VALUE"""),"https://drive.google.com/file/d/1ZxSHTSqvJj7N7y8dfoFNssTDFajm1Hy0/view?usp=drivesdk")</f>
        <v>https://drive.google.com/file/d/1ZxSHTSqvJj7N7y8dfoFNssTDFajm1Hy0/view?usp=drivesdk</v>
      </c>
      <c r="D5653" s="12"/>
      <c r="E5653" s="11">
        <v>5691.0</v>
      </c>
      <c r="F5653" s="2"/>
    </row>
    <row r="5654" ht="1.5" customHeight="1">
      <c r="A5654" s="4" t="str">
        <f>IFERROR(__xludf.DUMMYFUNCTION("""COMPUTED_VALUE"""),"45. Boots, 58. Eden, 62. Gorygreg, 47. Nefarious, 41. Gregory, 42. Rubber, 40. Dumpster")</f>
        <v>45. Boots, 58. Eden, 62. Gorygreg, 47. Nefarious, 41. Gregory, 42. Rubber, 40. Dumpster</v>
      </c>
      <c r="B5654" s="4" t="str">
        <f>IFERROR(__xludf.DUMMYFUNCTION("""COMPUTED_VALUE"""),"45, 58, 62, 47, 41, 42, 40")</f>
        <v>45, 58, 62, 47, 41, 42, 40</v>
      </c>
      <c r="C5654" s="5" t="str">
        <f>IFERROR(__xludf.DUMMYFUNCTION("""COMPUTED_VALUE"""),"https://drive.google.com/file/d/13Kvztt8atP9thLrF3AndbzEypVDVFDHT/view?usp=drivesdk")</f>
        <v>https://drive.google.com/file/d/13Kvztt8atP9thLrF3AndbzEypVDVFDHT/view?usp=drivesdk</v>
      </c>
      <c r="D5654" s="12"/>
      <c r="E5654" s="11">
        <v>5692.0</v>
      </c>
      <c r="F5654" s="2"/>
    </row>
    <row r="5655" ht="1.5" customHeight="1">
      <c r="A5655" s="4" t="str">
        <f>IFERROR(__xludf.DUMMYFUNCTION("""COMPUTED_VALUE"""),"39. Radar")</f>
        <v>39. Radar</v>
      </c>
      <c r="B5655" s="4" t="str">
        <f>IFERROR(__xludf.DUMMYFUNCTION("""COMPUTED_VALUE"""),"39")</f>
        <v>39</v>
      </c>
      <c r="C5655" s="5" t="str">
        <f>IFERROR(__xludf.DUMMYFUNCTION("""COMPUTED_VALUE"""),"https://drive.google.com/file/d/1lK8O3-NBWU39NgcwSS0917JeEpPVva8u/view?usp=drivesdk")</f>
        <v>https://drive.google.com/file/d/1lK8O3-NBWU39NgcwSS0917JeEpPVva8u/view?usp=drivesdk</v>
      </c>
      <c r="D5655" s="12"/>
      <c r="E5655" s="11">
        <v>5693.0</v>
      </c>
      <c r="F5655" s="2"/>
    </row>
    <row r="5656" ht="1.5" customHeight="1">
      <c r="A5656" s="4" t="str">
        <f>IFERROR(__xludf.DUMMYFUNCTION("""COMPUTED_VALUE"""),"39. Radar")</f>
        <v>39. Radar</v>
      </c>
      <c r="B5656" s="4" t="str">
        <f>IFERROR(__xludf.DUMMYFUNCTION("""COMPUTED_VALUE"""),"39")</f>
        <v>39</v>
      </c>
      <c r="C5656" s="5" t="str">
        <f>IFERROR(__xludf.DUMMYFUNCTION("""COMPUTED_VALUE"""),"https://drive.google.com/file/d/1NgDHLawEQK5147DFZIuTf2QTHVjvld3i/view?usp=drivesdk")</f>
        <v>https://drive.google.com/file/d/1NgDHLawEQK5147DFZIuTf2QTHVjvld3i/view?usp=drivesdk</v>
      </c>
      <c r="D5656" s="12"/>
      <c r="E5656" s="11">
        <v>5694.0</v>
      </c>
      <c r="F5656" s="2"/>
    </row>
    <row r="5657" ht="1.5" customHeight="1">
      <c r="A5657" s="4" t="str">
        <f>IFERROR(__xludf.DUMMYFUNCTION("""COMPUTED_VALUE"""),"39. Radar")</f>
        <v>39. Radar</v>
      </c>
      <c r="B5657" s="4" t="str">
        <f>IFERROR(__xludf.DUMMYFUNCTION("""COMPUTED_VALUE"""),"39")</f>
        <v>39</v>
      </c>
      <c r="C5657" s="5" t="str">
        <f>IFERROR(__xludf.DUMMYFUNCTION("""COMPUTED_VALUE"""),"https://drive.google.com/file/d/1lp4vChcdf8wumyvO9_oNPFwvjXsBFSKm/view?usp=drivesdk")</f>
        <v>https://drive.google.com/file/d/1lp4vChcdf8wumyvO9_oNPFwvjXsBFSKm/view?usp=drivesdk</v>
      </c>
      <c r="D5657" s="12"/>
      <c r="E5657" s="11">
        <v>5695.0</v>
      </c>
      <c r="F5657" s="2"/>
    </row>
    <row r="5658" ht="1.5" customHeight="1">
      <c r="A5658" s="4" t="str">
        <f>IFERROR(__xludf.DUMMYFUNCTION("""COMPUTED_VALUE"""),"39. Radar")</f>
        <v>39. Radar</v>
      </c>
      <c r="B5658" s="4" t="str">
        <f>IFERROR(__xludf.DUMMYFUNCTION("""COMPUTED_VALUE"""),"39")</f>
        <v>39</v>
      </c>
      <c r="C5658" s="5" t="str">
        <f>IFERROR(__xludf.DUMMYFUNCTION("""COMPUTED_VALUE"""),"https://drive.google.com/file/d/1WrxesLz3qu59rD-QAUmlShj7HrL7URVA/view?usp=drivesdk")</f>
        <v>https://drive.google.com/file/d/1WrxesLz3qu59rD-QAUmlShj7HrL7URVA/view?usp=drivesdk</v>
      </c>
      <c r="D5658" s="12"/>
      <c r="E5658" s="11">
        <v>5696.0</v>
      </c>
      <c r="F5658" s="2"/>
    </row>
    <row r="5659" ht="1.5" customHeight="1">
      <c r="A5659" s="4" t="str">
        <f>IFERROR(__xludf.DUMMYFUNCTION("""COMPUTED_VALUE"""),"45. Boots, 39. Radar")</f>
        <v>45. Boots, 39. Radar</v>
      </c>
      <c r="B5659" s="4" t="str">
        <f>IFERROR(__xludf.DUMMYFUNCTION("""COMPUTED_VALUE"""),"45, 39")</f>
        <v>45, 39</v>
      </c>
      <c r="C5659" s="5" t="str">
        <f>IFERROR(__xludf.DUMMYFUNCTION("""COMPUTED_VALUE"""),"https://drive.google.com/file/d/1hicANaPyq1eu5BXwHggTK_3HQljRtsU-/view?usp=drivesdk")</f>
        <v>https://drive.google.com/file/d/1hicANaPyq1eu5BXwHggTK_3HQljRtsU-/view?usp=drivesdk</v>
      </c>
      <c r="D5659" s="12"/>
      <c r="E5659" s="11">
        <v>5697.0</v>
      </c>
      <c r="F5659" s="2"/>
    </row>
    <row r="5660" ht="1.5" customHeight="1">
      <c r="A5660" s="4" t="str">
        <f>IFERROR(__xludf.DUMMYFUNCTION("""COMPUTED_VALUE"""),"45. Boots, 39. Radar")</f>
        <v>45. Boots, 39. Radar</v>
      </c>
      <c r="B5660" s="4" t="str">
        <f>IFERROR(__xludf.DUMMYFUNCTION("""COMPUTED_VALUE"""),"45, 39")</f>
        <v>45, 39</v>
      </c>
      <c r="C5660" s="5" t="str">
        <f>IFERROR(__xludf.DUMMYFUNCTION("""COMPUTED_VALUE"""),"https://drive.google.com/file/d/18grq4Fn4HmMhCXtD3MCNf7LFLWsno4U-/view?usp=drivesdk")</f>
        <v>https://drive.google.com/file/d/18grq4Fn4HmMhCXtD3MCNf7LFLWsno4U-/view?usp=drivesdk</v>
      </c>
      <c r="D5660" s="12"/>
      <c r="E5660" s="11">
        <v>5698.0</v>
      </c>
      <c r="F5660" s="2"/>
    </row>
    <row r="5661" ht="1.5" customHeight="1">
      <c r="A5661" s="4" t="str">
        <f>IFERROR(__xludf.DUMMYFUNCTION("""COMPUTED_VALUE"""),"45. Boots, 39. Radar")</f>
        <v>45. Boots, 39. Radar</v>
      </c>
      <c r="B5661" s="4" t="str">
        <f>IFERROR(__xludf.DUMMYFUNCTION("""COMPUTED_VALUE"""),"45, 39")</f>
        <v>45, 39</v>
      </c>
      <c r="C5661" s="5" t="str">
        <f>IFERROR(__xludf.DUMMYFUNCTION("""COMPUTED_VALUE"""),"https://drive.google.com/file/d/1Dv_32NVv7C4Ao3CX_FGJ0uenx76zoQzd/view?usp=drivesdk")</f>
        <v>https://drive.google.com/file/d/1Dv_32NVv7C4Ao3CX_FGJ0uenx76zoQzd/view?usp=drivesdk</v>
      </c>
      <c r="D5661" s="12"/>
      <c r="E5661" s="11">
        <v>5699.0</v>
      </c>
      <c r="F5661" s="2"/>
    </row>
    <row r="5662" ht="1.5" customHeight="1">
      <c r="A5662" s="4" t="str">
        <f>IFERROR(__xludf.DUMMYFUNCTION("""COMPUTED_VALUE"""),"88. Vincente, 47. Nefarious, 41. Gregory, 62. Gorygreg, 58. Eden, 38. Winston, 45. Boots")</f>
        <v>88. Vincente, 47. Nefarious, 41. Gregory, 62. Gorygreg, 58. Eden, 38. Winston, 45. Boots</v>
      </c>
      <c r="B5662" s="4" t="str">
        <f>IFERROR(__xludf.DUMMYFUNCTION("""COMPUTED_VALUE"""),"88, 47, 41, 62, 58, 38, 45")</f>
        <v>88, 47, 41, 62, 58, 38, 45</v>
      </c>
      <c r="C5662" s="5" t="str">
        <f>IFERROR(__xludf.DUMMYFUNCTION("""COMPUTED_VALUE"""),"https://drive.google.com/file/d/147kfvEVgmGlssMsFmZLMToZ8lo-4l_lq/view?usp=drivesdk")</f>
        <v>https://drive.google.com/file/d/147kfvEVgmGlssMsFmZLMToZ8lo-4l_lq/view?usp=drivesdk</v>
      </c>
      <c r="D5662" s="12"/>
      <c r="E5662" s="11">
        <v>5700.0</v>
      </c>
      <c r="F5662" s="2"/>
    </row>
    <row r="5663" ht="1.5" customHeight="1">
      <c r="A5663" s="4" t="str">
        <f>IFERROR(__xludf.DUMMYFUNCTION("""COMPUTED_VALUE"""),"47. Nefarious, 88. Vincente, 58. Eden, 41. Gregory, 62. Gorygreg, 38. Winston")</f>
        <v>47. Nefarious, 88. Vincente, 58. Eden, 41. Gregory, 62. Gorygreg, 38. Winston</v>
      </c>
      <c r="B5663" s="4" t="str">
        <f>IFERROR(__xludf.DUMMYFUNCTION("""COMPUTED_VALUE"""),"47, 88, 58, 41, 62, 38")</f>
        <v>47, 88, 58, 41, 62, 38</v>
      </c>
      <c r="C5663" s="5" t="str">
        <f>IFERROR(__xludf.DUMMYFUNCTION("""COMPUTED_VALUE"""),"https://drive.google.com/file/d/1gRwtD42OENspmmxylJeq3V-_VddxBZct/view?usp=drivesdk")</f>
        <v>https://drive.google.com/file/d/1gRwtD42OENspmmxylJeq3V-_VddxBZct/view?usp=drivesdk</v>
      </c>
      <c r="D5663" s="12"/>
      <c r="E5663" s="11">
        <v>5701.0</v>
      </c>
      <c r="F5663" s="2"/>
    </row>
    <row r="5664" ht="1.5" customHeight="1">
      <c r="A5664" s="4" t="str">
        <f>IFERROR(__xludf.DUMMYFUNCTION("""COMPUTED_VALUE"""),"12. Faye")</f>
        <v>12. Faye</v>
      </c>
      <c r="B5664" s="4" t="str">
        <f>IFERROR(__xludf.DUMMYFUNCTION("""COMPUTED_VALUE"""),"12")</f>
        <v>12</v>
      </c>
      <c r="C5664" s="5" t="str">
        <f>IFERROR(__xludf.DUMMYFUNCTION("""COMPUTED_VALUE"""),"https://drive.google.com/file/d/1JUNRaRuI7b7gtvzXxnlUHr-cUZVOLIpv/view?usp=drivesdk")</f>
        <v>https://drive.google.com/file/d/1JUNRaRuI7b7gtvzXxnlUHr-cUZVOLIpv/view?usp=drivesdk</v>
      </c>
      <c r="D5664" s="12"/>
      <c r="E5664" s="11">
        <v>5702.0</v>
      </c>
      <c r="F5664" s="2"/>
    </row>
    <row r="5665" ht="1.5" customHeight="1">
      <c r="A5665" s="4" t="str">
        <f>IFERROR(__xludf.DUMMYFUNCTION("""COMPUTED_VALUE"""),"12. Faye")</f>
        <v>12. Faye</v>
      </c>
      <c r="B5665" s="4" t="str">
        <f>IFERROR(__xludf.DUMMYFUNCTION("""COMPUTED_VALUE"""),"12")</f>
        <v>12</v>
      </c>
      <c r="C5665" s="5" t="str">
        <f>IFERROR(__xludf.DUMMYFUNCTION("""COMPUTED_VALUE"""),"https://drive.google.com/file/d/1i63qnFfe44AygEzFgVcMGHWuvOFps7dn/view?usp=drivesdk")</f>
        <v>https://drive.google.com/file/d/1i63qnFfe44AygEzFgVcMGHWuvOFps7dn/view?usp=drivesdk</v>
      </c>
      <c r="D5665" s="12"/>
      <c r="E5665" s="11">
        <v>5703.0</v>
      </c>
      <c r="F5665" s="2"/>
    </row>
    <row r="5666" ht="1.5" customHeight="1">
      <c r="A5666" s="4" t="str">
        <f>IFERROR(__xludf.DUMMYFUNCTION("""COMPUTED_VALUE"""),"12. Faye")</f>
        <v>12. Faye</v>
      </c>
      <c r="B5666" s="4" t="str">
        <f>IFERROR(__xludf.DUMMYFUNCTION("""COMPUTED_VALUE"""),"12")</f>
        <v>12</v>
      </c>
      <c r="C5666" s="5" t="str">
        <f>IFERROR(__xludf.DUMMYFUNCTION("""COMPUTED_VALUE"""),"https://drive.google.com/file/d/1PR-RMRqXGF8hhhkAW63jeuR8N7AIUm8X/view?usp=drivesdk")</f>
        <v>https://drive.google.com/file/d/1PR-RMRqXGF8hhhkAW63jeuR8N7AIUm8X/view?usp=drivesdk</v>
      </c>
      <c r="D5666" s="12"/>
      <c r="E5666" s="11">
        <v>5704.0</v>
      </c>
      <c r="F5666" s="2"/>
    </row>
    <row r="5667" ht="1.5" customHeight="1">
      <c r="A5667" s="4" t="str">
        <f>IFERROR(__xludf.DUMMYFUNCTION("""COMPUTED_VALUE"""),"12. Faye")</f>
        <v>12. Faye</v>
      </c>
      <c r="B5667" s="4" t="str">
        <f>IFERROR(__xludf.DUMMYFUNCTION("""COMPUTED_VALUE"""),"12")</f>
        <v>12</v>
      </c>
      <c r="C5667" s="5" t="str">
        <f>IFERROR(__xludf.DUMMYFUNCTION("""COMPUTED_VALUE"""),"https://drive.google.com/file/d/1AboTiyla1EfocJNDndJcmwGESORtFUFL/view?usp=drivesdk")</f>
        <v>https://drive.google.com/file/d/1AboTiyla1EfocJNDndJcmwGESORtFUFL/view?usp=drivesdk</v>
      </c>
      <c r="D5667" s="12"/>
      <c r="E5667" s="11">
        <v>5705.0</v>
      </c>
      <c r="F5667" s="2"/>
    </row>
    <row r="5668" ht="1.5" customHeight="1">
      <c r="A5668" s="4" t="str">
        <f>IFERROR(__xludf.DUMMYFUNCTION("""COMPUTED_VALUE"""),"12. Faye")</f>
        <v>12. Faye</v>
      </c>
      <c r="B5668" s="4" t="str">
        <f>IFERROR(__xludf.DUMMYFUNCTION("""COMPUTED_VALUE"""),"12")</f>
        <v>12</v>
      </c>
      <c r="C5668" s="5" t="str">
        <f>IFERROR(__xludf.DUMMYFUNCTION("""COMPUTED_VALUE"""),"https://drive.google.com/file/d/1Bs_0ZUy7iKxNfmDuJhtZrd0C5QaWjYif/view?usp=drivesdk")</f>
        <v>https://drive.google.com/file/d/1Bs_0ZUy7iKxNfmDuJhtZrd0C5QaWjYif/view?usp=drivesdk</v>
      </c>
      <c r="D5668" s="12"/>
      <c r="E5668" s="11">
        <v>5706.0</v>
      </c>
      <c r="F5668" s="2"/>
    </row>
    <row r="5669" ht="1.5" customHeight="1">
      <c r="A5669" s="4" t="str">
        <f>IFERROR(__xludf.DUMMYFUNCTION("""COMPUTED_VALUE"""),"1. Microwave")</f>
        <v>1. Microwave</v>
      </c>
      <c r="B5669" s="4" t="str">
        <f>IFERROR(__xludf.DUMMYFUNCTION("""COMPUTED_VALUE"""),"1")</f>
        <v>1</v>
      </c>
      <c r="C5669" s="5" t="str">
        <f>IFERROR(__xludf.DUMMYFUNCTION("""COMPUTED_VALUE"""),"https://drive.google.com/file/d/1BNPtHj4Xl06txPrMl6A8oc_RIE6Pxc5c/view?usp=drivesdk")</f>
        <v>https://drive.google.com/file/d/1BNPtHj4Xl06txPrMl6A8oc_RIE6Pxc5c/view?usp=drivesdk</v>
      </c>
      <c r="D5669" s="12"/>
      <c r="E5669" s="11">
        <v>5707.0</v>
      </c>
      <c r="F5669" s="2"/>
    </row>
    <row r="5670" ht="1.5" customHeight="1">
      <c r="A5670" s="4" t="str">
        <f>IFERROR(__xludf.DUMMYFUNCTION("""COMPUTED_VALUE"""),"1. Microwave")</f>
        <v>1. Microwave</v>
      </c>
      <c r="B5670" s="4" t="str">
        <f>IFERROR(__xludf.DUMMYFUNCTION("""COMPUTED_VALUE"""),"1")</f>
        <v>1</v>
      </c>
      <c r="C5670" s="5" t="str">
        <f>IFERROR(__xludf.DUMMYFUNCTION("""COMPUTED_VALUE"""),"https://drive.google.com/file/d/13r81bLG-rkuLmCOtBvKHxJezpHxpEBwG/view?usp=drivesdk")</f>
        <v>https://drive.google.com/file/d/13r81bLG-rkuLmCOtBvKHxJezpHxpEBwG/view?usp=drivesdk</v>
      </c>
      <c r="D5670" s="12"/>
      <c r="E5670" s="11">
        <v>5708.0</v>
      </c>
      <c r="F5670" s="2"/>
    </row>
    <row r="5671" ht="1.5" customHeight="1">
      <c r="A5671" s="4" t="str">
        <f>IFERROR(__xludf.DUMMYFUNCTION("""COMPUTED_VALUE"""),"0. NotACat")</f>
        <v>0. NotACat</v>
      </c>
      <c r="B5671" s="4" t="str">
        <f>IFERROR(__xludf.DUMMYFUNCTION("""COMPUTED_VALUE"""),"0")</f>
        <v>0</v>
      </c>
      <c r="C5671" s="5" t="str">
        <f>IFERROR(__xludf.DUMMYFUNCTION("""COMPUTED_VALUE"""),"https://drive.google.com/file/d/11GIIdgtLjfYVpC8E48CBPYmGs6aKHV4c/view?usp=drivesdk")</f>
        <v>https://drive.google.com/file/d/11GIIdgtLjfYVpC8E48CBPYmGs6aKHV4c/view?usp=drivesdk</v>
      </c>
      <c r="D5671" s="12"/>
      <c r="E5671" s="11">
        <v>5709.0</v>
      </c>
      <c r="F5671" s="2"/>
    </row>
    <row r="5672" ht="1.5" customHeight="1">
      <c r="A5672" s="4" t="str">
        <f>IFERROR(__xludf.DUMMYFUNCTION("""COMPUTED_VALUE"""),"62. Gorygreg")</f>
        <v>62. Gorygreg</v>
      </c>
      <c r="B5672" s="4" t="str">
        <f>IFERROR(__xludf.DUMMYFUNCTION("""COMPUTED_VALUE"""),"62")</f>
        <v>62</v>
      </c>
      <c r="C5672" s="5" t="str">
        <f>IFERROR(__xludf.DUMMYFUNCTION("""COMPUTED_VALUE"""),"https://drive.google.com/file/d/12SD2i6Kkr8klVwxwF1efxRYnq0mbd6KV/view?usp=drivesdk")</f>
        <v>https://drive.google.com/file/d/12SD2i6Kkr8klVwxwF1efxRYnq0mbd6KV/view?usp=drivesdk</v>
      </c>
      <c r="D5672" s="12"/>
      <c r="E5672" s="11">
        <v>5710.0</v>
      </c>
      <c r="F5672" s="2"/>
    </row>
    <row r="5673" ht="1.5" customHeight="1">
      <c r="A5673" s="4" t="str">
        <f>IFERROR(__xludf.DUMMYFUNCTION("""COMPUTED_VALUE"""),"1. Microwave")</f>
        <v>1. Microwave</v>
      </c>
      <c r="B5673" s="4" t="str">
        <f>IFERROR(__xludf.DUMMYFUNCTION("""COMPUTED_VALUE"""),"1")</f>
        <v>1</v>
      </c>
      <c r="C5673" s="5" t="str">
        <f>IFERROR(__xludf.DUMMYFUNCTION("""COMPUTED_VALUE"""),"https://drive.google.com/file/d/1sZNopzNJw50FZGPPN99gIbzQXFSR-U5P/view?usp=drivesdk")</f>
        <v>https://drive.google.com/file/d/1sZNopzNJw50FZGPPN99gIbzQXFSR-U5P/view?usp=drivesdk</v>
      </c>
      <c r="D5673" s="12"/>
      <c r="E5673" s="11">
        <v>5711.0</v>
      </c>
      <c r="F5673" s="2"/>
    </row>
    <row r="5674" ht="1.5" customHeight="1">
      <c r="A5674" s="4" t="str">
        <f>IFERROR(__xludf.DUMMYFUNCTION("""COMPUTED_VALUE"""),"1. Microwave")</f>
        <v>1. Microwave</v>
      </c>
      <c r="B5674" s="4" t="str">
        <f>IFERROR(__xludf.DUMMYFUNCTION("""COMPUTED_VALUE"""),"1")</f>
        <v>1</v>
      </c>
      <c r="C5674" s="5" t="str">
        <f>IFERROR(__xludf.DUMMYFUNCTION("""COMPUTED_VALUE"""),"https://drive.google.com/file/d/1sdXUQ0EQ8Yd1_BfIGjy6cbgeBZFwxtvi/view?usp=drivesdk")</f>
        <v>https://drive.google.com/file/d/1sdXUQ0EQ8Yd1_BfIGjy6cbgeBZFwxtvi/view?usp=drivesdk</v>
      </c>
      <c r="D5674" s="12"/>
      <c r="E5674" s="11">
        <v>5712.0</v>
      </c>
      <c r="F5674" s="2"/>
    </row>
    <row r="5675" ht="1.5" customHeight="1">
      <c r="A5675" s="4" t="str">
        <f>IFERROR(__xludf.DUMMYFUNCTION("""COMPUTED_VALUE"""),"1. Microwave")</f>
        <v>1. Microwave</v>
      </c>
      <c r="B5675" s="4" t="str">
        <f>IFERROR(__xludf.DUMMYFUNCTION("""COMPUTED_VALUE"""),"1")</f>
        <v>1</v>
      </c>
      <c r="C5675" s="5" t="str">
        <f>IFERROR(__xludf.DUMMYFUNCTION("""COMPUTED_VALUE"""),"https://drive.google.com/file/d/1Xj3EXx1jfqHRg3_ZTPZH7zLSKG-BDjsB/view?usp=drivesdk")</f>
        <v>https://drive.google.com/file/d/1Xj3EXx1jfqHRg3_ZTPZH7zLSKG-BDjsB/view?usp=drivesdk</v>
      </c>
      <c r="D5675" s="12"/>
      <c r="E5675" s="11">
        <v>5713.0</v>
      </c>
      <c r="F5675" s="2"/>
    </row>
    <row r="5676" ht="1.5" customHeight="1">
      <c r="A5676" s="4" t="str">
        <f>IFERROR(__xludf.DUMMYFUNCTION("""COMPUTED_VALUE"""),"1. Microwave")</f>
        <v>1. Microwave</v>
      </c>
      <c r="B5676" s="4" t="str">
        <f>IFERROR(__xludf.DUMMYFUNCTION("""COMPUTED_VALUE"""),"1")</f>
        <v>1</v>
      </c>
      <c r="C5676" s="5" t="str">
        <f>IFERROR(__xludf.DUMMYFUNCTION("""COMPUTED_VALUE"""),"https://drive.google.com/file/d/1xj9wJ1M08OmDjqCuVq2TmXNxR3LX0ac3/view?usp=drivesdk")</f>
        <v>https://drive.google.com/file/d/1xj9wJ1M08OmDjqCuVq2TmXNxR3LX0ac3/view?usp=drivesdk</v>
      </c>
      <c r="D5676" s="12"/>
      <c r="E5676" s="11">
        <v>5714.0</v>
      </c>
      <c r="F5676" s="2"/>
    </row>
    <row r="5677" ht="1.5" customHeight="1">
      <c r="A5677" s="4" t="str">
        <f>IFERROR(__xludf.DUMMYFUNCTION("""COMPUTED_VALUE"""),"0. NotACat")</f>
        <v>0. NotACat</v>
      </c>
      <c r="B5677" s="4" t="str">
        <f>IFERROR(__xludf.DUMMYFUNCTION("""COMPUTED_VALUE"""),"0")</f>
        <v>0</v>
      </c>
      <c r="C5677" s="5" t="str">
        <f>IFERROR(__xludf.DUMMYFUNCTION("""COMPUTED_VALUE"""),"https://drive.google.com/file/d/15EIdwgl_ubytkZm5E2A8ZWcF-1dXFdzc/view?usp=drivesdk")</f>
        <v>https://drive.google.com/file/d/15EIdwgl_ubytkZm5E2A8ZWcF-1dXFdzc/view?usp=drivesdk</v>
      </c>
      <c r="D5677" s="12"/>
      <c r="E5677" s="11">
        <v>5715.0</v>
      </c>
      <c r="F5677" s="2"/>
    </row>
    <row r="5678" ht="1.5" customHeight="1">
      <c r="A5678" s="4" t="str">
        <f>IFERROR(__xludf.DUMMYFUNCTION("""COMPUTED_VALUE"""),"35. Stove")</f>
        <v>35. Stove</v>
      </c>
      <c r="B5678" s="4" t="str">
        <f>IFERROR(__xludf.DUMMYFUNCTION("""COMPUTED_VALUE"""),"35")</f>
        <v>35</v>
      </c>
      <c r="C5678" s="5" t="str">
        <f>IFERROR(__xludf.DUMMYFUNCTION("""COMPUTED_VALUE"""),"https://drive.google.com/file/d/1BB_0jAQrXP9bLHBPFioMzv0JDbNxCOhN/view?usp=drivesdk")</f>
        <v>https://drive.google.com/file/d/1BB_0jAQrXP9bLHBPFioMzv0JDbNxCOhN/view?usp=drivesdk</v>
      </c>
      <c r="D5678" s="12"/>
      <c r="E5678" s="11">
        <v>5716.0</v>
      </c>
      <c r="F5678" s="2"/>
    </row>
    <row r="5679" ht="1.5" customHeight="1">
      <c r="A5679" s="4" t="str">
        <f>IFERROR(__xludf.DUMMYFUNCTION("""COMPUTED_VALUE"""),"1. Microwave")</f>
        <v>1. Microwave</v>
      </c>
      <c r="B5679" s="4" t="str">
        <f>IFERROR(__xludf.DUMMYFUNCTION("""COMPUTED_VALUE"""),"1")</f>
        <v>1</v>
      </c>
      <c r="C5679" s="5" t="str">
        <f>IFERROR(__xludf.DUMMYFUNCTION("""COMPUTED_VALUE"""),"https://drive.google.com/file/d/1jA_XecRCs8wU-O7cEwL6_wJ3GIAbbYNQ/view?usp=drivesdk")</f>
        <v>https://drive.google.com/file/d/1jA_XecRCs8wU-O7cEwL6_wJ3GIAbbYNQ/view?usp=drivesdk</v>
      </c>
      <c r="D5679" s="12"/>
      <c r="E5679" s="11">
        <v>5717.0</v>
      </c>
      <c r="F5679" s="2"/>
    </row>
    <row r="5680" ht="1.5" customHeight="1">
      <c r="A5680" s="4" t="str">
        <f>IFERROR(__xludf.DUMMYFUNCTION("""COMPUTED_VALUE"""),"87. Bandit")</f>
        <v>87. Bandit</v>
      </c>
      <c r="B5680" s="4" t="str">
        <f>IFERROR(__xludf.DUMMYFUNCTION("""COMPUTED_VALUE"""),"87")</f>
        <v>87</v>
      </c>
      <c r="C5680" s="5" t="str">
        <f>IFERROR(__xludf.DUMMYFUNCTION("""COMPUTED_VALUE"""),"https://drive.google.com/file/d/1Mv_pjnDD5MsrwhrmuLfiJ7qv7hJ4zewC/view?usp=drivesdk")</f>
        <v>https://drive.google.com/file/d/1Mv_pjnDD5MsrwhrmuLfiJ7qv7hJ4zewC/view?usp=drivesdk</v>
      </c>
      <c r="D5680" s="12"/>
      <c r="E5680" s="11">
        <v>5718.0</v>
      </c>
      <c r="F5680" s="2"/>
    </row>
    <row r="5681" ht="1.5" customHeight="1">
      <c r="A5681" s="4" t="str">
        <f>IFERROR(__xludf.DUMMYFUNCTION("""COMPUTED_VALUE"""),"106. Ami")</f>
        <v>106. Ami</v>
      </c>
      <c r="B5681" s="4" t="str">
        <f>IFERROR(__xludf.DUMMYFUNCTION("""COMPUTED_VALUE"""),"106")</f>
        <v>106</v>
      </c>
      <c r="C5681" s="5" t="str">
        <f>IFERROR(__xludf.DUMMYFUNCTION("""COMPUTED_VALUE"""),"https://drive.google.com/file/d/1XIGuJqOO57MfenS_rEnyhtuqgokw4xTZ/view?usp=drivesdk")</f>
        <v>https://drive.google.com/file/d/1XIGuJqOO57MfenS_rEnyhtuqgokw4xTZ/view?usp=drivesdk</v>
      </c>
      <c r="D5681" s="12"/>
      <c r="E5681" s="11">
        <v>5719.0</v>
      </c>
      <c r="F5681" s="2"/>
    </row>
    <row r="5682" ht="1.5" customHeight="1">
      <c r="A5682" s="4" t="str">
        <f>IFERROR(__xludf.DUMMYFUNCTION("""COMPUTED_VALUE"""),"106. Ami")</f>
        <v>106. Ami</v>
      </c>
      <c r="B5682" s="4" t="str">
        <f>IFERROR(__xludf.DUMMYFUNCTION("""COMPUTED_VALUE"""),"106")</f>
        <v>106</v>
      </c>
      <c r="C5682" s="5" t="str">
        <f>IFERROR(__xludf.DUMMYFUNCTION("""COMPUTED_VALUE"""),"https://drive.google.com/file/d/1htjMi5LShNf2UxBYXhyVCG_fFccuN8Ft/view?usp=drivesdk")</f>
        <v>https://drive.google.com/file/d/1htjMi5LShNf2UxBYXhyVCG_fFccuN8Ft/view?usp=drivesdk</v>
      </c>
      <c r="D5682" s="12"/>
      <c r="E5682" s="11">
        <v>5720.0</v>
      </c>
      <c r="F5682" s="2"/>
    </row>
    <row r="5683" ht="1.5" customHeight="1">
      <c r="A5683" s="4" t="str">
        <f>IFERROR(__xludf.DUMMYFUNCTION("""COMPUTED_VALUE"""),"110. Ahua")</f>
        <v>110. Ahua</v>
      </c>
      <c r="B5683" s="4" t="str">
        <f>IFERROR(__xludf.DUMMYFUNCTION("""COMPUTED_VALUE"""),"110")</f>
        <v>110</v>
      </c>
      <c r="C5683" s="5" t="str">
        <f>IFERROR(__xludf.DUMMYFUNCTION("""COMPUTED_VALUE"""),"https://drive.google.com/file/d/1Hex08q5JQt5bKKKCEzaw4pQ-RC_h9gWO/view?usp=drivesdk")</f>
        <v>https://drive.google.com/file/d/1Hex08q5JQt5bKKKCEzaw4pQ-RC_h9gWO/view?usp=drivesdk</v>
      </c>
      <c r="D5683" s="12"/>
      <c r="E5683" s="11">
        <v>5721.0</v>
      </c>
      <c r="F5683" s="2"/>
    </row>
    <row r="5684" ht="1.5" customHeight="1">
      <c r="A5684" s="4" t="str">
        <f>IFERROR(__xludf.DUMMYFUNCTION("""COMPUTED_VALUE"""),"94. Itztli")</f>
        <v>94. Itztli</v>
      </c>
      <c r="B5684" s="4" t="str">
        <f>IFERROR(__xludf.DUMMYFUNCTION("""COMPUTED_VALUE"""),"94")</f>
        <v>94</v>
      </c>
      <c r="C5684" s="5" t="str">
        <f>IFERROR(__xludf.DUMMYFUNCTION("""COMPUTED_VALUE"""),"https://drive.google.com/file/d/1qr57zQ-Wy8rwARRkbuVgnL2RosjikIag/view?usp=drivesdk")</f>
        <v>https://drive.google.com/file/d/1qr57zQ-Wy8rwARRkbuVgnL2RosjikIag/view?usp=drivesdk</v>
      </c>
      <c r="D5684" s="12"/>
      <c r="E5684" s="11">
        <v>5722.0</v>
      </c>
      <c r="F5684" s="2"/>
    </row>
    <row r="5685" ht="1.5" customHeight="1">
      <c r="A5685" s="4" t="str">
        <f>IFERROR(__xludf.DUMMYFUNCTION("""COMPUTED_VALUE"""),"115. Toothless")</f>
        <v>115. Toothless</v>
      </c>
      <c r="B5685" s="4" t="str">
        <f>IFERROR(__xludf.DUMMYFUNCTION("""COMPUTED_VALUE"""),"115")</f>
        <v>115</v>
      </c>
      <c r="C5685" s="5" t="str">
        <f>IFERROR(__xludf.DUMMYFUNCTION("""COMPUTED_VALUE"""),"https://drive.google.com/file/d/174CLIH0UQX7fVd73F0oWKxxwBsj7Qpg7/view?usp=drivesdk")</f>
        <v>https://drive.google.com/file/d/174CLIH0UQX7fVd73F0oWKxxwBsj7Qpg7/view?usp=drivesdk</v>
      </c>
      <c r="D5685" s="12"/>
      <c r="E5685" s="11">
        <v>5723.0</v>
      </c>
      <c r="F5685" s="2"/>
    </row>
    <row r="5686" ht="1.5" customHeight="1">
      <c r="A5686" s="4" t="str">
        <f>IFERROR(__xludf.DUMMYFUNCTION("""COMPUTED_VALUE"""),"111. Mayatl")</f>
        <v>111. Mayatl</v>
      </c>
      <c r="B5686" s="4" t="str">
        <f>IFERROR(__xludf.DUMMYFUNCTION("""COMPUTED_VALUE"""),"111")</f>
        <v>111</v>
      </c>
      <c r="C5686" s="5" t="str">
        <f>IFERROR(__xludf.DUMMYFUNCTION("""COMPUTED_VALUE"""),"https://drive.google.com/file/d/1ody7N-cYZizTlbfj1ulu5rJHQQzkB3-c/view?usp=drivesdk")</f>
        <v>https://drive.google.com/file/d/1ody7N-cYZizTlbfj1ulu5rJHQQzkB3-c/view?usp=drivesdk</v>
      </c>
      <c r="D5686" s="12"/>
      <c r="E5686" s="11">
        <v>5724.0</v>
      </c>
      <c r="F5686" s="2"/>
    </row>
    <row r="5687" ht="1.5" customHeight="1">
      <c r="A5687" s="4" t="str">
        <f>IFERROR(__xludf.DUMMYFUNCTION("""COMPUTED_VALUE"""),"111. Mayatl")</f>
        <v>111. Mayatl</v>
      </c>
      <c r="B5687" s="4" t="str">
        <f>IFERROR(__xludf.DUMMYFUNCTION("""COMPUTED_VALUE"""),"111")</f>
        <v>111</v>
      </c>
      <c r="C5687" s="5" t="str">
        <f>IFERROR(__xludf.DUMMYFUNCTION("""COMPUTED_VALUE"""),"https://drive.google.com/file/d/1cNPtx-Sj5pssMgxfipjkVX_dE7fDfsgA/view?usp=drivesdk")</f>
        <v>https://drive.google.com/file/d/1cNPtx-Sj5pssMgxfipjkVX_dE7fDfsgA/view?usp=drivesdk</v>
      </c>
      <c r="D5687" s="12"/>
      <c r="E5687" s="11">
        <v>5725.0</v>
      </c>
      <c r="F5687" s="2"/>
    </row>
    <row r="5688" ht="1.5" customHeight="1">
      <c r="A5688" s="4" t="str">
        <f>IFERROR(__xludf.DUMMYFUNCTION("""COMPUTED_VALUE"""),"115. Toothless")</f>
        <v>115. Toothless</v>
      </c>
      <c r="B5688" s="4" t="str">
        <f>IFERROR(__xludf.DUMMYFUNCTION("""COMPUTED_VALUE"""),"115")</f>
        <v>115</v>
      </c>
      <c r="C5688" s="5" t="str">
        <f>IFERROR(__xludf.DUMMYFUNCTION("""COMPUTED_VALUE"""),"https://drive.google.com/file/d/1PdjRYzXatJnBbwHgHpYtDWxPbVaDdR1Q/view?usp=drivesdk")</f>
        <v>https://drive.google.com/file/d/1PdjRYzXatJnBbwHgHpYtDWxPbVaDdR1Q/view?usp=drivesdk</v>
      </c>
      <c r="D5688" s="12"/>
      <c r="E5688" s="11">
        <v>5726.0</v>
      </c>
      <c r="F5688" s="2"/>
    </row>
    <row r="5689" ht="1.5" customHeight="1">
      <c r="A5689" s="4" t="str">
        <f>IFERROR(__xludf.DUMMYFUNCTION("""COMPUTED_VALUE"""),"110. Ahua")</f>
        <v>110. Ahua</v>
      </c>
      <c r="B5689" s="4" t="str">
        <f>IFERROR(__xludf.DUMMYFUNCTION("""COMPUTED_VALUE"""),"110")</f>
        <v>110</v>
      </c>
      <c r="C5689" s="5" t="str">
        <f>IFERROR(__xludf.DUMMYFUNCTION("""COMPUTED_VALUE"""),"https://drive.google.com/file/d/1M7-dn1mtaoRVzXXPdxe90DVrm0ZTl6hJ/view?usp=drivesdk")</f>
        <v>https://drive.google.com/file/d/1M7-dn1mtaoRVzXXPdxe90DVrm0ZTl6hJ/view?usp=drivesdk</v>
      </c>
      <c r="D5689" s="12"/>
      <c r="E5689" s="11">
        <v>5727.0</v>
      </c>
      <c r="F5689" s="2"/>
    </row>
    <row r="5690" ht="1.5" customHeight="1">
      <c r="A5690" s="4" t="str">
        <f>IFERROR(__xludf.DUMMYFUNCTION("""COMPUTED_VALUE"""),"106. Ami")</f>
        <v>106. Ami</v>
      </c>
      <c r="B5690" s="4" t="str">
        <f>IFERROR(__xludf.DUMMYFUNCTION("""COMPUTED_VALUE"""),"106")</f>
        <v>106</v>
      </c>
      <c r="C5690" s="5" t="str">
        <f>IFERROR(__xludf.DUMMYFUNCTION("""COMPUTED_VALUE"""),"https://drive.google.com/file/d/1lYwP5iaLu6Kpo3XWnJkOdnE2YM67Kt4w/view?usp=drivesdk")</f>
        <v>https://drive.google.com/file/d/1lYwP5iaLu6Kpo3XWnJkOdnE2YM67Kt4w/view?usp=drivesdk</v>
      </c>
      <c r="D5690" s="12"/>
      <c r="E5690" s="11">
        <v>5728.0</v>
      </c>
      <c r="F5690" s="2"/>
    </row>
    <row r="5691" ht="1.5" customHeight="1">
      <c r="A5691" s="4" t="str">
        <f>IFERROR(__xludf.DUMMYFUNCTION("""COMPUTED_VALUE"""),"111. Mayatl")</f>
        <v>111. Mayatl</v>
      </c>
      <c r="B5691" s="4" t="str">
        <f>IFERROR(__xludf.DUMMYFUNCTION("""COMPUTED_VALUE"""),"111")</f>
        <v>111</v>
      </c>
      <c r="C5691" s="5" t="str">
        <f>IFERROR(__xludf.DUMMYFUNCTION("""COMPUTED_VALUE"""),"https://drive.google.com/file/d/1bGLax_Dx_2JJHVeo7nYKDkOuP-S7f4MD/view?usp=drivesdk")</f>
        <v>https://drive.google.com/file/d/1bGLax_Dx_2JJHVeo7nYKDkOuP-S7f4MD/view?usp=drivesdk</v>
      </c>
      <c r="D5691" s="12"/>
      <c r="E5691" s="11">
        <v>5729.0</v>
      </c>
      <c r="F5691" s="2"/>
    </row>
    <row r="5692" ht="1.5" customHeight="1">
      <c r="A5692" s="4" t="str">
        <f>IFERROR(__xludf.DUMMYFUNCTION("""COMPUTED_VALUE"""),"111. Mayatl")</f>
        <v>111. Mayatl</v>
      </c>
      <c r="B5692" s="4" t="str">
        <f>IFERROR(__xludf.DUMMYFUNCTION("""COMPUTED_VALUE"""),"111")</f>
        <v>111</v>
      </c>
      <c r="C5692" s="5" t="str">
        <f>IFERROR(__xludf.DUMMYFUNCTION("""COMPUTED_VALUE"""),"https://drive.google.com/file/d/13uAPIbKDEmQI7YmbOUnJhpcrFz9zH9In/view?usp=drivesdk")</f>
        <v>https://drive.google.com/file/d/13uAPIbKDEmQI7YmbOUnJhpcrFz9zH9In/view?usp=drivesdk</v>
      </c>
      <c r="D5692" s="12"/>
      <c r="E5692" s="11">
        <v>5730.0</v>
      </c>
      <c r="F5692" s="2"/>
    </row>
    <row r="5693" ht="1.5" customHeight="1">
      <c r="A5693" s="4" t="str">
        <f>IFERROR(__xludf.DUMMYFUNCTION("""COMPUTED_VALUE"""),"80. Atzi")</f>
        <v>80. Atzi</v>
      </c>
      <c r="B5693" s="4" t="str">
        <f>IFERROR(__xludf.DUMMYFUNCTION("""COMPUTED_VALUE"""),"80")</f>
        <v>80</v>
      </c>
      <c r="C5693" s="5" t="str">
        <f>IFERROR(__xludf.DUMMYFUNCTION("""COMPUTED_VALUE"""),"https://drive.google.com/file/d/1iYfcsEG4hf89z5q2D5Gt2YNPcHWKMDZY/view?usp=drivesdk")</f>
        <v>https://drive.google.com/file/d/1iYfcsEG4hf89z5q2D5Gt2YNPcHWKMDZY/view?usp=drivesdk</v>
      </c>
      <c r="D5693" s="12"/>
      <c r="E5693" s="11">
        <v>5731.0</v>
      </c>
      <c r="F5693" s="2"/>
    </row>
    <row r="5694" ht="1.5" customHeight="1">
      <c r="A5694" s="4" t="str">
        <f>IFERROR(__xludf.DUMMYFUNCTION("""COMPUTED_VALUE"""),"111. Mayatl")</f>
        <v>111. Mayatl</v>
      </c>
      <c r="B5694" s="4" t="str">
        <f>IFERROR(__xludf.DUMMYFUNCTION("""COMPUTED_VALUE"""),"111")</f>
        <v>111</v>
      </c>
      <c r="C5694" s="5" t="str">
        <f>IFERROR(__xludf.DUMMYFUNCTION("""COMPUTED_VALUE"""),"https://drive.google.com/file/d/1R2TCKqzgmFjbMp6qpkX3VEI7ZdHfoqzU/view?usp=drivesdk")</f>
        <v>https://drive.google.com/file/d/1R2TCKqzgmFjbMp6qpkX3VEI7ZdHfoqzU/view?usp=drivesdk</v>
      </c>
      <c r="D5694" s="12"/>
      <c r="E5694" s="11">
        <v>5732.0</v>
      </c>
      <c r="F5694" s="2"/>
    </row>
    <row r="5695" ht="1.5" customHeight="1">
      <c r="A5695" s="4" t="str">
        <f>IFERROR(__xludf.DUMMYFUNCTION("""COMPUTED_VALUE"""),"65. Tepi")</f>
        <v>65. Tepi</v>
      </c>
      <c r="B5695" s="4" t="str">
        <f>IFERROR(__xludf.DUMMYFUNCTION("""COMPUTED_VALUE"""),"65")</f>
        <v>65</v>
      </c>
      <c r="C5695" s="5" t="str">
        <f>IFERROR(__xludf.DUMMYFUNCTION("""COMPUTED_VALUE"""),"https://drive.google.com/file/d/1gw4pFMvbfJTq2oS3vm0rijpKOjFdOCfz/view?usp=drivesdk")</f>
        <v>https://drive.google.com/file/d/1gw4pFMvbfJTq2oS3vm0rijpKOjFdOCfz/view?usp=drivesdk</v>
      </c>
      <c r="D5695" s="12"/>
      <c r="E5695" s="11">
        <v>5733.0</v>
      </c>
      <c r="F5695" s="2"/>
    </row>
    <row r="5696" ht="1.5" customHeight="1">
      <c r="A5696" s="4" t="str">
        <f>IFERROR(__xludf.DUMMYFUNCTION("""COMPUTED_VALUE"""),"115. Toothless")</f>
        <v>115. Toothless</v>
      </c>
      <c r="B5696" s="4" t="str">
        <f>IFERROR(__xludf.DUMMYFUNCTION("""COMPUTED_VALUE"""),"115")</f>
        <v>115</v>
      </c>
      <c r="C5696" s="5" t="str">
        <f>IFERROR(__xludf.DUMMYFUNCTION("""COMPUTED_VALUE"""),"https://drive.google.com/file/d/14FKhPuacRfQx3k_2bsxI48xXUu_k967E/view?usp=drivesdk")</f>
        <v>https://drive.google.com/file/d/14FKhPuacRfQx3k_2bsxI48xXUu_k967E/view?usp=drivesdk</v>
      </c>
      <c r="D5696" s="12"/>
      <c r="E5696" s="11">
        <v>5734.0</v>
      </c>
      <c r="F5696" s="2"/>
    </row>
    <row r="5697" ht="1.5" customHeight="1">
      <c r="A5697" s="4" t="str">
        <f>IFERROR(__xludf.DUMMYFUNCTION("""COMPUTED_VALUE"""),"1. Microwave")</f>
        <v>1. Microwave</v>
      </c>
      <c r="B5697" s="4" t="str">
        <f>IFERROR(__xludf.DUMMYFUNCTION("""COMPUTED_VALUE"""),"1")</f>
        <v>1</v>
      </c>
      <c r="C5697" s="5" t="str">
        <f>IFERROR(__xludf.DUMMYFUNCTION("""COMPUTED_VALUE"""),"https://drive.google.com/file/d/1xrw0f9UIBIYeWjdN-0G-peHrGByfLdlw/view?usp=drivesdk")</f>
        <v>https://drive.google.com/file/d/1xrw0f9UIBIYeWjdN-0G-peHrGByfLdlw/view?usp=drivesdk</v>
      </c>
      <c r="D5697" s="12"/>
      <c r="E5697" s="11">
        <v>5735.0</v>
      </c>
      <c r="F5697" s="2"/>
    </row>
    <row r="5698" ht="1.5" customHeight="1">
      <c r="A5698" s="4" t="str">
        <f>IFERROR(__xludf.DUMMYFUNCTION("""COMPUTED_VALUE"""),"1. Microwave")</f>
        <v>1. Microwave</v>
      </c>
      <c r="B5698" s="4" t="str">
        <f>IFERROR(__xludf.DUMMYFUNCTION("""COMPUTED_VALUE"""),"1")</f>
        <v>1</v>
      </c>
      <c r="C5698" s="5" t="str">
        <f>IFERROR(__xludf.DUMMYFUNCTION("""COMPUTED_VALUE"""),"https://drive.google.com/file/d/1brqZVn4aaUl3-fqBdn_aLReex0pU_XXf/view?usp=drivesdk")</f>
        <v>https://drive.google.com/file/d/1brqZVn4aaUl3-fqBdn_aLReex0pU_XXf/view?usp=drivesdk</v>
      </c>
      <c r="D5698" s="12"/>
      <c r="E5698" s="11">
        <v>5736.0</v>
      </c>
      <c r="F5698" s="2"/>
    </row>
    <row r="5699" ht="1.5" customHeight="1">
      <c r="A5699" s="4" t="str">
        <f>IFERROR(__xludf.DUMMYFUNCTION("""COMPUTED_VALUE"""),"115. Toothless")</f>
        <v>115. Toothless</v>
      </c>
      <c r="B5699" s="4" t="str">
        <f>IFERROR(__xludf.DUMMYFUNCTION("""COMPUTED_VALUE"""),"115")</f>
        <v>115</v>
      </c>
      <c r="C5699" s="5" t="str">
        <f>IFERROR(__xludf.DUMMYFUNCTION("""COMPUTED_VALUE"""),"https://drive.google.com/file/d/19AzwlUkxDWaNXfjE58ovPwcRrlzwokQH/view?usp=drivesdk")</f>
        <v>https://drive.google.com/file/d/19AzwlUkxDWaNXfjE58ovPwcRrlzwokQH/view?usp=drivesdk</v>
      </c>
      <c r="D5699" s="12"/>
      <c r="E5699" s="11">
        <v>5737.0</v>
      </c>
      <c r="F5699" s="2"/>
    </row>
    <row r="5700" ht="1.5" customHeight="1">
      <c r="A5700" s="4" t="str">
        <f>IFERROR(__xludf.DUMMYFUNCTION("""COMPUTED_VALUE"""),"115. Toothless")</f>
        <v>115. Toothless</v>
      </c>
      <c r="B5700" s="4" t="str">
        <f>IFERROR(__xludf.DUMMYFUNCTION("""COMPUTED_VALUE"""),"115")</f>
        <v>115</v>
      </c>
      <c r="C5700" s="5" t="str">
        <f>IFERROR(__xludf.DUMMYFUNCTION("""COMPUTED_VALUE"""),"https://drive.google.com/file/d/1L7zXTjhH-1bZymP1heMOGEV6dhpOh53k/view?usp=drivesdk")</f>
        <v>https://drive.google.com/file/d/1L7zXTjhH-1bZymP1heMOGEV6dhpOh53k/view?usp=drivesdk</v>
      </c>
      <c r="D5700" s="12"/>
      <c r="E5700" s="11">
        <v>5738.0</v>
      </c>
      <c r="F5700" s="2"/>
    </row>
    <row r="5701" ht="1.5" customHeight="1">
      <c r="A5701" s="4" t="str">
        <f>IFERROR(__xludf.DUMMYFUNCTION("""COMPUTED_VALUE"""),"1. Microwave")</f>
        <v>1. Microwave</v>
      </c>
      <c r="B5701" s="4" t="str">
        <f>IFERROR(__xludf.DUMMYFUNCTION("""COMPUTED_VALUE"""),"1")</f>
        <v>1</v>
      </c>
      <c r="C5701" s="5" t="str">
        <f>IFERROR(__xludf.DUMMYFUNCTION("""COMPUTED_VALUE"""),"https://drive.google.com/file/d/1MwOrxUAyThO6BBJdfbikIhPvMVHl10kI/view?usp=drivesdk")</f>
        <v>https://drive.google.com/file/d/1MwOrxUAyThO6BBJdfbikIhPvMVHl10kI/view?usp=drivesdk</v>
      </c>
      <c r="D5701" s="12"/>
      <c r="E5701" s="11">
        <v>5739.0</v>
      </c>
      <c r="F5701" s="2"/>
    </row>
    <row r="5702" ht="1.5" customHeight="1">
      <c r="A5702" s="4" t="str">
        <f>IFERROR(__xludf.DUMMYFUNCTION("""COMPUTED_VALUE"""),"1. Microwave")</f>
        <v>1. Microwave</v>
      </c>
      <c r="B5702" s="4" t="str">
        <f>IFERROR(__xludf.DUMMYFUNCTION("""COMPUTED_VALUE"""),"1")</f>
        <v>1</v>
      </c>
      <c r="C5702" s="5" t="str">
        <f>IFERROR(__xludf.DUMMYFUNCTION("""COMPUTED_VALUE"""),"https://drive.google.com/file/d/1aet6gvBvWeZoW6WyYVI0mGNNyPoH_ukx/view?usp=drivesdk")</f>
        <v>https://drive.google.com/file/d/1aet6gvBvWeZoW6WyYVI0mGNNyPoH_ukx/view?usp=drivesdk</v>
      </c>
      <c r="D5702" s="12"/>
      <c r="E5702" s="11">
        <v>5740.0</v>
      </c>
      <c r="F5702" s="2"/>
    </row>
    <row r="5703" ht="1.5" customHeight="1">
      <c r="A5703" s="4" t="str">
        <f>IFERROR(__xludf.DUMMYFUNCTION("""COMPUTED_VALUE"""),"1. Microwave")</f>
        <v>1. Microwave</v>
      </c>
      <c r="B5703" s="4" t="str">
        <f>IFERROR(__xludf.DUMMYFUNCTION("""COMPUTED_VALUE"""),"1")</f>
        <v>1</v>
      </c>
      <c r="C5703" s="5" t="str">
        <f>IFERROR(__xludf.DUMMYFUNCTION("""COMPUTED_VALUE"""),"https://drive.google.com/file/d/1IDqtZUsy1mzets26FXMGEFXAZiybQ6Pu/view?usp=drivesdk")</f>
        <v>https://drive.google.com/file/d/1IDqtZUsy1mzets26FXMGEFXAZiybQ6Pu/view?usp=drivesdk</v>
      </c>
      <c r="D5703" s="12"/>
      <c r="E5703" s="11">
        <v>5741.0</v>
      </c>
      <c r="F5703" s="2"/>
    </row>
    <row r="5704" ht="1.5" customHeight="1">
      <c r="A5704" s="4" t="str">
        <f>IFERROR(__xludf.DUMMYFUNCTION("""COMPUTED_VALUE"""),"115. Toothless")</f>
        <v>115. Toothless</v>
      </c>
      <c r="B5704" s="4" t="str">
        <f>IFERROR(__xludf.DUMMYFUNCTION("""COMPUTED_VALUE"""),"115")</f>
        <v>115</v>
      </c>
      <c r="C5704" s="5" t="str">
        <f>IFERROR(__xludf.DUMMYFUNCTION("""COMPUTED_VALUE"""),"https://drive.google.com/file/d/1LEfg9Hn35XwsZIBJlN5gmmF2Km5pusvk/view?usp=drivesdk")</f>
        <v>https://drive.google.com/file/d/1LEfg9Hn35XwsZIBJlN5gmmF2Km5pusvk/view?usp=drivesdk</v>
      </c>
      <c r="D5704" s="12"/>
      <c r="E5704" s="11">
        <v>5742.0</v>
      </c>
      <c r="F5704" s="2"/>
    </row>
    <row r="5705" ht="1.5" customHeight="1">
      <c r="A5705" s="4" t="str">
        <f>IFERROR(__xludf.DUMMYFUNCTION("""COMPUTED_VALUE"""),"115. Toothless")</f>
        <v>115. Toothless</v>
      </c>
      <c r="B5705" s="4" t="str">
        <f>IFERROR(__xludf.DUMMYFUNCTION("""COMPUTED_VALUE"""),"115")</f>
        <v>115</v>
      </c>
      <c r="C5705" s="5" t="str">
        <f>IFERROR(__xludf.DUMMYFUNCTION("""COMPUTED_VALUE"""),"https://drive.google.com/file/d/1ZDU5flploTBViLc_syruBhVUclmO-UwJ/view?usp=drivesdk")</f>
        <v>https://drive.google.com/file/d/1ZDU5flploTBViLc_syruBhVUclmO-UwJ/view?usp=drivesdk</v>
      </c>
      <c r="D5705" s="12"/>
      <c r="E5705" s="11">
        <v>5743.0</v>
      </c>
      <c r="F5705" s="2"/>
    </row>
    <row r="5706" ht="1.5" customHeight="1">
      <c r="A5706" s="4" t="str">
        <f>IFERROR(__xludf.DUMMYFUNCTION("""COMPUTED_VALUE"""),"115. Toothless")</f>
        <v>115. Toothless</v>
      </c>
      <c r="B5706" s="4" t="str">
        <f>IFERROR(__xludf.DUMMYFUNCTION("""COMPUTED_VALUE"""),"115")</f>
        <v>115</v>
      </c>
      <c r="C5706" s="5" t="str">
        <f>IFERROR(__xludf.DUMMYFUNCTION("""COMPUTED_VALUE"""),"https://drive.google.com/file/d/1tP76W-v-_wRJ9XuWeQThb9tShH0JfLjG/view?usp=drivesdk")</f>
        <v>https://drive.google.com/file/d/1tP76W-v-_wRJ9XuWeQThb9tShH0JfLjG/view?usp=drivesdk</v>
      </c>
      <c r="D5706" s="12"/>
      <c r="E5706" s="11">
        <v>5744.0</v>
      </c>
      <c r="F5706" s="2"/>
    </row>
    <row r="5707" ht="1.5" customHeight="1">
      <c r="A5707" s="4" t="str">
        <f>IFERROR(__xludf.DUMMYFUNCTION("""COMPUTED_VALUE"""),"2. Twix")</f>
        <v>2. Twix</v>
      </c>
      <c r="B5707" s="4" t="str">
        <f>IFERROR(__xludf.DUMMYFUNCTION("""COMPUTED_VALUE"""),"2")</f>
        <v>2</v>
      </c>
      <c r="C5707" s="5" t="str">
        <f>IFERROR(__xludf.DUMMYFUNCTION("""COMPUTED_VALUE"""),"https://drive.google.com/file/d/11pNSyxgUCRRE0XLSETxke4hlwSYKeYeE/view?usp=drivesdk")</f>
        <v>https://drive.google.com/file/d/11pNSyxgUCRRE0XLSETxke4hlwSYKeYeE/view?usp=drivesdk</v>
      </c>
      <c r="D5707" s="12"/>
      <c r="E5707" s="11">
        <v>5745.0</v>
      </c>
      <c r="F5707" s="2"/>
    </row>
    <row r="5708" ht="1.5" customHeight="1">
      <c r="A5708" s="4" t="str">
        <f>IFERROR(__xludf.DUMMYFUNCTION("""COMPUTED_VALUE"""),"4. Eggs")</f>
        <v>4. Eggs</v>
      </c>
      <c r="B5708" s="4" t="str">
        <f>IFERROR(__xludf.DUMMYFUNCTION("""COMPUTED_VALUE"""),"4")</f>
        <v>4</v>
      </c>
      <c r="C5708" s="5" t="str">
        <f>IFERROR(__xludf.DUMMYFUNCTION("""COMPUTED_VALUE"""),"https://drive.google.com/file/d/1H62vCJ5kr__6JqxpCHjwbXCNuu5AvDhb/view?usp=drivesdk")</f>
        <v>https://drive.google.com/file/d/1H62vCJ5kr__6JqxpCHjwbXCNuu5AvDhb/view?usp=drivesdk</v>
      </c>
      <c r="D5708" s="12"/>
      <c r="E5708" s="11">
        <v>5746.0</v>
      </c>
      <c r="F5708" s="2"/>
    </row>
    <row r="5709" ht="1.5" customHeight="1">
      <c r="A5709" s="4" t="str">
        <f>IFERROR(__xludf.DUMMYFUNCTION("""COMPUTED_VALUE"""),"5. Eraser")</f>
        <v>5. Eraser</v>
      </c>
      <c r="B5709" s="4" t="str">
        <f>IFERROR(__xludf.DUMMYFUNCTION("""COMPUTED_VALUE"""),"5")</f>
        <v>5</v>
      </c>
      <c r="C5709" s="5" t="str">
        <f>IFERROR(__xludf.DUMMYFUNCTION("""COMPUTED_VALUE"""),"https://drive.google.com/file/d/19HGUbcAYfSfU1ksrrxjlHTy8B35JOFRm/view?usp=drivesdk")</f>
        <v>https://drive.google.com/file/d/19HGUbcAYfSfU1ksrrxjlHTy8B35JOFRm/view?usp=drivesdk</v>
      </c>
      <c r="D5709" s="12"/>
      <c r="E5709" s="11">
        <v>5747.0</v>
      </c>
      <c r="F5709" s="2"/>
    </row>
    <row r="5710" ht="1.5" customHeight="1">
      <c r="A5710" s="4" t="str">
        <f>IFERROR(__xludf.DUMMYFUNCTION("""COMPUTED_VALUE"""),"2. Twix")</f>
        <v>2. Twix</v>
      </c>
      <c r="B5710" s="4" t="str">
        <f>IFERROR(__xludf.DUMMYFUNCTION("""COMPUTED_VALUE"""),"2")</f>
        <v>2</v>
      </c>
      <c r="C5710" s="5" t="str">
        <f>IFERROR(__xludf.DUMMYFUNCTION("""COMPUTED_VALUE"""),"https://drive.google.com/file/d/1Nyqw0z_2kmxfkzBSm8KLZ74R_ykrCFhn/view?usp=drivesdk")</f>
        <v>https://drive.google.com/file/d/1Nyqw0z_2kmxfkzBSm8KLZ74R_ykrCFhn/view?usp=drivesdk</v>
      </c>
      <c r="D5710" s="12"/>
      <c r="E5710" s="11">
        <v>5748.0</v>
      </c>
      <c r="F5710" s="2"/>
    </row>
    <row r="5711" ht="1.5" customHeight="1">
      <c r="A5711" s="4" t="str">
        <f>IFERROR(__xludf.DUMMYFUNCTION("""COMPUTED_VALUE"""),"2. Twix")</f>
        <v>2. Twix</v>
      </c>
      <c r="B5711" s="4" t="str">
        <f>IFERROR(__xludf.DUMMYFUNCTION("""COMPUTED_VALUE"""),"2")</f>
        <v>2</v>
      </c>
      <c r="C5711" s="5" t="str">
        <f>IFERROR(__xludf.DUMMYFUNCTION("""COMPUTED_VALUE"""),"https://drive.google.com/file/d/1UkXEORgsAMOpdqqZgQ30sNks7MgOd9YL/view?usp=drivesdk")</f>
        <v>https://drive.google.com/file/d/1UkXEORgsAMOpdqqZgQ30sNks7MgOd9YL/view?usp=drivesdk</v>
      </c>
      <c r="D5711" s="12"/>
      <c r="E5711" s="11">
        <v>5749.0</v>
      </c>
      <c r="F5711" s="2"/>
    </row>
    <row r="5712" ht="1.5" customHeight="1">
      <c r="A5712" s="4" t="str">
        <f>IFERROR(__xludf.DUMMYFUNCTION("""COMPUTED_VALUE"""),"1. Microwave")</f>
        <v>1. Microwave</v>
      </c>
      <c r="B5712" s="4" t="str">
        <f>IFERROR(__xludf.DUMMYFUNCTION("""COMPUTED_VALUE"""),"1")</f>
        <v>1</v>
      </c>
      <c r="C5712" s="5" t="str">
        <f>IFERROR(__xludf.DUMMYFUNCTION("""COMPUTED_VALUE"""),"https://drive.google.com/file/d/18B7yrVcqAXyyU6mHd3SVixR_NeO6XWLo/view?usp=drivesdk")</f>
        <v>https://drive.google.com/file/d/18B7yrVcqAXyyU6mHd3SVixR_NeO6XWLo/view?usp=drivesdk</v>
      </c>
      <c r="D5712" s="12"/>
      <c r="E5712" s="11">
        <v>5750.0</v>
      </c>
      <c r="F5712" s="2"/>
    </row>
    <row r="5713" ht="1.5" customHeight="1">
      <c r="A5713" s="4" t="str">
        <f>IFERROR(__xludf.DUMMYFUNCTION("""COMPUTED_VALUE"""),"1. Microwave")</f>
        <v>1. Microwave</v>
      </c>
      <c r="B5713" s="4" t="str">
        <f>IFERROR(__xludf.DUMMYFUNCTION("""COMPUTED_VALUE"""),"1")</f>
        <v>1</v>
      </c>
      <c r="C5713" s="5" t="str">
        <f>IFERROR(__xludf.DUMMYFUNCTION("""COMPUTED_VALUE"""),"https://drive.google.com/file/d/1ULOKxluoXKqfrbGg7JWmMg2sIq04DY9y/view?usp=drivesdk")</f>
        <v>https://drive.google.com/file/d/1ULOKxluoXKqfrbGg7JWmMg2sIq04DY9y/view?usp=drivesdk</v>
      </c>
      <c r="D5713" s="12"/>
      <c r="E5713" s="11">
        <v>5751.0</v>
      </c>
      <c r="F5713" s="2"/>
    </row>
    <row r="5714" ht="1.5" customHeight="1">
      <c r="A5714" s="4" t="str">
        <f>IFERROR(__xludf.DUMMYFUNCTION("""COMPUTED_VALUE"""),"1. Microwave")</f>
        <v>1. Microwave</v>
      </c>
      <c r="B5714" s="4" t="str">
        <f>IFERROR(__xludf.DUMMYFUNCTION("""COMPUTED_VALUE"""),"1")</f>
        <v>1</v>
      </c>
      <c r="C5714" s="5" t="str">
        <f>IFERROR(__xludf.DUMMYFUNCTION("""COMPUTED_VALUE"""),"https://drive.google.com/file/d/1uPWsa9TuKOP-Vk0GW-J23CP4d12-m_ln/view?usp=drivesdk")</f>
        <v>https://drive.google.com/file/d/1uPWsa9TuKOP-Vk0GW-J23CP4d12-m_ln/view?usp=drivesdk</v>
      </c>
      <c r="D5714" s="12"/>
      <c r="E5714" s="11">
        <v>5752.0</v>
      </c>
      <c r="F5714" s="2"/>
    </row>
    <row r="5715" ht="1.5" customHeight="1">
      <c r="A5715" s="4" t="str">
        <f>IFERROR(__xludf.DUMMYFUNCTION("""COMPUTED_VALUE"""),"1. Microwave")</f>
        <v>1. Microwave</v>
      </c>
      <c r="B5715" s="4" t="str">
        <f>IFERROR(__xludf.DUMMYFUNCTION("""COMPUTED_VALUE"""),"1")</f>
        <v>1</v>
      </c>
      <c r="C5715" s="5" t="str">
        <f>IFERROR(__xludf.DUMMYFUNCTION("""COMPUTED_VALUE"""),"https://drive.google.com/file/d/1MvoOe2M92q-jYgxIGj2scgMIa3DuoLSI/view?usp=drivesdk")</f>
        <v>https://drive.google.com/file/d/1MvoOe2M92q-jYgxIGj2scgMIa3DuoLSI/view?usp=drivesdk</v>
      </c>
      <c r="D5715" s="12"/>
      <c r="E5715" s="11">
        <v>5753.0</v>
      </c>
      <c r="F5715" s="2"/>
    </row>
    <row r="5716" ht="1.5" customHeight="1">
      <c r="A5716" s="4" t="str">
        <f>IFERROR(__xludf.DUMMYFUNCTION("""COMPUTED_VALUE"""),"1. Microwave")</f>
        <v>1. Microwave</v>
      </c>
      <c r="B5716" s="4" t="str">
        <f>IFERROR(__xludf.DUMMYFUNCTION("""COMPUTED_VALUE"""),"1")</f>
        <v>1</v>
      </c>
      <c r="C5716" s="5" t="str">
        <f>IFERROR(__xludf.DUMMYFUNCTION("""COMPUTED_VALUE"""),"https://drive.google.com/file/d/1WnbFOhypeI97XRc1oKJ0u7ZlMyvmdJPe/view?usp=drivesdk")</f>
        <v>https://drive.google.com/file/d/1WnbFOhypeI97XRc1oKJ0u7ZlMyvmdJPe/view?usp=drivesdk</v>
      </c>
      <c r="D5716" s="12"/>
      <c r="E5716" s="11">
        <v>5754.0</v>
      </c>
      <c r="F5716" s="2"/>
    </row>
    <row r="5717" ht="1.5" customHeight="1">
      <c r="A5717" s="4" t="str">
        <f>IFERROR(__xludf.DUMMYFUNCTION("""COMPUTED_VALUE"""),"1. Microwave")</f>
        <v>1. Microwave</v>
      </c>
      <c r="B5717" s="4" t="str">
        <f>IFERROR(__xludf.DUMMYFUNCTION("""COMPUTED_VALUE"""),"1")</f>
        <v>1</v>
      </c>
      <c r="C5717" s="5" t="str">
        <f>IFERROR(__xludf.DUMMYFUNCTION("""COMPUTED_VALUE"""),"https://drive.google.com/file/d/1CXxdHeYL-hBCTOFKmryUG-SuuDx_P0e6/view?usp=drivesdk")</f>
        <v>https://drive.google.com/file/d/1CXxdHeYL-hBCTOFKmryUG-SuuDx_P0e6/view?usp=drivesdk</v>
      </c>
      <c r="D5717" s="12"/>
      <c r="E5717" s="11">
        <v>5755.0</v>
      </c>
      <c r="F5717" s="2"/>
    </row>
    <row r="5718" ht="1.5" customHeight="1">
      <c r="A5718" s="4" t="str">
        <f>IFERROR(__xludf.DUMMYFUNCTION("""COMPUTED_VALUE"""),"1. Microwave")</f>
        <v>1. Microwave</v>
      </c>
      <c r="B5718" s="4" t="str">
        <f>IFERROR(__xludf.DUMMYFUNCTION("""COMPUTED_VALUE"""),"1")</f>
        <v>1</v>
      </c>
      <c r="C5718" s="5" t="str">
        <f>IFERROR(__xludf.DUMMYFUNCTION("""COMPUTED_VALUE"""),"https://drive.google.com/file/d/1q9jjhVushKn0XoqFjUz1DVi8Ossf7z-q/view?usp=drivesdk")</f>
        <v>https://drive.google.com/file/d/1q9jjhVushKn0XoqFjUz1DVi8Ossf7z-q/view?usp=drivesdk</v>
      </c>
      <c r="D5718" s="12"/>
      <c r="E5718" s="11">
        <v>5756.0</v>
      </c>
      <c r="F5718" s="2"/>
    </row>
    <row r="5719" ht="1.5" customHeight="1">
      <c r="A5719" s="4" t="str">
        <f>IFERROR(__xludf.DUMMYFUNCTION("""COMPUTED_VALUE"""),"2. Twix")</f>
        <v>2. Twix</v>
      </c>
      <c r="B5719" s="4" t="str">
        <f>IFERROR(__xludf.DUMMYFUNCTION("""COMPUTED_VALUE"""),"2")</f>
        <v>2</v>
      </c>
      <c r="C5719" s="5" t="str">
        <f>IFERROR(__xludf.DUMMYFUNCTION("""COMPUTED_VALUE"""),"https://drive.google.com/file/d/1UYnQV0NHMcMu8X75I-Hhr-JpGP_oq-ZZ/view?usp=drivesdk")</f>
        <v>https://drive.google.com/file/d/1UYnQV0NHMcMu8X75I-Hhr-JpGP_oq-ZZ/view?usp=drivesdk</v>
      </c>
      <c r="D5719" s="12"/>
      <c r="E5719" s="11">
        <v>5757.0</v>
      </c>
      <c r="F5719" s="2"/>
    </row>
    <row r="5720" ht="1.5" customHeight="1">
      <c r="A5720" s="4" t="str">
        <f>IFERROR(__xludf.DUMMYFUNCTION("""COMPUTED_VALUE"""),"1. Microwave")</f>
        <v>1. Microwave</v>
      </c>
      <c r="B5720" s="4" t="str">
        <f>IFERROR(__xludf.DUMMYFUNCTION("""COMPUTED_VALUE"""),"1")</f>
        <v>1</v>
      </c>
      <c r="C5720" s="5" t="str">
        <f>IFERROR(__xludf.DUMMYFUNCTION("""COMPUTED_VALUE"""),"https://drive.google.com/file/d/1_WV4VpIWc--yoqkQ4C7UuLm60LdKdnhQ/view?usp=drivesdk")</f>
        <v>https://drive.google.com/file/d/1_WV4VpIWc--yoqkQ4C7UuLm60LdKdnhQ/view?usp=drivesdk</v>
      </c>
      <c r="D5720" s="12"/>
      <c r="E5720" s="11">
        <v>5758.0</v>
      </c>
      <c r="F5720" s="2"/>
    </row>
    <row r="5721" ht="1.5" customHeight="1">
      <c r="A5721" s="4" t="str">
        <f>IFERROR(__xludf.DUMMYFUNCTION("""COMPUTED_VALUE"""),"89. Petal")</f>
        <v>89. Petal</v>
      </c>
      <c r="B5721" s="4" t="str">
        <f>IFERROR(__xludf.DUMMYFUNCTION("""COMPUTED_VALUE"""),"89")</f>
        <v>89</v>
      </c>
      <c r="C5721" s="5" t="str">
        <f>IFERROR(__xludf.DUMMYFUNCTION("""COMPUTED_VALUE"""),"https://drive.google.com/file/d/1vLcLtAS_d1-8WcsRnH8lGW2svMvAOiS8/view?usp=drivesdk")</f>
        <v>https://drive.google.com/file/d/1vLcLtAS_d1-8WcsRnH8lGW2svMvAOiS8/view?usp=drivesdk</v>
      </c>
      <c r="D5721" s="12"/>
      <c r="E5721" s="11">
        <v>5759.0</v>
      </c>
      <c r="F5721" s="2"/>
    </row>
    <row r="5722" ht="1.5" customHeight="1">
      <c r="A5722" s="4" t="str">
        <f>IFERROR(__xludf.DUMMYFUNCTION("""COMPUTED_VALUE"""),"89. Petal")</f>
        <v>89. Petal</v>
      </c>
      <c r="B5722" s="4" t="str">
        <f>IFERROR(__xludf.DUMMYFUNCTION("""COMPUTED_VALUE"""),"89")</f>
        <v>89</v>
      </c>
      <c r="C5722" s="5" t="str">
        <f>IFERROR(__xludf.DUMMYFUNCTION("""COMPUTED_VALUE"""),"https://drive.google.com/file/d/12Xaf9-Y-t2lOiAxOVXSoF-PdBN6nOH30/view?usp=drivesdk")</f>
        <v>https://drive.google.com/file/d/12Xaf9-Y-t2lOiAxOVXSoF-PdBN6nOH30/view?usp=drivesdk</v>
      </c>
      <c r="D5722" s="12"/>
      <c r="E5722" s="11">
        <v>5760.0</v>
      </c>
      <c r="F5722" s="2"/>
    </row>
    <row r="5723" ht="1.5" customHeight="1">
      <c r="A5723" s="4" t="str">
        <f>IFERROR(__xludf.DUMMYFUNCTION("""COMPUTED_VALUE"""),"90. Chimichanga")</f>
        <v>90. Chimichanga</v>
      </c>
      <c r="B5723" s="4" t="str">
        <f>IFERROR(__xludf.DUMMYFUNCTION("""COMPUTED_VALUE"""),"90")</f>
        <v>90</v>
      </c>
      <c r="C5723" s="5" t="str">
        <f>IFERROR(__xludf.DUMMYFUNCTION("""COMPUTED_VALUE"""),"https://drive.google.com/file/d/1VCJPoVqc8uPqKxmGXv3G3JDgbEuonHfo/view?usp=drivesdk")</f>
        <v>https://drive.google.com/file/d/1VCJPoVqc8uPqKxmGXv3G3JDgbEuonHfo/view?usp=drivesdk</v>
      </c>
      <c r="D5723" s="12"/>
      <c r="E5723" s="11">
        <v>5761.0</v>
      </c>
      <c r="F5723" s="2"/>
    </row>
    <row r="5724" ht="1.5" customHeight="1">
      <c r="A5724" s="4" t="str">
        <f>IFERROR(__xludf.DUMMYFUNCTION("""COMPUTED_VALUE"""),"90. Chimichanga")</f>
        <v>90. Chimichanga</v>
      </c>
      <c r="B5724" s="4" t="str">
        <f>IFERROR(__xludf.DUMMYFUNCTION("""COMPUTED_VALUE"""),"90")</f>
        <v>90</v>
      </c>
      <c r="C5724" s="5" t="str">
        <f>IFERROR(__xludf.DUMMYFUNCTION("""COMPUTED_VALUE"""),"https://drive.google.com/file/d/1pC0y5puK_2YOxSbcXDbu8M4oHwdgfM2y/view?usp=drivesdk")</f>
        <v>https://drive.google.com/file/d/1pC0y5puK_2YOxSbcXDbu8M4oHwdgfM2y/view?usp=drivesdk</v>
      </c>
      <c r="D5724" s="12"/>
      <c r="E5724" s="11">
        <v>5762.0</v>
      </c>
      <c r="F5724" s="2"/>
    </row>
    <row r="5725" ht="1.5" customHeight="1">
      <c r="A5725" s="4" t="str">
        <f>IFERROR(__xludf.DUMMYFUNCTION("""COMPUTED_VALUE"""),"89. Petal")</f>
        <v>89. Petal</v>
      </c>
      <c r="B5725" s="4" t="str">
        <f>IFERROR(__xludf.DUMMYFUNCTION("""COMPUTED_VALUE"""),"89")</f>
        <v>89</v>
      </c>
      <c r="C5725" s="5" t="str">
        <f>IFERROR(__xludf.DUMMYFUNCTION("""COMPUTED_VALUE"""),"https://drive.google.com/file/d/1SHpV6Dkk6XuEmJsEWzLFe0krjOC5QvLP/view?usp=drivesdk")</f>
        <v>https://drive.google.com/file/d/1SHpV6Dkk6XuEmJsEWzLFe0krjOC5QvLP/view?usp=drivesdk</v>
      </c>
      <c r="D5725" s="12"/>
      <c r="E5725" s="11">
        <v>5763.0</v>
      </c>
      <c r="F5725" s="2"/>
    </row>
    <row r="5726" ht="1.5" customHeight="1">
      <c r="A5726" s="4" t="str">
        <f>IFERROR(__xludf.DUMMYFUNCTION("""COMPUTED_VALUE"""),"89. Petal")</f>
        <v>89. Petal</v>
      </c>
      <c r="B5726" s="4" t="str">
        <f>IFERROR(__xludf.DUMMYFUNCTION("""COMPUTED_VALUE"""),"89")</f>
        <v>89</v>
      </c>
      <c r="C5726" s="5" t="str">
        <f>IFERROR(__xludf.DUMMYFUNCTION("""COMPUTED_VALUE"""),"https://drive.google.com/file/d/1GT6BQ8ZQXLnKVpnddBTxCi3nm5xJEwig/view?usp=drivesdk")</f>
        <v>https://drive.google.com/file/d/1GT6BQ8ZQXLnKVpnddBTxCi3nm5xJEwig/view?usp=drivesdk</v>
      </c>
      <c r="D5726" s="12"/>
      <c r="E5726" s="11">
        <v>5764.0</v>
      </c>
      <c r="F5726" s="2"/>
    </row>
    <row r="5727" ht="1.5" customHeight="1">
      <c r="A5727" s="4" t="str">
        <f>IFERROR(__xludf.DUMMYFUNCTION("""COMPUTED_VALUE"""),"90. Chimichanga")</f>
        <v>90. Chimichanga</v>
      </c>
      <c r="B5727" s="4" t="str">
        <f>IFERROR(__xludf.DUMMYFUNCTION("""COMPUTED_VALUE"""),"90")</f>
        <v>90</v>
      </c>
      <c r="C5727" s="5" t="str">
        <f>IFERROR(__xludf.DUMMYFUNCTION("""COMPUTED_VALUE"""),"https://drive.google.com/file/d/1pY9QQ-Ih9Of12Lq2w47xfXF28MTG_8oz/view?usp=drivesdk")</f>
        <v>https://drive.google.com/file/d/1pY9QQ-Ih9Of12Lq2w47xfXF28MTG_8oz/view?usp=drivesdk</v>
      </c>
      <c r="D5727" s="12"/>
      <c r="E5727" s="11">
        <v>5765.0</v>
      </c>
      <c r="F5727" s="2"/>
    </row>
    <row r="5728" ht="1.5" customHeight="1">
      <c r="A5728" s="4" t="str">
        <f>IFERROR(__xludf.DUMMYFUNCTION("""COMPUTED_VALUE"""),"89. Petal")</f>
        <v>89. Petal</v>
      </c>
      <c r="B5728" s="4" t="str">
        <f>IFERROR(__xludf.DUMMYFUNCTION("""COMPUTED_VALUE"""),"89")</f>
        <v>89</v>
      </c>
      <c r="C5728" s="5" t="str">
        <f>IFERROR(__xludf.DUMMYFUNCTION("""COMPUTED_VALUE"""),"https://drive.google.com/file/d/1EqV9ZsCCfimGeRVsEG1pBmPRRFFfgkGE/view?usp=drivesdk")</f>
        <v>https://drive.google.com/file/d/1EqV9ZsCCfimGeRVsEG1pBmPRRFFfgkGE/view?usp=drivesdk</v>
      </c>
      <c r="D5728" s="12"/>
      <c r="E5728" s="11">
        <v>5766.0</v>
      </c>
      <c r="F5728" s="2"/>
    </row>
    <row r="5729" ht="1.5" customHeight="1">
      <c r="A5729" s="4" t="str">
        <f>IFERROR(__xludf.DUMMYFUNCTION("""COMPUTED_VALUE"""),"89. Petal")</f>
        <v>89. Petal</v>
      </c>
      <c r="B5729" s="4" t="str">
        <f>IFERROR(__xludf.DUMMYFUNCTION("""COMPUTED_VALUE"""),"89")</f>
        <v>89</v>
      </c>
      <c r="C5729" s="5" t="str">
        <f>IFERROR(__xludf.DUMMYFUNCTION("""COMPUTED_VALUE"""),"https://drive.google.com/file/d/1wBIOnJUF87RKynPW2Jb-L1cWNBxEvZea/view?usp=drivesdk")</f>
        <v>https://drive.google.com/file/d/1wBIOnJUF87RKynPW2Jb-L1cWNBxEvZea/view?usp=drivesdk</v>
      </c>
      <c r="D5729" s="12"/>
      <c r="E5729" s="11">
        <v>5767.0</v>
      </c>
      <c r="F5729" s="2"/>
    </row>
    <row r="5730" ht="1.5" customHeight="1">
      <c r="A5730" s="4" t="str">
        <f>IFERROR(__xludf.DUMMYFUNCTION("""COMPUTED_VALUE"""),"89. Petal")</f>
        <v>89. Petal</v>
      </c>
      <c r="B5730" s="4" t="str">
        <f>IFERROR(__xludf.DUMMYFUNCTION("""COMPUTED_VALUE"""),"89")</f>
        <v>89</v>
      </c>
      <c r="C5730" s="5" t="str">
        <f>IFERROR(__xludf.DUMMYFUNCTION("""COMPUTED_VALUE"""),"https://drive.google.com/file/d/1JRf0v4OTgep1q7TBrCSj4SXJa5otx0gV/view?usp=drivesdk")</f>
        <v>https://drive.google.com/file/d/1JRf0v4OTgep1q7TBrCSj4SXJa5otx0gV/view?usp=drivesdk</v>
      </c>
      <c r="D5730" s="12"/>
      <c r="E5730" s="11">
        <v>5768.0</v>
      </c>
      <c r="F5730" s="2"/>
    </row>
    <row r="5731" ht="1.5" customHeight="1">
      <c r="A5731" s="4" t="str">
        <f>IFERROR(__xludf.DUMMYFUNCTION("""COMPUTED_VALUE"""),"0. NotACat")</f>
        <v>0. NotACat</v>
      </c>
      <c r="B5731" s="4" t="str">
        <f>IFERROR(__xludf.DUMMYFUNCTION("""COMPUTED_VALUE"""),"0")</f>
        <v>0</v>
      </c>
      <c r="C5731" s="5" t="str">
        <f>IFERROR(__xludf.DUMMYFUNCTION("""COMPUTED_VALUE"""),"https://drive.google.com/file/d/1gxYk3tiT3z-gka7sQ808MCIoh-PZPXzx/view?usp=drivesdk")</f>
        <v>https://drive.google.com/file/d/1gxYk3tiT3z-gka7sQ808MCIoh-PZPXzx/view?usp=drivesdk</v>
      </c>
      <c r="D5731" s="12"/>
      <c r="E5731" s="11">
        <v>5769.0</v>
      </c>
      <c r="F5731" s="2"/>
    </row>
    <row r="5732" ht="1.5" customHeight="1">
      <c r="A5732" s="4" t="str">
        <f>IFERROR(__xludf.DUMMYFUNCTION("""COMPUTED_VALUE"""),"1. Microwave")</f>
        <v>1. Microwave</v>
      </c>
      <c r="B5732" s="4" t="str">
        <f>IFERROR(__xludf.DUMMYFUNCTION("""COMPUTED_VALUE"""),"1")</f>
        <v>1</v>
      </c>
      <c r="C5732" s="5" t="str">
        <f>IFERROR(__xludf.DUMMYFUNCTION("""COMPUTED_VALUE"""),"https://drive.google.com/file/d/1hJQwQxmHLYXZox8JjP9GgD9LUr607Yf-/view?usp=drivesdk")</f>
        <v>https://drive.google.com/file/d/1hJQwQxmHLYXZox8JjP9GgD9LUr607Yf-/view?usp=drivesdk</v>
      </c>
      <c r="D5732" s="12"/>
      <c r="E5732" s="11">
        <v>5770.0</v>
      </c>
      <c r="F5732" s="2"/>
    </row>
    <row r="5733" ht="1.5" customHeight="1">
      <c r="A5733" s="4" t="str">
        <f>IFERROR(__xludf.DUMMYFUNCTION("""COMPUTED_VALUE"""),"1. Microwave")</f>
        <v>1. Microwave</v>
      </c>
      <c r="B5733" s="4" t="str">
        <f>IFERROR(__xludf.DUMMYFUNCTION("""COMPUTED_VALUE"""),"1")</f>
        <v>1</v>
      </c>
      <c r="C5733" s="5" t="str">
        <f>IFERROR(__xludf.DUMMYFUNCTION("""COMPUTED_VALUE"""),"https://drive.google.com/file/d/1BJVgoLXkAsAK1KHixMFsPIczBr3Y_IzO/view?usp=drivesdk")</f>
        <v>https://drive.google.com/file/d/1BJVgoLXkAsAK1KHixMFsPIczBr3Y_IzO/view?usp=drivesdk</v>
      </c>
      <c r="D5733" s="12"/>
      <c r="E5733" s="11">
        <v>5771.0</v>
      </c>
      <c r="F5733" s="2"/>
    </row>
    <row r="5734" ht="1.5" customHeight="1">
      <c r="A5734" s="4" t="str">
        <f>IFERROR(__xludf.DUMMYFUNCTION("""COMPUTED_VALUE"""),"0. NotACat")</f>
        <v>0. NotACat</v>
      </c>
      <c r="B5734" s="4" t="str">
        <f>IFERROR(__xludf.DUMMYFUNCTION("""COMPUTED_VALUE"""),"0")</f>
        <v>0</v>
      </c>
      <c r="C5734" s="5" t="str">
        <f>IFERROR(__xludf.DUMMYFUNCTION("""COMPUTED_VALUE"""),"https://drive.google.com/file/d/1uOSsPQZdERN1Pfq1S52qQTefEPG3aRxS/view?usp=drivesdk")</f>
        <v>https://drive.google.com/file/d/1uOSsPQZdERN1Pfq1S52qQTefEPG3aRxS/view?usp=drivesdk</v>
      </c>
      <c r="D5734" s="12"/>
      <c r="E5734" s="11">
        <v>5772.0</v>
      </c>
      <c r="F5734" s="2"/>
    </row>
    <row r="5735" ht="1.5" customHeight="1">
      <c r="A5735" s="4" t="str">
        <f>IFERROR(__xludf.DUMMYFUNCTION("""COMPUTED_VALUE"""),"1. Microwave")</f>
        <v>1. Microwave</v>
      </c>
      <c r="B5735" s="4" t="str">
        <f>IFERROR(__xludf.DUMMYFUNCTION("""COMPUTED_VALUE"""),"1")</f>
        <v>1</v>
      </c>
      <c r="C5735" s="5" t="str">
        <f>IFERROR(__xludf.DUMMYFUNCTION("""COMPUTED_VALUE"""),"https://drive.google.com/file/d/1EHStJRjIgMzs3ocbvClBQ6IKdAXZMdle/view?usp=drivesdk")</f>
        <v>https://drive.google.com/file/d/1EHStJRjIgMzs3ocbvClBQ6IKdAXZMdle/view?usp=drivesdk</v>
      </c>
      <c r="D5735" s="12"/>
      <c r="E5735" s="11">
        <v>5773.0</v>
      </c>
      <c r="F5735" s="2"/>
    </row>
    <row r="5736" ht="1.5" customHeight="1">
      <c r="A5736" s="4" t="str">
        <f>IFERROR(__xludf.DUMMYFUNCTION("""COMPUTED_VALUE"""),"1. Microwave")</f>
        <v>1. Microwave</v>
      </c>
      <c r="B5736" s="4" t="str">
        <f>IFERROR(__xludf.DUMMYFUNCTION("""COMPUTED_VALUE"""),"1")</f>
        <v>1</v>
      </c>
      <c r="C5736" s="5" t="str">
        <f>IFERROR(__xludf.DUMMYFUNCTION("""COMPUTED_VALUE"""),"https://drive.google.com/file/d/1xvQq7Rcpb3anhQQ-YKWzD37zjWMSz8m5/view?usp=drivesdk")</f>
        <v>https://drive.google.com/file/d/1xvQq7Rcpb3anhQQ-YKWzD37zjWMSz8m5/view?usp=drivesdk</v>
      </c>
      <c r="D5736" s="12"/>
      <c r="E5736" s="11">
        <v>5774.0</v>
      </c>
      <c r="F5736" s="2"/>
    </row>
    <row r="5737" ht="1.5" customHeight="1">
      <c r="A5737" s="4" t="str">
        <f>IFERROR(__xludf.DUMMYFUNCTION("""COMPUTED_VALUE"""),"1. Microwave")</f>
        <v>1. Microwave</v>
      </c>
      <c r="B5737" s="4" t="str">
        <f>IFERROR(__xludf.DUMMYFUNCTION("""COMPUTED_VALUE"""),"1")</f>
        <v>1</v>
      </c>
      <c r="C5737" s="5" t="str">
        <f>IFERROR(__xludf.DUMMYFUNCTION("""COMPUTED_VALUE"""),"https://drive.google.com/file/d/1Mf7_nK3DnlomxEgyuWe1yJ3HB47kej7n/view?usp=drivesdk")</f>
        <v>https://drive.google.com/file/d/1Mf7_nK3DnlomxEgyuWe1yJ3HB47kej7n/view?usp=drivesdk</v>
      </c>
      <c r="D5737" s="12"/>
      <c r="E5737" s="11">
        <v>5775.0</v>
      </c>
      <c r="F5737" s="2"/>
    </row>
    <row r="5738" ht="1.5" customHeight="1">
      <c r="A5738" s="4" t="str">
        <f>IFERROR(__xludf.DUMMYFUNCTION("""COMPUTED_VALUE"""),"1. Microwave")</f>
        <v>1. Microwave</v>
      </c>
      <c r="B5738" s="4" t="str">
        <f>IFERROR(__xludf.DUMMYFUNCTION("""COMPUTED_VALUE"""),"1")</f>
        <v>1</v>
      </c>
      <c r="C5738" s="5" t="str">
        <f>IFERROR(__xludf.DUMMYFUNCTION("""COMPUTED_VALUE"""),"https://drive.google.com/file/d/1qmXZx-IyIEv4R-yR_wpKirdjHLbZKGY7/view?usp=drivesdk")</f>
        <v>https://drive.google.com/file/d/1qmXZx-IyIEv4R-yR_wpKirdjHLbZKGY7/view?usp=drivesdk</v>
      </c>
      <c r="D5738" s="12"/>
      <c r="E5738" s="11">
        <v>5776.0</v>
      </c>
      <c r="F5738" s="2"/>
    </row>
    <row r="5739" ht="1.5" customHeight="1">
      <c r="A5739" s="4" t="str">
        <f>IFERROR(__xludf.DUMMYFUNCTION("""COMPUTED_VALUE"""),"1. Microwave")</f>
        <v>1. Microwave</v>
      </c>
      <c r="B5739" s="4" t="str">
        <f>IFERROR(__xludf.DUMMYFUNCTION("""COMPUTED_VALUE"""),"1")</f>
        <v>1</v>
      </c>
      <c r="C5739" s="5" t="str">
        <f>IFERROR(__xludf.DUMMYFUNCTION("""COMPUTED_VALUE"""),"https://drive.google.com/file/d/1-n07lVCfJpgtkHxLwOt4VqtM_bDhdvNr/view?usp=drivesdk")</f>
        <v>https://drive.google.com/file/d/1-n07lVCfJpgtkHxLwOt4VqtM_bDhdvNr/view?usp=drivesdk</v>
      </c>
      <c r="D5739" s="12"/>
      <c r="E5739" s="11">
        <v>5777.0</v>
      </c>
      <c r="F5739" s="2"/>
    </row>
    <row r="5740" ht="1.5" customHeight="1">
      <c r="A5740" s="4" t="str">
        <f>IFERROR(__xludf.DUMMYFUNCTION("""COMPUTED_VALUE"""),"1. Microwave")</f>
        <v>1. Microwave</v>
      </c>
      <c r="B5740" s="4" t="str">
        <f>IFERROR(__xludf.DUMMYFUNCTION("""COMPUTED_VALUE"""),"1")</f>
        <v>1</v>
      </c>
      <c r="C5740" s="5" t="str">
        <f>IFERROR(__xludf.DUMMYFUNCTION("""COMPUTED_VALUE"""),"https://drive.google.com/file/d/1qBewLcDHAZFNRAr8pHr8O82KujM-30vw/view?usp=drivesdk")</f>
        <v>https://drive.google.com/file/d/1qBewLcDHAZFNRAr8pHr8O82KujM-30vw/view?usp=drivesdk</v>
      </c>
      <c r="D5740" s="12"/>
      <c r="E5740" s="11">
        <v>5778.0</v>
      </c>
      <c r="F5740" s="2"/>
    </row>
    <row r="5741" ht="1.5" customHeight="1">
      <c r="A5741" s="4" t="str">
        <f>IFERROR(__xludf.DUMMYFUNCTION("""COMPUTED_VALUE"""),"1. Microwave")</f>
        <v>1. Microwave</v>
      </c>
      <c r="B5741" s="4" t="str">
        <f>IFERROR(__xludf.DUMMYFUNCTION("""COMPUTED_VALUE"""),"1")</f>
        <v>1</v>
      </c>
      <c r="C5741" s="5" t="str">
        <f>IFERROR(__xludf.DUMMYFUNCTION("""COMPUTED_VALUE"""),"https://drive.google.com/file/d/10SLMprfN9laxU_Q6dBcfnC1H_Cl98R5C/view?usp=drivesdk")</f>
        <v>https://drive.google.com/file/d/10SLMprfN9laxU_Q6dBcfnC1H_Cl98R5C/view?usp=drivesdk</v>
      </c>
      <c r="D5741" s="12"/>
      <c r="E5741" s="11">
        <v>5779.0</v>
      </c>
      <c r="F5741" s="2"/>
    </row>
    <row r="5742" ht="1.5" customHeight="1">
      <c r="A5742" s="4" t="str">
        <f>IFERROR(__xludf.DUMMYFUNCTION("""COMPUTED_VALUE"""),"1. Microwave")</f>
        <v>1. Microwave</v>
      </c>
      <c r="B5742" s="4" t="str">
        <f>IFERROR(__xludf.DUMMYFUNCTION("""COMPUTED_VALUE"""),"1")</f>
        <v>1</v>
      </c>
      <c r="C5742" s="5" t="str">
        <f>IFERROR(__xludf.DUMMYFUNCTION("""COMPUTED_VALUE"""),"https://drive.google.com/file/d/17bGUsB6ScfEDtePm8runGJ1GhKiQ_U3X/view?usp=drivesdk")</f>
        <v>https://drive.google.com/file/d/17bGUsB6ScfEDtePm8runGJ1GhKiQ_U3X/view?usp=drivesdk</v>
      </c>
      <c r="D5742" s="12"/>
      <c r="E5742" s="11">
        <v>5780.0</v>
      </c>
      <c r="F5742" s="2"/>
    </row>
    <row r="5743" ht="1.5" customHeight="1">
      <c r="A5743" s="4" t="str">
        <f>IFERROR(__xludf.DUMMYFUNCTION("""COMPUTED_VALUE"""),"1. Microwave")</f>
        <v>1. Microwave</v>
      </c>
      <c r="B5743" s="4" t="str">
        <f>IFERROR(__xludf.DUMMYFUNCTION("""COMPUTED_VALUE"""),"1")</f>
        <v>1</v>
      </c>
      <c r="C5743" s="5" t="str">
        <f>IFERROR(__xludf.DUMMYFUNCTION("""COMPUTED_VALUE"""),"https://drive.google.com/file/d/1q_9Y311HSDyle9bVXbqxeFx--xJyO8fF/view?usp=drivesdk")</f>
        <v>https://drive.google.com/file/d/1q_9Y311HSDyle9bVXbqxeFx--xJyO8fF/view?usp=drivesdk</v>
      </c>
      <c r="D5743" s="12"/>
      <c r="E5743" s="11">
        <v>5781.0</v>
      </c>
      <c r="F5743" s="2"/>
    </row>
    <row r="5744" ht="1.5" customHeight="1">
      <c r="A5744" s="4" t="str">
        <f>IFERROR(__xludf.DUMMYFUNCTION("""COMPUTED_VALUE"""),"1. Microwave")</f>
        <v>1. Microwave</v>
      </c>
      <c r="B5744" s="4" t="str">
        <f>IFERROR(__xludf.DUMMYFUNCTION("""COMPUTED_VALUE"""),"1")</f>
        <v>1</v>
      </c>
      <c r="C5744" s="5" t="str">
        <f>IFERROR(__xludf.DUMMYFUNCTION("""COMPUTED_VALUE"""),"https://drive.google.com/file/d/1Pz8-IT0kh89aYEYn79-x1PZ1rmHmywTD/view?usp=drivesdk")</f>
        <v>https://drive.google.com/file/d/1Pz8-IT0kh89aYEYn79-x1PZ1rmHmywTD/view?usp=drivesdk</v>
      </c>
      <c r="D5744" s="12"/>
      <c r="E5744" s="11">
        <v>5782.0</v>
      </c>
      <c r="F5744" s="2"/>
    </row>
    <row r="5745" ht="1.5" customHeight="1">
      <c r="A5745" s="4" t="str">
        <f>IFERROR(__xludf.DUMMYFUNCTION("""COMPUTED_VALUE"""),"1. Microwave")</f>
        <v>1. Microwave</v>
      </c>
      <c r="B5745" s="4" t="str">
        <f>IFERROR(__xludf.DUMMYFUNCTION("""COMPUTED_VALUE"""),"1")</f>
        <v>1</v>
      </c>
      <c r="C5745" s="5" t="str">
        <f>IFERROR(__xludf.DUMMYFUNCTION("""COMPUTED_VALUE"""),"https://drive.google.com/file/d/1pWJsO0cb_FVoS_5m2o5I7NFQJm1b6oeC/view?usp=drivesdk")</f>
        <v>https://drive.google.com/file/d/1pWJsO0cb_FVoS_5m2o5I7NFQJm1b6oeC/view?usp=drivesdk</v>
      </c>
      <c r="D5745" s="12"/>
      <c r="E5745" s="11">
        <v>5783.0</v>
      </c>
      <c r="F5745" s="2"/>
    </row>
    <row r="5746" ht="1.5" customHeight="1">
      <c r="A5746" s="4" t="str">
        <f>IFERROR(__xludf.DUMMYFUNCTION("""COMPUTED_VALUE"""),"1. Microwave")</f>
        <v>1. Microwave</v>
      </c>
      <c r="B5746" s="4" t="str">
        <f>IFERROR(__xludf.DUMMYFUNCTION("""COMPUTED_VALUE"""),"1")</f>
        <v>1</v>
      </c>
      <c r="C5746" s="5" t="str">
        <f>IFERROR(__xludf.DUMMYFUNCTION("""COMPUTED_VALUE"""),"https://drive.google.com/file/d/1FvDb2vi6y4cpHZml3PT5UyyNvh5t4EoY/view?usp=drivesdk")</f>
        <v>https://drive.google.com/file/d/1FvDb2vi6y4cpHZml3PT5UyyNvh5t4EoY/view?usp=drivesdk</v>
      </c>
      <c r="D5746" s="12"/>
      <c r="E5746" s="11">
        <v>5784.0</v>
      </c>
      <c r="F5746" s="2"/>
    </row>
    <row r="5747" ht="1.5" customHeight="1">
      <c r="A5747" s="4" t="str">
        <f>IFERROR(__xludf.DUMMYFUNCTION("""COMPUTED_VALUE"""),"0. NotACat")</f>
        <v>0. NotACat</v>
      </c>
      <c r="B5747" s="4" t="str">
        <f>IFERROR(__xludf.DUMMYFUNCTION("""COMPUTED_VALUE"""),"0")</f>
        <v>0</v>
      </c>
      <c r="C5747" s="5" t="str">
        <f>IFERROR(__xludf.DUMMYFUNCTION("""COMPUTED_VALUE"""),"https://drive.google.com/file/d/15XRaFUezd-83SDWeTlOEM1eYlGdm3FzS/view?usp=drivesdk")</f>
        <v>https://drive.google.com/file/d/15XRaFUezd-83SDWeTlOEM1eYlGdm3FzS/view?usp=drivesdk</v>
      </c>
      <c r="D5747" s="12"/>
      <c r="E5747" s="11">
        <v>5785.0</v>
      </c>
      <c r="F5747" s="2"/>
    </row>
    <row r="5748" ht="1.5" customHeight="1">
      <c r="A5748" s="4" t="str">
        <f>IFERROR(__xludf.DUMMYFUNCTION("""COMPUTED_VALUE"""),"5. Eraser")</f>
        <v>5. Eraser</v>
      </c>
      <c r="B5748" s="4" t="str">
        <f>IFERROR(__xludf.DUMMYFUNCTION("""COMPUTED_VALUE"""),"5")</f>
        <v>5</v>
      </c>
      <c r="C5748" s="5" t="str">
        <f>IFERROR(__xludf.DUMMYFUNCTION("""COMPUTED_VALUE"""),"https://drive.google.com/file/d/1ib4Chz_IGcoxMI0ZP0EYjL0h6JiG4Pxu/view?usp=drivesdk")</f>
        <v>https://drive.google.com/file/d/1ib4Chz_IGcoxMI0ZP0EYjL0h6JiG4Pxu/view?usp=drivesdk</v>
      </c>
      <c r="D5748" s="12"/>
      <c r="E5748" s="11">
        <v>5786.0</v>
      </c>
      <c r="F5748" s="2"/>
    </row>
    <row r="5749" ht="1.5" customHeight="1">
      <c r="A5749" s="4" t="str">
        <f>IFERROR(__xludf.DUMMYFUNCTION("""COMPUTED_VALUE"""),"5. Eraser")</f>
        <v>5. Eraser</v>
      </c>
      <c r="B5749" s="4" t="str">
        <f>IFERROR(__xludf.DUMMYFUNCTION("""COMPUTED_VALUE"""),"5")</f>
        <v>5</v>
      </c>
      <c r="C5749" s="5" t="str">
        <f>IFERROR(__xludf.DUMMYFUNCTION("""COMPUTED_VALUE"""),"https://drive.google.com/file/d/11K3Rwydzy1CGKRyNnWccAxczJLMe5Voz/view?usp=drivesdk")</f>
        <v>https://drive.google.com/file/d/11K3Rwydzy1CGKRyNnWccAxczJLMe5Voz/view?usp=drivesdk</v>
      </c>
      <c r="D5749" s="12"/>
      <c r="E5749" s="11">
        <v>5787.0</v>
      </c>
      <c r="F5749" s="2"/>
    </row>
    <row r="5750" ht="1.5" customHeight="1">
      <c r="A5750" s="4" t="str">
        <f>IFERROR(__xludf.DUMMYFUNCTION("""COMPUTED_VALUE"""),"1. Microwave")</f>
        <v>1. Microwave</v>
      </c>
      <c r="B5750" s="4" t="str">
        <f>IFERROR(__xludf.DUMMYFUNCTION("""COMPUTED_VALUE"""),"1")</f>
        <v>1</v>
      </c>
      <c r="C5750" s="5" t="str">
        <f>IFERROR(__xludf.DUMMYFUNCTION("""COMPUTED_VALUE"""),"https://drive.google.com/file/d/1ITEC6NY_NkfG0n4RapRF54SY6sc1Pmrd/view?usp=drivesdk")</f>
        <v>https://drive.google.com/file/d/1ITEC6NY_NkfG0n4RapRF54SY6sc1Pmrd/view?usp=drivesdk</v>
      </c>
      <c r="D5750" s="12"/>
      <c r="E5750" s="11">
        <v>5788.0</v>
      </c>
      <c r="F5750" s="2"/>
    </row>
    <row r="5751" ht="1.5" customHeight="1">
      <c r="A5751" s="4" t="str">
        <f>IFERROR(__xludf.DUMMYFUNCTION("""COMPUTED_VALUE"""),"1. Microwave")</f>
        <v>1. Microwave</v>
      </c>
      <c r="B5751" s="4" t="str">
        <f>IFERROR(__xludf.DUMMYFUNCTION("""COMPUTED_VALUE"""),"1")</f>
        <v>1</v>
      </c>
      <c r="C5751" s="5" t="str">
        <f>IFERROR(__xludf.DUMMYFUNCTION("""COMPUTED_VALUE"""),"https://drive.google.com/file/d/1Xo6ytLaKhG3VPBkUBinTOppirAs7piU6/view?usp=drivesdk")</f>
        <v>https://drive.google.com/file/d/1Xo6ytLaKhG3VPBkUBinTOppirAs7piU6/view?usp=drivesdk</v>
      </c>
      <c r="D5751" s="12"/>
      <c r="E5751" s="11">
        <v>5789.0</v>
      </c>
      <c r="F5751" s="2"/>
    </row>
    <row r="5752" ht="1.5" customHeight="1">
      <c r="A5752" s="4" t="str">
        <f>IFERROR(__xludf.DUMMYFUNCTION("""COMPUTED_VALUE"""),"27. Angel, 30. Pepper, 29. Ginger")</f>
        <v>27. Angel, 30. Pepper, 29. Ginger</v>
      </c>
      <c r="B5752" s="4" t="str">
        <f>IFERROR(__xludf.DUMMYFUNCTION("""COMPUTED_VALUE"""),"27, 30, 29")</f>
        <v>27, 30, 29</v>
      </c>
      <c r="C5752" s="5" t="str">
        <f>IFERROR(__xludf.DUMMYFUNCTION("""COMPUTED_VALUE"""),"https://drive.google.com/file/d/1ad4vyDEcAa_TbjpdR86tj9Ew8dy-EE35/view?usp=drivesdk")</f>
        <v>https://drive.google.com/file/d/1ad4vyDEcAa_TbjpdR86tj9Ew8dy-EE35/view?usp=drivesdk</v>
      </c>
      <c r="D5752" s="12"/>
      <c r="E5752" s="11">
        <v>5790.0</v>
      </c>
      <c r="F5752" s="2"/>
    </row>
    <row r="5753" ht="1.5" customHeight="1">
      <c r="A5753" s="4" t="str">
        <f>IFERROR(__xludf.DUMMYFUNCTION("""COMPUTED_VALUE"""),"1. Microwave")</f>
        <v>1. Microwave</v>
      </c>
      <c r="B5753" s="4" t="str">
        <f>IFERROR(__xludf.DUMMYFUNCTION("""COMPUTED_VALUE"""),"1")</f>
        <v>1</v>
      </c>
      <c r="C5753" s="5" t="str">
        <f>IFERROR(__xludf.DUMMYFUNCTION("""COMPUTED_VALUE"""),"https://drive.google.com/file/d/17YZXd_2FLH2ebFxAZIs2NXXJbbMnGOdP/view?usp=drivesdk")</f>
        <v>https://drive.google.com/file/d/17YZXd_2FLH2ebFxAZIs2NXXJbbMnGOdP/view?usp=drivesdk</v>
      </c>
      <c r="D5753" s="12"/>
      <c r="E5753" s="11">
        <v>5791.0</v>
      </c>
      <c r="F5753" s="2"/>
    </row>
    <row r="5754" ht="1.5" customHeight="1">
      <c r="A5754" s="4" t="str">
        <f>IFERROR(__xludf.DUMMYFUNCTION("""COMPUTED_VALUE"""),"5. Eraser")</f>
        <v>5. Eraser</v>
      </c>
      <c r="B5754" s="4" t="str">
        <f>IFERROR(__xludf.DUMMYFUNCTION("""COMPUTED_VALUE"""),"5")</f>
        <v>5</v>
      </c>
      <c r="C5754" s="5" t="str">
        <f>IFERROR(__xludf.DUMMYFUNCTION("""COMPUTED_VALUE"""),"https://drive.google.com/file/d/1shNfWpdbJdTTXlzygRIGyfRiK4LBwapl/view?usp=drivesdk")</f>
        <v>https://drive.google.com/file/d/1shNfWpdbJdTTXlzygRIGyfRiK4LBwapl/view?usp=drivesdk</v>
      </c>
      <c r="D5754" s="12"/>
      <c r="E5754" s="11">
        <v>5792.0</v>
      </c>
      <c r="F5754" s="2"/>
    </row>
    <row r="5755" ht="1.5" customHeight="1">
      <c r="A5755" s="4" t="str">
        <f>IFERROR(__xludf.DUMMYFUNCTION("""COMPUTED_VALUE"""),"4. Eggs")</f>
        <v>4. Eggs</v>
      </c>
      <c r="B5755" s="4" t="str">
        <f>IFERROR(__xludf.DUMMYFUNCTION("""COMPUTED_VALUE"""),"4")</f>
        <v>4</v>
      </c>
      <c r="C5755" s="5" t="str">
        <f>IFERROR(__xludf.DUMMYFUNCTION("""COMPUTED_VALUE"""),"https://drive.google.com/file/d/1HMJlWLWWELASXU08k8DliUUTGnwHmbth/view?usp=drivesdk")</f>
        <v>https://drive.google.com/file/d/1HMJlWLWWELASXU08k8DliUUTGnwHmbth/view?usp=drivesdk</v>
      </c>
      <c r="D5755" s="12"/>
      <c r="E5755" s="11">
        <v>5793.0</v>
      </c>
      <c r="F5755" s="2"/>
    </row>
    <row r="5756" ht="1.5" customHeight="1">
      <c r="A5756" s="4" t="str">
        <f>IFERROR(__xludf.DUMMYFUNCTION("""COMPUTED_VALUE"""),"99. Nezhui, 100. Coatl")</f>
        <v>99. Nezhui, 100. Coatl</v>
      </c>
      <c r="B5756" s="4" t="str">
        <f>IFERROR(__xludf.DUMMYFUNCTION("""COMPUTED_VALUE"""),"99, 100")</f>
        <v>99, 100</v>
      </c>
      <c r="C5756" s="5" t="str">
        <f>IFERROR(__xludf.DUMMYFUNCTION("""COMPUTED_VALUE"""),"https://drive.google.com/file/d/1O0YXQ3iL_3tHDvr6z2jMf7fpD8SFauTW/view?usp=drivesdk")</f>
        <v>https://drive.google.com/file/d/1O0YXQ3iL_3tHDvr6z2jMf7fpD8SFauTW/view?usp=drivesdk</v>
      </c>
      <c r="D5756" s="12"/>
      <c r="E5756" s="11">
        <v>5794.0</v>
      </c>
      <c r="F5756" s="2"/>
    </row>
    <row r="5757" ht="1.5" customHeight="1">
      <c r="A5757" s="4" t="str">
        <f>IFERROR(__xludf.DUMMYFUNCTION("""COMPUTED_VALUE"""),"99. Nezhui, 100. Coatl")</f>
        <v>99. Nezhui, 100. Coatl</v>
      </c>
      <c r="B5757" s="4" t="str">
        <f>IFERROR(__xludf.DUMMYFUNCTION("""COMPUTED_VALUE"""),"99, 100")</f>
        <v>99, 100</v>
      </c>
      <c r="C5757" s="5" t="str">
        <f>IFERROR(__xludf.DUMMYFUNCTION("""COMPUTED_VALUE"""),"https://drive.google.com/file/d/1UI-yODoTodhiTcavXBLx3PnY-8ryHtvq/view?usp=drivesdk")</f>
        <v>https://drive.google.com/file/d/1UI-yODoTodhiTcavXBLx3PnY-8ryHtvq/view?usp=drivesdk</v>
      </c>
      <c r="D5757" s="12"/>
      <c r="E5757" s="11">
        <v>5795.0</v>
      </c>
      <c r="F5757" s="2"/>
    </row>
    <row r="5758" ht="1.5" customHeight="1">
      <c r="A5758" s="4" t="str">
        <f>IFERROR(__xludf.DUMMYFUNCTION("""COMPUTED_VALUE"""),"99. Nezhui, 100. Coatl")</f>
        <v>99. Nezhui, 100. Coatl</v>
      </c>
      <c r="B5758" s="4" t="str">
        <f>IFERROR(__xludf.DUMMYFUNCTION("""COMPUTED_VALUE"""),"99, 100")</f>
        <v>99, 100</v>
      </c>
      <c r="C5758" s="5" t="str">
        <f>IFERROR(__xludf.DUMMYFUNCTION("""COMPUTED_VALUE"""),"https://drive.google.com/file/d/1Lhz6WASFGmRFKvocL7OzuAXs2OO_iTYP/view?usp=drivesdk")</f>
        <v>https://drive.google.com/file/d/1Lhz6WASFGmRFKvocL7OzuAXs2OO_iTYP/view?usp=drivesdk</v>
      </c>
      <c r="D5758" s="12"/>
      <c r="E5758" s="11">
        <v>5796.0</v>
      </c>
      <c r="F5758" s="2"/>
    </row>
    <row r="5759" ht="1.5" customHeight="1">
      <c r="A5759" s="4" t="str">
        <f>IFERROR(__xludf.DUMMYFUNCTION("""COMPUTED_VALUE"""),"99. Nezhui")</f>
        <v>99. Nezhui</v>
      </c>
      <c r="B5759" s="4" t="str">
        <f>IFERROR(__xludf.DUMMYFUNCTION("""COMPUTED_VALUE"""),"99")</f>
        <v>99</v>
      </c>
      <c r="C5759" s="5" t="str">
        <f>IFERROR(__xludf.DUMMYFUNCTION("""COMPUTED_VALUE"""),"https://drive.google.com/file/d/1LVWjyaoQpQE5mVYWOvOAh3dAFfM-erKS/view?usp=drivesdk")</f>
        <v>https://drive.google.com/file/d/1LVWjyaoQpQE5mVYWOvOAh3dAFfM-erKS/view?usp=drivesdk</v>
      </c>
      <c r="D5759" s="12"/>
      <c r="E5759" s="11">
        <v>5797.0</v>
      </c>
      <c r="F5759" s="2"/>
    </row>
    <row r="5760" ht="1.5" customHeight="1">
      <c r="A5760" s="4" t="str">
        <f>IFERROR(__xludf.DUMMYFUNCTION("""COMPUTED_VALUE"""),"99. Nezhui")</f>
        <v>99. Nezhui</v>
      </c>
      <c r="B5760" s="4" t="str">
        <f>IFERROR(__xludf.DUMMYFUNCTION("""COMPUTED_VALUE"""),"99")</f>
        <v>99</v>
      </c>
      <c r="C5760" s="5" t="str">
        <f>IFERROR(__xludf.DUMMYFUNCTION("""COMPUTED_VALUE"""),"https://drive.google.com/file/d/1aUiDXyVM4cgiaYXCJ1SFhky97k4EPQO3/view?usp=drivesdk")</f>
        <v>https://drive.google.com/file/d/1aUiDXyVM4cgiaYXCJ1SFhky97k4EPQO3/view?usp=drivesdk</v>
      </c>
      <c r="D5760" s="12"/>
      <c r="E5760" s="11">
        <v>5798.0</v>
      </c>
      <c r="F5760" s="2"/>
    </row>
    <row r="5761" ht="1.5" customHeight="1">
      <c r="A5761" s="4" t="str">
        <f>IFERROR(__xludf.DUMMYFUNCTION("""COMPUTED_VALUE"""),"105. Chilton")</f>
        <v>105. Chilton</v>
      </c>
      <c r="B5761" s="4" t="str">
        <f>IFERROR(__xludf.DUMMYFUNCTION("""COMPUTED_VALUE"""),"105")</f>
        <v>105</v>
      </c>
      <c r="C5761" s="5" t="str">
        <f>IFERROR(__xludf.DUMMYFUNCTION("""COMPUTED_VALUE"""),"https://drive.google.com/file/d/1BCp2wA-SW_de05Q8MBpGhJj1csnQbO8P/view?usp=drivesdk")</f>
        <v>https://drive.google.com/file/d/1BCp2wA-SW_de05Q8MBpGhJj1csnQbO8P/view?usp=drivesdk</v>
      </c>
      <c r="D5761" s="12"/>
      <c r="E5761" s="11">
        <v>5799.0</v>
      </c>
      <c r="F5761" s="2"/>
    </row>
    <row r="5762" ht="1.5" customHeight="1">
      <c r="A5762" s="4" t="str">
        <f>IFERROR(__xludf.DUMMYFUNCTION("""COMPUTED_VALUE"""),"99. Nezhui")</f>
        <v>99. Nezhui</v>
      </c>
      <c r="B5762" s="4" t="str">
        <f>IFERROR(__xludf.DUMMYFUNCTION("""COMPUTED_VALUE"""),"99")</f>
        <v>99</v>
      </c>
      <c r="C5762" s="5" t="str">
        <f>IFERROR(__xludf.DUMMYFUNCTION("""COMPUTED_VALUE"""),"https://drive.google.com/file/d/1dlYbQRhYU7N_7dBSJI5i8FbaqM-nzAso/view?usp=drivesdk")</f>
        <v>https://drive.google.com/file/d/1dlYbQRhYU7N_7dBSJI5i8FbaqM-nzAso/view?usp=drivesdk</v>
      </c>
      <c r="D5762" s="12"/>
      <c r="E5762" s="11">
        <v>5800.0</v>
      </c>
      <c r="F5762" s="2"/>
    </row>
    <row r="5763" ht="1.5" customHeight="1">
      <c r="A5763" s="4" t="str">
        <f>IFERROR(__xludf.DUMMYFUNCTION("""COMPUTED_VALUE"""),"99. Nezhui, 105. Chilton")</f>
        <v>99. Nezhui, 105. Chilton</v>
      </c>
      <c r="B5763" s="4" t="str">
        <f>IFERROR(__xludf.DUMMYFUNCTION("""COMPUTED_VALUE"""),"99, 105")</f>
        <v>99, 105</v>
      </c>
      <c r="C5763" s="5" t="str">
        <f>IFERROR(__xludf.DUMMYFUNCTION("""COMPUTED_VALUE"""),"https://drive.google.com/file/d/1djY8_GmwBEoJ-Lz-L8cUO9vw_ByaOOT9/view?usp=drivesdk")</f>
        <v>https://drive.google.com/file/d/1djY8_GmwBEoJ-Lz-L8cUO9vw_ByaOOT9/view?usp=drivesdk</v>
      </c>
      <c r="D5763" s="12"/>
      <c r="E5763" s="11">
        <v>5801.0</v>
      </c>
      <c r="F5763" s="2"/>
    </row>
    <row r="5764" ht="1.5" customHeight="1">
      <c r="A5764" s="4" t="str">
        <f>IFERROR(__xludf.DUMMYFUNCTION("""COMPUTED_VALUE"""),"105. Chilton")</f>
        <v>105. Chilton</v>
      </c>
      <c r="B5764" s="4" t="str">
        <f>IFERROR(__xludf.DUMMYFUNCTION("""COMPUTED_VALUE"""),"105")</f>
        <v>105</v>
      </c>
      <c r="C5764" s="5" t="str">
        <f>IFERROR(__xludf.DUMMYFUNCTION("""COMPUTED_VALUE"""),"https://drive.google.com/file/d/1RDnPlz3-qL4tDiELPB7G-C1JFGlyPyry/view?usp=drivesdk")</f>
        <v>https://drive.google.com/file/d/1RDnPlz3-qL4tDiELPB7G-C1JFGlyPyry/view?usp=drivesdk</v>
      </c>
      <c r="D5764" s="12"/>
      <c r="E5764" s="11">
        <v>5802.0</v>
      </c>
      <c r="F5764" s="2"/>
    </row>
    <row r="5765" ht="1.5" customHeight="1">
      <c r="A5765" s="4" t="str">
        <f>IFERROR(__xludf.DUMMYFUNCTION("""COMPUTED_VALUE"""),"99. Nezhui")</f>
        <v>99. Nezhui</v>
      </c>
      <c r="B5765" s="4" t="str">
        <f>IFERROR(__xludf.DUMMYFUNCTION("""COMPUTED_VALUE"""),"99")</f>
        <v>99</v>
      </c>
      <c r="C5765" s="5" t="str">
        <f>IFERROR(__xludf.DUMMYFUNCTION("""COMPUTED_VALUE"""),"https://drive.google.com/file/d/1-i3xMlkg5ggpYAcpJCgw2PKFM1UTfWdD/view?usp=drivesdk")</f>
        <v>https://drive.google.com/file/d/1-i3xMlkg5ggpYAcpJCgw2PKFM1UTfWdD/view?usp=drivesdk</v>
      </c>
      <c r="D5765" s="12"/>
      <c r="E5765" s="11">
        <v>5803.0</v>
      </c>
      <c r="F5765" s="2"/>
    </row>
    <row r="5766" ht="1.5" customHeight="1">
      <c r="A5766" s="4" t="str">
        <f>IFERROR(__xludf.DUMMYFUNCTION("""COMPUTED_VALUE"""),"99. Nezhui")</f>
        <v>99. Nezhui</v>
      </c>
      <c r="B5766" s="4" t="str">
        <f>IFERROR(__xludf.DUMMYFUNCTION("""COMPUTED_VALUE"""),"99")</f>
        <v>99</v>
      </c>
      <c r="C5766" s="5" t="str">
        <f>IFERROR(__xludf.DUMMYFUNCTION("""COMPUTED_VALUE"""),"https://drive.google.com/file/d/1X9iYG5mdeNEaMR7owMc16AXHQ4iJhO6b/view?usp=drivesdk")</f>
        <v>https://drive.google.com/file/d/1X9iYG5mdeNEaMR7owMc16AXHQ4iJhO6b/view?usp=drivesdk</v>
      </c>
      <c r="D5766" s="12"/>
      <c r="E5766" s="11">
        <v>5804.0</v>
      </c>
      <c r="F5766" s="2"/>
    </row>
    <row r="5767" ht="1.5" customHeight="1">
      <c r="A5767" s="4" t="str">
        <f>IFERROR(__xludf.DUMMYFUNCTION("""COMPUTED_VALUE"""),"100. Coatl")</f>
        <v>100. Coatl</v>
      </c>
      <c r="B5767" s="4" t="str">
        <f>IFERROR(__xludf.DUMMYFUNCTION("""COMPUTED_VALUE"""),"100")</f>
        <v>100</v>
      </c>
      <c r="C5767" s="5" t="str">
        <f>IFERROR(__xludf.DUMMYFUNCTION("""COMPUTED_VALUE"""),"https://drive.google.com/file/d/1nuZzVJ2shalsYWmJlI66laD7QAQOrjfz/view?usp=drivesdk")</f>
        <v>https://drive.google.com/file/d/1nuZzVJ2shalsYWmJlI66laD7QAQOrjfz/view?usp=drivesdk</v>
      </c>
      <c r="D5767" s="12"/>
      <c r="E5767" s="11">
        <v>5805.0</v>
      </c>
      <c r="F5767" s="2"/>
    </row>
    <row r="5768" ht="1.5" customHeight="1">
      <c r="A5768" s="4" t="str">
        <f>IFERROR(__xludf.DUMMYFUNCTION("""COMPUTED_VALUE"""),"99. Nezhui")</f>
        <v>99. Nezhui</v>
      </c>
      <c r="B5768" s="4" t="str">
        <f>IFERROR(__xludf.DUMMYFUNCTION("""COMPUTED_VALUE"""),"99")</f>
        <v>99</v>
      </c>
      <c r="C5768" s="5" t="str">
        <f>IFERROR(__xludf.DUMMYFUNCTION("""COMPUTED_VALUE"""),"https://drive.google.com/file/d/1EA3rM5PUtliN83NUyc3kaht7q6wOneGK/view?usp=drivesdk")</f>
        <v>https://drive.google.com/file/d/1EA3rM5PUtliN83NUyc3kaht7q6wOneGK/view?usp=drivesdk</v>
      </c>
      <c r="D5768" s="12"/>
      <c r="E5768" s="11">
        <v>5806.0</v>
      </c>
      <c r="F5768" s="2"/>
    </row>
    <row r="5769" ht="1.5" customHeight="1">
      <c r="A5769" s="4" t="str">
        <f>IFERROR(__xludf.DUMMYFUNCTION("""COMPUTED_VALUE"""),"4. Eggs")</f>
        <v>4. Eggs</v>
      </c>
      <c r="B5769" s="4" t="str">
        <f>IFERROR(__xludf.DUMMYFUNCTION("""COMPUTED_VALUE"""),"4")</f>
        <v>4</v>
      </c>
      <c r="C5769" s="5" t="str">
        <f>IFERROR(__xludf.DUMMYFUNCTION("""COMPUTED_VALUE"""),"https://drive.google.com/file/d/1bBWSLDuxkKG56XTWK7nsTwcidRC6oDr-/view?usp=drivesdk")</f>
        <v>https://drive.google.com/file/d/1bBWSLDuxkKG56XTWK7nsTwcidRC6oDr-/view?usp=drivesdk</v>
      </c>
      <c r="D5769" s="12"/>
      <c r="E5769" s="11">
        <v>5807.0</v>
      </c>
      <c r="F5769" s="2"/>
    </row>
    <row r="5770" ht="1.5" customHeight="1">
      <c r="A5770" s="4" t="str">
        <f>IFERROR(__xludf.DUMMYFUNCTION("""COMPUTED_VALUE"""),"5. Eraser")</f>
        <v>5. Eraser</v>
      </c>
      <c r="B5770" s="4" t="str">
        <f>IFERROR(__xludf.DUMMYFUNCTION("""COMPUTED_VALUE"""),"5")</f>
        <v>5</v>
      </c>
      <c r="C5770" s="5" t="str">
        <f>IFERROR(__xludf.DUMMYFUNCTION("""COMPUTED_VALUE"""),"https://drive.google.com/file/d/1szxN3bG4ZzPF93X-0ws1ECNY6RwAxHYe/view?usp=drivesdk")</f>
        <v>https://drive.google.com/file/d/1szxN3bG4ZzPF93X-0ws1ECNY6RwAxHYe/view?usp=drivesdk</v>
      </c>
      <c r="D5770" s="12"/>
      <c r="E5770" s="11">
        <v>5808.0</v>
      </c>
      <c r="F5770" s="2"/>
    </row>
    <row r="5771" ht="1.5" customHeight="1">
      <c r="A5771" s="4" t="str">
        <f>IFERROR(__xludf.DUMMYFUNCTION("""COMPUTED_VALUE"""),"100. Coatl")</f>
        <v>100. Coatl</v>
      </c>
      <c r="B5771" s="4" t="str">
        <f>IFERROR(__xludf.DUMMYFUNCTION("""COMPUTED_VALUE"""),"100")</f>
        <v>100</v>
      </c>
      <c r="C5771" s="5" t="str">
        <f>IFERROR(__xludf.DUMMYFUNCTION("""COMPUTED_VALUE"""),"https://drive.google.com/file/d/1KMnkVE-fj5HjniuPR0oKc7raM4HudY7S/view?usp=drivesdk")</f>
        <v>https://drive.google.com/file/d/1KMnkVE-fj5HjniuPR0oKc7raM4HudY7S/view?usp=drivesdk</v>
      </c>
      <c r="D5771" s="12"/>
      <c r="E5771" s="11">
        <v>5809.0</v>
      </c>
      <c r="F5771" s="2"/>
    </row>
    <row r="5772" ht="1.5" customHeight="1">
      <c r="A5772" s="4" t="str">
        <f>IFERROR(__xludf.DUMMYFUNCTION("""COMPUTED_VALUE"""),"105. Chilton, 100. Coatl")</f>
        <v>105. Chilton, 100. Coatl</v>
      </c>
      <c r="B5772" s="4" t="str">
        <f>IFERROR(__xludf.DUMMYFUNCTION("""COMPUTED_VALUE"""),"105, 100")</f>
        <v>105, 100</v>
      </c>
      <c r="C5772" s="5" t="str">
        <f>IFERROR(__xludf.DUMMYFUNCTION("""COMPUTED_VALUE"""),"https://drive.google.com/file/d/1BMBH2d75QmIh_Fp5gEBfhv2yC5u6ahn_/view?usp=drivesdk")</f>
        <v>https://drive.google.com/file/d/1BMBH2d75QmIh_Fp5gEBfhv2yC5u6ahn_/view?usp=drivesdk</v>
      </c>
      <c r="D5772" s="12"/>
      <c r="E5772" s="11">
        <v>5810.0</v>
      </c>
      <c r="F5772" s="2"/>
    </row>
    <row r="5773" ht="1.5" customHeight="1">
      <c r="A5773" s="4" t="str">
        <f>IFERROR(__xludf.DUMMYFUNCTION("""COMPUTED_VALUE"""),"100. Coatl")</f>
        <v>100. Coatl</v>
      </c>
      <c r="B5773" s="4" t="str">
        <f>IFERROR(__xludf.DUMMYFUNCTION("""COMPUTED_VALUE"""),"100")</f>
        <v>100</v>
      </c>
      <c r="C5773" s="5" t="str">
        <f>IFERROR(__xludf.DUMMYFUNCTION("""COMPUTED_VALUE"""),"https://drive.google.com/file/d/15Wqdd_brguHujosRHrTmg3hrJxhfOU2a/view?usp=drivesdk")</f>
        <v>https://drive.google.com/file/d/15Wqdd_brguHujosRHrTmg3hrJxhfOU2a/view?usp=drivesdk</v>
      </c>
      <c r="D5773" s="12"/>
      <c r="E5773" s="11">
        <v>5811.0</v>
      </c>
      <c r="F5773" s="2"/>
    </row>
    <row r="5774" ht="1.5" customHeight="1">
      <c r="A5774" s="4" t="str">
        <f>IFERROR(__xludf.DUMMYFUNCTION("""COMPUTED_VALUE"""),"99. Nezhui")</f>
        <v>99. Nezhui</v>
      </c>
      <c r="B5774" s="4" t="str">
        <f>IFERROR(__xludf.DUMMYFUNCTION("""COMPUTED_VALUE"""),"99")</f>
        <v>99</v>
      </c>
      <c r="C5774" s="5" t="str">
        <f>IFERROR(__xludf.DUMMYFUNCTION("""COMPUTED_VALUE"""),"https://drive.google.com/file/d/1v1xAwixR5b89xc3URgA5EEqJgYQmj_9I/view?usp=drivesdk")</f>
        <v>https://drive.google.com/file/d/1v1xAwixR5b89xc3URgA5EEqJgYQmj_9I/view?usp=drivesdk</v>
      </c>
      <c r="D5774" s="12"/>
      <c r="E5774" s="11">
        <v>5812.0</v>
      </c>
      <c r="F5774" s="2"/>
    </row>
    <row r="5775" ht="1.5" customHeight="1">
      <c r="A5775" s="4" t="str">
        <f>IFERROR(__xludf.DUMMYFUNCTION("""COMPUTED_VALUE"""),"99. Nezhui")</f>
        <v>99. Nezhui</v>
      </c>
      <c r="B5775" s="4" t="str">
        <f>IFERROR(__xludf.DUMMYFUNCTION("""COMPUTED_VALUE"""),"99")</f>
        <v>99</v>
      </c>
      <c r="C5775" s="5" t="str">
        <f>IFERROR(__xludf.DUMMYFUNCTION("""COMPUTED_VALUE"""),"https://drive.google.com/file/d/1vb7cMtP8VsjpnRkRb_npjLNIUfaNfATU/view?usp=drivesdk")</f>
        <v>https://drive.google.com/file/d/1vb7cMtP8VsjpnRkRb_npjLNIUfaNfATU/view?usp=drivesdk</v>
      </c>
      <c r="D5775" s="12"/>
      <c r="E5775" s="11">
        <v>5813.0</v>
      </c>
      <c r="F5775" s="2"/>
    </row>
    <row r="5776" ht="1.5" customHeight="1">
      <c r="A5776" s="4" t="str">
        <f>IFERROR(__xludf.DUMMYFUNCTION("""COMPUTED_VALUE"""),"115. Toothless")</f>
        <v>115. Toothless</v>
      </c>
      <c r="B5776" s="4" t="str">
        <f>IFERROR(__xludf.DUMMYFUNCTION("""COMPUTED_VALUE"""),"115")</f>
        <v>115</v>
      </c>
      <c r="C5776" s="5" t="str">
        <f>IFERROR(__xludf.DUMMYFUNCTION("""COMPUTED_VALUE"""),"https://drive.google.com/file/d/1UPGUg3X2_7j8wRG_8FVnbIfQw1_fBZ4g/view?usp=drivesdk")</f>
        <v>https://drive.google.com/file/d/1UPGUg3X2_7j8wRG_8FVnbIfQw1_fBZ4g/view?usp=drivesdk</v>
      </c>
      <c r="D5776" s="12"/>
      <c r="E5776" s="11">
        <v>5814.0</v>
      </c>
      <c r="F5776" s="2"/>
    </row>
    <row r="5777" ht="1.5" customHeight="1">
      <c r="A5777" s="4" t="str">
        <f>IFERROR(__xludf.DUMMYFUNCTION("""COMPUTED_VALUE"""),"115. Toothless")</f>
        <v>115. Toothless</v>
      </c>
      <c r="B5777" s="4" t="str">
        <f>IFERROR(__xludf.DUMMYFUNCTION("""COMPUTED_VALUE"""),"115")</f>
        <v>115</v>
      </c>
      <c r="C5777" s="5" t="str">
        <f>IFERROR(__xludf.DUMMYFUNCTION("""COMPUTED_VALUE"""),"https://drive.google.com/file/d/1leMgRN53OITZE3zkQ7pKdbqXE3UvfrlK/view?usp=drivesdk")</f>
        <v>https://drive.google.com/file/d/1leMgRN53OITZE3zkQ7pKdbqXE3UvfrlK/view?usp=drivesdk</v>
      </c>
      <c r="D5777" s="12"/>
      <c r="E5777" s="11">
        <v>5815.0</v>
      </c>
      <c r="F5777" s="2"/>
    </row>
    <row r="5778" ht="1.5" customHeight="1">
      <c r="A5778" s="4" t="str">
        <f>IFERROR(__xludf.DUMMYFUNCTION("""COMPUTED_VALUE"""),"115. Toothless")</f>
        <v>115. Toothless</v>
      </c>
      <c r="B5778" s="4" t="str">
        <f>IFERROR(__xludf.DUMMYFUNCTION("""COMPUTED_VALUE"""),"115")</f>
        <v>115</v>
      </c>
      <c r="C5778" s="5" t="str">
        <f>IFERROR(__xludf.DUMMYFUNCTION("""COMPUTED_VALUE"""),"https://drive.google.com/file/d/11yN8ptujC1PV7eciYEBPDiJ6eYxIFMR5/view?usp=drivesdk")</f>
        <v>https://drive.google.com/file/d/11yN8ptujC1PV7eciYEBPDiJ6eYxIFMR5/view?usp=drivesdk</v>
      </c>
      <c r="D5778" s="12"/>
      <c r="E5778" s="11">
        <v>5816.0</v>
      </c>
      <c r="F5778" s="2"/>
    </row>
    <row r="5779" ht="1.5" customHeight="1">
      <c r="A5779" s="4" t="str">
        <f>IFERROR(__xludf.DUMMYFUNCTION("""COMPUTED_VALUE"""),"115. Toothless")</f>
        <v>115. Toothless</v>
      </c>
      <c r="B5779" s="4" t="str">
        <f>IFERROR(__xludf.DUMMYFUNCTION("""COMPUTED_VALUE"""),"115")</f>
        <v>115</v>
      </c>
      <c r="C5779" s="5" t="str">
        <f>IFERROR(__xludf.DUMMYFUNCTION("""COMPUTED_VALUE"""),"https://drive.google.com/file/d/1OS9gqDq0avdWvzi846JLqlLcn9rfItvx/view?usp=drivesdk")</f>
        <v>https://drive.google.com/file/d/1OS9gqDq0avdWvzi846JLqlLcn9rfItvx/view?usp=drivesdk</v>
      </c>
      <c r="D5779" s="12"/>
      <c r="E5779" s="11">
        <v>5817.0</v>
      </c>
      <c r="F5779" s="2"/>
    </row>
    <row r="5780" ht="1.5" customHeight="1">
      <c r="A5780" s="4" t="str">
        <f>IFERROR(__xludf.DUMMYFUNCTION("""COMPUTED_VALUE"""),"94. Itztli")</f>
        <v>94. Itztli</v>
      </c>
      <c r="B5780" s="4" t="str">
        <f>IFERROR(__xludf.DUMMYFUNCTION("""COMPUTED_VALUE"""),"94")</f>
        <v>94</v>
      </c>
      <c r="C5780" s="5" t="str">
        <f>IFERROR(__xludf.DUMMYFUNCTION("""COMPUTED_VALUE"""),"https://drive.google.com/file/d/1nYKdtGGZNejwGcHez0-6apSL9aBzUVDz/view?usp=drivesdk")</f>
        <v>https://drive.google.com/file/d/1nYKdtGGZNejwGcHez0-6apSL9aBzUVDz/view?usp=drivesdk</v>
      </c>
      <c r="D5780" s="12"/>
      <c r="E5780" s="11">
        <v>5818.0</v>
      </c>
      <c r="F5780" s="2"/>
    </row>
    <row r="5781" ht="1.5" customHeight="1">
      <c r="A5781" s="4" t="str">
        <f>IFERROR(__xludf.DUMMYFUNCTION("""COMPUTED_VALUE"""),"80. Atzi")</f>
        <v>80. Atzi</v>
      </c>
      <c r="B5781" s="4" t="str">
        <f>IFERROR(__xludf.DUMMYFUNCTION("""COMPUTED_VALUE"""),"80")</f>
        <v>80</v>
      </c>
      <c r="C5781" s="5" t="str">
        <f>IFERROR(__xludf.DUMMYFUNCTION("""COMPUTED_VALUE"""),"https://drive.google.com/file/d/17RAy0_yWcvvUk6-TxZ9PhKXsA4SyMutp/view?usp=drivesdk")</f>
        <v>https://drive.google.com/file/d/17RAy0_yWcvvUk6-TxZ9PhKXsA4SyMutp/view?usp=drivesdk</v>
      </c>
      <c r="D5781" s="12"/>
      <c r="E5781" s="11">
        <v>5819.0</v>
      </c>
      <c r="F5781" s="2"/>
    </row>
    <row r="5782" ht="1.5" customHeight="1">
      <c r="A5782" s="4" t="str">
        <f>IFERROR(__xludf.DUMMYFUNCTION("""COMPUTED_VALUE"""),"99. Nezhui")</f>
        <v>99. Nezhui</v>
      </c>
      <c r="B5782" s="4" t="str">
        <f>IFERROR(__xludf.DUMMYFUNCTION("""COMPUTED_VALUE"""),"99")</f>
        <v>99</v>
      </c>
      <c r="C5782" s="5" t="str">
        <f>IFERROR(__xludf.DUMMYFUNCTION("""COMPUTED_VALUE"""),"https://drive.google.com/file/d/1W50Poxv-BnfvMkE8X0-4UJk2bPVhCuhR/view?usp=drivesdk")</f>
        <v>https://drive.google.com/file/d/1W50Poxv-BnfvMkE8X0-4UJk2bPVhCuhR/view?usp=drivesdk</v>
      </c>
      <c r="D5782" s="12"/>
      <c r="E5782" s="11">
        <v>5820.0</v>
      </c>
      <c r="F5782" s="2"/>
    </row>
    <row r="5783" ht="1.5" customHeight="1">
      <c r="A5783" s="4" t="str">
        <f>IFERROR(__xludf.DUMMYFUNCTION("""COMPUTED_VALUE"""),"0. NotACat")</f>
        <v>0. NotACat</v>
      </c>
      <c r="B5783" s="4" t="str">
        <f>IFERROR(__xludf.DUMMYFUNCTION("""COMPUTED_VALUE"""),"0")</f>
        <v>0</v>
      </c>
      <c r="C5783" s="5" t="str">
        <f>IFERROR(__xludf.DUMMYFUNCTION("""COMPUTED_VALUE"""),"https://drive.google.com/file/d/13dXFz3fz0U7LhOWKUM-B0pmdf7b9BIa8/view?usp=drivesdk")</f>
        <v>https://drive.google.com/file/d/13dXFz3fz0U7LhOWKUM-B0pmdf7b9BIa8/view?usp=drivesdk</v>
      </c>
      <c r="D5783" s="12"/>
      <c r="E5783" s="11">
        <v>5821.0</v>
      </c>
      <c r="F5783" s="2"/>
    </row>
    <row r="5784" ht="1.5" customHeight="1">
      <c r="A5784" s="4" t="str">
        <f>IFERROR(__xludf.DUMMYFUNCTION("""COMPUTED_VALUE"""),"89. Petal, 90. Chimichanga")</f>
        <v>89. Petal, 90. Chimichanga</v>
      </c>
      <c r="B5784" s="4" t="str">
        <f>IFERROR(__xludf.DUMMYFUNCTION("""COMPUTED_VALUE"""),"89, 90")</f>
        <v>89, 90</v>
      </c>
      <c r="C5784" s="5" t="str">
        <f>IFERROR(__xludf.DUMMYFUNCTION("""COMPUTED_VALUE"""),"https://drive.google.com/file/d/1ESsOFazVbglUEhn17Dp-BzxN9j8WyiUs/view?usp=drivesdk")</f>
        <v>https://drive.google.com/file/d/1ESsOFazVbglUEhn17Dp-BzxN9j8WyiUs/view?usp=drivesdk</v>
      </c>
      <c r="D5784" s="12"/>
      <c r="E5784" s="11">
        <v>5822.0</v>
      </c>
      <c r="F5784" s="2"/>
    </row>
    <row r="5785" ht="1.5" customHeight="1">
      <c r="A5785" s="4" t="str">
        <f>IFERROR(__xludf.DUMMYFUNCTION("""COMPUTED_VALUE"""),"0. NotACat")</f>
        <v>0. NotACat</v>
      </c>
      <c r="B5785" s="4" t="str">
        <f>IFERROR(__xludf.DUMMYFUNCTION("""COMPUTED_VALUE"""),"0")</f>
        <v>0</v>
      </c>
      <c r="C5785" s="5" t="str">
        <f>IFERROR(__xludf.DUMMYFUNCTION("""COMPUTED_VALUE"""),"https://drive.google.com/file/d/1fTKXbjIvGv9y62d3rowcOZrDN_q59t-3/view?usp=drivesdk")</f>
        <v>https://drive.google.com/file/d/1fTKXbjIvGv9y62d3rowcOZrDN_q59t-3/view?usp=drivesdk</v>
      </c>
      <c r="D5785" s="12"/>
      <c r="E5785" s="11">
        <v>5823.0</v>
      </c>
      <c r="F5785" s="2"/>
    </row>
    <row r="5786" ht="1.5" customHeight="1">
      <c r="A5786" s="4" t="str">
        <f>IFERROR(__xludf.DUMMYFUNCTION("""COMPUTED_VALUE"""),"47. Nefarious")</f>
        <v>47. Nefarious</v>
      </c>
      <c r="B5786" s="4" t="str">
        <f>IFERROR(__xludf.DUMMYFUNCTION("""COMPUTED_VALUE"""),"47")</f>
        <v>47</v>
      </c>
      <c r="C5786" s="5" t="str">
        <f>IFERROR(__xludf.DUMMYFUNCTION("""COMPUTED_VALUE"""),"https://drive.google.com/file/d/1K9GgWY7SaELOLc2bEHxjSGWeIa3Z9sMR/view?usp=drivesdk")</f>
        <v>https://drive.google.com/file/d/1K9GgWY7SaELOLc2bEHxjSGWeIa3Z9sMR/view?usp=drivesdk</v>
      </c>
      <c r="D5786" s="12"/>
      <c r="E5786" s="11">
        <v>5824.0</v>
      </c>
      <c r="F5786" s="2"/>
    </row>
    <row r="5787" ht="1.5" customHeight="1">
      <c r="A5787" s="4" t="str">
        <f>IFERROR(__xludf.DUMMYFUNCTION("""COMPUTED_VALUE"""),"47. Nefarious")</f>
        <v>47. Nefarious</v>
      </c>
      <c r="B5787" s="4" t="str">
        <f>IFERROR(__xludf.DUMMYFUNCTION("""COMPUTED_VALUE"""),"47")</f>
        <v>47</v>
      </c>
      <c r="C5787" s="5" t="str">
        <f>IFERROR(__xludf.DUMMYFUNCTION("""COMPUTED_VALUE"""),"https://drive.google.com/file/d/1ld1TMJXufcEkU0HEYsJtHpTb2mAfihlV/view?usp=drivesdk")</f>
        <v>https://drive.google.com/file/d/1ld1TMJXufcEkU0HEYsJtHpTb2mAfihlV/view?usp=drivesdk</v>
      </c>
      <c r="D5787" s="12"/>
      <c r="E5787" s="11">
        <v>5825.0</v>
      </c>
      <c r="F5787" s="2"/>
    </row>
    <row r="5788" ht="1.5" customHeight="1">
      <c r="A5788" s="4" t="str">
        <f>IFERROR(__xludf.DUMMYFUNCTION("""COMPUTED_VALUE"""),"1. Microwave")</f>
        <v>1. Microwave</v>
      </c>
      <c r="B5788" s="4" t="str">
        <f>IFERROR(__xludf.DUMMYFUNCTION("""COMPUTED_VALUE"""),"1")</f>
        <v>1</v>
      </c>
      <c r="C5788" s="5" t="str">
        <f>IFERROR(__xludf.DUMMYFUNCTION("""COMPUTED_VALUE"""),"https://drive.google.com/file/d/1MLfjG1Ym8Aq7IuUqfSbXTEvb7Ufd8FJf/view?usp=drivesdk")</f>
        <v>https://drive.google.com/file/d/1MLfjG1Ym8Aq7IuUqfSbXTEvb7Ufd8FJf/view?usp=drivesdk</v>
      </c>
      <c r="D5788" s="12"/>
      <c r="E5788" s="11">
        <v>5826.0</v>
      </c>
      <c r="F5788" s="2"/>
    </row>
    <row r="5789" ht="1.5" customHeight="1">
      <c r="A5789" s="4" t="str">
        <f>IFERROR(__xludf.DUMMYFUNCTION("""COMPUTED_VALUE"""),"94. Itztli")</f>
        <v>94. Itztli</v>
      </c>
      <c r="B5789" s="4" t="str">
        <f>IFERROR(__xludf.DUMMYFUNCTION("""COMPUTED_VALUE"""),"94")</f>
        <v>94</v>
      </c>
      <c r="C5789" s="5" t="str">
        <f>IFERROR(__xludf.DUMMYFUNCTION("""COMPUTED_VALUE"""),"https://drive.google.com/file/d/1RZXxFulMF9zTXT0-Pap8PHSxf3eat_-t/view?usp=drivesdk")</f>
        <v>https://drive.google.com/file/d/1RZXxFulMF9zTXT0-Pap8PHSxf3eat_-t/view?usp=drivesdk</v>
      </c>
      <c r="D5789" s="12"/>
      <c r="E5789" s="11">
        <v>5827.0</v>
      </c>
      <c r="F5789" s="2"/>
    </row>
    <row r="5790" ht="1.5" customHeight="1">
      <c r="A5790" s="4" t="str">
        <f>IFERROR(__xludf.DUMMYFUNCTION("""COMPUTED_VALUE"""),"94. Itztli")</f>
        <v>94. Itztli</v>
      </c>
      <c r="B5790" s="4" t="str">
        <f>IFERROR(__xludf.DUMMYFUNCTION("""COMPUTED_VALUE"""),"94")</f>
        <v>94</v>
      </c>
      <c r="C5790" s="5" t="str">
        <f>IFERROR(__xludf.DUMMYFUNCTION("""COMPUTED_VALUE"""),"https://drive.google.com/file/d/1Iem7mV06RzJyIJClb_lTXtrEYvsNx3q9/view?usp=drivesdk")</f>
        <v>https://drive.google.com/file/d/1Iem7mV06RzJyIJClb_lTXtrEYvsNx3q9/view?usp=drivesdk</v>
      </c>
      <c r="D5790" s="12"/>
      <c r="E5790" s="11">
        <v>5828.0</v>
      </c>
      <c r="F5790" s="2"/>
    </row>
    <row r="5791" ht="1.5" customHeight="1">
      <c r="A5791" s="4" t="str">
        <f>IFERROR(__xludf.DUMMYFUNCTION("""COMPUTED_VALUE"""),"1. Microwave")</f>
        <v>1. Microwave</v>
      </c>
      <c r="B5791" s="4" t="str">
        <f>IFERROR(__xludf.DUMMYFUNCTION("""COMPUTED_VALUE"""),"1")</f>
        <v>1</v>
      </c>
      <c r="C5791" s="5" t="str">
        <f>IFERROR(__xludf.DUMMYFUNCTION("""COMPUTED_VALUE"""),"https://drive.google.com/file/d/16RjKxqUW_FweDP2fl36crPqnFySrKLHb/view?usp=drivesdk")</f>
        <v>https://drive.google.com/file/d/16RjKxqUW_FweDP2fl36crPqnFySrKLHb/view?usp=drivesdk</v>
      </c>
      <c r="D5791" s="12"/>
      <c r="E5791" s="11">
        <v>5829.0</v>
      </c>
      <c r="F5791" s="2"/>
    </row>
    <row r="5792" ht="1.5" customHeight="1">
      <c r="A5792" s="4" t="str">
        <f>IFERROR(__xludf.DUMMYFUNCTION("""COMPUTED_VALUE"""),"2. Twix")</f>
        <v>2. Twix</v>
      </c>
      <c r="B5792" s="4" t="str">
        <f>IFERROR(__xludf.DUMMYFUNCTION("""COMPUTED_VALUE"""),"2")</f>
        <v>2</v>
      </c>
      <c r="C5792" s="5" t="str">
        <f>IFERROR(__xludf.DUMMYFUNCTION("""COMPUTED_VALUE"""),"https://drive.google.com/file/d/1rooLYRTfcXwzWeS8oDHOOAJruxtouiCs/view?usp=drivesdk")</f>
        <v>https://drive.google.com/file/d/1rooLYRTfcXwzWeS8oDHOOAJruxtouiCs/view?usp=drivesdk</v>
      </c>
      <c r="D5792" s="12"/>
      <c r="E5792" s="11">
        <v>5830.0</v>
      </c>
      <c r="F5792" s="2"/>
    </row>
    <row r="5793" ht="1.5" customHeight="1">
      <c r="A5793" s="4" t="str">
        <f>IFERROR(__xludf.DUMMYFUNCTION("""COMPUTED_VALUE"""),"2. Twix")</f>
        <v>2. Twix</v>
      </c>
      <c r="B5793" s="4" t="str">
        <f>IFERROR(__xludf.DUMMYFUNCTION("""COMPUTED_VALUE"""),"2")</f>
        <v>2</v>
      </c>
      <c r="C5793" s="5" t="str">
        <f>IFERROR(__xludf.DUMMYFUNCTION("""COMPUTED_VALUE"""),"https://drive.google.com/file/d/1dw3RkP3r7rV3pGWsucg5spY8oXg_Tw9X/view?usp=drivesdk")</f>
        <v>https://drive.google.com/file/d/1dw3RkP3r7rV3pGWsucg5spY8oXg_Tw9X/view?usp=drivesdk</v>
      </c>
      <c r="D5793" s="12"/>
      <c r="E5793" s="11">
        <v>5831.0</v>
      </c>
      <c r="F5793" s="2"/>
    </row>
    <row r="5794" ht="1.5" customHeight="1">
      <c r="A5794" s="4" t="str">
        <f>IFERROR(__xludf.DUMMYFUNCTION("""COMPUTED_VALUE"""),"5. Eraser")</f>
        <v>5. Eraser</v>
      </c>
      <c r="B5794" s="4" t="str">
        <f>IFERROR(__xludf.DUMMYFUNCTION("""COMPUTED_VALUE"""),"5")</f>
        <v>5</v>
      </c>
      <c r="C5794" s="5" t="str">
        <f>IFERROR(__xludf.DUMMYFUNCTION("""COMPUTED_VALUE"""),"https://drive.google.com/file/d/1VEU8C7tTVh871wijX0diwx7LBg2MU6yF/view?usp=drivesdk")</f>
        <v>https://drive.google.com/file/d/1VEU8C7tTVh871wijX0diwx7LBg2MU6yF/view?usp=drivesdk</v>
      </c>
      <c r="D5794" s="12"/>
      <c r="E5794" s="11">
        <v>5832.0</v>
      </c>
      <c r="F5794" s="2"/>
    </row>
    <row r="5795" ht="1.5" customHeight="1">
      <c r="A5795" s="4" t="str">
        <f>IFERROR(__xludf.DUMMYFUNCTION("""COMPUTED_VALUE"""),"1. Microwave")</f>
        <v>1. Microwave</v>
      </c>
      <c r="B5795" s="4" t="str">
        <f>IFERROR(__xludf.DUMMYFUNCTION("""COMPUTED_VALUE"""),"1")</f>
        <v>1</v>
      </c>
      <c r="C5795" s="5" t="str">
        <f>IFERROR(__xludf.DUMMYFUNCTION("""COMPUTED_VALUE"""),"https://drive.google.com/file/d/1bB7WvjcunhC7aQcOhoBvSu7wdrTsH3rH/view?usp=drivesdk")</f>
        <v>https://drive.google.com/file/d/1bB7WvjcunhC7aQcOhoBvSu7wdrTsH3rH/view?usp=drivesdk</v>
      </c>
      <c r="D5795" s="12"/>
      <c r="E5795" s="11">
        <v>5833.0</v>
      </c>
      <c r="F5795" s="2"/>
    </row>
    <row r="5796" ht="1.5" customHeight="1">
      <c r="A5796" s="4" t="str">
        <f>IFERROR(__xludf.DUMMYFUNCTION("""COMPUTED_VALUE"""),"1. Microwave")</f>
        <v>1. Microwave</v>
      </c>
      <c r="B5796" s="4" t="str">
        <f>IFERROR(__xludf.DUMMYFUNCTION("""COMPUTED_VALUE"""),"1")</f>
        <v>1</v>
      </c>
      <c r="C5796" s="5" t="str">
        <f>IFERROR(__xludf.DUMMYFUNCTION("""COMPUTED_VALUE"""),"https://drive.google.com/file/d/1sA7SxA4rkJCwax1dg9ptVLs4mihmdTlE/view?usp=drivesdk")</f>
        <v>https://drive.google.com/file/d/1sA7SxA4rkJCwax1dg9ptVLs4mihmdTlE/view?usp=drivesdk</v>
      </c>
      <c r="D5796" s="12"/>
      <c r="E5796" s="11">
        <v>5834.0</v>
      </c>
      <c r="F5796" s="2"/>
    </row>
    <row r="5797" ht="1.5" customHeight="1">
      <c r="A5797" s="4" t="str">
        <f>IFERROR(__xludf.DUMMYFUNCTION("""COMPUTED_VALUE"""),"1. Microwave")</f>
        <v>1. Microwave</v>
      </c>
      <c r="B5797" s="4" t="str">
        <f>IFERROR(__xludf.DUMMYFUNCTION("""COMPUTED_VALUE"""),"1")</f>
        <v>1</v>
      </c>
      <c r="C5797" s="5" t="str">
        <f>IFERROR(__xludf.DUMMYFUNCTION("""COMPUTED_VALUE"""),"https://drive.google.com/file/d/17ud5Gi4bQB0By9v7AtcXSik8MJ_vN2tr/view?usp=drivesdk")</f>
        <v>https://drive.google.com/file/d/17ud5Gi4bQB0By9v7AtcXSik8MJ_vN2tr/view?usp=drivesdk</v>
      </c>
      <c r="D5797" s="12"/>
      <c r="E5797" s="11">
        <v>5835.0</v>
      </c>
      <c r="F5797" s="2"/>
    </row>
    <row r="5798" ht="1.5" customHeight="1">
      <c r="A5798" s="4" t="str">
        <f>IFERROR(__xludf.DUMMYFUNCTION("""COMPUTED_VALUE"""),"1. Microwave")</f>
        <v>1. Microwave</v>
      </c>
      <c r="B5798" s="4" t="str">
        <f>IFERROR(__xludf.DUMMYFUNCTION("""COMPUTED_VALUE"""),"1")</f>
        <v>1</v>
      </c>
      <c r="C5798" s="5" t="str">
        <f>IFERROR(__xludf.DUMMYFUNCTION("""COMPUTED_VALUE"""),"https://drive.google.com/file/d/1Cyztw5abSp8C_QZvP_iEnOAHj0lopo_o/view?usp=drivesdk")</f>
        <v>https://drive.google.com/file/d/1Cyztw5abSp8C_QZvP_iEnOAHj0lopo_o/view?usp=drivesdk</v>
      </c>
      <c r="D5798" s="12"/>
      <c r="E5798" s="11">
        <v>5836.0</v>
      </c>
      <c r="F5798" s="2"/>
    </row>
    <row r="5799" ht="1.5" customHeight="1">
      <c r="A5799" s="4" t="str">
        <f>IFERROR(__xludf.DUMMYFUNCTION("""COMPUTED_VALUE"""),"1. Microwave")</f>
        <v>1. Microwave</v>
      </c>
      <c r="B5799" s="4" t="str">
        <f>IFERROR(__xludf.DUMMYFUNCTION("""COMPUTED_VALUE"""),"1")</f>
        <v>1</v>
      </c>
      <c r="C5799" s="5" t="str">
        <f>IFERROR(__xludf.DUMMYFUNCTION("""COMPUTED_VALUE"""),"https://drive.google.com/file/d/1uLqaZbg1cmlH75queIlji8GKQ3qxChVf/view?usp=drivesdk")</f>
        <v>https://drive.google.com/file/d/1uLqaZbg1cmlH75queIlji8GKQ3qxChVf/view?usp=drivesdk</v>
      </c>
      <c r="D5799" s="12"/>
      <c r="E5799" s="11">
        <v>5837.0</v>
      </c>
      <c r="F5799" s="2"/>
    </row>
    <row r="5800" ht="1.5" customHeight="1">
      <c r="A5800" s="4" t="str">
        <f>IFERROR(__xludf.DUMMYFUNCTION("""COMPUTED_VALUE"""),"1. Microwave")</f>
        <v>1. Microwave</v>
      </c>
      <c r="B5800" s="4" t="str">
        <f>IFERROR(__xludf.DUMMYFUNCTION("""COMPUTED_VALUE"""),"1")</f>
        <v>1</v>
      </c>
      <c r="C5800" s="5" t="str">
        <f>IFERROR(__xludf.DUMMYFUNCTION("""COMPUTED_VALUE"""),"https://drive.google.com/file/d/1tyyKUPShXiXSIEEqia-rwSrUO-muBcT-/view?usp=drivesdk")</f>
        <v>https://drive.google.com/file/d/1tyyKUPShXiXSIEEqia-rwSrUO-muBcT-/view?usp=drivesdk</v>
      </c>
      <c r="D5800" s="12"/>
      <c r="E5800" s="11">
        <v>5838.0</v>
      </c>
      <c r="F5800" s="2"/>
    </row>
    <row r="5801" ht="1.5" customHeight="1">
      <c r="A5801" s="4" t="str">
        <f>IFERROR(__xludf.DUMMYFUNCTION("""COMPUTED_VALUE"""),"1. Microwave")</f>
        <v>1. Microwave</v>
      </c>
      <c r="B5801" s="4" t="str">
        <f>IFERROR(__xludf.DUMMYFUNCTION("""COMPUTED_VALUE"""),"1")</f>
        <v>1</v>
      </c>
      <c r="C5801" s="5" t="str">
        <f>IFERROR(__xludf.DUMMYFUNCTION("""COMPUTED_VALUE"""),"https://drive.google.com/file/d/1lZWX9F01sq3zM5iL6Nr_yyLdEOVb2VG6/view?usp=drivesdk")</f>
        <v>https://drive.google.com/file/d/1lZWX9F01sq3zM5iL6Nr_yyLdEOVb2VG6/view?usp=drivesdk</v>
      </c>
      <c r="D5801" s="12"/>
      <c r="E5801" s="11">
        <v>5839.0</v>
      </c>
      <c r="F5801" s="2"/>
    </row>
    <row r="5802" ht="1.5" customHeight="1">
      <c r="A5802" s="4" t="str">
        <f>IFERROR(__xludf.DUMMYFUNCTION("""COMPUTED_VALUE"""),"1. Microwave")</f>
        <v>1. Microwave</v>
      </c>
      <c r="B5802" s="4" t="str">
        <f>IFERROR(__xludf.DUMMYFUNCTION("""COMPUTED_VALUE"""),"1")</f>
        <v>1</v>
      </c>
      <c r="C5802" s="5" t="str">
        <f>IFERROR(__xludf.DUMMYFUNCTION("""COMPUTED_VALUE"""),"https://drive.google.com/file/d/18AM1YMwHRoIJgwJ7kBHRQUTvZWfD8in0/view?usp=drivesdk")</f>
        <v>https://drive.google.com/file/d/18AM1YMwHRoIJgwJ7kBHRQUTvZWfD8in0/view?usp=drivesdk</v>
      </c>
      <c r="D5802" s="12"/>
      <c r="E5802" s="11">
        <v>5840.0</v>
      </c>
      <c r="F5802" s="2"/>
    </row>
    <row r="5803" ht="1.5" customHeight="1">
      <c r="A5803" s="4" t="str">
        <f>IFERROR(__xludf.DUMMYFUNCTION("""COMPUTED_VALUE"""),"35. Stove")</f>
        <v>35. Stove</v>
      </c>
      <c r="B5803" s="4" t="str">
        <f>IFERROR(__xludf.DUMMYFUNCTION("""COMPUTED_VALUE"""),"35")</f>
        <v>35</v>
      </c>
      <c r="C5803" s="5" t="str">
        <f>IFERROR(__xludf.DUMMYFUNCTION("""COMPUTED_VALUE"""),"https://drive.google.com/file/d/1Ba8WvMwPmOTqFZ3Ea3p0kESZrsJh1OhB/view?usp=drivesdk")</f>
        <v>https://drive.google.com/file/d/1Ba8WvMwPmOTqFZ3Ea3p0kESZrsJh1OhB/view?usp=drivesdk</v>
      </c>
      <c r="D5803" s="12"/>
      <c r="E5803" s="11">
        <v>5841.0</v>
      </c>
      <c r="F5803" s="2"/>
    </row>
    <row r="5804" ht="1.5" customHeight="1">
      <c r="A5804" s="4" t="str">
        <f>IFERROR(__xludf.DUMMYFUNCTION("""COMPUTED_VALUE"""),"1. Microwave")</f>
        <v>1. Microwave</v>
      </c>
      <c r="B5804" s="4" t="str">
        <f>IFERROR(__xludf.DUMMYFUNCTION("""COMPUTED_VALUE"""),"1")</f>
        <v>1</v>
      </c>
      <c r="C5804" s="5" t="str">
        <f>IFERROR(__xludf.DUMMYFUNCTION("""COMPUTED_VALUE"""),"https://drive.google.com/file/d/1t3soDGMIxqJslCu_AxlH7o3WZ7kH7cN3/view?usp=drivesdk")</f>
        <v>https://drive.google.com/file/d/1t3soDGMIxqJslCu_AxlH7o3WZ7kH7cN3/view?usp=drivesdk</v>
      </c>
      <c r="D5804" s="12"/>
      <c r="E5804" s="11">
        <v>5842.0</v>
      </c>
      <c r="F5804" s="2"/>
    </row>
    <row r="5805" ht="1.5" customHeight="1">
      <c r="A5805" s="4" t="str">
        <f>IFERROR(__xludf.DUMMYFUNCTION("""COMPUTED_VALUE"""),"1. Microwave")</f>
        <v>1. Microwave</v>
      </c>
      <c r="B5805" s="4" t="str">
        <f>IFERROR(__xludf.DUMMYFUNCTION("""COMPUTED_VALUE"""),"1")</f>
        <v>1</v>
      </c>
      <c r="C5805" s="5" t="str">
        <f>IFERROR(__xludf.DUMMYFUNCTION("""COMPUTED_VALUE"""),"https://drive.google.com/file/d/1nIuBNGP_E70Crw3dfVjQI-W7fTnj0jDf/view?usp=drivesdk")</f>
        <v>https://drive.google.com/file/d/1nIuBNGP_E70Crw3dfVjQI-W7fTnj0jDf/view?usp=drivesdk</v>
      </c>
      <c r="D5805" s="12"/>
      <c r="E5805" s="11">
        <v>5843.0</v>
      </c>
      <c r="F5805" s="2"/>
    </row>
    <row r="5806" ht="1.5" customHeight="1">
      <c r="A5806" s="4" t="str">
        <f>IFERROR(__xludf.DUMMYFUNCTION("""COMPUTED_VALUE"""),"1. Microwave")</f>
        <v>1. Microwave</v>
      </c>
      <c r="B5806" s="4" t="str">
        <f>IFERROR(__xludf.DUMMYFUNCTION("""COMPUTED_VALUE"""),"1")</f>
        <v>1</v>
      </c>
      <c r="C5806" s="5" t="str">
        <f>IFERROR(__xludf.DUMMYFUNCTION("""COMPUTED_VALUE"""),"https://drive.google.com/file/d/1zpNi9CjwsCQ05PVg0mw948Aa7xn39bPc/view?usp=drivesdk")</f>
        <v>https://drive.google.com/file/d/1zpNi9CjwsCQ05PVg0mw948Aa7xn39bPc/view?usp=drivesdk</v>
      </c>
      <c r="D5806" s="12"/>
      <c r="E5806" s="11">
        <v>5844.0</v>
      </c>
      <c r="F5806" s="2"/>
    </row>
    <row r="5807" ht="1.5" customHeight="1">
      <c r="A5807" s="4" t="str">
        <f>IFERROR(__xludf.DUMMYFUNCTION("""COMPUTED_VALUE"""),"1. Microwave")</f>
        <v>1. Microwave</v>
      </c>
      <c r="B5807" s="4" t="str">
        <f>IFERROR(__xludf.DUMMYFUNCTION("""COMPUTED_VALUE"""),"1")</f>
        <v>1</v>
      </c>
      <c r="C5807" s="5" t="str">
        <f>IFERROR(__xludf.DUMMYFUNCTION("""COMPUTED_VALUE"""),"https://drive.google.com/file/d/1NcauuNutTkqBuz3NE4pQY4eXN53mw4Ji/view?usp=drivesdk")</f>
        <v>https://drive.google.com/file/d/1NcauuNutTkqBuz3NE4pQY4eXN53mw4Ji/view?usp=drivesdk</v>
      </c>
      <c r="D5807" s="12"/>
      <c r="E5807" s="11">
        <v>5845.0</v>
      </c>
      <c r="F5807" s="2"/>
    </row>
    <row r="5808" ht="1.5" customHeight="1">
      <c r="A5808" s="4" t="str">
        <f>IFERROR(__xludf.DUMMYFUNCTION("""COMPUTED_VALUE"""),"116. Itzel")</f>
        <v>116. Itzel</v>
      </c>
      <c r="B5808" s="4" t="str">
        <f>IFERROR(__xludf.DUMMYFUNCTION("""COMPUTED_VALUE"""),"116")</f>
        <v>116</v>
      </c>
      <c r="C5808" s="5" t="str">
        <f>IFERROR(__xludf.DUMMYFUNCTION("""COMPUTED_VALUE"""),"https://drive.google.com/file/d/1_Kap8faNm-dCTbOxZELYhQNXp3OPb272/view?usp=drivesdk")</f>
        <v>https://drive.google.com/file/d/1_Kap8faNm-dCTbOxZELYhQNXp3OPb272/view?usp=drivesdk</v>
      </c>
      <c r="D5808" s="12"/>
      <c r="E5808" s="11">
        <v>5846.0</v>
      </c>
      <c r="F5808" s="2"/>
    </row>
    <row r="5809" ht="1.5" customHeight="1">
      <c r="A5809" s="4" t="str">
        <f>IFERROR(__xludf.DUMMYFUNCTION("""COMPUTED_VALUE"""),"92. Cloudy")</f>
        <v>92. Cloudy</v>
      </c>
      <c r="B5809" s="4" t="str">
        <f>IFERROR(__xludf.DUMMYFUNCTION("""COMPUTED_VALUE"""),"92")</f>
        <v>92</v>
      </c>
      <c r="C5809" s="5" t="str">
        <f>IFERROR(__xludf.DUMMYFUNCTION("""COMPUTED_VALUE"""),"https://drive.google.com/file/d/1dD3Zy95fC15BCeVti7YiU2cafle7n7yG/view?usp=drivesdk")</f>
        <v>https://drive.google.com/file/d/1dD3Zy95fC15BCeVti7YiU2cafle7n7yG/view?usp=drivesdk</v>
      </c>
      <c r="D5809" s="12"/>
      <c r="E5809" s="11">
        <v>5847.0</v>
      </c>
      <c r="F5809" s="2"/>
    </row>
    <row r="5810" ht="1.5" customHeight="1">
      <c r="A5810" s="4" t="str">
        <f>IFERROR(__xludf.DUMMYFUNCTION("""COMPUTED_VALUE"""),"80. Atzi")</f>
        <v>80. Atzi</v>
      </c>
      <c r="B5810" s="4" t="str">
        <f>IFERROR(__xludf.DUMMYFUNCTION("""COMPUTED_VALUE"""),"80")</f>
        <v>80</v>
      </c>
      <c r="C5810" s="5" t="str">
        <f>IFERROR(__xludf.DUMMYFUNCTION("""COMPUTED_VALUE"""),"https://drive.google.com/file/d/1ijQeqCPTTL2hVRx2ZUI3ZSg4jEikmarW/view?usp=drivesdk")</f>
        <v>https://drive.google.com/file/d/1ijQeqCPTTL2hVRx2ZUI3ZSg4jEikmarW/view?usp=drivesdk</v>
      </c>
      <c r="D5810" s="12"/>
      <c r="E5810" s="11">
        <v>5848.0</v>
      </c>
      <c r="F5810" s="2"/>
    </row>
    <row r="5811" ht="1.5" customHeight="1">
      <c r="A5811" s="4" t="str">
        <f>IFERROR(__xludf.DUMMYFUNCTION("""COMPUTED_VALUE"""),"108. Mazatl")</f>
        <v>108. Mazatl</v>
      </c>
      <c r="B5811" s="4" t="str">
        <f>IFERROR(__xludf.DUMMYFUNCTION("""COMPUTED_VALUE"""),"108")</f>
        <v>108</v>
      </c>
      <c r="C5811" s="5" t="str">
        <f>IFERROR(__xludf.DUMMYFUNCTION("""COMPUTED_VALUE"""),"https://drive.google.com/file/d/1OufJWSOD73yvOaNZc1eN8gSU3srmdsTI/view?usp=drivesdk")</f>
        <v>https://drive.google.com/file/d/1OufJWSOD73yvOaNZc1eN8gSU3srmdsTI/view?usp=drivesdk</v>
      </c>
      <c r="D5811" s="12"/>
      <c r="E5811" s="11">
        <v>5849.0</v>
      </c>
      <c r="F5811" s="2"/>
    </row>
    <row r="5812" ht="1.5" customHeight="1">
      <c r="A5812" s="4" t="str">
        <f>IFERROR(__xludf.DUMMYFUNCTION("""COMPUTED_VALUE"""),"108. Mazatl")</f>
        <v>108. Mazatl</v>
      </c>
      <c r="B5812" s="4" t="str">
        <f>IFERROR(__xludf.DUMMYFUNCTION("""COMPUTED_VALUE"""),"108")</f>
        <v>108</v>
      </c>
      <c r="C5812" s="5" t="str">
        <f>IFERROR(__xludf.DUMMYFUNCTION("""COMPUTED_VALUE"""),"https://drive.google.com/file/d/12KH60aplhDwmuzkwniWQcKrJ5oP30b_q/view?usp=drivesdk")</f>
        <v>https://drive.google.com/file/d/12KH60aplhDwmuzkwniWQcKrJ5oP30b_q/view?usp=drivesdk</v>
      </c>
      <c r="D5812" s="12"/>
      <c r="E5812" s="11">
        <v>5850.0</v>
      </c>
      <c r="F5812" s="2"/>
    </row>
    <row r="5813" ht="1.5" customHeight="1">
      <c r="A5813" s="4" t="str">
        <f>IFERROR(__xludf.DUMMYFUNCTION("""COMPUTED_VALUE"""),"98. Timon")</f>
        <v>98. Timon</v>
      </c>
      <c r="B5813" s="4" t="str">
        <f>IFERROR(__xludf.DUMMYFUNCTION("""COMPUTED_VALUE"""),"98")</f>
        <v>98</v>
      </c>
      <c r="C5813" s="5" t="str">
        <f>IFERROR(__xludf.DUMMYFUNCTION("""COMPUTED_VALUE"""),"https://drive.google.com/file/d/1-ONUzhXXe5eg7C5CoqdOvxdDoeir39GL/view?usp=drivesdk")</f>
        <v>https://drive.google.com/file/d/1-ONUzhXXe5eg7C5CoqdOvxdDoeir39GL/view?usp=drivesdk</v>
      </c>
      <c r="D5813" s="12"/>
      <c r="E5813" s="11">
        <v>5851.0</v>
      </c>
      <c r="F5813" s="2"/>
    </row>
    <row r="5814" ht="1.5" customHeight="1">
      <c r="A5814" s="4" t="str">
        <f>IFERROR(__xludf.DUMMYFUNCTION("""COMPUTED_VALUE"""),"115. Toothless")</f>
        <v>115. Toothless</v>
      </c>
      <c r="B5814" s="4" t="str">
        <f>IFERROR(__xludf.DUMMYFUNCTION("""COMPUTED_VALUE"""),"115")</f>
        <v>115</v>
      </c>
      <c r="C5814" s="5" t="str">
        <f>IFERROR(__xludf.DUMMYFUNCTION("""COMPUTED_VALUE"""),"https://drive.google.com/file/d/1xZNwCChy3uwRD2Z4nDYZmPa5mit5acih/view?usp=drivesdk")</f>
        <v>https://drive.google.com/file/d/1xZNwCChy3uwRD2Z4nDYZmPa5mit5acih/view?usp=drivesdk</v>
      </c>
      <c r="D5814" s="12"/>
      <c r="E5814" s="11">
        <v>5852.0</v>
      </c>
      <c r="F5814" s="2"/>
    </row>
    <row r="5815" ht="1.5" customHeight="1">
      <c r="A5815" s="4" t="str">
        <f>IFERROR(__xludf.DUMMYFUNCTION("""COMPUTED_VALUE"""),"115. Toothless")</f>
        <v>115. Toothless</v>
      </c>
      <c r="B5815" s="4" t="str">
        <f>IFERROR(__xludf.DUMMYFUNCTION("""COMPUTED_VALUE"""),"115")</f>
        <v>115</v>
      </c>
      <c r="C5815" s="5" t="str">
        <f>IFERROR(__xludf.DUMMYFUNCTION("""COMPUTED_VALUE"""),"https://drive.google.com/file/d/1Zk4j-JOxs2nNGKK39Q5oE_ZZytOFM_z7/view?usp=drivesdk")</f>
        <v>https://drive.google.com/file/d/1Zk4j-JOxs2nNGKK39Q5oE_ZZytOFM_z7/view?usp=drivesdk</v>
      </c>
      <c r="D5815" s="12"/>
      <c r="E5815" s="11">
        <v>5853.0</v>
      </c>
      <c r="F5815" s="2"/>
    </row>
    <row r="5816" ht="1.5" customHeight="1">
      <c r="A5816" s="4" t="str">
        <f>IFERROR(__xludf.DUMMYFUNCTION("""COMPUTED_VALUE"""),"115. Toothless")</f>
        <v>115. Toothless</v>
      </c>
      <c r="B5816" s="4" t="str">
        <f>IFERROR(__xludf.DUMMYFUNCTION("""COMPUTED_VALUE"""),"115")</f>
        <v>115</v>
      </c>
      <c r="C5816" s="5" t="str">
        <f>IFERROR(__xludf.DUMMYFUNCTION("""COMPUTED_VALUE"""),"https://drive.google.com/file/d/1_JTKsjYtknnLQTpM3LBgvD2toZpmGqjh/view?usp=drivesdk")</f>
        <v>https://drive.google.com/file/d/1_JTKsjYtknnLQTpM3LBgvD2toZpmGqjh/view?usp=drivesdk</v>
      </c>
      <c r="D5816" s="12"/>
      <c r="E5816" s="11">
        <v>5854.0</v>
      </c>
      <c r="F5816" s="2"/>
    </row>
    <row r="5817" ht="1.5" customHeight="1">
      <c r="A5817" s="4" t="str">
        <f>IFERROR(__xludf.DUMMYFUNCTION("""COMPUTED_VALUE"""),"115. Toothless")</f>
        <v>115. Toothless</v>
      </c>
      <c r="B5817" s="4" t="str">
        <f>IFERROR(__xludf.DUMMYFUNCTION("""COMPUTED_VALUE"""),"115")</f>
        <v>115</v>
      </c>
      <c r="C5817" s="5" t="str">
        <f>IFERROR(__xludf.DUMMYFUNCTION("""COMPUTED_VALUE"""),"https://drive.google.com/file/d/1lqpPqYUAtWUtVgaEY893MD88qfikzokq/view?usp=drivesdk")</f>
        <v>https://drive.google.com/file/d/1lqpPqYUAtWUtVgaEY893MD88qfikzokq/view?usp=drivesdk</v>
      </c>
      <c r="D5817" s="12"/>
      <c r="E5817" s="11">
        <v>5855.0</v>
      </c>
      <c r="F5817" s="2"/>
    </row>
    <row r="5818" ht="1.5" customHeight="1">
      <c r="A5818" s="4" t="str">
        <f>IFERROR(__xludf.DUMMYFUNCTION("""COMPUTED_VALUE"""),"115. Toothless")</f>
        <v>115. Toothless</v>
      </c>
      <c r="B5818" s="4" t="str">
        <f>IFERROR(__xludf.DUMMYFUNCTION("""COMPUTED_VALUE"""),"115")</f>
        <v>115</v>
      </c>
      <c r="C5818" s="5" t="str">
        <f>IFERROR(__xludf.DUMMYFUNCTION("""COMPUTED_VALUE"""),"https://drive.google.com/file/d/1uUY3n7_9KX18fMa9yXXH3cW8cypc77nl/view?usp=drivesdk")</f>
        <v>https://drive.google.com/file/d/1uUY3n7_9KX18fMa9yXXH3cW8cypc77nl/view?usp=drivesdk</v>
      </c>
      <c r="D5818" s="12"/>
      <c r="E5818" s="11">
        <v>5856.0</v>
      </c>
      <c r="F5818" s="2"/>
    </row>
    <row r="5819" ht="1.5" customHeight="1">
      <c r="A5819" s="4" t="str">
        <f>IFERROR(__xludf.DUMMYFUNCTION("""COMPUTED_VALUE"""),"115. Toothless")</f>
        <v>115. Toothless</v>
      </c>
      <c r="B5819" s="4" t="str">
        <f>IFERROR(__xludf.DUMMYFUNCTION("""COMPUTED_VALUE"""),"115")</f>
        <v>115</v>
      </c>
      <c r="C5819" s="5" t="str">
        <f>IFERROR(__xludf.DUMMYFUNCTION("""COMPUTED_VALUE"""),"https://drive.google.com/file/d/107Jqwwh-XEkFPetvXWEotlxcozAciZPE/view?usp=drivesdk")</f>
        <v>https://drive.google.com/file/d/107Jqwwh-XEkFPetvXWEotlxcozAciZPE/view?usp=drivesdk</v>
      </c>
      <c r="D5819" s="12"/>
      <c r="E5819" s="11">
        <v>5857.0</v>
      </c>
      <c r="F5819" s="2"/>
    </row>
    <row r="5820" ht="1.5" customHeight="1">
      <c r="A5820" s="4" t="str">
        <f>IFERROR(__xludf.DUMMYFUNCTION("""COMPUTED_VALUE"""),"115. Toothless")</f>
        <v>115. Toothless</v>
      </c>
      <c r="B5820" s="4" t="str">
        <f>IFERROR(__xludf.DUMMYFUNCTION("""COMPUTED_VALUE"""),"115")</f>
        <v>115</v>
      </c>
      <c r="C5820" s="5" t="str">
        <f>IFERROR(__xludf.DUMMYFUNCTION("""COMPUTED_VALUE"""),"https://drive.google.com/file/d/1SagWciasSRuwlH2RmZVd2IbQrAfiTJ0g/view?usp=drivesdk")</f>
        <v>https://drive.google.com/file/d/1SagWciasSRuwlH2RmZVd2IbQrAfiTJ0g/view?usp=drivesdk</v>
      </c>
      <c r="D5820" s="12"/>
      <c r="E5820" s="11">
        <v>5858.0</v>
      </c>
      <c r="F5820" s="2"/>
    </row>
    <row r="5821" ht="1.5" customHeight="1">
      <c r="A5821" s="4" t="str">
        <f>IFERROR(__xludf.DUMMYFUNCTION("""COMPUTED_VALUE"""),"115. Toothless")</f>
        <v>115. Toothless</v>
      </c>
      <c r="B5821" s="4" t="str">
        <f>IFERROR(__xludf.DUMMYFUNCTION("""COMPUTED_VALUE"""),"115")</f>
        <v>115</v>
      </c>
      <c r="C5821" s="5" t="str">
        <f>IFERROR(__xludf.DUMMYFUNCTION("""COMPUTED_VALUE"""),"https://drive.google.com/file/d/1PRsfrXNXmQ5HbZ_jLTrudmr4EMxii14R/view?usp=drivesdk")</f>
        <v>https://drive.google.com/file/d/1PRsfrXNXmQ5HbZ_jLTrudmr4EMxii14R/view?usp=drivesdk</v>
      </c>
      <c r="D5821" s="12"/>
      <c r="E5821" s="11">
        <v>5859.0</v>
      </c>
      <c r="F5821" s="2"/>
    </row>
    <row r="5822" ht="1.5" customHeight="1">
      <c r="A5822" s="4" t="str">
        <f>IFERROR(__xludf.DUMMYFUNCTION("""COMPUTED_VALUE"""),"115. Toothless")</f>
        <v>115. Toothless</v>
      </c>
      <c r="B5822" s="4" t="str">
        <f>IFERROR(__xludf.DUMMYFUNCTION("""COMPUTED_VALUE"""),"115")</f>
        <v>115</v>
      </c>
      <c r="C5822" s="5" t="str">
        <f>IFERROR(__xludf.DUMMYFUNCTION("""COMPUTED_VALUE"""),"https://drive.google.com/file/d/1Og7MAZYFq8bRtcEUH3R9E690KLbQbUk3/view?usp=drivesdk")</f>
        <v>https://drive.google.com/file/d/1Og7MAZYFq8bRtcEUH3R9E690KLbQbUk3/view?usp=drivesdk</v>
      </c>
      <c r="D5822" s="12"/>
      <c r="E5822" s="11">
        <v>5860.0</v>
      </c>
      <c r="F5822" s="2"/>
    </row>
    <row r="5823" ht="1.5" customHeight="1">
      <c r="A5823" s="4" t="str">
        <f>IFERROR(__xludf.DUMMYFUNCTION("""COMPUTED_VALUE"""),"98. Timon")</f>
        <v>98. Timon</v>
      </c>
      <c r="B5823" s="4" t="str">
        <f>IFERROR(__xludf.DUMMYFUNCTION("""COMPUTED_VALUE"""),"98")</f>
        <v>98</v>
      </c>
      <c r="C5823" s="5" t="str">
        <f>IFERROR(__xludf.DUMMYFUNCTION("""COMPUTED_VALUE"""),"https://drive.google.com/file/d/1ljCd8FsaIe4XbJlPv6yu04ARu7EdMeVN/view?usp=drivesdk")</f>
        <v>https://drive.google.com/file/d/1ljCd8FsaIe4XbJlPv6yu04ARu7EdMeVN/view?usp=drivesdk</v>
      </c>
      <c r="D5823" s="12"/>
      <c r="E5823" s="11">
        <v>5861.0</v>
      </c>
      <c r="F5823" s="2"/>
    </row>
    <row r="5824" ht="1.5" customHeight="1">
      <c r="A5824" s="4" t="str">
        <f>IFERROR(__xludf.DUMMYFUNCTION("""COMPUTED_VALUE"""),"98. Timon")</f>
        <v>98. Timon</v>
      </c>
      <c r="B5824" s="4" t="str">
        <f>IFERROR(__xludf.DUMMYFUNCTION("""COMPUTED_VALUE"""),"98")</f>
        <v>98</v>
      </c>
      <c r="C5824" s="5" t="str">
        <f>IFERROR(__xludf.DUMMYFUNCTION("""COMPUTED_VALUE"""),"https://drive.google.com/file/d/1OMTI-SJ5TAi2eAeRKG3eucU93s6BXX0o/view?usp=drivesdk")</f>
        <v>https://drive.google.com/file/d/1OMTI-SJ5TAi2eAeRKG3eucU93s6BXX0o/view?usp=drivesdk</v>
      </c>
      <c r="D5824" s="12"/>
      <c r="E5824" s="11">
        <v>5862.0</v>
      </c>
      <c r="F5824" s="2"/>
    </row>
    <row r="5825" ht="1.5" customHeight="1">
      <c r="A5825" s="4" t="str">
        <f>IFERROR(__xludf.DUMMYFUNCTION("""COMPUTED_VALUE"""),"98. Timon")</f>
        <v>98. Timon</v>
      </c>
      <c r="B5825" s="4" t="str">
        <f>IFERROR(__xludf.DUMMYFUNCTION("""COMPUTED_VALUE"""),"98")</f>
        <v>98</v>
      </c>
      <c r="C5825" s="5" t="str">
        <f>IFERROR(__xludf.DUMMYFUNCTION("""COMPUTED_VALUE"""),"https://drive.google.com/file/d/1Iol9GcM1G10malNTZSHWkDGDUR7GQYeV/view?usp=drivesdk")</f>
        <v>https://drive.google.com/file/d/1Iol9GcM1G10malNTZSHWkDGDUR7GQYeV/view?usp=drivesdk</v>
      </c>
      <c r="D5825" s="12"/>
      <c r="E5825" s="11">
        <v>5863.0</v>
      </c>
      <c r="F5825" s="2"/>
    </row>
    <row r="5826" ht="1.5" customHeight="1">
      <c r="A5826" s="4" t="str">
        <f>IFERROR(__xludf.DUMMYFUNCTION("""COMPUTED_VALUE"""),"98. Timon")</f>
        <v>98. Timon</v>
      </c>
      <c r="B5826" s="4" t="str">
        <f>IFERROR(__xludf.DUMMYFUNCTION("""COMPUTED_VALUE"""),"98")</f>
        <v>98</v>
      </c>
      <c r="C5826" s="5" t="str">
        <f>IFERROR(__xludf.DUMMYFUNCTION("""COMPUTED_VALUE"""),"https://drive.google.com/file/d/1M0Y7gzyNY6jTY2lc0mFSKJrhGRtMbIUe/view?usp=drivesdk")</f>
        <v>https://drive.google.com/file/d/1M0Y7gzyNY6jTY2lc0mFSKJrhGRtMbIUe/view?usp=drivesdk</v>
      </c>
      <c r="D5826" s="12"/>
      <c r="E5826" s="11">
        <v>5864.0</v>
      </c>
      <c r="F5826" s="2"/>
    </row>
    <row r="5827" ht="1.5" customHeight="1">
      <c r="A5827" s="4" t="str">
        <f>IFERROR(__xludf.DUMMYFUNCTION("""COMPUTED_VALUE"""),"1. Microwave")</f>
        <v>1. Microwave</v>
      </c>
      <c r="B5827" s="4" t="str">
        <f>IFERROR(__xludf.DUMMYFUNCTION("""COMPUTED_VALUE"""),"1")</f>
        <v>1</v>
      </c>
      <c r="C5827" s="5" t="str">
        <f>IFERROR(__xludf.DUMMYFUNCTION("""COMPUTED_VALUE"""),"https://drive.google.com/file/d/1bZfBUfmijpBUk-82oOVpL1MqwkbM5-8I/view?usp=drivesdk")</f>
        <v>https://drive.google.com/file/d/1bZfBUfmijpBUk-82oOVpL1MqwkbM5-8I/view?usp=drivesdk</v>
      </c>
      <c r="D5827" s="12"/>
      <c r="E5827" s="11">
        <v>5865.0</v>
      </c>
      <c r="F5827" s="2"/>
    </row>
    <row r="5828" ht="1.5" customHeight="1">
      <c r="A5828" s="4" t="str">
        <f>IFERROR(__xludf.DUMMYFUNCTION("""COMPUTED_VALUE"""),"1. Microwave")</f>
        <v>1. Microwave</v>
      </c>
      <c r="B5828" s="4" t="str">
        <f>IFERROR(__xludf.DUMMYFUNCTION("""COMPUTED_VALUE"""),"1")</f>
        <v>1</v>
      </c>
      <c r="C5828" s="5" t="str">
        <f>IFERROR(__xludf.DUMMYFUNCTION("""COMPUTED_VALUE"""),"https://drive.google.com/file/d/1xxshudGr77hnaRyc1m3uPbLgf70venX5/view?usp=drivesdk")</f>
        <v>https://drive.google.com/file/d/1xxshudGr77hnaRyc1m3uPbLgf70venX5/view?usp=drivesdk</v>
      </c>
      <c r="D5828" s="12"/>
      <c r="E5828" s="11">
        <v>5866.0</v>
      </c>
      <c r="F5828" s="2"/>
    </row>
    <row r="5829" ht="1.5" customHeight="1">
      <c r="A5829" s="4" t="str">
        <f>IFERROR(__xludf.DUMMYFUNCTION("""COMPUTED_VALUE"""),"1. Microwave")</f>
        <v>1. Microwave</v>
      </c>
      <c r="B5829" s="4" t="str">
        <f>IFERROR(__xludf.DUMMYFUNCTION("""COMPUTED_VALUE"""),"1")</f>
        <v>1</v>
      </c>
      <c r="C5829" s="5" t="str">
        <f>IFERROR(__xludf.DUMMYFUNCTION("""COMPUTED_VALUE"""),"https://drive.google.com/file/d/1ebOJXEHHCZDzcpTljyyVZ0jYFrnlmKVr/view?usp=drivesdk")</f>
        <v>https://drive.google.com/file/d/1ebOJXEHHCZDzcpTljyyVZ0jYFrnlmKVr/view?usp=drivesdk</v>
      </c>
      <c r="D5829" s="12"/>
      <c r="E5829" s="11">
        <v>5867.0</v>
      </c>
      <c r="F5829" s="2"/>
    </row>
    <row r="5830" ht="1.5" customHeight="1">
      <c r="A5830" s="4" t="str">
        <f>IFERROR(__xludf.DUMMYFUNCTION("""COMPUTED_VALUE"""),"4. Eggs, 5. Eraser")</f>
        <v>4. Eggs, 5. Eraser</v>
      </c>
      <c r="B5830" s="4" t="str">
        <f>IFERROR(__xludf.DUMMYFUNCTION("""COMPUTED_VALUE"""),"4, 5")</f>
        <v>4, 5</v>
      </c>
      <c r="C5830" s="5" t="str">
        <f>IFERROR(__xludf.DUMMYFUNCTION("""COMPUTED_VALUE"""),"https://drive.google.com/file/d/1sFhWqW-PqKUeJnk79k1oDevF9eMNc7E2/view?usp=drivesdk")</f>
        <v>https://drive.google.com/file/d/1sFhWqW-PqKUeJnk79k1oDevF9eMNc7E2/view?usp=drivesdk</v>
      </c>
      <c r="D5830" s="12"/>
      <c r="E5830" s="11">
        <v>5868.0</v>
      </c>
      <c r="F5830" s="2"/>
    </row>
    <row r="5831" ht="1.5" customHeight="1">
      <c r="A5831" s="4" t="str">
        <f>IFERROR(__xludf.DUMMYFUNCTION("""COMPUTED_VALUE"""),"4. Eggs, 5. Eraser")</f>
        <v>4. Eggs, 5. Eraser</v>
      </c>
      <c r="B5831" s="4" t="str">
        <f>IFERROR(__xludf.DUMMYFUNCTION("""COMPUTED_VALUE"""),"4, 5")</f>
        <v>4, 5</v>
      </c>
      <c r="C5831" s="5" t="str">
        <f>IFERROR(__xludf.DUMMYFUNCTION("""COMPUTED_VALUE"""),"https://drive.google.com/file/d/1uXwt2lyv4IA5tOmFT1bGyurPQZHV-MOO/view?usp=drivesdk")</f>
        <v>https://drive.google.com/file/d/1uXwt2lyv4IA5tOmFT1bGyurPQZHV-MOO/view?usp=drivesdk</v>
      </c>
      <c r="D5831" s="12"/>
      <c r="E5831" s="11">
        <v>5869.0</v>
      </c>
      <c r="F5831" s="2"/>
    </row>
    <row r="5832" ht="1.5" customHeight="1">
      <c r="A5832" s="4" t="str">
        <f>IFERROR(__xludf.DUMMYFUNCTION("""COMPUTED_VALUE"""),"4. Eggs, 5. Eraser")</f>
        <v>4. Eggs, 5. Eraser</v>
      </c>
      <c r="B5832" s="4" t="str">
        <f>IFERROR(__xludf.DUMMYFUNCTION("""COMPUTED_VALUE"""),"4, 5")</f>
        <v>4, 5</v>
      </c>
      <c r="C5832" s="5" t="str">
        <f>IFERROR(__xludf.DUMMYFUNCTION("""COMPUTED_VALUE"""),"https://drive.google.com/file/d/1vunNhf18CBaNFrAOLuR2zI3d3zJbci6w/view?usp=drivesdk")</f>
        <v>https://drive.google.com/file/d/1vunNhf18CBaNFrAOLuR2zI3d3zJbci6w/view?usp=drivesdk</v>
      </c>
      <c r="D5832" s="12"/>
      <c r="E5832" s="11">
        <v>5870.0</v>
      </c>
      <c r="F5832" s="2"/>
    </row>
    <row r="5833" ht="1.5" customHeight="1">
      <c r="A5833" s="4" t="str">
        <f>IFERROR(__xludf.DUMMYFUNCTION("""COMPUTED_VALUE"""),"4. Eggs, 5. Eraser")</f>
        <v>4. Eggs, 5. Eraser</v>
      </c>
      <c r="B5833" s="4" t="str">
        <f>IFERROR(__xludf.DUMMYFUNCTION("""COMPUTED_VALUE"""),"4, 5")</f>
        <v>4, 5</v>
      </c>
      <c r="C5833" s="5" t="str">
        <f>IFERROR(__xludf.DUMMYFUNCTION("""COMPUTED_VALUE"""),"https://drive.google.com/file/d/1S1Aa0YLICXVTGIDC1ivH3K9ksD4_alAT/view?usp=drivesdk")</f>
        <v>https://drive.google.com/file/d/1S1Aa0YLICXVTGIDC1ivH3K9ksD4_alAT/view?usp=drivesdk</v>
      </c>
      <c r="D5833" s="12"/>
      <c r="E5833" s="11">
        <v>5871.0</v>
      </c>
      <c r="F5833" s="2"/>
    </row>
    <row r="5834" ht="1.5" customHeight="1">
      <c r="A5834" s="4" t="str">
        <f>IFERROR(__xludf.DUMMYFUNCTION("""COMPUTED_VALUE"""),"2. Twix")</f>
        <v>2. Twix</v>
      </c>
      <c r="B5834" s="4" t="str">
        <f>IFERROR(__xludf.DUMMYFUNCTION("""COMPUTED_VALUE"""),"2")</f>
        <v>2</v>
      </c>
      <c r="C5834" s="5" t="str">
        <f>IFERROR(__xludf.DUMMYFUNCTION("""COMPUTED_VALUE"""),"https://drive.google.com/file/d/1vtUHI-gnslnx60mbO4E0Fy23_b8-8TVM/view?usp=drivesdk")</f>
        <v>https://drive.google.com/file/d/1vtUHI-gnslnx60mbO4E0Fy23_b8-8TVM/view?usp=drivesdk</v>
      </c>
      <c r="D5834" s="12"/>
      <c r="E5834" s="11">
        <v>5872.0</v>
      </c>
      <c r="F5834" s="2"/>
    </row>
    <row r="5835" ht="1.5" customHeight="1">
      <c r="A5835" s="4" t="str">
        <f>IFERROR(__xludf.DUMMYFUNCTION("""COMPUTED_VALUE"""),"2. Twix")</f>
        <v>2. Twix</v>
      </c>
      <c r="B5835" s="4" t="str">
        <f>IFERROR(__xludf.DUMMYFUNCTION("""COMPUTED_VALUE"""),"2")</f>
        <v>2</v>
      </c>
      <c r="C5835" s="5" t="str">
        <f>IFERROR(__xludf.DUMMYFUNCTION("""COMPUTED_VALUE"""),"https://drive.google.com/file/d/1Ag76042xPkAyZFvTKUMaKx19zQKkfXBn/view?usp=drivesdk")</f>
        <v>https://drive.google.com/file/d/1Ag76042xPkAyZFvTKUMaKx19zQKkfXBn/view?usp=drivesdk</v>
      </c>
      <c r="D5835" s="12"/>
      <c r="E5835" s="11">
        <v>5873.0</v>
      </c>
      <c r="F5835" s="2"/>
    </row>
    <row r="5836" ht="1.5" customHeight="1">
      <c r="A5836" s="4" t="str">
        <f>IFERROR(__xludf.DUMMYFUNCTION("""COMPUTED_VALUE"""),"2. Twix")</f>
        <v>2. Twix</v>
      </c>
      <c r="B5836" s="4" t="str">
        <f>IFERROR(__xludf.DUMMYFUNCTION("""COMPUTED_VALUE"""),"2")</f>
        <v>2</v>
      </c>
      <c r="C5836" s="5" t="str">
        <f>IFERROR(__xludf.DUMMYFUNCTION("""COMPUTED_VALUE"""),"https://drive.google.com/file/d/1Rl0_WV8uYhIEuQIRMZ7A-163OzkpKybI/view?usp=drivesdk")</f>
        <v>https://drive.google.com/file/d/1Rl0_WV8uYhIEuQIRMZ7A-163OzkpKybI/view?usp=drivesdk</v>
      </c>
      <c r="D5836" s="12"/>
      <c r="E5836" s="11">
        <v>5874.0</v>
      </c>
      <c r="F5836" s="2"/>
    </row>
    <row r="5837" ht="1.5" customHeight="1">
      <c r="A5837" s="4" t="str">
        <f>IFERROR(__xludf.DUMMYFUNCTION("""COMPUTED_VALUE"""),"2. Twix")</f>
        <v>2. Twix</v>
      </c>
      <c r="B5837" s="4" t="str">
        <f>IFERROR(__xludf.DUMMYFUNCTION("""COMPUTED_VALUE"""),"2")</f>
        <v>2</v>
      </c>
      <c r="C5837" s="5" t="str">
        <f>IFERROR(__xludf.DUMMYFUNCTION("""COMPUTED_VALUE"""),"https://drive.google.com/file/d/13f3ZF4OntAHMVnTRp4JKNgfeL2NlhrMj/view?usp=drivesdk")</f>
        <v>https://drive.google.com/file/d/13f3ZF4OntAHMVnTRp4JKNgfeL2NlhrMj/view?usp=drivesdk</v>
      </c>
      <c r="D5837" s="12"/>
      <c r="E5837" s="11">
        <v>5875.0</v>
      </c>
      <c r="F5837" s="2"/>
    </row>
    <row r="5838" ht="1.5" customHeight="1">
      <c r="A5838" s="4" t="str">
        <f>IFERROR(__xludf.DUMMYFUNCTION("""COMPUTED_VALUE"""),"2. Twix")</f>
        <v>2. Twix</v>
      </c>
      <c r="B5838" s="4" t="str">
        <f>IFERROR(__xludf.DUMMYFUNCTION("""COMPUTED_VALUE"""),"2")</f>
        <v>2</v>
      </c>
      <c r="C5838" s="5" t="str">
        <f>IFERROR(__xludf.DUMMYFUNCTION("""COMPUTED_VALUE"""),"https://drive.google.com/file/d/13waESGPV74DihmGJVLZa2e08zpw_P6VI/view?usp=drivesdk")</f>
        <v>https://drive.google.com/file/d/13waESGPV74DihmGJVLZa2e08zpw_P6VI/view?usp=drivesdk</v>
      </c>
      <c r="D5838" s="12"/>
      <c r="E5838" s="11">
        <v>5876.0</v>
      </c>
      <c r="F5838" s="2"/>
    </row>
    <row r="5839" ht="1.5" customHeight="1">
      <c r="A5839" s="4" t="str">
        <f>IFERROR(__xludf.DUMMYFUNCTION("""COMPUTED_VALUE"""),"2. Twix")</f>
        <v>2. Twix</v>
      </c>
      <c r="B5839" s="4" t="str">
        <f>IFERROR(__xludf.DUMMYFUNCTION("""COMPUTED_VALUE"""),"2")</f>
        <v>2</v>
      </c>
      <c r="C5839" s="5" t="str">
        <f>IFERROR(__xludf.DUMMYFUNCTION("""COMPUTED_VALUE"""),"https://drive.google.com/file/d/1iRlDAt2g_1nvhlJDdtksuzp39ig2Mm27/view?usp=drivesdk")</f>
        <v>https://drive.google.com/file/d/1iRlDAt2g_1nvhlJDdtksuzp39ig2Mm27/view?usp=drivesdk</v>
      </c>
      <c r="D5839" s="12"/>
      <c r="E5839" s="11">
        <v>5877.0</v>
      </c>
      <c r="F5839" s="2"/>
    </row>
    <row r="5840" ht="1.5" customHeight="1">
      <c r="A5840" s="4" t="str">
        <f>IFERROR(__xludf.DUMMYFUNCTION("""COMPUTED_VALUE"""),"1. Microwave")</f>
        <v>1. Microwave</v>
      </c>
      <c r="B5840" s="4" t="str">
        <f>IFERROR(__xludf.DUMMYFUNCTION("""COMPUTED_VALUE"""),"1")</f>
        <v>1</v>
      </c>
      <c r="C5840" s="5" t="str">
        <f>IFERROR(__xludf.DUMMYFUNCTION("""COMPUTED_VALUE"""),"https://drive.google.com/file/d/17pQ0U3JYq0cf2LvVnwLSwpjcgbr4CAwr/view?usp=drivesdk")</f>
        <v>https://drive.google.com/file/d/17pQ0U3JYq0cf2LvVnwLSwpjcgbr4CAwr/view?usp=drivesdk</v>
      </c>
      <c r="D5840" s="12"/>
      <c r="E5840" s="11">
        <v>5878.0</v>
      </c>
      <c r="F5840" s="2"/>
    </row>
    <row r="5841" ht="1.5" customHeight="1">
      <c r="A5841" s="4" t="str">
        <f>IFERROR(__xludf.DUMMYFUNCTION("""COMPUTED_VALUE"""),"1. Microwave")</f>
        <v>1. Microwave</v>
      </c>
      <c r="B5841" s="4" t="str">
        <f>IFERROR(__xludf.DUMMYFUNCTION("""COMPUTED_VALUE"""),"1")</f>
        <v>1</v>
      </c>
      <c r="C5841" s="5" t="str">
        <f>IFERROR(__xludf.DUMMYFUNCTION("""COMPUTED_VALUE"""),"https://drive.google.com/file/d/1IOTuYNeaaUEixVrCYJP5NBgAw6PBAiuS/view?usp=drivesdk")</f>
        <v>https://drive.google.com/file/d/1IOTuYNeaaUEixVrCYJP5NBgAw6PBAiuS/view?usp=drivesdk</v>
      </c>
      <c r="D5841" s="12"/>
      <c r="E5841" s="11">
        <v>5879.0</v>
      </c>
      <c r="F5841" s="2"/>
    </row>
    <row r="5842" ht="1.5" customHeight="1">
      <c r="A5842" s="4" t="str">
        <f>IFERROR(__xludf.DUMMYFUNCTION("""COMPUTED_VALUE"""),"1. Microwave")</f>
        <v>1. Microwave</v>
      </c>
      <c r="B5842" s="4" t="str">
        <f>IFERROR(__xludf.DUMMYFUNCTION("""COMPUTED_VALUE"""),"1")</f>
        <v>1</v>
      </c>
      <c r="C5842" s="5" t="str">
        <f>IFERROR(__xludf.DUMMYFUNCTION("""COMPUTED_VALUE"""),"https://drive.google.com/file/d/1RvLsluAorVAfXKb0xApSz8TK4cqJsdQg/view?usp=drivesdk")</f>
        <v>https://drive.google.com/file/d/1RvLsluAorVAfXKb0xApSz8TK4cqJsdQg/view?usp=drivesdk</v>
      </c>
      <c r="D5842" s="12"/>
      <c r="E5842" s="11">
        <v>5880.0</v>
      </c>
      <c r="F5842" s="2"/>
    </row>
    <row r="5843" ht="1.5" customHeight="1">
      <c r="A5843" s="4" t="str">
        <f>IFERROR(__xludf.DUMMYFUNCTION("""COMPUTED_VALUE"""),"1. Microwave")</f>
        <v>1. Microwave</v>
      </c>
      <c r="B5843" s="4" t="str">
        <f>IFERROR(__xludf.DUMMYFUNCTION("""COMPUTED_VALUE"""),"1")</f>
        <v>1</v>
      </c>
      <c r="C5843" s="5" t="str">
        <f>IFERROR(__xludf.DUMMYFUNCTION("""COMPUTED_VALUE"""),"https://drive.google.com/file/d/1UMyuhc21AMyasJfEUQVAnw9FdwX8ROZS/view?usp=drivesdk")</f>
        <v>https://drive.google.com/file/d/1UMyuhc21AMyasJfEUQVAnw9FdwX8ROZS/view?usp=drivesdk</v>
      </c>
      <c r="D5843" s="12"/>
      <c r="E5843" s="11">
        <v>5881.0</v>
      </c>
      <c r="F5843" s="2"/>
    </row>
    <row r="5844" ht="1.5" customHeight="1">
      <c r="A5844" s="4" t="str">
        <f>IFERROR(__xludf.DUMMYFUNCTION("""COMPUTED_VALUE"""),"4. Eggs, 5. Eraser")</f>
        <v>4. Eggs, 5. Eraser</v>
      </c>
      <c r="B5844" s="4" t="str">
        <f>IFERROR(__xludf.DUMMYFUNCTION("""COMPUTED_VALUE"""),"4, 5")</f>
        <v>4, 5</v>
      </c>
      <c r="C5844" s="5" t="str">
        <f>IFERROR(__xludf.DUMMYFUNCTION("""COMPUTED_VALUE"""),"https://drive.google.com/file/d/1zFe2ZF_1VASAPzjwJFVFqjmRyhbRH9vA/view?usp=drivesdk")</f>
        <v>https://drive.google.com/file/d/1zFe2ZF_1VASAPzjwJFVFqjmRyhbRH9vA/view?usp=drivesdk</v>
      </c>
      <c r="D5844" s="12"/>
      <c r="E5844" s="11">
        <v>5882.0</v>
      </c>
      <c r="F5844" s="2"/>
    </row>
    <row r="5845" ht="1.5" customHeight="1">
      <c r="A5845" s="4" t="str">
        <f>IFERROR(__xludf.DUMMYFUNCTION("""COMPUTED_VALUE"""),"1. Microwave")</f>
        <v>1. Microwave</v>
      </c>
      <c r="B5845" s="4" t="str">
        <f>IFERROR(__xludf.DUMMYFUNCTION("""COMPUTED_VALUE"""),"1")</f>
        <v>1</v>
      </c>
      <c r="C5845" s="5" t="str">
        <f>IFERROR(__xludf.DUMMYFUNCTION("""COMPUTED_VALUE"""),"https://drive.google.com/file/d/1pVmelp17OTxEtOEBUO5qyYl5HtrCVYDf/view?usp=drivesdk")</f>
        <v>https://drive.google.com/file/d/1pVmelp17OTxEtOEBUO5qyYl5HtrCVYDf/view?usp=drivesdk</v>
      </c>
      <c r="D5845" s="12"/>
      <c r="E5845" s="11">
        <v>5883.0</v>
      </c>
      <c r="F5845" s="2"/>
    </row>
    <row r="5846" ht="1.5" customHeight="1">
      <c r="A5846" s="4" t="str">
        <f>IFERROR(__xludf.DUMMYFUNCTION("""COMPUTED_VALUE"""),"4. Eggs, 5. Eraser")</f>
        <v>4. Eggs, 5. Eraser</v>
      </c>
      <c r="B5846" s="4" t="str">
        <f>IFERROR(__xludf.DUMMYFUNCTION("""COMPUTED_VALUE"""),"4, 5")</f>
        <v>4, 5</v>
      </c>
      <c r="C5846" s="5" t="str">
        <f>IFERROR(__xludf.DUMMYFUNCTION("""COMPUTED_VALUE"""),"https://drive.google.com/file/d/1xc0KjTSum4ZSd79TltCJHsuz7C4sElqG/view?usp=drivesdk")</f>
        <v>https://drive.google.com/file/d/1xc0KjTSum4ZSd79TltCJHsuz7C4sElqG/view?usp=drivesdk</v>
      </c>
      <c r="D5846" s="12"/>
      <c r="E5846" s="11">
        <v>5884.0</v>
      </c>
      <c r="F5846" s="2"/>
    </row>
    <row r="5847" ht="1.5" customHeight="1">
      <c r="A5847" s="4" t="str">
        <f>IFERROR(__xludf.DUMMYFUNCTION("""COMPUTED_VALUE"""),"1. Microwave")</f>
        <v>1. Microwave</v>
      </c>
      <c r="B5847" s="4" t="str">
        <f>IFERROR(__xludf.DUMMYFUNCTION("""COMPUTED_VALUE"""),"1")</f>
        <v>1</v>
      </c>
      <c r="C5847" s="5" t="str">
        <f>IFERROR(__xludf.DUMMYFUNCTION("""COMPUTED_VALUE"""),"https://drive.google.com/file/d/1-afMbHeTjwaXyp-Spif_scNHgM4tDJ37/view?usp=drivesdk")</f>
        <v>https://drive.google.com/file/d/1-afMbHeTjwaXyp-Spif_scNHgM4tDJ37/view?usp=drivesdk</v>
      </c>
      <c r="D5847" s="12"/>
      <c r="E5847" s="11">
        <v>5885.0</v>
      </c>
      <c r="F5847" s="2"/>
    </row>
    <row r="5848" ht="1.5" customHeight="1">
      <c r="A5848" s="4" t="str">
        <f>IFERROR(__xludf.DUMMYFUNCTION("""COMPUTED_VALUE"""),"1. Microwave")</f>
        <v>1. Microwave</v>
      </c>
      <c r="B5848" s="4" t="str">
        <f>IFERROR(__xludf.DUMMYFUNCTION("""COMPUTED_VALUE"""),"1")</f>
        <v>1</v>
      </c>
      <c r="C5848" s="5" t="str">
        <f>IFERROR(__xludf.DUMMYFUNCTION("""COMPUTED_VALUE"""),"https://drive.google.com/file/d/1Jn_U4Nvi8_kaofRIYT1zPWPLZq_n-5uX/view?usp=drivesdk")</f>
        <v>https://drive.google.com/file/d/1Jn_U4Nvi8_kaofRIYT1zPWPLZq_n-5uX/view?usp=drivesdk</v>
      </c>
      <c r="D5848" s="12"/>
      <c r="E5848" s="11">
        <v>5886.0</v>
      </c>
      <c r="F5848" s="2"/>
    </row>
    <row r="5849" ht="1.5" customHeight="1">
      <c r="A5849" s="4" t="str">
        <f>IFERROR(__xludf.DUMMYFUNCTION("""COMPUTED_VALUE"""),"1. Microwave")</f>
        <v>1. Microwave</v>
      </c>
      <c r="B5849" s="4" t="str">
        <f>IFERROR(__xludf.DUMMYFUNCTION("""COMPUTED_VALUE"""),"1")</f>
        <v>1</v>
      </c>
      <c r="C5849" s="5" t="str">
        <f>IFERROR(__xludf.DUMMYFUNCTION("""COMPUTED_VALUE"""),"https://drive.google.com/file/d/1iSTIxFyBxm_JlVZ7Z0qEmu-fhN_LJcR-/view?usp=drivesdk")</f>
        <v>https://drive.google.com/file/d/1iSTIxFyBxm_JlVZ7Z0qEmu-fhN_LJcR-/view?usp=drivesdk</v>
      </c>
      <c r="D5849" s="12"/>
      <c r="E5849" s="11">
        <v>5887.0</v>
      </c>
      <c r="F5849" s="2"/>
    </row>
    <row r="5850" ht="1.5" customHeight="1">
      <c r="A5850" s="4" t="str">
        <f>IFERROR(__xludf.DUMMYFUNCTION("""COMPUTED_VALUE"""),"1. Microwave")</f>
        <v>1. Microwave</v>
      </c>
      <c r="B5850" s="4" t="str">
        <f>IFERROR(__xludf.DUMMYFUNCTION("""COMPUTED_VALUE"""),"1")</f>
        <v>1</v>
      </c>
      <c r="C5850" s="5" t="str">
        <f>IFERROR(__xludf.DUMMYFUNCTION("""COMPUTED_VALUE"""),"https://drive.google.com/file/d/11OYef-6i6mKMODhVUEhxTXebk7KrXTFz/view?usp=drivesdk")</f>
        <v>https://drive.google.com/file/d/11OYef-6i6mKMODhVUEhxTXebk7KrXTFz/view?usp=drivesdk</v>
      </c>
      <c r="D5850" s="12"/>
      <c r="E5850" s="11">
        <v>5888.0</v>
      </c>
      <c r="F5850" s="2"/>
    </row>
    <row r="5851" ht="1.5" customHeight="1">
      <c r="A5851" s="4" t="str">
        <f>IFERROR(__xludf.DUMMYFUNCTION("""COMPUTED_VALUE"""),"1. Microwave")</f>
        <v>1. Microwave</v>
      </c>
      <c r="B5851" s="4" t="str">
        <f>IFERROR(__xludf.DUMMYFUNCTION("""COMPUTED_VALUE"""),"1")</f>
        <v>1</v>
      </c>
      <c r="C5851" s="5" t="str">
        <f>IFERROR(__xludf.DUMMYFUNCTION("""COMPUTED_VALUE"""),"https://drive.google.com/file/d/1EJyyOJCziLwDbgWv-GlVXmyTkn2I3DIZ/view?usp=drivesdk")</f>
        <v>https://drive.google.com/file/d/1EJyyOJCziLwDbgWv-GlVXmyTkn2I3DIZ/view?usp=drivesdk</v>
      </c>
      <c r="D5851" s="12"/>
      <c r="E5851" s="11">
        <v>5889.0</v>
      </c>
      <c r="F5851" s="2"/>
    </row>
    <row r="5852" ht="1.5" customHeight="1">
      <c r="A5852" s="4" t="str">
        <f>IFERROR(__xludf.DUMMYFUNCTION("""COMPUTED_VALUE"""),"0. NotACat")</f>
        <v>0. NotACat</v>
      </c>
      <c r="B5852" s="4" t="str">
        <f>IFERROR(__xludf.DUMMYFUNCTION("""COMPUTED_VALUE"""),"0")</f>
        <v>0</v>
      </c>
      <c r="C5852" s="5" t="str">
        <f>IFERROR(__xludf.DUMMYFUNCTION("""COMPUTED_VALUE"""),"https://drive.google.com/file/d/13oU_HQFmSU65ce7xMHgqGjtZFoDmkXWV/view?usp=drivesdk")</f>
        <v>https://drive.google.com/file/d/13oU_HQFmSU65ce7xMHgqGjtZFoDmkXWV/view?usp=drivesdk</v>
      </c>
      <c r="D5852" s="12"/>
      <c r="E5852" s="11">
        <v>5890.0</v>
      </c>
      <c r="F5852" s="2"/>
    </row>
    <row r="5853" ht="1.5" customHeight="1">
      <c r="A5853" s="4" t="str">
        <f>IFERROR(__xludf.DUMMYFUNCTION("""COMPUTED_VALUE"""),"5. Eraser")</f>
        <v>5. Eraser</v>
      </c>
      <c r="B5853" s="4" t="str">
        <f>IFERROR(__xludf.DUMMYFUNCTION("""COMPUTED_VALUE"""),"5")</f>
        <v>5</v>
      </c>
      <c r="C5853" s="5" t="str">
        <f>IFERROR(__xludf.DUMMYFUNCTION("""COMPUTED_VALUE"""),"https://drive.google.com/file/d/1TPXzQkwljf52MKNSMGbY5r-1A1TBXa-M/view?usp=drivesdk")</f>
        <v>https://drive.google.com/file/d/1TPXzQkwljf52MKNSMGbY5r-1A1TBXa-M/view?usp=drivesdk</v>
      </c>
      <c r="D5853" s="12"/>
      <c r="E5853" s="11">
        <v>5891.0</v>
      </c>
      <c r="F5853" s="2"/>
    </row>
    <row r="5854" ht="1.5" customHeight="1">
      <c r="A5854" s="4" t="str">
        <f>IFERROR(__xludf.DUMMYFUNCTION("""COMPUTED_VALUE"""),"4. Eggs")</f>
        <v>4. Eggs</v>
      </c>
      <c r="B5854" s="4" t="str">
        <f>IFERROR(__xludf.DUMMYFUNCTION("""COMPUTED_VALUE"""),"4")</f>
        <v>4</v>
      </c>
      <c r="C5854" s="5" t="str">
        <f>IFERROR(__xludf.DUMMYFUNCTION("""COMPUTED_VALUE"""),"https://drive.google.com/file/d/1oeu6D_rJrYE64cwzcMk52GbQTEwJeIFK/view?usp=drivesdk")</f>
        <v>https://drive.google.com/file/d/1oeu6D_rJrYE64cwzcMk52GbQTEwJeIFK/view?usp=drivesdk</v>
      </c>
      <c r="D5854" s="12"/>
      <c r="E5854" s="11">
        <v>5892.0</v>
      </c>
      <c r="F5854" s="2"/>
    </row>
    <row r="5855" ht="1.5" customHeight="1">
      <c r="A5855" s="4" t="str">
        <f>IFERROR(__xludf.DUMMYFUNCTION("""COMPUTED_VALUE"""),"4. Eggs")</f>
        <v>4. Eggs</v>
      </c>
      <c r="B5855" s="4" t="str">
        <f>IFERROR(__xludf.DUMMYFUNCTION("""COMPUTED_VALUE"""),"4")</f>
        <v>4</v>
      </c>
      <c r="C5855" s="5" t="str">
        <f>IFERROR(__xludf.DUMMYFUNCTION("""COMPUTED_VALUE"""),"https://drive.google.com/file/d/1xZPl8OPqA-pU0ZVs9XAsR860e66xy6pX/view?usp=drivesdk")</f>
        <v>https://drive.google.com/file/d/1xZPl8OPqA-pU0ZVs9XAsR860e66xy6pX/view?usp=drivesdk</v>
      </c>
      <c r="D5855" s="12"/>
      <c r="E5855" s="11">
        <v>5893.0</v>
      </c>
      <c r="F5855" s="2"/>
    </row>
    <row r="5856" ht="1.5" customHeight="1">
      <c r="A5856" s="4" t="str">
        <f>IFERROR(__xludf.DUMMYFUNCTION("""COMPUTED_VALUE"""),"0. NotACat")</f>
        <v>0. NotACat</v>
      </c>
      <c r="B5856" s="4" t="str">
        <f>IFERROR(__xludf.DUMMYFUNCTION("""COMPUTED_VALUE"""),"0")</f>
        <v>0</v>
      </c>
      <c r="C5856" s="5" t="str">
        <f>IFERROR(__xludf.DUMMYFUNCTION("""COMPUTED_VALUE"""),"https://drive.google.com/file/d/1yXYI6xfgl_gGgU2yjvKul5Ryc_dxvQvk/view?usp=drivesdk")</f>
        <v>https://drive.google.com/file/d/1yXYI6xfgl_gGgU2yjvKul5Ryc_dxvQvk/view?usp=drivesdk</v>
      </c>
      <c r="D5856" s="12"/>
      <c r="E5856" s="11">
        <v>5894.0</v>
      </c>
      <c r="F5856" s="2"/>
    </row>
    <row r="5857" ht="1.5" customHeight="1">
      <c r="A5857" s="4" t="str">
        <f>IFERROR(__xludf.DUMMYFUNCTION("""COMPUTED_VALUE"""),"1. Microwave")</f>
        <v>1. Microwave</v>
      </c>
      <c r="B5857" s="4" t="str">
        <f>IFERROR(__xludf.DUMMYFUNCTION("""COMPUTED_VALUE"""),"1")</f>
        <v>1</v>
      </c>
      <c r="C5857" s="5" t="str">
        <f>IFERROR(__xludf.DUMMYFUNCTION("""COMPUTED_VALUE"""),"https://drive.google.com/file/d/102Qg10N8lthlvLJ2CHEmRJ8pF_Y-5Et3/view?usp=drivesdk")</f>
        <v>https://drive.google.com/file/d/102Qg10N8lthlvLJ2CHEmRJ8pF_Y-5Et3/view?usp=drivesdk</v>
      </c>
      <c r="D5857" s="12"/>
      <c r="E5857" s="11">
        <v>5895.0</v>
      </c>
      <c r="F5857" s="2"/>
    </row>
    <row r="5858" ht="1.5" customHeight="1">
      <c r="A5858" s="4" t="str">
        <f>IFERROR(__xludf.DUMMYFUNCTION("""COMPUTED_VALUE"""),"1. Microwave")</f>
        <v>1. Microwave</v>
      </c>
      <c r="B5858" s="4" t="str">
        <f>IFERROR(__xludf.DUMMYFUNCTION("""COMPUTED_VALUE"""),"1")</f>
        <v>1</v>
      </c>
      <c r="C5858" s="5" t="str">
        <f>IFERROR(__xludf.DUMMYFUNCTION("""COMPUTED_VALUE"""),"https://drive.google.com/file/d/1q_1N4LUF2LlQvDjaqbI-61nFbUo-Anir/view?usp=drivesdk")</f>
        <v>https://drive.google.com/file/d/1q_1N4LUF2LlQvDjaqbI-61nFbUo-Anir/view?usp=drivesdk</v>
      </c>
      <c r="D5858" s="12"/>
      <c r="E5858" s="11">
        <v>5896.0</v>
      </c>
      <c r="F5858" s="2"/>
    </row>
    <row r="5859" ht="1.5" customHeight="1">
      <c r="A5859" s="4" t="str">
        <f>IFERROR(__xludf.DUMMYFUNCTION("""COMPUTED_VALUE"""),"1. Microwave")</f>
        <v>1. Microwave</v>
      </c>
      <c r="B5859" s="4" t="str">
        <f>IFERROR(__xludf.DUMMYFUNCTION("""COMPUTED_VALUE"""),"1")</f>
        <v>1</v>
      </c>
      <c r="C5859" s="5" t="str">
        <f>IFERROR(__xludf.DUMMYFUNCTION("""COMPUTED_VALUE"""),"https://drive.google.com/file/d/1iG2qg0OzdRVo-xGA5G_LhFh83R3t0peH/view?usp=drivesdk")</f>
        <v>https://drive.google.com/file/d/1iG2qg0OzdRVo-xGA5G_LhFh83R3t0peH/view?usp=drivesdk</v>
      </c>
      <c r="D5859" s="12"/>
      <c r="E5859" s="11">
        <v>5897.0</v>
      </c>
      <c r="F5859" s="2"/>
    </row>
    <row r="5860" ht="1.5" customHeight="1">
      <c r="A5860" s="4" t="str">
        <f>IFERROR(__xludf.DUMMYFUNCTION("""COMPUTED_VALUE"""),"0. NotACat")</f>
        <v>0. NotACat</v>
      </c>
      <c r="B5860" s="4" t="str">
        <f>IFERROR(__xludf.DUMMYFUNCTION("""COMPUTED_VALUE"""),"0")</f>
        <v>0</v>
      </c>
      <c r="C5860" s="5" t="str">
        <f>IFERROR(__xludf.DUMMYFUNCTION("""COMPUTED_VALUE"""),"https://drive.google.com/file/d/1LAr0OGp-kiq5-dWvDNN2TFDa_bof1JH8/view?usp=drivesdk")</f>
        <v>https://drive.google.com/file/d/1LAr0OGp-kiq5-dWvDNN2TFDa_bof1JH8/view?usp=drivesdk</v>
      </c>
      <c r="D5860" s="12"/>
      <c r="E5860" s="11">
        <v>5898.0</v>
      </c>
      <c r="F5860" s="2"/>
    </row>
    <row r="5861" ht="1.5" customHeight="1">
      <c r="A5861" s="4" t="str">
        <f>IFERROR(__xludf.DUMMYFUNCTION("""COMPUTED_VALUE"""),"0. NotACat")</f>
        <v>0. NotACat</v>
      </c>
      <c r="B5861" s="4" t="str">
        <f>IFERROR(__xludf.DUMMYFUNCTION("""COMPUTED_VALUE"""),"0")</f>
        <v>0</v>
      </c>
      <c r="C5861" s="5" t="str">
        <f>IFERROR(__xludf.DUMMYFUNCTION("""COMPUTED_VALUE"""),"https://drive.google.com/file/d/1_Z-iz_m21zt0BqPjUEyclLcdlUfLQSOn/view?usp=drivesdk")</f>
        <v>https://drive.google.com/file/d/1_Z-iz_m21zt0BqPjUEyclLcdlUfLQSOn/view?usp=drivesdk</v>
      </c>
      <c r="D5861" s="12"/>
      <c r="E5861" s="11">
        <v>5899.0</v>
      </c>
      <c r="F5861" s="2"/>
    </row>
    <row r="5862" ht="1.5" customHeight="1">
      <c r="A5862" s="4" t="str">
        <f>IFERROR(__xludf.DUMMYFUNCTION("""COMPUTED_VALUE"""),"1. Microwave")</f>
        <v>1. Microwave</v>
      </c>
      <c r="B5862" s="4" t="str">
        <f>IFERROR(__xludf.DUMMYFUNCTION("""COMPUTED_VALUE"""),"1")</f>
        <v>1</v>
      </c>
      <c r="C5862" s="5" t="str">
        <f>IFERROR(__xludf.DUMMYFUNCTION("""COMPUTED_VALUE"""),"https://drive.google.com/file/d/1gMMN5jb2uOxsutFIqIwCtHoBk3w76-da/view?usp=drivesdk")</f>
        <v>https://drive.google.com/file/d/1gMMN5jb2uOxsutFIqIwCtHoBk3w76-da/view?usp=drivesdk</v>
      </c>
      <c r="D5862" s="12"/>
      <c r="E5862" s="11">
        <v>5900.0</v>
      </c>
      <c r="F5862" s="2"/>
    </row>
    <row r="5863" ht="1.5" customHeight="1">
      <c r="A5863" s="4" t="str">
        <f>IFERROR(__xludf.DUMMYFUNCTION("""COMPUTED_VALUE"""),"1. Microwave")</f>
        <v>1. Microwave</v>
      </c>
      <c r="B5863" s="4" t="str">
        <f>IFERROR(__xludf.DUMMYFUNCTION("""COMPUTED_VALUE"""),"1")</f>
        <v>1</v>
      </c>
      <c r="C5863" s="5" t="str">
        <f>IFERROR(__xludf.DUMMYFUNCTION("""COMPUTED_VALUE"""),"https://drive.google.com/file/d/1HJbHdqaDODIM4sBsEd_6oSDNyTB3nN9I/view?usp=drivesdk")</f>
        <v>https://drive.google.com/file/d/1HJbHdqaDODIM4sBsEd_6oSDNyTB3nN9I/view?usp=drivesdk</v>
      </c>
      <c r="D5863" s="12"/>
      <c r="E5863" s="11">
        <v>5901.0</v>
      </c>
      <c r="F5863" s="2"/>
    </row>
    <row r="5864" ht="1.5" customHeight="1">
      <c r="A5864" s="4" t="str">
        <f>IFERROR(__xludf.DUMMYFUNCTION("""COMPUTED_VALUE"""),"1. Microwave")</f>
        <v>1. Microwave</v>
      </c>
      <c r="B5864" s="4" t="str">
        <f>IFERROR(__xludf.DUMMYFUNCTION("""COMPUTED_VALUE"""),"1")</f>
        <v>1</v>
      </c>
      <c r="C5864" s="5" t="str">
        <f>IFERROR(__xludf.DUMMYFUNCTION("""COMPUTED_VALUE"""),"https://drive.google.com/file/d/1x9g3ZqX4cUAhoTOZYCWT_9EcHBZ-2MlM/view?usp=drivesdk")</f>
        <v>https://drive.google.com/file/d/1x9g3ZqX4cUAhoTOZYCWT_9EcHBZ-2MlM/view?usp=drivesdk</v>
      </c>
      <c r="D5864" s="12"/>
      <c r="E5864" s="11">
        <v>5902.0</v>
      </c>
      <c r="F5864" s="2"/>
    </row>
    <row r="5865" ht="1.5" customHeight="1">
      <c r="A5865" s="4" t="str">
        <f>IFERROR(__xludf.DUMMYFUNCTION("""COMPUTED_VALUE"""),"99. Nezhui")</f>
        <v>99. Nezhui</v>
      </c>
      <c r="B5865" s="4" t="str">
        <f>IFERROR(__xludf.DUMMYFUNCTION("""COMPUTED_VALUE"""),"99")</f>
        <v>99</v>
      </c>
      <c r="C5865" s="5" t="str">
        <f>IFERROR(__xludf.DUMMYFUNCTION("""COMPUTED_VALUE"""),"https://drive.google.com/file/d/18KzqIofsgcVw5rhq7FX3r6ZihtOXWhNv/view?usp=drivesdk")</f>
        <v>https://drive.google.com/file/d/18KzqIofsgcVw5rhq7FX3r6ZihtOXWhNv/view?usp=drivesdk</v>
      </c>
      <c r="D5865" s="12"/>
      <c r="E5865" s="11">
        <v>5903.0</v>
      </c>
      <c r="F5865" s="2"/>
    </row>
    <row r="5866" ht="1.5" customHeight="1">
      <c r="A5866" s="4" t="str">
        <f>IFERROR(__xludf.DUMMYFUNCTION("""COMPUTED_VALUE"""),"99. Nezhui")</f>
        <v>99. Nezhui</v>
      </c>
      <c r="B5866" s="4" t="str">
        <f>IFERROR(__xludf.DUMMYFUNCTION("""COMPUTED_VALUE"""),"99")</f>
        <v>99</v>
      </c>
      <c r="C5866" s="5" t="str">
        <f>IFERROR(__xludf.DUMMYFUNCTION("""COMPUTED_VALUE"""),"https://drive.google.com/file/d/1A_AuX0_mdQSjPzM9FC7blWXyKjNP-7pH/view?usp=drivesdk")</f>
        <v>https://drive.google.com/file/d/1A_AuX0_mdQSjPzM9FC7blWXyKjNP-7pH/view?usp=drivesdk</v>
      </c>
      <c r="D5866" s="12"/>
      <c r="E5866" s="11">
        <v>5904.0</v>
      </c>
      <c r="F5866" s="2"/>
    </row>
    <row r="5867" ht="1.5" customHeight="1">
      <c r="A5867" s="4" t="str">
        <f>IFERROR(__xludf.DUMMYFUNCTION("""COMPUTED_VALUE"""),"99. Nezhui")</f>
        <v>99. Nezhui</v>
      </c>
      <c r="B5867" s="4" t="str">
        <f>IFERROR(__xludf.DUMMYFUNCTION("""COMPUTED_VALUE"""),"99")</f>
        <v>99</v>
      </c>
      <c r="C5867" s="5" t="str">
        <f>IFERROR(__xludf.DUMMYFUNCTION("""COMPUTED_VALUE"""),"https://drive.google.com/file/d/1hXo4jbZenoGAut8ImnvIVhWE8smuvgZW/view?usp=drivesdk")</f>
        <v>https://drive.google.com/file/d/1hXo4jbZenoGAut8ImnvIVhWE8smuvgZW/view?usp=drivesdk</v>
      </c>
      <c r="D5867" s="12"/>
      <c r="E5867" s="11">
        <v>5905.0</v>
      </c>
      <c r="F5867" s="2"/>
    </row>
    <row r="5868" ht="1.5" customHeight="1">
      <c r="A5868" s="4" t="str">
        <f>IFERROR(__xludf.DUMMYFUNCTION("""COMPUTED_VALUE"""),"99. Nezhui")</f>
        <v>99. Nezhui</v>
      </c>
      <c r="B5868" s="4" t="str">
        <f>IFERROR(__xludf.DUMMYFUNCTION("""COMPUTED_VALUE"""),"99")</f>
        <v>99</v>
      </c>
      <c r="C5868" s="5" t="str">
        <f>IFERROR(__xludf.DUMMYFUNCTION("""COMPUTED_VALUE"""),"https://drive.google.com/file/d/1aQWM3Dn4JovsnBfKB9fZ0-gwwU485v7N/view?usp=drivesdk")</f>
        <v>https://drive.google.com/file/d/1aQWM3Dn4JovsnBfKB9fZ0-gwwU485v7N/view?usp=drivesdk</v>
      </c>
      <c r="D5868" s="12"/>
      <c r="E5868" s="11">
        <v>5906.0</v>
      </c>
      <c r="F5868" s="2"/>
    </row>
    <row r="5869" ht="1.5" customHeight="1">
      <c r="A5869" s="4" t="str">
        <f>IFERROR(__xludf.DUMMYFUNCTION("""COMPUTED_VALUE"""),"0. NotACat")</f>
        <v>0. NotACat</v>
      </c>
      <c r="B5869" s="4" t="str">
        <f>IFERROR(__xludf.DUMMYFUNCTION("""COMPUTED_VALUE"""),"0")</f>
        <v>0</v>
      </c>
      <c r="C5869" s="5" t="str">
        <f>IFERROR(__xludf.DUMMYFUNCTION("""COMPUTED_VALUE"""),"https://drive.google.com/file/d/1uS8Ac1G8mavuAXDzjDsfLbh433M7un52/view?usp=drivesdk")</f>
        <v>https://drive.google.com/file/d/1uS8Ac1G8mavuAXDzjDsfLbh433M7un52/view?usp=drivesdk</v>
      </c>
      <c r="D5869" s="12"/>
      <c r="E5869" s="11">
        <v>5907.0</v>
      </c>
      <c r="F5869" s="2"/>
    </row>
    <row r="5870" ht="1.5" customHeight="1">
      <c r="A5870" s="4" t="str">
        <f>IFERROR(__xludf.DUMMYFUNCTION("""COMPUTED_VALUE"""),"2. Twix")</f>
        <v>2. Twix</v>
      </c>
      <c r="B5870" s="4" t="str">
        <f>IFERROR(__xludf.DUMMYFUNCTION("""COMPUTED_VALUE"""),"2")</f>
        <v>2</v>
      </c>
      <c r="C5870" s="5" t="str">
        <f>IFERROR(__xludf.DUMMYFUNCTION("""COMPUTED_VALUE"""),"https://drive.google.com/file/d/1hmOd8lYmSjVNod6NKLo2bo-Gsnkyyp9S/view?usp=drivesdk")</f>
        <v>https://drive.google.com/file/d/1hmOd8lYmSjVNod6NKLo2bo-Gsnkyyp9S/view?usp=drivesdk</v>
      </c>
      <c r="D5870" s="12"/>
      <c r="E5870" s="11">
        <v>5908.0</v>
      </c>
      <c r="F5870" s="2"/>
    </row>
    <row r="5871" ht="1.5" customHeight="1">
      <c r="A5871" s="4" t="str">
        <f>IFERROR(__xludf.DUMMYFUNCTION("""COMPUTED_VALUE"""),"115. Toothless")</f>
        <v>115. Toothless</v>
      </c>
      <c r="B5871" s="4" t="str">
        <f>IFERROR(__xludf.DUMMYFUNCTION("""COMPUTED_VALUE"""),"115")</f>
        <v>115</v>
      </c>
      <c r="C5871" s="5" t="str">
        <f>IFERROR(__xludf.DUMMYFUNCTION("""COMPUTED_VALUE"""),"https://drive.google.com/file/d/1KbeXg8JADat13ho8q4r5ApaTonn_2S7c/view?usp=drivesdk")</f>
        <v>https://drive.google.com/file/d/1KbeXg8JADat13ho8q4r5ApaTonn_2S7c/view?usp=drivesdk</v>
      </c>
      <c r="D5871" s="12"/>
      <c r="E5871" s="11">
        <v>5909.0</v>
      </c>
      <c r="F5871" s="2"/>
    </row>
    <row r="5872" ht="1.5" customHeight="1">
      <c r="A5872" s="4" t="str">
        <f>IFERROR(__xludf.DUMMYFUNCTION("""COMPUTED_VALUE"""),"106. Ami")</f>
        <v>106. Ami</v>
      </c>
      <c r="B5872" s="4" t="str">
        <f>IFERROR(__xludf.DUMMYFUNCTION("""COMPUTED_VALUE"""),"106")</f>
        <v>106</v>
      </c>
      <c r="C5872" s="5" t="str">
        <f>IFERROR(__xludf.DUMMYFUNCTION("""COMPUTED_VALUE"""),"https://drive.google.com/file/d/1I_jrDmGcjQOJH7_4qICH5Dt0wTF_4cRR/view?usp=drivesdk")</f>
        <v>https://drive.google.com/file/d/1I_jrDmGcjQOJH7_4qICH5Dt0wTF_4cRR/view?usp=drivesdk</v>
      </c>
      <c r="D5872" s="12"/>
      <c r="E5872" s="11">
        <v>5910.0</v>
      </c>
      <c r="F5872" s="2"/>
    </row>
    <row r="5873" ht="1.5" customHeight="1">
      <c r="A5873" s="4" t="str">
        <f>IFERROR(__xludf.DUMMYFUNCTION("""COMPUTED_VALUE"""),"115. Toothless")</f>
        <v>115. Toothless</v>
      </c>
      <c r="B5873" s="4" t="str">
        <f>IFERROR(__xludf.DUMMYFUNCTION("""COMPUTED_VALUE"""),"115")</f>
        <v>115</v>
      </c>
      <c r="C5873" s="5" t="str">
        <f>IFERROR(__xludf.DUMMYFUNCTION("""COMPUTED_VALUE"""),"https://drive.google.com/file/d/1GdY1UpkxyYilEKZWfoyqsBhiQ_QDvKUY/view?usp=drivesdk")</f>
        <v>https://drive.google.com/file/d/1GdY1UpkxyYilEKZWfoyqsBhiQ_QDvKUY/view?usp=drivesdk</v>
      </c>
      <c r="D5873" s="12"/>
      <c r="E5873" s="11">
        <v>5911.0</v>
      </c>
      <c r="F5873" s="2"/>
    </row>
    <row r="5874" ht="1.5" customHeight="1">
      <c r="A5874" s="4" t="str">
        <f>IFERROR(__xludf.DUMMYFUNCTION("""COMPUTED_VALUE"""),"115. Toothless")</f>
        <v>115. Toothless</v>
      </c>
      <c r="B5874" s="4" t="str">
        <f>IFERROR(__xludf.DUMMYFUNCTION("""COMPUTED_VALUE"""),"115")</f>
        <v>115</v>
      </c>
      <c r="C5874" s="5" t="str">
        <f>IFERROR(__xludf.DUMMYFUNCTION("""COMPUTED_VALUE"""),"https://drive.google.com/file/d/1k7QUChnrktpo-3ClsnsBP1d9R-n8hNzy/view?usp=drivesdk")</f>
        <v>https://drive.google.com/file/d/1k7QUChnrktpo-3ClsnsBP1d9R-n8hNzy/view?usp=drivesdk</v>
      </c>
      <c r="D5874" s="12"/>
      <c r="E5874" s="11">
        <v>5912.0</v>
      </c>
      <c r="F5874" s="2"/>
    </row>
    <row r="5875" ht="1.5" customHeight="1">
      <c r="A5875" s="4" t="str">
        <f>IFERROR(__xludf.DUMMYFUNCTION("""COMPUTED_VALUE"""),"115. Toothless")</f>
        <v>115. Toothless</v>
      </c>
      <c r="B5875" s="4" t="str">
        <f>IFERROR(__xludf.DUMMYFUNCTION("""COMPUTED_VALUE"""),"115")</f>
        <v>115</v>
      </c>
      <c r="C5875" s="5" t="str">
        <f>IFERROR(__xludf.DUMMYFUNCTION("""COMPUTED_VALUE"""),"https://drive.google.com/file/d/1GHhmUcZyxeZT1sCL8CK81JO-fIsSxtRm/view?usp=drivesdk")</f>
        <v>https://drive.google.com/file/d/1GHhmUcZyxeZT1sCL8CK81JO-fIsSxtRm/view?usp=drivesdk</v>
      </c>
      <c r="D5875" s="12"/>
      <c r="E5875" s="11">
        <v>5913.0</v>
      </c>
      <c r="F5875" s="2"/>
    </row>
    <row r="5876" ht="1.5" customHeight="1">
      <c r="A5876" s="4" t="str">
        <f>IFERROR(__xludf.DUMMYFUNCTION("""COMPUTED_VALUE"""),"73. Coronavirus")</f>
        <v>73. Coronavirus</v>
      </c>
      <c r="B5876" s="4" t="str">
        <f>IFERROR(__xludf.DUMMYFUNCTION("""COMPUTED_VALUE"""),"73")</f>
        <v>73</v>
      </c>
      <c r="C5876" s="5" t="str">
        <f>IFERROR(__xludf.DUMMYFUNCTION("""COMPUTED_VALUE"""),"https://drive.google.com/file/d/1OpoI4i1AABAnjug72GOFW8vbrvR3fWcG/view?usp=drivesdk")</f>
        <v>https://drive.google.com/file/d/1OpoI4i1AABAnjug72GOFW8vbrvR3fWcG/view?usp=drivesdk</v>
      </c>
      <c r="D5876" s="12"/>
      <c r="E5876" s="11">
        <v>5914.0</v>
      </c>
      <c r="F5876" s="2"/>
    </row>
    <row r="5877" ht="1.5" customHeight="1">
      <c r="A5877" s="4" t="str">
        <f>IFERROR(__xludf.DUMMYFUNCTION("""COMPUTED_VALUE"""),"73. Coronavirus")</f>
        <v>73. Coronavirus</v>
      </c>
      <c r="B5877" s="4" t="str">
        <f>IFERROR(__xludf.DUMMYFUNCTION("""COMPUTED_VALUE"""),"73")</f>
        <v>73</v>
      </c>
      <c r="C5877" s="5" t="str">
        <f>IFERROR(__xludf.DUMMYFUNCTION("""COMPUTED_VALUE"""),"https://drive.google.com/file/d/179wm1fAnRIADQiMiuq3Gt6iMN-0GVWKV/view?usp=drivesdk")</f>
        <v>https://drive.google.com/file/d/179wm1fAnRIADQiMiuq3Gt6iMN-0GVWKV/view?usp=drivesdk</v>
      </c>
      <c r="D5877" s="12"/>
      <c r="E5877" s="11">
        <v>5915.0</v>
      </c>
      <c r="F5877" s="2"/>
    </row>
    <row r="5878" ht="1.5" customHeight="1">
      <c r="A5878" s="4" t="str">
        <f>IFERROR(__xludf.DUMMYFUNCTION("""COMPUTED_VALUE"""),"115. Toothless, 73. Coronavirus")</f>
        <v>115. Toothless, 73. Coronavirus</v>
      </c>
      <c r="B5878" s="4" t="str">
        <f>IFERROR(__xludf.DUMMYFUNCTION("""COMPUTED_VALUE"""),"115, 73")</f>
        <v>115, 73</v>
      </c>
      <c r="C5878" s="5" t="str">
        <f>IFERROR(__xludf.DUMMYFUNCTION("""COMPUTED_VALUE"""),"https://drive.google.com/file/d/1Us_O1KMl0vSUEB-EsDjiBH4JbgUeF6Ak/view?usp=drivesdk")</f>
        <v>https://drive.google.com/file/d/1Us_O1KMl0vSUEB-EsDjiBH4JbgUeF6Ak/view?usp=drivesdk</v>
      </c>
      <c r="D5878" s="12"/>
      <c r="E5878" s="11">
        <v>5916.0</v>
      </c>
      <c r="F5878" s="2"/>
    </row>
    <row r="5879" ht="1.5" customHeight="1">
      <c r="A5879" s="4" t="str">
        <f>IFERROR(__xludf.DUMMYFUNCTION("""COMPUTED_VALUE"""),"73. Coronavirus")</f>
        <v>73. Coronavirus</v>
      </c>
      <c r="B5879" s="4" t="str">
        <f>IFERROR(__xludf.DUMMYFUNCTION("""COMPUTED_VALUE"""),"73")</f>
        <v>73</v>
      </c>
      <c r="C5879" s="5" t="str">
        <f>IFERROR(__xludf.DUMMYFUNCTION("""COMPUTED_VALUE"""),"https://drive.google.com/file/d/1Qm3wmFHskSw-b_mVD85vXicV38OLn_J9/view?usp=drivesdk")</f>
        <v>https://drive.google.com/file/d/1Qm3wmFHskSw-b_mVD85vXicV38OLn_J9/view?usp=drivesdk</v>
      </c>
      <c r="D5879" s="12"/>
      <c r="E5879" s="11">
        <v>5917.0</v>
      </c>
      <c r="F5879" s="2"/>
    </row>
    <row r="5880" ht="1.5" customHeight="1">
      <c r="A5880" s="4" t="str">
        <f>IFERROR(__xludf.DUMMYFUNCTION("""COMPUTED_VALUE"""),"73. Coronavirus")</f>
        <v>73. Coronavirus</v>
      </c>
      <c r="B5880" s="4" t="str">
        <f>IFERROR(__xludf.DUMMYFUNCTION("""COMPUTED_VALUE"""),"73")</f>
        <v>73</v>
      </c>
      <c r="C5880" s="5" t="str">
        <f>IFERROR(__xludf.DUMMYFUNCTION("""COMPUTED_VALUE"""),"https://drive.google.com/file/d/1E4yAyXof7Od-D2Nycn4siJz-X0TQwpBC/view?usp=drivesdk")</f>
        <v>https://drive.google.com/file/d/1E4yAyXof7Od-D2Nycn4siJz-X0TQwpBC/view?usp=drivesdk</v>
      </c>
      <c r="D5880" s="12"/>
      <c r="E5880" s="11">
        <v>5918.0</v>
      </c>
      <c r="F5880" s="2"/>
    </row>
    <row r="5881" ht="1.5" customHeight="1">
      <c r="A5881" s="4" t="str">
        <f>IFERROR(__xludf.DUMMYFUNCTION("""COMPUTED_VALUE"""),"115. Toothless")</f>
        <v>115. Toothless</v>
      </c>
      <c r="B5881" s="4" t="str">
        <f>IFERROR(__xludf.DUMMYFUNCTION("""COMPUTED_VALUE"""),"115")</f>
        <v>115</v>
      </c>
      <c r="C5881" s="5" t="str">
        <f>IFERROR(__xludf.DUMMYFUNCTION("""COMPUTED_VALUE"""),"https://drive.google.com/file/d/1TP5BnpVhUG1uPQnGfZqli-raCWX7SxMf/view?usp=drivesdk")</f>
        <v>https://drive.google.com/file/d/1TP5BnpVhUG1uPQnGfZqli-raCWX7SxMf/view?usp=drivesdk</v>
      </c>
      <c r="D5881" s="12"/>
      <c r="E5881" s="11">
        <v>5919.0</v>
      </c>
      <c r="F5881" s="2"/>
    </row>
    <row r="5882" ht="1.5" customHeight="1">
      <c r="A5882" s="4" t="str">
        <f>IFERROR(__xludf.DUMMYFUNCTION("""COMPUTED_VALUE"""),"115. Toothless")</f>
        <v>115. Toothless</v>
      </c>
      <c r="B5882" s="4" t="str">
        <f>IFERROR(__xludf.DUMMYFUNCTION("""COMPUTED_VALUE"""),"115")</f>
        <v>115</v>
      </c>
      <c r="C5882" s="5" t="str">
        <f>IFERROR(__xludf.DUMMYFUNCTION("""COMPUTED_VALUE"""),"https://drive.google.com/file/d/1SqrSLukOKy8fYKUtWelblbCIZkpgMuTc/view?usp=drivesdk")</f>
        <v>https://drive.google.com/file/d/1SqrSLukOKy8fYKUtWelblbCIZkpgMuTc/view?usp=drivesdk</v>
      </c>
      <c r="D5882" s="12"/>
      <c r="E5882" s="11">
        <v>5920.0</v>
      </c>
      <c r="F5882" s="2"/>
    </row>
    <row r="5883" ht="1.5" customHeight="1">
      <c r="A5883" s="4" t="str">
        <f>IFERROR(__xludf.DUMMYFUNCTION("""COMPUTED_VALUE"""),"115. Toothless")</f>
        <v>115. Toothless</v>
      </c>
      <c r="B5883" s="4" t="str">
        <f>IFERROR(__xludf.DUMMYFUNCTION("""COMPUTED_VALUE"""),"115")</f>
        <v>115</v>
      </c>
      <c r="C5883" s="5" t="str">
        <f>IFERROR(__xludf.DUMMYFUNCTION("""COMPUTED_VALUE"""),"https://drive.google.com/file/d/1TPVh_aLAAPQZrLSpqG0wwrB40iRbIV-l/view?usp=drivesdk")</f>
        <v>https://drive.google.com/file/d/1TPVh_aLAAPQZrLSpqG0wwrB40iRbIV-l/view?usp=drivesdk</v>
      </c>
      <c r="D5883" s="12"/>
      <c r="E5883" s="11">
        <v>5921.0</v>
      </c>
      <c r="F5883" s="2"/>
    </row>
    <row r="5884" ht="1.5" customHeight="1">
      <c r="A5884" s="4" t="str">
        <f>IFERROR(__xludf.DUMMYFUNCTION("""COMPUTED_VALUE"""),"115. Toothless")</f>
        <v>115. Toothless</v>
      </c>
      <c r="B5884" s="4" t="str">
        <f>IFERROR(__xludf.DUMMYFUNCTION("""COMPUTED_VALUE"""),"115")</f>
        <v>115</v>
      </c>
      <c r="C5884" s="5" t="str">
        <f>IFERROR(__xludf.DUMMYFUNCTION("""COMPUTED_VALUE"""),"https://drive.google.com/file/d/1iWGyE4II8QdQhljhABPE8ftCna8rgaVQ/view?usp=drivesdk")</f>
        <v>https://drive.google.com/file/d/1iWGyE4II8QdQhljhABPE8ftCna8rgaVQ/view?usp=drivesdk</v>
      </c>
      <c r="D5884" s="12"/>
      <c r="E5884" s="11">
        <v>5922.0</v>
      </c>
      <c r="F5884" s="2"/>
    </row>
    <row r="5885" ht="1.5" customHeight="1">
      <c r="A5885" s="4" t="str">
        <f>IFERROR(__xludf.DUMMYFUNCTION("""COMPUTED_VALUE"""),"115. Toothless")</f>
        <v>115. Toothless</v>
      </c>
      <c r="B5885" s="4" t="str">
        <f>IFERROR(__xludf.DUMMYFUNCTION("""COMPUTED_VALUE"""),"115")</f>
        <v>115</v>
      </c>
      <c r="C5885" s="5" t="str">
        <f>IFERROR(__xludf.DUMMYFUNCTION("""COMPUTED_VALUE"""),"https://drive.google.com/file/d/17Z0zn38OtKuDkZ1iAvcNO3RQw4QQvUuj/view?usp=drivesdk")</f>
        <v>https://drive.google.com/file/d/17Z0zn38OtKuDkZ1iAvcNO3RQw4QQvUuj/view?usp=drivesdk</v>
      </c>
      <c r="D5885" s="12"/>
      <c r="E5885" s="11">
        <v>5923.0</v>
      </c>
      <c r="F5885" s="2"/>
    </row>
    <row r="5886" ht="1.5" customHeight="1">
      <c r="A5886" s="4" t="str">
        <f>IFERROR(__xludf.DUMMYFUNCTION("""COMPUTED_VALUE"""),"115. Toothless")</f>
        <v>115. Toothless</v>
      </c>
      <c r="B5886" s="4" t="str">
        <f>IFERROR(__xludf.DUMMYFUNCTION("""COMPUTED_VALUE"""),"115")</f>
        <v>115</v>
      </c>
      <c r="C5886" s="5" t="str">
        <f>IFERROR(__xludf.DUMMYFUNCTION("""COMPUTED_VALUE"""),"https://drive.google.com/file/d/1gGB3e-_R3zhLEAflrfZhFd0xV12Jb0EF/view?usp=drivesdk")</f>
        <v>https://drive.google.com/file/d/1gGB3e-_R3zhLEAflrfZhFd0xV12Jb0EF/view?usp=drivesdk</v>
      </c>
      <c r="D5886" s="12"/>
      <c r="E5886" s="11">
        <v>5924.0</v>
      </c>
      <c r="F5886" s="2"/>
    </row>
    <row r="5887" ht="1.5" customHeight="1">
      <c r="A5887" s="4" t="str">
        <f>IFERROR(__xludf.DUMMYFUNCTION("""COMPUTED_VALUE"""),"21. Paquini")</f>
        <v>21. Paquini</v>
      </c>
      <c r="B5887" s="4" t="str">
        <f>IFERROR(__xludf.DUMMYFUNCTION("""COMPUTED_VALUE"""),"21")</f>
        <v>21</v>
      </c>
      <c r="C5887" s="5" t="str">
        <f>IFERROR(__xludf.DUMMYFUNCTION("""COMPUTED_VALUE"""),"https://drive.google.com/file/d/1h7ewoERJKtT63CVKJ5vDTwsfRpizasm4/view?usp=drivesdk")</f>
        <v>https://drive.google.com/file/d/1h7ewoERJKtT63CVKJ5vDTwsfRpizasm4/view?usp=drivesdk</v>
      </c>
      <c r="D5887" s="12"/>
      <c r="E5887" s="11">
        <v>5925.0</v>
      </c>
      <c r="F5887" s="2"/>
    </row>
    <row r="5888" ht="1.5" customHeight="1">
      <c r="A5888" s="4" t="str">
        <f>IFERROR(__xludf.DUMMYFUNCTION("""COMPUTED_VALUE"""),"4. Eggs, 5. Eraser")</f>
        <v>4. Eggs, 5. Eraser</v>
      </c>
      <c r="B5888" s="4" t="str">
        <f>IFERROR(__xludf.DUMMYFUNCTION("""COMPUTED_VALUE"""),"4, 5")</f>
        <v>4, 5</v>
      </c>
      <c r="C5888" s="5" t="str">
        <f>IFERROR(__xludf.DUMMYFUNCTION("""COMPUTED_VALUE"""),"https://drive.google.com/file/d/1stLYSryIN9T5YGdHHcHlNrva2FxG2bMy/view?usp=drivesdk")</f>
        <v>https://drive.google.com/file/d/1stLYSryIN9T5YGdHHcHlNrva2FxG2bMy/view?usp=drivesdk</v>
      </c>
      <c r="D5888" s="12"/>
      <c r="E5888" s="11">
        <v>5926.0</v>
      </c>
      <c r="F5888" s="2"/>
    </row>
    <row r="5889" ht="1.5" customHeight="1">
      <c r="A5889" s="4" t="str">
        <f>IFERROR(__xludf.DUMMYFUNCTION("""COMPUTED_VALUE"""),"1. Microwave")</f>
        <v>1. Microwave</v>
      </c>
      <c r="B5889" s="4" t="str">
        <f>IFERROR(__xludf.DUMMYFUNCTION("""COMPUTED_VALUE"""),"1")</f>
        <v>1</v>
      </c>
      <c r="C5889" s="5" t="str">
        <f>IFERROR(__xludf.DUMMYFUNCTION("""COMPUTED_VALUE"""),"https://drive.google.com/file/d/1k73IOf0KXsCpf4FWH23a4jFyQj8-T1Kk/view?usp=drivesdk")</f>
        <v>https://drive.google.com/file/d/1k73IOf0KXsCpf4FWH23a4jFyQj8-T1Kk/view?usp=drivesdk</v>
      </c>
      <c r="D5889" s="12"/>
      <c r="E5889" s="11">
        <v>5927.0</v>
      </c>
      <c r="F5889" s="2"/>
    </row>
    <row r="5890" ht="1.5" customHeight="1">
      <c r="A5890" s="4" t="str">
        <f>IFERROR(__xludf.DUMMYFUNCTION("""COMPUTED_VALUE"""),"4. Eggs")</f>
        <v>4. Eggs</v>
      </c>
      <c r="B5890" s="4" t="str">
        <f>IFERROR(__xludf.DUMMYFUNCTION("""COMPUTED_VALUE"""),"4")</f>
        <v>4</v>
      </c>
      <c r="C5890" s="5" t="str">
        <f>IFERROR(__xludf.DUMMYFUNCTION("""COMPUTED_VALUE"""),"https://drive.google.com/file/d/1AJ9jako7s1gqMeXOsnUniHrPOWQGHL3K/view?usp=drivesdk")</f>
        <v>https://drive.google.com/file/d/1AJ9jako7s1gqMeXOsnUniHrPOWQGHL3K/view?usp=drivesdk</v>
      </c>
      <c r="D5890" s="12"/>
      <c r="E5890" s="11">
        <v>5928.0</v>
      </c>
      <c r="F5890" s="2"/>
    </row>
    <row r="5891" ht="1.5" customHeight="1">
      <c r="A5891" s="4" t="str">
        <f>IFERROR(__xludf.DUMMYFUNCTION("""COMPUTED_VALUE"""),"5. Eraser")</f>
        <v>5. Eraser</v>
      </c>
      <c r="B5891" s="4" t="str">
        <f>IFERROR(__xludf.DUMMYFUNCTION("""COMPUTED_VALUE"""),"5")</f>
        <v>5</v>
      </c>
      <c r="C5891" s="5" t="str">
        <f>IFERROR(__xludf.DUMMYFUNCTION("""COMPUTED_VALUE"""),"https://drive.google.com/file/d/10tCyiNeNE5dItBo4flLl2wn_1tVP4tK9/view?usp=drivesdk")</f>
        <v>https://drive.google.com/file/d/10tCyiNeNE5dItBo4flLl2wn_1tVP4tK9/view?usp=drivesdk</v>
      </c>
      <c r="D5891" s="12"/>
      <c r="E5891" s="11">
        <v>5929.0</v>
      </c>
      <c r="F5891" s="2"/>
    </row>
    <row r="5892" ht="1.5" customHeight="1">
      <c r="A5892" s="4" t="str">
        <f>IFERROR(__xludf.DUMMYFUNCTION("""COMPUTED_VALUE"""),"2. Twix")</f>
        <v>2. Twix</v>
      </c>
      <c r="B5892" s="4" t="str">
        <f>IFERROR(__xludf.DUMMYFUNCTION("""COMPUTED_VALUE"""),"2")</f>
        <v>2</v>
      </c>
      <c r="C5892" s="5" t="str">
        <f>IFERROR(__xludf.DUMMYFUNCTION("""COMPUTED_VALUE"""),"https://drive.google.com/file/d/1FsIKj4Fa_XbZinIT-tPkKGhzSLpzI18d/view?usp=drivesdk")</f>
        <v>https://drive.google.com/file/d/1FsIKj4Fa_XbZinIT-tPkKGhzSLpzI18d/view?usp=drivesdk</v>
      </c>
      <c r="D5892" s="12"/>
      <c r="E5892" s="11">
        <v>5930.0</v>
      </c>
      <c r="F5892" s="2"/>
    </row>
    <row r="5893" ht="1.5" customHeight="1">
      <c r="A5893" s="4" t="str">
        <f>IFERROR(__xludf.DUMMYFUNCTION("""COMPUTED_VALUE"""),"2. Twix")</f>
        <v>2. Twix</v>
      </c>
      <c r="B5893" s="4" t="str">
        <f>IFERROR(__xludf.DUMMYFUNCTION("""COMPUTED_VALUE"""),"2")</f>
        <v>2</v>
      </c>
      <c r="C5893" s="5" t="str">
        <f>IFERROR(__xludf.DUMMYFUNCTION("""COMPUTED_VALUE"""),"https://drive.google.com/file/d/1DcSO8Gf6qqk2H2zRGM-LnDjgU13iYfoW/view?usp=drivesdk")</f>
        <v>https://drive.google.com/file/d/1DcSO8Gf6qqk2H2zRGM-LnDjgU13iYfoW/view?usp=drivesdk</v>
      </c>
      <c r="D5893" s="12"/>
      <c r="E5893" s="11">
        <v>5931.0</v>
      </c>
      <c r="F5893" s="2"/>
    </row>
    <row r="5894" ht="1.5" customHeight="1">
      <c r="A5894" s="4" t="str">
        <f>IFERROR(__xludf.DUMMYFUNCTION("""COMPUTED_VALUE"""),"2. Twix")</f>
        <v>2. Twix</v>
      </c>
      <c r="B5894" s="4" t="str">
        <f>IFERROR(__xludf.DUMMYFUNCTION("""COMPUTED_VALUE"""),"2")</f>
        <v>2</v>
      </c>
      <c r="C5894" s="5" t="str">
        <f>IFERROR(__xludf.DUMMYFUNCTION("""COMPUTED_VALUE"""),"https://drive.google.com/file/d/1IiHA1N3Rkl6F21vVD0ZTYu5xcf-5UF0O/view?usp=drivesdk")</f>
        <v>https://drive.google.com/file/d/1IiHA1N3Rkl6F21vVD0ZTYu5xcf-5UF0O/view?usp=drivesdk</v>
      </c>
      <c r="D5894" s="12"/>
      <c r="E5894" s="11">
        <v>5932.0</v>
      </c>
      <c r="F5894" s="2"/>
    </row>
    <row r="5895" ht="1.5" customHeight="1">
      <c r="A5895" s="4" t="str">
        <f>IFERROR(__xludf.DUMMYFUNCTION("""COMPUTED_VALUE"""),"2. Twix")</f>
        <v>2. Twix</v>
      </c>
      <c r="B5895" s="4" t="str">
        <f>IFERROR(__xludf.DUMMYFUNCTION("""COMPUTED_VALUE"""),"2")</f>
        <v>2</v>
      </c>
      <c r="C5895" s="5" t="str">
        <f>IFERROR(__xludf.DUMMYFUNCTION("""COMPUTED_VALUE"""),"https://drive.google.com/file/d/1dShZCr5r1HI3k_NYYzndagx51paWCjg9/view?usp=drivesdk")</f>
        <v>https://drive.google.com/file/d/1dShZCr5r1HI3k_NYYzndagx51paWCjg9/view?usp=drivesdk</v>
      </c>
      <c r="D5895" s="12"/>
      <c r="E5895" s="11">
        <v>5933.0</v>
      </c>
      <c r="F5895" s="2"/>
    </row>
    <row r="5896" ht="1.5" customHeight="1">
      <c r="A5896" s="4" t="str">
        <f>IFERROR(__xludf.DUMMYFUNCTION("""COMPUTED_VALUE"""),"2. Twix")</f>
        <v>2. Twix</v>
      </c>
      <c r="B5896" s="4" t="str">
        <f>IFERROR(__xludf.DUMMYFUNCTION("""COMPUTED_VALUE"""),"2")</f>
        <v>2</v>
      </c>
      <c r="C5896" s="5" t="str">
        <f>IFERROR(__xludf.DUMMYFUNCTION("""COMPUTED_VALUE"""),"https://drive.google.com/file/d/1Cj3weDAyqFyIYnODILr692SYvrO1-TmI/view?usp=drivesdk")</f>
        <v>https://drive.google.com/file/d/1Cj3weDAyqFyIYnODILr692SYvrO1-TmI/view?usp=drivesdk</v>
      </c>
      <c r="D5896" s="12"/>
      <c r="E5896" s="11">
        <v>5934.0</v>
      </c>
      <c r="F5896" s="2"/>
    </row>
    <row r="5897" ht="1.5" customHeight="1">
      <c r="A5897" s="4" t="str">
        <f>IFERROR(__xludf.DUMMYFUNCTION("""COMPUTED_VALUE"""),"2. Twix")</f>
        <v>2. Twix</v>
      </c>
      <c r="B5897" s="4" t="str">
        <f>IFERROR(__xludf.DUMMYFUNCTION("""COMPUTED_VALUE"""),"2")</f>
        <v>2</v>
      </c>
      <c r="C5897" s="5" t="str">
        <f>IFERROR(__xludf.DUMMYFUNCTION("""COMPUTED_VALUE"""),"https://drive.google.com/file/d/1m_RMQZBEykpMHPyiwYgGLWTupUeZsbg0/view?usp=drivesdk")</f>
        <v>https://drive.google.com/file/d/1m_RMQZBEykpMHPyiwYgGLWTupUeZsbg0/view?usp=drivesdk</v>
      </c>
      <c r="D5897" s="12"/>
      <c r="E5897" s="11">
        <v>5935.0</v>
      </c>
      <c r="F5897" s="2"/>
    </row>
    <row r="5898" ht="1.5" customHeight="1">
      <c r="A5898" s="4" t="str">
        <f>IFERROR(__xludf.DUMMYFUNCTION("""COMPUTED_VALUE"""),"0. NotACat")</f>
        <v>0. NotACat</v>
      </c>
      <c r="B5898" s="4" t="str">
        <f>IFERROR(__xludf.DUMMYFUNCTION("""COMPUTED_VALUE"""),"0")</f>
        <v>0</v>
      </c>
      <c r="C5898" s="5" t="str">
        <f>IFERROR(__xludf.DUMMYFUNCTION("""COMPUTED_VALUE"""),"https://drive.google.com/file/d/10sIc1LT541F1QuBtuIqcKm8gHeGR7xcL/view?usp=drivesdk")</f>
        <v>https://drive.google.com/file/d/10sIc1LT541F1QuBtuIqcKm8gHeGR7xcL/view?usp=drivesdk</v>
      </c>
      <c r="D5898" s="12"/>
      <c r="E5898" s="11">
        <v>5936.0</v>
      </c>
      <c r="F5898" s="2"/>
    </row>
    <row r="5899" ht="1.5" customHeight="1">
      <c r="A5899" s="4" t="str">
        <f>IFERROR(__xludf.DUMMYFUNCTION("""COMPUTED_VALUE"""),"0. NotACat")</f>
        <v>0. NotACat</v>
      </c>
      <c r="B5899" s="4" t="str">
        <f>IFERROR(__xludf.DUMMYFUNCTION("""COMPUTED_VALUE"""),"0")</f>
        <v>0</v>
      </c>
      <c r="C5899" s="5" t="str">
        <f>IFERROR(__xludf.DUMMYFUNCTION("""COMPUTED_VALUE"""),"https://drive.google.com/file/d/1YUpXSAJKbP4mZEj1vhCH7sXzORvgzIfj/view?usp=drivesdk")</f>
        <v>https://drive.google.com/file/d/1YUpXSAJKbP4mZEj1vhCH7sXzORvgzIfj/view?usp=drivesdk</v>
      </c>
      <c r="D5899" s="12"/>
      <c r="E5899" s="11">
        <v>5937.0</v>
      </c>
      <c r="F5899" s="2"/>
    </row>
    <row r="5900" ht="1.5" customHeight="1">
      <c r="A5900" s="4" t="str">
        <f>IFERROR(__xludf.DUMMYFUNCTION("""COMPUTED_VALUE"""),"1. Microwave")</f>
        <v>1. Microwave</v>
      </c>
      <c r="B5900" s="4" t="str">
        <f>IFERROR(__xludf.DUMMYFUNCTION("""COMPUTED_VALUE"""),"1")</f>
        <v>1</v>
      </c>
      <c r="C5900" s="5" t="str">
        <f>IFERROR(__xludf.DUMMYFUNCTION("""COMPUTED_VALUE"""),"https://drive.google.com/file/d/1WTeWfVb_oJ5qgpZ7s5Ay4u3kvxnmuxpT/view?usp=drivesdk")</f>
        <v>https://drive.google.com/file/d/1WTeWfVb_oJ5qgpZ7s5Ay4u3kvxnmuxpT/view?usp=drivesdk</v>
      </c>
      <c r="D5900" s="12"/>
      <c r="E5900" s="11">
        <v>5938.0</v>
      </c>
      <c r="F5900" s="2"/>
    </row>
    <row r="5901" ht="1.5" customHeight="1">
      <c r="A5901" s="4" t="str">
        <f>IFERROR(__xludf.DUMMYFUNCTION("""COMPUTED_VALUE"""),"0. NotACat")</f>
        <v>0. NotACat</v>
      </c>
      <c r="B5901" s="4" t="str">
        <f>IFERROR(__xludf.DUMMYFUNCTION("""COMPUTED_VALUE"""),"0")</f>
        <v>0</v>
      </c>
      <c r="C5901" s="5" t="str">
        <f>IFERROR(__xludf.DUMMYFUNCTION("""COMPUTED_VALUE"""),"https://drive.google.com/file/d/15scx6M9SE7h5hx7oK-JT9wTV-xJh4hY9/view?usp=drivesdk")</f>
        <v>https://drive.google.com/file/d/15scx6M9SE7h5hx7oK-JT9wTV-xJh4hY9/view?usp=drivesdk</v>
      </c>
      <c r="D5901" s="12"/>
      <c r="E5901" s="11">
        <v>5939.0</v>
      </c>
      <c r="F5901" s="2"/>
    </row>
    <row r="5902" ht="1.5" customHeight="1">
      <c r="A5902" s="4" t="str">
        <f>IFERROR(__xludf.DUMMYFUNCTION("""COMPUTED_VALUE"""),"0. NotACat")</f>
        <v>0. NotACat</v>
      </c>
      <c r="B5902" s="4" t="str">
        <f>IFERROR(__xludf.DUMMYFUNCTION("""COMPUTED_VALUE"""),"0")</f>
        <v>0</v>
      </c>
      <c r="C5902" s="5" t="str">
        <f>IFERROR(__xludf.DUMMYFUNCTION("""COMPUTED_VALUE"""),"https://drive.google.com/file/d/1HHWn_hvo3hZuNeeg-LnH6phg355MQGpu/view?usp=drivesdk")</f>
        <v>https://drive.google.com/file/d/1HHWn_hvo3hZuNeeg-LnH6phg355MQGpu/view?usp=drivesdk</v>
      </c>
      <c r="D5902" s="12"/>
      <c r="E5902" s="11">
        <v>5940.0</v>
      </c>
      <c r="F5902" s="2"/>
    </row>
    <row r="5903" ht="1.5" customHeight="1">
      <c r="A5903" s="4" t="str">
        <f>IFERROR(__xludf.DUMMYFUNCTION("""COMPUTED_VALUE"""),"1. Microwave")</f>
        <v>1. Microwave</v>
      </c>
      <c r="B5903" s="4" t="str">
        <f>IFERROR(__xludf.DUMMYFUNCTION("""COMPUTED_VALUE"""),"1")</f>
        <v>1</v>
      </c>
      <c r="C5903" s="5" t="str">
        <f>IFERROR(__xludf.DUMMYFUNCTION("""COMPUTED_VALUE"""),"https://drive.google.com/file/d/1aVdjrwLu9UVvNlKmfzLcxYyg1YjjUR4J/view?usp=drivesdk")</f>
        <v>https://drive.google.com/file/d/1aVdjrwLu9UVvNlKmfzLcxYyg1YjjUR4J/view?usp=drivesdk</v>
      </c>
      <c r="D5903" s="12"/>
      <c r="E5903" s="11">
        <v>5941.0</v>
      </c>
      <c r="F5903" s="2"/>
    </row>
    <row r="5904" ht="1.5" customHeight="1">
      <c r="A5904" s="4" t="str">
        <f>IFERROR(__xludf.DUMMYFUNCTION("""COMPUTED_VALUE"""),"2. Twix")</f>
        <v>2. Twix</v>
      </c>
      <c r="B5904" s="4" t="str">
        <f>IFERROR(__xludf.DUMMYFUNCTION("""COMPUTED_VALUE"""),"2")</f>
        <v>2</v>
      </c>
      <c r="C5904" s="5" t="str">
        <f>IFERROR(__xludf.DUMMYFUNCTION("""COMPUTED_VALUE"""),"https://drive.google.com/file/d/1KnXCiUfWIWVSU7ej0SQGB9iLrxlfrZR7/view?usp=drivesdk")</f>
        <v>https://drive.google.com/file/d/1KnXCiUfWIWVSU7ej0SQGB9iLrxlfrZR7/view?usp=drivesdk</v>
      </c>
      <c r="D5904" s="12"/>
      <c r="E5904" s="11">
        <v>5942.0</v>
      </c>
      <c r="F5904" s="2"/>
    </row>
    <row r="5905" ht="1.5" customHeight="1">
      <c r="A5905" s="4" t="str">
        <f>IFERROR(__xludf.DUMMYFUNCTION("""COMPUTED_VALUE"""),"4. Eggs, 5. Eraser")</f>
        <v>4. Eggs, 5. Eraser</v>
      </c>
      <c r="B5905" s="4" t="str">
        <f>IFERROR(__xludf.DUMMYFUNCTION("""COMPUTED_VALUE"""),"4, 5")</f>
        <v>4, 5</v>
      </c>
      <c r="C5905" s="5" t="str">
        <f>IFERROR(__xludf.DUMMYFUNCTION("""COMPUTED_VALUE"""),"https://drive.google.com/file/d/18Bvgdr8gs9baP_Yxz_6DAFcGIneJElY0/view?usp=drivesdk")</f>
        <v>https://drive.google.com/file/d/18Bvgdr8gs9baP_Yxz_6DAFcGIneJElY0/view?usp=drivesdk</v>
      </c>
      <c r="D5905" s="12"/>
      <c r="E5905" s="11">
        <v>5943.0</v>
      </c>
      <c r="F5905" s="2"/>
    </row>
    <row r="5906" ht="1.5" customHeight="1">
      <c r="A5906" s="4" t="str">
        <f>IFERROR(__xludf.DUMMYFUNCTION("""COMPUTED_VALUE"""),"1. Microwave")</f>
        <v>1. Microwave</v>
      </c>
      <c r="B5906" s="4" t="str">
        <f>IFERROR(__xludf.DUMMYFUNCTION("""COMPUTED_VALUE"""),"1")</f>
        <v>1</v>
      </c>
      <c r="C5906" s="5" t="str">
        <f>IFERROR(__xludf.DUMMYFUNCTION("""COMPUTED_VALUE"""),"https://drive.google.com/file/d/1iAyG0P0SYvbYodo22xayzYU8_cBzEuyz/view?usp=drivesdk")</f>
        <v>https://drive.google.com/file/d/1iAyG0P0SYvbYodo22xayzYU8_cBzEuyz/view?usp=drivesdk</v>
      </c>
      <c r="D5906" s="12"/>
      <c r="E5906" s="11">
        <v>5944.0</v>
      </c>
      <c r="F5906" s="2"/>
    </row>
    <row r="5907" ht="1.5" customHeight="1">
      <c r="A5907" s="4" t="str">
        <f>IFERROR(__xludf.DUMMYFUNCTION("""COMPUTED_VALUE"""),"115. Toothless")</f>
        <v>115. Toothless</v>
      </c>
      <c r="B5907" s="4" t="str">
        <f>IFERROR(__xludf.DUMMYFUNCTION("""COMPUTED_VALUE"""),"115")</f>
        <v>115</v>
      </c>
      <c r="C5907" s="5" t="str">
        <f>IFERROR(__xludf.DUMMYFUNCTION("""COMPUTED_VALUE"""),"https://drive.google.com/file/d/1PKDDtYb8ARAS7BYLO-uOskPVWgoUjlrI/view?usp=drivesdk")</f>
        <v>https://drive.google.com/file/d/1PKDDtYb8ARAS7BYLO-uOskPVWgoUjlrI/view?usp=drivesdk</v>
      </c>
      <c r="D5907" s="12"/>
      <c r="E5907" s="11">
        <v>5945.0</v>
      </c>
      <c r="F5907" s="2"/>
    </row>
    <row r="5908" ht="1.5" customHeight="1">
      <c r="A5908" s="4" t="str">
        <f>IFERROR(__xludf.DUMMYFUNCTION("""COMPUTED_VALUE"""),"115. Toothless")</f>
        <v>115. Toothless</v>
      </c>
      <c r="B5908" s="4" t="str">
        <f>IFERROR(__xludf.DUMMYFUNCTION("""COMPUTED_VALUE"""),"115")</f>
        <v>115</v>
      </c>
      <c r="C5908" s="5" t="str">
        <f>IFERROR(__xludf.DUMMYFUNCTION("""COMPUTED_VALUE"""),"https://drive.google.com/file/d/130vYT18lTf_xuYFxC5J3x5yUhgFk22rE/view?usp=drivesdk")</f>
        <v>https://drive.google.com/file/d/130vYT18lTf_xuYFxC5J3x5yUhgFk22rE/view?usp=drivesdk</v>
      </c>
      <c r="D5908" s="12"/>
      <c r="E5908" s="11">
        <v>5946.0</v>
      </c>
      <c r="F5908" s="2"/>
    </row>
    <row r="5909" ht="1.5" customHeight="1">
      <c r="A5909" s="4" t="str">
        <f>IFERROR(__xludf.DUMMYFUNCTION("""COMPUTED_VALUE"""),"115. Toothless")</f>
        <v>115. Toothless</v>
      </c>
      <c r="B5909" s="4" t="str">
        <f>IFERROR(__xludf.DUMMYFUNCTION("""COMPUTED_VALUE"""),"115")</f>
        <v>115</v>
      </c>
      <c r="C5909" s="5" t="str">
        <f>IFERROR(__xludf.DUMMYFUNCTION("""COMPUTED_VALUE"""),"https://drive.google.com/file/d/1YjYSOqDj0ntw69ffaZa1z977QqhelB5p/view?usp=drivesdk")</f>
        <v>https://drive.google.com/file/d/1YjYSOqDj0ntw69ffaZa1z977QqhelB5p/view?usp=drivesdk</v>
      </c>
      <c r="D5909" s="12"/>
      <c r="E5909" s="11">
        <v>5947.0</v>
      </c>
      <c r="F5909" s="2"/>
    </row>
    <row r="5910" ht="1.5" customHeight="1">
      <c r="A5910" s="4" t="str">
        <f>IFERROR(__xludf.DUMMYFUNCTION("""COMPUTED_VALUE"""),"118. Stinker")</f>
        <v>118. Stinker</v>
      </c>
      <c r="B5910" s="4" t="str">
        <f>IFERROR(__xludf.DUMMYFUNCTION("""COMPUTED_VALUE"""),"118")</f>
        <v>118</v>
      </c>
      <c r="C5910" s="5" t="str">
        <f>IFERROR(__xludf.DUMMYFUNCTION("""COMPUTED_VALUE"""),"https://drive.google.com/file/d/1aNnIP11ZNZuNekbUaBTXLO7_UX__ENQl/view?usp=drivesdk")</f>
        <v>https://drive.google.com/file/d/1aNnIP11ZNZuNekbUaBTXLO7_UX__ENQl/view?usp=drivesdk</v>
      </c>
      <c r="D5910" s="12"/>
      <c r="E5910" s="11">
        <v>5948.0</v>
      </c>
      <c r="F5910" s="2"/>
    </row>
    <row r="5911" ht="1.5" customHeight="1">
      <c r="A5911" s="4" t="str">
        <f>IFERROR(__xludf.DUMMYFUNCTION("""COMPUTED_VALUE"""),"115. Toothless")</f>
        <v>115. Toothless</v>
      </c>
      <c r="B5911" s="4" t="str">
        <f>IFERROR(__xludf.DUMMYFUNCTION("""COMPUTED_VALUE"""),"115")</f>
        <v>115</v>
      </c>
      <c r="C5911" s="5" t="str">
        <f>IFERROR(__xludf.DUMMYFUNCTION("""COMPUTED_VALUE"""),"https://drive.google.com/file/d/1XJK2hijvbyBI0oyrYzlyvCaGXoGvwOK0/view?usp=drivesdk")</f>
        <v>https://drive.google.com/file/d/1XJK2hijvbyBI0oyrYzlyvCaGXoGvwOK0/view?usp=drivesdk</v>
      </c>
      <c r="D5911" s="12"/>
      <c r="E5911" s="11">
        <v>5949.0</v>
      </c>
      <c r="F5911" s="2"/>
    </row>
    <row r="5912" ht="1.5" customHeight="1">
      <c r="A5912" s="4" t="str">
        <f>IFERROR(__xludf.DUMMYFUNCTION("""COMPUTED_VALUE"""),"115. Toothless")</f>
        <v>115. Toothless</v>
      </c>
      <c r="B5912" s="4" t="str">
        <f>IFERROR(__xludf.DUMMYFUNCTION("""COMPUTED_VALUE"""),"115")</f>
        <v>115</v>
      </c>
      <c r="C5912" s="5" t="str">
        <f>IFERROR(__xludf.DUMMYFUNCTION("""COMPUTED_VALUE"""),"https://drive.google.com/file/d/1W5dwnLQ1d-xCVtHZ0RB0oG40T62tARVY/view?usp=drivesdk")</f>
        <v>https://drive.google.com/file/d/1W5dwnLQ1d-xCVtHZ0RB0oG40T62tARVY/view?usp=drivesdk</v>
      </c>
      <c r="D5912" s="12"/>
      <c r="E5912" s="11">
        <v>5950.0</v>
      </c>
      <c r="F5912" s="2"/>
    </row>
    <row r="5913" ht="1.5" customHeight="1">
      <c r="A5913" s="4" t="str">
        <f>IFERROR(__xludf.DUMMYFUNCTION("""COMPUTED_VALUE"""),"115. Toothless")</f>
        <v>115. Toothless</v>
      </c>
      <c r="B5913" s="4" t="str">
        <f>IFERROR(__xludf.DUMMYFUNCTION("""COMPUTED_VALUE"""),"115")</f>
        <v>115</v>
      </c>
      <c r="C5913" s="5" t="str">
        <f>IFERROR(__xludf.DUMMYFUNCTION("""COMPUTED_VALUE"""),"https://drive.google.com/file/d/1CnZuozdEbLL2RSgc-1cCU7B3WfVtnmqt/view?usp=drivesdk")</f>
        <v>https://drive.google.com/file/d/1CnZuozdEbLL2RSgc-1cCU7B3WfVtnmqt/view?usp=drivesdk</v>
      </c>
      <c r="D5913" s="12"/>
      <c r="E5913" s="11">
        <v>5951.0</v>
      </c>
      <c r="F5913" s="2"/>
    </row>
    <row r="5914" ht="1.5" customHeight="1">
      <c r="A5914" s="4" t="str">
        <f>IFERROR(__xludf.DUMMYFUNCTION("""COMPUTED_VALUE"""),"115. Toothless")</f>
        <v>115. Toothless</v>
      </c>
      <c r="B5914" s="4" t="str">
        <f>IFERROR(__xludf.DUMMYFUNCTION("""COMPUTED_VALUE"""),"115")</f>
        <v>115</v>
      </c>
      <c r="C5914" s="5" t="str">
        <f>IFERROR(__xludf.DUMMYFUNCTION("""COMPUTED_VALUE"""),"https://drive.google.com/file/d/14V7vYPb2CModpyOF88DSq--NsyqRrs7v/view?usp=drivesdk")</f>
        <v>https://drive.google.com/file/d/14V7vYPb2CModpyOF88DSq--NsyqRrs7v/view?usp=drivesdk</v>
      </c>
      <c r="D5914" s="12"/>
      <c r="E5914" s="11">
        <v>5952.0</v>
      </c>
      <c r="F5914" s="2"/>
    </row>
    <row r="5915" ht="1.5" customHeight="1">
      <c r="A5915" s="4" t="str">
        <f>IFERROR(__xludf.DUMMYFUNCTION("""COMPUTED_VALUE"""),"115. Toothless")</f>
        <v>115. Toothless</v>
      </c>
      <c r="B5915" s="4" t="str">
        <f>IFERROR(__xludf.DUMMYFUNCTION("""COMPUTED_VALUE"""),"115")</f>
        <v>115</v>
      </c>
      <c r="C5915" s="5" t="str">
        <f>IFERROR(__xludf.DUMMYFUNCTION("""COMPUTED_VALUE"""),"https://drive.google.com/file/d/1QxILxe3YE0Q1SST0fMzy00wRmravAnaY/view?usp=drivesdk")</f>
        <v>https://drive.google.com/file/d/1QxILxe3YE0Q1SST0fMzy00wRmravAnaY/view?usp=drivesdk</v>
      </c>
      <c r="D5915" s="12"/>
      <c r="E5915" s="11">
        <v>5953.0</v>
      </c>
      <c r="F5915" s="2"/>
    </row>
    <row r="5916" ht="1.5" customHeight="1">
      <c r="A5916" s="4" t="str">
        <f>IFERROR(__xludf.DUMMYFUNCTION("""COMPUTED_VALUE"""),"115. Toothless")</f>
        <v>115. Toothless</v>
      </c>
      <c r="B5916" s="4" t="str">
        <f>IFERROR(__xludf.DUMMYFUNCTION("""COMPUTED_VALUE"""),"115")</f>
        <v>115</v>
      </c>
      <c r="C5916" s="5" t="str">
        <f>IFERROR(__xludf.DUMMYFUNCTION("""COMPUTED_VALUE"""),"https://drive.google.com/file/d/1DP1VW6evUQFEOc5N4tm-W0JU3-0GpSdu/view?usp=drivesdk")</f>
        <v>https://drive.google.com/file/d/1DP1VW6evUQFEOc5N4tm-W0JU3-0GpSdu/view?usp=drivesdk</v>
      </c>
      <c r="D5916" s="12"/>
      <c r="E5916" s="11">
        <v>5954.0</v>
      </c>
      <c r="F5916" s="2"/>
    </row>
    <row r="5917" ht="1.5" customHeight="1">
      <c r="A5917" s="4" t="str">
        <f>IFERROR(__xludf.DUMMYFUNCTION("""COMPUTED_VALUE"""),"118. Stinker")</f>
        <v>118. Stinker</v>
      </c>
      <c r="B5917" s="4" t="str">
        <f>IFERROR(__xludf.DUMMYFUNCTION("""COMPUTED_VALUE"""),"118")</f>
        <v>118</v>
      </c>
      <c r="C5917" s="5" t="str">
        <f>IFERROR(__xludf.DUMMYFUNCTION("""COMPUTED_VALUE"""),"https://drive.google.com/file/d/1TLKflU24qmwFi4nMATuQDDSdETiym4lQ/view?usp=drivesdk")</f>
        <v>https://drive.google.com/file/d/1TLKflU24qmwFi4nMATuQDDSdETiym4lQ/view?usp=drivesdk</v>
      </c>
      <c r="D5917" s="12"/>
      <c r="E5917" s="11">
        <v>5955.0</v>
      </c>
      <c r="F5917" s="2"/>
    </row>
    <row r="5918" ht="1.5" customHeight="1">
      <c r="A5918" s="4" t="str">
        <f>IFERROR(__xludf.DUMMYFUNCTION("""COMPUTED_VALUE"""),"5. Eraser")</f>
        <v>5. Eraser</v>
      </c>
      <c r="B5918" s="4" t="str">
        <f>IFERROR(__xludf.DUMMYFUNCTION("""COMPUTED_VALUE"""),"5")</f>
        <v>5</v>
      </c>
      <c r="C5918" s="5" t="str">
        <f>IFERROR(__xludf.DUMMYFUNCTION("""COMPUTED_VALUE"""),"https://drive.google.com/file/d/1g4K_2_k3BPiE53DT2YYdOw0LO0v9buT2/view?usp=drivesdk")</f>
        <v>https://drive.google.com/file/d/1g4K_2_k3BPiE53DT2YYdOw0LO0v9buT2/view?usp=drivesdk</v>
      </c>
      <c r="D5918" s="12"/>
      <c r="E5918" s="11">
        <v>5956.0</v>
      </c>
      <c r="F5918" s="2"/>
    </row>
    <row r="5919" ht="1.5" customHeight="1">
      <c r="A5919" s="4" t="str">
        <f>IFERROR(__xludf.DUMMYFUNCTION("""COMPUTED_VALUE"""),"118. Stinker")</f>
        <v>118. Stinker</v>
      </c>
      <c r="B5919" s="4" t="str">
        <f>IFERROR(__xludf.DUMMYFUNCTION("""COMPUTED_VALUE"""),"118")</f>
        <v>118</v>
      </c>
      <c r="C5919" s="5" t="str">
        <f>IFERROR(__xludf.DUMMYFUNCTION("""COMPUTED_VALUE"""),"https://drive.google.com/file/d/1kEFiq5TfnyMjtTSzN4sziXDFl1YzoRRx/view?usp=drivesdk")</f>
        <v>https://drive.google.com/file/d/1kEFiq5TfnyMjtTSzN4sziXDFl1YzoRRx/view?usp=drivesdk</v>
      </c>
      <c r="D5919" s="12"/>
      <c r="E5919" s="11">
        <v>5957.0</v>
      </c>
      <c r="F5919" s="2"/>
    </row>
    <row r="5920" ht="1.5" customHeight="1">
      <c r="A5920" s="4" t="str">
        <f>IFERROR(__xludf.DUMMYFUNCTION("""COMPUTED_VALUE"""),"1. Microwave")</f>
        <v>1. Microwave</v>
      </c>
      <c r="B5920" s="4" t="str">
        <f>IFERROR(__xludf.DUMMYFUNCTION("""COMPUTED_VALUE"""),"1")</f>
        <v>1</v>
      </c>
      <c r="C5920" s="5" t="str">
        <f>IFERROR(__xludf.DUMMYFUNCTION("""COMPUTED_VALUE"""),"https://drive.google.com/file/d/1GqFnyMOZLtmAcrim_DbwfLS6G38E_lLo/view?usp=drivesdk")</f>
        <v>https://drive.google.com/file/d/1GqFnyMOZLtmAcrim_DbwfLS6G38E_lLo/view?usp=drivesdk</v>
      </c>
      <c r="D5920" s="12"/>
      <c r="E5920" s="11">
        <v>5958.0</v>
      </c>
      <c r="F5920" s="2"/>
    </row>
    <row r="5921" ht="1.5" customHeight="1">
      <c r="A5921" s="4" t="str">
        <f>IFERROR(__xludf.DUMMYFUNCTION("""COMPUTED_VALUE"""),"1. Microwave")</f>
        <v>1. Microwave</v>
      </c>
      <c r="B5921" s="4" t="str">
        <f>IFERROR(__xludf.DUMMYFUNCTION("""COMPUTED_VALUE"""),"1")</f>
        <v>1</v>
      </c>
      <c r="C5921" s="5" t="str">
        <f>IFERROR(__xludf.DUMMYFUNCTION("""COMPUTED_VALUE"""),"https://drive.google.com/file/d/1T2AL0AFAYrCKdSdSNKwB0kw8kqeN8eqJ/view?usp=drivesdk")</f>
        <v>https://drive.google.com/file/d/1T2AL0AFAYrCKdSdSNKwB0kw8kqeN8eqJ/view?usp=drivesdk</v>
      </c>
      <c r="D5921" s="12"/>
      <c r="E5921" s="11">
        <v>5959.0</v>
      </c>
      <c r="F5921" s="2"/>
    </row>
    <row r="5922" ht="1.5" customHeight="1">
      <c r="A5922" s="4" t="str">
        <f>IFERROR(__xludf.DUMMYFUNCTION("""COMPUTED_VALUE"""),"1. Microwave")</f>
        <v>1. Microwave</v>
      </c>
      <c r="B5922" s="4" t="str">
        <f>IFERROR(__xludf.DUMMYFUNCTION("""COMPUTED_VALUE"""),"1")</f>
        <v>1</v>
      </c>
      <c r="C5922" s="5" t="str">
        <f>IFERROR(__xludf.DUMMYFUNCTION("""COMPUTED_VALUE"""),"https://drive.google.com/file/d/1ILO3VxUMoyk17wOqmVAqz7TbJ9vJlayK/view?usp=drivesdk")</f>
        <v>https://drive.google.com/file/d/1ILO3VxUMoyk17wOqmVAqz7TbJ9vJlayK/view?usp=drivesdk</v>
      </c>
      <c r="D5922" s="12"/>
      <c r="E5922" s="11">
        <v>5960.0</v>
      </c>
      <c r="F5922" s="2"/>
    </row>
    <row r="5923" ht="1.5" customHeight="1">
      <c r="A5923" s="4" t="str">
        <f>IFERROR(__xludf.DUMMYFUNCTION("""COMPUTED_VALUE"""),"92. Cloudy, 117. Chance, 93. Meatball")</f>
        <v>92. Cloudy, 117. Chance, 93. Meatball</v>
      </c>
      <c r="B5923" s="4" t="str">
        <f>IFERROR(__xludf.DUMMYFUNCTION("""COMPUTED_VALUE"""),"92, 117, 93")</f>
        <v>92, 117, 93</v>
      </c>
      <c r="C5923" s="5" t="str">
        <f>IFERROR(__xludf.DUMMYFUNCTION("""COMPUTED_VALUE"""),"https://drive.google.com/file/d/1RPw9rwzpeVfyk40JWVJ32VVOs9ic39fq/view?usp=drivesdk")</f>
        <v>https://drive.google.com/file/d/1RPw9rwzpeVfyk40JWVJ32VVOs9ic39fq/view?usp=drivesdk</v>
      </c>
      <c r="D5923" s="12"/>
      <c r="E5923" s="11">
        <v>5961.0</v>
      </c>
      <c r="F5923" s="2"/>
    </row>
    <row r="5924" ht="1.5" customHeight="1">
      <c r="A5924" s="4" t="str">
        <f>IFERROR(__xludf.DUMMYFUNCTION("""COMPUTED_VALUE"""),"93. Meatball")</f>
        <v>93. Meatball</v>
      </c>
      <c r="B5924" s="4" t="str">
        <f>IFERROR(__xludf.DUMMYFUNCTION("""COMPUTED_VALUE"""),"93")</f>
        <v>93</v>
      </c>
      <c r="C5924" s="5" t="str">
        <f>IFERROR(__xludf.DUMMYFUNCTION("""COMPUTED_VALUE"""),"https://drive.google.com/file/d/1pNjBZeHGrdJlkPAIcQMeadtn3OEGfZDC/view?usp=drivesdk")</f>
        <v>https://drive.google.com/file/d/1pNjBZeHGrdJlkPAIcQMeadtn3OEGfZDC/view?usp=drivesdk</v>
      </c>
      <c r="D5924" s="12"/>
      <c r="E5924" s="11">
        <v>5962.0</v>
      </c>
      <c r="F5924" s="2"/>
    </row>
    <row r="5925" ht="1.5" customHeight="1">
      <c r="A5925" s="4" t="str">
        <f>IFERROR(__xludf.DUMMYFUNCTION("""COMPUTED_VALUE"""),"93. Meatball")</f>
        <v>93. Meatball</v>
      </c>
      <c r="B5925" s="4" t="str">
        <f>IFERROR(__xludf.DUMMYFUNCTION("""COMPUTED_VALUE"""),"93")</f>
        <v>93</v>
      </c>
      <c r="C5925" s="5" t="str">
        <f>IFERROR(__xludf.DUMMYFUNCTION("""COMPUTED_VALUE"""),"https://drive.google.com/file/d/1QIecxon61GTT317ib_BR-2qvaTSlvSrf/view?usp=drivesdk")</f>
        <v>https://drive.google.com/file/d/1QIecxon61GTT317ib_BR-2qvaTSlvSrf/view?usp=drivesdk</v>
      </c>
      <c r="D5925" s="12"/>
      <c r="E5925" s="11">
        <v>5963.0</v>
      </c>
      <c r="F5925" s="2"/>
    </row>
    <row r="5926" ht="1.5" customHeight="1">
      <c r="A5926" s="4" t="str">
        <f>IFERROR(__xludf.DUMMYFUNCTION("""COMPUTED_VALUE"""),"92. Cloudy")</f>
        <v>92. Cloudy</v>
      </c>
      <c r="B5926" s="4" t="str">
        <f>IFERROR(__xludf.DUMMYFUNCTION("""COMPUTED_VALUE"""),"92")</f>
        <v>92</v>
      </c>
      <c r="C5926" s="5" t="str">
        <f>IFERROR(__xludf.DUMMYFUNCTION("""COMPUTED_VALUE"""),"https://drive.google.com/file/d/1UGbYOqwsVtousO3rV2AH-TK5nIXSuVV3/view?usp=drivesdk")</f>
        <v>https://drive.google.com/file/d/1UGbYOqwsVtousO3rV2AH-TK5nIXSuVV3/view?usp=drivesdk</v>
      </c>
      <c r="D5926" s="12"/>
      <c r="E5926" s="11">
        <v>5964.0</v>
      </c>
      <c r="F5926" s="2"/>
    </row>
    <row r="5927" ht="1.5" customHeight="1">
      <c r="A5927" s="4" t="str">
        <f>IFERROR(__xludf.DUMMYFUNCTION("""COMPUTED_VALUE"""),"92. Cloudy")</f>
        <v>92. Cloudy</v>
      </c>
      <c r="B5927" s="4" t="str">
        <f>IFERROR(__xludf.DUMMYFUNCTION("""COMPUTED_VALUE"""),"92")</f>
        <v>92</v>
      </c>
      <c r="C5927" s="5" t="str">
        <f>IFERROR(__xludf.DUMMYFUNCTION("""COMPUTED_VALUE"""),"https://drive.google.com/file/d/19DE56ioJeNC41I_pCynnGtmwQy_w4dXs/view?usp=drivesdk")</f>
        <v>https://drive.google.com/file/d/19DE56ioJeNC41I_pCynnGtmwQy_w4dXs/view?usp=drivesdk</v>
      </c>
      <c r="D5927" s="12"/>
      <c r="E5927" s="11">
        <v>5965.0</v>
      </c>
      <c r="F5927" s="2"/>
    </row>
    <row r="5928" ht="1.5" customHeight="1">
      <c r="A5928" s="4" t="str">
        <f>IFERROR(__xludf.DUMMYFUNCTION("""COMPUTED_VALUE"""),"17. Bobbie")</f>
        <v>17. Bobbie</v>
      </c>
      <c r="B5928" s="4" t="str">
        <f>IFERROR(__xludf.DUMMYFUNCTION("""COMPUTED_VALUE"""),"17")</f>
        <v>17</v>
      </c>
      <c r="C5928" s="5" t="str">
        <f>IFERROR(__xludf.DUMMYFUNCTION("""COMPUTED_VALUE"""),"https://drive.google.com/file/d/1W-xM9F_I6gvbX8KHgFVV2ISzfuKQtQiQ/view?usp=drivesdk")</f>
        <v>https://drive.google.com/file/d/1W-xM9F_I6gvbX8KHgFVV2ISzfuKQtQiQ/view?usp=drivesdk</v>
      </c>
      <c r="D5928" s="12"/>
      <c r="E5928" s="11">
        <v>5966.0</v>
      </c>
      <c r="F5928" s="2"/>
    </row>
    <row r="5929" ht="1.5" customHeight="1">
      <c r="A5929" s="4" t="str">
        <f>IFERROR(__xludf.DUMMYFUNCTION("""COMPUTED_VALUE"""),"80. Atzi")</f>
        <v>80. Atzi</v>
      </c>
      <c r="B5929" s="4" t="str">
        <f>IFERROR(__xludf.DUMMYFUNCTION("""COMPUTED_VALUE"""),"80")</f>
        <v>80</v>
      </c>
      <c r="C5929" s="5" t="str">
        <f>IFERROR(__xludf.DUMMYFUNCTION("""COMPUTED_VALUE"""),"https://drive.google.com/file/d/13joRz33MwsrOn-jRj4OPKLp3SSX7NJl1/view?usp=drivesdk")</f>
        <v>https://drive.google.com/file/d/13joRz33MwsrOn-jRj4OPKLp3SSX7NJl1/view?usp=drivesdk</v>
      </c>
      <c r="D5929" s="12"/>
      <c r="E5929" s="11">
        <v>5967.0</v>
      </c>
      <c r="F5929" s="2"/>
    </row>
    <row r="5930" ht="1.5" customHeight="1">
      <c r="A5930" s="4" t="str">
        <f>IFERROR(__xludf.DUMMYFUNCTION("""COMPUTED_VALUE"""),"1. Microwave")</f>
        <v>1. Microwave</v>
      </c>
      <c r="B5930" s="4" t="str">
        <f>IFERROR(__xludf.DUMMYFUNCTION("""COMPUTED_VALUE"""),"1")</f>
        <v>1</v>
      </c>
      <c r="C5930" s="5" t="str">
        <f>IFERROR(__xludf.DUMMYFUNCTION("""COMPUTED_VALUE"""),"https://drive.google.com/file/d/1evVTwQ23pawlpOfmIbH-PUAp4BgEcACf/view?usp=drivesdk")</f>
        <v>https://drive.google.com/file/d/1evVTwQ23pawlpOfmIbH-PUAp4BgEcACf/view?usp=drivesdk</v>
      </c>
      <c r="D5930" s="12"/>
      <c r="E5930" s="11">
        <v>5968.0</v>
      </c>
      <c r="F5930" s="2"/>
    </row>
    <row r="5931" ht="1.5" customHeight="1">
      <c r="A5931" s="4" t="str">
        <f>IFERROR(__xludf.DUMMYFUNCTION("""COMPUTED_VALUE"""),"5. Eraser")</f>
        <v>5. Eraser</v>
      </c>
      <c r="B5931" s="4" t="str">
        <f>IFERROR(__xludf.DUMMYFUNCTION("""COMPUTED_VALUE"""),"5")</f>
        <v>5</v>
      </c>
      <c r="C5931" s="5" t="str">
        <f>IFERROR(__xludf.DUMMYFUNCTION("""COMPUTED_VALUE"""),"https://drive.google.com/file/d/1F3g5Ddqh4HqGvIicJaFUrIyD50IhyyAq/view?usp=drivesdk")</f>
        <v>https://drive.google.com/file/d/1F3g5Ddqh4HqGvIicJaFUrIyD50IhyyAq/view?usp=drivesdk</v>
      </c>
      <c r="D5931" s="12"/>
      <c r="E5931" s="11">
        <v>5969.0</v>
      </c>
      <c r="F5931" s="2"/>
    </row>
    <row r="5932" ht="1.5" customHeight="1">
      <c r="A5932" s="4" t="str">
        <f>IFERROR(__xludf.DUMMYFUNCTION("""COMPUTED_VALUE"""),"2. Twix")</f>
        <v>2. Twix</v>
      </c>
      <c r="B5932" s="4" t="str">
        <f>IFERROR(__xludf.DUMMYFUNCTION("""COMPUTED_VALUE"""),"2")</f>
        <v>2</v>
      </c>
      <c r="C5932" s="5" t="str">
        <f>IFERROR(__xludf.DUMMYFUNCTION("""COMPUTED_VALUE"""),"https://drive.google.com/file/d/11SiEmSv6r5ghjdL9ZiRbmNIUqMyE0pjc/view?usp=drivesdk")</f>
        <v>https://drive.google.com/file/d/11SiEmSv6r5ghjdL9ZiRbmNIUqMyE0pjc/view?usp=drivesdk</v>
      </c>
      <c r="D5932" s="12"/>
      <c r="E5932" s="11">
        <v>5970.0</v>
      </c>
      <c r="F5932" s="2"/>
    </row>
    <row r="5933" ht="1.5" customHeight="1">
      <c r="A5933" s="4" t="str">
        <f>IFERROR(__xludf.DUMMYFUNCTION("""COMPUTED_VALUE"""),"2. Twix")</f>
        <v>2. Twix</v>
      </c>
      <c r="B5933" s="4" t="str">
        <f>IFERROR(__xludf.DUMMYFUNCTION("""COMPUTED_VALUE"""),"2")</f>
        <v>2</v>
      </c>
      <c r="C5933" s="5" t="str">
        <f>IFERROR(__xludf.DUMMYFUNCTION("""COMPUTED_VALUE"""),"https://drive.google.com/file/d/1Dl6b8P4fG3v-TTg9wuPMN0esogUmabW_/view?usp=drivesdk")</f>
        <v>https://drive.google.com/file/d/1Dl6b8P4fG3v-TTg9wuPMN0esogUmabW_/view?usp=drivesdk</v>
      </c>
      <c r="D5933" s="12"/>
      <c r="E5933" s="11">
        <v>5971.0</v>
      </c>
      <c r="F5933" s="2"/>
    </row>
    <row r="5934" ht="1.5" customHeight="1">
      <c r="A5934" s="4" t="str">
        <f>IFERROR(__xludf.DUMMYFUNCTION("""COMPUTED_VALUE"""),"7. Hershey")</f>
        <v>7. Hershey</v>
      </c>
      <c r="B5934" s="4" t="str">
        <f>IFERROR(__xludf.DUMMYFUNCTION("""COMPUTED_VALUE"""),"7")</f>
        <v>7</v>
      </c>
      <c r="C5934" s="5" t="str">
        <f>IFERROR(__xludf.DUMMYFUNCTION("""COMPUTED_VALUE"""),"https://drive.google.com/file/d/1-HeVfO57keq_qTpOE_ZOMRljpfOdld9m/view?usp=drivesdk")</f>
        <v>https://drive.google.com/file/d/1-HeVfO57keq_qTpOE_ZOMRljpfOdld9m/view?usp=drivesdk</v>
      </c>
      <c r="D5934" s="12"/>
      <c r="E5934" s="11">
        <v>5972.0</v>
      </c>
      <c r="F5934" s="2"/>
    </row>
    <row r="5935" ht="1.5" customHeight="1">
      <c r="A5935" s="4" t="str">
        <f>IFERROR(__xludf.DUMMYFUNCTION("""COMPUTED_VALUE"""),"41. Gregory, 39. Radar, 42. Rubber, 38. Winston, 44. Shitbag Cuntface")</f>
        <v>41. Gregory, 39. Radar, 42. Rubber, 38. Winston, 44. Shitbag Cuntface</v>
      </c>
      <c r="B5935" s="4" t="str">
        <f>IFERROR(__xludf.DUMMYFUNCTION("""COMPUTED_VALUE"""),"41, 39, 42, 38, 44")</f>
        <v>41, 39, 42, 38, 44</v>
      </c>
      <c r="C5935" s="5" t="str">
        <f>IFERROR(__xludf.DUMMYFUNCTION("""COMPUTED_VALUE"""),"https://drive.google.com/file/d/16uvo5nAYpFaS53rTN10meCWyQdk5KX1u/view?usp=drivesdk")</f>
        <v>https://drive.google.com/file/d/16uvo5nAYpFaS53rTN10meCWyQdk5KX1u/view?usp=drivesdk</v>
      </c>
      <c r="D5935" s="12"/>
      <c r="E5935" s="11">
        <v>5973.0</v>
      </c>
      <c r="F5935" s="2"/>
    </row>
    <row r="5936" ht="1.5" customHeight="1">
      <c r="A5936" s="4" t="str">
        <f>IFERROR(__xludf.DUMMYFUNCTION("""COMPUTED_VALUE"""),"41. Gregory, 39. Radar, 42. Rubber, 44. Shitbag Cuntface, 38. Winston")</f>
        <v>41. Gregory, 39. Radar, 42. Rubber, 44. Shitbag Cuntface, 38. Winston</v>
      </c>
      <c r="B5936" s="4" t="str">
        <f>IFERROR(__xludf.DUMMYFUNCTION("""COMPUTED_VALUE"""),"41, 39, 42, 44, 38")</f>
        <v>41, 39, 42, 44, 38</v>
      </c>
      <c r="C5936" s="5" t="str">
        <f>IFERROR(__xludf.DUMMYFUNCTION("""COMPUTED_VALUE"""),"https://drive.google.com/file/d/1qnTx9TgNfAePoeIz2nT9jPEvhBiInAwQ/view?usp=drivesdk")</f>
        <v>https://drive.google.com/file/d/1qnTx9TgNfAePoeIz2nT9jPEvhBiInAwQ/view?usp=drivesdk</v>
      </c>
      <c r="D5936" s="12"/>
      <c r="E5936" s="11">
        <v>5974.0</v>
      </c>
      <c r="F5936" s="2"/>
    </row>
    <row r="5937" ht="1.5" customHeight="1">
      <c r="A5937" s="4" t="str">
        <f>IFERROR(__xludf.DUMMYFUNCTION("""COMPUTED_VALUE"""),"46. Princess")</f>
        <v>46. Princess</v>
      </c>
      <c r="B5937" s="4" t="str">
        <f>IFERROR(__xludf.DUMMYFUNCTION("""COMPUTED_VALUE"""),"46")</f>
        <v>46</v>
      </c>
      <c r="C5937" s="5" t="str">
        <f>IFERROR(__xludf.DUMMYFUNCTION("""COMPUTED_VALUE"""),"https://drive.google.com/file/d/1MFAlMEMiei49tdaewdL3v8dsqNf8nKYO/view?usp=drivesdk")</f>
        <v>https://drive.google.com/file/d/1MFAlMEMiei49tdaewdL3v8dsqNf8nKYO/view?usp=drivesdk</v>
      </c>
      <c r="D5937" s="12"/>
      <c r="E5937" s="11">
        <v>5975.0</v>
      </c>
      <c r="F5937" s="2"/>
    </row>
    <row r="5938" ht="1.5" customHeight="1">
      <c r="A5938" s="4" t="str">
        <f>IFERROR(__xludf.DUMMYFUNCTION("""COMPUTED_VALUE"""),"41. Gregory, 58. Eden, 42. Rubber, 40. Dumpster, 95. Ariel, 44. Shitbag Cuntface")</f>
        <v>41. Gregory, 58. Eden, 42. Rubber, 40. Dumpster, 95. Ariel, 44. Shitbag Cuntface</v>
      </c>
      <c r="B5938" s="4" t="str">
        <f>IFERROR(__xludf.DUMMYFUNCTION("""COMPUTED_VALUE"""),"41, 58, 42, 40, 95, 44")</f>
        <v>41, 58, 42, 40, 95, 44</v>
      </c>
      <c r="C5938" s="5" t="str">
        <f>IFERROR(__xludf.DUMMYFUNCTION("""COMPUTED_VALUE"""),"https://drive.google.com/file/d/1DfMPzz86HssVwuUrogHeqtPL5TLjoE2O/view?usp=drivesdk")</f>
        <v>https://drive.google.com/file/d/1DfMPzz86HssVwuUrogHeqtPL5TLjoE2O/view?usp=drivesdk</v>
      </c>
      <c r="D5938" s="12"/>
      <c r="E5938" s="11">
        <v>5976.0</v>
      </c>
      <c r="F5938" s="2"/>
    </row>
    <row r="5939" ht="1.5" customHeight="1">
      <c r="A5939" s="4" t="str">
        <f>IFERROR(__xludf.DUMMYFUNCTION("""COMPUTED_VALUE"""),"88. Vincente, 58. Eden, 41. Gregory, 42. Rubber, 40. Dumpster, 44. Shitbag Cuntface, 95. Ariel")</f>
        <v>88. Vincente, 58. Eden, 41. Gregory, 42. Rubber, 40. Dumpster, 44. Shitbag Cuntface, 95. Ariel</v>
      </c>
      <c r="B5939" s="4" t="str">
        <f>IFERROR(__xludf.DUMMYFUNCTION("""COMPUTED_VALUE"""),"88, 58, 41, 42, 40, 44, 95")</f>
        <v>88, 58, 41, 42, 40, 44, 95</v>
      </c>
      <c r="C5939" s="5" t="str">
        <f>IFERROR(__xludf.DUMMYFUNCTION("""COMPUTED_VALUE"""),"https://drive.google.com/file/d/17dT95kuai241UwGKcEH66A7K7DDh7oIA/view?usp=drivesdk")</f>
        <v>https://drive.google.com/file/d/17dT95kuai241UwGKcEH66A7K7DDh7oIA/view?usp=drivesdk</v>
      </c>
      <c r="D5939" s="12"/>
      <c r="E5939" s="11">
        <v>5977.0</v>
      </c>
      <c r="F5939" s="2"/>
    </row>
    <row r="5940" ht="1.5" customHeight="1">
      <c r="A5940" s="4" t="str">
        <f>IFERROR(__xludf.DUMMYFUNCTION("""COMPUTED_VALUE"""),"42. Rubber")</f>
        <v>42. Rubber</v>
      </c>
      <c r="B5940" s="4" t="str">
        <f>IFERROR(__xludf.DUMMYFUNCTION("""COMPUTED_VALUE"""),"42")</f>
        <v>42</v>
      </c>
      <c r="C5940" s="5" t="str">
        <f>IFERROR(__xludf.DUMMYFUNCTION("""COMPUTED_VALUE"""),"https://drive.google.com/file/d/1PbxUjIJPSMzNbRFUuwjCFLga8R8X2mWP/view?usp=drivesdk")</f>
        <v>https://drive.google.com/file/d/1PbxUjIJPSMzNbRFUuwjCFLga8R8X2mWP/view?usp=drivesdk</v>
      </c>
      <c r="D5940" s="12"/>
      <c r="E5940" s="11">
        <v>5978.0</v>
      </c>
      <c r="F5940" s="2"/>
    </row>
    <row r="5941" ht="1.5" customHeight="1">
      <c r="A5941" s="4" t="str">
        <f>IFERROR(__xludf.DUMMYFUNCTION("""COMPUTED_VALUE"""),"41. Gregory, 42. Rubber, 40. Dumpster, 44. Shitbag Cuntface")</f>
        <v>41. Gregory, 42. Rubber, 40. Dumpster, 44. Shitbag Cuntface</v>
      </c>
      <c r="B5941" s="4" t="str">
        <f>IFERROR(__xludf.DUMMYFUNCTION("""COMPUTED_VALUE"""),"41, 42, 40, 44")</f>
        <v>41, 42, 40, 44</v>
      </c>
      <c r="C5941" s="5" t="str">
        <f>IFERROR(__xludf.DUMMYFUNCTION("""COMPUTED_VALUE"""),"https://drive.google.com/file/d/1semSoBi8c-05sgetdumma1-KDMe1THYn/view?usp=drivesdk")</f>
        <v>https://drive.google.com/file/d/1semSoBi8c-05sgetdumma1-KDMe1THYn/view?usp=drivesdk</v>
      </c>
      <c r="D5941" s="12"/>
      <c r="E5941" s="11">
        <v>5979.0</v>
      </c>
      <c r="F5941" s="2"/>
    </row>
    <row r="5942" ht="1.5" customHeight="1">
      <c r="A5942" s="4" t="str">
        <f>IFERROR(__xludf.DUMMYFUNCTION("""COMPUTED_VALUE"""),"40. Dumpster, 42. Rubber")</f>
        <v>40. Dumpster, 42. Rubber</v>
      </c>
      <c r="B5942" s="4" t="str">
        <f>IFERROR(__xludf.DUMMYFUNCTION("""COMPUTED_VALUE"""),"40, 42")</f>
        <v>40, 42</v>
      </c>
      <c r="C5942" s="5" t="str">
        <f>IFERROR(__xludf.DUMMYFUNCTION("""COMPUTED_VALUE"""),"https://drive.google.com/file/d/1zRJVF7AwNqgLTZ80UyYwEF-uNQOM-szh/view?usp=drivesdk")</f>
        <v>https://drive.google.com/file/d/1zRJVF7AwNqgLTZ80UyYwEF-uNQOM-szh/view?usp=drivesdk</v>
      </c>
      <c r="D5942" s="12"/>
      <c r="E5942" s="11">
        <v>5980.0</v>
      </c>
      <c r="F5942" s="2"/>
    </row>
    <row r="5943" ht="1.5" customHeight="1">
      <c r="A5943" s="4" t="str">
        <f>IFERROR(__xludf.DUMMYFUNCTION("""COMPUTED_VALUE"""),"41. Gregory, 40. Dumpster")</f>
        <v>41. Gregory, 40. Dumpster</v>
      </c>
      <c r="B5943" s="4" t="str">
        <f>IFERROR(__xludf.DUMMYFUNCTION("""COMPUTED_VALUE"""),"41, 40")</f>
        <v>41, 40</v>
      </c>
      <c r="C5943" s="5" t="str">
        <f>IFERROR(__xludf.DUMMYFUNCTION("""COMPUTED_VALUE"""),"https://drive.google.com/file/d/12zSj8aCH80CPcU8b_b_6kIUwiQJ-eOpg/view?usp=drivesdk")</f>
        <v>https://drive.google.com/file/d/12zSj8aCH80CPcU8b_b_6kIUwiQJ-eOpg/view?usp=drivesdk</v>
      </c>
      <c r="D5943" s="12"/>
      <c r="E5943" s="11">
        <v>5981.0</v>
      </c>
      <c r="F5943" s="2"/>
    </row>
    <row r="5944" ht="1.5" customHeight="1">
      <c r="A5944" s="4" t="str">
        <f>IFERROR(__xludf.DUMMYFUNCTION("""COMPUTED_VALUE"""),"41. Gregory")</f>
        <v>41. Gregory</v>
      </c>
      <c r="B5944" s="4" t="str">
        <f>IFERROR(__xludf.DUMMYFUNCTION("""COMPUTED_VALUE"""),"41")</f>
        <v>41</v>
      </c>
      <c r="C5944" s="5" t="str">
        <f>IFERROR(__xludf.DUMMYFUNCTION("""COMPUTED_VALUE"""),"https://drive.google.com/file/d/1GbhM41fBZDobI0dUFsjYmY3mmzpdTvYx/view?usp=drivesdk")</f>
        <v>https://drive.google.com/file/d/1GbhM41fBZDobI0dUFsjYmY3mmzpdTvYx/view?usp=drivesdk</v>
      </c>
      <c r="D5944" s="12"/>
      <c r="E5944" s="11">
        <v>5982.0</v>
      </c>
      <c r="F5944" s="2"/>
    </row>
    <row r="5945" ht="1.5" customHeight="1">
      <c r="A5945" s="4" t="str">
        <f>IFERROR(__xludf.DUMMYFUNCTION("""COMPUTED_VALUE"""),"41. Gregory")</f>
        <v>41. Gregory</v>
      </c>
      <c r="B5945" s="4" t="str">
        <f>IFERROR(__xludf.DUMMYFUNCTION("""COMPUTED_VALUE"""),"41")</f>
        <v>41</v>
      </c>
      <c r="C5945" s="5" t="str">
        <f>IFERROR(__xludf.DUMMYFUNCTION("""COMPUTED_VALUE"""),"https://drive.google.com/file/d/1viTGTcTU5FAxhBSRwMNmTplz8jKd0nMx/view?usp=drivesdk")</f>
        <v>https://drive.google.com/file/d/1viTGTcTU5FAxhBSRwMNmTplz8jKd0nMx/view?usp=drivesdk</v>
      </c>
      <c r="D5945" s="12"/>
      <c r="E5945" s="11">
        <v>5983.0</v>
      </c>
      <c r="F5945" s="2"/>
    </row>
    <row r="5946" ht="1.5" customHeight="1">
      <c r="A5946" s="4" t="str">
        <f>IFERROR(__xludf.DUMMYFUNCTION("""COMPUTED_VALUE"""),"1. Microwave")</f>
        <v>1. Microwave</v>
      </c>
      <c r="B5946" s="4" t="str">
        <f>IFERROR(__xludf.DUMMYFUNCTION("""COMPUTED_VALUE"""),"1")</f>
        <v>1</v>
      </c>
      <c r="C5946" s="5" t="str">
        <f>IFERROR(__xludf.DUMMYFUNCTION("""COMPUTED_VALUE"""),"https://drive.google.com/file/d/1Q4BPqQTRuyevZvJRGiKRMKgI_GDr7-7f/view?usp=drivesdk")</f>
        <v>https://drive.google.com/file/d/1Q4BPqQTRuyevZvJRGiKRMKgI_GDr7-7f/view?usp=drivesdk</v>
      </c>
      <c r="D5946" s="12"/>
      <c r="E5946" s="11">
        <v>5984.0</v>
      </c>
      <c r="F5946" s="2"/>
    </row>
    <row r="5947" ht="1.5" customHeight="1">
      <c r="A5947" s="4" t="str">
        <f>IFERROR(__xludf.DUMMYFUNCTION("""COMPUTED_VALUE"""),"117. Chance, 92. Cloudy")</f>
        <v>117. Chance, 92. Cloudy</v>
      </c>
      <c r="B5947" s="4" t="str">
        <f>IFERROR(__xludf.DUMMYFUNCTION("""COMPUTED_VALUE"""),"117, 92")</f>
        <v>117, 92</v>
      </c>
      <c r="C5947" s="5" t="str">
        <f>IFERROR(__xludf.DUMMYFUNCTION("""COMPUTED_VALUE"""),"https://drive.google.com/file/d/1sANk39DdQWuryUXicuyEt5-kbBRBKGnH/view?usp=drivesdk")</f>
        <v>https://drive.google.com/file/d/1sANk39DdQWuryUXicuyEt5-kbBRBKGnH/view?usp=drivesdk</v>
      </c>
      <c r="D5947" s="12"/>
      <c r="E5947" s="11">
        <v>5985.0</v>
      </c>
      <c r="F5947" s="2"/>
    </row>
    <row r="5948" ht="1.5" customHeight="1">
      <c r="A5948" s="4" t="str">
        <f>IFERROR(__xludf.DUMMYFUNCTION("""COMPUTED_VALUE"""),"93. Meatball")</f>
        <v>93. Meatball</v>
      </c>
      <c r="B5948" s="4" t="str">
        <f>IFERROR(__xludf.DUMMYFUNCTION("""COMPUTED_VALUE"""),"93")</f>
        <v>93</v>
      </c>
      <c r="C5948" s="5" t="str">
        <f>IFERROR(__xludf.DUMMYFUNCTION("""COMPUTED_VALUE"""),"https://drive.google.com/file/d/1xWcmff-sIvquy5XrQgvIIWB6zM6gT5d4/view?usp=drivesdk")</f>
        <v>https://drive.google.com/file/d/1xWcmff-sIvquy5XrQgvIIWB6zM6gT5d4/view?usp=drivesdk</v>
      </c>
      <c r="D5948" s="12"/>
      <c r="E5948" s="11">
        <v>5986.0</v>
      </c>
      <c r="F5948" s="2"/>
    </row>
    <row r="5949" ht="1.5" customHeight="1">
      <c r="A5949" s="4" t="str">
        <f>IFERROR(__xludf.DUMMYFUNCTION("""COMPUTED_VALUE"""),"92. Cloudy, 117. Chance")</f>
        <v>92. Cloudy, 117. Chance</v>
      </c>
      <c r="B5949" s="4" t="str">
        <f>IFERROR(__xludf.DUMMYFUNCTION("""COMPUTED_VALUE"""),"92, 117")</f>
        <v>92, 117</v>
      </c>
      <c r="C5949" s="5" t="str">
        <f>IFERROR(__xludf.DUMMYFUNCTION("""COMPUTED_VALUE"""),"https://drive.google.com/file/d/1A8sIaBA2bfWo7aA3U3Zegv523hTLEQPJ/view?usp=drivesdk")</f>
        <v>https://drive.google.com/file/d/1A8sIaBA2bfWo7aA3U3Zegv523hTLEQPJ/view?usp=drivesdk</v>
      </c>
      <c r="D5949" s="12"/>
      <c r="E5949" s="11">
        <v>5987.0</v>
      </c>
      <c r="F5949" s="2"/>
    </row>
    <row r="5950" ht="1.5" customHeight="1">
      <c r="A5950" s="4" t="str">
        <f>IFERROR(__xludf.DUMMYFUNCTION("""COMPUTED_VALUE"""),"93. Meatball")</f>
        <v>93. Meatball</v>
      </c>
      <c r="B5950" s="4" t="str">
        <f>IFERROR(__xludf.DUMMYFUNCTION("""COMPUTED_VALUE"""),"93")</f>
        <v>93</v>
      </c>
      <c r="C5950" s="5" t="str">
        <f>IFERROR(__xludf.DUMMYFUNCTION("""COMPUTED_VALUE"""),"https://drive.google.com/file/d/1pp09m5f78nk84Nham3IaSqdDzM7yuP7L/view?usp=drivesdk")</f>
        <v>https://drive.google.com/file/d/1pp09m5f78nk84Nham3IaSqdDzM7yuP7L/view?usp=drivesdk</v>
      </c>
      <c r="D5950" s="12"/>
      <c r="E5950" s="11">
        <v>5988.0</v>
      </c>
      <c r="F5950" s="2"/>
    </row>
    <row r="5951" ht="1.5" customHeight="1">
      <c r="A5951" s="4" t="str">
        <f>IFERROR(__xludf.DUMMYFUNCTION("""COMPUTED_VALUE"""),"92. Cloudy")</f>
        <v>92. Cloudy</v>
      </c>
      <c r="B5951" s="4" t="str">
        <f>IFERROR(__xludf.DUMMYFUNCTION("""COMPUTED_VALUE"""),"92")</f>
        <v>92</v>
      </c>
      <c r="C5951" s="5" t="str">
        <f>IFERROR(__xludf.DUMMYFUNCTION("""COMPUTED_VALUE"""),"https://drive.google.com/file/d/1HnLZUs6gRwsERTAEZ6vp86W7vgFCum1D/view?usp=drivesdk")</f>
        <v>https://drive.google.com/file/d/1HnLZUs6gRwsERTAEZ6vp86W7vgFCum1D/view?usp=drivesdk</v>
      </c>
      <c r="D5951" s="12"/>
      <c r="E5951" s="11">
        <v>5989.0</v>
      </c>
      <c r="F5951" s="2"/>
    </row>
    <row r="5952" ht="1.5" customHeight="1">
      <c r="A5952" s="4" t="str">
        <f>IFERROR(__xludf.DUMMYFUNCTION("""COMPUTED_VALUE"""),"1. Microwave")</f>
        <v>1. Microwave</v>
      </c>
      <c r="B5952" s="4" t="str">
        <f>IFERROR(__xludf.DUMMYFUNCTION("""COMPUTED_VALUE"""),"1")</f>
        <v>1</v>
      </c>
      <c r="C5952" s="5" t="str">
        <f>IFERROR(__xludf.DUMMYFUNCTION("""COMPUTED_VALUE"""),"https://drive.google.com/file/d/1xqh6ZN4p9q3CIKy_nerPcYbnCasbO4Kx/view?usp=drivesdk")</f>
        <v>https://drive.google.com/file/d/1xqh6ZN4p9q3CIKy_nerPcYbnCasbO4Kx/view?usp=drivesdk</v>
      </c>
      <c r="D5952" s="12"/>
      <c r="E5952" s="11">
        <v>5990.0</v>
      </c>
      <c r="F5952" s="2"/>
    </row>
    <row r="5953" ht="1.5" customHeight="1">
      <c r="A5953" s="4" t="str">
        <f>IFERROR(__xludf.DUMMYFUNCTION("""COMPUTED_VALUE"""),"9. Melvin")</f>
        <v>9. Melvin</v>
      </c>
      <c r="B5953" s="4" t="str">
        <f>IFERROR(__xludf.DUMMYFUNCTION("""COMPUTED_VALUE"""),"9")</f>
        <v>9</v>
      </c>
      <c r="C5953" s="5" t="str">
        <f>IFERROR(__xludf.DUMMYFUNCTION("""COMPUTED_VALUE"""),"https://drive.google.com/file/d/1EWETKpC9Bi84h-59DqdykG3ym9l4fSxS/view?usp=drivesdk")</f>
        <v>https://drive.google.com/file/d/1EWETKpC9Bi84h-59DqdykG3ym9l4fSxS/view?usp=drivesdk</v>
      </c>
      <c r="D5953" s="12"/>
      <c r="E5953" s="11">
        <v>5991.0</v>
      </c>
      <c r="F5953" s="2"/>
    </row>
    <row r="5954" ht="1.5" customHeight="1">
      <c r="A5954" s="4" t="str">
        <f>IFERROR(__xludf.DUMMYFUNCTION("""COMPUTED_VALUE"""),"5. Eraser")</f>
        <v>5. Eraser</v>
      </c>
      <c r="B5954" s="4" t="str">
        <f>IFERROR(__xludf.DUMMYFUNCTION("""COMPUTED_VALUE"""),"5")</f>
        <v>5</v>
      </c>
      <c r="C5954" s="5" t="str">
        <f>IFERROR(__xludf.DUMMYFUNCTION("""COMPUTED_VALUE"""),"https://drive.google.com/file/d/1zP6Zf-n6hwUR-S_JmwLfuOUl9hD-w4Iz/view?usp=drivesdk")</f>
        <v>https://drive.google.com/file/d/1zP6Zf-n6hwUR-S_JmwLfuOUl9hD-w4Iz/view?usp=drivesdk</v>
      </c>
      <c r="D5954" s="12"/>
      <c r="E5954" s="11">
        <v>5992.0</v>
      </c>
      <c r="F5954" s="2"/>
    </row>
    <row r="5955" ht="1.5" customHeight="1">
      <c r="A5955" s="4" t="str">
        <f>IFERROR(__xludf.DUMMYFUNCTION("""COMPUTED_VALUE"""),"1. Microwave")</f>
        <v>1. Microwave</v>
      </c>
      <c r="B5955" s="4" t="str">
        <f>IFERROR(__xludf.DUMMYFUNCTION("""COMPUTED_VALUE"""),"1")</f>
        <v>1</v>
      </c>
      <c r="C5955" s="5" t="str">
        <f>IFERROR(__xludf.DUMMYFUNCTION("""COMPUTED_VALUE"""),"https://drive.google.com/file/d/10NtQ0f_-LDe7co9xgmGX5RK2wzUvIs9r/view?usp=drivesdk")</f>
        <v>https://drive.google.com/file/d/10NtQ0f_-LDe7co9xgmGX5RK2wzUvIs9r/view?usp=drivesdk</v>
      </c>
      <c r="D5955" s="12"/>
      <c r="E5955" s="11">
        <v>5993.0</v>
      </c>
      <c r="F5955" s="2"/>
    </row>
    <row r="5956" ht="1.5" customHeight="1">
      <c r="A5956" s="4" t="str">
        <f>IFERROR(__xludf.DUMMYFUNCTION("""COMPUTED_VALUE"""),"1. Microwave")</f>
        <v>1. Microwave</v>
      </c>
      <c r="B5956" s="4" t="str">
        <f>IFERROR(__xludf.DUMMYFUNCTION("""COMPUTED_VALUE"""),"1")</f>
        <v>1</v>
      </c>
      <c r="C5956" s="5" t="str">
        <f>IFERROR(__xludf.DUMMYFUNCTION("""COMPUTED_VALUE"""),"https://drive.google.com/file/d/1h1a2b32FzK3jA63NED7fWQzm5TsSRIzY/view?usp=drivesdk")</f>
        <v>https://drive.google.com/file/d/1h1a2b32FzK3jA63NED7fWQzm5TsSRIzY/view?usp=drivesdk</v>
      </c>
      <c r="D5956" s="12"/>
      <c r="E5956" s="11">
        <v>5994.0</v>
      </c>
      <c r="F5956" s="2"/>
    </row>
    <row r="5957" ht="1.5" customHeight="1">
      <c r="A5957" s="4" t="str">
        <f>IFERROR(__xludf.DUMMYFUNCTION("""COMPUTED_VALUE"""),"1. Microwave")</f>
        <v>1. Microwave</v>
      </c>
      <c r="B5957" s="4" t="str">
        <f>IFERROR(__xludf.DUMMYFUNCTION("""COMPUTED_VALUE"""),"1")</f>
        <v>1</v>
      </c>
      <c r="C5957" s="5" t="str">
        <f>IFERROR(__xludf.DUMMYFUNCTION("""COMPUTED_VALUE"""),"https://drive.google.com/file/d/1d1lIwia2QzBngTiC6QteArNxpIH5BiGR/view?usp=drivesdk")</f>
        <v>https://drive.google.com/file/d/1d1lIwia2QzBngTiC6QteArNxpIH5BiGR/view?usp=drivesdk</v>
      </c>
      <c r="D5957" s="12"/>
      <c r="E5957" s="11">
        <v>5995.0</v>
      </c>
      <c r="F5957" s="2"/>
    </row>
    <row r="5958" ht="1.5" customHeight="1">
      <c r="A5958" s="4" t="str">
        <f>IFERROR(__xludf.DUMMYFUNCTION("""COMPUTED_VALUE"""),"1. Microwave")</f>
        <v>1. Microwave</v>
      </c>
      <c r="B5958" s="4" t="str">
        <f>IFERROR(__xludf.DUMMYFUNCTION("""COMPUTED_VALUE"""),"1")</f>
        <v>1</v>
      </c>
      <c r="C5958" s="5" t="str">
        <f>IFERROR(__xludf.DUMMYFUNCTION("""COMPUTED_VALUE"""),"https://drive.google.com/file/d/188OMfbdzwYqV4AsMD--mQz-IypDSkZWl/view?usp=drivesdk")</f>
        <v>https://drive.google.com/file/d/188OMfbdzwYqV4AsMD--mQz-IypDSkZWl/view?usp=drivesdk</v>
      </c>
      <c r="D5958" s="12"/>
      <c r="E5958" s="11">
        <v>5996.0</v>
      </c>
      <c r="F5958" s="2"/>
    </row>
    <row r="5959" ht="1.5" customHeight="1">
      <c r="A5959" s="4" t="str">
        <f>IFERROR(__xludf.DUMMYFUNCTION("""COMPUTED_VALUE"""),"1. Microwave")</f>
        <v>1. Microwave</v>
      </c>
      <c r="B5959" s="4" t="str">
        <f>IFERROR(__xludf.DUMMYFUNCTION("""COMPUTED_VALUE"""),"1")</f>
        <v>1</v>
      </c>
      <c r="C5959" s="5" t="str">
        <f>IFERROR(__xludf.DUMMYFUNCTION("""COMPUTED_VALUE"""),"https://drive.google.com/file/d/1QQJeyXIvtyiBoY-9PhrC0nt2q1CWmYJv/view?usp=drivesdk")</f>
        <v>https://drive.google.com/file/d/1QQJeyXIvtyiBoY-9PhrC0nt2q1CWmYJv/view?usp=drivesdk</v>
      </c>
      <c r="D5959" s="12"/>
      <c r="E5959" s="11">
        <v>5997.0</v>
      </c>
      <c r="F5959" s="2"/>
    </row>
    <row r="5960" ht="1.5" customHeight="1">
      <c r="A5960" s="4" t="str">
        <f>IFERROR(__xludf.DUMMYFUNCTION("""COMPUTED_VALUE"""),"2. Twix")</f>
        <v>2. Twix</v>
      </c>
      <c r="B5960" s="4" t="str">
        <f>IFERROR(__xludf.DUMMYFUNCTION("""COMPUTED_VALUE"""),"2")</f>
        <v>2</v>
      </c>
      <c r="C5960" s="5" t="str">
        <f>IFERROR(__xludf.DUMMYFUNCTION("""COMPUTED_VALUE"""),"https://drive.google.com/file/d/12f7ds9TqRcUlPZWECw6fNFrB68OIjRDC/view?usp=drivesdk")</f>
        <v>https://drive.google.com/file/d/12f7ds9TqRcUlPZWECw6fNFrB68OIjRDC/view?usp=drivesdk</v>
      </c>
      <c r="D5960" s="12"/>
      <c r="E5960" s="11">
        <v>5998.0</v>
      </c>
      <c r="F5960" s="2"/>
    </row>
    <row r="5961" ht="1.5" customHeight="1">
      <c r="A5961" s="4" t="str">
        <f>IFERROR(__xludf.DUMMYFUNCTION("""COMPUTED_VALUE"""),"1. Microwave")</f>
        <v>1. Microwave</v>
      </c>
      <c r="B5961" s="4" t="str">
        <f>IFERROR(__xludf.DUMMYFUNCTION("""COMPUTED_VALUE"""),"1")</f>
        <v>1</v>
      </c>
      <c r="C5961" s="5" t="str">
        <f>IFERROR(__xludf.DUMMYFUNCTION("""COMPUTED_VALUE"""),"https://drive.google.com/file/d/1hevO5Zg2EVsUq4vdRg05wMmhcu4sYf_D/view?usp=drivesdk")</f>
        <v>https://drive.google.com/file/d/1hevO5Zg2EVsUq4vdRg05wMmhcu4sYf_D/view?usp=drivesdk</v>
      </c>
      <c r="D5961" s="12"/>
      <c r="E5961" s="11">
        <v>5999.0</v>
      </c>
      <c r="F5961" s="2"/>
    </row>
    <row r="5962" ht="1.5" customHeight="1">
      <c r="A5962" s="4" t="str">
        <f>IFERROR(__xludf.DUMMYFUNCTION("""COMPUTED_VALUE"""),"1. Microwave")</f>
        <v>1. Microwave</v>
      </c>
      <c r="B5962" s="4" t="str">
        <f>IFERROR(__xludf.DUMMYFUNCTION("""COMPUTED_VALUE"""),"1")</f>
        <v>1</v>
      </c>
      <c r="C5962" s="5" t="str">
        <f>IFERROR(__xludf.DUMMYFUNCTION("""COMPUTED_VALUE"""),"https://drive.google.com/file/d/1mLAiH2cUZHawPrfix1JUL73NM1ZgZYbV/view?usp=drivesdk")</f>
        <v>https://drive.google.com/file/d/1mLAiH2cUZHawPrfix1JUL73NM1ZgZYbV/view?usp=drivesdk</v>
      </c>
      <c r="D5962" s="12"/>
      <c r="E5962" s="11">
        <v>6000.0</v>
      </c>
      <c r="F5962" s="2"/>
    </row>
    <row r="5963" ht="1.5" customHeight="1">
      <c r="A5963" s="4" t="str">
        <f>IFERROR(__xludf.DUMMYFUNCTION("""COMPUTED_VALUE"""),"35. Stove")</f>
        <v>35. Stove</v>
      </c>
      <c r="B5963" s="4" t="str">
        <f>IFERROR(__xludf.DUMMYFUNCTION("""COMPUTED_VALUE"""),"35")</f>
        <v>35</v>
      </c>
      <c r="C5963" s="5" t="str">
        <f>IFERROR(__xludf.DUMMYFUNCTION("""COMPUTED_VALUE"""),"https://drive.google.com/file/d/1GM3eSLWmYbBcWhWTZZ2T1cEDGwYOQUVh/view?usp=drivesdk")</f>
        <v>https://drive.google.com/file/d/1GM3eSLWmYbBcWhWTZZ2T1cEDGwYOQUVh/view?usp=drivesdk</v>
      </c>
      <c r="D5963" s="12"/>
      <c r="E5963" s="11">
        <v>6001.0</v>
      </c>
      <c r="F5963" s="2"/>
    </row>
    <row r="5964" ht="1.5" customHeight="1">
      <c r="A5964" s="4" t="str">
        <f>IFERROR(__xludf.DUMMYFUNCTION("""COMPUTED_VALUE"""),"1. Microwave")</f>
        <v>1. Microwave</v>
      </c>
      <c r="B5964" s="4" t="str">
        <f>IFERROR(__xludf.DUMMYFUNCTION("""COMPUTED_VALUE"""),"1")</f>
        <v>1</v>
      </c>
      <c r="C5964" s="5" t="str">
        <f>IFERROR(__xludf.DUMMYFUNCTION("""COMPUTED_VALUE"""),"https://drive.google.com/file/d/1xGHnh1UOcRoSrWgaWsmWlF_ejniOkAbD/view?usp=drivesdk")</f>
        <v>https://drive.google.com/file/d/1xGHnh1UOcRoSrWgaWsmWlF_ejniOkAbD/view?usp=drivesdk</v>
      </c>
      <c r="D5964" s="12"/>
      <c r="E5964" s="11">
        <v>6002.0</v>
      </c>
      <c r="F5964" s="2"/>
    </row>
    <row r="5965" ht="1.5" customHeight="1">
      <c r="A5965" s="4" t="str">
        <f>IFERROR(__xludf.DUMMYFUNCTION("""COMPUTED_VALUE"""),"1. Microwave")</f>
        <v>1. Microwave</v>
      </c>
      <c r="B5965" s="4" t="str">
        <f>IFERROR(__xludf.DUMMYFUNCTION("""COMPUTED_VALUE"""),"1")</f>
        <v>1</v>
      </c>
      <c r="C5965" s="5" t="str">
        <f>IFERROR(__xludf.DUMMYFUNCTION("""COMPUTED_VALUE"""),"https://drive.google.com/file/d/1OYWFubYhtZIizHo96fQmlaeYyzXAao_I/view?usp=drivesdk")</f>
        <v>https://drive.google.com/file/d/1OYWFubYhtZIizHo96fQmlaeYyzXAao_I/view?usp=drivesdk</v>
      </c>
      <c r="D5965" s="12"/>
      <c r="E5965" s="11">
        <v>6003.0</v>
      </c>
      <c r="F5965" s="2"/>
    </row>
    <row r="5966" ht="1.5" customHeight="1">
      <c r="A5966" s="4" t="str">
        <f>IFERROR(__xludf.DUMMYFUNCTION("""COMPUTED_VALUE"""),"0. NotACat")</f>
        <v>0. NotACat</v>
      </c>
      <c r="B5966" s="4" t="str">
        <f>IFERROR(__xludf.DUMMYFUNCTION("""COMPUTED_VALUE"""),"0")</f>
        <v>0</v>
      </c>
      <c r="C5966" s="5" t="str">
        <f>IFERROR(__xludf.DUMMYFUNCTION("""COMPUTED_VALUE"""),"https://drive.google.com/file/d/1AMSPzWYoNqXMKt6vzdRlf_44DoFT21yj/view?usp=drivesdk")</f>
        <v>https://drive.google.com/file/d/1AMSPzWYoNqXMKt6vzdRlf_44DoFT21yj/view?usp=drivesdk</v>
      </c>
      <c r="D5966" s="12"/>
      <c r="E5966" s="11">
        <v>6004.0</v>
      </c>
      <c r="F5966" s="2"/>
    </row>
    <row r="5967" ht="1.5" customHeight="1">
      <c r="A5967" s="4" t="str">
        <f>IFERROR(__xludf.DUMMYFUNCTION("""COMPUTED_VALUE"""),"4. Eggs")</f>
        <v>4. Eggs</v>
      </c>
      <c r="B5967" s="4" t="str">
        <f>IFERROR(__xludf.DUMMYFUNCTION("""COMPUTED_VALUE"""),"4")</f>
        <v>4</v>
      </c>
      <c r="C5967" s="5" t="str">
        <f>IFERROR(__xludf.DUMMYFUNCTION("""COMPUTED_VALUE"""),"https://drive.google.com/file/d/1FJdmLSUghPQoR7wynWbqf_oM3e9dLedy/view?usp=drivesdk")</f>
        <v>https://drive.google.com/file/d/1FJdmLSUghPQoR7wynWbqf_oM3e9dLedy/view?usp=drivesdk</v>
      </c>
      <c r="D5967" s="12"/>
      <c r="E5967" s="11">
        <v>6005.0</v>
      </c>
      <c r="F5967" s="2"/>
    </row>
    <row r="5968" ht="1.5" customHeight="1">
      <c r="A5968" s="4" t="str">
        <f>IFERROR(__xludf.DUMMYFUNCTION("""COMPUTED_VALUE"""),"2. Twix")</f>
        <v>2. Twix</v>
      </c>
      <c r="B5968" s="4" t="str">
        <f>IFERROR(__xludf.DUMMYFUNCTION("""COMPUTED_VALUE"""),"2")</f>
        <v>2</v>
      </c>
      <c r="C5968" s="5" t="str">
        <f>IFERROR(__xludf.DUMMYFUNCTION("""COMPUTED_VALUE"""),"https://drive.google.com/file/d/1vD4wM29xp_sD-9PGbwXc1Q899OpqbEp7/view?usp=drivesdk")</f>
        <v>https://drive.google.com/file/d/1vD4wM29xp_sD-9PGbwXc1Q899OpqbEp7/view?usp=drivesdk</v>
      </c>
      <c r="D5968" s="12"/>
      <c r="E5968" s="11">
        <v>6006.0</v>
      </c>
      <c r="F5968" s="2"/>
    </row>
    <row r="5969" ht="1.5" customHeight="1">
      <c r="A5969" s="4" t="str">
        <f>IFERROR(__xludf.DUMMYFUNCTION("""COMPUTED_VALUE"""),"35. Stove")</f>
        <v>35. Stove</v>
      </c>
      <c r="B5969" s="4" t="str">
        <f>IFERROR(__xludf.DUMMYFUNCTION("""COMPUTED_VALUE"""),"35")</f>
        <v>35</v>
      </c>
      <c r="C5969" s="5" t="str">
        <f>IFERROR(__xludf.DUMMYFUNCTION("""COMPUTED_VALUE"""),"https://drive.google.com/file/d/1SU3qWcDZsAkKXSbTqCAJ59VBrR66u-Yb/view?usp=drivesdk")</f>
        <v>https://drive.google.com/file/d/1SU3qWcDZsAkKXSbTqCAJ59VBrR66u-Yb/view?usp=drivesdk</v>
      </c>
      <c r="D5969" s="12"/>
      <c r="E5969" s="11">
        <v>6007.0</v>
      </c>
      <c r="F5969" s="2"/>
    </row>
    <row r="5970" ht="1.5" customHeight="1">
      <c r="A5970" s="4" t="str">
        <f>IFERROR(__xludf.DUMMYFUNCTION("""COMPUTED_VALUE"""),"1. Microwave")</f>
        <v>1. Microwave</v>
      </c>
      <c r="B5970" s="4" t="str">
        <f>IFERROR(__xludf.DUMMYFUNCTION("""COMPUTED_VALUE"""),"1")</f>
        <v>1</v>
      </c>
      <c r="C5970" s="5" t="str">
        <f>IFERROR(__xludf.DUMMYFUNCTION("""COMPUTED_VALUE"""),"https://drive.google.com/file/d/1e_w1J6uX0jrX4QAqd1lPVBgoL1AMD3Zg/view?usp=drivesdk")</f>
        <v>https://drive.google.com/file/d/1e_w1J6uX0jrX4QAqd1lPVBgoL1AMD3Zg/view?usp=drivesdk</v>
      </c>
      <c r="D5970" s="12"/>
      <c r="E5970" s="11">
        <v>6008.0</v>
      </c>
      <c r="F5970" s="2"/>
    </row>
    <row r="5971" ht="1.5" customHeight="1">
      <c r="A5971" s="4" t="str">
        <f>IFERROR(__xludf.DUMMYFUNCTION("""COMPUTED_VALUE"""),"2. Twix")</f>
        <v>2. Twix</v>
      </c>
      <c r="B5971" s="4" t="str">
        <f>IFERROR(__xludf.DUMMYFUNCTION("""COMPUTED_VALUE"""),"2")</f>
        <v>2</v>
      </c>
      <c r="C5971" s="5" t="str">
        <f>IFERROR(__xludf.DUMMYFUNCTION("""COMPUTED_VALUE"""),"https://drive.google.com/file/d/1ofzvPOJGJshQhuUUMmQIZef9-mWiWx8L/view?usp=drivesdk")</f>
        <v>https://drive.google.com/file/d/1ofzvPOJGJshQhuUUMmQIZef9-mWiWx8L/view?usp=drivesdk</v>
      </c>
      <c r="D5971" s="12"/>
      <c r="E5971" s="11">
        <v>6009.0</v>
      </c>
      <c r="F5971" s="2"/>
    </row>
    <row r="5972" ht="1.5" customHeight="1">
      <c r="A5972" s="4" t="str">
        <f>IFERROR(__xludf.DUMMYFUNCTION("""COMPUTED_VALUE"""),"2. Twix")</f>
        <v>2. Twix</v>
      </c>
      <c r="B5972" s="4" t="str">
        <f>IFERROR(__xludf.DUMMYFUNCTION("""COMPUTED_VALUE"""),"2")</f>
        <v>2</v>
      </c>
      <c r="C5972" s="5" t="str">
        <f>IFERROR(__xludf.DUMMYFUNCTION("""COMPUTED_VALUE"""),"https://drive.google.com/file/d/1QMYabsZmg_wuHwiFXV85izTceWb6PV8Q/view?usp=drivesdk")</f>
        <v>https://drive.google.com/file/d/1QMYabsZmg_wuHwiFXV85izTceWb6PV8Q/view?usp=drivesdk</v>
      </c>
      <c r="D5972" s="12"/>
      <c r="E5972" s="11">
        <v>6010.0</v>
      </c>
      <c r="F5972" s="2"/>
    </row>
    <row r="5973" ht="1.5" customHeight="1">
      <c r="A5973" s="4" t="str">
        <f>IFERROR(__xludf.DUMMYFUNCTION("""COMPUTED_VALUE"""),"0. NotACat")</f>
        <v>0. NotACat</v>
      </c>
      <c r="B5973" s="4" t="str">
        <f>IFERROR(__xludf.DUMMYFUNCTION("""COMPUTED_VALUE"""),"0")</f>
        <v>0</v>
      </c>
      <c r="C5973" s="5" t="str">
        <f>IFERROR(__xludf.DUMMYFUNCTION("""COMPUTED_VALUE"""),"https://drive.google.com/file/d/1szZWgcpuxzY5nN_Qv_bgyHmJHbTO0Obj/view?usp=drivesdk")</f>
        <v>https://drive.google.com/file/d/1szZWgcpuxzY5nN_Qv_bgyHmJHbTO0Obj/view?usp=drivesdk</v>
      </c>
      <c r="D5973" s="12"/>
      <c r="E5973" s="11">
        <v>6011.0</v>
      </c>
      <c r="F5973" s="2"/>
    </row>
    <row r="5974" ht="1.5" customHeight="1">
      <c r="A5974" s="4" t="str">
        <f>IFERROR(__xludf.DUMMYFUNCTION("""COMPUTED_VALUE"""),"110. Ahua")</f>
        <v>110. Ahua</v>
      </c>
      <c r="B5974" s="4" t="str">
        <f>IFERROR(__xludf.DUMMYFUNCTION("""COMPUTED_VALUE"""),"110")</f>
        <v>110</v>
      </c>
      <c r="C5974" s="5" t="str">
        <f>IFERROR(__xludf.DUMMYFUNCTION("""COMPUTED_VALUE"""),"https://drive.google.com/file/d/1LJIFUaGnnfKHKFdFyymjaGMpkedqz4jd/view?usp=drivesdk")</f>
        <v>https://drive.google.com/file/d/1LJIFUaGnnfKHKFdFyymjaGMpkedqz4jd/view?usp=drivesdk</v>
      </c>
      <c r="D5974" s="12"/>
      <c r="E5974" s="11">
        <v>6012.0</v>
      </c>
      <c r="F5974" s="2"/>
    </row>
    <row r="5975" ht="1.5" customHeight="1">
      <c r="A5975" s="4" t="str">
        <f>IFERROR(__xludf.DUMMYFUNCTION("""COMPUTED_VALUE"""),"110. Ahua")</f>
        <v>110. Ahua</v>
      </c>
      <c r="B5975" s="4" t="str">
        <f>IFERROR(__xludf.DUMMYFUNCTION("""COMPUTED_VALUE"""),"110")</f>
        <v>110</v>
      </c>
      <c r="C5975" s="5" t="str">
        <f>IFERROR(__xludf.DUMMYFUNCTION("""COMPUTED_VALUE"""),"https://drive.google.com/file/d/1k6rKzKi9-nX-D0wTaWbYd-Ge6YxKDoE1/view?usp=drivesdk")</f>
        <v>https://drive.google.com/file/d/1k6rKzKi9-nX-D0wTaWbYd-Ge6YxKDoE1/view?usp=drivesdk</v>
      </c>
      <c r="D5975" s="12"/>
      <c r="E5975" s="11">
        <v>6013.0</v>
      </c>
      <c r="F5975" s="2"/>
    </row>
    <row r="5976" ht="1.5" customHeight="1">
      <c r="A5976" s="4" t="str">
        <f>IFERROR(__xludf.DUMMYFUNCTION("""COMPUTED_VALUE"""),"116. Itzel, 80. Atzi")</f>
        <v>116. Itzel, 80. Atzi</v>
      </c>
      <c r="B5976" s="4" t="str">
        <f>IFERROR(__xludf.DUMMYFUNCTION("""COMPUTED_VALUE"""),"116, 80")</f>
        <v>116, 80</v>
      </c>
      <c r="C5976" s="5" t="str">
        <f>IFERROR(__xludf.DUMMYFUNCTION("""COMPUTED_VALUE"""),"https://drive.google.com/file/d/1TdL4nbOvHs6sGXjtnI_5YvQLQKR_uEA6/view?usp=drivesdk")</f>
        <v>https://drive.google.com/file/d/1TdL4nbOvHs6sGXjtnI_5YvQLQKR_uEA6/view?usp=drivesdk</v>
      </c>
      <c r="D5976" s="12"/>
      <c r="E5976" s="11">
        <v>6014.0</v>
      </c>
      <c r="F5976" s="2"/>
    </row>
    <row r="5977" ht="1.5" customHeight="1">
      <c r="A5977" s="4" t="str">
        <f>IFERROR(__xludf.DUMMYFUNCTION("""COMPUTED_VALUE"""),"116. Itzel")</f>
        <v>116. Itzel</v>
      </c>
      <c r="B5977" s="4" t="str">
        <f>IFERROR(__xludf.DUMMYFUNCTION("""COMPUTED_VALUE"""),"116")</f>
        <v>116</v>
      </c>
      <c r="C5977" s="5" t="str">
        <f>IFERROR(__xludf.DUMMYFUNCTION("""COMPUTED_VALUE"""),"https://drive.google.com/file/d/1nc6A4HALom2Khxc78lha2U7s-dI_0vQp/view?usp=drivesdk")</f>
        <v>https://drive.google.com/file/d/1nc6A4HALom2Khxc78lha2U7s-dI_0vQp/view?usp=drivesdk</v>
      </c>
      <c r="D5977" s="12"/>
      <c r="E5977" s="11">
        <v>6015.0</v>
      </c>
      <c r="F5977" s="2"/>
    </row>
    <row r="5978" ht="1.5" customHeight="1">
      <c r="A5978" s="4" t="str">
        <f>IFERROR(__xludf.DUMMYFUNCTION("""COMPUTED_VALUE"""),"116. Itzel")</f>
        <v>116. Itzel</v>
      </c>
      <c r="B5978" s="4" t="str">
        <f>IFERROR(__xludf.DUMMYFUNCTION("""COMPUTED_VALUE"""),"116")</f>
        <v>116</v>
      </c>
      <c r="C5978" s="5" t="str">
        <f>IFERROR(__xludf.DUMMYFUNCTION("""COMPUTED_VALUE"""),"https://drive.google.com/file/d/1MLZSrRH-qrXtYoWfhsVS0gd_OENLFdM5/view?usp=drivesdk")</f>
        <v>https://drive.google.com/file/d/1MLZSrRH-qrXtYoWfhsVS0gd_OENLFdM5/view?usp=drivesdk</v>
      </c>
      <c r="D5978" s="12"/>
      <c r="E5978" s="11">
        <v>6016.0</v>
      </c>
      <c r="F5978" s="2"/>
    </row>
    <row r="5979" ht="1.5" customHeight="1">
      <c r="A5979" s="4" t="str">
        <f>IFERROR(__xludf.DUMMYFUNCTION("""COMPUTED_VALUE"""),"116. Itzel")</f>
        <v>116. Itzel</v>
      </c>
      <c r="B5979" s="4" t="str">
        <f>IFERROR(__xludf.DUMMYFUNCTION("""COMPUTED_VALUE"""),"116")</f>
        <v>116</v>
      </c>
      <c r="C5979" s="5" t="str">
        <f>IFERROR(__xludf.DUMMYFUNCTION("""COMPUTED_VALUE"""),"https://drive.google.com/file/d/1L57hm8r_tBi93ej7CgW-JhC3KnFqIKYk/view?usp=drivesdk")</f>
        <v>https://drive.google.com/file/d/1L57hm8r_tBi93ej7CgW-JhC3KnFqIKYk/view?usp=drivesdk</v>
      </c>
      <c r="D5979" s="12"/>
      <c r="E5979" s="11">
        <v>6017.0</v>
      </c>
      <c r="F5979" s="2"/>
    </row>
    <row r="5980" ht="1.5" customHeight="1">
      <c r="A5980" s="4" t="str">
        <f>IFERROR(__xludf.DUMMYFUNCTION("""COMPUTED_VALUE"""),"116. Itzel")</f>
        <v>116. Itzel</v>
      </c>
      <c r="B5980" s="4" t="str">
        <f>IFERROR(__xludf.DUMMYFUNCTION("""COMPUTED_VALUE"""),"116")</f>
        <v>116</v>
      </c>
      <c r="C5980" s="5" t="str">
        <f>IFERROR(__xludf.DUMMYFUNCTION("""COMPUTED_VALUE"""),"https://drive.google.com/file/d/1UIt2bdbZ8a_cgpPustjz1kAroIVrPBvY/view?usp=drivesdk")</f>
        <v>https://drive.google.com/file/d/1UIt2bdbZ8a_cgpPustjz1kAroIVrPBvY/view?usp=drivesdk</v>
      </c>
      <c r="D5980" s="12"/>
      <c r="E5980" s="11">
        <v>6018.0</v>
      </c>
      <c r="F5980" s="2"/>
    </row>
    <row r="5981" ht="1.5" customHeight="1">
      <c r="A5981" s="4" t="str">
        <f>IFERROR(__xludf.DUMMYFUNCTION("""COMPUTED_VALUE"""),"111. Mayatl")</f>
        <v>111. Mayatl</v>
      </c>
      <c r="B5981" s="4" t="str">
        <f>IFERROR(__xludf.DUMMYFUNCTION("""COMPUTED_VALUE"""),"111")</f>
        <v>111</v>
      </c>
      <c r="C5981" s="5" t="str">
        <f>IFERROR(__xludf.DUMMYFUNCTION("""COMPUTED_VALUE"""),"https://drive.google.com/file/d/1TiBR-FvEhaMBX5UzyzTCNdkCE8tFAczw/view?usp=drivesdk")</f>
        <v>https://drive.google.com/file/d/1TiBR-FvEhaMBX5UzyzTCNdkCE8tFAczw/view?usp=drivesdk</v>
      </c>
      <c r="D5981" s="12"/>
      <c r="E5981" s="11">
        <v>6019.0</v>
      </c>
      <c r="F5981" s="2"/>
    </row>
    <row r="5982" ht="1.5" customHeight="1">
      <c r="A5982" s="4" t="str">
        <f>IFERROR(__xludf.DUMMYFUNCTION("""COMPUTED_VALUE"""),"110. Ahua")</f>
        <v>110. Ahua</v>
      </c>
      <c r="B5982" s="4" t="str">
        <f>IFERROR(__xludf.DUMMYFUNCTION("""COMPUTED_VALUE"""),"110")</f>
        <v>110</v>
      </c>
      <c r="C5982" s="5" t="str">
        <f>IFERROR(__xludf.DUMMYFUNCTION("""COMPUTED_VALUE"""),"https://drive.google.com/file/d/19q2M1Dk6YP2GuLCSDcsRshLh5Z5iJn9-/view?usp=drivesdk")</f>
        <v>https://drive.google.com/file/d/19q2M1Dk6YP2GuLCSDcsRshLh5Z5iJn9-/view?usp=drivesdk</v>
      </c>
      <c r="D5982" s="12"/>
      <c r="E5982" s="11">
        <v>6020.0</v>
      </c>
      <c r="F5982" s="2"/>
    </row>
    <row r="5983" ht="1.5" customHeight="1">
      <c r="A5983" s="4" t="str">
        <f>IFERROR(__xludf.DUMMYFUNCTION("""COMPUTED_VALUE"""),"110. Ahua")</f>
        <v>110. Ahua</v>
      </c>
      <c r="B5983" s="4" t="str">
        <f>IFERROR(__xludf.DUMMYFUNCTION("""COMPUTED_VALUE"""),"110")</f>
        <v>110</v>
      </c>
      <c r="C5983" s="5" t="str">
        <f>IFERROR(__xludf.DUMMYFUNCTION("""COMPUTED_VALUE"""),"https://drive.google.com/file/d/1kYfd_rU8QSqOWgX1o86aIBohXSFYWMpW/view?usp=drivesdk")</f>
        <v>https://drive.google.com/file/d/1kYfd_rU8QSqOWgX1o86aIBohXSFYWMpW/view?usp=drivesdk</v>
      </c>
      <c r="D5983" s="12"/>
      <c r="E5983" s="11">
        <v>6021.0</v>
      </c>
      <c r="F5983" s="2"/>
    </row>
    <row r="5984" ht="1.5" customHeight="1">
      <c r="A5984" s="4" t="str">
        <f>IFERROR(__xludf.DUMMYFUNCTION("""COMPUTED_VALUE"""),"105. Chilton")</f>
        <v>105. Chilton</v>
      </c>
      <c r="B5984" s="4" t="str">
        <f>IFERROR(__xludf.DUMMYFUNCTION("""COMPUTED_VALUE"""),"105")</f>
        <v>105</v>
      </c>
      <c r="C5984" s="5" t="str">
        <f>IFERROR(__xludf.DUMMYFUNCTION("""COMPUTED_VALUE"""),"https://drive.google.com/file/d/1noyls-K520m4MjTVR_VAtPJHjLdbi3G3/view?usp=drivesdk")</f>
        <v>https://drive.google.com/file/d/1noyls-K520m4MjTVR_VAtPJHjLdbi3G3/view?usp=drivesdk</v>
      </c>
      <c r="D5984" s="12"/>
      <c r="E5984" s="11">
        <v>6022.0</v>
      </c>
      <c r="F5984" s="2"/>
    </row>
    <row r="5985" ht="1.5" customHeight="1">
      <c r="A5985" s="4" t="str">
        <f>IFERROR(__xludf.DUMMYFUNCTION("""COMPUTED_VALUE"""),"1. Microwave")</f>
        <v>1. Microwave</v>
      </c>
      <c r="B5985" s="4" t="str">
        <f>IFERROR(__xludf.DUMMYFUNCTION("""COMPUTED_VALUE"""),"1")</f>
        <v>1</v>
      </c>
      <c r="C5985" s="5" t="str">
        <f>IFERROR(__xludf.DUMMYFUNCTION("""COMPUTED_VALUE"""),"https://drive.google.com/file/d/1KQyKtBmtUQGI3gJ5SnIg7NkZI6jsGY_z/view?usp=drivesdk")</f>
        <v>https://drive.google.com/file/d/1KQyKtBmtUQGI3gJ5SnIg7NkZI6jsGY_z/view?usp=drivesdk</v>
      </c>
      <c r="D5985" s="12"/>
      <c r="E5985" s="11">
        <v>6023.0</v>
      </c>
      <c r="F5985" s="2"/>
    </row>
    <row r="5986" ht="1.5" customHeight="1">
      <c r="A5986" s="4" t="str">
        <f>IFERROR(__xludf.DUMMYFUNCTION("""COMPUTED_VALUE"""),"47. Nefarious")</f>
        <v>47. Nefarious</v>
      </c>
      <c r="B5986" s="4" t="str">
        <f>IFERROR(__xludf.DUMMYFUNCTION("""COMPUTED_VALUE"""),"47")</f>
        <v>47</v>
      </c>
      <c r="C5986" s="5" t="str">
        <f>IFERROR(__xludf.DUMMYFUNCTION("""COMPUTED_VALUE"""),"https://drive.google.com/file/d/1maZdRtEPVskT_mfiszbHhEYS6pI7OGmz/view?usp=drivesdk")</f>
        <v>https://drive.google.com/file/d/1maZdRtEPVskT_mfiszbHhEYS6pI7OGmz/view?usp=drivesdk</v>
      </c>
      <c r="D5986" s="12"/>
      <c r="E5986" s="11">
        <v>6024.0</v>
      </c>
      <c r="F5986" s="2"/>
    </row>
    <row r="5987" ht="1.5" customHeight="1">
      <c r="A5987" s="4" t="str">
        <f>IFERROR(__xludf.DUMMYFUNCTION("""COMPUTED_VALUE"""),"116. Itzel, 80. Atzi")</f>
        <v>116. Itzel, 80. Atzi</v>
      </c>
      <c r="B5987" s="4" t="str">
        <f>IFERROR(__xludf.DUMMYFUNCTION("""COMPUTED_VALUE"""),"116, 80")</f>
        <v>116, 80</v>
      </c>
      <c r="C5987" s="5" t="str">
        <f>IFERROR(__xludf.DUMMYFUNCTION("""COMPUTED_VALUE"""),"https://drive.google.com/file/d/1Dj_5_zqzyRP3Ty6eFsAGt_Cl6dFTnYrp/view?usp=drivesdk")</f>
        <v>https://drive.google.com/file/d/1Dj_5_zqzyRP3Ty6eFsAGt_Cl6dFTnYrp/view?usp=drivesdk</v>
      </c>
      <c r="D5987" s="12"/>
      <c r="E5987" s="11">
        <v>6025.0</v>
      </c>
      <c r="F5987" s="2"/>
    </row>
    <row r="5988" ht="1.5" customHeight="1">
      <c r="A5988" s="4" t="str">
        <f>IFERROR(__xludf.DUMMYFUNCTION("""COMPUTED_VALUE"""),"115. Toothless")</f>
        <v>115. Toothless</v>
      </c>
      <c r="B5988" s="4" t="str">
        <f>IFERROR(__xludf.DUMMYFUNCTION("""COMPUTED_VALUE"""),"115")</f>
        <v>115</v>
      </c>
      <c r="C5988" s="5" t="str">
        <f>IFERROR(__xludf.DUMMYFUNCTION("""COMPUTED_VALUE"""),"https://drive.google.com/file/d/1N1xn3B6MCtZBG36eUwj9-y08R5dTaTCA/view?usp=drivesdk")</f>
        <v>https://drive.google.com/file/d/1N1xn3B6MCtZBG36eUwj9-y08R5dTaTCA/view?usp=drivesdk</v>
      </c>
      <c r="D5988" s="12"/>
      <c r="E5988" s="11">
        <v>6026.0</v>
      </c>
      <c r="F5988" s="2"/>
    </row>
    <row r="5989" ht="1.5" customHeight="1">
      <c r="A5989" s="4" t="str">
        <f>IFERROR(__xludf.DUMMYFUNCTION("""COMPUTED_VALUE"""),"115. Toothless")</f>
        <v>115. Toothless</v>
      </c>
      <c r="B5989" s="4" t="str">
        <f>IFERROR(__xludf.DUMMYFUNCTION("""COMPUTED_VALUE"""),"115")</f>
        <v>115</v>
      </c>
      <c r="C5989" s="5" t="str">
        <f>IFERROR(__xludf.DUMMYFUNCTION("""COMPUTED_VALUE"""),"https://drive.google.com/file/d/1d9_cW58LtRpq7wTlpE2ueOKEklIPMVvK/view?usp=drivesdk")</f>
        <v>https://drive.google.com/file/d/1d9_cW58LtRpq7wTlpE2ueOKEklIPMVvK/view?usp=drivesdk</v>
      </c>
      <c r="D5989" s="12"/>
      <c r="E5989" s="11">
        <v>6027.0</v>
      </c>
      <c r="F5989" s="2"/>
    </row>
    <row r="5990" ht="1.5" customHeight="1">
      <c r="A5990" s="4" t="str">
        <f>IFERROR(__xludf.DUMMYFUNCTION("""COMPUTED_VALUE"""),"115. Toothless")</f>
        <v>115. Toothless</v>
      </c>
      <c r="B5990" s="4" t="str">
        <f>IFERROR(__xludf.DUMMYFUNCTION("""COMPUTED_VALUE"""),"115")</f>
        <v>115</v>
      </c>
      <c r="C5990" s="5" t="str">
        <f>IFERROR(__xludf.DUMMYFUNCTION("""COMPUTED_VALUE"""),"https://drive.google.com/file/d/1WDsF0NDzATZVEyqz9HozZCcwz6tAmDtM/view?usp=drivesdk")</f>
        <v>https://drive.google.com/file/d/1WDsF0NDzATZVEyqz9HozZCcwz6tAmDtM/view?usp=drivesdk</v>
      </c>
      <c r="D5990" s="12"/>
      <c r="E5990" s="11">
        <v>6028.0</v>
      </c>
      <c r="F5990" s="2"/>
    </row>
    <row r="5991" ht="1.5" customHeight="1">
      <c r="A5991" s="4" t="str">
        <f>IFERROR(__xludf.DUMMYFUNCTION("""COMPUTED_VALUE"""),"115. Toothless")</f>
        <v>115. Toothless</v>
      </c>
      <c r="B5991" s="4" t="str">
        <f>IFERROR(__xludf.DUMMYFUNCTION("""COMPUTED_VALUE"""),"115")</f>
        <v>115</v>
      </c>
      <c r="C5991" s="5" t="str">
        <f>IFERROR(__xludf.DUMMYFUNCTION("""COMPUTED_VALUE"""),"https://drive.google.com/file/d/11Yey_wgJTKio7nGDAiWJ2Q1QipSyCRGX/view?usp=drivesdk")</f>
        <v>https://drive.google.com/file/d/11Yey_wgJTKio7nGDAiWJ2Q1QipSyCRGX/view?usp=drivesdk</v>
      </c>
      <c r="D5991" s="12"/>
      <c r="E5991" s="11">
        <v>6029.0</v>
      </c>
      <c r="F5991" s="2"/>
    </row>
    <row r="5992" ht="1.5" customHeight="1">
      <c r="A5992" s="4" t="str">
        <f>IFERROR(__xludf.DUMMYFUNCTION("""COMPUTED_VALUE"""),"115. Toothless")</f>
        <v>115. Toothless</v>
      </c>
      <c r="B5992" s="4" t="str">
        <f>IFERROR(__xludf.DUMMYFUNCTION("""COMPUTED_VALUE"""),"115")</f>
        <v>115</v>
      </c>
      <c r="C5992" s="5" t="str">
        <f>IFERROR(__xludf.DUMMYFUNCTION("""COMPUTED_VALUE"""),"https://drive.google.com/file/d/1wSD-GZ5jdaMt-8FfvYvW7OCesDMPS4IK/view?usp=drivesdk")</f>
        <v>https://drive.google.com/file/d/1wSD-GZ5jdaMt-8FfvYvW7OCesDMPS4IK/view?usp=drivesdk</v>
      </c>
      <c r="D5992" s="12"/>
      <c r="E5992" s="11">
        <v>6030.0</v>
      </c>
      <c r="F5992" s="2"/>
    </row>
    <row r="5993" ht="1.5" customHeight="1">
      <c r="A5993" s="4" t="str">
        <f>IFERROR(__xludf.DUMMYFUNCTION("""COMPUTED_VALUE"""),"115. Toothless")</f>
        <v>115. Toothless</v>
      </c>
      <c r="B5993" s="4" t="str">
        <f>IFERROR(__xludf.DUMMYFUNCTION("""COMPUTED_VALUE"""),"115")</f>
        <v>115</v>
      </c>
      <c r="C5993" s="5" t="str">
        <f>IFERROR(__xludf.DUMMYFUNCTION("""COMPUTED_VALUE"""),"https://drive.google.com/file/d/1k2l27cfYC4oNIthaQXeUNinXfWYNKZ3F/view?usp=drivesdk")</f>
        <v>https://drive.google.com/file/d/1k2l27cfYC4oNIthaQXeUNinXfWYNKZ3F/view?usp=drivesdk</v>
      </c>
      <c r="D5993" s="12"/>
      <c r="E5993" s="11">
        <v>6031.0</v>
      </c>
      <c r="F5993" s="2"/>
    </row>
    <row r="5994" ht="1.5" customHeight="1">
      <c r="A5994" s="4" t="str">
        <f>IFERROR(__xludf.DUMMYFUNCTION("""COMPUTED_VALUE"""),"115. Toothless")</f>
        <v>115. Toothless</v>
      </c>
      <c r="B5994" s="4" t="str">
        <f>IFERROR(__xludf.DUMMYFUNCTION("""COMPUTED_VALUE"""),"115")</f>
        <v>115</v>
      </c>
      <c r="C5994" s="5" t="str">
        <f>IFERROR(__xludf.DUMMYFUNCTION("""COMPUTED_VALUE"""),"https://drive.google.com/file/d/1lR-x9BuXKxX9YDm3PqCmCQ4XXGBfvUTP/view?usp=drivesdk")</f>
        <v>https://drive.google.com/file/d/1lR-x9BuXKxX9YDm3PqCmCQ4XXGBfvUTP/view?usp=drivesdk</v>
      </c>
      <c r="D5994" s="12"/>
      <c r="E5994" s="11">
        <v>6032.0</v>
      </c>
      <c r="F5994" s="2"/>
    </row>
    <row r="5995" ht="1.5" customHeight="1">
      <c r="A5995" s="4" t="str">
        <f>IFERROR(__xludf.DUMMYFUNCTION("""COMPUTED_VALUE"""),"115. Toothless")</f>
        <v>115. Toothless</v>
      </c>
      <c r="B5995" s="4" t="str">
        <f>IFERROR(__xludf.DUMMYFUNCTION("""COMPUTED_VALUE"""),"115")</f>
        <v>115</v>
      </c>
      <c r="C5995" s="5" t="str">
        <f>IFERROR(__xludf.DUMMYFUNCTION("""COMPUTED_VALUE"""),"https://drive.google.com/file/d/1Iffggr6ytUmPm6IrR0QbsP-odbtkwgRg/view?usp=drivesdk")</f>
        <v>https://drive.google.com/file/d/1Iffggr6ytUmPm6IrR0QbsP-odbtkwgRg/view?usp=drivesdk</v>
      </c>
      <c r="D5995" s="12"/>
      <c r="E5995" s="11">
        <v>6033.0</v>
      </c>
      <c r="F5995" s="2"/>
    </row>
    <row r="5996" ht="1.5" customHeight="1">
      <c r="A5996" s="4" t="str">
        <f>IFERROR(__xludf.DUMMYFUNCTION("""COMPUTED_VALUE"""),"115. Toothless")</f>
        <v>115. Toothless</v>
      </c>
      <c r="B5996" s="4" t="str">
        <f>IFERROR(__xludf.DUMMYFUNCTION("""COMPUTED_VALUE"""),"115")</f>
        <v>115</v>
      </c>
      <c r="C5996" s="5" t="str">
        <f>IFERROR(__xludf.DUMMYFUNCTION("""COMPUTED_VALUE"""),"https://drive.google.com/file/d/1WZ0EjegcyAcozD0jL2fvz8jUFl2KVqyp/view?usp=drivesdk")</f>
        <v>https://drive.google.com/file/d/1WZ0EjegcyAcozD0jL2fvz8jUFl2KVqyp/view?usp=drivesdk</v>
      </c>
      <c r="D5996" s="12"/>
      <c r="E5996" s="11">
        <v>6034.0</v>
      </c>
      <c r="F5996" s="2"/>
    </row>
    <row r="5997" ht="1.5" customHeight="1">
      <c r="A5997" s="4" t="str">
        <f>IFERROR(__xludf.DUMMYFUNCTION("""COMPUTED_VALUE"""),"115. Toothless")</f>
        <v>115. Toothless</v>
      </c>
      <c r="B5997" s="4" t="str">
        <f>IFERROR(__xludf.DUMMYFUNCTION("""COMPUTED_VALUE"""),"115")</f>
        <v>115</v>
      </c>
      <c r="C5997" s="5" t="str">
        <f>IFERROR(__xludf.DUMMYFUNCTION("""COMPUTED_VALUE"""),"https://drive.google.com/file/d/1LlO63nXY5i3OaN4lPq5UWsI972r6Y3Yt/view?usp=drivesdk")</f>
        <v>https://drive.google.com/file/d/1LlO63nXY5i3OaN4lPq5UWsI972r6Y3Yt/view?usp=drivesdk</v>
      </c>
      <c r="D5997" s="12"/>
      <c r="E5997" s="11">
        <v>6035.0</v>
      </c>
      <c r="F5997" s="2"/>
    </row>
    <row r="5998" ht="1.5" customHeight="1">
      <c r="A5998" s="4" t="str">
        <f>IFERROR(__xludf.DUMMYFUNCTION("""COMPUTED_VALUE"""),"0. NotACat")</f>
        <v>0. NotACat</v>
      </c>
      <c r="B5998" s="4" t="str">
        <f>IFERROR(__xludf.DUMMYFUNCTION("""COMPUTED_VALUE"""),"0")</f>
        <v>0</v>
      </c>
      <c r="C5998" s="5" t="str">
        <f>IFERROR(__xludf.DUMMYFUNCTION("""COMPUTED_VALUE"""),"https://drive.google.com/file/d/15HQSjtqpCrSC99ZxYk9oUuVuGz_bXBqe/view?usp=drivesdk")</f>
        <v>https://drive.google.com/file/d/15HQSjtqpCrSC99ZxYk9oUuVuGz_bXBqe/view?usp=drivesdk</v>
      </c>
      <c r="D5998" s="12"/>
      <c r="E5998" s="11">
        <v>6036.0</v>
      </c>
      <c r="F5998" s="2"/>
    </row>
    <row r="5999" ht="1.5" customHeight="1">
      <c r="A5999" s="4" t="str">
        <f>IFERROR(__xludf.DUMMYFUNCTION("""COMPUTED_VALUE"""),"1. Microwave")</f>
        <v>1. Microwave</v>
      </c>
      <c r="B5999" s="4" t="str">
        <f>IFERROR(__xludf.DUMMYFUNCTION("""COMPUTED_VALUE"""),"1")</f>
        <v>1</v>
      </c>
      <c r="C5999" s="5" t="str">
        <f>IFERROR(__xludf.DUMMYFUNCTION("""COMPUTED_VALUE"""),"https://drive.google.com/file/d/1glWDGNYpiRAk0IE-BViS_weNhAr_AEDM/view?usp=drivesdk")</f>
        <v>https://drive.google.com/file/d/1glWDGNYpiRAk0IE-BViS_weNhAr_AEDM/view?usp=drivesdk</v>
      </c>
      <c r="D5999" s="12"/>
      <c r="E5999" s="11">
        <v>6037.0</v>
      </c>
      <c r="F5999" s="2"/>
    </row>
    <row r="6000" ht="1.5" customHeight="1">
      <c r="A6000" s="4" t="str">
        <f>IFERROR(__xludf.DUMMYFUNCTION("""COMPUTED_VALUE"""),"1. Microwave")</f>
        <v>1. Microwave</v>
      </c>
      <c r="B6000" s="4" t="str">
        <f>IFERROR(__xludf.DUMMYFUNCTION("""COMPUTED_VALUE"""),"1")</f>
        <v>1</v>
      </c>
      <c r="C6000" s="5" t="str">
        <f>IFERROR(__xludf.DUMMYFUNCTION("""COMPUTED_VALUE"""),"https://drive.google.com/file/d/1xX__k1_bhfeoiUeCFSQD7SmZWTfVzii-/view?usp=drivesdk")</f>
        <v>https://drive.google.com/file/d/1xX__k1_bhfeoiUeCFSQD7SmZWTfVzii-/view?usp=drivesdk</v>
      </c>
      <c r="D6000" s="12"/>
      <c r="E6000" s="11">
        <v>6038.0</v>
      </c>
      <c r="F6000" s="2"/>
    </row>
    <row r="6001" ht="1.5" customHeight="1">
      <c r="A6001" s="4" t="str">
        <f>IFERROR(__xludf.DUMMYFUNCTION("""COMPUTED_VALUE"""),"1. Microwave")</f>
        <v>1. Microwave</v>
      </c>
      <c r="B6001" s="4" t="str">
        <f>IFERROR(__xludf.DUMMYFUNCTION("""COMPUTED_VALUE"""),"1")</f>
        <v>1</v>
      </c>
      <c r="C6001" s="5" t="str">
        <f>IFERROR(__xludf.DUMMYFUNCTION("""COMPUTED_VALUE"""),"https://drive.google.com/file/d/1_iC5br2nSQ-q_kHg-OETQE6Pyerwv22U/view?usp=drivesdk")</f>
        <v>https://drive.google.com/file/d/1_iC5br2nSQ-q_kHg-OETQE6Pyerwv22U/view?usp=drivesdk</v>
      </c>
      <c r="D6001" s="12"/>
      <c r="E6001" s="11">
        <v>6039.0</v>
      </c>
      <c r="F6001" s="2"/>
    </row>
    <row r="6002" ht="1.5" customHeight="1">
      <c r="A6002" s="4" t="str">
        <f>IFERROR(__xludf.DUMMYFUNCTION("""COMPUTED_VALUE"""),"35. Stove")</f>
        <v>35. Stove</v>
      </c>
      <c r="B6002" s="4" t="str">
        <f>IFERROR(__xludf.DUMMYFUNCTION("""COMPUTED_VALUE"""),"35")</f>
        <v>35</v>
      </c>
      <c r="C6002" s="5" t="str">
        <f>IFERROR(__xludf.DUMMYFUNCTION("""COMPUTED_VALUE"""),"https://drive.google.com/file/d/1CVe_D9P4NJFMSi5mKtv6Dn0njIA1brZZ/view?usp=drivesdk")</f>
        <v>https://drive.google.com/file/d/1CVe_D9P4NJFMSi5mKtv6Dn0njIA1brZZ/view?usp=drivesdk</v>
      </c>
      <c r="D6002" s="12"/>
      <c r="E6002" s="11">
        <v>6040.0</v>
      </c>
      <c r="F6002" s="2"/>
    </row>
    <row r="6003" ht="1.5" customHeight="1">
      <c r="A6003" s="4" t="str">
        <f>IFERROR(__xludf.DUMMYFUNCTION("""COMPUTED_VALUE"""),"1. Microwave")</f>
        <v>1. Microwave</v>
      </c>
      <c r="B6003" s="4" t="str">
        <f>IFERROR(__xludf.DUMMYFUNCTION("""COMPUTED_VALUE"""),"1")</f>
        <v>1</v>
      </c>
      <c r="C6003" s="5" t="str">
        <f>IFERROR(__xludf.DUMMYFUNCTION("""COMPUTED_VALUE"""),"https://drive.google.com/file/d/1WuzCV2zgKvELlKXBKyAv4UObTTdaANGq/view?usp=drivesdk")</f>
        <v>https://drive.google.com/file/d/1WuzCV2zgKvELlKXBKyAv4UObTTdaANGq/view?usp=drivesdk</v>
      </c>
      <c r="D6003" s="12"/>
      <c r="E6003" s="11">
        <v>6041.0</v>
      </c>
      <c r="F6003" s="2"/>
    </row>
    <row r="6004" ht="1.5" customHeight="1">
      <c r="A6004" s="4" t="str">
        <f>IFERROR(__xludf.DUMMYFUNCTION("""COMPUTED_VALUE"""),"1. Microwave")</f>
        <v>1. Microwave</v>
      </c>
      <c r="B6004" s="4" t="str">
        <f>IFERROR(__xludf.DUMMYFUNCTION("""COMPUTED_VALUE"""),"1")</f>
        <v>1</v>
      </c>
      <c r="C6004" s="5" t="str">
        <f>IFERROR(__xludf.DUMMYFUNCTION("""COMPUTED_VALUE"""),"https://drive.google.com/file/d/11lz6-ZnNREeKxfiWH-CX46oZBNZ0Q1DV/view?usp=drivesdk")</f>
        <v>https://drive.google.com/file/d/11lz6-ZnNREeKxfiWH-CX46oZBNZ0Q1DV/view?usp=drivesdk</v>
      </c>
      <c r="D6004" s="12"/>
      <c r="E6004" s="11">
        <v>6042.0</v>
      </c>
      <c r="F6004" s="2"/>
    </row>
    <row r="6005" ht="1.5" customHeight="1">
      <c r="A6005" s="4" t="str">
        <f>IFERROR(__xludf.DUMMYFUNCTION("""COMPUTED_VALUE"""),"1. Microwave")</f>
        <v>1. Microwave</v>
      </c>
      <c r="B6005" s="4" t="str">
        <f>IFERROR(__xludf.DUMMYFUNCTION("""COMPUTED_VALUE"""),"1")</f>
        <v>1</v>
      </c>
      <c r="C6005" s="5" t="str">
        <f>IFERROR(__xludf.DUMMYFUNCTION("""COMPUTED_VALUE"""),"https://drive.google.com/file/d/1thMNfDLKN9Xec_Y34NQCjbXtVw-8Y-LC/view?usp=drivesdk")</f>
        <v>https://drive.google.com/file/d/1thMNfDLKN9Xec_Y34NQCjbXtVw-8Y-LC/view?usp=drivesdk</v>
      </c>
      <c r="D6005" s="12"/>
      <c r="E6005" s="11">
        <v>6043.0</v>
      </c>
      <c r="F6005" s="2"/>
    </row>
    <row r="6006" ht="1.5" customHeight="1">
      <c r="A6006" s="4" t="str">
        <f>IFERROR(__xludf.DUMMYFUNCTION("""COMPUTED_VALUE"""),"1. Microwave")</f>
        <v>1. Microwave</v>
      </c>
      <c r="B6006" s="4" t="str">
        <f>IFERROR(__xludf.DUMMYFUNCTION("""COMPUTED_VALUE"""),"1")</f>
        <v>1</v>
      </c>
      <c r="C6006" s="5" t="str">
        <f>IFERROR(__xludf.DUMMYFUNCTION("""COMPUTED_VALUE"""),"https://drive.google.com/file/d/12aI7bT7lRAb58FF8Cco9wNII0SsWxny-/view?usp=drivesdk")</f>
        <v>https://drive.google.com/file/d/12aI7bT7lRAb58FF8Cco9wNII0SsWxny-/view?usp=drivesdk</v>
      </c>
      <c r="D6006" s="12"/>
      <c r="E6006" s="11">
        <v>6044.0</v>
      </c>
      <c r="F6006" s="2"/>
    </row>
    <row r="6007" ht="1.5" customHeight="1">
      <c r="A6007" s="4" t="str">
        <f>IFERROR(__xludf.DUMMYFUNCTION("""COMPUTED_VALUE"""),"1. Microwave")</f>
        <v>1. Microwave</v>
      </c>
      <c r="B6007" s="4" t="str">
        <f>IFERROR(__xludf.DUMMYFUNCTION("""COMPUTED_VALUE"""),"1")</f>
        <v>1</v>
      </c>
      <c r="C6007" s="5" t="str">
        <f>IFERROR(__xludf.DUMMYFUNCTION("""COMPUTED_VALUE"""),"https://drive.google.com/file/d/1iR7FAFnxliOU3wHCVt97Ez225K478thH/view?usp=drivesdk")</f>
        <v>https://drive.google.com/file/d/1iR7FAFnxliOU3wHCVt97Ez225K478thH/view?usp=drivesdk</v>
      </c>
      <c r="D6007" s="12"/>
      <c r="E6007" s="11">
        <v>6045.0</v>
      </c>
      <c r="F6007" s="2"/>
    </row>
    <row r="6008" ht="1.5" customHeight="1">
      <c r="A6008" s="4" t="str">
        <f>IFERROR(__xludf.DUMMYFUNCTION("""COMPUTED_VALUE"""),"1. Microwave")</f>
        <v>1. Microwave</v>
      </c>
      <c r="B6008" s="4" t="str">
        <f>IFERROR(__xludf.DUMMYFUNCTION("""COMPUTED_VALUE"""),"1")</f>
        <v>1</v>
      </c>
      <c r="C6008" s="5" t="str">
        <f>IFERROR(__xludf.DUMMYFUNCTION("""COMPUTED_VALUE"""),"https://drive.google.com/file/d/16_mkaBFGtnuAR5ntSL2dFTGGm3G-CZs2/view?usp=drivesdk")</f>
        <v>https://drive.google.com/file/d/16_mkaBFGtnuAR5ntSL2dFTGGm3G-CZs2/view?usp=drivesdk</v>
      </c>
      <c r="D6008" s="12"/>
      <c r="E6008" s="11">
        <v>6046.0</v>
      </c>
      <c r="F6008" s="2"/>
    </row>
    <row r="6009" ht="1.5" customHeight="1">
      <c r="A6009" s="4" t="str">
        <f>IFERROR(__xludf.DUMMYFUNCTION("""COMPUTED_VALUE"""),"1. Microwave")</f>
        <v>1. Microwave</v>
      </c>
      <c r="B6009" s="4" t="str">
        <f>IFERROR(__xludf.DUMMYFUNCTION("""COMPUTED_VALUE"""),"1")</f>
        <v>1</v>
      </c>
      <c r="C6009" s="5" t="str">
        <f>IFERROR(__xludf.DUMMYFUNCTION("""COMPUTED_VALUE"""),"https://drive.google.com/file/d/1RSNosKKe_cBiC6oGy0WezF_yq42xPTdE/view?usp=drivesdk")</f>
        <v>https://drive.google.com/file/d/1RSNosKKe_cBiC6oGy0WezF_yq42xPTdE/view?usp=drivesdk</v>
      </c>
      <c r="D6009" s="12"/>
      <c r="E6009" s="11">
        <v>6047.0</v>
      </c>
      <c r="F6009" s="2"/>
    </row>
    <row r="6010" ht="1.5" customHeight="1">
      <c r="A6010" s="4" t="str">
        <f>IFERROR(__xludf.DUMMYFUNCTION("""COMPUTED_VALUE"""),"1. Microwave")</f>
        <v>1. Microwave</v>
      </c>
      <c r="B6010" s="4" t="str">
        <f>IFERROR(__xludf.DUMMYFUNCTION("""COMPUTED_VALUE"""),"1")</f>
        <v>1</v>
      </c>
      <c r="C6010" s="5" t="str">
        <f>IFERROR(__xludf.DUMMYFUNCTION("""COMPUTED_VALUE"""),"https://drive.google.com/file/d/1TlUCLrfxNwRAuSpCnmQ2MA2FZuoUukrG/view?usp=drivesdk")</f>
        <v>https://drive.google.com/file/d/1TlUCLrfxNwRAuSpCnmQ2MA2FZuoUukrG/view?usp=drivesdk</v>
      </c>
      <c r="D6010" s="12"/>
      <c r="E6010" s="11">
        <v>6048.0</v>
      </c>
      <c r="F6010" s="2"/>
    </row>
    <row r="6011" ht="1.5" customHeight="1">
      <c r="A6011" s="4" t="str">
        <f>IFERROR(__xludf.DUMMYFUNCTION("""COMPUTED_VALUE"""),"1. Microwave")</f>
        <v>1. Microwave</v>
      </c>
      <c r="B6011" s="4" t="str">
        <f>IFERROR(__xludf.DUMMYFUNCTION("""COMPUTED_VALUE"""),"1")</f>
        <v>1</v>
      </c>
      <c r="C6011" s="5" t="str">
        <f>IFERROR(__xludf.DUMMYFUNCTION("""COMPUTED_VALUE"""),"https://drive.google.com/file/d/10OWyJTikRmb3o8KL9erPXT21aqNDO382/view?usp=drivesdk")</f>
        <v>https://drive.google.com/file/d/10OWyJTikRmb3o8KL9erPXT21aqNDO382/view?usp=drivesdk</v>
      </c>
      <c r="D6011" s="12"/>
      <c r="E6011" s="11">
        <v>6049.0</v>
      </c>
      <c r="F6011" s="2"/>
    </row>
    <row r="6012" ht="1.5" customHeight="1">
      <c r="A6012" s="4" t="str">
        <f>IFERROR(__xludf.DUMMYFUNCTION("""COMPUTED_VALUE"""),"1. Microwave")</f>
        <v>1. Microwave</v>
      </c>
      <c r="B6012" s="4" t="str">
        <f>IFERROR(__xludf.DUMMYFUNCTION("""COMPUTED_VALUE"""),"1")</f>
        <v>1</v>
      </c>
      <c r="C6012" s="5" t="str">
        <f>IFERROR(__xludf.DUMMYFUNCTION("""COMPUTED_VALUE"""),"https://drive.google.com/file/d/1DCLrJRAbiJGibrhB1ZdCSf-TC7coBpFh/view?usp=drivesdk")</f>
        <v>https://drive.google.com/file/d/1DCLrJRAbiJGibrhB1ZdCSf-TC7coBpFh/view?usp=drivesdk</v>
      </c>
      <c r="D6012" s="12"/>
      <c r="E6012" s="11">
        <v>6050.0</v>
      </c>
      <c r="F6012" s="2"/>
    </row>
    <row r="6013" ht="1.5" customHeight="1">
      <c r="A6013" s="4" t="str">
        <f>IFERROR(__xludf.DUMMYFUNCTION("""COMPUTED_VALUE"""),"1. Microwave")</f>
        <v>1. Microwave</v>
      </c>
      <c r="B6013" s="4" t="str">
        <f>IFERROR(__xludf.DUMMYFUNCTION("""COMPUTED_VALUE"""),"1")</f>
        <v>1</v>
      </c>
      <c r="C6013" s="5" t="str">
        <f>IFERROR(__xludf.DUMMYFUNCTION("""COMPUTED_VALUE"""),"https://drive.google.com/file/d/15SRIYNcLtmsu0acB6v1YG2e6JvJqq5d8/view?usp=drivesdk")</f>
        <v>https://drive.google.com/file/d/15SRIYNcLtmsu0acB6v1YG2e6JvJqq5d8/view?usp=drivesdk</v>
      </c>
      <c r="D6013" s="12"/>
      <c r="E6013" s="11">
        <v>6051.0</v>
      </c>
      <c r="F6013" s="2"/>
    </row>
    <row r="6014" ht="1.5" customHeight="1">
      <c r="A6014" s="4" t="str">
        <f>IFERROR(__xludf.DUMMYFUNCTION("""COMPUTED_VALUE"""),"1. Microwave")</f>
        <v>1. Microwave</v>
      </c>
      <c r="B6014" s="4" t="str">
        <f>IFERROR(__xludf.DUMMYFUNCTION("""COMPUTED_VALUE"""),"1")</f>
        <v>1</v>
      </c>
      <c r="C6014" s="5" t="str">
        <f>IFERROR(__xludf.DUMMYFUNCTION("""COMPUTED_VALUE"""),"https://drive.google.com/file/d/1ZN3Jn3QoHx-H9U1tnsdDfZrFz_kyV_Jb/view?usp=drivesdk")</f>
        <v>https://drive.google.com/file/d/1ZN3Jn3QoHx-H9U1tnsdDfZrFz_kyV_Jb/view?usp=drivesdk</v>
      </c>
      <c r="D6014" s="12"/>
      <c r="E6014" s="11">
        <v>6052.0</v>
      </c>
      <c r="F6014" s="2"/>
    </row>
    <row r="6015" ht="1.5" customHeight="1">
      <c r="A6015" s="4" t="str">
        <f>IFERROR(__xludf.DUMMYFUNCTION("""COMPUTED_VALUE"""),"101. Nori")</f>
        <v>101. Nori</v>
      </c>
      <c r="B6015" s="4" t="str">
        <f>IFERROR(__xludf.DUMMYFUNCTION("""COMPUTED_VALUE"""),"101")</f>
        <v>101</v>
      </c>
      <c r="C6015" s="5" t="str">
        <f>IFERROR(__xludf.DUMMYFUNCTION("""COMPUTED_VALUE"""),"https://drive.google.com/file/d/1UJX5ti0qfctMiaw_QqLwDiXDmZ28J-fr/view?usp=drivesdk")</f>
        <v>https://drive.google.com/file/d/1UJX5ti0qfctMiaw_QqLwDiXDmZ28J-fr/view?usp=drivesdk</v>
      </c>
      <c r="D6015" s="12"/>
      <c r="E6015" s="11">
        <v>6053.0</v>
      </c>
      <c r="F6015" s="2"/>
    </row>
    <row r="6016" ht="1.5" customHeight="1">
      <c r="A6016" s="4" t="str">
        <f>IFERROR(__xludf.DUMMYFUNCTION("""COMPUTED_VALUE"""),"101. Nori")</f>
        <v>101. Nori</v>
      </c>
      <c r="B6016" s="4" t="str">
        <f>IFERROR(__xludf.DUMMYFUNCTION("""COMPUTED_VALUE"""),"101")</f>
        <v>101</v>
      </c>
      <c r="C6016" s="5" t="str">
        <f>IFERROR(__xludf.DUMMYFUNCTION("""COMPUTED_VALUE"""),"https://drive.google.com/file/d/1Vfk2mcJFXlLC_FeUi6DIYugarjnOUrwt/view?usp=drivesdk")</f>
        <v>https://drive.google.com/file/d/1Vfk2mcJFXlLC_FeUi6DIYugarjnOUrwt/view?usp=drivesdk</v>
      </c>
      <c r="D6016" s="12"/>
      <c r="E6016" s="11">
        <v>6054.0</v>
      </c>
      <c r="F6016" s="2"/>
    </row>
    <row r="6017" ht="1.5" customHeight="1">
      <c r="A6017" s="4" t="str">
        <f>IFERROR(__xludf.DUMMYFUNCTION("""COMPUTED_VALUE"""),"101. Nori")</f>
        <v>101. Nori</v>
      </c>
      <c r="B6017" s="4" t="str">
        <f>IFERROR(__xludf.DUMMYFUNCTION("""COMPUTED_VALUE"""),"101")</f>
        <v>101</v>
      </c>
      <c r="C6017" s="5" t="str">
        <f>IFERROR(__xludf.DUMMYFUNCTION("""COMPUTED_VALUE"""),"https://drive.google.com/file/d/1XdvOESbr4HSID_ZXj0li5V7e65RYq_Xa/view?usp=drivesdk")</f>
        <v>https://drive.google.com/file/d/1XdvOESbr4HSID_ZXj0li5V7e65RYq_Xa/view?usp=drivesdk</v>
      </c>
      <c r="D6017" s="12"/>
      <c r="E6017" s="11">
        <v>6055.0</v>
      </c>
      <c r="F6017" s="2"/>
    </row>
    <row r="6018" ht="1.5" customHeight="1">
      <c r="A6018" s="4" t="str">
        <f>IFERROR(__xludf.DUMMYFUNCTION("""COMPUTED_VALUE"""),"89. Petal")</f>
        <v>89. Petal</v>
      </c>
      <c r="B6018" s="4" t="str">
        <f>IFERROR(__xludf.DUMMYFUNCTION("""COMPUTED_VALUE"""),"89")</f>
        <v>89</v>
      </c>
      <c r="C6018" s="5" t="str">
        <f>IFERROR(__xludf.DUMMYFUNCTION("""COMPUTED_VALUE"""),"https://drive.google.com/file/d/10bM9NYtNywhA39_cBLUmuSx2mNMxLeJR/view?usp=drivesdk")</f>
        <v>https://drive.google.com/file/d/10bM9NYtNywhA39_cBLUmuSx2mNMxLeJR/view?usp=drivesdk</v>
      </c>
      <c r="D6018" s="12"/>
      <c r="E6018" s="11">
        <v>6056.0</v>
      </c>
      <c r="F6018" s="2"/>
    </row>
    <row r="6019" ht="1.5" customHeight="1">
      <c r="A6019" s="4" t="str">
        <f>IFERROR(__xludf.DUMMYFUNCTION("""COMPUTED_VALUE"""),"101. Nori")</f>
        <v>101. Nori</v>
      </c>
      <c r="B6019" s="4" t="str">
        <f>IFERROR(__xludf.DUMMYFUNCTION("""COMPUTED_VALUE"""),"101")</f>
        <v>101</v>
      </c>
      <c r="C6019" s="5" t="str">
        <f>IFERROR(__xludf.DUMMYFUNCTION("""COMPUTED_VALUE"""),"https://drive.google.com/file/d/17nhH1GOv0zAPncI7q38L0lcxz4ELqbI6/view?usp=drivesdk")</f>
        <v>https://drive.google.com/file/d/17nhH1GOv0zAPncI7q38L0lcxz4ELqbI6/view?usp=drivesdk</v>
      </c>
      <c r="D6019" s="12"/>
      <c r="E6019" s="11">
        <v>6057.0</v>
      </c>
      <c r="F6019" s="2"/>
    </row>
    <row r="6020" ht="1.5" customHeight="1">
      <c r="A6020" s="4" t="str">
        <f>IFERROR(__xludf.DUMMYFUNCTION("""COMPUTED_VALUE"""),"101. Nori")</f>
        <v>101. Nori</v>
      </c>
      <c r="B6020" s="4" t="str">
        <f>IFERROR(__xludf.DUMMYFUNCTION("""COMPUTED_VALUE"""),"101")</f>
        <v>101</v>
      </c>
      <c r="C6020" s="5" t="str">
        <f>IFERROR(__xludf.DUMMYFUNCTION("""COMPUTED_VALUE"""),"https://drive.google.com/file/d/10UoGkemmdaVqgXuFc4xyBw2yn1d_qj91/view?usp=drivesdk")</f>
        <v>https://drive.google.com/file/d/10UoGkemmdaVqgXuFc4xyBw2yn1d_qj91/view?usp=drivesdk</v>
      </c>
      <c r="D6020" s="12"/>
      <c r="E6020" s="11">
        <v>6058.0</v>
      </c>
      <c r="F6020" s="2"/>
    </row>
    <row r="6021" ht="1.5" customHeight="1">
      <c r="A6021" s="4" t="str">
        <f>IFERROR(__xludf.DUMMYFUNCTION("""COMPUTED_VALUE"""),"101. Nori")</f>
        <v>101. Nori</v>
      </c>
      <c r="B6021" s="4" t="str">
        <f>IFERROR(__xludf.DUMMYFUNCTION("""COMPUTED_VALUE"""),"101")</f>
        <v>101</v>
      </c>
      <c r="C6021" s="5" t="str">
        <f>IFERROR(__xludf.DUMMYFUNCTION("""COMPUTED_VALUE"""),"https://drive.google.com/file/d/1yDFNqPrw4lB9K53Ny3PywcIHZVgVLIDI/view?usp=drivesdk")</f>
        <v>https://drive.google.com/file/d/1yDFNqPrw4lB9K53Ny3PywcIHZVgVLIDI/view?usp=drivesdk</v>
      </c>
      <c r="D6021" s="12"/>
      <c r="E6021" s="11">
        <v>6059.0</v>
      </c>
      <c r="F6021" s="2"/>
    </row>
    <row r="6022" ht="1.5" customHeight="1">
      <c r="A6022" s="4" t="str">
        <f>IFERROR(__xludf.DUMMYFUNCTION("""COMPUTED_VALUE"""),"101. Nori")</f>
        <v>101. Nori</v>
      </c>
      <c r="B6022" s="4" t="str">
        <f>IFERROR(__xludf.DUMMYFUNCTION("""COMPUTED_VALUE"""),"101")</f>
        <v>101</v>
      </c>
      <c r="C6022" s="5" t="str">
        <f>IFERROR(__xludf.DUMMYFUNCTION("""COMPUTED_VALUE"""),"https://drive.google.com/file/d/1XLfUAR-KbkiYsjdKrcBTjvvvPKfXh7Fc/view?usp=drivesdk")</f>
        <v>https://drive.google.com/file/d/1XLfUAR-KbkiYsjdKrcBTjvvvPKfXh7Fc/view?usp=drivesdk</v>
      </c>
      <c r="D6022" s="12"/>
      <c r="E6022" s="11">
        <v>6060.0</v>
      </c>
      <c r="F6022" s="2"/>
    </row>
    <row r="6023" ht="1.5" customHeight="1">
      <c r="A6023" s="4" t="str">
        <f>IFERROR(__xludf.DUMMYFUNCTION("""COMPUTED_VALUE"""),"101. Nori")</f>
        <v>101. Nori</v>
      </c>
      <c r="B6023" s="4" t="str">
        <f>IFERROR(__xludf.DUMMYFUNCTION("""COMPUTED_VALUE"""),"101")</f>
        <v>101</v>
      </c>
      <c r="C6023" s="5" t="str">
        <f>IFERROR(__xludf.DUMMYFUNCTION("""COMPUTED_VALUE"""),"https://drive.google.com/file/d/15zhQBq4Nlf0ioP5Z1z6hVElbHK7H5ICs/view?usp=drivesdk")</f>
        <v>https://drive.google.com/file/d/15zhQBq4Nlf0ioP5Z1z6hVElbHK7H5ICs/view?usp=drivesdk</v>
      </c>
      <c r="D6023" s="12"/>
      <c r="E6023" s="11">
        <v>6061.0</v>
      </c>
      <c r="F6023" s="2"/>
    </row>
    <row r="6024" ht="1.5" customHeight="1">
      <c r="A6024" s="4" t="str">
        <f>IFERROR(__xludf.DUMMYFUNCTION("""COMPUTED_VALUE"""),"101. Nori")</f>
        <v>101. Nori</v>
      </c>
      <c r="B6024" s="4" t="str">
        <f>IFERROR(__xludf.DUMMYFUNCTION("""COMPUTED_VALUE"""),"101")</f>
        <v>101</v>
      </c>
      <c r="C6024" s="5" t="str">
        <f>IFERROR(__xludf.DUMMYFUNCTION("""COMPUTED_VALUE"""),"https://drive.google.com/file/d/15afx0YeuTuH4-z3aaANAfXFxym7MoZ3b/view?usp=drivesdk")</f>
        <v>https://drive.google.com/file/d/15afx0YeuTuH4-z3aaANAfXFxym7MoZ3b/view?usp=drivesdk</v>
      </c>
      <c r="D6024" s="12"/>
      <c r="E6024" s="11">
        <v>6062.0</v>
      </c>
      <c r="F6024" s="2"/>
    </row>
    <row r="6025" ht="1.5" customHeight="1">
      <c r="A6025" s="4" t="str">
        <f>IFERROR(__xludf.DUMMYFUNCTION("""COMPUTED_VALUE"""),"101. Nori")</f>
        <v>101. Nori</v>
      </c>
      <c r="B6025" s="4" t="str">
        <f>IFERROR(__xludf.DUMMYFUNCTION("""COMPUTED_VALUE"""),"101")</f>
        <v>101</v>
      </c>
      <c r="C6025" s="5" t="str">
        <f>IFERROR(__xludf.DUMMYFUNCTION("""COMPUTED_VALUE"""),"https://drive.google.com/file/d/16mKjJuZhu8jfAnLdcQfE4BzZcLuqPDz_/view?usp=drivesdk")</f>
        <v>https://drive.google.com/file/d/16mKjJuZhu8jfAnLdcQfE4BzZcLuqPDz_/view?usp=drivesdk</v>
      </c>
      <c r="D6025" s="12"/>
      <c r="E6025" s="11">
        <v>6063.0</v>
      </c>
      <c r="F6025" s="2"/>
    </row>
    <row r="6026" ht="1.5" customHeight="1">
      <c r="A6026" s="4" t="str">
        <f>IFERROR(__xludf.DUMMYFUNCTION("""COMPUTED_VALUE"""),"101. Nori")</f>
        <v>101. Nori</v>
      </c>
      <c r="B6026" s="4" t="str">
        <f>IFERROR(__xludf.DUMMYFUNCTION("""COMPUTED_VALUE"""),"101")</f>
        <v>101</v>
      </c>
      <c r="C6026" s="5" t="str">
        <f>IFERROR(__xludf.DUMMYFUNCTION("""COMPUTED_VALUE"""),"https://drive.google.com/file/d/1cEP7P2JMAZgnqKaFJYupWpRuGtk3OCRo/view?usp=drivesdk")</f>
        <v>https://drive.google.com/file/d/1cEP7P2JMAZgnqKaFJYupWpRuGtk3OCRo/view?usp=drivesdk</v>
      </c>
      <c r="D6026" s="12"/>
      <c r="E6026" s="11">
        <v>6064.0</v>
      </c>
      <c r="F6026" s="2"/>
    </row>
    <row r="6027" ht="1.5" customHeight="1">
      <c r="A6027" s="4" t="str">
        <f>IFERROR(__xludf.DUMMYFUNCTION("""COMPUTED_VALUE"""),"89. Petal")</f>
        <v>89. Petal</v>
      </c>
      <c r="B6027" s="4" t="str">
        <f>IFERROR(__xludf.DUMMYFUNCTION("""COMPUTED_VALUE"""),"89")</f>
        <v>89</v>
      </c>
      <c r="C6027" s="5" t="str">
        <f>IFERROR(__xludf.DUMMYFUNCTION("""COMPUTED_VALUE"""),"https://drive.google.com/file/d/1IGOjPyAdwv7YMPTLdEa4xxUu1NFYHdZ1/view?usp=drivesdk")</f>
        <v>https://drive.google.com/file/d/1IGOjPyAdwv7YMPTLdEa4xxUu1NFYHdZ1/view?usp=drivesdk</v>
      </c>
      <c r="D6027" s="12"/>
      <c r="E6027" s="11">
        <v>6065.0</v>
      </c>
      <c r="F6027" s="2"/>
    </row>
    <row r="6028" ht="1.5" customHeight="1">
      <c r="A6028" s="4" t="str">
        <f>IFERROR(__xludf.DUMMYFUNCTION("""COMPUTED_VALUE"""),"89. Petal")</f>
        <v>89. Petal</v>
      </c>
      <c r="B6028" s="4" t="str">
        <f>IFERROR(__xludf.DUMMYFUNCTION("""COMPUTED_VALUE"""),"89")</f>
        <v>89</v>
      </c>
      <c r="C6028" s="5" t="str">
        <f>IFERROR(__xludf.DUMMYFUNCTION("""COMPUTED_VALUE"""),"https://drive.google.com/file/d/1_sXwBHKl9J-lsfW5C6iwW_zgj5HgWOo7/view?usp=drivesdk")</f>
        <v>https://drive.google.com/file/d/1_sXwBHKl9J-lsfW5C6iwW_zgj5HgWOo7/view?usp=drivesdk</v>
      </c>
      <c r="D6028" s="12"/>
      <c r="E6028" s="11">
        <v>6066.0</v>
      </c>
      <c r="F6028" s="2"/>
    </row>
    <row r="6029" ht="1.5" customHeight="1">
      <c r="A6029" s="4" t="str">
        <f>IFERROR(__xludf.DUMMYFUNCTION("""COMPUTED_VALUE"""),"89. Petal")</f>
        <v>89. Petal</v>
      </c>
      <c r="B6029" s="4" t="str">
        <f>IFERROR(__xludf.DUMMYFUNCTION("""COMPUTED_VALUE"""),"89")</f>
        <v>89</v>
      </c>
      <c r="C6029" s="5" t="str">
        <f>IFERROR(__xludf.DUMMYFUNCTION("""COMPUTED_VALUE"""),"https://drive.google.com/file/d/1kX0jUtDNx9XEiSY4ugRZYg_FN_jMlKmZ/view?usp=drivesdk")</f>
        <v>https://drive.google.com/file/d/1kX0jUtDNx9XEiSY4ugRZYg_FN_jMlKmZ/view?usp=drivesdk</v>
      </c>
      <c r="D6029" s="12"/>
      <c r="E6029" s="11">
        <v>6067.0</v>
      </c>
      <c r="F6029" s="2"/>
    </row>
    <row r="6030" ht="1.5" customHeight="1">
      <c r="A6030" s="4" t="str">
        <f>IFERROR(__xludf.DUMMYFUNCTION("""COMPUTED_VALUE"""),"89. Petal")</f>
        <v>89. Petal</v>
      </c>
      <c r="B6030" s="4" t="str">
        <f>IFERROR(__xludf.DUMMYFUNCTION("""COMPUTED_VALUE"""),"89")</f>
        <v>89</v>
      </c>
      <c r="C6030" s="5" t="str">
        <f>IFERROR(__xludf.DUMMYFUNCTION("""COMPUTED_VALUE"""),"https://drive.google.com/file/d/1dfbRc2iQtam1h3DgKRpACJp6KjstVkbG/view?usp=drivesdk")</f>
        <v>https://drive.google.com/file/d/1dfbRc2iQtam1h3DgKRpACJp6KjstVkbG/view?usp=drivesdk</v>
      </c>
      <c r="D6030" s="12"/>
      <c r="E6030" s="11">
        <v>6068.0</v>
      </c>
      <c r="F6030" s="2"/>
    </row>
    <row r="6031" ht="1.5" customHeight="1">
      <c r="A6031" s="4" t="str">
        <f>IFERROR(__xludf.DUMMYFUNCTION("""COMPUTED_VALUE"""),"89. Petal")</f>
        <v>89. Petal</v>
      </c>
      <c r="B6031" s="4" t="str">
        <f>IFERROR(__xludf.DUMMYFUNCTION("""COMPUTED_VALUE"""),"89")</f>
        <v>89</v>
      </c>
      <c r="C6031" s="5" t="str">
        <f>IFERROR(__xludf.DUMMYFUNCTION("""COMPUTED_VALUE"""),"https://drive.google.com/file/d/1IyJVFU-D1bDW6v-I_P2zI27BOpEWBdqX/view?usp=drivesdk")</f>
        <v>https://drive.google.com/file/d/1IyJVFU-D1bDW6v-I_P2zI27BOpEWBdqX/view?usp=drivesdk</v>
      </c>
      <c r="D6031" s="12"/>
      <c r="E6031" s="11">
        <v>6069.0</v>
      </c>
      <c r="F6031" s="2"/>
    </row>
    <row r="6032" ht="1.5" customHeight="1">
      <c r="A6032" s="4" t="str">
        <f>IFERROR(__xludf.DUMMYFUNCTION("""COMPUTED_VALUE"""),"89. Petal")</f>
        <v>89. Petal</v>
      </c>
      <c r="B6032" s="4" t="str">
        <f>IFERROR(__xludf.DUMMYFUNCTION("""COMPUTED_VALUE"""),"89")</f>
        <v>89</v>
      </c>
      <c r="C6032" s="5" t="str">
        <f>IFERROR(__xludf.DUMMYFUNCTION("""COMPUTED_VALUE"""),"https://drive.google.com/file/d/11srg1R8GBnTmCUKvCjfBUlD2lcPgn6Jv/view?usp=drivesdk")</f>
        <v>https://drive.google.com/file/d/11srg1R8GBnTmCUKvCjfBUlD2lcPgn6Jv/view?usp=drivesdk</v>
      </c>
      <c r="D6032" s="12"/>
      <c r="E6032" s="11">
        <v>6070.0</v>
      </c>
      <c r="F6032" s="2"/>
    </row>
    <row r="6033" ht="1.5" customHeight="1">
      <c r="A6033" s="4" t="str">
        <f>IFERROR(__xludf.DUMMYFUNCTION("""COMPUTED_VALUE"""),"89. Petal")</f>
        <v>89. Petal</v>
      </c>
      <c r="B6033" s="4" t="str">
        <f>IFERROR(__xludf.DUMMYFUNCTION("""COMPUTED_VALUE"""),"89")</f>
        <v>89</v>
      </c>
      <c r="C6033" s="5" t="str">
        <f>IFERROR(__xludf.DUMMYFUNCTION("""COMPUTED_VALUE"""),"https://drive.google.com/file/d/1I1ZJRLpAWehkOBFzkdebbybwpo9wCuy4/view?usp=drivesdk")</f>
        <v>https://drive.google.com/file/d/1I1ZJRLpAWehkOBFzkdebbybwpo9wCuy4/view?usp=drivesdk</v>
      </c>
      <c r="D6033" s="12"/>
      <c r="E6033" s="11">
        <v>6071.0</v>
      </c>
      <c r="F6033" s="2"/>
    </row>
    <row r="6034" ht="1.5" customHeight="1">
      <c r="A6034" s="4" t="str">
        <f>IFERROR(__xludf.DUMMYFUNCTION("""COMPUTED_VALUE"""),"89. Petal")</f>
        <v>89. Petal</v>
      </c>
      <c r="B6034" s="4" t="str">
        <f>IFERROR(__xludf.DUMMYFUNCTION("""COMPUTED_VALUE"""),"89")</f>
        <v>89</v>
      </c>
      <c r="C6034" s="5" t="str">
        <f>IFERROR(__xludf.DUMMYFUNCTION("""COMPUTED_VALUE"""),"https://drive.google.com/file/d/18Dh4K7AjHD__jTe3pLWPLtm2odxlj5MV/view?usp=drivesdk")</f>
        <v>https://drive.google.com/file/d/18Dh4K7AjHD__jTe3pLWPLtm2odxlj5MV/view?usp=drivesdk</v>
      </c>
      <c r="D6034" s="12"/>
      <c r="E6034" s="11">
        <v>6072.0</v>
      </c>
      <c r="F6034" s="2"/>
    </row>
    <row r="6035" ht="1.5" customHeight="1">
      <c r="A6035" s="4" t="str">
        <f>IFERROR(__xludf.DUMMYFUNCTION("""COMPUTED_VALUE"""),"89. Petal")</f>
        <v>89. Petal</v>
      </c>
      <c r="B6035" s="4" t="str">
        <f>IFERROR(__xludf.DUMMYFUNCTION("""COMPUTED_VALUE"""),"89")</f>
        <v>89</v>
      </c>
      <c r="C6035" s="5" t="str">
        <f>IFERROR(__xludf.DUMMYFUNCTION("""COMPUTED_VALUE"""),"https://drive.google.com/file/d/1kk7A8ncW5Xv78ho6tN5-xrcp_P5hA82e/view?usp=drivesdk")</f>
        <v>https://drive.google.com/file/d/1kk7A8ncW5Xv78ho6tN5-xrcp_P5hA82e/view?usp=drivesdk</v>
      </c>
      <c r="D6035" s="12"/>
      <c r="E6035" s="11">
        <v>6073.0</v>
      </c>
      <c r="F6035" s="2"/>
    </row>
    <row r="6036" ht="1.5" customHeight="1">
      <c r="A6036" s="4" t="str">
        <f>IFERROR(__xludf.DUMMYFUNCTION("""COMPUTED_VALUE"""),"89. Petal")</f>
        <v>89. Petal</v>
      </c>
      <c r="B6036" s="4" t="str">
        <f>IFERROR(__xludf.DUMMYFUNCTION("""COMPUTED_VALUE"""),"89")</f>
        <v>89</v>
      </c>
      <c r="C6036" s="5" t="str">
        <f>IFERROR(__xludf.DUMMYFUNCTION("""COMPUTED_VALUE"""),"https://drive.google.com/file/d/1pr1QFhtBSzQv7QwIAtE4eaV1KB99QXxl/view?usp=drivesdk")</f>
        <v>https://drive.google.com/file/d/1pr1QFhtBSzQv7QwIAtE4eaV1KB99QXxl/view?usp=drivesdk</v>
      </c>
      <c r="D6036" s="12"/>
      <c r="E6036" s="11">
        <v>6074.0</v>
      </c>
      <c r="F6036" s="2"/>
    </row>
    <row r="6037" ht="1.5" customHeight="1">
      <c r="A6037" s="4" t="str">
        <f>IFERROR(__xludf.DUMMYFUNCTION("""COMPUTED_VALUE"""),"89. Petal")</f>
        <v>89. Petal</v>
      </c>
      <c r="B6037" s="4" t="str">
        <f>IFERROR(__xludf.DUMMYFUNCTION("""COMPUTED_VALUE"""),"89")</f>
        <v>89</v>
      </c>
      <c r="C6037" s="5" t="str">
        <f>IFERROR(__xludf.DUMMYFUNCTION("""COMPUTED_VALUE"""),"https://drive.google.com/file/d/1a4N6ivqweABsxUVmr30XMSU8yz8nF9or/view?usp=drivesdk")</f>
        <v>https://drive.google.com/file/d/1a4N6ivqweABsxUVmr30XMSU8yz8nF9or/view?usp=drivesdk</v>
      </c>
      <c r="D6037" s="12"/>
      <c r="E6037" s="11">
        <v>6075.0</v>
      </c>
      <c r="F6037" s="2"/>
    </row>
    <row r="6038" ht="1.5" customHeight="1">
      <c r="A6038" s="4" t="str">
        <f>IFERROR(__xludf.DUMMYFUNCTION("""COMPUTED_VALUE"""),"101. Nori")</f>
        <v>101. Nori</v>
      </c>
      <c r="B6038" s="4" t="str">
        <f>IFERROR(__xludf.DUMMYFUNCTION("""COMPUTED_VALUE"""),"101")</f>
        <v>101</v>
      </c>
      <c r="C6038" s="5" t="str">
        <f>IFERROR(__xludf.DUMMYFUNCTION("""COMPUTED_VALUE"""),"https://drive.google.com/file/d/1D3_SvFV9YhnFzRyd6ccMJaLE6B4M1bjT/view?usp=drivesdk")</f>
        <v>https://drive.google.com/file/d/1D3_SvFV9YhnFzRyd6ccMJaLE6B4M1bjT/view?usp=drivesdk</v>
      </c>
      <c r="D6038" s="12"/>
      <c r="E6038" s="11">
        <v>6076.0</v>
      </c>
      <c r="F6038" s="2"/>
    </row>
    <row r="6039" ht="1.5" customHeight="1">
      <c r="A6039" s="4" t="str">
        <f>IFERROR(__xludf.DUMMYFUNCTION("""COMPUTED_VALUE"""),"101. Nori")</f>
        <v>101. Nori</v>
      </c>
      <c r="B6039" s="4" t="str">
        <f>IFERROR(__xludf.DUMMYFUNCTION("""COMPUTED_VALUE"""),"101")</f>
        <v>101</v>
      </c>
      <c r="C6039" s="5" t="str">
        <f>IFERROR(__xludf.DUMMYFUNCTION("""COMPUTED_VALUE"""),"https://drive.google.com/file/d/1gxsjcckjDx5o6WxaVCcM8OfyDjUbwzeO/view?usp=drivesdk")</f>
        <v>https://drive.google.com/file/d/1gxsjcckjDx5o6WxaVCcM8OfyDjUbwzeO/view?usp=drivesdk</v>
      </c>
      <c r="D6039" s="12"/>
      <c r="E6039" s="11">
        <v>6077.0</v>
      </c>
      <c r="F6039" s="2"/>
    </row>
    <row r="6040" ht="1.5" customHeight="1">
      <c r="A6040" s="4" t="str">
        <f>IFERROR(__xludf.DUMMYFUNCTION("""COMPUTED_VALUE"""),"101. Nori")</f>
        <v>101. Nori</v>
      </c>
      <c r="B6040" s="4" t="str">
        <f>IFERROR(__xludf.DUMMYFUNCTION("""COMPUTED_VALUE"""),"101")</f>
        <v>101</v>
      </c>
      <c r="C6040" s="5" t="str">
        <f>IFERROR(__xludf.DUMMYFUNCTION("""COMPUTED_VALUE"""),"https://drive.google.com/file/d/1GCzHa29_yoyDCuwMZnxopZlf00CEMA0T/view?usp=drivesdk")</f>
        <v>https://drive.google.com/file/d/1GCzHa29_yoyDCuwMZnxopZlf00CEMA0T/view?usp=drivesdk</v>
      </c>
      <c r="D6040" s="12"/>
      <c r="E6040" s="11">
        <v>6078.0</v>
      </c>
      <c r="F6040" s="2"/>
    </row>
    <row r="6041" ht="1.5" customHeight="1">
      <c r="A6041" s="4" t="str">
        <f>IFERROR(__xludf.DUMMYFUNCTION("""COMPUTED_VALUE"""),"101. Nori")</f>
        <v>101. Nori</v>
      </c>
      <c r="B6041" s="4" t="str">
        <f>IFERROR(__xludf.DUMMYFUNCTION("""COMPUTED_VALUE"""),"101")</f>
        <v>101</v>
      </c>
      <c r="C6041" s="5" t="str">
        <f>IFERROR(__xludf.DUMMYFUNCTION("""COMPUTED_VALUE"""),"https://drive.google.com/file/d/1yZGBTivGujq-KXdxj5ZLYwp5OUAko_RY/view?usp=drivesdk")</f>
        <v>https://drive.google.com/file/d/1yZGBTivGujq-KXdxj5ZLYwp5OUAko_RY/view?usp=drivesdk</v>
      </c>
      <c r="D6041" s="12"/>
      <c r="E6041" s="11">
        <v>6079.0</v>
      </c>
      <c r="F6041" s="2"/>
    </row>
    <row r="6042" ht="1.5" customHeight="1">
      <c r="A6042" s="4" t="str">
        <f>IFERROR(__xludf.DUMMYFUNCTION("""COMPUTED_VALUE"""),"101. Nori")</f>
        <v>101. Nori</v>
      </c>
      <c r="B6042" s="4" t="str">
        <f>IFERROR(__xludf.DUMMYFUNCTION("""COMPUTED_VALUE"""),"101")</f>
        <v>101</v>
      </c>
      <c r="C6042" s="5" t="str">
        <f>IFERROR(__xludf.DUMMYFUNCTION("""COMPUTED_VALUE"""),"https://drive.google.com/file/d/1Yr1_yu_e46RUunB_hmjqUvxGfvKK4nyj/view?usp=drivesdk")</f>
        <v>https://drive.google.com/file/d/1Yr1_yu_e46RUunB_hmjqUvxGfvKK4nyj/view?usp=drivesdk</v>
      </c>
      <c r="D6042" s="12"/>
      <c r="E6042" s="11">
        <v>6080.0</v>
      </c>
      <c r="F6042" s="2"/>
    </row>
    <row r="6043" ht="1.5" customHeight="1">
      <c r="A6043" s="4" t="str">
        <f>IFERROR(__xludf.DUMMYFUNCTION("""COMPUTED_VALUE"""),"89. Petal")</f>
        <v>89. Petal</v>
      </c>
      <c r="B6043" s="4" t="str">
        <f>IFERROR(__xludf.DUMMYFUNCTION("""COMPUTED_VALUE"""),"89")</f>
        <v>89</v>
      </c>
      <c r="C6043" s="5" t="str">
        <f>IFERROR(__xludf.DUMMYFUNCTION("""COMPUTED_VALUE"""),"https://drive.google.com/file/d/11E3seHbQBDtWjIwWUvbzdg3q17VaPpH0/view?usp=drivesdk")</f>
        <v>https://drive.google.com/file/d/11E3seHbQBDtWjIwWUvbzdg3q17VaPpH0/view?usp=drivesdk</v>
      </c>
      <c r="D6043" s="12"/>
      <c r="E6043" s="11">
        <v>6081.0</v>
      </c>
      <c r="F6043" s="2"/>
    </row>
    <row r="6044" ht="1.5" customHeight="1">
      <c r="A6044" s="4" t="str">
        <f>IFERROR(__xludf.DUMMYFUNCTION("""COMPUTED_VALUE"""),"89. Petal")</f>
        <v>89. Petal</v>
      </c>
      <c r="B6044" s="4" t="str">
        <f>IFERROR(__xludf.DUMMYFUNCTION("""COMPUTED_VALUE"""),"89")</f>
        <v>89</v>
      </c>
      <c r="C6044" s="5" t="str">
        <f>IFERROR(__xludf.DUMMYFUNCTION("""COMPUTED_VALUE"""),"https://drive.google.com/file/d/1glA0KPYMylcXojlEsKe-CaNLfGxjLJ9q/view?usp=drivesdk")</f>
        <v>https://drive.google.com/file/d/1glA0KPYMylcXojlEsKe-CaNLfGxjLJ9q/view?usp=drivesdk</v>
      </c>
      <c r="D6044" s="12"/>
      <c r="E6044" s="11">
        <v>6082.0</v>
      </c>
      <c r="F6044" s="2"/>
    </row>
    <row r="6045" ht="1.5" customHeight="1">
      <c r="A6045" s="4" t="str">
        <f>IFERROR(__xludf.DUMMYFUNCTION("""COMPUTED_VALUE"""),"89. Petal")</f>
        <v>89. Petal</v>
      </c>
      <c r="B6045" s="4" t="str">
        <f>IFERROR(__xludf.DUMMYFUNCTION("""COMPUTED_VALUE"""),"89")</f>
        <v>89</v>
      </c>
      <c r="C6045" s="5" t="str">
        <f>IFERROR(__xludf.DUMMYFUNCTION("""COMPUTED_VALUE"""),"https://drive.google.com/file/d/1dfcUrgUH9XCFWNVJux-v_4nElfwfMlP7/view?usp=drivesdk")</f>
        <v>https://drive.google.com/file/d/1dfcUrgUH9XCFWNVJux-v_4nElfwfMlP7/view?usp=drivesdk</v>
      </c>
      <c r="D6045" s="12"/>
      <c r="E6045" s="11">
        <v>6083.0</v>
      </c>
      <c r="F6045" s="2"/>
    </row>
    <row r="6046" ht="1.5" customHeight="1">
      <c r="A6046" s="4" t="str">
        <f>IFERROR(__xludf.DUMMYFUNCTION("""COMPUTED_VALUE"""),"89. Petal")</f>
        <v>89. Petal</v>
      </c>
      <c r="B6046" s="4" t="str">
        <f>IFERROR(__xludf.DUMMYFUNCTION("""COMPUTED_VALUE"""),"89")</f>
        <v>89</v>
      </c>
      <c r="C6046" s="5" t="str">
        <f>IFERROR(__xludf.DUMMYFUNCTION("""COMPUTED_VALUE"""),"https://drive.google.com/file/d/1wRHSZHPJfVCNkfr_jGPUq641fJgkB9aL/view?usp=drivesdk")</f>
        <v>https://drive.google.com/file/d/1wRHSZHPJfVCNkfr_jGPUq641fJgkB9aL/view?usp=drivesdk</v>
      </c>
      <c r="D6046" s="12"/>
      <c r="E6046" s="11">
        <v>6084.0</v>
      </c>
      <c r="F6046" s="2"/>
    </row>
    <row r="6047" ht="1.5" customHeight="1">
      <c r="A6047" s="4" t="str">
        <f>IFERROR(__xludf.DUMMYFUNCTION("""COMPUTED_VALUE"""),"89. Petal")</f>
        <v>89. Petal</v>
      </c>
      <c r="B6047" s="4" t="str">
        <f>IFERROR(__xludf.DUMMYFUNCTION("""COMPUTED_VALUE"""),"89")</f>
        <v>89</v>
      </c>
      <c r="C6047" s="5" t="str">
        <f>IFERROR(__xludf.DUMMYFUNCTION("""COMPUTED_VALUE"""),"https://drive.google.com/file/d/1F69REyesi--UTD47cSX5kp2FNHuPgWK3/view?usp=drivesdk")</f>
        <v>https://drive.google.com/file/d/1F69REyesi--UTD47cSX5kp2FNHuPgWK3/view?usp=drivesdk</v>
      </c>
      <c r="D6047" s="12"/>
      <c r="E6047" s="11">
        <v>6085.0</v>
      </c>
      <c r="F6047" s="2"/>
    </row>
    <row r="6048" ht="1.5" customHeight="1">
      <c r="A6048" s="4" t="str">
        <f>IFERROR(__xludf.DUMMYFUNCTION("""COMPUTED_VALUE"""),"89. Petal")</f>
        <v>89. Petal</v>
      </c>
      <c r="B6048" s="4" t="str">
        <f>IFERROR(__xludf.DUMMYFUNCTION("""COMPUTED_VALUE"""),"89")</f>
        <v>89</v>
      </c>
      <c r="C6048" s="5" t="str">
        <f>IFERROR(__xludf.DUMMYFUNCTION("""COMPUTED_VALUE"""),"https://drive.google.com/file/d/1xboj29cTftuYPYQz-76Kl7185qbc0lvX/view?usp=drivesdk")</f>
        <v>https://drive.google.com/file/d/1xboj29cTftuYPYQz-76Kl7185qbc0lvX/view?usp=drivesdk</v>
      </c>
      <c r="D6048" s="12"/>
      <c r="E6048" s="11">
        <v>6086.0</v>
      </c>
      <c r="F6048" s="2"/>
    </row>
    <row r="6049" ht="1.5" customHeight="1">
      <c r="A6049" s="4" t="str">
        <f>IFERROR(__xludf.DUMMYFUNCTION("""COMPUTED_VALUE"""),"89. Petal")</f>
        <v>89. Petal</v>
      </c>
      <c r="B6049" s="4" t="str">
        <f>IFERROR(__xludf.DUMMYFUNCTION("""COMPUTED_VALUE"""),"89")</f>
        <v>89</v>
      </c>
      <c r="C6049" s="5" t="str">
        <f>IFERROR(__xludf.DUMMYFUNCTION("""COMPUTED_VALUE"""),"https://drive.google.com/file/d/1YpYKbSllfStQJQ88DrLBsTttekJ_7l8b/view?usp=drivesdk")</f>
        <v>https://drive.google.com/file/d/1YpYKbSllfStQJQ88DrLBsTttekJ_7l8b/view?usp=drivesdk</v>
      </c>
      <c r="D6049" s="12"/>
      <c r="E6049" s="11">
        <v>6087.0</v>
      </c>
      <c r="F6049" s="2"/>
    </row>
    <row r="6050" ht="1.5" customHeight="1">
      <c r="A6050" s="4" t="str">
        <f>IFERROR(__xludf.DUMMYFUNCTION("""COMPUTED_VALUE"""),"89. Petal")</f>
        <v>89. Petal</v>
      </c>
      <c r="B6050" s="4" t="str">
        <f>IFERROR(__xludf.DUMMYFUNCTION("""COMPUTED_VALUE"""),"89")</f>
        <v>89</v>
      </c>
      <c r="C6050" s="5" t="str">
        <f>IFERROR(__xludf.DUMMYFUNCTION("""COMPUTED_VALUE"""),"https://drive.google.com/file/d/1M9840Uwn47ziVq2Opxbz3fIYKI16iqNh/view?usp=drivesdk")</f>
        <v>https://drive.google.com/file/d/1M9840Uwn47ziVq2Opxbz3fIYKI16iqNh/view?usp=drivesdk</v>
      </c>
      <c r="D6050" s="12"/>
      <c r="E6050" s="11">
        <v>6088.0</v>
      </c>
      <c r="F6050" s="2"/>
    </row>
    <row r="6051" ht="1.5" customHeight="1">
      <c r="A6051" s="4" t="str">
        <f>IFERROR(__xludf.DUMMYFUNCTION("""COMPUTED_VALUE"""),"89. Petal")</f>
        <v>89. Petal</v>
      </c>
      <c r="B6051" s="4" t="str">
        <f>IFERROR(__xludf.DUMMYFUNCTION("""COMPUTED_VALUE"""),"89")</f>
        <v>89</v>
      </c>
      <c r="C6051" s="5" t="str">
        <f>IFERROR(__xludf.DUMMYFUNCTION("""COMPUTED_VALUE"""),"https://drive.google.com/file/d/1KJD-VhOshIpUAPy6i3YeJMps-Ez0SSsg/view?usp=drivesdk")</f>
        <v>https://drive.google.com/file/d/1KJD-VhOshIpUAPy6i3YeJMps-Ez0SSsg/view?usp=drivesdk</v>
      </c>
      <c r="D6051" s="12"/>
      <c r="E6051" s="11">
        <v>6089.0</v>
      </c>
      <c r="F6051" s="2"/>
    </row>
    <row r="6052" ht="1.5" customHeight="1">
      <c r="A6052" s="4" t="str">
        <f>IFERROR(__xludf.DUMMYFUNCTION("""COMPUTED_VALUE"""),"93. Meatball")</f>
        <v>93. Meatball</v>
      </c>
      <c r="B6052" s="4" t="str">
        <f>IFERROR(__xludf.DUMMYFUNCTION("""COMPUTED_VALUE"""),"93")</f>
        <v>93</v>
      </c>
      <c r="C6052" s="5" t="str">
        <f>IFERROR(__xludf.DUMMYFUNCTION("""COMPUTED_VALUE"""),"https://drive.google.com/file/d/14BLh8t3nWM8_vz9AE_ewOPPwjfGCw2ry/view?usp=drivesdk")</f>
        <v>https://drive.google.com/file/d/14BLh8t3nWM8_vz9AE_ewOPPwjfGCw2ry/view?usp=drivesdk</v>
      </c>
      <c r="D6052" s="12"/>
      <c r="E6052" s="11">
        <v>6090.0</v>
      </c>
      <c r="F6052" s="2"/>
    </row>
    <row r="6053" ht="1.5" customHeight="1">
      <c r="A6053" s="4" t="str">
        <f>IFERROR(__xludf.DUMMYFUNCTION("""COMPUTED_VALUE"""),"111. Mayatl, 106. Ami")</f>
        <v>111. Mayatl, 106. Ami</v>
      </c>
      <c r="B6053" s="4" t="str">
        <f>IFERROR(__xludf.DUMMYFUNCTION("""COMPUTED_VALUE"""),"111, 106")</f>
        <v>111, 106</v>
      </c>
      <c r="C6053" s="5" t="str">
        <f>IFERROR(__xludf.DUMMYFUNCTION("""COMPUTED_VALUE"""),"https://drive.google.com/file/d/1fh5FP-e4_vpwex9Xpr1WP2o1fcumV4VB/view?usp=drivesdk")</f>
        <v>https://drive.google.com/file/d/1fh5FP-e4_vpwex9Xpr1WP2o1fcumV4VB/view?usp=drivesdk</v>
      </c>
      <c r="D6053" s="12"/>
      <c r="E6053" s="11">
        <v>6091.0</v>
      </c>
      <c r="F6053" s="2"/>
    </row>
    <row r="6054" ht="1.5" customHeight="1">
      <c r="A6054" s="4" t="str">
        <f>IFERROR(__xludf.DUMMYFUNCTION("""COMPUTED_VALUE"""),"0. NotACat")</f>
        <v>0. NotACat</v>
      </c>
      <c r="B6054" s="4" t="str">
        <f>IFERROR(__xludf.DUMMYFUNCTION("""COMPUTED_VALUE"""),"0")</f>
        <v>0</v>
      </c>
      <c r="C6054" s="5" t="str">
        <f>IFERROR(__xludf.DUMMYFUNCTION("""COMPUTED_VALUE"""),"https://drive.google.com/file/d/1S6fiTROkjtRM9egtnXiatn7i0SkJAO7Q/view?usp=drivesdk")</f>
        <v>https://drive.google.com/file/d/1S6fiTROkjtRM9egtnXiatn7i0SkJAO7Q/view?usp=drivesdk</v>
      </c>
      <c r="D6054" s="12"/>
      <c r="E6054" s="11">
        <v>6092.0</v>
      </c>
      <c r="F6054" s="2"/>
    </row>
    <row r="6055" ht="1.5" customHeight="1">
      <c r="A6055" s="4" t="str">
        <f>IFERROR(__xludf.DUMMYFUNCTION("""COMPUTED_VALUE"""),"115. Toothless")</f>
        <v>115. Toothless</v>
      </c>
      <c r="B6055" s="4" t="str">
        <f>IFERROR(__xludf.DUMMYFUNCTION("""COMPUTED_VALUE"""),"115")</f>
        <v>115</v>
      </c>
      <c r="C6055" s="5" t="str">
        <f>IFERROR(__xludf.DUMMYFUNCTION("""COMPUTED_VALUE"""),"https://drive.google.com/file/d/10jv1mDry3ecJ0nS_beSHBC7PI6n11UrR/view?usp=drivesdk")</f>
        <v>https://drive.google.com/file/d/10jv1mDry3ecJ0nS_beSHBC7PI6n11UrR/view?usp=drivesdk</v>
      </c>
      <c r="D6055" s="12"/>
      <c r="E6055" s="11">
        <v>6093.0</v>
      </c>
      <c r="F6055" s="2"/>
    </row>
    <row r="6056" ht="1.5" customHeight="1">
      <c r="A6056" s="4" t="str">
        <f>IFERROR(__xludf.DUMMYFUNCTION("""COMPUTED_VALUE"""),"115. Toothless")</f>
        <v>115. Toothless</v>
      </c>
      <c r="B6056" s="4" t="str">
        <f>IFERROR(__xludf.DUMMYFUNCTION("""COMPUTED_VALUE"""),"115")</f>
        <v>115</v>
      </c>
      <c r="C6056" s="5" t="str">
        <f>IFERROR(__xludf.DUMMYFUNCTION("""COMPUTED_VALUE"""),"https://drive.google.com/file/d/1SEDYy4CsRFgVQvJBf3fdbOjoGTpggf9t/view?usp=drivesdk")</f>
        <v>https://drive.google.com/file/d/1SEDYy4CsRFgVQvJBf3fdbOjoGTpggf9t/view?usp=drivesdk</v>
      </c>
      <c r="D6056" s="12"/>
      <c r="E6056" s="11">
        <v>6094.0</v>
      </c>
      <c r="F6056" s="2"/>
    </row>
    <row r="6057" ht="1.5" customHeight="1">
      <c r="A6057" s="4" t="str">
        <f>IFERROR(__xludf.DUMMYFUNCTION("""COMPUTED_VALUE"""),"115. Toothless")</f>
        <v>115. Toothless</v>
      </c>
      <c r="B6057" s="4" t="str">
        <f>IFERROR(__xludf.DUMMYFUNCTION("""COMPUTED_VALUE"""),"115")</f>
        <v>115</v>
      </c>
      <c r="C6057" s="5" t="str">
        <f>IFERROR(__xludf.DUMMYFUNCTION("""COMPUTED_VALUE"""),"https://drive.google.com/file/d/1QkyUCumQP8yGjQGatMriXm8iY0IEiKFR/view?usp=drivesdk")</f>
        <v>https://drive.google.com/file/d/1QkyUCumQP8yGjQGatMriXm8iY0IEiKFR/view?usp=drivesdk</v>
      </c>
      <c r="D6057" s="12"/>
      <c r="E6057" s="11">
        <v>6095.0</v>
      </c>
      <c r="F6057" s="2"/>
    </row>
    <row r="6058" ht="1.5" customHeight="1">
      <c r="A6058" s="4" t="str">
        <f>IFERROR(__xludf.DUMMYFUNCTION("""COMPUTED_VALUE"""),"115. Toothless")</f>
        <v>115. Toothless</v>
      </c>
      <c r="B6058" s="4" t="str">
        <f>IFERROR(__xludf.DUMMYFUNCTION("""COMPUTED_VALUE"""),"115")</f>
        <v>115</v>
      </c>
      <c r="C6058" s="5" t="str">
        <f>IFERROR(__xludf.DUMMYFUNCTION("""COMPUTED_VALUE"""),"https://drive.google.com/file/d/1K5LxAAwJykGcCnyLKQkIL7GHWIoHLjbC/view?usp=drivesdk")</f>
        <v>https://drive.google.com/file/d/1K5LxAAwJykGcCnyLKQkIL7GHWIoHLjbC/view?usp=drivesdk</v>
      </c>
      <c r="D6058" s="12"/>
      <c r="E6058" s="11">
        <v>6096.0</v>
      </c>
      <c r="F6058" s="2"/>
    </row>
    <row r="6059" ht="1.5" customHeight="1">
      <c r="A6059" s="4" t="str">
        <f>IFERROR(__xludf.DUMMYFUNCTION("""COMPUTED_VALUE"""),"1. Microwave")</f>
        <v>1. Microwave</v>
      </c>
      <c r="B6059" s="4" t="str">
        <f>IFERROR(__xludf.DUMMYFUNCTION("""COMPUTED_VALUE"""),"1")</f>
        <v>1</v>
      </c>
      <c r="C6059" s="5" t="str">
        <f>IFERROR(__xludf.DUMMYFUNCTION("""COMPUTED_VALUE"""),"https://drive.google.com/file/d/1xovF907zSPmF5CvJgTEuB7PrpAHMXwqI/view?usp=drivesdk")</f>
        <v>https://drive.google.com/file/d/1xovF907zSPmF5CvJgTEuB7PrpAHMXwqI/view?usp=drivesdk</v>
      </c>
      <c r="D6059" s="12"/>
      <c r="E6059" s="11">
        <v>6097.0</v>
      </c>
      <c r="F6059" s="2"/>
    </row>
    <row r="6060" ht="1.5" customHeight="1">
      <c r="A6060" s="4" t="str">
        <f>IFERROR(__xludf.DUMMYFUNCTION("""COMPUTED_VALUE"""),"1. Microwave")</f>
        <v>1. Microwave</v>
      </c>
      <c r="B6060" s="4" t="str">
        <f>IFERROR(__xludf.DUMMYFUNCTION("""COMPUTED_VALUE"""),"1")</f>
        <v>1</v>
      </c>
      <c r="C6060" s="5" t="str">
        <f>IFERROR(__xludf.DUMMYFUNCTION("""COMPUTED_VALUE"""),"https://drive.google.com/file/d/1SBKQ0RASofpuxFzXCElibpeonp_O9fAI/view?usp=drivesdk")</f>
        <v>https://drive.google.com/file/d/1SBKQ0RASofpuxFzXCElibpeonp_O9fAI/view?usp=drivesdk</v>
      </c>
      <c r="D6060" s="12"/>
      <c r="E6060" s="11">
        <v>6098.0</v>
      </c>
      <c r="F6060" s="2"/>
    </row>
    <row r="6061" ht="1.5" customHeight="1">
      <c r="A6061" s="4" t="str">
        <f>IFERROR(__xludf.DUMMYFUNCTION("""COMPUTED_VALUE"""),"1. Microwave")</f>
        <v>1. Microwave</v>
      </c>
      <c r="B6061" s="4" t="str">
        <f>IFERROR(__xludf.DUMMYFUNCTION("""COMPUTED_VALUE"""),"1")</f>
        <v>1</v>
      </c>
      <c r="C6061" s="5" t="str">
        <f>IFERROR(__xludf.DUMMYFUNCTION("""COMPUTED_VALUE"""),"https://drive.google.com/file/d/115nieGMsGLxchnDtHcF-Y0hD4ZHbLoyq/view?usp=drivesdk")</f>
        <v>https://drive.google.com/file/d/115nieGMsGLxchnDtHcF-Y0hD4ZHbLoyq/view?usp=drivesdk</v>
      </c>
      <c r="D6061" s="12"/>
      <c r="E6061" s="11">
        <v>6099.0</v>
      </c>
      <c r="F6061" s="2"/>
    </row>
    <row r="6062" ht="1.5" customHeight="1">
      <c r="A6062" s="4" t="str">
        <f>IFERROR(__xludf.DUMMYFUNCTION("""COMPUTED_VALUE"""),"1. Microwave")</f>
        <v>1. Microwave</v>
      </c>
      <c r="B6062" s="4" t="str">
        <f>IFERROR(__xludf.DUMMYFUNCTION("""COMPUTED_VALUE"""),"1")</f>
        <v>1</v>
      </c>
      <c r="C6062" s="5" t="str">
        <f>IFERROR(__xludf.DUMMYFUNCTION("""COMPUTED_VALUE"""),"https://drive.google.com/file/d/1XqacnzjIvE-9BIUt18y14UGRUUvDV5nF/view?usp=drivesdk")</f>
        <v>https://drive.google.com/file/d/1XqacnzjIvE-9BIUt18y14UGRUUvDV5nF/view?usp=drivesdk</v>
      </c>
      <c r="D6062" s="12"/>
      <c r="E6062" s="11">
        <v>6100.0</v>
      </c>
      <c r="F6062" s="2"/>
    </row>
    <row r="6063" ht="1.5" customHeight="1">
      <c r="A6063" s="4" t="str">
        <f>IFERROR(__xludf.DUMMYFUNCTION("""COMPUTED_VALUE"""),"1. Microwave")</f>
        <v>1. Microwave</v>
      </c>
      <c r="B6063" s="4" t="str">
        <f>IFERROR(__xludf.DUMMYFUNCTION("""COMPUTED_VALUE"""),"1")</f>
        <v>1</v>
      </c>
      <c r="C6063" s="5" t="str">
        <f>IFERROR(__xludf.DUMMYFUNCTION("""COMPUTED_VALUE"""),"https://drive.google.com/file/d/1LHWccB9h3_i2pvwLAJ-B0ZqCaKDCjB_e/view?usp=drivesdk")</f>
        <v>https://drive.google.com/file/d/1LHWccB9h3_i2pvwLAJ-B0ZqCaKDCjB_e/view?usp=drivesdk</v>
      </c>
      <c r="D6063" s="12"/>
      <c r="E6063" s="11">
        <v>6101.0</v>
      </c>
      <c r="F6063" s="2"/>
    </row>
    <row r="6064" ht="1.5" customHeight="1">
      <c r="A6064" s="4" t="str">
        <f>IFERROR(__xludf.DUMMYFUNCTION("""COMPUTED_VALUE"""),"1. Microwave")</f>
        <v>1. Microwave</v>
      </c>
      <c r="B6064" s="4" t="str">
        <f>IFERROR(__xludf.DUMMYFUNCTION("""COMPUTED_VALUE"""),"1")</f>
        <v>1</v>
      </c>
      <c r="C6064" s="5" t="str">
        <f>IFERROR(__xludf.DUMMYFUNCTION("""COMPUTED_VALUE"""),"https://drive.google.com/file/d/1k8g-uxZf4rnZdEqczU_qX6QBcmncwbfA/view?usp=drivesdk")</f>
        <v>https://drive.google.com/file/d/1k8g-uxZf4rnZdEqczU_qX6QBcmncwbfA/view?usp=drivesdk</v>
      </c>
      <c r="D6064" s="12"/>
      <c r="E6064" s="11">
        <v>6102.0</v>
      </c>
      <c r="F6064" s="2"/>
    </row>
    <row r="6065" ht="1.5" customHeight="1">
      <c r="A6065" s="4" t="str">
        <f>IFERROR(__xludf.DUMMYFUNCTION("""COMPUTED_VALUE"""),"1. Microwave")</f>
        <v>1. Microwave</v>
      </c>
      <c r="B6065" s="4" t="str">
        <f>IFERROR(__xludf.DUMMYFUNCTION("""COMPUTED_VALUE"""),"1")</f>
        <v>1</v>
      </c>
      <c r="C6065" s="5" t="str">
        <f>IFERROR(__xludf.DUMMYFUNCTION("""COMPUTED_VALUE"""),"https://drive.google.com/file/d/1zikS2fcGzAlj_WJFrT4Vzt2yujfHWPpC/view?usp=drivesdk")</f>
        <v>https://drive.google.com/file/d/1zikS2fcGzAlj_WJFrT4Vzt2yujfHWPpC/view?usp=drivesdk</v>
      </c>
      <c r="D6065" s="12"/>
      <c r="E6065" s="11">
        <v>6103.0</v>
      </c>
      <c r="F6065" s="2"/>
    </row>
    <row r="6066" ht="1.5" customHeight="1">
      <c r="A6066" s="4" t="str">
        <f>IFERROR(__xludf.DUMMYFUNCTION("""COMPUTED_VALUE"""),"1. Microwave")</f>
        <v>1. Microwave</v>
      </c>
      <c r="B6066" s="4" t="str">
        <f>IFERROR(__xludf.DUMMYFUNCTION("""COMPUTED_VALUE"""),"1")</f>
        <v>1</v>
      </c>
      <c r="C6066" s="5" t="str">
        <f>IFERROR(__xludf.DUMMYFUNCTION("""COMPUTED_VALUE"""),"https://drive.google.com/file/d/1MawrTMQpmvgW9gvGpKMv936Dk3tVZxHW/view?usp=drivesdk")</f>
        <v>https://drive.google.com/file/d/1MawrTMQpmvgW9gvGpKMv936Dk3tVZxHW/view?usp=drivesdk</v>
      </c>
      <c r="D6066" s="12"/>
      <c r="E6066" s="11">
        <v>6104.0</v>
      </c>
      <c r="F6066" s="2"/>
    </row>
    <row r="6067" ht="1.5" customHeight="1">
      <c r="A6067" s="4" t="str">
        <f>IFERROR(__xludf.DUMMYFUNCTION("""COMPUTED_VALUE"""),"1. Microwave")</f>
        <v>1. Microwave</v>
      </c>
      <c r="B6067" s="4" t="str">
        <f>IFERROR(__xludf.DUMMYFUNCTION("""COMPUTED_VALUE"""),"1")</f>
        <v>1</v>
      </c>
      <c r="C6067" s="5" t="str">
        <f>IFERROR(__xludf.DUMMYFUNCTION("""COMPUTED_VALUE"""),"https://drive.google.com/file/d/1gyPX3qcy73gGEvt2uptFRhhz49XeY76d/view?usp=drivesdk")</f>
        <v>https://drive.google.com/file/d/1gyPX3qcy73gGEvt2uptFRhhz49XeY76d/view?usp=drivesdk</v>
      </c>
      <c r="D6067" s="12"/>
      <c r="E6067" s="11">
        <v>6105.0</v>
      </c>
      <c r="F6067" s="2"/>
    </row>
    <row r="6068" ht="1.5" customHeight="1">
      <c r="A6068" s="4" t="str">
        <f>IFERROR(__xludf.DUMMYFUNCTION("""COMPUTED_VALUE"""),"1. Microwave")</f>
        <v>1. Microwave</v>
      </c>
      <c r="B6068" s="4" t="str">
        <f>IFERROR(__xludf.DUMMYFUNCTION("""COMPUTED_VALUE"""),"1")</f>
        <v>1</v>
      </c>
      <c r="C6068" s="5" t="str">
        <f>IFERROR(__xludf.DUMMYFUNCTION("""COMPUTED_VALUE"""),"https://drive.google.com/file/d/18q4dbRIeHRYuL9gNwC6FQCk-vOnrstWw/view?usp=drivesdk")</f>
        <v>https://drive.google.com/file/d/18q4dbRIeHRYuL9gNwC6FQCk-vOnrstWw/view?usp=drivesdk</v>
      </c>
      <c r="D6068" s="12"/>
      <c r="E6068" s="11">
        <v>6106.0</v>
      </c>
      <c r="F6068" s="2"/>
    </row>
    <row r="6069" ht="1.5" customHeight="1">
      <c r="A6069" s="4" t="str">
        <f>IFERROR(__xludf.DUMMYFUNCTION("""COMPUTED_VALUE"""),"0. NotACat")</f>
        <v>0. NotACat</v>
      </c>
      <c r="B6069" s="4" t="str">
        <f>IFERROR(__xludf.DUMMYFUNCTION("""COMPUTED_VALUE"""),"0")</f>
        <v>0</v>
      </c>
      <c r="C6069" s="5" t="str">
        <f>IFERROR(__xludf.DUMMYFUNCTION("""COMPUTED_VALUE"""),"https://drive.google.com/file/d/1HYgLN6Jgq2T0Lk0IStt8ne7xm6bMPHqN/view?usp=drivesdk")</f>
        <v>https://drive.google.com/file/d/1HYgLN6Jgq2T0Lk0IStt8ne7xm6bMPHqN/view?usp=drivesdk</v>
      </c>
      <c r="D6069" s="12"/>
      <c r="E6069" s="11">
        <v>6107.0</v>
      </c>
      <c r="F6069" s="2"/>
    </row>
    <row r="6070" ht="1.5" customHeight="1">
      <c r="A6070" s="4" t="str">
        <f>IFERROR(__xludf.DUMMYFUNCTION("""COMPUTED_VALUE"""),"48. Houdini, 27. Angel, 29. Ginger")</f>
        <v>48. Houdini, 27. Angel, 29. Ginger</v>
      </c>
      <c r="B6070" s="4" t="str">
        <f>IFERROR(__xludf.DUMMYFUNCTION("""COMPUTED_VALUE"""),"48, 27, 29")</f>
        <v>48, 27, 29</v>
      </c>
      <c r="C6070" s="5" t="str">
        <f>IFERROR(__xludf.DUMMYFUNCTION("""COMPUTED_VALUE"""),"https://drive.google.com/file/d/1oJqp8bd8bQHshrE51aOOlB5KvSnu9CBe/view?usp=drivesdk")</f>
        <v>https://drive.google.com/file/d/1oJqp8bd8bQHshrE51aOOlB5KvSnu9CBe/view?usp=drivesdk</v>
      </c>
      <c r="D6070" s="12"/>
      <c r="E6070" s="11">
        <v>6108.0</v>
      </c>
      <c r="F6070" s="2"/>
    </row>
    <row r="6071" ht="1.5" customHeight="1">
      <c r="A6071" s="4" t="str">
        <f>IFERROR(__xludf.DUMMYFUNCTION("""COMPUTED_VALUE"""),"1. Microwave")</f>
        <v>1. Microwave</v>
      </c>
      <c r="B6071" s="4" t="str">
        <f>IFERROR(__xludf.DUMMYFUNCTION("""COMPUTED_VALUE"""),"1")</f>
        <v>1</v>
      </c>
      <c r="C6071" s="5" t="str">
        <f>IFERROR(__xludf.DUMMYFUNCTION("""COMPUTED_VALUE"""),"https://drive.google.com/file/d/1m6ng7MXIhzi3hu7iuRFXjMXGr5FxDT9X/view?usp=drivesdk")</f>
        <v>https://drive.google.com/file/d/1m6ng7MXIhzi3hu7iuRFXjMXGr5FxDT9X/view?usp=drivesdk</v>
      </c>
      <c r="D6071" s="12"/>
      <c r="E6071" s="11">
        <v>6109.0</v>
      </c>
      <c r="F6071" s="2"/>
    </row>
    <row r="6072" ht="1.5" customHeight="1">
      <c r="A6072" s="4" t="str">
        <f>IFERROR(__xludf.DUMMYFUNCTION("""COMPUTED_VALUE"""),"0. NotACat")</f>
        <v>0. NotACat</v>
      </c>
      <c r="B6072" s="4" t="str">
        <f>IFERROR(__xludf.DUMMYFUNCTION("""COMPUTED_VALUE"""),"0")</f>
        <v>0</v>
      </c>
      <c r="C6072" s="5" t="str">
        <f>IFERROR(__xludf.DUMMYFUNCTION("""COMPUTED_VALUE"""),"https://drive.google.com/file/d/13TDkCfvTkezrjtVnoAQ5LaVxl8Z0d9mm/view?usp=drivesdk")</f>
        <v>https://drive.google.com/file/d/13TDkCfvTkezrjtVnoAQ5LaVxl8Z0d9mm/view?usp=drivesdk</v>
      </c>
      <c r="D6072" s="12"/>
      <c r="E6072" s="11">
        <v>6115.0</v>
      </c>
      <c r="F6072" s="2"/>
    </row>
    <row r="6073" ht="1.5" customHeight="1">
      <c r="A6073" s="4" t="str">
        <f>IFERROR(__xludf.DUMMYFUNCTION("""COMPUTED_VALUE"""),"90. Chimichanga")</f>
        <v>90. Chimichanga</v>
      </c>
      <c r="B6073" s="4" t="str">
        <f>IFERROR(__xludf.DUMMYFUNCTION("""COMPUTED_VALUE"""),"90")</f>
        <v>90</v>
      </c>
      <c r="C6073" s="5" t="str">
        <f>IFERROR(__xludf.DUMMYFUNCTION("""COMPUTED_VALUE"""),"https://drive.google.com/file/d/1dvuWtDtzlaJd5ysxXs16M3V5fJsD4Nvp/view?usp=drivesdk")</f>
        <v>https://drive.google.com/file/d/1dvuWtDtzlaJd5ysxXs16M3V5fJsD4Nvp/view?usp=drivesdk</v>
      </c>
      <c r="D6073" s="12"/>
      <c r="E6073" s="11">
        <v>6116.0</v>
      </c>
      <c r="F6073" s="2"/>
    </row>
    <row r="6074" ht="1.5" customHeight="1">
      <c r="A6074" s="4" t="str">
        <f>IFERROR(__xludf.DUMMYFUNCTION("""COMPUTED_VALUE"""),"90. Chimichanga")</f>
        <v>90. Chimichanga</v>
      </c>
      <c r="B6074" s="4" t="str">
        <f>IFERROR(__xludf.DUMMYFUNCTION("""COMPUTED_VALUE"""),"90")</f>
        <v>90</v>
      </c>
      <c r="C6074" s="5" t="str">
        <f>IFERROR(__xludf.DUMMYFUNCTION("""COMPUTED_VALUE"""),"https://drive.google.com/file/d/1L3NXCvAEo8R9s5B8yNXfap6eJoyK9p7A/view?usp=drivesdk")</f>
        <v>https://drive.google.com/file/d/1L3NXCvAEo8R9s5B8yNXfap6eJoyK9p7A/view?usp=drivesdk</v>
      </c>
      <c r="D6074" s="12"/>
      <c r="E6074" s="11">
        <v>6117.0</v>
      </c>
      <c r="F6074" s="2"/>
    </row>
    <row r="6075" ht="1.5" customHeight="1">
      <c r="A6075" s="4" t="str">
        <f>IFERROR(__xludf.DUMMYFUNCTION("""COMPUTED_VALUE"""),"90. Chimichanga")</f>
        <v>90. Chimichanga</v>
      </c>
      <c r="B6075" s="4" t="str">
        <f>IFERROR(__xludf.DUMMYFUNCTION("""COMPUTED_VALUE"""),"90")</f>
        <v>90</v>
      </c>
      <c r="C6075" s="5" t="str">
        <f>IFERROR(__xludf.DUMMYFUNCTION("""COMPUTED_VALUE"""),"https://drive.google.com/file/d/1lvDyezjTn35oVRlp3_z9zb1GP4efNQZz/view?usp=drivesdk")</f>
        <v>https://drive.google.com/file/d/1lvDyezjTn35oVRlp3_z9zb1GP4efNQZz/view?usp=drivesdk</v>
      </c>
      <c r="D6075" s="12"/>
      <c r="E6075" s="11">
        <v>6118.0</v>
      </c>
      <c r="F6075" s="2"/>
    </row>
    <row r="6076" ht="1.5" customHeight="1">
      <c r="A6076" s="4" t="str">
        <f>IFERROR(__xludf.DUMMYFUNCTION("""COMPUTED_VALUE"""),"90. Chimichanga")</f>
        <v>90. Chimichanga</v>
      </c>
      <c r="B6076" s="4" t="str">
        <f>IFERROR(__xludf.DUMMYFUNCTION("""COMPUTED_VALUE"""),"90")</f>
        <v>90</v>
      </c>
      <c r="C6076" s="5" t="str">
        <f>IFERROR(__xludf.DUMMYFUNCTION("""COMPUTED_VALUE"""),"https://drive.google.com/file/d/1CN70TaVncehQS5uJp5rnN7dP2FsPgAIR/view?usp=drivesdk")</f>
        <v>https://drive.google.com/file/d/1CN70TaVncehQS5uJp5rnN7dP2FsPgAIR/view?usp=drivesdk</v>
      </c>
      <c r="D6076" s="12"/>
      <c r="E6076" s="11">
        <v>6119.0</v>
      </c>
      <c r="F6076" s="2"/>
    </row>
    <row r="6077" ht="1.5" customHeight="1">
      <c r="A6077" s="4" t="str">
        <f>IFERROR(__xludf.DUMMYFUNCTION("""COMPUTED_VALUE"""),"90. Chimichanga")</f>
        <v>90. Chimichanga</v>
      </c>
      <c r="B6077" s="4" t="str">
        <f>IFERROR(__xludf.DUMMYFUNCTION("""COMPUTED_VALUE"""),"90")</f>
        <v>90</v>
      </c>
      <c r="C6077" s="5" t="str">
        <f>IFERROR(__xludf.DUMMYFUNCTION("""COMPUTED_VALUE"""),"https://drive.google.com/file/d/1b3C65SRnduuJlhdUR4BwoijlA584zSR9/view?usp=drivesdk")</f>
        <v>https://drive.google.com/file/d/1b3C65SRnduuJlhdUR4BwoijlA584zSR9/view?usp=drivesdk</v>
      </c>
      <c r="D6077" s="12"/>
      <c r="E6077" s="11">
        <v>6120.0</v>
      </c>
      <c r="F6077" s="2"/>
    </row>
    <row r="6078" ht="1.5" customHeight="1">
      <c r="A6078" s="4" t="str">
        <f>IFERROR(__xludf.DUMMYFUNCTION("""COMPUTED_VALUE"""),"90. Chimichanga")</f>
        <v>90. Chimichanga</v>
      </c>
      <c r="B6078" s="4" t="str">
        <f>IFERROR(__xludf.DUMMYFUNCTION("""COMPUTED_VALUE"""),"90")</f>
        <v>90</v>
      </c>
      <c r="C6078" s="5" t="str">
        <f>IFERROR(__xludf.DUMMYFUNCTION("""COMPUTED_VALUE"""),"https://drive.google.com/file/d/17dKqcJXFLQr_eWI3voqAlxYGqASEXAh7/view?usp=drivesdk")</f>
        <v>https://drive.google.com/file/d/17dKqcJXFLQr_eWI3voqAlxYGqASEXAh7/view?usp=drivesdk</v>
      </c>
      <c r="D6078" s="12"/>
      <c r="E6078" s="11">
        <v>6121.0</v>
      </c>
      <c r="F6078" s="2"/>
    </row>
    <row r="6079" ht="1.5" customHeight="1">
      <c r="A6079" s="4" t="str">
        <f>IFERROR(__xludf.DUMMYFUNCTION("""COMPUTED_VALUE"""),"90. Chimichanga")</f>
        <v>90. Chimichanga</v>
      </c>
      <c r="B6079" s="4" t="str">
        <f>IFERROR(__xludf.DUMMYFUNCTION("""COMPUTED_VALUE"""),"90")</f>
        <v>90</v>
      </c>
      <c r="C6079" s="5" t="str">
        <f>IFERROR(__xludf.DUMMYFUNCTION("""COMPUTED_VALUE"""),"https://drive.google.com/file/d/1Pqt5OarQdjHHYHFoaIhI2OkaMwLG8NKZ/view?usp=drivesdk")</f>
        <v>https://drive.google.com/file/d/1Pqt5OarQdjHHYHFoaIhI2OkaMwLG8NKZ/view?usp=drivesdk</v>
      </c>
      <c r="D6079" s="12"/>
      <c r="E6079" s="11">
        <v>6122.0</v>
      </c>
      <c r="F6079" s="2"/>
    </row>
    <row r="6080" ht="1.5" customHeight="1">
      <c r="A6080" s="4" t="str">
        <f>IFERROR(__xludf.DUMMYFUNCTION("""COMPUTED_VALUE"""),"90. Chimichanga")</f>
        <v>90. Chimichanga</v>
      </c>
      <c r="B6080" s="4" t="str">
        <f>IFERROR(__xludf.DUMMYFUNCTION("""COMPUTED_VALUE"""),"90")</f>
        <v>90</v>
      </c>
      <c r="C6080" s="5" t="str">
        <f>IFERROR(__xludf.DUMMYFUNCTION("""COMPUTED_VALUE"""),"https://drive.google.com/file/d/1rBtpHdO7lYJ9KunEBTchcceM1MeOJEYb/view?usp=drivesdk")</f>
        <v>https://drive.google.com/file/d/1rBtpHdO7lYJ9KunEBTchcceM1MeOJEYb/view?usp=drivesdk</v>
      </c>
      <c r="D6080" s="12"/>
      <c r="E6080" s="11">
        <v>6123.0</v>
      </c>
      <c r="F6080" s="2"/>
    </row>
    <row r="6081" ht="1.5" customHeight="1">
      <c r="A6081" s="4" t="str">
        <f>IFERROR(__xludf.DUMMYFUNCTION("""COMPUTED_VALUE"""),"90. Chimichanga")</f>
        <v>90. Chimichanga</v>
      </c>
      <c r="B6081" s="4" t="str">
        <f>IFERROR(__xludf.DUMMYFUNCTION("""COMPUTED_VALUE"""),"90")</f>
        <v>90</v>
      </c>
      <c r="C6081" s="5" t="str">
        <f>IFERROR(__xludf.DUMMYFUNCTION("""COMPUTED_VALUE"""),"https://drive.google.com/file/d/1MLMMqlsErRhmDWwopN2JVjR6hurjMGC0/view?usp=drivesdk")</f>
        <v>https://drive.google.com/file/d/1MLMMqlsErRhmDWwopN2JVjR6hurjMGC0/view?usp=drivesdk</v>
      </c>
      <c r="D6081" s="12"/>
      <c r="E6081" s="11">
        <v>6124.0</v>
      </c>
      <c r="F6081" s="2"/>
    </row>
    <row r="6082" ht="1.5" customHeight="1">
      <c r="A6082" s="4" t="str">
        <f>IFERROR(__xludf.DUMMYFUNCTION("""COMPUTED_VALUE"""),"1. Microwave")</f>
        <v>1. Microwave</v>
      </c>
      <c r="B6082" s="4" t="str">
        <f>IFERROR(__xludf.DUMMYFUNCTION("""COMPUTED_VALUE"""),"1")</f>
        <v>1</v>
      </c>
      <c r="C6082" s="5" t="str">
        <f>IFERROR(__xludf.DUMMYFUNCTION("""COMPUTED_VALUE"""),"https://drive.google.com/file/d/1bNIbpbAhOWfhORZY24S1KD1dmDogJAsi/view?usp=drivesdk")</f>
        <v>https://drive.google.com/file/d/1bNIbpbAhOWfhORZY24S1KD1dmDogJAsi/view?usp=drivesdk</v>
      </c>
      <c r="D6082" s="12"/>
      <c r="E6082" s="11">
        <v>6125.0</v>
      </c>
      <c r="F6082" s="2"/>
    </row>
    <row r="6083" ht="1.5" customHeight="1">
      <c r="A6083" s="4" t="str">
        <f>IFERROR(__xludf.DUMMYFUNCTION("""COMPUTED_VALUE"""),"115. Toothless")</f>
        <v>115. Toothless</v>
      </c>
      <c r="B6083" s="4" t="str">
        <f>IFERROR(__xludf.DUMMYFUNCTION("""COMPUTED_VALUE"""),"115")</f>
        <v>115</v>
      </c>
      <c r="C6083" s="5" t="str">
        <f>IFERROR(__xludf.DUMMYFUNCTION("""COMPUTED_VALUE"""),"https://drive.google.com/file/d/1H554A6QZLHWbNe07A2mQWfL1P_a-mAKj/view?usp=drivesdk")</f>
        <v>https://drive.google.com/file/d/1H554A6QZLHWbNe07A2mQWfL1P_a-mAKj/view?usp=drivesdk</v>
      </c>
      <c r="D6083" s="12"/>
      <c r="E6083" s="11">
        <v>6126.0</v>
      </c>
      <c r="F6083" s="2"/>
    </row>
    <row r="6084" ht="1.5" customHeight="1">
      <c r="A6084" s="4" t="str">
        <f>IFERROR(__xludf.DUMMYFUNCTION("""COMPUTED_VALUE"""),"115. Toothless")</f>
        <v>115. Toothless</v>
      </c>
      <c r="B6084" s="4" t="str">
        <f>IFERROR(__xludf.DUMMYFUNCTION("""COMPUTED_VALUE"""),"115")</f>
        <v>115</v>
      </c>
      <c r="C6084" s="5" t="str">
        <f>IFERROR(__xludf.DUMMYFUNCTION("""COMPUTED_VALUE"""),"https://drive.google.com/file/d/1l7hXbzqcyp8fMi1zZV2MHvm7ZN5DQY6i/view?usp=drivesdk")</f>
        <v>https://drive.google.com/file/d/1l7hXbzqcyp8fMi1zZV2MHvm7ZN5DQY6i/view?usp=drivesdk</v>
      </c>
      <c r="D6084" s="12"/>
      <c r="E6084" s="11">
        <v>6127.0</v>
      </c>
      <c r="F6084" s="2"/>
    </row>
    <row r="6085" ht="1.5" customHeight="1">
      <c r="A6085" s="4" t="str">
        <f>IFERROR(__xludf.DUMMYFUNCTION("""COMPUTED_VALUE"""),"115. Toothless")</f>
        <v>115. Toothless</v>
      </c>
      <c r="B6085" s="4" t="str">
        <f>IFERROR(__xludf.DUMMYFUNCTION("""COMPUTED_VALUE"""),"115")</f>
        <v>115</v>
      </c>
      <c r="C6085" s="5" t="str">
        <f>IFERROR(__xludf.DUMMYFUNCTION("""COMPUTED_VALUE"""),"https://drive.google.com/file/d/1hZBLxEhPdhvW2U3ToYkZH8aY35pMZn-2/view?usp=drivesdk")</f>
        <v>https://drive.google.com/file/d/1hZBLxEhPdhvW2U3ToYkZH8aY35pMZn-2/view?usp=drivesdk</v>
      </c>
      <c r="D6085" s="12"/>
      <c r="E6085" s="11">
        <v>6128.0</v>
      </c>
      <c r="F6085" s="2"/>
    </row>
    <row r="6086" ht="1.5" customHeight="1">
      <c r="A6086" s="4" t="str">
        <f>IFERROR(__xludf.DUMMYFUNCTION("""COMPUTED_VALUE"""),"1. Microwave")</f>
        <v>1. Microwave</v>
      </c>
      <c r="B6086" s="4" t="str">
        <f>IFERROR(__xludf.DUMMYFUNCTION("""COMPUTED_VALUE"""),"1")</f>
        <v>1</v>
      </c>
      <c r="C6086" s="5" t="str">
        <f>IFERROR(__xludf.DUMMYFUNCTION("""COMPUTED_VALUE"""),"https://drive.google.com/file/d/1ev2uNrYtl0KPYyGFxyol_Hi15w9BD7kZ/view?usp=drivesdk")</f>
        <v>https://drive.google.com/file/d/1ev2uNrYtl0KPYyGFxyol_Hi15w9BD7kZ/view?usp=drivesdk</v>
      </c>
      <c r="D6086" s="12"/>
      <c r="E6086" s="11">
        <v>6129.0</v>
      </c>
      <c r="F6086" s="2"/>
    </row>
    <row r="6087" ht="1.5" customHeight="1">
      <c r="A6087" s="4" t="str">
        <f>IFERROR(__xludf.DUMMYFUNCTION("""COMPUTED_VALUE"""),"1. Microwave")</f>
        <v>1. Microwave</v>
      </c>
      <c r="B6087" s="4" t="str">
        <f>IFERROR(__xludf.DUMMYFUNCTION("""COMPUTED_VALUE"""),"1")</f>
        <v>1</v>
      </c>
      <c r="C6087" s="5" t="str">
        <f>IFERROR(__xludf.DUMMYFUNCTION("""COMPUTED_VALUE"""),"https://drive.google.com/file/d/1ze1BYOd-O0EBUQq68sqvdiojXrM0BOzz/view?usp=drivesdk")</f>
        <v>https://drive.google.com/file/d/1ze1BYOd-O0EBUQq68sqvdiojXrM0BOzz/view?usp=drivesdk</v>
      </c>
      <c r="D6087" s="12"/>
      <c r="E6087" s="11">
        <v>6130.0</v>
      </c>
      <c r="F6087" s="2"/>
    </row>
    <row r="6088" ht="1.5" customHeight="1">
      <c r="A6088" s="4" t="str">
        <f>IFERROR(__xludf.DUMMYFUNCTION("""COMPUTED_VALUE"""),"1. Microwave")</f>
        <v>1. Microwave</v>
      </c>
      <c r="B6088" s="4" t="str">
        <f>IFERROR(__xludf.DUMMYFUNCTION("""COMPUTED_VALUE"""),"1")</f>
        <v>1</v>
      </c>
      <c r="C6088" s="5" t="str">
        <f>IFERROR(__xludf.DUMMYFUNCTION("""COMPUTED_VALUE"""),"https://drive.google.com/file/d/14L5dO4MvxS7D12Pu0ZbYjBjqFCD6Dxj2/view?usp=drivesdk")</f>
        <v>https://drive.google.com/file/d/14L5dO4MvxS7D12Pu0ZbYjBjqFCD6Dxj2/view?usp=drivesdk</v>
      </c>
      <c r="D6088" s="12"/>
      <c r="E6088" s="11">
        <v>6131.0</v>
      </c>
      <c r="F6088" s="2"/>
    </row>
    <row r="6089" ht="1.5" customHeight="1">
      <c r="A6089" s="4" t="str">
        <f>IFERROR(__xludf.DUMMYFUNCTION("""COMPUTED_VALUE"""),"1. Microwave")</f>
        <v>1. Microwave</v>
      </c>
      <c r="B6089" s="4" t="str">
        <f>IFERROR(__xludf.DUMMYFUNCTION("""COMPUTED_VALUE"""),"1")</f>
        <v>1</v>
      </c>
      <c r="C6089" s="5" t="str">
        <f>IFERROR(__xludf.DUMMYFUNCTION("""COMPUTED_VALUE"""),"https://drive.google.com/file/d/1cnQUgG4HkwL7DId-GC_HlIMkWelNQCOe/view?usp=drivesdk")</f>
        <v>https://drive.google.com/file/d/1cnQUgG4HkwL7DId-GC_HlIMkWelNQCOe/view?usp=drivesdk</v>
      </c>
      <c r="D6089" s="12"/>
      <c r="E6089" s="11">
        <v>6132.0</v>
      </c>
      <c r="F6089" s="2"/>
    </row>
    <row r="6090" ht="1.5" customHeight="1">
      <c r="A6090" s="4" t="str">
        <f>IFERROR(__xludf.DUMMYFUNCTION("""COMPUTED_VALUE"""),"1. Microwave")</f>
        <v>1. Microwave</v>
      </c>
      <c r="B6090" s="4" t="str">
        <f>IFERROR(__xludf.DUMMYFUNCTION("""COMPUTED_VALUE"""),"1")</f>
        <v>1</v>
      </c>
      <c r="C6090" s="5" t="str">
        <f>IFERROR(__xludf.DUMMYFUNCTION("""COMPUTED_VALUE"""),"https://drive.google.com/file/d/1rLSjauEwoDDy4g2Z_QV60nrDd1gQMrji/view?usp=drivesdk")</f>
        <v>https://drive.google.com/file/d/1rLSjauEwoDDy4g2Z_QV60nrDd1gQMrji/view?usp=drivesdk</v>
      </c>
      <c r="D6090" s="12"/>
      <c r="E6090" s="11">
        <v>6133.0</v>
      </c>
      <c r="F6090" s="2"/>
    </row>
    <row r="6091" ht="1.5" customHeight="1">
      <c r="A6091" s="4" t="str">
        <f>IFERROR(__xludf.DUMMYFUNCTION("""COMPUTED_VALUE"""),"0. NotACat")</f>
        <v>0. NotACat</v>
      </c>
      <c r="B6091" s="4" t="str">
        <f>IFERROR(__xludf.DUMMYFUNCTION("""COMPUTED_VALUE"""),"0")</f>
        <v>0</v>
      </c>
      <c r="C6091" s="5" t="str">
        <f>IFERROR(__xludf.DUMMYFUNCTION("""COMPUTED_VALUE"""),"https://drive.google.com/file/d/1bhLYgpRgfPeQzmbJvyn6fq4tZp6xcehS/view?usp=drivesdk")</f>
        <v>https://drive.google.com/file/d/1bhLYgpRgfPeQzmbJvyn6fq4tZp6xcehS/view?usp=drivesdk</v>
      </c>
      <c r="D6091" s="12"/>
      <c r="E6091" s="11">
        <v>6134.0</v>
      </c>
      <c r="F6091" s="2"/>
    </row>
    <row r="6092" ht="1.5" customHeight="1">
      <c r="A6092" s="4" t="str">
        <f>IFERROR(__xludf.DUMMYFUNCTION("""COMPUTED_VALUE"""),"1. Microwave")</f>
        <v>1. Microwave</v>
      </c>
      <c r="B6092" s="4" t="str">
        <f>IFERROR(__xludf.DUMMYFUNCTION("""COMPUTED_VALUE"""),"1")</f>
        <v>1</v>
      </c>
      <c r="C6092" s="5" t="str">
        <f>IFERROR(__xludf.DUMMYFUNCTION("""COMPUTED_VALUE"""),"https://drive.google.com/file/d/1Y6F86PGyiZi7hJvda_rvpRobYUMwgpZf/view?usp=drivesdk")</f>
        <v>https://drive.google.com/file/d/1Y6F86PGyiZi7hJvda_rvpRobYUMwgpZf/view?usp=drivesdk</v>
      </c>
      <c r="D6092" s="12"/>
      <c r="E6092" s="11">
        <v>6135.0</v>
      </c>
      <c r="F6092" s="2"/>
    </row>
    <row r="6093" ht="1.5" customHeight="1">
      <c r="A6093" s="4" t="str">
        <f>IFERROR(__xludf.DUMMYFUNCTION("""COMPUTED_VALUE"""),"1. Microwave")</f>
        <v>1. Microwave</v>
      </c>
      <c r="B6093" s="4" t="str">
        <f>IFERROR(__xludf.DUMMYFUNCTION("""COMPUTED_VALUE"""),"1")</f>
        <v>1</v>
      </c>
      <c r="C6093" s="5" t="str">
        <f>IFERROR(__xludf.DUMMYFUNCTION("""COMPUTED_VALUE"""),"https://drive.google.com/file/d/1QSFBxoL1M6H9Tvs1q0rLjU7VmGBmkNKG/view?usp=drivesdk")</f>
        <v>https://drive.google.com/file/d/1QSFBxoL1M6H9Tvs1q0rLjU7VmGBmkNKG/view?usp=drivesdk</v>
      </c>
      <c r="D6093" s="12"/>
      <c r="E6093" s="11">
        <v>6136.0</v>
      </c>
      <c r="F6093" s="2"/>
    </row>
    <row r="6094" ht="1.5" customHeight="1">
      <c r="A6094" s="4" t="str">
        <f>IFERROR(__xludf.DUMMYFUNCTION("""COMPUTED_VALUE"""),"1. Microwave")</f>
        <v>1. Microwave</v>
      </c>
      <c r="B6094" s="4" t="str">
        <f>IFERROR(__xludf.DUMMYFUNCTION("""COMPUTED_VALUE"""),"1")</f>
        <v>1</v>
      </c>
      <c r="C6094" s="5" t="str">
        <f>IFERROR(__xludf.DUMMYFUNCTION("""COMPUTED_VALUE"""),"https://drive.google.com/file/d/1OZOvw-qhIc2wt_XmxJmC1ZOV7ylek7PP/view?usp=drivesdk")</f>
        <v>https://drive.google.com/file/d/1OZOvw-qhIc2wt_XmxJmC1ZOV7ylek7PP/view?usp=drivesdk</v>
      </c>
      <c r="D6094" s="12"/>
      <c r="E6094" s="11">
        <v>6137.0</v>
      </c>
      <c r="F6094" s="2"/>
    </row>
    <row r="6095" ht="1.5" customHeight="1">
      <c r="A6095" s="4" t="str">
        <f>IFERROR(__xludf.DUMMYFUNCTION("""COMPUTED_VALUE"""),"89. Petal")</f>
        <v>89. Petal</v>
      </c>
      <c r="B6095" s="4" t="str">
        <f>IFERROR(__xludf.DUMMYFUNCTION("""COMPUTED_VALUE"""),"89")</f>
        <v>89</v>
      </c>
      <c r="C6095" s="5" t="str">
        <f>IFERROR(__xludf.DUMMYFUNCTION("""COMPUTED_VALUE"""),"https://drive.google.com/file/d/1ayuxOjRjS4fui-PQ9ICXsA6JXhky1-U0/view?usp=drivesdk")</f>
        <v>https://drive.google.com/file/d/1ayuxOjRjS4fui-PQ9ICXsA6JXhky1-U0/view?usp=drivesdk</v>
      </c>
      <c r="D6095" s="12"/>
      <c r="E6095" s="11">
        <v>6138.0</v>
      </c>
      <c r="F6095" s="2"/>
    </row>
    <row r="6096" ht="1.5" customHeight="1">
      <c r="A6096" s="4" t="str">
        <f>IFERROR(__xludf.DUMMYFUNCTION("""COMPUTED_VALUE"""),"1. Microwave")</f>
        <v>1. Microwave</v>
      </c>
      <c r="B6096" s="4" t="str">
        <f>IFERROR(__xludf.DUMMYFUNCTION("""COMPUTED_VALUE"""),"1")</f>
        <v>1</v>
      </c>
      <c r="C6096" s="5" t="str">
        <f>IFERROR(__xludf.DUMMYFUNCTION("""COMPUTED_VALUE"""),"https://drive.google.com/file/d/1RGlwr1MqZ1V3SasZ8NsnYGki6g4TNOVz/view?usp=drivesdk")</f>
        <v>https://drive.google.com/file/d/1RGlwr1MqZ1V3SasZ8NsnYGki6g4TNOVz/view?usp=drivesdk</v>
      </c>
      <c r="D6096" s="12"/>
      <c r="E6096" s="11">
        <v>6139.0</v>
      </c>
      <c r="F6096" s="2"/>
    </row>
    <row r="6097" ht="1.5" customHeight="1">
      <c r="A6097" s="4" t="str">
        <f>IFERROR(__xludf.DUMMYFUNCTION("""COMPUTED_VALUE"""),"1. Microwave")</f>
        <v>1. Microwave</v>
      </c>
      <c r="B6097" s="4" t="str">
        <f>IFERROR(__xludf.DUMMYFUNCTION("""COMPUTED_VALUE"""),"1")</f>
        <v>1</v>
      </c>
      <c r="C6097" s="5" t="str">
        <f>IFERROR(__xludf.DUMMYFUNCTION("""COMPUTED_VALUE"""),"https://drive.google.com/file/d/1WBP0iPsKZ0_emclCjxVsjxXLKccNX4Lp/view?usp=drivesdk")</f>
        <v>https://drive.google.com/file/d/1WBP0iPsKZ0_emclCjxVsjxXLKccNX4Lp/view?usp=drivesdk</v>
      </c>
      <c r="D6097" s="12"/>
      <c r="E6097" s="11">
        <v>6140.0</v>
      </c>
      <c r="F6097" s="2"/>
    </row>
    <row r="6098" ht="1.5" customHeight="1">
      <c r="A6098" s="4" t="str">
        <f>IFERROR(__xludf.DUMMYFUNCTION("""COMPUTED_VALUE"""),"2. Twix")</f>
        <v>2. Twix</v>
      </c>
      <c r="B6098" s="4" t="str">
        <f>IFERROR(__xludf.DUMMYFUNCTION("""COMPUTED_VALUE"""),"2")</f>
        <v>2</v>
      </c>
      <c r="C6098" s="5" t="str">
        <f>IFERROR(__xludf.DUMMYFUNCTION("""COMPUTED_VALUE"""),"https://drive.google.com/file/d/16Um1R1EN866DLnxNJmz18OqkEhrJTPWh/view?usp=drivesdk")</f>
        <v>https://drive.google.com/file/d/16Um1R1EN866DLnxNJmz18OqkEhrJTPWh/view?usp=drivesdk</v>
      </c>
      <c r="D6098" s="12"/>
      <c r="E6098" s="11">
        <v>6141.0</v>
      </c>
      <c r="F6098" s="2"/>
    </row>
    <row r="6099" ht="1.5" customHeight="1">
      <c r="A6099" s="4" t="str">
        <f>IFERROR(__xludf.DUMMYFUNCTION("""COMPUTED_VALUE"""),"1. Microwave")</f>
        <v>1. Microwave</v>
      </c>
      <c r="B6099" s="4" t="str">
        <f>IFERROR(__xludf.DUMMYFUNCTION("""COMPUTED_VALUE"""),"1")</f>
        <v>1</v>
      </c>
      <c r="C6099" s="5" t="str">
        <f>IFERROR(__xludf.DUMMYFUNCTION("""COMPUTED_VALUE"""),"https://drive.google.com/file/d/1PwATZOl1f2uQfoohYAHt8rVRijwpWi30/view?usp=drivesdk")</f>
        <v>https://drive.google.com/file/d/1PwATZOl1f2uQfoohYAHt8rVRijwpWi30/view?usp=drivesdk</v>
      </c>
      <c r="D6099" s="12"/>
      <c r="E6099" s="11">
        <v>6142.0</v>
      </c>
      <c r="F6099" s="2"/>
    </row>
    <row r="6100" ht="1.5" customHeight="1">
      <c r="A6100" s="4" t="str">
        <f>IFERROR(__xludf.DUMMYFUNCTION("""COMPUTED_VALUE"""),"1. Microwave")</f>
        <v>1. Microwave</v>
      </c>
      <c r="B6100" s="4" t="str">
        <f>IFERROR(__xludf.DUMMYFUNCTION("""COMPUTED_VALUE"""),"1")</f>
        <v>1</v>
      </c>
      <c r="C6100" s="5" t="str">
        <f>IFERROR(__xludf.DUMMYFUNCTION("""COMPUTED_VALUE"""),"https://drive.google.com/file/d/1ncBYiYwIsomPPlfjlTmYjcpPYLnWxaCf/view?usp=drivesdk")</f>
        <v>https://drive.google.com/file/d/1ncBYiYwIsomPPlfjlTmYjcpPYLnWxaCf/view?usp=drivesdk</v>
      </c>
      <c r="D6100" s="12"/>
      <c r="E6100" s="11">
        <v>6143.0</v>
      </c>
      <c r="F6100" s="2"/>
    </row>
    <row r="6101" ht="1.5" customHeight="1">
      <c r="A6101" s="4" t="str">
        <f>IFERROR(__xludf.DUMMYFUNCTION("""COMPUTED_VALUE"""),"0. NotACat")</f>
        <v>0. NotACat</v>
      </c>
      <c r="B6101" s="4" t="str">
        <f>IFERROR(__xludf.DUMMYFUNCTION("""COMPUTED_VALUE"""),"0")</f>
        <v>0</v>
      </c>
      <c r="C6101" s="5" t="str">
        <f>IFERROR(__xludf.DUMMYFUNCTION("""COMPUTED_VALUE"""),"https://drive.google.com/file/d/19c-P-eoUbtLtwMELRPxuKCJxhygY4mfh/view?usp=drivesdk")</f>
        <v>https://drive.google.com/file/d/19c-P-eoUbtLtwMELRPxuKCJxhygY4mfh/view?usp=drivesdk</v>
      </c>
      <c r="D6101" s="12"/>
      <c r="E6101" s="11">
        <v>6144.0</v>
      </c>
      <c r="F6101" s="2"/>
    </row>
    <row r="6102" ht="1.5" customHeight="1">
      <c r="A6102" s="4" t="str">
        <f>IFERROR(__xludf.DUMMYFUNCTION("""COMPUTED_VALUE"""),"0. NotACat")</f>
        <v>0. NotACat</v>
      </c>
      <c r="B6102" s="4" t="str">
        <f>IFERROR(__xludf.DUMMYFUNCTION("""COMPUTED_VALUE"""),"0")</f>
        <v>0</v>
      </c>
      <c r="C6102" s="5" t="str">
        <f>IFERROR(__xludf.DUMMYFUNCTION("""COMPUTED_VALUE"""),"https://drive.google.com/file/d/1Oa8tyUzGybUp2zxtiHFC2SDRdrjZHjyN/view?usp=drivesdk")</f>
        <v>https://drive.google.com/file/d/1Oa8tyUzGybUp2zxtiHFC2SDRdrjZHjyN/view?usp=drivesdk</v>
      </c>
      <c r="D6102" s="12"/>
      <c r="E6102" s="11">
        <v>6145.0</v>
      </c>
      <c r="F6102" s="2"/>
    </row>
    <row r="6103" ht="1.5" customHeight="1">
      <c r="A6103" s="4" t="str">
        <f>IFERROR(__xludf.DUMMYFUNCTION("""COMPUTED_VALUE"""),"0. NotACat")</f>
        <v>0. NotACat</v>
      </c>
      <c r="B6103" s="4" t="str">
        <f>IFERROR(__xludf.DUMMYFUNCTION("""COMPUTED_VALUE"""),"0")</f>
        <v>0</v>
      </c>
      <c r="C6103" s="5" t="str">
        <f>IFERROR(__xludf.DUMMYFUNCTION("""COMPUTED_VALUE"""),"https://drive.google.com/file/d/16m8IFwnyTdGv7AHkHQtkoVIQqh4L7MtR/view?usp=drivesdk")</f>
        <v>https://drive.google.com/file/d/16m8IFwnyTdGv7AHkHQtkoVIQqh4L7MtR/view?usp=drivesdk</v>
      </c>
      <c r="D6103" s="12"/>
      <c r="E6103" s="11">
        <v>6146.0</v>
      </c>
      <c r="F6103" s="2"/>
    </row>
    <row r="6104" ht="1.5" customHeight="1">
      <c r="A6104" s="4" t="str">
        <f>IFERROR(__xludf.DUMMYFUNCTION("""COMPUTED_VALUE"""),"0. NotACat")</f>
        <v>0. NotACat</v>
      </c>
      <c r="B6104" s="4" t="str">
        <f>IFERROR(__xludf.DUMMYFUNCTION("""COMPUTED_VALUE"""),"0")</f>
        <v>0</v>
      </c>
      <c r="C6104" s="5" t="str">
        <f>IFERROR(__xludf.DUMMYFUNCTION("""COMPUTED_VALUE"""),"https://drive.google.com/file/d/1R_TclGe0_Z3R93YxKLTAw64PhJoT1U7W/view?usp=drivesdk")</f>
        <v>https://drive.google.com/file/d/1R_TclGe0_Z3R93YxKLTAw64PhJoT1U7W/view?usp=drivesdk</v>
      </c>
      <c r="D6104" s="12"/>
      <c r="E6104" s="11">
        <v>6147.0</v>
      </c>
      <c r="F6104" s="2"/>
    </row>
    <row r="6105" ht="1.5" customHeight="1">
      <c r="A6105" s="4" t="str">
        <f>IFERROR(__xludf.DUMMYFUNCTION("""COMPUTED_VALUE"""),"6. Snickers")</f>
        <v>6. Snickers</v>
      </c>
      <c r="B6105" s="4" t="str">
        <f>IFERROR(__xludf.DUMMYFUNCTION("""COMPUTED_VALUE"""),"6")</f>
        <v>6</v>
      </c>
      <c r="C6105" s="5" t="str">
        <f>IFERROR(__xludf.DUMMYFUNCTION("""COMPUTED_VALUE"""),"https://drive.google.com/file/d/1i72vI0Lq0gvjUSP7OsstAbom2L14Mts2/view?usp=drivesdk")</f>
        <v>https://drive.google.com/file/d/1i72vI0Lq0gvjUSP7OsstAbom2L14Mts2/view?usp=drivesdk</v>
      </c>
      <c r="D6105" s="12"/>
      <c r="E6105" s="11">
        <v>6148.0</v>
      </c>
      <c r="F6105" s="2"/>
    </row>
    <row r="6106" ht="1.5" customHeight="1">
      <c r="A6106" s="4" t="str">
        <f>IFERROR(__xludf.DUMMYFUNCTION("""COMPUTED_VALUE"""),"1. Microwave")</f>
        <v>1. Microwave</v>
      </c>
      <c r="B6106" s="4" t="str">
        <f>IFERROR(__xludf.DUMMYFUNCTION("""COMPUTED_VALUE"""),"1")</f>
        <v>1</v>
      </c>
      <c r="C6106" s="5" t="str">
        <f>IFERROR(__xludf.DUMMYFUNCTION("""COMPUTED_VALUE"""),"https://drive.google.com/file/d/1epzv0YWYJ61_wqtg6Xmrpd-qvNUFSEVU/view?usp=drivesdk")</f>
        <v>https://drive.google.com/file/d/1epzv0YWYJ61_wqtg6Xmrpd-qvNUFSEVU/view?usp=drivesdk</v>
      </c>
      <c r="D6106" s="12"/>
      <c r="E6106" s="11">
        <v>6149.0</v>
      </c>
      <c r="F6106" s="2"/>
    </row>
    <row r="6107" ht="1.5" customHeight="1">
      <c r="A6107" s="4" t="str">
        <f>IFERROR(__xludf.DUMMYFUNCTION("""COMPUTED_VALUE"""),"1. Microwave")</f>
        <v>1. Microwave</v>
      </c>
      <c r="B6107" s="4" t="str">
        <f>IFERROR(__xludf.DUMMYFUNCTION("""COMPUTED_VALUE"""),"1")</f>
        <v>1</v>
      </c>
      <c r="C6107" s="5" t="str">
        <f>IFERROR(__xludf.DUMMYFUNCTION("""COMPUTED_VALUE"""),"https://drive.google.com/file/d/1_QbBjwILEwz6fQ2W99T-ngyaFPEjAVbw/view?usp=drivesdk")</f>
        <v>https://drive.google.com/file/d/1_QbBjwILEwz6fQ2W99T-ngyaFPEjAVbw/view?usp=drivesdk</v>
      </c>
      <c r="D6107" s="12"/>
      <c r="E6107" s="11">
        <v>6150.0</v>
      </c>
      <c r="F6107" s="2"/>
    </row>
    <row r="6108" ht="1.5" customHeight="1">
      <c r="A6108" s="4" t="str">
        <f>IFERROR(__xludf.DUMMYFUNCTION("""COMPUTED_VALUE"""),"9. Melvin")</f>
        <v>9. Melvin</v>
      </c>
      <c r="B6108" s="4" t="str">
        <f>IFERROR(__xludf.DUMMYFUNCTION("""COMPUTED_VALUE"""),"9")</f>
        <v>9</v>
      </c>
      <c r="C6108" s="5" t="str">
        <f>IFERROR(__xludf.DUMMYFUNCTION("""COMPUTED_VALUE"""),"https://drive.google.com/file/d/1v20C5zqTHG3xyveATyuqCLL8PZLl5KQe/view?usp=drivesdk")</f>
        <v>https://drive.google.com/file/d/1v20C5zqTHG3xyveATyuqCLL8PZLl5KQe/view?usp=drivesdk</v>
      </c>
      <c r="D6108" s="12"/>
      <c r="E6108" s="11">
        <v>6151.0</v>
      </c>
      <c r="F6108" s="2"/>
    </row>
    <row r="6109" ht="1.5" customHeight="1">
      <c r="A6109" s="4" t="str">
        <f>IFERROR(__xludf.DUMMYFUNCTION("""COMPUTED_VALUE"""),"1. Microwave")</f>
        <v>1. Microwave</v>
      </c>
      <c r="B6109" s="4" t="str">
        <f>IFERROR(__xludf.DUMMYFUNCTION("""COMPUTED_VALUE"""),"1")</f>
        <v>1</v>
      </c>
      <c r="C6109" s="5" t="str">
        <f>IFERROR(__xludf.DUMMYFUNCTION("""COMPUTED_VALUE"""),"https://drive.google.com/file/d/1NNFauQMcA7KlEfAeLpNbvps6-cUiKY0B/view?usp=drivesdk")</f>
        <v>https://drive.google.com/file/d/1NNFauQMcA7KlEfAeLpNbvps6-cUiKY0B/view?usp=drivesdk</v>
      </c>
      <c r="D6109" s="12"/>
      <c r="E6109" s="11">
        <v>6152.0</v>
      </c>
      <c r="F6109" s="2"/>
    </row>
    <row r="6110" ht="1.5" customHeight="1">
      <c r="A6110" s="4" t="str">
        <f>IFERROR(__xludf.DUMMYFUNCTION("""COMPUTED_VALUE"""),"2. Twix")</f>
        <v>2. Twix</v>
      </c>
      <c r="B6110" s="4" t="str">
        <f>IFERROR(__xludf.DUMMYFUNCTION("""COMPUTED_VALUE"""),"2")</f>
        <v>2</v>
      </c>
      <c r="C6110" s="5" t="str">
        <f>IFERROR(__xludf.DUMMYFUNCTION("""COMPUTED_VALUE"""),"https://drive.google.com/file/d/13mD98tAHPTg_GkigVwMQy4q5pjB4A4f4/view?usp=drivesdk")</f>
        <v>https://drive.google.com/file/d/13mD98tAHPTg_GkigVwMQy4q5pjB4A4f4/view?usp=drivesdk</v>
      </c>
      <c r="D6110" s="12"/>
      <c r="E6110" s="11">
        <v>6153.0</v>
      </c>
      <c r="F6110" s="2"/>
    </row>
    <row r="6111" ht="1.5" customHeight="1">
      <c r="A6111" s="4" t="str">
        <f>IFERROR(__xludf.DUMMYFUNCTION("""COMPUTED_VALUE"""),"1. Microwave")</f>
        <v>1. Microwave</v>
      </c>
      <c r="B6111" s="4" t="str">
        <f>IFERROR(__xludf.DUMMYFUNCTION("""COMPUTED_VALUE"""),"1")</f>
        <v>1</v>
      </c>
      <c r="C6111" s="5" t="str">
        <f>IFERROR(__xludf.DUMMYFUNCTION("""COMPUTED_VALUE"""),"https://drive.google.com/file/d/1Gbnc9frrjoXezZxJo6D4hiKHyzfMvXEQ/view?usp=drivesdk")</f>
        <v>https://drive.google.com/file/d/1Gbnc9frrjoXezZxJo6D4hiKHyzfMvXEQ/view?usp=drivesdk</v>
      </c>
      <c r="D6111" s="12"/>
      <c r="E6111" s="11">
        <v>6154.0</v>
      </c>
      <c r="F6111" s="2"/>
    </row>
    <row r="6112" ht="1.5" customHeight="1">
      <c r="A6112" s="4" t="str">
        <f>IFERROR(__xludf.DUMMYFUNCTION("""COMPUTED_VALUE"""),"1. Microwave")</f>
        <v>1. Microwave</v>
      </c>
      <c r="B6112" s="4" t="str">
        <f>IFERROR(__xludf.DUMMYFUNCTION("""COMPUTED_VALUE"""),"1")</f>
        <v>1</v>
      </c>
      <c r="C6112" s="5" t="str">
        <f>IFERROR(__xludf.DUMMYFUNCTION("""COMPUTED_VALUE"""),"https://drive.google.com/file/d/1i9WmoFI_ZSpamvndQYE78MvQ_tz_bixz/view?usp=drivesdk")</f>
        <v>https://drive.google.com/file/d/1i9WmoFI_ZSpamvndQYE78MvQ_tz_bixz/view?usp=drivesdk</v>
      </c>
      <c r="D6112" s="12"/>
      <c r="E6112" s="11">
        <v>6155.0</v>
      </c>
      <c r="F6112" s="2"/>
    </row>
    <row r="6113" ht="1.5" customHeight="1">
      <c r="A6113" s="4" t="str">
        <f>IFERROR(__xludf.DUMMYFUNCTION("""COMPUTED_VALUE"""),"1. Microwave")</f>
        <v>1. Microwave</v>
      </c>
      <c r="B6113" s="4" t="str">
        <f>IFERROR(__xludf.DUMMYFUNCTION("""COMPUTED_VALUE"""),"1")</f>
        <v>1</v>
      </c>
      <c r="C6113" s="5" t="str">
        <f>IFERROR(__xludf.DUMMYFUNCTION("""COMPUTED_VALUE"""),"https://drive.google.com/file/d/1kXR_-v7YJV_cEMfSeO8qY67teZucAH6N/view?usp=drivesdk")</f>
        <v>https://drive.google.com/file/d/1kXR_-v7YJV_cEMfSeO8qY67teZucAH6N/view?usp=drivesdk</v>
      </c>
      <c r="D6113" s="12"/>
      <c r="E6113" s="11">
        <v>6156.0</v>
      </c>
      <c r="F6113" s="2"/>
    </row>
    <row r="6114" ht="1.5" customHeight="1">
      <c r="A6114" s="4" t="str">
        <f>IFERROR(__xludf.DUMMYFUNCTION("""COMPUTED_VALUE"""),"1. Microwave")</f>
        <v>1. Microwave</v>
      </c>
      <c r="B6114" s="4" t="str">
        <f>IFERROR(__xludf.DUMMYFUNCTION("""COMPUTED_VALUE"""),"1")</f>
        <v>1</v>
      </c>
      <c r="C6114" s="5" t="str">
        <f>IFERROR(__xludf.DUMMYFUNCTION("""COMPUTED_VALUE"""),"https://drive.google.com/file/d/1I9qy45FqVQAqxNrxlp-CcYTHH9YjPq0V/view?usp=drivesdk")</f>
        <v>https://drive.google.com/file/d/1I9qy45FqVQAqxNrxlp-CcYTHH9YjPq0V/view?usp=drivesdk</v>
      </c>
      <c r="D6114" s="12"/>
      <c r="E6114" s="11">
        <v>6157.0</v>
      </c>
      <c r="F6114" s="2"/>
    </row>
    <row r="6115" ht="1.5" customHeight="1">
      <c r="A6115" s="4" t="str">
        <f>IFERROR(__xludf.DUMMYFUNCTION("""COMPUTED_VALUE"""),"0. NotACat")</f>
        <v>0. NotACat</v>
      </c>
      <c r="B6115" s="4" t="str">
        <f>IFERROR(__xludf.DUMMYFUNCTION("""COMPUTED_VALUE"""),"0")</f>
        <v>0</v>
      </c>
      <c r="C6115" s="5" t="str">
        <f>IFERROR(__xludf.DUMMYFUNCTION("""COMPUTED_VALUE"""),"https://drive.google.com/file/d/1-I0wKp5EG-kk5Iiwlw1P4QHu9yzkYFOI/view?usp=drivesdk")</f>
        <v>https://drive.google.com/file/d/1-I0wKp5EG-kk5Iiwlw1P4QHu9yzkYFOI/view?usp=drivesdk</v>
      </c>
      <c r="D6115" s="12"/>
      <c r="E6115" s="11">
        <v>6158.0</v>
      </c>
      <c r="F6115" s="2"/>
    </row>
    <row r="6116" ht="1.5" customHeight="1">
      <c r="A6116" s="4" t="str">
        <f>IFERROR(__xludf.DUMMYFUNCTION("""COMPUTED_VALUE"""),"1. Microwave")</f>
        <v>1. Microwave</v>
      </c>
      <c r="B6116" s="4" t="str">
        <f>IFERROR(__xludf.DUMMYFUNCTION("""COMPUTED_VALUE"""),"1")</f>
        <v>1</v>
      </c>
      <c r="C6116" s="5" t="str">
        <f>IFERROR(__xludf.DUMMYFUNCTION("""COMPUTED_VALUE"""),"https://drive.google.com/file/d/1PRydXN55hSEQMKeVlichLB4PfSbdKEJn/view?usp=drivesdk")</f>
        <v>https://drive.google.com/file/d/1PRydXN55hSEQMKeVlichLB4PfSbdKEJn/view?usp=drivesdk</v>
      </c>
      <c r="D6116" s="12"/>
      <c r="E6116" s="11">
        <v>6159.0</v>
      </c>
      <c r="F6116" s="2"/>
    </row>
    <row r="6117" ht="1.5" customHeight="1">
      <c r="A6117" s="4" t="str">
        <f>IFERROR(__xludf.DUMMYFUNCTION("""COMPUTED_VALUE"""),"1. Microwave")</f>
        <v>1. Microwave</v>
      </c>
      <c r="B6117" s="4" t="str">
        <f>IFERROR(__xludf.DUMMYFUNCTION("""COMPUTED_VALUE"""),"1")</f>
        <v>1</v>
      </c>
      <c r="C6117" s="5" t="str">
        <f>IFERROR(__xludf.DUMMYFUNCTION("""COMPUTED_VALUE"""),"https://drive.google.com/file/d/1wNFJ9SBPiH8-75c4y7B3GZlkvuuftWvt/view?usp=drivesdk")</f>
        <v>https://drive.google.com/file/d/1wNFJ9SBPiH8-75c4y7B3GZlkvuuftWvt/view?usp=drivesdk</v>
      </c>
      <c r="D6117" s="12"/>
      <c r="E6117" s="11">
        <v>6160.0</v>
      </c>
      <c r="F6117" s="2"/>
    </row>
    <row r="6118" ht="1.5" customHeight="1">
      <c r="A6118" s="4" t="str">
        <f>IFERROR(__xludf.DUMMYFUNCTION("""COMPUTED_VALUE"""),"1. Microwave")</f>
        <v>1. Microwave</v>
      </c>
      <c r="B6118" s="4" t="str">
        <f>IFERROR(__xludf.DUMMYFUNCTION("""COMPUTED_VALUE"""),"1")</f>
        <v>1</v>
      </c>
      <c r="C6118" s="5" t="str">
        <f>IFERROR(__xludf.DUMMYFUNCTION("""COMPUTED_VALUE"""),"https://drive.google.com/file/d/1DzdvYH00nlFqfg3ana8fy-BUgUxQQFr_/view?usp=drivesdk")</f>
        <v>https://drive.google.com/file/d/1DzdvYH00nlFqfg3ana8fy-BUgUxQQFr_/view?usp=drivesdk</v>
      </c>
      <c r="D6118" s="12"/>
      <c r="E6118" s="11">
        <v>6161.0</v>
      </c>
      <c r="F6118" s="2"/>
    </row>
    <row r="6119" ht="1.5" customHeight="1">
      <c r="A6119" s="4" t="str">
        <f>IFERROR(__xludf.DUMMYFUNCTION("""COMPUTED_VALUE"""),"1. Microwave")</f>
        <v>1. Microwave</v>
      </c>
      <c r="B6119" s="4" t="str">
        <f>IFERROR(__xludf.DUMMYFUNCTION("""COMPUTED_VALUE"""),"1")</f>
        <v>1</v>
      </c>
      <c r="C6119" s="5" t="str">
        <f>IFERROR(__xludf.DUMMYFUNCTION("""COMPUTED_VALUE"""),"https://drive.google.com/file/d/176oPfoyhlxRHlBig-KzU8GRK8rQAy8c2/view?usp=drivesdk")</f>
        <v>https://drive.google.com/file/d/176oPfoyhlxRHlBig-KzU8GRK8rQAy8c2/view?usp=drivesdk</v>
      </c>
      <c r="D6119" s="12"/>
      <c r="E6119" s="11">
        <v>6162.0</v>
      </c>
      <c r="F6119" s="2"/>
    </row>
    <row r="6120" ht="1.5" customHeight="1">
      <c r="A6120" s="4" t="str">
        <f>IFERROR(__xludf.DUMMYFUNCTION("""COMPUTED_VALUE"""),"1. Microwave")</f>
        <v>1. Microwave</v>
      </c>
      <c r="B6120" s="4" t="str">
        <f>IFERROR(__xludf.DUMMYFUNCTION("""COMPUTED_VALUE"""),"1")</f>
        <v>1</v>
      </c>
      <c r="C6120" s="5" t="str">
        <f>IFERROR(__xludf.DUMMYFUNCTION("""COMPUTED_VALUE"""),"https://drive.google.com/file/d/1jEqEeuBWbY2UBgJXsceMACpoF2L94TxZ/view?usp=drivesdk")</f>
        <v>https://drive.google.com/file/d/1jEqEeuBWbY2UBgJXsceMACpoF2L94TxZ/view?usp=drivesdk</v>
      </c>
      <c r="D6120" s="12"/>
      <c r="E6120" s="11">
        <v>6163.0</v>
      </c>
      <c r="F6120" s="2"/>
    </row>
    <row r="6121" ht="1.5" customHeight="1">
      <c r="A6121" s="4" t="str">
        <f>IFERROR(__xludf.DUMMYFUNCTION("""COMPUTED_VALUE"""),"1. Microwave")</f>
        <v>1. Microwave</v>
      </c>
      <c r="B6121" s="4" t="str">
        <f>IFERROR(__xludf.DUMMYFUNCTION("""COMPUTED_VALUE"""),"1")</f>
        <v>1</v>
      </c>
      <c r="C6121" s="5" t="str">
        <f>IFERROR(__xludf.DUMMYFUNCTION("""COMPUTED_VALUE"""),"https://drive.google.com/file/d/1QjWh6PTTm3FPmyKpHBDtGJ3MmhwQ_dnr/view?usp=drivesdk")</f>
        <v>https://drive.google.com/file/d/1QjWh6PTTm3FPmyKpHBDtGJ3MmhwQ_dnr/view?usp=drivesdk</v>
      </c>
      <c r="D6121" s="12"/>
      <c r="E6121" s="11">
        <v>6164.0</v>
      </c>
      <c r="F6121" s="2"/>
    </row>
    <row r="6122" ht="1.5" customHeight="1">
      <c r="A6122" s="4" t="str">
        <f>IFERROR(__xludf.DUMMYFUNCTION("""COMPUTED_VALUE"""),"1. Microwave")</f>
        <v>1. Microwave</v>
      </c>
      <c r="B6122" s="4" t="str">
        <f>IFERROR(__xludf.DUMMYFUNCTION("""COMPUTED_VALUE"""),"1")</f>
        <v>1</v>
      </c>
      <c r="C6122" s="5" t="str">
        <f>IFERROR(__xludf.DUMMYFUNCTION("""COMPUTED_VALUE"""),"https://drive.google.com/file/d/1fbyzbie1_BVk3baAKNK1Uiwkaxq71JQI/view?usp=drivesdk")</f>
        <v>https://drive.google.com/file/d/1fbyzbie1_BVk3baAKNK1Uiwkaxq71JQI/view?usp=drivesdk</v>
      </c>
      <c r="D6122" s="12"/>
      <c r="E6122" s="11">
        <v>6165.0</v>
      </c>
      <c r="F6122" s="2"/>
    </row>
    <row r="6123" ht="1.5" customHeight="1">
      <c r="A6123" s="4" t="str">
        <f>IFERROR(__xludf.DUMMYFUNCTION("""COMPUTED_VALUE"""),"0. NotACat")</f>
        <v>0. NotACat</v>
      </c>
      <c r="B6123" s="4" t="str">
        <f>IFERROR(__xludf.DUMMYFUNCTION("""COMPUTED_VALUE"""),"0")</f>
        <v>0</v>
      </c>
      <c r="C6123" s="5" t="str">
        <f>IFERROR(__xludf.DUMMYFUNCTION("""COMPUTED_VALUE"""),"https://drive.google.com/file/d/1RjFQ7LnkaKT0Mfhv5r_QIAGy7PTxJn1u/view?usp=drivesdk")</f>
        <v>https://drive.google.com/file/d/1RjFQ7LnkaKT0Mfhv5r_QIAGy7PTxJn1u/view?usp=drivesdk</v>
      </c>
      <c r="D6123" s="12"/>
      <c r="E6123" s="11">
        <v>6166.0</v>
      </c>
      <c r="F6123" s="2"/>
    </row>
    <row r="6124" ht="1.5" customHeight="1">
      <c r="A6124" s="4" t="str">
        <f>IFERROR(__xludf.DUMMYFUNCTION("""COMPUTED_VALUE"""),"101. Nori")</f>
        <v>101. Nori</v>
      </c>
      <c r="B6124" s="4" t="str">
        <f>IFERROR(__xludf.DUMMYFUNCTION("""COMPUTED_VALUE"""),"101")</f>
        <v>101</v>
      </c>
      <c r="C6124" s="5" t="str">
        <f>IFERROR(__xludf.DUMMYFUNCTION("""COMPUTED_VALUE"""),"https://drive.google.com/file/d/1IfHAAkvy80nhE64tx2GmVE53PBghvmAp/view?usp=drivesdk")</f>
        <v>https://drive.google.com/file/d/1IfHAAkvy80nhE64tx2GmVE53PBghvmAp/view?usp=drivesdk</v>
      </c>
      <c r="D6124" s="12"/>
      <c r="E6124" s="11">
        <v>6167.0</v>
      </c>
      <c r="F6124" s="2"/>
    </row>
    <row r="6125" ht="1.5" customHeight="1">
      <c r="A6125" s="4" t="str">
        <f>IFERROR(__xludf.DUMMYFUNCTION("""COMPUTED_VALUE"""),"1. Microwave")</f>
        <v>1. Microwave</v>
      </c>
      <c r="B6125" s="4" t="str">
        <f>IFERROR(__xludf.DUMMYFUNCTION("""COMPUTED_VALUE"""),"1")</f>
        <v>1</v>
      </c>
      <c r="C6125" s="5" t="str">
        <f>IFERROR(__xludf.DUMMYFUNCTION("""COMPUTED_VALUE"""),"https://drive.google.com/file/d/1KHJMlLOpKqDkPoDyiybNGi67CBqVk-KJ/view?usp=drivesdk")</f>
        <v>https://drive.google.com/file/d/1KHJMlLOpKqDkPoDyiybNGi67CBqVk-KJ/view?usp=drivesdk</v>
      </c>
      <c r="D6125" s="12"/>
      <c r="E6125" s="11">
        <v>6168.0</v>
      </c>
      <c r="F6125" s="2"/>
    </row>
    <row r="6126" ht="1.5" customHeight="1">
      <c r="A6126" s="4" t="str">
        <f>IFERROR(__xludf.DUMMYFUNCTION("""COMPUTED_VALUE"""),"1. Microwave")</f>
        <v>1. Microwave</v>
      </c>
      <c r="B6126" s="4" t="str">
        <f>IFERROR(__xludf.DUMMYFUNCTION("""COMPUTED_VALUE"""),"1")</f>
        <v>1</v>
      </c>
      <c r="C6126" s="5" t="str">
        <f>IFERROR(__xludf.DUMMYFUNCTION("""COMPUTED_VALUE"""),"https://drive.google.com/file/d/1B4gxllg2305Kb3fVS4RJA4DSe2krnxUm/view?usp=drivesdk")</f>
        <v>https://drive.google.com/file/d/1B4gxllg2305Kb3fVS4RJA4DSe2krnxUm/view?usp=drivesdk</v>
      </c>
      <c r="D6126" s="12"/>
      <c r="E6126" s="11">
        <v>6169.0</v>
      </c>
      <c r="F6126" s="2"/>
    </row>
    <row r="6127" ht="1.5" customHeight="1">
      <c r="A6127" s="4" t="str">
        <f>IFERROR(__xludf.DUMMYFUNCTION("""COMPUTED_VALUE"""),"1. Microwave")</f>
        <v>1. Microwave</v>
      </c>
      <c r="B6127" s="4" t="str">
        <f>IFERROR(__xludf.DUMMYFUNCTION("""COMPUTED_VALUE"""),"1")</f>
        <v>1</v>
      </c>
      <c r="C6127" s="5" t="str">
        <f>IFERROR(__xludf.DUMMYFUNCTION("""COMPUTED_VALUE"""),"https://drive.google.com/file/d/13zZUurUEOvKuIX-be1_4zmXxEinVAPLh/view?usp=drivesdk")</f>
        <v>https://drive.google.com/file/d/13zZUurUEOvKuIX-be1_4zmXxEinVAPLh/view?usp=drivesdk</v>
      </c>
      <c r="D6127" s="12"/>
      <c r="E6127" s="11">
        <v>6170.0</v>
      </c>
      <c r="F6127" s="2"/>
    </row>
    <row r="6128" ht="1.5" customHeight="1">
      <c r="A6128" s="4" t="str">
        <f>IFERROR(__xludf.DUMMYFUNCTION("""COMPUTED_VALUE"""),"1. Microwave")</f>
        <v>1. Microwave</v>
      </c>
      <c r="B6128" s="4" t="str">
        <f>IFERROR(__xludf.DUMMYFUNCTION("""COMPUTED_VALUE"""),"1")</f>
        <v>1</v>
      </c>
      <c r="C6128" s="5" t="str">
        <f>IFERROR(__xludf.DUMMYFUNCTION("""COMPUTED_VALUE"""),"https://drive.google.com/file/d/1TQ4s2IqrQLb1k9rtNWwSLrKdQnXrWWGS/view?usp=drivesdk")</f>
        <v>https://drive.google.com/file/d/1TQ4s2IqrQLb1k9rtNWwSLrKdQnXrWWGS/view?usp=drivesdk</v>
      </c>
      <c r="D6128" s="12"/>
      <c r="E6128" s="11">
        <v>6171.0</v>
      </c>
      <c r="F6128" s="2"/>
    </row>
    <row r="6129" ht="1.5" customHeight="1">
      <c r="A6129" s="4" t="str">
        <f>IFERROR(__xludf.DUMMYFUNCTION("""COMPUTED_VALUE"""),"1. Microwave")</f>
        <v>1. Microwave</v>
      </c>
      <c r="B6129" s="4" t="str">
        <f>IFERROR(__xludf.DUMMYFUNCTION("""COMPUTED_VALUE"""),"1")</f>
        <v>1</v>
      </c>
      <c r="C6129" s="5" t="str">
        <f>IFERROR(__xludf.DUMMYFUNCTION("""COMPUTED_VALUE"""),"https://drive.google.com/file/d/1MhdeKGE9ns40WJP3lMYeojVHCXIs7-rS/view?usp=drivesdk")</f>
        <v>https://drive.google.com/file/d/1MhdeKGE9ns40WJP3lMYeojVHCXIs7-rS/view?usp=drivesdk</v>
      </c>
      <c r="D6129" s="12"/>
      <c r="E6129" s="11">
        <v>6172.0</v>
      </c>
      <c r="F6129" s="2"/>
    </row>
    <row r="6130" ht="1.5" customHeight="1">
      <c r="A6130" s="4" t="str">
        <f>IFERROR(__xludf.DUMMYFUNCTION("""COMPUTED_VALUE"""),"1. Microwave")</f>
        <v>1. Microwave</v>
      </c>
      <c r="B6130" s="4" t="str">
        <f>IFERROR(__xludf.DUMMYFUNCTION("""COMPUTED_VALUE"""),"1")</f>
        <v>1</v>
      </c>
      <c r="C6130" s="5" t="str">
        <f>IFERROR(__xludf.DUMMYFUNCTION("""COMPUTED_VALUE"""),"https://drive.google.com/file/d/1N1-hLZEnHQiO06H1u4kMchEXX_0GidRg/view?usp=drivesdk")</f>
        <v>https://drive.google.com/file/d/1N1-hLZEnHQiO06H1u4kMchEXX_0GidRg/view?usp=drivesdk</v>
      </c>
      <c r="D6130" s="12"/>
      <c r="E6130" s="11">
        <v>6173.0</v>
      </c>
      <c r="F6130" s="2"/>
    </row>
    <row r="6131" ht="1.5" customHeight="1">
      <c r="A6131" s="4" t="str">
        <f>IFERROR(__xludf.DUMMYFUNCTION("""COMPUTED_VALUE"""),"1. Microwave")</f>
        <v>1. Microwave</v>
      </c>
      <c r="B6131" s="4" t="str">
        <f>IFERROR(__xludf.DUMMYFUNCTION("""COMPUTED_VALUE"""),"1")</f>
        <v>1</v>
      </c>
      <c r="C6131" s="5" t="str">
        <f>IFERROR(__xludf.DUMMYFUNCTION("""COMPUTED_VALUE"""),"https://drive.google.com/file/d/1R3wztfImWYImnf5iMlcoN8DQ5BHr7gv8/view?usp=drivesdk")</f>
        <v>https://drive.google.com/file/d/1R3wztfImWYImnf5iMlcoN8DQ5BHr7gv8/view?usp=drivesdk</v>
      </c>
      <c r="D6131" s="12"/>
      <c r="E6131" s="11">
        <v>6174.0</v>
      </c>
      <c r="F6131" s="2"/>
    </row>
    <row r="6132" ht="1.5" customHeight="1">
      <c r="A6132" s="4" t="str">
        <f>IFERROR(__xludf.DUMMYFUNCTION("""COMPUTED_VALUE"""),"1. Microwave")</f>
        <v>1. Microwave</v>
      </c>
      <c r="B6132" s="4" t="str">
        <f>IFERROR(__xludf.DUMMYFUNCTION("""COMPUTED_VALUE"""),"1")</f>
        <v>1</v>
      </c>
      <c r="C6132" s="5" t="str">
        <f>IFERROR(__xludf.DUMMYFUNCTION("""COMPUTED_VALUE"""),"https://drive.google.com/file/d/1f6ap0jedT72BzT0shrx5XKkjsQRMGIra/view?usp=drivesdk")</f>
        <v>https://drive.google.com/file/d/1f6ap0jedT72BzT0shrx5XKkjsQRMGIra/view?usp=drivesdk</v>
      </c>
      <c r="D6132" s="12"/>
      <c r="E6132" s="11">
        <v>6175.0</v>
      </c>
      <c r="F6132" s="2"/>
    </row>
    <row r="6133" ht="1.5" customHeight="1">
      <c r="A6133" s="4" t="str">
        <f>IFERROR(__xludf.DUMMYFUNCTION("""COMPUTED_VALUE"""),"4. Eggs")</f>
        <v>4. Eggs</v>
      </c>
      <c r="B6133" s="4" t="str">
        <f>IFERROR(__xludf.DUMMYFUNCTION("""COMPUTED_VALUE"""),"4")</f>
        <v>4</v>
      </c>
      <c r="C6133" s="5" t="str">
        <f>IFERROR(__xludf.DUMMYFUNCTION("""COMPUTED_VALUE"""),"https://drive.google.com/file/d/1dG4YQ3fwYfwXBlsf8EVVrfbQBFYjuaMP/view?usp=drivesdk")</f>
        <v>https://drive.google.com/file/d/1dG4YQ3fwYfwXBlsf8EVVrfbQBFYjuaMP/view?usp=drivesdk</v>
      </c>
      <c r="D6133" s="12"/>
      <c r="E6133" s="11">
        <v>6176.0</v>
      </c>
      <c r="F6133" s="2"/>
    </row>
    <row r="6134" ht="1.5" customHeight="1">
      <c r="A6134" s="4" t="str">
        <f>IFERROR(__xludf.DUMMYFUNCTION("""COMPUTED_VALUE"""),"4. Eggs")</f>
        <v>4. Eggs</v>
      </c>
      <c r="B6134" s="4" t="str">
        <f>IFERROR(__xludf.DUMMYFUNCTION("""COMPUTED_VALUE"""),"4")</f>
        <v>4</v>
      </c>
      <c r="C6134" s="5" t="str">
        <f>IFERROR(__xludf.DUMMYFUNCTION("""COMPUTED_VALUE"""),"https://drive.google.com/file/d/1lxgnRvxpWMrMmnRKrRteW_A0IueHhA6K/view?usp=drivesdk")</f>
        <v>https://drive.google.com/file/d/1lxgnRvxpWMrMmnRKrRteW_A0IueHhA6K/view?usp=drivesdk</v>
      </c>
      <c r="D6134" s="12"/>
      <c r="E6134" s="11">
        <v>6177.0</v>
      </c>
      <c r="F6134" s="2"/>
    </row>
    <row r="6135" ht="1.5" customHeight="1">
      <c r="A6135" s="4" t="str">
        <f>IFERROR(__xludf.DUMMYFUNCTION("""COMPUTED_VALUE"""),"4. Eggs")</f>
        <v>4. Eggs</v>
      </c>
      <c r="B6135" s="4" t="str">
        <f>IFERROR(__xludf.DUMMYFUNCTION("""COMPUTED_VALUE"""),"4")</f>
        <v>4</v>
      </c>
      <c r="C6135" s="5" t="str">
        <f>IFERROR(__xludf.DUMMYFUNCTION("""COMPUTED_VALUE"""),"https://drive.google.com/file/d/17bb6v1lGlXF-ZU8Ft2BKMUssifwQ4cEN/view?usp=drivesdk")</f>
        <v>https://drive.google.com/file/d/17bb6v1lGlXF-ZU8Ft2BKMUssifwQ4cEN/view?usp=drivesdk</v>
      </c>
      <c r="D6135" s="12"/>
      <c r="E6135" s="11">
        <v>6178.0</v>
      </c>
      <c r="F6135" s="2"/>
    </row>
    <row r="6136" ht="1.5" customHeight="1">
      <c r="A6136" s="4" t="str">
        <f>IFERROR(__xludf.DUMMYFUNCTION("""COMPUTED_VALUE"""),"4. Eggs")</f>
        <v>4. Eggs</v>
      </c>
      <c r="B6136" s="4" t="str">
        <f>IFERROR(__xludf.DUMMYFUNCTION("""COMPUTED_VALUE"""),"4")</f>
        <v>4</v>
      </c>
      <c r="C6136" s="5" t="str">
        <f>IFERROR(__xludf.DUMMYFUNCTION("""COMPUTED_VALUE"""),"https://drive.google.com/file/d/1cqc9H3A3ewQy6tMu8W2gnl_fE4t2Ypds/view?usp=drivesdk")</f>
        <v>https://drive.google.com/file/d/1cqc9H3A3ewQy6tMu8W2gnl_fE4t2Ypds/view?usp=drivesdk</v>
      </c>
      <c r="D6136" s="12"/>
      <c r="E6136" s="11">
        <v>6179.0</v>
      </c>
      <c r="F6136" s="2"/>
    </row>
    <row r="6137" ht="1.5" customHeight="1">
      <c r="A6137" s="4" t="str">
        <f>IFERROR(__xludf.DUMMYFUNCTION("""COMPUTED_VALUE"""),"4. Eggs")</f>
        <v>4. Eggs</v>
      </c>
      <c r="B6137" s="4" t="str">
        <f>IFERROR(__xludf.DUMMYFUNCTION("""COMPUTED_VALUE"""),"4")</f>
        <v>4</v>
      </c>
      <c r="C6137" s="5" t="str">
        <f>IFERROR(__xludf.DUMMYFUNCTION("""COMPUTED_VALUE"""),"https://drive.google.com/file/d/10WVOTuM7_mbOwU-shmouh6PmCZAveolg/view?usp=drivesdk")</f>
        <v>https://drive.google.com/file/d/10WVOTuM7_mbOwU-shmouh6PmCZAveolg/view?usp=drivesdk</v>
      </c>
      <c r="D6137" s="12"/>
      <c r="E6137" s="11">
        <v>6180.0</v>
      </c>
      <c r="F6137" s="2"/>
    </row>
    <row r="6138" ht="1.5" customHeight="1">
      <c r="A6138" s="4" t="str">
        <f>IFERROR(__xludf.DUMMYFUNCTION("""COMPUTED_VALUE"""),"4. Eggs")</f>
        <v>4. Eggs</v>
      </c>
      <c r="B6138" s="4" t="str">
        <f>IFERROR(__xludf.DUMMYFUNCTION("""COMPUTED_VALUE"""),"4")</f>
        <v>4</v>
      </c>
      <c r="C6138" s="5" t="str">
        <f>IFERROR(__xludf.DUMMYFUNCTION("""COMPUTED_VALUE"""),"https://drive.google.com/file/d/1xUKeNY9qg-6XNkLkU6H3f9gjnPoVWqgV/view?usp=drivesdk")</f>
        <v>https://drive.google.com/file/d/1xUKeNY9qg-6XNkLkU6H3f9gjnPoVWqgV/view?usp=drivesdk</v>
      </c>
      <c r="D6138" s="12"/>
      <c r="E6138" s="11">
        <v>6181.0</v>
      </c>
      <c r="F6138" s="2"/>
    </row>
    <row r="6139" ht="1.5" customHeight="1">
      <c r="A6139" s="4" t="str">
        <f>IFERROR(__xludf.DUMMYFUNCTION("""COMPUTED_VALUE"""),"4. Eggs")</f>
        <v>4. Eggs</v>
      </c>
      <c r="B6139" s="4" t="str">
        <f>IFERROR(__xludf.DUMMYFUNCTION("""COMPUTED_VALUE"""),"4")</f>
        <v>4</v>
      </c>
      <c r="C6139" s="5" t="str">
        <f>IFERROR(__xludf.DUMMYFUNCTION("""COMPUTED_VALUE"""),"https://drive.google.com/file/d/1IdkXmO8HYh5l0Kt6mRAY3lGo41ghno39/view?usp=drivesdk")</f>
        <v>https://drive.google.com/file/d/1IdkXmO8HYh5l0Kt6mRAY3lGo41ghno39/view?usp=drivesdk</v>
      </c>
      <c r="D6139" s="12"/>
      <c r="E6139" s="11">
        <v>6182.0</v>
      </c>
      <c r="F6139" s="2"/>
    </row>
    <row r="6140" ht="1.5" customHeight="1">
      <c r="A6140" s="4" t="str">
        <f>IFERROR(__xludf.DUMMYFUNCTION("""COMPUTED_VALUE"""),"4. Eggs")</f>
        <v>4. Eggs</v>
      </c>
      <c r="B6140" s="4" t="str">
        <f>IFERROR(__xludf.DUMMYFUNCTION("""COMPUTED_VALUE"""),"4")</f>
        <v>4</v>
      </c>
      <c r="C6140" s="5" t="str">
        <f>IFERROR(__xludf.DUMMYFUNCTION("""COMPUTED_VALUE"""),"https://drive.google.com/file/d/1qQ0uBng8ZK3sYFU_Qa4Y5fep5A-8G-IS/view?usp=drivesdk")</f>
        <v>https://drive.google.com/file/d/1qQ0uBng8ZK3sYFU_Qa4Y5fep5A-8G-IS/view?usp=drivesdk</v>
      </c>
      <c r="D6140" s="12"/>
      <c r="E6140" s="11">
        <v>6183.0</v>
      </c>
      <c r="F6140" s="2"/>
    </row>
    <row r="6141" ht="1.5" customHeight="1">
      <c r="A6141" s="4" t="str">
        <f>IFERROR(__xludf.DUMMYFUNCTION("""COMPUTED_VALUE"""),"4. Eggs")</f>
        <v>4. Eggs</v>
      </c>
      <c r="B6141" s="4" t="str">
        <f>IFERROR(__xludf.DUMMYFUNCTION("""COMPUTED_VALUE"""),"4")</f>
        <v>4</v>
      </c>
      <c r="C6141" s="5" t="str">
        <f>IFERROR(__xludf.DUMMYFUNCTION("""COMPUTED_VALUE"""),"https://drive.google.com/file/d/1Nx9aeSESh8TA07k8yfHeIf9dmQH240U-/view?usp=drivesdk")</f>
        <v>https://drive.google.com/file/d/1Nx9aeSESh8TA07k8yfHeIf9dmQH240U-/view?usp=drivesdk</v>
      </c>
      <c r="D6141" s="12"/>
      <c r="E6141" s="11">
        <v>6184.0</v>
      </c>
      <c r="F6141" s="2"/>
    </row>
    <row r="6142" ht="1.5" customHeight="1">
      <c r="A6142" s="4" t="str">
        <f>IFERROR(__xludf.DUMMYFUNCTION("""COMPUTED_VALUE"""),"4. Eggs")</f>
        <v>4. Eggs</v>
      </c>
      <c r="B6142" s="4" t="str">
        <f>IFERROR(__xludf.DUMMYFUNCTION("""COMPUTED_VALUE"""),"4")</f>
        <v>4</v>
      </c>
      <c r="C6142" s="5" t="str">
        <f>IFERROR(__xludf.DUMMYFUNCTION("""COMPUTED_VALUE"""),"https://drive.google.com/file/d/1elmCfazCs2iSWS2bd60FYtzB4dctPGat/view?usp=drivesdk")</f>
        <v>https://drive.google.com/file/d/1elmCfazCs2iSWS2bd60FYtzB4dctPGat/view?usp=drivesdk</v>
      </c>
      <c r="D6142" s="12"/>
      <c r="E6142" s="11">
        <v>6185.0</v>
      </c>
      <c r="F6142" s="2"/>
    </row>
    <row r="6143" ht="1.5" customHeight="1">
      <c r="A6143" s="4" t="str">
        <f>IFERROR(__xludf.DUMMYFUNCTION("""COMPUTED_VALUE"""),"4. Eggs, 5. Eraser")</f>
        <v>4. Eggs, 5. Eraser</v>
      </c>
      <c r="B6143" s="4" t="str">
        <f>IFERROR(__xludf.DUMMYFUNCTION("""COMPUTED_VALUE"""),"4, 5")</f>
        <v>4, 5</v>
      </c>
      <c r="C6143" s="5" t="str">
        <f>IFERROR(__xludf.DUMMYFUNCTION("""COMPUTED_VALUE"""),"https://drive.google.com/file/d/1h0BAzbpZ9fZ2_dqfXLz57CdL1HqAItiD/view?usp=drivesdk")</f>
        <v>https://drive.google.com/file/d/1h0BAzbpZ9fZ2_dqfXLz57CdL1HqAItiD/view?usp=drivesdk</v>
      </c>
      <c r="D6143" s="12"/>
      <c r="E6143" s="11">
        <v>6186.0</v>
      </c>
      <c r="F6143" s="2"/>
    </row>
    <row r="6144" ht="1.5" customHeight="1">
      <c r="A6144" s="4" t="str">
        <f>IFERROR(__xludf.DUMMYFUNCTION("""COMPUTED_VALUE"""),"4. Eggs, 5. Eraser")</f>
        <v>4. Eggs, 5. Eraser</v>
      </c>
      <c r="B6144" s="4" t="str">
        <f>IFERROR(__xludf.DUMMYFUNCTION("""COMPUTED_VALUE"""),"4, 5")</f>
        <v>4, 5</v>
      </c>
      <c r="C6144" s="5" t="str">
        <f>IFERROR(__xludf.DUMMYFUNCTION("""COMPUTED_VALUE"""),"https://drive.google.com/file/d/13Z63ep967QM4TSngZAT0K6I1lgeeJyth/view?usp=drivesdk")</f>
        <v>https://drive.google.com/file/d/13Z63ep967QM4TSngZAT0K6I1lgeeJyth/view?usp=drivesdk</v>
      </c>
      <c r="D6144" s="12"/>
      <c r="E6144" s="11">
        <v>6187.0</v>
      </c>
      <c r="F6144" s="2"/>
    </row>
    <row r="6145" ht="1.5" customHeight="1">
      <c r="A6145" s="4" t="str">
        <f>IFERROR(__xludf.DUMMYFUNCTION("""COMPUTED_VALUE"""),"4. Eggs, 5. Eraser")</f>
        <v>4. Eggs, 5. Eraser</v>
      </c>
      <c r="B6145" s="4" t="str">
        <f>IFERROR(__xludf.DUMMYFUNCTION("""COMPUTED_VALUE"""),"4, 5")</f>
        <v>4, 5</v>
      </c>
      <c r="C6145" s="5" t="str">
        <f>IFERROR(__xludf.DUMMYFUNCTION("""COMPUTED_VALUE"""),"https://drive.google.com/file/d/1mpG2P9xz0Cq_5zEvXEKqYR0kGZf3Q5uw/view?usp=drivesdk")</f>
        <v>https://drive.google.com/file/d/1mpG2P9xz0Cq_5zEvXEKqYR0kGZf3Q5uw/view?usp=drivesdk</v>
      </c>
      <c r="D6145" s="12"/>
      <c r="E6145" s="11">
        <v>6188.0</v>
      </c>
      <c r="F6145" s="2"/>
    </row>
    <row r="6146" ht="1.5" customHeight="1">
      <c r="A6146" s="4" t="str">
        <f>IFERROR(__xludf.DUMMYFUNCTION("""COMPUTED_VALUE"""),"4. Eggs, 5. Eraser")</f>
        <v>4. Eggs, 5. Eraser</v>
      </c>
      <c r="B6146" s="4" t="str">
        <f>IFERROR(__xludf.DUMMYFUNCTION("""COMPUTED_VALUE"""),"4, 5")</f>
        <v>4, 5</v>
      </c>
      <c r="C6146" s="5" t="str">
        <f>IFERROR(__xludf.DUMMYFUNCTION("""COMPUTED_VALUE"""),"https://drive.google.com/file/d/14wBu7j0WSu1rGxzcdbDtnKxdJ3M-8b0A/view?usp=drivesdk")</f>
        <v>https://drive.google.com/file/d/14wBu7j0WSu1rGxzcdbDtnKxdJ3M-8b0A/view?usp=drivesdk</v>
      </c>
      <c r="D6146" s="12"/>
      <c r="E6146" s="11">
        <v>6189.0</v>
      </c>
      <c r="F6146" s="2"/>
    </row>
    <row r="6147" ht="1.5" customHeight="1">
      <c r="A6147" s="4" t="str">
        <f>IFERROR(__xludf.DUMMYFUNCTION("""COMPUTED_VALUE"""),"4. Eggs, 5. Eraser")</f>
        <v>4. Eggs, 5. Eraser</v>
      </c>
      <c r="B6147" s="4" t="str">
        <f>IFERROR(__xludf.DUMMYFUNCTION("""COMPUTED_VALUE"""),"4, 5")</f>
        <v>4, 5</v>
      </c>
      <c r="C6147" s="5" t="str">
        <f>IFERROR(__xludf.DUMMYFUNCTION("""COMPUTED_VALUE"""),"https://drive.google.com/file/d/1_IKygdKHEpj65TKngvxVmdLCaUpXHbqQ/view?usp=drivesdk")</f>
        <v>https://drive.google.com/file/d/1_IKygdKHEpj65TKngvxVmdLCaUpXHbqQ/view?usp=drivesdk</v>
      </c>
      <c r="D6147" s="12"/>
      <c r="E6147" s="11">
        <v>6190.0</v>
      </c>
      <c r="F6147" s="2"/>
    </row>
    <row r="6148" ht="1.5" customHeight="1">
      <c r="A6148" s="4" t="str">
        <f>IFERROR(__xludf.DUMMYFUNCTION("""COMPUTED_VALUE"""),"4. Eggs, 5. Eraser")</f>
        <v>4. Eggs, 5. Eraser</v>
      </c>
      <c r="B6148" s="4" t="str">
        <f>IFERROR(__xludf.DUMMYFUNCTION("""COMPUTED_VALUE"""),"4, 5")</f>
        <v>4, 5</v>
      </c>
      <c r="C6148" s="5" t="str">
        <f>IFERROR(__xludf.DUMMYFUNCTION("""COMPUTED_VALUE"""),"https://drive.google.com/file/d/1u3Jdz0ZihoypyMVI8p4ekt1WzWnSe4SM/view?usp=drivesdk")</f>
        <v>https://drive.google.com/file/d/1u3Jdz0ZihoypyMVI8p4ekt1WzWnSe4SM/view?usp=drivesdk</v>
      </c>
      <c r="D6148" s="12"/>
      <c r="E6148" s="11">
        <v>6191.0</v>
      </c>
      <c r="F6148" s="2"/>
    </row>
    <row r="6149" ht="1.5" customHeight="1">
      <c r="A6149" s="4" t="str">
        <f>IFERROR(__xludf.DUMMYFUNCTION("""COMPUTED_VALUE"""),"4. Eggs, 5. Eraser")</f>
        <v>4. Eggs, 5. Eraser</v>
      </c>
      <c r="B6149" s="4" t="str">
        <f>IFERROR(__xludf.DUMMYFUNCTION("""COMPUTED_VALUE"""),"4, 5")</f>
        <v>4, 5</v>
      </c>
      <c r="C6149" s="5" t="str">
        <f>IFERROR(__xludf.DUMMYFUNCTION("""COMPUTED_VALUE"""),"https://drive.google.com/file/d/1y41A4B24jVwVCBHgRuX2YWc9rvG7vZmr/view?usp=drivesdk")</f>
        <v>https://drive.google.com/file/d/1y41A4B24jVwVCBHgRuX2YWc9rvG7vZmr/view?usp=drivesdk</v>
      </c>
      <c r="D6149" s="12"/>
      <c r="E6149" s="11">
        <v>6192.0</v>
      </c>
      <c r="F6149" s="2"/>
    </row>
    <row r="6150" ht="1.5" customHeight="1">
      <c r="A6150" s="4" t="str">
        <f>IFERROR(__xludf.DUMMYFUNCTION("""COMPUTED_VALUE"""),"2. Twix")</f>
        <v>2. Twix</v>
      </c>
      <c r="B6150" s="4" t="str">
        <f>IFERROR(__xludf.DUMMYFUNCTION("""COMPUTED_VALUE"""),"2")</f>
        <v>2</v>
      </c>
      <c r="C6150" s="5" t="str">
        <f>IFERROR(__xludf.DUMMYFUNCTION("""COMPUTED_VALUE"""),"https://drive.google.com/file/d/1VKJIYY1_UFLm8DwALxOVpzDjgo7f22fS/view?usp=drivesdk")</f>
        <v>https://drive.google.com/file/d/1VKJIYY1_UFLm8DwALxOVpzDjgo7f22fS/view?usp=drivesdk</v>
      </c>
      <c r="D6150" s="12"/>
      <c r="E6150" s="11">
        <v>6193.0</v>
      </c>
      <c r="F6150" s="2"/>
    </row>
    <row r="6151" ht="1.5" customHeight="1">
      <c r="A6151" s="4" t="str">
        <f>IFERROR(__xludf.DUMMYFUNCTION("""COMPUTED_VALUE"""),"2. Twix")</f>
        <v>2. Twix</v>
      </c>
      <c r="B6151" s="4" t="str">
        <f>IFERROR(__xludf.DUMMYFUNCTION("""COMPUTED_VALUE"""),"2")</f>
        <v>2</v>
      </c>
      <c r="C6151" s="5" t="str">
        <f>IFERROR(__xludf.DUMMYFUNCTION("""COMPUTED_VALUE"""),"https://drive.google.com/file/d/1ToxIqaempqm82BlTroro__VlmZdV9SCH/view?usp=drivesdk")</f>
        <v>https://drive.google.com/file/d/1ToxIqaempqm82BlTroro__VlmZdV9SCH/view?usp=drivesdk</v>
      </c>
      <c r="D6151" s="12"/>
      <c r="E6151" s="11">
        <v>6194.0</v>
      </c>
      <c r="F6151" s="2"/>
    </row>
    <row r="6152" ht="1.5" customHeight="1">
      <c r="A6152" s="4" t="str">
        <f>IFERROR(__xludf.DUMMYFUNCTION("""COMPUTED_VALUE"""),"2. Twix")</f>
        <v>2. Twix</v>
      </c>
      <c r="B6152" s="4" t="str">
        <f>IFERROR(__xludf.DUMMYFUNCTION("""COMPUTED_VALUE"""),"2")</f>
        <v>2</v>
      </c>
      <c r="C6152" s="5" t="str">
        <f>IFERROR(__xludf.DUMMYFUNCTION("""COMPUTED_VALUE"""),"https://drive.google.com/file/d/1Uer7rK2bMjw6eOn6rUuEeJclzfPiZAZN/view?usp=drivesdk")</f>
        <v>https://drive.google.com/file/d/1Uer7rK2bMjw6eOn6rUuEeJclzfPiZAZN/view?usp=drivesdk</v>
      </c>
      <c r="D6152" s="12"/>
      <c r="E6152" s="11">
        <v>6195.0</v>
      </c>
      <c r="F6152" s="2"/>
    </row>
    <row r="6153" ht="1.5" customHeight="1">
      <c r="A6153" s="4" t="str">
        <f>IFERROR(__xludf.DUMMYFUNCTION("""COMPUTED_VALUE"""),"2. Twix")</f>
        <v>2. Twix</v>
      </c>
      <c r="B6153" s="4" t="str">
        <f>IFERROR(__xludf.DUMMYFUNCTION("""COMPUTED_VALUE"""),"2")</f>
        <v>2</v>
      </c>
      <c r="C6153" s="5" t="str">
        <f>IFERROR(__xludf.DUMMYFUNCTION("""COMPUTED_VALUE"""),"https://drive.google.com/file/d/1T2K_qL5VClJYDMEG9ROgdBtlZmtEYEkU/view?usp=drivesdk")</f>
        <v>https://drive.google.com/file/d/1T2K_qL5VClJYDMEG9ROgdBtlZmtEYEkU/view?usp=drivesdk</v>
      </c>
      <c r="D6153" s="12"/>
      <c r="E6153" s="11">
        <v>6196.0</v>
      </c>
      <c r="F6153" s="2"/>
    </row>
    <row r="6154" ht="1.5" customHeight="1">
      <c r="A6154" s="4" t="str">
        <f>IFERROR(__xludf.DUMMYFUNCTION("""COMPUTED_VALUE"""),"2. Twix")</f>
        <v>2. Twix</v>
      </c>
      <c r="B6154" s="4" t="str">
        <f>IFERROR(__xludf.DUMMYFUNCTION("""COMPUTED_VALUE"""),"2")</f>
        <v>2</v>
      </c>
      <c r="C6154" s="5" t="str">
        <f>IFERROR(__xludf.DUMMYFUNCTION("""COMPUTED_VALUE"""),"https://drive.google.com/file/d/1KG5etw5McxC37F3uSPeRMusf7mj4eLnV/view?usp=drivesdk")</f>
        <v>https://drive.google.com/file/d/1KG5etw5McxC37F3uSPeRMusf7mj4eLnV/view?usp=drivesdk</v>
      </c>
      <c r="D6154" s="12"/>
      <c r="E6154" s="11">
        <v>6197.0</v>
      </c>
      <c r="F6154" s="2"/>
    </row>
    <row r="6155" ht="1.5" customHeight="1">
      <c r="A6155" s="4" t="str">
        <f>IFERROR(__xludf.DUMMYFUNCTION("""COMPUTED_VALUE"""),"2. Twix")</f>
        <v>2. Twix</v>
      </c>
      <c r="B6155" s="4" t="str">
        <f>IFERROR(__xludf.DUMMYFUNCTION("""COMPUTED_VALUE"""),"2")</f>
        <v>2</v>
      </c>
      <c r="C6155" s="5" t="str">
        <f>IFERROR(__xludf.DUMMYFUNCTION("""COMPUTED_VALUE"""),"https://drive.google.com/file/d/1TyfuT0qfNdJqYZIGTbYkLIjstrzY_mcj/view?usp=drivesdk")</f>
        <v>https://drive.google.com/file/d/1TyfuT0qfNdJqYZIGTbYkLIjstrzY_mcj/view?usp=drivesdk</v>
      </c>
      <c r="D6155" s="12"/>
      <c r="E6155" s="11">
        <v>6198.0</v>
      </c>
      <c r="F6155" s="2"/>
    </row>
    <row r="6156" ht="1.5" customHeight="1">
      <c r="A6156" s="4" t="str">
        <f>IFERROR(__xludf.DUMMYFUNCTION("""COMPUTED_VALUE"""),"2. Twix")</f>
        <v>2. Twix</v>
      </c>
      <c r="B6156" s="4" t="str">
        <f>IFERROR(__xludf.DUMMYFUNCTION("""COMPUTED_VALUE"""),"2")</f>
        <v>2</v>
      </c>
      <c r="C6156" s="5" t="str">
        <f>IFERROR(__xludf.DUMMYFUNCTION("""COMPUTED_VALUE"""),"https://drive.google.com/file/d/17wXFr4OypmKT5HtP7ipfDZRsDc9AiNIx/view?usp=drivesdk")</f>
        <v>https://drive.google.com/file/d/17wXFr4OypmKT5HtP7ipfDZRsDc9AiNIx/view?usp=drivesdk</v>
      </c>
      <c r="D6156" s="12"/>
      <c r="E6156" s="11">
        <v>6199.0</v>
      </c>
      <c r="F6156" s="2"/>
    </row>
    <row r="6157" ht="1.5" customHeight="1">
      <c r="A6157" s="4" t="str">
        <f>IFERROR(__xludf.DUMMYFUNCTION("""COMPUTED_VALUE"""),"2. Twix")</f>
        <v>2. Twix</v>
      </c>
      <c r="B6157" s="4" t="str">
        <f>IFERROR(__xludf.DUMMYFUNCTION("""COMPUTED_VALUE"""),"2")</f>
        <v>2</v>
      </c>
      <c r="C6157" s="5" t="str">
        <f>IFERROR(__xludf.DUMMYFUNCTION("""COMPUTED_VALUE"""),"https://drive.google.com/file/d/1rEipYf2Feh68xm_7E-R8VmUoLDY7hdUR/view?usp=drivesdk")</f>
        <v>https://drive.google.com/file/d/1rEipYf2Feh68xm_7E-R8VmUoLDY7hdUR/view?usp=drivesdk</v>
      </c>
      <c r="D6157" s="12"/>
      <c r="E6157" s="11">
        <v>6200.0</v>
      </c>
      <c r="F6157" s="2"/>
    </row>
    <row r="6158" ht="1.5" customHeight="1">
      <c r="A6158" s="4" t="str">
        <f>IFERROR(__xludf.DUMMYFUNCTION("""COMPUTED_VALUE"""),"2. Twix")</f>
        <v>2. Twix</v>
      </c>
      <c r="B6158" s="4" t="str">
        <f>IFERROR(__xludf.DUMMYFUNCTION("""COMPUTED_VALUE"""),"2")</f>
        <v>2</v>
      </c>
      <c r="C6158" s="5" t="str">
        <f>IFERROR(__xludf.DUMMYFUNCTION("""COMPUTED_VALUE"""),"https://drive.google.com/file/d/1icul6LHgLo_hZKwsI07i_Tp4lp4yGjQ8/view?usp=drivesdk")</f>
        <v>https://drive.google.com/file/d/1icul6LHgLo_hZKwsI07i_Tp4lp4yGjQ8/view?usp=drivesdk</v>
      </c>
      <c r="D6158" s="12"/>
      <c r="E6158" s="11">
        <v>6201.0</v>
      </c>
      <c r="F6158" s="2"/>
    </row>
    <row r="6159" ht="1.5" customHeight="1">
      <c r="A6159" s="4" t="str">
        <f>IFERROR(__xludf.DUMMYFUNCTION("""COMPUTED_VALUE"""),"1. Microwave")</f>
        <v>1. Microwave</v>
      </c>
      <c r="B6159" s="4" t="str">
        <f>IFERROR(__xludf.DUMMYFUNCTION("""COMPUTED_VALUE"""),"1")</f>
        <v>1</v>
      </c>
      <c r="C6159" s="5" t="str">
        <f>IFERROR(__xludf.DUMMYFUNCTION("""COMPUTED_VALUE"""),"https://drive.google.com/file/d/1tCxSpU9_zQfVKp-lfk6zrDDion4vBQWz/view?usp=drivesdk")</f>
        <v>https://drive.google.com/file/d/1tCxSpU9_zQfVKp-lfk6zrDDion4vBQWz/view?usp=drivesdk</v>
      </c>
      <c r="D6159" s="12"/>
      <c r="E6159" s="11">
        <v>6202.0</v>
      </c>
      <c r="F6159" s="2"/>
    </row>
    <row r="6160" ht="1.5" customHeight="1">
      <c r="A6160" s="4" t="str">
        <f>IFERROR(__xludf.DUMMYFUNCTION("""COMPUTED_VALUE"""),"1. Microwave")</f>
        <v>1. Microwave</v>
      </c>
      <c r="B6160" s="4" t="str">
        <f>IFERROR(__xludf.DUMMYFUNCTION("""COMPUTED_VALUE"""),"1")</f>
        <v>1</v>
      </c>
      <c r="C6160" s="5" t="str">
        <f>IFERROR(__xludf.DUMMYFUNCTION("""COMPUTED_VALUE"""),"https://drive.google.com/file/d/1iWCymwo6hW_lTlX_GL7AUT9-iR5Wr-2m/view?usp=drivesdk")</f>
        <v>https://drive.google.com/file/d/1iWCymwo6hW_lTlX_GL7AUT9-iR5Wr-2m/view?usp=drivesdk</v>
      </c>
      <c r="D6160" s="12"/>
      <c r="E6160" s="11">
        <v>6203.0</v>
      </c>
      <c r="F6160" s="2"/>
    </row>
    <row r="6161" ht="1.5" customHeight="1">
      <c r="A6161" s="4" t="str">
        <f>IFERROR(__xludf.DUMMYFUNCTION("""COMPUTED_VALUE"""),"1. Microwave")</f>
        <v>1. Microwave</v>
      </c>
      <c r="B6161" s="4" t="str">
        <f>IFERROR(__xludf.DUMMYFUNCTION("""COMPUTED_VALUE"""),"1")</f>
        <v>1</v>
      </c>
      <c r="C6161" s="5" t="str">
        <f>IFERROR(__xludf.DUMMYFUNCTION("""COMPUTED_VALUE"""),"https://drive.google.com/file/d/1It-v1WpV4EW4Fuy-7CdSpoJX-EFlGASr/view?usp=drivesdk")</f>
        <v>https://drive.google.com/file/d/1It-v1WpV4EW4Fuy-7CdSpoJX-EFlGASr/view?usp=drivesdk</v>
      </c>
      <c r="D6161" s="12"/>
      <c r="E6161" s="11">
        <v>6204.0</v>
      </c>
      <c r="F6161" s="2"/>
    </row>
    <row r="6162" ht="1.5" customHeight="1">
      <c r="A6162" s="4" t="str">
        <f>IFERROR(__xludf.DUMMYFUNCTION("""COMPUTED_VALUE"""),"1. Microwave")</f>
        <v>1. Microwave</v>
      </c>
      <c r="B6162" s="4" t="str">
        <f>IFERROR(__xludf.DUMMYFUNCTION("""COMPUTED_VALUE"""),"1")</f>
        <v>1</v>
      </c>
      <c r="C6162" s="5" t="str">
        <f>IFERROR(__xludf.DUMMYFUNCTION("""COMPUTED_VALUE"""),"https://drive.google.com/file/d/1HxxHRjdBUdyOklnLOjR_Mg-1NRa6N2IL/view?usp=drivesdk")</f>
        <v>https://drive.google.com/file/d/1HxxHRjdBUdyOklnLOjR_Mg-1NRa6N2IL/view?usp=drivesdk</v>
      </c>
      <c r="D6162" s="12"/>
      <c r="E6162" s="11">
        <v>6205.0</v>
      </c>
      <c r="F6162" s="2"/>
    </row>
    <row r="6163" ht="1.5" customHeight="1">
      <c r="A6163" s="4" t="str">
        <f>IFERROR(__xludf.DUMMYFUNCTION("""COMPUTED_VALUE"""),"1. Microwave")</f>
        <v>1. Microwave</v>
      </c>
      <c r="B6163" s="4" t="str">
        <f>IFERROR(__xludf.DUMMYFUNCTION("""COMPUTED_VALUE"""),"1")</f>
        <v>1</v>
      </c>
      <c r="C6163" s="5" t="str">
        <f>IFERROR(__xludf.DUMMYFUNCTION("""COMPUTED_VALUE"""),"https://drive.google.com/file/d/1cp4k18277jBy9O0zRaOGL-edUZBYFg3K/view?usp=drivesdk")</f>
        <v>https://drive.google.com/file/d/1cp4k18277jBy9O0zRaOGL-edUZBYFg3K/view?usp=drivesdk</v>
      </c>
      <c r="D6163" s="12"/>
      <c r="E6163" s="11">
        <v>6206.0</v>
      </c>
      <c r="F6163" s="2"/>
    </row>
    <row r="6164" ht="1.5" customHeight="1">
      <c r="A6164" s="4" t="str">
        <f>IFERROR(__xludf.DUMMYFUNCTION("""COMPUTED_VALUE"""),"27. Angel")</f>
        <v>27. Angel</v>
      </c>
      <c r="B6164" s="4" t="str">
        <f>IFERROR(__xludf.DUMMYFUNCTION("""COMPUTED_VALUE"""),"27")</f>
        <v>27</v>
      </c>
      <c r="C6164" s="5" t="str">
        <f>IFERROR(__xludf.DUMMYFUNCTION("""COMPUTED_VALUE"""),"https://drive.google.com/file/d/15Si0nwc-I_tDEsJ8fKtXzENykM1OCQAU/view?usp=drivesdk")</f>
        <v>https://drive.google.com/file/d/15Si0nwc-I_tDEsJ8fKtXzENykM1OCQAU/view?usp=drivesdk</v>
      </c>
      <c r="D6164" s="12"/>
      <c r="E6164" s="11">
        <v>6207.0</v>
      </c>
      <c r="F6164" s="2"/>
    </row>
    <row r="6165" ht="1.5" customHeight="1">
      <c r="A6165" s="4" t="str">
        <f>IFERROR(__xludf.DUMMYFUNCTION("""COMPUTED_VALUE"""),"1. Microwave")</f>
        <v>1. Microwave</v>
      </c>
      <c r="B6165" s="4" t="str">
        <f>IFERROR(__xludf.DUMMYFUNCTION("""COMPUTED_VALUE"""),"1")</f>
        <v>1</v>
      </c>
      <c r="C6165" s="5" t="str">
        <f>IFERROR(__xludf.DUMMYFUNCTION("""COMPUTED_VALUE"""),"https://drive.google.com/file/d/1fj8zRMV7gsz9k8gxG-H2ULHInkzX2qkc/view?usp=drivesdk")</f>
        <v>https://drive.google.com/file/d/1fj8zRMV7gsz9k8gxG-H2ULHInkzX2qkc/view?usp=drivesdk</v>
      </c>
      <c r="D6165" s="12"/>
      <c r="E6165" s="11">
        <v>6208.0</v>
      </c>
      <c r="F6165" s="2"/>
    </row>
    <row r="6166" ht="1.5" customHeight="1">
      <c r="A6166" s="4" t="str">
        <f>IFERROR(__xludf.DUMMYFUNCTION("""COMPUTED_VALUE"""),"1. Microwave")</f>
        <v>1. Microwave</v>
      </c>
      <c r="B6166" s="4" t="str">
        <f>IFERROR(__xludf.DUMMYFUNCTION("""COMPUTED_VALUE"""),"1")</f>
        <v>1</v>
      </c>
      <c r="C6166" s="5" t="str">
        <f>IFERROR(__xludf.DUMMYFUNCTION("""COMPUTED_VALUE"""),"https://drive.google.com/file/d/1nEgRf2QqmnDkvdz23XWG_Evq_HPGXdum/view?usp=drivesdk")</f>
        <v>https://drive.google.com/file/d/1nEgRf2QqmnDkvdz23XWG_Evq_HPGXdum/view?usp=drivesdk</v>
      </c>
      <c r="D6166" s="12"/>
      <c r="E6166" s="11">
        <v>6209.0</v>
      </c>
      <c r="F6166" s="2"/>
    </row>
    <row r="6167" ht="1.5" customHeight="1">
      <c r="A6167" s="4" t="str">
        <f>IFERROR(__xludf.DUMMYFUNCTION("""COMPUTED_VALUE"""),"1. Microwave")</f>
        <v>1. Microwave</v>
      </c>
      <c r="B6167" s="4" t="str">
        <f>IFERROR(__xludf.DUMMYFUNCTION("""COMPUTED_VALUE"""),"1")</f>
        <v>1</v>
      </c>
      <c r="C6167" s="5" t="str">
        <f>IFERROR(__xludf.DUMMYFUNCTION("""COMPUTED_VALUE"""),"https://drive.google.com/file/d/1ULSX9mXDaLgcdThx79ECnZkuVuFob7Tp/view?usp=drivesdk")</f>
        <v>https://drive.google.com/file/d/1ULSX9mXDaLgcdThx79ECnZkuVuFob7Tp/view?usp=drivesdk</v>
      </c>
      <c r="D6167" s="12"/>
      <c r="E6167" s="11">
        <v>6210.0</v>
      </c>
      <c r="F6167" s="2"/>
    </row>
    <row r="6168" ht="1.5" customHeight="1">
      <c r="A6168" s="4" t="str">
        <f>IFERROR(__xludf.DUMMYFUNCTION("""COMPUTED_VALUE"""),"1. Microwave")</f>
        <v>1. Microwave</v>
      </c>
      <c r="B6168" s="4" t="str">
        <f>IFERROR(__xludf.DUMMYFUNCTION("""COMPUTED_VALUE"""),"1")</f>
        <v>1</v>
      </c>
      <c r="C6168" s="5" t="str">
        <f>IFERROR(__xludf.DUMMYFUNCTION("""COMPUTED_VALUE"""),"https://drive.google.com/file/d/1R54NtdC4ldJEdmIQXcX-HfK-eX0tUhay/view?usp=drivesdk")</f>
        <v>https://drive.google.com/file/d/1R54NtdC4ldJEdmIQXcX-HfK-eX0tUhay/view?usp=drivesdk</v>
      </c>
      <c r="D6168" s="12"/>
      <c r="E6168" s="11">
        <v>6211.0</v>
      </c>
      <c r="F6168" s="2"/>
    </row>
    <row r="6169" ht="1.5" customHeight="1">
      <c r="A6169" s="4" t="str">
        <f>IFERROR(__xludf.DUMMYFUNCTION("""COMPUTED_VALUE"""),"1. Microwave")</f>
        <v>1. Microwave</v>
      </c>
      <c r="B6169" s="4" t="str">
        <f>IFERROR(__xludf.DUMMYFUNCTION("""COMPUTED_VALUE"""),"1")</f>
        <v>1</v>
      </c>
      <c r="C6169" s="5" t="str">
        <f>IFERROR(__xludf.DUMMYFUNCTION("""COMPUTED_VALUE"""),"https://drive.google.com/file/d/1rhhA6wguszIVMHZMWt6E96uaTcVNjvy4/view?usp=drivesdk")</f>
        <v>https://drive.google.com/file/d/1rhhA6wguszIVMHZMWt6E96uaTcVNjvy4/view?usp=drivesdk</v>
      </c>
      <c r="D6169" s="12"/>
      <c r="E6169" s="11">
        <v>6212.0</v>
      </c>
      <c r="F6169" s="2"/>
    </row>
    <row r="6170" ht="1.5" customHeight="1">
      <c r="A6170" s="4" t="str">
        <f>IFERROR(__xludf.DUMMYFUNCTION("""COMPUTED_VALUE"""),"1. Microwave")</f>
        <v>1. Microwave</v>
      </c>
      <c r="B6170" s="4" t="str">
        <f>IFERROR(__xludf.DUMMYFUNCTION("""COMPUTED_VALUE"""),"1")</f>
        <v>1</v>
      </c>
      <c r="C6170" s="5" t="str">
        <f>IFERROR(__xludf.DUMMYFUNCTION("""COMPUTED_VALUE"""),"https://drive.google.com/file/d/13SutD2fI_kjaf_AHNjCfs4SB36CGmS9X/view?usp=drivesdk")</f>
        <v>https://drive.google.com/file/d/13SutD2fI_kjaf_AHNjCfs4SB36CGmS9X/view?usp=drivesdk</v>
      </c>
      <c r="D6170" s="12"/>
      <c r="E6170" s="11">
        <v>6213.0</v>
      </c>
      <c r="F6170" s="2"/>
    </row>
    <row r="6171" ht="1.5" customHeight="1">
      <c r="A6171" s="4" t="str">
        <f>IFERROR(__xludf.DUMMYFUNCTION("""COMPUTED_VALUE"""),"1. Microwave")</f>
        <v>1. Microwave</v>
      </c>
      <c r="B6171" s="4" t="str">
        <f>IFERROR(__xludf.DUMMYFUNCTION("""COMPUTED_VALUE"""),"1")</f>
        <v>1</v>
      </c>
      <c r="C6171" s="5" t="str">
        <f>IFERROR(__xludf.DUMMYFUNCTION("""COMPUTED_VALUE"""),"https://drive.google.com/file/d/1sWZoTBq4pZDwTt7VCQOUah7D7DUWVL3p/view?usp=drivesdk")</f>
        <v>https://drive.google.com/file/d/1sWZoTBq4pZDwTt7VCQOUah7D7DUWVL3p/view?usp=drivesdk</v>
      </c>
      <c r="D6171" s="12"/>
      <c r="E6171" s="11">
        <v>6214.0</v>
      </c>
      <c r="F6171" s="2"/>
    </row>
    <row r="6172" ht="1.5" customHeight="1">
      <c r="A6172" s="4" t="str">
        <f>IFERROR(__xludf.DUMMYFUNCTION("""COMPUTED_VALUE"""),"27. Angel")</f>
        <v>27. Angel</v>
      </c>
      <c r="B6172" s="4" t="str">
        <f>IFERROR(__xludf.DUMMYFUNCTION("""COMPUTED_VALUE"""),"27")</f>
        <v>27</v>
      </c>
      <c r="C6172" s="5" t="str">
        <f>IFERROR(__xludf.DUMMYFUNCTION("""COMPUTED_VALUE"""),"https://drive.google.com/file/d/13HKQvnt3Pm5MoxNuIKVtiMwRFKtytvqc/view?usp=drivesdk")</f>
        <v>https://drive.google.com/file/d/13HKQvnt3Pm5MoxNuIKVtiMwRFKtytvqc/view?usp=drivesdk</v>
      </c>
      <c r="D6172" s="12"/>
      <c r="E6172" s="11">
        <v>6215.0</v>
      </c>
      <c r="F6172" s="2"/>
    </row>
    <row r="6173" ht="1.5" customHeight="1">
      <c r="A6173" s="4" t="str">
        <f>IFERROR(__xludf.DUMMYFUNCTION("""COMPUTED_VALUE"""),"0. NotACat")</f>
        <v>0. NotACat</v>
      </c>
      <c r="B6173" s="4" t="str">
        <f>IFERROR(__xludf.DUMMYFUNCTION("""COMPUTED_VALUE"""),"0")</f>
        <v>0</v>
      </c>
      <c r="C6173" s="5" t="str">
        <f>IFERROR(__xludf.DUMMYFUNCTION("""COMPUTED_VALUE"""),"https://drive.google.com/file/d/1hFT3ltPVz-qNLEFPsArIli1EBu0njR4f/view?usp=drivesdk")</f>
        <v>https://drive.google.com/file/d/1hFT3ltPVz-qNLEFPsArIli1EBu0njR4f/view?usp=drivesdk</v>
      </c>
      <c r="D6173" s="12"/>
      <c r="E6173" s="11">
        <v>6216.0</v>
      </c>
      <c r="F6173" s="2"/>
    </row>
    <row r="6174" ht="1.5" customHeight="1">
      <c r="A6174" s="4" t="str">
        <f>IFERROR(__xludf.DUMMYFUNCTION("""COMPUTED_VALUE"""),"0. NotACat")</f>
        <v>0. NotACat</v>
      </c>
      <c r="B6174" s="4" t="str">
        <f>IFERROR(__xludf.DUMMYFUNCTION("""COMPUTED_VALUE"""),"0")</f>
        <v>0</v>
      </c>
      <c r="C6174" s="5" t="str">
        <f>IFERROR(__xludf.DUMMYFUNCTION("""COMPUTED_VALUE"""),"https://drive.google.com/file/d/1pkNEgjQpHt-a_J0Y7RMia-UZ9pLjuUgx/view?usp=drivesdk")</f>
        <v>https://drive.google.com/file/d/1pkNEgjQpHt-a_J0Y7RMia-UZ9pLjuUgx/view?usp=drivesdk</v>
      </c>
      <c r="D6174" s="12"/>
      <c r="E6174" s="11">
        <v>6217.0</v>
      </c>
      <c r="F6174" s="2"/>
    </row>
    <row r="6175" ht="1.5" customHeight="1">
      <c r="A6175" s="4" t="str">
        <f>IFERROR(__xludf.DUMMYFUNCTION("""COMPUTED_VALUE"""),"97.  Simba")</f>
        <v>97.  Simba</v>
      </c>
      <c r="B6175" s="4" t="str">
        <f>IFERROR(__xludf.DUMMYFUNCTION("""COMPUTED_VALUE"""),"97")</f>
        <v>97</v>
      </c>
      <c r="C6175" s="5" t="str">
        <f>IFERROR(__xludf.DUMMYFUNCTION("""COMPUTED_VALUE"""),"https://drive.google.com/file/d/1MSRbK3tFKooHgaB1krydhW8QIp6zCbGi/view?usp=drivesdk")</f>
        <v>https://drive.google.com/file/d/1MSRbK3tFKooHgaB1krydhW8QIp6zCbGi/view?usp=drivesdk</v>
      </c>
      <c r="D6175" s="12"/>
      <c r="E6175" s="11">
        <v>6218.0</v>
      </c>
      <c r="F6175" s="2"/>
    </row>
    <row r="6176" ht="1.5" customHeight="1">
      <c r="A6176" s="4" t="str">
        <f>IFERROR(__xludf.DUMMYFUNCTION("""COMPUTED_VALUE"""),"1. Microwave")</f>
        <v>1. Microwave</v>
      </c>
      <c r="B6176" s="4" t="str">
        <f>IFERROR(__xludf.DUMMYFUNCTION("""COMPUTED_VALUE"""),"1")</f>
        <v>1</v>
      </c>
      <c r="C6176" s="5" t="str">
        <f>IFERROR(__xludf.DUMMYFUNCTION("""COMPUTED_VALUE"""),"https://drive.google.com/file/d/1AkPY0tEutvEhU4vMycaEQSNYNrdZ3yr7/view?usp=drivesdk")</f>
        <v>https://drive.google.com/file/d/1AkPY0tEutvEhU4vMycaEQSNYNrdZ3yr7/view?usp=drivesdk</v>
      </c>
      <c r="D6176" s="12"/>
      <c r="E6176" s="11">
        <v>6219.0</v>
      </c>
      <c r="F6176" s="2"/>
    </row>
    <row r="6177" ht="1.5" customHeight="1">
      <c r="A6177" s="4" t="str">
        <f>IFERROR(__xludf.DUMMYFUNCTION("""COMPUTED_VALUE"""),"2. Twix")</f>
        <v>2. Twix</v>
      </c>
      <c r="B6177" s="4" t="str">
        <f>IFERROR(__xludf.DUMMYFUNCTION("""COMPUTED_VALUE"""),"2")</f>
        <v>2</v>
      </c>
      <c r="C6177" s="5" t="str">
        <f>IFERROR(__xludf.DUMMYFUNCTION("""COMPUTED_VALUE"""),"https://drive.google.com/file/d/1h0tVzitF8CgTjk8pKcox76EzUsK3ryvk/view?usp=drivesdk")</f>
        <v>https://drive.google.com/file/d/1h0tVzitF8CgTjk8pKcox76EzUsK3ryvk/view?usp=drivesdk</v>
      </c>
      <c r="D6177" s="12"/>
      <c r="E6177" s="11">
        <v>6220.0</v>
      </c>
      <c r="F6177" s="2"/>
    </row>
    <row r="6178" ht="1.5" customHeight="1">
      <c r="A6178" s="4" t="str">
        <f>IFERROR(__xludf.DUMMYFUNCTION("""COMPUTED_VALUE"""),"5. Eraser")</f>
        <v>5. Eraser</v>
      </c>
      <c r="B6178" s="4" t="str">
        <f>IFERROR(__xludf.DUMMYFUNCTION("""COMPUTED_VALUE"""),"5")</f>
        <v>5</v>
      </c>
      <c r="C6178" s="5" t="str">
        <f>IFERROR(__xludf.DUMMYFUNCTION("""COMPUTED_VALUE"""),"https://drive.google.com/file/d/1BwW7F9Y4H0RPD8bmqG4UPdIlGpkJmRPm/view?usp=drivesdk")</f>
        <v>https://drive.google.com/file/d/1BwW7F9Y4H0RPD8bmqG4UPdIlGpkJmRPm/view?usp=drivesdk</v>
      </c>
      <c r="D6178" s="12"/>
      <c r="E6178" s="11">
        <v>6221.0</v>
      </c>
      <c r="F6178" s="2"/>
    </row>
    <row r="6179" ht="1.5" customHeight="1">
      <c r="A6179" s="4" t="str">
        <f>IFERROR(__xludf.DUMMYFUNCTION("""COMPUTED_VALUE"""),"4. Eggs")</f>
        <v>4. Eggs</v>
      </c>
      <c r="B6179" s="4" t="str">
        <f>IFERROR(__xludf.DUMMYFUNCTION("""COMPUTED_VALUE"""),"4")</f>
        <v>4</v>
      </c>
      <c r="C6179" s="5" t="str">
        <f>IFERROR(__xludf.DUMMYFUNCTION("""COMPUTED_VALUE"""),"https://drive.google.com/file/d/1VOcKOuSZDbT8cHwmwqR_WBzaUDqrIbcr/view?usp=drivesdk")</f>
        <v>https://drive.google.com/file/d/1VOcKOuSZDbT8cHwmwqR_WBzaUDqrIbcr/view?usp=drivesdk</v>
      </c>
      <c r="D6179" s="12"/>
      <c r="E6179" s="11">
        <v>6222.0</v>
      </c>
      <c r="F6179" s="2"/>
    </row>
    <row r="6180" ht="1.5" customHeight="1">
      <c r="A6180" s="4" t="str">
        <f>IFERROR(__xludf.DUMMYFUNCTION("""COMPUTED_VALUE"""),"2. Twix")</f>
        <v>2. Twix</v>
      </c>
      <c r="B6180" s="4" t="str">
        <f>IFERROR(__xludf.DUMMYFUNCTION("""COMPUTED_VALUE"""),"2")</f>
        <v>2</v>
      </c>
      <c r="C6180" s="5" t="str">
        <f>IFERROR(__xludf.DUMMYFUNCTION("""COMPUTED_VALUE"""),"https://drive.google.com/file/d/1VJtvYu_XL84ipnn3RHtioRgPOh931lPQ/view?usp=drivesdk")</f>
        <v>https://drive.google.com/file/d/1VJtvYu_XL84ipnn3RHtioRgPOh931lPQ/view?usp=drivesdk</v>
      </c>
      <c r="D6180" s="12"/>
      <c r="E6180" s="11">
        <v>6223.0</v>
      </c>
      <c r="F6180" s="2"/>
    </row>
    <row r="6181" ht="1.5" customHeight="1">
      <c r="A6181" s="4" t="str">
        <f>IFERROR(__xludf.DUMMYFUNCTION("""COMPUTED_VALUE"""),"1. Microwave")</f>
        <v>1. Microwave</v>
      </c>
      <c r="B6181" s="4" t="str">
        <f>IFERROR(__xludf.DUMMYFUNCTION("""COMPUTED_VALUE"""),"1")</f>
        <v>1</v>
      </c>
      <c r="C6181" s="5" t="str">
        <f>IFERROR(__xludf.DUMMYFUNCTION("""COMPUTED_VALUE"""),"https://drive.google.com/file/d/1Lbou5B1uIWn_WGyfRcykHWOWoQwT7_1R/view?usp=drivesdk")</f>
        <v>https://drive.google.com/file/d/1Lbou5B1uIWn_WGyfRcykHWOWoQwT7_1R/view?usp=drivesdk</v>
      </c>
      <c r="D6181" s="12"/>
      <c r="E6181" s="11">
        <v>6224.0</v>
      </c>
      <c r="F6181" s="2"/>
    </row>
    <row r="6182" ht="1.5" customHeight="1">
      <c r="A6182" s="4" t="str">
        <f>IFERROR(__xludf.DUMMYFUNCTION("""COMPUTED_VALUE"""),"6. Snickers")</f>
        <v>6. Snickers</v>
      </c>
      <c r="B6182" s="4" t="str">
        <f>IFERROR(__xludf.DUMMYFUNCTION("""COMPUTED_VALUE"""),"6")</f>
        <v>6</v>
      </c>
      <c r="C6182" s="5" t="str">
        <f>IFERROR(__xludf.DUMMYFUNCTION("""COMPUTED_VALUE"""),"https://drive.google.com/file/d/1VoqWKgFHoWK0FvLMsQUClsY4lXrSP4sV/view?usp=drivesdk")</f>
        <v>https://drive.google.com/file/d/1VoqWKgFHoWK0FvLMsQUClsY4lXrSP4sV/view?usp=drivesdk</v>
      </c>
      <c r="D6182" s="12"/>
      <c r="E6182" s="11">
        <v>6225.0</v>
      </c>
      <c r="F6182" s="2"/>
    </row>
    <row r="6183" ht="1.5" customHeight="1">
      <c r="A6183" s="4" t="str">
        <f>IFERROR(__xludf.DUMMYFUNCTION("""COMPUTED_VALUE"""),"119. Wing, 120. Stop")</f>
        <v>119. Wing, 120. Stop</v>
      </c>
      <c r="B6183" s="4" t="str">
        <f>IFERROR(__xludf.DUMMYFUNCTION("""COMPUTED_VALUE"""),"119, 120")</f>
        <v>119, 120</v>
      </c>
      <c r="C6183" s="5" t="str">
        <f>IFERROR(__xludf.DUMMYFUNCTION("""COMPUTED_VALUE"""),"https://drive.google.com/file/d/1cKKA6DKhDZTZMB_AlJSLcgUvgCt5ovcO/view?usp=drivesdk")</f>
        <v>https://drive.google.com/file/d/1cKKA6DKhDZTZMB_AlJSLcgUvgCt5ovcO/view?usp=drivesdk</v>
      </c>
      <c r="D6183" s="12"/>
      <c r="E6183" s="11">
        <v>6226.0</v>
      </c>
      <c r="F6183" s="2"/>
    </row>
    <row r="6184" ht="1.5" customHeight="1">
      <c r="A6184" s="4" t="str">
        <f>IFERROR(__xludf.DUMMYFUNCTION("""COMPUTED_VALUE"""),"120. Stop")</f>
        <v>120. Stop</v>
      </c>
      <c r="B6184" s="4" t="str">
        <f>IFERROR(__xludf.DUMMYFUNCTION("""COMPUTED_VALUE"""),"120")</f>
        <v>120</v>
      </c>
      <c r="C6184" s="5" t="str">
        <f>IFERROR(__xludf.DUMMYFUNCTION("""COMPUTED_VALUE"""),"https://drive.google.com/file/d/1dZ9c1U7jVBFRGNlbf2o4TEPsFKw_YAL5/view?usp=drivesdk")</f>
        <v>https://drive.google.com/file/d/1dZ9c1U7jVBFRGNlbf2o4TEPsFKw_YAL5/view?usp=drivesdk</v>
      </c>
      <c r="D6184" s="12"/>
      <c r="E6184" s="11">
        <v>6227.0</v>
      </c>
      <c r="F6184" s="2"/>
    </row>
    <row r="6185" ht="1.5" customHeight="1">
      <c r="A6185" s="4" t="str">
        <f>IFERROR(__xludf.DUMMYFUNCTION("""COMPUTED_VALUE"""),"115. Toothless")</f>
        <v>115. Toothless</v>
      </c>
      <c r="B6185" s="4" t="str">
        <f>IFERROR(__xludf.DUMMYFUNCTION("""COMPUTED_VALUE"""),"115")</f>
        <v>115</v>
      </c>
      <c r="C6185" s="5" t="str">
        <f>IFERROR(__xludf.DUMMYFUNCTION("""COMPUTED_VALUE"""),"https://drive.google.com/file/d/1oMVy8Yb-pZoxUfv1bMqNY27ZEmi7ljt-/view?usp=drivesdk")</f>
        <v>https://drive.google.com/file/d/1oMVy8Yb-pZoxUfv1bMqNY27ZEmi7ljt-/view?usp=drivesdk</v>
      </c>
      <c r="D6185" s="12"/>
      <c r="E6185" s="11">
        <v>6228.0</v>
      </c>
      <c r="F6185" s="2"/>
    </row>
    <row r="6186" ht="1.5" customHeight="1">
      <c r="A6186" s="4" t="str">
        <f>IFERROR(__xludf.DUMMYFUNCTION("""COMPUTED_VALUE"""),"115. Toothless")</f>
        <v>115. Toothless</v>
      </c>
      <c r="B6186" s="4" t="str">
        <f>IFERROR(__xludf.DUMMYFUNCTION("""COMPUTED_VALUE"""),"115")</f>
        <v>115</v>
      </c>
      <c r="C6186" s="5" t="str">
        <f>IFERROR(__xludf.DUMMYFUNCTION("""COMPUTED_VALUE"""),"https://drive.google.com/file/d/1Ctbni6Fvkxn1rSOtWtxenQntnsJwhUbH/view?usp=drivesdk")</f>
        <v>https://drive.google.com/file/d/1Ctbni6Fvkxn1rSOtWtxenQntnsJwhUbH/view?usp=drivesdk</v>
      </c>
      <c r="D6186" s="12"/>
      <c r="E6186" s="11">
        <v>6229.0</v>
      </c>
      <c r="F6186" s="2"/>
    </row>
    <row r="6187" ht="1.5" customHeight="1">
      <c r="A6187" s="4" t="str">
        <f>IFERROR(__xludf.DUMMYFUNCTION("""COMPUTED_VALUE"""),"115. Toothless")</f>
        <v>115. Toothless</v>
      </c>
      <c r="B6187" s="4" t="str">
        <f>IFERROR(__xludf.DUMMYFUNCTION("""COMPUTED_VALUE"""),"115")</f>
        <v>115</v>
      </c>
      <c r="C6187" s="5" t="str">
        <f>IFERROR(__xludf.DUMMYFUNCTION("""COMPUTED_VALUE"""),"https://drive.google.com/file/d/1LLODYLXnFElZoCGMMRFq_oEpfsMW0Ggn/view?usp=drivesdk")</f>
        <v>https://drive.google.com/file/d/1LLODYLXnFElZoCGMMRFq_oEpfsMW0Ggn/view?usp=drivesdk</v>
      </c>
      <c r="D6187" s="12"/>
      <c r="E6187" s="11">
        <v>6230.0</v>
      </c>
      <c r="F6187" s="2"/>
    </row>
    <row r="6188" ht="1.5" customHeight="1">
      <c r="A6188" s="4" t="str">
        <f>IFERROR(__xludf.DUMMYFUNCTION("""COMPUTED_VALUE"""),"115. Toothless")</f>
        <v>115. Toothless</v>
      </c>
      <c r="B6188" s="4" t="str">
        <f>IFERROR(__xludf.DUMMYFUNCTION("""COMPUTED_VALUE"""),"115")</f>
        <v>115</v>
      </c>
      <c r="C6188" s="5" t="str">
        <f>IFERROR(__xludf.DUMMYFUNCTION("""COMPUTED_VALUE"""),"https://drive.google.com/file/d/1Mo9qgvA2W4_9FViph1HDHKxJGnDzN1EM/view?usp=drivesdk")</f>
        <v>https://drive.google.com/file/d/1Mo9qgvA2W4_9FViph1HDHKxJGnDzN1EM/view?usp=drivesdk</v>
      </c>
      <c r="D6188" s="12"/>
      <c r="E6188" s="11">
        <v>6231.0</v>
      </c>
      <c r="F6188" s="2"/>
    </row>
    <row r="6189" ht="1.5" customHeight="1">
      <c r="A6189" s="4" t="str">
        <f>IFERROR(__xludf.DUMMYFUNCTION("""COMPUTED_VALUE"""),"84. Maddox")</f>
        <v>84. Maddox</v>
      </c>
      <c r="B6189" s="4" t="str">
        <f>IFERROR(__xludf.DUMMYFUNCTION("""COMPUTED_VALUE"""),"84")</f>
        <v>84</v>
      </c>
      <c r="C6189" s="5" t="str">
        <f>IFERROR(__xludf.DUMMYFUNCTION("""COMPUTED_VALUE"""),"https://drive.google.com/file/d/1B-9U3l8rwaLKneZvlhUzhBcuao8x0qkm/view?usp=drivesdk")</f>
        <v>https://drive.google.com/file/d/1B-9U3l8rwaLKneZvlhUzhBcuao8x0qkm/view?usp=drivesdk</v>
      </c>
      <c r="D6189" s="12"/>
      <c r="E6189" s="11">
        <v>6232.0</v>
      </c>
      <c r="F6189" s="2"/>
    </row>
    <row r="6190" ht="1.5" customHeight="1">
      <c r="A6190" s="4" t="str">
        <f>IFERROR(__xludf.DUMMYFUNCTION("""COMPUTED_VALUE"""),"84. Maddox")</f>
        <v>84. Maddox</v>
      </c>
      <c r="B6190" s="4" t="str">
        <f>IFERROR(__xludf.DUMMYFUNCTION("""COMPUTED_VALUE"""),"84")</f>
        <v>84</v>
      </c>
      <c r="C6190" s="5" t="str">
        <f>IFERROR(__xludf.DUMMYFUNCTION("""COMPUTED_VALUE"""),"https://drive.google.com/file/d/1CMSs4LUgFIoZnxh0_bl_F3XO-FhsPuCx/view?usp=drivesdk")</f>
        <v>https://drive.google.com/file/d/1CMSs4LUgFIoZnxh0_bl_F3XO-FhsPuCx/view?usp=drivesdk</v>
      </c>
      <c r="D6190" s="12"/>
      <c r="E6190" s="11">
        <v>6233.0</v>
      </c>
      <c r="F6190" s="2"/>
    </row>
    <row r="6191" ht="1.5" customHeight="1">
      <c r="A6191" s="4" t="str">
        <f>IFERROR(__xludf.DUMMYFUNCTION("""COMPUTED_VALUE"""),"84. Maddox")</f>
        <v>84. Maddox</v>
      </c>
      <c r="B6191" s="4" t="str">
        <f>IFERROR(__xludf.DUMMYFUNCTION("""COMPUTED_VALUE"""),"84")</f>
        <v>84</v>
      </c>
      <c r="C6191" s="5" t="str">
        <f>IFERROR(__xludf.DUMMYFUNCTION("""COMPUTED_VALUE"""),"https://drive.google.com/file/d/1gwVu5wZ6DZNy6lEJD9IpwXOXnjLBejvG/view?usp=drivesdk")</f>
        <v>https://drive.google.com/file/d/1gwVu5wZ6DZNy6lEJD9IpwXOXnjLBejvG/view?usp=drivesdk</v>
      </c>
      <c r="D6191" s="12"/>
      <c r="E6191" s="11">
        <v>6234.0</v>
      </c>
      <c r="F6191" s="2"/>
    </row>
    <row r="6192" ht="1.5" customHeight="1">
      <c r="A6192" s="4" t="str">
        <f>IFERROR(__xludf.DUMMYFUNCTION("""COMPUTED_VALUE"""),"44. Shitbag Cuntface, 88. Vincente")</f>
        <v>44. Shitbag Cuntface, 88. Vincente</v>
      </c>
      <c r="B6192" s="4" t="str">
        <f>IFERROR(__xludf.DUMMYFUNCTION("""COMPUTED_VALUE"""),"44, 88")</f>
        <v>44, 88</v>
      </c>
      <c r="C6192" s="5" t="str">
        <f>IFERROR(__xludf.DUMMYFUNCTION("""COMPUTED_VALUE"""),"https://drive.google.com/file/d/1tYu-oBEkQrghMH0AJQoUMfAtGNcSr7Gv/view?usp=drivesdk")</f>
        <v>https://drive.google.com/file/d/1tYu-oBEkQrghMH0AJQoUMfAtGNcSr7Gv/view?usp=drivesdk</v>
      </c>
      <c r="D6192" s="12"/>
      <c r="E6192" s="11">
        <v>6235.0</v>
      </c>
      <c r="F6192" s="2"/>
    </row>
    <row r="6193" ht="1.5" customHeight="1">
      <c r="A6193" s="4" t="str">
        <f>IFERROR(__xludf.DUMMYFUNCTION("""COMPUTED_VALUE"""),"115. Toothless")</f>
        <v>115. Toothless</v>
      </c>
      <c r="B6193" s="4" t="str">
        <f>IFERROR(__xludf.DUMMYFUNCTION("""COMPUTED_VALUE"""),"115")</f>
        <v>115</v>
      </c>
      <c r="C6193" s="5" t="str">
        <f>IFERROR(__xludf.DUMMYFUNCTION("""COMPUTED_VALUE"""),"https://drive.google.com/file/d/1bQWQpyUTQb-EPad9ogl5zTTfOIj9O06C/view?usp=drivesdk")</f>
        <v>https://drive.google.com/file/d/1bQWQpyUTQb-EPad9ogl5zTTfOIj9O06C/view?usp=drivesdk</v>
      </c>
      <c r="D6193" s="12"/>
      <c r="E6193" s="11">
        <v>6236.0</v>
      </c>
      <c r="F6193" s="2"/>
    </row>
    <row r="6194" ht="1.5" customHeight="1">
      <c r="A6194" s="4" t="str">
        <f>IFERROR(__xludf.DUMMYFUNCTION("""COMPUTED_VALUE"""),"100. Coatl")</f>
        <v>100. Coatl</v>
      </c>
      <c r="B6194" s="4" t="str">
        <f>IFERROR(__xludf.DUMMYFUNCTION("""COMPUTED_VALUE"""),"100")</f>
        <v>100</v>
      </c>
      <c r="C6194" s="5" t="str">
        <f>IFERROR(__xludf.DUMMYFUNCTION("""COMPUTED_VALUE"""),"https://drive.google.com/file/d/1OGyzko4P40JsvoeAtQ7DYDEqA7yYla7w/view?usp=drivesdk")</f>
        <v>https://drive.google.com/file/d/1OGyzko4P40JsvoeAtQ7DYDEqA7yYla7w/view?usp=drivesdk</v>
      </c>
      <c r="D6194" s="12"/>
      <c r="E6194" s="11">
        <v>6237.0</v>
      </c>
      <c r="F6194" s="2"/>
    </row>
    <row r="6195" ht="1.5" customHeight="1">
      <c r="A6195" s="4" t="str">
        <f>IFERROR(__xludf.DUMMYFUNCTION("""COMPUTED_VALUE"""),"94. Itztli")</f>
        <v>94. Itztli</v>
      </c>
      <c r="B6195" s="4" t="str">
        <f>IFERROR(__xludf.DUMMYFUNCTION("""COMPUTED_VALUE"""),"94")</f>
        <v>94</v>
      </c>
      <c r="C6195" s="5" t="str">
        <f>IFERROR(__xludf.DUMMYFUNCTION("""COMPUTED_VALUE"""),"https://drive.google.com/file/d/1qVG-ZYHLvip9lKOOeWxVFfUVsZCaSBGl/view?usp=drivesdk")</f>
        <v>https://drive.google.com/file/d/1qVG-ZYHLvip9lKOOeWxVFfUVsZCaSBGl/view?usp=drivesdk</v>
      </c>
      <c r="D6195" s="12"/>
      <c r="E6195" s="11">
        <v>6241.0</v>
      </c>
      <c r="F6195" s="2"/>
    </row>
    <row r="6196" ht="1.5" customHeight="1">
      <c r="A6196" s="4" t="str">
        <f>IFERROR(__xludf.DUMMYFUNCTION("""COMPUTED_VALUE"""),"52. Voidling")</f>
        <v>52. Voidling</v>
      </c>
      <c r="B6196" s="4" t="str">
        <f>IFERROR(__xludf.DUMMYFUNCTION("""COMPUTED_VALUE"""),"52")</f>
        <v>52</v>
      </c>
      <c r="C6196" s="5" t="str">
        <f>IFERROR(__xludf.DUMMYFUNCTION("""COMPUTED_VALUE"""),"https://drive.google.com/file/d/1EFjmhqN7E-LrbrQ62QqvL60nheqac07N/view?usp=drivesdk")</f>
        <v>https://drive.google.com/file/d/1EFjmhqN7E-LrbrQ62QqvL60nheqac07N/view?usp=drivesdk</v>
      </c>
      <c r="D6196" s="12"/>
      <c r="E6196" s="11">
        <v>6242.0</v>
      </c>
      <c r="F6196" s="2"/>
    </row>
    <row r="6197" ht="1.5" customHeight="1">
      <c r="A6197" s="4" t="str">
        <f>IFERROR(__xludf.DUMMYFUNCTION("""COMPUTED_VALUE"""),"115. Toothless")</f>
        <v>115. Toothless</v>
      </c>
      <c r="B6197" s="4" t="str">
        <f>IFERROR(__xludf.DUMMYFUNCTION("""COMPUTED_VALUE"""),"115")</f>
        <v>115</v>
      </c>
      <c r="C6197" s="5" t="str">
        <f>IFERROR(__xludf.DUMMYFUNCTION("""COMPUTED_VALUE"""),"https://drive.google.com/file/d/1fgZ6d3XjZTGpZ2njh0er6ikQlWp78DCx/view?usp=drivesdk")</f>
        <v>https://drive.google.com/file/d/1fgZ6d3XjZTGpZ2njh0er6ikQlWp78DCx/view?usp=drivesdk</v>
      </c>
      <c r="D6197" s="12"/>
      <c r="E6197" s="11">
        <v>6243.0</v>
      </c>
      <c r="F6197" s="2"/>
    </row>
    <row r="6198" ht="1.5" customHeight="1">
      <c r="A6198" s="4" t="str">
        <f>IFERROR(__xludf.DUMMYFUNCTION("""COMPUTED_VALUE"""),"0. NotACat")</f>
        <v>0. NotACat</v>
      </c>
      <c r="B6198" s="4" t="str">
        <f>IFERROR(__xludf.DUMMYFUNCTION("""COMPUTED_VALUE"""),"0")</f>
        <v>0</v>
      </c>
      <c r="C6198" s="5" t="str">
        <f>IFERROR(__xludf.DUMMYFUNCTION("""COMPUTED_VALUE"""),"https://drive.google.com/file/d/1QpEcq6Q3CZW8vSllztUs-RcuZEgR1P10/view?usp=drivesdk")</f>
        <v>https://drive.google.com/file/d/1QpEcq6Q3CZW8vSllztUs-RcuZEgR1P10/view?usp=drivesdk</v>
      </c>
      <c r="D6198" s="12"/>
      <c r="E6198" s="11">
        <v>6244.0</v>
      </c>
      <c r="F6198" s="2"/>
    </row>
    <row r="6199" ht="1.5" customHeight="1">
      <c r="A6199" s="4" t="str">
        <f>IFERROR(__xludf.DUMMYFUNCTION("""COMPUTED_VALUE"""),"0. NotACat")</f>
        <v>0. NotACat</v>
      </c>
      <c r="B6199" s="4" t="str">
        <f>IFERROR(__xludf.DUMMYFUNCTION("""COMPUTED_VALUE"""),"0")</f>
        <v>0</v>
      </c>
      <c r="C6199" s="5" t="str">
        <f>IFERROR(__xludf.DUMMYFUNCTION("""COMPUTED_VALUE"""),"https://drive.google.com/file/d/1O4Sx-wmRY1gp_OSXaI221kWfJgqVazz2/view?usp=drivesdk")</f>
        <v>https://drive.google.com/file/d/1O4Sx-wmRY1gp_OSXaI221kWfJgqVazz2/view?usp=drivesdk</v>
      </c>
      <c r="D6199" s="12"/>
      <c r="E6199" s="11">
        <v>6245.0</v>
      </c>
      <c r="F6199" s="2"/>
    </row>
    <row r="6200" ht="1.5" customHeight="1">
      <c r="A6200" s="4" t="str">
        <f>IFERROR(__xludf.DUMMYFUNCTION("""COMPUTED_VALUE"""),"0. NotACat")</f>
        <v>0. NotACat</v>
      </c>
      <c r="B6200" s="4" t="str">
        <f>IFERROR(__xludf.DUMMYFUNCTION("""COMPUTED_VALUE"""),"0")</f>
        <v>0</v>
      </c>
      <c r="C6200" s="5" t="str">
        <f>IFERROR(__xludf.DUMMYFUNCTION("""COMPUTED_VALUE"""),"https://drive.google.com/file/d/1cDQeP_Kf6BPPIxrNu2WvmagV87dXeoAr/view?usp=drivesdk")</f>
        <v>https://drive.google.com/file/d/1cDQeP_Kf6BPPIxrNu2WvmagV87dXeoAr/view?usp=drivesdk</v>
      </c>
      <c r="D6200" s="12"/>
      <c r="E6200" s="11">
        <v>6246.0</v>
      </c>
      <c r="F6200" s="2"/>
    </row>
    <row r="6201" ht="1.5" customHeight="1">
      <c r="A6201" s="4" t="str">
        <f>IFERROR(__xludf.DUMMYFUNCTION("""COMPUTED_VALUE"""),"94. Itztli")</f>
        <v>94. Itztli</v>
      </c>
      <c r="B6201" s="4" t="str">
        <f>IFERROR(__xludf.DUMMYFUNCTION("""COMPUTED_VALUE"""),"94")</f>
        <v>94</v>
      </c>
      <c r="C6201" s="5" t="str">
        <f>IFERROR(__xludf.DUMMYFUNCTION("""COMPUTED_VALUE"""),"https://drive.google.com/file/d/1jIvtX3A5udorWWRw4uQbC4ehcIUSMC7s/view?usp=drivesdk")</f>
        <v>https://drive.google.com/file/d/1jIvtX3A5udorWWRw4uQbC4ehcIUSMC7s/view?usp=drivesdk</v>
      </c>
      <c r="D6201" s="12"/>
      <c r="E6201" s="11">
        <v>6249.0</v>
      </c>
      <c r="F6201" s="2"/>
    </row>
    <row r="6202" ht="1.5" customHeight="1">
      <c r="A6202" s="4" t="str">
        <f>IFERROR(__xludf.DUMMYFUNCTION("""COMPUTED_VALUE"""),"94. Itztli")</f>
        <v>94. Itztli</v>
      </c>
      <c r="B6202" s="4" t="str">
        <f>IFERROR(__xludf.DUMMYFUNCTION("""COMPUTED_VALUE"""),"94")</f>
        <v>94</v>
      </c>
      <c r="C6202" s="5" t="str">
        <f>IFERROR(__xludf.DUMMYFUNCTION("""COMPUTED_VALUE"""),"https://drive.google.com/file/d/1wXOzGv_8w4PLk0H9zc0H2SNW1FR_Jb5L/view?usp=drivesdk")</f>
        <v>https://drive.google.com/file/d/1wXOzGv_8w4PLk0H9zc0H2SNW1FR_Jb5L/view?usp=drivesdk</v>
      </c>
      <c r="D6202" s="12"/>
      <c r="E6202" s="11">
        <v>6250.0</v>
      </c>
      <c r="F6202" s="2"/>
    </row>
    <row r="6203" ht="1.5" customHeight="1">
      <c r="A6203" s="4" t="str">
        <f>IFERROR(__xludf.DUMMYFUNCTION("""COMPUTED_VALUE"""),"0. NotACat")</f>
        <v>0. NotACat</v>
      </c>
      <c r="B6203" s="4" t="str">
        <f>IFERROR(__xludf.DUMMYFUNCTION("""COMPUTED_VALUE"""),"0")</f>
        <v>0</v>
      </c>
      <c r="C6203" s="5" t="str">
        <f>IFERROR(__xludf.DUMMYFUNCTION("""COMPUTED_VALUE"""),"https://drive.google.com/file/d/1ZmDZ-vGj2L6Oxo9ePU22boO5epQgvLN-/view?usp=drivesdk")</f>
        <v>https://drive.google.com/file/d/1ZmDZ-vGj2L6Oxo9ePU22boO5epQgvLN-/view?usp=drivesdk</v>
      </c>
      <c r="D6203" s="12"/>
      <c r="E6203" s="11">
        <v>6251.0</v>
      </c>
      <c r="F6203" s="2"/>
    </row>
    <row r="6204" ht="1.5" customHeight="1">
      <c r="A6204" s="4" t="str">
        <f>IFERROR(__xludf.DUMMYFUNCTION("""COMPUTED_VALUE"""),"0. NotACat")</f>
        <v>0. NotACat</v>
      </c>
      <c r="B6204" s="4" t="str">
        <f>IFERROR(__xludf.DUMMYFUNCTION("""COMPUTED_VALUE"""),"0")</f>
        <v>0</v>
      </c>
      <c r="C6204" s="5" t="str">
        <f>IFERROR(__xludf.DUMMYFUNCTION("""COMPUTED_VALUE"""),"https://drive.google.com/file/d/1xehRY8C5ZcComK330M7pX_Ut5FBUPQQ_/view?usp=drivesdk")</f>
        <v>https://drive.google.com/file/d/1xehRY8C5ZcComK330M7pX_Ut5FBUPQQ_/view?usp=drivesdk</v>
      </c>
      <c r="D6204" s="12"/>
      <c r="E6204" s="11">
        <v>6252.0</v>
      </c>
      <c r="F6204" s="2"/>
    </row>
    <row r="6205" ht="1.5" customHeight="1">
      <c r="A6205" s="4" t="str">
        <f>IFERROR(__xludf.DUMMYFUNCTION("""COMPUTED_VALUE"""),"6. Snickers")</f>
        <v>6. Snickers</v>
      </c>
      <c r="B6205" s="4" t="str">
        <f>IFERROR(__xludf.DUMMYFUNCTION("""COMPUTED_VALUE"""),"6")</f>
        <v>6</v>
      </c>
      <c r="C6205" s="5" t="str">
        <f>IFERROR(__xludf.DUMMYFUNCTION("""COMPUTED_VALUE"""),"https://drive.google.com/file/d/1t5_EW_4qQO92ZMlEkx6l6j0KhqIhV0XD/view?usp=drivesdk")</f>
        <v>https://drive.google.com/file/d/1t5_EW_4qQO92ZMlEkx6l6j0KhqIhV0XD/view?usp=drivesdk</v>
      </c>
      <c r="D6205" s="12"/>
      <c r="E6205" s="11">
        <v>6253.0</v>
      </c>
      <c r="F6205" s="2"/>
    </row>
    <row r="6206" ht="1.5" customHeight="1">
      <c r="A6206" s="4" t="str">
        <f>IFERROR(__xludf.DUMMYFUNCTION("""COMPUTED_VALUE"""),"6. Snickers")</f>
        <v>6. Snickers</v>
      </c>
      <c r="B6206" s="4" t="str">
        <f>IFERROR(__xludf.DUMMYFUNCTION("""COMPUTED_VALUE"""),"6")</f>
        <v>6</v>
      </c>
      <c r="C6206" s="5" t="str">
        <f>IFERROR(__xludf.DUMMYFUNCTION("""COMPUTED_VALUE"""),"https://drive.google.com/file/d/1oLgXJAYXWt7eAvPJdxMr_lV9JXxzPQo7/view?usp=drivesdk")</f>
        <v>https://drive.google.com/file/d/1oLgXJAYXWt7eAvPJdxMr_lV9JXxzPQo7/view?usp=drivesdk</v>
      </c>
      <c r="D6206" s="12"/>
      <c r="E6206" s="11">
        <v>6254.0</v>
      </c>
      <c r="F6206" s="2"/>
    </row>
    <row r="6207" ht="1.5" customHeight="1">
      <c r="A6207" s="4" t="str">
        <f>IFERROR(__xludf.DUMMYFUNCTION("""COMPUTED_VALUE"""),"6. Snickers")</f>
        <v>6. Snickers</v>
      </c>
      <c r="B6207" s="4" t="str">
        <f>IFERROR(__xludf.DUMMYFUNCTION("""COMPUTED_VALUE"""),"6")</f>
        <v>6</v>
      </c>
      <c r="C6207" s="5" t="str">
        <f>IFERROR(__xludf.DUMMYFUNCTION("""COMPUTED_VALUE"""),"https://drive.google.com/file/d/1B-bAh0vx3aUZrCbe_qGKG3vdw6La_13X/view?usp=drivesdk")</f>
        <v>https://drive.google.com/file/d/1B-bAh0vx3aUZrCbe_qGKG3vdw6La_13X/view?usp=drivesdk</v>
      </c>
      <c r="D6207" s="12"/>
      <c r="E6207" s="11">
        <v>6255.0</v>
      </c>
      <c r="F6207" s="2"/>
    </row>
    <row r="6208" ht="1.5" customHeight="1">
      <c r="A6208" s="4" t="str">
        <f>IFERROR(__xludf.DUMMYFUNCTION("""COMPUTED_VALUE"""),"1. Microwave")</f>
        <v>1. Microwave</v>
      </c>
      <c r="B6208" s="4" t="str">
        <f>IFERROR(__xludf.DUMMYFUNCTION("""COMPUTED_VALUE"""),"1")</f>
        <v>1</v>
      </c>
      <c r="C6208" s="5" t="str">
        <f>IFERROR(__xludf.DUMMYFUNCTION("""COMPUTED_VALUE"""),"https://drive.google.com/file/d/1rDoeyMHD7DLpY4mPMe1dEoG-W_SbYJUk/view?usp=drivesdk")</f>
        <v>https://drive.google.com/file/d/1rDoeyMHD7DLpY4mPMe1dEoG-W_SbYJUk/view?usp=drivesdk</v>
      </c>
      <c r="D6208" s="12"/>
      <c r="E6208" s="11">
        <v>6256.0</v>
      </c>
      <c r="F6208" s="2"/>
    </row>
    <row r="6209" ht="1.5" customHeight="1">
      <c r="A6209" s="4" t="str">
        <f>IFERROR(__xludf.DUMMYFUNCTION("""COMPUTED_VALUE"""),"1. Microwave")</f>
        <v>1. Microwave</v>
      </c>
      <c r="B6209" s="4" t="str">
        <f>IFERROR(__xludf.DUMMYFUNCTION("""COMPUTED_VALUE"""),"1")</f>
        <v>1</v>
      </c>
      <c r="C6209" s="5" t="str">
        <f>IFERROR(__xludf.DUMMYFUNCTION("""COMPUTED_VALUE"""),"https://drive.google.com/file/d/150LcZpMELuMymVCCe1Zh2ote5mZ0SVPk/view?usp=drivesdk")</f>
        <v>https://drive.google.com/file/d/150LcZpMELuMymVCCe1Zh2ote5mZ0SVPk/view?usp=drivesdk</v>
      </c>
      <c r="D6209" s="12"/>
      <c r="E6209" s="11">
        <v>6257.0</v>
      </c>
      <c r="F6209" s="2"/>
    </row>
    <row r="6210" ht="1.5" customHeight="1">
      <c r="A6210" s="4" t="str">
        <f>IFERROR(__xludf.DUMMYFUNCTION("""COMPUTED_VALUE"""),"97.  Simba")</f>
        <v>97.  Simba</v>
      </c>
      <c r="B6210" s="4" t="str">
        <f>IFERROR(__xludf.DUMMYFUNCTION("""COMPUTED_VALUE"""),"97")</f>
        <v>97</v>
      </c>
      <c r="C6210" s="5" t="str">
        <f>IFERROR(__xludf.DUMMYFUNCTION("""COMPUTED_VALUE"""),"https://drive.google.com/file/d/1TbWPDpB3T1iU-oWI1UmQ7cXhp3jQBkZk/view?usp=drivesdk")</f>
        <v>https://drive.google.com/file/d/1TbWPDpB3T1iU-oWI1UmQ7cXhp3jQBkZk/view?usp=drivesdk</v>
      </c>
      <c r="D6210" s="12"/>
      <c r="E6210" s="11">
        <v>6258.0</v>
      </c>
      <c r="F6210" s="2"/>
    </row>
    <row r="6211" ht="1.5" customHeight="1">
      <c r="A6211" s="4" t="str">
        <f>IFERROR(__xludf.DUMMYFUNCTION("""COMPUTED_VALUE"""),"1. Microwave")</f>
        <v>1. Microwave</v>
      </c>
      <c r="B6211" s="4" t="str">
        <f>IFERROR(__xludf.DUMMYFUNCTION("""COMPUTED_VALUE"""),"1")</f>
        <v>1</v>
      </c>
      <c r="C6211" s="5" t="str">
        <f>IFERROR(__xludf.DUMMYFUNCTION("""COMPUTED_VALUE"""),"https://drive.google.com/file/d/16XJasKJV96lEyJti1T6c4MFOTwH6yI4X/view?usp=drivesdk")</f>
        <v>https://drive.google.com/file/d/16XJasKJV96lEyJti1T6c4MFOTwH6yI4X/view?usp=drivesdk</v>
      </c>
      <c r="D6211" s="12"/>
      <c r="E6211" s="11">
        <v>6259.0</v>
      </c>
      <c r="F6211" s="2"/>
    </row>
    <row r="6212" ht="1.5" customHeight="1">
      <c r="A6212" s="4" t="str">
        <f>IFERROR(__xludf.DUMMYFUNCTION("""COMPUTED_VALUE"""),"1. Microwave")</f>
        <v>1. Microwave</v>
      </c>
      <c r="B6212" s="4" t="str">
        <f>IFERROR(__xludf.DUMMYFUNCTION("""COMPUTED_VALUE"""),"1")</f>
        <v>1</v>
      </c>
      <c r="C6212" s="5" t="str">
        <f>IFERROR(__xludf.DUMMYFUNCTION("""COMPUTED_VALUE"""),"https://drive.google.com/file/d/18rHVaWejeLIWhXcCmGg-o6vr5aluwbwi/view?usp=drivesdk")</f>
        <v>https://drive.google.com/file/d/18rHVaWejeLIWhXcCmGg-o6vr5aluwbwi/view?usp=drivesdk</v>
      </c>
      <c r="D6212" s="12"/>
      <c r="E6212" s="11">
        <v>6260.0</v>
      </c>
      <c r="F6212" s="2"/>
    </row>
    <row r="6213" ht="1.5" customHeight="1">
      <c r="A6213" s="4" t="str">
        <f>IFERROR(__xludf.DUMMYFUNCTION("""COMPUTED_VALUE"""),"1. Microwave")</f>
        <v>1. Microwave</v>
      </c>
      <c r="B6213" s="4" t="str">
        <f>IFERROR(__xludf.DUMMYFUNCTION("""COMPUTED_VALUE"""),"1")</f>
        <v>1</v>
      </c>
      <c r="C6213" s="5" t="str">
        <f>IFERROR(__xludf.DUMMYFUNCTION("""COMPUTED_VALUE"""),"https://drive.google.com/file/d/11CNABVZhn_7_DVtQEdiGYTJLwoHiF1gd/view?usp=drivesdk")</f>
        <v>https://drive.google.com/file/d/11CNABVZhn_7_DVtQEdiGYTJLwoHiF1gd/view?usp=drivesdk</v>
      </c>
      <c r="D6213" s="12"/>
      <c r="E6213" s="11">
        <v>6261.0</v>
      </c>
      <c r="F6213" s="2"/>
    </row>
    <row r="6214" ht="1.5" customHeight="1">
      <c r="A6214" s="4" t="str">
        <f>IFERROR(__xludf.DUMMYFUNCTION("""COMPUTED_VALUE"""),"1. Microwave")</f>
        <v>1. Microwave</v>
      </c>
      <c r="B6214" s="4" t="str">
        <f>IFERROR(__xludf.DUMMYFUNCTION("""COMPUTED_VALUE"""),"1")</f>
        <v>1</v>
      </c>
      <c r="C6214" s="5" t="str">
        <f>IFERROR(__xludf.DUMMYFUNCTION("""COMPUTED_VALUE"""),"https://drive.google.com/file/d/1apBndpvjx4gxlHKu4fsR67_izaVMpcs_/view?usp=drivesdk")</f>
        <v>https://drive.google.com/file/d/1apBndpvjx4gxlHKu4fsR67_izaVMpcs_/view?usp=drivesdk</v>
      </c>
      <c r="D6214" s="12"/>
      <c r="E6214" s="11">
        <v>6262.0</v>
      </c>
      <c r="F6214" s="2"/>
    </row>
    <row r="6215" ht="1.5" customHeight="1">
      <c r="A6215" s="4" t="str">
        <f>IFERROR(__xludf.DUMMYFUNCTION("""COMPUTED_VALUE"""),"1. Microwave")</f>
        <v>1. Microwave</v>
      </c>
      <c r="B6215" s="4" t="str">
        <f>IFERROR(__xludf.DUMMYFUNCTION("""COMPUTED_VALUE"""),"1")</f>
        <v>1</v>
      </c>
      <c r="C6215" s="5" t="str">
        <f>IFERROR(__xludf.DUMMYFUNCTION("""COMPUTED_VALUE"""),"https://drive.google.com/file/d/1qh8bOpTObvZZSuH8tpM_BFp41UsKIgvH/view?usp=drivesdk")</f>
        <v>https://drive.google.com/file/d/1qh8bOpTObvZZSuH8tpM_BFp41UsKIgvH/view?usp=drivesdk</v>
      </c>
      <c r="D6215" s="12"/>
      <c r="E6215" s="11">
        <v>6263.0</v>
      </c>
      <c r="F6215" s="2"/>
    </row>
    <row r="6216" ht="1.5" customHeight="1">
      <c r="A6216" s="4" t="str">
        <f>IFERROR(__xludf.DUMMYFUNCTION("""COMPUTED_VALUE"""),"1. Microwave")</f>
        <v>1. Microwave</v>
      </c>
      <c r="B6216" s="4" t="str">
        <f>IFERROR(__xludf.DUMMYFUNCTION("""COMPUTED_VALUE"""),"1")</f>
        <v>1</v>
      </c>
      <c r="C6216" s="5" t="str">
        <f>IFERROR(__xludf.DUMMYFUNCTION("""COMPUTED_VALUE"""),"https://drive.google.com/file/d/1hC17d8vCZjXDYi75ZtS34WXLQ1RIZ72t/view?usp=drivesdk")</f>
        <v>https://drive.google.com/file/d/1hC17d8vCZjXDYi75ZtS34WXLQ1RIZ72t/view?usp=drivesdk</v>
      </c>
      <c r="D6216" s="12"/>
      <c r="E6216" s="11">
        <v>6264.0</v>
      </c>
      <c r="F6216" s="2"/>
    </row>
    <row r="6217" ht="1.5" customHeight="1">
      <c r="A6217" s="4" t="str">
        <f>IFERROR(__xludf.DUMMYFUNCTION("""COMPUTED_VALUE"""),"1. Microwave")</f>
        <v>1. Microwave</v>
      </c>
      <c r="B6217" s="4" t="str">
        <f>IFERROR(__xludf.DUMMYFUNCTION("""COMPUTED_VALUE"""),"1")</f>
        <v>1</v>
      </c>
      <c r="C6217" s="5" t="str">
        <f>IFERROR(__xludf.DUMMYFUNCTION("""COMPUTED_VALUE"""),"https://drive.google.com/file/d/1F6pXeOrXJlOsQdZSxyp9gmmn4HbJ16wK/view?usp=drivesdk")</f>
        <v>https://drive.google.com/file/d/1F6pXeOrXJlOsQdZSxyp9gmmn4HbJ16wK/view?usp=drivesdk</v>
      </c>
      <c r="D6217" s="12"/>
      <c r="E6217" s="11">
        <v>6265.0</v>
      </c>
      <c r="F6217" s="2"/>
    </row>
    <row r="6218" ht="1.5" customHeight="1">
      <c r="A6218" s="4" t="str">
        <f>IFERROR(__xludf.DUMMYFUNCTION("""COMPUTED_VALUE"""),"1. Microwave")</f>
        <v>1. Microwave</v>
      </c>
      <c r="B6218" s="4" t="str">
        <f>IFERROR(__xludf.DUMMYFUNCTION("""COMPUTED_VALUE"""),"1")</f>
        <v>1</v>
      </c>
      <c r="C6218" s="5" t="str">
        <f>IFERROR(__xludf.DUMMYFUNCTION("""COMPUTED_VALUE"""),"https://drive.google.com/file/d/1gbR7R2vBQ_IEMfQotHvpH3jiAlKbrUwK/view?usp=drivesdk")</f>
        <v>https://drive.google.com/file/d/1gbR7R2vBQ_IEMfQotHvpH3jiAlKbrUwK/view?usp=drivesdk</v>
      </c>
      <c r="D6218" s="12"/>
      <c r="E6218" s="11">
        <v>6266.0</v>
      </c>
      <c r="F6218" s="2"/>
    </row>
    <row r="6219" ht="1.5" customHeight="1">
      <c r="A6219" s="4" t="str">
        <f>IFERROR(__xludf.DUMMYFUNCTION("""COMPUTED_VALUE"""),"1. Microwave")</f>
        <v>1. Microwave</v>
      </c>
      <c r="B6219" s="4" t="str">
        <f>IFERROR(__xludf.DUMMYFUNCTION("""COMPUTED_VALUE"""),"1")</f>
        <v>1</v>
      </c>
      <c r="C6219" s="5" t="str">
        <f>IFERROR(__xludf.DUMMYFUNCTION("""COMPUTED_VALUE"""),"https://drive.google.com/file/d/17RPtX_J0hJNTXzMgpjPNJadBlvytma6E/view?usp=drivesdk")</f>
        <v>https://drive.google.com/file/d/17RPtX_J0hJNTXzMgpjPNJadBlvytma6E/view?usp=drivesdk</v>
      </c>
      <c r="D6219" s="12"/>
      <c r="E6219" s="11">
        <v>6267.0</v>
      </c>
      <c r="F6219" s="2"/>
    </row>
    <row r="6220" ht="1.5" customHeight="1">
      <c r="A6220" s="4" t="str">
        <f>IFERROR(__xludf.DUMMYFUNCTION("""COMPUTED_VALUE"""),"5. Eraser")</f>
        <v>5. Eraser</v>
      </c>
      <c r="B6220" s="4" t="str">
        <f>IFERROR(__xludf.DUMMYFUNCTION("""COMPUTED_VALUE"""),"5")</f>
        <v>5</v>
      </c>
      <c r="C6220" s="5" t="str">
        <f>IFERROR(__xludf.DUMMYFUNCTION("""COMPUTED_VALUE"""),"https://drive.google.com/file/d/1FIq3rYyt56MVvuGxsSV9Kt0ODAUgOjgE/view?usp=drivesdk")</f>
        <v>https://drive.google.com/file/d/1FIq3rYyt56MVvuGxsSV9Kt0ODAUgOjgE/view?usp=drivesdk</v>
      </c>
      <c r="D6220" s="12"/>
      <c r="E6220" s="11">
        <v>6268.0</v>
      </c>
      <c r="F6220" s="2"/>
    </row>
    <row r="6221" ht="1.5" customHeight="1">
      <c r="A6221" s="4" t="str">
        <f>IFERROR(__xludf.DUMMYFUNCTION("""COMPUTED_VALUE"""),"115. Toothless")</f>
        <v>115. Toothless</v>
      </c>
      <c r="B6221" s="4" t="str">
        <f>IFERROR(__xludf.DUMMYFUNCTION("""COMPUTED_VALUE"""),"115")</f>
        <v>115</v>
      </c>
      <c r="C6221" s="5" t="str">
        <f>IFERROR(__xludf.DUMMYFUNCTION("""COMPUTED_VALUE"""),"https://drive.google.com/file/d/13T4r5RI0TwGHAr9r5kFRf1jxtCKCrQ7g/view?usp=drivesdk")</f>
        <v>https://drive.google.com/file/d/13T4r5RI0TwGHAr9r5kFRf1jxtCKCrQ7g/view?usp=drivesdk</v>
      </c>
      <c r="D6221" s="12"/>
      <c r="E6221" s="11">
        <v>6269.0</v>
      </c>
      <c r="F6221" s="2"/>
    </row>
    <row r="6222" ht="1.5" customHeight="1">
      <c r="A6222" s="4" t="str">
        <f>IFERROR(__xludf.DUMMYFUNCTION("""COMPUTED_VALUE"""),"61. Cassie")</f>
        <v>61. Cassie</v>
      </c>
      <c r="B6222" s="4" t="str">
        <f>IFERROR(__xludf.DUMMYFUNCTION("""COMPUTED_VALUE"""),"61")</f>
        <v>61</v>
      </c>
      <c r="C6222" s="5" t="str">
        <f>IFERROR(__xludf.DUMMYFUNCTION("""COMPUTED_VALUE"""),"https://drive.google.com/file/d/1Gnf-78lXpXX0TaKxleHVdYDRGOaiRKj6/view?usp=drivesdk")</f>
        <v>https://drive.google.com/file/d/1Gnf-78lXpXX0TaKxleHVdYDRGOaiRKj6/view?usp=drivesdk</v>
      </c>
      <c r="D6222" s="12"/>
      <c r="E6222" s="11">
        <v>6270.0</v>
      </c>
      <c r="F6222" s="2"/>
    </row>
    <row r="6223" ht="1.5" customHeight="1">
      <c r="A6223" s="4" t="str">
        <f>IFERROR(__xludf.DUMMYFUNCTION("""COMPUTED_VALUE"""),"124. Yumi")</f>
        <v>124. Yumi</v>
      </c>
      <c r="B6223" s="4" t="str">
        <f>IFERROR(__xludf.DUMMYFUNCTION("""COMPUTED_VALUE"""),"124")</f>
        <v>124</v>
      </c>
      <c r="C6223" s="5" t="str">
        <f>IFERROR(__xludf.DUMMYFUNCTION("""COMPUTED_VALUE"""),"https://drive.google.com/file/d/1SCfzZQiWyRVkg5BUrT3KF482gby6qMON/view?usp=drivesdk")</f>
        <v>https://drive.google.com/file/d/1SCfzZQiWyRVkg5BUrT3KF482gby6qMON/view?usp=drivesdk</v>
      </c>
      <c r="D6223" s="12"/>
      <c r="E6223" s="11">
        <v>6271.0</v>
      </c>
      <c r="F6223" s="2"/>
    </row>
    <row r="6224" ht="1.5" customHeight="1">
      <c r="A6224" s="4" t="str">
        <f>IFERROR(__xludf.DUMMYFUNCTION("""COMPUTED_VALUE"""),"39. Radar")</f>
        <v>39. Radar</v>
      </c>
      <c r="B6224" s="4" t="str">
        <f>IFERROR(__xludf.DUMMYFUNCTION("""COMPUTED_VALUE"""),"39")</f>
        <v>39</v>
      </c>
      <c r="C6224" s="5" t="str">
        <f>IFERROR(__xludf.DUMMYFUNCTION("""COMPUTED_VALUE"""),"https://drive.google.com/file/d/1dnT9J53z41g6HQgJJaeHOkcqLHPTL_rl/view?usp=drivesdk")</f>
        <v>https://drive.google.com/file/d/1dnT9J53z41g6HQgJJaeHOkcqLHPTL_rl/view?usp=drivesdk</v>
      </c>
      <c r="D6224" s="12"/>
      <c r="E6224" s="11">
        <v>6272.0</v>
      </c>
      <c r="F6224" s="2"/>
    </row>
    <row r="6225" ht="1.5" customHeight="1">
      <c r="A6225" s="4" t="str">
        <f>IFERROR(__xludf.DUMMYFUNCTION("""COMPUTED_VALUE"""),"1. Microwave")</f>
        <v>1. Microwave</v>
      </c>
      <c r="B6225" s="4" t="str">
        <f>IFERROR(__xludf.DUMMYFUNCTION("""COMPUTED_VALUE"""),"1")</f>
        <v>1</v>
      </c>
      <c r="C6225" s="5" t="str">
        <f>IFERROR(__xludf.DUMMYFUNCTION("""COMPUTED_VALUE"""),"https://drive.google.com/file/d/1ukg-nB5b0t_QYBuOxZBN3Bj64jQNnjus/view?usp=drivesdk")</f>
        <v>https://drive.google.com/file/d/1ukg-nB5b0t_QYBuOxZBN3Bj64jQNnjus/view?usp=drivesdk</v>
      </c>
      <c r="D6225" s="12"/>
      <c r="E6225" s="11">
        <v>6273.0</v>
      </c>
      <c r="F6225" s="2"/>
    </row>
    <row r="6226" ht="1.5" customHeight="1">
      <c r="A6226" s="4" t="str">
        <f>IFERROR(__xludf.DUMMYFUNCTION("""COMPUTED_VALUE"""),"2. Twix")</f>
        <v>2. Twix</v>
      </c>
      <c r="B6226" s="4" t="str">
        <f>IFERROR(__xludf.DUMMYFUNCTION("""COMPUTED_VALUE"""),"2")</f>
        <v>2</v>
      </c>
      <c r="C6226" s="5" t="str">
        <f>IFERROR(__xludf.DUMMYFUNCTION("""COMPUTED_VALUE"""),"https://drive.google.com/file/d/1ercO4303hb2X-fOGkrXbgbCZ02MnEMvN/view?usp=drivesdk")</f>
        <v>https://drive.google.com/file/d/1ercO4303hb2X-fOGkrXbgbCZ02MnEMvN/view?usp=drivesdk</v>
      </c>
      <c r="D6226" s="12"/>
      <c r="E6226" s="11">
        <v>6274.0</v>
      </c>
      <c r="F6226" s="2"/>
    </row>
    <row r="6227" ht="1.5" customHeight="1">
      <c r="A6227" s="4" t="str">
        <f>IFERROR(__xludf.DUMMYFUNCTION("""COMPUTED_VALUE"""),"115. Toothless")</f>
        <v>115. Toothless</v>
      </c>
      <c r="B6227" s="4" t="str">
        <f>IFERROR(__xludf.DUMMYFUNCTION("""COMPUTED_VALUE"""),"115")</f>
        <v>115</v>
      </c>
      <c r="C6227" s="5" t="str">
        <f>IFERROR(__xludf.DUMMYFUNCTION("""COMPUTED_VALUE"""),"https://drive.google.com/file/d/1cn4rOaJMZb-YvBNMicwxNdcLji_Oozcl/view?usp=drivesdk")</f>
        <v>https://drive.google.com/file/d/1cn4rOaJMZb-YvBNMicwxNdcLji_Oozcl/view?usp=drivesdk</v>
      </c>
      <c r="D6227" s="12"/>
      <c r="E6227" s="11">
        <v>6275.0</v>
      </c>
      <c r="F6227" s="2"/>
    </row>
    <row r="6228" ht="1.5" customHeight="1">
      <c r="A6228" s="4" t="str">
        <f>IFERROR(__xludf.DUMMYFUNCTION("""COMPUTED_VALUE"""),"0. NotACat")</f>
        <v>0. NotACat</v>
      </c>
      <c r="B6228" s="4" t="str">
        <f>IFERROR(__xludf.DUMMYFUNCTION("""COMPUTED_VALUE"""),"0")</f>
        <v>0</v>
      </c>
      <c r="C6228" s="5" t="str">
        <f>IFERROR(__xludf.DUMMYFUNCTION("""COMPUTED_VALUE"""),"https://drive.google.com/file/d/1aGqAPWIlXP128nk6yZKkndu185X75PoW/view?usp=drivesdk")</f>
        <v>https://drive.google.com/file/d/1aGqAPWIlXP128nk6yZKkndu185X75PoW/view?usp=drivesdk</v>
      </c>
      <c r="D6228" s="12"/>
      <c r="E6228" s="11">
        <v>6276.0</v>
      </c>
      <c r="F6228" s="2"/>
    </row>
    <row r="6229" ht="1.5" customHeight="1">
      <c r="A6229" s="4" t="str">
        <f>IFERROR(__xludf.DUMMYFUNCTION("""COMPUTED_VALUE"""),"0. NotACat")</f>
        <v>0. NotACat</v>
      </c>
      <c r="B6229" s="4" t="str">
        <f>IFERROR(__xludf.DUMMYFUNCTION("""COMPUTED_VALUE"""),"0")</f>
        <v>0</v>
      </c>
      <c r="C6229" s="5" t="str">
        <f>IFERROR(__xludf.DUMMYFUNCTION("""COMPUTED_VALUE"""),"https://drive.google.com/file/d/1EA0xyBN0Gc8ccN-01raMZnNgs036DAB6/view?usp=drivesdk")</f>
        <v>https://drive.google.com/file/d/1EA0xyBN0Gc8ccN-01raMZnNgs036DAB6/view?usp=drivesdk</v>
      </c>
      <c r="D6229" s="12"/>
      <c r="E6229" s="11">
        <v>6277.0</v>
      </c>
      <c r="F6229" s="2"/>
    </row>
    <row r="6230" ht="1.5" customHeight="1">
      <c r="A6230" s="4" t="str">
        <f>IFERROR(__xludf.DUMMYFUNCTION("""COMPUTED_VALUE"""),"0. NotACat")</f>
        <v>0. NotACat</v>
      </c>
      <c r="B6230" s="4" t="str">
        <f>IFERROR(__xludf.DUMMYFUNCTION("""COMPUTED_VALUE"""),"0")</f>
        <v>0</v>
      </c>
      <c r="C6230" s="5" t="str">
        <f>IFERROR(__xludf.DUMMYFUNCTION("""COMPUTED_VALUE"""),"https://drive.google.com/file/d/1OvuIFYEL-Q6Cg5ZsFn9n96Uzqov0mmmP/view?usp=drivesdk")</f>
        <v>https://drive.google.com/file/d/1OvuIFYEL-Q6Cg5ZsFn9n96Uzqov0mmmP/view?usp=drivesdk</v>
      </c>
      <c r="D6230" s="12"/>
      <c r="E6230" s="11">
        <v>6278.0</v>
      </c>
      <c r="F6230" s="2"/>
    </row>
    <row r="6231" ht="1.5" customHeight="1">
      <c r="A6231" s="4" t="str">
        <f>IFERROR(__xludf.DUMMYFUNCTION("""COMPUTED_VALUE"""),"80. Atzi")</f>
        <v>80. Atzi</v>
      </c>
      <c r="B6231" s="4" t="str">
        <f>IFERROR(__xludf.DUMMYFUNCTION("""COMPUTED_VALUE"""),"80")</f>
        <v>80</v>
      </c>
      <c r="C6231" s="5" t="str">
        <f>IFERROR(__xludf.DUMMYFUNCTION("""COMPUTED_VALUE"""),"https://drive.google.com/file/d/1fIKT4KriwslF4kySmsfgHXFGrvktI8o5/view?usp=drivesdk")</f>
        <v>https://drive.google.com/file/d/1fIKT4KriwslF4kySmsfgHXFGrvktI8o5/view?usp=drivesdk</v>
      </c>
      <c r="D6231" s="12"/>
      <c r="E6231" s="11">
        <v>6279.0</v>
      </c>
      <c r="F6231" s="2"/>
    </row>
    <row r="6232" ht="1.5" customHeight="1">
      <c r="A6232" s="4" t="str">
        <f>IFERROR(__xludf.DUMMYFUNCTION("""COMPUTED_VALUE"""),"5. Eraser")</f>
        <v>5. Eraser</v>
      </c>
      <c r="B6232" s="4" t="str">
        <f>IFERROR(__xludf.DUMMYFUNCTION("""COMPUTED_VALUE"""),"5")</f>
        <v>5</v>
      </c>
      <c r="C6232" s="5" t="str">
        <f>IFERROR(__xludf.DUMMYFUNCTION("""COMPUTED_VALUE"""),"https://drive.google.com/file/d/1d_zJE2ka30zwy2jHQdqUY82dEaKFo8mj/view?usp=drivesdk")</f>
        <v>https://drive.google.com/file/d/1d_zJE2ka30zwy2jHQdqUY82dEaKFo8mj/view?usp=drivesdk</v>
      </c>
      <c r="D6232" s="12"/>
      <c r="E6232" s="11">
        <v>6280.0</v>
      </c>
      <c r="F6232" s="2"/>
    </row>
    <row r="6233" ht="1.5" customHeight="1">
      <c r="A6233" s="4" t="str">
        <f>IFERROR(__xludf.DUMMYFUNCTION("""COMPUTED_VALUE"""),"4. Eggs")</f>
        <v>4. Eggs</v>
      </c>
      <c r="B6233" s="4" t="str">
        <f>IFERROR(__xludf.DUMMYFUNCTION("""COMPUTED_VALUE"""),"4")</f>
        <v>4</v>
      </c>
      <c r="C6233" s="5" t="str">
        <f>IFERROR(__xludf.DUMMYFUNCTION("""COMPUTED_VALUE"""),"https://drive.google.com/file/d/145Ij_w--ImzttuOuKXs2lUl3BVe-_HK8/view?usp=drivesdk")</f>
        <v>https://drive.google.com/file/d/145Ij_w--ImzttuOuKXs2lUl3BVe-_HK8/view?usp=drivesdk</v>
      </c>
      <c r="D6233" s="12"/>
      <c r="E6233" s="11">
        <v>6281.0</v>
      </c>
      <c r="F6233" s="2"/>
    </row>
    <row r="6234" ht="1.5" customHeight="1">
      <c r="A6234" s="4" t="str">
        <f>IFERROR(__xludf.DUMMYFUNCTION("""COMPUTED_VALUE"""),"2. Twix")</f>
        <v>2. Twix</v>
      </c>
      <c r="B6234" s="4" t="str">
        <f>IFERROR(__xludf.DUMMYFUNCTION("""COMPUTED_VALUE"""),"2")</f>
        <v>2</v>
      </c>
      <c r="C6234" s="5" t="str">
        <f>IFERROR(__xludf.DUMMYFUNCTION("""COMPUTED_VALUE"""),"https://drive.google.com/file/d/1b1dvR0G1XGIm9XamgdETp0CVz2YcdblG/view?usp=drivesdk")</f>
        <v>https://drive.google.com/file/d/1b1dvR0G1XGIm9XamgdETp0CVz2YcdblG/view?usp=drivesdk</v>
      </c>
      <c r="D6234" s="12"/>
      <c r="E6234" s="11">
        <v>6282.0</v>
      </c>
      <c r="F6234" s="2"/>
    </row>
    <row r="6235" ht="1.5" customHeight="1">
      <c r="A6235" s="4" t="str">
        <f>IFERROR(__xludf.DUMMYFUNCTION("""COMPUTED_VALUE"""),"1. Microwave")</f>
        <v>1. Microwave</v>
      </c>
      <c r="B6235" s="4" t="str">
        <f>IFERROR(__xludf.DUMMYFUNCTION("""COMPUTED_VALUE"""),"1")</f>
        <v>1</v>
      </c>
      <c r="C6235" s="5" t="str">
        <f>IFERROR(__xludf.DUMMYFUNCTION("""COMPUTED_VALUE"""),"https://drive.google.com/file/d/1o88x3AK9Jq3gWXsFjR_x4sJGG-YL4IIl/view?usp=drivesdk")</f>
        <v>https://drive.google.com/file/d/1o88x3AK9Jq3gWXsFjR_x4sJGG-YL4IIl/view?usp=drivesdk</v>
      </c>
      <c r="D6235" s="12"/>
      <c r="E6235" s="11">
        <v>6283.0</v>
      </c>
      <c r="F6235" s="2"/>
    </row>
    <row r="6236" ht="1.5" customHeight="1">
      <c r="A6236" s="4" t="str">
        <f>IFERROR(__xludf.DUMMYFUNCTION("""COMPUTED_VALUE"""),"1. Microwave")</f>
        <v>1. Microwave</v>
      </c>
      <c r="B6236" s="4" t="str">
        <f>IFERROR(__xludf.DUMMYFUNCTION("""COMPUTED_VALUE"""),"1")</f>
        <v>1</v>
      </c>
      <c r="C6236" s="5" t="str">
        <f>IFERROR(__xludf.DUMMYFUNCTION("""COMPUTED_VALUE"""),"https://drive.google.com/file/d/19Y0xX9HW69A62L2LYixawoCsmGVZTcZl/view?usp=drivesdk")</f>
        <v>https://drive.google.com/file/d/19Y0xX9HW69A62L2LYixawoCsmGVZTcZl/view?usp=drivesdk</v>
      </c>
      <c r="D6236" s="12"/>
      <c r="E6236" s="11">
        <v>6284.0</v>
      </c>
      <c r="F6236" s="2"/>
    </row>
    <row r="6237" ht="1.5" customHeight="1">
      <c r="A6237" s="4" t="str">
        <f>IFERROR(__xludf.DUMMYFUNCTION("""COMPUTED_VALUE"""),"1. Microwave")</f>
        <v>1. Microwave</v>
      </c>
      <c r="B6237" s="4" t="str">
        <f>IFERROR(__xludf.DUMMYFUNCTION("""COMPUTED_VALUE"""),"1")</f>
        <v>1</v>
      </c>
      <c r="C6237" s="5" t="str">
        <f>IFERROR(__xludf.DUMMYFUNCTION("""COMPUTED_VALUE"""),"https://drive.google.com/file/d/1MyM3LcTTxOXam5IENZJBgLhvS0N2kZ9e/view?usp=drivesdk")</f>
        <v>https://drive.google.com/file/d/1MyM3LcTTxOXam5IENZJBgLhvS0N2kZ9e/view?usp=drivesdk</v>
      </c>
      <c r="D6237" s="12"/>
      <c r="E6237" s="11">
        <v>6285.0</v>
      </c>
      <c r="F6237" s="2"/>
    </row>
    <row r="6238" ht="1.5" customHeight="1">
      <c r="A6238" s="4" t="str">
        <f>IFERROR(__xludf.DUMMYFUNCTION("""COMPUTED_VALUE"""),"1. Microwave")</f>
        <v>1. Microwave</v>
      </c>
      <c r="B6238" s="4" t="str">
        <f>IFERROR(__xludf.DUMMYFUNCTION("""COMPUTED_VALUE"""),"1")</f>
        <v>1</v>
      </c>
      <c r="C6238" s="5" t="str">
        <f>IFERROR(__xludf.DUMMYFUNCTION("""COMPUTED_VALUE"""),"https://drive.google.com/file/d/1QLB97AY6KVvugNDSq4lJ0tSkQ6SLFOZd/view?usp=drivesdk")</f>
        <v>https://drive.google.com/file/d/1QLB97AY6KVvugNDSq4lJ0tSkQ6SLFOZd/view?usp=drivesdk</v>
      </c>
      <c r="D6238" s="12"/>
      <c r="E6238" s="11">
        <v>6286.0</v>
      </c>
      <c r="F6238" s="2"/>
    </row>
    <row r="6239" ht="1.5" customHeight="1">
      <c r="A6239" s="4" t="str">
        <f>IFERROR(__xludf.DUMMYFUNCTION("""COMPUTED_VALUE"""),"38. Winston")</f>
        <v>38. Winston</v>
      </c>
      <c r="B6239" s="4" t="str">
        <f>IFERROR(__xludf.DUMMYFUNCTION("""COMPUTED_VALUE"""),"38")</f>
        <v>38</v>
      </c>
      <c r="C6239" s="5" t="str">
        <f>IFERROR(__xludf.DUMMYFUNCTION("""COMPUTED_VALUE"""),"https://drive.google.com/file/d/1v_unMVo-T1NuSSK8soLvrvnM3HfWQe9H/view?usp=drivesdk")</f>
        <v>https://drive.google.com/file/d/1v_unMVo-T1NuSSK8soLvrvnM3HfWQe9H/view?usp=drivesdk</v>
      </c>
      <c r="D6239" s="12"/>
      <c r="E6239" s="11">
        <v>6287.0</v>
      </c>
      <c r="F6239" s="2"/>
    </row>
    <row r="6240" ht="1.5" customHeight="1">
      <c r="A6240" s="4" t="str">
        <f>IFERROR(__xludf.DUMMYFUNCTION("""COMPUTED_VALUE"""),"39. Radar")</f>
        <v>39. Radar</v>
      </c>
      <c r="B6240" s="4" t="str">
        <f>IFERROR(__xludf.DUMMYFUNCTION("""COMPUTED_VALUE"""),"39")</f>
        <v>39</v>
      </c>
      <c r="C6240" s="5" t="str">
        <f>IFERROR(__xludf.DUMMYFUNCTION("""COMPUTED_VALUE"""),"https://drive.google.com/file/d/1gEiRaElQ0CwzCLSJ0CNBOizxrOVnfdU7/view?usp=drivesdk")</f>
        <v>https://drive.google.com/file/d/1gEiRaElQ0CwzCLSJ0CNBOizxrOVnfdU7/view?usp=drivesdk</v>
      </c>
      <c r="D6240" s="12"/>
      <c r="E6240" s="11">
        <v>6288.0</v>
      </c>
      <c r="F6240" s="2"/>
    </row>
    <row r="6241" ht="1.5" customHeight="1">
      <c r="A6241" s="4" t="str">
        <f>IFERROR(__xludf.DUMMYFUNCTION("""COMPUTED_VALUE"""),"39. Radar")</f>
        <v>39. Radar</v>
      </c>
      <c r="B6241" s="4" t="str">
        <f>IFERROR(__xludf.DUMMYFUNCTION("""COMPUTED_VALUE"""),"39")</f>
        <v>39</v>
      </c>
      <c r="C6241" s="5" t="str">
        <f>IFERROR(__xludf.DUMMYFUNCTION("""COMPUTED_VALUE"""),"https://drive.google.com/file/d/19w1QEunQ5-MnYumBhAli82dCzWQ0Jl9u/view?usp=drivesdk")</f>
        <v>https://drive.google.com/file/d/19w1QEunQ5-MnYumBhAli82dCzWQ0Jl9u/view?usp=drivesdk</v>
      </c>
      <c r="D6241" s="12"/>
      <c r="E6241" s="11">
        <v>6289.0</v>
      </c>
      <c r="F6241" s="2"/>
    </row>
    <row r="6242" ht="1.5" customHeight="1">
      <c r="A6242" s="4" t="str">
        <f>IFERROR(__xludf.DUMMYFUNCTION("""COMPUTED_VALUE"""),"1. Microwave")</f>
        <v>1. Microwave</v>
      </c>
      <c r="B6242" s="4" t="str">
        <f>IFERROR(__xludf.DUMMYFUNCTION("""COMPUTED_VALUE"""),"1")</f>
        <v>1</v>
      </c>
      <c r="C6242" s="5" t="str">
        <f>IFERROR(__xludf.DUMMYFUNCTION("""COMPUTED_VALUE"""),"https://drive.google.com/file/d/14IfU-gGHt_p1-sy5Y5c4xmqgUKva5xAr/view?usp=drivesdk")</f>
        <v>https://drive.google.com/file/d/14IfU-gGHt_p1-sy5Y5c4xmqgUKva5xAr/view?usp=drivesdk</v>
      </c>
      <c r="D6242" s="12"/>
      <c r="E6242" s="11">
        <v>6290.0</v>
      </c>
      <c r="F6242" s="2"/>
    </row>
    <row r="6243" ht="1.5" customHeight="1">
      <c r="A6243" s="4" t="str">
        <f>IFERROR(__xludf.DUMMYFUNCTION("""COMPUTED_VALUE"""),"1. Microwave")</f>
        <v>1. Microwave</v>
      </c>
      <c r="B6243" s="4" t="str">
        <f>IFERROR(__xludf.DUMMYFUNCTION("""COMPUTED_VALUE"""),"1")</f>
        <v>1</v>
      </c>
      <c r="C6243" s="5" t="str">
        <f>IFERROR(__xludf.DUMMYFUNCTION("""COMPUTED_VALUE"""),"https://drive.google.com/file/d/1tR9k_PHedZ-WXmPNKyB8WKv8Ys4O4WXu/view?usp=drivesdk")</f>
        <v>https://drive.google.com/file/d/1tR9k_PHedZ-WXmPNKyB8WKv8Ys4O4WXu/view?usp=drivesdk</v>
      </c>
      <c r="D6243" s="12"/>
      <c r="E6243" s="11">
        <v>6291.0</v>
      </c>
      <c r="F6243" s="2"/>
    </row>
    <row r="6244" ht="1.5" customHeight="1">
      <c r="A6244" s="4" t="str">
        <f>IFERROR(__xludf.DUMMYFUNCTION("""COMPUTED_VALUE"""),"1. Microwave")</f>
        <v>1. Microwave</v>
      </c>
      <c r="B6244" s="4" t="str">
        <f>IFERROR(__xludf.DUMMYFUNCTION("""COMPUTED_VALUE"""),"1")</f>
        <v>1</v>
      </c>
      <c r="C6244" s="5" t="str">
        <f>IFERROR(__xludf.DUMMYFUNCTION("""COMPUTED_VALUE"""),"https://drive.google.com/file/d/1so-BQl4PG3t6PvyKjRX0HMV5ZoUxyJWZ/view?usp=drivesdk")</f>
        <v>https://drive.google.com/file/d/1so-BQl4PG3t6PvyKjRX0HMV5ZoUxyJWZ/view?usp=drivesdk</v>
      </c>
      <c r="D6244" s="12"/>
      <c r="E6244" s="11">
        <v>6292.0</v>
      </c>
      <c r="F6244" s="2"/>
    </row>
    <row r="6245" ht="1.5" customHeight="1">
      <c r="A6245" s="4" t="str">
        <f>IFERROR(__xludf.DUMMYFUNCTION("""COMPUTED_VALUE"""),"1. Microwave")</f>
        <v>1. Microwave</v>
      </c>
      <c r="B6245" s="4" t="str">
        <f>IFERROR(__xludf.DUMMYFUNCTION("""COMPUTED_VALUE"""),"1")</f>
        <v>1</v>
      </c>
      <c r="C6245" s="5" t="str">
        <f>IFERROR(__xludf.DUMMYFUNCTION("""COMPUTED_VALUE"""),"https://drive.google.com/file/d/1JS3udE0A0PT51Dlu5jC71VTEfKTETNsB/view?usp=drivesdk")</f>
        <v>https://drive.google.com/file/d/1JS3udE0A0PT51Dlu5jC71VTEfKTETNsB/view?usp=drivesdk</v>
      </c>
      <c r="D6245" s="12"/>
      <c r="E6245" s="11">
        <v>6293.0</v>
      </c>
      <c r="F6245" s="2"/>
    </row>
    <row r="6246" ht="1.5" customHeight="1">
      <c r="A6246" s="4" t="str">
        <f>IFERROR(__xludf.DUMMYFUNCTION("""COMPUTED_VALUE"""),"1. Microwave")</f>
        <v>1. Microwave</v>
      </c>
      <c r="B6246" s="4" t="str">
        <f>IFERROR(__xludf.DUMMYFUNCTION("""COMPUTED_VALUE"""),"1")</f>
        <v>1</v>
      </c>
      <c r="C6246" s="5" t="str">
        <f>IFERROR(__xludf.DUMMYFUNCTION("""COMPUTED_VALUE"""),"https://drive.google.com/file/d/1E-pHqqolg4rqaULpXMEEO7BtJAUr1VYU/view?usp=drivesdk")</f>
        <v>https://drive.google.com/file/d/1E-pHqqolg4rqaULpXMEEO7BtJAUr1VYU/view?usp=drivesdk</v>
      </c>
      <c r="D6246" s="12"/>
      <c r="E6246" s="11">
        <v>6294.0</v>
      </c>
      <c r="F6246" s="2"/>
    </row>
    <row r="6247" ht="1.5" customHeight="1">
      <c r="A6247" s="4" t="str">
        <f>IFERROR(__xludf.DUMMYFUNCTION("""COMPUTED_VALUE"""),"1. Microwave")</f>
        <v>1. Microwave</v>
      </c>
      <c r="B6247" s="4" t="str">
        <f>IFERROR(__xludf.DUMMYFUNCTION("""COMPUTED_VALUE"""),"1")</f>
        <v>1</v>
      </c>
      <c r="C6247" s="5" t="str">
        <f>IFERROR(__xludf.DUMMYFUNCTION("""COMPUTED_VALUE"""),"https://drive.google.com/file/d/11S6HBQNDQ36d2iwyJLmn8dqcpo2HSQal/view?usp=drivesdk")</f>
        <v>https://drive.google.com/file/d/11S6HBQNDQ36d2iwyJLmn8dqcpo2HSQal/view?usp=drivesdk</v>
      </c>
      <c r="D6247" s="12"/>
      <c r="E6247" s="11">
        <v>6295.0</v>
      </c>
      <c r="F6247" s="2"/>
    </row>
    <row r="6248" ht="1.5" customHeight="1">
      <c r="A6248" s="4" t="str">
        <f>IFERROR(__xludf.DUMMYFUNCTION("""COMPUTED_VALUE"""),"1. Microwave")</f>
        <v>1. Microwave</v>
      </c>
      <c r="B6248" s="4" t="str">
        <f>IFERROR(__xludf.DUMMYFUNCTION("""COMPUTED_VALUE"""),"1")</f>
        <v>1</v>
      </c>
      <c r="C6248" s="5" t="str">
        <f>IFERROR(__xludf.DUMMYFUNCTION("""COMPUTED_VALUE"""),"https://drive.google.com/file/d/1jBt5jIc6mRCPN08H1JHJQ_81CD0O9e0t/view?usp=drivesdk")</f>
        <v>https://drive.google.com/file/d/1jBt5jIc6mRCPN08H1JHJQ_81CD0O9e0t/view?usp=drivesdk</v>
      </c>
      <c r="D6248" s="12"/>
      <c r="E6248" s="11">
        <v>6296.0</v>
      </c>
      <c r="F6248" s="2"/>
    </row>
    <row r="6249" ht="1.5" customHeight="1">
      <c r="A6249" s="4" t="str">
        <f>IFERROR(__xludf.DUMMYFUNCTION("""COMPUTED_VALUE"""),"1. Microwave")</f>
        <v>1. Microwave</v>
      </c>
      <c r="B6249" s="4" t="str">
        <f>IFERROR(__xludf.DUMMYFUNCTION("""COMPUTED_VALUE"""),"1")</f>
        <v>1</v>
      </c>
      <c r="C6249" s="5" t="str">
        <f>IFERROR(__xludf.DUMMYFUNCTION("""COMPUTED_VALUE"""),"https://drive.google.com/file/d/1irU_iFIErfarMprYiEb5UmPnFTuX_Mej/view?usp=drivesdk")</f>
        <v>https://drive.google.com/file/d/1irU_iFIErfarMprYiEb5UmPnFTuX_Mej/view?usp=drivesdk</v>
      </c>
      <c r="D6249" s="12"/>
      <c r="E6249" s="11">
        <v>6297.0</v>
      </c>
      <c r="F6249" s="2"/>
    </row>
    <row r="6250" ht="1.5" customHeight="1">
      <c r="A6250" s="4" t="str">
        <f>IFERROR(__xludf.DUMMYFUNCTION("""COMPUTED_VALUE"""),"1. Microwave")</f>
        <v>1. Microwave</v>
      </c>
      <c r="B6250" s="4" t="str">
        <f>IFERROR(__xludf.DUMMYFUNCTION("""COMPUTED_VALUE"""),"1")</f>
        <v>1</v>
      </c>
      <c r="C6250" s="5" t="str">
        <f>IFERROR(__xludf.DUMMYFUNCTION("""COMPUTED_VALUE"""),"https://drive.google.com/file/d/1F66DO7db_-ZI12k4AFh9cQfsXc5MW3Fm/view?usp=drivesdk")</f>
        <v>https://drive.google.com/file/d/1F66DO7db_-ZI12k4AFh9cQfsXc5MW3Fm/view?usp=drivesdk</v>
      </c>
      <c r="D6250" s="12"/>
      <c r="E6250" s="11">
        <v>6298.0</v>
      </c>
      <c r="F6250" s="2"/>
    </row>
    <row r="6251" ht="1.5" customHeight="1">
      <c r="A6251" s="4" t="str">
        <f>IFERROR(__xludf.DUMMYFUNCTION("""COMPUTED_VALUE"""),"1. Microwave")</f>
        <v>1. Microwave</v>
      </c>
      <c r="B6251" s="4" t="str">
        <f>IFERROR(__xludf.DUMMYFUNCTION("""COMPUTED_VALUE"""),"1")</f>
        <v>1</v>
      </c>
      <c r="C6251" s="5" t="str">
        <f>IFERROR(__xludf.DUMMYFUNCTION("""COMPUTED_VALUE"""),"https://drive.google.com/file/d/1z4PT6lW9OYmMTJrcX-bXNkzm_Eceu-EG/view?usp=drivesdk")</f>
        <v>https://drive.google.com/file/d/1z4PT6lW9OYmMTJrcX-bXNkzm_Eceu-EG/view?usp=drivesdk</v>
      </c>
      <c r="D6251" s="12"/>
      <c r="E6251" s="11">
        <v>6299.0</v>
      </c>
      <c r="F6251" s="2"/>
    </row>
    <row r="6252" ht="1.5" customHeight="1">
      <c r="A6252" s="4" t="str">
        <f>IFERROR(__xludf.DUMMYFUNCTION("""COMPUTED_VALUE"""),"0. NotACat")</f>
        <v>0. NotACat</v>
      </c>
      <c r="B6252" s="4" t="str">
        <f>IFERROR(__xludf.DUMMYFUNCTION("""COMPUTED_VALUE"""),"0")</f>
        <v>0</v>
      </c>
      <c r="C6252" s="5" t="str">
        <f>IFERROR(__xludf.DUMMYFUNCTION("""COMPUTED_VALUE"""),"https://drive.google.com/file/d/1LDTPSIprkt39GIiSOiqpu3IKbpeS9TLf/view?usp=drivesdk")</f>
        <v>https://drive.google.com/file/d/1LDTPSIprkt39GIiSOiqpu3IKbpeS9TLf/view?usp=drivesdk</v>
      </c>
      <c r="D6252" s="12"/>
      <c r="E6252" s="11">
        <v>6300.0</v>
      </c>
      <c r="F6252" s="2"/>
    </row>
    <row r="6253" ht="1.5" customHeight="1">
      <c r="A6253" s="4" t="str">
        <f>IFERROR(__xludf.DUMMYFUNCTION("""COMPUTED_VALUE"""),"1. Microwave")</f>
        <v>1. Microwave</v>
      </c>
      <c r="B6253" s="4" t="str">
        <f>IFERROR(__xludf.DUMMYFUNCTION("""COMPUTED_VALUE"""),"1")</f>
        <v>1</v>
      </c>
      <c r="C6253" s="5" t="str">
        <f>IFERROR(__xludf.DUMMYFUNCTION("""COMPUTED_VALUE"""),"https://drive.google.com/file/d/18txIr5Bcnnt5FfI-cj_1zk7tnzsWsF_7/view?usp=drivesdk")</f>
        <v>https://drive.google.com/file/d/18txIr5Bcnnt5FfI-cj_1zk7tnzsWsF_7/view?usp=drivesdk</v>
      </c>
      <c r="D6253" s="12"/>
      <c r="E6253" s="11">
        <v>6301.0</v>
      </c>
      <c r="F6253" s="2"/>
    </row>
    <row r="6254" ht="1.5" customHeight="1">
      <c r="A6254" s="4" t="str">
        <f>IFERROR(__xludf.DUMMYFUNCTION("""COMPUTED_VALUE"""),"27. Angel")</f>
        <v>27. Angel</v>
      </c>
      <c r="B6254" s="4" t="str">
        <f>IFERROR(__xludf.DUMMYFUNCTION("""COMPUTED_VALUE"""),"27")</f>
        <v>27</v>
      </c>
      <c r="C6254" s="5" t="str">
        <f>IFERROR(__xludf.DUMMYFUNCTION("""COMPUTED_VALUE"""),"https://drive.google.com/file/d/16rTqv7qg8FZETYwMGalVT2goraIHVg8a/view?usp=drivesdk")</f>
        <v>https://drive.google.com/file/d/16rTqv7qg8FZETYwMGalVT2goraIHVg8a/view?usp=drivesdk</v>
      </c>
      <c r="D6254" s="12"/>
      <c r="E6254" s="11">
        <v>6302.0</v>
      </c>
      <c r="F6254" s="2"/>
    </row>
    <row r="6255" ht="1.5" customHeight="1">
      <c r="A6255" s="4" t="str">
        <f>IFERROR(__xludf.DUMMYFUNCTION("""COMPUTED_VALUE"""),"27. Angel, 30. Pepper, 29. Ginger")</f>
        <v>27. Angel, 30. Pepper, 29. Ginger</v>
      </c>
      <c r="B6255" s="4" t="str">
        <f>IFERROR(__xludf.DUMMYFUNCTION("""COMPUTED_VALUE"""),"27, 30, 29")</f>
        <v>27, 30, 29</v>
      </c>
      <c r="C6255" s="5" t="str">
        <f>IFERROR(__xludf.DUMMYFUNCTION("""COMPUTED_VALUE"""),"https://drive.google.com/file/d/1EvRv6rdYoMhwTzEW4q-RH54d-n2XPxEf/view?usp=drivesdk")</f>
        <v>https://drive.google.com/file/d/1EvRv6rdYoMhwTzEW4q-RH54d-n2XPxEf/view?usp=drivesdk</v>
      </c>
      <c r="D6255" s="12"/>
      <c r="E6255" s="11">
        <v>6303.0</v>
      </c>
      <c r="F6255" s="2"/>
    </row>
    <row r="6256" ht="1.5" customHeight="1">
      <c r="A6256" s="4" t="str">
        <f>IFERROR(__xludf.DUMMYFUNCTION("""COMPUTED_VALUE"""),"49. Freya, 50. Thor")</f>
        <v>49. Freya, 50. Thor</v>
      </c>
      <c r="B6256" s="4" t="str">
        <f>IFERROR(__xludf.DUMMYFUNCTION("""COMPUTED_VALUE"""),"49, 50")</f>
        <v>49, 50</v>
      </c>
      <c r="C6256" s="5" t="str">
        <f>IFERROR(__xludf.DUMMYFUNCTION("""COMPUTED_VALUE"""),"https://drive.google.com/file/d/1gUQ_pLtQifQNNI4rjTxxOjU_-BIo_Z5P/view?usp=drivesdk")</f>
        <v>https://drive.google.com/file/d/1gUQ_pLtQifQNNI4rjTxxOjU_-BIo_Z5P/view?usp=drivesdk</v>
      </c>
      <c r="D6256" s="12"/>
      <c r="E6256" s="11">
        <v>6304.0</v>
      </c>
      <c r="F6256" s="2"/>
    </row>
    <row r="6257" ht="1.5" customHeight="1">
      <c r="A6257" s="4" t="str">
        <f>IFERROR(__xludf.DUMMYFUNCTION("""COMPUTED_VALUE"""),"1. Microwave")</f>
        <v>1. Microwave</v>
      </c>
      <c r="B6257" s="4" t="str">
        <f>IFERROR(__xludf.DUMMYFUNCTION("""COMPUTED_VALUE"""),"1")</f>
        <v>1</v>
      </c>
      <c r="C6257" s="5" t="str">
        <f>IFERROR(__xludf.DUMMYFUNCTION("""COMPUTED_VALUE"""),"https://drive.google.com/file/d/1Q0EK51-CCJ_oI2k_NL991-_-JDtLOWw7/view?usp=drivesdk")</f>
        <v>https://drive.google.com/file/d/1Q0EK51-CCJ_oI2k_NL991-_-JDtLOWw7/view?usp=drivesdk</v>
      </c>
      <c r="D6257" s="12"/>
      <c r="E6257" s="11">
        <v>6305.0</v>
      </c>
      <c r="F6257" s="2"/>
    </row>
    <row r="6258" ht="1.5" customHeight="1">
      <c r="A6258" s="4" t="str">
        <f>IFERROR(__xludf.DUMMYFUNCTION("""COMPUTED_VALUE"""),"1. Microwave")</f>
        <v>1. Microwave</v>
      </c>
      <c r="B6258" s="4" t="str">
        <f>IFERROR(__xludf.DUMMYFUNCTION("""COMPUTED_VALUE"""),"1")</f>
        <v>1</v>
      </c>
      <c r="C6258" s="5" t="str">
        <f>IFERROR(__xludf.DUMMYFUNCTION("""COMPUTED_VALUE"""),"https://drive.google.com/file/d/1LVr4WlXu1fzmhD7EOVLZl3seSnnWivfW/view?usp=drivesdk")</f>
        <v>https://drive.google.com/file/d/1LVr4WlXu1fzmhD7EOVLZl3seSnnWivfW/view?usp=drivesdk</v>
      </c>
      <c r="D6258" s="12"/>
      <c r="E6258" s="11">
        <v>6306.0</v>
      </c>
      <c r="F6258" s="2"/>
    </row>
    <row r="6259" ht="1.5" customHeight="1">
      <c r="A6259" s="4" t="str">
        <f>IFERROR(__xludf.DUMMYFUNCTION("""COMPUTED_VALUE"""),"1. Microwave")</f>
        <v>1. Microwave</v>
      </c>
      <c r="B6259" s="4" t="str">
        <f>IFERROR(__xludf.DUMMYFUNCTION("""COMPUTED_VALUE"""),"1")</f>
        <v>1</v>
      </c>
      <c r="C6259" s="5" t="str">
        <f>IFERROR(__xludf.DUMMYFUNCTION("""COMPUTED_VALUE"""),"https://drive.google.com/file/d/1C3GW0_FUcKLeG0P_pFiHbSmYVv2M1QGx/view?usp=drivesdk")</f>
        <v>https://drive.google.com/file/d/1C3GW0_FUcKLeG0P_pFiHbSmYVv2M1QGx/view?usp=drivesdk</v>
      </c>
      <c r="D6259" s="12"/>
      <c r="E6259" s="11">
        <v>6307.0</v>
      </c>
      <c r="F6259" s="2"/>
    </row>
    <row r="6260" ht="1.5" customHeight="1">
      <c r="A6260" s="4" t="str">
        <f>IFERROR(__xludf.DUMMYFUNCTION("""COMPUTED_VALUE"""),"1. Microwave")</f>
        <v>1. Microwave</v>
      </c>
      <c r="B6260" s="4" t="str">
        <f>IFERROR(__xludf.DUMMYFUNCTION("""COMPUTED_VALUE"""),"1")</f>
        <v>1</v>
      </c>
      <c r="C6260" s="5" t="str">
        <f>IFERROR(__xludf.DUMMYFUNCTION("""COMPUTED_VALUE"""),"https://drive.google.com/file/d/16DPRdc6X6F49ZVZ3ZMdtygNFIGsUow0z/view?usp=drivesdk")</f>
        <v>https://drive.google.com/file/d/16DPRdc6X6F49ZVZ3ZMdtygNFIGsUow0z/view?usp=drivesdk</v>
      </c>
      <c r="D6260" s="12"/>
      <c r="E6260" s="11">
        <v>6308.0</v>
      </c>
      <c r="F6260" s="2"/>
    </row>
    <row r="6261" ht="1.5" customHeight="1">
      <c r="A6261" s="4" t="str">
        <f>IFERROR(__xludf.DUMMYFUNCTION("""COMPUTED_VALUE"""),"2. Twix")</f>
        <v>2. Twix</v>
      </c>
      <c r="B6261" s="4" t="str">
        <f>IFERROR(__xludf.DUMMYFUNCTION("""COMPUTED_VALUE"""),"2")</f>
        <v>2</v>
      </c>
      <c r="C6261" s="5" t="str">
        <f>IFERROR(__xludf.DUMMYFUNCTION("""COMPUTED_VALUE"""),"https://drive.google.com/file/d/14LQwZztyAuogaJD2sPveWIOo4NQmJ3My/view?usp=drivesdk")</f>
        <v>https://drive.google.com/file/d/14LQwZztyAuogaJD2sPveWIOo4NQmJ3My/view?usp=drivesdk</v>
      </c>
      <c r="D6261" s="12"/>
      <c r="E6261" s="11">
        <v>6309.0</v>
      </c>
      <c r="F6261" s="2"/>
    </row>
    <row r="6262" ht="1.5" customHeight="1">
      <c r="A6262" s="4" t="str">
        <f>IFERROR(__xludf.DUMMYFUNCTION("""COMPUTED_VALUE"""),"5. Eraser")</f>
        <v>5. Eraser</v>
      </c>
      <c r="B6262" s="4" t="str">
        <f>IFERROR(__xludf.DUMMYFUNCTION("""COMPUTED_VALUE"""),"5")</f>
        <v>5</v>
      </c>
      <c r="C6262" s="5" t="str">
        <f>IFERROR(__xludf.DUMMYFUNCTION("""COMPUTED_VALUE"""),"https://drive.google.com/file/d/165mKGNAWQK1EoIsZYMvuXkxwEcmOpEx7/view?usp=drivesdk")</f>
        <v>https://drive.google.com/file/d/165mKGNAWQK1EoIsZYMvuXkxwEcmOpEx7/view?usp=drivesdk</v>
      </c>
      <c r="D6262" s="12"/>
      <c r="E6262" s="11">
        <v>6310.0</v>
      </c>
      <c r="F6262" s="2"/>
    </row>
    <row r="6263" ht="1.5" customHeight="1">
      <c r="A6263" s="4" t="str">
        <f>IFERROR(__xludf.DUMMYFUNCTION("""COMPUTED_VALUE"""),"4. Eggs")</f>
        <v>4. Eggs</v>
      </c>
      <c r="B6263" s="4" t="str">
        <f>IFERROR(__xludf.DUMMYFUNCTION("""COMPUTED_VALUE"""),"4")</f>
        <v>4</v>
      </c>
      <c r="C6263" s="5" t="str">
        <f>IFERROR(__xludf.DUMMYFUNCTION("""COMPUTED_VALUE"""),"https://drive.google.com/file/d/1IsaV59r_8cLeKVHIRU55zc6I0hyWA4z7/view?usp=drivesdk")</f>
        <v>https://drive.google.com/file/d/1IsaV59r_8cLeKVHIRU55zc6I0hyWA4z7/view?usp=drivesdk</v>
      </c>
      <c r="D6263" s="12"/>
      <c r="E6263" s="11">
        <v>6311.0</v>
      </c>
      <c r="F6263" s="2"/>
    </row>
    <row r="6264" ht="1.5" customHeight="1">
      <c r="A6264" s="4" t="str">
        <f>IFERROR(__xludf.DUMMYFUNCTION("""COMPUTED_VALUE"""),"4. Eggs")</f>
        <v>4. Eggs</v>
      </c>
      <c r="B6264" s="4" t="str">
        <f>IFERROR(__xludf.DUMMYFUNCTION("""COMPUTED_VALUE"""),"4")</f>
        <v>4</v>
      </c>
      <c r="C6264" s="5" t="str">
        <f>IFERROR(__xludf.DUMMYFUNCTION("""COMPUTED_VALUE"""),"https://drive.google.com/file/d/1kSBLhs2Z1JZx5zQvdcmIq6IIcWPZpkDk/view?usp=drivesdk")</f>
        <v>https://drive.google.com/file/d/1kSBLhs2Z1JZx5zQvdcmIq6IIcWPZpkDk/view?usp=drivesdk</v>
      </c>
      <c r="D6264" s="12"/>
      <c r="E6264" s="11">
        <v>6312.0</v>
      </c>
      <c r="F6264" s="2"/>
    </row>
    <row r="6265" ht="1.5" customHeight="1">
      <c r="A6265" s="4" t="str">
        <f>IFERROR(__xludf.DUMMYFUNCTION("""COMPUTED_VALUE"""),"4. Eggs")</f>
        <v>4. Eggs</v>
      </c>
      <c r="B6265" s="4" t="str">
        <f>IFERROR(__xludf.DUMMYFUNCTION("""COMPUTED_VALUE"""),"4")</f>
        <v>4</v>
      </c>
      <c r="C6265" s="5" t="str">
        <f>IFERROR(__xludf.DUMMYFUNCTION("""COMPUTED_VALUE"""),"https://drive.google.com/file/d/1w05pLiFj8bsgtUEjcDtS2hfF80bDjMOm/view?usp=drivesdk")</f>
        <v>https://drive.google.com/file/d/1w05pLiFj8bsgtUEjcDtS2hfF80bDjMOm/view?usp=drivesdk</v>
      </c>
      <c r="D6265" s="12"/>
      <c r="E6265" s="11">
        <v>6313.0</v>
      </c>
      <c r="F6265" s="2"/>
    </row>
    <row r="6266" ht="1.5" customHeight="1">
      <c r="A6266" s="4" t="str">
        <f>IFERROR(__xludf.DUMMYFUNCTION("""COMPUTED_VALUE"""),"4. Eggs, 5. Eraser")</f>
        <v>4. Eggs, 5. Eraser</v>
      </c>
      <c r="B6266" s="4" t="str">
        <f>IFERROR(__xludf.DUMMYFUNCTION("""COMPUTED_VALUE"""),"4, 5")</f>
        <v>4, 5</v>
      </c>
      <c r="C6266" s="5" t="str">
        <f>IFERROR(__xludf.DUMMYFUNCTION("""COMPUTED_VALUE"""),"https://drive.google.com/file/d/1Ohf2IwHD150Podb1X2KMXSLkVnOgW2RD/view?usp=drivesdk")</f>
        <v>https://drive.google.com/file/d/1Ohf2IwHD150Podb1X2KMXSLkVnOgW2RD/view?usp=drivesdk</v>
      </c>
      <c r="D6266" s="12"/>
      <c r="E6266" s="11">
        <v>6314.0</v>
      </c>
      <c r="F6266" s="2"/>
    </row>
    <row r="6267" ht="1.5" customHeight="1">
      <c r="A6267" s="4" t="str">
        <f>IFERROR(__xludf.DUMMYFUNCTION("""COMPUTED_VALUE"""),"5. Eraser")</f>
        <v>5. Eraser</v>
      </c>
      <c r="B6267" s="4" t="str">
        <f>IFERROR(__xludf.DUMMYFUNCTION("""COMPUTED_VALUE"""),"5")</f>
        <v>5</v>
      </c>
      <c r="C6267" s="5" t="str">
        <f>IFERROR(__xludf.DUMMYFUNCTION("""COMPUTED_VALUE"""),"https://drive.google.com/file/d/1uywa3Us5e1WGh8lwSPyGiLK3ZATj7gOf/view?usp=drivesdk")</f>
        <v>https://drive.google.com/file/d/1uywa3Us5e1WGh8lwSPyGiLK3ZATj7gOf/view?usp=drivesdk</v>
      </c>
      <c r="D6267" s="12"/>
      <c r="E6267" s="11">
        <v>6315.0</v>
      </c>
      <c r="F6267" s="2"/>
    </row>
    <row r="6268" ht="1.5" customHeight="1">
      <c r="A6268" s="4" t="str">
        <f>IFERROR(__xludf.DUMMYFUNCTION("""COMPUTED_VALUE"""),"5. Eraser")</f>
        <v>5. Eraser</v>
      </c>
      <c r="B6268" s="4" t="str">
        <f>IFERROR(__xludf.DUMMYFUNCTION("""COMPUTED_VALUE"""),"5")</f>
        <v>5</v>
      </c>
      <c r="C6268" s="5" t="str">
        <f>IFERROR(__xludf.DUMMYFUNCTION("""COMPUTED_VALUE"""),"https://drive.google.com/file/d/1YannEHd1wZ8zzt-D1sZ7DI-q1SF21svM/view?usp=drivesdk")</f>
        <v>https://drive.google.com/file/d/1YannEHd1wZ8zzt-D1sZ7DI-q1SF21svM/view?usp=drivesdk</v>
      </c>
      <c r="D6268" s="12"/>
      <c r="E6268" s="11">
        <v>6316.0</v>
      </c>
      <c r="F6268" s="2"/>
    </row>
    <row r="6269" ht="1.5" customHeight="1">
      <c r="A6269" s="4" t="str">
        <f>IFERROR(__xludf.DUMMYFUNCTION("""COMPUTED_VALUE"""),"2. Twix")</f>
        <v>2. Twix</v>
      </c>
      <c r="B6269" s="4" t="str">
        <f>IFERROR(__xludf.DUMMYFUNCTION("""COMPUTED_VALUE"""),"2")</f>
        <v>2</v>
      </c>
      <c r="C6269" s="5" t="str">
        <f>IFERROR(__xludf.DUMMYFUNCTION("""COMPUTED_VALUE"""),"https://drive.google.com/file/d/1icxzSvxuma6FIxwrAEFVdZK2UsL7FzUQ/view?usp=drivesdk")</f>
        <v>https://drive.google.com/file/d/1icxzSvxuma6FIxwrAEFVdZK2UsL7FzUQ/view?usp=drivesdk</v>
      </c>
      <c r="D6269" s="12"/>
      <c r="E6269" s="11">
        <v>6317.0</v>
      </c>
      <c r="F6269" s="2"/>
    </row>
    <row r="6270" ht="1.5" customHeight="1">
      <c r="A6270" s="4" t="str">
        <f>IFERROR(__xludf.DUMMYFUNCTION("""COMPUTED_VALUE"""),"2. Twix")</f>
        <v>2. Twix</v>
      </c>
      <c r="B6270" s="4" t="str">
        <f>IFERROR(__xludf.DUMMYFUNCTION("""COMPUTED_VALUE"""),"2")</f>
        <v>2</v>
      </c>
      <c r="C6270" s="5" t="str">
        <f>IFERROR(__xludf.DUMMYFUNCTION("""COMPUTED_VALUE"""),"https://drive.google.com/file/d/18Myuz4bZEBgR83Se1R0YoL2k6jXpMDMo/view?usp=drivesdk")</f>
        <v>https://drive.google.com/file/d/18Myuz4bZEBgR83Se1R0YoL2k6jXpMDMo/view?usp=drivesdk</v>
      </c>
      <c r="D6270" s="12"/>
      <c r="E6270" s="11">
        <v>6318.0</v>
      </c>
      <c r="F6270" s="2"/>
    </row>
    <row r="6271" ht="1.5" customHeight="1">
      <c r="A6271" s="4" t="str">
        <f>IFERROR(__xludf.DUMMYFUNCTION("""COMPUTED_VALUE"""),"2. Twix")</f>
        <v>2. Twix</v>
      </c>
      <c r="B6271" s="4" t="str">
        <f>IFERROR(__xludf.DUMMYFUNCTION("""COMPUTED_VALUE"""),"2")</f>
        <v>2</v>
      </c>
      <c r="C6271" s="5" t="str">
        <f>IFERROR(__xludf.DUMMYFUNCTION("""COMPUTED_VALUE"""),"https://drive.google.com/file/d/1uUjf4ri457ymZROykEy7MDcynTb57bO0/view?usp=drivesdk")</f>
        <v>https://drive.google.com/file/d/1uUjf4ri457ymZROykEy7MDcynTb57bO0/view?usp=drivesdk</v>
      </c>
      <c r="D6271" s="12"/>
      <c r="E6271" s="11">
        <v>6319.0</v>
      </c>
      <c r="F6271" s="2"/>
    </row>
    <row r="6272" ht="1.5" customHeight="1">
      <c r="A6272" s="4" t="str">
        <f>IFERROR(__xludf.DUMMYFUNCTION("""COMPUTED_VALUE"""),"0. NotACat")</f>
        <v>0. NotACat</v>
      </c>
      <c r="B6272" s="4" t="str">
        <f>IFERROR(__xludf.DUMMYFUNCTION("""COMPUTED_VALUE"""),"0")</f>
        <v>0</v>
      </c>
      <c r="C6272" s="5" t="str">
        <f>IFERROR(__xludf.DUMMYFUNCTION("""COMPUTED_VALUE"""),"https://drive.google.com/file/d/1zc1gRL8KOOsMr2b_jXu0oFVeC7W5JuMh/view?usp=drivesdk")</f>
        <v>https://drive.google.com/file/d/1zc1gRL8KOOsMr2b_jXu0oFVeC7W5JuMh/view?usp=drivesdk</v>
      </c>
      <c r="D6272" s="12"/>
      <c r="E6272" s="11">
        <v>6320.0</v>
      </c>
      <c r="F6272" s="2"/>
    </row>
    <row r="6273" ht="1.5" customHeight="1">
      <c r="A6273" s="4" t="str">
        <f>IFERROR(__xludf.DUMMYFUNCTION("""COMPUTED_VALUE"""),"1. Microwave")</f>
        <v>1. Microwave</v>
      </c>
      <c r="B6273" s="4" t="str">
        <f>IFERROR(__xludf.DUMMYFUNCTION("""COMPUTED_VALUE"""),"1")</f>
        <v>1</v>
      </c>
      <c r="C6273" s="5" t="str">
        <f>IFERROR(__xludf.DUMMYFUNCTION("""COMPUTED_VALUE"""),"https://drive.google.com/file/d/1NxbWdoMUJ9FQ_O616xAEwg-bxucCe6GJ/view?usp=drivesdk")</f>
        <v>https://drive.google.com/file/d/1NxbWdoMUJ9FQ_O616xAEwg-bxucCe6GJ/view?usp=drivesdk</v>
      </c>
      <c r="D6273" s="12"/>
      <c r="E6273" s="11">
        <v>6321.0</v>
      </c>
      <c r="F6273" s="2"/>
    </row>
    <row r="6274" ht="1.5" customHeight="1">
      <c r="A6274" s="4" t="str">
        <f>IFERROR(__xludf.DUMMYFUNCTION("""COMPUTED_VALUE"""),"1. Microwave")</f>
        <v>1. Microwave</v>
      </c>
      <c r="B6274" s="4" t="str">
        <f>IFERROR(__xludf.DUMMYFUNCTION("""COMPUTED_VALUE"""),"1")</f>
        <v>1</v>
      </c>
      <c r="C6274" s="5" t="str">
        <f>IFERROR(__xludf.DUMMYFUNCTION("""COMPUTED_VALUE"""),"https://drive.google.com/file/d/11fjX8jnSxDrUhvClo7nL9A-KT6Hge0Ms/view?usp=drivesdk")</f>
        <v>https://drive.google.com/file/d/11fjX8jnSxDrUhvClo7nL9A-KT6Hge0Ms/view?usp=drivesdk</v>
      </c>
      <c r="D6274" s="12"/>
      <c r="E6274" s="11">
        <v>6322.0</v>
      </c>
      <c r="F6274" s="2"/>
    </row>
    <row r="6275" ht="1.5" customHeight="1">
      <c r="A6275" s="4" t="str">
        <f>IFERROR(__xludf.DUMMYFUNCTION("""COMPUTED_VALUE"""),"1. Microwave")</f>
        <v>1. Microwave</v>
      </c>
      <c r="B6275" s="4" t="str">
        <f>IFERROR(__xludf.DUMMYFUNCTION("""COMPUTED_VALUE"""),"1")</f>
        <v>1</v>
      </c>
      <c r="C6275" s="5" t="str">
        <f>IFERROR(__xludf.DUMMYFUNCTION("""COMPUTED_VALUE"""),"https://drive.google.com/file/d/1AIh-5cPwADAvQ3fMJCer1NQ5w1COtUUG/view?usp=drivesdk")</f>
        <v>https://drive.google.com/file/d/1AIh-5cPwADAvQ3fMJCer1NQ5w1COtUUG/view?usp=drivesdk</v>
      </c>
      <c r="D6275" s="12"/>
      <c r="E6275" s="11">
        <v>6323.0</v>
      </c>
      <c r="F6275" s="2"/>
    </row>
    <row r="6276" ht="1.5" customHeight="1">
      <c r="A6276" s="4" t="str">
        <f>IFERROR(__xludf.DUMMYFUNCTION("""COMPUTED_VALUE"""),"1. Microwave")</f>
        <v>1. Microwave</v>
      </c>
      <c r="B6276" s="4" t="str">
        <f>IFERROR(__xludf.DUMMYFUNCTION("""COMPUTED_VALUE"""),"1")</f>
        <v>1</v>
      </c>
      <c r="C6276" s="5" t="str">
        <f>IFERROR(__xludf.DUMMYFUNCTION("""COMPUTED_VALUE"""),"https://drive.google.com/file/d/1rx3K4ypDxn0yzIIPQNoQTSKgCdAatOr5/view?usp=drivesdk")</f>
        <v>https://drive.google.com/file/d/1rx3K4ypDxn0yzIIPQNoQTSKgCdAatOr5/view?usp=drivesdk</v>
      </c>
      <c r="D6276" s="12"/>
      <c r="E6276" s="11">
        <v>6324.0</v>
      </c>
      <c r="F6276" s="2"/>
    </row>
    <row r="6277" ht="1.5" customHeight="1">
      <c r="A6277" s="4" t="str">
        <f>IFERROR(__xludf.DUMMYFUNCTION("""COMPUTED_VALUE"""),"1. Microwave")</f>
        <v>1. Microwave</v>
      </c>
      <c r="B6277" s="4" t="str">
        <f>IFERROR(__xludf.DUMMYFUNCTION("""COMPUTED_VALUE"""),"1")</f>
        <v>1</v>
      </c>
      <c r="C6277" s="5" t="str">
        <f>IFERROR(__xludf.DUMMYFUNCTION("""COMPUTED_VALUE"""),"https://drive.google.com/file/d/11Y32UKTF5Kl_Xd689sfCVYZRMA_loqLp/view?usp=drivesdk")</f>
        <v>https://drive.google.com/file/d/11Y32UKTF5Kl_Xd689sfCVYZRMA_loqLp/view?usp=drivesdk</v>
      </c>
      <c r="D6277" s="12"/>
      <c r="E6277" s="11">
        <v>6325.0</v>
      </c>
      <c r="F6277" s="2"/>
    </row>
    <row r="6278" ht="1.5" customHeight="1">
      <c r="A6278" s="4" t="str">
        <f>IFERROR(__xludf.DUMMYFUNCTION("""COMPUTED_VALUE"""),"96. Barbie")</f>
        <v>96. Barbie</v>
      </c>
      <c r="B6278" s="4" t="str">
        <f>IFERROR(__xludf.DUMMYFUNCTION("""COMPUTED_VALUE"""),"96")</f>
        <v>96</v>
      </c>
      <c r="C6278" s="5" t="str">
        <f>IFERROR(__xludf.DUMMYFUNCTION("""COMPUTED_VALUE"""),"https://drive.google.com/file/d/1pDz36z3Kn6mwKEFYwZ24tUHEXV7ZTzfb/view?usp=drivesdk")</f>
        <v>https://drive.google.com/file/d/1pDz36z3Kn6mwKEFYwZ24tUHEXV7ZTzfb/view?usp=drivesdk</v>
      </c>
      <c r="D6278" s="12"/>
      <c r="E6278" s="11">
        <v>6326.0</v>
      </c>
      <c r="F6278" s="2"/>
    </row>
    <row r="6279" ht="1.5" customHeight="1">
      <c r="A6279" s="4" t="str">
        <f>IFERROR(__xludf.DUMMYFUNCTION("""COMPUTED_VALUE"""),"1. Microwave")</f>
        <v>1. Microwave</v>
      </c>
      <c r="B6279" s="4" t="str">
        <f>IFERROR(__xludf.DUMMYFUNCTION("""COMPUTED_VALUE"""),"1")</f>
        <v>1</v>
      </c>
      <c r="C6279" s="5" t="str">
        <f>IFERROR(__xludf.DUMMYFUNCTION("""COMPUTED_VALUE"""),"https://drive.google.com/file/d/1FC19mkWsrC9WfQfQg8h4ZYwrkVRBACZb/view?usp=drivesdk")</f>
        <v>https://drive.google.com/file/d/1FC19mkWsrC9WfQfQg8h4ZYwrkVRBACZb/view?usp=drivesdk</v>
      </c>
      <c r="D6279" s="12"/>
      <c r="E6279" s="11">
        <v>6327.0</v>
      </c>
      <c r="F6279" s="2"/>
    </row>
    <row r="6280" ht="1.5" customHeight="1">
      <c r="A6280" s="4" t="str">
        <f>IFERROR(__xludf.DUMMYFUNCTION("""COMPUTED_VALUE"""),"1. Microwave")</f>
        <v>1. Microwave</v>
      </c>
      <c r="B6280" s="4" t="str">
        <f>IFERROR(__xludf.DUMMYFUNCTION("""COMPUTED_VALUE"""),"1")</f>
        <v>1</v>
      </c>
      <c r="C6280" s="5" t="str">
        <f>IFERROR(__xludf.DUMMYFUNCTION("""COMPUTED_VALUE"""),"https://drive.google.com/file/d/1C9h84z8GcYv4qoraqXX2xxLM-2_drDj7/view?usp=drivesdk")</f>
        <v>https://drive.google.com/file/d/1C9h84z8GcYv4qoraqXX2xxLM-2_drDj7/view?usp=drivesdk</v>
      </c>
      <c r="D6280" s="12"/>
      <c r="E6280" s="11">
        <v>6328.0</v>
      </c>
      <c r="F6280" s="2"/>
    </row>
    <row r="6281" ht="1.5" customHeight="1">
      <c r="A6281" s="4" t="str">
        <f>IFERROR(__xludf.DUMMYFUNCTION("""COMPUTED_VALUE"""),"1. Microwave")</f>
        <v>1. Microwave</v>
      </c>
      <c r="B6281" s="4" t="str">
        <f>IFERROR(__xludf.DUMMYFUNCTION("""COMPUTED_VALUE"""),"1")</f>
        <v>1</v>
      </c>
      <c r="C6281" s="5" t="str">
        <f>IFERROR(__xludf.DUMMYFUNCTION("""COMPUTED_VALUE"""),"https://drive.google.com/file/d/1TK46Ddk3-Qs3sXbd2YugpHn2soNdIsdZ/view?usp=drivesdk")</f>
        <v>https://drive.google.com/file/d/1TK46Ddk3-Qs3sXbd2YugpHn2soNdIsdZ/view?usp=drivesdk</v>
      </c>
      <c r="D6281" s="12"/>
      <c r="E6281" s="11">
        <v>6329.0</v>
      </c>
      <c r="F6281" s="2"/>
    </row>
    <row r="6282" ht="1.5" customHeight="1">
      <c r="A6282" s="4" t="str">
        <f>IFERROR(__xludf.DUMMYFUNCTION("""COMPUTED_VALUE"""),"1. Microwave")</f>
        <v>1. Microwave</v>
      </c>
      <c r="B6282" s="4" t="str">
        <f>IFERROR(__xludf.DUMMYFUNCTION("""COMPUTED_VALUE"""),"1")</f>
        <v>1</v>
      </c>
      <c r="C6282" s="5" t="str">
        <f>IFERROR(__xludf.DUMMYFUNCTION("""COMPUTED_VALUE"""),"https://drive.google.com/file/d/1rmXOhs8-p0V0fixTwrr2F2nWdQExrCWn/view?usp=drivesdk")</f>
        <v>https://drive.google.com/file/d/1rmXOhs8-p0V0fixTwrr2F2nWdQExrCWn/view?usp=drivesdk</v>
      </c>
      <c r="D6282" s="12"/>
      <c r="E6282" s="11">
        <v>6330.0</v>
      </c>
      <c r="F6282" s="2"/>
    </row>
    <row r="6283" ht="1.5" customHeight="1">
      <c r="A6283" s="4" t="str">
        <f>IFERROR(__xludf.DUMMYFUNCTION("""COMPUTED_VALUE"""),"1. Microwave")</f>
        <v>1. Microwave</v>
      </c>
      <c r="B6283" s="4" t="str">
        <f>IFERROR(__xludf.DUMMYFUNCTION("""COMPUTED_VALUE"""),"1")</f>
        <v>1</v>
      </c>
      <c r="C6283" s="5" t="str">
        <f>IFERROR(__xludf.DUMMYFUNCTION("""COMPUTED_VALUE"""),"https://drive.google.com/file/d/1WTD_QnHmPgoXaXk7zPAaHzW9ONLc5moY/view?usp=drivesdk")</f>
        <v>https://drive.google.com/file/d/1WTD_QnHmPgoXaXk7zPAaHzW9ONLc5moY/view?usp=drivesdk</v>
      </c>
      <c r="D6283" s="12"/>
      <c r="E6283" s="11">
        <v>6331.0</v>
      </c>
      <c r="F6283" s="2"/>
    </row>
    <row r="6284" ht="1.5" customHeight="1">
      <c r="A6284" s="4" t="str">
        <f>IFERROR(__xludf.DUMMYFUNCTION("""COMPUTED_VALUE"""),"1. Microwave")</f>
        <v>1. Microwave</v>
      </c>
      <c r="B6284" s="4" t="str">
        <f>IFERROR(__xludf.DUMMYFUNCTION("""COMPUTED_VALUE"""),"1")</f>
        <v>1</v>
      </c>
      <c r="C6284" s="5" t="str">
        <f>IFERROR(__xludf.DUMMYFUNCTION("""COMPUTED_VALUE"""),"https://drive.google.com/file/d/1FgpIxxEtqKiJhaZMDJAJrfnqIvarEOV8/view?usp=drivesdk")</f>
        <v>https://drive.google.com/file/d/1FgpIxxEtqKiJhaZMDJAJrfnqIvarEOV8/view?usp=drivesdk</v>
      </c>
      <c r="D6284" s="12"/>
      <c r="E6284" s="11">
        <v>6332.0</v>
      </c>
      <c r="F6284" s="2"/>
    </row>
    <row r="6285" ht="1.5" customHeight="1">
      <c r="A6285" s="4" t="str">
        <f>IFERROR(__xludf.DUMMYFUNCTION("""COMPUTED_VALUE"""),"2. Twix")</f>
        <v>2. Twix</v>
      </c>
      <c r="B6285" s="4" t="str">
        <f>IFERROR(__xludf.DUMMYFUNCTION("""COMPUTED_VALUE"""),"2")</f>
        <v>2</v>
      </c>
      <c r="C6285" s="5" t="str">
        <f>IFERROR(__xludf.DUMMYFUNCTION("""COMPUTED_VALUE"""),"https://drive.google.com/file/d/1QzjG4k1qWRflUHWz7zL_lIlckpOlsxvY/view?usp=drivesdk")</f>
        <v>https://drive.google.com/file/d/1QzjG4k1qWRflUHWz7zL_lIlckpOlsxvY/view?usp=drivesdk</v>
      </c>
      <c r="D6285" s="12"/>
      <c r="E6285" s="11">
        <v>6333.0</v>
      </c>
      <c r="F6285" s="2"/>
    </row>
    <row r="6286" ht="1.5" customHeight="1">
      <c r="A6286" s="4" t="str">
        <f>IFERROR(__xludf.DUMMYFUNCTION("""COMPUTED_VALUE"""),"4. Eggs")</f>
        <v>4. Eggs</v>
      </c>
      <c r="B6286" s="4" t="str">
        <f>IFERROR(__xludf.DUMMYFUNCTION("""COMPUTED_VALUE"""),"4")</f>
        <v>4</v>
      </c>
      <c r="C6286" s="5" t="str">
        <f>IFERROR(__xludf.DUMMYFUNCTION("""COMPUTED_VALUE"""),"https://drive.google.com/file/d/16K-egn3ZHVFrPER30Q1lTnrsldat1LJs/view?usp=drivesdk")</f>
        <v>https://drive.google.com/file/d/16K-egn3ZHVFrPER30Q1lTnrsldat1LJs/view?usp=drivesdk</v>
      </c>
      <c r="D6286" s="12"/>
      <c r="E6286" s="11">
        <v>6334.0</v>
      </c>
      <c r="F6286" s="2"/>
    </row>
    <row r="6287" ht="1.5" customHeight="1">
      <c r="A6287" s="4" t="str">
        <f>IFERROR(__xludf.DUMMYFUNCTION("""COMPUTED_VALUE"""),"4. Eggs")</f>
        <v>4. Eggs</v>
      </c>
      <c r="B6287" s="4" t="str">
        <f>IFERROR(__xludf.DUMMYFUNCTION("""COMPUTED_VALUE"""),"4")</f>
        <v>4</v>
      </c>
      <c r="C6287" s="5" t="str">
        <f>IFERROR(__xludf.DUMMYFUNCTION("""COMPUTED_VALUE"""),"https://drive.google.com/file/d/1adb-3SfV5Aq_D2OVi_Xp0aASTtU72rs8/view?usp=drivesdk")</f>
        <v>https://drive.google.com/file/d/1adb-3SfV5Aq_D2OVi_Xp0aASTtU72rs8/view?usp=drivesdk</v>
      </c>
      <c r="D6287" s="12"/>
      <c r="E6287" s="11">
        <v>6335.0</v>
      </c>
      <c r="F6287" s="2"/>
    </row>
    <row r="6288" ht="1.5" customHeight="1">
      <c r="A6288" s="4" t="str">
        <f>IFERROR(__xludf.DUMMYFUNCTION("""COMPUTED_VALUE"""),"1. Microwave")</f>
        <v>1. Microwave</v>
      </c>
      <c r="B6288" s="4" t="str">
        <f>IFERROR(__xludf.DUMMYFUNCTION("""COMPUTED_VALUE"""),"1")</f>
        <v>1</v>
      </c>
      <c r="C6288" s="5" t="str">
        <f>IFERROR(__xludf.DUMMYFUNCTION("""COMPUTED_VALUE"""),"https://drive.google.com/file/d/1FFWimyRXkMdDP3eEP0dVeUa0ZrxoYQEF/view?usp=drivesdk")</f>
        <v>https://drive.google.com/file/d/1FFWimyRXkMdDP3eEP0dVeUa0ZrxoYQEF/view?usp=drivesdk</v>
      </c>
      <c r="D6288" s="12"/>
      <c r="E6288" s="11">
        <v>6336.0</v>
      </c>
      <c r="F6288" s="2"/>
    </row>
    <row r="6289" ht="1.5" customHeight="1">
      <c r="A6289" s="4" t="str">
        <f>IFERROR(__xludf.DUMMYFUNCTION("""COMPUTED_VALUE"""),"1. Microwave")</f>
        <v>1. Microwave</v>
      </c>
      <c r="B6289" s="4" t="str">
        <f>IFERROR(__xludf.DUMMYFUNCTION("""COMPUTED_VALUE"""),"1")</f>
        <v>1</v>
      </c>
      <c r="C6289" s="5" t="str">
        <f>IFERROR(__xludf.DUMMYFUNCTION("""COMPUTED_VALUE"""),"https://drive.google.com/file/d/1roH98r5JTFyzXif-_vph4zkLfeZESSPa/view?usp=drivesdk")</f>
        <v>https://drive.google.com/file/d/1roH98r5JTFyzXif-_vph4zkLfeZESSPa/view?usp=drivesdk</v>
      </c>
      <c r="D6289" s="12"/>
      <c r="E6289" s="11">
        <v>6337.0</v>
      </c>
      <c r="F6289" s="2"/>
    </row>
    <row r="6290" ht="1.5" customHeight="1">
      <c r="A6290" s="4" t="str">
        <f>IFERROR(__xludf.DUMMYFUNCTION("""COMPUTED_VALUE"""),"1. Microwave")</f>
        <v>1. Microwave</v>
      </c>
      <c r="B6290" s="4" t="str">
        <f>IFERROR(__xludf.DUMMYFUNCTION("""COMPUTED_VALUE"""),"1")</f>
        <v>1</v>
      </c>
      <c r="C6290" s="5" t="str">
        <f>IFERROR(__xludf.DUMMYFUNCTION("""COMPUTED_VALUE"""),"https://drive.google.com/file/d/1z6PyWJAClwlRHqXPL4Fd0u3AOztM756u/view?usp=drivesdk")</f>
        <v>https://drive.google.com/file/d/1z6PyWJAClwlRHqXPL4Fd0u3AOztM756u/view?usp=drivesdk</v>
      </c>
      <c r="D6290" s="12"/>
      <c r="E6290" s="11">
        <v>6338.0</v>
      </c>
      <c r="F6290" s="2"/>
    </row>
    <row r="6291" ht="1.5" customHeight="1">
      <c r="A6291" s="4" t="str">
        <f>IFERROR(__xludf.DUMMYFUNCTION("""COMPUTED_VALUE"""),"1. Microwave")</f>
        <v>1. Microwave</v>
      </c>
      <c r="B6291" s="4" t="str">
        <f>IFERROR(__xludf.DUMMYFUNCTION("""COMPUTED_VALUE"""),"1")</f>
        <v>1</v>
      </c>
      <c r="C6291" s="5" t="str">
        <f>IFERROR(__xludf.DUMMYFUNCTION("""COMPUTED_VALUE"""),"https://drive.google.com/file/d/1A9u05fqnXJ9gC9YL3iBuN81wrERqnjY9/view?usp=drivesdk")</f>
        <v>https://drive.google.com/file/d/1A9u05fqnXJ9gC9YL3iBuN81wrERqnjY9/view?usp=drivesdk</v>
      </c>
      <c r="D6291" s="12"/>
      <c r="E6291" s="11">
        <v>6339.0</v>
      </c>
      <c r="F6291" s="2"/>
    </row>
    <row r="6292" ht="1.5" customHeight="1">
      <c r="A6292" s="4" t="str">
        <f>IFERROR(__xludf.DUMMYFUNCTION("""COMPUTED_VALUE"""),"1. Microwave")</f>
        <v>1. Microwave</v>
      </c>
      <c r="B6292" s="4" t="str">
        <f>IFERROR(__xludf.DUMMYFUNCTION("""COMPUTED_VALUE"""),"1")</f>
        <v>1</v>
      </c>
      <c r="C6292" s="5" t="str">
        <f>IFERROR(__xludf.DUMMYFUNCTION("""COMPUTED_VALUE"""),"https://drive.google.com/file/d/1zPckekeGwpb1OufM4H9TnjwpQD3DMvGM/view?usp=drivesdk")</f>
        <v>https://drive.google.com/file/d/1zPckekeGwpb1OufM4H9TnjwpQD3DMvGM/view?usp=drivesdk</v>
      </c>
      <c r="D6292" s="12"/>
      <c r="E6292" s="11">
        <v>6340.0</v>
      </c>
      <c r="F6292" s="2"/>
    </row>
    <row r="6293" ht="1.5" customHeight="1">
      <c r="A6293" s="4" t="str">
        <f>IFERROR(__xludf.DUMMYFUNCTION("""COMPUTED_VALUE"""),"1. Microwave")</f>
        <v>1. Microwave</v>
      </c>
      <c r="B6293" s="4" t="str">
        <f>IFERROR(__xludf.DUMMYFUNCTION("""COMPUTED_VALUE"""),"1")</f>
        <v>1</v>
      </c>
      <c r="C6293" s="5" t="str">
        <f>IFERROR(__xludf.DUMMYFUNCTION("""COMPUTED_VALUE"""),"https://drive.google.com/file/d/1h-9xtuylDj79NRMMnQNW-IB1VdSMMFrE/view?usp=drivesdk")</f>
        <v>https://drive.google.com/file/d/1h-9xtuylDj79NRMMnQNW-IB1VdSMMFrE/view?usp=drivesdk</v>
      </c>
      <c r="D6293" s="12"/>
      <c r="E6293" s="11">
        <v>6341.0</v>
      </c>
      <c r="F6293" s="2"/>
    </row>
    <row r="6294" ht="1.5" customHeight="1">
      <c r="A6294" s="4" t="str">
        <f>IFERROR(__xludf.DUMMYFUNCTION("""COMPUTED_VALUE"""),"1. Microwave")</f>
        <v>1. Microwave</v>
      </c>
      <c r="B6294" s="4" t="str">
        <f>IFERROR(__xludf.DUMMYFUNCTION("""COMPUTED_VALUE"""),"1")</f>
        <v>1</v>
      </c>
      <c r="C6294" s="5" t="str">
        <f>IFERROR(__xludf.DUMMYFUNCTION("""COMPUTED_VALUE"""),"https://drive.google.com/file/d/1OBCNkPg0CH7QGiQ6OnjUsPz2mMasafbD/view?usp=drivesdk")</f>
        <v>https://drive.google.com/file/d/1OBCNkPg0CH7QGiQ6OnjUsPz2mMasafbD/view?usp=drivesdk</v>
      </c>
      <c r="D6294" s="12"/>
      <c r="E6294" s="11">
        <v>6342.0</v>
      </c>
      <c r="F6294" s="2"/>
    </row>
    <row r="6295" ht="1.5" customHeight="1">
      <c r="A6295" s="4" t="str">
        <f>IFERROR(__xludf.DUMMYFUNCTION("""COMPUTED_VALUE"""),"1. Microwave")</f>
        <v>1. Microwave</v>
      </c>
      <c r="B6295" s="4" t="str">
        <f>IFERROR(__xludf.DUMMYFUNCTION("""COMPUTED_VALUE"""),"1")</f>
        <v>1</v>
      </c>
      <c r="C6295" s="5" t="str">
        <f>IFERROR(__xludf.DUMMYFUNCTION("""COMPUTED_VALUE"""),"https://drive.google.com/file/d/1d7SfewJOuHXbcoKoyZVyvYxghS0M0C3G/view?usp=drivesdk")</f>
        <v>https://drive.google.com/file/d/1d7SfewJOuHXbcoKoyZVyvYxghS0M0C3G/view?usp=drivesdk</v>
      </c>
      <c r="D6295" s="12"/>
      <c r="E6295" s="11">
        <v>6343.0</v>
      </c>
      <c r="F6295" s="2"/>
    </row>
    <row r="6296" ht="1.5" customHeight="1">
      <c r="A6296" s="4" t="str">
        <f>IFERROR(__xludf.DUMMYFUNCTION("""COMPUTED_VALUE"""),"1. Microwave")</f>
        <v>1. Microwave</v>
      </c>
      <c r="B6296" s="4" t="str">
        <f>IFERROR(__xludf.DUMMYFUNCTION("""COMPUTED_VALUE"""),"1")</f>
        <v>1</v>
      </c>
      <c r="C6296" s="5" t="str">
        <f>IFERROR(__xludf.DUMMYFUNCTION("""COMPUTED_VALUE"""),"https://drive.google.com/file/d/1fengIsbWXGLg_RxvE_wQgsJQrsuQR_u9/view?usp=drivesdk")</f>
        <v>https://drive.google.com/file/d/1fengIsbWXGLg_RxvE_wQgsJQrsuQR_u9/view?usp=drivesdk</v>
      </c>
      <c r="D6296" s="12"/>
      <c r="E6296" s="11">
        <v>6344.0</v>
      </c>
      <c r="F6296" s="2"/>
    </row>
    <row r="6297" ht="1.5" customHeight="1">
      <c r="A6297" s="4" t="str">
        <f>IFERROR(__xludf.DUMMYFUNCTION("""COMPUTED_VALUE"""),"1. Microwave")</f>
        <v>1. Microwave</v>
      </c>
      <c r="B6297" s="4" t="str">
        <f>IFERROR(__xludf.DUMMYFUNCTION("""COMPUTED_VALUE"""),"1")</f>
        <v>1</v>
      </c>
      <c r="C6297" s="5" t="str">
        <f>IFERROR(__xludf.DUMMYFUNCTION("""COMPUTED_VALUE"""),"https://drive.google.com/file/d/14GcrKMLd9vHzt-vKBv4vd1ipB5j6rYnI/view?usp=drivesdk")</f>
        <v>https://drive.google.com/file/d/14GcrKMLd9vHzt-vKBv4vd1ipB5j6rYnI/view?usp=drivesdk</v>
      </c>
      <c r="D6297" s="12"/>
      <c r="E6297" s="11">
        <v>6345.0</v>
      </c>
      <c r="F6297" s="2"/>
    </row>
    <row r="6298" ht="1.5" customHeight="1">
      <c r="A6298" s="4" t="str">
        <f>IFERROR(__xludf.DUMMYFUNCTION("""COMPUTED_VALUE"""),"1. Microwave")</f>
        <v>1. Microwave</v>
      </c>
      <c r="B6298" s="4" t="str">
        <f>IFERROR(__xludf.DUMMYFUNCTION("""COMPUTED_VALUE"""),"1")</f>
        <v>1</v>
      </c>
      <c r="C6298" s="5" t="str">
        <f>IFERROR(__xludf.DUMMYFUNCTION("""COMPUTED_VALUE"""),"https://drive.google.com/file/d/183RVGR-saYLOfX4mlD6n-LO9y6TYRwUv/view?usp=drivesdk")</f>
        <v>https://drive.google.com/file/d/183RVGR-saYLOfX4mlD6n-LO9y6TYRwUv/view?usp=drivesdk</v>
      </c>
      <c r="D6298" s="12"/>
      <c r="E6298" s="11">
        <v>6346.0</v>
      </c>
      <c r="F6298" s="2"/>
    </row>
    <row r="6299" ht="1.5" customHeight="1">
      <c r="A6299" s="4" t="str">
        <f>IFERROR(__xludf.DUMMYFUNCTION("""COMPUTED_VALUE"""),"115. Toothless")</f>
        <v>115. Toothless</v>
      </c>
      <c r="B6299" s="4" t="str">
        <f>IFERROR(__xludf.DUMMYFUNCTION("""COMPUTED_VALUE"""),"115")</f>
        <v>115</v>
      </c>
      <c r="C6299" s="5" t="str">
        <f>IFERROR(__xludf.DUMMYFUNCTION("""COMPUTED_VALUE"""),"https://drive.google.com/file/d/11xcQ5gbruebR1-fO3uIY1swf7D7gwvIV/view?usp=drivesdk")</f>
        <v>https://drive.google.com/file/d/11xcQ5gbruebR1-fO3uIY1swf7D7gwvIV/view?usp=drivesdk</v>
      </c>
      <c r="D6299" s="12"/>
      <c r="E6299" s="11">
        <v>6347.0</v>
      </c>
      <c r="F6299" s="2"/>
    </row>
    <row r="6300" ht="1.5" customHeight="1">
      <c r="A6300" s="4" t="str">
        <f>IFERROR(__xludf.DUMMYFUNCTION("""COMPUTED_VALUE"""),"115. Toothless")</f>
        <v>115. Toothless</v>
      </c>
      <c r="B6300" s="4" t="str">
        <f>IFERROR(__xludf.DUMMYFUNCTION("""COMPUTED_VALUE"""),"115")</f>
        <v>115</v>
      </c>
      <c r="C6300" s="5" t="str">
        <f>IFERROR(__xludf.DUMMYFUNCTION("""COMPUTED_VALUE"""),"https://drive.google.com/file/d/1Mjo9oO2LYuECLnXfNfLFozhvQ4e_Cn0e/view?usp=drivesdk")</f>
        <v>https://drive.google.com/file/d/1Mjo9oO2LYuECLnXfNfLFozhvQ4e_Cn0e/view?usp=drivesdk</v>
      </c>
      <c r="D6300" s="12"/>
      <c r="E6300" s="11">
        <v>6348.0</v>
      </c>
      <c r="F6300" s="2"/>
    </row>
    <row r="6301" ht="1.5" customHeight="1">
      <c r="A6301" s="4" t="str">
        <f>IFERROR(__xludf.DUMMYFUNCTION("""COMPUTED_VALUE"""),"35. Stove")</f>
        <v>35. Stove</v>
      </c>
      <c r="B6301" s="4" t="str">
        <f>IFERROR(__xludf.DUMMYFUNCTION("""COMPUTED_VALUE"""),"35")</f>
        <v>35</v>
      </c>
      <c r="C6301" s="5" t="str">
        <f>IFERROR(__xludf.DUMMYFUNCTION("""COMPUTED_VALUE"""),"https://drive.google.com/file/d/1AtW4A2JsI4KQTnliL6pwNO0mse0NlVCn/view?usp=drivesdk")</f>
        <v>https://drive.google.com/file/d/1AtW4A2JsI4KQTnliL6pwNO0mse0NlVCn/view?usp=drivesdk</v>
      </c>
      <c r="D6301" s="12"/>
      <c r="E6301" s="11">
        <v>6349.0</v>
      </c>
      <c r="F6301" s="2"/>
    </row>
    <row r="6302" ht="1.5" customHeight="1">
      <c r="A6302" s="4" t="str">
        <f>IFERROR(__xludf.DUMMYFUNCTION("""COMPUTED_VALUE"""),"35. Stove")</f>
        <v>35. Stove</v>
      </c>
      <c r="B6302" s="4" t="str">
        <f>IFERROR(__xludf.DUMMYFUNCTION("""COMPUTED_VALUE"""),"35")</f>
        <v>35</v>
      </c>
      <c r="C6302" s="5" t="str">
        <f>IFERROR(__xludf.DUMMYFUNCTION("""COMPUTED_VALUE"""),"https://drive.google.com/file/d/1FxrwtkwhzPhynLkhZ1QaZvNJjY2a1iX1/view?usp=drivesdk")</f>
        <v>https://drive.google.com/file/d/1FxrwtkwhzPhynLkhZ1QaZvNJjY2a1iX1/view?usp=drivesdk</v>
      </c>
      <c r="D6302" s="12"/>
      <c r="E6302" s="11">
        <v>6350.0</v>
      </c>
      <c r="F6302" s="2"/>
    </row>
    <row r="6303" ht="1.5" customHeight="1">
      <c r="A6303" s="4" t="str">
        <f>IFERROR(__xludf.DUMMYFUNCTION("""COMPUTED_VALUE"""),"35. Stove")</f>
        <v>35. Stove</v>
      </c>
      <c r="B6303" s="4" t="str">
        <f>IFERROR(__xludf.DUMMYFUNCTION("""COMPUTED_VALUE"""),"35")</f>
        <v>35</v>
      </c>
      <c r="C6303" s="5" t="str">
        <f>IFERROR(__xludf.DUMMYFUNCTION("""COMPUTED_VALUE"""),"https://drive.google.com/file/d/16AhiZiD718JmmSj8s1NOyp7VgB7Dm7oA/view?usp=drivesdk")</f>
        <v>https://drive.google.com/file/d/16AhiZiD718JmmSj8s1NOyp7VgB7Dm7oA/view?usp=drivesdk</v>
      </c>
      <c r="D6303" s="12"/>
      <c r="E6303" s="11">
        <v>6351.0</v>
      </c>
      <c r="F6303" s="2"/>
    </row>
    <row r="6304" ht="1.5" customHeight="1">
      <c r="A6304" s="4" t="str">
        <f>IFERROR(__xludf.DUMMYFUNCTION("""COMPUTED_VALUE"""),"1. Microwave")</f>
        <v>1. Microwave</v>
      </c>
      <c r="B6304" s="4" t="str">
        <f>IFERROR(__xludf.DUMMYFUNCTION("""COMPUTED_VALUE"""),"1")</f>
        <v>1</v>
      </c>
      <c r="C6304" s="5" t="str">
        <f>IFERROR(__xludf.DUMMYFUNCTION("""COMPUTED_VALUE"""),"https://drive.google.com/file/d/1eV7V4ox4c5PqnotYxkDCAzaTJ-fZYOxg/view?usp=drivesdk")</f>
        <v>https://drive.google.com/file/d/1eV7V4ox4c5PqnotYxkDCAzaTJ-fZYOxg/view?usp=drivesdk</v>
      </c>
      <c r="D6304" s="12"/>
      <c r="E6304" s="11">
        <v>6352.0</v>
      </c>
      <c r="F6304" s="2"/>
    </row>
    <row r="6305" ht="1.5" customHeight="1">
      <c r="A6305" s="4" t="str">
        <f>IFERROR(__xludf.DUMMYFUNCTION("""COMPUTED_VALUE"""),"1. Microwave")</f>
        <v>1. Microwave</v>
      </c>
      <c r="B6305" s="4" t="str">
        <f>IFERROR(__xludf.DUMMYFUNCTION("""COMPUTED_VALUE"""),"1")</f>
        <v>1</v>
      </c>
      <c r="C6305" s="5" t="str">
        <f>IFERROR(__xludf.DUMMYFUNCTION("""COMPUTED_VALUE"""),"https://drive.google.com/file/d/1auPyfElZK0jJg9_YVH5CpHQwwjLkR2KL/view?usp=drivesdk")</f>
        <v>https://drive.google.com/file/d/1auPyfElZK0jJg9_YVH5CpHQwwjLkR2KL/view?usp=drivesdk</v>
      </c>
      <c r="D6305" s="12"/>
      <c r="E6305" s="11">
        <v>6353.0</v>
      </c>
      <c r="F6305" s="2"/>
    </row>
    <row r="6306" ht="1.5" customHeight="1">
      <c r="A6306" s="4" t="str">
        <f>IFERROR(__xludf.DUMMYFUNCTION("""COMPUTED_VALUE"""),"27. Angel")</f>
        <v>27. Angel</v>
      </c>
      <c r="B6306" s="4" t="str">
        <f>IFERROR(__xludf.DUMMYFUNCTION("""COMPUTED_VALUE"""),"27")</f>
        <v>27</v>
      </c>
      <c r="C6306" s="5" t="str">
        <f>IFERROR(__xludf.DUMMYFUNCTION("""COMPUTED_VALUE"""),"https://drive.google.com/file/d/1_WPnhfSfWY94UWVBfoG0CIASBjAdPePw/view?usp=drivesdk")</f>
        <v>https://drive.google.com/file/d/1_WPnhfSfWY94UWVBfoG0CIASBjAdPePw/view?usp=drivesdk</v>
      </c>
      <c r="D6306" s="12"/>
      <c r="E6306" s="11">
        <v>6354.0</v>
      </c>
      <c r="F6306" s="2"/>
    </row>
    <row r="6307" ht="1.5" customHeight="1">
      <c r="A6307" s="4" t="str">
        <f>IFERROR(__xludf.DUMMYFUNCTION("""COMPUTED_VALUE"""),"1. Microwave")</f>
        <v>1. Microwave</v>
      </c>
      <c r="B6307" s="4" t="str">
        <f>IFERROR(__xludf.DUMMYFUNCTION("""COMPUTED_VALUE"""),"1")</f>
        <v>1</v>
      </c>
      <c r="C6307" s="5" t="str">
        <f>IFERROR(__xludf.DUMMYFUNCTION("""COMPUTED_VALUE"""),"https://drive.google.com/file/d/1stL1OMJAVgNwmS6ezLRtZSRzO4I7eBqu/view?usp=drivesdk")</f>
        <v>https://drive.google.com/file/d/1stL1OMJAVgNwmS6ezLRtZSRzO4I7eBqu/view?usp=drivesdk</v>
      </c>
      <c r="D6307" s="12"/>
      <c r="E6307" s="11">
        <v>6355.0</v>
      </c>
      <c r="F6307" s="2"/>
    </row>
    <row r="6308" ht="1.5" customHeight="1">
      <c r="A6308" s="4" t="str">
        <f>IFERROR(__xludf.DUMMYFUNCTION("""COMPUTED_VALUE"""),"1. Microwave")</f>
        <v>1. Microwave</v>
      </c>
      <c r="B6308" s="4" t="str">
        <f>IFERROR(__xludf.DUMMYFUNCTION("""COMPUTED_VALUE"""),"1")</f>
        <v>1</v>
      </c>
      <c r="C6308" s="5" t="str">
        <f>IFERROR(__xludf.DUMMYFUNCTION("""COMPUTED_VALUE"""),"https://drive.google.com/file/d/1OG8E5Pn1onkznxHqdS8Ns7U3-J79LBQt/view?usp=drivesdk")</f>
        <v>https://drive.google.com/file/d/1OG8E5Pn1onkznxHqdS8Ns7U3-J79LBQt/view?usp=drivesdk</v>
      </c>
      <c r="D6308" s="12"/>
      <c r="E6308" s="11">
        <v>6356.0</v>
      </c>
      <c r="F6308" s="2"/>
    </row>
    <row r="6309" ht="1.5" customHeight="1">
      <c r="A6309" s="4" t="str">
        <f>IFERROR(__xludf.DUMMYFUNCTION("""COMPUTED_VALUE"""),"1. Microwave")</f>
        <v>1. Microwave</v>
      </c>
      <c r="B6309" s="4" t="str">
        <f>IFERROR(__xludf.DUMMYFUNCTION("""COMPUTED_VALUE"""),"1")</f>
        <v>1</v>
      </c>
      <c r="C6309" s="5" t="str">
        <f>IFERROR(__xludf.DUMMYFUNCTION("""COMPUTED_VALUE"""),"https://drive.google.com/file/d/1RVxOqqVuXSVTRzgwvyGrI2kEQcymC0qC/view?usp=drivesdk")</f>
        <v>https://drive.google.com/file/d/1RVxOqqVuXSVTRzgwvyGrI2kEQcymC0qC/view?usp=drivesdk</v>
      </c>
      <c r="D6309" s="12"/>
      <c r="E6309" s="11">
        <v>6357.0</v>
      </c>
      <c r="F6309" s="2"/>
    </row>
    <row r="6310" ht="1.5" customHeight="1">
      <c r="A6310" s="4" t="str">
        <f>IFERROR(__xludf.DUMMYFUNCTION("""COMPUTED_VALUE"""),"2. Twix")</f>
        <v>2. Twix</v>
      </c>
      <c r="B6310" s="4" t="str">
        <f>IFERROR(__xludf.DUMMYFUNCTION("""COMPUTED_VALUE"""),"2")</f>
        <v>2</v>
      </c>
      <c r="C6310" s="5" t="str">
        <f>IFERROR(__xludf.DUMMYFUNCTION("""COMPUTED_VALUE"""),"https://drive.google.com/file/d/1auNsciKKhQKNBRNKKy7exQo_aWCXy7jd/view?usp=drivesdk")</f>
        <v>https://drive.google.com/file/d/1auNsciKKhQKNBRNKKy7exQo_aWCXy7jd/view?usp=drivesdk</v>
      </c>
      <c r="D6310" s="12"/>
      <c r="E6310" s="11">
        <v>6358.0</v>
      </c>
      <c r="F6310" s="2"/>
    </row>
    <row r="6311" ht="1.5" customHeight="1">
      <c r="A6311" s="4" t="str">
        <f>IFERROR(__xludf.DUMMYFUNCTION("""COMPUTED_VALUE"""),"1. Microwave")</f>
        <v>1. Microwave</v>
      </c>
      <c r="B6311" s="4" t="str">
        <f>IFERROR(__xludf.DUMMYFUNCTION("""COMPUTED_VALUE"""),"1")</f>
        <v>1</v>
      </c>
      <c r="C6311" s="5" t="str">
        <f>IFERROR(__xludf.DUMMYFUNCTION("""COMPUTED_VALUE"""),"https://drive.google.com/file/d/1dKAFTga1jDYp3Fn008evaDUbFAxeWCp3/view?usp=drivesdk")</f>
        <v>https://drive.google.com/file/d/1dKAFTga1jDYp3Fn008evaDUbFAxeWCp3/view?usp=drivesdk</v>
      </c>
      <c r="D6311" s="12"/>
      <c r="E6311" s="11">
        <v>6359.0</v>
      </c>
      <c r="F6311" s="2"/>
    </row>
    <row r="6312" ht="1.5" customHeight="1">
      <c r="A6312" s="4" t="str">
        <f>IFERROR(__xludf.DUMMYFUNCTION("""COMPUTED_VALUE"""),"121. Spongebop")</f>
        <v>121. Spongebop</v>
      </c>
      <c r="B6312" s="4" t="str">
        <f>IFERROR(__xludf.DUMMYFUNCTION("""COMPUTED_VALUE"""),"121")</f>
        <v>121</v>
      </c>
      <c r="C6312" s="5" t="str">
        <f>IFERROR(__xludf.DUMMYFUNCTION("""COMPUTED_VALUE"""),"https://drive.google.com/file/d/1cBoJd8keRlmPCOSi0GYpsgDJyAboHyHd/view?usp=drivesdk")</f>
        <v>https://drive.google.com/file/d/1cBoJd8keRlmPCOSi0GYpsgDJyAboHyHd/view?usp=drivesdk</v>
      </c>
      <c r="D6312" s="12"/>
      <c r="E6312" s="11">
        <v>6360.0</v>
      </c>
      <c r="F6312" s="2"/>
    </row>
    <row r="6313" ht="1.5" customHeight="1">
      <c r="A6313" s="4" t="str">
        <f>IFERROR(__xludf.DUMMYFUNCTION("""COMPUTED_VALUE"""),"121. Spongebop")</f>
        <v>121. Spongebop</v>
      </c>
      <c r="B6313" s="4" t="str">
        <f>IFERROR(__xludf.DUMMYFUNCTION("""COMPUTED_VALUE"""),"121")</f>
        <v>121</v>
      </c>
      <c r="C6313" s="5" t="str">
        <f>IFERROR(__xludf.DUMMYFUNCTION("""COMPUTED_VALUE"""),"https://drive.google.com/file/d/1dnrmaVHdi2DtHavk1LNU6lrPcZtQZ83f/view?usp=drivesdk")</f>
        <v>https://drive.google.com/file/d/1dnrmaVHdi2DtHavk1LNU6lrPcZtQZ83f/view?usp=drivesdk</v>
      </c>
      <c r="D6313" s="12"/>
      <c r="E6313" s="11">
        <v>6361.0</v>
      </c>
      <c r="F6313" s="2"/>
    </row>
    <row r="6314" ht="1.5" customHeight="1">
      <c r="A6314" s="4" t="str">
        <f>IFERROR(__xludf.DUMMYFUNCTION("""COMPUTED_VALUE"""),"121. Spongebop")</f>
        <v>121. Spongebop</v>
      </c>
      <c r="B6314" s="4" t="str">
        <f>IFERROR(__xludf.DUMMYFUNCTION("""COMPUTED_VALUE"""),"121")</f>
        <v>121</v>
      </c>
      <c r="C6314" s="5" t="str">
        <f>IFERROR(__xludf.DUMMYFUNCTION("""COMPUTED_VALUE"""),"https://drive.google.com/file/d/1IY3gRQI_oI1seVDBJNyQ0n1LtAMx1182/view?usp=drivesdk")</f>
        <v>https://drive.google.com/file/d/1IY3gRQI_oI1seVDBJNyQ0n1LtAMx1182/view?usp=drivesdk</v>
      </c>
      <c r="D6314" s="12"/>
      <c r="E6314" s="11">
        <v>6362.0</v>
      </c>
      <c r="F6314" s="2"/>
    </row>
    <row r="6315" ht="1.5" customHeight="1">
      <c r="A6315" s="4" t="str">
        <f>IFERROR(__xludf.DUMMYFUNCTION("""COMPUTED_VALUE"""),"121. Spongebop")</f>
        <v>121. Spongebop</v>
      </c>
      <c r="B6315" s="4" t="str">
        <f>IFERROR(__xludf.DUMMYFUNCTION("""COMPUTED_VALUE"""),"121")</f>
        <v>121</v>
      </c>
      <c r="C6315" s="5" t="str">
        <f>IFERROR(__xludf.DUMMYFUNCTION("""COMPUTED_VALUE"""),"https://drive.google.com/file/d/1iZR8koKMRpRMsM1U9F-BDXgChwCQVNpS/view?usp=drivesdk")</f>
        <v>https://drive.google.com/file/d/1iZR8koKMRpRMsM1U9F-BDXgChwCQVNpS/view?usp=drivesdk</v>
      </c>
      <c r="D6315" s="12"/>
      <c r="E6315" s="11">
        <v>6363.0</v>
      </c>
      <c r="F6315" s="2"/>
    </row>
    <row r="6316" ht="1.5" customHeight="1">
      <c r="A6316" s="4" t="str">
        <f>IFERROR(__xludf.DUMMYFUNCTION("""COMPUTED_VALUE"""),"121. Spongebop")</f>
        <v>121. Spongebop</v>
      </c>
      <c r="B6316" s="4" t="str">
        <f>IFERROR(__xludf.DUMMYFUNCTION("""COMPUTED_VALUE"""),"121")</f>
        <v>121</v>
      </c>
      <c r="C6316" s="5" t="str">
        <f>IFERROR(__xludf.DUMMYFUNCTION("""COMPUTED_VALUE"""),"https://drive.google.com/file/d/18jHRpHJ1G5QYP7QFRMz7_iiAvadZ4kfu/view?usp=drivesdk")</f>
        <v>https://drive.google.com/file/d/18jHRpHJ1G5QYP7QFRMz7_iiAvadZ4kfu/view?usp=drivesdk</v>
      </c>
      <c r="D6316" s="12"/>
      <c r="E6316" s="11">
        <v>6364.0</v>
      </c>
      <c r="F6316" s="2"/>
    </row>
    <row r="6317" ht="1.5" customHeight="1">
      <c r="A6317" s="4" t="str">
        <f>IFERROR(__xludf.DUMMYFUNCTION("""COMPUTED_VALUE"""),"121. Spongebop")</f>
        <v>121. Spongebop</v>
      </c>
      <c r="B6317" s="4" t="str">
        <f>IFERROR(__xludf.DUMMYFUNCTION("""COMPUTED_VALUE"""),"121")</f>
        <v>121</v>
      </c>
      <c r="C6317" s="5" t="str">
        <f>IFERROR(__xludf.DUMMYFUNCTION("""COMPUTED_VALUE"""),"https://drive.google.com/file/d/1HUM-TXs7Aa0BEVpNKPMUQXOYH4fmTgXj/view?usp=drivesdk")</f>
        <v>https://drive.google.com/file/d/1HUM-TXs7Aa0BEVpNKPMUQXOYH4fmTgXj/view?usp=drivesdk</v>
      </c>
      <c r="D6317" s="12"/>
      <c r="E6317" s="11">
        <v>6365.0</v>
      </c>
      <c r="F6317" s="2"/>
    </row>
    <row r="6318" ht="1.5" customHeight="1">
      <c r="A6318" s="4" t="str">
        <f>IFERROR(__xludf.DUMMYFUNCTION("""COMPUTED_VALUE"""),"121. Spongebop")</f>
        <v>121. Spongebop</v>
      </c>
      <c r="B6318" s="4" t="str">
        <f>IFERROR(__xludf.DUMMYFUNCTION("""COMPUTED_VALUE"""),"121")</f>
        <v>121</v>
      </c>
      <c r="C6318" s="5" t="str">
        <f>IFERROR(__xludf.DUMMYFUNCTION("""COMPUTED_VALUE"""),"https://drive.google.com/file/d/1jnaojKGqOMD25QRyxtAGoznA1owvw_q3/view?usp=drivesdk")</f>
        <v>https://drive.google.com/file/d/1jnaojKGqOMD25QRyxtAGoznA1owvw_q3/view?usp=drivesdk</v>
      </c>
      <c r="D6318" s="12"/>
      <c r="E6318" s="11">
        <v>6366.0</v>
      </c>
      <c r="F6318" s="2"/>
    </row>
    <row r="6319" ht="1.5" customHeight="1">
      <c r="A6319" s="4" t="str">
        <f>IFERROR(__xludf.DUMMYFUNCTION("""COMPUTED_VALUE"""),"121. Spongebop")</f>
        <v>121. Spongebop</v>
      </c>
      <c r="B6319" s="4" t="str">
        <f>IFERROR(__xludf.DUMMYFUNCTION("""COMPUTED_VALUE"""),"121")</f>
        <v>121</v>
      </c>
      <c r="C6319" s="5" t="str">
        <f>IFERROR(__xludf.DUMMYFUNCTION("""COMPUTED_VALUE"""),"https://drive.google.com/file/d/1L_VmEWR7DrRd8Kidxgi6hVeTcLi02HX2/view?usp=drivesdk")</f>
        <v>https://drive.google.com/file/d/1L_VmEWR7DrRd8Kidxgi6hVeTcLi02HX2/view?usp=drivesdk</v>
      </c>
      <c r="D6319" s="12"/>
      <c r="E6319" s="11">
        <v>6367.0</v>
      </c>
      <c r="F6319" s="2"/>
    </row>
    <row r="6320" ht="1.5" customHeight="1">
      <c r="A6320" s="4" t="str">
        <f>IFERROR(__xludf.DUMMYFUNCTION("""COMPUTED_VALUE"""),"21. Paquini")</f>
        <v>21. Paquini</v>
      </c>
      <c r="B6320" s="4" t="str">
        <f>IFERROR(__xludf.DUMMYFUNCTION("""COMPUTED_VALUE"""),"21")</f>
        <v>21</v>
      </c>
      <c r="C6320" s="5" t="str">
        <f>IFERROR(__xludf.DUMMYFUNCTION("""COMPUTED_VALUE"""),"https://drive.google.com/file/d/1lZRYrrgPKU-kyLf0C_hOF7dzAFVkBlDu/view?usp=drivesdk")</f>
        <v>https://drive.google.com/file/d/1lZRYrrgPKU-kyLf0C_hOF7dzAFVkBlDu/view?usp=drivesdk</v>
      </c>
      <c r="D6320" s="12"/>
      <c r="E6320" s="11">
        <v>6368.0</v>
      </c>
      <c r="F6320" s="2"/>
    </row>
    <row r="6321" ht="1.5" customHeight="1">
      <c r="A6321" s="4" t="str">
        <f>IFERROR(__xludf.DUMMYFUNCTION("""COMPUTED_VALUE"""),"21. Paquini")</f>
        <v>21. Paquini</v>
      </c>
      <c r="B6321" s="4" t="str">
        <f>IFERROR(__xludf.DUMMYFUNCTION("""COMPUTED_VALUE"""),"21")</f>
        <v>21</v>
      </c>
      <c r="C6321" s="5" t="str">
        <f>IFERROR(__xludf.DUMMYFUNCTION("""COMPUTED_VALUE"""),"https://drive.google.com/file/d/1sPz_LHXmoS_ff06_ccF9y5mgeXYyyeDr/view?usp=drivesdk")</f>
        <v>https://drive.google.com/file/d/1sPz_LHXmoS_ff06_ccF9y5mgeXYyyeDr/view?usp=drivesdk</v>
      </c>
      <c r="D6321" s="12"/>
      <c r="E6321" s="11">
        <v>6369.0</v>
      </c>
      <c r="F6321" s="2"/>
    </row>
    <row r="6322" ht="1.5" customHeight="1">
      <c r="A6322" s="4" t="str">
        <f>IFERROR(__xludf.DUMMYFUNCTION("""COMPUTED_VALUE"""),"21. Paquini")</f>
        <v>21. Paquini</v>
      </c>
      <c r="B6322" s="4" t="str">
        <f>IFERROR(__xludf.DUMMYFUNCTION("""COMPUTED_VALUE"""),"21")</f>
        <v>21</v>
      </c>
      <c r="C6322" s="5" t="str">
        <f>IFERROR(__xludf.DUMMYFUNCTION("""COMPUTED_VALUE"""),"https://drive.google.com/file/d/1k9qtfiuVEUUHiGcoDYJovaBLnIoSztPB/view?usp=drivesdk")</f>
        <v>https://drive.google.com/file/d/1k9qtfiuVEUUHiGcoDYJovaBLnIoSztPB/view?usp=drivesdk</v>
      </c>
      <c r="D6322" s="12"/>
      <c r="E6322" s="11">
        <v>6370.0</v>
      </c>
      <c r="F6322" s="2"/>
    </row>
    <row r="6323" ht="1.5" customHeight="1">
      <c r="A6323" s="4" t="str">
        <f>IFERROR(__xludf.DUMMYFUNCTION("""COMPUTED_VALUE"""),"92. Cloudy")</f>
        <v>92. Cloudy</v>
      </c>
      <c r="B6323" s="4" t="str">
        <f>IFERROR(__xludf.DUMMYFUNCTION("""COMPUTED_VALUE"""),"92")</f>
        <v>92</v>
      </c>
      <c r="C6323" s="5" t="str">
        <f>IFERROR(__xludf.DUMMYFUNCTION("""COMPUTED_VALUE"""),"https://drive.google.com/file/d/1DhXCo1Mu6Sv2Vrj2Ne9hTR1ieBNY6Kwy/view?usp=drivesdk")</f>
        <v>https://drive.google.com/file/d/1DhXCo1Mu6Sv2Vrj2Ne9hTR1ieBNY6Kwy/view?usp=drivesdk</v>
      </c>
      <c r="D6323" s="12"/>
      <c r="E6323" s="11">
        <v>6371.0</v>
      </c>
      <c r="F6323" s="2"/>
    </row>
    <row r="6324" ht="1.5" customHeight="1">
      <c r="A6324" s="4" t="str">
        <f>IFERROR(__xludf.DUMMYFUNCTION("""COMPUTED_VALUE"""),"93. Meatball")</f>
        <v>93. Meatball</v>
      </c>
      <c r="B6324" s="4" t="str">
        <f>IFERROR(__xludf.DUMMYFUNCTION("""COMPUTED_VALUE"""),"93")</f>
        <v>93</v>
      </c>
      <c r="C6324" s="5" t="str">
        <f>IFERROR(__xludf.DUMMYFUNCTION("""COMPUTED_VALUE"""),"https://drive.google.com/file/d/1GC69DfCKPuKdcLLrVNcVV4dncXY4WOSr/view?usp=drivesdk")</f>
        <v>https://drive.google.com/file/d/1GC69DfCKPuKdcLLrVNcVV4dncXY4WOSr/view?usp=drivesdk</v>
      </c>
      <c r="D6324" s="12"/>
      <c r="E6324" s="11">
        <v>6372.0</v>
      </c>
      <c r="F6324" s="2"/>
    </row>
    <row r="6325" ht="1.5" customHeight="1">
      <c r="A6325" s="4" t="str">
        <f>IFERROR(__xludf.DUMMYFUNCTION("""COMPUTED_VALUE"""),"93. Meatball")</f>
        <v>93. Meatball</v>
      </c>
      <c r="B6325" s="4" t="str">
        <f>IFERROR(__xludf.DUMMYFUNCTION("""COMPUTED_VALUE"""),"93")</f>
        <v>93</v>
      </c>
      <c r="C6325" s="5" t="str">
        <f>IFERROR(__xludf.DUMMYFUNCTION("""COMPUTED_VALUE"""),"https://drive.google.com/file/d/1Voku5h5xJ3dmMOla8Zn0rjD8YaoGFhhC/view?usp=drivesdk")</f>
        <v>https://drive.google.com/file/d/1Voku5h5xJ3dmMOla8Zn0rjD8YaoGFhhC/view?usp=drivesdk</v>
      </c>
      <c r="D6325" s="12"/>
      <c r="E6325" s="11">
        <v>6373.0</v>
      </c>
      <c r="F6325" s="2"/>
    </row>
    <row r="6326" ht="1.5" customHeight="1">
      <c r="A6326" s="4" t="str">
        <f>IFERROR(__xludf.DUMMYFUNCTION("""COMPUTED_VALUE"""),"117. Chance")</f>
        <v>117. Chance</v>
      </c>
      <c r="B6326" s="4" t="str">
        <f>IFERROR(__xludf.DUMMYFUNCTION("""COMPUTED_VALUE"""),"117")</f>
        <v>117</v>
      </c>
      <c r="C6326" s="5" t="str">
        <f>IFERROR(__xludf.DUMMYFUNCTION("""COMPUTED_VALUE"""),"https://drive.google.com/file/d/1xZiTyiOmIr_rlKyfgbOVsKgrG1Fblr39/view?usp=drivesdk")</f>
        <v>https://drive.google.com/file/d/1xZiTyiOmIr_rlKyfgbOVsKgrG1Fblr39/view?usp=drivesdk</v>
      </c>
      <c r="D6326" s="12"/>
      <c r="E6326" s="11">
        <v>6374.0</v>
      </c>
      <c r="F6326" s="2"/>
    </row>
    <row r="6327" ht="1.5" customHeight="1">
      <c r="A6327" s="4" t="str">
        <f>IFERROR(__xludf.DUMMYFUNCTION("""COMPUTED_VALUE"""),"117. Chance, 93. Meatball")</f>
        <v>117. Chance, 93. Meatball</v>
      </c>
      <c r="B6327" s="4" t="str">
        <f>IFERROR(__xludf.DUMMYFUNCTION("""COMPUTED_VALUE"""),"117, 93")</f>
        <v>117, 93</v>
      </c>
      <c r="C6327" s="5" t="str">
        <f>IFERROR(__xludf.DUMMYFUNCTION("""COMPUTED_VALUE"""),"https://drive.google.com/file/d/1EHbANMJD2kh_yTCxXIP9ZIwgvATj1V9Y/view?usp=drivesdk")</f>
        <v>https://drive.google.com/file/d/1EHbANMJD2kh_yTCxXIP9ZIwgvATj1V9Y/view?usp=drivesdk</v>
      </c>
      <c r="D6327" s="12"/>
      <c r="E6327" s="11">
        <v>6375.0</v>
      </c>
      <c r="F6327" s="2"/>
    </row>
    <row r="6328" ht="1.5" customHeight="1">
      <c r="A6328" s="4" t="str">
        <f>IFERROR(__xludf.DUMMYFUNCTION("""COMPUTED_VALUE"""),"0. NotACat")</f>
        <v>0. NotACat</v>
      </c>
      <c r="B6328" s="4" t="str">
        <f>IFERROR(__xludf.DUMMYFUNCTION("""COMPUTED_VALUE"""),"0")</f>
        <v>0</v>
      </c>
      <c r="C6328" s="5" t="str">
        <f>IFERROR(__xludf.DUMMYFUNCTION("""COMPUTED_VALUE"""),"https://drive.google.com/file/d/1B8e5587hfmDlasjS6ACAwW3h2196Lc7I/view?usp=drivesdk")</f>
        <v>https://drive.google.com/file/d/1B8e5587hfmDlasjS6ACAwW3h2196Lc7I/view?usp=drivesdk</v>
      </c>
      <c r="D6328" s="12"/>
      <c r="E6328" s="11">
        <v>6376.0</v>
      </c>
      <c r="F6328" s="2"/>
    </row>
    <row r="6329" ht="1.5" customHeight="1">
      <c r="A6329" s="4" t="str">
        <f>IFERROR(__xludf.DUMMYFUNCTION("""COMPUTED_VALUE"""),"49. Freya, 50. Thor")</f>
        <v>49. Freya, 50. Thor</v>
      </c>
      <c r="B6329" s="4" t="str">
        <f>IFERROR(__xludf.DUMMYFUNCTION("""COMPUTED_VALUE"""),"49, 50")</f>
        <v>49, 50</v>
      </c>
      <c r="C6329" s="5" t="str">
        <f>IFERROR(__xludf.DUMMYFUNCTION("""COMPUTED_VALUE"""),"https://drive.google.com/file/d/1b5HdCc5rbFgJ421POkfn8nQiGUjoavcm/view?usp=drivesdk")</f>
        <v>https://drive.google.com/file/d/1b5HdCc5rbFgJ421POkfn8nQiGUjoavcm/view?usp=drivesdk</v>
      </c>
      <c r="D6329" s="12"/>
      <c r="E6329" s="11">
        <v>6377.0</v>
      </c>
      <c r="F6329" s="2"/>
    </row>
    <row r="6330" ht="1.5" customHeight="1">
      <c r="A6330" s="4" t="str">
        <f>IFERROR(__xludf.DUMMYFUNCTION("""COMPUTED_VALUE"""),"49. Freya, 50. Thor")</f>
        <v>49. Freya, 50. Thor</v>
      </c>
      <c r="B6330" s="4" t="str">
        <f>IFERROR(__xludf.DUMMYFUNCTION("""COMPUTED_VALUE"""),"49, 50")</f>
        <v>49, 50</v>
      </c>
      <c r="C6330" s="5" t="str">
        <f>IFERROR(__xludf.DUMMYFUNCTION("""COMPUTED_VALUE"""),"https://drive.google.com/file/d/16aa9A31yCc_BiKVDY97QsqW06ELqd4cj/view?usp=drivesdk")</f>
        <v>https://drive.google.com/file/d/16aa9A31yCc_BiKVDY97QsqW06ELqd4cj/view?usp=drivesdk</v>
      </c>
      <c r="D6330" s="12"/>
      <c r="E6330" s="11">
        <v>6378.0</v>
      </c>
      <c r="F6330" s="2"/>
    </row>
    <row r="6331" ht="1.5" customHeight="1">
      <c r="A6331" s="4" t="str">
        <f>IFERROR(__xludf.DUMMYFUNCTION("""COMPUTED_VALUE"""),"27. Angel")</f>
        <v>27. Angel</v>
      </c>
      <c r="B6331" s="4" t="str">
        <f>IFERROR(__xludf.DUMMYFUNCTION("""COMPUTED_VALUE"""),"27")</f>
        <v>27</v>
      </c>
      <c r="C6331" s="5" t="str">
        <f>IFERROR(__xludf.DUMMYFUNCTION("""COMPUTED_VALUE"""),"https://drive.google.com/file/d/1QsbQVNXQlrCY0G1sHPK4JrHQ2Hrikz4_/view?usp=drivesdk")</f>
        <v>https://drive.google.com/file/d/1QsbQVNXQlrCY0G1sHPK4JrHQ2Hrikz4_/view?usp=drivesdk</v>
      </c>
      <c r="D6331" s="12"/>
      <c r="E6331" s="11">
        <v>6379.0</v>
      </c>
      <c r="F6331" s="2"/>
    </row>
    <row r="6332" ht="1.5" customHeight="1">
      <c r="A6332" s="4" t="str">
        <f>IFERROR(__xludf.DUMMYFUNCTION("""COMPUTED_VALUE"""),"29. Ginger")</f>
        <v>29. Ginger</v>
      </c>
      <c r="B6332" s="4" t="str">
        <f>IFERROR(__xludf.DUMMYFUNCTION("""COMPUTED_VALUE"""),"29")</f>
        <v>29</v>
      </c>
      <c r="C6332" s="5" t="str">
        <f>IFERROR(__xludf.DUMMYFUNCTION("""COMPUTED_VALUE"""),"https://drive.google.com/file/d/1FLOX9x0W6FObdAdZh1HUXnGkCvkjvtrS/view?usp=drivesdk")</f>
        <v>https://drive.google.com/file/d/1FLOX9x0W6FObdAdZh1HUXnGkCvkjvtrS/view?usp=drivesdk</v>
      </c>
      <c r="D6332" s="12"/>
      <c r="E6332" s="11">
        <v>6380.0</v>
      </c>
      <c r="F6332" s="2"/>
    </row>
    <row r="6333" ht="1.5" customHeight="1">
      <c r="A6333" s="4" t="str">
        <f>IFERROR(__xludf.DUMMYFUNCTION("""COMPUTED_VALUE"""),"29. Ginger")</f>
        <v>29. Ginger</v>
      </c>
      <c r="B6333" s="4" t="str">
        <f>IFERROR(__xludf.DUMMYFUNCTION("""COMPUTED_VALUE"""),"29")</f>
        <v>29</v>
      </c>
      <c r="C6333" s="5" t="str">
        <f>IFERROR(__xludf.DUMMYFUNCTION("""COMPUTED_VALUE"""),"https://drive.google.com/file/d/1qOsw7u1fEAswhVQGahAWQ8lyQ3zMfA1b/view?usp=drivesdk")</f>
        <v>https://drive.google.com/file/d/1qOsw7u1fEAswhVQGahAWQ8lyQ3zMfA1b/view?usp=drivesdk</v>
      </c>
      <c r="D6333" s="12"/>
      <c r="E6333" s="11">
        <v>6381.0</v>
      </c>
      <c r="F6333" s="2"/>
    </row>
    <row r="6334" ht="1.5" customHeight="1">
      <c r="A6334" s="4" t="str">
        <f>IFERROR(__xludf.DUMMYFUNCTION("""COMPUTED_VALUE"""),"5. Eraser")</f>
        <v>5. Eraser</v>
      </c>
      <c r="B6334" s="4" t="str">
        <f>IFERROR(__xludf.DUMMYFUNCTION("""COMPUTED_VALUE"""),"5")</f>
        <v>5</v>
      </c>
      <c r="C6334" s="5" t="str">
        <f>IFERROR(__xludf.DUMMYFUNCTION("""COMPUTED_VALUE"""),"https://drive.google.com/file/d/19Jyx0IsXmiA96C9CwWDg6HenhlgcNeVC/view?usp=drivesdk")</f>
        <v>https://drive.google.com/file/d/19Jyx0IsXmiA96C9CwWDg6HenhlgcNeVC/view?usp=drivesdk</v>
      </c>
      <c r="D6334" s="12"/>
      <c r="E6334" s="11">
        <v>6382.0</v>
      </c>
      <c r="F6334" s="2"/>
    </row>
    <row r="6335" ht="1.5" customHeight="1">
      <c r="A6335" s="4" t="str">
        <f>IFERROR(__xludf.DUMMYFUNCTION("""COMPUTED_VALUE"""),"4. Eggs")</f>
        <v>4. Eggs</v>
      </c>
      <c r="B6335" s="4" t="str">
        <f>IFERROR(__xludf.DUMMYFUNCTION("""COMPUTED_VALUE"""),"4")</f>
        <v>4</v>
      </c>
      <c r="C6335" s="5" t="str">
        <f>IFERROR(__xludf.DUMMYFUNCTION("""COMPUTED_VALUE"""),"https://drive.google.com/file/d/1xKZVh-aOkKOv7rxKLDju945155wzOXXx/view?usp=drivesdk")</f>
        <v>https://drive.google.com/file/d/1xKZVh-aOkKOv7rxKLDju945155wzOXXx/view?usp=drivesdk</v>
      </c>
      <c r="D6335" s="12"/>
      <c r="E6335" s="11">
        <v>6383.0</v>
      </c>
      <c r="F6335" s="2"/>
    </row>
    <row r="6336" ht="1.5" customHeight="1">
      <c r="A6336" s="4" t="str">
        <f>IFERROR(__xludf.DUMMYFUNCTION("""COMPUTED_VALUE"""),"2. Twix")</f>
        <v>2. Twix</v>
      </c>
      <c r="B6336" s="4" t="str">
        <f>IFERROR(__xludf.DUMMYFUNCTION("""COMPUTED_VALUE"""),"2")</f>
        <v>2</v>
      </c>
      <c r="C6336" s="5" t="str">
        <f>IFERROR(__xludf.DUMMYFUNCTION("""COMPUTED_VALUE"""),"https://drive.google.com/file/d/1nc2b40_YtO59YWATG3hKq46-jBnfpKu3/view?usp=drivesdk")</f>
        <v>https://drive.google.com/file/d/1nc2b40_YtO59YWATG3hKq46-jBnfpKu3/view?usp=drivesdk</v>
      </c>
      <c r="D6336" s="12"/>
      <c r="E6336" s="11">
        <v>6384.0</v>
      </c>
      <c r="F6336" s="2"/>
    </row>
    <row r="6337" ht="1.5" customHeight="1">
      <c r="A6337" s="4" t="str">
        <f>IFERROR(__xludf.DUMMYFUNCTION("""COMPUTED_VALUE"""),"4. Eggs, 5. Eraser")</f>
        <v>4. Eggs, 5. Eraser</v>
      </c>
      <c r="B6337" s="4" t="str">
        <f>IFERROR(__xludf.DUMMYFUNCTION("""COMPUTED_VALUE"""),"4, 5")</f>
        <v>4, 5</v>
      </c>
      <c r="C6337" s="5" t="str">
        <f>IFERROR(__xludf.DUMMYFUNCTION("""COMPUTED_VALUE"""),"https://drive.google.com/file/d/1jxKrD4WRHG7PD9zQHk5TP16cKadhdkMm/view?usp=drivesdk")</f>
        <v>https://drive.google.com/file/d/1jxKrD4WRHG7PD9zQHk5TP16cKadhdkMm/view?usp=drivesdk</v>
      </c>
      <c r="D6337" s="12"/>
      <c r="E6337" s="11">
        <v>6385.0</v>
      </c>
      <c r="F6337" s="2"/>
    </row>
    <row r="6338" ht="1.5" customHeight="1">
      <c r="A6338" s="4" t="str">
        <f>IFERROR(__xludf.DUMMYFUNCTION("""COMPUTED_VALUE"""),"1. Microwave")</f>
        <v>1. Microwave</v>
      </c>
      <c r="B6338" s="4" t="str">
        <f>IFERROR(__xludf.DUMMYFUNCTION("""COMPUTED_VALUE"""),"1")</f>
        <v>1</v>
      </c>
      <c r="C6338" s="5" t="str">
        <f>IFERROR(__xludf.DUMMYFUNCTION("""COMPUTED_VALUE"""),"https://drive.google.com/file/d/1pu7WX2sNLR5sIsUspM3k7NT_F76yFQGU/view?usp=drivesdk")</f>
        <v>https://drive.google.com/file/d/1pu7WX2sNLR5sIsUspM3k7NT_F76yFQGU/view?usp=drivesdk</v>
      </c>
      <c r="D6338" s="12"/>
      <c r="E6338" s="11">
        <v>6386.0</v>
      </c>
      <c r="F6338" s="2"/>
    </row>
    <row r="6339" ht="1.5" customHeight="1">
      <c r="A6339" s="4" t="str">
        <f>IFERROR(__xludf.DUMMYFUNCTION("""COMPUTED_VALUE"""),"17. Bobbie")</f>
        <v>17. Bobbie</v>
      </c>
      <c r="B6339" s="4" t="str">
        <f>IFERROR(__xludf.DUMMYFUNCTION("""COMPUTED_VALUE"""),"17")</f>
        <v>17</v>
      </c>
      <c r="C6339" s="5" t="str">
        <f>IFERROR(__xludf.DUMMYFUNCTION("""COMPUTED_VALUE"""),"https://drive.google.com/file/d/10fWNxtDtQKkUQlFmx7i0CNeM6O8TUPZp/view?usp=drivesdk")</f>
        <v>https://drive.google.com/file/d/10fWNxtDtQKkUQlFmx7i0CNeM6O8TUPZp/view?usp=drivesdk</v>
      </c>
      <c r="D6339" s="12"/>
      <c r="E6339" s="11">
        <v>6387.0</v>
      </c>
      <c r="F6339" s="2"/>
    </row>
    <row r="6340" ht="1.5" customHeight="1">
      <c r="A6340" s="4" t="str">
        <f>IFERROR(__xludf.DUMMYFUNCTION("""COMPUTED_VALUE"""),"105. Chilton")</f>
        <v>105. Chilton</v>
      </c>
      <c r="B6340" s="4" t="str">
        <f>IFERROR(__xludf.DUMMYFUNCTION("""COMPUTED_VALUE"""),"105")</f>
        <v>105</v>
      </c>
      <c r="C6340" s="5" t="str">
        <f>IFERROR(__xludf.DUMMYFUNCTION("""COMPUTED_VALUE"""),"https://drive.google.com/file/d/1zG2M8iUV6F3tVz6MSe7Fp4Bjjbs1jLzF/view?usp=drivesdk")</f>
        <v>https://drive.google.com/file/d/1zG2M8iUV6F3tVz6MSe7Fp4Bjjbs1jLzF/view?usp=drivesdk</v>
      </c>
      <c r="D6340" s="12"/>
      <c r="E6340" s="11">
        <v>6388.0</v>
      </c>
      <c r="F6340" s="2"/>
    </row>
    <row r="6341" ht="1.5" customHeight="1">
      <c r="A6341" s="4" t="str">
        <f>IFERROR(__xludf.DUMMYFUNCTION("""COMPUTED_VALUE"""),"94. Itztli")</f>
        <v>94. Itztli</v>
      </c>
      <c r="B6341" s="4" t="str">
        <f>IFERROR(__xludf.DUMMYFUNCTION("""COMPUTED_VALUE"""),"94")</f>
        <v>94</v>
      </c>
      <c r="C6341" s="5" t="str">
        <f>IFERROR(__xludf.DUMMYFUNCTION("""COMPUTED_VALUE"""),"https://drive.google.com/file/d/17aZoqaWC7GHseoavLBEzfJBEhLcoBsXZ/view?usp=drivesdk")</f>
        <v>https://drive.google.com/file/d/17aZoqaWC7GHseoavLBEzfJBEhLcoBsXZ/view?usp=drivesdk</v>
      </c>
      <c r="D6341" s="12"/>
      <c r="E6341" s="11">
        <v>6389.0</v>
      </c>
      <c r="F6341" s="2"/>
    </row>
    <row r="6342" ht="1.5" customHeight="1">
      <c r="A6342" s="4" t="str">
        <f>IFERROR(__xludf.DUMMYFUNCTION("""COMPUTED_VALUE"""),"105. Chilton")</f>
        <v>105. Chilton</v>
      </c>
      <c r="B6342" s="4" t="str">
        <f>IFERROR(__xludf.DUMMYFUNCTION("""COMPUTED_VALUE"""),"105")</f>
        <v>105</v>
      </c>
      <c r="C6342" s="5" t="str">
        <f>IFERROR(__xludf.DUMMYFUNCTION("""COMPUTED_VALUE"""),"https://drive.google.com/file/d/1-jgzpydZj0Wx8WGK8NNK_wc2xkoJjEDz/view?usp=drivesdk")</f>
        <v>https://drive.google.com/file/d/1-jgzpydZj0Wx8WGK8NNK_wc2xkoJjEDz/view?usp=drivesdk</v>
      </c>
      <c r="D6342" s="12"/>
      <c r="E6342" s="11">
        <v>6390.0</v>
      </c>
      <c r="F6342" s="2"/>
    </row>
    <row r="6343" ht="1.5" customHeight="1">
      <c r="A6343" s="4" t="str">
        <f>IFERROR(__xludf.DUMMYFUNCTION("""COMPUTED_VALUE"""),"6. Snickers")</f>
        <v>6. Snickers</v>
      </c>
      <c r="B6343" s="4" t="str">
        <f>IFERROR(__xludf.DUMMYFUNCTION("""COMPUTED_VALUE"""),"6")</f>
        <v>6</v>
      </c>
      <c r="C6343" s="5" t="str">
        <f>IFERROR(__xludf.DUMMYFUNCTION("""COMPUTED_VALUE"""),"https://drive.google.com/file/d/1qSbsGXeqf3cl5fGBgn7gGWI92GYWOpE9/view?usp=drivesdk")</f>
        <v>https://drive.google.com/file/d/1qSbsGXeqf3cl5fGBgn7gGWI92GYWOpE9/view?usp=drivesdk</v>
      </c>
      <c r="D6343" s="12"/>
      <c r="E6343" s="11">
        <v>6391.0</v>
      </c>
      <c r="F6343" s="2"/>
    </row>
    <row r="6344" ht="1.5" customHeight="1">
      <c r="A6344" s="4" t="str">
        <f>IFERROR(__xludf.DUMMYFUNCTION("""COMPUTED_VALUE"""),"6. Snickers")</f>
        <v>6. Snickers</v>
      </c>
      <c r="B6344" s="4" t="str">
        <f>IFERROR(__xludf.DUMMYFUNCTION("""COMPUTED_VALUE"""),"6")</f>
        <v>6</v>
      </c>
      <c r="C6344" s="5" t="str">
        <f>IFERROR(__xludf.DUMMYFUNCTION("""COMPUTED_VALUE"""),"https://drive.google.com/file/d/1dTPKqCKnzdDkrkdt01DMCgB_ExCfyaQR/view?usp=drivesdk")</f>
        <v>https://drive.google.com/file/d/1dTPKqCKnzdDkrkdt01DMCgB_ExCfyaQR/view?usp=drivesdk</v>
      </c>
      <c r="D6344" s="12"/>
      <c r="E6344" s="11">
        <v>6392.0</v>
      </c>
      <c r="F6344" s="2"/>
    </row>
    <row r="6345" ht="1.5" customHeight="1">
      <c r="A6345" s="4" t="str">
        <f>IFERROR(__xludf.DUMMYFUNCTION("""COMPUTED_VALUE"""),"6. Snickers")</f>
        <v>6. Snickers</v>
      </c>
      <c r="B6345" s="4" t="str">
        <f>IFERROR(__xludf.DUMMYFUNCTION("""COMPUTED_VALUE"""),"6")</f>
        <v>6</v>
      </c>
      <c r="C6345" s="5" t="str">
        <f>IFERROR(__xludf.DUMMYFUNCTION("""COMPUTED_VALUE"""),"https://drive.google.com/file/d/1F5_oztxj7mgvAdHlhqGEf7VJcTF7O_bt/view?usp=drivesdk")</f>
        <v>https://drive.google.com/file/d/1F5_oztxj7mgvAdHlhqGEf7VJcTF7O_bt/view?usp=drivesdk</v>
      </c>
      <c r="D6345" s="12"/>
      <c r="E6345" s="11">
        <v>6393.0</v>
      </c>
      <c r="F6345" s="2"/>
    </row>
    <row r="6346" ht="1.5" customHeight="1">
      <c r="A6346" s="4" t="str">
        <f>IFERROR(__xludf.DUMMYFUNCTION("""COMPUTED_VALUE"""),"6. Snickers")</f>
        <v>6. Snickers</v>
      </c>
      <c r="B6346" s="4" t="str">
        <f>IFERROR(__xludf.DUMMYFUNCTION("""COMPUTED_VALUE"""),"6")</f>
        <v>6</v>
      </c>
      <c r="C6346" s="5" t="str">
        <f>IFERROR(__xludf.DUMMYFUNCTION("""COMPUTED_VALUE"""),"https://drive.google.com/file/d/1snyqMxVdTI6lyCraWLSXHJyp3-Q4zHjo/view?usp=drivesdk")</f>
        <v>https://drive.google.com/file/d/1snyqMxVdTI6lyCraWLSXHJyp3-Q4zHjo/view?usp=drivesdk</v>
      </c>
      <c r="D6346" s="12"/>
      <c r="E6346" s="11">
        <v>6394.0</v>
      </c>
      <c r="F6346" s="2"/>
    </row>
    <row r="6347" ht="1.5" customHeight="1">
      <c r="A6347" s="4" t="str">
        <f>IFERROR(__xludf.DUMMYFUNCTION("""COMPUTED_VALUE"""),"2. Twix")</f>
        <v>2. Twix</v>
      </c>
      <c r="B6347" s="4" t="str">
        <f>IFERROR(__xludf.DUMMYFUNCTION("""COMPUTED_VALUE"""),"2")</f>
        <v>2</v>
      </c>
      <c r="C6347" s="5" t="str">
        <f>IFERROR(__xludf.DUMMYFUNCTION("""COMPUTED_VALUE"""),"https://drive.google.com/file/d/1_kAZyO-Ga3snsttcX92l5sLYQ66FDOpU/view?usp=drivesdk")</f>
        <v>https://drive.google.com/file/d/1_kAZyO-Ga3snsttcX92l5sLYQ66FDOpU/view?usp=drivesdk</v>
      </c>
      <c r="D6347" s="12"/>
      <c r="E6347" s="11">
        <v>6395.0</v>
      </c>
      <c r="F6347" s="2"/>
    </row>
    <row r="6348" ht="1.5" customHeight="1">
      <c r="A6348" s="4" t="str">
        <f>IFERROR(__xludf.DUMMYFUNCTION("""COMPUTED_VALUE"""),"5. Eraser")</f>
        <v>5. Eraser</v>
      </c>
      <c r="B6348" s="4" t="str">
        <f>IFERROR(__xludf.DUMMYFUNCTION("""COMPUTED_VALUE"""),"5")</f>
        <v>5</v>
      </c>
      <c r="C6348" s="5" t="str">
        <f>IFERROR(__xludf.DUMMYFUNCTION("""COMPUTED_VALUE"""),"https://drive.google.com/file/d/1SQbUSlJHTZFwV5Pvo6PwGLBt84Kx2e-R/view?usp=drivesdk")</f>
        <v>https://drive.google.com/file/d/1SQbUSlJHTZFwV5Pvo6PwGLBt84Kx2e-R/view?usp=drivesdk</v>
      </c>
      <c r="D6348" s="12"/>
      <c r="E6348" s="11">
        <v>6396.0</v>
      </c>
      <c r="F6348" s="2"/>
    </row>
    <row r="6349" ht="1.5" customHeight="1">
      <c r="A6349" s="4" t="str">
        <f>IFERROR(__xludf.DUMMYFUNCTION("""COMPUTED_VALUE"""),"2. Twix")</f>
        <v>2. Twix</v>
      </c>
      <c r="B6349" s="4" t="str">
        <f>IFERROR(__xludf.DUMMYFUNCTION("""COMPUTED_VALUE"""),"2")</f>
        <v>2</v>
      </c>
      <c r="C6349" s="5" t="str">
        <f>IFERROR(__xludf.DUMMYFUNCTION("""COMPUTED_VALUE"""),"https://drive.google.com/file/d/1YLQGxf_Piin3X99knTtSdfFfECvsLGBE/view?usp=drivesdk")</f>
        <v>https://drive.google.com/file/d/1YLQGxf_Piin3X99knTtSdfFfECvsLGBE/view?usp=drivesdk</v>
      </c>
      <c r="D6349" s="12"/>
      <c r="E6349" s="11">
        <v>6397.0</v>
      </c>
      <c r="F6349" s="2"/>
    </row>
    <row r="6350" ht="1.5" customHeight="1">
      <c r="A6350" s="4" t="str">
        <f>IFERROR(__xludf.DUMMYFUNCTION("""COMPUTED_VALUE"""),"4. Eggs, 5. Eraser")</f>
        <v>4. Eggs, 5. Eraser</v>
      </c>
      <c r="B6350" s="4" t="str">
        <f>IFERROR(__xludf.DUMMYFUNCTION("""COMPUTED_VALUE"""),"4, 5")</f>
        <v>4, 5</v>
      </c>
      <c r="C6350" s="5" t="str">
        <f>IFERROR(__xludf.DUMMYFUNCTION("""COMPUTED_VALUE"""),"https://drive.google.com/file/d/1TOXuO3O-YYJYB8hvYsR3KbqMacLDTpSi/view?usp=drivesdk")</f>
        <v>https://drive.google.com/file/d/1TOXuO3O-YYJYB8hvYsR3KbqMacLDTpSi/view?usp=drivesdk</v>
      </c>
      <c r="D6350" s="12"/>
      <c r="E6350" s="11">
        <v>6398.0</v>
      </c>
      <c r="F6350" s="2"/>
    </row>
    <row r="6351" ht="1.5" customHeight="1">
      <c r="A6351" s="4" t="str">
        <f>IFERROR(__xludf.DUMMYFUNCTION("""COMPUTED_VALUE"""),"93. Meatball")</f>
        <v>93. Meatball</v>
      </c>
      <c r="B6351" s="4" t="str">
        <f>IFERROR(__xludf.DUMMYFUNCTION("""COMPUTED_VALUE"""),"93")</f>
        <v>93</v>
      </c>
      <c r="C6351" s="5" t="str">
        <f>IFERROR(__xludf.DUMMYFUNCTION("""COMPUTED_VALUE"""),"https://drive.google.com/file/d/1ZzbNjNr1FsnrTGY5r8y_V-jn8rxmmLNp/view?usp=drivesdk")</f>
        <v>https://drive.google.com/file/d/1ZzbNjNr1FsnrTGY5r8y_V-jn8rxmmLNp/view?usp=drivesdk</v>
      </c>
      <c r="D6351" s="12"/>
      <c r="E6351" s="11">
        <v>6399.0</v>
      </c>
      <c r="F6351" s="2"/>
    </row>
    <row r="6352" ht="1.5" customHeight="1">
      <c r="A6352" s="4" t="str">
        <f>IFERROR(__xludf.DUMMYFUNCTION("""COMPUTED_VALUE"""),"17. Bobbie, 92. Cloudy")</f>
        <v>17. Bobbie, 92. Cloudy</v>
      </c>
      <c r="B6352" s="4" t="str">
        <f>IFERROR(__xludf.DUMMYFUNCTION("""COMPUTED_VALUE"""),"17, 92")</f>
        <v>17, 92</v>
      </c>
      <c r="C6352" s="5" t="str">
        <f>IFERROR(__xludf.DUMMYFUNCTION("""COMPUTED_VALUE"""),"https://drive.google.com/file/d/1g-zUU15CT_GZvTFVt8s7QdzkamLQ8BGl/view?usp=drivesdk")</f>
        <v>https://drive.google.com/file/d/1g-zUU15CT_GZvTFVt8s7QdzkamLQ8BGl/view?usp=drivesdk</v>
      </c>
      <c r="D6352" s="12"/>
      <c r="E6352" s="11">
        <v>6400.0</v>
      </c>
      <c r="F6352" s="2"/>
    </row>
    <row r="6353" ht="1.5" customHeight="1">
      <c r="A6353" s="4" t="str">
        <f>IFERROR(__xludf.DUMMYFUNCTION("""COMPUTED_VALUE"""),"1. Microwave")</f>
        <v>1. Microwave</v>
      </c>
      <c r="B6353" s="4" t="str">
        <f>IFERROR(__xludf.DUMMYFUNCTION("""COMPUTED_VALUE"""),"1")</f>
        <v>1</v>
      </c>
      <c r="C6353" s="5" t="str">
        <f>IFERROR(__xludf.DUMMYFUNCTION("""COMPUTED_VALUE"""),"https://drive.google.com/file/d/1BbmZRfWz3DtIRgEBXbvhi2AFsY_yPmPV/view?usp=drivesdk")</f>
        <v>https://drive.google.com/file/d/1BbmZRfWz3DtIRgEBXbvhi2AFsY_yPmPV/view?usp=drivesdk</v>
      </c>
      <c r="D6353" s="12"/>
      <c r="E6353" s="11">
        <v>6401.0</v>
      </c>
      <c r="F6353" s="2"/>
    </row>
    <row r="6354" ht="1.5" customHeight="1">
      <c r="A6354" s="4" t="str">
        <f>IFERROR(__xludf.DUMMYFUNCTION("""COMPUTED_VALUE"""),"1. Microwave")</f>
        <v>1. Microwave</v>
      </c>
      <c r="B6354" s="4" t="str">
        <f>IFERROR(__xludf.DUMMYFUNCTION("""COMPUTED_VALUE"""),"1")</f>
        <v>1</v>
      </c>
      <c r="C6354" s="5" t="str">
        <f>IFERROR(__xludf.DUMMYFUNCTION("""COMPUTED_VALUE"""),"https://drive.google.com/file/d/1_XIb8XExYy3JZxeSCF-JlRxgRx2GbqlJ/view?usp=drivesdk")</f>
        <v>https://drive.google.com/file/d/1_XIb8XExYy3JZxeSCF-JlRxgRx2GbqlJ/view?usp=drivesdk</v>
      </c>
      <c r="D6354" s="12"/>
      <c r="E6354" s="11">
        <v>6402.0</v>
      </c>
      <c r="F6354" s="2"/>
    </row>
    <row r="6355" ht="1.5" customHeight="1">
      <c r="A6355" s="4" t="str">
        <f>IFERROR(__xludf.DUMMYFUNCTION("""COMPUTED_VALUE"""),"1. Microwave")</f>
        <v>1. Microwave</v>
      </c>
      <c r="B6355" s="4" t="str">
        <f>IFERROR(__xludf.DUMMYFUNCTION("""COMPUTED_VALUE"""),"1")</f>
        <v>1</v>
      </c>
      <c r="C6355" s="5" t="str">
        <f>IFERROR(__xludf.DUMMYFUNCTION("""COMPUTED_VALUE"""),"https://drive.google.com/file/d/1nksBf289ZIQwdkzqhqB_FgD6w0wsZ-ZO/view?usp=drivesdk")</f>
        <v>https://drive.google.com/file/d/1nksBf289ZIQwdkzqhqB_FgD6w0wsZ-ZO/view?usp=drivesdk</v>
      </c>
      <c r="D6355" s="12"/>
      <c r="E6355" s="11">
        <v>6403.0</v>
      </c>
      <c r="F6355" s="2"/>
    </row>
    <row r="6356" ht="1.5" customHeight="1">
      <c r="A6356" s="4" t="str">
        <f>IFERROR(__xludf.DUMMYFUNCTION("""COMPUTED_VALUE"""),"1. Microwave")</f>
        <v>1. Microwave</v>
      </c>
      <c r="B6356" s="4" t="str">
        <f>IFERROR(__xludf.DUMMYFUNCTION("""COMPUTED_VALUE"""),"1")</f>
        <v>1</v>
      </c>
      <c r="C6356" s="5" t="str">
        <f>IFERROR(__xludf.DUMMYFUNCTION("""COMPUTED_VALUE"""),"https://drive.google.com/file/d/19YVSwzqoQUfFs0TTHDh3v2Togt_D-Xh5/view?usp=drivesdk")</f>
        <v>https://drive.google.com/file/d/19YVSwzqoQUfFs0TTHDh3v2Togt_D-Xh5/view?usp=drivesdk</v>
      </c>
      <c r="D6356" s="12"/>
      <c r="E6356" s="11">
        <v>6404.0</v>
      </c>
      <c r="F6356" s="2"/>
    </row>
    <row r="6357" ht="1.5" customHeight="1">
      <c r="A6357" s="4" t="str">
        <f>IFERROR(__xludf.DUMMYFUNCTION("""COMPUTED_VALUE"""),"1. Microwave")</f>
        <v>1. Microwave</v>
      </c>
      <c r="B6357" s="4" t="str">
        <f>IFERROR(__xludf.DUMMYFUNCTION("""COMPUTED_VALUE"""),"1")</f>
        <v>1</v>
      </c>
      <c r="C6357" s="5" t="str">
        <f>IFERROR(__xludf.DUMMYFUNCTION("""COMPUTED_VALUE"""),"https://drive.google.com/file/d/1KatKxm3a4R-g2nnmIVwhovAdQJFwyE5b/view?usp=drivesdk")</f>
        <v>https://drive.google.com/file/d/1KatKxm3a4R-g2nnmIVwhovAdQJFwyE5b/view?usp=drivesdk</v>
      </c>
      <c r="D6357" s="12"/>
      <c r="E6357" s="11">
        <v>6405.0</v>
      </c>
      <c r="F6357" s="2"/>
    </row>
    <row r="6358" ht="1.5" customHeight="1">
      <c r="A6358" s="4" t="str">
        <f>IFERROR(__xludf.DUMMYFUNCTION("""COMPUTED_VALUE"""),"1. Microwave")</f>
        <v>1. Microwave</v>
      </c>
      <c r="B6358" s="4" t="str">
        <f>IFERROR(__xludf.DUMMYFUNCTION("""COMPUTED_VALUE"""),"1")</f>
        <v>1</v>
      </c>
      <c r="C6358" s="5" t="str">
        <f>IFERROR(__xludf.DUMMYFUNCTION("""COMPUTED_VALUE"""),"https://drive.google.com/file/d/17CeD0vY2pC0VTlHZ1WEyxXcsLdA_K8o8/view?usp=drivesdk")</f>
        <v>https://drive.google.com/file/d/17CeD0vY2pC0VTlHZ1WEyxXcsLdA_K8o8/view?usp=drivesdk</v>
      </c>
      <c r="D6358" s="12"/>
      <c r="E6358" s="11">
        <v>6406.0</v>
      </c>
      <c r="F6358" s="2"/>
    </row>
    <row r="6359" ht="1.5" customHeight="1">
      <c r="A6359" s="4" t="str">
        <f>IFERROR(__xludf.DUMMYFUNCTION("""COMPUTED_VALUE"""),"5. Eraser")</f>
        <v>5. Eraser</v>
      </c>
      <c r="B6359" s="4" t="str">
        <f>IFERROR(__xludf.DUMMYFUNCTION("""COMPUTED_VALUE"""),"5")</f>
        <v>5</v>
      </c>
      <c r="C6359" s="5" t="str">
        <f>IFERROR(__xludf.DUMMYFUNCTION("""COMPUTED_VALUE"""),"https://drive.google.com/file/d/1Jypsuqne3m1nn6n8MHgFJYBucBCAITaA/view?usp=drivesdk")</f>
        <v>https://drive.google.com/file/d/1Jypsuqne3m1nn6n8MHgFJYBucBCAITaA/view?usp=drivesdk</v>
      </c>
      <c r="D6359" s="12"/>
      <c r="E6359" s="11">
        <v>6407.0</v>
      </c>
      <c r="F6359" s="2"/>
    </row>
    <row r="6360" ht="1.5" customHeight="1">
      <c r="A6360" s="4" t="str">
        <f>IFERROR(__xludf.DUMMYFUNCTION("""COMPUTED_VALUE"""),"5. Eraser")</f>
        <v>5. Eraser</v>
      </c>
      <c r="B6360" s="4" t="str">
        <f>IFERROR(__xludf.DUMMYFUNCTION("""COMPUTED_VALUE"""),"5")</f>
        <v>5</v>
      </c>
      <c r="C6360" s="5" t="str">
        <f>IFERROR(__xludf.DUMMYFUNCTION("""COMPUTED_VALUE"""),"https://drive.google.com/file/d/1Llvq3udIMF9QL1pYBF1Au3gsgwuDxwL4/view?usp=drivesdk")</f>
        <v>https://drive.google.com/file/d/1Llvq3udIMF9QL1pYBF1Au3gsgwuDxwL4/view?usp=drivesdk</v>
      </c>
      <c r="D6360" s="12"/>
      <c r="E6360" s="11">
        <v>6408.0</v>
      </c>
      <c r="F6360" s="2"/>
    </row>
    <row r="6361" ht="1.5" customHeight="1">
      <c r="A6361" s="4" t="str">
        <f>IFERROR(__xludf.DUMMYFUNCTION("""COMPUTED_VALUE"""),"2. Twix")</f>
        <v>2. Twix</v>
      </c>
      <c r="B6361" s="4" t="str">
        <f>IFERROR(__xludf.DUMMYFUNCTION("""COMPUTED_VALUE"""),"2")</f>
        <v>2</v>
      </c>
      <c r="C6361" s="5" t="str">
        <f>IFERROR(__xludf.DUMMYFUNCTION("""COMPUTED_VALUE"""),"https://drive.google.com/file/d/1oB7HKPsXjPc2BIZfEBp0FQRyFdX0wOO7/view?usp=drivesdk")</f>
        <v>https://drive.google.com/file/d/1oB7HKPsXjPc2BIZfEBp0FQRyFdX0wOO7/view?usp=drivesdk</v>
      </c>
      <c r="D6361" s="12"/>
      <c r="E6361" s="11">
        <v>6409.0</v>
      </c>
      <c r="F6361" s="2"/>
    </row>
    <row r="6362" ht="1.5" customHeight="1">
      <c r="A6362" s="4" t="str">
        <f>IFERROR(__xludf.DUMMYFUNCTION("""COMPUTED_VALUE"""),"2. Twix")</f>
        <v>2. Twix</v>
      </c>
      <c r="B6362" s="4" t="str">
        <f>IFERROR(__xludf.DUMMYFUNCTION("""COMPUTED_VALUE"""),"2")</f>
        <v>2</v>
      </c>
      <c r="C6362" s="5" t="str">
        <f>IFERROR(__xludf.DUMMYFUNCTION("""COMPUTED_VALUE"""),"https://drive.google.com/file/d/1Yhh5fvsab0-eEL_JLk4QUrswSqlh1b2w/view?usp=drivesdk")</f>
        <v>https://drive.google.com/file/d/1Yhh5fvsab0-eEL_JLk4QUrswSqlh1b2w/view?usp=drivesdk</v>
      </c>
      <c r="D6362" s="12"/>
      <c r="E6362" s="11">
        <v>6410.0</v>
      </c>
      <c r="F6362" s="2"/>
    </row>
    <row r="6363" ht="1.5" customHeight="1">
      <c r="A6363" s="4" t="str">
        <f>IFERROR(__xludf.DUMMYFUNCTION("""COMPUTED_VALUE"""),"4. Eggs, 5. Eraser")</f>
        <v>4. Eggs, 5. Eraser</v>
      </c>
      <c r="B6363" s="4" t="str">
        <f>IFERROR(__xludf.DUMMYFUNCTION("""COMPUTED_VALUE"""),"4, 5")</f>
        <v>4, 5</v>
      </c>
      <c r="C6363" s="5" t="str">
        <f>IFERROR(__xludf.DUMMYFUNCTION("""COMPUTED_VALUE"""),"https://drive.google.com/file/d/1-g5v4RYow82vvAbgH32SjGQmIJCCDGMY/view?usp=drivesdk")</f>
        <v>https://drive.google.com/file/d/1-g5v4RYow82vvAbgH32SjGQmIJCCDGMY/view?usp=drivesdk</v>
      </c>
      <c r="D6363" s="12"/>
      <c r="E6363" s="11">
        <v>6411.0</v>
      </c>
      <c r="F6363" s="2"/>
    </row>
    <row r="6364" ht="1.5" customHeight="1">
      <c r="A6364" s="4" t="str">
        <f>IFERROR(__xludf.DUMMYFUNCTION("""COMPUTED_VALUE"""),"4. Eggs, 5. Eraser")</f>
        <v>4. Eggs, 5. Eraser</v>
      </c>
      <c r="B6364" s="4" t="str">
        <f>IFERROR(__xludf.DUMMYFUNCTION("""COMPUTED_VALUE"""),"4, 5")</f>
        <v>4, 5</v>
      </c>
      <c r="C6364" s="5" t="str">
        <f>IFERROR(__xludf.DUMMYFUNCTION("""COMPUTED_VALUE"""),"https://drive.google.com/file/d/1vfhkr8nmkbIi1gUKkB9MOvYb82_AvsRK/view?usp=drivesdk")</f>
        <v>https://drive.google.com/file/d/1vfhkr8nmkbIi1gUKkB9MOvYb82_AvsRK/view?usp=drivesdk</v>
      </c>
      <c r="D6364" s="12"/>
      <c r="E6364" s="11">
        <v>6412.0</v>
      </c>
      <c r="F6364" s="2"/>
    </row>
    <row r="6365" ht="1.5" customHeight="1">
      <c r="A6365" s="4" t="str">
        <f>IFERROR(__xludf.DUMMYFUNCTION("""COMPUTED_VALUE"""),"2. Twix")</f>
        <v>2. Twix</v>
      </c>
      <c r="B6365" s="4" t="str">
        <f>IFERROR(__xludf.DUMMYFUNCTION("""COMPUTED_VALUE"""),"2")</f>
        <v>2</v>
      </c>
      <c r="C6365" s="5" t="str">
        <f>IFERROR(__xludf.DUMMYFUNCTION("""COMPUTED_VALUE"""),"https://drive.google.com/file/d/1Y1p4_osoeNvkYeEHo8pRB0QFgINwHHRf/view?usp=drivesdk")</f>
        <v>https://drive.google.com/file/d/1Y1p4_osoeNvkYeEHo8pRB0QFgINwHHRf/view?usp=drivesdk</v>
      </c>
      <c r="D6365" s="12"/>
      <c r="E6365" s="11">
        <v>6413.0</v>
      </c>
      <c r="F6365" s="2"/>
    </row>
    <row r="6366" ht="1.5" customHeight="1">
      <c r="A6366" s="4" t="str">
        <f>IFERROR(__xludf.DUMMYFUNCTION("""COMPUTED_VALUE"""),"5. Eraser")</f>
        <v>5. Eraser</v>
      </c>
      <c r="B6366" s="4" t="str">
        <f>IFERROR(__xludf.DUMMYFUNCTION("""COMPUTED_VALUE"""),"5")</f>
        <v>5</v>
      </c>
      <c r="C6366" s="5" t="str">
        <f>IFERROR(__xludf.DUMMYFUNCTION("""COMPUTED_VALUE"""),"https://drive.google.com/file/d/1lM_zvhH2XhqCwqDJRgD5FsvlROCHVe7C/view?usp=drivesdk")</f>
        <v>https://drive.google.com/file/d/1lM_zvhH2XhqCwqDJRgD5FsvlROCHVe7C/view?usp=drivesdk</v>
      </c>
      <c r="D6366" s="12"/>
      <c r="E6366" s="11">
        <v>6414.0</v>
      </c>
      <c r="F6366" s="2"/>
    </row>
    <row r="6367" ht="1.5" customHeight="1">
      <c r="A6367" s="4" t="str">
        <f>IFERROR(__xludf.DUMMYFUNCTION("""COMPUTED_VALUE"""),"2. Twix")</f>
        <v>2. Twix</v>
      </c>
      <c r="B6367" s="4" t="str">
        <f>IFERROR(__xludf.DUMMYFUNCTION("""COMPUTED_VALUE"""),"2")</f>
        <v>2</v>
      </c>
      <c r="C6367" s="5" t="str">
        <f>IFERROR(__xludf.DUMMYFUNCTION("""COMPUTED_VALUE"""),"https://drive.google.com/file/d/1dpqCpLVeQhqBoNcLyOwlFEbEgQwowFsZ/view?usp=drivesdk")</f>
        <v>https://drive.google.com/file/d/1dpqCpLVeQhqBoNcLyOwlFEbEgQwowFsZ/view?usp=drivesdk</v>
      </c>
      <c r="D6367" s="12"/>
      <c r="E6367" s="11">
        <v>6415.0</v>
      </c>
      <c r="F6367" s="2"/>
    </row>
    <row r="6368" ht="1.5" customHeight="1">
      <c r="A6368" s="4" t="str">
        <f>IFERROR(__xludf.DUMMYFUNCTION("""COMPUTED_VALUE"""),"1. Microwave")</f>
        <v>1. Microwave</v>
      </c>
      <c r="B6368" s="4" t="str">
        <f>IFERROR(__xludf.DUMMYFUNCTION("""COMPUTED_VALUE"""),"1")</f>
        <v>1</v>
      </c>
      <c r="C6368" s="5" t="str">
        <f>IFERROR(__xludf.DUMMYFUNCTION("""COMPUTED_VALUE"""),"https://drive.google.com/file/d/1LfdOomQlOYxBcremv2Z_QlgUtkIXCE49/view?usp=drivesdk")</f>
        <v>https://drive.google.com/file/d/1LfdOomQlOYxBcremv2Z_QlgUtkIXCE49/view?usp=drivesdk</v>
      </c>
      <c r="D6368" s="12"/>
      <c r="E6368" s="11">
        <v>6416.0</v>
      </c>
      <c r="F6368" s="2"/>
    </row>
    <row r="6369" ht="1.5" customHeight="1">
      <c r="A6369" s="4" t="str">
        <f>IFERROR(__xludf.DUMMYFUNCTION("""COMPUTED_VALUE"""),"1. Microwave")</f>
        <v>1. Microwave</v>
      </c>
      <c r="B6369" s="4" t="str">
        <f>IFERROR(__xludf.DUMMYFUNCTION("""COMPUTED_VALUE"""),"1")</f>
        <v>1</v>
      </c>
      <c r="C6369" s="5" t="str">
        <f>IFERROR(__xludf.DUMMYFUNCTION("""COMPUTED_VALUE"""),"https://drive.google.com/file/d/1hyf7IoiDV-tRKWKjO9E2DaRPEAD3HsrK/view?usp=drivesdk")</f>
        <v>https://drive.google.com/file/d/1hyf7IoiDV-tRKWKjO9E2DaRPEAD3HsrK/view?usp=drivesdk</v>
      </c>
      <c r="D6369" s="12"/>
      <c r="E6369" s="11">
        <v>6417.0</v>
      </c>
      <c r="F6369" s="2"/>
    </row>
    <row r="6370" ht="1.5" customHeight="1">
      <c r="A6370" s="4" t="str">
        <f>IFERROR(__xludf.DUMMYFUNCTION("""COMPUTED_VALUE"""),"2. Twix")</f>
        <v>2. Twix</v>
      </c>
      <c r="B6370" s="4" t="str">
        <f>IFERROR(__xludf.DUMMYFUNCTION("""COMPUTED_VALUE"""),"2")</f>
        <v>2</v>
      </c>
      <c r="C6370" s="5" t="str">
        <f>IFERROR(__xludf.DUMMYFUNCTION("""COMPUTED_VALUE"""),"https://drive.google.com/file/d/1ZL9gg8VbyuA0ly81-835e8Y0eTEooeWH/view?usp=drivesdk")</f>
        <v>https://drive.google.com/file/d/1ZL9gg8VbyuA0ly81-835e8Y0eTEooeWH/view?usp=drivesdk</v>
      </c>
      <c r="D6370" s="12"/>
      <c r="E6370" s="11">
        <v>6418.0</v>
      </c>
      <c r="F6370" s="2"/>
    </row>
    <row r="6371" ht="1.5" customHeight="1">
      <c r="A6371" s="4" t="str">
        <f>IFERROR(__xludf.DUMMYFUNCTION("""COMPUTED_VALUE"""),"1. Microwave")</f>
        <v>1. Microwave</v>
      </c>
      <c r="B6371" s="4" t="str">
        <f>IFERROR(__xludf.DUMMYFUNCTION("""COMPUTED_VALUE"""),"1")</f>
        <v>1</v>
      </c>
      <c r="C6371" s="5" t="str">
        <f>IFERROR(__xludf.DUMMYFUNCTION("""COMPUTED_VALUE"""),"https://drive.google.com/file/d/18lChKaFB8qdbayP4R7x3EqtPeJPjEFnu/view?usp=drivesdk")</f>
        <v>https://drive.google.com/file/d/18lChKaFB8qdbayP4R7x3EqtPeJPjEFnu/view?usp=drivesdk</v>
      </c>
      <c r="D6371" s="12"/>
      <c r="E6371" s="11">
        <v>6419.0</v>
      </c>
      <c r="F6371" s="2"/>
    </row>
    <row r="6372" ht="1.5" customHeight="1">
      <c r="A6372" s="4" t="str">
        <f>IFERROR(__xludf.DUMMYFUNCTION("""COMPUTED_VALUE"""),"1. Microwave")</f>
        <v>1. Microwave</v>
      </c>
      <c r="B6372" s="4" t="str">
        <f>IFERROR(__xludf.DUMMYFUNCTION("""COMPUTED_VALUE"""),"1")</f>
        <v>1</v>
      </c>
      <c r="C6372" s="5" t="str">
        <f>IFERROR(__xludf.DUMMYFUNCTION("""COMPUTED_VALUE"""),"https://drive.google.com/file/d/1jISfVRokReyelHw7H5DEpM7ywJwpy-Q-/view?usp=drivesdk")</f>
        <v>https://drive.google.com/file/d/1jISfVRokReyelHw7H5DEpM7ywJwpy-Q-/view?usp=drivesdk</v>
      </c>
      <c r="D6372" s="12"/>
      <c r="E6372" s="11">
        <v>6420.0</v>
      </c>
      <c r="F6372" s="2"/>
    </row>
    <row r="6373" ht="1.5" customHeight="1">
      <c r="A6373" s="4" t="str">
        <f>IFERROR(__xludf.DUMMYFUNCTION("""COMPUTED_VALUE"""),"2. Twix")</f>
        <v>2. Twix</v>
      </c>
      <c r="B6373" s="4" t="str">
        <f>IFERROR(__xludf.DUMMYFUNCTION("""COMPUTED_VALUE"""),"2")</f>
        <v>2</v>
      </c>
      <c r="C6373" s="5" t="str">
        <f>IFERROR(__xludf.DUMMYFUNCTION("""COMPUTED_VALUE"""),"https://drive.google.com/file/d/1B1RMxeYjePfb2rNYs1BzABwFyLy-1fJV/view?usp=drivesdk")</f>
        <v>https://drive.google.com/file/d/1B1RMxeYjePfb2rNYs1BzABwFyLy-1fJV/view?usp=drivesdk</v>
      </c>
      <c r="D6373" s="12"/>
      <c r="E6373" s="11">
        <v>6421.0</v>
      </c>
      <c r="F6373" s="2"/>
    </row>
    <row r="6374" ht="1.5" customHeight="1">
      <c r="A6374" s="4" t="str">
        <f>IFERROR(__xludf.DUMMYFUNCTION("""COMPUTED_VALUE"""),"122. BDubs")</f>
        <v>122. BDubs</v>
      </c>
      <c r="B6374" s="4" t="str">
        <f>IFERROR(__xludf.DUMMYFUNCTION("""COMPUTED_VALUE"""),"122")</f>
        <v>122</v>
      </c>
      <c r="C6374" s="5" t="str">
        <f>IFERROR(__xludf.DUMMYFUNCTION("""COMPUTED_VALUE"""),"https://drive.google.com/file/d/1Oie8oM0le3rtpbrXtmXP4lMzZk4C1mmh/view?usp=drivesdk")</f>
        <v>https://drive.google.com/file/d/1Oie8oM0le3rtpbrXtmXP4lMzZk4C1mmh/view?usp=drivesdk</v>
      </c>
      <c r="D6374" s="12"/>
      <c r="E6374" s="11">
        <v>6422.0</v>
      </c>
      <c r="F6374" s="2"/>
    </row>
    <row r="6375" ht="1.5" customHeight="1">
      <c r="A6375" s="4" t="str">
        <f>IFERROR(__xludf.DUMMYFUNCTION("""COMPUTED_VALUE"""),"122. BDubs")</f>
        <v>122. BDubs</v>
      </c>
      <c r="B6375" s="4" t="str">
        <f>IFERROR(__xludf.DUMMYFUNCTION("""COMPUTED_VALUE"""),"122")</f>
        <v>122</v>
      </c>
      <c r="C6375" s="5" t="str">
        <f>IFERROR(__xludf.DUMMYFUNCTION("""COMPUTED_VALUE"""),"https://drive.google.com/file/d/1afnwoj2MnT_gUQkRtJE8EEjNQ05_Tn17/view?usp=drivesdk")</f>
        <v>https://drive.google.com/file/d/1afnwoj2MnT_gUQkRtJE8EEjNQ05_Tn17/view?usp=drivesdk</v>
      </c>
      <c r="D6375" s="12"/>
      <c r="E6375" s="11">
        <v>6423.0</v>
      </c>
      <c r="F6375" s="2"/>
    </row>
    <row r="6376" ht="1.5" customHeight="1">
      <c r="A6376" s="4" t="str">
        <f>IFERROR(__xludf.DUMMYFUNCTION("""COMPUTED_VALUE"""),"4. Eggs, 5. Eraser")</f>
        <v>4. Eggs, 5. Eraser</v>
      </c>
      <c r="B6376" s="4" t="str">
        <f>IFERROR(__xludf.DUMMYFUNCTION("""COMPUTED_VALUE"""),"4, 5")</f>
        <v>4, 5</v>
      </c>
      <c r="C6376" s="5" t="str">
        <f>IFERROR(__xludf.DUMMYFUNCTION("""COMPUTED_VALUE"""),"https://drive.google.com/file/d/1CYm7baFHrDFlp3Yzsnak4x6k-nwAHTL5/view?usp=drivesdk")</f>
        <v>https://drive.google.com/file/d/1CYm7baFHrDFlp3Yzsnak4x6k-nwAHTL5/view?usp=drivesdk</v>
      </c>
      <c r="D6376" s="12"/>
      <c r="E6376" s="11">
        <v>6424.0</v>
      </c>
      <c r="F6376" s="2"/>
    </row>
    <row r="6377" ht="1.5" customHeight="1">
      <c r="A6377" s="4" t="str">
        <f>IFERROR(__xludf.DUMMYFUNCTION("""COMPUTED_VALUE"""),"4. Eggs, 5. Eraser")</f>
        <v>4. Eggs, 5. Eraser</v>
      </c>
      <c r="B6377" s="4" t="str">
        <f>IFERROR(__xludf.DUMMYFUNCTION("""COMPUTED_VALUE"""),"4, 5")</f>
        <v>4, 5</v>
      </c>
      <c r="C6377" s="5" t="str">
        <f>IFERROR(__xludf.DUMMYFUNCTION("""COMPUTED_VALUE"""),"https://drive.google.com/file/d/1bcDN9zANrCKcLS2JqC4E1v2_5TgCO8eS/view?usp=drivesdk")</f>
        <v>https://drive.google.com/file/d/1bcDN9zANrCKcLS2JqC4E1v2_5TgCO8eS/view?usp=drivesdk</v>
      </c>
      <c r="D6377" s="12"/>
      <c r="E6377" s="11">
        <v>6425.0</v>
      </c>
      <c r="F6377" s="2"/>
    </row>
    <row r="6378" ht="1.5" customHeight="1">
      <c r="A6378" s="4" t="str">
        <f>IFERROR(__xludf.DUMMYFUNCTION("""COMPUTED_VALUE"""),"4. Eggs, 5. Eraser")</f>
        <v>4. Eggs, 5. Eraser</v>
      </c>
      <c r="B6378" s="4" t="str">
        <f>IFERROR(__xludf.DUMMYFUNCTION("""COMPUTED_VALUE"""),"4, 5")</f>
        <v>4, 5</v>
      </c>
      <c r="C6378" s="5" t="str">
        <f>IFERROR(__xludf.DUMMYFUNCTION("""COMPUTED_VALUE"""),"https://drive.google.com/file/d/1n9ToBR6w1n9DRvKhAUhwneNC7NiL6yea/view?usp=drivesdk")</f>
        <v>https://drive.google.com/file/d/1n9ToBR6w1n9DRvKhAUhwneNC7NiL6yea/view?usp=drivesdk</v>
      </c>
      <c r="D6378" s="12"/>
      <c r="E6378" s="11">
        <v>6426.0</v>
      </c>
      <c r="F6378" s="2"/>
    </row>
    <row r="6379" ht="1.5" customHeight="1">
      <c r="A6379" s="4" t="str">
        <f>IFERROR(__xludf.DUMMYFUNCTION("""COMPUTED_VALUE"""),"51. Odin")</f>
        <v>51. Odin</v>
      </c>
      <c r="B6379" s="4" t="str">
        <f>IFERROR(__xludf.DUMMYFUNCTION("""COMPUTED_VALUE"""),"51")</f>
        <v>51</v>
      </c>
      <c r="C6379" s="5" t="str">
        <f>IFERROR(__xludf.DUMMYFUNCTION("""COMPUTED_VALUE"""),"https://drive.google.com/file/d/1L9nwIeieRNFQ4VNjAgh5cNEwkHB-XQUR/view?usp=drivesdk")</f>
        <v>https://drive.google.com/file/d/1L9nwIeieRNFQ4VNjAgh5cNEwkHB-XQUR/view?usp=drivesdk</v>
      </c>
      <c r="D6379" s="12"/>
      <c r="E6379" s="11">
        <v>6427.0</v>
      </c>
      <c r="F6379" s="2"/>
    </row>
    <row r="6380" ht="1.5" customHeight="1">
      <c r="A6380" s="4" t="str">
        <f>IFERROR(__xludf.DUMMYFUNCTION("""COMPUTED_VALUE"""),"49. Freya, 50. Thor")</f>
        <v>49. Freya, 50. Thor</v>
      </c>
      <c r="B6380" s="4" t="str">
        <f>IFERROR(__xludf.DUMMYFUNCTION("""COMPUTED_VALUE"""),"49, 50")</f>
        <v>49, 50</v>
      </c>
      <c r="C6380" s="5" t="str">
        <f>IFERROR(__xludf.DUMMYFUNCTION("""COMPUTED_VALUE"""),"https://drive.google.com/file/d/1ccCh5K4EgIDT0ITEEMGQfNFfj1zBEqST/view?usp=drivesdk")</f>
        <v>https://drive.google.com/file/d/1ccCh5K4EgIDT0ITEEMGQfNFfj1zBEqST/view?usp=drivesdk</v>
      </c>
      <c r="D6380" s="12"/>
      <c r="E6380" s="11">
        <v>6428.0</v>
      </c>
      <c r="F6380" s="2"/>
    </row>
    <row r="6381" ht="1.5" customHeight="1">
      <c r="A6381" s="4" t="str">
        <f>IFERROR(__xludf.DUMMYFUNCTION("""COMPUTED_VALUE"""),"49. Freya, 50. Thor, 51. Odin")</f>
        <v>49. Freya, 50. Thor, 51. Odin</v>
      </c>
      <c r="B6381" s="4" t="str">
        <f>IFERROR(__xludf.DUMMYFUNCTION("""COMPUTED_VALUE"""),"49, 50, 51")</f>
        <v>49, 50, 51</v>
      </c>
      <c r="C6381" s="5" t="str">
        <f>IFERROR(__xludf.DUMMYFUNCTION("""COMPUTED_VALUE"""),"https://drive.google.com/file/d/1H7Gs0tHc1bDCAtSy0Tu-vFgDnUejEHoL/view?usp=drivesdk")</f>
        <v>https://drive.google.com/file/d/1H7Gs0tHc1bDCAtSy0Tu-vFgDnUejEHoL/view?usp=drivesdk</v>
      </c>
      <c r="D6381" s="12"/>
      <c r="E6381" s="11">
        <v>6429.0</v>
      </c>
      <c r="F6381" s="2"/>
    </row>
    <row r="6382" ht="1.5" customHeight="1">
      <c r="A6382" s="4" t="str">
        <f>IFERROR(__xludf.DUMMYFUNCTION("""COMPUTED_VALUE"""),"1. Microwave")</f>
        <v>1. Microwave</v>
      </c>
      <c r="B6382" s="4" t="str">
        <f>IFERROR(__xludf.DUMMYFUNCTION("""COMPUTED_VALUE"""),"1")</f>
        <v>1</v>
      </c>
      <c r="C6382" s="5" t="str">
        <f>IFERROR(__xludf.DUMMYFUNCTION("""COMPUTED_VALUE"""),"https://drive.google.com/file/d/1im8-joCMNFD53daeHUkXdKcKH_jGiEzv/view?usp=drivesdk")</f>
        <v>https://drive.google.com/file/d/1im8-joCMNFD53daeHUkXdKcKH_jGiEzv/view?usp=drivesdk</v>
      </c>
      <c r="D6382" s="12"/>
      <c r="E6382" s="11">
        <v>6430.0</v>
      </c>
      <c r="F6382" s="2"/>
    </row>
    <row r="6383" ht="1.5" customHeight="1">
      <c r="A6383" s="4" t="str">
        <f>IFERROR(__xludf.DUMMYFUNCTION("""COMPUTED_VALUE"""),"1. Microwave")</f>
        <v>1. Microwave</v>
      </c>
      <c r="B6383" s="4" t="str">
        <f>IFERROR(__xludf.DUMMYFUNCTION("""COMPUTED_VALUE"""),"1")</f>
        <v>1</v>
      </c>
      <c r="C6383" s="5" t="str">
        <f>IFERROR(__xludf.DUMMYFUNCTION("""COMPUTED_VALUE"""),"https://drive.google.com/file/d/1lNa3HY6aiMC7AWvWo0xiAbnhNSorqabT/view?usp=drivesdk")</f>
        <v>https://drive.google.com/file/d/1lNa3HY6aiMC7AWvWo0xiAbnhNSorqabT/view?usp=drivesdk</v>
      </c>
      <c r="D6383" s="12"/>
      <c r="E6383" s="11">
        <v>6431.0</v>
      </c>
      <c r="F6383" s="2"/>
    </row>
    <row r="6384" ht="1.5" customHeight="1">
      <c r="A6384" s="4" t="str">
        <f>IFERROR(__xludf.DUMMYFUNCTION("""COMPUTED_VALUE"""),"1. Microwave")</f>
        <v>1. Microwave</v>
      </c>
      <c r="B6384" s="4" t="str">
        <f>IFERROR(__xludf.DUMMYFUNCTION("""COMPUTED_VALUE"""),"1")</f>
        <v>1</v>
      </c>
      <c r="C6384" s="5" t="str">
        <f>IFERROR(__xludf.DUMMYFUNCTION("""COMPUTED_VALUE"""),"https://drive.google.com/file/d/1i9yQemsJrSPO9QjHGh-tAXddeD0Q3rm9/view?usp=drivesdk")</f>
        <v>https://drive.google.com/file/d/1i9yQemsJrSPO9QjHGh-tAXddeD0Q3rm9/view?usp=drivesdk</v>
      </c>
      <c r="D6384" s="12"/>
      <c r="E6384" s="11">
        <v>6432.0</v>
      </c>
      <c r="F6384" s="2"/>
    </row>
    <row r="6385" ht="1.5" customHeight="1">
      <c r="A6385" s="4" t="str">
        <f>IFERROR(__xludf.DUMMYFUNCTION("""COMPUTED_VALUE"""),"1. Microwave")</f>
        <v>1. Microwave</v>
      </c>
      <c r="B6385" s="4" t="str">
        <f>IFERROR(__xludf.DUMMYFUNCTION("""COMPUTED_VALUE"""),"1")</f>
        <v>1</v>
      </c>
      <c r="C6385" s="5" t="str">
        <f>IFERROR(__xludf.DUMMYFUNCTION("""COMPUTED_VALUE"""),"https://drive.google.com/file/d/1Vttk5_B-Dg87_G9mM8lL49dREPLsnr3q/view?usp=drivesdk")</f>
        <v>https://drive.google.com/file/d/1Vttk5_B-Dg87_G9mM8lL49dREPLsnr3q/view?usp=drivesdk</v>
      </c>
      <c r="D6385" s="12"/>
      <c r="E6385" s="11">
        <v>6433.0</v>
      </c>
      <c r="F6385" s="2"/>
    </row>
    <row r="6386" ht="1.5" customHeight="1">
      <c r="A6386" s="4" t="str">
        <f>IFERROR(__xludf.DUMMYFUNCTION("""COMPUTED_VALUE"""),"1. Microwave")</f>
        <v>1. Microwave</v>
      </c>
      <c r="B6386" s="4" t="str">
        <f>IFERROR(__xludf.DUMMYFUNCTION("""COMPUTED_VALUE"""),"1")</f>
        <v>1</v>
      </c>
      <c r="C6386" s="5" t="str">
        <f>IFERROR(__xludf.DUMMYFUNCTION("""COMPUTED_VALUE"""),"https://drive.google.com/file/d/1pyknxLA4pVg0ekTHWUS6mx4lMab-F4JW/view?usp=drivesdk")</f>
        <v>https://drive.google.com/file/d/1pyknxLA4pVg0ekTHWUS6mx4lMab-F4JW/view?usp=drivesdk</v>
      </c>
      <c r="D6386" s="12"/>
      <c r="E6386" s="11">
        <v>6434.0</v>
      </c>
      <c r="F6386" s="2"/>
    </row>
    <row r="6387" ht="1.5" customHeight="1">
      <c r="A6387" s="4" t="str">
        <f>IFERROR(__xludf.DUMMYFUNCTION("""COMPUTED_VALUE"""),"1. Microwave")</f>
        <v>1. Microwave</v>
      </c>
      <c r="B6387" s="4" t="str">
        <f>IFERROR(__xludf.DUMMYFUNCTION("""COMPUTED_VALUE"""),"1")</f>
        <v>1</v>
      </c>
      <c r="C6387" s="5" t="str">
        <f>IFERROR(__xludf.DUMMYFUNCTION("""COMPUTED_VALUE"""),"https://drive.google.com/file/d/1DaUbXcUGEIaLpknwkD9ZXcGPrKF_araG/view?usp=drivesdk")</f>
        <v>https://drive.google.com/file/d/1DaUbXcUGEIaLpknwkD9ZXcGPrKF_araG/view?usp=drivesdk</v>
      </c>
      <c r="D6387" s="12"/>
      <c r="E6387" s="11">
        <v>6435.0</v>
      </c>
      <c r="F6387" s="2"/>
    </row>
    <row r="6388" ht="1.5" customHeight="1">
      <c r="A6388" s="4" t="str">
        <f>IFERROR(__xludf.DUMMYFUNCTION("""COMPUTED_VALUE"""),"1. Microwave")</f>
        <v>1. Microwave</v>
      </c>
      <c r="B6388" s="4" t="str">
        <f>IFERROR(__xludf.DUMMYFUNCTION("""COMPUTED_VALUE"""),"1")</f>
        <v>1</v>
      </c>
      <c r="C6388" s="5" t="str">
        <f>IFERROR(__xludf.DUMMYFUNCTION("""COMPUTED_VALUE"""),"https://drive.google.com/file/d/1KaLvfcGGvNHB6lkvrpqNZ-paOOknVTJh/view?usp=drivesdk")</f>
        <v>https://drive.google.com/file/d/1KaLvfcGGvNHB6lkvrpqNZ-paOOknVTJh/view?usp=drivesdk</v>
      </c>
      <c r="D6388" s="12"/>
      <c r="E6388" s="11">
        <v>6436.0</v>
      </c>
      <c r="F6388" s="2"/>
    </row>
    <row r="6389" ht="1.5" customHeight="1">
      <c r="A6389" s="4" t="str">
        <f>IFERROR(__xludf.DUMMYFUNCTION("""COMPUTED_VALUE"""),"109. Tlalli, 111. Mayatl, 106. Ami")</f>
        <v>109. Tlalli, 111. Mayatl, 106. Ami</v>
      </c>
      <c r="B6389" s="4" t="str">
        <f>IFERROR(__xludf.DUMMYFUNCTION("""COMPUTED_VALUE"""),"109, 111, 106")</f>
        <v>109, 111, 106</v>
      </c>
      <c r="C6389" s="5" t="str">
        <f>IFERROR(__xludf.DUMMYFUNCTION("""COMPUTED_VALUE"""),"https://drive.google.com/file/d/1uSUF-uAUO12F_9VsDyJTIJT1TsDeVTiR/view?usp=drivesdk")</f>
        <v>https://drive.google.com/file/d/1uSUF-uAUO12F_9VsDyJTIJT1TsDeVTiR/view?usp=drivesdk</v>
      </c>
      <c r="D6389" s="12"/>
      <c r="E6389" s="11">
        <v>6437.0</v>
      </c>
      <c r="F6389" s="2"/>
    </row>
    <row r="6390" ht="1.5" customHeight="1">
      <c r="A6390" s="4" t="str">
        <f>IFERROR(__xludf.DUMMYFUNCTION("""COMPUTED_VALUE"""),"99. Nezhui, 111. Mayatl, 109. Tlalli, 106. Ami")</f>
        <v>99. Nezhui, 111. Mayatl, 109. Tlalli, 106. Ami</v>
      </c>
      <c r="B6390" s="4" t="str">
        <f>IFERROR(__xludf.DUMMYFUNCTION("""COMPUTED_VALUE"""),"99, 111, 109, 106")</f>
        <v>99, 111, 109, 106</v>
      </c>
      <c r="C6390" s="5" t="str">
        <f>IFERROR(__xludf.DUMMYFUNCTION("""COMPUTED_VALUE"""),"https://drive.google.com/file/d/1lRh2ZruN4hsxXj5YkhcZeerm6wV_D6Wy/view?usp=drivesdk")</f>
        <v>https://drive.google.com/file/d/1lRh2ZruN4hsxXj5YkhcZeerm6wV_D6Wy/view?usp=drivesdk</v>
      </c>
      <c r="D6390" s="12"/>
      <c r="E6390" s="11">
        <v>6438.0</v>
      </c>
      <c r="F6390" s="2"/>
    </row>
    <row r="6391" ht="1.5" customHeight="1">
      <c r="A6391" s="4" t="str">
        <f>IFERROR(__xludf.DUMMYFUNCTION("""COMPUTED_VALUE"""),"99. Nezhui, 109. Tlalli, 111. Mayatl, 106. Ami")</f>
        <v>99. Nezhui, 109. Tlalli, 111. Mayatl, 106. Ami</v>
      </c>
      <c r="B6391" s="4" t="str">
        <f>IFERROR(__xludf.DUMMYFUNCTION("""COMPUTED_VALUE"""),"99, 109, 111, 106")</f>
        <v>99, 109, 111, 106</v>
      </c>
      <c r="C6391" s="5" t="str">
        <f>IFERROR(__xludf.DUMMYFUNCTION("""COMPUTED_VALUE"""),"https://drive.google.com/file/d/1oy9upi9wgogkY4Y-SLh_tJRJ03diVqlm/view?usp=drivesdk")</f>
        <v>https://drive.google.com/file/d/1oy9upi9wgogkY4Y-SLh_tJRJ03diVqlm/view?usp=drivesdk</v>
      </c>
      <c r="D6391" s="12"/>
      <c r="E6391" s="11">
        <v>6439.0</v>
      </c>
      <c r="F6391" s="2"/>
    </row>
    <row r="6392" ht="1.5" customHeight="1">
      <c r="A6392" s="4" t="str">
        <f>IFERROR(__xludf.DUMMYFUNCTION("""COMPUTED_VALUE"""),"109. Tlalli, 111. Mayatl, 106. Ami")</f>
        <v>109. Tlalli, 111. Mayatl, 106. Ami</v>
      </c>
      <c r="B6392" s="4" t="str">
        <f>IFERROR(__xludf.DUMMYFUNCTION("""COMPUTED_VALUE"""),"109, 111, 106")</f>
        <v>109, 111, 106</v>
      </c>
      <c r="C6392" s="5" t="str">
        <f>IFERROR(__xludf.DUMMYFUNCTION("""COMPUTED_VALUE"""),"https://drive.google.com/file/d/1xreftT6trFsbgoNBdRtFsPFzX8K4fpg0/view?usp=drivesdk")</f>
        <v>https://drive.google.com/file/d/1xreftT6trFsbgoNBdRtFsPFzX8K4fpg0/view?usp=drivesdk</v>
      </c>
      <c r="D6392" s="12"/>
      <c r="E6392" s="11">
        <v>6440.0</v>
      </c>
      <c r="F6392" s="2"/>
    </row>
    <row r="6393" ht="1.5" customHeight="1">
      <c r="A6393" s="4" t="str">
        <f>IFERROR(__xludf.DUMMYFUNCTION("""COMPUTED_VALUE"""),"94. Itztli")</f>
        <v>94. Itztli</v>
      </c>
      <c r="B6393" s="4" t="str">
        <f>IFERROR(__xludf.DUMMYFUNCTION("""COMPUTED_VALUE"""),"94")</f>
        <v>94</v>
      </c>
      <c r="C6393" s="5" t="str">
        <f>IFERROR(__xludf.DUMMYFUNCTION("""COMPUTED_VALUE"""),"https://drive.google.com/file/d/1_8zpBZ7F1fKylcrJBvW0aoEeMXTsx3IY/view?usp=drivesdk")</f>
        <v>https://drive.google.com/file/d/1_8zpBZ7F1fKylcrJBvW0aoEeMXTsx3IY/view?usp=drivesdk</v>
      </c>
      <c r="D6393" s="12"/>
      <c r="E6393" s="11">
        <v>6441.0</v>
      </c>
      <c r="F6393" s="2"/>
    </row>
    <row r="6394" ht="1.5" customHeight="1">
      <c r="A6394" s="4" t="str">
        <f>IFERROR(__xludf.DUMMYFUNCTION("""COMPUTED_VALUE"""),"99. Nezhui, 106. Ami")</f>
        <v>99. Nezhui, 106. Ami</v>
      </c>
      <c r="B6394" s="4" t="str">
        <f>IFERROR(__xludf.DUMMYFUNCTION("""COMPUTED_VALUE"""),"99, 106")</f>
        <v>99, 106</v>
      </c>
      <c r="C6394" s="5" t="str">
        <f>IFERROR(__xludf.DUMMYFUNCTION("""COMPUTED_VALUE"""),"https://drive.google.com/file/d/1zvKtmb4lkd4rQ109icygRMHjggOcPWE4/view?usp=drivesdk")</f>
        <v>https://drive.google.com/file/d/1zvKtmb4lkd4rQ109icygRMHjggOcPWE4/view?usp=drivesdk</v>
      </c>
      <c r="D6394" s="12"/>
      <c r="E6394" s="11">
        <v>6442.0</v>
      </c>
      <c r="F6394" s="2"/>
    </row>
    <row r="6395" ht="1.5" customHeight="1">
      <c r="A6395" s="4" t="str">
        <f>IFERROR(__xludf.DUMMYFUNCTION("""COMPUTED_VALUE"""),"111. Mayatl, 106. Ami")</f>
        <v>111. Mayatl, 106. Ami</v>
      </c>
      <c r="B6395" s="4" t="str">
        <f>IFERROR(__xludf.DUMMYFUNCTION("""COMPUTED_VALUE"""),"111, 106")</f>
        <v>111, 106</v>
      </c>
      <c r="C6395" s="5" t="str">
        <f>IFERROR(__xludf.DUMMYFUNCTION("""COMPUTED_VALUE"""),"https://drive.google.com/file/d/154P7PJM8u0Gpb9vqL23-MXVyLYPoDOhV/view?usp=drivesdk")</f>
        <v>https://drive.google.com/file/d/154P7PJM8u0Gpb9vqL23-MXVyLYPoDOhV/view?usp=drivesdk</v>
      </c>
      <c r="D6395" s="12"/>
      <c r="E6395" s="11">
        <v>6443.0</v>
      </c>
      <c r="F6395" s="2"/>
    </row>
    <row r="6396" ht="1.5" customHeight="1">
      <c r="A6396" s="4" t="str">
        <f>IFERROR(__xludf.DUMMYFUNCTION("""COMPUTED_VALUE"""),"111. Mayatl, 109. Tlalli")</f>
        <v>111. Mayatl, 109. Tlalli</v>
      </c>
      <c r="B6396" s="4" t="str">
        <f>IFERROR(__xludf.DUMMYFUNCTION("""COMPUTED_VALUE"""),"111, 109")</f>
        <v>111, 109</v>
      </c>
      <c r="C6396" s="5" t="str">
        <f>IFERROR(__xludf.DUMMYFUNCTION("""COMPUTED_VALUE"""),"https://drive.google.com/file/d/1l1N1dk_cBvE2epMX-wCQc6V5XM7vhNI0/view?usp=drivesdk")</f>
        <v>https://drive.google.com/file/d/1l1N1dk_cBvE2epMX-wCQc6V5XM7vhNI0/view?usp=drivesdk</v>
      </c>
      <c r="D6396" s="12"/>
      <c r="E6396" s="11">
        <v>6444.0</v>
      </c>
      <c r="F6396" s="2"/>
    </row>
    <row r="6397" ht="1.5" customHeight="1">
      <c r="A6397" s="4" t="str">
        <f>IFERROR(__xludf.DUMMYFUNCTION("""COMPUTED_VALUE"""),"111. Mayatl")</f>
        <v>111. Mayatl</v>
      </c>
      <c r="B6397" s="4" t="str">
        <f>IFERROR(__xludf.DUMMYFUNCTION("""COMPUTED_VALUE"""),"111")</f>
        <v>111</v>
      </c>
      <c r="C6397" s="5" t="str">
        <f>IFERROR(__xludf.DUMMYFUNCTION("""COMPUTED_VALUE"""),"https://drive.google.com/file/d/1ESUygTptd0tffYeifK4wunBUJFdihFAX/view?usp=drivesdk")</f>
        <v>https://drive.google.com/file/d/1ESUygTptd0tffYeifK4wunBUJFdihFAX/view?usp=drivesdk</v>
      </c>
      <c r="D6397" s="12"/>
      <c r="E6397" s="11">
        <v>6445.0</v>
      </c>
      <c r="F6397" s="2"/>
    </row>
    <row r="6398" ht="1.5" customHeight="1">
      <c r="A6398" s="4" t="str">
        <f>IFERROR(__xludf.DUMMYFUNCTION("""COMPUTED_VALUE"""),"111. Mayatl")</f>
        <v>111. Mayatl</v>
      </c>
      <c r="B6398" s="4" t="str">
        <f>IFERROR(__xludf.DUMMYFUNCTION("""COMPUTED_VALUE"""),"111")</f>
        <v>111</v>
      </c>
      <c r="C6398" s="5" t="str">
        <f>IFERROR(__xludf.DUMMYFUNCTION("""COMPUTED_VALUE"""),"https://drive.google.com/file/d/1J4BqBFhRQwn3y21toIBbVpQTDE09CbHV/view?usp=drivesdk")</f>
        <v>https://drive.google.com/file/d/1J4BqBFhRQwn3y21toIBbVpQTDE09CbHV/view?usp=drivesdk</v>
      </c>
      <c r="D6398" s="12"/>
      <c r="E6398" s="11">
        <v>6446.0</v>
      </c>
      <c r="F6398" s="2"/>
    </row>
    <row r="6399" ht="1.5" customHeight="1">
      <c r="A6399" s="4" t="str">
        <f>IFERROR(__xludf.DUMMYFUNCTION("""COMPUTED_VALUE"""),"99. Nezhui")</f>
        <v>99. Nezhui</v>
      </c>
      <c r="B6399" s="4" t="str">
        <f>IFERROR(__xludf.DUMMYFUNCTION("""COMPUTED_VALUE"""),"99")</f>
        <v>99</v>
      </c>
      <c r="C6399" s="5" t="str">
        <f>IFERROR(__xludf.DUMMYFUNCTION("""COMPUTED_VALUE"""),"https://drive.google.com/file/d/1f5Jpoo3BYotK9_3aSGBJNTuTxN23xtFm/view?usp=drivesdk")</f>
        <v>https://drive.google.com/file/d/1f5Jpoo3BYotK9_3aSGBJNTuTxN23xtFm/view?usp=drivesdk</v>
      </c>
      <c r="D6399" s="12"/>
      <c r="E6399" s="11">
        <v>6447.0</v>
      </c>
      <c r="F6399" s="2"/>
    </row>
    <row r="6400" ht="1.5" customHeight="1">
      <c r="A6400" s="4" t="str">
        <f>IFERROR(__xludf.DUMMYFUNCTION("""COMPUTED_VALUE"""),"80. Atzi, 116. Itzel, 123. Temiquini")</f>
        <v>80. Atzi, 116. Itzel, 123. Temiquini</v>
      </c>
      <c r="B6400" s="4" t="str">
        <f>IFERROR(__xludf.DUMMYFUNCTION("""COMPUTED_VALUE"""),"80, 116, 123")</f>
        <v>80, 116, 123</v>
      </c>
      <c r="C6400" s="5" t="str">
        <f>IFERROR(__xludf.DUMMYFUNCTION("""COMPUTED_VALUE"""),"https://drive.google.com/file/d/1vbFTtd3YbjxGicuHHX_s7PwysG49JX_1/view?usp=drivesdk")</f>
        <v>https://drive.google.com/file/d/1vbFTtd3YbjxGicuHHX_s7PwysG49JX_1/view?usp=drivesdk</v>
      </c>
      <c r="D6400" s="12"/>
      <c r="E6400" s="11">
        <v>6448.0</v>
      </c>
      <c r="F6400" s="2"/>
    </row>
    <row r="6401" ht="1.5" customHeight="1">
      <c r="A6401" s="4" t="str">
        <f>IFERROR(__xludf.DUMMYFUNCTION("""COMPUTED_VALUE"""),"2. Twix")</f>
        <v>2. Twix</v>
      </c>
      <c r="B6401" s="4" t="str">
        <f>IFERROR(__xludf.DUMMYFUNCTION("""COMPUTED_VALUE"""),"2")</f>
        <v>2</v>
      </c>
      <c r="C6401" s="5" t="str">
        <f>IFERROR(__xludf.DUMMYFUNCTION("""COMPUTED_VALUE"""),"https://drive.google.com/file/d/1FRzUg4Y1DPT0p7ctjfA5sH3GsLY8k1zU/view?usp=drivesdk")</f>
        <v>https://drive.google.com/file/d/1FRzUg4Y1DPT0p7ctjfA5sH3GsLY8k1zU/view?usp=drivesdk</v>
      </c>
      <c r="D6401" s="12"/>
      <c r="E6401" s="11">
        <v>6449.0</v>
      </c>
      <c r="F6401" s="2"/>
    </row>
    <row r="6402" ht="1.5" customHeight="1">
      <c r="A6402" s="4" t="str">
        <f>IFERROR(__xludf.DUMMYFUNCTION("""COMPUTED_VALUE"""),"109. Tlalli")</f>
        <v>109. Tlalli</v>
      </c>
      <c r="B6402" s="4" t="str">
        <f>IFERROR(__xludf.DUMMYFUNCTION("""COMPUTED_VALUE"""),"109")</f>
        <v>109</v>
      </c>
      <c r="C6402" s="5" t="str">
        <f>IFERROR(__xludf.DUMMYFUNCTION("""COMPUTED_VALUE"""),"https://drive.google.com/file/d/11J8hJrRoCFFM6fvia2vWxVptN_AEoPiq/view?usp=drivesdk")</f>
        <v>https://drive.google.com/file/d/11J8hJrRoCFFM6fvia2vWxVptN_AEoPiq/view?usp=drivesdk</v>
      </c>
      <c r="D6402" s="12"/>
      <c r="E6402" s="11">
        <v>6450.0</v>
      </c>
      <c r="F6402" s="2"/>
    </row>
    <row r="6403" ht="1.5" customHeight="1">
      <c r="A6403" s="4" t="str">
        <f>IFERROR(__xludf.DUMMYFUNCTION("""COMPUTED_VALUE"""),"1. Microwave")</f>
        <v>1. Microwave</v>
      </c>
      <c r="B6403" s="4" t="str">
        <f>IFERROR(__xludf.DUMMYFUNCTION("""COMPUTED_VALUE"""),"1")</f>
        <v>1</v>
      </c>
      <c r="C6403" s="5" t="str">
        <f>IFERROR(__xludf.DUMMYFUNCTION("""COMPUTED_VALUE"""),"https://drive.google.com/file/d/1CbAVgS85kK5c_6phob_IQQGe6IxBlucd/view?usp=drivesdk")</f>
        <v>https://drive.google.com/file/d/1CbAVgS85kK5c_6phob_IQQGe6IxBlucd/view?usp=drivesdk</v>
      </c>
      <c r="D6403" s="12"/>
      <c r="E6403" s="11">
        <v>6451.0</v>
      </c>
      <c r="F6403" s="2"/>
    </row>
    <row r="6404" ht="1.5" customHeight="1">
      <c r="A6404" s="4" t="str">
        <f>IFERROR(__xludf.DUMMYFUNCTION("""COMPUTED_VALUE"""),"1. Microwave")</f>
        <v>1. Microwave</v>
      </c>
      <c r="B6404" s="4" t="str">
        <f>IFERROR(__xludf.DUMMYFUNCTION("""COMPUTED_VALUE"""),"1")</f>
        <v>1</v>
      </c>
      <c r="C6404" s="5" t="str">
        <f>IFERROR(__xludf.DUMMYFUNCTION("""COMPUTED_VALUE"""),"https://drive.google.com/file/d/1M64Po3HMqHF7Uham1PLFxlSzZi0tmLH5/view?usp=drivesdk")</f>
        <v>https://drive.google.com/file/d/1M64Po3HMqHF7Uham1PLFxlSzZi0tmLH5/view?usp=drivesdk</v>
      </c>
      <c r="D6404" s="12"/>
      <c r="E6404" s="11">
        <v>6452.0</v>
      </c>
      <c r="F6404" s="2"/>
    </row>
    <row r="6405" ht="1.5" customHeight="1">
      <c r="A6405" s="4" t="str">
        <f>IFERROR(__xludf.DUMMYFUNCTION("""COMPUTED_VALUE"""),"1. Microwave")</f>
        <v>1. Microwave</v>
      </c>
      <c r="B6405" s="4" t="str">
        <f>IFERROR(__xludf.DUMMYFUNCTION("""COMPUTED_VALUE"""),"1")</f>
        <v>1</v>
      </c>
      <c r="C6405" s="5" t="str">
        <f>IFERROR(__xludf.DUMMYFUNCTION("""COMPUTED_VALUE"""),"https://drive.google.com/file/d/1aN4sw2Fv50E1A9wIbw4XnTvFz4X_2iUA/view?usp=drivesdk")</f>
        <v>https://drive.google.com/file/d/1aN4sw2Fv50E1A9wIbw4XnTvFz4X_2iUA/view?usp=drivesdk</v>
      </c>
      <c r="D6405" s="12"/>
      <c r="E6405" s="11">
        <v>6453.0</v>
      </c>
      <c r="F6405" s="2"/>
    </row>
    <row r="6406" ht="1.5" customHeight="1">
      <c r="A6406" s="4" t="str">
        <f>IFERROR(__xludf.DUMMYFUNCTION("""COMPUTED_VALUE"""),"21. Paquini")</f>
        <v>21. Paquini</v>
      </c>
      <c r="B6406" s="4" t="str">
        <f>IFERROR(__xludf.DUMMYFUNCTION("""COMPUTED_VALUE"""),"21")</f>
        <v>21</v>
      </c>
      <c r="C6406" s="5" t="str">
        <f>IFERROR(__xludf.DUMMYFUNCTION("""COMPUTED_VALUE"""),"https://drive.google.com/file/d/1qQMQxlrfJmPcJKzPooQUY4skYpggvBvj/view?usp=drivesdk")</f>
        <v>https://drive.google.com/file/d/1qQMQxlrfJmPcJKzPooQUY4skYpggvBvj/view?usp=drivesdk</v>
      </c>
      <c r="D6406" s="12"/>
      <c r="E6406" s="11">
        <v>6454.0</v>
      </c>
      <c r="F6406" s="2"/>
    </row>
    <row r="6407" ht="1.5" customHeight="1">
      <c r="A6407" s="4" t="str">
        <f>IFERROR(__xludf.DUMMYFUNCTION("""COMPUTED_VALUE"""),"21. Paquini")</f>
        <v>21. Paquini</v>
      </c>
      <c r="B6407" s="4" t="str">
        <f>IFERROR(__xludf.DUMMYFUNCTION("""COMPUTED_VALUE"""),"21")</f>
        <v>21</v>
      </c>
      <c r="C6407" s="5" t="str">
        <f>IFERROR(__xludf.DUMMYFUNCTION("""COMPUTED_VALUE"""),"https://drive.google.com/file/d/1VWiK77qdOsXQwQLlLPukuVfe3YstZVsm/view?usp=drivesdk")</f>
        <v>https://drive.google.com/file/d/1VWiK77qdOsXQwQLlLPukuVfe3YstZVsm/view?usp=drivesdk</v>
      </c>
      <c r="D6407" s="12"/>
      <c r="E6407" s="11">
        <v>6455.0</v>
      </c>
      <c r="F6407" s="2"/>
    </row>
    <row r="6408" ht="1.5" customHeight="1">
      <c r="A6408" s="4" t="str">
        <f>IFERROR(__xludf.DUMMYFUNCTION("""COMPUTED_VALUE"""),"4. Eggs")</f>
        <v>4. Eggs</v>
      </c>
      <c r="B6408" s="4" t="str">
        <f>IFERROR(__xludf.DUMMYFUNCTION("""COMPUTED_VALUE"""),"4")</f>
        <v>4</v>
      </c>
      <c r="C6408" s="5" t="str">
        <f>IFERROR(__xludf.DUMMYFUNCTION("""COMPUTED_VALUE"""),"https://drive.google.com/file/d/16Fla_nHedoiteKz-4BeASxr92pByzIYu/view?usp=drivesdk")</f>
        <v>https://drive.google.com/file/d/16Fla_nHedoiteKz-4BeASxr92pByzIYu/view?usp=drivesdk</v>
      </c>
      <c r="D6408" s="12"/>
      <c r="E6408" s="11">
        <v>6456.0</v>
      </c>
      <c r="F6408" s="2"/>
    </row>
    <row r="6409" ht="1.5" customHeight="1">
      <c r="A6409" s="4" t="str">
        <f>IFERROR(__xludf.DUMMYFUNCTION("""COMPUTED_VALUE"""),"93. Meatball")</f>
        <v>93. Meatball</v>
      </c>
      <c r="B6409" s="4" t="str">
        <f>IFERROR(__xludf.DUMMYFUNCTION("""COMPUTED_VALUE"""),"93")</f>
        <v>93</v>
      </c>
      <c r="C6409" s="5" t="str">
        <f>IFERROR(__xludf.DUMMYFUNCTION("""COMPUTED_VALUE"""),"https://drive.google.com/file/d/11-szw74h1XwtA7ka9YXwyBSo9n8XINxt/view?usp=drivesdk")</f>
        <v>https://drive.google.com/file/d/11-szw74h1XwtA7ka9YXwyBSo9n8XINxt/view?usp=drivesdk</v>
      </c>
      <c r="D6409" s="12"/>
      <c r="E6409" s="11">
        <v>6457.0</v>
      </c>
      <c r="F6409" s="2"/>
    </row>
    <row r="6410" ht="1.5" customHeight="1">
      <c r="A6410" s="4" t="str">
        <f>IFERROR(__xludf.DUMMYFUNCTION("""COMPUTED_VALUE"""),"93. Meatball")</f>
        <v>93. Meatball</v>
      </c>
      <c r="B6410" s="4" t="str">
        <f>IFERROR(__xludf.DUMMYFUNCTION("""COMPUTED_VALUE"""),"93")</f>
        <v>93</v>
      </c>
      <c r="C6410" s="5" t="str">
        <f>IFERROR(__xludf.DUMMYFUNCTION("""COMPUTED_VALUE"""),"https://drive.google.com/file/d/1sRD9nofLfOJH9KruLqQ6Mz3GDkd-kiCB/view?usp=drivesdk")</f>
        <v>https://drive.google.com/file/d/1sRD9nofLfOJH9KruLqQ6Mz3GDkd-kiCB/view?usp=drivesdk</v>
      </c>
      <c r="D6410" s="12"/>
      <c r="E6410" s="11">
        <v>6458.0</v>
      </c>
      <c r="F6410" s="2"/>
    </row>
    <row r="6411" ht="1.5" customHeight="1">
      <c r="A6411" s="4" t="str">
        <f>IFERROR(__xludf.DUMMYFUNCTION("""COMPUTED_VALUE"""),"4. Eggs, 5. Eraser")</f>
        <v>4. Eggs, 5. Eraser</v>
      </c>
      <c r="B6411" s="4" t="str">
        <f>IFERROR(__xludf.DUMMYFUNCTION("""COMPUTED_VALUE"""),"4, 5")</f>
        <v>4, 5</v>
      </c>
      <c r="C6411" s="5" t="str">
        <f>IFERROR(__xludf.DUMMYFUNCTION("""COMPUTED_VALUE"""),"https://drive.google.com/file/d/13HURvk6gD0PXCH6fR0DoH2LqwAwfNeaN/view?usp=drivesdk")</f>
        <v>https://drive.google.com/file/d/13HURvk6gD0PXCH6fR0DoH2LqwAwfNeaN/view?usp=drivesdk</v>
      </c>
      <c r="D6411" s="12"/>
      <c r="E6411" s="11">
        <v>6459.0</v>
      </c>
      <c r="F6411" s="2"/>
    </row>
    <row r="6412" ht="1.5" customHeight="1">
      <c r="A6412" s="4" t="str">
        <f>IFERROR(__xludf.DUMMYFUNCTION("""COMPUTED_VALUE"""),"1. Microwave")</f>
        <v>1. Microwave</v>
      </c>
      <c r="B6412" s="4" t="str">
        <f>IFERROR(__xludf.DUMMYFUNCTION("""COMPUTED_VALUE"""),"1")</f>
        <v>1</v>
      </c>
      <c r="C6412" s="5" t="str">
        <f>IFERROR(__xludf.DUMMYFUNCTION("""COMPUTED_VALUE"""),"https://drive.google.com/file/d/1l9JZ0gbDfxOsgSCJt5uklHmCrHF-1TRq/view?usp=drivesdk")</f>
        <v>https://drive.google.com/file/d/1l9JZ0gbDfxOsgSCJt5uklHmCrHF-1TRq/view?usp=drivesdk</v>
      </c>
      <c r="D6412" s="12"/>
      <c r="E6412" s="11">
        <v>6460.0</v>
      </c>
      <c r="F6412" s="2"/>
    </row>
    <row r="6413" ht="1.5" customHeight="1">
      <c r="A6413" s="4" t="str">
        <f>IFERROR(__xludf.DUMMYFUNCTION("""COMPUTED_VALUE"""),"6. Snickers")</f>
        <v>6. Snickers</v>
      </c>
      <c r="B6413" s="4" t="str">
        <f>IFERROR(__xludf.DUMMYFUNCTION("""COMPUTED_VALUE"""),"6")</f>
        <v>6</v>
      </c>
      <c r="C6413" s="5" t="str">
        <f>IFERROR(__xludf.DUMMYFUNCTION("""COMPUTED_VALUE"""),"https://drive.google.com/file/d/1Tpmk7Iz6VxJpClCPToF7d1zJZn4FZ2j6/view?usp=drivesdk")</f>
        <v>https://drive.google.com/file/d/1Tpmk7Iz6VxJpClCPToF7d1zJZn4FZ2j6/view?usp=drivesdk</v>
      </c>
      <c r="D6413" s="12"/>
      <c r="E6413" s="11">
        <v>6461.0</v>
      </c>
      <c r="F6413" s="2"/>
    </row>
    <row r="6414" ht="1.5" customHeight="1">
      <c r="A6414" s="4" t="str">
        <f>IFERROR(__xludf.DUMMYFUNCTION("""COMPUTED_VALUE"""),"6. Snickers")</f>
        <v>6. Snickers</v>
      </c>
      <c r="B6414" s="4" t="str">
        <f>IFERROR(__xludf.DUMMYFUNCTION("""COMPUTED_VALUE"""),"6")</f>
        <v>6</v>
      </c>
      <c r="C6414" s="5" t="str">
        <f>IFERROR(__xludf.DUMMYFUNCTION("""COMPUTED_VALUE"""),"https://drive.google.com/file/d/1GwzHJmlyATskU-S1sTlIQTSxVnNDnWZZ/view?usp=drivesdk")</f>
        <v>https://drive.google.com/file/d/1GwzHJmlyATskU-S1sTlIQTSxVnNDnWZZ/view?usp=drivesdk</v>
      </c>
      <c r="D6414" s="12"/>
      <c r="E6414" s="11">
        <v>6462.0</v>
      </c>
      <c r="F6414" s="2"/>
    </row>
    <row r="6415" ht="1.5" customHeight="1">
      <c r="A6415" s="4" t="str">
        <f>IFERROR(__xludf.DUMMYFUNCTION("""COMPUTED_VALUE"""),"6. Snickers")</f>
        <v>6. Snickers</v>
      </c>
      <c r="B6415" s="4" t="str">
        <f>IFERROR(__xludf.DUMMYFUNCTION("""COMPUTED_VALUE"""),"6")</f>
        <v>6</v>
      </c>
      <c r="C6415" s="5" t="str">
        <f>IFERROR(__xludf.DUMMYFUNCTION("""COMPUTED_VALUE"""),"https://drive.google.com/file/d/1cpC6Zolxci4K5t-Ka4eg0wKP1GXp8F9z/view?usp=drivesdk")</f>
        <v>https://drive.google.com/file/d/1cpC6Zolxci4K5t-Ka4eg0wKP1GXp8F9z/view?usp=drivesdk</v>
      </c>
      <c r="D6415" s="12"/>
      <c r="E6415" s="11">
        <v>6463.0</v>
      </c>
      <c r="F6415" s="2"/>
    </row>
    <row r="6416" ht="1.5" customHeight="1">
      <c r="A6416" s="4" t="str">
        <f>IFERROR(__xludf.DUMMYFUNCTION("""COMPUTED_VALUE"""),"6. Snickers")</f>
        <v>6. Snickers</v>
      </c>
      <c r="B6416" s="4" t="str">
        <f>IFERROR(__xludf.DUMMYFUNCTION("""COMPUTED_VALUE"""),"6")</f>
        <v>6</v>
      </c>
      <c r="C6416" s="5" t="str">
        <f>IFERROR(__xludf.DUMMYFUNCTION("""COMPUTED_VALUE"""),"https://drive.google.com/file/d/1EF49ZCKELizM32KkUrovSOhLs1ECY5iU/view?usp=drivesdk")</f>
        <v>https://drive.google.com/file/d/1EF49ZCKELizM32KkUrovSOhLs1ECY5iU/view?usp=drivesdk</v>
      </c>
      <c r="D6416" s="12"/>
      <c r="E6416" s="11">
        <v>6464.0</v>
      </c>
      <c r="F6416" s="2"/>
    </row>
    <row r="6417" ht="1.5" customHeight="1">
      <c r="A6417" s="4" t="str">
        <f>IFERROR(__xludf.DUMMYFUNCTION("""COMPUTED_VALUE"""),"6. Snickers")</f>
        <v>6. Snickers</v>
      </c>
      <c r="B6417" s="4" t="str">
        <f>IFERROR(__xludf.DUMMYFUNCTION("""COMPUTED_VALUE"""),"6")</f>
        <v>6</v>
      </c>
      <c r="C6417" s="5" t="str">
        <f>IFERROR(__xludf.DUMMYFUNCTION("""COMPUTED_VALUE"""),"https://drive.google.com/file/d/1gdTVCCm6-8vvke7xumjrzY-O7rgBpAfB/view?usp=drivesdk")</f>
        <v>https://drive.google.com/file/d/1gdTVCCm6-8vvke7xumjrzY-O7rgBpAfB/view?usp=drivesdk</v>
      </c>
      <c r="D6417" s="12"/>
      <c r="E6417" s="11">
        <v>6465.0</v>
      </c>
      <c r="F6417" s="2"/>
    </row>
    <row r="6418" ht="1.5" customHeight="1">
      <c r="A6418" s="4" t="str">
        <f>IFERROR(__xludf.DUMMYFUNCTION("""COMPUTED_VALUE"""),"17. Bobbie")</f>
        <v>17. Bobbie</v>
      </c>
      <c r="B6418" s="4" t="str">
        <f>IFERROR(__xludf.DUMMYFUNCTION("""COMPUTED_VALUE"""),"17")</f>
        <v>17</v>
      </c>
      <c r="C6418" s="5" t="str">
        <f>IFERROR(__xludf.DUMMYFUNCTION("""COMPUTED_VALUE"""),"https://drive.google.com/file/d/1cqzRFQCdXWjf3aXzr6sP0TCVUPXZh2nJ/view?usp=drivesdk")</f>
        <v>https://drive.google.com/file/d/1cqzRFQCdXWjf3aXzr6sP0TCVUPXZh2nJ/view?usp=drivesdk</v>
      </c>
      <c r="D6418" s="12"/>
      <c r="E6418" s="11">
        <v>6466.0</v>
      </c>
      <c r="F6418" s="2"/>
    </row>
    <row r="6419" ht="1.5" customHeight="1">
      <c r="A6419" s="4" t="str">
        <f>IFERROR(__xludf.DUMMYFUNCTION("""COMPUTED_VALUE"""),"105. Chilton")</f>
        <v>105. Chilton</v>
      </c>
      <c r="B6419" s="4" t="str">
        <f>IFERROR(__xludf.DUMMYFUNCTION("""COMPUTED_VALUE"""),"105")</f>
        <v>105</v>
      </c>
      <c r="C6419" s="5" t="str">
        <f>IFERROR(__xludf.DUMMYFUNCTION("""COMPUTED_VALUE"""),"https://drive.google.com/file/d/15Zj3oCKFUrZaawA_FuRUa9WAn6nJ3IS9/view?usp=drivesdk")</f>
        <v>https://drive.google.com/file/d/15Zj3oCKFUrZaawA_FuRUa9WAn6nJ3IS9/view?usp=drivesdk</v>
      </c>
      <c r="D6419" s="12"/>
      <c r="E6419" s="11">
        <v>6467.0</v>
      </c>
      <c r="F6419" s="2"/>
    </row>
    <row r="6420" ht="1.5" customHeight="1">
      <c r="A6420" s="4" t="str">
        <f>IFERROR(__xludf.DUMMYFUNCTION("""COMPUTED_VALUE"""),"1. Microwave")</f>
        <v>1. Microwave</v>
      </c>
      <c r="B6420" s="4" t="str">
        <f>IFERROR(__xludf.DUMMYFUNCTION("""COMPUTED_VALUE"""),"1")</f>
        <v>1</v>
      </c>
      <c r="C6420" s="5" t="str">
        <f>IFERROR(__xludf.DUMMYFUNCTION("""COMPUTED_VALUE"""),"https://drive.google.com/file/d/1mKtwwHjXO0tQAa-xdxwmf3wlXeCpCZjS/view?usp=drivesdk")</f>
        <v>https://drive.google.com/file/d/1mKtwwHjXO0tQAa-xdxwmf3wlXeCpCZjS/view?usp=drivesdk</v>
      </c>
      <c r="D6420" s="12"/>
      <c r="E6420" s="11">
        <v>6468.0</v>
      </c>
      <c r="F6420" s="2"/>
    </row>
    <row r="6421" ht="1.5" customHeight="1">
      <c r="A6421" s="4" t="str">
        <f>IFERROR(__xludf.DUMMYFUNCTION("""COMPUTED_VALUE"""),"1. Microwave")</f>
        <v>1. Microwave</v>
      </c>
      <c r="B6421" s="4" t="str">
        <f>IFERROR(__xludf.DUMMYFUNCTION("""COMPUTED_VALUE"""),"1")</f>
        <v>1</v>
      </c>
      <c r="C6421" s="5" t="str">
        <f>IFERROR(__xludf.DUMMYFUNCTION("""COMPUTED_VALUE"""),"https://drive.google.com/file/d/11vSFlLuyy1koF4_XTeZEbiPZu2R76xL6/view?usp=drivesdk")</f>
        <v>https://drive.google.com/file/d/11vSFlLuyy1koF4_XTeZEbiPZu2R76xL6/view?usp=drivesdk</v>
      </c>
      <c r="D6421" s="12"/>
      <c r="E6421" s="11">
        <v>6469.0</v>
      </c>
      <c r="F6421" s="2"/>
    </row>
    <row r="6422" ht="1.5" customHeight="1">
      <c r="A6422" s="4" t="str">
        <f>IFERROR(__xludf.DUMMYFUNCTION("""COMPUTED_VALUE"""),"1. Microwave")</f>
        <v>1. Microwave</v>
      </c>
      <c r="B6422" s="4" t="str">
        <f>IFERROR(__xludf.DUMMYFUNCTION("""COMPUTED_VALUE"""),"1")</f>
        <v>1</v>
      </c>
      <c r="C6422" s="5" t="str">
        <f>IFERROR(__xludf.DUMMYFUNCTION("""COMPUTED_VALUE"""),"https://drive.google.com/file/d/1qrsHptdIIPMNR9Rwrp38Kl5oykI98EkC/view?usp=drivesdk")</f>
        <v>https://drive.google.com/file/d/1qrsHptdIIPMNR9Rwrp38Kl5oykI98EkC/view?usp=drivesdk</v>
      </c>
      <c r="D6422" s="12"/>
      <c r="E6422" s="11">
        <v>6470.0</v>
      </c>
      <c r="F6422" s="2"/>
    </row>
    <row r="6423" ht="1.5" customHeight="1">
      <c r="A6423" s="4" t="str">
        <f>IFERROR(__xludf.DUMMYFUNCTION("""COMPUTED_VALUE"""),"1. Microwave")</f>
        <v>1. Microwave</v>
      </c>
      <c r="B6423" s="4" t="str">
        <f>IFERROR(__xludf.DUMMYFUNCTION("""COMPUTED_VALUE"""),"1")</f>
        <v>1</v>
      </c>
      <c r="C6423" s="5" t="str">
        <f>IFERROR(__xludf.DUMMYFUNCTION("""COMPUTED_VALUE"""),"https://drive.google.com/file/d/1KoOxHhs2IP97NuU_EzenC_lvbA8Q5OV4/view?usp=drivesdk")</f>
        <v>https://drive.google.com/file/d/1KoOxHhs2IP97NuU_EzenC_lvbA8Q5OV4/view?usp=drivesdk</v>
      </c>
      <c r="D6423" s="12"/>
      <c r="E6423" s="11">
        <v>6471.0</v>
      </c>
      <c r="F6423" s="2"/>
    </row>
    <row r="6424" ht="1.5" customHeight="1">
      <c r="A6424" s="4" t="str">
        <f>IFERROR(__xludf.DUMMYFUNCTION("""COMPUTED_VALUE"""),"1. Microwave")</f>
        <v>1. Microwave</v>
      </c>
      <c r="B6424" s="4" t="str">
        <f>IFERROR(__xludf.DUMMYFUNCTION("""COMPUTED_VALUE"""),"1")</f>
        <v>1</v>
      </c>
      <c r="C6424" s="5" t="str">
        <f>IFERROR(__xludf.DUMMYFUNCTION("""COMPUTED_VALUE"""),"https://drive.google.com/file/d/1kZofildpP7IaE2tiGZk1itCq1h2CKo1w/view?usp=drivesdk")</f>
        <v>https://drive.google.com/file/d/1kZofildpP7IaE2tiGZk1itCq1h2CKo1w/view?usp=drivesdk</v>
      </c>
      <c r="D6424" s="12"/>
      <c r="E6424" s="11">
        <v>6472.0</v>
      </c>
      <c r="F6424" s="2"/>
    </row>
    <row r="6425" ht="1.5" customHeight="1">
      <c r="A6425" s="4" t="str">
        <f>IFERROR(__xludf.DUMMYFUNCTION("""COMPUTED_VALUE"""),"1. Microwave")</f>
        <v>1. Microwave</v>
      </c>
      <c r="B6425" s="4" t="str">
        <f>IFERROR(__xludf.DUMMYFUNCTION("""COMPUTED_VALUE"""),"1")</f>
        <v>1</v>
      </c>
      <c r="C6425" s="5" t="str">
        <f>IFERROR(__xludf.DUMMYFUNCTION("""COMPUTED_VALUE"""),"https://drive.google.com/file/d/1-N8tr3blopiw36L0O1NwSZvcfN2NLLgj/view?usp=drivesdk")</f>
        <v>https://drive.google.com/file/d/1-N8tr3blopiw36L0O1NwSZvcfN2NLLgj/view?usp=drivesdk</v>
      </c>
      <c r="D6425" s="12"/>
      <c r="E6425" s="11">
        <v>6473.0</v>
      </c>
      <c r="F6425" s="2"/>
    </row>
    <row r="6426" ht="1.5" customHeight="1">
      <c r="A6426" s="4" t="str">
        <f>IFERROR(__xludf.DUMMYFUNCTION("""COMPUTED_VALUE"""),"1. Microwave")</f>
        <v>1. Microwave</v>
      </c>
      <c r="B6426" s="4" t="str">
        <f>IFERROR(__xludf.DUMMYFUNCTION("""COMPUTED_VALUE"""),"1")</f>
        <v>1</v>
      </c>
      <c r="C6426" s="5" t="str">
        <f>IFERROR(__xludf.DUMMYFUNCTION("""COMPUTED_VALUE"""),"https://drive.google.com/file/d/19ZTRq96iqtM6BAUG_w8xEmJijzxeo1A1/view?usp=drivesdk")</f>
        <v>https://drive.google.com/file/d/19ZTRq96iqtM6BAUG_w8xEmJijzxeo1A1/view?usp=drivesdk</v>
      </c>
      <c r="D6426" s="12"/>
      <c r="E6426" s="11">
        <v>6474.0</v>
      </c>
      <c r="F6426" s="2"/>
    </row>
    <row r="6427" ht="1.5" customHeight="1">
      <c r="A6427" s="4" t="str">
        <f>IFERROR(__xludf.DUMMYFUNCTION("""COMPUTED_VALUE"""),"1. Microwave")</f>
        <v>1. Microwave</v>
      </c>
      <c r="B6427" s="4" t="str">
        <f>IFERROR(__xludf.DUMMYFUNCTION("""COMPUTED_VALUE"""),"1")</f>
        <v>1</v>
      </c>
      <c r="C6427" s="5" t="str">
        <f>IFERROR(__xludf.DUMMYFUNCTION("""COMPUTED_VALUE"""),"https://drive.google.com/file/d/1EdOGPodBhfOFfFJICd265kapETvoZ94F/view?usp=drivesdk")</f>
        <v>https://drive.google.com/file/d/1EdOGPodBhfOFfFJICd265kapETvoZ94F/view?usp=drivesdk</v>
      </c>
      <c r="D6427" s="12"/>
      <c r="E6427" s="11">
        <v>6475.0</v>
      </c>
      <c r="F6427" s="2"/>
    </row>
    <row r="6428" ht="1.5" customHeight="1">
      <c r="A6428" s="4" t="str">
        <f>IFERROR(__xludf.DUMMYFUNCTION("""COMPUTED_VALUE"""),"1. Microwave")</f>
        <v>1. Microwave</v>
      </c>
      <c r="B6428" s="4" t="str">
        <f>IFERROR(__xludf.DUMMYFUNCTION("""COMPUTED_VALUE"""),"1")</f>
        <v>1</v>
      </c>
      <c r="C6428" s="5" t="str">
        <f>IFERROR(__xludf.DUMMYFUNCTION("""COMPUTED_VALUE"""),"https://drive.google.com/file/d/1oOGv3xv84ZR9zRBE58AWaCjDw5JJnE9T/view?usp=drivesdk")</f>
        <v>https://drive.google.com/file/d/1oOGv3xv84ZR9zRBE58AWaCjDw5JJnE9T/view?usp=drivesdk</v>
      </c>
      <c r="D6428" s="12"/>
      <c r="E6428" s="11">
        <v>6476.0</v>
      </c>
      <c r="F6428" s="2"/>
    </row>
    <row r="6429" ht="1.5" customHeight="1">
      <c r="A6429" s="4" t="str">
        <f>IFERROR(__xludf.DUMMYFUNCTION("""COMPUTED_VALUE"""),"1. Microwave")</f>
        <v>1. Microwave</v>
      </c>
      <c r="B6429" s="4" t="str">
        <f>IFERROR(__xludf.DUMMYFUNCTION("""COMPUTED_VALUE"""),"1")</f>
        <v>1</v>
      </c>
      <c r="C6429" s="5" t="str">
        <f>IFERROR(__xludf.DUMMYFUNCTION("""COMPUTED_VALUE"""),"https://drive.google.com/file/d/1grGlmKqna90eh-Ab8JxojBn1xabnT2Zu/view?usp=drivesdk")</f>
        <v>https://drive.google.com/file/d/1grGlmKqna90eh-Ab8JxojBn1xabnT2Zu/view?usp=drivesdk</v>
      </c>
      <c r="D6429" s="12"/>
      <c r="E6429" s="11">
        <v>6477.0</v>
      </c>
      <c r="F6429" s="2"/>
    </row>
    <row r="6430" ht="1.5" customHeight="1">
      <c r="A6430" s="4" t="str">
        <f>IFERROR(__xludf.DUMMYFUNCTION("""COMPUTED_VALUE"""),"2. Twix")</f>
        <v>2. Twix</v>
      </c>
      <c r="B6430" s="4" t="str">
        <f>IFERROR(__xludf.DUMMYFUNCTION("""COMPUTED_VALUE"""),"2")</f>
        <v>2</v>
      </c>
      <c r="C6430" s="5" t="str">
        <f>IFERROR(__xludf.DUMMYFUNCTION("""COMPUTED_VALUE"""),"https://drive.google.com/file/d/14bdOIjO6qNNi5k_LCXwlK5JKJa-kUMws/view?usp=drivesdk")</f>
        <v>https://drive.google.com/file/d/14bdOIjO6qNNi5k_LCXwlK5JKJa-kUMws/view?usp=drivesdk</v>
      </c>
      <c r="D6430" s="12"/>
      <c r="E6430" s="11">
        <v>6478.0</v>
      </c>
      <c r="F6430" s="2"/>
    </row>
    <row r="6431" ht="1.5" customHeight="1">
      <c r="A6431" s="4" t="str">
        <f>IFERROR(__xludf.DUMMYFUNCTION("""COMPUTED_VALUE"""),"2. Twix")</f>
        <v>2. Twix</v>
      </c>
      <c r="B6431" s="4" t="str">
        <f>IFERROR(__xludf.DUMMYFUNCTION("""COMPUTED_VALUE"""),"2")</f>
        <v>2</v>
      </c>
      <c r="C6431" s="5" t="str">
        <f>IFERROR(__xludf.DUMMYFUNCTION("""COMPUTED_VALUE"""),"https://drive.google.com/file/d/1fXeisU4shigRnQ_EBOnY7x6Ch-Dv75st/view?usp=drivesdk")</f>
        <v>https://drive.google.com/file/d/1fXeisU4shigRnQ_EBOnY7x6Ch-Dv75st/view?usp=drivesdk</v>
      </c>
      <c r="D6431" s="12"/>
      <c r="E6431" s="11">
        <v>6479.0</v>
      </c>
      <c r="F6431" s="2"/>
    </row>
    <row r="6432" ht="1.5" customHeight="1">
      <c r="A6432" s="4" t="str">
        <f>IFERROR(__xludf.DUMMYFUNCTION("""COMPUTED_VALUE"""),"5. Eraser")</f>
        <v>5. Eraser</v>
      </c>
      <c r="B6432" s="4" t="str">
        <f>IFERROR(__xludf.DUMMYFUNCTION("""COMPUTED_VALUE"""),"5")</f>
        <v>5</v>
      </c>
      <c r="C6432" s="5" t="str">
        <f>IFERROR(__xludf.DUMMYFUNCTION("""COMPUTED_VALUE"""),"https://drive.google.com/file/d/1TueCM6P9Ljh0R7Fna19kPbao7hvuYIbU/view?usp=drivesdk")</f>
        <v>https://drive.google.com/file/d/1TueCM6P9Ljh0R7Fna19kPbao7hvuYIbU/view?usp=drivesdk</v>
      </c>
      <c r="D6432" s="12"/>
      <c r="E6432" s="11">
        <v>6480.0</v>
      </c>
      <c r="F6432" s="2"/>
    </row>
    <row r="6433" ht="1.5" customHeight="1">
      <c r="A6433" s="4" t="str">
        <f>IFERROR(__xludf.DUMMYFUNCTION("""COMPUTED_VALUE"""),"5. Eraser")</f>
        <v>5. Eraser</v>
      </c>
      <c r="B6433" s="4" t="str">
        <f>IFERROR(__xludf.DUMMYFUNCTION("""COMPUTED_VALUE"""),"5")</f>
        <v>5</v>
      </c>
      <c r="C6433" s="5" t="str">
        <f>IFERROR(__xludf.DUMMYFUNCTION("""COMPUTED_VALUE"""),"https://drive.google.com/file/d/1WEmHVaO3PLv0LmTDRq22KaKgphHKJ7qF/view?usp=drivesdk")</f>
        <v>https://drive.google.com/file/d/1WEmHVaO3PLv0LmTDRq22KaKgphHKJ7qF/view?usp=drivesdk</v>
      </c>
      <c r="D6433" s="12"/>
      <c r="E6433" s="11">
        <v>6481.0</v>
      </c>
      <c r="F6433" s="2"/>
    </row>
    <row r="6434" ht="1.5" customHeight="1">
      <c r="A6434" s="4" t="str">
        <f>IFERROR(__xludf.DUMMYFUNCTION("""COMPUTED_VALUE"""),"5. Eraser")</f>
        <v>5. Eraser</v>
      </c>
      <c r="B6434" s="4" t="str">
        <f>IFERROR(__xludf.DUMMYFUNCTION("""COMPUTED_VALUE"""),"5")</f>
        <v>5</v>
      </c>
      <c r="C6434" s="5" t="str">
        <f>IFERROR(__xludf.DUMMYFUNCTION("""COMPUTED_VALUE"""),"https://drive.google.com/file/d/1o9f-jh80AKW8dtSBYZe-zq0d7Q4kYN94/view?usp=drivesdk")</f>
        <v>https://drive.google.com/file/d/1o9f-jh80AKW8dtSBYZe-zq0d7Q4kYN94/view?usp=drivesdk</v>
      </c>
      <c r="D6434" s="12"/>
      <c r="E6434" s="11">
        <v>6482.0</v>
      </c>
      <c r="F6434" s="2"/>
    </row>
    <row r="6435" ht="1.5" customHeight="1">
      <c r="A6435" s="4" t="str">
        <f>IFERROR(__xludf.DUMMYFUNCTION("""COMPUTED_VALUE"""),"5. Eraser")</f>
        <v>5. Eraser</v>
      </c>
      <c r="B6435" s="4" t="str">
        <f>IFERROR(__xludf.DUMMYFUNCTION("""COMPUTED_VALUE"""),"5")</f>
        <v>5</v>
      </c>
      <c r="C6435" s="5" t="str">
        <f>IFERROR(__xludf.DUMMYFUNCTION("""COMPUTED_VALUE"""),"https://drive.google.com/file/d/1OpN0T8HFtk5HvppCU871Rqxfg5v7rfZ3/view?usp=drivesdk")</f>
        <v>https://drive.google.com/file/d/1OpN0T8HFtk5HvppCU871Rqxfg5v7rfZ3/view?usp=drivesdk</v>
      </c>
      <c r="D6435" s="12"/>
      <c r="E6435" s="11">
        <v>6483.0</v>
      </c>
      <c r="F6435" s="2"/>
    </row>
    <row r="6436" ht="1.5" customHeight="1">
      <c r="A6436" s="4" t="str">
        <f>IFERROR(__xludf.DUMMYFUNCTION("""COMPUTED_VALUE"""),"1. Microwave")</f>
        <v>1. Microwave</v>
      </c>
      <c r="B6436" s="4" t="str">
        <f>IFERROR(__xludf.DUMMYFUNCTION("""COMPUTED_VALUE"""),"1")</f>
        <v>1</v>
      </c>
      <c r="C6436" s="5" t="str">
        <f>IFERROR(__xludf.DUMMYFUNCTION("""COMPUTED_VALUE"""),"https://drive.google.com/file/d/1tkfMMwajbecGOK5szuYGaLOnCpDXkH_D/view?usp=drivesdk")</f>
        <v>https://drive.google.com/file/d/1tkfMMwajbecGOK5szuYGaLOnCpDXkH_D/view?usp=drivesdk</v>
      </c>
      <c r="D6436" s="12"/>
      <c r="E6436" s="11">
        <v>6484.0</v>
      </c>
      <c r="F6436" s="2"/>
    </row>
    <row r="6437" ht="1.5" customHeight="1">
      <c r="A6437" s="4" t="str">
        <f>IFERROR(__xludf.DUMMYFUNCTION("""COMPUTED_VALUE"""),"1. Microwave")</f>
        <v>1. Microwave</v>
      </c>
      <c r="B6437" s="4" t="str">
        <f>IFERROR(__xludf.DUMMYFUNCTION("""COMPUTED_VALUE"""),"1")</f>
        <v>1</v>
      </c>
      <c r="C6437" s="5" t="str">
        <f>IFERROR(__xludf.DUMMYFUNCTION("""COMPUTED_VALUE"""),"https://drive.google.com/file/d/14BvbX7VM6wTwTKrjGik6xJ6zVECEQp9T/view?usp=drivesdk")</f>
        <v>https://drive.google.com/file/d/14BvbX7VM6wTwTKrjGik6xJ6zVECEQp9T/view?usp=drivesdk</v>
      </c>
      <c r="D6437" s="12"/>
      <c r="E6437" s="11">
        <v>6485.0</v>
      </c>
      <c r="F6437" s="2"/>
    </row>
    <row r="6438" ht="1.5" customHeight="1">
      <c r="A6438" s="4" t="str">
        <f>IFERROR(__xludf.DUMMYFUNCTION("""COMPUTED_VALUE"""),"1. Microwave")</f>
        <v>1. Microwave</v>
      </c>
      <c r="B6438" s="4" t="str">
        <f>IFERROR(__xludf.DUMMYFUNCTION("""COMPUTED_VALUE"""),"1")</f>
        <v>1</v>
      </c>
      <c r="C6438" s="5" t="str">
        <f>IFERROR(__xludf.DUMMYFUNCTION("""COMPUTED_VALUE"""),"https://drive.google.com/file/d/1GS4GpElTFuxspynt99t3MeOex0ST9j1H/view?usp=drivesdk")</f>
        <v>https://drive.google.com/file/d/1GS4GpElTFuxspynt99t3MeOex0ST9j1H/view?usp=drivesdk</v>
      </c>
      <c r="D6438" s="12"/>
      <c r="E6438" s="11">
        <v>6486.0</v>
      </c>
      <c r="F6438" s="2"/>
    </row>
    <row r="6439" ht="1.5" customHeight="1">
      <c r="A6439" s="4" t="str">
        <f>IFERROR(__xludf.DUMMYFUNCTION("""COMPUTED_VALUE"""),"1. Microwave")</f>
        <v>1. Microwave</v>
      </c>
      <c r="B6439" s="4" t="str">
        <f>IFERROR(__xludf.DUMMYFUNCTION("""COMPUTED_VALUE"""),"1")</f>
        <v>1</v>
      </c>
      <c r="C6439" s="5" t="str">
        <f>IFERROR(__xludf.DUMMYFUNCTION("""COMPUTED_VALUE"""),"https://drive.google.com/file/d/1W-97gicsxiMjkZ1BBCpJVmf1dOISIpRV/view?usp=drivesdk")</f>
        <v>https://drive.google.com/file/d/1W-97gicsxiMjkZ1BBCpJVmf1dOISIpRV/view?usp=drivesdk</v>
      </c>
      <c r="D6439" s="12"/>
      <c r="E6439" s="11">
        <v>6487.0</v>
      </c>
      <c r="F6439" s="2"/>
    </row>
    <row r="6440" ht="1.5" customHeight="1">
      <c r="A6440" s="4" t="str">
        <f>IFERROR(__xludf.DUMMYFUNCTION("""COMPUTED_VALUE"""),"4. Eggs")</f>
        <v>4. Eggs</v>
      </c>
      <c r="B6440" s="4" t="str">
        <f>IFERROR(__xludf.DUMMYFUNCTION("""COMPUTED_VALUE"""),"4")</f>
        <v>4</v>
      </c>
      <c r="C6440" s="5" t="str">
        <f>IFERROR(__xludf.DUMMYFUNCTION("""COMPUTED_VALUE"""),"https://drive.google.com/file/d/1NDE7Wa7bB-5ETrP2N9ceaiNdk0n_kpFe/view?usp=drivesdk")</f>
        <v>https://drive.google.com/file/d/1NDE7Wa7bB-5ETrP2N9ceaiNdk0n_kpFe/view?usp=drivesdk</v>
      </c>
      <c r="D6440" s="12"/>
      <c r="E6440" s="11">
        <v>6488.0</v>
      </c>
      <c r="F6440" s="2"/>
    </row>
    <row r="6441" ht="1.5" customHeight="1">
      <c r="A6441" s="4" t="str">
        <f>IFERROR(__xludf.DUMMYFUNCTION("""COMPUTED_VALUE"""),"5. Eraser")</f>
        <v>5. Eraser</v>
      </c>
      <c r="B6441" s="4" t="str">
        <f>IFERROR(__xludf.DUMMYFUNCTION("""COMPUTED_VALUE"""),"5")</f>
        <v>5</v>
      </c>
      <c r="C6441" s="5" t="str">
        <f>IFERROR(__xludf.DUMMYFUNCTION("""COMPUTED_VALUE"""),"https://drive.google.com/file/d/1vaLf-I_5mWa_zgLK6fN98vEcN3m4tgAe/view?usp=drivesdk")</f>
        <v>https://drive.google.com/file/d/1vaLf-I_5mWa_zgLK6fN98vEcN3m4tgAe/view?usp=drivesdk</v>
      </c>
      <c r="D6441" s="12"/>
      <c r="E6441" s="11">
        <v>6489.0</v>
      </c>
      <c r="F6441" s="2"/>
    </row>
    <row r="6442" ht="1.5" customHeight="1">
      <c r="A6442" s="4" t="str">
        <f>IFERROR(__xludf.DUMMYFUNCTION("""COMPUTED_VALUE"""),"1. Microwave")</f>
        <v>1. Microwave</v>
      </c>
      <c r="B6442" s="4" t="str">
        <f>IFERROR(__xludf.DUMMYFUNCTION("""COMPUTED_VALUE"""),"1")</f>
        <v>1</v>
      </c>
      <c r="C6442" s="5" t="str">
        <f>IFERROR(__xludf.DUMMYFUNCTION("""COMPUTED_VALUE"""),"https://drive.google.com/file/d/16Ig-jlvIVI0LeGV8dIopZL2TuiijyIu2/view?usp=drivesdk")</f>
        <v>https://drive.google.com/file/d/16Ig-jlvIVI0LeGV8dIopZL2TuiijyIu2/view?usp=drivesdk</v>
      </c>
      <c r="D6442" s="12"/>
      <c r="E6442" s="11">
        <v>6490.0</v>
      </c>
      <c r="F6442" s="2"/>
    </row>
    <row r="6443" ht="1.5" customHeight="1">
      <c r="A6443" s="4" t="str">
        <f>IFERROR(__xludf.DUMMYFUNCTION("""COMPUTED_VALUE"""),"1. Microwave")</f>
        <v>1. Microwave</v>
      </c>
      <c r="B6443" s="4" t="str">
        <f>IFERROR(__xludf.DUMMYFUNCTION("""COMPUTED_VALUE"""),"1")</f>
        <v>1</v>
      </c>
      <c r="C6443" s="5" t="str">
        <f>IFERROR(__xludf.DUMMYFUNCTION("""COMPUTED_VALUE"""),"https://drive.google.com/file/d/1752vq8cYr2k8Yme-iGiNHuwhL4VBVq9B/view?usp=drivesdk")</f>
        <v>https://drive.google.com/file/d/1752vq8cYr2k8Yme-iGiNHuwhL4VBVq9B/view?usp=drivesdk</v>
      </c>
      <c r="D6443" s="12"/>
      <c r="E6443" s="11">
        <v>6491.0</v>
      </c>
      <c r="F6443" s="2"/>
    </row>
    <row r="6444" ht="1.5" customHeight="1">
      <c r="A6444" s="4" t="str">
        <f>IFERROR(__xludf.DUMMYFUNCTION("""COMPUTED_VALUE"""),"1. Microwave")</f>
        <v>1. Microwave</v>
      </c>
      <c r="B6444" s="4" t="str">
        <f>IFERROR(__xludf.DUMMYFUNCTION("""COMPUTED_VALUE"""),"1")</f>
        <v>1</v>
      </c>
      <c r="C6444" s="5" t="str">
        <f>IFERROR(__xludf.DUMMYFUNCTION("""COMPUTED_VALUE"""),"https://drive.google.com/file/d/1J5VY55zAUbFbWT3-ItXfzFX_rfgRqINp/view?usp=drivesdk")</f>
        <v>https://drive.google.com/file/d/1J5VY55zAUbFbWT3-ItXfzFX_rfgRqINp/view?usp=drivesdk</v>
      </c>
      <c r="D6444" s="12"/>
      <c r="E6444" s="11">
        <v>6492.0</v>
      </c>
      <c r="F6444" s="2"/>
    </row>
    <row r="6445" ht="1.5" customHeight="1">
      <c r="A6445" s="4" t="str">
        <f>IFERROR(__xludf.DUMMYFUNCTION("""COMPUTED_VALUE"""),"1. Microwave")</f>
        <v>1. Microwave</v>
      </c>
      <c r="B6445" s="4" t="str">
        <f>IFERROR(__xludf.DUMMYFUNCTION("""COMPUTED_VALUE"""),"1")</f>
        <v>1</v>
      </c>
      <c r="C6445" s="5" t="str">
        <f>IFERROR(__xludf.DUMMYFUNCTION("""COMPUTED_VALUE"""),"https://drive.google.com/file/d/1soJ2YgTDaZg4O1uQhFA12gbYkd0il1B0/view?usp=drivesdk")</f>
        <v>https://drive.google.com/file/d/1soJ2YgTDaZg4O1uQhFA12gbYkd0il1B0/view?usp=drivesdk</v>
      </c>
      <c r="D6445" s="12"/>
      <c r="E6445" s="11">
        <v>6493.0</v>
      </c>
      <c r="F6445" s="2"/>
    </row>
    <row r="6446" ht="1.5" customHeight="1">
      <c r="A6446" s="4" t="str">
        <f>IFERROR(__xludf.DUMMYFUNCTION("""COMPUTED_VALUE"""),"1. Microwave")</f>
        <v>1. Microwave</v>
      </c>
      <c r="B6446" s="4" t="str">
        <f>IFERROR(__xludf.DUMMYFUNCTION("""COMPUTED_VALUE"""),"1")</f>
        <v>1</v>
      </c>
      <c r="C6446" s="5" t="str">
        <f>IFERROR(__xludf.DUMMYFUNCTION("""COMPUTED_VALUE"""),"https://drive.google.com/file/d/1wFBpMo2jrCy9W2Kufj8Zb5nhhRfx6Eup/view?usp=drivesdk")</f>
        <v>https://drive.google.com/file/d/1wFBpMo2jrCy9W2Kufj8Zb5nhhRfx6Eup/view?usp=drivesdk</v>
      </c>
      <c r="D6446" s="12"/>
      <c r="E6446" s="11">
        <v>6494.0</v>
      </c>
      <c r="F6446" s="2"/>
    </row>
    <row r="6447" ht="1.5" customHeight="1">
      <c r="A6447" s="4" t="str">
        <f>IFERROR(__xludf.DUMMYFUNCTION("""COMPUTED_VALUE"""),"1. Microwave")</f>
        <v>1. Microwave</v>
      </c>
      <c r="B6447" s="4" t="str">
        <f>IFERROR(__xludf.DUMMYFUNCTION("""COMPUTED_VALUE"""),"1")</f>
        <v>1</v>
      </c>
      <c r="C6447" s="5" t="str">
        <f>IFERROR(__xludf.DUMMYFUNCTION("""COMPUTED_VALUE"""),"https://drive.google.com/file/d/1D8xYhQBaGaCVoDNKMj9kK2NXVaBJQMrP/view?usp=drivesdk")</f>
        <v>https://drive.google.com/file/d/1D8xYhQBaGaCVoDNKMj9kK2NXVaBJQMrP/view?usp=drivesdk</v>
      </c>
      <c r="D6447" s="12"/>
      <c r="E6447" s="11">
        <v>6495.0</v>
      </c>
      <c r="F6447" s="2"/>
    </row>
    <row r="6448" ht="1.5" customHeight="1">
      <c r="A6448" s="4" t="str">
        <f>IFERROR(__xludf.DUMMYFUNCTION("""COMPUTED_VALUE"""),"1. Microwave")</f>
        <v>1. Microwave</v>
      </c>
      <c r="B6448" s="4" t="str">
        <f>IFERROR(__xludf.DUMMYFUNCTION("""COMPUTED_VALUE"""),"1")</f>
        <v>1</v>
      </c>
      <c r="C6448" s="5" t="str">
        <f>IFERROR(__xludf.DUMMYFUNCTION("""COMPUTED_VALUE"""),"https://drive.google.com/file/d/1TcbzFWVr_tPA2eCPXHtl9i9EBsfHbwBc/view?usp=drivesdk")</f>
        <v>https://drive.google.com/file/d/1TcbzFWVr_tPA2eCPXHtl9i9EBsfHbwBc/view?usp=drivesdk</v>
      </c>
      <c r="D6448" s="12"/>
      <c r="E6448" s="11">
        <v>6496.0</v>
      </c>
      <c r="F6448" s="2"/>
    </row>
    <row r="6449" ht="1.5" customHeight="1">
      <c r="A6449" s="4" t="str">
        <f>IFERROR(__xludf.DUMMYFUNCTION("""COMPUTED_VALUE"""),"1. Microwave")</f>
        <v>1. Microwave</v>
      </c>
      <c r="B6449" s="4" t="str">
        <f>IFERROR(__xludf.DUMMYFUNCTION("""COMPUTED_VALUE"""),"1")</f>
        <v>1</v>
      </c>
      <c r="C6449" s="5" t="str">
        <f>IFERROR(__xludf.DUMMYFUNCTION("""COMPUTED_VALUE"""),"https://drive.google.com/file/d/11yJdnWe1Kf1u2bHS3_OgwbN7yMo6jBQu/view?usp=drivesdk")</f>
        <v>https://drive.google.com/file/d/11yJdnWe1Kf1u2bHS3_OgwbN7yMo6jBQu/view?usp=drivesdk</v>
      </c>
      <c r="D6449" s="12"/>
      <c r="E6449" s="11">
        <v>6497.0</v>
      </c>
      <c r="F6449" s="2"/>
    </row>
    <row r="6450" ht="1.5" customHeight="1">
      <c r="A6450" s="4" t="str">
        <f>IFERROR(__xludf.DUMMYFUNCTION("""COMPUTED_VALUE"""),"1. Microwave")</f>
        <v>1. Microwave</v>
      </c>
      <c r="B6450" s="4" t="str">
        <f>IFERROR(__xludf.DUMMYFUNCTION("""COMPUTED_VALUE"""),"1")</f>
        <v>1</v>
      </c>
      <c r="C6450" s="5" t="str">
        <f>IFERROR(__xludf.DUMMYFUNCTION("""COMPUTED_VALUE"""),"https://drive.google.com/file/d/1uVJjUZ5PDzvpmlQCGx2FpSvrUO6Ky-j1/view?usp=drivesdk")</f>
        <v>https://drive.google.com/file/d/1uVJjUZ5PDzvpmlQCGx2FpSvrUO6Ky-j1/view?usp=drivesdk</v>
      </c>
      <c r="D6450" s="12"/>
      <c r="E6450" s="11">
        <v>6498.0</v>
      </c>
      <c r="F6450" s="2"/>
    </row>
    <row r="6451" ht="1.5" customHeight="1">
      <c r="A6451" s="4" t="str">
        <f>IFERROR(__xludf.DUMMYFUNCTION("""COMPUTED_VALUE"""),"1. Microwave")</f>
        <v>1. Microwave</v>
      </c>
      <c r="B6451" s="4" t="str">
        <f>IFERROR(__xludf.DUMMYFUNCTION("""COMPUTED_VALUE"""),"1")</f>
        <v>1</v>
      </c>
      <c r="C6451" s="5" t="str">
        <f>IFERROR(__xludf.DUMMYFUNCTION("""COMPUTED_VALUE"""),"https://drive.google.com/file/d/1H03ofFq_QO1vJvYbNmh_atvkkjkriNoM/view?usp=drivesdk")</f>
        <v>https://drive.google.com/file/d/1H03ofFq_QO1vJvYbNmh_atvkkjkriNoM/view?usp=drivesdk</v>
      </c>
      <c r="D6451" s="12"/>
      <c r="E6451" s="11">
        <v>6499.0</v>
      </c>
      <c r="F6451" s="2"/>
    </row>
    <row r="6452" ht="1.5" customHeight="1">
      <c r="A6452" s="4" t="str">
        <f>IFERROR(__xludf.DUMMYFUNCTION("""COMPUTED_VALUE"""),"1. Microwave")</f>
        <v>1. Microwave</v>
      </c>
      <c r="B6452" s="4" t="str">
        <f>IFERROR(__xludf.DUMMYFUNCTION("""COMPUTED_VALUE"""),"1")</f>
        <v>1</v>
      </c>
      <c r="C6452" s="5" t="str">
        <f>IFERROR(__xludf.DUMMYFUNCTION("""COMPUTED_VALUE"""),"https://drive.google.com/file/d/1U4U_kkbC4j52fSvrT3pgcQYFhDqVJWAz/view?usp=drivesdk")</f>
        <v>https://drive.google.com/file/d/1U4U_kkbC4j52fSvrT3pgcQYFhDqVJWAz/view?usp=drivesdk</v>
      </c>
      <c r="D6452" s="12"/>
      <c r="E6452" s="11">
        <v>6500.0</v>
      </c>
      <c r="F6452" s="2"/>
    </row>
    <row r="6453" ht="1.5" customHeight="1">
      <c r="A6453" s="4" t="str">
        <f>IFERROR(__xludf.DUMMYFUNCTION("""COMPUTED_VALUE"""),"125. Conan Gray")</f>
        <v>125. Conan Gray</v>
      </c>
      <c r="B6453" s="4" t="str">
        <f>IFERROR(__xludf.DUMMYFUNCTION("""COMPUTED_VALUE"""),"125")</f>
        <v>125</v>
      </c>
      <c r="C6453" s="5" t="str">
        <f>IFERROR(__xludf.DUMMYFUNCTION("""COMPUTED_VALUE"""),"https://drive.google.com/file/d/1KkKFlqtrvgu8yL8NYC9ebBjIeBrgb-M_/view?usp=drivesdk")</f>
        <v>https://drive.google.com/file/d/1KkKFlqtrvgu8yL8NYC9ebBjIeBrgb-M_/view?usp=drivesdk</v>
      </c>
      <c r="D6453" s="12"/>
      <c r="E6453" s="11">
        <v>6501.0</v>
      </c>
      <c r="F6453" s="2"/>
    </row>
    <row r="6454" ht="1.5" customHeight="1">
      <c r="A6454" s="4" t="str">
        <f>IFERROR(__xludf.DUMMYFUNCTION("""COMPUTED_VALUE"""),"125. Conan Gray")</f>
        <v>125. Conan Gray</v>
      </c>
      <c r="B6454" s="4" t="str">
        <f>IFERROR(__xludf.DUMMYFUNCTION("""COMPUTED_VALUE"""),"125")</f>
        <v>125</v>
      </c>
      <c r="C6454" s="5" t="str">
        <f>IFERROR(__xludf.DUMMYFUNCTION("""COMPUTED_VALUE"""),"https://drive.google.com/file/d/1VFmnQg-fEN91kru4HWYvIPMJ1Zs_T1jC/view?usp=drivesdk")</f>
        <v>https://drive.google.com/file/d/1VFmnQg-fEN91kru4HWYvIPMJ1Zs_T1jC/view?usp=drivesdk</v>
      </c>
      <c r="D6454" s="12"/>
      <c r="E6454" s="11">
        <v>6502.0</v>
      </c>
      <c r="F6454" s="2"/>
    </row>
    <row r="6455" ht="1.5" customHeight="1">
      <c r="A6455" s="4" t="str">
        <f>IFERROR(__xludf.DUMMYFUNCTION("""COMPUTED_VALUE"""),"125. Conan Gray")</f>
        <v>125. Conan Gray</v>
      </c>
      <c r="B6455" s="4" t="str">
        <f>IFERROR(__xludf.DUMMYFUNCTION("""COMPUTED_VALUE"""),"125")</f>
        <v>125</v>
      </c>
      <c r="C6455" s="5" t="str">
        <f>IFERROR(__xludf.DUMMYFUNCTION("""COMPUTED_VALUE"""),"https://drive.google.com/file/d/1V299PwzqhPmlryJMaarOlqkIvKCaH99M/view?usp=drivesdk")</f>
        <v>https://drive.google.com/file/d/1V299PwzqhPmlryJMaarOlqkIvKCaH99M/view?usp=drivesdk</v>
      </c>
      <c r="D6455" s="12"/>
      <c r="E6455" s="11">
        <v>6503.0</v>
      </c>
      <c r="F6455" s="2"/>
    </row>
    <row r="6456" ht="1.5" customHeight="1">
      <c r="A6456" s="4" t="str">
        <f>IFERROR(__xludf.DUMMYFUNCTION("""COMPUTED_VALUE"""),"125. Conan Gray")</f>
        <v>125. Conan Gray</v>
      </c>
      <c r="B6456" s="4" t="str">
        <f>IFERROR(__xludf.DUMMYFUNCTION("""COMPUTED_VALUE"""),"125")</f>
        <v>125</v>
      </c>
      <c r="C6456" s="5" t="str">
        <f>IFERROR(__xludf.DUMMYFUNCTION("""COMPUTED_VALUE"""),"https://drive.google.com/file/d/1ycTGhurESVt-bUhkgTjeUn4PCSJokpGB/view?usp=drivesdk")</f>
        <v>https://drive.google.com/file/d/1ycTGhurESVt-bUhkgTjeUn4PCSJokpGB/view?usp=drivesdk</v>
      </c>
      <c r="D6456" s="12"/>
      <c r="E6456" s="11">
        <v>6504.0</v>
      </c>
      <c r="F6456" s="2"/>
    </row>
    <row r="6457" ht="1.5" customHeight="1">
      <c r="A6457" s="4" t="str">
        <f>IFERROR(__xludf.DUMMYFUNCTION("""COMPUTED_VALUE"""),"125. Conan Gray")</f>
        <v>125. Conan Gray</v>
      </c>
      <c r="B6457" s="4" t="str">
        <f>IFERROR(__xludf.DUMMYFUNCTION("""COMPUTED_VALUE"""),"125")</f>
        <v>125</v>
      </c>
      <c r="C6457" s="5" t="str">
        <f>IFERROR(__xludf.DUMMYFUNCTION("""COMPUTED_VALUE"""),"https://drive.google.com/file/d/1QTLMMrlLCOAkQKfakqpNmAncBopJxdwL/view?usp=drivesdk")</f>
        <v>https://drive.google.com/file/d/1QTLMMrlLCOAkQKfakqpNmAncBopJxdwL/view?usp=drivesdk</v>
      </c>
      <c r="D6457" s="12"/>
      <c r="E6457" s="11">
        <v>6505.0</v>
      </c>
      <c r="F6457" s="2"/>
    </row>
    <row r="6458" ht="1.5" customHeight="1">
      <c r="A6458" s="4" t="str">
        <f>IFERROR(__xludf.DUMMYFUNCTION("""COMPUTED_VALUE"""),"1. Microwave")</f>
        <v>1. Microwave</v>
      </c>
      <c r="B6458" s="4" t="str">
        <f>IFERROR(__xludf.DUMMYFUNCTION("""COMPUTED_VALUE"""),"1")</f>
        <v>1</v>
      </c>
      <c r="C6458" s="5" t="str">
        <f>IFERROR(__xludf.DUMMYFUNCTION("""COMPUTED_VALUE"""),"https://drive.google.com/file/d/1xbhGHETeT7GxH3BM1wkBU6s99m9Ixj38/view?usp=drivesdk")</f>
        <v>https://drive.google.com/file/d/1xbhGHETeT7GxH3BM1wkBU6s99m9Ixj38/view?usp=drivesdk</v>
      </c>
      <c r="D6458" s="12"/>
      <c r="E6458" s="11">
        <v>6506.0</v>
      </c>
      <c r="F6458" s="2"/>
    </row>
    <row r="6459" ht="1.5" customHeight="1">
      <c r="A6459" s="4" t="str">
        <f>IFERROR(__xludf.DUMMYFUNCTION("""COMPUTED_VALUE"""),"1. Microwave")</f>
        <v>1. Microwave</v>
      </c>
      <c r="B6459" s="4" t="str">
        <f>IFERROR(__xludf.DUMMYFUNCTION("""COMPUTED_VALUE"""),"1")</f>
        <v>1</v>
      </c>
      <c r="C6459" s="5" t="str">
        <f>IFERROR(__xludf.DUMMYFUNCTION("""COMPUTED_VALUE"""),"https://drive.google.com/file/d/1MkJLrBBJCX1Ybddt-3QuDF3x9dFC-6VI/view?usp=drivesdk")</f>
        <v>https://drive.google.com/file/d/1MkJLrBBJCX1Ybddt-3QuDF3x9dFC-6VI/view?usp=drivesdk</v>
      </c>
      <c r="D6459" s="12"/>
      <c r="E6459" s="11">
        <v>6507.0</v>
      </c>
      <c r="F6459" s="2"/>
    </row>
    <row r="6460" ht="1.5" customHeight="1">
      <c r="A6460" s="4" t="str">
        <f>IFERROR(__xludf.DUMMYFUNCTION("""COMPUTED_VALUE"""),"1. Microwave")</f>
        <v>1. Microwave</v>
      </c>
      <c r="B6460" s="4" t="str">
        <f>IFERROR(__xludf.DUMMYFUNCTION("""COMPUTED_VALUE"""),"1")</f>
        <v>1</v>
      </c>
      <c r="C6460" s="5" t="str">
        <f>IFERROR(__xludf.DUMMYFUNCTION("""COMPUTED_VALUE"""),"https://drive.google.com/file/d/1tX06DTgWN_qNbETnGY7rNHZSkxphcRQE/view?usp=drivesdk")</f>
        <v>https://drive.google.com/file/d/1tX06DTgWN_qNbETnGY7rNHZSkxphcRQE/view?usp=drivesdk</v>
      </c>
      <c r="D6460" s="12"/>
      <c r="E6460" s="11">
        <v>6508.0</v>
      </c>
      <c r="F6460" s="2"/>
    </row>
    <row r="6461" ht="1.5" customHeight="1">
      <c r="A6461" s="4" t="str">
        <f>IFERROR(__xludf.DUMMYFUNCTION("""COMPUTED_VALUE"""),"1. Microwave")</f>
        <v>1. Microwave</v>
      </c>
      <c r="B6461" s="4" t="str">
        <f>IFERROR(__xludf.DUMMYFUNCTION("""COMPUTED_VALUE"""),"1")</f>
        <v>1</v>
      </c>
      <c r="C6461" s="5" t="str">
        <f>IFERROR(__xludf.DUMMYFUNCTION("""COMPUTED_VALUE"""),"https://drive.google.com/file/d/1k34iqQ59GnBf5b4cy-ZgACZH0e368qoS/view?usp=drivesdk")</f>
        <v>https://drive.google.com/file/d/1k34iqQ59GnBf5b4cy-ZgACZH0e368qoS/view?usp=drivesdk</v>
      </c>
      <c r="D6461" s="12"/>
      <c r="E6461" s="11">
        <v>6509.0</v>
      </c>
      <c r="F6461" s="2"/>
    </row>
    <row r="6462" ht="1.5" customHeight="1">
      <c r="A6462" s="4" t="str">
        <f>IFERROR(__xludf.DUMMYFUNCTION("""COMPUTED_VALUE"""),"1. Microwave")</f>
        <v>1. Microwave</v>
      </c>
      <c r="B6462" s="4" t="str">
        <f>IFERROR(__xludf.DUMMYFUNCTION("""COMPUTED_VALUE"""),"1")</f>
        <v>1</v>
      </c>
      <c r="C6462" s="5" t="str">
        <f>IFERROR(__xludf.DUMMYFUNCTION("""COMPUTED_VALUE"""),"https://drive.google.com/file/d/1UVDh0b2hafquRpvJ1pkPhOyoIFXc6NgL/view?usp=drivesdk")</f>
        <v>https://drive.google.com/file/d/1UVDh0b2hafquRpvJ1pkPhOyoIFXc6NgL/view?usp=drivesdk</v>
      </c>
      <c r="D6462" s="12"/>
      <c r="E6462" s="11">
        <v>6510.0</v>
      </c>
      <c r="F6462" s="2"/>
    </row>
    <row r="6463" ht="1.5" customHeight="1">
      <c r="A6463" s="4" t="str">
        <f>IFERROR(__xludf.DUMMYFUNCTION("""COMPUTED_VALUE"""),"2. Twix")</f>
        <v>2. Twix</v>
      </c>
      <c r="B6463" s="4" t="str">
        <f>IFERROR(__xludf.DUMMYFUNCTION("""COMPUTED_VALUE"""),"2")</f>
        <v>2</v>
      </c>
      <c r="C6463" s="5" t="str">
        <f>IFERROR(__xludf.DUMMYFUNCTION("""COMPUTED_VALUE"""),"https://drive.google.com/file/d/1Cx32vzcs3BQ0i9YON2OJCEPriZnA_1vN/view?usp=drivesdk")</f>
        <v>https://drive.google.com/file/d/1Cx32vzcs3BQ0i9YON2OJCEPriZnA_1vN/view?usp=drivesdk</v>
      </c>
      <c r="D6463" s="12"/>
      <c r="E6463" s="11">
        <v>6511.0</v>
      </c>
      <c r="F6463" s="2"/>
    </row>
    <row r="6464" ht="1.5" customHeight="1">
      <c r="A6464" s="4" t="str">
        <f>IFERROR(__xludf.DUMMYFUNCTION("""COMPUTED_VALUE"""),"30. Pepper, 29. Ginger")</f>
        <v>30. Pepper, 29. Ginger</v>
      </c>
      <c r="B6464" s="4" t="str">
        <f>IFERROR(__xludf.DUMMYFUNCTION("""COMPUTED_VALUE"""),"30, 29")</f>
        <v>30, 29</v>
      </c>
      <c r="C6464" s="5" t="str">
        <f>IFERROR(__xludf.DUMMYFUNCTION("""COMPUTED_VALUE"""),"https://drive.google.com/file/d/15ZB8CBrngl7j1HENeFn6YvImJ4wbOERB/view?usp=drivesdk")</f>
        <v>https://drive.google.com/file/d/15ZB8CBrngl7j1HENeFn6YvImJ4wbOERB/view?usp=drivesdk</v>
      </c>
      <c r="D6464" s="12"/>
      <c r="E6464" s="11">
        <v>6512.0</v>
      </c>
      <c r="F6464" s="2"/>
    </row>
    <row r="6465" ht="1.5" customHeight="1">
      <c r="A6465" s="4" t="str">
        <f>IFERROR(__xludf.DUMMYFUNCTION("""COMPUTED_VALUE"""),"2. Twix")</f>
        <v>2. Twix</v>
      </c>
      <c r="B6465" s="4" t="str">
        <f>IFERROR(__xludf.DUMMYFUNCTION("""COMPUTED_VALUE"""),"2")</f>
        <v>2</v>
      </c>
      <c r="C6465" s="5" t="str">
        <f>IFERROR(__xludf.DUMMYFUNCTION("""COMPUTED_VALUE"""),"https://drive.google.com/file/d/1vbsxNiALPCjy8zU1IHMLUeW3ES_s_FOC/view?usp=drivesdk")</f>
        <v>https://drive.google.com/file/d/1vbsxNiALPCjy8zU1IHMLUeW3ES_s_FOC/view?usp=drivesdk</v>
      </c>
      <c r="D6465" s="12"/>
      <c r="E6465" s="11">
        <v>6513.0</v>
      </c>
      <c r="F6465" s="2"/>
    </row>
    <row r="6466" ht="1.5" customHeight="1">
      <c r="A6466" s="4" t="str">
        <f>IFERROR(__xludf.DUMMYFUNCTION("""COMPUTED_VALUE"""),"27. Angel")</f>
        <v>27. Angel</v>
      </c>
      <c r="B6466" s="4" t="str">
        <f>IFERROR(__xludf.DUMMYFUNCTION("""COMPUTED_VALUE"""),"27")</f>
        <v>27</v>
      </c>
      <c r="C6466" s="5" t="str">
        <f>IFERROR(__xludf.DUMMYFUNCTION("""COMPUTED_VALUE"""),"https://drive.google.com/file/d/1-ELnSJ5UlMTkG8yIlzHKg6qTJb7t5SZ2/view?usp=drivesdk")</f>
        <v>https://drive.google.com/file/d/1-ELnSJ5UlMTkG8yIlzHKg6qTJb7t5SZ2/view?usp=drivesdk</v>
      </c>
      <c r="D6466" s="12"/>
      <c r="E6466" s="11">
        <v>6514.0</v>
      </c>
      <c r="F6466" s="2"/>
    </row>
    <row r="6467" ht="1.5" customHeight="1">
      <c r="A6467" s="4" t="str">
        <f>IFERROR(__xludf.DUMMYFUNCTION("""COMPUTED_VALUE"""),"1. Microwave")</f>
        <v>1. Microwave</v>
      </c>
      <c r="B6467" s="4" t="str">
        <f>IFERROR(__xludf.DUMMYFUNCTION("""COMPUTED_VALUE"""),"1")</f>
        <v>1</v>
      </c>
      <c r="C6467" s="5" t="str">
        <f>IFERROR(__xludf.DUMMYFUNCTION("""COMPUTED_VALUE"""),"https://drive.google.com/file/d/1tT7nTcZsPuOSRrAG1W0tfEChEbo2bk2p/view?usp=drivesdk")</f>
        <v>https://drive.google.com/file/d/1tT7nTcZsPuOSRrAG1W0tfEChEbo2bk2p/view?usp=drivesdk</v>
      </c>
      <c r="D6467" s="12"/>
      <c r="E6467" s="11">
        <v>6515.0</v>
      </c>
      <c r="F6467" s="2"/>
    </row>
    <row r="6468" ht="1.5" customHeight="1">
      <c r="A6468" s="4" t="str">
        <f>IFERROR(__xludf.DUMMYFUNCTION("""COMPUTED_VALUE"""),"123. Temiquini")</f>
        <v>123. Temiquini</v>
      </c>
      <c r="B6468" s="4" t="str">
        <f>IFERROR(__xludf.DUMMYFUNCTION("""COMPUTED_VALUE"""),"123")</f>
        <v>123</v>
      </c>
      <c r="C6468" s="5" t="str">
        <f>IFERROR(__xludf.DUMMYFUNCTION("""COMPUTED_VALUE"""),"https://drive.google.com/file/d/1u2M4TS9Hd9ZASgPTwK3ZtGebKSMhSqdF/view?usp=drivesdk")</f>
        <v>https://drive.google.com/file/d/1u2M4TS9Hd9ZASgPTwK3ZtGebKSMhSqdF/view?usp=drivesdk</v>
      </c>
      <c r="D6468" s="12"/>
      <c r="E6468" s="11">
        <v>6516.0</v>
      </c>
      <c r="F6468" s="2"/>
    </row>
    <row r="6469" ht="1.5" customHeight="1">
      <c r="A6469" s="4" t="str">
        <f>IFERROR(__xludf.DUMMYFUNCTION("""COMPUTED_VALUE"""),"123. Temiquini")</f>
        <v>123. Temiquini</v>
      </c>
      <c r="B6469" s="4" t="str">
        <f>IFERROR(__xludf.DUMMYFUNCTION("""COMPUTED_VALUE"""),"123")</f>
        <v>123</v>
      </c>
      <c r="C6469" s="5" t="str">
        <f>IFERROR(__xludf.DUMMYFUNCTION("""COMPUTED_VALUE"""),"https://drive.google.com/file/d/1aohdwlv-FR48jHxpAnwh7oqJufXWCCqh/view?usp=drivesdk")</f>
        <v>https://drive.google.com/file/d/1aohdwlv-FR48jHxpAnwh7oqJufXWCCqh/view?usp=drivesdk</v>
      </c>
      <c r="D6469" s="12"/>
      <c r="E6469" s="11">
        <v>6517.0</v>
      </c>
      <c r="F6469" s="2"/>
    </row>
    <row r="6470" ht="1.5" customHeight="1">
      <c r="A6470" s="4" t="str">
        <f>IFERROR(__xludf.DUMMYFUNCTION("""COMPUTED_VALUE"""),"123. Temiquini")</f>
        <v>123. Temiquini</v>
      </c>
      <c r="B6470" s="4" t="str">
        <f>IFERROR(__xludf.DUMMYFUNCTION("""COMPUTED_VALUE"""),"123")</f>
        <v>123</v>
      </c>
      <c r="C6470" s="5" t="str">
        <f>IFERROR(__xludf.DUMMYFUNCTION("""COMPUTED_VALUE"""),"https://drive.google.com/file/d/1zwSFGgIgIZ3GIo94CVPP2hB-18n7y0TX/view?usp=drivesdk")</f>
        <v>https://drive.google.com/file/d/1zwSFGgIgIZ3GIo94CVPP2hB-18n7y0TX/view?usp=drivesdk</v>
      </c>
      <c r="D6470" s="12"/>
      <c r="E6470" s="11">
        <v>6518.0</v>
      </c>
      <c r="F6470" s="2"/>
    </row>
    <row r="6471" ht="1.5" customHeight="1">
      <c r="A6471" s="4" t="str">
        <f>IFERROR(__xludf.DUMMYFUNCTION("""COMPUTED_VALUE"""),"123. Temiquini, 116. Itzel")</f>
        <v>123. Temiquini, 116. Itzel</v>
      </c>
      <c r="B6471" s="4" t="str">
        <f>IFERROR(__xludf.DUMMYFUNCTION("""COMPUTED_VALUE"""),"123, 116")</f>
        <v>123, 116</v>
      </c>
      <c r="C6471" s="5" t="str">
        <f>IFERROR(__xludf.DUMMYFUNCTION("""COMPUTED_VALUE"""),"https://drive.google.com/file/d/1j--O8NVftHR1P7tPYcgsVQBDaXUKNCIi/view?usp=drivesdk")</f>
        <v>https://drive.google.com/file/d/1j--O8NVftHR1P7tPYcgsVQBDaXUKNCIi/view?usp=drivesdk</v>
      </c>
      <c r="D6471" s="12"/>
      <c r="E6471" s="11">
        <v>6519.0</v>
      </c>
      <c r="F6471" s="2"/>
    </row>
    <row r="6472" ht="1.5" customHeight="1">
      <c r="A6472" s="4" t="str">
        <f>IFERROR(__xludf.DUMMYFUNCTION("""COMPUTED_VALUE"""),"123. Temiquini, 116. Itzel")</f>
        <v>123. Temiquini, 116. Itzel</v>
      </c>
      <c r="B6472" s="4" t="str">
        <f>IFERROR(__xludf.DUMMYFUNCTION("""COMPUTED_VALUE"""),"123, 116")</f>
        <v>123, 116</v>
      </c>
      <c r="C6472" s="5" t="str">
        <f>IFERROR(__xludf.DUMMYFUNCTION("""COMPUTED_VALUE"""),"https://drive.google.com/file/d/1ZbW0_xiO-9qVy9kIO8qvOX9OGZeXI5uq/view?usp=drivesdk")</f>
        <v>https://drive.google.com/file/d/1ZbW0_xiO-9qVy9kIO8qvOX9OGZeXI5uq/view?usp=drivesdk</v>
      </c>
      <c r="D6472" s="12"/>
      <c r="E6472" s="11">
        <v>6520.0</v>
      </c>
      <c r="F6472" s="2"/>
    </row>
    <row r="6473" ht="1.5" customHeight="1">
      <c r="A6473" s="4" t="str">
        <f>IFERROR(__xludf.DUMMYFUNCTION("""COMPUTED_VALUE"""),"116. Itzel, 123. Temiquini")</f>
        <v>116. Itzel, 123. Temiquini</v>
      </c>
      <c r="B6473" s="4" t="str">
        <f>IFERROR(__xludf.DUMMYFUNCTION("""COMPUTED_VALUE"""),"116, 123")</f>
        <v>116, 123</v>
      </c>
      <c r="C6473" s="5" t="str">
        <f>IFERROR(__xludf.DUMMYFUNCTION("""COMPUTED_VALUE"""),"https://drive.google.com/file/d/1wR4JuNB1XTufRbkLquClt6bdA4WH7-i-/view?usp=drivesdk")</f>
        <v>https://drive.google.com/file/d/1wR4JuNB1XTufRbkLquClt6bdA4WH7-i-/view?usp=drivesdk</v>
      </c>
      <c r="D6473" s="12"/>
      <c r="E6473" s="11">
        <v>6521.0</v>
      </c>
      <c r="F6473" s="2"/>
    </row>
    <row r="6474" ht="1.5" customHeight="1">
      <c r="A6474" s="4" t="str">
        <f>IFERROR(__xludf.DUMMYFUNCTION("""COMPUTED_VALUE"""),"80. Atzi")</f>
        <v>80. Atzi</v>
      </c>
      <c r="B6474" s="4" t="str">
        <f>IFERROR(__xludf.DUMMYFUNCTION("""COMPUTED_VALUE"""),"80")</f>
        <v>80</v>
      </c>
      <c r="C6474" s="5" t="str">
        <f>IFERROR(__xludf.DUMMYFUNCTION("""COMPUTED_VALUE"""),"https://drive.google.com/file/d/15TTIofllYCHFyfuU91QCXJNaJwiHFRkU/view?usp=drivesdk")</f>
        <v>https://drive.google.com/file/d/15TTIofllYCHFyfuU91QCXJNaJwiHFRkU/view?usp=drivesdk</v>
      </c>
      <c r="D6474" s="12"/>
      <c r="E6474" s="11">
        <v>6522.0</v>
      </c>
      <c r="F6474" s="2"/>
    </row>
    <row r="6475" ht="1.5" customHeight="1">
      <c r="A6475" s="4" t="str">
        <f>IFERROR(__xludf.DUMMYFUNCTION("""COMPUTED_VALUE"""),"80. Atzi, 116. Itzel")</f>
        <v>80. Atzi, 116. Itzel</v>
      </c>
      <c r="B6475" s="4" t="str">
        <f>IFERROR(__xludf.DUMMYFUNCTION("""COMPUTED_VALUE"""),"80, 116")</f>
        <v>80, 116</v>
      </c>
      <c r="C6475" s="5" t="str">
        <f>IFERROR(__xludf.DUMMYFUNCTION("""COMPUTED_VALUE"""),"https://drive.google.com/file/d/1RSsGgJH6j0_ZKCbc9OzQD05oCkSuRx_P/view?usp=drivesdk")</f>
        <v>https://drive.google.com/file/d/1RSsGgJH6j0_ZKCbc9OzQD05oCkSuRx_P/view?usp=drivesdk</v>
      </c>
      <c r="D6475" s="12"/>
      <c r="E6475" s="11">
        <v>6523.0</v>
      </c>
      <c r="F6475" s="2"/>
    </row>
    <row r="6476" ht="1.5" customHeight="1">
      <c r="A6476" s="4" t="str">
        <f>IFERROR(__xludf.DUMMYFUNCTION("""COMPUTED_VALUE"""),"80. Atzi, 116. Itzel")</f>
        <v>80. Atzi, 116. Itzel</v>
      </c>
      <c r="B6476" s="4" t="str">
        <f>IFERROR(__xludf.DUMMYFUNCTION("""COMPUTED_VALUE"""),"80, 116")</f>
        <v>80, 116</v>
      </c>
      <c r="C6476" s="5" t="str">
        <f>IFERROR(__xludf.DUMMYFUNCTION("""COMPUTED_VALUE"""),"https://drive.google.com/file/d/17JOYhSnrMrDlRg1G_3OBMZ_lp5staVGO/view?usp=drivesdk")</f>
        <v>https://drive.google.com/file/d/17JOYhSnrMrDlRg1G_3OBMZ_lp5staVGO/view?usp=drivesdk</v>
      </c>
      <c r="D6476" s="12"/>
      <c r="E6476" s="11">
        <v>6524.0</v>
      </c>
      <c r="F6476" s="2"/>
    </row>
    <row r="6477" ht="1.5" customHeight="1">
      <c r="A6477" s="4" t="str">
        <f>IFERROR(__xludf.DUMMYFUNCTION("""COMPUTED_VALUE"""),"116. Itzel")</f>
        <v>116. Itzel</v>
      </c>
      <c r="B6477" s="4" t="str">
        <f>IFERROR(__xludf.DUMMYFUNCTION("""COMPUTED_VALUE"""),"116")</f>
        <v>116</v>
      </c>
      <c r="C6477" s="5" t="str">
        <f>IFERROR(__xludf.DUMMYFUNCTION("""COMPUTED_VALUE"""),"https://drive.google.com/file/d/1fPNGz5de65zpLa51C58_JUfxCD3Zn12F/view?usp=drivesdk")</f>
        <v>https://drive.google.com/file/d/1fPNGz5de65zpLa51C58_JUfxCD3Zn12F/view?usp=drivesdk</v>
      </c>
      <c r="D6477" s="12"/>
      <c r="E6477" s="11">
        <v>6525.0</v>
      </c>
      <c r="F6477" s="2"/>
    </row>
    <row r="6478" ht="1.5" customHeight="1">
      <c r="A6478" s="4" t="str">
        <f>IFERROR(__xludf.DUMMYFUNCTION("""COMPUTED_VALUE"""),"99. Nezhui")</f>
        <v>99. Nezhui</v>
      </c>
      <c r="B6478" s="4" t="str">
        <f>IFERROR(__xludf.DUMMYFUNCTION("""COMPUTED_VALUE"""),"99")</f>
        <v>99</v>
      </c>
      <c r="C6478" s="5" t="str">
        <f>IFERROR(__xludf.DUMMYFUNCTION("""COMPUTED_VALUE"""),"https://drive.google.com/file/d/1JXzZ9G3-1EczTK-raXy3gLnEQaVlQojv/view?usp=drivesdk")</f>
        <v>https://drive.google.com/file/d/1JXzZ9G3-1EczTK-raXy3gLnEQaVlQojv/view?usp=drivesdk</v>
      </c>
      <c r="D6478" s="12"/>
      <c r="E6478" s="11">
        <v>6526.0</v>
      </c>
      <c r="F6478" s="2"/>
    </row>
    <row r="6479" ht="1.5" customHeight="1">
      <c r="A6479" s="4" t="str">
        <f>IFERROR(__xludf.DUMMYFUNCTION("""COMPUTED_VALUE"""),"99. Nezhui")</f>
        <v>99. Nezhui</v>
      </c>
      <c r="B6479" s="4" t="str">
        <f>IFERROR(__xludf.DUMMYFUNCTION("""COMPUTED_VALUE"""),"99")</f>
        <v>99</v>
      </c>
      <c r="C6479" s="5" t="str">
        <f>IFERROR(__xludf.DUMMYFUNCTION("""COMPUTED_VALUE"""),"https://drive.google.com/file/d/16t7-vCdYTe7rPtxQsX6WpstHtIn6Tkdr/view?usp=drivesdk")</f>
        <v>https://drive.google.com/file/d/16t7-vCdYTe7rPtxQsX6WpstHtIn6Tkdr/view?usp=drivesdk</v>
      </c>
      <c r="D6479" s="12"/>
      <c r="E6479" s="11">
        <v>6527.0</v>
      </c>
      <c r="F6479" s="2"/>
    </row>
    <row r="6480" ht="1.5" customHeight="1">
      <c r="A6480" s="4" t="str">
        <f>IFERROR(__xludf.DUMMYFUNCTION("""COMPUTED_VALUE"""),"105. Chilton")</f>
        <v>105. Chilton</v>
      </c>
      <c r="B6480" s="4" t="str">
        <f>IFERROR(__xludf.DUMMYFUNCTION("""COMPUTED_VALUE"""),"105")</f>
        <v>105</v>
      </c>
      <c r="C6480" s="5" t="str">
        <f>IFERROR(__xludf.DUMMYFUNCTION("""COMPUTED_VALUE"""),"https://drive.google.com/file/d/1X__748BChPnsZaJpByBlTPOeX4HxFfUY/view?usp=drivesdk")</f>
        <v>https://drive.google.com/file/d/1X__748BChPnsZaJpByBlTPOeX4HxFfUY/view?usp=drivesdk</v>
      </c>
      <c r="D6480" s="12"/>
      <c r="E6480" s="11">
        <v>6528.0</v>
      </c>
      <c r="F6480" s="2"/>
    </row>
    <row r="6481" ht="1.5" customHeight="1">
      <c r="A6481" s="4" t="str">
        <f>IFERROR(__xludf.DUMMYFUNCTION("""COMPUTED_VALUE"""),"126. Tax Evasion")</f>
        <v>126. Tax Evasion</v>
      </c>
      <c r="B6481" s="4" t="str">
        <f>IFERROR(__xludf.DUMMYFUNCTION("""COMPUTED_VALUE"""),"126")</f>
        <v>126</v>
      </c>
      <c r="C6481" s="5" t="str">
        <f>IFERROR(__xludf.DUMMYFUNCTION("""COMPUTED_VALUE"""),"https://drive.google.com/file/d/1uD7ki3YAT-vu5e65iPlozwkThxsZ7NBz/view?usp=drivesdk")</f>
        <v>https://drive.google.com/file/d/1uD7ki3YAT-vu5e65iPlozwkThxsZ7NBz/view?usp=drivesdk</v>
      </c>
      <c r="D6481" s="12"/>
      <c r="E6481" s="11">
        <v>6529.0</v>
      </c>
      <c r="F6481" s="2"/>
    </row>
    <row r="6482" ht="1.5" customHeight="1">
      <c r="A6482" s="4" t="str">
        <f>IFERROR(__xludf.DUMMYFUNCTION("""COMPUTED_VALUE"""),"0. NotACat")</f>
        <v>0. NotACat</v>
      </c>
      <c r="B6482" s="4" t="str">
        <f>IFERROR(__xludf.DUMMYFUNCTION("""COMPUTED_VALUE"""),"0")</f>
        <v>0</v>
      </c>
      <c r="C6482" s="5" t="str">
        <f>IFERROR(__xludf.DUMMYFUNCTION("""COMPUTED_VALUE"""),"https://drive.google.com/file/d/1PYn2SIsjArjnrgqu_ZjelcAHGrI4U2a2/view?usp=drivesdk")</f>
        <v>https://drive.google.com/file/d/1PYn2SIsjArjnrgqu_ZjelcAHGrI4U2a2/view?usp=drivesdk</v>
      </c>
      <c r="D6482" s="12"/>
      <c r="E6482" s="11">
        <v>6530.0</v>
      </c>
      <c r="F6482" s="2"/>
    </row>
    <row r="6483" ht="1.5" customHeight="1">
      <c r="A6483" s="4" t="str">
        <f>IFERROR(__xludf.DUMMYFUNCTION("""COMPUTED_VALUE"""),"80. Atzi, 116. Itzel")</f>
        <v>80. Atzi, 116. Itzel</v>
      </c>
      <c r="B6483" s="4" t="str">
        <f>IFERROR(__xludf.DUMMYFUNCTION("""COMPUTED_VALUE"""),"80, 116")</f>
        <v>80, 116</v>
      </c>
      <c r="C6483" s="5" t="str">
        <f>IFERROR(__xludf.DUMMYFUNCTION("""COMPUTED_VALUE"""),"https://drive.google.com/file/d/17ykqWLOr2Fw3fFBYQjaT8mjmwyX9FEFZ/view?usp=drivesdk")</f>
        <v>https://drive.google.com/file/d/17ykqWLOr2Fw3fFBYQjaT8mjmwyX9FEFZ/view?usp=drivesdk</v>
      </c>
      <c r="D6483" s="12"/>
      <c r="E6483" s="11">
        <v>6531.0</v>
      </c>
      <c r="F6483" s="2"/>
    </row>
    <row r="6484" ht="1.5" customHeight="1">
      <c r="A6484" s="4" t="str">
        <f>IFERROR(__xludf.DUMMYFUNCTION("""COMPUTED_VALUE"""),"21. Paquini")</f>
        <v>21. Paquini</v>
      </c>
      <c r="B6484" s="4" t="str">
        <f>IFERROR(__xludf.DUMMYFUNCTION("""COMPUTED_VALUE"""),"21")</f>
        <v>21</v>
      </c>
      <c r="C6484" s="5" t="str">
        <f>IFERROR(__xludf.DUMMYFUNCTION("""COMPUTED_VALUE"""),"https://drive.google.com/file/d/1kZxkJMNPvlxNDebVwBy3mBZbhxxLCrPX/view?usp=drivesdk")</f>
        <v>https://drive.google.com/file/d/1kZxkJMNPvlxNDebVwBy3mBZbhxxLCrPX/view?usp=drivesdk</v>
      </c>
      <c r="D6484" s="12"/>
      <c r="E6484" s="11">
        <v>6532.0</v>
      </c>
      <c r="F6484" s="2"/>
    </row>
    <row r="6485" ht="1.5" customHeight="1">
      <c r="A6485" s="4" t="str">
        <f>IFERROR(__xludf.DUMMYFUNCTION("""COMPUTED_VALUE"""),"93. Meatball")</f>
        <v>93. Meatball</v>
      </c>
      <c r="B6485" s="4" t="str">
        <f>IFERROR(__xludf.DUMMYFUNCTION("""COMPUTED_VALUE"""),"93")</f>
        <v>93</v>
      </c>
      <c r="C6485" s="5" t="str">
        <f>IFERROR(__xludf.DUMMYFUNCTION("""COMPUTED_VALUE"""),"https://drive.google.com/file/d/1tnYvOlCCkK3XLHRuTRh9UA59uBI7AbJM/view?usp=drivesdk")</f>
        <v>https://drive.google.com/file/d/1tnYvOlCCkK3XLHRuTRh9UA59uBI7AbJM/view?usp=drivesdk</v>
      </c>
      <c r="D6485" s="12"/>
      <c r="E6485" s="11">
        <v>6533.0</v>
      </c>
      <c r="F6485" s="2"/>
    </row>
    <row r="6486" ht="1.5" customHeight="1">
      <c r="A6486" s="4" t="str">
        <f>IFERROR(__xludf.DUMMYFUNCTION("""COMPUTED_VALUE"""),"1. Microwave")</f>
        <v>1. Microwave</v>
      </c>
      <c r="B6486" s="4" t="str">
        <f>IFERROR(__xludf.DUMMYFUNCTION("""COMPUTED_VALUE"""),"1")</f>
        <v>1</v>
      </c>
      <c r="C6486" s="5" t="str">
        <f>IFERROR(__xludf.DUMMYFUNCTION("""COMPUTED_VALUE"""),"https://drive.google.com/file/d/1cV6JgK3kSRSa3hLlPmdWz1cDHE2UGi0Z/view?usp=drivesdk")</f>
        <v>https://drive.google.com/file/d/1cV6JgK3kSRSa3hLlPmdWz1cDHE2UGi0Z/view?usp=drivesdk</v>
      </c>
      <c r="D6486" s="12"/>
      <c r="E6486" s="11">
        <v>6534.0</v>
      </c>
      <c r="F6486" s="2"/>
    </row>
    <row r="6487" ht="1.5" customHeight="1">
      <c r="A6487" s="4" t="str">
        <f>IFERROR(__xludf.DUMMYFUNCTION("""COMPUTED_VALUE"""),"1. Microwave")</f>
        <v>1. Microwave</v>
      </c>
      <c r="B6487" s="4" t="str">
        <f>IFERROR(__xludf.DUMMYFUNCTION("""COMPUTED_VALUE"""),"1")</f>
        <v>1</v>
      </c>
      <c r="C6487" s="5" t="str">
        <f>IFERROR(__xludf.DUMMYFUNCTION("""COMPUTED_VALUE"""),"https://drive.google.com/file/d/1EmFKc3xLOHDJ-3St0RjLXZuGq1DZR5U4/view?usp=drivesdk")</f>
        <v>https://drive.google.com/file/d/1EmFKc3xLOHDJ-3St0RjLXZuGq1DZR5U4/view?usp=drivesdk</v>
      </c>
      <c r="D6487" s="12"/>
      <c r="E6487" s="11">
        <v>6535.0</v>
      </c>
      <c r="F6487" s="2"/>
    </row>
    <row r="6488" ht="1.5" customHeight="1">
      <c r="A6488" s="4" t="str">
        <f>IFERROR(__xludf.DUMMYFUNCTION("""COMPUTED_VALUE"""),"5. Eraser, 4. Eggs")</f>
        <v>5. Eraser, 4. Eggs</v>
      </c>
      <c r="B6488" s="4" t="str">
        <f>IFERROR(__xludf.DUMMYFUNCTION("""COMPUTED_VALUE"""),"5, 4")</f>
        <v>5, 4</v>
      </c>
      <c r="C6488" s="5" t="str">
        <f>IFERROR(__xludf.DUMMYFUNCTION("""COMPUTED_VALUE"""),"https://drive.google.com/file/d/1eeiGBL3w9QOdRoxTDeVAgE9-_-WhqWt2/view?usp=drivesdk")</f>
        <v>https://drive.google.com/file/d/1eeiGBL3w9QOdRoxTDeVAgE9-_-WhqWt2/view?usp=drivesdk</v>
      </c>
      <c r="D6488" s="12"/>
      <c r="E6488" s="11">
        <v>6536.0</v>
      </c>
      <c r="F6488" s="2"/>
    </row>
    <row r="6489" ht="1.5" customHeight="1">
      <c r="A6489" s="4" t="str">
        <f>IFERROR(__xludf.DUMMYFUNCTION("""COMPUTED_VALUE"""),"4. Eggs, 5. Eraser")</f>
        <v>4. Eggs, 5. Eraser</v>
      </c>
      <c r="B6489" s="4" t="str">
        <f>IFERROR(__xludf.DUMMYFUNCTION("""COMPUTED_VALUE"""),"4, 5")</f>
        <v>4, 5</v>
      </c>
      <c r="C6489" s="5" t="str">
        <f>IFERROR(__xludf.DUMMYFUNCTION("""COMPUTED_VALUE"""),"https://drive.google.com/file/d/16Kcn9mgl4PNIaL_e7Ye6Dqo-diP5ZE0y/view?usp=drivesdk")</f>
        <v>https://drive.google.com/file/d/16Kcn9mgl4PNIaL_e7Ye6Dqo-diP5ZE0y/view?usp=drivesdk</v>
      </c>
      <c r="D6489" s="12"/>
      <c r="E6489" s="11">
        <v>6537.0</v>
      </c>
      <c r="F6489" s="2"/>
    </row>
    <row r="6490" ht="1.5" customHeight="1">
      <c r="A6490" s="4" t="str">
        <f>IFERROR(__xludf.DUMMYFUNCTION("""COMPUTED_VALUE"""),"4. Eggs, 5. Eraser")</f>
        <v>4. Eggs, 5. Eraser</v>
      </c>
      <c r="B6490" s="4" t="str">
        <f>IFERROR(__xludf.DUMMYFUNCTION("""COMPUTED_VALUE"""),"4, 5")</f>
        <v>4, 5</v>
      </c>
      <c r="C6490" s="5" t="str">
        <f>IFERROR(__xludf.DUMMYFUNCTION("""COMPUTED_VALUE"""),"https://drive.google.com/file/d/1NpnYmv4UWrRNG3QSK7ZUc2bOCkylcmx_/view?usp=drivesdk")</f>
        <v>https://drive.google.com/file/d/1NpnYmv4UWrRNG3QSK7ZUc2bOCkylcmx_/view?usp=drivesdk</v>
      </c>
      <c r="D6490" s="12"/>
      <c r="E6490" s="11">
        <v>6538.0</v>
      </c>
      <c r="F6490" s="2"/>
    </row>
    <row r="6491" ht="1.5" customHeight="1">
      <c r="A6491" s="4" t="str">
        <f>IFERROR(__xludf.DUMMYFUNCTION("""COMPUTED_VALUE"""),"2. Twix")</f>
        <v>2. Twix</v>
      </c>
      <c r="B6491" s="4" t="str">
        <f>IFERROR(__xludf.DUMMYFUNCTION("""COMPUTED_VALUE"""),"2")</f>
        <v>2</v>
      </c>
      <c r="C6491" s="5" t="str">
        <f>IFERROR(__xludf.DUMMYFUNCTION("""COMPUTED_VALUE"""),"https://drive.google.com/file/d/1vFcd3muxo4aTssjh1HaiFYdEWJ1NRDt1/view?usp=drivesdk")</f>
        <v>https://drive.google.com/file/d/1vFcd3muxo4aTssjh1HaiFYdEWJ1NRDt1/view?usp=drivesdk</v>
      </c>
      <c r="D6491" s="12"/>
      <c r="E6491" s="11">
        <v>6539.0</v>
      </c>
      <c r="F6491" s="2"/>
    </row>
    <row r="6492" ht="1.5" customHeight="1">
      <c r="A6492" s="4" t="str">
        <f>IFERROR(__xludf.DUMMYFUNCTION("""COMPUTED_VALUE"""),"2. Twix")</f>
        <v>2. Twix</v>
      </c>
      <c r="B6492" s="4" t="str">
        <f>IFERROR(__xludf.DUMMYFUNCTION("""COMPUTED_VALUE"""),"2")</f>
        <v>2</v>
      </c>
      <c r="C6492" s="5" t="str">
        <f>IFERROR(__xludf.DUMMYFUNCTION("""COMPUTED_VALUE"""),"https://drive.google.com/file/d/10nfCQQ2O-RES_-1au2G63pJ4zK4sBlMv/view?usp=drivesdk")</f>
        <v>https://drive.google.com/file/d/10nfCQQ2O-RES_-1au2G63pJ4zK4sBlMv/view?usp=drivesdk</v>
      </c>
      <c r="D6492" s="12"/>
      <c r="E6492" s="11">
        <v>6540.0</v>
      </c>
      <c r="F6492" s="2"/>
    </row>
    <row r="6493" ht="1.5" customHeight="1">
      <c r="A6493" s="4" t="str">
        <f>IFERROR(__xludf.DUMMYFUNCTION("""COMPUTED_VALUE"""),"4. Eggs, 5. Eraser, 2. Twix")</f>
        <v>4. Eggs, 5. Eraser, 2. Twix</v>
      </c>
      <c r="B6493" s="4" t="str">
        <f>IFERROR(__xludf.DUMMYFUNCTION("""COMPUTED_VALUE"""),"4, 5, 2")</f>
        <v>4, 5, 2</v>
      </c>
      <c r="C6493" s="5" t="str">
        <f>IFERROR(__xludf.DUMMYFUNCTION("""COMPUTED_VALUE"""),"https://drive.google.com/file/d/1IcIKm9OA_Yg7cjcawxNqEhx6QMh2Urqp/view?usp=drivesdk")</f>
        <v>https://drive.google.com/file/d/1IcIKm9OA_Yg7cjcawxNqEhx6QMh2Urqp/view?usp=drivesdk</v>
      </c>
      <c r="D6493" s="12"/>
      <c r="E6493" s="11">
        <v>6541.0</v>
      </c>
      <c r="F6493" s="2"/>
    </row>
    <row r="6494" ht="1.5" customHeight="1">
      <c r="A6494" s="4" t="str">
        <f>IFERROR(__xludf.DUMMYFUNCTION("""COMPUTED_VALUE"""),"9. Melvin")</f>
        <v>9. Melvin</v>
      </c>
      <c r="B6494" s="4" t="str">
        <f>IFERROR(__xludf.DUMMYFUNCTION("""COMPUTED_VALUE"""),"9")</f>
        <v>9</v>
      </c>
      <c r="C6494" s="5" t="str">
        <f>IFERROR(__xludf.DUMMYFUNCTION("""COMPUTED_VALUE"""),"https://drive.google.com/file/d/1W9EghoQC0ByXuXK7q6X1KxAccoYAgup4/view?usp=drivesdk")</f>
        <v>https://drive.google.com/file/d/1W9EghoQC0ByXuXK7q6X1KxAccoYAgup4/view?usp=drivesdk</v>
      </c>
      <c r="D6494" s="12"/>
      <c r="E6494" s="11">
        <v>6542.0</v>
      </c>
      <c r="F6494" s="2"/>
    </row>
    <row r="6495" ht="1.5" customHeight="1">
      <c r="A6495" s="4" t="str">
        <f>IFERROR(__xludf.DUMMYFUNCTION("""COMPUTED_VALUE"""),"4. Eggs, 5. Eraser")</f>
        <v>4. Eggs, 5. Eraser</v>
      </c>
      <c r="B6495" s="4" t="str">
        <f>IFERROR(__xludf.DUMMYFUNCTION("""COMPUTED_VALUE"""),"4, 5")</f>
        <v>4, 5</v>
      </c>
      <c r="C6495" s="5" t="str">
        <f>IFERROR(__xludf.DUMMYFUNCTION("""COMPUTED_VALUE"""),"https://drive.google.com/file/d/1WCuMxGMWa74KRfS1JBAwhYJ2oTgTj8GF/view?usp=drivesdk")</f>
        <v>https://drive.google.com/file/d/1WCuMxGMWa74KRfS1JBAwhYJ2oTgTj8GF/view?usp=drivesdk</v>
      </c>
      <c r="D6495" s="12"/>
      <c r="E6495" s="11">
        <v>6543.0</v>
      </c>
      <c r="F6495" s="2"/>
    </row>
    <row r="6496" ht="1.5" customHeight="1">
      <c r="A6496" s="4" t="str">
        <f>IFERROR(__xludf.DUMMYFUNCTION("""COMPUTED_VALUE"""),"9. Melvin")</f>
        <v>9. Melvin</v>
      </c>
      <c r="B6496" s="4" t="str">
        <f>IFERROR(__xludf.DUMMYFUNCTION("""COMPUTED_VALUE"""),"9")</f>
        <v>9</v>
      </c>
      <c r="C6496" s="5" t="str">
        <f>IFERROR(__xludf.DUMMYFUNCTION("""COMPUTED_VALUE"""),"https://drive.google.com/file/d/1IL_pt4A5faXBPzP2ESfrS8iz4g5N_4gI/view?usp=drivesdk")</f>
        <v>https://drive.google.com/file/d/1IL_pt4A5faXBPzP2ESfrS8iz4g5N_4gI/view?usp=drivesdk</v>
      </c>
      <c r="D6496" s="12"/>
      <c r="E6496" s="11">
        <v>6544.0</v>
      </c>
      <c r="F6496" s="2"/>
    </row>
    <row r="6497" ht="1.5" customHeight="1">
      <c r="A6497" s="4" t="str">
        <f>IFERROR(__xludf.DUMMYFUNCTION("""COMPUTED_VALUE"""),"1. Microwave")</f>
        <v>1. Microwave</v>
      </c>
      <c r="B6497" s="4" t="str">
        <f>IFERROR(__xludf.DUMMYFUNCTION("""COMPUTED_VALUE"""),"1")</f>
        <v>1</v>
      </c>
      <c r="C6497" s="5" t="str">
        <f>IFERROR(__xludf.DUMMYFUNCTION("""COMPUTED_VALUE"""),"https://drive.google.com/file/d/1VLb28ugcNZP_lC7rtrc8tECGdvX0O_uC/view?usp=drivesdk")</f>
        <v>https://drive.google.com/file/d/1VLb28ugcNZP_lC7rtrc8tECGdvX0O_uC/view?usp=drivesdk</v>
      </c>
      <c r="D6497" s="12"/>
      <c r="E6497" s="11">
        <v>6545.0</v>
      </c>
      <c r="F6497" s="2"/>
    </row>
    <row r="6498" ht="1.5" customHeight="1">
      <c r="A6498" s="4" t="str">
        <f>IFERROR(__xludf.DUMMYFUNCTION("""COMPUTED_VALUE"""),"1. Microwave")</f>
        <v>1. Microwave</v>
      </c>
      <c r="B6498" s="4" t="str">
        <f>IFERROR(__xludf.DUMMYFUNCTION("""COMPUTED_VALUE"""),"1")</f>
        <v>1</v>
      </c>
      <c r="C6498" s="5" t="str">
        <f>IFERROR(__xludf.DUMMYFUNCTION("""COMPUTED_VALUE"""),"https://drive.google.com/file/d/1WCorYQEum02m6nluKiOKvescJDBAv31r/view?usp=drivesdk")</f>
        <v>https://drive.google.com/file/d/1WCorYQEum02m6nluKiOKvescJDBAv31r/view?usp=drivesdk</v>
      </c>
      <c r="D6498" s="12"/>
      <c r="E6498" s="11">
        <v>6546.0</v>
      </c>
      <c r="F6498" s="2"/>
    </row>
    <row r="6499" ht="1.5" customHeight="1">
      <c r="A6499" s="4" t="str">
        <f>IFERROR(__xludf.DUMMYFUNCTION("""COMPUTED_VALUE"""),"1. Microwave")</f>
        <v>1. Microwave</v>
      </c>
      <c r="B6499" s="4" t="str">
        <f>IFERROR(__xludf.DUMMYFUNCTION("""COMPUTED_VALUE"""),"1")</f>
        <v>1</v>
      </c>
      <c r="C6499" s="5" t="str">
        <f>IFERROR(__xludf.DUMMYFUNCTION("""COMPUTED_VALUE"""),"https://drive.google.com/file/d/16NmIpdkBkGtaJXpn1omg8Hv6etEqazrl/view?usp=drivesdk")</f>
        <v>https://drive.google.com/file/d/16NmIpdkBkGtaJXpn1omg8Hv6etEqazrl/view?usp=drivesdk</v>
      </c>
      <c r="D6499" s="12"/>
      <c r="E6499" s="11">
        <v>6547.0</v>
      </c>
      <c r="F6499" s="2"/>
    </row>
    <row r="6500" ht="1.5" customHeight="1">
      <c r="A6500" s="4" t="str">
        <f>IFERROR(__xludf.DUMMYFUNCTION("""COMPUTED_VALUE"""),"1. Microwave")</f>
        <v>1. Microwave</v>
      </c>
      <c r="B6500" s="4" t="str">
        <f>IFERROR(__xludf.DUMMYFUNCTION("""COMPUTED_VALUE"""),"1")</f>
        <v>1</v>
      </c>
      <c r="C6500" s="5" t="str">
        <f>IFERROR(__xludf.DUMMYFUNCTION("""COMPUTED_VALUE"""),"https://drive.google.com/file/d/1DnfljrzBg07fXSnJcRH8amXTDqKSkucz/view?usp=drivesdk")</f>
        <v>https://drive.google.com/file/d/1DnfljrzBg07fXSnJcRH8amXTDqKSkucz/view?usp=drivesdk</v>
      </c>
      <c r="D6500" s="12"/>
      <c r="E6500" s="11">
        <v>6548.0</v>
      </c>
      <c r="F6500" s="2"/>
    </row>
    <row r="6501" ht="1.5" customHeight="1">
      <c r="A6501" s="4" t="str">
        <f>IFERROR(__xludf.DUMMYFUNCTION("""COMPUTED_VALUE"""),"1. Microwave")</f>
        <v>1. Microwave</v>
      </c>
      <c r="B6501" s="4" t="str">
        <f>IFERROR(__xludf.DUMMYFUNCTION("""COMPUTED_VALUE"""),"1")</f>
        <v>1</v>
      </c>
      <c r="C6501" s="5" t="str">
        <f>IFERROR(__xludf.DUMMYFUNCTION("""COMPUTED_VALUE"""),"https://drive.google.com/file/d/1_nJGlyYqgHuf543lGIcJwh3eCUOO2SvW/view?usp=drivesdk")</f>
        <v>https://drive.google.com/file/d/1_nJGlyYqgHuf543lGIcJwh3eCUOO2SvW/view?usp=drivesdk</v>
      </c>
      <c r="D6501" s="12"/>
      <c r="E6501" s="11">
        <v>6549.0</v>
      </c>
      <c r="F6501" s="2"/>
    </row>
    <row r="6502" ht="1.5" customHeight="1">
      <c r="A6502" s="4" t="str">
        <f>IFERROR(__xludf.DUMMYFUNCTION("""COMPUTED_VALUE"""),"1. Microwave")</f>
        <v>1. Microwave</v>
      </c>
      <c r="B6502" s="4" t="str">
        <f>IFERROR(__xludf.DUMMYFUNCTION("""COMPUTED_VALUE"""),"1")</f>
        <v>1</v>
      </c>
      <c r="C6502" s="5" t="str">
        <f>IFERROR(__xludf.DUMMYFUNCTION("""COMPUTED_VALUE"""),"https://drive.google.com/file/d/1Ehb_uQVUne0dLiABosY5ls0R2jQXDzqD/view?usp=drivesdk")</f>
        <v>https://drive.google.com/file/d/1Ehb_uQVUne0dLiABosY5ls0R2jQXDzqD/view?usp=drivesdk</v>
      </c>
      <c r="D6502" s="12"/>
      <c r="E6502" s="11">
        <v>6550.0</v>
      </c>
      <c r="F6502" s="2"/>
    </row>
    <row r="6503" ht="1.5" customHeight="1">
      <c r="A6503" s="4" t="str">
        <f>IFERROR(__xludf.DUMMYFUNCTION("""COMPUTED_VALUE"""),"1. Microwave")</f>
        <v>1. Microwave</v>
      </c>
      <c r="B6503" s="4" t="str">
        <f>IFERROR(__xludf.DUMMYFUNCTION("""COMPUTED_VALUE"""),"1")</f>
        <v>1</v>
      </c>
      <c r="C6503" s="5" t="str">
        <f>IFERROR(__xludf.DUMMYFUNCTION("""COMPUTED_VALUE"""),"https://drive.google.com/file/d/1DktGu0h2W4xjXbZoE1ZJBvqvqQzBx4V0/view?usp=drivesdk")</f>
        <v>https://drive.google.com/file/d/1DktGu0h2W4xjXbZoE1ZJBvqvqQzBx4V0/view?usp=drivesdk</v>
      </c>
      <c r="D6503" s="12"/>
      <c r="E6503" s="11">
        <v>6551.0</v>
      </c>
      <c r="F6503" s="2"/>
    </row>
    <row r="6504" ht="1.5" customHeight="1">
      <c r="A6504" s="4" t="str">
        <f>IFERROR(__xludf.DUMMYFUNCTION("""COMPUTED_VALUE"""),"1. Microwave")</f>
        <v>1. Microwave</v>
      </c>
      <c r="B6504" s="4" t="str">
        <f>IFERROR(__xludf.DUMMYFUNCTION("""COMPUTED_VALUE"""),"1")</f>
        <v>1</v>
      </c>
      <c r="C6504" s="5" t="str">
        <f>IFERROR(__xludf.DUMMYFUNCTION("""COMPUTED_VALUE"""),"https://drive.google.com/file/d/1SwV_0AdjlW-DfEYHXy0qiAG5WI2RCP7i/view?usp=drivesdk")</f>
        <v>https://drive.google.com/file/d/1SwV_0AdjlW-DfEYHXy0qiAG5WI2RCP7i/view?usp=drivesdk</v>
      </c>
      <c r="D6504" s="12"/>
      <c r="E6504" s="11">
        <v>6552.0</v>
      </c>
      <c r="F6504" s="2"/>
    </row>
    <row r="6505" ht="1.5" customHeight="1">
      <c r="A6505" s="4" t="str">
        <f>IFERROR(__xludf.DUMMYFUNCTION("""COMPUTED_VALUE"""),"1. Microwave")</f>
        <v>1. Microwave</v>
      </c>
      <c r="B6505" s="4" t="str">
        <f>IFERROR(__xludf.DUMMYFUNCTION("""COMPUTED_VALUE"""),"1")</f>
        <v>1</v>
      </c>
      <c r="C6505" s="5" t="str">
        <f>IFERROR(__xludf.DUMMYFUNCTION("""COMPUTED_VALUE"""),"https://drive.google.com/file/d/1_0R5htEBh2ir8cJN2e6K2RvCtgTqiYXI/view?usp=drivesdk")</f>
        <v>https://drive.google.com/file/d/1_0R5htEBh2ir8cJN2e6K2RvCtgTqiYXI/view?usp=drivesdk</v>
      </c>
      <c r="D6505" s="12"/>
      <c r="E6505" s="11">
        <v>6553.0</v>
      </c>
      <c r="F6505" s="2"/>
    </row>
    <row r="6506" ht="1.5" customHeight="1">
      <c r="A6506" s="4" t="str">
        <f>IFERROR(__xludf.DUMMYFUNCTION("""COMPUTED_VALUE"""),"1. Microwave")</f>
        <v>1. Microwave</v>
      </c>
      <c r="B6506" s="4" t="str">
        <f>IFERROR(__xludf.DUMMYFUNCTION("""COMPUTED_VALUE"""),"1")</f>
        <v>1</v>
      </c>
      <c r="C6506" s="5" t="str">
        <f>IFERROR(__xludf.DUMMYFUNCTION("""COMPUTED_VALUE"""),"https://drive.google.com/file/d/12VGqIjDI8YSPHayXu5qBBgaU0futYdv0/view?usp=drivesdk")</f>
        <v>https://drive.google.com/file/d/12VGqIjDI8YSPHayXu5qBBgaU0futYdv0/view?usp=drivesdk</v>
      </c>
      <c r="D6506" s="12"/>
      <c r="E6506" s="11">
        <v>6554.0</v>
      </c>
      <c r="F6506" s="2"/>
    </row>
    <row r="6507" ht="1.5" customHeight="1">
      <c r="A6507" s="4" t="str">
        <f>IFERROR(__xludf.DUMMYFUNCTION("""COMPUTED_VALUE"""),"0. NotACat")</f>
        <v>0. NotACat</v>
      </c>
      <c r="B6507" s="4" t="str">
        <f>IFERROR(__xludf.DUMMYFUNCTION("""COMPUTED_VALUE"""),"0")</f>
        <v>0</v>
      </c>
      <c r="C6507" s="5" t="str">
        <f>IFERROR(__xludf.DUMMYFUNCTION("""COMPUTED_VALUE"""),"https://drive.google.com/file/d/1Z61PEACf-JjHBhtGVK3NC9RGX-Dv2y9I/view?usp=drivesdk")</f>
        <v>https://drive.google.com/file/d/1Z61PEACf-JjHBhtGVK3NC9RGX-Dv2y9I/view?usp=drivesdk</v>
      </c>
      <c r="D6507" s="12"/>
      <c r="E6507" s="11">
        <v>6555.0</v>
      </c>
      <c r="F6507" s="2"/>
    </row>
    <row r="6508" ht="1.5" customHeight="1">
      <c r="A6508" s="4" t="str">
        <f>IFERROR(__xludf.DUMMYFUNCTION("""COMPUTED_VALUE"""),"29. Ginger, 27. Angel")</f>
        <v>29. Ginger, 27. Angel</v>
      </c>
      <c r="B6508" s="4" t="str">
        <f>IFERROR(__xludf.DUMMYFUNCTION("""COMPUTED_VALUE"""),"29, 27")</f>
        <v>29, 27</v>
      </c>
      <c r="C6508" s="5" t="str">
        <f>IFERROR(__xludf.DUMMYFUNCTION("""COMPUTED_VALUE"""),"https://drive.google.com/file/d/1WnBgFP2A4E88ax8hVILuk-38mZUtMdjZ/view?usp=drivesdk")</f>
        <v>https://drive.google.com/file/d/1WnBgFP2A4E88ax8hVILuk-38mZUtMdjZ/view?usp=drivesdk</v>
      </c>
      <c r="D6508" s="12"/>
      <c r="E6508" s="11">
        <v>6556.0</v>
      </c>
      <c r="F6508" s="2"/>
    </row>
    <row r="6509" ht="1.5" customHeight="1">
      <c r="A6509" s="4" t="str">
        <f>IFERROR(__xludf.DUMMYFUNCTION("""COMPUTED_VALUE"""),"4. Eggs")</f>
        <v>4. Eggs</v>
      </c>
      <c r="B6509" s="4" t="str">
        <f>IFERROR(__xludf.DUMMYFUNCTION("""COMPUTED_VALUE"""),"4")</f>
        <v>4</v>
      </c>
      <c r="C6509" s="5" t="str">
        <f>IFERROR(__xludf.DUMMYFUNCTION("""COMPUTED_VALUE"""),"https://drive.google.com/file/d/1mjek7c4xiV2rJ2d16pXM1fG18L2zv6Ox/view?usp=drivesdk")</f>
        <v>https://drive.google.com/file/d/1mjek7c4xiV2rJ2d16pXM1fG18L2zv6Ox/view?usp=drivesdk</v>
      </c>
      <c r="D6509" s="12"/>
      <c r="E6509" s="11">
        <v>6557.0</v>
      </c>
      <c r="F6509" s="2"/>
    </row>
    <row r="6510" ht="1.5" customHeight="1">
      <c r="A6510" s="4" t="str">
        <f>IFERROR(__xludf.DUMMYFUNCTION("""COMPUTED_VALUE"""),"4. Eggs")</f>
        <v>4. Eggs</v>
      </c>
      <c r="B6510" s="4" t="str">
        <f>IFERROR(__xludf.DUMMYFUNCTION("""COMPUTED_VALUE"""),"4")</f>
        <v>4</v>
      </c>
      <c r="C6510" s="5" t="str">
        <f>IFERROR(__xludf.DUMMYFUNCTION("""COMPUTED_VALUE"""),"https://drive.google.com/file/d/1hh1KUFPjLfK5TGaTqlf0or64HkYNIgae/view?usp=drivesdk")</f>
        <v>https://drive.google.com/file/d/1hh1KUFPjLfK5TGaTqlf0or64HkYNIgae/view?usp=drivesdk</v>
      </c>
      <c r="D6510" s="12"/>
      <c r="E6510" s="11">
        <v>6558.0</v>
      </c>
      <c r="F6510" s="2"/>
    </row>
    <row r="6511" ht="1.5" customHeight="1">
      <c r="A6511" s="4" t="str">
        <f>IFERROR(__xludf.DUMMYFUNCTION("""COMPUTED_VALUE"""),"4. Eggs, 5. Eraser")</f>
        <v>4. Eggs, 5. Eraser</v>
      </c>
      <c r="B6511" s="4" t="str">
        <f>IFERROR(__xludf.DUMMYFUNCTION("""COMPUTED_VALUE"""),"4, 5")</f>
        <v>4, 5</v>
      </c>
      <c r="C6511" s="5" t="str">
        <f>IFERROR(__xludf.DUMMYFUNCTION("""COMPUTED_VALUE"""),"https://drive.google.com/file/d/10WSwKWcMHtJri5uyyjuAFs6UVZ4CJ02d/view?usp=drivesdk")</f>
        <v>https://drive.google.com/file/d/10WSwKWcMHtJri5uyyjuAFs6UVZ4CJ02d/view?usp=drivesdk</v>
      </c>
      <c r="D6511" s="12"/>
      <c r="E6511" s="11">
        <v>6559.0</v>
      </c>
      <c r="F6511" s="2"/>
    </row>
    <row r="6512" ht="1.5" customHeight="1">
      <c r="A6512" s="4" t="str">
        <f>IFERROR(__xludf.DUMMYFUNCTION("""COMPUTED_VALUE"""),"9. Melvin")</f>
        <v>9. Melvin</v>
      </c>
      <c r="B6512" s="4" t="str">
        <f>IFERROR(__xludf.DUMMYFUNCTION("""COMPUTED_VALUE"""),"9")</f>
        <v>9</v>
      </c>
      <c r="C6512" s="5" t="str">
        <f>IFERROR(__xludf.DUMMYFUNCTION("""COMPUTED_VALUE"""),"https://drive.google.com/file/d/1hl-dyUix7x8vpq4smf7G0VSiX8owVjsO/view?usp=drivesdk")</f>
        <v>https://drive.google.com/file/d/1hl-dyUix7x8vpq4smf7G0VSiX8owVjsO/view?usp=drivesdk</v>
      </c>
      <c r="D6512" s="12"/>
      <c r="E6512" s="11">
        <v>6560.0</v>
      </c>
      <c r="F6512" s="2"/>
    </row>
    <row r="6513" ht="1.5" customHeight="1">
      <c r="A6513" s="4" t="str">
        <f>IFERROR(__xludf.DUMMYFUNCTION("""COMPUTED_VALUE"""),"1. Microwave")</f>
        <v>1. Microwave</v>
      </c>
      <c r="B6513" s="4" t="str">
        <f>IFERROR(__xludf.DUMMYFUNCTION("""COMPUTED_VALUE"""),"1")</f>
        <v>1</v>
      </c>
      <c r="C6513" s="5" t="str">
        <f>IFERROR(__xludf.DUMMYFUNCTION("""COMPUTED_VALUE"""),"https://drive.google.com/file/d/1RPxuBChaQF7o0jGzMtXKIKUUW-zCSFgy/view?usp=drivesdk")</f>
        <v>https://drive.google.com/file/d/1RPxuBChaQF7o0jGzMtXKIKUUW-zCSFgy/view?usp=drivesdk</v>
      </c>
      <c r="D6513" s="12"/>
      <c r="E6513" s="11">
        <v>6561.0</v>
      </c>
      <c r="F6513" s="2"/>
    </row>
    <row r="6514" ht="1.5" customHeight="1">
      <c r="A6514" s="4" t="str">
        <f>IFERROR(__xludf.DUMMYFUNCTION("""COMPUTED_VALUE"""),"27. Angel")</f>
        <v>27. Angel</v>
      </c>
      <c r="B6514" s="4" t="str">
        <f>IFERROR(__xludf.DUMMYFUNCTION("""COMPUTED_VALUE"""),"27")</f>
        <v>27</v>
      </c>
      <c r="C6514" s="5" t="str">
        <f>IFERROR(__xludf.DUMMYFUNCTION("""COMPUTED_VALUE"""),"https://drive.google.com/file/d/1y6Ru2yFZJKICXbiLD1Lt2_rRpT5u2RzM/view?usp=drivesdk")</f>
        <v>https://drive.google.com/file/d/1y6Ru2yFZJKICXbiLD1Lt2_rRpT5u2RzM/view?usp=drivesdk</v>
      </c>
      <c r="D6514" s="12"/>
      <c r="E6514" s="11">
        <v>6562.0</v>
      </c>
      <c r="F6514" s="2"/>
    </row>
    <row r="6515" ht="1.5" customHeight="1">
      <c r="A6515" s="4" t="str">
        <f>IFERROR(__xludf.DUMMYFUNCTION("""COMPUTED_VALUE"""),"27. Angel")</f>
        <v>27. Angel</v>
      </c>
      <c r="B6515" s="4" t="str">
        <f>IFERROR(__xludf.DUMMYFUNCTION("""COMPUTED_VALUE"""),"27")</f>
        <v>27</v>
      </c>
      <c r="C6515" s="5" t="str">
        <f>IFERROR(__xludf.DUMMYFUNCTION("""COMPUTED_VALUE"""),"https://drive.google.com/file/d/1_LLMQIp3td6sKWvSi8NWd6b0fY216VUk/view?usp=drivesdk")</f>
        <v>https://drive.google.com/file/d/1_LLMQIp3td6sKWvSi8NWd6b0fY216VUk/view?usp=drivesdk</v>
      </c>
      <c r="D6515" s="12"/>
      <c r="E6515" s="11">
        <v>6563.0</v>
      </c>
      <c r="F6515" s="2"/>
    </row>
    <row r="6516" ht="1.5" customHeight="1">
      <c r="A6516" s="4" t="str">
        <f>IFERROR(__xludf.DUMMYFUNCTION("""COMPUTED_VALUE"""),"27. Angel")</f>
        <v>27. Angel</v>
      </c>
      <c r="B6516" s="4" t="str">
        <f>IFERROR(__xludf.DUMMYFUNCTION("""COMPUTED_VALUE"""),"27")</f>
        <v>27</v>
      </c>
      <c r="C6516" s="5" t="str">
        <f>IFERROR(__xludf.DUMMYFUNCTION("""COMPUTED_VALUE"""),"https://drive.google.com/file/d/1adUdMuh5dKMK1AXQ5yxsevVyQlHR0zj1/view?usp=drivesdk")</f>
        <v>https://drive.google.com/file/d/1adUdMuh5dKMK1AXQ5yxsevVyQlHR0zj1/view?usp=drivesdk</v>
      </c>
      <c r="D6516" s="12"/>
      <c r="E6516" s="11">
        <v>6564.0</v>
      </c>
      <c r="F6516" s="2"/>
    </row>
    <row r="6517" ht="1.5" customHeight="1">
      <c r="A6517" s="4" t="str">
        <f>IFERROR(__xludf.DUMMYFUNCTION("""COMPUTED_VALUE"""),"63. Mr Stinky")</f>
        <v>63. Mr Stinky</v>
      </c>
      <c r="B6517" s="4" t="str">
        <f>IFERROR(__xludf.DUMMYFUNCTION("""COMPUTED_VALUE"""),"63")</f>
        <v>63</v>
      </c>
      <c r="C6517" s="5" t="str">
        <f>IFERROR(__xludf.DUMMYFUNCTION("""COMPUTED_VALUE"""),"https://drive.google.com/file/d/1ngdrgRUD7YoRglfsu4qJ0dVEtr9jfosl/view?usp=drivesdk")</f>
        <v>https://drive.google.com/file/d/1ngdrgRUD7YoRglfsu4qJ0dVEtr9jfosl/view?usp=drivesdk</v>
      </c>
      <c r="D6517" s="12"/>
      <c r="E6517" s="11">
        <v>6565.0</v>
      </c>
      <c r="F6517" s="2"/>
    </row>
    <row r="6518" ht="1.5" customHeight="1">
      <c r="A6518" s="4" t="str">
        <f>IFERROR(__xludf.DUMMYFUNCTION("""COMPUTED_VALUE"""),"36. Scringle")</f>
        <v>36. Scringle</v>
      </c>
      <c r="B6518" s="4" t="str">
        <f>IFERROR(__xludf.DUMMYFUNCTION("""COMPUTED_VALUE"""),"36")</f>
        <v>36</v>
      </c>
      <c r="C6518" s="5" t="str">
        <f>IFERROR(__xludf.DUMMYFUNCTION("""COMPUTED_VALUE"""),"https://drive.google.com/file/d/1BnsRUqUDqKMXkVwoXuOeD4SMS0xrddJA/view?usp=drivesdk")</f>
        <v>https://drive.google.com/file/d/1BnsRUqUDqKMXkVwoXuOeD4SMS0xrddJA/view?usp=drivesdk</v>
      </c>
      <c r="D6518" s="12"/>
      <c r="E6518" s="11">
        <v>6566.0</v>
      </c>
      <c r="F6518" s="2"/>
    </row>
    <row r="6519" ht="1.5" customHeight="1">
      <c r="A6519" s="4" t="str">
        <f>IFERROR(__xludf.DUMMYFUNCTION("""COMPUTED_VALUE"""),"36. Scringle")</f>
        <v>36. Scringle</v>
      </c>
      <c r="B6519" s="4" t="str">
        <f>IFERROR(__xludf.DUMMYFUNCTION("""COMPUTED_VALUE"""),"36")</f>
        <v>36</v>
      </c>
      <c r="C6519" s="5" t="str">
        <f>IFERROR(__xludf.DUMMYFUNCTION("""COMPUTED_VALUE"""),"https://drive.google.com/file/d/1vgmaibQf2koM4BEPG5nZ5N4NDcb3A_3M/view?usp=drivesdk")</f>
        <v>https://drive.google.com/file/d/1vgmaibQf2koM4BEPG5nZ5N4NDcb3A_3M/view?usp=drivesdk</v>
      </c>
      <c r="D6519" s="12"/>
      <c r="E6519" s="11">
        <v>6567.0</v>
      </c>
      <c r="F6519" s="2"/>
    </row>
    <row r="6520" ht="1.5" customHeight="1">
      <c r="A6520" s="4" t="str">
        <f>IFERROR(__xludf.DUMMYFUNCTION("""COMPUTED_VALUE"""),"36. Scringle")</f>
        <v>36. Scringle</v>
      </c>
      <c r="B6520" s="4" t="str">
        <f>IFERROR(__xludf.DUMMYFUNCTION("""COMPUTED_VALUE"""),"36")</f>
        <v>36</v>
      </c>
      <c r="C6520" s="5" t="str">
        <f>IFERROR(__xludf.DUMMYFUNCTION("""COMPUTED_VALUE"""),"https://drive.google.com/file/d/1hKlQ71dNjbMYZanzAEVCCD3q73edeeW6/view?usp=drivesdk")</f>
        <v>https://drive.google.com/file/d/1hKlQ71dNjbMYZanzAEVCCD3q73edeeW6/view?usp=drivesdk</v>
      </c>
      <c r="D6520" s="12"/>
      <c r="E6520" s="11">
        <v>6568.0</v>
      </c>
      <c r="F6520" s="2"/>
    </row>
    <row r="6521" ht="1.5" customHeight="1">
      <c r="A6521" s="4" t="str">
        <f>IFERROR(__xludf.DUMMYFUNCTION("""COMPUTED_VALUE"""),"1. Microwave")</f>
        <v>1. Microwave</v>
      </c>
      <c r="B6521" s="4" t="str">
        <f>IFERROR(__xludf.DUMMYFUNCTION("""COMPUTED_VALUE"""),"1")</f>
        <v>1</v>
      </c>
      <c r="C6521" s="5" t="str">
        <f>IFERROR(__xludf.DUMMYFUNCTION("""COMPUTED_VALUE"""),"https://drive.google.com/file/d/13cijkGu8R39kh49bI-qeAXXRI_U-8-dc/view?usp=drivesdk")</f>
        <v>https://drive.google.com/file/d/13cijkGu8R39kh49bI-qeAXXRI_U-8-dc/view?usp=drivesdk</v>
      </c>
      <c r="D6521" s="12"/>
      <c r="E6521" s="11">
        <v>6569.0</v>
      </c>
      <c r="F6521" s="2"/>
    </row>
    <row r="6522" ht="1.5" customHeight="1">
      <c r="A6522" s="4" t="str">
        <f>IFERROR(__xludf.DUMMYFUNCTION("""COMPUTED_VALUE"""),"0. NotACat")</f>
        <v>0. NotACat</v>
      </c>
      <c r="B6522" s="4" t="str">
        <f>IFERROR(__xludf.DUMMYFUNCTION("""COMPUTED_VALUE"""),"0")</f>
        <v>0</v>
      </c>
      <c r="C6522" s="5" t="str">
        <f>IFERROR(__xludf.DUMMYFUNCTION("""COMPUTED_VALUE"""),"https://drive.google.com/file/d/1SwQ085O9JuCSltOVkvUKjG9mdFCfYI1R/view?usp=drivesdk")</f>
        <v>https://drive.google.com/file/d/1SwQ085O9JuCSltOVkvUKjG9mdFCfYI1R/view?usp=drivesdk</v>
      </c>
      <c r="D6522" s="12"/>
      <c r="E6522" s="11">
        <v>6570.0</v>
      </c>
      <c r="F6522" s="2"/>
    </row>
    <row r="6523" ht="1.5" customHeight="1">
      <c r="A6523" s="4" t="str">
        <f>IFERROR(__xludf.DUMMYFUNCTION("""COMPUTED_VALUE"""),"101. Nori")</f>
        <v>101. Nori</v>
      </c>
      <c r="B6523" s="4" t="str">
        <f>IFERROR(__xludf.DUMMYFUNCTION("""COMPUTED_VALUE"""),"101")</f>
        <v>101</v>
      </c>
      <c r="C6523" s="5" t="str">
        <f>IFERROR(__xludf.DUMMYFUNCTION("""COMPUTED_VALUE"""),"https://drive.google.com/file/d/1m2FN-X06RVFdl1sLLvh8BJOiA5xk2v1H/view?usp=drivesdk")</f>
        <v>https://drive.google.com/file/d/1m2FN-X06RVFdl1sLLvh8BJOiA5xk2v1H/view?usp=drivesdk</v>
      </c>
      <c r="D6523" s="12"/>
      <c r="E6523" s="11">
        <v>6571.0</v>
      </c>
      <c r="F6523" s="2"/>
    </row>
    <row r="6524" ht="1.5" customHeight="1">
      <c r="A6524" s="4" t="str">
        <f>IFERROR(__xludf.DUMMYFUNCTION("""COMPUTED_VALUE"""),"5. Eraser, 4. Eggs")</f>
        <v>5. Eraser, 4. Eggs</v>
      </c>
      <c r="B6524" s="4" t="str">
        <f>IFERROR(__xludf.DUMMYFUNCTION("""COMPUTED_VALUE"""),"5, 4")</f>
        <v>5, 4</v>
      </c>
      <c r="C6524" s="5" t="str">
        <f>IFERROR(__xludf.DUMMYFUNCTION("""COMPUTED_VALUE"""),"https://drive.google.com/file/d/1hLDGNeBUq-G7M2F2hoDbVWk4IaFg7Ioe/view?usp=drivesdk")</f>
        <v>https://drive.google.com/file/d/1hLDGNeBUq-G7M2F2hoDbVWk4IaFg7Ioe/view?usp=drivesdk</v>
      </c>
      <c r="D6524" s="12"/>
      <c r="E6524" s="11">
        <v>6572.0</v>
      </c>
      <c r="F6524" s="2"/>
    </row>
    <row r="6525" ht="1.5" customHeight="1">
      <c r="A6525" s="4" t="str">
        <f>IFERROR(__xludf.DUMMYFUNCTION("""COMPUTED_VALUE"""),"2. Twix, 5. Eraser")</f>
        <v>2. Twix, 5. Eraser</v>
      </c>
      <c r="B6525" s="4" t="str">
        <f>IFERROR(__xludf.DUMMYFUNCTION("""COMPUTED_VALUE"""),"2, 5")</f>
        <v>2, 5</v>
      </c>
      <c r="C6525" s="5" t="str">
        <f>IFERROR(__xludf.DUMMYFUNCTION("""COMPUTED_VALUE"""),"https://drive.google.com/file/d/1CX_BKj0t-SJ1t7NT0xpboWZs120JXQbi/view?usp=drivesdk")</f>
        <v>https://drive.google.com/file/d/1CX_BKj0t-SJ1t7NT0xpboWZs120JXQbi/view?usp=drivesdk</v>
      </c>
      <c r="D6525" s="12"/>
      <c r="E6525" s="11">
        <v>6573.0</v>
      </c>
      <c r="F6525" s="2"/>
    </row>
    <row r="6526" ht="1.5" customHeight="1">
      <c r="A6526" s="4" t="str">
        <f>IFERROR(__xludf.DUMMYFUNCTION("""COMPUTED_VALUE"""),"5. Eraser")</f>
        <v>5. Eraser</v>
      </c>
      <c r="B6526" s="4" t="str">
        <f>IFERROR(__xludf.DUMMYFUNCTION("""COMPUTED_VALUE"""),"5")</f>
        <v>5</v>
      </c>
      <c r="C6526" s="5" t="str">
        <f>IFERROR(__xludf.DUMMYFUNCTION("""COMPUTED_VALUE"""),"https://drive.google.com/file/d/1kRPrgaKhGgtMszUpK1fQQe25yuHQeW5a/view?usp=drivesdk")</f>
        <v>https://drive.google.com/file/d/1kRPrgaKhGgtMszUpK1fQQe25yuHQeW5a/view?usp=drivesdk</v>
      </c>
      <c r="D6526" s="12"/>
      <c r="E6526" s="11">
        <v>6574.0</v>
      </c>
      <c r="F6526" s="2"/>
    </row>
    <row r="6527" ht="1.5" customHeight="1">
      <c r="A6527" s="4" t="str">
        <f>IFERROR(__xludf.DUMMYFUNCTION("""COMPUTED_VALUE"""),"5. Eraser, 4. Eggs")</f>
        <v>5. Eraser, 4. Eggs</v>
      </c>
      <c r="B6527" s="4" t="str">
        <f>IFERROR(__xludf.DUMMYFUNCTION("""COMPUTED_VALUE"""),"5, 4")</f>
        <v>5, 4</v>
      </c>
      <c r="C6527" s="5" t="str">
        <f>IFERROR(__xludf.DUMMYFUNCTION("""COMPUTED_VALUE"""),"https://drive.google.com/file/d/1bScM8It6I8vnS4N68T_XL0aJnW87es4g/view?usp=drivesdk")</f>
        <v>https://drive.google.com/file/d/1bScM8It6I8vnS4N68T_XL0aJnW87es4g/view?usp=drivesdk</v>
      </c>
      <c r="D6527" s="12"/>
      <c r="E6527" s="11">
        <v>6575.0</v>
      </c>
      <c r="F6527" s="2"/>
    </row>
    <row r="6528" ht="1.5" customHeight="1">
      <c r="A6528" s="4" t="str">
        <f>IFERROR(__xludf.DUMMYFUNCTION("""COMPUTED_VALUE"""),"6. Snickers")</f>
        <v>6. Snickers</v>
      </c>
      <c r="B6528" s="4" t="str">
        <f>IFERROR(__xludf.DUMMYFUNCTION("""COMPUTED_VALUE"""),"6")</f>
        <v>6</v>
      </c>
      <c r="C6528" s="5" t="str">
        <f>IFERROR(__xludf.DUMMYFUNCTION("""COMPUTED_VALUE"""),"https://drive.google.com/file/d/1qa2hKRJ7TqKv9Ig94TIbrs8F1lLkHx4k/view?usp=drivesdk")</f>
        <v>https://drive.google.com/file/d/1qa2hKRJ7TqKv9Ig94TIbrs8F1lLkHx4k/view?usp=drivesdk</v>
      </c>
      <c r="D6528" s="12"/>
      <c r="E6528" s="11">
        <v>6576.0</v>
      </c>
      <c r="F6528" s="2"/>
    </row>
    <row r="6529" ht="1.5" customHeight="1">
      <c r="A6529" s="4" t="str">
        <f>IFERROR(__xludf.DUMMYFUNCTION("""COMPUTED_VALUE"""),"6. Snickers")</f>
        <v>6. Snickers</v>
      </c>
      <c r="B6529" s="4" t="str">
        <f>IFERROR(__xludf.DUMMYFUNCTION("""COMPUTED_VALUE"""),"6")</f>
        <v>6</v>
      </c>
      <c r="C6529" s="5" t="str">
        <f>IFERROR(__xludf.DUMMYFUNCTION("""COMPUTED_VALUE"""),"https://drive.google.com/file/d/1QIoWQYfV7_Yo3FnEJpVlxugW-y88z6Pj/view?usp=drivesdk")</f>
        <v>https://drive.google.com/file/d/1QIoWQYfV7_Yo3FnEJpVlxugW-y88z6Pj/view?usp=drivesdk</v>
      </c>
      <c r="D6529" s="12"/>
      <c r="E6529" s="11">
        <v>6577.0</v>
      </c>
      <c r="F6529" s="2"/>
    </row>
    <row r="6530" ht="1.5" customHeight="1">
      <c r="A6530" s="4" t="str">
        <f>IFERROR(__xludf.DUMMYFUNCTION("""COMPUTED_VALUE"""),"6. Snickers")</f>
        <v>6. Snickers</v>
      </c>
      <c r="B6530" s="4" t="str">
        <f>IFERROR(__xludf.DUMMYFUNCTION("""COMPUTED_VALUE"""),"6")</f>
        <v>6</v>
      </c>
      <c r="C6530" s="5" t="str">
        <f>IFERROR(__xludf.DUMMYFUNCTION("""COMPUTED_VALUE"""),"https://drive.google.com/file/d/1Yex2NDB4MJBZqOVSZimA5mjJjjhJVHY0/view?usp=drivesdk")</f>
        <v>https://drive.google.com/file/d/1Yex2NDB4MJBZqOVSZimA5mjJjjhJVHY0/view?usp=drivesdk</v>
      </c>
      <c r="D6530" s="12"/>
      <c r="E6530" s="11">
        <v>6578.0</v>
      </c>
      <c r="F6530" s="2"/>
    </row>
    <row r="6531" ht="1.5" customHeight="1">
      <c r="A6531" s="4" t="str">
        <f>IFERROR(__xludf.DUMMYFUNCTION("""COMPUTED_VALUE"""),"6. Snickers")</f>
        <v>6. Snickers</v>
      </c>
      <c r="B6531" s="4" t="str">
        <f>IFERROR(__xludf.DUMMYFUNCTION("""COMPUTED_VALUE"""),"6")</f>
        <v>6</v>
      </c>
      <c r="C6531" s="5" t="str">
        <f>IFERROR(__xludf.DUMMYFUNCTION("""COMPUTED_VALUE"""),"https://drive.google.com/file/d/1-whdPgWq5bMDv5li4FtXvptnpEzwZOrj/view?usp=drivesdk")</f>
        <v>https://drive.google.com/file/d/1-whdPgWq5bMDv5li4FtXvptnpEzwZOrj/view?usp=drivesdk</v>
      </c>
      <c r="D6531" s="12"/>
      <c r="E6531" s="11">
        <v>6579.0</v>
      </c>
      <c r="F6531" s="2"/>
    </row>
    <row r="6532" ht="1.5" customHeight="1">
      <c r="A6532" s="4" t="str">
        <f>IFERROR(__xludf.DUMMYFUNCTION("""COMPUTED_VALUE"""),"6. Snickers")</f>
        <v>6. Snickers</v>
      </c>
      <c r="B6532" s="4" t="str">
        <f>IFERROR(__xludf.DUMMYFUNCTION("""COMPUTED_VALUE"""),"6")</f>
        <v>6</v>
      </c>
      <c r="C6532" s="5" t="str">
        <f>IFERROR(__xludf.DUMMYFUNCTION("""COMPUTED_VALUE"""),"https://drive.google.com/file/d/1dPwhIv9xBBC6vpfcI2TO9Frg8Rh41KKY/view?usp=drivesdk")</f>
        <v>https://drive.google.com/file/d/1dPwhIv9xBBC6vpfcI2TO9Frg8Rh41KKY/view?usp=drivesdk</v>
      </c>
      <c r="D6532" s="12"/>
      <c r="E6532" s="11">
        <v>6580.0</v>
      </c>
      <c r="F6532" s="2"/>
    </row>
    <row r="6533" ht="1.5" customHeight="1">
      <c r="A6533" s="4" t="str">
        <f>IFERROR(__xludf.DUMMYFUNCTION("""COMPUTED_VALUE"""),"6. Snickers")</f>
        <v>6. Snickers</v>
      </c>
      <c r="B6533" s="4" t="str">
        <f>IFERROR(__xludf.DUMMYFUNCTION("""COMPUTED_VALUE"""),"6")</f>
        <v>6</v>
      </c>
      <c r="C6533" s="5" t="str">
        <f>IFERROR(__xludf.DUMMYFUNCTION("""COMPUTED_VALUE"""),"https://drive.google.com/file/d/1Vi6b8lHfmIM0RwKTVXBRl55xPLcKWQNw/view?usp=drivesdk")</f>
        <v>https://drive.google.com/file/d/1Vi6b8lHfmIM0RwKTVXBRl55xPLcKWQNw/view?usp=drivesdk</v>
      </c>
      <c r="D6533" s="12"/>
      <c r="E6533" s="11">
        <v>6581.0</v>
      </c>
      <c r="F6533" s="2"/>
    </row>
    <row r="6534" ht="1.5" customHeight="1">
      <c r="A6534" s="4" t="str">
        <f>IFERROR(__xludf.DUMMYFUNCTION("""COMPUTED_VALUE"""),"6. Snickers")</f>
        <v>6. Snickers</v>
      </c>
      <c r="B6534" s="4" t="str">
        <f>IFERROR(__xludf.DUMMYFUNCTION("""COMPUTED_VALUE"""),"6")</f>
        <v>6</v>
      </c>
      <c r="C6534" s="5" t="str">
        <f>IFERROR(__xludf.DUMMYFUNCTION("""COMPUTED_VALUE"""),"https://drive.google.com/file/d/1PC2BpqmGGFr582LlBpuOrrsNSiwIZ7Cv/view?usp=drivesdk")</f>
        <v>https://drive.google.com/file/d/1PC2BpqmGGFr582LlBpuOrrsNSiwIZ7Cv/view?usp=drivesdk</v>
      </c>
      <c r="D6534" s="12"/>
      <c r="E6534" s="11">
        <v>6582.0</v>
      </c>
      <c r="F6534" s="2"/>
    </row>
    <row r="6535" ht="1.5" customHeight="1">
      <c r="A6535" s="4" t="str">
        <f>IFERROR(__xludf.DUMMYFUNCTION("""COMPUTED_VALUE"""),"6. Snickers")</f>
        <v>6. Snickers</v>
      </c>
      <c r="B6535" s="4" t="str">
        <f>IFERROR(__xludf.DUMMYFUNCTION("""COMPUTED_VALUE"""),"6")</f>
        <v>6</v>
      </c>
      <c r="C6535" s="5" t="str">
        <f>IFERROR(__xludf.DUMMYFUNCTION("""COMPUTED_VALUE"""),"https://drive.google.com/file/d/1ZPPfvN3uZZQ4w-Abab-lUaW8asZJ-Ju2/view?usp=drivesdk")</f>
        <v>https://drive.google.com/file/d/1ZPPfvN3uZZQ4w-Abab-lUaW8asZJ-Ju2/view?usp=drivesdk</v>
      </c>
      <c r="D6535" s="12"/>
      <c r="E6535" s="11">
        <v>6583.0</v>
      </c>
      <c r="F6535" s="2"/>
    </row>
    <row r="6536" ht="1.5" customHeight="1">
      <c r="A6536" s="4" t="str">
        <f>IFERROR(__xludf.DUMMYFUNCTION("""COMPUTED_VALUE"""),"6. Snickers")</f>
        <v>6. Snickers</v>
      </c>
      <c r="B6536" s="4" t="str">
        <f>IFERROR(__xludf.DUMMYFUNCTION("""COMPUTED_VALUE"""),"6")</f>
        <v>6</v>
      </c>
      <c r="C6536" s="5" t="str">
        <f>IFERROR(__xludf.DUMMYFUNCTION("""COMPUTED_VALUE"""),"https://drive.google.com/file/d/1yt7Oci5NogbH6ctjaNZfhy3ayr362FcL/view?usp=drivesdk")</f>
        <v>https://drive.google.com/file/d/1yt7Oci5NogbH6ctjaNZfhy3ayr362FcL/view?usp=drivesdk</v>
      </c>
      <c r="D6536" s="12"/>
      <c r="E6536" s="11">
        <v>6584.0</v>
      </c>
      <c r="F6536" s="2"/>
    </row>
    <row r="6537" ht="1.5" customHeight="1">
      <c r="A6537" s="4" t="str">
        <f>IFERROR(__xludf.DUMMYFUNCTION("""COMPUTED_VALUE"""),"6. Snickers")</f>
        <v>6. Snickers</v>
      </c>
      <c r="B6537" s="4" t="str">
        <f>IFERROR(__xludf.DUMMYFUNCTION("""COMPUTED_VALUE"""),"6")</f>
        <v>6</v>
      </c>
      <c r="C6537" s="5" t="str">
        <f>IFERROR(__xludf.DUMMYFUNCTION("""COMPUTED_VALUE"""),"https://drive.google.com/file/d/1OSCphhfO_aav8Ng704OYcb-0qdbXZVWB/view?usp=drivesdk")</f>
        <v>https://drive.google.com/file/d/1OSCphhfO_aav8Ng704OYcb-0qdbXZVWB/view?usp=drivesdk</v>
      </c>
      <c r="D6537" s="12"/>
      <c r="E6537" s="11">
        <v>6585.0</v>
      </c>
      <c r="F6537" s="2"/>
    </row>
    <row r="6538" ht="1.5" customHeight="1">
      <c r="A6538" s="4" t="str">
        <f>IFERROR(__xludf.DUMMYFUNCTION("""COMPUTED_VALUE"""),"123. Temiquini")</f>
        <v>123. Temiquini</v>
      </c>
      <c r="B6538" s="4" t="str">
        <f>IFERROR(__xludf.DUMMYFUNCTION("""COMPUTED_VALUE"""),"123")</f>
        <v>123</v>
      </c>
      <c r="C6538" s="5" t="str">
        <f>IFERROR(__xludf.DUMMYFUNCTION("""COMPUTED_VALUE"""),"https://drive.google.com/file/d/1aI3Jkbwv7s6G61BY_xxgDh5ABaiX1jfl/view?usp=drivesdk")</f>
        <v>https://drive.google.com/file/d/1aI3Jkbwv7s6G61BY_xxgDh5ABaiX1jfl/view?usp=drivesdk</v>
      </c>
      <c r="D6538" s="12"/>
      <c r="E6538" s="11">
        <v>6586.0</v>
      </c>
      <c r="F6538" s="2"/>
    </row>
    <row r="6539" ht="1.5" customHeight="1">
      <c r="A6539" s="4" t="str">
        <f>IFERROR(__xludf.DUMMYFUNCTION("""COMPUTED_VALUE"""),"80. Atzi")</f>
        <v>80. Atzi</v>
      </c>
      <c r="B6539" s="4" t="str">
        <f>IFERROR(__xludf.DUMMYFUNCTION("""COMPUTED_VALUE"""),"80")</f>
        <v>80</v>
      </c>
      <c r="C6539" s="5" t="str">
        <f>IFERROR(__xludf.DUMMYFUNCTION("""COMPUTED_VALUE"""),"https://drive.google.com/file/d/1hhY2xfz2eOX0hJW6uz5ktpPha8fkMvlI/view?usp=drivesdk")</f>
        <v>https://drive.google.com/file/d/1hhY2xfz2eOX0hJW6uz5ktpPha8fkMvlI/view?usp=drivesdk</v>
      </c>
      <c r="D6539" s="12"/>
      <c r="E6539" s="11">
        <v>6587.0</v>
      </c>
      <c r="F6539" s="2"/>
    </row>
    <row r="6540" ht="1.5" customHeight="1">
      <c r="A6540" s="4" t="str">
        <f>IFERROR(__xludf.DUMMYFUNCTION("""COMPUTED_VALUE"""),"123. Temiquini, 80. Atzi")</f>
        <v>123. Temiquini, 80. Atzi</v>
      </c>
      <c r="B6540" s="4" t="str">
        <f>IFERROR(__xludf.DUMMYFUNCTION("""COMPUTED_VALUE"""),"123, 80")</f>
        <v>123, 80</v>
      </c>
      <c r="C6540" s="5" t="str">
        <f>IFERROR(__xludf.DUMMYFUNCTION("""COMPUTED_VALUE"""),"https://drive.google.com/file/d/1n1c2DtV97AbR-138IPEEY6ngAg0fVtX3/view?usp=drivesdk")</f>
        <v>https://drive.google.com/file/d/1n1c2DtV97AbR-138IPEEY6ngAg0fVtX3/view?usp=drivesdk</v>
      </c>
      <c r="D6540" s="12"/>
      <c r="E6540" s="11">
        <v>6588.0</v>
      </c>
      <c r="F6540" s="2"/>
    </row>
    <row r="6541" ht="1.5" customHeight="1">
      <c r="A6541" s="4" t="str">
        <f>IFERROR(__xludf.DUMMYFUNCTION("""COMPUTED_VALUE"""),"116. Itzel")</f>
        <v>116. Itzel</v>
      </c>
      <c r="B6541" s="4" t="str">
        <f>IFERROR(__xludf.DUMMYFUNCTION("""COMPUTED_VALUE"""),"116")</f>
        <v>116</v>
      </c>
      <c r="C6541" s="5" t="str">
        <f>IFERROR(__xludf.DUMMYFUNCTION("""COMPUTED_VALUE"""),"https://drive.google.com/file/d/1BHtwcx111-FxlIWSEIjYe7zu8BBvp8Uk/view?usp=drivesdk")</f>
        <v>https://drive.google.com/file/d/1BHtwcx111-FxlIWSEIjYe7zu8BBvp8Uk/view?usp=drivesdk</v>
      </c>
      <c r="D6541" s="12"/>
      <c r="E6541" s="11">
        <v>6589.0</v>
      </c>
      <c r="F6541" s="2"/>
    </row>
    <row r="6542" ht="1.5" customHeight="1">
      <c r="A6542" s="4" t="str">
        <f>IFERROR(__xludf.DUMMYFUNCTION("""COMPUTED_VALUE"""),"116. Itzel, 80. Atzi, 123. Temiquini")</f>
        <v>116. Itzel, 80. Atzi, 123. Temiquini</v>
      </c>
      <c r="B6542" s="4" t="str">
        <f>IFERROR(__xludf.DUMMYFUNCTION("""COMPUTED_VALUE"""),"116, 80, 123")</f>
        <v>116, 80, 123</v>
      </c>
      <c r="C6542" s="5" t="str">
        <f>IFERROR(__xludf.DUMMYFUNCTION("""COMPUTED_VALUE"""),"https://drive.google.com/file/d/15umVfU3i_H_x3pNUpwcC3artr9Xa9SMX/view?usp=drivesdk")</f>
        <v>https://drive.google.com/file/d/15umVfU3i_H_x3pNUpwcC3artr9Xa9SMX/view?usp=drivesdk</v>
      </c>
      <c r="D6542" s="12"/>
      <c r="E6542" s="11">
        <v>6590.0</v>
      </c>
      <c r="F6542" s="2"/>
    </row>
    <row r="6543" ht="1.5" customHeight="1">
      <c r="A6543" s="4" t="str">
        <f>IFERROR(__xludf.DUMMYFUNCTION("""COMPUTED_VALUE"""),"104. Joji")</f>
        <v>104. Joji</v>
      </c>
      <c r="B6543" s="4" t="str">
        <f>IFERROR(__xludf.DUMMYFUNCTION("""COMPUTED_VALUE"""),"104")</f>
        <v>104</v>
      </c>
      <c r="C6543" s="5" t="str">
        <f>IFERROR(__xludf.DUMMYFUNCTION("""COMPUTED_VALUE"""),"https://drive.google.com/file/d/1t8GgCBHYkpUWoxR8e4zUZRka49YpksL5/view?usp=drivesdk")</f>
        <v>https://drive.google.com/file/d/1t8GgCBHYkpUWoxR8e4zUZRka49YpksL5/view?usp=drivesdk</v>
      </c>
      <c r="D6543" s="12"/>
      <c r="E6543" s="11">
        <v>6591.0</v>
      </c>
      <c r="F6543" s="2"/>
    </row>
    <row r="6544" ht="1.5" customHeight="1">
      <c r="A6544" s="4" t="str">
        <f>IFERROR(__xludf.DUMMYFUNCTION("""COMPUTED_VALUE"""),"104. Joji")</f>
        <v>104. Joji</v>
      </c>
      <c r="B6544" s="4" t="str">
        <f>IFERROR(__xludf.DUMMYFUNCTION("""COMPUTED_VALUE"""),"104")</f>
        <v>104</v>
      </c>
      <c r="C6544" s="5" t="str">
        <f>IFERROR(__xludf.DUMMYFUNCTION("""COMPUTED_VALUE"""),"https://drive.google.com/file/d/1dxA6oZ-IP2PnUmJxspyiGNXwJ-QwJXnR/view?usp=drivesdk")</f>
        <v>https://drive.google.com/file/d/1dxA6oZ-IP2PnUmJxspyiGNXwJ-QwJXnR/view?usp=drivesdk</v>
      </c>
      <c r="D6544" s="12"/>
      <c r="E6544" s="11">
        <v>6592.0</v>
      </c>
      <c r="F6544" s="2"/>
    </row>
    <row r="6545" ht="1.5" customHeight="1">
      <c r="A6545" s="4" t="str">
        <f>IFERROR(__xludf.DUMMYFUNCTION("""COMPUTED_VALUE"""),"104. Joji")</f>
        <v>104. Joji</v>
      </c>
      <c r="B6545" s="4" t="str">
        <f>IFERROR(__xludf.DUMMYFUNCTION("""COMPUTED_VALUE"""),"104")</f>
        <v>104</v>
      </c>
      <c r="C6545" s="5" t="str">
        <f>IFERROR(__xludf.DUMMYFUNCTION("""COMPUTED_VALUE"""),"https://drive.google.com/file/d/18YIR_q8E9IQxwmm6_1qbJv0jITsob9eR/view?usp=drivesdk")</f>
        <v>https://drive.google.com/file/d/18YIR_q8E9IQxwmm6_1qbJv0jITsob9eR/view?usp=drivesdk</v>
      </c>
      <c r="D6545" s="12"/>
      <c r="E6545" s="11">
        <v>6593.0</v>
      </c>
      <c r="F6545" s="2"/>
    </row>
    <row r="6546" ht="1.5" customHeight="1">
      <c r="A6546" s="4" t="str">
        <f>IFERROR(__xludf.DUMMYFUNCTION("""COMPUTED_VALUE"""),"104. Joji")</f>
        <v>104. Joji</v>
      </c>
      <c r="B6546" s="4" t="str">
        <f>IFERROR(__xludf.DUMMYFUNCTION("""COMPUTED_VALUE"""),"104")</f>
        <v>104</v>
      </c>
      <c r="C6546" s="5" t="str">
        <f>IFERROR(__xludf.DUMMYFUNCTION("""COMPUTED_VALUE"""),"https://drive.google.com/file/d/1ttsLWWdBZcrNa2cLOLK8jSn4ZLi2FDGY/view?usp=drivesdk")</f>
        <v>https://drive.google.com/file/d/1ttsLWWdBZcrNa2cLOLK8jSn4ZLi2FDGY/view?usp=drivesdk</v>
      </c>
      <c r="D6546" s="12"/>
      <c r="E6546" s="11">
        <v>6594.0</v>
      </c>
      <c r="F6546" s="2"/>
    </row>
    <row r="6547" ht="1.5" customHeight="1">
      <c r="A6547" s="4" t="str">
        <f>IFERROR(__xludf.DUMMYFUNCTION("""COMPUTED_VALUE"""),"103. Bea")</f>
        <v>103. Bea</v>
      </c>
      <c r="B6547" s="4" t="str">
        <f>IFERROR(__xludf.DUMMYFUNCTION("""COMPUTED_VALUE"""),"103")</f>
        <v>103</v>
      </c>
      <c r="C6547" s="5" t="str">
        <f>IFERROR(__xludf.DUMMYFUNCTION("""COMPUTED_VALUE"""),"https://drive.google.com/file/d/1mCFLkIwqZvkFUpvG-EMnbeD2JmFcf1MA/view?usp=drivesdk")</f>
        <v>https://drive.google.com/file/d/1mCFLkIwqZvkFUpvG-EMnbeD2JmFcf1MA/view?usp=drivesdk</v>
      </c>
      <c r="D6547" s="12"/>
      <c r="E6547" s="11">
        <v>6595.0</v>
      </c>
      <c r="F6547" s="2"/>
    </row>
    <row r="6548" ht="1.5" customHeight="1">
      <c r="A6548" s="4" t="str">
        <f>IFERROR(__xludf.DUMMYFUNCTION("""COMPUTED_VALUE"""),"103. Bea")</f>
        <v>103. Bea</v>
      </c>
      <c r="B6548" s="4" t="str">
        <f>IFERROR(__xludf.DUMMYFUNCTION("""COMPUTED_VALUE"""),"103")</f>
        <v>103</v>
      </c>
      <c r="C6548" s="5" t="str">
        <f>IFERROR(__xludf.DUMMYFUNCTION("""COMPUTED_VALUE"""),"https://drive.google.com/file/d/1NZzwJGGpbewFRWc-ym56tKl5QJFbzIj6/view?usp=drivesdk")</f>
        <v>https://drive.google.com/file/d/1NZzwJGGpbewFRWc-ym56tKl5QJFbzIj6/view?usp=drivesdk</v>
      </c>
      <c r="D6548" s="12"/>
      <c r="E6548" s="11">
        <v>6596.0</v>
      </c>
      <c r="F6548" s="2"/>
    </row>
    <row r="6549" ht="1.5" customHeight="1">
      <c r="A6549" s="4" t="str">
        <f>IFERROR(__xludf.DUMMYFUNCTION("""COMPUTED_VALUE"""),"103. Bea")</f>
        <v>103. Bea</v>
      </c>
      <c r="B6549" s="4" t="str">
        <f>IFERROR(__xludf.DUMMYFUNCTION("""COMPUTED_VALUE"""),"103")</f>
        <v>103</v>
      </c>
      <c r="C6549" s="5" t="str">
        <f>IFERROR(__xludf.DUMMYFUNCTION("""COMPUTED_VALUE"""),"https://drive.google.com/file/d/1bgxILD6T3fsy4e1S-0PNgNeNLgNew7pE/view?usp=drivesdk")</f>
        <v>https://drive.google.com/file/d/1bgxILD6T3fsy4e1S-0PNgNeNLgNew7pE/view?usp=drivesdk</v>
      </c>
      <c r="D6549" s="12"/>
      <c r="E6549" s="11">
        <v>6597.0</v>
      </c>
      <c r="F6549" s="2"/>
    </row>
    <row r="6550" ht="1.5" customHeight="1">
      <c r="A6550" s="4" t="str">
        <f>IFERROR(__xludf.DUMMYFUNCTION("""COMPUTED_VALUE"""),"103. Bea")</f>
        <v>103. Bea</v>
      </c>
      <c r="B6550" s="4" t="str">
        <f>IFERROR(__xludf.DUMMYFUNCTION("""COMPUTED_VALUE"""),"103")</f>
        <v>103</v>
      </c>
      <c r="C6550" s="5" t="str">
        <f>IFERROR(__xludf.DUMMYFUNCTION("""COMPUTED_VALUE"""),"https://drive.google.com/file/d/19q0MMmQMAbdNipX3C96YynHNF_my9xqn/view?usp=drivesdk")</f>
        <v>https://drive.google.com/file/d/19q0MMmQMAbdNipX3C96YynHNF_my9xqn/view?usp=drivesdk</v>
      </c>
      <c r="D6550" s="12"/>
      <c r="E6550" s="11">
        <v>6598.0</v>
      </c>
      <c r="F6550" s="2"/>
    </row>
    <row r="6551" ht="1.5" customHeight="1">
      <c r="A6551" s="4" t="str">
        <f>IFERROR(__xludf.DUMMYFUNCTION("""COMPUTED_VALUE"""),"103. Bea")</f>
        <v>103. Bea</v>
      </c>
      <c r="B6551" s="4" t="str">
        <f>IFERROR(__xludf.DUMMYFUNCTION("""COMPUTED_VALUE"""),"103")</f>
        <v>103</v>
      </c>
      <c r="C6551" s="5" t="str">
        <f>IFERROR(__xludf.DUMMYFUNCTION("""COMPUTED_VALUE"""),"https://drive.google.com/file/d/1VQgqbn3hrrVkkAANNTbB6H15oE-l-itz/view?usp=drivesdk")</f>
        <v>https://drive.google.com/file/d/1VQgqbn3hrrVkkAANNTbB6H15oE-l-itz/view?usp=drivesdk</v>
      </c>
      <c r="D6551" s="12"/>
      <c r="E6551" s="11">
        <v>6599.0</v>
      </c>
      <c r="F6551" s="2"/>
    </row>
    <row r="6552" ht="1.5" customHeight="1">
      <c r="A6552" s="4" t="str">
        <f>IFERROR(__xludf.DUMMYFUNCTION("""COMPUTED_VALUE"""),"103. Bea")</f>
        <v>103. Bea</v>
      </c>
      <c r="B6552" s="4" t="str">
        <f>IFERROR(__xludf.DUMMYFUNCTION("""COMPUTED_VALUE"""),"103")</f>
        <v>103</v>
      </c>
      <c r="C6552" s="5" t="str">
        <f>IFERROR(__xludf.DUMMYFUNCTION("""COMPUTED_VALUE"""),"https://drive.google.com/file/d/11G9Gh2PZb8gEFMZWLScbFH_VWgfmknPL/view?usp=drivesdk")</f>
        <v>https://drive.google.com/file/d/11G9Gh2PZb8gEFMZWLScbFH_VWgfmknPL/view?usp=drivesdk</v>
      </c>
      <c r="D6552" s="12"/>
      <c r="E6552" s="11">
        <v>6600.0</v>
      </c>
      <c r="F6552" s="2"/>
    </row>
    <row r="6553" ht="1.5" customHeight="1">
      <c r="A6553" s="4" t="str">
        <f>IFERROR(__xludf.DUMMYFUNCTION("""COMPUTED_VALUE"""),"103. Bea")</f>
        <v>103. Bea</v>
      </c>
      <c r="B6553" s="4" t="str">
        <f>IFERROR(__xludf.DUMMYFUNCTION("""COMPUTED_VALUE"""),"103")</f>
        <v>103</v>
      </c>
      <c r="C6553" s="5" t="str">
        <f>IFERROR(__xludf.DUMMYFUNCTION("""COMPUTED_VALUE"""),"https://drive.google.com/file/d/1cLNjxnWar86LIRDA6ovOxYkQqwDfiRVd/view?usp=drivesdk")</f>
        <v>https://drive.google.com/file/d/1cLNjxnWar86LIRDA6ovOxYkQqwDfiRVd/view?usp=drivesdk</v>
      </c>
      <c r="D6553" s="12"/>
      <c r="E6553" s="11">
        <v>6601.0</v>
      </c>
      <c r="F6553" s="2"/>
    </row>
    <row r="6554" ht="1.5" customHeight="1">
      <c r="A6554" s="4" t="str">
        <f>IFERROR(__xludf.DUMMYFUNCTION("""COMPUTED_VALUE"""),"102. Keaton")</f>
        <v>102. Keaton</v>
      </c>
      <c r="B6554" s="4" t="str">
        <f>IFERROR(__xludf.DUMMYFUNCTION("""COMPUTED_VALUE"""),"102")</f>
        <v>102</v>
      </c>
      <c r="C6554" s="5" t="str">
        <f>IFERROR(__xludf.DUMMYFUNCTION("""COMPUTED_VALUE"""),"https://drive.google.com/file/d/1ZsRM2Ypki4U9MOHv01dgnOI-ZTwY4CGF/view?usp=drivesdk")</f>
        <v>https://drive.google.com/file/d/1ZsRM2Ypki4U9MOHv01dgnOI-ZTwY4CGF/view?usp=drivesdk</v>
      </c>
      <c r="D6554" s="12"/>
      <c r="E6554" s="11">
        <v>6602.0</v>
      </c>
      <c r="F6554" s="2"/>
    </row>
    <row r="6555" ht="1.5" customHeight="1">
      <c r="A6555" s="4" t="str">
        <f>IFERROR(__xludf.DUMMYFUNCTION("""COMPUTED_VALUE"""),"102. Keaton")</f>
        <v>102. Keaton</v>
      </c>
      <c r="B6555" s="4" t="str">
        <f>IFERROR(__xludf.DUMMYFUNCTION("""COMPUTED_VALUE"""),"102")</f>
        <v>102</v>
      </c>
      <c r="C6555" s="5" t="str">
        <f>IFERROR(__xludf.DUMMYFUNCTION("""COMPUTED_VALUE"""),"https://drive.google.com/file/d/19cILgQPYqA2eup1lDNJgRt62Gkk5bH7v/view?usp=drivesdk")</f>
        <v>https://drive.google.com/file/d/19cILgQPYqA2eup1lDNJgRt62Gkk5bH7v/view?usp=drivesdk</v>
      </c>
      <c r="D6555" s="12"/>
      <c r="E6555" s="11">
        <v>6603.0</v>
      </c>
      <c r="F6555" s="2"/>
    </row>
    <row r="6556" ht="1.5" customHeight="1">
      <c r="A6556" s="4" t="str">
        <f>IFERROR(__xludf.DUMMYFUNCTION("""COMPUTED_VALUE"""),"102. Keaton")</f>
        <v>102. Keaton</v>
      </c>
      <c r="B6556" s="4" t="str">
        <f>IFERROR(__xludf.DUMMYFUNCTION("""COMPUTED_VALUE"""),"102")</f>
        <v>102</v>
      </c>
      <c r="C6556" s="5" t="str">
        <f>IFERROR(__xludf.DUMMYFUNCTION("""COMPUTED_VALUE"""),"https://drive.google.com/file/d/1DUjANEo1p38WCIISv4fKfCQWEHeWECzj/view?usp=drivesdk")</f>
        <v>https://drive.google.com/file/d/1DUjANEo1p38WCIISv4fKfCQWEHeWECzj/view?usp=drivesdk</v>
      </c>
      <c r="D6556" s="12"/>
      <c r="E6556" s="11">
        <v>6604.0</v>
      </c>
      <c r="F6556" s="2"/>
    </row>
    <row r="6557" ht="1.5" customHeight="1">
      <c r="A6557" s="4" t="str">
        <f>IFERROR(__xludf.DUMMYFUNCTION("""COMPUTED_VALUE"""),"102. Keaton")</f>
        <v>102. Keaton</v>
      </c>
      <c r="B6557" s="4" t="str">
        <f>IFERROR(__xludf.DUMMYFUNCTION("""COMPUTED_VALUE"""),"102")</f>
        <v>102</v>
      </c>
      <c r="C6557" s="5" t="str">
        <f>IFERROR(__xludf.DUMMYFUNCTION("""COMPUTED_VALUE"""),"https://drive.google.com/file/d/19iaw5jQbrYfrVs2fpu8cDsnAe5Qp9X5D/view?usp=drivesdk")</f>
        <v>https://drive.google.com/file/d/19iaw5jQbrYfrVs2fpu8cDsnAe5Qp9X5D/view?usp=drivesdk</v>
      </c>
      <c r="D6557" s="12"/>
      <c r="E6557" s="11">
        <v>6605.0</v>
      </c>
      <c r="F6557" s="2"/>
    </row>
    <row r="6558" ht="1.5" customHeight="1">
      <c r="A6558" s="4" t="str">
        <f>IFERROR(__xludf.DUMMYFUNCTION("""COMPUTED_VALUE"""),"102. Keaton")</f>
        <v>102. Keaton</v>
      </c>
      <c r="B6558" s="4" t="str">
        <f>IFERROR(__xludf.DUMMYFUNCTION("""COMPUTED_VALUE"""),"102")</f>
        <v>102</v>
      </c>
      <c r="C6558" s="5" t="str">
        <f>IFERROR(__xludf.DUMMYFUNCTION("""COMPUTED_VALUE"""),"https://drive.google.com/file/d/1ch6Bz5HmFOIDfk3_JOmCUkBqo1cKz_9n/view?usp=drivesdk")</f>
        <v>https://drive.google.com/file/d/1ch6Bz5HmFOIDfk3_JOmCUkBqo1cKz_9n/view?usp=drivesdk</v>
      </c>
      <c r="D6558" s="12"/>
      <c r="E6558" s="11">
        <v>6606.0</v>
      </c>
      <c r="F6558" s="2"/>
    </row>
    <row r="6559" ht="1.5" customHeight="1">
      <c r="A6559" s="4" t="str">
        <f>IFERROR(__xludf.DUMMYFUNCTION("""COMPUTED_VALUE"""),"46. Princess, 61. Cassie")</f>
        <v>46. Princess, 61. Cassie</v>
      </c>
      <c r="B6559" s="4" t="str">
        <f>IFERROR(__xludf.DUMMYFUNCTION("""COMPUTED_VALUE"""),"46, 61")</f>
        <v>46, 61</v>
      </c>
      <c r="C6559" s="5" t="str">
        <f>IFERROR(__xludf.DUMMYFUNCTION("""COMPUTED_VALUE"""),"https://drive.google.com/file/d/1-rOG1xkDxEtRT5Sz2sIlqVkmKBsUhW3d/view?usp=drivesdk")</f>
        <v>https://drive.google.com/file/d/1-rOG1xkDxEtRT5Sz2sIlqVkmKBsUhW3d/view?usp=drivesdk</v>
      </c>
      <c r="D6559" s="12"/>
      <c r="E6559" s="11">
        <v>6607.0</v>
      </c>
      <c r="F6559" s="2"/>
    </row>
    <row r="6560" ht="1.5" customHeight="1">
      <c r="A6560" s="4" t="str">
        <f>IFERROR(__xludf.DUMMYFUNCTION("""COMPUTED_VALUE"""),"46. Princess, 61. Cassie")</f>
        <v>46. Princess, 61. Cassie</v>
      </c>
      <c r="B6560" s="4" t="str">
        <f>IFERROR(__xludf.DUMMYFUNCTION("""COMPUTED_VALUE"""),"46, 61")</f>
        <v>46, 61</v>
      </c>
      <c r="C6560" s="5" t="str">
        <f>IFERROR(__xludf.DUMMYFUNCTION("""COMPUTED_VALUE"""),"https://drive.google.com/file/d/1OZuYig2AjQbwK3v-YUOmHSpjikathQr6/view?usp=drivesdk")</f>
        <v>https://drive.google.com/file/d/1OZuYig2AjQbwK3v-YUOmHSpjikathQr6/view?usp=drivesdk</v>
      </c>
      <c r="D6560" s="12"/>
      <c r="E6560" s="11">
        <v>6608.0</v>
      </c>
      <c r="F6560" s="2"/>
    </row>
    <row r="6561" ht="1.5" customHeight="1">
      <c r="A6561" s="4" t="str">
        <f>IFERROR(__xludf.DUMMYFUNCTION("""COMPUTED_VALUE"""),"46. Princess, 61. Cassie")</f>
        <v>46. Princess, 61. Cassie</v>
      </c>
      <c r="B6561" s="4" t="str">
        <f>IFERROR(__xludf.DUMMYFUNCTION("""COMPUTED_VALUE"""),"46, 61")</f>
        <v>46, 61</v>
      </c>
      <c r="C6561" s="5" t="str">
        <f>IFERROR(__xludf.DUMMYFUNCTION("""COMPUTED_VALUE"""),"https://drive.google.com/file/d/1n8EbklrcIkq_-wXOjpY6cO0hQ3yb5Zja/view?usp=drivesdk")</f>
        <v>https://drive.google.com/file/d/1n8EbklrcIkq_-wXOjpY6cO0hQ3yb5Zja/view?usp=drivesdk</v>
      </c>
      <c r="D6561" s="12"/>
      <c r="E6561" s="11">
        <v>6609.0</v>
      </c>
      <c r="F6561" s="2"/>
    </row>
    <row r="6562" ht="1.5" customHeight="1">
      <c r="A6562" s="4" t="str">
        <f>IFERROR(__xludf.DUMMYFUNCTION("""COMPUTED_VALUE"""),"46. Princess, 61. Cassie")</f>
        <v>46. Princess, 61. Cassie</v>
      </c>
      <c r="B6562" s="4" t="str">
        <f>IFERROR(__xludf.DUMMYFUNCTION("""COMPUTED_VALUE"""),"46, 61")</f>
        <v>46, 61</v>
      </c>
      <c r="C6562" s="5" t="str">
        <f>IFERROR(__xludf.DUMMYFUNCTION("""COMPUTED_VALUE"""),"https://drive.google.com/file/d/1JMvumSPS1-YRaAKE1cfqgoptTVTCzNef/view?usp=drivesdk")</f>
        <v>https://drive.google.com/file/d/1JMvumSPS1-YRaAKE1cfqgoptTVTCzNef/view?usp=drivesdk</v>
      </c>
      <c r="D6562" s="12"/>
      <c r="E6562" s="11">
        <v>6610.0</v>
      </c>
      <c r="F6562" s="2"/>
    </row>
    <row r="6563" ht="1.5" customHeight="1">
      <c r="A6563" s="4" t="str">
        <f>IFERROR(__xludf.DUMMYFUNCTION("""COMPUTED_VALUE"""),"39. Radar")</f>
        <v>39. Radar</v>
      </c>
      <c r="B6563" s="4" t="str">
        <f>IFERROR(__xludf.DUMMYFUNCTION("""COMPUTED_VALUE"""),"39")</f>
        <v>39</v>
      </c>
      <c r="C6563" s="5" t="str">
        <f>IFERROR(__xludf.DUMMYFUNCTION("""COMPUTED_VALUE"""),"https://drive.google.com/file/d/1a_g6slbRM5WYzEzhb0D7ssnAVIk84m4O/view?usp=drivesdk")</f>
        <v>https://drive.google.com/file/d/1a_g6slbRM5WYzEzhb0D7ssnAVIk84m4O/view?usp=drivesdk</v>
      </c>
      <c r="D6563" s="12"/>
      <c r="E6563" s="11">
        <v>6611.0</v>
      </c>
      <c r="F6563" s="2"/>
    </row>
    <row r="6564" ht="1.5" customHeight="1">
      <c r="A6564" s="4" t="str">
        <f>IFERROR(__xludf.DUMMYFUNCTION("""COMPUTED_VALUE"""),"39. Radar")</f>
        <v>39. Radar</v>
      </c>
      <c r="B6564" s="4" t="str">
        <f>IFERROR(__xludf.DUMMYFUNCTION("""COMPUTED_VALUE"""),"39")</f>
        <v>39</v>
      </c>
      <c r="C6564" s="5" t="str">
        <f>IFERROR(__xludf.DUMMYFUNCTION("""COMPUTED_VALUE"""),"https://drive.google.com/file/d/1tRdmqcTPpGZBlp_PlqakRR5GdVIp_m3t/view?usp=drivesdk")</f>
        <v>https://drive.google.com/file/d/1tRdmqcTPpGZBlp_PlqakRR5GdVIp_m3t/view?usp=drivesdk</v>
      </c>
      <c r="D6564" s="12"/>
      <c r="E6564" s="11">
        <v>6612.0</v>
      </c>
      <c r="F6564" s="2"/>
    </row>
    <row r="6565" ht="1.5" customHeight="1">
      <c r="A6565" s="4" t="str">
        <f>IFERROR(__xludf.DUMMYFUNCTION("""COMPUTED_VALUE"""),"95. Ariel")</f>
        <v>95. Ariel</v>
      </c>
      <c r="B6565" s="4" t="str">
        <f>IFERROR(__xludf.DUMMYFUNCTION("""COMPUTED_VALUE"""),"95")</f>
        <v>95</v>
      </c>
      <c r="C6565" s="5" t="str">
        <f>IFERROR(__xludf.DUMMYFUNCTION("""COMPUTED_VALUE"""),"https://drive.google.com/file/d/1McOMjWkPztyPmxGezshumWaf3TI_WRc5/view?usp=drivesdk")</f>
        <v>https://drive.google.com/file/d/1McOMjWkPztyPmxGezshumWaf3TI_WRc5/view?usp=drivesdk</v>
      </c>
      <c r="D6565" s="12"/>
      <c r="E6565" s="11">
        <v>6613.0</v>
      </c>
      <c r="F6565" s="2"/>
    </row>
    <row r="6566" ht="1.5" customHeight="1">
      <c r="A6566" s="4" t="str">
        <f>IFERROR(__xludf.DUMMYFUNCTION("""COMPUTED_VALUE"""),"58. Eden")</f>
        <v>58. Eden</v>
      </c>
      <c r="B6566" s="4" t="str">
        <f>IFERROR(__xludf.DUMMYFUNCTION("""COMPUTED_VALUE"""),"58")</f>
        <v>58</v>
      </c>
      <c r="C6566" s="5" t="str">
        <f>IFERROR(__xludf.DUMMYFUNCTION("""COMPUTED_VALUE"""),"https://drive.google.com/file/d/1f_xVQ3hxY4XMat_70W_AG_sXFGxJQokv/view?usp=drivesdk")</f>
        <v>https://drive.google.com/file/d/1f_xVQ3hxY4XMat_70W_AG_sXFGxJQokv/view?usp=drivesdk</v>
      </c>
      <c r="D6566" s="12"/>
      <c r="E6566" s="11">
        <v>6614.0</v>
      </c>
      <c r="F6566" s="2"/>
    </row>
    <row r="6567" ht="1.5" customHeight="1">
      <c r="A6567" s="4" t="str">
        <f>IFERROR(__xludf.DUMMYFUNCTION("""COMPUTED_VALUE"""),"47. Nefarious")</f>
        <v>47. Nefarious</v>
      </c>
      <c r="B6567" s="4" t="str">
        <f>IFERROR(__xludf.DUMMYFUNCTION("""COMPUTED_VALUE"""),"47")</f>
        <v>47</v>
      </c>
      <c r="C6567" s="5" t="str">
        <f>IFERROR(__xludf.DUMMYFUNCTION("""COMPUTED_VALUE"""),"https://drive.google.com/file/d/1Ml7XcwGl0B8z9rG9iAaIl3J-zKctPmHy/view?usp=drivesdk")</f>
        <v>https://drive.google.com/file/d/1Ml7XcwGl0B8z9rG9iAaIl3J-zKctPmHy/view?usp=drivesdk</v>
      </c>
      <c r="D6567" s="12"/>
      <c r="E6567" s="11">
        <v>6615.0</v>
      </c>
      <c r="F6567" s="2"/>
    </row>
    <row r="6568" ht="1.5" customHeight="1">
      <c r="A6568" s="4" t="str">
        <f>IFERROR(__xludf.DUMMYFUNCTION("""COMPUTED_VALUE"""),"44. Shitbag Cuntface")</f>
        <v>44. Shitbag Cuntface</v>
      </c>
      <c r="B6568" s="4" t="str">
        <f>IFERROR(__xludf.DUMMYFUNCTION("""COMPUTED_VALUE"""),"44")</f>
        <v>44</v>
      </c>
      <c r="C6568" s="5" t="str">
        <f>IFERROR(__xludf.DUMMYFUNCTION("""COMPUTED_VALUE"""),"https://drive.google.com/file/d/1oJIEwV0N4cm-8SwNMyXnWU25mrgeSD1x/view?usp=drivesdk")</f>
        <v>https://drive.google.com/file/d/1oJIEwV0N4cm-8SwNMyXnWU25mrgeSD1x/view?usp=drivesdk</v>
      </c>
      <c r="D6568" s="12"/>
      <c r="E6568" s="11">
        <v>6616.0</v>
      </c>
      <c r="F6568" s="2"/>
    </row>
    <row r="6569" ht="1.5" customHeight="1">
      <c r="A6569" s="4" t="str">
        <f>IFERROR(__xludf.DUMMYFUNCTION("""COMPUTED_VALUE"""),"44. Shitbag Cuntface")</f>
        <v>44. Shitbag Cuntface</v>
      </c>
      <c r="B6569" s="4" t="str">
        <f>IFERROR(__xludf.DUMMYFUNCTION("""COMPUTED_VALUE"""),"44")</f>
        <v>44</v>
      </c>
      <c r="C6569" s="5" t="str">
        <f>IFERROR(__xludf.DUMMYFUNCTION("""COMPUTED_VALUE"""),"https://drive.google.com/file/d/1Qho7B5wfwmUDoZh_ThMNF-yaaNWlzNgx/view?usp=drivesdk")</f>
        <v>https://drive.google.com/file/d/1Qho7B5wfwmUDoZh_ThMNF-yaaNWlzNgx/view?usp=drivesdk</v>
      </c>
      <c r="D6569" s="12"/>
      <c r="E6569" s="11">
        <v>6617.0</v>
      </c>
      <c r="F6569" s="2"/>
    </row>
    <row r="6570" ht="1.5" customHeight="1">
      <c r="A6570" s="4" t="str">
        <f>IFERROR(__xludf.DUMMYFUNCTION("""COMPUTED_VALUE"""),"21. Paquini")</f>
        <v>21. Paquini</v>
      </c>
      <c r="B6570" s="4" t="str">
        <f>IFERROR(__xludf.DUMMYFUNCTION("""COMPUTED_VALUE"""),"21")</f>
        <v>21</v>
      </c>
      <c r="C6570" s="5" t="str">
        <f>IFERROR(__xludf.DUMMYFUNCTION("""COMPUTED_VALUE"""),"https://drive.google.com/file/d/1vqMttGEr0HnCD78BzNp_9lHILFUSvJZs/view?usp=drivesdk")</f>
        <v>https://drive.google.com/file/d/1vqMttGEr0HnCD78BzNp_9lHILFUSvJZs/view?usp=drivesdk</v>
      </c>
      <c r="D6570" s="12"/>
      <c r="E6570" s="11">
        <v>6618.0</v>
      </c>
      <c r="F6570" s="2"/>
    </row>
    <row r="6571" ht="1.5" customHeight="1">
      <c r="A6571" s="4" t="str">
        <f>IFERROR(__xludf.DUMMYFUNCTION("""COMPUTED_VALUE"""),"123. Temiquini, 80. Atzi, 116. Itzel")</f>
        <v>123. Temiquini, 80. Atzi, 116. Itzel</v>
      </c>
      <c r="B6571" s="4" t="str">
        <f>IFERROR(__xludf.DUMMYFUNCTION("""COMPUTED_VALUE"""),"123, 80, 116")</f>
        <v>123, 80, 116</v>
      </c>
      <c r="C6571" s="5" t="str">
        <f>IFERROR(__xludf.DUMMYFUNCTION("""COMPUTED_VALUE"""),"https://drive.google.com/file/d/1-yCJ6PQ386ACu7iBb4KxgpxX4VJWLhic/view?usp=drivesdk")</f>
        <v>https://drive.google.com/file/d/1-yCJ6PQ386ACu7iBb4KxgpxX4VJWLhic/view?usp=drivesdk</v>
      </c>
      <c r="D6571" s="12"/>
      <c r="E6571" s="11">
        <v>6619.0</v>
      </c>
      <c r="F6571" s="2"/>
    </row>
    <row r="6572" ht="1.5" customHeight="1">
      <c r="A6572" s="4" t="str">
        <f>IFERROR(__xludf.DUMMYFUNCTION("""COMPUTED_VALUE"""),"116. Itzel")</f>
        <v>116. Itzel</v>
      </c>
      <c r="B6572" s="4" t="str">
        <f>IFERROR(__xludf.DUMMYFUNCTION("""COMPUTED_VALUE"""),"116")</f>
        <v>116</v>
      </c>
      <c r="C6572" s="5" t="str">
        <f>IFERROR(__xludf.DUMMYFUNCTION("""COMPUTED_VALUE"""),"https://drive.google.com/file/d/1iq_6sm7a0FKCrlAsFGz-d8WaAlEAcR8I/view?usp=drivesdk")</f>
        <v>https://drive.google.com/file/d/1iq_6sm7a0FKCrlAsFGz-d8WaAlEAcR8I/view?usp=drivesdk</v>
      </c>
      <c r="D6572" s="12"/>
      <c r="E6572" s="11">
        <v>6620.0</v>
      </c>
      <c r="F6572" s="2"/>
    </row>
    <row r="6573" ht="1.5" customHeight="1">
      <c r="A6573" s="4" t="str">
        <f>IFERROR(__xludf.DUMMYFUNCTION("""COMPUTED_VALUE"""),"105. Chilton")</f>
        <v>105. Chilton</v>
      </c>
      <c r="B6573" s="4" t="str">
        <f>IFERROR(__xludf.DUMMYFUNCTION("""COMPUTED_VALUE"""),"105")</f>
        <v>105</v>
      </c>
      <c r="C6573" s="5" t="str">
        <f>IFERROR(__xludf.DUMMYFUNCTION("""COMPUTED_VALUE"""),"https://drive.google.com/file/d/1-Vd87Tyv0VjoJpR85P_5FXYJMQorFlG8/view?usp=drivesdk")</f>
        <v>https://drive.google.com/file/d/1-Vd87Tyv0VjoJpR85P_5FXYJMQorFlG8/view?usp=drivesdk</v>
      </c>
      <c r="D6573" s="12"/>
      <c r="E6573" s="11">
        <v>6621.0</v>
      </c>
      <c r="F6573" s="2"/>
    </row>
    <row r="6574" ht="1.5" customHeight="1">
      <c r="A6574" s="4" t="str">
        <f>IFERROR(__xludf.DUMMYFUNCTION("""COMPUTED_VALUE"""),"126. Tax Evasion")</f>
        <v>126. Tax Evasion</v>
      </c>
      <c r="B6574" s="4" t="str">
        <f>IFERROR(__xludf.DUMMYFUNCTION("""COMPUTED_VALUE"""),"126")</f>
        <v>126</v>
      </c>
      <c r="C6574" s="5" t="str">
        <f>IFERROR(__xludf.DUMMYFUNCTION("""COMPUTED_VALUE"""),"https://drive.google.com/file/d/11VycxqkZsybyTKrRRKlamHxsBP7K-O4C/view?usp=drivesdk")</f>
        <v>https://drive.google.com/file/d/11VycxqkZsybyTKrRRKlamHxsBP7K-O4C/view?usp=drivesdk</v>
      </c>
      <c r="D6574" s="12"/>
      <c r="E6574" s="11">
        <v>6622.0</v>
      </c>
      <c r="F6574" s="2"/>
    </row>
    <row r="6575" ht="1.5" customHeight="1">
      <c r="A6575" s="4" t="str">
        <f>IFERROR(__xludf.DUMMYFUNCTION("""COMPUTED_VALUE"""),"126. Tax Evasion")</f>
        <v>126. Tax Evasion</v>
      </c>
      <c r="B6575" s="4" t="str">
        <f>IFERROR(__xludf.DUMMYFUNCTION("""COMPUTED_VALUE"""),"126")</f>
        <v>126</v>
      </c>
      <c r="C6575" s="5" t="str">
        <f>IFERROR(__xludf.DUMMYFUNCTION("""COMPUTED_VALUE"""),"https://drive.google.com/file/d/1yd4KzDkjosiR8PDS5V_d7FNxzjXVT3Fd/view?usp=drivesdk")</f>
        <v>https://drive.google.com/file/d/1yd4KzDkjosiR8PDS5V_d7FNxzjXVT3Fd/view?usp=drivesdk</v>
      </c>
      <c r="D6575" s="12"/>
      <c r="E6575" s="11">
        <v>6623.0</v>
      </c>
      <c r="F6575" s="2"/>
    </row>
    <row r="6576" ht="1.5" customHeight="1">
      <c r="A6576" s="4" t="str">
        <f>IFERROR(__xludf.DUMMYFUNCTION("""COMPUTED_VALUE"""),"126. Tax Evasion")</f>
        <v>126. Tax Evasion</v>
      </c>
      <c r="B6576" s="4" t="str">
        <f>IFERROR(__xludf.DUMMYFUNCTION("""COMPUTED_VALUE"""),"126")</f>
        <v>126</v>
      </c>
      <c r="C6576" s="5" t="str">
        <f>IFERROR(__xludf.DUMMYFUNCTION("""COMPUTED_VALUE"""),"https://drive.google.com/file/d/1fvkTZfugx2wcf11GeByjHgifpGOt0mJv/view?usp=drivesdk")</f>
        <v>https://drive.google.com/file/d/1fvkTZfugx2wcf11GeByjHgifpGOt0mJv/view?usp=drivesdk</v>
      </c>
      <c r="D6576" s="12"/>
      <c r="E6576" s="11">
        <v>6624.0</v>
      </c>
      <c r="F6576" s="2"/>
    </row>
    <row r="6577" ht="1.5" customHeight="1">
      <c r="A6577" s="4" t="str">
        <f>IFERROR(__xludf.DUMMYFUNCTION("""COMPUTED_VALUE"""),"126. Tax Evasion")</f>
        <v>126. Tax Evasion</v>
      </c>
      <c r="B6577" s="4" t="str">
        <f>IFERROR(__xludf.DUMMYFUNCTION("""COMPUTED_VALUE"""),"126")</f>
        <v>126</v>
      </c>
      <c r="C6577" s="5" t="str">
        <f>IFERROR(__xludf.DUMMYFUNCTION("""COMPUTED_VALUE"""),"https://drive.google.com/file/d/1BOT_NQld6BUA7TGZ1mDzpxcZACNpPpas/view?usp=drivesdk")</f>
        <v>https://drive.google.com/file/d/1BOT_NQld6BUA7TGZ1mDzpxcZACNpPpas/view?usp=drivesdk</v>
      </c>
      <c r="D6577" s="12"/>
      <c r="E6577" s="11">
        <v>6625.0</v>
      </c>
      <c r="F6577" s="2"/>
    </row>
    <row r="6578" ht="1.5" customHeight="1">
      <c r="A6578" s="4" t="str">
        <f>IFERROR(__xludf.DUMMYFUNCTION("""COMPUTED_VALUE"""),"2. Twix")</f>
        <v>2. Twix</v>
      </c>
      <c r="B6578" s="4" t="str">
        <f>IFERROR(__xludf.DUMMYFUNCTION("""COMPUTED_VALUE"""),"2")</f>
        <v>2</v>
      </c>
      <c r="C6578" s="5" t="str">
        <f>IFERROR(__xludf.DUMMYFUNCTION("""COMPUTED_VALUE"""),"https://drive.google.com/file/d/1Tk9m3-Tfbpqz0uY8LwOKJwgHewe2NZc6/view?usp=drivesdk")</f>
        <v>https://drive.google.com/file/d/1Tk9m3-Tfbpqz0uY8LwOKJwgHewe2NZc6/view?usp=drivesdk</v>
      </c>
      <c r="D6578" s="12"/>
      <c r="E6578" s="11">
        <v>6626.0</v>
      </c>
      <c r="F6578" s="2"/>
    </row>
    <row r="6579" ht="1.5" customHeight="1">
      <c r="A6579" s="4" t="str">
        <f>IFERROR(__xludf.DUMMYFUNCTION("""COMPUTED_VALUE"""),"2. Twix")</f>
        <v>2. Twix</v>
      </c>
      <c r="B6579" s="4" t="str">
        <f>IFERROR(__xludf.DUMMYFUNCTION("""COMPUTED_VALUE"""),"2")</f>
        <v>2</v>
      </c>
      <c r="C6579" s="5" t="str">
        <f>IFERROR(__xludf.DUMMYFUNCTION("""COMPUTED_VALUE"""),"https://drive.google.com/file/d/1iRlCa6pDn8CGDdMZEIXHDpT6Bcf_KdIm/view?usp=drivesdk")</f>
        <v>https://drive.google.com/file/d/1iRlCa6pDn8CGDdMZEIXHDpT6Bcf_KdIm/view?usp=drivesdk</v>
      </c>
      <c r="D6579" s="12"/>
      <c r="E6579" s="11">
        <v>6627.0</v>
      </c>
      <c r="F6579" s="2"/>
    </row>
    <row r="6580" ht="1.5" customHeight="1">
      <c r="A6580" s="4" t="str">
        <f>IFERROR(__xludf.DUMMYFUNCTION("""COMPUTED_VALUE"""),"2. Twix")</f>
        <v>2. Twix</v>
      </c>
      <c r="B6580" s="4" t="str">
        <f>IFERROR(__xludf.DUMMYFUNCTION("""COMPUTED_VALUE"""),"2")</f>
        <v>2</v>
      </c>
      <c r="C6580" s="5" t="str">
        <f>IFERROR(__xludf.DUMMYFUNCTION("""COMPUTED_VALUE"""),"https://drive.google.com/file/d/1aIdH3TBFj-uVpng1qhU0yT0F1spHRmAE/view?usp=drivesdk")</f>
        <v>https://drive.google.com/file/d/1aIdH3TBFj-uVpng1qhU0yT0F1spHRmAE/view?usp=drivesdk</v>
      </c>
      <c r="D6580" s="12"/>
      <c r="E6580" s="11">
        <v>6628.0</v>
      </c>
      <c r="F6580" s="2"/>
    </row>
    <row r="6581" ht="1.5" customHeight="1">
      <c r="A6581" s="4" t="str">
        <f>IFERROR(__xludf.DUMMYFUNCTION("""COMPUTED_VALUE"""),"2. Twix")</f>
        <v>2. Twix</v>
      </c>
      <c r="B6581" s="4" t="str">
        <f>IFERROR(__xludf.DUMMYFUNCTION("""COMPUTED_VALUE"""),"2")</f>
        <v>2</v>
      </c>
      <c r="C6581" s="5" t="str">
        <f>IFERROR(__xludf.DUMMYFUNCTION("""COMPUTED_VALUE"""),"https://drive.google.com/file/d/1sEC8UGxwX9sgLfSL5o-u0WepuffHKLHj/view?usp=drivesdk")</f>
        <v>https://drive.google.com/file/d/1sEC8UGxwX9sgLfSL5o-u0WepuffHKLHj/view?usp=drivesdk</v>
      </c>
      <c r="D6581" s="12"/>
      <c r="E6581" s="11">
        <v>6629.0</v>
      </c>
      <c r="F6581" s="2"/>
    </row>
    <row r="6582" ht="1.5" customHeight="1">
      <c r="A6582" s="4" t="str">
        <f>IFERROR(__xludf.DUMMYFUNCTION("""COMPUTED_VALUE"""),"8. Pencil")</f>
        <v>8. Pencil</v>
      </c>
      <c r="B6582" s="4" t="str">
        <f>IFERROR(__xludf.DUMMYFUNCTION("""COMPUTED_VALUE"""),"8")</f>
        <v>8</v>
      </c>
      <c r="C6582" s="5" t="str">
        <f>IFERROR(__xludf.DUMMYFUNCTION("""COMPUTED_VALUE"""),"https://drive.google.com/file/d/1EVowMA5enH4hDxXMoZVRPFarPZYGBthW/view?usp=drivesdk")</f>
        <v>https://drive.google.com/file/d/1EVowMA5enH4hDxXMoZVRPFarPZYGBthW/view?usp=drivesdk</v>
      </c>
      <c r="D6582" s="12"/>
      <c r="E6582" s="11">
        <v>6630.0</v>
      </c>
      <c r="F6582" s="2"/>
    </row>
    <row r="6583" ht="1.5" customHeight="1">
      <c r="A6583" s="4" t="str">
        <f>IFERROR(__xludf.DUMMYFUNCTION("""COMPUTED_VALUE"""),"80. Atzi, 116. Itzel, 123. Temiquini")</f>
        <v>80. Atzi, 116. Itzel, 123. Temiquini</v>
      </c>
      <c r="B6583" s="4" t="str">
        <f>IFERROR(__xludf.DUMMYFUNCTION("""COMPUTED_VALUE"""),"80, 116, 123")</f>
        <v>80, 116, 123</v>
      </c>
      <c r="C6583" s="5" t="str">
        <f>IFERROR(__xludf.DUMMYFUNCTION("""COMPUTED_VALUE"""),"https://drive.google.com/file/d/13UHrx2AD3gazkccfVo97bF9Lwo5p18w0/view?usp=drivesdk")</f>
        <v>https://drive.google.com/file/d/13UHrx2AD3gazkccfVo97bF9Lwo5p18w0/view?usp=drivesdk</v>
      </c>
      <c r="D6583" s="12"/>
      <c r="E6583" s="11">
        <v>6631.0</v>
      </c>
      <c r="F6583" s="2"/>
    </row>
    <row r="6584" ht="1.5" customHeight="1">
      <c r="A6584" s="4" t="str">
        <f>IFERROR(__xludf.DUMMYFUNCTION("""COMPUTED_VALUE"""),"1. Microwave")</f>
        <v>1. Microwave</v>
      </c>
      <c r="B6584" s="4" t="str">
        <f>IFERROR(__xludf.DUMMYFUNCTION("""COMPUTED_VALUE"""),"1")</f>
        <v>1</v>
      </c>
      <c r="C6584" s="5" t="str">
        <f>IFERROR(__xludf.DUMMYFUNCTION("""COMPUTED_VALUE"""),"https://drive.google.com/file/d/19K7hPZsLbhg2cwAoieoHidPDsgMORolV/view?usp=drivesdk")</f>
        <v>https://drive.google.com/file/d/19K7hPZsLbhg2cwAoieoHidPDsgMORolV/view?usp=drivesdk</v>
      </c>
      <c r="D6584" s="12"/>
      <c r="E6584" s="11">
        <v>6632.0</v>
      </c>
      <c r="F6584" s="2"/>
    </row>
    <row r="6585" ht="1.5" customHeight="1">
      <c r="A6585" s="4" t="str">
        <f>IFERROR(__xludf.DUMMYFUNCTION("""COMPUTED_VALUE"""),"1. Microwave")</f>
        <v>1. Microwave</v>
      </c>
      <c r="B6585" s="4" t="str">
        <f>IFERROR(__xludf.DUMMYFUNCTION("""COMPUTED_VALUE"""),"1")</f>
        <v>1</v>
      </c>
      <c r="C6585" s="5" t="str">
        <f>IFERROR(__xludf.DUMMYFUNCTION("""COMPUTED_VALUE"""),"https://drive.google.com/file/d/1C_41IfDaM2aEsjwKb7w9FK1hAs57G14G/view?usp=drivesdk")</f>
        <v>https://drive.google.com/file/d/1C_41IfDaM2aEsjwKb7w9FK1hAs57G14G/view?usp=drivesdk</v>
      </c>
      <c r="D6585" s="12"/>
      <c r="E6585" s="11">
        <v>6633.0</v>
      </c>
      <c r="F6585" s="2"/>
    </row>
    <row r="6586" ht="1.5" customHeight="1">
      <c r="A6586" s="4" t="str">
        <f>IFERROR(__xludf.DUMMYFUNCTION("""COMPUTED_VALUE"""),"1. Microwave")</f>
        <v>1. Microwave</v>
      </c>
      <c r="B6586" s="4" t="str">
        <f>IFERROR(__xludf.DUMMYFUNCTION("""COMPUTED_VALUE"""),"1")</f>
        <v>1</v>
      </c>
      <c r="C6586" s="5" t="str">
        <f>IFERROR(__xludf.DUMMYFUNCTION("""COMPUTED_VALUE"""),"https://drive.google.com/file/d/1y1M9F_r1g_5sbZDNrZS5D2HOXzI4ESqg/view?usp=drivesdk")</f>
        <v>https://drive.google.com/file/d/1y1M9F_r1g_5sbZDNrZS5D2HOXzI4ESqg/view?usp=drivesdk</v>
      </c>
      <c r="D6586" s="12"/>
      <c r="E6586" s="11">
        <v>6634.0</v>
      </c>
      <c r="F6586" s="2"/>
    </row>
    <row r="6587" ht="1.5" customHeight="1">
      <c r="A6587" s="4" t="str">
        <f>IFERROR(__xludf.DUMMYFUNCTION("""COMPUTED_VALUE"""),"1. Microwave")</f>
        <v>1. Microwave</v>
      </c>
      <c r="B6587" s="4" t="str">
        <f>IFERROR(__xludf.DUMMYFUNCTION("""COMPUTED_VALUE"""),"1")</f>
        <v>1</v>
      </c>
      <c r="C6587" s="5" t="str">
        <f>IFERROR(__xludf.DUMMYFUNCTION("""COMPUTED_VALUE"""),"https://drive.google.com/file/d/1cvfjNVXsNopyHMYbYRyBEzsH3OrVXt_A/view?usp=drivesdk")</f>
        <v>https://drive.google.com/file/d/1cvfjNVXsNopyHMYbYRyBEzsH3OrVXt_A/view?usp=drivesdk</v>
      </c>
      <c r="D6587" s="12"/>
      <c r="E6587" s="11">
        <v>6635.0</v>
      </c>
      <c r="F6587" s="2"/>
    </row>
    <row r="6588" ht="1.5" customHeight="1">
      <c r="A6588" s="4" t="str">
        <f>IFERROR(__xludf.DUMMYFUNCTION("""COMPUTED_VALUE"""),"1. Microwave")</f>
        <v>1. Microwave</v>
      </c>
      <c r="B6588" s="4" t="str">
        <f>IFERROR(__xludf.DUMMYFUNCTION("""COMPUTED_VALUE"""),"1")</f>
        <v>1</v>
      </c>
      <c r="C6588" s="5" t="str">
        <f>IFERROR(__xludf.DUMMYFUNCTION("""COMPUTED_VALUE"""),"https://drive.google.com/file/d/1wR4PPTUqq6qEhb4bbNW8dTB1romhN8ng/view?usp=drivesdk")</f>
        <v>https://drive.google.com/file/d/1wR4PPTUqq6qEhb4bbNW8dTB1romhN8ng/view?usp=drivesdk</v>
      </c>
      <c r="D6588" s="12"/>
      <c r="E6588" s="11">
        <v>6636.0</v>
      </c>
      <c r="F6588" s="2"/>
    </row>
    <row r="6589" ht="1.5" customHeight="1">
      <c r="A6589" s="4" t="str">
        <f>IFERROR(__xludf.DUMMYFUNCTION("""COMPUTED_VALUE"""),"1. Microwave")</f>
        <v>1. Microwave</v>
      </c>
      <c r="B6589" s="4" t="str">
        <f>IFERROR(__xludf.DUMMYFUNCTION("""COMPUTED_VALUE"""),"1")</f>
        <v>1</v>
      </c>
      <c r="C6589" s="5" t="str">
        <f>IFERROR(__xludf.DUMMYFUNCTION("""COMPUTED_VALUE"""),"https://drive.google.com/file/d/1yKoPeguDHFiEzlo09ehHuhILWpXD5G-h/view?usp=drivesdk")</f>
        <v>https://drive.google.com/file/d/1yKoPeguDHFiEzlo09ehHuhILWpXD5G-h/view?usp=drivesdk</v>
      </c>
      <c r="D6589" s="12"/>
      <c r="E6589" s="11">
        <v>6637.0</v>
      </c>
      <c r="F6589" s="2"/>
    </row>
    <row r="6590" ht="1.5" customHeight="1">
      <c r="A6590" s="4" t="str">
        <f>IFERROR(__xludf.DUMMYFUNCTION("""COMPUTED_VALUE"""),"4. Eggs")</f>
        <v>4. Eggs</v>
      </c>
      <c r="B6590" s="4" t="str">
        <f>IFERROR(__xludf.DUMMYFUNCTION("""COMPUTED_VALUE"""),"4")</f>
        <v>4</v>
      </c>
      <c r="C6590" s="5" t="str">
        <f>IFERROR(__xludf.DUMMYFUNCTION("""COMPUTED_VALUE"""),"https://drive.google.com/file/d/1WxpJBmNt1xK4zZpCsbPoCiCv7tc-gv98/view?usp=drivesdk")</f>
        <v>https://drive.google.com/file/d/1WxpJBmNt1xK4zZpCsbPoCiCv7tc-gv98/view?usp=drivesdk</v>
      </c>
      <c r="D6590" s="12"/>
      <c r="E6590" s="11">
        <v>6638.0</v>
      </c>
      <c r="F6590" s="2"/>
    </row>
    <row r="6591" ht="1.5" customHeight="1">
      <c r="A6591" s="4" t="str">
        <f>IFERROR(__xludf.DUMMYFUNCTION("""COMPUTED_VALUE"""),"4. Eggs")</f>
        <v>4. Eggs</v>
      </c>
      <c r="B6591" s="4" t="str">
        <f>IFERROR(__xludf.DUMMYFUNCTION("""COMPUTED_VALUE"""),"4")</f>
        <v>4</v>
      </c>
      <c r="C6591" s="5" t="str">
        <f>IFERROR(__xludf.DUMMYFUNCTION("""COMPUTED_VALUE"""),"https://drive.google.com/file/d/15FWGMHIgxR4ae6BOexymborIM9uuyq3V/view?usp=drivesdk")</f>
        <v>https://drive.google.com/file/d/15FWGMHIgxR4ae6BOexymborIM9uuyq3V/view?usp=drivesdk</v>
      </c>
      <c r="D6591" s="12"/>
      <c r="E6591" s="11">
        <v>6639.0</v>
      </c>
      <c r="F6591" s="2"/>
    </row>
    <row r="6592" ht="1.5" customHeight="1">
      <c r="A6592" s="4" t="str">
        <f>IFERROR(__xludf.DUMMYFUNCTION("""COMPUTED_VALUE"""),"4. Eggs")</f>
        <v>4. Eggs</v>
      </c>
      <c r="B6592" s="4" t="str">
        <f>IFERROR(__xludf.DUMMYFUNCTION("""COMPUTED_VALUE"""),"4")</f>
        <v>4</v>
      </c>
      <c r="C6592" s="5" t="str">
        <f>IFERROR(__xludf.DUMMYFUNCTION("""COMPUTED_VALUE"""),"https://drive.google.com/file/d/1Rsnnu7piuj7_sSGF2l1cFwf6Pb-bMYt4/view?usp=drivesdk")</f>
        <v>https://drive.google.com/file/d/1Rsnnu7piuj7_sSGF2l1cFwf6Pb-bMYt4/view?usp=drivesdk</v>
      </c>
      <c r="D6592" s="12"/>
      <c r="E6592" s="11">
        <v>6640.0</v>
      </c>
      <c r="F6592" s="2"/>
    </row>
    <row r="6593" ht="1.5" customHeight="1">
      <c r="A6593" s="4" t="str">
        <f>IFERROR(__xludf.DUMMYFUNCTION("""COMPUTED_VALUE"""),"5. Eraser")</f>
        <v>5. Eraser</v>
      </c>
      <c r="B6593" s="4" t="str">
        <f>IFERROR(__xludf.DUMMYFUNCTION("""COMPUTED_VALUE"""),"5")</f>
        <v>5</v>
      </c>
      <c r="C6593" s="5" t="str">
        <f>IFERROR(__xludf.DUMMYFUNCTION("""COMPUTED_VALUE"""),"https://drive.google.com/file/d/1ndymf6lOMMvEPvbauBb_vwuz6Re7plrm/view?usp=drivesdk")</f>
        <v>https://drive.google.com/file/d/1ndymf6lOMMvEPvbauBb_vwuz6Re7plrm/view?usp=drivesdk</v>
      </c>
      <c r="D6593" s="12"/>
      <c r="E6593" s="11">
        <v>6641.0</v>
      </c>
      <c r="F6593" s="2"/>
    </row>
    <row r="6594" ht="1.5" customHeight="1">
      <c r="A6594" s="4" t="str">
        <f>IFERROR(__xludf.DUMMYFUNCTION("""COMPUTED_VALUE"""),"1. Microwave")</f>
        <v>1. Microwave</v>
      </c>
      <c r="B6594" s="4" t="str">
        <f>IFERROR(__xludf.DUMMYFUNCTION("""COMPUTED_VALUE"""),"1")</f>
        <v>1</v>
      </c>
      <c r="C6594" s="5" t="str">
        <f>IFERROR(__xludf.DUMMYFUNCTION("""COMPUTED_VALUE"""),"https://drive.google.com/file/d/1jnn7Jc6dealvGoBBB_xhrA2mwEVdRECM/view?usp=drivesdk")</f>
        <v>https://drive.google.com/file/d/1jnn7Jc6dealvGoBBB_xhrA2mwEVdRECM/view?usp=drivesdk</v>
      </c>
      <c r="D6594" s="12"/>
      <c r="E6594" s="11">
        <v>6642.0</v>
      </c>
      <c r="F6594" s="2"/>
    </row>
    <row r="6595" ht="1.5" customHeight="1">
      <c r="A6595" s="4" t="str">
        <f>IFERROR(__xludf.DUMMYFUNCTION("""COMPUTED_VALUE"""),"1. Microwave")</f>
        <v>1. Microwave</v>
      </c>
      <c r="B6595" s="4" t="str">
        <f>IFERROR(__xludf.DUMMYFUNCTION("""COMPUTED_VALUE"""),"1")</f>
        <v>1</v>
      </c>
      <c r="C6595" s="5" t="str">
        <f>IFERROR(__xludf.DUMMYFUNCTION("""COMPUTED_VALUE"""),"https://drive.google.com/file/d/1VNCMCvUHXsKtQDK8TA7uEP3vnaFw1qQg/view?usp=drivesdk")</f>
        <v>https://drive.google.com/file/d/1VNCMCvUHXsKtQDK8TA7uEP3vnaFw1qQg/view?usp=drivesdk</v>
      </c>
      <c r="D6595" s="12"/>
      <c r="E6595" s="11">
        <v>6643.0</v>
      </c>
      <c r="F6595" s="2"/>
    </row>
    <row r="6596" ht="1.5" customHeight="1">
      <c r="A6596" s="4" t="str">
        <f>IFERROR(__xludf.DUMMYFUNCTION("""COMPUTED_VALUE"""),"4. Eggs")</f>
        <v>4. Eggs</v>
      </c>
      <c r="B6596" s="4" t="str">
        <f>IFERROR(__xludf.DUMMYFUNCTION("""COMPUTED_VALUE"""),"4")</f>
        <v>4</v>
      </c>
      <c r="C6596" s="5" t="str">
        <f>IFERROR(__xludf.DUMMYFUNCTION("""COMPUTED_VALUE"""),"https://drive.google.com/file/d/1bKKyTJLoW2H8f3VdiosDJbqGMp_sPQDw/view?usp=drivesdk")</f>
        <v>https://drive.google.com/file/d/1bKKyTJLoW2H8f3VdiosDJbqGMp_sPQDw/view?usp=drivesdk</v>
      </c>
      <c r="D6596" s="12"/>
      <c r="E6596" s="11">
        <v>6644.0</v>
      </c>
      <c r="F6596" s="2"/>
    </row>
    <row r="6597" ht="1.5" customHeight="1">
      <c r="A6597" s="4" t="str">
        <f>IFERROR(__xludf.DUMMYFUNCTION("""COMPUTED_VALUE"""),"2. Twix")</f>
        <v>2. Twix</v>
      </c>
      <c r="B6597" s="4" t="str">
        <f>IFERROR(__xludf.DUMMYFUNCTION("""COMPUTED_VALUE"""),"2")</f>
        <v>2</v>
      </c>
      <c r="C6597" s="5" t="str">
        <f>IFERROR(__xludf.DUMMYFUNCTION("""COMPUTED_VALUE"""),"https://drive.google.com/file/d/1VZv1admkU3NZGmRXR2iDz8somJqhn92I/view?usp=drivesdk")</f>
        <v>https://drive.google.com/file/d/1VZv1admkU3NZGmRXR2iDz8somJqhn92I/view?usp=drivesdk</v>
      </c>
      <c r="D6597" s="12"/>
      <c r="E6597" s="11">
        <v>6645.0</v>
      </c>
      <c r="F6597" s="2"/>
    </row>
    <row r="6598" ht="1.5" customHeight="1">
      <c r="A6598" s="4" t="str">
        <f>IFERROR(__xludf.DUMMYFUNCTION("""COMPUTED_VALUE"""),"0. NotACat")</f>
        <v>0. NotACat</v>
      </c>
      <c r="B6598" s="4" t="str">
        <f>IFERROR(__xludf.DUMMYFUNCTION("""COMPUTED_VALUE"""),"0")</f>
        <v>0</v>
      </c>
      <c r="C6598" s="5" t="str">
        <f>IFERROR(__xludf.DUMMYFUNCTION("""COMPUTED_VALUE"""),"https://drive.google.com/file/d/1KAGrLj7MaypQazW9nsUPP-VHe7tTubyC/view?usp=drivesdk")</f>
        <v>https://drive.google.com/file/d/1KAGrLj7MaypQazW9nsUPP-VHe7tTubyC/view?usp=drivesdk</v>
      </c>
      <c r="D6598" s="12"/>
      <c r="E6598" s="11">
        <v>6646.0</v>
      </c>
      <c r="F6598" s="2"/>
    </row>
    <row r="6599" ht="1.5" customHeight="1">
      <c r="A6599" s="4" t="str">
        <f>IFERROR(__xludf.DUMMYFUNCTION("""COMPUTED_VALUE"""),"2. Twix")</f>
        <v>2. Twix</v>
      </c>
      <c r="B6599" s="4" t="str">
        <f>IFERROR(__xludf.DUMMYFUNCTION("""COMPUTED_VALUE"""),"2")</f>
        <v>2</v>
      </c>
      <c r="C6599" s="5" t="str">
        <f>IFERROR(__xludf.DUMMYFUNCTION("""COMPUTED_VALUE"""),"https://drive.google.com/file/d/1mMBZJNNHbn6qGtVmkNtXL0zaNVIHfCEM/view?usp=drivesdk")</f>
        <v>https://drive.google.com/file/d/1mMBZJNNHbn6qGtVmkNtXL0zaNVIHfCEM/view?usp=drivesdk</v>
      </c>
      <c r="D6599" s="12"/>
      <c r="E6599" s="11">
        <v>6647.0</v>
      </c>
      <c r="F6599" s="2"/>
    </row>
    <row r="6600" ht="1.5" customHeight="1">
      <c r="A6600" s="4" t="str">
        <f>IFERROR(__xludf.DUMMYFUNCTION("""COMPUTED_VALUE"""),"2. Twix")</f>
        <v>2. Twix</v>
      </c>
      <c r="B6600" s="4" t="str">
        <f>IFERROR(__xludf.DUMMYFUNCTION("""COMPUTED_VALUE"""),"2")</f>
        <v>2</v>
      </c>
      <c r="C6600" s="5" t="str">
        <f>IFERROR(__xludf.DUMMYFUNCTION("""COMPUTED_VALUE"""),"https://drive.google.com/file/d/1o7JyhkU8kol4yuKreZpBzDbrUbPqt0Tj/view?usp=drivesdk")</f>
        <v>https://drive.google.com/file/d/1o7JyhkU8kol4yuKreZpBzDbrUbPqt0Tj/view?usp=drivesdk</v>
      </c>
      <c r="D6600" s="12"/>
      <c r="E6600" s="11">
        <v>6648.0</v>
      </c>
      <c r="F6600" s="2"/>
    </row>
    <row r="6601" ht="1.5" customHeight="1">
      <c r="A6601" s="4" t="str">
        <f>IFERROR(__xludf.DUMMYFUNCTION("""COMPUTED_VALUE"""),"0. NotACat")</f>
        <v>0. NotACat</v>
      </c>
      <c r="B6601" s="4" t="str">
        <f>IFERROR(__xludf.DUMMYFUNCTION("""COMPUTED_VALUE"""),"0")</f>
        <v>0</v>
      </c>
      <c r="C6601" s="5" t="str">
        <f>IFERROR(__xludf.DUMMYFUNCTION("""COMPUTED_VALUE"""),"https://drive.google.com/file/d/1zz5m66GMowRkCsLrG05epTsn7DuKSEpd/view?usp=drivesdk")</f>
        <v>https://drive.google.com/file/d/1zz5m66GMowRkCsLrG05epTsn7DuKSEpd/view?usp=drivesdk</v>
      </c>
      <c r="D6601" s="12"/>
      <c r="E6601" s="11">
        <v>6649.0</v>
      </c>
      <c r="F6601" s="2"/>
    </row>
    <row r="6602" ht="1.5" customHeight="1">
      <c r="A6602" s="4" t="str">
        <f>IFERROR(__xludf.DUMMYFUNCTION("""COMPUTED_VALUE"""),"1. Microwave")</f>
        <v>1. Microwave</v>
      </c>
      <c r="B6602" s="4" t="str">
        <f>IFERROR(__xludf.DUMMYFUNCTION("""COMPUTED_VALUE"""),"1")</f>
        <v>1</v>
      </c>
      <c r="C6602" s="5" t="str">
        <f>IFERROR(__xludf.DUMMYFUNCTION("""COMPUTED_VALUE"""),"https://drive.google.com/file/d/1iuAOjqCjJB72Cvg2ZjkuqYt054wL_bH-/view?usp=drivesdk")</f>
        <v>https://drive.google.com/file/d/1iuAOjqCjJB72Cvg2ZjkuqYt054wL_bH-/view?usp=drivesdk</v>
      </c>
      <c r="D6602" s="12"/>
      <c r="E6602" s="11">
        <v>6650.0</v>
      </c>
      <c r="F6602" s="2"/>
    </row>
    <row r="6603" ht="1.5" customHeight="1">
      <c r="A6603" s="4" t="str">
        <f>IFERROR(__xludf.DUMMYFUNCTION("""COMPUTED_VALUE"""),"1. Microwave")</f>
        <v>1. Microwave</v>
      </c>
      <c r="B6603" s="4" t="str">
        <f>IFERROR(__xludf.DUMMYFUNCTION("""COMPUTED_VALUE"""),"1")</f>
        <v>1</v>
      </c>
      <c r="C6603" s="5" t="str">
        <f>IFERROR(__xludf.DUMMYFUNCTION("""COMPUTED_VALUE"""),"https://drive.google.com/file/d/1cFqOw6OB87bG-V8Wyljf2JDqSS5pz6z0/view?usp=drivesdk")</f>
        <v>https://drive.google.com/file/d/1cFqOw6OB87bG-V8Wyljf2JDqSS5pz6z0/view?usp=drivesdk</v>
      </c>
      <c r="D6603" s="12"/>
      <c r="E6603" s="11">
        <v>6651.0</v>
      </c>
      <c r="F6603" s="2"/>
    </row>
    <row r="6604" ht="1.5" customHeight="1">
      <c r="A6604" s="4" t="str">
        <f>IFERROR(__xludf.DUMMYFUNCTION("""COMPUTED_VALUE"""),"1. Microwave")</f>
        <v>1. Microwave</v>
      </c>
      <c r="B6604" s="4" t="str">
        <f>IFERROR(__xludf.DUMMYFUNCTION("""COMPUTED_VALUE"""),"1")</f>
        <v>1</v>
      </c>
      <c r="C6604" s="5" t="str">
        <f>IFERROR(__xludf.DUMMYFUNCTION("""COMPUTED_VALUE"""),"https://drive.google.com/file/d/1o7lBeT4-EPFC3ZMqhXXQgYv2PEvOczJQ/view?usp=drivesdk")</f>
        <v>https://drive.google.com/file/d/1o7lBeT4-EPFC3ZMqhXXQgYv2PEvOczJQ/view?usp=drivesdk</v>
      </c>
      <c r="D6604" s="12"/>
      <c r="E6604" s="11">
        <v>6652.0</v>
      </c>
      <c r="F6604" s="2"/>
    </row>
    <row r="6605" ht="1.5" customHeight="1">
      <c r="A6605" s="4" t="str">
        <f>IFERROR(__xludf.DUMMYFUNCTION("""COMPUTED_VALUE"""),"6. Snickers")</f>
        <v>6. Snickers</v>
      </c>
      <c r="B6605" s="4" t="str">
        <f>IFERROR(__xludf.DUMMYFUNCTION("""COMPUTED_VALUE"""),"6")</f>
        <v>6</v>
      </c>
      <c r="C6605" s="5" t="str">
        <f>IFERROR(__xludf.DUMMYFUNCTION("""COMPUTED_VALUE"""),"https://drive.google.com/file/d/1RxzOmHTfDI00oL_RwOP_ICs3C-dKyHbu/view?usp=drivesdk")</f>
        <v>https://drive.google.com/file/d/1RxzOmHTfDI00oL_RwOP_ICs3C-dKyHbu/view?usp=drivesdk</v>
      </c>
      <c r="D6605" s="12"/>
      <c r="E6605" s="11">
        <v>6653.0</v>
      </c>
      <c r="F6605" s="2"/>
    </row>
    <row r="6606" ht="1.5" customHeight="1">
      <c r="A6606" s="4" t="str">
        <f>IFERROR(__xludf.DUMMYFUNCTION("""COMPUTED_VALUE"""),"2. Twix")</f>
        <v>2. Twix</v>
      </c>
      <c r="B6606" s="4" t="str">
        <f>IFERROR(__xludf.DUMMYFUNCTION("""COMPUTED_VALUE"""),"2")</f>
        <v>2</v>
      </c>
      <c r="C6606" s="5" t="str">
        <f>IFERROR(__xludf.DUMMYFUNCTION("""COMPUTED_VALUE"""),"https://drive.google.com/file/d/1Whm3Xjh2AJAzlhSgDyRmySU4RIgmpMHX/view?usp=drivesdk")</f>
        <v>https://drive.google.com/file/d/1Whm3Xjh2AJAzlhSgDyRmySU4RIgmpMHX/view?usp=drivesdk</v>
      </c>
      <c r="D6606" s="12"/>
      <c r="E6606" s="11">
        <v>6654.0</v>
      </c>
      <c r="F6606" s="2"/>
    </row>
    <row r="6607" ht="1.5" customHeight="1">
      <c r="A6607" s="4" t="str">
        <f>IFERROR(__xludf.DUMMYFUNCTION("""COMPUTED_VALUE"""),"1. Microwave")</f>
        <v>1. Microwave</v>
      </c>
      <c r="B6607" s="4" t="str">
        <f>IFERROR(__xludf.DUMMYFUNCTION("""COMPUTED_VALUE"""),"1")</f>
        <v>1</v>
      </c>
      <c r="C6607" s="5" t="str">
        <f>IFERROR(__xludf.DUMMYFUNCTION("""COMPUTED_VALUE"""),"https://drive.google.com/file/d/1XHcX4rD7ojbV7yHtkFqbHYpFU3FUnI9Q/view?usp=drivesdk")</f>
        <v>https://drive.google.com/file/d/1XHcX4rD7ojbV7yHtkFqbHYpFU3FUnI9Q/view?usp=drivesdk</v>
      </c>
      <c r="D6607" s="12"/>
      <c r="E6607" s="11">
        <v>6655.0</v>
      </c>
      <c r="F6607" s="2"/>
    </row>
    <row r="6608" ht="1.5" customHeight="1">
      <c r="A6608" s="4" t="str">
        <f>IFERROR(__xludf.DUMMYFUNCTION("""COMPUTED_VALUE"""),"1. Microwave")</f>
        <v>1. Microwave</v>
      </c>
      <c r="B6608" s="4" t="str">
        <f>IFERROR(__xludf.DUMMYFUNCTION("""COMPUTED_VALUE"""),"1")</f>
        <v>1</v>
      </c>
      <c r="C6608" s="5" t="str">
        <f>IFERROR(__xludf.DUMMYFUNCTION("""COMPUTED_VALUE"""),"https://drive.google.com/file/d/1iqYjoUmkO1-qIgTOn5aafxZTx-YS6Kxt/view?usp=drivesdk")</f>
        <v>https://drive.google.com/file/d/1iqYjoUmkO1-qIgTOn5aafxZTx-YS6Kxt/view?usp=drivesdk</v>
      </c>
      <c r="D6608" s="12"/>
      <c r="E6608" s="11">
        <v>6656.0</v>
      </c>
      <c r="F6608" s="2"/>
    </row>
    <row r="6609" ht="1.5" customHeight="1">
      <c r="A6609" s="4" t="str">
        <f>IFERROR(__xludf.DUMMYFUNCTION("""COMPUTED_VALUE"""),"1. Microwave")</f>
        <v>1. Microwave</v>
      </c>
      <c r="B6609" s="4" t="str">
        <f>IFERROR(__xludf.DUMMYFUNCTION("""COMPUTED_VALUE"""),"1")</f>
        <v>1</v>
      </c>
      <c r="C6609" s="5" t="str">
        <f>IFERROR(__xludf.DUMMYFUNCTION("""COMPUTED_VALUE"""),"https://drive.google.com/file/d/1mRYG0VB0JBGCawetLHtc_9Lsz8VMtpyS/view?usp=drivesdk")</f>
        <v>https://drive.google.com/file/d/1mRYG0VB0JBGCawetLHtc_9Lsz8VMtpyS/view?usp=drivesdk</v>
      </c>
      <c r="D6609" s="12"/>
      <c r="E6609" s="11">
        <v>6657.0</v>
      </c>
      <c r="F6609" s="2"/>
    </row>
    <row r="6610" ht="1.5" customHeight="1">
      <c r="A6610" s="4" t="str">
        <f>IFERROR(__xludf.DUMMYFUNCTION("""COMPUTED_VALUE"""),"1. Microwave")</f>
        <v>1. Microwave</v>
      </c>
      <c r="B6610" s="4" t="str">
        <f>IFERROR(__xludf.DUMMYFUNCTION("""COMPUTED_VALUE"""),"1")</f>
        <v>1</v>
      </c>
      <c r="C6610" s="5" t="str">
        <f>IFERROR(__xludf.DUMMYFUNCTION("""COMPUTED_VALUE"""),"https://drive.google.com/file/d/1VLsIhUYDN52CdKD_u4sHccFFOXu2vhdC/view?usp=drivesdk")</f>
        <v>https://drive.google.com/file/d/1VLsIhUYDN52CdKD_u4sHccFFOXu2vhdC/view?usp=drivesdk</v>
      </c>
      <c r="D6610" s="12"/>
      <c r="E6610" s="11">
        <v>6658.0</v>
      </c>
      <c r="F6610" s="2"/>
    </row>
    <row r="6611" ht="1.5" customHeight="1">
      <c r="A6611" s="4" t="str">
        <f>IFERROR(__xludf.DUMMYFUNCTION("""COMPUTED_VALUE"""),"1. Microwave")</f>
        <v>1. Microwave</v>
      </c>
      <c r="B6611" s="4" t="str">
        <f>IFERROR(__xludf.DUMMYFUNCTION("""COMPUTED_VALUE"""),"1")</f>
        <v>1</v>
      </c>
      <c r="C6611" s="5" t="str">
        <f>IFERROR(__xludf.DUMMYFUNCTION("""COMPUTED_VALUE"""),"https://drive.google.com/file/d/11J1FPCo7Z00GKt0I0mkn8mdmPvDOdJ86/view?usp=drivesdk")</f>
        <v>https://drive.google.com/file/d/11J1FPCo7Z00GKt0I0mkn8mdmPvDOdJ86/view?usp=drivesdk</v>
      </c>
      <c r="D6611" s="12"/>
      <c r="E6611" s="11">
        <v>6659.0</v>
      </c>
      <c r="F6611" s="2"/>
    </row>
    <row r="6612" ht="1.5" customHeight="1">
      <c r="A6612" s="4" t="str">
        <f>IFERROR(__xludf.DUMMYFUNCTION("""COMPUTED_VALUE"""),"1. Microwave")</f>
        <v>1. Microwave</v>
      </c>
      <c r="B6612" s="4" t="str">
        <f>IFERROR(__xludf.DUMMYFUNCTION("""COMPUTED_VALUE"""),"1")</f>
        <v>1</v>
      </c>
      <c r="C6612" s="5" t="str">
        <f>IFERROR(__xludf.DUMMYFUNCTION("""COMPUTED_VALUE"""),"https://drive.google.com/file/d/1q-tmlosZ1fPsO2uSWU62uwrZMuJT-aCx/view?usp=drivesdk")</f>
        <v>https://drive.google.com/file/d/1q-tmlosZ1fPsO2uSWU62uwrZMuJT-aCx/view?usp=drivesdk</v>
      </c>
      <c r="D6612" s="12"/>
      <c r="E6612" s="11">
        <v>6660.0</v>
      </c>
      <c r="F6612" s="2"/>
    </row>
    <row r="6613" ht="1.5" customHeight="1">
      <c r="A6613" s="4" t="str">
        <f>IFERROR(__xludf.DUMMYFUNCTION("""COMPUTED_VALUE"""),"1. Microwave")</f>
        <v>1. Microwave</v>
      </c>
      <c r="B6613" s="4" t="str">
        <f>IFERROR(__xludf.DUMMYFUNCTION("""COMPUTED_VALUE"""),"1")</f>
        <v>1</v>
      </c>
      <c r="C6613" s="5" t="str">
        <f>IFERROR(__xludf.DUMMYFUNCTION("""COMPUTED_VALUE"""),"https://drive.google.com/file/d/1sGroNmCdK465r-21WQ0kmIRUPp2BmKww/view?usp=drivesdk")</f>
        <v>https://drive.google.com/file/d/1sGroNmCdK465r-21WQ0kmIRUPp2BmKww/view?usp=drivesdk</v>
      </c>
      <c r="D6613" s="12"/>
      <c r="E6613" s="11">
        <v>6661.0</v>
      </c>
      <c r="F6613" s="2"/>
    </row>
    <row r="6614" ht="1.5" customHeight="1">
      <c r="A6614" s="4" t="str">
        <f>IFERROR(__xludf.DUMMYFUNCTION("""COMPUTED_VALUE"""),"1. Microwave")</f>
        <v>1. Microwave</v>
      </c>
      <c r="B6614" s="4" t="str">
        <f>IFERROR(__xludf.DUMMYFUNCTION("""COMPUTED_VALUE"""),"1")</f>
        <v>1</v>
      </c>
      <c r="C6614" s="5" t="str">
        <f>IFERROR(__xludf.DUMMYFUNCTION("""COMPUTED_VALUE"""),"https://drive.google.com/file/d/1-aIYZHjbaxjGujnDyU6VTfHaI_LWwM_P/view?usp=drivesdk")</f>
        <v>https://drive.google.com/file/d/1-aIYZHjbaxjGujnDyU6VTfHaI_LWwM_P/view?usp=drivesdk</v>
      </c>
      <c r="D6614" s="12"/>
      <c r="E6614" s="11">
        <v>6662.0</v>
      </c>
      <c r="F6614" s="2"/>
    </row>
    <row r="6615" ht="1.5" customHeight="1">
      <c r="A6615" s="4" t="str">
        <f>IFERROR(__xludf.DUMMYFUNCTION("""COMPUTED_VALUE"""),"1. Microwave")</f>
        <v>1. Microwave</v>
      </c>
      <c r="B6615" s="4" t="str">
        <f>IFERROR(__xludf.DUMMYFUNCTION("""COMPUTED_VALUE"""),"1")</f>
        <v>1</v>
      </c>
      <c r="C6615" s="5" t="str">
        <f>IFERROR(__xludf.DUMMYFUNCTION("""COMPUTED_VALUE"""),"https://drive.google.com/file/d/13BTL0yx5Yr-tKcfIe7dH6BnAXsL97Znz/view?usp=drivesdk")</f>
        <v>https://drive.google.com/file/d/13BTL0yx5Yr-tKcfIe7dH6BnAXsL97Znz/view?usp=drivesdk</v>
      </c>
      <c r="D6615" s="12"/>
      <c r="E6615" s="11">
        <v>6663.0</v>
      </c>
      <c r="F6615" s="2"/>
    </row>
    <row r="6616" ht="1.5" customHeight="1">
      <c r="A6616" s="4" t="str">
        <f>IFERROR(__xludf.DUMMYFUNCTION("""COMPUTED_VALUE"""),"1. Microwave")</f>
        <v>1. Microwave</v>
      </c>
      <c r="B6616" s="4" t="str">
        <f>IFERROR(__xludf.DUMMYFUNCTION("""COMPUTED_VALUE"""),"1")</f>
        <v>1</v>
      </c>
      <c r="C6616" s="5" t="str">
        <f>IFERROR(__xludf.DUMMYFUNCTION("""COMPUTED_VALUE"""),"https://drive.google.com/file/d/17mriPMlIXDWuaiGxmrFVmjfI9nOSIUDC/view?usp=drivesdk")</f>
        <v>https://drive.google.com/file/d/17mriPMlIXDWuaiGxmrFVmjfI9nOSIUDC/view?usp=drivesdk</v>
      </c>
      <c r="D6616" s="12"/>
      <c r="E6616" s="11">
        <v>6664.0</v>
      </c>
      <c r="F6616" s="2"/>
    </row>
    <row r="6617" ht="1.5" customHeight="1">
      <c r="A6617" s="4" t="str">
        <f>IFERROR(__xludf.DUMMYFUNCTION("""COMPUTED_VALUE"""),"1. Microwave")</f>
        <v>1. Microwave</v>
      </c>
      <c r="B6617" s="4" t="str">
        <f>IFERROR(__xludf.DUMMYFUNCTION("""COMPUTED_VALUE"""),"1")</f>
        <v>1</v>
      </c>
      <c r="C6617" s="5" t="str">
        <f>IFERROR(__xludf.DUMMYFUNCTION("""COMPUTED_VALUE"""),"https://drive.google.com/file/d/1-OmSbyvrQUlxFMJwIHtjUMAV6Bc_ZSku/view?usp=drivesdk")</f>
        <v>https://drive.google.com/file/d/1-OmSbyvrQUlxFMJwIHtjUMAV6Bc_ZSku/view?usp=drivesdk</v>
      </c>
      <c r="D6617" s="12"/>
      <c r="E6617" s="11">
        <v>6665.0</v>
      </c>
      <c r="F6617" s="2"/>
    </row>
    <row r="6618" ht="1.5" customHeight="1">
      <c r="A6618" s="4" t="str">
        <f>IFERROR(__xludf.DUMMYFUNCTION("""COMPUTED_VALUE"""),"1. Microwave")</f>
        <v>1. Microwave</v>
      </c>
      <c r="B6618" s="4" t="str">
        <f>IFERROR(__xludf.DUMMYFUNCTION("""COMPUTED_VALUE"""),"1")</f>
        <v>1</v>
      </c>
      <c r="C6618" s="5" t="str">
        <f>IFERROR(__xludf.DUMMYFUNCTION("""COMPUTED_VALUE"""),"https://drive.google.com/file/d/1guMoe_izxmjIdv2WBr62NhEO9Ypmuvx4/view?usp=drivesdk")</f>
        <v>https://drive.google.com/file/d/1guMoe_izxmjIdv2WBr62NhEO9Ypmuvx4/view?usp=drivesdk</v>
      </c>
      <c r="D6618" s="12"/>
      <c r="E6618" s="11">
        <v>6666.0</v>
      </c>
      <c r="F6618" s="2"/>
    </row>
    <row r="6619" ht="1.5" customHeight="1">
      <c r="A6619" s="4" t="str">
        <f>IFERROR(__xludf.DUMMYFUNCTION("""COMPUTED_VALUE"""),"1. Microwave")</f>
        <v>1. Microwave</v>
      </c>
      <c r="B6619" s="4" t="str">
        <f>IFERROR(__xludf.DUMMYFUNCTION("""COMPUTED_VALUE"""),"1")</f>
        <v>1</v>
      </c>
      <c r="C6619" s="5" t="str">
        <f>IFERROR(__xludf.DUMMYFUNCTION("""COMPUTED_VALUE"""),"https://drive.google.com/file/d/1uvtu6yVRUkvJkiSGVvmDx-24rXU_cfcZ/view?usp=drivesdk")</f>
        <v>https://drive.google.com/file/d/1uvtu6yVRUkvJkiSGVvmDx-24rXU_cfcZ/view?usp=drivesdk</v>
      </c>
      <c r="D6619" s="12"/>
      <c r="E6619" s="11">
        <v>6667.0</v>
      </c>
      <c r="F6619" s="2"/>
    </row>
    <row r="6620" ht="1.5" customHeight="1">
      <c r="A6620" s="4" t="str">
        <f>IFERROR(__xludf.DUMMYFUNCTION("""COMPUTED_VALUE"""),"1. Microwave")</f>
        <v>1. Microwave</v>
      </c>
      <c r="B6620" s="4" t="str">
        <f>IFERROR(__xludf.DUMMYFUNCTION("""COMPUTED_VALUE"""),"1")</f>
        <v>1</v>
      </c>
      <c r="C6620" s="5" t="str">
        <f>IFERROR(__xludf.DUMMYFUNCTION("""COMPUTED_VALUE"""),"https://drive.google.com/file/d/1IWqeezgp2kEb8nTyz7H6YKW_7o6baw-V/view?usp=drivesdk")</f>
        <v>https://drive.google.com/file/d/1IWqeezgp2kEb8nTyz7H6YKW_7o6baw-V/view?usp=drivesdk</v>
      </c>
      <c r="D6620" s="12"/>
      <c r="E6620" s="11">
        <v>6668.0</v>
      </c>
      <c r="F6620" s="2"/>
    </row>
    <row r="6621" ht="1.5" customHeight="1">
      <c r="A6621" s="4" t="str">
        <f>IFERROR(__xludf.DUMMYFUNCTION("""COMPUTED_VALUE"""),"1. Microwave")</f>
        <v>1. Microwave</v>
      </c>
      <c r="B6621" s="4" t="str">
        <f>IFERROR(__xludf.DUMMYFUNCTION("""COMPUTED_VALUE"""),"1")</f>
        <v>1</v>
      </c>
      <c r="C6621" s="5" t="str">
        <f>IFERROR(__xludf.DUMMYFUNCTION("""COMPUTED_VALUE"""),"https://drive.google.com/file/d/1Wmzc9hB8jX7PIr2oVEuGSv9S4kT6eKMU/view?usp=drivesdk")</f>
        <v>https://drive.google.com/file/d/1Wmzc9hB8jX7PIr2oVEuGSv9S4kT6eKMU/view?usp=drivesdk</v>
      </c>
      <c r="D6621" s="12"/>
      <c r="E6621" s="11">
        <v>6669.0</v>
      </c>
      <c r="F6621" s="2"/>
    </row>
    <row r="6622" ht="1.5" customHeight="1">
      <c r="A6622" s="4" t="str">
        <f>IFERROR(__xludf.DUMMYFUNCTION("""COMPUTED_VALUE"""),"2. Twix")</f>
        <v>2. Twix</v>
      </c>
      <c r="B6622" s="4" t="str">
        <f>IFERROR(__xludf.DUMMYFUNCTION("""COMPUTED_VALUE"""),"2")</f>
        <v>2</v>
      </c>
      <c r="C6622" s="5" t="str">
        <f>IFERROR(__xludf.DUMMYFUNCTION("""COMPUTED_VALUE"""),"https://drive.google.com/file/d/1kVkpzX8llcgY8KAmVwvvshJ4fpPi4-y_/view?usp=drivesdk")</f>
        <v>https://drive.google.com/file/d/1kVkpzX8llcgY8KAmVwvvshJ4fpPi4-y_/view?usp=drivesdk</v>
      </c>
      <c r="D6622" s="12"/>
      <c r="E6622" s="11">
        <v>6670.0</v>
      </c>
      <c r="F6622" s="2"/>
    </row>
    <row r="6623" ht="1.5" customHeight="1">
      <c r="A6623" s="4" t="str">
        <f>IFERROR(__xludf.DUMMYFUNCTION("""COMPUTED_VALUE"""),"1. Microwave")</f>
        <v>1. Microwave</v>
      </c>
      <c r="B6623" s="4" t="str">
        <f>IFERROR(__xludf.DUMMYFUNCTION("""COMPUTED_VALUE"""),"1")</f>
        <v>1</v>
      </c>
      <c r="C6623" s="5" t="str">
        <f>IFERROR(__xludf.DUMMYFUNCTION("""COMPUTED_VALUE"""),"https://drive.google.com/file/d/1JX9b_LIPcTi3uVFJn_wWJy50hzBAJRHz/view?usp=drivesdk")</f>
        <v>https://drive.google.com/file/d/1JX9b_LIPcTi3uVFJn_wWJy50hzBAJRHz/view?usp=drivesdk</v>
      </c>
      <c r="D6623" s="12"/>
      <c r="E6623" s="11">
        <v>6671.0</v>
      </c>
      <c r="F6623" s="2"/>
    </row>
    <row r="6624" ht="1.5" customHeight="1">
      <c r="A6624" s="4" t="str">
        <f>IFERROR(__xludf.DUMMYFUNCTION("""COMPUTED_VALUE"""),"1. Microwave")</f>
        <v>1. Microwave</v>
      </c>
      <c r="B6624" s="4" t="str">
        <f>IFERROR(__xludf.DUMMYFUNCTION("""COMPUTED_VALUE"""),"1")</f>
        <v>1</v>
      </c>
      <c r="C6624" s="5" t="str">
        <f>IFERROR(__xludf.DUMMYFUNCTION("""COMPUTED_VALUE"""),"https://drive.google.com/file/d/1Te-qX-shfnDgF7kt6ycWNOYJGQFmj4sP/view?usp=drivesdk")</f>
        <v>https://drive.google.com/file/d/1Te-qX-shfnDgF7kt6ycWNOYJGQFmj4sP/view?usp=drivesdk</v>
      </c>
      <c r="D6624" s="12"/>
      <c r="E6624" s="11">
        <v>6672.0</v>
      </c>
      <c r="F6624" s="2"/>
    </row>
    <row r="6625" ht="1.5" customHeight="1">
      <c r="A6625" s="4" t="str">
        <f>IFERROR(__xludf.DUMMYFUNCTION("""COMPUTED_VALUE"""),"1. Microwave")</f>
        <v>1. Microwave</v>
      </c>
      <c r="B6625" s="4" t="str">
        <f>IFERROR(__xludf.DUMMYFUNCTION("""COMPUTED_VALUE"""),"1")</f>
        <v>1</v>
      </c>
      <c r="C6625" s="5" t="str">
        <f>IFERROR(__xludf.DUMMYFUNCTION("""COMPUTED_VALUE"""),"https://drive.google.com/file/d/1NlJORNR6CsXjqnixMWxFXVpFZ_QwNC4H/view?usp=drivesdk")</f>
        <v>https://drive.google.com/file/d/1NlJORNR6CsXjqnixMWxFXVpFZ_QwNC4H/view?usp=drivesdk</v>
      </c>
      <c r="D6625" s="12"/>
      <c r="E6625" s="11">
        <v>6673.0</v>
      </c>
      <c r="F6625" s="2"/>
    </row>
    <row r="6626" ht="1.5" customHeight="1">
      <c r="A6626" s="4" t="str">
        <f>IFERROR(__xludf.DUMMYFUNCTION("""COMPUTED_VALUE"""),"1. Microwave")</f>
        <v>1. Microwave</v>
      </c>
      <c r="B6626" s="4" t="str">
        <f>IFERROR(__xludf.DUMMYFUNCTION("""COMPUTED_VALUE"""),"1")</f>
        <v>1</v>
      </c>
      <c r="C6626" s="5" t="str">
        <f>IFERROR(__xludf.DUMMYFUNCTION("""COMPUTED_VALUE"""),"https://drive.google.com/file/d/1P_kkwq0P-O4jRCd6K_vibxvj7lWLBlCE/view?usp=drivesdk")</f>
        <v>https://drive.google.com/file/d/1P_kkwq0P-O4jRCd6K_vibxvj7lWLBlCE/view?usp=drivesdk</v>
      </c>
      <c r="D6626" s="12"/>
      <c r="E6626" s="11">
        <v>6674.0</v>
      </c>
      <c r="F6626" s="2"/>
    </row>
    <row r="6627" ht="1.5" customHeight="1">
      <c r="A6627" s="4" t="str">
        <f>IFERROR(__xludf.DUMMYFUNCTION("""COMPUTED_VALUE"""),"2. Twix")</f>
        <v>2. Twix</v>
      </c>
      <c r="B6627" s="4" t="str">
        <f>IFERROR(__xludf.DUMMYFUNCTION("""COMPUTED_VALUE"""),"2")</f>
        <v>2</v>
      </c>
      <c r="C6627" s="5" t="str">
        <f>IFERROR(__xludf.DUMMYFUNCTION("""COMPUTED_VALUE"""),"https://drive.google.com/file/d/1XUo7Eo84D1HBopbPUdVVLm88H1tS6O2C/view?usp=drivesdk")</f>
        <v>https://drive.google.com/file/d/1XUo7Eo84D1HBopbPUdVVLm88H1tS6O2C/view?usp=drivesdk</v>
      </c>
      <c r="D6627" s="12"/>
      <c r="E6627" s="11">
        <v>6675.0</v>
      </c>
      <c r="F6627" s="2"/>
    </row>
    <row r="6628" ht="1.5" customHeight="1">
      <c r="A6628" s="4" t="str">
        <f>IFERROR(__xludf.DUMMYFUNCTION("""COMPUTED_VALUE"""),"2. Twix")</f>
        <v>2. Twix</v>
      </c>
      <c r="B6628" s="4" t="str">
        <f>IFERROR(__xludf.DUMMYFUNCTION("""COMPUTED_VALUE"""),"2")</f>
        <v>2</v>
      </c>
      <c r="C6628" s="5" t="str">
        <f>IFERROR(__xludf.DUMMYFUNCTION("""COMPUTED_VALUE"""),"https://drive.google.com/file/d/176qArEwSzbgWi6Zmm8_q5_v8MoBpNxi4/view?usp=drivesdk")</f>
        <v>https://drive.google.com/file/d/176qArEwSzbgWi6Zmm8_q5_v8MoBpNxi4/view?usp=drivesdk</v>
      </c>
      <c r="D6628" s="12"/>
      <c r="E6628" s="11">
        <v>6676.0</v>
      </c>
      <c r="F6628" s="2"/>
    </row>
    <row r="6629" ht="1.5" customHeight="1">
      <c r="A6629" s="4" t="str">
        <f>IFERROR(__xludf.DUMMYFUNCTION("""COMPUTED_VALUE"""),"2. Twix")</f>
        <v>2. Twix</v>
      </c>
      <c r="B6629" s="4" t="str">
        <f>IFERROR(__xludf.DUMMYFUNCTION("""COMPUTED_VALUE"""),"2")</f>
        <v>2</v>
      </c>
      <c r="C6629" s="5" t="str">
        <f>IFERROR(__xludf.DUMMYFUNCTION("""COMPUTED_VALUE"""),"https://drive.google.com/file/d/1Xg4g2bz3A6mNiohN2G60Iv5gkXzqy_tB/view?usp=drivesdk")</f>
        <v>https://drive.google.com/file/d/1Xg4g2bz3A6mNiohN2G60Iv5gkXzqy_tB/view?usp=drivesdk</v>
      </c>
      <c r="D6629" s="12"/>
      <c r="E6629" s="11">
        <v>6677.0</v>
      </c>
      <c r="F6629" s="2"/>
    </row>
    <row r="6630" ht="1.5" customHeight="1">
      <c r="A6630" s="4" t="str">
        <f>IFERROR(__xludf.DUMMYFUNCTION("""COMPUTED_VALUE"""),"17. Bobbie, 93. Meatball")</f>
        <v>17. Bobbie, 93. Meatball</v>
      </c>
      <c r="B6630" s="4" t="str">
        <f>IFERROR(__xludf.DUMMYFUNCTION("""COMPUTED_VALUE"""),"17, 93")</f>
        <v>17, 93</v>
      </c>
      <c r="C6630" s="5" t="str">
        <f>IFERROR(__xludf.DUMMYFUNCTION("""COMPUTED_VALUE"""),"https://drive.google.com/file/d/1ZI9qKLsaFi4yW95mLd2UqOC6fdqYEjl4/view?usp=drivesdk")</f>
        <v>https://drive.google.com/file/d/1ZI9qKLsaFi4yW95mLd2UqOC6fdqYEjl4/view?usp=drivesdk</v>
      </c>
      <c r="D6630" s="12"/>
      <c r="E6630" s="11">
        <v>6678.0</v>
      </c>
      <c r="F6630" s="2"/>
    </row>
    <row r="6631" ht="1.5" customHeight="1">
      <c r="A6631" s="4" t="str">
        <f>IFERROR(__xludf.DUMMYFUNCTION("""COMPUTED_VALUE"""),"99. Nezhui")</f>
        <v>99. Nezhui</v>
      </c>
      <c r="B6631" s="4" t="str">
        <f>IFERROR(__xludf.DUMMYFUNCTION("""COMPUTED_VALUE"""),"99")</f>
        <v>99</v>
      </c>
      <c r="C6631" s="5" t="str">
        <f>IFERROR(__xludf.DUMMYFUNCTION("""COMPUTED_VALUE"""),"https://drive.google.com/file/d/1xL1XBGAHQp8KI15oFhOkII2q5g-rc73c/view?usp=drivesdk")</f>
        <v>https://drive.google.com/file/d/1xL1XBGAHQp8KI15oFhOkII2q5g-rc73c/view?usp=drivesdk</v>
      </c>
      <c r="D6631" s="12"/>
      <c r="E6631" s="11">
        <v>6679.0</v>
      </c>
      <c r="F6631" s="2"/>
    </row>
    <row r="6632" ht="1.5" customHeight="1">
      <c r="A6632" s="4" t="str">
        <f>IFERROR(__xludf.DUMMYFUNCTION("""COMPUTED_VALUE"""),"0. NotACat")</f>
        <v>0. NotACat</v>
      </c>
      <c r="B6632" s="4" t="str">
        <f>IFERROR(__xludf.DUMMYFUNCTION("""COMPUTED_VALUE"""),"0")</f>
        <v>0</v>
      </c>
      <c r="C6632" s="5" t="str">
        <f>IFERROR(__xludf.DUMMYFUNCTION("""COMPUTED_VALUE"""),"https://drive.google.com/file/d/15-1tZSJZF-UtvqHJCPTfGkVErYYEJ9Ov/view?usp=drivesdk")</f>
        <v>https://drive.google.com/file/d/15-1tZSJZF-UtvqHJCPTfGkVErYYEJ9Ov/view?usp=drivesdk</v>
      </c>
      <c r="D6632" s="12"/>
      <c r="E6632" s="11">
        <v>6680.0</v>
      </c>
      <c r="F6632" s="2"/>
    </row>
    <row r="6633" ht="1.5" customHeight="1">
      <c r="A6633" s="4" t="str">
        <f>IFERROR(__xludf.DUMMYFUNCTION("""COMPUTED_VALUE"""),"94. Itztli")</f>
        <v>94. Itztli</v>
      </c>
      <c r="B6633" s="4" t="str">
        <f>IFERROR(__xludf.DUMMYFUNCTION("""COMPUTED_VALUE"""),"94")</f>
        <v>94</v>
      </c>
      <c r="C6633" s="5" t="str">
        <f>IFERROR(__xludf.DUMMYFUNCTION("""COMPUTED_VALUE"""),"https://drive.google.com/file/d/1JWcoG8YR2BEVOczvJK-fZaoYLDPbmHDe/view?usp=drivesdk")</f>
        <v>https://drive.google.com/file/d/1JWcoG8YR2BEVOczvJK-fZaoYLDPbmHDe/view?usp=drivesdk</v>
      </c>
      <c r="D6633" s="12"/>
      <c r="E6633" s="11">
        <v>6681.0</v>
      </c>
      <c r="F6633" s="2"/>
    </row>
    <row r="6634" ht="1.5" customHeight="1">
      <c r="A6634" s="4" t="str">
        <f>IFERROR(__xludf.DUMMYFUNCTION("""COMPUTED_VALUE"""),"17. Bobbie, 21. Paquini")</f>
        <v>17. Bobbie, 21. Paquini</v>
      </c>
      <c r="B6634" s="4" t="str">
        <f>IFERROR(__xludf.DUMMYFUNCTION("""COMPUTED_VALUE"""),"17, 21")</f>
        <v>17, 21</v>
      </c>
      <c r="C6634" s="5" t="str">
        <f>IFERROR(__xludf.DUMMYFUNCTION("""COMPUTED_VALUE"""),"https://drive.google.com/file/d/1BPICp1twP6zwTkfwtNHEDh2C8FlyI-oe/view?usp=drivesdk")</f>
        <v>https://drive.google.com/file/d/1BPICp1twP6zwTkfwtNHEDh2C8FlyI-oe/view?usp=drivesdk</v>
      </c>
      <c r="D6634" s="12"/>
      <c r="E6634" s="11">
        <v>6682.0</v>
      </c>
      <c r="F6634" s="2"/>
    </row>
    <row r="6635" ht="1.5" customHeight="1">
      <c r="A6635" s="4" t="str">
        <f>IFERROR(__xludf.DUMMYFUNCTION("""COMPUTED_VALUE"""),"105. Chilton")</f>
        <v>105. Chilton</v>
      </c>
      <c r="B6635" s="4" t="str">
        <f>IFERROR(__xludf.DUMMYFUNCTION("""COMPUTED_VALUE"""),"105")</f>
        <v>105</v>
      </c>
      <c r="C6635" s="5" t="str">
        <f>IFERROR(__xludf.DUMMYFUNCTION("""COMPUTED_VALUE"""),"https://drive.google.com/file/d/16cZJ1V61QzX8fcq9M29-mtQdc-2cgW9e/view?usp=drivesdk")</f>
        <v>https://drive.google.com/file/d/16cZJ1V61QzX8fcq9M29-mtQdc-2cgW9e/view?usp=drivesdk</v>
      </c>
      <c r="D6635" s="12"/>
      <c r="E6635" s="11">
        <v>6683.0</v>
      </c>
      <c r="F6635" s="2"/>
    </row>
    <row r="6636" ht="1.5" customHeight="1">
      <c r="A6636" s="4" t="str">
        <f>IFERROR(__xludf.DUMMYFUNCTION("""COMPUTED_VALUE"""),"99. Nezhui")</f>
        <v>99. Nezhui</v>
      </c>
      <c r="B6636" s="4" t="str">
        <f>IFERROR(__xludf.DUMMYFUNCTION("""COMPUTED_VALUE"""),"99")</f>
        <v>99</v>
      </c>
      <c r="C6636" s="5" t="str">
        <f>IFERROR(__xludf.DUMMYFUNCTION("""COMPUTED_VALUE"""),"https://drive.google.com/file/d/12NvtggywHMdBt5mjUpSdJ7eTaxaSVw3R/view?usp=drivesdk")</f>
        <v>https://drive.google.com/file/d/12NvtggywHMdBt5mjUpSdJ7eTaxaSVw3R/view?usp=drivesdk</v>
      </c>
      <c r="D6636" s="12"/>
      <c r="E6636" s="11">
        <v>6684.0</v>
      </c>
      <c r="F6636" s="2"/>
    </row>
    <row r="6637" ht="1.5" customHeight="1">
      <c r="A6637" s="4" t="str">
        <f>IFERROR(__xludf.DUMMYFUNCTION("""COMPUTED_VALUE"""),"99. Nezhui")</f>
        <v>99. Nezhui</v>
      </c>
      <c r="B6637" s="4" t="str">
        <f>IFERROR(__xludf.DUMMYFUNCTION("""COMPUTED_VALUE"""),"99")</f>
        <v>99</v>
      </c>
      <c r="C6637" s="5" t="str">
        <f>IFERROR(__xludf.DUMMYFUNCTION("""COMPUTED_VALUE"""),"https://drive.google.com/file/d/1CNyIswxlvuumRzVbFmo0Oakn5JQWlxkp/view?usp=drivesdk")</f>
        <v>https://drive.google.com/file/d/1CNyIswxlvuumRzVbFmo0Oakn5JQWlxkp/view?usp=drivesdk</v>
      </c>
      <c r="D6637" s="12"/>
      <c r="E6637" s="11">
        <v>6685.0</v>
      </c>
      <c r="F6637" s="2"/>
    </row>
    <row r="6638" ht="1.5" customHeight="1">
      <c r="A6638" s="4" t="str">
        <f>IFERROR(__xludf.DUMMYFUNCTION("""COMPUTED_VALUE"""),"87. Bandit")</f>
        <v>87. Bandit</v>
      </c>
      <c r="B6638" s="4" t="str">
        <f>IFERROR(__xludf.DUMMYFUNCTION("""COMPUTED_VALUE"""),"87")</f>
        <v>87</v>
      </c>
      <c r="C6638" s="5" t="str">
        <f>IFERROR(__xludf.DUMMYFUNCTION("""COMPUTED_VALUE"""),"https://drive.google.com/file/d/1EPhfydfzm27IPj5mKeS_WebvZWTAF2RO/view?usp=drivesdk")</f>
        <v>https://drive.google.com/file/d/1EPhfydfzm27IPj5mKeS_WebvZWTAF2RO/view?usp=drivesdk</v>
      </c>
      <c r="D6638" s="12"/>
      <c r="E6638" s="11">
        <v>6686.0</v>
      </c>
      <c r="F6638" s="2"/>
    </row>
    <row r="6639" ht="1.5" customHeight="1">
      <c r="A6639" s="4" t="str">
        <f>IFERROR(__xludf.DUMMYFUNCTION("""COMPUTED_VALUE"""),"87. Bandit")</f>
        <v>87. Bandit</v>
      </c>
      <c r="B6639" s="4" t="str">
        <f>IFERROR(__xludf.DUMMYFUNCTION("""COMPUTED_VALUE"""),"87")</f>
        <v>87</v>
      </c>
      <c r="C6639" s="5" t="str">
        <f>IFERROR(__xludf.DUMMYFUNCTION("""COMPUTED_VALUE"""),"https://drive.google.com/file/d/1lElPjA-s9pqm8ZY8kElzqimDY3IuSJl3/view?usp=drivesdk")</f>
        <v>https://drive.google.com/file/d/1lElPjA-s9pqm8ZY8kElzqimDY3IuSJl3/view?usp=drivesdk</v>
      </c>
      <c r="D6639" s="12"/>
      <c r="E6639" s="11">
        <v>6687.0</v>
      </c>
      <c r="F6639" s="2"/>
    </row>
    <row r="6640" ht="1.5" customHeight="1">
      <c r="A6640" s="4" t="str">
        <f>IFERROR(__xludf.DUMMYFUNCTION("""COMPUTED_VALUE"""),"0. NotACat")</f>
        <v>0. NotACat</v>
      </c>
      <c r="B6640" s="4" t="str">
        <f>IFERROR(__xludf.DUMMYFUNCTION("""COMPUTED_VALUE"""),"0")</f>
        <v>0</v>
      </c>
      <c r="C6640" s="5" t="str">
        <f>IFERROR(__xludf.DUMMYFUNCTION("""COMPUTED_VALUE"""),"https://drive.google.com/file/d/1quSgmflssSRv26sKbxy89oXdwCHTGtVo/view?usp=drivesdk")</f>
        <v>https://drive.google.com/file/d/1quSgmflssSRv26sKbxy89oXdwCHTGtVo/view?usp=drivesdk</v>
      </c>
      <c r="D6640" s="12"/>
      <c r="E6640" s="11">
        <v>6688.0</v>
      </c>
      <c r="F6640" s="2"/>
    </row>
    <row r="6641" ht="1.5" customHeight="1">
      <c r="A6641" s="4" t="str">
        <f>IFERROR(__xludf.DUMMYFUNCTION("""COMPUTED_VALUE"""),"105. Chilton")</f>
        <v>105. Chilton</v>
      </c>
      <c r="B6641" s="4" t="str">
        <f>IFERROR(__xludf.DUMMYFUNCTION("""COMPUTED_VALUE"""),"105")</f>
        <v>105</v>
      </c>
      <c r="C6641" s="5" t="str">
        <f>IFERROR(__xludf.DUMMYFUNCTION("""COMPUTED_VALUE"""),"https://drive.google.com/file/d/1RiKedg9b7KEMRgqSV_N-mpc10F5v1-in/view?usp=drivesdk")</f>
        <v>https://drive.google.com/file/d/1RiKedg9b7KEMRgqSV_N-mpc10F5v1-in/view?usp=drivesdk</v>
      </c>
      <c r="D6641" s="12"/>
      <c r="E6641" s="11">
        <v>6689.0</v>
      </c>
      <c r="F6641" s="2"/>
    </row>
    <row r="6642" ht="1.5" customHeight="1">
      <c r="A6642" s="4" t="str">
        <f>IFERROR(__xludf.DUMMYFUNCTION("""COMPUTED_VALUE"""),"1. Microwave")</f>
        <v>1. Microwave</v>
      </c>
      <c r="B6642" s="4" t="str">
        <f>IFERROR(__xludf.DUMMYFUNCTION("""COMPUTED_VALUE"""),"1")</f>
        <v>1</v>
      </c>
      <c r="C6642" s="5" t="str">
        <f>IFERROR(__xludf.DUMMYFUNCTION("""COMPUTED_VALUE"""),"https://drive.google.com/file/d/1rfsPYVjmoPCHnuBG1bFqcZYZ4bj74O4d/view?usp=drivesdk")</f>
        <v>https://drive.google.com/file/d/1rfsPYVjmoPCHnuBG1bFqcZYZ4bj74O4d/view?usp=drivesdk</v>
      </c>
      <c r="D6642" s="12"/>
      <c r="E6642" s="11">
        <v>6690.0</v>
      </c>
      <c r="F6642" s="2"/>
    </row>
    <row r="6643" ht="1.5" customHeight="1">
      <c r="A6643" s="4" t="str">
        <f>IFERROR(__xludf.DUMMYFUNCTION("""COMPUTED_VALUE"""),"1. Microwave")</f>
        <v>1. Microwave</v>
      </c>
      <c r="B6643" s="4" t="str">
        <f>IFERROR(__xludf.DUMMYFUNCTION("""COMPUTED_VALUE"""),"1")</f>
        <v>1</v>
      </c>
      <c r="C6643" s="5" t="str">
        <f>IFERROR(__xludf.DUMMYFUNCTION("""COMPUTED_VALUE"""),"https://drive.google.com/file/d/11cdijP-IQqQa-YNmO3jHVsysKZY4yVG3/view?usp=drivesdk")</f>
        <v>https://drive.google.com/file/d/11cdijP-IQqQa-YNmO3jHVsysKZY4yVG3/view?usp=drivesdk</v>
      </c>
      <c r="D6643" s="12"/>
      <c r="E6643" s="11">
        <v>6691.0</v>
      </c>
      <c r="F6643" s="2"/>
    </row>
    <row r="6644" ht="1.5" customHeight="1">
      <c r="A6644" s="4" t="str">
        <f>IFERROR(__xludf.DUMMYFUNCTION("""COMPUTED_VALUE"""),"1. Microwave")</f>
        <v>1. Microwave</v>
      </c>
      <c r="B6644" s="4" t="str">
        <f>IFERROR(__xludf.DUMMYFUNCTION("""COMPUTED_VALUE"""),"1")</f>
        <v>1</v>
      </c>
      <c r="C6644" s="5" t="str">
        <f>IFERROR(__xludf.DUMMYFUNCTION("""COMPUTED_VALUE"""),"https://drive.google.com/file/d/1J4ORIKS8jWXRM2sVf_6w9853Voj0Ek92/view?usp=drivesdk")</f>
        <v>https://drive.google.com/file/d/1J4ORIKS8jWXRM2sVf_6w9853Voj0Ek92/view?usp=drivesdk</v>
      </c>
      <c r="D6644" s="12"/>
      <c r="E6644" s="11">
        <v>6692.0</v>
      </c>
      <c r="F6644" s="2"/>
    </row>
    <row r="6645" ht="1.5" customHeight="1">
      <c r="A6645" s="4" t="str">
        <f>IFERROR(__xludf.DUMMYFUNCTION("""COMPUTED_VALUE"""),"1. Microwave")</f>
        <v>1. Microwave</v>
      </c>
      <c r="B6645" s="4" t="str">
        <f>IFERROR(__xludf.DUMMYFUNCTION("""COMPUTED_VALUE"""),"1")</f>
        <v>1</v>
      </c>
      <c r="C6645" s="5" t="str">
        <f>IFERROR(__xludf.DUMMYFUNCTION("""COMPUTED_VALUE"""),"https://drive.google.com/file/d/1k85kazkdJp2QpH_T5Ec8mGD9eud1PVyG/view?usp=drivesdk")</f>
        <v>https://drive.google.com/file/d/1k85kazkdJp2QpH_T5Ec8mGD9eud1PVyG/view?usp=drivesdk</v>
      </c>
      <c r="D6645" s="12"/>
      <c r="E6645" s="11">
        <v>6693.0</v>
      </c>
      <c r="F6645" s="2"/>
    </row>
    <row r="6646" ht="1.5" customHeight="1">
      <c r="A6646" s="4" t="str">
        <f>IFERROR(__xludf.DUMMYFUNCTION("""COMPUTED_VALUE"""),"1. Microwave")</f>
        <v>1. Microwave</v>
      </c>
      <c r="B6646" s="4" t="str">
        <f>IFERROR(__xludf.DUMMYFUNCTION("""COMPUTED_VALUE"""),"1")</f>
        <v>1</v>
      </c>
      <c r="C6646" s="5" t="str">
        <f>IFERROR(__xludf.DUMMYFUNCTION("""COMPUTED_VALUE"""),"https://drive.google.com/file/d/18yFX-hnXmjDPx4R8STLGMWW3UB4-imxU/view?usp=drivesdk")</f>
        <v>https://drive.google.com/file/d/18yFX-hnXmjDPx4R8STLGMWW3UB4-imxU/view?usp=drivesdk</v>
      </c>
      <c r="D6646" s="12"/>
      <c r="E6646" s="11">
        <v>6694.0</v>
      </c>
      <c r="F6646" s="2"/>
    </row>
    <row r="6647" ht="1.5" customHeight="1">
      <c r="A6647" s="4" t="str">
        <f>IFERROR(__xludf.DUMMYFUNCTION("""COMPUTED_VALUE"""),"96. Barbie")</f>
        <v>96. Barbie</v>
      </c>
      <c r="B6647" s="4" t="str">
        <f>IFERROR(__xludf.DUMMYFUNCTION("""COMPUTED_VALUE"""),"96")</f>
        <v>96</v>
      </c>
      <c r="C6647" s="5" t="str">
        <f>IFERROR(__xludf.DUMMYFUNCTION("""COMPUTED_VALUE"""),"https://drive.google.com/file/d/1gmG317qdjSSPgO9t1i0Sh1KSnO9s9hfD/view?usp=drivesdk")</f>
        <v>https://drive.google.com/file/d/1gmG317qdjSSPgO9t1i0Sh1KSnO9s9hfD/view?usp=drivesdk</v>
      </c>
      <c r="D6647" s="12"/>
      <c r="E6647" s="11">
        <v>6695.0</v>
      </c>
      <c r="F6647" s="2"/>
    </row>
    <row r="6648" ht="1.5" customHeight="1">
      <c r="A6648" s="4" t="str">
        <f>IFERROR(__xludf.DUMMYFUNCTION("""COMPUTED_VALUE"""),"96. Barbie")</f>
        <v>96. Barbie</v>
      </c>
      <c r="B6648" s="4" t="str">
        <f>IFERROR(__xludf.DUMMYFUNCTION("""COMPUTED_VALUE"""),"96")</f>
        <v>96</v>
      </c>
      <c r="C6648" s="5" t="str">
        <f>IFERROR(__xludf.DUMMYFUNCTION("""COMPUTED_VALUE"""),"https://drive.google.com/file/d/1BOVHlE0qCCcyNG-msYz_S4GEt--GL5zc/view?usp=drivesdk")</f>
        <v>https://drive.google.com/file/d/1BOVHlE0qCCcyNG-msYz_S4GEt--GL5zc/view?usp=drivesdk</v>
      </c>
      <c r="D6648" s="12"/>
      <c r="E6648" s="11">
        <v>6696.0</v>
      </c>
      <c r="F6648" s="2"/>
    </row>
    <row r="6649" ht="1.5" customHeight="1">
      <c r="A6649" s="4" t="str">
        <f>IFERROR(__xludf.DUMMYFUNCTION("""COMPUTED_VALUE"""),"96. Barbie")</f>
        <v>96. Barbie</v>
      </c>
      <c r="B6649" s="4" t="str">
        <f>IFERROR(__xludf.DUMMYFUNCTION("""COMPUTED_VALUE"""),"96")</f>
        <v>96</v>
      </c>
      <c r="C6649" s="5" t="str">
        <f>IFERROR(__xludf.DUMMYFUNCTION("""COMPUTED_VALUE"""),"https://drive.google.com/file/d/1NzXXNppKQZF56rpr3op9KcUuQeeiUrrt/view?usp=drivesdk")</f>
        <v>https://drive.google.com/file/d/1NzXXNppKQZF56rpr3op9KcUuQeeiUrrt/view?usp=drivesdk</v>
      </c>
      <c r="D6649" s="12"/>
      <c r="E6649" s="11">
        <v>6697.0</v>
      </c>
      <c r="F6649" s="2"/>
    </row>
    <row r="6650" ht="1.5" customHeight="1">
      <c r="A6650" s="4" t="str">
        <f>IFERROR(__xludf.DUMMYFUNCTION("""COMPUTED_VALUE"""),"96. Barbie")</f>
        <v>96. Barbie</v>
      </c>
      <c r="B6650" s="4" t="str">
        <f>IFERROR(__xludf.DUMMYFUNCTION("""COMPUTED_VALUE"""),"96")</f>
        <v>96</v>
      </c>
      <c r="C6650" s="5" t="str">
        <f>IFERROR(__xludf.DUMMYFUNCTION("""COMPUTED_VALUE"""),"https://drive.google.com/file/d/1iCmoLjSNN3HbMp1DzmmpgY23_WT2IFPK/view?usp=drivesdk")</f>
        <v>https://drive.google.com/file/d/1iCmoLjSNN3HbMp1DzmmpgY23_WT2IFPK/view?usp=drivesdk</v>
      </c>
      <c r="D6650" s="12"/>
      <c r="E6650" s="11">
        <v>6698.0</v>
      </c>
      <c r="F6650" s="2"/>
    </row>
    <row r="6651" ht="1.5" customHeight="1">
      <c r="A6651" s="4" t="str">
        <f>IFERROR(__xludf.DUMMYFUNCTION("""COMPUTED_VALUE"""),"96. Barbie")</f>
        <v>96. Barbie</v>
      </c>
      <c r="B6651" s="4" t="str">
        <f>IFERROR(__xludf.DUMMYFUNCTION("""COMPUTED_VALUE"""),"96")</f>
        <v>96</v>
      </c>
      <c r="C6651" s="5" t="str">
        <f>IFERROR(__xludf.DUMMYFUNCTION("""COMPUTED_VALUE"""),"https://drive.google.com/file/d/1lBzRqzF-dId10gXZ3KCiFcok4KSbzc_7/view?usp=drivesdk")</f>
        <v>https://drive.google.com/file/d/1lBzRqzF-dId10gXZ3KCiFcok4KSbzc_7/view?usp=drivesdk</v>
      </c>
      <c r="D6651" s="12"/>
      <c r="E6651" s="11">
        <v>6699.0</v>
      </c>
      <c r="F6651" s="2"/>
    </row>
    <row r="6652" ht="1.5" customHeight="1">
      <c r="A6652" s="4" t="str">
        <f>IFERROR(__xludf.DUMMYFUNCTION("""COMPUTED_VALUE"""),"50. Thor")</f>
        <v>50. Thor</v>
      </c>
      <c r="B6652" s="4" t="str">
        <f>IFERROR(__xludf.DUMMYFUNCTION("""COMPUTED_VALUE"""),"50")</f>
        <v>50</v>
      </c>
      <c r="C6652" s="5" t="str">
        <f>IFERROR(__xludf.DUMMYFUNCTION("""COMPUTED_VALUE"""),"https://drive.google.com/file/d/1UTwH1c8TwN_1T9iqyt-0NJeKRHiDn3e5/view?usp=drivesdk")</f>
        <v>https://drive.google.com/file/d/1UTwH1c8TwN_1T9iqyt-0NJeKRHiDn3e5/view?usp=drivesdk</v>
      </c>
      <c r="D6652" s="12"/>
      <c r="E6652" s="11">
        <v>6700.0</v>
      </c>
      <c r="F6652" s="2"/>
    </row>
    <row r="6653" ht="1.5" customHeight="1">
      <c r="A6653" s="4" t="str">
        <f>IFERROR(__xludf.DUMMYFUNCTION("""COMPUTED_VALUE"""),"20. Citlali")</f>
        <v>20. Citlali</v>
      </c>
      <c r="B6653" s="4" t="str">
        <f>IFERROR(__xludf.DUMMYFUNCTION("""COMPUTED_VALUE"""),"20")</f>
        <v>20</v>
      </c>
      <c r="C6653" s="5" t="str">
        <f>IFERROR(__xludf.DUMMYFUNCTION("""COMPUTED_VALUE"""),"https://drive.google.com/file/d/1kLOyU7hcZEd9Q6jtWL3S8X6Dre-pN9k8/view?usp=drivesdk")</f>
        <v>https://drive.google.com/file/d/1kLOyU7hcZEd9Q6jtWL3S8X6Dre-pN9k8/view?usp=drivesdk</v>
      </c>
      <c r="D6653" s="12"/>
      <c r="E6653" s="11">
        <v>6701.0</v>
      </c>
      <c r="F6653" s="2"/>
    </row>
    <row r="6654" ht="1.5" customHeight="1">
      <c r="A6654" s="4" t="str">
        <f>IFERROR(__xludf.DUMMYFUNCTION("""COMPUTED_VALUE"""),"105. Chilton")</f>
        <v>105. Chilton</v>
      </c>
      <c r="B6654" s="4" t="str">
        <f>IFERROR(__xludf.DUMMYFUNCTION("""COMPUTED_VALUE"""),"105")</f>
        <v>105</v>
      </c>
      <c r="C6654" s="5" t="str">
        <f>IFERROR(__xludf.DUMMYFUNCTION("""COMPUTED_VALUE"""),"https://drive.google.com/file/d/1n41edd243gw5D9mQg8_Ket4hQsAdgI-c/view?usp=drivesdk")</f>
        <v>https://drive.google.com/file/d/1n41edd243gw5D9mQg8_Ket4hQsAdgI-c/view?usp=drivesdk</v>
      </c>
      <c r="D6654" s="12"/>
      <c r="E6654" s="11">
        <v>6702.0</v>
      </c>
      <c r="F6654" s="2"/>
    </row>
    <row r="6655" ht="1.5" customHeight="1">
      <c r="A6655" s="4" t="str">
        <f>IFERROR(__xludf.DUMMYFUNCTION("""COMPUTED_VALUE"""),"111. Mayatl")</f>
        <v>111. Mayatl</v>
      </c>
      <c r="B6655" s="4" t="str">
        <f>IFERROR(__xludf.DUMMYFUNCTION("""COMPUTED_VALUE"""),"111")</f>
        <v>111</v>
      </c>
      <c r="C6655" s="5" t="str">
        <f>IFERROR(__xludf.DUMMYFUNCTION("""COMPUTED_VALUE"""),"https://drive.google.com/file/d/13gogmlFRHr_Kcc_pPeqoOV0ic_kBD7I0/view?usp=drivesdk")</f>
        <v>https://drive.google.com/file/d/13gogmlFRHr_Kcc_pPeqoOV0ic_kBD7I0/view?usp=drivesdk</v>
      </c>
      <c r="D6655" s="12"/>
      <c r="E6655" s="11">
        <v>6703.0</v>
      </c>
      <c r="F6655" s="2"/>
    </row>
    <row r="6656" ht="1.5" customHeight="1">
      <c r="A6656" s="4" t="str">
        <f>IFERROR(__xludf.DUMMYFUNCTION("""COMPUTED_VALUE"""),"4. Eggs")</f>
        <v>4. Eggs</v>
      </c>
      <c r="B6656" s="4" t="str">
        <f>IFERROR(__xludf.DUMMYFUNCTION("""COMPUTED_VALUE"""),"4")</f>
        <v>4</v>
      </c>
      <c r="C6656" s="5" t="str">
        <f>IFERROR(__xludf.DUMMYFUNCTION("""COMPUTED_VALUE"""),"https://drive.google.com/file/d/1k-kh_-vpbcyiwJz2fCKZj4oWIXmctytH/view?usp=drivesdk")</f>
        <v>https://drive.google.com/file/d/1k-kh_-vpbcyiwJz2fCKZj4oWIXmctytH/view?usp=drivesdk</v>
      </c>
      <c r="D6656" s="12"/>
      <c r="E6656" s="11">
        <v>6704.0</v>
      </c>
      <c r="F6656" s="2"/>
    </row>
    <row r="6657" ht="1.5" customHeight="1">
      <c r="A6657" s="4" t="str">
        <f>IFERROR(__xludf.DUMMYFUNCTION("""COMPUTED_VALUE"""),"2. Twix")</f>
        <v>2. Twix</v>
      </c>
      <c r="B6657" s="4" t="str">
        <f>IFERROR(__xludf.DUMMYFUNCTION("""COMPUTED_VALUE"""),"2")</f>
        <v>2</v>
      </c>
      <c r="C6657" s="5" t="str">
        <f>IFERROR(__xludf.DUMMYFUNCTION("""COMPUTED_VALUE"""),"https://drive.google.com/file/d/1TnIhdkcWrn9dlM09dIlPUNnuxwUHE0ck/view?usp=drivesdk")</f>
        <v>https://drive.google.com/file/d/1TnIhdkcWrn9dlM09dIlPUNnuxwUHE0ck/view?usp=drivesdk</v>
      </c>
      <c r="D6657" s="12"/>
      <c r="E6657" s="11">
        <v>6705.0</v>
      </c>
      <c r="F6657" s="2"/>
    </row>
    <row r="6658" ht="1.5" customHeight="1">
      <c r="A6658" s="4" t="str">
        <f>IFERROR(__xludf.DUMMYFUNCTION("""COMPUTED_VALUE"""),"6. Snickers")</f>
        <v>6. Snickers</v>
      </c>
      <c r="B6658" s="4" t="str">
        <f>IFERROR(__xludf.DUMMYFUNCTION("""COMPUTED_VALUE"""),"6")</f>
        <v>6</v>
      </c>
      <c r="C6658" s="5" t="str">
        <f>IFERROR(__xludf.DUMMYFUNCTION("""COMPUTED_VALUE"""),"https://drive.google.com/file/d/1fusSvRfeo3KF1kdkqU7-V6MbtRVTAjce/view?usp=drivesdk")</f>
        <v>https://drive.google.com/file/d/1fusSvRfeo3KF1kdkqU7-V6MbtRVTAjce/view?usp=drivesdk</v>
      </c>
      <c r="D6658" s="12"/>
      <c r="E6658" s="11">
        <v>6706.0</v>
      </c>
      <c r="F6658" s="2"/>
    </row>
    <row r="6659" ht="1.5" customHeight="1">
      <c r="A6659" s="4" t="str">
        <f>IFERROR(__xludf.DUMMYFUNCTION("""COMPUTED_VALUE"""),"6. Snickers")</f>
        <v>6. Snickers</v>
      </c>
      <c r="B6659" s="4" t="str">
        <f>IFERROR(__xludf.DUMMYFUNCTION("""COMPUTED_VALUE"""),"6")</f>
        <v>6</v>
      </c>
      <c r="C6659" s="5" t="str">
        <f>IFERROR(__xludf.DUMMYFUNCTION("""COMPUTED_VALUE"""),"https://drive.google.com/file/d/1Nty9wzj2oL75Wveao14ohb91WSAcynGJ/view?usp=drivesdk")</f>
        <v>https://drive.google.com/file/d/1Nty9wzj2oL75Wveao14ohb91WSAcynGJ/view?usp=drivesdk</v>
      </c>
      <c r="D6659" s="12"/>
      <c r="E6659" s="11">
        <v>6707.0</v>
      </c>
      <c r="F6659" s="2"/>
    </row>
    <row r="6660" ht="1.5" customHeight="1">
      <c r="A6660" s="4" t="str">
        <f>IFERROR(__xludf.DUMMYFUNCTION("""COMPUTED_VALUE"""),"1. Microwave")</f>
        <v>1. Microwave</v>
      </c>
      <c r="B6660" s="4" t="str">
        <f>IFERROR(__xludf.DUMMYFUNCTION("""COMPUTED_VALUE"""),"1")</f>
        <v>1</v>
      </c>
      <c r="C6660" s="5" t="str">
        <f>IFERROR(__xludf.DUMMYFUNCTION("""COMPUTED_VALUE"""),"https://drive.google.com/file/d/1W1dOMVWfUCJ6Xf5PPw1ElyxMM6EHe-RQ/view?usp=drivesdk")</f>
        <v>https://drive.google.com/file/d/1W1dOMVWfUCJ6Xf5PPw1ElyxMM6EHe-RQ/view?usp=drivesdk</v>
      </c>
      <c r="D6660" s="12"/>
      <c r="E6660" s="11">
        <v>6708.0</v>
      </c>
      <c r="F6660" s="2"/>
    </row>
    <row r="6661" ht="1.5" customHeight="1">
      <c r="A6661" s="4" t="str">
        <f>IFERROR(__xludf.DUMMYFUNCTION("""COMPUTED_VALUE"""),"1. Microwave")</f>
        <v>1. Microwave</v>
      </c>
      <c r="B6661" s="4" t="str">
        <f>IFERROR(__xludf.DUMMYFUNCTION("""COMPUTED_VALUE"""),"1")</f>
        <v>1</v>
      </c>
      <c r="C6661" s="5" t="str">
        <f>IFERROR(__xludf.DUMMYFUNCTION("""COMPUTED_VALUE"""),"https://drive.google.com/file/d/1p6C1aNiOWbPHG7noohh57yHOYT55B6EN/view?usp=drivesdk")</f>
        <v>https://drive.google.com/file/d/1p6C1aNiOWbPHG7noohh57yHOYT55B6EN/view?usp=drivesdk</v>
      </c>
      <c r="D6661" s="12"/>
      <c r="E6661" s="11">
        <v>6709.0</v>
      </c>
      <c r="F6661" s="2"/>
    </row>
    <row r="6662" ht="1.5" customHeight="1">
      <c r="A6662" s="4" t="str">
        <f>IFERROR(__xludf.DUMMYFUNCTION("""COMPUTED_VALUE"""),"1. Microwave")</f>
        <v>1. Microwave</v>
      </c>
      <c r="B6662" s="4" t="str">
        <f>IFERROR(__xludf.DUMMYFUNCTION("""COMPUTED_VALUE"""),"1")</f>
        <v>1</v>
      </c>
      <c r="C6662" s="5" t="str">
        <f>IFERROR(__xludf.DUMMYFUNCTION("""COMPUTED_VALUE"""),"https://drive.google.com/file/d/1iupCN1JOsxeL2MYmHRI1ho4Jdzz_1hYt/view?usp=drivesdk")</f>
        <v>https://drive.google.com/file/d/1iupCN1JOsxeL2MYmHRI1ho4Jdzz_1hYt/view?usp=drivesdk</v>
      </c>
      <c r="D6662" s="12"/>
      <c r="E6662" s="11">
        <v>6710.0</v>
      </c>
      <c r="F6662" s="2"/>
    </row>
    <row r="6663" ht="1.5" customHeight="1">
      <c r="A6663" s="4" t="str">
        <f>IFERROR(__xludf.DUMMYFUNCTION("""COMPUTED_VALUE"""),"0. NotACat")</f>
        <v>0. NotACat</v>
      </c>
      <c r="B6663" s="4" t="str">
        <f>IFERROR(__xludf.DUMMYFUNCTION("""COMPUTED_VALUE"""),"0")</f>
        <v>0</v>
      </c>
      <c r="C6663" s="5" t="str">
        <f>IFERROR(__xludf.DUMMYFUNCTION("""COMPUTED_VALUE"""),"https://drive.google.com/file/d/1UqVAE_Us738QI6wK14LxZ8dy213YD1dl/view?usp=drivesdk")</f>
        <v>https://drive.google.com/file/d/1UqVAE_Us738QI6wK14LxZ8dy213YD1dl/view?usp=drivesdk</v>
      </c>
      <c r="D6663" s="12"/>
      <c r="E6663" s="11">
        <v>6711.0</v>
      </c>
      <c r="F6663" s="2"/>
    </row>
    <row r="6664" ht="1.5" customHeight="1">
      <c r="A6664" s="4" t="str">
        <f>IFERROR(__xludf.DUMMYFUNCTION("""COMPUTED_VALUE"""),"127. Eleanor")</f>
        <v>127. Eleanor</v>
      </c>
      <c r="B6664" s="4" t="str">
        <f>IFERROR(__xludf.DUMMYFUNCTION("""COMPUTED_VALUE"""),"127")</f>
        <v>127</v>
      </c>
      <c r="C6664" s="5" t="str">
        <f>IFERROR(__xludf.DUMMYFUNCTION("""COMPUTED_VALUE"""),"https://drive.google.com/file/d/1on10OSX0BlNVv_uF4Ek92QWk8CHKg3gA/view?usp=drivesdk")</f>
        <v>https://drive.google.com/file/d/1on10OSX0BlNVv_uF4Ek92QWk8CHKg3gA/view?usp=drivesdk</v>
      </c>
      <c r="D6664" s="12"/>
      <c r="E6664" s="11">
        <v>6712.0</v>
      </c>
      <c r="F6664" s="2"/>
    </row>
    <row r="6665" ht="1.5" customHeight="1">
      <c r="A6665" s="4" t="str">
        <f>IFERROR(__xludf.DUMMYFUNCTION("""COMPUTED_VALUE"""),"80. Atzi")</f>
        <v>80. Atzi</v>
      </c>
      <c r="B6665" s="4" t="str">
        <f>IFERROR(__xludf.DUMMYFUNCTION("""COMPUTED_VALUE"""),"80")</f>
        <v>80</v>
      </c>
      <c r="C6665" s="5" t="str">
        <f>IFERROR(__xludf.DUMMYFUNCTION("""COMPUTED_VALUE"""),"https://drive.google.com/file/d/1dmQWzEY9tcz5Dt6MiP5B9Lcjc2FP2ENt/view?usp=drivesdk")</f>
        <v>https://drive.google.com/file/d/1dmQWzEY9tcz5Dt6MiP5B9Lcjc2FP2ENt/view?usp=drivesdk</v>
      </c>
      <c r="D6665" s="12"/>
      <c r="E6665" s="11">
        <v>6713.0</v>
      </c>
      <c r="F6665" s="2"/>
    </row>
    <row r="6666" ht="1.5" customHeight="1">
      <c r="A6666" s="4" t="str">
        <f>IFERROR(__xludf.DUMMYFUNCTION("""COMPUTED_VALUE"""),"80. Atzi")</f>
        <v>80. Atzi</v>
      </c>
      <c r="B6666" s="4" t="str">
        <f>IFERROR(__xludf.DUMMYFUNCTION("""COMPUTED_VALUE"""),"80")</f>
        <v>80</v>
      </c>
      <c r="C6666" s="5" t="str">
        <f>IFERROR(__xludf.DUMMYFUNCTION("""COMPUTED_VALUE"""),"https://drive.google.com/file/d/10HJ3yoz6OO2vFvhDgxTyBGPik_r09hoe/view?usp=drivesdk")</f>
        <v>https://drive.google.com/file/d/10HJ3yoz6OO2vFvhDgxTyBGPik_r09hoe/view?usp=drivesdk</v>
      </c>
      <c r="D6666" s="12"/>
      <c r="E6666" s="11">
        <v>6714.0</v>
      </c>
      <c r="F6666" s="2"/>
    </row>
    <row r="6667" ht="1.5" customHeight="1">
      <c r="A6667" s="4" t="str">
        <f>IFERROR(__xludf.DUMMYFUNCTION("""COMPUTED_VALUE"""),"80. Atzi")</f>
        <v>80. Atzi</v>
      </c>
      <c r="B6667" s="4" t="str">
        <f>IFERROR(__xludf.DUMMYFUNCTION("""COMPUTED_VALUE"""),"80")</f>
        <v>80</v>
      </c>
      <c r="C6667" s="5" t="str">
        <f>IFERROR(__xludf.DUMMYFUNCTION("""COMPUTED_VALUE"""),"https://drive.google.com/file/d/1I6CLmnDYtNMIiHYGsyiR5XCp7gB58f1J/view?usp=drivesdk")</f>
        <v>https://drive.google.com/file/d/1I6CLmnDYtNMIiHYGsyiR5XCp7gB58f1J/view?usp=drivesdk</v>
      </c>
      <c r="D6667" s="12"/>
      <c r="E6667" s="11">
        <v>6715.0</v>
      </c>
      <c r="F6667" s="2"/>
    </row>
    <row r="6668" ht="1.5" customHeight="1">
      <c r="A6668" s="4" t="str">
        <f>IFERROR(__xludf.DUMMYFUNCTION("""COMPUTED_VALUE"""),"80. Atzi")</f>
        <v>80. Atzi</v>
      </c>
      <c r="B6668" s="4" t="str">
        <f>IFERROR(__xludf.DUMMYFUNCTION("""COMPUTED_VALUE"""),"80")</f>
        <v>80</v>
      </c>
      <c r="C6668" s="5" t="str">
        <f>IFERROR(__xludf.DUMMYFUNCTION("""COMPUTED_VALUE"""),"https://drive.google.com/file/d/1ND_HKQtJQc7ebeEbvy7dhlCxpGyXUoKV/view?usp=drivesdk")</f>
        <v>https://drive.google.com/file/d/1ND_HKQtJQc7ebeEbvy7dhlCxpGyXUoKV/view?usp=drivesdk</v>
      </c>
      <c r="D6668" s="12"/>
      <c r="E6668" s="11">
        <v>6716.0</v>
      </c>
      <c r="F6668" s="2"/>
    </row>
    <row r="6669" ht="1.5" customHeight="1">
      <c r="A6669" s="4" t="str">
        <f>IFERROR(__xludf.DUMMYFUNCTION("""COMPUTED_VALUE"""),"32. Noir")</f>
        <v>32. Noir</v>
      </c>
      <c r="B6669" s="4" t="str">
        <f>IFERROR(__xludf.DUMMYFUNCTION("""COMPUTED_VALUE"""),"32")</f>
        <v>32</v>
      </c>
      <c r="C6669" s="5" t="str">
        <f>IFERROR(__xludf.DUMMYFUNCTION("""COMPUTED_VALUE"""),"https://drive.google.com/file/d/1llXHDrz2aupLvY0PK0CpFBLGWrvRNWKh/view?usp=drivesdk")</f>
        <v>https://drive.google.com/file/d/1llXHDrz2aupLvY0PK0CpFBLGWrvRNWKh/view?usp=drivesdk</v>
      </c>
      <c r="D6669" s="12"/>
      <c r="E6669" s="11">
        <v>6717.0</v>
      </c>
      <c r="F6669" s="2"/>
    </row>
    <row r="6670" ht="1.5" customHeight="1">
      <c r="A6670" s="4" t="str">
        <f>IFERROR(__xludf.DUMMYFUNCTION("""COMPUTED_VALUE"""),"1. Microwave")</f>
        <v>1. Microwave</v>
      </c>
      <c r="B6670" s="4" t="str">
        <f>IFERROR(__xludf.DUMMYFUNCTION("""COMPUTED_VALUE"""),"1")</f>
        <v>1</v>
      </c>
      <c r="C6670" s="5" t="str">
        <f>IFERROR(__xludf.DUMMYFUNCTION("""COMPUTED_VALUE"""),"https://drive.google.com/file/d/1rRhdNM5FdcNAfpsSnMw7pZQV9NW0Dmaw/view?usp=drivesdk")</f>
        <v>https://drive.google.com/file/d/1rRhdNM5FdcNAfpsSnMw7pZQV9NW0Dmaw/view?usp=drivesdk</v>
      </c>
      <c r="D6670" s="12"/>
      <c r="E6670" s="11">
        <v>6718.0</v>
      </c>
      <c r="F6670" s="2"/>
    </row>
    <row r="6671" ht="1.5" customHeight="1">
      <c r="A6671" s="4" t="str">
        <f>IFERROR(__xludf.DUMMYFUNCTION("""COMPUTED_VALUE"""),"2. Twix")</f>
        <v>2. Twix</v>
      </c>
      <c r="B6671" s="4" t="str">
        <f>IFERROR(__xludf.DUMMYFUNCTION("""COMPUTED_VALUE"""),"2")</f>
        <v>2</v>
      </c>
      <c r="C6671" s="5" t="str">
        <f>IFERROR(__xludf.DUMMYFUNCTION("""COMPUTED_VALUE"""),"https://drive.google.com/file/d/19vexS_zyAd31lHor0THL2CPVDfImhC2W/view?usp=drivesdk")</f>
        <v>https://drive.google.com/file/d/19vexS_zyAd31lHor0THL2CPVDfImhC2W/view?usp=drivesdk</v>
      </c>
      <c r="D6671" s="12"/>
      <c r="E6671" s="11">
        <v>6719.0</v>
      </c>
      <c r="F6671" s="2"/>
    </row>
    <row r="6672" ht="1.5" customHeight="1">
      <c r="A6672" s="4" t="str">
        <f>IFERROR(__xludf.DUMMYFUNCTION("""COMPUTED_VALUE"""),"2. Twix")</f>
        <v>2. Twix</v>
      </c>
      <c r="B6672" s="4" t="str">
        <f>IFERROR(__xludf.DUMMYFUNCTION("""COMPUTED_VALUE"""),"2")</f>
        <v>2</v>
      </c>
      <c r="C6672" s="5" t="str">
        <f>IFERROR(__xludf.DUMMYFUNCTION("""COMPUTED_VALUE"""),"https://drive.google.com/file/d/1i9rDS3Yol8nUSUwOo21N1ajMNoVzm-We/view?usp=drivesdk")</f>
        <v>https://drive.google.com/file/d/1i9rDS3Yol8nUSUwOo21N1ajMNoVzm-We/view?usp=drivesdk</v>
      </c>
      <c r="D6672" s="12"/>
      <c r="E6672" s="11">
        <v>6720.0</v>
      </c>
      <c r="F6672" s="2"/>
    </row>
    <row r="6673" ht="1.5" customHeight="1">
      <c r="A6673" s="4" t="str">
        <f>IFERROR(__xludf.DUMMYFUNCTION("""COMPUTED_VALUE"""),"2. Twix")</f>
        <v>2. Twix</v>
      </c>
      <c r="B6673" s="4" t="str">
        <f>IFERROR(__xludf.DUMMYFUNCTION("""COMPUTED_VALUE"""),"2")</f>
        <v>2</v>
      </c>
      <c r="C6673" s="5" t="str">
        <f>IFERROR(__xludf.DUMMYFUNCTION("""COMPUTED_VALUE"""),"https://drive.google.com/file/d/1UZhtT1SR2du_S2be4fd2aKohJwibKPMg/view?usp=drivesdk")</f>
        <v>https://drive.google.com/file/d/1UZhtT1SR2du_S2be4fd2aKohJwibKPMg/view?usp=drivesdk</v>
      </c>
      <c r="D6673" s="12"/>
      <c r="E6673" s="11">
        <v>6721.0</v>
      </c>
      <c r="F6673" s="2"/>
    </row>
    <row r="6674" ht="1.5" customHeight="1">
      <c r="A6674" s="4" t="str">
        <f>IFERROR(__xludf.DUMMYFUNCTION("""COMPUTED_VALUE"""),"2. Twix")</f>
        <v>2. Twix</v>
      </c>
      <c r="B6674" s="4" t="str">
        <f>IFERROR(__xludf.DUMMYFUNCTION("""COMPUTED_VALUE"""),"2")</f>
        <v>2</v>
      </c>
      <c r="C6674" s="5" t="str">
        <f>IFERROR(__xludf.DUMMYFUNCTION("""COMPUTED_VALUE"""),"https://drive.google.com/file/d/13hAPFnb9jKoMt3q0Ap8s_vyQg_xq12zn/view?usp=drivesdk")</f>
        <v>https://drive.google.com/file/d/13hAPFnb9jKoMt3q0Ap8s_vyQg_xq12zn/view?usp=drivesdk</v>
      </c>
      <c r="D6674" s="12"/>
      <c r="E6674" s="11">
        <v>6722.0</v>
      </c>
      <c r="F6674" s="2"/>
    </row>
    <row r="6675" ht="1.5" customHeight="1">
      <c r="A6675" s="4" t="str">
        <f>IFERROR(__xludf.DUMMYFUNCTION("""COMPUTED_VALUE"""),"1. Microwave")</f>
        <v>1. Microwave</v>
      </c>
      <c r="B6675" s="4" t="str">
        <f>IFERROR(__xludf.DUMMYFUNCTION("""COMPUTED_VALUE"""),"1")</f>
        <v>1</v>
      </c>
      <c r="C6675" s="5" t="str">
        <f>IFERROR(__xludf.DUMMYFUNCTION("""COMPUTED_VALUE"""),"https://drive.google.com/file/d/1rKlMndusJ1HZVLu8j6EZvtShr9bjZjxd/view?usp=drivesdk")</f>
        <v>https://drive.google.com/file/d/1rKlMndusJ1HZVLu8j6EZvtShr9bjZjxd/view?usp=drivesdk</v>
      </c>
      <c r="D6675" s="12"/>
      <c r="E6675" s="11">
        <v>6723.0</v>
      </c>
      <c r="F6675" s="2"/>
    </row>
    <row r="6676" ht="1.5" customHeight="1">
      <c r="A6676" s="4" t="str">
        <f>IFERROR(__xludf.DUMMYFUNCTION("""COMPUTED_VALUE"""),"2. Twix")</f>
        <v>2. Twix</v>
      </c>
      <c r="B6676" s="4" t="str">
        <f>IFERROR(__xludf.DUMMYFUNCTION("""COMPUTED_VALUE"""),"2")</f>
        <v>2</v>
      </c>
      <c r="C6676" s="5" t="str">
        <f>IFERROR(__xludf.DUMMYFUNCTION("""COMPUTED_VALUE"""),"https://drive.google.com/file/d/1bQKBJ2setQHLY7ALAMM6-4C7uaRrL2WO/view?usp=drivesdk")</f>
        <v>https://drive.google.com/file/d/1bQKBJ2setQHLY7ALAMM6-4C7uaRrL2WO/view?usp=drivesdk</v>
      </c>
      <c r="D6676" s="12"/>
      <c r="E6676" s="11">
        <v>6724.0</v>
      </c>
      <c r="F6676" s="2"/>
    </row>
    <row r="6677" ht="1.5" customHeight="1">
      <c r="A6677" s="4" t="str">
        <f>IFERROR(__xludf.DUMMYFUNCTION("""COMPUTED_VALUE"""),"5. Eraser")</f>
        <v>5. Eraser</v>
      </c>
      <c r="B6677" s="4" t="str">
        <f>IFERROR(__xludf.DUMMYFUNCTION("""COMPUTED_VALUE"""),"5")</f>
        <v>5</v>
      </c>
      <c r="C6677" s="5" t="str">
        <f>IFERROR(__xludf.DUMMYFUNCTION("""COMPUTED_VALUE"""),"https://drive.google.com/file/d/1KFAsfmwcXJ_Zl5dkcx82qpbD4shLDF_k/view?usp=drivesdk")</f>
        <v>https://drive.google.com/file/d/1KFAsfmwcXJ_Zl5dkcx82qpbD4shLDF_k/view?usp=drivesdk</v>
      </c>
      <c r="D6677" s="12"/>
      <c r="E6677" s="11">
        <v>6725.0</v>
      </c>
      <c r="F6677" s="2"/>
    </row>
    <row r="6678" ht="1.5" customHeight="1">
      <c r="A6678" s="4" t="str">
        <f>IFERROR(__xludf.DUMMYFUNCTION("""COMPUTED_VALUE"""),"1. Microwave")</f>
        <v>1. Microwave</v>
      </c>
      <c r="B6678" s="4" t="str">
        <f>IFERROR(__xludf.DUMMYFUNCTION("""COMPUTED_VALUE"""),"1")</f>
        <v>1</v>
      </c>
      <c r="C6678" s="5" t="str">
        <f>IFERROR(__xludf.DUMMYFUNCTION("""COMPUTED_VALUE"""),"https://drive.google.com/file/d/1zIjavmF-Ke_uOKAsB73GP9qbYXqfYsdi/view?usp=drivesdk")</f>
        <v>https://drive.google.com/file/d/1zIjavmF-Ke_uOKAsB73GP9qbYXqfYsdi/view?usp=drivesdk</v>
      </c>
      <c r="D6678" s="12"/>
      <c r="E6678" s="11">
        <v>6726.0</v>
      </c>
      <c r="F6678" s="2"/>
    </row>
    <row r="6679" ht="1.5" customHeight="1">
      <c r="A6679" s="4" t="str">
        <f>IFERROR(__xludf.DUMMYFUNCTION("""COMPUTED_VALUE"""),"1. Microwave")</f>
        <v>1. Microwave</v>
      </c>
      <c r="B6679" s="4" t="str">
        <f>IFERROR(__xludf.DUMMYFUNCTION("""COMPUTED_VALUE"""),"1")</f>
        <v>1</v>
      </c>
      <c r="C6679" s="5" t="str">
        <f>IFERROR(__xludf.DUMMYFUNCTION("""COMPUTED_VALUE"""),"https://drive.google.com/file/d/1gqYXMp48AhV4DRtzlyisb7QwjkU4ANgS/view?usp=drivesdk")</f>
        <v>https://drive.google.com/file/d/1gqYXMp48AhV4DRtzlyisb7QwjkU4ANgS/view?usp=drivesdk</v>
      </c>
      <c r="D6679" s="12"/>
      <c r="E6679" s="11">
        <v>6727.0</v>
      </c>
      <c r="F6679" s="2"/>
    </row>
    <row r="6680" ht="1.5" customHeight="1">
      <c r="A6680" s="4" t="str">
        <f>IFERROR(__xludf.DUMMYFUNCTION("""COMPUTED_VALUE"""),"2. Twix")</f>
        <v>2. Twix</v>
      </c>
      <c r="B6680" s="4" t="str">
        <f>IFERROR(__xludf.DUMMYFUNCTION("""COMPUTED_VALUE"""),"2")</f>
        <v>2</v>
      </c>
      <c r="C6680" s="5" t="str">
        <f>IFERROR(__xludf.DUMMYFUNCTION("""COMPUTED_VALUE"""),"https://drive.google.com/file/d/1eA211z5HcF6drIWSngL2X8LV_f6GCHpB/view?usp=drivesdk")</f>
        <v>https://drive.google.com/file/d/1eA211z5HcF6drIWSngL2X8LV_f6GCHpB/view?usp=drivesdk</v>
      </c>
      <c r="D6680" s="12"/>
      <c r="E6680" s="11">
        <v>6728.0</v>
      </c>
      <c r="F6680" s="2"/>
    </row>
    <row r="6681" ht="1.5" customHeight="1">
      <c r="A6681" s="4" t="str">
        <f>IFERROR(__xludf.DUMMYFUNCTION("""COMPUTED_VALUE"""),"58. Eden, 12. Faye")</f>
        <v>58. Eden, 12. Faye</v>
      </c>
      <c r="B6681" s="4" t="str">
        <f>IFERROR(__xludf.DUMMYFUNCTION("""COMPUTED_VALUE"""),"58, 12")</f>
        <v>58, 12</v>
      </c>
      <c r="C6681" s="5" t="str">
        <f>IFERROR(__xludf.DUMMYFUNCTION("""COMPUTED_VALUE"""),"https://drive.google.com/file/d/18rum7tQRwrARRrhyZ9Bq5mSUsH8NSmZ7/view?usp=drivesdk")</f>
        <v>https://drive.google.com/file/d/18rum7tQRwrARRrhyZ9Bq5mSUsH8NSmZ7/view?usp=drivesdk</v>
      </c>
      <c r="D6681" s="12"/>
      <c r="E6681" s="11">
        <v>6729.0</v>
      </c>
      <c r="F6681" s="2"/>
    </row>
    <row r="6682" ht="1.5" customHeight="1">
      <c r="A6682" s="4" t="str">
        <f>IFERROR(__xludf.DUMMYFUNCTION("""COMPUTED_VALUE"""),"63. Mr Stinky")</f>
        <v>63. Mr Stinky</v>
      </c>
      <c r="B6682" s="4" t="str">
        <f>IFERROR(__xludf.DUMMYFUNCTION("""COMPUTED_VALUE"""),"63")</f>
        <v>63</v>
      </c>
      <c r="C6682" s="5" t="str">
        <f>IFERROR(__xludf.DUMMYFUNCTION("""COMPUTED_VALUE"""),"https://drive.google.com/file/d/1lZYky4M2ohC9kSZoYZX9ewGbbZTwTdyU/view?usp=drivesdk")</f>
        <v>https://drive.google.com/file/d/1lZYky4M2ohC9kSZoYZX9ewGbbZTwTdyU/view?usp=drivesdk</v>
      </c>
      <c r="D6682" s="12"/>
      <c r="E6682" s="11">
        <v>6730.0</v>
      </c>
      <c r="F6682" s="2"/>
    </row>
    <row r="6683" ht="1.5" customHeight="1">
      <c r="A6683" s="4" t="str">
        <f>IFERROR(__xludf.DUMMYFUNCTION("""COMPUTED_VALUE"""),"61. Cassie")</f>
        <v>61. Cassie</v>
      </c>
      <c r="B6683" s="4" t="str">
        <f>IFERROR(__xludf.DUMMYFUNCTION("""COMPUTED_VALUE"""),"61")</f>
        <v>61</v>
      </c>
      <c r="C6683" s="5" t="str">
        <f>IFERROR(__xludf.DUMMYFUNCTION("""COMPUTED_VALUE"""),"https://drive.google.com/file/d/1OCqs0YonMoenfxCljbI0z7NXleK7ToDX/view?usp=drivesdk")</f>
        <v>https://drive.google.com/file/d/1OCqs0YonMoenfxCljbI0z7NXleK7ToDX/view?usp=drivesdk</v>
      </c>
      <c r="D6683" s="12"/>
      <c r="E6683" s="11">
        <v>6731.0</v>
      </c>
      <c r="F6683" s="2"/>
    </row>
    <row r="6684" ht="1.5" customHeight="1">
      <c r="A6684" s="4" t="str">
        <f>IFERROR(__xludf.DUMMYFUNCTION("""COMPUTED_VALUE"""),"116. Itzel")</f>
        <v>116. Itzel</v>
      </c>
      <c r="B6684" s="4" t="str">
        <f>IFERROR(__xludf.DUMMYFUNCTION("""COMPUTED_VALUE"""),"116")</f>
        <v>116</v>
      </c>
      <c r="C6684" s="5" t="str">
        <f>IFERROR(__xludf.DUMMYFUNCTION("""COMPUTED_VALUE"""),"https://drive.google.com/file/d/1n-b91itdAFy6hi_Rctu2RcjHv-zBWIYC/view?usp=drivesdk")</f>
        <v>https://drive.google.com/file/d/1n-b91itdAFy6hi_Rctu2RcjHv-zBWIYC/view?usp=drivesdk</v>
      </c>
      <c r="D6684" s="12"/>
      <c r="E6684" s="11">
        <v>6732.0</v>
      </c>
      <c r="F6684" s="2"/>
    </row>
    <row r="6685" ht="1.5" customHeight="1">
      <c r="A6685" s="4" t="str">
        <f>IFERROR(__xludf.DUMMYFUNCTION("""COMPUTED_VALUE"""),"65. Tepi, 100. Coatl")</f>
        <v>65. Tepi, 100. Coatl</v>
      </c>
      <c r="B6685" s="4" t="str">
        <f>IFERROR(__xludf.DUMMYFUNCTION("""COMPUTED_VALUE"""),"65, 100")</f>
        <v>65, 100</v>
      </c>
      <c r="C6685" s="5" t="str">
        <f>IFERROR(__xludf.DUMMYFUNCTION("""COMPUTED_VALUE"""),"https://drive.google.com/file/d/1KtAFAjU7OSKYkxHZHcZMPxezmPkg85E7/view?usp=drivesdk")</f>
        <v>https://drive.google.com/file/d/1KtAFAjU7OSKYkxHZHcZMPxezmPkg85E7/view?usp=drivesdk</v>
      </c>
      <c r="D6685" s="12"/>
      <c r="E6685" s="11">
        <v>6733.0</v>
      </c>
      <c r="F6685" s="2"/>
    </row>
    <row r="6686" ht="1.5" customHeight="1">
      <c r="A6686" s="4" t="str">
        <f>IFERROR(__xludf.DUMMYFUNCTION("""COMPUTED_VALUE"""),"105. Chilton")</f>
        <v>105. Chilton</v>
      </c>
      <c r="B6686" s="4" t="str">
        <f>IFERROR(__xludf.DUMMYFUNCTION("""COMPUTED_VALUE"""),"105")</f>
        <v>105</v>
      </c>
      <c r="C6686" s="5" t="str">
        <f>IFERROR(__xludf.DUMMYFUNCTION("""COMPUTED_VALUE"""),"https://drive.google.com/file/d/1bm-Z3piz4EsuHJlsU8nGgdcHnrdzq4VP/view?usp=drivesdk")</f>
        <v>https://drive.google.com/file/d/1bm-Z3piz4EsuHJlsU8nGgdcHnrdzq4VP/view?usp=drivesdk</v>
      </c>
      <c r="D6686" s="12"/>
      <c r="E6686" s="11">
        <v>6734.0</v>
      </c>
      <c r="F6686" s="2"/>
    </row>
    <row r="6687" ht="1.5" customHeight="1">
      <c r="A6687" s="4" t="str">
        <f>IFERROR(__xludf.DUMMYFUNCTION("""COMPUTED_VALUE"""),"0. NotACat")</f>
        <v>0. NotACat</v>
      </c>
      <c r="B6687" s="4" t="str">
        <f>IFERROR(__xludf.DUMMYFUNCTION("""COMPUTED_VALUE"""),"0")</f>
        <v>0</v>
      </c>
      <c r="C6687" s="5" t="str">
        <f>IFERROR(__xludf.DUMMYFUNCTION("""COMPUTED_VALUE"""),"https://drive.google.com/file/d/1uzgfxGJ0RvfFXvUHg1W6cZMyOO9LVzPQ/view?usp=drivesdk")</f>
        <v>https://drive.google.com/file/d/1uzgfxGJ0RvfFXvUHg1W6cZMyOO9LVzPQ/view?usp=drivesdk</v>
      </c>
      <c r="D6687" s="12"/>
      <c r="E6687" s="11">
        <v>6735.0</v>
      </c>
      <c r="F6687" s="2"/>
    </row>
    <row r="6688" ht="1.5" customHeight="1">
      <c r="A6688" s="4" t="str">
        <f>IFERROR(__xludf.DUMMYFUNCTION("""COMPUTED_VALUE"""),"21. Paquini")</f>
        <v>21. Paquini</v>
      </c>
      <c r="B6688" s="4" t="str">
        <f>IFERROR(__xludf.DUMMYFUNCTION("""COMPUTED_VALUE"""),"21")</f>
        <v>21</v>
      </c>
      <c r="C6688" s="5" t="str">
        <f>IFERROR(__xludf.DUMMYFUNCTION("""COMPUTED_VALUE"""),"https://drive.google.com/file/d/1MXdnmdMQApPVjaFPCYWKFLUtfU3m_PCV/view?usp=drivesdk")</f>
        <v>https://drive.google.com/file/d/1MXdnmdMQApPVjaFPCYWKFLUtfU3m_PCV/view?usp=drivesdk</v>
      </c>
      <c r="D6688" s="12"/>
      <c r="E6688" s="11">
        <v>6736.0</v>
      </c>
      <c r="F6688" s="2"/>
    </row>
    <row r="6689" ht="1.5" customHeight="1">
      <c r="A6689" s="4" t="str">
        <f>IFERROR(__xludf.DUMMYFUNCTION("""COMPUTED_VALUE"""),"105. Chilton")</f>
        <v>105. Chilton</v>
      </c>
      <c r="B6689" s="4" t="str">
        <f>IFERROR(__xludf.DUMMYFUNCTION("""COMPUTED_VALUE"""),"105")</f>
        <v>105</v>
      </c>
      <c r="C6689" s="5" t="str">
        <f>IFERROR(__xludf.DUMMYFUNCTION("""COMPUTED_VALUE"""),"https://drive.google.com/file/d/1UiUjet5-2PD-9XtPMqbMq4LIVVUuWIvq/view?usp=drivesdk")</f>
        <v>https://drive.google.com/file/d/1UiUjet5-2PD-9XtPMqbMq4LIVVUuWIvq/view?usp=drivesdk</v>
      </c>
      <c r="D6689" s="12"/>
      <c r="E6689" s="11">
        <v>6737.0</v>
      </c>
      <c r="F6689" s="2"/>
    </row>
    <row r="6690" ht="1.5" customHeight="1">
      <c r="A6690" s="4" t="str">
        <f>IFERROR(__xludf.DUMMYFUNCTION("""COMPUTED_VALUE"""),"105. Chilton")</f>
        <v>105. Chilton</v>
      </c>
      <c r="B6690" s="4" t="str">
        <f>IFERROR(__xludf.DUMMYFUNCTION("""COMPUTED_VALUE"""),"105")</f>
        <v>105</v>
      </c>
      <c r="C6690" s="5" t="str">
        <f>IFERROR(__xludf.DUMMYFUNCTION("""COMPUTED_VALUE"""),"https://drive.google.com/file/d/1zEl3nuvwVdqEgdheyfG2g7MM3RDEwVH5/view?usp=drivesdk")</f>
        <v>https://drive.google.com/file/d/1zEl3nuvwVdqEgdheyfG2g7MM3RDEwVH5/view?usp=drivesdk</v>
      </c>
      <c r="D6690" s="12"/>
      <c r="E6690" s="11">
        <v>6738.0</v>
      </c>
      <c r="F6690" s="2"/>
    </row>
    <row r="6691" ht="1.5" customHeight="1">
      <c r="A6691" s="4" t="str">
        <f>IFERROR(__xludf.DUMMYFUNCTION("""COMPUTED_VALUE"""),"123. Temiquini")</f>
        <v>123. Temiquini</v>
      </c>
      <c r="B6691" s="4" t="str">
        <f>IFERROR(__xludf.DUMMYFUNCTION("""COMPUTED_VALUE"""),"123")</f>
        <v>123</v>
      </c>
      <c r="C6691" s="5" t="str">
        <f>IFERROR(__xludf.DUMMYFUNCTION("""COMPUTED_VALUE"""),"https://drive.google.com/file/d/16RBq4BOnUjrFGnmCnXTxXtZpVjL2ttHU/view?usp=drivesdk")</f>
        <v>https://drive.google.com/file/d/16RBq4BOnUjrFGnmCnXTxXtZpVjL2ttHU/view?usp=drivesdk</v>
      </c>
      <c r="D6691" s="12"/>
      <c r="E6691" s="11">
        <v>6739.0</v>
      </c>
      <c r="F6691" s="2"/>
    </row>
    <row r="6692" ht="1.5" customHeight="1">
      <c r="A6692" s="4" t="str">
        <f>IFERROR(__xludf.DUMMYFUNCTION("""COMPUTED_VALUE"""),"123. Temiquini, 116. Itzel")</f>
        <v>123. Temiquini, 116. Itzel</v>
      </c>
      <c r="B6692" s="4" t="str">
        <f>IFERROR(__xludf.DUMMYFUNCTION("""COMPUTED_VALUE"""),"123, 116")</f>
        <v>123, 116</v>
      </c>
      <c r="C6692" s="5" t="str">
        <f>IFERROR(__xludf.DUMMYFUNCTION("""COMPUTED_VALUE"""),"https://drive.google.com/file/d/1-DLEC0W3XmRHgiEPMMJvpTYd1E_CeBcO/view?usp=drivesdk")</f>
        <v>https://drive.google.com/file/d/1-DLEC0W3XmRHgiEPMMJvpTYd1E_CeBcO/view?usp=drivesdk</v>
      </c>
      <c r="D6692" s="12"/>
      <c r="E6692" s="11">
        <v>6740.0</v>
      </c>
      <c r="F6692" s="2"/>
    </row>
    <row r="6693" ht="1.5" customHeight="1">
      <c r="A6693" s="4" t="str">
        <f>IFERROR(__xludf.DUMMYFUNCTION("""COMPUTED_VALUE"""),"116. Itzel, 123. Temiquini")</f>
        <v>116. Itzel, 123. Temiquini</v>
      </c>
      <c r="B6693" s="4" t="str">
        <f>IFERROR(__xludf.DUMMYFUNCTION("""COMPUTED_VALUE"""),"116, 123")</f>
        <v>116, 123</v>
      </c>
      <c r="C6693" s="5" t="str">
        <f>IFERROR(__xludf.DUMMYFUNCTION("""COMPUTED_VALUE"""),"https://drive.google.com/file/d/1kPIQm-gHi_uUj3hEbrHa11Vy8SiDjEb0/view?usp=drivesdk")</f>
        <v>https://drive.google.com/file/d/1kPIQm-gHi_uUj3hEbrHa11Vy8SiDjEb0/view?usp=drivesdk</v>
      </c>
      <c r="D6693" s="12"/>
      <c r="E6693" s="11">
        <v>6741.0</v>
      </c>
      <c r="F6693" s="2"/>
    </row>
    <row r="6694" ht="1.5" customHeight="1">
      <c r="A6694" s="4" t="str">
        <f>IFERROR(__xludf.DUMMYFUNCTION("""COMPUTED_VALUE"""),"65. Tepi, 100. Coatl")</f>
        <v>65. Tepi, 100. Coatl</v>
      </c>
      <c r="B6694" s="4" t="str">
        <f>IFERROR(__xludf.DUMMYFUNCTION("""COMPUTED_VALUE"""),"65, 100")</f>
        <v>65, 100</v>
      </c>
      <c r="C6694" s="5" t="str">
        <f>IFERROR(__xludf.DUMMYFUNCTION("""COMPUTED_VALUE"""),"https://drive.google.com/file/d/1eiZvQ5lDH2ZrGfBtpWYg7LSXy8jUl9mL/view?usp=drivesdk")</f>
        <v>https://drive.google.com/file/d/1eiZvQ5lDH2ZrGfBtpWYg7LSXy8jUl9mL/view?usp=drivesdk</v>
      </c>
      <c r="D6694" s="12"/>
      <c r="E6694" s="11">
        <v>6742.0</v>
      </c>
      <c r="F6694" s="2"/>
    </row>
    <row r="6695" ht="1.5" customHeight="1">
      <c r="A6695" s="4" t="str">
        <f>IFERROR(__xludf.DUMMYFUNCTION("""COMPUTED_VALUE"""),"65. Tepi, 100. Coatl")</f>
        <v>65. Tepi, 100. Coatl</v>
      </c>
      <c r="B6695" s="4" t="str">
        <f>IFERROR(__xludf.DUMMYFUNCTION("""COMPUTED_VALUE"""),"65, 100")</f>
        <v>65, 100</v>
      </c>
      <c r="C6695" s="5" t="str">
        <f>IFERROR(__xludf.DUMMYFUNCTION("""COMPUTED_VALUE"""),"https://drive.google.com/file/d/1RArWD2YSfTHnzIdaTa_SmRqclUoE8zxs/view?usp=drivesdk")</f>
        <v>https://drive.google.com/file/d/1RArWD2YSfTHnzIdaTa_SmRqclUoE8zxs/view?usp=drivesdk</v>
      </c>
      <c r="D6695" s="12"/>
      <c r="E6695" s="11">
        <v>6743.0</v>
      </c>
      <c r="F6695" s="2"/>
    </row>
    <row r="6696" ht="1.5" customHeight="1">
      <c r="A6696" s="4" t="str">
        <f>IFERROR(__xludf.DUMMYFUNCTION("""COMPUTED_VALUE"""),"1. Microwave")</f>
        <v>1. Microwave</v>
      </c>
      <c r="B6696" s="4" t="str">
        <f>IFERROR(__xludf.DUMMYFUNCTION("""COMPUTED_VALUE"""),"1")</f>
        <v>1</v>
      </c>
      <c r="C6696" s="5" t="str">
        <f>IFERROR(__xludf.DUMMYFUNCTION("""COMPUTED_VALUE"""),"https://drive.google.com/file/d/1wzTgC4nk4OwjSb46oqqvkLzxUVnegf5l/view?usp=drivesdk")</f>
        <v>https://drive.google.com/file/d/1wzTgC4nk4OwjSb46oqqvkLzxUVnegf5l/view?usp=drivesdk</v>
      </c>
      <c r="D6696" s="12"/>
      <c r="E6696" s="11">
        <v>6744.0</v>
      </c>
      <c r="F6696" s="2"/>
    </row>
    <row r="6697" ht="1.5" customHeight="1">
      <c r="A6697" s="4" t="str">
        <f>IFERROR(__xludf.DUMMYFUNCTION("""COMPUTED_VALUE"""),"1. Microwave")</f>
        <v>1. Microwave</v>
      </c>
      <c r="B6697" s="4" t="str">
        <f>IFERROR(__xludf.DUMMYFUNCTION("""COMPUTED_VALUE"""),"1")</f>
        <v>1</v>
      </c>
      <c r="C6697" s="5" t="str">
        <f>IFERROR(__xludf.DUMMYFUNCTION("""COMPUTED_VALUE"""),"https://drive.google.com/file/d/1pbgTH_rwA7rNuxGSRDKCEvd4swE0qJ0F/view?usp=drivesdk")</f>
        <v>https://drive.google.com/file/d/1pbgTH_rwA7rNuxGSRDKCEvd4swE0qJ0F/view?usp=drivesdk</v>
      </c>
      <c r="D6697" s="12"/>
      <c r="E6697" s="11">
        <v>6745.0</v>
      </c>
      <c r="F6697" s="2"/>
    </row>
    <row r="6698" ht="1.5" customHeight="1">
      <c r="A6698" s="4" t="str">
        <f>IFERROR(__xludf.DUMMYFUNCTION("""COMPUTED_VALUE"""),"1. Microwave")</f>
        <v>1. Microwave</v>
      </c>
      <c r="B6698" s="4" t="str">
        <f>IFERROR(__xludf.DUMMYFUNCTION("""COMPUTED_VALUE"""),"1")</f>
        <v>1</v>
      </c>
      <c r="C6698" s="5" t="str">
        <f>IFERROR(__xludf.DUMMYFUNCTION("""COMPUTED_VALUE"""),"https://drive.google.com/file/d/1YGq-F4FlJlDmLOvhSwjpEl3D6QYKxJ25/view?usp=drivesdk")</f>
        <v>https://drive.google.com/file/d/1YGq-F4FlJlDmLOvhSwjpEl3D6QYKxJ25/view?usp=drivesdk</v>
      </c>
      <c r="D6698" s="12"/>
      <c r="E6698" s="11">
        <v>6746.0</v>
      </c>
      <c r="F6698" s="2"/>
    </row>
    <row r="6699" ht="1.5" customHeight="1">
      <c r="A6699" s="4" t="str">
        <f>IFERROR(__xludf.DUMMYFUNCTION("""COMPUTED_VALUE"""),"1. Microwave")</f>
        <v>1. Microwave</v>
      </c>
      <c r="B6699" s="4" t="str">
        <f>IFERROR(__xludf.DUMMYFUNCTION("""COMPUTED_VALUE"""),"1")</f>
        <v>1</v>
      </c>
      <c r="C6699" s="5" t="str">
        <f>IFERROR(__xludf.DUMMYFUNCTION("""COMPUTED_VALUE"""),"https://drive.google.com/file/d/1WuWAdbRO5awD78_uLwtBDZBy1XZa6wih/view?usp=drivesdk")</f>
        <v>https://drive.google.com/file/d/1WuWAdbRO5awD78_uLwtBDZBy1XZa6wih/view?usp=drivesdk</v>
      </c>
      <c r="D6699" s="12"/>
      <c r="E6699" s="11">
        <v>6747.0</v>
      </c>
      <c r="F6699" s="2"/>
    </row>
    <row r="6700" ht="1.5" customHeight="1">
      <c r="A6700" s="4" t="str">
        <f>IFERROR(__xludf.DUMMYFUNCTION("""COMPUTED_VALUE"""),"76. Eezard")</f>
        <v>76. Eezard</v>
      </c>
      <c r="B6700" s="4" t="str">
        <f>IFERROR(__xludf.DUMMYFUNCTION("""COMPUTED_VALUE"""),"76")</f>
        <v>76</v>
      </c>
      <c r="C6700" s="5" t="str">
        <f>IFERROR(__xludf.DUMMYFUNCTION("""COMPUTED_VALUE"""),"https://drive.google.com/file/d/1ND538lj1kXfrsN3hwFc5hIqUzZhGE4cv/view?usp=drivesdk")</f>
        <v>https://drive.google.com/file/d/1ND538lj1kXfrsN3hwFc5hIqUzZhGE4cv/view?usp=drivesdk</v>
      </c>
      <c r="D6700" s="12"/>
      <c r="E6700" s="11">
        <v>6748.0</v>
      </c>
      <c r="F6700" s="2"/>
    </row>
    <row r="6701" ht="1.5" customHeight="1">
      <c r="A6701" s="4" t="str">
        <f>IFERROR(__xludf.DUMMYFUNCTION("""COMPUTED_VALUE"""),"1. Microwave")</f>
        <v>1. Microwave</v>
      </c>
      <c r="B6701" s="4" t="str">
        <f>IFERROR(__xludf.DUMMYFUNCTION("""COMPUTED_VALUE"""),"1")</f>
        <v>1</v>
      </c>
      <c r="C6701" s="5" t="str">
        <f>IFERROR(__xludf.DUMMYFUNCTION("""COMPUTED_VALUE"""),"https://drive.google.com/file/d/1FDyOgx-0F0eBnLu1VFxIi-rRbl1ZlxAi/view?usp=drivesdk")</f>
        <v>https://drive.google.com/file/d/1FDyOgx-0F0eBnLu1VFxIi-rRbl1ZlxAi/view?usp=drivesdk</v>
      </c>
      <c r="D6701" s="12"/>
      <c r="E6701" s="11">
        <v>6749.0</v>
      </c>
      <c r="F6701" s="2"/>
    </row>
    <row r="6702" ht="1.5" customHeight="1">
      <c r="A6702" s="4" t="str">
        <f>IFERROR(__xludf.DUMMYFUNCTION("""COMPUTED_VALUE"""),"0. NotACat")</f>
        <v>0. NotACat</v>
      </c>
      <c r="B6702" s="4" t="str">
        <f>IFERROR(__xludf.DUMMYFUNCTION("""COMPUTED_VALUE"""),"0")</f>
        <v>0</v>
      </c>
      <c r="C6702" s="5" t="str">
        <f>IFERROR(__xludf.DUMMYFUNCTION("""COMPUTED_VALUE"""),"https://drive.google.com/file/d/1kP2w923i9pZhH1EWO4H22KmSReLtAsmV/view?usp=drivesdk")</f>
        <v>https://drive.google.com/file/d/1kP2w923i9pZhH1EWO4H22KmSReLtAsmV/view?usp=drivesdk</v>
      </c>
      <c r="D6702" s="12"/>
      <c r="E6702" s="11">
        <v>6750.0</v>
      </c>
      <c r="F6702" s="2"/>
    </row>
    <row r="6703" ht="1.5" customHeight="1">
      <c r="A6703" s="4" t="str">
        <f>IFERROR(__xludf.DUMMYFUNCTION("""COMPUTED_VALUE"""),"1. Microwave")</f>
        <v>1. Microwave</v>
      </c>
      <c r="B6703" s="4" t="str">
        <f>IFERROR(__xludf.DUMMYFUNCTION("""COMPUTED_VALUE"""),"1")</f>
        <v>1</v>
      </c>
      <c r="C6703" s="5" t="str">
        <f>IFERROR(__xludf.DUMMYFUNCTION("""COMPUTED_VALUE"""),"https://drive.google.com/file/d/1Nie0zyKkzAZ8n5Q83TI2ANeCr9tBDWj5/view?usp=drivesdk")</f>
        <v>https://drive.google.com/file/d/1Nie0zyKkzAZ8n5Q83TI2ANeCr9tBDWj5/view?usp=drivesdk</v>
      </c>
      <c r="D6703" s="12"/>
      <c r="E6703" s="11">
        <v>6751.0</v>
      </c>
      <c r="F6703" s="2"/>
    </row>
    <row r="6704" ht="1.5" customHeight="1">
      <c r="A6704" s="4" t="str">
        <f>IFERROR(__xludf.DUMMYFUNCTION("""COMPUTED_VALUE"""),"27. Angel, 29. Ginger")</f>
        <v>27. Angel, 29. Ginger</v>
      </c>
      <c r="B6704" s="4" t="str">
        <f>IFERROR(__xludf.DUMMYFUNCTION("""COMPUTED_VALUE"""),"27, 29")</f>
        <v>27, 29</v>
      </c>
      <c r="C6704" s="5" t="str">
        <f>IFERROR(__xludf.DUMMYFUNCTION("""COMPUTED_VALUE"""),"https://drive.google.com/file/d/1uMVY3wMY0lvfIOll8Ruii-hSgNK7eHs1/view?usp=drivesdk")</f>
        <v>https://drive.google.com/file/d/1uMVY3wMY0lvfIOll8Ruii-hSgNK7eHs1/view?usp=drivesdk</v>
      </c>
      <c r="D6704" s="12"/>
      <c r="E6704" s="11">
        <v>6752.0</v>
      </c>
      <c r="F6704" s="2"/>
    </row>
    <row r="6705" ht="1.5" customHeight="1">
      <c r="A6705" s="4" t="str">
        <f>IFERROR(__xludf.DUMMYFUNCTION("""COMPUTED_VALUE"""),"30. Pepper")</f>
        <v>30. Pepper</v>
      </c>
      <c r="B6705" s="4" t="str">
        <f>IFERROR(__xludf.DUMMYFUNCTION("""COMPUTED_VALUE"""),"30")</f>
        <v>30</v>
      </c>
      <c r="C6705" s="5" t="str">
        <f>IFERROR(__xludf.DUMMYFUNCTION("""COMPUTED_VALUE"""),"https://drive.google.com/file/d/1MMWPmubGfA7G6XuOuMerQtyXc2WF5Xje/view?usp=drivesdk")</f>
        <v>https://drive.google.com/file/d/1MMWPmubGfA7G6XuOuMerQtyXc2WF5Xje/view?usp=drivesdk</v>
      </c>
      <c r="D6705" s="12"/>
      <c r="E6705" s="11">
        <v>6753.0</v>
      </c>
      <c r="F6705" s="2"/>
    </row>
    <row r="6706" ht="1.5" customHeight="1">
      <c r="A6706" s="4" t="str">
        <f>IFERROR(__xludf.DUMMYFUNCTION("""COMPUTED_VALUE"""),"29. Ginger, 30. Pepper")</f>
        <v>29. Ginger, 30. Pepper</v>
      </c>
      <c r="B6706" s="4" t="str">
        <f>IFERROR(__xludf.DUMMYFUNCTION("""COMPUTED_VALUE"""),"29, 30")</f>
        <v>29, 30</v>
      </c>
      <c r="C6706" s="5" t="str">
        <f>IFERROR(__xludf.DUMMYFUNCTION("""COMPUTED_VALUE"""),"https://drive.google.com/file/d/1mb9Wa-LuGmfxjNxtKVDv6Gb2eejaJmLR/view?usp=drivesdk")</f>
        <v>https://drive.google.com/file/d/1mb9Wa-LuGmfxjNxtKVDv6Gb2eejaJmLR/view?usp=drivesdk</v>
      </c>
      <c r="D6706" s="12"/>
      <c r="E6706" s="11">
        <v>6754.0</v>
      </c>
      <c r="F6706" s="2"/>
    </row>
    <row r="6707" ht="1.5" customHeight="1">
      <c r="A6707" s="4" t="str">
        <f>IFERROR(__xludf.DUMMYFUNCTION("""COMPUTED_VALUE"""),"29. Ginger, 30. Pepper")</f>
        <v>29. Ginger, 30. Pepper</v>
      </c>
      <c r="B6707" s="4" t="str">
        <f>IFERROR(__xludf.DUMMYFUNCTION("""COMPUTED_VALUE"""),"29, 30")</f>
        <v>29, 30</v>
      </c>
      <c r="C6707" s="5" t="str">
        <f>IFERROR(__xludf.DUMMYFUNCTION("""COMPUTED_VALUE"""),"https://drive.google.com/file/d/1xCpmF_3cyt4enmLn5IO6FvZXhRCkesNB/view?usp=drivesdk")</f>
        <v>https://drive.google.com/file/d/1xCpmF_3cyt4enmLn5IO6FvZXhRCkesNB/view?usp=drivesdk</v>
      </c>
      <c r="D6707" s="12"/>
      <c r="E6707" s="11">
        <v>6755.0</v>
      </c>
      <c r="F6707" s="2"/>
    </row>
    <row r="6708" ht="1.5" customHeight="1">
      <c r="A6708" s="4" t="str">
        <f>IFERROR(__xludf.DUMMYFUNCTION("""COMPUTED_VALUE"""),"29. Ginger")</f>
        <v>29. Ginger</v>
      </c>
      <c r="B6708" s="4" t="str">
        <f>IFERROR(__xludf.DUMMYFUNCTION("""COMPUTED_VALUE"""),"29")</f>
        <v>29</v>
      </c>
      <c r="C6708" s="5" t="str">
        <f>IFERROR(__xludf.DUMMYFUNCTION("""COMPUTED_VALUE"""),"https://drive.google.com/file/d/1Zm_1C1rsnIeudQ4keeu3oH-ZrZcPNZt-/view?usp=drivesdk")</f>
        <v>https://drive.google.com/file/d/1Zm_1C1rsnIeudQ4keeu3oH-ZrZcPNZt-/view?usp=drivesdk</v>
      </c>
      <c r="D6708" s="12"/>
      <c r="E6708" s="11">
        <v>6756.0</v>
      </c>
      <c r="F6708" s="2"/>
    </row>
    <row r="6709" ht="1.5" customHeight="1">
      <c r="A6709" s="4" t="str">
        <f>IFERROR(__xludf.DUMMYFUNCTION("""COMPUTED_VALUE"""),"29. Ginger")</f>
        <v>29. Ginger</v>
      </c>
      <c r="B6709" s="4" t="str">
        <f>IFERROR(__xludf.DUMMYFUNCTION("""COMPUTED_VALUE"""),"29")</f>
        <v>29</v>
      </c>
      <c r="C6709" s="5" t="str">
        <f>IFERROR(__xludf.DUMMYFUNCTION("""COMPUTED_VALUE"""),"https://drive.google.com/file/d/1PfS2OxFKhHlLYsKA3flcNWEY6JXA-1XG/view?usp=drivesdk")</f>
        <v>https://drive.google.com/file/d/1PfS2OxFKhHlLYsKA3flcNWEY6JXA-1XG/view?usp=drivesdk</v>
      </c>
      <c r="D6709" s="12"/>
      <c r="E6709" s="11">
        <v>6757.0</v>
      </c>
      <c r="F6709" s="2"/>
    </row>
    <row r="6710" ht="1.5" customHeight="1">
      <c r="A6710" s="4" t="str">
        <f>IFERROR(__xludf.DUMMYFUNCTION("""COMPUTED_VALUE"""),"1. Microwave")</f>
        <v>1. Microwave</v>
      </c>
      <c r="B6710" s="4" t="str">
        <f>IFERROR(__xludf.DUMMYFUNCTION("""COMPUTED_VALUE"""),"1")</f>
        <v>1</v>
      </c>
      <c r="C6710" s="5" t="str">
        <f>IFERROR(__xludf.DUMMYFUNCTION("""COMPUTED_VALUE"""),"https://drive.google.com/file/d/1-B6A9Usf7gtCgA_d-Lr22ossNgn4Er7J/view?usp=drivesdk")</f>
        <v>https://drive.google.com/file/d/1-B6A9Usf7gtCgA_d-Lr22ossNgn4Er7J/view?usp=drivesdk</v>
      </c>
      <c r="D6710" s="12"/>
      <c r="E6710" s="11">
        <v>6758.0</v>
      </c>
      <c r="F6710" s="2"/>
    </row>
    <row r="6711" ht="1.5" customHeight="1">
      <c r="A6711" s="4" t="str">
        <f>IFERROR(__xludf.DUMMYFUNCTION("""COMPUTED_VALUE"""),"1. Microwave")</f>
        <v>1. Microwave</v>
      </c>
      <c r="B6711" s="4" t="str">
        <f>IFERROR(__xludf.DUMMYFUNCTION("""COMPUTED_VALUE"""),"1")</f>
        <v>1</v>
      </c>
      <c r="C6711" s="5" t="str">
        <f>IFERROR(__xludf.DUMMYFUNCTION("""COMPUTED_VALUE"""),"https://drive.google.com/file/d/1_JKusPf6jzuSCcYkY_IzrzaB0qn86lJ1/view?usp=drivesdk")</f>
        <v>https://drive.google.com/file/d/1_JKusPf6jzuSCcYkY_IzrzaB0qn86lJ1/view?usp=drivesdk</v>
      </c>
      <c r="D6711" s="12"/>
      <c r="E6711" s="11">
        <v>6759.0</v>
      </c>
      <c r="F6711" s="2"/>
    </row>
    <row r="6712" ht="1.5" customHeight="1">
      <c r="A6712" s="4" t="str">
        <f>IFERROR(__xludf.DUMMYFUNCTION("""COMPUTED_VALUE"""),"101. Nori")</f>
        <v>101. Nori</v>
      </c>
      <c r="B6712" s="4" t="str">
        <f>IFERROR(__xludf.DUMMYFUNCTION("""COMPUTED_VALUE"""),"101")</f>
        <v>101</v>
      </c>
      <c r="C6712" s="5" t="str">
        <f>IFERROR(__xludf.DUMMYFUNCTION("""COMPUTED_VALUE"""),"https://drive.google.com/file/d/1uQHwPXT-7F7u0cHbH1kWOCmO9FBk1aUW/view?usp=drivesdk")</f>
        <v>https://drive.google.com/file/d/1uQHwPXT-7F7u0cHbH1kWOCmO9FBk1aUW/view?usp=drivesdk</v>
      </c>
      <c r="D6712" s="12"/>
      <c r="E6712" s="11">
        <v>6760.0</v>
      </c>
      <c r="F6712" s="2"/>
    </row>
    <row r="6713" ht="1.5" customHeight="1">
      <c r="A6713" s="4" t="str">
        <f>IFERROR(__xludf.DUMMYFUNCTION("""COMPUTED_VALUE"""),"100. Coatl")</f>
        <v>100. Coatl</v>
      </c>
      <c r="B6713" s="4" t="str">
        <f>IFERROR(__xludf.DUMMYFUNCTION("""COMPUTED_VALUE"""),"100")</f>
        <v>100</v>
      </c>
      <c r="C6713" s="5" t="str">
        <f>IFERROR(__xludf.DUMMYFUNCTION("""COMPUTED_VALUE"""),"https://drive.google.com/file/d/1xQyw20YtXpAQpw72RHrRGGuLOawrnBgI/view?usp=drivesdk")</f>
        <v>https://drive.google.com/file/d/1xQyw20YtXpAQpw72RHrRGGuLOawrnBgI/view?usp=drivesdk</v>
      </c>
      <c r="D6713" s="12"/>
      <c r="E6713" s="11">
        <v>6761.0</v>
      </c>
      <c r="F6713" s="2"/>
    </row>
    <row r="6714" ht="1.5" customHeight="1">
      <c r="A6714" s="4" t="str">
        <f>IFERROR(__xludf.DUMMYFUNCTION("""COMPUTED_VALUE"""),"1. Microwave")</f>
        <v>1. Microwave</v>
      </c>
      <c r="B6714" s="4" t="str">
        <f>IFERROR(__xludf.DUMMYFUNCTION("""COMPUTED_VALUE"""),"1")</f>
        <v>1</v>
      </c>
      <c r="C6714" s="5" t="str">
        <f>IFERROR(__xludf.DUMMYFUNCTION("""COMPUTED_VALUE"""),"https://drive.google.com/file/d/1GKSTj4OAkAF1tK1OBfS7PwPA4vhpHxYN/view?usp=drivesdk")</f>
        <v>https://drive.google.com/file/d/1GKSTj4OAkAF1tK1OBfS7PwPA4vhpHxYN/view?usp=drivesdk</v>
      </c>
      <c r="D6714" s="12"/>
      <c r="E6714" s="11">
        <v>6762.0</v>
      </c>
      <c r="F6714" s="2"/>
    </row>
    <row r="6715" ht="1.5" customHeight="1">
      <c r="A6715" s="4" t="str">
        <f>IFERROR(__xludf.DUMMYFUNCTION("""COMPUTED_VALUE"""),"1. Microwave")</f>
        <v>1. Microwave</v>
      </c>
      <c r="B6715" s="4" t="str">
        <f>IFERROR(__xludf.DUMMYFUNCTION("""COMPUTED_VALUE"""),"1")</f>
        <v>1</v>
      </c>
      <c r="C6715" s="5" t="str">
        <f>IFERROR(__xludf.DUMMYFUNCTION("""COMPUTED_VALUE"""),"https://drive.google.com/file/d/1AfoHu1UoZ1AdUZ0oXjyMuSicZVWx9qNv/view?usp=drivesdk")</f>
        <v>https://drive.google.com/file/d/1AfoHu1UoZ1AdUZ0oXjyMuSicZVWx9qNv/view?usp=drivesdk</v>
      </c>
      <c r="D6715" s="12"/>
      <c r="E6715" s="11">
        <v>6763.0</v>
      </c>
      <c r="F6715" s="2"/>
    </row>
    <row r="6716" ht="1.5" customHeight="1">
      <c r="A6716" s="4" t="str">
        <f>IFERROR(__xludf.DUMMYFUNCTION("""COMPUTED_VALUE"""),"20. Citlali, 105. Chilton, 65. Tepi, 17. Bobbie, 100. Coatl")</f>
        <v>20. Citlali, 105. Chilton, 65. Tepi, 17. Bobbie, 100. Coatl</v>
      </c>
      <c r="B6716" s="4" t="str">
        <f>IFERROR(__xludf.DUMMYFUNCTION("""COMPUTED_VALUE"""),"20, 105, 65, 17, 100")</f>
        <v>20, 105, 65, 17, 100</v>
      </c>
      <c r="C6716" s="5" t="str">
        <f>IFERROR(__xludf.DUMMYFUNCTION("""COMPUTED_VALUE"""),"https://drive.google.com/file/d/19CDZvMTZfNybePQs_oK_Nzfo3GuGfmDv/view?usp=drivesdk")</f>
        <v>https://drive.google.com/file/d/19CDZvMTZfNybePQs_oK_Nzfo3GuGfmDv/view?usp=drivesdk</v>
      </c>
      <c r="D6716" s="12"/>
      <c r="E6716" s="11">
        <v>6764.0</v>
      </c>
      <c r="F6716" s="2"/>
    </row>
    <row r="6717" ht="1.5" customHeight="1">
      <c r="A6717" s="4" t="str">
        <f>IFERROR(__xludf.DUMMYFUNCTION("""COMPUTED_VALUE"""),"17. Bobbie")</f>
        <v>17. Bobbie</v>
      </c>
      <c r="B6717" s="4" t="str">
        <f>IFERROR(__xludf.DUMMYFUNCTION("""COMPUTED_VALUE"""),"17")</f>
        <v>17</v>
      </c>
      <c r="C6717" s="5" t="str">
        <f>IFERROR(__xludf.DUMMYFUNCTION("""COMPUTED_VALUE"""),"https://drive.google.com/file/d/16bdr0Gh_2pfrY1mF6Wa9O3ohkmuJkb21/view?usp=drivesdk")</f>
        <v>https://drive.google.com/file/d/16bdr0Gh_2pfrY1mF6Wa9O3ohkmuJkb21/view?usp=drivesdk</v>
      </c>
      <c r="D6717" s="12"/>
      <c r="E6717" s="11">
        <v>6765.0</v>
      </c>
      <c r="F6717" s="2"/>
    </row>
    <row r="6718" ht="1.5" customHeight="1">
      <c r="A6718" s="4" t="str">
        <f>IFERROR(__xludf.DUMMYFUNCTION("""COMPUTED_VALUE"""),"99. Nezhui, 111. Mayatl")</f>
        <v>99. Nezhui, 111. Mayatl</v>
      </c>
      <c r="B6718" s="4" t="str">
        <f>IFERROR(__xludf.DUMMYFUNCTION("""COMPUTED_VALUE"""),"99, 111")</f>
        <v>99, 111</v>
      </c>
      <c r="C6718" s="5" t="str">
        <f>IFERROR(__xludf.DUMMYFUNCTION("""COMPUTED_VALUE"""),"https://drive.google.com/file/d/1xTJzko66wvcXvowYIlOmoJtN-u2W4_cZ/view?usp=drivesdk")</f>
        <v>https://drive.google.com/file/d/1xTJzko66wvcXvowYIlOmoJtN-u2W4_cZ/view?usp=drivesdk</v>
      </c>
      <c r="D6718" s="12"/>
      <c r="E6718" s="11">
        <v>6766.0</v>
      </c>
      <c r="F6718" s="2"/>
    </row>
    <row r="6719" ht="1.5" customHeight="1">
      <c r="A6719" s="4" t="str">
        <f>IFERROR(__xludf.DUMMYFUNCTION("""COMPUTED_VALUE"""),"20. Citlali, 126. Tax Evasion, 105. Chilton")</f>
        <v>20. Citlali, 126. Tax Evasion, 105. Chilton</v>
      </c>
      <c r="B6719" s="4" t="str">
        <f>IFERROR(__xludf.DUMMYFUNCTION("""COMPUTED_VALUE"""),"20, 126, 105")</f>
        <v>20, 126, 105</v>
      </c>
      <c r="C6719" s="5" t="str">
        <f>IFERROR(__xludf.DUMMYFUNCTION("""COMPUTED_VALUE"""),"https://drive.google.com/file/d/1N7gF7IhlP9UaIZXfaARi2XUQ-35OcbsP/view?usp=drivesdk")</f>
        <v>https://drive.google.com/file/d/1N7gF7IhlP9UaIZXfaARi2XUQ-35OcbsP/view?usp=drivesdk</v>
      </c>
      <c r="D6719" s="12"/>
      <c r="E6719" s="11">
        <v>6767.0</v>
      </c>
      <c r="F6719" s="2"/>
    </row>
    <row r="6720" ht="1.5" customHeight="1">
      <c r="A6720" s="4" t="str">
        <f>IFERROR(__xludf.DUMMYFUNCTION("""COMPUTED_VALUE"""),"106. Ami")</f>
        <v>106. Ami</v>
      </c>
      <c r="B6720" s="4" t="str">
        <f>IFERROR(__xludf.DUMMYFUNCTION("""COMPUTED_VALUE"""),"106")</f>
        <v>106</v>
      </c>
      <c r="C6720" s="5" t="str">
        <f>IFERROR(__xludf.DUMMYFUNCTION("""COMPUTED_VALUE"""),"https://drive.google.com/file/d/1WU3qc0q9JVSaBIKk-DllPi6cNJ2mhHK2/view?usp=drivesdk")</f>
        <v>https://drive.google.com/file/d/1WU3qc0q9JVSaBIKk-DllPi6cNJ2mhHK2/view?usp=drivesdk</v>
      </c>
      <c r="D6720" s="12"/>
      <c r="E6720" s="11">
        <v>6768.0</v>
      </c>
      <c r="F6720" s="2"/>
    </row>
    <row r="6721" ht="1.5" customHeight="1">
      <c r="A6721" s="4" t="str">
        <f>IFERROR(__xludf.DUMMYFUNCTION("""COMPUTED_VALUE"""),"99. Nezhui")</f>
        <v>99. Nezhui</v>
      </c>
      <c r="B6721" s="4" t="str">
        <f>IFERROR(__xludf.DUMMYFUNCTION("""COMPUTED_VALUE"""),"99")</f>
        <v>99</v>
      </c>
      <c r="C6721" s="5" t="str">
        <f>IFERROR(__xludf.DUMMYFUNCTION("""COMPUTED_VALUE"""),"https://drive.google.com/file/d/1MYVqu-6oz0smjbby7EcfvcnmcjAGnI0g/view?usp=drivesdk")</f>
        <v>https://drive.google.com/file/d/1MYVqu-6oz0smjbby7EcfvcnmcjAGnI0g/view?usp=drivesdk</v>
      </c>
      <c r="D6721" s="12"/>
      <c r="E6721" s="11">
        <v>6769.0</v>
      </c>
      <c r="F6721" s="2"/>
    </row>
    <row r="6722" ht="1.5" customHeight="1">
      <c r="A6722" s="4" t="str">
        <f>IFERROR(__xludf.DUMMYFUNCTION("""COMPUTED_VALUE"""),"94. Itztli, 99. Nezhui")</f>
        <v>94. Itztli, 99. Nezhui</v>
      </c>
      <c r="B6722" s="4" t="str">
        <f>IFERROR(__xludf.DUMMYFUNCTION("""COMPUTED_VALUE"""),"94, 99")</f>
        <v>94, 99</v>
      </c>
      <c r="C6722" s="5" t="str">
        <f>IFERROR(__xludf.DUMMYFUNCTION("""COMPUTED_VALUE"""),"https://drive.google.com/file/d/1r0okeA-RxdgzA5tmQIUs2ZGy2wRQ_Yd7/view?usp=drivesdk")</f>
        <v>https://drive.google.com/file/d/1r0okeA-RxdgzA5tmQIUs2ZGy2wRQ_Yd7/view?usp=drivesdk</v>
      </c>
      <c r="D6722" s="12"/>
      <c r="E6722" s="11">
        <v>6770.0</v>
      </c>
      <c r="F6722" s="2"/>
    </row>
    <row r="6723" ht="1.5" customHeight="1">
      <c r="A6723" s="4" t="str">
        <f>IFERROR(__xludf.DUMMYFUNCTION("""COMPUTED_VALUE"""),"94. Itztli, 105. Chilton, 126. Tax Evasion")</f>
        <v>94. Itztli, 105. Chilton, 126. Tax Evasion</v>
      </c>
      <c r="B6723" s="4" t="str">
        <f>IFERROR(__xludf.DUMMYFUNCTION("""COMPUTED_VALUE"""),"94, 105, 126")</f>
        <v>94, 105, 126</v>
      </c>
      <c r="C6723" s="5" t="str">
        <f>IFERROR(__xludf.DUMMYFUNCTION("""COMPUTED_VALUE"""),"https://drive.google.com/file/d/1NUsKNSMvrENJWWt1jeKG1jWU8kj2ojMm/view?usp=drivesdk")</f>
        <v>https://drive.google.com/file/d/1NUsKNSMvrENJWWt1jeKG1jWU8kj2ojMm/view?usp=drivesdk</v>
      </c>
      <c r="D6723" s="12"/>
      <c r="E6723" s="11">
        <v>6771.0</v>
      </c>
      <c r="F6723" s="2"/>
    </row>
    <row r="6724" ht="1.5" customHeight="1">
      <c r="A6724" s="4" t="str">
        <f>IFERROR(__xludf.DUMMYFUNCTION("""COMPUTED_VALUE"""),"4. Eggs")</f>
        <v>4. Eggs</v>
      </c>
      <c r="B6724" s="4" t="str">
        <f>IFERROR(__xludf.DUMMYFUNCTION("""COMPUTED_VALUE"""),"4")</f>
        <v>4</v>
      </c>
      <c r="C6724" s="5" t="str">
        <f>IFERROR(__xludf.DUMMYFUNCTION("""COMPUTED_VALUE"""),"https://drive.google.com/file/d/1w-m6-DXS2lwS1DUelahs8NEtE5TQx8_6/view?usp=drivesdk")</f>
        <v>https://drive.google.com/file/d/1w-m6-DXS2lwS1DUelahs8NEtE5TQx8_6/view?usp=drivesdk</v>
      </c>
      <c r="D6724" s="12"/>
      <c r="E6724" s="11">
        <v>6772.0</v>
      </c>
      <c r="F6724" s="2"/>
    </row>
    <row r="6725" ht="1.5" customHeight="1">
      <c r="A6725" s="4" t="str">
        <f>IFERROR(__xludf.DUMMYFUNCTION("""COMPUTED_VALUE"""),"126. Tax Evasion")</f>
        <v>126. Tax Evasion</v>
      </c>
      <c r="B6725" s="4" t="str">
        <f>IFERROR(__xludf.DUMMYFUNCTION("""COMPUTED_VALUE"""),"126")</f>
        <v>126</v>
      </c>
      <c r="C6725" s="5" t="str">
        <f>IFERROR(__xludf.DUMMYFUNCTION("""COMPUTED_VALUE"""),"https://drive.google.com/file/d/141y46Yxui2HEl1NV-rZ1tnXSSip38UwP/view?usp=drivesdk")</f>
        <v>https://drive.google.com/file/d/141y46Yxui2HEl1NV-rZ1tnXSSip38UwP/view?usp=drivesdk</v>
      </c>
      <c r="D6725" s="12"/>
      <c r="E6725" s="11">
        <v>6773.0</v>
      </c>
      <c r="F6725" s="2"/>
    </row>
    <row r="6726" ht="1.5" customHeight="1">
      <c r="A6726" s="4" t="str">
        <f>IFERROR(__xludf.DUMMYFUNCTION("""COMPUTED_VALUE"""),"1. Microwave")</f>
        <v>1. Microwave</v>
      </c>
      <c r="B6726" s="4" t="str">
        <f>IFERROR(__xludf.DUMMYFUNCTION("""COMPUTED_VALUE"""),"1")</f>
        <v>1</v>
      </c>
      <c r="C6726" s="5" t="str">
        <f>IFERROR(__xludf.DUMMYFUNCTION("""COMPUTED_VALUE"""),"https://drive.google.com/file/d/1QsOZjV-zO2MdDiP6J8em6jFRyKUHQQlu/view?usp=drivesdk")</f>
        <v>https://drive.google.com/file/d/1QsOZjV-zO2MdDiP6J8em6jFRyKUHQQlu/view?usp=drivesdk</v>
      </c>
      <c r="D6726" s="12"/>
      <c r="E6726" s="11">
        <v>6774.0</v>
      </c>
      <c r="F6726" s="2"/>
    </row>
    <row r="6727" ht="1.5" customHeight="1">
      <c r="A6727" s="4" t="str">
        <f>IFERROR(__xludf.DUMMYFUNCTION("""COMPUTED_VALUE"""),"1. Microwave")</f>
        <v>1. Microwave</v>
      </c>
      <c r="B6727" s="4" t="str">
        <f>IFERROR(__xludf.DUMMYFUNCTION("""COMPUTED_VALUE"""),"1")</f>
        <v>1</v>
      </c>
      <c r="C6727" s="5" t="str">
        <f>IFERROR(__xludf.DUMMYFUNCTION("""COMPUTED_VALUE"""),"https://drive.google.com/file/d/1CtixdiWAn2rigWDW7wkCnrJsD6ZjLmKW/view?usp=drivesdk")</f>
        <v>https://drive.google.com/file/d/1CtixdiWAn2rigWDW7wkCnrJsD6ZjLmKW/view?usp=drivesdk</v>
      </c>
      <c r="D6727" s="12"/>
      <c r="E6727" s="11">
        <v>6775.0</v>
      </c>
      <c r="F6727" s="2"/>
    </row>
    <row r="6728" ht="1.5" customHeight="1">
      <c r="A6728" s="4" t="str">
        <f>IFERROR(__xludf.DUMMYFUNCTION("""COMPUTED_VALUE"""),"1. Microwave")</f>
        <v>1. Microwave</v>
      </c>
      <c r="B6728" s="4" t="str">
        <f>IFERROR(__xludf.DUMMYFUNCTION("""COMPUTED_VALUE"""),"1")</f>
        <v>1</v>
      </c>
      <c r="C6728" s="5" t="str">
        <f>IFERROR(__xludf.DUMMYFUNCTION("""COMPUTED_VALUE"""),"https://drive.google.com/file/d/1HeMNzzB-xZMrGrWKeGIcXtR7dAW0TzV8/view?usp=drivesdk")</f>
        <v>https://drive.google.com/file/d/1HeMNzzB-xZMrGrWKeGIcXtR7dAW0TzV8/view?usp=drivesdk</v>
      </c>
      <c r="D6728" s="12"/>
      <c r="E6728" s="11">
        <v>6776.0</v>
      </c>
      <c r="F6728" s="2"/>
    </row>
    <row r="6729" ht="1.5" customHeight="1">
      <c r="A6729" s="4" t="str">
        <f>IFERROR(__xludf.DUMMYFUNCTION("""COMPUTED_VALUE"""),"1. Microwave")</f>
        <v>1. Microwave</v>
      </c>
      <c r="B6729" s="4" t="str">
        <f>IFERROR(__xludf.DUMMYFUNCTION("""COMPUTED_VALUE"""),"1")</f>
        <v>1</v>
      </c>
      <c r="C6729" s="5" t="str">
        <f>IFERROR(__xludf.DUMMYFUNCTION("""COMPUTED_VALUE"""),"https://drive.google.com/file/d/1aLTfp9n_KEL0kLz7ZgtvE1eOmoYDf_y-/view?usp=drivesdk")</f>
        <v>https://drive.google.com/file/d/1aLTfp9n_KEL0kLz7ZgtvE1eOmoYDf_y-/view?usp=drivesdk</v>
      </c>
      <c r="D6729" s="12"/>
      <c r="E6729" s="11">
        <v>6777.0</v>
      </c>
      <c r="F6729" s="2"/>
    </row>
    <row r="6730" ht="1.5" customHeight="1">
      <c r="A6730" s="4" t="str">
        <f>IFERROR(__xludf.DUMMYFUNCTION("""COMPUTED_VALUE"""),"1. Microwave")</f>
        <v>1. Microwave</v>
      </c>
      <c r="B6730" s="4" t="str">
        <f>IFERROR(__xludf.DUMMYFUNCTION("""COMPUTED_VALUE"""),"1")</f>
        <v>1</v>
      </c>
      <c r="C6730" s="5" t="str">
        <f>IFERROR(__xludf.DUMMYFUNCTION("""COMPUTED_VALUE"""),"https://drive.google.com/file/d/10ngyr44P59ZOP6L93pMi1kmJq8I-19hI/view?usp=drivesdk")</f>
        <v>https://drive.google.com/file/d/10ngyr44P59ZOP6L93pMi1kmJq8I-19hI/view?usp=drivesdk</v>
      </c>
      <c r="D6730" s="12"/>
      <c r="E6730" s="11">
        <v>6778.0</v>
      </c>
      <c r="F6730" s="2"/>
    </row>
    <row r="6731" ht="1.5" customHeight="1">
      <c r="A6731" s="4" t="str">
        <f>IFERROR(__xludf.DUMMYFUNCTION("""COMPUTED_VALUE"""),"1. Microwave")</f>
        <v>1. Microwave</v>
      </c>
      <c r="B6731" s="4" t="str">
        <f>IFERROR(__xludf.DUMMYFUNCTION("""COMPUTED_VALUE"""),"1")</f>
        <v>1</v>
      </c>
      <c r="C6731" s="5" t="str">
        <f>IFERROR(__xludf.DUMMYFUNCTION("""COMPUTED_VALUE"""),"https://drive.google.com/file/d/1PNgmeNSQDTSvXrJod2KCRZNVpbGeK0Jc/view?usp=drivesdk")</f>
        <v>https://drive.google.com/file/d/1PNgmeNSQDTSvXrJod2KCRZNVpbGeK0Jc/view?usp=drivesdk</v>
      </c>
      <c r="D6731" s="12"/>
      <c r="E6731" s="11">
        <v>6779.0</v>
      </c>
      <c r="F6731" s="2"/>
    </row>
    <row r="6732" ht="1.5" customHeight="1">
      <c r="A6732" s="4" t="str">
        <f>IFERROR(__xludf.DUMMYFUNCTION("""COMPUTED_VALUE"""),"1. Microwave")</f>
        <v>1. Microwave</v>
      </c>
      <c r="B6732" s="4" t="str">
        <f>IFERROR(__xludf.DUMMYFUNCTION("""COMPUTED_VALUE"""),"1")</f>
        <v>1</v>
      </c>
      <c r="C6732" s="5" t="str">
        <f>IFERROR(__xludf.DUMMYFUNCTION("""COMPUTED_VALUE"""),"https://drive.google.com/file/d/1fMjHqWANKMLaV8TZR21Cxx6GIUEGFhF6/view?usp=drivesdk")</f>
        <v>https://drive.google.com/file/d/1fMjHqWANKMLaV8TZR21Cxx6GIUEGFhF6/view?usp=drivesdk</v>
      </c>
      <c r="D6732" s="12"/>
      <c r="E6732" s="11">
        <v>6780.0</v>
      </c>
      <c r="F6732" s="2"/>
    </row>
    <row r="6733" ht="1.5" customHeight="1">
      <c r="A6733" s="4" t="str">
        <f>IFERROR(__xludf.DUMMYFUNCTION("""COMPUTED_VALUE"""),"0. NotACat")</f>
        <v>0. NotACat</v>
      </c>
      <c r="B6733" s="4" t="str">
        <f>IFERROR(__xludf.DUMMYFUNCTION("""COMPUTED_VALUE"""),"0")</f>
        <v>0</v>
      </c>
      <c r="C6733" s="5" t="str">
        <f>IFERROR(__xludf.DUMMYFUNCTION("""COMPUTED_VALUE"""),"https://drive.google.com/file/d/1An4m13cuIVdbQLvi95jU4drGhXW5ewAR/view?usp=drivesdk")</f>
        <v>https://drive.google.com/file/d/1An4m13cuIVdbQLvi95jU4drGhXW5ewAR/view?usp=drivesdk</v>
      </c>
      <c r="D6733" s="12"/>
      <c r="E6733" s="11">
        <v>6781.0</v>
      </c>
      <c r="F6733" s="2"/>
    </row>
    <row r="6734" ht="1.5" customHeight="1">
      <c r="A6734" s="4" t="str">
        <f>IFERROR(__xludf.DUMMYFUNCTION("""COMPUTED_VALUE"""),"47. Nefarious")</f>
        <v>47. Nefarious</v>
      </c>
      <c r="B6734" s="4" t="str">
        <f>IFERROR(__xludf.DUMMYFUNCTION("""COMPUTED_VALUE"""),"47")</f>
        <v>47</v>
      </c>
      <c r="C6734" s="5" t="str">
        <f>IFERROR(__xludf.DUMMYFUNCTION("""COMPUTED_VALUE"""),"https://drive.google.com/file/d/1LO83RKW5s4c_EuSnJAREzgeIPvIwYw8I/view?usp=drivesdk")</f>
        <v>https://drive.google.com/file/d/1LO83RKW5s4c_EuSnJAREzgeIPvIwYw8I/view?usp=drivesdk</v>
      </c>
      <c r="D6734" s="12"/>
      <c r="E6734" s="11">
        <v>6782.0</v>
      </c>
      <c r="F6734" s="2"/>
    </row>
    <row r="6735" ht="1.5" customHeight="1">
      <c r="A6735" s="4" t="str">
        <f>IFERROR(__xludf.DUMMYFUNCTION("""COMPUTED_VALUE"""),"110. Ahua")</f>
        <v>110. Ahua</v>
      </c>
      <c r="B6735" s="4" t="str">
        <f>IFERROR(__xludf.DUMMYFUNCTION("""COMPUTED_VALUE"""),"110")</f>
        <v>110</v>
      </c>
      <c r="C6735" s="5" t="str">
        <f>IFERROR(__xludf.DUMMYFUNCTION("""COMPUTED_VALUE"""),"https://drive.google.com/file/d/1Zcu3ZZW2yDaxK7Q_1tJlOfxRztqHetX3/view?usp=drivesdk")</f>
        <v>https://drive.google.com/file/d/1Zcu3ZZW2yDaxK7Q_1tJlOfxRztqHetX3/view?usp=drivesdk</v>
      </c>
      <c r="D6735" s="12"/>
      <c r="E6735" s="11">
        <v>6783.0</v>
      </c>
      <c r="F6735" s="2"/>
    </row>
    <row r="6736" ht="1.5" customHeight="1">
      <c r="A6736" s="4" t="str">
        <f>IFERROR(__xludf.DUMMYFUNCTION("""COMPUTED_VALUE"""),"4. Eggs")</f>
        <v>4. Eggs</v>
      </c>
      <c r="B6736" s="4" t="str">
        <f>IFERROR(__xludf.DUMMYFUNCTION("""COMPUTED_VALUE"""),"4")</f>
        <v>4</v>
      </c>
      <c r="C6736" s="5" t="str">
        <f>IFERROR(__xludf.DUMMYFUNCTION("""COMPUTED_VALUE"""),"https://drive.google.com/file/d/13ybuUyPQSOFFHmQIjYec3Us9GbQWHnb9/view?usp=drivesdk")</f>
        <v>https://drive.google.com/file/d/13ybuUyPQSOFFHmQIjYec3Us9GbQWHnb9/view?usp=drivesdk</v>
      </c>
      <c r="D6736" s="12"/>
      <c r="E6736" s="11">
        <v>6784.0</v>
      </c>
      <c r="F6736" s="2"/>
    </row>
    <row r="6737" ht="1.5" customHeight="1">
      <c r="A6737" s="4" t="str">
        <f>IFERROR(__xludf.DUMMYFUNCTION("""COMPUTED_VALUE"""),"2. Twix")</f>
        <v>2. Twix</v>
      </c>
      <c r="B6737" s="4" t="str">
        <f>IFERROR(__xludf.DUMMYFUNCTION("""COMPUTED_VALUE"""),"2")</f>
        <v>2</v>
      </c>
      <c r="C6737" s="5" t="str">
        <f>IFERROR(__xludf.DUMMYFUNCTION("""COMPUTED_VALUE"""),"https://drive.google.com/file/d/1FyUFvRRkb36NCGGc3oe_vMfEceHLHBT_/view?usp=drivesdk")</f>
        <v>https://drive.google.com/file/d/1FyUFvRRkb36NCGGc3oe_vMfEceHLHBT_/view?usp=drivesdk</v>
      </c>
      <c r="D6737" s="12"/>
      <c r="E6737" s="11">
        <v>6785.0</v>
      </c>
      <c r="F6737" s="2"/>
    </row>
    <row r="6738" ht="1.5" customHeight="1">
      <c r="A6738" s="4" t="str">
        <f>IFERROR(__xludf.DUMMYFUNCTION("""COMPUTED_VALUE"""),"2. Twix")</f>
        <v>2. Twix</v>
      </c>
      <c r="B6738" s="4" t="str">
        <f>IFERROR(__xludf.DUMMYFUNCTION("""COMPUTED_VALUE"""),"2")</f>
        <v>2</v>
      </c>
      <c r="C6738" s="5" t="str">
        <f>IFERROR(__xludf.DUMMYFUNCTION("""COMPUTED_VALUE"""),"https://drive.google.com/file/d/1SuRsDqC9Qy0r4kbg6qGW-4z80O-7NWPD/view?usp=drivesdk")</f>
        <v>https://drive.google.com/file/d/1SuRsDqC9Qy0r4kbg6qGW-4z80O-7NWPD/view?usp=drivesdk</v>
      </c>
      <c r="D6738" s="12"/>
      <c r="E6738" s="11">
        <v>6786.0</v>
      </c>
      <c r="F6738" s="2"/>
    </row>
    <row r="6739" ht="1.5" customHeight="1">
      <c r="A6739" s="4" t="str">
        <f>IFERROR(__xludf.DUMMYFUNCTION("""COMPUTED_VALUE"""),"2. Twix")</f>
        <v>2. Twix</v>
      </c>
      <c r="B6739" s="4" t="str">
        <f>IFERROR(__xludf.DUMMYFUNCTION("""COMPUTED_VALUE"""),"2")</f>
        <v>2</v>
      </c>
      <c r="C6739" s="5" t="str">
        <f>IFERROR(__xludf.DUMMYFUNCTION("""COMPUTED_VALUE"""),"https://drive.google.com/file/d/1CDLMdlsE8ZEMdI-OCxIr_6kDnXhkC6sC/view?usp=drivesdk")</f>
        <v>https://drive.google.com/file/d/1CDLMdlsE8ZEMdI-OCxIr_6kDnXhkC6sC/view?usp=drivesdk</v>
      </c>
      <c r="D6739" s="12"/>
      <c r="E6739" s="11">
        <v>6787.0</v>
      </c>
      <c r="F6739" s="2"/>
    </row>
    <row r="6740" ht="1.5" customHeight="1">
      <c r="A6740" s="4" t="str">
        <f>IFERROR(__xludf.DUMMYFUNCTION("""COMPUTED_VALUE"""),"0. NotACat")</f>
        <v>0. NotACat</v>
      </c>
      <c r="B6740" s="4" t="str">
        <f>IFERROR(__xludf.DUMMYFUNCTION("""COMPUTED_VALUE"""),"0")</f>
        <v>0</v>
      </c>
      <c r="C6740" s="5" t="str">
        <f>IFERROR(__xludf.DUMMYFUNCTION("""COMPUTED_VALUE"""),"https://drive.google.com/file/d/19P_TolMySHWMbluegJ07B1U5ONwS25QY/view?usp=drivesdk")</f>
        <v>https://drive.google.com/file/d/19P_TolMySHWMbluegJ07B1U5ONwS25QY/view?usp=drivesdk</v>
      </c>
      <c r="D6740" s="12"/>
      <c r="E6740" s="11">
        <v>6788.0</v>
      </c>
      <c r="F6740" s="2"/>
    </row>
    <row r="6741" ht="1.5" customHeight="1">
      <c r="A6741" s="4" t="str">
        <f>IFERROR(__xludf.DUMMYFUNCTION("""COMPUTED_VALUE"""),"116. Itzel")</f>
        <v>116. Itzel</v>
      </c>
      <c r="B6741" s="4" t="str">
        <f>IFERROR(__xludf.DUMMYFUNCTION("""COMPUTED_VALUE"""),"116")</f>
        <v>116</v>
      </c>
      <c r="C6741" s="5" t="str">
        <f>IFERROR(__xludf.DUMMYFUNCTION("""COMPUTED_VALUE"""),"https://drive.google.com/file/d/1RU0qfNTO0-xKI-Jn-9Orp8iEBwhusDeN/view?usp=drivesdk")</f>
        <v>https://drive.google.com/file/d/1RU0qfNTO0-xKI-Jn-9Orp8iEBwhusDeN/view?usp=drivesdk</v>
      </c>
      <c r="D6741" s="12"/>
      <c r="E6741" s="11">
        <v>6789.0</v>
      </c>
      <c r="F6741" s="2"/>
    </row>
    <row r="6742" ht="1.5" customHeight="1">
      <c r="A6742" s="4" t="str">
        <f>IFERROR(__xludf.DUMMYFUNCTION("""COMPUTED_VALUE"""),"116. Itzel")</f>
        <v>116. Itzel</v>
      </c>
      <c r="B6742" s="4" t="str">
        <f>IFERROR(__xludf.DUMMYFUNCTION("""COMPUTED_VALUE"""),"116")</f>
        <v>116</v>
      </c>
      <c r="C6742" s="5" t="str">
        <f>IFERROR(__xludf.DUMMYFUNCTION("""COMPUTED_VALUE"""),"https://drive.google.com/file/d/1j-gi18uTlngGB1VnFCSOka-LTH8kXEbt/view?usp=drivesdk")</f>
        <v>https://drive.google.com/file/d/1j-gi18uTlngGB1VnFCSOka-LTH8kXEbt/view?usp=drivesdk</v>
      </c>
      <c r="D6742" s="12"/>
      <c r="E6742" s="11">
        <v>6790.0</v>
      </c>
      <c r="F6742" s="2"/>
    </row>
    <row r="6743" ht="1.5" customHeight="1">
      <c r="A6743" s="4" t="str">
        <f>IFERROR(__xludf.DUMMYFUNCTION("""COMPUTED_VALUE"""),"116. Itzel, 123. Temiquini")</f>
        <v>116. Itzel, 123. Temiquini</v>
      </c>
      <c r="B6743" s="4" t="str">
        <f>IFERROR(__xludf.DUMMYFUNCTION("""COMPUTED_VALUE"""),"116, 123")</f>
        <v>116, 123</v>
      </c>
      <c r="C6743" s="5" t="str">
        <f>IFERROR(__xludf.DUMMYFUNCTION("""COMPUTED_VALUE"""),"https://drive.google.com/file/d/1Z20ZnnbnlQIGbbe3aE9V3el51JMwrMNS/view?usp=drivesdk")</f>
        <v>https://drive.google.com/file/d/1Z20ZnnbnlQIGbbe3aE9V3el51JMwrMNS/view?usp=drivesdk</v>
      </c>
      <c r="D6743" s="12"/>
      <c r="E6743" s="11">
        <v>6791.0</v>
      </c>
      <c r="F6743" s="2"/>
    </row>
    <row r="6744" ht="1.5" customHeight="1">
      <c r="A6744" s="4" t="str">
        <f>IFERROR(__xludf.DUMMYFUNCTION("""COMPUTED_VALUE"""),"2. Twix")</f>
        <v>2. Twix</v>
      </c>
      <c r="B6744" s="4" t="str">
        <f>IFERROR(__xludf.DUMMYFUNCTION("""COMPUTED_VALUE"""),"2")</f>
        <v>2</v>
      </c>
      <c r="C6744" s="5" t="str">
        <f>IFERROR(__xludf.DUMMYFUNCTION("""COMPUTED_VALUE"""),"https://drive.google.com/file/d/12nWN-YN78qWndtA8Tobowk47PLRIS0DN/view?usp=drivesdk")</f>
        <v>https://drive.google.com/file/d/12nWN-YN78qWndtA8Tobowk47PLRIS0DN/view?usp=drivesdk</v>
      </c>
      <c r="D6744" s="12"/>
      <c r="E6744" s="11">
        <v>6792.0</v>
      </c>
      <c r="F6744" s="2"/>
    </row>
    <row r="6745" ht="1.5" customHeight="1">
      <c r="A6745" s="4" t="str">
        <f>IFERROR(__xludf.DUMMYFUNCTION("""COMPUTED_VALUE"""),"2. Twix")</f>
        <v>2. Twix</v>
      </c>
      <c r="B6745" s="4" t="str">
        <f>IFERROR(__xludf.DUMMYFUNCTION("""COMPUTED_VALUE"""),"2")</f>
        <v>2</v>
      </c>
      <c r="C6745" s="5" t="str">
        <f>IFERROR(__xludf.DUMMYFUNCTION("""COMPUTED_VALUE"""),"https://drive.google.com/file/d/1RYt_hN24BfhwITl2OaKFexbzpR2vzagz/view?usp=drivesdk")</f>
        <v>https://drive.google.com/file/d/1RYt_hN24BfhwITl2OaKFexbzpR2vzagz/view?usp=drivesdk</v>
      </c>
      <c r="D6745" s="12"/>
      <c r="E6745" s="11">
        <v>6793.0</v>
      </c>
      <c r="F6745" s="2"/>
    </row>
    <row r="6746" ht="1.5" customHeight="1">
      <c r="A6746" s="4" t="str">
        <f>IFERROR(__xludf.DUMMYFUNCTION("""COMPUTED_VALUE"""),"2. Twix")</f>
        <v>2. Twix</v>
      </c>
      <c r="B6746" s="4" t="str">
        <f>IFERROR(__xludf.DUMMYFUNCTION("""COMPUTED_VALUE"""),"2")</f>
        <v>2</v>
      </c>
      <c r="C6746" s="5" t="str">
        <f>IFERROR(__xludf.DUMMYFUNCTION("""COMPUTED_VALUE"""),"https://drive.google.com/file/d/1xsVU5R4-K44GJ2x6ZkmWhsa3w9bA9Jz_/view?usp=drivesdk")</f>
        <v>https://drive.google.com/file/d/1xsVU5R4-K44GJ2x6ZkmWhsa3w9bA9Jz_/view?usp=drivesdk</v>
      </c>
      <c r="D6746" s="12"/>
      <c r="E6746" s="11">
        <v>6794.0</v>
      </c>
      <c r="F6746" s="2"/>
    </row>
    <row r="6747" ht="1.5" customHeight="1">
      <c r="A6747" s="4" t="str">
        <f>IFERROR(__xludf.DUMMYFUNCTION("""COMPUTED_VALUE"""),"2. Twix")</f>
        <v>2. Twix</v>
      </c>
      <c r="B6747" s="4" t="str">
        <f>IFERROR(__xludf.DUMMYFUNCTION("""COMPUTED_VALUE"""),"2")</f>
        <v>2</v>
      </c>
      <c r="C6747" s="5" t="str">
        <f>IFERROR(__xludf.DUMMYFUNCTION("""COMPUTED_VALUE"""),"https://drive.google.com/file/d/1GeNbIraxDeZYjeUN1J0ehv5H7Ffy7KSD/view?usp=drivesdk")</f>
        <v>https://drive.google.com/file/d/1GeNbIraxDeZYjeUN1J0ehv5H7Ffy7KSD/view?usp=drivesdk</v>
      </c>
      <c r="D6747" s="12"/>
      <c r="E6747" s="11">
        <v>6795.0</v>
      </c>
      <c r="F6747" s="2"/>
    </row>
    <row r="6748" ht="1.5" customHeight="1">
      <c r="A6748" s="4" t="str">
        <f>IFERROR(__xludf.DUMMYFUNCTION("""COMPUTED_VALUE"""),"2. Twix")</f>
        <v>2. Twix</v>
      </c>
      <c r="B6748" s="4" t="str">
        <f>IFERROR(__xludf.DUMMYFUNCTION("""COMPUTED_VALUE"""),"2")</f>
        <v>2</v>
      </c>
      <c r="C6748" s="5" t="str">
        <f>IFERROR(__xludf.DUMMYFUNCTION("""COMPUTED_VALUE"""),"https://drive.google.com/file/d/1q9CbkiuIzzt7qmzQfExP8QOEHGD1sOKZ/view?usp=drivesdk")</f>
        <v>https://drive.google.com/file/d/1q9CbkiuIzzt7qmzQfExP8QOEHGD1sOKZ/view?usp=drivesdk</v>
      </c>
      <c r="D6748" s="12"/>
      <c r="E6748" s="11">
        <v>6796.0</v>
      </c>
      <c r="F6748" s="2"/>
    </row>
    <row r="6749" ht="1.5" customHeight="1">
      <c r="A6749" s="4" t="str">
        <f>IFERROR(__xludf.DUMMYFUNCTION("""COMPUTED_VALUE"""),"2. Twix")</f>
        <v>2. Twix</v>
      </c>
      <c r="B6749" s="4" t="str">
        <f>IFERROR(__xludf.DUMMYFUNCTION("""COMPUTED_VALUE"""),"2")</f>
        <v>2</v>
      </c>
      <c r="C6749" s="5" t="str">
        <f>IFERROR(__xludf.DUMMYFUNCTION("""COMPUTED_VALUE"""),"https://drive.google.com/file/d/1hJxuZtnr5skcuz0uQfmVaZO91FEV3Blb/view?usp=drivesdk")</f>
        <v>https://drive.google.com/file/d/1hJxuZtnr5skcuz0uQfmVaZO91FEV3Blb/view?usp=drivesdk</v>
      </c>
      <c r="D6749" s="12"/>
      <c r="E6749" s="11">
        <v>6797.0</v>
      </c>
      <c r="F6749" s="2"/>
    </row>
    <row r="6750" ht="1.5" customHeight="1">
      <c r="A6750" s="4" t="str">
        <f>IFERROR(__xludf.DUMMYFUNCTION("""COMPUTED_VALUE"""),"2. Twix")</f>
        <v>2. Twix</v>
      </c>
      <c r="B6750" s="4" t="str">
        <f>IFERROR(__xludf.DUMMYFUNCTION("""COMPUTED_VALUE"""),"2")</f>
        <v>2</v>
      </c>
      <c r="C6750" s="5" t="str">
        <f>IFERROR(__xludf.DUMMYFUNCTION("""COMPUTED_VALUE"""),"https://drive.google.com/file/d/1__C-g5cMJIWnoXL9zabrF9eKpWhhESiY/view?usp=drivesdk")</f>
        <v>https://drive.google.com/file/d/1__C-g5cMJIWnoXL9zabrF9eKpWhhESiY/view?usp=drivesdk</v>
      </c>
      <c r="D6750" s="12"/>
      <c r="E6750" s="11">
        <v>6798.0</v>
      </c>
      <c r="F6750" s="2"/>
    </row>
    <row r="6751" ht="1.5" customHeight="1">
      <c r="A6751" s="4" t="str">
        <f>IFERROR(__xludf.DUMMYFUNCTION("""COMPUTED_VALUE"""),"2. Twix")</f>
        <v>2. Twix</v>
      </c>
      <c r="B6751" s="4" t="str">
        <f>IFERROR(__xludf.DUMMYFUNCTION("""COMPUTED_VALUE"""),"2")</f>
        <v>2</v>
      </c>
      <c r="C6751" s="5" t="str">
        <f>IFERROR(__xludf.DUMMYFUNCTION("""COMPUTED_VALUE"""),"https://drive.google.com/file/d/1QlAXrru9FFAQg-LrgHfvjMmBGoL0WHuZ/view?usp=drivesdk")</f>
        <v>https://drive.google.com/file/d/1QlAXrru9FFAQg-LrgHfvjMmBGoL0WHuZ/view?usp=drivesdk</v>
      </c>
      <c r="D6751" s="12"/>
      <c r="E6751" s="11">
        <v>6799.0</v>
      </c>
      <c r="F6751" s="2"/>
    </row>
    <row r="6752" ht="1.5" customHeight="1">
      <c r="A6752" s="4" t="str">
        <f>IFERROR(__xludf.DUMMYFUNCTION("""COMPUTED_VALUE"""),"2. Twix")</f>
        <v>2. Twix</v>
      </c>
      <c r="B6752" s="4" t="str">
        <f>IFERROR(__xludf.DUMMYFUNCTION("""COMPUTED_VALUE"""),"2")</f>
        <v>2</v>
      </c>
      <c r="C6752" s="5" t="str">
        <f>IFERROR(__xludf.DUMMYFUNCTION("""COMPUTED_VALUE"""),"https://drive.google.com/file/d/1dKiBgHeSfAH18ajbQ-_xmMUyAiWXKFx3/view?usp=drivesdk")</f>
        <v>https://drive.google.com/file/d/1dKiBgHeSfAH18ajbQ-_xmMUyAiWXKFx3/view?usp=drivesdk</v>
      </c>
      <c r="D6752" s="12"/>
      <c r="E6752" s="11">
        <v>6800.0</v>
      </c>
      <c r="F6752" s="2"/>
    </row>
    <row r="6753" ht="1.5" customHeight="1">
      <c r="A6753" s="4" t="str">
        <f>IFERROR(__xludf.DUMMYFUNCTION("""COMPUTED_VALUE"""),"4. Eggs")</f>
        <v>4. Eggs</v>
      </c>
      <c r="B6753" s="4" t="str">
        <f>IFERROR(__xludf.DUMMYFUNCTION("""COMPUTED_VALUE"""),"4")</f>
        <v>4</v>
      </c>
      <c r="C6753" s="5" t="str">
        <f>IFERROR(__xludf.DUMMYFUNCTION("""COMPUTED_VALUE"""),"https://drive.google.com/file/d/1krSVwjhYscql2Vr4n3dWuEWcbPW5jpOR/view?usp=drivesdk")</f>
        <v>https://drive.google.com/file/d/1krSVwjhYscql2Vr4n3dWuEWcbPW5jpOR/view?usp=drivesdk</v>
      </c>
      <c r="D6753" s="12"/>
      <c r="E6753" s="11">
        <v>6801.0</v>
      </c>
      <c r="F6753" s="2"/>
    </row>
    <row r="6754" ht="1.5" customHeight="1">
      <c r="A6754" s="4" t="str">
        <f>IFERROR(__xludf.DUMMYFUNCTION("""COMPUTED_VALUE"""),"4. Eggs")</f>
        <v>4. Eggs</v>
      </c>
      <c r="B6754" s="4" t="str">
        <f>IFERROR(__xludf.DUMMYFUNCTION("""COMPUTED_VALUE"""),"4")</f>
        <v>4</v>
      </c>
      <c r="C6754" s="5" t="str">
        <f>IFERROR(__xludf.DUMMYFUNCTION("""COMPUTED_VALUE"""),"https://drive.google.com/file/d/1gZmUE-0ZbAKSJ_50_lykQt3C4bgoGiTk/view?usp=drivesdk")</f>
        <v>https://drive.google.com/file/d/1gZmUE-0ZbAKSJ_50_lykQt3C4bgoGiTk/view?usp=drivesdk</v>
      </c>
      <c r="D6754" s="12"/>
      <c r="E6754" s="11">
        <v>6802.0</v>
      </c>
      <c r="F6754" s="2"/>
    </row>
    <row r="6755" ht="1.5" customHeight="1">
      <c r="A6755" s="4" t="str">
        <f>IFERROR(__xludf.DUMMYFUNCTION("""COMPUTED_VALUE"""),"5. Eraser")</f>
        <v>5. Eraser</v>
      </c>
      <c r="B6755" s="4" t="str">
        <f>IFERROR(__xludf.DUMMYFUNCTION("""COMPUTED_VALUE"""),"5")</f>
        <v>5</v>
      </c>
      <c r="C6755" s="5" t="str">
        <f>IFERROR(__xludf.DUMMYFUNCTION("""COMPUTED_VALUE"""),"https://drive.google.com/file/d/1RG-6FCnFUINLS2KO16lk_x9Qu__8vvjz/view?usp=drivesdk")</f>
        <v>https://drive.google.com/file/d/1RG-6FCnFUINLS2KO16lk_x9Qu__8vvjz/view?usp=drivesdk</v>
      </c>
      <c r="D6755" s="12"/>
      <c r="E6755" s="11">
        <v>6803.0</v>
      </c>
      <c r="F6755" s="2"/>
    </row>
    <row r="6756" ht="1.5" customHeight="1">
      <c r="A6756" s="4" t="str">
        <f>IFERROR(__xludf.DUMMYFUNCTION("""COMPUTED_VALUE"""),"36. Scringle")</f>
        <v>36. Scringle</v>
      </c>
      <c r="B6756" s="4" t="str">
        <f>IFERROR(__xludf.DUMMYFUNCTION("""COMPUTED_VALUE"""),"36")</f>
        <v>36</v>
      </c>
      <c r="C6756" s="5" t="str">
        <f>IFERROR(__xludf.DUMMYFUNCTION("""COMPUTED_VALUE"""),"https://drive.google.com/file/d/16Wtyp73_9pAc0Rzxj2yRjQiXvC0BHjif/view?usp=drivesdk")</f>
        <v>https://drive.google.com/file/d/16Wtyp73_9pAc0Rzxj2yRjQiXvC0BHjif/view?usp=drivesdk</v>
      </c>
      <c r="D6756" s="12"/>
      <c r="E6756" s="11">
        <v>6804.0</v>
      </c>
      <c r="F6756" s="2"/>
    </row>
    <row r="6757" ht="1.5" customHeight="1">
      <c r="A6757" s="4" t="str">
        <f>IFERROR(__xludf.DUMMYFUNCTION("""COMPUTED_VALUE"""),"66. Toblerone")</f>
        <v>66. Toblerone</v>
      </c>
      <c r="B6757" s="4" t="str">
        <f>IFERROR(__xludf.DUMMYFUNCTION("""COMPUTED_VALUE"""),"66")</f>
        <v>66</v>
      </c>
      <c r="C6757" s="5" t="str">
        <f>IFERROR(__xludf.DUMMYFUNCTION("""COMPUTED_VALUE"""),"https://drive.google.com/file/d/15b67J9CJaPqJ_ko16jIA8qsabkA-Ua99/view?usp=drivesdk")</f>
        <v>https://drive.google.com/file/d/15b67J9CJaPqJ_ko16jIA8qsabkA-Ua99/view?usp=drivesdk</v>
      </c>
      <c r="D6757" s="12"/>
      <c r="E6757" s="11">
        <v>6805.0</v>
      </c>
      <c r="F6757" s="2"/>
    </row>
    <row r="6758" ht="1.5" customHeight="1">
      <c r="A6758" s="4" t="str">
        <f>IFERROR(__xludf.DUMMYFUNCTION("""COMPUTED_VALUE"""),"4. Eggs")</f>
        <v>4. Eggs</v>
      </c>
      <c r="B6758" s="4" t="str">
        <f>IFERROR(__xludf.DUMMYFUNCTION("""COMPUTED_VALUE"""),"4")</f>
        <v>4</v>
      </c>
      <c r="C6758" s="5" t="str">
        <f>IFERROR(__xludf.DUMMYFUNCTION("""COMPUTED_VALUE"""),"https://drive.google.com/file/d/1TIduPUaZV6rVet3l44jWGGaslqHiEw_K/view?usp=drivesdk")</f>
        <v>https://drive.google.com/file/d/1TIduPUaZV6rVet3l44jWGGaslqHiEw_K/view?usp=drivesdk</v>
      </c>
      <c r="D6758" s="12"/>
      <c r="E6758" s="11">
        <v>6806.0</v>
      </c>
      <c r="F6758" s="2"/>
    </row>
    <row r="6759" ht="1.5" customHeight="1">
      <c r="A6759" s="4" t="str">
        <f>IFERROR(__xludf.DUMMYFUNCTION("""COMPUTED_VALUE"""),"1. Microwave")</f>
        <v>1. Microwave</v>
      </c>
      <c r="B6759" s="4" t="str">
        <f>IFERROR(__xludf.DUMMYFUNCTION("""COMPUTED_VALUE"""),"1")</f>
        <v>1</v>
      </c>
      <c r="C6759" s="5" t="str">
        <f>IFERROR(__xludf.DUMMYFUNCTION("""COMPUTED_VALUE"""),"https://drive.google.com/file/d/1qX89RF12UGL0sUeZfux0nUmEjbx7LGOE/view?usp=drivesdk")</f>
        <v>https://drive.google.com/file/d/1qX89RF12UGL0sUeZfux0nUmEjbx7LGOE/view?usp=drivesdk</v>
      </c>
      <c r="D6759" s="12"/>
      <c r="E6759" s="11">
        <v>6807.0</v>
      </c>
      <c r="F6759" s="2"/>
    </row>
    <row r="6760" ht="1.5" customHeight="1">
      <c r="A6760" s="4" t="str">
        <f>IFERROR(__xludf.DUMMYFUNCTION("""COMPUTED_VALUE"""),"1. Microwave")</f>
        <v>1. Microwave</v>
      </c>
      <c r="B6760" s="4" t="str">
        <f>IFERROR(__xludf.DUMMYFUNCTION("""COMPUTED_VALUE"""),"1")</f>
        <v>1</v>
      </c>
      <c r="C6760" s="5" t="str">
        <f>IFERROR(__xludf.DUMMYFUNCTION("""COMPUTED_VALUE"""),"https://drive.google.com/file/d/190xyOuOlcrwYGwOiE612Z7FPqBOCHY6O/view?usp=drivesdk")</f>
        <v>https://drive.google.com/file/d/190xyOuOlcrwYGwOiE612Z7FPqBOCHY6O/view?usp=drivesdk</v>
      </c>
      <c r="D6760" s="12"/>
      <c r="E6760" s="11">
        <v>6808.0</v>
      </c>
      <c r="F6760" s="2"/>
    </row>
    <row r="6761" ht="1.5" customHeight="1">
      <c r="A6761" s="4" t="str">
        <f>IFERROR(__xludf.DUMMYFUNCTION("""COMPUTED_VALUE"""),"2. Twix")</f>
        <v>2. Twix</v>
      </c>
      <c r="B6761" s="4" t="str">
        <f>IFERROR(__xludf.DUMMYFUNCTION("""COMPUTED_VALUE"""),"2")</f>
        <v>2</v>
      </c>
      <c r="C6761" s="5" t="str">
        <f>IFERROR(__xludf.DUMMYFUNCTION("""COMPUTED_VALUE"""),"https://drive.google.com/file/d/1vLBm9iGQO6_Yhrp3cyZcUlO5kI0fQPww/view?usp=drivesdk")</f>
        <v>https://drive.google.com/file/d/1vLBm9iGQO6_Yhrp3cyZcUlO5kI0fQPww/view?usp=drivesdk</v>
      </c>
      <c r="D6761" s="12"/>
      <c r="E6761" s="11">
        <v>6809.0</v>
      </c>
      <c r="F6761" s="2"/>
    </row>
    <row r="6762" ht="1.5" customHeight="1">
      <c r="A6762" s="4" t="str">
        <f>IFERROR(__xludf.DUMMYFUNCTION("""COMPUTED_VALUE"""),"4. Eggs, 5. Eraser")</f>
        <v>4. Eggs, 5. Eraser</v>
      </c>
      <c r="B6762" s="4" t="str">
        <f>IFERROR(__xludf.DUMMYFUNCTION("""COMPUTED_VALUE"""),"4, 5")</f>
        <v>4, 5</v>
      </c>
      <c r="C6762" s="5" t="str">
        <f>IFERROR(__xludf.DUMMYFUNCTION("""COMPUTED_VALUE"""),"https://drive.google.com/file/d/1Qzt3rDkIkRXZZIHj-Aca1kYNhDACFx_w/view?usp=drivesdk")</f>
        <v>https://drive.google.com/file/d/1Qzt3rDkIkRXZZIHj-Aca1kYNhDACFx_w/view?usp=drivesdk</v>
      </c>
      <c r="D6762" s="12"/>
      <c r="E6762" s="11">
        <v>6810.0</v>
      </c>
      <c r="F6762" s="2"/>
    </row>
    <row r="6763" ht="1.5" customHeight="1">
      <c r="A6763" s="4" t="str">
        <f>IFERROR(__xludf.DUMMYFUNCTION("""COMPUTED_VALUE"""),"5. Eraser")</f>
        <v>5. Eraser</v>
      </c>
      <c r="B6763" s="4" t="str">
        <f>IFERROR(__xludf.DUMMYFUNCTION("""COMPUTED_VALUE"""),"5")</f>
        <v>5</v>
      </c>
      <c r="C6763" s="5" t="str">
        <f>IFERROR(__xludf.DUMMYFUNCTION("""COMPUTED_VALUE"""),"https://drive.google.com/file/d/1idC33nUVzr_KpFTGdJC3pRerDInzvgzf/view?usp=drivesdk")</f>
        <v>https://drive.google.com/file/d/1idC33nUVzr_KpFTGdJC3pRerDInzvgzf/view?usp=drivesdk</v>
      </c>
      <c r="D6763" s="12"/>
      <c r="E6763" s="11">
        <v>6811.0</v>
      </c>
      <c r="F6763" s="2"/>
    </row>
    <row r="6764" ht="1.5" customHeight="1">
      <c r="A6764" s="4" t="str">
        <f>IFERROR(__xludf.DUMMYFUNCTION("""COMPUTED_VALUE"""),"5. Eraser")</f>
        <v>5. Eraser</v>
      </c>
      <c r="B6764" s="4" t="str">
        <f>IFERROR(__xludf.DUMMYFUNCTION("""COMPUTED_VALUE"""),"5")</f>
        <v>5</v>
      </c>
      <c r="C6764" s="5" t="str">
        <f>IFERROR(__xludf.DUMMYFUNCTION("""COMPUTED_VALUE"""),"https://drive.google.com/file/d/1zxLsy1CTY6bEkBnUsOJCjkZYv-BGmGEr/view?usp=drivesdk")</f>
        <v>https://drive.google.com/file/d/1zxLsy1CTY6bEkBnUsOJCjkZYv-BGmGEr/view?usp=drivesdk</v>
      </c>
      <c r="D6764" s="12"/>
      <c r="E6764" s="11">
        <v>6812.0</v>
      </c>
      <c r="F6764" s="2"/>
    </row>
    <row r="6765" ht="1.5" customHeight="1">
      <c r="A6765" s="4" t="str">
        <f>IFERROR(__xludf.DUMMYFUNCTION("""COMPUTED_VALUE"""),"4. Eggs")</f>
        <v>4. Eggs</v>
      </c>
      <c r="B6765" s="4" t="str">
        <f>IFERROR(__xludf.DUMMYFUNCTION("""COMPUTED_VALUE"""),"4")</f>
        <v>4</v>
      </c>
      <c r="C6765" s="5" t="str">
        <f>IFERROR(__xludf.DUMMYFUNCTION("""COMPUTED_VALUE"""),"https://drive.google.com/file/d/1fqSvnskGlkj_1_EHEH6GA8jj5ww4Q9d1/view?usp=drivesdk")</f>
        <v>https://drive.google.com/file/d/1fqSvnskGlkj_1_EHEH6GA8jj5ww4Q9d1/view?usp=drivesdk</v>
      </c>
      <c r="D6765" s="12"/>
      <c r="E6765" s="11">
        <v>6813.0</v>
      </c>
      <c r="F6765" s="2"/>
    </row>
    <row r="6766" ht="1.5" customHeight="1">
      <c r="A6766" s="4" t="str">
        <f>IFERROR(__xludf.DUMMYFUNCTION("""COMPUTED_VALUE"""),"1. Microwave")</f>
        <v>1. Microwave</v>
      </c>
      <c r="B6766" s="4" t="str">
        <f>IFERROR(__xludf.DUMMYFUNCTION("""COMPUTED_VALUE"""),"1")</f>
        <v>1</v>
      </c>
      <c r="C6766" s="5" t="str">
        <f>IFERROR(__xludf.DUMMYFUNCTION("""COMPUTED_VALUE"""),"https://drive.google.com/file/d/1E9zRwUbBlTwRQSACdb72CAX8olxfUXCI/view?usp=drivesdk")</f>
        <v>https://drive.google.com/file/d/1E9zRwUbBlTwRQSACdb72CAX8olxfUXCI/view?usp=drivesdk</v>
      </c>
      <c r="D6766" s="12"/>
      <c r="E6766" s="11">
        <v>6814.0</v>
      </c>
      <c r="F6766" s="2"/>
    </row>
    <row r="6767" ht="1.5" customHeight="1">
      <c r="A6767" s="4" t="str">
        <f>IFERROR(__xludf.DUMMYFUNCTION("""COMPUTED_VALUE"""),"1. Microwave")</f>
        <v>1. Microwave</v>
      </c>
      <c r="B6767" s="4" t="str">
        <f>IFERROR(__xludf.DUMMYFUNCTION("""COMPUTED_VALUE"""),"1")</f>
        <v>1</v>
      </c>
      <c r="C6767" s="5" t="str">
        <f>IFERROR(__xludf.DUMMYFUNCTION("""COMPUTED_VALUE"""),"https://drive.google.com/file/d/1FHmfXurU6RQKBuNohFQqgU-DIzSdYnBK/view?usp=drivesdk")</f>
        <v>https://drive.google.com/file/d/1FHmfXurU6RQKBuNohFQqgU-DIzSdYnBK/view?usp=drivesdk</v>
      </c>
      <c r="D6767" s="12"/>
      <c r="E6767" s="11">
        <v>6815.0</v>
      </c>
      <c r="F6767" s="2"/>
    </row>
    <row r="6768" ht="1.5" customHeight="1">
      <c r="A6768" s="4" t="str">
        <f>IFERROR(__xludf.DUMMYFUNCTION("""COMPUTED_VALUE"""),"1. Microwave")</f>
        <v>1. Microwave</v>
      </c>
      <c r="B6768" s="4" t="str">
        <f>IFERROR(__xludf.DUMMYFUNCTION("""COMPUTED_VALUE"""),"1")</f>
        <v>1</v>
      </c>
      <c r="C6768" s="5" t="str">
        <f>IFERROR(__xludf.DUMMYFUNCTION("""COMPUTED_VALUE"""),"https://drive.google.com/file/d/1t0vOabnoQdWolBXgW8MUYSTc1FAfS74x/view?usp=drivesdk")</f>
        <v>https://drive.google.com/file/d/1t0vOabnoQdWolBXgW8MUYSTc1FAfS74x/view?usp=drivesdk</v>
      </c>
      <c r="D6768" s="12"/>
      <c r="E6768" s="11">
        <v>6816.0</v>
      </c>
      <c r="F6768" s="2"/>
    </row>
    <row r="6769" ht="1.5" customHeight="1">
      <c r="A6769" s="4" t="str">
        <f>IFERROR(__xludf.DUMMYFUNCTION("""COMPUTED_VALUE"""),"1. Microwave")</f>
        <v>1. Microwave</v>
      </c>
      <c r="B6769" s="4" t="str">
        <f>IFERROR(__xludf.DUMMYFUNCTION("""COMPUTED_VALUE"""),"1")</f>
        <v>1</v>
      </c>
      <c r="C6769" s="5" t="str">
        <f>IFERROR(__xludf.DUMMYFUNCTION("""COMPUTED_VALUE"""),"https://drive.google.com/file/d/1EoyPbF0nDR-G36Ziye9adI99uzORwB8w/view?usp=drivesdk")</f>
        <v>https://drive.google.com/file/d/1EoyPbF0nDR-G36Ziye9adI99uzORwB8w/view?usp=drivesdk</v>
      </c>
      <c r="D6769" s="12"/>
      <c r="E6769" s="11">
        <v>6817.0</v>
      </c>
      <c r="F6769" s="2"/>
    </row>
    <row r="6770" ht="1.5" customHeight="1">
      <c r="A6770" s="4" t="str">
        <f>IFERROR(__xludf.DUMMYFUNCTION("""COMPUTED_VALUE"""),"1. Microwave")</f>
        <v>1. Microwave</v>
      </c>
      <c r="B6770" s="4" t="str">
        <f>IFERROR(__xludf.DUMMYFUNCTION("""COMPUTED_VALUE"""),"1")</f>
        <v>1</v>
      </c>
      <c r="C6770" s="5" t="str">
        <f>IFERROR(__xludf.DUMMYFUNCTION("""COMPUTED_VALUE"""),"https://drive.google.com/file/d/1k06CnzFsTPC86S3Bu3UKufGfd4jOoekw/view?usp=drivesdk")</f>
        <v>https://drive.google.com/file/d/1k06CnzFsTPC86S3Bu3UKufGfd4jOoekw/view?usp=drivesdk</v>
      </c>
      <c r="D6770" s="12"/>
      <c r="E6770" s="11">
        <v>6818.0</v>
      </c>
      <c r="F6770" s="2"/>
    </row>
    <row r="6771" ht="1.5" customHeight="1">
      <c r="A6771" s="4" t="str">
        <f>IFERROR(__xludf.DUMMYFUNCTION("""COMPUTED_VALUE"""),"1. Microwave")</f>
        <v>1. Microwave</v>
      </c>
      <c r="B6771" s="4" t="str">
        <f>IFERROR(__xludf.DUMMYFUNCTION("""COMPUTED_VALUE"""),"1")</f>
        <v>1</v>
      </c>
      <c r="C6771" s="5" t="str">
        <f>IFERROR(__xludf.DUMMYFUNCTION("""COMPUTED_VALUE"""),"https://drive.google.com/file/d/1D9sMD-8-qAWU1GTK7VoUVv-ZKe8Bl35l/view?usp=drivesdk")</f>
        <v>https://drive.google.com/file/d/1D9sMD-8-qAWU1GTK7VoUVv-ZKe8Bl35l/view?usp=drivesdk</v>
      </c>
      <c r="D6771" s="12"/>
      <c r="E6771" s="11">
        <v>6819.0</v>
      </c>
      <c r="F6771" s="2"/>
    </row>
    <row r="6772" ht="1.5" customHeight="1">
      <c r="A6772" s="4" t="str">
        <f>IFERROR(__xludf.DUMMYFUNCTION("""COMPUTED_VALUE"""),"6. Snickers")</f>
        <v>6. Snickers</v>
      </c>
      <c r="B6772" s="4" t="str">
        <f>IFERROR(__xludf.DUMMYFUNCTION("""COMPUTED_VALUE"""),"6")</f>
        <v>6</v>
      </c>
      <c r="C6772" s="5" t="str">
        <f>IFERROR(__xludf.DUMMYFUNCTION("""COMPUTED_VALUE"""),"https://drive.google.com/file/d/10k0NCAvLqSkwbW_2B-CwPPTj7cDzoEnR/view?usp=drivesdk")</f>
        <v>https://drive.google.com/file/d/10k0NCAvLqSkwbW_2B-CwPPTj7cDzoEnR/view?usp=drivesdk</v>
      </c>
      <c r="D6772" s="12"/>
      <c r="E6772" s="11">
        <v>6820.0</v>
      </c>
      <c r="F6772" s="2"/>
    </row>
    <row r="6773" ht="1.5" customHeight="1">
      <c r="A6773" s="4" t="str">
        <f>IFERROR(__xludf.DUMMYFUNCTION("""COMPUTED_VALUE"""),"6. Snickers")</f>
        <v>6. Snickers</v>
      </c>
      <c r="B6773" s="4" t="str">
        <f>IFERROR(__xludf.DUMMYFUNCTION("""COMPUTED_VALUE"""),"6")</f>
        <v>6</v>
      </c>
      <c r="C6773" s="5" t="str">
        <f>IFERROR(__xludf.DUMMYFUNCTION("""COMPUTED_VALUE"""),"https://drive.google.com/file/d/14_ZeeRKrY5kKYeY3Q-8SicaIZ5GHcZaU/view?usp=drivesdk")</f>
        <v>https://drive.google.com/file/d/14_ZeeRKrY5kKYeY3Q-8SicaIZ5GHcZaU/view?usp=drivesdk</v>
      </c>
      <c r="D6773" s="12"/>
      <c r="E6773" s="11">
        <v>6821.0</v>
      </c>
      <c r="F6773" s="2"/>
    </row>
    <row r="6774" ht="1.5" customHeight="1">
      <c r="A6774" s="4" t="str">
        <f>IFERROR(__xludf.DUMMYFUNCTION("""COMPUTED_VALUE"""),"6. Snickers")</f>
        <v>6. Snickers</v>
      </c>
      <c r="B6774" s="4" t="str">
        <f>IFERROR(__xludf.DUMMYFUNCTION("""COMPUTED_VALUE"""),"6")</f>
        <v>6</v>
      </c>
      <c r="C6774" s="5" t="str">
        <f>IFERROR(__xludf.DUMMYFUNCTION("""COMPUTED_VALUE"""),"https://drive.google.com/file/d/15VamrsqF71uRwp_aLCVc5eMn-xDp-JLC/view?usp=drivesdk")</f>
        <v>https://drive.google.com/file/d/15VamrsqF71uRwp_aLCVc5eMn-xDp-JLC/view?usp=drivesdk</v>
      </c>
      <c r="D6774" s="12"/>
      <c r="E6774" s="11">
        <v>6822.0</v>
      </c>
      <c r="F6774" s="2"/>
    </row>
    <row r="6775" ht="1.5" customHeight="1">
      <c r="A6775" s="4" t="str">
        <f>IFERROR(__xludf.DUMMYFUNCTION("""COMPUTED_VALUE"""),"6. Snickers")</f>
        <v>6. Snickers</v>
      </c>
      <c r="B6775" s="4" t="str">
        <f>IFERROR(__xludf.DUMMYFUNCTION("""COMPUTED_VALUE"""),"6")</f>
        <v>6</v>
      </c>
      <c r="C6775" s="5" t="str">
        <f>IFERROR(__xludf.DUMMYFUNCTION("""COMPUTED_VALUE"""),"https://drive.google.com/file/d/1rPJjfSBfEWN_JztuEh9947DfTfDQEgnb/view?usp=drivesdk")</f>
        <v>https://drive.google.com/file/d/1rPJjfSBfEWN_JztuEh9947DfTfDQEgnb/view?usp=drivesdk</v>
      </c>
      <c r="D6775" s="12"/>
      <c r="E6775" s="11">
        <v>6823.0</v>
      </c>
      <c r="F6775" s="2"/>
    </row>
    <row r="6776" ht="1.5" customHeight="1">
      <c r="A6776" s="4" t="str">
        <f>IFERROR(__xludf.DUMMYFUNCTION("""COMPUTED_VALUE"""),"6. Snickers")</f>
        <v>6. Snickers</v>
      </c>
      <c r="B6776" s="4" t="str">
        <f>IFERROR(__xludf.DUMMYFUNCTION("""COMPUTED_VALUE"""),"6")</f>
        <v>6</v>
      </c>
      <c r="C6776" s="5" t="str">
        <f>IFERROR(__xludf.DUMMYFUNCTION("""COMPUTED_VALUE"""),"https://drive.google.com/file/d/1oT20RC0Q13Hq-Phjz0SdFxmhRnq20HFq/view?usp=drivesdk")</f>
        <v>https://drive.google.com/file/d/1oT20RC0Q13Hq-Phjz0SdFxmhRnq20HFq/view?usp=drivesdk</v>
      </c>
      <c r="D6776" s="12"/>
      <c r="E6776" s="11">
        <v>6824.0</v>
      </c>
      <c r="F6776" s="2"/>
    </row>
    <row r="6777" ht="1.5" customHeight="1">
      <c r="A6777" s="4" t="str">
        <f>IFERROR(__xludf.DUMMYFUNCTION("""COMPUTED_VALUE"""),"47. Nefarious")</f>
        <v>47. Nefarious</v>
      </c>
      <c r="B6777" s="4" t="str">
        <f>IFERROR(__xludf.DUMMYFUNCTION("""COMPUTED_VALUE"""),"47")</f>
        <v>47</v>
      </c>
      <c r="C6777" s="5" t="str">
        <f>IFERROR(__xludf.DUMMYFUNCTION("""COMPUTED_VALUE"""),"https://drive.google.com/file/d/19k6LMsAsrImDJlxUq_dzkaC9WsJjd6de/view?usp=drivesdk")</f>
        <v>https://drive.google.com/file/d/19k6LMsAsrImDJlxUq_dzkaC9WsJjd6de/view?usp=drivesdk</v>
      </c>
      <c r="D6777" s="12"/>
      <c r="E6777" s="11">
        <v>6825.0</v>
      </c>
      <c r="F6777" s="2"/>
    </row>
    <row r="6778" ht="1.5" customHeight="1">
      <c r="A6778" s="4" t="str">
        <f>IFERROR(__xludf.DUMMYFUNCTION("""COMPUTED_VALUE"""),"102. Keaton, 44. Shitbag Cuntface")</f>
        <v>102. Keaton, 44. Shitbag Cuntface</v>
      </c>
      <c r="B6778" s="4" t="str">
        <f>IFERROR(__xludf.DUMMYFUNCTION("""COMPUTED_VALUE"""),"102, 44")</f>
        <v>102, 44</v>
      </c>
      <c r="C6778" s="5" t="str">
        <f>IFERROR(__xludf.DUMMYFUNCTION("""COMPUTED_VALUE"""),"https://drive.google.com/file/d/1lT5l3RTuWc15mbgmaA1lFfd74V7A2tr0/view?usp=drivesdk")</f>
        <v>https://drive.google.com/file/d/1lT5l3RTuWc15mbgmaA1lFfd74V7A2tr0/view?usp=drivesdk</v>
      </c>
      <c r="D6778" s="12"/>
      <c r="E6778" s="11">
        <v>6826.0</v>
      </c>
      <c r="F6778" s="2"/>
    </row>
    <row r="6779" ht="1.5" customHeight="1">
      <c r="A6779" s="4" t="str">
        <f>IFERROR(__xludf.DUMMYFUNCTION("""COMPUTED_VALUE"""),"102. Keaton, 44. Shitbag Cuntface")</f>
        <v>102. Keaton, 44. Shitbag Cuntface</v>
      </c>
      <c r="B6779" s="4" t="str">
        <f>IFERROR(__xludf.DUMMYFUNCTION("""COMPUTED_VALUE"""),"102, 44")</f>
        <v>102, 44</v>
      </c>
      <c r="C6779" s="5" t="str">
        <f>IFERROR(__xludf.DUMMYFUNCTION("""COMPUTED_VALUE"""),"https://drive.google.com/file/d/1__azyx13DnHY94S1Ly4Ufta1LKEx4xJh/view?usp=drivesdk")</f>
        <v>https://drive.google.com/file/d/1__azyx13DnHY94S1Ly4Ufta1LKEx4xJh/view?usp=drivesdk</v>
      </c>
      <c r="D6779" s="12"/>
      <c r="E6779" s="11">
        <v>6827.0</v>
      </c>
      <c r="F6779" s="2"/>
    </row>
    <row r="6780" ht="1.5" customHeight="1">
      <c r="A6780" s="4" t="str">
        <f>IFERROR(__xludf.DUMMYFUNCTION("""COMPUTED_VALUE"""),"102. Keaton, 44. Shitbag Cuntface")</f>
        <v>102. Keaton, 44. Shitbag Cuntface</v>
      </c>
      <c r="B6780" s="4" t="str">
        <f>IFERROR(__xludf.DUMMYFUNCTION("""COMPUTED_VALUE"""),"102, 44")</f>
        <v>102, 44</v>
      </c>
      <c r="C6780" s="5" t="str">
        <f>IFERROR(__xludf.DUMMYFUNCTION("""COMPUTED_VALUE"""),"https://drive.google.com/file/d/1IBd3ey49RM3oIfcDu9svW8Qu8Jez6fMe/view?usp=drivesdk")</f>
        <v>https://drive.google.com/file/d/1IBd3ey49RM3oIfcDu9svW8Qu8Jez6fMe/view?usp=drivesdk</v>
      </c>
      <c r="D6780" s="12"/>
      <c r="E6780" s="11">
        <v>6828.0</v>
      </c>
      <c r="F6780" s="2"/>
    </row>
    <row r="6781" ht="1.5" customHeight="1">
      <c r="A6781" s="4" t="str">
        <f>IFERROR(__xludf.DUMMYFUNCTION("""COMPUTED_VALUE"""),"102. Keaton, 44. Shitbag Cuntface")</f>
        <v>102. Keaton, 44. Shitbag Cuntface</v>
      </c>
      <c r="B6781" s="4" t="str">
        <f>IFERROR(__xludf.DUMMYFUNCTION("""COMPUTED_VALUE"""),"102, 44")</f>
        <v>102, 44</v>
      </c>
      <c r="C6781" s="5" t="str">
        <f>IFERROR(__xludf.DUMMYFUNCTION("""COMPUTED_VALUE"""),"https://drive.google.com/file/d/1fK5hk806gHKmTe_wCNF1VLX6NPKn8PPP/view?usp=drivesdk")</f>
        <v>https://drive.google.com/file/d/1fK5hk806gHKmTe_wCNF1VLX6NPKn8PPP/view?usp=drivesdk</v>
      </c>
      <c r="D6781" s="12"/>
      <c r="E6781" s="11">
        <v>6829.0</v>
      </c>
      <c r="F6781" s="2"/>
    </row>
    <row r="6782" ht="1.5" customHeight="1">
      <c r="A6782" s="4" t="str">
        <f>IFERROR(__xludf.DUMMYFUNCTION("""COMPUTED_VALUE"""),"103. Bea")</f>
        <v>103. Bea</v>
      </c>
      <c r="B6782" s="4" t="str">
        <f>IFERROR(__xludf.DUMMYFUNCTION("""COMPUTED_VALUE"""),"103")</f>
        <v>103</v>
      </c>
      <c r="C6782" s="5" t="str">
        <f>IFERROR(__xludf.DUMMYFUNCTION("""COMPUTED_VALUE"""),"https://drive.google.com/file/d/1FwynLgbnKTIWe7iIH5K-0udXB_TLbMfQ/view?usp=drivesdk")</f>
        <v>https://drive.google.com/file/d/1FwynLgbnKTIWe7iIH5K-0udXB_TLbMfQ/view?usp=drivesdk</v>
      </c>
      <c r="D6782" s="12"/>
      <c r="E6782" s="11">
        <v>6830.0</v>
      </c>
      <c r="F6782" s="2"/>
    </row>
    <row r="6783" ht="1.5" customHeight="1">
      <c r="A6783" s="4" t="str">
        <f>IFERROR(__xludf.DUMMYFUNCTION("""COMPUTED_VALUE"""),"103. Bea")</f>
        <v>103. Bea</v>
      </c>
      <c r="B6783" s="4" t="str">
        <f>IFERROR(__xludf.DUMMYFUNCTION("""COMPUTED_VALUE"""),"103")</f>
        <v>103</v>
      </c>
      <c r="C6783" s="5" t="str">
        <f>IFERROR(__xludf.DUMMYFUNCTION("""COMPUTED_VALUE"""),"https://drive.google.com/file/d/1aMSkS2Nl1SIb9jBbEhTrj2ztfTmk-Snm/view?usp=drivesdk")</f>
        <v>https://drive.google.com/file/d/1aMSkS2Nl1SIb9jBbEhTrj2ztfTmk-Snm/view?usp=drivesdk</v>
      </c>
      <c r="D6783" s="12"/>
      <c r="E6783" s="11">
        <v>6831.0</v>
      </c>
      <c r="F6783" s="2"/>
    </row>
    <row r="6784" ht="1.5" customHeight="1">
      <c r="A6784" s="4" t="str">
        <f>IFERROR(__xludf.DUMMYFUNCTION("""COMPUTED_VALUE"""),"47. Nefarious")</f>
        <v>47. Nefarious</v>
      </c>
      <c r="B6784" s="4" t="str">
        <f>IFERROR(__xludf.DUMMYFUNCTION("""COMPUTED_VALUE"""),"47")</f>
        <v>47</v>
      </c>
      <c r="C6784" s="5" t="str">
        <f>IFERROR(__xludf.DUMMYFUNCTION("""COMPUTED_VALUE"""),"https://drive.google.com/file/d/1r5SOxnkHirn5iqz-OBtZCl-s9dbCXpvJ/view?usp=drivesdk")</f>
        <v>https://drive.google.com/file/d/1r5SOxnkHirn5iqz-OBtZCl-s9dbCXpvJ/view?usp=drivesdk</v>
      </c>
      <c r="D6784" s="12"/>
      <c r="E6784" s="11">
        <v>6832.0</v>
      </c>
      <c r="F6784" s="2"/>
    </row>
    <row r="6785" ht="1.5" customHeight="1">
      <c r="A6785" s="4" t="str">
        <f>IFERROR(__xludf.DUMMYFUNCTION("""COMPUTED_VALUE"""),"47. Nefarious")</f>
        <v>47. Nefarious</v>
      </c>
      <c r="B6785" s="4" t="str">
        <f>IFERROR(__xludf.DUMMYFUNCTION("""COMPUTED_VALUE"""),"47")</f>
        <v>47</v>
      </c>
      <c r="C6785" s="5" t="str">
        <f>IFERROR(__xludf.DUMMYFUNCTION("""COMPUTED_VALUE"""),"https://drive.google.com/file/d/1ThOCNCG5lpwSTxMWvVvhnWhk0svX5t7B/view?usp=drivesdk")</f>
        <v>https://drive.google.com/file/d/1ThOCNCG5lpwSTxMWvVvhnWhk0svX5t7B/view?usp=drivesdk</v>
      </c>
      <c r="D6785" s="12"/>
      <c r="E6785" s="11">
        <v>6833.0</v>
      </c>
      <c r="F6785" s="2"/>
    </row>
    <row r="6786" ht="1.5" customHeight="1">
      <c r="A6786" s="4" t="str">
        <f>IFERROR(__xludf.DUMMYFUNCTION("""COMPUTED_VALUE"""),"47. Nefarious")</f>
        <v>47. Nefarious</v>
      </c>
      <c r="B6786" s="4" t="str">
        <f>IFERROR(__xludf.DUMMYFUNCTION("""COMPUTED_VALUE"""),"47")</f>
        <v>47</v>
      </c>
      <c r="C6786" s="5" t="str">
        <f>IFERROR(__xludf.DUMMYFUNCTION("""COMPUTED_VALUE"""),"https://drive.google.com/file/d/1suw1t7zmnJRUlqb00O8wciHaFGOhi7BK/view?usp=drivesdk")</f>
        <v>https://drive.google.com/file/d/1suw1t7zmnJRUlqb00O8wciHaFGOhi7BK/view?usp=drivesdk</v>
      </c>
      <c r="D6786" s="12"/>
      <c r="E6786" s="11">
        <v>6834.0</v>
      </c>
      <c r="F6786" s="2"/>
    </row>
    <row r="6787" ht="1.5" customHeight="1">
      <c r="A6787" s="4" t="str">
        <f>IFERROR(__xludf.DUMMYFUNCTION("""COMPUTED_VALUE"""),"6. Snickers")</f>
        <v>6. Snickers</v>
      </c>
      <c r="B6787" s="4" t="str">
        <f>IFERROR(__xludf.DUMMYFUNCTION("""COMPUTED_VALUE"""),"6")</f>
        <v>6</v>
      </c>
      <c r="C6787" s="5" t="str">
        <f>IFERROR(__xludf.DUMMYFUNCTION("""COMPUTED_VALUE"""),"https://drive.google.com/file/d/16Q2PsNQWmpmp0BW6s490305Z7Cnj2T9p/view?usp=drivesdk")</f>
        <v>https://drive.google.com/file/d/16Q2PsNQWmpmp0BW6s490305Z7Cnj2T9p/view?usp=drivesdk</v>
      </c>
      <c r="D6787" s="12"/>
      <c r="E6787" s="11">
        <v>6835.0</v>
      </c>
      <c r="F6787" s="2"/>
    </row>
    <row r="6788" ht="1.5" customHeight="1">
      <c r="A6788" s="4" t="str">
        <f>IFERROR(__xludf.DUMMYFUNCTION("""COMPUTED_VALUE"""),"21. Paquini")</f>
        <v>21. Paquini</v>
      </c>
      <c r="B6788" s="4" t="str">
        <f>IFERROR(__xludf.DUMMYFUNCTION("""COMPUTED_VALUE"""),"21")</f>
        <v>21</v>
      </c>
      <c r="C6788" s="5" t="str">
        <f>IFERROR(__xludf.DUMMYFUNCTION("""COMPUTED_VALUE"""),"https://drive.google.com/file/d/1i-7ILgpdBs59sNwadHK9aTPUlih7N4sz/view?usp=drivesdk")</f>
        <v>https://drive.google.com/file/d/1i-7ILgpdBs59sNwadHK9aTPUlih7N4sz/view?usp=drivesdk</v>
      </c>
      <c r="D6788" s="12"/>
      <c r="E6788" s="11">
        <v>6836.0</v>
      </c>
      <c r="F6788" s="2"/>
    </row>
    <row r="6789" ht="1.5" customHeight="1">
      <c r="A6789" s="4" t="str">
        <f>IFERROR(__xludf.DUMMYFUNCTION("""COMPUTED_VALUE"""),"21. Paquini")</f>
        <v>21. Paquini</v>
      </c>
      <c r="B6789" s="4" t="str">
        <f>IFERROR(__xludf.DUMMYFUNCTION("""COMPUTED_VALUE"""),"21")</f>
        <v>21</v>
      </c>
      <c r="C6789" s="5" t="str">
        <f>IFERROR(__xludf.DUMMYFUNCTION("""COMPUTED_VALUE"""),"https://drive.google.com/file/d/1zMDPpW5kHLuwpBNbX_M8KFoZDkl9qKF7/view?usp=drivesdk")</f>
        <v>https://drive.google.com/file/d/1zMDPpW5kHLuwpBNbX_M8KFoZDkl9qKF7/view?usp=drivesdk</v>
      </c>
      <c r="D6789" s="12"/>
      <c r="E6789" s="11">
        <v>6837.0</v>
      </c>
      <c r="F6789" s="2"/>
    </row>
    <row r="6790" ht="1.5" customHeight="1">
      <c r="A6790" s="4" t="str">
        <f>IFERROR(__xludf.DUMMYFUNCTION("""COMPUTED_VALUE"""),"100. Coatl, 105. Chilton")</f>
        <v>100. Coatl, 105. Chilton</v>
      </c>
      <c r="B6790" s="4" t="str">
        <f>IFERROR(__xludf.DUMMYFUNCTION("""COMPUTED_VALUE"""),"100, 105")</f>
        <v>100, 105</v>
      </c>
      <c r="C6790" s="5" t="str">
        <f>IFERROR(__xludf.DUMMYFUNCTION("""COMPUTED_VALUE"""),"https://drive.google.com/file/d/17P2a8RLPr837E2Wg52qnrn2kkguW8Wjh/view?usp=drivesdk")</f>
        <v>https://drive.google.com/file/d/17P2a8RLPr837E2Wg52qnrn2kkguW8Wjh/view?usp=drivesdk</v>
      </c>
      <c r="D6790" s="12"/>
      <c r="E6790" s="11">
        <v>6838.0</v>
      </c>
      <c r="F6790" s="2"/>
    </row>
    <row r="6791" ht="1.5" customHeight="1">
      <c r="A6791" s="4" t="str">
        <f>IFERROR(__xludf.DUMMYFUNCTION("""COMPUTED_VALUE"""),"100. Coatl, 105. Chilton")</f>
        <v>100. Coatl, 105. Chilton</v>
      </c>
      <c r="B6791" s="4" t="str">
        <f>IFERROR(__xludf.DUMMYFUNCTION("""COMPUTED_VALUE"""),"100, 105")</f>
        <v>100, 105</v>
      </c>
      <c r="C6791" s="5" t="str">
        <f>IFERROR(__xludf.DUMMYFUNCTION("""COMPUTED_VALUE"""),"https://drive.google.com/file/d/1C0KMhCB8rp1D99X6GuAn3NDYfXlKZL0_/view?usp=drivesdk")</f>
        <v>https://drive.google.com/file/d/1C0KMhCB8rp1D99X6GuAn3NDYfXlKZL0_/view?usp=drivesdk</v>
      </c>
      <c r="D6791" s="12"/>
      <c r="E6791" s="11">
        <v>6839.0</v>
      </c>
      <c r="F6791" s="2"/>
    </row>
    <row r="6792" ht="1.5" customHeight="1">
      <c r="A6792" s="4" t="str">
        <f>IFERROR(__xludf.DUMMYFUNCTION("""COMPUTED_VALUE"""),"100. Coatl, 105. Chilton")</f>
        <v>100. Coatl, 105. Chilton</v>
      </c>
      <c r="B6792" s="4" t="str">
        <f>IFERROR(__xludf.DUMMYFUNCTION("""COMPUTED_VALUE"""),"100, 105")</f>
        <v>100, 105</v>
      </c>
      <c r="C6792" s="5" t="str">
        <f>IFERROR(__xludf.DUMMYFUNCTION("""COMPUTED_VALUE"""),"https://drive.google.com/file/d/1wNt-_2UxGGn1WIU1mbCh_Vp_GEH3Vk4B/view?usp=drivesdk")</f>
        <v>https://drive.google.com/file/d/1wNt-_2UxGGn1WIU1mbCh_Vp_GEH3Vk4B/view?usp=drivesdk</v>
      </c>
      <c r="D6792" s="12"/>
      <c r="E6792" s="11">
        <v>6840.0</v>
      </c>
      <c r="F6792" s="2"/>
    </row>
    <row r="6793" ht="1.5" customHeight="1">
      <c r="A6793" s="4" t="str">
        <f>IFERROR(__xludf.DUMMYFUNCTION("""COMPUTED_VALUE"""),"126. Tax Evasion")</f>
        <v>126. Tax Evasion</v>
      </c>
      <c r="B6793" s="4" t="str">
        <f>IFERROR(__xludf.DUMMYFUNCTION("""COMPUTED_VALUE"""),"126")</f>
        <v>126</v>
      </c>
      <c r="C6793" s="5" t="str">
        <f>IFERROR(__xludf.DUMMYFUNCTION("""COMPUTED_VALUE"""),"https://drive.google.com/file/d/1VLphpuHSem2t8U3OwTrmOHjZ-WykS2p0/view?usp=drivesdk")</f>
        <v>https://drive.google.com/file/d/1VLphpuHSem2t8U3OwTrmOHjZ-WykS2p0/view?usp=drivesdk</v>
      </c>
      <c r="D6793" s="12"/>
      <c r="E6793" s="11">
        <v>6841.0</v>
      </c>
      <c r="F6793" s="2"/>
    </row>
    <row r="6794" ht="1.5" customHeight="1">
      <c r="A6794" s="4" t="str">
        <f>IFERROR(__xludf.DUMMYFUNCTION("""COMPUTED_VALUE"""),"0. NotACat")</f>
        <v>0. NotACat</v>
      </c>
      <c r="B6794" s="4" t="str">
        <f>IFERROR(__xludf.DUMMYFUNCTION("""COMPUTED_VALUE"""),"0")</f>
        <v>0</v>
      </c>
      <c r="C6794" s="5" t="str">
        <f>IFERROR(__xludf.DUMMYFUNCTION("""COMPUTED_VALUE"""),"https://drive.google.com/file/d/1080-BgC5THzGCk5yoCKRzgvThU2uGg22/view?usp=drivesdk")</f>
        <v>https://drive.google.com/file/d/1080-BgC5THzGCk5yoCKRzgvThU2uGg22/view?usp=drivesdk</v>
      </c>
      <c r="D6794" s="12"/>
      <c r="E6794" s="11">
        <v>6842.0</v>
      </c>
      <c r="F6794" s="2"/>
    </row>
    <row r="6795" ht="1.5" customHeight="1">
      <c r="A6795" s="4" t="str">
        <f>IFERROR(__xludf.DUMMYFUNCTION("""COMPUTED_VALUE"""),"0. NotACat")</f>
        <v>0. NotACat</v>
      </c>
      <c r="B6795" s="4" t="str">
        <f>IFERROR(__xludf.DUMMYFUNCTION("""COMPUTED_VALUE"""),"0")</f>
        <v>0</v>
      </c>
      <c r="C6795" s="5" t="str">
        <f>IFERROR(__xludf.DUMMYFUNCTION("""COMPUTED_VALUE"""),"https://drive.google.com/file/d/17lKxscsc1ZcQmGsdzSXMHFWqXfhuGQc0/view?usp=drivesdk")</f>
        <v>https://drive.google.com/file/d/17lKxscsc1ZcQmGsdzSXMHFWqXfhuGQc0/view?usp=drivesdk</v>
      </c>
      <c r="D6795" s="12"/>
      <c r="E6795" s="11">
        <v>6843.0</v>
      </c>
      <c r="F6795" s="2"/>
    </row>
    <row r="6796" ht="1.5" customHeight="1">
      <c r="A6796" s="4" t="str">
        <f>IFERROR(__xludf.DUMMYFUNCTION("""COMPUTED_VALUE"""),"105. Chilton")</f>
        <v>105. Chilton</v>
      </c>
      <c r="B6796" s="4" t="str">
        <f>IFERROR(__xludf.DUMMYFUNCTION("""COMPUTED_VALUE"""),"105")</f>
        <v>105</v>
      </c>
      <c r="C6796" s="5" t="str">
        <f>IFERROR(__xludf.DUMMYFUNCTION("""COMPUTED_VALUE"""),"https://drive.google.com/file/d/1TdTSqMkZEFg8t253nyyhrAmvkaDoov_z/view?usp=drivesdk")</f>
        <v>https://drive.google.com/file/d/1TdTSqMkZEFg8t253nyyhrAmvkaDoov_z/view?usp=drivesdk</v>
      </c>
      <c r="D6796" s="12"/>
      <c r="E6796" s="11">
        <v>6844.0</v>
      </c>
      <c r="F6796" s="2"/>
    </row>
    <row r="6797" ht="1.5" customHeight="1">
      <c r="A6797" s="4" t="str">
        <f>IFERROR(__xludf.DUMMYFUNCTION("""COMPUTED_VALUE"""),"105. Chilton")</f>
        <v>105. Chilton</v>
      </c>
      <c r="B6797" s="4" t="str">
        <f>IFERROR(__xludf.DUMMYFUNCTION("""COMPUTED_VALUE"""),"105")</f>
        <v>105</v>
      </c>
      <c r="C6797" s="5" t="str">
        <f>IFERROR(__xludf.DUMMYFUNCTION("""COMPUTED_VALUE"""),"https://drive.google.com/file/d/1vwnvI7TNu6AploAMwcvaQmIv-Fq4yphf/view?usp=drivesdk")</f>
        <v>https://drive.google.com/file/d/1vwnvI7TNu6AploAMwcvaQmIv-Fq4yphf/view?usp=drivesdk</v>
      </c>
      <c r="D6797" s="12"/>
      <c r="E6797" s="11">
        <v>6845.0</v>
      </c>
      <c r="F6797" s="2"/>
    </row>
    <row r="6798" ht="1.5" customHeight="1">
      <c r="A6798" s="4" t="str">
        <f>IFERROR(__xludf.DUMMYFUNCTION("""COMPUTED_VALUE"""),"1. Microwave")</f>
        <v>1. Microwave</v>
      </c>
      <c r="B6798" s="4" t="str">
        <f>IFERROR(__xludf.DUMMYFUNCTION("""COMPUTED_VALUE"""),"1")</f>
        <v>1</v>
      </c>
      <c r="C6798" s="5" t="str">
        <f>IFERROR(__xludf.DUMMYFUNCTION("""COMPUTED_VALUE"""),"https://drive.google.com/file/d/1QF_P6FZ0TEdCBdro0DHXhijTNAKxOEHR/view?usp=drivesdk")</f>
        <v>https://drive.google.com/file/d/1QF_P6FZ0TEdCBdro0DHXhijTNAKxOEHR/view?usp=drivesdk</v>
      </c>
      <c r="D6798" s="12"/>
      <c r="E6798" s="11">
        <v>6846.0</v>
      </c>
      <c r="F6798" s="2"/>
    </row>
    <row r="6799" ht="1.5" customHeight="1">
      <c r="A6799" s="4" t="str">
        <f>IFERROR(__xludf.DUMMYFUNCTION("""COMPUTED_VALUE"""),"1. Microwave")</f>
        <v>1. Microwave</v>
      </c>
      <c r="B6799" s="4" t="str">
        <f>IFERROR(__xludf.DUMMYFUNCTION("""COMPUTED_VALUE"""),"1")</f>
        <v>1</v>
      </c>
      <c r="C6799" s="5" t="str">
        <f>IFERROR(__xludf.DUMMYFUNCTION("""COMPUTED_VALUE"""),"https://drive.google.com/file/d/1w2Sx0KT2GF3c7smJsXNZNzVf0hUHNV88/view?usp=drivesdk")</f>
        <v>https://drive.google.com/file/d/1w2Sx0KT2GF3c7smJsXNZNzVf0hUHNV88/view?usp=drivesdk</v>
      </c>
      <c r="D6799" s="12"/>
      <c r="E6799" s="11">
        <v>6847.0</v>
      </c>
      <c r="F6799" s="2"/>
    </row>
    <row r="6800" ht="1.5" customHeight="1">
      <c r="A6800" s="4" t="str">
        <f>IFERROR(__xludf.DUMMYFUNCTION("""COMPUTED_VALUE"""),"1. Microwave")</f>
        <v>1. Microwave</v>
      </c>
      <c r="B6800" s="4" t="str">
        <f>IFERROR(__xludf.DUMMYFUNCTION("""COMPUTED_VALUE"""),"1")</f>
        <v>1</v>
      </c>
      <c r="C6800" s="5" t="str">
        <f>IFERROR(__xludf.DUMMYFUNCTION("""COMPUTED_VALUE"""),"https://drive.google.com/file/d/1MgTIpB3t9tF06F93jNxsWvWMIIF9O9GZ/view?usp=drivesdk")</f>
        <v>https://drive.google.com/file/d/1MgTIpB3t9tF06F93jNxsWvWMIIF9O9GZ/view?usp=drivesdk</v>
      </c>
      <c r="D6800" s="12"/>
      <c r="E6800" s="11">
        <v>6848.0</v>
      </c>
      <c r="F6800" s="2"/>
    </row>
    <row r="6801" ht="1.5" customHeight="1">
      <c r="A6801" s="4" t="str">
        <f>IFERROR(__xludf.DUMMYFUNCTION("""COMPUTED_VALUE"""),"1. Microwave")</f>
        <v>1. Microwave</v>
      </c>
      <c r="B6801" s="4" t="str">
        <f>IFERROR(__xludf.DUMMYFUNCTION("""COMPUTED_VALUE"""),"1")</f>
        <v>1</v>
      </c>
      <c r="C6801" s="5" t="str">
        <f>IFERROR(__xludf.DUMMYFUNCTION("""COMPUTED_VALUE"""),"https://drive.google.com/file/d/1eJ44PPG7DMCq4BL79d0UwYDGzzE52dno/view?usp=drivesdk")</f>
        <v>https://drive.google.com/file/d/1eJ44PPG7DMCq4BL79d0UwYDGzzE52dno/view?usp=drivesdk</v>
      </c>
      <c r="D6801" s="12"/>
      <c r="E6801" s="11">
        <v>6849.0</v>
      </c>
      <c r="F6801" s="2"/>
    </row>
    <row r="6802" ht="1.5" customHeight="1">
      <c r="A6802" s="4" t="str">
        <f>IFERROR(__xludf.DUMMYFUNCTION("""COMPUTED_VALUE"""),"1. Microwave")</f>
        <v>1. Microwave</v>
      </c>
      <c r="B6802" s="4" t="str">
        <f>IFERROR(__xludf.DUMMYFUNCTION("""COMPUTED_VALUE"""),"1")</f>
        <v>1</v>
      </c>
      <c r="C6802" s="5" t="str">
        <f>IFERROR(__xludf.DUMMYFUNCTION("""COMPUTED_VALUE"""),"https://drive.google.com/file/d/1JIwE9dwgsxjGbXHpdqUbq8YHv6LJ1Amp/view?usp=drivesdk")</f>
        <v>https://drive.google.com/file/d/1JIwE9dwgsxjGbXHpdqUbq8YHv6LJ1Amp/view?usp=drivesdk</v>
      </c>
      <c r="D6802" s="12"/>
      <c r="E6802" s="11">
        <v>6850.0</v>
      </c>
      <c r="F6802" s="2"/>
    </row>
    <row r="6803" ht="1.5" customHeight="1">
      <c r="A6803" s="4" t="str">
        <f>IFERROR(__xludf.DUMMYFUNCTION("""COMPUTED_VALUE"""),"1. Microwave")</f>
        <v>1. Microwave</v>
      </c>
      <c r="B6803" s="4" t="str">
        <f>IFERROR(__xludf.DUMMYFUNCTION("""COMPUTED_VALUE"""),"1")</f>
        <v>1</v>
      </c>
      <c r="C6803" s="5" t="str">
        <f>IFERROR(__xludf.DUMMYFUNCTION("""COMPUTED_VALUE"""),"https://drive.google.com/file/d/1S6pABNUL6G4Iz9VG7eLsL4QOmbNdgBL9/view?usp=drivesdk")</f>
        <v>https://drive.google.com/file/d/1S6pABNUL6G4Iz9VG7eLsL4QOmbNdgBL9/view?usp=drivesdk</v>
      </c>
      <c r="D6803" s="12"/>
      <c r="E6803" s="11">
        <v>6851.0</v>
      </c>
      <c r="F6803" s="2"/>
    </row>
    <row r="6804" ht="1.5" customHeight="1">
      <c r="A6804" s="4" t="str">
        <f>IFERROR(__xludf.DUMMYFUNCTION("""COMPUTED_VALUE"""),"1. Microwave")</f>
        <v>1. Microwave</v>
      </c>
      <c r="B6804" s="4" t="str">
        <f>IFERROR(__xludf.DUMMYFUNCTION("""COMPUTED_VALUE"""),"1")</f>
        <v>1</v>
      </c>
      <c r="C6804" s="5" t="str">
        <f>IFERROR(__xludf.DUMMYFUNCTION("""COMPUTED_VALUE"""),"https://drive.google.com/file/d/1UkI8WYW35-2O2WCP4aN6rveMWpk5cudt/view?usp=drivesdk")</f>
        <v>https://drive.google.com/file/d/1UkI8WYW35-2O2WCP4aN6rveMWpk5cudt/view?usp=drivesdk</v>
      </c>
      <c r="D6804" s="12"/>
      <c r="E6804" s="11">
        <v>6852.0</v>
      </c>
      <c r="F6804" s="2"/>
    </row>
    <row r="6805" ht="1.5" customHeight="1">
      <c r="A6805" s="4" t="str">
        <f>IFERROR(__xludf.DUMMYFUNCTION("""COMPUTED_VALUE"""),"1. Microwave")</f>
        <v>1. Microwave</v>
      </c>
      <c r="B6805" s="4" t="str">
        <f>IFERROR(__xludf.DUMMYFUNCTION("""COMPUTED_VALUE"""),"1")</f>
        <v>1</v>
      </c>
      <c r="C6805" s="5" t="str">
        <f>IFERROR(__xludf.DUMMYFUNCTION("""COMPUTED_VALUE"""),"https://drive.google.com/file/d/1Vsfq7rIlhKYx0x-opxw6ngTV6Gy0uORp/view?usp=drivesdk")</f>
        <v>https://drive.google.com/file/d/1Vsfq7rIlhKYx0x-opxw6ngTV6Gy0uORp/view?usp=drivesdk</v>
      </c>
      <c r="D6805" s="12"/>
      <c r="E6805" s="11">
        <v>6853.0</v>
      </c>
      <c r="F6805" s="2"/>
    </row>
    <row r="6806" ht="1.5" customHeight="1">
      <c r="A6806" s="4" t="str">
        <f>IFERROR(__xludf.DUMMYFUNCTION("""COMPUTED_VALUE"""),"2. Twix")</f>
        <v>2. Twix</v>
      </c>
      <c r="B6806" s="4" t="str">
        <f>IFERROR(__xludf.DUMMYFUNCTION("""COMPUTED_VALUE"""),"2")</f>
        <v>2</v>
      </c>
      <c r="C6806" s="5" t="str">
        <f>IFERROR(__xludf.DUMMYFUNCTION("""COMPUTED_VALUE"""),"https://drive.google.com/file/d/1u0JquNApTPEkfNcLCCVt-mtM2uVOgChF/view?usp=drivesdk")</f>
        <v>https://drive.google.com/file/d/1u0JquNApTPEkfNcLCCVt-mtM2uVOgChF/view?usp=drivesdk</v>
      </c>
      <c r="D6806" s="12"/>
      <c r="E6806" s="11">
        <v>6854.0</v>
      </c>
      <c r="F6806" s="2"/>
    </row>
    <row r="6807" ht="1.5" customHeight="1">
      <c r="A6807" s="4" t="str">
        <f>IFERROR(__xludf.DUMMYFUNCTION("""COMPUTED_VALUE"""),"2. Twix")</f>
        <v>2. Twix</v>
      </c>
      <c r="B6807" s="4" t="str">
        <f>IFERROR(__xludf.DUMMYFUNCTION("""COMPUTED_VALUE"""),"2")</f>
        <v>2</v>
      </c>
      <c r="C6807" s="5" t="str">
        <f>IFERROR(__xludf.DUMMYFUNCTION("""COMPUTED_VALUE"""),"https://drive.google.com/file/d/1p5fg9D5gdKyLtI1UYzh-2U4971V1YfFP/view?usp=drivesdk")</f>
        <v>https://drive.google.com/file/d/1p5fg9D5gdKyLtI1UYzh-2U4971V1YfFP/view?usp=drivesdk</v>
      </c>
      <c r="D6807" s="12"/>
      <c r="E6807" s="11">
        <v>6855.0</v>
      </c>
      <c r="F6807" s="2"/>
    </row>
    <row r="6808" ht="1.5" customHeight="1">
      <c r="A6808" s="4" t="str">
        <f>IFERROR(__xludf.DUMMYFUNCTION("""COMPUTED_VALUE"""),"1. Microwave")</f>
        <v>1. Microwave</v>
      </c>
      <c r="B6808" s="4" t="str">
        <f>IFERROR(__xludf.DUMMYFUNCTION("""COMPUTED_VALUE"""),"1")</f>
        <v>1</v>
      </c>
      <c r="C6808" s="5" t="str">
        <f>IFERROR(__xludf.DUMMYFUNCTION("""COMPUTED_VALUE"""),"https://drive.google.com/file/d/1foDUK6VjInw-muEBDx7f3PJys4jXjn4p/view?usp=drivesdk")</f>
        <v>https://drive.google.com/file/d/1foDUK6VjInw-muEBDx7f3PJys4jXjn4p/view?usp=drivesdk</v>
      </c>
      <c r="D6808" s="12"/>
      <c r="E6808" s="11">
        <v>6856.0</v>
      </c>
      <c r="F6808" s="2"/>
    </row>
    <row r="6809" ht="1.5" customHeight="1">
      <c r="A6809" s="4" t="str">
        <f>IFERROR(__xludf.DUMMYFUNCTION("""COMPUTED_VALUE"""),"1. Microwave")</f>
        <v>1. Microwave</v>
      </c>
      <c r="B6809" s="4" t="str">
        <f>IFERROR(__xludf.DUMMYFUNCTION("""COMPUTED_VALUE"""),"1")</f>
        <v>1</v>
      </c>
      <c r="C6809" s="5" t="str">
        <f>IFERROR(__xludf.DUMMYFUNCTION("""COMPUTED_VALUE"""),"https://drive.google.com/file/d/1PKXyTk9HxRj0Ak6fvHiX9fFDqFjVT4T3/view?usp=drivesdk")</f>
        <v>https://drive.google.com/file/d/1PKXyTk9HxRj0Ak6fvHiX9fFDqFjVT4T3/view?usp=drivesdk</v>
      </c>
      <c r="D6809" s="12"/>
      <c r="E6809" s="11">
        <v>6857.0</v>
      </c>
      <c r="F6809" s="2"/>
    </row>
    <row r="6810" ht="1.5" customHeight="1">
      <c r="A6810" s="4" t="str">
        <f>IFERROR(__xludf.DUMMYFUNCTION("""COMPUTED_VALUE"""),"2. Twix")</f>
        <v>2. Twix</v>
      </c>
      <c r="B6810" s="4" t="str">
        <f>IFERROR(__xludf.DUMMYFUNCTION("""COMPUTED_VALUE"""),"2")</f>
        <v>2</v>
      </c>
      <c r="C6810" s="5" t="str">
        <f>IFERROR(__xludf.DUMMYFUNCTION("""COMPUTED_VALUE"""),"https://drive.google.com/file/d/1G2CgTzomrDydtgmb49vigTtrQEH6wDgy/view?usp=drivesdk")</f>
        <v>https://drive.google.com/file/d/1G2CgTzomrDydtgmb49vigTtrQEH6wDgy/view?usp=drivesdk</v>
      </c>
      <c r="D6810" s="12"/>
      <c r="E6810" s="11">
        <v>6858.0</v>
      </c>
      <c r="F6810" s="2"/>
    </row>
    <row r="6811" ht="1.5" customHeight="1">
      <c r="A6811" s="4" t="str">
        <f>IFERROR(__xludf.DUMMYFUNCTION("""COMPUTED_VALUE"""),"128. Sinatra")</f>
        <v>128. Sinatra</v>
      </c>
      <c r="B6811" s="4" t="str">
        <f>IFERROR(__xludf.DUMMYFUNCTION("""COMPUTED_VALUE"""),"128")</f>
        <v>128</v>
      </c>
      <c r="C6811" s="5" t="str">
        <f>IFERROR(__xludf.DUMMYFUNCTION("""COMPUTED_VALUE"""),"https://drive.google.com/file/d/1DGzyHdGvYHTLYWgQ5aZjWq2pFUI-sUKR/view?usp=drivesdk")</f>
        <v>https://drive.google.com/file/d/1DGzyHdGvYHTLYWgQ5aZjWq2pFUI-sUKR/view?usp=drivesdk</v>
      </c>
      <c r="D6811" s="12"/>
      <c r="E6811" s="11">
        <v>6859.0</v>
      </c>
      <c r="F6811" s="2"/>
    </row>
    <row r="6812" ht="1.5" customHeight="1">
      <c r="A6812" s="4" t="str">
        <f>IFERROR(__xludf.DUMMYFUNCTION("""COMPUTED_VALUE"""),"128. Sinatra")</f>
        <v>128. Sinatra</v>
      </c>
      <c r="B6812" s="4" t="str">
        <f>IFERROR(__xludf.DUMMYFUNCTION("""COMPUTED_VALUE"""),"128")</f>
        <v>128</v>
      </c>
      <c r="C6812" s="5" t="str">
        <f>IFERROR(__xludf.DUMMYFUNCTION("""COMPUTED_VALUE"""),"https://drive.google.com/file/d/1mC2z1O9JLuF4Hlmhot1OK9ZoxA_Glo_x/view?usp=drivesdk")</f>
        <v>https://drive.google.com/file/d/1mC2z1O9JLuF4Hlmhot1OK9ZoxA_Glo_x/view?usp=drivesdk</v>
      </c>
      <c r="D6812" s="12"/>
      <c r="E6812" s="11">
        <v>6860.0</v>
      </c>
      <c r="F6812" s="2"/>
    </row>
    <row r="6813" ht="1.5" customHeight="1">
      <c r="A6813" s="4" t="str">
        <f>IFERROR(__xludf.DUMMYFUNCTION("""COMPUTED_VALUE"""),"128. Sinatra")</f>
        <v>128. Sinatra</v>
      </c>
      <c r="B6813" s="4" t="str">
        <f>IFERROR(__xludf.DUMMYFUNCTION("""COMPUTED_VALUE"""),"128")</f>
        <v>128</v>
      </c>
      <c r="C6813" s="5" t="str">
        <f>IFERROR(__xludf.DUMMYFUNCTION("""COMPUTED_VALUE"""),"https://drive.google.com/file/d/1MVuxcqmdjvj9QJgamlh07I6h4IGq14pF/view?usp=drivesdk")</f>
        <v>https://drive.google.com/file/d/1MVuxcqmdjvj9QJgamlh07I6h4IGq14pF/view?usp=drivesdk</v>
      </c>
      <c r="D6813" s="12"/>
      <c r="E6813" s="11">
        <v>6861.0</v>
      </c>
      <c r="F6813" s="2"/>
    </row>
    <row r="6814" ht="1.5" customHeight="1">
      <c r="A6814" s="4" t="str">
        <f>IFERROR(__xludf.DUMMYFUNCTION("""COMPUTED_VALUE"""),"128. Sinatra")</f>
        <v>128. Sinatra</v>
      </c>
      <c r="B6814" s="4" t="str">
        <f>IFERROR(__xludf.DUMMYFUNCTION("""COMPUTED_VALUE"""),"128")</f>
        <v>128</v>
      </c>
      <c r="C6814" s="5" t="str">
        <f>IFERROR(__xludf.DUMMYFUNCTION("""COMPUTED_VALUE"""),"https://drive.google.com/file/d/1MREJLSrCn0pGhI9CSqHRhUzPRnc7Ejfq/view?usp=drivesdk")</f>
        <v>https://drive.google.com/file/d/1MREJLSrCn0pGhI9CSqHRhUzPRnc7Ejfq/view?usp=drivesdk</v>
      </c>
      <c r="D6814" s="12"/>
      <c r="E6814" s="11">
        <v>6862.0</v>
      </c>
      <c r="F6814" s="2"/>
    </row>
    <row r="6815" ht="1.5" customHeight="1">
      <c r="A6815" s="4" t="str">
        <f>IFERROR(__xludf.DUMMYFUNCTION("""COMPUTED_VALUE"""),"2. Twix")</f>
        <v>2. Twix</v>
      </c>
      <c r="B6815" s="4" t="str">
        <f>IFERROR(__xludf.DUMMYFUNCTION("""COMPUTED_VALUE"""),"2")</f>
        <v>2</v>
      </c>
      <c r="C6815" s="5" t="str">
        <f>IFERROR(__xludf.DUMMYFUNCTION("""COMPUTED_VALUE"""),"https://drive.google.com/file/d/1QOv7RkHnC_57KAgPdFXfYWRdsddWRX2O/view?usp=drivesdk")</f>
        <v>https://drive.google.com/file/d/1QOv7RkHnC_57KAgPdFXfYWRdsddWRX2O/view?usp=drivesdk</v>
      </c>
      <c r="D6815" s="12"/>
      <c r="E6815" s="11">
        <v>6863.0</v>
      </c>
      <c r="F6815" s="2"/>
    </row>
    <row r="6816" ht="1.5" customHeight="1">
      <c r="A6816" s="4" t="str">
        <f>IFERROR(__xludf.DUMMYFUNCTION("""COMPUTED_VALUE"""),"1. Microwave")</f>
        <v>1. Microwave</v>
      </c>
      <c r="B6816" s="4" t="str">
        <f>IFERROR(__xludf.DUMMYFUNCTION("""COMPUTED_VALUE"""),"1")</f>
        <v>1</v>
      </c>
      <c r="C6816" s="5" t="str">
        <f>IFERROR(__xludf.DUMMYFUNCTION("""COMPUTED_VALUE"""),"https://drive.google.com/file/d/1qQdWqqlXOxTyyYpkgHipU0R9rCrrhBeU/view?usp=drivesdk")</f>
        <v>https://drive.google.com/file/d/1qQdWqqlXOxTyyYpkgHipU0R9rCrrhBeU/view?usp=drivesdk</v>
      </c>
      <c r="D6816" s="12"/>
      <c r="E6816" s="11">
        <v>6864.0</v>
      </c>
      <c r="F6816" s="2"/>
    </row>
    <row r="6817" ht="1.5" customHeight="1">
      <c r="A6817" s="4" t="str">
        <f>IFERROR(__xludf.DUMMYFUNCTION("""COMPUTED_VALUE"""),"1. Microwave")</f>
        <v>1. Microwave</v>
      </c>
      <c r="B6817" s="4" t="str">
        <f>IFERROR(__xludf.DUMMYFUNCTION("""COMPUTED_VALUE"""),"1")</f>
        <v>1</v>
      </c>
      <c r="C6817" s="5" t="str">
        <f>IFERROR(__xludf.DUMMYFUNCTION("""COMPUTED_VALUE"""),"https://drive.google.com/file/d/1xY1A8MtSHF70ThSr5rTiguvfbxAWAOod/view?usp=drivesdk")</f>
        <v>https://drive.google.com/file/d/1xY1A8MtSHF70ThSr5rTiguvfbxAWAOod/view?usp=drivesdk</v>
      </c>
      <c r="D6817" s="12"/>
      <c r="E6817" s="11">
        <v>6865.0</v>
      </c>
      <c r="F6817" s="2"/>
    </row>
    <row r="6818" ht="1.5" customHeight="1">
      <c r="A6818" s="4" t="str">
        <f>IFERROR(__xludf.DUMMYFUNCTION("""COMPUTED_VALUE"""),"1. Microwave")</f>
        <v>1. Microwave</v>
      </c>
      <c r="B6818" s="4" t="str">
        <f>IFERROR(__xludf.DUMMYFUNCTION("""COMPUTED_VALUE"""),"1")</f>
        <v>1</v>
      </c>
      <c r="C6818" s="5" t="str">
        <f>IFERROR(__xludf.DUMMYFUNCTION("""COMPUTED_VALUE"""),"https://drive.google.com/file/d/1tEn5_F1m30pEzztJHExntvEf8eLyOrnL/view?usp=drivesdk")</f>
        <v>https://drive.google.com/file/d/1tEn5_F1m30pEzztJHExntvEf8eLyOrnL/view?usp=drivesdk</v>
      </c>
      <c r="D6818" s="12"/>
      <c r="E6818" s="11">
        <v>6866.0</v>
      </c>
      <c r="F6818" s="2"/>
    </row>
    <row r="6819" ht="1.5" customHeight="1">
      <c r="A6819" s="4" t="str">
        <f>IFERROR(__xludf.DUMMYFUNCTION("""COMPUTED_VALUE"""),"1. Microwave")</f>
        <v>1. Microwave</v>
      </c>
      <c r="B6819" s="4" t="str">
        <f>IFERROR(__xludf.DUMMYFUNCTION("""COMPUTED_VALUE"""),"1")</f>
        <v>1</v>
      </c>
      <c r="C6819" s="5" t="str">
        <f>IFERROR(__xludf.DUMMYFUNCTION("""COMPUTED_VALUE"""),"https://drive.google.com/file/d/1PWHYUBwNpPqUhve4qf2BOyIXLwSrKRya/view?usp=drivesdk")</f>
        <v>https://drive.google.com/file/d/1PWHYUBwNpPqUhve4qf2BOyIXLwSrKRya/view?usp=drivesdk</v>
      </c>
      <c r="D6819" s="12"/>
      <c r="E6819" s="11">
        <v>6867.0</v>
      </c>
      <c r="F6819" s="2"/>
    </row>
    <row r="6820" ht="1.5" customHeight="1">
      <c r="A6820" s="4" t="str">
        <f>IFERROR(__xludf.DUMMYFUNCTION("""COMPUTED_VALUE"""),"0. NotACat")</f>
        <v>0. NotACat</v>
      </c>
      <c r="B6820" s="4" t="str">
        <f>IFERROR(__xludf.DUMMYFUNCTION("""COMPUTED_VALUE"""),"0")</f>
        <v>0</v>
      </c>
      <c r="C6820" s="5" t="str">
        <f>IFERROR(__xludf.DUMMYFUNCTION("""COMPUTED_VALUE"""),"https://drive.google.com/file/d/1PsChZwJ3iwWVXQvmK6lztmdH2x3EfqHX/view?usp=drivesdk")</f>
        <v>https://drive.google.com/file/d/1PsChZwJ3iwWVXQvmK6lztmdH2x3EfqHX/view?usp=drivesdk</v>
      </c>
      <c r="D6820" s="12"/>
      <c r="E6820" s="11">
        <v>6868.0</v>
      </c>
      <c r="F6820" s="2"/>
    </row>
    <row r="6821" ht="1.5" customHeight="1">
      <c r="A6821" s="4" t="str">
        <f>IFERROR(__xludf.DUMMYFUNCTION("""COMPUTED_VALUE"""),"95. Ariel")</f>
        <v>95. Ariel</v>
      </c>
      <c r="B6821" s="4" t="str">
        <f>IFERROR(__xludf.DUMMYFUNCTION("""COMPUTED_VALUE"""),"95")</f>
        <v>95</v>
      </c>
      <c r="C6821" s="5" t="str">
        <f>IFERROR(__xludf.DUMMYFUNCTION("""COMPUTED_VALUE"""),"https://drive.google.com/file/d/1WkiiLQzMtBkn_k4ZNNQo6DBYeNITJlMr/view?usp=drivesdk")</f>
        <v>https://drive.google.com/file/d/1WkiiLQzMtBkn_k4ZNNQo6DBYeNITJlMr/view?usp=drivesdk</v>
      </c>
      <c r="D6821" s="12"/>
      <c r="E6821" s="11">
        <v>6869.0</v>
      </c>
      <c r="F6821" s="2"/>
    </row>
    <row r="6822" ht="1.5" customHeight="1">
      <c r="A6822" s="4" t="str">
        <f>IFERROR(__xludf.DUMMYFUNCTION("""COMPUTED_VALUE"""),"95. Ariel")</f>
        <v>95. Ariel</v>
      </c>
      <c r="B6822" s="4" t="str">
        <f>IFERROR(__xludf.DUMMYFUNCTION("""COMPUTED_VALUE"""),"95")</f>
        <v>95</v>
      </c>
      <c r="C6822" s="5" t="str">
        <f>IFERROR(__xludf.DUMMYFUNCTION("""COMPUTED_VALUE"""),"https://drive.google.com/file/d/10h6oRulTLZ79Ap40jePOJ5EsX0HgWCKM/view?usp=drivesdk")</f>
        <v>https://drive.google.com/file/d/10h6oRulTLZ79Ap40jePOJ5EsX0HgWCKM/view?usp=drivesdk</v>
      </c>
      <c r="D6822" s="12"/>
      <c r="E6822" s="11">
        <v>6870.0</v>
      </c>
      <c r="F6822" s="2"/>
    </row>
    <row r="6823" ht="1.5" customHeight="1">
      <c r="A6823" s="4" t="str">
        <f>IFERROR(__xludf.DUMMYFUNCTION("""COMPUTED_VALUE"""),"95. Ariel")</f>
        <v>95. Ariel</v>
      </c>
      <c r="B6823" s="4" t="str">
        <f>IFERROR(__xludf.DUMMYFUNCTION("""COMPUTED_VALUE"""),"95")</f>
        <v>95</v>
      </c>
      <c r="C6823" s="5" t="str">
        <f>IFERROR(__xludf.DUMMYFUNCTION("""COMPUTED_VALUE"""),"https://drive.google.com/file/d/1BcJytkcNitM7BrkbWMaVYKS2PP7B5XY9/view?usp=drivesdk")</f>
        <v>https://drive.google.com/file/d/1BcJytkcNitM7BrkbWMaVYKS2PP7B5XY9/view?usp=drivesdk</v>
      </c>
      <c r="D6823" s="12"/>
      <c r="E6823" s="11">
        <v>6871.0</v>
      </c>
      <c r="F6823" s="2"/>
    </row>
    <row r="6824" ht="1.5" customHeight="1">
      <c r="A6824" s="4" t="str">
        <f>IFERROR(__xludf.DUMMYFUNCTION("""COMPUTED_VALUE"""),"95. Ariel")</f>
        <v>95. Ariel</v>
      </c>
      <c r="B6824" s="4" t="str">
        <f>IFERROR(__xludf.DUMMYFUNCTION("""COMPUTED_VALUE"""),"95")</f>
        <v>95</v>
      </c>
      <c r="C6824" s="5" t="str">
        <f>IFERROR(__xludf.DUMMYFUNCTION("""COMPUTED_VALUE"""),"https://drive.google.com/file/d/1vPEb71T_ISEfw8J8fFYi8uq2hiiNvTsJ/view?usp=drivesdk")</f>
        <v>https://drive.google.com/file/d/1vPEb71T_ISEfw8J8fFYi8uq2hiiNvTsJ/view?usp=drivesdk</v>
      </c>
      <c r="D6824" s="12"/>
      <c r="E6824" s="11">
        <v>6872.0</v>
      </c>
      <c r="F6824" s="2"/>
    </row>
    <row r="6825" ht="1.5" customHeight="1">
      <c r="A6825" s="4" t="str">
        <f>IFERROR(__xludf.DUMMYFUNCTION("""COMPUTED_VALUE"""),"95. Ariel")</f>
        <v>95. Ariel</v>
      </c>
      <c r="B6825" s="4" t="str">
        <f>IFERROR(__xludf.DUMMYFUNCTION("""COMPUTED_VALUE"""),"95")</f>
        <v>95</v>
      </c>
      <c r="C6825" s="5" t="str">
        <f>IFERROR(__xludf.DUMMYFUNCTION("""COMPUTED_VALUE"""),"https://drive.google.com/file/d/1BrfMWP1eHRZtwmQhq-Uby4MU4Pp_REPn/view?usp=drivesdk")</f>
        <v>https://drive.google.com/file/d/1BrfMWP1eHRZtwmQhq-Uby4MU4Pp_REPn/view?usp=drivesdk</v>
      </c>
      <c r="D6825" s="12"/>
      <c r="E6825" s="11">
        <v>6873.0</v>
      </c>
      <c r="F6825" s="2"/>
    </row>
    <row r="6826" ht="1.5" customHeight="1">
      <c r="A6826" s="4" t="str">
        <f>IFERROR(__xludf.DUMMYFUNCTION("""COMPUTED_VALUE"""),"95. Ariel")</f>
        <v>95. Ariel</v>
      </c>
      <c r="B6826" s="4" t="str">
        <f>IFERROR(__xludf.DUMMYFUNCTION("""COMPUTED_VALUE"""),"95")</f>
        <v>95</v>
      </c>
      <c r="C6826" s="5" t="str">
        <f>IFERROR(__xludf.DUMMYFUNCTION("""COMPUTED_VALUE"""),"https://drive.google.com/file/d/1Q_2v68xVeHJap3JwoyXHuh9gxaIInZ0x/view?usp=drivesdk")</f>
        <v>https://drive.google.com/file/d/1Q_2v68xVeHJap3JwoyXHuh9gxaIInZ0x/view?usp=drivesdk</v>
      </c>
      <c r="D6826" s="12"/>
      <c r="E6826" s="11">
        <v>6874.0</v>
      </c>
      <c r="F6826" s="2"/>
    </row>
    <row r="6827" ht="1.5" customHeight="1">
      <c r="A6827" s="4" t="str">
        <f>IFERROR(__xludf.DUMMYFUNCTION("""COMPUTED_VALUE"""),"95. Ariel, 124. Yumi")</f>
        <v>95. Ariel, 124. Yumi</v>
      </c>
      <c r="B6827" s="4" t="str">
        <f>IFERROR(__xludf.DUMMYFUNCTION("""COMPUTED_VALUE"""),"95, 124")</f>
        <v>95, 124</v>
      </c>
      <c r="C6827" s="5" t="str">
        <f>IFERROR(__xludf.DUMMYFUNCTION("""COMPUTED_VALUE"""),"https://drive.google.com/file/d/1aQdebOFgXsVOBHFuSpY9Ele7qK7LA0H9/view?usp=drivesdk")</f>
        <v>https://drive.google.com/file/d/1aQdebOFgXsVOBHFuSpY9Ele7qK7LA0H9/view?usp=drivesdk</v>
      </c>
      <c r="D6827" s="12"/>
      <c r="E6827" s="11">
        <v>6875.0</v>
      </c>
      <c r="F6827" s="2"/>
    </row>
    <row r="6828" ht="1.5" customHeight="1">
      <c r="A6828" s="4" t="str">
        <f>IFERROR(__xludf.DUMMYFUNCTION("""COMPUTED_VALUE"""),"95. Ariel")</f>
        <v>95. Ariel</v>
      </c>
      <c r="B6828" s="4" t="str">
        <f>IFERROR(__xludf.DUMMYFUNCTION("""COMPUTED_VALUE"""),"95")</f>
        <v>95</v>
      </c>
      <c r="C6828" s="5" t="str">
        <f>IFERROR(__xludf.DUMMYFUNCTION("""COMPUTED_VALUE"""),"https://drive.google.com/file/d/1KsNXQsdCPwemBhArJ5nF1fhgzB3eTObk/view?usp=drivesdk")</f>
        <v>https://drive.google.com/file/d/1KsNXQsdCPwemBhArJ5nF1fhgzB3eTObk/view?usp=drivesdk</v>
      </c>
      <c r="D6828" s="12"/>
      <c r="E6828" s="11">
        <v>6876.0</v>
      </c>
      <c r="F6828" s="2"/>
    </row>
    <row r="6829" ht="1.5" customHeight="1">
      <c r="A6829" s="4" t="str">
        <f>IFERROR(__xludf.DUMMYFUNCTION("""COMPUTED_VALUE"""),"95. Ariel")</f>
        <v>95. Ariel</v>
      </c>
      <c r="B6829" s="4" t="str">
        <f>IFERROR(__xludf.DUMMYFUNCTION("""COMPUTED_VALUE"""),"95")</f>
        <v>95</v>
      </c>
      <c r="C6829" s="5" t="str">
        <f>IFERROR(__xludf.DUMMYFUNCTION("""COMPUTED_VALUE"""),"https://drive.google.com/file/d/1kGnTF5SeP_lCfniemiWPUsRSRwITO4rE/view?usp=drivesdk")</f>
        <v>https://drive.google.com/file/d/1kGnTF5SeP_lCfniemiWPUsRSRwITO4rE/view?usp=drivesdk</v>
      </c>
      <c r="D6829" s="12"/>
      <c r="E6829" s="11">
        <v>6877.0</v>
      </c>
      <c r="F6829" s="2"/>
    </row>
    <row r="6830" ht="1.5" customHeight="1">
      <c r="A6830" s="4" t="str">
        <f>IFERROR(__xludf.DUMMYFUNCTION("""COMPUTED_VALUE"""),"95. Ariel, 124. Yumi")</f>
        <v>95. Ariel, 124. Yumi</v>
      </c>
      <c r="B6830" s="4" t="str">
        <f>IFERROR(__xludf.DUMMYFUNCTION("""COMPUTED_VALUE"""),"95, 124")</f>
        <v>95, 124</v>
      </c>
      <c r="C6830" s="5" t="str">
        <f>IFERROR(__xludf.DUMMYFUNCTION("""COMPUTED_VALUE"""),"https://drive.google.com/file/d/164zfl5CpJYR90coJCvJon5TbJcJlfTFp/view?usp=drivesdk")</f>
        <v>https://drive.google.com/file/d/164zfl5CpJYR90coJCvJon5TbJcJlfTFp/view?usp=drivesdk</v>
      </c>
      <c r="D6830" s="12"/>
      <c r="E6830" s="11">
        <v>6878.0</v>
      </c>
      <c r="F6830" s="2"/>
    </row>
    <row r="6831" ht="1.5" customHeight="1">
      <c r="A6831" s="4" t="str">
        <f>IFERROR(__xludf.DUMMYFUNCTION("""COMPUTED_VALUE"""),"42. Rubber")</f>
        <v>42. Rubber</v>
      </c>
      <c r="B6831" s="4" t="str">
        <f>IFERROR(__xludf.DUMMYFUNCTION("""COMPUTED_VALUE"""),"42")</f>
        <v>42</v>
      </c>
      <c r="C6831" s="5" t="str">
        <f>IFERROR(__xludf.DUMMYFUNCTION("""COMPUTED_VALUE"""),"https://drive.google.com/file/d/1NL_rWSqePWjVVixIaoIWXNg4ng3WQbkm/view?usp=drivesdk")</f>
        <v>https://drive.google.com/file/d/1NL_rWSqePWjVVixIaoIWXNg4ng3WQbkm/view?usp=drivesdk</v>
      </c>
      <c r="D6831" s="12"/>
      <c r="E6831" s="11">
        <v>6879.0</v>
      </c>
      <c r="F6831" s="2"/>
    </row>
    <row r="6832" ht="1.5" customHeight="1">
      <c r="A6832" s="4" t="str">
        <f>IFERROR(__xludf.DUMMYFUNCTION("""COMPUTED_VALUE"""),"146. Monsieur Stanky")</f>
        <v>146. Monsieur Stanky</v>
      </c>
      <c r="B6832" s="4" t="str">
        <f>IFERROR(__xludf.DUMMYFUNCTION("""COMPUTED_VALUE"""),"146")</f>
        <v>146</v>
      </c>
      <c r="C6832" s="5" t="str">
        <f>IFERROR(__xludf.DUMMYFUNCTION("""COMPUTED_VALUE"""),"https://drive.google.com/file/d/1BM76J074wZGxG-uA7zZo4ek7_Jm0mMs6/view?usp=drivesdk")</f>
        <v>https://drive.google.com/file/d/1BM76J074wZGxG-uA7zZo4ek7_Jm0mMs6/view?usp=drivesdk</v>
      </c>
      <c r="D6832" s="12"/>
      <c r="E6832" s="11">
        <v>6880.0</v>
      </c>
      <c r="F6832" s="2"/>
    </row>
    <row r="6833" ht="1.5" customHeight="1">
      <c r="A6833" s="4" t="str">
        <f>IFERROR(__xludf.DUMMYFUNCTION("""COMPUTED_VALUE"""),"146. Monsieur Stanky")</f>
        <v>146. Monsieur Stanky</v>
      </c>
      <c r="B6833" s="4" t="str">
        <f>IFERROR(__xludf.DUMMYFUNCTION("""COMPUTED_VALUE"""),"146")</f>
        <v>146</v>
      </c>
      <c r="C6833" s="5" t="str">
        <f>IFERROR(__xludf.DUMMYFUNCTION("""COMPUTED_VALUE"""),"https://drive.google.com/file/d/1LE9IcvpFbcEkhiZNjT692ZLHPxifviS1/view?usp=drivesdk")</f>
        <v>https://drive.google.com/file/d/1LE9IcvpFbcEkhiZNjT692ZLHPxifviS1/view?usp=drivesdk</v>
      </c>
      <c r="D6833" s="12"/>
      <c r="E6833" s="11">
        <v>6881.0</v>
      </c>
      <c r="F6833" s="2"/>
    </row>
    <row r="6834" ht="1.5" customHeight="1">
      <c r="A6834" s="4" t="str">
        <f>IFERROR(__xludf.DUMMYFUNCTION("""COMPUTED_VALUE"""),"146. Monsieur Stanky")</f>
        <v>146. Monsieur Stanky</v>
      </c>
      <c r="B6834" s="4" t="str">
        <f>IFERROR(__xludf.DUMMYFUNCTION("""COMPUTED_VALUE"""),"146")</f>
        <v>146</v>
      </c>
      <c r="C6834" s="5" t="str">
        <f>IFERROR(__xludf.DUMMYFUNCTION("""COMPUTED_VALUE"""),"https://drive.google.com/file/d/1mdZNe5uZQn2v4b9Otb60Ulh8VUFWXvKQ/view?usp=drivesdk")</f>
        <v>https://drive.google.com/file/d/1mdZNe5uZQn2v4b9Otb60Ulh8VUFWXvKQ/view?usp=drivesdk</v>
      </c>
      <c r="D6834" s="12"/>
      <c r="E6834" s="11">
        <v>6882.0</v>
      </c>
      <c r="F6834" s="2"/>
    </row>
    <row r="6835" ht="1.5" customHeight="1">
      <c r="A6835" s="4" t="str">
        <f>IFERROR(__xludf.DUMMYFUNCTION("""COMPUTED_VALUE"""),"44. Shitbag Cuntface")</f>
        <v>44. Shitbag Cuntface</v>
      </c>
      <c r="B6835" s="4" t="str">
        <f>IFERROR(__xludf.DUMMYFUNCTION("""COMPUTED_VALUE"""),"44")</f>
        <v>44</v>
      </c>
      <c r="C6835" s="5" t="str">
        <f>IFERROR(__xludf.DUMMYFUNCTION("""COMPUTED_VALUE"""),"https://drive.google.com/file/d/1wjdEifL4e6tA5gHuD9ndm4rL5WHfrMUA/view?usp=drivesdk")</f>
        <v>https://drive.google.com/file/d/1wjdEifL4e6tA5gHuD9ndm4rL5WHfrMUA/view?usp=drivesdk</v>
      </c>
      <c r="D6835" s="12"/>
      <c r="E6835" s="11">
        <v>6883.0</v>
      </c>
      <c r="F6835" s="2"/>
    </row>
    <row r="6836" ht="1.5" customHeight="1">
      <c r="A6836" s="4" t="str">
        <f>IFERROR(__xludf.DUMMYFUNCTION("""COMPUTED_VALUE"""),"41. Gregory")</f>
        <v>41. Gregory</v>
      </c>
      <c r="B6836" s="4" t="str">
        <f>IFERROR(__xludf.DUMMYFUNCTION("""COMPUTED_VALUE"""),"41")</f>
        <v>41</v>
      </c>
      <c r="C6836" s="5" t="str">
        <f>IFERROR(__xludf.DUMMYFUNCTION("""COMPUTED_VALUE"""),"https://drive.google.com/file/d/1YKp7VNIvMvLw-tFS_YlnfbbjnwCrxurQ/view?usp=drivesdk")</f>
        <v>https://drive.google.com/file/d/1YKp7VNIvMvLw-tFS_YlnfbbjnwCrxurQ/view?usp=drivesdk</v>
      </c>
      <c r="D6836" s="12"/>
      <c r="E6836" s="11">
        <v>6884.0</v>
      </c>
      <c r="F6836" s="2"/>
    </row>
    <row r="6837" ht="1.5" customHeight="1">
      <c r="A6837" s="4" t="str">
        <f>IFERROR(__xludf.DUMMYFUNCTION("""COMPUTED_VALUE"""),"41. Gregory")</f>
        <v>41. Gregory</v>
      </c>
      <c r="B6837" s="4" t="str">
        <f>IFERROR(__xludf.DUMMYFUNCTION("""COMPUTED_VALUE"""),"41")</f>
        <v>41</v>
      </c>
      <c r="C6837" s="5" t="str">
        <f>IFERROR(__xludf.DUMMYFUNCTION("""COMPUTED_VALUE"""),"https://drive.google.com/file/d/1HAU-OEUfw0j-UFEdwpuI1km5pWr0zTn6/view?usp=drivesdk")</f>
        <v>https://drive.google.com/file/d/1HAU-OEUfw0j-UFEdwpuI1km5pWr0zTn6/view?usp=drivesdk</v>
      </c>
      <c r="D6837" s="12"/>
      <c r="E6837" s="11">
        <v>6885.0</v>
      </c>
      <c r="F6837" s="2"/>
    </row>
    <row r="6838" ht="1.5" customHeight="1">
      <c r="A6838" s="4" t="str">
        <f>IFERROR(__xludf.DUMMYFUNCTION("""COMPUTED_VALUE"""),"41. Gregory, 125. Conan Gray")</f>
        <v>41. Gregory, 125. Conan Gray</v>
      </c>
      <c r="B6838" s="4" t="str">
        <f>IFERROR(__xludf.DUMMYFUNCTION("""COMPUTED_VALUE"""),"41, 125")</f>
        <v>41, 125</v>
      </c>
      <c r="C6838" s="5" t="str">
        <f>IFERROR(__xludf.DUMMYFUNCTION("""COMPUTED_VALUE"""),"https://drive.google.com/file/d/1bkWdNdeYUgKHNcTaHf9OoIBADu6LRCz0/view?usp=drivesdk")</f>
        <v>https://drive.google.com/file/d/1bkWdNdeYUgKHNcTaHf9OoIBADu6LRCz0/view?usp=drivesdk</v>
      </c>
      <c r="D6838" s="12"/>
      <c r="E6838" s="11">
        <v>6886.0</v>
      </c>
      <c r="F6838" s="2"/>
    </row>
    <row r="6839" ht="1.5" customHeight="1">
      <c r="A6839" s="4" t="str">
        <f>IFERROR(__xludf.DUMMYFUNCTION("""COMPUTED_VALUE"""),"41. Gregory, 125. Conan Gray")</f>
        <v>41. Gregory, 125. Conan Gray</v>
      </c>
      <c r="B6839" s="4" t="str">
        <f>IFERROR(__xludf.DUMMYFUNCTION("""COMPUTED_VALUE"""),"41, 125")</f>
        <v>41, 125</v>
      </c>
      <c r="C6839" s="5" t="str">
        <f>IFERROR(__xludf.DUMMYFUNCTION("""COMPUTED_VALUE"""),"https://drive.google.com/file/d/1RNeSeG_zzKmkEY1dEQTMKmPpsoomrNU8/view?usp=drivesdk")</f>
        <v>https://drive.google.com/file/d/1RNeSeG_zzKmkEY1dEQTMKmPpsoomrNU8/view?usp=drivesdk</v>
      </c>
      <c r="D6839" s="12"/>
      <c r="E6839" s="11">
        <v>6887.0</v>
      </c>
      <c r="F6839" s="2"/>
    </row>
    <row r="6840" ht="1.5" customHeight="1">
      <c r="A6840" s="4" t="str">
        <f>IFERROR(__xludf.DUMMYFUNCTION("""COMPUTED_VALUE"""),"41. Gregory, 125. Conan Gray")</f>
        <v>41. Gregory, 125. Conan Gray</v>
      </c>
      <c r="B6840" s="4" t="str">
        <f>IFERROR(__xludf.DUMMYFUNCTION("""COMPUTED_VALUE"""),"41, 125")</f>
        <v>41, 125</v>
      </c>
      <c r="C6840" s="5" t="str">
        <f>IFERROR(__xludf.DUMMYFUNCTION("""COMPUTED_VALUE"""),"https://drive.google.com/file/d/1XtcH_U9XQEks6rxFW4Q483EQCejwEBvl/view?usp=drivesdk")</f>
        <v>https://drive.google.com/file/d/1XtcH_U9XQEks6rxFW4Q483EQCejwEBvl/view?usp=drivesdk</v>
      </c>
      <c r="D6840" s="12"/>
      <c r="E6840" s="11">
        <v>6888.0</v>
      </c>
      <c r="F6840" s="2"/>
    </row>
    <row r="6841" ht="1.5" customHeight="1">
      <c r="A6841" s="4" t="str">
        <f>IFERROR(__xludf.DUMMYFUNCTION("""COMPUTED_VALUE"""),"41. Gregory")</f>
        <v>41. Gregory</v>
      </c>
      <c r="B6841" s="4" t="str">
        <f>IFERROR(__xludf.DUMMYFUNCTION("""COMPUTED_VALUE"""),"41")</f>
        <v>41</v>
      </c>
      <c r="C6841" s="5" t="str">
        <f>IFERROR(__xludf.DUMMYFUNCTION("""COMPUTED_VALUE"""),"https://drive.google.com/file/d/1V2BGZO1savSC3AP4lWHjnCRA2Ox0Yf99/view?usp=drivesdk")</f>
        <v>https://drive.google.com/file/d/1V2BGZO1savSC3AP4lWHjnCRA2Ox0Yf99/view?usp=drivesdk</v>
      </c>
      <c r="D6841" s="12"/>
      <c r="E6841" s="11">
        <v>6889.0</v>
      </c>
      <c r="F6841" s="2"/>
    </row>
    <row r="6842" ht="1.5" customHeight="1">
      <c r="A6842" s="4" t="str">
        <f>IFERROR(__xludf.DUMMYFUNCTION("""COMPUTED_VALUE"""),"62. Gorygreg")</f>
        <v>62. Gorygreg</v>
      </c>
      <c r="B6842" s="4" t="str">
        <f>IFERROR(__xludf.DUMMYFUNCTION("""COMPUTED_VALUE"""),"62")</f>
        <v>62</v>
      </c>
      <c r="C6842" s="5" t="str">
        <f>IFERROR(__xludf.DUMMYFUNCTION("""COMPUTED_VALUE"""),"https://drive.google.com/file/d/1Orq-EC6zlaK9ma_4gRRhXZz2S-vxBBS-/view?usp=drivesdk")</f>
        <v>https://drive.google.com/file/d/1Orq-EC6zlaK9ma_4gRRhXZz2S-vxBBS-/view?usp=drivesdk</v>
      </c>
      <c r="D6842" s="12"/>
      <c r="E6842" s="11">
        <v>6890.0</v>
      </c>
      <c r="F6842" s="2"/>
    </row>
    <row r="6843" ht="1.5" customHeight="1">
      <c r="A6843" s="4" t="str">
        <f>IFERROR(__xludf.DUMMYFUNCTION("""COMPUTED_VALUE"""),"62. Gorygreg, 125. Conan Gray, 102. Keaton, 124. Yumi")</f>
        <v>62. Gorygreg, 125. Conan Gray, 102. Keaton, 124. Yumi</v>
      </c>
      <c r="B6843" s="4" t="str">
        <f>IFERROR(__xludf.DUMMYFUNCTION("""COMPUTED_VALUE"""),"62, 125, 102, 124")</f>
        <v>62, 125, 102, 124</v>
      </c>
      <c r="C6843" s="5" t="str">
        <f>IFERROR(__xludf.DUMMYFUNCTION("""COMPUTED_VALUE"""),"https://drive.google.com/file/d/1aKVuSQwVH_uAdUVeudVmAc1IROaIGkLC/view?usp=drivesdk")</f>
        <v>https://drive.google.com/file/d/1aKVuSQwVH_uAdUVeudVmAc1IROaIGkLC/view?usp=drivesdk</v>
      </c>
      <c r="D6843" s="12"/>
      <c r="E6843" s="11">
        <v>6891.0</v>
      </c>
      <c r="F6843" s="2"/>
    </row>
    <row r="6844" ht="1.5" customHeight="1">
      <c r="A6844" s="4" t="str">
        <f>IFERROR(__xludf.DUMMYFUNCTION("""COMPUTED_VALUE"""),"62. Gorygreg, 125. Conan Gray, 102. Keaton, 124. Yumi")</f>
        <v>62. Gorygreg, 125. Conan Gray, 102. Keaton, 124. Yumi</v>
      </c>
      <c r="B6844" s="4" t="str">
        <f>IFERROR(__xludf.DUMMYFUNCTION("""COMPUTED_VALUE"""),"62, 125, 102, 124")</f>
        <v>62, 125, 102, 124</v>
      </c>
      <c r="C6844" s="5" t="str">
        <f>IFERROR(__xludf.DUMMYFUNCTION("""COMPUTED_VALUE"""),"https://drive.google.com/file/d/1EDlL_8RSUjYHK9vno41BqXKUvIZDlNpA/view?usp=drivesdk")</f>
        <v>https://drive.google.com/file/d/1EDlL_8RSUjYHK9vno41BqXKUvIZDlNpA/view?usp=drivesdk</v>
      </c>
      <c r="D6844" s="12"/>
      <c r="E6844" s="11">
        <v>6892.0</v>
      </c>
      <c r="F6844" s="2"/>
    </row>
    <row r="6845" ht="1.5" customHeight="1">
      <c r="A6845" s="4" t="str">
        <f>IFERROR(__xludf.DUMMYFUNCTION("""COMPUTED_VALUE"""),"62. Gorygreg, 125. Conan Gray, 102. Keaton, 124. Yumi")</f>
        <v>62. Gorygreg, 125. Conan Gray, 102. Keaton, 124. Yumi</v>
      </c>
      <c r="B6845" s="4" t="str">
        <f>IFERROR(__xludf.DUMMYFUNCTION("""COMPUTED_VALUE"""),"62, 125, 102, 124")</f>
        <v>62, 125, 102, 124</v>
      </c>
      <c r="C6845" s="5" t="str">
        <f>IFERROR(__xludf.DUMMYFUNCTION("""COMPUTED_VALUE"""),"https://drive.google.com/file/d/1TKvQ0pHlJ4PXAM3uYYDBqG47PKsAB2uE/view?usp=drivesdk")</f>
        <v>https://drive.google.com/file/d/1TKvQ0pHlJ4PXAM3uYYDBqG47PKsAB2uE/view?usp=drivesdk</v>
      </c>
      <c r="D6845" s="12"/>
      <c r="E6845" s="11">
        <v>6893.0</v>
      </c>
      <c r="F6845" s="2"/>
    </row>
    <row r="6846" ht="1.5" customHeight="1">
      <c r="A6846" s="4" t="str">
        <f>IFERROR(__xludf.DUMMYFUNCTION("""COMPUTED_VALUE"""),"95. Ariel, 128. Sinatra")</f>
        <v>95. Ariel, 128. Sinatra</v>
      </c>
      <c r="B6846" s="4" t="str">
        <f>IFERROR(__xludf.DUMMYFUNCTION("""COMPUTED_VALUE"""),"95, 128")</f>
        <v>95, 128</v>
      </c>
      <c r="C6846" s="5" t="str">
        <f>IFERROR(__xludf.DUMMYFUNCTION("""COMPUTED_VALUE"""),"https://drive.google.com/file/d/1CCD57_HS89xe-TZim54-YojPdUvpPJaR/view?usp=drivesdk")</f>
        <v>https://drive.google.com/file/d/1CCD57_HS89xe-TZim54-YojPdUvpPJaR/view?usp=drivesdk</v>
      </c>
      <c r="D6846" s="12"/>
      <c r="E6846" s="11">
        <v>6894.0</v>
      </c>
      <c r="F6846" s="2"/>
    </row>
    <row r="6847" ht="1.5" customHeight="1">
      <c r="A6847" s="4" t="str">
        <f>IFERROR(__xludf.DUMMYFUNCTION("""COMPUTED_VALUE"""),"128. Sinatra")</f>
        <v>128. Sinatra</v>
      </c>
      <c r="B6847" s="4" t="str">
        <f>IFERROR(__xludf.DUMMYFUNCTION("""COMPUTED_VALUE"""),"128")</f>
        <v>128</v>
      </c>
      <c r="C6847" s="5" t="str">
        <f>IFERROR(__xludf.DUMMYFUNCTION("""COMPUTED_VALUE"""),"https://drive.google.com/file/d/1lzrqW4YYvfRL7DMUae1oLfAZEZFp-8jw/view?usp=drivesdk")</f>
        <v>https://drive.google.com/file/d/1lzrqW4YYvfRL7DMUae1oLfAZEZFp-8jw/view?usp=drivesdk</v>
      </c>
      <c r="D6847" s="12"/>
      <c r="E6847" s="11">
        <v>6895.0</v>
      </c>
      <c r="F6847" s="2"/>
    </row>
    <row r="6848" ht="1.5" customHeight="1">
      <c r="A6848" s="4" t="str">
        <f>IFERROR(__xludf.DUMMYFUNCTION("""COMPUTED_VALUE"""),"124. Yumi, 125. Conan Gray")</f>
        <v>124. Yumi, 125. Conan Gray</v>
      </c>
      <c r="B6848" s="4" t="str">
        <f>IFERROR(__xludf.DUMMYFUNCTION("""COMPUTED_VALUE"""),"124, 125")</f>
        <v>124, 125</v>
      </c>
      <c r="C6848" s="5" t="str">
        <f>IFERROR(__xludf.DUMMYFUNCTION("""COMPUTED_VALUE"""),"https://drive.google.com/file/d/16f3PzEnoymSY8PqayjKPTY2xB0_MD29C/view?usp=drivesdk")</f>
        <v>https://drive.google.com/file/d/16f3PzEnoymSY8PqayjKPTY2xB0_MD29C/view?usp=drivesdk</v>
      </c>
      <c r="D6848" s="12"/>
      <c r="E6848" s="11">
        <v>6896.0</v>
      </c>
      <c r="F6848" s="2"/>
    </row>
    <row r="6849" ht="1.5" customHeight="1">
      <c r="A6849" s="4" t="str">
        <f>IFERROR(__xludf.DUMMYFUNCTION("""COMPUTED_VALUE"""),"125. Conan Gray, 124. Yumi")</f>
        <v>125. Conan Gray, 124. Yumi</v>
      </c>
      <c r="B6849" s="4" t="str">
        <f>IFERROR(__xludf.DUMMYFUNCTION("""COMPUTED_VALUE"""),"125, 124")</f>
        <v>125, 124</v>
      </c>
      <c r="C6849" s="5" t="str">
        <f>IFERROR(__xludf.DUMMYFUNCTION("""COMPUTED_VALUE"""),"https://drive.google.com/file/d/1SR34dFwYAUuK6RczVfuZY0M--APCAC2T/view?usp=drivesdk")</f>
        <v>https://drive.google.com/file/d/1SR34dFwYAUuK6RczVfuZY0M--APCAC2T/view?usp=drivesdk</v>
      </c>
      <c r="D6849" s="12"/>
      <c r="E6849" s="11">
        <v>6897.0</v>
      </c>
      <c r="F6849" s="2"/>
    </row>
    <row r="6850" ht="1.5" customHeight="1">
      <c r="A6850" s="4" t="str">
        <f>IFERROR(__xludf.DUMMYFUNCTION("""COMPUTED_VALUE"""),"47. Nefarious")</f>
        <v>47. Nefarious</v>
      </c>
      <c r="B6850" s="4" t="str">
        <f>IFERROR(__xludf.DUMMYFUNCTION("""COMPUTED_VALUE"""),"47")</f>
        <v>47</v>
      </c>
      <c r="C6850" s="5" t="str">
        <f>IFERROR(__xludf.DUMMYFUNCTION("""COMPUTED_VALUE"""),"https://drive.google.com/file/d/1AGwvhJ34pDYlJ_eSI8E_5WkV2onPCnqo/view?usp=drivesdk")</f>
        <v>https://drive.google.com/file/d/1AGwvhJ34pDYlJ_eSI8E_5WkV2onPCnqo/view?usp=drivesdk</v>
      </c>
      <c r="D6850" s="12"/>
      <c r="E6850" s="11">
        <v>6898.0</v>
      </c>
      <c r="F6850" s="2"/>
    </row>
    <row r="6851" ht="1.5" customHeight="1">
      <c r="A6851" s="4" t="str">
        <f>IFERROR(__xludf.DUMMYFUNCTION("""COMPUTED_VALUE"""),"47. Nefarious")</f>
        <v>47. Nefarious</v>
      </c>
      <c r="B6851" s="4" t="str">
        <f>IFERROR(__xludf.DUMMYFUNCTION("""COMPUTED_VALUE"""),"47")</f>
        <v>47</v>
      </c>
      <c r="C6851" s="5" t="str">
        <f>IFERROR(__xludf.DUMMYFUNCTION("""COMPUTED_VALUE"""),"https://drive.google.com/file/d/1gNfmWLj3ll5wncwZfFQuFR6TWR4TNweF/view?usp=drivesdk")</f>
        <v>https://drive.google.com/file/d/1gNfmWLj3ll5wncwZfFQuFR6TWR4TNweF/view?usp=drivesdk</v>
      </c>
      <c r="D6851" s="12"/>
      <c r="E6851" s="11">
        <v>6899.0</v>
      </c>
      <c r="F6851" s="2"/>
    </row>
    <row r="6852" ht="1.5" customHeight="1">
      <c r="A6852" s="4" t="str">
        <f>IFERROR(__xludf.DUMMYFUNCTION("""COMPUTED_VALUE"""),"47. Nefarious")</f>
        <v>47. Nefarious</v>
      </c>
      <c r="B6852" s="4" t="str">
        <f>IFERROR(__xludf.DUMMYFUNCTION("""COMPUTED_VALUE"""),"47")</f>
        <v>47</v>
      </c>
      <c r="C6852" s="5" t="str">
        <f>IFERROR(__xludf.DUMMYFUNCTION("""COMPUTED_VALUE"""),"https://drive.google.com/file/d/1enPyKb4xM0V-pSWfQlM0R1YnoJeJzP0E/view?usp=drivesdk")</f>
        <v>https://drive.google.com/file/d/1enPyKb4xM0V-pSWfQlM0R1YnoJeJzP0E/view?usp=drivesdk</v>
      </c>
      <c r="D6852" s="12"/>
      <c r="E6852" s="11">
        <v>6900.0</v>
      </c>
      <c r="F6852" s="2"/>
    </row>
    <row r="6853" ht="1.5" customHeight="1">
      <c r="A6853" s="4" t="str">
        <f>IFERROR(__xludf.DUMMYFUNCTION("""COMPUTED_VALUE"""),"0. NotACat")</f>
        <v>0. NotACat</v>
      </c>
      <c r="B6853" s="4" t="str">
        <f>IFERROR(__xludf.DUMMYFUNCTION("""COMPUTED_VALUE"""),"0")</f>
        <v>0</v>
      </c>
      <c r="C6853" s="5" t="str">
        <f>IFERROR(__xludf.DUMMYFUNCTION("""COMPUTED_VALUE"""),"https://drive.google.com/file/d/1C7QGbFqR6i9ALd8pmIm6e3qD_nZzdM04/view?usp=drivesdk")</f>
        <v>https://drive.google.com/file/d/1C7QGbFqR6i9ALd8pmIm6e3qD_nZzdM04/view?usp=drivesdk</v>
      </c>
      <c r="D6853" s="12"/>
      <c r="E6853" s="11">
        <v>6901.0</v>
      </c>
      <c r="F6853" s="2"/>
    </row>
    <row r="6854" ht="1.5" customHeight="1">
      <c r="A6854" s="4" t="str">
        <f>IFERROR(__xludf.DUMMYFUNCTION("""COMPUTED_VALUE"""),"4. Eggs")</f>
        <v>4. Eggs</v>
      </c>
      <c r="B6854" s="4" t="str">
        <f>IFERROR(__xludf.DUMMYFUNCTION("""COMPUTED_VALUE"""),"4")</f>
        <v>4</v>
      </c>
      <c r="C6854" s="5" t="str">
        <f>IFERROR(__xludf.DUMMYFUNCTION("""COMPUTED_VALUE"""),"https://drive.google.com/file/d/1MXP1XCy9bT6W34iBzeAmTOkK4o8TjByw/view?usp=drivesdk")</f>
        <v>https://drive.google.com/file/d/1MXP1XCy9bT6W34iBzeAmTOkK4o8TjByw/view?usp=drivesdk</v>
      </c>
      <c r="D6854" s="12"/>
      <c r="E6854" s="11">
        <v>6902.0</v>
      </c>
      <c r="F6854" s="2"/>
    </row>
    <row r="6855" ht="1.5" customHeight="1">
      <c r="A6855" s="4" t="str">
        <f>IFERROR(__xludf.DUMMYFUNCTION("""COMPUTED_VALUE"""),"99. Nezhui")</f>
        <v>99. Nezhui</v>
      </c>
      <c r="B6855" s="4" t="str">
        <f>IFERROR(__xludf.DUMMYFUNCTION("""COMPUTED_VALUE"""),"99")</f>
        <v>99</v>
      </c>
      <c r="C6855" s="5" t="str">
        <f>IFERROR(__xludf.DUMMYFUNCTION("""COMPUTED_VALUE"""),"https://drive.google.com/file/d/1Yo9cDOXHPEAhPVX9xdp3GEizWAOe3gXm/view?usp=drivesdk")</f>
        <v>https://drive.google.com/file/d/1Yo9cDOXHPEAhPVX9xdp3GEizWAOe3gXm/view?usp=drivesdk</v>
      </c>
      <c r="D6855" s="12"/>
      <c r="E6855" s="11">
        <v>6903.0</v>
      </c>
      <c r="F6855" s="2"/>
    </row>
    <row r="6856" ht="1.5" customHeight="1">
      <c r="A6856" s="4" t="str">
        <f>IFERROR(__xludf.DUMMYFUNCTION("""COMPUTED_VALUE"""),"65. Tepi")</f>
        <v>65. Tepi</v>
      </c>
      <c r="B6856" s="4" t="str">
        <f>IFERROR(__xludf.DUMMYFUNCTION("""COMPUTED_VALUE"""),"65")</f>
        <v>65</v>
      </c>
      <c r="C6856" s="5" t="str">
        <f>IFERROR(__xludf.DUMMYFUNCTION("""COMPUTED_VALUE"""),"https://drive.google.com/file/d/1-VllVEwJ54U4l_92ISEG4u-kGzAjtVvD/view?usp=drivesdk")</f>
        <v>https://drive.google.com/file/d/1-VllVEwJ54U4l_92ISEG4u-kGzAjtVvD/view?usp=drivesdk</v>
      </c>
      <c r="D6856" s="12"/>
      <c r="E6856" s="11">
        <v>6904.0</v>
      </c>
      <c r="F6856" s="2"/>
    </row>
    <row r="6857" ht="1.5" customHeight="1">
      <c r="A6857" s="4" t="str">
        <f>IFERROR(__xludf.DUMMYFUNCTION("""COMPUTED_VALUE"""),"20. Citlali, 65. Tepi")</f>
        <v>20. Citlali, 65. Tepi</v>
      </c>
      <c r="B6857" s="4" t="str">
        <f>IFERROR(__xludf.DUMMYFUNCTION("""COMPUTED_VALUE"""),"20, 65")</f>
        <v>20, 65</v>
      </c>
      <c r="C6857" s="5" t="str">
        <f>IFERROR(__xludf.DUMMYFUNCTION("""COMPUTED_VALUE"""),"https://drive.google.com/file/d/1YfDV6uLAfWN-ByXutclFTh94wDpvBgB9/view?usp=drivesdk")</f>
        <v>https://drive.google.com/file/d/1YfDV6uLAfWN-ByXutclFTh94wDpvBgB9/view?usp=drivesdk</v>
      </c>
      <c r="D6857" s="12"/>
      <c r="E6857" s="11">
        <v>6905.0</v>
      </c>
      <c r="F6857" s="2"/>
    </row>
    <row r="6858" ht="1.5" customHeight="1">
      <c r="A6858" s="4" t="str">
        <f>IFERROR(__xludf.DUMMYFUNCTION("""COMPUTED_VALUE"""),"65. Tepi, 20. Citlali")</f>
        <v>65. Tepi, 20. Citlali</v>
      </c>
      <c r="B6858" s="4" t="str">
        <f>IFERROR(__xludf.DUMMYFUNCTION("""COMPUTED_VALUE"""),"65, 20")</f>
        <v>65, 20</v>
      </c>
      <c r="C6858" s="5" t="str">
        <f>IFERROR(__xludf.DUMMYFUNCTION("""COMPUTED_VALUE"""),"https://drive.google.com/file/d/1PHG4Q2Rfh8s6jdWn083jVJpgHwLoYIDz/view?usp=drivesdk")</f>
        <v>https://drive.google.com/file/d/1PHG4Q2Rfh8s6jdWn083jVJpgHwLoYIDz/view?usp=drivesdk</v>
      </c>
      <c r="D6858" s="12"/>
      <c r="E6858" s="11">
        <v>6906.0</v>
      </c>
      <c r="F6858" s="2"/>
    </row>
    <row r="6859" ht="1.5" customHeight="1">
      <c r="A6859" s="4" t="str">
        <f>IFERROR(__xludf.DUMMYFUNCTION("""COMPUTED_VALUE"""),"20. Citlali, 65. Tepi")</f>
        <v>20. Citlali, 65. Tepi</v>
      </c>
      <c r="B6859" s="4" t="str">
        <f>IFERROR(__xludf.DUMMYFUNCTION("""COMPUTED_VALUE"""),"20, 65")</f>
        <v>20, 65</v>
      </c>
      <c r="C6859" s="5" t="str">
        <f>IFERROR(__xludf.DUMMYFUNCTION("""COMPUTED_VALUE"""),"https://drive.google.com/file/d/1x_n8_JgITYRMVHo6J_U-jUQAjAafEfmB/view?usp=drivesdk")</f>
        <v>https://drive.google.com/file/d/1x_n8_JgITYRMVHo6J_U-jUQAjAafEfmB/view?usp=drivesdk</v>
      </c>
      <c r="D6859" s="12"/>
      <c r="E6859" s="11">
        <v>6907.0</v>
      </c>
      <c r="F6859" s="2"/>
    </row>
    <row r="6860" ht="1.5" customHeight="1">
      <c r="A6860" s="4" t="str">
        <f>IFERROR(__xludf.DUMMYFUNCTION("""COMPUTED_VALUE"""),"80. Atzi")</f>
        <v>80. Atzi</v>
      </c>
      <c r="B6860" s="4" t="str">
        <f>IFERROR(__xludf.DUMMYFUNCTION("""COMPUTED_VALUE"""),"80")</f>
        <v>80</v>
      </c>
      <c r="C6860" s="5" t="str">
        <f>IFERROR(__xludf.DUMMYFUNCTION("""COMPUTED_VALUE"""),"https://drive.google.com/file/d/1NWlQviLEWrvp6SsvxINobCpS8TzySqTv/view?usp=drivesdk")</f>
        <v>https://drive.google.com/file/d/1NWlQviLEWrvp6SsvxINobCpS8TzySqTv/view?usp=drivesdk</v>
      </c>
      <c r="D6860" s="12"/>
      <c r="E6860" s="11">
        <v>6908.0</v>
      </c>
      <c r="F6860" s="2"/>
    </row>
    <row r="6861" ht="1.5" customHeight="1">
      <c r="A6861" s="4" t="str">
        <f>IFERROR(__xludf.DUMMYFUNCTION("""COMPUTED_VALUE"""),"80. Atzi")</f>
        <v>80. Atzi</v>
      </c>
      <c r="B6861" s="4" t="str">
        <f>IFERROR(__xludf.DUMMYFUNCTION("""COMPUTED_VALUE"""),"80")</f>
        <v>80</v>
      </c>
      <c r="C6861" s="5" t="str">
        <f>IFERROR(__xludf.DUMMYFUNCTION("""COMPUTED_VALUE"""),"https://drive.google.com/file/d/1aRUvEyL58LMmxXBwNrfLUFEcNs7yTX8S/view?usp=drivesdk")</f>
        <v>https://drive.google.com/file/d/1aRUvEyL58LMmxXBwNrfLUFEcNs7yTX8S/view?usp=drivesdk</v>
      </c>
      <c r="D6861" s="12"/>
      <c r="E6861" s="11">
        <v>6909.0</v>
      </c>
      <c r="F6861" s="2"/>
    </row>
    <row r="6862" ht="1.5" customHeight="1">
      <c r="A6862" s="4" t="str">
        <f>IFERROR(__xludf.DUMMYFUNCTION("""COMPUTED_VALUE"""),"99. Nezhui")</f>
        <v>99. Nezhui</v>
      </c>
      <c r="B6862" s="4" t="str">
        <f>IFERROR(__xludf.DUMMYFUNCTION("""COMPUTED_VALUE"""),"99")</f>
        <v>99</v>
      </c>
      <c r="C6862" s="5" t="str">
        <f>IFERROR(__xludf.DUMMYFUNCTION("""COMPUTED_VALUE"""),"https://drive.google.com/file/d/1TkFYQZxiGlnOm2Ae2Ao5VKpRM0zgzhD8/view?usp=drivesdk")</f>
        <v>https://drive.google.com/file/d/1TkFYQZxiGlnOm2Ae2Ao5VKpRM0zgzhD8/view?usp=drivesdk</v>
      </c>
      <c r="D6862" s="12"/>
      <c r="E6862" s="11">
        <v>6910.0</v>
      </c>
      <c r="F6862" s="2"/>
    </row>
    <row r="6863" ht="1.5" customHeight="1">
      <c r="A6863" s="4" t="str">
        <f>IFERROR(__xludf.DUMMYFUNCTION("""COMPUTED_VALUE"""),"123. Temiquini")</f>
        <v>123. Temiquini</v>
      </c>
      <c r="B6863" s="4" t="str">
        <f>IFERROR(__xludf.DUMMYFUNCTION("""COMPUTED_VALUE"""),"123")</f>
        <v>123</v>
      </c>
      <c r="C6863" s="5" t="str">
        <f>IFERROR(__xludf.DUMMYFUNCTION("""COMPUTED_VALUE"""),"https://drive.google.com/file/d/1TOX1gf6LdH3wUEqYNDRaRrkdOduPkFjg/view?usp=drivesdk")</f>
        <v>https://drive.google.com/file/d/1TOX1gf6LdH3wUEqYNDRaRrkdOduPkFjg/view?usp=drivesdk</v>
      </c>
      <c r="D6863" s="12"/>
      <c r="E6863" s="11">
        <v>6911.0</v>
      </c>
      <c r="F6863" s="2"/>
    </row>
    <row r="6864" ht="1.5" customHeight="1">
      <c r="A6864" s="4" t="str">
        <f>IFERROR(__xludf.DUMMYFUNCTION("""COMPUTED_VALUE"""),"5. Eraser")</f>
        <v>5. Eraser</v>
      </c>
      <c r="B6864" s="4" t="str">
        <f>IFERROR(__xludf.DUMMYFUNCTION("""COMPUTED_VALUE"""),"5")</f>
        <v>5</v>
      </c>
      <c r="C6864" s="5" t="str">
        <f>IFERROR(__xludf.DUMMYFUNCTION("""COMPUTED_VALUE"""),"https://drive.google.com/file/d/1rMkzYY8GpcTqVxsaX4srEh06p_3LqdF6/view?usp=drivesdk")</f>
        <v>https://drive.google.com/file/d/1rMkzYY8GpcTqVxsaX4srEh06p_3LqdF6/view?usp=drivesdk</v>
      </c>
      <c r="D6864" s="12"/>
      <c r="E6864" s="11">
        <v>6912.0</v>
      </c>
      <c r="F6864" s="2"/>
    </row>
    <row r="6865" ht="1.5" customHeight="1">
      <c r="A6865" s="4" t="str">
        <f>IFERROR(__xludf.DUMMYFUNCTION("""COMPUTED_VALUE"""),"2. Twix")</f>
        <v>2. Twix</v>
      </c>
      <c r="B6865" s="4" t="str">
        <f>IFERROR(__xludf.DUMMYFUNCTION("""COMPUTED_VALUE"""),"2")</f>
        <v>2</v>
      </c>
      <c r="C6865" s="5" t="str">
        <f>IFERROR(__xludf.DUMMYFUNCTION("""COMPUTED_VALUE"""),"https://drive.google.com/file/d/1rgvpLdDDh1wGo2VDMQjsW2PRf9Sf_MMW/view?usp=drivesdk")</f>
        <v>https://drive.google.com/file/d/1rgvpLdDDh1wGo2VDMQjsW2PRf9Sf_MMW/view?usp=drivesdk</v>
      </c>
      <c r="D6865" s="12"/>
      <c r="E6865" s="11">
        <v>6913.0</v>
      </c>
      <c r="F6865" s="2"/>
    </row>
    <row r="6866" ht="1.5" customHeight="1">
      <c r="A6866" s="4" t="str">
        <f>IFERROR(__xludf.DUMMYFUNCTION("""COMPUTED_VALUE"""),"1. Microwave")</f>
        <v>1. Microwave</v>
      </c>
      <c r="B6866" s="4" t="str">
        <f>IFERROR(__xludf.DUMMYFUNCTION("""COMPUTED_VALUE"""),"1")</f>
        <v>1</v>
      </c>
      <c r="C6866" s="5" t="str">
        <f>IFERROR(__xludf.DUMMYFUNCTION("""COMPUTED_VALUE"""),"https://drive.google.com/file/d/1bBRsHC0IXI_rghF4p8jQJt_VFyQEZ4Cw/view?usp=drivesdk")</f>
        <v>https://drive.google.com/file/d/1bBRsHC0IXI_rghF4p8jQJt_VFyQEZ4Cw/view?usp=drivesdk</v>
      </c>
      <c r="D6866" s="12"/>
      <c r="E6866" s="11">
        <v>6914.0</v>
      </c>
      <c r="F6866" s="2"/>
    </row>
    <row r="6867" ht="1.5" customHeight="1">
      <c r="A6867" s="4" t="str">
        <f>IFERROR(__xludf.DUMMYFUNCTION("""COMPUTED_VALUE"""),"1. Microwave")</f>
        <v>1. Microwave</v>
      </c>
      <c r="B6867" s="4" t="str">
        <f>IFERROR(__xludf.DUMMYFUNCTION("""COMPUTED_VALUE"""),"1")</f>
        <v>1</v>
      </c>
      <c r="C6867" s="5" t="str">
        <f>IFERROR(__xludf.DUMMYFUNCTION("""COMPUTED_VALUE"""),"https://drive.google.com/file/d/1bKnNJr_ynN4Q5_DyBTFIItfDhKFzMVcD/view?usp=drivesdk")</f>
        <v>https://drive.google.com/file/d/1bKnNJr_ynN4Q5_DyBTFIItfDhKFzMVcD/view?usp=drivesdk</v>
      </c>
      <c r="D6867" s="12"/>
      <c r="E6867" s="11">
        <v>6915.0</v>
      </c>
      <c r="F6867" s="2"/>
    </row>
    <row r="6868" ht="1.5" customHeight="1">
      <c r="A6868" s="4" t="str">
        <f>IFERROR(__xludf.DUMMYFUNCTION("""COMPUTED_VALUE"""),"1. Microwave")</f>
        <v>1. Microwave</v>
      </c>
      <c r="B6868" s="4" t="str">
        <f>IFERROR(__xludf.DUMMYFUNCTION("""COMPUTED_VALUE"""),"1")</f>
        <v>1</v>
      </c>
      <c r="C6868" s="5" t="str">
        <f>IFERROR(__xludf.DUMMYFUNCTION("""COMPUTED_VALUE"""),"https://drive.google.com/file/d/1kbQrVTar2_JZta8izfx_hQR0D8tfj_IX/view?usp=drivesdk")</f>
        <v>https://drive.google.com/file/d/1kbQrVTar2_JZta8izfx_hQR0D8tfj_IX/view?usp=drivesdk</v>
      </c>
      <c r="D6868" s="12"/>
      <c r="E6868" s="11">
        <v>6916.0</v>
      </c>
      <c r="F6868" s="2"/>
    </row>
    <row r="6869" ht="1.5" customHeight="1">
      <c r="A6869" s="4" t="str">
        <f>IFERROR(__xludf.DUMMYFUNCTION("""COMPUTED_VALUE"""),"1. Microwave")</f>
        <v>1. Microwave</v>
      </c>
      <c r="B6869" s="4" t="str">
        <f>IFERROR(__xludf.DUMMYFUNCTION("""COMPUTED_VALUE"""),"1")</f>
        <v>1</v>
      </c>
      <c r="C6869" s="5" t="str">
        <f>IFERROR(__xludf.DUMMYFUNCTION("""COMPUTED_VALUE"""),"https://drive.google.com/file/d/17dP70irU-pqKWEpPwwptrKkvFLdGRqXF/view?usp=drivesdk")</f>
        <v>https://drive.google.com/file/d/17dP70irU-pqKWEpPwwptrKkvFLdGRqXF/view?usp=drivesdk</v>
      </c>
      <c r="D6869" s="12"/>
      <c r="E6869" s="11">
        <v>6917.0</v>
      </c>
      <c r="F6869" s="2"/>
    </row>
    <row r="6870" ht="1.5" customHeight="1">
      <c r="A6870" s="4" t="str">
        <f>IFERROR(__xludf.DUMMYFUNCTION("""COMPUTED_VALUE"""),"96. Barbie")</f>
        <v>96. Barbie</v>
      </c>
      <c r="B6870" s="4" t="str">
        <f>IFERROR(__xludf.DUMMYFUNCTION("""COMPUTED_VALUE"""),"96")</f>
        <v>96</v>
      </c>
      <c r="C6870" s="5" t="str">
        <f>IFERROR(__xludf.DUMMYFUNCTION("""COMPUTED_VALUE"""),"https://drive.google.com/file/d/1Gscu-7PEgupSNBJNt-_NrFCMXbwZsuTG/view?usp=drivesdk")</f>
        <v>https://drive.google.com/file/d/1Gscu-7PEgupSNBJNt-_NrFCMXbwZsuTG/view?usp=drivesdk</v>
      </c>
      <c r="D6870" s="12"/>
      <c r="E6870" s="11">
        <v>6918.0</v>
      </c>
      <c r="F6870" s="2"/>
    </row>
    <row r="6871" ht="1.5" customHeight="1">
      <c r="A6871" s="4" t="str">
        <f>IFERROR(__xludf.DUMMYFUNCTION("""COMPUTED_VALUE"""),"1. Microwave")</f>
        <v>1. Microwave</v>
      </c>
      <c r="B6871" s="4" t="str">
        <f>IFERROR(__xludf.DUMMYFUNCTION("""COMPUTED_VALUE"""),"1")</f>
        <v>1</v>
      </c>
      <c r="C6871" s="5" t="str">
        <f>IFERROR(__xludf.DUMMYFUNCTION("""COMPUTED_VALUE"""),"https://drive.google.com/file/d/1WUQK7UUxHiaJ-H2UAxbwKQCDdiJzXzwr/view?usp=drivesdk")</f>
        <v>https://drive.google.com/file/d/1WUQK7UUxHiaJ-H2UAxbwKQCDdiJzXzwr/view?usp=drivesdk</v>
      </c>
      <c r="D6871" s="12"/>
      <c r="E6871" s="11">
        <v>6919.0</v>
      </c>
      <c r="F6871" s="2"/>
    </row>
    <row r="6872" ht="1.5" customHeight="1">
      <c r="A6872" s="4" t="str">
        <f>IFERROR(__xludf.DUMMYFUNCTION("""COMPUTED_VALUE"""),"1. Microwave")</f>
        <v>1. Microwave</v>
      </c>
      <c r="B6872" s="4" t="str">
        <f>IFERROR(__xludf.DUMMYFUNCTION("""COMPUTED_VALUE"""),"1")</f>
        <v>1</v>
      </c>
      <c r="C6872" s="5" t="str">
        <f>IFERROR(__xludf.DUMMYFUNCTION("""COMPUTED_VALUE"""),"https://drive.google.com/file/d/12IO2mNoPfe9-mMrRR2Uyrvqg6KpH4tVA/view?usp=drivesdk")</f>
        <v>https://drive.google.com/file/d/12IO2mNoPfe9-mMrRR2Uyrvqg6KpH4tVA/view?usp=drivesdk</v>
      </c>
      <c r="D6872" s="12"/>
      <c r="E6872" s="11">
        <v>6920.0</v>
      </c>
      <c r="F6872" s="2"/>
    </row>
    <row r="6873" ht="1.5" customHeight="1">
      <c r="A6873" s="4" t="str">
        <f>IFERROR(__xludf.DUMMYFUNCTION("""COMPUTED_VALUE"""),"1. Microwave")</f>
        <v>1. Microwave</v>
      </c>
      <c r="B6873" s="4" t="str">
        <f>IFERROR(__xludf.DUMMYFUNCTION("""COMPUTED_VALUE"""),"1")</f>
        <v>1</v>
      </c>
      <c r="C6873" s="5" t="str">
        <f>IFERROR(__xludf.DUMMYFUNCTION("""COMPUTED_VALUE"""),"https://drive.google.com/file/d/1kKs3JxOKpv8FkveaZxzbKYcfxzr-pBoM/view?usp=drivesdk")</f>
        <v>https://drive.google.com/file/d/1kKs3JxOKpv8FkveaZxzbKYcfxzr-pBoM/view?usp=drivesdk</v>
      </c>
      <c r="D6873" s="12"/>
      <c r="E6873" s="11">
        <v>6921.0</v>
      </c>
      <c r="F6873" s="2"/>
    </row>
    <row r="6874" ht="1.5" customHeight="1">
      <c r="A6874" s="4" t="str">
        <f>IFERROR(__xludf.DUMMYFUNCTION("""COMPUTED_VALUE"""),"115. Toothless")</f>
        <v>115. Toothless</v>
      </c>
      <c r="B6874" s="4" t="str">
        <f>IFERROR(__xludf.DUMMYFUNCTION("""COMPUTED_VALUE"""),"115")</f>
        <v>115</v>
      </c>
      <c r="C6874" s="5" t="str">
        <f>IFERROR(__xludf.DUMMYFUNCTION("""COMPUTED_VALUE"""),"https://drive.google.com/file/d/1nKbsb6SXqIObatsF8Vqv0Fq7wgh0e7DF/view?usp=drivesdk")</f>
        <v>https://drive.google.com/file/d/1nKbsb6SXqIObatsF8Vqv0Fq7wgh0e7DF/view?usp=drivesdk</v>
      </c>
      <c r="D6874" s="12"/>
      <c r="E6874" s="11">
        <v>6922.0</v>
      </c>
      <c r="F6874" s="2"/>
    </row>
    <row r="6875" ht="1.5" customHeight="1">
      <c r="A6875" s="4" t="str">
        <f>IFERROR(__xludf.DUMMYFUNCTION("""COMPUTED_VALUE"""),"1. Microwave")</f>
        <v>1. Microwave</v>
      </c>
      <c r="B6875" s="4" t="str">
        <f>IFERROR(__xludf.DUMMYFUNCTION("""COMPUTED_VALUE"""),"1")</f>
        <v>1</v>
      </c>
      <c r="C6875" s="5" t="str">
        <f>IFERROR(__xludf.DUMMYFUNCTION("""COMPUTED_VALUE"""),"https://drive.google.com/file/d/1tlFJsMr2GhzASJrfU94lliHQoyTpr1vx/view?usp=drivesdk")</f>
        <v>https://drive.google.com/file/d/1tlFJsMr2GhzASJrfU94lliHQoyTpr1vx/view?usp=drivesdk</v>
      </c>
      <c r="D6875" s="12"/>
      <c r="E6875" s="11">
        <v>6923.0</v>
      </c>
      <c r="F6875" s="2"/>
    </row>
    <row r="6876" ht="1.5" customHeight="1">
      <c r="A6876" s="4" t="str">
        <f>IFERROR(__xludf.DUMMYFUNCTION("""COMPUTED_VALUE"""),"1. Microwave")</f>
        <v>1. Microwave</v>
      </c>
      <c r="B6876" s="4" t="str">
        <f>IFERROR(__xludf.DUMMYFUNCTION("""COMPUTED_VALUE"""),"1")</f>
        <v>1</v>
      </c>
      <c r="C6876" s="5" t="str">
        <f>IFERROR(__xludf.DUMMYFUNCTION("""COMPUTED_VALUE"""),"https://drive.google.com/file/d/1fLHA7ua0gvBMCICCqAt1XfnoiARQpwSW/view?usp=drivesdk")</f>
        <v>https://drive.google.com/file/d/1fLHA7ua0gvBMCICCqAt1XfnoiARQpwSW/view?usp=drivesdk</v>
      </c>
      <c r="D6876" s="12"/>
      <c r="E6876" s="11">
        <v>6924.0</v>
      </c>
      <c r="F6876" s="2"/>
    </row>
    <row r="6877" ht="1.5" customHeight="1">
      <c r="A6877" s="4" t="str">
        <f>IFERROR(__xludf.DUMMYFUNCTION("""COMPUTED_VALUE"""),"1. Microwave")</f>
        <v>1. Microwave</v>
      </c>
      <c r="B6877" s="4" t="str">
        <f>IFERROR(__xludf.DUMMYFUNCTION("""COMPUTED_VALUE"""),"1")</f>
        <v>1</v>
      </c>
      <c r="C6877" s="5" t="str">
        <f>IFERROR(__xludf.DUMMYFUNCTION("""COMPUTED_VALUE"""),"https://drive.google.com/file/d/1VXwBTDd-LRy6o0dKwo-BhHxEuNe-i7tF/view?usp=drivesdk")</f>
        <v>https://drive.google.com/file/d/1VXwBTDd-LRy6o0dKwo-BhHxEuNe-i7tF/view?usp=drivesdk</v>
      </c>
      <c r="D6877" s="12"/>
      <c r="E6877" s="11">
        <v>6925.0</v>
      </c>
      <c r="F6877" s="2"/>
    </row>
    <row r="6878" ht="1.5" customHeight="1">
      <c r="A6878" s="4" t="str">
        <f>IFERROR(__xludf.DUMMYFUNCTION("""COMPUTED_VALUE"""),"0. NotACat")</f>
        <v>0. NotACat</v>
      </c>
      <c r="B6878" s="4" t="str">
        <f>IFERROR(__xludf.DUMMYFUNCTION("""COMPUTED_VALUE"""),"0")</f>
        <v>0</v>
      </c>
      <c r="C6878" s="5" t="str">
        <f>IFERROR(__xludf.DUMMYFUNCTION("""COMPUTED_VALUE"""),"https://drive.google.com/file/d/1kX_cwoo7fbVfiGrQ6PMUtqVTHVYM26Xt/view?usp=drivesdk")</f>
        <v>https://drive.google.com/file/d/1kX_cwoo7fbVfiGrQ6PMUtqVTHVYM26Xt/view?usp=drivesdk</v>
      </c>
      <c r="D6878" s="12"/>
      <c r="E6878" s="11">
        <v>6926.0</v>
      </c>
      <c r="F6878" s="2"/>
    </row>
    <row r="6879" ht="1.5" customHeight="1">
      <c r="A6879" s="4" t="str">
        <f>IFERROR(__xludf.DUMMYFUNCTION("""COMPUTED_VALUE"""),"0. NotACat")</f>
        <v>0. NotACat</v>
      </c>
      <c r="B6879" s="4" t="str">
        <f>IFERROR(__xludf.DUMMYFUNCTION("""COMPUTED_VALUE"""),"0")</f>
        <v>0</v>
      </c>
      <c r="C6879" s="5" t="str">
        <f>IFERROR(__xludf.DUMMYFUNCTION("""COMPUTED_VALUE"""),"https://drive.google.com/file/d/19qaPa4YeaqYwBQKAle1aYraHZ_IxcMfz/view?usp=drivesdk")</f>
        <v>https://drive.google.com/file/d/19qaPa4YeaqYwBQKAle1aYraHZ_IxcMfz/view?usp=drivesdk</v>
      </c>
      <c r="D6879" s="12"/>
      <c r="E6879" s="11">
        <v>6927.0</v>
      </c>
      <c r="F6879" s="2"/>
    </row>
    <row r="6880" ht="1.5" customHeight="1">
      <c r="A6880" s="4" t="str">
        <f>IFERROR(__xludf.DUMMYFUNCTION("""COMPUTED_VALUE"""),"1. Microwave")</f>
        <v>1. Microwave</v>
      </c>
      <c r="B6880" s="4" t="str">
        <f>IFERROR(__xludf.DUMMYFUNCTION("""COMPUTED_VALUE"""),"1")</f>
        <v>1</v>
      </c>
      <c r="C6880" s="5" t="str">
        <f>IFERROR(__xludf.DUMMYFUNCTION("""COMPUTED_VALUE"""),"https://drive.google.com/file/d/1D_HCyhn8FIQfWkeGEBVDXEzWQgJcbBB_/view?usp=drivesdk")</f>
        <v>https://drive.google.com/file/d/1D_HCyhn8FIQfWkeGEBVDXEzWQgJcbBB_/view?usp=drivesdk</v>
      </c>
      <c r="D6880" s="12"/>
      <c r="E6880" s="11">
        <v>6928.0</v>
      </c>
      <c r="F6880" s="2"/>
    </row>
    <row r="6881" ht="1.5" customHeight="1">
      <c r="A6881" s="4" t="str">
        <f>IFERROR(__xludf.DUMMYFUNCTION("""COMPUTED_VALUE"""),"115. Toothless")</f>
        <v>115. Toothless</v>
      </c>
      <c r="B6881" s="4" t="str">
        <f>IFERROR(__xludf.DUMMYFUNCTION("""COMPUTED_VALUE"""),"115")</f>
        <v>115</v>
      </c>
      <c r="C6881" s="5" t="str">
        <f>IFERROR(__xludf.DUMMYFUNCTION("""COMPUTED_VALUE"""),"https://drive.google.com/file/d/15bVcYjef-1oKnGJ-VvHO7cWltz4AlWKr/view?usp=drivesdk")</f>
        <v>https://drive.google.com/file/d/15bVcYjef-1oKnGJ-VvHO7cWltz4AlWKr/view?usp=drivesdk</v>
      </c>
      <c r="D6881" s="12"/>
      <c r="E6881" s="11">
        <v>6929.0</v>
      </c>
      <c r="F6881" s="2"/>
    </row>
    <row r="6882" ht="1.5" customHeight="1">
      <c r="A6882" s="4" t="str">
        <f>IFERROR(__xludf.DUMMYFUNCTION("""COMPUTED_VALUE"""),"2. Twix")</f>
        <v>2. Twix</v>
      </c>
      <c r="B6882" s="4" t="str">
        <f>IFERROR(__xludf.DUMMYFUNCTION("""COMPUTED_VALUE"""),"2")</f>
        <v>2</v>
      </c>
      <c r="C6882" s="5" t="str">
        <f>IFERROR(__xludf.DUMMYFUNCTION("""COMPUTED_VALUE"""),"https://drive.google.com/file/d/1ypBP38-KeSHCQAJ8vcP1rvtq3df-tLHS/view?usp=drivesdk")</f>
        <v>https://drive.google.com/file/d/1ypBP38-KeSHCQAJ8vcP1rvtq3df-tLHS/view?usp=drivesdk</v>
      </c>
      <c r="D6882" s="12"/>
      <c r="E6882" s="11">
        <v>6930.0</v>
      </c>
      <c r="F6882" s="2"/>
    </row>
    <row r="6883" ht="1.5" customHeight="1">
      <c r="A6883" s="4" t="str">
        <f>IFERROR(__xludf.DUMMYFUNCTION("""COMPUTED_VALUE"""),"2. Twix")</f>
        <v>2. Twix</v>
      </c>
      <c r="B6883" s="4" t="str">
        <f>IFERROR(__xludf.DUMMYFUNCTION("""COMPUTED_VALUE"""),"2")</f>
        <v>2</v>
      </c>
      <c r="C6883" s="5" t="str">
        <f>IFERROR(__xludf.DUMMYFUNCTION("""COMPUTED_VALUE"""),"https://drive.google.com/file/d/1RZbgcRB8_QcvU9SeISaKGG76ri7_75QD/view?usp=drivesdk")</f>
        <v>https://drive.google.com/file/d/1RZbgcRB8_QcvU9SeISaKGG76ri7_75QD/view?usp=drivesdk</v>
      </c>
      <c r="D6883" s="12"/>
      <c r="E6883" s="11">
        <v>6931.0</v>
      </c>
      <c r="F6883" s="2"/>
    </row>
    <row r="6884" ht="1.5" customHeight="1">
      <c r="A6884" s="4" t="str">
        <f>IFERROR(__xludf.DUMMYFUNCTION("""COMPUTED_VALUE"""),"2. Twix")</f>
        <v>2. Twix</v>
      </c>
      <c r="B6884" s="4" t="str">
        <f>IFERROR(__xludf.DUMMYFUNCTION("""COMPUTED_VALUE"""),"2")</f>
        <v>2</v>
      </c>
      <c r="C6884" s="5" t="str">
        <f>IFERROR(__xludf.DUMMYFUNCTION("""COMPUTED_VALUE"""),"https://drive.google.com/file/d/1ThCnmPAkFf0NJ3mpKSdZ3YUdKlUuk4TD/view?usp=drivesdk")</f>
        <v>https://drive.google.com/file/d/1ThCnmPAkFf0NJ3mpKSdZ3YUdKlUuk4TD/view?usp=drivesdk</v>
      </c>
      <c r="D6884" s="12"/>
      <c r="E6884" s="11">
        <v>6932.0</v>
      </c>
      <c r="F6884" s="2"/>
    </row>
    <row r="6885" ht="1.5" customHeight="1">
      <c r="A6885" s="4" t="str">
        <f>IFERROR(__xludf.DUMMYFUNCTION("""COMPUTED_VALUE"""),"65. Tepi")</f>
        <v>65. Tepi</v>
      </c>
      <c r="B6885" s="4" t="str">
        <f>IFERROR(__xludf.DUMMYFUNCTION("""COMPUTED_VALUE"""),"65")</f>
        <v>65</v>
      </c>
      <c r="C6885" s="5" t="str">
        <f>IFERROR(__xludf.DUMMYFUNCTION("""COMPUTED_VALUE"""),"https://drive.google.com/file/d/1AWKqjvPUOzIUsycZWgnzaM7otge1Noli/view?usp=drivesdk")</f>
        <v>https://drive.google.com/file/d/1AWKqjvPUOzIUsycZWgnzaM7otge1Noli/view?usp=drivesdk</v>
      </c>
      <c r="D6885" s="12"/>
      <c r="E6885" s="11">
        <v>6933.0</v>
      </c>
      <c r="F6885" s="2"/>
    </row>
    <row r="6886" ht="1.5" customHeight="1">
      <c r="A6886" s="4" t="str">
        <f>IFERROR(__xludf.DUMMYFUNCTION("""COMPUTED_VALUE"""),"123. Temiquini, 80. Atzi")</f>
        <v>123. Temiquini, 80. Atzi</v>
      </c>
      <c r="B6886" s="4" t="str">
        <f>IFERROR(__xludf.DUMMYFUNCTION("""COMPUTED_VALUE"""),"123, 80")</f>
        <v>123, 80</v>
      </c>
      <c r="C6886" s="5" t="str">
        <f>IFERROR(__xludf.DUMMYFUNCTION("""COMPUTED_VALUE"""),"https://drive.google.com/file/d/1RaRsZUjuJAu5KFKkuynNFzKLhY1bZPOv/view?usp=drivesdk")</f>
        <v>https://drive.google.com/file/d/1RaRsZUjuJAu5KFKkuynNFzKLhY1bZPOv/view?usp=drivesdk</v>
      </c>
      <c r="D6886" s="12"/>
      <c r="E6886" s="11">
        <v>6934.0</v>
      </c>
      <c r="F6886" s="2"/>
    </row>
    <row r="6887" ht="1.5" customHeight="1">
      <c r="A6887" s="4" t="str">
        <f>IFERROR(__xludf.DUMMYFUNCTION("""COMPUTED_VALUE"""),"99. Nezhui, 123. Temiquini")</f>
        <v>99. Nezhui, 123. Temiquini</v>
      </c>
      <c r="B6887" s="4" t="str">
        <f>IFERROR(__xludf.DUMMYFUNCTION("""COMPUTED_VALUE"""),"99, 123")</f>
        <v>99, 123</v>
      </c>
      <c r="C6887" s="5" t="str">
        <f>IFERROR(__xludf.DUMMYFUNCTION("""COMPUTED_VALUE"""),"https://drive.google.com/file/d/1d1QCLdiO-06negds-PXKyRJkPI7DKl8L/view?usp=drivesdk")</f>
        <v>https://drive.google.com/file/d/1d1QCLdiO-06negds-PXKyRJkPI7DKl8L/view?usp=drivesdk</v>
      </c>
      <c r="D6887" s="12"/>
      <c r="E6887" s="11">
        <v>6935.0</v>
      </c>
      <c r="F6887" s="2"/>
    </row>
    <row r="6888" ht="1.5" customHeight="1">
      <c r="A6888" s="4" t="str">
        <f>IFERROR(__xludf.DUMMYFUNCTION("""COMPUTED_VALUE"""),"123. Temiquini")</f>
        <v>123. Temiquini</v>
      </c>
      <c r="B6888" s="4" t="str">
        <f>IFERROR(__xludf.DUMMYFUNCTION("""COMPUTED_VALUE"""),"123")</f>
        <v>123</v>
      </c>
      <c r="C6888" s="5" t="str">
        <f>IFERROR(__xludf.DUMMYFUNCTION("""COMPUTED_VALUE"""),"https://drive.google.com/file/d/1aSC7iW4Htt--A9J3i5SZbjQmfQ7gPmuI/view?usp=drivesdk")</f>
        <v>https://drive.google.com/file/d/1aSC7iW4Htt--A9J3i5SZbjQmfQ7gPmuI/view?usp=drivesdk</v>
      </c>
      <c r="D6888" s="12"/>
      <c r="E6888" s="11">
        <v>6936.0</v>
      </c>
      <c r="F6888" s="2"/>
    </row>
    <row r="6889" ht="1.5" customHeight="1">
      <c r="A6889" s="4" t="str">
        <f>IFERROR(__xludf.DUMMYFUNCTION("""COMPUTED_VALUE"""),"5. Eraser")</f>
        <v>5. Eraser</v>
      </c>
      <c r="B6889" s="4" t="str">
        <f>IFERROR(__xludf.DUMMYFUNCTION("""COMPUTED_VALUE"""),"5")</f>
        <v>5</v>
      </c>
      <c r="C6889" s="5" t="str">
        <f>IFERROR(__xludf.DUMMYFUNCTION("""COMPUTED_VALUE"""),"https://drive.google.com/file/d/1eV2OEbHN7SDtaKVMMGO0TcdzKC-LZtAg/view?usp=drivesdk")</f>
        <v>https://drive.google.com/file/d/1eV2OEbHN7SDtaKVMMGO0TcdzKC-LZtAg/view?usp=drivesdk</v>
      </c>
      <c r="D6889" s="12"/>
      <c r="E6889" s="11">
        <v>6937.0</v>
      </c>
      <c r="F6889" s="2"/>
    </row>
    <row r="6890" ht="1.5" customHeight="1">
      <c r="A6890" s="4" t="str">
        <f>IFERROR(__xludf.DUMMYFUNCTION("""COMPUTED_VALUE"""),"4. Eggs, 5. Eraser")</f>
        <v>4. Eggs, 5. Eraser</v>
      </c>
      <c r="B6890" s="4" t="str">
        <f>IFERROR(__xludf.DUMMYFUNCTION("""COMPUTED_VALUE"""),"4, 5")</f>
        <v>4, 5</v>
      </c>
      <c r="C6890" s="5" t="str">
        <f>IFERROR(__xludf.DUMMYFUNCTION("""COMPUTED_VALUE"""),"https://drive.google.com/file/d/1UO6zAWq8siTSJmWtbZ5a1J3FnXYubY3X/view?usp=drivesdk")</f>
        <v>https://drive.google.com/file/d/1UO6zAWq8siTSJmWtbZ5a1J3FnXYubY3X/view?usp=drivesdk</v>
      </c>
      <c r="D6890" s="12"/>
      <c r="E6890" s="11">
        <v>6938.0</v>
      </c>
      <c r="F6890" s="2"/>
    </row>
    <row r="6891" ht="1.5" customHeight="1">
      <c r="A6891" s="4" t="str">
        <f>IFERROR(__xludf.DUMMYFUNCTION("""COMPUTED_VALUE"""),"4. Eggs")</f>
        <v>4. Eggs</v>
      </c>
      <c r="B6891" s="4" t="str">
        <f>IFERROR(__xludf.DUMMYFUNCTION("""COMPUTED_VALUE"""),"4")</f>
        <v>4</v>
      </c>
      <c r="C6891" s="5" t="str">
        <f>IFERROR(__xludf.DUMMYFUNCTION("""COMPUTED_VALUE"""),"https://drive.google.com/file/d/1R7IMCZeUkQoDe0BMYPUq98_-lOkHOppj/view?usp=drivesdk")</f>
        <v>https://drive.google.com/file/d/1R7IMCZeUkQoDe0BMYPUq98_-lOkHOppj/view?usp=drivesdk</v>
      </c>
      <c r="D6891" s="12"/>
      <c r="E6891" s="11">
        <v>6939.0</v>
      </c>
      <c r="F6891" s="2"/>
    </row>
    <row r="6892" ht="1.5" customHeight="1">
      <c r="A6892" s="4" t="str">
        <f>IFERROR(__xludf.DUMMYFUNCTION("""COMPUTED_VALUE"""),"146. Monsieur Stanky")</f>
        <v>146. Monsieur Stanky</v>
      </c>
      <c r="B6892" s="4" t="str">
        <f>IFERROR(__xludf.DUMMYFUNCTION("""COMPUTED_VALUE"""),"146")</f>
        <v>146</v>
      </c>
      <c r="C6892" s="5" t="str">
        <f>IFERROR(__xludf.DUMMYFUNCTION("""COMPUTED_VALUE"""),"https://drive.google.com/file/d/1F0FYHl28jQCWxjUNi3IMSiqp2Q04t8JG/view?usp=drivesdk")</f>
        <v>https://drive.google.com/file/d/1F0FYHl28jQCWxjUNi3IMSiqp2Q04t8JG/view?usp=drivesdk</v>
      </c>
      <c r="D6892" s="12"/>
      <c r="E6892" s="11">
        <v>6940.0</v>
      </c>
      <c r="F6892" s="2"/>
    </row>
    <row r="6893" ht="1.5" customHeight="1">
      <c r="A6893" s="4" t="str">
        <f>IFERROR(__xludf.DUMMYFUNCTION("""COMPUTED_VALUE"""),"4. Eggs, 5. Eraser")</f>
        <v>4. Eggs, 5. Eraser</v>
      </c>
      <c r="B6893" s="4" t="str">
        <f>IFERROR(__xludf.DUMMYFUNCTION("""COMPUTED_VALUE"""),"4, 5")</f>
        <v>4, 5</v>
      </c>
      <c r="C6893" s="5" t="str">
        <f>IFERROR(__xludf.DUMMYFUNCTION("""COMPUTED_VALUE"""),"https://drive.google.com/file/d/1Al7Z9wMHWgPEY1kEWPECxe8jgfpn8tvD/view?usp=drivesdk")</f>
        <v>https://drive.google.com/file/d/1Al7Z9wMHWgPEY1kEWPECxe8jgfpn8tvD/view?usp=drivesdk</v>
      </c>
      <c r="D6893" s="12"/>
      <c r="E6893" s="11">
        <v>6941.0</v>
      </c>
      <c r="F6893" s="2"/>
    </row>
    <row r="6894" ht="1.5" customHeight="1">
      <c r="A6894" s="4" t="str">
        <f>IFERROR(__xludf.DUMMYFUNCTION("""COMPUTED_VALUE"""),"1. Microwave")</f>
        <v>1. Microwave</v>
      </c>
      <c r="B6894" s="4" t="str">
        <f>IFERROR(__xludf.DUMMYFUNCTION("""COMPUTED_VALUE"""),"1")</f>
        <v>1</v>
      </c>
      <c r="C6894" s="5" t="str">
        <f>IFERROR(__xludf.DUMMYFUNCTION("""COMPUTED_VALUE"""),"https://drive.google.com/file/d/1LRNMTbD-y0gc7cu6_tfxnx85WUfkuaoH/view?usp=drivesdk")</f>
        <v>https://drive.google.com/file/d/1LRNMTbD-y0gc7cu6_tfxnx85WUfkuaoH/view?usp=drivesdk</v>
      </c>
      <c r="D6894" s="12"/>
      <c r="E6894" s="11">
        <v>6942.0</v>
      </c>
      <c r="F6894" s="2"/>
    </row>
    <row r="6895" ht="1.5" customHeight="1">
      <c r="A6895" s="4" t="str">
        <f>IFERROR(__xludf.DUMMYFUNCTION("""COMPUTED_VALUE"""),"2. Twix")</f>
        <v>2. Twix</v>
      </c>
      <c r="B6895" s="4" t="str">
        <f>IFERROR(__xludf.DUMMYFUNCTION("""COMPUTED_VALUE"""),"2")</f>
        <v>2</v>
      </c>
      <c r="C6895" s="5" t="str">
        <f>IFERROR(__xludf.DUMMYFUNCTION("""COMPUTED_VALUE"""),"https://drive.google.com/file/d/1E6YFyN1sRrr1mldN8ZSnidSNRSvowB_h/view?usp=drivesdk")</f>
        <v>https://drive.google.com/file/d/1E6YFyN1sRrr1mldN8ZSnidSNRSvowB_h/view?usp=drivesdk</v>
      </c>
      <c r="D6895" s="12"/>
      <c r="E6895" s="11">
        <v>6943.0</v>
      </c>
      <c r="F6895" s="2"/>
    </row>
    <row r="6896" ht="1.5" customHeight="1">
      <c r="A6896" s="4" t="str">
        <f>IFERROR(__xludf.DUMMYFUNCTION("""COMPUTED_VALUE"""),"4. Eggs")</f>
        <v>4. Eggs</v>
      </c>
      <c r="B6896" s="4" t="str">
        <f>IFERROR(__xludf.DUMMYFUNCTION("""COMPUTED_VALUE"""),"4")</f>
        <v>4</v>
      </c>
      <c r="C6896" s="5" t="str">
        <f>IFERROR(__xludf.DUMMYFUNCTION("""COMPUTED_VALUE"""),"https://drive.google.com/file/d/1zk8GyRuft6C4TPgV1YpMKKqD8jvcn3Wy/view?usp=drivesdk")</f>
        <v>https://drive.google.com/file/d/1zk8GyRuft6C4TPgV1YpMKKqD8jvcn3Wy/view?usp=drivesdk</v>
      </c>
      <c r="D6896" s="12"/>
      <c r="E6896" s="11">
        <v>6944.0</v>
      </c>
      <c r="F6896" s="2"/>
    </row>
    <row r="6897" ht="1.5" customHeight="1">
      <c r="A6897" s="4" t="str">
        <f>IFERROR(__xludf.DUMMYFUNCTION("""COMPUTED_VALUE"""),"1. Microwave")</f>
        <v>1. Microwave</v>
      </c>
      <c r="B6897" s="4" t="str">
        <f>IFERROR(__xludf.DUMMYFUNCTION("""COMPUTED_VALUE"""),"1")</f>
        <v>1</v>
      </c>
      <c r="C6897" s="5" t="str">
        <f>IFERROR(__xludf.DUMMYFUNCTION("""COMPUTED_VALUE"""),"https://drive.google.com/file/d/1vWbWGc6RNVSMwSeR3hs9rkfEMT1YerVJ/view?usp=drivesdk")</f>
        <v>https://drive.google.com/file/d/1vWbWGc6RNVSMwSeR3hs9rkfEMT1YerVJ/view?usp=drivesdk</v>
      </c>
      <c r="D6897" s="12"/>
      <c r="E6897" s="11">
        <v>6945.0</v>
      </c>
      <c r="F6897" s="2"/>
    </row>
    <row r="6898" ht="1.5" customHeight="1">
      <c r="A6898" s="4" t="str">
        <f>IFERROR(__xludf.DUMMYFUNCTION("""COMPUTED_VALUE"""),"1. Microwave")</f>
        <v>1. Microwave</v>
      </c>
      <c r="B6898" s="4" t="str">
        <f>IFERROR(__xludf.DUMMYFUNCTION("""COMPUTED_VALUE"""),"1")</f>
        <v>1</v>
      </c>
      <c r="C6898" s="5" t="str">
        <f>IFERROR(__xludf.DUMMYFUNCTION("""COMPUTED_VALUE"""),"https://drive.google.com/file/d/1kOOzgKFDlI5S38J90JzYp_mMFHwXqPlG/view?usp=drivesdk")</f>
        <v>https://drive.google.com/file/d/1kOOzgKFDlI5S38J90JzYp_mMFHwXqPlG/view?usp=drivesdk</v>
      </c>
      <c r="D6898" s="12"/>
      <c r="E6898" s="11">
        <v>6946.0</v>
      </c>
      <c r="F6898" s="2"/>
    </row>
    <row r="6899" ht="1.5" customHeight="1">
      <c r="A6899" s="4" t="str">
        <f>IFERROR(__xludf.DUMMYFUNCTION("""COMPUTED_VALUE"""),"1. Microwave")</f>
        <v>1. Microwave</v>
      </c>
      <c r="B6899" s="4" t="str">
        <f>IFERROR(__xludf.DUMMYFUNCTION("""COMPUTED_VALUE"""),"1")</f>
        <v>1</v>
      </c>
      <c r="C6899" s="5" t="str">
        <f>IFERROR(__xludf.DUMMYFUNCTION("""COMPUTED_VALUE"""),"https://drive.google.com/file/d/1L_uKZ0UmPepmOAVn7ZU8uRJ-H1XWeJtX/view?usp=drivesdk")</f>
        <v>https://drive.google.com/file/d/1L_uKZ0UmPepmOAVn7ZU8uRJ-H1XWeJtX/view?usp=drivesdk</v>
      </c>
      <c r="D6899" s="12"/>
      <c r="E6899" s="11">
        <v>6947.0</v>
      </c>
      <c r="F6899" s="2"/>
    </row>
    <row r="6900" ht="1.5" customHeight="1">
      <c r="A6900" s="4" t="str">
        <f>IFERROR(__xludf.DUMMYFUNCTION("""COMPUTED_VALUE"""),"1. Microwave")</f>
        <v>1. Microwave</v>
      </c>
      <c r="B6900" s="4" t="str">
        <f>IFERROR(__xludf.DUMMYFUNCTION("""COMPUTED_VALUE"""),"1")</f>
        <v>1</v>
      </c>
      <c r="C6900" s="5" t="str">
        <f>IFERROR(__xludf.DUMMYFUNCTION("""COMPUTED_VALUE"""),"https://drive.google.com/file/d/1Y4GsEKZqUHyV_vA3AYYkyFa7QcDDrVSV/view?usp=drivesdk")</f>
        <v>https://drive.google.com/file/d/1Y4GsEKZqUHyV_vA3AYYkyFa7QcDDrVSV/view?usp=drivesdk</v>
      </c>
      <c r="D6900" s="12"/>
      <c r="E6900" s="11">
        <v>6948.0</v>
      </c>
      <c r="F6900" s="2"/>
    </row>
    <row r="6901" ht="1.5" customHeight="1">
      <c r="A6901" s="4" t="str">
        <f>IFERROR(__xludf.DUMMYFUNCTION("""COMPUTED_VALUE"""),"1. Microwave")</f>
        <v>1. Microwave</v>
      </c>
      <c r="B6901" s="4" t="str">
        <f>IFERROR(__xludf.DUMMYFUNCTION("""COMPUTED_VALUE"""),"1")</f>
        <v>1</v>
      </c>
      <c r="C6901" s="5" t="str">
        <f>IFERROR(__xludf.DUMMYFUNCTION("""COMPUTED_VALUE"""),"https://drive.google.com/file/d/16NHv79LeVkqEeTPc2bAYRbbgFO2OZUkX/view?usp=drivesdk")</f>
        <v>https://drive.google.com/file/d/16NHv79LeVkqEeTPc2bAYRbbgFO2OZUkX/view?usp=drivesdk</v>
      </c>
      <c r="D6901" s="12"/>
      <c r="E6901" s="11">
        <v>6949.0</v>
      </c>
      <c r="F6901" s="2"/>
    </row>
    <row r="6902" ht="1.5" customHeight="1">
      <c r="A6902" s="4" t="str">
        <f>IFERROR(__xludf.DUMMYFUNCTION("""COMPUTED_VALUE"""),"1. Microwave")</f>
        <v>1. Microwave</v>
      </c>
      <c r="B6902" s="4" t="str">
        <f>IFERROR(__xludf.DUMMYFUNCTION("""COMPUTED_VALUE"""),"1")</f>
        <v>1</v>
      </c>
      <c r="C6902" s="5" t="str">
        <f>IFERROR(__xludf.DUMMYFUNCTION("""COMPUTED_VALUE"""),"https://drive.google.com/file/d/11It4w3hW4JFk2TZM9tmEJQKMNZsnRLNJ/view?usp=drivesdk")</f>
        <v>https://drive.google.com/file/d/11It4w3hW4JFk2TZM9tmEJQKMNZsnRLNJ/view?usp=drivesdk</v>
      </c>
      <c r="D6902" s="12"/>
      <c r="E6902" s="11">
        <v>6950.0</v>
      </c>
      <c r="F6902" s="2"/>
    </row>
    <row r="6903" ht="1.5" customHeight="1">
      <c r="A6903" s="4" t="str">
        <f>IFERROR(__xludf.DUMMYFUNCTION("""COMPUTED_VALUE"""),"0. NotACat")</f>
        <v>0. NotACat</v>
      </c>
      <c r="B6903" s="4" t="str">
        <f>IFERROR(__xludf.DUMMYFUNCTION("""COMPUTED_VALUE"""),"0")</f>
        <v>0</v>
      </c>
      <c r="C6903" s="5" t="str">
        <f>IFERROR(__xludf.DUMMYFUNCTION("""COMPUTED_VALUE"""),"https://drive.google.com/file/d/1dcJ6NWBERYR-LaihxseQbHsgIC0h984n/view?usp=drivesdk")</f>
        <v>https://drive.google.com/file/d/1dcJ6NWBERYR-LaihxseQbHsgIC0h984n/view?usp=drivesdk</v>
      </c>
      <c r="D6903" s="12"/>
      <c r="E6903" s="11">
        <v>6951.0</v>
      </c>
      <c r="F6903" s="2"/>
    </row>
    <row r="6904" ht="1.5" customHeight="1">
      <c r="A6904" s="4" t="str">
        <f>IFERROR(__xludf.DUMMYFUNCTION("""COMPUTED_VALUE"""),"126. Tax Evasion")</f>
        <v>126. Tax Evasion</v>
      </c>
      <c r="B6904" s="4" t="str">
        <f>IFERROR(__xludf.DUMMYFUNCTION("""COMPUTED_VALUE"""),"126")</f>
        <v>126</v>
      </c>
      <c r="C6904" s="5" t="str">
        <f>IFERROR(__xludf.DUMMYFUNCTION("""COMPUTED_VALUE"""),"https://drive.google.com/file/d/1oo9iAFUlVd4gamdqSBqnJenC6dTUrwja/view?usp=drivesdk")</f>
        <v>https://drive.google.com/file/d/1oo9iAFUlVd4gamdqSBqnJenC6dTUrwja/view?usp=drivesdk</v>
      </c>
      <c r="D6904" s="12"/>
      <c r="E6904" s="11">
        <v>6952.0</v>
      </c>
      <c r="F6904" s="2"/>
    </row>
    <row r="6905" ht="1.5" customHeight="1">
      <c r="A6905" s="4" t="str">
        <f>IFERROR(__xludf.DUMMYFUNCTION("""COMPUTED_VALUE"""),"126. Tax Evasion")</f>
        <v>126. Tax Evasion</v>
      </c>
      <c r="B6905" s="4" t="str">
        <f>IFERROR(__xludf.DUMMYFUNCTION("""COMPUTED_VALUE"""),"126")</f>
        <v>126</v>
      </c>
      <c r="C6905" s="5" t="str">
        <f>IFERROR(__xludf.DUMMYFUNCTION("""COMPUTED_VALUE"""),"https://drive.google.com/file/d/1KlT1R8vcza0vw-HaaxdU622PfLSHdSZi/view?usp=drivesdk")</f>
        <v>https://drive.google.com/file/d/1KlT1R8vcza0vw-HaaxdU622PfLSHdSZi/view?usp=drivesdk</v>
      </c>
      <c r="D6905" s="12"/>
      <c r="E6905" s="11">
        <v>6953.0</v>
      </c>
      <c r="F6905" s="2"/>
    </row>
    <row r="6906" ht="1.5" customHeight="1">
      <c r="A6906" s="4" t="str">
        <f>IFERROR(__xludf.DUMMYFUNCTION("""COMPUTED_VALUE"""),"65. Tepi")</f>
        <v>65. Tepi</v>
      </c>
      <c r="B6906" s="4" t="str">
        <f>IFERROR(__xludf.DUMMYFUNCTION("""COMPUTED_VALUE"""),"65")</f>
        <v>65</v>
      </c>
      <c r="C6906" s="5" t="str">
        <f>IFERROR(__xludf.DUMMYFUNCTION("""COMPUTED_VALUE"""),"https://drive.google.com/file/d/1A3MjFJcWoNkmGjZLAyx0Ot_emidlw6xs/view?usp=drivesdk")</f>
        <v>https://drive.google.com/file/d/1A3MjFJcWoNkmGjZLAyx0Ot_emidlw6xs/view?usp=drivesdk</v>
      </c>
      <c r="D6906" s="12"/>
      <c r="E6906" s="11">
        <v>6954.0</v>
      </c>
      <c r="F6906" s="2"/>
    </row>
    <row r="6907" ht="1.5" customHeight="1">
      <c r="A6907" s="4" t="str">
        <f>IFERROR(__xludf.DUMMYFUNCTION("""COMPUTED_VALUE"""),"123. Temiquini")</f>
        <v>123. Temiquini</v>
      </c>
      <c r="B6907" s="4" t="str">
        <f>IFERROR(__xludf.DUMMYFUNCTION("""COMPUTED_VALUE"""),"123")</f>
        <v>123</v>
      </c>
      <c r="C6907" s="5" t="str">
        <f>IFERROR(__xludf.DUMMYFUNCTION("""COMPUTED_VALUE"""),"https://drive.google.com/file/d/1v4qAGXJiw8yTIwWGb60S1NViFAZwmwUF/view?usp=drivesdk")</f>
        <v>https://drive.google.com/file/d/1v4qAGXJiw8yTIwWGb60S1NViFAZwmwUF/view?usp=drivesdk</v>
      </c>
      <c r="D6907" s="12"/>
      <c r="E6907" s="11">
        <v>6955.0</v>
      </c>
      <c r="F6907" s="2"/>
    </row>
    <row r="6908" ht="1.5" customHeight="1">
      <c r="A6908" s="4" t="str">
        <f>IFERROR(__xludf.DUMMYFUNCTION("""COMPUTED_VALUE"""),"123. Temiquini")</f>
        <v>123. Temiquini</v>
      </c>
      <c r="B6908" s="4" t="str">
        <f>IFERROR(__xludf.DUMMYFUNCTION("""COMPUTED_VALUE"""),"123")</f>
        <v>123</v>
      </c>
      <c r="C6908" s="5" t="str">
        <f>IFERROR(__xludf.DUMMYFUNCTION("""COMPUTED_VALUE"""),"https://drive.google.com/file/d/1kp4ydzZyKNbnezqv2ZUYexfkQ6sfDSod/view?usp=drivesdk")</f>
        <v>https://drive.google.com/file/d/1kp4ydzZyKNbnezqv2ZUYexfkQ6sfDSod/view?usp=drivesdk</v>
      </c>
      <c r="D6908" s="12"/>
      <c r="E6908" s="11">
        <v>6956.0</v>
      </c>
      <c r="F6908" s="2"/>
    </row>
    <row r="6909" ht="1.5" customHeight="1">
      <c r="A6909" s="4" t="str">
        <f>IFERROR(__xludf.DUMMYFUNCTION("""COMPUTED_VALUE"""),"123. Temiquini")</f>
        <v>123. Temiquini</v>
      </c>
      <c r="B6909" s="4" t="str">
        <f>IFERROR(__xludf.DUMMYFUNCTION("""COMPUTED_VALUE"""),"123")</f>
        <v>123</v>
      </c>
      <c r="C6909" s="5" t="str">
        <f>IFERROR(__xludf.DUMMYFUNCTION("""COMPUTED_VALUE"""),"https://drive.google.com/file/d/1Q-xG_wsCiipffoXhYov3AUgeMCz1yTqj/view?usp=drivesdk")</f>
        <v>https://drive.google.com/file/d/1Q-xG_wsCiipffoXhYov3AUgeMCz1yTqj/view?usp=drivesdk</v>
      </c>
      <c r="D6909" s="12"/>
      <c r="E6909" s="11">
        <v>6957.0</v>
      </c>
      <c r="F6909" s="2"/>
    </row>
    <row r="6910" ht="1.5" customHeight="1">
      <c r="A6910" s="4" t="str">
        <f>IFERROR(__xludf.DUMMYFUNCTION("""COMPUTED_VALUE"""),"99. Nezhui")</f>
        <v>99. Nezhui</v>
      </c>
      <c r="B6910" s="4" t="str">
        <f>IFERROR(__xludf.DUMMYFUNCTION("""COMPUTED_VALUE"""),"99")</f>
        <v>99</v>
      </c>
      <c r="C6910" s="5" t="str">
        <f>IFERROR(__xludf.DUMMYFUNCTION("""COMPUTED_VALUE"""),"https://drive.google.com/file/d/1LsMG7iBov9BZyffeUWlK48vpDG6hbdOA/view?usp=drivesdk")</f>
        <v>https://drive.google.com/file/d/1LsMG7iBov9BZyffeUWlK48vpDG6hbdOA/view?usp=drivesdk</v>
      </c>
      <c r="D6910" s="12"/>
      <c r="E6910" s="11">
        <v>6958.0</v>
      </c>
      <c r="F6910" s="2"/>
    </row>
    <row r="6911" ht="1.5" customHeight="1">
      <c r="A6911" s="4" t="str">
        <f>IFERROR(__xludf.DUMMYFUNCTION("""COMPUTED_VALUE"""),"108. Mazatl")</f>
        <v>108. Mazatl</v>
      </c>
      <c r="B6911" s="4" t="str">
        <f>IFERROR(__xludf.DUMMYFUNCTION("""COMPUTED_VALUE"""),"108")</f>
        <v>108</v>
      </c>
      <c r="C6911" s="5" t="str">
        <f>IFERROR(__xludf.DUMMYFUNCTION("""COMPUTED_VALUE"""),"https://drive.google.com/file/d/1cTrPUsyAwVEmtMiJyU0xhKP62C45Oi2S/view?usp=drivesdk")</f>
        <v>https://drive.google.com/file/d/1cTrPUsyAwVEmtMiJyU0xhKP62C45Oi2S/view?usp=drivesdk</v>
      </c>
      <c r="D6911" s="12"/>
      <c r="E6911" s="11">
        <v>6959.0</v>
      </c>
      <c r="F6911" s="2"/>
    </row>
    <row r="6912" ht="1.5" customHeight="1">
      <c r="A6912" s="4" t="str">
        <f>IFERROR(__xludf.DUMMYFUNCTION("""COMPUTED_VALUE"""),"108. Mazatl, 99. Nezhui")</f>
        <v>108. Mazatl, 99. Nezhui</v>
      </c>
      <c r="B6912" s="4" t="str">
        <f>IFERROR(__xludf.DUMMYFUNCTION("""COMPUTED_VALUE"""),"108, 99")</f>
        <v>108, 99</v>
      </c>
      <c r="C6912" s="5" t="str">
        <f>IFERROR(__xludf.DUMMYFUNCTION("""COMPUTED_VALUE"""),"https://drive.google.com/file/d/1s8Xk2rInoyfpE2kkSuMVTctQYJRDyOG_/view?usp=drivesdk")</f>
        <v>https://drive.google.com/file/d/1s8Xk2rInoyfpE2kkSuMVTctQYJRDyOG_/view?usp=drivesdk</v>
      </c>
      <c r="D6912" s="12"/>
      <c r="E6912" s="11">
        <v>6960.0</v>
      </c>
      <c r="F6912" s="2"/>
    </row>
    <row r="6913" ht="1.5" customHeight="1">
      <c r="A6913" s="4" t="str">
        <f>IFERROR(__xludf.DUMMYFUNCTION("""COMPUTED_VALUE"""),"106. Ami")</f>
        <v>106. Ami</v>
      </c>
      <c r="B6913" s="4" t="str">
        <f>IFERROR(__xludf.DUMMYFUNCTION("""COMPUTED_VALUE"""),"106")</f>
        <v>106</v>
      </c>
      <c r="C6913" s="5" t="str">
        <f>IFERROR(__xludf.DUMMYFUNCTION("""COMPUTED_VALUE"""),"https://drive.google.com/file/d/11diZViGWqvrwzg0I_nK5j46huDjpDIkv/view?usp=drivesdk")</f>
        <v>https://drive.google.com/file/d/11diZViGWqvrwzg0I_nK5j46huDjpDIkv/view?usp=drivesdk</v>
      </c>
      <c r="D6913" s="12"/>
      <c r="E6913" s="11">
        <v>6961.0</v>
      </c>
      <c r="F6913" s="2"/>
    </row>
    <row r="6914" ht="1.5" customHeight="1">
      <c r="A6914" s="4" t="str">
        <f>IFERROR(__xludf.DUMMYFUNCTION("""COMPUTED_VALUE"""),"106. Ami")</f>
        <v>106. Ami</v>
      </c>
      <c r="B6914" s="4" t="str">
        <f>IFERROR(__xludf.DUMMYFUNCTION("""COMPUTED_VALUE"""),"106")</f>
        <v>106</v>
      </c>
      <c r="C6914" s="5" t="str">
        <f>IFERROR(__xludf.DUMMYFUNCTION("""COMPUTED_VALUE"""),"https://drive.google.com/file/d/1rXXfAX4lJCuB-4oWvN5uo32oNqJeAtqN/view?usp=drivesdk")</f>
        <v>https://drive.google.com/file/d/1rXXfAX4lJCuB-4oWvN5uo32oNqJeAtqN/view?usp=drivesdk</v>
      </c>
      <c r="D6914" s="12"/>
      <c r="E6914" s="11">
        <v>6962.0</v>
      </c>
      <c r="F6914" s="2"/>
    </row>
    <row r="6915" ht="1.5" customHeight="1">
      <c r="A6915" s="4" t="str">
        <f>IFERROR(__xludf.DUMMYFUNCTION("""COMPUTED_VALUE"""),"99. Nezhui")</f>
        <v>99. Nezhui</v>
      </c>
      <c r="B6915" s="4" t="str">
        <f>IFERROR(__xludf.DUMMYFUNCTION("""COMPUTED_VALUE"""),"99")</f>
        <v>99</v>
      </c>
      <c r="C6915" s="5" t="str">
        <f>IFERROR(__xludf.DUMMYFUNCTION("""COMPUTED_VALUE"""),"https://drive.google.com/file/d/1W9wjsZk8PlJFatRLgjSn54-cJed_cIrO/view?usp=drivesdk")</f>
        <v>https://drive.google.com/file/d/1W9wjsZk8PlJFatRLgjSn54-cJed_cIrO/view?usp=drivesdk</v>
      </c>
      <c r="D6915" s="12"/>
      <c r="E6915" s="11">
        <v>6963.0</v>
      </c>
      <c r="F6915" s="2"/>
    </row>
    <row r="6916" ht="1.5" customHeight="1">
      <c r="A6916" s="4" t="str">
        <f>IFERROR(__xludf.DUMMYFUNCTION("""COMPUTED_VALUE"""),"106. Ami")</f>
        <v>106. Ami</v>
      </c>
      <c r="B6916" s="4" t="str">
        <f>IFERROR(__xludf.DUMMYFUNCTION("""COMPUTED_VALUE"""),"106")</f>
        <v>106</v>
      </c>
      <c r="C6916" s="5" t="str">
        <f>IFERROR(__xludf.DUMMYFUNCTION("""COMPUTED_VALUE"""),"https://drive.google.com/file/d/1j2wpVoxlOVrEC91Gwa1HYqKkpJkUMsLi/view?usp=drivesdk")</f>
        <v>https://drive.google.com/file/d/1j2wpVoxlOVrEC91Gwa1HYqKkpJkUMsLi/view?usp=drivesdk</v>
      </c>
      <c r="D6916" s="12"/>
      <c r="E6916" s="11">
        <v>6964.0</v>
      </c>
      <c r="F6916" s="2"/>
    </row>
    <row r="6917" ht="1.5" customHeight="1">
      <c r="A6917" s="4" t="str">
        <f>IFERROR(__xludf.DUMMYFUNCTION("""COMPUTED_VALUE"""),"106. Ami")</f>
        <v>106. Ami</v>
      </c>
      <c r="B6917" s="4" t="str">
        <f>IFERROR(__xludf.DUMMYFUNCTION("""COMPUTED_VALUE"""),"106")</f>
        <v>106</v>
      </c>
      <c r="C6917" s="5" t="str">
        <f>IFERROR(__xludf.DUMMYFUNCTION("""COMPUTED_VALUE"""),"https://drive.google.com/file/d/1lwJ2g9Gj9-vb5sdbEofUFD3BA_nJ_BQT/view?usp=drivesdk")</f>
        <v>https://drive.google.com/file/d/1lwJ2g9Gj9-vb5sdbEofUFD3BA_nJ_BQT/view?usp=drivesdk</v>
      </c>
      <c r="D6917" s="12"/>
      <c r="E6917" s="11">
        <v>6965.0</v>
      </c>
      <c r="F6917" s="2"/>
    </row>
    <row r="6918" ht="1.5" customHeight="1">
      <c r="A6918" s="4" t="str">
        <f>IFERROR(__xludf.DUMMYFUNCTION("""COMPUTED_VALUE"""),"123. Temiquini")</f>
        <v>123. Temiquini</v>
      </c>
      <c r="B6918" s="4" t="str">
        <f>IFERROR(__xludf.DUMMYFUNCTION("""COMPUTED_VALUE"""),"123")</f>
        <v>123</v>
      </c>
      <c r="C6918" s="5" t="str">
        <f>IFERROR(__xludf.DUMMYFUNCTION("""COMPUTED_VALUE"""),"https://drive.google.com/file/d/1WR1SNsTY3cXM_LTq-21wzI7UONfwK_d8/view?usp=drivesdk")</f>
        <v>https://drive.google.com/file/d/1WR1SNsTY3cXM_LTq-21wzI7UONfwK_d8/view?usp=drivesdk</v>
      </c>
      <c r="D6918" s="12"/>
      <c r="E6918" s="11">
        <v>6966.0</v>
      </c>
      <c r="F6918" s="2"/>
    </row>
    <row r="6919" ht="1.5" customHeight="1">
      <c r="A6919" s="4" t="str">
        <f>IFERROR(__xludf.DUMMYFUNCTION("""COMPUTED_VALUE"""),"1. Microwave")</f>
        <v>1. Microwave</v>
      </c>
      <c r="B6919" s="4" t="str">
        <f>IFERROR(__xludf.DUMMYFUNCTION("""COMPUTED_VALUE"""),"1")</f>
        <v>1</v>
      </c>
      <c r="C6919" s="5" t="str">
        <f>IFERROR(__xludf.DUMMYFUNCTION("""COMPUTED_VALUE"""),"https://drive.google.com/file/d/16eCJPqvi-RAuoIXcLJO8uHz7IUt8Rloc/view?usp=drivesdk")</f>
        <v>https://drive.google.com/file/d/16eCJPqvi-RAuoIXcLJO8uHz7IUt8Rloc/view?usp=drivesdk</v>
      </c>
      <c r="D6919" s="12"/>
      <c r="E6919" s="11">
        <v>6967.0</v>
      </c>
      <c r="F6919" s="2"/>
    </row>
    <row r="6920" ht="1.5" customHeight="1">
      <c r="A6920" s="4" t="str">
        <f>IFERROR(__xludf.DUMMYFUNCTION("""COMPUTED_VALUE"""),"1. Microwave")</f>
        <v>1. Microwave</v>
      </c>
      <c r="B6920" s="4" t="str">
        <f>IFERROR(__xludf.DUMMYFUNCTION("""COMPUTED_VALUE"""),"1")</f>
        <v>1</v>
      </c>
      <c r="C6920" s="5" t="str">
        <f>IFERROR(__xludf.DUMMYFUNCTION("""COMPUTED_VALUE"""),"https://drive.google.com/file/d/12RpkK3CYUovN_BZBHVMn54bizsj_5B5N/view?usp=drivesdk")</f>
        <v>https://drive.google.com/file/d/12RpkK3CYUovN_BZBHVMn54bizsj_5B5N/view?usp=drivesdk</v>
      </c>
      <c r="D6920" s="12"/>
      <c r="E6920" s="11">
        <v>6968.0</v>
      </c>
      <c r="F6920" s="2"/>
    </row>
    <row r="6921" ht="1.5" customHeight="1">
      <c r="A6921" s="4" t="str">
        <f>IFERROR(__xludf.DUMMYFUNCTION("""COMPUTED_VALUE"""),"1. Microwave")</f>
        <v>1. Microwave</v>
      </c>
      <c r="B6921" s="4" t="str">
        <f>IFERROR(__xludf.DUMMYFUNCTION("""COMPUTED_VALUE"""),"1")</f>
        <v>1</v>
      </c>
      <c r="C6921" s="5" t="str">
        <f>IFERROR(__xludf.DUMMYFUNCTION("""COMPUTED_VALUE"""),"https://drive.google.com/file/d/1l3-5VlUHq8_8Uu_HJzlc5FOJ_k_fxl75/view?usp=drivesdk")</f>
        <v>https://drive.google.com/file/d/1l3-5VlUHq8_8Uu_HJzlc5FOJ_k_fxl75/view?usp=drivesdk</v>
      </c>
      <c r="D6921" s="12"/>
      <c r="E6921" s="11">
        <v>6969.0</v>
      </c>
      <c r="F6921" s="2"/>
    </row>
    <row r="6922" ht="1.5" customHeight="1">
      <c r="A6922" s="4" t="str">
        <f>IFERROR(__xludf.DUMMYFUNCTION("""COMPUTED_VALUE"""),"1. Microwave")</f>
        <v>1. Microwave</v>
      </c>
      <c r="B6922" s="4" t="str">
        <f>IFERROR(__xludf.DUMMYFUNCTION("""COMPUTED_VALUE"""),"1")</f>
        <v>1</v>
      </c>
      <c r="C6922" s="5" t="str">
        <f>IFERROR(__xludf.DUMMYFUNCTION("""COMPUTED_VALUE"""),"https://drive.google.com/file/d/1KhbX0qQobys6j1n9w5kjIDeQ_3Hz_xdj/view?usp=drivesdk")</f>
        <v>https://drive.google.com/file/d/1KhbX0qQobys6j1n9w5kjIDeQ_3Hz_xdj/view?usp=drivesdk</v>
      </c>
      <c r="D6922" s="12"/>
      <c r="E6922" s="11">
        <v>6970.0</v>
      </c>
      <c r="F6922" s="2"/>
    </row>
    <row r="6923" ht="1.5" customHeight="1">
      <c r="A6923" s="4" t="str">
        <f>IFERROR(__xludf.DUMMYFUNCTION("""COMPUTED_VALUE"""),"5. Eraser")</f>
        <v>5. Eraser</v>
      </c>
      <c r="B6923" s="4" t="str">
        <f>IFERROR(__xludf.DUMMYFUNCTION("""COMPUTED_VALUE"""),"5")</f>
        <v>5</v>
      </c>
      <c r="C6923" s="5" t="str">
        <f>IFERROR(__xludf.DUMMYFUNCTION("""COMPUTED_VALUE"""),"https://drive.google.com/file/d/1foZVa_piULro_noaisCgYhIWVae0LEw2/view?usp=drivesdk")</f>
        <v>https://drive.google.com/file/d/1foZVa_piULro_noaisCgYhIWVae0LEw2/view?usp=drivesdk</v>
      </c>
      <c r="D6923" s="12"/>
      <c r="E6923" s="11">
        <v>6971.0</v>
      </c>
      <c r="F6923" s="2"/>
    </row>
    <row r="6924" ht="1.5" customHeight="1">
      <c r="A6924" s="4" t="str">
        <f>IFERROR(__xludf.DUMMYFUNCTION("""COMPUTED_VALUE"""),"4. Eggs")</f>
        <v>4. Eggs</v>
      </c>
      <c r="B6924" s="4" t="str">
        <f>IFERROR(__xludf.DUMMYFUNCTION("""COMPUTED_VALUE"""),"4")</f>
        <v>4</v>
      </c>
      <c r="C6924" s="5" t="str">
        <f>IFERROR(__xludf.DUMMYFUNCTION("""COMPUTED_VALUE"""),"https://drive.google.com/file/d/1K7Z7uBvsZ8kGrYzrtNh62QlsSPW9JMID/view?usp=drivesdk")</f>
        <v>https://drive.google.com/file/d/1K7Z7uBvsZ8kGrYzrtNh62QlsSPW9JMID/view?usp=drivesdk</v>
      </c>
      <c r="D6924" s="12"/>
      <c r="E6924" s="11">
        <v>6972.0</v>
      </c>
      <c r="F6924" s="2"/>
    </row>
    <row r="6925" ht="1.5" customHeight="1">
      <c r="A6925" s="4" t="str">
        <f>IFERROR(__xludf.DUMMYFUNCTION("""COMPUTED_VALUE"""),"2. Twix")</f>
        <v>2. Twix</v>
      </c>
      <c r="B6925" s="4" t="str">
        <f>IFERROR(__xludf.DUMMYFUNCTION("""COMPUTED_VALUE"""),"2")</f>
        <v>2</v>
      </c>
      <c r="C6925" s="5" t="str">
        <f>IFERROR(__xludf.DUMMYFUNCTION("""COMPUTED_VALUE"""),"https://drive.google.com/file/d/1mEW_2RWO9_bgMQqr__u5CsfWO5kH756q/view?usp=drivesdk")</f>
        <v>https://drive.google.com/file/d/1mEW_2RWO9_bgMQqr__u5CsfWO5kH756q/view?usp=drivesdk</v>
      </c>
      <c r="D6925" s="12"/>
      <c r="E6925" s="11">
        <v>6973.0</v>
      </c>
      <c r="F6925" s="2"/>
    </row>
    <row r="6926" ht="1.5" customHeight="1">
      <c r="A6926" s="4" t="str">
        <f>IFERROR(__xludf.DUMMYFUNCTION("""COMPUTED_VALUE"""),"2. Twix")</f>
        <v>2. Twix</v>
      </c>
      <c r="B6926" s="4" t="str">
        <f>IFERROR(__xludf.DUMMYFUNCTION("""COMPUTED_VALUE"""),"2")</f>
        <v>2</v>
      </c>
      <c r="C6926" s="5" t="str">
        <f>IFERROR(__xludf.DUMMYFUNCTION("""COMPUTED_VALUE"""),"https://drive.google.com/file/d/1o2taTCK_oXkxcQhm3us-8rt--D95tIyW/view?usp=drivesdk")</f>
        <v>https://drive.google.com/file/d/1o2taTCK_oXkxcQhm3us-8rt--D95tIyW/view?usp=drivesdk</v>
      </c>
      <c r="D6926" s="12"/>
      <c r="E6926" s="11">
        <v>6974.0</v>
      </c>
      <c r="F6926" s="2"/>
    </row>
    <row r="6927" ht="1.5" customHeight="1">
      <c r="A6927" s="4" t="str">
        <f>IFERROR(__xludf.DUMMYFUNCTION("""COMPUTED_VALUE"""),"2. Twix")</f>
        <v>2. Twix</v>
      </c>
      <c r="B6927" s="4" t="str">
        <f>IFERROR(__xludf.DUMMYFUNCTION("""COMPUTED_VALUE"""),"2")</f>
        <v>2</v>
      </c>
      <c r="C6927" s="5" t="str">
        <f>IFERROR(__xludf.DUMMYFUNCTION("""COMPUTED_VALUE"""),"https://drive.google.com/file/d/1DmGGbCKJCx7hpyoI8MZsF8ediXMnvPVU/view?usp=drivesdk")</f>
        <v>https://drive.google.com/file/d/1DmGGbCKJCx7hpyoI8MZsF8ediXMnvPVU/view?usp=drivesdk</v>
      </c>
      <c r="D6927" s="12"/>
      <c r="E6927" s="11">
        <v>6975.0</v>
      </c>
      <c r="F6927" s="2"/>
    </row>
    <row r="6928" ht="1.5" customHeight="1">
      <c r="A6928" s="4" t="str">
        <f>IFERROR(__xludf.DUMMYFUNCTION("""COMPUTED_VALUE"""),"4. Eggs, 5. Eraser")</f>
        <v>4. Eggs, 5. Eraser</v>
      </c>
      <c r="B6928" s="4" t="str">
        <f>IFERROR(__xludf.DUMMYFUNCTION("""COMPUTED_VALUE"""),"4, 5")</f>
        <v>4, 5</v>
      </c>
      <c r="C6928" s="5" t="str">
        <f>IFERROR(__xludf.DUMMYFUNCTION("""COMPUTED_VALUE"""),"https://drive.google.com/file/d/1Hm5cNHlErS5OJmHVPWzswM34wiLhxelr/view?usp=drivesdk")</f>
        <v>https://drive.google.com/file/d/1Hm5cNHlErS5OJmHVPWzswM34wiLhxelr/view?usp=drivesdk</v>
      </c>
      <c r="D6928" s="12"/>
      <c r="E6928" s="11">
        <v>6976.0</v>
      </c>
      <c r="F6928" s="2"/>
    </row>
    <row r="6929" ht="1.5" customHeight="1">
      <c r="A6929" s="4" t="str">
        <f>IFERROR(__xludf.DUMMYFUNCTION("""COMPUTED_VALUE"""),"1. Microwave")</f>
        <v>1. Microwave</v>
      </c>
      <c r="B6929" s="4" t="str">
        <f>IFERROR(__xludf.DUMMYFUNCTION("""COMPUTED_VALUE"""),"1")</f>
        <v>1</v>
      </c>
      <c r="C6929" s="5" t="str">
        <f>IFERROR(__xludf.DUMMYFUNCTION("""COMPUTED_VALUE"""),"https://drive.google.com/file/d/1FVc8kxRKBt_L7EdaKi5jCr6wzTIIyd05/view?usp=drivesdk")</f>
        <v>https://drive.google.com/file/d/1FVc8kxRKBt_L7EdaKi5jCr6wzTIIyd05/view?usp=drivesdk</v>
      </c>
      <c r="D6929" s="12"/>
      <c r="E6929" s="11">
        <v>6977.0</v>
      </c>
      <c r="F6929" s="2"/>
    </row>
    <row r="6930" ht="1.5" customHeight="1">
      <c r="A6930" s="4" t="str">
        <f>IFERROR(__xludf.DUMMYFUNCTION("""COMPUTED_VALUE"""),"27. Angel")</f>
        <v>27. Angel</v>
      </c>
      <c r="B6930" s="4" t="str">
        <f>IFERROR(__xludf.DUMMYFUNCTION("""COMPUTED_VALUE"""),"27")</f>
        <v>27</v>
      </c>
      <c r="C6930" s="5" t="str">
        <f>IFERROR(__xludf.DUMMYFUNCTION("""COMPUTED_VALUE"""),"https://drive.google.com/file/d/1BCGmk0xK4lqplZVCwuhA7Tc2FLBlZO0P/view?usp=drivesdk")</f>
        <v>https://drive.google.com/file/d/1BCGmk0xK4lqplZVCwuhA7Tc2FLBlZO0P/view?usp=drivesdk</v>
      </c>
      <c r="D6930" s="12"/>
      <c r="E6930" s="11">
        <v>6978.0</v>
      </c>
      <c r="F6930" s="2"/>
    </row>
    <row r="6931" ht="1.5" customHeight="1">
      <c r="A6931" s="4" t="str">
        <f>IFERROR(__xludf.DUMMYFUNCTION("""COMPUTED_VALUE"""),"30. Pepper, 27. Angel")</f>
        <v>30. Pepper, 27. Angel</v>
      </c>
      <c r="B6931" s="4" t="str">
        <f>IFERROR(__xludf.DUMMYFUNCTION("""COMPUTED_VALUE"""),"30, 27")</f>
        <v>30, 27</v>
      </c>
      <c r="C6931" s="5" t="str">
        <f>IFERROR(__xludf.DUMMYFUNCTION("""COMPUTED_VALUE"""),"https://drive.google.com/file/d/1Lcw0VPwf4eHkumBY_pKFz9kaGdwt56r7/view?usp=drivesdk")</f>
        <v>https://drive.google.com/file/d/1Lcw0VPwf4eHkumBY_pKFz9kaGdwt56r7/view?usp=drivesdk</v>
      </c>
      <c r="D6931" s="12"/>
      <c r="E6931" s="11">
        <v>6979.0</v>
      </c>
      <c r="F6931" s="2"/>
    </row>
    <row r="6932" ht="1.5" customHeight="1">
      <c r="A6932" s="4" t="str">
        <f>IFERROR(__xludf.DUMMYFUNCTION("""COMPUTED_VALUE"""),"29. Ginger")</f>
        <v>29. Ginger</v>
      </c>
      <c r="B6932" s="4" t="str">
        <f>IFERROR(__xludf.DUMMYFUNCTION("""COMPUTED_VALUE"""),"29")</f>
        <v>29</v>
      </c>
      <c r="C6932" s="5" t="str">
        <f>IFERROR(__xludf.DUMMYFUNCTION("""COMPUTED_VALUE"""),"https://drive.google.com/file/d/19S7rIOtokUUOlOX6wQk1B3yiEszJ4Mdw/view?usp=drivesdk")</f>
        <v>https://drive.google.com/file/d/19S7rIOtokUUOlOX6wQk1B3yiEszJ4Mdw/view?usp=drivesdk</v>
      </c>
      <c r="D6932" s="12"/>
      <c r="E6932" s="11">
        <v>6980.0</v>
      </c>
      <c r="F6932" s="2"/>
    </row>
    <row r="6933" ht="1.5" customHeight="1">
      <c r="A6933" s="4" t="str">
        <f>IFERROR(__xludf.DUMMYFUNCTION("""COMPUTED_VALUE"""),"6. Snickers")</f>
        <v>6. Snickers</v>
      </c>
      <c r="B6933" s="4" t="str">
        <f>IFERROR(__xludf.DUMMYFUNCTION("""COMPUTED_VALUE"""),"6")</f>
        <v>6</v>
      </c>
      <c r="C6933" s="5" t="str">
        <f>IFERROR(__xludf.DUMMYFUNCTION("""COMPUTED_VALUE"""),"https://drive.google.com/file/d/1nAy9TpJl1yPAiSbluPfImjnx_hULQ0uv/view?usp=drivesdk")</f>
        <v>https://drive.google.com/file/d/1nAy9TpJl1yPAiSbluPfImjnx_hULQ0uv/view?usp=drivesdk</v>
      </c>
      <c r="D6933" s="12"/>
      <c r="E6933" s="11">
        <v>6981.0</v>
      </c>
      <c r="F6933" s="2"/>
    </row>
    <row r="6934" ht="1.5" customHeight="1">
      <c r="A6934" s="4" t="str">
        <f>IFERROR(__xludf.DUMMYFUNCTION("""COMPUTED_VALUE"""),"1. Microwave")</f>
        <v>1. Microwave</v>
      </c>
      <c r="B6934" s="4" t="str">
        <f>IFERROR(__xludf.DUMMYFUNCTION("""COMPUTED_VALUE"""),"1")</f>
        <v>1</v>
      </c>
      <c r="C6934" s="5" t="str">
        <f>IFERROR(__xludf.DUMMYFUNCTION("""COMPUTED_VALUE"""),"https://drive.google.com/file/d/1DYwO5Wkw_MPEi5YIz9SSxfJPwBKZcWnt/view?usp=drivesdk")</f>
        <v>https://drive.google.com/file/d/1DYwO5Wkw_MPEi5YIz9SSxfJPwBKZcWnt/view?usp=drivesdk</v>
      </c>
      <c r="D6934" s="12"/>
      <c r="E6934" s="11">
        <v>6982.0</v>
      </c>
      <c r="F6934" s="2"/>
    </row>
    <row r="6935" ht="1.5" customHeight="1">
      <c r="A6935" s="4" t="str">
        <f>IFERROR(__xludf.DUMMYFUNCTION("""COMPUTED_VALUE"""),"6. Snickers")</f>
        <v>6. Snickers</v>
      </c>
      <c r="B6935" s="4" t="str">
        <f>IFERROR(__xludf.DUMMYFUNCTION("""COMPUTED_VALUE"""),"6")</f>
        <v>6</v>
      </c>
      <c r="C6935" s="5" t="str">
        <f>IFERROR(__xludf.DUMMYFUNCTION("""COMPUTED_VALUE"""),"https://drive.google.com/file/d/1Er7XAOkHqvam9COUZ0H5xLPxA0EgiVcv/view?usp=drivesdk")</f>
        <v>https://drive.google.com/file/d/1Er7XAOkHqvam9COUZ0H5xLPxA0EgiVcv/view?usp=drivesdk</v>
      </c>
      <c r="D6935" s="12"/>
      <c r="E6935" s="11">
        <v>6983.0</v>
      </c>
      <c r="F6935" s="2"/>
    </row>
    <row r="6936" ht="1.5" customHeight="1">
      <c r="A6936" s="4" t="str">
        <f>IFERROR(__xludf.DUMMYFUNCTION("""COMPUTED_VALUE"""),"6. Snickers")</f>
        <v>6. Snickers</v>
      </c>
      <c r="B6936" s="4" t="str">
        <f>IFERROR(__xludf.DUMMYFUNCTION("""COMPUTED_VALUE"""),"6")</f>
        <v>6</v>
      </c>
      <c r="C6936" s="5" t="str">
        <f>IFERROR(__xludf.DUMMYFUNCTION("""COMPUTED_VALUE"""),"https://drive.google.com/file/d/1IzJ4fqVSI4NlIAm8J0JCa39kBL4wj6eV/view?usp=drivesdk")</f>
        <v>https://drive.google.com/file/d/1IzJ4fqVSI4NlIAm8J0JCa39kBL4wj6eV/view?usp=drivesdk</v>
      </c>
      <c r="D6936" s="12"/>
      <c r="E6936" s="11">
        <v>6984.0</v>
      </c>
      <c r="F6936" s="2"/>
    </row>
    <row r="6937" ht="1.5" customHeight="1">
      <c r="A6937" s="4" t="str">
        <f>IFERROR(__xludf.DUMMYFUNCTION("""COMPUTED_VALUE"""),"6. Snickers")</f>
        <v>6. Snickers</v>
      </c>
      <c r="B6937" s="4" t="str">
        <f>IFERROR(__xludf.DUMMYFUNCTION("""COMPUTED_VALUE"""),"6")</f>
        <v>6</v>
      </c>
      <c r="C6937" s="5" t="str">
        <f>IFERROR(__xludf.DUMMYFUNCTION("""COMPUTED_VALUE"""),"https://drive.google.com/file/d/1WgczzyBwLPJtHWvez95CHk5mkXRiLMcI/view?usp=drivesdk")</f>
        <v>https://drive.google.com/file/d/1WgczzyBwLPJtHWvez95CHk5mkXRiLMcI/view?usp=drivesdk</v>
      </c>
      <c r="D6937" s="12"/>
      <c r="E6937" s="11">
        <v>6985.0</v>
      </c>
      <c r="F6937" s="2"/>
    </row>
    <row r="6938" ht="1.5" customHeight="1">
      <c r="A6938" s="4" t="str">
        <f>IFERROR(__xludf.DUMMYFUNCTION("""COMPUTED_VALUE"""),"6. Snickers")</f>
        <v>6. Snickers</v>
      </c>
      <c r="B6938" s="4" t="str">
        <f>IFERROR(__xludf.DUMMYFUNCTION("""COMPUTED_VALUE"""),"6")</f>
        <v>6</v>
      </c>
      <c r="C6938" s="5" t="str">
        <f>IFERROR(__xludf.DUMMYFUNCTION("""COMPUTED_VALUE"""),"https://drive.google.com/file/d/1InTsT5PJaV_INoWWDMtzyKTUHTikvLav/view?usp=drivesdk")</f>
        <v>https://drive.google.com/file/d/1InTsT5PJaV_INoWWDMtzyKTUHTikvLav/view?usp=drivesdk</v>
      </c>
      <c r="D6938" s="12"/>
      <c r="E6938" s="11">
        <v>6986.0</v>
      </c>
      <c r="F6938" s="2"/>
    </row>
    <row r="6939" ht="1.5" customHeight="1">
      <c r="A6939" s="4" t="str">
        <f>IFERROR(__xludf.DUMMYFUNCTION("""COMPUTED_VALUE"""),"6. Snickers")</f>
        <v>6. Snickers</v>
      </c>
      <c r="B6939" s="4" t="str">
        <f>IFERROR(__xludf.DUMMYFUNCTION("""COMPUTED_VALUE"""),"6")</f>
        <v>6</v>
      </c>
      <c r="C6939" s="5" t="str">
        <f>IFERROR(__xludf.DUMMYFUNCTION("""COMPUTED_VALUE"""),"https://drive.google.com/file/d/1NS-PDpUv8WZotiHJghGocvY0R0cH-MG3/view?usp=drivesdk")</f>
        <v>https://drive.google.com/file/d/1NS-PDpUv8WZotiHJghGocvY0R0cH-MG3/view?usp=drivesdk</v>
      </c>
      <c r="D6939" s="12"/>
      <c r="E6939" s="11">
        <v>6987.0</v>
      </c>
      <c r="F6939" s="2"/>
    </row>
    <row r="6940" ht="1.5" customHeight="1">
      <c r="A6940" s="4" t="str">
        <f>IFERROR(__xludf.DUMMYFUNCTION("""COMPUTED_VALUE"""),"6. Snickers")</f>
        <v>6. Snickers</v>
      </c>
      <c r="B6940" s="4" t="str">
        <f>IFERROR(__xludf.DUMMYFUNCTION("""COMPUTED_VALUE"""),"6")</f>
        <v>6</v>
      </c>
      <c r="C6940" s="5" t="str">
        <f>IFERROR(__xludf.DUMMYFUNCTION("""COMPUTED_VALUE"""),"https://drive.google.com/file/d/1xdTvDKprx9kpMBnurx0B5RTMfdxf78ft/view?usp=drivesdk")</f>
        <v>https://drive.google.com/file/d/1xdTvDKprx9kpMBnurx0B5RTMfdxf78ft/view?usp=drivesdk</v>
      </c>
      <c r="D6940" s="12"/>
      <c r="E6940" s="11">
        <v>6988.0</v>
      </c>
      <c r="F6940" s="2"/>
    </row>
    <row r="6941" ht="1.5" customHeight="1">
      <c r="A6941" s="4" t="str">
        <f>IFERROR(__xludf.DUMMYFUNCTION("""COMPUTED_VALUE"""),"6. Snickers")</f>
        <v>6. Snickers</v>
      </c>
      <c r="B6941" s="4" t="str">
        <f>IFERROR(__xludf.DUMMYFUNCTION("""COMPUTED_VALUE"""),"6")</f>
        <v>6</v>
      </c>
      <c r="C6941" s="5" t="str">
        <f>IFERROR(__xludf.DUMMYFUNCTION("""COMPUTED_VALUE"""),"https://drive.google.com/file/d/1QC9KFGnzIJl8T0mRgN_yzBN9F4VPFTbe/view?usp=drivesdk")</f>
        <v>https://drive.google.com/file/d/1QC9KFGnzIJl8T0mRgN_yzBN9F4VPFTbe/view?usp=drivesdk</v>
      </c>
      <c r="D6941" s="12"/>
      <c r="E6941" s="11">
        <v>6989.0</v>
      </c>
      <c r="F6941" s="2"/>
    </row>
    <row r="6942" ht="1.5" customHeight="1">
      <c r="A6942" s="4" t="str">
        <f>IFERROR(__xludf.DUMMYFUNCTION("""COMPUTED_VALUE"""),"99. Nezhui")</f>
        <v>99. Nezhui</v>
      </c>
      <c r="B6942" s="4" t="str">
        <f>IFERROR(__xludf.DUMMYFUNCTION("""COMPUTED_VALUE"""),"99")</f>
        <v>99</v>
      </c>
      <c r="C6942" s="5" t="str">
        <f>IFERROR(__xludf.DUMMYFUNCTION("""COMPUTED_VALUE"""),"https://drive.google.com/file/d/1qefryhuMR9ygAr6sHM9o9bqY39aauSZa/view?usp=drivesdk")</f>
        <v>https://drive.google.com/file/d/1qefryhuMR9ygAr6sHM9o9bqY39aauSZa/view?usp=drivesdk</v>
      </c>
      <c r="D6942" s="12"/>
      <c r="E6942" s="11">
        <v>6990.0</v>
      </c>
      <c r="F6942" s="2"/>
    </row>
    <row r="6943" ht="1.5" customHeight="1">
      <c r="A6943" s="4" t="str">
        <f>IFERROR(__xludf.DUMMYFUNCTION("""COMPUTED_VALUE"""),"99. Nezhui")</f>
        <v>99. Nezhui</v>
      </c>
      <c r="B6943" s="4" t="str">
        <f>IFERROR(__xludf.DUMMYFUNCTION("""COMPUTED_VALUE"""),"99")</f>
        <v>99</v>
      </c>
      <c r="C6943" s="5" t="str">
        <f>IFERROR(__xludf.DUMMYFUNCTION("""COMPUTED_VALUE"""),"https://drive.google.com/file/d/1W92HY0bfRpsMSDGP2inXbDtX-XzNPzWJ/view?usp=drivesdk")</f>
        <v>https://drive.google.com/file/d/1W92HY0bfRpsMSDGP2inXbDtX-XzNPzWJ/view?usp=drivesdk</v>
      </c>
      <c r="D6943" s="12"/>
      <c r="E6943" s="11">
        <v>6991.0</v>
      </c>
      <c r="F6943" s="2"/>
    </row>
    <row r="6944" ht="1.5" customHeight="1">
      <c r="A6944" s="4" t="str">
        <f>IFERROR(__xludf.DUMMYFUNCTION("""COMPUTED_VALUE"""),"99. Nezhui, 1. Microwave")</f>
        <v>99. Nezhui, 1. Microwave</v>
      </c>
      <c r="B6944" s="4" t="str">
        <f>IFERROR(__xludf.DUMMYFUNCTION("""COMPUTED_VALUE"""),"99, 1")</f>
        <v>99, 1</v>
      </c>
      <c r="C6944" s="5" t="str">
        <f>IFERROR(__xludf.DUMMYFUNCTION("""COMPUTED_VALUE"""),"https://drive.google.com/file/d/15WWLGLmd1WrUImyCUaOP7y8_EmQFzizm/view?usp=drivesdk")</f>
        <v>https://drive.google.com/file/d/15WWLGLmd1WrUImyCUaOP7y8_EmQFzizm/view?usp=drivesdk</v>
      </c>
      <c r="D6944" s="12"/>
      <c r="E6944" s="11">
        <v>6992.0</v>
      </c>
      <c r="F6944" s="2"/>
    </row>
    <row r="6945" ht="1.5" customHeight="1">
      <c r="A6945" s="4" t="str">
        <f>IFERROR(__xludf.DUMMYFUNCTION("""COMPUTED_VALUE"""),"99. Nezhui")</f>
        <v>99. Nezhui</v>
      </c>
      <c r="B6945" s="4" t="str">
        <f>IFERROR(__xludf.DUMMYFUNCTION("""COMPUTED_VALUE"""),"99")</f>
        <v>99</v>
      </c>
      <c r="C6945" s="5" t="str">
        <f>IFERROR(__xludf.DUMMYFUNCTION("""COMPUTED_VALUE"""),"https://drive.google.com/file/d/15WRZRmzAxIz3z7R9bvPul4cZTDZJ7Cj1/view?usp=drivesdk")</f>
        <v>https://drive.google.com/file/d/15WRZRmzAxIz3z7R9bvPul4cZTDZJ7Cj1/view?usp=drivesdk</v>
      </c>
      <c r="D6945" s="12"/>
      <c r="E6945" s="11">
        <v>6993.0</v>
      </c>
      <c r="F6945" s="2"/>
    </row>
    <row r="6946" ht="1.5" customHeight="1">
      <c r="A6946" s="4" t="str">
        <f>IFERROR(__xludf.DUMMYFUNCTION("""COMPUTED_VALUE"""),"99. Nezhui")</f>
        <v>99. Nezhui</v>
      </c>
      <c r="B6946" s="4" t="str">
        <f>IFERROR(__xludf.DUMMYFUNCTION("""COMPUTED_VALUE"""),"99")</f>
        <v>99</v>
      </c>
      <c r="C6946" s="5" t="str">
        <f>IFERROR(__xludf.DUMMYFUNCTION("""COMPUTED_VALUE"""),"https://drive.google.com/file/d/14nafHN-1tt-44twbT4pCXnlBCdy-B-xB/view?usp=drivesdk")</f>
        <v>https://drive.google.com/file/d/14nafHN-1tt-44twbT4pCXnlBCdy-B-xB/view?usp=drivesdk</v>
      </c>
      <c r="D6946" s="12"/>
      <c r="E6946" s="11">
        <v>6994.0</v>
      </c>
      <c r="F6946" s="2"/>
    </row>
    <row r="6947" ht="1.5" customHeight="1">
      <c r="A6947" s="4" t="str">
        <f>IFERROR(__xludf.DUMMYFUNCTION("""COMPUTED_VALUE"""),"106. Ami")</f>
        <v>106. Ami</v>
      </c>
      <c r="B6947" s="4" t="str">
        <f>IFERROR(__xludf.DUMMYFUNCTION("""COMPUTED_VALUE"""),"106")</f>
        <v>106</v>
      </c>
      <c r="C6947" s="5" t="str">
        <f>IFERROR(__xludf.DUMMYFUNCTION("""COMPUTED_VALUE"""),"https://drive.google.com/file/d/1UodqRLxjKzQ01abDtAZzHN_4gIdzRTH9/view?usp=drivesdk")</f>
        <v>https://drive.google.com/file/d/1UodqRLxjKzQ01abDtAZzHN_4gIdzRTH9/view?usp=drivesdk</v>
      </c>
      <c r="D6947" s="12"/>
      <c r="E6947" s="11">
        <v>6995.0</v>
      </c>
      <c r="F6947" s="2"/>
    </row>
    <row r="6948" ht="1.5" customHeight="1">
      <c r="A6948" s="4" t="str">
        <f>IFERROR(__xludf.DUMMYFUNCTION("""COMPUTED_VALUE"""),"35. Stove")</f>
        <v>35. Stove</v>
      </c>
      <c r="B6948" s="4" t="str">
        <f>IFERROR(__xludf.DUMMYFUNCTION("""COMPUTED_VALUE"""),"35")</f>
        <v>35</v>
      </c>
      <c r="C6948" s="5" t="str">
        <f>IFERROR(__xludf.DUMMYFUNCTION("""COMPUTED_VALUE"""),"https://drive.google.com/file/d/1yQmuSe7z02ebZAomC4XTEzy7JuOysCK_/view?usp=drivesdk")</f>
        <v>https://drive.google.com/file/d/1yQmuSe7z02ebZAomC4XTEzy7JuOysCK_/view?usp=drivesdk</v>
      </c>
      <c r="D6948" s="12"/>
      <c r="E6948" s="11">
        <v>6996.0</v>
      </c>
      <c r="F6948" s="2"/>
    </row>
    <row r="6949" ht="1.5" customHeight="1">
      <c r="A6949" s="4" t="str">
        <f>IFERROR(__xludf.DUMMYFUNCTION("""COMPUTED_VALUE"""),"1. Microwave")</f>
        <v>1. Microwave</v>
      </c>
      <c r="B6949" s="4" t="str">
        <f>IFERROR(__xludf.DUMMYFUNCTION("""COMPUTED_VALUE"""),"1")</f>
        <v>1</v>
      </c>
      <c r="C6949" s="5" t="str">
        <f>IFERROR(__xludf.DUMMYFUNCTION("""COMPUTED_VALUE"""),"https://drive.google.com/file/d/1z3j6E1UPOYUlmSh-o_e0uPZm5RnoVr3S/view?usp=drivesdk")</f>
        <v>https://drive.google.com/file/d/1z3j6E1UPOYUlmSh-o_e0uPZm5RnoVr3S/view?usp=drivesdk</v>
      </c>
      <c r="D6949" s="12"/>
      <c r="E6949" s="11">
        <v>6997.0</v>
      </c>
      <c r="F6949" s="2"/>
    </row>
    <row r="6950" ht="1.5" customHeight="1">
      <c r="A6950" s="4" t="str">
        <f>IFERROR(__xludf.DUMMYFUNCTION("""COMPUTED_VALUE"""),"1. Microwave")</f>
        <v>1. Microwave</v>
      </c>
      <c r="B6950" s="4" t="str">
        <f>IFERROR(__xludf.DUMMYFUNCTION("""COMPUTED_VALUE"""),"1")</f>
        <v>1</v>
      </c>
      <c r="C6950" s="5" t="str">
        <f>IFERROR(__xludf.DUMMYFUNCTION("""COMPUTED_VALUE"""),"https://drive.google.com/file/d/1VQraX3cM7Yf34gV-yi0o8ZS8thN29eMw/view?usp=drivesdk")</f>
        <v>https://drive.google.com/file/d/1VQraX3cM7Yf34gV-yi0o8ZS8thN29eMw/view?usp=drivesdk</v>
      </c>
      <c r="D6950" s="12"/>
      <c r="E6950" s="11">
        <v>6998.0</v>
      </c>
      <c r="F6950" s="2"/>
    </row>
    <row r="6951" ht="1.5" customHeight="1">
      <c r="A6951" s="4" t="str">
        <f>IFERROR(__xludf.DUMMYFUNCTION("""COMPUTED_VALUE"""),"1. Microwave")</f>
        <v>1. Microwave</v>
      </c>
      <c r="B6951" s="4" t="str">
        <f>IFERROR(__xludf.DUMMYFUNCTION("""COMPUTED_VALUE"""),"1")</f>
        <v>1</v>
      </c>
      <c r="C6951" s="5" t="str">
        <f>IFERROR(__xludf.DUMMYFUNCTION("""COMPUTED_VALUE"""),"https://drive.google.com/file/d/1Rf9TsLxBiPC5dO8mdlkhmwXnT1hwyV9b/view?usp=drivesdk")</f>
        <v>https://drive.google.com/file/d/1Rf9TsLxBiPC5dO8mdlkhmwXnT1hwyV9b/view?usp=drivesdk</v>
      </c>
      <c r="D6951" s="12"/>
      <c r="E6951" s="11">
        <v>6999.0</v>
      </c>
      <c r="F6951" s="2"/>
    </row>
    <row r="6952" ht="1.5" customHeight="1">
      <c r="A6952" s="4" t="str">
        <f>IFERROR(__xludf.DUMMYFUNCTION("""COMPUTED_VALUE"""),"1. Microwave")</f>
        <v>1. Microwave</v>
      </c>
      <c r="B6952" s="4" t="str">
        <f>IFERROR(__xludf.DUMMYFUNCTION("""COMPUTED_VALUE"""),"1")</f>
        <v>1</v>
      </c>
      <c r="C6952" s="5" t="str">
        <f>IFERROR(__xludf.DUMMYFUNCTION("""COMPUTED_VALUE"""),"https://drive.google.com/file/d/1oQGC5T4-rhM5twHk540wUTlX17U7iR8a/view?usp=drivesdk")</f>
        <v>https://drive.google.com/file/d/1oQGC5T4-rhM5twHk540wUTlX17U7iR8a/view?usp=drivesdk</v>
      </c>
      <c r="D6952" s="12"/>
      <c r="E6952" s="11">
        <v>7000.0</v>
      </c>
      <c r="F6952" s="2"/>
    </row>
    <row r="6953" ht="1.5" customHeight="1">
      <c r="A6953" s="4" t="str">
        <f>IFERROR(__xludf.DUMMYFUNCTION("""COMPUTED_VALUE"""),"1. Microwave")</f>
        <v>1. Microwave</v>
      </c>
      <c r="B6953" s="4" t="str">
        <f>IFERROR(__xludf.DUMMYFUNCTION("""COMPUTED_VALUE"""),"1")</f>
        <v>1</v>
      </c>
      <c r="C6953" s="5" t="str">
        <f>IFERROR(__xludf.DUMMYFUNCTION("""COMPUTED_VALUE"""),"https://drive.google.com/file/d/1cjYU7TsDcmyPeF3TKKxafm_fiB16U-FS/view?usp=drivesdk")</f>
        <v>https://drive.google.com/file/d/1cjYU7TsDcmyPeF3TKKxafm_fiB16U-FS/view?usp=drivesdk</v>
      </c>
      <c r="D6953" s="12"/>
      <c r="E6953" s="11">
        <v>7001.0</v>
      </c>
      <c r="F6953" s="2"/>
    </row>
    <row r="6954" ht="1.5" customHeight="1">
      <c r="A6954" s="4" t="str">
        <f>IFERROR(__xludf.DUMMYFUNCTION("""COMPUTED_VALUE"""),"1. Microwave")</f>
        <v>1. Microwave</v>
      </c>
      <c r="B6954" s="4" t="str">
        <f>IFERROR(__xludf.DUMMYFUNCTION("""COMPUTED_VALUE"""),"1")</f>
        <v>1</v>
      </c>
      <c r="C6954" s="5" t="str">
        <f>IFERROR(__xludf.DUMMYFUNCTION("""COMPUTED_VALUE"""),"https://drive.google.com/file/d/1V6vkX4TctjswSAFGKvYxLzJBUugepcmW/view?usp=drivesdk")</f>
        <v>https://drive.google.com/file/d/1V6vkX4TctjswSAFGKvYxLzJBUugepcmW/view?usp=drivesdk</v>
      </c>
      <c r="D6954" s="12"/>
      <c r="E6954" s="11">
        <v>7002.0</v>
      </c>
      <c r="F6954" s="2"/>
    </row>
    <row r="6955" ht="1.5" customHeight="1">
      <c r="A6955" s="4" t="str">
        <f>IFERROR(__xludf.DUMMYFUNCTION("""COMPUTED_VALUE"""),"4. Eggs")</f>
        <v>4. Eggs</v>
      </c>
      <c r="B6955" s="4" t="str">
        <f>IFERROR(__xludf.DUMMYFUNCTION("""COMPUTED_VALUE"""),"4")</f>
        <v>4</v>
      </c>
      <c r="C6955" s="5" t="str">
        <f>IFERROR(__xludf.DUMMYFUNCTION("""COMPUTED_VALUE"""),"https://drive.google.com/file/d/1YFamuTimrA7eE8NrJAoQHmkFIfE92k3K/view?usp=drivesdk")</f>
        <v>https://drive.google.com/file/d/1YFamuTimrA7eE8NrJAoQHmkFIfE92k3K/view?usp=drivesdk</v>
      </c>
      <c r="D6955" s="12"/>
      <c r="E6955" s="11">
        <v>7003.0</v>
      </c>
      <c r="F6955" s="2"/>
    </row>
    <row r="6956" ht="1.5" customHeight="1">
      <c r="A6956" s="4" t="str">
        <f>IFERROR(__xludf.DUMMYFUNCTION("""COMPUTED_VALUE"""),"4. Eggs")</f>
        <v>4. Eggs</v>
      </c>
      <c r="B6956" s="4" t="str">
        <f>IFERROR(__xludf.DUMMYFUNCTION("""COMPUTED_VALUE"""),"4")</f>
        <v>4</v>
      </c>
      <c r="C6956" s="5" t="str">
        <f>IFERROR(__xludf.DUMMYFUNCTION("""COMPUTED_VALUE"""),"https://drive.google.com/file/d/1HlZBCOkJmrKNY68q5QXYUUpRFyiOQX5l/view?usp=drivesdk")</f>
        <v>https://drive.google.com/file/d/1HlZBCOkJmrKNY68q5QXYUUpRFyiOQX5l/view?usp=drivesdk</v>
      </c>
      <c r="D6956" s="12"/>
      <c r="E6956" s="11">
        <v>7004.0</v>
      </c>
      <c r="F6956" s="2"/>
    </row>
    <row r="6957" ht="1.5" customHeight="1">
      <c r="A6957" s="4" t="str">
        <f>IFERROR(__xludf.DUMMYFUNCTION("""COMPUTED_VALUE"""),"111. Mayatl, 99. Nezhui")</f>
        <v>111. Mayatl, 99. Nezhui</v>
      </c>
      <c r="B6957" s="4" t="str">
        <f>IFERROR(__xludf.DUMMYFUNCTION("""COMPUTED_VALUE"""),"111, 99")</f>
        <v>111, 99</v>
      </c>
      <c r="C6957" s="5" t="str">
        <f>IFERROR(__xludf.DUMMYFUNCTION("""COMPUTED_VALUE"""),"https://drive.google.com/file/d/1nQgVEpn-D1RCTj4fXkMSp0FuuYFcGXUn/view?usp=drivesdk")</f>
        <v>https://drive.google.com/file/d/1nQgVEpn-D1RCTj4fXkMSp0FuuYFcGXUn/view?usp=drivesdk</v>
      </c>
      <c r="D6957" s="12"/>
      <c r="E6957" s="11">
        <v>7005.0</v>
      </c>
      <c r="F6957" s="2"/>
    </row>
    <row r="6958" ht="1.5" customHeight="1">
      <c r="A6958" s="4" t="str">
        <f>IFERROR(__xludf.DUMMYFUNCTION("""COMPUTED_VALUE"""),"1. Microwave")</f>
        <v>1. Microwave</v>
      </c>
      <c r="B6958" s="4" t="str">
        <f>IFERROR(__xludf.DUMMYFUNCTION("""COMPUTED_VALUE"""),"1")</f>
        <v>1</v>
      </c>
      <c r="C6958" s="5" t="str">
        <f>IFERROR(__xludf.DUMMYFUNCTION("""COMPUTED_VALUE"""),"https://drive.google.com/file/d/13qLeCivYRDWk_HN_5IQd69jM3N34tVqT/view?usp=drivesdk")</f>
        <v>https://drive.google.com/file/d/13qLeCivYRDWk_HN_5IQd69jM3N34tVqT/view?usp=drivesdk</v>
      </c>
      <c r="D6958" s="12"/>
      <c r="E6958" s="11">
        <v>7006.0</v>
      </c>
      <c r="F6958" s="2"/>
    </row>
    <row r="6959" ht="1.5" customHeight="1">
      <c r="A6959" s="4" t="str">
        <f>IFERROR(__xludf.DUMMYFUNCTION("""COMPUTED_VALUE"""),"1. Microwave")</f>
        <v>1. Microwave</v>
      </c>
      <c r="B6959" s="4" t="str">
        <f>IFERROR(__xludf.DUMMYFUNCTION("""COMPUTED_VALUE"""),"1")</f>
        <v>1</v>
      </c>
      <c r="C6959" s="5" t="str">
        <f>IFERROR(__xludf.DUMMYFUNCTION("""COMPUTED_VALUE"""),"https://drive.google.com/file/d/1p1bShpK641p6lvtlSUUmgBprEVj_-dTk/view?usp=drivesdk")</f>
        <v>https://drive.google.com/file/d/1p1bShpK641p6lvtlSUUmgBprEVj_-dTk/view?usp=drivesdk</v>
      </c>
      <c r="D6959" s="12"/>
      <c r="E6959" s="11">
        <v>7007.0</v>
      </c>
      <c r="F6959" s="2"/>
    </row>
    <row r="6960" ht="1.5" customHeight="1">
      <c r="A6960" s="4" t="str">
        <f>IFERROR(__xludf.DUMMYFUNCTION("""COMPUTED_VALUE"""),"0. NotACat")</f>
        <v>0. NotACat</v>
      </c>
      <c r="B6960" s="4" t="str">
        <f>IFERROR(__xludf.DUMMYFUNCTION("""COMPUTED_VALUE"""),"0")</f>
        <v>0</v>
      </c>
      <c r="C6960" s="5" t="str">
        <f>IFERROR(__xludf.DUMMYFUNCTION("""COMPUTED_VALUE"""),"https://drive.google.com/file/d/1MWOnPk0PinYsAD6KfLHrK78MWUKPtpt6/view?usp=drivesdk")</f>
        <v>https://drive.google.com/file/d/1MWOnPk0PinYsAD6KfLHrK78MWUKPtpt6/view?usp=drivesdk</v>
      </c>
      <c r="D6960" s="12"/>
      <c r="E6960" s="11">
        <v>7008.0</v>
      </c>
      <c r="F6960" s="2"/>
    </row>
    <row r="6961" ht="1.5" customHeight="1">
      <c r="A6961" s="4" t="str">
        <f>IFERROR(__xludf.DUMMYFUNCTION("""COMPUTED_VALUE"""),"4. Eggs, 5. Eraser")</f>
        <v>4. Eggs, 5. Eraser</v>
      </c>
      <c r="B6961" s="4" t="str">
        <f>IFERROR(__xludf.DUMMYFUNCTION("""COMPUTED_VALUE"""),"4, 5")</f>
        <v>4, 5</v>
      </c>
      <c r="C6961" s="5" t="str">
        <f>IFERROR(__xludf.DUMMYFUNCTION("""COMPUTED_VALUE"""),"https://drive.google.com/file/d/1snytJUMarwXlhrtC-Tt3cdxcbtqgy5ss/view?usp=drivesdk")</f>
        <v>https://drive.google.com/file/d/1snytJUMarwXlhrtC-Tt3cdxcbtqgy5ss/view?usp=drivesdk</v>
      </c>
      <c r="D6961" s="12"/>
      <c r="E6961" s="11">
        <v>7009.0</v>
      </c>
      <c r="F6961" s="2"/>
    </row>
    <row r="6962" ht="1.5" customHeight="1">
      <c r="A6962" s="4" t="str">
        <f>IFERROR(__xludf.DUMMYFUNCTION("""COMPUTED_VALUE"""),"4. Eggs, 5. Eraser")</f>
        <v>4. Eggs, 5. Eraser</v>
      </c>
      <c r="B6962" s="4" t="str">
        <f>IFERROR(__xludf.DUMMYFUNCTION("""COMPUTED_VALUE"""),"4, 5")</f>
        <v>4, 5</v>
      </c>
      <c r="C6962" s="5" t="str">
        <f>IFERROR(__xludf.DUMMYFUNCTION("""COMPUTED_VALUE"""),"https://drive.google.com/file/d/1MRrz7bItSJI5-NKCHl4DssGw1AOkuRG2/view?usp=drivesdk")</f>
        <v>https://drive.google.com/file/d/1MRrz7bItSJI5-NKCHl4DssGw1AOkuRG2/view?usp=drivesdk</v>
      </c>
      <c r="D6962" s="12"/>
      <c r="E6962" s="11">
        <v>7010.0</v>
      </c>
      <c r="F6962" s="2"/>
    </row>
    <row r="6963" ht="1.5" customHeight="1">
      <c r="A6963" s="4" t="str">
        <f>IFERROR(__xludf.DUMMYFUNCTION("""COMPUTED_VALUE"""),"127. Eleanor")</f>
        <v>127. Eleanor</v>
      </c>
      <c r="B6963" s="4" t="str">
        <f>IFERROR(__xludf.DUMMYFUNCTION("""COMPUTED_VALUE"""),"127")</f>
        <v>127</v>
      </c>
      <c r="C6963" s="5" t="str">
        <f>IFERROR(__xludf.DUMMYFUNCTION("""COMPUTED_VALUE"""),"https://drive.google.com/file/d/1bdzBto4gf4u3GQ5fC0FArY-4qDEvryBa/view?usp=drivesdk")</f>
        <v>https://drive.google.com/file/d/1bdzBto4gf4u3GQ5fC0FArY-4qDEvryBa/view?usp=drivesdk</v>
      </c>
      <c r="D6963" s="12"/>
      <c r="E6963" s="11">
        <v>7011.0</v>
      </c>
      <c r="F6963" s="2"/>
    </row>
    <row r="6964" ht="1.5" customHeight="1">
      <c r="A6964" s="4" t="str">
        <f>IFERROR(__xludf.DUMMYFUNCTION("""COMPUTED_VALUE"""),"146. Monsieur Stanky")</f>
        <v>146. Monsieur Stanky</v>
      </c>
      <c r="B6964" s="4" t="str">
        <f>IFERROR(__xludf.DUMMYFUNCTION("""COMPUTED_VALUE"""),"146")</f>
        <v>146</v>
      </c>
      <c r="C6964" s="5" t="str">
        <f>IFERROR(__xludf.DUMMYFUNCTION("""COMPUTED_VALUE"""),"https://drive.google.com/file/d/1HcJbmzFHGvRgNqXic-cXKHVvG0d3Az-n/view?usp=drivesdk")</f>
        <v>https://drive.google.com/file/d/1HcJbmzFHGvRgNqXic-cXKHVvG0d3Az-n/view?usp=drivesdk</v>
      </c>
      <c r="D6964" s="12"/>
      <c r="E6964" s="11">
        <v>7012.0</v>
      </c>
      <c r="F6964" s="2"/>
    </row>
    <row r="6965" ht="1.5" customHeight="1">
      <c r="A6965" s="4" t="str">
        <f>IFERROR(__xludf.DUMMYFUNCTION("""COMPUTED_VALUE"""),"1. Microwave")</f>
        <v>1. Microwave</v>
      </c>
      <c r="B6965" s="4" t="str">
        <f>IFERROR(__xludf.DUMMYFUNCTION("""COMPUTED_VALUE"""),"1")</f>
        <v>1</v>
      </c>
      <c r="C6965" s="5" t="str">
        <f>IFERROR(__xludf.DUMMYFUNCTION("""COMPUTED_VALUE"""),"https://drive.google.com/file/d/1Qc3nuKARwTytxzD5avPxm0Kd-GjRt6M9/view?usp=drivesdk")</f>
        <v>https://drive.google.com/file/d/1Qc3nuKARwTytxzD5avPxm0Kd-GjRt6M9/view?usp=drivesdk</v>
      </c>
      <c r="D6965" s="12"/>
      <c r="E6965" s="11">
        <v>7013.0</v>
      </c>
      <c r="F6965" s="2"/>
    </row>
    <row r="6966" ht="1.5" customHeight="1">
      <c r="A6966" s="4" t="str">
        <f>IFERROR(__xludf.DUMMYFUNCTION("""COMPUTED_VALUE"""),"1. Microwave")</f>
        <v>1. Microwave</v>
      </c>
      <c r="B6966" s="4" t="str">
        <f>IFERROR(__xludf.DUMMYFUNCTION("""COMPUTED_VALUE"""),"1")</f>
        <v>1</v>
      </c>
      <c r="C6966" s="5" t="str">
        <f>IFERROR(__xludf.DUMMYFUNCTION("""COMPUTED_VALUE"""),"https://drive.google.com/file/d/1Tdtxf3u5MMl-R3RMkfXzT7NsLTR4Fxgt/view?usp=drivesdk")</f>
        <v>https://drive.google.com/file/d/1Tdtxf3u5MMl-R3RMkfXzT7NsLTR4Fxgt/view?usp=drivesdk</v>
      </c>
      <c r="D6966" s="12"/>
      <c r="E6966" s="11">
        <v>7014.0</v>
      </c>
      <c r="F6966" s="2"/>
    </row>
    <row r="6967" ht="1.5" customHeight="1">
      <c r="A6967" s="4" t="str">
        <f>IFERROR(__xludf.DUMMYFUNCTION("""COMPUTED_VALUE"""),"1. Microwave")</f>
        <v>1. Microwave</v>
      </c>
      <c r="B6967" s="4" t="str">
        <f>IFERROR(__xludf.DUMMYFUNCTION("""COMPUTED_VALUE"""),"1")</f>
        <v>1</v>
      </c>
      <c r="C6967" s="5" t="str">
        <f>IFERROR(__xludf.DUMMYFUNCTION("""COMPUTED_VALUE"""),"https://drive.google.com/file/d/1EbfAgD115yONxIvcYGiMfUUNqyuHvdta/view?usp=drivesdk")</f>
        <v>https://drive.google.com/file/d/1EbfAgD115yONxIvcYGiMfUUNqyuHvdta/view?usp=drivesdk</v>
      </c>
      <c r="D6967" s="12"/>
      <c r="E6967" s="11">
        <v>7015.0</v>
      </c>
      <c r="F6967" s="2"/>
    </row>
    <row r="6968" ht="1.5" customHeight="1">
      <c r="A6968" s="4" t="str">
        <f>IFERROR(__xludf.DUMMYFUNCTION("""COMPUTED_VALUE"""),"1. Microwave")</f>
        <v>1. Microwave</v>
      </c>
      <c r="B6968" s="4" t="str">
        <f>IFERROR(__xludf.DUMMYFUNCTION("""COMPUTED_VALUE"""),"1")</f>
        <v>1</v>
      </c>
      <c r="C6968" s="5" t="str">
        <f>IFERROR(__xludf.DUMMYFUNCTION("""COMPUTED_VALUE"""),"https://drive.google.com/file/d/1-2JLFBfU1Bge6z8IgbjvALahyslc01zU/view?usp=drivesdk")</f>
        <v>https://drive.google.com/file/d/1-2JLFBfU1Bge6z8IgbjvALahyslc01zU/view?usp=drivesdk</v>
      </c>
      <c r="D6968" s="12"/>
      <c r="E6968" s="11">
        <v>7016.0</v>
      </c>
      <c r="F6968" s="2"/>
    </row>
    <row r="6969" ht="1.5" customHeight="1">
      <c r="A6969" s="4" t="str">
        <f>IFERROR(__xludf.DUMMYFUNCTION("""COMPUTED_VALUE"""),"1. Microwave")</f>
        <v>1. Microwave</v>
      </c>
      <c r="B6969" s="4" t="str">
        <f>IFERROR(__xludf.DUMMYFUNCTION("""COMPUTED_VALUE"""),"1")</f>
        <v>1</v>
      </c>
      <c r="C6969" s="5" t="str">
        <f>IFERROR(__xludf.DUMMYFUNCTION("""COMPUTED_VALUE"""),"https://drive.google.com/file/d/1vVzjDZRbaR96nKFxiR4d2zLLdC3XWq7L/view?usp=drivesdk")</f>
        <v>https://drive.google.com/file/d/1vVzjDZRbaR96nKFxiR4d2zLLdC3XWq7L/view?usp=drivesdk</v>
      </c>
      <c r="D6969" s="12"/>
      <c r="E6969" s="11">
        <v>7017.0</v>
      </c>
      <c r="F6969" s="2"/>
    </row>
    <row r="6970" ht="1.5" customHeight="1">
      <c r="A6970" s="4" t="str">
        <f>IFERROR(__xludf.DUMMYFUNCTION("""COMPUTED_VALUE"""),"1. Microwave")</f>
        <v>1. Microwave</v>
      </c>
      <c r="B6970" s="4" t="str">
        <f>IFERROR(__xludf.DUMMYFUNCTION("""COMPUTED_VALUE"""),"1")</f>
        <v>1</v>
      </c>
      <c r="C6970" s="5" t="str">
        <f>IFERROR(__xludf.DUMMYFUNCTION("""COMPUTED_VALUE"""),"https://drive.google.com/file/d/1-jlmhTLj98klf0ywMkT5kLuVS8kb7cib/view?usp=drivesdk")</f>
        <v>https://drive.google.com/file/d/1-jlmhTLj98klf0ywMkT5kLuVS8kb7cib/view?usp=drivesdk</v>
      </c>
      <c r="D6970" s="12"/>
      <c r="E6970" s="11">
        <v>7018.0</v>
      </c>
      <c r="F6970" s="2"/>
    </row>
    <row r="6971" ht="1.5" customHeight="1">
      <c r="A6971" s="4" t="str">
        <f>IFERROR(__xludf.DUMMYFUNCTION("""COMPUTED_VALUE"""),"1. Microwave")</f>
        <v>1. Microwave</v>
      </c>
      <c r="B6971" s="4" t="str">
        <f>IFERROR(__xludf.DUMMYFUNCTION("""COMPUTED_VALUE"""),"1")</f>
        <v>1</v>
      </c>
      <c r="C6971" s="5" t="str">
        <f>IFERROR(__xludf.DUMMYFUNCTION("""COMPUTED_VALUE"""),"https://drive.google.com/file/d/1ntGXFWGR-E9BIzzxMGCz9a3M9cq5FKpN/view?usp=drivesdk")</f>
        <v>https://drive.google.com/file/d/1ntGXFWGR-E9BIzzxMGCz9a3M9cq5FKpN/view?usp=drivesdk</v>
      </c>
      <c r="D6971" s="12"/>
      <c r="E6971" s="11">
        <v>7019.0</v>
      </c>
      <c r="F6971" s="2"/>
    </row>
    <row r="6972" ht="1.5" customHeight="1">
      <c r="A6972" s="4" t="str">
        <f>IFERROR(__xludf.DUMMYFUNCTION("""COMPUTED_VALUE"""),"1. Microwave")</f>
        <v>1. Microwave</v>
      </c>
      <c r="B6972" s="4" t="str">
        <f>IFERROR(__xludf.DUMMYFUNCTION("""COMPUTED_VALUE"""),"1")</f>
        <v>1</v>
      </c>
      <c r="C6972" s="5" t="str">
        <f>IFERROR(__xludf.DUMMYFUNCTION("""COMPUTED_VALUE"""),"https://drive.google.com/file/d/1f5V-UpmzDCxBvtc-Q7x7Gx-8GcLNSb-1/view?usp=drivesdk")</f>
        <v>https://drive.google.com/file/d/1f5V-UpmzDCxBvtc-Q7x7Gx-8GcLNSb-1/view?usp=drivesdk</v>
      </c>
      <c r="D6972" s="12"/>
      <c r="E6972" s="11">
        <v>7020.0</v>
      </c>
      <c r="F6972" s="2"/>
    </row>
    <row r="6973" ht="1.5" customHeight="1">
      <c r="A6973" s="4" t="str">
        <f>IFERROR(__xludf.DUMMYFUNCTION("""COMPUTED_VALUE"""),"1. Microwave")</f>
        <v>1. Microwave</v>
      </c>
      <c r="B6973" s="4" t="str">
        <f>IFERROR(__xludf.DUMMYFUNCTION("""COMPUTED_VALUE"""),"1")</f>
        <v>1</v>
      </c>
      <c r="C6973" s="5" t="str">
        <f>IFERROR(__xludf.DUMMYFUNCTION("""COMPUTED_VALUE"""),"https://drive.google.com/file/d/1sRH02PtBUszVLznbJrMWlZpJGPIvrqpc/view?usp=drivesdk")</f>
        <v>https://drive.google.com/file/d/1sRH02PtBUszVLznbJrMWlZpJGPIvrqpc/view?usp=drivesdk</v>
      </c>
      <c r="D6973" s="12"/>
      <c r="E6973" s="11">
        <v>7021.0</v>
      </c>
      <c r="F6973" s="2"/>
    </row>
    <row r="6974" ht="1.5" customHeight="1">
      <c r="A6974" s="4" t="str">
        <f>IFERROR(__xludf.DUMMYFUNCTION("""COMPUTED_VALUE"""),"1. Microwave")</f>
        <v>1. Microwave</v>
      </c>
      <c r="B6974" s="4" t="str">
        <f>IFERROR(__xludf.DUMMYFUNCTION("""COMPUTED_VALUE"""),"1")</f>
        <v>1</v>
      </c>
      <c r="C6974" s="5" t="str">
        <f>IFERROR(__xludf.DUMMYFUNCTION("""COMPUTED_VALUE"""),"https://drive.google.com/file/d/1Kc2J9_21xxh4zGOdR0m52lKZv0tg7YdQ/view?usp=drivesdk")</f>
        <v>https://drive.google.com/file/d/1Kc2J9_21xxh4zGOdR0m52lKZv0tg7YdQ/view?usp=drivesdk</v>
      </c>
      <c r="D6974" s="12"/>
      <c r="E6974" s="11">
        <v>7022.0</v>
      </c>
      <c r="F6974" s="2"/>
    </row>
    <row r="6975" ht="1.5" customHeight="1">
      <c r="A6975" s="4" t="str">
        <f>IFERROR(__xludf.DUMMYFUNCTION("""COMPUTED_VALUE"""),"1. Microwave")</f>
        <v>1. Microwave</v>
      </c>
      <c r="B6975" s="4" t="str">
        <f>IFERROR(__xludf.DUMMYFUNCTION("""COMPUTED_VALUE"""),"1")</f>
        <v>1</v>
      </c>
      <c r="C6975" s="5" t="str">
        <f>IFERROR(__xludf.DUMMYFUNCTION("""COMPUTED_VALUE"""),"https://drive.google.com/file/d/11SrdYLnKBrAScXaQmuxHqfO3VGj2yqcW/view?usp=drivesdk")</f>
        <v>https://drive.google.com/file/d/11SrdYLnKBrAScXaQmuxHqfO3VGj2yqcW/view?usp=drivesdk</v>
      </c>
      <c r="D6975" s="12"/>
      <c r="E6975" s="11">
        <v>7023.0</v>
      </c>
      <c r="F6975" s="2"/>
    </row>
    <row r="6976" ht="1.5" customHeight="1">
      <c r="A6976" s="4" t="str">
        <f>IFERROR(__xludf.DUMMYFUNCTION("""COMPUTED_VALUE"""),"44. Shitbag Cuntface")</f>
        <v>44. Shitbag Cuntface</v>
      </c>
      <c r="B6976" s="4" t="str">
        <f>IFERROR(__xludf.DUMMYFUNCTION("""COMPUTED_VALUE"""),"44")</f>
        <v>44</v>
      </c>
      <c r="C6976" s="5" t="str">
        <f>IFERROR(__xludf.DUMMYFUNCTION("""COMPUTED_VALUE"""),"https://drive.google.com/file/d/1f1nBmdooP7VGYjZD_WlpFiXnIKbs8mwz/view?usp=drivesdk")</f>
        <v>https://drive.google.com/file/d/1f1nBmdooP7VGYjZD_WlpFiXnIKbs8mwz/view?usp=drivesdk</v>
      </c>
      <c r="D6976" s="12"/>
      <c r="E6976" s="11">
        <v>7024.0</v>
      </c>
      <c r="F6976" s="2"/>
    </row>
    <row r="6977" ht="1.5" customHeight="1">
      <c r="A6977" s="4" t="str">
        <f>IFERROR(__xludf.DUMMYFUNCTION("""COMPUTED_VALUE"""),"1. Microwave")</f>
        <v>1. Microwave</v>
      </c>
      <c r="B6977" s="4" t="str">
        <f>IFERROR(__xludf.DUMMYFUNCTION("""COMPUTED_VALUE"""),"1")</f>
        <v>1</v>
      </c>
      <c r="C6977" s="5" t="str">
        <f>IFERROR(__xludf.DUMMYFUNCTION("""COMPUTED_VALUE"""),"https://drive.google.com/file/d/13C6QS9pO1M3HpsCUpvflvSaD56T0-TxM/view?usp=drivesdk")</f>
        <v>https://drive.google.com/file/d/13C6QS9pO1M3HpsCUpvflvSaD56T0-TxM/view?usp=drivesdk</v>
      </c>
      <c r="D6977" s="12"/>
      <c r="E6977" s="11">
        <v>7025.0</v>
      </c>
      <c r="F6977" s="2"/>
    </row>
    <row r="6978" ht="1.5" customHeight="1">
      <c r="A6978" s="4" t="str">
        <f>IFERROR(__xludf.DUMMYFUNCTION("""COMPUTED_VALUE"""),"1. Microwave")</f>
        <v>1. Microwave</v>
      </c>
      <c r="B6978" s="4" t="str">
        <f>IFERROR(__xludf.DUMMYFUNCTION("""COMPUTED_VALUE"""),"1")</f>
        <v>1</v>
      </c>
      <c r="C6978" s="5" t="str">
        <f>IFERROR(__xludf.DUMMYFUNCTION("""COMPUTED_VALUE"""),"https://drive.google.com/file/d/1EBuxd4UPPFIKXQ2gkMR-Ys7kVR1nVmqf/view?usp=drivesdk")</f>
        <v>https://drive.google.com/file/d/1EBuxd4UPPFIKXQ2gkMR-Ys7kVR1nVmqf/view?usp=drivesdk</v>
      </c>
      <c r="D6978" s="12"/>
      <c r="E6978" s="11">
        <v>7026.0</v>
      </c>
      <c r="F6978" s="2"/>
    </row>
    <row r="6979" ht="1.5" customHeight="1">
      <c r="A6979" s="4" t="str">
        <f>IFERROR(__xludf.DUMMYFUNCTION("""COMPUTED_VALUE"""),"1. Microwave")</f>
        <v>1. Microwave</v>
      </c>
      <c r="B6979" s="4" t="str">
        <f>IFERROR(__xludf.DUMMYFUNCTION("""COMPUTED_VALUE"""),"1")</f>
        <v>1</v>
      </c>
      <c r="C6979" s="5" t="str">
        <f>IFERROR(__xludf.DUMMYFUNCTION("""COMPUTED_VALUE"""),"https://drive.google.com/file/d/17LlwyIOr8JQ82vSpP5xx0f3sTeDGcuo-/view?usp=drivesdk")</f>
        <v>https://drive.google.com/file/d/17LlwyIOr8JQ82vSpP5xx0f3sTeDGcuo-/view?usp=drivesdk</v>
      </c>
      <c r="D6979" s="12"/>
      <c r="E6979" s="11">
        <v>7027.0</v>
      </c>
      <c r="F6979" s="2"/>
    </row>
    <row r="6980" ht="1.5" customHeight="1">
      <c r="A6980" s="4" t="str">
        <f>IFERROR(__xludf.DUMMYFUNCTION("""COMPUTED_VALUE"""),"1. Microwave")</f>
        <v>1. Microwave</v>
      </c>
      <c r="B6980" s="4" t="str">
        <f>IFERROR(__xludf.DUMMYFUNCTION("""COMPUTED_VALUE"""),"1")</f>
        <v>1</v>
      </c>
      <c r="C6980" s="5" t="str">
        <f>IFERROR(__xludf.DUMMYFUNCTION("""COMPUTED_VALUE"""),"https://drive.google.com/file/d/1O018WG0NIuZBxXvCVIZw-VLfXaHp8jLk/view?usp=drivesdk")</f>
        <v>https://drive.google.com/file/d/1O018WG0NIuZBxXvCVIZw-VLfXaHp8jLk/view?usp=drivesdk</v>
      </c>
      <c r="D6980" s="12"/>
      <c r="E6980" s="11">
        <v>7028.0</v>
      </c>
      <c r="F6980" s="2"/>
    </row>
    <row r="6981" ht="1.5" customHeight="1">
      <c r="A6981" s="4" t="str">
        <f>IFERROR(__xludf.DUMMYFUNCTION("""COMPUTED_VALUE"""),"1. Microwave")</f>
        <v>1. Microwave</v>
      </c>
      <c r="B6981" s="4" t="str">
        <f>IFERROR(__xludf.DUMMYFUNCTION("""COMPUTED_VALUE"""),"1")</f>
        <v>1</v>
      </c>
      <c r="C6981" s="5" t="str">
        <f>IFERROR(__xludf.DUMMYFUNCTION("""COMPUTED_VALUE"""),"https://drive.google.com/file/d/1WGlr2gwy_0kmC3G1ppYEtzMxZcGcDjxP/view?usp=drivesdk")</f>
        <v>https://drive.google.com/file/d/1WGlr2gwy_0kmC3G1ppYEtzMxZcGcDjxP/view?usp=drivesdk</v>
      </c>
      <c r="D6981" s="12"/>
      <c r="E6981" s="11">
        <v>7029.0</v>
      </c>
      <c r="F6981" s="2"/>
    </row>
    <row r="6982" ht="1.5" customHeight="1">
      <c r="A6982" s="4" t="str">
        <f>IFERROR(__xludf.DUMMYFUNCTION("""COMPUTED_VALUE"""),"1. Microwave")</f>
        <v>1. Microwave</v>
      </c>
      <c r="B6982" s="4" t="str">
        <f>IFERROR(__xludf.DUMMYFUNCTION("""COMPUTED_VALUE"""),"1")</f>
        <v>1</v>
      </c>
      <c r="C6982" s="5" t="str">
        <f>IFERROR(__xludf.DUMMYFUNCTION("""COMPUTED_VALUE"""),"https://drive.google.com/file/d/1z7fe5Y6kOU-39ZgIi3iQDo8NccyTydGt/view?usp=drivesdk")</f>
        <v>https://drive.google.com/file/d/1z7fe5Y6kOU-39ZgIi3iQDo8NccyTydGt/view?usp=drivesdk</v>
      </c>
      <c r="D6982" s="12"/>
      <c r="E6982" s="11">
        <v>7030.0</v>
      </c>
      <c r="F6982" s="2"/>
    </row>
    <row r="6983" ht="1.5" customHeight="1">
      <c r="A6983" s="4" t="str">
        <f>IFERROR(__xludf.DUMMYFUNCTION("""COMPUTED_VALUE"""),"1. Microwave")</f>
        <v>1. Microwave</v>
      </c>
      <c r="B6983" s="4" t="str">
        <f>IFERROR(__xludf.DUMMYFUNCTION("""COMPUTED_VALUE"""),"1")</f>
        <v>1</v>
      </c>
      <c r="C6983" s="5" t="str">
        <f>IFERROR(__xludf.DUMMYFUNCTION("""COMPUTED_VALUE"""),"https://drive.google.com/file/d/1di9RVUOJa8MKbsdoIli5QcXxz2uIRgqQ/view?usp=drivesdk")</f>
        <v>https://drive.google.com/file/d/1di9RVUOJa8MKbsdoIli5QcXxz2uIRgqQ/view?usp=drivesdk</v>
      </c>
      <c r="D6983" s="12"/>
      <c r="E6983" s="11">
        <v>7031.0</v>
      </c>
      <c r="F6983" s="2"/>
    </row>
    <row r="6984" ht="1.5" customHeight="1">
      <c r="A6984" s="4" t="str">
        <f>IFERROR(__xludf.DUMMYFUNCTION("""COMPUTED_VALUE"""),"1. Microwave")</f>
        <v>1. Microwave</v>
      </c>
      <c r="B6984" s="4" t="str">
        <f>IFERROR(__xludf.DUMMYFUNCTION("""COMPUTED_VALUE"""),"1")</f>
        <v>1</v>
      </c>
      <c r="C6984" s="5" t="str">
        <f>IFERROR(__xludf.DUMMYFUNCTION("""COMPUTED_VALUE"""),"https://drive.google.com/file/d/1vTXXl5Q4e3n4TjoSu3r1kwsVlWcK2t9f/view?usp=drivesdk")</f>
        <v>https://drive.google.com/file/d/1vTXXl5Q4e3n4TjoSu3r1kwsVlWcK2t9f/view?usp=drivesdk</v>
      </c>
      <c r="D6984" s="12"/>
      <c r="E6984" s="11">
        <v>7032.0</v>
      </c>
      <c r="F6984" s="2"/>
    </row>
    <row r="6985" ht="1.5" customHeight="1">
      <c r="A6985" s="4" t="str">
        <f>IFERROR(__xludf.DUMMYFUNCTION("""COMPUTED_VALUE"""),"1. Microwave")</f>
        <v>1. Microwave</v>
      </c>
      <c r="B6985" s="4" t="str">
        <f>IFERROR(__xludf.DUMMYFUNCTION("""COMPUTED_VALUE"""),"1")</f>
        <v>1</v>
      </c>
      <c r="C6985" s="5" t="str">
        <f>IFERROR(__xludf.DUMMYFUNCTION("""COMPUTED_VALUE"""),"https://drive.google.com/file/d/1scOoKvHTjwqn9TIA1dUjIiFfMR42RbL-/view?usp=drivesdk")</f>
        <v>https://drive.google.com/file/d/1scOoKvHTjwqn9TIA1dUjIiFfMR42RbL-/view?usp=drivesdk</v>
      </c>
      <c r="D6985" s="12"/>
      <c r="E6985" s="11">
        <v>7033.0</v>
      </c>
      <c r="F6985" s="2"/>
    </row>
    <row r="6986" ht="1.5" customHeight="1">
      <c r="A6986" s="4" t="str">
        <f>IFERROR(__xludf.DUMMYFUNCTION("""COMPUTED_VALUE"""),"1. Microwave")</f>
        <v>1. Microwave</v>
      </c>
      <c r="B6986" s="4" t="str">
        <f>IFERROR(__xludf.DUMMYFUNCTION("""COMPUTED_VALUE"""),"1")</f>
        <v>1</v>
      </c>
      <c r="C6986" s="5" t="str">
        <f>IFERROR(__xludf.DUMMYFUNCTION("""COMPUTED_VALUE"""),"https://drive.google.com/file/d/13EFWPC6Boj0AAMzqQTEMTboIsj7xZZ_E/view?usp=drivesdk")</f>
        <v>https://drive.google.com/file/d/13EFWPC6Boj0AAMzqQTEMTboIsj7xZZ_E/view?usp=drivesdk</v>
      </c>
      <c r="D6986" s="12"/>
      <c r="E6986" s="11">
        <v>7034.0</v>
      </c>
      <c r="F6986" s="2"/>
    </row>
    <row r="6987" ht="1.5" customHeight="1">
      <c r="A6987" s="4" t="str">
        <f>IFERROR(__xludf.DUMMYFUNCTION("""COMPUTED_VALUE"""),"1. Microwave")</f>
        <v>1. Microwave</v>
      </c>
      <c r="B6987" s="4" t="str">
        <f>IFERROR(__xludf.DUMMYFUNCTION("""COMPUTED_VALUE"""),"1")</f>
        <v>1</v>
      </c>
      <c r="C6987" s="5" t="str">
        <f>IFERROR(__xludf.DUMMYFUNCTION("""COMPUTED_VALUE"""),"https://drive.google.com/file/d/1hiB0R4-VDuNu7ihhJUbhJQT9G078nVoN/view?usp=drivesdk")</f>
        <v>https://drive.google.com/file/d/1hiB0R4-VDuNu7ihhJUbhJQT9G078nVoN/view?usp=drivesdk</v>
      </c>
      <c r="D6987" s="12"/>
      <c r="E6987" s="11">
        <v>7035.0</v>
      </c>
      <c r="F6987" s="2"/>
    </row>
    <row r="6988" ht="1.5" customHeight="1">
      <c r="A6988" s="4" t="str">
        <f>IFERROR(__xludf.DUMMYFUNCTION("""COMPUTED_VALUE"""),"1. Microwave")</f>
        <v>1. Microwave</v>
      </c>
      <c r="B6988" s="4" t="str">
        <f>IFERROR(__xludf.DUMMYFUNCTION("""COMPUTED_VALUE"""),"1")</f>
        <v>1</v>
      </c>
      <c r="C6988" s="5" t="str">
        <f>IFERROR(__xludf.DUMMYFUNCTION("""COMPUTED_VALUE"""),"https://drive.google.com/file/d/1dzdTD1VrD1snfWOYCajZq0Ps01RqWyMe/view?usp=drivesdk")</f>
        <v>https://drive.google.com/file/d/1dzdTD1VrD1snfWOYCajZq0Ps01RqWyMe/view?usp=drivesdk</v>
      </c>
      <c r="D6988" s="12"/>
      <c r="E6988" s="11">
        <v>7036.0</v>
      </c>
      <c r="F6988" s="2"/>
    </row>
    <row r="6989" ht="1.5" customHeight="1">
      <c r="A6989" s="4" t="str">
        <f>IFERROR(__xludf.DUMMYFUNCTION("""COMPUTED_VALUE"""),"111. Mayatl")</f>
        <v>111. Mayatl</v>
      </c>
      <c r="B6989" s="4" t="str">
        <f>IFERROR(__xludf.DUMMYFUNCTION("""COMPUTED_VALUE"""),"111")</f>
        <v>111</v>
      </c>
      <c r="C6989" s="5" t="str">
        <f>IFERROR(__xludf.DUMMYFUNCTION("""COMPUTED_VALUE"""),"https://drive.google.com/file/d/1EWd0eoZ7twWTbHsAh3EbRA7oKk1KmZnH/view?usp=drivesdk")</f>
        <v>https://drive.google.com/file/d/1EWd0eoZ7twWTbHsAh3EbRA7oKk1KmZnH/view?usp=drivesdk</v>
      </c>
      <c r="D6989" s="12"/>
      <c r="E6989" s="11">
        <v>7037.0</v>
      </c>
      <c r="F6989" s="2"/>
    </row>
    <row r="6990" ht="1.5" customHeight="1">
      <c r="A6990" s="4" t="str">
        <f>IFERROR(__xludf.DUMMYFUNCTION("""COMPUTED_VALUE"""),"111. Mayatl")</f>
        <v>111. Mayatl</v>
      </c>
      <c r="B6990" s="4" t="str">
        <f>IFERROR(__xludf.DUMMYFUNCTION("""COMPUTED_VALUE"""),"111")</f>
        <v>111</v>
      </c>
      <c r="C6990" s="5" t="str">
        <f>IFERROR(__xludf.DUMMYFUNCTION("""COMPUTED_VALUE"""),"https://drive.google.com/file/d/18GRiUSuFAlJOvi-v3TY_x-Bdu3Q9Rjyu/view?usp=drivesdk")</f>
        <v>https://drive.google.com/file/d/18GRiUSuFAlJOvi-v3TY_x-Bdu3Q9Rjyu/view?usp=drivesdk</v>
      </c>
      <c r="D6990" s="12"/>
      <c r="E6990" s="11">
        <v>7038.0</v>
      </c>
      <c r="F6990" s="2"/>
    </row>
    <row r="6991" ht="1.5" customHeight="1">
      <c r="A6991" s="4" t="str">
        <f>IFERROR(__xludf.DUMMYFUNCTION("""COMPUTED_VALUE"""),"111. Mayatl")</f>
        <v>111. Mayatl</v>
      </c>
      <c r="B6991" s="4" t="str">
        <f>IFERROR(__xludf.DUMMYFUNCTION("""COMPUTED_VALUE"""),"111")</f>
        <v>111</v>
      </c>
      <c r="C6991" s="5" t="str">
        <f>IFERROR(__xludf.DUMMYFUNCTION("""COMPUTED_VALUE"""),"https://drive.google.com/file/d/1cZ7n5RnLrcB5IR4rjB3CXd5YbgzfqhjT/view?usp=drivesdk")</f>
        <v>https://drive.google.com/file/d/1cZ7n5RnLrcB5IR4rjB3CXd5YbgzfqhjT/view?usp=drivesdk</v>
      </c>
      <c r="D6991" s="12"/>
      <c r="E6991" s="11">
        <v>7039.0</v>
      </c>
      <c r="F6991" s="2"/>
    </row>
    <row r="6992" ht="1.5" customHeight="1">
      <c r="A6992" s="4" t="str">
        <f>IFERROR(__xludf.DUMMYFUNCTION("""COMPUTED_VALUE"""),"0. NotACat")</f>
        <v>0. NotACat</v>
      </c>
      <c r="B6992" s="4" t="str">
        <f>IFERROR(__xludf.DUMMYFUNCTION("""COMPUTED_VALUE"""),"0")</f>
        <v>0</v>
      </c>
      <c r="C6992" s="5" t="str">
        <f>IFERROR(__xludf.DUMMYFUNCTION("""COMPUTED_VALUE"""),"https://drive.google.com/file/d/19Q1TkyJmwB0sGBlCt2hSGuVeFoRKYWk2/view?usp=drivesdk")</f>
        <v>https://drive.google.com/file/d/19Q1TkyJmwB0sGBlCt2hSGuVeFoRKYWk2/view?usp=drivesdk</v>
      </c>
      <c r="D6992" s="12"/>
      <c r="E6992" s="11">
        <v>7040.0</v>
      </c>
      <c r="F6992" s="2"/>
    </row>
    <row r="6993" ht="1.5" customHeight="1">
      <c r="A6993" s="4" t="str">
        <f>IFERROR(__xludf.DUMMYFUNCTION("""COMPUTED_VALUE"""),"0. NotACat")</f>
        <v>0. NotACat</v>
      </c>
      <c r="B6993" s="4" t="str">
        <f>IFERROR(__xludf.DUMMYFUNCTION("""COMPUTED_VALUE"""),"0")</f>
        <v>0</v>
      </c>
      <c r="C6993" s="5" t="str">
        <f>IFERROR(__xludf.DUMMYFUNCTION("""COMPUTED_VALUE"""),"https://drive.google.com/file/d/1JWzkXqNHjHDOdmCLlpOzbefmSkmA8_kN/view?usp=drivesdk")</f>
        <v>https://drive.google.com/file/d/1JWzkXqNHjHDOdmCLlpOzbefmSkmA8_kN/view?usp=drivesdk</v>
      </c>
      <c r="D6993" s="12"/>
      <c r="E6993" s="11">
        <v>7041.0</v>
      </c>
      <c r="F6993" s="2"/>
    </row>
    <row r="6994" ht="1.5" customHeight="1">
      <c r="A6994" s="4" t="str">
        <f>IFERROR(__xludf.DUMMYFUNCTION("""COMPUTED_VALUE"""),"2. Twix")</f>
        <v>2. Twix</v>
      </c>
      <c r="B6994" s="4" t="str">
        <f>IFERROR(__xludf.DUMMYFUNCTION("""COMPUTED_VALUE"""),"2")</f>
        <v>2</v>
      </c>
      <c r="C6994" s="5" t="str">
        <f>IFERROR(__xludf.DUMMYFUNCTION("""COMPUTED_VALUE"""),"https://drive.google.com/file/d/18y4spIYbVbr-7bz32a5L9XYSg90aNLT3/view?usp=drivesdk")</f>
        <v>https://drive.google.com/file/d/18y4spIYbVbr-7bz32a5L9XYSg90aNLT3/view?usp=drivesdk</v>
      </c>
      <c r="D6994" s="12"/>
      <c r="E6994" s="11">
        <v>7042.0</v>
      </c>
      <c r="F6994" s="2"/>
    </row>
    <row r="6995" ht="1.5" customHeight="1">
      <c r="A6995" s="4" t="str">
        <f>IFERROR(__xludf.DUMMYFUNCTION("""COMPUTED_VALUE"""),"2. Twix")</f>
        <v>2. Twix</v>
      </c>
      <c r="B6995" s="4" t="str">
        <f>IFERROR(__xludf.DUMMYFUNCTION("""COMPUTED_VALUE"""),"2")</f>
        <v>2</v>
      </c>
      <c r="C6995" s="5" t="str">
        <f>IFERROR(__xludf.DUMMYFUNCTION("""COMPUTED_VALUE"""),"https://drive.google.com/file/d/1aF9NicgQCCjB0xkVpqxC9jBhUHuGiuZw/view?usp=drivesdk")</f>
        <v>https://drive.google.com/file/d/1aF9NicgQCCjB0xkVpqxC9jBhUHuGiuZw/view?usp=drivesdk</v>
      </c>
      <c r="D6995" s="12"/>
      <c r="E6995" s="11">
        <v>7043.0</v>
      </c>
      <c r="F6995" s="2"/>
    </row>
    <row r="6996" ht="1.5" customHeight="1">
      <c r="A6996" s="4" t="str">
        <f>IFERROR(__xludf.DUMMYFUNCTION("""COMPUTED_VALUE"""),"2. Twix")</f>
        <v>2. Twix</v>
      </c>
      <c r="B6996" s="4" t="str">
        <f>IFERROR(__xludf.DUMMYFUNCTION("""COMPUTED_VALUE"""),"2")</f>
        <v>2</v>
      </c>
      <c r="C6996" s="5" t="str">
        <f>IFERROR(__xludf.DUMMYFUNCTION("""COMPUTED_VALUE"""),"https://drive.google.com/file/d/1qJbrEnHkj3ngD2ToiXYOzCagYwQD-Uw5/view?usp=drivesdk")</f>
        <v>https://drive.google.com/file/d/1qJbrEnHkj3ngD2ToiXYOzCagYwQD-Uw5/view?usp=drivesdk</v>
      </c>
      <c r="D6996" s="12"/>
      <c r="E6996" s="11">
        <v>7044.0</v>
      </c>
      <c r="F6996" s="2"/>
    </row>
    <row r="6997" ht="1.5" customHeight="1">
      <c r="A6997" s="4" t="str">
        <f>IFERROR(__xludf.DUMMYFUNCTION("""COMPUTED_VALUE"""),"2. Twix")</f>
        <v>2. Twix</v>
      </c>
      <c r="B6997" s="4" t="str">
        <f>IFERROR(__xludf.DUMMYFUNCTION("""COMPUTED_VALUE"""),"2")</f>
        <v>2</v>
      </c>
      <c r="C6997" s="5" t="str">
        <f>IFERROR(__xludf.DUMMYFUNCTION("""COMPUTED_VALUE"""),"https://drive.google.com/file/d/1BZOl7AX-j4KHinmRGoTJVTxssQ31_TnR/view?usp=drivesdk")</f>
        <v>https://drive.google.com/file/d/1BZOl7AX-j4KHinmRGoTJVTxssQ31_TnR/view?usp=drivesdk</v>
      </c>
      <c r="D6997" s="12"/>
      <c r="E6997" s="11">
        <v>7045.0</v>
      </c>
      <c r="F6997" s="2"/>
    </row>
    <row r="6998" ht="1.5" customHeight="1">
      <c r="A6998" s="4" t="str">
        <f>IFERROR(__xludf.DUMMYFUNCTION("""COMPUTED_VALUE"""),"2. Twix")</f>
        <v>2. Twix</v>
      </c>
      <c r="B6998" s="4" t="str">
        <f>IFERROR(__xludf.DUMMYFUNCTION("""COMPUTED_VALUE"""),"2")</f>
        <v>2</v>
      </c>
      <c r="C6998" s="5" t="str">
        <f>IFERROR(__xludf.DUMMYFUNCTION("""COMPUTED_VALUE"""),"https://drive.google.com/file/d/1EU8P3hoMYLL_rv3er_wiFMv-HgaR-P42/view?usp=drivesdk")</f>
        <v>https://drive.google.com/file/d/1EU8P3hoMYLL_rv3er_wiFMv-HgaR-P42/view?usp=drivesdk</v>
      </c>
      <c r="D6998" s="12"/>
      <c r="E6998" s="11">
        <v>7046.0</v>
      </c>
      <c r="F6998" s="2"/>
    </row>
    <row r="6999" ht="1.5" customHeight="1">
      <c r="A6999" s="4" t="str">
        <f>IFERROR(__xludf.DUMMYFUNCTION("""COMPUTED_VALUE"""),"4. Eggs")</f>
        <v>4. Eggs</v>
      </c>
      <c r="B6999" s="4" t="str">
        <f>IFERROR(__xludf.DUMMYFUNCTION("""COMPUTED_VALUE"""),"4")</f>
        <v>4</v>
      </c>
      <c r="C6999" s="5" t="str">
        <f>IFERROR(__xludf.DUMMYFUNCTION("""COMPUTED_VALUE"""),"https://drive.google.com/file/d/1KtzVpdISHorw5QsF1E8ZID93nwZFg04G/view?usp=drivesdk")</f>
        <v>https://drive.google.com/file/d/1KtzVpdISHorw5QsF1E8ZID93nwZFg04G/view?usp=drivesdk</v>
      </c>
      <c r="D6999" s="12"/>
      <c r="E6999" s="11">
        <v>7047.0</v>
      </c>
      <c r="F6999" s="2"/>
    </row>
    <row r="7000" ht="1.5" customHeight="1">
      <c r="A7000" s="4" t="str">
        <f>IFERROR(__xludf.DUMMYFUNCTION("""COMPUTED_VALUE"""),"4. Eggs, 5. Eraser")</f>
        <v>4. Eggs, 5. Eraser</v>
      </c>
      <c r="B7000" s="4" t="str">
        <f>IFERROR(__xludf.DUMMYFUNCTION("""COMPUTED_VALUE"""),"4, 5")</f>
        <v>4, 5</v>
      </c>
      <c r="C7000" s="5" t="str">
        <f>IFERROR(__xludf.DUMMYFUNCTION("""COMPUTED_VALUE"""),"https://drive.google.com/file/d/1DVtG1-Aioe494FAU57yhd9sH0657okkJ/view?usp=drivesdk")</f>
        <v>https://drive.google.com/file/d/1DVtG1-Aioe494FAU57yhd9sH0657okkJ/view?usp=drivesdk</v>
      </c>
      <c r="D7000" s="12"/>
      <c r="E7000" s="11">
        <v>7048.0</v>
      </c>
      <c r="F7000" s="2"/>
    </row>
    <row r="7001" ht="1.5" customHeight="1">
      <c r="A7001" s="4" t="str">
        <f>IFERROR(__xludf.DUMMYFUNCTION("""COMPUTED_VALUE"""),"2. Twix")</f>
        <v>2. Twix</v>
      </c>
      <c r="B7001" s="4" t="str">
        <f>IFERROR(__xludf.DUMMYFUNCTION("""COMPUTED_VALUE"""),"2")</f>
        <v>2</v>
      </c>
      <c r="C7001" s="5" t="str">
        <f>IFERROR(__xludf.DUMMYFUNCTION("""COMPUTED_VALUE"""),"https://drive.google.com/file/d/1vlJ5CKuDNBjnpEGXt3vomRnsQryRE33Y/view?usp=drivesdk")</f>
        <v>https://drive.google.com/file/d/1vlJ5CKuDNBjnpEGXt3vomRnsQryRE33Y/view?usp=drivesdk</v>
      </c>
      <c r="D7001" s="12"/>
      <c r="E7001" s="11">
        <v>7049.0</v>
      </c>
      <c r="F7001" s="2"/>
    </row>
    <row r="7002" ht="1.5" customHeight="1">
      <c r="A7002" s="4" t="str">
        <f>IFERROR(__xludf.DUMMYFUNCTION("""COMPUTED_VALUE"""),"1. Microwave")</f>
        <v>1. Microwave</v>
      </c>
      <c r="B7002" s="4" t="str">
        <f>IFERROR(__xludf.DUMMYFUNCTION("""COMPUTED_VALUE"""),"1")</f>
        <v>1</v>
      </c>
      <c r="C7002" s="5" t="str">
        <f>IFERROR(__xludf.DUMMYFUNCTION("""COMPUTED_VALUE"""),"https://drive.google.com/file/d/1dCw6WBiXI-gJfoRNZuLhXj7KxybmnWbD/view?usp=drivesdk")</f>
        <v>https://drive.google.com/file/d/1dCw6WBiXI-gJfoRNZuLhXj7KxybmnWbD/view?usp=drivesdk</v>
      </c>
      <c r="D7002" s="12"/>
      <c r="E7002" s="11">
        <v>7050.0</v>
      </c>
      <c r="F7002" s="2"/>
    </row>
    <row r="7003" ht="1.5" customHeight="1">
      <c r="A7003" s="4" t="str">
        <f>IFERROR(__xludf.DUMMYFUNCTION("""COMPUTED_VALUE"""),"35. Stove")</f>
        <v>35. Stove</v>
      </c>
      <c r="B7003" s="4" t="str">
        <f>IFERROR(__xludf.DUMMYFUNCTION("""COMPUTED_VALUE"""),"35")</f>
        <v>35</v>
      </c>
      <c r="C7003" s="5" t="str">
        <f>IFERROR(__xludf.DUMMYFUNCTION("""COMPUTED_VALUE"""),"https://drive.google.com/file/d/1u2uyRN5UCBlO9bThzN1L7Rpl0nAiCkiM/view?usp=drivesdk")</f>
        <v>https://drive.google.com/file/d/1u2uyRN5UCBlO9bThzN1L7Rpl0nAiCkiM/view?usp=drivesdk</v>
      </c>
      <c r="D7003" s="12"/>
      <c r="E7003" s="11">
        <v>7051.0</v>
      </c>
      <c r="F7003" s="2"/>
    </row>
    <row r="7004" ht="1.5" customHeight="1">
      <c r="A7004" s="4" t="str">
        <f>IFERROR(__xludf.DUMMYFUNCTION("""COMPUTED_VALUE"""),"35. Stove")</f>
        <v>35. Stove</v>
      </c>
      <c r="B7004" s="4" t="str">
        <f>IFERROR(__xludf.DUMMYFUNCTION("""COMPUTED_VALUE"""),"35")</f>
        <v>35</v>
      </c>
      <c r="C7004" s="5" t="str">
        <f>IFERROR(__xludf.DUMMYFUNCTION("""COMPUTED_VALUE"""),"https://drive.google.com/file/d/1e1tWIoKwD8nY-GLVDW_gSCCiwgkFHwT3/view?usp=drivesdk")</f>
        <v>https://drive.google.com/file/d/1e1tWIoKwD8nY-GLVDW_gSCCiwgkFHwT3/view?usp=drivesdk</v>
      </c>
      <c r="D7004" s="12"/>
      <c r="E7004" s="11">
        <v>7052.0</v>
      </c>
      <c r="F7004" s="2"/>
    </row>
    <row r="7005" ht="1.5" customHeight="1">
      <c r="A7005" s="4" t="str">
        <f>IFERROR(__xludf.DUMMYFUNCTION("""COMPUTED_VALUE"""),"129. Charles")</f>
        <v>129. Charles</v>
      </c>
      <c r="B7005" s="4" t="str">
        <f>IFERROR(__xludf.DUMMYFUNCTION("""COMPUTED_VALUE"""),"129")</f>
        <v>129</v>
      </c>
      <c r="C7005" s="5" t="str">
        <f>IFERROR(__xludf.DUMMYFUNCTION("""COMPUTED_VALUE"""),"https://drive.google.com/file/d/1lNp-9KTSmNoSLjuxSbMRwPTNwpph2lCF/view?usp=drivesdk")</f>
        <v>https://drive.google.com/file/d/1lNp-9KTSmNoSLjuxSbMRwPTNwpph2lCF/view?usp=drivesdk</v>
      </c>
      <c r="D7005" s="12"/>
      <c r="E7005" s="11">
        <v>7053.0</v>
      </c>
      <c r="F7005" s="2"/>
    </row>
    <row r="7006" ht="1.5" customHeight="1">
      <c r="A7006" s="4" t="str">
        <f>IFERROR(__xludf.DUMMYFUNCTION("""COMPUTED_VALUE"""),"129. Charles")</f>
        <v>129. Charles</v>
      </c>
      <c r="B7006" s="4" t="str">
        <f>IFERROR(__xludf.DUMMYFUNCTION("""COMPUTED_VALUE"""),"129")</f>
        <v>129</v>
      </c>
      <c r="C7006" s="5" t="str">
        <f>IFERROR(__xludf.DUMMYFUNCTION("""COMPUTED_VALUE"""),"https://drive.google.com/file/d/1HDmr-VaEkICXmvREv-0X0csXwN0Wn2UU/view?usp=drivesdk")</f>
        <v>https://drive.google.com/file/d/1HDmr-VaEkICXmvREv-0X0csXwN0Wn2UU/view?usp=drivesdk</v>
      </c>
      <c r="D7006" s="12"/>
      <c r="E7006" s="11">
        <v>7054.0</v>
      </c>
      <c r="F7006" s="2"/>
    </row>
    <row r="7007" ht="1.5" customHeight="1">
      <c r="A7007" s="4" t="str">
        <f>IFERROR(__xludf.DUMMYFUNCTION("""COMPUTED_VALUE"""),"1. Microwave")</f>
        <v>1. Microwave</v>
      </c>
      <c r="B7007" s="4" t="str">
        <f>IFERROR(__xludf.DUMMYFUNCTION("""COMPUTED_VALUE"""),"1")</f>
        <v>1</v>
      </c>
      <c r="C7007" s="5" t="str">
        <f>IFERROR(__xludf.DUMMYFUNCTION("""COMPUTED_VALUE"""),"https://drive.google.com/file/d/1LGOe7E36hNoJ1COq9xNqCRSkGxTur44X/view?usp=drivesdk")</f>
        <v>https://drive.google.com/file/d/1LGOe7E36hNoJ1COq9xNqCRSkGxTur44X/view?usp=drivesdk</v>
      </c>
      <c r="D7007" s="12"/>
      <c r="E7007" s="11">
        <v>7055.0</v>
      </c>
      <c r="F7007" s="2"/>
    </row>
    <row r="7008" ht="1.5" customHeight="1">
      <c r="A7008" s="4" t="str">
        <f>IFERROR(__xludf.DUMMYFUNCTION("""COMPUTED_VALUE"""),"17. Bobbie")</f>
        <v>17. Bobbie</v>
      </c>
      <c r="B7008" s="4" t="str">
        <f>IFERROR(__xludf.DUMMYFUNCTION("""COMPUTED_VALUE"""),"17")</f>
        <v>17</v>
      </c>
      <c r="C7008" s="5" t="str">
        <f>IFERROR(__xludf.DUMMYFUNCTION("""COMPUTED_VALUE"""),"https://drive.google.com/file/d/1fidesLoInTRe0ULO8ZceJlyRSC2va2wn/view?usp=drivesdk")</f>
        <v>https://drive.google.com/file/d/1fidesLoInTRe0ULO8ZceJlyRSC2va2wn/view?usp=drivesdk</v>
      </c>
      <c r="D7008" s="12"/>
      <c r="E7008" s="11">
        <v>7056.0</v>
      </c>
      <c r="F7008" s="2"/>
    </row>
    <row r="7009" ht="1.5" customHeight="1">
      <c r="A7009" s="4" t="str">
        <f>IFERROR(__xludf.DUMMYFUNCTION("""COMPUTED_VALUE"""),"116. Itzel")</f>
        <v>116. Itzel</v>
      </c>
      <c r="B7009" s="4" t="str">
        <f>IFERROR(__xludf.DUMMYFUNCTION("""COMPUTED_VALUE"""),"116")</f>
        <v>116</v>
      </c>
      <c r="C7009" s="5" t="str">
        <f>IFERROR(__xludf.DUMMYFUNCTION("""COMPUTED_VALUE"""),"https://drive.google.com/file/d/1ekBwWv3Sp6j5WqKCldzb3uw47Z3VfTWL/view?usp=drivesdk")</f>
        <v>https://drive.google.com/file/d/1ekBwWv3Sp6j5WqKCldzb3uw47Z3VfTWL/view?usp=drivesdk</v>
      </c>
      <c r="D7009" s="12"/>
      <c r="E7009" s="11">
        <v>7057.0</v>
      </c>
      <c r="F7009" s="2"/>
    </row>
    <row r="7010" ht="1.5" customHeight="1">
      <c r="A7010" s="4" t="str">
        <f>IFERROR(__xludf.DUMMYFUNCTION("""COMPUTED_VALUE"""),"123. Temiquini")</f>
        <v>123. Temiquini</v>
      </c>
      <c r="B7010" s="4" t="str">
        <f>IFERROR(__xludf.DUMMYFUNCTION("""COMPUTED_VALUE"""),"123")</f>
        <v>123</v>
      </c>
      <c r="C7010" s="5" t="str">
        <f>IFERROR(__xludf.DUMMYFUNCTION("""COMPUTED_VALUE"""),"https://drive.google.com/file/d/1DcnQIBMtiMZv2-4jMcMRSSrSerDQtJgP/view?usp=drivesdk")</f>
        <v>https://drive.google.com/file/d/1DcnQIBMtiMZv2-4jMcMRSSrSerDQtJgP/view?usp=drivesdk</v>
      </c>
      <c r="D7010" s="12"/>
      <c r="E7010" s="11">
        <v>7058.0</v>
      </c>
      <c r="F7010" s="2"/>
    </row>
    <row r="7011" ht="1.5" customHeight="1">
      <c r="A7011" s="4" t="str">
        <f>IFERROR(__xludf.DUMMYFUNCTION("""COMPUTED_VALUE"""),"105. Chilton")</f>
        <v>105. Chilton</v>
      </c>
      <c r="B7011" s="4" t="str">
        <f>IFERROR(__xludf.DUMMYFUNCTION("""COMPUTED_VALUE"""),"105")</f>
        <v>105</v>
      </c>
      <c r="C7011" s="5" t="str">
        <f>IFERROR(__xludf.DUMMYFUNCTION("""COMPUTED_VALUE"""),"https://drive.google.com/file/d/1EYyAB-sd_mFKlYcJ3qEqp1rjM5yjJ8ie/view?usp=drivesdk")</f>
        <v>https://drive.google.com/file/d/1EYyAB-sd_mFKlYcJ3qEqp1rjM5yjJ8ie/view?usp=drivesdk</v>
      </c>
      <c r="D7011" s="12"/>
      <c r="E7011" s="11">
        <v>7059.0</v>
      </c>
      <c r="F7011" s="2"/>
    </row>
    <row r="7012" ht="1.5" customHeight="1">
      <c r="A7012" s="4" t="str">
        <f>IFERROR(__xludf.DUMMYFUNCTION("""COMPUTED_VALUE"""),"105. Chilton, 126. Tax Evasion")</f>
        <v>105. Chilton, 126. Tax Evasion</v>
      </c>
      <c r="B7012" s="4" t="str">
        <f>IFERROR(__xludf.DUMMYFUNCTION("""COMPUTED_VALUE"""),"105, 126")</f>
        <v>105, 126</v>
      </c>
      <c r="C7012" s="5" t="str">
        <f>IFERROR(__xludf.DUMMYFUNCTION("""COMPUTED_VALUE"""),"https://drive.google.com/file/d/1AWfYaN4vLZJYW3uE6xtxlrqFF_EV3iIb/view?usp=drivesdk")</f>
        <v>https://drive.google.com/file/d/1AWfYaN4vLZJYW3uE6xtxlrqFF_EV3iIb/view?usp=drivesdk</v>
      </c>
      <c r="D7012" s="12"/>
      <c r="E7012" s="11">
        <v>7060.0</v>
      </c>
      <c r="F7012" s="2"/>
    </row>
    <row r="7013" ht="1.5" customHeight="1">
      <c r="A7013" s="4" t="str">
        <f>IFERROR(__xludf.DUMMYFUNCTION("""COMPUTED_VALUE"""),"99. Nezhui")</f>
        <v>99. Nezhui</v>
      </c>
      <c r="B7013" s="4" t="str">
        <f>IFERROR(__xludf.DUMMYFUNCTION("""COMPUTED_VALUE"""),"99")</f>
        <v>99</v>
      </c>
      <c r="C7013" s="5" t="str">
        <f>IFERROR(__xludf.DUMMYFUNCTION("""COMPUTED_VALUE"""),"https://drive.google.com/file/d/18dgoGFI8aksYa3eecwdk6vfI2GDmbK3y/view?usp=drivesdk")</f>
        <v>https://drive.google.com/file/d/18dgoGFI8aksYa3eecwdk6vfI2GDmbK3y/view?usp=drivesdk</v>
      </c>
      <c r="D7013" s="12"/>
      <c r="E7013" s="11">
        <v>7061.0</v>
      </c>
      <c r="F7013" s="2"/>
    </row>
    <row r="7014" ht="1.5" customHeight="1">
      <c r="A7014" s="4" t="str">
        <f>IFERROR(__xludf.DUMMYFUNCTION("""COMPUTED_VALUE"""),"126. Tax Evasion")</f>
        <v>126. Tax Evasion</v>
      </c>
      <c r="B7014" s="4" t="str">
        <f>IFERROR(__xludf.DUMMYFUNCTION("""COMPUTED_VALUE"""),"126")</f>
        <v>126</v>
      </c>
      <c r="C7014" s="5" t="str">
        <f>IFERROR(__xludf.DUMMYFUNCTION("""COMPUTED_VALUE"""),"https://drive.google.com/file/d/18mSwmpjnaySRhqIlo4RDI-y5MQGyV3NP/view?usp=drivesdk")</f>
        <v>https://drive.google.com/file/d/18mSwmpjnaySRhqIlo4RDI-y5MQGyV3NP/view?usp=drivesdk</v>
      </c>
      <c r="D7014" s="12"/>
      <c r="E7014" s="11">
        <v>7062.0</v>
      </c>
      <c r="F7014" s="2"/>
    </row>
    <row r="7015" ht="1.5" customHeight="1">
      <c r="A7015" s="4" t="str">
        <f>IFERROR(__xludf.DUMMYFUNCTION("""COMPUTED_VALUE"""),"109. Tlalli")</f>
        <v>109. Tlalli</v>
      </c>
      <c r="B7015" s="4" t="str">
        <f>IFERROR(__xludf.DUMMYFUNCTION("""COMPUTED_VALUE"""),"109")</f>
        <v>109</v>
      </c>
      <c r="C7015" s="5" t="str">
        <f>IFERROR(__xludf.DUMMYFUNCTION("""COMPUTED_VALUE"""),"https://drive.google.com/file/d/1GcI64F8Rs-1B70GM2Le88WkcmuZF0MD6/view?usp=drivesdk")</f>
        <v>https://drive.google.com/file/d/1GcI64F8Rs-1B70GM2Le88WkcmuZF0MD6/view?usp=drivesdk</v>
      </c>
      <c r="D7015" s="12"/>
      <c r="E7015" s="11">
        <v>7063.0</v>
      </c>
      <c r="F7015" s="2"/>
    </row>
    <row r="7016" ht="1.5" customHeight="1">
      <c r="A7016" s="4" t="str">
        <f>IFERROR(__xludf.DUMMYFUNCTION("""COMPUTED_VALUE"""),"99. Nezhui")</f>
        <v>99. Nezhui</v>
      </c>
      <c r="B7016" s="4" t="str">
        <f>IFERROR(__xludf.DUMMYFUNCTION("""COMPUTED_VALUE"""),"99")</f>
        <v>99</v>
      </c>
      <c r="C7016" s="5" t="str">
        <f>IFERROR(__xludf.DUMMYFUNCTION("""COMPUTED_VALUE"""),"https://drive.google.com/file/d/1GbzxRRHg-WlsjandZ8uqs-7J3-o0AAo8/view?usp=drivesdk")</f>
        <v>https://drive.google.com/file/d/1GbzxRRHg-WlsjandZ8uqs-7J3-o0AAo8/view?usp=drivesdk</v>
      </c>
      <c r="D7016" s="12"/>
      <c r="E7016" s="11">
        <v>7064.0</v>
      </c>
      <c r="F7016" s="2"/>
    </row>
    <row r="7017" ht="1.5" customHeight="1">
      <c r="A7017" s="4" t="str">
        <f>IFERROR(__xludf.DUMMYFUNCTION("""COMPUTED_VALUE"""),"99. Nezhui")</f>
        <v>99. Nezhui</v>
      </c>
      <c r="B7017" s="4" t="str">
        <f>IFERROR(__xludf.DUMMYFUNCTION("""COMPUTED_VALUE"""),"99")</f>
        <v>99</v>
      </c>
      <c r="C7017" s="5" t="str">
        <f>IFERROR(__xludf.DUMMYFUNCTION("""COMPUTED_VALUE"""),"https://drive.google.com/file/d/1FAzy-b1V5nA4f4ltMxZxmAWVDULBlJxK/view?usp=drivesdk")</f>
        <v>https://drive.google.com/file/d/1FAzy-b1V5nA4f4ltMxZxmAWVDULBlJxK/view?usp=drivesdk</v>
      </c>
      <c r="D7017" s="12"/>
      <c r="E7017" s="11">
        <v>7065.0</v>
      </c>
      <c r="F7017" s="2"/>
    </row>
    <row r="7018" ht="1.5" customHeight="1">
      <c r="A7018" s="4" t="str">
        <f>IFERROR(__xludf.DUMMYFUNCTION("""COMPUTED_VALUE"""),"116. Itzel, 123. Temiquini")</f>
        <v>116. Itzel, 123. Temiquini</v>
      </c>
      <c r="B7018" s="4" t="str">
        <f>IFERROR(__xludf.DUMMYFUNCTION("""COMPUTED_VALUE"""),"116, 123")</f>
        <v>116, 123</v>
      </c>
      <c r="C7018" s="5" t="str">
        <f>IFERROR(__xludf.DUMMYFUNCTION("""COMPUTED_VALUE"""),"https://drive.google.com/file/d/1Zeh7wA8LqK3gh8ezGQtDa-BzxVib_Ysh/view?usp=drivesdk")</f>
        <v>https://drive.google.com/file/d/1Zeh7wA8LqK3gh8ezGQtDa-BzxVib_Ysh/view?usp=drivesdk</v>
      </c>
      <c r="D7018" s="12"/>
      <c r="E7018" s="11">
        <v>7066.0</v>
      </c>
      <c r="F7018" s="2"/>
    </row>
    <row r="7019" ht="1.5" customHeight="1">
      <c r="A7019" s="4" t="str">
        <f>IFERROR(__xludf.DUMMYFUNCTION("""COMPUTED_VALUE"""),"116. Itzel, 123. Temiquini")</f>
        <v>116. Itzel, 123. Temiquini</v>
      </c>
      <c r="B7019" s="4" t="str">
        <f>IFERROR(__xludf.DUMMYFUNCTION("""COMPUTED_VALUE"""),"116, 123")</f>
        <v>116, 123</v>
      </c>
      <c r="C7019" s="5" t="str">
        <f>IFERROR(__xludf.DUMMYFUNCTION("""COMPUTED_VALUE"""),"https://drive.google.com/file/d/1p9g4khkfc5BLdayUTCyd7eUYhLu9ffLY/view?usp=drivesdk")</f>
        <v>https://drive.google.com/file/d/1p9g4khkfc5BLdayUTCyd7eUYhLu9ffLY/view?usp=drivesdk</v>
      </c>
      <c r="D7019" s="12"/>
      <c r="E7019" s="11">
        <v>7067.0</v>
      </c>
      <c r="F7019" s="2"/>
    </row>
    <row r="7020" ht="1.5" customHeight="1">
      <c r="A7020" s="4" t="str">
        <f>IFERROR(__xludf.DUMMYFUNCTION("""COMPUTED_VALUE"""),"116. Itzel, 123. Temiquini")</f>
        <v>116. Itzel, 123. Temiquini</v>
      </c>
      <c r="B7020" s="4" t="str">
        <f>IFERROR(__xludf.DUMMYFUNCTION("""COMPUTED_VALUE"""),"116, 123")</f>
        <v>116, 123</v>
      </c>
      <c r="C7020" s="5" t="str">
        <f>IFERROR(__xludf.DUMMYFUNCTION("""COMPUTED_VALUE"""),"https://drive.google.com/file/d/1SUWj5nwd7odErgOtn3gcHUbA8mkxSWVX/view?usp=drivesdk")</f>
        <v>https://drive.google.com/file/d/1SUWj5nwd7odErgOtn3gcHUbA8mkxSWVX/view?usp=drivesdk</v>
      </c>
      <c r="D7020" s="12"/>
      <c r="E7020" s="11">
        <v>7068.0</v>
      </c>
      <c r="F7020" s="2"/>
    </row>
    <row r="7021" ht="1.5" customHeight="1">
      <c r="A7021" s="4" t="str">
        <f>IFERROR(__xludf.DUMMYFUNCTION("""COMPUTED_VALUE"""),"116. Itzel, 123. Temiquini")</f>
        <v>116. Itzel, 123. Temiquini</v>
      </c>
      <c r="B7021" s="4" t="str">
        <f>IFERROR(__xludf.DUMMYFUNCTION("""COMPUTED_VALUE"""),"116, 123")</f>
        <v>116, 123</v>
      </c>
      <c r="C7021" s="5" t="str">
        <f>IFERROR(__xludf.DUMMYFUNCTION("""COMPUTED_VALUE"""),"https://drive.google.com/file/d/1H_dyEBjm6s-s8fSGXkN-8J6jBM4qp2BV/view?usp=drivesdk")</f>
        <v>https://drive.google.com/file/d/1H_dyEBjm6s-s8fSGXkN-8J6jBM4qp2BV/view?usp=drivesdk</v>
      </c>
      <c r="D7021" s="12"/>
      <c r="E7021" s="11">
        <v>7069.0</v>
      </c>
      <c r="F7021" s="2"/>
    </row>
    <row r="7022" ht="1.5" customHeight="1">
      <c r="A7022" s="4" t="str">
        <f>IFERROR(__xludf.DUMMYFUNCTION("""COMPUTED_VALUE"""),"123. Temiquini, 116. Itzel")</f>
        <v>123. Temiquini, 116. Itzel</v>
      </c>
      <c r="B7022" s="4" t="str">
        <f>IFERROR(__xludf.DUMMYFUNCTION("""COMPUTED_VALUE"""),"123, 116")</f>
        <v>123, 116</v>
      </c>
      <c r="C7022" s="5" t="str">
        <f>IFERROR(__xludf.DUMMYFUNCTION("""COMPUTED_VALUE"""),"https://drive.google.com/file/d/1YAs8Sffrku61DUqUHTj9zCfuWeGNKINe/view?usp=drivesdk")</f>
        <v>https://drive.google.com/file/d/1YAs8Sffrku61DUqUHTj9zCfuWeGNKINe/view?usp=drivesdk</v>
      </c>
      <c r="D7022" s="12"/>
      <c r="E7022" s="11">
        <v>7070.0</v>
      </c>
      <c r="F7022" s="2"/>
    </row>
    <row r="7023" ht="1.5" customHeight="1">
      <c r="A7023" s="4" t="str">
        <f>IFERROR(__xludf.DUMMYFUNCTION("""COMPUTED_VALUE"""),"116. Itzel")</f>
        <v>116. Itzel</v>
      </c>
      <c r="B7023" s="4" t="str">
        <f>IFERROR(__xludf.DUMMYFUNCTION("""COMPUTED_VALUE"""),"116")</f>
        <v>116</v>
      </c>
      <c r="C7023" s="5" t="str">
        <f>IFERROR(__xludf.DUMMYFUNCTION("""COMPUTED_VALUE"""),"https://drive.google.com/file/d/16fkAV8ecu7GMyH6maE8bthrHUq4zSCph/view?usp=drivesdk")</f>
        <v>https://drive.google.com/file/d/16fkAV8ecu7GMyH6maE8bthrHUq4zSCph/view?usp=drivesdk</v>
      </c>
      <c r="D7023" s="12"/>
      <c r="E7023" s="11">
        <v>7071.0</v>
      </c>
      <c r="F7023" s="2"/>
    </row>
    <row r="7024" ht="1.5" customHeight="1">
      <c r="A7024" s="4" t="str">
        <f>IFERROR(__xludf.DUMMYFUNCTION("""COMPUTED_VALUE"""),"80. Atzi")</f>
        <v>80. Atzi</v>
      </c>
      <c r="B7024" s="4" t="str">
        <f>IFERROR(__xludf.DUMMYFUNCTION("""COMPUTED_VALUE"""),"80")</f>
        <v>80</v>
      </c>
      <c r="C7024" s="5" t="str">
        <f>IFERROR(__xludf.DUMMYFUNCTION("""COMPUTED_VALUE"""),"https://drive.google.com/file/d/1dfcQ8Ep5yHTVCwmD8aRgE0SRkLSXlTRe/view?usp=drivesdk")</f>
        <v>https://drive.google.com/file/d/1dfcQ8Ep5yHTVCwmD8aRgE0SRkLSXlTRe/view?usp=drivesdk</v>
      </c>
      <c r="D7024" s="12"/>
      <c r="E7024" s="11">
        <v>7072.0</v>
      </c>
      <c r="F7024" s="2"/>
    </row>
    <row r="7025" ht="1.5" customHeight="1">
      <c r="A7025" s="4" t="str">
        <f>IFERROR(__xludf.DUMMYFUNCTION("""COMPUTED_VALUE"""),"99. Nezhui")</f>
        <v>99. Nezhui</v>
      </c>
      <c r="B7025" s="4" t="str">
        <f>IFERROR(__xludf.DUMMYFUNCTION("""COMPUTED_VALUE"""),"99")</f>
        <v>99</v>
      </c>
      <c r="C7025" s="5" t="str">
        <f>IFERROR(__xludf.DUMMYFUNCTION("""COMPUTED_VALUE"""),"https://drive.google.com/file/d/11Sc1Gf1_VWP4FcGbXyotr_Payf-6n-Vg/view?usp=drivesdk")</f>
        <v>https://drive.google.com/file/d/11Sc1Gf1_VWP4FcGbXyotr_Payf-6n-Vg/view?usp=drivesdk</v>
      </c>
      <c r="D7025" s="12"/>
      <c r="E7025" s="11">
        <v>7073.0</v>
      </c>
      <c r="F7025" s="2"/>
    </row>
    <row r="7026" ht="1.5" customHeight="1">
      <c r="A7026" s="4" t="str">
        <f>IFERROR(__xludf.DUMMYFUNCTION("""COMPUTED_VALUE"""),"0. NotACat")</f>
        <v>0. NotACat</v>
      </c>
      <c r="B7026" s="4" t="str">
        <f>IFERROR(__xludf.DUMMYFUNCTION("""COMPUTED_VALUE"""),"0")</f>
        <v>0</v>
      </c>
      <c r="C7026" s="5" t="str">
        <f>IFERROR(__xludf.DUMMYFUNCTION("""COMPUTED_VALUE"""),"https://drive.google.com/file/d/1-J_nj1BBTLuzkSIC2SH0QrBXVZB0uKW0/view?usp=drivesdk")</f>
        <v>https://drive.google.com/file/d/1-J_nj1BBTLuzkSIC2SH0QrBXVZB0uKW0/view?usp=drivesdk</v>
      </c>
      <c r="D7026" s="12"/>
      <c r="E7026" s="11">
        <v>7074.0</v>
      </c>
      <c r="F7026" s="2"/>
    </row>
    <row r="7027" ht="1.5" customHeight="1">
      <c r="A7027" s="4" t="str">
        <f>IFERROR(__xludf.DUMMYFUNCTION("""COMPUTED_VALUE"""),"99. Nezhui")</f>
        <v>99. Nezhui</v>
      </c>
      <c r="B7027" s="4" t="str">
        <f>IFERROR(__xludf.DUMMYFUNCTION("""COMPUTED_VALUE"""),"99")</f>
        <v>99</v>
      </c>
      <c r="C7027" s="5" t="str">
        <f>IFERROR(__xludf.DUMMYFUNCTION("""COMPUTED_VALUE"""),"https://drive.google.com/file/d/1HJxe7eIprfvZXRo_7S7OgqAD_1Ah_yUY/view?usp=drivesdk")</f>
        <v>https://drive.google.com/file/d/1HJxe7eIprfvZXRo_7S7OgqAD_1Ah_yUY/view?usp=drivesdk</v>
      </c>
      <c r="D7027" s="12"/>
      <c r="E7027" s="11">
        <v>7075.0</v>
      </c>
      <c r="F7027" s="2"/>
    </row>
    <row r="7028" ht="1.5" customHeight="1">
      <c r="A7028" s="4" t="str">
        <f>IFERROR(__xludf.DUMMYFUNCTION("""COMPUTED_VALUE"""),"99. Nezhui")</f>
        <v>99. Nezhui</v>
      </c>
      <c r="B7028" s="4" t="str">
        <f>IFERROR(__xludf.DUMMYFUNCTION("""COMPUTED_VALUE"""),"99")</f>
        <v>99</v>
      </c>
      <c r="C7028" s="5" t="str">
        <f>IFERROR(__xludf.DUMMYFUNCTION("""COMPUTED_VALUE"""),"https://drive.google.com/file/d/1nlWTnKMuJeZn9hUIfcllL7mogX2cZkw1/view?usp=drivesdk")</f>
        <v>https://drive.google.com/file/d/1nlWTnKMuJeZn9hUIfcllL7mogX2cZkw1/view?usp=drivesdk</v>
      </c>
      <c r="D7028" s="12"/>
      <c r="E7028" s="11">
        <v>7076.0</v>
      </c>
      <c r="F7028" s="2"/>
    </row>
    <row r="7029" ht="1.5" customHeight="1">
      <c r="A7029" s="4" t="str">
        <f>IFERROR(__xludf.DUMMYFUNCTION("""COMPUTED_VALUE"""),"80. Atzi, 123. Temiquini")</f>
        <v>80. Atzi, 123. Temiquini</v>
      </c>
      <c r="B7029" s="4" t="str">
        <f>IFERROR(__xludf.DUMMYFUNCTION("""COMPUTED_VALUE"""),"80, 123")</f>
        <v>80, 123</v>
      </c>
      <c r="C7029" s="5" t="str">
        <f>IFERROR(__xludf.DUMMYFUNCTION("""COMPUTED_VALUE"""),"https://drive.google.com/file/d/1rf_6p44DYR7Zhk93y3_4UBJqsKapzwhY/view?usp=drivesdk")</f>
        <v>https://drive.google.com/file/d/1rf_6p44DYR7Zhk93y3_4UBJqsKapzwhY/view?usp=drivesdk</v>
      </c>
      <c r="D7029" s="12"/>
      <c r="E7029" s="11">
        <v>7077.0</v>
      </c>
      <c r="F7029" s="2"/>
    </row>
    <row r="7030" ht="1.5" customHeight="1">
      <c r="A7030" s="4" t="str">
        <f>IFERROR(__xludf.DUMMYFUNCTION("""COMPUTED_VALUE"""),"80. Atzi, 123. Temiquini")</f>
        <v>80. Atzi, 123. Temiquini</v>
      </c>
      <c r="B7030" s="4" t="str">
        <f>IFERROR(__xludf.DUMMYFUNCTION("""COMPUTED_VALUE"""),"80, 123")</f>
        <v>80, 123</v>
      </c>
      <c r="C7030" s="5" t="str">
        <f>IFERROR(__xludf.DUMMYFUNCTION("""COMPUTED_VALUE"""),"https://drive.google.com/file/d/1C-s0TiunRKc1xhbkUlEXpeUIhYgRKJ2a/view?usp=drivesdk")</f>
        <v>https://drive.google.com/file/d/1C-s0TiunRKc1xhbkUlEXpeUIhYgRKJ2a/view?usp=drivesdk</v>
      </c>
      <c r="D7030" s="12"/>
      <c r="E7030" s="11">
        <v>7078.0</v>
      </c>
      <c r="F7030" s="2"/>
    </row>
    <row r="7031" ht="1.5" customHeight="1">
      <c r="A7031" s="4" t="str">
        <f>IFERROR(__xludf.DUMMYFUNCTION("""COMPUTED_VALUE"""),"80. Atzi, 123. Temiquini")</f>
        <v>80. Atzi, 123. Temiquini</v>
      </c>
      <c r="B7031" s="4" t="str">
        <f>IFERROR(__xludf.DUMMYFUNCTION("""COMPUTED_VALUE"""),"80, 123")</f>
        <v>80, 123</v>
      </c>
      <c r="C7031" s="5" t="str">
        <f>IFERROR(__xludf.DUMMYFUNCTION("""COMPUTED_VALUE"""),"https://drive.google.com/file/d/1xAl3potTxyItZ4KVaAEKi9R6fXBcqHwm/view?usp=drivesdk")</f>
        <v>https://drive.google.com/file/d/1xAl3potTxyItZ4KVaAEKi9R6fXBcqHwm/view?usp=drivesdk</v>
      </c>
      <c r="D7031" s="12"/>
      <c r="E7031" s="11">
        <v>7079.0</v>
      </c>
      <c r="F7031" s="2"/>
    </row>
    <row r="7032" ht="1.5" customHeight="1">
      <c r="A7032" s="4" t="str">
        <f>IFERROR(__xludf.DUMMYFUNCTION("""COMPUTED_VALUE"""),"80. Atzi")</f>
        <v>80. Atzi</v>
      </c>
      <c r="B7032" s="4" t="str">
        <f>IFERROR(__xludf.DUMMYFUNCTION("""COMPUTED_VALUE"""),"80")</f>
        <v>80</v>
      </c>
      <c r="C7032" s="5" t="str">
        <f>IFERROR(__xludf.DUMMYFUNCTION("""COMPUTED_VALUE"""),"https://drive.google.com/file/d/1pSHlWVCZZo0lvhyoPN1z-dGB7yp5vMz7/view?usp=drivesdk")</f>
        <v>https://drive.google.com/file/d/1pSHlWVCZZo0lvhyoPN1z-dGB7yp5vMz7/view?usp=drivesdk</v>
      </c>
      <c r="D7032" s="12"/>
      <c r="E7032" s="11">
        <v>7080.0</v>
      </c>
      <c r="F7032" s="2"/>
    </row>
    <row r="7033" ht="1.5" customHeight="1">
      <c r="A7033" s="4" t="str">
        <f>IFERROR(__xludf.DUMMYFUNCTION("""COMPUTED_VALUE"""),"99. Nezhui")</f>
        <v>99. Nezhui</v>
      </c>
      <c r="B7033" s="4" t="str">
        <f>IFERROR(__xludf.DUMMYFUNCTION("""COMPUTED_VALUE"""),"99")</f>
        <v>99</v>
      </c>
      <c r="C7033" s="5" t="str">
        <f>IFERROR(__xludf.DUMMYFUNCTION("""COMPUTED_VALUE"""),"https://drive.google.com/file/d/101-cl_7J2sypQ2HcIOeWkJuhg1C97jBS/view?usp=drivesdk")</f>
        <v>https://drive.google.com/file/d/101-cl_7J2sypQ2HcIOeWkJuhg1C97jBS/view?usp=drivesdk</v>
      </c>
      <c r="D7033" s="12"/>
      <c r="E7033" s="11">
        <v>7081.0</v>
      </c>
      <c r="F7033" s="2"/>
    </row>
    <row r="7034" ht="1.5" customHeight="1">
      <c r="A7034" s="4" t="str">
        <f>IFERROR(__xludf.DUMMYFUNCTION("""COMPUTED_VALUE"""),"4. Eggs")</f>
        <v>4. Eggs</v>
      </c>
      <c r="B7034" s="4" t="str">
        <f>IFERROR(__xludf.DUMMYFUNCTION("""COMPUTED_VALUE"""),"4")</f>
        <v>4</v>
      </c>
      <c r="C7034" s="5" t="str">
        <f>IFERROR(__xludf.DUMMYFUNCTION("""COMPUTED_VALUE"""),"https://drive.google.com/file/d/1_RnNwPzR-2TzlE9JMoJZ92zhSvgEng-y/view?usp=drivesdk")</f>
        <v>https://drive.google.com/file/d/1_RnNwPzR-2TzlE9JMoJZ92zhSvgEng-y/view?usp=drivesdk</v>
      </c>
      <c r="D7034" s="12"/>
      <c r="E7034" s="11">
        <v>7082.0</v>
      </c>
      <c r="F7034" s="2"/>
    </row>
    <row r="7035" ht="1.5" customHeight="1">
      <c r="A7035" s="4" t="str">
        <f>IFERROR(__xludf.DUMMYFUNCTION("""COMPUTED_VALUE"""),"80. Atzi, 106. Ami, 116. Itzel, 123. Temiquini")</f>
        <v>80. Atzi, 106. Ami, 116. Itzel, 123. Temiquini</v>
      </c>
      <c r="B7035" s="4" t="str">
        <f>IFERROR(__xludf.DUMMYFUNCTION("""COMPUTED_VALUE"""),"80, 106, 116, 123")</f>
        <v>80, 106, 116, 123</v>
      </c>
      <c r="C7035" s="5" t="str">
        <f>IFERROR(__xludf.DUMMYFUNCTION("""COMPUTED_VALUE"""),"https://drive.google.com/file/d/1toAjwnmMcFvNrz6lPEupXk0zWrreuucC/view?usp=drivesdk")</f>
        <v>https://drive.google.com/file/d/1toAjwnmMcFvNrz6lPEupXk0zWrreuucC/view?usp=drivesdk</v>
      </c>
      <c r="D7035" s="12"/>
      <c r="E7035" s="11">
        <v>7083.0</v>
      </c>
      <c r="F7035" s="2"/>
    </row>
    <row r="7036" ht="1.5" customHeight="1">
      <c r="A7036" s="4" t="str">
        <f>IFERROR(__xludf.DUMMYFUNCTION("""COMPUTED_VALUE"""),"116. Itzel")</f>
        <v>116. Itzel</v>
      </c>
      <c r="B7036" s="4" t="str">
        <f>IFERROR(__xludf.DUMMYFUNCTION("""COMPUTED_VALUE"""),"116")</f>
        <v>116</v>
      </c>
      <c r="C7036" s="5" t="str">
        <f>IFERROR(__xludf.DUMMYFUNCTION("""COMPUTED_VALUE"""),"https://drive.google.com/file/d/1EPxpuvGOcyjk_oSXz48sekw6Jgeja3_i/view?usp=drivesdk")</f>
        <v>https://drive.google.com/file/d/1EPxpuvGOcyjk_oSXz48sekw6Jgeja3_i/view?usp=drivesdk</v>
      </c>
      <c r="D7036" s="12"/>
      <c r="E7036" s="11">
        <v>7084.0</v>
      </c>
      <c r="F7036" s="2"/>
    </row>
    <row r="7037" ht="1.5" customHeight="1">
      <c r="A7037" s="4" t="str">
        <f>IFERROR(__xludf.DUMMYFUNCTION("""COMPUTED_VALUE"""),"123. Temiquini")</f>
        <v>123. Temiquini</v>
      </c>
      <c r="B7037" s="4" t="str">
        <f>IFERROR(__xludf.DUMMYFUNCTION("""COMPUTED_VALUE"""),"123")</f>
        <v>123</v>
      </c>
      <c r="C7037" s="5" t="str">
        <f>IFERROR(__xludf.DUMMYFUNCTION("""COMPUTED_VALUE"""),"https://drive.google.com/file/d/1QgL-eWJP6NrAsZXoAw__bnU526zdMYG9/view?usp=drivesdk")</f>
        <v>https://drive.google.com/file/d/1QgL-eWJP6NrAsZXoAw__bnU526zdMYG9/view?usp=drivesdk</v>
      </c>
      <c r="D7037" s="12"/>
      <c r="E7037" s="11">
        <v>7085.0</v>
      </c>
      <c r="F7037" s="2"/>
    </row>
    <row r="7038" ht="1.5" customHeight="1">
      <c r="A7038" s="4" t="str">
        <f>IFERROR(__xludf.DUMMYFUNCTION("""COMPUTED_VALUE"""),"80. Atzi")</f>
        <v>80. Atzi</v>
      </c>
      <c r="B7038" s="4" t="str">
        <f>IFERROR(__xludf.DUMMYFUNCTION("""COMPUTED_VALUE"""),"80")</f>
        <v>80</v>
      </c>
      <c r="C7038" s="5" t="str">
        <f>IFERROR(__xludf.DUMMYFUNCTION("""COMPUTED_VALUE"""),"https://drive.google.com/file/d/1LDNQZrkgQWgQK6S0f6VzXKIsvSly5PuY/view?usp=drivesdk")</f>
        <v>https://drive.google.com/file/d/1LDNQZrkgQWgQK6S0f6VzXKIsvSly5PuY/view?usp=drivesdk</v>
      </c>
      <c r="D7038" s="12"/>
      <c r="E7038" s="11">
        <v>7086.0</v>
      </c>
      <c r="F7038" s="2"/>
    </row>
    <row r="7039" ht="1.5" customHeight="1">
      <c r="A7039" s="4" t="str">
        <f>IFERROR(__xludf.DUMMYFUNCTION("""COMPUTED_VALUE"""),"21. Paquini")</f>
        <v>21. Paquini</v>
      </c>
      <c r="B7039" s="4" t="str">
        <f>IFERROR(__xludf.DUMMYFUNCTION("""COMPUTED_VALUE"""),"21")</f>
        <v>21</v>
      </c>
      <c r="C7039" s="5" t="str">
        <f>IFERROR(__xludf.DUMMYFUNCTION("""COMPUTED_VALUE"""),"https://drive.google.com/file/d/18kEFt0Sb7XdVBnmL4N1UT0JNR3tVmKiF/view?usp=drivesdk")</f>
        <v>https://drive.google.com/file/d/18kEFt0Sb7XdVBnmL4N1UT0JNR3tVmKiF/view?usp=drivesdk</v>
      </c>
      <c r="D7039" s="12"/>
      <c r="E7039" s="11">
        <v>7087.0</v>
      </c>
      <c r="F7039" s="2"/>
    </row>
    <row r="7040" ht="1.5" customHeight="1">
      <c r="A7040" s="4" t="str">
        <f>IFERROR(__xludf.DUMMYFUNCTION("""COMPUTED_VALUE"""),"106. Ami, 80. Atzi")</f>
        <v>106. Ami, 80. Atzi</v>
      </c>
      <c r="B7040" s="4" t="str">
        <f>IFERROR(__xludf.DUMMYFUNCTION("""COMPUTED_VALUE"""),"106, 80")</f>
        <v>106, 80</v>
      </c>
      <c r="C7040" s="5" t="str">
        <f>IFERROR(__xludf.DUMMYFUNCTION("""COMPUTED_VALUE"""),"https://drive.google.com/file/d/1141ocwSqpHSODp57hfm-07zILHv37Pzh/view?usp=drivesdk")</f>
        <v>https://drive.google.com/file/d/1141ocwSqpHSODp57hfm-07zILHv37Pzh/view?usp=drivesdk</v>
      </c>
      <c r="D7040" s="12"/>
      <c r="E7040" s="11">
        <v>7088.0</v>
      </c>
      <c r="F7040" s="2"/>
    </row>
    <row r="7041" ht="1.5" customHeight="1">
      <c r="A7041" s="4" t="str">
        <f>IFERROR(__xludf.DUMMYFUNCTION("""COMPUTED_VALUE"""),"106. Ami")</f>
        <v>106. Ami</v>
      </c>
      <c r="B7041" s="4" t="str">
        <f>IFERROR(__xludf.DUMMYFUNCTION("""COMPUTED_VALUE"""),"106")</f>
        <v>106</v>
      </c>
      <c r="C7041" s="5" t="str">
        <f>IFERROR(__xludf.DUMMYFUNCTION("""COMPUTED_VALUE"""),"https://drive.google.com/file/d/1em-SGSM6vy3SZrQFFk8AbkIy9mZGPZQx/view?usp=drivesdk")</f>
        <v>https://drive.google.com/file/d/1em-SGSM6vy3SZrQFFk8AbkIy9mZGPZQx/view?usp=drivesdk</v>
      </c>
      <c r="D7041" s="12"/>
      <c r="E7041" s="11">
        <v>7089.0</v>
      </c>
      <c r="F7041" s="2"/>
    </row>
    <row r="7042" ht="1.5" customHeight="1">
      <c r="A7042" s="4" t="str">
        <f>IFERROR(__xludf.DUMMYFUNCTION("""COMPUTED_VALUE"""),"21. Paquini")</f>
        <v>21. Paquini</v>
      </c>
      <c r="B7042" s="4" t="str">
        <f>IFERROR(__xludf.DUMMYFUNCTION("""COMPUTED_VALUE"""),"21")</f>
        <v>21</v>
      </c>
      <c r="C7042" s="5" t="str">
        <f>IFERROR(__xludf.DUMMYFUNCTION("""COMPUTED_VALUE"""),"https://drive.google.com/file/d/1qv_cv3csec8BMambJ5N1tivmJ_sVV1y1/view?usp=drivesdk")</f>
        <v>https://drive.google.com/file/d/1qv_cv3csec8BMambJ5N1tivmJ_sVV1y1/view?usp=drivesdk</v>
      </c>
      <c r="D7042" s="12"/>
      <c r="E7042" s="11">
        <v>7090.0</v>
      </c>
      <c r="F7042" s="2"/>
    </row>
    <row r="7043" ht="1.5" customHeight="1">
      <c r="A7043" s="4" t="str">
        <f>IFERROR(__xludf.DUMMYFUNCTION("""COMPUTED_VALUE"""),"9. Melvin")</f>
        <v>9. Melvin</v>
      </c>
      <c r="B7043" s="4" t="str">
        <f>IFERROR(__xludf.DUMMYFUNCTION("""COMPUTED_VALUE"""),"9")</f>
        <v>9</v>
      </c>
      <c r="C7043" s="5" t="str">
        <f>IFERROR(__xludf.DUMMYFUNCTION("""COMPUTED_VALUE"""),"https://drive.google.com/file/d/1Sk__KwGfcBbsUndujAMnkm_OuBGZy9oV/view?usp=drivesdk")</f>
        <v>https://drive.google.com/file/d/1Sk__KwGfcBbsUndujAMnkm_OuBGZy9oV/view?usp=drivesdk</v>
      </c>
      <c r="D7043" s="12"/>
      <c r="E7043" s="11">
        <v>7091.0</v>
      </c>
      <c r="F7043" s="2"/>
    </row>
    <row r="7044" ht="1.5" customHeight="1">
      <c r="A7044" s="4" t="str">
        <f>IFERROR(__xludf.DUMMYFUNCTION("""COMPUTED_VALUE"""),"99. Nezhui")</f>
        <v>99. Nezhui</v>
      </c>
      <c r="B7044" s="4" t="str">
        <f>IFERROR(__xludf.DUMMYFUNCTION("""COMPUTED_VALUE"""),"99")</f>
        <v>99</v>
      </c>
      <c r="C7044" s="5" t="str">
        <f>IFERROR(__xludf.DUMMYFUNCTION("""COMPUTED_VALUE"""),"https://drive.google.com/file/d/1jGll_0njvmcO31I5bz_j0agsv0mYjeha/view?usp=drivesdk")</f>
        <v>https://drive.google.com/file/d/1jGll_0njvmcO31I5bz_j0agsv0mYjeha/view?usp=drivesdk</v>
      </c>
      <c r="D7044" s="12"/>
      <c r="E7044" s="11">
        <v>7092.0</v>
      </c>
      <c r="F7044" s="2"/>
    </row>
    <row r="7045" ht="1.5" customHeight="1">
      <c r="A7045" s="4" t="str">
        <f>IFERROR(__xludf.DUMMYFUNCTION("""COMPUTED_VALUE"""),"99. Nezhui")</f>
        <v>99. Nezhui</v>
      </c>
      <c r="B7045" s="4" t="str">
        <f>IFERROR(__xludf.DUMMYFUNCTION("""COMPUTED_VALUE"""),"99")</f>
        <v>99</v>
      </c>
      <c r="C7045" s="5" t="str">
        <f>IFERROR(__xludf.DUMMYFUNCTION("""COMPUTED_VALUE"""),"https://drive.google.com/file/d/1Bv4EOy51iRNrBEIQR3dESw9Dy2jDvtMr/view?usp=drivesdk")</f>
        <v>https://drive.google.com/file/d/1Bv4EOy51iRNrBEIQR3dESw9Dy2jDvtMr/view?usp=drivesdk</v>
      </c>
      <c r="D7045" s="12"/>
      <c r="E7045" s="11">
        <v>7093.0</v>
      </c>
      <c r="F7045" s="2"/>
    </row>
    <row r="7046" ht="1.5" customHeight="1">
      <c r="A7046" s="4" t="str">
        <f>IFERROR(__xludf.DUMMYFUNCTION("""COMPUTED_VALUE"""),"99. Nezhui")</f>
        <v>99. Nezhui</v>
      </c>
      <c r="B7046" s="4" t="str">
        <f>IFERROR(__xludf.DUMMYFUNCTION("""COMPUTED_VALUE"""),"99")</f>
        <v>99</v>
      </c>
      <c r="C7046" s="5" t="str">
        <f>IFERROR(__xludf.DUMMYFUNCTION("""COMPUTED_VALUE"""),"https://drive.google.com/file/d/1XwhfuMhl6x2j4MJC4ekx1N5rfnTU-K-M/view?usp=drivesdk")</f>
        <v>https://drive.google.com/file/d/1XwhfuMhl6x2j4MJC4ekx1N5rfnTU-K-M/view?usp=drivesdk</v>
      </c>
      <c r="D7046" s="12"/>
      <c r="E7046" s="11">
        <v>7094.0</v>
      </c>
      <c r="F7046" s="2"/>
    </row>
    <row r="7047" ht="1.5" customHeight="1">
      <c r="A7047" s="4" t="str">
        <f>IFERROR(__xludf.DUMMYFUNCTION("""COMPUTED_VALUE"""),"99. Nezhui")</f>
        <v>99. Nezhui</v>
      </c>
      <c r="B7047" s="4" t="str">
        <f>IFERROR(__xludf.DUMMYFUNCTION("""COMPUTED_VALUE"""),"99")</f>
        <v>99</v>
      </c>
      <c r="C7047" s="5" t="str">
        <f>IFERROR(__xludf.DUMMYFUNCTION("""COMPUTED_VALUE"""),"https://drive.google.com/file/d/16-EXWqTm-irtrmipF7NXBOv5c1zD5UvG/view?usp=drivesdk")</f>
        <v>https://drive.google.com/file/d/16-EXWqTm-irtrmipF7NXBOv5c1zD5UvG/view?usp=drivesdk</v>
      </c>
      <c r="D7047" s="12"/>
      <c r="E7047" s="11">
        <v>7095.0</v>
      </c>
      <c r="F7047" s="2"/>
    </row>
    <row r="7048" ht="1.5" customHeight="1">
      <c r="A7048" s="4" t="str">
        <f>IFERROR(__xludf.DUMMYFUNCTION("""COMPUTED_VALUE"""),"21. Paquini")</f>
        <v>21. Paquini</v>
      </c>
      <c r="B7048" s="4" t="str">
        <f>IFERROR(__xludf.DUMMYFUNCTION("""COMPUTED_VALUE"""),"21")</f>
        <v>21</v>
      </c>
      <c r="C7048" s="5" t="str">
        <f>IFERROR(__xludf.DUMMYFUNCTION("""COMPUTED_VALUE"""),"https://drive.google.com/file/d/1e6jkfGSlxMMpbLVgN66O3jHu8XpBeywY/view?usp=drivesdk")</f>
        <v>https://drive.google.com/file/d/1e6jkfGSlxMMpbLVgN66O3jHu8XpBeywY/view?usp=drivesdk</v>
      </c>
      <c r="D7048" s="12"/>
      <c r="E7048" s="11">
        <v>7096.0</v>
      </c>
      <c r="F7048" s="2"/>
    </row>
    <row r="7049" ht="1.5" customHeight="1">
      <c r="A7049" s="4" t="str">
        <f>IFERROR(__xludf.DUMMYFUNCTION("""COMPUTED_VALUE"""),"0. NotACat")</f>
        <v>0. NotACat</v>
      </c>
      <c r="B7049" s="4" t="str">
        <f>IFERROR(__xludf.DUMMYFUNCTION("""COMPUTED_VALUE"""),"0")</f>
        <v>0</v>
      </c>
      <c r="C7049" s="5" t="str">
        <f>IFERROR(__xludf.DUMMYFUNCTION("""COMPUTED_VALUE"""),"https://drive.google.com/file/d/1mcJq4QrhV-sxlYVPf9vNguGB35JHH-BV/view?usp=drivesdk")</f>
        <v>https://drive.google.com/file/d/1mcJq4QrhV-sxlYVPf9vNguGB35JHH-BV/view?usp=drivesdk</v>
      </c>
      <c r="D7049" s="12"/>
      <c r="E7049" s="11">
        <v>7097.0</v>
      </c>
      <c r="F7049" s="2"/>
    </row>
    <row r="7050" ht="1.5" customHeight="1">
      <c r="A7050" s="4" t="str">
        <f>IFERROR(__xludf.DUMMYFUNCTION("""COMPUTED_VALUE"""),"0. NotACat")</f>
        <v>0. NotACat</v>
      </c>
      <c r="B7050" s="4" t="str">
        <f>IFERROR(__xludf.DUMMYFUNCTION("""COMPUTED_VALUE"""),"0")</f>
        <v>0</v>
      </c>
      <c r="C7050" s="5" t="str">
        <f>IFERROR(__xludf.DUMMYFUNCTION("""COMPUTED_VALUE"""),"https://drive.google.com/file/d/1ZlmXlUAC0zKu_m6iOs1R7W2JV-DnaHQC/view?usp=drivesdk")</f>
        <v>https://drive.google.com/file/d/1ZlmXlUAC0zKu_m6iOs1R7W2JV-DnaHQC/view?usp=drivesdk</v>
      </c>
      <c r="D7050" s="12"/>
      <c r="E7050" s="11">
        <v>7098.0</v>
      </c>
      <c r="F7050" s="2"/>
    </row>
    <row r="7051" ht="1.5" customHeight="1">
      <c r="A7051" s="4" t="str">
        <f>IFERROR(__xludf.DUMMYFUNCTION("""COMPUTED_VALUE"""),"0. NotACat")</f>
        <v>0. NotACat</v>
      </c>
      <c r="B7051" s="4" t="str">
        <f>IFERROR(__xludf.DUMMYFUNCTION("""COMPUTED_VALUE"""),"0")</f>
        <v>0</v>
      </c>
      <c r="C7051" s="5" t="str">
        <f>IFERROR(__xludf.DUMMYFUNCTION("""COMPUTED_VALUE"""),"https://drive.google.com/file/d/1m_GYEaDkYg-89BrfLJa11WugqSrm5QDh/view?usp=drivesdk")</f>
        <v>https://drive.google.com/file/d/1m_GYEaDkYg-89BrfLJa11WugqSrm5QDh/view?usp=drivesdk</v>
      </c>
      <c r="D7051" s="12"/>
      <c r="E7051" s="11">
        <v>7099.0</v>
      </c>
      <c r="F7051" s="2"/>
    </row>
    <row r="7052" ht="1.5" customHeight="1">
      <c r="A7052" s="4" t="str">
        <f>IFERROR(__xludf.DUMMYFUNCTION("""COMPUTED_VALUE"""),"0. NotACat")</f>
        <v>0. NotACat</v>
      </c>
      <c r="B7052" s="4" t="str">
        <f>IFERROR(__xludf.DUMMYFUNCTION("""COMPUTED_VALUE"""),"0")</f>
        <v>0</v>
      </c>
      <c r="C7052" s="5" t="str">
        <f>IFERROR(__xludf.DUMMYFUNCTION("""COMPUTED_VALUE"""),"https://drive.google.com/file/d/11M5L5U_1NS5BqXuNDibsJ_rbxo-m33tc/view?usp=drivesdk")</f>
        <v>https://drive.google.com/file/d/11M5L5U_1NS5BqXuNDibsJ_rbxo-m33tc/view?usp=drivesdk</v>
      </c>
      <c r="D7052" s="12"/>
      <c r="E7052" s="11">
        <v>7100.0</v>
      </c>
      <c r="F7052" s="2"/>
    </row>
    <row r="7053" ht="1.5" customHeight="1">
      <c r="A7053" s="4" t="str">
        <f>IFERROR(__xludf.DUMMYFUNCTION("""COMPUTED_VALUE"""),"0. NotACat")</f>
        <v>0. NotACat</v>
      </c>
      <c r="B7053" s="4" t="str">
        <f>IFERROR(__xludf.DUMMYFUNCTION("""COMPUTED_VALUE"""),"0")</f>
        <v>0</v>
      </c>
      <c r="C7053" s="5" t="str">
        <f>IFERROR(__xludf.DUMMYFUNCTION("""COMPUTED_VALUE"""),"https://drive.google.com/file/d/12NPuIBCgEg0GtZfCmxg6c1m3KaZ8y_NB/view?usp=drivesdk")</f>
        <v>https://drive.google.com/file/d/12NPuIBCgEg0GtZfCmxg6c1m3KaZ8y_NB/view?usp=drivesdk</v>
      </c>
      <c r="D7053" s="12"/>
      <c r="E7053" s="11">
        <v>7101.0</v>
      </c>
      <c r="F7053" s="2"/>
    </row>
    <row r="7054" ht="1.5" customHeight="1">
      <c r="A7054" s="4" t="str">
        <f>IFERROR(__xludf.DUMMYFUNCTION("""COMPUTED_VALUE"""),"122. BDubs")</f>
        <v>122. BDubs</v>
      </c>
      <c r="B7054" s="4" t="str">
        <f>IFERROR(__xludf.DUMMYFUNCTION("""COMPUTED_VALUE"""),"122")</f>
        <v>122</v>
      </c>
      <c r="C7054" s="5" t="str">
        <f>IFERROR(__xludf.DUMMYFUNCTION("""COMPUTED_VALUE"""),"https://drive.google.com/file/d/1gtLokz947KBv7X8P_ipfhriI6D_skp3_/view?usp=drivesdk")</f>
        <v>https://drive.google.com/file/d/1gtLokz947KBv7X8P_ipfhriI6D_skp3_/view?usp=drivesdk</v>
      </c>
      <c r="D7054" s="12"/>
      <c r="E7054" s="11">
        <v>7102.0</v>
      </c>
      <c r="F7054" s="2"/>
    </row>
    <row r="7055" ht="1.5" customHeight="1">
      <c r="A7055" s="4" t="str">
        <f>IFERROR(__xludf.DUMMYFUNCTION("""COMPUTED_VALUE"""),"122. BDubs")</f>
        <v>122. BDubs</v>
      </c>
      <c r="B7055" s="4" t="str">
        <f>IFERROR(__xludf.DUMMYFUNCTION("""COMPUTED_VALUE"""),"122")</f>
        <v>122</v>
      </c>
      <c r="C7055" s="5" t="str">
        <f>IFERROR(__xludf.DUMMYFUNCTION("""COMPUTED_VALUE"""),"https://drive.google.com/file/d/1C6lmcIlTd3QhEsYhCJ5NqzTs2d7aKkLE/view?usp=drivesdk")</f>
        <v>https://drive.google.com/file/d/1C6lmcIlTd3QhEsYhCJ5NqzTs2d7aKkLE/view?usp=drivesdk</v>
      </c>
      <c r="D7055" s="12"/>
      <c r="E7055" s="11">
        <v>7103.0</v>
      </c>
      <c r="F7055" s="2"/>
    </row>
    <row r="7056" ht="1.5" customHeight="1">
      <c r="A7056" s="4" t="str">
        <f>IFERROR(__xludf.DUMMYFUNCTION("""COMPUTED_VALUE"""),"1. Microwave")</f>
        <v>1. Microwave</v>
      </c>
      <c r="B7056" s="4" t="str">
        <f>IFERROR(__xludf.DUMMYFUNCTION("""COMPUTED_VALUE"""),"1")</f>
        <v>1</v>
      </c>
      <c r="C7056" s="5" t="str">
        <f>IFERROR(__xludf.DUMMYFUNCTION("""COMPUTED_VALUE"""),"https://drive.google.com/file/d/1YIf_TvAelLPhe24FStVuj8aQjhgi_tkx/view?usp=drivesdk")</f>
        <v>https://drive.google.com/file/d/1YIf_TvAelLPhe24FStVuj8aQjhgi_tkx/view?usp=drivesdk</v>
      </c>
      <c r="D7056" s="12"/>
      <c r="E7056" s="11">
        <v>7104.0</v>
      </c>
      <c r="F7056" s="2"/>
    </row>
    <row r="7057" ht="1.5" customHeight="1">
      <c r="A7057" s="4" t="str">
        <f>IFERROR(__xludf.DUMMYFUNCTION("""COMPUTED_VALUE"""),"1. Microwave")</f>
        <v>1. Microwave</v>
      </c>
      <c r="B7057" s="4" t="str">
        <f>IFERROR(__xludf.DUMMYFUNCTION("""COMPUTED_VALUE"""),"1")</f>
        <v>1</v>
      </c>
      <c r="C7057" s="5" t="str">
        <f>IFERROR(__xludf.DUMMYFUNCTION("""COMPUTED_VALUE"""),"https://drive.google.com/file/d/1_dFFKZvSMVhUw61_zJlPrE4kG-lV4Zle/view?usp=drivesdk")</f>
        <v>https://drive.google.com/file/d/1_dFFKZvSMVhUw61_zJlPrE4kG-lV4Zle/view?usp=drivesdk</v>
      </c>
      <c r="D7057" s="12"/>
      <c r="E7057" s="11">
        <v>7105.0</v>
      </c>
      <c r="F7057" s="2"/>
    </row>
    <row r="7058" ht="1.5" customHeight="1">
      <c r="A7058" s="4" t="str">
        <f>IFERROR(__xludf.DUMMYFUNCTION("""COMPUTED_VALUE"""),"1. Microwave")</f>
        <v>1. Microwave</v>
      </c>
      <c r="B7058" s="4" t="str">
        <f>IFERROR(__xludf.DUMMYFUNCTION("""COMPUTED_VALUE"""),"1")</f>
        <v>1</v>
      </c>
      <c r="C7058" s="5" t="str">
        <f>IFERROR(__xludf.DUMMYFUNCTION("""COMPUTED_VALUE"""),"https://drive.google.com/file/d/1oEhpySx-PHQ-qjFHA3rbEmqsc92urCbx/view?usp=drivesdk")</f>
        <v>https://drive.google.com/file/d/1oEhpySx-PHQ-qjFHA3rbEmqsc92urCbx/view?usp=drivesdk</v>
      </c>
      <c r="D7058" s="12"/>
      <c r="E7058" s="11">
        <v>7106.0</v>
      </c>
      <c r="F7058" s="2"/>
    </row>
    <row r="7059" ht="1.5" customHeight="1">
      <c r="A7059" s="4" t="str">
        <f>IFERROR(__xludf.DUMMYFUNCTION("""COMPUTED_VALUE"""),"1. Microwave")</f>
        <v>1. Microwave</v>
      </c>
      <c r="B7059" s="4" t="str">
        <f>IFERROR(__xludf.DUMMYFUNCTION("""COMPUTED_VALUE"""),"1")</f>
        <v>1</v>
      </c>
      <c r="C7059" s="5" t="str">
        <f>IFERROR(__xludf.DUMMYFUNCTION("""COMPUTED_VALUE"""),"https://drive.google.com/file/d/10js3X_97uL9ROKI70js_NQV9IsPUBWMt/view?usp=drivesdk")</f>
        <v>https://drive.google.com/file/d/10js3X_97uL9ROKI70js_NQV9IsPUBWMt/view?usp=drivesdk</v>
      </c>
      <c r="D7059" s="12"/>
      <c r="E7059" s="11">
        <v>7107.0</v>
      </c>
      <c r="F7059" s="2"/>
    </row>
    <row r="7060" ht="1.5" customHeight="1">
      <c r="A7060" s="4" t="str">
        <f>IFERROR(__xludf.DUMMYFUNCTION("""COMPUTED_VALUE"""),"1. Microwave")</f>
        <v>1. Microwave</v>
      </c>
      <c r="B7060" s="4" t="str">
        <f>IFERROR(__xludf.DUMMYFUNCTION("""COMPUTED_VALUE"""),"1")</f>
        <v>1</v>
      </c>
      <c r="C7060" s="5" t="str">
        <f>IFERROR(__xludf.DUMMYFUNCTION("""COMPUTED_VALUE"""),"https://drive.google.com/file/d/1WxawxcLqA1M8TV228hlwBKbw2afKxdMo/view?usp=drivesdk")</f>
        <v>https://drive.google.com/file/d/1WxawxcLqA1M8TV228hlwBKbw2afKxdMo/view?usp=drivesdk</v>
      </c>
      <c r="D7060" s="12"/>
      <c r="E7060" s="11">
        <v>7108.0</v>
      </c>
      <c r="F7060" s="2"/>
    </row>
    <row r="7061" ht="1.5" customHeight="1">
      <c r="A7061" s="4" t="str">
        <f>IFERROR(__xludf.DUMMYFUNCTION("""COMPUTED_VALUE"""),"4. Eggs")</f>
        <v>4. Eggs</v>
      </c>
      <c r="B7061" s="4" t="str">
        <f>IFERROR(__xludf.DUMMYFUNCTION("""COMPUTED_VALUE"""),"4")</f>
        <v>4</v>
      </c>
      <c r="C7061" s="5" t="str">
        <f>IFERROR(__xludf.DUMMYFUNCTION("""COMPUTED_VALUE"""),"https://drive.google.com/file/d/1ZexuB-iJhje47m6m9T4ZEHkgQf9D513r/view?usp=drivesdk")</f>
        <v>https://drive.google.com/file/d/1ZexuB-iJhje47m6m9T4ZEHkgQf9D513r/view?usp=drivesdk</v>
      </c>
      <c r="D7061" s="12"/>
      <c r="E7061" s="11">
        <v>7109.0</v>
      </c>
      <c r="F7061" s="2"/>
    </row>
    <row r="7062" ht="1.5" customHeight="1">
      <c r="A7062" s="4" t="str">
        <f>IFERROR(__xludf.DUMMYFUNCTION("""COMPUTED_VALUE"""),"2. Twix")</f>
        <v>2. Twix</v>
      </c>
      <c r="B7062" s="4" t="str">
        <f>IFERROR(__xludf.DUMMYFUNCTION("""COMPUTED_VALUE"""),"2")</f>
        <v>2</v>
      </c>
      <c r="C7062" s="5" t="str">
        <f>IFERROR(__xludf.DUMMYFUNCTION("""COMPUTED_VALUE"""),"https://drive.google.com/file/d/1LCtPEUzC00lzGnoaKSiFRmDtfVXQsqRt/view?usp=drivesdk")</f>
        <v>https://drive.google.com/file/d/1LCtPEUzC00lzGnoaKSiFRmDtfVXQsqRt/view?usp=drivesdk</v>
      </c>
      <c r="D7062" s="12"/>
      <c r="E7062" s="11">
        <v>7110.0</v>
      </c>
      <c r="F7062" s="2"/>
    </row>
    <row r="7063" ht="1.5" customHeight="1">
      <c r="A7063" s="4" t="str">
        <f>IFERROR(__xludf.DUMMYFUNCTION("""COMPUTED_VALUE"""),"6. Snickers")</f>
        <v>6. Snickers</v>
      </c>
      <c r="B7063" s="4" t="str">
        <f>IFERROR(__xludf.DUMMYFUNCTION("""COMPUTED_VALUE"""),"6")</f>
        <v>6</v>
      </c>
      <c r="C7063" s="5" t="str">
        <f>IFERROR(__xludf.DUMMYFUNCTION("""COMPUTED_VALUE"""),"https://drive.google.com/file/d/1t3B-hvvazLqwrqnTHFEPY0GhUfaCUar3/view?usp=drivesdk")</f>
        <v>https://drive.google.com/file/d/1t3B-hvvazLqwrqnTHFEPY0GhUfaCUar3/view?usp=drivesdk</v>
      </c>
      <c r="D7063" s="12"/>
      <c r="E7063" s="11">
        <v>7111.0</v>
      </c>
      <c r="F7063" s="2"/>
    </row>
    <row r="7064" ht="1.5" customHeight="1">
      <c r="A7064" s="4" t="str">
        <f>IFERROR(__xludf.DUMMYFUNCTION("""COMPUTED_VALUE"""),"6. Snickers")</f>
        <v>6. Snickers</v>
      </c>
      <c r="B7064" s="4" t="str">
        <f>IFERROR(__xludf.DUMMYFUNCTION("""COMPUTED_VALUE"""),"6")</f>
        <v>6</v>
      </c>
      <c r="C7064" s="5" t="str">
        <f>IFERROR(__xludf.DUMMYFUNCTION("""COMPUTED_VALUE"""),"https://drive.google.com/file/d/1aQ0IkKGivA4QpcE4BdUERq0l7p2aABQJ/view?usp=drivesdk")</f>
        <v>https://drive.google.com/file/d/1aQ0IkKGivA4QpcE4BdUERq0l7p2aABQJ/view?usp=drivesdk</v>
      </c>
      <c r="D7064" s="12"/>
      <c r="E7064" s="11">
        <v>7112.0</v>
      </c>
      <c r="F7064" s="2"/>
    </row>
    <row r="7065" ht="1.5" customHeight="1">
      <c r="A7065" s="4" t="str">
        <f>IFERROR(__xludf.DUMMYFUNCTION("""COMPUTED_VALUE"""),"6. Snickers")</f>
        <v>6. Snickers</v>
      </c>
      <c r="B7065" s="4" t="str">
        <f>IFERROR(__xludf.DUMMYFUNCTION("""COMPUTED_VALUE"""),"6")</f>
        <v>6</v>
      </c>
      <c r="C7065" s="5" t="str">
        <f>IFERROR(__xludf.DUMMYFUNCTION("""COMPUTED_VALUE"""),"https://drive.google.com/file/d/1rvHl6AJ19bFMcuVx-XZWBHR2bXMPJtj9/view?usp=drivesdk")</f>
        <v>https://drive.google.com/file/d/1rvHl6AJ19bFMcuVx-XZWBHR2bXMPJtj9/view?usp=drivesdk</v>
      </c>
      <c r="D7065" s="12"/>
      <c r="E7065" s="11">
        <v>7113.0</v>
      </c>
      <c r="F7065" s="2"/>
    </row>
    <row r="7066" ht="1.5" customHeight="1">
      <c r="A7066" s="4" t="str">
        <f>IFERROR(__xludf.DUMMYFUNCTION("""COMPUTED_VALUE"""),"1. Microwave")</f>
        <v>1. Microwave</v>
      </c>
      <c r="B7066" s="4" t="str">
        <f>IFERROR(__xludf.DUMMYFUNCTION("""COMPUTED_VALUE"""),"1")</f>
        <v>1</v>
      </c>
      <c r="C7066" s="5" t="str">
        <f>IFERROR(__xludf.DUMMYFUNCTION("""COMPUTED_VALUE"""),"https://drive.google.com/file/d/1PfZ-O2s4RDtg3gOSLo5U0T7zniRaJe9n/view?usp=drivesdk")</f>
        <v>https://drive.google.com/file/d/1PfZ-O2s4RDtg3gOSLo5U0T7zniRaJe9n/view?usp=drivesdk</v>
      </c>
      <c r="D7066" s="12"/>
      <c r="E7066" s="11">
        <v>7114.0</v>
      </c>
      <c r="F7066" s="2"/>
    </row>
    <row r="7067" ht="1.5" customHeight="1">
      <c r="A7067" s="4" t="str">
        <f>IFERROR(__xludf.DUMMYFUNCTION("""COMPUTED_VALUE"""),"6. Snickers")</f>
        <v>6. Snickers</v>
      </c>
      <c r="B7067" s="4" t="str">
        <f>IFERROR(__xludf.DUMMYFUNCTION("""COMPUTED_VALUE"""),"6")</f>
        <v>6</v>
      </c>
      <c r="C7067" s="5" t="str">
        <f>IFERROR(__xludf.DUMMYFUNCTION("""COMPUTED_VALUE"""),"https://drive.google.com/file/d/1mOOdZvn3n9Qad-2v1ienjvd0eKQWZJM0/view?usp=drivesdk")</f>
        <v>https://drive.google.com/file/d/1mOOdZvn3n9Qad-2v1ienjvd0eKQWZJM0/view?usp=drivesdk</v>
      </c>
      <c r="D7067" s="12"/>
      <c r="E7067" s="11">
        <v>7115.0</v>
      </c>
      <c r="F7067" s="2"/>
    </row>
    <row r="7068" ht="1.5" customHeight="1">
      <c r="A7068" s="4" t="str">
        <f>IFERROR(__xludf.DUMMYFUNCTION("""COMPUTED_VALUE"""),"6. Snickers")</f>
        <v>6. Snickers</v>
      </c>
      <c r="B7068" s="4" t="str">
        <f>IFERROR(__xludf.DUMMYFUNCTION("""COMPUTED_VALUE"""),"6")</f>
        <v>6</v>
      </c>
      <c r="C7068" s="5" t="str">
        <f>IFERROR(__xludf.DUMMYFUNCTION("""COMPUTED_VALUE"""),"https://drive.google.com/file/d/1fDEtq5sJSUyBXfbsDqfUKPfypLJFEnUE/view?usp=drivesdk")</f>
        <v>https://drive.google.com/file/d/1fDEtq5sJSUyBXfbsDqfUKPfypLJFEnUE/view?usp=drivesdk</v>
      </c>
      <c r="D7068" s="12"/>
      <c r="E7068" s="11">
        <v>7116.0</v>
      </c>
      <c r="F7068" s="2"/>
    </row>
    <row r="7069" ht="1.5" customHeight="1">
      <c r="A7069" s="4" t="str">
        <f>IFERROR(__xludf.DUMMYFUNCTION("""COMPUTED_VALUE"""),"6. Snickers")</f>
        <v>6. Snickers</v>
      </c>
      <c r="B7069" s="4" t="str">
        <f>IFERROR(__xludf.DUMMYFUNCTION("""COMPUTED_VALUE"""),"6")</f>
        <v>6</v>
      </c>
      <c r="C7069" s="5" t="str">
        <f>IFERROR(__xludf.DUMMYFUNCTION("""COMPUTED_VALUE"""),"https://drive.google.com/file/d/1mmob3TAn_jMTgBj5SrhBWSEKsbd9f4Jk/view?usp=drivesdk")</f>
        <v>https://drive.google.com/file/d/1mmob3TAn_jMTgBj5SrhBWSEKsbd9f4Jk/view?usp=drivesdk</v>
      </c>
      <c r="D7069" s="12"/>
      <c r="E7069" s="11">
        <v>7117.0</v>
      </c>
      <c r="F7069" s="2"/>
    </row>
    <row r="7070" ht="1.5" customHeight="1">
      <c r="A7070" s="4" t="str">
        <f>IFERROR(__xludf.DUMMYFUNCTION("""COMPUTED_VALUE"""),"1. Microwave")</f>
        <v>1. Microwave</v>
      </c>
      <c r="B7070" s="4" t="str">
        <f>IFERROR(__xludf.DUMMYFUNCTION("""COMPUTED_VALUE"""),"1")</f>
        <v>1</v>
      </c>
      <c r="C7070" s="5" t="str">
        <f>IFERROR(__xludf.DUMMYFUNCTION("""COMPUTED_VALUE"""),"https://drive.google.com/file/d/1gRUEtntJeWjApc_Z-Kmlz7j73NA0vxoh/view?usp=drivesdk")</f>
        <v>https://drive.google.com/file/d/1gRUEtntJeWjApc_Z-Kmlz7j73NA0vxoh/view?usp=drivesdk</v>
      </c>
      <c r="D7070" s="12"/>
      <c r="E7070" s="11">
        <v>7118.0</v>
      </c>
      <c r="F7070" s="2"/>
    </row>
    <row r="7071" ht="1.5" customHeight="1">
      <c r="A7071" s="4" t="str">
        <f>IFERROR(__xludf.DUMMYFUNCTION("""COMPUTED_VALUE"""),"1. Microwave")</f>
        <v>1. Microwave</v>
      </c>
      <c r="B7071" s="4" t="str">
        <f>IFERROR(__xludf.DUMMYFUNCTION("""COMPUTED_VALUE"""),"1")</f>
        <v>1</v>
      </c>
      <c r="C7071" s="5" t="str">
        <f>IFERROR(__xludf.DUMMYFUNCTION("""COMPUTED_VALUE"""),"https://drive.google.com/file/d/1v1KYBHF6thZN_2dlirpVWp2a9hAXYzEL/view?usp=drivesdk")</f>
        <v>https://drive.google.com/file/d/1v1KYBHF6thZN_2dlirpVWp2a9hAXYzEL/view?usp=drivesdk</v>
      </c>
      <c r="D7071" s="12"/>
      <c r="E7071" s="11">
        <v>7119.0</v>
      </c>
      <c r="F7071" s="2"/>
    </row>
    <row r="7072" ht="1.5" customHeight="1">
      <c r="A7072" s="4" t="str">
        <f>IFERROR(__xludf.DUMMYFUNCTION("""COMPUTED_VALUE"""),"1. Microwave")</f>
        <v>1. Microwave</v>
      </c>
      <c r="B7072" s="4" t="str">
        <f>IFERROR(__xludf.DUMMYFUNCTION("""COMPUTED_VALUE"""),"1")</f>
        <v>1</v>
      </c>
      <c r="C7072" s="5" t="str">
        <f>IFERROR(__xludf.DUMMYFUNCTION("""COMPUTED_VALUE"""),"https://drive.google.com/file/d/1bNkLxvqHKZ_Fs1NuOrWz_Pz-CFmB3nRB/view?usp=drivesdk")</f>
        <v>https://drive.google.com/file/d/1bNkLxvqHKZ_Fs1NuOrWz_Pz-CFmB3nRB/view?usp=drivesdk</v>
      </c>
      <c r="D7072" s="12"/>
      <c r="E7072" s="11">
        <v>7120.0</v>
      </c>
      <c r="F7072" s="2"/>
    </row>
    <row r="7073" ht="1.5" customHeight="1">
      <c r="A7073" s="4" t="str">
        <f>IFERROR(__xludf.DUMMYFUNCTION("""COMPUTED_VALUE"""),"1. Microwave")</f>
        <v>1. Microwave</v>
      </c>
      <c r="B7073" s="4" t="str">
        <f>IFERROR(__xludf.DUMMYFUNCTION("""COMPUTED_VALUE"""),"1")</f>
        <v>1</v>
      </c>
      <c r="C7073" s="5" t="str">
        <f>IFERROR(__xludf.DUMMYFUNCTION("""COMPUTED_VALUE"""),"https://drive.google.com/file/d/1W1BckAbWVqq4b4iZYoXFG0FAAGunlwpT/view?usp=drivesdk")</f>
        <v>https://drive.google.com/file/d/1W1BckAbWVqq4b4iZYoXFG0FAAGunlwpT/view?usp=drivesdk</v>
      </c>
      <c r="D7073" s="12"/>
      <c r="E7073" s="11">
        <v>7121.0</v>
      </c>
      <c r="F7073" s="2"/>
    </row>
    <row r="7074" ht="1.5" customHeight="1">
      <c r="A7074" s="4" t="str">
        <f>IFERROR(__xludf.DUMMYFUNCTION("""COMPUTED_VALUE"""),"1. Microwave")</f>
        <v>1. Microwave</v>
      </c>
      <c r="B7074" s="4" t="str">
        <f>IFERROR(__xludf.DUMMYFUNCTION("""COMPUTED_VALUE"""),"1")</f>
        <v>1</v>
      </c>
      <c r="C7074" s="5" t="str">
        <f>IFERROR(__xludf.DUMMYFUNCTION("""COMPUTED_VALUE"""),"https://drive.google.com/file/d/1ecjsUjDCd82EOjIyZK2_bqvw7lRdydVc/view?usp=drivesdk")</f>
        <v>https://drive.google.com/file/d/1ecjsUjDCd82EOjIyZK2_bqvw7lRdydVc/view?usp=drivesdk</v>
      </c>
      <c r="D7074" s="12"/>
      <c r="E7074" s="11">
        <v>7122.0</v>
      </c>
      <c r="F7074" s="2"/>
    </row>
    <row r="7075" ht="1.5" customHeight="1">
      <c r="A7075" s="4" t="str">
        <f>IFERROR(__xludf.DUMMYFUNCTION("""COMPUTED_VALUE"""),"29. Ginger, 33. Zee, 30. Pepper")</f>
        <v>29. Ginger, 33. Zee, 30. Pepper</v>
      </c>
      <c r="B7075" s="4" t="str">
        <f>IFERROR(__xludf.DUMMYFUNCTION("""COMPUTED_VALUE"""),"29, 33, 30")</f>
        <v>29, 33, 30</v>
      </c>
      <c r="C7075" s="5" t="str">
        <f>IFERROR(__xludf.DUMMYFUNCTION("""COMPUTED_VALUE"""),"https://drive.google.com/file/d/1BF0wjlRzJZU_7ODQOokOp_rO8CGgTd42/view?usp=drivesdk")</f>
        <v>https://drive.google.com/file/d/1BF0wjlRzJZU_7ODQOokOp_rO8CGgTd42/view?usp=drivesdk</v>
      </c>
      <c r="D7075" s="12"/>
      <c r="E7075" s="11">
        <v>7123.0</v>
      </c>
      <c r="F7075" s="2"/>
    </row>
    <row r="7076" ht="1.5" customHeight="1">
      <c r="A7076" s="4" t="str">
        <f>IFERROR(__xludf.DUMMYFUNCTION("""COMPUTED_VALUE"""),"33. Zee, 29. Ginger")</f>
        <v>33. Zee, 29. Ginger</v>
      </c>
      <c r="B7076" s="4" t="str">
        <f>IFERROR(__xludf.DUMMYFUNCTION("""COMPUTED_VALUE"""),"33, 29")</f>
        <v>33, 29</v>
      </c>
      <c r="C7076" s="5" t="str">
        <f>IFERROR(__xludf.DUMMYFUNCTION("""COMPUTED_VALUE"""),"https://drive.google.com/file/d/1XyVc_Euy-v7TGTPHezMwlIVvlSp-cfcn/view?usp=drivesdk")</f>
        <v>https://drive.google.com/file/d/1XyVc_Euy-v7TGTPHezMwlIVvlSp-cfcn/view?usp=drivesdk</v>
      </c>
      <c r="D7076" s="12"/>
      <c r="E7076" s="11">
        <v>7124.0</v>
      </c>
      <c r="F7076" s="2"/>
    </row>
    <row r="7077" ht="1.5" customHeight="1">
      <c r="A7077" s="4" t="str">
        <f>IFERROR(__xludf.DUMMYFUNCTION("""COMPUTED_VALUE"""),"29. Ginger, 33. Zee")</f>
        <v>29. Ginger, 33. Zee</v>
      </c>
      <c r="B7077" s="4" t="str">
        <f>IFERROR(__xludf.DUMMYFUNCTION("""COMPUTED_VALUE"""),"29, 33")</f>
        <v>29, 33</v>
      </c>
      <c r="C7077" s="5" t="str">
        <f>IFERROR(__xludf.DUMMYFUNCTION("""COMPUTED_VALUE"""),"https://drive.google.com/file/d/1OghSKkmTHZcygkSvfVbP3zBMZEKcsRa2/view?usp=drivesdk")</f>
        <v>https://drive.google.com/file/d/1OghSKkmTHZcygkSvfVbP3zBMZEKcsRa2/view?usp=drivesdk</v>
      </c>
      <c r="D7077" s="12"/>
      <c r="E7077" s="11">
        <v>7125.0</v>
      </c>
      <c r="F7077" s="2"/>
    </row>
    <row r="7078" ht="1.5" customHeight="1">
      <c r="A7078" s="4" t="str">
        <f>IFERROR(__xludf.DUMMYFUNCTION("""COMPUTED_VALUE"""),"27. Angel")</f>
        <v>27. Angel</v>
      </c>
      <c r="B7078" s="4" t="str">
        <f>IFERROR(__xludf.DUMMYFUNCTION("""COMPUTED_VALUE"""),"27")</f>
        <v>27</v>
      </c>
      <c r="C7078" s="5" t="str">
        <f>IFERROR(__xludf.DUMMYFUNCTION("""COMPUTED_VALUE"""),"https://drive.google.com/file/d/1Onjw7t8fmNRLhZpXwvsEzAPK3TDDot7q/view?usp=drivesdk")</f>
        <v>https://drive.google.com/file/d/1Onjw7t8fmNRLhZpXwvsEzAPK3TDDot7q/view?usp=drivesdk</v>
      </c>
      <c r="D7078" s="12"/>
      <c r="E7078" s="11">
        <v>7126.0</v>
      </c>
      <c r="F7078" s="2"/>
    </row>
    <row r="7079" ht="1.5" customHeight="1">
      <c r="A7079" s="4" t="str">
        <f>IFERROR(__xludf.DUMMYFUNCTION("""COMPUTED_VALUE"""),"30. Pepper")</f>
        <v>30. Pepper</v>
      </c>
      <c r="B7079" s="4" t="str">
        <f>IFERROR(__xludf.DUMMYFUNCTION("""COMPUTED_VALUE"""),"30")</f>
        <v>30</v>
      </c>
      <c r="C7079" s="5" t="str">
        <f>IFERROR(__xludf.DUMMYFUNCTION("""COMPUTED_VALUE"""),"https://drive.google.com/file/d/1CUVNna4Pi_4RiPuNcWPMmC-TGIYaz2W_/view?usp=drivesdk")</f>
        <v>https://drive.google.com/file/d/1CUVNna4Pi_4RiPuNcWPMmC-TGIYaz2W_/view?usp=drivesdk</v>
      </c>
      <c r="D7079" s="12"/>
      <c r="E7079" s="11">
        <v>7127.0</v>
      </c>
      <c r="F7079" s="2"/>
    </row>
    <row r="7080" ht="1.5" customHeight="1">
      <c r="A7080" s="4" t="str">
        <f>IFERROR(__xludf.DUMMYFUNCTION("""COMPUTED_VALUE"""),"32. Noir")</f>
        <v>32. Noir</v>
      </c>
      <c r="B7080" s="4" t="str">
        <f>IFERROR(__xludf.DUMMYFUNCTION("""COMPUTED_VALUE"""),"32")</f>
        <v>32</v>
      </c>
      <c r="C7080" s="5" t="str">
        <f>IFERROR(__xludf.DUMMYFUNCTION("""COMPUTED_VALUE"""),"https://drive.google.com/file/d/1sv-vwifxkUhid78tnYLc1aLWO0_4gB9u/view?usp=drivesdk")</f>
        <v>https://drive.google.com/file/d/1sv-vwifxkUhid78tnYLc1aLWO0_4gB9u/view?usp=drivesdk</v>
      </c>
      <c r="D7080" s="12"/>
      <c r="E7080" s="11">
        <v>7128.0</v>
      </c>
      <c r="F7080" s="2"/>
    </row>
    <row r="7081" ht="1.5" customHeight="1">
      <c r="A7081" s="4" t="str">
        <f>IFERROR(__xludf.DUMMYFUNCTION("""COMPUTED_VALUE"""),"30. Pepper")</f>
        <v>30. Pepper</v>
      </c>
      <c r="B7081" s="4" t="str">
        <f>IFERROR(__xludf.DUMMYFUNCTION("""COMPUTED_VALUE"""),"30")</f>
        <v>30</v>
      </c>
      <c r="C7081" s="5" t="str">
        <f>IFERROR(__xludf.DUMMYFUNCTION("""COMPUTED_VALUE"""),"https://drive.google.com/file/d/1iHEAcU-TJGaRERkB-_PFbHzoh0pMgiRt/view?usp=drivesdk")</f>
        <v>https://drive.google.com/file/d/1iHEAcU-TJGaRERkB-_PFbHzoh0pMgiRt/view?usp=drivesdk</v>
      </c>
      <c r="D7081" s="12"/>
      <c r="E7081" s="11">
        <v>7129.0</v>
      </c>
      <c r="F7081" s="2"/>
    </row>
    <row r="7082" ht="1.5" customHeight="1">
      <c r="A7082" s="4" t="str">
        <f>IFERROR(__xludf.DUMMYFUNCTION("""COMPUTED_VALUE"""),"1. Microwave")</f>
        <v>1. Microwave</v>
      </c>
      <c r="B7082" s="4" t="str">
        <f>IFERROR(__xludf.DUMMYFUNCTION("""COMPUTED_VALUE"""),"1")</f>
        <v>1</v>
      </c>
      <c r="C7082" s="5" t="str">
        <f>IFERROR(__xludf.DUMMYFUNCTION("""COMPUTED_VALUE"""),"https://drive.google.com/file/d/1zBbLVy8forU_5VnlMjjtGsXaiCt0QRBM/view?usp=drivesdk")</f>
        <v>https://drive.google.com/file/d/1zBbLVy8forU_5VnlMjjtGsXaiCt0QRBM/view?usp=drivesdk</v>
      </c>
      <c r="D7082" s="12"/>
      <c r="E7082" s="11">
        <v>7130.0</v>
      </c>
      <c r="F7082" s="2"/>
    </row>
    <row r="7083" ht="1.5" customHeight="1">
      <c r="A7083" s="4" t="str">
        <f>IFERROR(__xludf.DUMMYFUNCTION("""COMPUTED_VALUE"""),"4. Eggs, 5. Eraser")</f>
        <v>4. Eggs, 5. Eraser</v>
      </c>
      <c r="B7083" s="4" t="str">
        <f>IFERROR(__xludf.DUMMYFUNCTION("""COMPUTED_VALUE"""),"4, 5")</f>
        <v>4, 5</v>
      </c>
      <c r="C7083" s="5" t="str">
        <f>IFERROR(__xludf.DUMMYFUNCTION("""COMPUTED_VALUE"""),"https://drive.google.com/file/d/17x-xXjn669ejHGWG15xgAnkfHw0je2mk/view?usp=drivesdk")</f>
        <v>https://drive.google.com/file/d/17x-xXjn669ejHGWG15xgAnkfHw0je2mk/view?usp=drivesdk</v>
      </c>
      <c r="D7083" s="12"/>
      <c r="E7083" s="11">
        <v>7131.0</v>
      </c>
      <c r="F7083" s="2"/>
    </row>
    <row r="7084" ht="1.5" customHeight="1">
      <c r="A7084" s="4" t="str">
        <f>IFERROR(__xludf.DUMMYFUNCTION("""COMPUTED_VALUE"""),"4. Eggs, 5. Eraser")</f>
        <v>4. Eggs, 5. Eraser</v>
      </c>
      <c r="B7084" s="4" t="str">
        <f>IFERROR(__xludf.DUMMYFUNCTION("""COMPUTED_VALUE"""),"4, 5")</f>
        <v>4, 5</v>
      </c>
      <c r="C7084" s="5" t="str">
        <f>IFERROR(__xludf.DUMMYFUNCTION("""COMPUTED_VALUE"""),"https://drive.google.com/file/d/1quzUv3eDeJ2GSxoHCJ4cW_uH05iQ0non/view?usp=drivesdk")</f>
        <v>https://drive.google.com/file/d/1quzUv3eDeJ2GSxoHCJ4cW_uH05iQ0non/view?usp=drivesdk</v>
      </c>
      <c r="D7084" s="12"/>
      <c r="E7084" s="11">
        <v>7132.0</v>
      </c>
      <c r="F7084" s="2"/>
    </row>
    <row r="7085" ht="1.5" customHeight="1">
      <c r="A7085" s="4" t="str">
        <f>IFERROR(__xludf.DUMMYFUNCTION("""COMPUTED_VALUE"""),"5. Eraser, 4. Eggs")</f>
        <v>5. Eraser, 4. Eggs</v>
      </c>
      <c r="B7085" s="4" t="str">
        <f>IFERROR(__xludf.DUMMYFUNCTION("""COMPUTED_VALUE"""),"5, 4")</f>
        <v>5, 4</v>
      </c>
      <c r="C7085" s="5" t="str">
        <f>IFERROR(__xludf.DUMMYFUNCTION("""COMPUTED_VALUE"""),"https://drive.google.com/file/d/1XC6aqQmIzPYbVAwhVCe9COeg2clEM21r/view?usp=drivesdk")</f>
        <v>https://drive.google.com/file/d/1XC6aqQmIzPYbVAwhVCe9COeg2clEM21r/view?usp=drivesdk</v>
      </c>
      <c r="D7085" s="12"/>
      <c r="E7085" s="11">
        <v>7133.0</v>
      </c>
      <c r="F7085" s="2"/>
    </row>
    <row r="7086" ht="1.5" customHeight="1">
      <c r="A7086" s="4" t="str">
        <f>IFERROR(__xludf.DUMMYFUNCTION("""COMPUTED_VALUE"""),"1. Microwave")</f>
        <v>1. Microwave</v>
      </c>
      <c r="B7086" s="4" t="str">
        <f>IFERROR(__xludf.DUMMYFUNCTION("""COMPUTED_VALUE"""),"1")</f>
        <v>1</v>
      </c>
      <c r="C7086" s="5" t="str">
        <f>IFERROR(__xludf.DUMMYFUNCTION("""COMPUTED_VALUE"""),"https://drive.google.com/file/d/1BHOkY4ha65_YQiTDrgEMNAvVzU4u64gA/view?usp=drivesdk")</f>
        <v>https://drive.google.com/file/d/1BHOkY4ha65_YQiTDrgEMNAvVzU4u64gA/view?usp=drivesdk</v>
      </c>
      <c r="D7086" s="12"/>
      <c r="E7086" s="11">
        <v>7134.0</v>
      </c>
      <c r="F7086" s="2"/>
    </row>
    <row r="7087" ht="1.5" customHeight="1">
      <c r="A7087" s="4" t="str">
        <f>IFERROR(__xludf.DUMMYFUNCTION("""COMPUTED_VALUE"""),"1. Microwave")</f>
        <v>1. Microwave</v>
      </c>
      <c r="B7087" s="4" t="str">
        <f>IFERROR(__xludf.DUMMYFUNCTION("""COMPUTED_VALUE"""),"1")</f>
        <v>1</v>
      </c>
      <c r="C7087" s="5" t="str">
        <f>IFERROR(__xludf.DUMMYFUNCTION("""COMPUTED_VALUE"""),"https://drive.google.com/file/d/1Ocp4JoGZdT1-Y1eUfe_7hDbioS5UTe-t/view?usp=drivesdk")</f>
        <v>https://drive.google.com/file/d/1Ocp4JoGZdT1-Y1eUfe_7hDbioS5UTe-t/view?usp=drivesdk</v>
      </c>
      <c r="D7087" s="12"/>
      <c r="E7087" s="11">
        <v>7135.0</v>
      </c>
      <c r="F7087" s="2"/>
    </row>
    <row r="7088" ht="1.5" customHeight="1">
      <c r="A7088" s="4" t="str">
        <f>IFERROR(__xludf.DUMMYFUNCTION("""COMPUTED_VALUE"""),"1. Microwave")</f>
        <v>1. Microwave</v>
      </c>
      <c r="B7088" s="4" t="str">
        <f>IFERROR(__xludf.DUMMYFUNCTION("""COMPUTED_VALUE"""),"1")</f>
        <v>1</v>
      </c>
      <c r="C7088" s="5" t="str">
        <f>IFERROR(__xludf.DUMMYFUNCTION("""COMPUTED_VALUE"""),"https://drive.google.com/file/d/1lfw6CJxLafe3pDx-gn1GW_A-5J6ozBb7/view?usp=drivesdk")</f>
        <v>https://drive.google.com/file/d/1lfw6CJxLafe3pDx-gn1GW_A-5J6ozBb7/view?usp=drivesdk</v>
      </c>
      <c r="D7088" s="12"/>
      <c r="E7088" s="11">
        <v>7136.0</v>
      </c>
      <c r="F7088" s="2"/>
    </row>
    <row r="7089" ht="1.5" customHeight="1">
      <c r="A7089" s="4" t="str">
        <f>IFERROR(__xludf.DUMMYFUNCTION("""COMPUTED_VALUE"""),"1. Microwave")</f>
        <v>1. Microwave</v>
      </c>
      <c r="B7089" s="4" t="str">
        <f>IFERROR(__xludf.DUMMYFUNCTION("""COMPUTED_VALUE"""),"1")</f>
        <v>1</v>
      </c>
      <c r="C7089" s="5" t="str">
        <f>IFERROR(__xludf.DUMMYFUNCTION("""COMPUTED_VALUE"""),"https://drive.google.com/file/d/1sFxp5D1qBik-7x03PbbUyJx5T9y9B-qC/view?usp=drivesdk")</f>
        <v>https://drive.google.com/file/d/1sFxp5D1qBik-7x03PbbUyJx5T9y9B-qC/view?usp=drivesdk</v>
      </c>
      <c r="D7089" s="12"/>
      <c r="E7089" s="11">
        <v>7137.0</v>
      </c>
      <c r="F7089" s="2"/>
    </row>
    <row r="7090" ht="1.5" customHeight="1">
      <c r="A7090" s="4" t="str">
        <f>IFERROR(__xludf.DUMMYFUNCTION("""COMPUTED_VALUE"""),"1. Microwave")</f>
        <v>1. Microwave</v>
      </c>
      <c r="B7090" s="4" t="str">
        <f>IFERROR(__xludf.DUMMYFUNCTION("""COMPUTED_VALUE"""),"1")</f>
        <v>1</v>
      </c>
      <c r="C7090" s="5" t="str">
        <f>IFERROR(__xludf.DUMMYFUNCTION("""COMPUTED_VALUE"""),"https://drive.google.com/file/d/1dtxN2dVanPU5bd_XelNk7pUDRgwL8lqG/view?usp=drivesdk")</f>
        <v>https://drive.google.com/file/d/1dtxN2dVanPU5bd_XelNk7pUDRgwL8lqG/view?usp=drivesdk</v>
      </c>
      <c r="D7090" s="12"/>
      <c r="E7090" s="11">
        <v>7138.0</v>
      </c>
      <c r="F7090" s="2"/>
    </row>
    <row r="7091" ht="1.5" customHeight="1">
      <c r="A7091" s="4" t="str">
        <f>IFERROR(__xludf.DUMMYFUNCTION("""COMPUTED_VALUE"""),"1. Microwave")</f>
        <v>1. Microwave</v>
      </c>
      <c r="B7091" s="4" t="str">
        <f>IFERROR(__xludf.DUMMYFUNCTION("""COMPUTED_VALUE"""),"1")</f>
        <v>1</v>
      </c>
      <c r="C7091" s="5" t="str">
        <f>IFERROR(__xludf.DUMMYFUNCTION("""COMPUTED_VALUE"""),"https://drive.google.com/file/d/1mLa_HV0p6iBtNio0eLFblg5AmwLjiuXd/view?usp=drivesdk")</f>
        <v>https://drive.google.com/file/d/1mLa_HV0p6iBtNio0eLFblg5AmwLjiuXd/view?usp=drivesdk</v>
      </c>
      <c r="D7091" s="12"/>
      <c r="E7091" s="11">
        <v>7139.0</v>
      </c>
      <c r="F7091" s="2"/>
    </row>
    <row r="7092" ht="1.5" customHeight="1">
      <c r="A7092" s="4" t="str">
        <f>IFERROR(__xludf.DUMMYFUNCTION("""COMPUTED_VALUE"""),"1. Microwave")</f>
        <v>1. Microwave</v>
      </c>
      <c r="B7092" s="4" t="str">
        <f>IFERROR(__xludf.DUMMYFUNCTION("""COMPUTED_VALUE"""),"1")</f>
        <v>1</v>
      </c>
      <c r="C7092" s="5" t="str">
        <f>IFERROR(__xludf.DUMMYFUNCTION("""COMPUTED_VALUE"""),"https://drive.google.com/file/d/1ot5J1eZIFifVVT6nZ8utF0M4QiGoserz/view?usp=drivesdk")</f>
        <v>https://drive.google.com/file/d/1ot5J1eZIFifVVT6nZ8utF0M4QiGoserz/view?usp=drivesdk</v>
      </c>
      <c r="D7092" s="12"/>
      <c r="E7092" s="11">
        <v>7140.0</v>
      </c>
      <c r="F7092" s="2"/>
    </row>
    <row r="7093" ht="1.5" customHeight="1">
      <c r="A7093" s="4" t="str">
        <f>IFERROR(__xludf.DUMMYFUNCTION("""COMPUTED_VALUE"""),"1. Microwave")</f>
        <v>1. Microwave</v>
      </c>
      <c r="B7093" s="4" t="str">
        <f>IFERROR(__xludf.DUMMYFUNCTION("""COMPUTED_VALUE"""),"1")</f>
        <v>1</v>
      </c>
      <c r="C7093" s="5" t="str">
        <f>IFERROR(__xludf.DUMMYFUNCTION("""COMPUTED_VALUE"""),"https://drive.google.com/file/d/11Y1--_fpFVm2_TV1T9A3bt9d2SFYm0qa/view?usp=drivesdk")</f>
        <v>https://drive.google.com/file/d/11Y1--_fpFVm2_TV1T9A3bt9d2SFYm0qa/view?usp=drivesdk</v>
      </c>
      <c r="D7093" s="12"/>
      <c r="E7093" s="11">
        <v>7141.0</v>
      </c>
      <c r="F7093" s="2"/>
    </row>
    <row r="7094" ht="1.5" customHeight="1">
      <c r="A7094" s="4" t="str">
        <f>IFERROR(__xludf.DUMMYFUNCTION("""COMPUTED_VALUE"""),"17. Bobbie")</f>
        <v>17. Bobbie</v>
      </c>
      <c r="B7094" s="4" t="str">
        <f>IFERROR(__xludf.DUMMYFUNCTION("""COMPUTED_VALUE"""),"17")</f>
        <v>17</v>
      </c>
      <c r="C7094" s="5" t="str">
        <f>IFERROR(__xludf.DUMMYFUNCTION("""COMPUTED_VALUE"""),"https://drive.google.com/file/d/1g0wYFdEnzJFsviDvh78YaDYrk0foN_Jq/view?usp=drivesdk")</f>
        <v>https://drive.google.com/file/d/1g0wYFdEnzJFsviDvh78YaDYrk0foN_Jq/view?usp=drivesdk</v>
      </c>
      <c r="D7094" s="12"/>
      <c r="E7094" s="11">
        <v>7142.0</v>
      </c>
      <c r="F7094" s="2"/>
    </row>
    <row r="7095" ht="1.5" customHeight="1">
      <c r="A7095" s="4" t="str">
        <f>IFERROR(__xludf.DUMMYFUNCTION("""COMPUTED_VALUE"""),"17. Bobbie")</f>
        <v>17. Bobbie</v>
      </c>
      <c r="B7095" s="4" t="str">
        <f>IFERROR(__xludf.DUMMYFUNCTION("""COMPUTED_VALUE"""),"17")</f>
        <v>17</v>
      </c>
      <c r="C7095" s="5" t="str">
        <f>IFERROR(__xludf.DUMMYFUNCTION("""COMPUTED_VALUE"""),"https://drive.google.com/file/d/1WRgjFylvUfKOcLomj1xdSG_M7Bo_rjYI/view?usp=drivesdk")</f>
        <v>https://drive.google.com/file/d/1WRgjFylvUfKOcLomj1xdSG_M7Bo_rjYI/view?usp=drivesdk</v>
      </c>
      <c r="D7095" s="12"/>
      <c r="E7095" s="11">
        <v>7143.0</v>
      </c>
      <c r="F7095" s="2"/>
    </row>
    <row r="7096" ht="1.5" customHeight="1">
      <c r="A7096" s="4" t="str">
        <f>IFERROR(__xludf.DUMMYFUNCTION("""COMPUTED_VALUE"""),"66. Toblerone")</f>
        <v>66. Toblerone</v>
      </c>
      <c r="B7096" s="4" t="str">
        <f>IFERROR(__xludf.DUMMYFUNCTION("""COMPUTED_VALUE"""),"66")</f>
        <v>66</v>
      </c>
      <c r="C7096" s="5" t="str">
        <f>IFERROR(__xludf.DUMMYFUNCTION("""COMPUTED_VALUE"""),"https://drive.google.com/file/d/13zJRS4YSMz0NMlrzuu8VKaGbSIQ4gnHv/view?usp=drivesdk")</f>
        <v>https://drive.google.com/file/d/13zJRS4YSMz0NMlrzuu8VKaGbSIQ4gnHv/view?usp=drivesdk</v>
      </c>
      <c r="D7096" s="12"/>
      <c r="E7096" s="11">
        <v>7144.0</v>
      </c>
      <c r="F7096" s="2"/>
    </row>
    <row r="7097" ht="1.5" customHeight="1">
      <c r="A7097" s="4" t="str">
        <f>IFERROR(__xludf.DUMMYFUNCTION("""COMPUTED_VALUE"""),"66. Toblerone")</f>
        <v>66. Toblerone</v>
      </c>
      <c r="B7097" s="4" t="str">
        <f>IFERROR(__xludf.DUMMYFUNCTION("""COMPUTED_VALUE"""),"66")</f>
        <v>66</v>
      </c>
      <c r="C7097" s="5" t="str">
        <f>IFERROR(__xludf.DUMMYFUNCTION("""COMPUTED_VALUE"""),"https://drive.google.com/file/d/1OoI24FKba-pVhu03gWE_-igsy-7IrwNS/view?usp=drivesdk")</f>
        <v>https://drive.google.com/file/d/1OoI24FKba-pVhu03gWE_-igsy-7IrwNS/view?usp=drivesdk</v>
      </c>
      <c r="D7097" s="12"/>
      <c r="E7097" s="11">
        <v>7145.0</v>
      </c>
      <c r="F7097" s="2"/>
    </row>
    <row r="7098" ht="1.5" customHeight="1">
      <c r="A7098" s="4" t="str">
        <f>IFERROR(__xludf.DUMMYFUNCTION("""COMPUTED_VALUE"""),"1. Microwave")</f>
        <v>1. Microwave</v>
      </c>
      <c r="B7098" s="4" t="str">
        <f>IFERROR(__xludf.DUMMYFUNCTION("""COMPUTED_VALUE"""),"1")</f>
        <v>1</v>
      </c>
      <c r="C7098" s="5" t="str">
        <f>IFERROR(__xludf.DUMMYFUNCTION("""COMPUTED_VALUE"""),"https://drive.google.com/file/d/19JU7q6erQoaWkOoRuS23waECIIItF6vv/view?usp=drivesdk")</f>
        <v>https://drive.google.com/file/d/19JU7q6erQoaWkOoRuS23waECIIItF6vv/view?usp=drivesdk</v>
      </c>
      <c r="D7098" s="12"/>
      <c r="E7098" s="11">
        <v>7146.0</v>
      </c>
      <c r="F7098" s="2"/>
    </row>
    <row r="7099" ht="1.5" customHeight="1">
      <c r="A7099" s="4" t="str">
        <f>IFERROR(__xludf.DUMMYFUNCTION("""COMPUTED_VALUE"""),"1. Microwave")</f>
        <v>1. Microwave</v>
      </c>
      <c r="B7099" s="4" t="str">
        <f>IFERROR(__xludf.DUMMYFUNCTION("""COMPUTED_VALUE"""),"1")</f>
        <v>1</v>
      </c>
      <c r="C7099" s="5" t="str">
        <f>IFERROR(__xludf.DUMMYFUNCTION("""COMPUTED_VALUE"""),"https://drive.google.com/file/d/14Messo-m3q5G8h5u3ZMSt1Z1ymDjQKm6/view?usp=drivesdk")</f>
        <v>https://drive.google.com/file/d/14Messo-m3q5G8h5u3ZMSt1Z1ymDjQKm6/view?usp=drivesdk</v>
      </c>
      <c r="D7099" s="12"/>
      <c r="E7099" s="11">
        <v>7147.0</v>
      </c>
      <c r="F7099" s="2"/>
    </row>
    <row r="7100" ht="1.5" customHeight="1">
      <c r="A7100" s="4" t="str">
        <f>IFERROR(__xludf.DUMMYFUNCTION("""COMPUTED_VALUE"""),"1. Microwave")</f>
        <v>1. Microwave</v>
      </c>
      <c r="B7100" s="4" t="str">
        <f>IFERROR(__xludf.DUMMYFUNCTION("""COMPUTED_VALUE"""),"1")</f>
        <v>1</v>
      </c>
      <c r="C7100" s="5" t="str">
        <f>IFERROR(__xludf.DUMMYFUNCTION("""COMPUTED_VALUE"""),"https://drive.google.com/file/d/1DmcKOMAbgaPhN5Zklh_i6_yrYp4f4-YK/view?usp=drivesdk")</f>
        <v>https://drive.google.com/file/d/1DmcKOMAbgaPhN5Zklh_i6_yrYp4f4-YK/view?usp=drivesdk</v>
      </c>
      <c r="D7100" s="12"/>
      <c r="E7100" s="11">
        <v>7148.0</v>
      </c>
      <c r="F7100" s="2"/>
    </row>
    <row r="7101" ht="1.5" customHeight="1">
      <c r="A7101" s="4" t="str">
        <f>IFERROR(__xludf.DUMMYFUNCTION("""COMPUTED_VALUE"""),"1. Microwave")</f>
        <v>1. Microwave</v>
      </c>
      <c r="B7101" s="4" t="str">
        <f>IFERROR(__xludf.DUMMYFUNCTION("""COMPUTED_VALUE"""),"1")</f>
        <v>1</v>
      </c>
      <c r="C7101" s="5" t="str">
        <f>IFERROR(__xludf.DUMMYFUNCTION("""COMPUTED_VALUE"""),"https://drive.google.com/file/d/1paDHyM7iWCY7vE9V1XJiKzot8lnf-bHZ/view?usp=drivesdk")</f>
        <v>https://drive.google.com/file/d/1paDHyM7iWCY7vE9V1XJiKzot8lnf-bHZ/view?usp=drivesdk</v>
      </c>
      <c r="D7101" s="12"/>
      <c r="E7101" s="11">
        <v>7149.0</v>
      </c>
      <c r="F7101" s="2"/>
    </row>
    <row r="7102" ht="1.5" customHeight="1">
      <c r="A7102" s="4" t="str">
        <f>IFERROR(__xludf.DUMMYFUNCTION("""COMPUTED_VALUE"""),"1. Microwave")</f>
        <v>1. Microwave</v>
      </c>
      <c r="B7102" s="4" t="str">
        <f>IFERROR(__xludf.DUMMYFUNCTION("""COMPUTED_VALUE"""),"1")</f>
        <v>1</v>
      </c>
      <c r="C7102" s="5" t="str">
        <f>IFERROR(__xludf.DUMMYFUNCTION("""COMPUTED_VALUE"""),"https://drive.google.com/file/d/1fOipPLGybrmdnCYiu9ceq1jSl2mQXcWT/view?usp=drivesdk")</f>
        <v>https://drive.google.com/file/d/1fOipPLGybrmdnCYiu9ceq1jSl2mQXcWT/view?usp=drivesdk</v>
      </c>
      <c r="D7102" s="12"/>
      <c r="E7102" s="11">
        <v>7150.0</v>
      </c>
      <c r="F7102" s="2"/>
    </row>
    <row r="7103" ht="1.5" customHeight="1">
      <c r="A7103" s="4" t="str">
        <f>IFERROR(__xludf.DUMMYFUNCTION("""COMPUTED_VALUE"""),"1. Microwave")</f>
        <v>1. Microwave</v>
      </c>
      <c r="B7103" s="4" t="str">
        <f>IFERROR(__xludf.DUMMYFUNCTION("""COMPUTED_VALUE"""),"1")</f>
        <v>1</v>
      </c>
      <c r="C7103" s="5" t="str">
        <f>IFERROR(__xludf.DUMMYFUNCTION("""COMPUTED_VALUE"""),"https://drive.google.com/file/d/1LREDBkHvQ9g0zPXGCcW-45lqU6jrhfz3/view?usp=drivesdk")</f>
        <v>https://drive.google.com/file/d/1LREDBkHvQ9g0zPXGCcW-45lqU6jrhfz3/view?usp=drivesdk</v>
      </c>
      <c r="D7103" s="12"/>
      <c r="E7103" s="11">
        <v>7151.0</v>
      </c>
      <c r="F7103" s="2"/>
    </row>
    <row r="7104" ht="1.5" customHeight="1">
      <c r="A7104" s="4" t="str">
        <f>IFERROR(__xludf.DUMMYFUNCTION("""COMPUTED_VALUE"""),"1. Microwave")</f>
        <v>1. Microwave</v>
      </c>
      <c r="B7104" s="4" t="str">
        <f>IFERROR(__xludf.DUMMYFUNCTION("""COMPUTED_VALUE"""),"1")</f>
        <v>1</v>
      </c>
      <c r="C7104" s="5" t="str">
        <f>IFERROR(__xludf.DUMMYFUNCTION("""COMPUTED_VALUE"""),"https://drive.google.com/file/d/1d5exgrHDLtIRBJYOaU7iowZNnLsJsGJP/view?usp=drivesdk")</f>
        <v>https://drive.google.com/file/d/1d5exgrHDLtIRBJYOaU7iowZNnLsJsGJP/view?usp=drivesdk</v>
      </c>
      <c r="D7104" s="12"/>
      <c r="E7104" s="11">
        <v>7152.0</v>
      </c>
      <c r="F7104" s="2"/>
    </row>
    <row r="7105" ht="1.5" customHeight="1">
      <c r="A7105" s="4" t="str">
        <f>IFERROR(__xludf.DUMMYFUNCTION("""COMPUTED_VALUE"""),"1. Microwave")</f>
        <v>1. Microwave</v>
      </c>
      <c r="B7105" s="4" t="str">
        <f>IFERROR(__xludf.DUMMYFUNCTION("""COMPUTED_VALUE"""),"1")</f>
        <v>1</v>
      </c>
      <c r="C7105" s="5" t="str">
        <f>IFERROR(__xludf.DUMMYFUNCTION("""COMPUTED_VALUE"""),"https://drive.google.com/file/d/15q_vKx7KVnCVZaqXe1aa9NTyCj9rI3yV/view?usp=drivesdk")</f>
        <v>https://drive.google.com/file/d/15q_vKx7KVnCVZaqXe1aa9NTyCj9rI3yV/view?usp=drivesdk</v>
      </c>
      <c r="D7105" s="12"/>
      <c r="E7105" s="11">
        <v>7153.0</v>
      </c>
      <c r="F7105" s="2"/>
    </row>
    <row r="7106" ht="1.5" customHeight="1">
      <c r="A7106" s="4" t="str">
        <f>IFERROR(__xludf.DUMMYFUNCTION("""COMPUTED_VALUE"""),"1. Microwave")</f>
        <v>1. Microwave</v>
      </c>
      <c r="B7106" s="4" t="str">
        <f>IFERROR(__xludf.DUMMYFUNCTION("""COMPUTED_VALUE"""),"1")</f>
        <v>1</v>
      </c>
      <c r="C7106" s="5" t="str">
        <f>IFERROR(__xludf.DUMMYFUNCTION("""COMPUTED_VALUE"""),"https://drive.google.com/file/d/1HKP4qbo2pjYwNksDtrl4762w0qolyRcG/view?usp=drivesdk")</f>
        <v>https://drive.google.com/file/d/1HKP4qbo2pjYwNksDtrl4762w0qolyRcG/view?usp=drivesdk</v>
      </c>
      <c r="D7106" s="12"/>
      <c r="E7106" s="11">
        <v>7154.0</v>
      </c>
      <c r="F7106" s="2"/>
    </row>
    <row r="7107" ht="1.5" customHeight="1">
      <c r="A7107" s="4" t="str">
        <f>IFERROR(__xludf.DUMMYFUNCTION("""COMPUTED_VALUE"""),"1. Microwave")</f>
        <v>1. Microwave</v>
      </c>
      <c r="B7107" s="4" t="str">
        <f>IFERROR(__xludf.DUMMYFUNCTION("""COMPUTED_VALUE"""),"1")</f>
        <v>1</v>
      </c>
      <c r="C7107" s="5" t="str">
        <f>IFERROR(__xludf.DUMMYFUNCTION("""COMPUTED_VALUE"""),"https://drive.google.com/file/d/19XqecaHqzy0S_LyRkSV9P8NEN51SqGMe/view?usp=drivesdk")</f>
        <v>https://drive.google.com/file/d/19XqecaHqzy0S_LyRkSV9P8NEN51SqGMe/view?usp=drivesdk</v>
      </c>
      <c r="D7107" s="12"/>
      <c r="E7107" s="11">
        <v>7155.0</v>
      </c>
      <c r="F7107" s="2"/>
    </row>
    <row r="7108" ht="1.5" customHeight="1">
      <c r="A7108" s="4" t="str">
        <f>IFERROR(__xludf.DUMMYFUNCTION("""COMPUTED_VALUE"""),"1. Microwave")</f>
        <v>1. Microwave</v>
      </c>
      <c r="B7108" s="4" t="str">
        <f>IFERROR(__xludf.DUMMYFUNCTION("""COMPUTED_VALUE"""),"1")</f>
        <v>1</v>
      </c>
      <c r="C7108" s="5" t="str">
        <f>IFERROR(__xludf.DUMMYFUNCTION("""COMPUTED_VALUE"""),"https://drive.google.com/file/d/1bOKpy5KA_DyBT2LU79nolYMXwcvCcdXR/view?usp=drivesdk")</f>
        <v>https://drive.google.com/file/d/1bOKpy5KA_DyBT2LU79nolYMXwcvCcdXR/view?usp=drivesdk</v>
      </c>
      <c r="D7108" s="12"/>
      <c r="E7108" s="11">
        <v>7156.0</v>
      </c>
      <c r="F7108" s="2"/>
    </row>
    <row r="7109" ht="1.5" customHeight="1">
      <c r="A7109" s="4" t="str">
        <f>IFERROR(__xludf.DUMMYFUNCTION("""COMPUTED_VALUE"""),"1. Microwave")</f>
        <v>1. Microwave</v>
      </c>
      <c r="B7109" s="4" t="str">
        <f>IFERROR(__xludf.DUMMYFUNCTION("""COMPUTED_VALUE"""),"1")</f>
        <v>1</v>
      </c>
      <c r="C7109" s="5" t="str">
        <f>IFERROR(__xludf.DUMMYFUNCTION("""COMPUTED_VALUE"""),"https://drive.google.com/file/d/1RW0p6u76p05ojvroSvbuzRfWMed1Y9hO/view?usp=drivesdk")</f>
        <v>https://drive.google.com/file/d/1RW0p6u76p05ojvroSvbuzRfWMed1Y9hO/view?usp=drivesdk</v>
      </c>
      <c r="D7109" s="12"/>
      <c r="E7109" s="11">
        <v>7157.0</v>
      </c>
      <c r="F7109" s="2"/>
    </row>
    <row r="7110" ht="1.5" customHeight="1">
      <c r="A7110" s="4" t="str">
        <f>IFERROR(__xludf.DUMMYFUNCTION("""COMPUTED_VALUE"""),"1. Microwave")</f>
        <v>1. Microwave</v>
      </c>
      <c r="B7110" s="4" t="str">
        <f>IFERROR(__xludf.DUMMYFUNCTION("""COMPUTED_VALUE"""),"1")</f>
        <v>1</v>
      </c>
      <c r="C7110" s="5" t="str">
        <f>IFERROR(__xludf.DUMMYFUNCTION("""COMPUTED_VALUE"""),"https://drive.google.com/file/d/1H19l-td4fFE_DbXVFCnDkDIQ4r3a99kN/view?usp=drivesdk")</f>
        <v>https://drive.google.com/file/d/1H19l-td4fFE_DbXVFCnDkDIQ4r3a99kN/view?usp=drivesdk</v>
      </c>
      <c r="D7110" s="12"/>
      <c r="E7110" s="11">
        <v>7158.0</v>
      </c>
      <c r="F7110" s="2"/>
    </row>
    <row r="7111" ht="1.5" customHeight="1">
      <c r="A7111" s="4" t="str">
        <f>IFERROR(__xludf.DUMMYFUNCTION("""COMPUTED_VALUE"""),"17. Bobbie, 116. Itzel")</f>
        <v>17. Bobbie, 116. Itzel</v>
      </c>
      <c r="B7111" s="4" t="str">
        <f>IFERROR(__xludf.DUMMYFUNCTION("""COMPUTED_VALUE"""),"17, 116")</f>
        <v>17, 116</v>
      </c>
      <c r="C7111" s="5" t="str">
        <f>IFERROR(__xludf.DUMMYFUNCTION("""COMPUTED_VALUE"""),"https://drive.google.com/file/d/1D381q41CsJJ15yq1BHxTvyI0PLj2ctKc/view?usp=drivesdk")</f>
        <v>https://drive.google.com/file/d/1D381q41CsJJ15yq1BHxTvyI0PLj2ctKc/view?usp=drivesdk</v>
      </c>
      <c r="D7111" s="12"/>
      <c r="E7111" s="11">
        <v>7159.0</v>
      </c>
      <c r="F7111" s="2"/>
    </row>
    <row r="7112" ht="1.5" customHeight="1">
      <c r="A7112" s="4" t="str">
        <f>IFERROR(__xludf.DUMMYFUNCTION("""COMPUTED_VALUE"""),"29. Ginger, 33. Zee")</f>
        <v>29. Ginger, 33. Zee</v>
      </c>
      <c r="B7112" s="4" t="str">
        <f>IFERROR(__xludf.DUMMYFUNCTION("""COMPUTED_VALUE"""),"29, 33")</f>
        <v>29, 33</v>
      </c>
      <c r="C7112" s="5" t="str">
        <f>IFERROR(__xludf.DUMMYFUNCTION("""COMPUTED_VALUE"""),"https://drive.google.com/file/d/1f3gTDbdOWy7k4KHjZG5HcTFlT_emz4tL/view?usp=drivesdk")</f>
        <v>https://drive.google.com/file/d/1f3gTDbdOWy7k4KHjZG5HcTFlT_emz4tL/view?usp=drivesdk</v>
      </c>
      <c r="D7112" s="12"/>
      <c r="E7112" s="11">
        <v>7160.0</v>
      </c>
      <c r="F7112" s="2"/>
    </row>
    <row r="7113" ht="1.5" customHeight="1">
      <c r="A7113" s="4" t="str">
        <f>IFERROR(__xludf.DUMMYFUNCTION("""COMPUTED_VALUE"""),"30. Pepper")</f>
        <v>30. Pepper</v>
      </c>
      <c r="B7113" s="4" t="str">
        <f>IFERROR(__xludf.DUMMYFUNCTION("""COMPUTED_VALUE"""),"30")</f>
        <v>30</v>
      </c>
      <c r="C7113" s="5" t="str">
        <f>IFERROR(__xludf.DUMMYFUNCTION("""COMPUTED_VALUE"""),"https://drive.google.com/file/d/1AK-7WINUImntm3A6W8upO0XDFSzxVdrW/view?usp=drivesdk")</f>
        <v>https://drive.google.com/file/d/1AK-7WINUImntm3A6W8upO0XDFSzxVdrW/view?usp=drivesdk</v>
      </c>
      <c r="D7113" s="12"/>
      <c r="E7113" s="11">
        <v>7161.0</v>
      </c>
      <c r="F7113" s="2"/>
    </row>
    <row r="7114" ht="1.5" customHeight="1">
      <c r="A7114" s="4" t="str">
        <f>IFERROR(__xludf.DUMMYFUNCTION("""COMPUTED_VALUE"""),"29. Ginger, 33. Zee")</f>
        <v>29. Ginger, 33. Zee</v>
      </c>
      <c r="B7114" s="4" t="str">
        <f>IFERROR(__xludf.DUMMYFUNCTION("""COMPUTED_VALUE"""),"29, 33")</f>
        <v>29, 33</v>
      </c>
      <c r="C7114" s="5" t="str">
        <f>IFERROR(__xludf.DUMMYFUNCTION("""COMPUTED_VALUE"""),"https://drive.google.com/file/d/12pdvm7ODsUtsPmgqWMQspnLGOIqQfTxu/view?usp=drivesdk")</f>
        <v>https://drive.google.com/file/d/12pdvm7ODsUtsPmgqWMQspnLGOIqQfTxu/view?usp=drivesdk</v>
      </c>
      <c r="D7114" s="12"/>
      <c r="E7114" s="11">
        <v>7162.0</v>
      </c>
      <c r="F7114" s="2"/>
    </row>
    <row r="7115" ht="1.5" customHeight="1">
      <c r="A7115" s="4" t="str">
        <f>IFERROR(__xludf.DUMMYFUNCTION("""COMPUTED_VALUE"""),"29. Ginger, 33. Zee")</f>
        <v>29. Ginger, 33. Zee</v>
      </c>
      <c r="B7115" s="4" t="str">
        <f>IFERROR(__xludf.DUMMYFUNCTION("""COMPUTED_VALUE"""),"29, 33")</f>
        <v>29, 33</v>
      </c>
      <c r="C7115" s="5" t="str">
        <f>IFERROR(__xludf.DUMMYFUNCTION("""COMPUTED_VALUE"""),"https://drive.google.com/file/d/1bf9XudW0lU5KirB08zKG1tcBrlY0f4Os/view?usp=drivesdk")</f>
        <v>https://drive.google.com/file/d/1bf9XudW0lU5KirB08zKG1tcBrlY0f4Os/view?usp=drivesdk</v>
      </c>
      <c r="D7115" s="12"/>
      <c r="E7115" s="11">
        <v>7163.0</v>
      </c>
      <c r="F7115" s="2"/>
    </row>
    <row r="7116" ht="1.5" customHeight="1">
      <c r="A7116" s="4" t="str">
        <f>IFERROR(__xludf.DUMMYFUNCTION("""COMPUTED_VALUE"""),"30. Pepper")</f>
        <v>30. Pepper</v>
      </c>
      <c r="B7116" s="4" t="str">
        <f>IFERROR(__xludf.DUMMYFUNCTION("""COMPUTED_VALUE"""),"30")</f>
        <v>30</v>
      </c>
      <c r="C7116" s="5" t="str">
        <f>IFERROR(__xludf.DUMMYFUNCTION("""COMPUTED_VALUE"""),"https://drive.google.com/file/d/1azHsngrP25oMVXxKjnS6gjHgmK8mDHdD/view?usp=drivesdk")</f>
        <v>https://drive.google.com/file/d/1azHsngrP25oMVXxKjnS6gjHgmK8mDHdD/view?usp=drivesdk</v>
      </c>
      <c r="D7116" s="12"/>
      <c r="E7116" s="11">
        <v>7164.0</v>
      </c>
      <c r="F7116" s="2"/>
    </row>
    <row r="7117" ht="1.5" customHeight="1">
      <c r="A7117" s="4" t="str">
        <f>IFERROR(__xludf.DUMMYFUNCTION("""COMPUTED_VALUE"""),"33. Zee, 30. Pepper, 29. Ginger, 27. Angel")</f>
        <v>33. Zee, 30. Pepper, 29. Ginger, 27. Angel</v>
      </c>
      <c r="B7117" s="4" t="str">
        <f>IFERROR(__xludf.DUMMYFUNCTION("""COMPUTED_VALUE"""),"33, 30, 29, 27")</f>
        <v>33, 30, 29, 27</v>
      </c>
      <c r="C7117" s="5" t="str">
        <f>IFERROR(__xludf.DUMMYFUNCTION("""COMPUTED_VALUE"""),"https://drive.google.com/file/d/1_PMImongm3afStI_6RkVmn-pUSg5l-md/view?usp=drivesdk")</f>
        <v>https://drive.google.com/file/d/1_PMImongm3afStI_6RkVmn-pUSg5l-md/view?usp=drivesdk</v>
      </c>
      <c r="D7117" s="12"/>
      <c r="E7117" s="11">
        <v>7165.0</v>
      </c>
      <c r="F7117" s="2"/>
    </row>
    <row r="7118" ht="1.5" customHeight="1">
      <c r="A7118" s="4" t="str">
        <f>IFERROR(__xludf.DUMMYFUNCTION("""COMPUTED_VALUE"""),"1. Microwave")</f>
        <v>1. Microwave</v>
      </c>
      <c r="B7118" s="4" t="str">
        <f>IFERROR(__xludf.DUMMYFUNCTION("""COMPUTED_VALUE"""),"1")</f>
        <v>1</v>
      </c>
      <c r="C7118" s="5" t="str">
        <f>IFERROR(__xludf.DUMMYFUNCTION("""COMPUTED_VALUE"""),"https://drive.google.com/file/d/1ts_l0qSdFBuYlg8Q1op1iT-HcPBIGLzb/view?usp=drivesdk")</f>
        <v>https://drive.google.com/file/d/1ts_l0qSdFBuYlg8Q1op1iT-HcPBIGLzb/view?usp=drivesdk</v>
      </c>
      <c r="D7118" s="12"/>
      <c r="E7118" s="11">
        <v>7166.0</v>
      </c>
      <c r="F7118" s="2"/>
    </row>
    <row r="7119" ht="1.5" customHeight="1">
      <c r="A7119" s="4" t="str">
        <f>IFERROR(__xludf.DUMMYFUNCTION("""COMPUTED_VALUE"""),"0. NotACat")</f>
        <v>0. NotACat</v>
      </c>
      <c r="B7119" s="4" t="str">
        <f>IFERROR(__xludf.DUMMYFUNCTION("""COMPUTED_VALUE"""),"0")</f>
        <v>0</v>
      </c>
      <c r="C7119" s="5" t="str">
        <f>IFERROR(__xludf.DUMMYFUNCTION("""COMPUTED_VALUE"""),"https://drive.google.com/file/d/1n_itwLgjaq-yCSm-JZ2Xf2K-UMkNaxUq/view?usp=drivesdk")</f>
        <v>https://drive.google.com/file/d/1n_itwLgjaq-yCSm-JZ2Xf2K-UMkNaxUq/view?usp=drivesdk</v>
      </c>
      <c r="D7119" s="12"/>
      <c r="E7119" s="11">
        <v>7167.0</v>
      </c>
      <c r="F7119" s="2"/>
    </row>
    <row r="7120" ht="1.5" customHeight="1">
      <c r="A7120" s="4" t="str">
        <f>IFERROR(__xludf.DUMMYFUNCTION("""COMPUTED_VALUE"""),"88. Vincente")</f>
        <v>88. Vincente</v>
      </c>
      <c r="B7120" s="4" t="str">
        <f>IFERROR(__xludf.DUMMYFUNCTION("""COMPUTED_VALUE"""),"88")</f>
        <v>88</v>
      </c>
      <c r="C7120" s="5" t="str">
        <f>IFERROR(__xludf.DUMMYFUNCTION("""COMPUTED_VALUE"""),"https://drive.google.com/file/d/1_NvBllyWec2oI_KmqHAW7FbnZYYNzxcf/view?usp=drivesdk")</f>
        <v>https://drive.google.com/file/d/1_NvBllyWec2oI_KmqHAW7FbnZYYNzxcf/view?usp=drivesdk</v>
      </c>
      <c r="D7120" s="12"/>
      <c r="E7120" s="11">
        <v>7168.0</v>
      </c>
      <c r="F7120" s="2"/>
    </row>
    <row r="7121" ht="1.5" customHeight="1">
      <c r="A7121" s="4" t="str">
        <f>IFERROR(__xludf.DUMMYFUNCTION("""COMPUTED_VALUE"""),"58. Eden")</f>
        <v>58. Eden</v>
      </c>
      <c r="B7121" s="4" t="str">
        <f>IFERROR(__xludf.DUMMYFUNCTION("""COMPUTED_VALUE"""),"58")</f>
        <v>58</v>
      </c>
      <c r="C7121" s="5" t="str">
        <f>IFERROR(__xludf.DUMMYFUNCTION("""COMPUTED_VALUE"""),"https://drive.google.com/file/d/1Bwp3GkkSOnMnBIBBTvIUXMH75zid9LOz/view?usp=drivesdk")</f>
        <v>https://drive.google.com/file/d/1Bwp3GkkSOnMnBIBBTvIUXMH75zid9LOz/view?usp=drivesdk</v>
      </c>
      <c r="D7121" s="12"/>
      <c r="E7121" s="11">
        <v>7169.0</v>
      </c>
      <c r="F7121" s="2"/>
    </row>
    <row r="7122" ht="1.5" customHeight="1">
      <c r="A7122" s="4" t="str">
        <f>IFERROR(__xludf.DUMMYFUNCTION("""COMPUTED_VALUE"""),"58. Eden")</f>
        <v>58. Eden</v>
      </c>
      <c r="B7122" s="4" t="str">
        <f>IFERROR(__xludf.DUMMYFUNCTION("""COMPUTED_VALUE"""),"58")</f>
        <v>58</v>
      </c>
      <c r="C7122" s="5" t="str">
        <f>IFERROR(__xludf.DUMMYFUNCTION("""COMPUTED_VALUE"""),"https://drive.google.com/file/d/1Lb8e21kREKRmlRfwWuLmMRR023Y98zQu/view?usp=drivesdk")</f>
        <v>https://drive.google.com/file/d/1Lb8e21kREKRmlRfwWuLmMRR023Y98zQu/view?usp=drivesdk</v>
      </c>
      <c r="D7122" s="12"/>
      <c r="E7122" s="11">
        <v>7170.0</v>
      </c>
      <c r="F7122" s="2"/>
    </row>
    <row r="7123" ht="1.5" customHeight="1">
      <c r="A7123" s="4" t="str">
        <f>IFERROR(__xludf.DUMMYFUNCTION("""COMPUTED_VALUE"""),"95. Ariel")</f>
        <v>95. Ariel</v>
      </c>
      <c r="B7123" s="4" t="str">
        <f>IFERROR(__xludf.DUMMYFUNCTION("""COMPUTED_VALUE"""),"95")</f>
        <v>95</v>
      </c>
      <c r="C7123" s="5" t="str">
        <f>IFERROR(__xludf.DUMMYFUNCTION("""COMPUTED_VALUE"""),"https://drive.google.com/file/d/1oMwKct1MIZcNoVizF525lToi1AF3n2TL/view?usp=drivesdk")</f>
        <v>https://drive.google.com/file/d/1oMwKct1MIZcNoVizF525lToi1AF3n2TL/view?usp=drivesdk</v>
      </c>
      <c r="D7123" s="12"/>
      <c r="E7123" s="11">
        <v>7171.0</v>
      </c>
      <c r="F7123" s="2"/>
    </row>
    <row r="7124" ht="1.5" customHeight="1">
      <c r="A7124" s="4" t="str">
        <f>IFERROR(__xludf.DUMMYFUNCTION("""COMPUTED_VALUE"""),"95. Ariel")</f>
        <v>95. Ariel</v>
      </c>
      <c r="B7124" s="4" t="str">
        <f>IFERROR(__xludf.DUMMYFUNCTION("""COMPUTED_VALUE"""),"95")</f>
        <v>95</v>
      </c>
      <c r="C7124" s="5" t="str">
        <f>IFERROR(__xludf.DUMMYFUNCTION("""COMPUTED_VALUE"""),"https://drive.google.com/file/d/1kcf41c1lkmKUMZGbhL7kGNYOMBWW9mlR/view?usp=drivesdk")</f>
        <v>https://drive.google.com/file/d/1kcf41c1lkmKUMZGbhL7kGNYOMBWW9mlR/view?usp=drivesdk</v>
      </c>
      <c r="D7124" s="12"/>
      <c r="E7124" s="11">
        <v>7172.0</v>
      </c>
      <c r="F7124" s="2"/>
    </row>
    <row r="7125" ht="1.5" customHeight="1">
      <c r="A7125" s="4" t="str">
        <f>IFERROR(__xludf.DUMMYFUNCTION("""COMPUTED_VALUE"""),"95. Ariel")</f>
        <v>95. Ariel</v>
      </c>
      <c r="B7125" s="4" t="str">
        <f>IFERROR(__xludf.DUMMYFUNCTION("""COMPUTED_VALUE"""),"95")</f>
        <v>95</v>
      </c>
      <c r="C7125" s="5" t="str">
        <f>IFERROR(__xludf.DUMMYFUNCTION("""COMPUTED_VALUE"""),"https://drive.google.com/file/d/1pujNPKLKiDXexnvZi_b1RYxmwrhBGwl8/view?usp=drivesdk")</f>
        <v>https://drive.google.com/file/d/1pujNPKLKiDXexnvZi_b1RYxmwrhBGwl8/view?usp=drivesdk</v>
      </c>
      <c r="D7125" s="12"/>
      <c r="E7125" s="11">
        <v>7173.0</v>
      </c>
      <c r="F7125" s="2"/>
    </row>
    <row r="7126" ht="1.5" customHeight="1">
      <c r="A7126" s="4" t="str">
        <f>IFERROR(__xludf.DUMMYFUNCTION("""COMPUTED_VALUE"""),"44. Shitbag Cuntface")</f>
        <v>44. Shitbag Cuntface</v>
      </c>
      <c r="B7126" s="4" t="str">
        <f>IFERROR(__xludf.DUMMYFUNCTION("""COMPUTED_VALUE"""),"44")</f>
        <v>44</v>
      </c>
      <c r="C7126" s="5" t="str">
        <f>IFERROR(__xludf.DUMMYFUNCTION("""COMPUTED_VALUE"""),"https://drive.google.com/file/d/1XMtpl_RJ3ovYHymK0EwXyI9fXfRrDP0F/view?usp=drivesdk")</f>
        <v>https://drive.google.com/file/d/1XMtpl_RJ3ovYHymK0EwXyI9fXfRrDP0F/view?usp=drivesdk</v>
      </c>
      <c r="D7126" s="12"/>
      <c r="E7126" s="11">
        <v>7174.0</v>
      </c>
      <c r="F7126" s="2"/>
    </row>
    <row r="7127" ht="1.5" customHeight="1">
      <c r="A7127" s="4" t="str">
        <f>IFERROR(__xludf.DUMMYFUNCTION("""COMPUTED_VALUE"""),"44. Shitbag Cuntface, 40. Dumpster")</f>
        <v>44. Shitbag Cuntface, 40. Dumpster</v>
      </c>
      <c r="B7127" s="4" t="str">
        <f>IFERROR(__xludf.DUMMYFUNCTION("""COMPUTED_VALUE"""),"44, 40")</f>
        <v>44, 40</v>
      </c>
      <c r="C7127" s="5" t="str">
        <f>IFERROR(__xludf.DUMMYFUNCTION("""COMPUTED_VALUE"""),"https://drive.google.com/file/d/1cRCmL0w4iFj4BRLSx-jUVlo86sGgKCo-/view?usp=drivesdk")</f>
        <v>https://drive.google.com/file/d/1cRCmL0w4iFj4BRLSx-jUVlo86sGgKCo-/view?usp=drivesdk</v>
      </c>
      <c r="D7127" s="12"/>
      <c r="E7127" s="11">
        <v>7175.0</v>
      </c>
      <c r="F7127" s="2"/>
    </row>
    <row r="7128" ht="1.5" customHeight="1">
      <c r="A7128" s="4" t="str">
        <f>IFERROR(__xludf.DUMMYFUNCTION("""COMPUTED_VALUE"""),"47. Nefarious")</f>
        <v>47. Nefarious</v>
      </c>
      <c r="B7128" s="4" t="str">
        <f>IFERROR(__xludf.DUMMYFUNCTION("""COMPUTED_VALUE"""),"47")</f>
        <v>47</v>
      </c>
      <c r="C7128" s="5" t="str">
        <f>IFERROR(__xludf.DUMMYFUNCTION("""COMPUTED_VALUE"""),"https://drive.google.com/file/d/1LvXd1PuLHviDsanz-BfZwSJOTTFn4s7n/view?usp=drivesdk")</f>
        <v>https://drive.google.com/file/d/1LvXd1PuLHviDsanz-BfZwSJOTTFn4s7n/view?usp=drivesdk</v>
      </c>
      <c r="D7128" s="12"/>
      <c r="E7128" s="11">
        <v>7176.0</v>
      </c>
      <c r="F7128" s="2"/>
    </row>
    <row r="7129" ht="1.5" customHeight="1">
      <c r="A7129" s="4" t="str">
        <f>IFERROR(__xludf.DUMMYFUNCTION("""COMPUTED_VALUE"""),"39. Radar")</f>
        <v>39. Radar</v>
      </c>
      <c r="B7129" s="4" t="str">
        <f>IFERROR(__xludf.DUMMYFUNCTION("""COMPUTED_VALUE"""),"39")</f>
        <v>39</v>
      </c>
      <c r="C7129" s="5" t="str">
        <f>IFERROR(__xludf.DUMMYFUNCTION("""COMPUTED_VALUE"""),"https://drive.google.com/file/d/1ztVE4kjD4wco9vRe6alP8iO6h7Fa17Tw/view?usp=drivesdk")</f>
        <v>https://drive.google.com/file/d/1ztVE4kjD4wco9vRe6alP8iO6h7Fa17Tw/view?usp=drivesdk</v>
      </c>
      <c r="D7129" s="12"/>
      <c r="E7129" s="11">
        <v>7177.0</v>
      </c>
      <c r="F7129" s="2"/>
    </row>
    <row r="7130" ht="1.5" customHeight="1">
      <c r="A7130" s="4" t="str">
        <f>IFERROR(__xludf.DUMMYFUNCTION("""COMPUTED_VALUE"""),"146. Monsieur Stanky")</f>
        <v>146. Monsieur Stanky</v>
      </c>
      <c r="B7130" s="4" t="str">
        <f>IFERROR(__xludf.DUMMYFUNCTION("""COMPUTED_VALUE"""),"146")</f>
        <v>146</v>
      </c>
      <c r="C7130" s="5" t="str">
        <f>IFERROR(__xludf.DUMMYFUNCTION("""COMPUTED_VALUE"""),"https://drive.google.com/file/d/1qBjHrVLukCQnRBhu-AhGR3tZXzFUNaCy/view?usp=drivesdk")</f>
        <v>https://drive.google.com/file/d/1qBjHrVLukCQnRBhu-AhGR3tZXzFUNaCy/view?usp=drivesdk</v>
      </c>
      <c r="D7130" s="12"/>
      <c r="E7130" s="11">
        <v>7178.0</v>
      </c>
      <c r="F7130" s="2"/>
    </row>
    <row r="7131" ht="1.5" customHeight="1">
      <c r="A7131" s="4" t="str">
        <f>IFERROR(__xludf.DUMMYFUNCTION("""COMPUTED_VALUE"""),"102. Keaton, 44. Shitbag Cuntface")</f>
        <v>102. Keaton, 44. Shitbag Cuntface</v>
      </c>
      <c r="B7131" s="4" t="str">
        <f>IFERROR(__xludf.DUMMYFUNCTION("""COMPUTED_VALUE"""),"102, 44")</f>
        <v>102, 44</v>
      </c>
      <c r="C7131" s="5" t="str">
        <f>IFERROR(__xludf.DUMMYFUNCTION("""COMPUTED_VALUE"""),"https://drive.google.com/file/d/1bBw7tFtHB6GHilVmn_3hPJxl0RVzTpXs/view?usp=drivesdk")</f>
        <v>https://drive.google.com/file/d/1bBw7tFtHB6GHilVmn_3hPJxl0RVzTpXs/view?usp=drivesdk</v>
      </c>
      <c r="D7131" s="12"/>
      <c r="E7131" s="11">
        <v>7179.0</v>
      </c>
      <c r="F7131" s="2"/>
    </row>
    <row r="7132" ht="1.5" customHeight="1">
      <c r="A7132" s="4" t="str">
        <f>IFERROR(__xludf.DUMMYFUNCTION("""COMPUTED_VALUE"""),"102. Keaton, 44. Shitbag Cuntface")</f>
        <v>102. Keaton, 44. Shitbag Cuntface</v>
      </c>
      <c r="B7132" s="4" t="str">
        <f>IFERROR(__xludf.DUMMYFUNCTION("""COMPUTED_VALUE"""),"102, 44")</f>
        <v>102, 44</v>
      </c>
      <c r="C7132" s="5" t="str">
        <f>IFERROR(__xludf.DUMMYFUNCTION("""COMPUTED_VALUE"""),"https://drive.google.com/file/d/1u2cuYBlsGJQhnykRX509gifJYqmtbKCM/view?usp=drivesdk")</f>
        <v>https://drive.google.com/file/d/1u2cuYBlsGJQhnykRX509gifJYqmtbKCM/view?usp=drivesdk</v>
      </c>
      <c r="D7132" s="12"/>
      <c r="E7132" s="11">
        <v>7180.0</v>
      </c>
      <c r="F7132" s="2"/>
    </row>
    <row r="7133" ht="1.5" customHeight="1">
      <c r="A7133" s="4" t="str">
        <f>IFERROR(__xludf.DUMMYFUNCTION("""COMPUTED_VALUE"""),"102. Keaton")</f>
        <v>102. Keaton</v>
      </c>
      <c r="B7133" s="4" t="str">
        <f>IFERROR(__xludf.DUMMYFUNCTION("""COMPUTED_VALUE"""),"102")</f>
        <v>102</v>
      </c>
      <c r="C7133" s="5" t="str">
        <f>IFERROR(__xludf.DUMMYFUNCTION("""COMPUTED_VALUE"""),"https://drive.google.com/file/d/1C2dmUJRN_JYmYYvI2Ib59FYFmyREIti4/view?usp=drivesdk")</f>
        <v>https://drive.google.com/file/d/1C2dmUJRN_JYmYYvI2Ib59FYFmyREIti4/view?usp=drivesdk</v>
      </c>
      <c r="D7133" s="12"/>
      <c r="E7133" s="11">
        <v>7181.0</v>
      </c>
      <c r="F7133" s="2"/>
    </row>
    <row r="7134" ht="1.5" customHeight="1">
      <c r="A7134" s="4" t="str">
        <f>IFERROR(__xludf.DUMMYFUNCTION("""COMPUTED_VALUE"""),"44. Shitbag Cuntface, 95. Ariel, 42. Rubber")</f>
        <v>44. Shitbag Cuntface, 95. Ariel, 42. Rubber</v>
      </c>
      <c r="B7134" s="4" t="str">
        <f>IFERROR(__xludf.DUMMYFUNCTION("""COMPUTED_VALUE"""),"44, 95, 42")</f>
        <v>44, 95, 42</v>
      </c>
      <c r="C7134" s="5" t="str">
        <f>IFERROR(__xludf.DUMMYFUNCTION("""COMPUTED_VALUE"""),"https://drive.google.com/file/d/1gLw4QWJMdP-Mzww4hmgYZ_48Zx3GCl3f/view?usp=drivesdk")</f>
        <v>https://drive.google.com/file/d/1gLw4QWJMdP-Mzww4hmgYZ_48Zx3GCl3f/view?usp=drivesdk</v>
      </c>
      <c r="D7134" s="12"/>
      <c r="E7134" s="11">
        <v>7182.0</v>
      </c>
      <c r="F7134" s="2"/>
    </row>
    <row r="7135" ht="1.5" customHeight="1">
      <c r="A7135" s="4" t="str">
        <f>IFERROR(__xludf.DUMMYFUNCTION("""COMPUTED_VALUE"""),"58. Eden")</f>
        <v>58. Eden</v>
      </c>
      <c r="B7135" s="4" t="str">
        <f>IFERROR(__xludf.DUMMYFUNCTION("""COMPUTED_VALUE"""),"58")</f>
        <v>58</v>
      </c>
      <c r="C7135" s="5" t="str">
        <f>IFERROR(__xludf.DUMMYFUNCTION("""COMPUTED_VALUE"""),"https://drive.google.com/file/d/1idPOYn3W5UzfOft0qzKYOtiBFGBQtqf_/view?usp=drivesdk")</f>
        <v>https://drive.google.com/file/d/1idPOYn3W5UzfOft0qzKYOtiBFGBQtqf_/view?usp=drivesdk</v>
      </c>
      <c r="D7135" s="12"/>
      <c r="E7135" s="11">
        <v>7183.0</v>
      </c>
      <c r="F7135" s="2"/>
    </row>
    <row r="7136" ht="1.5" customHeight="1">
      <c r="A7136" s="4" t="str">
        <f>IFERROR(__xludf.DUMMYFUNCTION("""COMPUTED_VALUE"""),"146. Monsieur Stanky")</f>
        <v>146. Monsieur Stanky</v>
      </c>
      <c r="B7136" s="4" t="str">
        <f>IFERROR(__xludf.DUMMYFUNCTION("""COMPUTED_VALUE"""),"146")</f>
        <v>146</v>
      </c>
      <c r="C7136" s="5" t="str">
        <f>IFERROR(__xludf.DUMMYFUNCTION("""COMPUTED_VALUE"""),"https://drive.google.com/file/d/1VqFzSCDUEkWf-EMLNYJqztoUt8TVHgqe/view?usp=drivesdk")</f>
        <v>https://drive.google.com/file/d/1VqFzSCDUEkWf-EMLNYJqztoUt8TVHgqe/view?usp=drivesdk</v>
      </c>
      <c r="D7136" s="12"/>
      <c r="E7136" s="11">
        <v>7184.0</v>
      </c>
      <c r="F7136" s="2"/>
    </row>
    <row r="7137" ht="1.5" customHeight="1">
      <c r="A7137" s="4" t="str">
        <f>IFERROR(__xludf.DUMMYFUNCTION("""COMPUTED_VALUE"""),"88. Vincente, 95. Ariel")</f>
        <v>88. Vincente, 95. Ariel</v>
      </c>
      <c r="B7137" s="4" t="str">
        <f>IFERROR(__xludf.DUMMYFUNCTION("""COMPUTED_VALUE"""),"88, 95")</f>
        <v>88, 95</v>
      </c>
      <c r="C7137" s="5" t="str">
        <f>IFERROR(__xludf.DUMMYFUNCTION("""COMPUTED_VALUE"""),"https://drive.google.com/file/d/1YiRuf752UMuTKcShaqHYED7M0q0nu7Z1/view?usp=drivesdk")</f>
        <v>https://drive.google.com/file/d/1YiRuf752UMuTKcShaqHYED7M0q0nu7Z1/view?usp=drivesdk</v>
      </c>
      <c r="D7137" s="12"/>
      <c r="E7137" s="11">
        <v>7185.0</v>
      </c>
      <c r="F7137" s="2"/>
    </row>
    <row r="7138" ht="1.5" customHeight="1">
      <c r="A7138" s="4" t="str">
        <f>IFERROR(__xludf.DUMMYFUNCTION("""COMPUTED_VALUE"""),"88. Vincente, 95. Ariel, 44. Shitbag Cuntface")</f>
        <v>88. Vincente, 95. Ariel, 44. Shitbag Cuntface</v>
      </c>
      <c r="B7138" s="4" t="str">
        <f>IFERROR(__xludf.DUMMYFUNCTION("""COMPUTED_VALUE"""),"88, 95, 44")</f>
        <v>88, 95, 44</v>
      </c>
      <c r="C7138" s="5" t="str">
        <f>IFERROR(__xludf.DUMMYFUNCTION("""COMPUTED_VALUE"""),"https://drive.google.com/file/d/1c_9WFe_fBR8AMnCC73nnfP9KqTURktmy/view?usp=drivesdk")</f>
        <v>https://drive.google.com/file/d/1c_9WFe_fBR8AMnCC73nnfP9KqTURktmy/view?usp=drivesdk</v>
      </c>
      <c r="D7138" s="12"/>
      <c r="E7138" s="11">
        <v>7186.0</v>
      </c>
      <c r="F7138" s="2"/>
    </row>
    <row r="7139" ht="1.5" customHeight="1">
      <c r="A7139" s="4" t="str">
        <f>IFERROR(__xludf.DUMMYFUNCTION("""COMPUTED_VALUE"""),"1. Microwave")</f>
        <v>1. Microwave</v>
      </c>
      <c r="B7139" s="4" t="str">
        <f>IFERROR(__xludf.DUMMYFUNCTION("""COMPUTED_VALUE"""),"1")</f>
        <v>1</v>
      </c>
      <c r="C7139" s="5" t="str">
        <f>IFERROR(__xludf.DUMMYFUNCTION("""COMPUTED_VALUE"""),"https://drive.google.com/file/d/1hHXg0uRlklDJrv8ZxlzxvUa6KmzS9jl7/view?usp=drivesdk")</f>
        <v>https://drive.google.com/file/d/1hHXg0uRlklDJrv8ZxlzxvUa6KmzS9jl7/view?usp=drivesdk</v>
      </c>
      <c r="D7139" s="12"/>
      <c r="E7139" s="11">
        <v>7187.0</v>
      </c>
      <c r="F7139" s="2"/>
    </row>
    <row r="7140" ht="1.5" customHeight="1">
      <c r="A7140" s="4" t="str">
        <f>IFERROR(__xludf.DUMMYFUNCTION("""COMPUTED_VALUE"""),"1. Microwave")</f>
        <v>1. Microwave</v>
      </c>
      <c r="B7140" s="4" t="str">
        <f>IFERROR(__xludf.DUMMYFUNCTION("""COMPUTED_VALUE"""),"1")</f>
        <v>1</v>
      </c>
      <c r="C7140" s="5" t="str">
        <f>IFERROR(__xludf.DUMMYFUNCTION("""COMPUTED_VALUE"""),"https://drive.google.com/file/d/13jWP2pPWq3HHS9Us0VMN33INjaTbsEG_/view?usp=drivesdk")</f>
        <v>https://drive.google.com/file/d/13jWP2pPWq3HHS9Us0VMN33INjaTbsEG_/view?usp=drivesdk</v>
      </c>
      <c r="D7140" s="12"/>
      <c r="E7140" s="11">
        <v>7188.0</v>
      </c>
      <c r="F7140" s="2"/>
    </row>
    <row r="7141" ht="1.5" customHeight="1">
      <c r="A7141" s="4" t="str">
        <f>IFERROR(__xludf.DUMMYFUNCTION("""COMPUTED_VALUE"""),"1. Microwave")</f>
        <v>1. Microwave</v>
      </c>
      <c r="B7141" s="4" t="str">
        <f>IFERROR(__xludf.DUMMYFUNCTION("""COMPUTED_VALUE"""),"1")</f>
        <v>1</v>
      </c>
      <c r="C7141" s="5" t="str">
        <f>IFERROR(__xludf.DUMMYFUNCTION("""COMPUTED_VALUE"""),"https://drive.google.com/file/d/1WSAMaM98fcDRmNUTHQP0r8nGekxmwVK4/view?usp=drivesdk")</f>
        <v>https://drive.google.com/file/d/1WSAMaM98fcDRmNUTHQP0r8nGekxmwVK4/view?usp=drivesdk</v>
      </c>
      <c r="D7141" s="12"/>
      <c r="E7141" s="11">
        <v>7189.0</v>
      </c>
      <c r="F7141" s="2"/>
    </row>
    <row r="7142" ht="1.5" customHeight="1">
      <c r="A7142" s="4" t="str">
        <f>IFERROR(__xludf.DUMMYFUNCTION("""COMPUTED_VALUE"""),"1. Microwave")</f>
        <v>1. Microwave</v>
      </c>
      <c r="B7142" s="4" t="str">
        <f>IFERROR(__xludf.DUMMYFUNCTION("""COMPUTED_VALUE"""),"1")</f>
        <v>1</v>
      </c>
      <c r="C7142" s="5" t="str">
        <f>IFERROR(__xludf.DUMMYFUNCTION("""COMPUTED_VALUE"""),"https://drive.google.com/file/d/1u9DswrmGBDc00g3sJOVA8FpN11evN7fY/view?usp=drivesdk")</f>
        <v>https://drive.google.com/file/d/1u9DswrmGBDc00g3sJOVA8FpN11evN7fY/view?usp=drivesdk</v>
      </c>
      <c r="D7142" s="12"/>
      <c r="E7142" s="11">
        <v>7190.0</v>
      </c>
      <c r="F7142" s="2"/>
    </row>
    <row r="7143" ht="1.5" customHeight="1">
      <c r="A7143" s="4" t="str">
        <f>IFERROR(__xludf.DUMMYFUNCTION("""COMPUTED_VALUE"""),"1. Microwave")</f>
        <v>1. Microwave</v>
      </c>
      <c r="B7143" s="4" t="str">
        <f>IFERROR(__xludf.DUMMYFUNCTION("""COMPUTED_VALUE"""),"1")</f>
        <v>1</v>
      </c>
      <c r="C7143" s="5" t="str">
        <f>IFERROR(__xludf.DUMMYFUNCTION("""COMPUTED_VALUE"""),"https://drive.google.com/file/d/1PX7MllKscROvxQ3LYauyuSReP9ka_ul6/view?usp=drivesdk")</f>
        <v>https://drive.google.com/file/d/1PX7MllKscROvxQ3LYauyuSReP9ka_ul6/view?usp=drivesdk</v>
      </c>
      <c r="D7143" s="12"/>
      <c r="E7143" s="11">
        <v>7191.0</v>
      </c>
      <c r="F7143" s="2"/>
    </row>
    <row r="7144" ht="1.5" customHeight="1">
      <c r="A7144" s="4" t="str">
        <f>IFERROR(__xludf.DUMMYFUNCTION("""COMPUTED_VALUE"""),"1. Microwave")</f>
        <v>1. Microwave</v>
      </c>
      <c r="B7144" s="4" t="str">
        <f>IFERROR(__xludf.DUMMYFUNCTION("""COMPUTED_VALUE"""),"1")</f>
        <v>1</v>
      </c>
      <c r="C7144" s="5" t="str">
        <f>IFERROR(__xludf.DUMMYFUNCTION("""COMPUTED_VALUE"""),"https://drive.google.com/file/d/1cVbpq8DBYGBeE2-Fyx19hHDYsDF1YLkc/view?usp=drivesdk")</f>
        <v>https://drive.google.com/file/d/1cVbpq8DBYGBeE2-Fyx19hHDYsDF1YLkc/view?usp=drivesdk</v>
      </c>
      <c r="D7144" s="12"/>
      <c r="E7144" s="11">
        <v>7192.0</v>
      </c>
      <c r="F7144" s="2"/>
    </row>
    <row r="7145" ht="1.5" customHeight="1">
      <c r="A7145" s="4" t="str">
        <f>IFERROR(__xludf.DUMMYFUNCTION("""COMPUTED_VALUE"""),"27. Angel")</f>
        <v>27. Angel</v>
      </c>
      <c r="B7145" s="4" t="str">
        <f>IFERROR(__xludf.DUMMYFUNCTION("""COMPUTED_VALUE"""),"27")</f>
        <v>27</v>
      </c>
      <c r="C7145" s="5" t="str">
        <f>IFERROR(__xludf.DUMMYFUNCTION("""COMPUTED_VALUE"""),"https://drive.google.com/file/d/1Z8kiGM7zqgb-7KtJeCJMGpP5QrE57hW5/view?usp=drivesdk")</f>
        <v>https://drive.google.com/file/d/1Z8kiGM7zqgb-7KtJeCJMGpP5QrE57hW5/view?usp=drivesdk</v>
      </c>
      <c r="D7145" s="12"/>
      <c r="E7145" s="11">
        <v>7193.0</v>
      </c>
      <c r="F7145" s="2"/>
    </row>
    <row r="7146" ht="1.5" customHeight="1">
      <c r="A7146" s="4" t="str">
        <f>IFERROR(__xludf.DUMMYFUNCTION("""COMPUTED_VALUE"""),"29. Ginger, 30. Pepper, 33. Zee")</f>
        <v>29. Ginger, 30. Pepper, 33. Zee</v>
      </c>
      <c r="B7146" s="4" t="str">
        <f>IFERROR(__xludf.DUMMYFUNCTION("""COMPUTED_VALUE"""),"29, 30, 33")</f>
        <v>29, 30, 33</v>
      </c>
      <c r="C7146" s="5" t="str">
        <f>IFERROR(__xludf.DUMMYFUNCTION("""COMPUTED_VALUE"""),"https://drive.google.com/file/d/10PTjJYx55Xi75Ya8uyMDCaDJeMtkNRgj/view?usp=drivesdk")</f>
        <v>https://drive.google.com/file/d/10PTjJYx55Xi75Ya8uyMDCaDJeMtkNRgj/view?usp=drivesdk</v>
      </c>
      <c r="D7146" s="12"/>
      <c r="E7146" s="11">
        <v>7194.0</v>
      </c>
      <c r="F7146" s="2"/>
    </row>
    <row r="7147" ht="1.5" customHeight="1">
      <c r="A7147" s="4" t="str">
        <f>IFERROR(__xludf.DUMMYFUNCTION("""COMPUTED_VALUE"""),"97.  Simba")</f>
        <v>97.  Simba</v>
      </c>
      <c r="B7147" s="4" t="str">
        <f>IFERROR(__xludf.DUMMYFUNCTION("""COMPUTED_VALUE"""),"97")</f>
        <v>97</v>
      </c>
      <c r="C7147" s="5" t="str">
        <f>IFERROR(__xludf.DUMMYFUNCTION("""COMPUTED_VALUE"""),"https://drive.google.com/file/d/1mVCNPmiEZNFkApW3Vg0jy1_f14Wq7aUu/view?usp=drivesdk")</f>
        <v>https://drive.google.com/file/d/1mVCNPmiEZNFkApW3Vg0jy1_f14Wq7aUu/view?usp=drivesdk</v>
      </c>
      <c r="D7147" s="12"/>
      <c r="E7147" s="11">
        <v>7195.0</v>
      </c>
      <c r="F7147" s="2"/>
    </row>
    <row r="7148" ht="1.5" customHeight="1">
      <c r="A7148" s="4" t="str">
        <f>IFERROR(__xludf.DUMMYFUNCTION("""COMPUTED_VALUE"""),"97.  Simba")</f>
        <v>97.  Simba</v>
      </c>
      <c r="B7148" s="4" t="str">
        <f>IFERROR(__xludf.DUMMYFUNCTION("""COMPUTED_VALUE"""),"97")</f>
        <v>97</v>
      </c>
      <c r="C7148" s="5" t="str">
        <f>IFERROR(__xludf.DUMMYFUNCTION("""COMPUTED_VALUE"""),"https://drive.google.com/file/d/1me6m8d0zhr7v0Re6pDGlB5CMIy6SArMI/view?usp=drivesdk")</f>
        <v>https://drive.google.com/file/d/1me6m8d0zhr7v0Re6pDGlB5CMIy6SArMI/view?usp=drivesdk</v>
      </c>
      <c r="D7148" s="12"/>
      <c r="E7148" s="11">
        <v>7196.0</v>
      </c>
      <c r="F7148" s="2"/>
    </row>
    <row r="7149" ht="1.5" customHeight="1">
      <c r="A7149" s="4" t="str">
        <f>IFERROR(__xludf.DUMMYFUNCTION("""COMPUTED_VALUE"""),"97.  Simba")</f>
        <v>97.  Simba</v>
      </c>
      <c r="B7149" s="4" t="str">
        <f>IFERROR(__xludf.DUMMYFUNCTION("""COMPUTED_VALUE"""),"97")</f>
        <v>97</v>
      </c>
      <c r="C7149" s="5" t="str">
        <f>IFERROR(__xludf.DUMMYFUNCTION("""COMPUTED_VALUE"""),"https://drive.google.com/file/d/1R9G3JibjSbyyjg0VFTfZmviT2D2LVbNK/view?usp=drivesdk")</f>
        <v>https://drive.google.com/file/d/1R9G3JibjSbyyjg0VFTfZmviT2D2LVbNK/view?usp=drivesdk</v>
      </c>
      <c r="D7149" s="12"/>
      <c r="E7149" s="11">
        <v>7197.0</v>
      </c>
      <c r="F7149" s="2"/>
    </row>
    <row r="7150" ht="1.5" customHeight="1">
      <c r="A7150" s="4" t="str">
        <f>IFERROR(__xludf.DUMMYFUNCTION("""COMPUTED_VALUE"""),"0. NotACat")</f>
        <v>0. NotACat</v>
      </c>
      <c r="B7150" s="4" t="str">
        <f>IFERROR(__xludf.DUMMYFUNCTION("""COMPUTED_VALUE"""),"0")</f>
        <v>0</v>
      </c>
      <c r="C7150" s="5" t="str">
        <f>IFERROR(__xludf.DUMMYFUNCTION("""COMPUTED_VALUE"""),"https://drive.google.com/file/d/1PehjaKU6MPQ-SKRFb2-Yt3lP-zFKxMy1/view?usp=drivesdk")</f>
        <v>https://drive.google.com/file/d/1PehjaKU6MPQ-SKRFb2-Yt3lP-zFKxMy1/view?usp=drivesdk</v>
      </c>
      <c r="D7150" s="12"/>
      <c r="E7150" s="11">
        <v>7198.0</v>
      </c>
      <c r="F7150" s="2"/>
    </row>
    <row r="7151" ht="1.5" customHeight="1">
      <c r="A7151" s="4" t="str">
        <f>IFERROR(__xludf.DUMMYFUNCTION("""COMPUTED_VALUE"""),"0. NotACat")</f>
        <v>0. NotACat</v>
      </c>
      <c r="B7151" s="4" t="str">
        <f>IFERROR(__xludf.DUMMYFUNCTION("""COMPUTED_VALUE"""),"0")</f>
        <v>0</v>
      </c>
      <c r="C7151" s="5" t="str">
        <f>IFERROR(__xludf.DUMMYFUNCTION("""COMPUTED_VALUE"""),"https://drive.google.com/file/d/1CdJqsxwPWPmkFWXijVMDTYc5Xy1fSyAE/view?usp=drivesdk")</f>
        <v>https://drive.google.com/file/d/1CdJqsxwPWPmkFWXijVMDTYc5Xy1fSyAE/view?usp=drivesdk</v>
      </c>
      <c r="D7151" s="12"/>
      <c r="E7151" s="11">
        <v>7199.0</v>
      </c>
      <c r="F7151" s="2"/>
    </row>
    <row r="7152" ht="1.5" customHeight="1">
      <c r="A7152" s="4" t="str">
        <f>IFERROR(__xludf.DUMMYFUNCTION("""COMPUTED_VALUE"""),"125. Conan Gray")</f>
        <v>125. Conan Gray</v>
      </c>
      <c r="B7152" s="4" t="str">
        <f>IFERROR(__xludf.DUMMYFUNCTION("""COMPUTED_VALUE"""),"125")</f>
        <v>125</v>
      </c>
      <c r="C7152" s="5" t="str">
        <f>IFERROR(__xludf.DUMMYFUNCTION("""COMPUTED_VALUE"""),"https://drive.google.com/file/d/1B4TUSHERYcW7xqhIRKy3Uf93t8mwuGP7/view?usp=drivesdk")</f>
        <v>https://drive.google.com/file/d/1B4TUSHERYcW7xqhIRKy3Uf93t8mwuGP7/view?usp=drivesdk</v>
      </c>
      <c r="D7152" s="12"/>
      <c r="E7152" s="11">
        <v>7200.0</v>
      </c>
      <c r="F7152" s="2"/>
    </row>
    <row r="7153" ht="1.5" customHeight="1">
      <c r="A7153" s="4" t="str">
        <f>IFERROR(__xludf.DUMMYFUNCTION("""COMPUTED_VALUE"""),"125. Conan Gray, 124. Yumi")</f>
        <v>125. Conan Gray, 124. Yumi</v>
      </c>
      <c r="B7153" s="4" t="str">
        <f>IFERROR(__xludf.DUMMYFUNCTION("""COMPUTED_VALUE"""),"125, 124")</f>
        <v>125, 124</v>
      </c>
      <c r="C7153" s="5" t="str">
        <f>IFERROR(__xludf.DUMMYFUNCTION("""COMPUTED_VALUE"""),"https://drive.google.com/file/d/1gTzfufykjEqABtudjZ-rBKE_PZbomQme/view?usp=drivesdk")</f>
        <v>https://drive.google.com/file/d/1gTzfufykjEqABtudjZ-rBKE_PZbomQme/view?usp=drivesdk</v>
      </c>
      <c r="D7153" s="12"/>
      <c r="E7153" s="11">
        <v>7201.0</v>
      </c>
      <c r="F7153" s="2"/>
    </row>
    <row r="7154" ht="1.5" customHeight="1">
      <c r="A7154" s="4" t="str">
        <f>IFERROR(__xludf.DUMMYFUNCTION("""COMPUTED_VALUE"""),"128. Sinatra")</f>
        <v>128. Sinatra</v>
      </c>
      <c r="B7154" s="4" t="str">
        <f>IFERROR(__xludf.DUMMYFUNCTION("""COMPUTED_VALUE"""),"128")</f>
        <v>128</v>
      </c>
      <c r="C7154" s="5" t="str">
        <f>IFERROR(__xludf.DUMMYFUNCTION("""COMPUTED_VALUE"""),"https://drive.google.com/file/d/15IYql7dHdFnI1KyCvMzNJx8itV7QybfS/view?usp=drivesdk")</f>
        <v>https://drive.google.com/file/d/15IYql7dHdFnI1KyCvMzNJx8itV7QybfS/view?usp=drivesdk</v>
      </c>
      <c r="D7154" s="12"/>
      <c r="E7154" s="11">
        <v>7202.0</v>
      </c>
      <c r="F7154" s="2"/>
    </row>
    <row r="7155" ht="1.5" customHeight="1">
      <c r="A7155" s="4" t="str">
        <f>IFERROR(__xludf.DUMMYFUNCTION("""COMPUTED_VALUE"""),"47. Nefarious, 38. Winston")</f>
        <v>47. Nefarious, 38. Winston</v>
      </c>
      <c r="B7155" s="4" t="str">
        <f>IFERROR(__xludf.DUMMYFUNCTION("""COMPUTED_VALUE"""),"47, 38")</f>
        <v>47, 38</v>
      </c>
      <c r="C7155" s="5" t="str">
        <f>IFERROR(__xludf.DUMMYFUNCTION("""COMPUTED_VALUE"""),"https://drive.google.com/file/d/1YcLExGljIj4VbJiV_7LsHEjyKs-HUfTL/view?usp=drivesdk")</f>
        <v>https://drive.google.com/file/d/1YcLExGljIj4VbJiV_7LsHEjyKs-HUfTL/view?usp=drivesdk</v>
      </c>
      <c r="D7155" s="12"/>
      <c r="E7155" s="11">
        <v>7203.0</v>
      </c>
      <c r="F7155" s="2"/>
    </row>
    <row r="7156" ht="1.5" customHeight="1">
      <c r="A7156" s="4" t="str">
        <f>IFERROR(__xludf.DUMMYFUNCTION("""COMPUTED_VALUE"""),"61. Cassie")</f>
        <v>61. Cassie</v>
      </c>
      <c r="B7156" s="4" t="str">
        <f>IFERROR(__xludf.DUMMYFUNCTION("""COMPUTED_VALUE"""),"61")</f>
        <v>61</v>
      </c>
      <c r="C7156" s="5" t="str">
        <f>IFERROR(__xludf.DUMMYFUNCTION("""COMPUTED_VALUE"""),"https://drive.google.com/file/d/1J60VsjsGMubiT2aeqAllSjtUASO8qoBG/view?usp=drivesdk")</f>
        <v>https://drive.google.com/file/d/1J60VsjsGMubiT2aeqAllSjtUASO8qoBG/view?usp=drivesdk</v>
      </c>
      <c r="D7156" s="12"/>
      <c r="E7156" s="11">
        <v>7204.0</v>
      </c>
      <c r="F7156" s="2"/>
    </row>
    <row r="7157" ht="1.5" customHeight="1">
      <c r="A7157" s="4" t="str">
        <f>IFERROR(__xludf.DUMMYFUNCTION("""COMPUTED_VALUE"""),"61. Cassie")</f>
        <v>61. Cassie</v>
      </c>
      <c r="B7157" s="4" t="str">
        <f>IFERROR(__xludf.DUMMYFUNCTION("""COMPUTED_VALUE"""),"61")</f>
        <v>61</v>
      </c>
      <c r="C7157" s="5" t="str">
        <f>IFERROR(__xludf.DUMMYFUNCTION("""COMPUTED_VALUE"""),"https://drive.google.com/file/d/1tS5aDbEnanglYwrc2LN-GNmcqW1ldTY2/view?usp=drivesdk")</f>
        <v>https://drive.google.com/file/d/1tS5aDbEnanglYwrc2LN-GNmcqW1ldTY2/view?usp=drivesdk</v>
      </c>
      <c r="D7157" s="12"/>
      <c r="E7157" s="11">
        <v>7205.0</v>
      </c>
      <c r="F7157" s="2"/>
    </row>
    <row r="7158" ht="1.5" customHeight="1">
      <c r="A7158" s="4" t="str">
        <f>IFERROR(__xludf.DUMMYFUNCTION("""COMPUTED_VALUE"""),"128. Sinatra")</f>
        <v>128. Sinatra</v>
      </c>
      <c r="B7158" s="4" t="str">
        <f>IFERROR(__xludf.DUMMYFUNCTION("""COMPUTED_VALUE"""),"128")</f>
        <v>128</v>
      </c>
      <c r="C7158" s="5" t="str">
        <f>IFERROR(__xludf.DUMMYFUNCTION("""COMPUTED_VALUE"""),"https://drive.google.com/file/d/1bm6oH7VP75Y9HrvO-Y33uRiZ2nA0zE1D/view?usp=drivesdk")</f>
        <v>https://drive.google.com/file/d/1bm6oH7VP75Y9HrvO-Y33uRiZ2nA0zE1D/view?usp=drivesdk</v>
      </c>
      <c r="D7158" s="12"/>
      <c r="E7158" s="11">
        <v>7206.0</v>
      </c>
      <c r="F7158" s="2"/>
    </row>
    <row r="7159" ht="1.5" customHeight="1">
      <c r="A7159" s="4" t="str">
        <f>IFERROR(__xludf.DUMMYFUNCTION("""COMPUTED_VALUE"""),"128. Sinatra, 124. Yumi")</f>
        <v>128. Sinatra, 124. Yumi</v>
      </c>
      <c r="B7159" s="4" t="str">
        <f>IFERROR(__xludf.DUMMYFUNCTION("""COMPUTED_VALUE"""),"128, 124")</f>
        <v>128, 124</v>
      </c>
      <c r="C7159" s="5" t="str">
        <f>IFERROR(__xludf.DUMMYFUNCTION("""COMPUTED_VALUE"""),"https://drive.google.com/file/d/1nxY7YI9iLl2AmzgxlQ49fCdD9SKkyIuW/view?usp=drivesdk")</f>
        <v>https://drive.google.com/file/d/1nxY7YI9iLl2AmzgxlQ49fCdD9SKkyIuW/view?usp=drivesdk</v>
      </c>
      <c r="D7159" s="12"/>
      <c r="E7159" s="11">
        <v>7207.0</v>
      </c>
      <c r="F7159" s="2"/>
    </row>
    <row r="7160" ht="1.5" customHeight="1">
      <c r="A7160" s="4" t="str">
        <f>IFERROR(__xludf.DUMMYFUNCTION("""COMPUTED_VALUE"""),"125. Conan Gray")</f>
        <v>125. Conan Gray</v>
      </c>
      <c r="B7160" s="4" t="str">
        <f>IFERROR(__xludf.DUMMYFUNCTION("""COMPUTED_VALUE"""),"125")</f>
        <v>125</v>
      </c>
      <c r="C7160" s="5" t="str">
        <f>IFERROR(__xludf.DUMMYFUNCTION("""COMPUTED_VALUE"""),"https://drive.google.com/file/d/1yZXti95fInrdtAyo72frmgMMopxBAKYi/view?usp=drivesdk")</f>
        <v>https://drive.google.com/file/d/1yZXti95fInrdtAyo72frmgMMopxBAKYi/view?usp=drivesdk</v>
      </c>
      <c r="D7160" s="12"/>
      <c r="E7160" s="11">
        <v>7208.0</v>
      </c>
      <c r="F7160" s="2"/>
    </row>
    <row r="7161" ht="1.5" customHeight="1">
      <c r="A7161" s="4" t="str">
        <f>IFERROR(__xludf.DUMMYFUNCTION("""COMPUTED_VALUE"""),"128. Sinatra, 124. Yumi")</f>
        <v>128. Sinatra, 124. Yumi</v>
      </c>
      <c r="B7161" s="4" t="str">
        <f>IFERROR(__xludf.DUMMYFUNCTION("""COMPUTED_VALUE"""),"128, 124")</f>
        <v>128, 124</v>
      </c>
      <c r="C7161" s="5" t="str">
        <f>IFERROR(__xludf.DUMMYFUNCTION("""COMPUTED_VALUE"""),"https://drive.google.com/file/d/18FNn1I11RyYPzz3kGdltqcEuH5xZVZqG/view?usp=drivesdk")</f>
        <v>https://drive.google.com/file/d/18FNn1I11RyYPzz3kGdltqcEuH5xZVZqG/view?usp=drivesdk</v>
      </c>
      <c r="D7161" s="12"/>
      <c r="E7161" s="11">
        <v>7209.0</v>
      </c>
      <c r="F7161" s="2"/>
    </row>
    <row r="7162" ht="1.5" customHeight="1">
      <c r="A7162" s="4" t="str">
        <f>IFERROR(__xludf.DUMMYFUNCTION("""COMPUTED_VALUE"""),"12. Faye")</f>
        <v>12. Faye</v>
      </c>
      <c r="B7162" s="4" t="str">
        <f>IFERROR(__xludf.DUMMYFUNCTION("""COMPUTED_VALUE"""),"12")</f>
        <v>12</v>
      </c>
      <c r="C7162" s="5" t="str">
        <f>IFERROR(__xludf.DUMMYFUNCTION("""COMPUTED_VALUE"""),"https://drive.google.com/file/d/1QLTD7DnJh0tFMPtqMs7BjPAPXDe1quit/view?usp=drivesdk")</f>
        <v>https://drive.google.com/file/d/1QLTD7DnJh0tFMPtqMs7BjPAPXDe1quit/view?usp=drivesdk</v>
      </c>
      <c r="D7162" s="12"/>
      <c r="E7162" s="11">
        <v>7210.0</v>
      </c>
      <c r="F7162" s="2"/>
    </row>
    <row r="7163" ht="1.5" customHeight="1">
      <c r="A7163" s="4" t="str">
        <f>IFERROR(__xludf.DUMMYFUNCTION("""COMPUTED_VALUE"""),"0. NotACat")</f>
        <v>0. NotACat</v>
      </c>
      <c r="B7163" s="4" t="str">
        <f>IFERROR(__xludf.DUMMYFUNCTION("""COMPUTED_VALUE"""),"0")</f>
        <v>0</v>
      </c>
      <c r="C7163" s="5" t="str">
        <f>IFERROR(__xludf.DUMMYFUNCTION("""COMPUTED_VALUE"""),"https://drive.google.com/file/d/18gJO_AUKH0L6Lai5GXq9591A_FB4WAlb/view?usp=drivesdk")</f>
        <v>https://drive.google.com/file/d/18gJO_AUKH0L6Lai5GXq9591A_FB4WAlb/view?usp=drivesdk</v>
      </c>
      <c r="D7163" s="12"/>
      <c r="E7163" s="11">
        <v>7211.0</v>
      </c>
      <c r="F7163" s="2"/>
    </row>
    <row r="7164" ht="1.5" customHeight="1">
      <c r="A7164" s="4" t="str">
        <f>IFERROR(__xludf.DUMMYFUNCTION("""COMPUTED_VALUE"""),"0. NotACat")</f>
        <v>0. NotACat</v>
      </c>
      <c r="B7164" s="4" t="str">
        <f>IFERROR(__xludf.DUMMYFUNCTION("""COMPUTED_VALUE"""),"0")</f>
        <v>0</v>
      </c>
      <c r="C7164" s="5" t="str">
        <f>IFERROR(__xludf.DUMMYFUNCTION("""COMPUTED_VALUE"""),"https://drive.google.com/file/d/10UitnBth_O6A97pcYYHIEHQk1faDhM1k/view?usp=drivesdk")</f>
        <v>https://drive.google.com/file/d/10UitnBth_O6A97pcYYHIEHQk1faDhM1k/view?usp=drivesdk</v>
      </c>
      <c r="D7164" s="12"/>
      <c r="E7164" s="11">
        <v>7212.0</v>
      </c>
      <c r="F7164" s="2"/>
    </row>
    <row r="7165" ht="1.5" customHeight="1">
      <c r="A7165" s="4" t="str">
        <f>IFERROR(__xludf.DUMMYFUNCTION("""COMPUTED_VALUE"""),"0. NotACat")</f>
        <v>0. NotACat</v>
      </c>
      <c r="B7165" s="4" t="str">
        <f>IFERROR(__xludf.DUMMYFUNCTION("""COMPUTED_VALUE"""),"0")</f>
        <v>0</v>
      </c>
      <c r="C7165" s="5" t="str">
        <f>IFERROR(__xludf.DUMMYFUNCTION("""COMPUTED_VALUE"""),"https://drive.google.com/file/d/1v53Gj2PxIJK8pP3oYO0TD0xDNFjKL_Mq/view?usp=drivesdk")</f>
        <v>https://drive.google.com/file/d/1v53Gj2PxIJK8pP3oYO0TD0xDNFjKL_Mq/view?usp=drivesdk</v>
      </c>
      <c r="D7165" s="12"/>
      <c r="E7165" s="11">
        <v>7213.0</v>
      </c>
      <c r="F7165" s="2"/>
    </row>
    <row r="7166" ht="1.5" customHeight="1">
      <c r="A7166" s="4" t="str">
        <f>IFERROR(__xludf.DUMMYFUNCTION("""COMPUTED_VALUE"""),"102. Keaton")</f>
        <v>102. Keaton</v>
      </c>
      <c r="B7166" s="4" t="str">
        <f>IFERROR(__xludf.DUMMYFUNCTION("""COMPUTED_VALUE"""),"102")</f>
        <v>102</v>
      </c>
      <c r="C7166" s="5" t="str">
        <f>IFERROR(__xludf.DUMMYFUNCTION("""COMPUTED_VALUE"""),"https://drive.google.com/file/d/1p2Umu0FFdNR1xCUx5QV2e8mV7VP3vjds/view?usp=drivesdk")</f>
        <v>https://drive.google.com/file/d/1p2Umu0FFdNR1xCUx5QV2e8mV7VP3vjds/view?usp=drivesdk</v>
      </c>
      <c r="D7166" s="12"/>
      <c r="E7166" s="11">
        <v>7214.0</v>
      </c>
      <c r="F7166" s="2"/>
    </row>
    <row r="7167" ht="1.5" customHeight="1">
      <c r="A7167" s="4" t="str">
        <f>IFERROR(__xludf.DUMMYFUNCTION("""COMPUTED_VALUE"""),"128. Sinatra, 125. Conan Gray")</f>
        <v>128. Sinatra, 125. Conan Gray</v>
      </c>
      <c r="B7167" s="4" t="str">
        <f>IFERROR(__xludf.DUMMYFUNCTION("""COMPUTED_VALUE"""),"128, 125")</f>
        <v>128, 125</v>
      </c>
      <c r="C7167" s="5" t="str">
        <f>IFERROR(__xludf.DUMMYFUNCTION("""COMPUTED_VALUE"""),"https://drive.google.com/file/d/14gheXnIjYH4Bho0KJyUatDlxrZghsrhb/view?usp=drivesdk")</f>
        <v>https://drive.google.com/file/d/14gheXnIjYH4Bho0KJyUatDlxrZghsrhb/view?usp=drivesdk</v>
      </c>
      <c r="D7167" s="12"/>
      <c r="E7167" s="11">
        <v>7215.0</v>
      </c>
      <c r="F7167" s="2"/>
    </row>
    <row r="7168" ht="1.5" customHeight="1">
      <c r="A7168" s="4" t="str">
        <f>IFERROR(__xludf.DUMMYFUNCTION("""COMPUTED_VALUE"""),"1. Microwave")</f>
        <v>1. Microwave</v>
      </c>
      <c r="B7168" s="4" t="str">
        <f>IFERROR(__xludf.DUMMYFUNCTION("""COMPUTED_VALUE"""),"1")</f>
        <v>1</v>
      </c>
      <c r="C7168" s="5" t="str">
        <f>IFERROR(__xludf.DUMMYFUNCTION("""COMPUTED_VALUE"""),"https://drive.google.com/file/d/1heAz3V1y-keJwga0QEGnC6Nm36yrLRVY/view?usp=drivesdk")</f>
        <v>https://drive.google.com/file/d/1heAz3V1y-keJwga0QEGnC6Nm36yrLRVY/view?usp=drivesdk</v>
      </c>
      <c r="D7168" s="12"/>
      <c r="E7168" s="11">
        <v>7216.0</v>
      </c>
      <c r="F7168" s="2"/>
    </row>
    <row r="7169" ht="1.5" customHeight="1">
      <c r="A7169" s="4" t="str">
        <f>IFERROR(__xludf.DUMMYFUNCTION("""COMPUTED_VALUE"""),"2. Twix")</f>
        <v>2. Twix</v>
      </c>
      <c r="B7169" s="4" t="str">
        <f>IFERROR(__xludf.DUMMYFUNCTION("""COMPUTED_VALUE"""),"2")</f>
        <v>2</v>
      </c>
      <c r="C7169" s="5" t="str">
        <f>IFERROR(__xludf.DUMMYFUNCTION("""COMPUTED_VALUE"""),"https://drive.google.com/file/d/1G3KyLURlT0Lf0YimHB2P0Vcl6XbYT6qi/view?usp=drivesdk")</f>
        <v>https://drive.google.com/file/d/1G3KyLURlT0Lf0YimHB2P0Vcl6XbYT6qi/view?usp=drivesdk</v>
      </c>
      <c r="D7169" s="12"/>
      <c r="E7169" s="11">
        <v>7217.0</v>
      </c>
      <c r="F7169" s="2"/>
    </row>
    <row r="7170" ht="1.5" customHeight="1">
      <c r="A7170" s="4" t="str">
        <f>IFERROR(__xludf.DUMMYFUNCTION("""COMPUTED_VALUE"""),"128. Sinatra")</f>
        <v>128. Sinatra</v>
      </c>
      <c r="B7170" s="4" t="str">
        <f>IFERROR(__xludf.DUMMYFUNCTION("""COMPUTED_VALUE"""),"128")</f>
        <v>128</v>
      </c>
      <c r="C7170" s="5" t="str">
        <f>IFERROR(__xludf.DUMMYFUNCTION("""COMPUTED_VALUE"""),"https://drive.google.com/file/d/1bxeoWSS3w2XEGSYFWUgf5YiHLtmC2rHn/view?usp=drivesdk")</f>
        <v>https://drive.google.com/file/d/1bxeoWSS3w2XEGSYFWUgf5YiHLtmC2rHn/view?usp=drivesdk</v>
      </c>
      <c r="D7170" s="12"/>
      <c r="E7170" s="11">
        <v>7218.0</v>
      </c>
      <c r="F7170" s="2"/>
    </row>
    <row r="7171" ht="1.5" customHeight="1">
      <c r="A7171" s="4" t="str">
        <f>IFERROR(__xludf.DUMMYFUNCTION("""COMPUTED_VALUE"""),"128. Sinatra")</f>
        <v>128. Sinatra</v>
      </c>
      <c r="B7171" s="4" t="str">
        <f>IFERROR(__xludf.DUMMYFUNCTION("""COMPUTED_VALUE"""),"128")</f>
        <v>128</v>
      </c>
      <c r="C7171" s="5" t="str">
        <f>IFERROR(__xludf.DUMMYFUNCTION("""COMPUTED_VALUE"""),"https://drive.google.com/file/d/1OsOWwpga5lVXYhPFeJ2Y4Ze1u5TysT7A/view?usp=drivesdk")</f>
        <v>https://drive.google.com/file/d/1OsOWwpga5lVXYhPFeJ2Y4Ze1u5TysT7A/view?usp=drivesdk</v>
      </c>
      <c r="D7171" s="12"/>
      <c r="E7171" s="11">
        <v>7219.0</v>
      </c>
      <c r="F7171" s="2"/>
    </row>
    <row r="7172" ht="1.5" customHeight="1">
      <c r="A7172" s="4" t="str">
        <f>IFERROR(__xludf.DUMMYFUNCTION("""COMPUTED_VALUE"""),"128. Sinatra")</f>
        <v>128. Sinatra</v>
      </c>
      <c r="B7172" s="4" t="str">
        <f>IFERROR(__xludf.DUMMYFUNCTION("""COMPUTED_VALUE"""),"128")</f>
        <v>128</v>
      </c>
      <c r="C7172" s="5" t="str">
        <f>IFERROR(__xludf.DUMMYFUNCTION("""COMPUTED_VALUE"""),"https://drive.google.com/file/d/1CoxStO0JQnnnEaE04A-7n6_qW4fRcJl4/view?usp=drivesdk")</f>
        <v>https://drive.google.com/file/d/1CoxStO0JQnnnEaE04A-7n6_qW4fRcJl4/view?usp=drivesdk</v>
      </c>
      <c r="D7172" s="12"/>
      <c r="E7172" s="11">
        <v>7220.0</v>
      </c>
      <c r="F7172" s="2"/>
    </row>
    <row r="7173" ht="1.5" customHeight="1">
      <c r="A7173" s="4" t="str">
        <f>IFERROR(__xludf.DUMMYFUNCTION("""COMPUTED_VALUE"""),"128. Sinatra")</f>
        <v>128. Sinatra</v>
      </c>
      <c r="B7173" s="4" t="str">
        <f>IFERROR(__xludf.DUMMYFUNCTION("""COMPUTED_VALUE"""),"128")</f>
        <v>128</v>
      </c>
      <c r="C7173" s="5" t="str">
        <f>IFERROR(__xludf.DUMMYFUNCTION("""COMPUTED_VALUE"""),"https://drive.google.com/file/d/1oYVyEqwWzz0Y8xorjEPFUAdw1hV08-0I/view?usp=drivesdk")</f>
        <v>https://drive.google.com/file/d/1oYVyEqwWzz0Y8xorjEPFUAdw1hV08-0I/view?usp=drivesdk</v>
      </c>
      <c r="D7173" s="12"/>
      <c r="E7173" s="11">
        <v>7221.0</v>
      </c>
      <c r="F7173" s="2"/>
    </row>
    <row r="7174" ht="1.5" customHeight="1">
      <c r="A7174" s="4" t="str">
        <f>IFERROR(__xludf.DUMMYFUNCTION("""COMPUTED_VALUE"""),"128. Sinatra")</f>
        <v>128. Sinatra</v>
      </c>
      <c r="B7174" s="4" t="str">
        <f>IFERROR(__xludf.DUMMYFUNCTION("""COMPUTED_VALUE"""),"128")</f>
        <v>128</v>
      </c>
      <c r="C7174" s="5" t="str">
        <f>IFERROR(__xludf.DUMMYFUNCTION("""COMPUTED_VALUE"""),"https://drive.google.com/file/d/1xhD91irQw4u4L_4Wol2RCip0gPW-TH_z/view?usp=drivesdk")</f>
        <v>https://drive.google.com/file/d/1xhD91irQw4u4L_4Wol2RCip0gPW-TH_z/view?usp=drivesdk</v>
      </c>
      <c r="D7174" s="12"/>
      <c r="E7174" s="11">
        <v>7222.0</v>
      </c>
      <c r="F7174" s="2"/>
    </row>
    <row r="7175" ht="1.5" customHeight="1">
      <c r="A7175" s="4" t="str">
        <f>IFERROR(__xludf.DUMMYFUNCTION("""COMPUTED_VALUE"""),"128. Sinatra")</f>
        <v>128. Sinatra</v>
      </c>
      <c r="B7175" s="4" t="str">
        <f>IFERROR(__xludf.DUMMYFUNCTION("""COMPUTED_VALUE"""),"128")</f>
        <v>128</v>
      </c>
      <c r="C7175" s="5" t="str">
        <f>IFERROR(__xludf.DUMMYFUNCTION("""COMPUTED_VALUE"""),"https://drive.google.com/file/d/1QJsLd0h36js5rFopRVqICk6XcNMlQONp/view?usp=drivesdk")</f>
        <v>https://drive.google.com/file/d/1QJsLd0h36js5rFopRVqICk6XcNMlQONp/view?usp=drivesdk</v>
      </c>
      <c r="D7175" s="12"/>
      <c r="E7175" s="11">
        <v>7223.0</v>
      </c>
      <c r="F7175" s="2"/>
    </row>
    <row r="7176" ht="1.5" customHeight="1">
      <c r="A7176" s="4" t="str">
        <f>IFERROR(__xludf.DUMMYFUNCTION("""COMPUTED_VALUE"""),"128. Sinatra")</f>
        <v>128. Sinatra</v>
      </c>
      <c r="B7176" s="4" t="str">
        <f>IFERROR(__xludf.DUMMYFUNCTION("""COMPUTED_VALUE"""),"128")</f>
        <v>128</v>
      </c>
      <c r="C7176" s="5" t="str">
        <f>IFERROR(__xludf.DUMMYFUNCTION("""COMPUTED_VALUE"""),"https://drive.google.com/file/d/1J1OcNrJeS3NqwS6m4reF6dV2ndaOWroO/view?usp=drivesdk")</f>
        <v>https://drive.google.com/file/d/1J1OcNrJeS3NqwS6m4reF6dV2ndaOWroO/view?usp=drivesdk</v>
      </c>
      <c r="D7176" s="12"/>
      <c r="E7176" s="11">
        <v>7224.0</v>
      </c>
      <c r="F7176" s="2"/>
    </row>
    <row r="7177" ht="1.5" customHeight="1">
      <c r="A7177" s="4" t="str">
        <f>IFERROR(__xludf.DUMMYFUNCTION("""COMPUTED_VALUE"""),"125. Conan Gray")</f>
        <v>125. Conan Gray</v>
      </c>
      <c r="B7177" s="4" t="str">
        <f>IFERROR(__xludf.DUMMYFUNCTION("""COMPUTED_VALUE"""),"125")</f>
        <v>125</v>
      </c>
      <c r="C7177" s="5" t="str">
        <f>IFERROR(__xludf.DUMMYFUNCTION("""COMPUTED_VALUE"""),"https://drive.google.com/file/d/1VdCGZ5Foj4MlZ8dBh7gB5WXmNWrgm8vh/view?usp=drivesdk")</f>
        <v>https://drive.google.com/file/d/1VdCGZ5Foj4MlZ8dBh7gB5WXmNWrgm8vh/view?usp=drivesdk</v>
      </c>
      <c r="D7177" s="12"/>
      <c r="E7177" s="11">
        <v>7225.0</v>
      </c>
      <c r="F7177" s="2"/>
    </row>
    <row r="7178" ht="1.5" customHeight="1">
      <c r="A7178" s="4" t="str">
        <f>IFERROR(__xludf.DUMMYFUNCTION("""COMPUTED_VALUE"""),"125. Conan Gray")</f>
        <v>125. Conan Gray</v>
      </c>
      <c r="B7178" s="4" t="str">
        <f>IFERROR(__xludf.DUMMYFUNCTION("""COMPUTED_VALUE"""),"125")</f>
        <v>125</v>
      </c>
      <c r="C7178" s="5" t="str">
        <f>IFERROR(__xludf.DUMMYFUNCTION("""COMPUTED_VALUE"""),"https://drive.google.com/file/d/1Evoky65hSWE5VXvl54X_SO2z3dVlwQ9C/view?usp=drivesdk")</f>
        <v>https://drive.google.com/file/d/1Evoky65hSWE5VXvl54X_SO2z3dVlwQ9C/view?usp=drivesdk</v>
      </c>
      <c r="D7178" s="12"/>
      <c r="E7178" s="11">
        <v>7226.0</v>
      </c>
      <c r="F7178" s="2"/>
    </row>
    <row r="7179" ht="1.5" customHeight="1">
      <c r="A7179" s="4" t="str">
        <f>IFERROR(__xludf.DUMMYFUNCTION("""COMPUTED_VALUE"""),"125. Conan Gray")</f>
        <v>125. Conan Gray</v>
      </c>
      <c r="B7179" s="4" t="str">
        <f>IFERROR(__xludf.DUMMYFUNCTION("""COMPUTED_VALUE"""),"125")</f>
        <v>125</v>
      </c>
      <c r="C7179" s="5" t="str">
        <f>IFERROR(__xludf.DUMMYFUNCTION("""COMPUTED_VALUE"""),"https://drive.google.com/file/d/1sIEyamwla1NLaM91L500kG6rBLvXwreR/view?usp=drivesdk")</f>
        <v>https://drive.google.com/file/d/1sIEyamwla1NLaM91L500kG6rBLvXwreR/view?usp=drivesdk</v>
      </c>
      <c r="D7179" s="12"/>
      <c r="E7179" s="11">
        <v>7227.0</v>
      </c>
      <c r="F7179" s="2"/>
    </row>
    <row r="7180" ht="1.5" customHeight="1">
      <c r="A7180" s="4" t="str">
        <f>IFERROR(__xludf.DUMMYFUNCTION("""COMPUTED_VALUE"""),"62. Gorygreg, 124. Yumi")</f>
        <v>62. Gorygreg, 124. Yumi</v>
      </c>
      <c r="B7180" s="4" t="str">
        <f>IFERROR(__xludf.DUMMYFUNCTION("""COMPUTED_VALUE"""),"62, 124")</f>
        <v>62, 124</v>
      </c>
      <c r="C7180" s="5" t="str">
        <f>IFERROR(__xludf.DUMMYFUNCTION("""COMPUTED_VALUE"""),"https://drive.google.com/file/d/1Q2sGKhwlQ2GPOAqvveCpZLlfKbl-j0VV/view?usp=drivesdk")</f>
        <v>https://drive.google.com/file/d/1Q2sGKhwlQ2GPOAqvveCpZLlfKbl-j0VV/view?usp=drivesdk</v>
      </c>
      <c r="D7180" s="12"/>
      <c r="E7180" s="11">
        <v>7228.0</v>
      </c>
      <c r="F7180" s="2"/>
    </row>
    <row r="7181" ht="1.5" customHeight="1">
      <c r="A7181" s="4" t="str">
        <f>IFERROR(__xludf.DUMMYFUNCTION("""COMPUTED_VALUE"""),"128. Sinatra, 125. Conan Gray")</f>
        <v>128. Sinatra, 125. Conan Gray</v>
      </c>
      <c r="B7181" s="4" t="str">
        <f>IFERROR(__xludf.DUMMYFUNCTION("""COMPUTED_VALUE"""),"128, 125")</f>
        <v>128, 125</v>
      </c>
      <c r="C7181" s="5" t="str">
        <f>IFERROR(__xludf.DUMMYFUNCTION("""COMPUTED_VALUE"""),"https://drive.google.com/file/d/1Z2c4KOjq6kwQaLbk3DlpSuFdgCp7t_SN/view?usp=drivesdk")</f>
        <v>https://drive.google.com/file/d/1Z2c4KOjq6kwQaLbk3DlpSuFdgCp7t_SN/view?usp=drivesdk</v>
      </c>
      <c r="D7181" s="12"/>
      <c r="E7181" s="11">
        <v>7229.0</v>
      </c>
      <c r="F7181" s="2"/>
    </row>
    <row r="7182" ht="1.5" customHeight="1">
      <c r="A7182" s="4" t="str">
        <f>IFERROR(__xludf.DUMMYFUNCTION("""COMPUTED_VALUE"""),"125. Conan Gray")</f>
        <v>125. Conan Gray</v>
      </c>
      <c r="B7182" s="4" t="str">
        <f>IFERROR(__xludf.DUMMYFUNCTION("""COMPUTED_VALUE"""),"125")</f>
        <v>125</v>
      </c>
      <c r="C7182" s="5" t="str">
        <f>IFERROR(__xludf.DUMMYFUNCTION("""COMPUTED_VALUE"""),"https://drive.google.com/file/d/1STg0nZ78tiXEmmYCX3qWEWuKXvxUuSZL/view?usp=drivesdk")</f>
        <v>https://drive.google.com/file/d/1STg0nZ78tiXEmmYCX3qWEWuKXvxUuSZL/view?usp=drivesdk</v>
      </c>
      <c r="D7182" s="12"/>
      <c r="E7182" s="11">
        <v>7230.0</v>
      </c>
      <c r="F7182" s="2"/>
    </row>
    <row r="7183" ht="1.5" customHeight="1">
      <c r="A7183" s="4" t="str">
        <f>IFERROR(__xludf.DUMMYFUNCTION("""COMPUTED_VALUE"""),"125. Conan Gray")</f>
        <v>125. Conan Gray</v>
      </c>
      <c r="B7183" s="4" t="str">
        <f>IFERROR(__xludf.DUMMYFUNCTION("""COMPUTED_VALUE"""),"125")</f>
        <v>125</v>
      </c>
      <c r="C7183" s="5" t="str">
        <f>IFERROR(__xludf.DUMMYFUNCTION("""COMPUTED_VALUE"""),"https://drive.google.com/file/d/1VUqoNBTjg5pNiA7IaZNNN342_9Xe5MWN/view?usp=drivesdk")</f>
        <v>https://drive.google.com/file/d/1VUqoNBTjg5pNiA7IaZNNN342_9Xe5MWN/view?usp=drivesdk</v>
      </c>
      <c r="D7183" s="12"/>
      <c r="E7183" s="11">
        <v>7231.0</v>
      </c>
      <c r="F7183" s="2"/>
    </row>
    <row r="7184" ht="1.5" customHeight="1">
      <c r="A7184" s="4" t="str">
        <f>IFERROR(__xludf.DUMMYFUNCTION("""COMPUTED_VALUE"""),"128. Sinatra")</f>
        <v>128. Sinatra</v>
      </c>
      <c r="B7184" s="4" t="str">
        <f>IFERROR(__xludf.DUMMYFUNCTION("""COMPUTED_VALUE"""),"128")</f>
        <v>128</v>
      </c>
      <c r="C7184" s="5" t="str">
        <f>IFERROR(__xludf.DUMMYFUNCTION("""COMPUTED_VALUE"""),"https://drive.google.com/file/d/18pok1J56MszptVw8Z4e_1q_n9EYMqNxd/view?usp=drivesdk")</f>
        <v>https://drive.google.com/file/d/18pok1J56MszptVw8Z4e_1q_n9EYMqNxd/view?usp=drivesdk</v>
      </c>
      <c r="D7184" s="12"/>
      <c r="E7184" s="11">
        <v>7232.0</v>
      </c>
      <c r="F7184" s="2"/>
    </row>
    <row r="7185" ht="1.5" customHeight="1">
      <c r="A7185" s="4" t="str">
        <f>IFERROR(__xludf.DUMMYFUNCTION("""COMPUTED_VALUE"""),"128. Sinatra")</f>
        <v>128. Sinatra</v>
      </c>
      <c r="B7185" s="4" t="str">
        <f>IFERROR(__xludf.DUMMYFUNCTION("""COMPUTED_VALUE"""),"128")</f>
        <v>128</v>
      </c>
      <c r="C7185" s="5" t="str">
        <f>IFERROR(__xludf.DUMMYFUNCTION("""COMPUTED_VALUE"""),"https://drive.google.com/file/d/1K8Yi9yzKcztsRnVhw4ASW73nmTkNyE_N/view?usp=drivesdk")</f>
        <v>https://drive.google.com/file/d/1K8Yi9yzKcztsRnVhw4ASW73nmTkNyE_N/view?usp=drivesdk</v>
      </c>
      <c r="D7185" s="12"/>
      <c r="E7185" s="11">
        <v>7233.0</v>
      </c>
      <c r="F7185" s="2"/>
    </row>
    <row r="7186" ht="1.5" customHeight="1">
      <c r="A7186" s="4" t="str">
        <f>IFERROR(__xludf.DUMMYFUNCTION("""COMPUTED_VALUE"""),"125. Conan Gray")</f>
        <v>125. Conan Gray</v>
      </c>
      <c r="B7186" s="4" t="str">
        <f>IFERROR(__xludf.DUMMYFUNCTION("""COMPUTED_VALUE"""),"125")</f>
        <v>125</v>
      </c>
      <c r="C7186" s="5" t="str">
        <f>IFERROR(__xludf.DUMMYFUNCTION("""COMPUTED_VALUE"""),"https://drive.google.com/file/d/1ApAUZRpYsBe-Qh_khhh9OdTfqF72pvYn/view?usp=drivesdk")</f>
        <v>https://drive.google.com/file/d/1ApAUZRpYsBe-Qh_khhh9OdTfqF72pvYn/view?usp=drivesdk</v>
      </c>
      <c r="D7186" s="12"/>
      <c r="E7186" s="11">
        <v>7234.0</v>
      </c>
      <c r="F7186" s="2"/>
    </row>
    <row r="7187" ht="1.5" customHeight="1">
      <c r="A7187" s="4" t="str">
        <f>IFERROR(__xludf.DUMMYFUNCTION("""COMPUTED_VALUE"""),"125. Conan Gray")</f>
        <v>125. Conan Gray</v>
      </c>
      <c r="B7187" s="4" t="str">
        <f>IFERROR(__xludf.DUMMYFUNCTION("""COMPUTED_VALUE"""),"125")</f>
        <v>125</v>
      </c>
      <c r="C7187" s="5" t="str">
        <f>IFERROR(__xludf.DUMMYFUNCTION("""COMPUTED_VALUE"""),"https://drive.google.com/file/d/1iK_aEYKBfFzYToomZbzmxNjwLw4Jbt1m/view?usp=drivesdk")</f>
        <v>https://drive.google.com/file/d/1iK_aEYKBfFzYToomZbzmxNjwLw4Jbt1m/view?usp=drivesdk</v>
      </c>
      <c r="D7187" s="12"/>
      <c r="E7187" s="11">
        <v>7235.0</v>
      </c>
      <c r="F7187" s="2"/>
    </row>
    <row r="7188" ht="1.5" customHeight="1">
      <c r="A7188" s="4" t="str">
        <f>IFERROR(__xludf.DUMMYFUNCTION("""COMPUTED_VALUE"""),"125. Conan Gray")</f>
        <v>125. Conan Gray</v>
      </c>
      <c r="B7188" s="4" t="str">
        <f>IFERROR(__xludf.DUMMYFUNCTION("""COMPUTED_VALUE"""),"125")</f>
        <v>125</v>
      </c>
      <c r="C7188" s="5" t="str">
        <f>IFERROR(__xludf.DUMMYFUNCTION("""COMPUTED_VALUE"""),"https://drive.google.com/file/d/1VbaN2FJWd6c412_xzBynGEOSOscmnaBZ/view?usp=drivesdk")</f>
        <v>https://drive.google.com/file/d/1VbaN2FJWd6c412_xzBynGEOSOscmnaBZ/view?usp=drivesdk</v>
      </c>
      <c r="D7188" s="12"/>
      <c r="E7188" s="11">
        <v>7236.0</v>
      </c>
      <c r="F7188" s="2"/>
    </row>
    <row r="7189" ht="1.5" customHeight="1">
      <c r="A7189" s="4" t="str">
        <f>IFERROR(__xludf.DUMMYFUNCTION("""COMPUTED_VALUE"""),"125. Conan Gray")</f>
        <v>125. Conan Gray</v>
      </c>
      <c r="B7189" s="4" t="str">
        <f>IFERROR(__xludf.DUMMYFUNCTION("""COMPUTED_VALUE"""),"125")</f>
        <v>125</v>
      </c>
      <c r="C7189" s="5" t="str">
        <f>IFERROR(__xludf.DUMMYFUNCTION("""COMPUTED_VALUE"""),"https://drive.google.com/file/d/15VpU9eAFnl_x2y9UzPFf5LrGmw-Y9kpV/view?usp=drivesdk")</f>
        <v>https://drive.google.com/file/d/15VpU9eAFnl_x2y9UzPFf5LrGmw-Y9kpV/view?usp=drivesdk</v>
      </c>
      <c r="D7189" s="12"/>
      <c r="E7189" s="11">
        <v>7237.0</v>
      </c>
      <c r="F7189" s="2"/>
    </row>
    <row r="7190" ht="1.5" customHeight="1">
      <c r="A7190" s="4" t="str">
        <f>IFERROR(__xludf.DUMMYFUNCTION("""COMPUTED_VALUE"""),"128. Sinatra")</f>
        <v>128. Sinatra</v>
      </c>
      <c r="B7190" s="4" t="str">
        <f>IFERROR(__xludf.DUMMYFUNCTION("""COMPUTED_VALUE"""),"128")</f>
        <v>128</v>
      </c>
      <c r="C7190" s="5" t="str">
        <f>IFERROR(__xludf.DUMMYFUNCTION("""COMPUTED_VALUE"""),"https://drive.google.com/file/d/1n0CEicE3asLn97WgeXDbyMBJ2cs1Yfsm/view?usp=drivesdk")</f>
        <v>https://drive.google.com/file/d/1n0CEicE3asLn97WgeXDbyMBJ2cs1Yfsm/view?usp=drivesdk</v>
      </c>
      <c r="D7190" s="12"/>
      <c r="E7190" s="11">
        <v>7238.0</v>
      </c>
      <c r="F7190" s="2"/>
    </row>
    <row r="7191" ht="1.5" customHeight="1">
      <c r="A7191" s="4" t="str">
        <f>IFERROR(__xludf.DUMMYFUNCTION("""COMPUTED_VALUE"""),"128. Sinatra")</f>
        <v>128. Sinatra</v>
      </c>
      <c r="B7191" s="4" t="str">
        <f>IFERROR(__xludf.DUMMYFUNCTION("""COMPUTED_VALUE"""),"128")</f>
        <v>128</v>
      </c>
      <c r="C7191" s="5" t="str">
        <f>IFERROR(__xludf.DUMMYFUNCTION("""COMPUTED_VALUE"""),"https://drive.google.com/file/d/1VbTvMkR4ZIV6KItp31U2d-pcjsiopI1i/view?usp=drivesdk")</f>
        <v>https://drive.google.com/file/d/1VbTvMkR4ZIV6KItp31U2d-pcjsiopI1i/view?usp=drivesdk</v>
      </c>
      <c r="D7191" s="12"/>
      <c r="E7191" s="11">
        <v>7239.0</v>
      </c>
      <c r="F7191" s="2"/>
    </row>
    <row r="7192" ht="1.5" customHeight="1">
      <c r="A7192" s="4" t="str">
        <f>IFERROR(__xludf.DUMMYFUNCTION("""COMPUTED_VALUE"""),"124. Yumi")</f>
        <v>124. Yumi</v>
      </c>
      <c r="B7192" s="4" t="str">
        <f>IFERROR(__xludf.DUMMYFUNCTION("""COMPUTED_VALUE"""),"124")</f>
        <v>124</v>
      </c>
      <c r="C7192" s="5" t="str">
        <f>IFERROR(__xludf.DUMMYFUNCTION("""COMPUTED_VALUE"""),"https://drive.google.com/file/d/1CbusbmcoP7A8s-Gglv3kUFjb7cwc_JSC/view?usp=drivesdk")</f>
        <v>https://drive.google.com/file/d/1CbusbmcoP7A8s-Gglv3kUFjb7cwc_JSC/view?usp=drivesdk</v>
      </c>
      <c r="D7192" s="12"/>
      <c r="E7192" s="11">
        <v>7240.0</v>
      </c>
      <c r="F7192" s="2"/>
    </row>
    <row r="7193" ht="1.5" customHeight="1">
      <c r="A7193" s="4" t="str">
        <f>IFERROR(__xludf.DUMMYFUNCTION("""COMPUTED_VALUE"""),"124. Yumi")</f>
        <v>124. Yumi</v>
      </c>
      <c r="B7193" s="4" t="str">
        <f>IFERROR(__xludf.DUMMYFUNCTION("""COMPUTED_VALUE"""),"124")</f>
        <v>124</v>
      </c>
      <c r="C7193" s="5" t="str">
        <f>IFERROR(__xludf.DUMMYFUNCTION("""COMPUTED_VALUE"""),"https://drive.google.com/file/d/1_L6CBTDPpKks99XLy_TAc5-VRb285LQq/view?usp=drivesdk")</f>
        <v>https://drive.google.com/file/d/1_L6CBTDPpKks99XLy_TAc5-VRb285LQq/view?usp=drivesdk</v>
      </c>
      <c r="D7193" s="12"/>
      <c r="E7193" s="11">
        <v>7241.0</v>
      </c>
      <c r="F7193" s="2"/>
    </row>
    <row r="7194" ht="1.5" customHeight="1">
      <c r="A7194" s="4" t="str">
        <f>IFERROR(__xludf.DUMMYFUNCTION("""COMPUTED_VALUE"""),"99. Nezhui")</f>
        <v>99. Nezhui</v>
      </c>
      <c r="B7194" s="4" t="str">
        <f>IFERROR(__xludf.DUMMYFUNCTION("""COMPUTED_VALUE"""),"99")</f>
        <v>99</v>
      </c>
      <c r="C7194" s="5" t="str">
        <f>IFERROR(__xludf.DUMMYFUNCTION("""COMPUTED_VALUE"""),"https://drive.google.com/file/d/1cS_q6X7rmL3jUjbHUFuSoJCqE-8dWn9e/view?usp=drivesdk")</f>
        <v>https://drive.google.com/file/d/1cS_q6X7rmL3jUjbHUFuSoJCqE-8dWn9e/view?usp=drivesdk</v>
      </c>
      <c r="D7194" s="12"/>
      <c r="E7194" s="11">
        <v>7242.0</v>
      </c>
      <c r="F7194" s="2"/>
    </row>
    <row r="7195" ht="1.5" customHeight="1">
      <c r="A7195" s="4" t="str">
        <f>IFERROR(__xludf.DUMMYFUNCTION("""COMPUTED_VALUE"""),"106. Ami")</f>
        <v>106. Ami</v>
      </c>
      <c r="B7195" s="4" t="str">
        <f>IFERROR(__xludf.DUMMYFUNCTION("""COMPUTED_VALUE"""),"106")</f>
        <v>106</v>
      </c>
      <c r="C7195" s="5" t="str">
        <f>IFERROR(__xludf.DUMMYFUNCTION("""COMPUTED_VALUE"""),"https://drive.google.com/file/d/1WJHv31L87zv0PUkwlXOFDqtAS5pngZyO/view?usp=drivesdk")</f>
        <v>https://drive.google.com/file/d/1WJHv31L87zv0PUkwlXOFDqtAS5pngZyO/view?usp=drivesdk</v>
      </c>
      <c r="D7195" s="12"/>
      <c r="E7195" s="11">
        <v>7243.0</v>
      </c>
      <c r="F7195" s="2"/>
    </row>
    <row r="7196" ht="1.5" customHeight="1">
      <c r="A7196" s="4" t="str">
        <f>IFERROR(__xludf.DUMMYFUNCTION("""COMPUTED_VALUE"""),"99. Nezhui")</f>
        <v>99. Nezhui</v>
      </c>
      <c r="B7196" s="4" t="str">
        <f>IFERROR(__xludf.DUMMYFUNCTION("""COMPUTED_VALUE"""),"99")</f>
        <v>99</v>
      </c>
      <c r="C7196" s="5" t="str">
        <f>IFERROR(__xludf.DUMMYFUNCTION("""COMPUTED_VALUE"""),"https://drive.google.com/file/d/1zOwL_gs2YlVSN51jBG6WZ4muUQ5d6fdj/view?usp=drivesdk")</f>
        <v>https://drive.google.com/file/d/1zOwL_gs2YlVSN51jBG6WZ4muUQ5d6fdj/view?usp=drivesdk</v>
      </c>
      <c r="D7196" s="12"/>
      <c r="E7196" s="11">
        <v>7244.0</v>
      </c>
      <c r="F7196" s="2"/>
    </row>
    <row r="7197" ht="1.5" customHeight="1">
      <c r="A7197" s="4" t="str">
        <f>IFERROR(__xludf.DUMMYFUNCTION("""COMPUTED_VALUE"""),"80. Atzi, 123. Temiquini, 116. Itzel")</f>
        <v>80. Atzi, 123. Temiquini, 116. Itzel</v>
      </c>
      <c r="B7197" s="4" t="str">
        <f>IFERROR(__xludf.DUMMYFUNCTION("""COMPUTED_VALUE"""),"80, 123, 116")</f>
        <v>80, 123, 116</v>
      </c>
      <c r="C7197" s="5" t="str">
        <f>IFERROR(__xludf.DUMMYFUNCTION("""COMPUTED_VALUE"""),"https://drive.google.com/file/d/1DYUNHVzlEpfT4GLT7hyb0cf_n3xj1c4N/view?usp=drivesdk")</f>
        <v>https://drive.google.com/file/d/1DYUNHVzlEpfT4GLT7hyb0cf_n3xj1c4N/view?usp=drivesdk</v>
      </c>
      <c r="D7197" s="12"/>
      <c r="E7197" s="11">
        <v>7245.0</v>
      </c>
      <c r="F7197" s="2"/>
    </row>
    <row r="7198" ht="1.5" customHeight="1">
      <c r="A7198" s="4" t="str">
        <f>IFERROR(__xludf.DUMMYFUNCTION("""COMPUTED_VALUE"""),"116. Itzel")</f>
        <v>116. Itzel</v>
      </c>
      <c r="B7198" s="4" t="str">
        <f>IFERROR(__xludf.DUMMYFUNCTION("""COMPUTED_VALUE"""),"116")</f>
        <v>116</v>
      </c>
      <c r="C7198" s="5" t="str">
        <f>IFERROR(__xludf.DUMMYFUNCTION("""COMPUTED_VALUE"""),"https://drive.google.com/file/d/1yVqNDqIknQvt0Ho5WAURALh-4qlFU0zm/view?usp=drivesdk")</f>
        <v>https://drive.google.com/file/d/1yVqNDqIknQvt0Ho5WAURALh-4qlFU0zm/view?usp=drivesdk</v>
      </c>
      <c r="D7198" s="12"/>
      <c r="E7198" s="11">
        <v>7246.0</v>
      </c>
      <c r="F7198" s="2"/>
    </row>
    <row r="7199" ht="1.5" customHeight="1">
      <c r="A7199" s="4" t="str">
        <f>IFERROR(__xludf.DUMMYFUNCTION("""COMPUTED_VALUE"""),"123. Temiquini")</f>
        <v>123. Temiquini</v>
      </c>
      <c r="B7199" s="4" t="str">
        <f>IFERROR(__xludf.DUMMYFUNCTION("""COMPUTED_VALUE"""),"123")</f>
        <v>123</v>
      </c>
      <c r="C7199" s="5" t="str">
        <f>IFERROR(__xludf.DUMMYFUNCTION("""COMPUTED_VALUE"""),"https://drive.google.com/file/d/1MvHRqJXzUXuQYq_QahItYvjzPCZpNpHH/view?usp=drivesdk")</f>
        <v>https://drive.google.com/file/d/1MvHRqJXzUXuQYq_QahItYvjzPCZpNpHH/view?usp=drivesdk</v>
      </c>
      <c r="D7199" s="12"/>
      <c r="E7199" s="11">
        <v>7247.0</v>
      </c>
      <c r="F7199" s="2"/>
    </row>
    <row r="7200" ht="1.5" customHeight="1">
      <c r="A7200" s="4" t="str">
        <f>IFERROR(__xludf.DUMMYFUNCTION("""COMPUTED_VALUE"""),"58. Eden")</f>
        <v>58. Eden</v>
      </c>
      <c r="B7200" s="4" t="str">
        <f>IFERROR(__xludf.DUMMYFUNCTION("""COMPUTED_VALUE"""),"58")</f>
        <v>58</v>
      </c>
      <c r="C7200" s="5" t="str">
        <f>IFERROR(__xludf.DUMMYFUNCTION("""COMPUTED_VALUE"""),"https://drive.google.com/file/d/1QS0z-Xm0MeBOq6I2LAXWgAJk7Wvir_MJ/view?usp=drivesdk")</f>
        <v>https://drive.google.com/file/d/1QS0z-Xm0MeBOq6I2LAXWgAJk7Wvir_MJ/view?usp=drivesdk</v>
      </c>
      <c r="D7200" s="12"/>
      <c r="E7200" s="11">
        <v>7248.0</v>
      </c>
      <c r="F7200" s="2"/>
    </row>
    <row r="7201" ht="1.5" customHeight="1">
      <c r="A7201" s="4" t="str">
        <f>IFERROR(__xludf.DUMMYFUNCTION("""COMPUTED_VALUE"""),"58. Eden")</f>
        <v>58. Eden</v>
      </c>
      <c r="B7201" s="4" t="str">
        <f>IFERROR(__xludf.DUMMYFUNCTION("""COMPUTED_VALUE"""),"58")</f>
        <v>58</v>
      </c>
      <c r="C7201" s="5" t="str">
        <f>IFERROR(__xludf.DUMMYFUNCTION("""COMPUTED_VALUE"""),"https://drive.google.com/file/d/1UTK2_oU6LlgTuWwO32lI_y8z1AAHpVeA/view?usp=drivesdk")</f>
        <v>https://drive.google.com/file/d/1UTK2_oU6LlgTuWwO32lI_y8z1AAHpVeA/view?usp=drivesdk</v>
      </c>
      <c r="D7201" s="12"/>
      <c r="E7201" s="11">
        <v>7249.0</v>
      </c>
      <c r="F7201" s="2"/>
    </row>
    <row r="7202" ht="1.5" customHeight="1">
      <c r="A7202" s="4" t="str">
        <f>IFERROR(__xludf.DUMMYFUNCTION("""COMPUTED_VALUE"""),"58. Eden")</f>
        <v>58. Eden</v>
      </c>
      <c r="B7202" s="4" t="str">
        <f>IFERROR(__xludf.DUMMYFUNCTION("""COMPUTED_VALUE"""),"58")</f>
        <v>58</v>
      </c>
      <c r="C7202" s="5" t="str">
        <f>IFERROR(__xludf.DUMMYFUNCTION("""COMPUTED_VALUE"""),"https://drive.google.com/file/d/1kazErsVIFl8QOWdAvVJA6hXTPofLbXsg/view?usp=drivesdk")</f>
        <v>https://drive.google.com/file/d/1kazErsVIFl8QOWdAvVJA6hXTPofLbXsg/view?usp=drivesdk</v>
      </c>
      <c r="D7202" s="12"/>
      <c r="E7202" s="11">
        <v>7250.0</v>
      </c>
      <c r="F7202" s="2"/>
    </row>
    <row r="7203" ht="1.5" customHeight="1">
      <c r="A7203" s="4" t="str">
        <f>IFERROR(__xludf.DUMMYFUNCTION("""COMPUTED_VALUE"""),"58. Eden")</f>
        <v>58. Eden</v>
      </c>
      <c r="B7203" s="4" t="str">
        <f>IFERROR(__xludf.DUMMYFUNCTION("""COMPUTED_VALUE"""),"58")</f>
        <v>58</v>
      </c>
      <c r="C7203" s="5" t="str">
        <f>IFERROR(__xludf.DUMMYFUNCTION("""COMPUTED_VALUE"""),"https://drive.google.com/file/d/13gtA4GgmcGMueEeTbNCmD3hxKKsg2KfU/view?usp=drivesdk")</f>
        <v>https://drive.google.com/file/d/13gtA4GgmcGMueEeTbNCmD3hxKKsg2KfU/view?usp=drivesdk</v>
      </c>
      <c r="D7203" s="12"/>
      <c r="E7203" s="11">
        <v>7251.0</v>
      </c>
      <c r="F7203" s="2"/>
    </row>
    <row r="7204" ht="1.5" customHeight="1">
      <c r="A7204" s="4" t="str">
        <f>IFERROR(__xludf.DUMMYFUNCTION("""COMPUTED_VALUE"""),"58. Eden")</f>
        <v>58. Eden</v>
      </c>
      <c r="B7204" s="4" t="str">
        <f>IFERROR(__xludf.DUMMYFUNCTION("""COMPUTED_VALUE"""),"58")</f>
        <v>58</v>
      </c>
      <c r="C7204" s="5" t="str">
        <f>IFERROR(__xludf.DUMMYFUNCTION("""COMPUTED_VALUE"""),"https://drive.google.com/file/d/1lOtA-3tJZW_4QPyr9ITkGJ_jcX-v5Cxb/view?usp=drivesdk")</f>
        <v>https://drive.google.com/file/d/1lOtA-3tJZW_4QPyr9ITkGJ_jcX-v5Cxb/view?usp=drivesdk</v>
      </c>
      <c r="D7204" s="12"/>
      <c r="E7204" s="11">
        <v>7252.0</v>
      </c>
      <c r="F7204" s="2"/>
    </row>
    <row r="7205" ht="1.5" customHeight="1">
      <c r="A7205" s="4" t="str">
        <f>IFERROR(__xludf.DUMMYFUNCTION("""COMPUTED_VALUE"""),"58. Eden")</f>
        <v>58. Eden</v>
      </c>
      <c r="B7205" s="4" t="str">
        <f>IFERROR(__xludf.DUMMYFUNCTION("""COMPUTED_VALUE"""),"58")</f>
        <v>58</v>
      </c>
      <c r="C7205" s="5" t="str">
        <f>IFERROR(__xludf.DUMMYFUNCTION("""COMPUTED_VALUE"""),"https://drive.google.com/file/d/1VbvCB8V-vMsny4iKwsH6G5JzqjbkPaHL/view?usp=drivesdk")</f>
        <v>https://drive.google.com/file/d/1VbvCB8V-vMsny4iKwsH6G5JzqjbkPaHL/view?usp=drivesdk</v>
      </c>
      <c r="D7205" s="12"/>
      <c r="E7205" s="11">
        <v>7253.0</v>
      </c>
      <c r="F7205" s="2"/>
    </row>
    <row r="7206" ht="1.5" customHeight="1">
      <c r="A7206" s="4" t="str">
        <f>IFERROR(__xludf.DUMMYFUNCTION("""COMPUTED_VALUE"""),"45. Boots")</f>
        <v>45. Boots</v>
      </c>
      <c r="B7206" s="4" t="str">
        <f>IFERROR(__xludf.DUMMYFUNCTION("""COMPUTED_VALUE"""),"45")</f>
        <v>45</v>
      </c>
      <c r="C7206" s="5" t="str">
        <f>IFERROR(__xludf.DUMMYFUNCTION("""COMPUTED_VALUE"""),"https://drive.google.com/file/d/1yk2jfw8r2ucdxZdPaoPXTfJOgcgqbGB1/view?usp=drivesdk")</f>
        <v>https://drive.google.com/file/d/1yk2jfw8r2ucdxZdPaoPXTfJOgcgqbGB1/view?usp=drivesdk</v>
      </c>
      <c r="D7206" s="12"/>
      <c r="E7206" s="11">
        <v>7254.0</v>
      </c>
      <c r="F7206" s="2"/>
    </row>
    <row r="7207" ht="1.5" customHeight="1">
      <c r="A7207" s="4" t="str">
        <f>IFERROR(__xludf.DUMMYFUNCTION("""COMPUTED_VALUE"""),"45. Boots")</f>
        <v>45. Boots</v>
      </c>
      <c r="B7207" s="4" t="str">
        <f>IFERROR(__xludf.DUMMYFUNCTION("""COMPUTED_VALUE"""),"45")</f>
        <v>45</v>
      </c>
      <c r="C7207" s="5" t="str">
        <f>IFERROR(__xludf.DUMMYFUNCTION("""COMPUTED_VALUE"""),"https://drive.google.com/file/d/19ZyrwaIf15Q7YgxnhuZIv5pPSzlMSsai/view?usp=drivesdk")</f>
        <v>https://drive.google.com/file/d/19ZyrwaIf15Q7YgxnhuZIv5pPSzlMSsai/view?usp=drivesdk</v>
      </c>
      <c r="D7207" s="12"/>
      <c r="E7207" s="11">
        <v>7255.0</v>
      </c>
      <c r="F7207" s="2"/>
    </row>
    <row r="7208" ht="1.5" customHeight="1">
      <c r="A7208" s="4" t="str">
        <f>IFERROR(__xludf.DUMMYFUNCTION("""COMPUTED_VALUE"""),"45. Boots")</f>
        <v>45. Boots</v>
      </c>
      <c r="B7208" s="4" t="str">
        <f>IFERROR(__xludf.DUMMYFUNCTION("""COMPUTED_VALUE"""),"45")</f>
        <v>45</v>
      </c>
      <c r="C7208" s="5" t="str">
        <f>IFERROR(__xludf.DUMMYFUNCTION("""COMPUTED_VALUE"""),"https://drive.google.com/file/d/12kV_OWP87fNluIZzYZxMVrkRG9iAA-3f/view?usp=drivesdk")</f>
        <v>https://drive.google.com/file/d/12kV_OWP87fNluIZzYZxMVrkRG9iAA-3f/view?usp=drivesdk</v>
      </c>
      <c r="D7208" s="12"/>
      <c r="E7208" s="11">
        <v>7256.0</v>
      </c>
      <c r="F7208" s="2"/>
    </row>
    <row r="7209" ht="1.5" customHeight="1">
      <c r="A7209" s="4" t="str">
        <f>IFERROR(__xludf.DUMMYFUNCTION("""COMPUTED_VALUE"""),"45. Boots")</f>
        <v>45. Boots</v>
      </c>
      <c r="B7209" s="4" t="str">
        <f>IFERROR(__xludf.DUMMYFUNCTION("""COMPUTED_VALUE"""),"45")</f>
        <v>45</v>
      </c>
      <c r="C7209" s="5" t="str">
        <f>IFERROR(__xludf.DUMMYFUNCTION("""COMPUTED_VALUE"""),"https://drive.google.com/file/d/1dG-Pk2LOH56jQXWYxmyKVf6guPG-OiDI/view?usp=drivesdk")</f>
        <v>https://drive.google.com/file/d/1dG-Pk2LOH56jQXWYxmyKVf6guPG-OiDI/view?usp=drivesdk</v>
      </c>
      <c r="D7209" s="12"/>
      <c r="E7209" s="11">
        <v>7257.0</v>
      </c>
      <c r="F7209" s="2"/>
    </row>
    <row r="7210" ht="1.5" customHeight="1">
      <c r="A7210" s="4" t="str">
        <f>IFERROR(__xludf.DUMMYFUNCTION("""COMPUTED_VALUE"""),"45. Boots")</f>
        <v>45. Boots</v>
      </c>
      <c r="B7210" s="4" t="str">
        <f>IFERROR(__xludf.DUMMYFUNCTION("""COMPUTED_VALUE"""),"45")</f>
        <v>45</v>
      </c>
      <c r="C7210" s="5" t="str">
        <f>IFERROR(__xludf.DUMMYFUNCTION("""COMPUTED_VALUE"""),"https://drive.google.com/file/d/1nQPjahBtZIgxdCj2Ln48WYA2Rkv4To4v/view?usp=drivesdk")</f>
        <v>https://drive.google.com/file/d/1nQPjahBtZIgxdCj2Ln48WYA2Rkv4To4v/view?usp=drivesdk</v>
      </c>
      <c r="D7210" s="12"/>
      <c r="E7210" s="11">
        <v>7258.0</v>
      </c>
      <c r="F7210" s="2"/>
    </row>
    <row r="7211" ht="1.5" customHeight="1">
      <c r="A7211" s="4" t="str">
        <f>IFERROR(__xludf.DUMMYFUNCTION("""COMPUTED_VALUE"""),"45. Boots")</f>
        <v>45. Boots</v>
      </c>
      <c r="B7211" s="4" t="str">
        <f>IFERROR(__xludf.DUMMYFUNCTION("""COMPUTED_VALUE"""),"45")</f>
        <v>45</v>
      </c>
      <c r="C7211" s="5" t="str">
        <f>IFERROR(__xludf.DUMMYFUNCTION("""COMPUTED_VALUE"""),"https://drive.google.com/file/d/1FuA4obAnSMhYNnpVwvf-Ju8RGKHM3We9/view?usp=drivesdk")</f>
        <v>https://drive.google.com/file/d/1FuA4obAnSMhYNnpVwvf-Ju8RGKHM3We9/view?usp=drivesdk</v>
      </c>
      <c r="D7211" s="12"/>
      <c r="E7211" s="11">
        <v>7259.0</v>
      </c>
      <c r="F7211" s="2"/>
    </row>
    <row r="7212" ht="1.5" customHeight="1">
      <c r="A7212" s="4" t="str">
        <f>IFERROR(__xludf.DUMMYFUNCTION("""COMPUTED_VALUE"""),"45. Boots")</f>
        <v>45. Boots</v>
      </c>
      <c r="B7212" s="4" t="str">
        <f>IFERROR(__xludf.DUMMYFUNCTION("""COMPUTED_VALUE"""),"45")</f>
        <v>45</v>
      </c>
      <c r="C7212" s="5" t="str">
        <f>IFERROR(__xludf.DUMMYFUNCTION("""COMPUTED_VALUE"""),"https://drive.google.com/file/d/1W2M_0VqJmNLLOth9KiosjbhykwoFIG5d/view?usp=drivesdk")</f>
        <v>https://drive.google.com/file/d/1W2M_0VqJmNLLOth9KiosjbhykwoFIG5d/view?usp=drivesdk</v>
      </c>
      <c r="D7212" s="12"/>
      <c r="E7212" s="11">
        <v>7260.0</v>
      </c>
      <c r="F7212" s="2"/>
    </row>
    <row r="7213" ht="1.5" customHeight="1">
      <c r="A7213" s="4" t="str">
        <f>IFERROR(__xludf.DUMMYFUNCTION("""COMPUTED_VALUE"""),"95. Ariel")</f>
        <v>95. Ariel</v>
      </c>
      <c r="B7213" s="4" t="str">
        <f>IFERROR(__xludf.DUMMYFUNCTION("""COMPUTED_VALUE"""),"95")</f>
        <v>95</v>
      </c>
      <c r="C7213" s="5" t="str">
        <f>IFERROR(__xludf.DUMMYFUNCTION("""COMPUTED_VALUE"""),"https://drive.google.com/file/d/1IylOrmoMn8GyaJsLa4SyS-6OCh-hszBe/view?usp=drivesdk")</f>
        <v>https://drive.google.com/file/d/1IylOrmoMn8GyaJsLa4SyS-6OCh-hszBe/view?usp=drivesdk</v>
      </c>
      <c r="D7213" s="12"/>
      <c r="E7213" s="11">
        <v>7261.0</v>
      </c>
      <c r="F7213" s="2"/>
    </row>
    <row r="7214" ht="1.5" customHeight="1">
      <c r="A7214" s="4" t="str">
        <f>IFERROR(__xludf.DUMMYFUNCTION("""COMPUTED_VALUE"""),"95. Ariel")</f>
        <v>95. Ariel</v>
      </c>
      <c r="B7214" s="4" t="str">
        <f>IFERROR(__xludf.DUMMYFUNCTION("""COMPUTED_VALUE"""),"95")</f>
        <v>95</v>
      </c>
      <c r="C7214" s="5" t="str">
        <f>IFERROR(__xludf.DUMMYFUNCTION("""COMPUTED_VALUE"""),"https://drive.google.com/file/d/1TyaqzDmq_PdmPpsE5iJPAvXf0DXC5NFN/view?usp=drivesdk")</f>
        <v>https://drive.google.com/file/d/1TyaqzDmq_PdmPpsE5iJPAvXf0DXC5NFN/view?usp=drivesdk</v>
      </c>
      <c r="D7214" s="12"/>
      <c r="E7214" s="11">
        <v>7262.0</v>
      </c>
      <c r="F7214" s="2"/>
    </row>
    <row r="7215" ht="1.5" customHeight="1">
      <c r="A7215" s="4" t="str">
        <f>IFERROR(__xludf.DUMMYFUNCTION("""COMPUTED_VALUE"""),"95. Ariel")</f>
        <v>95. Ariel</v>
      </c>
      <c r="B7215" s="4" t="str">
        <f>IFERROR(__xludf.DUMMYFUNCTION("""COMPUTED_VALUE"""),"95")</f>
        <v>95</v>
      </c>
      <c r="C7215" s="5" t="str">
        <f>IFERROR(__xludf.DUMMYFUNCTION("""COMPUTED_VALUE"""),"https://drive.google.com/file/d/1oz2narIqZYeePT17YXQaGpAiD6gr4JYd/view?usp=drivesdk")</f>
        <v>https://drive.google.com/file/d/1oz2narIqZYeePT17YXQaGpAiD6gr4JYd/view?usp=drivesdk</v>
      </c>
      <c r="D7215" s="12"/>
      <c r="E7215" s="11">
        <v>7263.0</v>
      </c>
      <c r="F7215" s="2"/>
    </row>
    <row r="7216" ht="1.5" customHeight="1">
      <c r="A7216" s="4" t="str">
        <f>IFERROR(__xludf.DUMMYFUNCTION("""COMPUTED_VALUE"""),"44. Shitbag Cuntface")</f>
        <v>44. Shitbag Cuntface</v>
      </c>
      <c r="B7216" s="4" t="str">
        <f>IFERROR(__xludf.DUMMYFUNCTION("""COMPUTED_VALUE"""),"44")</f>
        <v>44</v>
      </c>
      <c r="C7216" s="5" t="str">
        <f>IFERROR(__xludf.DUMMYFUNCTION("""COMPUTED_VALUE"""),"https://drive.google.com/file/d/1GJgqWr7dldlAkzpJ9TdJeaKkIQBJS-Qt/view?usp=drivesdk")</f>
        <v>https://drive.google.com/file/d/1GJgqWr7dldlAkzpJ9TdJeaKkIQBJS-Qt/view?usp=drivesdk</v>
      </c>
      <c r="D7216" s="12"/>
      <c r="E7216" s="11">
        <v>7264.0</v>
      </c>
      <c r="F7216" s="2"/>
    </row>
    <row r="7217" ht="1.5" customHeight="1">
      <c r="A7217" s="4" t="str">
        <f>IFERROR(__xludf.DUMMYFUNCTION("""COMPUTED_VALUE"""),"44. Shitbag Cuntface")</f>
        <v>44. Shitbag Cuntface</v>
      </c>
      <c r="B7217" s="4" t="str">
        <f>IFERROR(__xludf.DUMMYFUNCTION("""COMPUTED_VALUE"""),"44")</f>
        <v>44</v>
      </c>
      <c r="C7217" s="5" t="str">
        <f>IFERROR(__xludf.DUMMYFUNCTION("""COMPUTED_VALUE"""),"https://drive.google.com/file/d/1EZ2iXAx5f_WDd6RcdmySq-PCwyUF9O9r/view?usp=drivesdk")</f>
        <v>https://drive.google.com/file/d/1EZ2iXAx5f_WDd6RcdmySq-PCwyUF9O9r/view?usp=drivesdk</v>
      </c>
      <c r="D7217" s="12"/>
      <c r="E7217" s="11">
        <v>7265.0</v>
      </c>
      <c r="F7217" s="2"/>
    </row>
    <row r="7218" ht="1.5" customHeight="1">
      <c r="A7218" s="4" t="str">
        <f>IFERROR(__xludf.DUMMYFUNCTION("""COMPUTED_VALUE"""),"44. Shitbag Cuntface, 39. Radar")</f>
        <v>44. Shitbag Cuntface, 39. Radar</v>
      </c>
      <c r="B7218" s="4" t="str">
        <f>IFERROR(__xludf.DUMMYFUNCTION("""COMPUTED_VALUE"""),"44, 39")</f>
        <v>44, 39</v>
      </c>
      <c r="C7218" s="5" t="str">
        <f>IFERROR(__xludf.DUMMYFUNCTION("""COMPUTED_VALUE"""),"https://drive.google.com/file/d/1MGRwqZeGIvY7IkoD0IbXjr_FC6kII-at/view?usp=drivesdk")</f>
        <v>https://drive.google.com/file/d/1MGRwqZeGIvY7IkoD0IbXjr_FC6kII-at/view?usp=drivesdk</v>
      </c>
      <c r="D7218" s="12"/>
      <c r="E7218" s="11">
        <v>7266.0</v>
      </c>
      <c r="F7218" s="2"/>
    </row>
    <row r="7219" ht="1.5" customHeight="1">
      <c r="A7219" s="4" t="str">
        <f>IFERROR(__xludf.DUMMYFUNCTION("""COMPUTED_VALUE"""),"47. Nefarious")</f>
        <v>47. Nefarious</v>
      </c>
      <c r="B7219" s="4" t="str">
        <f>IFERROR(__xludf.DUMMYFUNCTION("""COMPUTED_VALUE"""),"47")</f>
        <v>47</v>
      </c>
      <c r="C7219" s="5" t="str">
        <f>IFERROR(__xludf.DUMMYFUNCTION("""COMPUTED_VALUE"""),"https://drive.google.com/file/d/1oAu3pVTX6ZqPhsraJbrz3obvTahVP9UT/view?usp=drivesdk")</f>
        <v>https://drive.google.com/file/d/1oAu3pVTX6ZqPhsraJbrz3obvTahVP9UT/view?usp=drivesdk</v>
      </c>
      <c r="D7219" s="12"/>
      <c r="E7219" s="11">
        <v>7267.0</v>
      </c>
      <c r="F7219" s="2"/>
    </row>
    <row r="7220" ht="1.5" customHeight="1">
      <c r="A7220" s="4" t="str">
        <f>IFERROR(__xludf.DUMMYFUNCTION("""COMPUTED_VALUE"""),"106. Ami")</f>
        <v>106. Ami</v>
      </c>
      <c r="B7220" s="4" t="str">
        <f>IFERROR(__xludf.DUMMYFUNCTION("""COMPUTED_VALUE"""),"106")</f>
        <v>106</v>
      </c>
      <c r="C7220" s="5" t="str">
        <f>IFERROR(__xludf.DUMMYFUNCTION("""COMPUTED_VALUE"""),"https://drive.google.com/file/d/1t-znni7qN4GgwhnpWqSvWLlh8kQ5iMAC/view?usp=drivesdk")</f>
        <v>https://drive.google.com/file/d/1t-znni7qN4GgwhnpWqSvWLlh8kQ5iMAC/view?usp=drivesdk</v>
      </c>
      <c r="D7220" s="12"/>
      <c r="E7220" s="11">
        <v>7268.0</v>
      </c>
      <c r="F7220" s="2"/>
    </row>
    <row r="7221" ht="1.5" customHeight="1">
      <c r="A7221" s="4" t="str">
        <f>IFERROR(__xludf.DUMMYFUNCTION("""COMPUTED_VALUE"""),"106. Ami")</f>
        <v>106. Ami</v>
      </c>
      <c r="B7221" s="4" t="str">
        <f>IFERROR(__xludf.DUMMYFUNCTION("""COMPUTED_VALUE"""),"106")</f>
        <v>106</v>
      </c>
      <c r="C7221" s="5" t="str">
        <f>IFERROR(__xludf.DUMMYFUNCTION("""COMPUTED_VALUE"""),"https://drive.google.com/file/d/1WHqj9uaz9GL-6OciUzxgHgTIinCegODh/view?usp=drivesdk")</f>
        <v>https://drive.google.com/file/d/1WHqj9uaz9GL-6OciUzxgHgTIinCegODh/view?usp=drivesdk</v>
      </c>
      <c r="D7221" s="12"/>
      <c r="E7221" s="11">
        <v>7269.0</v>
      </c>
      <c r="F7221" s="2"/>
    </row>
    <row r="7222" ht="1.5" customHeight="1">
      <c r="A7222" s="4" t="str">
        <f>IFERROR(__xludf.DUMMYFUNCTION("""COMPUTED_VALUE"""),"106. Ami")</f>
        <v>106. Ami</v>
      </c>
      <c r="B7222" s="4" t="str">
        <f>IFERROR(__xludf.DUMMYFUNCTION("""COMPUTED_VALUE"""),"106")</f>
        <v>106</v>
      </c>
      <c r="C7222" s="5" t="str">
        <f>IFERROR(__xludf.DUMMYFUNCTION("""COMPUTED_VALUE"""),"https://drive.google.com/file/d/1vdDlaOdmVv4JzXKAL4exgVj3j14z34ca/view?usp=drivesdk")</f>
        <v>https://drive.google.com/file/d/1vdDlaOdmVv4JzXKAL4exgVj3j14z34ca/view?usp=drivesdk</v>
      </c>
      <c r="D7222" s="12"/>
      <c r="E7222" s="11">
        <v>7270.0</v>
      </c>
      <c r="F7222" s="2"/>
    </row>
    <row r="7223" ht="1.5" customHeight="1">
      <c r="A7223" s="4" t="str">
        <f>IFERROR(__xludf.DUMMYFUNCTION("""COMPUTED_VALUE"""),"106. Ami")</f>
        <v>106. Ami</v>
      </c>
      <c r="B7223" s="4" t="str">
        <f>IFERROR(__xludf.DUMMYFUNCTION("""COMPUTED_VALUE"""),"106")</f>
        <v>106</v>
      </c>
      <c r="C7223" s="5" t="str">
        <f>IFERROR(__xludf.DUMMYFUNCTION("""COMPUTED_VALUE"""),"https://drive.google.com/file/d/1EuCXOXv3fWmIJAP0V978H1s4iNt2IftF/view?usp=drivesdk")</f>
        <v>https://drive.google.com/file/d/1EuCXOXv3fWmIJAP0V978H1s4iNt2IftF/view?usp=drivesdk</v>
      </c>
      <c r="D7223" s="12"/>
      <c r="E7223" s="11">
        <v>7271.0</v>
      </c>
      <c r="F7223" s="2"/>
    </row>
    <row r="7224" ht="1.5" customHeight="1">
      <c r="A7224" s="4" t="str">
        <f>IFERROR(__xludf.DUMMYFUNCTION("""COMPUTED_VALUE"""),"106. Ami")</f>
        <v>106. Ami</v>
      </c>
      <c r="B7224" s="4" t="str">
        <f>IFERROR(__xludf.DUMMYFUNCTION("""COMPUTED_VALUE"""),"106")</f>
        <v>106</v>
      </c>
      <c r="C7224" s="5" t="str">
        <f>IFERROR(__xludf.DUMMYFUNCTION("""COMPUTED_VALUE"""),"https://drive.google.com/file/d/1XgLpDyGEzWdeAVBp_rNl4NZ5m9iz_zz2/view?usp=drivesdk")</f>
        <v>https://drive.google.com/file/d/1XgLpDyGEzWdeAVBp_rNl4NZ5m9iz_zz2/view?usp=drivesdk</v>
      </c>
      <c r="D7224" s="12"/>
      <c r="E7224" s="11">
        <v>7272.0</v>
      </c>
      <c r="F7224" s="2"/>
    </row>
    <row r="7225" ht="1.5" customHeight="1">
      <c r="A7225" s="4" t="str">
        <f>IFERROR(__xludf.DUMMYFUNCTION("""COMPUTED_VALUE"""),"106. Ami")</f>
        <v>106. Ami</v>
      </c>
      <c r="B7225" s="4" t="str">
        <f>IFERROR(__xludf.DUMMYFUNCTION("""COMPUTED_VALUE"""),"106")</f>
        <v>106</v>
      </c>
      <c r="C7225" s="5" t="str">
        <f>IFERROR(__xludf.DUMMYFUNCTION("""COMPUTED_VALUE"""),"https://drive.google.com/file/d/1p-2b_d5xrZvyem4f9udtz6kmqpaq1SSs/view?usp=drivesdk")</f>
        <v>https://drive.google.com/file/d/1p-2b_d5xrZvyem4f9udtz6kmqpaq1SSs/view?usp=drivesdk</v>
      </c>
      <c r="D7225" s="12"/>
      <c r="E7225" s="11">
        <v>7273.0</v>
      </c>
      <c r="F7225" s="2"/>
    </row>
    <row r="7226" ht="1.5" customHeight="1">
      <c r="A7226" s="4" t="str">
        <f>IFERROR(__xludf.DUMMYFUNCTION("""COMPUTED_VALUE"""),"111. Mayatl")</f>
        <v>111. Mayatl</v>
      </c>
      <c r="B7226" s="4" t="str">
        <f>IFERROR(__xludf.DUMMYFUNCTION("""COMPUTED_VALUE"""),"111")</f>
        <v>111</v>
      </c>
      <c r="C7226" s="5" t="str">
        <f>IFERROR(__xludf.DUMMYFUNCTION("""COMPUTED_VALUE"""),"https://drive.google.com/file/d/1TWUvRat1LtNIsjBg0StHgrD_UT_yrh9k/view?usp=drivesdk")</f>
        <v>https://drive.google.com/file/d/1TWUvRat1LtNIsjBg0StHgrD_UT_yrh9k/view?usp=drivesdk</v>
      </c>
      <c r="D7226" s="12"/>
      <c r="E7226" s="11">
        <v>7274.0</v>
      </c>
      <c r="F7226" s="2"/>
    </row>
    <row r="7227" ht="1.5" customHeight="1">
      <c r="A7227" s="4" t="str">
        <f>IFERROR(__xludf.DUMMYFUNCTION("""COMPUTED_VALUE"""),"111. Mayatl, 99. Nezhui, 106. Ami")</f>
        <v>111. Mayatl, 99. Nezhui, 106. Ami</v>
      </c>
      <c r="B7227" s="4" t="str">
        <f>IFERROR(__xludf.DUMMYFUNCTION("""COMPUTED_VALUE"""),"111, 99, 106")</f>
        <v>111, 99, 106</v>
      </c>
      <c r="C7227" s="5" t="str">
        <f>IFERROR(__xludf.DUMMYFUNCTION("""COMPUTED_VALUE"""),"https://drive.google.com/file/d/1dnESu37GQqkPv1G3YdUfV-PeIQ-_whX3/view?usp=drivesdk")</f>
        <v>https://drive.google.com/file/d/1dnESu37GQqkPv1G3YdUfV-PeIQ-_whX3/view?usp=drivesdk</v>
      </c>
      <c r="D7227" s="12"/>
      <c r="E7227" s="11">
        <v>7275.0</v>
      </c>
      <c r="F7227" s="2"/>
    </row>
    <row r="7228" ht="1.5" customHeight="1">
      <c r="A7228" s="4" t="str">
        <f>IFERROR(__xludf.DUMMYFUNCTION("""COMPUTED_VALUE"""),"111. Mayatl")</f>
        <v>111. Mayatl</v>
      </c>
      <c r="B7228" s="4" t="str">
        <f>IFERROR(__xludf.DUMMYFUNCTION("""COMPUTED_VALUE"""),"111")</f>
        <v>111</v>
      </c>
      <c r="C7228" s="5" t="str">
        <f>IFERROR(__xludf.DUMMYFUNCTION("""COMPUTED_VALUE"""),"https://drive.google.com/file/d/1dg9Jn3e5aHnMSDbtveBdKLxUXpcumPF3/view?usp=drivesdk")</f>
        <v>https://drive.google.com/file/d/1dg9Jn3e5aHnMSDbtveBdKLxUXpcumPF3/view?usp=drivesdk</v>
      </c>
      <c r="D7228" s="12"/>
      <c r="E7228" s="11">
        <v>7276.0</v>
      </c>
      <c r="F7228" s="2"/>
    </row>
    <row r="7229" ht="1.5" customHeight="1">
      <c r="A7229" s="4" t="str">
        <f>IFERROR(__xludf.DUMMYFUNCTION("""COMPUTED_VALUE"""),"111. Mayatl")</f>
        <v>111. Mayatl</v>
      </c>
      <c r="B7229" s="4" t="str">
        <f>IFERROR(__xludf.DUMMYFUNCTION("""COMPUTED_VALUE"""),"111")</f>
        <v>111</v>
      </c>
      <c r="C7229" s="5" t="str">
        <f>IFERROR(__xludf.DUMMYFUNCTION("""COMPUTED_VALUE"""),"https://drive.google.com/file/d/1T43VxSEDCeVLiaAm0qCJdihEKIH8XYQv/view?usp=drivesdk")</f>
        <v>https://drive.google.com/file/d/1T43VxSEDCeVLiaAm0qCJdihEKIH8XYQv/view?usp=drivesdk</v>
      </c>
      <c r="D7229" s="12"/>
      <c r="E7229" s="11">
        <v>7277.0</v>
      </c>
      <c r="F7229" s="2"/>
    </row>
    <row r="7230" ht="1.5" customHeight="1">
      <c r="A7230" s="4" t="str">
        <f>IFERROR(__xludf.DUMMYFUNCTION("""COMPUTED_VALUE"""),"105. Chilton")</f>
        <v>105. Chilton</v>
      </c>
      <c r="B7230" s="4" t="str">
        <f>IFERROR(__xludf.DUMMYFUNCTION("""COMPUTED_VALUE"""),"105")</f>
        <v>105</v>
      </c>
      <c r="C7230" s="5" t="str">
        <f>IFERROR(__xludf.DUMMYFUNCTION("""COMPUTED_VALUE"""),"https://drive.google.com/file/d/1NG8HJ4noNtBg_CLZrA8OlhWlJyhsyBQW/view?usp=drivesdk")</f>
        <v>https://drive.google.com/file/d/1NG8HJ4noNtBg_CLZrA8OlhWlJyhsyBQW/view?usp=drivesdk</v>
      </c>
      <c r="D7230" s="12"/>
      <c r="E7230" s="11">
        <v>7278.0</v>
      </c>
      <c r="F7230" s="2"/>
    </row>
    <row r="7231" ht="1.5" customHeight="1">
      <c r="A7231" s="4" t="str">
        <f>IFERROR(__xludf.DUMMYFUNCTION("""COMPUTED_VALUE"""),"127. Eleanor")</f>
        <v>127. Eleanor</v>
      </c>
      <c r="B7231" s="4" t="str">
        <f>IFERROR(__xludf.DUMMYFUNCTION("""COMPUTED_VALUE"""),"127")</f>
        <v>127</v>
      </c>
      <c r="C7231" s="5" t="str">
        <f>IFERROR(__xludf.DUMMYFUNCTION("""COMPUTED_VALUE"""),"https://drive.google.com/file/d/1GWfgDhDsp8TQgUvRFmMcKSCY5halCe6_/view?usp=drivesdk")</f>
        <v>https://drive.google.com/file/d/1GWfgDhDsp8TQgUvRFmMcKSCY5halCe6_/view?usp=drivesdk</v>
      </c>
      <c r="D7231" s="12"/>
      <c r="E7231" s="11">
        <v>7279.0</v>
      </c>
      <c r="F7231" s="2"/>
    </row>
    <row r="7232" ht="1.5" customHeight="1">
      <c r="A7232" s="4" t="str">
        <f>IFERROR(__xludf.DUMMYFUNCTION("""COMPUTED_VALUE"""),"1. Microwave")</f>
        <v>1. Microwave</v>
      </c>
      <c r="B7232" s="4" t="str">
        <f>IFERROR(__xludf.DUMMYFUNCTION("""COMPUTED_VALUE"""),"1")</f>
        <v>1</v>
      </c>
      <c r="C7232" s="5" t="str">
        <f>IFERROR(__xludf.DUMMYFUNCTION("""COMPUTED_VALUE"""),"https://drive.google.com/file/d/1fW84dkEoLnQpmbLcEcytv-2VVUTonbIO/view?usp=drivesdk")</f>
        <v>https://drive.google.com/file/d/1fW84dkEoLnQpmbLcEcytv-2VVUTonbIO/view?usp=drivesdk</v>
      </c>
      <c r="D7232" s="12"/>
      <c r="E7232" s="11">
        <v>7280.0</v>
      </c>
      <c r="F7232" s="2"/>
    </row>
    <row r="7233" ht="1.5" customHeight="1">
      <c r="A7233" s="4" t="str">
        <f>IFERROR(__xludf.DUMMYFUNCTION("""COMPUTED_VALUE"""),"1. Microwave")</f>
        <v>1. Microwave</v>
      </c>
      <c r="B7233" s="4" t="str">
        <f>IFERROR(__xludf.DUMMYFUNCTION("""COMPUTED_VALUE"""),"1")</f>
        <v>1</v>
      </c>
      <c r="C7233" s="5" t="str">
        <f>IFERROR(__xludf.DUMMYFUNCTION("""COMPUTED_VALUE"""),"https://drive.google.com/file/d/1b5n6603IfHn_nicnEva_IsHqP3Ug2-nu/view?usp=drivesdk")</f>
        <v>https://drive.google.com/file/d/1b5n6603IfHn_nicnEva_IsHqP3Ug2-nu/view?usp=drivesdk</v>
      </c>
      <c r="D7233" s="12"/>
      <c r="E7233" s="11">
        <v>7281.0</v>
      </c>
      <c r="F7233" s="2"/>
    </row>
    <row r="7234" ht="1.5" customHeight="1">
      <c r="A7234" s="4" t="str">
        <f>IFERROR(__xludf.DUMMYFUNCTION("""COMPUTED_VALUE"""),"1. Microwave")</f>
        <v>1. Microwave</v>
      </c>
      <c r="B7234" s="4" t="str">
        <f>IFERROR(__xludf.DUMMYFUNCTION("""COMPUTED_VALUE"""),"1")</f>
        <v>1</v>
      </c>
      <c r="C7234" s="5" t="str">
        <f>IFERROR(__xludf.DUMMYFUNCTION("""COMPUTED_VALUE"""),"https://drive.google.com/file/d/1SdFd670q67J1ohQlyL4zbbRJVvdMTcFq/view?usp=drivesdk")</f>
        <v>https://drive.google.com/file/d/1SdFd670q67J1ohQlyL4zbbRJVvdMTcFq/view?usp=drivesdk</v>
      </c>
      <c r="D7234" s="12"/>
      <c r="E7234" s="11">
        <v>7282.0</v>
      </c>
      <c r="F7234" s="2"/>
    </row>
    <row r="7235" ht="1.5" customHeight="1">
      <c r="A7235" s="4" t="str">
        <f>IFERROR(__xludf.DUMMYFUNCTION("""COMPUTED_VALUE"""),"126. Tax Evasion")</f>
        <v>126. Tax Evasion</v>
      </c>
      <c r="B7235" s="4" t="str">
        <f>IFERROR(__xludf.DUMMYFUNCTION("""COMPUTED_VALUE"""),"126")</f>
        <v>126</v>
      </c>
      <c r="C7235" s="5" t="str">
        <f>IFERROR(__xludf.DUMMYFUNCTION("""COMPUTED_VALUE"""),"https://drive.google.com/file/d/1UjDuJ-x6ttsPyjIhJuKx1XAxiVfJu4HV/view?usp=drivesdk")</f>
        <v>https://drive.google.com/file/d/1UjDuJ-x6ttsPyjIhJuKx1XAxiVfJu4HV/view?usp=drivesdk</v>
      </c>
      <c r="D7235" s="12"/>
      <c r="E7235" s="11">
        <v>7283.0</v>
      </c>
      <c r="F7235" s="2"/>
    </row>
    <row r="7236" ht="1.5" customHeight="1">
      <c r="A7236" s="4" t="str">
        <f>IFERROR(__xludf.DUMMYFUNCTION("""COMPUTED_VALUE"""),"1. Microwave")</f>
        <v>1. Microwave</v>
      </c>
      <c r="B7236" s="4" t="str">
        <f>IFERROR(__xludf.DUMMYFUNCTION("""COMPUTED_VALUE"""),"1")</f>
        <v>1</v>
      </c>
      <c r="C7236" s="5" t="str">
        <f>IFERROR(__xludf.DUMMYFUNCTION("""COMPUTED_VALUE"""),"https://drive.google.com/file/d/1uVUVaJbfMdwuakNnl-76KFw47VO2l0li/view?usp=drivesdk")</f>
        <v>https://drive.google.com/file/d/1uVUVaJbfMdwuakNnl-76KFw47VO2l0li/view?usp=drivesdk</v>
      </c>
      <c r="D7236" s="12"/>
      <c r="E7236" s="11">
        <v>7284.0</v>
      </c>
      <c r="F7236" s="2"/>
    </row>
    <row r="7237" ht="1.5" customHeight="1">
      <c r="A7237" s="4" t="str">
        <f>IFERROR(__xludf.DUMMYFUNCTION("""COMPUTED_VALUE"""),"126. Tax Evasion")</f>
        <v>126. Tax Evasion</v>
      </c>
      <c r="B7237" s="4" t="str">
        <f>IFERROR(__xludf.DUMMYFUNCTION("""COMPUTED_VALUE"""),"126")</f>
        <v>126</v>
      </c>
      <c r="C7237" s="5" t="str">
        <f>IFERROR(__xludf.DUMMYFUNCTION("""COMPUTED_VALUE"""),"https://drive.google.com/file/d/1ev_aARS8Veq2yZfQjMr8Y05YEPVd1H3N/view?usp=drivesdk")</f>
        <v>https://drive.google.com/file/d/1ev_aARS8Veq2yZfQjMr8Y05YEPVd1H3N/view?usp=drivesdk</v>
      </c>
      <c r="D7237" s="12"/>
      <c r="E7237" s="11">
        <v>7285.0</v>
      </c>
      <c r="F7237" s="2"/>
    </row>
    <row r="7238" ht="1.5" customHeight="1">
      <c r="A7238" s="4" t="str">
        <f>IFERROR(__xludf.DUMMYFUNCTION("""COMPUTED_VALUE"""),"94. Itztli")</f>
        <v>94. Itztli</v>
      </c>
      <c r="B7238" s="4" t="str">
        <f>IFERROR(__xludf.DUMMYFUNCTION("""COMPUTED_VALUE"""),"94")</f>
        <v>94</v>
      </c>
      <c r="C7238" s="5" t="str">
        <f>IFERROR(__xludf.DUMMYFUNCTION("""COMPUTED_VALUE"""),"https://drive.google.com/file/d/1eAqCLI0gqVX2F8tilh_5BA_m8PH0oSY8/view?usp=drivesdk")</f>
        <v>https://drive.google.com/file/d/1eAqCLI0gqVX2F8tilh_5BA_m8PH0oSY8/view?usp=drivesdk</v>
      </c>
      <c r="D7238" s="12"/>
      <c r="E7238" s="11">
        <v>7286.0</v>
      </c>
      <c r="F7238" s="2"/>
    </row>
    <row r="7239" ht="1.5" customHeight="1">
      <c r="A7239" s="4" t="str">
        <f>IFERROR(__xludf.DUMMYFUNCTION("""COMPUTED_VALUE"""),"126. Tax Evasion")</f>
        <v>126. Tax Evasion</v>
      </c>
      <c r="B7239" s="4" t="str">
        <f>IFERROR(__xludf.DUMMYFUNCTION("""COMPUTED_VALUE"""),"126")</f>
        <v>126</v>
      </c>
      <c r="C7239" s="5" t="str">
        <f>IFERROR(__xludf.DUMMYFUNCTION("""COMPUTED_VALUE"""),"https://drive.google.com/file/d/17WxQb_IbWpMnOMliVauozZaJb-weu2_w/view?usp=drivesdk")</f>
        <v>https://drive.google.com/file/d/17WxQb_IbWpMnOMliVauozZaJb-weu2_w/view?usp=drivesdk</v>
      </c>
      <c r="D7239" s="12"/>
      <c r="E7239" s="11">
        <v>7287.0</v>
      </c>
      <c r="F7239" s="2"/>
    </row>
    <row r="7240" ht="1.5" customHeight="1">
      <c r="A7240" s="4" t="str">
        <f>IFERROR(__xludf.DUMMYFUNCTION("""COMPUTED_VALUE"""),"132. Kelley")</f>
        <v>132. Kelley</v>
      </c>
      <c r="B7240" s="4" t="str">
        <f>IFERROR(__xludf.DUMMYFUNCTION("""COMPUTED_VALUE"""),"132")</f>
        <v>132</v>
      </c>
      <c r="C7240" s="5" t="str">
        <f>IFERROR(__xludf.DUMMYFUNCTION("""COMPUTED_VALUE"""),"https://drive.google.com/file/d/1NTSyG9FvwH4ILR5PhsKKTkI6-_-FpbzB/view?usp=drivesdk")</f>
        <v>https://drive.google.com/file/d/1NTSyG9FvwH4ILR5PhsKKTkI6-_-FpbzB/view?usp=drivesdk</v>
      </c>
      <c r="D7240" s="12"/>
      <c r="E7240" s="11">
        <v>7288.0</v>
      </c>
      <c r="F7240" s="2"/>
    </row>
    <row r="7241" ht="1.5" customHeight="1">
      <c r="A7241" s="4" t="str">
        <f>IFERROR(__xludf.DUMMYFUNCTION("""COMPUTED_VALUE"""),"130. Skipper, 132. Kelley, 133. Fluff")</f>
        <v>130. Skipper, 132. Kelley, 133. Fluff</v>
      </c>
      <c r="B7241" s="4" t="str">
        <f>IFERROR(__xludf.DUMMYFUNCTION("""COMPUTED_VALUE"""),"130, 132, 133")</f>
        <v>130, 132, 133</v>
      </c>
      <c r="C7241" s="5" t="str">
        <f>IFERROR(__xludf.DUMMYFUNCTION("""COMPUTED_VALUE"""),"https://drive.google.com/file/d/1P_bLrQnYpI27dXXgf4r67yhBYalnsuXu/view?usp=drivesdk")</f>
        <v>https://drive.google.com/file/d/1P_bLrQnYpI27dXXgf4r67yhBYalnsuXu/view?usp=drivesdk</v>
      </c>
      <c r="D7241" s="12"/>
      <c r="E7241" s="11">
        <v>7289.0</v>
      </c>
      <c r="F7241" s="2"/>
    </row>
    <row r="7242" ht="1.5" customHeight="1">
      <c r="A7242" s="4" t="str">
        <f>IFERROR(__xludf.DUMMYFUNCTION("""COMPUTED_VALUE"""),"132. Kelley")</f>
        <v>132. Kelley</v>
      </c>
      <c r="B7242" s="4" t="str">
        <f>IFERROR(__xludf.DUMMYFUNCTION("""COMPUTED_VALUE"""),"132")</f>
        <v>132</v>
      </c>
      <c r="C7242" s="5" t="str">
        <f>IFERROR(__xludf.DUMMYFUNCTION("""COMPUTED_VALUE"""),"https://drive.google.com/file/d/1CHYhRs7Oo5KjiBexz_Z8WXbMQS_OqNew/view?usp=drivesdk")</f>
        <v>https://drive.google.com/file/d/1CHYhRs7Oo5KjiBexz_Z8WXbMQS_OqNew/view?usp=drivesdk</v>
      </c>
      <c r="D7242" s="12"/>
      <c r="E7242" s="11">
        <v>7290.0</v>
      </c>
      <c r="F7242" s="2"/>
    </row>
    <row r="7243" ht="1.5" customHeight="1">
      <c r="A7243" s="4" t="str">
        <f>IFERROR(__xludf.DUMMYFUNCTION("""COMPUTED_VALUE"""),"132. Kelley")</f>
        <v>132. Kelley</v>
      </c>
      <c r="B7243" s="4" t="str">
        <f>IFERROR(__xludf.DUMMYFUNCTION("""COMPUTED_VALUE"""),"132")</f>
        <v>132</v>
      </c>
      <c r="C7243" s="5" t="str">
        <f>IFERROR(__xludf.DUMMYFUNCTION("""COMPUTED_VALUE"""),"https://drive.google.com/file/d/10O9zciulXw70nshdXWXqqXcdFalrWkaL/view?usp=drivesdk")</f>
        <v>https://drive.google.com/file/d/10O9zciulXw70nshdXWXqqXcdFalrWkaL/view?usp=drivesdk</v>
      </c>
      <c r="D7243" s="12"/>
      <c r="E7243" s="11">
        <v>7291.0</v>
      </c>
      <c r="F7243" s="2"/>
    </row>
    <row r="7244" ht="1.5" customHeight="1">
      <c r="A7244" s="4" t="str">
        <f>IFERROR(__xludf.DUMMYFUNCTION("""COMPUTED_VALUE"""),"132. Kelley, 133. Fluff")</f>
        <v>132. Kelley, 133. Fluff</v>
      </c>
      <c r="B7244" s="4" t="str">
        <f>IFERROR(__xludf.DUMMYFUNCTION("""COMPUTED_VALUE"""),"132, 133")</f>
        <v>132, 133</v>
      </c>
      <c r="C7244" s="5" t="str">
        <f>IFERROR(__xludf.DUMMYFUNCTION("""COMPUTED_VALUE"""),"https://drive.google.com/file/d/1jnOZxZS7KiAMI_O8DxALQUVI7ePy_pIj/view?usp=drivesdk")</f>
        <v>https://drive.google.com/file/d/1jnOZxZS7KiAMI_O8DxALQUVI7ePy_pIj/view?usp=drivesdk</v>
      </c>
      <c r="D7244" s="12"/>
      <c r="E7244" s="11">
        <v>7292.0</v>
      </c>
      <c r="F7244" s="2"/>
    </row>
    <row r="7245" ht="1.5" customHeight="1">
      <c r="A7245" s="4" t="str">
        <f>IFERROR(__xludf.DUMMYFUNCTION("""COMPUTED_VALUE"""),"132. Kelley, 130. Skipper, 131. Jazzy, 133. Fluff, 134. Kacie")</f>
        <v>132. Kelley, 130. Skipper, 131. Jazzy, 133. Fluff, 134. Kacie</v>
      </c>
      <c r="B7245" s="4" t="str">
        <f>IFERROR(__xludf.DUMMYFUNCTION("""COMPUTED_VALUE"""),"132, 130, 131, 133, 134")</f>
        <v>132, 130, 131, 133, 134</v>
      </c>
      <c r="C7245" s="5" t="str">
        <f>IFERROR(__xludf.DUMMYFUNCTION("""COMPUTED_VALUE"""),"https://drive.google.com/file/d/1ZmDgEoPuCl0IHE69dbKn5OOncd4_--nr/view?usp=drivesdk")</f>
        <v>https://drive.google.com/file/d/1ZmDgEoPuCl0IHE69dbKn5OOncd4_--nr/view?usp=drivesdk</v>
      </c>
      <c r="D7245" s="12"/>
      <c r="E7245" s="11">
        <v>7293.0</v>
      </c>
      <c r="F7245" s="2"/>
    </row>
    <row r="7246" ht="1.5" customHeight="1">
      <c r="A7246" s="4" t="str">
        <f>IFERROR(__xludf.DUMMYFUNCTION("""COMPUTED_VALUE"""),"130. Skipper, 131. Jazzy, 132. Kelley, 133. Fluff, 134. Kacie")</f>
        <v>130. Skipper, 131. Jazzy, 132. Kelley, 133. Fluff, 134. Kacie</v>
      </c>
      <c r="B7246" s="4" t="str">
        <f>IFERROR(__xludf.DUMMYFUNCTION("""COMPUTED_VALUE"""),"130, 131, 132, 133, 134")</f>
        <v>130, 131, 132, 133, 134</v>
      </c>
      <c r="C7246" s="5" t="str">
        <f>IFERROR(__xludf.DUMMYFUNCTION("""COMPUTED_VALUE"""),"https://drive.google.com/file/d/1DoNQfd1DAgJtkZs7Gnk2VGUj049G8Wf_/view?usp=drivesdk")</f>
        <v>https://drive.google.com/file/d/1DoNQfd1DAgJtkZs7Gnk2VGUj049G8Wf_/view?usp=drivesdk</v>
      </c>
      <c r="D7246" s="12"/>
      <c r="E7246" s="11">
        <v>7294.0</v>
      </c>
      <c r="F7246" s="2"/>
    </row>
    <row r="7247" ht="1.5" customHeight="1">
      <c r="A7247" s="4" t="str">
        <f>IFERROR(__xludf.DUMMYFUNCTION("""COMPUTED_VALUE"""),"131. Jazzy, 134. Kacie")</f>
        <v>131. Jazzy, 134. Kacie</v>
      </c>
      <c r="B7247" s="4" t="str">
        <f>IFERROR(__xludf.DUMMYFUNCTION("""COMPUTED_VALUE"""),"131, 134")</f>
        <v>131, 134</v>
      </c>
      <c r="C7247" s="5" t="str">
        <f>IFERROR(__xludf.DUMMYFUNCTION("""COMPUTED_VALUE"""),"https://drive.google.com/file/d/1qyodFDfePU3FzZ_UCcAQahvrJILJXBjb/view?usp=drivesdk")</f>
        <v>https://drive.google.com/file/d/1qyodFDfePU3FzZ_UCcAQahvrJILJXBjb/view?usp=drivesdk</v>
      </c>
      <c r="D7247" s="12"/>
      <c r="E7247" s="11">
        <v>7295.0</v>
      </c>
      <c r="F7247" s="2"/>
    </row>
    <row r="7248" ht="1.5" customHeight="1">
      <c r="A7248" s="4" t="str">
        <f>IFERROR(__xludf.DUMMYFUNCTION("""COMPUTED_VALUE"""),"130. Skipper, 132. Kelley")</f>
        <v>130. Skipper, 132. Kelley</v>
      </c>
      <c r="B7248" s="4" t="str">
        <f>IFERROR(__xludf.DUMMYFUNCTION("""COMPUTED_VALUE"""),"130, 132")</f>
        <v>130, 132</v>
      </c>
      <c r="C7248" s="5" t="str">
        <f>IFERROR(__xludf.DUMMYFUNCTION("""COMPUTED_VALUE"""),"https://drive.google.com/file/d/1P03yhSfFcdaK3cbCb1HKsQwAHZFS5o0m/view?usp=drivesdk")</f>
        <v>https://drive.google.com/file/d/1P03yhSfFcdaK3cbCb1HKsQwAHZFS5o0m/view?usp=drivesdk</v>
      </c>
      <c r="D7248" s="12"/>
      <c r="E7248" s="11">
        <v>7296.0</v>
      </c>
      <c r="F7248" s="2"/>
    </row>
    <row r="7249" ht="1.5" customHeight="1">
      <c r="A7249" s="4" t="str">
        <f>IFERROR(__xludf.DUMMYFUNCTION("""COMPUTED_VALUE"""),"130. Skipper, 132. Kelley")</f>
        <v>130. Skipper, 132. Kelley</v>
      </c>
      <c r="B7249" s="4" t="str">
        <f>IFERROR(__xludf.DUMMYFUNCTION("""COMPUTED_VALUE"""),"130, 132")</f>
        <v>130, 132</v>
      </c>
      <c r="C7249" s="5" t="str">
        <f>IFERROR(__xludf.DUMMYFUNCTION("""COMPUTED_VALUE"""),"https://drive.google.com/file/d/1u7jCRR_4syTKbkFp5wljvifBPEBFaEY4/view?usp=drivesdk")</f>
        <v>https://drive.google.com/file/d/1u7jCRR_4syTKbkFp5wljvifBPEBFaEY4/view?usp=drivesdk</v>
      </c>
      <c r="D7249" s="12"/>
      <c r="E7249" s="11">
        <v>7297.0</v>
      </c>
      <c r="F7249" s="2"/>
    </row>
    <row r="7250" ht="1.5" customHeight="1">
      <c r="A7250" s="4" t="str">
        <f>IFERROR(__xludf.DUMMYFUNCTION("""COMPUTED_VALUE"""),"134. Kacie, 131. Jazzy")</f>
        <v>134. Kacie, 131. Jazzy</v>
      </c>
      <c r="B7250" s="4" t="str">
        <f>IFERROR(__xludf.DUMMYFUNCTION("""COMPUTED_VALUE"""),"134, 131")</f>
        <v>134, 131</v>
      </c>
      <c r="C7250" s="5" t="str">
        <f>IFERROR(__xludf.DUMMYFUNCTION("""COMPUTED_VALUE"""),"https://drive.google.com/file/d/1tBuytkRwTfx5G5skTpktrtS2OTBROBH8/view?usp=drivesdk")</f>
        <v>https://drive.google.com/file/d/1tBuytkRwTfx5G5skTpktrtS2OTBROBH8/view?usp=drivesdk</v>
      </c>
      <c r="D7250" s="12"/>
      <c r="E7250" s="11">
        <v>7298.0</v>
      </c>
      <c r="F7250" s="2"/>
    </row>
    <row r="7251" ht="1.5" customHeight="1">
      <c r="A7251" s="4" t="str">
        <f>IFERROR(__xludf.DUMMYFUNCTION("""COMPUTED_VALUE"""),"130. Skipper")</f>
        <v>130. Skipper</v>
      </c>
      <c r="B7251" s="4" t="str">
        <f>IFERROR(__xludf.DUMMYFUNCTION("""COMPUTED_VALUE"""),"130")</f>
        <v>130</v>
      </c>
      <c r="C7251" s="5" t="str">
        <f>IFERROR(__xludf.DUMMYFUNCTION("""COMPUTED_VALUE"""),"https://drive.google.com/file/d/11Nh6s56R6Esw5sXgcTlrdMMnGuktQRpw/view?usp=drivesdk")</f>
        <v>https://drive.google.com/file/d/11Nh6s56R6Esw5sXgcTlrdMMnGuktQRpw/view?usp=drivesdk</v>
      </c>
      <c r="D7251" s="12"/>
      <c r="E7251" s="11">
        <v>7299.0</v>
      </c>
      <c r="F7251" s="2"/>
    </row>
    <row r="7252" ht="1.5" customHeight="1">
      <c r="A7252" s="4" t="str">
        <f>IFERROR(__xludf.DUMMYFUNCTION("""COMPUTED_VALUE"""),"4. Eggs")</f>
        <v>4. Eggs</v>
      </c>
      <c r="B7252" s="4" t="str">
        <f>IFERROR(__xludf.DUMMYFUNCTION("""COMPUTED_VALUE"""),"4")</f>
        <v>4</v>
      </c>
      <c r="C7252" s="5" t="str">
        <f>IFERROR(__xludf.DUMMYFUNCTION("""COMPUTED_VALUE"""),"https://drive.google.com/file/d/1Z7yS92eTpm97B-R9FT7baZ3IJt3f7nVP/view?usp=drivesdk")</f>
        <v>https://drive.google.com/file/d/1Z7yS92eTpm97B-R9FT7baZ3IJt3f7nVP/view?usp=drivesdk</v>
      </c>
      <c r="D7252" s="12"/>
      <c r="E7252" s="11">
        <v>7300.0</v>
      </c>
      <c r="F7252" s="2"/>
    </row>
    <row r="7253" ht="1.5" customHeight="1">
      <c r="A7253" s="4" t="str">
        <f>IFERROR(__xludf.DUMMYFUNCTION("""COMPUTED_VALUE"""),"2. Twix")</f>
        <v>2. Twix</v>
      </c>
      <c r="B7253" s="4" t="str">
        <f>IFERROR(__xludf.DUMMYFUNCTION("""COMPUTED_VALUE"""),"2")</f>
        <v>2</v>
      </c>
      <c r="C7253" s="5" t="str">
        <f>IFERROR(__xludf.DUMMYFUNCTION("""COMPUTED_VALUE"""),"https://drive.google.com/file/d/1BHPjCndzSQP6VXW6PPNdgGVA1N66WAJL/view?usp=drivesdk")</f>
        <v>https://drive.google.com/file/d/1BHPjCndzSQP6VXW6PPNdgGVA1N66WAJL/view?usp=drivesdk</v>
      </c>
      <c r="D7253" s="12"/>
      <c r="E7253" s="11">
        <v>7301.0</v>
      </c>
      <c r="F7253" s="2"/>
    </row>
    <row r="7254" ht="1.5" customHeight="1">
      <c r="A7254" s="4" t="str">
        <f>IFERROR(__xludf.DUMMYFUNCTION("""COMPUTED_VALUE"""),"2. Twix")</f>
        <v>2. Twix</v>
      </c>
      <c r="B7254" s="4" t="str">
        <f>IFERROR(__xludf.DUMMYFUNCTION("""COMPUTED_VALUE"""),"2")</f>
        <v>2</v>
      </c>
      <c r="C7254" s="5" t="str">
        <f>IFERROR(__xludf.DUMMYFUNCTION("""COMPUTED_VALUE"""),"https://drive.google.com/file/d/1YjQJP4xNnXEuVAlFDbKFJedxjWjp7Db1/view?usp=drivesdk")</f>
        <v>https://drive.google.com/file/d/1YjQJP4xNnXEuVAlFDbKFJedxjWjp7Db1/view?usp=drivesdk</v>
      </c>
      <c r="D7254" s="12"/>
      <c r="E7254" s="11">
        <v>7302.0</v>
      </c>
      <c r="F7254" s="2"/>
    </row>
    <row r="7255" ht="1.5" customHeight="1">
      <c r="A7255" s="4" t="str">
        <f>IFERROR(__xludf.DUMMYFUNCTION("""COMPUTED_VALUE"""),"2. Twix")</f>
        <v>2. Twix</v>
      </c>
      <c r="B7255" s="4" t="str">
        <f>IFERROR(__xludf.DUMMYFUNCTION("""COMPUTED_VALUE"""),"2")</f>
        <v>2</v>
      </c>
      <c r="C7255" s="5" t="str">
        <f>IFERROR(__xludf.DUMMYFUNCTION("""COMPUTED_VALUE"""),"https://drive.google.com/file/d/1wo2xnc5lAe3uVeO9v8fNo8QxKjgRsz7i/view?usp=drivesdk")</f>
        <v>https://drive.google.com/file/d/1wo2xnc5lAe3uVeO9v8fNo8QxKjgRsz7i/view?usp=drivesdk</v>
      </c>
      <c r="D7255" s="12"/>
      <c r="E7255" s="11">
        <v>7303.0</v>
      </c>
      <c r="F7255" s="2"/>
    </row>
    <row r="7256" ht="1.5" customHeight="1">
      <c r="A7256" s="4" t="str">
        <f>IFERROR(__xludf.DUMMYFUNCTION("""COMPUTED_VALUE"""),"2. Twix")</f>
        <v>2. Twix</v>
      </c>
      <c r="B7256" s="4" t="str">
        <f>IFERROR(__xludf.DUMMYFUNCTION("""COMPUTED_VALUE"""),"2")</f>
        <v>2</v>
      </c>
      <c r="C7256" s="5" t="str">
        <f>IFERROR(__xludf.DUMMYFUNCTION("""COMPUTED_VALUE"""),"https://drive.google.com/file/d/1FcIf_j-bjEwKMljNAuR-OhO-iUDO7x5h/view?usp=drivesdk")</f>
        <v>https://drive.google.com/file/d/1FcIf_j-bjEwKMljNAuR-OhO-iUDO7x5h/view?usp=drivesdk</v>
      </c>
      <c r="D7256" s="12"/>
      <c r="E7256" s="11">
        <v>7304.0</v>
      </c>
      <c r="F7256" s="2"/>
    </row>
    <row r="7257" ht="1.5" customHeight="1">
      <c r="A7257" s="4" t="str">
        <f>IFERROR(__xludf.DUMMYFUNCTION("""COMPUTED_VALUE"""),"2. Twix")</f>
        <v>2. Twix</v>
      </c>
      <c r="B7257" s="4" t="str">
        <f>IFERROR(__xludf.DUMMYFUNCTION("""COMPUTED_VALUE"""),"2")</f>
        <v>2</v>
      </c>
      <c r="C7257" s="5" t="str">
        <f>IFERROR(__xludf.DUMMYFUNCTION("""COMPUTED_VALUE"""),"https://drive.google.com/file/d/18bP4_pjX0py6lfcNAUdScUdqymjC_eeG/view?usp=drivesdk")</f>
        <v>https://drive.google.com/file/d/18bP4_pjX0py6lfcNAUdScUdqymjC_eeG/view?usp=drivesdk</v>
      </c>
      <c r="D7257" s="12"/>
      <c r="E7257" s="11">
        <v>7305.0</v>
      </c>
      <c r="F7257" s="2"/>
    </row>
    <row r="7258" ht="1.5" customHeight="1">
      <c r="A7258" s="4" t="str">
        <f>IFERROR(__xludf.DUMMYFUNCTION("""COMPUTED_VALUE"""),"2. Twix")</f>
        <v>2. Twix</v>
      </c>
      <c r="B7258" s="4" t="str">
        <f>IFERROR(__xludf.DUMMYFUNCTION("""COMPUTED_VALUE"""),"2")</f>
        <v>2</v>
      </c>
      <c r="C7258" s="5" t="str">
        <f>IFERROR(__xludf.DUMMYFUNCTION("""COMPUTED_VALUE"""),"https://drive.google.com/file/d/1kMDmJIusdAW5niuMm71uKLccKnzejsCZ/view?usp=drivesdk")</f>
        <v>https://drive.google.com/file/d/1kMDmJIusdAW5niuMm71uKLccKnzejsCZ/view?usp=drivesdk</v>
      </c>
      <c r="D7258" s="12"/>
      <c r="E7258" s="11">
        <v>7306.0</v>
      </c>
      <c r="F7258" s="2"/>
    </row>
    <row r="7259" ht="1.5" customHeight="1">
      <c r="A7259" s="4" t="str">
        <f>IFERROR(__xludf.DUMMYFUNCTION("""COMPUTED_VALUE"""),"1. Microwave")</f>
        <v>1. Microwave</v>
      </c>
      <c r="B7259" s="4" t="str">
        <f>IFERROR(__xludf.DUMMYFUNCTION("""COMPUTED_VALUE"""),"1")</f>
        <v>1</v>
      </c>
      <c r="C7259" s="5" t="str">
        <f>IFERROR(__xludf.DUMMYFUNCTION("""COMPUTED_VALUE"""),"https://drive.google.com/file/d/1IlNlAG3rS7scICARJNdXRz0Y_ayJRHNF/view?usp=drivesdk")</f>
        <v>https://drive.google.com/file/d/1IlNlAG3rS7scICARJNdXRz0Y_ayJRHNF/view?usp=drivesdk</v>
      </c>
      <c r="D7259" s="12"/>
      <c r="E7259" s="11">
        <v>7307.0</v>
      </c>
      <c r="F7259" s="2"/>
    </row>
    <row r="7260" ht="1.5" customHeight="1">
      <c r="A7260" s="4" t="str">
        <f>IFERROR(__xludf.DUMMYFUNCTION("""COMPUTED_VALUE"""),"1. Microwave")</f>
        <v>1. Microwave</v>
      </c>
      <c r="B7260" s="4" t="str">
        <f>IFERROR(__xludf.DUMMYFUNCTION("""COMPUTED_VALUE"""),"1")</f>
        <v>1</v>
      </c>
      <c r="C7260" s="5" t="str">
        <f>IFERROR(__xludf.DUMMYFUNCTION("""COMPUTED_VALUE"""),"https://drive.google.com/file/d/1w5_IW17Efrvj1M3F8z7TiIiwAXeV4s3O/view?usp=drivesdk")</f>
        <v>https://drive.google.com/file/d/1w5_IW17Efrvj1M3F8z7TiIiwAXeV4s3O/view?usp=drivesdk</v>
      </c>
      <c r="D7260" s="12"/>
      <c r="E7260" s="11">
        <v>7308.0</v>
      </c>
      <c r="F7260" s="2"/>
    </row>
    <row r="7261" ht="1.5" customHeight="1">
      <c r="A7261" s="4" t="str">
        <f>IFERROR(__xludf.DUMMYFUNCTION("""COMPUTED_VALUE"""),"1. Microwave")</f>
        <v>1. Microwave</v>
      </c>
      <c r="B7261" s="4" t="str">
        <f>IFERROR(__xludf.DUMMYFUNCTION("""COMPUTED_VALUE"""),"1")</f>
        <v>1</v>
      </c>
      <c r="C7261" s="5" t="str">
        <f>IFERROR(__xludf.DUMMYFUNCTION("""COMPUTED_VALUE"""),"https://drive.google.com/file/d/1Hp-ppmR1lIuCJIwKQfbnO7Qd1aaY_YAj/view?usp=drivesdk")</f>
        <v>https://drive.google.com/file/d/1Hp-ppmR1lIuCJIwKQfbnO7Qd1aaY_YAj/view?usp=drivesdk</v>
      </c>
      <c r="D7261" s="12"/>
      <c r="E7261" s="11">
        <v>7309.0</v>
      </c>
      <c r="F7261" s="2"/>
    </row>
    <row r="7262" ht="1.5" customHeight="1">
      <c r="A7262" s="4" t="str">
        <f>IFERROR(__xludf.DUMMYFUNCTION("""COMPUTED_VALUE"""),"1. Microwave")</f>
        <v>1. Microwave</v>
      </c>
      <c r="B7262" s="4" t="str">
        <f>IFERROR(__xludf.DUMMYFUNCTION("""COMPUTED_VALUE"""),"1")</f>
        <v>1</v>
      </c>
      <c r="C7262" s="5" t="str">
        <f>IFERROR(__xludf.DUMMYFUNCTION("""COMPUTED_VALUE"""),"https://drive.google.com/file/d/1OCYv3jfKBFHCXCmiCwas-DelQIReUnG4/view?usp=drivesdk")</f>
        <v>https://drive.google.com/file/d/1OCYv3jfKBFHCXCmiCwas-DelQIReUnG4/view?usp=drivesdk</v>
      </c>
      <c r="D7262" s="12"/>
      <c r="E7262" s="11">
        <v>7310.0</v>
      </c>
      <c r="F7262" s="2"/>
    </row>
    <row r="7263" ht="1.5" customHeight="1">
      <c r="A7263" s="4" t="str">
        <f>IFERROR(__xludf.DUMMYFUNCTION("""COMPUTED_VALUE"""),"1. Microwave")</f>
        <v>1. Microwave</v>
      </c>
      <c r="B7263" s="4" t="str">
        <f>IFERROR(__xludf.DUMMYFUNCTION("""COMPUTED_VALUE"""),"1")</f>
        <v>1</v>
      </c>
      <c r="C7263" s="5" t="str">
        <f>IFERROR(__xludf.DUMMYFUNCTION("""COMPUTED_VALUE"""),"https://drive.google.com/file/d/1vXDpFZuM2Cv-A7kUmd0UoBOwKgq6ps9l/view?usp=drivesdk")</f>
        <v>https://drive.google.com/file/d/1vXDpFZuM2Cv-A7kUmd0UoBOwKgq6ps9l/view?usp=drivesdk</v>
      </c>
      <c r="D7263" s="12"/>
      <c r="E7263" s="11">
        <v>7311.0</v>
      </c>
      <c r="F7263" s="2"/>
    </row>
    <row r="7264" ht="1.5" customHeight="1">
      <c r="A7264" s="4" t="str">
        <f>IFERROR(__xludf.DUMMYFUNCTION("""COMPUTED_VALUE"""),"130. Skipper, 134. Kacie, 133. Fluff, 132. Kelley")</f>
        <v>130. Skipper, 134. Kacie, 133. Fluff, 132. Kelley</v>
      </c>
      <c r="B7264" s="4" t="str">
        <f>IFERROR(__xludf.DUMMYFUNCTION("""COMPUTED_VALUE"""),"130, 134, 133, 132")</f>
        <v>130, 134, 133, 132</v>
      </c>
      <c r="C7264" s="5" t="str">
        <f>IFERROR(__xludf.DUMMYFUNCTION("""COMPUTED_VALUE"""),"https://drive.google.com/file/d/171gZ13EGF9Z9v9dbNhuNmGrQyIPPm5PT/view?usp=drivesdk")</f>
        <v>https://drive.google.com/file/d/171gZ13EGF9Z9v9dbNhuNmGrQyIPPm5PT/view?usp=drivesdk</v>
      </c>
      <c r="D7264" s="12"/>
      <c r="E7264" s="11">
        <v>7312.0</v>
      </c>
      <c r="F7264" s="2"/>
    </row>
    <row r="7265" ht="1.5" customHeight="1">
      <c r="A7265" s="4" t="str">
        <f>IFERROR(__xludf.DUMMYFUNCTION("""COMPUTED_VALUE"""),"132. Kelley, 133. Fluff")</f>
        <v>132. Kelley, 133. Fluff</v>
      </c>
      <c r="B7265" s="4" t="str">
        <f>IFERROR(__xludf.DUMMYFUNCTION("""COMPUTED_VALUE"""),"132, 133")</f>
        <v>132, 133</v>
      </c>
      <c r="C7265" s="5" t="str">
        <f>IFERROR(__xludf.DUMMYFUNCTION("""COMPUTED_VALUE"""),"https://drive.google.com/file/d/1U8eRFRQs4qr-y-wI28AFABMRpjkcXRFR/view?usp=drivesdk")</f>
        <v>https://drive.google.com/file/d/1U8eRFRQs4qr-y-wI28AFABMRpjkcXRFR/view?usp=drivesdk</v>
      </c>
      <c r="D7265" s="12"/>
      <c r="E7265" s="11">
        <v>7313.0</v>
      </c>
      <c r="F7265" s="2"/>
    </row>
    <row r="7266" ht="1.5" customHeight="1">
      <c r="A7266" s="4" t="str">
        <f>IFERROR(__xludf.DUMMYFUNCTION("""COMPUTED_VALUE"""),"132. Kelley, 133. Fluff")</f>
        <v>132. Kelley, 133. Fluff</v>
      </c>
      <c r="B7266" s="4" t="str">
        <f>IFERROR(__xludf.DUMMYFUNCTION("""COMPUTED_VALUE"""),"132, 133")</f>
        <v>132, 133</v>
      </c>
      <c r="C7266" s="5" t="str">
        <f>IFERROR(__xludf.DUMMYFUNCTION("""COMPUTED_VALUE"""),"https://drive.google.com/file/d/1eWRmkeIMX1ToDlHRebCl6ULkJTtXDX_d/view?usp=drivesdk")</f>
        <v>https://drive.google.com/file/d/1eWRmkeIMX1ToDlHRebCl6ULkJTtXDX_d/view?usp=drivesdk</v>
      </c>
      <c r="D7266" s="12"/>
      <c r="E7266" s="11">
        <v>7314.0</v>
      </c>
      <c r="F7266" s="2"/>
    </row>
    <row r="7267" ht="1.5" customHeight="1">
      <c r="A7267" s="4" t="str">
        <f>IFERROR(__xludf.DUMMYFUNCTION("""COMPUTED_VALUE"""),"0. NotACat")</f>
        <v>0. NotACat</v>
      </c>
      <c r="B7267" s="4" t="str">
        <f>IFERROR(__xludf.DUMMYFUNCTION("""COMPUTED_VALUE"""),"0")</f>
        <v>0</v>
      </c>
      <c r="C7267" s="5" t="str">
        <f>IFERROR(__xludf.DUMMYFUNCTION("""COMPUTED_VALUE"""),"https://drive.google.com/file/d/1OZkuRwVcZ2nI9AD8O2JP0iYKLqJoKmvm/view?usp=drivesdk")</f>
        <v>https://drive.google.com/file/d/1OZkuRwVcZ2nI9AD8O2JP0iYKLqJoKmvm/view?usp=drivesdk</v>
      </c>
      <c r="D7267" s="12"/>
      <c r="E7267" s="11">
        <v>7315.0</v>
      </c>
      <c r="F7267" s="2"/>
    </row>
    <row r="7268" ht="1.5" customHeight="1">
      <c r="A7268" s="4" t="str">
        <f>IFERROR(__xludf.DUMMYFUNCTION("""COMPUTED_VALUE"""),"96. Barbie")</f>
        <v>96. Barbie</v>
      </c>
      <c r="B7268" s="4" t="str">
        <f>IFERROR(__xludf.DUMMYFUNCTION("""COMPUTED_VALUE"""),"96")</f>
        <v>96</v>
      </c>
      <c r="C7268" s="5" t="str">
        <f>IFERROR(__xludf.DUMMYFUNCTION("""COMPUTED_VALUE"""),"https://drive.google.com/file/d/18Rk89Z6e7WCnml5Q4jOysH6-l75NkU1R/view?usp=drivesdk")</f>
        <v>https://drive.google.com/file/d/18Rk89Z6e7WCnml5Q4jOysH6-l75NkU1R/view?usp=drivesdk</v>
      </c>
      <c r="D7268" s="12"/>
      <c r="E7268" s="11">
        <v>7316.0</v>
      </c>
      <c r="F7268" s="2"/>
    </row>
    <row r="7269" ht="1.5" customHeight="1">
      <c r="A7269" s="4" t="str">
        <f>IFERROR(__xludf.DUMMYFUNCTION("""COMPUTED_VALUE"""),"96. Barbie")</f>
        <v>96. Barbie</v>
      </c>
      <c r="B7269" s="4" t="str">
        <f>IFERROR(__xludf.DUMMYFUNCTION("""COMPUTED_VALUE"""),"96")</f>
        <v>96</v>
      </c>
      <c r="C7269" s="5" t="str">
        <f>IFERROR(__xludf.DUMMYFUNCTION("""COMPUTED_VALUE"""),"https://drive.google.com/file/d/19BKrfvh4ksW8O9JYpt_xdxXlqiw7zVUV/view?usp=drivesdk")</f>
        <v>https://drive.google.com/file/d/19BKrfvh4ksW8O9JYpt_xdxXlqiw7zVUV/view?usp=drivesdk</v>
      </c>
      <c r="D7269" s="12"/>
      <c r="E7269" s="11">
        <v>7317.0</v>
      </c>
      <c r="F7269" s="2"/>
    </row>
    <row r="7270" ht="1.5" customHeight="1">
      <c r="A7270" s="4" t="str">
        <f>IFERROR(__xludf.DUMMYFUNCTION("""COMPUTED_VALUE"""),"1. Microwave")</f>
        <v>1. Microwave</v>
      </c>
      <c r="B7270" s="4" t="str">
        <f>IFERROR(__xludf.DUMMYFUNCTION("""COMPUTED_VALUE"""),"1")</f>
        <v>1</v>
      </c>
      <c r="C7270" s="5" t="str">
        <f>IFERROR(__xludf.DUMMYFUNCTION("""COMPUTED_VALUE"""),"https://drive.google.com/file/d/1n4010CH7zf2MBSPpsW-NIY65rr58ICe9/view?usp=drivesdk")</f>
        <v>https://drive.google.com/file/d/1n4010CH7zf2MBSPpsW-NIY65rr58ICe9/view?usp=drivesdk</v>
      </c>
      <c r="D7270" s="12"/>
      <c r="E7270" s="11">
        <v>7318.0</v>
      </c>
      <c r="F7270" s="2"/>
    </row>
    <row r="7271" ht="1.5" customHeight="1">
      <c r="A7271" s="4" t="str">
        <f>IFERROR(__xludf.DUMMYFUNCTION("""COMPUTED_VALUE"""),"80. Atzi")</f>
        <v>80. Atzi</v>
      </c>
      <c r="B7271" s="4" t="str">
        <f>IFERROR(__xludf.DUMMYFUNCTION("""COMPUTED_VALUE"""),"80")</f>
        <v>80</v>
      </c>
      <c r="C7271" s="5" t="str">
        <f>IFERROR(__xludf.DUMMYFUNCTION("""COMPUTED_VALUE"""),"https://drive.google.com/file/d/1FmruIfXi4aSHhpJzjtZxyp6p8kNCUKLy/view?usp=drivesdk")</f>
        <v>https://drive.google.com/file/d/1FmruIfXi4aSHhpJzjtZxyp6p8kNCUKLy/view?usp=drivesdk</v>
      </c>
      <c r="D7271" s="12"/>
      <c r="E7271" s="11">
        <v>7319.0</v>
      </c>
      <c r="F7271" s="2"/>
    </row>
    <row r="7272" ht="1.5" customHeight="1">
      <c r="A7272" s="4" t="str">
        <f>IFERROR(__xludf.DUMMYFUNCTION("""COMPUTED_VALUE"""),"0. NotACat")</f>
        <v>0. NotACat</v>
      </c>
      <c r="B7272" s="4" t="str">
        <f>IFERROR(__xludf.DUMMYFUNCTION("""COMPUTED_VALUE"""),"0")</f>
        <v>0</v>
      </c>
      <c r="C7272" s="5" t="str">
        <f>IFERROR(__xludf.DUMMYFUNCTION("""COMPUTED_VALUE"""),"https://drive.google.com/file/d/1o7wd8lA_w4DBrmdbGz3pNUdnPKZQKSZg/view?usp=drivesdk")</f>
        <v>https://drive.google.com/file/d/1o7wd8lA_w4DBrmdbGz3pNUdnPKZQKSZg/view?usp=drivesdk</v>
      </c>
      <c r="D7272" s="12"/>
      <c r="E7272" s="11">
        <v>7320.0</v>
      </c>
      <c r="F7272" s="2"/>
    </row>
    <row r="7273" ht="1.5" customHeight="1">
      <c r="A7273" s="4" t="str">
        <f>IFERROR(__xludf.DUMMYFUNCTION("""COMPUTED_VALUE"""),"80. Atzi")</f>
        <v>80. Atzi</v>
      </c>
      <c r="B7273" s="4" t="str">
        <f>IFERROR(__xludf.DUMMYFUNCTION("""COMPUTED_VALUE"""),"80")</f>
        <v>80</v>
      </c>
      <c r="C7273" s="5" t="str">
        <f>IFERROR(__xludf.DUMMYFUNCTION("""COMPUTED_VALUE"""),"https://drive.google.com/file/d/1purvGGiRhKo3JGg8itw5_XnFxfRbdSYT/view?usp=drivesdk")</f>
        <v>https://drive.google.com/file/d/1purvGGiRhKo3JGg8itw5_XnFxfRbdSYT/view?usp=drivesdk</v>
      </c>
      <c r="D7273" s="12"/>
      <c r="E7273" s="11">
        <v>7321.0</v>
      </c>
      <c r="F7273" s="2"/>
    </row>
    <row r="7274" ht="1.5" customHeight="1">
      <c r="A7274" s="4" t="str">
        <f>IFERROR(__xludf.DUMMYFUNCTION("""COMPUTED_VALUE"""),"80. Atzi")</f>
        <v>80. Atzi</v>
      </c>
      <c r="B7274" s="4" t="str">
        <f>IFERROR(__xludf.DUMMYFUNCTION("""COMPUTED_VALUE"""),"80")</f>
        <v>80</v>
      </c>
      <c r="C7274" s="5" t="str">
        <f>IFERROR(__xludf.DUMMYFUNCTION("""COMPUTED_VALUE"""),"https://drive.google.com/file/d/1vXhTYDnTKVyjlDt1gbv9OSRQ9cX5vYoB/view?usp=drivesdk")</f>
        <v>https://drive.google.com/file/d/1vXhTYDnTKVyjlDt1gbv9OSRQ9cX5vYoB/view?usp=drivesdk</v>
      </c>
      <c r="D7274" s="12"/>
      <c r="E7274" s="11">
        <v>7322.0</v>
      </c>
      <c r="F7274" s="2"/>
    </row>
    <row r="7275" ht="1.5" customHeight="1">
      <c r="A7275" s="4" t="str">
        <f>IFERROR(__xludf.DUMMYFUNCTION("""COMPUTED_VALUE"""),"99. Nezhui, 94. Itztli")</f>
        <v>99. Nezhui, 94. Itztli</v>
      </c>
      <c r="B7275" s="4" t="str">
        <f>IFERROR(__xludf.DUMMYFUNCTION("""COMPUTED_VALUE"""),"99, 94")</f>
        <v>99, 94</v>
      </c>
      <c r="C7275" s="5" t="str">
        <f>IFERROR(__xludf.DUMMYFUNCTION("""COMPUTED_VALUE"""),"https://drive.google.com/file/d/1edg8DeLjWWvzwvDs1iwtjfV7JsgijPAt/view?usp=drivesdk")</f>
        <v>https://drive.google.com/file/d/1edg8DeLjWWvzwvDs1iwtjfV7JsgijPAt/view?usp=drivesdk</v>
      </c>
      <c r="D7275" s="12"/>
      <c r="E7275" s="11">
        <v>7323.0</v>
      </c>
      <c r="F7275" s="2"/>
    </row>
    <row r="7276" ht="1.5" customHeight="1">
      <c r="A7276" s="4" t="str">
        <f>IFERROR(__xludf.DUMMYFUNCTION("""COMPUTED_VALUE"""),"99. Nezhui, 94. Itztli")</f>
        <v>99. Nezhui, 94. Itztli</v>
      </c>
      <c r="B7276" s="4" t="str">
        <f>IFERROR(__xludf.DUMMYFUNCTION("""COMPUTED_VALUE"""),"99, 94")</f>
        <v>99, 94</v>
      </c>
      <c r="C7276" s="5" t="str">
        <f>IFERROR(__xludf.DUMMYFUNCTION("""COMPUTED_VALUE"""),"https://drive.google.com/file/d/1RSBQlrbqqSozZkOpdPLWvUUj30iHp1Eu/view?usp=drivesdk")</f>
        <v>https://drive.google.com/file/d/1RSBQlrbqqSozZkOpdPLWvUUj30iHp1Eu/view?usp=drivesdk</v>
      </c>
      <c r="D7276" s="12"/>
      <c r="E7276" s="11">
        <v>7324.0</v>
      </c>
      <c r="F7276" s="2"/>
    </row>
    <row r="7277" ht="1.5" customHeight="1">
      <c r="A7277" s="4" t="str">
        <f>IFERROR(__xludf.DUMMYFUNCTION("""COMPUTED_VALUE"""),"0. NotACat")</f>
        <v>0. NotACat</v>
      </c>
      <c r="B7277" s="4" t="str">
        <f>IFERROR(__xludf.DUMMYFUNCTION("""COMPUTED_VALUE"""),"0")</f>
        <v>0</v>
      </c>
      <c r="C7277" s="5" t="str">
        <f>IFERROR(__xludf.DUMMYFUNCTION("""COMPUTED_VALUE"""),"https://drive.google.com/file/d/1KrSRVYFCRtWtmEKOvzajhLc7slLTTqkS/view?usp=drivesdk")</f>
        <v>https://drive.google.com/file/d/1KrSRVYFCRtWtmEKOvzajhLc7slLTTqkS/view?usp=drivesdk</v>
      </c>
      <c r="D7277" s="12"/>
      <c r="E7277" s="11">
        <v>7325.0</v>
      </c>
      <c r="F7277" s="2"/>
    </row>
    <row r="7278" ht="1.5" customHeight="1">
      <c r="A7278" s="4" t="str">
        <f>IFERROR(__xludf.DUMMYFUNCTION("""COMPUTED_VALUE"""),"0. NotACat")</f>
        <v>0. NotACat</v>
      </c>
      <c r="B7278" s="4" t="str">
        <f>IFERROR(__xludf.DUMMYFUNCTION("""COMPUTED_VALUE"""),"0")</f>
        <v>0</v>
      </c>
      <c r="C7278" s="5" t="str">
        <f>IFERROR(__xludf.DUMMYFUNCTION("""COMPUTED_VALUE"""),"https://drive.google.com/file/d/1k0yAqTiU4ApM_nyr947IlqQKCVeWGBkF/view?usp=drivesdk")</f>
        <v>https://drive.google.com/file/d/1k0yAqTiU4ApM_nyr947IlqQKCVeWGBkF/view?usp=drivesdk</v>
      </c>
      <c r="D7278" s="12"/>
      <c r="E7278" s="11">
        <v>7326.0</v>
      </c>
      <c r="F7278" s="2"/>
    </row>
    <row r="7279" ht="1.5" customHeight="1">
      <c r="A7279" s="4" t="str">
        <f>IFERROR(__xludf.DUMMYFUNCTION("""COMPUTED_VALUE"""),"0. NotACat")</f>
        <v>0. NotACat</v>
      </c>
      <c r="B7279" s="4" t="str">
        <f>IFERROR(__xludf.DUMMYFUNCTION("""COMPUTED_VALUE"""),"0")</f>
        <v>0</v>
      </c>
      <c r="C7279" s="5" t="str">
        <f>IFERROR(__xludf.DUMMYFUNCTION("""COMPUTED_VALUE"""),"https://drive.google.com/file/d/1PtEjDZMSa7XPpJTldq8PYhzqPtnPKVqc/view?usp=drivesdk")</f>
        <v>https://drive.google.com/file/d/1PtEjDZMSa7XPpJTldq8PYhzqPtnPKVqc/view?usp=drivesdk</v>
      </c>
      <c r="D7279" s="12"/>
      <c r="E7279" s="11">
        <v>7327.0</v>
      </c>
      <c r="F7279" s="2"/>
    </row>
    <row r="7280" ht="1.5" customHeight="1">
      <c r="A7280" s="4" t="str">
        <f>IFERROR(__xludf.DUMMYFUNCTION("""COMPUTED_VALUE"""),"94. Itztli")</f>
        <v>94. Itztli</v>
      </c>
      <c r="B7280" s="4" t="str">
        <f>IFERROR(__xludf.DUMMYFUNCTION("""COMPUTED_VALUE"""),"94")</f>
        <v>94</v>
      </c>
      <c r="C7280" s="5" t="str">
        <f>IFERROR(__xludf.DUMMYFUNCTION("""COMPUTED_VALUE"""),"https://drive.google.com/file/d/1z3uhql0O5zAM8JyubzlhiW3aXv3uBRPu/view?usp=drivesdk")</f>
        <v>https://drive.google.com/file/d/1z3uhql0O5zAM8JyubzlhiW3aXv3uBRPu/view?usp=drivesdk</v>
      </c>
      <c r="D7280" s="12"/>
      <c r="E7280" s="11">
        <v>7328.0</v>
      </c>
      <c r="F7280" s="2"/>
    </row>
    <row r="7281" ht="1.5" customHeight="1">
      <c r="A7281" s="4" t="str">
        <f>IFERROR(__xludf.DUMMYFUNCTION("""COMPUTED_VALUE"""),"1. Microwave")</f>
        <v>1. Microwave</v>
      </c>
      <c r="B7281" s="4" t="str">
        <f>IFERROR(__xludf.DUMMYFUNCTION("""COMPUTED_VALUE"""),"1")</f>
        <v>1</v>
      </c>
      <c r="C7281" s="5" t="str">
        <f>IFERROR(__xludf.DUMMYFUNCTION("""COMPUTED_VALUE"""),"https://drive.google.com/file/d/1CqV5Nt0mWrLSIaOVYB6c1fQGRS2wWYNg/view?usp=drivesdk")</f>
        <v>https://drive.google.com/file/d/1CqV5Nt0mWrLSIaOVYB6c1fQGRS2wWYNg/view?usp=drivesdk</v>
      </c>
      <c r="D7281" s="12"/>
      <c r="E7281" s="11">
        <v>7329.0</v>
      </c>
      <c r="F7281" s="2"/>
    </row>
    <row r="7282" ht="1.5" customHeight="1">
      <c r="A7282" s="4" t="str">
        <f>IFERROR(__xludf.DUMMYFUNCTION("""COMPUTED_VALUE"""),"1. Microwave")</f>
        <v>1. Microwave</v>
      </c>
      <c r="B7282" s="4" t="str">
        <f>IFERROR(__xludf.DUMMYFUNCTION("""COMPUTED_VALUE"""),"1")</f>
        <v>1</v>
      </c>
      <c r="C7282" s="5" t="str">
        <f>IFERROR(__xludf.DUMMYFUNCTION("""COMPUTED_VALUE"""),"https://drive.google.com/file/d/1G1XEhafVEowiDk8U85ibI_XeE1sThBNg/view?usp=drivesdk")</f>
        <v>https://drive.google.com/file/d/1G1XEhafVEowiDk8U85ibI_XeE1sThBNg/view?usp=drivesdk</v>
      </c>
      <c r="D7282" s="12"/>
      <c r="E7282" s="11">
        <v>7330.0</v>
      </c>
      <c r="F7282" s="2"/>
    </row>
    <row r="7283" ht="1.5" customHeight="1">
      <c r="A7283" s="4" t="str">
        <f>IFERROR(__xludf.DUMMYFUNCTION("""COMPUTED_VALUE"""),"4. Eggs, 5. Eraser")</f>
        <v>4. Eggs, 5. Eraser</v>
      </c>
      <c r="B7283" s="4" t="str">
        <f>IFERROR(__xludf.DUMMYFUNCTION("""COMPUTED_VALUE"""),"4, 5")</f>
        <v>4, 5</v>
      </c>
      <c r="C7283" s="5" t="str">
        <f>IFERROR(__xludf.DUMMYFUNCTION("""COMPUTED_VALUE"""),"https://drive.google.com/file/d/1YmlBVbkVmppUQqjeJh_ZpMu2qS6T5M2d/view?usp=drivesdk")</f>
        <v>https://drive.google.com/file/d/1YmlBVbkVmppUQqjeJh_ZpMu2qS6T5M2d/view?usp=drivesdk</v>
      </c>
      <c r="D7283" s="12"/>
      <c r="E7283" s="11">
        <v>7331.0</v>
      </c>
      <c r="F7283" s="2"/>
    </row>
    <row r="7284" ht="1.5" customHeight="1">
      <c r="A7284" s="4" t="str">
        <f>IFERROR(__xludf.DUMMYFUNCTION("""COMPUTED_VALUE"""),"2. Twix")</f>
        <v>2. Twix</v>
      </c>
      <c r="B7284" s="4" t="str">
        <f>IFERROR(__xludf.DUMMYFUNCTION("""COMPUTED_VALUE"""),"2")</f>
        <v>2</v>
      </c>
      <c r="C7284" s="5" t="str">
        <f>IFERROR(__xludf.DUMMYFUNCTION("""COMPUTED_VALUE"""),"https://drive.google.com/file/d/14PMh_Wt-h-dDOQPVAVXNOpqm_j6IqMpa/view?usp=drivesdk")</f>
        <v>https://drive.google.com/file/d/14PMh_Wt-h-dDOQPVAVXNOpqm_j6IqMpa/view?usp=drivesdk</v>
      </c>
      <c r="D7284" s="12"/>
      <c r="E7284" s="11">
        <v>7332.0</v>
      </c>
      <c r="F7284" s="2"/>
    </row>
    <row r="7285" ht="1.5" customHeight="1">
      <c r="A7285" s="4" t="str">
        <f>IFERROR(__xludf.DUMMYFUNCTION("""COMPUTED_VALUE"""),"2. Twix")</f>
        <v>2. Twix</v>
      </c>
      <c r="B7285" s="4" t="str">
        <f>IFERROR(__xludf.DUMMYFUNCTION("""COMPUTED_VALUE"""),"2")</f>
        <v>2</v>
      </c>
      <c r="C7285" s="5" t="str">
        <f>IFERROR(__xludf.DUMMYFUNCTION("""COMPUTED_VALUE"""),"https://drive.google.com/file/d/1Sd5YmgkmKeBQ2lw0D-3u-Lv4Q1LqCPi9/view?usp=drivesdk")</f>
        <v>https://drive.google.com/file/d/1Sd5YmgkmKeBQ2lw0D-3u-Lv4Q1LqCPi9/view?usp=drivesdk</v>
      </c>
      <c r="D7285" s="12"/>
      <c r="E7285" s="11">
        <v>7333.0</v>
      </c>
      <c r="F7285" s="2"/>
    </row>
    <row r="7286" ht="1.5" customHeight="1">
      <c r="A7286" s="4" t="str">
        <f>IFERROR(__xludf.DUMMYFUNCTION("""COMPUTED_VALUE"""),"1. Microwave")</f>
        <v>1. Microwave</v>
      </c>
      <c r="B7286" s="4" t="str">
        <f>IFERROR(__xludf.DUMMYFUNCTION("""COMPUTED_VALUE"""),"1")</f>
        <v>1</v>
      </c>
      <c r="C7286" s="5" t="str">
        <f>IFERROR(__xludf.DUMMYFUNCTION("""COMPUTED_VALUE"""),"https://drive.google.com/file/d/1eAUFo3QQQHYADYBjyFNBPKBhhAUPqulf/view?usp=drivesdk")</f>
        <v>https://drive.google.com/file/d/1eAUFo3QQQHYADYBjyFNBPKBhhAUPqulf/view?usp=drivesdk</v>
      </c>
      <c r="D7286" s="12"/>
      <c r="E7286" s="11">
        <v>7334.0</v>
      </c>
      <c r="F7286" s="2"/>
    </row>
    <row r="7287" ht="1.5" customHeight="1">
      <c r="A7287" s="4" t="str">
        <f>IFERROR(__xludf.DUMMYFUNCTION("""COMPUTED_VALUE"""),"1. Microwave")</f>
        <v>1. Microwave</v>
      </c>
      <c r="B7287" s="4" t="str">
        <f>IFERROR(__xludf.DUMMYFUNCTION("""COMPUTED_VALUE"""),"1")</f>
        <v>1</v>
      </c>
      <c r="C7287" s="5" t="str">
        <f>IFERROR(__xludf.DUMMYFUNCTION("""COMPUTED_VALUE"""),"https://drive.google.com/file/d/1Qqvfeaw7tfg4yfbbAcDVX5LK7b0DfRva/view?usp=drivesdk")</f>
        <v>https://drive.google.com/file/d/1Qqvfeaw7tfg4yfbbAcDVX5LK7b0DfRva/view?usp=drivesdk</v>
      </c>
      <c r="D7287" s="12"/>
      <c r="E7287" s="11">
        <v>7335.0</v>
      </c>
      <c r="F7287" s="2"/>
    </row>
    <row r="7288" ht="1.5" customHeight="1">
      <c r="A7288" s="4" t="str">
        <f>IFERROR(__xludf.DUMMYFUNCTION("""COMPUTED_VALUE"""),"1. Microwave")</f>
        <v>1. Microwave</v>
      </c>
      <c r="B7288" s="4" t="str">
        <f>IFERROR(__xludf.DUMMYFUNCTION("""COMPUTED_VALUE"""),"1")</f>
        <v>1</v>
      </c>
      <c r="C7288" s="5" t="str">
        <f>IFERROR(__xludf.DUMMYFUNCTION("""COMPUTED_VALUE"""),"https://drive.google.com/file/d/105DleTQLElW8ZIUZp9hyuuHCWqQpFNqS/view?usp=drivesdk")</f>
        <v>https://drive.google.com/file/d/105DleTQLElW8ZIUZp9hyuuHCWqQpFNqS/view?usp=drivesdk</v>
      </c>
      <c r="D7288" s="12"/>
      <c r="E7288" s="11">
        <v>7336.0</v>
      </c>
      <c r="F7288" s="2"/>
    </row>
    <row r="7289" ht="1.5" customHeight="1">
      <c r="A7289" s="4" t="str">
        <f>IFERROR(__xludf.DUMMYFUNCTION("""COMPUTED_VALUE"""),"1. Microwave")</f>
        <v>1. Microwave</v>
      </c>
      <c r="B7289" s="4" t="str">
        <f>IFERROR(__xludf.DUMMYFUNCTION("""COMPUTED_VALUE"""),"1")</f>
        <v>1</v>
      </c>
      <c r="C7289" s="5" t="str">
        <f>IFERROR(__xludf.DUMMYFUNCTION("""COMPUTED_VALUE"""),"https://drive.google.com/file/d/1jloD6P_DIpK5mEYHN8sA82MC4y__gj2j/view?usp=drivesdk")</f>
        <v>https://drive.google.com/file/d/1jloD6P_DIpK5mEYHN8sA82MC4y__gj2j/view?usp=drivesdk</v>
      </c>
      <c r="D7289" s="12"/>
      <c r="E7289" s="11">
        <v>7337.0</v>
      </c>
      <c r="F7289" s="2"/>
    </row>
    <row r="7290" ht="1.5" customHeight="1">
      <c r="A7290" s="4" t="str">
        <f>IFERROR(__xludf.DUMMYFUNCTION("""COMPUTED_VALUE"""),"126. Tax Evasion")</f>
        <v>126. Tax Evasion</v>
      </c>
      <c r="B7290" s="4" t="str">
        <f>IFERROR(__xludf.DUMMYFUNCTION("""COMPUTED_VALUE"""),"126")</f>
        <v>126</v>
      </c>
      <c r="C7290" s="5" t="str">
        <f>IFERROR(__xludf.DUMMYFUNCTION("""COMPUTED_VALUE"""),"https://drive.google.com/file/d/1j7oKs-ELY6Sj0x-i4iDw483TgJElPqCR/view?usp=drivesdk")</f>
        <v>https://drive.google.com/file/d/1j7oKs-ELY6Sj0x-i4iDw483TgJElPqCR/view?usp=drivesdk</v>
      </c>
      <c r="D7290" s="12"/>
      <c r="E7290" s="11">
        <v>7338.0</v>
      </c>
      <c r="F7290" s="2"/>
    </row>
    <row r="7291" ht="1.5" customHeight="1">
      <c r="A7291" s="4" t="str">
        <f>IFERROR(__xludf.DUMMYFUNCTION("""COMPUTED_VALUE"""),"105. Chilton")</f>
        <v>105. Chilton</v>
      </c>
      <c r="B7291" s="4" t="str">
        <f>IFERROR(__xludf.DUMMYFUNCTION("""COMPUTED_VALUE"""),"105")</f>
        <v>105</v>
      </c>
      <c r="C7291" s="5" t="str">
        <f>IFERROR(__xludf.DUMMYFUNCTION("""COMPUTED_VALUE"""),"https://drive.google.com/file/d/1rIlLrpdRbjmjQhCNLiJ-_JV89NdWRKY1/view?usp=drivesdk")</f>
        <v>https://drive.google.com/file/d/1rIlLrpdRbjmjQhCNLiJ-_JV89NdWRKY1/view?usp=drivesdk</v>
      </c>
      <c r="D7291" s="12"/>
      <c r="E7291" s="11">
        <v>7339.0</v>
      </c>
      <c r="F7291" s="2"/>
    </row>
    <row r="7292" ht="1.5" customHeight="1">
      <c r="A7292" s="4" t="str">
        <f>IFERROR(__xludf.DUMMYFUNCTION("""COMPUTED_VALUE"""),"105. Chilton")</f>
        <v>105. Chilton</v>
      </c>
      <c r="B7292" s="4" t="str">
        <f>IFERROR(__xludf.DUMMYFUNCTION("""COMPUTED_VALUE"""),"105")</f>
        <v>105</v>
      </c>
      <c r="C7292" s="5" t="str">
        <f>IFERROR(__xludf.DUMMYFUNCTION("""COMPUTED_VALUE"""),"https://drive.google.com/file/d/1eAONnPpGpT0bNGX1be3rRH_VQjJP4Jsj/view?usp=drivesdk")</f>
        <v>https://drive.google.com/file/d/1eAONnPpGpT0bNGX1be3rRH_VQjJP4Jsj/view?usp=drivesdk</v>
      </c>
      <c r="D7292" s="12"/>
      <c r="E7292" s="11">
        <v>7340.0</v>
      </c>
      <c r="F7292" s="2"/>
    </row>
    <row r="7293" ht="1.5" customHeight="1">
      <c r="A7293" s="4" t="str">
        <f>IFERROR(__xludf.DUMMYFUNCTION("""COMPUTED_VALUE"""),"2. Twix")</f>
        <v>2. Twix</v>
      </c>
      <c r="B7293" s="4" t="str">
        <f>IFERROR(__xludf.DUMMYFUNCTION("""COMPUTED_VALUE"""),"2")</f>
        <v>2</v>
      </c>
      <c r="C7293" s="5" t="str">
        <f>IFERROR(__xludf.DUMMYFUNCTION("""COMPUTED_VALUE"""),"https://drive.google.com/file/d/1gbEMmUuTTnCl0KyGjjAejeNwBYYB-KSK/view?usp=drivesdk")</f>
        <v>https://drive.google.com/file/d/1gbEMmUuTTnCl0KyGjjAejeNwBYYB-KSK/view?usp=drivesdk</v>
      </c>
      <c r="D7293" s="12"/>
      <c r="E7293" s="11">
        <v>7341.0</v>
      </c>
      <c r="F7293" s="2"/>
    </row>
    <row r="7294" ht="1.5" customHeight="1">
      <c r="A7294" s="4" t="str">
        <f>IFERROR(__xludf.DUMMYFUNCTION("""COMPUTED_VALUE"""),"4. Eggs, 5. Eraser")</f>
        <v>4. Eggs, 5. Eraser</v>
      </c>
      <c r="B7294" s="4" t="str">
        <f>IFERROR(__xludf.DUMMYFUNCTION("""COMPUTED_VALUE"""),"4, 5")</f>
        <v>4, 5</v>
      </c>
      <c r="C7294" s="5" t="str">
        <f>IFERROR(__xludf.DUMMYFUNCTION("""COMPUTED_VALUE"""),"https://drive.google.com/file/d/1bZR9OoU_9fF_Y6lVPJa8tLHkuvs5lBNs/view?usp=drivesdk")</f>
        <v>https://drive.google.com/file/d/1bZR9OoU_9fF_Y6lVPJa8tLHkuvs5lBNs/view?usp=drivesdk</v>
      </c>
      <c r="D7294" s="12"/>
      <c r="E7294" s="11">
        <v>7342.0</v>
      </c>
      <c r="F7294" s="2"/>
    </row>
    <row r="7295" ht="1.5" customHeight="1">
      <c r="A7295" s="4" t="str">
        <f>IFERROR(__xludf.DUMMYFUNCTION("""COMPUTED_VALUE"""),"0. NotACat")</f>
        <v>0. NotACat</v>
      </c>
      <c r="B7295" s="4" t="str">
        <f>IFERROR(__xludf.DUMMYFUNCTION("""COMPUTED_VALUE"""),"0")</f>
        <v>0</v>
      </c>
      <c r="C7295" s="5" t="str">
        <f>IFERROR(__xludf.DUMMYFUNCTION("""COMPUTED_VALUE"""),"https://drive.google.com/file/d/1JT0CZNArIcS3TFhKIQmQ0Pns7hIibq_b/view?usp=drivesdk")</f>
        <v>https://drive.google.com/file/d/1JT0CZNArIcS3TFhKIQmQ0Pns7hIibq_b/view?usp=drivesdk</v>
      </c>
      <c r="D7295" s="12"/>
      <c r="E7295" s="11">
        <v>7343.0</v>
      </c>
      <c r="F7295" s="2"/>
    </row>
    <row r="7296" ht="1.5" customHeight="1">
      <c r="A7296" s="4" t="str">
        <f>IFERROR(__xludf.DUMMYFUNCTION("""COMPUTED_VALUE"""),"1. Microwave")</f>
        <v>1. Microwave</v>
      </c>
      <c r="B7296" s="4" t="str">
        <f>IFERROR(__xludf.DUMMYFUNCTION("""COMPUTED_VALUE"""),"1")</f>
        <v>1</v>
      </c>
      <c r="C7296" s="5" t="str">
        <f>IFERROR(__xludf.DUMMYFUNCTION("""COMPUTED_VALUE"""),"https://drive.google.com/file/d/1nmAT1xdQ8iHMcWnZJW1OzpNv3kMQSIfU/view?usp=drivesdk")</f>
        <v>https://drive.google.com/file/d/1nmAT1xdQ8iHMcWnZJW1OzpNv3kMQSIfU/view?usp=drivesdk</v>
      </c>
      <c r="D7296" s="12"/>
      <c r="E7296" s="11">
        <v>7344.0</v>
      </c>
      <c r="F7296" s="2"/>
    </row>
    <row r="7297" ht="1.5" customHeight="1">
      <c r="A7297" s="4" t="str">
        <f>IFERROR(__xludf.DUMMYFUNCTION("""COMPUTED_VALUE"""),"125. Conan Gray")</f>
        <v>125. Conan Gray</v>
      </c>
      <c r="B7297" s="4" t="str">
        <f>IFERROR(__xludf.DUMMYFUNCTION("""COMPUTED_VALUE"""),"125")</f>
        <v>125</v>
      </c>
      <c r="C7297" s="5" t="str">
        <f>IFERROR(__xludf.DUMMYFUNCTION("""COMPUTED_VALUE"""),"https://drive.google.com/file/d/1qSkeSAn0tq52JfWMkrgL0AApjOLMq4e8/view?usp=drivesdk")</f>
        <v>https://drive.google.com/file/d/1qSkeSAn0tq52JfWMkrgL0AApjOLMq4e8/view?usp=drivesdk</v>
      </c>
      <c r="D7297" s="12"/>
      <c r="E7297" s="11">
        <v>7345.0</v>
      </c>
      <c r="F7297" s="2"/>
    </row>
    <row r="7298" ht="1.5" customHeight="1">
      <c r="A7298" s="4" t="str">
        <f>IFERROR(__xludf.DUMMYFUNCTION("""COMPUTED_VALUE"""),"125. Conan Gray")</f>
        <v>125. Conan Gray</v>
      </c>
      <c r="B7298" s="4" t="str">
        <f>IFERROR(__xludf.DUMMYFUNCTION("""COMPUTED_VALUE"""),"125")</f>
        <v>125</v>
      </c>
      <c r="C7298" s="5" t="str">
        <f>IFERROR(__xludf.DUMMYFUNCTION("""COMPUTED_VALUE"""),"https://drive.google.com/file/d/1sIHreQVJGj_6QqOzN14A52bB0av0ZQwg/view?usp=drivesdk")</f>
        <v>https://drive.google.com/file/d/1sIHreQVJGj_6QqOzN14A52bB0av0ZQwg/view?usp=drivesdk</v>
      </c>
      <c r="D7298" s="12"/>
      <c r="E7298" s="11">
        <v>7346.0</v>
      </c>
      <c r="F7298" s="2"/>
    </row>
    <row r="7299" ht="1.5" customHeight="1">
      <c r="A7299" s="4" t="str">
        <f>IFERROR(__xludf.DUMMYFUNCTION("""COMPUTED_VALUE"""),"1. Microwave")</f>
        <v>1. Microwave</v>
      </c>
      <c r="B7299" s="4" t="str">
        <f>IFERROR(__xludf.DUMMYFUNCTION("""COMPUTED_VALUE"""),"1")</f>
        <v>1</v>
      </c>
      <c r="C7299" s="5" t="str">
        <f>IFERROR(__xludf.DUMMYFUNCTION("""COMPUTED_VALUE"""),"https://drive.google.com/file/d/1RzJ2sNWnh_umuDFafakUzgzw5yBFpkMt/view?usp=drivesdk")</f>
        <v>https://drive.google.com/file/d/1RzJ2sNWnh_umuDFafakUzgzw5yBFpkMt/view?usp=drivesdk</v>
      </c>
      <c r="D7299" s="12"/>
      <c r="E7299" s="11">
        <v>7347.0</v>
      </c>
      <c r="F7299" s="2"/>
    </row>
    <row r="7300" ht="1.5" customHeight="1">
      <c r="A7300" s="4" t="str">
        <f>IFERROR(__xludf.DUMMYFUNCTION("""COMPUTED_VALUE"""),"125. Conan Gray, 128. Sinatra, 124. Yumi")</f>
        <v>125. Conan Gray, 128. Sinatra, 124. Yumi</v>
      </c>
      <c r="B7300" s="4" t="str">
        <f>IFERROR(__xludf.DUMMYFUNCTION("""COMPUTED_VALUE"""),"125, 128, 124")</f>
        <v>125, 128, 124</v>
      </c>
      <c r="C7300" s="5" t="str">
        <f>IFERROR(__xludf.DUMMYFUNCTION("""COMPUTED_VALUE"""),"https://drive.google.com/file/d/1CVZiySB3pjObQdhI-WI1vdC4KDNeSc2X/view?usp=drivesdk")</f>
        <v>https://drive.google.com/file/d/1CVZiySB3pjObQdhI-WI1vdC4KDNeSc2X/view?usp=drivesdk</v>
      </c>
      <c r="D7300" s="12"/>
      <c r="E7300" s="11">
        <v>7348.0</v>
      </c>
      <c r="F7300" s="2"/>
    </row>
    <row r="7301" ht="1.5" customHeight="1">
      <c r="A7301" s="4" t="str">
        <f>IFERROR(__xludf.DUMMYFUNCTION("""COMPUTED_VALUE"""),"125. Conan Gray")</f>
        <v>125. Conan Gray</v>
      </c>
      <c r="B7301" s="4" t="str">
        <f>IFERROR(__xludf.DUMMYFUNCTION("""COMPUTED_VALUE"""),"125")</f>
        <v>125</v>
      </c>
      <c r="C7301" s="5" t="str">
        <f>IFERROR(__xludf.DUMMYFUNCTION("""COMPUTED_VALUE"""),"https://drive.google.com/file/d/1Gp21TOjk3roiiiT4tnnb4aQP3IbiXrXc/view?usp=drivesdk")</f>
        <v>https://drive.google.com/file/d/1Gp21TOjk3roiiiT4tnnb4aQP3IbiXrXc/view?usp=drivesdk</v>
      </c>
      <c r="D7301" s="12"/>
      <c r="E7301" s="11">
        <v>7349.0</v>
      </c>
      <c r="F7301" s="2"/>
    </row>
    <row r="7302" ht="1.5" customHeight="1">
      <c r="A7302" s="4" t="str">
        <f>IFERROR(__xludf.DUMMYFUNCTION("""COMPUTED_VALUE"""),"125. Conan Gray")</f>
        <v>125. Conan Gray</v>
      </c>
      <c r="B7302" s="4" t="str">
        <f>IFERROR(__xludf.DUMMYFUNCTION("""COMPUTED_VALUE"""),"125")</f>
        <v>125</v>
      </c>
      <c r="C7302" s="5" t="str">
        <f>IFERROR(__xludf.DUMMYFUNCTION("""COMPUTED_VALUE"""),"https://drive.google.com/file/d/1ZahIwUaT2nbFWNmQ4-tuH3nzsiAMhkaO/view?usp=drivesdk")</f>
        <v>https://drive.google.com/file/d/1ZahIwUaT2nbFWNmQ4-tuH3nzsiAMhkaO/view?usp=drivesdk</v>
      </c>
      <c r="D7302" s="12"/>
      <c r="E7302" s="11">
        <v>7350.0</v>
      </c>
      <c r="F7302" s="2"/>
    </row>
    <row r="7303" ht="1.5" customHeight="1">
      <c r="A7303" s="4" t="str">
        <f>IFERROR(__xludf.DUMMYFUNCTION("""COMPUTED_VALUE"""),"125. Conan Gray")</f>
        <v>125. Conan Gray</v>
      </c>
      <c r="B7303" s="4" t="str">
        <f>IFERROR(__xludf.DUMMYFUNCTION("""COMPUTED_VALUE"""),"125")</f>
        <v>125</v>
      </c>
      <c r="C7303" s="5" t="str">
        <f>IFERROR(__xludf.DUMMYFUNCTION("""COMPUTED_VALUE"""),"https://drive.google.com/file/d/1hWaMM-YBh3g5NURQeyH-FOjHeD3FcT-m/view?usp=drivesdk")</f>
        <v>https://drive.google.com/file/d/1hWaMM-YBh3g5NURQeyH-FOjHeD3FcT-m/view?usp=drivesdk</v>
      </c>
      <c r="D7303" s="12"/>
      <c r="E7303" s="11">
        <v>7351.0</v>
      </c>
      <c r="F7303" s="2"/>
    </row>
    <row r="7304" ht="1.5" customHeight="1">
      <c r="A7304" s="4" t="str">
        <f>IFERROR(__xludf.DUMMYFUNCTION("""COMPUTED_VALUE"""),"125. Conan Gray")</f>
        <v>125. Conan Gray</v>
      </c>
      <c r="B7304" s="4" t="str">
        <f>IFERROR(__xludf.DUMMYFUNCTION("""COMPUTED_VALUE"""),"125")</f>
        <v>125</v>
      </c>
      <c r="C7304" s="5" t="str">
        <f>IFERROR(__xludf.DUMMYFUNCTION("""COMPUTED_VALUE"""),"https://drive.google.com/file/d/1yHTMsy1ECZh99Htlmg-O1r4okUNsVi85/view?usp=drivesdk")</f>
        <v>https://drive.google.com/file/d/1yHTMsy1ECZh99Htlmg-O1r4okUNsVi85/view?usp=drivesdk</v>
      </c>
      <c r="D7304" s="12"/>
      <c r="E7304" s="11">
        <v>7352.0</v>
      </c>
      <c r="F7304" s="2"/>
    </row>
    <row r="7305" ht="1.5" customHeight="1">
      <c r="A7305" s="4" t="str">
        <f>IFERROR(__xludf.DUMMYFUNCTION("""COMPUTED_VALUE"""),"125. Conan Gray, 124. Yumi")</f>
        <v>125. Conan Gray, 124. Yumi</v>
      </c>
      <c r="B7305" s="4" t="str">
        <f>IFERROR(__xludf.DUMMYFUNCTION("""COMPUTED_VALUE"""),"125, 124")</f>
        <v>125, 124</v>
      </c>
      <c r="C7305" s="5" t="str">
        <f>IFERROR(__xludf.DUMMYFUNCTION("""COMPUTED_VALUE"""),"https://drive.google.com/file/d/13n2lgDALWm8TofHSCVB1orTR4y3N0x7C/view?usp=drivesdk")</f>
        <v>https://drive.google.com/file/d/13n2lgDALWm8TofHSCVB1orTR4y3N0x7C/view?usp=drivesdk</v>
      </c>
      <c r="D7305" s="12"/>
      <c r="E7305" s="11">
        <v>7353.0</v>
      </c>
      <c r="F7305" s="2"/>
    </row>
    <row r="7306" ht="1.5" customHeight="1">
      <c r="A7306" s="4" t="str">
        <f>IFERROR(__xludf.DUMMYFUNCTION("""COMPUTED_VALUE"""),"125. Conan Gray")</f>
        <v>125. Conan Gray</v>
      </c>
      <c r="B7306" s="4" t="str">
        <f>IFERROR(__xludf.DUMMYFUNCTION("""COMPUTED_VALUE"""),"125")</f>
        <v>125</v>
      </c>
      <c r="C7306" s="5" t="str">
        <f>IFERROR(__xludf.DUMMYFUNCTION("""COMPUTED_VALUE"""),"https://drive.google.com/file/d/1Gh5AJ-7baAg6sJHrqbRsybT67SW5fUX1/view?usp=drivesdk")</f>
        <v>https://drive.google.com/file/d/1Gh5AJ-7baAg6sJHrqbRsybT67SW5fUX1/view?usp=drivesdk</v>
      </c>
      <c r="D7306" s="12"/>
      <c r="E7306" s="11">
        <v>7354.0</v>
      </c>
      <c r="F7306" s="2"/>
    </row>
    <row r="7307" ht="1.5" customHeight="1">
      <c r="A7307" s="4" t="str">
        <f>IFERROR(__xludf.DUMMYFUNCTION("""COMPUTED_VALUE"""),"127. Eleanor")</f>
        <v>127. Eleanor</v>
      </c>
      <c r="B7307" s="4" t="str">
        <f>IFERROR(__xludf.DUMMYFUNCTION("""COMPUTED_VALUE"""),"127")</f>
        <v>127</v>
      </c>
      <c r="C7307" s="5" t="str">
        <f>IFERROR(__xludf.DUMMYFUNCTION("""COMPUTED_VALUE"""),"https://drive.google.com/file/d/1OUYpiIk9qdNYoMvowGMhcVj_a0ESl0GP/view?usp=drivesdk")</f>
        <v>https://drive.google.com/file/d/1OUYpiIk9qdNYoMvowGMhcVj_a0ESl0GP/view?usp=drivesdk</v>
      </c>
      <c r="D7307" s="12"/>
      <c r="E7307" s="11">
        <v>7355.0</v>
      </c>
      <c r="F7307" s="2"/>
    </row>
    <row r="7308" ht="1.5" customHeight="1">
      <c r="A7308" s="4" t="str">
        <f>IFERROR(__xludf.DUMMYFUNCTION("""COMPUTED_VALUE"""),"127. Eleanor")</f>
        <v>127. Eleanor</v>
      </c>
      <c r="B7308" s="4" t="str">
        <f>IFERROR(__xludf.DUMMYFUNCTION("""COMPUTED_VALUE"""),"127")</f>
        <v>127</v>
      </c>
      <c r="C7308" s="5" t="str">
        <f>IFERROR(__xludf.DUMMYFUNCTION("""COMPUTED_VALUE"""),"https://drive.google.com/file/d/1-uzXNYj01yojOvSUJkl3ajOHpxCaB971/view?usp=drivesdk")</f>
        <v>https://drive.google.com/file/d/1-uzXNYj01yojOvSUJkl3ajOHpxCaB971/view?usp=drivesdk</v>
      </c>
      <c r="D7308" s="12"/>
      <c r="E7308" s="11">
        <v>7356.0</v>
      </c>
      <c r="F7308" s="2"/>
    </row>
    <row r="7309" ht="1.5" customHeight="1">
      <c r="A7309" s="4" t="str">
        <f>IFERROR(__xludf.DUMMYFUNCTION("""COMPUTED_VALUE"""),"127. Eleanor")</f>
        <v>127. Eleanor</v>
      </c>
      <c r="B7309" s="4" t="str">
        <f>IFERROR(__xludf.DUMMYFUNCTION("""COMPUTED_VALUE"""),"127")</f>
        <v>127</v>
      </c>
      <c r="C7309" s="5" t="str">
        <f>IFERROR(__xludf.DUMMYFUNCTION("""COMPUTED_VALUE"""),"https://drive.google.com/file/d/1XkXEU6g94am5J7aI6CkHsHc8s1-3uxiu/view?usp=drivesdk")</f>
        <v>https://drive.google.com/file/d/1XkXEU6g94am5J7aI6CkHsHc8s1-3uxiu/view?usp=drivesdk</v>
      </c>
      <c r="D7309" s="12"/>
      <c r="E7309" s="11">
        <v>7357.0</v>
      </c>
      <c r="F7309" s="2"/>
    </row>
    <row r="7310" ht="1.5" customHeight="1">
      <c r="A7310" s="4" t="str">
        <f>IFERROR(__xludf.DUMMYFUNCTION("""COMPUTED_VALUE"""),"1. Microwave")</f>
        <v>1. Microwave</v>
      </c>
      <c r="B7310" s="4" t="str">
        <f>IFERROR(__xludf.DUMMYFUNCTION("""COMPUTED_VALUE"""),"1")</f>
        <v>1</v>
      </c>
      <c r="C7310" s="5" t="str">
        <f>IFERROR(__xludf.DUMMYFUNCTION("""COMPUTED_VALUE"""),"https://drive.google.com/file/d/14_cvQUz43JjCCKBEjOVqmuVC-vNzXYXF/view?usp=drivesdk")</f>
        <v>https://drive.google.com/file/d/14_cvQUz43JjCCKBEjOVqmuVC-vNzXYXF/view?usp=drivesdk</v>
      </c>
      <c r="D7310" s="12"/>
      <c r="E7310" s="11">
        <v>7358.0</v>
      </c>
      <c r="F7310" s="2"/>
    </row>
    <row r="7311" ht="1.5" customHeight="1">
      <c r="A7311" s="4" t="str">
        <f>IFERROR(__xludf.DUMMYFUNCTION("""COMPUTED_VALUE"""),"1. Microwave")</f>
        <v>1. Microwave</v>
      </c>
      <c r="B7311" s="4" t="str">
        <f>IFERROR(__xludf.DUMMYFUNCTION("""COMPUTED_VALUE"""),"1")</f>
        <v>1</v>
      </c>
      <c r="C7311" s="5" t="str">
        <f>IFERROR(__xludf.DUMMYFUNCTION("""COMPUTED_VALUE"""),"https://drive.google.com/file/d/1lsZGFjtX4ifRcyY46yZY9iBIVAaQ4s_C/view?usp=drivesdk")</f>
        <v>https://drive.google.com/file/d/1lsZGFjtX4ifRcyY46yZY9iBIVAaQ4s_C/view?usp=drivesdk</v>
      </c>
      <c r="D7311" s="12"/>
      <c r="E7311" s="11">
        <v>7359.0</v>
      </c>
      <c r="F7311" s="2"/>
    </row>
    <row r="7312" ht="1.5" customHeight="1">
      <c r="A7312" s="4" t="str">
        <f>IFERROR(__xludf.DUMMYFUNCTION("""COMPUTED_VALUE"""),"124. Yumi")</f>
        <v>124. Yumi</v>
      </c>
      <c r="B7312" s="4" t="str">
        <f>IFERROR(__xludf.DUMMYFUNCTION("""COMPUTED_VALUE"""),"124")</f>
        <v>124</v>
      </c>
      <c r="C7312" s="5" t="str">
        <f>IFERROR(__xludf.DUMMYFUNCTION("""COMPUTED_VALUE"""),"https://drive.google.com/file/d/1MeHBHrIMk-pw9ZsZIWBMSXCuAeZ6u654/view?usp=drivesdk")</f>
        <v>https://drive.google.com/file/d/1MeHBHrIMk-pw9ZsZIWBMSXCuAeZ6u654/view?usp=drivesdk</v>
      </c>
      <c r="D7312" s="12"/>
      <c r="E7312" s="11">
        <v>7360.0</v>
      </c>
      <c r="F7312" s="2"/>
    </row>
    <row r="7313" ht="1.5" customHeight="1">
      <c r="A7313" s="4" t="str">
        <f>IFERROR(__xludf.DUMMYFUNCTION("""COMPUTED_VALUE"""),"128. Sinatra")</f>
        <v>128. Sinatra</v>
      </c>
      <c r="B7313" s="4" t="str">
        <f>IFERROR(__xludf.DUMMYFUNCTION("""COMPUTED_VALUE"""),"128")</f>
        <v>128</v>
      </c>
      <c r="C7313" s="5" t="str">
        <f>IFERROR(__xludf.DUMMYFUNCTION("""COMPUTED_VALUE"""),"https://drive.google.com/file/d/1LjRDYk5RAa6FQ44FwPZ1IMNYuvXD9Gg4/view?usp=drivesdk")</f>
        <v>https://drive.google.com/file/d/1LjRDYk5RAa6FQ44FwPZ1IMNYuvXD9Gg4/view?usp=drivesdk</v>
      </c>
      <c r="D7313" s="12"/>
      <c r="E7313" s="11">
        <v>7361.0</v>
      </c>
      <c r="F7313" s="2"/>
    </row>
    <row r="7314" ht="1.5" customHeight="1">
      <c r="A7314" s="4" t="str">
        <f>IFERROR(__xludf.DUMMYFUNCTION("""COMPUTED_VALUE"""),"125. Conan Gray")</f>
        <v>125. Conan Gray</v>
      </c>
      <c r="B7314" s="4" t="str">
        <f>IFERROR(__xludf.DUMMYFUNCTION("""COMPUTED_VALUE"""),"125")</f>
        <v>125</v>
      </c>
      <c r="C7314" s="5" t="str">
        <f>IFERROR(__xludf.DUMMYFUNCTION("""COMPUTED_VALUE"""),"https://drive.google.com/file/d/1IEBxbfI89XBamS9r8xY6cUUvz0YglIue/view?usp=drivesdk")</f>
        <v>https://drive.google.com/file/d/1IEBxbfI89XBamS9r8xY6cUUvz0YglIue/view?usp=drivesdk</v>
      </c>
      <c r="D7314" s="12"/>
      <c r="E7314" s="11">
        <v>7362.0</v>
      </c>
      <c r="F7314" s="2"/>
    </row>
    <row r="7315" ht="1.5" customHeight="1">
      <c r="A7315" s="4" t="str">
        <f>IFERROR(__xludf.DUMMYFUNCTION("""COMPUTED_VALUE"""),"125. Conan Gray")</f>
        <v>125. Conan Gray</v>
      </c>
      <c r="B7315" s="4" t="str">
        <f>IFERROR(__xludf.DUMMYFUNCTION("""COMPUTED_VALUE"""),"125")</f>
        <v>125</v>
      </c>
      <c r="C7315" s="5" t="str">
        <f>IFERROR(__xludf.DUMMYFUNCTION("""COMPUTED_VALUE"""),"https://drive.google.com/file/d/1oF_Z-gRfEM-aTvcD-zFwqamCqfWDPPbd/view?usp=drivesdk")</f>
        <v>https://drive.google.com/file/d/1oF_Z-gRfEM-aTvcD-zFwqamCqfWDPPbd/view?usp=drivesdk</v>
      </c>
      <c r="D7315" s="12"/>
      <c r="E7315" s="11">
        <v>7363.0</v>
      </c>
      <c r="F7315" s="2"/>
    </row>
    <row r="7316" ht="1.5" customHeight="1">
      <c r="A7316" s="4" t="str">
        <f>IFERROR(__xludf.DUMMYFUNCTION("""COMPUTED_VALUE"""),"124. Yumi, 125. Conan Gray")</f>
        <v>124. Yumi, 125. Conan Gray</v>
      </c>
      <c r="B7316" s="4" t="str">
        <f>IFERROR(__xludf.DUMMYFUNCTION("""COMPUTED_VALUE"""),"124, 125")</f>
        <v>124, 125</v>
      </c>
      <c r="C7316" s="5" t="str">
        <f>IFERROR(__xludf.DUMMYFUNCTION("""COMPUTED_VALUE"""),"https://drive.google.com/file/d/1QBxd4mu1-L_euJIYArYaB_hjKtAvkW2v/view?usp=drivesdk")</f>
        <v>https://drive.google.com/file/d/1QBxd4mu1-L_euJIYArYaB_hjKtAvkW2v/view?usp=drivesdk</v>
      </c>
      <c r="D7316" s="12"/>
      <c r="E7316" s="11">
        <v>7364.0</v>
      </c>
      <c r="F7316" s="2"/>
    </row>
    <row r="7317" ht="1.5" customHeight="1">
      <c r="A7317" s="4" t="str">
        <f>IFERROR(__xludf.DUMMYFUNCTION("""COMPUTED_VALUE"""),"125. Conan Gray, 124. Yumi")</f>
        <v>125. Conan Gray, 124. Yumi</v>
      </c>
      <c r="B7317" s="4" t="str">
        <f>IFERROR(__xludf.DUMMYFUNCTION("""COMPUTED_VALUE"""),"125, 124")</f>
        <v>125, 124</v>
      </c>
      <c r="C7317" s="5" t="str">
        <f>IFERROR(__xludf.DUMMYFUNCTION("""COMPUTED_VALUE"""),"https://drive.google.com/file/d/1gd7XslXEQwL8745HDZkZLTZEl2DTvlnX/view?usp=drivesdk")</f>
        <v>https://drive.google.com/file/d/1gd7XslXEQwL8745HDZkZLTZEl2DTvlnX/view?usp=drivesdk</v>
      </c>
      <c r="D7317" s="12"/>
      <c r="E7317" s="11">
        <v>7365.0</v>
      </c>
      <c r="F7317" s="2"/>
    </row>
    <row r="7318" ht="1.5" customHeight="1">
      <c r="A7318" s="4" t="str">
        <f>IFERROR(__xludf.DUMMYFUNCTION("""COMPUTED_VALUE"""),"124. Yumi")</f>
        <v>124. Yumi</v>
      </c>
      <c r="B7318" s="4" t="str">
        <f>IFERROR(__xludf.DUMMYFUNCTION("""COMPUTED_VALUE"""),"124")</f>
        <v>124</v>
      </c>
      <c r="C7318" s="5" t="str">
        <f>IFERROR(__xludf.DUMMYFUNCTION("""COMPUTED_VALUE"""),"https://drive.google.com/file/d/1mnoOIPUWA5jJOxYEuDCAjuZEKREZ6ugU/view?usp=drivesdk")</f>
        <v>https://drive.google.com/file/d/1mnoOIPUWA5jJOxYEuDCAjuZEKREZ6ugU/view?usp=drivesdk</v>
      </c>
      <c r="D7318" s="12"/>
      <c r="E7318" s="11">
        <v>7366.0</v>
      </c>
      <c r="F7318" s="2"/>
    </row>
    <row r="7319" ht="1.5" customHeight="1">
      <c r="A7319" s="4" t="str">
        <f>IFERROR(__xludf.DUMMYFUNCTION("""COMPUTED_VALUE"""),"125. Conan Gray")</f>
        <v>125. Conan Gray</v>
      </c>
      <c r="B7319" s="4" t="str">
        <f>IFERROR(__xludf.DUMMYFUNCTION("""COMPUTED_VALUE"""),"125")</f>
        <v>125</v>
      </c>
      <c r="C7319" s="5" t="str">
        <f>IFERROR(__xludf.DUMMYFUNCTION("""COMPUTED_VALUE"""),"https://drive.google.com/file/d/1ewqwRsJWTOj5yETm8vKWQhvEshrd1V_B/view?usp=drivesdk")</f>
        <v>https://drive.google.com/file/d/1ewqwRsJWTOj5yETm8vKWQhvEshrd1V_B/view?usp=drivesdk</v>
      </c>
      <c r="D7319" s="12"/>
      <c r="E7319" s="11">
        <v>7367.0</v>
      </c>
      <c r="F7319" s="2"/>
    </row>
    <row r="7320" ht="1.5" customHeight="1">
      <c r="A7320" s="4" t="str">
        <f>IFERROR(__xludf.DUMMYFUNCTION("""COMPUTED_VALUE"""),"125. Conan Gray")</f>
        <v>125. Conan Gray</v>
      </c>
      <c r="B7320" s="4" t="str">
        <f>IFERROR(__xludf.DUMMYFUNCTION("""COMPUTED_VALUE"""),"125")</f>
        <v>125</v>
      </c>
      <c r="C7320" s="5" t="str">
        <f>IFERROR(__xludf.DUMMYFUNCTION("""COMPUTED_VALUE"""),"https://drive.google.com/file/d/1dmjZu9lHAQnQDIiIjMjhagTDh8qM2aGA/view?usp=drivesdk")</f>
        <v>https://drive.google.com/file/d/1dmjZu9lHAQnQDIiIjMjhagTDh8qM2aGA/view?usp=drivesdk</v>
      </c>
      <c r="D7320" s="12"/>
      <c r="E7320" s="11">
        <v>7368.0</v>
      </c>
      <c r="F7320" s="2"/>
    </row>
    <row r="7321" ht="1.5" customHeight="1">
      <c r="A7321" s="4" t="str">
        <f>IFERROR(__xludf.DUMMYFUNCTION("""COMPUTED_VALUE"""),"128. Sinatra")</f>
        <v>128. Sinatra</v>
      </c>
      <c r="B7321" s="4" t="str">
        <f>IFERROR(__xludf.DUMMYFUNCTION("""COMPUTED_VALUE"""),"128")</f>
        <v>128</v>
      </c>
      <c r="C7321" s="5" t="str">
        <f>IFERROR(__xludf.DUMMYFUNCTION("""COMPUTED_VALUE"""),"https://drive.google.com/file/d/1xZFHVU2hpfkwOMkZHk2B3HEX5WPQUBaY/view?usp=drivesdk")</f>
        <v>https://drive.google.com/file/d/1xZFHVU2hpfkwOMkZHk2B3HEX5WPQUBaY/view?usp=drivesdk</v>
      </c>
      <c r="D7321" s="12"/>
      <c r="E7321" s="11">
        <v>7369.0</v>
      </c>
      <c r="F7321" s="2"/>
    </row>
    <row r="7322" ht="1.5" customHeight="1">
      <c r="A7322" s="4" t="str">
        <f>IFERROR(__xludf.DUMMYFUNCTION("""COMPUTED_VALUE"""),"128. Sinatra")</f>
        <v>128. Sinatra</v>
      </c>
      <c r="B7322" s="4" t="str">
        <f>IFERROR(__xludf.DUMMYFUNCTION("""COMPUTED_VALUE"""),"128")</f>
        <v>128</v>
      </c>
      <c r="C7322" s="5" t="str">
        <f>IFERROR(__xludf.DUMMYFUNCTION("""COMPUTED_VALUE"""),"https://drive.google.com/file/d/1mkNWju6_LqUnPjoEduIzKT9nsL6_MAUL/view?usp=drivesdk")</f>
        <v>https://drive.google.com/file/d/1mkNWju6_LqUnPjoEduIzKT9nsL6_MAUL/view?usp=drivesdk</v>
      </c>
      <c r="D7322" s="12"/>
      <c r="E7322" s="11">
        <v>7370.0</v>
      </c>
      <c r="F7322" s="2"/>
    </row>
    <row r="7323" ht="1.5" customHeight="1">
      <c r="A7323" s="4" t="str">
        <f>IFERROR(__xludf.DUMMYFUNCTION("""COMPUTED_VALUE"""),"125. Conan Gray")</f>
        <v>125. Conan Gray</v>
      </c>
      <c r="B7323" s="4" t="str">
        <f>IFERROR(__xludf.DUMMYFUNCTION("""COMPUTED_VALUE"""),"125")</f>
        <v>125</v>
      </c>
      <c r="C7323" s="5" t="str">
        <f>IFERROR(__xludf.DUMMYFUNCTION("""COMPUTED_VALUE"""),"https://drive.google.com/file/d/1CScEp7pfWhUmrTOLfB_zdhLage_L0lQo/view?usp=drivesdk")</f>
        <v>https://drive.google.com/file/d/1CScEp7pfWhUmrTOLfB_zdhLage_L0lQo/view?usp=drivesdk</v>
      </c>
      <c r="D7323" s="12"/>
      <c r="E7323" s="11">
        <v>7371.0</v>
      </c>
      <c r="F7323" s="2"/>
    </row>
    <row r="7324" ht="1.5" customHeight="1">
      <c r="A7324" s="4" t="str">
        <f>IFERROR(__xludf.DUMMYFUNCTION("""COMPUTED_VALUE"""),"125. Conan Gray")</f>
        <v>125. Conan Gray</v>
      </c>
      <c r="B7324" s="4" t="str">
        <f>IFERROR(__xludf.DUMMYFUNCTION("""COMPUTED_VALUE"""),"125")</f>
        <v>125</v>
      </c>
      <c r="C7324" s="5" t="str">
        <f>IFERROR(__xludf.DUMMYFUNCTION("""COMPUTED_VALUE"""),"https://drive.google.com/file/d/1HhzM6X9nGtUuyaIONuOC3qkRfG0smOwg/view?usp=drivesdk")</f>
        <v>https://drive.google.com/file/d/1HhzM6X9nGtUuyaIONuOC3qkRfG0smOwg/view?usp=drivesdk</v>
      </c>
      <c r="D7324" s="12"/>
      <c r="E7324" s="11">
        <v>7372.0</v>
      </c>
      <c r="F7324" s="2"/>
    </row>
    <row r="7325" ht="1.5" customHeight="1">
      <c r="A7325" s="4" t="str">
        <f>IFERROR(__xludf.DUMMYFUNCTION("""COMPUTED_VALUE"""),"125. Conan Gray")</f>
        <v>125. Conan Gray</v>
      </c>
      <c r="B7325" s="4" t="str">
        <f>IFERROR(__xludf.DUMMYFUNCTION("""COMPUTED_VALUE"""),"125")</f>
        <v>125</v>
      </c>
      <c r="C7325" s="5" t="str">
        <f>IFERROR(__xludf.DUMMYFUNCTION("""COMPUTED_VALUE"""),"https://drive.google.com/file/d/1aUssARc9lMArCOf-inZP0Y0DgWn53kpg/view?usp=drivesdk")</f>
        <v>https://drive.google.com/file/d/1aUssARc9lMArCOf-inZP0Y0DgWn53kpg/view?usp=drivesdk</v>
      </c>
      <c r="D7325" s="12"/>
      <c r="E7325" s="11">
        <v>7373.0</v>
      </c>
      <c r="F7325" s="2"/>
    </row>
    <row r="7326" ht="1.5" customHeight="1">
      <c r="A7326" s="4" t="str">
        <f>IFERROR(__xludf.DUMMYFUNCTION("""COMPUTED_VALUE"""),"124. Yumi")</f>
        <v>124. Yumi</v>
      </c>
      <c r="B7326" s="4" t="str">
        <f>IFERROR(__xludf.DUMMYFUNCTION("""COMPUTED_VALUE"""),"124")</f>
        <v>124</v>
      </c>
      <c r="C7326" s="5" t="str">
        <f>IFERROR(__xludf.DUMMYFUNCTION("""COMPUTED_VALUE"""),"https://drive.google.com/file/d/1SR10Vs_RkDj-Ql3dmbGd2WFRRjuy8l2n/view?usp=drivesdk")</f>
        <v>https://drive.google.com/file/d/1SR10Vs_RkDj-Ql3dmbGd2WFRRjuy8l2n/view?usp=drivesdk</v>
      </c>
      <c r="D7326" s="12"/>
      <c r="E7326" s="11">
        <v>7374.0</v>
      </c>
      <c r="F7326" s="2"/>
    </row>
    <row r="7327" ht="1.5" customHeight="1">
      <c r="A7327" s="4" t="str">
        <f>IFERROR(__xludf.DUMMYFUNCTION("""COMPUTED_VALUE"""),"124. Yumi")</f>
        <v>124. Yumi</v>
      </c>
      <c r="B7327" s="4" t="str">
        <f>IFERROR(__xludf.DUMMYFUNCTION("""COMPUTED_VALUE"""),"124")</f>
        <v>124</v>
      </c>
      <c r="C7327" s="5" t="str">
        <f>IFERROR(__xludf.DUMMYFUNCTION("""COMPUTED_VALUE"""),"https://drive.google.com/file/d/18JIq65Pvr-EZ0s9-6FyXb-w6sEo-Ycgi/view?usp=drivesdk")</f>
        <v>https://drive.google.com/file/d/18JIq65Pvr-EZ0s9-6FyXb-w6sEo-Ycgi/view?usp=drivesdk</v>
      </c>
      <c r="D7327" s="12"/>
      <c r="E7327" s="11">
        <v>7375.0</v>
      </c>
      <c r="F7327" s="2"/>
    </row>
    <row r="7328" ht="1.5" customHeight="1">
      <c r="A7328" s="4" t="str">
        <f>IFERROR(__xludf.DUMMYFUNCTION("""COMPUTED_VALUE"""),"124. Yumi")</f>
        <v>124. Yumi</v>
      </c>
      <c r="B7328" s="4" t="str">
        <f>IFERROR(__xludf.DUMMYFUNCTION("""COMPUTED_VALUE"""),"124")</f>
        <v>124</v>
      </c>
      <c r="C7328" s="5" t="str">
        <f>IFERROR(__xludf.DUMMYFUNCTION("""COMPUTED_VALUE"""),"https://drive.google.com/file/d/1Et1sm5fwAtmu2bYUKELwGRwYQvTlmwKY/view?usp=drivesdk")</f>
        <v>https://drive.google.com/file/d/1Et1sm5fwAtmu2bYUKELwGRwYQvTlmwKY/view?usp=drivesdk</v>
      </c>
      <c r="D7328" s="12"/>
      <c r="E7328" s="11">
        <v>7376.0</v>
      </c>
      <c r="F7328" s="2"/>
    </row>
    <row r="7329" ht="1.5" customHeight="1">
      <c r="A7329" s="4" t="str">
        <f>IFERROR(__xludf.DUMMYFUNCTION("""COMPUTED_VALUE"""),"124. Yumi")</f>
        <v>124. Yumi</v>
      </c>
      <c r="B7329" s="4" t="str">
        <f>IFERROR(__xludf.DUMMYFUNCTION("""COMPUTED_VALUE"""),"124")</f>
        <v>124</v>
      </c>
      <c r="C7329" s="5" t="str">
        <f>IFERROR(__xludf.DUMMYFUNCTION("""COMPUTED_VALUE"""),"https://drive.google.com/file/d/1X3xkA4GfcCUMNDS7ZwPi7bv3k_RwKpBZ/view?usp=drivesdk")</f>
        <v>https://drive.google.com/file/d/1X3xkA4GfcCUMNDS7ZwPi7bv3k_RwKpBZ/view?usp=drivesdk</v>
      </c>
      <c r="D7329" s="12"/>
      <c r="E7329" s="11">
        <v>7377.0</v>
      </c>
      <c r="F7329" s="2"/>
    </row>
    <row r="7330" ht="1.5" customHeight="1">
      <c r="A7330" s="4" t="str">
        <f>IFERROR(__xludf.DUMMYFUNCTION("""COMPUTED_VALUE"""),"124. Yumi")</f>
        <v>124. Yumi</v>
      </c>
      <c r="B7330" s="4" t="str">
        <f>IFERROR(__xludf.DUMMYFUNCTION("""COMPUTED_VALUE"""),"124")</f>
        <v>124</v>
      </c>
      <c r="C7330" s="5" t="str">
        <f>IFERROR(__xludf.DUMMYFUNCTION("""COMPUTED_VALUE"""),"https://drive.google.com/file/d/1cmpMoLypCoDKoIKnOGQJAK90uAcz2SLo/view?usp=drivesdk")</f>
        <v>https://drive.google.com/file/d/1cmpMoLypCoDKoIKnOGQJAK90uAcz2SLo/view?usp=drivesdk</v>
      </c>
      <c r="D7330" s="12"/>
      <c r="E7330" s="11">
        <v>7378.0</v>
      </c>
      <c r="F7330" s="2"/>
    </row>
    <row r="7331" ht="1.5" customHeight="1">
      <c r="A7331" s="4" t="str">
        <f>IFERROR(__xludf.DUMMYFUNCTION("""COMPUTED_VALUE"""),"128. Sinatra")</f>
        <v>128. Sinatra</v>
      </c>
      <c r="B7331" s="4" t="str">
        <f>IFERROR(__xludf.DUMMYFUNCTION("""COMPUTED_VALUE"""),"128")</f>
        <v>128</v>
      </c>
      <c r="C7331" s="5" t="str">
        <f>IFERROR(__xludf.DUMMYFUNCTION("""COMPUTED_VALUE"""),"https://drive.google.com/file/d/1ZEoU70Cb3k7pE4cYrk6xP5AXY2l8bwLE/view?usp=drivesdk")</f>
        <v>https://drive.google.com/file/d/1ZEoU70Cb3k7pE4cYrk6xP5AXY2l8bwLE/view?usp=drivesdk</v>
      </c>
      <c r="D7331" s="12"/>
      <c r="E7331" s="11">
        <v>7379.0</v>
      </c>
      <c r="F7331" s="2"/>
    </row>
    <row r="7332" ht="1.5" customHeight="1">
      <c r="A7332" s="4" t="str">
        <f>IFERROR(__xludf.DUMMYFUNCTION("""COMPUTED_VALUE"""),"124. Yumi")</f>
        <v>124. Yumi</v>
      </c>
      <c r="B7332" s="4" t="str">
        <f>IFERROR(__xludf.DUMMYFUNCTION("""COMPUTED_VALUE"""),"124")</f>
        <v>124</v>
      </c>
      <c r="C7332" s="5" t="str">
        <f>IFERROR(__xludf.DUMMYFUNCTION("""COMPUTED_VALUE"""),"https://drive.google.com/file/d/1JztReUNhmO13xPvRvrH8RECxoa2sV0YQ/view?usp=drivesdk")</f>
        <v>https://drive.google.com/file/d/1JztReUNhmO13xPvRvrH8RECxoa2sV0YQ/view?usp=drivesdk</v>
      </c>
      <c r="D7332" s="12"/>
      <c r="E7332" s="11">
        <v>7380.0</v>
      </c>
      <c r="F7332" s="2"/>
    </row>
    <row r="7333" ht="1.5" customHeight="1">
      <c r="A7333" s="4" t="str">
        <f>IFERROR(__xludf.DUMMYFUNCTION("""COMPUTED_VALUE"""),"124. Yumi")</f>
        <v>124. Yumi</v>
      </c>
      <c r="B7333" s="4" t="str">
        <f>IFERROR(__xludf.DUMMYFUNCTION("""COMPUTED_VALUE"""),"124")</f>
        <v>124</v>
      </c>
      <c r="C7333" s="5" t="str">
        <f>IFERROR(__xludf.DUMMYFUNCTION("""COMPUTED_VALUE"""),"https://drive.google.com/file/d/1j3K_Hx6Ar5dHIl02oiVKbxoJE-KxNeE3/view?usp=drivesdk")</f>
        <v>https://drive.google.com/file/d/1j3K_Hx6Ar5dHIl02oiVKbxoJE-KxNeE3/view?usp=drivesdk</v>
      </c>
      <c r="D7333" s="12"/>
      <c r="E7333" s="11">
        <v>7381.0</v>
      </c>
      <c r="F7333" s="2"/>
    </row>
    <row r="7334" ht="1.5" customHeight="1">
      <c r="A7334" s="4" t="str">
        <f>IFERROR(__xludf.DUMMYFUNCTION("""COMPUTED_VALUE"""),"47. Nefarious")</f>
        <v>47. Nefarious</v>
      </c>
      <c r="B7334" s="4" t="str">
        <f>IFERROR(__xludf.DUMMYFUNCTION("""COMPUTED_VALUE"""),"47")</f>
        <v>47</v>
      </c>
      <c r="C7334" s="5" t="str">
        <f>IFERROR(__xludf.DUMMYFUNCTION("""COMPUTED_VALUE"""),"https://drive.google.com/file/d/1fqbzUidKN0nNpY9iyoH-X-rg1H_j9wqA/view?usp=drivesdk")</f>
        <v>https://drive.google.com/file/d/1fqbzUidKN0nNpY9iyoH-X-rg1H_j9wqA/view?usp=drivesdk</v>
      </c>
      <c r="D7334" s="12"/>
      <c r="E7334" s="11">
        <v>7382.0</v>
      </c>
      <c r="F7334" s="2"/>
    </row>
    <row r="7335" ht="1.5" customHeight="1">
      <c r="A7335" s="4" t="str">
        <f>IFERROR(__xludf.DUMMYFUNCTION("""COMPUTED_VALUE"""),"38. Winston")</f>
        <v>38. Winston</v>
      </c>
      <c r="B7335" s="4" t="str">
        <f>IFERROR(__xludf.DUMMYFUNCTION("""COMPUTED_VALUE"""),"38")</f>
        <v>38</v>
      </c>
      <c r="C7335" s="5" t="str">
        <f>IFERROR(__xludf.DUMMYFUNCTION("""COMPUTED_VALUE"""),"https://drive.google.com/file/d/1ork1HxzMiUdPTSb8qb7H5ODmkEpxpneY/view?usp=drivesdk")</f>
        <v>https://drive.google.com/file/d/1ork1HxzMiUdPTSb8qb7H5ODmkEpxpneY/view?usp=drivesdk</v>
      </c>
      <c r="D7335" s="12"/>
      <c r="E7335" s="11">
        <v>7383.0</v>
      </c>
      <c r="F7335" s="2"/>
    </row>
    <row r="7336" ht="1.5" customHeight="1">
      <c r="A7336" s="4" t="str">
        <f>IFERROR(__xludf.DUMMYFUNCTION("""COMPUTED_VALUE"""),"47. Nefarious, 41. Gregory")</f>
        <v>47. Nefarious, 41. Gregory</v>
      </c>
      <c r="B7336" s="4" t="str">
        <f>IFERROR(__xludf.DUMMYFUNCTION("""COMPUTED_VALUE"""),"47, 41")</f>
        <v>47, 41</v>
      </c>
      <c r="C7336" s="5" t="str">
        <f>IFERROR(__xludf.DUMMYFUNCTION("""COMPUTED_VALUE"""),"https://drive.google.com/file/d/1cIbX_RQ22lEpWm7pTOVIBNVulLUimkY4/view?usp=drivesdk")</f>
        <v>https://drive.google.com/file/d/1cIbX_RQ22lEpWm7pTOVIBNVulLUimkY4/view?usp=drivesdk</v>
      </c>
      <c r="D7336" s="12"/>
      <c r="E7336" s="11">
        <v>7384.0</v>
      </c>
      <c r="F7336" s="2"/>
    </row>
    <row r="7337" ht="1.5" customHeight="1">
      <c r="A7337" s="4" t="str">
        <f>IFERROR(__xludf.DUMMYFUNCTION("""COMPUTED_VALUE"""),"39. Radar, 47. Nefarious, 40. Dumpster, 41. Gregory")</f>
        <v>39. Radar, 47. Nefarious, 40. Dumpster, 41. Gregory</v>
      </c>
      <c r="B7337" s="4" t="str">
        <f>IFERROR(__xludf.DUMMYFUNCTION("""COMPUTED_VALUE"""),"39, 47, 40, 41")</f>
        <v>39, 47, 40, 41</v>
      </c>
      <c r="C7337" s="5" t="str">
        <f>IFERROR(__xludf.DUMMYFUNCTION("""COMPUTED_VALUE"""),"https://drive.google.com/file/d/1jVGzvP4aA5V3VtvteoxK-FMUgPQFpNCm/view?usp=drivesdk")</f>
        <v>https://drive.google.com/file/d/1jVGzvP4aA5V3VtvteoxK-FMUgPQFpNCm/view?usp=drivesdk</v>
      </c>
      <c r="D7337" s="12"/>
      <c r="E7337" s="11">
        <v>7385.0</v>
      </c>
      <c r="F7337" s="2"/>
    </row>
    <row r="7338" ht="1.5" customHeight="1">
      <c r="A7338" s="4" t="str">
        <f>IFERROR(__xludf.DUMMYFUNCTION("""COMPUTED_VALUE"""),"40. Dumpster, 47. Nefarious, 39. Radar, 41. Gregory")</f>
        <v>40. Dumpster, 47. Nefarious, 39. Radar, 41. Gregory</v>
      </c>
      <c r="B7338" s="4" t="str">
        <f>IFERROR(__xludf.DUMMYFUNCTION("""COMPUTED_VALUE"""),"40, 47, 39, 41")</f>
        <v>40, 47, 39, 41</v>
      </c>
      <c r="C7338" s="5" t="str">
        <f>IFERROR(__xludf.DUMMYFUNCTION("""COMPUTED_VALUE"""),"https://drive.google.com/file/d/1SCiQurZ0NEy0ig7m-8mQMxTQrvMRgTLo/view?usp=drivesdk")</f>
        <v>https://drive.google.com/file/d/1SCiQurZ0NEy0ig7m-8mQMxTQrvMRgTLo/view?usp=drivesdk</v>
      </c>
      <c r="D7338" s="12"/>
      <c r="E7338" s="11">
        <v>7386.0</v>
      </c>
      <c r="F7338" s="2"/>
    </row>
    <row r="7339" ht="1.5" customHeight="1">
      <c r="A7339" s="4" t="str">
        <f>IFERROR(__xludf.DUMMYFUNCTION("""COMPUTED_VALUE"""),"99. Nezhui, 106. Ami")</f>
        <v>99. Nezhui, 106. Ami</v>
      </c>
      <c r="B7339" s="4" t="str">
        <f>IFERROR(__xludf.DUMMYFUNCTION("""COMPUTED_VALUE"""),"99, 106")</f>
        <v>99, 106</v>
      </c>
      <c r="C7339" s="5" t="str">
        <f>IFERROR(__xludf.DUMMYFUNCTION("""COMPUTED_VALUE"""),"https://drive.google.com/file/d/13NyfkOc1kkw_VmnIkc3qdKtq6bxIMTqw/view?usp=drivesdk")</f>
        <v>https://drive.google.com/file/d/13NyfkOc1kkw_VmnIkc3qdKtq6bxIMTqw/view?usp=drivesdk</v>
      </c>
      <c r="D7339" s="12"/>
      <c r="E7339" s="11">
        <v>7387.0</v>
      </c>
      <c r="F7339" s="2"/>
    </row>
    <row r="7340" ht="1.5" customHeight="1">
      <c r="A7340" s="4" t="str">
        <f>IFERROR(__xludf.DUMMYFUNCTION("""COMPUTED_VALUE"""),"106. Ami, 111. Mayatl, 99. Nezhui")</f>
        <v>106. Ami, 111. Mayatl, 99. Nezhui</v>
      </c>
      <c r="B7340" s="4" t="str">
        <f>IFERROR(__xludf.DUMMYFUNCTION("""COMPUTED_VALUE"""),"106, 111, 99")</f>
        <v>106, 111, 99</v>
      </c>
      <c r="C7340" s="5" t="str">
        <f>IFERROR(__xludf.DUMMYFUNCTION("""COMPUTED_VALUE"""),"https://drive.google.com/file/d/1Dlzw023zus9ErzU8_QcaiI3iw5rqQ6MM/view?usp=drivesdk")</f>
        <v>https://drive.google.com/file/d/1Dlzw023zus9ErzU8_QcaiI3iw5rqQ6MM/view?usp=drivesdk</v>
      </c>
      <c r="D7340" s="12"/>
      <c r="E7340" s="11">
        <v>7388.0</v>
      </c>
      <c r="F7340" s="2"/>
    </row>
    <row r="7341" ht="1.5" customHeight="1">
      <c r="A7341" s="4" t="str">
        <f>IFERROR(__xludf.DUMMYFUNCTION("""COMPUTED_VALUE"""),"111. Mayatl, 99. Nezhui, 108. Mazatl, 110. Ahua, 109. Tlalli")</f>
        <v>111. Mayatl, 99. Nezhui, 108. Mazatl, 110. Ahua, 109. Tlalli</v>
      </c>
      <c r="B7341" s="4" t="str">
        <f>IFERROR(__xludf.DUMMYFUNCTION("""COMPUTED_VALUE"""),"111, 99, 108, 110, 109")</f>
        <v>111, 99, 108, 110, 109</v>
      </c>
      <c r="C7341" s="5" t="str">
        <f>IFERROR(__xludf.DUMMYFUNCTION("""COMPUTED_VALUE"""),"https://drive.google.com/file/d/1iTa05J7Ieyv0w261VcDabX3o6UynGpGd/view?usp=drivesdk")</f>
        <v>https://drive.google.com/file/d/1iTa05J7Ieyv0w261VcDabX3o6UynGpGd/view?usp=drivesdk</v>
      </c>
      <c r="D7341" s="12"/>
      <c r="E7341" s="11">
        <v>7389.0</v>
      </c>
      <c r="F7341" s="2"/>
    </row>
    <row r="7342" ht="1.5" customHeight="1">
      <c r="A7342" s="4" t="str">
        <f>IFERROR(__xludf.DUMMYFUNCTION("""COMPUTED_VALUE"""),"99. Nezhui, 108. Mazatl, 110. Ahua, 109. Tlalli, 111. Mayatl")</f>
        <v>99. Nezhui, 108. Mazatl, 110. Ahua, 109. Tlalli, 111. Mayatl</v>
      </c>
      <c r="B7342" s="4" t="str">
        <f>IFERROR(__xludf.DUMMYFUNCTION("""COMPUTED_VALUE"""),"99, 108, 110, 109, 111")</f>
        <v>99, 108, 110, 109, 111</v>
      </c>
      <c r="C7342" s="5" t="str">
        <f>IFERROR(__xludf.DUMMYFUNCTION("""COMPUTED_VALUE"""),"https://drive.google.com/file/d/10cX7SdHW9UjSlE6Wc01Ni_5obLI860VG/view?usp=drivesdk")</f>
        <v>https://drive.google.com/file/d/10cX7SdHW9UjSlE6Wc01Ni_5obLI860VG/view?usp=drivesdk</v>
      </c>
      <c r="D7342" s="12"/>
      <c r="E7342" s="11">
        <v>7390.0</v>
      </c>
      <c r="F7342" s="2"/>
    </row>
    <row r="7343" ht="1.5" customHeight="1">
      <c r="A7343" s="4" t="str">
        <f>IFERROR(__xludf.DUMMYFUNCTION("""COMPUTED_VALUE"""),"0. NotACat")</f>
        <v>0. NotACat</v>
      </c>
      <c r="B7343" s="4" t="str">
        <f>IFERROR(__xludf.DUMMYFUNCTION("""COMPUTED_VALUE"""),"0")</f>
        <v>0</v>
      </c>
      <c r="C7343" s="5" t="str">
        <f>IFERROR(__xludf.DUMMYFUNCTION("""COMPUTED_VALUE"""),"https://drive.google.com/file/d/1Ta3zHDAy1q9QhkO26dRQ0AN-d-rK0N_Q/view?usp=drivesdk")</f>
        <v>https://drive.google.com/file/d/1Ta3zHDAy1q9QhkO26dRQ0AN-d-rK0N_Q/view?usp=drivesdk</v>
      </c>
      <c r="D7343" s="12"/>
      <c r="E7343" s="11">
        <v>7391.0</v>
      </c>
      <c r="F7343" s="2"/>
    </row>
    <row r="7344" ht="1.5" customHeight="1">
      <c r="A7344" s="4" t="str">
        <f>IFERROR(__xludf.DUMMYFUNCTION("""COMPUTED_VALUE"""),"106. Ami")</f>
        <v>106. Ami</v>
      </c>
      <c r="B7344" s="4" t="str">
        <f>IFERROR(__xludf.DUMMYFUNCTION("""COMPUTED_VALUE"""),"106")</f>
        <v>106</v>
      </c>
      <c r="C7344" s="5" t="str">
        <f>IFERROR(__xludf.DUMMYFUNCTION("""COMPUTED_VALUE"""),"https://drive.google.com/file/d/1hj39KeiVqba61ag64H3fUY71KiYwmpJU/view?usp=drivesdk")</f>
        <v>https://drive.google.com/file/d/1hj39KeiVqba61ag64H3fUY71KiYwmpJU/view?usp=drivesdk</v>
      </c>
      <c r="D7344" s="12"/>
      <c r="E7344" s="11">
        <v>7392.0</v>
      </c>
      <c r="F7344" s="2"/>
    </row>
    <row r="7345" ht="1.5" customHeight="1">
      <c r="A7345" s="4" t="str">
        <f>IFERROR(__xludf.DUMMYFUNCTION("""COMPUTED_VALUE"""),"111. Mayatl")</f>
        <v>111. Mayatl</v>
      </c>
      <c r="B7345" s="4" t="str">
        <f>IFERROR(__xludf.DUMMYFUNCTION("""COMPUTED_VALUE"""),"111")</f>
        <v>111</v>
      </c>
      <c r="C7345" s="5" t="str">
        <f>IFERROR(__xludf.DUMMYFUNCTION("""COMPUTED_VALUE"""),"https://drive.google.com/file/d/162X9_btntVAuIo_4FuIzDZxqoPNRMSns/view?usp=drivesdk")</f>
        <v>https://drive.google.com/file/d/162X9_btntVAuIo_4FuIzDZxqoPNRMSns/view?usp=drivesdk</v>
      </c>
      <c r="D7345" s="12"/>
      <c r="E7345" s="11">
        <v>7393.0</v>
      </c>
      <c r="F7345" s="2"/>
    </row>
    <row r="7346" ht="1.5" customHeight="1">
      <c r="A7346" s="4" t="str">
        <f>IFERROR(__xludf.DUMMYFUNCTION("""COMPUTED_VALUE"""),"111. Mayatl")</f>
        <v>111. Mayatl</v>
      </c>
      <c r="B7346" s="4" t="str">
        <f>IFERROR(__xludf.DUMMYFUNCTION("""COMPUTED_VALUE"""),"111")</f>
        <v>111</v>
      </c>
      <c r="C7346" s="5" t="str">
        <f>IFERROR(__xludf.DUMMYFUNCTION("""COMPUTED_VALUE"""),"https://drive.google.com/file/d/10aS8kRLLpcCDqK4lbgEsg2kePIRzj4LF/view?usp=drivesdk")</f>
        <v>https://drive.google.com/file/d/10aS8kRLLpcCDqK4lbgEsg2kePIRzj4LF/view?usp=drivesdk</v>
      </c>
      <c r="D7346" s="12"/>
      <c r="E7346" s="11">
        <v>7394.0</v>
      </c>
      <c r="F7346" s="2"/>
    </row>
    <row r="7347" ht="1.5" customHeight="1">
      <c r="A7347" s="4" t="str">
        <f>IFERROR(__xludf.DUMMYFUNCTION("""COMPUTED_VALUE"""),"108. Mazatl, 94. Itztli")</f>
        <v>108. Mazatl, 94. Itztli</v>
      </c>
      <c r="B7347" s="4" t="str">
        <f>IFERROR(__xludf.DUMMYFUNCTION("""COMPUTED_VALUE"""),"108, 94")</f>
        <v>108, 94</v>
      </c>
      <c r="C7347" s="5" t="str">
        <f>IFERROR(__xludf.DUMMYFUNCTION("""COMPUTED_VALUE"""),"https://drive.google.com/file/d/17iUfIpObmETsfqVVkDNYo4KCPbl-sXZg/view?usp=drivesdk")</f>
        <v>https://drive.google.com/file/d/17iUfIpObmETsfqVVkDNYo4KCPbl-sXZg/view?usp=drivesdk</v>
      </c>
      <c r="D7347" s="12"/>
      <c r="E7347" s="11">
        <v>7395.0</v>
      </c>
      <c r="F7347" s="2"/>
    </row>
    <row r="7348" ht="1.5" customHeight="1">
      <c r="A7348" s="4" t="str">
        <f>IFERROR(__xludf.DUMMYFUNCTION("""COMPUTED_VALUE"""),"111. Mayatl, 109. Tlalli, 110. Ahua")</f>
        <v>111. Mayatl, 109. Tlalli, 110. Ahua</v>
      </c>
      <c r="B7348" s="4" t="str">
        <f>IFERROR(__xludf.DUMMYFUNCTION("""COMPUTED_VALUE"""),"111, 109, 110")</f>
        <v>111, 109, 110</v>
      </c>
      <c r="C7348" s="5" t="str">
        <f>IFERROR(__xludf.DUMMYFUNCTION("""COMPUTED_VALUE"""),"https://drive.google.com/file/d/1EzDMhC2T3DQZ9akj7tvPybstSrW0c410/view?usp=drivesdk")</f>
        <v>https://drive.google.com/file/d/1EzDMhC2T3DQZ9akj7tvPybstSrW0c410/view?usp=drivesdk</v>
      </c>
      <c r="D7348" s="12"/>
      <c r="E7348" s="11">
        <v>7396.0</v>
      </c>
      <c r="F7348" s="2"/>
    </row>
    <row r="7349" ht="1.5" customHeight="1">
      <c r="A7349" s="4" t="str">
        <f>IFERROR(__xludf.DUMMYFUNCTION("""COMPUTED_VALUE"""),"99. Nezhui, 108. Mazatl, 110. Ahua, 109. Tlalli, 111. Mayatl")</f>
        <v>99. Nezhui, 108. Mazatl, 110. Ahua, 109. Tlalli, 111. Mayatl</v>
      </c>
      <c r="B7349" s="4" t="str">
        <f>IFERROR(__xludf.DUMMYFUNCTION("""COMPUTED_VALUE"""),"99, 108, 110, 109, 111")</f>
        <v>99, 108, 110, 109, 111</v>
      </c>
      <c r="C7349" s="5" t="str">
        <f>IFERROR(__xludf.DUMMYFUNCTION("""COMPUTED_VALUE"""),"https://drive.google.com/file/d/1gwDot-V1fEa-rkybI_N_PoHm1TL_-OGM/view?usp=drivesdk")</f>
        <v>https://drive.google.com/file/d/1gwDot-V1fEa-rkybI_N_PoHm1TL_-OGM/view?usp=drivesdk</v>
      </c>
      <c r="D7349" s="12"/>
      <c r="E7349" s="11">
        <v>7397.0</v>
      </c>
      <c r="F7349" s="2"/>
    </row>
    <row r="7350" ht="1.5" customHeight="1">
      <c r="A7350" s="4" t="str">
        <f>IFERROR(__xludf.DUMMYFUNCTION("""COMPUTED_VALUE"""),"106. Ami")</f>
        <v>106. Ami</v>
      </c>
      <c r="B7350" s="4" t="str">
        <f>IFERROR(__xludf.DUMMYFUNCTION("""COMPUTED_VALUE"""),"106")</f>
        <v>106</v>
      </c>
      <c r="C7350" s="5" t="str">
        <f>IFERROR(__xludf.DUMMYFUNCTION("""COMPUTED_VALUE"""),"https://drive.google.com/file/d/1Puehd51Bl4TaKwIsIbKh86ioBVVa66v5/view?usp=drivesdk")</f>
        <v>https://drive.google.com/file/d/1Puehd51Bl4TaKwIsIbKh86ioBVVa66v5/view?usp=drivesdk</v>
      </c>
      <c r="D7350" s="12"/>
      <c r="E7350" s="11">
        <v>7398.0</v>
      </c>
      <c r="F7350" s="2"/>
    </row>
    <row r="7351" ht="1.5" customHeight="1">
      <c r="A7351" s="4" t="str">
        <f>IFERROR(__xludf.DUMMYFUNCTION("""COMPUTED_VALUE"""),"111. Mayatl")</f>
        <v>111. Mayatl</v>
      </c>
      <c r="B7351" s="4" t="str">
        <f>IFERROR(__xludf.DUMMYFUNCTION("""COMPUTED_VALUE"""),"111")</f>
        <v>111</v>
      </c>
      <c r="C7351" s="5" t="str">
        <f>IFERROR(__xludf.DUMMYFUNCTION("""COMPUTED_VALUE"""),"https://drive.google.com/file/d/1SIcTxx2FqtKWQdWHIq_tJuIPJnTYi7ox/view?usp=drivesdk")</f>
        <v>https://drive.google.com/file/d/1SIcTxx2FqtKWQdWHIq_tJuIPJnTYi7ox/view?usp=drivesdk</v>
      </c>
      <c r="D7351" s="12"/>
      <c r="E7351" s="11">
        <v>7399.0</v>
      </c>
      <c r="F7351" s="2"/>
    </row>
    <row r="7352" ht="1.5" customHeight="1">
      <c r="A7352" s="4" t="str">
        <f>IFERROR(__xludf.DUMMYFUNCTION("""COMPUTED_VALUE"""),"0. NotACat")</f>
        <v>0. NotACat</v>
      </c>
      <c r="B7352" s="4" t="str">
        <f>IFERROR(__xludf.DUMMYFUNCTION("""COMPUTED_VALUE"""),"0")</f>
        <v>0</v>
      </c>
      <c r="C7352" s="5" t="str">
        <f>IFERROR(__xludf.DUMMYFUNCTION("""COMPUTED_VALUE"""),"https://drive.google.com/file/d/18-pCXkdWMv2UQK4u6Y2BhlPdrQyengd-/view?usp=drivesdk")</f>
        <v>https://drive.google.com/file/d/18-pCXkdWMv2UQK4u6Y2BhlPdrQyengd-/view?usp=drivesdk</v>
      </c>
      <c r="D7352" s="12"/>
      <c r="E7352" s="11">
        <v>7400.0</v>
      </c>
      <c r="F7352" s="2"/>
    </row>
    <row r="7353" ht="1.5" customHeight="1">
      <c r="A7353" s="4" t="str">
        <f>IFERROR(__xludf.DUMMYFUNCTION("""COMPUTED_VALUE"""),"0. NotACat")</f>
        <v>0. NotACat</v>
      </c>
      <c r="B7353" s="4" t="str">
        <f>IFERROR(__xludf.DUMMYFUNCTION("""COMPUTED_VALUE"""),"0")</f>
        <v>0</v>
      </c>
      <c r="C7353" s="5" t="str">
        <f>IFERROR(__xludf.DUMMYFUNCTION("""COMPUTED_VALUE"""),"https://drive.google.com/file/d/1x0M_fTVwppQc02oQPSZjdFnUY-mRYczi/view?usp=drivesdk")</f>
        <v>https://drive.google.com/file/d/1x0M_fTVwppQc02oQPSZjdFnUY-mRYczi/view?usp=drivesdk</v>
      </c>
      <c r="D7353" s="12"/>
      <c r="E7353" s="11">
        <v>7401.0</v>
      </c>
      <c r="F7353" s="2"/>
    </row>
    <row r="7354" ht="1.5" customHeight="1">
      <c r="A7354" s="4" t="str">
        <f>IFERROR(__xludf.DUMMYFUNCTION("""COMPUTED_VALUE"""),"0. NotACat")</f>
        <v>0. NotACat</v>
      </c>
      <c r="B7354" s="4" t="str">
        <f>IFERROR(__xludf.DUMMYFUNCTION("""COMPUTED_VALUE"""),"0")</f>
        <v>0</v>
      </c>
      <c r="C7354" s="5" t="str">
        <f>IFERROR(__xludf.DUMMYFUNCTION("""COMPUTED_VALUE"""),"https://drive.google.com/file/d/15ezbNY4PXdzVzwJyEnXWuFZ5e_3YICaO/view?usp=drivesdk")</f>
        <v>https://drive.google.com/file/d/15ezbNY4PXdzVzwJyEnXWuFZ5e_3YICaO/view?usp=drivesdk</v>
      </c>
      <c r="D7354" s="12"/>
      <c r="E7354" s="11">
        <v>7402.0</v>
      </c>
      <c r="F7354" s="2"/>
    </row>
    <row r="7355" ht="1.5" customHeight="1">
      <c r="A7355" s="4" t="str">
        <f>IFERROR(__xludf.DUMMYFUNCTION("""COMPUTED_VALUE"""),"0. NotACat")</f>
        <v>0. NotACat</v>
      </c>
      <c r="B7355" s="4" t="str">
        <f>IFERROR(__xludf.DUMMYFUNCTION("""COMPUTED_VALUE"""),"0")</f>
        <v>0</v>
      </c>
      <c r="C7355" s="5" t="str">
        <f>IFERROR(__xludf.DUMMYFUNCTION("""COMPUTED_VALUE"""),"https://drive.google.com/file/d/16-8Nq4ks3buu7UDzQNJTAFwDWrgKlV7e/view?usp=drivesdk")</f>
        <v>https://drive.google.com/file/d/16-8Nq4ks3buu7UDzQNJTAFwDWrgKlV7e/view?usp=drivesdk</v>
      </c>
      <c r="D7355" s="12"/>
      <c r="E7355" s="11">
        <v>7403.0</v>
      </c>
      <c r="F7355" s="2"/>
    </row>
    <row r="7356" ht="1.5" customHeight="1">
      <c r="A7356" s="4" t="str">
        <f>IFERROR(__xludf.DUMMYFUNCTION("""COMPUTED_VALUE"""),"0. NotACat")</f>
        <v>0. NotACat</v>
      </c>
      <c r="B7356" s="4" t="str">
        <f>IFERROR(__xludf.DUMMYFUNCTION("""COMPUTED_VALUE"""),"0")</f>
        <v>0</v>
      </c>
      <c r="C7356" s="5" t="str">
        <f>IFERROR(__xludf.DUMMYFUNCTION("""COMPUTED_VALUE"""),"https://drive.google.com/file/d/1ZwDcDIndNECLJdVE4TDYgfJeGfEJLSiV/view?usp=drivesdk")</f>
        <v>https://drive.google.com/file/d/1ZwDcDIndNECLJdVE4TDYgfJeGfEJLSiV/view?usp=drivesdk</v>
      </c>
      <c r="D7356" s="12"/>
      <c r="E7356" s="11">
        <v>7404.0</v>
      </c>
      <c r="F7356" s="2"/>
    </row>
    <row r="7357" ht="1.5" customHeight="1">
      <c r="A7357" s="4" t="str">
        <f>IFERROR(__xludf.DUMMYFUNCTION("""COMPUTED_VALUE"""),"0. NotACat")</f>
        <v>0. NotACat</v>
      </c>
      <c r="B7357" s="4" t="str">
        <f>IFERROR(__xludf.DUMMYFUNCTION("""COMPUTED_VALUE"""),"0")</f>
        <v>0</v>
      </c>
      <c r="C7357" s="5" t="str">
        <f>IFERROR(__xludf.DUMMYFUNCTION("""COMPUTED_VALUE"""),"https://drive.google.com/file/d/1AYl4jUp9QpQ_9SzHRE3uhxhX4kjzuf9-/view?usp=drivesdk")</f>
        <v>https://drive.google.com/file/d/1AYl4jUp9QpQ_9SzHRE3uhxhX4kjzuf9-/view?usp=drivesdk</v>
      </c>
      <c r="D7357" s="12"/>
      <c r="E7357" s="11">
        <v>7405.0</v>
      </c>
      <c r="F7357" s="2"/>
    </row>
    <row r="7358" ht="1.5" customHeight="1">
      <c r="A7358" s="4" t="str">
        <f>IFERROR(__xludf.DUMMYFUNCTION("""COMPUTED_VALUE"""),"0. NotACat")</f>
        <v>0. NotACat</v>
      </c>
      <c r="B7358" s="4" t="str">
        <f>IFERROR(__xludf.DUMMYFUNCTION("""COMPUTED_VALUE"""),"0")</f>
        <v>0</v>
      </c>
      <c r="C7358" s="5" t="str">
        <f>IFERROR(__xludf.DUMMYFUNCTION("""COMPUTED_VALUE"""),"https://drive.google.com/file/d/1B1mvOfP5wbA55WwG42468VSFvD36JQY9/view?usp=drivesdk")</f>
        <v>https://drive.google.com/file/d/1B1mvOfP5wbA55WwG42468VSFvD36JQY9/view?usp=drivesdk</v>
      </c>
      <c r="D7358" s="12"/>
      <c r="E7358" s="11">
        <v>7406.0</v>
      </c>
      <c r="F7358" s="2"/>
    </row>
    <row r="7359" ht="1.5" customHeight="1">
      <c r="A7359" s="4" t="str">
        <f>IFERROR(__xludf.DUMMYFUNCTION("""COMPUTED_VALUE"""),"1. Microwave")</f>
        <v>1. Microwave</v>
      </c>
      <c r="B7359" s="4" t="str">
        <f>IFERROR(__xludf.DUMMYFUNCTION("""COMPUTED_VALUE"""),"1")</f>
        <v>1</v>
      </c>
      <c r="C7359" s="5" t="str">
        <f>IFERROR(__xludf.DUMMYFUNCTION("""COMPUTED_VALUE"""),"https://drive.google.com/file/d/1pDBg39MLZ2Wr-fT8gwwzkf-UJJUMYhvF/view?usp=drivesdk")</f>
        <v>https://drive.google.com/file/d/1pDBg39MLZ2Wr-fT8gwwzkf-UJJUMYhvF/view?usp=drivesdk</v>
      </c>
      <c r="D7359" s="12"/>
      <c r="E7359" s="11">
        <v>7407.0</v>
      </c>
      <c r="F7359" s="2"/>
    </row>
    <row r="7360" ht="1.5" customHeight="1">
      <c r="A7360" s="4" t="str">
        <f>IFERROR(__xludf.DUMMYFUNCTION("""COMPUTED_VALUE"""),"1. Microwave")</f>
        <v>1. Microwave</v>
      </c>
      <c r="B7360" s="4" t="str">
        <f>IFERROR(__xludf.DUMMYFUNCTION("""COMPUTED_VALUE"""),"1")</f>
        <v>1</v>
      </c>
      <c r="C7360" s="5" t="str">
        <f>IFERROR(__xludf.DUMMYFUNCTION("""COMPUTED_VALUE"""),"https://drive.google.com/file/d/1kbddfwlhlDYptZZc3Q4YoKH6SZnc_sw3/view?usp=drivesdk")</f>
        <v>https://drive.google.com/file/d/1kbddfwlhlDYptZZc3Q4YoKH6SZnc_sw3/view?usp=drivesdk</v>
      </c>
      <c r="D7360" s="12"/>
      <c r="E7360" s="11">
        <v>7408.0</v>
      </c>
      <c r="F7360" s="2"/>
    </row>
    <row r="7361" ht="1.5" customHeight="1">
      <c r="A7361" s="4" t="str">
        <f>IFERROR(__xludf.DUMMYFUNCTION("""COMPUTED_VALUE"""),"1. Microwave")</f>
        <v>1. Microwave</v>
      </c>
      <c r="B7361" s="4" t="str">
        <f>IFERROR(__xludf.DUMMYFUNCTION("""COMPUTED_VALUE"""),"1")</f>
        <v>1</v>
      </c>
      <c r="C7361" s="5" t="str">
        <f>IFERROR(__xludf.DUMMYFUNCTION("""COMPUTED_VALUE"""),"https://drive.google.com/file/d/1RJHMIMRag6JhuKUJBT8iNJT6e8DOL1A8/view?usp=drivesdk")</f>
        <v>https://drive.google.com/file/d/1RJHMIMRag6JhuKUJBT8iNJT6e8DOL1A8/view?usp=drivesdk</v>
      </c>
      <c r="D7361" s="12"/>
      <c r="E7361" s="11">
        <v>7409.0</v>
      </c>
      <c r="F7361" s="2"/>
    </row>
    <row r="7362" ht="1.5" customHeight="1">
      <c r="A7362" s="4" t="str">
        <f>IFERROR(__xludf.DUMMYFUNCTION("""COMPUTED_VALUE"""),"0. NotACat")</f>
        <v>0. NotACat</v>
      </c>
      <c r="B7362" s="4" t="str">
        <f>IFERROR(__xludf.DUMMYFUNCTION("""COMPUTED_VALUE"""),"0")</f>
        <v>0</v>
      </c>
      <c r="C7362" s="5" t="str">
        <f>IFERROR(__xludf.DUMMYFUNCTION("""COMPUTED_VALUE"""),"https://drive.google.com/file/d/1JT3NBM5xbHIIArBteQOaKuETLl19MX-a/view?usp=drivesdk")</f>
        <v>https://drive.google.com/file/d/1JT3NBM5xbHIIArBteQOaKuETLl19MX-a/view?usp=drivesdk</v>
      </c>
      <c r="D7362" s="12"/>
      <c r="E7362" s="11">
        <v>7410.0</v>
      </c>
      <c r="F7362" s="2"/>
    </row>
    <row r="7363" ht="1.5" customHeight="1">
      <c r="A7363" s="4" t="str">
        <f>IFERROR(__xludf.DUMMYFUNCTION("""COMPUTED_VALUE"""),"1. Microwave")</f>
        <v>1. Microwave</v>
      </c>
      <c r="B7363" s="4" t="str">
        <f>IFERROR(__xludf.DUMMYFUNCTION("""COMPUTED_VALUE"""),"1")</f>
        <v>1</v>
      </c>
      <c r="C7363" s="5" t="str">
        <f>IFERROR(__xludf.DUMMYFUNCTION("""COMPUTED_VALUE"""),"https://drive.google.com/file/d/1hLeuc0JBEWcO7ZVi2pCJyIb-4SsNKvpW/view?usp=drivesdk")</f>
        <v>https://drive.google.com/file/d/1hLeuc0JBEWcO7ZVi2pCJyIb-4SsNKvpW/view?usp=drivesdk</v>
      </c>
      <c r="D7363" s="12"/>
      <c r="E7363" s="11">
        <v>7411.0</v>
      </c>
      <c r="F7363" s="2"/>
    </row>
    <row r="7364" ht="1.5" customHeight="1">
      <c r="A7364" s="4" t="str">
        <f>IFERROR(__xludf.DUMMYFUNCTION("""COMPUTED_VALUE"""),"1. Microwave")</f>
        <v>1. Microwave</v>
      </c>
      <c r="B7364" s="4" t="str">
        <f>IFERROR(__xludf.DUMMYFUNCTION("""COMPUTED_VALUE"""),"1")</f>
        <v>1</v>
      </c>
      <c r="C7364" s="5" t="str">
        <f>IFERROR(__xludf.DUMMYFUNCTION("""COMPUTED_VALUE"""),"https://drive.google.com/file/d/1hytJy06Iem3pa-VRts5_BBfThHW1aAQQ/view?usp=drivesdk")</f>
        <v>https://drive.google.com/file/d/1hytJy06Iem3pa-VRts5_BBfThHW1aAQQ/view?usp=drivesdk</v>
      </c>
      <c r="D7364" s="12"/>
      <c r="E7364" s="11">
        <v>7412.0</v>
      </c>
      <c r="F7364" s="2"/>
    </row>
    <row r="7365" ht="1.5" customHeight="1">
      <c r="A7365" s="4" t="str">
        <f>IFERROR(__xludf.DUMMYFUNCTION("""COMPUTED_VALUE"""),"1. Microwave")</f>
        <v>1. Microwave</v>
      </c>
      <c r="B7365" s="4" t="str">
        <f>IFERROR(__xludf.DUMMYFUNCTION("""COMPUTED_VALUE"""),"1")</f>
        <v>1</v>
      </c>
      <c r="C7365" s="5" t="str">
        <f>IFERROR(__xludf.DUMMYFUNCTION("""COMPUTED_VALUE"""),"https://drive.google.com/file/d/1GWo6uU2xa7gC1cVfHWUyVid0nZst-wjj/view?usp=drivesdk")</f>
        <v>https://drive.google.com/file/d/1GWo6uU2xa7gC1cVfHWUyVid0nZst-wjj/view?usp=drivesdk</v>
      </c>
      <c r="D7365" s="12"/>
      <c r="E7365" s="11">
        <v>7413.0</v>
      </c>
      <c r="F7365" s="2"/>
    </row>
    <row r="7366" ht="1.5" customHeight="1">
      <c r="A7366" s="4" t="str">
        <f>IFERROR(__xludf.DUMMYFUNCTION("""COMPUTED_VALUE"""),"1. Microwave")</f>
        <v>1. Microwave</v>
      </c>
      <c r="B7366" s="4" t="str">
        <f>IFERROR(__xludf.DUMMYFUNCTION("""COMPUTED_VALUE"""),"1")</f>
        <v>1</v>
      </c>
      <c r="C7366" s="5" t="str">
        <f>IFERROR(__xludf.DUMMYFUNCTION("""COMPUTED_VALUE"""),"https://drive.google.com/file/d/1e0Tgosz3sldoSlE8Kf0gtlld0pKuVQCr/view?usp=drivesdk")</f>
        <v>https://drive.google.com/file/d/1e0Tgosz3sldoSlE8Kf0gtlld0pKuVQCr/view?usp=drivesdk</v>
      </c>
      <c r="D7366" s="12"/>
      <c r="E7366" s="11">
        <v>7414.0</v>
      </c>
      <c r="F7366" s="2"/>
    </row>
    <row r="7367" ht="1.5" customHeight="1">
      <c r="A7367" s="4" t="str">
        <f>IFERROR(__xludf.DUMMYFUNCTION("""COMPUTED_VALUE"""),"1. Microwave")</f>
        <v>1. Microwave</v>
      </c>
      <c r="B7367" s="4" t="str">
        <f>IFERROR(__xludf.DUMMYFUNCTION("""COMPUTED_VALUE"""),"1")</f>
        <v>1</v>
      </c>
      <c r="C7367" s="5" t="str">
        <f>IFERROR(__xludf.DUMMYFUNCTION("""COMPUTED_VALUE"""),"https://drive.google.com/file/d/18_sZzmsBKfLXdIoZzj6aHDxA0YnBH23p/view?usp=drivesdk")</f>
        <v>https://drive.google.com/file/d/18_sZzmsBKfLXdIoZzj6aHDxA0YnBH23p/view?usp=drivesdk</v>
      </c>
      <c r="D7367" s="12"/>
      <c r="E7367" s="11">
        <v>7415.0</v>
      </c>
      <c r="F7367" s="2"/>
    </row>
    <row r="7368" ht="1.5" customHeight="1">
      <c r="A7368" s="4" t="str">
        <f>IFERROR(__xludf.DUMMYFUNCTION("""COMPUTED_VALUE"""),"4. Eggs, 5. Eraser")</f>
        <v>4. Eggs, 5. Eraser</v>
      </c>
      <c r="B7368" s="4" t="str">
        <f>IFERROR(__xludf.DUMMYFUNCTION("""COMPUTED_VALUE"""),"4, 5")</f>
        <v>4, 5</v>
      </c>
      <c r="C7368" s="5" t="str">
        <f>IFERROR(__xludf.DUMMYFUNCTION("""COMPUTED_VALUE"""),"https://drive.google.com/file/d/1-HSWkZE69CUaezJXWiSpZJNUgHHaf2qD/view?usp=drivesdk")</f>
        <v>https://drive.google.com/file/d/1-HSWkZE69CUaezJXWiSpZJNUgHHaf2qD/view?usp=drivesdk</v>
      </c>
      <c r="D7368" s="12"/>
      <c r="E7368" s="11">
        <v>7416.0</v>
      </c>
      <c r="F7368" s="2"/>
    </row>
    <row r="7369" ht="1.5" customHeight="1">
      <c r="A7369" s="4" t="str">
        <f>IFERROR(__xludf.DUMMYFUNCTION("""COMPUTED_VALUE"""),"4. Eggs, 5. Eraser")</f>
        <v>4. Eggs, 5. Eraser</v>
      </c>
      <c r="B7369" s="4" t="str">
        <f>IFERROR(__xludf.DUMMYFUNCTION("""COMPUTED_VALUE"""),"4, 5")</f>
        <v>4, 5</v>
      </c>
      <c r="C7369" s="5" t="str">
        <f>IFERROR(__xludf.DUMMYFUNCTION("""COMPUTED_VALUE"""),"https://drive.google.com/file/d/1wFwfYqe2JUJdhVQiY5-jo0p_4_7-Gs54/view?usp=drivesdk")</f>
        <v>https://drive.google.com/file/d/1wFwfYqe2JUJdhVQiY5-jo0p_4_7-Gs54/view?usp=drivesdk</v>
      </c>
      <c r="D7369" s="12"/>
      <c r="E7369" s="11">
        <v>7417.0</v>
      </c>
      <c r="F7369" s="2"/>
    </row>
    <row r="7370" ht="1.5" customHeight="1">
      <c r="A7370" s="4" t="str">
        <f>IFERROR(__xludf.DUMMYFUNCTION("""COMPUTED_VALUE"""),"5. Eraser")</f>
        <v>5. Eraser</v>
      </c>
      <c r="B7370" s="4" t="str">
        <f>IFERROR(__xludf.DUMMYFUNCTION("""COMPUTED_VALUE"""),"5")</f>
        <v>5</v>
      </c>
      <c r="C7370" s="5" t="str">
        <f>IFERROR(__xludf.DUMMYFUNCTION("""COMPUTED_VALUE"""),"https://drive.google.com/file/d/10XuxnL6MZDI1AUJOBKr3sevUfeok40yx/view?usp=drivesdk")</f>
        <v>https://drive.google.com/file/d/10XuxnL6MZDI1AUJOBKr3sevUfeok40yx/view?usp=drivesdk</v>
      </c>
      <c r="D7370" s="12"/>
      <c r="E7370" s="11">
        <v>7418.0</v>
      </c>
      <c r="F7370" s="2"/>
    </row>
    <row r="7371" ht="1.5" customHeight="1">
      <c r="A7371" s="4" t="str">
        <f>IFERROR(__xludf.DUMMYFUNCTION("""COMPUTED_VALUE"""),"5. Eraser")</f>
        <v>5. Eraser</v>
      </c>
      <c r="B7371" s="4" t="str">
        <f>IFERROR(__xludf.DUMMYFUNCTION("""COMPUTED_VALUE"""),"5")</f>
        <v>5</v>
      </c>
      <c r="C7371" s="5" t="str">
        <f>IFERROR(__xludf.DUMMYFUNCTION("""COMPUTED_VALUE"""),"https://drive.google.com/file/d/100NdQxDUzwVbsyxOODruwh6B-FNN8tzq/view?usp=drivesdk")</f>
        <v>https://drive.google.com/file/d/100NdQxDUzwVbsyxOODruwh6B-FNN8tzq/view?usp=drivesdk</v>
      </c>
      <c r="D7371" s="12"/>
      <c r="E7371" s="11">
        <v>7419.0</v>
      </c>
      <c r="F7371" s="2"/>
    </row>
    <row r="7372" ht="1.5" customHeight="1">
      <c r="A7372" s="4" t="str">
        <f>IFERROR(__xludf.DUMMYFUNCTION("""COMPUTED_VALUE"""),"4. Eggs")</f>
        <v>4. Eggs</v>
      </c>
      <c r="B7372" s="4" t="str">
        <f>IFERROR(__xludf.DUMMYFUNCTION("""COMPUTED_VALUE"""),"4")</f>
        <v>4</v>
      </c>
      <c r="C7372" s="5" t="str">
        <f>IFERROR(__xludf.DUMMYFUNCTION("""COMPUTED_VALUE"""),"https://drive.google.com/file/d/10Da-S868WfdI1lst2rMi4zoOAb8WB5FF/view?usp=drivesdk")</f>
        <v>https://drive.google.com/file/d/10Da-S868WfdI1lst2rMi4zoOAb8WB5FF/view?usp=drivesdk</v>
      </c>
      <c r="D7372" s="12"/>
      <c r="E7372" s="11">
        <v>7420.0</v>
      </c>
      <c r="F7372" s="2"/>
    </row>
    <row r="7373" ht="1.5" customHeight="1">
      <c r="A7373" s="4" t="str">
        <f>IFERROR(__xludf.DUMMYFUNCTION("""COMPUTED_VALUE"""),"4. Eggs, 5. Eraser")</f>
        <v>4. Eggs, 5. Eraser</v>
      </c>
      <c r="B7373" s="4" t="str">
        <f>IFERROR(__xludf.DUMMYFUNCTION("""COMPUTED_VALUE"""),"4, 5")</f>
        <v>4, 5</v>
      </c>
      <c r="C7373" s="5" t="str">
        <f>IFERROR(__xludf.DUMMYFUNCTION("""COMPUTED_VALUE"""),"https://drive.google.com/file/d/1kUopToiUcWm9n2Rs7uznXZsi9tfSmrzp/view?usp=drivesdk")</f>
        <v>https://drive.google.com/file/d/1kUopToiUcWm9n2Rs7uznXZsi9tfSmrzp/view?usp=drivesdk</v>
      </c>
      <c r="D7373" s="12"/>
      <c r="E7373" s="11">
        <v>7421.0</v>
      </c>
      <c r="F7373" s="2"/>
    </row>
    <row r="7374" ht="1.5" customHeight="1">
      <c r="A7374" s="4" t="str">
        <f>IFERROR(__xludf.DUMMYFUNCTION("""COMPUTED_VALUE"""),"4. Eggs, 5. Eraser")</f>
        <v>4. Eggs, 5. Eraser</v>
      </c>
      <c r="B7374" s="4" t="str">
        <f>IFERROR(__xludf.DUMMYFUNCTION("""COMPUTED_VALUE"""),"4, 5")</f>
        <v>4, 5</v>
      </c>
      <c r="C7374" s="5" t="str">
        <f>IFERROR(__xludf.DUMMYFUNCTION("""COMPUTED_VALUE"""),"https://drive.google.com/file/d/1XXpNMocbfd_W3f2KGUxW2gO4D7l3faB8/view?usp=drivesdk")</f>
        <v>https://drive.google.com/file/d/1XXpNMocbfd_W3f2KGUxW2gO4D7l3faB8/view?usp=drivesdk</v>
      </c>
      <c r="D7374" s="12"/>
      <c r="E7374" s="11">
        <v>7422.0</v>
      </c>
      <c r="F7374" s="2"/>
    </row>
    <row r="7375" ht="1.5" customHeight="1">
      <c r="A7375" s="4" t="str">
        <f>IFERROR(__xludf.DUMMYFUNCTION("""COMPUTED_VALUE"""),"4. Eggs")</f>
        <v>4. Eggs</v>
      </c>
      <c r="B7375" s="4" t="str">
        <f>IFERROR(__xludf.DUMMYFUNCTION("""COMPUTED_VALUE"""),"4")</f>
        <v>4</v>
      </c>
      <c r="C7375" s="5" t="str">
        <f>IFERROR(__xludf.DUMMYFUNCTION("""COMPUTED_VALUE"""),"https://drive.google.com/file/d/112M9E194rIKIV3pj9tTxyREbvRdbGGUl/view?usp=drivesdk")</f>
        <v>https://drive.google.com/file/d/112M9E194rIKIV3pj9tTxyREbvRdbGGUl/view?usp=drivesdk</v>
      </c>
      <c r="D7375" s="12"/>
      <c r="E7375" s="11">
        <v>7423.0</v>
      </c>
      <c r="F7375" s="2"/>
    </row>
    <row r="7376" ht="1.5" customHeight="1">
      <c r="A7376" s="4" t="str">
        <f>IFERROR(__xludf.DUMMYFUNCTION("""COMPUTED_VALUE"""),"4. Eggs, 5. Eraser")</f>
        <v>4. Eggs, 5. Eraser</v>
      </c>
      <c r="B7376" s="4" t="str">
        <f>IFERROR(__xludf.DUMMYFUNCTION("""COMPUTED_VALUE"""),"4, 5")</f>
        <v>4, 5</v>
      </c>
      <c r="C7376" s="5" t="str">
        <f>IFERROR(__xludf.DUMMYFUNCTION("""COMPUTED_VALUE"""),"https://drive.google.com/file/d/1yuuJIU3xgn5s8KN5jn9LDmD6vhUIA9_7/view?usp=drivesdk")</f>
        <v>https://drive.google.com/file/d/1yuuJIU3xgn5s8KN5jn9LDmD6vhUIA9_7/view?usp=drivesdk</v>
      </c>
      <c r="D7376" s="12"/>
      <c r="E7376" s="11">
        <v>7424.0</v>
      </c>
      <c r="F7376" s="2"/>
    </row>
    <row r="7377" ht="1.5" customHeight="1">
      <c r="A7377" s="4" t="str">
        <f>IFERROR(__xludf.DUMMYFUNCTION("""COMPUTED_VALUE"""),"1. Microwave")</f>
        <v>1. Microwave</v>
      </c>
      <c r="B7377" s="4" t="str">
        <f>IFERROR(__xludf.DUMMYFUNCTION("""COMPUTED_VALUE"""),"1")</f>
        <v>1</v>
      </c>
      <c r="C7377" s="5" t="str">
        <f>IFERROR(__xludf.DUMMYFUNCTION("""COMPUTED_VALUE"""),"https://drive.google.com/file/d/1a5PbdTLlIVn-dbWUrMUa5IGN5t_cSQcd/view?usp=drivesdk")</f>
        <v>https://drive.google.com/file/d/1a5PbdTLlIVn-dbWUrMUa5IGN5t_cSQcd/view?usp=drivesdk</v>
      </c>
      <c r="D7377" s="12"/>
      <c r="E7377" s="11">
        <v>7425.0</v>
      </c>
      <c r="F7377" s="2"/>
    </row>
    <row r="7378" ht="1.5" customHeight="1">
      <c r="A7378" s="4" t="str">
        <f>IFERROR(__xludf.DUMMYFUNCTION("""COMPUTED_VALUE"""),"1. Microwave")</f>
        <v>1. Microwave</v>
      </c>
      <c r="B7378" s="4" t="str">
        <f>IFERROR(__xludf.DUMMYFUNCTION("""COMPUTED_VALUE"""),"1")</f>
        <v>1</v>
      </c>
      <c r="C7378" s="5" t="str">
        <f>IFERROR(__xludf.DUMMYFUNCTION("""COMPUTED_VALUE"""),"https://drive.google.com/file/d/1bBpqPIH0RewjOLckuPRqH8hqewwbkdo3/view?usp=drivesdk")</f>
        <v>https://drive.google.com/file/d/1bBpqPIH0RewjOLckuPRqH8hqewwbkdo3/view?usp=drivesdk</v>
      </c>
      <c r="D7378" s="12"/>
      <c r="E7378" s="11">
        <v>7426.0</v>
      </c>
      <c r="F7378" s="2"/>
    </row>
    <row r="7379" ht="1.5" customHeight="1">
      <c r="A7379" s="4" t="str">
        <f>IFERROR(__xludf.DUMMYFUNCTION("""COMPUTED_VALUE"""),"1. Microwave")</f>
        <v>1. Microwave</v>
      </c>
      <c r="B7379" s="4" t="str">
        <f>IFERROR(__xludf.DUMMYFUNCTION("""COMPUTED_VALUE"""),"1")</f>
        <v>1</v>
      </c>
      <c r="C7379" s="5" t="str">
        <f>IFERROR(__xludf.DUMMYFUNCTION("""COMPUTED_VALUE"""),"https://drive.google.com/file/d/1iiNsHWDGoUGWmYEtnuqJwGxhLTAjyO_J/view?usp=drivesdk")</f>
        <v>https://drive.google.com/file/d/1iiNsHWDGoUGWmYEtnuqJwGxhLTAjyO_J/view?usp=drivesdk</v>
      </c>
      <c r="D7379" s="12"/>
      <c r="E7379" s="11">
        <v>7427.0</v>
      </c>
      <c r="F7379" s="2"/>
    </row>
    <row r="7380" ht="1.5" customHeight="1">
      <c r="A7380" s="4" t="str">
        <f>IFERROR(__xludf.DUMMYFUNCTION("""COMPUTED_VALUE"""),"1. Microwave")</f>
        <v>1. Microwave</v>
      </c>
      <c r="B7380" s="4" t="str">
        <f>IFERROR(__xludf.DUMMYFUNCTION("""COMPUTED_VALUE"""),"1")</f>
        <v>1</v>
      </c>
      <c r="C7380" s="5" t="str">
        <f>IFERROR(__xludf.DUMMYFUNCTION("""COMPUTED_VALUE"""),"https://drive.google.com/file/d/1C9Qje10ExVL6KSlavKCYUS4WV9oxRhLd/view?usp=drivesdk")</f>
        <v>https://drive.google.com/file/d/1C9Qje10ExVL6KSlavKCYUS4WV9oxRhLd/view?usp=drivesdk</v>
      </c>
      <c r="D7380" s="12"/>
      <c r="E7380" s="11">
        <v>7428.0</v>
      </c>
      <c r="F7380" s="2"/>
    </row>
    <row r="7381" ht="1.5" customHeight="1">
      <c r="A7381" s="4" t="str">
        <f>IFERROR(__xludf.DUMMYFUNCTION("""COMPUTED_VALUE"""),"1. Microwave")</f>
        <v>1. Microwave</v>
      </c>
      <c r="B7381" s="4" t="str">
        <f>IFERROR(__xludf.DUMMYFUNCTION("""COMPUTED_VALUE"""),"1")</f>
        <v>1</v>
      </c>
      <c r="C7381" s="5" t="str">
        <f>IFERROR(__xludf.DUMMYFUNCTION("""COMPUTED_VALUE"""),"https://drive.google.com/file/d/16T-1td_WIOWKnEZpHnG3kLHrDKCDEoiS/view?usp=drivesdk")</f>
        <v>https://drive.google.com/file/d/16T-1td_WIOWKnEZpHnG3kLHrDKCDEoiS/view?usp=drivesdk</v>
      </c>
      <c r="D7381" s="12"/>
      <c r="E7381" s="11">
        <v>7429.0</v>
      </c>
      <c r="F7381" s="2"/>
    </row>
    <row r="7382" ht="1.5" customHeight="1">
      <c r="A7382" s="4" t="str">
        <f>IFERROR(__xludf.DUMMYFUNCTION("""COMPUTED_VALUE"""),"29. Ginger")</f>
        <v>29. Ginger</v>
      </c>
      <c r="B7382" s="4" t="str">
        <f>IFERROR(__xludf.DUMMYFUNCTION("""COMPUTED_VALUE"""),"29")</f>
        <v>29</v>
      </c>
      <c r="C7382" s="5" t="str">
        <f>IFERROR(__xludf.DUMMYFUNCTION("""COMPUTED_VALUE"""),"https://drive.google.com/file/d/1P2hX9yDU61JIvlU4qDYXPN7MfEDy-Y1Z/view?usp=drivesdk")</f>
        <v>https://drive.google.com/file/d/1P2hX9yDU61JIvlU4qDYXPN7MfEDy-Y1Z/view?usp=drivesdk</v>
      </c>
      <c r="D7382" s="12"/>
      <c r="E7382" s="11">
        <v>7430.0</v>
      </c>
      <c r="F7382" s="2"/>
    </row>
    <row r="7383" ht="1.5" customHeight="1">
      <c r="A7383" s="4" t="str">
        <f>IFERROR(__xludf.DUMMYFUNCTION("""COMPUTED_VALUE"""),"29. Ginger")</f>
        <v>29. Ginger</v>
      </c>
      <c r="B7383" s="4" t="str">
        <f>IFERROR(__xludf.DUMMYFUNCTION("""COMPUTED_VALUE"""),"29")</f>
        <v>29</v>
      </c>
      <c r="C7383" s="5" t="str">
        <f>IFERROR(__xludf.DUMMYFUNCTION("""COMPUTED_VALUE"""),"https://drive.google.com/file/d/1b4x0iBa2eMJNpZ9dsdAx_ykPx59P1V1M/view?usp=drivesdk")</f>
        <v>https://drive.google.com/file/d/1b4x0iBa2eMJNpZ9dsdAx_ykPx59P1V1M/view?usp=drivesdk</v>
      </c>
      <c r="D7383" s="12"/>
      <c r="E7383" s="11">
        <v>7431.0</v>
      </c>
      <c r="F7383" s="2"/>
    </row>
    <row r="7384" ht="1.5" customHeight="1">
      <c r="A7384" s="4" t="str">
        <f>IFERROR(__xludf.DUMMYFUNCTION("""COMPUTED_VALUE"""),"29. Ginger")</f>
        <v>29. Ginger</v>
      </c>
      <c r="B7384" s="4" t="str">
        <f>IFERROR(__xludf.DUMMYFUNCTION("""COMPUTED_VALUE"""),"29")</f>
        <v>29</v>
      </c>
      <c r="C7384" s="5" t="str">
        <f>IFERROR(__xludf.DUMMYFUNCTION("""COMPUTED_VALUE"""),"https://drive.google.com/file/d/102LUUtdGQ98sVrQNY-zrdzAI3GoJCQQP/view?usp=drivesdk")</f>
        <v>https://drive.google.com/file/d/102LUUtdGQ98sVrQNY-zrdzAI3GoJCQQP/view?usp=drivesdk</v>
      </c>
      <c r="D7384" s="12"/>
      <c r="E7384" s="11">
        <v>7432.0</v>
      </c>
      <c r="F7384" s="2"/>
    </row>
    <row r="7385" ht="1.5" customHeight="1">
      <c r="A7385" s="4" t="str">
        <f>IFERROR(__xludf.DUMMYFUNCTION("""COMPUTED_VALUE"""),"135. Tumor, 32. Noir")</f>
        <v>135. Tumor, 32. Noir</v>
      </c>
      <c r="B7385" s="4" t="str">
        <f>IFERROR(__xludf.DUMMYFUNCTION("""COMPUTED_VALUE"""),"135, 32")</f>
        <v>135, 32</v>
      </c>
      <c r="C7385" s="5" t="str">
        <f>IFERROR(__xludf.DUMMYFUNCTION("""COMPUTED_VALUE"""),"https://drive.google.com/file/d/1T0DG3VcL0L9xuOUgXx2Gu1WWDXiR5lmN/view?usp=drivesdk")</f>
        <v>https://drive.google.com/file/d/1T0DG3VcL0L9xuOUgXx2Gu1WWDXiR5lmN/view?usp=drivesdk</v>
      </c>
      <c r="D7385" s="12"/>
      <c r="E7385" s="11">
        <v>7433.0</v>
      </c>
      <c r="F7385" s="2"/>
    </row>
    <row r="7386" ht="1.5" customHeight="1">
      <c r="A7386" s="4" t="str">
        <f>IFERROR(__xludf.DUMMYFUNCTION("""COMPUTED_VALUE"""),"135. Tumor")</f>
        <v>135. Tumor</v>
      </c>
      <c r="B7386" s="4" t="str">
        <f>IFERROR(__xludf.DUMMYFUNCTION("""COMPUTED_VALUE"""),"135")</f>
        <v>135</v>
      </c>
      <c r="C7386" s="5" t="str">
        <f>IFERROR(__xludf.DUMMYFUNCTION("""COMPUTED_VALUE"""),"https://drive.google.com/file/d/1UcgUX-YNP1pEfKDcZJldKd3-PGuHfqf8/view?usp=drivesdk")</f>
        <v>https://drive.google.com/file/d/1UcgUX-YNP1pEfKDcZJldKd3-PGuHfqf8/view?usp=drivesdk</v>
      </c>
      <c r="D7386" s="12"/>
      <c r="E7386" s="11">
        <v>7434.0</v>
      </c>
      <c r="F7386" s="2"/>
    </row>
    <row r="7387" ht="1.5" customHeight="1">
      <c r="A7387" s="4" t="str">
        <f>IFERROR(__xludf.DUMMYFUNCTION("""COMPUTED_VALUE"""),"99. Nezhui")</f>
        <v>99. Nezhui</v>
      </c>
      <c r="B7387" s="4" t="str">
        <f>IFERROR(__xludf.DUMMYFUNCTION("""COMPUTED_VALUE"""),"99")</f>
        <v>99</v>
      </c>
      <c r="C7387" s="5" t="str">
        <f>IFERROR(__xludf.DUMMYFUNCTION("""COMPUTED_VALUE"""),"https://drive.google.com/file/d/1V8EmO5GxYF3lqv5dr2mPuSOdwXPNmUV0/view?usp=drivesdk")</f>
        <v>https://drive.google.com/file/d/1V8EmO5GxYF3lqv5dr2mPuSOdwXPNmUV0/view?usp=drivesdk</v>
      </c>
      <c r="D7387" s="12"/>
      <c r="E7387" s="11">
        <v>7435.0</v>
      </c>
      <c r="F7387" s="2"/>
    </row>
    <row r="7388" ht="1.5" customHeight="1">
      <c r="A7388" s="4" t="str">
        <f>IFERROR(__xludf.DUMMYFUNCTION("""COMPUTED_VALUE"""),"94. Itztli")</f>
        <v>94. Itztli</v>
      </c>
      <c r="B7388" s="4" t="str">
        <f>IFERROR(__xludf.DUMMYFUNCTION("""COMPUTED_VALUE"""),"94")</f>
        <v>94</v>
      </c>
      <c r="C7388" s="5" t="str">
        <f>IFERROR(__xludf.DUMMYFUNCTION("""COMPUTED_VALUE"""),"https://drive.google.com/file/d/14oXwsC5bicydc9uHVc_P4-_NVhCrwYaF/view?usp=drivesdk")</f>
        <v>https://drive.google.com/file/d/14oXwsC5bicydc9uHVc_P4-_NVhCrwYaF/view?usp=drivesdk</v>
      </c>
      <c r="D7388" s="12"/>
      <c r="E7388" s="11">
        <v>7436.0</v>
      </c>
      <c r="F7388" s="2"/>
    </row>
    <row r="7389" ht="1.5" customHeight="1">
      <c r="A7389" s="4" t="str">
        <f>IFERROR(__xludf.DUMMYFUNCTION("""COMPUTED_VALUE"""),"20. Citlali, 93. Meatball")</f>
        <v>20. Citlali, 93. Meatball</v>
      </c>
      <c r="B7389" s="4" t="str">
        <f>IFERROR(__xludf.DUMMYFUNCTION("""COMPUTED_VALUE"""),"20, 93")</f>
        <v>20, 93</v>
      </c>
      <c r="C7389" s="5" t="str">
        <f>IFERROR(__xludf.DUMMYFUNCTION("""COMPUTED_VALUE"""),"https://drive.google.com/file/d/1-hfnVgze1ZVRWemjcbYqRuHaCWPGbJES/view?usp=drivesdk")</f>
        <v>https://drive.google.com/file/d/1-hfnVgze1ZVRWemjcbYqRuHaCWPGbJES/view?usp=drivesdk</v>
      </c>
      <c r="D7389" s="12"/>
      <c r="E7389" s="11">
        <v>7437.0</v>
      </c>
      <c r="F7389" s="2"/>
    </row>
    <row r="7390" ht="1.5" customHeight="1">
      <c r="A7390" s="4" t="str">
        <f>IFERROR(__xludf.DUMMYFUNCTION("""COMPUTED_VALUE"""),"20. Citlali, 93. Meatball")</f>
        <v>20. Citlali, 93. Meatball</v>
      </c>
      <c r="B7390" s="4" t="str">
        <f>IFERROR(__xludf.DUMMYFUNCTION("""COMPUTED_VALUE"""),"20, 93")</f>
        <v>20, 93</v>
      </c>
      <c r="C7390" s="5" t="str">
        <f>IFERROR(__xludf.DUMMYFUNCTION("""COMPUTED_VALUE"""),"https://drive.google.com/file/d/1ZHmGhRARSs1f9Bd50q_iZTIB2qjoApKJ/view?usp=drivesdk")</f>
        <v>https://drive.google.com/file/d/1ZHmGhRARSs1f9Bd50q_iZTIB2qjoApKJ/view?usp=drivesdk</v>
      </c>
      <c r="D7390" s="12"/>
      <c r="E7390" s="11">
        <v>7438.0</v>
      </c>
      <c r="F7390" s="2"/>
    </row>
    <row r="7391" ht="1.5" customHeight="1">
      <c r="A7391" s="4" t="str">
        <f>IFERROR(__xludf.DUMMYFUNCTION("""COMPUTED_VALUE"""),"20. Citlali")</f>
        <v>20. Citlali</v>
      </c>
      <c r="B7391" s="4" t="str">
        <f>IFERROR(__xludf.DUMMYFUNCTION("""COMPUTED_VALUE"""),"20")</f>
        <v>20</v>
      </c>
      <c r="C7391" s="5" t="str">
        <f>IFERROR(__xludf.DUMMYFUNCTION("""COMPUTED_VALUE"""),"https://drive.google.com/file/d/1a4xeB8_nILu4an3jFa01faIIIBGBGEaH/view?usp=drivesdk")</f>
        <v>https://drive.google.com/file/d/1a4xeB8_nILu4an3jFa01faIIIBGBGEaH/view?usp=drivesdk</v>
      </c>
      <c r="D7391" s="12"/>
      <c r="E7391" s="11">
        <v>7439.0</v>
      </c>
      <c r="F7391" s="2"/>
    </row>
    <row r="7392" ht="1.5" customHeight="1">
      <c r="A7392" s="4" t="str">
        <f>IFERROR(__xludf.DUMMYFUNCTION("""COMPUTED_VALUE"""),"1. Microwave")</f>
        <v>1. Microwave</v>
      </c>
      <c r="B7392" s="4" t="str">
        <f>IFERROR(__xludf.DUMMYFUNCTION("""COMPUTED_VALUE"""),"1")</f>
        <v>1</v>
      </c>
      <c r="C7392" s="5" t="str">
        <f>IFERROR(__xludf.DUMMYFUNCTION("""COMPUTED_VALUE"""),"https://drive.google.com/file/d/1prRQIacxATBGP37UlXM-AMA92YsJ7l_h/view?usp=drivesdk")</f>
        <v>https://drive.google.com/file/d/1prRQIacxATBGP37UlXM-AMA92YsJ7l_h/view?usp=drivesdk</v>
      </c>
      <c r="D7392" s="12"/>
      <c r="E7392" s="11">
        <v>7440.0</v>
      </c>
      <c r="F7392" s="2"/>
    </row>
    <row r="7393" ht="1.5" customHeight="1">
      <c r="A7393" s="4" t="str">
        <f>IFERROR(__xludf.DUMMYFUNCTION("""COMPUTED_VALUE"""),"6. Snickers")</f>
        <v>6. Snickers</v>
      </c>
      <c r="B7393" s="4" t="str">
        <f>IFERROR(__xludf.DUMMYFUNCTION("""COMPUTED_VALUE"""),"6")</f>
        <v>6</v>
      </c>
      <c r="C7393" s="5" t="str">
        <f>IFERROR(__xludf.DUMMYFUNCTION("""COMPUTED_VALUE"""),"https://drive.google.com/file/d/14UVqyazGoX5xIp27ApVHtrFY1NmCpSjI/view?usp=drivesdk")</f>
        <v>https://drive.google.com/file/d/14UVqyazGoX5xIp27ApVHtrFY1NmCpSjI/view?usp=drivesdk</v>
      </c>
      <c r="D7393" s="12"/>
      <c r="E7393" s="11">
        <v>7441.0</v>
      </c>
      <c r="F7393" s="2"/>
    </row>
    <row r="7394" ht="1.5" customHeight="1">
      <c r="A7394" s="4" t="str">
        <f>IFERROR(__xludf.DUMMYFUNCTION("""COMPUTED_VALUE"""),"6. Snickers")</f>
        <v>6. Snickers</v>
      </c>
      <c r="B7394" s="4" t="str">
        <f>IFERROR(__xludf.DUMMYFUNCTION("""COMPUTED_VALUE"""),"6")</f>
        <v>6</v>
      </c>
      <c r="C7394" s="5" t="str">
        <f>IFERROR(__xludf.DUMMYFUNCTION("""COMPUTED_VALUE"""),"https://drive.google.com/file/d/1X_gwM5wiqjXdFNA0PBWcNE-kYODBJW5P/view?usp=drivesdk")</f>
        <v>https://drive.google.com/file/d/1X_gwM5wiqjXdFNA0PBWcNE-kYODBJW5P/view?usp=drivesdk</v>
      </c>
      <c r="D7394" s="12"/>
      <c r="E7394" s="11">
        <v>7442.0</v>
      </c>
      <c r="F7394" s="2"/>
    </row>
    <row r="7395" ht="1.5" customHeight="1">
      <c r="A7395" s="4" t="str">
        <f>IFERROR(__xludf.DUMMYFUNCTION("""COMPUTED_VALUE"""),"6. Snickers")</f>
        <v>6. Snickers</v>
      </c>
      <c r="B7395" s="4" t="str">
        <f>IFERROR(__xludf.DUMMYFUNCTION("""COMPUTED_VALUE"""),"6")</f>
        <v>6</v>
      </c>
      <c r="C7395" s="5" t="str">
        <f>IFERROR(__xludf.DUMMYFUNCTION("""COMPUTED_VALUE"""),"https://drive.google.com/file/d/17XQTBQied5cNk-kS5McN9VmQEzQKV0nx/view?usp=drivesdk")</f>
        <v>https://drive.google.com/file/d/17XQTBQied5cNk-kS5McN9VmQEzQKV0nx/view?usp=drivesdk</v>
      </c>
      <c r="D7395" s="12"/>
      <c r="E7395" s="11">
        <v>7443.0</v>
      </c>
      <c r="F7395" s="2"/>
    </row>
    <row r="7396" ht="1.5" customHeight="1">
      <c r="A7396" s="4" t="str">
        <f>IFERROR(__xludf.DUMMYFUNCTION("""COMPUTED_VALUE"""),"6. Snickers")</f>
        <v>6. Snickers</v>
      </c>
      <c r="B7396" s="4" t="str">
        <f>IFERROR(__xludf.DUMMYFUNCTION("""COMPUTED_VALUE"""),"6")</f>
        <v>6</v>
      </c>
      <c r="C7396" s="5" t="str">
        <f>IFERROR(__xludf.DUMMYFUNCTION("""COMPUTED_VALUE"""),"https://drive.google.com/file/d/1XToo7vjznDpsegOK6xtKXEHy37dVYGX5/view?usp=drivesdk")</f>
        <v>https://drive.google.com/file/d/1XToo7vjznDpsegOK6xtKXEHy37dVYGX5/view?usp=drivesdk</v>
      </c>
      <c r="D7396" s="12"/>
      <c r="E7396" s="11">
        <v>7444.0</v>
      </c>
      <c r="F7396" s="2"/>
    </row>
    <row r="7397" ht="1.5" customHeight="1">
      <c r="A7397" s="4" t="str">
        <f>IFERROR(__xludf.DUMMYFUNCTION("""COMPUTED_VALUE"""),"136. Henry")</f>
        <v>136. Henry</v>
      </c>
      <c r="B7397" s="4" t="str">
        <f>IFERROR(__xludf.DUMMYFUNCTION("""COMPUTED_VALUE"""),"136")</f>
        <v>136</v>
      </c>
      <c r="C7397" s="5" t="str">
        <f>IFERROR(__xludf.DUMMYFUNCTION("""COMPUTED_VALUE"""),"https://drive.google.com/file/d/1hUfXe0Icj0JEDgdUK7HIOde0TalHAj72/view?usp=drivesdk")</f>
        <v>https://drive.google.com/file/d/1hUfXe0Icj0JEDgdUK7HIOde0TalHAj72/view?usp=drivesdk</v>
      </c>
      <c r="D7397" s="12"/>
      <c r="E7397" s="11">
        <v>7445.0</v>
      </c>
      <c r="F7397" s="2"/>
    </row>
    <row r="7398" ht="1.5" customHeight="1">
      <c r="A7398" s="4" t="str">
        <f>IFERROR(__xludf.DUMMYFUNCTION("""COMPUTED_VALUE"""),"136. Henry")</f>
        <v>136. Henry</v>
      </c>
      <c r="B7398" s="4" t="str">
        <f>IFERROR(__xludf.DUMMYFUNCTION("""COMPUTED_VALUE"""),"136")</f>
        <v>136</v>
      </c>
      <c r="C7398" s="5" t="str">
        <f>IFERROR(__xludf.DUMMYFUNCTION("""COMPUTED_VALUE"""),"https://drive.google.com/file/d/1TyKA0wcEhBF5zawkCk6y-tHS2yyhf3Tp/view?usp=drivesdk")</f>
        <v>https://drive.google.com/file/d/1TyKA0wcEhBF5zawkCk6y-tHS2yyhf3Tp/view?usp=drivesdk</v>
      </c>
      <c r="D7398" s="12"/>
      <c r="E7398" s="11">
        <v>7446.0</v>
      </c>
      <c r="F7398" s="2"/>
    </row>
    <row r="7399" ht="1.5" customHeight="1">
      <c r="A7399" s="4" t="str">
        <f>IFERROR(__xludf.DUMMYFUNCTION("""COMPUTED_VALUE"""),"0. NotACat")</f>
        <v>0. NotACat</v>
      </c>
      <c r="B7399" s="4" t="str">
        <f>IFERROR(__xludf.DUMMYFUNCTION("""COMPUTED_VALUE"""),"0")</f>
        <v>0</v>
      </c>
      <c r="C7399" s="5" t="str">
        <f>IFERROR(__xludf.DUMMYFUNCTION("""COMPUTED_VALUE"""),"https://drive.google.com/file/d/1HNmPPq0Q4Z6ofOeKR3HRtC5Zq4zucIaK/view?usp=drivesdk")</f>
        <v>https://drive.google.com/file/d/1HNmPPq0Q4Z6ofOeKR3HRtC5Zq4zucIaK/view?usp=drivesdk</v>
      </c>
      <c r="D7399" s="12"/>
      <c r="E7399" s="11">
        <v>7447.0</v>
      </c>
      <c r="F7399" s="2"/>
    </row>
    <row r="7400" ht="1.5" customHeight="1">
      <c r="A7400" s="4" t="str">
        <f>IFERROR(__xludf.DUMMYFUNCTION("""COMPUTED_VALUE"""),"73. Coronavirus")</f>
        <v>73. Coronavirus</v>
      </c>
      <c r="B7400" s="4" t="str">
        <f>IFERROR(__xludf.DUMMYFUNCTION("""COMPUTED_VALUE"""),"73")</f>
        <v>73</v>
      </c>
      <c r="C7400" s="5" t="str">
        <f>IFERROR(__xludf.DUMMYFUNCTION("""COMPUTED_VALUE"""),"https://drive.google.com/file/d/1fBLlTe7vmTXpXJpLoohANGhw1Ex5Tkjs/view?usp=drivesdk")</f>
        <v>https://drive.google.com/file/d/1fBLlTe7vmTXpXJpLoohANGhw1Ex5Tkjs/view?usp=drivesdk</v>
      </c>
      <c r="D7400" s="12"/>
      <c r="E7400" s="11">
        <v>7448.0</v>
      </c>
      <c r="F7400" s="2"/>
    </row>
    <row r="7401" ht="1.5" customHeight="1">
      <c r="A7401" s="4" t="str">
        <f>IFERROR(__xludf.DUMMYFUNCTION("""COMPUTED_VALUE"""),"6. Snickers")</f>
        <v>6. Snickers</v>
      </c>
      <c r="B7401" s="4" t="str">
        <f>IFERROR(__xludf.DUMMYFUNCTION("""COMPUTED_VALUE"""),"6")</f>
        <v>6</v>
      </c>
      <c r="C7401" s="5" t="str">
        <f>IFERROR(__xludf.DUMMYFUNCTION("""COMPUTED_VALUE"""),"https://drive.google.com/file/d/1F71dHUetRFhd-x-kepJ19M99nxwwJ13L/view?usp=drivesdk")</f>
        <v>https://drive.google.com/file/d/1F71dHUetRFhd-x-kepJ19M99nxwwJ13L/view?usp=drivesdk</v>
      </c>
      <c r="D7401" s="12"/>
      <c r="E7401" s="11">
        <v>7449.0</v>
      </c>
      <c r="F7401" s="2"/>
    </row>
    <row r="7402" ht="1.5" customHeight="1">
      <c r="A7402" s="4" t="str">
        <f>IFERROR(__xludf.DUMMYFUNCTION("""COMPUTED_VALUE"""),"1. Microwave")</f>
        <v>1. Microwave</v>
      </c>
      <c r="B7402" s="4" t="str">
        <f>IFERROR(__xludf.DUMMYFUNCTION("""COMPUTED_VALUE"""),"1")</f>
        <v>1</v>
      </c>
      <c r="C7402" s="5" t="str">
        <f>IFERROR(__xludf.DUMMYFUNCTION("""COMPUTED_VALUE"""),"https://drive.google.com/file/d/18d4Xav4QKIhg_cao1uMV-fi5x2CiSv9m/view?usp=drivesdk")</f>
        <v>https://drive.google.com/file/d/18d4Xav4QKIhg_cao1uMV-fi5x2CiSv9m/view?usp=drivesdk</v>
      </c>
      <c r="D7402" s="12"/>
      <c r="E7402" s="11">
        <v>7450.0</v>
      </c>
      <c r="F7402" s="2"/>
    </row>
    <row r="7403" ht="1.5" customHeight="1">
      <c r="A7403" s="4" t="str">
        <f>IFERROR(__xludf.DUMMYFUNCTION("""COMPUTED_VALUE"""),"1. Microwave")</f>
        <v>1. Microwave</v>
      </c>
      <c r="B7403" s="4" t="str">
        <f>IFERROR(__xludf.DUMMYFUNCTION("""COMPUTED_VALUE"""),"1")</f>
        <v>1</v>
      </c>
      <c r="C7403" s="5" t="str">
        <f>IFERROR(__xludf.DUMMYFUNCTION("""COMPUTED_VALUE"""),"https://drive.google.com/file/d/1OASDUe14ehzCiPNR6g1AR5_iIVCQGKPR/view?usp=drivesdk")</f>
        <v>https://drive.google.com/file/d/1OASDUe14ehzCiPNR6g1AR5_iIVCQGKPR/view?usp=drivesdk</v>
      </c>
      <c r="D7403" s="12"/>
      <c r="E7403" s="11">
        <v>7451.0</v>
      </c>
      <c r="F7403" s="2"/>
    </row>
    <row r="7404" ht="1.5" customHeight="1">
      <c r="A7404" s="4" t="str">
        <f>IFERROR(__xludf.DUMMYFUNCTION("""COMPUTED_VALUE"""),"35. Stove")</f>
        <v>35. Stove</v>
      </c>
      <c r="B7404" s="4" t="str">
        <f>IFERROR(__xludf.DUMMYFUNCTION("""COMPUTED_VALUE"""),"35")</f>
        <v>35</v>
      </c>
      <c r="C7404" s="5" t="str">
        <f>IFERROR(__xludf.DUMMYFUNCTION("""COMPUTED_VALUE"""),"https://drive.google.com/file/d/10WRVMfrt6osVDiQdvutaSyrMWwElOEXy/view?usp=drivesdk")</f>
        <v>https://drive.google.com/file/d/10WRVMfrt6osVDiQdvutaSyrMWwElOEXy/view?usp=drivesdk</v>
      </c>
      <c r="D7404" s="12"/>
      <c r="E7404" s="11">
        <v>7452.0</v>
      </c>
      <c r="F7404" s="2"/>
    </row>
    <row r="7405" ht="1.5" customHeight="1">
      <c r="A7405" s="4" t="str">
        <f>IFERROR(__xludf.DUMMYFUNCTION("""COMPUTED_VALUE"""),"35. Stove")</f>
        <v>35. Stove</v>
      </c>
      <c r="B7405" s="4" t="str">
        <f>IFERROR(__xludf.DUMMYFUNCTION("""COMPUTED_VALUE"""),"35")</f>
        <v>35</v>
      </c>
      <c r="C7405" s="5" t="str">
        <f>IFERROR(__xludf.DUMMYFUNCTION("""COMPUTED_VALUE"""),"https://drive.google.com/file/d/1NOlPhIzleJkK9mhS1c5FO0KodZdZ3A7g/view?usp=drivesdk")</f>
        <v>https://drive.google.com/file/d/1NOlPhIzleJkK9mhS1c5FO0KodZdZ3A7g/view?usp=drivesdk</v>
      </c>
      <c r="D7405" s="12"/>
      <c r="E7405" s="11">
        <v>7453.0</v>
      </c>
      <c r="F7405" s="2"/>
    </row>
    <row r="7406" ht="1.5" customHeight="1">
      <c r="A7406" s="4" t="str">
        <f>IFERROR(__xludf.DUMMYFUNCTION("""COMPUTED_VALUE"""),"35. Stove")</f>
        <v>35. Stove</v>
      </c>
      <c r="B7406" s="4" t="str">
        <f>IFERROR(__xludf.DUMMYFUNCTION("""COMPUTED_VALUE"""),"35")</f>
        <v>35</v>
      </c>
      <c r="C7406" s="5" t="str">
        <f>IFERROR(__xludf.DUMMYFUNCTION("""COMPUTED_VALUE"""),"https://drive.google.com/file/d/1OHTbSmxmxYabF6Cv-EjGyQ4T9EPPGLI5/view?usp=drivesdk")</f>
        <v>https://drive.google.com/file/d/1OHTbSmxmxYabF6Cv-EjGyQ4T9EPPGLI5/view?usp=drivesdk</v>
      </c>
      <c r="D7406" s="12"/>
      <c r="E7406" s="11">
        <v>7454.0</v>
      </c>
      <c r="F7406" s="2"/>
    </row>
    <row r="7407" ht="1.5" customHeight="1">
      <c r="A7407" s="4" t="str">
        <f>IFERROR(__xludf.DUMMYFUNCTION("""COMPUTED_VALUE"""),"1. Microwave")</f>
        <v>1. Microwave</v>
      </c>
      <c r="B7407" s="4" t="str">
        <f>IFERROR(__xludf.DUMMYFUNCTION("""COMPUTED_VALUE"""),"1")</f>
        <v>1</v>
      </c>
      <c r="C7407" s="5" t="str">
        <f>IFERROR(__xludf.DUMMYFUNCTION("""COMPUTED_VALUE"""),"https://drive.google.com/file/d/1sWrxlxzOgpyq8NRYbXVqiVMhcCVFOz1Y/view?usp=drivesdk")</f>
        <v>https://drive.google.com/file/d/1sWrxlxzOgpyq8NRYbXVqiVMhcCVFOz1Y/view?usp=drivesdk</v>
      </c>
      <c r="D7407" s="12"/>
      <c r="E7407" s="11">
        <v>7455.0</v>
      </c>
      <c r="F7407" s="2"/>
    </row>
    <row r="7408" ht="1.5" customHeight="1">
      <c r="A7408" s="4" t="str">
        <f>IFERROR(__xludf.DUMMYFUNCTION("""COMPUTED_VALUE"""),"1. Microwave")</f>
        <v>1. Microwave</v>
      </c>
      <c r="B7408" s="4" t="str">
        <f>IFERROR(__xludf.DUMMYFUNCTION("""COMPUTED_VALUE"""),"1")</f>
        <v>1</v>
      </c>
      <c r="C7408" s="5" t="str">
        <f>IFERROR(__xludf.DUMMYFUNCTION("""COMPUTED_VALUE"""),"https://drive.google.com/file/d/1aCRcA9ey74llzSZMRc5qatA9L79XZp8O/view?usp=drivesdk")</f>
        <v>https://drive.google.com/file/d/1aCRcA9ey74llzSZMRc5qatA9L79XZp8O/view?usp=drivesdk</v>
      </c>
      <c r="D7408" s="12"/>
      <c r="E7408" s="11">
        <v>7456.0</v>
      </c>
      <c r="F7408" s="2"/>
    </row>
    <row r="7409" ht="1.5" customHeight="1">
      <c r="A7409" s="4" t="str">
        <f>IFERROR(__xludf.DUMMYFUNCTION("""COMPUTED_VALUE"""),"2. Twix")</f>
        <v>2. Twix</v>
      </c>
      <c r="B7409" s="4" t="str">
        <f>IFERROR(__xludf.DUMMYFUNCTION("""COMPUTED_VALUE"""),"2")</f>
        <v>2</v>
      </c>
      <c r="C7409" s="5" t="str">
        <f>IFERROR(__xludf.DUMMYFUNCTION("""COMPUTED_VALUE"""),"https://drive.google.com/file/d/1N7DioVE8nVNarXeoUxlzEfbz2wPB95Wq/view?usp=drivesdk")</f>
        <v>https://drive.google.com/file/d/1N7DioVE8nVNarXeoUxlzEfbz2wPB95Wq/view?usp=drivesdk</v>
      </c>
      <c r="D7409" s="12"/>
      <c r="E7409" s="11">
        <v>7457.0</v>
      </c>
      <c r="F7409" s="2"/>
    </row>
    <row r="7410" ht="1.5" customHeight="1">
      <c r="A7410" s="4" t="str">
        <f>IFERROR(__xludf.DUMMYFUNCTION("""COMPUTED_VALUE"""),"2. Twix")</f>
        <v>2. Twix</v>
      </c>
      <c r="B7410" s="4" t="str">
        <f>IFERROR(__xludf.DUMMYFUNCTION("""COMPUTED_VALUE"""),"2")</f>
        <v>2</v>
      </c>
      <c r="C7410" s="5" t="str">
        <f>IFERROR(__xludf.DUMMYFUNCTION("""COMPUTED_VALUE"""),"https://drive.google.com/file/d/15UqxWnDmXuPIbVaM1TEj93vUiRqZJ65J/view?usp=drivesdk")</f>
        <v>https://drive.google.com/file/d/15UqxWnDmXuPIbVaM1TEj93vUiRqZJ65J/view?usp=drivesdk</v>
      </c>
      <c r="D7410" s="12"/>
      <c r="E7410" s="11">
        <v>7458.0</v>
      </c>
      <c r="F7410" s="2"/>
    </row>
    <row r="7411" ht="1.5" customHeight="1">
      <c r="A7411" s="4" t="str">
        <f>IFERROR(__xludf.DUMMYFUNCTION("""COMPUTED_VALUE"""),"2. Twix")</f>
        <v>2. Twix</v>
      </c>
      <c r="B7411" s="4" t="str">
        <f>IFERROR(__xludf.DUMMYFUNCTION("""COMPUTED_VALUE"""),"2")</f>
        <v>2</v>
      </c>
      <c r="C7411" s="5" t="str">
        <f>IFERROR(__xludf.DUMMYFUNCTION("""COMPUTED_VALUE"""),"https://drive.google.com/file/d/1gVDreCCszltJJ5S5l1CZqyAWDqg3g23R/view?usp=drivesdk")</f>
        <v>https://drive.google.com/file/d/1gVDreCCszltJJ5S5l1CZqyAWDqg3g23R/view?usp=drivesdk</v>
      </c>
      <c r="D7411" s="12"/>
      <c r="E7411" s="11">
        <v>7459.0</v>
      </c>
      <c r="F7411" s="2"/>
    </row>
    <row r="7412" ht="1.5" customHeight="1">
      <c r="A7412" s="4" t="str">
        <f>IFERROR(__xludf.DUMMYFUNCTION("""COMPUTED_VALUE"""),"1. Microwave")</f>
        <v>1. Microwave</v>
      </c>
      <c r="B7412" s="4" t="str">
        <f>IFERROR(__xludf.DUMMYFUNCTION("""COMPUTED_VALUE"""),"1")</f>
        <v>1</v>
      </c>
      <c r="C7412" s="5" t="str">
        <f>IFERROR(__xludf.DUMMYFUNCTION("""COMPUTED_VALUE"""),"https://drive.google.com/file/d/1E5vYj4Psf0dv2iLdG_3Wl-sGk-MC9QgD/view?usp=drivesdk")</f>
        <v>https://drive.google.com/file/d/1E5vYj4Psf0dv2iLdG_3Wl-sGk-MC9QgD/view?usp=drivesdk</v>
      </c>
      <c r="D7412" s="12"/>
      <c r="E7412" s="11">
        <v>7460.0</v>
      </c>
      <c r="F7412" s="2"/>
    </row>
    <row r="7413" ht="1.5" customHeight="1">
      <c r="A7413" s="4" t="str">
        <f>IFERROR(__xludf.DUMMYFUNCTION("""COMPUTED_VALUE"""),"1. Microwave")</f>
        <v>1. Microwave</v>
      </c>
      <c r="B7413" s="4" t="str">
        <f>IFERROR(__xludf.DUMMYFUNCTION("""COMPUTED_VALUE"""),"1")</f>
        <v>1</v>
      </c>
      <c r="C7413" s="5" t="str">
        <f>IFERROR(__xludf.DUMMYFUNCTION("""COMPUTED_VALUE"""),"https://drive.google.com/file/d/1MyIP2IzDdLPZcetU8H5HlEw2Uf_r7kCI/view?usp=drivesdk")</f>
        <v>https://drive.google.com/file/d/1MyIP2IzDdLPZcetU8H5HlEw2Uf_r7kCI/view?usp=drivesdk</v>
      </c>
      <c r="D7413" s="12"/>
      <c r="E7413" s="11">
        <v>7461.0</v>
      </c>
      <c r="F7413" s="2"/>
    </row>
    <row r="7414" ht="1.5" customHeight="1">
      <c r="A7414" s="4" t="str">
        <f>IFERROR(__xludf.DUMMYFUNCTION("""COMPUTED_VALUE"""),"1. Microwave")</f>
        <v>1. Microwave</v>
      </c>
      <c r="B7414" s="4" t="str">
        <f>IFERROR(__xludf.DUMMYFUNCTION("""COMPUTED_VALUE"""),"1")</f>
        <v>1</v>
      </c>
      <c r="C7414" s="5" t="str">
        <f>IFERROR(__xludf.DUMMYFUNCTION("""COMPUTED_VALUE"""),"https://drive.google.com/file/d/1T9UboKViWKfL-uwSCJ-FYMDKMASIG_Fm/view?usp=drivesdk")</f>
        <v>https://drive.google.com/file/d/1T9UboKViWKfL-uwSCJ-FYMDKMASIG_Fm/view?usp=drivesdk</v>
      </c>
      <c r="D7414" s="12"/>
      <c r="E7414" s="11">
        <v>7462.0</v>
      </c>
      <c r="F7414" s="2"/>
    </row>
    <row r="7415" ht="1.5" customHeight="1">
      <c r="A7415" s="4" t="str">
        <f>IFERROR(__xludf.DUMMYFUNCTION("""COMPUTED_VALUE"""),"1. Microwave")</f>
        <v>1. Microwave</v>
      </c>
      <c r="B7415" s="4" t="str">
        <f>IFERROR(__xludf.DUMMYFUNCTION("""COMPUTED_VALUE"""),"1")</f>
        <v>1</v>
      </c>
      <c r="C7415" s="5" t="str">
        <f>IFERROR(__xludf.DUMMYFUNCTION("""COMPUTED_VALUE"""),"https://drive.google.com/file/d/1Hnr8gTxtVYOmhvymDJBqSPS3S9mvIlef/view?usp=drivesdk")</f>
        <v>https://drive.google.com/file/d/1Hnr8gTxtVYOmhvymDJBqSPS3S9mvIlef/view?usp=drivesdk</v>
      </c>
      <c r="D7415" s="12"/>
      <c r="E7415" s="11">
        <v>7463.0</v>
      </c>
      <c r="F7415" s="2"/>
    </row>
    <row r="7416" ht="1.5" customHeight="1">
      <c r="A7416" s="4" t="str">
        <f>IFERROR(__xludf.DUMMYFUNCTION("""COMPUTED_VALUE"""),"1. Microwave")</f>
        <v>1. Microwave</v>
      </c>
      <c r="B7416" s="4" t="str">
        <f>IFERROR(__xludf.DUMMYFUNCTION("""COMPUTED_VALUE"""),"1")</f>
        <v>1</v>
      </c>
      <c r="C7416" s="5" t="str">
        <f>IFERROR(__xludf.DUMMYFUNCTION("""COMPUTED_VALUE"""),"https://drive.google.com/file/d/13FIU76_MxjXZgQRgHjEQNUfh1y8BSnqU/view?usp=drivesdk")</f>
        <v>https://drive.google.com/file/d/13FIU76_MxjXZgQRgHjEQNUfh1y8BSnqU/view?usp=drivesdk</v>
      </c>
      <c r="D7416" s="12"/>
      <c r="E7416" s="11">
        <v>7464.0</v>
      </c>
      <c r="F7416" s="2"/>
    </row>
    <row r="7417" ht="1.5" customHeight="1">
      <c r="A7417" s="4" t="str">
        <f>IFERROR(__xludf.DUMMYFUNCTION("""COMPUTED_VALUE"""),"1. Microwave")</f>
        <v>1. Microwave</v>
      </c>
      <c r="B7417" s="4" t="str">
        <f>IFERROR(__xludf.DUMMYFUNCTION("""COMPUTED_VALUE"""),"1")</f>
        <v>1</v>
      </c>
      <c r="C7417" s="5" t="str">
        <f>IFERROR(__xludf.DUMMYFUNCTION("""COMPUTED_VALUE"""),"https://drive.google.com/file/d/14dvZmKFno_MnvH3md7kIUJfxraWAF95O/view?usp=drivesdk")</f>
        <v>https://drive.google.com/file/d/14dvZmKFno_MnvH3md7kIUJfxraWAF95O/view?usp=drivesdk</v>
      </c>
      <c r="D7417" s="12"/>
      <c r="E7417" s="11">
        <v>7465.0</v>
      </c>
      <c r="F7417" s="2"/>
    </row>
    <row r="7418" ht="1.5" customHeight="1">
      <c r="A7418" s="4" t="str">
        <f>IFERROR(__xludf.DUMMYFUNCTION("""COMPUTED_VALUE"""),"1. Microwave")</f>
        <v>1. Microwave</v>
      </c>
      <c r="B7418" s="4" t="str">
        <f>IFERROR(__xludf.DUMMYFUNCTION("""COMPUTED_VALUE"""),"1")</f>
        <v>1</v>
      </c>
      <c r="C7418" s="5" t="str">
        <f>IFERROR(__xludf.DUMMYFUNCTION("""COMPUTED_VALUE"""),"https://drive.google.com/file/d/1MIEnnmOREyHWF3lL7ytAWcLzCREUg4-y/view?usp=drivesdk")</f>
        <v>https://drive.google.com/file/d/1MIEnnmOREyHWF3lL7ytAWcLzCREUg4-y/view?usp=drivesdk</v>
      </c>
      <c r="D7418" s="12"/>
      <c r="E7418" s="11">
        <v>7466.0</v>
      </c>
      <c r="F7418" s="2"/>
    </row>
    <row r="7419" ht="1.5" customHeight="1">
      <c r="A7419" s="4" t="str">
        <f>IFERROR(__xludf.DUMMYFUNCTION("""COMPUTED_VALUE"""),"1. Microwave")</f>
        <v>1. Microwave</v>
      </c>
      <c r="B7419" s="4" t="str">
        <f>IFERROR(__xludf.DUMMYFUNCTION("""COMPUTED_VALUE"""),"1")</f>
        <v>1</v>
      </c>
      <c r="C7419" s="5" t="str">
        <f>IFERROR(__xludf.DUMMYFUNCTION("""COMPUTED_VALUE"""),"https://drive.google.com/file/d/1IEeRZ6xSUR8Nbh65Xyn_RogH4xXqWxHb/view?usp=drivesdk")</f>
        <v>https://drive.google.com/file/d/1IEeRZ6xSUR8Nbh65Xyn_RogH4xXqWxHb/view?usp=drivesdk</v>
      </c>
      <c r="D7419" s="12"/>
      <c r="E7419" s="11">
        <v>7467.0</v>
      </c>
      <c r="F7419" s="2"/>
    </row>
    <row r="7420" ht="1.5" customHeight="1">
      <c r="A7420" s="4" t="str">
        <f>IFERROR(__xludf.DUMMYFUNCTION("""COMPUTED_VALUE"""),"1. Microwave")</f>
        <v>1. Microwave</v>
      </c>
      <c r="B7420" s="4" t="str">
        <f>IFERROR(__xludf.DUMMYFUNCTION("""COMPUTED_VALUE"""),"1")</f>
        <v>1</v>
      </c>
      <c r="C7420" s="5" t="str">
        <f>IFERROR(__xludf.DUMMYFUNCTION("""COMPUTED_VALUE"""),"https://drive.google.com/file/d/1qTLvK13qihJcjDcnLg7LsNQd18E0ZmaT/view?usp=drivesdk")</f>
        <v>https://drive.google.com/file/d/1qTLvK13qihJcjDcnLg7LsNQd18E0ZmaT/view?usp=drivesdk</v>
      </c>
      <c r="D7420" s="12"/>
      <c r="E7420" s="11">
        <v>7468.0</v>
      </c>
      <c r="F7420" s="2"/>
    </row>
    <row r="7421" ht="1.5" customHeight="1">
      <c r="A7421" s="4" t="str">
        <f>IFERROR(__xludf.DUMMYFUNCTION("""COMPUTED_VALUE"""),"1. Microwave")</f>
        <v>1. Microwave</v>
      </c>
      <c r="B7421" s="4" t="str">
        <f>IFERROR(__xludf.DUMMYFUNCTION("""COMPUTED_VALUE"""),"1")</f>
        <v>1</v>
      </c>
      <c r="C7421" s="5" t="str">
        <f>IFERROR(__xludf.DUMMYFUNCTION("""COMPUTED_VALUE"""),"https://drive.google.com/file/d/1iuaHhBGuWigHkAgBnts6034mVASgjV0w/view?usp=drivesdk")</f>
        <v>https://drive.google.com/file/d/1iuaHhBGuWigHkAgBnts6034mVASgjV0w/view?usp=drivesdk</v>
      </c>
      <c r="D7421" s="12"/>
      <c r="E7421" s="11">
        <v>7469.0</v>
      </c>
      <c r="F7421" s="2"/>
    </row>
    <row r="7422" ht="1.5" customHeight="1">
      <c r="A7422" s="4" t="str">
        <f>IFERROR(__xludf.DUMMYFUNCTION("""COMPUTED_VALUE"""),"1. Microwave")</f>
        <v>1. Microwave</v>
      </c>
      <c r="B7422" s="4" t="str">
        <f>IFERROR(__xludf.DUMMYFUNCTION("""COMPUTED_VALUE"""),"1")</f>
        <v>1</v>
      </c>
      <c r="C7422" s="5" t="str">
        <f>IFERROR(__xludf.DUMMYFUNCTION("""COMPUTED_VALUE"""),"https://drive.google.com/file/d/1UAOMWP8xEQG4UDqydsqwyOd8fUqMXkWm/view?usp=drivesdk")</f>
        <v>https://drive.google.com/file/d/1UAOMWP8xEQG4UDqydsqwyOd8fUqMXkWm/view?usp=drivesdk</v>
      </c>
      <c r="D7422" s="12"/>
      <c r="E7422" s="11">
        <v>7470.0</v>
      </c>
      <c r="F7422" s="2"/>
    </row>
    <row r="7423" ht="1.5" customHeight="1">
      <c r="A7423" s="4" t="str">
        <f>IFERROR(__xludf.DUMMYFUNCTION("""COMPUTED_VALUE"""),"1. Microwave")</f>
        <v>1. Microwave</v>
      </c>
      <c r="B7423" s="4" t="str">
        <f>IFERROR(__xludf.DUMMYFUNCTION("""COMPUTED_VALUE"""),"1")</f>
        <v>1</v>
      </c>
      <c r="C7423" s="5" t="str">
        <f>IFERROR(__xludf.DUMMYFUNCTION("""COMPUTED_VALUE"""),"https://drive.google.com/file/d/19sLK4Dm8seq1-NkcTg4Zl3MjYuPouXfb/view?usp=drivesdk")</f>
        <v>https://drive.google.com/file/d/19sLK4Dm8seq1-NkcTg4Zl3MjYuPouXfb/view?usp=drivesdk</v>
      </c>
      <c r="D7423" s="12"/>
      <c r="E7423" s="11">
        <v>7471.0</v>
      </c>
      <c r="F7423" s="2"/>
    </row>
    <row r="7424" ht="1.5" customHeight="1">
      <c r="A7424" s="4" t="str">
        <f>IFERROR(__xludf.DUMMYFUNCTION("""COMPUTED_VALUE"""),"1. Microwave")</f>
        <v>1. Microwave</v>
      </c>
      <c r="B7424" s="4" t="str">
        <f>IFERROR(__xludf.DUMMYFUNCTION("""COMPUTED_VALUE"""),"1")</f>
        <v>1</v>
      </c>
      <c r="C7424" s="5" t="str">
        <f>IFERROR(__xludf.DUMMYFUNCTION("""COMPUTED_VALUE"""),"https://drive.google.com/file/d/1lxNZCO4kXTOu6tnL7Vmw7YnijFwOH2lz/view?usp=drivesdk")</f>
        <v>https://drive.google.com/file/d/1lxNZCO4kXTOu6tnL7Vmw7YnijFwOH2lz/view?usp=drivesdk</v>
      </c>
      <c r="D7424" s="12"/>
      <c r="E7424" s="11">
        <v>7472.0</v>
      </c>
      <c r="F7424" s="2"/>
    </row>
    <row r="7425" ht="1.5" customHeight="1">
      <c r="A7425" s="4" t="str">
        <f>IFERROR(__xludf.DUMMYFUNCTION("""COMPUTED_VALUE"""),"1. Microwave")</f>
        <v>1. Microwave</v>
      </c>
      <c r="B7425" s="4" t="str">
        <f>IFERROR(__xludf.DUMMYFUNCTION("""COMPUTED_VALUE"""),"1")</f>
        <v>1</v>
      </c>
      <c r="C7425" s="5" t="str">
        <f>IFERROR(__xludf.DUMMYFUNCTION("""COMPUTED_VALUE"""),"https://drive.google.com/file/d/1_N5mFoG5gml4Rn-whXa8wkglDMTTA4MA/view?usp=drivesdk")</f>
        <v>https://drive.google.com/file/d/1_N5mFoG5gml4Rn-whXa8wkglDMTTA4MA/view?usp=drivesdk</v>
      </c>
      <c r="D7425" s="12"/>
      <c r="E7425" s="11">
        <v>7473.0</v>
      </c>
      <c r="F7425" s="2"/>
    </row>
    <row r="7426" ht="1.5" customHeight="1">
      <c r="A7426" s="4" t="str">
        <f>IFERROR(__xludf.DUMMYFUNCTION("""COMPUTED_VALUE"""),"1. Microwave")</f>
        <v>1. Microwave</v>
      </c>
      <c r="B7426" s="4" t="str">
        <f>IFERROR(__xludf.DUMMYFUNCTION("""COMPUTED_VALUE"""),"1")</f>
        <v>1</v>
      </c>
      <c r="C7426" s="5" t="str">
        <f>IFERROR(__xludf.DUMMYFUNCTION("""COMPUTED_VALUE"""),"https://drive.google.com/file/d/1RGhVdMr66Kk-ZcUs_SOibv08tIDA0khl/view?usp=drivesdk")</f>
        <v>https://drive.google.com/file/d/1RGhVdMr66Kk-ZcUs_SOibv08tIDA0khl/view?usp=drivesdk</v>
      </c>
      <c r="D7426" s="12"/>
      <c r="E7426" s="11">
        <v>7474.0</v>
      </c>
      <c r="F7426" s="2"/>
    </row>
    <row r="7427" ht="1.5" customHeight="1">
      <c r="A7427" s="4" t="str">
        <f>IFERROR(__xludf.DUMMYFUNCTION("""COMPUTED_VALUE"""),"1. Microwave")</f>
        <v>1. Microwave</v>
      </c>
      <c r="B7427" s="4" t="str">
        <f>IFERROR(__xludf.DUMMYFUNCTION("""COMPUTED_VALUE"""),"1")</f>
        <v>1</v>
      </c>
      <c r="C7427" s="5" t="str">
        <f>IFERROR(__xludf.DUMMYFUNCTION("""COMPUTED_VALUE"""),"https://drive.google.com/file/d/1wIG2S6_0POc0Lgnyco_yx7QfmHSZI8qQ/view?usp=drivesdk")</f>
        <v>https://drive.google.com/file/d/1wIG2S6_0POc0Lgnyco_yx7QfmHSZI8qQ/view?usp=drivesdk</v>
      </c>
      <c r="D7427" s="12"/>
      <c r="E7427" s="11">
        <v>7475.0</v>
      </c>
      <c r="F7427" s="2"/>
    </row>
    <row r="7428" ht="1.5" customHeight="1">
      <c r="A7428" s="4" t="str">
        <f>IFERROR(__xludf.DUMMYFUNCTION("""COMPUTED_VALUE"""),"99. Nezhui")</f>
        <v>99. Nezhui</v>
      </c>
      <c r="B7428" s="4" t="str">
        <f>IFERROR(__xludf.DUMMYFUNCTION("""COMPUTED_VALUE"""),"99")</f>
        <v>99</v>
      </c>
      <c r="C7428" s="5" t="str">
        <f>IFERROR(__xludf.DUMMYFUNCTION("""COMPUTED_VALUE"""),"https://drive.google.com/file/d/1gPO7XY79xcmAit0JtNZXO90amCSJdfGm/view?usp=drivesdk")</f>
        <v>https://drive.google.com/file/d/1gPO7XY79xcmAit0JtNZXO90amCSJdfGm/view?usp=drivesdk</v>
      </c>
      <c r="D7428" s="12"/>
      <c r="E7428" s="11">
        <v>7476.0</v>
      </c>
      <c r="F7428" s="2"/>
    </row>
    <row r="7429" ht="1.5" customHeight="1">
      <c r="A7429" s="4" t="str">
        <f>IFERROR(__xludf.DUMMYFUNCTION("""COMPUTED_VALUE"""),"20. Citlali, 109. Tlalli, 106. Ami")</f>
        <v>20. Citlali, 109. Tlalli, 106. Ami</v>
      </c>
      <c r="B7429" s="4" t="str">
        <f>IFERROR(__xludf.DUMMYFUNCTION("""COMPUTED_VALUE"""),"20, 109, 106")</f>
        <v>20, 109, 106</v>
      </c>
      <c r="C7429" s="5" t="str">
        <f>IFERROR(__xludf.DUMMYFUNCTION("""COMPUTED_VALUE"""),"https://drive.google.com/file/d/1UxColFBirgtHJxWpsQBIKAV4licQOZFi/view?usp=drivesdk")</f>
        <v>https://drive.google.com/file/d/1UxColFBirgtHJxWpsQBIKAV4licQOZFi/view?usp=drivesdk</v>
      </c>
      <c r="D7429" s="12"/>
      <c r="E7429" s="11">
        <v>7477.0</v>
      </c>
      <c r="F7429" s="2"/>
    </row>
    <row r="7430" ht="1.5" customHeight="1">
      <c r="A7430" s="4" t="str">
        <f>IFERROR(__xludf.DUMMYFUNCTION("""COMPUTED_VALUE"""),"114. Elision")</f>
        <v>114. Elision</v>
      </c>
      <c r="B7430" s="4" t="str">
        <f>IFERROR(__xludf.DUMMYFUNCTION("""COMPUTED_VALUE"""),"114")</f>
        <v>114</v>
      </c>
      <c r="C7430" s="5" t="str">
        <f>IFERROR(__xludf.DUMMYFUNCTION("""COMPUTED_VALUE"""),"https://drive.google.com/file/d/1TU8YECojLtbORw2TLJ6CNnq9q2yRm5q0/view?usp=drivesdk")</f>
        <v>https://drive.google.com/file/d/1TU8YECojLtbORw2TLJ6CNnq9q2yRm5q0/view?usp=drivesdk</v>
      </c>
      <c r="D7430" s="12"/>
      <c r="E7430" s="11">
        <v>7478.0</v>
      </c>
      <c r="F7430" s="2"/>
    </row>
    <row r="7431" ht="1.5" customHeight="1">
      <c r="A7431" s="4" t="str">
        <f>IFERROR(__xludf.DUMMYFUNCTION("""COMPUTED_VALUE"""),"89. Petal")</f>
        <v>89. Petal</v>
      </c>
      <c r="B7431" s="4" t="str">
        <f>IFERROR(__xludf.DUMMYFUNCTION("""COMPUTED_VALUE"""),"89")</f>
        <v>89</v>
      </c>
      <c r="C7431" s="5" t="str">
        <f>IFERROR(__xludf.DUMMYFUNCTION("""COMPUTED_VALUE"""),"https://drive.google.com/file/d/1S16dUtJO8RtSWdHh9cW4YqtCEE8J8m5Z/view?usp=drivesdk")</f>
        <v>https://drive.google.com/file/d/1S16dUtJO8RtSWdHh9cW4YqtCEE8J8m5Z/view?usp=drivesdk</v>
      </c>
      <c r="D7431" s="12"/>
      <c r="E7431" s="11">
        <v>7479.0</v>
      </c>
      <c r="F7431" s="2"/>
    </row>
    <row r="7432" ht="1.5" customHeight="1">
      <c r="A7432" s="4" t="str">
        <f>IFERROR(__xludf.DUMMYFUNCTION("""COMPUTED_VALUE"""),"89. Petal")</f>
        <v>89. Petal</v>
      </c>
      <c r="B7432" s="4" t="str">
        <f>IFERROR(__xludf.DUMMYFUNCTION("""COMPUTED_VALUE"""),"89")</f>
        <v>89</v>
      </c>
      <c r="C7432" s="5" t="str">
        <f>IFERROR(__xludf.DUMMYFUNCTION("""COMPUTED_VALUE"""),"https://drive.google.com/file/d/1Ijepx6gT0ZwnG20cE1KtXs0AJ-cvSzzK/view?usp=drivesdk")</f>
        <v>https://drive.google.com/file/d/1Ijepx6gT0ZwnG20cE1KtXs0AJ-cvSzzK/view?usp=drivesdk</v>
      </c>
      <c r="D7432" s="12"/>
      <c r="E7432" s="11">
        <v>7480.0</v>
      </c>
      <c r="F7432" s="2"/>
    </row>
    <row r="7433" ht="1.5" customHeight="1">
      <c r="A7433" s="4" t="str">
        <f>IFERROR(__xludf.DUMMYFUNCTION("""COMPUTED_VALUE"""),"89. Petal")</f>
        <v>89. Petal</v>
      </c>
      <c r="B7433" s="4" t="str">
        <f>IFERROR(__xludf.DUMMYFUNCTION("""COMPUTED_VALUE"""),"89")</f>
        <v>89</v>
      </c>
      <c r="C7433" s="5" t="str">
        <f>IFERROR(__xludf.DUMMYFUNCTION("""COMPUTED_VALUE"""),"https://drive.google.com/file/d/1QgcYVwOpDr8ff7Fk62Qxtsm4qL96Hfej/view?usp=drivesdk")</f>
        <v>https://drive.google.com/file/d/1QgcYVwOpDr8ff7Fk62Qxtsm4qL96Hfej/view?usp=drivesdk</v>
      </c>
      <c r="D7433" s="12"/>
      <c r="E7433" s="11">
        <v>7481.0</v>
      </c>
      <c r="F7433" s="2"/>
    </row>
    <row r="7434" ht="1.5" customHeight="1">
      <c r="A7434" s="4" t="str">
        <f>IFERROR(__xludf.DUMMYFUNCTION("""COMPUTED_VALUE"""),"89. Petal")</f>
        <v>89. Petal</v>
      </c>
      <c r="B7434" s="4" t="str">
        <f>IFERROR(__xludf.DUMMYFUNCTION("""COMPUTED_VALUE"""),"89")</f>
        <v>89</v>
      </c>
      <c r="C7434" s="5" t="str">
        <f>IFERROR(__xludf.DUMMYFUNCTION("""COMPUTED_VALUE"""),"https://drive.google.com/file/d/1Of95KT2VT43ytoP61tPyBG3mw8i1QV4c/view?usp=drivesdk")</f>
        <v>https://drive.google.com/file/d/1Of95KT2VT43ytoP61tPyBG3mw8i1QV4c/view?usp=drivesdk</v>
      </c>
      <c r="D7434" s="12"/>
      <c r="E7434" s="11">
        <v>7482.0</v>
      </c>
      <c r="F7434" s="2"/>
    </row>
    <row r="7435" ht="1.5" customHeight="1">
      <c r="A7435" s="4" t="str">
        <f>IFERROR(__xludf.DUMMYFUNCTION("""COMPUTED_VALUE"""),"89. Petal")</f>
        <v>89. Petal</v>
      </c>
      <c r="B7435" s="4" t="str">
        <f>IFERROR(__xludf.DUMMYFUNCTION("""COMPUTED_VALUE"""),"89")</f>
        <v>89</v>
      </c>
      <c r="C7435" s="5" t="str">
        <f>IFERROR(__xludf.DUMMYFUNCTION("""COMPUTED_VALUE"""),"https://drive.google.com/file/d/1-y-N3WGTNmh4Ars4IVaHH93UpZjqPEMu/view?usp=drivesdk")</f>
        <v>https://drive.google.com/file/d/1-y-N3WGTNmh4Ars4IVaHH93UpZjqPEMu/view?usp=drivesdk</v>
      </c>
      <c r="D7435" s="12"/>
      <c r="E7435" s="11">
        <v>7483.0</v>
      </c>
      <c r="F7435" s="2"/>
    </row>
    <row r="7436" ht="1.5" customHeight="1">
      <c r="A7436" s="4" t="str">
        <f>IFERROR(__xludf.DUMMYFUNCTION("""COMPUTED_VALUE"""),"89. Petal")</f>
        <v>89. Petal</v>
      </c>
      <c r="B7436" s="4" t="str">
        <f>IFERROR(__xludf.DUMMYFUNCTION("""COMPUTED_VALUE"""),"89")</f>
        <v>89</v>
      </c>
      <c r="C7436" s="5" t="str">
        <f>IFERROR(__xludf.DUMMYFUNCTION("""COMPUTED_VALUE"""),"https://drive.google.com/file/d/1uczHDXQo7INwsnptZzzYeaajUUraD3-q/view?usp=drivesdk")</f>
        <v>https://drive.google.com/file/d/1uczHDXQo7INwsnptZzzYeaajUUraD3-q/view?usp=drivesdk</v>
      </c>
      <c r="D7436" s="12"/>
      <c r="E7436" s="11">
        <v>7484.0</v>
      </c>
      <c r="F7436" s="2"/>
    </row>
    <row r="7437" ht="1.5" customHeight="1">
      <c r="A7437" s="4" t="str">
        <f>IFERROR(__xludf.DUMMYFUNCTION("""COMPUTED_VALUE"""),"89. Petal")</f>
        <v>89. Petal</v>
      </c>
      <c r="B7437" s="4" t="str">
        <f>IFERROR(__xludf.DUMMYFUNCTION("""COMPUTED_VALUE"""),"89")</f>
        <v>89</v>
      </c>
      <c r="C7437" s="5" t="str">
        <f>IFERROR(__xludf.DUMMYFUNCTION("""COMPUTED_VALUE"""),"https://drive.google.com/file/d/1dxVklw6h5INPcJfBytUaWvfSlMoNOAzx/view?usp=drivesdk")</f>
        <v>https://drive.google.com/file/d/1dxVklw6h5INPcJfBytUaWvfSlMoNOAzx/view?usp=drivesdk</v>
      </c>
      <c r="D7437" s="12"/>
      <c r="E7437" s="11">
        <v>7485.0</v>
      </c>
      <c r="F7437" s="2"/>
    </row>
    <row r="7438" ht="1.5" customHeight="1">
      <c r="A7438" s="4" t="str">
        <f>IFERROR(__xludf.DUMMYFUNCTION("""COMPUTED_VALUE"""),"89. Petal")</f>
        <v>89. Petal</v>
      </c>
      <c r="B7438" s="4" t="str">
        <f>IFERROR(__xludf.DUMMYFUNCTION("""COMPUTED_VALUE"""),"89")</f>
        <v>89</v>
      </c>
      <c r="C7438" s="5" t="str">
        <f>IFERROR(__xludf.DUMMYFUNCTION("""COMPUTED_VALUE"""),"https://drive.google.com/file/d/1-NXL9opl5f8UPlLD9418-sE8d0hDSUYl/view?usp=drivesdk")</f>
        <v>https://drive.google.com/file/d/1-NXL9opl5f8UPlLD9418-sE8d0hDSUYl/view?usp=drivesdk</v>
      </c>
      <c r="D7438" s="12"/>
      <c r="E7438" s="11">
        <v>7486.0</v>
      </c>
      <c r="F7438" s="2"/>
    </row>
    <row r="7439" ht="1.5" customHeight="1">
      <c r="A7439" s="4" t="str">
        <f>IFERROR(__xludf.DUMMYFUNCTION("""COMPUTED_VALUE"""),"89. Petal")</f>
        <v>89. Petal</v>
      </c>
      <c r="B7439" s="4" t="str">
        <f>IFERROR(__xludf.DUMMYFUNCTION("""COMPUTED_VALUE"""),"89")</f>
        <v>89</v>
      </c>
      <c r="C7439" s="5" t="str">
        <f>IFERROR(__xludf.DUMMYFUNCTION("""COMPUTED_VALUE"""),"https://drive.google.com/file/d/16D3Gt41Jjm4yHccqUKACu_PsznOaLb18/view?usp=drivesdk")</f>
        <v>https://drive.google.com/file/d/16D3Gt41Jjm4yHccqUKACu_PsznOaLb18/view?usp=drivesdk</v>
      </c>
      <c r="D7439" s="12"/>
      <c r="E7439" s="11">
        <v>7487.0</v>
      </c>
      <c r="F7439" s="2"/>
    </row>
    <row r="7440" ht="1.5" customHeight="1">
      <c r="A7440" s="4" t="str">
        <f>IFERROR(__xludf.DUMMYFUNCTION("""COMPUTED_VALUE"""),"89. Petal")</f>
        <v>89. Petal</v>
      </c>
      <c r="B7440" s="4" t="str">
        <f>IFERROR(__xludf.DUMMYFUNCTION("""COMPUTED_VALUE"""),"89")</f>
        <v>89</v>
      </c>
      <c r="C7440" s="5" t="str">
        <f>IFERROR(__xludf.DUMMYFUNCTION("""COMPUTED_VALUE"""),"https://drive.google.com/file/d/1AA57LDVMdxsoFyfIuCje-8csc0S2724s/view?usp=drivesdk")</f>
        <v>https://drive.google.com/file/d/1AA57LDVMdxsoFyfIuCje-8csc0S2724s/view?usp=drivesdk</v>
      </c>
      <c r="D7440" s="12"/>
      <c r="E7440" s="11">
        <v>7488.0</v>
      </c>
      <c r="F7440" s="2"/>
    </row>
    <row r="7441" ht="1.5" customHeight="1">
      <c r="A7441" s="4" t="str">
        <f>IFERROR(__xludf.DUMMYFUNCTION("""COMPUTED_VALUE"""),"90. Chimichanga")</f>
        <v>90. Chimichanga</v>
      </c>
      <c r="B7441" s="4" t="str">
        <f>IFERROR(__xludf.DUMMYFUNCTION("""COMPUTED_VALUE"""),"90")</f>
        <v>90</v>
      </c>
      <c r="C7441" s="5" t="str">
        <f>IFERROR(__xludf.DUMMYFUNCTION("""COMPUTED_VALUE"""),"https://drive.google.com/file/d/1sSi2fUlVv9WTRW5w-YcoAxEe-kXIHNI4/view?usp=drivesdk")</f>
        <v>https://drive.google.com/file/d/1sSi2fUlVv9WTRW5w-YcoAxEe-kXIHNI4/view?usp=drivesdk</v>
      </c>
      <c r="D7441" s="12"/>
      <c r="E7441" s="11">
        <v>7489.0</v>
      </c>
      <c r="F7441" s="2"/>
    </row>
    <row r="7442" ht="1.5" customHeight="1">
      <c r="A7442" s="4" t="str">
        <f>IFERROR(__xludf.DUMMYFUNCTION("""COMPUTED_VALUE"""),"101. Nori")</f>
        <v>101. Nori</v>
      </c>
      <c r="B7442" s="4" t="str">
        <f>IFERROR(__xludf.DUMMYFUNCTION("""COMPUTED_VALUE"""),"101")</f>
        <v>101</v>
      </c>
      <c r="C7442" s="5" t="str">
        <f>IFERROR(__xludf.DUMMYFUNCTION("""COMPUTED_VALUE"""),"https://drive.google.com/file/d/1zMObaZgr-KH2b0qmXY_FHk-DqioS8J8L/view?usp=drivesdk")</f>
        <v>https://drive.google.com/file/d/1zMObaZgr-KH2b0qmXY_FHk-DqioS8J8L/view?usp=drivesdk</v>
      </c>
      <c r="D7442" s="12"/>
      <c r="E7442" s="11">
        <v>7490.0</v>
      </c>
      <c r="F7442" s="2"/>
    </row>
    <row r="7443" ht="1.5" customHeight="1">
      <c r="A7443" s="4" t="str">
        <f>IFERROR(__xludf.DUMMYFUNCTION("""COMPUTED_VALUE"""),"101. Nori")</f>
        <v>101. Nori</v>
      </c>
      <c r="B7443" s="4" t="str">
        <f>IFERROR(__xludf.DUMMYFUNCTION("""COMPUTED_VALUE"""),"101")</f>
        <v>101</v>
      </c>
      <c r="C7443" s="5" t="str">
        <f>IFERROR(__xludf.DUMMYFUNCTION("""COMPUTED_VALUE"""),"https://drive.google.com/file/d/176tee1EPSs8LQMU66O-4OhqD4z2MRzQU/view?usp=drivesdk")</f>
        <v>https://drive.google.com/file/d/176tee1EPSs8LQMU66O-4OhqD4z2MRzQU/view?usp=drivesdk</v>
      </c>
      <c r="D7443" s="12"/>
      <c r="E7443" s="11">
        <v>7491.0</v>
      </c>
      <c r="F7443" s="2"/>
    </row>
    <row r="7444" ht="1.5" customHeight="1">
      <c r="A7444" s="4" t="str">
        <f>IFERROR(__xludf.DUMMYFUNCTION("""COMPUTED_VALUE"""),"101. Nori")</f>
        <v>101. Nori</v>
      </c>
      <c r="B7444" s="4" t="str">
        <f>IFERROR(__xludf.DUMMYFUNCTION("""COMPUTED_VALUE"""),"101")</f>
        <v>101</v>
      </c>
      <c r="C7444" s="5" t="str">
        <f>IFERROR(__xludf.DUMMYFUNCTION("""COMPUTED_VALUE"""),"https://drive.google.com/file/d/1fKPsKFU2MSTv7wfnINW_CNEuFqLaXkg-/view?usp=drivesdk")</f>
        <v>https://drive.google.com/file/d/1fKPsKFU2MSTv7wfnINW_CNEuFqLaXkg-/view?usp=drivesdk</v>
      </c>
      <c r="D7444" s="12"/>
      <c r="E7444" s="11">
        <v>7492.0</v>
      </c>
      <c r="F7444" s="2"/>
    </row>
    <row r="7445" ht="1.5" customHeight="1">
      <c r="A7445" s="4" t="str">
        <f>IFERROR(__xludf.DUMMYFUNCTION("""COMPUTED_VALUE"""),"101. Nori")</f>
        <v>101. Nori</v>
      </c>
      <c r="B7445" s="4" t="str">
        <f>IFERROR(__xludf.DUMMYFUNCTION("""COMPUTED_VALUE"""),"101")</f>
        <v>101</v>
      </c>
      <c r="C7445" s="5" t="str">
        <f>IFERROR(__xludf.DUMMYFUNCTION("""COMPUTED_VALUE"""),"https://drive.google.com/file/d/11zoRqkR-cKB_jl-TXRMwT5h8HvEbJNZv/view?usp=drivesdk")</f>
        <v>https://drive.google.com/file/d/11zoRqkR-cKB_jl-TXRMwT5h8HvEbJNZv/view?usp=drivesdk</v>
      </c>
      <c r="D7445" s="12"/>
      <c r="E7445" s="11">
        <v>7493.0</v>
      </c>
      <c r="F7445" s="2"/>
    </row>
    <row r="7446" ht="1.5" customHeight="1">
      <c r="A7446" s="4" t="str">
        <f>IFERROR(__xludf.DUMMYFUNCTION("""COMPUTED_VALUE"""),"101. Nori")</f>
        <v>101. Nori</v>
      </c>
      <c r="B7446" s="4" t="str">
        <f>IFERROR(__xludf.DUMMYFUNCTION("""COMPUTED_VALUE"""),"101")</f>
        <v>101</v>
      </c>
      <c r="C7446" s="5" t="str">
        <f>IFERROR(__xludf.DUMMYFUNCTION("""COMPUTED_VALUE"""),"https://drive.google.com/file/d/1gwiq_KoCt6PLfZHnpRCWRUJJprdCHIC1/view?usp=drivesdk")</f>
        <v>https://drive.google.com/file/d/1gwiq_KoCt6PLfZHnpRCWRUJJprdCHIC1/view?usp=drivesdk</v>
      </c>
      <c r="D7446" s="12"/>
      <c r="E7446" s="11">
        <v>7494.0</v>
      </c>
      <c r="F7446" s="2"/>
    </row>
    <row r="7447" ht="1.5" customHeight="1">
      <c r="A7447" s="4" t="str">
        <f>IFERROR(__xludf.DUMMYFUNCTION("""COMPUTED_VALUE"""),"101. Nori")</f>
        <v>101. Nori</v>
      </c>
      <c r="B7447" s="4" t="str">
        <f>IFERROR(__xludf.DUMMYFUNCTION("""COMPUTED_VALUE"""),"101")</f>
        <v>101</v>
      </c>
      <c r="C7447" s="5" t="str">
        <f>IFERROR(__xludf.DUMMYFUNCTION("""COMPUTED_VALUE"""),"https://drive.google.com/file/d/1MFKGh5FPlgxTGEZs5UCrnsaWMY9KEARI/view?usp=drivesdk")</f>
        <v>https://drive.google.com/file/d/1MFKGh5FPlgxTGEZs5UCrnsaWMY9KEARI/view?usp=drivesdk</v>
      </c>
      <c r="D7447" s="12"/>
      <c r="E7447" s="11">
        <v>7495.0</v>
      </c>
      <c r="F7447" s="2"/>
    </row>
    <row r="7448" ht="1.5" customHeight="1">
      <c r="A7448" s="4" t="str">
        <f>IFERROR(__xludf.DUMMYFUNCTION("""COMPUTED_VALUE"""),"101. Nori")</f>
        <v>101. Nori</v>
      </c>
      <c r="B7448" s="4" t="str">
        <f>IFERROR(__xludf.DUMMYFUNCTION("""COMPUTED_VALUE"""),"101")</f>
        <v>101</v>
      </c>
      <c r="C7448" s="5" t="str">
        <f>IFERROR(__xludf.DUMMYFUNCTION("""COMPUTED_VALUE"""),"https://drive.google.com/file/d/1RfnAzWmcvXIlZzs_1OMTeTvIbHF57qpB/view?usp=drivesdk")</f>
        <v>https://drive.google.com/file/d/1RfnAzWmcvXIlZzs_1OMTeTvIbHF57qpB/view?usp=drivesdk</v>
      </c>
      <c r="D7448" s="12"/>
      <c r="E7448" s="11">
        <v>7496.0</v>
      </c>
      <c r="F7448" s="2"/>
    </row>
    <row r="7449" ht="1.5" customHeight="1">
      <c r="A7449" s="4" t="str">
        <f>IFERROR(__xludf.DUMMYFUNCTION("""COMPUTED_VALUE"""),"101. Nori")</f>
        <v>101. Nori</v>
      </c>
      <c r="B7449" s="4" t="str">
        <f>IFERROR(__xludf.DUMMYFUNCTION("""COMPUTED_VALUE"""),"101")</f>
        <v>101</v>
      </c>
      <c r="C7449" s="5" t="str">
        <f>IFERROR(__xludf.DUMMYFUNCTION("""COMPUTED_VALUE"""),"https://drive.google.com/file/d/1wL7qVUhBISIPw035NVNhjYd0Z77qBUJL/view?usp=drivesdk")</f>
        <v>https://drive.google.com/file/d/1wL7qVUhBISIPw035NVNhjYd0Z77qBUJL/view?usp=drivesdk</v>
      </c>
      <c r="D7449" s="12"/>
      <c r="E7449" s="11">
        <v>7497.0</v>
      </c>
      <c r="F7449" s="2"/>
    </row>
    <row r="7450" ht="1.5" customHeight="1">
      <c r="A7450" s="4" t="str">
        <f>IFERROR(__xludf.DUMMYFUNCTION("""COMPUTED_VALUE"""),"90. Chimichanga")</f>
        <v>90. Chimichanga</v>
      </c>
      <c r="B7450" s="4" t="str">
        <f>IFERROR(__xludf.DUMMYFUNCTION("""COMPUTED_VALUE"""),"90")</f>
        <v>90</v>
      </c>
      <c r="C7450" s="5" t="str">
        <f>IFERROR(__xludf.DUMMYFUNCTION("""COMPUTED_VALUE"""),"https://drive.google.com/file/d/1Hp9I1Lo5Wgubd-44te7NrJE9dKKzbDb0/view?usp=drivesdk")</f>
        <v>https://drive.google.com/file/d/1Hp9I1Lo5Wgubd-44te7NrJE9dKKzbDb0/view?usp=drivesdk</v>
      </c>
      <c r="D7450" s="12"/>
      <c r="E7450" s="11">
        <v>7498.0</v>
      </c>
      <c r="F7450" s="2"/>
    </row>
    <row r="7451" ht="1.5" customHeight="1">
      <c r="A7451" s="4" t="str">
        <f>IFERROR(__xludf.DUMMYFUNCTION("""COMPUTED_VALUE"""),"90. Chimichanga")</f>
        <v>90. Chimichanga</v>
      </c>
      <c r="B7451" s="4" t="str">
        <f>IFERROR(__xludf.DUMMYFUNCTION("""COMPUTED_VALUE"""),"90")</f>
        <v>90</v>
      </c>
      <c r="C7451" s="5" t="str">
        <f>IFERROR(__xludf.DUMMYFUNCTION("""COMPUTED_VALUE"""),"https://drive.google.com/file/d/1ScT3mhdev3s-0dFZlL3u2X_ogS697r-f/view?usp=drivesdk")</f>
        <v>https://drive.google.com/file/d/1ScT3mhdev3s-0dFZlL3u2X_ogS697r-f/view?usp=drivesdk</v>
      </c>
      <c r="D7451" s="12"/>
      <c r="E7451" s="11">
        <v>7499.0</v>
      </c>
      <c r="F7451" s="2"/>
    </row>
    <row r="7452" ht="1.5" customHeight="1">
      <c r="A7452" s="4" t="str">
        <f>IFERROR(__xludf.DUMMYFUNCTION("""COMPUTED_VALUE"""),"90. Chimichanga")</f>
        <v>90. Chimichanga</v>
      </c>
      <c r="B7452" s="4" t="str">
        <f>IFERROR(__xludf.DUMMYFUNCTION("""COMPUTED_VALUE"""),"90")</f>
        <v>90</v>
      </c>
      <c r="C7452" s="5" t="str">
        <f>IFERROR(__xludf.DUMMYFUNCTION("""COMPUTED_VALUE"""),"https://drive.google.com/file/d/1GnB0k3iwTqmDnubqbULlqLYXs8CASczP/view?usp=drivesdk")</f>
        <v>https://drive.google.com/file/d/1GnB0k3iwTqmDnubqbULlqLYXs8CASczP/view?usp=drivesdk</v>
      </c>
      <c r="D7452" s="12"/>
      <c r="E7452" s="11">
        <v>7500.0</v>
      </c>
      <c r="F7452" s="2"/>
    </row>
    <row r="7453" ht="1.5" customHeight="1">
      <c r="A7453" s="4" t="str">
        <f>IFERROR(__xludf.DUMMYFUNCTION("""COMPUTED_VALUE"""),"0. NotACat")</f>
        <v>0. NotACat</v>
      </c>
      <c r="B7453" s="4" t="str">
        <f>IFERROR(__xludf.DUMMYFUNCTION("""COMPUTED_VALUE"""),"0")</f>
        <v>0</v>
      </c>
      <c r="C7453" s="5" t="str">
        <f>IFERROR(__xludf.DUMMYFUNCTION("""COMPUTED_VALUE"""),"https://drive.google.com/file/d/11H3OUqfkfueEzjbzJ_xP3my3JPPUtub-/view?usp=drivesdk")</f>
        <v>https://drive.google.com/file/d/11H3OUqfkfueEzjbzJ_xP3my3JPPUtub-/view?usp=drivesdk</v>
      </c>
      <c r="D7453" s="12"/>
      <c r="E7453" s="11">
        <v>7501.0</v>
      </c>
      <c r="F7453" s="2"/>
    </row>
    <row r="7454" ht="1.5" customHeight="1">
      <c r="A7454" s="4" t="str">
        <f>IFERROR(__xludf.DUMMYFUNCTION("""COMPUTED_VALUE"""),"0. NotACat")</f>
        <v>0. NotACat</v>
      </c>
      <c r="B7454" s="4" t="str">
        <f>IFERROR(__xludf.DUMMYFUNCTION("""COMPUTED_VALUE"""),"0")</f>
        <v>0</v>
      </c>
      <c r="C7454" s="5" t="str">
        <f>IFERROR(__xludf.DUMMYFUNCTION("""COMPUTED_VALUE"""),"https://drive.google.com/file/d/1ySjhthVEajcKTDA8JmSFSO4u2brnPKIh/view?usp=drivesdk")</f>
        <v>https://drive.google.com/file/d/1ySjhthVEajcKTDA8JmSFSO4u2brnPKIh/view?usp=drivesdk</v>
      </c>
      <c r="D7454" s="12"/>
      <c r="E7454" s="11">
        <v>7502.0</v>
      </c>
      <c r="F7454" s="2"/>
    </row>
    <row r="7455" ht="1.5" customHeight="1">
      <c r="A7455" s="4" t="str">
        <f>IFERROR(__xludf.DUMMYFUNCTION("""COMPUTED_VALUE"""),"0. NotACat")</f>
        <v>0. NotACat</v>
      </c>
      <c r="B7455" s="4" t="str">
        <f>IFERROR(__xludf.DUMMYFUNCTION("""COMPUTED_VALUE"""),"0")</f>
        <v>0</v>
      </c>
      <c r="C7455" s="5" t="str">
        <f>IFERROR(__xludf.DUMMYFUNCTION("""COMPUTED_VALUE"""),"https://drive.google.com/file/d/1x9XPLfNelVqu7mf_0g41GgUjUI1Iy9JG/view?usp=drivesdk")</f>
        <v>https://drive.google.com/file/d/1x9XPLfNelVqu7mf_0g41GgUjUI1Iy9JG/view?usp=drivesdk</v>
      </c>
      <c r="D7455" s="12"/>
      <c r="E7455" s="11">
        <v>7503.0</v>
      </c>
      <c r="F7455" s="2"/>
    </row>
    <row r="7456" ht="1.5" customHeight="1">
      <c r="A7456" s="4" t="str">
        <f>IFERROR(__xludf.DUMMYFUNCTION("""COMPUTED_VALUE"""),"40. Dumpster, 42. Rubber, 58. Eden, 95. Ariel")</f>
        <v>40. Dumpster, 42. Rubber, 58. Eden, 95. Ariel</v>
      </c>
      <c r="B7456" s="4" t="str">
        <f>IFERROR(__xludf.DUMMYFUNCTION("""COMPUTED_VALUE"""),"40, 42, 58, 95")</f>
        <v>40, 42, 58, 95</v>
      </c>
      <c r="C7456" s="5" t="str">
        <f>IFERROR(__xludf.DUMMYFUNCTION("""COMPUTED_VALUE"""),"https://drive.google.com/file/d/1nu9AT8jAykdOL6rCNLdthQ_2zeRKCacW/view?usp=drivesdk")</f>
        <v>https://drive.google.com/file/d/1nu9AT8jAykdOL6rCNLdthQ_2zeRKCacW/view?usp=drivesdk</v>
      </c>
      <c r="D7456" s="12"/>
      <c r="E7456" s="11">
        <v>7504.0</v>
      </c>
      <c r="F7456" s="2"/>
    </row>
    <row r="7457" ht="1.5" customHeight="1">
      <c r="A7457" s="4" t="str">
        <f>IFERROR(__xludf.DUMMYFUNCTION("""COMPUTED_VALUE"""),"44. Shitbag Cuntface, 40. Dumpster, 95. Ariel, 42. Rubber")</f>
        <v>44. Shitbag Cuntface, 40. Dumpster, 95. Ariel, 42. Rubber</v>
      </c>
      <c r="B7457" s="4" t="str">
        <f>IFERROR(__xludf.DUMMYFUNCTION("""COMPUTED_VALUE"""),"44, 40, 95, 42")</f>
        <v>44, 40, 95, 42</v>
      </c>
      <c r="C7457" s="5" t="str">
        <f>IFERROR(__xludf.DUMMYFUNCTION("""COMPUTED_VALUE"""),"https://drive.google.com/file/d/1p3zns77rgvQmLBqafhd64XjPgf-EGNGn/view?usp=drivesdk")</f>
        <v>https://drive.google.com/file/d/1p3zns77rgvQmLBqafhd64XjPgf-EGNGn/view?usp=drivesdk</v>
      </c>
      <c r="D7457" s="12"/>
      <c r="E7457" s="11">
        <v>7505.0</v>
      </c>
      <c r="F7457" s="2"/>
    </row>
    <row r="7458" ht="1.5" customHeight="1">
      <c r="A7458" s="4" t="str">
        <f>IFERROR(__xludf.DUMMYFUNCTION("""COMPUTED_VALUE"""),"44. Shitbag Cuntface, 95. Ariel, 40. Dumpster")</f>
        <v>44. Shitbag Cuntface, 95. Ariel, 40. Dumpster</v>
      </c>
      <c r="B7458" s="4" t="str">
        <f>IFERROR(__xludf.DUMMYFUNCTION("""COMPUTED_VALUE"""),"44, 95, 40")</f>
        <v>44, 95, 40</v>
      </c>
      <c r="C7458" s="5" t="str">
        <f>IFERROR(__xludf.DUMMYFUNCTION("""COMPUTED_VALUE"""),"https://drive.google.com/file/d/1V2G__TyqWXcjl2jwIO-ZjlcMzhx_pdRL/view?usp=drivesdk")</f>
        <v>https://drive.google.com/file/d/1V2G__TyqWXcjl2jwIO-ZjlcMzhx_pdRL/view?usp=drivesdk</v>
      </c>
      <c r="D7458" s="12"/>
      <c r="E7458" s="11">
        <v>7506.0</v>
      </c>
      <c r="F7458" s="2"/>
    </row>
    <row r="7459" ht="1.5" customHeight="1">
      <c r="A7459" s="4" t="str">
        <f>IFERROR(__xludf.DUMMYFUNCTION("""COMPUTED_VALUE"""),"38. Winston, 95. Ariel")</f>
        <v>38. Winston, 95. Ariel</v>
      </c>
      <c r="B7459" s="4" t="str">
        <f>IFERROR(__xludf.DUMMYFUNCTION("""COMPUTED_VALUE"""),"38, 95")</f>
        <v>38, 95</v>
      </c>
      <c r="C7459" s="5" t="str">
        <f>IFERROR(__xludf.DUMMYFUNCTION("""COMPUTED_VALUE"""),"https://drive.google.com/file/d/1zkM2dBzgfg1H0oAXkQCglIFmdcSmCyuA/view?usp=drivesdk")</f>
        <v>https://drive.google.com/file/d/1zkM2dBzgfg1H0oAXkQCglIFmdcSmCyuA/view?usp=drivesdk</v>
      </c>
      <c r="D7459" s="12"/>
      <c r="E7459" s="11">
        <v>7507.0</v>
      </c>
      <c r="F7459" s="2"/>
    </row>
    <row r="7460" ht="1.5" customHeight="1">
      <c r="A7460" s="4" t="str">
        <f>IFERROR(__xludf.DUMMYFUNCTION("""COMPUTED_VALUE"""),"0. NotACat")</f>
        <v>0. NotACat</v>
      </c>
      <c r="B7460" s="4" t="str">
        <f>IFERROR(__xludf.DUMMYFUNCTION("""COMPUTED_VALUE"""),"0")</f>
        <v>0</v>
      </c>
      <c r="C7460" s="5" t="str">
        <f>IFERROR(__xludf.DUMMYFUNCTION("""COMPUTED_VALUE"""),"https://drive.google.com/file/d/19SBZO3YXQvOBNbPzZ2yz1ZoKVj3wmmRn/view?usp=drivesdk")</f>
        <v>https://drive.google.com/file/d/19SBZO3YXQvOBNbPzZ2yz1ZoKVj3wmmRn/view?usp=drivesdk</v>
      </c>
      <c r="D7460" s="12"/>
      <c r="E7460" s="11">
        <v>7508.0</v>
      </c>
      <c r="F7460" s="2"/>
    </row>
    <row r="7461" ht="1.5" customHeight="1">
      <c r="A7461" s="4" t="str">
        <f>IFERROR(__xludf.DUMMYFUNCTION("""COMPUTED_VALUE"""),"110. Ahua, 106. Ami, 108. Mazatl, 109. Tlalli, 111. Mayatl")</f>
        <v>110. Ahua, 106. Ami, 108. Mazatl, 109. Tlalli, 111. Mayatl</v>
      </c>
      <c r="B7461" s="4" t="str">
        <f>IFERROR(__xludf.DUMMYFUNCTION("""COMPUTED_VALUE"""),"110, 106, 108, 109, 111")</f>
        <v>110, 106, 108, 109, 111</v>
      </c>
      <c r="C7461" s="5" t="str">
        <f>IFERROR(__xludf.DUMMYFUNCTION("""COMPUTED_VALUE"""),"https://drive.google.com/file/d/1WJkZl4f3bpy97Lmo-jLTyLKFHnqYkOSC/view?usp=drivesdk")</f>
        <v>https://drive.google.com/file/d/1WJkZl4f3bpy97Lmo-jLTyLKFHnqYkOSC/view?usp=drivesdk</v>
      </c>
      <c r="D7461" s="12"/>
      <c r="E7461" s="11">
        <v>7509.0</v>
      </c>
      <c r="F7461" s="2"/>
    </row>
    <row r="7462" ht="1.5" customHeight="1">
      <c r="A7462" s="4" t="str">
        <f>IFERROR(__xludf.DUMMYFUNCTION("""COMPUTED_VALUE"""),"1. Microwave")</f>
        <v>1. Microwave</v>
      </c>
      <c r="B7462" s="4" t="str">
        <f>IFERROR(__xludf.DUMMYFUNCTION("""COMPUTED_VALUE"""),"1")</f>
        <v>1</v>
      </c>
      <c r="C7462" s="5" t="str">
        <f>IFERROR(__xludf.DUMMYFUNCTION("""COMPUTED_VALUE"""),"https://drive.google.com/file/d/1waYLR03M2u0RjQ8bxIuKfB3y-M-mIDON/view?usp=drivesdk")</f>
        <v>https://drive.google.com/file/d/1waYLR03M2u0RjQ8bxIuKfB3y-M-mIDON/view?usp=drivesdk</v>
      </c>
      <c r="D7462" s="12"/>
      <c r="E7462" s="11">
        <v>7510.0</v>
      </c>
      <c r="F7462" s="2"/>
    </row>
    <row r="7463" ht="1.5" customHeight="1">
      <c r="A7463" s="4" t="str">
        <f>IFERROR(__xludf.DUMMYFUNCTION("""COMPUTED_VALUE"""),"0. NotACat")</f>
        <v>0. NotACat</v>
      </c>
      <c r="B7463" s="4" t="str">
        <f>IFERROR(__xludf.DUMMYFUNCTION("""COMPUTED_VALUE"""),"0")</f>
        <v>0</v>
      </c>
      <c r="C7463" s="5" t="str">
        <f>IFERROR(__xludf.DUMMYFUNCTION("""COMPUTED_VALUE"""),"https://drive.google.com/file/d/1C3SQ5DOhmXbpKKKE22nK58mzwzdqdgG7/view?usp=drivesdk")</f>
        <v>https://drive.google.com/file/d/1C3SQ5DOhmXbpKKKE22nK58mzwzdqdgG7/view?usp=drivesdk</v>
      </c>
      <c r="D7463" s="12"/>
      <c r="E7463" s="11">
        <v>7511.0</v>
      </c>
      <c r="F7463" s="2"/>
    </row>
    <row r="7464" ht="1.5" customHeight="1">
      <c r="A7464" s="4" t="str">
        <f>IFERROR(__xludf.DUMMYFUNCTION("""COMPUTED_VALUE"""),"0. NotACat")</f>
        <v>0. NotACat</v>
      </c>
      <c r="B7464" s="4" t="str">
        <f>IFERROR(__xludf.DUMMYFUNCTION("""COMPUTED_VALUE"""),"0")</f>
        <v>0</v>
      </c>
      <c r="C7464" s="5" t="str">
        <f>IFERROR(__xludf.DUMMYFUNCTION("""COMPUTED_VALUE"""),"https://drive.google.com/file/d/1aNfHCLYeg7tjagMAL0ys-fh-_ZnacOyc/view?usp=drivesdk")</f>
        <v>https://drive.google.com/file/d/1aNfHCLYeg7tjagMAL0ys-fh-_ZnacOyc/view?usp=drivesdk</v>
      </c>
      <c r="D7464" s="12"/>
      <c r="E7464" s="11">
        <v>7512.0</v>
      </c>
      <c r="F7464" s="2"/>
    </row>
    <row r="7465" ht="1.5" customHeight="1">
      <c r="A7465" s="4" t="str">
        <f>IFERROR(__xludf.DUMMYFUNCTION("""COMPUTED_VALUE"""),"0. NotACat")</f>
        <v>0. NotACat</v>
      </c>
      <c r="B7465" s="4" t="str">
        <f>IFERROR(__xludf.DUMMYFUNCTION("""COMPUTED_VALUE"""),"0")</f>
        <v>0</v>
      </c>
      <c r="C7465" s="5" t="str">
        <f>IFERROR(__xludf.DUMMYFUNCTION("""COMPUTED_VALUE"""),"https://drive.google.com/file/d/16qaRLHXyE2FHOx3cWJ8uvMTKWTsUxYq5/view?usp=drivesdk")</f>
        <v>https://drive.google.com/file/d/16qaRLHXyE2FHOx3cWJ8uvMTKWTsUxYq5/view?usp=drivesdk</v>
      </c>
      <c r="D7465" s="12"/>
      <c r="E7465" s="11">
        <v>7513.0</v>
      </c>
      <c r="F7465" s="2"/>
    </row>
    <row r="7466" ht="1.5" customHeight="1">
      <c r="A7466" s="4" t="str">
        <f>IFERROR(__xludf.DUMMYFUNCTION("""COMPUTED_VALUE"""),"0. NotACat")</f>
        <v>0. NotACat</v>
      </c>
      <c r="B7466" s="4" t="str">
        <f>IFERROR(__xludf.DUMMYFUNCTION("""COMPUTED_VALUE"""),"0")</f>
        <v>0</v>
      </c>
      <c r="C7466" s="5" t="str">
        <f>IFERROR(__xludf.DUMMYFUNCTION("""COMPUTED_VALUE"""),"https://drive.google.com/file/d/1XfaU_FEB4kdvlh3uLiMPQwXi4oU_21me/view?usp=drivesdk")</f>
        <v>https://drive.google.com/file/d/1XfaU_FEB4kdvlh3uLiMPQwXi4oU_21me/view?usp=drivesdk</v>
      </c>
      <c r="D7466" s="12"/>
      <c r="E7466" s="11">
        <v>7514.0</v>
      </c>
      <c r="F7466" s="2"/>
    </row>
    <row r="7467" ht="1.5" customHeight="1">
      <c r="A7467" s="4" t="str">
        <f>IFERROR(__xludf.DUMMYFUNCTION("""COMPUTED_VALUE"""),"0. NotACat")</f>
        <v>0. NotACat</v>
      </c>
      <c r="B7467" s="4" t="str">
        <f>IFERROR(__xludf.DUMMYFUNCTION("""COMPUTED_VALUE"""),"0")</f>
        <v>0</v>
      </c>
      <c r="C7467" s="5" t="str">
        <f>IFERROR(__xludf.DUMMYFUNCTION("""COMPUTED_VALUE"""),"https://drive.google.com/file/d/1o3d5Tcit6XqWhh588dyCmxOSNDhxwjTg/view?usp=drivesdk")</f>
        <v>https://drive.google.com/file/d/1o3d5Tcit6XqWhh588dyCmxOSNDhxwjTg/view?usp=drivesdk</v>
      </c>
      <c r="D7467" s="12"/>
      <c r="E7467" s="11">
        <v>7515.0</v>
      </c>
      <c r="F7467" s="2"/>
    </row>
    <row r="7468" ht="1.5" customHeight="1">
      <c r="A7468" s="4" t="str">
        <f>IFERROR(__xludf.DUMMYFUNCTION("""COMPUTED_VALUE"""),"0. NotACat")</f>
        <v>0. NotACat</v>
      </c>
      <c r="B7468" s="4" t="str">
        <f>IFERROR(__xludf.DUMMYFUNCTION("""COMPUTED_VALUE"""),"0")</f>
        <v>0</v>
      </c>
      <c r="C7468" s="5" t="str">
        <f>IFERROR(__xludf.DUMMYFUNCTION("""COMPUTED_VALUE"""),"https://drive.google.com/file/d/1G5Q1IL34O_6O601HYSUUaZWle4paro9Y/view?usp=drivesdk")</f>
        <v>https://drive.google.com/file/d/1G5Q1IL34O_6O601HYSUUaZWle4paro9Y/view?usp=drivesdk</v>
      </c>
      <c r="D7468" s="12"/>
      <c r="E7468" s="11">
        <v>7516.0</v>
      </c>
      <c r="F7468" s="2"/>
    </row>
    <row r="7469" ht="1.5" customHeight="1">
      <c r="A7469" s="4" t="str">
        <f>IFERROR(__xludf.DUMMYFUNCTION("""COMPUTED_VALUE"""),"1. Microwave")</f>
        <v>1. Microwave</v>
      </c>
      <c r="B7469" s="4" t="str">
        <f>IFERROR(__xludf.DUMMYFUNCTION("""COMPUTED_VALUE"""),"1")</f>
        <v>1</v>
      </c>
      <c r="C7469" s="5" t="str">
        <f>IFERROR(__xludf.DUMMYFUNCTION("""COMPUTED_VALUE"""),"https://drive.google.com/file/d/11qSq5_APo0O8WTicMoIlWJlDGNfwOC0F/view?usp=drivesdk")</f>
        <v>https://drive.google.com/file/d/11qSq5_APo0O8WTicMoIlWJlDGNfwOC0F/view?usp=drivesdk</v>
      </c>
      <c r="D7469" s="12"/>
      <c r="E7469" s="11">
        <v>7517.0</v>
      </c>
      <c r="F7469" s="2"/>
    </row>
    <row r="7470" ht="1.5" customHeight="1">
      <c r="A7470" s="4" t="str">
        <f>IFERROR(__xludf.DUMMYFUNCTION("""COMPUTED_VALUE"""),"1. Microwave")</f>
        <v>1. Microwave</v>
      </c>
      <c r="B7470" s="4" t="str">
        <f>IFERROR(__xludf.DUMMYFUNCTION("""COMPUTED_VALUE"""),"1")</f>
        <v>1</v>
      </c>
      <c r="C7470" s="5" t="str">
        <f>IFERROR(__xludf.DUMMYFUNCTION("""COMPUTED_VALUE"""),"https://drive.google.com/file/d/17_NcnZg7zMVw6OzbgDDLWIGrJysuKF_C/view?usp=drivesdk")</f>
        <v>https://drive.google.com/file/d/17_NcnZg7zMVw6OzbgDDLWIGrJysuKF_C/view?usp=drivesdk</v>
      </c>
      <c r="D7470" s="12"/>
      <c r="E7470" s="11">
        <v>7518.0</v>
      </c>
      <c r="F7470" s="2"/>
    </row>
    <row r="7471" ht="1.5" customHeight="1">
      <c r="A7471" s="4" t="str">
        <f>IFERROR(__xludf.DUMMYFUNCTION("""COMPUTED_VALUE"""),"0. NotACat")</f>
        <v>0. NotACat</v>
      </c>
      <c r="B7471" s="4" t="str">
        <f>IFERROR(__xludf.DUMMYFUNCTION("""COMPUTED_VALUE"""),"0")</f>
        <v>0</v>
      </c>
      <c r="C7471" s="5" t="str">
        <f>IFERROR(__xludf.DUMMYFUNCTION("""COMPUTED_VALUE"""),"https://drive.google.com/file/d/1GhFBhq3UBOveyZDctF-oDfyH8E92k30I/view?usp=drivesdk")</f>
        <v>https://drive.google.com/file/d/1GhFBhq3UBOveyZDctF-oDfyH8E92k30I/view?usp=drivesdk</v>
      </c>
      <c r="D7471" s="12"/>
      <c r="E7471" s="11">
        <v>7519.0</v>
      </c>
      <c r="F7471" s="2"/>
    </row>
    <row r="7472" ht="1.5" customHeight="1">
      <c r="A7472" s="4" t="str">
        <f>IFERROR(__xludf.DUMMYFUNCTION("""COMPUTED_VALUE"""),"44. Shitbag Cuntface")</f>
        <v>44. Shitbag Cuntface</v>
      </c>
      <c r="B7472" s="4" t="str">
        <f>IFERROR(__xludf.DUMMYFUNCTION("""COMPUTED_VALUE"""),"44")</f>
        <v>44</v>
      </c>
      <c r="C7472" s="5" t="str">
        <f>IFERROR(__xludf.DUMMYFUNCTION("""COMPUTED_VALUE"""),"https://drive.google.com/file/d/1bdCx1bVLw5z5_Ku1P8ehIZet2OAjTVI7/view?usp=drivesdk")</f>
        <v>https://drive.google.com/file/d/1bdCx1bVLw5z5_Ku1P8ehIZet2OAjTVI7/view?usp=drivesdk</v>
      </c>
      <c r="D7472" s="12"/>
      <c r="E7472" s="11">
        <v>7520.0</v>
      </c>
      <c r="F7472" s="2"/>
    </row>
    <row r="7473" ht="1.5" customHeight="1">
      <c r="A7473" s="4" t="str">
        <f>IFERROR(__xludf.DUMMYFUNCTION("""COMPUTED_VALUE"""),"61. Cassie")</f>
        <v>61. Cassie</v>
      </c>
      <c r="B7473" s="4" t="str">
        <f>IFERROR(__xludf.DUMMYFUNCTION("""COMPUTED_VALUE"""),"61")</f>
        <v>61</v>
      </c>
      <c r="C7473" s="5" t="str">
        <f>IFERROR(__xludf.DUMMYFUNCTION("""COMPUTED_VALUE"""),"https://drive.google.com/file/d/11lo_epVt0S0qloV2rnp6-8FCahG7PSrR/view?usp=drivesdk")</f>
        <v>https://drive.google.com/file/d/11lo_epVt0S0qloV2rnp6-8FCahG7PSrR/view?usp=drivesdk</v>
      </c>
      <c r="D7473" s="12"/>
      <c r="E7473" s="11">
        <v>7521.0</v>
      </c>
      <c r="F7473" s="2"/>
    </row>
    <row r="7474" ht="1.5" customHeight="1">
      <c r="A7474" s="4" t="str">
        <f>IFERROR(__xludf.DUMMYFUNCTION("""COMPUTED_VALUE"""),"0. NotACat")</f>
        <v>0. NotACat</v>
      </c>
      <c r="B7474" s="4" t="str">
        <f>IFERROR(__xludf.DUMMYFUNCTION("""COMPUTED_VALUE"""),"0")</f>
        <v>0</v>
      </c>
      <c r="C7474" s="5" t="str">
        <f>IFERROR(__xludf.DUMMYFUNCTION("""COMPUTED_VALUE"""),"https://drive.google.com/file/d/1_RPwgO1yeTdj7OFL85GjQJvfq7ExrCAk/view?usp=drivesdk")</f>
        <v>https://drive.google.com/file/d/1_RPwgO1yeTdj7OFL85GjQJvfq7ExrCAk/view?usp=drivesdk</v>
      </c>
      <c r="D7474" s="12"/>
      <c r="E7474" s="11">
        <v>7522.0</v>
      </c>
      <c r="F7474" s="2"/>
    </row>
    <row r="7475" ht="1.5" customHeight="1">
      <c r="A7475" s="4" t="str">
        <f>IFERROR(__xludf.DUMMYFUNCTION("""COMPUTED_VALUE"""),"1. Microwave")</f>
        <v>1. Microwave</v>
      </c>
      <c r="B7475" s="4" t="str">
        <f>IFERROR(__xludf.DUMMYFUNCTION("""COMPUTED_VALUE"""),"1")</f>
        <v>1</v>
      </c>
      <c r="C7475" s="5" t="str">
        <f>IFERROR(__xludf.DUMMYFUNCTION("""COMPUTED_VALUE"""),"https://drive.google.com/file/d/1FStxbA1hf7YK6GRvbDx-4HWEH9lQPgqY/view?usp=drivesdk")</f>
        <v>https://drive.google.com/file/d/1FStxbA1hf7YK6GRvbDx-4HWEH9lQPgqY/view?usp=drivesdk</v>
      </c>
      <c r="D7475" s="12"/>
      <c r="E7475" s="11">
        <v>7523.0</v>
      </c>
      <c r="F7475" s="2"/>
    </row>
    <row r="7476" ht="1.5" customHeight="1">
      <c r="A7476" s="4" t="str">
        <f>IFERROR(__xludf.DUMMYFUNCTION("""COMPUTED_VALUE"""),"2. Twix")</f>
        <v>2. Twix</v>
      </c>
      <c r="B7476" s="4" t="str">
        <f>IFERROR(__xludf.DUMMYFUNCTION("""COMPUTED_VALUE"""),"2")</f>
        <v>2</v>
      </c>
      <c r="C7476" s="5" t="str">
        <f>IFERROR(__xludf.DUMMYFUNCTION("""COMPUTED_VALUE"""),"https://drive.google.com/file/d/1jb6gy_gJoqFrNJmkULM8DuF2YSg9ZeBl/view?usp=drivesdk")</f>
        <v>https://drive.google.com/file/d/1jb6gy_gJoqFrNJmkULM8DuF2YSg9ZeBl/view?usp=drivesdk</v>
      </c>
      <c r="D7476" s="12"/>
      <c r="E7476" s="11">
        <v>7524.0</v>
      </c>
      <c r="F7476" s="2"/>
    </row>
    <row r="7477" ht="1.5" customHeight="1">
      <c r="A7477" s="4" t="str">
        <f>IFERROR(__xludf.DUMMYFUNCTION("""COMPUTED_VALUE"""),"2. Twix")</f>
        <v>2. Twix</v>
      </c>
      <c r="B7477" s="4" t="str">
        <f>IFERROR(__xludf.DUMMYFUNCTION("""COMPUTED_VALUE"""),"2")</f>
        <v>2</v>
      </c>
      <c r="C7477" s="5" t="str">
        <f>IFERROR(__xludf.DUMMYFUNCTION("""COMPUTED_VALUE"""),"https://drive.google.com/file/d/1llZJQ2th9Q1SRU8qaHzwRkn3g4eYT7MZ/view?usp=drivesdk")</f>
        <v>https://drive.google.com/file/d/1llZJQ2th9Q1SRU8qaHzwRkn3g4eYT7MZ/view?usp=drivesdk</v>
      </c>
      <c r="D7477" s="12"/>
      <c r="E7477" s="11">
        <v>7525.0</v>
      </c>
      <c r="F7477" s="2"/>
    </row>
    <row r="7478" ht="1.5" customHeight="1">
      <c r="A7478" s="4" t="str">
        <f>IFERROR(__xludf.DUMMYFUNCTION("""COMPUTED_VALUE"""),"2. Twix")</f>
        <v>2. Twix</v>
      </c>
      <c r="B7478" s="4" t="str">
        <f>IFERROR(__xludf.DUMMYFUNCTION("""COMPUTED_VALUE"""),"2")</f>
        <v>2</v>
      </c>
      <c r="C7478" s="5" t="str">
        <f>IFERROR(__xludf.DUMMYFUNCTION("""COMPUTED_VALUE"""),"https://drive.google.com/file/d/1N7X4ncn81A825CsYmWg1rmF3CONmA4B1/view?usp=drivesdk")</f>
        <v>https://drive.google.com/file/d/1N7X4ncn81A825CsYmWg1rmF3CONmA4B1/view?usp=drivesdk</v>
      </c>
      <c r="D7478" s="12"/>
      <c r="E7478" s="11">
        <v>7526.0</v>
      </c>
      <c r="F7478" s="2"/>
    </row>
    <row r="7479" ht="1.5" customHeight="1">
      <c r="A7479" s="4" t="str">
        <f>IFERROR(__xludf.DUMMYFUNCTION("""COMPUTED_VALUE"""),"40. Dumpster")</f>
        <v>40. Dumpster</v>
      </c>
      <c r="B7479" s="4" t="str">
        <f>IFERROR(__xludf.DUMMYFUNCTION("""COMPUTED_VALUE"""),"40")</f>
        <v>40</v>
      </c>
      <c r="C7479" s="5" t="str">
        <f>IFERROR(__xludf.DUMMYFUNCTION("""COMPUTED_VALUE"""),"https://drive.google.com/file/d/1BwfDyoDiYwHbpaWq4yB_LAStFZ5uRLTz/view?usp=drivesdk")</f>
        <v>https://drive.google.com/file/d/1BwfDyoDiYwHbpaWq4yB_LAStFZ5uRLTz/view?usp=drivesdk</v>
      </c>
      <c r="D7479" s="12"/>
      <c r="E7479" s="11">
        <v>7527.0</v>
      </c>
      <c r="F7479" s="2"/>
    </row>
    <row r="7480" ht="1.5" customHeight="1">
      <c r="A7480" s="4" t="str">
        <f>IFERROR(__xludf.DUMMYFUNCTION("""COMPUTED_VALUE"""),"44. Shitbag Cuntface")</f>
        <v>44. Shitbag Cuntface</v>
      </c>
      <c r="B7480" s="4" t="str">
        <f>IFERROR(__xludf.DUMMYFUNCTION("""COMPUTED_VALUE"""),"44")</f>
        <v>44</v>
      </c>
      <c r="C7480" s="5" t="str">
        <f>IFERROR(__xludf.DUMMYFUNCTION("""COMPUTED_VALUE"""),"https://drive.google.com/file/d/1Gpi1JdudmG4U7kpoouYOTmKrDuOiNgba/view?usp=drivesdk")</f>
        <v>https://drive.google.com/file/d/1Gpi1JdudmG4U7kpoouYOTmKrDuOiNgba/view?usp=drivesdk</v>
      </c>
      <c r="D7480" s="12"/>
      <c r="E7480" s="11">
        <v>7528.0</v>
      </c>
      <c r="F7480" s="2"/>
    </row>
    <row r="7481" ht="1.5" customHeight="1">
      <c r="A7481" s="4" t="str">
        <f>IFERROR(__xludf.DUMMYFUNCTION("""COMPUTED_VALUE"""),"45. Boots, 39. Radar")</f>
        <v>45. Boots, 39. Radar</v>
      </c>
      <c r="B7481" s="4" t="str">
        <f>IFERROR(__xludf.DUMMYFUNCTION("""COMPUTED_VALUE"""),"45, 39")</f>
        <v>45, 39</v>
      </c>
      <c r="C7481" s="5" t="str">
        <f>IFERROR(__xludf.DUMMYFUNCTION("""COMPUTED_VALUE"""),"https://drive.google.com/file/d/1S-G5L7xtT5vAz3KhiMxm-WADbIcjFN7e/view?usp=drivesdk")</f>
        <v>https://drive.google.com/file/d/1S-G5L7xtT5vAz3KhiMxm-WADbIcjFN7e/view?usp=drivesdk</v>
      </c>
      <c r="D7481" s="12"/>
      <c r="E7481" s="11">
        <v>7529.0</v>
      </c>
      <c r="F7481" s="2"/>
    </row>
    <row r="7482" ht="1.5" customHeight="1">
      <c r="A7482" s="4" t="str">
        <f>IFERROR(__xludf.DUMMYFUNCTION("""COMPUTED_VALUE"""),"45. Boots, 39. Radar")</f>
        <v>45. Boots, 39. Radar</v>
      </c>
      <c r="B7482" s="4" t="str">
        <f>IFERROR(__xludf.DUMMYFUNCTION("""COMPUTED_VALUE"""),"45, 39")</f>
        <v>45, 39</v>
      </c>
      <c r="C7482" s="5" t="str">
        <f>IFERROR(__xludf.DUMMYFUNCTION("""COMPUTED_VALUE"""),"https://drive.google.com/file/d/1fgREsUPh3dE0ote4DHrHYvS7pUT1LUKU/view?usp=drivesdk")</f>
        <v>https://drive.google.com/file/d/1fgREsUPh3dE0ote4DHrHYvS7pUT1LUKU/view?usp=drivesdk</v>
      </c>
      <c r="D7482" s="12"/>
      <c r="E7482" s="11">
        <v>7530.0</v>
      </c>
      <c r="F7482" s="2"/>
    </row>
    <row r="7483" ht="1.5" customHeight="1">
      <c r="A7483" s="4" t="str">
        <f>IFERROR(__xludf.DUMMYFUNCTION("""COMPUTED_VALUE"""),"0. NotACat")</f>
        <v>0. NotACat</v>
      </c>
      <c r="B7483" s="4" t="str">
        <f>IFERROR(__xludf.DUMMYFUNCTION("""COMPUTED_VALUE"""),"0")</f>
        <v>0</v>
      </c>
      <c r="C7483" s="5" t="str">
        <f>IFERROR(__xludf.DUMMYFUNCTION("""COMPUTED_VALUE"""),"https://drive.google.com/file/d/1yr4RyHDqcQLZ4Hk0lx3zES4A9VMOl5oz/view?usp=drivesdk")</f>
        <v>https://drive.google.com/file/d/1yr4RyHDqcQLZ4Hk0lx3zES4A9VMOl5oz/view?usp=drivesdk</v>
      </c>
      <c r="D7483" s="12"/>
      <c r="E7483" s="11">
        <v>7531.0</v>
      </c>
      <c r="F7483" s="2"/>
    </row>
    <row r="7484" ht="1.5" customHeight="1">
      <c r="A7484" s="4" t="str">
        <f>IFERROR(__xludf.DUMMYFUNCTION("""COMPUTED_VALUE"""),"0. NotACat")</f>
        <v>0. NotACat</v>
      </c>
      <c r="B7484" s="4" t="str">
        <f>IFERROR(__xludf.DUMMYFUNCTION("""COMPUTED_VALUE"""),"0")</f>
        <v>0</v>
      </c>
      <c r="C7484" s="5" t="str">
        <f>IFERROR(__xludf.DUMMYFUNCTION("""COMPUTED_VALUE"""),"https://drive.google.com/file/d/1TOU-MWB49i_BDDMrgq6taGD6m65Daw96/view?usp=drivesdk")</f>
        <v>https://drive.google.com/file/d/1TOU-MWB49i_BDDMrgq6taGD6m65Daw96/view?usp=drivesdk</v>
      </c>
      <c r="D7484" s="12"/>
      <c r="E7484" s="11">
        <v>7532.0</v>
      </c>
      <c r="F7484" s="2"/>
    </row>
    <row r="7485" ht="1.5" customHeight="1">
      <c r="A7485" s="4" t="str">
        <f>IFERROR(__xludf.DUMMYFUNCTION("""COMPUTED_VALUE"""),"45. Boots")</f>
        <v>45. Boots</v>
      </c>
      <c r="B7485" s="4" t="str">
        <f>IFERROR(__xludf.DUMMYFUNCTION("""COMPUTED_VALUE"""),"45")</f>
        <v>45</v>
      </c>
      <c r="C7485" s="5" t="str">
        <f>IFERROR(__xludf.DUMMYFUNCTION("""COMPUTED_VALUE"""),"https://drive.google.com/file/d/1LkZUG1Fa2nAiC8Jvb_wz48l2PT_WvJ5O/view?usp=drivesdk")</f>
        <v>https://drive.google.com/file/d/1LkZUG1Fa2nAiC8Jvb_wz48l2PT_WvJ5O/view?usp=drivesdk</v>
      </c>
      <c r="D7485" s="12"/>
      <c r="E7485" s="11">
        <v>7533.0</v>
      </c>
      <c r="F7485" s="2"/>
    </row>
    <row r="7486" ht="1.5" customHeight="1">
      <c r="A7486" s="4" t="str">
        <f>IFERROR(__xludf.DUMMYFUNCTION("""COMPUTED_VALUE"""),"45. Boots")</f>
        <v>45. Boots</v>
      </c>
      <c r="B7486" s="4" t="str">
        <f>IFERROR(__xludf.DUMMYFUNCTION("""COMPUTED_VALUE"""),"45")</f>
        <v>45</v>
      </c>
      <c r="C7486" s="5" t="str">
        <f>IFERROR(__xludf.DUMMYFUNCTION("""COMPUTED_VALUE"""),"https://drive.google.com/file/d/1cv7QkDRVaVE9q7fpxxJhjpcNcYjmd2Si/view?usp=drivesdk")</f>
        <v>https://drive.google.com/file/d/1cv7QkDRVaVE9q7fpxxJhjpcNcYjmd2Si/view?usp=drivesdk</v>
      </c>
      <c r="D7486" s="12"/>
      <c r="E7486" s="11">
        <v>7534.0</v>
      </c>
      <c r="F7486" s="2"/>
    </row>
    <row r="7487" ht="1.5" customHeight="1">
      <c r="A7487" s="4" t="str">
        <f>IFERROR(__xludf.DUMMYFUNCTION("""COMPUTED_VALUE"""),"58. Eden")</f>
        <v>58. Eden</v>
      </c>
      <c r="B7487" s="4" t="str">
        <f>IFERROR(__xludf.DUMMYFUNCTION("""COMPUTED_VALUE"""),"58")</f>
        <v>58</v>
      </c>
      <c r="C7487" s="5" t="str">
        <f>IFERROR(__xludf.DUMMYFUNCTION("""COMPUTED_VALUE"""),"https://drive.google.com/file/d/1QBaHZcYQWqczAiiGYhyn5rlE0_gZfPrn/view?usp=drivesdk")</f>
        <v>https://drive.google.com/file/d/1QBaHZcYQWqczAiiGYhyn5rlE0_gZfPrn/view?usp=drivesdk</v>
      </c>
      <c r="D7487" s="12"/>
      <c r="E7487" s="11">
        <v>7535.0</v>
      </c>
      <c r="F7487" s="2"/>
    </row>
    <row r="7488" ht="1.5" customHeight="1">
      <c r="A7488" s="4" t="str">
        <f>IFERROR(__xludf.DUMMYFUNCTION("""COMPUTED_VALUE"""),"47. Nefarious")</f>
        <v>47. Nefarious</v>
      </c>
      <c r="B7488" s="4" t="str">
        <f>IFERROR(__xludf.DUMMYFUNCTION("""COMPUTED_VALUE"""),"47")</f>
        <v>47</v>
      </c>
      <c r="C7488" s="5" t="str">
        <f>IFERROR(__xludf.DUMMYFUNCTION("""COMPUTED_VALUE"""),"https://drive.google.com/file/d/1X4vDdNsiRWhHKCSDUNbgKfEbOqXBdIRs/view?usp=drivesdk")</f>
        <v>https://drive.google.com/file/d/1X4vDdNsiRWhHKCSDUNbgKfEbOqXBdIRs/view?usp=drivesdk</v>
      </c>
      <c r="D7488" s="12"/>
      <c r="E7488" s="11">
        <v>7536.0</v>
      </c>
      <c r="F7488" s="2"/>
    </row>
    <row r="7489" ht="1.5" customHeight="1">
      <c r="A7489" s="4" t="str">
        <f>IFERROR(__xludf.DUMMYFUNCTION("""COMPUTED_VALUE"""),"58. Eden")</f>
        <v>58. Eden</v>
      </c>
      <c r="B7489" s="4" t="str">
        <f>IFERROR(__xludf.DUMMYFUNCTION("""COMPUTED_VALUE"""),"58")</f>
        <v>58</v>
      </c>
      <c r="C7489" s="5" t="str">
        <f>IFERROR(__xludf.DUMMYFUNCTION("""COMPUTED_VALUE"""),"https://drive.google.com/file/d/11G8ECPYele2RHcMABEdqJbddDvRM_BTt/view?usp=drivesdk")</f>
        <v>https://drive.google.com/file/d/11G8ECPYele2RHcMABEdqJbddDvRM_BTt/view?usp=drivesdk</v>
      </c>
      <c r="D7489" s="12"/>
      <c r="E7489" s="11">
        <v>7537.0</v>
      </c>
      <c r="F7489" s="2"/>
    </row>
    <row r="7490" ht="1.5" customHeight="1">
      <c r="A7490" s="4" t="str">
        <f>IFERROR(__xludf.DUMMYFUNCTION("""COMPUTED_VALUE"""),"2. Twix")</f>
        <v>2. Twix</v>
      </c>
      <c r="B7490" s="4" t="str">
        <f>IFERROR(__xludf.DUMMYFUNCTION("""COMPUTED_VALUE"""),"2")</f>
        <v>2</v>
      </c>
      <c r="C7490" s="5" t="str">
        <f>IFERROR(__xludf.DUMMYFUNCTION("""COMPUTED_VALUE"""),"https://drive.google.com/file/d/1loHYLHEXM_4y8xM_ChpjuF9LEyEdrLhk/view?usp=drivesdk")</f>
        <v>https://drive.google.com/file/d/1loHYLHEXM_4y8xM_ChpjuF9LEyEdrLhk/view?usp=drivesdk</v>
      </c>
      <c r="D7490" s="12"/>
      <c r="E7490" s="11">
        <v>7538.0</v>
      </c>
      <c r="F7490" s="2"/>
    </row>
    <row r="7491" ht="1.5" customHeight="1">
      <c r="A7491" s="4" t="str">
        <f>IFERROR(__xludf.DUMMYFUNCTION("""COMPUTED_VALUE"""),"2. Twix")</f>
        <v>2. Twix</v>
      </c>
      <c r="B7491" s="4" t="str">
        <f>IFERROR(__xludf.DUMMYFUNCTION("""COMPUTED_VALUE"""),"2")</f>
        <v>2</v>
      </c>
      <c r="C7491" s="5" t="str">
        <f>IFERROR(__xludf.DUMMYFUNCTION("""COMPUTED_VALUE"""),"https://drive.google.com/file/d/14F5kAIS6HogR6pFFbrgg3SDrt-M-TvS_/view?usp=drivesdk")</f>
        <v>https://drive.google.com/file/d/14F5kAIS6HogR6pFFbrgg3SDrt-M-TvS_/view?usp=drivesdk</v>
      </c>
      <c r="D7491" s="12"/>
      <c r="E7491" s="11">
        <v>7539.0</v>
      </c>
      <c r="F7491" s="2"/>
    </row>
    <row r="7492" ht="1.5" customHeight="1">
      <c r="A7492" s="4" t="str">
        <f>IFERROR(__xludf.DUMMYFUNCTION("""COMPUTED_VALUE"""),"2. Twix")</f>
        <v>2. Twix</v>
      </c>
      <c r="B7492" s="4" t="str">
        <f>IFERROR(__xludf.DUMMYFUNCTION("""COMPUTED_VALUE"""),"2")</f>
        <v>2</v>
      </c>
      <c r="C7492" s="5" t="str">
        <f>IFERROR(__xludf.DUMMYFUNCTION("""COMPUTED_VALUE"""),"https://drive.google.com/file/d/1dZh9t3PNwf5_REh2Lm1nKF3M2_bPfOuZ/view?usp=drivesdk")</f>
        <v>https://drive.google.com/file/d/1dZh9t3PNwf5_REh2Lm1nKF3M2_bPfOuZ/view?usp=drivesdk</v>
      </c>
      <c r="D7492" s="12"/>
      <c r="E7492" s="11">
        <v>7540.0</v>
      </c>
      <c r="F7492" s="2"/>
    </row>
    <row r="7493" ht="1.5" customHeight="1">
      <c r="A7493" s="4" t="str">
        <f>IFERROR(__xludf.DUMMYFUNCTION("""COMPUTED_VALUE"""),"4. Eggs, 5. Eraser")</f>
        <v>4. Eggs, 5. Eraser</v>
      </c>
      <c r="B7493" s="4" t="str">
        <f>IFERROR(__xludf.DUMMYFUNCTION("""COMPUTED_VALUE"""),"4, 5")</f>
        <v>4, 5</v>
      </c>
      <c r="C7493" s="5" t="str">
        <f>IFERROR(__xludf.DUMMYFUNCTION("""COMPUTED_VALUE"""),"https://drive.google.com/file/d/1ceLMQZWlz-l50Fj6qEIFMbNPhx_1Za-F/view?usp=drivesdk")</f>
        <v>https://drive.google.com/file/d/1ceLMQZWlz-l50Fj6qEIFMbNPhx_1Za-F/view?usp=drivesdk</v>
      </c>
      <c r="D7493" s="12"/>
      <c r="E7493" s="11">
        <v>7541.0</v>
      </c>
      <c r="F7493" s="2"/>
    </row>
    <row r="7494" ht="1.5" customHeight="1">
      <c r="A7494" s="4" t="str">
        <f>IFERROR(__xludf.DUMMYFUNCTION("""COMPUTED_VALUE"""),"2. Twix")</f>
        <v>2. Twix</v>
      </c>
      <c r="B7494" s="4" t="str">
        <f>IFERROR(__xludf.DUMMYFUNCTION("""COMPUTED_VALUE"""),"2")</f>
        <v>2</v>
      </c>
      <c r="C7494" s="5" t="str">
        <f>IFERROR(__xludf.DUMMYFUNCTION("""COMPUTED_VALUE"""),"https://drive.google.com/file/d/1tlQzJP0vUybs6RVdz-uXZgtdDoEUUn7-/view?usp=drivesdk")</f>
        <v>https://drive.google.com/file/d/1tlQzJP0vUybs6RVdz-uXZgtdDoEUUn7-/view?usp=drivesdk</v>
      </c>
      <c r="D7494" s="12"/>
      <c r="E7494" s="11">
        <v>7542.0</v>
      </c>
      <c r="F7494" s="2"/>
    </row>
    <row r="7495" ht="1.5" customHeight="1">
      <c r="A7495" s="4" t="str">
        <f>IFERROR(__xludf.DUMMYFUNCTION("""COMPUTED_VALUE"""),"2. Twix")</f>
        <v>2. Twix</v>
      </c>
      <c r="B7495" s="4" t="str">
        <f>IFERROR(__xludf.DUMMYFUNCTION("""COMPUTED_VALUE"""),"2")</f>
        <v>2</v>
      </c>
      <c r="C7495" s="5" t="str">
        <f>IFERROR(__xludf.DUMMYFUNCTION("""COMPUTED_VALUE"""),"https://drive.google.com/file/d/1qLFQ32l07OotLq5WxeORCVkyPhpS_9L_/view?usp=drivesdk")</f>
        <v>https://drive.google.com/file/d/1qLFQ32l07OotLq5WxeORCVkyPhpS_9L_/view?usp=drivesdk</v>
      </c>
      <c r="D7495" s="12"/>
      <c r="E7495" s="11">
        <v>7543.0</v>
      </c>
      <c r="F7495" s="2"/>
    </row>
    <row r="7496" ht="1.5" customHeight="1">
      <c r="A7496" s="4" t="str">
        <f>IFERROR(__xludf.DUMMYFUNCTION("""COMPUTED_VALUE"""),"5. Eraser")</f>
        <v>5. Eraser</v>
      </c>
      <c r="B7496" s="4" t="str">
        <f>IFERROR(__xludf.DUMMYFUNCTION("""COMPUTED_VALUE"""),"5")</f>
        <v>5</v>
      </c>
      <c r="C7496" s="5" t="str">
        <f>IFERROR(__xludf.DUMMYFUNCTION("""COMPUTED_VALUE"""),"https://drive.google.com/file/d/1lxcFW4JB7D7rfaVOWl9aCpTN--2DcgKV/view?usp=drivesdk")</f>
        <v>https://drive.google.com/file/d/1lxcFW4JB7D7rfaVOWl9aCpTN--2DcgKV/view?usp=drivesdk</v>
      </c>
      <c r="D7496" s="12"/>
      <c r="E7496" s="11">
        <v>7544.0</v>
      </c>
      <c r="F7496" s="2"/>
    </row>
    <row r="7497" ht="1.5" customHeight="1">
      <c r="A7497" s="4" t="str">
        <f>IFERROR(__xludf.DUMMYFUNCTION("""COMPUTED_VALUE"""),"4. Eggs")</f>
        <v>4. Eggs</v>
      </c>
      <c r="B7497" s="4" t="str">
        <f>IFERROR(__xludf.DUMMYFUNCTION("""COMPUTED_VALUE"""),"4")</f>
        <v>4</v>
      </c>
      <c r="C7497" s="5" t="str">
        <f>IFERROR(__xludf.DUMMYFUNCTION("""COMPUTED_VALUE"""),"https://drive.google.com/file/d/1nNdfxerLpU_EY6caxMb8WpEjfeYpIUwt/view?usp=drivesdk")</f>
        <v>https://drive.google.com/file/d/1nNdfxerLpU_EY6caxMb8WpEjfeYpIUwt/view?usp=drivesdk</v>
      </c>
      <c r="D7497" s="12"/>
      <c r="E7497" s="11">
        <v>7545.0</v>
      </c>
      <c r="F7497" s="2"/>
    </row>
    <row r="7498" ht="1.5" customHeight="1">
      <c r="A7498" s="4" t="str">
        <f>IFERROR(__xludf.DUMMYFUNCTION("""COMPUTED_VALUE"""),"5. Eraser")</f>
        <v>5. Eraser</v>
      </c>
      <c r="B7498" s="4" t="str">
        <f>IFERROR(__xludf.DUMMYFUNCTION("""COMPUTED_VALUE"""),"5")</f>
        <v>5</v>
      </c>
      <c r="C7498" s="5" t="str">
        <f>IFERROR(__xludf.DUMMYFUNCTION("""COMPUTED_VALUE"""),"https://drive.google.com/file/d/1kpsNVJEruX5XuGgXAYCQUvmxS9TVD08Q/view?usp=drivesdk")</f>
        <v>https://drive.google.com/file/d/1kpsNVJEruX5XuGgXAYCQUvmxS9TVD08Q/view?usp=drivesdk</v>
      </c>
      <c r="D7498" s="12"/>
      <c r="E7498" s="11">
        <v>7546.0</v>
      </c>
      <c r="F7498" s="2"/>
    </row>
    <row r="7499" ht="1.5" customHeight="1">
      <c r="A7499" s="4" t="str">
        <f>IFERROR(__xludf.DUMMYFUNCTION("""COMPUTED_VALUE"""),"2. Twix")</f>
        <v>2. Twix</v>
      </c>
      <c r="B7499" s="4" t="str">
        <f>IFERROR(__xludf.DUMMYFUNCTION("""COMPUTED_VALUE"""),"2")</f>
        <v>2</v>
      </c>
      <c r="C7499" s="5" t="str">
        <f>IFERROR(__xludf.DUMMYFUNCTION("""COMPUTED_VALUE"""),"https://drive.google.com/file/d/1askRFQEc-aM9c7k2AMZA5NpE-IiUavF3/view?usp=drivesdk")</f>
        <v>https://drive.google.com/file/d/1askRFQEc-aM9c7k2AMZA5NpE-IiUavF3/view?usp=drivesdk</v>
      </c>
      <c r="D7499" s="12"/>
      <c r="E7499" s="11">
        <v>7547.0</v>
      </c>
      <c r="F7499" s="2"/>
    </row>
    <row r="7500" ht="1.5" customHeight="1">
      <c r="A7500" s="4" t="str">
        <f>IFERROR(__xludf.DUMMYFUNCTION("""COMPUTED_VALUE"""),"2. Twix")</f>
        <v>2. Twix</v>
      </c>
      <c r="B7500" s="4" t="str">
        <f>IFERROR(__xludf.DUMMYFUNCTION("""COMPUTED_VALUE"""),"2")</f>
        <v>2</v>
      </c>
      <c r="C7500" s="5" t="str">
        <f>IFERROR(__xludf.DUMMYFUNCTION("""COMPUTED_VALUE"""),"https://drive.google.com/file/d/1LysQd53Mj6d5CpHcXMZnF-2GYESWhttM/view?usp=drivesdk")</f>
        <v>https://drive.google.com/file/d/1LysQd53Mj6d5CpHcXMZnF-2GYESWhttM/view?usp=drivesdk</v>
      </c>
      <c r="D7500" s="12"/>
      <c r="E7500" s="11">
        <v>7548.0</v>
      </c>
      <c r="F7500" s="2"/>
    </row>
    <row r="7501" ht="1.5" customHeight="1">
      <c r="A7501" s="4" t="str">
        <f>IFERROR(__xludf.DUMMYFUNCTION("""COMPUTED_VALUE"""),"6. Snickers")</f>
        <v>6. Snickers</v>
      </c>
      <c r="B7501" s="4" t="str">
        <f>IFERROR(__xludf.DUMMYFUNCTION("""COMPUTED_VALUE"""),"6")</f>
        <v>6</v>
      </c>
      <c r="C7501" s="5" t="str">
        <f>IFERROR(__xludf.DUMMYFUNCTION("""COMPUTED_VALUE"""),"https://drive.google.com/file/d/1FlF0v12WXEpbR7kewFKfKOht7pe5T7-m/view?usp=drivesdk")</f>
        <v>https://drive.google.com/file/d/1FlF0v12WXEpbR7kewFKfKOht7pe5T7-m/view?usp=drivesdk</v>
      </c>
      <c r="D7501" s="12"/>
      <c r="E7501" s="11">
        <v>7549.0</v>
      </c>
      <c r="F7501" s="2"/>
    </row>
    <row r="7502" ht="1.5" customHeight="1">
      <c r="A7502" s="4" t="str">
        <f>IFERROR(__xludf.DUMMYFUNCTION("""COMPUTED_VALUE"""),"1. Microwave")</f>
        <v>1. Microwave</v>
      </c>
      <c r="B7502" s="4" t="str">
        <f>IFERROR(__xludf.DUMMYFUNCTION("""COMPUTED_VALUE"""),"1")</f>
        <v>1</v>
      </c>
      <c r="C7502" s="5" t="str">
        <f>IFERROR(__xludf.DUMMYFUNCTION("""COMPUTED_VALUE"""),"https://drive.google.com/file/d/1QCF3zEjfCE26NWveUdO2-tsIZpZ6pIOz/view?usp=drivesdk")</f>
        <v>https://drive.google.com/file/d/1QCF3zEjfCE26NWveUdO2-tsIZpZ6pIOz/view?usp=drivesdk</v>
      </c>
      <c r="D7502" s="12"/>
      <c r="E7502" s="11">
        <v>7550.0</v>
      </c>
      <c r="F7502" s="2"/>
    </row>
    <row r="7503" ht="1.5" customHeight="1">
      <c r="A7503" s="4" t="str">
        <f>IFERROR(__xludf.DUMMYFUNCTION("""COMPUTED_VALUE"""),"1. Microwave")</f>
        <v>1. Microwave</v>
      </c>
      <c r="B7503" s="4" t="str">
        <f>IFERROR(__xludf.DUMMYFUNCTION("""COMPUTED_VALUE"""),"1")</f>
        <v>1</v>
      </c>
      <c r="C7503" s="5" t="str">
        <f>IFERROR(__xludf.DUMMYFUNCTION("""COMPUTED_VALUE"""),"https://drive.google.com/file/d/1kmR8WsZC0QjQhJAUKXD0ImJCh_TvV20E/view?usp=drivesdk")</f>
        <v>https://drive.google.com/file/d/1kmR8WsZC0QjQhJAUKXD0ImJCh_TvV20E/view?usp=drivesdk</v>
      </c>
      <c r="D7503" s="12"/>
      <c r="E7503" s="11">
        <v>7551.0</v>
      </c>
      <c r="F7503" s="2"/>
    </row>
    <row r="7504" ht="1.5" customHeight="1">
      <c r="A7504" s="4" t="str">
        <f>IFERROR(__xludf.DUMMYFUNCTION("""COMPUTED_VALUE"""),"1. Microwave")</f>
        <v>1. Microwave</v>
      </c>
      <c r="B7504" s="4" t="str">
        <f>IFERROR(__xludf.DUMMYFUNCTION("""COMPUTED_VALUE"""),"1")</f>
        <v>1</v>
      </c>
      <c r="C7504" s="5" t="str">
        <f>IFERROR(__xludf.DUMMYFUNCTION("""COMPUTED_VALUE"""),"https://drive.google.com/file/d/153XiRwM_JS2HcxvxWCNwfZYZNpzZkFO6/view?usp=drivesdk")</f>
        <v>https://drive.google.com/file/d/153XiRwM_JS2HcxvxWCNwfZYZNpzZkFO6/view?usp=drivesdk</v>
      </c>
      <c r="D7504" s="12"/>
      <c r="E7504" s="11">
        <v>7552.0</v>
      </c>
      <c r="F7504" s="2"/>
    </row>
    <row r="7505" ht="1.5" customHeight="1">
      <c r="A7505" s="4" t="str">
        <f>IFERROR(__xludf.DUMMYFUNCTION("""COMPUTED_VALUE"""),"1. Microwave")</f>
        <v>1. Microwave</v>
      </c>
      <c r="B7505" s="4" t="str">
        <f>IFERROR(__xludf.DUMMYFUNCTION("""COMPUTED_VALUE"""),"1")</f>
        <v>1</v>
      </c>
      <c r="C7505" s="5" t="str">
        <f>IFERROR(__xludf.DUMMYFUNCTION("""COMPUTED_VALUE"""),"https://drive.google.com/file/d/1YQI4hr2KLKOMmfICaAY9F4h-bk5rEGou/view?usp=drivesdk")</f>
        <v>https://drive.google.com/file/d/1YQI4hr2KLKOMmfICaAY9F4h-bk5rEGou/view?usp=drivesdk</v>
      </c>
      <c r="D7505" s="12"/>
      <c r="E7505" s="11">
        <v>7553.0</v>
      </c>
      <c r="F7505" s="2"/>
    </row>
    <row r="7506" ht="1.5" customHeight="1">
      <c r="A7506" s="4" t="str">
        <f>IFERROR(__xludf.DUMMYFUNCTION("""COMPUTED_VALUE"""),"66. Toblerone")</f>
        <v>66. Toblerone</v>
      </c>
      <c r="B7506" s="4" t="str">
        <f>IFERROR(__xludf.DUMMYFUNCTION("""COMPUTED_VALUE"""),"66")</f>
        <v>66</v>
      </c>
      <c r="C7506" s="5" t="str">
        <f>IFERROR(__xludf.DUMMYFUNCTION("""COMPUTED_VALUE"""),"https://drive.google.com/file/d/1ppMrNdk6lBZVVV-OzyT901kNuDI-LqTV/view?usp=drivesdk")</f>
        <v>https://drive.google.com/file/d/1ppMrNdk6lBZVVV-OzyT901kNuDI-LqTV/view?usp=drivesdk</v>
      </c>
      <c r="D7506" s="12"/>
      <c r="E7506" s="11">
        <v>7554.0</v>
      </c>
      <c r="F7506" s="2"/>
    </row>
    <row r="7507" ht="1.5" customHeight="1">
      <c r="A7507" s="4" t="str">
        <f>IFERROR(__xludf.DUMMYFUNCTION("""COMPUTED_VALUE"""),"1. Microwave")</f>
        <v>1. Microwave</v>
      </c>
      <c r="B7507" s="4" t="str">
        <f>IFERROR(__xludf.DUMMYFUNCTION("""COMPUTED_VALUE"""),"1")</f>
        <v>1</v>
      </c>
      <c r="C7507" s="5" t="str">
        <f>IFERROR(__xludf.DUMMYFUNCTION("""COMPUTED_VALUE"""),"https://drive.google.com/file/d/1Mg2xqnYH9PtzlQXErCCpngAx2dlhq7l4/view?usp=drivesdk")</f>
        <v>https://drive.google.com/file/d/1Mg2xqnYH9PtzlQXErCCpngAx2dlhq7l4/view?usp=drivesdk</v>
      </c>
      <c r="D7507" s="12"/>
      <c r="E7507" s="11">
        <v>7555.0</v>
      </c>
      <c r="F7507" s="2"/>
    </row>
    <row r="7508" ht="1.5" customHeight="1">
      <c r="A7508" s="4" t="str">
        <f>IFERROR(__xludf.DUMMYFUNCTION("""COMPUTED_VALUE"""),"1. Microwave")</f>
        <v>1. Microwave</v>
      </c>
      <c r="B7508" s="4" t="str">
        <f>IFERROR(__xludf.DUMMYFUNCTION("""COMPUTED_VALUE"""),"1")</f>
        <v>1</v>
      </c>
      <c r="C7508" s="5" t="str">
        <f>IFERROR(__xludf.DUMMYFUNCTION("""COMPUTED_VALUE"""),"https://drive.google.com/file/d/1UP5zoYRlOh-CoDCKnb5SpcyXcfrd8e1x/view?usp=drivesdk")</f>
        <v>https://drive.google.com/file/d/1UP5zoYRlOh-CoDCKnb5SpcyXcfrd8e1x/view?usp=drivesdk</v>
      </c>
      <c r="D7508" s="12"/>
      <c r="E7508" s="11">
        <v>7556.0</v>
      </c>
      <c r="F7508" s="2"/>
    </row>
    <row r="7509" ht="1.5" customHeight="1">
      <c r="A7509" s="4" t="str">
        <f>IFERROR(__xludf.DUMMYFUNCTION("""COMPUTED_VALUE"""),"108. Mazatl, 111. Mayatl, 116. Itzel, 106. Ami, 99. Nezhui")</f>
        <v>108. Mazatl, 111. Mayatl, 116. Itzel, 106. Ami, 99. Nezhui</v>
      </c>
      <c r="B7509" s="4" t="str">
        <f>IFERROR(__xludf.DUMMYFUNCTION("""COMPUTED_VALUE"""),"108, 111, 116, 106, 99")</f>
        <v>108, 111, 116, 106, 99</v>
      </c>
      <c r="C7509" s="5" t="str">
        <f>IFERROR(__xludf.DUMMYFUNCTION("""COMPUTED_VALUE"""),"https://drive.google.com/file/d/1jnznNJJ3iKVH5-5482Ky1gTeHJkFWA01/view?usp=drivesdk")</f>
        <v>https://drive.google.com/file/d/1jnznNJJ3iKVH5-5482Ky1gTeHJkFWA01/view?usp=drivesdk</v>
      </c>
      <c r="D7509" s="12"/>
      <c r="E7509" s="11">
        <v>7557.0</v>
      </c>
      <c r="F7509" s="2"/>
    </row>
    <row r="7510" ht="1.5" customHeight="1">
      <c r="A7510" s="4" t="str">
        <f>IFERROR(__xludf.DUMMYFUNCTION("""COMPUTED_VALUE"""),"111. Mayatl, 116. Itzel")</f>
        <v>111. Mayatl, 116. Itzel</v>
      </c>
      <c r="B7510" s="4" t="str">
        <f>IFERROR(__xludf.DUMMYFUNCTION("""COMPUTED_VALUE"""),"111, 116")</f>
        <v>111, 116</v>
      </c>
      <c r="C7510" s="5" t="str">
        <f>IFERROR(__xludf.DUMMYFUNCTION("""COMPUTED_VALUE"""),"https://drive.google.com/file/d/1Wshiqi3VVATkbm35xb7P8332r8XMhbhF/view?usp=drivesdk")</f>
        <v>https://drive.google.com/file/d/1Wshiqi3VVATkbm35xb7P8332r8XMhbhF/view?usp=drivesdk</v>
      </c>
      <c r="D7510" s="12"/>
      <c r="E7510" s="11">
        <v>7558.0</v>
      </c>
      <c r="F7510" s="2"/>
    </row>
    <row r="7511" ht="1.5" customHeight="1">
      <c r="A7511" s="4" t="str">
        <f>IFERROR(__xludf.DUMMYFUNCTION("""COMPUTED_VALUE"""),"116. Itzel")</f>
        <v>116. Itzel</v>
      </c>
      <c r="B7511" s="4" t="str">
        <f>IFERROR(__xludf.DUMMYFUNCTION("""COMPUTED_VALUE"""),"116")</f>
        <v>116</v>
      </c>
      <c r="C7511" s="5" t="str">
        <f>IFERROR(__xludf.DUMMYFUNCTION("""COMPUTED_VALUE"""),"https://drive.google.com/file/d/1bCl81ArLGGT1IcNRgwz26gEq7hfgq5yl/view?usp=drivesdk")</f>
        <v>https://drive.google.com/file/d/1bCl81ArLGGT1IcNRgwz26gEq7hfgq5yl/view?usp=drivesdk</v>
      </c>
      <c r="D7511" s="12"/>
      <c r="E7511" s="11">
        <v>7559.0</v>
      </c>
      <c r="F7511" s="2"/>
    </row>
    <row r="7512" ht="1.5" customHeight="1">
      <c r="A7512" s="4" t="str">
        <f>IFERROR(__xludf.DUMMYFUNCTION("""COMPUTED_VALUE"""),"116. Itzel")</f>
        <v>116. Itzel</v>
      </c>
      <c r="B7512" s="4" t="str">
        <f>IFERROR(__xludf.DUMMYFUNCTION("""COMPUTED_VALUE"""),"116")</f>
        <v>116</v>
      </c>
      <c r="C7512" s="5" t="str">
        <f>IFERROR(__xludf.DUMMYFUNCTION("""COMPUTED_VALUE"""),"https://drive.google.com/file/d/1XWvIb6zMq-0rgAbjnUXuvj1DytcpVvIU/view?usp=drivesdk")</f>
        <v>https://drive.google.com/file/d/1XWvIb6zMq-0rgAbjnUXuvj1DytcpVvIU/view?usp=drivesdk</v>
      </c>
      <c r="D7512" s="12"/>
      <c r="E7512" s="11">
        <v>7560.0</v>
      </c>
      <c r="F7512" s="2"/>
    </row>
    <row r="7513" ht="1.5" customHeight="1">
      <c r="A7513" s="4" t="str">
        <f>IFERROR(__xludf.DUMMYFUNCTION("""COMPUTED_VALUE"""),"2. Twix")</f>
        <v>2. Twix</v>
      </c>
      <c r="B7513" s="4" t="str">
        <f>IFERROR(__xludf.DUMMYFUNCTION("""COMPUTED_VALUE"""),"2")</f>
        <v>2</v>
      </c>
      <c r="C7513" s="5" t="str">
        <f>IFERROR(__xludf.DUMMYFUNCTION("""COMPUTED_VALUE"""),"https://drive.google.com/file/d/1lnaG1J3s0AqPL4HcOln78bT9aRFKBEtv/view?usp=drivesdk")</f>
        <v>https://drive.google.com/file/d/1lnaG1J3s0AqPL4HcOln78bT9aRFKBEtv/view?usp=drivesdk</v>
      </c>
      <c r="D7513" s="12"/>
      <c r="E7513" s="11">
        <v>7561.0</v>
      </c>
      <c r="F7513" s="2"/>
    </row>
    <row r="7514" ht="1.5" customHeight="1">
      <c r="A7514" s="4" t="str">
        <f>IFERROR(__xludf.DUMMYFUNCTION("""COMPUTED_VALUE"""),"99. Nezhui")</f>
        <v>99. Nezhui</v>
      </c>
      <c r="B7514" s="4" t="str">
        <f>IFERROR(__xludf.DUMMYFUNCTION("""COMPUTED_VALUE"""),"99")</f>
        <v>99</v>
      </c>
      <c r="C7514" s="5" t="str">
        <f>IFERROR(__xludf.DUMMYFUNCTION("""COMPUTED_VALUE"""),"https://drive.google.com/file/d/1yNtcLbqB3Cxtv1R14VqXIw2zGAE795cv/view?usp=drivesdk")</f>
        <v>https://drive.google.com/file/d/1yNtcLbqB3Cxtv1R14VqXIw2zGAE795cv/view?usp=drivesdk</v>
      </c>
      <c r="D7514" s="12"/>
      <c r="E7514" s="11">
        <v>7562.0</v>
      </c>
      <c r="F7514" s="2"/>
    </row>
    <row r="7515" ht="1.5" customHeight="1">
      <c r="A7515" s="4" t="str">
        <f>IFERROR(__xludf.DUMMYFUNCTION("""COMPUTED_VALUE"""),"99. Nezhui")</f>
        <v>99. Nezhui</v>
      </c>
      <c r="B7515" s="4" t="str">
        <f>IFERROR(__xludf.DUMMYFUNCTION("""COMPUTED_VALUE"""),"99")</f>
        <v>99</v>
      </c>
      <c r="C7515" s="5" t="str">
        <f>IFERROR(__xludf.DUMMYFUNCTION("""COMPUTED_VALUE"""),"https://drive.google.com/file/d/1NO5fgevjVqhJ0LKw6G--dz9DufhQpKSg/view?usp=drivesdk")</f>
        <v>https://drive.google.com/file/d/1NO5fgevjVqhJ0LKw6G--dz9DufhQpKSg/view?usp=drivesdk</v>
      </c>
      <c r="D7515" s="12"/>
      <c r="E7515" s="11">
        <v>7563.0</v>
      </c>
      <c r="F7515" s="2"/>
    </row>
    <row r="7516" ht="1.5" customHeight="1">
      <c r="A7516" s="4" t="str">
        <f>IFERROR(__xludf.DUMMYFUNCTION("""COMPUTED_VALUE"""),"99. Nezhui")</f>
        <v>99. Nezhui</v>
      </c>
      <c r="B7516" s="4" t="str">
        <f>IFERROR(__xludf.DUMMYFUNCTION("""COMPUTED_VALUE"""),"99")</f>
        <v>99</v>
      </c>
      <c r="C7516" s="5" t="str">
        <f>IFERROR(__xludf.DUMMYFUNCTION("""COMPUTED_VALUE"""),"https://drive.google.com/file/d/19T3y4IRy6wiJvJMn2Ipol05wW9n53Zkv/view?usp=drivesdk")</f>
        <v>https://drive.google.com/file/d/19T3y4IRy6wiJvJMn2Ipol05wW9n53Zkv/view?usp=drivesdk</v>
      </c>
      <c r="D7516" s="12"/>
      <c r="E7516" s="11">
        <v>7564.0</v>
      </c>
      <c r="F7516" s="2"/>
    </row>
    <row r="7517" ht="1.5" customHeight="1">
      <c r="A7517" s="4" t="str">
        <f>IFERROR(__xludf.DUMMYFUNCTION("""COMPUTED_VALUE"""),"99. Nezhui")</f>
        <v>99. Nezhui</v>
      </c>
      <c r="B7517" s="4" t="str">
        <f>IFERROR(__xludf.DUMMYFUNCTION("""COMPUTED_VALUE"""),"99")</f>
        <v>99</v>
      </c>
      <c r="C7517" s="5" t="str">
        <f>IFERROR(__xludf.DUMMYFUNCTION("""COMPUTED_VALUE"""),"https://drive.google.com/file/d/1niPChLWqqFgWkGpSw6b92opsfGC58xXg/view?usp=drivesdk")</f>
        <v>https://drive.google.com/file/d/1niPChLWqqFgWkGpSw6b92opsfGC58xXg/view?usp=drivesdk</v>
      </c>
      <c r="D7517" s="12"/>
      <c r="E7517" s="11">
        <v>7565.0</v>
      </c>
      <c r="F7517" s="2"/>
    </row>
    <row r="7518" ht="1.5" customHeight="1">
      <c r="A7518" s="4" t="str">
        <f>IFERROR(__xludf.DUMMYFUNCTION("""COMPUTED_VALUE"""),"1. Microwave")</f>
        <v>1. Microwave</v>
      </c>
      <c r="B7518" s="4" t="str">
        <f>IFERROR(__xludf.DUMMYFUNCTION("""COMPUTED_VALUE"""),"1")</f>
        <v>1</v>
      </c>
      <c r="C7518" s="5" t="str">
        <f>IFERROR(__xludf.DUMMYFUNCTION("""COMPUTED_VALUE"""),"https://drive.google.com/file/d/1FHZ9cyt5jl5wnKY8isnLC_vyRI3R18Q0/view?usp=drivesdk")</f>
        <v>https://drive.google.com/file/d/1FHZ9cyt5jl5wnKY8isnLC_vyRI3R18Q0/view?usp=drivesdk</v>
      </c>
      <c r="D7518" s="12"/>
      <c r="E7518" s="11">
        <v>7566.0</v>
      </c>
      <c r="F7518" s="2"/>
    </row>
    <row r="7519" ht="1.5" customHeight="1">
      <c r="A7519" s="4" t="str">
        <f>IFERROR(__xludf.DUMMYFUNCTION("""COMPUTED_VALUE"""),"6. Snickers")</f>
        <v>6. Snickers</v>
      </c>
      <c r="B7519" s="4" t="str">
        <f>IFERROR(__xludf.DUMMYFUNCTION("""COMPUTED_VALUE"""),"6")</f>
        <v>6</v>
      </c>
      <c r="C7519" s="5" t="str">
        <f>IFERROR(__xludf.DUMMYFUNCTION("""COMPUTED_VALUE"""),"https://drive.google.com/file/d/1bNYM-_BO_YjTwaj24sEvSHjAcexvi9A2/view?usp=drivesdk")</f>
        <v>https://drive.google.com/file/d/1bNYM-_BO_YjTwaj24sEvSHjAcexvi9A2/view?usp=drivesdk</v>
      </c>
      <c r="D7519" s="12"/>
      <c r="E7519" s="11">
        <v>7567.0</v>
      </c>
      <c r="F7519" s="2"/>
    </row>
    <row r="7520" ht="1.5" customHeight="1">
      <c r="A7520" s="4" t="str">
        <f>IFERROR(__xludf.DUMMYFUNCTION("""COMPUTED_VALUE"""),"73. Coronavirus")</f>
        <v>73. Coronavirus</v>
      </c>
      <c r="B7520" s="4" t="str">
        <f>IFERROR(__xludf.DUMMYFUNCTION("""COMPUTED_VALUE"""),"73")</f>
        <v>73</v>
      </c>
      <c r="C7520" s="5" t="str">
        <f>IFERROR(__xludf.DUMMYFUNCTION("""COMPUTED_VALUE"""),"https://drive.google.com/file/d/1VrJdw26oswXc3k0OvKo3XWz4miSOMZJu/view?usp=drivesdk")</f>
        <v>https://drive.google.com/file/d/1VrJdw26oswXc3k0OvKo3XWz4miSOMZJu/view?usp=drivesdk</v>
      </c>
      <c r="D7520" s="12"/>
      <c r="E7520" s="11">
        <v>7568.0</v>
      </c>
      <c r="F7520" s="2"/>
    </row>
    <row r="7521" ht="1.5" customHeight="1">
      <c r="A7521" s="4" t="str">
        <f>IFERROR(__xludf.DUMMYFUNCTION("""COMPUTED_VALUE"""),"4. Eggs")</f>
        <v>4. Eggs</v>
      </c>
      <c r="B7521" s="4" t="str">
        <f>IFERROR(__xludf.DUMMYFUNCTION("""COMPUTED_VALUE"""),"4")</f>
        <v>4</v>
      </c>
      <c r="C7521" s="5" t="str">
        <f>IFERROR(__xludf.DUMMYFUNCTION("""COMPUTED_VALUE"""),"https://drive.google.com/file/d/1ln6ZCgdbcPg_lXaxSDiUEgQMAOig1Yfw/view?usp=drivesdk")</f>
        <v>https://drive.google.com/file/d/1ln6ZCgdbcPg_lXaxSDiUEgQMAOig1Yfw/view?usp=drivesdk</v>
      </c>
      <c r="D7521" s="12"/>
      <c r="E7521" s="11">
        <v>7569.0</v>
      </c>
      <c r="F7521" s="2"/>
    </row>
    <row r="7522" ht="1.5" customHeight="1">
      <c r="A7522" s="4" t="str">
        <f>IFERROR(__xludf.DUMMYFUNCTION("""COMPUTED_VALUE"""),"2. Twix")</f>
        <v>2. Twix</v>
      </c>
      <c r="B7522" s="4" t="str">
        <f>IFERROR(__xludf.DUMMYFUNCTION("""COMPUTED_VALUE"""),"2")</f>
        <v>2</v>
      </c>
      <c r="C7522" s="5" t="str">
        <f>IFERROR(__xludf.DUMMYFUNCTION("""COMPUTED_VALUE"""),"https://drive.google.com/file/d/1y__WTLdcB4OjfEGfog6a9zhgtVKNm45y/view?usp=drivesdk")</f>
        <v>https://drive.google.com/file/d/1y__WTLdcB4OjfEGfog6a9zhgtVKNm45y/view?usp=drivesdk</v>
      </c>
      <c r="D7522" s="12"/>
      <c r="E7522" s="11">
        <v>7570.0</v>
      </c>
      <c r="F7522" s="2"/>
    </row>
    <row r="7523" ht="1.5" customHeight="1">
      <c r="A7523" s="4" t="str">
        <f>IFERROR(__xludf.DUMMYFUNCTION("""COMPUTED_VALUE"""),"118. Stinker")</f>
        <v>118. Stinker</v>
      </c>
      <c r="B7523" s="4" t="str">
        <f>IFERROR(__xludf.DUMMYFUNCTION("""COMPUTED_VALUE"""),"118")</f>
        <v>118</v>
      </c>
      <c r="C7523" s="5" t="str">
        <f>IFERROR(__xludf.DUMMYFUNCTION("""COMPUTED_VALUE"""),"https://drive.google.com/file/d/1nWV7Y903w3DfQC8dw79Fjlmu-P6z3-KW/view?usp=drivesdk")</f>
        <v>https://drive.google.com/file/d/1nWV7Y903w3DfQC8dw79Fjlmu-P6z3-KW/view?usp=drivesdk</v>
      </c>
      <c r="D7523" s="12"/>
      <c r="E7523" s="11">
        <v>7571.0</v>
      </c>
      <c r="F7523" s="2"/>
    </row>
    <row r="7524" ht="1.5" customHeight="1">
      <c r="A7524" s="4" t="str">
        <f>IFERROR(__xludf.DUMMYFUNCTION("""COMPUTED_VALUE"""),"1. Microwave")</f>
        <v>1. Microwave</v>
      </c>
      <c r="B7524" s="4" t="str">
        <f>IFERROR(__xludf.DUMMYFUNCTION("""COMPUTED_VALUE"""),"1")</f>
        <v>1</v>
      </c>
      <c r="C7524" s="5" t="str">
        <f>IFERROR(__xludf.DUMMYFUNCTION("""COMPUTED_VALUE"""),"https://drive.google.com/file/d/1-R861Svmy0egDRWm54F7EsLs5LfwI8JH/view?usp=drivesdk")</f>
        <v>https://drive.google.com/file/d/1-R861Svmy0egDRWm54F7EsLs5LfwI8JH/view?usp=drivesdk</v>
      </c>
      <c r="D7524" s="12"/>
      <c r="E7524" s="11">
        <v>7572.0</v>
      </c>
      <c r="F7524" s="2"/>
    </row>
    <row r="7525" ht="1.5" customHeight="1">
      <c r="A7525" s="4" t="str">
        <f>IFERROR(__xludf.DUMMYFUNCTION("""COMPUTED_VALUE"""),"1. Microwave")</f>
        <v>1. Microwave</v>
      </c>
      <c r="B7525" s="4" t="str">
        <f>IFERROR(__xludf.DUMMYFUNCTION("""COMPUTED_VALUE"""),"1")</f>
        <v>1</v>
      </c>
      <c r="C7525" s="5" t="str">
        <f>IFERROR(__xludf.DUMMYFUNCTION("""COMPUTED_VALUE"""),"https://drive.google.com/file/d/1HKv7PTC9rqFS8OJr9YR0aZ2ad2t_dYPf/view?usp=drivesdk")</f>
        <v>https://drive.google.com/file/d/1HKv7PTC9rqFS8OJr9YR0aZ2ad2t_dYPf/view?usp=drivesdk</v>
      </c>
      <c r="D7525" s="12"/>
      <c r="E7525" s="11">
        <v>7573.0</v>
      </c>
      <c r="F7525" s="2"/>
    </row>
    <row r="7526" ht="1.5" customHeight="1">
      <c r="A7526" s="4" t="str">
        <f>IFERROR(__xludf.DUMMYFUNCTION("""COMPUTED_VALUE"""),"1. Microwave")</f>
        <v>1. Microwave</v>
      </c>
      <c r="B7526" s="4" t="str">
        <f>IFERROR(__xludf.DUMMYFUNCTION("""COMPUTED_VALUE"""),"1")</f>
        <v>1</v>
      </c>
      <c r="C7526" s="5" t="str">
        <f>IFERROR(__xludf.DUMMYFUNCTION("""COMPUTED_VALUE"""),"https://drive.google.com/file/d/1IS7shkDmFhVG8eLYTCMB1_-s-ZBw-_iP/view?usp=drivesdk")</f>
        <v>https://drive.google.com/file/d/1IS7shkDmFhVG8eLYTCMB1_-s-ZBw-_iP/view?usp=drivesdk</v>
      </c>
      <c r="D7526" s="12"/>
      <c r="E7526" s="11">
        <v>7574.0</v>
      </c>
      <c r="F7526" s="2"/>
    </row>
    <row r="7527" ht="1.5" customHeight="1">
      <c r="A7527" s="4" t="str">
        <f>IFERROR(__xludf.DUMMYFUNCTION("""COMPUTED_VALUE"""),"1. Microwave")</f>
        <v>1. Microwave</v>
      </c>
      <c r="B7527" s="4" t="str">
        <f>IFERROR(__xludf.DUMMYFUNCTION("""COMPUTED_VALUE"""),"1")</f>
        <v>1</v>
      </c>
      <c r="C7527" s="5" t="str">
        <f>IFERROR(__xludf.DUMMYFUNCTION("""COMPUTED_VALUE"""),"https://drive.google.com/file/d/1_APl60UdYqEmI5OnGXQh9eXsjKKxnlQE/view?usp=drivesdk")</f>
        <v>https://drive.google.com/file/d/1_APl60UdYqEmI5OnGXQh9eXsjKKxnlQE/view?usp=drivesdk</v>
      </c>
      <c r="D7527" s="12"/>
      <c r="E7527" s="11">
        <v>7575.0</v>
      </c>
      <c r="F7527" s="2"/>
    </row>
    <row r="7528" ht="1.5" customHeight="1">
      <c r="A7528" s="4" t="str">
        <f>IFERROR(__xludf.DUMMYFUNCTION("""COMPUTED_VALUE"""),"1. Microwave")</f>
        <v>1. Microwave</v>
      </c>
      <c r="B7528" s="4" t="str">
        <f>IFERROR(__xludf.DUMMYFUNCTION("""COMPUTED_VALUE"""),"1")</f>
        <v>1</v>
      </c>
      <c r="C7528" s="5" t="str">
        <f>IFERROR(__xludf.DUMMYFUNCTION("""COMPUTED_VALUE"""),"https://drive.google.com/file/d/189zIgUVkbnyQ4WHzPAGjr1Xxzigk8kkp/view?usp=drivesdk")</f>
        <v>https://drive.google.com/file/d/189zIgUVkbnyQ4WHzPAGjr1Xxzigk8kkp/view?usp=drivesdk</v>
      </c>
      <c r="D7528" s="12"/>
      <c r="E7528" s="11">
        <v>7576.0</v>
      </c>
      <c r="F7528" s="2"/>
    </row>
    <row r="7529" ht="1.5" customHeight="1">
      <c r="A7529" s="4" t="str">
        <f>IFERROR(__xludf.DUMMYFUNCTION("""COMPUTED_VALUE"""),"1. Microwave")</f>
        <v>1. Microwave</v>
      </c>
      <c r="B7529" s="4" t="str">
        <f>IFERROR(__xludf.DUMMYFUNCTION("""COMPUTED_VALUE"""),"1")</f>
        <v>1</v>
      </c>
      <c r="C7529" s="5" t="str">
        <f>IFERROR(__xludf.DUMMYFUNCTION("""COMPUTED_VALUE"""),"https://drive.google.com/file/d/1UOqu9uzlNDOX3jecn2bkDfjY0-woMzkj/view?usp=drivesdk")</f>
        <v>https://drive.google.com/file/d/1UOqu9uzlNDOX3jecn2bkDfjY0-woMzkj/view?usp=drivesdk</v>
      </c>
      <c r="D7529" s="12"/>
      <c r="E7529" s="11">
        <v>7577.0</v>
      </c>
      <c r="F7529" s="2"/>
    </row>
    <row r="7530" ht="1.5" customHeight="1">
      <c r="A7530" s="4" t="str">
        <f>IFERROR(__xludf.DUMMYFUNCTION("""COMPUTED_VALUE"""),"1. Microwave")</f>
        <v>1. Microwave</v>
      </c>
      <c r="B7530" s="4" t="str">
        <f>IFERROR(__xludf.DUMMYFUNCTION("""COMPUTED_VALUE"""),"1")</f>
        <v>1</v>
      </c>
      <c r="C7530" s="5" t="str">
        <f>IFERROR(__xludf.DUMMYFUNCTION("""COMPUTED_VALUE"""),"https://drive.google.com/file/d/1ckENmmJDZb5Nc7i6F5XGlDWliXnh9XUc/view?usp=drivesdk")</f>
        <v>https://drive.google.com/file/d/1ckENmmJDZb5Nc7i6F5XGlDWliXnh9XUc/view?usp=drivesdk</v>
      </c>
      <c r="D7530" s="12"/>
      <c r="E7530" s="11">
        <v>7578.0</v>
      </c>
      <c r="F7530" s="2"/>
    </row>
    <row r="7531" ht="1.5" customHeight="1">
      <c r="A7531" s="4" t="str">
        <f>IFERROR(__xludf.DUMMYFUNCTION("""COMPUTED_VALUE"""),"1. Microwave")</f>
        <v>1. Microwave</v>
      </c>
      <c r="B7531" s="4" t="str">
        <f>IFERROR(__xludf.DUMMYFUNCTION("""COMPUTED_VALUE"""),"1")</f>
        <v>1</v>
      </c>
      <c r="C7531" s="5" t="str">
        <f>IFERROR(__xludf.DUMMYFUNCTION("""COMPUTED_VALUE"""),"https://drive.google.com/file/d/1_NC0PDCvjGG3zuJwF5kZt3YRHSFwr6j2/view?usp=drivesdk")</f>
        <v>https://drive.google.com/file/d/1_NC0PDCvjGG3zuJwF5kZt3YRHSFwr6j2/view?usp=drivesdk</v>
      </c>
      <c r="D7531" s="12"/>
      <c r="E7531" s="11">
        <v>7579.0</v>
      </c>
      <c r="F7531" s="2"/>
    </row>
    <row r="7532" ht="1.5" customHeight="1">
      <c r="A7532" s="4" t="str">
        <f>IFERROR(__xludf.DUMMYFUNCTION("""COMPUTED_VALUE"""),"1. Microwave")</f>
        <v>1. Microwave</v>
      </c>
      <c r="B7532" s="4" t="str">
        <f>IFERROR(__xludf.DUMMYFUNCTION("""COMPUTED_VALUE"""),"1")</f>
        <v>1</v>
      </c>
      <c r="C7532" s="5" t="str">
        <f>IFERROR(__xludf.DUMMYFUNCTION("""COMPUTED_VALUE"""),"https://drive.google.com/file/d/11rb4JKxZ34Fu-62n-73bbymr7qzzvIp5/view?usp=drivesdk")</f>
        <v>https://drive.google.com/file/d/11rb4JKxZ34Fu-62n-73bbymr7qzzvIp5/view?usp=drivesdk</v>
      </c>
      <c r="D7532" s="12"/>
      <c r="E7532" s="11">
        <v>7580.0</v>
      </c>
      <c r="F7532" s="2"/>
    </row>
    <row r="7533" ht="1.5" customHeight="1">
      <c r="A7533" s="4" t="str">
        <f>IFERROR(__xludf.DUMMYFUNCTION("""COMPUTED_VALUE"""),"2. Twix")</f>
        <v>2. Twix</v>
      </c>
      <c r="B7533" s="4" t="str">
        <f>IFERROR(__xludf.DUMMYFUNCTION("""COMPUTED_VALUE"""),"2")</f>
        <v>2</v>
      </c>
      <c r="C7533" s="5" t="str">
        <f>IFERROR(__xludf.DUMMYFUNCTION("""COMPUTED_VALUE"""),"https://drive.google.com/file/d/1bLzvxOL7Dz7zYHIFivqHt9R3016OW1-J/view?usp=drivesdk")</f>
        <v>https://drive.google.com/file/d/1bLzvxOL7Dz7zYHIFivqHt9R3016OW1-J/view?usp=drivesdk</v>
      </c>
      <c r="D7533" s="12"/>
      <c r="E7533" s="11">
        <v>7581.0</v>
      </c>
      <c r="F7533" s="2"/>
    </row>
    <row r="7534" ht="1.5" customHeight="1">
      <c r="A7534" s="4" t="str">
        <f>IFERROR(__xludf.DUMMYFUNCTION("""COMPUTED_VALUE"""),"2. Twix")</f>
        <v>2. Twix</v>
      </c>
      <c r="B7534" s="4" t="str">
        <f>IFERROR(__xludf.DUMMYFUNCTION("""COMPUTED_VALUE"""),"2")</f>
        <v>2</v>
      </c>
      <c r="C7534" s="5" t="str">
        <f>IFERROR(__xludf.DUMMYFUNCTION("""COMPUTED_VALUE"""),"https://drive.google.com/file/d/1rIaixN2Ydux_MGqs01YfzeNQ6o2S8IdS/view?usp=drivesdk")</f>
        <v>https://drive.google.com/file/d/1rIaixN2Ydux_MGqs01YfzeNQ6o2S8IdS/view?usp=drivesdk</v>
      </c>
      <c r="D7534" s="12"/>
      <c r="E7534" s="11">
        <v>7582.0</v>
      </c>
      <c r="F7534" s="2"/>
    </row>
    <row r="7535" ht="1.5" customHeight="1">
      <c r="A7535" s="4" t="str">
        <f>IFERROR(__xludf.DUMMYFUNCTION("""COMPUTED_VALUE"""),"2. Twix")</f>
        <v>2. Twix</v>
      </c>
      <c r="B7535" s="4" t="str">
        <f>IFERROR(__xludf.DUMMYFUNCTION("""COMPUTED_VALUE"""),"2")</f>
        <v>2</v>
      </c>
      <c r="C7535" s="5" t="str">
        <f>IFERROR(__xludf.DUMMYFUNCTION("""COMPUTED_VALUE"""),"https://drive.google.com/file/d/1SJWh7YkNhyN99jxyy_9Hwoq7E7HF9eFm/view?usp=drivesdk")</f>
        <v>https://drive.google.com/file/d/1SJWh7YkNhyN99jxyy_9Hwoq7E7HF9eFm/view?usp=drivesdk</v>
      </c>
      <c r="D7535" s="12"/>
      <c r="E7535" s="11">
        <v>7583.0</v>
      </c>
      <c r="F7535" s="2"/>
    </row>
    <row r="7536" ht="1.5" customHeight="1">
      <c r="A7536" s="4" t="str">
        <f>IFERROR(__xludf.DUMMYFUNCTION("""COMPUTED_VALUE"""),"1. Microwave")</f>
        <v>1. Microwave</v>
      </c>
      <c r="B7536" s="4" t="str">
        <f>IFERROR(__xludf.DUMMYFUNCTION("""COMPUTED_VALUE"""),"1")</f>
        <v>1</v>
      </c>
      <c r="C7536" s="5" t="str">
        <f>IFERROR(__xludf.DUMMYFUNCTION("""COMPUTED_VALUE"""),"https://drive.google.com/file/d/1P6GFfh2-jZTXx7jycRVNPNs9E4ihumeK/view?usp=drivesdk")</f>
        <v>https://drive.google.com/file/d/1P6GFfh2-jZTXx7jycRVNPNs9E4ihumeK/view?usp=drivesdk</v>
      </c>
      <c r="D7536" s="12"/>
      <c r="E7536" s="11">
        <v>7584.0</v>
      </c>
      <c r="F7536" s="2"/>
    </row>
    <row r="7537" ht="1.5" customHeight="1">
      <c r="A7537" s="4" t="str">
        <f>IFERROR(__xludf.DUMMYFUNCTION("""COMPUTED_VALUE"""),"1. Microwave")</f>
        <v>1. Microwave</v>
      </c>
      <c r="B7537" s="4" t="str">
        <f>IFERROR(__xludf.DUMMYFUNCTION("""COMPUTED_VALUE"""),"1")</f>
        <v>1</v>
      </c>
      <c r="C7537" s="5" t="str">
        <f>IFERROR(__xludf.DUMMYFUNCTION("""COMPUTED_VALUE"""),"https://drive.google.com/file/d/1YOsCyODy1Qbucss498NgdXy3ludphXsY/view?usp=drivesdk")</f>
        <v>https://drive.google.com/file/d/1YOsCyODy1Qbucss498NgdXy3ludphXsY/view?usp=drivesdk</v>
      </c>
      <c r="D7537" s="12"/>
      <c r="E7537" s="11">
        <v>7585.0</v>
      </c>
      <c r="F7537" s="2"/>
    </row>
    <row r="7538" ht="1.5" customHeight="1">
      <c r="A7538" s="4" t="str">
        <f>IFERROR(__xludf.DUMMYFUNCTION("""COMPUTED_VALUE"""),"4. Eggs, 5. Eraser")</f>
        <v>4. Eggs, 5. Eraser</v>
      </c>
      <c r="B7538" s="4" t="str">
        <f>IFERROR(__xludf.DUMMYFUNCTION("""COMPUTED_VALUE"""),"4, 5")</f>
        <v>4, 5</v>
      </c>
      <c r="C7538" s="5" t="str">
        <f>IFERROR(__xludf.DUMMYFUNCTION("""COMPUTED_VALUE"""),"https://drive.google.com/file/d/1PI7g_c7nWXpbnOnUn9vJPBHyfyMd0M5P/view?usp=drivesdk")</f>
        <v>https://drive.google.com/file/d/1PI7g_c7nWXpbnOnUn9vJPBHyfyMd0M5P/view?usp=drivesdk</v>
      </c>
      <c r="D7538" s="12"/>
      <c r="E7538" s="11">
        <v>7586.0</v>
      </c>
      <c r="F7538" s="2"/>
    </row>
    <row r="7539" ht="1.5" customHeight="1">
      <c r="A7539" s="4" t="str">
        <f>IFERROR(__xludf.DUMMYFUNCTION("""COMPUTED_VALUE"""),"2. Twix")</f>
        <v>2. Twix</v>
      </c>
      <c r="B7539" s="4" t="str">
        <f>IFERROR(__xludf.DUMMYFUNCTION("""COMPUTED_VALUE"""),"2")</f>
        <v>2</v>
      </c>
      <c r="C7539" s="5" t="str">
        <f>IFERROR(__xludf.DUMMYFUNCTION("""COMPUTED_VALUE"""),"https://drive.google.com/file/d/1BQYAYeWH6ymV1A4TNBLDbTnp_33ZUYuk/view?usp=drivesdk")</f>
        <v>https://drive.google.com/file/d/1BQYAYeWH6ymV1A4TNBLDbTnp_33ZUYuk/view?usp=drivesdk</v>
      </c>
      <c r="D7539" s="12"/>
      <c r="E7539" s="11">
        <v>7587.0</v>
      </c>
      <c r="F7539" s="2"/>
    </row>
    <row r="7540" ht="1.5" customHeight="1">
      <c r="A7540" s="4" t="str">
        <f>IFERROR(__xludf.DUMMYFUNCTION("""COMPUTED_VALUE"""),"138. Hare, 137. Harpy, 95. Ariel, 41. Gregory")</f>
        <v>138. Hare, 137. Harpy, 95. Ariel, 41. Gregory</v>
      </c>
      <c r="B7540" s="4" t="str">
        <f>IFERROR(__xludf.DUMMYFUNCTION("""COMPUTED_VALUE"""),"138, 137, 95, 41")</f>
        <v>138, 137, 95, 41</v>
      </c>
      <c r="C7540" s="5" t="str">
        <f>IFERROR(__xludf.DUMMYFUNCTION("""COMPUTED_VALUE"""),"https://drive.google.com/file/d/1v1ytZs30zd-vUGGNcbL4soWJ9OEZApv3/view?usp=drivesdk")</f>
        <v>https://drive.google.com/file/d/1v1ytZs30zd-vUGGNcbL4soWJ9OEZApv3/view?usp=drivesdk</v>
      </c>
      <c r="D7540" s="12"/>
      <c r="E7540" s="11">
        <v>7588.0</v>
      </c>
      <c r="F7540" s="2"/>
    </row>
    <row r="7541" ht="1.5" customHeight="1">
      <c r="A7541" s="4" t="str">
        <f>IFERROR(__xludf.DUMMYFUNCTION("""COMPUTED_VALUE"""),"137. Harpy")</f>
        <v>137. Harpy</v>
      </c>
      <c r="B7541" s="4" t="str">
        <f>IFERROR(__xludf.DUMMYFUNCTION("""COMPUTED_VALUE"""),"137")</f>
        <v>137</v>
      </c>
      <c r="C7541" s="5" t="str">
        <f>IFERROR(__xludf.DUMMYFUNCTION("""COMPUTED_VALUE"""),"https://drive.google.com/file/d/1UcwhDXGKF1vNcwI_aHmN95AYrfggL3yY/view?usp=drivesdk")</f>
        <v>https://drive.google.com/file/d/1UcwhDXGKF1vNcwI_aHmN95AYrfggL3yY/view?usp=drivesdk</v>
      </c>
      <c r="D7541" s="12"/>
      <c r="E7541" s="11">
        <v>7589.0</v>
      </c>
      <c r="F7541" s="2"/>
    </row>
    <row r="7542" ht="1.5" customHeight="1">
      <c r="A7542" s="4" t="str">
        <f>IFERROR(__xludf.DUMMYFUNCTION("""COMPUTED_VALUE"""),"137. Harpy, 95. Ariel")</f>
        <v>137. Harpy, 95. Ariel</v>
      </c>
      <c r="B7542" s="4" t="str">
        <f>IFERROR(__xludf.DUMMYFUNCTION("""COMPUTED_VALUE"""),"137, 95")</f>
        <v>137, 95</v>
      </c>
      <c r="C7542" s="5" t="str">
        <f>IFERROR(__xludf.DUMMYFUNCTION("""COMPUTED_VALUE"""),"https://drive.google.com/file/d/1mxyfiE2lIHAsUZBotus8cfADb9Fu0fwg/view?usp=drivesdk")</f>
        <v>https://drive.google.com/file/d/1mxyfiE2lIHAsUZBotus8cfADb9Fu0fwg/view?usp=drivesdk</v>
      </c>
      <c r="D7542" s="12"/>
      <c r="E7542" s="11">
        <v>7590.0</v>
      </c>
      <c r="F7542" s="2"/>
    </row>
    <row r="7543" ht="1.5" customHeight="1">
      <c r="A7543" s="4" t="str">
        <f>IFERROR(__xludf.DUMMYFUNCTION("""COMPUTED_VALUE"""),"137. Harpy, 138. Hare, 95. Ariel")</f>
        <v>137. Harpy, 138. Hare, 95. Ariel</v>
      </c>
      <c r="B7543" s="4" t="str">
        <f>IFERROR(__xludf.DUMMYFUNCTION("""COMPUTED_VALUE"""),"137, 138, 95")</f>
        <v>137, 138, 95</v>
      </c>
      <c r="C7543" s="5" t="str">
        <f>IFERROR(__xludf.DUMMYFUNCTION("""COMPUTED_VALUE"""),"https://drive.google.com/file/d/1xsQXVQhQKu9EZWoFSfllQ8pkQ3gbe_Kk/view?usp=drivesdk")</f>
        <v>https://drive.google.com/file/d/1xsQXVQhQKu9EZWoFSfllQ8pkQ3gbe_Kk/view?usp=drivesdk</v>
      </c>
      <c r="D7543" s="12"/>
      <c r="E7543" s="11">
        <v>7591.0</v>
      </c>
      <c r="F7543" s="2"/>
    </row>
    <row r="7544" ht="1.5" customHeight="1">
      <c r="A7544" s="4" t="str">
        <f>IFERROR(__xludf.DUMMYFUNCTION("""COMPUTED_VALUE"""),"43. Bruno")</f>
        <v>43. Bruno</v>
      </c>
      <c r="B7544" s="4" t="str">
        <f>IFERROR(__xludf.DUMMYFUNCTION("""COMPUTED_VALUE"""),"43")</f>
        <v>43</v>
      </c>
      <c r="C7544" s="5" t="str">
        <f>IFERROR(__xludf.DUMMYFUNCTION("""COMPUTED_VALUE"""),"https://drive.google.com/file/d/1KcshJ7ELElYlaRibHU5l_8xC0t2EaV9k/view?usp=drivesdk")</f>
        <v>https://drive.google.com/file/d/1KcshJ7ELElYlaRibHU5l_8xC0t2EaV9k/view?usp=drivesdk</v>
      </c>
      <c r="D7544" s="12"/>
      <c r="E7544" s="11">
        <v>7592.0</v>
      </c>
      <c r="F7544" s="2"/>
    </row>
    <row r="7545" ht="1.5" customHeight="1">
      <c r="A7545" s="4" t="str">
        <f>IFERROR(__xludf.DUMMYFUNCTION("""COMPUTED_VALUE"""),"84. Maddox")</f>
        <v>84. Maddox</v>
      </c>
      <c r="B7545" s="4" t="str">
        <f>IFERROR(__xludf.DUMMYFUNCTION("""COMPUTED_VALUE"""),"84")</f>
        <v>84</v>
      </c>
      <c r="C7545" s="5" t="str">
        <f>IFERROR(__xludf.DUMMYFUNCTION("""COMPUTED_VALUE"""),"https://drive.google.com/file/d/1Z5-dMyivlX7kfj4Yr6woH-i0BaYBXZ7k/view?usp=drivesdk")</f>
        <v>https://drive.google.com/file/d/1Z5-dMyivlX7kfj4Yr6woH-i0BaYBXZ7k/view?usp=drivesdk</v>
      </c>
      <c r="D7545" s="12"/>
      <c r="E7545" s="11">
        <v>7593.0</v>
      </c>
      <c r="F7545" s="2"/>
    </row>
    <row r="7546" ht="1.5" customHeight="1">
      <c r="A7546" s="4" t="str">
        <f>IFERROR(__xludf.DUMMYFUNCTION("""COMPUTED_VALUE"""),"140. Gordon")</f>
        <v>140. Gordon</v>
      </c>
      <c r="B7546" s="4" t="str">
        <f>IFERROR(__xludf.DUMMYFUNCTION("""COMPUTED_VALUE"""),"140")</f>
        <v>140</v>
      </c>
      <c r="C7546" s="5" t="str">
        <f>IFERROR(__xludf.DUMMYFUNCTION("""COMPUTED_VALUE"""),"https://drive.google.com/file/d/1AjMxXy_S92GudS0vgCZVbxTFNNdguEMz/view?usp=drivesdk")</f>
        <v>https://drive.google.com/file/d/1AjMxXy_S92GudS0vgCZVbxTFNNdguEMz/view?usp=drivesdk</v>
      </c>
      <c r="D7546" s="12"/>
      <c r="E7546" s="11">
        <v>7594.0</v>
      </c>
      <c r="F7546" s="2"/>
    </row>
    <row r="7547" ht="1.5" customHeight="1">
      <c r="A7547" s="4" t="str">
        <f>IFERROR(__xludf.DUMMYFUNCTION("""COMPUTED_VALUE"""),"142. Teddy")</f>
        <v>142. Teddy</v>
      </c>
      <c r="B7547" s="4" t="str">
        <f>IFERROR(__xludf.DUMMYFUNCTION("""COMPUTED_VALUE"""),"142")</f>
        <v>142</v>
      </c>
      <c r="C7547" s="5" t="str">
        <f>IFERROR(__xludf.DUMMYFUNCTION("""COMPUTED_VALUE"""),"https://drive.google.com/file/d/1R_XlAAFG0ujBDuW66qdkHXNlYwEYH8ez/view?usp=drivesdk")</f>
        <v>https://drive.google.com/file/d/1R_XlAAFG0ujBDuW66qdkHXNlYwEYH8ez/view?usp=drivesdk</v>
      </c>
      <c r="D7547" s="12"/>
      <c r="E7547" s="11">
        <v>7595.0</v>
      </c>
      <c r="F7547" s="2"/>
    </row>
    <row r="7548" ht="1.5" customHeight="1">
      <c r="A7548" s="4" t="str">
        <f>IFERROR(__xludf.DUMMYFUNCTION("""COMPUTED_VALUE"""),"44. Shitbag Cuntface")</f>
        <v>44. Shitbag Cuntface</v>
      </c>
      <c r="B7548" s="4" t="str">
        <f>IFERROR(__xludf.DUMMYFUNCTION("""COMPUTED_VALUE"""),"44")</f>
        <v>44</v>
      </c>
      <c r="C7548" s="5" t="str">
        <f>IFERROR(__xludf.DUMMYFUNCTION("""COMPUTED_VALUE"""),"https://drive.google.com/file/d/11KKjPhuTapX6OkUBo5Ngz52ijclkkvLS/view?usp=drivesdk")</f>
        <v>https://drive.google.com/file/d/11KKjPhuTapX6OkUBo5Ngz52ijclkkvLS/view?usp=drivesdk</v>
      </c>
      <c r="D7548" s="12"/>
      <c r="E7548" s="11">
        <v>7596.0</v>
      </c>
      <c r="F7548" s="2"/>
    </row>
    <row r="7549" ht="1.5" customHeight="1">
      <c r="A7549" s="4" t="str">
        <f>IFERROR(__xludf.DUMMYFUNCTION("""COMPUTED_VALUE"""),"44. Shitbag Cuntface")</f>
        <v>44. Shitbag Cuntface</v>
      </c>
      <c r="B7549" s="4" t="str">
        <f>IFERROR(__xludf.DUMMYFUNCTION("""COMPUTED_VALUE"""),"44")</f>
        <v>44</v>
      </c>
      <c r="C7549" s="5" t="str">
        <f>IFERROR(__xludf.DUMMYFUNCTION("""COMPUTED_VALUE"""),"https://drive.google.com/file/d/1WUUIoogaad276y2kZTazpHq-K37Ohusd/view?usp=drivesdk")</f>
        <v>https://drive.google.com/file/d/1WUUIoogaad276y2kZTazpHq-K37Ohusd/view?usp=drivesdk</v>
      </c>
      <c r="D7549" s="12"/>
      <c r="E7549" s="11">
        <v>7597.0</v>
      </c>
      <c r="F7549" s="2"/>
    </row>
    <row r="7550" ht="1.5" customHeight="1">
      <c r="A7550" s="4" t="str">
        <f>IFERROR(__xludf.DUMMYFUNCTION("""COMPUTED_VALUE"""),"44. Shitbag Cuntface")</f>
        <v>44. Shitbag Cuntface</v>
      </c>
      <c r="B7550" s="4" t="str">
        <f>IFERROR(__xludf.DUMMYFUNCTION("""COMPUTED_VALUE"""),"44")</f>
        <v>44</v>
      </c>
      <c r="C7550" s="5" t="str">
        <f>IFERROR(__xludf.DUMMYFUNCTION("""COMPUTED_VALUE"""),"https://drive.google.com/file/d/1quwMsuW2otqg9i5mJCdZ4jm8yoba3Baj/view?usp=drivesdk")</f>
        <v>https://drive.google.com/file/d/1quwMsuW2otqg9i5mJCdZ4jm8yoba3Baj/view?usp=drivesdk</v>
      </c>
      <c r="D7550" s="12"/>
      <c r="E7550" s="11">
        <v>7598.0</v>
      </c>
      <c r="F7550" s="2"/>
    </row>
    <row r="7551" ht="1.5" customHeight="1">
      <c r="A7551" s="4" t="str">
        <f>IFERROR(__xludf.DUMMYFUNCTION("""COMPUTED_VALUE"""),"44. Shitbag Cuntface")</f>
        <v>44. Shitbag Cuntface</v>
      </c>
      <c r="B7551" s="4" t="str">
        <f>IFERROR(__xludf.DUMMYFUNCTION("""COMPUTED_VALUE"""),"44")</f>
        <v>44</v>
      </c>
      <c r="C7551" s="5" t="str">
        <f>IFERROR(__xludf.DUMMYFUNCTION("""COMPUTED_VALUE"""),"https://drive.google.com/file/d/1pqTACPpE2PxbJFw4E4_dr2s2uGj0tT41/view?usp=drivesdk")</f>
        <v>https://drive.google.com/file/d/1pqTACPpE2PxbJFw4E4_dr2s2uGj0tT41/view?usp=drivesdk</v>
      </c>
      <c r="D7551" s="12"/>
      <c r="E7551" s="11">
        <v>7599.0</v>
      </c>
      <c r="F7551" s="2"/>
    </row>
    <row r="7552" ht="1.5" customHeight="1">
      <c r="A7552" s="4" t="str">
        <f>IFERROR(__xludf.DUMMYFUNCTION("""COMPUTED_VALUE"""),"44. Shitbag Cuntface")</f>
        <v>44. Shitbag Cuntface</v>
      </c>
      <c r="B7552" s="4" t="str">
        <f>IFERROR(__xludf.DUMMYFUNCTION("""COMPUTED_VALUE"""),"44")</f>
        <v>44</v>
      </c>
      <c r="C7552" s="5" t="str">
        <f>IFERROR(__xludf.DUMMYFUNCTION("""COMPUTED_VALUE"""),"https://drive.google.com/file/d/14mfR6iYoUEMk5i9AADqhdzs3tQVml-jc/view?usp=drivesdk")</f>
        <v>https://drive.google.com/file/d/14mfR6iYoUEMk5i9AADqhdzs3tQVml-jc/view?usp=drivesdk</v>
      </c>
      <c r="D7552" s="12"/>
      <c r="E7552" s="11">
        <v>7600.0</v>
      </c>
      <c r="F7552" s="2"/>
    </row>
    <row r="7553" ht="1.5" customHeight="1">
      <c r="A7553" s="4" t="str">
        <f>IFERROR(__xludf.DUMMYFUNCTION("""COMPUTED_VALUE"""),"44. Shitbag Cuntface")</f>
        <v>44. Shitbag Cuntface</v>
      </c>
      <c r="B7553" s="4" t="str">
        <f>IFERROR(__xludf.DUMMYFUNCTION("""COMPUTED_VALUE"""),"44")</f>
        <v>44</v>
      </c>
      <c r="C7553" s="5" t="str">
        <f>IFERROR(__xludf.DUMMYFUNCTION("""COMPUTED_VALUE"""),"https://drive.google.com/file/d/1QUdxEhSyelIiEM2pxsfIGNWl9vI4ZYQc/view?usp=drivesdk")</f>
        <v>https://drive.google.com/file/d/1QUdxEhSyelIiEM2pxsfIGNWl9vI4ZYQc/view?usp=drivesdk</v>
      </c>
      <c r="D7553" s="12"/>
      <c r="E7553" s="11">
        <v>7601.0</v>
      </c>
      <c r="F7553" s="2"/>
    </row>
    <row r="7554" ht="1.5" customHeight="1">
      <c r="A7554" s="4" t="str">
        <f>IFERROR(__xludf.DUMMYFUNCTION("""COMPUTED_VALUE"""),"95. Ariel")</f>
        <v>95. Ariel</v>
      </c>
      <c r="B7554" s="4" t="str">
        <f>IFERROR(__xludf.DUMMYFUNCTION("""COMPUTED_VALUE"""),"95")</f>
        <v>95</v>
      </c>
      <c r="C7554" s="5" t="str">
        <f>IFERROR(__xludf.DUMMYFUNCTION("""COMPUTED_VALUE"""),"https://drive.google.com/file/d/1_ZVCM1npiy4BgCjnrONe_1jaN_cXCngV/view?usp=drivesdk")</f>
        <v>https://drive.google.com/file/d/1_ZVCM1npiy4BgCjnrONe_1jaN_cXCngV/view?usp=drivesdk</v>
      </c>
      <c r="D7554" s="12"/>
      <c r="E7554" s="11">
        <v>7602.0</v>
      </c>
      <c r="F7554" s="2"/>
    </row>
    <row r="7555" ht="1.5" customHeight="1">
      <c r="A7555" s="4" t="str">
        <f>IFERROR(__xludf.DUMMYFUNCTION("""COMPUTED_VALUE"""),"95. Ariel")</f>
        <v>95. Ariel</v>
      </c>
      <c r="B7555" s="4" t="str">
        <f>IFERROR(__xludf.DUMMYFUNCTION("""COMPUTED_VALUE"""),"95")</f>
        <v>95</v>
      </c>
      <c r="C7555" s="5" t="str">
        <f>IFERROR(__xludf.DUMMYFUNCTION("""COMPUTED_VALUE"""),"https://drive.google.com/file/d/1FcnvjCY0bG_YWgXbEAMcupUliQ5eXx2w/view?usp=drivesdk")</f>
        <v>https://drive.google.com/file/d/1FcnvjCY0bG_YWgXbEAMcupUliQ5eXx2w/view?usp=drivesdk</v>
      </c>
      <c r="D7555" s="12"/>
      <c r="E7555" s="11">
        <v>7603.0</v>
      </c>
      <c r="F7555" s="2"/>
    </row>
    <row r="7556" ht="1.5" customHeight="1">
      <c r="A7556" s="4" t="str">
        <f>IFERROR(__xludf.DUMMYFUNCTION("""COMPUTED_VALUE"""),"95. Ariel")</f>
        <v>95. Ariel</v>
      </c>
      <c r="B7556" s="4" t="str">
        <f>IFERROR(__xludf.DUMMYFUNCTION("""COMPUTED_VALUE"""),"95")</f>
        <v>95</v>
      </c>
      <c r="C7556" s="5" t="str">
        <f>IFERROR(__xludf.DUMMYFUNCTION("""COMPUTED_VALUE"""),"https://drive.google.com/file/d/1Fvpz-0FLkwK9B4Mat5wQTpm1yb28QiWt/view?usp=drivesdk")</f>
        <v>https://drive.google.com/file/d/1Fvpz-0FLkwK9B4Mat5wQTpm1yb28QiWt/view?usp=drivesdk</v>
      </c>
      <c r="D7556" s="12"/>
      <c r="E7556" s="11">
        <v>7604.0</v>
      </c>
      <c r="F7556" s="2"/>
    </row>
    <row r="7557" ht="1.5" customHeight="1">
      <c r="A7557" s="4" t="str">
        <f>IFERROR(__xludf.DUMMYFUNCTION("""COMPUTED_VALUE"""),"95. Ariel")</f>
        <v>95. Ariel</v>
      </c>
      <c r="B7557" s="4" t="str">
        <f>IFERROR(__xludf.DUMMYFUNCTION("""COMPUTED_VALUE"""),"95")</f>
        <v>95</v>
      </c>
      <c r="C7557" s="5" t="str">
        <f>IFERROR(__xludf.DUMMYFUNCTION("""COMPUTED_VALUE"""),"https://drive.google.com/file/d/1g0EM_r9YTUcQtZ52B43mmDadEtBAZK_k/view?usp=drivesdk")</f>
        <v>https://drive.google.com/file/d/1g0EM_r9YTUcQtZ52B43mmDadEtBAZK_k/view?usp=drivesdk</v>
      </c>
      <c r="D7557" s="12"/>
      <c r="E7557" s="11">
        <v>7605.0</v>
      </c>
      <c r="F7557" s="2"/>
    </row>
    <row r="7558" ht="1.5" customHeight="1">
      <c r="A7558" s="4" t="str">
        <f>IFERROR(__xludf.DUMMYFUNCTION("""COMPUTED_VALUE"""),"99. Nezhui")</f>
        <v>99. Nezhui</v>
      </c>
      <c r="B7558" s="4" t="str">
        <f>IFERROR(__xludf.DUMMYFUNCTION("""COMPUTED_VALUE"""),"99")</f>
        <v>99</v>
      </c>
      <c r="C7558" s="5" t="str">
        <f>IFERROR(__xludf.DUMMYFUNCTION("""COMPUTED_VALUE"""),"https://drive.google.com/file/d/1DS_yS85MFAE5tY3UdxLTk5k7-6H7qxhU/view?usp=drivesdk")</f>
        <v>https://drive.google.com/file/d/1DS_yS85MFAE5tY3UdxLTk5k7-6H7qxhU/view?usp=drivesdk</v>
      </c>
      <c r="D7558" s="12"/>
      <c r="E7558" s="11">
        <v>7606.0</v>
      </c>
      <c r="F7558" s="2"/>
    </row>
    <row r="7559" ht="1.5" customHeight="1">
      <c r="A7559" s="4" t="str">
        <f>IFERROR(__xludf.DUMMYFUNCTION("""COMPUTED_VALUE"""),"108. Mazatl")</f>
        <v>108. Mazatl</v>
      </c>
      <c r="B7559" s="4" t="str">
        <f>IFERROR(__xludf.DUMMYFUNCTION("""COMPUTED_VALUE"""),"108")</f>
        <v>108</v>
      </c>
      <c r="C7559" s="5" t="str">
        <f>IFERROR(__xludf.DUMMYFUNCTION("""COMPUTED_VALUE"""),"https://drive.google.com/file/d/1fH2ToJvaHF86MYRmvrLv46Qt-p8EOTZ1/view?usp=drivesdk")</f>
        <v>https://drive.google.com/file/d/1fH2ToJvaHF86MYRmvrLv46Qt-p8EOTZ1/view?usp=drivesdk</v>
      </c>
      <c r="D7559" s="12"/>
      <c r="E7559" s="11">
        <v>7607.0</v>
      </c>
      <c r="F7559" s="2"/>
    </row>
    <row r="7560" ht="1.5" customHeight="1">
      <c r="A7560" s="4" t="str">
        <f>IFERROR(__xludf.DUMMYFUNCTION("""COMPUTED_VALUE"""),"110. Ahua")</f>
        <v>110. Ahua</v>
      </c>
      <c r="B7560" s="4" t="str">
        <f>IFERROR(__xludf.DUMMYFUNCTION("""COMPUTED_VALUE"""),"110")</f>
        <v>110</v>
      </c>
      <c r="C7560" s="5" t="str">
        <f>IFERROR(__xludf.DUMMYFUNCTION("""COMPUTED_VALUE"""),"https://drive.google.com/file/d/1MgOFgFrmsr6Xj176GYdDL_t_MbvpoJqY/view?usp=drivesdk")</f>
        <v>https://drive.google.com/file/d/1MgOFgFrmsr6Xj176GYdDL_t_MbvpoJqY/view?usp=drivesdk</v>
      </c>
      <c r="D7560" s="12"/>
      <c r="E7560" s="11">
        <v>7608.0</v>
      </c>
      <c r="F7560" s="2"/>
    </row>
    <row r="7561" ht="1.5" customHeight="1">
      <c r="A7561" s="4" t="str">
        <f>IFERROR(__xludf.DUMMYFUNCTION("""COMPUTED_VALUE"""),"108. Mazatl")</f>
        <v>108. Mazatl</v>
      </c>
      <c r="B7561" s="4" t="str">
        <f>IFERROR(__xludf.DUMMYFUNCTION("""COMPUTED_VALUE"""),"108")</f>
        <v>108</v>
      </c>
      <c r="C7561" s="5" t="str">
        <f>IFERROR(__xludf.DUMMYFUNCTION("""COMPUTED_VALUE"""),"https://drive.google.com/file/d/1qRNFWjOlLdgECbCtXQk_ttS7r78bjKXy/view?usp=drivesdk")</f>
        <v>https://drive.google.com/file/d/1qRNFWjOlLdgECbCtXQk_ttS7r78bjKXy/view?usp=drivesdk</v>
      </c>
      <c r="D7561" s="12"/>
      <c r="E7561" s="11">
        <v>7609.0</v>
      </c>
      <c r="F7561" s="2"/>
    </row>
    <row r="7562" ht="1.5" customHeight="1">
      <c r="A7562" s="4" t="str">
        <f>IFERROR(__xludf.DUMMYFUNCTION("""COMPUTED_VALUE"""),"110. Ahua, 99. Nezhui, 108. Mazatl, 105. Chilton")</f>
        <v>110. Ahua, 99. Nezhui, 108. Mazatl, 105. Chilton</v>
      </c>
      <c r="B7562" s="4" t="str">
        <f>IFERROR(__xludf.DUMMYFUNCTION("""COMPUTED_VALUE"""),"110, 99, 108, 105")</f>
        <v>110, 99, 108, 105</v>
      </c>
      <c r="C7562" s="5" t="str">
        <f>IFERROR(__xludf.DUMMYFUNCTION("""COMPUTED_VALUE"""),"https://drive.google.com/file/d/1YM58_sfKfUkqi79o6_ThZP0EozaP_DBZ/view?usp=drivesdk")</f>
        <v>https://drive.google.com/file/d/1YM58_sfKfUkqi79o6_ThZP0EozaP_DBZ/view?usp=drivesdk</v>
      </c>
      <c r="D7562" s="12"/>
      <c r="E7562" s="11">
        <v>7610.0</v>
      </c>
      <c r="F7562" s="2"/>
    </row>
    <row r="7563" ht="1.5" customHeight="1">
      <c r="A7563" s="4" t="str">
        <f>IFERROR(__xludf.DUMMYFUNCTION("""COMPUTED_VALUE"""),"105. Chilton")</f>
        <v>105. Chilton</v>
      </c>
      <c r="B7563" s="4" t="str">
        <f>IFERROR(__xludf.DUMMYFUNCTION("""COMPUTED_VALUE"""),"105")</f>
        <v>105</v>
      </c>
      <c r="C7563" s="5" t="str">
        <f>IFERROR(__xludf.DUMMYFUNCTION("""COMPUTED_VALUE"""),"https://drive.google.com/file/d/1vTKuufFF_m7uucq9YmDx2MmuSnobTDXt/view?usp=drivesdk")</f>
        <v>https://drive.google.com/file/d/1vTKuufFF_m7uucq9YmDx2MmuSnobTDXt/view?usp=drivesdk</v>
      </c>
      <c r="D7563" s="12"/>
      <c r="E7563" s="11">
        <v>7611.0</v>
      </c>
      <c r="F7563" s="2"/>
    </row>
    <row r="7564" ht="1.5" customHeight="1">
      <c r="A7564" s="4" t="str">
        <f>IFERROR(__xludf.DUMMYFUNCTION("""COMPUTED_VALUE"""),"108. Mazatl")</f>
        <v>108. Mazatl</v>
      </c>
      <c r="B7564" s="4" t="str">
        <f>IFERROR(__xludf.DUMMYFUNCTION("""COMPUTED_VALUE"""),"108")</f>
        <v>108</v>
      </c>
      <c r="C7564" s="5" t="str">
        <f>IFERROR(__xludf.DUMMYFUNCTION("""COMPUTED_VALUE"""),"https://drive.google.com/file/d/14X-ZL8JsGiyVUzMHxJsl2v3iuHYuNays/view?usp=drivesdk")</f>
        <v>https://drive.google.com/file/d/14X-ZL8JsGiyVUzMHxJsl2v3iuHYuNays/view?usp=drivesdk</v>
      </c>
      <c r="D7564" s="12"/>
      <c r="E7564" s="11">
        <v>7612.0</v>
      </c>
      <c r="F7564" s="2"/>
    </row>
    <row r="7565" ht="1.5" customHeight="1">
      <c r="A7565" s="4" t="str">
        <f>IFERROR(__xludf.DUMMYFUNCTION("""COMPUTED_VALUE"""),"1. Microwave")</f>
        <v>1. Microwave</v>
      </c>
      <c r="B7565" s="4" t="str">
        <f>IFERROR(__xludf.DUMMYFUNCTION("""COMPUTED_VALUE"""),"1")</f>
        <v>1</v>
      </c>
      <c r="C7565" s="5" t="str">
        <f>IFERROR(__xludf.DUMMYFUNCTION("""COMPUTED_VALUE"""),"https://drive.google.com/file/d/133kPmmrSYm0kPqeaiTcWnr3fMxTnbncb/view?usp=drivesdk")</f>
        <v>https://drive.google.com/file/d/133kPmmrSYm0kPqeaiTcWnr3fMxTnbncb/view?usp=drivesdk</v>
      </c>
      <c r="D7565" s="12"/>
      <c r="E7565" s="11">
        <v>7613.0</v>
      </c>
      <c r="F7565" s="2"/>
    </row>
    <row r="7566" ht="1.5" customHeight="1">
      <c r="A7566" s="4" t="str">
        <f>IFERROR(__xludf.DUMMYFUNCTION("""COMPUTED_VALUE"""),"1. Microwave")</f>
        <v>1. Microwave</v>
      </c>
      <c r="B7566" s="4" t="str">
        <f>IFERROR(__xludf.DUMMYFUNCTION("""COMPUTED_VALUE"""),"1")</f>
        <v>1</v>
      </c>
      <c r="C7566" s="5" t="str">
        <f>IFERROR(__xludf.DUMMYFUNCTION("""COMPUTED_VALUE"""),"https://drive.google.com/file/d/1sWgSN-WPrrK8FONv8VBKpNWlHD28mFlQ/view?usp=drivesdk")</f>
        <v>https://drive.google.com/file/d/1sWgSN-WPrrK8FONv8VBKpNWlHD28mFlQ/view?usp=drivesdk</v>
      </c>
      <c r="D7566" s="12"/>
      <c r="E7566" s="11">
        <v>7614.0</v>
      </c>
      <c r="F7566" s="2"/>
    </row>
    <row r="7567" ht="1.5" customHeight="1">
      <c r="A7567" s="4" t="str">
        <f>IFERROR(__xludf.DUMMYFUNCTION("""COMPUTED_VALUE"""),"1. Microwave")</f>
        <v>1. Microwave</v>
      </c>
      <c r="B7567" s="4" t="str">
        <f>IFERROR(__xludf.DUMMYFUNCTION("""COMPUTED_VALUE"""),"1")</f>
        <v>1</v>
      </c>
      <c r="C7567" s="5" t="str">
        <f>IFERROR(__xludf.DUMMYFUNCTION("""COMPUTED_VALUE"""),"https://drive.google.com/file/d/1dKnrgR7A39tPc-1woipv3UPqA_wtIdKp/view?usp=drivesdk")</f>
        <v>https://drive.google.com/file/d/1dKnrgR7A39tPc-1woipv3UPqA_wtIdKp/view?usp=drivesdk</v>
      </c>
      <c r="D7567" s="12"/>
      <c r="E7567" s="11">
        <v>7615.0</v>
      </c>
      <c r="F7567" s="2"/>
    </row>
    <row r="7568" ht="1.5" customHeight="1">
      <c r="A7568" s="4" t="str">
        <f>IFERROR(__xludf.DUMMYFUNCTION("""COMPUTED_VALUE"""),"1. Microwave")</f>
        <v>1. Microwave</v>
      </c>
      <c r="B7568" s="4" t="str">
        <f>IFERROR(__xludf.DUMMYFUNCTION("""COMPUTED_VALUE"""),"1")</f>
        <v>1</v>
      </c>
      <c r="C7568" s="5" t="str">
        <f>IFERROR(__xludf.DUMMYFUNCTION("""COMPUTED_VALUE"""),"https://drive.google.com/file/d/1pTUgIozrJsfB-OdYVaVy-SKZfsfwGw1A/view?usp=drivesdk")</f>
        <v>https://drive.google.com/file/d/1pTUgIozrJsfB-OdYVaVy-SKZfsfwGw1A/view?usp=drivesdk</v>
      </c>
      <c r="D7568" s="12"/>
      <c r="E7568" s="11">
        <v>7616.0</v>
      </c>
      <c r="F7568" s="2"/>
    </row>
    <row r="7569" ht="1.5" customHeight="1">
      <c r="A7569" s="4" t="str">
        <f>IFERROR(__xludf.DUMMYFUNCTION("""COMPUTED_VALUE"""),"2. Twix")</f>
        <v>2. Twix</v>
      </c>
      <c r="B7569" s="4" t="str">
        <f>IFERROR(__xludf.DUMMYFUNCTION("""COMPUTED_VALUE"""),"2")</f>
        <v>2</v>
      </c>
      <c r="C7569" s="5" t="str">
        <f>IFERROR(__xludf.DUMMYFUNCTION("""COMPUTED_VALUE"""),"https://drive.google.com/file/d/1nyAj8QgOt6KWZQmwraTI4MF-LnMTT2Fp/view?usp=drivesdk")</f>
        <v>https://drive.google.com/file/d/1nyAj8QgOt6KWZQmwraTI4MF-LnMTT2Fp/view?usp=drivesdk</v>
      </c>
      <c r="D7569" s="12"/>
      <c r="E7569" s="11">
        <v>7617.0</v>
      </c>
      <c r="F7569" s="2"/>
    </row>
    <row r="7570" ht="1.5" customHeight="1">
      <c r="A7570" s="4" t="str">
        <f>IFERROR(__xludf.DUMMYFUNCTION("""COMPUTED_VALUE"""),"5. Eraser")</f>
        <v>5. Eraser</v>
      </c>
      <c r="B7570" s="4" t="str">
        <f>IFERROR(__xludf.DUMMYFUNCTION("""COMPUTED_VALUE"""),"5")</f>
        <v>5</v>
      </c>
      <c r="C7570" s="5" t="str">
        <f>IFERROR(__xludf.DUMMYFUNCTION("""COMPUTED_VALUE"""),"https://drive.google.com/file/d/10yG1vGr9I7Y4ErMz8XYwHUhVmHPc47gq/view?usp=drivesdk")</f>
        <v>https://drive.google.com/file/d/10yG1vGr9I7Y4ErMz8XYwHUhVmHPc47gq/view?usp=drivesdk</v>
      </c>
      <c r="D7570" s="12"/>
      <c r="E7570" s="11">
        <v>7618.0</v>
      </c>
      <c r="F7570" s="2"/>
    </row>
    <row r="7571" ht="1.5" customHeight="1">
      <c r="A7571" s="4" t="str">
        <f>IFERROR(__xludf.DUMMYFUNCTION("""COMPUTED_VALUE"""),"1. Microwave")</f>
        <v>1. Microwave</v>
      </c>
      <c r="B7571" s="4" t="str">
        <f>IFERROR(__xludf.DUMMYFUNCTION("""COMPUTED_VALUE"""),"1")</f>
        <v>1</v>
      </c>
      <c r="C7571" s="5" t="str">
        <f>IFERROR(__xludf.DUMMYFUNCTION("""COMPUTED_VALUE"""),"https://drive.google.com/file/d/1t7_0RIem8PePXO03B8_F8DV6SVxKViP6/view?usp=drivesdk")</f>
        <v>https://drive.google.com/file/d/1t7_0RIem8PePXO03B8_F8DV6SVxKViP6/view?usp=drivesdk</v>
      </c>
      <c r="D7571" s="12"/>
      <c r="E7571" s="11">
        <v>7619.0</v>
      </c>
      <c r="F7571" s="2"/>
    </row>
    <row r="7572" ht="1.5" customHeight="1">
      <c r="A7572" s="4" t="str">
        <f>IFERROR(__xludf.DUMMYFUNCTION("""COMPUTED_VALUE"""),"2. Twix")</f>
        <v>2. Twix</v>
      </c>
      <c r="B7572" s="4" t="str">
        <f>IFERROR(__xludf.DUMMYFUNCTION("""COMPUTED_VALUE"""),"2")</f>
        <v>2</v>
      </c>
      <c r="C7572" s="5" t="str">
        <f>IFERROR(__xludf.DUMMYFUNCTION("""COMPUTED_VALUE"""),"https://drive.google.com/file/d/1TJCwBIEcgrzu_pDkBq4kGFbmOuD9QziA/view?usp=drivesdk")</f>
        <v>https://drive.google.com/file/d/1TJCwBIEcgrzu_pDkBq4kGFbmOuD9QziA/view?usp=drivesdk</v>
      </c>
      <c r="D7572" s="12"/>
      <c r="E7572" s="11">
        <v>7620.0</v>
      </c>
      <c r="F7572" s="2"/>
    </row>
    <row r="7573" ht="1.5" customHeight="1">
      <c r="A7573" s="4" t="str">
        <f>IFERROR(__xludf.DUMMYFUNCTION("""COMPUTED_VALUE"""),"1. Microwave")</f>
        <v>1. Microwave</v>
      </c>
      <c r="B7573" s="4" t="str">
        <f>IFERROR(__xludf.DUMMYFUNCTION("""COMPUTED_VALUE"""),"1")</f>
        <v>1</v>
      </c>
      <c r="C7573" s="5" t="str">
        <f>IFERROR(__xludf.DUMMYFUNCTION("""COMPUTED_VALUE"""),"https://drive.google.com/file/d/1MUzOZ2rQSAVyztefY3e0HLfuPkdcCyHJ/view?usp=drivesdk")</f>
        <v>https://drive.google.com/file/d/1MUzOZ2rQSAVyztefY3e0HLfuPkdcCyHJ/view?usp=drivesdk</v>
      </c>
      <c r="D7573" s="12"/>
      <c r="E7573" s="11">
        <v>7621.0</v>
      </c>
      <c r="F7573" s="2"/>
    </row>
    <row r="7574" ht="1.5" customHeight="1">
      <c r="A7574" s="4" t="str">
        <f>IFERROR(__xludf.DUMMYFUNCTION("""COMPUTED_VALUE"""),"1. Microwave")</f>
        <v>1. Microwave</v>
      </c>
      <c r="B7574" s="4" t="str">
        <f>IFERROR(__xludf.DUMMYFUNCTION("""COMPUTED_VALUE"""),"1")</f>
        <v>1</v>
      </c>
      <c r="C7574" s="5" t="str">
        <f>IFERROR(__xludf.DUMMYFUNCTION("""COMPUTED_VALUE"""),"https://drive.google.com/file/d/1CoPZGM9uZjfdBIMNOKSOhIT0T-DgSanZ/view?usp=drivesdk")</f>
        <v>https://drive.google.com/file/d/1CoPZGM9uZjfdBIMNOKSOhIT0T-DgSanZ/view?usp=drivesdk</v>
      </c>
      <c r="D7574" s="12"/>
      <c r="E7574" s="11">
        <v>7622.0</v>
      </c>
      <c r="F7574" s="2"/>
    </row>
    <row r="7575" ht="1.5" customHeight="1">
      <c r="A7575" s="4" t="str">
        <f>IFERROR(__xludf.DUMMYFUNCTION("""COMPUTED_VALUE"""),"1. Microwave")</f>
        <v>1. Microwave</v>
      </c>
      <c r="B7575" s="4" t="str">
        <f>IFERROR(__xludf.DUMMYFUNCTION("""COMPUTED_VALUE"""),"1")</f>
        <v>1</v>
      </c>
      <c r="C7575" s="5" t="str">
        <f>IFERROR(__xludf.DUMMYFUNCTION("""COMPUTED_VALUE"""),"https://drive.google.com/file/d/1SSok7hNHZwO_v-No7Ja8_Yht4sXHyd2H/view?usp=drivesdk")</f>
        <v>https://drive.google.com/file/d/1SSok7hNHZwO_v-No7Ja8_Yht4sXHyd2H/view?usp=drivesdk</v>
      </c>
      <c r="D7575" s="12"/>
      <c r="E7575" s="11">
        <v>7623.0</v>
      </c>
      <c r="F7575" s="2"/>
    </row>
    <row r="7576" ht="1.5" customHeight="1">
      <c r="A7576" s="4" t="str">
        <f>IFERROR(__xludf.DUMMYFUNCTION("""COMPUTED_VALUE"""),"1. Microwave")</f>
        <v>1. Microwave</v>
      </c>
      <c r="B7576" s="4" t="str">
        <f>IFERROR(__xludf.DUMMYFUNCTION("""COMPUTED_VALUE"""),"1")</f>
        <v>1</v>
      </c>
      <c r="C7576" s="5" t="str">
        <f>IFERROR(__xludf.DUMMYFUNCTION("""COMPUTED_VALUE"""),"https://drive.google.com/file/d/1NfLgkUpSH-1bCb3Ut8f4btRmpOII_5hF/view?usp=drivesdk")</f>
        <v>https://drive.google.com/file/d/1NfLgkUpSH-1bCb3Ut8f4btRmpOII_5hF/view?usp=drivesdk</v>
      </c>
      <c r="D7576" s="12"/>
      <c r="E7576" s="11">
        <v>7624.0</v>
      </c>
      <c r="F7576" s="2"/>
    </row>
    <row r="7577" ht="1.5" customHeight="1">
      <c r="A7577" s="4" t="str">
        <f>IFERROR(__xludf.DUMMYFUNCTION("""COMPUTED_VALUE"""),"1. Microwave")</f>
        <v>1. Microwave</v>
      </c>
      <c r="B7577" s="4" t="str">
        <f>IFERROR(__xludf.DUMMYFUNCTION("""COMPUTED_VALUE"""),"1")</f>
        <v>1</v>
      </c>
      <c r="C7577" s="5" t="str">
        <f>IFERROR(__xludf.DUMMYFUNCTION("""COMPUTED_VALUE"""),"https://drive.google.com/file/d/1vYQ93vSE6PeNpCGhI3i8GGt21gp7kvGs/view?usp=drivesdk")</f>
        <v>https://drive.google.com/file/d/1vYQ93vSE6PeNpCGhI3i8GGt21gp7kvGs/view?usp=drivesdk</v>
      </c>
      <c r="D7577" s="12"/>
      <c r="E7577" s="11">
        <v>7625.0</v>
      </c>
      <c r="F7577" s="2"/>
    </row>
    <row r="7578" ht="1.5" customHeight="1">
      <c r="A7578" s="4" t="str">
        <f>IFERROR(__xludf.DUMMYFUNCTION("""COMPUTED_VALUE"""),"1. Microwave")</f>
        <v>1. Microwave</v>
      </c>
      <c r="B7578" s="4" t="str">
        <f>IFERROR(__xludf.DUMMYFUNCTION("""COMPUTED_VALUE"""),"1")</f>
        <v>1</v>
      </c>
      <c r="C7578" s="5" t="str">
        <f>IFERROR(__xludf.DUMMYFUNCTION("""COMPUTED_VALUE"""),"https://drive.google.com/file/d/1sdBoCKC9g0_W_CsBKV6vAtpjl_ATv_tt/view?usp=drivesdk")</f>
        <v>https://drive.google.com/file/d/1sdBoCKC9g0_W_CsBKV6vAtpjl_ATv_tt/view?usp=drivesdk</v>
      </c>
      <c r="D7578" s="12"/>
      <c r="E7578" s="11">
        <v>7626.0</v>
      </c>
      <c r="F7578" s="2"/>
    </row>
    <row r="7579" ht="1.5" customHeight="1">
      <c r="A7579" s="4" t="str">
        <f>IFERROR(__xludf.DUMMYFUNCTION("""COMPUTED_VALUE"""),"1. Microwave")</f>
        <v>1. Microwave</v>
      </c>
      <c r="B7579" s="4" t="str">
        <f>IFERROR(__xludf.DUMMYFUNCTION("""COMPUTED_VALUE"""),"1")</f>
        <v>1</v>
      </c>
      <c r="C7579" s="5" t="str">
        <f>IFERROR(__xludf.DUMMYFUNCTION("""COMPUTED_VALUE"""),"https://drive.google.com/file/d/1Rgm2wNq8gIwhzIJWS2xaMmegsgU8oSE0/view?usp=drivesdk")</f>
        <v>https://drive.google.com/file/d/1Rgm2wNq8gIwhzIJWS2xaMmegsgU8oSE0/view?usp=drivesdk</v>
      </c>
      <c r="D7579" s="12"/>
      <c r="E7579" s="11">
        <v>7627.0</v>
      </c>
      <c r="F7579" s="2"/>
    </row>
    <row r="7580" ht="1.5" customHeight="1">
      <c r="A7580" s="4" t="str">
        <f>IFERROR(__xludf.DUMMYFUNCTION("""COMPUTED_VALUE"""),"1. Microwave")</f>
        <v>1. Microwave</v>
      </c>
      <c r="B7580" s="4" t="str">
        <f>IFERROR(__xludf.DUMMYFUNCTION("""COMPUTED_VALUE"""),"1")</f>
        <v>1</v>
      </c>
      <c r="C7580" s="5" t="str">
        <f>IFERROR(__xludf.DUMMYFUNCTION("""COMPUTED_VALUE"""),"https://drive.google.com/file/d/15giPjxbixr1tJqTuOXOasCG4Yf4I7B1D/view?usp=drivesdk")</f>
        <v>https://drive.google.com/file/d/15giPjxbixr1tJqTuOXOasCG4Yf4I7B1D/view?usp=drivesdk</v>
      </c>
      <c r="D7580" s="12"/>
      <c r="E7580" s="11">
        <v>7628.0</v>
      </c>
      <c r="F7580" s="2"/>
    </row>
    <row r="7581" ht="1.5" customHeight="1">
      <c r="A7581" s="4" t="str">
        <f>IFERROR(__xludf.DUMMYFUNCTION("""COMPUTED_VALUE"""),"1. Microwave")</f>
        <v>1. Microwave</v>
      </c>
      <c r="B7581" s="4" t="str">
        <f>IFERROR(__xludf.DUMMYFUNCTION("""COMPUTED_VALUE"""),"1")</f>
        <v>1</v>
      </c>
      <c r="C7581" s="5" t="str">
        <f>IFERROR(__xludf.DUMMYFUNCTION("""COMPUTED_VALUE"""),"https://drive.google.com/file/d/1dBUDk3_9AqKsJYv8QyW9Qtruk1Y2fV58/view?usp=drivesdk")</f>
        <v>https://drive.google.com/file/d/1dBUDk3_9AqKsJYv8QyW9Qtruk1Y2fV58/view?usp=drivesdk</v>
      </c>
      <c r="D7581" s="12"/>
      <c r="E7581" s="11">
        <v>7629.0</v>
      </c>
      <c r="F7581" s="2"/>
    </row>
    <row r="7582" ht="1.5" customHeight="1">
      <c r="A7582" s="4" t="str">
        <f>IFERROR(__xludf.DUMMYFUNCTION("""COMPUTED_VALUE"""),"1. Microwave")</f>
        <v>1. Microwave</v>
      </c>
      <c r="B7582" s="4" t="str">
        <f>IFERROR(__xludf.DUMMYFUNCTION("""COMPUTED_VALUE"""),"1")</f>
        <v>1</v>
      </c>
      <c r="C7582" s="5" t="str">
        <f>IFERROR(__xludf.DUMMYFUNCTION("""COMPUTED_VALUE"""),"https://drive.google.com/file/d/10gp_oXqnLymuNbkfYUMfnGTGE8G8P7hd/view?usp=drivesdk")</f>
        <v>https://drive.google.com/file/d/10gp_oXqnLymuNbkfYUMfnGTGE8G8P7hd/view?usp=drivesdk</v>
      </c>
      <c r="D7582" s="12"/>
      <c r="E7582" s="11">
        <v>7630.0</v>
      </c>
      <c r="F7582" s="2"/>
    </row>
    <row r="7583" ht="1.5" customHeight="1">
      <c r="A7583" s="4" t="str">
        <f>IFERROR(__xludf.DUMMYFUNCTION("""COMPUTED_VALUE"""),"1. Microwave")</f>
        <v>1. Microwave</v>
      </c>
      <c r="B7583" s="4" t="str">
        <f>IFERROR(__xludf.DUMMYFUNCTION("""COMPUTED_VALUE"""),"1")</f>
        <v>1</v>
      </c>
      <c r="C7583" s="5" t="str">
        <f>IFERROR(__xludf.DUMMYFUNCTION("""COMPUTED_VALUE"""),"https://drive.google.com/file/d/1acUJaeGddbBhLs2Jc5b4JzjeeaiXP7Ok/view?usp=drivesdk")</f>
        <v>https://drive.google.com/file/d/1acUJaeGddbBhLs2Jc5b4JzjeeaiXP7Ok/view?usp=drivesdk</v>
      </c>
      <c r="D7583" s="12"/>
      <c r="E7583" s="11">
        <v>7631.0</v>
      </c>
      <c r="F7583" s="2"/>
    </row>
    <row r="7584" ht="1.5" customHeight="1">
      <c r="A7584" s="4" t="str">
        <f>IFERROR(__xludf.DUMMYFUNCTION("""COMPUTED_VALUE"""),"1. Microwave")</f>
        <v>1. Microwave</v>
      </c>
      <c r="B7584" s="4" t="str">
        <f>IFERROR(__xludf.DUMMYFUNCTION("""COMPUTED_VALUE"""),"1")</f>
        <v>1</v>
      </c>
      <c r="C7584" s="5" t="str">
        <f>IFERROR(__xludf.DUMMYFUNCTION("""COMPUTED_VALUE"""),"https://drive.google.com/file/d/1bmBDwdxKalOio5exqN-lIUQedaWpFUlH/view?usp=drivesdk")</f>
        <v>https://drive.google.com/file/d/1bmBDwdxKalOio5exqN-lIUQedaWpFUlH/view?usp=drivesdk</v>
      </c>
      <c r="D7584" s="12"/>
      <c r="E7584" s="11">
        <v>7632.0</v>
      </c>
      <c r="F7584" s="2"/>
    </row>
    <row r="7585" ht="1.5" customHeight="1">
      <c r="A7585" s="4" t="str">
        <f>IFERROR(__xludf.DUMMYFUNCTION("""COMPUTED_VALUE"""),"1. Microwave")</f>
        <v>1. Microwave</v>
      </c>
      <c r="B7585" s="4" t="str">
        <f>IFERROR(__xludf.DUMMYFUNCTION("""COMPUTED_VALUE"""),"1")</f>
        <v>1</v>
      </c>
      <c r="C7585" s="5" t="str">
        <f>IFERROR(__xludf.DUMMYFUNCTION("""COMPUTED_VALUE"""),"https://drive.google.com/file/d/1oRW70xWYmdci0-mQ1yLKUC92zSDivcMG/view?usp=drivesdk")</f>
        <v>https://drive.google.com/file/d/1oRW70xWYmdci0-mQ1yLKUC92zSDivcMG/view?usp=drivesdk</v>
      </c>
      <c r="D7585" s="12"/>
      <c r="E7585" s="11">
        <v>7633.0</v>
      </c>
      <c r="F7585" s="2"/>
    </row>
    <row r="7586" ht="1.5" customHeight="1">
      <c r="A7586" s="4" t="str">
        <f>IFERROR(__xludf.DUMMYFUNCTION("""COMPUTED_VALUE"""),"1. Microwave")</f>
        <v>1. Microwave</v>
      </c>
      <c r="B7586" s="4" t="str">
        <f>IFERROR(__xludf.DUMMYFUNCTION("""COMPUTED_VALUE"""),"1")</f>
        <v>1</v>
      </c>
      <c r="C7586" s="5" t="str">
        <f>IFERROR(__xludf.DUMMYFUNCTION("""COMPUTED_VALUE"""),"https://drive.google.com/file/d/1UZvM1Lsse62NNFA47mEipqFVr_7tPzHi/view?usp=drivesdk")</f>
        <v>https://drive.google.com/file/d/1UZvM1Lsse62NNFA47mEipqFVr_7tPzHi/view?usp=drivesdk</v>
      </c>
      <c r="D7586" s="12"/>
      <c r="E7586" s="11">
        <v>7634.0</v>
      </c>
      <c r="F7586" s="2"/>
    </row>
    <row r="7587" ht="1.5" customHeight="1">
      <c r="A7587" s="4" t="str">
        <f>IFERROR(__xludf.DUMMYFUNCTION("""COMPUTED_VALUE"""),"2. Twix")</f>
        <v>2. Twix</v>
      </c>
      <c r="B7587" s="4" t="str">
        <f>IFERROR(__xludf.DUMMYFUNCTION("""COMPUTED_VALUE"""),"2")</f>
        <v>2</v>
      </c>
      <c r="C7587" s="5" t="str">
        <f>IFERROR(__xludf.DUMMYFUNCTION("""COMPUTED_VALUE"""),"https://drive.google.com/file/d/1wffAYCowtHa_EfOk1u0toPL9y8DRzmUy/view?usp=drivesdk")</f>
        <v>https://drive.google.com/file/d/1wffAYCowtHa_EfOk1u0toPL9y8DRzmUy/view?usp=drivesdk</v>
      </c>
      <c r="D7587" s="12"/>
      <c r="E7587" s="11">
        <v>7635.0</v>
      </c>
      <c r="F7587" s="2"/>
    </row>
    <row r="7588" ht="1.5" customHeight="1">
      <c r="A7588" s="4" t="str">
        <f>IFERROR(__xludf.DUMMYFUNCTION("""COMPUTED_VALUE"""),"1. Microwave")</f>
        <v>1. Microwave</v>
      </c>
      <c r="B7588" s="4" t="str">
        <f>IFERROR(__xludf.DUMMYFUNCTION("""COMPUTED_VALUE"""),"1")</f>
        <v>1</v>
      </c>
      <c r="C7588" s="5" t="str">
        <f>IFERROR(__xludf.DUMMYFUNCTION("""COMPUTED_VALUE"""),"https://drive.google.com/file/d/1TOiEcSzSd3HoQjQp7BHo4emFZ3AmDAIp/view?usp=drivesdk")</f>
        <v>https://drive.google.com/file/d/1TOiEcSzSd3HoQjQp7BHo4emFZ3AmDAIp/view?usp=drivesdk</v>
      </c>
      <c r="D7588" s="12"/>
      <c r="E7588" s="11">
        <v>7636.0</v>
      </c>
      <c r="F7588" s="2"/>
    </row>
    <row r="7589" ht="1.5" customHeight="1">
      <c r="A7589" s="4" t="str">
        <f>IFERROR(__xludf.DUMMYFUNCTION("""COMPUTED_VALUE"""),"4. Eggs, 5. Eraser")</f>
        <v>4. Eggs, 5. Eraser</v>
      </c>
      <c r="B7589" s="4" t="str">
        <f>IFERROR(__xludf.DUMMYFUNCTION("""COMPUTED_VALUE"""),"4, 5")</f>
        <v>4, 5</v>
      </c>
      <c r="C7589" s="5" t="str">
        <f>IFERROR(__xludf.DUMMYFUNCTION("""COMPUTED_VALUE"""),"https://drive.google.com/file/d/1voO-k39lqMi9R8H_AY34-qtSC6X2SvRy/view?usp=drivesdk")</f>
        <v>https://drive.google.com/file/d/1voO-k39lqMi9R8H_AY34-qtSC6X2SvRy/view?usp=drivesdk</v>
      </c>
      <c r="D7589" s="12"/>
      <c r="E7589" s="11">
        <v>7637.0</v>
      </c>
      <c r="F7589" s="2"/>
    </row>
    <row r="7590" ht="1.5" customHeight="1">
      <c r="A7590" s="4" t="str">
        <f>IFERROR(__xludf.DUMMYFUNCTION("""COMPUTED_VALUE"""),"1. Microwave")</f>
        <v>1. Microwave</v>
      </c>
      <c r="B7590" s="4" t="str">
        <f>IFERROR(__xludf.DUMMYFUNCTION("""COMPUTED_VALUE"""),"1")</f>
        <v>1</v>
      </c>
      <c r="C7590" s="5" t="str">
        <f>IFERROR(__xludf.DUMMYFUNCTION("""COMPUTED_VALUE"""),"https://drive.google.com/file/d/1y9mV1D5YhUo_4R4DQ-vc6U_ULT8feIU1/view?usp=drivesdk")</f>
        <v>https://drive.google.com/file/d/1y9mV1D5YhUo_4R4DQ-vc6U_ULT8feIU1/view?usp=drivesdk</v>
      </c>
      <c r="D7590" s="12"/>
      <c r="E7590" s="11">
        <v>7638.0</v>
      </c>
      <c r="F7590" s="2"/>
    </row>
    <row r="7591" ht="1.5" customHeight="1">
      <c r="A7591" s="4" t="str">
        <f>IFERROR(__xludf.DUMMYFUNCTION("""COMPUTED_VALUE"""),"5. Eraser")</f>
        <v>5. Eraser</v>
      </c>
      <c r="B7591" s="4" t="str">
        <f>IFERROR(__xludf.DUMMYFUNCTION("""COMPUTED_VALUE"""),"5")</f>
        <v>5</v>
      </c>
      <c r="C7591" s="5" t="str">
        <f>IFERROR(__xludf.DUMMYFUNCTION("""COMPUTED_VALUE"""),"https://drive.google.com/file/d/1SqMVZbTBO4lamEwGSS-sqm7ogF-EtQ5J/view?usp=drivesdk")</f>
        <v>https://drive.google.com/file/d/1SqMVZbTBO4lamEwGSS-sqm7ogF-EtQ5J/view?usp=drivesdk</v>
      </c>
      <c r="D7591" s="12"/>
      <c r="E7591" s="11">
        <v>7639.0</v>
      </c>
      <c r="F7591" s="2"/>
    </row>
    <row r="7592" ht="1.5" customHeight="1">
      <c r="A7592" s="4" t="str">
        <f>IFERROR(__xludf.DUMMYFUNCTION("""COMPUTED_VALUE"""),"4. Eggs, 5. Eraser")</f>
        <v>4. Eggs, 5. Eraser</v>
      </c>
      <c r="B7592" s="4" t="str">
        <f>IFERROR(__xludf.DUMMYFUNCTION("""COMPUTED_VALUE"""),"4, 5")</f>
        <v>4, 5</v>
      </c>
      <c r="C7592" s="5" t="str">
        <f>IFERROR(__xludf.DUMMYFUNCTION("""COMPUTED_VALUE"""),"https://drive.google.com/file/d/1aTwFwgyEaPpXmIl-9KzsMzXcgKcJrK5Y/view?usp=drivesdk")</f>
        <v>https://drive.google.com/file/d/1aTwFwgyEaPpXmIl-9KzsMzXcgKcJrK5Y/view?usp=drivesdk</v>
      </c>
      <c r="D7592" s="12"/>
      <c r="E7592" s="11">
        <v>7640.0</v>
      </c>
      <c r="F7592" s="2"/>
    </row>
    <row r="7593" ht="1.5" customHeight="1">
      <c r="A7593" s="4" t="str">
        <f>IFERROR(__xludf.DUMMYFUNCTION("""COMPUTED_VALUE"""),"4. Eggs")</f>
        <v>4. Eggs</v>
      </c>
      <c r="B7593" s="4" t="str">
        <f>IFERROR(__xludf.DUMMYFUNCTION("""COMPUTED_VALUE"""),"4")</f>
        <v>4</v>
      </c>
      <c r="C7593" s="5" t="str">
        <f>IFERROR(__xludf.DUMMYFUNCTION("""COMPUTED_VALUE"""),"https://drive.google.com/file/d/1UOeLcdZUFsJhqpCUV7YvIG5DX1UZZCgo/view?usp=drivesdk")</f>
        <v>https://drive.google.com/file/d/1UOeLcdZUFsJhqpCUV7YvIG5DX1UZZCgo/view?usp=drivesdk</v>
      </c>
      <c r="D7593" s="12"/>
      <c r="E7593" s="11">
        <v>7641.0</v>
      </c>
      <c r="F7593" s="2"/>
    </row>
    <row r="7594" ht="1.5" customHeight="1">
      <c r="A7594" s="4" t="str">
        <f>IFERROR(__xludf.DUMMYFUNCTION("""COMPUTED_VALUE"""),"2. Twix")</f>
        <v>2. Twix</v>
      </c>
      <c r="B7594" s="4" t="str">
        <f>IFERROR(__xludf.DUMMYFUNCTION("""COMPUTED_VALUE"""),"2")</f>
        <v>2</v>
      </c>
      <c r="C7594" s="5" t="str">
        <f>IFERROR(__xludf.DUMMYFUNCTION("""COMPUTED_VALUE"""),"https://drive.google.com/file/d/1f6BCsrnWDnZyr5FQiSrgI44lvvOvk_8G/view?usp=drivesdk")</f>
        <v>https://drive.google.com/file/d/1f6BCsrnWDnZyr5FQiSrgI44lvvOvk_8G/view?usp=drivesdk</v>
      </c>
      <c r="D7594" s="12"/>
      <c r="E7594" s="11">
        <v>7642.0</v>
      </c>
      <c r="F7594" s="2"/>
    </row>
    <row r="7595" ht="1.5" customHeight="1">
      <c r="A7595" s="4" t="str">
        <f>IFERROR(__xludf.DUMMYFUNCTION("""COMPUTED_VALUE"""),"27. Angel")</f>
        <v>27. Angel</v>
      </c>
      <c r="B7595" s="4" t="str">
        <f>IFERROR(__xludf.DUMMYFUNCTION("""COMPUTED_VALUE"""),"27")</f>
        <v>27</v>
      </c>
      <c r="C7595" s="5" t="str">
        <f>IFERROR(__xludf.DUMMYFUNCTION("""COMPUTED_VALUE"""),"https://drive.google.com/file/d/1L9WMV6hHzwChg9bH1qJyCpRyVgV78DKk/view?usp=drivesdk")</f>
        <v>https://drive.google.com/file/d/1L9WMV6hHzwChg9bH1qJyCpRyVgV78DKk/view?usp=drivesdk</v>
      </c>
      <c r="D7595" s="12"/>
      <c r="E7595" s="11">
        <v>7643.0</v>
      </c>
      <c r="F7595" s="2"/>
    </row>
    <row r="7596" ht="1.5" customHeight="1">
      <c r="A7596" s="4" t="str">
        <f>IFERROR(__xludf.DUMMYFUNCTION("""COMPUTED_VALUE"""),"141. Kamahalan")</f>
        <v>141. Kamahalan</v>
      </c>
      <c r="B7596" s="4" t="str">
        <f>IFERROR(__xludf.DUMMYFUNCTION("""COMPUTED_VALUE"""),"141")</f>
        <v>141</v>
      </c>
      <c r="C7596" s="5" t="str">
        <f>IFERROR(__xludf.DUMMYFUNCTION("""COMPUTED_VALUE"""),"https://drive.google.com/file/d/1-m1I5biLh5Sp9st9L55m0TxaNbqXzf0i/view?usp=drivesdk")</f>
        <v>https://drive.google.com/file/d/1-m1I5biLh5Sp9st9L55m0TxaNbqXzf0i/view?usp=drivesdk</v>
      </c>
      <c r="D7596" s="12"/>
      <c r="E7596" s="11">
        <v>7644.0</v>
      </c>
      <c r="F7596" s="2"/>
    </row>
    <row r="7597" ht="1.5" customHeight="1">
      <c r="A7597" s="4" t="str">
        <f>IFERROR(__xludf.DUMMYFUNCTION("""COMPUTED_VALUE"""),"139. Hound, 136. Henry, 141. Kamahalan")</f>
        <v>139. Hound, 136. Henry, 141. Kamahalan</v>
      </c>
      <c r="B7597" s="4" t="str">
        <f>IFERROR(__xludf.DUMMYFUNCTION("""COMPUTED_VALUE"""),"139, 136, 141")</f>
        <v>139, 136, 141</v>
      </c>
      <c r="C7597" s="5" t="str">
        <f>IFERROR(__xludf.DUMMYFUNCTION("""COMPUTED_VALUE"""),"https://drive.google.com/file/d/1FDzj1W-zh6R73AOd0P11xlxi4ncaZEHA/view?usp=drivesdk")</f>
        <v>https://drive.google.com/file/d/1FDzj1W-zh6R73AOd0P11xlxi4ncaZEHA/view?usp=drivesdk</v>
      </c>
      <c r="D7597" s="12"/>
      <c r="E7597" s="11">
        <v>7645.0</v>
      </c>
      <c r="F7597" s="2"/>
    </row>
    <row r="7598" ht="1.5" customHeight="1">
      <c r="A7598" s="4" t="str">
        <f>IFERROR(__xludf.DUMMYFUNCTION("""COMPUTED_VALUE"""),"99. Nezhui")</f>
        <v>99. Nezhui</v>
      </c>
      <c r="B7598" s="4" t="str">
        <f>IFERROR(__xludf.DUMMYFUNCTION("""COMPUTED_VALUE"""),"99")</f>
        <v>99</v>
      </c>
      <c r="C7598" s="5" t="str">
        <f>IFERROR(__xludf.DUMMYFUNCTION("""COMPUTED_VALUE"""),"https://drive.google.com/file/d/1KzROQAMlHiIeRRdvfpZaBjWoD-rQk_D-/view?usp=drivesdk")</f>
        <v>https://drive.google.com/file/d/1KzROQAMlHiIeRRdvfpZaBjWoD-rQk_D-/view?usp=drivesdk</v>
      </c>
      <c r="D7598" s="12"/>
      <c r="E7598" s="11">
        <v>7646.0</v>
      </c>
      <c r="F7598" s="2"/>
    </row>
    <row r="7599" ht="1.5" customHeight="1">
      <c r="A7599" s="4" t="str">
        <f>IFERROR(__xludf.DUMMYFUNCTION("""COMPUTED_VALUE"""),"99. Nezhui")</f>
        <v>99. Nezhui</v>
      </c>
      <c r="B7599" s="4" t="str">
        <f>IFERROR(__xludf.DUMMYFUNCTION("""COMPUTED_VALUE"""),"99")</f>
        <v>99</v>
      </c>
      <c r="C7599" s="5" t="str">
        <f>IFERROR(__xludf.DUMMYFUNCTION("""COMPUTED_VALUE"""),"https://drive.google.com/file/d/1eYYNczZEbjfltWv3rSMr5UwEjFA2dxtq/view?usp=drivesdk")</f>
        <v>https://drive.google.com/file/d/1eYYNczZEbjfltWv3rSMr5UwEjFA2dxtq/view?usp=drivesdk</v>
      </c>
      <c r="D7599" s="12"/>
      <c r="E7599" s="11">
        <v>7647.0</v>
      </c>
      <c r="F7599" s="2"/>
    </row>
    <row r="7600" ht="1.5" customHeight="1">
      <c r="A7600" s="4" t="str">
        <f>IFERROR(__xludf.DUMMYFUNCTION("""COMPUTED_VALUE"""),"99. Nezhui, 94. Itztli, 100. Coatl, 105. Chilton")</f>
        <v>99. Nezhui, 94. Itztli, 100. Coatl, 105. Chilton</v>
      </c>
      <c r="B7600" s="4" t="str">
        <f>IFERROR(__xludf.DUMMYFUNCTION("""COMPUTED_VALUE"""),"99, 94, 100, 105")</f>
        <v>99, 94, 100, 105</v>
      </c>
      <c r="C7600" s="5" t="str">
        <f>IFERROR(__xludf.DUMMYFUNCTION("""COMPUTED_VALUE"""),"https://drive.google.com/file/d/1MAf_fhxwKHXfR7LBmjVORvmB8BQuBdSE/view?usp=drivesdk")</f>
        <v>https://drive.google.com/file/d/1MAf_fhxwKHXfR7LBmjVORvmB8BQuBdSE/view?usp=drivesdk</v>
      </c>
      <c r="D7600" s="12"/>
      <c r="E7600" s="11">
        <v>7648.0</v>
      </c>
      <c r="F7600" s="2"/>
    </row>
    <row r="7601" ht="1.5" customHeight="1">
      <c r="A7601" s="4" t="str">
        <f>IFERROR(__xludf.DUMMYFUNCTION("""COMPUTED_VALUE"""),"99. Nezhui")</f>
        <v>99. Nezhui</v>
      </c>
      <c r="B7601" s="4" t="str">
        <f>IFERROR(__xludf.DUMMYFUNCTION("""COMPUTED_VALUE"""),"99")</f>
        <v>99</v>
      </c>
      <c r="C7601" s="5" t="str">
        <f>IFERROR(__xludf.DUMMYFUNCTION("""COMPUTED_VALUE"""),"https://drive.google.com/file/d/1oETYhnzVMznRwHu7jLcuZEIad7X7YmRw/view?usp=drivesdk")</f>
        <v>https://drive.google.com/file/d/1oETYhnzVMznRwHu7jLcuZEIad7X7YmRw/view?usp=drivesdk</v>
      </c>
      <c r="D7601" s="12"/>
      <c r="E7601" s="11">
        <v>7649.0</v>
      </c>
      <c r="F7601" s="2"/>
    </row>
    <row r="7602" ht="1.5" customHeight="1">
      <c r="A7602" s="4" t="str">
        <f>IFERROR(__xludf.DUMMYFUNCTION("""COMPUTED_VALUE"""),"99. Nezhui")</f>
        <v>99. Nezhui</v>
      </c>
      <c r="B7602" s="4" t="str">
        <f>IFERROR(__xludf.DUMMYFUNCTION("""COMPUTED_VALUE"""),"99")</f>
        <v>99</v>
      </c>
      <c r="C7602" s="5" t="str">
        <f>IFERROR(__xludf.DUMMYFUNCTION("""COMPUTED_VALUE"""),"https://drive.google.com/file/d/1g6f3FtrjXBJBiwfuhvnb_GYGO_UG1ZvO/view?usp=drivesdk")</f>
        <v>https://drive.google.com/file/d/1g6f3FtrjXBJBiwfuhvnb_GYGO_UG1ZvO/view?usp=drivesdk</v>
      </c>
      <c r="D7602" s="12"/>
      <c r="E7602" s="11">
        <v>7650.0</v>
      </c>
      <c r="F7602" s="2"/>
    </row>
    <row r="7603" ht="1.5" customHeight="1">
      <c r="A7603" s="4" t="str">
        <f>IFERROR(__xludf.DUMMYFUNCTION("""COMPUTED_VALUE"""),"94. Itztli")</f>
        <v>94. Itztli</v>
      </c>
      <c r="B7603" s="4" t="str">
        <f>IFERROR(__xludf.DUMMYFUNCTION("""COMPUTED_VALUE"""),"94")</f>
        <v>94</v>
      </c>
      <c r="C7603" s="5" t="str">
        <f>IFERROR(__xludf.DUMMYFUNCTION("""COMPUTED_VALUE"""),"https://drive.google.com/file/d/15kWonjv1VY7cOF9bi7UmlY1xjEYHaYRi/view?usp=drivesdk")</f>
        <v>https://drive.google.com/file/d/15kWonjv1VY7cOF9bi7UmlY1xjEYHaYRi/view?usp=drivesdk</v>
      </c>
      <c r="D7603" s="12"/>
      <c r="E7603" s="11">
        <v>7651.0</v>
      </c>
      <c r="F7603" s="2"/>
    </row>
    <row r="7604" ht="1.5" customHeight="1">
      <c r="A7604" s="4" t="str">
        <f>IFERROR(__xludf.DUMMYFUNCTION("""COMPUTED_VALUE"""),"105. Chilton")</f>
        <v>105. Chilton</v>
      </c>
      <c r="B7604" s="4" t="str">
        <f>IFERROR(__xludf.DUMMYFUNCTION("""COMPUTED_VALUE"""),"105")</f>
        <v>105</v>
      </c>
      <c r="C7604" s="5" t="str">
        <f>IFERROR(__xludf.DUMMYFUNCTION("""COMPUTED_VALUE"""),"https://drive.google.com/file/d/1N8PI89HAvumJ6SUttpQOAMj-9SXhrLpS/view?usp=drivesdk")</f>
        <v>https://drive.google.com/file/d/1N8PI89HAvumJ6SUttpQOAMj-9SXhrLpS/view?usp=drivesdk</v>
      </c>
      <c r="D7604" s="12"/>
      <c r="E7604" s="11">
        <v>7652.0</v>
      </c>
      <c r="F7604" s="2"/>
    </row>
    <row r="7605" ht="1.5" customHeight="1">
      <c r="A7605" s="4" t="str">
        <f>IFERROR(__xludf.DUMMYFUNCTION("""COMPUTED_VALUE"""),"100. Coatl")</f>
        <v>100. Coatl</v>
      </c>
      <c r="B7605" s="4" t="str">
        <f>IFERROR(__xludf.DUMMYFUNCTION("""COMPUTED_VALUE"""),"100")</f>
        <v>100</v>
      </c>
      <c r="C7605" s="5" t="str">
        <f>IFERROR(__xludf.DUMMYFUNCTION("""COMPUTED_VALUE"""),"https://drive.google.com/file/d/1nXyJ103RCXvhDy36aIPomPc7WjKHCfIo/view?usp=drivesdk")</f>
        <v>https://drive.google.com/file/d/1nXyJ103RCXvhDy36aIPomPc7WjKHCfIo/view?usp=drivesdk</v>
      </c>
      <c r="D7605" s="12"/>
      <c r="E7605" s="11">
        <v>7653.0</v>
      </c>
      <c r="F7605" s="2"/>
    </row>
    <row r="7606" ht="1.5" customHeight="1">
      <c r="A7606" s="4" t="str">
        <f>IFERROR(__xludf.DUMMYFUNCTION("""COMPUTED_VALUE"""),"146. Monsieur Stanky")</f>
        <v>146. Monsieur Stanky</v>
      </c>
      <c r="B7606" s="4" t="str">
        <f>IFERROR(__xludf.DUMMYFUNCTION("""COMPUTED_VALUE"""),"146")</f>
        <v>146</v>
      </c>
      <c r="C7606" s="5" t="str">
        <f>IFERROR(__xludf.DUMMYFUNCTION("""COMPUTED_VALUE"""),"https://drive.google.com/file/d/19qkNOXAapEkL9RbC7H0dZYTQ-XKA-hv9/view?usp=drivesdk")</f>
        <v>https://drive.google.com/file/d/19qkNOXAapEkL9RbC7H0dZYTQ-XKA-hv9/view?usp=drivesdk</v>
      </c>
      <c r="D7606" s="12"/>
      <c r="E7606" s="11">
        <v>7654.0</v>
      </c>
      <c r="F7606" s="2"/>
    </row>
    <row r="7607" ht="1.5" customHeight="1">
      <c r="A7607" s="4" t="str">
        <f>IFERROR(__xludf.DUMMYFUNCTION("""COMPUTED_VALUE"""),"146. Monsieur Stanky")</f>
        <v>146. Monsieur Stanky</v>
      </c>
      <c r="B7607" s="4" t="str">
        <f>IFERROR(__xludf.DUMMYFUNCTION("""COMPUTED_VALUE"""),"146")</f>
        <v>146</v>
      </c>
      <c r="C7607" s="5" t="str">
        <f>IFERROR(__xludf.DUMMYFUNCTION("""COMPUTED_VALUE"""),"https://drive.google.com/file/d/1QPpcTwPqGGld58YjzT1apmaO3VrcJUL9/view?usp=drivesdk")</f>
        <v>https://drive.google.com/file/d/1QPpcTwPqGGld58YjzT1apmaO3VrcJUL9/view?usp=drivesdk</v>
      </c>
      <c r="D7607" s="12"/>
      <c r="E7607" s="11">
        <v>7655.0</v>
      </c>
      <c r="F7607" s="2"/>
    </row>
    <row r="7608" ht="1.5" customHeight="1">
      <c r="A7608" s="4" t="str">
        <f>IFERROR(__xludf.DUMMYFUNCTION("""COMPUTED_VALUE"""),"146. Monsieur Stanky")</f>
        <v>146. Monsieur Stanky</v>
      </c>
      <c r="B7608" s="4" t="str">
        <f>IFERROR(__xludf.DUMMYFUNCTION("""COMPUTED_VALUE"""),"146")</f>
        <v>146</v>
      </c>
      <c r="C7608" s="5" t="str">
        <f>IFERROR(__xludf.DUMMYFUNCTION("""COMPUTED_VALUE"""),"https://drive.google.com/file/d/1Koh18AocuNGwNugWV-oMqJ610NeRW35s/view?usp=drivesdk")</f>
        <v>https://drive.google.com/file/d/1Koh18AocuNGwNugWV-oMqJ610NeRW35s/view?usp=drivesdk</v>
      </c>
      <c r="D7608" s="12"/>
      <c r="E7608" s="11">
        <v>7656.0</v>
      </c>
      <c r="F7608" s="2"/>
    </row>
    <row r="7609" ht="1.5" customHeight="1">
      <c r="A7609" s="4" t="str">
        <f>IFERROR(__xludf.DUMMYFUNCTION("""COMPUTED_VALUE"""),"103. Bea")</f>
        <v>103. Bea</v>
      </c>
      <c r="B7609" s="4" t="str">
        <f>IFERROR(__xludf.DUMMYFUNCTION("""COMPUTED_VALUE"""),"103")</f>
        <v>103</v>
      </c>
      <c r="C7609" s="5" t="str">
        <f>IFERROR(__xludf.DUMMYFUNCTION("""COMPUTED_VALUE"""),"https://drive.google.com/file/d/1aWq5vzTL-AP5QlT3d5fy7OwJ8hf_NC7n/view?usp=drivesdk")</f>
        <v>https://drive.google.com/file/d/1aWq5vzTL-AP5QlT3d5fy7OwJ8hf_NC7n/view?usp=drivesdk</v>
      </c>
      <c r="D7609" s="12"/>
      <c r="E7609" s="11">
        <v>7657.0</v>
      </c>
      <c r="F7609" s="2"/>
    </row>
    <row r="7610" ht="1.5" customHeight="1">
      <c r="A7610" s="4" t="str">
        <f>IFERROR(__xludf.DUMMYFUNCTION("""COMPUTED_VALUE"""),"95. Ariel, 88. Vincente")</f>
        <v>95. Ariel, 88. Vincente</v>
      </c>
      <c r="B7610" s="4" t="str">
        <f>IFERROR(__xludf.DUMMYFUNCTION("""COMPUTED_VALUE"""),"95, 88")</f>
        <v>95, 88</v>
      </c>
      <c r="C7610" s="5" t="str">
        <f>IFERROR(__xludf.DUMMYFUNCTION("""COMPUTED_VALUE"""),"https://drive.google.com/file/d/1aeyat_f_qC5LWYa5DEW62s97234bgEYv/view?usp=drivesdk")</f>
        <v>https://drive.google.com/file/d/1aeyat_f_qC5LWYa5DEW62s97234bgEYv/view?usp=drivesdk</v>
      </c>
      <c r="D7610" s="12"/>
      <c r="E7610" s="11">
        <v>7658.0</v>
      </c>
      <c r="F7610" s="2"/>
    </row>
    <row r="7611" ht="1.5" customHeight="1">
      <c r="A7611" s="4" t="str">
        <f>IFERROR(__xludf.DUMMYFUNCTION("""COMPUTED_VALUE"""),"88. Vincente, 95. Ariel")</f>
        <v>88. Vincente, 95. Ariel</v>
      </c>
      <c r="B7611" s="4" t="str">
        <f>IFERROR(__xludf.DUMMYFUNCTION("""COMPUTED_VALUE"""),"88, 95")</f>
        <v>88, 95</v>
      </c>
      <c r="C7611" s="5" t="str">
        <f>IFERROR(__xludf.DUMMYFUNCTION("""COMPUTED_VALUE"""),"https://drive.google.com/file/d/1WgYoXxXi8vcUdcPu5fFyg6SKdtd6e3o3/view?usp=drivesdk")</f>
        <v>https://drive.google.com/file/d/1WgYoXxXi8vcUdcPu5fFyg6SKdtd6e3o3/view?usp=drivesdk</v>
      </c>
      <c r="D7611" s="12"/>
      <c r="E7611" s="11">
        <v>7659.0</v>
      </c>
      <c r="F7611" s="2"/>
    </row>
    <row r="7612" ht="1.5" customHeight="1">
      <c r="A7612" s="4" t="str">
        <f>IFERROR(__xludf.DUMMYFUNCTION("""COMPUTED_VALUE"""),"95. Ariel, 88. Vincente")</f>
        <v>95. Ariel, 88. Vincente</v>
      </c>
      <c r="B7612" s="4" t="str">
        <f>IFERROR(__xludf.DUMMYFUNCTION("""COMPUTED_VALUE"""),"95, 88")</f>
        <v>95, 88</v>
      </c>
      <c r="C7612" s="5" t="str">
        <f>IFERROR(__xludf.DUMMYFUNCTION("""COMPUTED_VALUE"""),"https://drive.google.com/file/d/1MvQM-9HcznkBGlCsd4lKdgfzcoYJGIFN/view?usp=drivesdk")</f>
        <v>https://drive.google.com/file/d/1MvQM-9HcznkBGlCsd4lKdgfzcoYJGIFN/view?usp=drivesdk</v>
      </c>
      <c r="D7612" s="12"/>
      <c r="E7612" s="11">
        <v>7660.0</v>
      </c>
      <c r="F7612" s="2"/>
    </row>
    <row r="7613" ht="1.5" customHeight="1">
      <c r="A7613" s="4" t="str">
        <f>IFERROR(__xludf.DUMMYFUNCTION("""COMPUTED_VALUE"""),"88. Vincente, 95. Ariel")</f>
        <v>88. Vincente, 95. Ariel</v>
      </c>
      <c r="B7613" s="4" t="str">
        <f>IFERROR(__xludf.DUMMYFUNCTION("""COMPUTED_VALUE"""),"88, 95")</f>
        <v>88, 95</v>
      </c>
      <c r="C7613" s="5" t="str">
        <f>IFERROR(__xludf.DUMMYFUNCTION("""COMPUTED_VALUE"""),"https://drive.google.com/file/d/1sqdySw3TnVbPNQRPLmGAHJ037qYcKjoO/view?usp=drivesdk")</f>
        <v>https://drive.google.com/file/d/1sqdySw3TnVbPNQRPLmGAHJ037qYcKjoO/view?usp=drivesdk</v>
      </c>
      <c r="D7613" s="12"/>
      <c r="E7613" s="11">
        <v>7661.0</v>
      </c>
      <c r="F7613" s="2"/>
    </row>
    <row r="7614" ht="1.5" customHeight="1">
      <c r="A7614" s="4" t="str">
        <f>IFERROR(__xludf.DUMMYFUNCTION("""COMPUTED_VALUE"""),"95. Ariel, 88. Vincente")</f>
        <v>95. Ariel, 88. Vincente</v>
      </c>
      <c r="B7614" s="4" t="str">
        <f>IFERROR(__xludf.DUMMYFUNCTION("""COMPUTED_VALUE"""),"95, 88")</f>
        <v>95, 88</v>
      </c>
      <c r="C7614" s="5" t="str">
        <f>IFERROR(__xludf.DUMMYFUNCTION("""COMPUTED_VALUE"""),"https://drive.google.com/file/d/1PB_vZRBL2Hd9nMvbByDUuStEbyqmndFU/view?usp=drivesdk")</f>
        <v>https://drive.google.com/file/d/1PB_vZRBL2Hd9nMvbByDUuStEbyqmndFU/view?usp=drivesdk</v>
      </c>
      <c r="D7614" s="12"/>
      <c r="E7614" s="11">
        <v>7662.0</v>
      </c>
      <c r="F7614" s="2"/>
    </row>
    <row r="7615" ht="1.5" customHeight="1">
      <c r="A7615" s="4" t="str">
        <f>IFERROR(__xludf.DUMMYFUNCTION("""COMPUTED_VALUE"""),"104. Joji")</f>
        <v>104. Joji</v>
      </c>
      <c r="B7615" s="4" t="str">
        <f>IFERROR(__xludf.DUMMYFUNCTION("""COMPUTED_VALUE"""),"104")</f>
        <v>104</v>
      </c>
      <c r="C7615" s="5" t="str">
        <f>IFERROR(__xludf.DUMMYFUNCTION("""COMPUTED_VALUE"""),"https://drive.google.com/file/d/1oCb7q98dMsT98x6UZLxkFkEI9_l_xv8Q/view?usp=drivesdk")</f>
        <v>https://drive.google.com/file/d/1oCb7q98dMsT98x6UZLxkFkEI9_l_xv8Q/view?usp=drivesdk</v>
      </c>
      <c r="D7615" s="12"/>
      <c r="E7615" s="11">
        <v>7663.0</v>
      </c>
      <c r="F7615" s="2"/>
    </row>
    <row r="7616" ht="1.5" customHeight="1">
      <c r="A7616" s="4" t="str">
        <f>IFERROR(__xludf.DUMMYFUNCTION("""COMPUTED_VALUE"""),"141. Kamahalan")</f>
        <v>141. Kamahalan</v>
      </c>
      <c r="B7616" s="4" t="str">
        <f>IFERROR(__xludf.DUMMYFUNCTION("""COMPUTED_VALUE"""),"141")</f>
        <v>141</v>
      </c>
      <c r="C7616" s="5" t="str">
        <f>IFERROR(__xludf.DUMMYFUNCTION("""COMPUTED_VALUE"""),"https://drive.google.com/file/d/1K4hRntrWSFM3KReIKbU0rPZYGJDHrZ6H/view?usp=drivesdk")</f>
        <v>https://drive.google.com/file/d/1K4hRntrWSFM3KReIKbU0rPZYGJDHrZ6H/view?usp=drivesdk</v>
      </c>
      <c r="D7616" s="12"/>
      <c r="E7616" s="11">
        <v>7664.0</v>
      </c>
      <c r="F7616" s="2"/>
    </row>
    <row r="7617" ht="1.5" customHeight="1">
      <c r="A7617" s="4" t="str">
        <f>IFERROR(__xludf.DUMMYFUNCTION("""COMPUTED_VALUE"""),"42. Rubber, 137. Harpy, 138. Hare")</f>
        <v>42. Rubber, 137. Harpy, 138. Hare</v>
      </c>
      <c r="B7617" s="4" t="str">
        <f>IFERROR(__xludf.DUMMYFUNCTION("""COMPUTED_VALUE"""),"42, 137, 138")</f>
        <v>42, 137, 138</v>
      </c>
      <c r="C7617" s="5" t="str">
        <f>IFERROR(__xludf.DUMMYFUNCTION("""COMPUTED_VALUE"""),"https://drive.google.com/file/d/1bL6sBGdHhFu5SHEG2BET5Xk9ytjX5xAz/view?usp=drivesdk")</f>
        <v>https://drive.google.com/file/d/1bL6sBGdHhFu5SHEG2BET5Xk9ytjX5xAz/view?usp=drivesdk</v>
      </c>
      <c r="D7617" s="12"/>
      <c r="E7617" s="11">
        <v>7665.0</v>
      </c>
      <c r="F7617" s="2"/>
    </row>
    <row r="7618" ht="1.5" customHeight="1">
      <c r="A7618" s="4" t="str">
        <f>IFERROR(__xludf.DUMMYFUNCTION("""COMPUTED_VALUE"""),"42. Rubber, 137. Harpy, 138. Hare")</f>
        <v>42. Rubber, 137. Harpy, 138. Hare</v>
      </c>
      <c r="B7618" s="4" t="str">
        <f>IFERROR(__xludf.DUMMYFUNCTION("""COMPUTED_VALUE"""),"42, 137, 138")</f>
        <v>42, 137, 138</v>
      </c>
      <c r="C7618" s="5" t="str">
        <f>IFERROR(__xludf.DUMMYFUNCTION("""COMPUTED_VALUE"""),"https://drive.google.com/file/d/186fymdSdwGy-XZ9ANl_36YIVZ2eAJ4V5/view?usp=drivesdk")</f>
        <v>https://drive.google.com/file/d/186fymdSdwGy-XZ9ANl_36YIVZ2eAJ4V5/view?usp=drivesdk</v>
      </c>
      <c r="D7618" s="12"/>
      <c r="E7618" s="11">
        <v>7666.0</v>
      </c>
      <c r="F7618" s="2"/>
    </row>
    <row r="7619" ht="1.5" customHeight="1">
      <c r="A7619" s="4" t="str">
        <f>IFERROR(__xludf.DUMMYFUNCTION("""COMPUTED_VALUE"""),"137. Harpy, 138. Hare")</f>
        <v>137. Harpy, 138. Hare</v>
      </c>
      <c r="B7619" s="4" t="str">
        <f>IFERROR(__xludf.DUMMYFUNCTION("""COMPUTED_VALUE"""),"137, 138")</f>
        <v>137, 138</v>
      </c>
      <c r="C7619" s="5" t="str">
        <f>IFERROR(__xludf.DUMMYFUNCTION("""COMPUTED_VALUE"""),"https://drive.google.com/file/d/1zBhS6IYbonUCHFUmMmD_vvwOV9XoY4eH/view?usp=drivesdk")</f>
        <v>https://drive.google.com/file/d/1zBhS6IYbonUCHFUmMmD_vvwOV9XoY4eH/view?usp=drivesdk</v>
      </c>
      <c r="D7619" s="12"/>
      <c r="E7619" s="11">
        <v>7667.0</v>
      </c>
      <c r="F7619" s="2"/>
    </row>
    <row r="7620" ht="1.5" customHeight="1">
      <c r="A7620" s="4" t="str">
        <f>IFERROR(__xludf.DUMMYFUNCTION("""COMPUTED_VALUE"""),"139. Hound, 137. Harpy, 42. Rubber")</f>
        <v>139. Hound, 137. Harpy, 42. Rubber</v>
      </c>
      <c r="B7620" s="4" t="str">
        <f>IFERROR(__xludf.DUMMYFUNCTION("""COMPUTED_VALUE"""),"139, 137, 42")</f>
        <v>139, 137, 42</v>
      </c>
      <c r="C7620" s="5" t="str">
        <f>IFERROR(__xludf.DUMMYFUNCTION("""COMPUTED_VALUE"""),"https://drive.google.com/file/d/1Gao5u_R9W6oaU7viiQiHMuvRgMJe4N8I/view?usp=drivesdk")</f>
        <v>https://drive.google.com/file/d/1Gao5u_R9W6oaU7viiQiHMuvRgMJe4N8I/view?usp=drivesdk</v>
      </c>
      <c r="D7620" s="12"/>
      <c r="E7620" s="11">
        <v>7668.0</v>
      </c>
      <c r="F7620" s="2"/>
    </row>
    <row r="7621" ht="1.5" customHeight="1">
      <c r="A7621" s="4" t="str">
        <f>IFERROR(__xludf.DUMMYFUNCTION("""COMPUTED_VALUE"""),"138. Hare, 42. Rubber, 139. Hound")</f>
        <v>138. Hare, 42. Rubber, 139. Hound</v>
      </c>
      <c r="B7621" s="4" t="str">
        <f>IFERROR(__xludf.DUMMYFUNCTION("""COMPUTED_VALUE"""),"138, 42, 139")</f>
        <v>138, 42, 139</v>
      </c>
      <c r="C7621" s="5" t="str">
        <f>IFERROR(__xludf.DUMMYFUNCTION("""COMPUTED_VALUE"""),"https://drive.google.com/file/d/1qD5LhAR3YW78BCPdmeYaRBuRn260qS_p/view?usp=drivesdk")</f>
        <v>https://drive.google.com/file/d/1qD5LhAR3YW78BCPdmeYaRBuRn260qS_p/view?usp=drivesdk</v>
      </c>
      <c r="D7621" s="12"/>
      <c r="E7621" s="11">
        <v>7669.0</v>
      </c>
      <c r="F7621" s="2"/>
    </row>
    <row r="7622" ht="1.5" customHeight="1">
      <c r="A7622" s="4" t="str">
        <f>IFERROR(__xludf.DUMMYFUNCTION("""COMPUTED_VALUE"""),"95. Ariel")</f>
        <v>95. Ariel</v>
      </c>
      <c r="B7622" s="4" t="str">
        <f>IFERROR(__xludf.DUMMYFUNCTION("""COMPUTED_VALUE"""),"95")</f>
        <v>95</v>
      </c>
      <c r="C7622" s="5" t="str">
        <f>IFERROR(__xludf.DUMMYFUNCTION("""COMPUTED_VALUE"""),"https://drive.google.com/file/d/1fx_S9WF2AJaq548zREmvVJV7qmSovkE7/view?usp=drivesdk")</f>
        <v>https://drive.google.com/file/d/1fx_S9WF2AJaq548zREmvVJV7qmSovkE7/view?usp=drivesdk</v>
      </c>
      <c r="D7622" s="12"/>
      <c r="E7622" s="11">
        <v>7670.0</v>
      </c>
      <c r="F7622" s="2"/>
    </row>
    <row r="7623" ht="1.5" customHeight="1">
      <c r="A7623" s="4" t="str">
        <f>IFERROR(__xludf.DUMMYFUNCTION("""COMPUTED_VALUE"""),"95. Ariel")</f>
        <v>95. Ariel</v>
      </c>
      <c r="B7623" s="4" t="str">
        <f>IFERROR(__xludf.DUMMYFUNCTION("""COMPUTED_VALUE"""),"95")</f>
        <v>95</v>
      </c>
      <c r="C7623" s="5" t="str">
        <f>IFERROR(__xludf.DUMMYFUNCTION("""COMPUTED_VALUE"""),"https://drive.google.com/file/d/1X9lDqVjnZa-8JM2EJHGIn8Jk02OD-Fxj/view?usp=drivesdk")</f>
        <v>https://drive.google.com/file/d/1X9lDqVjnZa-8JM2EJHGIn8Jk02OD-Fxj/view?usp=drivesdk</v>
      </c>
      <c r="D7623" s="12"/>
      <c r="E7623" s="11">
        <v>7671.0</v>
      </c>
      <c r="F7623" s="2"/>
    </row>
    <row r="7624" ht="1.5" customHeight="1">
      <c r="A7624" s="4" t="str">
        <f>IFERROR(__xludf.DUMMYFUNCTION("""COMPUTED_VALUE"""),"95. Ariel")</f>
        <v>95. Ariel</v>
      </c>
      <c r="B7624" s="4" t="str">
        <f>IFERROR(__xludf.DUMMYFUNCTION("""COMPUTED_VALUE"""),"95")</f>
        <v>95</v>
      </c>
      <c r="C7624" s="5" t="str">
        <f>IFERROR(__xludf.DUMMYFUNCTION("""COMPUTED_VALUE"""),"https://drive.google.com/file/d/1vD02m-XkFnW9lWvTd2AEC-2euei3spQA/view?usp=drivesdk")</f>
        <v>https://drive.google.com/file/d/1vD02m-XkFnW9lWvTd2AEC-2euei3spQA/view?usp=drivesdk</v>
      </c>
      <c r="D7624" s="12"/>
      <c r="E7624" s="11">
        <v>7672.0</v>
      </c>
      <c r="F7624" s="2"/>
    </row>
    <row r="7625" ht="1.5" customHeight="1">
      <c r="A7625" s="4" t="str">
        <f>IFERROR(__xludf.DUMMYFUNCTION("""COMPUTED_VALUE"""),"58. Eden")</f>
        <v>58. Eden</v>
      </c>
      <c r="B7625" s="4" t="str">
        <f>IFERROR(__xludf.DUMMYFUNCTION("""COMPUTED_VALUE"""),"58")</f>
        <v>58</v>
      </c>
      <c r="C7625" s="5" t="str">
        <f>IFERROR(__xludf.DUMMYFUNCTION("""COMPUTED_VALUE"""),"https://drive.google.com/file/d/1k8tVLP4zpuRurZqUWltoVf28CmfApHD_/view?usp=drivesdk")</f>
        <v>https://drive.google.com/file/d/1k8tVLP4zpuRurZqUWltoVf28CmfApHD_/view?usp=drivesdk</v>
      </c>
      <c r="D7625" s="12"/>
      <c r="E7625" s="11">
        <v>7673.0</v>
      </c>
      <c r="F7625" s="2"/>
    </row>
    <row r="7626" ht="1.5" customHeight="1">
      <c r="A7626" s="4" t="str">
        <f>IFERROR(__xludf.DUMMYFUNCTION("""COMPUTED_VALUE"""),"58. Eden")</f>
        <v>58. Eden</v>
      </c>
      <c r="B7626" s="4" t="str">
        <f>IFERROR(__xludf.DUMMYFUNCTION("""COMPUTED_VALUE"""),"58")</f>
        <v>58</v>
      </c>
      <c r="C7626" s="5" t="str">
        <f>IFERROR(__xludf.DUMMYFUNCTION("""COMPUTED_VALUE"""),"https://drive.google.com/file/d/1ZWYSb8D5dW7kpNQ9cbvLoqWDOXBi1wci/view?usp=drivesdk")</f>
        <v>https://drive.google.com/file/d/1ZWYSb8D5dW7kpNQ9cbvLoqWDOXBi1wci/view?usp=drivesdk</v>
      </c>
      <c r="D7626" s="12"/>
      <c r="E7626" s="11">
        <v>7674.0</v>
      </c>
      <c r="F7626" s="2"/>
    </row>
    <row r="7627" ht="1.5" customHeight="1">
      <c r="A7627" s="4" t="str">
        <f>IFERROR(__xludf.DUMMYFUNCTION("""COMPUTED_VALUE"""),"58. Eden")</f>
        <v>58. Eden</v>
      </c>
      <c r="B7627" s="4" t="str">
        <f>IFERROR(__xludf.DUMMYFUNCTION("""COMPUTED_VALUE"""),"58")</f>
        <v>58</v>
      </c>
      <c r="C7627" s="5" t="str">
        <f>IFERROR(__xludf.DUMMYFUNCTION("""COMPUTED_VALUE"""),"https://drive.google.com/file/d/1WOMxrl4z172zckhKHJ9XuKL1zNqdepIt/view?usp=drivesdk")</f>
        <v>https://drive.google.com/file/d/1WOMxrl4z172zckhKHJ9XuKL1zNqdepIt/view?usp=drivesdk</v>
      </c>
      <c r="D7627" s="12"/>
      <c r="E7627" s="11">
        <v>7675.0</v>
      </c>
      <c r="F7627" s="2"/>
    </row>
    <row r="7628" ht="1.5" customHeight="1">
      <c r="A7628" s="4" t="str">
        <f>IFERROR(__xludf.DUMMYFUNCTION("""COMPUTED_VALUE"""),"95. Ariel")</f>
        <v>95. Ariel</v>
      </c>
      <c r="B7628" s="4" t="str">
        <f>IFERROR(__xludf.DUMMYFUNCTION("""COMPUTED_VALUE"""),"95")</f>
        <v>95</v>
      </c>
      <c r="C7628" s="5" t="str">
        <f>IFERROR(__xludf.DUMMYFUNCTION("""COMPUTED_VALUE"""),"https://drive.google.com/file/d/1pyBokoKq4OUhQlXgjcioHH_MOlkNMrpN/view?usp=drivesdk")</f>
        <v>https://drive.google.com/file/d/1pyBokoKq4OUhQlXgjcioHH_MOlkNMrpN/view?usp=drivesdk</v>
      </c>
      <c r="D7628" s="12"/>
      <c r="E7628" s="11">
        <v>7676.0</v>
      </c>
      <c r="F7628" s="2"/>
    </row>
    <row r="7629" ht="1.5" customHeight="1">
      <c r="A7629" s="4" t="str">
        <f>IFERROR(__xludf.DUMMYFUNCTION("""COMPUTED_VALUE"""),"95. Ariel")</f>
        <v>95. Ariel</v>
      </c>
      <c r="B7629" s="4" t="str">
        <f>IFERROR(__xludf.DUMMYFUNCTION("""COMPUTED_VALUE"""),"95")</f>
        <v>95</v>
      </c>
      <c r="C7629" s="5" t="str">
        <f>IFERROR(__xludf.DUMMYFUNCTION("""COMPUTED_VALUE"""),"https://drive.google.com/file/d/1vhXXDw_PoXcw6ynLBo6dlqNqTdIx0ZyC/view?usp=drivesdk")</f>
        <v>https://drive.google.com/file/d/1vhXXDw_PoXcw6ynLBo6dlqNqTdIx0ZyC/view?usp=drivesdk</v>
      </c>
      <c r="D7629" s="12"/>
      <c r="E7629" s="11">
        <v>7677.0</v>
      </c>
      <c r="F7629" s="2"/>
    </row>
    <row r="7630" ht="1.5" customHeight="1">
      <c r="A7630" s="4" t="str">
        <f>IFERROR(__xludf.DUMMYFUNCTION("""COMPUTED_VALUE"""),"4. Eggs")</f>
        <v>4. Eggs</v>
      </c>
      <c r="B7630" s="4" t="str">
        <f>IFERROR(__xludf.DUMMYFUNCTION("""COMPUTED_VALUE"""),"4")</f>
        <v>4</v>
      </c>
      <c r="C7630" s="5" t="str">
        <f>IFERROR(__xludf.DUMMYFUNCTION("""COMPUTED_VALUE"""),"https://drive.google.com/file/d/1rQ8Hu18FTVRbdBqLw-SG9lx9A3Igw7mC/view?usp=drivesdk")</f>
        <v>https://drive.google.com/file/d/1rQ8Hu18FTVRbdBqLw-SG9lx9A3Igw7mC/view?usp=drivesdk</v>
      </c>
      <c r="D7630" s="12"/>
      <c r="E7630" s="11">
        <v>7678.0</v>
      </c>
      <c r="F7630" s="2"/>
    </row>
    <row r="7631" ht="1.5" customHeight="1">
      <c r="A7631" s="4" t="str">
        <f>IFERROR(__xludf.DUMMYFUNCTION("""COMPUTED_VALUE"""),"5. Eraser")</f>
        <v>5. Eraser</v>
      </c>
      <c r="B7631" s="4" t="str">
        <f>IFERROR(__xludf.DUMMYFUNCTION("""COMPUTED_VALUE"""),"5")</f>
        <v>5</v>
      </c>
      <c r="C7631" s="5" t="str">
        <f>IFERROR(__xludf.DUMMYFUNCTION("""COMPUTED_VALUE"""),"https://drive.google.com/file/d/1bUfSOuB0vb1528v1lwM2vFs_svhmRyJV/view?usp=drivesdk")</f>
        <v>https://drive.google.com/file/d/1bUfSOuB0vb1528v1lwM2vFs_svhmRyJV/view?usp=drivesdk</v>
      </c>
      <c r="D7631" s="12"/>
      <c r="E7631" s="11">
        <v>7679.0</v>
      </c>
      <c r="F7631" s="2"/>
    </row>
    <row r="7632" ht="1.5" customHeight="1">
      <c r="A7632" s="4" t="str">
        <f>IFERROR(__xludf.DUMMYFUNCTION("""COMPUTED_VALUE"""),"5. Eraser")</f>
        <v>5. Eraser</v>
      </c>
      <c r="B7632" s="4" t="str">
        <f>IFERROR(__xludf.DUMMYFUNCTION("""COMPUTED_VALUE"""),"5")</f>
        <v>5</v>
      </c>
      <c r="C7632" s="5" t="str">
        <f>IFERROR(__xludf.DUMMYFUNCTION("""COMPUTED_VALUE"""),"https://drive.google.com/file/d/1zF1_--vEDZf5C4g9PardAZwJwEuzcNAY/view?usp=drivesdk")</f>
        <v>https://drive.google.com/file/d/1zF1_--vEDZf5C4g9PardAZwJwEuzcNAY/view?usp=drivesdk</v>
      </c>
      <c r="D7632" s="12"/>
      <c r="E7632" s="11">
        <v>7680.0</v>
      </c>
      <c r="F7632" s="2"/>
    </row>
    <row r="7633" ht="1.5" customHeight="1">
      <c r="A7633" s="4" t="str">
        <f>IFERROR(__xludf.DUMMYFUNCTION("""COMPUTED_VALUE"""),"5. Eraser")</f>
        <v>5. Eraser</v>
      </c>
      <c r="B7633" s="4" t="str">
        <f>IFERROR(__xludf.DUMMYFUNCTION("""COMPUTED_VALUE"""),"5")</f>
        <v>5</v>
      </c>
      <c r="C7633" s="5" t="str">
        <f>IFERROR(__xludf.DUMMYFUNCTION("""COMPUTED_VALUE"""),"https://drive.google.com/file/d/10mU-mX0VcuHBEIc25ZAbNOK8XCVl0DQ2/view?usp=drivesdk")</f>
        <v>https://drive.google.com/file/d/10mU-mX0VcuHBEIc25ZAbNOK8XCVl0DQ2/view?usp=drivesdk</v>
      </c>
      <c r="D7633" s="12"/>
      <c r="E7633" s="11">
        <v>7681.0</v>
      </c>
      <c r="F7633" s="2"/>
    </row>
    <row r="7634" ht="1.5" customHeight="1">
      <c r="A7634" s="4" t="str">
        <f>IFERROR(__xludf.DUMMYFUNCTION("""COMPUTED_VALUE"""),"4. Eggs")</f>
        <v>4. Eggs</v>
      </c>
      <c r="B7634" s="4" t="str">
        <f>IFERROR(__xludf.DUMMYFUNCTION("""COMPUTED_VALUE"""),"4")</f>
        <v>4</v>
      </c>
      <c r="C7634" s="5" t="str">
        <f>IFERROR(__xludf.DUMMYFUNCTION("""COMPUTED_VALUE"""),"https://drive.google.com/file/d/1tgfHlYAjZzkowIgGNCejrC539fO_bcbW/view?usp=drivesdk")</f>
        <v>https://drive.google.com/file/d/1tgfHlYAjZzkowIgGNCejrC539fO_bcbW/view?usp=drivesdk</v>
      </c>
      <c r="D7634" s="12"/>
      <c r="E7634" s="11">
        <v>7682.0</v>
      </c>
      <c r="F7634" s="2"/>
    </row>
    <row r="7635" ht="1.5" customHeight="1">
      <c r="A7635" s="4" t="str">
        <f>IFERROR(__xludf.DUMMYFUNCTION("""COMPUTED_VALUE"""),"4. Eggs")</f>
        <v>4. Eggs</v>
      </c>
      <c r="B7635" s="4" t="str">
        <f>IFERROR(__xludf.DUMMYFUNCTION("""COMPUTED_VALUE"""),"4")</f>
        <v>4</v>
      </c>
      <c r="C7635" s="5" t="str">
        <f>IFERROR(__xludf.DUMMYFUNCTION("""COMPUTED_VALUE"""),"https://drive.google.com/file/d/1Qh9CFZ_GfFHs3X6GBvp8ZuYxt1J83mDW/view?usp=drivesdk")</f>
        <v>https://drive.google.com/file/d/1Qh9CFZ_GfFHs3X6GBvp8ZuYxt1J83mDW/view?usp=drivesdk</v>
      </c>
      <c r="D7635" s="12"/>
      <c r="E7635" s="11">
        <v>7683.0</v>
      </c>
      <c r="F7635" s="2"/>
    </row>
    <row r="7636" ht="1.5" customHeight="1">
      <c r="A7636" s="4" t="str">
        <f>IFERROR(__xludf.DUMMYFUNCTION("""COMPUTED_VALUE"""),"2. Twix")</f>
        <v>2. Twix</v>
      </c>
      <c r="B7636" s="4" t="str">
        <f>IFERROR(__xludf.DUMMYFUNCTION("""COMPUTED_VALUE"""),"2")</f>
        <v>2</v>
      </c>
      <c r="C7636" s="5" t="str">
        <f>IFERROR(__xludf.DUMMYFUNCTION("""COMPUTED_VALUE"""),"https://drive.google.com/file/d/17T23SoU4zgJhsDMKpfyZFEYXUQG33Blt/view?usp=drivesdk")</f>
        <v>https://drive.google.com/file/d/17T23SoU4zgJhsDMKpfyZFEYXUQG33Blt/view?usp=drivesdk</v>
      </c>
      <c r="D7636" s="12"/>
      <c r="E7636" s="11">
        <v>7684.0</v>
      </c>
      <c r="F7636" s="2"/>
    </row>
    <row r="7637" ht="1.5" customHeight="1">
      <c r="A7637" s="4" t="str">
        <f>IFERROR(__xludf.DUMMYFUNCTION("""COMPUTED_VALUE"""),"4. Eggs, 5. Eraser")</f>
        <v>4. Eggs, 5. Eraser</v>
      </c>
      <c r="B7637" s="4" t="str">
        <f>IFERROR(__xludf.DUMMYFUNCTION("""COMPUTED_VALUE"""),"4, 5")</f>
        <v>4, 5</v>
      </c>
      <c r="C7637" s="5" t="str">
        <f>IFERROR(__xludf.DUMMYFUNCTION("""COMPUTED_VALUE"""),"https://drive.google.com/file/d/16McHQDw5CNtK_OFhqIjTZ46hjcyukyDO/view?usp=drivesdk")</f>
        <v>https://drive.google.com/file/d/16McHQDw5CNtK_OFhqIjTZ46hjcyukyDO/view?usp=drivesdk</v>
      </c>
      <c r="D7637" s="12"/>
      <c r="E7637" s="11">
        <v>7685.0</v>
      </c>
      <c r="F7637" s="2"/>
    </row>
    <row r="7638" ht="1.5" customHeight="1">
      <c r="A7638" s="4" t="str">
        <f>IFERROR(__xludf.DUMMYFUNCTION("""COMPUTED_VALUE"""),"4. Eggs, 5. Eraser")</f>
        <v>4. Eggs, 5. Eraser</v>
      </c>
      <c r="B7638" s="4" t="str">
        <f>IFERROR(__xludf.DUMMYFUNCTION("""COMPUTED_VALUE"""),"4, 5")</f>
        <v>4, 5</v>
      </c>
      <c r="C7638" s="5" t="str">
        <f>IFERROR(__xludf.DUMMYFUNCTION("""COMPUTED_VALUE"""),"https://drive.google.com/file/d/1hTv1-4Jh9MP_OCjSwe_YWmaX-y9VvR8g/view?usp=drivesdk")</f>
        <v>https://drive.google.com/file/d/1hTv1-4Jh9MP_OCjSwe_YWmaX-y9VvR8g/view?usp=drivesdk</v>
      </c>
      <c r="D7638" s="12"/>
      <c r="E7638" s="11">
        <v>7686.0</v>
      </c>
      <c r="F7638" s="2"/>
    </row>
    <row r="7639" ht="1.5" customHeight="1">
      <c r="A7639" s="4" t="str">
        <f>IFERROR(__xludf.DUMMYFUNCTION("""COMPUTED_VALUE"""),"4. Eggs, 5. Eraser")</f>
        <v>4. Eggs, 5. Eraser</v>
      </c>
      <c r="B7639" s="4" t="str">
        <f>IFERROR(__xludf.DUMMYFUNCTION("""COMPUTED_VALUE"""),"4, 5")</f>
        <v>4, 5</v>
      </c>
      <c r="C7639" s="5" t="str">
        <f>IFERROR(__xludf.DUMMYFUNCTION("""COMPUTED_VALUE"""),"https://drive.google.com/file/d/1hCvzl-GVPB0QB0LrE7dM-Xi6EzPZ8J3K/view?usp=drivesdk")</f>
        <v>https://drive.google.com/file/d/1hCvzl-GVPB0QB0LrE7dM-Xi6EzPZ8J3K/view?usp=drivesdk</v>
      </c>
      <c r="D7639" s="12"/>
      <c r="E7639" s="11">
        <v>7687.0</v>
      </c>
      <c r="F7639" s="2"/>
    </row>
    <row r="7640" ht="1.5" customHeight="1">
      <c r="A7640" s="4" t="str">
        <f>IFERROR(__xludf.DUMMYFUNCTION("""COMPUTED_VALUE"""),"99. Nezhui")</f>
        <v>99. Nezhui</v>
      </c>
      <c r="B7640" s="4" t="str">
        <f>IFERROR(__xludf.DUMMYFUNCTION("""COMPUTED_VALUE"""),"99")</f>
        <v>99</v>
      </c>
      <c r="C7640" s="5" t="str">
        <f>IFERROR(__xludf.DUMMYFUNCTION("""COMPUTED_VALUE"""),"https://drive.google.com/file/d/1VCcpEs3yQ3VOffouw-e7c4u1RbE4e1Bc/view?usp=drivesdk")</f>
        <v>https://drive.google.com/file/d/1VCcpEs3yQ3VOffouw-e7c4u1RbE4e1Bc/view?usp=drivesdk</v>
      </c>
      <c r="D7640" s="12"/>
      <c r="E7640" s="11">
        <v>7688.0</v>
      </c>
      <c r="F7640" s="2"/>
    </row>
    <row r="7641" ht="1.5" customHeight="1">
      <c r="A7641" s="4" t="str">
        <f>IFERROR(__xludf.DUMMYFUNCTION("""COMPUTED_VALUE"""),"1. Microwave")</f>
        <v>1. Microwave</v>
      </c>
      <c r="B7641" s="4" t="str">
        <f>IFERROR(__xludf.DUMMYFUNCTION("""COMPUTED_VALUE"""),"1")</f>
        <v>1</v>
      </c>
      <c r="C7641" s="5" t="str">
        <f>IFERROR(__xludf.DUMMYFUNCTION("""COMPUTED_VALUE"""),"https://drive.google.com/file/d/1UFRbCmw6q602LpGzrob20z6QE2G412vn/view?usp=drivesdk")</f>
        <v>https://drive.google.com/file/d/1UFRbCmw6q602LpGzrob20z6QE2G412vn/view?usp=drivesdk</v>
      </c>
      <c r="D7641" s="12"/>
      <c r="E7641" s="11">
        <v>7689.0</v>
      </c>
      <c r="F7641" s="2"/>
    </row>
    <row r="7642" ht="1.5" customHeight="1">
      <c r="A7642" s="4" t="str">
        <f>IFERROR(__xludf.DUMMYFUNCTION("""COMPUTED_VALUE"""),"1. Microwave")</f>
        <v>1. Microwave</v>
      </c>
      <c r="B7642" s="4" t="str">
        <f>IFERROR(__xludf.DUMMYFUNCTION("""COMPUTED_VALUE"""),"1")</f>
        <v>1</v>
      </c>
      <c r="C7642" s="5" t="str">
        <f>IFERROR(__xludf.DUMMYFUNCTION("""COMPUTED_VALUE"""),"https://drive.google.com/file/d/1ERfgf6BRQ695cwWPDzylJORGb5kl7osw/view?usp=drivesdk")</f>
        <v>https://drive.google.com/file/d/1ERfgf6BRQ695cwWPDzylJORGb5kl7osw/view?usp=drivesdk</v>
      </c>
      <c r="D7642" s="12"/>
      <c r="E7642" s="11">
        <v>7690.0</v>
      </c>
      <c r="F7642" s="2"/>
    </row>
    <row r="7643" ht="1.5" customHeight="1">
      <c r="A7643" s="4" t="str">
        <f>IFERROR(__xludf.DUMMYFUNCTION("""COMPUTED_VALUE"""),"1. Microwave")</f>
        <v>1. Microwave</v>
      </c>
      <c r="B7643" s="4" t="str">
        <f>IFERROR(__xludf.DUMMYFUNCTION("""COMPUTED_VALUE"""),"1")</f>
        <v>1</v>
      </c>
      <c r="C7643" s="5" t="str">
        <f>IFERROR(__xludf.DUMMYFUNCTION("""COMPUTED_VALUE"""),"https://drive.google.com/file/d/1oL5oDQeN0CFiWCn0H6hAS_a3WR-Cm1uU/view?usp=drivesdk")</f>
        <v>https://drive.google.com/file/d/1oL5oDQeN0CFiWCn0H6hAS_a3WR-Cm1uU/view?usp=drivesdk</v>
      </c>
      <c r="D7643" s="12"/>
      <c r="E7643" s="11">
        <v>7691.0</v>
      </c>
      <c r="F7643" s="2"/>
    </row>
    <row r="7644" ht="1.5" customHeight="1">
      <c r="A7644" s="4" t="str">
        <f>IFERROR(__xludf.DUMMYFUNCTION("""COMPUTED_VALUE"""),"1. Microwave")</f>
        <v>1. Microwave</v>
      </c>
      <c r="B7644" s="4" t="str">
        <f>IFERROR(__xludf.DUMMYFUNCTION("""COMPUTED_VALUE"""),"1")</f>
        <v>1</v>
      </c>
      <c r="C7644" s="5" t="str">
        <f>IFERROR(__xludf.DUMMYFUNCTION("""COMPUTED_VALUE"""),"https://drive.google.com/file/d/1p0ngHgzT-ckwCcBDGvwRiLb0jFbwzVJ9/view?usp=drivesdk")</f>
        <v>https://drive.google.com/file/d/1p0ngHgzT-ckwCcBDGvwRiLb0jFbwzVJ9/view?usp=drivesdk</v>
      </c>
      <c r="D7644" s="12"/>
      <c r="E7644" s="11">
        <v>7692.0</v>
      </c>
      <c r="F7644" s="2"/>
    </row>
    <row r="7645" ht="1.5" customHeight="1">
      <c r="A7645" s="4" t="str">
        <f>IFERROR(__xludf.DUMMYFUNCTION("""COMPUTED_VALUE"""),"99. Nezhui")</f>
        <v>99. Nezhui</v>
      </c>
      <c r="B7645" s="4" t="str">
        <f>IFERROR(__xludf.DUMMYFUNCTION("""COMPUTED_VALUE"""),"99")</f>
        <v>99</v>
      </c>
      <c r="C7645" s="5" t="str">
        <f>IFERROR(__xludf.DUMMYFUNCTION("""COMPUTED_VALUE"""),"https://drive.google.com/file/d/1kwvZcSSuuoz_LKgiEHhAHdmAJCds_uKZ/view?usp=drivesdk")</f>
        <v>https://drive.google.com/file/d/1kwvZcSSuuoz_LKgiEHhAHdmAJCds_uKZ/view?usp=drivesdk</v>
      </c>
      <c r="D7645" s="12"/>
      <c r="E7645" s="11">
        <v>7693.0</v>
      </c>
      <c r="F7645" s="2"/>
    </row>
    <row r="7646" ht="1.5" customHeight="1">
      <c r="A7646" s="4" t="str">
        <f>IFERROR(__xludf.DUMMYFUNCTION("""COMPUTED_VALUE"""),"1. Microwave")</f>
        <v>1. Microwave</v>
      </c>
      <c r="B7646" s="4" t="str">
        <f>IFERROR(__xludf.DUMMYFUNCTION("""COMPUTED_VALUE"""),"1")</f>
        <v>1</v>
      </c>
      <c r="C7646" s="5" t="str">
        <f>IFERROR(__xludf.DUMMYFUNCTION("""COMPUTED_VALUE"""),"https://drive.google.com/file/d/1bOVkhGTFlbJyUdLgSNm3ZSmrT6PWLs6R/view?usp=drivesdk")</f>
        <v>https://drive.google.com/file/d/1bOVkhGTFlbJyUdLgSNm3ZSmrT6PWLs6R/view?usp=drivesdk</v>
      </c>
      <c r="D7646" s="12"/>
      <c r="E7646" s="11">
        <v>7694.0</v>
      </c>
      <c r="F7646" s="2"/>
    </row>
    <row r="7647" ht="1.5" customHeight="1">
      <c r="A7647" s="4" t="str">
        <f>IFERROR(__xludf.DUMMYFUNCTION("""COMPUTED_VALUE"""),"1. Microwave")</f>
        <v>1. Microwave</v>
      </c>
      <c r="B7647" s="4" t="str">
        <f>IFERROR(__xludf.DUMMYFUNCTION("""COMPUTED_VALUE"""),"1")</f>
        <v>1</v>
      </c>
      <c r="C7647" s="5" t="str">
        <f>IFERROR(__xludf.DUMMYFUNCTION("""COMPUTED_VALUE"""),"https://drive.google.com/file/d/17sEr8FBGpK9ffCnNrwCrBZ95-I3N9zrR/view?usp=drivesdk")</f>
        <v>https://drive.google.com/file/d/17sEr8FBGpK9ffCnNrwCrBZ95-I3N9zrR/view?usp=drivesdk</v>
      </c>
      <c r="D7647" s="12"/>
      <c r="E7647" s="11">
        <v>7695.0</v>
      </c>
      <c r="F7647" s="2"/>
    </row>
    <row r="7648" ht="1.5" customHeight="1">
      <c r="A7648" s="4" t="str">
        <f>IFERROR(__xludf.DUMMYFUNCTION("""COMPUTED_VALUE"""),"1. Microwave")</f>
        <v>1. Microwave</v>
      </c>
      <c r="B7648" s="4" t="str">
        <f>IFERROR(__xludf.DUMMYFUNCTION("""COMPUTED_VALUE"""),"1")</f>
        <v>1</v>
      </c>
      <c r="C7648" s="5" t="str">
        <f>IFERROR(__xludf.DUMMYFUNCTION("""COMPUTED_VALUE"""),"https://drive.google.com/file/d/1prCs4BDz5I3WBl5tminMpUQDBVnaJyTe/view?usp=drivesdk")</f>
        <v>https://drive.google.com/file/d/1prCs4BDz5I3WBl5tminMpUQDBVnaJyTe/view?usp=drivesdk</v>
      </c>
      <c r="D7648" s="12"/>
      <c r="E7648" s="11">
        <v>7696.0</v>
      </c>
      <c r="F7648" s="2"/>
    </row>
    <row r="7649" ht="1.5" customHeight="1">
      <c r="A7649" s="4" t="str">
        <f>IFERROR(__xludf.DUMMYFUNCTION("""COMPUTED_VALUE"""),"1. Microwave")</f>
        <v>1. Microwave</v>
      </c>
      <c r="B7649" s="4" t="str">
        <f>IFERROR(__xludf.DUMMYFUNCTION("""COMPUTED_VALUE"""),"1")</f>
        <v>1</v>
      </c>
      <c r="C7649" s="5" t="str">
        <f>IFERROR(__xludf.DUMMYFUNCTION("""COMPUTED_VALUE"""),"https://drive.google.com/file/d/12sGbGim6rGdCQtqX2uNIh5R5696atq5K/view?usp=drivesdk")</f>
        <v>https://drive.google.com/file/d/12sGbGim6rGdCQtqX2uNIh5R5696atq5K/view?usp=drivesdk</v>
      </c>
      <c r="D7649" s="12"/>
      <c r="E7649" s="11">
        <v>7697.0</v>
      </c>
      <c r="F7649" s="2"/>
    </row>
    <row r="7650" ht="1.5" customHeight="1">
      <c r="A7650" s="4" t="str">
        <f>IFERROR(__xludf.DUMMYFUNCTION("""COMPUTED_VALUE"""),"1. Microwave")</f>
        <v>1. Microwave</v>
      </c>
      <c r="B7650" s="4" t="str">
        <f>IFERROR(__xludf.DUMMYFUNCTION("""COMPUTED_VALUE"""),"1")</f>
        <v>1</v>
      </c>
      <c r="C7650" s="5" t="str">
        <f>IFERROR(__xludf.DUMMYFUNCTION("""COMPUTED_VALUE"""),"https://drive.google.com/file/d/1V2dG2CRGMZ5eqoSlY3YSYe00Uv6XcgDy/view?usp=drivesdk")</f>
        <v>https://drive.google.com/file/d/1V2dG2CRGMZ5eqoSlY3YSYe00Uv6XcgDy/view?usp=drivesdk</v>
      </c>
      <c r="D7650" s="12"/>
      <c r="E7650" s="11">
        <v>7698.0</v>
      </c>
      <c r="F7650" s="2"/>
    </row>
    <row r="7651" ht="1.5" customHeight="1">
      <c r="A7651" s="4" t="str">
        <f>IFERROR(__xludf.DUMMYFUNCTION("""COMPUTED_VALUE"""),"127. Eleanor")</f>
        <v>127. Eleanor</v>
      </c>
      <c r="B7651" s="4" t="str">
        <f>IFERROR(__xludf.DUMMYFUNCTION("""COMPUTED_VALUE"""),"127")</f>
        <v>127</v>
      </c>
      <c r="C7651" s="5" t="str">
        <f>IFERROR(__xludf.DUMMYFUNCTION("""COMPUTED_VALUE"""),"https://drive.google.com/file/d/1DbeL5SnHfSsWLHsNVNsEycfYVG-LUeMq/view?usp=drivesdk")</f>
        <v>https://drive.google.com/file/d/1DbeL5SnHfSsWLHsNVNsEycfYVG-LUeMq/view?usp=drivesdk</v>
      </c>
      <c r="D7651" s="12"/>
      <c r="E7651" s="11">
        <v>7699.0</v>
      </c>
      <c r="F7651" s="2"/>
    </row>
    <row r="7652" ht="1.5" customHeight="1">
      <c r="A7652" s="4" t="str">
        <f>IFERROR(__xludf.DUMMYFUNCTION("""COMPUTED_VALUE"""),"88. Vincente")</f>
        <v>88. Vincente</v>
      </c>
      <c r="B7652" s="4" t="str">
        <f>IFERROR(__xludf.DUMMYFUNCTION("""COMPUTED_VALUE"""),"88")</f>
        <v>88</v>
      </c>
      <c r="C7652" s="5" t="str">
        <f>IFERROR(__xludf.DUMMYFUNCTION("""COMPUTED_VALUE"""),"https://drive.google.com/file/d/1Jsx3HFeOkVT6SS6vJMSjladry_hKQSpH/view?usp=drivesdk")</f>
        <v>https://drive.google.com/file/d/1Jsx3HFeOkVT6SS6vJMSjladry_hKQSpH/view?usp=drivesdk</v>
      </c>
      <c r="D7652" s="12"/>
      <c r="E7652" s="11">
        <v>7700.0</v>
      </c>
      <c r="F7652" s="2"/>
    </row>
    <row r="7653" ht="1.5" customHeight="1">
      <c r="A7653" s="4" t="str">
        <f>IFERROR(__xludf.DUMMYFUNCTION("""COMPUTED_VALUE"""),"127. Eleanor, 88. Vincente")</f>
        <v>127. Eleanor, 88. Vincente</v>
      </c>
      <c r="B7653" s="4" t="str">
        <f>IFERROR(__xludf.DUMMYFUNCTION("""COMPUTED_VALUE"""),"127, 88")</f>
        <v>127, 88</v>
      </c>
      <c r="C7653" s="5" t="str">
        <f>IFERROR(__xludf.DUMMYFUNCTION("""COMPUTED_VALUE"""),"https://drive.google.com/file/d/1hBFTdr-3xF_j_BCb5D-ru2dYOXZtNMdf/view?usp=drivesdk")</f>
        <v>https://drive.google.com/file/d/1hBFTdr-3xF_j_BCb5D-ru2dYOXZtNMdf/view?usp=drivesdk</v>
      </c>
      <c r="D7653" s="12"/>
      <c r="E7653" s="11">
        <v>7701.0</v>
      </c>
      <c r="F7653" s="2"/>
    </row>
    <row r="7654" ht="1.5" customHeight="1">
      <c r="A7654" s="4" t="str">
        <f>IFERROR(__xludf.DUMMYFUNCTION("""COMPUTED_VALUE"""),"127. Eleanor, 88. Vincente")</f>
        <v>127. Eleanor, 88. Vincente</v>
      </c>
      <c r="B7654" s="4" t="str">
        <f>IFERROR(__xludf.DUMMYFUNCTION("""COMPUTED_VALUE"""),"127, 88")</f>
        <v>127, 88</v>
      </c>
      <c r="C7654" s="5" t="str">
        <f>IFERROR(__xludf.DUMMYFUNCTION("""COMPUTED_VALUE"""),"https://drive.google.com/file/d/1by39YKDEOp2wyneMmq47bOVeIAmcROiy/view?usp=drivesdk")</f>
        <v>https://drive.google.com/file/d/1by39YKDEOp2wyneMmq47bOVeIAmcROiy/view?usp=drivesdk</v>
      </c>
      <c r="D7654" s="12"/>
      <c r="E7654" s="11">
        <v>7702.0</v>
      </c>
      <c r="F7654" s="2"/>
    </row>
    <row r="7655" ht="1.5" customHeight="1">
      <c r="A7655" s="4" t="str">
        <f>IFERROR(__xludf.DUMMYFUNCTION("""COMPUTED_VALUE"""),"1. Microwave")</f>
        <v>1. Microwave</v>
      </c>
      <c r="B7655" s="4" t="str">
        <f>IFERROR(__xludf.DUMMYFUNCTION("""COMPUTED_VALUE"""),"1")</f>
        <v>1</v>
      </c>
      <c r="C7655" s="5" t="str">
        <f>IFERROR(__xludf.DUMMYFUNCTION("""COMPUTED_VALUE"""),"https://drive.google.com/file/d/1g3E4Jw4jPqZqLip0im2gPkEjwfBOCu3q/view?usp=drivesdk")</f>
        <v>https://drive.google.com/file/d/1g3E4Jw4jPqZqLip0im2gPkEjwfBOCu3q/view?usp=drivesdk</v>
      </c>
      <c r="D7655" s="12"/>
      <c r="E7655" s="11">
        <v>7703.0</v>
      </c>
      <c r="F7655" s="2"/>
    </row>
    <row r="7656" ht="1.5" customHeight="1">
      <c r="A7656" s="4" t="str">
        <f>IFERROR(__xludf.DUMMYFUNCTION("""COMPUTED_VALUE"""),"1. Microwave")</f>
        <v>1. Microwave</v>
      </c>
      <c r="B7656" s="4" t="str">
        <f>IFERROR(__xludf.DUMMYFUNCTION("""COMPUTED_VALUE"""),"1")</f>
        <v>1</v>
      </c>
      <c r="C7656" s="5" t="str">
        <f>IFERROR(__xludf.DUMMYFUNCTION("""COMPUTED_VALUE"""),"https://drive.google.com/file/d/1XybumMIEp6F-YH28X-A2K2A5JDON2xX5/view?usp=drivesdk")</f>
        <v>https://drive.google.com/file/d/1XybumMIEp6F-YH28X-A2K2A5JDON2xX5/view?usp=drivesdk</v>
      </c>
      <c r="D7656" s="12"/>
      <c r="E7656" s="11">
        <v>7704.0</v>
      </c>
      <c r="F7656" s="2"/>
    </row>
    <row r="7657" ht="1.5" customHeight="1">
      <c r="A7657" s="4" t="str">
        <f>IFERROR(__xludf.DUMMYFUNCTION("""COMPUTED_VALUE"""),"1. Microwave")</f>
        <v>1. Microwave</v>
      </c>
      <c r="B7657" s="4" t="str">
        <f>IFERROR(__xludf.DUMMYFUNCTION("""COMPUTED_VALUE"""),"1")</f>
        <v>1</v>
      </c>
      <c r="C7657" s="5" t="str">
        <f>IFERROR(__xludf.DUMMYFUNCTION("""COMPUTED_VALUE"""),"https://drive.google.com/file/d/1KHhq41hv81mOg32txwa5S5tNKq74dIqm/view?usp=drivesdk")</f>
        <v>https://drive.google.com/file/d/1KHhq41hv81mOg32txwa5S5tNKq74dIqm/view?usp=drivesdk</v>
      </c>
      <c r="D7657" s="12"/>
      <c r="E7657" s="11">
        <v>7705.0</v>
      </c>
      <c r="F7657" s="2"/>
    </row>
    <row r="7658" ht="1.5" customHeight="1">
      <c r="A7658" s="4" t="str">
        <f>IFERROR(__xludf.DUMMYFUNCTION("""COMPUTED_VALUE"""),"1. Microwave")</f>
        <v>1. Microwave</v>
      </c>
      <c r="B7658" s="4" t="str">
        <f>IFERROR(__xludf.DUMMYFUNCTION("""COMPUTED_VALUE"""),"1")</f>
        <v>1</v>
      </c>
      <c r="C7658" s="5" t="str">
        <f>IFERROR(__xludf.DUMMYFUNCTION("""COMPUTED_VALUE"""),"https://drive.google.com/file/d/13V7KP2xzi93fkMlnJ2lBr3P8BOVrjhPr/view?usp=drivesdk")</f>
        <v>https://drive.google.com/file/d/13V7KP2xzi93fkMlnJ2lBr3P8BOVrjhPr/view?usp=drivesdk</v>
      </c>
      <c r="D7658" s="12"/>
      <c r="E7658" s="11">
        <v>7706.0</v>
      </c>
      <c r="F7658" s="2"/>
    </row>
    <row r="7659" ht="1.5" customHeight="1">
      <c r="A7659" s="4" t="str">
        <f>IFERROR(__xludf.DUMMYFUNCTION("""COMPUTED_VALUE"""),"1. Microwave")</f>
        <v>1. Microwave</v>
      </c>
      <c r="B7659" s="4" t="str">
        <f>IFERROR(__xludf.DUMMYFUNCTION("""COMPUTED_VALUE"""),"1")</f>
        <v>1</v>
      </c>
      <c r="C7659" s="5" t="str">
        <f>IFERROR(__xludf.DUMMYFUNCTION("""COMPUTED_VALUE"""),"https://drive.google.com/file/d/1asc1dE9p35GydnCwbTPO-VqONNsOQlOi/view?usp=drivesdk")</f>
        <v>https://drive.google.com/file/d/1asc1dE9p35GydnCwbTPO-VqONNsOQlOi/view?usp=drivesdk</v>
      </c>
      <c r="D7659" s="12"/>
      <c r="E7659" s="11">
        <v>7707.0</v>
      </c>
      <c r="F7659" s="2"/>
    </row>
    <row r="7660" ht="1.5" customHeight="1">
      <c r="A7660" s="4" t="str">
        <f>IFERROR(__xludf.DUMMYFUNCTION("""COMPUTED_VALUE"""),"4. Eggs, 5. Eraser")</f>
        <v>4. Eggs, 5. Eraser</v>
      </c>
      <c r="B7660" s="4" t="str">
        <f>IFERROR(__xludf.DUMMYFUNCTION("""COMPUTED_VALUE"""),"4, 5")</f>
        <v>4, 5</v>
      </c>
      <c r="C7660" s="5" t="str">
        <f>IFERROR(__xludf.DUMMYFUNCTION("""COMPUTED_VALUE"""),"https://drive.google.com/file/d/1cojE-_F2X0cPaUR_VKkjQYADYpp4GtiH/view?usp=drivesdk")</f>
        <v>https://drive.google.com/file/d/1cojE-_F2X0cPaUR_VKkjQYADYpp4GtiH/view?usp=drivesdk</v>
      </c>
      <c r="D7660" s="12"/>
      <c r="E7660" s="11">
        <v>7708.0</v>
      </c>
      <c r="F7660" s="2"/>
    </row>
    <row r="7661" ht="1.5" customHeight="1">
      <c r="A7661" s="4" t="str">
        <f>IFERROR(__xludf.DUMMYFUNCTION("""COMPUTED_VALUE"""),"1. Microwave")</f>
        <v>1. Microwave</v>
      </c>
      <c r="B7661" s="4" t="str">
        <f>IFERROR(__xludf.DUMMYFUNCTION("""COMPUTED_VALUE"""),"1")</f>
        <v>1</v>
      </c>
      <c r="C7661" s="5" t="str">
        <f>IFERROR(__xludf.DUMMYFUNCTION("""COMPUTED_VALUE"""),"https://drive.google.com/file/d/1GSv0MsGsVgpEPvFg7HG-B52I4sL5_tXX/view?usp=drivesdk")</f>
        <v>https://drive.google.com/file/d/1GSv0MsGsVgpEPvFg7HG-B52I4sL5_tXX/view?usp=drivesdk</v>
      </c>
      <c r="D7661" s="12"/>
      <c r="E7661" s="11">
        <v>7709.0</v>
      </c>
      <c r="F7661" s="2"/>
    </row>
    <row r="7662" ht="1.5" customHeight="1">
      <c r="A7662" s="4" t="str">
        <f>IFERROR(__xludf.DUMMYFUNCTION("""COMPUTED_VALUE"""),"1. Microwave")</f>
        <v>1. Microwave</v>
      </c>
      <c r="B7662" s="4" t="str">
        <f>IFERROR(__xludf.DUMMYFUNCTION("""COMPUTED_VALUE"""),"1")</f>
        <v>1</v>
      </c>
      <c r="C7662" s="5" t="str">
        <f>IFERROR(__xludf.DUMMYFUNCTION("""COMPUTED_VALUE"""),"https://drive.google.com/file/d/1NRojxhlo8TVqYjh6R8ywFq8EKNkM8WcT/view?usp=drivesdk")</f>
        <v>https://drive.google.com/file/d/1NRojxhlo8TVqYjh6R8ywFq8EKNkM8WcT/view?usp=drivesdk</v>
      </c>
      <c r="D7662" s="12"/>
      <c r="E7662" s="11">
        <v>7710.0</v>
      </c>
      <c r="F7662" s="2"/>
    </row>
    <row r="7663" ht="1.5" customHeight="1">
      <c r="A7663" s="4" t="str">
        <f>IFERROR(__xludf.DUMMYFUNCTION("""COMPUTED_VALUE"""),"1. Microwave")</f>
        <v>1. Microwave</v>
      </c>
      <c r="B7663" s="4" t="str">
        <f>IFERROR(__xludf.DUMMYFUNCTION("""COMPUTED_VALUE"""),"1")</f>
        <v>1</v>
      </c>
      <c r="C7663" s="5" t="str">
        <f>IFERROR(__xludf.DUMMYFUNCTION("""COMPUTED_VALUE"""),"https://drive.google.com/file/d/13SAbs9pTn0URT20S9qVVVz9eksnZ7sxM/view?usp=drivesdk")</f>
        <v>https://drive.google.com/file/d/13SAbs9pTn0URT20S9qVVVz9eksnZ7sxM/view?usp=drivesdk</v>
      </c>
      <c r="D7663" s="12"/>
      <c r="E7663" s="11">
        <v>7711.0</v>
      </c>
      <c r="F7663" s="2"/>
    </row>
    <row r="7664" ht="1.5" customHeight="1">
      <c r="A7664" s="4" t="str">
        <f>IFERROR(__xludf.DUMMYFUNCTION("""COMPUTED_VALUE"""),"1. Microwave")</f>
        <v>1. Microwave</v>
      </c>
      <c r="B7664" s="4" t="str">
        <f>IFERROR(__xludf.DUMMYFUNCTION("""COMPUTED_VALUE"""),"1")</f>
        <v>1</v>
      </c>
      <c r="C7664" s="5" t="str">
        <f>IFERROR(__xludf.DUMMYFUNCTION("""COMPUTED_VALUE"""),"https://drive.google.com/file/d/1IrplOd-BeMMU15F4_I1HmErey6tpXQD_/view?usp=drivesdk")</f>
        <v>https://drive.google.com/file/d/1IrplOd-BeMMU15F4_I1HmErey6tpXQD_/view?usp=drivesdk</v>
      </c>
      <c r="D7664" s="12"/>
      <c r="E7664" s="11">
        <v>7713.0</v>
      </c>
      <c r="F7664" s="2"/>
    </row>
    <row r="7665" ht="1.5" customHeight="1">
      <c r="A7665" s="4" t="str">
        <f>IFERROR(__xludf.DUMMYFUNCTION("""COMPUTED_VALUE"""),"141. Kamahalan")</f>
        <v>141. Kamahalan</v>
      </c>
      <c r="B7665" s="4" t="str">
        <f>IFERROR(__xludf.DUMMYFUNCTION("""COMPUTED_VALUE"""),"141")</f>
        <v>141</v>
      </c>
      <c r="C7665" s="5" t="str">
        <f>IFERROR(__xludf.DUMMYFUNCTION("""COMPUTED_VALUE"""),"https://drive.google.com/file/d/1yI0aqaGdd8zoIuvSvikG6raIph6osRjy/view?usp=drivesdk")</f>
        <v>https://drive.google.com/file/d/1yI0aqaGdd8zoIuvSvikG6raIph6osRjy/view?usp=drivesdk</v>
      </c>
      <c r="D7665" s="12"/>
      <c r="E7665" s="11">
        <v>7714.0</v>
      </c>
      <c r="F7665" s="2"/>
    </row>
    <row r="7666" ht="1.5" customHeight="1">
      <c r="A7666" s="4" t="str">
        <f>IFERROR(__xludf.DUMMYFUNCTION("""COMPUTED_VALUE"""),"58. Eden")</f>
        <v>58. Eden</v>
      </c>
      <c r="B7666" s="4" t="str">
        <f>IFERROR(__xludf.DUMMYFUNCTION("""COMPUTED_VALUE"""),"58")</f>
        <v>58</v>
      </c>
      <c r="C7666" s="5" t="str">
        <f>IFERROR(__xludf.DUMMYFUNCTION("""COMPUTED_VALUE"""),"https://drive.google.com/file/d/1rHFzgtNU22yN1hqjXHe53xHIZ1YqQWFZ/view?usp=drivesdk")</f>
        <v>https://drive.google.com/file/d/1rHFzgtNU22yN1hqjXHe53xHIZ1YqQWFZ/view?usp=drivesdk</v>
      </c>
      <c r="D7666" s="12"/>
      <c r="E7666" s="11">
        <v>7715.0</v>
      </c>
      <c r="F7666" s="2"/>
    </row>
    <row r="7667" ht="1.5" customHeight="1">
      <c r="A7667" s="4" t="str">
        <f>IFERROR(__xludf.DUMMYFUNCTION("""COMPUTED_VALUE"""),"95. Ariel")</f>
        <v>95. Ariel</v>
      </c>
      <c r="B7667" s="4" t="str">
        <f>IFERROR(__xludf.DUMMYFUNCTION("""COMPUTED_VALUE"""),"95")</f>
        <v>95</v>
      </c>
      <c r="C7667" s="5" t="str">
        <f>IFERROR(__xludf.DUMMYFUNCTION("""COMPUTED_VALUE"""),"https://drive.google.com/file/d/1jxiGL-DbNDuruu3T2Tfgsu-pqxlQizuC/view?usp=drivesdk")</f>
        <v>https://drive.google.com/file/d/1jxiGL-DbNDuruu3T2Tfgsu-pqxlQizuC/view?usp=drivesdk</v>
      </c>
      <c r="D7667" s="12"/>
      <c r="E7667" s="11">
        <v>7716.0</v>
      </c>
      <c r="F7667" s="2"/>
    </row>
    <row r="7668" ht="1.5" customHeight="1">
      <c r="A7668" s="4" t="str">
        <f>IFERROR(__xludf.DUMMYFUNCTION("""COMPUTED_VALUE"""),"95. Ariel")</f>
        <v>95. Ariel</v>
      </c>
      <c r="B7668" s="4" t="str">
        <f>IFERROR(__xludf.DUMMYFUNCTION("""COMPUTED_VALUE"""),"95")</f>
        <v>95</v>
      </c>
      <c r="C7668" s="5" t="str">
        <f>IFERROR(__xludf.DUMMYFUNCTION("""COMPUTED_VALUE"""),"https://drive.google.com/file/d/1xO1gr9nd6a2jmen6yNAkz6KBj2WB7fT-/view?usp=drivesdk")</f>
        <v>https://drive.google.com/file/d/1xO1gr9nd6a2jmen6yNAkz6KBj2WB7fT-/view?usp=drivesdk</v>
      </c>
      <c r="D7668" s="12"/>
      <c r="E7668" s="11">
        <v>7717.0</v>
      </c>
      <c r="F7668" s="2"/>
    </row>
    <row r="7669" ht="1.5" customHeight="1">
      <c r="A7669" s="4" t="str">
        <f>IFERROR(__xludf.DUMMYFUNCTION("""COMPUTED_VALUE"""),"58. Eden")</f>
        <v>58. Eden</v>
      </c>
      <c r="B7669" s="4" t="str">
        <f>IFERROR(__xludf.DUMMYFUNCTION("""COMPUTED_VALUE"""),"58")</f>
        <v>58</v>
      </c>
      <c r="C7669" s="5" t="str">
        <f>IFERROR(__xludf.DUMMYFUNCTION("""COMPUTED_VALUE"""),"https://drive.google.com/file/d/1HgqpjKGK24CWnEzl09a40kNXCFviCMmK/view?usp=drivesdk")</f>
        <v>https://drive.google.com/file/d/1HgqpjKGK24CWnEzl09a40kNXCFviCMmK/view?usp=drivesdk</v>
      </c>
      <c r="D7669" s="12"/>
      <c r="E7669" s="11">
        <v>7718.0</v>
      </c>
      <c r="F7669" s="2"/>
    </row>
    <row r="7670" ht="1.5" customHeight="1">
      <c r="A7670" s="4" t="str">
        <f>IFERROR(__xludf.DUMMYFUNCTION("""COMPUTED_VALUE"""),"95. Ariel")</f>
        <v>95. Ariel</v>
      </c>
      <c r="B7670" s="4" t="str">
        <f>IFERROR(__xludf.DUMMYFUNCTION("""COMPUTED_VALUE"""),"95")</f>
        <v>95</v>
      </c>
      <c r="C7670" s="5" t="str">
        <f>IFERROR(__xludf.DUMMYFUNCTION("""COMPUTED_VALUE"""),"https://drive.google.com/file/d/1wPPpjS8DzIhns8JHhldR7AcrMNi4zMBc/view?usp=drivesdk")</f>
        <v>https://drive.google.com/file/d/1wPPpjS8DzIhns8JHhldR7AcrMNi4zMBc/view?usp=drivesdk</v>
      </c>
      <c r="D7670" s="12"/>
      <c r="E7670" s="11">
        <v>7719.0</v>
      </c>
      <c r="F7670" s="2"/>
    </row>
    <row r="7671" ht="1.5" customHeight="1">
      <c r="A7671" s="4" t="str">
        <f>IFERROR(__xludf.DUMMYFUNCTION("""COMPUTED_VALUE"""),"45. Boots")</f>
        <v>45. Boots</v>
      </c>
      <c r="B7671" s="4" t="str">
        <f>IFERROR(__xludf.DUMMYFUNCTION("""COMPUTED_VALUE"""),"45")</f>
        <v>45</v>
      </c>
      <c r="C7671" s="5" t="str">
        <f>IFERROR(__xludf.DUMMYFUNCTION("""COMPUTED_VALUE"""),"https://drive.google.com/file/d/1I34EF7u8HPDTznWEtZsqJAo4DhO5tFRc/view?usp=drivesdk")</f>
        <v>https://drive.google.com/file/d/1I34EF7u8HPDTznWEtZsqJAo4DhO5tFRc/view?usp=drivesdk</v>
      </c>
      <c r="D7671" s="12"/>
      <c r="E7671" s="11">
        <v>7720.0</v>
      </c>
      <c r="F7671" s="2"/>
    </row>
    <row r="7672" ht="1.5" customHeight="1">
      <c r="A7672" s="4" t="str">
        <f>IFERROR(__xludf.DUMMYFUNCTION("""COMPUTED_VALUE"""),"96. Barbie")</f>
        <v>96. Barbie</v>
      </c>
      <c r="B7672" s="4" t="str">
        <f>IFERROR(__xludf.DUMMYFUNCTION("""COMPUTED_VALUE"""),"96")</f>
        <v>96</v>
      </c>
      <c r="C7672" s="5" t="str">
        <f>IFERROR(__xludf.DUMMYFUNCTION("""COMPUTED_VALUE"""),"https://drive.google.com/file/d/18uEk-uYEV4Hr_ZrLz-Y8qfVXtSzls9Uf/view?usp=drivesdk")</f>
        <v>https://drive.google.com/file/d/18uEk-uYEV4Hr_ZrLz-Y8qfVXtSzls9Uf/view?usp=drivesdk</v>
      </c>
      <c r="D7672" s="12"/>
      <c r="E7672" s="11">
        <v>7721.0</v>
      </c>
      <c r="F7672" s="2"/>
    </row>
    <row r="7673" ht="1.5" customHeight="1">
      <c r="A7673" s="4" t="str">
        <f>IFERROR(__xludf.DUMMYFUNCTION("""COMPUTED_VALUE"""),"88. Vincente")</f>
        <v>88. Vincente</v>
      </c>
      <c r="B7673" s="4" t="str">
        <f>IFERROR(__xludf.DUMMYFUNCTION("""COMPUTED_VALUE"""),"88")</f>
        <v>88</v>
      </c>
      <c r="C7673" s="5" t="str">
        <f>IFERROR(__xludf.DUMMYFUNCTION("""COMPUTED_VALUE"""),"https://drive.google.com/file/d/1LgL9PlRrLXPrem9mFhkvIFvQKlQ1L3J9/view?usp=drivesdk")</f>
        <v>https://drive.google.com/file/d/1LgL9PlRrLXPrem9mFhkvIFvQKlQ1L3J9/view?usp=drivesdk</v>
      </c>
      <c r="D7673" s="12"/>
      <c r="E7673" s="11">
        <v>7722.0</v>
      </c>
      <c r="F7673" s="2"/>
    </row>
    <row r="7674" ht="1.5" customHeight="1">
      <c r="A7674" s="4" t="str">
        <f>IFERROR(__xludf.DUMMYFUNCTION("""COMPUTED_VALUE"""),"88. Vincente")</f>
        <v>88. Vincente</v>
      </c>
      <c r="B7674" s="4" t="str">
        <f>IFERROR(__xludf.DUMMYFUNCTION("""COMPUTED_VALUE"""),"88")</f>
        <v>88</v>
      </c>
      <c r="C7674" s="5" t="str">
        <f>IFERROR(__xludf.DUMMYFUNCTION("""COMPUTED_VALUE"""),"https://drive.google.com/file/d/1bYztJ7giv1H7agOVNzswoXPHHI98ufcd/view?usp=drivesdk")</f>
        <v>https://drive.google.com/file/d/1bYztJ7giv1H7agOVNzswoXPHHI98ufcd/view?usp=drivesdk</v>
      </c>
      <c r="D7674" s="12"/>
      <c r="E7674" s="11">
        <v>7723.0</v>
      </c>
      <c r="F7674" s="2"/>
    </row>
    <row r="7675" ht="1.5" customHeight="1">
      <c r="A7675" s="4" t="str">
        <f>IFERROR(__xludf.DUMMYFUNCTION("""COMPUTED_VALUE"""),"88. Vincente")</f>
        <v>88. Vincente</v>
      </c>
      <c r="B7675" s="4" t="str">
        <f>IFERROR(__xludf.DUMMYFUNCTION("""COMPUTED_VALUE"""),"88")</f>
        <v>88</v>
      </c>
      <c r="C7675" s="5" t="str">
        <f>IFERROR(__xludf.DUMMYFUNCTION("""COMPUTED_VALUE"""),"https://drive.google.com/file/d/11fkO5Kdw-OLH8ky2PRubwJmK-GM5x5gA/view?usp=drivesdk")</f>
        <v>https://drive.google.com/file/d/11fkO5Kdw-OLH8ky2PRubwJmK-GM5x5gA/view?usp=drivesdk</v>
      </c>
      <c r="D7675" s="12"/>
      <c r="E7675" s="11">
        <v>7724.0</v>
      </c>
      <c r="F7675" s="2"/>
    </row>
    <row r="7676" ht="1.5" customHeight="1">
      <c r="A7676" s="4" t="str">
        <f>IFERROR(__xludf.DUMMYFUNCTION("""COMPUTED_VALUE"""),"58. Eden")</f>
        <v>58. Eden</v>
      </c>
      <c r="B7676" s="4" t="str">
        <f>IFERROR(__xludf.DUMMYFUNCTION("""COMPUTED_VALUE"""),"58")</f>
        <v>58</v>
      </c>
      <c r="C7676" s="5" t="str">
        <f>IFERROR(__xludf.DUMMYFUNCTION("""COMPUTED_VALUE"""),"https://drive.google.com/file/d/1z5RgmIVYzDwsGdmfEo3TY2IyxA912ep6/view?usp=drivesdk")</f>
        <v>https://drive.google.com/file/d/1z5RgmIVYzDwsGdmfEo3TY2IyxA912ep6/view?usp=drivesdk</v>
      </c>
      <c r="D7676" s="12"/>
      <c r="E7676" s="11">
        <v>7725.0</v>
      </c>
      <c r="F7676" s="2"/>
    </row>
    <row r="7677" ht="1.5" customHeight="1">
      <c r="A7677" s="4" t="str">
        <f>IFERROR(__xludf.DUMMYFUNCTION("""COMPUTED_VALUE"""),"95. Ariel")</f>
        <v>95. Ariel</v>
      </c>
      <c r="B7677" s="4" t="str">
        <f>IFERROR(__xludf.DUMMYFUNCTION("""COMPUTED_VALUE"""),"95")</f>
        <v>95</v>
      </c>
      <c r="C7677" s="5" t="str">
        <f>IFERROR(__xludf.DUMMYFUNCTION("""COMPUTED_VALUE"""),"https://drive.google.com/file/d/1OxGdFZFyCllBeuX6JYOqzURrKf4sexyj/view?usp=drivesdk")</f>
        <v>https://drive.google.com/file/d/1OxGdFZFyCllBeuX6JYOqzURrKf4sexyj/view?usp=drivesdk</v>
      </c>
      <c r="D7677" s="12"/>
      <c r="E7677" s="11">
        <v>7726.0</v>
      </c>
      <c r="F7677" s="2"/>
    </row>
    <row r="7678" ht="1.5" customHeight="1">
      <c r="A7678" s="4" t="str">
        <f>IFERROR(__xludf.DUMMYFUNCTION("""COMPUTED_VALUE"""),"58. Eden")</f>
        <v>58. Eden</v>
      </c>
      <c r="B7678" s="4" t="str">
        <f>IFERROR(__xludf.DUMMYFUNCTION("""COMPUTED_VALUE"""),"58")</f>
        <v>58</v>
      </c>
      <c r="C7678" s="5" t="str">
        <f>IFERROR(__xludf.DUMMYFUNCTION("""COMPUTED_VALUE"""),"https://drive.google.com/file/d/1hkuBmcx6PzJtjwn6xqJGK5aYcYd0s6Xi/view?usp=drivesdk")</f>
        <v>https://drive.google.com/file/d/1hkuBmcx6PzJtjwn6xqJGK5aYcYd0s6Xi/view?usp=drivesdk</v>
      </c>
      <c r="D7678" s="12"/>
      <c r="E7678" s="11">
        <v>7727.0</v>
      </c>
      <c r="F7678" s="2"/>
    </row>
    <row r="7679" ht="1.5" customHeight="1">
      <c r="A7679" s="4" t="str">
        <f>IFERROR(__xludf.DUMMYFUNCTION("""COMPUTED_VALUE"""),"58. Eden")</f>
        <v>58. Eden</v>
      </c>
      <c r="B7679" s="4" t="str">
        <f>IFERROR(__xludf.DUMMYFUNCTION("""COMPUTED_VALUE"""),"58")</f>
        <v>58</v>
      </c>
      <c r="C7679" s="5" t="str">
        <f>IFERROR(__xludf.DUMMYFUNCTION("""COMPUTED_VALUE"""),"https://drive.google.com/file/d/1VdcaGHJC6BzPGE2bJiHGTno-GOaDpl5f/view?usp=drivesdk")</f>
        <v>https://drive.google.com/file/d/1VdcaGHJC6BzPGE2bJiHGTno-GOaDpl5f/view?usp=drivesdk</v>
      </c>
      <c r="D7679" s="12"/>
      <c r="E7679" s="11">
        <v>7728.0</v>
      </c>
      <c r="F7679" s="2"/>
    </row>
    <row r="7680" ht="1.5" customHeight="1">
      <c r="A7680" s="4" t="str">
        <f>IFERROR(__xludf.DUMMYFUNCTION("""COMPUTED_VALUE"""),"95. Ariel")</f>
        <v>95. Ariel</v>
      </c>
      <c r="B7680" s="4" t="str">
        <f>IFERROR(__xludf.DUMMYFUNCTION("""COMPUTED_VALUE"""),"95")</f>
        <v>95</v>
      </c>
      <c r="C7680" s="5" t="str">
        <f>IFERROR(__xludf.DUMMYFUNCTION("""COMPUTED_VALUE"""),"https://drive.google.com/file/d/1jE8TgveWk2hw7WWB0NzPckBulwVj5nRj/view?usp=drivesdk")</f>
        <v>https://drive.google.com/file/d/1jE8TgveWk2hw7WWB0NzPckBulwVj5nRj/view?usp=drivesdk</v>
      </c>
      <c r="D7680" s="12"/>
      <c r="E7680" s="11">
        <v>7729.0</v>
      </c>
      <c r="F7680" s="2"/>
    </row>
    <row r="7681" ht="1.5" customHeight="1">
      <c r="A7681" s="4" t="str">
        <f>IFERROR(__xludf.DUMMYFUNCTION("""COMPUTED_VALUE"""),"95. Ariel")</f>
        <v>95. Ariel</v>
      </c>
      <c r="B7681" s="4" t="str">
        <f>IFERROR(__xludf.DUMMYFUNCTION("""COMPUTED_VALUE"""),"95")</f>
        <v>95</v>
      </c>
      <c r="C7681" s="5" t="str">
        <f>IFERROR(__xludf.DUMMYFUNCTION("""COMPUTED_VALUE"""),"https://drive.google.com/file/d/1r3wOSZTFNY6KWnKg0IKA6SWLaImFWzo8/view?usp=drivesdk")</f>
        <v>https://drive.google.com/file/d/1r3wOSZTFNY6KWnKg0IKA6SWLaImFWzo8/view?usp=drivesdk</v>
      </c>
      <c r="D7681" s="12"/>
      <c r="E7681" s="11">
        <v>7730.0</v>
      </c>
      <c r="F7681" s="2"/>
    </row>
    <row r="7682" ht="1.5" customHeight="1">
      <c r="A7682" s="4" t="str">
        <f>IFERROR(__xludf.DUMMYFUNCTION("""COMPUTED_VALUE"""),"95. Ariel")</f>
        <v>95. Ariel</v>
      </c>
      <c r="B7682" s="4" t="str">
        <f>IFERROR(__xludf.DUMMYFUNCTION("""COMPUTED_VALUE"""),"95")</f>
        <v>95</v>
      </c>
      <c r="C7682" s="5" t="str">
        <f>IFERROR(__xludf.DUMMYFUNCTION("""COMPUTED_VALUE"""),"https://drive.google.com/file/d/1_6prcvOK4bR8-1HbkkmIPm6Y7jPN4bUO/view?usp=drivesdk")</f>
        <v>https://drive.google.com/file/d/1_6prcvOK4bR8-1HbkkmIPm6Y7jPN4bUO/view?usp=drivesdk</v>
      </c>
      <c r="D7682" s="12"/>
      <c r="E7682" s="11">
        <v>7731.0</v>
      </c>
      <c r="F7682" s="2"/>
    </row>
    <row r="7683" ht="1.5" customHeight="1">
      <c r="A7683" s="4" t="str">
        <f>IFERROR(__xludf.DUMMYFUNCTION("""COMPUTED_VALUE"""),"137. Harpy, 138. Hare")</f>
        <v>137. Harpy, 138. Hare</v>
      </c>
      <c r="B7683" s="4" t="str">
        <f>IFERROR(__xludf.DUMMYFUNCTION("""COMPUTED_VALUE"""),"137, 138")</f>
        <v>137, 138</v>
      </c>
      <c r="C7683" s="5" t="str">
        <f>IFERROR(__xludf.DUMMYFUNCTION("""COMPUTED_VALUE"""),"https://drive.google.com/file/d/1_fpbfBhkdpinej5txCM3Z_L0GYAP403u/view?usp=drivesdk")</f>
        <v>https://drive.google.com/file/d/1_fpbfBhkdpinej5txCM3Z_L0GYAP403u/view?usp=drivesdk</v>
      </c>
      <c r="D7683" s="12"/>
      <c r="E7683" s="11">
        <v>7732.0</v>
      </c>
      <c r="F7683" s="2"/>
    </row>
    <row r="7684" ht="1.5" customHeight="1">
      <c r="A7684" s="4" t="str">
        <f>IFERROR(__xludf.DUMMYFUNCTION("""COMPUTED_VALUE"""),"88. Vincente")</f>
        <v>88. Vincente</v>
      </c>
      <c r="B7684" s="4" t="str">
        <f>IFERROR(__xludf.DUMMYFUNCTION("""COMPUTED_VALUE"""),"88")</f>
        <v>88</v>
      </c>
      <c r="C7684" s="5" t="str">
        <f>IFERROR(__xludf.DUMMYFUNCTION("""COMPUTED_VALUE"""),"https://drive.google.com/file/d/1bUyI5Mb0SlYc1VWKLqSjhmCKlNq4QZxk/view?usp=drivesdk")</f>
        <v>https://drive.google.com/file/d/1bUyI5Mb0SlYc1VWKLqSjhmCKlNq4QZxk/view?usp=drivesdk</v>
      </c>
      <c r="D7684" s="12"/>
      <c r="E7684" s="11">
        <v>7733.0</v>
      </c>
      <c r="F7684" s="2"/>
    </row>
    <row r="7685" ht="1.5" customHeight="1">
      <c r="A7685" s="4" t="str">
        <f>IFERROR(__xludf.DUMMYFUNCTION("""COMPUTED_VALUE"""),"58. Eden")</f>
        <v>58. Eden</v>
      </c>
      <c r="B7685" s="4" t="str">
        <f>IFERROR(__xludf.DUMMYFUNCTION("""COMPUTED_VALUE"""),"58")</f>
        <v>58</v>
      </c>
      <c r="C7685" s="5" t="str">
        <f>IFERROR(__xludf.DUMMYFUNCTION("""COMPUTED_VALUE"""),"https://drive.google.com/file/d/1cdEfDQnM1ULtvCEoGRVB-SQcLlBoZT6J/view?usp=drivesdk")</f>
        <v>https://drive.google.com/file/d/1cdEfDQnM1ULtvCEoGRVB-SQcLlBoZT6J/view?usp=drivesdk</v>
      </c>
      <c r="D7685" s="12"/>
      <c r="E7685" s="11">
        <v>7734.0</v>
      </c>
      <c r="F7685" s="2"/>
    </row>
    <row r="7686" ht="1.5" customHeight="1">
      <c r="A7686" s="4" t="str">
        <f>IFERROR(__xludf.DUMMYFUNCTION("""COMPUTED_VALUE"""),"88. Vincente")</f>
        <v>88. Vincente</v>
      </c>
      <c r="B7686" s="4" t="str">
        <f>IFERROR(__xludf.DUMMYFUNCTION("""COMPUTED_VALUE"""),"88")</f>
        <v>88</v>
      </c>
      <c r="C7686" s="5" t="str">
        <f>IFERROR(__xludf.DUMMYFUNCTION("""COMPUTED_VALUE"""),"https://drive.google.com/file/d/15JiqylSh3WJCzptBdEDkzFvyvmR9oNCO/view?usp=drivesdk")</f>
        <v>https://drive.google.com/file/d/15JiqylSh3WJCzptBdEDkzFvyvmR9oNCO/view?usp=drivesdk</v>
      </c>
      <c r="D7686" s="12"/>
      <c r="E7686" s="11">
        <v>7735.0</v>
      </c>
      <c r="F7686" s="2"/>
    </row>
    <row r="7687" ht="1.5" customHeight="1">
      <c r="A7687" s="4" t="str">
        <f>IFERROR(__xludf.DUMMYFUNCTION("""COMPUTED_VALUE"""),"1. Microwave")</f>
        <v>1. Microwave</v>
      </c>
      <c r="B7687" s="4" t="str">
        <f>IFERROR(__xludf.DUMMYFUNCTION("""COMPUTED_VALUE"""),"1")</f>
        <v>1</v>
      </c>
      <c r="C7687" s="5" t="str">
        <f>IFERROR(__xludf.DUMMYFUNCTION("""COMPUTED_VALUE"""),"https://drive.google.com/file/d/1SU_XBCXthBG-geBOPjXUaVBDycfqkkso/view?usp=drivesdk")</f>
        <v>https://drive.google.com/file/d/1SU_XBCXthBG-geBOPjXUaVBDycfqkkso/view?usp=drivesdk</v>
      </c>
      <c r="D7687" s="12"/>
      <c r="E7687" s="11">
        <v>7736.0</v>
      </c>
      <c r="F7687" s="2"/>
    </row>
    <row r="7688" ht="1.5" customHeight="1">
      <c r="A7688" s="4" t="str">
        <f>IFERROR(__xludf.DUMMYFUNCTION("""COMPUTED_VALUE"""),"2. Twix")</f>
        <v>2. Twix</v>
      </c>
      <c r="B7688" s="4" t="str">
        <f>IFERROR(__xludf.DUMMYFUNCTION("""COMPUTED_VALUE"""),"2")</f>
        <v>2</v>
      </c>
      <c r="C7688" s="5" t="str">
        <f>IFERROR(__xludf.DUMMYFUNCTION("""COMPUTED_VALUE"""),"https://drive.google.com/file/d/1Fv75IHA5EqpZ9z9MbEiP8v-Q_U7XlepU/view?usp=drivesdk")</f>
        <v>https://drive.google.com/file/d/1Fv75IHA5EqpZ9z9MbEiP8v-Q_U7XlepU/view?usp=drivesdk</v>
      </c>
      <c r="D7688" s="12"/>
      <c r="E7688" s="11">
        <v>7737.0</v>
      </c>
      <c r="F7688" s="2"/>
    </row>
    <row r="7689" ht="1.5" customHeight="1">
      <c r="A7689" s="4" t="str">
        <f>IFERROR(__xludf.DUMMYFUNCTION("""COMPUTED_VALUE"""),"1. Microwave")</f>
        <v>1. Microwave</v>
      </c>
      <c r="B7689" s="4" t="str">
        <f>IFERROR(__xludf.DUMMYFUNCTION("""COMPUTED_VALUE"""),"1")</f>
        <v>1</v>
      </c>
      <c r="C7689" s="5" t="str">
        <f>IFERROR(__xludf.DUMMYFUNCTION("""COMPUTED_VALUE"""),"https://drive.google.com/file/d/1xu3cP-TflhV2WguehWA7NKzERSR-T9a9/view?usp=drivesdk")</f>
        <v>https://drive.google.com/file/d/1xu3cP-TflhV2WguehWA7NKzERSR-T9a9/view?usp=drivesdk</v>
      </c>
      <c r="D7689" s="12"/>
      <c r="E7689" s="11">
        <v>7738.0</v>
      </c>
      <c r="F7689" s="2"/>
    </row>
    <row r="7690" ht="1.5" customHeight="1">
      <c r="A7690" s="4" t="str">
        <f>IFERROR(__xludf.DUMMYFUNCTION("""COMPUTED_VALUE"""),"4. Eggs, 5. Eraser")</f>
        <v>4. Eggs, 5. Eraser</v>
      </c>
      <c r="B7690" s="4" t="str">
        <f>IFERROR(__xludf.DUMMYFUNCTION("""COMPUTED_VALUE"""),"4, 5")</f>
        <v>4, 5</v>
      </c>
      <c r="C7690" s="5" t="str">
        <f>IFERROR(__xludf.DUMMYFUNCTION("""COMPUTED_VALUE"""),"https://drive.google.com/file/d/1QAsw-w6kLVvn64KCSfmjCU_PvF4l_Z5X/view?usp=drivesdk")</f>
        <v>https://drive.google.com/file/d/1QAsw-w6kLVvn64KCSfmjCU_PvF4l_Z5X/view?usp=drivesdk</v>
      </c>
      <c r="D7690" s="12"/>
      <c r="E7690" s="11">
        <v>7739.0</v>
      </c>
      <c r="F7690" s="2"/>
    </row>
    <row r="7691" ht="1.5" customHeight="1">
      <c r="A7691" s="4" t="str">
        <f>IFERROR(__xludf.DUMMYFUNCTION("""COMPUTED_VALUE"""),"2. Twix")</f>
        <v>2. Twix</v>
      </c>
      <c r="B7691" s="4" t="str">
        <f>IFERROR(__xludf.DUMMYFUNCTION("""COMPUTED_VALUE"""),"2")</f>
        <v>2</v>
      </c>
      <c r="C7691" s="5" t="str">
        <f>IFERROR(__xludf.DUMMYFUNCTION("""COMPUTED_VALUE"""),"https://drive.google.com/file/d/123xk-20ToF50JdAwYG_cc8O6PZbDN_OC/view?usp=drivesdk")</f>
        <v>https://drive.google.com/file/d/123xk-20ToF50JdAwYG_cc8O6PZbDN_OC/view?usp=drivesdk</v>
      </c>
      <c r="D7691" s="12"/>
      <c r="E7691" s="11">
        <v>7740.0</v>
      </c>
      <c r="F7691" s="2"/>
    </row>
    <row r="7692" ht="1.5" customHeight="1">
      <c r="A7692" s="4" t="str">
        <f>IFERROR(__xludf.DUMMYFUNCTION("""COMPUTED_VALUE"""),"99. Nezhui")</f>
        <v>99. Nezhui</v>
      </c>
      <c r="B7692" s="4" t="str">
        <f>IFERROR(__xludf.DUMMYFUNCTION("""COMPUTED_VALUE"""),"99")</f>
        <v>99</v>
      </c>
      <c r="C7692" s="5" t="str">
        <f>IFERROR(__xludf.DUMMYFUNCTION("""COMPUTED_VALUE"""),"https://drive.google.com/file/d/17sLcMHIzPVu9z1VgWDTc3YGk73AhfSgG/view?usp=drivesdk")</f>
        <v>https://drive.google.com/file/d/17sLcMHIzPVu9z1VgWDTc3YGk73AhfSgG/view?usp=drivesdk</v>
      </c>
      <c r="D7692" s="12"/>
      <c r="E7692" s="11">
        <v>7741.0</v>
      </c>
      <c r="F7692" s="2"/>
    </row>
    <row r="7693" ht="1.5" customHeight="1">
      <c r="A7693" s="4" t="str">
        <f>IFERROR(__xludf.DUMMYFUNCTION("""COMPUTED_VALUE"""),"36. Scringle")</f>
        <v>36. Scringle</v>
      </c>
      <c r="B7693" s="4" t="str">
        <f>IFERROR(__xludf.DUMMYFUNCTION("""COMPUTED_VALUE"""),"36")</f>
        <v>36</v>
      </c>
      <c r="C7693" s="5" t="str">
        <f>IFERROR(__xludf.DUMMYFUNCTION("""COMPUTED_VALUE"""),"https://drive.google.com/file/d/1vj6RzAiHtsvVKkF1RsRUM_-p2bjGXsRh/view?usp=drivesdk")</f>
        <v>https://drive.google.com/file/d/1vj6RzAiHtsvVKkF1RsRUM_-p2bjGXsRh/view?usp=drivesdk</v>
      </c>
      <c r="D7693" s="12"/>
      <c r="E7693" s="11">
        <v>7742.0</v>
      </c>
      <c r="F7693" s="2"/>
    </row>
    <row r="7694" ht="1.5" customHeight="1">
      <c r="A7694" s="4" t="str">
        <f>IFERROR(__xludf.DUMMYFUNCTION("""COMPUTED_VALUE"""),"1. Microwave")</f>
        <v>1. Microwave</v>
      </c>
      <c r="B7694" s="4" t="str">
        <f>IFERROR(__xludf.DUMMYFUNCTION("""COMPUTED_VALUE"""),"1")</f>
        <v>1</v>
      </c>
      <c r="C7694" s="5" t="str">
        <f>IFERROR(__xludf.DUMMYFUNCTION("""COMPUTED_VALUE"""),"https://drive.google.com/file/d/1VpW2wQ-HfNwPjgn6vYI1QUT8RuRGa_Zc/view?usp=drivesdk")</f>
        <v>https://drive.google.com/file/d/1VpW2wQ-HfNwPjgn6vYI1QUT8RuRGa_Zc/view?usp=drivesdk</v>
      </c>
      <c r="D7694" s="12"/>
      <c r="E7694" s="11">
        <v>7743.0</v>
      </c>
      <c r="F7694" s="2"/>
    </row>
    <row r="7695" ht="1.5" customHeight="1">
      <c r="A7695" s="4" t="str">
        <f>IFERROR(__xludf.DUMMYFUNCTION("""COMPUTED_VALUE"""),"1. Microwave")</f>
        <v>1. Microwave</v>
      </c>
      <c r="B7695" s="4" t="str">
        <f>IFERROR(__xludf.DUMMYFUNCTION("""COMPUTED_VALUE"""),"1")</f>
        <v>1</v>
      </c>
      <c r="C7695" s="5" t="str">
        <f>IFERROR(__xludf.DUMMYFUNCTION("""COMPUTED_VALUE"""),"https://drive.google.com/file/d/10waFW1QoVuaDhVcPAFslvN6_x5ido0sW/view?usp=drivesdk")</f>
        <v>https://drive.google.com/file/d/10waFW1QoVuaDhVcPAFslvN6_x5ido0sW/view?usp=drivesdk</v>
      </c>
      <c r="D7695" s="12"/>
      <c r="E7695" s="11">
        <v>7744.0</v>
      </c>
      <c r="F7695" s="2"/>
    </row>
    <row r="7696" ht="1.5" customHeight="1">
      <c r="A7696" s="4" t="str">
        <f>IFERROR(__xludf.DUMMYFUNCTION("""COMPUTED_VALUE"""),"27. Angel, 29. Ginger, 30. Pepper, 32. Noir, 33. Zee")</f>
        <v>27. Angel, 29. Ginger, 30. Pepper, 32. Noir, 33. Zee</v>
      </c>
      <c r="B7696" s="4" t="str">
        <f>IFERROR(__xludf.DUMMYFUNCTION("""COMPUTED_VALUE"""),"27, 29, 30, 32, 33")</f>
        <v>27, 29, 30, 32, 33</v>
      </c>
      <c r="C7696" s="5" t="str">
        <f>IFERROR(__xludf.DUMMYFUNCTION("""COMPUTED_VALUE"""),"https://drive.google.com/file/d/1TVnknnnLhWkWBAsDaXlGMywWJoY7Hu1M/view?usp=drivesdk")</f>
        <v>https://drive.google.com/file/d/1TVnknnnLhWkWBAsDaXlGMywWJoY7Hu1M/view?usp=drivesdk</v>
      </c>
      <c r="D7696" s="12"/>
      <c r="E7696" s="11">
        <v>7745.0</v>
      </c>
      <c r="F7696" s="2"/>
    </row>
    <row r="7697" ht="1.5" customHeight="1">
      <c r="A7697" s="4" t="str">
        <f>IFERROR(__xludf.DUMMYFUNCTION("""COMPUTED_VALUE"""),"116. Itzel")</f>
        <v>116. Itzel</v>
      </c>
      <c r="B7697" s="4" t="str">
        <f>IFERROR(__xludf.DUMMYFUNCTION("""COMPUTED_VALUE"""),"116")</f>
        <v>116</v>
      </c>
      <c r="C7697" s="5" t="str">
        <f>IFERROR(__xludf.DUMMYFUNCTION("""COMPUTED_VALUE"""),"https://drive.google.com/file/d/181hJyETIor1-OuDuoZygl4YA5QM4kp38/view?usp=drivesdk")</f>
        <v>https://drive.google.com/file/d/181hJyETIor1-OuDuoZygl4YA5QM4kp38/view?usp=drivesdk</v>
      </c>
      <c r="D7697" s="12"/>
      <c r="E7697" s="11">
        <v>7746.0</v>
      </c>
      <c r="F7697" s="2"/>
    </row>
    <row r="7698" ht="1.5" customHeight="1">
      <c r="A7698" s="4" t="str">
        <f>IFERROR(__xludf.DUMMYFUNCTION("""COMPUTED_VALUE"""),"116. Itzel")</f>
        <v>116. Itzel</v>
      </c>
      <c r="B7698" s="4" t="str">
        <f>IFERROR(__xludf.DUMMYFUNCTION("""COMPUTED_VALUE"""),"116")</f>
        <v>116</v>
      </c>
      <c r="C7698" s="5" t="str">
        <f>IFERROR(__xludf.DUMMYFUNCTION("""COMPUTED_VALUE"""),"https://drive.google.com/file/d/1xE1UuyqHavmC0Q0TLdDzh84_6ZdLbgW0/view?usp=drivesdk")</f>
        <v>https://drive.google.com/file/d/1xE1UuyqHavmC0Q0TLdDzh84_6ZdLbgW0/view?usp=drivesdk</v>
      </c>
      <c r="D7698" s="12"/>
      <c r="E7698" s="11">
        <v>7747.0</v>
      </c>
      <c r="F7698" s="2"/>
    </row>
    <row r="7699" ht="1.5" customHeight="1">
      <c r="A7699" s="4" t="str">
        <f>IFERROR(__xludf.DUMMYFUNCTION("""COMPUTED_VALUE"""),"116. Itzel")</f>
        <v>116. Itzel</v>
      </c>
      <c r="B7699" s="4" t="str">
        <f>IFERROR(__xludf.DUMMYFUNCTION("""COMPUTED_VALUE"""),"116")</f>
        <v>116</v>
      </c>
      <c r="C7699" s="5" t="str">
        <f>IFERROR(__xludf.DUMMYFUNCTION("""COMPUTED_VALUE"""),"https://drive.google.com/file/d/1G-XHXX3VPwXM0eSMfbE4CJdzBFhO1_8F/view?usp=drivesdk")</f>
        <v>https://drive.google.com/file/d/1G-XHXX3VPwXM0eSMfbE4CJdzBFhO1_8F/view?usp=drivesdk</v>
      </c>
      <c r="D7699" s="12"/>
      <c r="E7699" s="11">
        <v>7748.0</v>
      </c>
      <c r="F7699" s="2"/>
    </row>
    <row r="7700" ht="1.5" customHeight="1">
      <c r="A7700" s="4" t="str">
        <f>IFERROR(__xludf.DUMMYFUNCTION("""COMPUTED_VALUE"""),"116. Itzel")</f>
        <v>116. Itzel</v>
      </c>
      <c r="B7700" s="4" t="str">
        <f>IFERROR(__xludf.DUMMYFUNCTION("""COMPUTED_VALUE"""),"116")</f>
        <v>116</v>
      </c>
      <c r="C7700" s="5" t="str">
        <f>IFERROR(__xludf.DUMMYFUNCTION("""COMPUTED_VALUE"""),"https://drive.google.com/file/d/1QNNzrd0UwPyT8aAM6Kl96O8Dlvnn3mGm/view?usp=drivesdk")</f>
        <v>https://drive.google.com/file/d/1QNNzrd0UwPyT8aAM6Kl96O8Dlvnn3mGm/view?usp=drivesdk</v>
      </c>
      <c r="D7700" s="12"/>
      <c r="E7700" s="11">
        <v>7749.0</v>
      </c>
      <c r="F7700" s="2"/>
    </row>
    <row r="7701" ht="1.5" customHeight="1">
      <c r="A7701" s="4" t="str">
        <f>IFERROR(__xludf.DUMMYFUNCTION("""COMPUTED_VALUE"""),"94. Itztli")</f>
        <v>94. Itztli</v>
      </c>
      <c r="B7701" s="4" t="str">
        <f>IFERROR(__xludf.DUMMYFUNCTION("""COMPUTED_VALUE"""),"94")</f>
        <v>94</v>
      </c>
      <c r="C7701" s="5" t="str">
        <f>IFERROR(__xludf.DUMMYFUNCTION("""COMPUTED_VALUE"""),"https://drive.google.com/file/d/14lR6KO0sYu1C-SNFAhwQfIOS9ceOk_yJ/view?usp=drivesdk")</f>
        <v>https://drive.google.com/file/d/14lR6KO0sYu1C-SNFAhwQfIOS9ceOk_yJ/view?usp=drivesdk</v>
      </c>
      <c r="D7701" s="12"/>
      <c r="E7701" s="11">
        <v>7750.0</v>
      </c>
      <c r="F7701" s="2"/>
    </row>
    <row r="7702" ht="1.5" customHeight="1">
      <c r="A7702" s="4" t="str">
        <f>IFERROR(__xludf.DUMMYFUNCTION("""COMPUTED_VALUE"""),"21. Paquini")</f>
        <v>21. Paquini</v>
      </c>
      <c r="B7702" s="4" t="str">
        <f>IFERROR(__xludf.DUMMYFUNCTION("""COMPUTED_VALUE"""),"21")</f>
        <v>21</v>
      </c>
      <c r="C7702" s="5" t="str">
        <f>IFERROR(__xludf.DUMMYFUNCTION("""COMPUTED_VALUE"""),"https://drive.google.com/file/d/1W_G6IA3BvldBI38T7n6-QIQ5Y-sP7Bo1/view?usp=drivesdk")</f>
        <v>https://drive.google.com/file/d/1W_G6IA3BvldBI38T7n6-QIQ5Y-sP7Bo1/view?usp=drivesdk</v>
      </c>
      <c r="D7702" s="12"/>
      <c r="E7702" s="11">
        <v>7751.0</v>
      </c>
      <c r="F7702" s="2"/>
    </row>
    <row r="7703" ht="1.5" customHeight="1">
      <c r="A7703" s="4" t="str">
        <f>IFERROR(__xludf.DUMMYFUNCTION("""COMPUTED_VALUE"""),"2. Twix")</f>
        <v>2. Twix</v>
      </c>
      <c r="B7703" s="4" t="str">
        <f>IFERROR(__xludf.DUMMYFUNCTION("""COMPUTED_VALUE"""),"2")</f>
        <v>2</v>
      </c>
      <c r="C7703" s="5" t="str">
        <f>IFERROR(__xludf.DUMMYFUNCTION("""COMPUTED_VALUE"""),"https://drive.google.com/file/d/11LI5Ona2KG157Rq1PghoKNTHUvOvdqhq/view?usp=drivesdk")</f>
        <v>https://drive.google.com/file/d/11LI5Ona2KG157Rq1PghoKNTHUvOvdqhq/view?usp=drivesdk</v>
      </c>
      <c r="D7703" s="12"/>
      <c r="E7703" s="11">
        <v>7752.0</v>
      </c>
      <c r="F7703" s="2"/>
    </row>
    <row r="7704" ht="1.5" customHeight="1">
      <c r="A7704" s="4" t="str">
        <f>IFERROR(__xludf.DUMMYFUNCTION("""COMPUTED_VALUE"""),"2. Twix")</f>
        <v>2. Twix</v>
      </c>
      <c r="B7704" s="4" t="str">
        <f>IFERROR(__xludf.DUMMYFUNCTION("""COMPUTED_VALUE"""),"2")</f>
        <v>2</v>
      </c>
      <c r="C7704" s="5" t="str">
        <f>IFERROR(__xludf.DUMMYFUNCTION("""COMPUTED_VALUE"""),"https://drive.google.com/file/d/1Wc4dZNHp2kE6c2wXjrRb26eKufqbNwnx/view?usp=drivesdk")</f>
        <v>https://drive.google.com/file/d/1Wc4dZNHp2kE6c2wXjrRb26eKufqbNwnx/view?usp=drivesdk</v>
      </c>
      <c r="D7704" s="12"/>
      <c r="E7704" s="11">
        <v>7753.0</v>
      </c>
      <c r="F7704" s="2"/>
    </row>
    <row r="7705" ht="1.5" customHeight="1">
      <c r="A7705" s="4" t="str">
        <f>IFERROR(__xludf.DUMMYFUNCTION("""COMPUTED_VALUE"""),"2. Twix")</f>
        <v>2. Twix</v>
      </c>
      <c r="B7705" s="4" t="str">
        <f>IFERROR(__xludf.DUMMYFUNCTION("""COMPUTED_VALUE"""),"2")</f>
        <v>2</v>
      </c>
      <c r="C7705" s="5" t="str">
        <f>IFERROR(__xludf.DUMMYFUNCTION("""COMPUTED_VALUE"""),"https://drive.google.com/file/d/1nIDZsrakrRe3vL_NV4npkMLUV7jwMCQ0/view?usp=drivesdk")</f>
        <v>https://drive.google.com/file/d/1nIDZsrakrRe3vL_NV4npkMLUV7jwMCQ0/view?usp=drivesdk</v>
      </c>
      <c r="D7705" s="12"/>
      <c r="E7705" s="11">
        <v>7754.0</v>
      </c>
      <c r="F7705" s="2"/>
    </row>
    <row r="7706" ht="1.5" customHeight="1">
      <c r="A7706" s="4" t="str">
        <f>IFERROR(__xludf.DUMMYFUNCTION("""COMPUTED_VALUE"""),"1. Microwave")</f>
        <v>1. Microwave</v>
      </c>
      <c r="B7706" s="4" t="str">
        <f>IFERROR(__xludf.DUMMYFUNCTION("""COMPUTED_VALUE"""),"1")</f>
        <v>1</v>
      </c>
      <c r="C7706" s="5" t="str">
        <f>IFERROR(__xludf.DUMMYFUNCTION("""COMPUTED_VALUE"""),"https://drive.google.com/file/d/1Jg6CG_59tn2Ht_Ko6gPZLnscndU8gCZ7/view?usp=drivesdk")</f>
        <v>https://drive.google.com/file/d/1Jg6CG_59tn2Ht_Ko6gPZLnscndU8gCZ7/view?usp=drivesdk</v>
      </c>
      <c r="D7706" s="12"/>
      <c r="E7706" s="11">
        <v>7755.0</v>
      </c>
      <c r="F7706" s="2"/>
    </row>
    <row r="7707" ht="1.5" customHeight="1">
      <c r="A7707" s="4" t="str">
        <f>IFERROR(__xludf.DUMMYFUNCTION("""COMPUTED_VALUE"""),"1. Microwave")</f>
        <v>1. Microwave</v>
      </c>
      <c r="B7707" s="4" t="str">
        <f>IFERROR(__xludf.DUMMYFUNCTION("""COMPUTED_VALUE"""),"1")</f>
        <v>1</v>
      </c>
      <c r="C7707" s="5" t="str">
        <f>IFERROR(__xludf.DUMMYFUNCTION("""COMPUTED_VALUE"""),"https://drive.google.com/file/d/1gWy_8DSPL-5yRW2ysre_w9tdLVnXmKlY/view?usp=drivesdk")</f>
        <v>https://drive.google.com/file/d/1gWy_8DSPL-5yRW2ysre_w9tdLVnXmKlY/view?usp=drivesdk</v>
      </c>
      <c r="D7707" s="12"/>
      <c r="E7707" s="11">
        <v>7756.0</v>
      </c>
      <c r="F7707" s="2"/>
    </row>
    <row r="7708" ht="1.5" customHeight="1">
      <c r="A7708" s="4" t="str">
        <f>IFERROR(__xludf.DUMMYFUNCTION("""COMPUTED_VALUE"""),"1. Microwave")</f>
        <v>1. Microwave</v>
      </c>
      <c r="B7708" s="4" t="str">
        <f>IFERROR(__xludf.DUMMYFUNCTION("""COMPUTED_VALUE"""),"1")</f>
        <v>1</v>
      </c>
      <c r="C7708" s="5" t="str">
        <f>IFERROR(__xludf.DUMMYFUNCTION("""COMPUTED_VALUE"""),"https://drive.google.com/file/d/1xFPvd-rCC40k8ZSWb5O5erFburDTikpK/view?usp=drivesdk")</f>
        <v>https://drive.google.com/file/d/1xFPvd-rCC40k8ZSWb5O5erFburDTikpK/view?usp=drivesdk</v>
      </c>
      <c r="D7708" s="12"/>
      <c r="E7708" s="11">
        <v>7757.0</v>
      </c>
      <c r="F7708" s="2"/>
    </row>
    <row r="7709" ht="1.5" customHeight="1">
      <c r="A7709" s="4" t="str">
        <f>IFERROR(__xludf.DUMMYFUNCTION("""COMPUTED_VALUE"""),"1. Microwave")</f>
        <v>1. Microwave</v>
      </c>
      <c r="B7709" s="4" t="str">
        <f>IFERROR(__xludf.DUMMYFUNCTION("""COMPUTED_VALUE"""),"1")</f>
        <v>1</v>
      </c>
      <c r="C7709" s="5" t="str">
        <f>IFERROR(__xludf.DUMMYFUNCTION("""COMPUTED_VALUE"""),"https://drive.google.com/file/d/1A8bypYUWOSve0r7wMzOebZF_VU2HjX-0/view?usp=drivesdk")</f>
        <v>https://drive.google.com/file/d/1A8bypYUWOSve0r7wMzOebZF_VU2HjX-0/view?usp=drivesdk</v>
      </c>
      <c r="D7709" s="12"/>
      <c r="E7709" s="11">
        <v>7758.0</v>
      </c>
      <c r="F7709" s="2"/>
    </row>
    <row r="7710" ht="1.5" customHeight="1">
      <c r="A7710" s="4" t="str">
        <f>IFERROR(__xludf.DUMMYFUNCTION("""COMPUTED_VALUE"""),"1. Microwave")</f>
        <v>1. Microwave</v>
      </c>
      <c r="B7710" s="4" t="str">
        <f>IFERROR(__xludf.DUMMYFUNCTION("""COMPUTED_VALUE"""),"1")</f>
        <v>1</v>
      </c>
      <c r="C7710" s="5" t="str">
        <f>IFERROR(__xludf.DUMMYFUNCTION("""COMPUTED_VALUE"""),"https://drive.google.com/file/d/1F9DWaIe4hpz9xjTYVwEQxVCu0CcUUArp/view?usp=drivesdk")</f>
        <v>https://drive.google.com/file/d/1F9DWaIe4hpz9xjTYVwEQxVCu0CcUUArp/view?usp=drivesdk</v>
      </c>
      <c r="D7710" s="12"/>
      <c r="E7710" s="11">
        <v>7759.0</v>
      </c>
      <c r="F7710" s="2"/>
    </row>
    <row r="7711" ht="1.5" customHeight="1">
      <c r="A7711" s="4" t="str">
        <f>IFERROR(__xludf.DUMMYFUNCTION("""COMPUTED_VALUE"""),"1. Microwave")</f>
        <v>1. Microwave</v>
      </c>
      <c r="B7711" s="4" t="str">
        <f>IFERROR(__xludf.DUMMYFUNCTION("""COMPUTED_VALUE"""),"1")</f>
        <v>1</v>
      </c>
      <c r="C7711" s="5" t="str">
        <f>IFERROR(__xludf.DUMMYFUNCTION("""COMPUTED_VALUE"""),"https://drive.google.com/file/d/1zOt2k8wmWB3wIb610-wy2cb-JOu7GVcU/view?usp=drivesdk")</f>
        <v>https://drive.google.com/file/d/1zOt2k8wmWB3wIb610-wy2cb-JOu7GVcU/view?usp=drivesdk</v>
      </c>
      <c r="D7711" s="12"/>
      <c r="E7711" s="11">
        <v>7760.0</v>
      </c>
      <c r="F7711" s="2"/>
    </row>
    <row r="7712" ht="1.5" customHeight="1">
      <c r="A7712" s="4" t="str">
        <f>IFERROR(__xludf.DUMMYFUNCTION("""COMPUTED_VALUE"""),"1. Microwave")</f>
        <v>1. Microwave</v>
      </c>
      <c r="B7712" s="4" t="str">
        <f>IFERROR(__xludf.DUMMYFUNCTION("""COMPUTED_VALUE"""),"1")</f>
        <v>1</v>
      </c>
      <c r="C7712" s="5" t="str">
        <f>IFERROR(__xludf.DUMMYFUNCTION("""COMPUTED_VALUE"""),"https://drive.google.com/file/d/13W8sVhDECCjJpBgk_BF6x3BEUD3KNK1Q/view?usp=drivesdk")</f>
        <v>https://drive.google.com/file/d/13W8sVhDECCjJpBgk_BF6x3BEUD3KNK1Q/view?usp=drivesdk</v>
      </c>
      <c r="D7712" s="12"/>
      <c r="E7712" s="11">
        <v>7761.0</v>
      </c>
      <c r="F7712" s="2"/>
    </row>
    <row r="7713" ht="1.5" customHeight="1">
      <c r="A7713" s="4" t="str">
        <f>IFERROR(__xludf.DUMMYFUNCTION("""COMPUTED_VALUE"""),"1. Microwave")</f>
        <v>1. Microwave</v>
      </c>
      <c r="B7713" s="4" t="str">
        <f>IFERROR(__xludf.DUMMYFUNCTION("""COMPUTED_VALUE"""),"1")</f>
        <v>1</v>
      </c>
      <c r="C7713" s="5" t="str">
        <f>IFERROR(__xludf.DUMMYFUNCTION("""COMPUTED_VALUE"""),"https://drive.google.com/file/d/1mJxLxxBRQm50Kgetz7VzfVNqqMV5s37m/view?usp=drivesdk")</f>
        <v>https://drive.google.com/file/d/1mJxLxxBRQm50Kgetz7VzfVNqqMV5s37m/view?usp=drivesdk</v>
      </c>
      <c r="D7713" s="12"/>
      <c r="E7713" s="11">
        <v>7762.0</v>
      </c>
      <c r="F7713" s="2"/>
    </row>
    <row r="7714" ht="1.5" customHeight="1">
      <c r="A7714" s="4" t="str">
        <f>IFERROR(__xludf.DUMMYFUNCTION("""COMPUTED_VALUE"""),"141. Kamahalan")</f>
        <v>141. Kamahalan</v>
      </c>
      <c r="B7714" s="4" t="str">
        <f>IFERROR(__xludf.DUMMYFUNCTION("""COMPUTED_VALUE"""),"141")</f>
        <v>141</v>
      </c>
      <c r="C7714" s="5" t="str">
        <f>IFERROR(__xludf.DUMMYFUNCTION("""COMPUTED_VALUE"""),"https://drive.google.com/file/d/11nbGqVQtLNRCSzIJEzqmAcbuprcPL18T/view?usp=drivesdk")</f>
        <v>https://drive.google.com/file/d/11nbGqVQtLNRCSzIJEzqmAcbuprcPL18T/view?usp=drivesdk</v>
      </c>
      <c r="D7714" s="12"/>
      <c r="E7714" s="11">
        <v>7763.0</v>
      </c>
      <c r="F7714" s="2"/>
    </row>
    <row r="7715" ht="1.5" customHeight="1">
      <c r="A7715" s="4" t="str">
        <f>IFERROR(__xludf.DUMMYFUNCTION("""COMPUTED_VALUE"""),"2. Twix")</f>
        <v>2. Twix</v>
      </c>
      <c r="B7715" s="4" t="str">
        <f>IFERROR(__xludf.DUMMYFUNCTION("""COMPUTED_VALUE"""),"2")</f>
        <v>2</v>
      </c>
      <c r="C7715" s="5" t="str">
        <f>IFERROR(__xludf.DUMMYFUNCTION("""COMPUTED_VALUE"""),"https://drive.google.com/file/d/1f8hTn1fslT6rGNHTzCiooBzH7RVj9FZq/view?usp=drivesdk")</f>
        <v>https://drive.google.com/file/d/1f8hTn1fslT6rGNHTzCiooBzH7RVj9FZq/view?usp=drivesdk</v>
      </c>
      <c r="D7715" s="12"/>
      <c r="E7715" s="11">
        <v>7764.0</v>
      </c>
      <c r="F7715" s="2"/>
    </row>
    <row r="7716" ht="1.5" customHeight="1">
      <c r="A7716" s="4" t="str">
        <f>IFERROR(__xludf.DUMMYFUNCTION("""COMPUTED_VALUE"""),"2. Twix")</f>
        <v>2. Twix</v>
      </c>
      <c r="B7716" s="4" t="str">
        <f>IFERROR(__xludf.DUMMYFUNCTION("""COMPUTED_VALUE"""),"2")</f>
        <v>2</v>
      </c>
      <c r="C7716" s="5" t="str">
        <f>IFERROR(__xludf.DUMMYFUNCTION("""COMPUTED_VALUE"""),"https://drive.google.com/file/d/1Hv5P2us6ir2MYibnZoXsP6Aah4NN75bP/view?usp=drivesdk")</f>
        <v>https://drive.google.com/file/d/1Hv5P2us6ir2MYibnZoXsP6Aah4NN75bP/view?usp=drivesdk</v>
      </c>
      <c r="D7716" s="12"/>
      <c r="E7716" s="11">
        <v>7765.0</v>
      </c>
      <c r="F7716" s="2"/>
    </row>
    <row r="7717" ht="1.5" customHeight="1">
      <c r="A7717" s="4" t="str">
        <f>IFERROR(__xludf.DUMMYFUNCTION("""COMPUTED_VALUE"""),"2. Twix")</f>
        <v>2. Twix</v>
      </c>
      <c r="B7717" s="4" t="str">
        <f>IFERROR(__xludf.DUMMYFUNCTION("""COMPUTED_VALUE"""),"2")</f>
        <v>2</v>
      </c>
      <c r="C7717" s="5" t="str">
        <f>IFERROR(__xludf.DUMMYFUNCTION("""COMPUTED_VALUE"""),"https://drive.google.com/file/d/1fRtrITf9mNIDO1JWeS0CWGG7UaEvkm9n/view?usp=drivesdk")</f>
        <v>https://drive.google.com/file/d/1fRtrITf9mNIDO1JWeS0CWGG7UaEvkm9n/view?usp=drivesdk</v>
      </c>
      <c r="D7717" s="12"/>
      <c r="E7717" s="11">
        <v>7766.0</v>
      </c>
      <c r="F7717" s="2"/>
    </row>
    <row r="7718" ht="1.5" customHeight="1">
      <c r="A7718" s="4" t="str">
        <f>IFERROR(__xludf.DUMMYFUNCTION("""COMPUTED_VALUE"""),"9. Melvin")</f>
        <v>9. Melvin</v>
      </c>
      <c r="B7718" s="4" t="str">
        <f>IFERROR(__xludf.DUMMYFUNCTION("""COMPUTED_VALUE"""),"9")</f>
        <v>9</v>
      </c>
      <c r="C7718" s="5" t="str">
        <f>IFERROR(__xludf.DUMMYFUNCTION("""COMPUTED_VALUE"""),"https://drive.google.com/file/d/1bbbwSbOUTq6aW19402bfZ87-wu882ILa/view?usp=drivesdk")</f>
        <v>https://drive.google.com/file/d/1bbbwSbOUTq6aW19402bfZ87-wu882ILa/view?usp=drivesdk</v>
      </c>
      <c r="D7718" s="12"/>
      <c r="E7718" s="11">
        <v>7767.0</v>
      </c>
      <c r="F7718" s="2"/>
    </row>
    <row r="7719" ht="1.5" customHeight="1">
      <c r="A7719" s="4" t="str">
        <f>IFERROR(__xludf.DUMMYFUNCTION("""COMPUTED_VALUE"""),"1. Microwave")</f>
        <v>1. Microwave</v>
      </c>
      <c r="B7719" s="4" t="str">
        <f>IFERROR(__xludf.DUMMYFUNCTION("""COMPUTED_VALUE"""),"1")</f>
        <v>1</v>
      </c>
      <c r="C7719" s="5" t="str">
        <f>IFERROR(__xludf.DUMMYFUNCTION("""COMPUTED_VALUE"""),"https://drive.google.com/file/d/1GQU6Vk9cVBrbV3WnYVZd7JeixvWN9Qje/view?usp=drivesdk")</f>
        <v>https://drive.google.com/file/d/1GQU6Vk9cVBrbV3WnYVZd7JeixvWN9Qje/view?usp=drivesdk</v>
      </c>
      <c r="D7719" s="12"/>
      <c r="E7719" s="11">
        <v>7768.0</v>
      </c>
      <c r="F7719" s="2"/>
    </row>
    <row r="7720" ht="1.5" customHeight="1">
      <c r="A7720" s="4" t="str">
        <f>IFERROR(__xludf.DUMMYFUNCTION("""COMPUTED_VALUE"""),"1. Microwave")</f>
        <v>1. Microwave</v>
      </c>
      <c r="B7720" s="4" t="str">
        <f>IFERROR(__xludf.DUMMYFUNCTION("""COMPUTED_VALUE"""),"1")</f>
        <v>1</v>
      </c>
      <c r="C7720" s="5" t="str">
        <f>IFERROR(__xludf.DUMMYFUNCTION("""COMPUTED_VALUE"""),"https://drive.google.com/file/d/1Ceij5sqIOpKJNdQ6G5R7QuuBlFIWRpGY/view?usp=drivesdk")</f>
        <v>https://drive.google.com/file/d/1Ceij5sqIOpKJNdQ6G5R7QuuBlFIWRpGY/view?usp=drivesdk</v>
      </c>
      <c r="D7720" s="12"/>
      <c r="E7720" s="11">
        <v>7769.0</v>
      </c>
      <c r="F7720" s="2"/>
    </row>
    <row r="7721" ht="1.5" customHeight="1">
      <c r="A7721" s="4" t="str">
        <f>IFERROR(__xludf.DUMMYFUNCTION("""COMPUTED_VALUE"""),"1. Microwave")</f>
        <v>1. Microwave</v>
      </c>
      <c r="B7721" s="4" t="str">
        <f>IFERROR(__xludf.DUMMYFUNCTION("""COMPUTED_VALUE"""),"1")</f>
        <v>1</v>
      </c>
      <c r="C7721" s="5" t="str">
        <f>IFERROR(__xludf.DUMMYFUNCTION("""COMPUTED_VALUE"""),"https://drive.google.com/file/d/1O764CJD3eNWEBlKgLtAXEjHSJiPnr8uC/view?usp=drivesdk")</f>
        <v>https://drive.google.com/file/d/1O764CJD3eNWEBlKgLtAXEjHSJiPnr8uC/view?usp=drivesdk</v>
      </c>
      <c r="D7721" s="12"/>
      <c r="E7721" s="11">
        <v>7770.0</v>
      </c>
      <c r="F7721" s="2"/>
    </row>
    <row r="7722" ht="1.5" customHeight="1">
      <c r="A7722" s="4" t="str">
        <f>IFERROR(__xludf.DUMMYFUNCTION("""COMPUTED_VALUE"""),"6. Snickers")</f>
        <v>6. Snickers</v>
      </c>
      <c r="B7722" s="4" t="str">
        <f>IFERROR(__xludf.DUMMYFUNCTION("""COMPUTED_VALUE"""),"6")</f>
        <v>6</v>
      </c>
      <c r="C7722" s="5" t="str">
        <f>IFERROR(__xludf.DUMMYFUNCTION("""COMPUTED_VALUE"""),"https://drive.google.com/file/d/1_s2b7EeiKlpv5B_1utlhq37nqDVTPU5k/view?usp=drivesdk")</f>
        <v>https://drive.google.com/file/d/1_s2b7EeiKlpv5B_1utlhq37nqDVTPU5k/view?usp=drivesdk</v>
      </c>
      <c r="D7722" s="12"/>
      <c r="E7722" s="11">
        <v>7771.0</v>
      </c>
      <c r="F7722" s="2"/>
    </row>
    <row r="7723" ht="1.5" customHeight="1">
      <c r="A7723" s="4" t="str">
        <f>IFERROR(__xludf.DUMMYFUNCTION("""COMPUTED_VALUE"""),"1. Microwave")</f>
        <v>1. Microwave</v>
      </c>
      <c r="B7723" s="4" t="str">
        <f>IFERROR(__xludf.DUMMYFUNCTION("""COMPUTED_VALUE"""),"1")</f>
        <v>1</v>
      </c>
      <c r="C7723" s="5" t="str">
        <f>IFERROR(__xludf.DUMMYFUNCTION("""COMPUTED_VALUE"""),"https://drive.google.com/file/d/1e3eA-Tq0USt5ZVZjblZ71b9OB11XZ2ig/view?usp=drivesdk")</f>
        <v>https://drive.google.com/file/d/1e3eA-Tq0USt5ZVZjblZ71b9OB11XZ2ig/view?usp=drivesdk</v>
      </c>
      <c r="D7723" s="12"/>
      <c r="E7723" s="11">
        <v>7772.0</v>
      </c>
      <c r="F7723" s="2"/>
    </row>
    <row r="7724" ht="1.5" customHeight="1">
      <c r="A7724" s="4" t="str">
        <f>IFERROR(__xludf.DUMMYFUNCTION("""COMPUTED_VALUE"""),"1. Microwave")</f>
        <v>1. Microwave</v>
      </c>
      <c r="B7724" s="4" t="str">
        <f>IFERROR(__xludf.DUMMYFUNCTION("""COMPUTED_VALUE"""),"1")</f>
        <v>1</v>
      </c>
      <c r="C7724" s="5" t="str">
        <f>IFERROR(__xludf.DUMMYFUNCTION("""COMPUTED_VALUE"""),"https://drive.google.com/file/d/1shfRD-Ff3OxErOSp5ZyTYpukFjqDiKtZ/view?usp=drivesdk")</f>
        <v>https://drive.google.com/file/d/1shfRD-Ff3OxErOSp5ZyTYpukFjqDiKtZ/view?usp=drivesdk</v>
      </c>
      <c r="D7724" s="12"/>
      <c r="E7724" s="11">
        <v>7773.0</v>
      </c>
      <c r="F7724" s="2"/>
    </row>
    <row r="7725" ht="1.5" customHeight="1">
      <c r="A7725" s="4" t="str">
        <f>IFERROR(__xludf.DUMMYFUNCTION("""COMPUTED_VALUE"""),"1. Microwave")</f>
        <v>1. Microwave</v>
      </c>
      <c r="B7725" s="4" t="str">
        <f>IFERROR(__xludf.DUMMYFUNCTION("""COMPUTED_VALUE"""),"1")</f>
        <v>1</v>
      </c>
      <c r="C7725" s="5" t="str">
        <f>IFERROR(__xludf.DUMMYFUNCTION("""COMPUTED_VALUE"""),"https://drive.google.com/file/d/1F29jCzY4J8NyvaXpu7CLrmtVq3wqWfNW/view?usp=drivesdk")</f>
        <v>https://drive.google.com/file/d/1F29jCzY4J8NyvaXpu7CLrmtVq3wqWfNW/view?usp=drivesdk</v>
      </c>
      <c r="D7725" s="12"/>
      <c r="E7725" s="11">
        <v>7774.0</v>
      </c>
      <c r="F7725" s="2"/>
    </row>
    <row r="7726" ht="1.5" customHeight="1">
      <c r="A7726" s="4" t="str">
        <f>IFERROR(__xludf.DUMMYFUNCTION("""COMPUTED_VALUE"""),"141. Kamahalan")</f>
        <v>141. Kamahalan</v>
      </c>
      <c r="B7726" s="4" t="str">
        <f>IFERROR(__xludf.DUMMYFUNCTION("""COMPUTED_VALUE"""),"141")</f>
        <v>141</v>
      </c>
      <c r="C7726" s="5" t="str">
        <f>IFERROR(__xludf.DUMMYFUNCTION("""COMPUTED_VALUE"""),"https://drive.google.com/file/d/1hXuDthxqXenzbDaq2-ymk0OggSDcEFzy/view?usp=drivesdk")</f>
        <v>https://drive.google.com/file/d/1hXuDthxqXenzbDaq2-ymk0OggSDcEFzy/view?usp=drivesdk</v>
      </c>
      <c r="D7726" s="12"/>
      <c r="E7726" s="11">
        <v>7775.0</v>
      </c>
      <c r="F7726" s="2"/>
    </row>
    <row r="7727" ht="1.5" customHeight="1">
      <c r="A7727" s="4" t="str">
        <f>IFERROR(__xludf.DUMMYFUNCTION("""COMPUTED_VALUE"""),"141. Kamahalan")</f>
        <v>141. Kamahalan</v>
      </c>
      <c r="B7727" s="4" t="str">
        <f>IFERROR(__xludf.DUMMYFUNCTION("""COMPUTED_VALUE"""),"141")</f>
        <v>141</v>
      </c>
      <c r="C7727" s="5" t="str">
        <f>IFERROR(__xludf.DUMMYFUNCTION("""COMPUTED_VALUE"""),"https://drive.google.com/file/d/1hDGpas4LUOr32C_H2thlfQt_F4Us6bEG/view?usp=drivesdk")</f>
        <v>https://drive.google.com/file/d/1hDGpas4LUOr32C_H2thlfQt_F4Us6bEG/view?usp=drivesdk</v>
      </c>
      <c r="D7727" s="12"/>
      <c r="E7727" s="11">
        <v>7776.0</v>
      </c>
      <c r="F7727" s="2"/>
    </row>
    <row r="7728" ht="1.5" customHeight="1">
      <c r="A7728" s="4" t="str">
        <f>IFERROR(__xludf.DUMMYFUNCTION("""COMPUTED_VALUE"""),"58. Eden")</f>
        <v>58. Eden</v>
      </c>
      <c r="B7728" s="4" t="str">
        <f>IFERROR(__xludf.DUMMYFUNCTION("""COMPUTED_VALUE"""),"58")</f>
        <v>58</v>
      </c>
      <c r="C7728" s="5" t="str">
        <f>IFERROR(__xludf.DUMMYFUNCTION("""COMPUTED_VALUE"""),"https://drive.google.com/file/d/14wi_p_JgaPnJ52tFwsiow2jyFw0gypeW/view?usp=drivesdk")</f>
        <v>https://drive.google.com/file/d/14wi_p_JgaPnJ52tFwsiow2jyFw0gypeW/view?usp=drivesdk</v>
      </c>
      <c r="D7728" s="12"/>
      <c r="E7728" s="11">
        <v>7777.0</v>
      </c>
      <c r="F7728" s="2"/>
    </row>
    <row r="7729" ht="1.5" customHeight="1">
      <c r="A7729" s="4" t="str">
        <f>IFERROR(__xludf.DUMMYFUNCTION("""COMPUTED_VALUE"""),"41. Gregory")</f>
        <v>41. Gregory</v>
      </c>
      <c r="B7729" s="4" t="str">
        <f>IFERROR(__xludf.DUMMYFUNCTION("""COMPUTED_VALUE"""),"41")</f>
        <v>41</v>
      </c>
      <c r="C7729" s="5" t="str">
        <f>IFERROR(__xludf.DUMMYFUNCTION("""COMPUTED_VALUE"""),"https://drive.google.com/file/d/1EYmMxajLOuLd2r_NoK_XAo9wuM4BgskH/view?usp=drivesdk")</f>
        <v>https://drive.google.com/file/d/1EYmMxajLOuLd2r_NoK_XAo9wuM4BgskH/view?usp=drivesdk</v>
      </c>
      <c r="D7729" s="12"/>
      <c r="E7729" s="11">
        <v>7778.0</v>
      </c>
      <c r="F7729" s="2"/>
    </row>
    <row r="7730" ht="1.5" customHeight="1">
      <c r="A7730" s="4" t="str">
        <f>IFERROR(__xludf.DUMMYFUNCTION("""COMPUTED_VALUE"""),"76. Eezard")</f>
        <v>76. Eezard</v>
      </c>
      <c r="B7730" s="4" t="str">
        <f>IFERROR(__xludf.DUMMYFUNCTION("""COMPUTED_VALUE"""),"76")</f>
        <v>76</v>
      </c>
      <c r="C7730" s="5" t="str">
        <f>IFERROR(__xludf.DUMMYFUNCTION("""COMPUTED_VALUE"""),"https://drive.google.com/file/d/1I4x4Q-YttH4TBs8O88vBvpQci-2d7fOt/view?usp=drivesdk")</f>
        <v>https://drive.google.com/file/d/1I4x4Q-YttH4TBs8O88vBvpQci-2d7fOt/view?usp=drivesdk</v>
      </c>
      <c r="D7730" s="12"/>
      <c r="E7730" s="11">
        <v>7779.0</v>
      </c>
      <c r="F7730" s="2"/>
    </row>
    <row r="7731" ht="1.5" customHeight="1">
      <c r="A7731" s="4" t="str">
        <f>IFERROR(__xludf.DUMMYFUNCTION("""COMPUTED_VALUE"""),"99. Nezhui")</f>
        <v>99. Nezhui</v>
      </c>
      <c r="B7731" s="4" t="str">
        <f>IFERROR(__xludf.DUMMYFUNCTION("""COMPUTED_VALUE"""),"99")</f>
        <v>99</v>
      </c>
      <c r="C7731" s="5" t="str">
        <f>IFERROR(__xludf.DUMMYFUNCTION("""COMPUTED_VALUE"""),"https://drive.google.com/file/d/1sCFH9zzNoF8jOB6udd_lYhKItcHLQZ6t/view?usp=drivesdk")</f>
        <v>https://drive.google.com/file/d/1sCFH9zzNoF8jOB6udd_lYhKItcHLQZ6t/view?usp=drivesdk</v>
      </c>
      <c r="D7731" s="12"/>
      <c r="E7731" s="11">
        <v>7780.0</v>
      </c>
      <c r="F7731" s="2"/>
    </row>
    <row r="7732" ht="1.5" customHeight="1">
      <c r="A7732" s="4" t="str">
        <f>IFERROR(__xludf.DUMMYFUNCTION("""COMPUTED_VALUE"""),"99. Nezhui")</f>
        <v>99. Nezhui</v>
      </c>
      <c r="B7732" s="4" t="str">
        <f>IFERROR(__xludf.DUMMYFUNCTION("""COMPUTED_VALUE"""),"99")</f>
        <v>99</v>
      </c>
      <c r="C7732" s="5" t="str">
        <f>IFERROR(__xludf.DUMMYFUNCTION("""COMPUTED_VALUE"""),"https://drive.google.com/file/d/18LCVegz_yUPg3lj1K_BPQzb1_w_Fq-A0/view?usp=drivesdk")</f>
        <v>https://drive.google.com/file/d/18LCVegz_yUPg3lj1K_BPQzb1_w_Fq-A0/view?usp=drivesdk</v>
      </c>
      <c r="D7732" s="12"/>
      <c r="E7732" s="11">
        <v>7781.0</v>
      </c>
      <c r="F7732" s="2"/>
    </row>
    <row r="7733" ht="1.5" customHeight="1">
      <c r="A7733" s="4" t="str">
        <f>IFERROR(__xludf.DUMMYFUNCTION("""COMPUTED_VALUE"""),"121. Spongebop, 97.  Simba")</f>
        <v>121. Spongebop, 97.  Simba</v>
      </c>
      <c r="B7733" s="4" t="str">
        <f>IFERROR(__xludf.DUMMYFUNCTION("""COMPUTED_VALUE"""),"121, 97")</f>
        <v>121, 97</v>
      </c>
      <c r="C7733" s="5" t="str">
        <f>IFERROR(__xludf.DUMMYFUNCTION("""COMPUTED_VALUE"""),"https://drive.google.com/file/d/1Gj3eJdbXbWF8dasaSokltPdi7FFDLq5D/view?usp=drivesdk")</f>
        <v>https://drive.google.com/file/d/1Gj3eJdbXbWF8dasaSokltPdi7FFDLq5D/view?usp=drivesdk</v>
      </c>
      <c r="D7733" s="12"/>
      <c r="E7733" s="11">
        <v>7782.0</v>
      </c>
      <c r="F7733" s="2"/>
    </row>
    <row r="7734" ht="1.5" customHeight="1">
      <c r="A7734" s="4" t="str">
        <f>IFERROR(__xludf.DUMMYFUNCTION("""COMPUTED_VALUE"""),"121. Spongebop, 97.  Simba")</f>
        <v>121. Spongebop, 97.  Simba</v>
      </c>
      <c r="B7734" s="4" t="str">
        <f>IFERROR(__xludf.DUMMYFUNCTION("""COMPUTED_VALUE"""),"121, 97")</f>
        <v>121, 97</v>
      </c>
      <c r="C7734" s="5" t="str">
        <f>IFERROR(__xludf.DUMMYFUNCTION("""COMPUTED_VALUE"""),"https://drive.google.com/file/d/19znib3_dqiMjFizdtBXFsqK4ILPvF6MX/view?usp=drivesdk")</f>
        <v>https://drive.google.com/file/d/19znib3_dqiMjFizdtBXFsqK4ILPvF6MX/view?usp=drivesdk</v>
      </c>
      <c r="D7734" s="12"/>
      <c r="E7734" s="11">
        <v>7783.0</v>
      </c>
      <c r="F7734" s="2"/>
    </row>
    <row r="7735" ht="1.5" customHeight="1">
      <c r="A7735" s="4" t="str">
        <f>IFERROR(__xludf.DUMMYFUNCTION("""COMPUTED_VALUE"""),"121. Spongebop, 97.  Simba")</f>
        <v>121. Spongebop, 97.  Simba</v>
      </c>
      <c r="B7735" s="4" t="str">
        <f>IFERROR(__xludf.DUMMYFUNCTION("""COMPUTED_VALUE"""),"121, 97")</f>
        <v>121, 97</v>
      </c>
      <c r="C7735" s="5" t="str">
        <f>IFERROR(__xludf.DUMMYFUNCTION("""COMPUTED_VALUE"""),"https://drive.google.com/file/d/1KYX1iE1sLhdVz49CMC0NtyFjSUfll8D4/view?usp=drivesdk")</f>
        <v>https://drive.google.com/file/d/1KYX1iE1sLhdVz49CMC0NtyFjSUfll8D4/view?usp=drivesdk</v>
      </c>
      <c r="D7735" s="12"/>
      <c r="E7735" s="11">
        <v>7784.0</v>
      </c>
      <c r="F7735" s="2"/>
    </row>
    <row r="7736" ht="1.5" customHeight="1">
      <c r="A7736" s="4" t="str">
        <f>IFERROR(__xludf.DUMMYFUNCTION("""COMPUTED_VALUE"""),"1. Microwave")</f>
        <v>1. Microwave</v>
      </c>
      <c r="B7736" s="4" t="str">
        <f>IFERROR(__xludf.DUMMYFUNCTION("""COMPUTED_VALUE"""),"1")</f>
        <v>1</v>
      </c>
      <c r="C7736" s="5" t="str">
        <f>IFERROR(__xludf.DUMMYFUNCTION("""COMPUTED_VALUE"""),"https://drive.google.com/file/d/1j78ezpVlG75M7xWfHD9W-JD-YAAEqVIJ/view?usp=drivesdk")</f>
        <v>https://drive.google.com/file/d/1j78ezpVlG75M7xWfHD9W-JD-YAAEqVIJ/view?usp=drivesdk</v>
      </c>
      <c r="D7736" s="12"/>
      <c r="E7736" s="11">
        <v>7785.0</v>
      </c>
      <c r="F7736" s="2"/>
    </row>
    <row r="7737" ht="1.5" customHeight="1">
      <c r="A7737" s="4" t="str">
        <f>IFERROR(__xludf.DUMMYFUNCTION("""COMPUTED_VALUE"""),"93. Meatball")</f>
        <v>93. Meatball</v>
      </c>
      <c r="B7737" s="4" t="str">
        <f>IFERROR(__xludf.DUMMYFUNCTION("""COMPUTED_VALUE"""),"93")</f>
        <v>93</v>
      </c>
      <c r="C7737" s="5" t="str">
        <f>IFERROR(__xludf.DUMMYFUNCTION("""COMPUTED_VALUE"""),"https://drive.google.com/file/d/1ABAQCTqbJ_75OhpDVTyxQ17MNBCFCFKC/view?usp=drivesdk")</f>
        <v>https://drive.google.com/file/d/1ABAQCTqbJ_75OhpDVTyxQ17MNBCFCFKC/view?usp=drivesdk</v>
      </c>
      <c r="D7737" s="12"/>
      <c r="E7737" s="11">
        <v>7786.0</v>
      </c>
      <c r="F7737" s="2"/>
    </row>
    <row r="7738" ht="1.5" customHeight="1">
      <c r="A7738" s="4" t="str">
        <f>IFERROR(__xludf.DUMMYFUNCTION("""COMPUTED_VALUE"""),"99. Nezhui")</f>
        <v>99. Nezhui</v>
      </c>
      <c r="B7738" s="4" t="str">
        <f>IFERROR(__xludf.DUMMYFUNCTION("""COMPUTED_VALUE"""),"99")</f>
        <v>99</v>
      </c>
      <c r="C7738" s="5" t="str">
        <f>IFERROR(__xludf.DUMMYFUNCTION("""COMPUTED_VALUE"""),"https://drive.google.com/file/d/1CsD0ST2gRnbfZcg9MUnNePaXJWxzE31X/view?usp=drivesdk")</f>
        <v>https://drive.google.com/file/d/1CsD0ST2gRnbfZcg9MUnNePaXJWxzE31X/view?usp=drivesdk</v>
      </c>
      <c r="D7738" s="12"/>
      <c r="E7738" s="11">
        <v>7787.0</v>
      </c>
      <c r="F7738" s="2"/>
    </row>
    <row r="7739" ht="1.5" customHeight="1">
      <c r="A7739" s="4" t="str">
        <f>IFERROR(__xludf.DUMMYFUNCTION("""COMPUTED_VALUE"""),"80. Atzi")</f>
        <v>80. Atzi</v>
      </c>
      <c r="B7739" s="4" t="str">
        <f>IFERROR(__xludf.DUMMYFUNCTION("""COMPUTED_VALUE"""),"80")</f>
        <v>80</v>
      </c>
      <c r="C7739" s="5" t="str">
        <f>IFERROR(__xludf.DUMMYFUNCTION("""COMPUTED_VALUE"""),"https://drive.google.com/file/d/1zYwbmsKCL-_xamaQFERxjKyC0VANusQ6/view?usp=drivesdk")</f>
        <v>https://drive.google.com/file/d/1zYwbmsKCL-_xamaQFERxjKyC0VANusQ6/view?usp=drivesdk</v>
      </c>
      <c r="D7739" s="12"/>
      <c r="E7739" s="11">
        <v>7788.0</v>
      </c>
      <c r="F7739" s="2"/>
    </row>
    <row r="7740" ht="1.5" customHeight="1">
      <c r="A7740" s="4" t="str">
        <f>IFERROR(__xludf.DUMMYFUNCTION("""COMPUTED_VALUE"""),"80. Atzi")</f>
        <v>80. Atzi</v>
      </c>
      <c r="B7740" s="4" t="str">
        <f>IFERROR(__xludf.DUMMYFUNCTION("""COMPUTED_VALUE"""),"80")</f>
        <v>80</v>
      </c>
      <c r="C7740" s="5" t="str">
        <f>IFERROR(__xludf.DUMMYFUNCTION("""COMPUTED_VALUE"""),"https://drive.google.com/file/d/1rj9pw9h4yPCkwCEYMMz-uy4vYCp2_fLN/view?usp=drivesdk")</f>
        <v>https://drive.google.com/file/d/1rj9pw9h4yPCkwCEYMMz-uy4vYCp2_fLN/view?usp=drivesdk</v>
      </c>
      <c r="D7740" s="12"/>
      <c r="E7740" s="11">
        <v>7789.0</v>
      </c>
      <c r="F7740" s="2"/>
    </row>
    <row r="7741" ht="1.5" customHeight="1">
      <c r="A7741" s="4" t="str">
        <f>IFERROR(__xludf.DUMMYFUNCTION("""COMPUTED_VALUE"""),"108. Mazatl")</f>
        <v>108. Mazatl</v>
      </c>
      <c r="B7741" s="4" t="str">
        <f>IFERROR(__xludf.DUMMYFUNCTION("""COMPUTED_VALUE"""),"108")</f>
        <v>108</v>
      </c>
      <c r="C7741" s="5" t="str">
        <f>IFERROR(__xludf.DUMMYFUNCTION("""COMPUTED_VALUE"""),"https://drive.google.com/file/d/1P6FkeKlOG_0yE7OZkwPqenVkfTXlqaA5/view?usp=drivesdk")</f>
        <v>https://drive.google.com/file/d/1P6FkeKlOG_0yE7OZkwPqenVkfTXlqaA5/view?usp=drivesdk</v>
      </c>
      <c r="D7741" s="12"/>
      <c r="E7741" s="11">
        <v>7790.0</v>
      </c>
      <c r="F7741" s="2"/>
    </row>
    <row r="7742" ht="1.5" customHeight="1">
      <c r="A7742" s="4" t="str">
        <f>IFERROR(__xludf.DUMMYFUNCTION("""COMPUTED_VALUE"""),"110. Ahua")</f>
        <v>110. Ahua</v>
      </c>
      <c r="B7742" s="4" t="str">
        <f>IFERROR(__xludf.DUMMYFUNCTION("""COMPUTED_VALUE"""),"110")</f>
        <v>110</v>
      </c>
      <c r="C7742" s="5" t="str">
        <f>IFERROR(__xludf.DUMMYFUNCTION("""COMPUTED_VALUE"""),"https://drive.google.com/file/d/1V2JRKh_rM0v7PFEF1AstSb_W6k088ZRu/view?usp=drivesdk")</f>
        <v>https://drive.google.com/file/d/1V2JRKh_rM0v7PFEF1AstSb_W6k088ZRu/view?usp=drivesdk</v>
      </c>
      <c r="D7742" s="12"/>
      <c r="E7742" s="11">
        <v>7791.0</v>
      </c>
      <c r="F7742" s="2"/>
    </row>
    <row r="7743" ht="1.5" customHeight="1">
      <c r="A7743" s="4" t="str">
        <f>IFERROR(__xludf.DUMMYFUNCTION("""COMPUTED_VALUE"""),"108. Mazatl")</f>
        <v>108. Mazatl</v>
      </c>
      <c r="B7743" s="4" t="str">
        <f>IFERROR(__xludf.DUMMYFUNCTION("""COMPUTED_VALUE"""),"108")</f>
        <v>108</v>
      </c>
      <c r="C7743" s="5" t="str">
        <f>IFERROR(__xludf.DUMMYFUNCTION("""COMPUTED_VALUE"""),"https://drive.google.com/file/d/17SyYgVxWotfAxYnOi-2OnSVb5K94X7FE/view?usp=drivesdk")</f>
        <v>https://drive.google.com/file/d/17SyYgVxWotfAxYnOi-2OnSVb5K94X7FE/view?usp=drivesdk</v>
      </c>
      <c r="D7743" s="12"/>
      <c r="E7743" s="11">
        <v>7792.0</v>
      </c>
      <c r="F7743" s="2"/>
    </row>
    <row r="7744" ht="1.5" customHeight="1">
      <c r="A7744" s="4" t="str">
        <f>IFERROR(__xludf.DUMMYFUNCTION("""COMPUTED_VALUE"""),"0. NotACat")</f>
        <v>0. NotACat</v>
      </c>
      <c r="B7744" s="4" t="str">
        <f>IFERROR(__xludf.DUMMYFUNCTION("""COMPUTED_VALUE"""),"0")</f>
        <v>0</v>
      </c>
      <c r="C7744" s="5" t="str">
        <f>IFERROR(__xludf.DUMMYFUNCTION("""COMPUTED_VALUE"""),"https://drive.google.com/file/d/1CpPtYByaM4AImnFLky4A4ovUn9oEzE1l/view?usp=drivesdk")</f>
        <v>https://drive.google.com/file/d/1CpPtYByaM4AImnFLky4A4ovUn9oEzE1l/view?usp=drivesdk</v>
      </c>
      <c r="D7744" s="12"/>
      <c r="E7744" s="11">
        <v>7793.0</v>
      </c>
      <c r="F7744" s="2"/>
    </row>
    <row r="7745" ht="1.5" customHeight="1">
      <c r="A7745" s="4" t="str">
        <f>IFERROR(__xludf.DUMMYFUNCTION("""COMPUTED_VALUE"""),"108. Mazatl")</f>
        <v>108. Mazatl</v>
      </c>
      <c r="B7745" s="4" t="str">
        <f>IFERROR(__xludf.DUMMYFUNCTION("""COMPUTED_VALUE"""),"108")</f>
        <v>108</v>
      </c>
      <c r="C7745" s="5" t="str">
        <f>IFERROR(__xludf.DUMMYFUNCTION("""COMPUTED_VALUE"""),"https://drive.google.com/file/d/1Jxp01-ceDRqIaqgq72VHZPeKx2vDxqfn/view?usp=drivesdk")</f>
        <v>https://drive.google.com/file/d/1Jxp01-ceDRqIaqgq72VHZPeKx2vDxqfn/view?usp=drivesdk</v>
      </c>
      <c r="D7745" s="12"/>
      <c r="E7745" s="11">
        <v>7794.0</v>
      </c>
      <c r="F7745" s="2"/>
    </row>
    <row r="7746" ht="1.5" customHeight="1">
      <c r="A7746" s="4" t="str">
        <f>IFERROR(__xludf.DUMMYFUNCTION("""COMPUTED_VALUE"""),"2. Twix")</f>
        <v>2. Twix</v>
      </c>
      <c r="B7746" s="4" t="str">
        <f>IFERROR(__xludf.DUMMYFUNCTION("""COMPUTED_VALUE"""),"2")</f>
        <v>2</v>
      </c>
      <c r="C7746" s="5" t="str">
        <f>IFERROR(__xludf.DUMMYFUNCTION("""COMPUTED_VALUE"""),"https://drive.google.com/file/d/1vvUMDzZnxuYOY-hZF8qOsLTw1maDrZQj/view?usp=drivesdk")</f>
        <v>https://drive.google.com/file/d/1vvUMDzZnxuYOY-hZF8qOsLTw1maDrZQj/view?usp=drivesdk</v>
      </c>
      <c r="D7746" s="12"/>
      <c r="E7746" s="11">
        <v>7795.0</v>
      </c>
      <c r="F7746" s="2"/>
    </row>
    <row r="7747" ht="1.5" customHeight="1">
      <c r="A7747" s="4" t="str">
        <f>IFERROR(__xludf.DUMMYFUNCTION("""COMPUTED_VALUE"""),"2. Twix")</f>
        <v>2. Twix</v>
      </c>
      <c r="B7747" s="4" t="str">
        <f>IFERROR(__xludf.DUMMYFUNCTION("""COMPUTED_VALUE"""),"2")</f>
        <v>2</v>
      </c>
      <c r="C7747" s="5" t="str">
        <f>IFERROR(__xludf.DUMMYFUNCTION("""COMPUTED_VALUE"""),"https://drive.google.com/file/d/1vBNBpfTJfNlitg6bLWDnLWyMsKK1ZJuq/view?usp=drivesdk")</f>
        <v>https://drive.google.com/file/d/1vBNBpfTJfNlitg6bLWDnLWyMsKK1ZJuq/view?usp=drivesdk</v>
      </c>
      <c r="D7747" s="12"/>
      <c r="E7747" s="11">
        <v>7796.0</v>
      </c>
      <c r="F7747" s="2"/>
    </row>
    <row r="7748" ht="1.5" customHeight="1">
      <c r="A7748" s="4" t="str">
        <f>IFERROR(__xludf.DUMMYFUNCTION("""COMPUTED_VALUE"""),"115. Toothless")</f>
        <v>115. Toothless</v>
      </c>
      <c r="B7748" s="4" t="str">
        <f>IFERROR(__xludf.DUMMYFUNCTION("""COMPUTED_VALUE"""),"115")</f>
        <v>115</v>
      </c>
      <c r="C7748" s="5" t="str">
        <f>IFERROR(__xludf.DUMMYFUNCTION("""COMPUTED_VALUE"""),"https://drive.google.com/file/d/13ES43xyQB2HsaMKJwi3sASa7FaNt_ZoM/view?usp=drivesdk")</f>
        <v>https://drive.google.com/file/d/13ES43xyQB2HsaMKJwi3sASa7FaNt_ZoM/view?usp=drivesdk</v>
      </c>
      <c r="D7748" s="12"/>
      <c r="E7748" s="11">
        <v>7797.0</v>
      </c>
      <c r="F7748" s="2"/>
    </row>
    <row r="7749" ht="1.5" customHeight="1">
      <c r="A7749" s="4" t="str">
        <f>IFERROR(__xludf.DUMMYFUNCTION("""COMPUTED_VALUE"""),"115. Toothless")</f>
        <v>115. Toothless</v>
      </c>
      <c r="B7749" s="4" t="str">
        <f>IFERROR(__xludf.DUMMYFUNCTION("""COMPUTED_VALUE"""),"115")</f>
        <v>115</v>
      </c>
      <c r="C7749" s="5" t="str">
        <f>IFERROR(__xludf.DUMMYFUNCTION("""COMPUTED_VALUE"""),"https://drive.google.com/file/d/1MwFo61hUrwjbeCaLuk2rKffSOj-Xl4iD/view?usp=drivesdk")</f>
        <v>https://drive.google.com/file/d/1MwFo61hUrwjbeCaLuk2rKffSOj-Xl4iD/view?usp=drivesdk</v>
      </c>
      <c r="D7749" s="12"/>
      <c r="E7749" s="11">
        <v>7798.0</v>
      </c>
      <c r="F7749" s="2"/>
    </row>
    <row r="7750" ht="1.5" customHeight="1">
      <c r="A7750" s="4" t="str">
        <f>IFERROR(__xludf.DUMMYFUNCTION("""COMPUTED_VALUE"""),"1. Microwave")</f>
        <v>1. Microwave</v>
      </c>
      <c r="B7750" s="4" t="str">
        <f>IFERROR(__xludf.DUMMYFUNCTION("""COMPUTED_VALUE"""),"1")</f>
        <v>1</v>
      </c>
      <c r="C7750" s="5" t="str">
        <f>IFERROR(__xludf.DUMMYFUNCTION("""COMPUTED_VALUE"""),"https://drive.google.com/file/d/1Tsb_Umd64NQw_loklPv7rsLmRGlTOKX6/view?usp=drivesdk")</f>
        <v>https://drive.google.com/file/d/1Tsb_Umd64NQw_loklPv7rsLmRGlTOKX6/view?usp=drivesdk</v>
      </c>
      <c r="D7750" s="12"/>
      <c r="E7750" s="11">
        <v>7799.0</v>
      </c>
      <c r="F7750" s="2"/>
    </row>
    <row r="7751" ht="1.5" customHeight="1">
      <c r="A7751" s="4" t="str">
        <f>IFERROR(__xludf.DUMMYFUNCTION("""COMPUTED_VALUE"""),"1. Microwave")</f>
        <v>1. Microwave</v>
      </c>
      <c r="B7751" s="4" t="str">
        <f>IFERROR(__xludf.DUMMYFUNCTION("""COMPUTED_VALUE"""),"1")</f>
        <v>1</v>
      </c>
      <c r="C7751" s="5" t="str">
        <f>IFERROR(__xludf.DUMMYFUNCTION("""COMPUTED_VALUE"""),"https://drive.google.com/file/d/1BI7VzSiYPBUdHlJL076LLNyNAprJjwOM/view?usp=drivesdk")</f>
        <v>https://drive.google.com/file/d/1BI7VzSiYPBUdHlJL076LLNyNAprJjwOM/view?usp=drivesdk</v>
      </c>
      <c r="D7751" s="12"/>
      <c r="E7751" s="11">
        <v>7800.0</v>
      </c>
      <c r="F7751" s="2"/>
    </row>
    <row r="7752" ht="1.5" customHeight="1">
      <c r="A7752" s="4" t="str">
        <f>IFERROR(__xludf.DUMMYFUNCTION("""COMPUTED_VALUE"""),"1. Microwave")</f>
        <v>1. Microwave</v>
      </c>
      <c r="B7752" s="4" t="str">
        <f>IFERROR(__xludf.DUMMYFUNCTION("""COMPUTED_VALUE"""),"1")</f>
        <v>1</v>
      </c>
      <c r="C7752" s="5" t="str">
        <f>IFERROR(__xludf.DUMMYFUNCTION("""COMPUTED_VALUE"""),"https://drive.google.com/file/d/1Ve1rwe190u9wea61R3I2opduliSZRezV/view?usp=drivesdk")</f>
        <v>https://drive.google.com/file/d/1Ve1rwe190u9wea61R3I2opduliSZRezV/view?usp=drivesdk</v>
      </c>
      <c r="D7752" s="12"/>
      <c r="E7752" s="11">
        <v>7801.0</v>
      </c>
      <c r="F7752" s="2"/>
    </row>
    <row r="7753" ht="1.5" customHeight="1">
      <c r="A7753" s="4" t="str">
        <f>IFERROR(__xludf.DUMMYFUNCTION("""COMPUTED_VALUE"""),"1. Microwave")</f>
        <v>1. Microwave</v>
      </c>
      <c r="B7753" s="4" t="str">
        <f>IFERROR(__xludf.DUMMYFUNCTION("""COMPUTED_VALUE"""),"1")</f>
        <v>1</v>
      </c>
      <c r="C7753" s="5" t="str">
        <f>IFERROR(__xludf.DUMMYFUNCTION("""COMPUTED_VALUE"""),"https://drive.google.com/file/d/1bHFHQQFFqrtgWu7bnW5C-qQpE0CGVpXY/view?usp=drivesdk")</f>
        <v>https://drive.google.com/file/d/1bHFHQQFFqrtgWu7bnW5C-qQpE0CGVpXY/view?usp=drivesdk</v>
      </c>
      <c r="D7753" s="12"/>
      <c r="E7753" s="11">
        <v>7802.0</v>
      </c>
      <c r="F7753" s="2"/>
    </row>
    <row r="7754" ht="1.5" customHeight="1">
      <c r="A7754" s="4" t="str">
        <f>IFERROR(__xludf.DUMMYFUNCTION("""COMPUTED_VALUE"""),"1. Microwave")</f>
        <v>1. Microwave</v>
      </c>
      <c r="B7754" s="4" t="str">
        <f>IFERROR(__xludf.DUMMYFUNCTION("""COMPUTED_VALUE"""),"1")</f>
        <v>1</v>
      </c>
      <c r="C7754" s="5" t="str">
        <f>IFERROR(__xludf.DUMMYFUNCTION("""COMPUTED_VALUE"""),"https://drive.google.com/file/d/1mCN05-Ese1qXjvBwHcPEDSKYsEYRPuG7/view?usp=drivesdk")</f>
        <v>https://drive.google.com/file/d/1mCN05-Ese1qXjvBwHcPEDSKYsEYRPuG7/view?usp=drivesdk</v>
      </c>
      <c r="D7754" s="12"/>
      <c r="E7754" s="11">
        <v>7803.0</v>
      </c>
      <c r="F7754" s="2"/>
    </row>
    <row r="7755" ht="1.5" customHeight="1">
      <c r="A7755" s="4" t="str">
        <f>IFERROR(__xludf.DUMMYFUNCTION("""COMPUTED_VALUE"""),"1. Microwave")</f>
        <v>1. Microwave</v>
      </c>
      <c r="B7755" s="4" t="str">
        <f>IFERROR(__xludf.DUMMYFUNCTION("""COMPUTED_VALUE"""),"1")</f>
        <v>1</v>
      </c>
      <c r="C7755" s="5" t="str">
        <f>IFERROR(__xludf.DUMMYFUNCTION("""COMPUTED_VALUE"""),"https://drive.google.com/file/d/1OJTONHVkXoJrCOOinlely81QMiQNFW22/view?usp=drivesdk")</f>
        <v>https://drive.google.com/file/d/1OJTONHVkXoJrCOOinlely81QMiQNFW22/view?usp=drivesdk</v>
      </c>
      <c r="D7755" s="12"/>
      <c r="E7755" s="11">
        <v>7804.0</v>
      </c>
      <c r="F7755" s="2"/>
    </row>
    <row r="7756" ht="1.5" customHeight="1">
      <c r="A7756" s="4" t="str">
        <f>IFERROR(__xludf.DUMMYFUNCTION("""COMPUTED_VALUE"""),"141. Kamahalan")</f>
        <v>141. Kamahalan</v>
      </c>
      <c r="B7756" s="4" t="str">
        <f>IFERROR(__xludf.DUMMYFUNCTION("""COMPUTED_VALUE"""),"141")</f>
        <v>141</v>
      </c>
      <c r="C7756" s="5" t="str">
        <f>IFERROR(__xludf.DUMMYFUNCTION("""COMPUTED_VALUE"""),"https://drive.google.com/file/d/1KqRxR_6AbggBtomIof_WWoYdsDXrXrxh/view?usp=drivesdk")</f>
        <v>https://drive.google.com/file/d/1KqRxR_6AbggBtomIof_WWoYdsDXrXrxh/view?usp=drivesdk</v>
      </c>
      <c r="D7756" s="12"/>
      <c r="E7756" s="11">
        <v>7805.0</v>
      </c>
      <c r="F7756" s="2"/>
    </row>
    <row r="7757" ht="1.5" customHeight="1">
      <c r="A7757" s="4" t="str">
        <f>IFERROR(__xludf.DUMMYFUNCTION("""COMPUTED_VALUE"""),"141. Kamahalan")</f>
        <v>141. Kamahalan</v>
      </c>
      <c r="B7757" s="4" t="str">
        <f>IFERROR(__xludf.DUMMYFUNCTION("""COMPUTED_VALUE"""),"141")</f>
        <v>141</v>
      </c>
      <c r="C7757" s="5" t="str">
        <f>IFERROR(__xludf.DUMMYFUNCTION("""COMPUTED_VALUE"""),"https://drive.google.com/file/d/1XvcWm-rnO35GbesqTyU-5vVPuK2XgOgv/view?usp=drivesdk")</f>
        <v>https://drive.google.com/file/d/1XvcWm-rnO35GbesqTyU-5vVPuK2XgOgv/view?usp=drivesdk</v>
      </c>
      <c r="D7757" s="12"/>
      <c r="E7757" s="11">
        <v>7806.0</v>
      </c>
      <c r="F7757" s="2"/>
    </row>
    <row r="7758" ht="1.5" customHeight="1">
      <c r="A7758" s="4" t="str">
        <f>IFERROR(__xludf.DUMMYFUNCTION("""COMPUTED_VALUE"""),"141. Kamahalan")</f>
        <v>141. Kamahalan</v>
      </c>
      <c r="B7758" s="4" t="str">
        <f>IFERROR(__xludf.DUMMYFUNCTION("""COMPUTED_VALUE"""),"141")</f>
        <v>141</v>
      </c>
      <c r="C7758" s="5" t="str">
        <f>IFERROR(__xludf.DUMMYFUNCTION("""COMPUTED_VALUE"""),"https://drive.google.com/file/d/1DzE6bTD2kPxKk-a9uHNujTumwLkgeS-s/view?usp=drivesdk")</f>
        <v>https://drive.google.com/file/d/1DzE6bTD2kPxKk-a9uHNujTumwLkgeS-s/view?usp=drivesdk</v>
      </c>
      <c r="D7758" s="12"/>
      <c r="E7758" s="11">
        <v>7807.0</v>
      </c>
      <c r="F7758" s="2"/>
    </row>
    <row r="7759" ht="1.5" customHeight="1">
      <c r="A7759" s="4" t="str">
        <f>IFERROR(__xludf.DUMMYFUNCTION("""COMPUTED_VALUE"""),"141. Kamahalan")</f>
        <v>141. Kamahalan</v>
      </c>
      <c r="B7759" s="4" t="str">
        <f>IFERROR(__xludf.DUMMYFUNCTION("""COMPUTED_VALUE"""),"141")</f>
        <v>141</v>
      </c>
      <c r="C7759" s="5" t="str">
        <f>IFERROR(__xludf.DUMMYFUNCTION("""COMPUTED_VALUE"""),"https://drive.google.com/file/d/18iH3CkyL5prpeNIPtb67RM3w31ES5Vue/view?usp=drivesdk")</f>
        <v>https://drive.google.com/file/d/18iH3CkyL5prpeNIPtb67RM3w31ES5Vue/view?usp=drivesdk</v>
      </c>
      <c r="D7759" s="12"/>
      <c r="E7759" s="11">
        <v>7808.0</v>
      </c>
      <c r="F7759" s="2"/>
    </row>
    <row r="7760" ht="1.5" customHeight="1">
      <c r="A7760" s="4" t="str">
        <f>IFERROR(__xludf.DUMMYFUNCTION("""COMPUTED_VALUE"""),"141. Kamahalan")</f>
        <v>141. Kamahalan</v>
      </c>
      <c r="B7760" s="4" t="str">
        <f>IFERROR(__xludf.DUMMYFUNCTION("""COMPUTED_VALUE"""),"141")</f>
        <v>141</v>
      </c>
      <c r="C7760" s="5" t="str">
        <f>IFERROR(__xludf.DUMMYFUNCTION("""COMPUTED_VALUE"""),"https://drive.google.com/file/d/1wffY9EpM_2t26Ck_8flypsq_G_sJeIUT/view?usp=drivesdk")</f>
        <v>https://drive.google.com/file/d/1wffY9EpM_2t26Ck_8flypsq_G_sJeIUT/view?usp=drivesdk</v>
      </c>
      <c r="D7760" s="12"/>
      <c r="E7760" s="11">
        <v>7809.0</v>
      </c>
      <c r="F7760" s="2"/>
    </row>
    <row r="7761" ht="1.5" customHeight="1">
      <c r="A7761" s="4" t="str">
        <f>IFERROR(__xludf.DUMMYFUNCTION("""COMPUTED_VALUE"""),"141. Kamahalan")</f>
        <v>141. Kamahalan</v>
      </c>
      <c r="B7761" s="4" t="str">
        <f>IFERROR(__xludf.DUMMYFUNCTION("""COMPUTED_VALUE"""),"141")</f>
        <v>141</v>
      </c>
      <c r="C7761" s="5" t="str">
        <f>IFERROR(__xludf.DUMMYFUNCTION("""COMPUTED_VALUE"""),"https://drive.google.com/file/d/1f1imWt1D2DG4CbgEw6WMfUOfLqFUfmcr/view?usp=drivesdk")</f>
        <v>https://drive.google.com/file/d/1f1imWt1D2DG4CbgEw6WMfUOfLqFUfmcr/view?usp=drivesdk</v>
      </c>
      <c r="D7761" s="12"/>
      <c r="E7761" s="11">
        <v>7810.0</v>
      </c>
      <c r="F7761" s="2"/>
    </row>
    <row r="7762" ht="1.5" customHeight="1">
      <c r="A7762" s="4" t="str">
        <f>IFERROR(__xludf.DUMMYFUNCTION("""COMPUTED_VALUE"""),"41. Gregory")</f>
        <v>41. Gregory</v>
      </c>
      <c r="B7762" s="4" t="str">
        <f>IFERROR(__xludf.DUMMYFUNCTION("""COMPUTED_VALUE"""),"41")</f>
        <v>41</v>
      </c>
      <c r="C7762" s="5" t="str">
        <f>IFERROR(__xludf.DUMMYFUNCTION("""COMPUTED_VALUE"""),"https://drive.google.com/file/d/1hiKQXlLROUuSX3Rm5Aqa3q_0sPWhIJbQ/view?usp=drivesdk")</f>
        <v>https://drive.google.com/file/d/1hiKQXlLROUuSX3Rm5Aqa3q_0sPWhIJbQ/view?usp=drivesdk</v>
      </c>
      <c r="D7762" s="12"/>
      <c r="E7762" s="11">
        <v>7811.0</v>
      </c>
      <c r="F7762" s="2"/>
    </row>
    <row r="7763" ht="1.5" customHeight="1">
      <c r="A7763" s="4" t="str">
        <f>IFERROR(__xludf.DUMMYFUNCTION("""COMPUTED_VALUE"""),"58. Eden")</f>
        <v>58. Eden</v>
      </c>
      <c r="B7763" s="4" t="str">
        <f>IFERROR(__xludf.DUMMYFUNCTION("""COMPUTED_VALUE"""),"58")</f>
        <v>58</v>
      </c>
      <c r="C7763" s="5" t="str">
        <f>IFERROR(__xludf.DUMMYFUNCTION("""COMPUTED_VALUE"""),"https://drive.google.com/file/d/12BpTKnEUnRT2A0y6WSWpXroPpZmZm36f/view?usp=drivesdk")</f>
        <v>https://drive.google.com/file/d/12BpTKnEUnRT2A0y6WSWpXroPpZmZm36f/view?usp=drivesdk</v>
      </c>
      <c r="D7763" s="12"/>
      <c r="E7763" s="11">
        <v>7812.0</v>
      </c>
      <c r="F7763" s="2"/>
    </row>
    <row r="7764" ht="1.5" customHeight="1">
      <c r="A7764" s="4" t="str">
        <f>IFERROR(__xludf.DUMMYFUNCTION("""COMPUTED_VALUE"""),"58. Eden")</f>
        <v>58. Eden</v>
      </c>
      <c r="B7764" s="4" t="str">
        <f>IFERROR(__xludf.DUMMYFUNCTION("""COMPUTED_VALUE"""),"58")</f>
        <v>58</v>
      </c>
      <c r="C7764" s="5" t="str">
        <f>IFERROR(__xludf.DUMMYFUNCTION("""COMPUTED_VALUE"""),"https://drive.google.com/file/d/15UyAHZTFq7P37BHkZzuqGqa5w4jWv9oP/view?usp=drivesdk")</f>
        <v>https://drive.google.com/file/d/15UyAHZTFq7P37BHkZzuqGqa5w4jWv9oP/view?usp=drivesdk</v>
      </c>
      <c r="D7764" s="12"/>
      <c r="E7764" s="11">
        <v>7813.0</v>
      </c>
      <c r="F7764" s="2"/>
    </row>
    <row r="7765" ht="1.5" customHeight="1">
      <c r="A7765" s="4" t="str">
        <f>IFERROR(__xludf.DUMMYFUNCTION("""COMPUTED_VALUE"""),"127. Eleanor")</f>
        <v>127. Eleanor</v>
      </c>
      <c r="B7765" s="4" t="str">
        <f>IFERROR(__xludf.DUMMYFUNCTION("""COMPUTED_VALUE"""),"127")</f>
        <v>127</v>
      </c>
      <c r="C7765" s="5" t="str">
        <f>IFERROR(__xludf.DUMMYFUNCTION("""COMPUTED_VALUE"""),"https://drive.google.com/file/d/1WoW8oDtKblrJ9uQGHn5kD2gdg7BOEDab/view?usp=drivesdk")</f>
        <v>https://drive.google.com/file/d/1WoW8oDtKblrJ9uQGHn5kD2gdg7BOEDab/view?usp=drivesdk</v>
      </c>
      <c r="D7765" s="12"/>
      <c r="E7765" s="11">
        <v>7814.0</v>
      </c>
      <c r="F7765" s="2"/>
    </row>
    <row r="7766" ht="1.5" customHeight="1">
      <c r="A7766" s="4" t="str">
        <f>IFERROR(__xludf.DUMMYFUNCTION("""COMPUTED_VALUE"""),"127. Eleanor")</f>
        <v>127. Eleanor</v>
      </c>
      <c r="B7766" s="4" t="str">
        <f>IFERROR(__xludf.DUMMYFUNCTION("""COMPUTED_VALUE"""),"127")</f>
        <v>127</v>
      </c>
      <c r="C7766" s="5" t="str">
        <f>IFERROR(__xludf.DUMMYFUNCTION("""COMPUTED_VALUE"""),"https://drive.google.com/file/d/1UAhYauulvfa64MOf_updTNOZMJ8P-TpO/view?usp=drivesdk")</f>
        <v>https://drive.google.com/file/d/1UAhYauulvfa64MOf_updTNOZMJ8P-TpO/view?usp=drivesdk</v>
      </c>
      <c r="D7766" s="12"/>
      <c r="E7766" s="11">
        <v>7815.0</v>
      </c>
      <c r="F7766" s="2"/>
    </row>
    <row r="7767" ht="1.5" customHeight="1">
      <c r="A7767" s="4" t="str">
        <f>IFERROR(__xludf.DUMMYFUNCTION("""COMPUTED_VALUE"""),"127. Eleanor")</f>
        <v>127. Eleanor</v>
      </c>
      <c r="B7767" s="4" t="str">
        <f>IFERROR(__xludf.DUMMYFUNCTION("""COMPUTED_VALUE"""),"127")</f>
        <v>127</v>
      </c>
      <c r="C7767" s="5" t="str">
        <f>IFERROR(__xludf.DUMMYFUNCTION("""COMPUTED_VALUE"""),"https://drive.google.com/file/d/1YLjLji7S-0LRw6w1MQYrr5yWUFDP0zJh/view?usp=drivesdk")</f>
        <v>https://drive.google.com/file/d/1YLjLji7S-0LRw6w1MQYrr5yWUFDP0zJh/view?usp=drivesdk</v>
      </c>
      <c r="D7767" s="12"/>
      <c r="E7767" s="11">
        <v>7816.0</v>
      </c>
      <c r="F7767" s="2"/>
    </row>
    <row r="7768" ht="1.5" customHeight="1">
      <c r="A7768" s="4" t="str">
        <f>IFERROR(__xludf.DUMMYFUNCTION("""COMPUTED_VALUE"""),"84. Maddox")</f>
        <v>84. Maddox</v>
      </c>
      <c r="B7768" s="4" t="str">
        <f>IFERROR(__xludf.DUMMYFUNCTION("""COMPUTED_VALUE"""),"84")</f>
        <v>84</v>
      </c>
      <c r="C7768" s="5" t="str">
        <f>IFERROR(__xludf.DUMMYFUNCTION("""COMPUTED_VALUE"""),"https://drive.google.com/file/d/1LyeCguNEJv6U960r36vMcV3loem4cMnx/view?usp=drivesdk")</f>
        <v>https://drive.google.com/file/d/1LyeCguNEJv6U960r36vMcV3loem4cMnx/view?usp=drivesdk</v>
      </c>
      <c r="D7768" s="12"/>
      <c r="E7768" s="11">
        <v>7817.0</v>
      </c>
      <c r="F7768" s="2"/>
    </row>
    <row r="7769" ht="1.5" customHeight="1">
      <c r="A7769" s="4" t="str">
        <f>IFERROR(__xludf.DUMMYFUNCTION("""COMPUTED_VALUE"""),"143. Timothy")</f>
        <v>143. Timothy</v>
      </c>
      <c r="B7769" s="4" t="str">
        <f>IFERROR(__xludf.DUMMYFUNCTION("""COMPUTED_VALUE"""),"143")</f>
        <v>143</v>
      </c>
      <c r="C7769" s="5" t="str">
        <f>IFERROR(__xludf.DUMMYFUNCTION("""COMPUTED_VALUE"""),"https://drive.google.com/file/d/1VytKk-wuYXaeerTaIDoqEaufosRUBAuQ/view?usp=drivesdk")</f>
        <v>https://drive.google.com/file/d/1VytKk-wuYXaeerTaIDoqEaufosRUBAuQ/view?usp=drivesdk</v>
      </c>
      <c r="D7769" s="12"/>
      <c r="E7769" s="11">
        <v>7818.0</v>
      </c>
      <c r="F7769" s="2"/>
    </row>
    <row r="7770" ht="1.5" customHeight="1">
      <c r="A7770" s="4" t="str">
        <f>IFERROR(__xludf.DUMMYFUNCTION("""COMPUTED_VALUE"""),"127. Eleanor")</f>
        <v>127. Eleanor</v>
      </c>
      <c r="B7770" s="4" t="str">
        <f>IFERROR(__xludf.DUMMYFUNCTION("""COMPUTED_VALUE"""),"127")</f>
        <v>127</v>
      </c>
      <c r="C7770" s="5" t="str">
        <f>IFERROR(__xludf.DUMMYFUNCTION("""COMPUTED_VALUE"""),"https://drive.google.com/file/d/1K4y_Ii2WY-AB4Xi6RupcCo7DDOhuJGu_/view?usp=drivesdk")</f>
        <v>https://drive.google.com/file/d/1K4y_Ii2WY-AB4Xi6RupcCo7DDOhuJGu_/view?usp=drivesdk</v>
      </c>
      <c r="D7770" s="12"/>
      <c r="E7770" s="11">
        <v>7819.0</v>
      </c>
      <c r="F7770" s="2"/>
    </row>
    <row r="7771" ht="1.5" customHeight="1">
      <c r="A7771" s="4" t="str">
        <f>IFERROR(__xludf.DUMMYFUNCTION("""COMPUTED_VALUE"""),"97.  Simba")</f>
        <v>97.  Simba</v>
      </c>
      <c r="B7771" s="4" t="str">
        <f>IFERROR(__xludf.DUMMYFUNCTION("""COMPUTED_VALUE"""),"97")</f>
        <v>97</v>
      </c>
      <c r="C7771" s="5" t="str">
        <f>IFERROR(__xludf.DUMMYFUNCTION("""COMPUTED_VALUE"""),"https://drive.google.com/file/d/1f_Rm5Z7kNbaAoykSBgV0X44VErvqWcd7/view?usp=drivesdk")</f>
        <v>https://drive.google.com/file/d/1f_Rm5Z7kNbaAoykSBgV0X44VErvqWcd7/view?usp=drivesdk</v>
      </c>
      <c r="D7771" s="12"/>
      <c r="E7771" s="11">
        <v>7820.0</v>
      </c>
      <c r="F7771" s="2"/>
    </row>
    <row r="7772" ht="1.5" customHeight="1">
      <c r="A7772" s="4" t="str">
        <f>IFERROR(__xludf.DUMMYFUNCTION("""COMPUTED_VALUE"""),"2. Twix")</f>
        <v>2. Twix</v>
      </c>
      <c r="B7772" s="4" t="str">
        <f>IFERROR(__xludf.DUMMYFUNCTION("""COMPUTED_VALUE"""),"2")</f>
        <v>2</v>
      </c>
      <c r="C7772" s="5" t="str">
        <f>IFERROR(__xludf.DUMMYFUNCTION("""COMPUTED_VALUE"""),"https://drive.google.com/file/d/1ianzdeYUbHMLRjNwN7TWj64ey23PxB_k/view?usp=drivesdk")</f>
        <v>https://drive.google.com/file/d/1ianzdeYUbHMLRjNwN7TWj64ey23PxB_k/view?usp=drivesdk</v>
      </c>
      <c r="D7772" s="12"/>
      <c r="E7772" s="11">
        <v>7821.0</v>
      </c>
      <c r="F7772" s="2"/>
    </row>
    <row r="7773" ht="1.5" customHeight="1">
      <c r="A7773" s="4" t="str">
        <f>IFERROR(__xludf.DUMMYFUNCTION("""COMPUTED_VALUE"""),"5. Eraser")</f>
        <v>5. Eraser</v>
      </c>
      <c r="B7773" s="4" t="str">
        <f>IFERROR(__xludf.DUMMYFUNCTION("""COMPUTED_VALUE"""),"5")</f>
        <v>5</v>
      </c>
      <c r="C7773" s="5" t="str">
        <f>IFERROR(__xludf.DUMMYFUNCTION("""COMPUTED_VALUE"""),"https://drive.google.com/file/d/1P-qET5BVKOaQuG956df4op9HgnvN5URz/view?usp=drivesdk")</f>
        <v>https://drive.google.com/file/d/1P-qET5BVKOaQuG956df4op9HgnvN5URz/view?usp=drivesdk</v>
      </c>
      <c r="D7773" s="12"/>
      <c r="E7773" s="11">
        <v>7822.0</v>
      </c>
      <c r="F7773" s="2"/>
    </row>
    <row r="7774" ht="1.5" customHeight="1">
      <c r="A7774" s="4" t="str">
        <f>IFERROR(__xludf.DUMMYFUNCTION("""COMPUTED_VALUE"""),"1. Microwave")</f>
        <v>1. Microwave</v>
      </c>
      <c r="B7774" s="4" t="str">
        <f>IFERROR(__xludf.DUMMYFUNCTION("""COMPUTED_VALUE"""),"1")</f>
        <v>1</v>
      </c>
      <c r="C7774" s="5" t="str">
        <f>IFERROR(__xludf.DUMMYFUNCTION("""COMPUTED_VALUE"""),"https://drive.google.com/file/d/1dMG95B9SiLh4SsxuPBSDg1q219z1I0g2/view?usp=drivesdk")</f>
        <v>https://drive.google.com/file/d/1dMG95B9SiLh4SsxuPBSDg1q219z1I0g2/view?usp=drivesdk</v>
      </c>
      <c r="D7774" s="12"/>
      <c r="E7774" s="11">
        <v>7823.0</v>
      </c>
      <c r="F7774" s="2"/>
    </row>
    <row r="7775" ht="1.5" customHeight="1">
      <c r="A7775" s="4" t="str">
        <f>IFERROR(__xludf.DUMMYFUNCTION("""COMPUTED_VALUE"""),"1. Microwave")</f>
        <v>1. Microwave</v>
      </c>
      <c r="B7775" s="4" t="str">
        <f>IFERROR(__xludf.DUMMYFUNCTION("""COMPUTED_VALUE"""),"1")</f>
        <v>1</v>
      </c>
      <c r="C7775" s="5" t="str">
        <f>IFERROR(__xludf.DUMMYFUNCTION("""COMPUTED_VALUE"""),"https://drive.google.com/file/d/1MQdeAIMibBFDvFPWZrYx5hzSYYdqyJNC/view?usp=drivesdk")</f>
        <v>https://drive.google.com/file/d/1MQdeAIMibBFDvFPWZrYx5hzSYYdqyJNC/view?usp=drivesdk</v>
      </c>
      <c r="D7775" s="12"/>
      <c r="E7775" s="11">
        <v>7824.0</v>
      </c>
      <c r="F7775" s="2"/>
    </row>
    <row r="7776" ht="1.5" customHeight="1">
      <c r="A7776" s="4" t="str">
        <f>IFERROR(__xludf.DUMMYFUNCTION("""COMPUTED_VALUE"""),"1. Microwave")</f>
        <v>1. Microwave</v>
      </c>
      <c r="B7776" s="4" t="str">
        <f>IFERROR(__xludf.DUMMYFUNCTION("""COMPUTED_VALUE"""),"1")</f>
        <v>1</v>
      </c>
      <c r="C7776" s="5" t="str">
        <f>IFERROR(__xludf.DUMMYFUNCTION("""COMPUTED_VALUE"""),"https://drive.google.com/file/d/10gHTrqHuWALwOwLaXbNH6utRZ-ZpQ132/view?usp=drivesdk")</f>
        <v>https://drive.google.com/file/d/10gHTrqHuWALwOwLaXbNH6utRZ-ZpQ132/view?usp=drivesdk</v>
      </c>
      <c r="D7776" s="12"/>
      <c r="E7776" s="11">
        <v>7825.0</v>
      </c>
      <c r="F7776" s="2"/>
    </row>
    <row r="7777" ht="1.5" customHeight="1">
      <c r="A7777" s="4" t="str">
        <f>IFERROR(__xludf.DUMMYFUNCTION("""COMPUTED_VALUE"""),"1. Microwave")</f>
        <v>1. Microwave</v>
      </c>
      <c r="B7777" s="4" t="str">
        <f>IFERROR(__xludf.DUMMYFUNCTION("""COMPUTED_VALUE"""),"1")</f>
        <v>1</v>
      </c>
      <c r="C7777" s="5" t="str">
        <f>IFERROR(__xludf.DUMMYFUNCTION("""COMPUTED_VALUE"""),"https://drive.google.com/file/d/1CZhDoIPpfr5-ExpA3piMJkMOoVl58BB_/view?usp=drivesdk")</f>
        <v>https://drive.google.com/file/d/1CZhDoIPpfr5-ExpA3piMJkMOoVl58BB_/view?usp=drivesdk</v>
      </c>
      <c r="D7777" s="12"/>
      <c r="E7777" s="11">
        <v>7826.0</v>
      </c>
      <c r="F7777" s="2"/>
    </row>
    <row r="7778" ht="1.5" customHeight="1">
      <c r="A7778" s="4" t="str">
        <f>IFERROR(__xludf.DUMMYFUNCTION("""COMPUTED_VALUE"""),"1. Microwave")</f>
        <v>1. Microwave</v>
      </c>
      <c r="B7778" s="4" t="str">
        <f>IFERROR(__xludf.DUMMYFUNCTION("""COMPUTED_VALUE"""),"1")</f>
        <v>1</v>
      </c>
      <c r="C7778" s="5" t="str">
        <f>IFERROR(__xludf.DUMMYFUNCTION("""COMPUTED_VALUE"""),"https://drive.google.com/file/d/1iae0_hCOEisNgkLhfc1qm42ovIZQEeeH/view?usp=drivesdk")</f>
        <v>https://drive.google.com/file/d/1iae0_hCOEisNgkLhfc1qm42ovIZQEeeH/view?usp=drivesdk</v>
      </c>
      <c r="D7778" s="12"/>
      <c r="E7778" s="11">
        <v>7827.0</v>
      </c>
      <c r="F7778" s="2"/>
    </row>
    <row r="7779" ht="1.5" customHeight="1">
      <c r="A7779" s="4" t="str">
        <f>IFERROR(__xludf.DUMMYFUNCTION("""COMPUTED_VALUE"""),"1. Microwave")</f>
        <v>1. Microwave</v>
      </c>
      <c r="B7779" s="4" t="str">
        <f>IFERROR(__xludf.DUMMYFUNCTION("""COMPUTED_VALUE"""),"1")</f>
        <v>1</v>
      </c>
      <c r="C7779" s="5" t="str">
        <f>IFERROR(__xludf.DUMMYFUNCTION("""COMPUTED_VALUE"""),"https://drive.google.com/file/d/1gGiVn7_okwHnqZEVA7cftOnib5zrdu7M/view?usp=drivesdk")</f>
        <v>https://drive.google.com/file/d/1gGiVn7_okwHnqZEVA7cftOnib5zrdu7M/view?usp=drivesdk</v>
      </c>
      <c r="D7779" s="12"/>
      <c r="E7779" s="11">
        <v>7828.0</v>
      </c>
      <c r="F7779" s="2"/>
    </row>
    <row r="7780" ht="1.5" customHeight="1">
      <c r="A7780" s="4" t="str">
        <f>IFERROR(__xludf.DUMMYFUNCTION("""COMPUTED_VALUE"""),"1. Microwave")</f>
        <v>1. Microwave</v>
      </c>
      <c r="B7780" s="4" t="str">
        <f>IFERROR(__xludf.DUMMYFUNCTION("""COMPUTED_VALUE"""),"1")</f>
        <v>1</v>
      </c>
      <c r="C7780" s="5" t="str">
        <f>IFERROR(__xludf.DUMMYFUNCTION("""COMPUTED_VALUE"""),"https://drive.google.com/file/d/1t-xTMzRmkyZSAdKiAPmyTdRWPQLccJf_/view?usp=drivesdk")</f>
        <v>https://drive.google.com/file/d/1t-xTMzRmkyZSAdKiAPmyTdRWPQLccJf_/view?usp=drivesdk</v>
      </c>
      <c r="D7780" s="12"/>
      <c r="E7780" s="11">
        <v>7829.0</v>
      </c>
      <c r="F7780" s="2"/>
    </row>
    <row r="7781" ht="1.5" customHeight="1">
      <c r="A7781" s="4" t="str">
        <f>IFERROR(__xludf.DUMMYFUNCTION("""COMPUTED_VALUE"""),"1. Microwave")</f>
        <v>1. Microwave</v>
      </c>
      <c r="B7781" s="4" t="str">
        <f>IFERROR(__xludf.DUMMYFUNCTION("""COMPUTED_VALUE"""),"1")</f>
        <v>1</v>
      </c>
      <c r="C7781" s="5" t="str">
        <f>IFERROR(__xludf.DUMMYFUNCTION("""COMPUTED_VALUE"""),"https://drive.google.com/file/d/19A_54oL1NkXA2vpScHytxP6tGGRbzM2d/view?usp=drivesdk")</f>
        <v>https://drive.google.com/file/d/19A_54oL1NkXA2vpScHytxP6tGGRbzM2d/view?usp=drivesdk</v>
      </c>
      <c r="D7781" s="12"/>
      <c r="E7781" s="11">
        <v>7830.0</v>
      </c>
      <c r="F7781" s="2"/>
    </row>
    <row r="7782" ht="1.5" customHeight="1">
      <c r="A7782" s="4" t="str">
        <f>IFERROR(__xludf.DUMMYFUNCTION("""COMPUTED_VALUE"""),"1. Microwave")</f>
        <v>1. Microwave</v>
      </c>
      <c r="B7782" s="4" t="str">
        <f>IFERROR(__xludf.DUMMYFUNCTION("""COMPUTED_VALUE"""),"1")</f>
        <v>1</v>
      </c>
      <c r="C7782" s="5" t="str">
        <f>IFERROR(__xludf.DUMMYFUNCTION("""COMPUTED_VALUE"""),"https://drive.google.com/file/d/1GFx19q69O8ZJN0qB8cR-_tujEXY0i2AL/view?usp=drivesdk")</f>
        <v>https://drive.google.com/file/d/1GFx19q69O8ZJN0qB8cR-_tujEXY0i2AL/view?usp=drivesdk</v>
      </c>
      <c r="D7782" s="12"/>
      <c r="E7782" s="11">
        <v>7831.0</v>
      </c>
      <c r="F7782" s="2"/>
    </row>
    <row r="7783" ht="1.5" customHeight="1">
      <c r="A7783" s="4" t="str">
        <f>IFERROR(__xludf.DUMMYFUNCTION("""COMPUTED_VALUE"""),"1. Microwave")</f>
        <v>1. Microwave</v>
      </c>
      <c r="B7783" s="4" t="str">
        <f>IFERROR(__xludf.DUMMYFUNCTION("""COMPUTED_VALUE"""),"1")</f>
        <v>1</v>
      </c>
      <c r="C7783" s="5" t="str">
        <f>IFERROR(__xludf.DUMMYFUNCTION("""COMPUTED_VALUE"""),"https://drive.google.com/file/d/1gkWecDtO6E4Z7f_1x8zQsXPcg0ORQyM7/view?usp=drivesdk")</f>
        <v>https://drive.google.com/file/d/1gkWecDtO6E4Z7f_1x8zQsXPcg0ORQyM7/view?usp=drivesdk</v>
      </c>
      <c r="D7783" s="12"/>
      <c r="E7783" s="11">
        <v>7832.0</v>
      </c>
      <c r="F7783" s="2"/>
    </row>
    <row r="7784" ht="1.5" customHeight="1">
      <c r="A7784" s="4" t="str">
        <f>IFERROR(__xludf.DUMMYFUNCTION("""COMPUTED_VALUE"""),"2. Twix")</f>
        <v>2. Twix</v>
      </c>
      <c r="B7784" s="4" t="str">
        <f>IFERROR(__xludf.DUMMYFUNCTION("""COMPUTED_VALUE"""),"2")</f>
        <v>2</v>
      </c>
      <c r="C7784" s="5" t="str">
        <f>IFERROR(__xludf.DUMMYFUNCTION("""COMPUTED_VALUE"""),"https://drive.google.com/file/d/1TRASKrFkhM9-kgXzBFnDYBGOKvYRO9ib/view?usp=drivesdk")</f>
        <v>https://drive.google.com/file/d/1TRASKrFkhM9-kgXzBFnDYBGOKvYRO9ib/view?usp=drivesdk</v>
      </c>
      <c r="D7784" s="12"/>
      <c r="E7784" s="11">
        <v>7833.0</v>
      </c>
      <c r="F7784" s="2"/>
    </row>
    <row r="7785" ht="1.5" customHeight="1">
      <c r="A7785" s="4" t="str">
        <f>IFERROR(__xludf.DUMMYFUNCTION("""COMPUTED_VALUE"""),"1. Microwave")</f>
        <v>1. Microwave</v>
      </c>
      <c r="B7785" s="4" t="str">
        <f>IFERROR(__xludf.DUMMYFUNCTION("""COMPUTED_VALUE"""),"1")</f>
        <v>1</v>
      </c>
      <c r="C7785" s="5" t="str">
        <f>IFERROR(__xludf.DUMMYFUNCTION("""COMPUTED_VALUE"""),"https://drive.google.com/file/d/1SM-nyz2Fhfhz_iCH_S3_A3XabI0ISnG1/view?usp=drivesdk")</f>
        <v>https://drive.google.com/file/d/1SM-nyz2Fhfhz_iCH_S3_A3XabI0ISnG1/view?usp=drivesdk</v>
      </c>
      <c r="D7785" s="12"/>
      <c r="E7785" s="11">
        <v>7834.0</v>
      </c>
      <c r="F7785" s="2"/>
    </row>
    <row r="7786" ht="1.5" customHeight="1">
      <c r="A7786" s="4" t="str">
        <f>IFERROR(__xludf.DUMMYFUNCTION("""COMPUTED_VALUE"""),"1. Microwave")</f>
        <v>1. Microwave</v>
      </c>
      <c r="B7786" s="4" t="str">
        <f>IFERROR(__xludf.DUMMYFUNCTION("""COMPUTED_VALUE"""),"1")</f>
        <v>1</v>
      </c>
      <c r="C7786" s="5" t="str">
        <f>IFERROR(__xludf.DUMMYFUNCTION("""COMPUTED_VALUE"""),"https://drive.google.com/file/d/1dRaFl1GBwI1cMZ1n47zdH00oT8wfDmcZ/view?usp=drivesdk")</f>
        <v>https://drive.google.com/file/d/1dRaFl1GBwI1cMZ1n47zdH00oT8wfDmcZ/view?usp=drivesdk</v>
      </c>
      <c r="D7786" s="12"/>
      <c r="E7786" s="11">
        <v>7835.0</v>
      </c>
      <c r="F7786" s="2"/>
    </row>
    <row r="7787" ht="1.5" customHeight="1">
      <c r="A7787" s="4" t="str">
        <f>IFERROR(__xludf.DUMMYFUNCTION("""COMPUTED_VALUE"""),"1. Microwave")</f>
        <v>1. Microwave</v>
      </c>
      <c r="B7787" s="4" t="str">
        <f>IFERROR(__xludf.DUMMYFUNCTION("""COMPUTED_VALUE"""),"1")</f>
        <v>1</v>
      </c>
      <c r="C7787" s="5" t="str">
        <f>IFERROR(__xludf.DUMMYFUNCTION("""COMPUTED_VALUE"""),"https://drive.google.com/file/d/1xnEG7L2DbNJY6bHc5n9yVzWnz_5QU1U2/view?usp=drivesdk")</f>
        <v>https://drive.google.com/file/d/1xnEG7L2DbNJY6bHc5n9yVzWnz_5QU1U2/view?usp=drivesdk</v>
      </c>
      <c r="D7787" s="12"/>
      <c r="E7787" s="11">
        <v>7836.0</v>
      </c>
      <c r="F7787" s="2"/>
    </row>
    <row r="7788" ht="1.5" customHeight="1">
      <c r="A7788" s="4" t="str">
        <f>IFERROR(__xludf.DUMMYFUNCTION("""COMPUTED_VALUE"""),"1. Microwave")</f>
        <v>1. Microwave</v>
      </c>
      <c r="B7788" s="4" t="str">
        <f>IFERROR(__xludf.DUMMYFUNCTION("""COMPUTED_VALUE"""),"1")</f>
        <v>1</v>
      </c>
      <c r="C7788" s="5" t="str">
        <f>IFERROR(__xludf.DUMMYFUNCTION("""COMPUTED_VALUE"""),"https://drive.google.com/file/d/1we31v4iYjainOXISQOFO9V1gYctzyaP3/view?usp=drivesdk")</f>
        <v>https://drive.google.com/file/d/1we31v4iYjainOXISQOFO9V1gYctzyaP3/view?usp=drivesdk</v>
      </c>
      <c r="D7788" s="12"/>
      <c r="E7788" s="11">
        <v>7837.0</v>
      </c>
      <c r="F7788" s="2"/>
    </row>
    <row r="7789" ht="1.5" customHeight="1">
      <c r="A7789" s="4" t="str">
        <f>IFERROR(__xludf.DUMMYFUNCTION("""COMPUTED_VALUE"""),"1. Microwave")</f>
        <v>1. Microwave</v>
      </c>
      <c r="B7789" s="4" t="str">
        <f>IFERROR(__xludf.DUMMYFUNCTION("""COMPUTED_VALUE"""),"1")</f>
        <v>1</v>
      </c>
      <c r="C7789" s="5" t="str">
        <f>IFERROR(__xludf.DUMMYFUNCTION("""COMPUTED_VALUE"""),"https://drive.google.com/file/d/1w0GWYM0JR6SV0fBTUTJGNCknVnMLgnZO/view?usp=drivesdk")</f>
        <v>https://drive.google.com/file/d/1w0GWYM0JR6SV0fBTUTJGNCknVnMLgnZO/view?usp=drivesdk</v>
      </c>
      <c r="D7789" s="12"/>
      <c r="E7789" s="11">
        <v>7838.0</v>
      </c>
      <c r="F7789" s="2"/>
    </row>
    <row r="7790" ht="1.5" customHeight="1">
      <c r="A7790" s="4" t="str">
        <f>IFERROR(__xludf.DUMMYFUNCTION("""COMPUTED_VALUE"""),"1. Microwave")</f>
        <v>1. Microwave</v>
      </c>
      <c r="B7790" s="4" t="str">
        <f>IFERROR(__xludf.DUMMYFUNCTION("""COMPUTED_VALUE"""),"1")</f>
        <v>1</v>
      </c>
      <c r="C7790" s="5" t="str">
        <f>IFERROR(__xludf.DUMMYFUNCTION("""COMPUTED_VALUE"""),"https://drive.google.com/file/d/1ssE1n_FKEfglmoAh3ZVptMz-SO4G0jIB/view?usp=drivesdk")</f>
        <v>https://drive.google.com/file/d/1ssE1n_FKEfglmoAh3ZVptMz-SO4G0jIB/view?usp=drivesdk</v>
      </c>
      <c r="D7790" s="12"/>
      <c r="E7790" s="11">
        <v>7839.0</v>
      </c>
      <c r="F7790" s="2"/>
    </row>
    <row r="7791" ht="1.5" customHeight="1">
      <c r="A7791" s="4" t="str">
        <f>IFERROR(__xludf.DUMMYFUNCTION("""COMPUTED_VALUE"""),"1. Microwave")</f>
        <v>1. Microwave</v>
      </c>
      <c r="B7791" s="4" t="str">
        <f>IFERROR(__xludf.DUMMYFUNCTION("""COMPUTED_VALUE"""),"1")</f>
        <v>1</v>
      </c>
      <c r="C7791" s="5" t="str">
        <f>IFERROR(__xludf.DUMMYFUNCTION("""COMPUTED_VALUE"""),"https://drive.google.com/file/d/1jpCrnKguvQAlksjlfUto41l2fGpicyXf/view?usp=drivesdk")</f>
        <v>https://drive.google.com/file/d/1jpCrnKguvQAlksjlfUto41l2fGpicyXf/view?usp=drivesdk</v>
      </c>
      <c r="D7791" s="12"/>
      <c r="E7791" s="11">
        <v>7840.0</v>
      </c>
      <c r="F7791" s="2"/>
    </row>
    <row r="7792" ht="1.5" customHeight="1">
      <c r="A7792" s="4" t="str">
        <f>IFERROR(__xludf.DUMMYFUNCTION("""COMPUTED_VALUE"""),"27. Angel")</f>
        <v>27. Angel</v>
      </c>
      <c r="B7792" s="4" t="str">
        <f>IFERROR(__xludf.DUMMYFUNCTION("""COMPUTED_VALUE"""),"27")</f>
        <v>27</v>
      </c>
      <c r="C7792" s="5" t="str">
        <f>IFERROR(__xludf.DUMMYFUNCTION("""COMPUTED_VALUE"""),"https://drive.google.com/file/d/1H8o_UMYekZAdLNDidR3LZr89TyE0-IOM/view?usp=drivesdk")</f>
        <v>https://drive.google.com/file/d/1H8o_UMYekZAdLNDidR3LZr89TyE0-IOM/view?usp=drivesdk</v>
      </c>
      <c r="D7792" s="12"/>
      <c r="E7792" s="11">
        <v>7841.0</v>
      </c>
      <c r="F7792" s="2"/>
    </row>
    <row r="7793" ht="1.5" customHeight="1">
      <c r="A7793" s="4" t="str">
        <f>IFERROR(__xludf.DUMMYFUNCTION("""COMPUTED_VALUE"""),"29. Ginger, 30. Pepper")</f>
        <v>29. Ginger, 30. Pepper</v>
      </c>
      <c r="B7793" s="4" t="str">
        <f>IFERROR(__xludf.DUMMYFUNCTION("""COMPUTED_VALUE"""),"29, 30")</f>
        <v>29, 30</v>
      </c>
      <c r="C7793" s="5" t="str">
        <f>IFERROR(__xludf.DUMMYFUNCTION("""COMPUTED_VALUE"""),"https://drive.google.com/file/d/1dbZAh68O-0jEQG9yoVZT9TzhDoQ2iHtJ/view?usp=drivesdk")</f>
        <v>https://drive.google.com/file/d/1dbZAh68O-0jEQG9yoVZT9TzhDoQ2iHtJ/view?usp=drivesdk</v>
      </c>
      <c r="D7793" s="12"/>
      <c r="E7793" s="11">
        <v>7842.0</v>
      </c>
      <c r="F7793" s="2"/>
    </row>
    <row r="7794" ht="1.5" customHeight="1">
      <c r="A7794" s="4" t="str">
        <f>IFERROR(__xludf.DUMMYFUNCTION("""COMPUTED_VALUE"""),"2. Twix")</f>
        <v>2. Twix</v>
      </c>
      <c r="B7794" s="4" t="str">
        <f>IFERROR(__xludf.DUMMYFUNCTION("""COMPUTED_VALUE"""),"2")</f>
        <v>2</v>
      </c>
      <c r="C7794" s="5" t="str">
        <f>IFERROR(__xludf.DUMMYFUNCTION("""COMPUTED_VALUE"""),"https://drive.google.com/file/d/1rFnVqreRlFmPLj6SeV_ruCeMP0xzUawr/view?usp=drivesdk")</f>
        <v>https://drive.google.com/file/d/1rFnVqreRlFmPLj6SeV_ruCeMP0xzUawr/view?usp=drivesdk</v>
      </c>
      <c r="D7794" s="12"/>
      <c r="E7794" s="11">
        <v>7843.0</v>
      </c>
      <c r="F7794" s="2"/>
    </row>
    <row r="7795" ht="1.5" customHeight="1">
      <c r="A7795" s="4" t="str">
        <f>IFERROR(__xludf.DUMMYFUNCTION("""COMPUTED_VALUE"""),"2. Twix")</f>
        <v>2. Twix</v>
      </c>
      <c r="B7795" s="4" t="str">
        <f>IFERROR(__xludf.DUMMYFUNCTION("""COMPUTED_VALUE"""),"2")</f>
        <v>2</v>
      </c>
      <c r="C7795" s="5" t="str">
        <f>IFERROR(__xludf.DUMMYFUNCTION("""COMPUTED_VALUE"""),"https://drive.google.com/file/d/1P_S7wWAkQfd-VrJXFbCuOp5Ht-0fnX8W/view?usp=drivesdk")</f>
        <v>https://drive.google.com/file/d/1P_S7wWAkQfd-VrJXFbCuOp5Ht-0fnX8W/view?usp=drivesdk</v>
      </c>
      <c r="D7795" s="12"/>
      <c r="E7795" s="11">
        <v>7844.0</v>
      </c>
      <c r="F7795" s="2"/>
    </row>
    <row r="7796" ht="1.5" customHeight="1">
      <c r="A7796" s="4" t="str">
        <f>IFERROR(__xludf.DUMMYFUNCTION("""COMPUTED_VALUE"""),"2. Twix")</f>
        <v>2. Twix</v>
      </c>
      <c r="B7796" s="4" t="str">
        <f>IFERROR(__xludf.DUMMYFUNCTION("""COMPUTED_VALUE"""),"2")</f>
        <v>2</v>
      </c>
      <c r="C7796" s="5" t="str">
        <f>IFERROR(__xludf.DUMMYFUNCTION("""COMPUTED_VALUE"""),"https://drive.google.com/file/d/11h2EoOc0BkKhbJoh6dxdDcpWnmbHEOwL/view?usp=drivesdk")</f>
        <v>https://drive.google.com/file/d/11h2EoOc0BkKhbJoh6dxdDcpWnmbHEOwL/view?usp=drivesdk</v>
      </c>
      <c r="D7796" s="12"/>
      <c r="E7796" s="11">
        <v>7845.0</v>
      </c>
      <c r="F7796" s="2"/>
    </row>
    <row r="7797" ht="1.5" customHeight="1">
      <c r="A7797" s="4" t="str">
        <f>IFERROR(__xludf.DUMMYFUNCTION("""COMPUTED_VALUE"""),"141. Kamahalan")</f>
        <v>141. Kamahalan</v>
      </c>
      <c r="B7797" s="4" t="str">
        <f>IFERROR(__xludf.DUMMYFUNCTION("""COMPUTED_VALUE"""),"141")</f>
        <v>141</v>
      </c>
      <c r="C7797" s="5" t="str">
        <f>IFERROR(__xludf.DUMMYFUNCTION("""COMPUTED_VALUE"""),"https://drive.google.com/file/d/1AllheQ_R2GRbaTtLGbZmLDA0Lt7JQ5cI/view?usp=drivesdk")</f>
        <v>https://drive.google.com/file/d/1AllheQ_R2GRbaTtLGbZmLDA0Lt7JQ5cI/view?usp=drivesdk</v>
      </c>
      <c r="D7797" s="12"/>
      <c r="E7797" s="11">
        <v>7846.0</v>
      </c>
      <c r="F7797" s="2"/>
    </row>
    <row r="7798" ht="1.5" customHeight="1">
      <c r="A7798" s="4" t="str">
        <f>IFERROR(__xludf.DUMMYFUNCTION("""COMPUTED_VALUE"""),"1. Microwave")</f>
        <v>1. Microwave</v>
      </c>
      <c r="B7798" s="4" t="str">
        <f>IFERROR(__xludf.DUMMYFUNCTION("""COMPUTED_VALUE"""),"1")</f>
        <v>1</v>
      </c>
      <c r="C7798" s="5" t="str">
        <f>IFERROR(__xludf.DUMMYFUNCTION("""COMPUTED_VALUE"""),"https://drive.google.com/file/d/1mSNtEmRSf7tiXgGhqRY0S6iTwisaobMb/view?usp=drivesdk")</f>
        <v>https://drive.google.com/file/d/1mSNtEmRSf7tiXgGhqRY0S6iTwisaobMb/view?usp=drivesdk</v>
      </c>
      <c r="D7798" s="12"/>
      <c r="E7798" s="11">
        <v>7847.0</v>
      </c>
      <c r="F7798" s="2"/>
    </row>
    <row r="7799" ht="1.5" customHeight="1">
      <c r="A7799" s="4" t="str">
        <f>IFERROR(__xludf.DUMMYFUNCTION("""COMPUTED_VALUE"""),"1. Microwave")</f>
        <v>1. Microwave</v>
      </c>
      <c r="B7799" s="4" t="str">
        <f>IFERROR(__xludf.DUMMYFUNCTION("""COMPUTED_VALUE"""),"1")</f>
        <v>1</v>
      </c>
      <c r="C7799" s="5" t="str">
        <f>IFERROR(__xludf.DUMMYFUNCTION("""COMPUTED_VALUE"""),"https://drive.google.com/file/d/14s4MreeL4D5IKlZHgLusHtTMDvHXVGbJ/view?usp=drivesdk")</f>
        <v>https://drive.google.com/file/d/14s4MreeL4D5IKlZHgLusHtTMDvHXVGbJ/view?usp=drivesdk</v>
      </c>
      <c r="D7799" s="12"/>
      <c r="E7799" s="11">
        <v>7848.0</v>
      </c>
      <c r="F7799" s="2"/>
    </row>
    <row r="7800" ht="1.5" customHeight="1">
      <c r="A7800" s="4" t="str">
        <f>IFERROR(__xludf.DUMMYFUNCTION("""COMPUTED_VALUE"""),"99. Nezhui, 111. Mayatl")</f>
        <v>99. Nezhui, 111. Mayatl</v>
      </c>
      <c r="B7800" s="4" t="str">
        <f>IFERROR(__xludf.DUMMYFUNCTION("""COMPUTED_VALUE"""),"99, 111")</f>
        <v>99, 111</v>
      </c>
      <c r="C7800" s="5" t="str">
        <f>IFERROR(__xludf.DUMMYFUNCTION("""COMPUTED_VALUE"""),"https://drive.google.com/file/d/1e6WX7Ti232_opSogLTTHHHQZKoFa3e8i/view?usp=drivesdk")</f>
        <v>https://drive.google.com/file/d/1e6WX7Ti232_opSogLTTHHHQZKoFa3e8i/view?usp=drivesdk</v>
      </c>
      <c r="D7800" s="12"/>
      <c r="E7800" s="11">
        <v>7849.0</v>
      </c>
      <c r="F7800" s="2"/>
    </row>
    <row r="7801" ht="1.5" customHeight="1">
      <c r="A7801" s="4" t="str">
        <f>IFERROR(__xludf.DUMMYFUNCTION("""COMPUTED_VALUE"""),"111. Mayatl")</f>
        <v>111. Mayatl</v>
      </c>
      <c r="B7801" s="4" t="str">
        <f>IFERROR(__xludf.DUMMYFUNCTION("""COMPUTED_VALUE"""),"111")</f>
        <v>111</v>
      </c>
      <c r="C7801" s="5" t="str">
        <f>IFERROR(__xludf.DUMMYFUNCTION("""COMPUTED_VALUE"""),"https://drive.google.com/file/d/1FnJU-CBEVokhaHxIU7LJ7Wz8KaUzoLvs/view?usp=drivesdk")</f>
        <v>https://drive.google.com/file/d/1FnJU-CBEVokhaHxIU7LJ7Wz8KaUzoLvs/view?usp=drivesdk</v>
      </c>
      <c r="D7801" s="12"/>
      <c r="E7801" s="11">
        <v>7850.0</v>
      </c>
      <c r="F7801" s="2"/>
    </row>
    <row r="7802" ht="1.5" customHeight="1">
      <c r="A7802" s="4" t="str">
        <f>IFERROR(__xludf.DUMMYFUNCTION("""COMPUTED_VALUE"""),"99. Nezhui")</f>
        <v>99. Nezhui</v>
      </c>
      <c r="B7802" s="4" t="str">
        <f>IFERROR(__xludf.DUMMYFUNCTION("""COMPUTED_VALUE"""),"99")</f>
        <v>99</v>
      </c>
      <c r="C7802" s="5" t="str">
        <f>IFERROR(__xludf.DUMMYFUNCTION("""COMPUTED_VALUE"""),"https://drive.google.com/file/d/104rdprUXga45zC0BULdTbQk1xI0N4Ys2/view?usp=drivesdk")</f>
        <v>https://drive.google.com/file/d/104rdprUXga45zC0BULdTbQk1xI0N4Ys2/view?usp=drivesdk</v>
      </c>
      <c r="D7802" s="12"/>
      <c r="E7802" s="11">
        <v>7851.0</v>
      </c>
      <c r="F7802" s="2"/>
    </row>
    <row r="7803" ht="1.5" customHeight="1">
      <c r="A7803" s="4" t="str">
        <f>IFERROR(__xludf.DUMMYFUNCTION("""COMPUTED_VALUE"""),"99. Nezhui")</f>
        <v>99. Nezhui</v>
      </c>
      <c r="B7803" s="4" t="str">
        <f>IFERROR(__xludf.DUMMYFUNCTION("""COMPUTED_VALUE"""),"99")</f>
        <v>99</v>
      </c>
      <c r="C7803" s="5" t="str">
        <f>IFERROR(__xludf.DUMMYFUNCTION("""COMPUTED_VALUE"""),"https://drive.google.com/file/d/1-KRdtW0u98x0WmPOdYFgrPrsVo8s17ck/view?usp=drivesdk")</f>
        <v>https://drive.google.com/file/d/1-KRdtW0u98x0WmPOdYFgrPrsVo8s17ck/view?usp=drivesdk</v>
      </c>
      <c r="D7803" s="12"/>
      <c r="E7803" s="11">
        <v>7852.0</v>
      </c>
      <c r="F7803" s="2"/>
    </row>
    <row r="7804" ht="1.5" customHeight="1">
      <c r="A7804" s="4" t="str">
        <f>IFERROR(__xludf.DUMMYFUNCTION("""COMPUTED_VALUE"""),"111. Mayatl, 99. Nezhui")</f>
        <v>111. Mayatl, 99. Nezhui</v>
      </c>
      <c r="B7804" s="4" t="str">
        <f>IFERROR(__xludf.DUMMYFUNCTION("""COMPUTED_VALUE"""),"111, 99")</f>
        <v>111, 99</v>
      </c>
      <c r="C7804" s="5" t="str">
        <f>IFERROR(__xludf.DUMMYFUNCTION("""COMPUTED_VALUE"""),"https://drive.google.com/file/d/1Y5pyE_X27erZjiPPdJzJEN4JaqkQhJ9u/view?usp=drivesdk")</f>
        <v>https://drive.google.com/file/d/1Y5pyE_X27erZjiPPdJzJEN4JaqkQhJ9u/view?usp=drivesdk</v>
      </c>
      <c r="D7804" s="12"/>
      <c r="E7804" s="11">
        <v>7853.0</v>
      </c>
      <c r="F7804" s="2"/>
    </row>
    <row r="7805" ht="1.5" customHeight="1">
      <c r="A7805" s="4" t="str">
        <f>IFERROR(__xludf.DUMMYFUNCTION("""COMPUTED_VALUE"""),"111. Mayatl, 99. Nezhui")</f>
        <v>111. Mayatl, 99. Nezhui</v>
      </c>
      <c r="B7805" s="4" t="str">
        <f>IFERROR(__xludf.DUMMYFUNCTION("""COMPUTED_VALUE"""),"111, 99")</f>
        <v>111, 99</v>
      </c>
      <c r="C7805" s="5" t="str">
        <f>IFERROR(__xludf.DUMMYFUNCTION("""COMPUTED_VALUE"""),"https://drive.google.com/file/d/1pbb492ZeRaXpGnGF4FUq9by6fubskSD_/view?usp=drivesdk")</f>
        <v>https://drive.google.com/file/d/1pbb492ZeRaXpGnGF4FUq9by6fubskSD_/view?usp=drivesdk</v>
      </c>
      <c r="D7805" s="12"/>
      <c r="E7805" s="11">
        <v>7854.0</v>
      </c>
      <c r="F7805" s="2"/>
    </row>
    <row r="7806" ht="1.5" customHeight="1">
      <c r="A7806" s="4" t="str">
        <f>IFERROR(__xludf.DUMMYFUNCTION("""COMPUTED_VALUE"""),"111. Mayatl, 99. Nezhui")</f>
        <v>111. Mayatl, 99. Nezhui</v>
      </c>
      <c r="B7806" s="4" t="str">
        <f>IFERROR(__xludf.DUMMYFUNCTION("""COMPUTED_VALUE"""),"111, 99")</f>
        <v>111, 99</v>
      </c>
      <c r="C7806" s="5" t="str">
        <f>IFERROR(__xludf.DUMMYFUNCTION("""COMPUTED_VALUE"""),"https://drive.google.com/file/d/15YEVkvbBlYOGVmmokdqxmujQBy1B9uqY/view?usp=drivesdk")</f>
        <v>https://drive.google.com/file/d/15YEVkvbBlYOGVmmokdqxmujQBy1B9uqY/view?usp=drivesdk</v>
      </c>
      <c r="D7806" s="12"/>
      <c r="E7806" s="11">
        <v>7855.0</v>
      </c>
      <c r="F7806" s="2"/>
    </row>
    <row r="7807" ht="1.5" customHeight="1">
      <c r="A7807" s="4" t="str">
        <f>IFERROR(__xludf.DUMMYFUNCTION("""COMPUTED_VALUE"""),"111. Mayatl, 99. Nezhui")</f>
        <v>111. Mayatl, 99. Nezhui</v>
      </c>
      <c r="B7807" s="4" t="str">
        <f>IFERROR(__xludf.DUMMYFUNCTION("""COMPUTED_VALUE"""),"111, 99")</f>
        <v>111, 99</v>
      </c>
      <c r="C7807" s="5" t="str">
        <f>IFERROR(__xludf.DUMMYFUNCTION("""COMPUTED_VALUE"""),"https://drive.google.com/file/d/16Ey9_-uO--lK-V5IDvVK6Y0rwwBUO_8O/view?usp=drivesdk")</f>
        <v>https://drive.google.com/file/d/16Ey9_-uO--lK-V5IDvVK6Y0rwwBUO_8O/view?usp=drivesdk</v>
      </c>
      <c r="D7807" s="12"/>
      <c r="E7807" s="11">
        <v>7856.0</v>
      </c>
      <c r="F7807" s="2"/>
    </row>
    <row r="7808" ht="1.5" customHeight="1">
      <c r="A7808" s="4" t="str">
        <f>IFERROR(__xludf.DUMMYFUNCTION("""COMPUTED_VALUE"""),"111. Mayatl")</f>
        <v>111. Mayatl</v>
      </c>
      <c r="B7808" s="4" t="str">
        <f>IFERROR(__xludf.DUMMYFUNCTION("""COMPUTED_VALUE"""),"111")</f>
        <v>111</v>
      </c>
      <c r="C7808" s="5" t="str">
        <f>IFERROR(__xludf.DUMMYFUNCTION("""COMPUTED_VALUE"""),"https://drive.google.com/file/d/1crtQQTGquAnk1BuSyXbbVv2fOMp5b5gr/view?usp=drivesdk")</f>
        <v>https://drive.google.com/file/d/1crtQQTGquAnk1BuSyXbbVv2fOMp5b5gr/view?usp=drivesdk</v>
      </c>
      <c r="D7808" s="12"/>
      <c r="E7808" s="11">
        <v>7857.0</v>
      </c>
      <c r="F7808" s="2"/>
    </row>
    <row r="7809" ht="1.5" customHeight="1">
      <c r="A7809" s="4" t="str">
        <f>IFERROR(__xludf.DUMMYFUNCTION("""COMPUTED_VALUE"""),"111. Mayatl")</f>
        <v>111. Mayatl</v>
      </c>
      <c r="B7809" s="4" t="str">
        <f>IFERROR(__xludf.DUMMYFUNCTION("""COMPUTED_VALUE"""),"111")</f>
        <v>111</v>
      </c>
      <c r="C7809" s="5" t="str">
        <f>IFERROR(__xludf.DUMMYFUNCTION("""COMPUTED_VALUE"""),"https://drive.google.com/file/d/1a5eyDU2cuVuWWi1mE_YI402TGHsb38hi/view?usp=drivesdk")</f>
        <v>https://drive.google.com/file/d/1a5eyDU2cuVuWWi1mE_YI402TGHsb38hi/view?usp=drivesdk</v>
      </c>
      <c r="D7809" s="12"/>
      <c r="E7809" s="11">
        <v>7858.0</v>
      </c>
      <c r="F7809" s="2"/>
    </row>
    <row r="7810" ht="1.5" customHeight="1">
      <c r="A7810" s="4" t="str">
        <f>IFERROR(__xludf.DUMMYFUNCTION("""COMPUTED_VALUE"""),"111. Mayatl")</f>
        <v>111. Mayatl</v>
      </c>
      <c r="B7810" s="4" t="str">
        <f>IFERROR(__xludf.DUMMYFUNCTION("""COMPUTED_VALUE"""),"111")</f>
        <v>111</v>
      </c>
      <c r="C7810" s="5" t="str">
        <f>IFERROR(__xludf.DUMMYFUNCTION("""COMPUTED_VALUE"""),"https://drive.google.com/file/d/1z2OqIABvG7DotoIEug7iV-wmzFhrnCGI/view?usp=drivesdk")</f>
        <v>https://drive.google.com/file/d/1z2OqIABvG7DotoIEug7iV-wmzFhrnCGI/view?usp=drivesdk</v>
      </c>
      <c r="D7810" s="12"/>
      <c r="E7810" s="11">
        <v>7859.0</v>
      </c>
      <c r="F7810" s="2"/>
    </row>
    <row r="7811" ht="1.5" customHeight="1">
      <c r="A7811" s="4" t="str">
        <f>IFERROR(__xludf.DUMMYFUNCTION("""COMPUTED_VALUE"""),"111. Mayatl")</f>
        <v>111. Mayatl</v>
      </c>
      <c r="B7811" s="4" t="str">
        <f>IFERROR(__xludf.DUMMYFUNCTION("""COMPUTED_VALUE"""),"111")</f>
        <v>111</v>
      </c>
      <c r="C7811" s="5" t="str">
        <f>IFERROR(__xludf.DUMMYFUNCTION("""COMPUTED_VALUE"""),"https://drive.google.com/file/d/1P_n8qagngx4rnCv5UlTW6X2d-8UM_tWD/view?usp=drivesdk")</f>
        <v>https://drive.google.com/file/d/1P_n8qagngx4rnCv5UlTW6X2d-8UM_tWD/view?usp=drivesdk</v>
      </c>
      <c r="D7811" s="12"/>
      <c r="E7811" s="11">
        <v>7860.0</v>
      </c>
      <c r="F7811" s="2"/>
    </row>
    <row r="7812" ht="1.5" customHeight="1">
      <c r="A7812" s="4" t="str">
        <f>IFERROR(__xludf.DUMMYFUNCTION("""COMPUTED_VALUE"""),"111. Mayatl")</f>
        <v>111. Mayatl</v>
      </c>
      <c r="B7812" s="4" t="str">
        <f>IFERROR(__xludf.DUMMYFUNCTION("""COMPUTED_VALUE"""),"111")</f>
        <v>111</v>
      </c>
      <c r="C7812" s="5" t="str">
        <f>IFERROR(__xludf.DUMMYFUNCTION("""COMPUTED_VALUE"""),"https://drive.google.com/file/d/1Ex8OT5s2giYZAJQ7aGIjcHPALysp9OmK/view?usp=drivesdk")</f>
        <v>https://drive.google.com/file/d/1Ex8OT5s2giYZAJQ7aGIjcHPALysp9OmK/view?usp=drivesdk</v>
      </c>
      <c r="D7812" s="12"/>
      <c r="E7812" s="11">
        <v>7861.0</v>
      </c>
      <c r="F7812" s="2"/>
    </row>
    <row r="7813" ht="1.5" customHeight="1">
      <c r="A7813" s="4" t="str">
        <f>IFERROR(__xludf.DUMMYFUNCTION("""COMPUTED_VALUE"""),"111. Mayatl")</f>
        <v>111. Mayatl</v>
      </c>
      <c r="B7813" s="4" t="str">
        <f>IFERROR(__xludf.DUMMYFUNCTION("""COMPUTED_VALUE"""),"111")</f>
        <v>111</v>
      </c>
      <c r="C7813" s="5" t="str">
        <f>IFERROR(__xludf.DUMMYFUNCTION("""COMPUTED_VALUE"""),"https://drive.google.com/file/d/1sO1hw9p-XlwEI-AtOvdkWiIpwt5Fc3d_/view?usp=drivesdk")</f>
        <v>https://drive.google.com/file/d/1sO1hw9p-XlwEI-AtOvdkWiIpwt5Fc3d_/view?usp=drivesdk</v>
      </c>
      <c r="D7813" s="12"/>
      <c r="E7813" s="11">
        <v>7862.0</v>
      </c>
      <c r="F7813" s="2"/>
    </row>
    <row r="7814" ht="1.5" customHeight="1">
      <c r="A7814" s="4" t="str">
        <f>IFERROR(__xludf.DUMMYFUNCTION("""COMPUTED_VALUE"""),"111. Mayatl")</f>
        <v>111. Mayatl</v>
      </c>
      <c r="B7814" s="4" t="str">
        <f>IFERROR(__xludf.DUMMYFUNCTION("""COMPUTED_VALUE"""),"111")</f>
        <v>111</v>
      </c>
      <c r="C7814" s="5" t="str">
        <f>IFERROR(__xludf.DUMMYFUNCTION("""COMPUTED_VALUE"""),"https://drive.google.com/file/d/1dwUCigra4_XKn9TdhSiotOwAhaVBNNaf/view?usp=drivesdk")</f>
        <v>https://drive.google.com/file/d/1dwUCigra4_XKn9TdhSiotOwAhaVBNNaf/view?usp=drivesdk</v>
      </c>
      <c r="D7814" s="12"/>
      <c r="E7814" s="11">
        <v>7863.0</v>
      </c>
      <c r="F7814" s="2"/>
    </row>
    <row r="7815" ht="1.5" customHeight="1">
      <c r="A7815" s="4" t="str">
        <f>IFERROR(__xludf.DUMMYFUNCTION("""COMPUTED_VALUE"""),"88. Vincente")</f>
        <v>88. Vincente</v>
      </c>
      <c r="B7815" s="4" t="str">
        <f>IFERROR(__xludf.DUMMYFUNCTION("""COMPUTED_VALUE"""),"88")</f>
        <v>88</v>
      </c>
      <c r="C7815" s="5" t="str">
        <f>IFERROR(__xludf.DUMMYFUNCTION("""COMPUTED_VALUE"""),"https://drive.google.com/file/d/12MggFbu-IPdpxF83DWq03rWwq-YD8aO5/view?usp=drivesdk")</f>
        <v>https://drive.google.com/file/d/12MggFbu-IPdpxF83DWq03rWwq-YD8aO5/view?usp=drivesdk</v>
      </c>
      <c r="D7815" s="12"/>
      <c r="E7815" s="11">
        <v>7864.0</v>
      </c>
      <c r="F7815" s="2"/>
    </row>
    <row r="7816" ht="1.5" customHeight="1">
      <c r="A7816" s="4" t="str">
        <f>IFERROR(__xludf.DUMMYFUNCTION("""COMPUTED_VALUE"""),"88. Vincente")</f>
        <v>88. Vincente</v>
      </c>
      <c r="B7816" s="4" t="str">
        <f>IFERROR(__xludf.DUMMYFUNCTION("""COMPUTED_VALUE"""),"88")</f>
        <v>88</v>
      </c>
      <c r="C7816" s="5" t="str">
        <f>IFERROR(__xludf.DUMMYFUNCTION("""COMPUTED_VALUE"""),"https://drive.google.com/file/d/1cmEsL14icTI09Zm6kgqvmbV_BejkAtsy/view?usp=drivesdk")</f>
        <v>https://drive.google.com/file/d/1cmEsL14icTI09Zm6kgqvmbV_BejkAtsy/view?usp=drivesdk</v>
      </c>
      <c r="D7816" s="12"/>
      <c r="E7816" s="11">
        <v>7865.0</v>
      </c>
      <c r="F7816" s="2"/>
    </row>
    <row r="7817" ht="1.5" customHeight="1">
      <c r="A7817" s="4" t="str">
        <f>IFERROR(__xludf.DUMMYFUNCTION("""COMPUTED_VALUE"""),"88. Vincente")</f>
        <v>88. Vincente</v>
      </c>
      <c r="B7817" s="4" t="str">
        <f>IFERROR(__xludf.DUMMYFUNCTION("""COMPUTED_VALUE"""),"88")</f>
        <v>88</v>
      </c>
      <c r="C7817" s="5" t="str">
        <f>IFERROR(__xludf.DUMMYFUNCTION("""COMPUTED_VALUE"""),"https://drive.google.com/file/d/1ARnxA8H3MRNsNRf_ajsDquYk7jwD8EMz/view?usp=drivesdk")</f>
        <v>https://drive.google.com/file/d/1ARnxA8H3MRNsNRf_ajsDquYk7jwD8EMz/view?usp=drivesdk</v>
      </c>
      <c r="D7817" s="12"/>
      <c r="E7817" s="11">
        <v>7866.0</v>
      </c>
      <c r="F7817" s="2"/>
    </row>
    <row r="7818" ht="1.5" customHeight="1">
      <c r="A7818" s="4" t="str">
        <f>IFERROR(__xludf.DUMMYFUNCTION("""COMPUTED_VALUE"""),"88. Vincente")</f>
        <v>88. Vincente</v>
      </c>
      <c r="B7818" s="4" t="str">
        <f>IFERROR(__xludf.DUMMYFUNCTION("""COMPUTED_VALUE"""),"88")</f>
        <v>88</v>
      </c>
      <c r="C7818" s="5" t="str">
        <f>IFERROR(__xludf.DUMMYFUNCTION("""COMPUTED_VALUE"""),"https://drive.google.com/file/d/1Ki48BoWS4kR34Kgali60nAxrQ_cHZlsQ/view?usp=drivesdk")</f>
        <v>https://drive.google.com/file/d/1Ki48BoWS4kR34Kgali60nAxrQ_cHZlsQ/view?usp=drivesdk</v>
      </c>
      <c r="D7818" s="12"/>
      <c r="E7818" s="11">
        <v>7867.0</v>
      </c>
      <c r="F7818" s="2"/>
    </row>
    <row r="7819" ht="1.5" customHeight="1">
      <c r="A7819" s="4" t="str">
        <f>IFERROR(__xludf.DUMMYFUNCTION("""COMPUTED_VALUE"""),"47. Nefarious")</f>
        <v>47. Nefarious</v>
      </c>
      <c r="B7819" s="4" t="str">
        <f>IFERROR(__xludf.DUMMYFUNCTION("""COMPUTED_VALUE"""),"47")</f>
        <v>47</v>
      </c>
      <c r="C7819" s="5" t="str">
        <f>IFERROR(__xludf.DUMMYFUNCTION("""COMPUTED_VALUE"""),"https://drive.google.com/file/d/1K6vjnCzHJvLNi7TUGavVwyhfBirZkgb2/view?usp=drivesdk")</f>
        <v>https://drive.google.com/file/d/1K6vjnCzHJvLNi7TUGavVwyhfBirZkgb2/view?usp=drivesdk</v>
      </c>
      <c r="D7819" s="12"/>
      <c r="E7819" s="11">
        <v>7868.0</v>
      </c>
      <c r="F7819" s="2"/>
    </row>
    <row r="7820" ht="1.5" customHeight="1">
      <c r="A7820" s="4" t="str">
        <f>IFERROR(__xludf.DUMMYFUNCTION("""COMPUTED_VALUE"""),"47. Nefarious")</f>
        <v>47. Nefarious</v>
      </c>
      <c r="B7820" s="4" t="str">
        <f>IFERROR(__xludf.DUMMYFUNCTION("""COMPUTED_VALUE"""),"47")</f>
        <v>47</v>
      </c>
      <c r="C7820" s="5" t="str">
        <f>IFERROR(__xludf.DUMMYFUNCTION("""COMPUTED_VALUE"""),"https://drive.google.com/file/d/1mgDU2V6TthnBMC7IXV9miL5pb5TK9pHg/view?usp=drivesdk")</f>
        <v>https://drive.google.com/file/d/1mgDU2V6TthnBMC7IXV9miL5pb5TK9pHg/view?usp=drivesdk</v>
      </c>
      <c r="D7820" s="12"/>
      <c r="E7820" s="11">
        <v>7869.0</v>
      </c>
      <c r="F7820" s="2"/>
    </row>
    <row r="7821" ht="1.5" customHeight="1">
      <c r="A7821" s="4" t="str">
        <f>IFERROR(__xludf.DUMMYFUNCTION("""COMPUTED_VALUE"""),"99. Nezhui")</f>
        <v>99. Nezhui</v>
      </c>
      <c r="B7821" s="4" t="str">
        <f>IFERROR(__xludf.DUMMYFUNCTION("""COMPUTED_VALUE"""),"99")</f>
        <v>99</v>
      </c>
      <c r="C7821" s="5" t="str">
        <f>IFERROR(__xludf.DUMMYFUNCTION("""COMPUTED_VALUE"""),"https://drive.google.com/file/d/1xSpLTsHbalwdUlIP1d36ZMy4rLEpjrep/view?usp=drivesdk")</f>
        <v>https://drive.google.com/file/d/1xSpLTsHbalwdUlIP1d36ZMy4rLEpjrep/view?usp=drivesdk</v>
      </c>
      <c r="D7821" s="12"/>
      <c r="E7821" s="11">
        <v>7870.0</v>
      </c>
      <c r="F7821" s="2"/>
    </row>
    <row r="7822" ht="1.5" customHeight="1">
      <c r="A7822" s="4" t="str">
        <f>IFERROR(__xludf.DUMMYFUNCTION("""COMPUTED_VALUE"""),"47. Nefarious")</f>
        <v>47. Nefarious</v>
      </c>
      <c r="B7822" s="4" t="str">
        <f>IFERROR(__xludf.DUMMYFUNCTION("""COMPUTED_VALUE"""),"47")</f>
        <v>47</v>
      </c>
      <c r="C7822" s="5" t="str">
        <f>IFERROR(__xludf.DUMMYFUNCTION("""COMPUTED_VALUE"""),"https://drive.google.com/file/d/1bUtIG7vQkhiMc49wBtnE5rC3C7FExPbh/view?usp=drivesdk")</f>
        <v>https://drive.google.com/file/d/1bUtIG7vQkhiMc49wBtnE5rC3C7FExPbh/view?usp=drivesdk</v>
      </c>
      <c r="D7822" s="12"/>
      <c r="E7822" s="11">
        <v>7871.0</v>
      </c>
      <c r="F7822" s="2"/>
    </row>
    <row r="7823" ht="1.5" customHeight="1">
      <c r="A7823" s="4" t="str">
        <f>IFERROR(__xludf.DUMMYFUNCTION("""COMPUTED_VALUE"""),"47. Nefarious")</f>
        <v>47. Nefarious</v>
      </c>
      <c r="B7823" s="4" t="str">
        <f>IFERROR(__xludf.DUMMYFUNCTION("""COMPUTED_VALUE"""),"47")</f>
        <v>47</v>
      </c>
      <c r="C7823" s="5" t="str">
        <f>IFERROR(__xludf.DUMMYFUNCTION("""COMPUTED_VALUE"""),"https://drive.google.com/file/d/1P2odHZaejp67xc-MHnd8Pyz-7Rx0MDaz/view?usp=drivesdk")</f>
        <v>https://drive.google.com/file/d/1P2odHZaejp67xc-MHnd8Pyz-7Rx0MDaz/view?usp=drivesdk</v>
      </c>
      <c r="D7823" s="12"/>
      <c r="E7823" s="11">
        <v>7872.0</v>
      </c>
      <c r="F7823" s="2"/>
    </row>
    <row r="7824" ht="1.5" customHeight="1">
      <c r="A7824" s="4" t="str">
        <f>IFERROR(__xludf.DUMMYFUNCTION("""COMPUTED_VALUE"""),"47. Nefarious")</f>
        <v>47. Nefarious</v>
      </c>
      <c r="B7824" s="4" t="str">
        <f>IFERROR(__xludf.DUMMYFUNCTION("""COMPUTED_VALUE"""),"47")</f>
        <v>47</v>
      </c>
      <c r="C7824" s="5" t="str">
        <f>IFERROR(__xludf.DUMMYFUNCTION("""COMPUTED_VALUE"""),"https://drive.google.com/file/d/1KnjYFfV9aLYAMGPDSCCm8xhXrM-mIzds/view?usp=drivesdk")</f>
        <v>https://drive.google.com/file/d/1KnjYFfV9aLYAMGPDSCCm8xhXrM-mIzds/view?usp=drivesdk</v>
      </c>
      <c r="D7824" s="12"/>
      <c r="E7824" s="11">
        <v>7873.0</v>
      </c>
      <c r="F7824" s="2"/>
    </row>
    <row r="7825" ht="1.5" customHeight="1">
      <c r="A7825" s="4" t="str">
        <f>IFERROR(__xludf.DUMMYFUNCTION("""COMPUTED_VALUE"""),"47. Nefarious")</f>
        <v>47. Nefarious</v>
      </c>
      <c r="B7825" s="4" t="str">
        <f>IFERROR(__xludf.DUMMYFUNCTION("""COMPUTED_VALUE"""),"47")</f>
        <v>47</v>
      </c>
      <c r="C7825" s="5" t="str">
        <f>IFERROR(__xludf.DUMMYFUNCTION("""COMPUTED_VALUE"""),"https://drive.google.com/file/d/19VnBft1ag4OCSz4e3de-IT-RzDFKId-J/view?usp=drivesdk")</f>
        <v>https://drive.google.com/file/d/19VnBft1ag4OCSz4e3de-IT-RzDFKId-J/view?usp=drivesdk</v>
      </c>
      <c r="D7825" s="12"/>
      <c r="E7825" s="11">
        <v>7874.0</v>
      </c>
      <c r="F7825" s="2"/>
    </row>
    <row r="7826" ht="1.5" customHeight="1">
      <c r="A7826" s="4" t="str">
        <f>IFERROR(__xludf.DUMMYFUNCTION("""COMPUTED_VALUE"""),"144. Peats")</f>
        <v>144. Peats</v>
      </c>
      <c r="B7826" s="4" t="str">
        <f>IFERROR(__xludf.DUMMYFUNCTION("""COMPUTED_VALUE"""),"144")</f>
        <v>144</v>
      </c>
      <c r="C7826" s="5" t="str">
        <f>IFERROR(__xludf.DUMMYFUNCTION("""COMPUTED_VALUE"""),"https://drive.google.com/file/d/1SIXWveC4gE0fySv0SVnjmc_l6BKtGNtD/view?usp=drivesdk")</f>
        <v>https://drive.google.com/file/d/1SIXWveC4gE0fySv0SVnjmc_l6BKtGNtD/view?usp=drivesdk</v>
      </c>
      <c r="D7826" s="12"/>
      <c r="E7826" s="11">
        <v>7875.0</v>
      </c>
      <c r="F7826" s="2"/>
    </row>
    <row r="7827" ht="1.5" customHeight="1">
      <c r="A7827" s="4" t="str">
        <f>IFERROR(__xludf.DUMMYFUNCTION("""COMPUTED_VALUE"""),"144. Peats")</f>
        <v>144. Peats</v>
      </c>
      <c r="B7827" s="4" t="str">
        <f>IFERROR(__xludf.DUMMYFUNCTION("""COMPUTED_VALUE"""),"144")</f>
        <v>144</v>
      </c>
      <c r="C7827" s="5" t="str">
        <f>IFERROR(__xludf.DUMMYFUNCTION("""COMPUTED_VALUE"""),"https://drive.google.com/file/d/1GZZAWJMI0CUI9ExLBXzIk-Vd98EX2AW0/view?usp=drivesdk")</f>
        <v>https://drive.google.com/file/d/1GZZAWJMI0CUI9ExLBXzIk-Vd98EX2AW0/view?usp=drivesdk</v>
      </c>
      <c r="D7827" s="12"/>
      <c r="E7827" s="11">
        <v>7876.0</v>
      </c>
      <c r="F7827" s="2"/>
    </row>
    <row r="7828" ht="1.5" customHeight="1">
      <c r="A7828" s="4" t="str">
        <f>IFERROR(__xludf.DUMMYFUNCTION("""COMPUTED_VALUE"""),"144. Peats")</f>
        <v>144. Peats</v>
      </c>
      <c r="B7828" s="4" t="str">
        <f>IFERROR(__xludf.DUMMYFUNCTION("""COMPUTED_VALUE"""),"144")</f>
        <v>144</v>
      </c>
      <c r="C7828" s="5" t="str">
        <f>IFERROR(__xludf.DUMMYFUNCTION("""COMPUTED_VALUE"""),"https://drive.google.com/file/d/1cwK0SAug9v2IUMsuPqwHz7mOtAANTCM5/view?usp=drivesdk")</f>
        <v>https://drive.google.com/file/d/1cwK0SAug9v2IUMsuPqwHz7mOtAANTCM5/view?usp=drivesdk</v>
      </c>
      <c r="D7828" s="12"/>
      <c r="E7828" s="11">
        <v>7877.0</v>
      </c>
      <c r="F7828" s="2"/>
    </row>
    <row r="7829" ht="1.5" customHeight="1">
      <c r="A7829" s="4" t="str">
        <f>IFERROR(__xludf.DUMMYFUNCTION("""COMPUTED_VALUE"""),"144. Peats")</f>
        <v>144. Peats</v>
      </c>
      <c r="B7829" s="4" t="str">
        <f>IFERROR(__xludf.DUMMYFUNCTION("""COMPUTED_VALUE"""),"144")</f>
        <v>144</v>
      </c>
      <c r="C7829" s="5" t="str">
        <f>IFERROR(__xludf.DUMMYFUNCTION("""COMPUTED_VALUE"""),"https://drive.google.com/file/d/1ab3_yyL3XpgC3vm4W1iJCB8y58xscya1/view?usp=drivesdk")</f>
        <v>https://drive.google.com/file/d/1ab3_yyL3XpgC3vm4W1iJCB8y58xscya1/view?usp=drivesdk</v>
      </c>
      <c r="D7829" s="12"/>
      <c r="E7829" s="11">
        <v>7878.0</v>
      </c>
      <c r="F7829" s="2"/>
    </row>
    <row r="7830" ht="1.5" customHeight="1">
      <c r="A7830" s="4" t="str">
        <f>IFERROR(__xludf.DUMMYFUNCTION("""COMPUTED_VALUE"""),"144. Peats")</f>
        <v>144. Peats</v>
      </c>
      <c r="B7830" s="4" t="str">
        <f>IFERROR(__xludf.DUMMYFUNCTION("""COMPUTED_VALUE"""),"144")</f>
        <v>144</v>
      </c>
      <c r="C7830" s="5" t="str">
        <f>IFERROR(__xludf.DUMMYFUNCTION("""COMPUTED_VALUE"""),"https://drive.google.com/file/d/1vXXZwEC5FgYzzk0uaWHDGoBUMg-EQPXQ/view?usp=drivesdk")</f>
        <v>https://drive.google.com/file/d/1vXXZwEC5FgYzzk0uaWHDGoBUMg-EQPXQ/view?usp=drivesdk</v>
      </c>
      <c r="D7830" s="12"/>
      <c r="E7830" s="11">
        <v>7879.0</v>
      </c>
      <c r="F7830" s="2"/>
    </row>
    <row r="7831" ht="1.5" customHeight="1">
      <c r="A7831" s="4" t="str">
        <f>IFERROR(__xludf.DUMMYFUNCTION("""COMPUTED_VALUE"""),"144. Peats")</f>
        <v>144. Peats</v>
      </c>
      <c r="B7831" s="4" t="str">
        <f>IFERROR(__xludf.DUMMYFUNCTION("""COMPUTED_VALUE"""),"144")</f>
        <v>144</v>
      </c>
      <c r="C7831" s="5" t="str">
        <f>IFERROR(__xludf.DUMMYFUNCTION("""COMPUTED_VALUE"""),"https://drive.google.com/file/d/1PG6nilMOLoAsHmdzBzw8JvacJOtsjkRw/view?usp=drivesdk")</f>
        <v>https://drive.google.com/file/d/1PG6nilMOLoAsHmdzBzw8JvacJOtsjkRw/view?usp=drivesdk</v>
      </c>
      <c r="D7831" s="12"/>
      <c r="E7831" s="11">
        <v>7880.0</v>
      </c>
      <c r="F7831" s="2"/>
    </row>
    <row r="7832" ht="1.5" customHeight="1">
      <c r="A7832" s="4" t="str">
        <f>IFERROR(__xludf.DUMMYFUNCTION("""COMPUTED_VALUE"""),"144. Peats")</f>
        <v>144. Peats</v>
      </c>
      <c r="B7832" s="4" t="str">
        <f>IFERROR(__xludf.DUMMYFUNCTION("""COMPUTED_VALUE"""),"144")</f>
        <v>144</v>
      </c>
      <c r="C7832" s="5" t="str">
        <f>IFERROR(__xludf.DUMMYFUNCTION("""COMPUTED_VALUE"""),"https://drive.google.com/file/d/1nreCtVlwqeVuFeEMjJJt0oUkvISLgSu-/view?usp=drivesdk")</f>
        <v>https://drive.google.com/file/d/1nreCtVlwqeVuFeEMjJJt0oUkvISLgSu-/view?usp=drivesdk</v>
      </c>
      <c r="D7832" s="12"/>
      <c r="E7832" s="11">
        <v>7881.0</v>
      </c>
      <c r="F7832" s="2"/>
    </row>
    <row r="7833" ht="1.5" customHeight="1">
      <c r="A7833" s="4" t="str">
        <f>IFERROR(__xludf.DUMMYFUNCTION("""COMPUTED_VALUE"""),"144. Peats")</f>
        <v>144. Peats</v>
      </c>
      <c r="B7833" s="4" t="str">
        <f>IFERROR(__xludf.DUMMYFUNCTION("""COMPUTED_VALUE"""),"144")</f>
        <v>144</v>
      </c>
      <c r="C7833" s="5" t="str">
        <f>IFERROR(__xludf.DUMMYFUNCTION("""COMPUTED_VALUE"""),"https://drive.google.com/file/d/19hX_rpLAil8fchDY585rcK2yLHpof1Mf/view?usp=drivesdk")</f>
        <v>https://drive.google.com/file/d/19hX_rpLAil8fchDY585rcK2yLHpof1Mf/view?usp=drivesdk</v>
      </c>
      <c r="D7833" s="12"/>
      <c r="E7833" s="11">
        <v>7882.0</v>
      </c>
      <c r="F7833" s="2"/>
    </row>
    <row r="7834" ht="1.5" customHeight="1">
      <c r="A7834" s="4" t="str">
        <f>IFERROR(__xludf.DUMMYFUNCTION("""COMPUTED_VALUE"""),"144. Peats")</f>
        <v>144. Peats</v>
      </c>
      <c r="B7834" s="4" t="str">
        <f>IFERROR(__xludf.DUMMYFUNCTION("""COMPUTED_VALUE"""),"144")</f>
        <v>144</v>
      </c>
      <c r="C7834" s="5" t="str">
        <f>IFERROR(__xludf.DUMMYFUNCTION("""COMPUTED_VALUE"""),"https://drive.google.com/file/d/1d3M7vFY2JW8Fb0nUyvAbbsNiSRJkmp-9/view?usp=drivesdk")</f>
        <v>https://drive.google.com/file/d/1d3M7vFY2JW8Fb0nUyvAbbsNiSRJkmp-9/view?usp=drivesdk</v>
      </c>
      <c r="D7834" s="12"/>
      <c r="E7834" s="11">
        <v>7883.0</v>
      </c>
      <c r="F7834" s="2"/>
    </row>
    <row r="7835" ht="1.5" customHeight="1">
      <c r="A7835" s="4" t="str">
        <f>IFERROR(__xludf.DUMMYFUNCTION("""COMPUTED_VALUE"""),"144. Peats")</f>
        <v>144. Peats</v>
      </c>
      <c r="B7835" s="4" t="str">
        <f>IFERROR(__xludf.DUMMYFUNCTION("""COMPUTED_VALUE"""),"144")</f>
        <v>144</v>
      </c>
      <c r="C7835" s="5" t="str">
        <f>IFERROR(__xludf.DUMMYFUNCTION("""COMPUTED_VALUE"""),"https://drive.google.com/file/d/1pzBp49NsQu_jeZv4fKmcSYGyEBgSVgzR/view?usp=drivesdk")</f>
        <v>https://drive.google.com/file/d/1pzBp49NsQu_jeZv4fKmcSYGyEBgSVgzR/view?usp=drivesdk</v>
      </c>
      <c r="D7835" s="12"/>
      <c r="E7835" s="11">
        <v>7884.0</v>
      </c>
      <c r="F7835" s="2"/>
    </row>
    <row r="7836" ht="1.5" customHeight="1">
      <c r="A7836" s="4" t="str">
        <f>IFERROR(__xludf.DUMMYFUNCTION("""COMPUTED_VALUE"""),"1. Microwave")</f>
        <v>1. Microwave</v>
      </c>
      <c r="B7836" s="4" t="str">
        <f>IFERROR(__xludf.DUMMYFUNCTION("""COMPUTED_VALUE"""),"1")</f>
        <v>1</v>
      </c>
      <c r="C7836" s="5" t="str">
        <f>IFERROR(__xludf.DUMMYFUNCTION("""COMPUTED_VALUE"""),"https://drive.google.com/file/d/1Bd1I0a_xwuby8h4mKUPIR-BPMe76_kIX/view?usp=drivesdk")</f>
        <v>https://drive.google.com/file/d/1Bd1I0a_xwuby8h4mKUPIR-BPMe76_kIX/view?usp=drivesdk</v>
      </c>
      <c r="D7836" s="12"/>
      <c r="E7836" s="11">
        <v>7885.0</v>
      </c>
      <c r="F7836" s="2"/>
    </row>
    <row r="7837" ht="1.5" customHeight="1">
      <c r="A7837" s="4" t="str">
        <f>IFERROR(__xludf.DUMMYFUNCTION("""COMPUTED_VALUE"""),"1. Microwave")</f>
        <v>1. Microwave</v>
      </c>
      <c r="B7837" s="4" t="str">
        <f>IFERROR(__xludf.DUMMYFUNCTION("""COMPUTED_VALUE"""),"1")</f>
        <v>1</v>
      </c>
      <c r="C7837" s="5" t="str">
        <f>IFERROR(__xludf.DUMMYFUNCTION("""COMPUTED_VALUE"""),"https://drive.google.com/file/d/1LXdd8fr6_sG3uM45HAaW4YG5YNXWyTJV/view?usp=drivesdk")</f>
        <v>https://drive.google.com/file/d/1LXdd8fr6_sG3uM45HAaW4YG5YNXWyTJV/view?usp=drivesdk</v>
      </c>
      <c r="D7837" s="12"/>
      <c r="E7837" s="11">
        <v>7886.0</v>
      </c>
      <c r="F7837" s="2"/>
    </row>
    <row r="7838" ht="1.5" customHeight="1">
      <c r="A7838" s="4" t="str">
        <f>IFERROR(__xludf.DUMMYFUNCTION("""COMPUTED_VALUE"""),"1. Microwave")</f>
        <v>1. Microwave</v>
      </c>
      <c r="B7838" s="4" t="str">
        <f>IFERROR(__xludf.DUMMYFUNCTION("""COMPUTED_VALUE"""),"1")</f>
        <v>1</v>
      </c>
      <c r="C7838" s="5" t="str">
        <f>IFERROR(__xludf.DUMMYFUNCTION("""COMPUTED_VALUE"""),"https://drive.google.com/file/d/173NfquAUQAivXxe9qRdv9S3VuMQWU5hd/view?usp=drivesdk")</f>
        <v>https://drive.google.com/file/d/173NfquAUQAivXxe9qRdv9S3VuMQWU5hd/view?usp=drivesdk</v>
      </c>
      <c r="D7838" s="12"/>
      <c r="E7838" s="11">
        <v>7887.0</v>
      </c>
      <c r="F7838" s="2"/>
    </row>
    <row r="7839" ht="1.5" customHeight="1">
      <c r="A7839" s="4" t="str">
        <f>IFERROR(__xludf.DUMMYFUNCTION("""COMPUTED_VALUE"""),"1. Microwave")</f>
        <v>1. Microwave</v>
      </c>
      <c r="B7839" s="4" t="str">
        <f>IFERROR(__xludf.DUMMYFUNCTION("""COMPUTED_VALUE"""),"1")</f>
        <v>1</v>
      </c>
      <c r="C7839" s="5" t="str">
        <f>IFERROR(__xludf.DUMMYFUNCTION("""COMPUTED_VALUE"""),"https://drive.google.com/file/d/1-SpdQd_g-Xd1JICLbt3jHqWQhyXl2z6Y/view?usp=drivesdk")</f>
        <v>https://drive.google.com/file/d/1-SpdQd_g-Xd1JICLbt3jHqWQhyXl2z6Y/view?usp=drivesdk</v>
      </c>
      <c r="D7839" s="12"/>
      <c r="E7839" s="11">
        <v>7888.0</v>
      </c>
      <c r="F7839" s="2"/>
    </row>
    <row r="7840" ht="1.5" customHeight="1">
      <c r="A7840" s="4" t="str">
        <f>IFERROR(__xludf.DUMMYFUNCTION("""COMPUTED_VALUE"""),"1. Microwave")</f>
        <v>1. Microwave</v>
      </c>
      <c r="B7840" s="4" t="str">
        <f>IFERROR(__xludf.DUMMYFUNCTION("""COMPUTED_VALUE"""),"1")</f>
        <v>1</v>
      </c>
      <c r="C7840" s="5" t="str">
        <f>IFERROR(__xludf.DUMMYFUNCTION("""COMPUTED_VALUE"""),"https://drive.google.com/file/d/1GIurl_hT2KhulP4wxQwA9c3v6x_zxOZl/view?usp=drivesdk")</f>
        <v>https://drive.google.com/file/d/1GIurl_hT2KhulP4wxQwA9c3v6x_zxOZl/view?usp=drivesdk</v>
      </c>
      <c r="D7840" s="12"/>
      <c r="E7840" s="11">
        <v>7889.0</v>
      </c>
      <c r="F7840" s="2"/>
    </row>
    <row r="7841" ht="1.5" customHeight="1">
      <c r="A7841" s="4" t="str">
        <f>IFERROR(__xludf.DUMMYFUNCTION("""COMPUTED_VALUE"""),"1. Microwave")</f>
        <v>1. Microwave</v>
      </c>
      <c r="B7841" s="4" t="str">
        <f>IFERROR(__xludf.DUMMYFUNCTION("""COMPUTED_VALUE"""),"1")</f>
        <v>1</v>
      </c>
      <c r="C7841" s="5" t="str">
        <f>IFERROR(__xludf.DUMMYFUNCTION("""COMPUTED_VALUE"""),"https://drive.google.com/file/d/1ovLmrjqYHnxyqPCqqgB5IoN2gy4obUPS/view?usp=drivesdk")</f>
        <v>https://drive.google.com/file/d/1ovLmrjqYHnxyqPCqqgB5IoN2gy4obUPS/view?usp=drivesdk</v>
      </c>
      <c r="D7841" s="12"/>
      <c r="E7841" s="11">
        <v>7890.0</v>
      </c>
      <c r="F7841" s="2"/>
    </row>
    <row r="7842" ht="1.5" customHeight="1">
      <c r="A7842" s="4" t="str">
        <f>IFERROR(__xludf.DUMMYFUNCTION("""COMPUTED_VALUE"""),"1. Microwave")</f>
        <v>1. Microwave</v>
      </c>
      <c r="B7842" s="4" t="str">
        <f>IFERROR(__xludf.DUMMYFUNCTION("""COMPUTED_VALUE"""),"1")</f>
        <v>1</v>
      </c>
      <c r="C7842" s="5" t="str">
        <f>IFERROR(__xludf.DUMMYFUNCTION("""COMPUTED_VALUE"""),"https://drive.google.com/file/d/1ZX4wFNFit-Cl-M6YCOxfHFUIwRZcXEBx/view?usp=drivesdk")</f>
        <v>https://drive.google.com/file/d/1ZX4wFNFit-Cl-M6YCOxfHFUIwRZcXEBx/view?usp=drivesdk</v>
      </c>
      <c r="D7842" s="12"/>
      <c r="E7842" s="11">
        <v>7891.0</v>
      </c>
      <c r="F7842" s="2"/>
    </row>
    <row r="7843" ht="1.5" customHeight="1">
      <c r="A7843" s="4" t="str">
        <f>IFERROR(__xludf.DUMMYFUNCTION("""COMPUTED_VALUE"""),"1. Microwave")</f>
        <v>1. Microwave</v>
      </c>
      <c r="B7843" s="4" t="str">
        <f>IFERROR(__xludf.DUMMYFUNCTION("""COMPUTED_VALUE"""),"1")</f>
        <v>1</v>
      </c>
      <c r="C7843" s="5" t="str">
        <f>IFERROR(__xludf.DUMMYFUNCTION("""COMPUTED_VALUE"""),"https://drive.google.com/file/d/15gKGiwrEohkk0bD1woMAFDVk-BhF139J/view?usp=drivesdk")</f>
        <v>https://drive.google.com/file/d/15gKGiwrEohkk0bD1woMAFDVk-BhF139J/view?usp=drivesdk</v>
      </c>
      <c r="D7843" s="12"/>
      <c r="E7843" s="11">
        <v>7892.0</v>
      </c>
      <c r="F7843" s="2"/>
    </row>
    <row r="7844" ht="1.5" customHeight="1">
      <c r="A7844" s="4" t="str">
        <f>IFERROR(__xludf.DUMMYFUNCTION("""COMPUTED_VALUE"""),"1. Microwave")</f>
        <v>1. Microwave</v>
      </c>
      <c r="B7844" s="4" t="str">
        <f>IFERROR(__xludf.DUMMYFUNCTION("""COMPUTED_VALUE"""),"1")</f>
        <v>1</v>
      </c>
      <c r="C7844" s="5" t="str">
        <f>IFERROR(__xludf.DUMMYFUNCTION("""COMPUTED_VALUE"""),"https://drive.google.com/file/d/1kzspDWe7vK1WvJo-GyZW7_u7fNi7nh3a/view?usp=drivesdk")</f>
        <v>https://drive.google.com/file/d/1kzspDWe7vK1WvJo-GyZW7_u7fNi7nh3a/view?usp=drivesdk</v>
      </c>
      <c r="D7844" s="12"/>
      <c r="E7844" s="11">
        <v>7893.0</v>
      </c>
      <c r="F7844" s="2"/>
    </row>
    <row r="7845" ht="1.5" customHeight="1">
      <c r="A7845" s="4" t="str">
        <f>IFERROR(__xludf.DUMMYFUNCTION("""COMPUTED_VALUE"""),"2. Twix")</f>
        <v>2. Twix</v>
      </c>
      <c r="B7845" s="4" t="str">
        <f>IFERROR(__xludf.DUMMYFUNCTION("""COMPUTED_VALUE"""),"2")</f>
        <v>2</v>
      </c>
      <c r="C7845" s="5" t="str">
        <f>IFERROR(__xludf.DUMMYFUNCTION("""COMPUTED_VALUE"""),"https://drive.google.com/file/d/10RXd60JaktbXL-4fWga1R_NrJHqWnBxW/view?usp=drivesdk")</f>
        <v>https://drive.google.com/file/d/10RXd60JaktbXL-4fWga1R_NrJHqWnBxW/view?usp=drivesdk</v>
      </c>
      <c r="D7845" s="12"/>
      <c r="E7845" s="11">
        <v>7894.0</v>
      </c>
      <c r="F7845" s="2"/>
    </row>
    <row r="7846" ht="1.5" customHeight="1">
      <c r="A7846" s="4" t="str">
        <f>IFERROR(__xludf.DUMMYFUNCTION("""COMPUTED_VALUE"""),"1. Microwave")</f>
        <v>1. Microwave</v>
      </c>
      <c r="B7846" s="4" t="str">
        <f>IFERROR(__xludf.DUMMYFUNCTION("""COMPUTED_VALUE"""),"1")</f>
        <v>1</v>
      </c>
      <c r="C7846" s="5" t="str">
        <f>IFERROR(__xludf.DUMMYFUNCTION("""COMPUTED_VALUE"""),"https://drive.google.com/file/d/1PqDLTaTpCBIo8nWZ4tvOVGmKj-lnCUlJ/view?usp=drivesdk")</f>
        <v>https://drive.google.com/file/d/1PqDLTaTpCBIo8nWZ4tvOVGmKj-lnCUlJ/view?usp=drivesdk</v>
      </c>
      <c r="D7846" s="12"/>
      <c r="E7846" s="11">
        <v>7895.0</v>
      </c>
      <c r="F7846" s="2"/>
    </row>
    <row r="7847" ht="1.5" customHeight="1">
      <c r="A7847" s="4" t="str">
        <f>IFERROR(__xludf.DUMMYFUNCTION("""COMPUTED_VALUE"""),"1. Microwave")</f>
        <v>1. Microwave</v>
      </c>
      <c r="B7847" s="4" t="str">
        <f>IFERROR(__xludf.DUMMYFUNCTION("""COMPUTED_VALUE"""),"1")</f>
        <v>1</v>
      </c>
      <c r="C7847" s="5" t="str">
        <f>IFERROR(__xludf.DUMMYFUNCTION("""COMPUTED_VALUE"""),"https://drive.google.com/file/d/1uVkWJw7ibsuAhMA-t3HaueuRqvDJFCcL/view?usp=drivesdk")</f>
        <v>https://drive.google.com/file/d/1uVkWJw7ibsuAhMA-t3HaueuRqvDJFCcL/view?usp=drivesdk</v>
      </c>
      <c r="D7847" s="12"/>
      <c r="E7847" s="11">
        <v>7896.0</v>
      </c>
      <c r="F7847" s="2"/>
    </row>
    <row r="7848" ht="1.5" customHeight="1">
      <c r="A7848" s="4" t="str">
        <f>IFERROR(__xludf.DUMMYFUNCTION("""COMPUTED_VALUE"""),"2. Twix")</f>
        <v>2. Twix</v>
      </c>
      <c r="B7848" s="4" t="str">
        <f>IFERROR(__xludf.DUMMYFUNCTION("""COMPUTED_VALUE"""),"2")</f>
        <v>2</v>
      </c>
      <c r="C7848" s="5" t="str">
        <f>IFERROR(__xludf.DUMMYFUNCTION("""COMPUTED_VALUE"""),"https://drive.google.com/file/d/1BHhmpu92c1yL4hHSFpbEcrAu1jlPfW39/view?usp=drivesdk")</f>
        <v>https://drive.google.com/file/d/1BHhmpu92c1yL4hHSFpbEcrAu1jlPfW39/view?usp=drivesdk</v>
      </c>
      <c r="D7848" s="12"/>
      <c r="E7848" s="11">
        <v>7897.0</v>
      </c>
      <c r="F7848" s="2"/>
    </row>
    <row r="7849" ht="1.5" customHeight="1">
      <c r="A7849" s="4" t="str">
        <f>IFERROR(__xludf.DUMMYFUNCTION("""COMPUTED_VALUE"""),"2. Twix")</f>
        <v>2. Twix</v>
      </c>
      <c r="B7849" s="4" t="str">
        <f>IFERROR(__xludf.DUMMYFUNCTION("""COMPUTED_VALUE"""),"2")</f>
        <v>2</v>
      </c>
      <c r="C7849" s="5" t="str">
        <f>IFERROR(__xludf.DUMMYFUNCTION("""COMPUTED_VALUE"""),"https://drive.google.com/file/d/1x4f-hVT6sSEY--lg1ft96WFZNdoep-fg/view?usp=drivesdk")</f>
        <v>https://drive.google.com/file/d/1x4f-hVT6sSEY--lg1ft96WFZNdoep-fg/view?usp=drivesdk</v>
      </c>
      <c r="D7849" s="12"/>
      <c r="E7849" s="11">
        <v>7898.0</v>
      </c>
      <c r="F7849" s="2"/>
    </row>
    <row r="7850" ht="1.5" customHeight="1">
      <c r="A7850" s="4" t="str">
        <f>IFERROR(__xludf.DUMMYFUNCTION("""COMPUTED_VALUE"""),"12. Faye")</f>
        <v>12. Faye</v>
      </c>
      <c r="B7850" s="4" t="str">
        <f>IFERROR(__xludf.DUMMYFUNCTION("""COMPUTED_VALUE"""),"12")</f>
        <v>12</v>
      </c>
      <c r="C7850" s="5" t="str">
        <f>IFERROR(__xludf.DUMMYFUNCTION("""COMPUTED_VALUE"""),"https://drive.google.com/file/d/1hZX19htqX2UNc47g5ixRWIUDeBVKXqpf/view?usp=drivesdk")</f>
        <v>https://drive.google.com/file/d/1hZX19htqX2UNc47g5ixRWIUDeBVKXqpf/view?usp=drivesdk</v>
      </c>
      <c r="D7850" s="12"/>
      <c r="E7850" s="11">
        <v>7899.0</v>
      </c>
      <c r="F7850" s="2"/>
    </row>
    <row r="7851" ht="1.5" customHeight="1">
      <c r="A7851" s="4" t="str">
        <f>IFERROR(__xludf.DUMMYFUNCTION("""COMPUTED_VALUE"""),"38. Winston")</f>
        <v>38. Winston</v>
      </c>
      <c r="B7851" s="4" t="str">
        <f>IFERROR(__xludf.DUMMYFUNCTION("""COMPUTED_VALUE"""),"38")</f>
        <v>38</v>
      </c>
      <c r="C7851" s="5" t="str">
        <f>IFERROR(__xludf.DUMMYFUNCTION("""COMPUTED_VALUE"""),"https://drive.google.com/file/d/1pMVQPgKIg09UuWxMLYxqpXTlq5RYu9yb/view?usp=drivesdk")</f>
        <v>https://drive.google.com/file/d/1pMVQPgKIg09UuWxMLYxqpXTlq5RYu9yb/view?usp=drivesdk</v>
      </c>
      <c r="D7851" s="12"/>
      <c r="E7851" s="11">
        <v>7900.0</v>
      </c>
      <c r="F7851" s="2"/>
    </row>
    <row r="7852" ht="1.5" customHeight="1">
      <c r="A7852" s="4" t="str">
        <f>IFERROR(__xludf.DUMMYFUNCTION("""COMPUTED_VALUE"""),"12. Faye")</f>
        <v>12. Faye</v>
      </c>
      <c r="B7852" s="4" t="str">
        <f>IFERROR(__xludf.DUMMYFUNCTION("""COMPUTED_VALUE"""),"12")</f>
        <v>12</v>
      </c>
      <c r="C7852" s="5" t="str">
        <f>IFERROR(__xludf.DUMMYFUNCTION("""COMPUTED_VALUE"""),"https://drive.google.com/file/d/1o4-N-UNfOdegmk-N4cv7fpnY0-EZE0fr/view?usp=drivesdk")</f>
        <v>https://drive.google.com/file/d/1o4-N-UNfOdegmk-N4cv7fpnY0-EZE0fr/view?usp=drivesdk</v>
      </c>
      <c r="D7852" s="12"/>
      <c r="E7852" s="11">
        <v>7901.0</v>
      </c>
      <c r="F7852" s="2"/>
    </row>
    <row r="7853" ht="1.5" customHeight="1">
      <c r="A7853" s="4" t="str">
        <f>IFERROR(__xludf.DUMMYFUNCTION("""COMPUTED_VALUE"""),"62. Gorygreg")</f>
        <v>62. Gorygreg</v>
      </c>
      <c r="B7853" s="4" t="str">
        <f>IFERROR(__xludf.DUMMYFUNCTION("""COMPUTED_VALUE"""),"62")</f>
        <v>62</v>
      </c>
      <c r="C7853" s="5" t="str">
        <f>IFERROR(__xludf.DUMMYFUNCTION("""COMPUTED_VALUE"""),"https://drive.google.com/file/d/18KZa9aOnc-m_MGmq3Q28f-gMekAssQYp/view?usp=drivesdk")</f>
        <v>https://drive.google.com/file/d/18KZa9aOnc-m_MGmq3Q28f-gMekAssQYp/view?usp=drivesdk</v>
      </c>
      <c r="D7853" s="12"/>
      <c r="E7853" s="11">
        <v>7902.0</v>
      </c>
      <c r="F7853" s="2"/>
    </row>
    <row r="7854" ht="1.5" customHeight="1">
      <c r="A7854" s="4" t="str">
        <f>IFERROR(__xludf.DUMMYFUNCTION("""COMPUTED_VALUE"""),"0. NotACat")</f>
        <v>0. NotACat</v>
      </c>
      <c r="B7854" s="4" t="str">
        <f>IFERROR(__xludf.DUMMYFUNCTION("""COMPUTED_VALUE"""),"0")</f>
        <v>0</v>
      </c>
      <c r="C7854" s="5" t="str">
        <f>IFERROR(__xludf.DUMMYFUNCTION("""COMPUTED_VALUE"""),"https://drive.google.com/file/d/1BCDWJl2SS0IUNIT6aH6MfLq3eHlD5sap/view?usp=drivesdk")</f>
        <v>https://drive.google.com/file/d/1BCDWJl2SS0IUNIT6aH6MfLq3eHlD5sap/view?usp=drivesdk</v>
      </c>
      <c r="D7854" s="12"/>
      <c r="E7854" s="11">
        <v>7903.0</v>
      </c>
      <c r="F7854" s="2"/>
    </row>
    <row r="7855" ht="1.5" customHeight="1">
      <c r="A7855" s="4" t="str">
        <f>IFERROR(__xludf.DUMMYFUNCTION("""COMPUTED_VALUE"""),"146. Monsieur Stanky")</f>
        <v>146. Monsieur Stanky</v>
      </c>
      <c r="B7855" s="4" t="str">
        <f>IFERROR(__xludf.DUMMYFUNCTION("""COMPUTED_VALUE"""),"146")</f>
        <v>146</v>
      </c>
      <c r="C7855" s="5" t="str">
        <f>IFERROR(__xludf.DUMMYFUNCTION("""COMPUTED_VALUE"""),"https://drive.google.com/file/d/1TaTF7G6vqiI3leejpGK3qaYoHyBlCkLI/view?usp=drivesdk")</f>
        <v>https://drive.google.com/file/d/1TaTF7G6vqiI3leejpGK3qaYoHyBlCkLI/view?usp=drivesdk</v>
      </c>
      <c r="D7855" s="12"/>
      <c r="E7855" s="11">
        <v>7904.0</v>
      </c>
      <c r="F7855" s="2"/>
    </row>
    <row r="7856" ht="1.5" customHeight="1">
      <c r="A7856" s="4" t="str">
        <f>IFERROR(__xludf.DUMMYFUNCTION("""COMPUTED_VALUE"""),"141. Kamahalan")</f>
        <v>141. Kamahalan</v>
      </c>
      <c r="B7856" s="4" t="str">
        <f>IFERROR(__xludf.DUMMYFUNCTION("""COMPUTED_VALUE"""),"141")</f>
        <v>141</v>
      </c>
      <c r="C7856" s="5" t="str">
        <f>IFERROR(__xludf.DUMMYFUNCTION("""COMPUTED_VALUE"""),"https://drive.google.com/file/d/1zSrS34bntOqHM9HV1Mp1ul1TTD6v-auW/view?usp=drivesdk")</f>
        <v>https://drive.google.com/file/d/1zSrS34bntOqHM9HV1Mp1ul1TTD6v-auW/view?usp=drivesdk</v>
      </c>
      <c r="D7856" s="12"/>
      <c r="E7856" s="11">
        <v>7905.0</v>
      </c>
      <c r="F7856" s="2"/>
    </row>
    <row r="7857" ht="1.5" customHeight="1">
      <c r="A7857" s="4" t="str">
        <f>IFERROR(__xludf.DUMMYFUNCTION("""COMPUTED_VALUE"""),"62. Gorygreg")</f>
        <v>62. Gorygreg</v>
      </c>
      <c r="B7857" s="4" t="str">
        <f>IFERROR(__xludf.DUMMYFUNCTION("""COMPUTED_VALUE"""),"62")</f>
        <v>62</v>
      </c>
      <c r="C7857" s="5" t="str">
        <f>IFERROR(__xludf.DUMMYFUNCTION("""COMPUTED_VALUE"""),"https://drive.google.com/file/d/1tV7gRv-4w3ATDiM-0F3PvANenh-mi7t_/view?usp=drivesdk")</f>
        <v>https://drive.google.com/file/d/1tV7gRv-4w3ATDiM-0F3PvANenh-mi7t_/view?usp=drivesdk</v>
      </c>
      <c r="D7857" s="12"/>
      <c r="E7857" s="11">
        <v>7906.0</v>
      </c>
      <c r="F7857" s="2"/>
    </row>
    <row r="7858" ht="1.5" customHeight="1">
      <c r="A7858" s="4" t="str">
        <f>IFERROR(__xludf.DUMMYFUNCTION("""COMPUTED_VALUE"""),"38. Winston")</f>
        <v>38. Winston</v>
      </c>
      <c r="B7858" s="4" t="str">
        <f>IFERROR(__xludf.DUMMYFUNCTION("""COMPUTED_VALUE"""),"38")</f>
        <v>38</v>
      </c>
      <c r="C7858" s="5" t="str">
        <f>IFERROR(__xludf.DUMMYFUNCTION("""COMPUTED_VALUE"""),"https://drive.google.com/file/d/15kZs1gguKZXwgP0AuJ0J_qlcJCFlWAx9/view?usp=drivesdk")</f>
        <v>https://drive.google.com/file/d/15kZs1gguKZXwgP0AuJ0J_qlcJCFlWAx9/view?usp=drivesdk</v>
      </c>
      <c r="D7858" s="12"/>
      <c r="E7858" s="11">
        <v>7907.0</v>
      </c>
      <c r="F7858" s="2"/>
    </row>
    <row r="7859" ht="1.5" customHeight="1">
      <c r="A7859" s="4" t="str">
        <f>IFERROR(__xludf.DUMMYFUNCTION("""COMPUTED_VALUE"""),"38. Winston")</f>
        <v>38. Winston</v>
      </c>
      <c r="B7859" s="4" t="str">
        <f>IFERROR(__xludf.DUMMYFUNCTION("""COMPUTED_VALUE"""),"38")</f>
        <v>38</v>
      </c>
      <c r="C7859" s="5" t="str">
        <f>IFERROR(__xludf.DUMMYFUNCTION("""COMPUTED_VALUE"""),"https://drive.google.com/file/d/19GyGq6wJO_9FBxQ12aYOMv4VLE5KfHdw/view?usp=drivesdk")</f>
        <v>https://drive.google.com/file/d/19GyGq6wJO_9FBxQ12aYOMv4VLE5KfHdw/view?usp=drivesdk</v>
      </c>
      <c r="D7859" s="12"/>
      <c r="E7859" s="11">
        <v>7908.0</v>
      </c>
      <c r="F7859" s="2"/>
    </row>
    <row r="7860" ht="1.5" customHeight="1">
      <c r="A7860" s="4" t="str">
        <f>IFERROR(__xludf.DUMMYFUNCTION("""COMPUTED_VALUE"""),"1. Microwave")</f>
        <v>1. Microwave</v>
      </c>
      <c r="B7860" s="4" t="str">
        <f>IFERROR(__xludf.DUMMYFUNCTION("""COMPUTED_VALUE"""),"1")</f>
        <v>1</v>
      </c>
      <c r="C7860" s="5" t="str">
        <f>IFERROR(__xludf.DUMMYFUNCTION("""COMPUTED_VALUE"""),"https://drive.google.com/file/d/119e9yLbe3nm1oNDyXRCoVsgoObMWN3I0/view?usp=drivesdk")</f>
        <v>https://drive.google.com/file/d/119e9yLbe3nm1oNDyXRCoVsgoObMWN3I0/view?usp=drivesdk</v>
      </c>
      <c r="D7860" s="12"/>
      <c r="E7860" s="11">
        <v>7909.0</v>
      </c>
      <c r="F7860" s="2"/>
    </row>
    <row r="7861" ht="1.5" customHeight="1">
      <c r="A7861" s="4" t="str">
        <f>IFERROR(__xludf.DUMMYFUNCTION("""COMPUTED_VALUE"""),"1. Microwave")</f>
        <v>1. Microwave</v>
      </c>
      <c r="B7861" s="4" t="str">
        <f>IFERROR(__xludf.DUMMYFUNCTION("""COMPUTED_VALUE"""),"1")</f>
        <v>1</v>
      </c>
      <c r="C7861" s="5" t="str">
        <f>IFERROR(__xludf.DUMMYFUNCTION("""COMPUTED_VALUE"""),"https://drive.google.com/file/d/1QU1vY7j1H-OPVjfKwe6NQmDMx03paui6/view?usp=drivesdk")</f>
        <v>https://drive.google.com/file/d/1QU1vY7j1H-OPVjfKwe6NQmDMx03paui6/view?usp=drivesdk</v>
      </c>
      <c r="D7861" s="12"/>
      <c r="E7861" s="11">
        <v>7910.0</v>
      </c>
      <c r="F7861" s="2"/>
    </row>
    <row r="7862" ht="1.5" customHeight="1">
      <c r="A7862" s="4" t="str">
        <f>IFERROR(__xludf.DUMMYFUNCTION("""COMPUTED_VALUE"""),"2. Twix")</f>
        <v>2. Twix</v>
      </c>
      <c r="B7862" s="4" t="str">
        <f>IFERROR(__xludf.DUMMYFUNCTION("""COMPUTED_VALUE"""),"2")</f>
        <v>2</v>
      </c>
      <c r="C7862" s="5" t="str">
        <f>IFERROR(__xludf.DUMMYFUNCTION("""COMPUTED_VALUE"""),"https://drive.google.com/file/d/1m582090XDrV-kNUE1Hl03ULiQy2C0wbA/view?usp=drivesdk")</f>
        <v>https://drive.google.com/file/d/1m582090XDrV-kNUE1Hl03ULiQy2C0wbA/view?usp=drivesdk</v>
      </c>
      <c r="D7862" s="12"/>
      <c r="E7862" s="11">
        <v>7911.0</v>
      </c>
      <c r="F7862" s="2"/>
    </row>
    <row r="7863" ht="1.5" customHeight="1">
      <c r="A7863" s="4" t="str">
        <f>IFERROR(__xludf.DUMMYFUNCTION("""COMPUTED_VALUE"""),"4. Eggs")</f>
        <v>4. Eggs</v>
      </c>
      <c r="B7863" s="4" t="str">
        <f>IFERROR(__xludf.DUMMYFUNCTION("""COMPUTED_VALUE"""),"4")</f>
        <v>4</v>
      </c>
      <c r="C7863" s="5" t="str">
        <f>IFERROR(__xludf.DUMMYFUNCTION("""COMPUTED_VALUE"""),"https://drive.google.com/file/d/10wKzIAn8DQOXiyOIHQZSdcwdTKlBeOng/view?usp=drivesdk")</f>
        <v>https://drive.google.com/file/d/10wKzIAn8DQOXiyOIHQZSdcwdTKlBeOng/view?usp=drivesdk</v>
      </c>
      <c r="D7863" s="12"/>
      <c r="E7863" s="11">
        <v>7912.0</v>
      </c>
      <c r="F7863" s="2"/>
    </row>
    <row r="7864" ht="1.5" customHeight="1">
      <c r="A7864" s="4" t="str">
        <f>IFERROR(__xludf.DUMMYFUNCTION("""COMPUTED_VALUE"""),"1. Microwave")</f>
        <v>1. Microwave</v>
      </c>
      <c r="B7864" s="4" t="str">
        <f>IFERROR(__xludf.DUMMYFUNCTION("""COMPUTED_VALUE"""),"1")</f>
        <v>1</v>
      </c>
      <c r="C7864" s="5" t="str">
        <f>IFERROR(__xludf.DUMMYFUNCTION("""COMPUTED_VALUE"""),"https://drive.google.com/file/d/1mjIvwHYQV_4FC_ft1v9Rk7yxpYd6hLfL/view?usp=drivesdk")</f>
        <v>https://drive.google.com/file/d/1mjIvwHYQV_4FC_ft1v9Rk7yxpYd6hLfL/view?usp=drivesdk</v>
      </c>
      <c r="D7864" s="12"/>
      <c r="E7864" s="11">
        <v>7913.0</v>
      </c>
      <c r="F7864" s="2"/>
    </row>
    <row r="7865" ht="1.5" customHeight="1">
      <c r="A7865" s="4" t="str">
        <f>IFERROR(__xludf.DUMMYFUNCTION("""COMPUTED_VALUE"""),"2. Twix")</f>
        <v>2. Twix</v>
      </c>
      <c r="B7865" s="4" t="str">
        <f>IFERROR(__xludf.DUMMYFUNCTION("""COMPUTED_VALUE"""),"2")</f>
        <v>2</v>
      </c>
      <c r="C7865" s="5" t="str">
        <f>IFERROR(__xludf.DUMMYFUNCTION("""COMPUTED_VALUE"""),"https://drive.google.com/file/d/1h0UIeQ4Ho9x5aI45GMnW8BBFsFnNGlEz/view?usp=drivesdk")</f>
        <v>https://drive.google.com/file/d/1h0UIeQ4Ho9x5aI45GMnW8BBFsFnNGlEz/view?usp=drivesdk</v>
      </c>
      <c r="D7865" s="12"/>
      <c r="E7865" s="11">
        <v>7914.0</v>
      </c>
      <c r="F7865" s="2"/>
    </row>
    <row r="7866" ht="1.5" customHeight="1">
      <c r="A7866" s="4" t="str">
        <f>IFERROR(__xludf.DUMMYFUNCTION("""COMPUTED_VALUE"""),"30. Pepper")</f>
        <v>30. Pepper</v>
      </c>
      <c r="B7866" s="4" t="str">
        <f>IFERROR(__xludf.DUMMYFUNCTION("""COMPUTED_VALUE"""),"30")</f>
        <v>30</v>
      </c>
      <c r="C7866" s="5" t="str">
        <f>IFERROR(__xludf.DUMMYFUNCTION("""COMPUTED_VALUE"""),"https://drive.google.com/file/d/1t8b3_ap4t1LLt6ioO8PbWRSFZzPZtF1d/view?usp=drivesdk")</f>
        <v>https://drive.google.com/file/d/1t8b3_ap4t1LLt6ioO8PbWRSFZzPZtF1d/view?usp=drivesdk</v>
      </c>
      <c r="D7866" s="12"/>
      <c r="E7866" s="11">
        <v>7915.0</v>
      </c>
      <c r="F7866" s="2"/>
    </row>
    <row r="7867" ht="1.5" customHeight="1">
      <c r="A7867" s="4" t="str">
        <f>IFERROR(__xludf.DUMMYFUNCTION("""COMPUTED_VALUE"""),"29. Ginger, 33. Zee")</f>
        <v>29. Ginger, 33. Zee</v>
      </c>
      <c r="B7867" s="4" t="str">
        <f>IFERROR(__xludf.DUMMYFUNCTION("""COMPUTED_VALUE"""),"29, 33")</f>
        <v>29, 33</v>
      </c>
      <c r="C7867" s="5" t="str">
        <f>IFERROR(__xludf.DUMMYFUNCTION("""COMPUTED_VALUE"""),"https://drive.google.com/file/d/1XriCRI7E2CLKISZ0-FlZaRr68a9HDovy/view?usp=drivesdk")</f>
        <v>https://drive.google.com/file/d/1XriCRI7E2CLKISZ0-FlZaRr68a9HDovy/view?usp=drivesdk</v>
      </c>
      <c r="D7867" s="12"/>
      <c r="E7867" s="11">
        <v>7916.0</v>
      </c>
      <c r="F7867" s="2"/>
    </row>
    <row r="7868" ht="1.5" customHeight="1">
      <c r="A7868" s="4" t="str">
        <f>IFERROR(__xludf.DUMMYFUNCTION("""COMPUTED_VALUE"""),"27. Angel")</f>
        <v>27. Angel</v>
      </c>
      <c r="B7868" s="4" t="str">
        <f>IFERROR(__xludf.DUMMYFUNCTION("""COMPUTED_VALUE"""),"27")</f>
        <v>27</v>
      </c>
      <c r="C7868" s="5" t="str">
        <f>IFERROR(__xludf.DUMMYFUNCTION("""COMPUTED_VALUE"""),"https://drive.google.com/file/d/1-d04PeBRjtCTCaKuQUQF3jgx8wPFuPYz/view?usp=drivesdk")</f>
        <v>https://drive.google.com/file/d/1-d04PeBRjtCTCaKuQUQF3jgx8wPFuPYz/view?usp=drivesdk</v>
      </c>
      <c r="D7868" s="12"/>
      <c r="E7868" s="11">
        <v>7917.0</v>
      </c>
      <c r="F7868" s="2"/>
    </row>
    <row r="7869" ht="1.5" customHeight="1">
      <c r="A7869" s="4" t="str">
        <f>IFERROR(__xludf.DUMMYFUNCTION("""COMPUTED_VALUE"""),"32. Noir")</f>
        <v>32. Noir</v>
      </c>
      <c r="B7869" s="4" t="str">
        <f>IFERROR(__xludf.DUMMYFUNCTION("""COMPUTED_VALUE"""),"32")</f>
        <v>32</v>
      </c>
      <c r="C7869" s="5" t="str">
        <f>IFERROR(__xludf.DUMMYFUNCTION("""COMPUTED_VALUE"""),"https://drive.google.com/file/d/1fMBX51jfBSLnJOJLvqQIkeWcjWChNYA6/view?usp=drivesdk")</f>
        <v>https://drive.google.com/file/d/1fMBX51jfBSLnJOJLvqQIkeWcjWChNYA6/view?usp=drivesdk</v>
      </c>
      <c r="D7869" s="12"/>
      <c r="E7869" s="11">
        <v>7918.0</v>
      </c>
      <c r="F7869" s="2"/>
    </row>
    <row r="7870" ht="1.5" customHeight="1">
      <c r="A7870" s="4" t="str">
        <f>IFERROR(__xludf.DUMMYFUNCTION("""COMPUTED_VALUE"""),"27. Angel, 29. Ginger, 33. Zee, 30. Pepper")</f>
        <v>27. Angel, 29. Ginger, 33. Zee, 30. Pepper</v>
      </c>
      <c r="B7870" s="4" t="str">
        <f>IFERROR(__xludf.DUMMYFUNCTION("""COMPUTED_VALUE"""),"27, 29, 33, 30")</f>
        <v>27, 29, 33, 30</v>
      </c>
      <c r="C7870" s="5" t="str">
        <f>IFERROR(__xludf.DUMMYFUNCTION("""COMPUTED_VALUE"""),"https://drive.google.com/file/d/1b4PJghNN_10EJpQLOyKwlZpBb7ITYVA4/view?usp=drivesdk")</f>
        <v>https://drive.google.com/file/d/1b4PJghNN_10EJpQLOyKwlZpBb7ITYVA4/view?usp=drivesdk</v>
      </c>
      <c r="D7870" s="12"/>
      <c r="E7870" s="11">
        <v>7919.0</v>
      </c>
      <c r="F7870" s="2"/>
    </row>
    <row r="7871" ht="1.5" customHeight="1">
      <c r="A7871" s="4" t="str">
        <f>IFERROR(__xludf.DUMMYFUNCTION("""COMPUTED_VALUE"""),"88. Vincente, 95. Ariel")</f>
        <v>88. Vincente, 95. Ariel</v>
      </c>
      <c r="B7871" s="4" t="str">
        <f>IFERROR(__xludf.DUMMYFUNCTION("""COMPUTED_VALUE"""),"88, 95")</f>
        <v>88, 95</v>
      </c>
      <c r="C7871" s="5" t="str">
        <f>IFERROR(__xludf.DUMMYFUNCTION("""COMPUTED_VALUE"""),"https://drive.google.com/file/d/13-iQ9aZTiLFa8H6WEqogCF60AOt9Avfe/view?usp=drivesdk")</f>
        <v>https://drive.google.com/file/d/13-iQ9aZTiLFa8H6WEqogCF60AOt9Avfe/view?usp=drivesdk</v>
      </c>
      <c r="D7871" s="12"/>
      <c r="E7871" s="11">
        <v>7920.0</v>
      </c>
      <c r="F7871" s="2"/>
    </row>
    <row r="7872" ht="1.5" customHeight="1">
      <c r="A7872" s="4" t="str">
        <f>IFERROR(__xludf.DUMMYFUNCTION("""COMPUTED_VALUE"""),"42. Rubber")</f>
        <v>42. Rubber</v>
      </c>
      <c r="B7872" s="4" t="str">
        <f>IFERROR(__xludf.DUMMYFUNCTION("""COMPUTED_VALUE"""),"42")</f>
        <v>42</v>
      </c>
      <c r="C7872" s="5" t="str">
        <f>IFERROR(__xludf.DUMMYFUNCTION("""COMPUTED_VALUE"""),"https://drive.google.com/file/d/15cl4NowxwIyerdYWbNzmGTbbFOKUaHu6/view?usp=drivesdk")</f>
        <v>https://drive.google.com/file/d/15cl4NowxwIyerdYWbNzmGTbbFOKUaHu6/view?usp=drivesdk</v>
      </c>
      <c r="D7872" s="12"/>
      <c r="E7872" s="11">
        <v>7921.0</v>
      </c>
      <c r="F7872" s="2"/>
    </row>
    <row r="7873" ht="1.5" customHeight="1">
      <c r="A7873" s="4" t="str">
        <f>IFERROR(__xludf.DUMMYFUNCTION("""COMPUTED_VALUE"""),"42. Rubber")</f>
        <v>42. Rubber</v>
      </c>
      <c r="B7873" s="4" t="str">
        <f>IFERROR(__xludf.DUMMYFUNCTION("""COMPUTED_VALUE"""),"42")</f>
        <v>42</v>
      </c>
      <c r="C7873" s="5" t="str">
        <f>IFERROR(__xludf.DUMMYFUNCTION("""COMPUTED_VALUE"""),"https://drive.google.com/file/d/1mlJwTCnQRD3pCxn_JgBvE3Xo5pYm-mCJ/view?usp=drivesdk")</f>
        <v>https://drive.google.com/file/d/1mlJwTCnQRD3pCxn_JgBvE3Xo5pYm-mCJ/view?usp=drivesdk</v>
      </c>
      <c r="D7873" s="12"/>
      <c r="E7873" s="11">
        <v>7922.0</v>
      </c>
      <c r="F7873" s="2"/>
    </row>
    <row r="7874" ht="1.5" customHeight="1">
      <c r="A7874" s="4" t="str">
        <f>IFERROR(__xludf.DUMMYFUNCTION("""COMPUTED_VALUE"""),"95. Ariel")</f>
        <v>95. Ariel</v>
      </c>
      <c r="B7874" s="4" t="str">
        <f>IFERROR(__xludf.DUMMYFUNCTION("""COMPUTED_VALUE"""),"95")</f>
        <v>95</v>
      </c>
      <c r="C7874" s="5" t="str">
        <f>IFERROR(__xludf.DUMMYFUNCTION("""COMPUTED_VALUE"""),"https://drive.google.com/file/d/1ztXfn-5QZquO9s0FG11bUZUZvJ5e67Bl/view?usp=drivesdk")</f>
        <v>https://drive.google.com/file/d/1ztXfn-5QZquO9s0FG11bUZUZvJ5e67Bl/view?usp=drivesdk</v>
      </c>
      <c r="D7874" s="12"/>
      <c r="E7874" s="11">
        <v>7923.0</v>
      </c>
      <c r="F7874" s="2"/>
    </row>
    <row r="7875" ht="1.5" customHeight="1">
      <c r="A7875" s="4" t="str">
        <f>IFERROR(__xludf.DUMMYFUNCTION("""COMPUTED_VALUE"""),"137. Harpy, 40. Dumpster")</f>
        <v>137. Harpy, 40. Dumpster</v>
      </c>
      <c r="B7875" s="4" t="str">
        <f>IFERROR(__xludf.DUMMYFUNCTION("""COMPUTED_VALUE"""),"137, 40")</f>
        <v>137, 40</v>
      </c>
      <c r="C7875" s="5" t="str">
        <f>IFERROR(__xludf.DUMMYFUNCTION("""COMPUTED_VALUE"""),"https://drive.google.com/file/d/1fGvo2d3FHKHePKiwt1LD4RLLo0NZUYSo/view?usp=drivesdk")</f>
        <v>https://drive.google.com/file/d/1fGvo2d3FHKHePKiwt1LD4RLLo0NZUYSo/view?usp=drivesdk</v>
      </c>
      <c r="D7875" s="12"/>
      <c r="E7875" s="11">
        <v>7924.0</v>
      </c>
      <c r="F7875" s="2"/>
    </row>
    <row r="7876" ht="1.5" customHeight="1">
      <c r="A7876" s="4" t="str">
        <f>IFERROR(__xludf.DUMMYFUNCTION("""COMPUTED_VALUE"""),"95. Ariel")</f>
        <v>95. Ariel</v>
      </c>
      <c r="B7876" s="4" t="str">
        <f>IFERROR(__xludf.DUMMYFUNCTION("""COMPUTED_VALUE"""),"95")</f>
        <v>95</v>
      </c>
      <c r="C7876" s="5" t="str">
        <f>IFERROR(__xludf.DUMMYFUNCTION("""COMPUTED_VALUE"""),"https://drive.google.com/file/d/1IU3zCpaiPJxBxz3BPz9Pbzgpr4QEl0Za/view?usp=drivesdk")</f>
        <v>https://drive.google.com/file/d/1IU3zCpaiPJxBxz3BPz9Pbzgpr4QEl0Za/view?usp=drivesdk</v>
      </c>
      <c r="D7876" s="12"/>
      <c r="E7876" s="11">
        <v>7925.0</v>
      </c>
      <c r="F7876" s="2"/>
    </row>
    <row r="7877" ht="1.5" customHeight="1">
      <c r="A7877" s="4" t="str">
        <f>IFERROR(__xludf.DUMMYFUNCTION("""COMPUTED_VALUE"""),"45. Boots")</f>
        <v>45. Boots</v>
      </c>
      <c r="B7877" s="4" t="str">
        <f>IFERROR(__xludf.DUMMYFUNCTION("""COMPUTED_VALUE"""),"45")</f>
        <v>45</v>
      </c>
      <c r="C7877" s="5" t="str">
        <f>IFERROR(__xludf.DUMMYFUNCTION("""COMPUTED_VALUE"""),"https://drive.google.com/file/d/1G1OreAFcl2Bweo4KW5H6bVNzus9mG3B9/view?usp=drivesdk")</f>
        <v>https://drive.google.com/file/d/1G1OreAFcl2Bweo4KW5H6bVNzus9mG3B9/view?usp=drivesdk</v>
      </c>
      <c r="D7877" s="12"/>
      <c r="E7877" s="11">
        <v>7926.0</v>
      </c>
      <c r="F7877" s="2"/>
    </row>
    <row r="7878" ht="1.5" customHeight="1">
      <c r="A7878" s="4" t="str">
        <f>IFERROR(__xludf.DUMMYFUNCTION("""COMPUTED_VALUE"""),"95. Ariel")</f>
        <v>95. Ariel</v>
      </c>
      <c r="B7878" s="4" t="str">
        <f>IFERROR(__xludf.DUMMYFUNCTION("""COMPUTED_VALUE"""),"95")</f>
        <v>95</v>
      </c>
      <c r="C7878" s="5" t="str">
        <f>IFERROR(__xludf.DUMMYFUNCTION("""COMPUTED_VALUE"""),"https://drive.google.com/file/d/1P8uA8rrxR4GORMqKHLSzz2ZTLKeUHE5N/view?usp=drivesdk")</f>
        <v>https://drive.google.com/file/d/1P8uA8rrxR4GORMqKHLSzz2ZTLKeUHE5N/view?usp=drivesdk</v>
      </c>
      <c r="D7878" s="12"/>
      <c r="E7878" s="11">
        <v>7927.0</v>
      </c>
      <c r="F7878" s="2"/>
    </row>
    <row r="7879" ht="1.5" customHeight="1">
      <c r="A7879" s="4" t="str">
        <f>IFERROR(__xludf.DUMMYFUNCTION("""COMPUTED_VALUE"""),"41. Gregory")</f>
        <v>41. Gregory</v>
      </c>
      <c r="B7879" s="4" t="str">
        <f>IFERROR(__xludf.DUMMYFUNCTION("""COMPUTED_VALUE"""),"41")</f>
        <v>41</v>
      </c>
      <c r="C7879" s="5" t="str">
        <f>IFERROR(__xludf.DUMMYFUNCTION("""COMPUTED_VALUE"""),"https://drive.google.com/file/d/1VFQL0Vrhl7GRkTzuUWShcy_xzLFJCYr_/view?usp=drivesdk")</f>
        <v>https://drive.google.com/file/d/1VFQL0Vrhl7GRkTzuUWShcy_xzLFJCYr_/view?usp=drivesdk</v>
      </c>
      <c r="D7879" s="12"/>
      <c r="E7879" s="11">
        <v>7928.0</v>
      </c>
      <c r="F7879" s="2"/>
    </row>
    <row r="7880" ht="1.5" customHeight="1">
      <c r="A7880" s="4" t="str">
        <f>IFERROR(__xludf.DUMMYFUNCTION("""COMPUTED_VALUE"""),"1. Microwave")</f>
        <v>1. Microwave</v>
      </c>
      <c r="B7880" s="4" t="str">
        <f>IFERROR(__xludf.DUMMYFUNCTION("""COMPUTED_VALUE"""),"1")</f>
        <v>1</v>
      </c>
      <c r="C7880" s="5" t="str">
        <f>IFERROR(__xludf.DUMMYFUNCTION("""COMPUTED_VALUE"""),"https://drive.google.com/file/d/1F92pr_iY8XOng3FLfwDcA6eZHDBqvNzq/view?usp=drivesdk")</f>
        <v>https://drive.google.com/file/d/1F92pr_iY8XOng3FLfwDcA6eZHDBqvNzq/view?usp=drivesdk</v>
      </c>
      <c r="D7880" s="12"/>
      <c r="E7880" s="11">
        <v>7929.0</v>
      </c>
      <c r="F7880" s="2"/>
    </row>
    <row r="7881" ht="1.5" customHeight="1">
      <c r="A7881" s="4" t="str">
        <f>IFERROR(__xludf.DUMMYFUNCTION("""COMPUTED_VALUE"""),"1. Microwave")</f>
        <v>1. Microwave</v>
      </c>
      <c r="B7881" s="4" t="str">
        <f>IFERROR(__xludf.DUMMYFUNCTION("""COMPUTED_VALUE"""),"1")</f>
        <v>1</v>
      </c>
      <c r="C7881" s="5" t="str">
        <f>IFERROR(__xludf.DUMMYFUNCTION("""COMPUTED_VALUE"""),"https://drive.google.com/file/d/1nwsY7CK8WDbQsdYuHZDzHJEgdUDYeT4H/view?usp=drivesdk")</f>
        <v>https://drive.google.com/file/d/1nwsY7CK8WDbQsdYuHZDzHJEgdUDYeT4H/view?usp=drivesdk</v>
      </c>
      <c r="D7881" s="12"/>
      <c r="E7881" s="11">
        <v>7930.0</v>
      </c>
      <c r="F7881" s="2"/>
    </row>
    <row r="7882" ht="1.5" customHeight="1">
      <c r="A7882" s="4" t="str">
        <f>IFERROR(__xludf.DUMMYFUNCTION("""COMPUTED_VALUE"""),"1. Microwave")</f>
        <v>1. Microwave</v>
      </c>
      <c r="B7882" s="4" t="str">
        <f>IFERROR(__xludf.DUMMYFUNCTION("""COMPUTED_VALUE"""),"1")</f>
        <v>1</v>
      </c>
      <c r="C7882" s="5" t="str">
        <f>IFERROR(__xludf.DUMMYFUNCTION("""COMPUTED_VALUE"""),"https://drive.google.com/file/d/1d4rI4bMqkpreszXN4ljx46qhAQ_-Ehpx/view?usp=drivesdk")</f>
        <v>https://drive.google.com/file/d/1d4rI4bMqkpreszXN4ljx46qhAQ_-Ehpx/view?usp=drivesdk</v>
      </c>
      <c r="D7882" s="12"/>
      <c r="E7882" s="11">
        <v>7931.0</v>
      </c>
      <c r="F7882" s="2"/>
    </row>
    <row r="7883" ht="1.5" customHeight="1">
      <c r="A7883" s="4" t="str">
        <f>IFERROR(__xludf.DUMMYFUNCTION("""COMPUTED_VALUE"""),"1. Microwave")</f>
        <v>1. Microwave</v>
      </c>
      <c r="B7883" s="4" t="str">
        <f>IFERROR(__xludf.DUMMYFUNCTION("""COMPUTED_VALUE"""),"1")</f>
        <v>1</v>
      </c>
      <c r="C7883" s="5" t="str">
        <f>IFERROR(__xludf.DUMMYFUNCTION("""COMPUTED_VALUE"""),"https://drive.google.com/file/d/1iUQ6NMxJm1ImrOZzdS3gbwyRSIINMqvU/view?usp=drivesdk")</f>
        <v>https://drive.google.com/file/d/1iUQ6NMxJm1ImrOZzdS3gbwyRSIINMqvU/view?usp=drivesdk</v>
      </c>
      <c r="D7883" s="12"/>
      <c r="E7883" s="11">
        <v>7932.0</v>
      </c>
      <c r="F7883" s="2"/>
    </row>
    <row r="7884" ht="1.5" customHeight="1">
      <c r="A7884" s="4" t="str">
        <f>IFERROR(__xludf.DUMMYFUNCTION("""COMPUTED_VALUE"""),"1. Microwave")</f>
        <v>1. Microwave</v>
      </c>
      <c r="B7884" s="4" t="str">
        <f>IFERROR(__xludf.DUMMYFUNCTION("""COMPUTED_VALUE"""),"1")</f>
        <v>1</v>
      </c>
      <c r="C7884" s="5" t="str">
        <f>IFERROR(__xludf.DUMMYFUNCTION("""COMPUTED_VALUE"""),"https://drive.google.com/file/d/1qZlBH1yppLJ6UeTEVs7tDZndPXAtytBl/view?usp=drivesdk")</f>
        <v>https://drive.google.com/file/d/1qZlBH1yppLJ6UeTEVs7tDZndPXAtytBl/view?usp=drivesdk</v>
      </c>
      <c r="D7884" s="12"/>
      <c r="E7884" s="11">
        <v>7933.0</v>
      </c>
      <c r="F7884" s="2"/>
    </row>
    <row r="7885" ht="1.5" customHeight="1">
      <c r="A7885" s="4" t="str">
        <f>IFERROR(__xludf.DUMMYFUNCTION("""COMPUTED_VALUE"""),"1. Microwave")</f>
        <v>1. Microwave</v>
      </c>
      <c r="B7885" s="4" t="str">
        <f>IFERROR(__xludf.DUMMYFUNCTION("""COMPUTED_VALUE"""),"1")</f>
        <v>1</v>
      </c>
      <c r="C7885" s="5" t="str">
        <f>IFERROR(__xludf.DUMMYFUNCTION("""COMPUTED_VALUE"""),"https://drive.google.com/file/d/1KRuK4zQoThND0vlPTNyrN37ImbHnevWL/view?usp=drivesdk")</f>
        <v>https://drive.google.com/file/d/1KRuK4zQoThND0vlPTNyrN37ImbHnevWL/view?usp=drivesdk</v>
      </c>
      <c r="D7885" s="12"/>
      <c r="E7885" s="11">
        <v>7934.0</v>
      </c>
      <c r="F7885" s="2"/>
    </row>
    <row r="7886" ht="1.5" customHeight="1">
      <c r="A7886" s="4" t="str">
        <f>IFERROR(__xludf.DUMMYFUNCTION("""COMPUTED_VALUE"""),"1. Microwave")</f>
        <v>1. Microwave</v>
      </c>
      <c r="B7886" s="4" t="str">
        <f>IFERROR(__xludf.DUMMYFUNCTION("""COMPUTED_VALUE"""),"1")</f>
        <v>1</v>
      </c>
      <c r="C7886" s="5" t="str">
        <f>IFERROR(__xludf.DUMMYFUNCTION("""COMPUTED_VALUE"""),"https://drive.google.com/file/d/1yw5w9NWJtqJXeHf5J4VN4o66zuehh5oO/view?usp=drivesdk")</f>
        <v>https://drive.google.com/file/d/1yw5w9NWJtqJXeHf5J4VN4o66zuehh5oO/view?usp=drivesdk</v>
      </c>
      <c r="D7886" s="12"/>
      <c r="E7886" s="11">
        <v>7935.0</v>
      </c>
      <c r="F7886" s="2"/>
    </row>
    <row r="7887" ht="1.5" customHeight="1">
      <c r="A7887" s="4" t="str">
        <f>IFERROR(__xludf.DUMMYFUNCTION("""COMPUTED_VALUE"""),"1. Microwave")</f>
        <v>1. Microwave</v>
      </c>
      <c r="B7887" s="4" t="str">
        <f>IFERROR(__xludf.DUMMYFUNCTION("""COMPUTED_VALUE"""),"1")</f>
        <v>1</v>
      </c>
      <c r="C7887" s="5" t="str">
        <f>IFERROR(__xludf.DUMMYFUNCTION("""COMPUTED_VALUE"""),"https://drive.google.com/file/d/1WKvXCbqUiDz3DVOPsz928-YxFzDm3k2a/view?usp=drivesdk")</f>
        <v>https://drive.google.com/file/d/1WKvXCbqUiDz3DVOPsz928-YxFzDm3k2a/view?usp=drivesdk</v>
      </c>
      <c r="D7887" s="12"/>
      <c r="E7887" s="11">
        <v>7936.0</v>
      </c>
      <c r="F7887" s="2"/>
    </row>
    <row r="7888" ht="1.5" customHeight="1">
      <c r="A7888" s="4" t="str">
        <f>IFERROR(__xludf.DUMMYFUNCTION("""COMPUTED_VALUE"""),"12. Faye")</f>
        <v>12. Faye</v>
      </c>
      <c r="B7888" s="4" t="str">
        <f>IFERROR(__xludf.DUMMYFUNCTION("""COMPUTED_VALUE"""),"12")</f>
        <v>12</v>
      </c>
      <c r="C7888" s="5" t="str">
        <f>IFERROR(__xludf.DUMMYFUNCTION("""COMPUTED_VALUE"""),"https://drive.google.com/file/d/1pndaX_ofk8mc2q445BaKRamlzitivClb/view?usp=drivesdk")</f>
        <v>https://drive.google.com/file/d/1pndaX_ofk8mc2q445BaKRamlzitivClb/view?usp=drivesdk</v>
      </c>
      <c r="D7888" s="12"/>
      <c r="E7888" s="11">
        <v>7937.0</v>
      </c>
      <c r="F7888" s="2"/>
    </row>
    <row r="7889" ht="1.5" customHeight="1">
      <c r="A7889" s="4" t="str">
        <f>IFERROR(__xludf.DUMMYFUNCTION("""COMPUTED_VALUE"""),"2. Twix")</f>
        <v>2. Twix</v>
      </c>
      <c r="B7889" s="4" t="str">
        <f>IFERROR(__xludf.DUMMYFUNCTION("""COMPUTED_VALUE"""),"2")</f>
        <v>2</v>
      </c>
      <c r="C7889" s="5" t="str">
        <f>IFERROR(__xludf.DUMMYFUNCTION("""COMPUTED_VALUE"""),"https://drive.google.com/file/d/1PLp5qsmJtHpWDvBUkeUsdUPFwNu4yen7/view?usp=drivesdk")</f>
        <v>https://drive.google.com/file/d/1PLp5qsmJtHpWDvBUkeUsdUPFwNu4yen7/view?usp=drivesdk</v>
      </c>
      <c r="D7889" s="12"/>
      <c r="E7889" s="11">
        <v>7938.0</v>
      </c>
      <c r="F7889" s="2"/>
    </row>
    <row r="7890" ht="1.5" customHeight="1">
      <c r="A7890" s="4" t="str">
        <f>IFERROR(__xludf.DUMMYFUNCTION("""COMPUTED_VALUE"""),"2. Twix")</f>
        <v>2. Twix</v>
      </c>
      <c r="B7890" s="4" t="str">
        <f>IFERROR(__xludf.DUMMYFUNCTION("""COMPUTED_VALUE"""),"2")</f>
        <v>2</v>
      </c>
      <c r="C7890" s="5" t="str">
        <f>IFERROR(__xludf.DUMMYFUNCTION("""COMPUTED_VALUE"""),"https://drive.google.com/file/d/1tTSjgra0yQ3SAKeA6Y-qhxVcqpi8A3Vn/view?usp=drivesdk")</f>
        <v>https://drive.google.com/file/d/1tTSjgra0yQ3SAKeA6Y-qhxVcqpi8A3Vn/view?usp=drivesdk</v>
      </c>
      <c r="D7890" s="12"/>
      <c r="E7890" s="11">
        <v>7939.0</v>
      </c>
      <c r="F7890" s="2"/>
    </row>
    <row r="7891" ht="1.5" customHeight="1">
      <c r="A7891" s="4" t="str">
        <f>IFERROR(__xludf.DUMMYFUNCTION("""COMPUTED_VALUE"""),"2. Twix")</f>
        <v>2. Twix</v>
      </c>
      <c r="B7891" s="4" t="str">
        <f>IFERROR(__xludf.DUMMYFUNCTION("""COMPUTED_VALUE"""),"2")</f>
        <v>2</v>
      </c>
      <c r="C7891" s="5" t="str">
        <f>IFERROR(__xludf.DUMMYFUNCTION("""COMPUTED_VALUE"""),"https://drive.google.com/file/d/1xNOif-FrL31sP5Qb7F8m0NJEcEbHIHTE/view?usp=drivesdk")</f>
        <v>https://drive.google.com/file/d/1xNOif-FrL31sP5Qb7F8m0NJEcEbHIHTE/view?usp=drivesdk</v>
      </c>
      <c r="D7891" s="12"/>
      <c r="E7891" s="11">
        <v>7940.0</v>
      </c>
      <c r="F7891" s="2"/>
    </row>
    <row r="7892" ht="1.5" customHeight="1">
      <c r="A7892" s="4" t="str">
        <f>IFERROR(__xludf.DUMMYFUNCTION("""COMPUTED_VALUE"""),"4. Eggs, 5. Eraser")</f>
        <v>4. Eggs, 5. Eraser</v>
      </c>
      <c r="B7892" s="4" t="str">
        <f>IFERROR(__xludf.DUMMYFUNCTION("""COMPUTED_VALUE"""),"4, 5")</f>
        <v>4, 5</v>
      </c>
      <c r="C7892" s="5" t="str">
        <f>IFERROR(__xludf.DUMMYFUNCTION("""COMPUTED_VALUE"""),"https://drive.google.com/file/d/1He18eggKUuPw0Zx0Ku2eg0CvYO3fdN_c/view?usp=drivesdk")</f>
        <v>https://drive.google.com/file/d/1He18eggKUuPw0Zx0Ku2eg0CvYO3fdN_c/view?usp=drivesdk</v>
      </c>
      <c r="D7892" s="12"/>
      <c r="E7892" s="11">
        <v>7941.0</v>
      </c>
      <c r="F7892" s="2"/>
    </row>
    <row r="7893" ht="1.5" customHeight="1">
      <c r="A7893" s="4" t="str">
        <f>IFERROR(__xludf.DUMMYFUNCTION("""COMPUTED_VALUE"""),"105. Chilton, 110. Ahua, 94. Itztli, 100. Coatl")</f>
        <v>105. Chilton, 110. Ahua, 94. Itztli, 100. Coatl</v>
      </c>
      <c r="B7893" s="4" t="str">
        <f>IFERROR(__xludf.DUMMYFUNCTION("""COMPUTED_VALUE"""),"105, 110, 94, 100")</f>
        <v>105, 110, 94, 100</v>
      </c>
      <c r="C7893" s="5" t="str">
        <f>IFERROR(__xludf.DUMMYFUNCTION("""COMPUTED_VALUE"""),"https://drive.google.com/file/d/1fjXhICL4pviOKtn_illMrSxnfWorNbCK/view?usp=drivesdk")</f>
        <v>https://drive.google.com/file/d/1fjXhICL4pviOKtn_illMrSxnfWorNbCK/view?usp=drivesdk</v>
      </c>
      <c r="D7893" s="12"/>
      <c r="E7893" s="11">
        <v>7942.0</v>
      </c>
      <c r="F7893" s="2"/>
    </row>
    <row r="7894" ht="1.5" customHeight="1">
      <c r="A7894" s="4" t="str">
        <f>IFERROR(__xludf.DUMMYFUNCTION("""COMPUTED_VALUE"""),"116. Itzel, 99. Nezhui")</f>
        <v>116. Itzel, 99. Nezhui</v>
      </c>
      <c r="B7894" s="4" t="str">
        <f>IFERROR(__xludf.DUMMYFUNCTION("""COMPUTED_VALUE"""),"116, 99")</f>
        <v>116, 99</v>
      </c>
      <c r="C7894" s="5" t="str">
        <f>IFERROR(__xludf.DUMMYFUNCTION("""COMPUTED_VALUE"""),"https://drive.google.com/file/d/1Uw-EX6B81HVBJreupldFOvqh-UpKiSw_/view?usp=drivesdk")</f>
        <v>https://drive.google.com/file/d/1Uw-EX6B81HVBJreupldFOvqh-UpKiSw_/view?usp=drivesdk</v>
      </c>
      <c r="D7894" s="12"/>
      <c r="E7894" s="11">
        <v>7943.0</v>
      </c>
      <c r="F7894" s="2"/>
    </row>
    <row r="7895" ht="1.5" customHeight="1">
      <c r="A7895" s="4" t="str">
        <f>IFERROR(__xludf.DUMMYFUNCTION("""COMPUTED_VALUE"""),"111. Mayatl")</f>
        <v>111. Mayatl</v>
      </c>
      <c r="B7895" s="4" t="str">
        <f>IFERROR(__xludf.DUMMYFUNCTION("""COMPUTED_VALUE"""),"111")</f>
        <v>111</v>
      </c>
      <c r="C7895" s="5" t="str">
        <f>IFERROR(__xludf.DUMMYFUNCTION("""COMPUTED_VALUE"""),"https://drive.google.com/file/d/1b_XE_-mwOOG1V9ImDaOQ66LX1jX7IxfX/view?usp=drivesdk")</f>
        <v>https://drive.google.com/file/d/1b_XE_-mwOOG1V9ImDaOQ66LX1jX7IxfX/view?usp=drivesdk</v>
      </c>
      <c r="D7895" s="12"/>
      <c r="E7895" s="11">
        <v>7944.0</v>
      </c>
      <c r="F7895" s="2"/>
    </row>
    <row r="7896" ht="1.5" customHeight="1">
      <c r="A7896" s="4" t="str">
        <f>IFERROR(__xludf.DUMMYFUNCTION("""COMPUTED_VALUE"""),"111. Mayatl")</f>
        <v>111. Mayatl</v>
      </c>
      <c r="B7896" s="4" t="str">
        <f>IFERROR(__xludf.DUMMYFUNCTION("""COMPUTED_VALUE"""),"111")</f>
        <v>111</v>
      </c>
      <c r="C7896" s="5" t="str">
        <f>IFERROR(__xludf.DUMMYFUNCTION("""COMPUTED_VALUE"""),"https://drive.google.com/file/d/1O5cnNMx9D5v7EVUwwl3x-UfHWdmi6iw2/view?usp=drivesdk")</f>
        <v>https://drive.google.com/file/d/1O5cnNMx9D5v7EVUwwl3x-UfHWdmi6iw2/view?usp=drivesdk</v>
      </c>
      <c r="D7896" s="12"/>
      <c r="E7896" s="11">
        <v>7945.0</v>
      </c>
      <c r="F7896" s="2"/>
    </row>
    <row r="7897" ht="1.5" customHeight="1">
      <c r="A7897" s="4" t="str">
        <f>IFERROR(__xludf.DUMMYFUNCTION("""COMPUTED_VALUE"""),"116. Itzel, 105. Chilton")</f>
        <v>116. Itzel, 105. Chilton</v>
      </c>
      <c r="B7897" s="4" t="str">
        <f>IFERROR(__xludf.DUMMYFUNCTION("""COMPUTED_VALUE"""),"116, 105")</f>
        <v>116, 105</v>
      </c>
      <c r="C7897" s="5" t="str">
        <f>IFERROR(__xludf.DUMMYFUNCTION("""COMPUTED_VALUE"""),"https://drive.google.com/file/d/12sjdRW6o7GkVXfgfNOP_N9O90PM9RCE_/view?usp=drivesdk")</f>
        <v>https://drive.google.com/file/d/12sjdRW6o7GkVXfgfNOP_N9O90PM9RCE_/view?usp=drivesdk</v>
      </c>
      <c r="D7897" s="12"/>
      <c r="E7897" s="11">
        <v>7946.0</v>
      </c>
      <c r="F7897" s="2"/>
    </row>
    <row r="7898" ht="1.5" customHeight="1">
      <c r="A7898" s="4" t="str">
        <f>IFERROR(__xludf.DUMMYFUNCTION("""COMPUTED_VALUE"""),"116. Itzel")</f>
        <v>116. Itzel</v>
      </c>
      <c r="B7898" s="4" t="str">
        <f>IFERROR(__xludf.DUMMYFUNCTION("""COMPUTED_VALUE"""),"116")</f>
        <v>116</v>
      </c>
      <c r="C7898" s="5" t="str">
        <f>IFERROR(__xludf.DUMMYFUNCTION("""COMPUTED_VALUE"""),"https://drive.google.com/file/d/1VlGMV9Tdq4TPgrI7PEzuw6dAwkjdACUr/view?usp=drivesdk")</f>
        <v>https://drive.google.com/file/d/1VlGMV9Tdq4TPgrI7PEzuw6dAwkjdACUr/view?usp=drivesdk</v>
      </c>
      <c r="D7898" s="12"/>
      <c r="E7898" s="11">
        <v>7947.0</v>
      </c>
      <c r="F7898" s="2"/>
    </row>
    <row r="7899" ht="1.5" customHeight="1">
      <c r="A7899" s="4" t="str">
        <f>IFERROR(__xludf.DUMMYFUNCTION("""COMPUTED_VALUE"""),"100. Coatl")</f>
        <v>100. Coatl</v>
      </c>
      <c r="B7899" s="4" t="str">
        <f>IFERROR(__xludf.DUMMYFUNCTION("""COMPUTED_VALUE"""),"100")</f>
        <v>100</v>
      </c>
      <c r="C7899" s="5" t="str">
        <f>IFERROR(__xludf.DUMMYFUNCTION("""COMPUTED_VALUE"""),"https://drive.google.com/file/d/17ulPa7f2viI2ZJ1ko6WwBMy42VDKbdFX/view?usp=drivesdk")</f>
        <v>https://drive.google.com/file/d/17ulPa7f2viI2ZJ1ko6WwBMy42VDKbdFX/view?usp=drivesdk</v>
      </c>
      <c r="D7899" s="12"/>
      <c r="E7899" s="11">
        <v>7948.0</v>
      </c>
      <c r="F7899" s="2"/>
    </row>
    <row r="7900" ht="1.5" customHeight="1">
      <c r="A7900" s="4" t="str">
        <f>IFERROR(__xludf.DUMMYFUNCTION("""COMPUTED_VALUE"""),"99. Nezhui")</f>
        <v>99. Nezhui</v>
      </c>
      <c r="B7900" s="4" t="str">
        <f>IFERROR(__xludf.DUMMYFUNCTION("""COMPUTED_VALUE"""),"99")</f>
        <v>99</v>
      </c>
      <c r="C7900" s="5" t="str">
        <f>IFERROR(__xludf.DUMMYFUNCTION("""COMPUTED_VALUE"""),"https://drive.google.com/file/d/1vUGeXxRsHBzliTqeL6gmgYAxUJ2ESW1S/view?usp=drivesdk")</f>
        <v>https://drive.google.com/file/d/1vUGeXxRsHBzliTqeL6gmgYAxUJ2ESW1S/view?usp=drivesdk</v>
      </c>
      <c r="D7900" s="12"/>
      <c r="E7900" s="11">
        <v>7949.0</v>
      </c>
      <c r="F7900" s="2"/>
    </row>
    <row r="7901" ht="1.5" customHeight="1">
      <c r="A7901" s="4" t="str">
        <f>IFERROR(__xludf.DUMMYFUNCTION("""COMPUTED_VALUE"""),"116. Itzel, 105. Chilton")</f>
        <v>116. Itzel, 105. Chilton</v>
      </c>
      <c r="B7901" s="4" t="str">
        <f>IFERROR(__xludf.DUMMYFUNCTION("""COMPUTED_VALUE"""),"116, 105")</f>
        <v>116, 105</v>
      </c>
      <c r="C7901" s="5" t="str">
        <f>IFERROR(__xludf.DUMMYFUNCTION("""COMPUTED_VALUE"""),"https://drive.google.com/file/d/1IkhilyaHe60mDI9D50NR-QR3Uf9nDPum/view?usp=drivesdk")</f>
        <v>https://drive.google.com/file/d/1IkhilyaHe60mDI9D50NR-QR3Uf9nDPum/view?usp=drivesdk</v>
      </c>
      <c r="D7901" s="12"/>
      <c r="E7901" s="11">
        <v>7950.0</v>
      </c>
      <c r="F7901" s="2"/>
    </row>
    <row r="7902" ht="1.5" customHeight="1">
      <c r="A7902" s="4" t="str">
        <f>IFERROR(__xludf.DUMMYFUNCTION("""COMPUTED_VALUE"""),"110. Ahua")</f>
        <v>110. Ahua</v>
      </c>
      <c r="B7902" s="4" t="str">
        <f>IFERROR(__xludf.DUMMYFUNCTION("""COMPUTED_VALUE"""),"110")</f>
        <v>110</v>
      </c>
      <c r="C7902" s="5" t="str">
        <f>IFERROR(__xludf.DUMMYFUNCTION("""COMPUTED_VALUE"""),"https://drive.google.com/file/d/1fz-Y8B8OIT7-S9Tc_uzkQpJTP2mWsiqw/view?usp=drivesdk")</f>
        <v>https://drive.google.com/file/d/1fz-Y8B8OIT7-S9Tc_uzkQpJTP2mWsiqw/view?usp=drivesdk</v>
      </c>
      <c r="D7902" s="12"/>
      <c r="E7902" s="11">
        <v>7951.0</v>
      </c>
      <c r="F7902" s="2"/>
    </row>
    <row r="7903" ht="1.5" customHeight="1">
      <c r="A7903" s="4" t="str">
        <f>IFERROR(__xludf.DUMMYFUNCTION("""COMPUTED_VALUE"""),"1. Microwave")</f>
        <v>1. Microwave</v>
      </c>
      <c r="B7903" s="4" t="str">
        <f>IFERROR(__xludf.DUMMYFUNCTION("""COMPUTED_VALUE"""),"1")</f>
        <v>1</v>
      </c>
      <c r="C7903" s="5" t="str">
        <f>IFERROR(__xludf.DUMMYFUNCTION("""COMPUTED_VALUE"""),"https://drive.google.com/file/d/1GvjKTdqVOYX81FjMSSZq_-Nk1x9a4n7w/view?usp=drivesdk")</f>
        <v>https://drive.google.com/file/d/1GvjKTdqVOYX81FjMSSZq_-Nk1x9a4n7w/view?usp=drivesdk</v>
      </c>
      <c r="D7903" s="12"/>
      <c r="E7903" s="11">
        <v>7952.0</v>
      </c>
      <c r="F7903" s="2"/>
    </row>
    <row r="7904" ht="1.5" customHeight="1">
      <c r="A7904" s="4" t="str">
        <f>IFERROR(__xludf.DUMMYFUNCTION("""COMPUTED_VALUE"""),"1. Microwave")</f>
        <v>1. Microwave</v>
      </c>
      <c r="B7904" s="4" t="str">
        <f>IFERROR(__xludf.DUMMYFUNCTION("""COMPUTED_VALUE"""),"1")</f>
        <v>1</v>
      </c>
      <c r="C7904" s="5" t="str">
        <f>IFERROR(__xludf.DUMMYFUNCTION("""COMPUTED_VALUE"""),"https://drive.google.com/file/d/1SkyHXDa-31WTN4-2dDHuY1o1kECA3Y4d/view?usp=drivesdk")</f>
        <v>https://drive.google.com/file/d/1SkyHXDa-31WTN4-2dDHuY1o1kECA3Y4d/view?usp=drivesdk</v>
      </c>
      <c r="D7904" s="12"/>
      <c r="E7904" s="11">
        <v>7953.0</v>
      </c>
      <c r="F7904" s="2"/>
    </row>
    <row r="7905" ht="1.5" customHeight="1">
      <c r="A7905" s="4" t="str">
        <f>IFERROR(__xludf.DUMMYFUNCTION("""COMPUTED_VALUE"""),"1. Microwave")</f>
        <v>1. Microwave</v>
      </c>
      <c r="B7905" s="4" t="str">
        <f>IFERROR(__xludf.DUMMYFUNCTION("""COMPUTED_VALUE"""),"1")</f>
        <v>1</v>
      </c>
      <c r="C7905" s="5" t="str">
        <f>IFERROR(__xludf.DUMMYFUNCTION("""COMPUTED_VALUE"""),"https://drive.google.com/file/d/1Y5tYVFY2FfFCcsneOFpPdcXluxV9ajfx/view?usp=drivesdk")</f>
        <v>https://drive.google.com/file/d/1Y5tYVFY2FfFCcsneOFpPdcXluxV9ajfx/view?usp=drivesdk</v>
      </c>
      <c r="D7905" s="12"/>
      <c r="E7905" s="11">
        <v>7954.0</v>
      </c>
      <c r="F7905" s="2"/>
    </row>
    <row r="7906" ht="1.5" customHeight="1">
      <c r="A7906" s="4" t="str">
        <f>IFERROR(__xludf.DUMMYFUNCTION("""COMPUTED_VALUE"""),"1. Microwave")</f>
        <v>1. Microwave</v>
      </c>
      <c r="B7906" s="4" t="str">
        <f>IFERROR(__xludf.DUMMYFUNCTION("""COMPUTED_VALUE"""),"1")</f>
        <v>1</v>
      </c>
      <c r="C7906" s="5" t="str">
        <f>IFERROR(__xludf.DUMMYFUNCTION("""COMPUTED_VALUE"""),"https://drive.google.com/file/d/1S98B9ZtwbH_DK2k5McKR5qGkHGyCFgFl/view?usp=drivesdk")</f>
        <v>https://drive.google.com/file/d/1S98B9ZtwbH_DK2k5McKR5qGkHGyCFgFl/view?usp=drivesdk</v>
      </c>
      <c r="D7906" s="12"/>
      <c r="E7906" s="11">
        <v>7955.0</v>
      </c>
      <c r="F7906" s="2"/>
    </row>
    <row r="7907" ht="1.5" customHeight="1">
      <c r="A7907" s="4" t="str">
        <f>IFERROR(__xludf.DUMMYFUNCTION("""COMPUTED_VALUE"""),"1. Microwave")</f>
        <v>1. Microwave</v>
      </c>
      <c r="B7907" s="4" t="str">
        <f>IFERROR(__xludf.DUMMYFUNCTION("""COMPUTED_VALUE"""),"1")</f>
        <v>1</v>
      </c>
      <c r="C7907" s="5" t="str">
        <f>IFERROR(__xludf.DUMMYFUNCTION("""COMPUTED_VALUE"""),"https://drive.google.com/file/d/1aPrJchwUd6K0GDXLiRAtaAr-rE8Hw5zr/view?usp=drivesdk")</f>
        <v>https://drive.google.com/file/d/1aPrJchwUd6K0GDXLiRAtaAr-rE8Hw5zr/view?usp=drivesdk</v>
      </c>
      <c r="D7907" s="12"/>
      <c r="E7907" s="11">
        <v>7956.0</v>
      </c>
      <c r="F7907" s="2"/>
    </row>
    <row r="7908" ht="1.5" customHeight="1">
      <c r="A7908" s="4" t="str">
        <f>IFERROR(__xludf.DUMMYFUNCTION("""COMPUTED_VALUE"""),"99. Nezhui")</f>
        <v>99. Nezhui</v>
      </c>
      <c r="B7908" s="4" t="str">
        <f>IFERROR(__xludf.DUMMYFUNCTION("""COMPUTED_VALUE"""),"99")</f>
        <v>99</v>
      </c>
      <c r="C7908" s="5" t="str">
        <f>IFERROR(__xludf.DUMMYFUNCTION("""COMPUTED_VALUE"""),"https://drive.google.com/file/d/1GaqsigP1zo8tFcg__4h-SsCPF2qvGJ4s/view?usp=drivesdk")</f>
        <v>https://drive.google.com/file/d/1GaqsigP1zo8tFcg__4h-SsCPF2qvGJ4s/view?usp=drivesdk</v>
      </c>
      <c r="D7908" s="12"/>
      <c r="E7908" s="11">
        <v>7957.0</v>
      </c>
      <c r="F7908" s="2"/>
    </row>
    <row r="7909" ht="1.5" customHeight="1">
      <c r="A7909" s="4" t="str">
        <f>IFERROR(__xludf.DUMMYFUNCTION("""COMPUTED_VALUE"""),"99. Nezhui")</f>
        <v>99. Nezhui</v>
      </c>
      <c r="B7909" s="4" t="str">
        <f>IFERROR(__xludf.DUMMYFUNCTION("""COMPUTED_VALUE"""),"99")</f>
        <v>99</v>
      </c>
      <c r="C7909" s="5" t="str">
        <f>IFERROR(__xludf.DUMMYFUNCTION("""COMPUTED_VALUE"""),"https://drive.google.com/file/d/1eZmHiyoHwLDeMu2EIAWerGlAZe0-1DoS/view?usp=drivesdk")</f>
        <v>https://drive.google.com/file/d/1eZmHiyoHwLDeMu2EIAWerGlAZe0-1DoS/view?usp=drivesdk</v>
      </c>
      <c r="D7909" s="12"/>
      <c r="E7909" s="11">
        <v>7958.0</v>
      </c>
      <c r="F7909" s="2"/>
    </row>
    <row r="7910" ht="1.5" customHeight="1">
      <c r="A7910" s="4" t="str">
        <f>IFERROR(__xludf.DUMMYFUNCTION("""COMPUTED_VALUE"""),"99. Nezhui")</f>
        <v>99. Nezhui</v>
      </c>
      <c r="B7910" s="4" t="str">
        <f>IFERROR(__xludf.DUMMYFUNCTION("""COMPUTED_VALUE"""),"99")</f>
        <v>99</v>
      </c>
      <c r="C7910" s="5" t="str">
        <f>IFERROR(__xludf.DUMMYFUNCTION("""COMPUTED_VALUE"""),"https://drive.google.com/file/d/1__NJpnzMbrbTkaF8GRfxavDjIynmm6Sx/view?usp=drivesdk")</f>
        <v>https://drive.google.com/file/d/1__NJpnzMbrbTkaF8GRfxavDjIynmm6Sx/view?usp=drivesdk</v>
      </c>
      <c r="D7910" s="12"/>
      <c r="E7910" s="11">
        <v>7959.0</v>
      </c>
      <c r="F7910" s="2"/>
    </row>
    <row r="7911" ht="1.5" customHeight="1">
      <c r="A7911" s="4" t="str">
        <f>IFERROR(__xludf.DUMMYFUNCTION("""COMPUTED_VALUE"""),"1. Microwave")</f>
        <v>1. Microwave</v>
      </c>
      <c r="B7911" s="4" t="str">
        <f>IFERROR(__xludf.DUMMYFUNCTION("""COMPUTED_VALUE"""),"1")</f>
        <v>1</v>
      </c>
      <c r="C7911" s="5" t="str">
        <f>IFERROR(__xludf.DUMMYFUNCTION("""COMPUTED_VALUE"""),"https://drive.google.com/file/d/16BVIGU0qrRy1ChcSQnFt-cGuoh2oBXDs/view?usp=drivesdk")</f>
        <v>https://drive.google.com/file/d/16BVIGU0qrRy1ChcSQnFt-cGuoh2oBXDs/view?usp=drivesdk</v>
      </c>
      <c r="D7911" s="12"/>
      <c r="E7911" s="11">
        <v>7960.0</v>
      </c>
      <c r="F7911" s="2"/>
    </row>
    <row r="7912" ht="1.5" customHeight="1">
      <c r="A7912" s="4" t="str">
        <f>IFERROR(__xludf.DUMMYFUNCTION("""COMPUTED_VALUE"""),"5. Eraser")</f>
        <v>5. Eraser</v>
      </c>
      <c r="B7912" s="4" t="str">
        <f>IFERROR(__xludf.DUMMYFUNCTION("""COMPUTED_VALUE"""),"5")</f>
        <v>5</v>
      </c>
      <c r="C7912" s="5" t="str">
        <f>IFERROR(__xludf.DUMMYFUNCTION("""COMPUTED_VALUE"""),"https://drive.google.com/file/d/1hCE1nJLBwE5NPn6KD9Vj6AStbZw6p8Xe/view?usp=drivesdk")</f>
        <v>https://drive.google.com/file/d/1hCE1nJLBwE5NPn6KD9Vj6AStbZw6p8Xe/view?usp=drivesdk</v>
      </c>
      <c r="D7912" s="12"/>
      <c r="E7912" s="11">
        <v>7961.0</v>
      </c>
      <c r="F7912" s="2"/>
    </row>
    <row r="7913" ht="1.5" customHeight="1">
      <c r="A7913" s="4" t="str">
        <f>IFERROR(__xludf.DUMMYFUNCTION("""COMPUTED_VALUE"""),"1. Microwave")</f>
        <v>1. Microwave</v>
      </c>
      <c r="B7913" s="4" t="str">
        <f>IFERROR(__xludf.DUMMYFUNCTION("""COMPUTED_VALUE"""),"1")</f>
        <v>1</v>
      </c>
      <c r="C7913" s="5" t="str">
        <f>IFERROR(__xludf.DUMMYFUNCTION("""COMPUTED_VALUE"""),"https://drive.google.com/file/d/1hQTQnCtSArbXdB9BA8SNBgdVDuKXTNqT/view?usp=drivesdk")</f>
        <v>https://drive.google.com/file/d/1hQTQnCtSArbXdB9BA8SNBgdVDuKXTNqT/view?usp=drivesdk</v>
      </c>
      <c r="D7913" s="12"/>
      <c r="E7913" s="11">
        <v>7962.0</v>
      </c>
      <c r="F7913" s="2"/>
    </row>
    <row r="7914" ht="1.5" customHeight="1">
      <c r="A7914" s="4" t="str">
        <f>IFERROR(__xludf.DUMMYFUNCTION("""COMPUTED_VALUE"""),"96. Barbie")</f>
        <v>96. Barbie</v>
      </c>
      <c r="B7914" s="4" t="str">
        <f>IFERROR(__xludf.DUMMYFUNCTION("""COMPUTED_VALUE"""),"96")</f>
        <v>96</v>
      </c>
      <c r="C7914" s="5" t="str">
        <f>IFERROR(__xludf.DUMMYFUNCTION("""COMPUTED_VALUE"""),"https://drive.google.com/file/d/1h4qS6AFRsGDkto-C_Gr6xfAuP4J-zBB8/view?usp=drivesdk")</f>
        <v>https://drive.google.com/file/d/1h4qS6AFRsGDkto-C_Gr6xfAuP4J-zBB8/view?usp=drivesdk</v>
      </c>
      <c r="D7914" s="12"/>
      <c r="E7914" s="11">
        <v>7963.0</v>
      </c>
      <c r="F7914" s="2"/>
    </row>
    <row r="7915" ht="1.5" customHeight="1">
      <c r="A7915" s="4" t="str">
        <f>IFERROR(__xludf.DUMMYFUNCTION("""COMPUTED_VALUE"""),"4. Eggs")</f>
        <v>4. Eggs</v>
      </c>
      <c r="B7915" s="4" t="str">
        <f>IFERROR(__xludf.DUMMYFUNCTION("""COMPUTED_VALUE"""),"4")</f>
        <v>4</v>
      </c>
      <c r="C7915" s="5" t="str">
        <f>IFERROR(__xludf.DUMMYFUNCTION("""COMPUTED_VALUE"""),"https://drive.google.com/file/d/1tFc_kVudCmqQNSfYmM2WkLvAvRnnAYm-/view?usp=drivesdk")</f>
        <v>https://drive.google.com/file/d/1tFc_kVudCmqQNSfYmM2WkLvAvRnnAYm-/view?usp=drivesdk</v>
      </c>
      <c r="D7915" s="12"/>
      <c r="E7915" s="11">
        <v>7964.0</v>
      </c>
      <c r="F7915" s="2"/>
    </row>
    <row r="7916" ht="1.5" customHeight="1">
      <c r="A7916" s="4" t="str">
        <f>IFERROR(__xludf.DUMMYFUNCTION("""COMPUTED_VALUE"""),"12. Faye")</f>
        <v>12. Faye</v>
      </c>
      <c r="B7916" s="4" t="str">
        <f>IFERROR(__xludf.DUMMYFUNCTION("""COMPUTED_VALUE"""),"12")</f>
        <v>12</v>
      </c>
      <c r="C7916" s="5" t="str">
        <f>IFERROR(__xludf.DUMMYFUNCTION("""COMPUTED_VALUE"""),"https://drive.google.com/file/d/1ywfOLLFVWPdrbNG1nygmH3aujDhDvptf/view?usp=drivesdk")</f>
        <v>https://drive.google.com/file/d/1ywfOLLFVWPdrbNG1nygmH3aujDhDvptf/view?usp=drivesdk</v>
      </c>
      <c r="D7916" s="12"/>
      <c r="E7916" s="11">
        <v>7965.0</v>
      </c>
      <c r="F7916" s="2"/>
    </row>
    <row r="7917" ht="1.5" customHeight="1">
      <c r="A7917" s="4" t="str">
        <f>IFERROR(__xludf.DUMMYFUNCTION("""COMPUTED_VALUE"""),"141. Kamahalan")</f>
        <v>141. Kamahalan</v>
      </c>
      <c r="B7917" s="4" t="str">
        <f>IFERROR(__xludf.DUMMYFUNCTION("""COMPUTED_VALUE"""),"141")</f>
        <v>141</v>
      </c>
      <c r="C7917" s="5" t="str">
        <f>IFERROR(__xludf.DUMMYFUNCTION("""COMPUTED_VALUE"""),"https://drive.google.com/file/d/10ZNn5A0MiMj__0Lwn62Dme_CBDqWi5rh/view?usp=drivesdk")</f>
        <v>https://drive.google.com/file/d/10ZNn5A0MiMj__0Lwn62Dme_CBDqWi5rh/view?usp=drivesdk</v>
      </c>
      <c r="D7917" s="12"/>
      <c r="E7917" s="11">
        <v>7966.0</v>
      </c>
      <c r="F7917" s="2"/>
    </row>
    <row r="7918" ht="1.5" customHeight="1">
      <c r="A7918" s="4" t="str">
        <f>IFERROR(__xludf.DUMMYFUNCTION("""COMPUTED_VALUE"""),"40. Dumpster, 62. Gorygreg, 39. Radar, 146. Monsieur Stanky")</f>
        <v>40. Dumpster, 62. Gorygreg, 39. Radar, 146. Monsieur Stanky</v>
      </c>
      <c r="B7918" s="4" t="str">
        <f>IFERROR(__xludf.DUMMYFUNCTION("""COMPUTED_VALUE"""),"40, 62, 39, 146")</f>
        <v>40, 62, 39, 146</v>
      </c>
      <c r="C7918" s="5" t="str">
        <f>IFERROR(__xludf.DUMMYFUNCTION("""COMPUTED_VALUE"""),"https://drive.google.com/file/d/1oziI32XPX_NfBNmDJ-jEI_6_MtoYQuvL/view?usp=drivesdk")</f>
        <v>https://drive.google.com/file/d/1oziI32XPX_NfBNmDJ-jEI_6_MtoYQuvL/view?usp=drivesdk</v>
      </c>
      <c r="D7918" s="12"/>
      <c r="E7918" s="11">
        <v>7967.0</v>
      </c>
      <c r="F7918" s="2"/>
    </row>
    <row r="7919" ht="1.5" customHeight="1">
      <c r="A7919" s="4" t="str">
        <f>IFERROR(__xludf.DUMMYFUNCTION("""COMPUTED_VALUE"""),"44. Shitbag Cuntface")</f>
        <v>44. Shitbag Cuntface</v>
      </c>
      <c r="B7919" s="4" t="str">
        <f>IFERROR(__xludf.DUMMYFUNCTION("""COMPUTED_VALUE"""),"44")</f>
        <v>44</v>
      </c>
      <c r="C7919" s="5" t="str">
        <f>IFERROR(__xludf.DUMMYFUNCTION("""COMPUTED_VALUE"""),"https://drive.google.com/file/d/1cBl8ZGtpajEeorEASUNSkyFzOXyBbUtM/view?usp=drivesdk")</f>
        <v>https://drive.google.com/file/d/1cBl8ZGtpajEeorEASUNSkyFzOXyBbUtM/view?usp=drivesdk</v>
      </c>
      <c r="D7919" s="12"/>
      <c r="E7919" s="11">
        <v>7968.0</v>
      </c>
      <c r="F7919" s="2"/>
    </row>
    <row r="7920" ht="1.5" customHeight="1">
      <c r="A7920" s="4" t="str">
        <f>IFERROR(__xludf.DUMMYFUNCTION("""COMPUTED_VALUE"""),"141. Kamahalan")</f>
        <v>141. Kamahalan</v>
      </c>
      <c r="B7920" s="4" t="str">
        <f>IFERROR(__xludf.DUMMYFUNCTION("""COMPUTED_VALUE"""),"141")</f>
        <v>141</v>
      </c>
      <c r="C7920" s="5" t="str">
        <f>IFERROR(__xludf.DUMMYFUNCTION("""COMPUTED_VALUE"""),"https://drive.google.com/file/d/1DzrS9zROI2zzk4ABLFpU1xvZc-jG6J9X/view?usp=drivesdk")</f>
        <v>https://drive.google.com/file/d/1DzrS9zROI2zzk4ABLFpU1xvZc-jG6J9X/view?usp=drivesdk</v>
      </c>
      <c r="D7920" s="12"/>
      <c r="E7920" s="11">
        <v>7969.0</v>
      </c>
      <c r="F7920" s="2"/>
    </row>
    <row r="7921" ht="1.5" customHeight="1">
      <c r="A7921" s="4" t="str">
        <f>IFERROR(__xludf.DUMMYFUNCTION("""COMPUTED_VALUE"""),"38. Winston, 95. Ariel, 42. Rubber, 39. Radar, 146. Monsieur Stanky")</f>
        <v>38. Winston, 95. Ariel, 42. Rubber, 39. Radar, 146. Monsieur Stanky</v>
      </c>
      <c r="B7921" s="4" t="str">
        <f>IFERROR(__xludf.DUMMYFUNCTION("""COMPUTED_VALUE"""),"38, 95, 42, 39, 146")</f>
        <v>38, 95, 42, 39, 146</v>
      </c>
      <c r="C7921" s="5" t="str">
        <f>IFERROR(__xludf.DUMMYFUNCTION("""COMPUTED_VALUE"""),"https://drive.google.com/file/d/1zp85NV2ekpyyt5YmVJoAkjU84ccLRbez/view?usp=drivesdk")</f>
        <v>https://drive.google.com/file/d/1zp85NV2ekpyyt5YmVJoAkjU84ccLRbez/view?usp=drivesdk</v>
      </c>
      <c r="D7921" s="12"/>
      <c r="E7921" s="11">
        <v>7970.0</v>
      </c>
      <c r="F7921" s="2"/>
    </row>
    <row r="7922" ht="1.5" customHeight="1">
      <c r="A7922" s="4" t="str">
        <f>IFERROR(__xludf.DUMMYFUNCTION("""COMPUTED_VALUE"""),"1. Microwave")</f>
        <v>1. Microwave</v>
      </c>
      <c r="B7922" s="4" t="str">
        <f>IFERROR(__xludf.DUMMYFUNCTION("""COMPUTED_VALUE"""),"1")</f>
        <v>1</v>
      </c>
      <c r="C7922" s="5" t="str">
        <f>IFERROR(__xludf.DUMMYFUNCTION("""COMPUTED_VALUE"""),"https://drive.google.com/file/d/1Vwpx9z4KoGtj9cc0xJZmABRc3xubRu1v/view?usp=drivesdk")</f>
        <v>https://drive.google.com/file/d/1Vwpx9z4KoGtj9cc0xJZmABRc3xubRu1v/view?usp=drivesdk</v>
      </c>
      <c r="D7922" s="12"/>
      <c r="E7922" s="11">
        <v>7971.0</v>
      </c>
      <c r="F7922" s="2"/>
    </row>
    <row r="7923" ht="1.5" customHeight="1">
      <c r="A7923" s="4" t="str">
        <f>IFERROR(__xludf.DUMMYFUNCTION("""COMPUTED_VALUE"""),"105. Chilton")</f>
        <v>105. Chilton</v>
      </c>
      <c r="B7923" s="4" t="str">
        <f>IFERROR(__xludf.DUMMYFUNCTION("""COMPUTED_VALUE"""),"105")</f>
        <v>105</v>
      </c>
      <c r="C7923" s="5" t="str">
        <f>IFERROR(__xludf.DUMMYFUNCTION("""COMPUTED_VALUE"""),"https://drive.google.com/file/d/1y8DCgHF4MN4IWAN4pijmHM7SRym7l-CX/view?usp=drivesdk")</f>
        <v>https://drive.google.com/file/d/1y8DCgHF4MN4IWAN4pijmHM7SRym7l-CX/view?usp=drivesdk</v>
      </c>
      <c r="D7923" s="12"/>
      <c r="E7923" s="11">
        <v>7972.0</v>
      </c>
      <c r="F7923" s="2"/>
    </row>
    <row r="7924" ht="1.5" customHeight="1">
      <c r="A7924" s="4" t="str">
        <f>IFERROR(__xludf.DUMMYFUNCTION("""COMPUTED_VALUE"""),"20. Citlali")</f>
        <v>20. Citlali</v>
      </c>
      <c r="B7924" s="4" t="str">
        <f>IFERROR(__xludf.DUMMYFUNCTION("""COMPUTED_VALUE"""),"20")</f>
        <v>20</v>
      </c>
      <c r="C7924" s="5" t="str">
        <f>IFERROR(__xludf.DUMMYFUNCTION("""COMPUTED_VALUE"""),"https://drive.google.com/file/d/10fjkhF7nvhj7-5sRmxA8BPve12xgYXcJ/view?usp=drivesdk")</f>
        <v>https://drive.google.com/file/d/10fjkhF7nvhj7-5sRmxA8BPve12xgYXcJ/view?usp=drivesdk</v>
      </c>
      <c r="D7924" s="12"/>
      <c r="E7924" s="11">
        <v>7973.0</v>
      </c>
      <c r="F7924" s="2"/>
    </row>
    <row r="7925" ht="1.5" customHeight="1">
      <c r="A7925" s="4" t="str">
        <f>IFERROR(__xludf.DUMMYFUNCTION("""COMPUTED_VALUE"""),"114. Elision")</f>
        <v>114. Elision</v>
      </c>
      <c r="B7925" s="4" t="str">
        <f>IFERROR(__xludf.DUMMYFUNCTION("""COMPUTED_VALUE"""),"114")</f>
        <v>114</v>
      </c>
      <c r="C7925" s="5" t="str">
        <f>IFERROR(__xludf.DUMMYFUNCTION("""COMPUTED_VALUE"""),"https://drive.google.com/file/d/11mpLY4FVUkCJtOO9lu3V4gVPWYi1uqn_/view?usp=drivesdk")</f>
        <v>https://drive.google.com/file/d/11mpLY4FVUkCJtOO9lu3V4gVPWYi1uqn_/view?usp=drivesdk</v>
      </c>
      <c r="D7925" s="12"/>
      <c r="E7925" s="11">
        <v>7974.0</v>
      </c>
      <c r="F7925" s="2"/>
    </row>
    <row r="7926" ht="1.5" customHeight="1">
      <c r="A7926" s="4" t="str">
        <f>IFERROR(__xludf.DUMMYFUNCTION("""COMPUTED_VALUE"""),"146. Monsieur Stanky")</f>
        <v>146. Monsieur Stanky</v>
      </c>
      <c r="B7926" s="4" t="str">
        <f>IFERROR(__xludf.DUMMYFUNCTION("""COMPUTED_VALUE"""),"146")</f>
        <v>146</v>
      </c>
      <c r="C7926" s="5" t="str">
        <f>IFERROR(__xludf.DUMMYFUNCTION("""COMPUTED_VALUE"""),"https://drive.google.com/file/d/1TnMG5Pt16w0_vHhdCdUPrdPBIS7yM0Bk/view?usp=drivesdk")</f>
        <v>https://drive.google.com/file/d/1TnMG5Pt16w0_vHhdCdUPrdPBIS7yM0Bk/view?usp=drivesdk</v>
      </c>
      <c r="D7926" s="12"/>
      <c r="E7926" s="11">
        <v>7975.0</v>
      </c>
      <c r="F7926" s="2"/>
    </row>
    <row r="7927" ht="1.5" customHeight="1">
      <c r="A7927" s="4" t="str">
        <f>IFERROR(__xludf.DUMMYFUNCTION("""COMPUTED_VALUE"""),"88. Vincente")</f>
        <v>88. Vincente</v>
      </c>
      <c r="B7927" s="4" t="str">
        <f>IFERROR(__xludf.DUMMYFUNCTION("""COMPUTED_VALUE"""),"88")</f>
        <v>88</v>
      </c>
      <c r="C7927" s="5" t="str">
        <f>IFERROR(__xludf.DUMMYFUNCTION("""COMPUTED_VALUE"""),"https://drive.google.com/file/d/1jEOEOk3Ka1lp9dWc07n7FaxjLtbmZWMn/view?usp=drivesdk")</f>
        <v>https://drive.google.com/file/d/1jEOEOk3Ka1lp9dWc07n7FaxjLtbmZWMn/view?usp=drivesdk</v>
      </c>
      <c r="D7927" s="12"/>
      <c r="E7927" s="11">
        <v>7976.0</v>
      </c>
      <c r="F7927" s="2"/>
    </row>
    <row r="7928" ht="1.5" customHeight="1">
      <c r="A7928" s="4" t="str">
        <f>IFERROR(__xludf.DUMMYFUNCTION("""COMPUTED_VALUE"""),"88. Vincente")</f>
        <v>88. Vincente</v>
      </c>
      <c r="B7928" s="4" t="str">
        <f>IFERROR(__xludf.DUMMYFUNCTION("""COMPUTED_VALUE"""),"88")</f>
        <v>88</v>
      </c>
      <c r="C7928" s="5" t="str">
        <f>IFERROR(__xludf.DUMMYFUNCTION("""COMPUTED_VALUE"""),"https://drive.google.com/file/d/1M4pr5BzSZzrE4i9_5D_jjevbg6jWKiUR/view?usp=drivesdk")</f>
        <v>https://drive.google.com/file/d/1M4pr5BzSZzrE4i9_5D_jjevbg6jWKiUR/view?usp=drivesdk</v>
      </c>
      <c r="D7928" s="12"/>
      <c r="E7928" s="11">
        <v>7977.0</v>
      </c>
      <c r="F7928" s="2"/>
    </row>
    <row r="7929" ht="1.5" customHeight="1">
      <c r="A7929" s="4" t="str">
        <f>IFERROR(__xludf.DUMMYFUNCTION("""COMPUTED_VALUE"""),"88. Vincente")</f>
        <v>88. Vincente</v>
      </c>
      <c r="B7929" s="4" t="str">
        <f>IFERROR(__xludf.DUMMYFUNCTION("""COMPUTED_VALUE"""),"88")</f>
        <v>88</v>
      </c>
      <c r="C7929" s="5" t="str">
        <f>IFERROR(__xludf.DUMMYFUNCTION("""COMPUTED_VALUE"""),"https://drive.google.com/file/d/16taCIXneYjgdKPPjT4lDRo2-89zrEPDW/view?usp=drivesdk")</f>
        <v>https://drive.google.com/file/d/16taCIXneYjgdKPPjT4lDRo2-89zrEPDW/view?usp=drivesdk</v>
      </c>
      <c r="D7929" s="12"/>
      <c r="E7929" s="11">
        <v>7978.0</v>
      </c>
      <c r="F7929" s="2"/>
    </row>
    <row r="7930" ht="1.5" customHeight="1">
      <c r="A7930" s="4" t="str">
        <f>IFERROR(__xludf.DUMMYFUNCTION("""COMPUTED_VALUE"""),"88. Vincente")</f>
        <v>88. Vincente</v>
      </c>
      <c r="B7930" s="4" t="str">
        <f>IFERROR(__xludf.DUMMYFUNCTION("""COMPUTED_VALUE"""),"88")</f>
        <v>88</v>
      </c>
      <c r="C7930" s="5" t="str">
        <f>IFERROR(__xludf.DUMMYFUNCTION("""COMPUTED_VALUE"""),"https://drive.google.com/file/d/1lXGyi3UitsUlpYG9kLLJn1zVCpGx0-gl/view?usp=drivesdk")</f>
        <v>https://drive.google.com/file/d/1lXGyi3UitsUlpYG9kLLJn1zVCpGx0-gl/view?usp=drivesdk</v>
      </c>
      <c r="D7930" s="12"/>
      <c r="E7930" s="11">
        <v>7979.0</v>
      </c>
      <c r="F7930" s="2"/>
    </row>
    <row r="7931" ht="1.5" customHeight="1">
      <c r="A7931" s="4" t="str">
        <f>IFERROR(__xludf.DUMMYFUNCTION("""COMPUTED_VALUE"""),"88. Vincente")</f>
        <v>88. Vincente</v>
      </c>
      <c r="B7931" s="4" t="str">
        <f>IFERROR(__xludf.DUMMYFUNCTION("""COMPUTED_VALUE"""),"88")</f>
        <v>88</v>
      </c>
      <c r="C7931" s="5" t="str">
        <f>IFERROR(__xludf.DUMMYFUNCTION("""COMPUTED_VALUE"""),"https://drive.google.com/file/d/1JXdD_0YiMiTn2AbmtR4t894CTdi1LxG4/view?usp=drivesdk")</f>
        <v>https://drive.google.com/file/d/1JXdD_0YiMiTn2AbmtR4t894CTdi1LxG4/view?usp=drivesdk</v>
      </c>
      <c r="D7931" s="12"/>
      <c r="E7931" s="11">
        <v>7980.0</v>
      </c>
      <c r="F7931" s="2"/>
    </row>
    <row r="7932" ht="1.5" customHeight="1">
      <c r="A7932" s="4" t="str">
        <f>IFERROR(__xludf.DUMMYFUNCTION("""COMPUTED_VALUE"""),"88. Vincente")</f>
        <v>88. Vincente</v>
      </c>
      <c r="B7932" s="4" t="str">
        <f>IFERROR(__xludf.DUMMYFUNCTION("""COMPUTED_VALUE"""),"88")</f>
        <v>88</v>
      </c>
      <c r="C7932" s="5" t="str">
        <f>IFERROR(__xludf.DUMMYFUNCTION("""COMPUTED_VALUE"""),"https://drive.google.com/file/d/12kIm1W0nfy0-X6PxQuUaK0qaBxc0U_5R/view?usp=drivesdk")</f>
        <v>https://drive.google.com/file/d/12kIm1W0nfy0-X6PxQuUaK0qaBxc0U_5R/view?usp=drivesdk</v>
      </c>
      <c r="D7932" s="12"/>
      <c r="E7932" s="11">
        <v>7981.0</v>
      </c>
      <c r="F7932" s="2"/>
    </row>
    <row r="7933" ht="1.5" customHeight="1">
      <c r="A7933" s="4" t="str">
        <f>IFERROR(__xludf.DUMMYFUNCTION("""COMPUTED_VALUE"""),"0. NotACat")</f>
        <v>0. NotACat</v>
      </c>
      <c r="B7933" s="4" t="str">
        <f>IFERROR(__xludf.DUMMYFUNCTION("""COMPUTED_VALUE"""),"0")</f>
        <v>0</v>
      </c>
      <c r="C7933" s="5" t="str">
        <f>IFERROR(__xludf.DUMMYFUNCTION("""COMPUTED_VALUE"""),"https://drive.google.com/file/d/1vcB1TgTKX9HkZKHgYv8VwATVcEjqSKjJ/view?usp=drivesdk")</f>
        <v>https://drive.google.com/file/d/1vcB1TgTKX9HkZKHgYv8VwATVcEjqSKjJ/view?usp=drivesdk</v>
      </c>
      <c r="D7933" s="12"/>
      <c r="E7933" s="11">
        <v>7982.0</v>
      </c>
      <c r="F7933" s="2"/>
    </row>
    <row r="7934" ht="1.5" customHeight="1">
      <c r="A7934" s="4" t="str">
        <f>IFERROR(__xludf.DUMMYFUNCTION("""COMPUTED_VALUE"""),"0. NotACat")</f>
        <v>0. NotACat</v>
      </c>
      <c r="B7934" s="4" t="str">
        <f>IFERROR(__xludf.DUMMYFUNCTION("""COMPUTED_VALUE"""),"0")</f>
        <v>0</v>
      </c>
      <c r="C7934" s="5" t="str">
        <f>IFERROR(__xludf.DUMMYFUNCTION("""COMPUTED_VALUE"""),"https://drive.google.com/file/d/1yFJ1jE6DZP7NaDou20nVAYAZrClcftNq/view?usp=drivesdk")</f>
        <v>https://drive.google.com/file/d/1yFJ1jE6DZP7NaDou20nVAYAZrClcftNq/view?usp=drivesdk</v>
      </c>
      <c r="D7934" s="12"/>
      <c r="E7934" s="11">
        <v>7983.0</v>
      </c>
      <c r="F7934" s="2"/>
    </row>
    <row r="7935" ht="1.5" customHeight="1">
      <c r="A7935" s="4" t="str">
        <f>IFERROR(__xludf.DUMMYFUNCTION("""COMPUTED_VALUE"""),"141. Kamahalan")</f>
        <v>141. Kamahalan</v>
      </c>
      <c r="B7935" s="4" t="str">
        <f>IFERROR(__xludf.DUMMYFUNCTION("""COMPUTED_VALUE"""),"141")</f>
        <v>141</v>
      </c>
      <c r="C7935" s="5" t="str">
        <f>IFERROR(__xludf.DUMMYFUNCTION("""COMPUTED_VALUE"""),"https://drive.google.com/file/d/1-ppppF475iRBYJKxrO7kyykntlWkPUJp/view?usp=drivesdk")</f>
        <v>https://drive.google.com/file/d/1-ppppF475iRBYJKxrO7kyykntlWkPUJp/view?usp=drivesdk</v>
      </c>
      <c r="D7935" s="12"/>
      <c r="E7935" s="11">
        <v>7984.0</v>
      </c>
      <c r="F7935" s="2"/>
    </row>
    <row r="7936" ht="1.5" customHeight="1">
      <c r="A7936" s="4" t="str">
        <f>IFERROR(__xludf.DUMMYFUNCTION("""COMPUTED_VALUE"""),"141. Kamahalan")</f>
        <v>141. Kamahalan</v>
      </c>
      <c r="B7936" s="4" t="str">
        <f>IFERROR(__xludf.DUMMYFUNCTION("""COMPUTED_VALUE"""),"141")</f>
        <v>141</v>
      </c>
      <c r="C7936" s="5" t="str">
        <f>IFERROR(__xludf.DUMMYFUNCTION("""COMPUTED_VALUE"""),"https://drive.google.com/file/d/1A-SP2rm2Ih_ayv4XcI8ddB75_YelKGfV/view?usp=drivesdk")</f>
        <v>https://drive.google.com/file/d/1A-SP2rm2Ih_ayv4XcI8ddB75_YelKGfV/view?usp=drivesdk</v>
      </c>
      <c r="D7936" s="12"/>
      <c r="E7936" s="11">
        <v>7985.0</v>
      </c>
      <c r="F7936" s="2"/>
    </row>
    <row r="7937" ht="1.5" customHeight="1">
      <c r="A7937" s="4" t="str">
        <f>IFERROR(__xludf.DUMMYFUNCTION("""COMPUTED_VALUE"""),"20. Citlali")</f>
        <v>20. Citlali</v>
      </c>
      <c r="B7937" s="4" t="str">
        <f>IFERROR(__xludf.DUMMYFUNCTION("""COMPUTED_VALUE"""),"20")</f>
        <v>20</v>
      </c>
      <c r="C7937" s="5" t="str">
        <f>IFERROR(__xludf.DUMMYFUNCTION("""COMPUTED_VALUE"""),"https://drive.google.com/file/d/1R1-RVUjNjt6IKo6YAsNG9l0TrDnB7_ra/view?usp=drivesdk")</f>
        <v>https://drive.google.com/file/d/1R1-RVUjNjt6IKo6YAsNG9l0TrDnB7_ra/view?usp=drivesdk</v>
      </c>
      <c r="D7937" s="12"/>
      <c r="E7937" s="11">
        <v>7986.0</v>
      </c>
      <c r="F7937" s="2"/>
    </row>
    <row r="7938" ht="1.5" customHeight="1">
      <c r="A7938" s="4" t="str">
        <f>IFERROR(__xludf.DUMMYFUNCTION("""COMPUTED_VALUE"""),"105. Chilton")</f>
        <v>105. Chilton</v>
      </c>
      <c r="B7938" s="4" t="str">
        <f>IFERROR(__xludf.DUMMYFUNCTION("""COMPUTED_VALUE"""),"105")</f>
        <v>105</v>
      </c>
      <c r="C7938" s="5" t="str">
        <f>IFERROR(__xludf.DUMMYFUNCTION("""COMPUTED_VALUE"""),"https://drive.google.com/file/d/1QlpKBC5L5skJqRWLauF72kb9on0V3LT3/view?usp=drivesdk")</f>
        <v>https://drive.google.com/file/d/1QlpKBC5L5skJqRWLauF72kb9on0V3LT3/view?usp=drivesdk</v>
      </c>
      <c r="D7938" s="12"/>
      <c r="E7938" s="11">
        <v>7987.0</v>
      </c>
      <c r="F7938" s="2"/>
    </row>
    <row r="7939" ht="1.5" customHeight="1">
      <c r="A7939" s="4" t="str">
        <f>IFERROR(__xludf.DUMMYFUNCTION("""COMPUTED_VALUE"""),"87. Bandit")</f>
        <v>87. Bandit</v>
      </c>
      <c r="B7939" s="4" t="str">
        <f>IFERROR(__xludf.DUMMYFUNCTION("""COMPUTED_VALUE"""),"87")</f>
        <v>87</v>
      </c>
      <c r="C7939" s="5" t="str">
        <f>IFERROR(__xludf.DUMMYFUNCTION("""COMPUTED_VALUE"""),"https://drive.google.com/file/d/1I3YCbmcNUM66e_bbCQgn9higl8_TEpQV/view?usp=drivesdk")</f>
        <v>https://drive.google.com/file/d/1I3YCbmcNUM66e_bbCQgn9higl8_TEpQV/view?usp=drivesdk</v>
      </c>
      <c r="D7939" s="12"/>
      <c r="E7939" s="11">
        <v>7988.0</v>
      </c>
      <c r="F7939" s="2"/>
    </row>
    <row r="7940" ht="1.5" customHeight="1">
      <c r="A7940" s="4" t="str">
        <f>IFERROR(__xludf.DUMMYFUNCTION("""COMPUTED_VALUE"""),"87. Bandit")</f>
        <v>87. Bandit</v>
      </c>
      <c r="B7940" s="4" t="str">
        <f>IFERROR(__xludf.DUMMYFUNCTION("""COMPUTED_VALUE"""),"87")</f>
        <v>87</v>
      </c>
      <c r="C7940" s="5" t="str">
        <f>IFERROR(__xludf.DUMMYFUNCTION("""COMPUTED_VALUE"""),"https://drive.google.com/file/d/1UkTC-XYcRNpBFUWC6nkmNQEZl1OIJs1j/view?usp=drivesdk")</f>
        <v>https://drive.google.com/file/d/1UkTC-XYcRNpBFUWC6nkmNQEZl1OIJs1j/view?usp=drivesdk</v>
      </c>
      <c r="D7940" s="12"/>
      <c r="E7940" s="11">
        <v>7989.0</v>
      </c>
      <c r="F7940" s="2"/>
    </row>
    <row r="7941" ht="1.5" customHeight="1">
      <c r="A7941" s="4" t="str">
        <f>IFERROR(__xludf.DUMMYFUNCTION("""COMPUTED_VALUE"""),"1. Microwave")</f>
        <v>1. Microwave</v>
      </c>
      <c r="B7941" s="4" t="str">
        <f>IFERROR(__xludf.DUMMYFUNCTION("""COMPUTED_VALUE"""),"1")</f>
        <v>1</v>
      </c>
      <c r="C7941" s="5" t="str">
        <f>IFERROR(__xludf.DUMMYFUNCTION("""COMPUTED_VALUE"""),"https://drive.google.com/file/d/1DBOYkdXuW0hXmVAXptPCcgp_7xucrd2B/view?usp=drivesdk")</f>
        <v>https://drive.google.com/file/d/1DBOYkdXuW0hXmVAXptPCcgp_7xucrd2B/view?usp=drivesdk</v>
      </c>
      <c r="D7941" s="12"/>
      <c r="E7941" s="11">
        <v>7990.0</v>
      </c>
      <c r="F7941" s="2"/>
    </row>
    <row r="7942" ht="1.5" customHeight="1">
      <c r="A7942" s="4" t="str">
        <f>IFERROR(__xludf.DUMMYFUNCTION("""COMPUTED_VALUE"""),"1. Microwave")</f>
        <v>1. Microwave</v>
      </c>
      <c r="B7942" s="4" t="str">
        <f>IFERROR(__xludf.DUMMYFUNCTION("""COMPUTED_VALUE"""),"1")</f>
        <v>1</v>
      </c>
      <c r="C7942" s="5" t="str">
        <f>IFERROR(__xludf.DUMMYFUNCTION("""COMPUTED_VALUE"""),"https://drive.google.com/file/d/1xVc-hAiIlhnhFO07GbPV0NU_ydsRpzGp/view?usp=drivesdk")</f>
        <v>https://drive.google.com/file/d/1xVc-hAiIlhnhFO07GbPV0NU_ydsRpzGp/view?usp=drivesdk</v>
      </c>
      <c r="D7942" s="12"/>
      <c r="E7942" s="11">
        <v>7991.0</v>
      </c>
      <c r="F7942" s="2"/>
    </row>
    <row r="7943" ht="1.5" customHeight="1">
      <c r="A7943" s="4" t="str">
        <f>IFERROR(__xludf.DUMMYFUNCTION("""COMPUTED_VALUE"""),"1. Microwave")</f>
        <v>1. Microwave</v>
      </c>
      <c r="B7943" s="4" t="str">
        <f>IFERROR(__xludf.DUMMYFUNCTION("""COMPUTED_VALUE"""),"1")</f>
        <v>1</v>
      </c>
      <c r="C7943" s="5" t="str">
        <f>IFERROR(__xludf.DUMMYFUNCTION("""COMPUTED_VALUE"""),"https://drive.google.com/file/d/1rn1bZS2lPc87evPeYxvXI4fAi9KNBoo1/view?usp=drivesdk")</f>
        <v>https://drive.google.com/file/d/1rn1bZS2lPc87evPeYxvXI4fAi9KNBoo1/view?usp=drivesdk</v>
      </c>
      <c r="D7943" s="12"/>
      <c r="E7943" s="11">
        <v>7992.0</v>
      </c>
      <c r="F7943" s="2"/>
    </row>
    <row r="7944" ht="1.5" customHeight="1">
      <c r="A7944" s="4" t="str">
        <f>IFERROR(__xludf.DUMMYFUNCTION("""COMPUTED_VALUE"""),"0. NotACat")</f>
        <v>0. NotACat</v>
      </c>
      <c r="B7944" s="4" t="str">
        <f>IFERROR(__xludf.DUMMYFUNCTION("""COMPUTED_VALUE"""),"0")</f>
        <v>0</v>
      </c>
      <c r="C7944" s="5" t="str">
        <f>IFERROR(__xludf.DUMMYFUNCTION("""COMPUTED_VALUE"""),"https://drive.google.com/file/d/151M15m1dL9-mQ60scihB6SiPvs-dZroe/view?usp=drivesdk")</f>
        <v>https://drive.google.com/file/d/151M15m1dL9-mQ60scihB6SiPvs-dZroe/view?usp=drivesdk</v>
      </c>
      <c r="D7944" s="12"/>
      <c r="E7944" s="11">
        <v>7993.0</v>
      </c>
      <c r="F7944" s="2"/>
    </row>
    <row r="7945" ht="1.5" customHeight="1">
      <c r="A7945" s="4" t="str">
        <f>IFERROR(__xludf.DUMMYFUNCTION("""COMPUTED_VALUE"""),"0. NotACat")</f>
        <v>0. NotACat</v>
      </c>
      <c r="B7945" s="4" t="str">
        <f>IFERROR(__xludf.DUMMYFUNCTION("""COMPUTED_VALUE"""),"0")</f>
        <v>0</v>
      </c>
      <c r="C7945" s="5" t="str">
        <f>IFERROR(__xludf.DUMMYFUNCTION("""COMPUTED_VALUE"""),"https://drive.google.com/file/d/1tm5l4E8U9GGy6ddN3nCyUGP9pPgX3Egz/view?usp=drivesdk")</f>
        <v>https://drive.google.com/file/d/1tm5l4E8U9GGy6ddN3nCyUGP9pPgX3Egz/view?usp=drivesdk</v>
      </c>
      <c r="D7945" s="12"/>
      <c r="E7945" s="11">
        <v>7994.0</v>
      </c>
      <c r="F7945" s="2"/>
    </row>
    <row r="7946" ht="1.5" customHeight="1">
      <c r="A7946" s="4" t="str">
        <f>IFERROR(__xludf.DUMMYFUNCTION("""COMPUTED_VALUE"""),"2. Twix")</f>
        <v>2. Twix</v>
      </c>
      <c r="B7946" s="4" t="str">
        <f>IFERROR(__xludf.DUMMYFUNCTION("""COMPUTED_VALUE"""),"2")</f>
        <v>2</v>
      </c>
      <c r="C7946" s="5" t="str">
        <f>IFERROR(__xludf.DUMMYFUNCTION("""COMPUTED_VALUE"""),"https://drive.google.com/file/d/1-nHpg7gbhTLHcElTwC1q1a5zg9O7Wpdd/view?usp=drivesdk")</f>
        <v>https://drive.google.com/file/d/1-nHpg7gbhTLHcElTwC1q1a5zg9O7Wpdd/view?usp=drivesdk</v>
      </c>
      <c r="D7946" s="12"/>
      <c r="E7946" s="11">
        <v>7995.0</v>
      </c>
      <c r="F7946" s="2"/>
    </row>
    <row r="7947" ht="1.5" customHeight="1">
      <c r="A7947" s="4" t="str">
        <f>IFERROR(__xludf.DUMMYFUNCTION("""COMPUTED_VALUE"""),"1. Microwave")</f>
        <v>1. Microwave</v>
      </c>
      <c r="B7947" s="4" t="str">
        <f>IFERROR(__xludf.DUMMYFUNCTION("""COMPUTED_VALUE"""),"1")</f>
        <v>1</v>
      </c>
      <c r="C7947" s="5" t="str">
        <f>IFERROR(__xludf.DUMMYFUNCTION("""COMPUTED_VALUE"""),"https://drive.google.com/file/d/1tADx5z__sOLZUSqfJnlEKsbpAfuDkoiO/view?usp=drivesdk")</f>
        <v>https://drive.google.com/file/d/1tADx5z__sOLZUSqfJnlEKsbpAfuDkoiO/view?usp=drivesdk</v>
      </c>
      <c r="D7947" s="12"/>
      <c r="E7947" s="11">
        <v>7996.0</v>
      </c>
      <c r="F7947" s="2"/>
    </row>
    <row r="7948" ht="1.5" customHeight="1">
      <c r="A7948" s="4" t="str">
        <f>IFERROR(__xludf.DUMMYFUNCTION("""COMPUTED_VALUE"""),"1. Microwave, 0. NotACat")</f>
        <v>1. Microwave, 0. NotACat</v>
      </c>
      <c r="B7948" s="4" t="str">
        <f>IFERROR(__xludf.DUMMYFUNCTION("""COMPUTED_VALUE"""),"1, 0")</f>
        <v>1, 0</v>
      </c>
      <c r="C7948" s="5" t="str">
        <f>IFERROR(__xludf.DUMMYFUNCTION("""COMPUTED_VALUE"""),"https://drive.google.com/file/d/18Z_nRrkTxheuOFIDy8XaNi0H9X_VnRB-/view?usp=drivesdk")</f>
        <v>https://drive.google.com/file/d/18Z_nRrkTxheuOFIDy8XaNi0H9X_VnRB-/view?usp=drivesdk</v>
      </c>
      <c r="D7948" s="12"/>
      <c r="E7948" s="11">
        <v>7997.0</v>
      </c>
      <c r="F7948" s="2"/>
    </row>
    <row r="7949" ht="1.5" customHeight="1">
      <c r="A7949" s="4" t="str">
        <f>IFERROR(__xludf.DUMMYFUNCTION("""COMPUTED_VALUE"""),"1. Microwave")</f>
        <v>1. Microwave</v>
      </c>
      <c r="B7949" s="4" t="str">
        <f>IFERROR(__xludf.DUMMYFUNCTION("""COMPUTED_VALUE"""),"1")</f>
        <v>1</v>
      </c>
      <c r="C7949" s="5" t="str">
        <f>IFERROR(__xludf.DUMMYFUNCTION("""COMPUTED_VALUE"""),"https://drive.google.com/file/d/1IB9NncEGS6P7VnBJi4d25tfdhCx7JUck/view?usp=drivesdk")</f>
        <v>https://drive.google.com/file/d/1IB9NncEGS6P7VnBJi4d25tfdhCx7JUck/view?usp=drivesdk</v>
      </c>
      <c r="D7949" s="12"/>
      <c r="E7949" s="11">
        <v>7998.0</v>
      </c>
      <c r="F7949" s="2"/>
    </row>
    <row r="7950" ht="1.5" customHeight="1">
      <c r="A7950" s="4" t="str">
        <f>IFERROR(__xludf.DUMMYFUNCTION("""COMPUTED_VALUE"""),"1. Microwave")</f>
        <v>1. Microwave</v>
      </c>
      <c r="B7950" s="4" t="str">
        <f>IFERROR(__xludf.DUMMYFUNCTION("""COMPUTED_VALUE"""),"1")</f>
        <v>1</v>
      </c>
      <c r="C7950" s="5" t="str">
        <f>IFERROR(__xludf.DUMMYFUNCTION("""COMPUTED_VALUE"""),"https://drive.google.com/file/d/174HnVYXA8xe54F_7dKgGIOyK9fVryx_x/view?usp=drivesdk")</f>
        <v>https://drive.google.com/file/d/174HnVYXA8xe54F_7dKgGIOyK9fVryx_x/view?usp=drivesdk</v>
      </c>
      <c r="D7950" s="12"/>
      <c r="E7950" s="11">
        <v>7999.0</v>
      </c>
      <c r="F7950" s="2"/>
    </row>
    <row r="7951" ht="1.5" customHeight="1">
      <c r="A7951" s="4" t="str">
        <f>IFERROR(__xludf.DUMMYFUNCTION("""COMPUTED_VALUE"""),"1. Microwave")</f>
        <v>1. Microwave</v>
      </c>
      <c r="B7951" s="4" t="str">
        <f>IFERROR(__xludf.DUMMYFUNCTION("""COMPUTED_VALUE"""),"1")</f>
        <v>1</v>
      </c>
      <c r="C7951" s="5" t="str">
        <f>IFERROR(__xludf.DUMMYFUNCTION("""COMPUTED_VALUE"""),"https://drive.google.com/file/d/1IPB0CpKgJg5fzP4Ocze_SDa5tWndrMH8/view?usp=drivesdk")</f>
        <v>https://drive.google.com/file/d/1IPB0CpKgJg5fzP4Ocze_SDa5tWndrMH8/view?usp=drivesdk</v>
      </c>
      <c r="D7951" s="12"/>
      <c r="E7951" s="11">
        <v>8000.0</v>
      </c>
      <c r="F7951" s="2"/>
    </row>
    <row r="7952" ht="1.5" customHeight="1">
      <c r="A7952" s="4" t="str">
        <f>IFERROR(__xludf.DUMMYFUNCTION("""COMPUTED_VALUE"""),"2. Twix")</f>
        <v>2. Twix</v>
      </c>
      <c r="B7952" s="4" t="str">
        <f>IFERROR(__xludf.DUMMYFUNCTION("""COMPUTED_VALUE"""),"2")</f>
        <v>2</v>
      </c>
      <c r="C7952" s="5" t="str">
        <f>IFERROR(__xludf.DUMMYFUNCTION("""COMPUTED_VALUE"""),"https://drive.google.com/file/d/1AVyBi3aC_660OyvDSJ6q4hLP_WF2AjOg/view?usp=drivesdk")</f>
        <v>https://drive.google.com/file/d/1AVyBi3aC_660OyvDSJ6q4hLP_WF2AjOg/view?usp=drivesdk</v>
      </c>
      <c r="D7952" s="12"/>
      <c r="E7952" s="11">
        <v>8001.0</v>
      </c>
      <c r="F7952" s="2"/>
    </row>
    <row r="7953" ht="1.5" customHeight="1">
      <c r="A7953" s="4" t="str">
        <f>IFERROR(__xludf.DUMMYFUNCTION("""COMPUTED_VALUE"""),"1. Microwave")</f>
        <v>1. Microwave</v>
      </c>
      <c r="B7953" s="4" t="str">
        <f>IFERROR(__xludf.DUMMYFUNCTION("""COMPUTED_VALUE"""),"1")</f>
        <v>1</v>
      </c>
      <c r="C7953" s="5" t="str">
        <f>IFERROR(__xludf.DUMMYFUNCTION("""COMPUTED_VALUE"""),"https://drive.google.com/file/d/1EwetAaUcMBETNBTCaNHqe9_We-SKYRwl/view?usp=drivesdk")</f>
        <v>https://drive.google.com/file/d/1EwetAaUcMBETNBTCaNHqe9_We-SKYRwl/view?usp=drivesdk</v>
      </c>
      <c r="D7953" s="12"/>
      <c r="E7953" s="11">
        <v>8002.0</v>
      </c>
      <c r="F7953" s="2"/>
    </row>
    <row r="7954" ht="1.5" customHeight="1">
      <c r="A7954" s="4" t="str">
        <f>IFERROR(__xludf.DUMMYFUNCTION("""COMPUTED_VALUE"""),"1. Microwave")</f>
        <v>1. Microwave</v>
      </c>
      <c r="B7954" s="4" t="str">
        <f>IFERROR(__xludf.DUMMYFUNCTION("""COMPUTED_VALUE"""),"1")</f>
        <v>1</v>
      </c>
      <c r="C7954" s="5" t="str">
        <f>IFERROR(__xludf.DUMMYFUNCTION("""COMPUTED_VALUE"""),"https://drive.google.com/file/d/11K0-dC_3RahbHPV1dtDEmuKCmC0poTK_/view?usp=drivesdk")</f>
        <v>https://drive.google.com/file/d/11K0-dC_3RahbHPV1dtDEmuKCmC0poTK_/view?usp=drivesdk</v>
      </c>
      <c r="D7954" s="12"/>
      <c r="E7954" s="11">
        <v>8003.0</v>
      </c>
      <c r="F7954" s="2"/>
    </row>
    <row r="7955" ht="1.5" customHeight="1">
      <c r="A7955" s="4" t="str">
        <f>IFERROR(__xludf.DUMMYFUNCTION("""COMPUTED_VALUE"""),"1. Microwave")</f>
        <v>1. Microwave</v>
      </c>
      <c r="B7955" s="4" t="str">
        <f>IFERROR(__xludf.DUMMYFUNCTION("""COMPUTED_VALUE"""),"1")</f>
        <v>1</v>
      </c>
      <c r="C7955" s="5" t="str">
        <f>IFERROR(__xludf.DUMMYFUNCTION("""COMPUTED_VALUE"""),"https://drive.google.com/file/d/1VwAj-kEA_Sed7bgUgyv6oHxtHnlvBsb2/view?usp=drivesdk")</f>
        <v>https://drive.google.com/file/d/1VwAj-kEA_Sed7bgUgyv6oHxtHnlvBsb2/view?usp=drivesdk</v>
      </c>
      <c r="D7955" s="12"/>
      <c r="E7955" s="11">
        <v>8004.0</v>
      </c>
      <c r="F7955" s="2"/>
    </row>
    <row r="7956" ht="1.5" customHeight="1">
      <c r="A7956" s="4" t="str">
        <f>IFERROR(__xludf.DUMMYFUNCTION("""COMPUTED_VALUE"""),"1. Microwave")</f>
        <v>1. Microwave</v>
      </c>
      <c r="B7956" s="4" t="str">
        <f>IFERROR(__xludf.DUMMYFUNCTION("""COMPUTED_VALUE"""),"1")</f>
        <v>1</v>
      </c>
      <c r="C7956" s="5" t="str">
        <f>IFERROR(__xludf.DUMMYFUNCTION("""COMPUTED_VALUE"""),"https://drive.google.com/file/d/1qy_MQw5MPVPv2vcowYbgD02Do_6Lg56l/view?usp=drivesdk")</f>
        <v>https://drive.google.com/file/d/1qy_MQw5MPVPv2vcowYbgD02Do_6Lg56l/view?usp=drivesdk</v>
      </c>
      <c r="D7956" s="12"/>
      <c r="E7956" s="11">
        <v>8005.0</v>
      </c>
      <c r="F7956" s="2"/>
    </row>
    <row r="7957" ht="1.5" customHeight="1">
      <c r="A7957" s="4" t="str">
        <f>IFERROR(__xludf.DUMMYFUNCTION("""COMPUTED_VALUE"""),"1. Microwave")</f>
        <v>1. Microwave</v>
      </c>
      <c r="B7957" s="4" t="str">
        <f>IFERROR(__xludf.DUMMYFUNCTION("""COMPUTED_VALUE"""),"1")</f>
        <v>1</v>
      </c>
      <c r="C7957" s="5" t="str">
        <f>IFERROR(__xludf.DUMMYFUNCTION("""COMPUTED_VALUE"""),"https://drive.google.com/file/d/1AucvovjK_33_FJA-27CKBcc-kup9b1sx/view?usp=drivesdk")</f>
        <v>https://drive.google.com/file/d/1AucvovjK_33_FJA-27CKBcc-kup9b1sx/view?usp=drivesdk</v>
      </c>
      <c r="D7957" s="12"/>
      <c r="E7957" s="11">
        <v>8006.0</v>
      </c>
      <c r="F7957" s="2"/>
    </row>
    <row r="7958" ht="1.5" customHeight="1">
      <c r="A7958" s="4" t="str">
        <f>IFERROR(__xludf.DUMMYFUNCTION("""COMPUTED_VALUE"""),"1. Microwave")</f>
        <v>1. Microwave</v>
      </c>
      <c r="B7958" s="4" t="str">
        <f>IFERROR(__xludf.DUMMYFUNCTION("""COMPUTED_VALUE"""),"1")</f>
        <v>1</v>
      </c>
      <c r="C7958" s="5" t="str">
        <f>IFERROR(__xludf.DUMMYFUNCTION("""COMPUTED_VALUE"""),"https://drive.google.com/file/d/1qXhC1SozbcZtcN3BtJLaziW5pb-gfQj9/view?usp=drivesdk")</f>
        <v>https://drive.google.com/file/d/1qXhC1SozbcZtcN3BtJLaziW5pb-gfQj9/view?usp=drivesdk</v>
      </c>
      <c r="D7958" s="12"/>
      <c r="E7958" s="11">
        <v>8007.0</v>
      </c>
      <c r="F7958" s="2"/>
    </row>
    <row r="7959" ht="1.5" customHeight="1">
      <c r="A7959" s="4" t="str">
        <f>IFERROR(__xludf.DUMMYFUNCTION("""COMPUTED_VALUE"""),"1. Microwave")</f>
        <v>1. Microwave</v>
      </c>
      <c r="B7959" s="4" t="str">
        <f>IFERROR(__xludf.DUMMYFUNCTION("""COMPUTED_VALUE"""),"1")</f>
        <v>1</v>
      </c>
      <c r="C7959" s="5" t="str">
        <f>IFERROR(__xludf.DUMMYFUNCTION("""COMPUTED_VALUE"""),"https://drive.google.com/file/d/1BH4uN6u9uoRcp5HORENp4GfK3yK2gE4C/view?usp=drivesdk")</f>
        <v>https://drive.google.com/file/d/1BH4uN6u9uoRcp5HORENp4GfK3yK2gE4C/view?usp=drivesdk</v>
      </c>
      <c r="D7959" s="12"/>
      <c r="E7959" s="11">
        <v>8008.0</v>
      </c>
      <c r="F7959" s="2"/>
    </row>
    <row r="7960" ht="1.5" customHeight="1">
      <c r="A7960" s="4" t="str">
        <f>IFERROR(__xludf.DUMMYFUNCTION("""COMPUTED_VALUE"""),"99. Nezhui")</f>
        <v>99. Nezhui</v>
      </c>
      <c r="B7960" s="4" t="str">
        <f>IFERROR(__xludf.DUMMYFUNCTION("""COMPUTED_VALUE"""),"99")</f>
        <v>99</v>
      </c>
      <c r="C7960" s="5" t="str">
        <f>IFERROR(__xludf.DUMMYFUNCTION("""COMPUTED_VALUE"""),"https://drive.google.com/file/d/1_bQaYI-EIAjOYHF6qaAqTK9GRuVHD6vu/view?usp=drivesdk")</f>
        <v>https://drive.google.com/file/d/1_bQaYI-EIAjOYHF6qaAqTK9GRuVHD6vu/view?usp=drivesdk</v>
      </c>
      <c r="D7960" s="12"/>
      <c r="E7960" s="11">
        <v>8009.0</v>
      </c>
      <c r="F7960" s="2"/>
    </row>
    <row r="7961" ht="1.5" customHeight="1">
      <c r="A7961" s="4" t="str">
        <f>IFERROR(__xludf.DUMMYFUNCTION("""COMPUTED_VALUE"""),"105. Chilton")</f>
        <v>105. Chilton</v>
      </c>
      <c r="B7961" s="4" t="str">
        <f>IFERROR(__xludf.DUMMYFUNCTION("""COMPUTED_VALUE"""),"105")</f>
        <v>105</v>
      </c>
      <c r="C7961" s="5" t="str">
        <f>IFERROR(__xludf.DUMMYFUNCTION("""COMPUTED_VALUE"""),"https://drive.google.com/file/d/153kWQ9tRyO47vA6-593vlBR7iZq7vRHn/view?usp=drivesdk")</f>
        <v>https://drive.google.com/file/d/153kWQ9tRyO47vA6-593vlBR7iZq7vRHn/view?usp=drivesdk</v>
      </c>
      <c r="D7961" s="12"/>
      <c r="E7961" s="11">
        <v>8010.0</v>
      </c>
      <c r="F7961" s="2"/>
    </row>
    <row r="7962" ht="1.5" customHeight="1">
      <c r="A7962" s="4" t="str">
        <f>IFERROR(__xludf.DUMMYFUNCTION("""COMPUTED_VALUE"""),"94. Itztli")</f>
        <v>94. Itztli</v>
      </c>
      <c r="B7962" s="4" t="str">
        <f>IFERROR(__xludf.DUMMYFUNCTION("""COMPUTED_VALUE"""),"94")</f>
        <v>94</v>
      </c>
      <c r="C7962" s="5" t="str">
        <f>IFERROR(__xludf.DUMMYFUNCTION("""COMPUTED_VALUE"""),"https://drive.google.com/file/d/11UPHnIJHCQPDM6hLGRl2_n8N07LDWiNl/view?usp=drivesdk")</f>
        <v>https://drive.google.com/file/d/11UPHnIJHCQPDM6hLGRl2_n8N07LDWiNl/view?usp=drivesdk</v>
      </c>
      <c r="D7962" s="12"/>
      <c r="E7962" s="11">
        <v>8011.0</v>
      </c>
      <c r="F7962" s="2"/>
    </row>
    <row r="7963" ht="1.5" customHeight="1">
      <c r="A7963" s="4" t="str">
        <f>IFERROR(__xludf.DUMMYFUNCTION("""COMPUTED_VALUE"""),"94. Itztli")</f>
        <v>94. Itztli</v>
      </c>
      <c r="B7963" s="4" t="str">
        <f>IFERROR(__xludf.DUMMYFUNCTION("""COMPUTED_VALUE"""),"94")</f>
        <v>94</v>
      </c>
      <c r="C7963" s="5" t="str">
        <f>IFERROR(__xludf.DUMMYFUNCTION("""COMPUTED_VALUE"""),"https://drive.google.com/file/d/1ImAGxtrS2j7R9uiMd_g0_kyUfwttEYug/view?usp=drivesdk")</f>
        <v>https://drive.google.com/file/d/1ImAGxtrS2j7R9uiMd_g0_kyUfwttEYug/view?usp=drivesdk</v>
      </c>
      <c r="D7963" s="12"/>
      <c r="E7963" s="11">
        <v>8012.0</v>
      </c>
      <c r="F7963" s="2"/>
    </row>
    <row r="7964" ht="1.5" customHeight="1">
      <c r="A7964" s="4" t="str">
        <f>IFERROR(__xludf.DUMMYFUNCTION("""COMPUTED_VALUE"""),"105. Chilton, 94. Itztli, 99. Nezhui")</f>
        <v>105. Chilton, 94. Itztli, 99. Nezhui</v>
      </c>
      <c r="B7964" s="4" t="str">
        <f>IFERROR(__xludf.DUMMYFUNCTION("""COMPUTED_VALUE"""),"105, 94, 99")</f>
        <v>105, 94, 99</v>
      </c>
      <c r="C7964" s="5" t="str">
        <f>IFERROR(__xludf.DUMMYFUNCTION("""COMPUTED_VALUE"""),"https://drive.google.com/file/d/1bBzvws5zPXs14IluM8AxytbLwR35odMe/view?usp=drivesdk")</f>
        <v>https://drive.google.com/file/d/1bBzvws5zPXs14IluM8AxytbLwR35odMe/view?usp=drivesdk</v>
      </c>
      <c r="D7964" s="12"/>
      <c r="E7964" s="11">
        <v>8013.0</v>
      </c>
      <c r="F7964" s="2"/>
    </row>
    <row r="7965" ht="1.5" customHeight="1">
      <c r="A7965" s="4" t="str">
        <f>IFERROR(__xludf.DUMMYFUNCTION("""COMPUTED_VALUE"""),"105. Chilton")</f>
        <v>105. Chilton</v>
      </c>
      <c r="B7965" s="4" t="str">
        <f>IFERROR(__xludf.DUMMYFUNCTION("""COMPUTED_VALUE"""),"105")</f>
        <v>105</v>
      </c>
      <c r="C7965" s="5" t="str">
        <f>IFERROR(__xludf.DUMMYFUNCTION("""COMPUTED_VALUE"""),"https://drive.google.com/file/d/13G8V3x76K8aBSPwR_TFTpiJAStciLB6x/view?usp=drivesdk")</f>
        <v>https://drive.google.com/file/d/13G8V3x76K8aBSPwR_TFTpiJAStciLB6x/view?usp=drivesdk</v>
      </c>
      <c r="D7965" s="12"/>
      <c r="E7965" s="11">
        <v>8014.0</v>
      </c>
      <c r="F7965" s="2"/>
    </row>
    <row r="7966" ht="1.5" customHeight="1">
      <c r="A7966" s="4" t="str">
        <f>IFERROR(__xludf.DUMMYFUNCTION("""COMPUTED_VALUE"""),"1. Microwave")</f>
        <v>1. Microwave</v>
      </c>
      <c r="B7966" s="4" t="str">
        <f>IFERROR(__xludf.DUMMYFUNCTION("""COMPUTED_VALUE"""),"1")</f>
        <v>1</v>
      </c>
      <c r="C7966" s="5" t="str">
        <f>IFERROR(__xludf.DUMMYFUNCTION("""COMPUTED_VALUE"""),"https://drive.google.com/file/d/1JGJjmnuIgfzzbEzd7mVyYY7zN-gAH32o/view?usp=drivesdk")</f>
        <v>https://drive.google.com/file/d/1JGJjmnuIgfzzbEzd7mVyYY7zN-gAH32o/view?usp=drivesdk</v>
      </c>
      <c r="D7966" s="12"/>
      <c r="E7966" s="11">
        <v>8015.0</v>
      </c>
      <c r="F7966" s="2"/>
    </row>
    <row r="7967" ht="1.5" customHeight="1">
      <c r="A7967" s="4" t="str">
        <f>IFERROR(__xludf.DUMMYFUNCTION("""COMPUTED_VALUE"""),"1. Microwave")</f>
        <v>1. Microwave</v>
      </c>
      <c r="B7967" s="4" t="str">
        <f>IFERROR(__xludf.DUMMYFUNCTION("""COMPUTED_VALUE"""),"1")</f>
        <v>1</v>
      </c>
      <c r="C7967" s="5" t="str">
        <f>IFERROR(__xludf.DUMMYFUNCTION("""COMPUTED_VALUE"""),"https://drive.google.com/file/d/1jsqHof9cchlgTi1lcE078oSovBccMSQw/view?usp=drivesdk")</f>
        <v>https://drive.google.com/file/d/1jsqHof9cchlgTi1lcE078oSovBccMSQw/view?usp=drivesdk</v>
      </c>
      <c r="D7967" s="12"/>
      <c r="E7967" s="11">
        <v>8016.0</v>
      </c>
      <c r="F7967" s="2"/>
    </row>
    <row r="7968" ht="1.5" customHeight="1">
      <c r="A7968" s="4" t="str">
        <f>IFERROR(__xludf.DUMMYFUNCTION("""COMPUTED_VALUE"""),"1. Microwave")</f>
        <v>1. Microwave</v>
      </c>
      <c r="B7968" s="4" t="str">
        <f>IFERROR(__xludf.DUMMYFUNCTION("""COMPUTED_VALUE"""),"1")</f>
        <v>1</v>
      </c>
      <c r="C7968" s="5" t="str">
        <f>IFERROR(__xludf.DUMMYFUNCTION("""COMPUTED_VALUE"""),"https://drive.google.com/file/d/19zy6_YdRZACppwqQX8v0vgyJgR8yhKBv/view?usp=drivesdk")</f>
        <v>https://drive.google.com/file/d/19zy6_YdRZACppwqQX8v0vgyJgR8yhKBv/view?usp=drivesdk</v>
      </c>
      <c r="D7968" s="12"/>
      <c r="E7968" s="11">
        <v>8017.0</v>
      </c>
      <c r="F7968" s="2"/>
    </row>
    <row r="7969" ht="1.5" customHeight="1">
      <c r="A7969" s="4" t="str">
        <f>IFERROR(__xludf.DUMMYFUNCTION("""COMPUTED_VALUE"""),"1. Microwave")</f>
        <v>1. Microwave</v>
      </c>
      <c r="B7969" s="4" t="str">
        <f>IFERROR(__xludf.DUMMYFUNCTION("""COMPUTED_VALUE"""),"1")</f>
        <v>1</v>
      </c>
      <c r="C7969" s="5" t="str">
        <f>IFERROR(__xludf.DUMMYFUNCTION("""COMPUTED_VALUE"""),"https://drive.google.com/file/d/1aTIsYR0ik9YTsSDLOQmUws3okKVZE4w9/view?usp=drivesdk")</f>
        <v>https://drive.google.com/file/d/1aTIsYR0ik9YTsSDLOQmUws3okKVZE4w9/view?usp=drivesdk</v>
      </c>
      <c r="D7969" s="12"/>
      <c r="E7969" s="11">
        <v>8018.0</v>
      </c>
      <c r="F7969" s="2"/>
    </row>
    <row r="7970" ht="1.5" customHeight="1">
      <c r="A7970" s="4" t="str">
        <f>IFERROR(__xludf.DUMMYFUNCTION("""COMPUTED_VALUE"""),"1. Microwave")</f>
        <v>1. Microwave</v>
      </c>
      <c r="B7970" s="4" t="str">
        <f>IFERROR(__xludf.DUMMYFUNCTION("""COMPUTED_VALUE"""),"1")</f>
        <v>1</v>
      </c>
      <c r="C7970" s="5" t="str">
        <f>IFERROR(__xludf.DUMMYFUNCTION("""COMPUTED_VALUE"""),"https://drive.google.com/file/d/1lxZ28xh92g6aBbV5YFB1e7GXRWvdfIcO/view?usp=drivesdk")</f>
        <v>https://drive.google.com/file/d/1lxZ28xh92g6aBbV5YFB1e7GXRWvdfIcO/view?usp=drivesdk</v>
      </c>
      <c r="D7970" s="12"/>
      <c r="E7970" s="11">
        <v>8019.0</v>
      </c>
      <c r="F7970" s="2"/>
    </row>
    <row r="7971" ht="1.5" customHeight="1">
      <c r="A7971" s="4" t="str">
        <f>IFERROR(__xludf.DUMMYFUNCTION("""COMPUTED_VALUE"""),"1. Microwave")</f>
        <v>1. Microwave</v>
      </c>
      <c r="B7971" s="4" t="str">
        <f>IFERROR(__xludf.DUMMYFUNCTION("""COMPUTED_VALUE"""),"1")</f>
        <v>1</v>
      </c>
      <c r="C7971" s="5" t="str">
        <f>IFERROR(__xludf.DUMMYFUNCTION("""COMPUTED_VALUE"""),"https://drive.google.com/file/d/1k1KEhS6j_su6sk74aRUAtLREn2Kv_HTP/view?usp=drivesdk")</f>
        <v>https://drive.google.com/file/d/1k1KEhS6j_su6sk74aRUAtLREn2Kv_HTP/view?usp=drivesdk</v>
      </c>
      <c r="D7971" s="12"/>
      <c r="E7971" s="11">
        <v>8020.0</v>
      </c>
      <c r="F7971" s="2"/>
    </row>
    <row r="7972" ht="1.5" customHeight="1">
      <c r="A7972" s="4" t="str">
        <f>IFERROR(__xludf.DUMMYFUNCTION("""COMPUTED_VALUE"""),"105. Chilton")</f>
        <v>105. Chilton</v>
      </c>
      <c r="B7972" s="4" t="str">
        <f>IFERROR(__xludf.DUMMYFUNCTION("""COMPUTED_VALUE"""),"105")</f>
        <v>105</v>
      </c>
      <c r="C7972" s="5" t="str">
        <f>IFERROR(__xludf.DUMMYFUNCTION("""COMPUTED_VALUE"""),"https://drive.google.com/file/d/1C7JCeo1-48qRjSVuFV5EG30bcKV7_Vl4/view?usp=drivesdk")</f>
        <v>https://drive.google.com/file/d/1C7JCeo1-48qRjSVuFV5EG30bcKV7_Vl4/view?usp=drivesdk</v>
      </c>
      <c r="D7972" s="12"/>
      <c r="E7972" s="11">
        <v>8021.0</v>
      </c>
      <c r="F7972" s="2"/>
    </row>
    <row r="7973" ht="1.5" customHeight="1">
      <c r="A7973" s="4" t="str">
        <f>IFERROR(__xludf.DUMMYFUNCTION("""COMPUTED_VALUE"""),"105. Chilton")</f>
        <v>105. Chilton</v>
      </c>
      <c r="B7973" s="4" t="str">
        <f>IFERROR(__xludf.DUMMYFUNCTION("""COMPUTED_VALUE"""),"105")</f>
        <v>105</v>
      </c>
      <c r="C7973" s="5" t="str">
        <f>IFERROR(__xludf.DUMMYFUNCTION("""COMPUTED_VALUE"""),"https://drive.google.com/file/d/1VURlNYKkCiw1R8NkHuD638t21X1FQo5-/view?usp=drivesdk")</f>
        <v>https://drive.google.com/file/d/1VURlNYKkCiw1R8NkHuD638t21X1FQo5-/view?usp=drivesdk</v>
      </c>
      <c r="D7973" s="12"/>
      <c r="E7973" s="11">
        <v>8022.0</v>
      </c>
      <c r="F7973" s="2"/>
    </row>
    <row r="7974" ht="1.5" customHeight="1">
      <c r="A7974" s="4" t="str">
        <f>IFERROR(__xludf.DUMMYFUNCTION("""COMPUTED_VALUE"""),"105. Chilton, 100. Coatl")</f>
        <v>105. Chilton, 100. Coatl</v>
      </c>
      <c r="B7974" s="4" t="str">
        <f>IFERROR(__xludf.DUMMYFUNCTION("""COMPUTED_VALUE"""),"105, 100")</f>
        <v>105, 100</v>
      </c>
      <c r="C7974" s="5" t="str">
        <f>IFERROR(__xludf.DUMMYFUNCTION("""COMPUTED_VALUE"""),"https://drive.google.com/file/d/1I_qQ-bnjsWwS9Ss7vdqLf8OeHdteD6tl/view?usp=drivesdk")</f>
        <v>https://drive.google.com/file/d/1I_qQ-bnjsWwS9Ss7vdqLf8OeHdteD6tl/view?usp=drivesdk</v>
      </c>
      <c r="D7974" s="12"/>
      <c r="E7974" s="11">
        <v>8023.0</v>
      </c>
      <c r="F7974" s="2"/>
    </row>
    <row r="7975" ht="1.5" customHeight="1">
      <c r="A7975" s="4" t="str">
        <f>IFERROR(__xludf.DUMMYFUNCTION("""COMPUTED_VALUE"""),"105. Chilton, 99. Nezhui")</f>
        <v>105. Chilton, 99. Nezhui</v>
      </c>
      <c r="B7975" s="4" t="str">
        <f>IFERROR(__xludf.DUMMYFUNCTION("""COMPUTED_VALUE"""),"105, 99")</f>
        <v>105, 99</v>
      </c>
      <c r="C7975" s="5" t="str">
        <f>IFERROR(__xludf.DUMMYFUNCTION("""COMPUTED_VALUE"""),"https://drive.google.com/file/d/1wbqA3Jk-C7IXEuzMoMy3DixaAT9lMtOj/view?usp=drivesdk")</f>
        <v>https://drive.google.com/file/d/1wbqA3Jk-C7IXEuzMoMy3DixaAT9lMtOj/view?usp=drivesdk</v>
      </c>
      <c r="D7975" s="12"/>
      <c r="E7975" s="11">
        <v>8024.0</v>
      </c>
      <c r="F7975" s="2"/>
    </row>
    <row r="7976" ht="1.5" customHeight="1">
      <c r="A7976" s="4" t="str">
        <f>IFERROR(__xludf.DUMMYFUNCTION("""COMPUTED_VALUE"""),"105. Chilton, 99. Nezhui")</f>
        <v>105. Chilton, 99. Nezhui</v>
      </c>
      <c r="B7976" s="4" t="str">
        <f>IFERROR(__xludf.DUMMYFUNCTION("""COMPUTED_VALUE"""),"105, 99")</f>
        <v>105, 99</v>
      </c>
      <c r="C7976" s="5" t="str">
        <f>IFERROR(__xludf.DUMMYFUNCTION("""COMPUTED_VALUE"""),"https://drive.google.com/file/d/1w36V-EsRgFSdhIXIcV4eAvp0bOTKuAMz/view?usp=drivesdk")</f>
        <v>https://drive.google.com/file/d/1w36V-EsRgFSdhIXIcV4eAvp0bOTKuAMz/view?usp=drivesdk</v>
      </c>
      <c r="D7976" s="12"/>
      <c r="E7976" s="11">
        <v>8025.0</v>
      </c>
      <c r="F7976" s="2"/>
    </row>
    <row r="7977" ht="1.5" customHeight="1">
      <c r="A7977" s="4" t="str">
        <f>IFERROR(__xludf.DUMMYFUNCTION("""COMPUTED_VALUE"""),"114. Elision")</f>
        <v>114. Elision</v>
      </c>
      <c r="B7977" s="4" t="str">
        <f>IFERROR(__xludf.DUMMYFUNCTION("""COMPUTED_VALUE"""),"114")</f>
        <v>114</v>
      </c>
      <c r="C7977" s="5" t="str">
        <f>IFERROR(__xludf.DUMMYFUNCTION("""COMPUTED_VALUE"""),"https://drive.google.com/file/d/1wftB3E8P4htrC1dEv67BVUHzhvPKrPS-/view?usp=drivesdk")</f>
        <v>https://drive.google.com/file/d/1wftB3E8P4htrC1dEv67BVUHzhvPKrPS-/view?usp=drivesdk</v>
      </c>
      <c r="D7977" s="12"/>
      <c r="E7977" s="11">
        <v>8026.0</v>
      </c>
      <c r="F7977" s="2"/>
    </row>
    <row r="7978" ht="1.5" customHeight="1">
      <c r="A7978" s="4" t="str">
        <f>IFERROR(__xludf.DUMMYFUNCTION("""COMPUTED_VALUE"""),"105. Chilton, 114. Elision")</f>
        <v>105. Chilton, 114. Elision</v>
      </c>
      <c r="B7978" s="4" t="str">
        <f>IFERROR(__xludf.DUMMYFUNCTION("""COMPUTED_VALUE"""),"105, 114")</f>
        <v>105, 114</v>
      </c>
      <c r="C7978" s="5" t="str">
        <f>IFERROR(__xludf.DUMMYFUNCTION("""COMPUTED_VALUE"""),"https://drive.google.com/file/d/1aQhVPNwdibMd6lI-QFrbysdxyO1vYEdN/view?usp=drivesdk")</f>
        <v>https://drive.google.com/file/d/1aQhVPNwdibMd6lI-QFrbysdxyO1vYEdN/view?usp=drivesdk</v>
      </c>
      <c r="D7978" s="12"/>
      <c r="E7978" s="11">
        <v>8027.0</v>
      </c>
      <c r="F7978" s="2"/>
    </row>
    <row r="7979" ht="1.5" customHeight="1">
      <c r="A7979" s="4" t="str">
        <f>IFERROR(__xludf.DUMMYFUNCTION("""COMPUTED_VALUE"""),"99. Nezhui")</f>
        <v>99. Nezhui</v>
      </c>
      <c r="B7979" s="4" t="str">
        <f>IFERROR(__xludf.DUMMYFUNCTION("""COMPUTED_VALUE"""),"99")</f>
        <v>99</v>
      </c>
      <c r="C7979" s="5" t="str">
        <f>IFERROR(__xludf.DUMMYFUNCTION("""COMPUTED_VALUE"""),"https://drive.google.com/file/d/1p9rHwNW0GPbFQEhdZ4_YMd28CuomOIdo/view?usp=drivesdk")</f>
        <v>https://drive.google.com/file/d/1p9rHwNW0GPbFQEhdZ4_YMd28CuomOIdo/view?usp=drivesdk</v>
      </c>
      <c r="D7979" s="12"/>
      <c r="E7979" s="11">
        <v>8028.0</v>
      </c>
      <c r="F7979" s="2"/>
    </row>
    <row r="7980" ht="1.5" customHeight="1">
      <c r="A7980" s="4" t="str">
        <f>IFERROR(__xludf.DUMMYFUNCTION("""COMPUTED_VALUE"""),"9. Melvin")</f>
        <v>9. Melvin</v>
      </c>
      <c r="B7980" s="4" t="str">
        <f>IFERROR(__xludf.DUMMYFUNCTION("""COMPUTED_VALUE"""),"9")</f>
        <v>9</v>
      </c>
      <c r="C7980" s="5" t="str">
        <f>IFERROR(__xludf.DUMMYFUNCTION("""COMPUTED_VALUE"""),"https://drive.google.com/file/d/1xcQOs19TcLVGntLEhMieIVdd-6eDmB9l/view?usp=drivesdk")</f>
        <v>https://drive.google.com/file/d/1xcQOs19TcLVGntLEhMieIVdd-6eDmB9l/view?usp=drivesdk</v>
      </c>
      <c r="D7980" s="12"/>
      <c r="E7980" s="11">
        <v>8029.0</v>
      </c>
      <c r="F7980" s="2"/>
    </row>
    <row r="7981" ht="1.5" customHeight="1">
      <c r="A7981" s="4" t="str">
        <f>IFERROR(__xludf.DUMMYFUNCTION("""COMPUTED_VALUE"""),"89. Petal")</f>
        <v>89. Petal</v>
      </c>
      <c r="B7981" s="4" t="str">
        <f>IFERROR(__xludf.DUMMYFUNCTION("""COMPUTED_VALUE"""),"89")</f>
        <v>89</v>
      </c>
      <c r="C7981" s="5" t="str">
        <f>IFERROR(__xludf.DUMMYFUNCTION("""COMPUTED_VALUE"""),"https://drive.google.com/file/d/1ONRmft1BK5HT9U6mutdBXYuqVUMh4Zdm/view?usp=drivesdk")</f>
        <v>https://drive.google.com/file/d/1ONRmft1BK5HT9U6mutdBXYuqVUMh4Zdm/view?usp=drivesdk</v>
      </c>
      <c r="D7981" s="12"/>
      <c r="E7981" s="11">
        <v>8030.0</v>
      </c>
      <c r="F7981" s="2"/>
    </row>
    <row r="7982" ht="1.5" customHeight="1">
      <c r="A7982" s="4" t="str">
        <f>IFERROR(__xludf.DUMMYFUNCTION("""COMPUTED_VALUE"""),"2. Twix")</f>
        <v>2. Twix</v>
      </c>
      <c r="B7982" s="4" t="str">
        <f>IFERROR(__xludf.DUMMYFUNCTION("""COMPUTED_VALUE"""),"2")</f>
        <v>2</v>
      </c>
      <c r="C7982" s="5" t="str">
        <f>IFERROR(__xludf.DUMMYFUNCTION("""COMPUTED_VALUE"""),"https://drive.google.com/file/d/14WnCzZpybGzAEM5PFqZWTGGCxUk22XJm/view?usp=drivesdk")</f>
        <v>https://drive.google.com/file/d/14WnCzZpybGzAEM5PFqZWTGGCxUk22XJm/view?usp=drivesdk</v>
      </c>
      <c r="D7982" s="12"/>
      <c r="E7982" s="11">
        <v>8031.0</v>
      </c>
      <c r="F7982" s="2"/>
    </row>
    <row r="7983" ht="1.5" customHeight="1">
      <c r="A7983" s="4" t="str">
        <f>IFERROR(__xludf.DUMMYFUNCTION("""COMPUTED_VALUE"""),"0. NotACat")</f>
        <v>0. NotACat</v>
      </c>
      <c r="B7983" s="4" t="str">
        <f>IFERROR(__xludf.DUMMYFUNCTION("""COMPUTED_VALUE"""),"0")</f>
        <v>0</v>
      </c>
      <c r="C7983" s="5" t="str">
        <f>IFERROR(__xludf.DUMMYFUNCTION("""COMPUTED_VALUE"""),"https://drive.google.com/file/d/10GePOnYe7GnDw6wcU3x5VfJwrJ6Y4iaa/view?usp=drivesdk")</f>
        <v>https://drive.google.com/file/d/10GePOnYe7GnDw6wcU3x5VfJwrJ6Y4iaa/view?usp=drivesdk</v>
      </c>
      <c r="D7983" s="12"/>
      <c r="E7983" s="11">
        <v>8032.0</v>
      </c>
      <c r="F7983" s="2"/>
    </row>
    <row r="7984" ht="1.5" customHeight="1">
      <c r="A7984" s="4" t="str">
        <f>IFERROR(__xludf.DUMMYFUNCTION("""COMPUTED_VALUE"""),"0. NotACat")</f>
        <v>0. NotACat</v>
      </c>
      <c r="B7984" s="4" t="str">
        <f>IFERROR(__xludf.DUMMYFUNCTION("""COMPUTED_VALUE"""),"0")</f>
        <v>0</v>
      </c>
      <c r="C7984" s="5" t="str">
        <f>IFERROR(__xludf.DUMMYFUNCTION("""COMPUTED_VALUE"""),"https://drive.google.com/file/d/1i4RSF6F6yqdsNcHEdWE0IDyuR-32d8qF/view?usp=drivesdk")</f>
        <v>https://drive.google.com/file/d/1i4RSF6F6yqdsNcHEdWE0IDyuR-32d8qF/view?usp=drivesdk</v>
      </c>
      <c r="D7984" s="12"/>
      <c r="E7984" s="11">
        <v>8033.0</v>
      </c>
      <c r="F7984" s="2"/>
    </row>
    <row r="7985" ht="1.5" customHeight="1">
      <c r="A7985" s="4" t="str">
        <f>IFERROR(__xludf.DUMMYFUNCTION("""COMPUTED_VALUE"""),"0. NotACat")</f>
        <v>0. NotACat</v>
      </c>
      <c r="B7985" s="4" t="str">
        <f>IFERROR(__xludf.DUMMYFUNCTION("""COMPUTED_VALUE"""),"0")</f>
        <v>0</v>
      </c>
      <c r="C7985" s="5" t="str">
        <f>IFERROR(__xludf.DUMMYFUNCTION("""COMPUTED_VALUE"""),"https://drive.google.com/file/d/14Om6ZsZfzG6yLJ7QkY9rrSOETdzx-jgN/view?usp=drivesdk")</f>
        <v>https://drive.google.com/file/d/14Om6ZsZfzG6yLJ7QkY9rrSOETdzx-jgN/view?usp=drivesdk</v>
      </c>
      <c r="D7985" s="12"/>
      <c r="E7985" s="11">
        <v>8034.0</v>
      </c>
      <c r="F7985" s="2"/>
    </row>
    <row r="7986" ht="1.5" customHeight="1">
      <c r="A7986" s="4" t="str">
        <f>IFERROR(__xludf.DUMMYFUNCTION("""COMPUTED_VALUE"""),"1. Microwave")</f>
        <v>1. Microwave</v>
      </c>
      <c r="B7986" s="4" t="str">
        <f>IFERROR(__xludf.DUMMYFUNCTION("""COMPUTED_VALUE"""),"1")</f>
        <v>1</v>
      </c>
      <c r="C7986" s="5" t="str">
        <f>IFERROR(__xludf.DUMMYFUNCTION("""COMPUTED_VALUE"""),"https://drive.google.com/file/d/1VYNcRJNWq1b3zL6xH6GmpRSKWUpYkAG-/view?usp=drivesdk")</f>
        <v>https://drive.google.com/file/d/1VYNcRJNWq1b3zL6xH6GmpRSKWUpYkAG-/view?usp=drivesdk</v>
      </c>
      <c r="D7986" s="12"/>
      <c r="E7986" s="11">
        <v>8035.0</v>
      </c>
      <c r="F7986" s="2"/>
    </row>
    <row r="7987" ht="1.5" customHeight="1">
      <c r="A7987" s="4" t="str">
        <f>IFERROR(__xludf.DUMMYFUNCTION("""COMPUTED_VALUE"""),"1. Microwave")</f>
        <v>1. Microwave</v>
      </c>
      <c r="B7987" s="4" t="str">
        <f>IFERROR(__xludf.DUMMYFUNCTION("""COMPUTED_VALUE"""),"1")</f>
        <v>1</v>
      </c>
      <c r="C7987" s="5" t="str">
        <f>IFERROR(__xludf.DUMMYFUNCTION("""COMPUTED_VALUE"""),"https://drive.google.com/file/d/1-1Aq2Vrm3NxNjMFGdgp32Pvk69nDO2HK/view?usp=drivesdk")</f>
        <v>https://drive.google.com/file/d/1-1Aq2Vrm3NxNjMFGdgp32Pvk69nDO2HK/view?usp=drivesdk</v>
      </c>
      <c r="D7987" s="12"/>
      <c r="E7987" s="11">
        <v>8036.0</v>
      </c>
      <c r="F7987" s="2"/>
    </row>
    <row r="7988" ht="1.5" customHeight="1">
      <c r="A7988" s="4" t="str">
        <f>IFERROR(__xludf.DUMMYFUNCTION("""COMPUTED_VALUE"""),"1. Microwave")</f>
        <v>1. Microwave</v>
      </c>
      <c r="B7988" s="4" t="str">
        <f>IFERROR(__xludf.DUMMYFUNCTION("""COMPUTED_VALUE"""),"1")</f>
        <v>1</v>
      </c>
      <c r="C7988" s="5" t="str">
        <f>IFERROR(__xludf.DUMMYFUNCTION("""COMPUTED_VALUE"""),"https://drive.google.com/file/d/1blZIsb6wn2CV1Xnp9xye1WTay2NUkQD5/view?usp=drivesdk")</f>
        <v>https://drive.google.com/file/d/1blZIsb6wn2CV1Xnp9xye1WTay2NUkQD5/view?usp=drivesdk</v>
      </c>
      <c r="D7988" s="12"/>
      <c r="E7988" s="11">
        <v>8037.0</v>
      </c>
      <c r="F7988" s="2"/>
    </row>
    <row r="7989" ht="1.5" customHeight="1">
      <c r="A7989" s="4" t="str">
        <f>IFERROR(__xludf.DUMMYFUNCTION("""COMPUTED_VALUE"""),"1. Microwave")</f>
        <v>1. Microwave</v>
      </c>
      <c r="B7989" s="4" t="str">
        <f>IFERROR(__xludf.DUMMYFUNCTION("""COMPUTED_VALUE"""),"1")</f>
        <v>1</v>
      </c>
      <c r="C7989" s="5" t="str">
        <f>IFERROR(__xludf.DUMMYFUNCTION("""COMPUTED_VALUE"""),"https://drive.google.com/file/d/1lAHXS9BfU91n02CB8shUFYBaJlf44Whs/view?usp=drivesdk")</f>
        <v>https://drive.google.com/file/d/1lAHXS9BfU91n02CB8shUFYBaJlf44Whs/view?usp=drivesdk</v>
      </c>
      <c r="D7989" s="12"/>
      <c r="E7989" s="11">
        <v>8038.0</v>
      </c>
      <c r="F7989" s="2"/>
    </row>
    <row r="7990" ht="1.5" customHeight="1">
      <c r="A7990" s="4" t="str">
        <f>IFERROR(__xludf.DUMMYFUNCTION("""COMPUTED_VALUE"""),"5. Eraser")</f>
        <v>5. Eraser</v>
      </c>
      <c r="B7990" s="4" t="str">
        <f>IFERROR(__xludf.DUMMYFUNCTION("""COMPUTED_VALUE"""),"5")</f>
        <v>5</v>
      </c>
      <c r="C7990" s="5" t="str">
        <f>IFERROR(__xludf.DUMMYFUNCTION("""COMPUTED_VALUE"""),"https://drive.google.com/file/d/1SC8OuGCHhvYfjThGQhCCK-f7wcLGvLmi/view?usp=drivesdk")</f>
        <v>https://drive.google.com/file/d/1SC8OuGCHhvYfjThGQhCCK-f7wcLGvLmi/view?usp=drivesdk</v>
      </c>
      <c r="D7990" s="12"/>
      <c r="E7990" s="11">
        <v>8039.0</v>
      </c>
      <c r="F7990" s="2"/>
    </row>
    <row r="7991" ht="1.5" customHeight="1">
      <c r="A7991" s="4" t="str">
        <f>IFERROR(__xludf.DUMMYFUNCTION("""COMPUTED_VALUE"""),"118. Stinker")</f>
        <v>118. Stinker</v>
      </c>
      <c r="B7991" s="4" t="str">
        <f>IFERROR(__xludf.DUMMYFUNCTION("""COMPUTED_VALUE"""),"118")</f>
        <v>118</v>
      </c>
      <c r="C7991" s="5" t="str">
        <f>IFERROR(__xludf.DUMMYFUNCTION("""COMPUTED_VALUE"""),"https://drive.google.com/file/d/1IT2p81NV6zmRJhpAWmW_rgge8qT0rwf1/view?usp=drivesdk")</f>
        <v>https://drive.google.com/file/d/1IT2p81NV6zmRJhpAWmW_rgge8qT0rwf1/view?usp=drivesdk</v>
      </c>
      <c r="D7991" s="12"/>
      <c r="E7991" s="11">
        <v>8040.0</v>
      </c>
      <c r="F7991" s="2"/>
    </row>
    <row r="7992" ht="1.5" customHeight="1">
      <c r="A7992" s="4" t="str">
        <f>IFERROR(__xludf.DUMMYFUNCTION("""COMPUTED_VALUE"""),"118. Stinker")</f>
        <v>118. Stinker</v>
      </c>
      <c r="B7992" s="4" t="str">
        <f>IFERROR(__xludf.DUMMYFUNCTION("""COMPUTED_VALUE"""),"118")</f>
        <v>118</v>
      </c>
      <c r="C7992" s="5" t="str">
        <f>IFERROR(__xludf.DUMMYFUNCTION("""COMPUTED_VALUE"""),"https://drive.google.com/file/d/13Tr8iQ2eyG0NmWZukVg0n52rTL0qupJ1/view?usp=drivesdk")</f>
        <v>https://drive.google.com/file/d/13Tr8iQ2eyG0NmWZukVg0n52rTL0qupJ1/view?usp=drivesdk</v>
      </c>
      <c r="D7992" s="12"/>
      <c r="E7992" s="11">
        <v>8041.0</v>
      </c>
      <c r="F7992" s="2"/>
    </row>
    <row r="7993" ht="1.5" customHeight="1">
      <c r="A7993" s="4" t="str">
        <f>IFERROR(__xludf.DUMMYFUNCTION("""COMPUTED_VALUE"""),"1. Microwave")</f>
        <v>1. Microwave</v>
      </c>
      <c r="B7993" s="4" t="str">
        <f>IFERROR(__xludf.DUMMYFUNCTION("""COMPUTED_VALUE"""),"1")</f>
        <v>1</v>
      </c>
      <c r="C7993" s="5" t="str">
        <f>IFERROR(__xludf.DUMMYFUNCTION("""COMPUTED_VALUE"""),"https://drive.google.com/file/d/1yadIr2X2qJMvVA0DE8NWnlNnxwiqY7ic/view?usp=drivesdk")</f>
        <v>https://drive.google.com/file/d/1yadIr2X2qJMvVA0DE8NWnlNnxwiqY7ic/view?usp=drivesdk</v>
      </c>
      <c r="D7993" s="12"/>
      <c r="E7993" s="11">
        <v>8042.0</v>
      </c>
      <c r="F7993" s="2"/>
    </row>
    <row r="7994" ht="1.5" customHeight="1">
      <c r="A7994" s="4" t="str">
        <f>IFERROR(__xludf.DUMMYFUNCTION("""COMPUTED_VALUE"""),"1. Microwave")</f>
        <v>1. Microwave</v>
      </c>
      <c r="B7994" s="4" t="str">
        <f>IFERROR(__xludf.DUMMYFUNCTION("""COMPUTED_VALUE"""),"1")</f>
        <v>1</v>
      </c>
      <c r="C7994" s="5" t="str">
        <f>IFERROR(__xludf.DUMMYFUNCTION("""COMPUTED_VALUE"""),"https://drive.google.com/file/d/1TgFEjFBJa6SGIQWXJ6YssmZW64vI-NpK/view?usp=drivesdk")</f>
        <v>https://drive.google.com/file/d/1TgFEjFBJa6SGIQWXJ6YssmZW64vI-NpK/view?usp=drivesdk</v>
      </c>
      <c r="D7994" s="12"/>
      <c r="E7994" s="11">
        <v>8043.0</v>
      </c>
      <c r="F7994" s="2"/>
    </row>
    <row r="7995" ht="1.5" customHeight="1">
      <c r="A7995" s="4" t="str">
        <f>IFERROR(__xludf.DUMMYFUNCTION("""COMPUTED_VALUE"""),"39. Radar, 12. Faye")</f>
        <v>39. Radar, 12. Faye</v>
      </c>
      <c r="B7995" s="4" t="str">
        <f>IFERROR(__xludf.DUMMYFUNCTION("""COMPUTED_VALUE"""),"39, 12")</f>
        <v>39, 12</v>
      </c>
      <c r="C7995" s="5" t="str">
        <f>IFERROR(__xludf.DUMMYFUNCTION("""COMPUTED_VALUE"""),"https://drive.google.com/file/d/1tkcNQQp38tExV06Ak10CEVq0lx7cYLgE/view?usp=drivesdk")</f>
        <v>https://drive.google.com/file/d/1tkcNQQp38tExV06Ak10CEVq0lx7cYLgE/view?usp=drivesdk</v>
      </c>
      <c r="D7995" s="12"/>
      <c r="E7995" s="11">
        <v>8044.0</v>
      </c>
      <c r="F7995" s="2"/>
    </row>
    <row r="7996" ht="1.5" customHeight="1">
      <c r="A7996" s="4" t="str">
        <f>IFERROR(__xludf.DUMMYFUNCTION("""COMPUTED_VALUE"""),"58. Eden, 39. Radar, 12. Faye")</f>
        <v>58. Eden, 39. Radar, 12. Faye</v>
      </c>
      <c r="B7996" s="4" t="str">
        <f>IFERROR(__xludf.DUMMYFUNCTION("""COMPUTED_VALUE"""),"58, 39, 12")</f>
        <v>58, 39, 12</v>
      </c>
      <c r="C7996" s="5" t="str">
        <f>IFERROR(__xludf.DUMMYFUNCTION("""COMPUTED_VALUE"""),"https://drive.google.com/file/d/1E82rN_giDpg8Kmx2EID3wxhxIQQTwE-m/view?usp=drivesdk")</f>
        <v>https://drive.google.com/file/d/1E82rN_giDpg8Kmx2EID3wxhxIQQTwE-m/view?usp=drivesdk</v>
      </c>
      <c r="D7996" s="12"/>
      <c r="E7996" s="11">
        <v>8045.0</v>
      </c>
      <c r="F7996" s="2"/>
    </row>
    <row r="7997" ht="1.5" customHeight="1">
      <c r="A7997" s="4" t="str">
        <f>IFERROR(__xludf.DUMMYFUNCTION("""COMPUTED_VALUE"""),"58. Eden, 40. Dumpster")</f>
        <v>58. Eden, 40. Dumpster</v>
      </c>
      <c r="B7997" s="4" t="str">
        <f>IFERROR(__xludf.DUMMYFUNCTION("""COMPUTED_VALUE"""),"58, 40")</f>
        <v>58, 40</v>
      </c>
      <c r="C7997" s="5" t="str">
        <f>IFERROR(__xludf.DUMMYFUNCTION("""COMPUTED_VALUE"""),"https://drive.google.com/file/d/1W3xQJPuVlf0gcoCovEtcM2xvZSSGQEkQ/view?usp=drivesdk")</f>
        <v>https://drive.google.com/file/d/1W3xQJPuVlf0gcoCovEtcM2xvZSSGQEkQ/view?usp=drivesdk</v>
      </c>
      <c r="D7997" s="12"/>
      <c r="E7997" s="11">
        <v>8046.0</v>
      </c>
      <c r="F7997" s="2"/>
    </row>
    <row r="7998" ht="1.5" customHeight="1">
      <c r="A7998" s="4" t="str">
        <f>IFERROR(__xludf.DUMMYFUNCTION("""COMPUTED_VALUE"""),"58. Eden")</f>
        <v>58. Eden</v>
      </c>
      <c r="B7998" s="4" t="str">
        <f>IFERROR(__xludf.DUMMYFUNCTION("""COMPUTED_VALUE"""),"58")</f>
        <v>58</v>
      </c>
      <c r="C7998" s="5" t="str">
        <f>IFERROR(__xludf.DUMMYFUNCTION("""COMPUTED_VALUE"""),"https://drive.google.com/file/d/10BECxjegbmmU848KbZTpkbLRFGvopV1P/view?usp=drivesdk")</f>
        <v>https://drive.google.com/file/d/10BECxjegbmmU848KbZTpkbLRFGvopV1P/view?usp=drivesdk</v>
      </c>
      <c r="D7998" s="12"/>
      <c r="E7998" s="11">
        <v>8047.0</v>
      </c>
      <c r="F7998" s="2"/>
    </row>
    <row r="7999" ht="1.5" customHeight="1">
      <c r="A7999" s="4" t="str">
        <f>IFERROR(__xludf.DUMMYFUNCTION("""COMPUTED_VALUE"""),"141. Kamahalan")</f>
        <v>141. Kamahalan</v>
      </c>
      <c r="B7999" s="4" t="str">
        <f>IFERROR(__xludf.DUMMYFUNCTION("""COMPUTED_VALUE"""),"141")</f>
        <v>141</v>
      </c>
      <c r="C7999" s="5" t="str">
        <f>IFERROR(__xludf.DUMMYFUNCTION("""COMPUTED_VALUE"""),"https://drive.google.com/file/d/1AtdiPypRPdqezjdXf3ZAWdLjgJH4mAIi/view?usp=drivesdk")</f>
        <v>https://drive.google.com/file/d/1AtdiPypRPdqezjdXf3ZAWdLjgJH4mAIi/view?usp=drivesdk</v>
      </c>
      <c r="D7999" s="12"/>
      <c r="E7999" s="11">
        <v>8048.0</v>
      </c>
      <c r="F7999" s="2"/>
    </row>
    <row r="8000" ht="1.5" customHeight="1">
      <c r="A8000" s="4" t="str">
        <f>IFERROR(__xludf.DUMMYFUNCTION("""COMPUTED_VALUE"""),"1. Microwave")</f>
        <v>1. Microwave</v>
      </c>
      <c r="B8000" s="4" t="str">
        <f>IFERROR(__xludf.DUMMYFUNCTION("""COMPUTED_VALUE"""),"1")</f>
        <v>1</v>
      </c>
      <c r="C8000" s="5" t="str">
        <f>IFERROR(__xludf.DUMMYFUNCTION("""COMPUTED_VALUE"""),"https://drive.google.com/file/d/1SU7-Zq7rFactZxLZQJCFsUI5tiPqBLAh/view?usp=drivesdk")</f>
        <v>https://drive.google.com/file/d/1SU7-Zq7rFactZxLZQJCFsUI5tiPqBLAh/view?usp=drivesdk</v>
      </c>
      <c r="D8000" s="12"/>
      <c r="E8000" s="11">
        <v>8049.0</v>
      </c>
      <c r="F8000" s="2"/>
    </row>
    <row r="8001" ht="1.5" customHeight="1">
      <c r="A8001" s="4" t="str">
        <f>IFERROR(__xludf.DUMMYFUNCTION("""COMPUTED_VALUE"""),"102. Keaton")</f>
        <v>102. Keaton</v>
      </c>
      <c r="B8001" s="4" t="str">
        <f>IFERROR(__xludf.DUMMYFUNCTION("""COMPUTED_VALUE"""),"102")</f>
        <v>102</v>
      </c>
      <c r="C8001" s="5" t="str">
        <f>IFERROR(__xludf.DUMMYFUNCTION("""COMPUTED_VALUE"""),"https://drive.google.com/file/d/1RptCL58pgQFtsTh_QfvxyzqLpLLJoHB9/view?usp=drivesdk")</f>
        <v>https://drive.google.com/file/d/1RptCL58pgQFtsTh_QfvxyzqLpLLJoHB9/view?usp=drivesdk</v>
      </c>
      <c r="D8001" s="12"/>
      <c r="E8001" s="11">
        <v>8050.0</v>
      </c>
      <c r="F8001" s="2"/>
    </row>
    <row r="8002" ht="1.5" customHeight="1">
      <c r="A8002" s="4" t="str">
        <f>IFERROR(__xludf.DUMMYFUNCTION("""COMPUTED_VALUE"""),"127. Eleanor, 39. Radar, 146. Monsieur Stanky")</f>
        <v>127. Eleanor, 39. Radar, 146. Monsieur Stanky</v>
      </c>
      <c r="B8002" s="4" t="str">
        <f>IFERROR(__xludf.DUMMYFUNCTION("""COMPUTED_VALUE"""),"127, 39, 146")</f>
        <v>127, 39, 146</v>
      </c>
      <c r="C8002" s="5" t="str">
        <f>IFERROR(__xludf.DUMMYFUNCTION("""COMPUTED_VALUE"""),"https://drive.google.com/file/d/1TrDbXlXxNSIccCGO1YEQgXgA9Yu_4-xY/view?usp=drivesdk")</f>
        <v>https://drive.google.com/file/d/1TrDbXlXxNSIccCGO1YEQgXgA9Yu_4-xY/view?usp=drivesdk</v>
      </c>
      <c r="D8002" s="12"/>
      <c r="E8002" s="11">
        <v>8051.0</v>
      </c>
      <c r="F8002" s="2"/>
    </row>
    <row r="8003" ht="1.5" customHeight="1">
      <c r="A8003" s="4" t="str">
        <f>IFERROR(__xludf.DUMMYFUNCTION("""COMPUTED_VALUE"""),"73. Coronavirus")</f>
        <v>73. Coronavirus</v>
      </c>
      <c r="B8003" s="4" t="str">
        <f>IFERROR(__xludf.DUMMYFUNCTION("""COMPUTED_VALUE"""),"73")</f>
        <v>73</v>
      </c>
      <c r="C8003" s="5" t="str">
        <f>IFERROR(__xludf.DUMMYFUNCTION("""COMPUTED_VALUE"""),"https://drive.google.com/file/d/1uGR3FUrNVPota_FOGZjGeXs0iVkk2yUM/view?usp=drivesdk")</f>
        <v>https://drive.google.com/file/d/1uGR3FUrNVPota_FOGZjGeXs0iVkk2yUM/view?usp=drivesdk</v>
      </c>
      <c r="D8003" s="12"/>
      <c r="E8003" s="11">
        <v>8052.0</v>
      </c>
      <c r="F8003" s="2"/>
    </row>
    <row r="8004" ht="1.5" customHeight="1">
      <c r="A8004" s="4" t="str">
        <f>IFERROR(__xludf.DUMMYFUNCTION("""COMPUTED_VALUE"""),"99. Nezhui")</f>
        <v>99. Nezhui</v>
      </c>
      <c r="B8004" s="4" t="str">
        <f>IFERROR(__xludf.DUMMYFUNCTION("""COMPUTED_VALUE"""),"99")</f>
        <v>99</v>
      </c>
      <c r="C8004" s="5" t="str">
        <f>IFERROR(__xludf.DUMMYFUNCTION("""COMPUTED_VALUE"""),"https://drive.google.com/file/d/1oJD4Xqxw3qcNsGKBo-SR-CEJW3bEbKSi/view?usp=drivesdk")</f>
        <v>https://drive.google.com/file/d/1oJD4Xqxw3qcNsGKBo-SR-CEJW3bEbKSi/view?usp=drivesdk</v>
      </c>
      <c r="D8004" s="12"/>
      <c r="E8004" s="11">
        <v>8053.0</v>
      </c>
      <c r="F8004" s="2"/>
    </row>
    <row r="8005" ht="1.5" customHeight="1">
      <c r="A8005" s="4" t="str">
        <f>IFERROR(__xludf.DUMMYFUNCTION("""COMPUTED_VALUE"""),"1. Microwave")</f>
        <v>1. Microwave</v>
      </c>
      <c r="B8005" s="4" t="str">
        <f>IFERROR(__xludf.DUMMYFUNCTION("""COMPUTED_VALUE"""),"1")</f>
        <v>1</v>
      </c>
      <c r="C8005" s="5" t="str">
        <f>IFERROR(__xludf.DUMMYFUNCTION("""COMPUTED_VALUE"""),"https://drive.google.com/file/d/1IGscxoqMiHjhogCTXD6YSTC3JGLUeGyX/view?usp=drivesdk")</f>
        <v>https://drive.google.com/file/d/1IGscxoqMiHjhogCTXD6YSTC3JGLUeGyX/view?usp=drivesdk</v>
      </c>
      <c r="D8005" s="12"/>
      <c r="E8005" s="11">
        <v>8054.0</v>
      </c>
      <c r="F8005" s="2"/>
    </row>
    <row r="8006" ht="1.5" customHeight="1">
      <c r="A8006" s="4" t="str">
        <f>IFERROR(__xludf.DUMMYFUNCTION("""COMPUTED_VALUE"""),"1. Microwave")</f>
        <v>1. Microwave</v>
      </c>
      <c r="B8006" s="4" t="str">
        <f>IFERROR(__xludf.DUMMYFUNCTION("""COMPUTED_VALUE"""),"1")</f>
        <v>1</v>
      </c>
      <c r="C8006" s="5" t="str">
        <f>IFERROR(__xludf.DUMMYFUNCTION("""COMPUTED_VALUE"""),"https://drive.google.com/file/d/1eefY-wi9Ro1Tu_L4ktDcmSSKTTS4T33T/view?usp=drivesdk")</f>
        <v>https://drive.google.com/file/d/1eefY-wi9Ro1Tu_L4ktDcmSSKTTS4T33T/view?usp=drivesdk</v>
      </c>
      <c r="D8006" s="12"/>
      <c r="E8006" s="11">
        <v>8055.0</v>
      </c>
      <c r="F8006" s="2"/>
    </row>
    <row r="8007" ht="1.5" customHeight="1">
      <c r="A8007" s="4" t="str">
        <f>IFERROR(__xludf.DUMMYFUNCTION("""COMPUTED_VALUE"""),"1. Microwave")</f>
        <v>1. Microwave</v>
      </c>
      <c r="B8007" s="4" t="str">
        <f>IFERROR(__xludf.DUMMYFUNCTION("""COMPUTED_VALUE"""),"1")</f>
        <v>1</v>
      </c>
      <c r="C8007" s="5" t="str">
        <f>IFERROR(__xludf.DUMMYFUNCTION("""COMPUTED_VALUE"""),"https://drive.google.com/file/d/1Cn7px8GdSsUa2ENP2LK-LAApHWpUvDas/view?usp=drivesdk")</f>
        <v>https://drive.google.com/file/d/1Cn7px8GdSsUa2ENP2LK-LAApHWpUvDas/view?usp=drivesdk</v>
      </c>
      <c r="D8007" s="12"/>
      <c r="E8007" s="11">
        <v>8056.0</v>
      </c>
      <c r="F8007" s="2"/>
    </row>
    <row r="8008" ht="1.5" customHeight="1">
      <c r="A8008" s="4" t="str">
        <f>IFERROR(__xludf.DUMMYFUNCTION("""COMPUTED_VALUE"""),"1. Microwave")</f>
        <v>1. Microwave</v>
      </c>
      <c r="B8008" s="4" t="str">
        <f>IFERROR(__xludf.DUMMYFUNCTION("""COMPUTED_VALUE"""),"1")</f>
        <v>1</v>
      </c>
      <c r="C8008" s="5" t="str">
        <f>IFERROR(__xludf.DUMMYFUNCTION("""COMPUTED_VALUE"""),"https://drive.google.com/file/d/1FNcboWfZE-_3dbcoSRa9lvF7890DCGFO/view?usp=drivesdk")</f>
        <v>https://drive.google.com/file/d/1FNcboWfZE-_3dbcoSRa9lvF7890DCGFO/view?usp=drivesdk</v>
      </c>
      <c r="D8008" s="12"/>
      <c r="E8008" s="11">
        <v>8057.0</v>
      </c>
      <c r="F8008" s="2"/>
    </row>
    <row r="8009" ht="1.5" customHeight="1">
      <c r="A8009" s="4" t="str">
        <f>IFERROR(__xludf.DUMMYFUNCTION("""COMPUTED_VALUE"""),"1. Microwave")</f>
        <v>1. Microwave</v>
      </c>
      <c r="B8009" s="4" t="str">
        <f>IFERROR(__xludf.DUMMYFUNCTION("""COMPUTED_VALUE"""),"1")</f>
        <v>1</v>
      </c>
      <c r="C8009" s="5" t="str">
        <f>IFERROR(__xludf.DUMMYFUNCTION("""COMPUTED_VALUE"""),"https://drive.google.com/file/d/1bYzTOwF5909Gra9jFBl9eYGO6NejlwKa/view?usp=drivesdk")</f>
        <v>https://drive.google.com/file/d/1bYzTOwF5909Gra9jFBl9eYGO6NejlwKa/view?usp=drivesdk</v>
      </c>
      <c r="D8009" s="12"/>
      <c r="E8009" s="11">
        <v>8058.0</v>
      </c>
      <c r="F8009" s="2"/>
    </row>
    <row r="8010" ht="1.5" customHeight="1">
      <c r="A8010" s="4" t="str">
        <f>IFERROR(__xludf.DUMMYFUNCTION("""COMPUTED_VALUE"""),"47. Nefarious")</f>
        <v>47. Nefarious</v>
      </c>
      <c r="B8010" s="4" t="str">
        <f>IFERROR(__xludf.DUMMYFUNCTION("""COMPUTED_VALUE"""),"47")</f>
        <v>47</v>
      </c>
      <c r="C8010" s="5" t="str">
        <f>IFERROR(__xludf.DUMMYFUNCTION("""COMPUTED_VALUE"""),"https://drive.google.com/file/d/1sjBdu4F0uVcF3Ns40Bamdn_R-VCjsqwx/view?usp=drivesdk")</f>
        <v>https://drive.google.com/file/d/1sjBdu4F0uVcF3Ns40Bamdn_R-VCjsqwx/view?usp=drivesdk</v>
      </c>
      <c r="D8010" s="12"/>
      <c r="E8010" s="11">
        <v>8059.0</v>
      </c>
      <c r="F8010" s="2"/>
    </row>
    <row r="8011" ht="1.5" customHeight="1">
      <c r="A8011" s="4" t="str">
        <f>IFERROR(__xludf.DUMMYFUNCTION("""COMPUTED_VALUE"""),"45. Boots")</f>
        <v>45. Boots</v>
      </c>
      <c r="B8011" s="4" t="str">
        <f>IFERROR(__xludf.DUMMYFUNCTION("""COMPUTED_VALUE"""),"45")</f>
        <v>45</v>
      </c>
      <c r="C8011" s="5" t="str">
        <f>IFERROR(__xludf.DUMMYFUNCTION("""COMPUTED_VALUE"""),"https://drive.google.com/file/d/1-cyVX_s-YaWoJT_MG1AW-nYUfAz9WOHp/view?usp=drivesdk")</f>
        <v>https://drive.google.com/file/d/1-cyVX_s-YaWoJT_MG1AW-nYUfAz9WOHp/view?usp=drivesdk</v>
      </c>
      <c r="D8011" s="12"/>
      <c r="E8011" s="11">
        <v>8060.0</v>
      </c>
      <c r="F8011" s="2"/>
    </row>
    <row r="8012" ht="1.5" customHeight="1">
      <c r="A8012" s="4" t="str">
        <f>IFERROR(__xludf.DUMMYFUNCTION("""COMPUTED_VALUE"""),"95. Ariel")</f>
        <v>95. Ariel</v>
      </c>
      <c r="B8012" s="4" t="str">
        <f>IFERROR(__xludf.DUMMYFUNCTION("""COMPUTED_VALUE"""),"95")</f>
        <v>95</v>
      </c>
      <c r="C8012" s="5" t="str">
        <f>IFERROR(__xludf.DUMMYFUNCTION("""COMPUTED_VALUE"""),"https://drive.google.com/file/d/17kCns6usVvSg_3Svw9EYwGkYc-K-2y7j/view?usp=drivesdk")</f>
        <v>https://drive.google.com/file/d/17kCns6usVvSg_3Svw9EYwGkYc-K-2y7j/view?usp=drivesdk</v>
      </c>
      <c r="D8012" s="12"/>
      <c r="E8012" s="11">
        <v>8061.0</v>
      </c>
      <c r="F8012" s="2"/>
    </row>
    <row r="8013" ht="1.5" customHeight="1">
      <c r="A8013" s="4" t="str">
        <f>IFERROR(__xludf.DUMMYFUNCTION("""COMPUTED_VALUE"""),"58. Eden")</f>
        <v>58. Eden</v>
      </c>
      <c r="B8013" s="4" t="str">
        <f>IFERROR(__xludf.DUMMYFUNCTION("""COMPUTED_VALUE"""),"58")</f>
        <v>58</v>
      </c>
      <c r="C8013" s="5" t="str">
        <f>IFERROR(__xludf.DUMMYFUNCTION("""COMPUTED_VALUE"""),"https://drive.google.com/file/d/16klShS5KD8hrvwz3yJJWNkRN51zYWcQz/view?usp=drivesdk")</f>
        <v>https://drive.google.com/file/d/16klShS5KD8hrvwz3yJJWNkRN51zYWcQz/view?usp=drivesdk</v>
      </c>
      <c r="D8013" s="12"/>
      <c r="E8013" s="11">
        <v>8062.0</v>
      </c>
      <c r="F8013" s="2"/>
    </row>
    <row r="8014" ht="1.5" customHeight="1">
      <c r="A8014" s="4" t="str">
        <f>IFERROR(__xludf.DUMMYFUNCTION("""COMPUTED_VALUE"""),"141. Kamahalan")</f>
        <v>141. Kamahalan</v>
      </c>
      <c r="B8014" s="4" t="str">
        <f>IFERROR(__xludf.DUMMYFUNCTION("""COMPUTED_VALUE"""),"141")</f>
        <v>141</v>
      </c>
      <c r="C8014" s="5" t="str">
        <f>IFERROR(__xludf.DUMMYFUNCTION("""COMPUTED_VALUE"""),"https://drive.google.com/file/d/18Fo71guEfqB3RR7N5PnxdjD3e1uiggo3/view?usp=drivesdk")</f>
        <v>https://drive.google.com/file/d/18Fo71guEfqB3RR7N5PnxdjD3e1uiggo3/view?usp=drivesdk</v>
      </c>
      <c r="D8014" s="12"/>
      <c r="E8014" s="11">
        <v>8063.0</v>
      </c>
      <c r="F8014" s="2"/>
    </row>
    <row r="8015" ht="1.5" customHeight="1">
      <c r="A8015" s="4" t="str">
        <f>IFERROR(__xludf.DUMMYFUNCTION("""COMPUTED_VALUE"""),"39. Radar, 38. Winston, 40. Dumpster")</f>
        <v>39. Radar, 38. Winston, 40. Dumpster</v>
      </c>
      <c r="B8015" s="4" t="str">
        <f>IFERROR(__xludf.DUMMYFUNCTION("""COMPUTED_VALUE"""),"39, 38, 40")</f>
        <v>39, 38, 40</v>
      </c>
      <c r="C8015" s="5" t="str">
        <f>IFERROR(__xludf.DUMMYFUNCTION("""COMPUTED_VALUE"""),"https://drive.google.com/file/d/1drgEq2dwINykavpANNghCNktVc27tK_5/view?usp=drivesdk")</f>
        <v>https://drive.google.com/file/d/1drgEq2dwINykavpANNghCNktVc27tK_5/view?usp=drivesdk</v>
      </c>
      <c r="D8015" s="12"/>
      <c r="E8015" s="11">
        <v>8064.0</v>
      </c>
      <c r="F8015" s="2"/>
    </row>
    <row r="8016" ht="1.5" customHeight="1">
      <c r="A8016" s="4" t="str">
        <f>IFERROR(__xludf.DUMMYFUNCTION("""COMPUTED_VALUE"""),"95. Ariel, 40. Dumpster, 102. Keaton, 141. Kamahalan")</f>
        <v>95. Ariel, 40. Dumpster, 102. Keaton, 141. Kamahalan</v>
      </c>
      <c r="B8016" s="4" t="str">
        <f>IFERROR(__xludf.DUMMYFUNCTION("""COMPUTED_VALUE"""),"95, 40, 102, 141")</f>
        <v>95, 40, 102, 141</v>
      </c>
      <c r="C8016" s="5" t="str">
        <f>IFERROR(__xludf.DUMMYFUNCTION("""COMPUTED_VALUE"""),"https://drive.google.com/file/d/115XdyY2SU-D7YPIkbKD9ZJAFf_KbVbDn/view?usp=drivesdk")</f>
        <v>https://drive.google.com/file/d/115XdyY2SU-D7YPIkbKD9ZJAFf_KbVbDn/view?usp=drivesdk</v>
      </c>
      <c r="D8016" s="12"/>
      <c r="E8016" s="11">
        <v>8065.0</v>
      </c>
      <c r="F8016" s="2"/>
    </row>
    <row r="8017" ht="1.5" customHeight="1">
      <c r="A8017" s="4" t="str">
        <f>IFERROR(__xludf.DUMMYFUNCTION("""COMPUTED_VALUE"""),"58. Eden")</f>
        <v>58. Eden</v>
      </c>
      <c r="B8017" s="4" t="str">
        <f>IFERROR(__xludf.DUMMYFUNCTION("""COMPUTED_VALUE"""),"58")</f>
        <v>58</v>
      </c>
      <c r="C8017" s="5" t="str">
        <f>IFERROR(__xludf.DUMMYFUNCTION("""COMPUTED_VALUE"""),"https://drive.google.com/file/d/1X0nuzmn3gSSGd7bsIi-fsbLgXN1QMC8F/view?usp=drivesdk")</f>
        <v>https://drive.google.com/file/d/1X0nuzmn3gSSGd7bsIi-fsbLgXN1QMC8F/view?usp=drivesdk</v>
      </c>
      <c r="D8017" s="12"/>
      <c r="E8017" s="11">
        <v>8066.0</v>
      </c>
      <c r="F8017" s="2"/>
    </row>
    <row r="8018" ht="1.5" customHeight="1">
      <c r="A8018" s="4" t="str">
        <f>IFERROR(__xludf.DUMMYFUNCTION("""COMPUTED_VALUE"""),"1. Microwave")</f>
        <v>1. Microwave</v>
      </c>
      <c r="B8018" s="4" t="str">
        <f>IFERROR(__xludf.DUMMYFUNCTION("""COMPUTED_VALUE"""),"1")</f>
        <v>1</v>
      </c>
      <c r="C8018" s="5" t="str">
        <f>IFERROR(__xludf.DUMMYFUNCTION("""COMPUTED_VALUE"""),"https://drive.google.com/file/d/1jH5HTNCexwDZHhtlf_jtOZFBn54xINoH/view?usp=drivesdk")</f>
        <v>https://drive.google.com/file/d/1jH5HTNCexwDZHhtlf_jtOZFBn54xINoH/view?usp=drivesdk</v>
      </c>
      <c r="D8018" s="12"/>
      <c r="E8018" s="11">
        <v>8067.0</v>
      </c>
      <c r="F8018" s="2"/>
    </row>
    <row r="8019" ht="1.5" customHeight="1">
      <c r="A8019" s="4" t="str">
        <f>IFERROR(__xludf.DUMMYFUNCTION("""COMPUTED_VALUE"""),"1. Microwave")</f>
        <v>1. Microwave</v>
      </c>
      <c r="B8019" s="4" t="str">
        <f>IFERROR(__xludf.DUMMYFUNCTION("""COMPUTED_VALUE"""),"1")</f>
        <v>1</v>
      </c>
      <c r="C8019" s="5" t="str">
        <f>IFERROR(__xludf.DUMMYFUNCTION("""COMPUTED_VALUE"""),"https://drive.google.com/file/d/1K84yVZTTtClywDTXFavf9Dq7lopmrF8U/view?usp=drivesdk")</f>
        <v>https://drive.google.com/file/d/1K84yVZTTtClywDTXFavf9Dq7lopmrF8U/view?usp=drivesdk</v>
      </c>
      <c r="D8019" s="12"/>
      <c r="E8019" s="11">
        <v>8068.0</v>
      </c>
      <c r="F8019" s="2"/>
    </row>
    <row r="8020" ht="1.5" customHeight="1">
      <c r="A8020" s="4" t="str">
        <f>IFERROR(__xludf.DUMMYFUNCTION("""COMPUTED_VALUE"""),"1. Microwave")</f>
        <v>1. Microwave</v>
      </c>
      <c r="B8020" s="4" t="str">
        <f>IFERROR(__xludf.DUMMYFUNCTION("""COMPUTED_VALUE"""),"1")</f>
        <v>1</v>
      </c>
      <c r="C8020" s="5" t="str">
        <f>IFERROR(__xludf.DUMMYFUNCTION("""COMPUTED_VALUE"""),"https://drive.google.com/file/d/1iPx_5C6iDArHicNujfYywhqLLAzJjdgD/view?usp=drivesdk")</f>
        <v>https://drive.google.com/file/d/1iPx_5C6iDArHicNujfYywhqLLAzJjdgD/view?usp=drivesdk</v>
      </c>
      <c r="D8020" s="12"/>
      <c r="E8020" s="11">
        <v>8069.0</v>
      </c>
      <c r="F8020" s="2"/>
    </row>
    <row r="8021" ht="1.5" customHeight="1">
      <c r="A8021" s="4" t="str">
        <f>IFERROR(__xludf.DUMMYFUNCTION("""COMPUTED_VALUE"""),"1. Microwave")</f>
        <v>1. Microwave</v>
      </c>
      <c r="B8021" s="4" t="str">
        <f>IFERROR(__xludf.DUMMYFUNCTION("""COMPUTED_VALUE"""),"1")</f>
        <v>1</v>
      </c>
      <c r="C8021" s="5" t="str">
        <f>IFERROR(__xludf.DUMMYFUNCTION("""COMPUTED_VALUE"""),"https://drive.google.com/file/d/1UDw5WbR6nbtCuGJqTbWvl4iLJ3EGlTMk/view?usp=drivesdk")</f>
        <v>https://drive.google.com/file/d/1UDw5WbR6nbtCuGJqTbWvl4iLJ3EGlTMk/view?usp=drivesdk</v>
      </c>
      <c r="D8021" s="12"/>
      <c r="E8021" s="11">
        <v>8070.0</v>
      </c>
      <c r="F8021" s="2"/>
    </row>
    <row r="8022" ht="1.5" customHeight="1">
      <c r="A8022" s="4" t="str">
        <f>IFERROR(__xludf.DUMMYFUNCTION("""COMPUTED_VALUE"""),"0. NotACat")</f>
        <v>0. NotACat</v>
      </c>
      <c r="B8022" s="4" t="str">
        <f>IFERROR(__xludf.DUMMYFUNCTION("""COMPUTED_VALUE"""),"0")</f>
        <v>0</v>
      </c>
      <c r="C8022" s="5" t="str">
        <f>IFERROR(__xludf.DUMMYFUNCTION("""COMPUTED_VALUE"""),"https://drive.google.com/file/d/1Kz2iDPc3te1m4FpP6nzZn1Bj53LEc_60/view?usp=drivesdk")</f>
        <v>https://drive.google.com/file/d/1Kz2iDPc3te1m4FpP6nzZn1Bj53LEc_60/view?usp=drivesdk</v>
      </c>
      <c r="D8022" s="12"/>
      <c r="E8022" s="11">
        <v>8071.0</v>
      </c>
      <c r="F8022" s="2"/>
    </row>
    <row r="8023" ht="1.5" customHeight="1">
      <c r="A8023" s="4" t="str">
        <f>IFERROR(__xludf.DUMMYFUNCTION("""COMPUTED_VALUE"""),"1. Microwave")</f>
        <v>1. Microwave</v>
      </c>
      <c r="B8023" s="4" t="str">
        <f>IFERROR(__xludf.DUMMYFUNCTION("""COMPUTED_VALUE"""),"1")</f>
        <v>1</v>
      </c>
      <c r="C8023" s="5" t="str">
        <f>IFERROR(__xludf.DUMMYFUNCTION("""COMPUTED_VALUE"""),"https://drive.google.com/file/d/1XJ66aGEd27ymesI32uvpDyNgpIzmAsgw/view?usp=drivesdk")</f>
        <v>https://drive.google.com/file/d/1XJ66aGEd27ymesI32uvpDyNgpIzmAsgw/view?usp=drivesdk</v>
      </c>
      <c r="D8023" s="12"/>
      <c r="E8023" s="11">
        <v>8072.0</v>
      </c>
      <c r="F8023" s="2"/>
    </row>
    <row r="8024" ht="1.5" customHeight="1">
      <c r="A8024" s="4" t="str">
        <f>IFERROR(__xludf.DUMMYFUNCTION("""COMPUTED_VALUE"""),"36. Scringle")</f>
        <v>36. Scringle</v>
      </c>
      <c r="B8024" s="4" t="str">
        <f>IFERROR(__xludf.DUMMYFUNCTION("""COMPUTED_VALUE"""),"36")</f>
        <v>36</v>
      </c>
      <c r="C8024" s="5" t="str">
        <f>IFERROR(__xludf.DUMMYFUNCTION("""COMPUTED_VALUE"""),"https://drive.google.com/file/d/15Olfyd1XAQ0QCoUUd6TIj-75LuG5XnHc/view?usp=drivesdk")</f>
        <v>https://drive.google.com/file/d/15Olfyd1XAQ0QCoUUd6TIj-75LuG5XnHc/view?usp=drivesdk</v>
      </c>
      <c r="D8024" s="12"/>
      <c r="E8024" s="11">
        <v>8073.0</v>
      </c>
      <c r="F8024" s="2"/>
    </row>
    <row r="8025" ht="1.5" customHeight="1">
      <c r="A8025" s="4" t="str">
        <f>IFERROR(__xludf.DUMMYFUNCTION("""COMPUTED_VALUE"""),"36. Scringle")</f>
        <v>36. Scringle</v>
      </c>
      <c r="B8025" s="4" t="str">
        <f>IFERROR(__xludf.DUMMYFUNCTION("""COMPUTED_VALUE"""),"36")</f>
        <v>36</v>
      </c>
      <c r="C8025" s="5" t="str">
        <f>IFERROR(__xludf.DUMMYFUNCTION("""COMPUTED_VALUE"""),"https://drive.google.com/file/d/1zZYBoekQtIZ_8VsqCccz8u_gL6kw9GmK/view?usp=drivesdk")</f>
        <v>https://drive.google.com/file/d/1zZYBoekQtIZ_8VsqCccz8u_gL6kw9GmK/view?usp=drivesdk</v>
      </c>
      <c r="D8025" s="12"/>
      <c r="E8025" s="11">
        <v>8074.0</v>
      </c>
      <c r="F8025" s="2"/>
    </row>
    <row r="8026" ht="1.5" customHeight="1">
      <c r="A8026" s="4" t="str">
        <f>IFERROR(__xludf.DUMMYFUNCTION("""COMPUTED_VALUE"""),"129. Charles")</f>
        <v>129. Charles</v>
      </c>
      <c r="B8026" s="4" t="str">
        <f>IFERROR(__xludf.DUMMYFUNCTION("""COMPUTED_VALUE"""),"129")</f>
        <v>129</v>
      </c>
      <c r="C8026" s="5" t="str">
        <f>IFERROR(__xludf.DUMMYFUNCTION("""COMPUTED_VALUE"""),"https://drive.google.com/file/d/1yhX3K6eKDOtaWEuZgnUu_lDMV3o6vG-4/view?usp=drivesdk")</f>
        <v>https://drive.google.com/file/d/1yhX3K6eKDOtaWEuZgnUu_lDMV3o6vG-4/view?usp=drivesdk</v>
      </c>
      <c r="D8026" s="12"/>
      <c r="E8026" s="11">
        <v>8075.0</v>
      </c>
      <c r="F8026" s="2"/>
    </row>
    <row r="8027" ht="1.5" customHeight="1">
      <c r="A8027" s="4" t="str">
        <f>IFERROR(__xludf.DUMMYFUNCTION("""COMPUTED_VALUE"""),"1. Microwave")</f>
        <v>1. Microwave</v>
      </c>
      <c r="B8027" s="4" t="str">
        <f>IFERROR(__xludf.DUMMYFUNCTION("""COMPUTED_VALUE"""),"1")</f>
        <v>1</v>
      </c>
      <c r="C8027" s="5" t="str">
        <f>IFERROR(__xludf.DUMMYFUNCTION("""COMPUTED_VALUE"""),"https://drive.google.com/file/d/1rXdReVapM4nB0d4wE6ly8Neiy6V07PkM/view?usp=drivesdk")</f>
        <v>https://drive.google.com/file/d/1rXdReVapM4nB0d4wE6ly8Neiy6V07PkM/view?usp=drivesdk</v>
      </c>
      <c r="D8027" s="12"/>
      <c r="E8027" s="11">
        <v>8076.0</v>
      </c>
      <c r="F8027" s="2"/>
    </row>
    <row r="8028" ht="1.5" customHeight="1">
      <c r="A8028" s="4" t="str">
        <f>IFERROR(__xludf.DUMMYFUNCTION("""COMPUTED_VALUE"""),"4. Eggs")</f>
        <v>4. Eggs</v>
      </c>
      <c r="B8028" s="4" t="str">
        <f>IFERROR(__xludf.DUMMYFUNCTION("""COMPUTED_VALUE"""),"4")</f>
        <v>4</v>
      </c>
      <c r="C8028" s="5" t="str">
        <f>IFERROR(__xludf.DUMMYFUNCTION("""COMPUTED_VALUE"""),"https://drive.google.com/file/d/1GtAwAhjXoo0VjPqJ23TSyGoqU_E1fwJk/view?usp=drivesdk")</f>
        <v>https://drive.google.com/file/d/1GtAwAhjXoo0VjPqJ23TSyGoqU_E1fwJk/view?usp=drivesdk</v>
      </c>
      <c r="D8028" s="12"/>
      <c r="E8028" s="11">
        <v>8077.0</v>
      </c>
      <c r="F8028" s="2"/>
    </row>
    <row r="8029" ht="1.5" customHeight="1">
      <c r="A8029" s="4" t="str">
        <f>IFERROR(__xludf.DUMMYFUNCTION("""COMPUTED_VALUE"""),"0. NotACat")</f>
        <v>0. NotACat</v>
      </c>
      <c r="B8029" s="4" t="str">
        <f>IFERROR(__xludf.DUMMYFUNCTION("""COMPUTED_VALUE"""),"0")</f>
        <v>0</v>
      </c>
      <c r="C8029" s="5" t="str">
        <f>IFERROR(__xludf.DUMMYFUNCTION("""COMPUTED_VALUE"""),"https://drive.google.com/file/d/1izwwDdvtZvq-IHofvH_HvyHF8paLjZF3/view?usp=drivesdk")</f>
        <v>https://drive.google.com/file/d/1izwwDdvtZvq-IHofvH_HvyHF8paLjZF3/view?usp=drivesdk</v>
      </c>
      <c r="D8029" s="12"/>
      <c r="E8029" s="11">
        <v>8078.0</v>
      </c>
      <c r="F8029" s="2"/>
    </row>
    <row r="8030" ht="1.5" customHeight="1">
      <c r="A8030" s="4" t="str">
        <f>IFERROR(__xludf.DUMMYFUNCTION("""COMPUTED_VALUE"""),"111. Mayatl, 109. Tlalli")</f>
        <v>111. Mayatl, 109. Tlalli</v>
      </c>
      <c r="B8030" s="4" t="str">
        <f>IFERROR(__xludf.DUMMYFUNCTION("""COMPUTED_VALUE"""),"111, 109")</f>
        <v>111, 109</v>
      </c>
      <c r="C8030" s="5" t="str">
        <f>IFERROR(__xludf.DUMMYFUNCTION("""COMPUTED_VALUE"""),"https://drive.google.com/file/d/1VryTfr8KrObYiYCQj50KGQE9l0QYfpEI/view?usp=drivesdk")</f>
        <v>https://drive.google.com/file/d/1VryTfr8KrObYiYCQj50KGQE9l0QYfpEI/view?usp=drivesdk</v>
      </c>
      <c r="D8030" s="12"/>
      <c r="E8030" s="11">
        <v>8079.0</v>
      </c>
      <c r="F8030" s="2"/>
    </row>
    <row r="8031" ht="1.5" customHeight="1">
      <c r="A8031" s="4" t="str">
        <f>IFERROR(__xludf.DUMMYFUNCTION("""COMPUTED_VALUE"""),"141. Kamahalan")</f>
        <v>141. Kamahalan</v>
      </c>
      <c r="B8031" s="4" t="str">
        <f>IFERROR(__xludf.DUMMYFUNCTION("""COMPUTED_VALUE"""),"141")</f>
        <v>141</v>
      </c>
      <c r="C8031" s="5" t="str">
        <f>IFERROR(__xludf.DUMMYFUNCTION("""COMPUTED_VALUE"""),"https://drive.google.com/file/d/1WZ8m_nrWowsa2yc92pMsK6iqRxGhLFnk/view?usp=drivesdk")</f>
        <v>https://drive.google.com/file/d/1WZ8m_nrWowsa2yc92pMsK6iqRxGhLFnk/view?usp=drivesdk</v>
      </c>
      <c r="D8031" s="12"/>
      <c r="E8031" s="11">
        <v>8080.0</v>
      </c>
      <c r="F8031" s="2"/>
    </row>
    <row r="8032" ht="1.5" customHeight="1">
      <c r="A8032" s="4" t="str">
        <f>IFERROR(__xludf.DUMMYFUNCTION("""COMPUTED_VALUE"""),"141. Kamahalan, 95. Ariel, 88. Vincente")</f>
        <v>141. Kamahalan, 95. Ariel, 88. Vincente</v>
      </c>
      <c r="B8032" s="4" t="str">
        <f>IFERROR(__xludf.DUMMYFUNCTION("""COMPUTED_VALUE"""),"141, 95, 88")</f>
        <v>141, 95, 88</v>
      </c>
      <c r="C8032" s="5" t="str">
        <f>IFERROR(__xludf.DUMMYFUNCTION("""COMPUTED_VALUE"""),"https://drive.google.com/file/d/1qgWNsBYFPmJauo6cwkFG8n6VdfjLcM5w/view?usp=drivesdk")</f>
        <v>https://drive.google.com/file/d/1qgWNsBYFPmJauo6cwkFG8n6VdfjLcM5w/view?usp=drivesdk</v>
      </c>
      <c r="D8032" s="12"/>
      <c r="E8032" s="11">
        <v>8081.0</v>
      </c>
      <c r="F8032" s="2"/>
    </row>
    <row r="8033" ht="1.5" customHeight="1">
      <c r="A8033" s="4" t="str">
        <f>IFERROR(__xludf.DUMMYFUNCTION("""COMPUTED_VALUE"""),"141. Kamahalan, 95. Ariel, 88. Vincente")</f>
        <v>141. Kamahalan, 95. Ariel, 88. Vincente</v>
      </c>
      <c r="B8033" s="4" t="str">
        <f>IFERROR(__xludf.DUMMYFUNCTION("""COMPUTED_VALUE"""),"141, 95, 88")</f>
        <v>141, 95, 88</v>
      </c>
      <c r="C8033" s="5" t="str">
        <f>IFERROR(__xludf.DUMMYFUNCTION("""COMPUTED_VALUE"""),"https://drive.google.com/file/d/1dV0_Z0z78LpoFs9uUjj-LColsY-V28V0/view?usp=drivesdk")</f>
        <v>https://drive.google.com/file/d/1dV0_Z0z78LpoFs9uUjj-LColsY-V28V0/view?usp=drivesdk</v>
      </c>
      <c r="D8033" s="12"/>
      <c r="E8033" s="11">
        <v>8082.0</v>
      </c>
      <c r="F8033" s="2"/>
    </row>
    <row r="8034" ht="1.5" customHeight="1">
      <c r="A8034" s="4" t="str">
        <f>IFERROR(__xludf.DUMMYFUNCTION("""COMPUTED_VALUE"""),"45. Boots, 146. Monsieur Stanky")</f>
        <v>45. Boots, 146. Monsieur Stanky</v>
      </c>
      <c r="B8034" s="4" t="str">
        <f>IFERROR(__xludf.DUMMYFUNCTION("""COMPUTED_VALUE"""),"45, 146")</f>
        <v>45, 146</v>
      </c>
      <c r="C8034" s="5" t="str">
        <f>IFERROR(__xludf.DUMMYFUNCTION("""COMPUTED_VALUE"""),"https://drive.google.com/file/d/1sEmb7v_0MPpQX_Du8TCc7RgoyNQnGlap/view?usp=drivesdk")</f>
        <v>https://drive.google.com/file/d/1sEmb7v_0MPpQX_Du8TCc7RgoyNQnGlap/view?usp=drivesdk</v>
      </c>
      <c r="D8034" s="12"/>
      <c r="E8034" s="11">
        <v>8083.0</v>
      </c>
      <c r="F8034" s="2"/>
    </row>
    <row r="8035" ht="1.5" customHeight="1">
      <c r="A8035" s="4" t="str">
        <f>IFERROR(__xludf.DUMMYFUNCTION("""COMPUTED_VALUE"""),"141. Kamahalan, 88. Vincente, 58. Eden, 95. Ariel")</f>
        <v>141. Kamahalan, 88. Vincente, 58. Eden, 95. Ariel</v>
      </c>
      <c r="B8035" s="4" t="str">
        <f>IFERROR(__xludf.DUMMYFUNCTION("""COMPUTED_VALUE"""),"141, 88, 58, 95")</f>
        <v>141, 88, 58, 95</v>
      </c>
      <c r="C8035" s="5" t="str">
        <f>IFERROR(__xludf.DUMMYFUNCTION("""COMPUTED_VALUE"""),"https://drive.google.com/file/d/1TaU1Y5pjWPj-M905gahg-jXn95gUYeJ_/view?usp=drivesdk")</f>
        <v>https://drive.google.com/file/d/1TaU1Y5pjWPj-M905gahg-jXn95gUYeJ_/view?usp=drivesdk</v>
      </c>
      <c r="D8035" s="12"/>
      <c r="E8035" s="11">
        <v>8084.0</v>
      </c>
      <c r="F8035" s="2"/>
    </row>
    <row r="8036" ht="1.5" customHeight="1">
      <c r="A8036" s="4" t="str">
        <f>IFERROR(__xludf.DUMMYFUNCTION("""COMPUTED_VALUE"""),"88. Vincente")</f>
        <v>88. Vincente</v>
      </c>
      <c r="B8036" s="4" t="str">
        <f>IFERROR(__xludf.DUMMYFUNCTION("""COMPUTED_VALUE"""),"88")</f>
        <v>88</v>
      </c>
      <c r="C8036" s="5" t="str">
        <f>IFERROR(__xludf.DUMMYFUNCTION("""COMPUTED_VALUE"""),"https://drive.google.com/file/d/1CJlh1fM5Rb8ecwCZW1F9hKiabqF7F3fT/view?usp=drivesdk")</f>
        <v>https://drive.google.com/file/d/1CJlh1fM5Rb8ecwCZW1F9hKiabqF7F3fT/view?usp=drivesdk</v>
      </c>
      <c r="D8036" s="12"/>
      <c r="E8036" s="11">
        <v>8085.0</v>
      </c>
      <c r="F8036" s="2"/>
    </row>
    <row r="8037" ht="1.5" customHeight="1">
      <c r="A8037" s="4" t="str">
        <f>IFERROR(__xludf.DUMMYFUNCTION("""COMPUTED_VALUE"""),"44. Shitbag Cuntface, 58. Eden")</f>
        <v>44. Shitbag Cuntface, 58. Eden</v>
      </c>
      <c r="B8037" s="4" t="str">
        <f>IFERROR(__xludf.DUMMYFUNCTION("""COMPUTED_VALUE"""),"44, 58")</f>
        <v>44, 58</v>
      </c>
      <c r="C8037" s="5" t="str">
        <f>IFERROR(__xludf.DUMMYFUNCTION("""COMPUTED_VALUE"""),"https://drive.google.com/file/d/1xqYS53wdLLKoIsieWLQo4FiPSprGpt76/view?usp=drivesdk")</f>
        <v>https://drive.google.com/file/d/1xqYS53wdLLKoIsieWLQo4FiPSprGpt76/view?usp=drivesdk</v>
      </c>
      <c r="D8037" s="12"/>
      <c r="E8037" s="11">
        <v>8086.0</v>
      </c>
      <c r="F8037" s="2"/>
    </row>
    <row r="8038" ht="1.5" customHeight="1">
      <c r="A8038" s="4" t="str">
        <f>IFERROR(__xludf.DUMMYFUNCTION("""COMPUTED_VALUE"""),"141. Kamahalan, 95. Ariel")</f>
        <v>141. Kamahalan, 95. Ariel</v>
      </c>
      <c r="B8038" s="4" t="str">
        <f>IFERROR(__xludf.DUMMYFUNCTION("""COMPUTED_VALUE"""),"141, 95")</f>
        <v>141, 95</v>
      </c>
      <c r="C8038" s="5" t="str">
        <f>IFERROR(__xludf.DUMMYFUNCTION("""COMPUTED_VALUE"""),"https://drive.google.com/file/d/1q2BDMRIYAyIJxdIU2mpFogTpSWxDYbYj/view?usp=drivesdk")</f>
        <v>https://drive.google.com/file/d/1q2BDMRIYAyIJxdIU2mpFogTpSWxDYbYj/view?usp=drivesdk</v>
      </c>
      <c r="D8038" s="12"/>
      <c r="E8038" s="11">
        <v>8087.0</v>
      </c>
      <c r="F8038" s="2"/>
    </row>
    <row r="8039" ht="1.5" customHeight="1">
      <c r="A8039" s="4" t="str">
        <f>IFERROR(__xludf.DUMMYFUNCTION("""COMPUTED_VALUE"""),"0. NotACat")</f>
        <v>0. NotACat</v>
      </c>
      <c r="B8039" s="4" t="str">
        <f>IFERROR(__xludf.DUMMYFUNCTION("""COMPUTED_VALUE"""),"0")</f>
        <v>0</v>
      </c>
      <c r="C8039" s="5" t="str">
        <f>IFERROR(__xludf.DUMMYFUNCTION("""COMPUTED_VALUE"""),"https://drive.google.com/file/d/19JNLCP5pkHKniKCIBRZvhUEN0aYkRXa3/view?usp=drivesdk")</f>
        <v>https://drive.google.com/file/d/19JNLCP5pkHKniKCIBRZvhUEN0aYkRXa3/view?usp=drivesdk</v>
      </c>
      <c r="D8039" s="12"/>
      <c r="E8039" s="11">
        <v>8088.0</v>
      </c>
      <c r="F8039" s="2"/>
    </row>
    <row r="8040" ht="1.5" customHeight="1">
      <c r="A8040" s="4" t="str">
        <f>IFERROR(__xludf.DUMMYFUNCTION("""COMPUTED_VALUE"""),"1. Microwave")</f>
        <v>1. Microwave</v>
      </c>
      <c r="B8040" s="4" t="str">
        <f>IFERROR(__xludf.DUMMYFUNCTION("""COMPUTED_VALUE"""),"1")</f>
        <v>1</v>
      </c>
      <c r="C8040" s="5" t="str">
        <f>IFERROR(__xludf.DUMMYFUNCTION("""COMPUTED_VALUE"""),"https://drive.google.com/file/d/1aGGaEtuZ2Xj7EK8pn7UadLNFeXCwC0oT/view?usp=drivesdk")</f>
        <v>https://drive.google.com/file/d/1aGGaEtuZ2Xj7EK8pn7UadLNFeXCwC0oT/view?usp=drivesdk</v>
      </c>
      <c r="D8040" s="12"/>
      <c r="E8040" s="11">
        <v>8089.0</v>
      </c>
      <c r="F8040" s="2"/>
    </row>
    <row r="8041" ht="1.5" customHeight="1">
      <c r="A8041" s="4" t="str">
        <f>IFERROR(__xludf.DUMMYFUNCTION("""COMPUTED_VALUE"""),"1. Microwave")</f>
        <v>1. Microwave</v>
      </c>
      <c r="B8041" s="4" t="str">
        <f>IFERROR(__xludf.DUMMYFUNCTION("""COMPUTED_VALUE"""),"1")</f>
        <v>1</v>
      </c>
      <c r="C8041" s="5" t="str">
        <f>IFERROR(__xludf.DUMMYFUNCTION("""COMPUTED_VALUE"""),"https://drive.google.com/file/d/1RH6MnNRk1lqv2UoQA1h2Q3qYte3EKmPr/view?usp=drivesdk")</f>
        <v>https://drive.google.com/file/d/1RH6MnNRk1lqv2UoQA1h2Q3qYte3EKmPr/view?usp=drivesdk</v>
      </c>
      <c r="D8041" s="12"/>
      <c r="E8041" s="11">
        <v>8090.0</v>
      </c>
      <c r="F8041" s="2"/>
    </row>
    <row r="8042" ht="1.5" customHeight="1">
      <c r="A8042" s="4" t="str">
        <f>IFERROR(__xludf.DUMMYFUNCTION("""COMPUTED_VALUE"""),"94. Itztli")</f>
        <v>94. Itztli</v>
      </c>
      <c r="B8042" s="4" t="str">
        <f>IFERROR(__xludf.DUMMYFUNCTION("""COMPUTED_VALUE"""),"94")</f>
        <v>94</v>
      </c>
      <c r="C8042" s="5" t="str">
        <f>IFERROR(__xludf.DUMMYFUNCTION("""COMPUTED_VALUE"""),"https://drive.google.com/file/d/1WzLKjmh-aZONzen0saubueveNk0e54a1/view?usp=drivesdk")</f>
        <v>https://drive.google.com/file/d/1WzLKjmh-aZONzen0saubueveNk0e54a1/view?usp=drivesdk</v>
      </c>
      <c r="D8042" s="12"/>
      <c r="E8042" s="11">
        <v>8091.0</v>
      </c>
      <c r="F8042" s="2"/>
    </row>
    <row r="8043" ht="1.5" customHeight="1">
      <c r="A8043" s="4" t="str">
        <f>IFERROR(__xludf.DUMMYFUNCTION("""COMPUTED_VALUE"""),"1. Microwave")</f>
        <v>1. Microwave</v>
      </c>
      <c r="B8043" s="4" t="str">
        <f>IFERROR(__xludf.DUMMYFUNCTION("""COMPUTED_VALUE"""),"1")</f>
        <v>1</v>
      </c>
      <c r="C8043" s="5" t="str">
        <f>IFERROR(__xludf.DUMMYFUNCTION("""COMPUTED_VALUE"""),"https://drive.google.com/file/d/1Ea93-MgqcfmgmW4X6MCnHCCu5DbH3yjf/view?usp=drivesdk")</f>
        <v>https://drive.google.com/file/d/1Ea93-MgqcfmgmW4X6MCnHCCu5DbH3yjf/view?usp=drivesdk</v>
      </c>
      <c r="D8043" s="12"/>
      <c r="E8043" s="11">
        <v>8092.0</v>
      </c>
      <c r="F8043" s="2"/>
    </row>
    <row r="8044" ht="1.5" customHeight="1">
      <c r="A8044" s="4" t="str">
        <f>IFERROR(__xludf.DUMMYFUNCTION("""COMPUTED_VALUE"""),"6. Snickers")</f>
        <v>6. Snickers</v>
      </c>
      <c r="B8044" s="4" t="str">
        <f>IFERROR(__xludf.DUMMYFUNCTION("""COMPUTED_VALUE"""),"6")</f>
        <v>6</v>
      </c>
      <c r="C8044" s="5" t="str">
        <f>IFERROR(__xludf.DUMMYFUNCTION("""COMPUTED_VALUE"""),"https://drive.google.com/file/d/1qjoqtUQU49BGmOu6Rnaa-6AZ3mNeCPFO/view?usp=drivesdk")</f>
        <v>https://drive.google.com/file/d/1qjoqtUQU49BGmOu6Rnaa-6AZ3mNeCPFO/view?usp=drivesdk</v>
      </c>
      <c r="D8044" s="12"/>
      <c r="E8044" s="11">
        <v>8093.0</v>
      </c>
      <c r="F8044" s="2"/>
    </row>
    <row r="8045" ht="1.5" customHeight="1">
      <c r="A8045" s="4" t="str">
        <f>IFERROR(__xludf.DUMMYFUNCTION("""COMPUTED_VALUE"""),"6. Snickers")</f>
        <v>6. Snickers</v>
      </c>
      <c r="B8045" s="4" t="str">
        <f>IFERROR(__xludf.DUMMYFUNCTION("""COMPUTED_VALUE"""),"6")</f>
        <v>6</v>
      </c>
      <c r="C8045" s="5" t="str">
        <f>IFERROR(__xludf.DUMMYFUNCTION("""COMPUTED_VALUE"""),"https://drive.google.com/file/d/1p3Ve90JuDQOgsNmc0xjTifQuSGe6QJ5c/view?usp=drivesdk")</f>
        <v>https://drive.google.com/file/d/1p3Ve90JuDQOgsNmc0xjTifQuSGe6QJ5c/view?usp=drivesdk</v>
      </c>
      <c r="D8045" s="12"/>
      <c r="E8045" s="11">
        <v>8094.0</v>
      </c>
      <c r="F8045" s="2"/>
    </row>
    <row r="8046" ht="1.5" customHeight="1">
      <c r="A8046" s="4" t="str">
        <f>IFERROR(__xludf.DUMMYFUNCTION("""COMPUTED_VALUE"""),"6. Snickers")</f>
        <v>6. Snickers</v>
      </c>
      <c r="B8046" s="4" t="str">
        <f>IFERROR(__xludf.DUMMYFUNCTION("""COMPUTED_VALUE"""),"6")</f>
        <v>6</v>
      </c>
      <c r="C8046" s="5" t="str">
        <f>IFERROR(__xludf.DUMMYFUNCTION("""COMPUTED_VALUE"""),"https://drive.google.com/file/d/1J8FDwAlDMYXr8AP_960pNFwzgYqknC4K/view?usp=drivesdk")</f>
        <v>https://drive.google.com/file/d/1J8FDwAlDMYXr8AP_960pNFwzgYqknC4K/view?usp=drivesdk</v>
      </c>
      <c r="D8046" s="12"/>
      <c r="E8046" s="11">
        <v>8095.0</v>
      </c>
      <c r="F8046" s="2"/>
    </row>
    <row r="8047" ht="1.5" customHeight="1">
      <c r="A8047" s="4" t="str">
        <f>IFERROR(__xludf.DUMMYFUNCTION("""COMPUTED_VALUE"""),"1. Microwave")</f>
        <v>1. Microwave</v>
      </c>
      <c r="B8047" s="4" t="str">
        <f>IFERROR(__xludf.DUMMYFUNCTION("""COMPUTED_VALUE"""),"1")</f>
        <v>1</v>
      </c>
      <c r="C8047" s="5" t="str">
        <f>IFERROR(__xludf.DUMMYFUNCTION("""COMPUTED_VALUE"""),"https://drive.google.com/file/d/1V2_aKXrTKFB1rblMEYDMbGvDvKj59zIE/view?usp=drivesdk")</f>
        <v>https://drive.google.com/file/d/1V2_aKXrTKFB1rblMEYDMbGvDvKj59zIE/view?usp=drivesdk</v>
      </c>
      <c r="D8047" s="12"/>
      <c r="E8047" s="11">
        <v>8096.0</v>
      </c>
      <c r="F8047" s="2"/>
    </row>
    <row r="8048" ht="1.5" customHeight="1">
      <c r="A8048" s="4" t="str">
        <f>IFERROR(__xludf.DUMMYFUNCTION("""COMPUTED_VALUE"""),"1. Microwave")</f>
        <v>1. Microwave</v>
      </c>
      <c r="B8048" s="4" t="str">
        <f>IFERROR(__xludf.DUMMYFUNCTION("""COMPUTED_VALUE"""),"1")</f>
        <v>1</v>
      </c>
      <c r="C8048" s="5" t="str">
        <f>IFERROR(__xludf.DUMMYFUNCTION("""COMPUTED_VALUE"""),"https://drive.google.com/file/d/1yqCWkS2yG9GojNxK4kvsuHLZwt3IK3Bf/view?usp=drivesdk")</f>
        <v>https://drive.google.com/file/d/1yqCWkS2yG9GojNxK4kvsuHLZwt3IK3Bf/view?usp=drivesdk</v>
      </c>
      <c r="D8048" s="12"/>
      <c r="E8048" s="11">
        <v>8097.0</v>
      </c>
      <c r="F8048" s="2"/>
    </row>
    <row r="8049" ht="1.5" customHeight="1">
      <c r="A8049" s="4" t="str">
        <f>IFERROR(__xludf.DUMMYFUNCTION("""COMPUTED_VALUE"""),"1. Microwave")</f>
        <v>1. Microwave</v>
      </c>
      <c r="B8049" s="4" t="str">
        <f>IFERROR(__xludf.DUMMYFUNCTION("""COMPUTED_VALUE"""),"1")</f>
        <v>1</v>
      </c>
      <c r="C8049" s="5" t="str">
        <f>IFERROR(__xludf.DUMMYFUNCTION("""COMPUTED_VALUE"""),"https://drive.google.com/file/d/1cPTcDi_FwJ3KWaBPh5kMbfPIzo6y4VZy/view?usp=drivesdk")</f>
        <v>https://drive.google.com/file/d/1cPTcDi_FwJ3KWaBPh5kMbfPIzo6y4VZy/view?usp=drivesdk</v>
      </c>
      <c r="D8049" s="12"/>
      <c r="E8049" s="11">
        <v>8098.0</v>
      </c>
      <c r="F8049" s="2"/>
    </row>
    <row r="8050" ht="1.5" customHeight="1">
      <c r="A8050" s="4" t="str">
        <f>IFERROR(__xludf.DUMMYFUNCTION("""COMPUTED_VALUE"""),"1. Microwave")</f>
        <v>1. Microwave</v>
      </c>
      <c r="B8050" s="4" t="str">
        <f>IFERROR(__xludf.DUMMYFUNCTION("""COMPUTED_VALUE"""),"1")</f>
        <v>1</v>
      </c>
      <c r="C8050" s="5" t="str">
        <f>IFERROR(__xludf.DUMMYFUNCTION("""COMPUTED_VALUE"""),"https://drive.google.com/file/d/1lgaWNHdW94sKhxF_Lz1yvsjsY1yql8rv/view?usp=drivesdk")</f>
        <v>https://drive.google.com/file/d/1lgaWNHdW94sKhxF_Lz1yvsjsY1yql8rv/view?usp=drivesdk</v>
      </c>
      <c r="D8050" s="12"/>
      <c r="E8050" s="11">
        <v>8099.0</v>
      </c>
      <c r="F8050" s="2"/>
    </row>
    <row r="8051" ht="1.5" customHeight="1">
      <c r="A8051" s="4" t="str">
        <f>IFERROR(__xludf.DUMMYFUNCTION("""COMPUTED_VALUE"""),"1. Microwave")</f>
        <v>1. Microwave</v>
      </c>
      <c r="B8051" s="4" t="str">
        <f>IFERROR(__xludf.DUMMYFUNCTION("""COMPUTED_VALUE"""),"1")</f>
        <v>1</v>
      </c>
      <c r="C8051" s="5" t="str">
        <f>IFERROR(__xludf.DUMMYFUNCTION("""COMPUTED_VALUE"""),"https://drive.google.com/file/d/1UA8ny6fJm8sJ8FVRdw_kJtuobmnPllYh/view?usp=drivesdk")</f>
        <v>https://drive.google.com/file/d/1UA8ny6fJm8sJ8FVRdw_kJtuobmnPllYh/view?usp=drivesdk</v>
      </c>
      <c r="D8051" s="12"/>
      <c r="E8051" s="11">
        <v>8100.0</v>
      </c>
      <c r="F8051" s="2"/>
    </row>
    <row r="8052" ht="1.5" customHeight="1">
      <c r="A8052" s="4" t="str">
        <f>IFERROR(__xludf.DUMMYFUNCTION("""COMPUTED_VALUE"""),"1. Microwave")</f>
        <v>1. Microwave</v>
      </c>
      <c r="B8052" s="4" t="str">
        <f>IFERROR(__xludf.DUMMYFUNCTION("""COMPUTED_VALUE"""),"1")</f>
        <v>1</v>
      </c>
      <c r="C8052" s="5" t="str">
        <f>IFERROR(__xludf.DUMMYFUNCTION("""COMPUTED_VALUE"""),"https://drive.google.com/file/d/1147nw4VQa8fg9CLq9T3sIVcUN7HPTEK5/view?usp=drivesdk")</f>
        <v>https://drive.google.com/file/d/1147nw4VQa8fg9CLq9T3sIVcUN7HPTEK5/view?usp=drivesdk</v>
      </c>
      <c r="D8052" s="12"/>
      <c r="E8052" s="11">
        <v>8101.0</v>
      </c>
      <c r="F8052" s="2"/>
    </row>
    <row r="8053" ht="1.5" customHeight="1">
      <c r="A8053" s="4" t="str">
        <f>IFERROR(__xludf.DUMMYFUNCTION("""COMPUTED_VALUE"""),"1. Microwave")</f>
        <v>1. Microwave</v>
      </c>
      <c r="B8053" s="4" t="str">
        <f>IFERROR(__xludf.DUMMYFUNCTION("""COMPUTED_VALUE"""),"1")</f>
        <v>1</v>
      </c>
      <c r="C8053" s="5" t="str">
        <f>IFERROR(__xludf.DUMMYFUNCTION("""COMPUTED_VALUE"""),"https://drive.google.com/file/d/1wCTsDd7bG3R1OlZL2T_WL4YwpM1BfPFL/view?usp=drivesdk")</f>
        <v>https://drive.google.com/file/d/1wCTsDd7bG3R1OlZL2T_WL4YwpM1BfPFL/view?usp=drivesdk</v>
      </c>
      <c r="D8053" s="12"/>
      <c r="E8053" s="11">
        <v>8102.0</v>
      </c>
      <c r="F8053" s="2"/>
    </row>
    <row r="8054" ht="1.5" customHeight="1">
      <c r="A8054" s="4" t="str">
        <f>IFERROR(__xludf.DUMMYFUNCTION("""COMPUTED_VALUE"""),"1. Microwave")</f>
        <v>1. Microwave</v>
      </c>
      <c r="B8054" s="4" t="str">
        <f>IFERROR(__xludf.DUMMYFUNCTION("""COMPUTED_VALUE"""),"1")</f>
        <v>1</v>
      </c>
      <c r="C8054" s="5" t="str">
        <f>IFERROR(__xludf.DUMMYFUNCTION("""COMPUTED_VALUE"""),"https://drive.google.com/file/d/1WGu3FVpLSJlaeO-3E5Ed5HJHns5h_d_h/view?usp=drivesdk")</f>
        <v>https://drive.google.com/file/d/1WGu3FVpLSJlaeO-3E5Ed5HJHns5h_d_h/view?usp=drivesdk</v>
      </c>
      <c r="D8054" s="12"/>
      <c r="E8054" s="11">
        <v>8103.0</v>
      </c>
      <c r="F8054" s="2"/>
    </row>
    <row r="8055" ht="1.5" customHeight="1">
      <c r="A8055" s="4" t="str">
        <f>IFERROR(__xludf.DUMMYFUNCTION("""COMPUTED_VALUE"""),"99. Nezhui")</f>
        <v>99. Nezhui</v>
      </c>
      <c r="B8055" s="4" t="str">
        <f>IFERROR(__xludf.DUMMYFUNCTION("""COMPUTED_VALUE"""),"99")</f>
        <v>99</v>
      </c>
      <c r="C8055" s="5" t="str">
        <f>IFERROR(__xludf.DUMMYFUNCTION("""COMPUTED_VALUE"""),"https://drive.google.com/file/d/1gQCIzQr_3s3CoC1Pjy0UgKgo6USu__4V/view?usp=drivesdk")</f>
        <v>https://drive.google.com/file/d/1gQCIzQr_3s3CoC1Pjy0UgKgo6USu__4V/view?usp=drivesdk</v>
      </c>
      <c r="D8055" s="12"/>
      <c r="E8055" s="11">
        <v>8104.0</v>
      </c>
      <c r="F8055" s="2"/>
    </row>
    <row r="8056" ht="1.5" customHeight="1">
      <c r="A8056" s="4" t="str">
        <f>IFERROR(__xludf.DUMMYFUNCTION("""COMPUTED_VALUE"""),"99. Nezhui")</f>
        <v>99. Nezhui</v>
      </c>
      <c r="B8056" s="4" t="str">
        <f>IFERROR(__xludf.DUMMYFUNCTION("""COMPUTED_VALUE"""),"99")</f>
        <v>99</v>
      </c>
      <c r="C8056" s="5" t="str">
        <f>IFERROR(__xludf.DUMMYFUNCTION("""COMPUTED_VALUE"""),"https://drive.google.com/file/d/1p-vpVeeU3L5Xe6YX8b_0zz4zWalg8BKp/view?usp=drivesdk")</f>
        <v>https://drive.google.com/file/d/1p-vpVeeU3L5Xe6YX8b_0zz4zWalg8BKp/view?usp=drivesdk</v>
      </c>
      <c r="D8056" s="12"/>
      <c r="E8056" s="11">
        <v>8105.0</v>
      </c>
      <c r="F8056" s="2"/>
    </row>
    <row r="8057" ht="1.5" customHeight="1">
      <c r="A8057" s="4" t="str">
        <f>IFERROR(__xludf.DUMMYFUNCTION("""COMPUTED_VALUE"""),"109. Tlalli, 111. Mayatl")</f>
        <v>109. Tlalli, 111. Mayatl</v>
      </c>
      <c r="B8057" s="4" t="str">
        <f>IFERROR(__xludf.DUMMYFUNCTION("""COMPUTED_VALUE"""),"109, 111")</f>
        <v>109, 111</v>
      </c>
      <c r="C8057" s="5" t="str">
        <f>IFERROR(__xludf.DUMMYFUNCTION("""COMPUTED_VALUE"""),"https://drive.google.com/file/d/1xy3z_0c-4Eq1CLrVPhG55nttaXOEq6ll/view?usp=drivesdk")</f>
        <v>https://drive.google.com/file/d/1xy3z_0c-4Eq1CLrVPhG55nttaXOEq6ll/view?usp=drivesdk</v>
      </c>
      <c r="D8057" s="12"/>
      <c r="E8057" s="11">
        <v>8106.0</v>
      </c>
      <c r="F8057" s="2"/>
    </row>
    <row r="8058" ht="1.5" customHeight="1">
      <c r="A8058" s="4" t="str">
        <f>IFERROR(__xludf.DUMMYFUNCTION("""COMPUTED_VALUE"""),"109. Tlalli, 111. Mayatl")</f>
        <v>109. Tlalli, 111. Mayatl</v>
      </c>
      <c r="B8058" s="4" t="str">
        <f>IFERROR(__xludf.DUMMYFUNCTION("""COMPUTED_VALUE"""),"109, 111")</f>
        <v>109, 111</v>
      </c>
      <c r="C8058" s="5" t="str">
        <f>IFERROR(__xludf.DUMMYFUNCTION("""COMPUTED_VALUE"""),"https://drive.google.com/file/d/10SayEfqxCYr6_lRrJ3HBmxQwYyBOgQXF/view?usp=drivesdk")</f>
        <v>https://drive.google.com/file/d/10SayEfqxCYr6_lRrJ3HBmxQwYyBOgQXF/view?usp=drivesdk</v>
      </c>
      <c r="D8058" s="12"/>
      <c r="E8058" s="11">
        <v>8107.0</v>
      </c>
      <c r="F8058" s="2"/>
    </row>
    <row r="8059" ht="1.5" customHeight="1">
      <c r="A8059" s="4" t="str">
        <f>IFERROR(__xludf.DUMMYFUNCTION("""COMPUTED_VALUE"""),"109. Tlalli")</f>
        <v>109. Tlalli</v>
      </c>
      <c r="B8059" s="4" t="str">
        <f>IFERROR(__xludf.DUMMYFUNCTION("""COMPUTED_VALUE"""),"109")</f>
        <v>109</v>
      </c>
      <c r="C8059" s="5" t="str">
        <f>IFERROR(__xludf.DUMMYFUNCTION("""COMPUTED_VALUE"""),"https://drive.google.com/file/d/10n5lY--Dl2tQyIQG333TplCNUP5yBxl4/view?usp=drivesdk")</f>
        <v>https://drive.google.com/file/d/10n5lY--Dl2tQyIQG333TplCNUP5yBxl4/view?usp=drivesdk</v>
      </c>
      <c r="D8059" s="12"/>
      <c r="E8059" s="11">
        <v>8108.0</v>
      </c>
      <c r="F8059" s="2"/>
    </row>
    <row r="8060" ht="1.5" customHeight="1">
      <c r="A8060" s="4" t="str">
        <f>IFERROR(__xludf.DUMMYFUNCTION("""COMPUTED_VALUE"""),"73. Coronavirus")</f>
        <v>73. Coronavirus</v>
      </c>
      <c r="B8060" s="4" t="str">
        <f>IFERROR(__xludf.DUMMYFUNCTION("""COMPUTED_VALUE"""),"73")</f>
        <v>73</v>
      </c>
      <c r="C8060" s="5" t="str">
        <f>IFERROR(__xludf.DUMMYFUNCTION("""COMPUTED_VALUE"""),"https://drive.google.com/file/d/1mgXZK8DwDBHgot7o8Y7Mv6VRWS7lke0Q/view?usp=drivesdk")</f>
        <v>https://drive.google.com/file/d/1mgXZK8DwDBHgot7o8Y7Mv6VRWS7lke0Q/view?usp=drivesdk</v>
      </c>
      <c r="D8060" s="12"/>
      <c r="E8060" s="11">
        <v>8109.0</v>
      </c>
      <c r="F8060" s="2"/>
    </row>
    <row r="8061" ht="1.5" customHeight="1">
      <c r="A8061" s="4" t="str">
        <f>IFERROR(__xludf.DUMMYFUNCTION("""COMPUTED_VALUE"""),"109. Tlalli, 110. Ahua")</f>
        <v>109. Tlalli, 110. Ahua</v>
      </c>
      <c r="B8061" s="4" t="str">
        <f>IFERROR(__xludf.DUMMYFUNCTION("""COMPUTED_VALUE"""),"109, 110")</f>
        <v>109, 110</v>
      </c>
      <c r="C8061" s="5" t="str">
        <f>IFERROR(__xludf.DUMMYFUNCTION("""COMPUTED_VALUE"""),"https://drive.google.com/file/d/1MEau3wEwZxovOzZZBRBEOdV8t5Z6xa6F/view?usp=drivesdk")</f>
        <v>https://drive.google.com/file/d/1MEau3wEwZxovOzZZBRBEOdV8t5Z6xa6F/view?usp=drivesdk</v>
      </c>
      <c r="D8061" s="12"/>
      <c r="E8061" s="11">
        <v>8110.0</v>
      </c>
      <c r="F8061" s="2"/>
    </row>
    <row r="8062" ht="1.5" customHeight="1">
      <c r="A8062" s="4" t="str">
        <f>IFERROR(__xludf.DUMMYFUNCTION("""COMPUTED_VALUE"""),"109. Tlalli")</f>
        <v>109. Tlalli</v>
      </c>
      <c r="B8062" s="4" t="str">
        <f>IFERROR(__xludf.DUMMYFUNCTION("""COMPUTED_VALUE"""),"109")</f>
        <v>109</v>
      </c>
      <c r="C8062" s="5" t="str">
        <f>IFERROR(__xludf.DUMMYFUNCTION("""COMPUTED_VALUE"""),"https://drive.google.com/file/d/14Iyy6QutIPeCc3TDsRzJlGh0Dm1o9KKs/view?usp=drivesdk")</f>
        <v>https://drive.google.com/file/d/14Iyy6QutIPeCc3TDsRzJlGh0Dm1o9KKs/view?usp=drivesdk</v>
      </c>
      <c r="D8062" s="12"/>
      <c r="E8062" s="11">
        <v>8111.0</v>
      </c>
      <c r="F8062" s="2"/>
    </row>
    <row r="8063" ht="1.5" customHeight="1">
      <c r="A8063" s="4" t="str">
        <f>IFERROR(__xludf.DUMMYFUNCTION("""COMPUTED_VALUE"""),"109. Tlalli, 111. Mayatl")</f>
        <v>109. Tlalli, 111. Mayatl</v>
      </c>
      <c r="B8063" s="4" t="str">
        <f>IFERROR(__xludf.DUMMYFUNCTION("""COMPUTED_VALUE"""),"109, 111")</f>
        <v>109, 111</v>
      </c>
      <c r="C8063" s="5" t="str">
        <f>IFERROR(__xludf.DUMMYFUNCTION("""COMPUTED_VALUE"""),"https://drive.google.com/file/d/1oc3mVE_bkpUudMta-E-u1YSRgP1R0fhS/view?usp=drivesdk")</f>
        <v>https://drive.google.com/file/d/1oc3mVE_bkpUudMta-E-u1YSRgP1R0fhS/view?usp=drivesdk</v>
      </c>
      <c r="D8063" s="12"/>
      <c r="E8063" s="11">
        <v>8112.0</v>
      </c>
      <c r="F8063" s="2"/>
    </row>
    <row r="8064" ht="1.5" customHeight="1">
      <c r="A8064" s="4" t="str">
        <f>IFERROR(__xludf.DUMMYFUNCTION("""COMPUTED_VALUE"""),"1. Microwave")</f>
        <v>1. Microwave</v>
      </c>
      <c r="B8064" s="4" t="str">
        <f>IFERROR(__xludf.DUMMYFUNCTION("""COMPUTED_VALUE"""),"1")</f>
        <v>1</v>
      </c>
      <c r="C8064" s="5" t="str">
        <f>IFERROR(__xludf.DUMMYFUNCTION("""COMPUTED_VALUE"""),"https://drive.google.com/file/d/1ZDO67AeD6B0bwLDiGmoCQzUc7LZ5bFjc/view?usp=drivesdk")</f>
        <v>https://drive.google.com/file/d/1ZDO67AeD6B0bwLDiGmoCQzUc7LZ5bFjc/view?usp=drivesdk</v>
      </c>
      <c r="D8064" s="12"/>
      <c r="E8064" s="11">
        <v>8113.0</v>
      </c>
      <c r="F8064" s="2"/>
    </row>
    <row r="8065" ht="1.5" customHeight="1">
      <c r="A8065" s="4" t="str">
        <f>IFERROR(__xludf.DUMMYFUNCTION("""COMPUTED_VALUE"""),"1. Microwave")</f>
        <v>1. Microwave</v>
      </c>
      <c r="B8065" s="4" t="str">
        <f>IFERROR(__xludf.DUMMYFUNCTION("""COMPUTED_VALUE"""),"1")</f>
        <v>1</v>
      </c>
      <c r="C8065" s="5" t="str">
        <f>IFERROR(__xludf.DUMMYFUNCTION("""COMPUTED_VALUE"""),"https://drive.google.com/file/d/1HX4kvH9QsWfZq8d52ntzDgodXmDUkVQE/view?usp=drivesdk")</f>
        <v>https://drive.google.com/file/d/1HX4kvH9QsWfZq8d52ntzDgodXmDUkVQE/view?usp=drivesdk</v>
      </c>
      <c r="D8065" s="12"/>
      <c r="E8065" s="11">
        <v>8114.0</v>
      </c>
      <c r="F8065" s="2"/>
    </row>
    <row r="8066" ht="1.5" customHeight="1">
      <c r="A8066" s="4" t="str">
        <f>IFERROR(__xludf.DUMMYFUNCTION("""COMPUTED_VALUE"""),"1. Microwave")</f>
        <v>1. Microwave</v>
      </c>
      <c r="B8066" s="4" t="str">
        <f>IFERROR(__xludf.DUMMYFUNCTION("""COMPUTED_VALUE"""),"1")</f>
        <v>1</v>
      </c>
      <c r="C8066" s="5" t="str">
        <f>IFERROR(__xludf.DUMMYFUNCTION("""COMPUTED_VALUE"""),"https://drive.google.com/file/d/1T1MFVh-Lf2LE4h6TbDdHUovVu7wwsrLM/view?usp=drivesdk")</f>
        <v>https://drive.google.com/file/d/1T1MFVh-Lf2LE4h6TbDdHUovVu7wwsrLM/view?usp=drivesdk</v>
      </c>
      <c r="D8066" s="12"/>
      <c r="E8066" s="11">
        <v>8115.0</v>
      </c>
      <c r="F8066" s="2"/>
    </row>
    <row r="8067" ht="1.5" customHeight="1">
      <c r="A8067" s="4" t="str">
        <f>IFERROR(__xludf.DUMMYFUNCTION("""COMPUTED_VALUE"""),"1. Microwave")</f>
        <v>1. Microwave</v>
      </c>
      <c r="B8067" s="4" t="str">
        <f>IFERROR(__xludf.DUMMYFUNCTION("""COMPUTED_VALUE"""),"1")</f>
        <v>1</v>
      </c>
      <c r="C8067" s="5" t="str">
        <f>IFERROR(__xludf.DUMMYFUNCTION("""COMPUTED_VALUE"""),"https://drive.google.com/file/d/1Lo0o9Le7UWxlWRjxrfTKrStopwTCc6WM/view?usp=drivesdk")</f>
        <v>https://drive.google.com/file/d/1Lo0o9Le7UWxlWRjxrfTKrStopwTCc6WM/view?usp=drivesdk</v>
      </c>
      <c r="D8067" s="12"/>
      <c r="E8067" s="11">
        <v>8116.0</v>
      </c>
      <c r="F8067" s="2"/>
    </row>
    <row r="8068" ht="1.5" customHeight="1">
      <c r="A8068" s="4" t="str">
        <f>IFERROR(__xludf.DUMMYFUNCTION("""COMPUTED_VALUE"""),"0. NotACat")</f>
        <v>0. NotACat</v>
      </c>
      <c r="B8068" s="4" t="str">
        <f>IFERROR(__xludf.DUMMYFUNCTION("""COMPUTED_VALUE"""),"0")</f>
        <v>0</v>
      </c>
      <c r="C8068" s="5" t="str">
        <f>IFERROR(__xludf.DUMMYFUNCTION("""COMPUTED_VALUE"""),"https://drive.google.com/file/d/1xVf3W5IF9nOkuFyqVHl-K0Rgi9SmfURI/view?usp=drivesdk")</f>
        <v>https://drive.google.com/file/d/1xVf3W5IF9nOkuFyqVHl-K0Rgi9SmfURI/view?usp=drivesdk</v>
      </c>
      <c r="D8068" s="12"/>
      <c r="E8068" s="11">
        <v>8117.0</v>
      </c>
      <c r="F8068" s="2"/>
    </row>
    <row r="8069" ht="1.5" customHeight="1">
      <c r="A8069" s="4" t="str">
        <f>IFERROR(__xludf.DUMMYFUNCTION("""COMPUTED_VALUE"""),"76. Eezard")</f>
        <v>76. Eezard</v>
      </c>
      <c r="B8069" s="4" t="str">
        <f>IFERROR(__xludf.DUMMYFUNCTION("""COMPUTED_VALUE"""),"76")</f>
        <v>76</v>
      </c>
      <c r="C8069" s="5" t="str">
        <f>IFERROR(__xludf.DUMMYFUNCTION("""COMPUTED_VALUE"""),"https://drive.google.com/file/d/13Rqk2bKhea5sqRkHHhZJMG8LHp78DfkK/view?usp=drivesdk")</f>
        <v>https://drive.google.com/file/d/13Rqk2bKhea5sqRkHHhZJMG8LHp78DfkK/view?usp=drivesdk</v>
      </c>
      <c r="D8069" s="12"/>
      <c r="E8069" s="11">
        <v>8118.0</v>
      </c>
      <c r="F8069" s="2"/>
    </row>
    <row r="8070" ht="1.5" customHeight="1">
      <c r="A8070" s="4" t="str">
        <f>IFERROR(__xludf.DUMMYFUNCTION("""COMPUTED_VALUE"""),"76. Eezard")</f>
        <v>76. Eezard</v>
      </c>
      <c r="B8070" s="4" t="str">
        <f>IFERROR(__xludf.DUMMYFUNCTION("""COMPUTED_VALUE"""),"76")</f>
        <v>76</v>
      </c>
      <c r="C8070" s="5" t="str">
        <f>IFERROR(__xludf.DUMMYFUNCTION("""COMPUTED_VALUE"""),"https://drive.google.com/file/d/164h1srou6S7X3VP5wu1lPXZfd1neNDsW/view?usp=drivesdk")</f>
        <v>https://drive.google.com/file/d/164h1srou6S7X3VP5wu1lPXZfd1neNDsW/view?usp=drivesdk</v>
      </c>
      <c r="D8070" s="12"/>
      <c r="E8070" s="11">
        <v>8119.0</v>
      </c>
      <c r="F8070" s="2"/>
    </row>
    <row r="8071" ht="1.5" customHeight="1">
      <c r="A8071" s="4" t="str">
        <f>IFERROR(__xludf.DUMMYFUNCTION("""COMPUTED_VALUE"""),"1. Microwave")</f>
        <v>1. Microwave</v>
      </c>
      <c r="B8071" s="4" t="str">
        <f>IFERROR(__xludf.DUMMYFUNCTION("""COMPUTED_VALUE"""),"1")</f>
        <v>1</v>
      </c>
      <c r="C8071" s="5" t="str">
        <f>IFERROR(__xludf.DUMMYFUNCTION("""COMPUTED_VALUE"""),"https://drive.google.com/file/d/13VtD0m96999Uj_XS7J0e7RQwRhIhiIX_/view?usp=drivesdk")</f>
        <v>https://drive.google.com/file/d/13VtD0m96999Uj_XS7J0e7RQwRhIhiIX_/view?usp=drivesdk</v>
      </c>
      <c r="D8071" s="12"/>
      <c r="E8071" s="11">
        <v>8120.0</v>
      </c>
      <c r="F8071" s="2"/>
    </row>
    <row r="8072" ht="1.5" customHeight="1">
      <c r="A8072" s="4" t="str">
        <f>IFERROR(__xludf.DUMMYFUNCTION("""COMPUTED_VALUE"""),"129. Charles")</f>
        <v>129. Charles</v>
      </c>
      <c r="B8072" s="4" t="str">
        <f>IFERROR(__xludf.DUMMYFUNCTION("""COMPUTED_VALUE"""),"129")</f>
        <v>129</v>
      </c>
      <c r="C8072" s="5" t="str">
        <f>IFERROR(__xludf.DUMMYFUNCTION("""COMPUTED_VALUE"""),"https://drive.google.com/file/d/1qPBV1TmlYNuV6G1iuz5OZiKDZW08qKv9/view?usp=drivesdk")</f>
        <v>https://drive.google.com/file/d/1qPBV1TmlYNuV6G1iuz5OZiKDZW08qKv9/view?usp=drivesdk</v>
      </c>
      <c r="D8072" s="12"/>
      <c r="E8072" s="11">
        <v>8121.0</v>
      </c>
      <c r="F8072" s="2"/>
    </row>
    <row r="8073" ht="1.5" customHeight="1">
      <c r="A8073" s="4" t="str">
        <f>IFERROR(__xludf.DUMMYFUNCTION("""COMPUTED_VALUE"""),"2. Twix")</f>
        <v>2. Twix</v>
      </c>
      <c r="B8073" s="4" t="str">
        <f>IFERROR(__xludf.DUMMYFUNCTION("""COMPUTED_VALUE"""),"2")</f>
        <v>2</v>
      </c>
      <c r="C8073" s="5" t="str">
        <f>IFERROR(__xludf.DUMMYFUNCTION("""COMPUTED_VALUE"""),"https://drive.google.com/file/d/1H0ASE18d1LR2oJZtE0MP1kJPEtxUKTp2/view?usp=drivesdk")</f>
        <v>https://drive.google.com/file/d/1H0ASE18d1LR2oJZtE0MP1kJPEtxUKTp2/view?usp=drivesdk</v>
      </c>
      <c r="D8073" s="12"/>
      <c r="E8073" s="11">
        <v>8122.0</v>
      </c>
      <c r="F8073" s="2"/>
    </row>
    <row r="8074" ht="1.5" customHeight="1">
      <c r="A8074" s="4" t="str">
        <f>IFERROR(__xludf.DUMMYFUNCTION("""COMPUTED_VALUE"""),"29. Ginger")</f>
        <v>29. Ginger</v>
      </c>
      <c r="B8074" s="4" t="str">
        <f>IFERROR(__xludf.DUMMYFUNCTION("""COMPUTED_VALUE"""),"29")</f>
        <v>29</v>
      </c>
      <c r="C8074" s="5" t="str">
        <f>IFERROR(__xludf.DUMMYFUNCTION("""COMPUTED_VALUE"""),"https://drive.google.com/file/d/1nVIS9Zp8T3W_KK6RJOq112zmS76arnpy/view?usp=drivesdk")</f>
        <v>https://drive.google.com/file/d/1nVIS9Zp8T3W_KK6RJOq112zmS76arnpy/view?usp=drivesdk</v>
      </c>
      <c r="D8074" s="12"/>
      <c r="E8074" s="11">
        <v>8123.0</v>
      </c>
      <c r="F8074" s="2"/>
    </row>
    <row r="8075" ht="1.5" customHeight="1">
      <c r="A8075" s="4" t="str">
        <f>IFERROR(__xludf.DUMMYFUNCTION("""COMPUTED_VALUE"""),"33. Zee")</f>
        <v>33. Zee</v>
      </c>
      <c r="B8075" s="4" t="str">
        <f>IFERROR(__xludf.DUMMYFUNCTION("""COMPUTED_VALUE"""),"33")</f>
        <v>33</v>
      </c>
      <c r="C8075" s="5" t="str">
        <f>IFERROR(__xludf.DUMMYFUNCTION("""COMPUTED_VALUE"""),"https://drive.google.com/file/d/1NQ_vmaC6EquCxXhYGnm4b661RkOLJGCJ/view?usp=drivesdk")</f>
        <v>https://drive.google.com/file/d/1NQ_vmaC6EquCxXhYGnm4b661RkOLJGCJ/view?usp=drivesdk</v>
      </c>
      <c r="D8075" s="12"/>
      <c r="E8075" s="11">
        <v>8124.0</v>
      </c>
      <c r="F8075" s="2"/>
    </row>
    <row r="8076" ht="1.5" customHeight="1">
      <c r="A8076" s="4" t="str">
        <f>IFERROR(__xludf.DUMMYFUNCTION("""COMPUTED_VALUE"""),"30. Pepper")</f>
        <v>30. Pepper</v>
      </c>
      <c r="B8076" s="4" t="str">
        <f>IFERROR(__xludf.DUMMYFUNCTION("""COMPUTED_VALUE"""),"30")</f>
        <v>30</v>
      </c>
      <c r="C8076" s="5" t="str">
        <f>IFERROR(__xludf.DUMMYFUNCTION("""COMPUTED_VALUE"""),"https://drive.google.com/file/d/1XA1BBrITM-qnyWfNepQ4TaRPyE9VrKIr/view?usp=drivesdk")</f>
        <v>https://drive.google.com/file/d/1XA1BBrITM-qnyWfNepQ4TaRPyE9VrKIr/view?usp=drivesdk</v>
      </c>
      <c r="D8076" s="12"/>
      <c r="E8076" s="11">
        <v>8125.0</v>
      </c>
      <c r="F8076" s="2"/>
    </row>
    <row r="8077" ht="1.5" customHeight="1">
      <c r="A8077" s="4" t="str">
        <f>IFERROR(__xludf.DUMMYFUNCTION("""COMPUTED_VALUE"""),"30. Pepper, 27. Angel")</f>
        <v>30. Pepper, 27. Angel</v>
      </c>
      <c r="B8077" s="4" t="str">
        <f>IFERROR(__xludf.DUMMYFUNCTION("""COMPUTED_VALUE"""),"30, 27")</f>
        <v>30, 27</v>
      </c>
      <c r="C8077" s="5" t="str">
        <f>IFERROR(__xludf.DUMMYFUNCTION("""COMPUTED_VALUE"""),"https://drive.google.com/file/d/1lfCzIaK9oYjsk5Jfq4NN6Hhwjo-dKoxf/view?usp=drivesdk")</f>
        <v>https://drive.google.com/file/d/1lfCzIaK9oYjsk5Jfq4NN6Hhwjo-dKoxf/view?usp=drivesdk</v>
      </c>
      <c r="D8077" s="12"/>
      <c r="E8077" s="11">
        <v>8126.0</v>
      </c>
      <c r="F8077" s="2"/>
    </row>
    <row r="8078" ht="1.5" customHeight="1">
      <c r="A8078" s="4" t="str">
        <f>IFERROR(__xludf.DUMMYFUNCTION("""COMPUTED_VALUE"""),"32. Noir")</f>
        <v>32. Noir</v>
      </c>
      <c r="B8078" s="4" t="str">
        <f>IFERROR(__xludf.DUMMYFUNCTION("""COMPUTED_VALUE"""),"32")</f>
        <v>32</v>
      </c>
      <c r="C8078" s="5" t="str">
        <f>IFERROR(__xludf.DUMMYFUNCTION("""COMPUTED_VALUE"""),"https://drive.google.com/file/d/1NhN_Db0ayhA4xbRGMHHKUHHj0EDsIbFG/view?usp=drivesdk")</f>
        <v>https://drive.google.com/file/d/1NhN_Db0ayhA4xbRGMHHKUHHj0EDsIbFG/view?usp=drivesdk</v>
      </c>
      <c r="D8078" s="12"/>
      <c r="E8078" s="11">
        <v>8127.0</v>
      </c>
      <c r="F8078" s="2"/>
    </row>
    <row r="8079" ht="1.5" customHeight="1">
      <c r="A8079" s="4" t="str">
        <f>IFERROR(__xludf.DUMMYFUNCTION("""COMPUTED_VALUE"""),"2. Twix")</f>
        <v>2. Twix</v>
      </c>
      <c r="B8079" s="4" t="str">
        <f>IFERROR(__xludf.DUMMYFUNCTION("""COMPUTED_VALUE"""),"2")</f>
        <v>2</v>
      </c>
      <c r="C8079" s="5" t="str">
        <f>IFERROR(__xludf.DUMMYFUNCTION("""COMPUTED_VALUE"""),"https://drive.google.com/file/d/1YxWcwSIoCX5gqkNXNuMeDYPREBb57YU0/view?usp=drivesdk")</f>
        <v>https://drive.google.com/file/d/1YxWcwSIoCX5gqkNXNuMeDYPREBb57YU0/view?usp=drivesdk</v>
      </c>
      <c r="D8079" s="12"/>
      <c r="E8079" s="11">
        <v>8128.0</v>
      </c>
      <c r="F8079" s="2"/>
    </row>
    <row r="8080" ht="1.5" customHeight="1">
      <c r="A8080" s="4" t="str">
        <f>IFERROR(__xludf.DUMMYFUNCTION("""COMPUTED_VALUE"""),"2. Twix")</f>
        <v>2. Twix</v>
      </c>
      <c r="B8080" s="4" t="str">
        <f>IFERROR(__xludf.DUMMYFUNCTION("""COMPUTED_VALUE"""),"2")</f>
        <v>2</v>
      </c>
      <c r="C8080" s="5" t="str">
        <f>IFERROR(__xludf.DUMMYFUNCTION("""COMPUTED_VALUE"""),"https://drive.google.com/file/d/12o6IsV7bPpTeWzpRUofRBG0faQ4fjfXP/view?usp=drivesdk")</f>
        <v>https://drive.google.com/file/d/12o6IsV7bPpTeWzpRUofRBG0faQ4fjfXP/view?usp=drivesdk</v>
      </c>
      <c r="D8080" s="12"/>
      <c r="E8080" s="11">
        <v>8129.0</v>
      </c>
      <c r="F8080" s="2"/>
    </row>
    <row r="8081" ht="1.5" customHeight="1">
      <c r="A8081" s="4" t="str">
        <f>IFERROR(__xludf.DUMMYFUNCTION("""COMPUTED_VALUE"""),"2. Twix")</f>
        <v>2. Twix</v>
      </c>
      <c r="B8081" s="4" t="str">
        <f>IFERROR(__xludf.DUMMYFUNCTION("""COMPUTED_VALUE"""),"2")</f>
        <v>2</v>
      </c>
      <c r="C8081" s="5" t="str">
        <f>IFERROR(__xludf.DUMMYFUNCTION("""COMPUTED_VALUE"""),"https://drive.google.com/file/d/1TasV0miZMgTCujP1bl8ve8hgFLt58WNc/view?usp=drivesdk")</f>
        <v>https://drive.google.com/file/d/1TasV0miZMgTCujP1bl8ve8hgFLt58WNc/view?usp=drivesdk</v>
      </c>
      <c r="D8081" s="12"/>
      <c r="E8081" s="11">
        <v>8130.0</v>
      </c>
      <c r="F8081" s="2"/>
    </row>
    <row r="8082" ht="1.5" customHeight="1">
      <c r="A8082" s="4" t="str">
        <f>IFERROR(__xludf.DUMMYFUNCTION("""COMPUTED_VALUE"""),"1. Microwave")</f>
        <v>1. Microwave</v>
      </c>
      <c r="B8082" s="4" t="str">
        <f>IFERROR(__xludf.DUMMYFUNCTION("""COMPUTED_VALUE"""),"1")</f>
        <v>1</v>
      </c>
      <c r="C8082" s="5" t="str">
        <f>IFERROR(__xludf.DUMMYFUNCTION("""COMPUTED_VALUE"""),"https://drive.google.com/file/d/1drvDeRNYVGyOUJUpjacO-5EUmCANZBsp/view?usp=drivesdk")</f>
        <v>https://drive.google.com/file/d/1drvDeRNYVGyOUJUpjacO-5EUmCANZBsp/view?usp=drivesdk</v>
      </c>
      <c r="D8082" s="12"/>
      <c r="E8082" s="11">
        <v>8131.0</v>
      </c>
      <c r="F8082" s="2"/>
    </row>
    <row r="8083" ht="1.5" customHeight="1">
      <c r="A8083" s="4" t="str">
        <f>IFERROR(__xludf.DUMMYFUNCTION("""COMPUTED_VALUE"""),"1. Microwave")</f>
        <v>1. Microwave</v>
      </c>
      <c r="B8083" s="4" t="str">
        <f>IFERROR(__xludf.DUMMYFUNCTION("""COMPUTED_VALUE"""),"1")</f>
        <v>1</v>
      </c>
      <c r="C8083" s="5" t="str">
        <f>IFERROR(__xludf.DUMMYFUNCTION("""COMPUTED_VALUE"""),"https://drive.google.com/file/d/1IAX_TtiBUaoBgnIeY7DvdX2NgjU68hme/view?usp=drivesdk")</f>
        <v>https://drive.google.com/file/d/1IAX_TtiBUaoBgnIeY7DvdX2NgjU68hme/view?usp=drivesdk</v>
      </c>
      <c r="D8083" s="12"/>
      <c r="E8083" s="11">
        <v>8132.0</v>
      </c>
      <c r="F8083" s="2"/>
    </row>
    <row r="8084" ht="1.5" customHeight="1">
      <c r="A8084" s="4" t="str">
        <f>IFERROR(__xludf.DUMMYFUNCTION("""COMPUTED_VALUE"""),"1. Microwave")</f>
        <v>1. Microwave</v>
      </c>
      <c r="B8084" s="4" t="str">
        <f>IFERROR(__xludf.DUMMYFUNCTION("""COMPUTED_VALUE"""),"1")</f>
        <v>1</v>
      </c>
      <c r="C8084" s="5" t="str">
        <f>IFERROR(__xludf.DUMMYFUNCTION("""COMPUTED_VALUE"""),"https://drive.google.com/file/d/1N5oWWXe2KwY0VrXXyPC0ZoSOshpsMs0X/view?usp=drivesdk")</f>
        <v>https://drive.google.com/file/d/1N5oWWXe2KwY0VrXXyPC0ZoSOshpsMs0X/view?usp=drivesdk</v>
      </c>
      <c r="D8084" s="12"/>
      <c r="E8084" s="11">
        <v>8133.0</v>
      </c>
      <c r="F8084" s="2"/>
    </row>
    <row r="8085" ht="1.5" customHeight="1">
      <c r="A8085" s="4" t="str">
        <f>IFERROR(__xludf.DUMMYFUNCTION("""COMPUTED_VALUE"""),"1. Microwave")</f>
        <v>1. Microwave</v>
      </c>
      <c r="B8085" s="4" t="str">
        <f>IFERROR(__xludf.DUMMYFUNCTION("""COMPUTED_VALUE"""),"1")</f>
        <v>1</v>
      </c>
      <c r="C8085" s="5" t="str">
        <f>IFERROR(__xludf.DUMMYFUNCTION("""COMPUTED_VALUE"""),"https://drive.google.com/file/d/1iVoVxPnvAqfKlXRGvhVo1mHbK2KARCXR/view?usp=drivesdk")</f>
        <v>https://drive.google.com/file/d/1iVoVxPnvAqfKlXRGvhVo1mHbK2KARCXR/view?usp=drivesdk</v>
      </c>
      <c r="D8085" s="12"/>
      <c r="E8085" s="11">
        <v>8134.0</v>
      </c>
      <c r="F8085" s="2"/>
    </row>
    <row r="8086" ht="1.5" customHeight="1">
      <c r="A8086" s="4" t="str">
        <f>IFERROR(__xludf.DUMMYFUNCTION("""COMPUTED_VALUE"""),"1. Microwave")</f>
        <v>1. Microwave</v>
      </c>
      <c r="B8086" s="4" t="str">
        <f>IFERROR(__xludf.DUMMYFUNCTION("""COMPUTED_VALUE"""),"1")</f>
        <v>1</v>
      </c>
      <c r="C8086" s="5" t="str">
        <f>IFERROR(__xludf.DUMMYFUNCTION("""COMPUTED_VALUE"""),"https://drive.google.com/file/d/1WnrQzRa3uaN0l5ZOerXyUux36ILsED0o/view?usp=drivesdk")</f>
        <v>https://drive.google.com/file/d/1WnrQzRa3uaN0l5ZOerXyUux36ILsED0o/view?usp=drivesdk</v>
      </c>
      <c r="D8086" s="12"/>
      <c r="E8086" s="11">
        <v>8135.0</v>
      </c>
      <c r="F8086" s="2"/>
    </row>
    <row r="8087" ht="1.5" customHeight="1">
      <c r="A8087" s="4" t="str">
        <f>IFERROR(__xludf.DUMMYFUNCTION("""COMPUTED_VALUE"""),"1. Microwave")</f>
        <v>1. Microwave</v>
      </c>
      <c r="B8087" s="4" t="str">
        <f>IFERROR(__xludf.DUMMYFUNCTION("""COMPUTED_VALUE"""),"1")</f>
        <v>1</v>
      </c>
      <c r="C8087" s="5" t="str">
        <f>IFERROR(__xludf.DUMMYFUNCTION("""COMPUTED_VALUE"""),"https://drive.google.com/file/d/1mTNMqu6z0GGwnURTfOA9ujN1DKAJKvpn/view?usp=drivesdk")</f>
        <v>https://drive.google.com/file/d/1mTNMqu6z0GGwnURTfOA9ujN1DKAJKvpn/view?usp=drivesdk</v>
      </c>
      <c r="D8087" s="12"/>
      <c r="E8087" s="11">
        <v>8136.0</v>
      </c>
      <c r="F8087" s="2"/>
    </row>
    <row r="8088" ht="1.5" customHeight="1">
      <c r="A8088" s="4" t="str">
        <f>IFERROR(__xludf.DUMMYFUNCTION("""COMPUTED_VALUE"""),"1. Microwave")</f>
        <v>1. Microwave</v>
      </c>
      <c r="B8088" s="4" t="str">
        <f>IFERROR(__xludf.DUMMYFUNCTION("""COMPUTED_VALUE"""),"1")</f>
        <v>1</v>
      </c>
      <c r="C8088" s="5" t="str">
        <f>IFERROR(__xludf.DUMMYFUNCTION("""COMPUTED_VALUE"""),"https://drive.google.com/file/d/10H9OW1DSvmAIRXUhCNfTTd268K1Uu9t_/view?usp=drivesdk")</f>
        <v>https://drive.google.com/file/d/10H9OW1DSvmAIRXUhCNfTTd268K1Uu9t_/view?usp=drivesdk</v>
      </c>
      <c r="D8088" s="12"/>
      <c r="E8088" s="11">
        <v>8137.0</v>
      </c>
      <c r="F8088" s="2"/>
    </row>
    <row r="8089" ht="1.5" customHeight="1">
      <c r="A8089" s="4" t="str">
        <f>IFERROR(__xludf.DUMMYFUNCTION("""COMPUTED_VALUE"""),"1. Microwave")</f>
        <v>1. Microwave</v>
      </c>
      <c r="B8089" s="4" t="str">
        <f>IFERROR(__xludf.DUMMYFUNCTION("""COMPUTED_VALUE"""),"1")</f>
        <v>1</v>
      </c>
      <c r="C8089" s="5" t="str">
        <f>IFERROR(__xludf.DUMMYFUNCTION("""COMPUTED_VALUE"""),"https://drive.google.com/file/d/1eRmrbrH0s7C1cQP4MZFy8MaGdaT3NE_x/view?usp=drivesdk")</f>
        <v>https://drive.google.com/file/d/1eRmrbrH0s7C1cQP4MZFy8MaGdaT3NE_x/view?usp=drivesdk</v>
      </c>
      <c r="D8089" s="12"/>
      <c r="E8089" s="11">
        <v>8138.0</v>
      </c>
      <c r="F8089" s="2"/>
    </row>
    <row r="8090" ht="1.5" customHeight="1">
      <c r="A8090" s="4" t="str">
        <f>IFERROR(__xludf.DUMMYFUNCTION("""COMPUTED_VALUE"""),"99. Nezhui, 100. Coatl, 105. Chilton")</f>
        <v>99. Nezhui, 100. Coatl, 105. Chilton</v>
      </c>
      <c r="B8090" s="4" t="str">
        <f>IFERROR(__xludf.DUMMYFUNCTION("""COMPUTED_VALUE"""),"99, 100, 105")</f>
        <v>99, 100, 105</v>
      </c>
      <c r="C8090" s="5" t="str">
        <f>IFERROR(__xludf.DUMMYFUNCTION("""COMPUTED_VALUE"""),"https://drive.google.com/file/d/1grLysuXrRR7AN0ZP3j40n_OUT_vjK57x/view?usp=drivesdk")</f>
        <v>https://drive.google.com/file/d/1grLysuXrRR7AN0ZP3j40n_OUT_vjK57x/view?usp=drivesdk</v>
      </c>
      <c r="D8090" s="12"/>
      <c r="E8090" s="11">
        <v>8139.0</v>
      </c>
      <c r="F8090" s="2"/>
    </row>
    <row r="8091" ht="1.5" customHeight="1">
      <c r="A8091" s="4" t="str">
        <f>IFERROR(__xludf.DUMMYFUNCTION("""COMPUTED_VALUE"""),"88. Vincente")</f>
        <v>88. Vincente</v>
      </c>
      <c r="B8091" s="4" t="str">
        <f>IFERROR(__xludf.DUMMYFUNCTION("""COMPUTED_VALUE"""),"88")</f>
        <v>88</v>
      </c>
      <c r="C8091" s="5" t="str">
        <f>IFERROR(__xludf.DUMMYFUNCTION("""COMPUTED_VALUE"""),"https://drive.google.com/file/d/12o-rMGkQ6ITmu42MGhuass6shx5dOJqC/view?usp=drivesdk")</f>
        <v>https://drive.google.com/file/d/12o-rMGkQ6ITmu42MGhuass6shx5dOJqC/view?usp=drivesdk</v>
      </c>
      <c r="D8091" s="12"/>
      <c r="E8091" s="11">
        <v>8140.0</v>
      </c>
      <c r="F8091" s="2"/>
    </row>
    <row r="8092" ht="1.5" customHeight="1">
      <c r="A8092" s="4" t="str">
        <f>IFERROR(__xludf.DUMMYFUNCTION("""COMPUTED_VALUE"""),"88. Vincente")</f>
        <v>88. Vincente</v>
      </c>
      <c r="B8092" s="4" t="str">
        <f>IFERROR(__xludf.DUMMYFUNCTION("""COMPUTED_VALUE"""),"88")</f>
        <v>88</v>
      </c>
      <c r="C8092" s="5" t="str">
        <f>IFERROR(__xludf.DUMMYFUNCTION("""COMPUTED_VALUE"""),"https://drive.google.com/file/d/1ekR8jhvzdnU1HHetw6Iuos8HY2n0Hykz/view?usp=drivesdk")</f>
        <v>https://drive.google.com/file/d/1ekR8jhvzdnU1HHetw6Iuos8HY2n0Hykz/view?usp=drivesdk</v>
      </c>
      <c r="D8092" s="12"/>
      <c r="E8092" s="11">
        <v>8141.0</v>
      </c>
      <c r="F8092" s="2"/>
    </row>
    <row r="8093" ht="1.5" customHeight="1">
      <c r="A8093" s="4" t="str">
        <f>IFERROR(__xludf.DUMMYFUNCTION("""COMPUTED_VALUE"""),"88. Vincente")</f>
        <v>88. Vincente</v>
      </c>
      <c r="B8093" s="4" t="str">
        <f>IFERROR(__xludf.DUMMYFUNCTION("""COMPUTED_VALUE"""),"88")</f>
        <v>88</v>
      </c>
      <c r="C8093" s="5" t="str">
        <f>IFERROR(__xludf.DUMMYFUNCTION("""COMPUTED_VALUE"""),"https://drive.google.com/file/d/1tlr-JKtLO_qgwYpNHXO-22Riz1Cj1otT/view?usp=drivesdk")</f>
        <v>https://drive.google.com/file/d/1tlr-JKtLO_qgwYpNHXO-22Riz1Cj1otT/view?usp=drivesdk</v>
      </c>
      <c r="D8093" s="12"/>
      <c r="E8093" s="11">
        <v>8142.0</v>
      </c>
      <c r="F8093" s="2"/>
    </row>
    <row r="8094" ht="1.5" customHeight="1">
      <c r="A8094" s="4" t="str">
        <f>IFERROR(__xludf.DUMMYFUNCTION("""COMPUTED_VALUE"""),"95. Ariel")</f>
        <v>95. Ariel</v>
      </c>
      <c r="B8094" s="4" t="str">
        <f>IFERROR(__xludf.DUMMYFUNCTION("""COMPUTED_VALUE"""),"95")</f>
        <v>95</v>
      </c>
      <c r="C8094" s="5" t="str">
        <f>IFERROR(__xludf.DUMMYFUNCTION("""COMPUTED_VALUE"""),"https://drive.google.com/file/d/1u2gceu42ACs-ytxVm7AsSs9ujVbNlWn_/view?usp=drivesdk")</f>
        <v>https://drive.google.com/file/d/1u2gceu42ACs-ytxVm7AsSs9ujVbNlWn_/view?usp=drivesdk</v>
      </c>
      <c r="D8094" s="12"/>
      <c r="E8094" s="11">
        <v>8143.0</v>
      </c>
      <c r="F8094" s="2"/>
    </row>
    <row r="8095" ht="1.5" customHeight="1">
      <c r="A8095" s="4" t="str">
        <f>IFERROR(__xludf.DUMMYFUNCTION("""COMPUTED_VALUE"""),"95. Ariel")</f>
        <v>95. Ariel</v>
      </c>
      <c r="B8095" s="4" t="str">
        <f>IFERROR(__xludf.DUMMYFUNCTION("""COMPUTED_VALUE"""),"95")</f>
        <v>95</v>
      </c>
      <c r="C8095" s="5" t="str">
        <f>IFERROR(__xludf.DUMMYFUNCTION("""COMPUTED_VALUE"""),"https://drive.google.com/file/d/1s-Qz081hOwVn-75leeb5fDynkQaoEYWc/view?usp=drivesdk")</f>
        <v>https://drive.google.com/file/d/1s-Qz081hOwVn-75leeb5fDynkQaoEYWc/view?usp=drivesdk</v>
      </c>
      <c r="D8095" s="12"/>
      <c r="E8095" s="11">
        <v>8144.0</v>
      </c>
      <c r="F8095" s="2"/>
    </row>
    <row r="8096" ht="1.5" customHeight="1">
      <c r="A8096" s="4" t="str">
        <f>IFERROR(__xludf.DUMMYFUNCTION("""COMPUTED_VALUE"""),"95. Ariel")</f>
        <v>95. Ariel</v>
      </c>
      <c r="B8096" s="4" t="str">
        <f>IFERROR(__xludf.DUMMYFUNCTION("""COMPUTED_VALUE"""),"95")</f>
        <v>95</v>
      </c>
      <c r="C8096" s="5" t="str">
        <f>IFERROR(__xludf.DUMMYFUNCTION("""COMPUTED_VALUE"""),"https://drive.google.com/file/d/1RZ_xzl2PDxfWDWQQUt39bK_dqMp7BxI_/view?usp=drivesdk")</f>
        <v>https://drive.google.com/file/d/1RZ_xzl2PDxfWDWQQUt39bK_dqMp7BxI_/view?usp=drivesdk</v>
      </c>
      <c r="D8096" s="12"/>
      <c r="E8096" s="11">
        <v>8145.0</v>
      </c>
      <c r="F8096" s="2"/>
    </row>
    <row r="8097" ht="1.5" customHeight="1">
      <c r="A8097" s="4" t="str">
        <f>IFERROR(__xludf.DUMMYFUNCTION("""COMPUTED_VALUE"""),"95. Ariel")</f>
        <v>95. Ariel</v>
      </c>
      <c r="B8097" s="4" t="str">
        <f>IFERROR(__xludf.DUMMYFUNCTION("""COMPUTED_VALUE"""),"95")</f>
        <v>95</v>
      </c>
      <c r="C8097" s="5" t="str">
        <f>IFERROR(__xludf.DUMMYFUNCTION("""COMPUTED_VALUE"""),"https://drive.google.com/file/d/18kbluG3HNDgFbepztxUdX33jEZ3KZ6ch/view?usp=drivesdk")</f>
        <v>https://drive.google.com/file/d/18kbluG3HNDgFbepztxUdX33jEZ3KZ6ch/view?usp=drivesdk</v>
      </c>
      <c r="D8097" s="12"/>
      <c r="E8097" s="11">
        <v>8146.0</v>
      </c>
      <c r="F8097" s="2"/>
    </row>
    <row r="8098" ht="1.5" customHeight="1">
      <c r="A8098" s="4" t="str">
        <f>IFERROR(__xludf.DUMMYFUNCTION("""COMPUTED_VALUE"""),"95. Ariel")</f>
        <v>95. Ariel</v>
      </c>
      <c r="B8098" s="4" t="str">
        <f>IFERROR(__xludf.DUMMYFUNCTION("""COMPUTED_VALUE"""),"95")</f>
        <v>95</v>
      </c>
      <c r="C8098" s="5" t="str">
        <f>IFERROR(__xludf.DUMMYFUNCTION("""COMPUTED_VALUE"""),"https://drive.google.com/file/d/1xViva9oIkEp33-e-e-h8QoWfCrhzxHmw/view?usp=drivesdk")</f>
        <v>https://drive.google.com/file/d/1xViva9oIkEp33-e-e-h8QoWfCrhzxHmw/view?usp=drivesdk</v>
      </c>
      <c r="D8098" s="12"/>
      <c r="E8098" s="11">
        <v>8147.0</v>
      </c>
      <c r="F8098" s="2"/>
    </row>
    <row r="8099" ht="1.5" customHeight="1">
      <c r="A8099" s="4" t="str">
        <f>IFERROR(__xludf.DUMMYFUNCTION("""COMPUTED_VALUE"""),"95. Ariel")</f>
        <v>95. Ariel</v>
      </c>
      <c r="B8099" s="4" t="str">
        <f>IFERROR(__xludf.DUMMYFUNCTION("""COMPUTED_VALUE"""),"95")</f>
        <v>95</v>
      </c>
      <c r="C8099" s="5" t="str">
        <f>IFERROR(__xludf.DUMMYFUNCTION("""COMPUTED_VALUE"""),"https://drive.google.com/file/d/1Ze8r4DQAI1mlaE4f7jl2V21WJAJwXZNM/view?usp=drivesdk")</f>
        <v>https://drive.google.com/file/d/1Ze8r4DQAI1mlaE4f7jl2V21WJAJwXZNM/view?usp=drivesdk</v>
      </c>
      <c r="D8099" s="12"/>
      <c r="E8099" s="11">
        <v>8148.0</v>
      </c>
      <c r="F8099" s="2"/>
    </row>
    <row r="8100" ht="1.5" customHeight="1">
      <c r="A8100" s="4" t="str">
        <f>IFERROR(__xludf.DUMMYFUNCTION("""COMPUTED_VALUE"""),"100. Coatl")</f>
        <v>100. Coatl</v>
      </c>
      <c r="B8100" s="4" t="str">
        <f>IFERROR(__xludf.DUMMYFUNCTION("""COMPUTED_VALUE"""),"100")</f>
        <v>100</v>
      </c>
      <c r="C8100" s="5" t="str">
        <f>IFERROR(__xludf.DUMMYFUNCTION("""COMPUTED_VALUE"""),"https://drive.google.com/file/d/1mqE-EX9pQWMHRergijceOdn75cmJMHGE/view?usp=drivesdk")</f>
        <v>https://drive.google.com/file/d/1mqE-EX9pQWMHRergijceOdn75cmJMHGE/view?usp=drivesdk</v>
      </c>
      <c r="D8100" s="12"/>
      <c r="E8100" s="11">
        <v>8149.0</v>
      </c>
      <c r="F8100" s="2"/>
    </row>
    <row r="8101" ht="1.5" customHeight="1">
      <c r="A8101" s="4" t="str">
        <f>IFERROR(__xludf.DUMMYFUNCTION("""COMPUTED_VALUE"""),"95. Ariel")</f>
        <v>95. Ariel</v>
      </c>
      <c r="B8101" s="4" t="str">
        <f>IFERROR(__xludf.DUMMYFUNCTION("""COMPUTED_VALUE"""),"95")</f>
        <v>95</v>
      </c>
      <c r="C8101" s="5" t="str">
        <f>IFERROR(__xludf.DUMMYFUNCTION("""COMPUTED_VALUE"""),"https://drive.google.com/file/d/10XCngxWof5LcczB0FV2uyEai_ybeMsL-/view?usp=drivesdk")</f>
        <v>https://drive.google.com/file/d/10XCngxWof5LcczB0FV2uyEai_ybeMsL-/view?usp=drivesdk</v>
      </c>
      <c r="D8101" s="12"/>
      <c r="E8101" s="11">
        <v>8150.0</v>
      </c>
      <c r="F8101" s="2"/>
    </row>
    <row r="8102" ht="1.5" customHeight="1">
      <c r="A8102" s="4" t="str">
        <f>IFERROR(__xludf.DUMMYFUNCTION("""COMPUTED_VALUE"""),"41. Gregory")</f>
        <v>41. Gregory</v>
      </c>
      <c r="B8102" s="4" t="str">
        <f>IFERROR(__xludf.DUMMYFUNCTION("""COMPUTED_VALUE"""),"41")</f>
        <v>41</v>
      </c>
      <c r="C8102" s="5" t="str">
        <f>IFERROR(__xludf.DUMMYFUNCTION("""COMPUTED_VALUE"""),"https://drive.google.com/file/d/1jWpUAsP-4mDQN8oUviNKYfB8qWmBhDFk/view?usp=drivesdk")</f>
        <v>https://drive.google.com/file/d/1jWpUAsP-4mDQN8oUviNKYfB8qWmBhDFk/view?usp=drivesdk</v>
      </c>
      <c r="D8102" s="12"/>
      <c r="E8102" s="11">
        <v>8151.0</v>
      </c>
      <c r="F8102" s="2"/>
    </row>
    <row r="8103" ht="1.5" customHeight="1">
      <c r="A8103" s="4" t="str">
        <f>IFERROR(__xludf.DUMMYFUNCTION("""COMPUTED_VALUE"""),"41. Gregory")</f>
        <v>41. Gregory</v>
      </c>
      <c r="B8103" s="4" t="str">
        <f>IFERROR(__xludf.DUMMYFUNCTION("""COMPUTED_VALUE"""),"41")</f>
        <v>41</v>
      </c>
      <c r="C8103" s="5" t="str">
        <f>IFERROR(__xludf.DUMMYFUNCTION("""COMPUTED_VALUE"""),"https://drive.google.com/file/d/1b5StIQVDeWE-wTFGlE3gFATDwZMZC-H5/view?usp=drivesdk")</f>
        <v>https://drive.google.com/file/d/1b5StIQVDeWE-wTFGlE3gFATDwZMZC-H5/view?usp=drivesdk</v>
      </c>
      <c r="D8103" s="12"/>
      <c r="E8103" s="11">
        <v>8152.0</v>
      </c>
      <c r="F8103" s="2"/>
    </row>
    <row r="8104" ht="1.5" customHeight="1">
      <c r="A8104" s="4" t="str">
        <f>IFERROR(__xludf.DUMMYFUNCTION("""COMPUTED_VALUE"""),"95. Ariel")</f>
        <v>95. Ariel</v>
      </c>
      <c r="B8104" s="4" t="str">
        <f>IFERROR(__xludf.DUMMYFUNCTION("""COMPUTED_VALUE"""),"95")</f>
        <v>95</v>
      </c>
      <c r="C8104" s="5" t="str">
        <f>IFERROR(__xludf.DUMMYFUNCTION("""COMPUTED_VALUE"""),"https://drive.google.com/file/d/198b-vv4hZoov93ZpPzWZycYo-smN_kas/view?usp=drivesdk")</f>
        <v>https://drive.google.com/file/d/198b-vv4hZoov93ZpPzWZycYo-smN_kas/view?usp=drivesdk</v>
      </c>
      <c r="D8104" s="12"/>
      <c r="E8104" s="11">
        <v>8153.0</v>
      </c>
      <c r="F8104" s="2"/>
    </row>
    <row r="8105" ht="1.5" customHeight="1">
      <c r="A8105" s="4" t="str">
        <f>IFERROR(__xludf.DUMMYFUNCTION("""COMPUTED_VALUE"""),"2. Twix")</f>
        <v>2. Twix</v>
      </c>
      <c r="B8105" s="4" t="str">
        <f>IFERROR(__xludf.DUMMYFUNCTION("""COMPUTED_VALUE"""),"2")</f>
        <v>2</v>
      </c>
      <c r="C8105" s="5" t="str">
        <f>IFERROR(__xludf.DUMMYFUNCTION("""COMPUTED_VALUE"""),"https://drive.google.com/file/d/1ylb1lCL-fBPhhezRznCm9MHfi5tuER-R/view?usp=drivesdk")</f>
        <v>https://drive.google.com/file/d/1ylb1lCL-fBPhhezRznCm9MHfi5tuER-R/view?usp=drivesdk</v>
      </c>
      <c r="D8105" s="12"/>
      <c r="E8105" s="11">
        <v>8154.0</v>
      </c>
      <c r="F8105" s="2"/>
    </row>
    <row r="8106" ht="1.5" customHeight="1">
      <c r="A8106" s="4" t="str">
        <f>IFERROR(__xludf.DUMMYFUNCTION("""COMPUTED_VALUE"""),"5. Eraser")</f>
        <v>5. Eraser</v>
      </c>
      <c r="B8106" s="4" t="str">
        <f>IFERROR(__xludf.DUMMYFUNCTION("""COMPUTED_VALUE"""),"5")</f>
        <v>5</v>
      </c>
      <c r="C8106" s="5" t="str">
        <f>IFERROR(__xludf.DUMMYFUNCTION("""COMPUTED_VALUE"""),"https://drive.google.com/file/d/1Fj7l4j16stjjwoLJz4g9UWrokdaJzVhY/view?usp=drivesdk")</f>
        <v>https://drive.google.com/file/d/1Fj7l4j16stjjwoLJz4g9UWrokdaJzVhY/view?usp=drivesdk</v>
      </c>
      <c r="D8106" s="12"/>
      <c r="E8106" s="11">
        <v>8155.0</v>
      </c>
      <c r="F8106" s="2"/>
    </row>
    <row r="8107" ht="1.5" customHeight="1">
      <c r="A8107" s="4" t="str">
        <f>IFERROR(__xludf.DUMMYFUNCTION("""COMPUTED_VALUE"""),"4. Eggs")</f>
        <v>4. Eggs</v>
      </c>
      <c r="B8107" s="4" t="str">
        <f>IFERROR(__xludf.DUMMYFUNCTION("""COMPUTED_VALUE"""),"4")</f>
        <v>4</v>
      </c>
      <c r="C8107" s="5" t="str">
        <f>IFERROR(__xludf.DUMMYFUNCTION("""COMPUTED_VALUE"""),"https://drive.google.com/file/d/1VsB7j1s7Um2YtJBlGXKLHva7MTM3gIli/view?usp=drivesdk")</f>
        <v>https://drive.google.com/file/d/1VsB7j1s7Um2YtJBlGXKLHva7MTM3gIli/view?usp=drivesdk</v>
      </c>
      <c r="D8107" s="12"/>
      <c r="E8107" s="11">
        <v>8156.0</v>
      </c>
      <c r="F8107" s="2"/>
    </row>
    <row r="8108" ht="1.5" customHeight="1">
      <c r="A8108" s="4" t="str">
        <f>IFERROR(__xludf.DUMMYFUNCTION("""COMPUTED_VALUE"""),"105. Chilton, 99. Nezhui, 100. Coatl")</f>
        <v>105. Chilton, 99. Nezhui, 100. Coatl</v>
      </c>
      <c r="B8108" s="4" t="str">
        <f>IFERROR(__xludf.DUMMYFUNCTION("""COMPUTED_VALUE"""),"105, 99, 100")</f>
        <v>105, 99, 100</v>
      </c>
      <c r="C8108" s="5" t="str">
        <f>IFERROR(__xludf.DUMMYFUNCTION("""COMPUTED_VALUE"""),"https://drive.google.com/file/d/1rXXYollP8Sm_4lk57AuXw616XkFGu4qf/view?usp=drivesdk")</f>
        <v>https://drive.google.com/file/d/1rXXYollP8Sm_4lk57AuXw616XkFGu4qf/view?usp=drivesdk</v>
      </c>
      <c r="D8108" s="12"/>
      <c r="E8108" s="11">
        <v>8157.0</v>
      </c>
      <c r="F8108" s="2"/>
    </row>
    <row r="8109" ht="1.5" customHeight="1">
      <c r="A8109" s="4" t="str">
        <f>IFERROR(__xludf.DUMMYFUNCTION("""COMPUTED_VALUE"""),"105. Chilton, 100. Coatl, 99. Nezhui")</f>
        <v>105. Chilton, 100. Coatl, 99. Nezhui</v>
      </c>
      <c r="B8109" s="4" t="str">
        <f>IFERROR(__xludf.DUMMYFUNCTION("""COMPUTED_VALUE"""),"105, 100, 99")</f>
        <v>105, 100, 99</v>
      </c>
      <c r="C8109" s="5" t="str">
        <f>IFERROR(__xludf.DUMMYFUNCTION("""COMPUTED_VALUE"""),"https://drive.google.com/file/d/12Dcjxj7ZO3meGG9HK-Afd7JOHiM-w-MQ/view?usp=drivesdk")</f>
        <v>https://drive.google.com/file/d/12Dcjxj7ZO3meGG9HK-Afd7JOHiM-w-MQ/view?usp=drivesdk</v>
      </c>
      <c r="D8109" s="12"/>
      <c r="E8109" s="11">
        <v>8158.0</v>
      </c>
      <c r="F8109" s="2"/>
    </row>
    <row r="8110" ht="1.5" customHeight="1">
      <c r="A8110" s="4" t="str">
        <f>IFERROR(__xludf.DUMMYFUNCTION("""COMPUTED_VALUE"""),"105. Chilton, 100. Coatl")</f>
        <v>105. Chilton, 100. Coatl</v>
      </c>
      <c r="B8110" s="4" t="str">
        <f>IFERROR(__xludf.DUMMYFUNCTION("""COMPUTED_VALUE"""),"105, 100")</f>
        <v>105, 100</v>
      </c>
      <c r="C8110" s="5" t="str">
        <f>IFERROR(__xludf.DUMMYFUNCTION("""COMPUTED_VALUE"""),"https://drive.google.com/file/d/1BKx2E7NUcWokKkmr-qc4wDEO7yoQyDr5/view?usp=drivesdk")</f>
        <v>https://drive.google.com/file/d/1BKx2E7NUcWokKkmr-qc4wDEO7yoQyDr5/view?usp=drivesdk</v>
      </c>
      <c r="D8110" s="12"/>
      <c r="E8110" s="11">
        <v>8159.0</v>
      </c>
      <c r="F8110" s="2"/>
    </row>
    <row r="8111" ht="1.5" customHeight="1">
      <c r="A8111" s="4" t="str">
        <f>IFERROR(__xludf.DUMMYFUNCTION("""COMPUTED_VALUE"""),"2. Twix")</f>
        <v>2. Twix</v>
      </c>
      <c r="B8111" s="4" t="str">
        <f>IFERROR(__xludf.DUMMYFUNCTION("""COMPUTED_VALUE"""),"2")</f>
        <v>2</v>
      </c>
      <c r="C8111" s="5" t="str">
        <f>IFERROR(__xludf.DUMMYFUNCTION("""COMPUTED_VALUE"""),"https://drive.google.com/file/d/1sjpBwQb4UVMnyUD0DN5aqPV8AW9Riqix/view?usp=drivesdk")</f>
        <v>https://drive.google.com/file/d/1sjpBwQb4UVMnyUD0DN5aqPV8AW9Riqix/view?usp=drivesdk</v>
      </c>
      <c r="D8111" s="12"/>
      <c r="E8111" s="11">
        <v>8160.0</v>
      </c>
      <c r="F8111" s="2"/>
    </row>
    <row r="8112" ht="1.5" customHeight="1">
      <c r="A8112" s="4" t="str">
        <f>IFERROR(__xludf.DUMMYFUNCTION("""COMPUTED_VALUE"""),"105. Chilton")</f>
        <v>105. Chilton</v>
      </c>
      <c r="B8112" s="4" t="str">
        <f>IFERROR(__xludf.DUMMYFUNCTION("""COMPUTED_VALUE"""),"105")</f>
        <v>105</v>
      </c>
      <c r="C8112" s="5" t="str">
        <f>IFERROR(__xludf.DUMMYFUNCTION("""COMPUTED_VALUE"""),"https://drive.google.com/file/d/1UZS6rN5MURQkRMqUOGASp27fStjlu5jt/view?usp=drivesdk")</f>
        <v>https://drive.google.com/file/d/1UZS6rN5MURQkRMqUOGASp27fStjlu5jt/view?usp=drivesdk</v>
      </c>
      <c r="D8112" s="12"/>
      <c r="E8112" s="11">
        <v>8161.0</v>
      </c>
      <c r="F8112" s="2"/>
    </row>
    <row r="8113" ht="1.5" customHeight="1">
      <c r="A8113" s="4" t="str">
        <f>IFERROR(__xludf.DUMMYFUNCTION("""COMPUTED_VALUE"""),"96. Barbie")</f>
        <v>96. Barbie</v>
      </c>
      <c r="B8113" s="4" t="str">
        <f>IFERROR(__xludf.DUMMYFUNCTION("""COMPUTED_VALUE"""),"96")</f>
        <v>96</v>
      </c>
      <c r="C8113" s="5" t="str">
        <f>IFERROR(__xludf.DUMMYFUNCTION("""COMPUTED_VALUE"""),"https://drive.google.com/file/d/13DdR-521RtZhr4OyrZ_5ZRMNzp5ve9dK/view?usp=drivesdk")</f>
        <v>https://drive.google.com/file/d/13DdR-521RtZhr4OyrZ_5ZRMNzp5ve9dK/view?usp=drivesdk</v>
      </c>
      <c r="D8113" s="12"/>
      <c r="E8113" s="11">
        <v>8162.0</v>
      </c>
      <c r="F8113" s="2"/>
    </row>
    <row r="8114" ht="1.5" customHeight="1">
      <c r="A8114" s="4" t="str">
        <f>IFERROR(__xludf.DUMMYFUNCTION("""COMPUTED_VALUE"""),"132. Kelley, 130. Skipper")</f>
        <v>132. Kelley, 130. Skipper</v>
      </c>
      <c r="B8114" s="4" t="str">
        <f>IFERROR(__xludf.DUMMYFUNCTION("""COMPUTED_VALUE"""),"132, 130")</f>
        <v>132, 130</v>
      </c>
      <c r="C8114" s="5" t="str">
        <f>IFERROR(__xludf.DUMMYFUNCTION("""COMPUTED_VALUE"""),"https://drive.google.com/file/d/1fHVHeu7Ici4QGKtJpcXm4Wd3YWNOsBA9/view?usp=drivesdk")</f>
        <v>https://drive.google.com/file/d/1fHVHeu7Ici4QGKtJpcXm4Wd3YWNOsBA9/view?usp=drivesdk</v>
      </c>
      <c r="D8114" s="12"/>
      <c r="E8114" s="11">
        <v>8163.0</v>
      </c>
      <c r="F8114" s="2"/>
    </row>
    <row r="8115" ht="1.5" customHeight="1">
      <c r="A8115" s="4" t="str">
        <f>IFERROR(__xludf.DUMMYFUNCTION("""COMPUTED_VALUE"""),"132. Kelley")</f>
        <v>132. Kelley</v>
      </c>
      <c r="B8115" s="4" t="str">
        <f>IFERROR(__xludf.DUMMYFUNCTION("""COMPUTED_VALUE"""),"132")</f>
        <v>132</v>
      </c>
      <c r="C8115" s="5" t="str">
        <f>IFERROR(__xludf.DUMMYFUNCTION("""COMPUTED_VALUE"""),"https://drive.google.com/file/d/14wPmZl6BbhRGT3DQ8CI3Q_GYdyYnqe6X/view?usp=drivesdk")</f>
        <v>https://drive.google.com/file/d/14wPmZl6BbhRGT3DQ8CI3Q_GYdyYnqe6X/view?usp=drivesdk</v>
      </c>
      <c r="D8115" s="12"/>
      <c r="E8115" s="11">
        <v>8164.0</v>
      </c>
      <c r="F8115" s="2"/>
    </row>
    <row r="8116" ht="1.5" customHeight="1">
      <c r="A8116" s="4" t="str">
        <f>IFERROR(__xludf.DUMMYFUNCTION("""COMPUTED_VALUE"""),"133. Fluff")</f>
        <v>133. Fluff</v>
      </c>
      <c r="B8116" s="4" t="str">
        <f>IFERROR(__xludf.DUMMYFUNCTION("""COMPUTED_VALUE"""),"133")</f>
        <v>133</v>
      </c>
      <c r="C8116" s="5" t="str">
        <f>IFERROR(__xludf.DUMMYFUNCTION("""COMPUTED_VALUE"""),"https://drive.google.com/file/d/1mMuWw-TqMb6K6-aJ7bYRQ_2OmpQdMgKv/view?usp=drivesdk")</f>
        <v>https://drive.google.com/file/d/1mMuWw-TqMb6K6-aJ7bYRQ_2OmpQdMgKv/view?usp=drivesdk</v>
      </c>
      <c r="D8116" s="12"/>
      <c r="E8116" s="11">
        <v>8165.0</v>
      </c>
      <c r="F8116" s="2"/>
    </row>
    <row r="8117" ht="1.5" customHeight="1">
      <c r="A8117" s="4" t="str">
        <f>IFERROR(__xludf.DUMMYFUNCTION("""COMPUTED_VALUE"""),"5. Eraser")</f>
        <v>5. Eraser</v>
      </c>
      <c r="B8117" s="4" t="str">
        <f>IFERROR(__xludf.DUMMYFUNCTION("""COMPUTED_VALUE"""),"5")</f>
        <v>5</v>
      </c>
      <c r="C8117" s="5" t="str">
        <f>IFERROR(__xludf.DUMMYFUNCTION("""COMPUTED_VALUE"""),"https://drive.google.com/file/d/16bOqDXHRRyBgCJ8RoktSETaQLjQt5j3_/view?usp=drivesdk")</f>
        <v>https://drive.google.com/file/d/16bOqDXHRRyBgCJ8RoktSETaQLjQt5j3_/view?usp=drivesdk</v>
      </c>
      <c r="D8117" s="12"/>
      <c r="E8117" s="11">
        <v>8166.0</v>
      </c>
      <c r="F8117" s="2"/>
    </row>
    <row r="8118" ht="1.5" customHeight="1">
      <c r="A8118" s="4" t="str">
        <f>IFERROR(__xludf.DUMMYFUNCTION("""COMPUTED_VALUE"""),"9. Melvin")</f>
        <v>9. Melvin</v>
      </c>
      <c r="B8118" s="4" t="str">
        <f>IFERROR(__xludf.DUMMYFUNCTION("""COMPUTED_VALUE"""),"9")</f>
        <v>9</v>
      </c>
      <c r="C8118" s="5" t="str">
        <f>IFERROR(__xludf.DUMMYFUNCTION("""COMPUTED_VALUE"""),"https://drive.google.com/file/d/1epxywuhoUrPe6IZrqmisVf5FNrdbNmQT/view?usp=drivesdk")</f>
        <v>https://drive.google.com/file/d/1epxywuhoUrPe6IZrqmisVf5FNrdbNmQT/view?usp=drivesdk</v>
      </c>
      <c r="D8118" s="12"/>
      <c r="E8118" s="11">
        <v>8167.0</v>
      </c>
      <c r="F8118" s="2"/>
    </row>
    <row r="8119" ht="1.5" customHeight="1">
      <c r="A8119" s="4" t="str">
        <f>IFERROR(__xludf.DUMMYFUNCTION("""COMPUTED_VALUE"""),"9. Melvin")</f>
        <v>9. Melvin</v>
      </c>
      <c r="B8119" s="4" t="str">
        <f>IFERROR(__xludf.DUMMYFUNCTION("""COMPUTED_VALUE"""),"9")</f>
        <v>9</v>
      </c>
      <c r="C8119" s="5" t="str">
        <f>IFERROR(__xludf.DUMMYFUNCTION("""COMPUTED_VALUE"""),"https://drive.google.com/file/d/1ZD-XBgaB15T-GMFF0SmpLQ0015KGNmUf/view?usp=drivesdk")</f>
        <v>https://drive.google.com/file/d/1ZD-XBgaB15T-GMFF0SmpLQ0015KGNmUf/view?usp=drivesdk</v>
      </c>
      <c r="D8119" s="12"/>
      <c r="E8119" s="11">
        <v>8168.0</v>
      </c>
      <c r="F8119" s="2"/>
    </row>
    <row r="8120" ht="1.5" customHeight="1">
      <c r="A8120" s="4" t="str">
        <f>IFERROR(__xludf.DUMMYFUNCTION("""COMPUTED_VALUE"""),"9. Melvin")</f>
        <v>9. Melvin</v>
      </c>
      <c r="B8120" s="4" t="str">
        <f>IFERROR(__xludf.DUMMYFUNCTION("""COMPUTED_VALUE"""),"9")</f>
        <v>9</v>
      </c>
      <c r="C8120" s="5" t="str">
        <f>IFERROR(__xludf.DUMMYFUNCTION("""COMPUTED_VALUE"""),"https://drive.google.com/file/d/1B5VX1A9Gc8rD6gXA_8yLVqe-HOdE3lqW/view?usp=drivesdk")</f>
        <v>https://drive.google.com/file/d/1B5VX1A9Gc8rD6gXA_8yLVqe-HOdE3lqW/view?usp=drivesdk</v>
      </c>
      <c r="D8120" s="12"/>
      <c r="E8120" s="11">
        <v>8169.0</v>
      </c>
      <c r="F8120" s="2"/>
    </row>
    <row r="8121" ht="1.5" customHeight="1">
      <c r="A8121" s="4" t="str">
        <f>IFERROR(__xludf.DUMMYFUNCTION("""COMPUTED_VALUE"""),"4. Eggs")</f>
        <v>4. Eggs</v>
      </c>
      <c r="B8121" s="4" t="str">
        <f>IFERROR(__xludf.DUMMYFUNCTION("""COMPUTED_VALUE"""),"4")</f>
        <v>4</v>
      </c>
      <c r="C8121" s="5" t="str">
        <f>IFERROR(__xludf.DUMMYFUNCTION("""COMPUTED_VALUE"""),"https://drive.google.com/file/d/1Dgb6QorD4S_oIyGLOBTFuMPPqkIUC0Br/view?usp=drivesdk")</f>
        <v>https://drive.google.com/file/d/1Dgb6QorD4S_oIyGLOBTFuMPPqkIUC0Br/view?usp=drivesdk</v>
      </c>
      <c r="D8121" s="12"/>
      <c r="E8121" s="11">
        <v>8170.0</v>
      </c>
      <c r="F8121" s="2"/>
    </row>
    <row r="8122" ht="1.5" customHeight="1">
      <c r="A8122" s="4" t="str">
        <f>IFERROR(__xludf.DUMMYFUNCTION("""COMPUTED_VALUE"""),"1. Microwave")</f>
        <v>1. Microwave</v>
      </c>
      <c r="B8122" s="4" t="str">
        <f>IFERROR(__xludf.DUMMYFUNCTION("""COMPUTED_VALUE"""),"1")</f>
        <v>1</v>
      </c>
      <c r="C8122" s="5" t="str">
        <f>IFERROR(__xludf.DUMMYFUNCTION("""COMPUTED_VALUE"""),"https://drive.google.com/file/d/1629Eh3MIUGhdEV2uZIhEfgLENGOV0C2E/view?usp=drivesdk")</f>
        <v>https://drive.google.com/file/d/1629Eh3MIUGhdEV2uZIhEfgLENGOV0C2E/view?usp=drivesdk</v>
      </c>
      <c r="D8122" s="12"/>
      <c r="E8122" s="11">
        <v>8171.0</v>
      </c>
      <c r="F8122" s="2"/>
    </row>
    <row r="8123" ht="1.5" customHeight="1">
      <c r="A8123" s="4" t="str">
        <f>IFERROR(__xludf.DUMMYFUNCTION("""COMPUTED_VALUE"""),"1. Microwave")</f>
        <v>1. Microwave</v>
      </c>
      <c r="B8123" s="4" t="str">
        <f>IFERROR(__xludf.DUMMYFUNCTION("""COMPUTED_VALUE"""),"1")</f>
        <v>1</v>
      </c>
      <c r="C8123" s="5" t="str">
        <f>IFERROR(__xludf.DUMMYFUNCTION("""COMPUTED_VALUE"""),"https://drive.google.com/file/d/1bH2_RoA3G3bRcOnkOZynso1vr0HH2ggl/view?usp=drivesdk")</f>
        <v>https://drive.google.com/file/d/1bH2_RoA3G3bRcOnkOZynso1vr0HH2ggl/view?usp=drivesdk</v>
      </c>
      <c r="D8123" s="12"/>
      <c r="E8123" s="11">
        <v>8172.0</v>
      </c>
      <c r="F8123" s="2"/>
    </row>
    <row r="8124" ht="1.5" customHeight="1">
      <c r="A8124" s="4" t="str">
        <f>IFERROR(__xludf.DUMMYFUNCTION("""COMPUTED_VALUE"""),"1. Microwave")</f>
        <v>1. Microwave</v>
      </c>
      <c r="B8124" s="4" t="str">
        <f>IFERROR(__xludf.DUMMYFUNCTION("""COMPUTED_VALUE"""),"1")</f>
        <v>1</v>
      </c>
      <c r="C8124" s="5" t="str">
        <f>IFERROR(__xludf.DUMMYFUNCTION("""COMPUTED_VALUE"""),"https://drive.google.com/file/d/1JLvK9riVjOgFpTi_uBP-PT0xEzuzHaXq/view?usp=drivesdk")</f>
        <v>https://drive.google.com/file/d/1JLvK9riVjOgFpTi_uBP-PT0xEzuzHaXq/view?usp=drivesdk</v>
      </c>
      <c r="D8124" s="12"/>
      <c r="E8124" s="11">
        <v>8173.0</v>
      </c>
      <c r="F8124" s="2"/>
    </row>
    <row r="8125" ht="1.5" customHeight="1">
      <c r="A8125" s="4" t="str">
        <f>IFERROR(__xludf.DUMMYFUNCTION("""COMPUTED_VALUE"""),"1. Microwave")</f>
        <v>1. Microwave</v>
      </c>
      <c r="B8125" s="4" t="str">
        <f>IFERROR(__xludf.DUMMYFUNCTION("""COMPUTED_VALUE"""),"1")</f>
        <v>1</v>
      </c>
      <c r="C8125" s="5" t="str">
        <f>IFERROR(__xludf.DUMMYFUNCTION("""COMPUTED_VALUE"""),"https://drive.google.com/file/d/1SNtBt2qJfJwuMULP-8bTSCPBnPGDTYW1/view?usp=drivesdk")</f>
        <v>https://drive.google.com/file/d/1SNtBt2qJfJwuMULP-8bTSCPBnPGDTYW1/view?usp=drivesdk</v>
      </c>
      <c r="D8125" s="12"/>
      <c r="E8125" s="11">
        <v>8174.0</v>
      </c>
      <c r="F8125" s="2"/>
    </row>
    <row r="8126" ht="1.5" customHeight="1">
      <c r="A8126" s="4" t="str">
        <f>IFERROR(__xludf.DUMMYFUNCTION("""COMPUTED_VALUE"""),"1. Microwave")</f>
        <v>1. Microwave</v>
      </c>
      <c r="B8126" s="4" t="str">
        <f>IFERROR(__xludf.DUMMYFUNCTION("""COMPUTED_VALUE"""),"1")</f>
        <v>1</v>
      </c>
      <c r="C8126" s="5" t="str">
        <f>IFERROR(__xludf.DUMMYFUNCTION("""COMPUTED_VALUE"""),"https://drive.google.com/file/d/11BL3jNxQ8IG4Zhi9EP7_oZQEuH-q9_NG/view?usp=drivesdk")</f>
        <v>https://drive.google.com/file/d/11BL3jNxQ8IG4Zhi9EP7_oZQEuH-q9_NG/view?usp=drivesdk</v>
      </c>
      <c r="D8126" s="12"/>
      <c r="E8126" s="11">
        <v>8175.0</v>
      </c>
      <c r="F8126" s="2"/>
    </row>
    <row r="8127" ht="1.5" customHeight="1">
      <c r="A8127" s="4" t="str">
        <f>IFERROR(__xludf.DUMMYFUNCTION("""COMPUTED_VALUE"""),"1. Microwave")</f>
        <v>1. Microwave</v>
      </c>
      <c r="B8127" s="4" t="str">
        <f>IFERROR(__xludf.DUMMYFUNCTION("""COMPUTED_VALUE"""),"1")</f>
        <v>1</v>
      </c>
      <c r="C8127" s="5" t="str">
        <f>IFERROR(__xludf.DUMMYFUNCTION("""COMPUTED_VALUE"""),"https://drive.google.com/file/d/1DHqUq0_9wlaKxDlN7MdB6Ia7zJU9VML4/view?usp=drivesdk")</f>
        <v>https://drive.google.com/file/d/1DHqUq0_9wlaKxDlN7MdB6Ia7zJU9VML4/view?usp=drivesdk</v>
      </c>
      <c r="D8127" s="12"/>
      <c r="E8127" s="11">
        <v>8176.0</v>
      </c>
      <c r="F8127" s="2"/>
    </row>
    <row r="8128" ht="1.5" customHeight="1">
      <c r="A8128" s="4" t="str">
        <f>IFERROR(__xludf.DUMMYFUNCTION("""COMPUTED_VALUE"""),"1. Microwave")</f>
        <v>1. Microwave</v>
      </c>
      <c r="B8128" s="4" t="str">
        <f>IFERROR(__xludf.DUMMYFUNCTION("""COMPUTED_VALUE"""),"1")</f>
        <v>1</v>
      </c>
      <c r="C8128" s="5" t="str">
        <f>IFERROR(__xludf.DUMMYFUNCTION("""COMPUTED_VALUE"""),"https://drive.google.com/file/d/1BUp29barWNm2XpNqmHHoQw7d4DsUFYok/view?usp=drivesdk")</f>
        <v>https://drive.google.com/file/d/1BUp29barWNm2XpNqmHHoQw7d4DsUFYok/view?usp=drivesdk</v>
      </c>
      <c r="D8128" s="12"/>
      <c r="E8128" s="11">
        <v>8177.0</v>
      </c>
      <c r="F8128" s="2"/>
    </row>
    <row r="8129" ht="1.5" customHeight="1">
      <c r="A8129" s="4" t="str">
        <f>IFERROR(__xludf.DUMMYFUNCTION("""COMPUTED_VALUE"""),"1. Microwave")</f>
        <v>1. Microwave</v>
      </c>
      <c r="B8129" s="4" t="str">
        <f>IFERROR(__xludf.DUMMYFUNCTION("""COMPUTED_VALUE"""),"1")</f>
        <v>1</v>
      </c>
      <c r="C8129" s="5" t="str">
        <f>IFERROR(__xludf.DUMMYFUNCTION("""COMPUTED_VALUE"""),"https://drive.google.com/file/d/1mnvZ0O_KkWewuy0MGOdTVEarD1cHmA7C/view?usp=drivesdk")</f>
        <v>https://drive.google.com/file/d/1mnvZ0O_KkWewuy0MGOdTVEarD1cHmA7C/view?usp=drivesdk</v>
      </c>
      <c r="D8129" s="12"/>
      <c r="E8129" s="11">
        <v>8178.0</v>
      </c>
      <c r="F8129" s="2"/>
    </row>
    <row r="8130" ht="1.5" customHeight="1">
      <c r="A8130" s="4" t="str">
        <f>IFERROR(__xludf.DUMMYFUNCTION("""COMPUTED_VALUE"""),"1. Microwave")</f>
        <v>1. Microwave</v>
      </c>
      <c r="B8130" s="4" t="str">
        <f>IFERROR(__xludf.DUMMYFUNCTION("""COMPUTED_VALUE"""),"1")</f>
        <v>1</v>
      </c>
      <c r="C8130" s="5" t="str">
        <f>IFERROR(__xludf.DUMMYFUNCTION("""COMPUTED_VALUE"""),"https://drive.google.com/file/d/1YTXPwZVwB38aYGP55Sfpy4yeIaphgpbP/view?usp=drivesdk")</f>
        <v>https://drive.google.com/file/d/1YTXPwZVwB38aYGP55Sfpy4yeIaphgpbP/view?usp=drivesdk</v>
      </c>
      <c r="D8130" s="12"/>
      <c r="E8130" s="11">
        <v>8179.0</v>
      </c>
      <c r="F8130" s="2"/>
    </row>
    <row r="8131" ht="1.5" customHeight="1">
      <c r="A8131" s="4" t="str">
        <f>IFERROR(__xludf.DUMMYFUNCTION("""COMPUTED_VALUE"""),"141. Kamahalan")</f>
        <v>141. Kamahalan</v>
      </c>
      <c r="B8131" s="4" t="str">
        <f>IFERROR(__xludf.DUMMYFUNCTION("""COMPUTED_VALUE"""),"141")</f>
        <v>141</v>
      </c>
      <c r="C8131" s="5" t="str">
        <f>IFERROR(__xludf.DUMMYFUNCTION("""COMPUTED_VALUE"""),"https://drive.google.com/file/d/17thrDhybRaFkILmA25OY3Ryo3AsOlFpT/view?usp=drivesdk")</f>
        <v>https://drive.google.com/file/d/17thrDhybRaFkILmA25OY3Ryo3AsOlFpT/view?usp=drivesdk</v>
      </c>
      <c r="D8131" s="12"/>
      <c r="E8131" s="11">
        <v>8180.0</v>
      </c>
      <c r="F8131" s="2"/>
    </row>
    <row r="8132" ht="1.5" customHeight="1">
      <c r="A8132" s="4" t="str">
        <f>IFERROR(__xludf.DUMMYFUNCTION("""COMPUTED_VALUE"""),"12. Faye")</f>
        <v>12. Faye</v>
      </c>
      <c r="B8132" s="4" t="str">
        <f>IFERROR(__xludf.DUMMYFUNCTION("""COMPUTED_VALUE"""),"12")</f>
        <v>12</v>
      </c>
      <c r="C8132" s="5" t="str">
        <f>IFERROR(__xludf.DUMMYFUNCTION("""COMPUTED_VALUE"""),"https://drive.google.com/file/d/1onzmX2Trp36_wpNIOtVBYLgrAXZf4rsj/view?usp=drivesdk")</f>
        <v>https://drive.google.com/file/d/1onzmX2Trp36_wpNIOtVBYLgrAXZf4rsj/view?usp=drivesdk</v>
      </c>
      <c r="D8132" s="12"/>
      <c r="E8132" s="11">
        <v>8181.0</v>
      </c>
      <c r="F8132" s="2"/>
    </row>
    <row r="8133" ht="1.5" customHeight="1">
      <c r="A8133" s="4" t="str">
        <f>IFERROR(__xludf.DUMMYFUNCTION("""COMPUTED_VALUE"""),"58. Eden, 141. Kamahalan")</f>
        <v>58. Eden, 141. Kamahalan</v>
      </c>
      <c r="B8133" s="4" t="str">
        <f>IFERROR(__xludf.DUMMYFUNCTION("""COMPUTED_VALUE"""),"58, 141")</f>
        <v>58, 141</v>
      </c>
      <c r="C8133" s="5" t="str">
        <f>IFERROR(__xludf.DUMMYFUNCTION("""COMPUTED_VALUE"""),"https://drive.google.com/file/d/1tIKJ8xWJRToxU-BT3XUfdezn7VVRA3Mz/view?usp=drivesdk")</f>
        <v>https://drive.google.com/file/d/1tIKJ8xWJRToxU-BT3XUfdezn7VVRA3Mz/view?usp=drivesdk</v>
      </c>
      <c r="D8133" s="12"/>
      <c r="E8133" s="11">
        <v>8182.0</v>
      </c>
      <c r="F8133" s="2"/>
    </row>
    <row r="8134" ht="1.5" customHeight="1">
      <c r="A8134" s="4" t="str">
        <f>IFERROR(__xludf.DUMMYFUNCTION("""COMPUTED_VALUE"""),"44. Shitbag Cuntface")</f>
        <v>44. Shitbag Cuntface</v>
      </c>
      <c r="B8134" s="4" t="str">
        <f>IFERROR(__xludf.DUMMYFUNCTION("""COMPUTED_VALUE"""),"44")</f>
        <v>44</v>
      </c>
      <c r="C8134" s="5" t="str">
        <f>IFERROR(__xludf.DUMMYFUNCTION("""COMPUTED_VALUE"""),"https://drive.google.com/file/d/1KN8LIV8HSX9eHHgp96wHCh_3-Z7AZJII/view?usp=drivesdk")</f>
        <v>https://drive.google.com/file/d/1KN8LIV8HSX9eHHgp96wHCh_3-Z7AZJII/view?usp=drivesdk</v>
      </c>
      <c r="D8134" s="12"/>
      <c r="E8134" s="11">
        <v>8183.0</v>
      </c>
      <c r="F8134" s="2"/>
    </row>
    <row r="8135" ht="1.5" customHeight="1">
      <c r="A8135" s="4" t="str">
        <f>IFERROR(__xludf.DUMMYFUNCTION("""COMPUTED_VALUE"""),"44. Shitbag Cuntface")</f>
        <v>44. Shitbag Cuntface</v>
      </c>
      <c r="B8135" s="4" t="str">
        <f>IFERROR(__xludf.DUMMYFUNCTION("""COMPUTED_VALUE"""),"44")</f>
        <v>44</v>
      </c>
      <c r="C8135" s="5" t="str">
        <f>IFERROR(__xludf.DUMMYFUNCTION("""COMPUTED_VALUE"""),"https://drive.google.com/file/d/1uxr_G5GHv9tXaFikYWsYo4q4aZ2DaUWS/view?usp=drivesdk")</f>
        <v>https://drive.google.com/file/d/1uxr_G5GHv9tXaFikYWsYo4q4aZ2DaUWS/view?usp=drivesdk</v>
      </c>
      <c r="D8135" s="12"/>
      <c r="E8135" s="11">
        <v>8184.0</v>
      </c>
      <c r="F8135" s="2"/>
    </row>
    <row r="8136" ht="1.5" customHeight="1">
      <c r="A8136" s="4" t="str">
        <f>IFERROR(__xludf.DUMMYFUNCTION("""COMPUTED_VALUE"""),"137. Harpy")</f>
        <v>137. Harpy</v>
      </c>
      <c r="B8136" s="4" t="str">
        <f>IFERROR(__xludf.DUMMYFUNCTION("""COMPUTED_VALUE"""),"137")</f>
        <v>137</v>
      </c>
      <c r="C8136" s="5" t="str">
        <f>IFERROR(__xludf.DUMMYFUNCTION("""COMPUTED_VALUE"""),"https://drive.google.com/file/d/1yJxMhSxr0ED0YPEqnj4YKbLzPLXIAriF/view?usp=drivesdk")</f>
        <v>https://drive.google.com/file/d/1yJxMhSxr0ED0YPEqnj4YKbLzPLXIAriF/view?usp=drivesdk</v>
      </c>
      <c r="D8136" s="12"/>
      <c r="E8136" s="11">
        <v>8185.0</v>
      </c>
      <c r="F8136" s="2"/>
    </row>
    <row r="8137" ht="1.5" customHeight="1">
      <c r="A8137" s="4" t="str">
        <f>IFERROR(__xludf.DUMMYFUNCTION("""COMPUTED_VALUE"""),"141. Kamahalan")</f>
        <v>141. Kamahalan</v>
      </c>
      <c r="B8137" s="4" t="str">
        <f>IFERROR(__xludf.DUMMYFUNCTION("""COMPUTED_VALUE"""),"141")</f>
        <v>141</v>
      </c>
      <c r="C8137" s="5" t="str">
        <f>IFERROR(__xludf.DUMMYFUNCTION("""COMPUTED_VALUE"""),"https://drive.google.com/file/d/1HDPbnYzdAcgu59bPoPVl6hxYDXCQN-r5/view?usp=drivesdk")</f>
        <v>https://drive.google.com/file/d/1HDPbnYzdAcgu59bPoPVl6hxYDXCQN-r5/view?usp=drivesdk</v>
      </c>
      <c r="D8137" s="12"/>
      <c r="E8137" s="11">
        <v>8186.0</v>
      </c>
      <c r="F8137" s="2"/>
    </row>
    <row r="8138" ht="1.5" customHeight="1">
      <c r="A8138" s="4" t="str">
        <f>IFERROR(__xludf.DUMMYFUNCTION("""COMPUTED_VALUE"""),"44. Shitbag Cuntface")</f>
        <v>44. Shitbag Cuntface</v>
      </c>
      <c r="B8138" s="4" t="str">
        <f>IFERROR(__xludf.DUMMYFUNCTION("""COMPUTED_VALUE"""),"44")</f>
        <v>44</v>
      </c>
      <c r="C8138" s="5" t="str">
        <f>IFERROR(__xludf.DUMMYFUNCTION("""COMPUTED_VALUE"""),"https://drive.google.com/file/d/1PCQh8aXkygZ06534FUYtCFbyYz6Oph4W/view?usp=drivesdk")</f>
        <v>https://drive.google.com/file/d/1PCQh8aXkygZ06534FUYtCFbyYz6Oph4W/view?usp=drivesdk</v>
      </c>
      <c r="D8138" s="12"/>
      <c r="E8138" s="11">
        <v>8187.0</v>
      </c>
      <c r="F8138" s="2"/>
    </row>
    <row r="8139" ht="1.5" customHeight="1">
      <c r="A8139" s="4" t="str">
        <f>IFERROR(__xludf.DUMMYFUNCTION("""COMPUTED_VALUE"""),"88. Vincente")</f>
        <v>88. Vincente</v>
      </c>
      <c r="B8139" s="4" t="str">
        <f>IFERROR(__xludf.DUMMYFUNCTION("""COMPUTED_VALUE"""),"88")</f>
        <v>88</v>
      </c>
      <c r="C8139" s="5" t="str">
        <f>IFERROR(__xludf.DUMMYFUNCTION("""COMPUTED_VALUE"""),"https://drive.google.com/file/d/1O-0O0T2N1MccWbVQ84yuMnKXQ2jEuljs/view?usp=drivesdk")</f>
        <v>https://drive.google.com/file/d/1O-0O0T2N1MccWbVQ84yuMnKXQ2jEuljs/view?usp=drivesdk</v>
      </c>
      <c r="D8139" s="12"/>
      <c r="E8139" s="11">
        <v>8188.0</v>
      </c>
      <c r="F8139" s="2"/>
    </row>
    <row r="8140" ht="1.5" customHeight="1">
      <c r="A8140" s="4" t="str">
        <f>IFERROR(__xludf.DUMMYFUNCTION("""COMPUTED_VALUE"""),"58. Eden")</f>
        <v>58. Eden</v>
      </c>
      <c r="B8140" s="4" t="str">
        <f>IFERROR(__xludf.DUMMYFUNCTION("""COMPUTED_VALUE"""),"58")</f>
        <v>58</v>
      </c>
      <c r="C8140" s="5" t="str">
        <f>IFERROR(__xludf.DUMMYFUNCTION("""COMPUTED_VALUE"""),"https://drive.google.com/file/d/1P6ACEdyW5Wz6XwsF9nUu_brFsNRsfQMF/view?usp=drivesdk")</f>
        <v>https://drive.google.com/file/d/1P6ACEdyW5Wz6XwsF9nUu_brFsNRsfQMF/view?usp=drivesdk</v>
      </c>
      <c r="D8140" s="12"/>
      <c r="E8140" s="11">
        <v>8189.0</v>
      </c>
      <c r="F8140" s="2"/>
    </row>
    <row r="8141" ht="1.5" customHeight="1">
      <c r="A8141" s="4" t="str">
        <f>IFERROR(__xludf.DUMMYFUNCTION("""COMPUTED_VALUE"""),"58. Eden")</f>
        <v>58. Eden</v>
      </c>
      <c r="B8141" s="4" t="str">
        <f>IFERROR(__xludf.DUMMYFUNCTION("""COMPUTED_VALUE"""),"58")</f>
        <v>58</v>
      </c>
      <c r="C8141" s="5" t="str">
        <f>IFERROR(__xludf.DUMMYFUNCTION("""COMPUTED_VALUE"""),"https://drive.google.com/file/d/1Nmk10_Dt6QFi5iEEuYXJSNdzrvlih7dH/view?usp=drivesdk")</f>
        <v>https://drive.google.com/file/d/1Nmk10_Dt6QFi5iEEuYXJSNdzrvlih7dH/view?usp=drivesdk</v>
      </c>
      <c r="D8141" s="12"/>
      <c r="E8141" s="11">
        <v>8190.0</v>
      </c>
      <c r="F8141" s="2"/>
    </row>
    <row r="8142" ht="1.5" customHeight="1">
      <c r="A8142" s="4" t="str">
        <f>IFERROR(__xludf.DUMMYFUNCTION("""COMPUTED_VALUE"""),"58. Eden")</f>
        <v>58. Eden</v>
      </c>
      <c r="B8142" s="4" t="str">
        <f>IFERROR(__xludf.DUMMYFUNCTION("""COMPUTED_VALUE"""),"58")</f>
        <v>58</v>
      </c>
      <c r="C8142" s="5" t="str">
        <f>IFERROR(__xludf.DUMMYFUNCTION("""COMPUTED_VALUE"""),"https://drive.google.com/file/d/1o5A-KPy1v_GaDwoc6tXPaov8inFAv1tV/view?usp=drivesdk")</f>
        <v>https://drive.google.com/file/d/1o5A-KPy1v_GaDwoc6tXPaov8inFAv1tV/view?usp=drivesdk</v>
      </c>
      <c r="D8142" s="12"/>
      <c r="E8142" s="11">
        <v>8191.0</v>
      </c>
      <c r="F8142" s="2"/>
    </row>
    <row r="8143" ht="1.5" customHeight="1">
      <c r="A8143" s="4" t="str">
        <f>IFERROR(__xludf.DUMMYFUNCTION("""COMPUTED_VALUE"""),"58. Eden")</f>
        <v>58. Eden</v>
      </c>
      <c r="B8143" s="4" t="str">
        <f>IFERROR(__xludf.DUMMYFUNCTION("""COMPUTED_VALUE"""),"58")</f>
        <v>58</v>
      </c>
      <c r="C8143" s="5" t="str">
        <f>IFERROR(__xludf.DUMMYFUNCTION("""COMPUTED_VALUE"""),"https://drive.google.com/file/d/1E3s_43AF1j5B47zzpGyQ6lC17ONJW9Ro/view?usp=drivesdk")</f>
        <v>https://drive.google.com/file/d/1E3s_43AF1j5B47zzpGyQ6lC17ONJW9Ro/view?usp=drivesdk</v>
      </c>
      <c r="D8143" s="12"/>
      <c r="E8143" s="11">
        <v>8192.0</v>
      </c>
      <c r="F8143" s="2"/>
    </row>
    <row r="8144" ht="1.5" customHeight="1">
      <c r="A8144" s="4" t="str">
        <f>IFERROR(__xludf.DUMMYFUNCTION("""COMPUTED_VALUE"""),"41. Gregory")</f>
        <v>41. Gregory</v>
      </c>
      <c r="B8144" s="4" t="str">
        <f>IFERROR(__xludf.DUMMYFUNCTION("""COMPUTED_VALUE"""),"41")</f>
        <v>41</v>
      </c>
      <c r="C8144" s="5" t="str">
        <f>IFERROR(__xludf.DUMMYFUNCTION("""COMPUTED_VALUE"""),"https://drive.google.com/file/d/15KbGgAQi9bMVdGkW_mkI11D6Fj0BM1n0/view?usp=drivesdk")</f>
        <v>https://drive.google.com/file/d/15KbGgAQi9bMVdGkW_mkI11D6Fj0BM1n0/view?usp=drivesdk</v>
      </c>
      <c r="D8144" s="12"/>
      <c r="E8144" s="11">
        <v>8193.0</v>
      </c>
      <c r="F8144" s="2"/>
    </row>
    <row r="8145" ht="1.5" customHeight="1">
      <c r="A8145" s="4" t="str">
        <f>IFERROR(__xludf.DUMMYFUNCTION("""COMPUTED_VALUE"""),"58. Eden")</f>
        <v>58. Eden</v>
      </c>
      <c r="B8145" s="4" t="str">
        <f>IFERROR(__xludf.DUMMYFUNCTION("""COMPUTED_VALUE"""),"58")</f>
        <v>58</v>
      </c>
      <c r="C8145" s="5" t="str">
        <f>IFERROR(__xludf.DUMMYFUNCTION("""COMPUTED_VALUE"""),"https://drive.google.com/file/d/1vE2sYf8x1GXzFVJmwNjLtQfHEoQTgSy4/view?usp=drivesdk")</f>
        <v>https://drive.google.com/file/d/1vE2sYf8x1GXzFVJmwNjLtQfHEoQTgSy4/view?usp=drivesdk</v>
      </c>
      <c r="D8145" s="12"/>
      <c r="E8145" s="11">
        <v>8194.0</v>
      </c>
      <c r="F8145" s="2"/>
    </row>
    <row r="8146" ht="1.5" customHeight="1">
      <c r="A8146" s="4" t="str">
        <f>IFERROR(__xludf.DUMMYFUNCTION("""COMPUTED_VALUE"""),"141. Kamahalan")</f>
        <v>141. Kamahalan</v>
      </c>
      <c r="B8146" s="4" t="str">
        <f>IFERROR(__xludf.DUMMYFUNCTION("""COMPUTED_VALUE"""),"141")</f>
        <v>141</v>
      </c>
      <c r="C8146" s="5" t="str">
        <f>IFERROR(__xludf.DUMMYFUNCTION("""COMPUTED_VALUE"""),"https://drive.google.com/file/d/1SvsFpfgYBqTjakYujE7f0h3Q84YW4oP0/view?usp=drivesdk")</f>
        <v>https://drive.google.com/file/d/1SvsFpfgYBqTjakYujE7f0h3Q84YW4oP0/view?usp=drivesdk</v>
      </c>
      <c r="D8146" s="12"/>
      <c r="E8146" s="11">
        <v>8195.0</v>
      </c>
      <c r="F8146" s="2"/>
    </row>
    <row r="8147" ht="1.5" customHeight="1">
      <c r="A8147" s="4" t="str">
        <f>IFERROR(__xludf.DUMMYFUNCTION("""COMPUTED_VALUE"""),"141. Kamahalan")</f>
        <v>141. Kamahalan</v>
      </c>
      <c r="B8147" s="4" t="str">
        <f>IFERROR(__xludf.DUMMYFUNCTION("""COMPUTED_VALUE"""),"141")</f>
        <v>141</v>
      </c>
      <c r="C8147" s="5" t="str">
        <f>IFERROR(__xludf.DUMMYFUNCTION("""COMPUTED_VALUE"""),"https://drive.google.com/file/d/1JiINrvoTpJ0Hf4kVLnzE7-chW0vXNQng/view?usp=drivesdk")</f>
        <v>https://drive.google.com/file/d/1JiINrvoTpJ0Hf4kVLnzE7-chW0vXNQng/view?usp=drivesdk</v>
      </c>
      <c r="D8147" s="12"/>
      <c r="E8147" s="11">
        <v>8196.0</v>
      </c>
      <c r="F8147" s="2"/>
    </row>
    <row r="8148" ht="1.5" customHeight="1">
      <c r="A8148" s="4" t="str">
        <f>IFERROR(__xludf.DUMMYFUNCTION("""COMPUTED_VALUE"""),"29. Ginger, 33. Zee")</f>
        <v>29. Ginger, 33. Zee</v>
      </c>
      <c r="B8148" s="4" t="str">
        <f>IFERROR(__xludf.DUMMYFUNCTION("""COMPUTED_VALUE"""),"29, 33")</f>
        <v>29, 33</v>
      </c>
      <c r="C8148" s="5" t="str">
        <f>IFERROR(__xludf.DUMMYFUNCTION("""COMPUTED_VALUE"""),"https://drive.google.com/file/d/1mNjWn8rC5vXZJBX3Lun-HWu_bRsVKcms/view?usp=drivesdk")</f>
        <v>https://drive.google.com/file/d/1mNjWn8rC5vXZJBX3Lun-HWu_bRsVKcms/view?usp=drivesdk</v>
      </c>
      <c r="D8148" s="12"/>
      <c r="E8148" s="11">
        <v>8197.0</v>
      </c>
      <c r="F8148" s="2"/>
    </row>
    <row r="8149" ht="1.5" customHeight="1">
      <c r="A8149" s="4" t="str">
        <f>IFERROR(__xludf.DUMMYFUNCTION("""COMPUTED_VALUE"""),"30. Pepper")</f>
        <v>30. Pepper</v>
      </c>
      <c r="B8149" s="4" t="str">
        <f>IFERROR(__xludf.DUMMYFUNCTION("""COMPUTED_VALUE"""),"30")</f>
        <v>30</v>
      </c>
      <c r="C8149" s="5" t="str">
        <f>IFERROR(__xludf.DUMMYFUNCTION("""COMPUTED_VALUE"""),"https://drive.google.com/file/d/1ib3jfnyzuHspXNg3Kg3nVtatX_Y33A50/view?usp=drivesdk")</f>
        <v>https://drive.google.com/file/d/1ib3jfnyzuHspXNg3Kg3nVtatX_Y33A50/view?usp=drivesdk</v>
      </c>
      <c r="D8149" s="12"/>
      <c r="E8149" s="11">
        <v>8198.0</v>
      </c>
      <c r="F8149" s="2"/>
    </row>
    <row r="8150" ht="1.5" customHeight="1">
      <c r="A8150" s="4" t="str">
        <f>IFERROR(__xludf.DUMMYFUNCTION("""COMPUTED_VALUE"""),"27. Angel")</f>
        <v>27. Angel</v>
      </c>
      <c r="B8150" s="4" t="str">
        <f>IFERROR(__xludf.DUMMYFUNCTION("""COMPUTED_VALUE"""),"27")</f>
        <v>27</v>
      </c>
      <c r="C8150" s="5" t="str">
        <f>IFERROR(__xludf.DUMMYFUNCTION("""COMPUTED_VALUE"""),"https://drive.google.com/file/d/1GefArrrkJ_Vcecvty3-9SM-vcYFwcp5i/view?usp=drivesdk")</f>
        <v>https://drive.google.com/file/d/1GefArrrkJ_Vcecvty3-9SM-vcYFwcp5i/view?usp=drivesdk</v>
      </c>
      <c r="D8150" s="12"/>
      <c r="E8150" s="11">
        <v>8199.0</v>
      </c>
      <c r="F8150" s="2"/>
    </row>
    <row r="8151" ht="1.5" customHeight="1">
      <c r="A8151" s="4" t="str">
        <f>IFERROR(__xludf.DUMMYFUNCTION("""COMPUTED_VALUE"""),"29. Ginger, 30. Pepper, 33. Zee")</f>
        <v>29. Ginger, 30. Pepper, 33. Zee</v>
      </c>
      <c r="B8151" s="4" t="str">
        <f>IFERROR(__xludf.DUMMYFUNCTION("""COMPUTED_VALUE"""),"29, 30, 33")</f>
        <v>29, 30, 33</v>
      </c>
      <c r="C8151" s="5" t="str">
        <f>IFERROR(__xludf.DUMMYFUNCTION("""COMPUTED_VALUE"""),"https://drive.google.com/file/d/13rbtp4uT4H-k20S4mklbI2VsSY0fyqJA/view?usp=drivesdk")</f>
        <v>https://drive.google.com/file/d/13rbtp4uT4H-k20S4mklbI2VsSY0fyqJA/view?usp=drivesdk</v>
      </c>
      <c r="D8151" s="12"/>
      <c r="E8151" s="11">
        <v>8200.0</v>
      </c>
      <c r="F8151" s="2"/>
    </row>
    <row r="8152" ht="1.5" customHeight="1">
      <c r="A8152" s="4" t="str">
        <f>IFERROR(__xludf.DUMMYFUNCTION("""COMPUTED_VALUE"""),"29. Ginger")</f>
        <v>29. Ginger</v>
      </c>
      <c r="B8152" s="4" t="str">
        <f>IFERROR(__xludf.DUMMYFUNCTION("""COMPUTED_VALUE"""),"29")</f>
        <v>29</v>
      </c>
      <c r="C8152" s="5" t="str">
        <f>IFERROR(__xludf.DUMMYFUNCTION("""COMPUTED_VALUE"""),"https://drive.google.com/file/d/1IkXPiCB9_h3FCRawJQGa11vPhuqB-SHI/view?usp=drivesdk")</f>
        <v>https://drive.google.com/file/d/1IkXPiCB9_h3FCRawJQGa11vPhuqB-SHI/view?usp=drivesdk</v>
      </c>
      <c r="D8152" s="12"/>
      <c r="E8152" s="11">
        <v>8201.0</v>
      </c>
      <c r="F8152" s="2"/>
    </row>
    <row r="8153" ht="1.5" customHeight="1">
      <c r="A8153" s="4" t="str">
        <f>IFERROR(__xludf.DUMMYFUNCTION("""COMPUTED_VALUE"""),"29. Ginger")</f>
        <v>29. Ginger</v>
      </c>
      <c r="B8153" s="4" t="str">
        <f>IFERROR(__xludf.DUMMYFUNCTION("""COMPUTED_VALUE"""),"29")</f>
        <v>29</v>
      </c>
      <c r="C8153" s="5" t="str">
        <f>IFERROR(__xludf.DUMMYFUNCTION("""COMPUTED_VALUE"""),"https://drive.google.com/file/d/1_d29Omkp0IPxgwmWfU-2f2km39KOA6_0/view?usp=drivesdk")</f>
        <v>https://drive.google.com/file/d/1_d29Omkp0IPxgwmWfU-2f2km39KOA6_0/view?usp=drivesdk</v>
      </c>
      <c r="D8153" s="12"/>
      <c r="E8153" s="11">
        <v>8202.0</v>
      </c>
      <c r="F8153" s="2"/>
    </row>
    <row r="8154" ht="1.5" customHeight="1">
      <c r="A8154" s="4" t="str">
        <f>IFERROR(__xludf.DUMMYFUNCTION("""COMPUTED_VALUE"""),"27. Angel")</f>
        <v>27. Angel</v>
      </c>
      <c r="B8154" s="4" t="str">
        <f>IFERROR(__xludf.DUMMYFUNCTION("""COMPUTED_VALUE"""),"27")</f>
        <v>27</v>
      </c>
      <c r="C8154" s="5" t="str">
        <f>IFERROR(__xludf.DUMMYFUNCTION("""COMPUTED_VALUE"""),"https://drive.google.com/file/d/1Ifhcho7tjo0Zvdm5qAp0YdASGvi6PHaj/view?usp=drivesdk")</f>
        <v>https://drive.google.com/file/d/1Ifhcho7tjo0Zvdm5qAp0YdASGvi6PHaj/view?usp=drivesdk</v>
      </c>
      <c r="D8154" s="12"/>
      <c r="E8154" s="11">
        <v>8203.0</v>
      </c>
      <c r="F8154" s="2"/>
    </row>
    <row r="8155" ht="1.5" customHeight="1">
      <c r="A8155" s="4" t="str">
        <f>IFERROR(__xludf.DUMMYFUNCTION("""COMPUTED_VALUE"""),"29. Ginger, 30. Pepper")</f>
        <v>29. Ginger, 30. Pepper</v>
      </c>
      <c r="B8155" s="4" t="str">
        <f>IFERROR(__xludf.DUMMYFUNCTION("""COMPUTED_VALUE"""),"29, 30")</f>
        <v>29, 30</v>
      </c>
      <c r="C8155" s="5" t="str">
        <f>IFERROR(__xludf.DUMMYFUNCTION("""COMPUTED_VALUE"""),"https://drive.google.com/file/d/1QWv1Nru-wZPFfZYS3pDB4MxrfipTORh1/view?usp=drivesdk")</f>
        <v>https://drive.google.com/file/d/1QWv1Nru-wZPFfZYS3pDB4MxrfipTORh1/view?usp=drivesdk</v>
      </c>
      <c r="D8155" s="12"/>
      <c r="E8155" s="11">
        <v>8204.0</v>
      </c>
      <c r="F8155" s="2"/>
    </row>
    <row r="8156" ht="1.5" customHeight="1">
      <c r="A8156" s="4" t="str">
        <f>IFERROR(__xludf.DUMMYFUNCTION("""COMPUTED_VALUE"""),"29. Ginger, 30. Pepper")</f>
        <v>29. Ginger, 30. Pepper</v>
      </c>
      <c r="B8156" s="4" t="str">
        <f>IFERROR(__xludf.DUMMYFUNCTION("""COMPUTED_VALUE"""),"29, 30")</f>
        <v>29, 30</v>
      </c>
      <c r="C8156" s="5" t="str">
        <f>IFERROR(__xludf.DUMMYFUNCTION("""COMPUTED_VALUE"""),"https://drive.google.com/file/d/1iQ5POX6qDEQPNYr_uLg7Ji_KQTSYxsaw/view?usp=drivesdk")</f>
        <v>https://drive.google.com/file/d/1iQ5POX6qDEQPNYr_uLg7Ji_KQTSYxsaw/view?usp=drivesdk</v>
      </c>
      <c r="D8156" s="12"/>
      <c r="E8156" s="11">
        <v>8205.0</v>
      </c>
      <c r="F8156" s="2"/>
    </row>
    <row r="8157" ht="1.5" customHeight="1">
      <c r="A8157" s="4" t="str">
        <f>IFERROR(__xludf.DUMMYFUNCTION("""COMPUTED_VALUE"""),"63. Mr Stinky")</f>
        <v>63. Mr Stinky</v>
      </c>
      <c r="B8157" s="4" t="str">
        <f>IFERROR(__xludf.DUMMYFUNCTION("""COMPUTED_VALUE"""),"63")</f>
        <v>63</v>
      </c>
      <c r="C8157" s="5" t="str">
        <f>IFERROR(__xludf.DUMMYFUNCTION("""COMPUTED_VALUE"""),"https://drive.google.com/file/d/134GV6mLskE-OXZJuC6BJrUlrYL1WMmm_/view?usp=drivesdk")</f>
        <v>https://drive.google.com/file/d/134GV6mLskE-OXZJuC6BJrUlrYL1WMmm_/view?usp=drivesdk</v>
      </c>
      <c r="D8157" s="12"/>
      <c r="E8157" s="11">
        <v>8206.0</v>
      </c>
      <c r="F8157" s="2"/>
    </row>
    <row r="8158" ht="1.5" customHeight="1">
      <c r="A8158" s="4" t="str">
        <f>IFERROR(__xludf.DUMMYFUNCTION("""COMPUTED_VALUE"""),"63. Mr Stinky")</f>
        <v>63. Mr Stinky</v>
      </c>
      <c r="B8158" s="4" t="str">
        <f>IFERROR(__xludf.DUMMYFUNCTION("""COMPUTED_VALUE"""),"63")</f>
        <v>63</v>
      </c>
      <c r="C8158" s="5" t="str">
        <f>IFERROR(__xludf.DUMMYFUNCTION("""COMPUTED_VALUE"""),"https://drive.google.com/file/d/1kZpTiAfX0hhKlvttdfFuQ551gvubRjAT/view?usp=drivesdk")</f>
        <v>https://drive.google.com/file/d/1kZpTiAfX0hhKlvttdfFuQ551gvubRjAT/view?usp=drivesdk</v>
      </c>
      <c r="D8158" s="12"/>
      <c r="E8158" s="11">
        <v>8207.0</v>
      </c>
      <c r="F8158" s="2"/>
    </row>
    <row r="8159" ht="1.5" customHeight="1">
      <c r="A8159" s="4" t="str">
        <f>IFERROR(__xludf.DUMMYFUNCTION("""COMPUTED_VALUE"""),"1. Microwave")</f>
        <v>1. Microwave</v>
      </c>
      <c r="B8159" s="4" t="str">
        <f>IFERROR(__xludf.DUMMYFUNCTION("""COMPUTED_VALUE"""),"1")</f>
        <v>1</v>
      </c>
      <c r="C8159" s="5" t="str">
        <f>IFERROR(__xludf.DUMMYFUNCTION("""COMPUTED_VALUE"""),"https://drive.google.com/file/d/1r16SVtyvwztkAVVIPjN_2g8cj-4XlbTo/view?usp=drivesdk")</f>
        <v>https://drive.google.com/file/d/1r16SVtyvwztkAVVIPjN_2g8cj-4XlbTo/view?usp=drivesdk</v>
      </c>
      <c r="D8159" s="12"/>
      <c r="E8159" s="11">
        <v>8208.0</v>
      </c>
      <c r="F8159" s="2"/>
    </row>
    <row r="8160" ht="1.5" customHeight="1">
      <c r="A8160" s="4" t="str">
        <f>IFERROR(__xludf.DUMMYFUNCTION("""COMPUTED_VALUE"""),"1. Microwave")</f>
        <v>1. Microwave</v>
      </c>
      <c r="B8160" s="4" t="str">
        <f>IFERROR(__xludf.DUMMYFUNCTION("""COMPUTED_VALUE"""),"1")</f>
        <v>1</v>
      </c>
      <c r="C8160" s="5" t="str">
        <f>IFERROR(__xludf.DUMMYFUNCTION("""COMPUTED_VALUE"""),"https://drive.google.com/file/d/1UQ4vokGBsLUjZrgknF1MWK4hiHW7pgBH/view?usp=drivesdk")</f>
        <v>https://drive.google.com/file/d/1UQ4vokGBsLUjZrgknF1MWK4hiHW7pgBH/view?usp=drivesdk</v>
      </c>
      <c r="D8160" s="12"/>
      <c r="E8160" s="11">
        <v>8209.0</v>
      </c>
      <c r="F8160" s="2"/>
    </row>
    <row r="8161" ht="1.5" customHeight="1">
      <c r="A8161" s="4" t="str">
        <f>IFERROR(__xludf.DUMMYFUNCTION("""COMPUTED_VALUE"""),"2. Twix")</f>
        <v>2. Twix</v>
      </c>
      <c r="B8161" s="4" t="str">
        <f>IFERROR(__xludf.DUMMYFUNCTION("""COMPUTED_VALUE"""),"2")</f>
        <v>2</v>
      </c>
      <c r="C8161" s="5" t="str">
        <f>IFERROR(__xludf.DUMMYFUNCTION("""COMPUTED_VALUE"""),"https://drive.google.com/file/d/1dCBsiTjlZpyyZKCcXTD0iORgFZ4xjyBP/view?usp=drivesdk")</f>
        <v>https://drive.google.com/file/d/1dCBsiTjlZpyyZKCcXTD0iORgFZ4xjyBP/view?usp=drivesdk</v>
      </c>
      <c r="D8161" s="12"/>
      <c r="E8161" s="11">
        <v>8210.0</v>
      </c>
      <c r="F8161" s="2"/>
    </row>
    <row r="8162" ht="1.5" customHeight="1">
      <c r="A8162" s="4" t="str">
        <f>IFERROR(__xludf.DUMMYFUNCTION("""COMPUTED_VALUE"""),"2. Twix")</f>
        <v>2. Twix</v>
      </c>
      <c r="B8162" s="4" t="str">
        <f>IFERROR(__xludf.DUMMYFUNCTION("""COMPUTED_VALUE"""),"2")</f>
        <v>2</v>
      </c>
      <c r="C8162" s="5" t="str">
        <f>IFERROR(__xludf.DUMMYFUNCTION("""COMPUTED_VALUE"""),"https://drive.google.com/file/d/1BqGFD8WXjfFNuT57FZ-x0h8fC5meV9Y1/view?usp=drivesdk")</f>
        <v>https://drive.google.com/file/d/1BqGFD8WXjfFNuT57FZ-x0h8fC5meV9Y1/view?usp=drivesdk</v>
      </c>
      <c r="D8162" s="12"/>
      <c r="E8162" s="11">
        <v>8211.0</v>
      </c>
      <c r="F8162" s="2"/>
    </row>
    <row r="8163" ht="1.5" customHeight="1">
      <c r="A8163" s="4" t="str">
        <f>IFERROR(__xludf.DUMMYFUNCTION("""COMPUTED_VALUE"""),"2. Twix")</f>
        <v>2. Twix</v>
      </c>
      <c r="B8163" s="4" t="str">
        <f>IFERROR(__xludf.DUMMYFUNCTION("""COMPUTED_VALUE"""),"2")</f>
        <v>2</v>
      </c>
      <c r="C8163" s="5" t="str">
        <f>IFERROR(__xludf.DUMMYFUNCTION("""COMPUTED_VALUE"""),"https://drive.google.com/file/d/13t_kmkjdbtV010rtCdb4UXyBxDht0E37/view?usp=drivesdk")</f>
        <v>https://drive.google.com/file/d/13t_kmkjdbtV010rtCdb4UXyBxDht0E37/view?usp=drivesdk</v>
      </c>
      <c r="D8163" s="12"/>
      <c r="E8163" s="11">
        <v>8212.0</v>
      </c>
      <c r="F8163" s="2"/>
    </row>
    <row r="8164" ht="1.5" customHeight="1">
      <c r="A8164" s="4" t="str">
        <f>IFERROR(__xludf.DUMMYFUNCTION("""COMPUTED_VALUE"""),"2. Twix")</f>
        <v>2. Twix</v>
      </c>
      <c r="B8164" s="4" t="str">
        <f>IFERROR(__xludf.DUMMYFUNCTION("""COMPUTED_VALUE"""),"2")</f>
        <v>2</v>
      </c>
      <c r="C8164" s="5" t="str">
        <f>IFERROR(__xludf.DUMMYFUNCTION("""COMPUTED_VALUE"""),"https://drive.google.com/file/d/1KKTfcNmKL1K2Z_xEY7bRikz5XcyilivN/view?usp=drivesdk")</f>
        <v>https://drive.google.com/file/d/1KKTfcNmKL1K2Z_xEY7bRikz5XcyilivN/view?usp=drivesdk</v>
      </c>
      <c r="D8164" s="12"/>
      <c r="E8164" s="11">
        <v>8213.0</v>
      </c>
      <c r="F8164" s="2"/>
    </row>
    <row r="8165" ht="1.5" customHeight="1">
      <c r="A8165" s="4" t="str">
        <f>IFERROR(__xludf.DUMMYFUNCTION("""COMPUTED_VALUE"""),"2. Twix")</f>
        <v>2. Twix</v>
      </c>
      <c r="B8165" s="4" t="str">
        <f>IFERROR(__xludf.DUMMYFUNCTION("""COMPUTED_VALUE"""),"2")</f>
        <v>2</v>
      </c>
      <c r="C8165" s="5" t="str">
        <f>IFERROR(__xludf.DUMMYFUNCTION("""COMPUTED_VALUE"""),"https://drive.google.com/file/d/1stWM5n6xD3_AqM23QQ0e69EsFIhhomz8/view?usp=drivesdk")</f>
        <v>https://drive.google.com/file/d/1stWM5n6xD3_AqM23QQ0e69EsFIhhomz8/view?usp=drivesdk</v>
      </c>
      <c r="D8165" s="12"/>
      <c r="E8165" s="11">
        <v>8214.0</v>
      </c>
      <c r="F8165" s="2"/>
    </row>
    <row r="8166" ht="1.5" customHeight="1">
      <c r="A8166" s="4" t="str">
        <f>IFERROR(__xludf.DUMMYFUNCTION("""COMPUTED_VALUE"""),"129. Charles")</f>
        <v>129. Charles</v>
      </c>
      <c r="B8166" s="4" t="str">
        <f>IFERROR(__xludf.DUMMYFUNCTION("""COMPUTED_VALUE"""),"129")</f>
        <v>129</v>
      </c>
      <c r="C8166" s="5" t="str">
        <f>IFERROR(__xludf.DUMMYFUNCTION("""COMPUTED_VALUE"""),"https://drive.google.com/file/d/1iuFoBgwyNwtybDqFNB0cQTCriyUt4Vv0/view?usp=drivesdk")</f>
        <v>https://drive.google.com/file/d/1iuFoBgwyNwtybDqFNB0cQTCriyUt4Vv0/view?usp=drivesdk</v>
      </c>
      <c r="D8166" s="12"/>
      <c r="E8166" s="11">
        <v>8215.0</v>
      </c>
      <c r="F8166" s="2"/>
    </row>
    <row r="8167" ht="1.5" customHeight="1">
      <c r="A8167" s="4" t="str">
        <f>IFERROR(__xludf.DUMMYFUNCTION("""COMPUTED_VALUE"""),"4. Eggs")</f>
        <v>4. Eggs</v>
      </c>
      <c r="B8167" s="4" t="str">
        <f>IFERROR(__xludf.DUMMYFUNCTION("""COMPUTED_VALUE"""),"4")</f>
        <v>4</v>
      </c>
      <c r="C8167" s="5" t="str">
        <f>IFERROR(__xludf.DUMMYFUNCTION("""COMPUTED_VALUE"""),"https://drive.google.com/file/d/1FcFaRVAjX0asenxJBthWlqokiqLc7P0R/view?usp=drivesdk")</f>
        <v>https://drive.google.com/file/d/1FcFaRVAjX0asenxJBthWlqokiqLc7P0R/view?usp=drivesdk</v>
      </c>
      <c r="D8167" s="12"/>
      <c r="E8167" s="11">
        <v>8216.0</v>
      </c>
      <c r="F8167" s="2"/>
    </row>
    <row r="8168" ht="1.5" customHeight="1">
      <c r="A8168" s="4" t="str">
        <f>IFERROR(__xludf.DUMMYFUNCTION("""COMPUTED_VALUE"""),"4. Eggs, 5. Eraser")</f>
        <v>4. Eggs, 5. Eraser</v>
      </c>
      <c r="B8168" s="4" t="str">
        <f>IFERROR(__xludf.DUMMYFUNCTION("""COMPUTED_VALUE"""),"4, 5")</f>
        <v>4, 5</v>
      </c>
      <c r="C8168" s="5" t="str">
        <f>IFERROR(__xludf.DUMMYFUNCTION("""COMPUTED_VALUE"""),"https://drive.google.com/file/d/1OuNqZ-FGg5wU8rN181t_lHxc3LVvAWcw/view?usp=drivesdk")</f>
        <v>https://drive.google.com/file/d/1OuNqZ-FGg5wU8rN181t_lHxc3LVvAWcw/view?usp=drivesdk</v>
      </c>
      <c r="D8168" s="12"/>
      <c r="E8168" s="11">
        <v>8217.0</v>
      </c>
      <c r="F8168" s="2"/>
    </row>
    <row r="8169" ht="1.5" customHeight="1">
      <c r="A8169" s="4" t="str">
        <f>IFERROR(__xludf.DUMMYFUNCTION("""COMPUTED_VALUE"""),"1. Microwave")</f>
        <v>1. Microwave</v>
      </c>
      <c r="B8169" s="4" t="str">
        <f>IFERROR(__xludf.DUMMYFUNCTION("""COMPUTED_VALUE"""),"1")</f>
        <v>1</v>
      </c>
      <c r="C8169" s="5" t="str">
        <f>IFERROR(__xludf.DUMMYFUNCTION("""COMPUTED_VALUE"""),"https://drive.google.com/file/d/1GPJBJjA9wr14_bI6lh8WYHT-05ueKV7u/view?usp=drivesdk")</f>
        <v>https://drive.google.com/file/d/1GPJBJjA9wr14_bI6lh8WYHT-05ueKV7u/view?usp=drivesdk</v>
      </c>
      <c r="D8169" s="12"/>
      <c r="E8169" s="11">
        <v>8218.0</v>
      </c>
      <c r="F8169" s="2"/>
    </row>
    <row r="8170" ht="1.5" customHeight="1">
      <c r="A8170" s="4" t="str">
        <f>IFERROR(__xludf.DUMMYFUNCTION("""COMPUTED_VALUE"""),"1. Microwave")</f>
        <v>1. Microwave</v>
      </c>
      <c r="B8170" s="4" t="str">
        <f>IFERROR(__xludf.DUMMYFUNCTION("""COMPUTED_VALUE"""),"1")</f>
        <v>1</v>
      </c>
      <c r="C8170" s="5" t="str">
        <f>IFERROR(__xludf.DUMMYFUNCTION("""COMPUTED_VALUE"""),"https://drive.google.com/file/d/1gRZtVuqMVDs_YoU9z_nd41cPA4hXQBzt/view?usp=drivesdk")</f>
        <v>https://drive.google.com/file/d/1gRZtVuqMVDs_YoU9z_nd41cPA4hXQBzt/view?usp=drivesdk</v>
      </c>
      <c r="D8170" s="12"/>
      <c r="E8170" s="11">
        <v>8219.0</v>
      </c>
      <c r="F8170" s="2"/>
    </row>
    <row r="8171" ht="1.5" customHeight="1">
      <c r="A8171" s="4" t="str">
        <f>IFERROR(__xludf.DUMMYFUNCTION("""COMPUTED_VALUE"""),"1. Microwave")</f>
        <v>1. Microwave</v>
      </c>
      <c r="B8171" s="4" t="str">
        <f>IFERROR(__xludf.DUMMYFUNCTION("""COMPUTED_VALUE"""),"1")</f>
        <v>1</v>
      </c>
      <c r="C8171" s="5" t="str">
        <f>IFERROR(__xludf.DUMMYFUNCTION("""COMPUTED_VALUE"""),"https://drive.google.com/file/d/1DTxyAnhzVufhNsrvJERJVf2vKXA_jZZA/view?usp=drivesdk")</f>
        <v>https://drive.google.com/file/d/1DTxyAnhzVufhNsrvJERJVf2vKXA_jZZA/view?usp=drivesdk</v>
      </c>
      <c r="D8171" s="12"/>
      <c r="E8171" s="11">
        <v>8220.0</v>
      </c>
      <c r="F8171" s="2"/>
    </row>
    <row r="8172" ht="1.5" customHeight="1">
      <c r="A8172" s="4" t="str">
        <f>IFERROR(__xludf.DUMMYFUNCTION("""COMPUTED_VALUE"""),"4. Eggs, 5. Eraser")</f>
        <v>4. Eggs, 5. Eraser</v>
      </c>
      <c r="B8172" s="4" t="str">
        <f>IFERROR(__xludf.DUMMYFUNCTION("""COMPUTED_VALUE"""),"4, 5")</f>
        <v>4, 5</v>
      </c>
      <c r="C8172" s="5" t="str">
        <f>IFERROR(__xludf.DUMMYFUNCTION("""COMPUTED_VALUE"""),"https://drive.google.com/file/d/1Qv6uVwWUpz5QBri4kUZIUEeWGBstHOlt/view?usp=drivesdk")</f>
        <v>https://drive.google.com/file/d/1Qv6uVwWUpz5QBri4kUZIUEeWGBstHOlt/view?usp=drivesdk</v>
      </c>
      <c r="D8172" s="12"/>
      <c r="E8172" s="11">
        <v>8221.0</v>
      </c>
      <c r="F8172" s="2"/>
    </row>
    <row r="8173" ht="1.5" customHeight="1">
      <c r="A8173" s="4" t="str">
        <f>IFERROR(__xludf.DUMMYFUNCTION("""COMPUTED_VALUE"""),"2. Twix")</f>
        <v>2. Twix</v>
      </c>
      <c r="B8173" s="4" t="str">
        <f>IFERROR(__xludf.DUMMYFUNCTION("""COMPUTED_VALUE"""),"2")</f>
        <v>2</v>
      </c>
      <c r="C8173" s="5" t="str">
        <f>IFERROR(__xludf.DUMMYFUNCTION("""COMPUTED_VALUE"""),"https://drive.google.com/file/d/1Cv-x2pvml2UD9jwKUXmK0zSEFTR_q7ds/view?usp=drivesdk")</f>
        <v>https://drive.google.com/file/d/1Cv-x2pvml2UD9jwKUXmK0zSEFTR_q7ds/view?usp=drivesdk</v>
      </c>
      <c r="D8173" s="12"/>
      <c r="E8173" s="11">
        <v>8222.0</v>
      </c>
      <c r="F8173" s="2"/>
    </row>
    <row r="8174" ht="1.5" customHeight="1">
      <c r="A8174" s="4" t="str">
        <f>IFERROR(__xludf.DUMMYFUNCTION("""COMPUTED_VALUE"""),"2. Twix")</f>
        <v>2. Twix</v>
      </c>
      <c r="B8174" s="4" t="str">
        <f>IFERROR(__xludf.DUMMYFUNCTION("""COMPUTED_VALUE"""),"2")</f>
        <v>2</v>
      </c>
      <c r="C8174" s="5" t="str">
        <f>IFERROR(__xludf.DUMMYFUNCTION("""COMPUTED_VALUE"""),"https://drive.google.com/file/d/1xEzJ__Ye_SJz2mDO_qJLVnffAdOyxrdz/view?usp=drivesdk")</f>
        <v>https://drive.google.com/file/d/1xEzJ__Ye_SJz2mDO_qJLVnffAdOyxrdz/view?usp=drivesdk</v>
      </c>
      <c r="D8174" s="12"/>
      <c r="E8174" s="11">
        <v>8223.0</v>
      </c>
      <c r="F8174" s="2"/>
    </row>
    <row r="8175" ht="1.5" customHeight="1">
      <c r="A8175" s="4" t="str">
        <f>IFERROR(__xludf.DUMMYFUNCTION("""COMPUTED_VALUE"""),"2. Twix")</f>
        <v>2. Twix</v>
      </c>
      <c r="B8175" s="4" t="str">
        <f>IFERROR(__xludf.DUMMYFUNCTION("""COMPUTED_VALUE"""),"2")</f>
        <v>2</v>
      </c>
      <c r="C8175" s="5" t="str">
        <f>IFERROR(__xludf.DUMMYFUNCTION("""COMPUTED_VALUE"""),"https://drive.google.com/file/d/1qvRy5BxJJWMGaIXX1h3nXc9w9U8PtHmk/view?usp=drivesdk")</f>
        <v>https://drive.google.com/file/d/1qvRy5BxJJWMGaIXX1h3nXc9w9U8PtHmk/view?usp=drivesdk</v>
      </c>
      <c r="D8175" s="12"/>
      <c r="E8175" s="11">
        <v>8224.0</v>
      </c>
      <c r="F8175" s="2"/>
    </row>
    <row r="8176" ht="1.5" customHeight="1">
      <c r="A8176" s="4" t="str">
        <f>IFERROR(__xludf.DUMMYFUNCTION("""COMPUTED_VALUE"""),"2. Twix")</f>
        <v>2. Twix</v>
      </c>
      <c r="B8176" s="4" t="str">
        <f>IFERROR(__xludf.DUMMYFUNCTION("""COMPUTED_VALUE"""),"2")</f>
        <v>2</v>
      </c>
      <c r="C8176" s="5" t="str">
        <f>IFERROR(__xludf.DUMMYFUNCTION("""COMPUTED_VALUE"""),"https://drive.google.com/file/d/14G01CH-gAIdSpljnbTqvGQQ63fzO8zZ6/view?usp=drivesdk")</f>
        <v>https://drive.google.com/file/d/14G01CH-gAIdSpljnbTqvGQQ63fzO8zZ6/view?usp=drivesdk</v>
      </c>
      <c r="D8176" s="12"/>
      <c r="E8176" s="11">
        <v>8225.0</v>
      </c>
      <c r="F8176" s="2"/>
    </row>
    <row r="8177" ht="1.5" customHeight="1">
      <c r="A8177" s="4" t="str">
        <f>IFERROR(__xludf.DUMMYFUNCTION("""COMPUTED_VALUE"""),"2. Twix")</f>
        <v>2. Twix</v>
      </c>
      <c r="B8177" s="4" t="str">
        <f>IFERROR(__xludf.DUMMYFUNCTION("""COMPUTED_VALUE"""),"2")</f>
        <v>2</v>
      </c>
      <c r="C8177" s="5" t="str">
        <f>IFERROR(__xludf.DUMMYFUNCTION("""COMPUTED_VALUE"""),"https://drive.google.com/file/d/1bn3mQlV9stiDFHA8_Z1nQrf0wUul-Vxz/view?usp=drivesdk")</f>
        <v>https://drive.google.com/file/d/1bn3mQlV9stiDFHA8_Z1nQrf0wUul-Vxz/view?usp=drivesdk</v>
      </c>
      <c r="D8177" s="12"/>
      <c r="E8177" s="11">
        <v>8226.0</v>
      </c>
      <c r="F8177" s="2"/>
    </row>
    <row r="8178" ht="1.5" customHeight="1">
      <c r="A8178" s="4" t="str">
        <f>IFERROR(__xludf.DUMMYFUNCTION("""COMPUTED_VALUE"""),"2. Twix")</f>
        <v>2. Twix</v>
      </c>
      <c r="B8178" s="4" t="str">
        <f>IFERROR(__xludf.DUMMYFUNCTION("""COMPUTED_VALUE"""),"2")</f>
        <v>2</v>
      </c>
      <c r="C8178" s="5" t="str">
        <f>IFERROR(__xludf.DUMMYFUNCTION("""COMPUTED_VALUE"""),"https://drive.google.com/file/d/13DjkT_FUX8qF1LVzlxSjuZkGaUuIhlel/view?usp=drivesdk")</f>
        <v>https://drive.google.com/file/d/13DjkT_FUX8qF1LVzlxSjuZkGaUuIhlel/view?usp=drivesdk</v>
      </c>
      <c r="D8178" s="12"/>
      <c r="E8178" s="11">
        <v>8227.0</v>
      </c>
      <c r="F8178" s="2"/>
    </row>
    <row r="8179" ht="1.5" customHeight="1">
      <c r="A8179" s="4" t="str">
        <f>IFERROR(__xludf.DUMMYFUNCTION("""COMPUTED_VALUE"""),"2. Twix")</f>
        <v>2. Twix</v>
      </c>
      <c r="B8179" s="4" t="str">
        <f>IFERROR(__xludf.DUMMYFUNCTION("""COMPUTED_VALUE"""),"2")</f>
        <v>2</v>
      </c>
      <c r="C8179" s="5" t="str">
        <f>IFERROR(__xludf.DUMMYFUNCTION("""COMPUTED_VALUE"""),"https://drive.google.com/file/d/1JqlErtvjFIQ1At0b-yfTa1sHzfvYcwBO/view?usp=drivesdk")</f>
        <v>https://drive.google.com/file/d/1JqlErtvjFIQ1At0b-yfTa1sHzfvYcwBO/view?usp=drivesdk</v>
      </c>
      <c r="D8179" s="12"/>
      <c r="E8179" s="11">
        <v>8228.0</v>
      </c>
      <c r="F8179" s="2"/>
    </row>
    <row r="8180" ht="1.5" customHeight="1">
      <c r="A8180" s="4" t="str">
        <f>IFERROR(__xludf.DUMMYFUNCTION("""COMPUTED_VALUE"""),"2. Twix")</f>
        <v>2. Twix</v>
      </c>
      <c r="B8180" s="4" t="str">
        <f>IFERROR(__xludf.DUMMYFUNCTION("""COMPUTED_VALUE"""),"2")</f>
        <v>2</v>
      </c>
      <c r="C8180" s="5" t="str">
        <f>IFERROR(__xludf.DUMMYFUNCTION("""COMPUTED_VALUE"""),"https://drive.google.com/file/d/1lGjZArroo2WwvC9U4cANw1twXFwQKHMp/view?usp=drivesdk")</f>
        <v>https://drive.google.com/file/d/1lGjZArroo2WwvC9U4cANw1twXFwQKHMp/view?usp=drivesdk</v>
      </c>
      <c r="D8180" s="12"/>
      <c r="E8180" s="11">
        <v>8229.0</v>
      </c>
      <c r="F8180" s="2"/>
    </row>
    <row r="8181" ht="1.5" customHeight="1">
      <c r="A8181" s="4" t="str">
        <f>IFERROR(__xludf.DUMMYFUNCTION("""COMPUTED_VALUE"""),"2. Twix")</f>
        <v>2. Twix</v>
      </c>
      <c r="B8181" s="4" t="str">
        <f>IFERROR(__xludf.DUMMYFUNCTION("""COMPUTED_VALUE"""),"2")</f>
        <v>2</v>
      </c>
      <c r="C8181" s="5" t="str">
        <f>IFERROR(__xludf.DUMMYFUNCTION("""COMPUTED_VALUE"""),"https://drive.google.com/file/d/1cCMucoOU4P88Cf2MZaexYmPk8zQUbIjx/view?usp=drivesdk")</f>
        <v>https://drive.google.com/file/d/1cCMucoOU4P88Cf2MZaexYmPk8zQUbIjx/view?usp=drivesdk</v>
      </c>
      <c r="D8181" s="12"/>
      <c r="E8181" s="11">
        <v>8230.0</v>
      </c>
      <c r="F8181" s="2"/>
    </row>
    <row r="8182" ht="1.5" customHeight="1">
      <c r="A8182" s="4" t="str">
        <f>IFERROR(__xludf.DUMMYFUNCTION("""COMPUTED_VALUE"""),"9. Melvin")</f>
        <v>9. Melvin</v>
      </c>
      <c r="B8182" s="4" t="str">
        <f>IFERROR(__xludf.DUMMYFUNCTION("""COMPUTED_VALUE"""),"9")</f>
        <v>9</v>
      </c>
      <c r="C8182" s="5" t="str">
        <f>IFERROR(__xludf.DUMMYFUNCTION("""COMPUTED_VALUE"""),"https://drive.google.com/file/d/1sN-d-TFh-8tv-QdSCceOnkdhLASjSPQw/view?usp=drivesdk")</f>
        <v>https://drive.google.com/file/d/1sN-d-TFh-8tv-QdSCceOnkdhLASjSPQw/view?usp=drivesdk</v>
      </c>
      <c r="D8182" s="12"/>
      <c r="E8182" s="11">
        <v>8231.0</v>
      </c>
      <c r="F8182" s="2"/>
    </row>
    <row r="8183" ht="1.5" customHeight="1">
      <c r="A8183" s="4" t="str">
        <f>IFERROR(__xludf.DUMMYFUNCTION("""COMPUTED_VALUE"""),"36. Scringle")</f>
        <v>36. Scringle</v>
      </c>
      <c r="B8183" s="4" t="str">
        <f>IFERROR(__xludf.DUMMYFUNCTION("""COMPUTED_VALUE"""),"36")</f>
        <v>36</v>
      </c>
      <c r="C8183" s="5" t="str">
        <f>IFERROR(__xludf.DUMMYFUNCTION("""COMPUTED_VALUE"""),"https://drive.google.com/file/d/1-m6VydCD4AdTSfWx5diFwXgWXi5hFN-c/view?usp=drivesdk")</f>
        <v>https://drive.google.com/file/d/1-m6VydCD4AdTSfWx5diFwXgWXi5hFN-c/view?usp=drivesdk</v>
      </c>
      <c r="D8183" s="12"/>
      <c r="E8183" s="11">
        <v>8232.0</v>
      </c>
      <c r="F8183" s="2"/>
    </row>
    <row r="8184" ht="1.5" customHeight="1">
      <c r="A8184" s="4" t="str">
        <f>IFERROR(__xludf.DUMMYFUNCTION("""COMPUTED_VALUE"""),"129. Charles")</f>
        <v>129. Charles</v>
      </c>
      <c r="B8184" s="4" t="str">
        <f>IFERROR(__xludf.DUMMYFUNCTION("""COMPUTED_VALUE"""),"129")</f>
        <v>129</v>
      </c>
      <c r="C8184" s="5" t="str">
        <f>IFERROR(__xludf.DUMMYFUNCTION("""COMPUTED_VALUE"""),"https://drive.google.com/file/d/1G17rRypbwhcWUgsXFkflVfx1gyiUDjwz/view?usp=drivesdk")</f>
        <v>https://drive.google.com/file/d/1G17rRypbwhcWUgsXFkflVfx1gyiUDjwz/view?usp=drivesdk</v>
      </c>
      <c r="D8184" s="12"/>
      <c r="E8184" s="11">
        <v>8233.0</v>
      </c>
      <c r="F8184" s="2"/>
    </row>
    <row r="8185" ht="1.5" customHeight="1">
      <c r="A8185" s="4" t="str">
        <f>IFERROR(__xludf.DUMMYFUNCTION("""COMPUTED_VALUE"""),"36. Scringle")</f>
        <v>36. Scringle</v>
      </c>
      <c r="B8185" s="4" t="str">
        <f>IFERROR(__xludf.DUMMYFUNCTION("""COMPUTED_VALUE"""),"36")</f>
        <v>36</v>
      </c>
      <c r="C8185" s="5" t="str">
        <f>IFERROR(__xludf.DUMMYFUNCTION("""COMPUTED_VALUE"""),"https://drive.google.com/file/d/1EBUYUhPeNC4I7ucdydqL60DsYVXkV8O1/view?usp=drivesdk")</f>
        <v>https://drive.google.com/file/d/1EBUYUhPeNC4I7ucdydqL60DsYVXkV8O1/view?usp=drivesdk</v>
      </c>
      <c r="D8185" s="12"/>
      <c r="E8185" s="11">
        <v>8234.0</v>
      </c>
      <c r="F8185" s="2"/>
    </row>
    <row r="8186" ht="1.5" customHeight="1">
      <c r="A8186" s="4" t="str">
        <f>IFERROR(__xludf.DUMMYFUNCTION("""COMPUTED_VALUE"""),"129. Charles")</f>
        <v>129. Charles</v>
      </c>
      <c r="B8186" s="4" t="str">
        <f>IFERROR(__xludf.DUMMYFUNCTION("""COMPUTED_VALUE"""),"129")</f>
        <v>129</v>
      </c>
      <c r="C8186" s="5" t="str">
        <f>IFERROR(__xludf.DUMMYFUNCTION("""COMPUTED_VALUE"""),"https://drive.google.com/file/d/1J7sltZoY-jbSV7ZxJkejBLlogTkoeN5C/view?usp=drivesdk")</f>
        <v>https://drive.google.com/file/d/1J7sltZoY-jbSV7ZxJkejBLlogTkoeN5C/view?usp=drivesdk</v>
      </c>
      <c r="D8186" s="12"/>
      <c r="E8186" s="11">
        <v>8235.0</v>
      </c>
      <c r="F8186" s="2"/>
    </row>
    <row r="8187" ht="1.5" customHeight="1">
      <c r="A8187" s="4" t="str">
        <f>IFERROR(__xludf.DUMMYFUNCTION("""COMPUTED_VALUE"""),"1. Microwave")</f>
        <v>1. Microwave</v>
      </c>
      <c r="B8187" s="4" t="str">
        <f>IFERROR(__xludf.DUMMYFUNCTION("""COMPUTED_VALUE"""),"1")</f>
        <v>1</v>
      </c>
      <c r="C8187" s="5" t="str">
        <f>IFERROR(__xludf.DUMMYFUNCTION("""COMPUTED_VALUE"""),"https://drive.google.com/file/d/1YFfmA69fHmBUTTTWwxvwVeg7r3EACBCM/view?usp=drivesdk")</f>
        <v>https://drive.google.com/file/d/1YFfmA69fHmBUTTTWwxvwVeg7r3EACBCM/view?usp=drivesdk</v>
      </c>
      <c r="D8187" s="12"/>
      <c r="E8187" s="11">
        <v>8236.0</v>
      </c>
      <c r="F8187" s="2"/>
    </row>
    <row r="8188" ht="1.5" customHeight="1">
      <c r="A8188" s="4" t="str">
        <f>IFERROR(__xludf.DUMMYFUNCTION("""COMPUTED_VALUE"""),"1. Microwave")</f>
        <v>1. Microwave</v>
      </c>
      <c r="B8188" s="4" t="str">
        <f>IFERROR(__xludf.DUMMYFUNCTION("""COMPUTED_VALUE"""),"1")</f>
        <v>1</v>
      </c>
      <c r="C8188" s="5" t="str">
        <f>IFERROR(__xludf.DUMMYFUNCTION("""COMPUTED_VALUE"""),"https://drive.google.com/file/d/1bZdjBFjTSQgrTxzD81xMLQsoxIZsPiAd/view?usp=drivesdk")</f>
        <v>https://drive.google.com/file/d/1bZdjBFjTSQgrTxzD81xMLQsoxIZsPiAd/view?usp=drivesdk</v>
      </c>
      <c r="D8188" s="12"/>
      <c r="E8188" s="11">
        <v>8237.0</v>
      </c>
      <c r="F8188" s="2"/>
    </row>
    <row r="8189" ht="1.5" customHeight="1">
      <c r="A8189" s="4" t="str">
        <f>IFERROR(__xludf.DUMMYFUNCTION("""COMPUTED_VALUE"""),"1. Microwave")</f>
        <v>1. Microwave</v>
      </c>
      <c r="B8189" s="4" t="str">
        <f>IFERROR(__xludf.DUMMYFUNCTION("""COMPUTED_VALUE"""),"1")</f>
        <v>1</v>
      </c>
      <c r="C8189" s="5" t="str">
        <f>IFERROR(__xludf.DUMMYFUNCTION("""COMPUTED_VALUE"""),"https://drive.google.com/file/d/1TFeMt-eURzWNHfpWtzMZF_aYX_cAKYE0/view?usp=drivesdk")</f>
        <v>https://drive.google.com/file/d/1TFeMt-eURzWNHfpWtzMZF_aYX_cAKYE0/view?usp=drivesdk</v>
      </c>
      <c r="D8189" s="12"/>
      <c r="E8189" s="11">
        <v>8238.0</v>
      </c>
      <c r="F8189" s="2"/>
    </row>
    <row r="8190" ht="1.5" customHeight="1">
      <c r="A8190" s="4" t="str">
        <f>IFERROR(__xludf.DUMMYFUNCTION("""COMPUTED_VALUE"""),"1. Microwave")</f>
        <v>1. Microwave</v>
      </c>
      <c r="B8190" s="4" t="str">
        <f>IFERROR(__xludf.DUMMYFUNCTION("""COMPUTED_VALUE"""),"1")</f>
        <v>1</v>
      </c>
      <c r="C8190" s="5" t="str">
        <f>IFERROR(__xludf.DUMMYFUNCTION("""COMPUTED_VALUE"""),"https://drive.google.com/file/d/1GrdBC4MMUasOKgBEuFc5TB0xJyGX4Bm6/view?usp=drivesdk")</f>
        <v>https://drive.google.com/file/d/1GrdBC4MMUasOKgBEuFc5TB0xJyGX4Bm6/view?usp=drivesdk</v>
      </c>
      <c r="D8190" s="12"/>
      <c r="E8190" s="11">
        <v>8239.0</v>
      </c>
      <c r="F8190" s="2"/>
    </row>
    <row r="8191" ht="1.5" customHeight="1">
      <c r="A8191" s="4" t="str">
        <f>IFERROR(__xludf.DUMMYFUNCTION("""COMPUTED_VALUE"""),"1. Microwave")</f>
        <v>1. Microwave</v>
      </c>
      <c r="B8191" s="4" t="str">
        <f>IFERROR(__xludf.DUMMYFUNCTION("""COMPUTED_VALUE"""),"1")</f>
        <v>1</v>
      </c>
      <c r="C8191" s="5" t="str">
        <f>IFERROR(__xludf.DUMMYFUNCTION("""COMPUTED_VALUE"""),"https://drive.google.com/file/d/1Aw2dLRZMP8kpnJVKucUqz7jWlInG1X9n/view?usp=drivesdk")</f>
        <v>https://drive.google.com/file/d/1Aw2dLRZMP8kpnJVKucUqz7jWlInG1X9n/view?usp=drivesdk</v>
      </c>
      <c r="D8191" s="12"/>
      <c r="E8191" s="11">
        <v>8240.0</v>
      </c>
      <c r="F8191" s="2"/>
    </row>
    <row r="8192" ht="1.5" customHeight="1">
      <c r="A8192" s="4" t="str">
        <f>IFERROR(__xludf.DUMMYFUNCTION("""COMPUTED_VALUE"""),"1. Microwave")</f>
        <v>1. Microwave</v>
      </c>
      <c r="B8192" s="4" t="str">
        <f>IFERROR(__xludf.DUMMYFUNCTION("""COMPUTED_VALUE"""),"1")</f>
        <v>1</v>
      </c>
      <c r="C8192" s="5" t="str">
        <f>IFERROR(__xludf.DUMMYFUNCTION("""COMPUTED_VALUE"""),"https://drive.google.com/file/d/1PVCygD1oiG3u2HDTvPQHrmzUMjcUZkDt/view?usp=drivesdk")</f>
        <v>https://drive.google.com/file/d/1PVCygD1oiG3u2HDTvPQHrmzUMjcUZkDt/view?usp=drivesdk</v>
      </c>
      <c r="D8192" s="12"/>
      <c r="E8192" s="11">
        <v>8241.0</v>
      </c>
      <c r="F8192" s="2"/>
    </row>
    <row r="8193" ht="1.5" customHeight="1">
      <c r="A8193" s="4" t="str">
        <f>IFERROR(__xludf.DUMMYFUNCTION("""COMPUTED_VALUE"""),"1. Microwave")</f>
        <v>1. Microwave</v>
      </c>
      <c r="B8193" s="4" t="str">
        <f>IFERROR(__xludf.DUMMYFUNCTION("""COMPUTED_VALUE"""),"1")</f>
        <v>1</v>
      </c>
      <c r="C8193" s="5" t="str">
        <f>IFERROR(__xludf.DUMMYFUNCTION("""COMPUTED_VALUE"""),"https://drive.google.com/file/d/1JtkeEem8xf8-_jpQe0Nh8Un7kYACacgT/view?usp=drivesdk")</f>
        <v>https://drive.google.com/file/d/1JtkeEem8xf8-_jpQe0Nh8Un7kYACacgT/view?usp=drivesdk</v>
      </c>
      <c r="D8193" s="12"/>
      <c r="E8193" s="11">
        <v>8242.0</v>
      </c>
      <c r="F8193" s="2"/>
    </row>
    <row r="8194" ht="1.5" customHeight="1">
      <c r="A8194" s="4" t="str">
        <f>IFERROR(__xludf.DUMMYFUNCTION("""COMPUTED_VALUE"""),"1. Microwave")</f>
        <v>1. Microwave</v>
      </c>
      <c r="B8194" s="4" t="str">
        <f>IFERROR(__xludf.DUMMYFUNCTION("""COMPUTED_VALUE"""),"1")</f>
        <v>1</v>
      </c>
      <c r="C8194" s="5" t="str">
        <f>IFERROR(__xludf.DUMMYFUNCTION("""COMPUTED_VALUE"""),"https://drive.google.com/file/d/1MJSBJ2Ucpr-uxVLQnkwKftCV_p1uIYEJ/view?usp=drivesdk")</f>
        <v>https://drive.google.com/file/d/1MJSBJ2Ucpr-uxVLQnkwKftCV_p1uIYEJ/view?usp=drivesdk</v>
      </c>
      <c r="D8194" s="12"/>
      <c r="E8194" s="11">
        <v>8243.0</v>
      </c>
      <c r="F8194" s="2"/>
    </row>
    <row r="8195" ht="1.5" customHeight="1">
      <c r="A8195" s="4" t="str">
        <f>IFERROR(__xludf.DUMMYFUNCTION("""COMPUTED_VALUE"""),"32. Noir")</f>
        <v>32. Noir</v>
      </c>
      <c r="B8195" s="4" t="str">
        <f>IFERROR(__xludf.DUMMYFUNCTION("""COMPUTED_VALUE"""),"32")</f>
        <v>32</v>
      </c>
      <c r="C8195" s="5" t="str">
        <f>IFERROR(__xludf.DUMMYFUNCTION("""COMPUTED_VALUE"""),"https://drive.google.com/file/d/1WXCZe65fkdfmcrWsSZ-tx7TzM3YT4qhk/view?usp=drivesdk")</f>
        <v>https://drive.google.com/file/d/1WXCZe65fkdfmcrWsSZ-tx7TzM3YT4qhk/view?usp=drivesdk</v>
      </c>
      <c r="D8195" s="12"/>
      <c r="E8195" s="11">
        <v>8244.0</v>
      </c>
      <c r="F8195" s="2"/>
    </row>
    <row r="8196" ht="1.5" customHeight="1">
      <c r="A8196" s="4" t="str">
        <f>IFERROR(__xludf.DUMMYFUNCTION("""COMPUTED_VALUE"""),"29. Ginger")</f>
        <v>29. Ginger</v>
      </c>
      <c r="B8196" s="4" t="str">
        <f>IFERROR(__xludf.DUMMYFUNCTION("""COMPUTED_VALUE"""),"29")</f>
        <v>29</v>
      </c>
      <c r="C8196" s="5" t="str">
        <f>IFERROR(__xludf.DUMMYFUNCTION("""COMPUTED_VALUE"""),"https://drive.google.com/file/d/14R2VNo7VKmVIUgq_6-npllMrjsqea9SV/view?usp=drivesdk")</f>
        <v>https://drive.google.com/file/d/14R2VNo7VKmVIUgq_6-npllMrjsqea9SV/view?usp=drivesdk</v>
      </c>
      <c r="D8196" s="12"/>
      <c r="E8196" s="11">
        <v>8245.0</v>
      </c>
      <c r="F8196" s="2"/>
    </row>
    <row r="8197" ht="1.5" customHeight="1">
      <c r="A8197" s="4" t="str">
        <f>IFERROR(__xludf.DUMMYFUNCTION("""COMPUTED_VALUE"""),"29. Ginger")</f>
        <v>29. Ginger</v>
      </c>
      <c r="B8197" s="4" t="str">
        <f>IFERROR(__xludf.DUMMYFUNCTION("""COMPUTED_VALUE"""),"29")</f>
        <v>29</v>
      </c>
      <c r="C8197" s="5" t="str">
        <f>IFERROR(__xludf.DUMMYFUNCTION("""COMPUTED_VALUE"""),"https://drive.google.com/file/d/1XdyYFJH6FtrDBdY5q8UyAcVoYzUVwDhV/view?usp=drivesdk")</f>
        <v>https://drive.google.com/file/d/1XdyYFJH6FtrDBdY5q8UyAcVoYzUVwDhV/view?usp=drivesdk</v>
      </c>
      <c r="D8197" s="12"/>
      <c r="E8197" s="11">
        <v>8246.0</v>
      </c>
      <c r="F8197" s="2"/>
    </row>
    <row r="8198" ht="1.5" customHeight="1">
      <c r="A8198" s="4" t="str">
        <f>IFERROR(__xludf.DUMMYFUNCTION("""COMPUTED_VALUE"""),"27. Angel, 32. Noir, 29. Ginger")</f>
        <v>27. Angel, 32. Noir, 29. Ginger</v>
      </c>
      <c r="B8198" s="4" t="str">
        <f>IFERROR(__xludf.DUMMYFUNCTION("""COMPUTED_VALUE"""),"27, 32, 29")</f>
        <v>27, 32, 29</v>
      </c>
      <c r="C8198" s="5" t="str">
        <f>IFERROR(__xludf.DUMMYFUNCTION("""COMPUTED_VALUE"""),"https://drive.google.com/file/d/1j2NdBaD5ys5fHhUH6VpcoPT5ZPMK7x--/view?usp=drivesdk")</f>
        <v>https://drive.google.com/file/d/1j2NdBaD5ys5fHhUH6VpcoPT5ZPMK7x--/view?usp=drivesdk</v>
      </c>
      <c r="D8198" s="12"/>
      <c r="E8198" s="11">
        <v>8247.0</v>
      </c>
      <c r="F8198" s="2"/>
    </row>
    <row r="8199" ht="1.5" customHeight="1">
      <c r="A8199" s="4" t="str">
        <f>IFERROR(__xludf.DUMMYFUNCTION("""COMPUTED_VALUE"""),"29. Ginger, 30. Pepper")</f>
        <v>29. Ginger, 30. Pepper</v>
      </c>
      <c r="B8199" s="4" t="str">
        <f>IFERROR(__xludf.DUMMYFUNCTION("""COMPUTED_VALUE"""),"29, 30")</f>
        <v>29, 30</v>
      </c>
      <c r="C8199" s="5" t="str">
        <f>IFERROR(__xludf.DUMMYFUNCTION("""COMPUTED_VALUE"""),"https://drive.google.com/file/d/1rVVyDQDYFcVjEzivmCQKUuAmuC9AzaLu/view?usp=drivesdk")</f>
        <v>https://drive.google.com/file/d/1rVVyDQDYFcVjEzivmCQKUuAmuC9AzaLu/view?usp=drivesdk</v>
      </c>
      <c r="D8199" s="12"/>
      <c r="E8199" s="11">
        <v>8248.0</v>
      </c>
      <c r="F8199" s="2"/>
    </row>
    <row r="8200" ht="1.5" customHeight="1">
      <c r="A8200" s="4" t="str">
        <f>IFERROR(__xludf.DUMMYFUNCTION("""COMPUTED_VALUE"""),"30. Pepper")</f>
        <v>30. Pepper</v>
      </c>
      <c r="B8200" s="4" t="str">
        <f>IFERROR(__xludf.DUMMYFUNCTION("""COMPUTED_VALUE"""),"30")</f>
        <v>30</v>
      </c>
      <c r="C8200" s="5" t="str">
        <f>IFERROR(__xludf.DUMMYFUNCTION("""COMPUTED_VALUE"""),"https://drive.google.com/file/d/16TRch-c8Wmlx7oIl3cip0eG3hvwCasEW/view?usp=drivesdk")</f>
        <v>https://drive.google.com/file/d/16TRch-c8Wmlx7oIl3cip0eG3hvwCasEW/view?usp=drivesdk</v>
      </c>
      <c r="D8200" s="12"/>
      <c r="E8200" s="11">
        <v>8249.0</v>
      </c>
      <c r="F8200" s="2"/>
    </row>
    <row r="8201" ht="1.5" customHeight="1">
      <c r="A8201" s="4" t="str">
        <f>IFERROR(__xludf.DUMMYFUNCTION("""COMPUTED_VALUE"""),"1. Microwave")</f>
        <v>1. Microwave</v>
      </c>
      <c r="B8201" s="4" t="str">
        <f>IFERROR(__xludf.DUMMYFUNCTION("""COMPUTED_VALUE"""),"1")</f>
        <v>1</v>
      </c>
      <c r="C8201" s="5" t="str">
        <f>IFERROR(__xludf.DUMMYFUNCTION("""COMPUTED_VALUE"""),"https://drive.google.com/file/d/1_GFiwXlGXipHN0bcyJqwCxt2nVadU-qa/view?usp=drivesdk")</f>
        <v>https://drive.google.com/file/d/1_GFiwXlGXipHN0bcyJqwCxt2nVadU-qa/view?usp=drivesdk</v>
      </c>
      <c r="D8201" s="12"/>
      <c r="E8201" s="11">
        <v>8250.0</v>
      </c>
      <c r="F8201" s="2"/>
    </row>
    <row r="8202" ht="1.5" customHeight="1">
      <c r="A8202" s="4" t="str">
        <f>IFERROR(__xludf.DUMMYFUNCTION("""COMPUTED_VALUE"""),"1. Microwave")</f>
        <v>1. Microwave</v>
      </c>
      <c r="B8202" s="4" t="str">
        <f>IFERROR(__xludf.DUMMYFUNCTION("""COMPUTED_VALUE"""),"1")</f>
        <v>1</v>
      </c>
      <c r="C8202" s="5" t="str">
        <f>IFERROR(__xludf.DUMMYFUNCTION("""COMPUTED_VALUE"""),"https://drive.google.com/file/d/19QYRB-oC6U8zsxec7XQGv1oY2yFmKPuJ/view?usp=drivesdk")</f>
        <v>https://drive.google.com/file/d/19QYRB-oC6U8zsxec7XQGv1oY2yFmKPuJ/view?usp=drivesdk</v>
      </c>
      <c r="D8202" s="12"/>
      <c r="E8202" s="11">
        <v>8251.0</v>
      </c>
      <c r="F8202" s="2"/>
    </row>
    <row r="8203" ht="1.5" customHeight="1">
      <c r="A8203" s="4" t="str">
        <f>IFERROR(__xludf.DUMMYFUNCTION("""COMPUTED_VALUE"""),"1. Microwave")</f>
        <v>1. Microwave</v>
      </c>
      <c r="B8203" s="4" t="str">
        <f>IFERROR(__xludf.DUMMYFUNCTION("""COMPUTED_VALUE"""),"1")</f>
        <v>1</v>
      </c>
      <c r="C8203" s="5" t="str">
        <f>IFERROR(__xludf.DUMMYFUNCTION("""COMPUTED_VALUE"""),"https://drive.google.com/file/d/1Yum6Uwo8sQ-Oh33L2LEoqhRRA0WDyGTg/view?usp=drivesdk")</f>
        <v>https://drive.google.com/file/d/1Yum6Uwo8sQ-Oh33L2LEoqhRRA0WDyGTg/view?usp=drivesdk</v>
      </c>
      <c r="D8203" s="12"/>
      <c r="E8203" s="11">
        <v>8252.0</v>
      </c>
      <c r="F8203" s="2"/>
    </row>
    <row r="8204" ht="1.5" customHeight="1">
      <c r="A8204" s="4" t="str">
        <f>IFERROR(__xludf.DUMMYFUNCTION("""COMPUTED_VALUE"""),"1. Microwave")</f>
        <v>1. Microwave</v>
      </c>
      <c r="B8204" s="4" t="str">
        <f>IFERROR(__xludf.DUMMYFUNCTION("""COMPUTED_VALUE"""),"1")</f>
        <v>1</v>
      </c>
      <c r="C8204" s="5" t="str">
        <f>IFERROR(__xludf.DUMMYFUNCTION("""COMPUTED_VALUE"""),"https://drive.google.com/file/d/1ZlQdRqB_HTWXY2Ut0vyos-dU1PdfUKb3/view?usp=drivesdk")</f>
        <v>https://drive.google.com/file/d/1ZlQdRqB_HTWXY2Ut0vyos-dU1PdfUKb3/view?usp=drivesdk</v>
      </c>
      <c r="D8204" s="12"/>
      <c r="E8204" s="11">
        <v>8253.0</v>
      </c>
      <c r="F8204" s="2"/>
    </row>
    <row r="8205" ht="1.5" customHeight="1">
      <c r="A8205" s="4" t="str">
        <f>IFERROR(__xludf.DUMMYFUNCTION("""COMPUTED_VALUE"""),"1. Microwave")</f>
        <v>1. Microwave</v>
      </c>
      <c r="B8205" s="4" t="str">
        <f>IFERROR(__xludf.DUMMYFUNCTION("""COMPUTED_VALUE"""),"1")</f>
        <v>1</v>
      </c>
      <c r="C8205" s="5" t="str">
        <f>IFERROR(__xludf.DUMMYFUNCTION("""COMPUTED_VALUE"""),"https://drive.google.com/file/d/1DcG0V_k4bOLqa85doyMRtRqWn8__vknK/view?usp=drivesdk")</f>
        <v>https://drive.google.com/file/d/1DcG0V_k4bOLqa85doyMRtRqWn8__vknK/view?usp=drivesdk</v>
      </c>
      <c r="D8205" s="12"/>
      <c r="E8205" s="11">
        <v>8254.0</v>
      </c>
      <c r="F8205" s="2"/>
    </row>
    <row r="8206" ht="1.5" customHeight="1">
      <c r="A8206" s="4" t="str">
        <f>IFERROR(__xludf.DUMMYFUNCTION("""COMPUTED_VALUE"""),"1. Microwave")</f>
        <v>1. Microwave</v>
      </c>
      <c r="B8206" s="4" t="str">
        <f>IFERROR(__xludf.DUMMYFUNCTION("""COMPUTED_VALUE"""),"1")</f>
        <v>1</v>
      </c>
      <c r="C8206" s="5" t="str">
        <f>IFERROR(__xludf.DUMMYFUNCTION("""COMPUTED_VALUE"""),"https://drive.google.com/file/d/1Bm4KU4U0YRNuEHYEc8neGRNCMU_WAcKB/view?usp=drivesdk")</f>
        <v>https://drive.google.com/file/d/1Bm4KU4U0YRNuEHYEc8neGRNCMU_WAcKB/view?usp=drivesdk</v>
      </c>
      <c r="D8206" s="12"/>
      <c r="E8206" s="11">
        <v>8255.0</v>
      </c>
      <c r="F8206" s="2"/>
    </row>
    <row r="8207" ht="1.5" customHeight="1">
      <c r="A8207" s="4" t="str">
        <f>IFERROR(__xludf.DUMMYFUNCTION("""COMPUTED_VALUE"""),"1. Microwave")</f>
        <v>1. Microwave</v>
      </c>
      <c r="B8207" s="4" t="str">
        <f>IFERROR(__xludf.DUMMYFUNCTION("""COMPUTED_VALUE"""),"1")</f>
        <v>1</v>
      </c>
      <c r="C8207" s="5" t="str">
        <f>IFERROR(__xludf.DUMMYFUNCTION("""COMPUTED_VALUE"""),"https://drive.google.com/file/d/1KNBW_NMNvZXFEeBv4n1fZfdtDzs5gCbC/view?usp=drivesdk")</f>
        <v>https://drive.google.com/file/d/1KNBW_NMNvZXFEeBv4n1fZfdtDzs5gCbC/view?usp=drivesdk</v>
      </c>
      <c r="D8207" s="12"/>
      <c r="E8207" s="11">
        <v>8256.0</v>
      </c>
      <c r="F8207" s="2"/>
    </row>
    <row r="8208" ht="1.5" customHeight="1">
      <c r="A8208" s="4" t="str">
        <f>IFERROR(__xludf.DUMMYFUNCTION("""COMPUTED_VALUE"""),"1. Microwave")</f>
        <v>1. Microwave</v>
      </c>
      <c r="B8208" s="4" t="str">
        <f>IFERROR(__xludf.DUMMYFUNCTION("""COMPUTED_VALUE"""),"1")</f>
        <v>1</v>
      </c>
      <c r="C8208" s="5" t="str">
        <f>IFERROR(__xludf.DUMMYFUNCTION("""COMPUTED_VALUE"""),"https://drive.google.com/file/d/1UZxZpBtnrKOgyCY_Wy8F_Nn2bCO9atE7/view?usp=drivesdk")</f>
        <v>https://drive.google.com/file/d/1UZxZpBtnrKOgyCY_Wy8F_Nn2bCO9atE7/view?usp=drivesdk</v>
      </c>
      <c r="D8208" s="12"/>
      <c r="E8208" s="11">
        <v>8257.0</v>
      </c>
      <c r="F8208" s="2"/>
    </row>
    <row r="8209" ht="1.5" customHeight="1">
      <c r="A8209" s="4" t="str">
        <f>IFERROR(__xludf.DUMMYFUNCTION("""COMPUTED_VALUE"""),"1. Microwave")</f>
        <v>1. Microwave</v>
      </c>
      <c r="B8209" s="4" t="str">
        <f>IFERROR(__xludf.DUMMYFUNCTION("""COMPUTED_VALUE"""),"1")</f>
        <v>1</v>
      </c>
      <c r="C8209" s="5" t="str">
        <f>IFERROR(__xludf.DUMMYFUNCTION("""COMPUTED_VALUE"""),"https://drive.google.com/file/d/1AK0nXwHDqsVpPSzzZxdW-FG8QmpdSr6z/view?usp=drivesdk")</f>
        <v>https://drive.google.com/file/d/1AK0nXwHDqsVpPSzzZxdW-FG8QmpdSr6z/view?usp=drivesdk</v>
      </c>
      <c r="D8209" s="12"/>
      <c r="E8209" s="11">
        <v>8258.0</v>
      </c>
      <c r="F8209" s="2"/>
    </row>
    <row r="8210" ht="1.5" customHeight="1">
      <c r="A8210" s="4" t="str">
        <f>IFERROR(__xludf.DUMMYFUNCTION("""COMPUTED_VALUE"""),"95. Ariel, 12. Faye")</f>
        <v>95. Ariel, 12. Faye</v>
      </c>
      <c r="B8210" s="4" t="str">
        <f>IFERROR(__xludf.DUMMYFUNCTION("""COMPUTED_VALUE"""),"95, 12")</f>
        <v>95, 12</v>
      </c>
      <c r="C8210" s="5" t="str">
        <f>IFERROR(__xludf.DUMMYFUNCTION("""COMPUTED_VALUE"""),"https://drive.google.com/file/d/1ddwlT-YazhByuMsaGxCeTmF9jmSBASDk/view?usp=drivesdk")</f>
        <v>https://drive.google.com/file/d/1ddwlT-YazhByuMsaGxCeTmF9jmSBASDk/view?usp=drivesdk</v>
      </c>
      <c r="D8210" s="12"/>
      <c r="E8210" s="11">
        <v>8259.0</v>
      </c>
      <c r="F8210" s="2"/>
    </row>
    <row r="8211" ht="1.5" customHeight="1">
      <c r="A8211" s="4" t="str">
        <f>IFERROR(__xludf.DUMMYFUNCTION("""COMPUTED_VALUE"""),"95. Ariel")</f>
        <v>95. Ariel</v>
      </c>
      <c r="B8211" s="4" t="str">
        <f>IFERROR(__xludf.DUMMYFUNCTION("""COMPUTED_VALUE"""),"95")</f>
        <v>95</v>
      </c>
      <c r="C8211" s="5" t="str">
        <f>IFERROR(__xludf.DUMMYFUNCTION("""COMPUTED_VALUE"""),"https://drive.google.com/file/d/1pW9UneqrjOHGDCGQsgIIAYSf43WlL-iM/view?usp=drivesdk")</f>
        <v>https://drive.google.com/file/d/1pW9UneqrjOHGDCGQsgIIAYSf43WlL-iM/view?usp=drivesdk</v>
      </c>
      <c r="D8211" s="12"/>
      <c r="E8211" s="11">
        <v>8260.0</v>
      </c>
      <c r="F8211" s="2"/>
    </row>
    <row r="8212" ht="1.5" customHeight="1">
      <c r="A8212" s="4" t="str">
        <f>IFERROR(__xludf.DUMMYFUNCTION("""COMPUTED_VALUE"""),"141. Kamahalan")</f>
        <v>141. Kamahalan</v>
      </c>
      <c r="B8212" s="4" t="str">
        <f>IFERROR(__xludf.DUMMYFUNCTION("""COMPUTED_VALUE"""),"141")</f>
        <v>141</v>
      </c>
      <c r="C8212" s="5" t="str">
        <f>IFERROR(__xludf.DUMMYFUNCTION("""COMPUTED_VALUE"""),"https://drive.google.com/file/d/1BV0Q_MFHf12Z1rdR_PsKOHKPp65Ja_H-/view?usp=drivesdk")</f>
        <v>https://drive.google.com/file/d/1BV0Q_MFHf12Z1rdR_PsKOHKPp65Ja_H-/view?usp=drivesdk</v>
      </c>
      <c r="D8212" s="12"/>
      <c r="E8212" s="11">
        <v>8261.0</v>
      </c>
      <c r="F8212" s="2"/>
    </row>
    <row r="8213" ht="1.5" customHeight="1">
      <c r="A8213" s="4" t="str">
        <f>IFERROR(__xludf.DUMMYFUNCTION("""COMPUTED_VALUE"""),"141. Kamahalan")</f>
        <v>141. Kamahalan</v>
      </c>
      <c r="B8213" s="4" t="str">
        <f>IFERROR(__xludf.DUMMYFUNCTION("""COMPUTED_VALUE"""),"141")</f>
        <v>141</v>
      </c>
      <c r="C8213" s="5" t="str">
        <f>IFERROR(__xludf.DUMMYFUNCTION("""COMPUTED_VALUE"""),"https://drive.google.com/file/d/1a4Kj7hGmLrwnPFMmyRaf4q2q6eKXFSiW/view?usp=drivesdk")</f>
        <v>https://drive.google.com/file/d/1a4Kj7hGmLrwnPFMmyRaf4q2q6eKXFSiW/view?usp=drivesdk</v>
      </c>
      <c r="D8213" s="12"/>
      <c r="E8213" s="11">
        <v>8262.0</v>
      </c>
      <c r="F8213" s="2"/>
    </row>
    <row r="8214" ht="1.5" customHeight="1">
      <c r="A8214" s="4" t="str">
        <f>IFERROR(__xludf.DUMMYFUNCTION("""COMPUTED_VALUE"""),"95. Ariel")</f>
        <v>95. Ariel</v>
      </c>
      <c r="B8214" s="4" t="str">
        <f>IFERROR(__xludf.DUMMYFUNCTION("""COMPUTED_VALUE"""),"95")</f>
        <v>95</v>
      </c>
      <c r="C8214" s="5" t="str">
        <f>IFERROR(__xludf.DUMMYFUNCTION("""COMPUTED_VALUE"""),"https://drive.google.com/file/d/1x8wRoEyIkn07DDwGgEMIV1PfGKGkW6Jz/view?usp=drivesdk")</f>
        <v>https://drive.google.com/file/d/1x8wRoEyIkn07DDwGgEMIV1PfGKGkW6Jz/view?usp=drivesdk</v>
      </c>
      <c r="D8214" s="12"/>
      <c r="E8214" s="11">
        <v>8263.0</v>
      </c>
      <c r="F8214" s="2"/>
    </row>
    <row r="8215" ht="1.5" customHeight="1">
      <c r="A8215" s="4" t="str">
        <f>IFERROR(__xludf.DUMMYFUNCTION("""COMPUTED_VALUE"""),"141. Kamahalan")</f>
        <v>141. Kamahalan</v>
      </c>
      <c r="B8215" s="4" t="str">
        <f>IFERROR(__xludf.DUMMYFUNCTION("""COMPUTED_VALUE"""),"141")</f>
        <v>141</v>
      </c>
      <c r="C8215" s="5" t="str">
        <f>IFERROR(__xludf.DUMMYFUNCTION("""COMPUTED_VALUE"""),"https://drive.google.com/file/d/1H2v4-IFS8YzKjdbphmEFoDpLoO_Qo3ra/view?usp=drivesdk")</f>
        <v>https://drive.google.com/file/d/1H2v4-IFS8YzKjdbphmEFoDpLoO_Qo3ra/view?usp=drivesdk</v>
      </c>
      <c r="D8215" s="12"/>
      <c r="E8215" s="11">
        <v>8264.0</v>
      </c>
      <c r="F8215" s="2"/>
    </row>
    <row r="8216" ht="1.5" customHeight="1">
      <c r="A8216" s="4" t="str">
        <f>IFERROR(__xludf.DUMMYFUNCTION("""COMPUTED_VALUE"""),"95. Ariel")</f>
        <v>95. Ariel</v>
      </c>
      <c r="B8216" s="4" t="str">
        <f>IFERROR(__xludf.DUMMYFUNCTION("""COMPUTED_VALUE"""),"95")</f>
        <v>95</v>
      </c>
      <c r="C8216" s="5" t="str">
        <f>IFERROR(__xludf.DUMMYFUNCTION("""COMPUTED_VALUE"""),"https://drive.google.com/file/d/1kbvp6sQASkpVZcwTRGn7SV8Tj4JwYSX_/view?usp=drivesdk")</f>
        <v>https://drive.google.com/file/d/1kbvp6sQASkpVZcwTRGn7SV8Tj4JwYSX_/view?usp=drivesdk</v>
      </c>
      <c r="D8216" s="12"/>
      <c r="E8216" s="11">
        <v>8265.0</v>
      </c>
      <c r="F8216" s="2"/>
    </row>
    <row r="8217" ht="1.5" customHeight="1">
      <c r="A8217" s="4" t="str">
        <f>IFERROR(__xludf.DUMMYFUNCTION("""COMPUTED_VALUE"""),"1. Microwave")</f>
        <v>1. Microwave</v>
      </c>
      <c r="B8217" s="4" t="str">
        <f>IFERROR(__xludf.DUMMYFUNCTION("""COMPUTED_VALUE"""),"1")</f>
        <v>1</v>
      </c>
      <c r="C8217" s="5" t="str">
        <f>IFERROR(__xludf.DUMMYFUNCTION("""COMPUTED_VALUE"""),"https://drive.google.com/file/d/1VsW6gFGTsXaFABYx2rW2QDI5LoTBSdr6/view?usp=drivesdk")</f>
        <v>https://drive.google.com/file/d/1VsW6gFGTsXaFABYx2rW2QDI5LoTBSdr6/view?usp=drivesdk</v>
      </c>
      <c r="D8217" s="12"/>
      <c r="E8217" s="11">
        <v>8266.0</v>
      </c>
      <c r="F8217" s="2"/>
    </row>
    <row r="8218" ht="1.5" customHeight="1">
      <c r="A8218" s="4" t="str">
        <f>IFERROR(__xludf.DUMMYFUNCTION("""COMPUTED_VALUE"""),"1. Microwave")</f>
        <v>1. Microwave</v>
      </c>
      <c r="B8218" s="4" t="str">
        <f>IFERROR(__xludf.DUMMYFUNCTION("""COMPUTED_VALUE"""),"1")</f>
        <v>1</v>
      </c>
      <c r="C8218" s="5" t="str">
        <f>IFERROR(__xludf.DUMMYFUNCTION("""COMPUTED_VALUE"""),"https://drive.google.com/file/d/1BhWBfuZn2I2bH6em1dYz1jgh0dUKleOm/view?usp=drivesdk")</f>
        <v>https://drive.google.com/file/d/1BhWBfuZn2I2bH6em1dYz1jgh0dUKleOm/view?usp=drivesdk</v>
      </c>
      <c r="D8218" s="12"/>
      <c r="E8218" s="11">
        <v>8267.0</v>
      </c>
      <c r="F8218" s="2"/>
    </row>
    <row r="8219" ht="1.5" customHeight="1">
      <c r="A8219" s="4" t="str">
        <f>IFERROR(__xludf.DUMMYFUNCTION("""COMPUTED_VALUE"""),"1. Microwave")</f>
        <v>1. Microwave</v>
      </c>
      <c r="B8219" s="4" t="str">
        <f>IFERROR(__xludf.DUMMYFUNCTION("""COMPUTED_VALUE"""),"1")</f>
        <v>1</v>
      </c>
      <c r="C8219" s="5" t="str">
        <f>IFERROR(__xludf.DUMMYFUNCTION("""COMPUTED_VALUE"""),"https://drive.google.com/file/d/1FSuAuyxWPB1c1uo_jP1nF7TO6h_g6ReV/view?usp=drivesdk")</f>
        <v>https://drive.google.com/file/d/1FSuAuyxWPB1c1uo_jP1nF7TO6h_g6ReV/view?usp=drivesdk</v>
      </c>
      <c r="D8219" s="12"/>
      <c r="E8219" s="11">
        <v>8268.0</v>
      </c>
      <c r="F8219" s="2"/>
    </row>
    <row r="8220" ht="1.5" customHeight="1">
      <c r="A8220" s="4" t="str">
        <f>IFERROR(__xludf.DUMMYFUNCTION("""COMPUTED_VALUE"""),"1. Microwave")</f>
        <v>1. Microwave</v>
      </c>
      <c r="B8220" s="4" t="str">
        <f>IFERROR(__xludf.DUMMYFUNCTION("""COMPUTED_VALUE"""),"1")</f>
        <v>1</v>
      </c>
      <c r="C8220" s="5" t="str">
        <f>IFERROR(__xludf.DUMMYFUNCTION("""COMPUTED_VALUE"""),"https://drive.google.com/file/d/1obUjHoacG-nX2oCU_0axLZZMTQJmGEr_/view?usp=drivesdk")</f>
        <v>https://drive.google.com/file/d/1obUjHoacG-nX2oCU_0axLZZMTQJmGEr_/view?usp=drivesdk</v>
      </c>
      <c r="D8220" s="12"/>
      <c r="E8220" s="11">
        <v>8269.0</v>
      </c>
      <c r="F8220" s="2"/>
    </row>
    <row r="8221" ht="1.5" customHeight="1">
      <c r="A8221" s="4" t="str">
        <f>IFERROR(__xludf.DUMMYFUNCTION("""COMPUTED_VALUE"""),"1. Microwave")</f>
        <v>1. Microwave</v>
      </c>
      <c r="B8221" s="4" t="str">
        <f>IFERROR(__xludf.DUMMYFUNCTION("""COMPUTED_VALUE"""),"1")</f>
        <v>1</v>
      </c>
      <c r="C8221" s="5" t="str">
        <f>IFERROR(__xludf.DUMMYFUNCTION("""COMPUTED_VALUE"""),"https://drive.google.com/file/d/1pwYchU9AkZYjfe1buqHXoJY5OUr0-2Wt/view?usp=drivesdk")</f>
        <v>https://drive.google.com/file/d/1pwYchU9AkZYjfe1buqHXoJY5OUr0-2Wt/view?usp=drivesdk</v>
      </c>
      <c r="D8221" s="12"/>
      <c r="E8221" s="11">
        <v>8270.0</v>
      </c>
      <c r="F8221" s="2"/>
    </row>
    <row r="8222" ht="1.5" customHeight="1">
      <c r="A8222" s="4" t="str">
        <f>IFERROR(__xludf.DUMMYFUNCTION("""COMPUTED_VALUE"""),"1. Microwave")</f>
        <v>1. Microwave</v>
      </c>
      <c r="B8222" s="4" t="str">
        <f>IFERROR(__xludf.DUMMYFUNCTION("""COMPUTED_VALUE"""),"1")</f>
        <v>1</v>
      </c>
      <c r="C8222" s="5" t="str">
        <f>IFERROR(__xludf.DUMMYFUNCTION("""COMPUTED_VALUE"""),"https://drive.google.com/file/d/1zKkkxAZo1871TNn4sVJWmW9y8GklCDn4/view?usp=drivesdk")</f>
        <v>https://drive.google.com/file/d/1zKkkxAZo1871TNn4sVJWmW9y8GklCDn4/view?usp=drivesdk</v>
      </c>
      <c r="D8222" s="12"/>
      <c r="E8222" s="11">
        <v>8271.0</v>
      </c>
      <c r="F8222" s="2"/>
    </row>
    <row r="8223" ht="1.5" customHeight="1">
      <c r="A8223" s="4" t="str">
        <f>IFERROR(__xludf.DUMMYFUNCTION("""COMPUTED_VALUE"""),"33. Zee, 30. Pepper, 29. Ginger")</f>
        <v>33. Zee, 30. Pepper, 29. Ginger</v>
      </c>
      <c r="B8223" s="4" t="str">
        <f>IFERROR(__xludf.DUMMYFUNCTION("""COMPUTED_VALUE"""),"33, 30, 29")</f>
        <v>33, 30, 29</v>
      </c>
      <c r="C8223" s="5" t="str">
        <f>IFERROR(__xludf.DUMMYFUNCTION("""COMPUTED_VALUE"""),"https://drive.google.com/file/d/18ctSLBMnyXnBMgVknf0cQIEzjo0Gl7H_/view?usp=drivesdk")</f>
        <v>https://drive.google.com/file/d/18ctSLBMnyXnBMgVknf0cQIEzjo0Gl7H_/view?usp=drivesdk</v>
      </c>
      <c r="D8223" s="12"/>
      <c r="E8223" s="11">
        <v>8272.0</v>
      </c>
      <c r="F8223" s="2"/>
    </row>
    <row r="8224" ht="1.5" customHeight="1">
      <c r="A8224" s="4" t="str">
        <f>IFERROR(__xludf.DUMMYFUNCTION("""COMPUTED_VALUE"""),"27. Angel")</f>
        <v>27. Angel</v>
      </c>
      <c r="B8224" s="4" t="str">
        <f>IFERROR(__xludf.DUMMYFUNCTION("""COMPUTED_VALUE"""),"27")</f>
        <v>27</v>
      </c>
      <c r="C8224" s="5" t="str">
        <f>IFERROR(__xludf.DUMMYFUNCTION("""COMPUTED_VALUE"""),"https://drive.google.com/file/d/1BSixTUStPPAJYCVzxo87fvLs8HybrNTC/view?usp=drivesdk")</f>
        <v>https://drive.google.com/file/d/1BSixTUStPPAJYCVzxo87fvLs8HybrNTC/view?usp=drivesdk</v>
      </c>
      <c r="D8224" s="12"/>
      <c r="E8224" s="11">
        <v>8273.0</v>
      </c>
      <c r="F8224" s="2"/>
    </row>
    <row r="8225" ht="1.5" customHeight="1">
      <c r="A8225" s="4" t="str">
        <f>IFERROR(__xludf.DUMMYFUNCTION("""COMPUTED_VALUE"""),"27. Angel")</f>
        <v>27. Angel</v>
      </c>
      <c r="B8225" s="4" t="str">
        <f>IFERROR(__xludf.DUMMYFUNCTION("""COMPUTED_VALUE"""),"27")</f>
        <v>27</v>
      </c>
      <c r="C8225" s="5" t="str">
        <f>IFERROR(__xludf.DUMMYFUNCTION("""COMPUTED_VALUE"""),"https://drive.google.com/file/d/1JVp_4o6ghUhgVbqmeM3t6mvlyie9kKjB/view?usp=drivesdk")</f>
        <v>https://drive.google.com/file/d/1JVp_4o6ghUhgVbqmeM3t6mvlyie9kKjB/view?usp=drivesdk</v>
      </c>
      <c r="D8225" s="12"/>
      <c r="E8225" s="11">
        <v>8274.0</v>
      </c>
      <c r="F8225" s="2"/>
    </row>
    <row r="8226" ht="1.5" customHeight="1">
      <c r="A8226" s="4" t="str">
        <f>IFERROR(__xludf.DUMMYFUNCTION("""COMPUTED_VALUE"""),"30. Pepper, 29. Ginger")</f>
        <v>30. Pepper, 29. Ginger</v>
      </c>
      <c r="B8226" s="4" t="str">
        <f>IFERROR(__xludf.DUMMYFUNCTION("""COMPUTED_VALUE"""),"30, 29")</f>
        <v>30, 29</v>
      </c>
      <c r="C8226" s="5" t="str">
        <f>IFERROR(__xludf.DUMMYFUNCTION("""COMPUTED_VALUE"""),"https://drive.google.com/file/d/1TRUVSNBbbqe2rUuMZIDM3g-NjnacDyCY/view?usp=drivesdk")</f>
        <v>https://drive.google.com/file/d/1TRUVSNBbbqe2rUuMZIDM3g-NjnacDyCY/view?usp=drivesdk</v>
      </c>
      <c r="D8226" s="12"/>
      <c r="E8226" s="11">
        <v>8275.0</v>
      </c>
      <c r="F8226" s="2"/>
    </row>
    <row r="8227" ht="1.5" customHeight="1">
      <c r="A8227" s="4" t="str">
        <f>IFERROR(__xludf.DUMMYFUNCTION("""COMPUTED_VALUE"""),"32. Noir")</f>
        <v>32. Noir</v>
      </c>
      <c r="B8227" s="4" t="str">
        <f>IFERROR(__xludf.DUMMYFUNCTION("""COMPUTED_VALUE"""),"32")</f>
        <v>32</v>
      </c>
      <c r="C8227" s="5" t="str">
        <f>IFERROR(__xludf.DUMMYFUNCTION("""COMPUTED_VALUE"""),"https://drive.google.com/file/d/1kFa-UAvfhKNrrvH3crsvpQLH_LyWa-SC/view?usp=drivesdk")</f>
        <v>https://drive.google.com/file/d/1kFa-UAvfhKNrrvH3crsvpQLH_LyWa-SC/view?usp=drivesdk</v>
      </c>
      <c r="D8227" s="12"/>
      <c r="E8227" s="11">
        <v>8276.0</v>
      </c>
      <c r="F8227" s="2"/>
    </row>
    <row r="8228" ht="1.5" customHeight="1">
      <c r="A8228" s="4" t="str">
        <f>IFERROR(__xludf.DUMMYFUNCTION("""COMPUTED_VALUE"""),"33. Zee")</f>
        <v>33. Zee</v>
      </c>
      <c r="B8228" s="4" t="str">
        <f>IFERROR(__xludf.DUMMYFUNCTION("""COMPUTED_VALUE"""),"33")</f>
        <v>33</v>
      </c>
      <c r="C8228" s="5" t="str">
        <f>IFERROR(__xludf.DUMMYFUNCTION("""COMPUTED_VALUE"""),"https://drive.google.com/file/d/1PNb1kSxuDEmglVUVaI1kK9_QDU4RqlGz/view?usp=drivesdk")</f>
        <v>https://drive.google.com/file/d/1PNb1kSxuDEmglVUVaI1kK9_QDU4RqlGz/view?usp=drivesdk</v>
      </c>
      <c r="D8228" s="12"/>
      <c r="E8228" s="11">
        <v>8277.0</v>
      </c>
      <c r="F8228" s="2"/>
    </row>
    <row r="8229" ht="1.5" customHeight="1">
      <c r="A8229" s="4" t="str">
        <f>IFERROR(__xludf.DUMMYFUNCTION("""COMPUTED_VALUE"""),"29. Ginger")</f>
        <v>29. Ginger</v>
      </c>
      <c r="B8229" s="4" t="str">
        <f>IFERROR(__xludf.DUMMYFUNCTION("""COMPUTED_VALUE"""),"29")</f>
        <v>29</v>
      </c>
      <c r="C8229" s="5" t="str">
        <f>IFERROR(__xludf.DUMMYFUNCTION("""COMPUTED_VALUE"""),"https://drive.google.com/file/d/1X6OW_ekpp6g-MUphpI3ivD3X48FyOyRY/view?usp=drivesdk")</f>
        <v>https://drive.google.com/file/d/1X6OW_ekpp6g-MUphpI3ivD3X48FyOyRY/view?usp=drivesdk</v>
      </c>
      <c r="D8229" s="12"/>
      <c r="E8229" s="11">
        <v>8278.0</v>
      </c>
      <c r="F8229" s="2"/>
    </row>
    <row r="8230" ht="1.5" customHeight="1">
      <c r="A8230" s="4" t="str">
        <f>IFERROR(__xludf.DUMMYFUNCTION("""COMPUTED_VALUE"""),"30. Pepper")</f>
        <v>30. Pepper</v>
      </c>
      <c r="B8230" s="4" t="str">
        <f>IFERROR(__xludf.DUMMYFUNCTION("""COMPUTED_VALUE"""),"30")</f>
        <v>30</v>
      </c>
      <c r="C8230" s="5" t="str">
        <f>IFERROR(__xludf.DUMMYFUNCTION("""COMPUTED_VALUE"""),"https://drive.google.com/file/d/1Qemt0A495hFeMSsmFg3s_jPHZI9K8xxR/view?usp=drivesdk")</f>
        <v>https://drive.google.com/file/d/1Qemt0A495hFeMSsmFg3s_jPHZI9K8xxR/view?usp=drivesdk</v>
      </c>
      <c r="D8230" s="12"/>
      <c r="E8230" s="11">
        <v>8279.0</v>
      </c>
      <c r="F8230" s="2"/>
    </row>
    <row r="8231" ht="1.5" customHeight="1">
      <c r="A8231" s="4" t="str">
        <f>IFERROR(__xludf.DUMMYFUNCTION("""COMPUTED_VALUE"""),"1. Microwave, 35. Stove")</f>
        <v>1. Microwave, 35. Stove</v>
      </c>
      <c r="B8231" s="4" t="str">
        <f>IFERROR(__xludf.DUMMYFUNCTION("""COMPUTED_VALUE"""),"1, 35")</f>
        <v>1, 35</v>
      </c>
      <c r="C8231" s="5" t="str">
        <f>IFERROR(__xludf.DUMMYFUNCTION("""COMPUTED_VALUE"""),"https://drive.google.com/file/d/18d_yRTaIONA3EGA4_W4x62A-BGKRKCdP/view?usp=drivesdk")</f>
        <v>https://drive.google.com/file/d/18d_yRTaIONA3EGA4_W4x62A-BGKRKCdP/view?usp=drivesdk</v>
      </c>
      <c r="D8231" s="12"/>
      <c r="E8231" s="11">
        <v>8280.0</v>
      </c>
      <c r="F8231" s="2"/>
    </row>
    <row r="8232" ht="1.5" customHeight="1">
      <c r="A8232" s="4" t="str">
        <f>IFERROR(__xludf.DUMMYFUNCTION("""COMPUTED_VALUE"""),"95. Ariel")</f>
        <v>95. Ariel</v>
      </c>
      <c r="B8232" s="4" t="str">
        <f>IFERROR(__xludf.DUMMYFUNCTION("""COMPUTED_VALUE"""),"95")</f>
        <v>95</v>
      </c>
      <c r="C8232" s="5" t="str">
        <f>IFERROR(__xludf.DUMMYFUNCTION("""COMPUTED_VALUE"""),"https://drive.google.com/file/d/16DwY0yVZA9Qa2J7l3Ld5_Fiz2jEyEF6d/view?usp=drivesdk")</f>
        <v>https://drive.google.com/file/d/16DwY0yVZA9Qa2J7l3Ld5_Fiz2jEyEF6d/view?usp=drivesdk</v>
      </c>
      <c r="D8232" s="12"/>
      <c r="E8232" s="11">
        <v>8281.0</v>
      </c>
      <c r="F8232" s="2"/>
    </row>
    <row r="8233" ht="1.5" customHeight="1">
      <c r="A8233" s="4" t="str">
        <f>IFERROR(__xludf.DUMMYFUNCTION("""COMPUTED_VALUE"""),"95. Ariel")</f>
        <v>95. Ariel</v>
      </c>
      <c r="B8233" s="4" t="str">
        <f>IFERROR(__xludf.DUMMYFUNCTION("""COMPUTED_VALUE"""),"95")</f>
        <v>95</v>
      </c>
      <c r="C8233" s="5" t="str">
        <f>IFERROR(__xludf.DUMMYFUNCTION("""COMPUTED_VALUE"""),"https://drive.google.com/file/d/1YnBzTIqvxQB7FPdx3xQwMu9L4swlCXCG/view?usp=drivesdk")</f>
        <v>https://drive.google.com/file/d/1YnBzTIqvxQB7FPdx3xQwMu9L4swlCXCG/view?usp=drivesdk</v>
      </c>
      <c r="D8233" s="12"/>
      <c r="E8233" s="11">
        <v>8282.0</v>
      </c>
      <c r="F8233" s="2"/>
    </row>
    <row r="8234" ht="1.5" customHeight="1">
      <c r="A8234" s="4" t="str">
        <f>IFERROR(__xludf.DUMMYFUNCTION("""COMPUTED_VALUE"""),"88. Vincente, 95. Ariel")</f>
        <v>88. Vincente, 95. Ariel</v>
      </c>
      <c r="B8234" s="4" t="str">
        <f>IFERROR(__xludf.DUMMYFUNCTION("""COMPUTED_VALUE"""),"88, 95")</f>
        <v>88, 95</v>
      </c>
      <c r="C8234" s="5" t="str">
        <f>IFERROR(__xludf.DUMMYFUNCTION("""COMPUTED_VALUE"""),"https://drive.google.com/file/d/13kSDmCmq5WMvK2KTHlWZAWzg_3XSLgeq/view?usp=drivesdk")</f>
        <v>https://drive.google.com/file/d/13kSDmCmq5WMvK2KTHlWZAWzg_3XSLgeq/view?usp=drivesdk</v>
      </c>
      <c r="D8234" s="12"/>
      <c r="E8234" s="11">
        <v>8283.0</v>
      </c>
      <c r="F8234" s="2"/>
    </row>
    <row r="8235" ht="1.5" customHeight="1">
      <c r="A8235" s="4" t="str">
        <f>IFERROR(__xludf.DUMMYFUNCTION("""COMPUTED_VALUE"""),"141. Kamahalan, 58. Eden")</f>
        <v>141. Kamahalan, 58. Eden</v>
      </c>
      <c r="B8235" s="4" t="str">
        <f>IFERROR(__xludf.DUMMYFUNCTION("""COMPUTED_VALUE"""),"141, 58")</f>
        <v>141, 58</v>
      </c>
      <c r="C8235" s="5" t="str">
        <f>IFERROR(__xludf.DUMMYFUNCTION("""COMPUTED_VALUE"""),"https://drive.google.com/file/d/1n-XFITc7iwaV_CNSA1kWrhZJMF9J43_F/view?usp=drivesdk")</f>
        <v>https://drive.google.com/file/d/1n-XFITc7iwaV_CNSA1kWrhZJMF9J43_F/view?usp=drivesdk</v>
      </c>
      <c r="D8235" s="12"/>
      <c r="E8235" s="11">
        <v>8284.0</v>
      </c>
      <c r="F8235" s="2"/>
    </row>
    <row r="8236" ht="1.5" customHeight="1">
      <c r="A8236" s="4" t="str">
        <f>IFERROR(__xludf.DUMMYFUNCTION("""COMPUTED_VALUE"""),"141. Kamahalan, 58. Eden")</f>
        <v>141. Kamahalan, 58. Eden</v>
      </c>
      <c r="B8236" s="4" t="str">
        <f>IFERROR(__xludf.DUMMYFUNCTION("""COMPUTED_VALUE"""),"141, 58")</f>
        <v>141, 58</v>
      </c>
      <c r="C8236" s="5" t="str">
        <f>IFERROR(__xludf.DUMMYFUNCTION("""COMPUTED_VALUE"""),"https://drive.google.com/file/d/1K-tD0ek352dFs02ESZSWVOQcEx-YKDDF/view?usp=drivesdk")</f>
        <v>https://drive.google.com/file/d/1K-tD0ek352dFs02ESZSWVOQcEx-YKDDF/view?usp=drivesdk</v>
      </c>
      <c r="D8236" s="12"/>
      <c r="E8236" s="11">
        <v>8285.0</v>
      </c>
      <c r="F8236" s="2"/>
    </row>
    <row r="8237" ht="1.5" customHeight="1">
      <c r="A8237" s="4" t="str">
        <f>IFERROR(__xludf.DUMMYFUNCTION("""COMPUTED_VALUE"""),"141. Kamahalan")</f>
        <v>141. Kamahalan</v>
      </c>
      <c r="B8237" s="4" t="str">
        <f>IFERROR(__xludf.DUMMYFUNCTION("""COMPUTED_VALUE"""),"141")</f>
        <v>141</v>
      </c>
      <c r="C8237" s="5" t="str">
        <f>IFERROR(__xludf.DUMMYFUNCTION("""COMPUTED_VALUE"""),"https://drive.google.com/file/d/1Q1Db3Cprcu8BC2snEzKIz7K31mn5n1G5/view?usp=drivesdk")</f>
        <v>https://drive.google.com/file/d/1Q1Db3Cprcu8BC2snEzKIz7K31mn5n1G5/view?usp=drivesdk</v>
      </c>
      <c r="D8237" s="12"/>
      <c r="E8237" s="11">
        <v>8286.0</v>
      </c>
      <c r="F8237" s="2"/>
    </row>
    <row r="8238" ht="1.5" customHeight="1">
      <c r="A8238" s="4" t="str">
        <f>IFERROR(__xludf.DUMMYFUNCTION("""COMPUTED_VALUE"""),"141. Kamahalan")</f>
        <v>141. Kamahalan</v>
      </c>
      <c r="B8238" s="4" t="str">
        <f>IFERROR(__xludf.DUMMYFUNCTION("""COMPUTED_VALUE"""),"141")</f>
        <v>141</v>
      </c>
      <c r="C8238" s="5" t="str">
        <f>IFERROR(__xludf.DUMMYFUNCTION("""COMPUTED_VALUE"""),"https://drive.google.com/file/d/1mTTjGgqBTm8xLp18YzsWVwXTss6qq8V2/view?usp=drivesdk")</f>
        <v>https://drive.google.com/file/d/1mTTjGgqBTm8xLp18YzsWVwXTss6qq8V2/view?usp=drivesdk</v>
      </c>
      <c r="D8238" s="12"/>
      <c r="E8238" s="11">
        <v>8287.0</v>
      </c>
      <c r="F8238" s="2"/>
    </row>
    <row r="8239" ht="1.5" customHeight="1">
      <c r="A8239" s="4" t="str">
        <f>IFERROR(__xludf.DUMMYFUNCTION("""COMPUTED_VALUE"""),"141. Kamahalan")</f>
        <v>141. Kamahalan</v>
      </c>
      <c r="B8239" s="4" t="str">
        <f>IFERROR(__xludf.DUMMYFUNCTION("""COMPUTED_VALUE"""),"141")</f>
        <v>141</v>
      </c>
      <c r="C8239" s="5" t="str">
        <f>IFERROR(__xludf.DUMMYFUNCTION("""COMPUTED_VALUE"""),"https://drive.google.com/file/d/11fH2tAlMiklJmtpuDwz1OEMSEdfwg9Fc/view?usp=drivesdk")</f>
        <v>https://drive.google.com/file/d/11fH2tAlMiklJmtpuDwz1OEMSEdfwg9Fc/view?usp=drivesdk</v>
      </c>
      <c r="D8239" s="12"/>
      <c r="E8239" s="11">
        <v>8288.0</v>
      </c>
      <c r="F8239" s="2"/>
    </row>
    <row r="8240" ht="1.5" customHeight="1">
      <c r="A8240" s="4" t="str">
        <f>IFERROR(__xludf.DUMMYFUNCTION("""COMPUTED_VALUE"""),"98. Timon")</f>
        <v>98. Timon</v>
      </c>
      <c r="B8240" s="4" t="str">
        <f>IFERROR(__xludf.DUMMYFUNCTION("""COMPUTED_VALUE"""),"98")</f>
        <v>98</v>
      </c>
      <c r="C8240" s="5" t="str">
        <f>IFERROR(__xludf.DUMMYFUNCTION("""COMPUTED_VALUE"""),"https://drive.google.com/file/d/1a4tjjjBWTPeHH94sT8yH6cwxQKo_Oh7z/view?usp=drivesdk")</f>
        <v>https://drive.google.com/file/d/1a4tjjjBWTPeHH94sT8yH6cwxQKo_Oh7z/view?usp=drivesdk</v>
      </c>
      <c r="D8240" s="12"/>
      <c r="E8240" s="11">
        <v>8289.0</v>
      </c>
      <c r="F8240" s="2"/>
    </row>
    <row r="8241" ht="1.5" customHeight="1">
      <c r="A8241" s="4" t="str">
        <f>IFERROR(__xludf.DUMMYFUNCTION("""COMPUTED_VALUE"""),"4. Eggs")</f>
        <v>4. Eggs</v>
      </c>
      <c r="B8241" s="4" t="str">
        <f>IFERROR(__xludf.DUMMYFUNCTION("""COMPUTED_VALUE"""),"4")</f>
        <v>4</v>
      </c>
      <c r="C8241" s="5" t="str">
        <f>IFERROR(__xludf.DUMMYFUNCTION("""COMPUTED_VALUE"""),"https://drive.google.com/file/d/1Zo4sjBPTw5FED6OtQab9EvoHlWmg1yHW/view?usp=drivesdk")</f>
        <v>https://drive.google.com/file/d/1Zo4sjBPTw5FED6OtQab9EvoHlWmg1yHW/view?usp=drivesdk</v>
      </c>
      <c r="D8241" s="12"/>
      <c r="E8241" s="11">
        <v>8290.0</v>
      </c>
      <c r="F8241" s="2"/>
    </row>
    <row r="8242" ht="1.5" customHeight="1">
      <c r="A8242" s="4" t="str">
        <f>IFERROR(__xludf.DUMMYFUNCTION("""COMPUTED_VALUE"""),"99. Nezhui")</f>
        <v>99. Nezhui</v>
      </c>
      <c r="B8242" s="4" t="str">
        <f>IFERROR(__xludf.DUMMYFUNCTION("""COMPUTED_VALUE"""),"99")</f>
        <v>99</v>
      </c>
      <c r="C8242" s="5" t="str">
        <f>IFERROR(__xludf.DUMMYFUNCTION("""COMPUTED_VALUE"""),"https://drive.google.com/file/d/1eywBANkyxUWxxHkrtmHY32Z5RBR_vgVO/view?usp=drivesdk")</f>
        <v>https://drive.google.com/file/d/1eywBANkyxUWxxHkrtmHY32Z5RBR_vgVO/view?usp=drivesdk</v>
      </c>
      <c r="D8242" s="12"/>
      <c r="E8242" s="11">
        <v>8291.0</v>
      </c>
      <c r="F8242" s="2"/>
    </row>
    <row r="8243" ht="1.5" customHeight="1">
      <c r="A8243" s="4" t="str">
        <f>IFERROR(__xludf.DUMMYFUNCTION("""COMPUTED_VALUE"""),"116. Itzel")</f>
        <v>116. Itzel</v>
      </c>
      <c r="B8243" s="4" t="str">
        <f>IFERROR(__xludf.DUMMYFUNCTION("""COMPUTED_VALUE"""),"116")</f>
        <v>116</v>
      </c>
      <c r="C8243" s="5" t="str">
        <f>IFERROR(__xludf.DUMMYFUNCTION("""COMPUTED_VALUE"""),"https://drive.google.com/file/d/1Y8zGtzuGW8YoBJ1MRjk0bNKRHBjzZJLH/view?usp=drivesdk")</f>
        <v>https://drive.google.com/file/d/1Y8zGtzuGW8YoBJ1MRjk0bNKRHBjzZJLH/view?usp=drivesdk</v>
      </c>
      <c r="D8243" s="12"/>
      <c r="E8243" s="11">
        <v>8292.0</v>
      </c>
      <c r="F8243" s="2"/>
    </row>
    <row r="8244" ht="1.5" customHeight="1">
      <c r="A8244" s="4" t="str">
        <f>IFERROR(__xludf.DUMMYFUNCTION("""COMPUTED_VALUE"""),"105. Chilton")</f>
        <v>105. Chilton</v>
      </c>
      <c r="B8244" s="4" t="str">
        <f>IFERROR(__xludf.DUMMYFUNCTION("""COMPUTED_VALUE"""),"105")</f>
        <v>105</v>
      </c>
      <c r="C8244" s="5" t="str">
        <f>IFERROR(__xludf.DUMMYFUNCTION("""COMPUTED_VALUE"""),"https://drive.google.com/file/d/1IU5DwGTNoCpoUET0WBtwM2VDwDOpWdC4/view?usp=drivesdk")</f>
        <v>https://drive.google.com/file/d/1IU5DwGTNoCpoUET0WBtwM2VDwDOpWdC4/view?usp=drivesdk</v>
      </c>
      <c r="D8244" s="12"/>
      <c r="E8244" s="11">
        <v>8293.0</v>
      </c>
      <c r="F8244" s="2"/>
    </row>
    <row r="8245" ht="1.5" customHeight="1">
      <c r="A8245" s="4" t="str">
        <f>IFERROR(__xludf.DUMMYFUNCTION("""COMPUTED_VALUE"""),"116. Itzel, 105. Chilton")</f>
        <v>116. Itzel, 105. Chilton</v>
      </c>
      <c r="B8245" s="4" t="str">
        <f>IFERROR(__xludf.DUMMYFUNCTION("""COMPUTED_VALUE"""),"116, 105")</f>
        <v>116, 105</v>
      </c>
      <c r="C8245" s="5" t="str">
        <f>IFERROR(__xludf.DUMMYFUNCTION("""COMPUTED_VALUE"""),"https://drive.google.com/file/d/1p9CgoHlqsIGGPEjH5TZ7U7jOLs6FbtI0/view?usp=drivesdk")</f>
        <v>https://drive.google.com/file/d/1p9CgoHlqsIGGPEjH5TZ7U7jOLs6FbtI0/view?usp=drivesdk</v>
      </c>
      <c r="D8245" s="12"/>
      <c r="E8245" s="11">
        <v>8294.0</v>
      </c>
      <c r="F8245" s="2"/>
    </row>
    <row r="8246" ht="1.5" customHeight="1">
      <c r="A8246" s="4" t="str">
        <f>IFERROR(__xludf.DUMMYFUNCTION("""COMPUTED_VALUE"""),"116. Itzel")</f>
        <v>116. Itzel</v>
      </c>
      <c r="B8246" s="4" t="str">
        <f>IFERROR(__xludf.DUMMYFUNCTION("""COMPUTED_VALUE"""),"116")</f>
        <v>116</v>
      </c>
      <c r="C8246" s="5" t="str">
        <f>IFERROR(__xludf.DUMMYFUNCTION("""COMPUTED_VALUE"""),"https://drive.google.com/file/d/1d4gnZ8mDwnNpoQeJbAF0Qe8HcuCOO0Zb/view?usp=drivesdk")</f>
        <v>https://drive.google.com/file/d/1d4gnZ8mDwnNpoQeJbAF0Qe8HcuCOO0Zb/view?usp=drivesdk</v>
      </c>
      <c r="D8246" s="12"/>
      <c r="E8246" s="11">
        <v>8295.0</v>
      </c>
      <c r="F8246" s="2"/>
    </row>
    <row r="8247" ht="1.5" customHeight="1">
      <c r="A8247" s="4" t="str">
        <f>IFERROR(__xludf.DUMMYFUNCTION("""COMPUTED_VALUE"""),"116. Itzel")</f>
        <v>116. Itzel</v>
      </c>
      <c r="B8247" s="4" t="str">
        <f>IFERROR(__xludf.DUMMYFUNCTION("""COMPUTED_VALUE"""),"116")</f>
        <v>116</v>
      </c>
      <c r="C8247" s="5" t="str">
        <f>IFERROR(__xludf.DUMMYFUNCTION("""COMPUTED_VALUE"""),"https://drive.google.com/file/d/1k9crhruWtOOTgUxEDiRXvrHe_cd7TPzd/view?usp=drivesdk")</f>
        <v>https://drive.google.com/file/d/1k9crhruWtOOTgUxEDiRXvrHe_cd7TPzd/view?usp=drivesdk</v>
      </c>
      <c r="D8247" s="12"/>
      <c r="E8247" s="11">
        <v>8296.0</v>
      </c>
      <c r="F8247" s="2"/>
    </row>
    <row r="8248" ht="1.5" customHeight="1">
      <c r="A8248" s="4" t="str">
        <f>IFERROR(__xludf.DUMMYFUNCTION("""COMPUTED_VALUE"""),"6. Snickers")</f>
        <v>6. Snickers</v>
      </c>
      <c r="B8248" s="4" t="str">
        <f>IFERROR(__xludf.DUMMYFUNCTION("""COMPUTED_VALUE"""),"6")</f>
        <v>6</v>
      </c>
      <c r="C8248" s="5" t="str">
        <f>IFERROR(__xludf.DUMMYFUNCTION("""COMPUTED_VALUE"""),"https://drive.google.com/file/d/1jW0E4tZNcS1DEDHnLPyWItDVaN6ldUGm/view?usp=drivesdk")</f>
        <v>https://drive.google.com/file/d/1jW0E4tZNcS1DEDHnLPyWItDVaN6ldUGm/view?usp=drivesdk</v>
      </c>
      <c r="D8248" s="12"/>
      <c r="E8248" s="11">
        <v>8297.0</v>
      </c>
      <c r="F8248" s="2"/>
    </row>
    <row r="8249" ht="1.5" customHeight="1">
      <c r="A8249" s="4" t="str">
        <f>IFERROR(__xludf.DUMMYFUNCTION("""COMPUTED_VALUE"""),"6. Snickers")</f>
        <v>6. Snickers</v>
      </c>
      <c r="B8249" s="4" t="str">
        <f>IFERROR(__xludf.DUMMYFUNCTION("""COMPUTED_VALUE"""),"6")</f>
        <v>6</v>
      </c>
      <c r="C8249" s="5" t="str">
        <f>IFERROR(__xludf.DUMMYFUNCTION("""COMPUTED_VALUE"""),"https://drive.google.com/file/d/19RdFyCcX6QqZbN_tYyjXkAsOPVk-a2z4/view?usp=drivesdk")</f>
        <v>https://drive.google.com/file/d/19RdFyCcX6QqZbN_tYyjXkAsOPVk-a2z4/view?usp=drivesdk</v>
      </c>
      <c r="D8249" s="12"/>
      <c r="E8249" s="11">
        <v>8298.0</v>
      </c>
      <c r="F8249" s="2"/>
    </row>
    <row r="8250" ht="1.5" customHeight="1">
      <c r="A8250" s="4" t="str">
        <f>IFERROR(__xludf.DUMMYFUNCTION("""COMPUTED_VALUE"""),"6. Snickers")</f>
        <v>6. Snickers</v>
      </c>
      <c r="B8250" s="4" t="str">
        <f>IFERROR(__xludf.DUMMYFUNCTION("""COMPUTED_VALUE"""),"6")</f>
        <v>6</v>
      </c>
      <c r="C8250" s="5" t="str">
        <f>IFERROR(__xludf.DUMMYFUNCTION("""COMPUTED_VALUE"""),"https://drive.google.com/file/d/18cOev0ZUBByJRAO908fH6WqflwINuHgJ/view?usp=drivesdk")</f>
        <v>https://drive.google.com/file/d/18cOev0ZUBByJRAO908fH6WqflwINuHgJ/view?usp=drivesdk</v>
      </c>
      <c r="D8250" s="12"/>
      <c r="E8250" s="11">
        <v>8299.0</v>
      </c>
      <c r="F8250" s="2"/>
    </row>
    <row r="8251" ht="1.5" customHeight="1">
      <c r="A8251" s="4" t="str">
        <f>IFERROR(__xludf.DUMMYFUNCTION("""COMPUTED_VALUE"""),"6. Snickers")</f>
        <v>6. Snickers</v>
      </c>
      <c r="B8251" s="4" t="str">
        <f>IFERROR(__xludf.DUMMYFUNCTION("""COMPUTED_VALUE"""),"6")</f>
        <v>6</v>
      </c>
      <c r="C8251" s="5" t="str">
        <f>IFERROR(__xludf.DUMMYFUNCTION("""COMPUTED_VALUE"""),"https://drive.google.com/file/d/1S2ZCa1s9R-680qNUReozThROSAgP1-Jw/view?usp=drivesdk")</f>
        <v>https://drive.google.com/file/d/1S2ZCa1s9R-680qNUReozThROSAgP1-Jw/view?usp=drivesdk</v>
      </c>
      <c r="D8251" s="12"/>
      <c r="E8251" s="11">
        <v>8300.0</v>
      </c>
      <c r="F8251" s="2"/>
    </row>
    <row r="8252" ht="1.5" customHeight="1">
      <c r="A8252" s="4" t="str">
        <f>IFERROR(__xludf.DUMMYFUNCTION("""COMPUTED_VALUE"""),"105. Chilton")</f>
        <v>105. Chilton</v>
      </c>
      <c r="B8252" s="4" t="str">
        <f>IFERROR(__xludf.DUMMYFUNCTION("""COMPUTED_VALUE"""),"105")</f>
        <v>105</v>
      </c>
      <c r="C8252" s="5" t="str">
        <f>IFERROR(__xludf.DUMMYFUNCTION("""COMPUTED_VALUE"""),"https://drive.google.com/file/d/1PMzd5qMJPAa-yTf1-fghv1ZHzvKxmJnR/view?usp=drivesdk")</f>
        <v>https://drive.google.com/file/d/1PMzd5qMJPAa-yTf1-fghv1ZHzvKxmJnR/view?usp=drivesdk</v>
      </c>
      <c r="D8252" s="12"/>
      <c r="E8252" s="11">
        <v>8301.0</v>
      </c>
      <c r="F8252" s="2"/>
    </row>
    <row r="8253" ht="1.5" customHeight="1">
      <c r="A8253" s="4" t="str">
        <f>IFERROR(__xludf.DUMMYFUNCTION("""COMPUTED_VALUE"""),"0. NotACat")</f>
        <v>0. NotACat</v>
      </c>
      <c r="B8253" s="4" t="str">
        <f>IFERROR(__xludf.DUMMYFUNCTION("""COMPUTED_VALUE"""),"0")</f>
        <v>0</v>
      </c>
      <c r="C8253" s="5" t="str">
        <f>IFERROR(__xludf.DUMMYFUNCTION("""COMPUTED_VALUE"""),"https://drive.google.com/file/d/1_anjf7bP5Zz-eBuOz6q4wgUibp6cOTDk/view?usp=drivesdk")</f>
        <v>https://drive.google.com/file/d/1_anjf7bP5Zz-eBuOz6q4wgUibp6cOTDk/view?usp=drivesdk</v>
      </c>
      <c r="D8253" s="12"/>
      <c r="E8253" s="11">
        <v>8302.0</v>
      </c>
      <c r="F8253" s="2"/>
    </row>
    <row r="8254" ht="1.5" customHeight="1">
      <c r="A8254" s="4" t="str">
        <f>IFERROR(__xludf.DUMMYFUNCTION("""COMPUTED_VALUE"""),"99. Nezhui")</f>
        <v>99. Nezhui</v>
      </c>
      <c r="B8254" s="4" t="str">
        <f>IFERROR(__xludf.DUMMYFUNCTION("""COMPUTED_VALUE"""),"99")</f>
        <v>99</v>
      </c>
      <c r="C8254" s="5" t="str">
        <f>IFERROR(__xludf.DUMMYFUNCTION("""COMPUTED_VALUE"""),"https://drive.google.com/file/d/16qvZO05_hCW6T9f9HRhtBjGoEfCQIBBW/view?usp=drivesdk")</f>
        <v>https://drive.google.com/file/d/16qvZO05_hCW6T9f9HRhtBjGoEfCQIBBW/view?usp=drivesdk</v>
      </c>
      <c r="D8254" s="12"/>
      <c r="E8254" s="11">
        <v>8303.0</v>
      </c>
      <c r="F8254" s="2"/>
    </row>
    <row r="8255" ht="1.5" customHeight="1">
      <c r="A8255" s="4" t="str">
        <f>IFERROR(__xludf.DUMMYFUNCTION("""COMPUTED_VALUE"""),"20. Citlali")</f>
        <v>20. Citlali</v>
      </c>
      <c r="B8255" s="4" t="str">
        <f>IFERROR(__xludf.DUMMYFUNCTION("""COMPUTED_VALUE"""),"20")</f>
        <v>20</v>
      </c>
      <c r="C8255" s="5" t="str">
        <f>IFERROR(__xludf.DUMMYFUNCTION("""COMPUTED_VALUE"""),"https://drive.google.com/file/d/11G23BJVsvJvbv0cGY-7DcavRCPtXGf6y/view?usp=drivesdk")</f>
        <v>https://drive.google.com/file/d/11G23BJVsvJvbv0cGY-7DcavRCPtXGf6y/view?usp=drivesdk</v>
      </c>
      <c r="D8255" s="12"/>
      <c r="E8255" s="11">
        <v>8304.0</v>
      </c>
      <c r="F8255" s="2"/>
    </row>
    <row r="8256" ht="1.5" customHeight="1">
      <c r="A8256" s="4" t="str">
        <f>IFERROR(__xludf.DUMMYFUNCTION("""COMPUTED_VALUE"""),"114. Elision")</f>
        <v>114. Elision</v>
      </c>
      <c r="B8256" s="4" t="str">
        <f>IFERROR(__xludf.DUMMYFUNCTION("""COMPUTED_VALUE"""),"114")</f>
        <v>114</v>
      </c>
      <c r="C8256" s="5" t="str">
        <f>IFERROR(__xludf.DUMMYFUNCTION("""COMPUTED_VALUE"""),"https://drive.google.com/file/d/1tC1xIsYXdf48JfON3nBTsz__STyoU9JF/view?usp=drivesdk")</f>
        <v>https://drive.google.com/file/d/1tC1xIsYXdf48JfON3nBTsz__STyoU9JF/view?usp=drivesdk</v>
      </c>
      <c r="D8256" s="12"/>
      <c r="E8256" s="11">
        <v>8305.0</v>
      </c>
      <c r="F8256" s="2"/>
    </row>
    <row r="8257" ht="1.5" customHeight="1">
      <c r="A8257" s="4" t="str">
        <f>IFERROR(__xludf.DUMMYFUNCTION("""COMPUTED_VALUE"""),"99. Nezhui")</f>
        <v>99. Nezhui</v>
      </c>
      <c r="B8257" s="4" t="str">
        <f>IFERROR(__xludf.DUMMYFUNCTION("""COMPUTED_VALUE"""),"99")</f>
        <v>99</v>
      </c>
      <c r="C8257" s="5" t="str">
        <f>IFERROR(__xludf.DUMMYFUNCTION("""COMPUTED_VALUE"""),"https://drive.google.com/file/d/1fsyHNqvJzE44VMqYjVRL986Scqq3aZLy/view?usp=drivesdk")</f>
        <v>https://drive.google.com/file/d/1fsyHNqvJzE44VMqYjVRL986Scqq3aZLy/view?usp=drivesdk</v>
      </c>
      <c r="D8257" s="12"/>
      <c r="E8257" s="11">
        <v>8306.0</v>
      </c>
      <c r="F8257" s="2"/>
    </row>
    <row r="8258" ht="1.5" customHeight="1">
      <c r="A8258" s="4" t="str">
        <f>IFERROR(__xludf.DUMMYFUNCTION("""COMPUTED_VALUE"""),"37. Dingus")</f>
        <v>37. Dingus</v>
      </c>
      <c r="B8258" s="4" t="str">
        <f>IFERROR(__xludf.DUMMYFUNCTION("""COMPUTED_VALUE"""),"37")</f>
        <v>37</v>
      </c>
      <c r="C8258" s="5" t="str">
        <f>IFERROR(__xludf.DUMMYFUNCTION("""COMPUTED_VALUE"""),"https://drive.google.com/file/d/1-1TeuSdD3aWL5_rQqHoWf9ur5Dt46gRi/view?usp=drivesdk")</f>
        <v>https://drive.google.com/file/d/1-1TeuSdD3aWL5_rQqHoWf9ur5Dt46gRi/view?usp=drivesdk</v>
      </c>
      <c r="D8258" s="12"/>
      <c r="E8258" s="11">
        <v>8307.0</v>
      </c>
      <c r="F8258" s="2"/>
    </row>
    <row r="8259" ht="1.5" customHeight="1">
      <c r="A8259" s="4" t="str">
        <f>IFERROR(__xludf.DUMMYFUNCTION("""COMPUTED_VALUE"""),"88. Vincente")</f>
        <v>88. Vincente</v>
      </c>
      <c r="B8259" s="4" t="str">
        <f>IFERROR(__xludf.DUMMYFUNCTION("""COMPUTED_VALUE"""),"88")</f>
        <v>88</v>
      </c>
      <c r="C8259" s="5" t="str">
        <f>IFERROR(__xludf.DUMMYFUNCTION("""COMPUTED_VALUE"""),"https://drive.google.com/file/d/1GDraq1sYTBf8GczYc2-EXVc5WP1BgJen/view?usp=drivesdk")</f>
        <v>https://drive.google.com/file/d/1GDraq1sYTBf8GczYc2-EXVc5WP1BgJen/view?usp=drivesdk</v>
      </c>
      <c r="D8259" s="12"/>
      <c r="E8259" s="11">
        <v>8308.0</v>
      </c>
      <c r="F8259" s="2"/>
    </row>
    <row r="8260" ht="1.5" customHeight="1">
      <c r="A8260" s="4" t="str">
        <f>IFERROR(__xludf.DUMMYFUNCTION("""COMPUTED_VALUE"""),"141. Kamahalan, 45. Boots")</f>
        <v>141. Kamahalan, 45. Boots</v>
      </c>
      <c r="B8260" s="4" t="str">
        <f>IFERROR(__xludf.DUMMYFUNCTION("""COMPUTED_VALUE"""),"141, 45")</f>
        <v>141, 45</v>
      </c>
      <c r="C8260" s="5" t="str">
        <f>IFERROR(__xludf.DUMMYFUNCTION("""COMPUTED_VALUE"""),"https://drive.google.com/file/d/1k9cFII7VAYKvpFWuvZOEtYWDybmxb55o/view?usp=drivesdk")</f>
        <v>https://drive.google.com/file/d/1k9cFII7VAYKvpFWuvZOEtYWDybmxb55o/view?usp=drivesdk</v>
      </c>
      <c r="D8260" s="12"/>
      <c r="E8260" s="11">
        <v>8309.0</v>
      </c>
      <c r="F8260" s="2"/>
    </row>
    <row r="8261" ht="1.5" customHeight="1">
      <c r="A8261" s="4" t="str">
        <f>IFERROR(__xludf.DUMMYFUNCTION("""COMPUTED_VALUE"""),"145. Bagel")</f>
        <v>145. Bagel</v>
      </c>
      <c r="B8261" s="4" t="str">
        <f>IFERROR(__xludf.DUMMYFUNCTION("""COMPUTED_VALUE"""),"145")</f>
        <v>145</v>
      </c>
      <c r="C8261" s="5" t="str">
        <f>IFERROR(__xludf.DUMMYFUNCTION("""COMPUTED_VALUE"""),"https://drive.google.com/file/d/1X2lmG9FckRAbtWgcrNqLhY7HDtNLMwrc/view?usp=drivesdk")</f>
        <v>https://drive.google.com/file/d/1X2lmG9FckRAbtWgcrNqLhY7HDtNLMwrc/view?usp=drivesdk</v>
      </c>
      <c r="D8261" s="12"/>
      <c r="E8261" s="11">
        <v>8310.0</v>
      </c>
      <c r="F8261" s="2"/>
    </row>
    <row r="8262" ht="1.5" customHeight="1">
      <c r="A8262" s="4" t="str">
        <f>IFERROR(__xludf.DUMMYFUNCTION("""COMPUTED_VALUE"""),"4. Eggs, 5. Eraser, 2. Twix")</f>
        <v>4. Eggs, 5. Eraser, 2. Twix</v>
      </c>
      <c r="B8262" s="4" t="str">
        <f>IFERROR(__xludf.DUMMYFUNCTION("""COMPUTED_VALUE"""),"4, 5, 2")</f>
        <v>4, 5, 2</v>
      </c>
      <c r="C8262" s="5" t="str">
        <f>IFERROR(__xludf.DUMMYFUNCTION("""COMPUTED_VALUE"""),"https://drive.google.com/file/d/1q69drXlbLPrbGu7fuSi9rSpghMTG1nwr/view?usp=drivesdk")</f>
        <v>https://drive.google.com/file/d/1q69drXlbLPrbGu7fuSi9rSpghMTG1nwr/view?usp=drivesdk</v>
      </c>
      <c r="D8262" s="12"/>
      <c r="E8262" s="11">
        <v>8311.0</v>
      </c>
      <c r="F8262" s="2"/>
    </row>
    <row r="8263" ht="1.5" customHeight="1">
      <c r="A8263" s="4" t="str">
        <f>IFERROR(__xludf.DUMMYFUNCTION("""COMPUTED_VALUE"""),"17. Bobbie")</f>
        <v>17. Bobbie</v>
      </c>
      <c r="B8263" s="4" t="str">
        <f>IFERROR(__xludf.DUMMYFUNCTION("""COMPUTED_VALUE"""),"17")</f>
        <v>17</v>
      </c>
      <c r="C8263" s="5" t="str">
        <f>IFERROR(__xludf.DUMMYFUNCTION("""COMPUTED_VALUE"""),"https://drive.google.com/file/d/1k0fEZC-MHbn4N2o-CKvsep2vIxjExvGk/view?usp=drivesdk")</f>
        <v>https://drive.google.com/file/d/1k0fEZC-MHbn4N2o-CKvsep2vIxjExvGk/view?usp=drivesdk</v>
      </c>
      <c r="D8263" s="12"/>
      <c r="E8263" s="11">
        <v>8312.0</v>
      </c>
      <c r="F8263" s="2"/>
    </row>
    <row r="8264" ht="1.5" customHeight="1">
      <c r="A8264" s="4" t="str">
        <f>IFERROR(__xludf.DUMMYFUNCTION("""COMPUTED_VALUE"""),"7. Hershey")</f>
        <v>7. Hershey</v>
      </c>
      <c r="B8264" s="4" t="str">
        <f>IFERROR(__xludf.DUMMYFUNCTION("""COMPUTED_VALUE"""),"7")</f>
        <v>7</v>
      </c>
      <c r="C8264" s="5" t="str">
        <f>IFERROR(__xludf.DUMMYFUNCTION("""COMPUTED_VALUE"""),"https://drive.google.com/file/d/1W92pC2SOmJ27lk8OkcpnsN5XUHmPCuXY/view?usp=drivesdk")</f>
        <v>https://drive.google.com/file/d/1W92pC2SOmJ27lk8OkcpnsN5XUHmPCuXY/view?usp=drivesdk</v>
      </c>
      <c r="D8264" s="12"/>
      <c r="E8264" s="11">
        <v>8313.0</v>
      </c>
      <c r="F8264" s="2"/>
    </row>
    <row r="8265" ht="1.5" customHeight="1">
      <c r="A8265" s="4" t="str">
        <f>IFERROR(__xludf.DUMMYFUNCTION("""COMPUTED_VALUE"""),"7. Hershey")</f>
        <v>7. Hershey</v>
      </c>
      <c r="B8265" s="4" t="str">
        <f>IFERROR(__xludf.DUMMYFUNCTION("""COMPUTED_VALUE"""),"7")</f>
        <v>7</v>
      </c>
      <c r="C8265" s="5" t="str">
        <f>IFERROR(__xludf.DUMMYFUNCTION("""COMPUTED_VALUE"""),"https://drive.google.com/file/d/1GtqzFMHUi5nPhldlBR3zBLUui6prH-OB/view?usp=drivesdk")</f>
        <v>https://drive.google.com/file/d/1GtqzFMHUi5nPhldlBR3zBLUui6prH-OB/view?usp=drivesdk</v>
      </c>
      <c r="D8265" s="12"/>
      <c r="E8265" s="11">
        <v>8314.0</v>
      </c>
      <c r="F8265" s="2"/>
    </row>
    <row r="8266" ht="1.5" customHeight="1">
      <c r="A8266" s="4" t="str">
        <f>IFERROR(__xludf.DUMMYFUNCTION("""COMPUTED_VALUE"""),"5. Eraser, 7. Hershey")</f>
        <v>5. Eraser, 7. Hershey</v>
      </c>
      <c r="B8266" s="4" t="str">
        <f>IFERROR(__xludf.DUMMYFUNCTION("""COMPUTED_VALUE"""),"5, 7")</f>
        <v>5, 7</v>
      </c>
      <c r="C8266" s="5" t="str">
        <f>IFERROR(__xludf.DUMMYFUNCTION("""COMPUTED_VALUE"""),"https://drive.google.com/file/d/1PaHzQIXYyJaz1FPos9JDid7dbCcVB4WL/view?usp=drivesdk")</f>
        <v>https://drive.google.com/file/d/1PaHzQIXYyJaz1FPos9JDid7dbCcVB4WL/view?usp=drivesdk</v>
      </c>
      <c r="D8266" s="12"/>
      <c r="E8266" s="11">
        <v>8315.0</v>
      </c>
      <c r="F8266" s="2"/>
    </row>
    <row r="8267" ht="1.5" customHeight="1">
      <c r="A8267" s="4" t="str">
        <f>IFERROR(__xludf.DUMMYFUNCTION("""COMPUTED_VALUE"""),"5. Eraser, 7. Hershey")</f>
        <v>5. Eraser, 7. Hershey</v>
      </c>
      <c r="B8267" s="4" t="str">
        <f>IFERROR(__xludf.DUMMYFUNCTION("""COMPUTED_VALUE"""),"5, 7")</f>
        <v>5, 7</v>
      </c>
      <c r="C8267" s="5" t="str">
        <f>IFERROR(__xludf.DUMMYFUNCTION("""COMPUTED_VALUE"""),"https://drive.google.com/file/d/1_xBNkvLvs6roy2VUA27LhXSq6yC3Odrf/view?usp=drivesdk")</f>
        <v>https://drive.google.com/file/d/1_xBNkvLvs6roy2VUA27LhXSq6yC3Odrf/view?usp=drivesdk</v>
      </c>
      <c r="D8267" s="12"/>
      <c r="E8267" s="11">
        <v>8316.0</v>
      </c>
      <c r="F8267" s="2"/>
    </row>
    <row r="8268" ht="1.5" customHeight="1">
      <c r="A8268" s="4" t="str">
        <f>IFERROR(__xludf.DUMMYFUNCTION("""COMPUTED_VALUE"""),"4. Eggs")</f>
        <v>4. Eggs</v>
      </c>
      <c r="B8268" s="4" t="str">
        <f>IFERROR(__xludf.DUMMYFUNCTION("""COMPUTED_VALUE"""),"4")</f>
        <v>4</v>
      </c>
      <c r="C8268" s="5" t="str">
        <f>IFERROR(__xludf.DUMMYFUNCTION("""COMPUTED_VALUE"""),"https://drive.google.com/file/d/1Qbku7T3NMJzaFjGwq-OlhqJtN3tN7lcM/view?usp=drivesdk")</f>
        <v>https://drive.google.com/file/d/1Qbku7T3NMJzaFjGwq-OlhqJtN3tN7lcM/view?usp=drivesdk</v>
      </c>
      <c r="D8268" s="12"/>
      <c r="E8268" s="11">
        <v>8317.0</v>
      </c>
      <c r="F8268" s="2"/>
    </row>
    <row r="8269" ht="1.5" customHeight="1">
      <c r="A8269" s="4" t="str">
        <f>IFERROR(__xludf.DUMMYFUNCTION("""COMPUTED_VALUE"""),"1. Microwave")</f>
        <v>1. Microwave</v>
      </c>
      <c r="B8269" s="4" t="str">
        <f>IFERROR(__xludf.DUMMYFUNCTION("""COMPUTED_VALUE"""),"1")</f>
        <v>1</v>
      </c>
      <c r="C8269" s="5" t="str">
        <f>IFERROR(__xludf.DUMMYFUNCTION("""COMPUTED_VALUE"""),"https://drive.google.com/file/d/1EnoCnlMI0_vLotSaYPOK7ET_B25JXdQ2/view?usp=drivesdk")</f>
        <v>https://drive.google.com/file/d/1EnoCnlMI0_vLotSaYPOK7ET_B25JXdQ2/view?usp=drivesdk</v>
      </c>
      <c r="D8269" s="12"/>
      <c r="E8269" s="11">
        <v>8318.0</v>
      </c>
      <c r="F8269" s="2"/>
    </row>
    <row r="8270" ht="1.5" customHeight="1">
      <c r="A8270" s="4" t="str">
        <f>IFERROR(__xludf.DUMMYFUNCTION("""COMPUTED_VALUE"""),"1. Microwave")</f>
        <v>1. Microwave</v>
      </c>
      <c r="B8270" s="4" t="str">
        <f>IFERROR(__xludf.DUMMYFUNCTION("""COMPUTED_VALUE"""),"1")</f>
        <v>1</v>
      </c>
      <c r="C8270" s="5" t="str">
        <f>IFERROR(__xludf.DUMMYFUNCTION("""COMPUTED_VALUE"""),"https://drive.google.com/file/d/1qjKZMFLbw1oUghB-SOd6fF_6WOjhGHV2/view?usp=drivesdk")</f>
        <v>https://drive.google.com/file/d/1qjKZMFLbw1oUghB-SOd6fF_6WOjhGHV2/view?usp=drivesdk</v>
      </c>
      <c r="D8270" s="12"/>
      <c r="E8270" s="11">
        <v>8319.0</v>
      </c>
      <c r="F8270" s="2"/>
    </row>
    <row r="8271" ht="1.5" customHeight="1">
      <c r="A8271" s="4" t="str">
        <f>IFERROR(__xludf.DUMMYFUNCTION("""COMPUTED_VALUE"""),"1. Microwave")</f>
        <v>1. Microwave</v>
      </c>
      <c r="B8271" s="4" t="str">
        <f>IFERROR(__xludf.DUMMYFUNCTION("""COMPUTED_VALUE"""),"1")</f>
        <v>1</v>
      </c>
      <c r="C8271" s="5" t="str">
        <f>IFERROR(__xludf.DUMMYFUNCTION("""COMPUTED_VALUE"""),"https://drive.google.com/file/d/1mWcLatEAjbhsKQIAOpyimFeR7wuyaUoZ/view?usp=drivesdk")</f>
        <v>https://drive.google.com/file/d/1mWcLatEAjbhsKQIAOpyimFeR7wuyaUoZ/view?usp=drivesdk</v>
      </c>
      <c r="D8271" s="12"/>
      <c r="E8271" s="11">
        <v>8320.0</v>
      </c>
      <c r="F8271" s="2"/>
    </row>
    <row r="8272" ht="1.5" customHeight="1">
      <c r="A8272" s="4" t="str">
        <f>IFERROR(__xludf.DUMMYFUNCTION("""COMPUTED_VALUE"""),"1. Microwave")</f>
        <v>1. Microwave</v>
      </c>
      <c r="B8272" s="4" t="str">
        <f>IFERROR(__xludf.DUMMYFUNCTION("""COMPUTED_VALUE"""),"1")</f>
        <v>1</v>
      </c>
      <c r="C8272" s="5" t="str">
        <f>IFERROR(__xludf.DUMMYFUNCTION("""COMPUTED_VALUE"""),"https://drive.google.com/file/d/1-TykRVMNTmMNpEWOzPPOr5F8XJIZTZ30/view?usp=drivesdk")</f>
        <v>https://drive.google.com/file/d/1-TykRVMNTmMNpEWOzPPOr5F8XJIZTZ30/view?usp=drivesdk</v>
      </c>
      <c r="D8272" s="12"/>
      <c r="E8272" s="11">
        <v>8321.0</v>
      </c>
      <c r="F8272" s="2"/>
    </row>
    <row r="8273" ht="1.5" customHeight="1">
      <c r="A8273" s="4" t="str">
        <f>IFERROR(__xludf.DUMMYFUNCTION("""COMPUTED_VALUE"""),"76. Eezard")</f>
        <v>76. Eezard</v>
      </c>
      <c r="B8273" s="4" t="str">
        <f>IFERROR(__xludf.DUMMYFUNCTION("""COMPUTED_VALUE"""),"76")</f>
        <v>76</v>
      </c>
      <c r="C8273" s="5" t="str">
        <f>IFERROR(__xludf.DUMMYFUNCTION("""COMPUTED_VALUE"""),"https://drive.google.com/file/d/11E-tDt_kw5RISpozo1GOLhcv8ptBBg9O/view?usp=drivesdk")</f>
        <v>https://drive.google.com/file/d/11E-tDt_kw5RISpozo1GOLhcv8ptBBg9O/view?usp=drivesdk</v>
      </c>
      <c r="D8273" s="12"/>
      <c r="E8273" s="11">
        <v>8322.0</v>
      </c>
      <c r="F8273" s="2"/>
    </row>
    <row r="8274" ht="1.5" customHeight="1">
      <c r="A8274" s="4" t="str">
        <f>IFERROR(__xludf.DUMMYFUNCTION("""COMPUTED_VALUE"""),"1. Microwave")</f>
        <v>1. Microwave</v>
      </c>
      <c r="B8274" s="4" t="str">
        <f>IFERROR(__xludf.DUMMYFUNCTION("""COMPUTED_VALUE"""),"1")</f>
        <v>1</v>
      </c>
      <c r="C8274" s="5" t="str">
        <f>IFERROR(__xludf.DUMMYFUNCTION("""COMPUTED_VALUE"""),"https://drive.google.com/file/d/1uePj_tawzBoOhU4VBoT1xa2D29utpGF4/view?usp=drivesdk")</f>
        <v>https://drive.google.com/file/d/1uePj_tawzBoOhU4VBoT1xa2D29utpGF4/view?usp=drivesdk</v>
      </c>
      <c r="D8274" s="12"/>
      <c r="E8274" s="11">
        <v>8323.0</v>
      </c>
      <c r="F8274" s="2"/>
    </row>
    <row r="8275" ht="1.5" customHeight="1">
      <c r="A8275" s="4" t="str">
        <f>IFERROR(__xludf.DUMMYFUNCTION("""COMPUTED_VALUE"""),"1. Microwave")</f>
        <v>1. Microwave</v>
      </c>
      <c r="B8275" s="4" t="str">
        <f>IFERROR(__xludf.DUMMYFUNCTION("""COMPUTED_VALUE"""),"1")</f>
        <v>1</v>
      </c>
      <c r="C8275" s="5" t="str">
        <f>IFERROR(__xludf.DUMMYFUNCTION("""COMPUTED_VALUE"""),"https://drive.google.com/file/d/1kuWB3u_Gsdnf5jwJSzGXmELPElKyjHxn/view?usp=drivesdk")</f>
        <v>https://drive.google.com/file/d/1kuWB3u_Gsdnf5jwJSzGXmELPElKyjHxn/view?usp=drivesdk</v>
      </c>
      <c r="D8275" s="12"/>
      <c r="E8275" s="11">
        <v>8324.0</v>
      </c>
      <c r="F8275" s="2"/>
    </row>
    <row r="8276" ht="1.5" customHeight="1">
      <c r="A8276" s="4" t="str">
        <f>IFERROR(__xludf.DUMMYFUNCTION("""COMPUTED_VALUE"""),"12. Faye")</f>
        <v>12. Faye</v>
      </c>
      <c r="B8276" s="4" t="str">
        <f>IFERROR(__xludf.DUMMYFUNCTION("""COMPUTED_VALUE"""),"12")</f>
        <v>12</v>
      </c>
      <c r="C8276" s="5" t="str">
        <f>IFERROR(__xludf.DUMMYFUNCTION("""COMPUTED_VALUE"""),"https://drive.google.com/file/d/1XC7Tx_hpZiZikYwot23E0CFW6Zf9fkU3/view?usp=drivesdk")</f>
        <v>https://drive.google.com/file/d/1XC7Tx_hpZiZikYwot23E0CFW6Zf9fkU3/view?usp=drivesdk</v>
      </c>
      <c r="D8276" s="12"/>
      <c r="E8276" s="11">
        <v>8325.0</v>
      </c>
      <c r="F8276" s="2"/>
    </row>
    <row r="8277" ht="1.5" customHeight="1">
      <c r="A8277" s="4" t="str">
        <f>IFERROR(__xludf.DUMMYFUNCTION("""COMPUTED_VALUE"""),"12. Faye, 39. Radar, 141. Kamahalan")</f>
        <v>12. Faye, 39. Radar, 141. Kamahalan</v>
      </c>
      <c r="B8277" s="4" t="str">
        <f>IFERROR(__xludf.DUMMYFUNCTION("""COMPUTED_VALUE"""),"12, 39, 141")</f>
        <v>12, 39, 141</v>
      </c>
      <c r="C8277" s="5" t="str">
        <f>IFERROR(__xludf.DUMMYFUNCTION("""COMPUTED_VALUE"""),"https://drive.google.com/file/d/1PrO0w77Au_Onv6diCPnpPyTErvW32ZXq/view?usp=drivesdk")</f>
        <v>https://drive.google.com/file/d/1PrO0w77Au_Onv6diCPnpPyTErvW32ZXq/view?usp=drivesdk</v>
      </c>
      <c r="D8277" s="12"/>
      <c r="E8277" s="11">
        <v>8326.0</v>
      </c>
      <c r="F8277" s="2"/>
    </row>
    <row r="8278" ht="1.5" customHeight="1">
      <c r="A8278" s="4" t="str">
        <f>IFERROR(__xludf.DUMMYFUNCTION("""COMPUTED_VALUE"""),"58. Eden")</f>
        <v>58. Eden</v>
      </c>
      <c r="B8278" s="4" t="str">
        <f>IFERROR(__xludf.DUMMYFUNCTION("""COMPUTED_VALUE"""),"58")</f>
        <v>58</v>
      </c>
      <c r="C8278" s="5" t="str">
        <f>IFERROR(__xludf.DUMMYFUNCTION("""COMPUTED_VALUE"""),"https://drive.google.com/file/d/1_uTV4MDVmJzgjBtbp2iU8UaNKZrATY0n/view?usp=drivesdk")</f>
        <v>https://drive.google.com/file/d/1_uTV4MDVmJzgjBtbp2iU8UaNKZrATY0n/view?usp=drivesdk</v>
      </c>
      <c r="D8278" s="12"/>
      <c r="E8278" s="11">
        <v>8327.0</v>
      </c>
      <c r="F8278" s="2"/>
    </row>
    <row r="8279" ht="1.5" customHeight="1">
      <c r="A8279" s="4" t="str">
        <f>IFERROR(__xludf.DUMMYFUNCTION("""COMPUTED_VALUE"""),"1. Microwave")</f>
        <v>1. Microwave</v>
      </c>
      <c r="B8279" s="4" t="str">
        <f>IFERROR(__xludf.DUMMYFUNCTION("""COMPUTED_VALUE"""),"1")</f>
        <v>1</v>
      </c>
      <c r="C8279" s="5" t="str">
        <f>IFERROR(__xludf.DUMMYFUNCTION("""COMPUTED_VALUE"""),"https://drive.google.com/file/d/106s_jogM35qMmYg5e9Xq8_lty_KPWoJY/view?usp=drivesdk")</f>
        <v>https://drive.google.com/file/d/106s_jogM35qMmYg5e9Xq8_lty_KPWoJY/view?usp=drivesdk</v>
      </c>
      <c r="D8279" s="12"/>
      <c r="E8279" s="11">
        <v>8328.0</v>
      </c>
      <c r="F8279" s="2"/>
    </row>
    <row r="8280" ht="1.5" customHeight="1">
      <c r="A8280" s="4" t="str">
        <f>IFERROR(__xludf.DUMMYFUNCTION("""COMPUTED_VALUE"""),"1. Microwave")</f>
        <v>1. Microwave</v>
      </c>
      <c r="B8280" s="4" t="str">
        <f>IFERROR(__xludf.DUMMYFUNCTION("""COMPUTED_VALUE"""),"1")</f>
        <v>1</v>
      </c>
      <c r="C8280" s="5" t="str">
        <f>IFERROR(__xludf.DUMMYFUNCTION("""COMPUTED_VALUE"""),"https://drive.google.com/file/d/1JC1xL4FfSfvyKDvSPqjF-lk9PhTz2TN5/view?usp=drivesdk")</f>
        <v>https://drive.google.com/file/d/1JC1xL4FfSfvyKDvSPqjF-lk9PhTz2TN5/view?usp=drivesdk</v>
      </c>
      <c r="D8280" s="12"/>
      <c r="E8280" s="11">
        <v>8329.0</v>
      </c>
      <c r="F8280" s="2"/>
    </row>
    <row r="8281" ht="1.5" customHeight="1">
      <c r="A8281" s="4" t="str">
        <f>IFERROR(__xludf.DUMMYFUNCTION("""COMPUTED_VALUE"""),"1. Microwave")</f>
        <v>1. Microwave</v>
      </c>
      <c r="B8281" s="4" t="str">
        <f>IFERROR(__xludf.DUMMYFUNCTION("""COMPUTED_VALUE"""),"1")</f>
        <v>1</v>
      </c>
      <c r="C8281" s="5" t="str">
        <f>IFERROR(__xludf.DUMMYFUNCTION("""COMPUTED_VALUE"""),"https://drive.google.com/file/d/1gh21b8rdtc4OXAfQteZI6yilnQ7M-Seg/view?usp=drivesdk")</f>
        <v>https://drive.google.com/file/d/1gh21b8rdtc4OXAfQteZI6yilnQ7M-Seg/view?usp=drivesdk</v>
      </c>
      <c r="D8281" s="12"/>
      <c r="E8281" s="11">
        <v>8330.0</v>
      </c>
      <c r="F8281" s="2"/>
    </row>
    <row r="8282" ht="1.5" customHeight="1">
      <c r="A8282" s="4" t="str">
        <f>IFERROR(__xludf.DUMMYFUNCTION("""COMPUTED_VALUE"""),"1. Microwave")</f>
        <v>1. Microwave</v>
      </c>
      <c r="B8282" s="4" t="str">
        <f>IFERROR(__xludf.DUMMYFUNCTION("""COMPUTED_VALUE"""),"1")</f>
        <v>1</v>
      </c>
      <c r="C8282" s="5" t="str">
        <f>IFERROR(__xludf.DUMMYFUNCTION("""COMPUTED_VALUE"""),"https://drive.google.com/file/d/149Uoj_Cn1oPDcRD-673fdbXWUcmFoUbD/view?usp=drivesdk")</f>
        <v>https://drive.google.com/file/d/149Uoj_Cn1oPDcRD-673fdbXWUcmFoUbD/view?usp=drivesdk</v>
      </c>
      <c r="D8282" s="12"/>
      <c r="E8282" s="11">
        <v>8331.0</v>
      </c>
      <c r="F8282" s="2"/>
    </row>
    <row r="8283" ht="1.5" customHeight="1">
      <c r="A8283" s="4" t="str">
        <f>IFERROR(__xludf.DUMMYFUNCTION("""COMPUTED_VALUE"""),"2. Twix")</f>
        <v>2. Twix</v>
      </c>
      <c r="B8283" s="4" t="str">
        <f>IFERROR(__xludf.DUMMYFUNCTION("""COMPUTED_VALUE"""),"2")</f>
        <v>2</v>
      </c>
      <c r="C8283" s="5" t="str">
        <f>IFERROR(__xludf.DUMMYFUNCTION("""COMPUTED_VALUE"""),"https://drive.google.com/file/d/1tWHt4DWURDoeuTBPmuTWfkY52reewVx5/view?usp=drivesdk")</f>
        <v>https://drive.google.com/file/d/1tWHt4DWURDoeuTBPmuTWfkY52reewVx5/view?usp=drivesdk</v>
      </c>
      <c r="D8283" s="12"/>
      <c r="E8283" s="11">
        <v>8332.0</v>
      </c>
      <c r="F8283" s="2"/>
    </row>
    <row r="8284" ht="1.5" customHeight="1">
      <c r="A8284" s="4" t="str">
        <f>IFERROR(__xludf.DUMMYFUNCTION("""COMPUTED_VALUE"""),"1. Microwave")</f>
        <v>1. Microwave</v>
      </c>
      <c r="B8284" s="4" t="str">
        <f>IFERROR(__xludf.DUMMYFUNCTION("""COMPUTED_VALUE"""),"1")</f>
        <v>1</v>
      </c>
      <c r="C8284" s="5" t="str">
        <f>IFERROR(__xludf.DUMMYFUNCTION("""COMPUTED_VALUE"""),"https://drive.google.com/file/d/1jqCg9Mtp1_4fbFXNcojerEqEmvVgLfcE/view?usp=drivesdk")</f>
        <v>https://drive.google.com/file/d/1jqCg9Mtp1_4fbFXNcojerEqEmvVgLfcE/view?usp=drivesdk</v>
      </c>
      <c r="D8284" s="12"/>
      <c r="E8284" s="11">
        <v>8333.0</v>
      </c>
      <c r="F8284" s="2"/>
    </row>
    <row r="8285" ht="1.5" customHeight="1">
      <c r="A8285" s="4" t="str">
        <f>IFERROR(__xludf.DUMMYFUNCTION("""COMPUTED_VALUE"""),"2. Twix")</f>
        <v>2. Twix</v>
      </c>
      <c r="B8285" s="4" t="str">
        <f>IFERROR(__xludf.DUMMYFUNCTION("""COMPUTED_VALUE"""),"2")</f>
        <v>2</v>
      </c>
      <c r="C8285" s="5" t="str">
        <f>IFERROR(__xludf.DUMMYFUNCTION("""COMPUTED_VALUE"""),"https://drive.google.com/file/d/1I8FrubIPeJLW7vteQ19ouaiU5YMhPnum/view?usp=drivesdk")</f>
        <v>https://drive.google.com/file/d/1I8FrubIPeJLW7vteQ19ouaiU5YMhPnum/view?usp=drivesdk</v>
      </c>
      <c r="D8285" s="12"/>
      <c r="E8285" s="11">
        <v>8334.0</v>
      </c>
      <c r="F8285" s="2"/>
    </row>
    <row r="8286" ht="1.5" customHeight="1">
      <c r="A8286" s="4" t="str">
        <f>IFERROR(__xludf.DUMMYFUNCTION("""COMPUTED_VALUE"""),"1. Microwave")</f>
        <v>1. Microwave</v>
      </c>
      <c r="B8286" s="4" t="str">
        <f>IFERROR(__xludf.DUMMYFUNCTION("""COMPUTED_VALUE"""),"1")</f>
        <v>1</v>
      </c>
      <c r="C8286" s="5" t="str">
        <f>IFERROR(__xludf.DUMMYFUNCTION("""COMPUTED_VALUE"""),"https://drive.google.com/file/d/1EakOJr3TdoSdjbq0xT2q6Rj0308a-wt6/view?usp=drivesdk")</f>
        <v>https://drive.google.com/file/d/1EakOJr3TdoSdjbq0xT2q6Rj0308a-wt6/view?usp=drivesdk</v>
      </c>
      <c r="D8286" s="12"/>
      <c r="E8286" s="11">
        <v>8335.0</v>
      </c>
      <c r="F8286" s="2"/>
    </row>
    <row r="8287" ht="1.5" customHeight="1">
      <c r="A8287" s="4" t="str">
        <f>IFERROR(__xludf.DUMMYFUNCTION("""COMPUTED_VALUE"""),"108. Mazatl")</f>
        <v>108. Mazatl</v>
      </c>
      <c r="B8287" s="4" t="str">
        <f>IFERROR(__xludf.DUMMYFUNCTION("""COMPUTED_VALUE"""),"108")</f>
        <v>108</v>
      </c>
      <c r="C8287" s="5" t="str">
        <f>IFERROR(__xludf.DUMMYFUNCTION("""COMPUTED_VALUE"""),"https://drive.google.com/file/d/1cHmfB_OnZhDUVp8RQHjN0TRK2jomUSl4/view?usp=drivesdk")</f>
        <v>https://drive.google.com/file/d/1cHmfB_OnZhDUVp8RQHjN0TRK2jomUSl4/view?usp=drivesdk</v>
      </c>
      <c r="D8287" s="12"/>
      <c r="E8287" s="11">
        <v>8336.0</v>
      </c>
      <c r="F8287" s="2"/>
    </row>
    <row r="8288" ht="1.5" customHeight="1">
      <c r="A8288" s="4" t="str">
        <f>IFERROR(__xludf.DUMMYFUNCTION("""COMPUTED_VALUE"""),"99. Nezhui")</f>
        <v>99. Nezhui</v>
      </c>
      <c r="B8288" s="4" t="str">
        <f>IFERROR(__xludf.DUMMYFUNCTION("""COMPUTED_VALUE"""),"99")</f>
        <v>99</v>
      </c>
      <c r="C8288" s="5" t="str">
        <f>IFERROR(__xludf.DUMMYFUNCTION("""COMPUTED_VALUE"""),"https://drive.google.com/file/d/1iYV7eEVW9CoIab2MTFSdmLHNIH3wYkhE/view?usp=drivesdk")</f>
        <v>https://drive.google.com/file/d/1iYV7eEVW9CoIab2MTFSdmLHNIH3wYkhE/view?usp=drivesdk</v>
      </c>
      <c r="D8288" s="12"/>
      <c r="E8288" s="11">
        <v>8337.0</v>
      </c>
      <c r="F8288" s="2"/>
    </row>
    <row r="8289" ht="1.5" customHeight="1">
      <c r="A8289" s="4" t="str">
        <f>IFERROR(__xludf.DUMMYFUNCTION("""COMPUTED_VALUE"""),"111. Mayatl")</f>
        <v>111. Mayatl</v>
      </c>
      <c r="B8289" s="4" t="str">
        <f>IFERROR(__xludf.DUMMYFUNCTION("""COMPUTED_VALUE"""),"111")</f>
        <v>111</v>
      </c>
      <c r="C8289" s="5" t="str">
        <f>IFERROR(__xludf.DUMMYFUNCTION("""COMPUTED_VALUE"""),"https://drive.google.com/file/d/17x5as8QIlDQsJvLlsy2YmSeyFnKvpE7C/view?usp=drivesdk")</f>
        <v>https://drive.google.com/file/d/17x5as8QIlDQsJvLlsy2YmSeyFnKvpE7C/view?usp=drivesdk</v>
      </c>
      <c r="D8289" s="12"/>
      <c r="E8289" s="11">
        <v>8338.0</v>
      </c>
      <c r="F8289" s="2"/>
    </row>
    <row r="8290" ht="1.5" customHeight="1">
      <c r="A8290" s="4" t="str">
        <f>IFERROR(__xludf.DUMMYFUNCTION("""COMPUTED_VALUE"""),"105. Chilton")</f>
        <v>105. Chilton</v>
      </c>
      <c r="B8290" s="4" t="str">
        <f>IFERROR(__xludf.DUMMYFUNCTION("""COMPUTED_VALUE"""),"105")</f>
        <v>105</v>
      </c>
      <c r="C8290" s="5" t="str">
        <f>IFERROR(__xludf.DUMMYFUNCTION("""COMPUTED_VALUE"""),"https://drive.google.com/file/d/1fylCXPFk-FwkuKGGJZDfg0oPClOB3lXA/view?usp=drivesdk")</f>
        <v>https://drive.google.com/file/d/1fylCXPFk-FwkuKGGJZDfg0oPClOB3lXA/view?usp=drivesdk</v>
      </c>
      <c r="D8290" s="12"/>
      <c r="E8290" s="11">
        <v>8339.0</v>
      </c>
      <c r="F8290" s="2"/>
    </row>
    <row r="8291" ht="1.5" customHeight="1">
      <c r="A8291" s="4" t="str">
        <f>IFERROR(__xludf.DUMMYFUNCTION("""COMPUTED_VALUE"""),"106. Ami")</f>
        <v>106. Ami</v>
      </c>
      <c r="B8291" s="4" t="str">
        <f>IFERROR(__xludf.DUMMYFUNCTION("""COMPUTED_VALUE"""),"106")</f>
        <v>106</v>
      </c>
      <c r="C8291" s="5" t="str">
        <f>IFERROR(__xludf.DUMMYFUNCTION("""COMPUTED_VALUE"""),"https://drive.google.com/file/d/12oM1mGaVKod1yExmmk_pNqAcfs6leLtT/view?usp=drivesdk")</f>
        <v>https://drive.google.com/file/d/12oM1mGaVKod1yExmmk_pNqAcfs6leLtT/view?usp=drivesdk</v>
      </c>
      <c r="D8291" s="12"/>
      <c r="E8291" s="11">
        <v>8340.0</v>
      </c>
      <c r="F8291" s="2"/>
    </row>
    <row r="8292" ht="1.5" customHeight="1">
      <c r="A8292" s="4" t="str">
        <f>IFERROR(__xludf.DUMMYFUNCTION("""COMPUTED_VALUE"""),"30. Pepper")</f>
        <v>30. Pepper</v>
      </c>
      <c r="B8292" s="4" t="str">
        <f>IFERROR(__xludf.DUMMYFUNCTION("""COMPUTED_VALUE"""),"30")</f>
        <v>30</v>
      </c>
      <c r="C8292" s="5" t="str">
        <f>IFERROR(__xludf.DUMMYFUNCTION("""COMPUTED_VALUE"""),"https://drive.google.com/file/d/1BNCjg437sRG-TWafmizpwa8DHrhhyLzr/view?usp=drivesdk")</f>
        <v>https://drive.google.com/file/d/1BNCjg437sRG-TWafmizpwa8DHrhhyLzr/view?usp=drivesdk</v>
      </c>
      <c r="D8292" s="12"/>
      <c r="E8292" s="11">
        <v>8341.0</v>
      </c>
      <c r="F8292" s="2"/>
    </row>
    <row r="8293" ht="1.5" customHeight="1">
      <c r="A8293" s="4" t="str">
        <f>IFERROR(__xludf.DUMMYFUNCTION("""COMPUTED_VALUE"""),"111. Mayatl, 106. Ami")</f>
        <v>111. Mayatl, 106. Ami</v>
      </c>
      <c r="B8293" s="4" t="str">
        <f>IFERROR(__xludf.DUMMYFUNCTION("""COMPUTED_VALUE"""),"111, 106")</f>
        <v>111, 106</v>
      </c>
      <c r="C8293" s="5" t="str">
        <f>IFERROR(__xludf.DUMMYFUNCTION("""COMPUTED_VALUE"""),"https://drive.google.com/file/d/1UNQn0ayIchND9sVNsptxkWXZ_5aeZQtB/view?usp=drivesdk")</f>
        <v>https://drive.google.com/file/d/1UNQn0ayIchND9sVNsptxkWXZ_5aeZQtB/view?usp=drivesdk</v>
      </c>
      <c r="D8293" s="12"/>
      <c r="E8293" s="11">
        <v>8342.0</v>
      </c>
      <c r="F8293" s="2"/>
    </row>
    <row r="8294" ht="1.5" customHeight="1">
      <c r="A8294" s="4" t="str">
        <f>IFERROR(__xludf.DUMMYFUNCTION("""COMPUTED_VALUE"""),"111. Mayatl")</f>
        <v>111. Mayatl</v>
      </c>
      <c r="B8294" s="4" t="str">
        <f>IFERROR(__xludf.DUMMYFUNCTION("""COMPUTED_VALUE"""),"111")</f>
        <v>111</v>
      </c>
      <c r="C8294" s="5" t="str">
        <f>IFERROR(__xludf.DUMMYFUNCTION("""COMPUTED_VALUE"""),"https://drive.google.com/file/d/15RHDBeDMaiV1_NFLvxCcYho5yZHJjPjg/view?usp=drivesdk")</f>
        <v>https://drive.google.com/file/d/15RHDBeDMaiV1_NFLvxCcYho5yZHJjPjg/view?usp=drivesdk</v>
      </c>
      <c r="D8294" s="12"/>
      <c r="E8294" s="11">
        <v>8343.0</v>
      </c>
      <c r="F8294" s="2"/>
    </row>
    <row r="8295" ht="1.5" customHeight="1">
      <c r="A8295" s="4" t="str">
        <f>IFERROR(__xludf.DUMMYFUNCTION("""COMPUTED_VALUE"""),"106. Ami")</f>
        <v>106. Ami</v>
      </c>
      <c r="B8295" s="4" t="str">
        <f>IFERROR(__xludf.DUMMYFUNCTION("""COMPUTED_VALUE"""),"106")</f>
        <v>106</v>
      </c>
      <c r="C8295" s="5" t="str">
        <f>IFERROR(__xludf.DUMMYFUNCTION("""COMPUTED_VALUE"""),"https://drive.google.com/file/d/1rEXyvP-C4f58kfxv3aeq5xs__c5ZtyVT/view?usp=drivesdk")</f>
        <v>https://drive.google.com/file/d/1rEXyvP-C4f58kfxv3aeq5xs__c5ZtyVT/view?usp=drivesdk</v>
      </c>
      <c r="D8295" s="12"/>
      <c r="E8295" s="11">
        <v>8344.0</v>
      </c>
      <c r="F8295" s="2"/>
    </row>
    <row r="8296" ht="1.5" customHeight="1">
      <c r="A8296" s="4" t="str">
        <f>IFERROR(__xludf.DUMMYFUNCTION("""COMPUTED_VALUE"""),"106. Ami")</f>
        <v>106. Ami</v>
      </c>
      <c r="B8296" s="4" t="str">
        <f>IFERROR(__xludf.DUMMYFUNCTION("""COMPUTED_VALUE"""),"106")</f>
        <v>106</v>
      </c>
      <c r="C8296" s="5" t="str">
        <f>IFERROR(__xludf.DUMMYFUNCTION("""COMPUTED_VALUE"""),"https://drive.google.com/file/d/1kyE49ZwahHKNtnWbM7AsmglVf0epYC94/view?usp=drivesdk")</f>
        <v>https://drive.google.com/file/d/1kyE49ZwahHKNtnWbM7AsmglVf0epYC94/view?usp=drivesdk</v>
      </c>
      <c r="D8296" s="12"/>
      <c r="E8296" s="11">
        <v>8345.0</v>
      </c>
      <c r="F8296" s="2"/>
    </row>
    <row r="8297" ht="1.5" customHeight="1">
      <c r="A8297" s="4" t="str">
        <f>IFERROR(__xludf.DUMMYFUNCTION("""COMPUTED_VALUE"""),"109. Tlalli")</f>
        <v>109. Tlalli</v>
      </c>
      <c r="B8297" s="4" t="str">
        <f>IFERROR(__xludf.DUMMYFUNCTION("""COMPUTED_VALUE"""),"109")</f>
        <v>109</v>
      </c>
      <c r="C8297" s="5" t="str">
        <f>IFERROR(__xludf.DUMMYFUNCTION("""COMPUTED_VALUE"""),"https://drive.google.com/file/d/1rMrj1JbhRt9a3p2vXcKtkKWOBpDAHdEG/view?usp=drivesdk")</f>
        <v>https://drive.google.com/file/d/1rMrj1JbhRt9a3p2vXcKtkKWOBpDAHdEG/view?usp=drivesdk</v>
      </c>
      <c r="D8297" s="12"/>
      <c r="E8297" s="11">
        <v>8346.0</v>
      </c>
      <c r="F8297" s="2"/>
    </row>
    <row r="8298" ht="1.5" customHeight="1">
      <c r="A8298" s="4" t="str">
        <f>IFERROR(__xludf.DUMMYFUNCTION("""COMPUTED_VALUE"""),"105. Chilton")</f>
        <v>105. Chilton</v>
      </c>
      <c r="B8298" s="4" t="str">
        <f>IFERROR(__xludf.DUMMYFUNCTION("""COMPUTED_VALUE"""),"105")</f>
        <v>105</v>
      </c>
      <c r="C8298" s="5" t="str">
        <f>IFERROR(__xludf.DUMMYFUNCTION("""COMPUTED_VALUE"""),"https://drive.google.com/file/d/1kzj0hA4ZyXehE_dZCKS9nOYqXMGqguZ0/view?usp=drivesdk")</f>
        <v>https://drive.google.com/file/d/1kzj0hA4ZyXehE_dZCKS9nOYqXMGqguZ0/view?usp=drivesdk</v>
      </c>
      <c r="D8298" s="12"/>
      <c r="E8298" s="11">
        <v>8347.0</v>
      </c>
      <c r="F8298" s="2"/>
    </row>
    <row r="8299" ht="1.5" customHeight="1">
      <c r="A8299" s="4" t="str">
        <f>IFERROR(__xludf.DUMMYFUNCTION("""COMPUTED_VALUE"""),"108. Mazatl")</f>
        <v>108. Mazatl</v>
      </c>
      <c r="B8299" s="4" t="str">
        <f>IFERROR(__xludf.DUMMYFUNCTION("""COMPUTED_VALUE"""),"108")</f>
        <v>108</v>
      </c>
      <c r="C8299" s="5" t="str">
        <f>IFERROR(__xludf.DUMMYFUNCTION("""COMPUTED_VALUE"""),"https://drive.google.com/file/d/1kIJ9Iqh-_spOjYODOY6Vp1igHBaatHKP/view?usp=drivesdk")</f>
        <v>https://drive.google.com/file/d/1kIJ9Iqh-_spOjYODOY6Vp1igHBaatHKP/view?usp=drivesdk</v>
      </c>
      <c r="D8299" s="12"/>
      <c r="E8299" s="11">
        <v>8348.0</v>
      </c>
      <c r="F8299" s="2"/>
    </row>
    <row r="8300" ht="1.5" customHeight="1">
      <c r="A8300" s="4" t="str">
        <f>IFERROR(__xludf.DUMMYFUNCTION("""COMPUTED_VALUE"""),"108. Mazatl")</f>
        <v>108. Mazatl</v>
      </c>
      <c r="B8300" s="4" t="str">
        <f>IFERROR(__xludf.DUMMYFUNCTION("""COMPUTED_VALUE"""),"108")</f>
        <v>108</v>
      </c>
      <c r="C8300" s="5" t="str">
        <f>IFERROR(__xludf.DUMMYFUNCTION("""COMPUTED_VALUE"""),"https://drive.google.com/file/d/1zl78se0QrxlHGlpThC3V-dgKf9iM_XO1/view?usp=drivesdk")</f>
        <v>https://drive.google.com/file/d/1zl78se0QrxlHGlpThC3V-dgKf9iM_XO1/view?usp=drivesdk</v>
      </c>
      <c r="D8300" s="12"/>
      <c r="E8300" s="11">
        <v>8349.0</v>
      </c>
      <c r="F8300" s="2"/>
    </row>
    <row r="8301" ht="1.5" customHeight="1">
      <c r="A8301" s="4" t="str">
        <f>IFERROR(__xludf.DUMMYFUNCTION("""COMPUTED_VALUE"""),"109. Tlalli")</f>
        <v>109. Tlalli</v>
      </c>
      <c r="B8301" s="4" t="str">
        <f>IFERROR(__xludf.DUMMYFUNCTION("""COMPUTED_VALUE"""),"109")</f>
        <v>109</v>
      </c>
      <c r="C8301" s="5" t="str">
        <f>IFERROR(__xludf.DUMMYFUNCTION("""COMPUTED_VALUE"""),"https://drive.google.com/file/d/1LFQWx3lM8ltYUboqMt0fxC5iZKQoFp03/view?usp=drivesdk")</f>
        <v>https://drive.google.com/file/d/1LFQWx3lM8ltYUboqMt0fxC5iZKQoFp03/view?usp=drivesdk</v>
      </c>
      <c r="D8301" s="12"/>
      <c r="E8301" s="11">
        <v>8350.0</v>
      </c>
      <c r="F8301" s="2"/>
    </row>
    <row r="8302" ht="1.5" customHeight="1">
      <c r="A8302" s="4" t="str">
        <f>IFERROR(__xludf.DUMMYFUNCTION("""COMPUTED_VALUE"""),"109. Tlalli")</f>
        <v>109. Tlalli</v>
      </c>
      <c r="B8302" s="4" t="str">
        <f>IFERROR(__xludf.DUMMYFUNCTION("""COMPUTED_VALUE"""),"109")</f>
        <v>109</v>
      </c>
      <c r="C8302" s="5" t="str">
        <f>IFERROR(__xludf.DUMMYFUNCTION("""COMPUTED_VALUE"""),"https://drive.google.com/file/d/1MmUxzwmgP34xBOIQePS8ufWSnHzyaU82/view?usp=drivesdk")</f>
        <v>https://drive.google.com/file/d/1MmUxzwmgP34xBOIQePS8ufWSnHzyaU82/view?usp=drivesdk</v>
      </c>
      <c r="D8302" s="12"/>
      <c r="E8302" s="11">
        <v>8351.0</v>
      </c>
      <c r="F8302" s="2"/>
    </row>
    <row r="8303" ht="1.5" customHeight="1">
      <c r="A8303" s="4" t="str">
        <f>IFERROR(__xludf.DUMMYFUNCTION("""COMPUTED_VALUE"""),"1. Microwave")</f>
        <v>1. Microwave</v>
      </c>
      <c r="B8303" s="4" t="str">
        <f>IFERROR(__xludf.DUMMYFUNCTION("""COMPUTED_VALUE"""),"1")</f>
        <v>1</v>
      </c>
      <c r="C8303" s="5" t="str">
        <f>IFERROR(__xludf.DUMMYFUNCTION("""COMPUTED_VALUE"""),"https://drive.google.com/file/d/1Ta3BY3EEu7LLvN3LKBS3IHXJQvpqMIsX/view?usp=drivesdk")</f>
        <v>https://drive.google.com/file/d/1Ta3BY3EEu7LLvN3LKBS3IHXJQvpqMIsX/view?usp=drivesdk</v>
      </c>
      <c r="D8303" s="12"/>
      <c r="E8303" s="11">
        <v>8352.0</v>
      </c>
      <c r="F8303" s="2"/>
    </row>
    <row r="8304" ht="1.5" customHeight="1">
      <c r="A8304" s="4" t="str">
        <f>IFERROR(__xludf.DUMMYFUNCTION("""COMPUTED_VALUE"""),"1. Microwave")</f>
        <v>1. Microwave</v>
      </c>
      <c r="B8304" s="4" t="str">
        <f>IFERROR(__xludf.DUMMYFUNCTION("""COMPUTED_VALUE"""),"1")</f>
        <v>1</v>
      </c>
      <c r="C8304" s="5" t="str">
        <f>IFERROR(__xludf.DUMMYFUNCTION("""COMPUTED_VALUE"""),"https://drive.google.com/file/d/17OVDdD2avcUZeLKJv6t9Nk_NfjjcG9ou/view?usp=drivesdk")</f>
        <v>https://drive.google.com/file/d/17OVDdD2avcUZeLKJv6t9Nk_NfjjcG9ou/view?usp=drivesdk</v>
      </c>
      <c r="D8304" s="12"/>
      <c r="E8304" s="11">
        <v>8353.0</v>
      </c>
      <c r="F8304" s="2"/>
    </row>
    <row r="8305" ht="1.5" customHeight="1">
      <c r="A8305" s="4" t="str">
        <f>IFERROR(__xludf.DUMMYFUNCTION("""COMPUTED_VALUE"""),"1. Microwave")</f>
        <v>1. Microwave</v>
      </c>
      <c r="B8305" s="4" t="str">
        <f>IFERROR(__xludf.DUMMYFUNCTION("""COMPUTED_VALUE"""),"1")</f>
        <v>1</v>
      </c>
      <c r="C8305" s="5" t="str">
        <f>IFERROR(__xludf.DUMMYFUNCTION("""COMPUTED_VALUE"""),"https://drive.google.com/file/d/1hY64Lrbl0GB08k-cKGE0vIYx2P-KOVly/view?usp=drivesdk")</f>
        <v>https://drive.google.com/file/d/1hY64Lrbl0GB08k-cKGE0vIYx2P-KOVly/view?usp=drivesdk</v>
      </c>
      <c r="D8305" s="12"/>
      <c r="E8305" s="11">
        <v>8354.0</v>
      </c>
      <c r="F8305" s="2"/>
    </row>
    <row r="8306" ht="1.5" customHeight="1">
      <c r="A8306" s="4" t="str">
        <f>IFERROR(__xludf.DUMMYFUNCTION("""COMPUTED_VALUE"""),"97.  Simba")</f>
        <v>97.  Simba</v>
      </c>
      <c r="B8306" s="4" t="str">
        <f>IFERROR(__xludf.DUMMYFUNCTION("""COMPUTED_VALUE"""),"97")</f>
        <v>97</v>
      </c>
      <c r="C8306" s="5" t="str">
        <f>IFERROR(__xludf.DUMMYFUNCTION("""COMPUTED_VALUE"""),"https://drive.google.com/file/d/1RHcYpoalYuMVaXxP_ZxBE1rrvD8netEl/view?usp=drivesdk")</f>
        <v>https://drive.google.com/file/d/1RHcYpoalYuMVaXxP_ZxBE1rrvD8netEl/view?usp=drivesdk</v>
      </c>
      <c r="D8306" s="12"/>
      <c r="E8306" s="11">
        <v>8355.0</v>
      </c>
      <c r="F8306" s="2"/>
    </row>
    <row r="8307" ht="1.5" customHeight="1">
      <c r="A8307" s="4" t="str">
        <f>IFERROR(__xludf.DUMMYFUNCTION("""COMPUTED_VALUE"""),"1. Microwave")</f>
        <v>1. Microwave</v>
      </c>
      <c r="B8307" s="4" t="str">
        <f>IFERROR(__xludf.DUMMYFUNCTION("""COMPUTED_VALUE"""),"1")</f>
        <v>1</v>
      </c>
      <c r="C8307" s="5" t="str">
        <f>IFERROR(__xludf.DUMMYFUNCTION("""COMPUTED_VALUE"""),"https://drive.google.com/file/d/1NgNLUaZ3KkjYJxQu1Y5f6l4iKcqbKyLS/view?usp=drivesdk")</f>
        <v>https://drive.google.com/file/d/1NgNLUaZ3KkjYJxQu1Y5f6l4iKcqbKyLS/view?usp=drivesdk</v>
      </c>
      <c r="D8307" s="12"/>
      <c r="E8307" s="11">
        <v>8356.0</v>
      </c>
      <c r="F8307" s="2"/>
    </row>
    <row r="8308" ht="1.5" customHeight="1">
      <c r="A8308" s="4" t="str">
        <f>IFERROR(__xludf.DUMMYFUNCTION("""COMPUTED_VALUE"""),"1. Microwave")</f>
        <v>1. Microwave</v>
      </c>
      <c r="B8308" s="4" t="str">
        <f>IFERROR(__xludf.DUMMYFUNCTION("""COMPUTED_VALUE"""),"1")</f>
        <v>1</v>
      </c>
      <c r="C8308" s="5" t="str">
        <f>IFERROR(__xludf.DUMMYFUNCTION("""COMPUTED_VALUE"""),"https://drive.google.com/file/d/1PhVDCUv1zrDGj13suAStsQUdtA9EpJMI/view?usp=drivesdk")</f>
        <v>https://drive.google.com/file/d/1PhVDCUv1zrDGj13suAStsQUdtA9EpJMI/view?usp=drivesdk</v>
      </c>
      <c r="D8308" s="12"/>
      <c r="E8308" s="11">
        <v>8357.0</v>
      </c>
      <c r="F8308" s="2"/>
    </row>
    <row r="8309" ht="1.5" customHeight="1">
      <c r="A8309" s="4" t="str">
        <f>IFERROR(__xludf.DUMMYFUNCTION("""COMPUTED_VALUE"""),"1. Microwave")</f>
        <v>1. Microwave</v>
      </c>
      <c r="B8309" s="4" t="str">
        <f>IFERROR(__xludf.DUMMYFUNCTION("""COMPUTED_VALUE"""),"1")</f>
        <v>1</v>
      </c>
      <c r="C8309" s="5" t="str">
        <f>IFERROR(__xludf.DUMMYFUNCTION("""COMPUTED_VALUE"""),"https://drive.google.com/file/d/1C5O97U40LS5viWDzARu9kNvXTLWuAJoM/view?usp=drivesdk")</f>
        <v>https://drive.google.com/file/d/1C5O97U40LS5viWDzARu9kNvXTLWuAJoM/view?usp=drivesdk</v>
      </c>
      <c r="D8309" s="12"/>
      <c r="E8309" s="11">
        <v>8358.0</v>
      </c>
      <c r="F8309" s="2"/>
    </row>
    <row r="8310" ht="1.5" customHeight="1">
      <c r="A8310" s="4" t="str">
        <f>IFERROR(__xludf.DUMMYFUNCTION("""COMPUTED_VALUE"""),"1. Microwave")</f>
        <v>1. Microwave</v>
      </c>
      <c r="B8310" s="4" t="str">
        <f>IFERROR(__xludf.DUMMYFUNCTION("""COMPUTED_VALUE"""),"1")</f>
        <v>1</v>
      </c>
      <c r="C8310" s="5" t="str">
        <f>IFERROR(__xludf.DUMMYFUNCTION("""COMPUTED_VALUE"""),"https://drive.google.com/file/d/146ktMOcNLig32cY8y15eNcr7iDy6LoPb/view?usp=drivesdk")</f>
        <v>https://drive.google.com/file/d/146ktMOcNLig32cY8y15eNcr7iDy6LoPb/view?usp=drivesdk</v>
      </c>
      <c r="D8310" s="12"/>
      <c r="E8310" s="11">
        <v>8359.0</v>
      </c>
      <c r="F8310" s="2"/>
    </row>
    <row r="8311" ht="1.5" customHeight="1">
      <c r="A8311" s="4" t="str">
        <f>IFERROR(__xludf.DUMMYFUNCTION("""COMPUTED_VALUE"""),"1. Microwave")</f>
        <v>1. Microwave</v>
      </c>
      <c r="B8311" s="4" t="str">
        <f>IFERROR(__xludf.DUMMYFUNCTION("""COMPUTED_VALUE"""),"1")</f>
        <v>1</v>
      </c>
      <c r="C8311" s="5" t="str">
        <f>IFERROR(__xludf.DUMMYFUNCTION("""COMPUTED_VALUE"""),"https://drive.google.com/file/d/1UUqK2TEvvFWwU2MTF7uD_hCNWyWMpPQZ/view?usp=drivesdk")</f>
        <v>https://drive.google.com/file/d/1UUqK2TEvvFWwU2MTF7uD_hCNWyWMpPQZ/view?usp=drivesdk</v>
      </c>
      <c r="D8311" s="12"/>
      <c r="E8311" s="11">
        <v>8360.0</v>
      </c>
      <c r="F8311" s="2"/>
    </row>
    <row r="8312" ht="1.5" customHeight="1">
      <c r="A8312" s="4" t="str">
        <f>IFERROR(__xludf.DUMMYFUNCTION("""COMPUTED_VALUE"""),"1. Microwave")</f>
        <v>1. Microwave</v>
      </c>
      <c r="B8312" s="4" t="str">
        <f>IFERROR(__xludf.DUMMYFUNCTION("""COMPUTED_VALUE"""),"1")</f>
        <v>1</v>
      </c>
      <c r="C8312" s="5" t="str">
        <f>IFERROR(__xludf.DUMMYFUNCTION("""COMPUTED_VALUE"""),"https://drive.google.com/file/d/1F7hL1_L4k47CJpvBVYxLAkqanCbXz-u5/view?usp=drivesdk")</f>
        <v>https://drive.google.com/file/d/1F7hL1_L4k47CJpvBVYxLAkqanCbXz-u5/view?usp=drivesdk</v>
      </c>
      <c r="D8312" s="12"/>
      <c r="E8312" s="11">
        <v>8361.0</v>
      </c>
      <c r="F8312" s="2"/>
    </row>
    <row r="8313" ht="1.5" customHeight="1">
      <c r="A8313" s="4" t="str">
        <f>IFERROR(__xludf.DUMMYFUNCTION("""COMPUTED_VALUE"""),"1. Microwave")</f>
        <v>1. Microwave</v>
      </c>
      <c r="B8313" s="4" t="str">
        <f>IFERROR(__xludf.DUMMYFUNCTION("""COMPUTED_VALUE"""),"1")</f>
        <v>1</v>
      </c>
      <c r="C8313" s="5" t="str">
        <f>IFERROR(__xludf.DUMMYFUNCTION("""COMPUTED_VALUE"""),"https://drive.google.com/file/d/1XBqQjvlbHlLI9xGUAi-3H7Q8F-t9N01s/view?usp=drivesdk")</f>
        <v>https://drive.google.com/file/d/1XBqQjvlbHlLI9xGUAi-3H7Q8F-t9N01s/view?usp=drivesdk</v>
      </c>
      <c r="D8313" s="12"/>
      <c r="E8313" s="11">
        <v>8362.0</v>
      </c>
      <c r="F8313" s="2"/>
    </row>
    <row r="8314" ht="1.5" customHeight="1">
      <c r="A8314" s="4" t="str">
        <f>IFERROR(__xludf.DUMMYFUNCTION("""COMPUTED_VALUE"""),"1. Microwave")</f>
        <v>1. Microwave</v>
      </c>
      <c r="B8314" s="4" t="str">
        <f>IFERROR(__xludf.DUMMYFUNCTION("""COMPUTED_VALUE"""),"1")</f>
        <v>1</v>
      </c>
      <c r="C8314" s="5" t="str">
        <f>IFERROR(__xludf.DUMMYFUNCTION("""COMPUTED_VALUE"""),"https://drive.google.com/file/d/1ARrFE8_o2Y9vNe7tB0IoLDQMmmVqHUjj/view?usp=drivesdk")</f>
        <v>https://drive.google.com/file/d/1ARrFE8_o2Y9vNe7tB0IoLDQMmmVqHUjj/view?usp=drivesdk</v>
      </c>
      <c r="D8314" s="12"/>
      <c r="E8314" s="11">
        <v>8363.0</v>
      </c>
      <c r="F8314" s="2"/>
    </row>
    <row r="8315" ht="1.5" customHeight="1">
      <c r="A8315" s="4" t="str">
        <f>IFERROR(__xludf.DUMMYFUNCTION("""COMPUTED_VALUE"""),"1. Microwave")</f>
        <v>1. Microwave</v>
      </c>
      <c r="B8315" s="4" t="str">
        <f>IFERROR(__xludf.DUMMYFUNCTION("""COMPUTED_VALUE"""),"1")</f>
        <v>1</v>
      </c>
      <c r="C8315" s="5" t="str">
        <f>IFERROR(__xludf.DUMMYFUNCTION("""COMPUTED_VALUE"""),"https://drive.google.com/file/d/1RPf3AcKuJv6Bxtua9P1tgK1SP8M1XbJS/view?usp=drivesdk")</f>
        <v>https://drive.google.com/file/d/1RPf3AcKuJv6Bxtua9P1tgK1SP8M1XbJS/view?usp=drivesdk</v>
      </c>
      <c r="D8315" s="12"/>
      <c r="E8315" s="11">
        <v>8364.0</v>
      </c>
      <c r="F8315" s="2"/>
    </row>
    <row r="8316" ht="1.5" customHeight="1">
      <c r="A8316" s="4" t="str">
        <f>IFERROR(__xludf.DUMMYFUNCTION("""COMPUTED_VALUE"""),"2. Twix")</f>
        <v>2. Twix</v>
      </c>
      <c r="B8316" s="4" t="str">
        <f>IFERROR(__xludf.DUMMYFUNCTION("""COMPUTED_VALUE"""),"2")</f>
        <v>2</v>
      </c>
      <c r="C8316" s="5" t="str">
        <f>IFERROR(__xludf.DUMMYFUNCTION("""COMPUTED_VALUE"""),"https://drive.google.com/file/d/1iOHOwUgklu-l22J7kcOSsSLQaeciysBY/view?usp=drivesdk")</f>
        <v>https://drive.google.com/file/d/1iOHOwUgklu-l22J7kcOSsSLQaeciysBY/view?usp=drivesdk</v>
      </c>
      <c r="D8316" s="12"/>
      <c r="E8316" s="11">
        <v>8365.0</v>
      </c>
      <c r="F8316" s="2"/>
    </row>
    <row r="8317" ht="1.5" customHeight="1">
      <c r="A8317" s="4" t="str">
        <f>IFERROR(__xludf.DUMMYFUNCTION("""COMPUTED_VALUE"""),"1. Microwave")</f>
        <v>1. Microwave</v>
      </c>
      <c r="B8317" s="4" t="str">
        <f>IFERROR(__xludf.DUMMYFUNCTION("""COMPUTED_VALUE"""),"1")</f>
        <v>1</v>
      </c>
      <c r="C8317" s="5" t="str">
        <f>IFERROR(__xludf.DUMMYFUNCTION("""COMPUTED_VALUE"""),"https://drive.google.com/file/d/1Tp7qr_Jzx4VQZPT247JwyTLDgpcu2mMY/view?usp=drivesdk")</f>
        <v>https://drive.google.com/file/d/1Tp7qr_Jzx4VQZPT247JwyTLDgpcu2mMY/view?usp=drivesdk</v>
      </c>
      <c r="D8317" s="12"/>
      <c r="E8317" s="11">
        <v>8366.0</v>
      </c>
      <c r="F8317" s="2"/>
    </row>
    <row r="8318" ht="1.5" customHeight="1">
      <c r="A8318" s="4" t="str">
        <f>IFERROR(__xludf.DUMMYFUNCTION("""COMPUTED_VALUE"""),"1. Microwave")</f>
        <v>1. Microwave</v>
      </c>
      <c r="B8318" s="4" t="str">
        <f>IFERROR(__xludf.DUMMYFUNCTION("""COMPUTED_VALUE"""),"1")</f>
        <v>1</v>
      </c>
      <c r="C8318" s="5" t="str">
        <f>IFERROR(__xludf.DUMMYFUNCTION("""COMPUTED_VALUE"""),"https://drive.google.com/file/d/1vS0CjZMvhQlCuFRszYlOE942OqArWMDB/view?usp=drivesdk")</f>
        <v>https://drive.google.com/file/d/1vS0CjZMvhQlCuFRszYlOE942OqArWMDB/view?usp=drivesdk</v>
      </c>
      <c r="D8318" s="12"/>
      <c r="E8318" s="11">
        <v>8367.0</v>
      </c>
      <c r="F8318" s="2"/>
    </row>
    <row r="8319" ht="1.5" customHeight="1">
      <c r="A8319" s="4" t="str">
        <f>IFERROR(__xludf.DUMMYFUNCTION("""COMPUTED_VALUE"""),"52. Voidling")</f>
        <v>52. Voidling</v>
      </c>
      <c r="B8319" s="4" t="str">
        <f>IFERROR(__xludf.DUMMYFUNCTION("""COMPUTED_VALUE"""),"52")</f>
        <v>52</v>
      </c>
      <c r="C8319" s="5" t="str">
        <f>IFERROR(__xludf.DUMMYFUNCTION("""COMPUTED_VALUE"""),"https://drive.google.com/file/d/18TdJ8hoaMQuDhrjlCLG3QnPC-l2kw8Q4/view?usp=drivesdk")</f>
        <v>https://drive.google.com/file/d/18TdJ8hoaMQuDhrjlCLG3QnPC-l2kw8Q4/view?usp=drivesdk</v>
      </c>
      <c r="D8319" s="12"/>
      <c r="E8319" s="11">
        <v>8368.0</v>
      </c>
      <c r="F8319" s="2"/>
    </row>
    <row r="8320" ht="1.5" customHeight="1">
      <c r="A8320" s="4" t="str">
        <f>IFERROR(__xludf.DUMMYFUNCTION("""COMPUTED_VALUE"""),"52. Voidling")</f>
        <v>52. Voidling</v>
      </c>
      <c r="B8320" s="4" t="str">
        <f>IFERROR(__xludf.DUMMYFUNCTION("""COMPUTED_VALUE"""),"52")</f>
        <v>52</v>
      </c>
      <c r="C8320" s="5" t="str">
        <f>IFERROR(__xludf.DUMMYFUNCTION("""COMPUTED_VALUE"""),"https://drive.google.com/file/d/1pYLv3zNIbSk5_mEg3UTbyAzYl2vqlyvj/view?usp=drivesdk")</f>
        <v>https://drive.google.com/file/d/1pYLv3zNIbSk5_mEg3UTbyAzYl2vqlyvj/view?usp=drivesdk</v>
      </c>
      <c r="D8320" s="12"/>
      <c r="E8320" s="11">
        <v>8369.0</v>
      </c>
      <c r="F8320" s="2"/>
    </row>
    <row r="8321" ht="1.5" customHeight="1">
      <c r="A8321" s="4" t="str">
        <f>IFERROR(__xludf.DUMMYFUNCTION("""COMPUTED_VALUE"""),"52. Voidling")</f>
        <v>52. Voidling</v>
      </c>
      <c r="B8321" s="4" t="str">
        <f>IFERROR(__xludf.DUMMYFUNCTION("""COMPUTED_VALUE"""),"52")</f>
        <v>52</v>
      </c>
      <c r="C8321" s="5" t="str">
        <f>IFERROR(__xludf.DUMMYFUNCTION("""COMPUTED_VALUE"""),"https://drive.google.com/file/d/1-fUWxDCxWN8eZH7dRlynGX2jgTxkfW5o/view?usp=drivesdk")</f>
        <v>https://drive.google.com/file/d/1-fUWxDCxWN8eZH7dRlynGX2jgTxkfW5o/view?usp=drivesdk</v>
      </c>
      <c r="D8321" s="12"/>
      <c r="E8321" s="11">
        <v>8370.0</v>
      </c>
      <c r="F8321" s="2"/>
    </row>
    <row r="8322" ht="1.5" customHeight="1">
      <c r="A8322" s="4" t="str">
        <f>IFERROR(__xludf.DUMMYFUNCTION("""COMPUTED_VALUE"""),"17. Bobbie")</f>
        <v>17. Bobbie</v>
      </c>
      <c r="B8322" s="4" t="str">
        <f>IFERROR(__xludf.DUMMYFUNCTION("""COMPUTED_VALUE"""),"17")</f>
        <v>17</v>
      </c>
      <c r="C8322" s="5" t="str">
        <f>IFERROR(__xludf.DUMMYFUNCTION("""COMPUTED_VALUE"""),"https://drive.google.com/file/d/1Prt_gMWDIRNWuOSDosLKvCkWlLrW0LWm/view?usp=drivesdk")</f>
        <v>https://drive.google.com/file/d/1Prt_gMWDIRNWuOSDosLKvCkWlLrW0LWm/view?usp=drivesdk</v>
      </c>
      <c r="D8322" s="12"/>
      <c r="E8322" s="11">
        <v>8371.0</v>
      </c>
      <c r="F8322" s="2"/>
    </row>
    <row r="8323" ht="1.5" customHeight="1">
      <c r="A8323" s="4" t="str">
        <f>IFERROR(__xludf.DUMMYFUNCTION("""COMPUTED_VALUE"""),"105. Chilton")</f>
        <v>105. Chilton</v>
      </c>
      <c r="B8323" s="4" t="str">
        <f>IFERROR(__xludf.DUMMYFUNCTION("""COMPUTED_VALUE"""),"105")</f>
        <v>105</v>
      </c>
      <c r="C8323" s="5" t="str">
        <f>IFERROR(__xludf.DUMMYFUNCTION("""COMPUTED_VALUE"""),"https://drive.google.com/file/d/1FNfWogyTFG5K8jcE3OxSMIdy5B7KfpF3/view?usp=drivesdk")</f>
        <v>https://drive.google.com/file/d/1FNfWogyTFG5K8jcE3OxSMIdy5B7KfpF3/view?usp=drivesdk</v>
      </c>
      <c r="D8323" s="12"/>
      <c r="E8323" s="11">
        <v>8372.0</v>
      </c>
      <c r="F8323" s="2"/>
    </row>
    <row r="8324" ht="1.5" customHeight="1">
      <c r="A8324" s="4" t="str">
        <f>IFERROR(__xludf.DUMMYFUNCTION("""COMPUTED_VALUE"""),"17. Bobbie")</f>
        <v>17. Bobbie</v>
      </c>
      <c r="B8324" s="4" t="str">
        <f>IFERROR(__xludf.DUMMYFUNCTION("""COMPUTED_VALUE"""),"17")</f>
        <v>17</v>
      </c>
      <c r="C8324" s="5" t="str">
        <f>IFERROR(__xludf.DUMMYFUNCTION("""COMPUTED_VALUE"""),"https://drive.google.com/file/d/1wdL56vyHTmM7l1jYwSRGfEy7W3ZGIgpm/view?usp=drivesdk")</f>
        <v>https://drive.google.com/file/d/1wdL56vyHTmM7l1jYwSRGfEy7W3ZGIgpm/view?usp=drivesdk</v>
      </c>
      <c r="D8324" s="12"/>
      <c r="E8324" s="11">
        <v>8373.0</v>
      </c>
      <c r="F8324" s="2"/>
    </row>
    <row r="8325" ht="1.5" customHeight="1">
      <c r="A8325" s="4" t="str">
        <f>IFERROR(__xludf.DUMMYFUNCTION("""COMPUTED_VALUE"""),"100. Coatl")</f>
        <v>100. Coatl</v>
      </c>
      <c r="B8325" s="4" t="str">
        <f>IFERROR(__xludf.DUMMYFUNCTION("""COMPUTED_VALUE"""),"100")</f>
        <v>100</v>
      </c>
      <c r="C8325" s="5" t="str">
        <f>IFERROR(__xludf.DUMMYFUNCTION("""COMPUTED_VALUE"""),"https://drive.google.com/file/d/1Eq15thaK36keXoI05aMkrZdtXHhCREe1/view?usp=drivesdk")</f>
        <v>https://drive.google.com/file/d/1Eq15thaK36keXoI05aMkrZdtXHhCREe1/view?usp=drivesdk</v>
      </c>
      <c r="D8325" s="12"/>
      <c r="E8325" s="11">
        <v>8374.0</v>
      </c>
      <c r="F8325" s="2"/>
    </row>
    <row r="8326" ht="1.5" customHeight="1">
      <c r="A8326" s="4" t="str">
        <f>IFERROR(__xludf.DUMMYFUNCTION("""COMPUTED_VALUE"""),"17. Bobbie, 100. Coatl, 126. Tax Evasion")</f>
        <v>17. Bobbie, 100. Coatl, 126. Tax Evasion</v>
      </c>
      <c r="B8326" s="4" t="str">
        <f>IFERROR(__xludf.DUMMYFUNCTION("""COMPUTED_VALUE"""),"17, 100, 126")</f>
        <v>17, 100, 126</v>
      </c>
      <c r="C8326" s="5" t="str">
        <f>IFERROR(__xludf.DUMMYFUNCTION("""COMPUTED_VALUE"""),"https://drive.google.com/file/d/1HUxnT9DoOEsNMkM8FinwCCX2Gr1IZrES/view?usp=drivesdk")</f>
        <v>https://drive.google.com/file/d/1HUxnT9DoOEsNMkM8FinwCCX2Gr1IZrES/view?usp=drivesdk</v>
      </c>
      <c r="D8326" s="12"/>
      <c r="E8326" s="11">
        <v>8375.0</v>
      </c>
      <c r="F8326" s="2"/>
    </row>
    <row r="8327" ht="1.5" customHeight="1">
      <c r="A8327" s="4" t="str">
        <f>IFERROR(__xludf.DUMMYFUNCTION("""COMPUTED_VALUE"""),"17. Bobbie, 100. Coatl, 126. Tax Evasion")</f>
        <v>17. Bobbie, 100. Coatl, 126. Tax Evasion</v>
      </c>
      <c r="B8327" s="4" t="str">
        <f>IFERROR(__xludf.DUMMYFUNCTION("""COMPUTED_VALUE"""),"17, 100, 126")</f>
        <v>17, 100, 126</v>
      </c>
      <c r="C8327" s="5" t="str">
        <f>IFERROR(__xludf.DUMMYFUNCTION("""COMPUTED_VALUE"""),"https://drive.google.com/file/d/12gD4UQD4RSu2EMtknlrsnPidYCA2qDMt/view?usp=drivesdk")</f>
        <v>https://drive.google.com/file/d/12gD4UQD4RSu2EMtknlrsnPidYCA2qDMt/view?usp=drivesdk</v>
      </c>
      <c r="D8327" s="12"/>
      <c r="E8327" s="11">
        <v>8376.0</v>
      </c>
      <c r="F8327" s="2"/>
    </row>
    <row r="8328" ht="1.5" customHeight="1">
      <c r="A8328" s="4" t="str">
        <f>IFERROR(__xludf.DUMMYFUNCTION("""COMPUTED_VALUE"""),"127. Eleanor, 142. Teddy, 140. Gordon, 143. Timothy, 102. Keaton")</f>
        <v>127. Eleanor, 142. Teddy, 140. Gordon, 143. Timothy, 102. Keaton</v>
      </c>
      <c r="B8328" s="4" t="str">
        <f>IFERROR(__xludf.DUMMYFUNCTION("""COMPUTED_VALUE"""),"127, 142, 140, 143, 102")</f>
        <v>127, 142, 140, 143, 102</v>
      </c>
      <c r="C8328" s="5" t="str">
        <f>IFERROR(__xludf.DUMMYFUNCTION("""COMPUTED_VALUE"""),"https://drive.google.com/file/d/1hdiz_9f1AxqFDwpOPnhfjt_I4r8FZu_o/view?usp=drivesdk")</f>
        <v>https://drive.google.com/file/d/1hdiz_9f1AxqFDwpOPnhfjt_I4r8FZu_o/view?usp=drivesdk</v>
      </c>
      <c r="D8328" s="12"/>
      <c r="E8328" s="11">
        <v>8377.0</v>
      </c>
      <c r="F8328" s="2"/>
    </row>
    <row r="8329" ht="1.5" customHeight="1">
      <c r="A8329" s="4" t="str">
        <f>IFERROR(__xludf.DUMMYFUNCTION("""COMPUTED_VALUE"""),"142. Teddy, 140. Gordon, 143. Timothy, 102. Keaton, 127. Eleanor")</f>
        <v>142. Teddy, 140. Gordon, 143. Timothy, 102. Keaton, 127. Eleanor</v>
      </c>
      <c r="B8329" s="4" t="str">
        <f>IFERROR(__xludf.DUMMYFUNCTION("""COMPUTED_VALUE"""),"142, 140, 143, 102, 127")</f>
        <v>142, 140, 143, 102, 127</v>
      </c>
      <c r="C8329" s="5" t="str">
        <f>IFERROR(__xludf.DUMMYFUNCTION("""COMPUTED_VALUE"""),"https://drive.google.com/file/d/1oI8eQqLLqP38EYrOdiOZ_e_pM1f7iZOX/view?usp=drivesdk")</f>
        <v>https://drive.google.com/file/d/1oI8eQqLLqP38EYrOdiOZ_e_pM1f7iZOX/view?usp=drivesdk</v>
      </c>
      <c r="D8329" s="12"/>
      <c r="E8329" s="11">
        <v>8378.0</v>
      </c>
      <c r="F8329" s="2"/>
    </row>
    <row r="8330" ht="1.5" customHeight="1">
      <c r="A8330" s="4" t="str">
        <f>IFERROR(__xludf.DUMMYFUNCTION("""COMPUTED_VALUE"""),"1. Microwave")</f>
        <v>1. Microwave</v>
      </c>
      <c r="B8330" s="4" t="str">
        <f>IFERROR(__xludf.DUMMYFUNCTION("""COMPUTED_VALUE"""),"1")</f>
        <v>1</v>
      </c>
      <c r="C8330" s="5" t="str">
        <f>IFERROR(__xludf.DUMMYFUNCTION("""COMPUTED_VALUE"""),"https://drive.google.com/file/d/1722Sd2gzNfdjIKIWUZQSV3kNAK9Fqi30/view?usp=drivesdk")</f>
        <v>https://drive.google.com/file/d/1722Sd2gzNfdjIKIWUZQSV3kNAK9Fqi30/view?usp=drivesdk</v>
      </c>
      <c r="D8330" s="12"/>
      <c r="E8330" s="11">
        <v>8379.0</v>
      </c>
      <c r="F8330" s="2"/>
    </row>
    <row r="8331" ht="1.5" customHeight="1">
      <c r="A8331" s="4" t="str">
        <f>IFERROR(__xludf.DUMMYFUNCTION("""COMPUTED_VALUE"""),"1. Microwave")</f>
        <v>1. Microwave</v>
      </c>
      <c r="B8331" s="4" t="str">
        <f>IFERROR(__xludf.DUMMYFUNCTION("""COMPUTED_VALUE"""),"1")</f>
        <v>1</v>
      </c>
      <c r="C8331" s="5" t="str">
        <f>IFERROR(__xludf.DUMMYFUNCTION("""COMPUTED_VALUE"""),"https://drive.google.com/file/d/1k9Ga58KA19p6cpc2aFlXnohuj9aj9WyM/view?usp=drivesdk")</f>
        <v>https://drive.google.com/file/d/1k9Ga58KA19p6cpc2aFlXnohuj9aj9WyM/view?usp=drivesdk</v>
      </c>
      <c r="D8331" s="12"/>
      <c r="E8331" s="11">
        <v>8380.0</v>
      </c>
      <c r="F8331" s="2"/>
    </row>
    <row r="8332" ht="1.5" customHeight="1">
      <c r="A8332" s="4" t="str">
        <f>IFERROR(__xludf.DUMMYFUNCTION("""COMPUTED_VALUE"""),"1. Microwave")</f>
        <v>1. Microwave</v>
      </c>
      <c r="B8332" s="4" t="str">
        <f>IFERROR(__xludf.DUMMYFUNCTION("""COMPUTED_VALUE"""),"1")</f>
        <v>1</v>
      </c>
      <c r="C8332" s="5" t="str">
        <f>IFERROR(__xludf.DUMMYFUNCTION("""COMPUTED_VALUE"""),"https://drive.google.com/file/d/1r-gFqi5ELvWjbVe7-2IH79OM1KIfu4DX/view?usp=drivesdk")</f>
        <v>https://drive.google.com/file/d/1r-gFqi5ELvWjbVe7-2IH79OM1KIfu4DX/view?usp=drivesdk</v>
      </c>
      <c r="D8332" s="12"/>
      <c r="E8332" s="11">
        <v>8381.0</v>
      </c>
      <c r="F8332" s="2"/>
    </row>
    <row r="8333" ht="1.5" customHeight="1">
      <c r="A8333" s="4" t="str">
        <f>IFERROR(__xludf.DUMMYFUNCTION("""COMPUTED_VALUE"""),"45. Boots, 39. Radar")</f>
        <v>45. Boots, 39. Radar</v>
      </c>
      <c r="B8333" s="4" t="str">
        <f>IFERROR(__xludf.DUMMYFUNCTION("""COMPUTED_VALUE"""),"45, 39")</f>
        <v>45, 39</v>
      </c>
      <c r="C8333" s="5" t="str">
        <f>IFERROR(__xludf.DUMMYFUNCTION("""COMPUTED_VALUE"""),"https://drive.google.com/file/d/1-tEF94D2IJVj0LYFkyCZEoCvwn5AHj-x/view?usp=drivesdk")</f>
        <v>https://drive.google.com/file/d/1-tEF94D2IJVj0LYFkyCZEoCvwn5AHj-x/view?usp=drivesdk</v>
      </c>
      <c r="D8333" s="12"/>
      <c r="E8333" s="11">
        <v>8382.0</v>
      </c>
      <c r="F8333" s="2"/>
    </row>
    <row r="8334" ht="1.5" customHeight="1">
      <c r="A8334" s="4" t="str">
        <f>IFERROR(__xludf.DUMMYFUNCTION("""COMPUTED_VALUE"""),"45. Boots")</f>
        <v>45. Boots</v>
      </c>
      <c r="B8334" s="4" t="str">
        <f>IFERROR(__xludf.DUMMYFUNCTION("""COMPUTED_VALUE"""),"45")</f>
        <v>45</v>
      </c>
      <c r="C8334" s="5" t="str">
        <f>IFERROR(__xludf.DUMMYFUNCTION("""COMPUTED_VALUE"""),"https://drive.google.com/file/d/1dA5lOSRU-cqwHDa6JGyb0e-r98m-eggn/view?usp=drivesdk")</f>
        <v>https://drive.google.com/file/d/1dA5lOSRU-cqwHDa6JGyb0e-r98m-eggn/view?usp=drivesdk</v>
      </c>
      <c r="D8334" s="12"/>
      <c r="E8334" s="11">
        <v>8383.0</v>
      </c>
      <c r="F8334" s="2"/>
    </row>
    <row r="8335" ht="1.5" customHeight="1">
      <c r="A8335" s="4" t="str">
        <f>IFERROR(__xludf.DUMMYFUNCTION("""COMPUTED_VALUE"""),"45. Boots, 102. Keaton, 38. Winston")</f>
        <v>45. Boots, 102. Keaton, 38. Winston</v>
      </c>
      <c r="B8335" s="4" t="str">
        <f>IFERROR(__xludf.DUMMYFUNCTION("""COMPUTED_VALUE"""),"45, 102, 38")</f>
        <v>45, 102, 38</v>
      </c>
      <c r="C8335" s="5" t="str">
        <f>IFERROR(__xludf.DUMMYFUNCTION("""COMPUTED_VALUE"""),"https://drive.google.com/file/d/1vELwlBop6DQeKIuKa5cbODP_cvVx2k3Y/view?usp=drivesdk")</f>
        <v>https://drive.google.com/file/d/1vELwlBop6DQeKIuKa5cbODP_cvVx2k3Y/view?usp=drivesdk</v>
      </c>
      <c r="D8335" s="12"/>
      <c r="E8335" s="11">
        <v>8384.0</v>
      </c>
      <c r="F8335" s="2"/>
    </row>
    <row r="8336" ht="1.5" customHeight="1">
      <c r="A8336" s="4" t="str">
        <f>IFERROR(__xludf.DUMMYFUNCTION("""COMPUTED_VALUE"""),"2. Twix")</f>
        <v>2. Twix</v>
      </c>
      <c r="B8336" s="4" t="str">
        <f>IFERROR(__xludf.DUMMYFUNCTION("""COMPUTED_VALUE"""),"2")</f>
        <v>2</v>
      </c>
      <c r="C8336" s="5" t="str">
        <f>IFERROR(__xludf.DUMMYFUNCTION("""COMPUTED_VALUE"""),"https://drive.google.com/file/d/1MxYbHL9U32z4IHEy7RYUyH7YJWTJR3nM/view?usp=drivesdk")</f>
        <v>https://drive.google.com/file/d/1MxYbHL9U32z4IHEy7RYUyH7YJWTJR3nM/view?usp=drivesdk</v>
      </c>
      <c r="D8336" s="12"/>
      <c r="E8336" s="11">
        <v>8385.0</v>
      </c>
      <c r="F8336" s="2"/>
    </row>
    <row r="8337" ht="1.5" customHeight="1">
      <c r="A8337" s="4" t="str">
        <f>IFERROR(__xludf.DUMMYFUNCTION("""COMPUTED_VALUE"""),"2. Twix")</f>
        <v>2. Twix</v>
      </c>
      <c r="B8337" s="4" t="str">
        <f>IFERROR(__xludf.DUMMYFUNCTION("""COMPUTED_VALUE"""),"2")</f>
        <v>2</v>
      </c>
      <c r="C8337" s="5" t="str">
        <f>IFERROR(__xludf.DUMMYFUNCTION("""COMPUTED_VALUE"""),"https://drive.google.com/file/d/1ljL6uasEI5cayJps7twMZhGZZMpZuKRF/view?usp=drivesdk")</f>
        <v>https://drive.google.com/file/d/1ljL6uasEI5cayJps7twMZhGZZMpZuKRF/view?usp=drivesdk</v>
      </c>
      <c r="D8337" s="12"/>
      <c r="E8337" s="11">
        <v>8386.0</v>
      </c>
      <c r="F8337" s="2"/>
    </row>
    <row r="8338" ht="1.5" customHeight="1">
      <c r="A8338" s="4" t="str">
        <f>IFERROR(__xludf.DUMMYFUNCTION("""COMPUTED_VALUE"""),"2. Twix")</f>
        <v>2. Twix</v>
      </c>
      <c r="B8338" s="4" t="str">
        <f>IFERROR(__xludf.DUMMYFUNCTION("""COMPUTED_VALUE"""),"2")</f>
        <v>2</v>
      </c>
      <c r="C8338" s="5" t="str">
        <f>IFERROR(__xludf.DUMMYFUNCTION("""COMPUTED_VALUE"""),"https://drive.google.com/file/d/1vVndbEE5xDsaoDBxbvAq30XmARAdETnr/view?usp=drivesdk")</f>
        <v>https://drive.google.com/file/d/1vVndbEE5xDsaoDBxbvAq30XmARAdETnr/view?usp=drivesdk</v>
      </c>
      <c r="D8338" s="12"/>
      <c r="E8338" s="11">
        <v>8387.0</v>
      </c>
      <c r="F8338" s="2"/>
    </row>
    <row r="8339" ht="1.5" customHeight="1">
      <c r="A8339" s="4" t="str">
        <f>IFERROR(__xludf.DUMMYFUNCTION("""COMPUTED_VALUE"""),"1. Microwave")</f>
        <v>1. Microwave</v>
      </c>
      <c r="B8339" s="4" t="str">
        <f>IFERROR(__xludf.DUMMYFUNCTION("""COMPUTED_VALUE"""),"1")</f>
        <v>1</v>
      </c>
      <c r="C8339" s="5" t="str">
        <f>IFERROR(__xludf.DUMMYFUNCTION("""COMPUTED_VALUE"""),"https://drive.google.com/file/d/1f6R41kNblYrsx3XNJx3xXdyFxQwgDiNG/view?usp=drivesdk")</f>
        <v>https://drive.google.com/file/d/1f6R41kNblYrsx3XNJx3xXdyFxQwgDiNG/view?usp=drivesdk</v>
      </c>
      <c r="D8339" s="12"/>
      <c r="E8339" s="11">
        <v>8388.0</v>
      </c>
      <c r="F8339" s="2"/>
    </row>
    <row r="8340" ht="1.5" customHeight="1">
      <c r="A8340" s="4" t="str">
        <f>IFERROR(__xludf.DUMMYFUNCTION("""COMPUTED_VALUE"""),"1. Microwave")</f>
        <v>1. Microwave</v>
      </c>
      <c r="B8340" s="4" t="str">
        <f>IFERROR(__xludf.DUMMYFUNCTION("""COMPUTED_VALUE"""),"1")</f>
        <v>1</v>
      </c>
      <c r="C8340" s="5" t="str">
        <f>IFERROR(__xludf.DUMMYFUNCTION("""COMPUTED_VALUE"""),"https://drive.google.com/file/d/1kWRDd-Zc5oV2t0mACYzihWlg4YlEmO7E/view?usp=drivesdk")</f>
        <v>https://drive.google.com/file/d/1kWRDd-Zc5oV2t0mACYzihWlg4YlEmO7E/view?usp=drivesdk</v>
      </c>
      <c r="D8340" s="12"/>
      <c r="E8340" s="11">
        <v>8389.0</v>
      </c>
      <c r="F8340" s="2"/>
    </row>
    <row r="8341" ht="1.5" customHeight="1">
      <c r="A8341" s="4" t="str">
        <f>IFERROR(__xludf.DUMMYFUNCTION("""COMPUTED_VALUE"""),"127. Eleanor, 142. Teddy, 140. Gordon, 143. Timothy")</f>
        <v>127. Eleanor, 142. Teddy, 140. Gordon, 143. Timothy</v>
      </c>
      <c r="B8341" s="4" t="str">
        <f>IFERROR(__xludf.DUMMYFUNCTION("""COMPUTED_VALUE"""),"127, 142, 140, 143")</f>
        <v>127, 142, 140, 143</v>
      </c>
      <c r="C8341" s="5" t="str">
        <f>IFERROR(__xludf.DUMMYFUNCTION("""COMPUTED_VALUE"""),"https://drive.google.com/file/d/1KHogLaHkotS1obEnryl9VdBsZ30jSvOJ/view?usp=drivesdk")</f>
        <v>https://drive.google.com/file/d/1KHogLaHkotS1obEnryl9VdBsZ30jSvOJ/view?usp=drivesdk</v>
      </c>
      <c r="D8341" s="12"/>
      <c r="E8341" s="11">
        <v>8390.0</v>
      </c>
      <c r="F8341" s="2"/>
    </row>
    <row r="8342" ht="1.5" customHeight="1">
      <c r="A8342" s="4" t="str">
        <f>IFERROR(__xludf.DUMMYFUNCTION("""COMPUTED_VALUE"""),"1. Microwave")</f>
        <v>1. Microwave</v>
      </c>
      <c r="B8342" s="4" t="str">
        <f>IFERROR(__xludf.DUMMYFUNCTION("""COMPUTED_VALUE"""),"1")</f>
        <v>1</v>
      </c>
      <c r="C8342" s="5" t="str">
        <f>IFERROR(__xludf.DUMMYFUNCTION("""COMPUTED_VALUE"""),"https://drive.google.com/file/d/1zibkTNX-_a7Yk3Uve3_caQ3p3pOv07uj/view?usp=drivesdk")</f>
        <v>https://drive.google.com/file/d/1zibkTNX-_a7Yk3Uve3_caQ3p3pOv07uj/view?usp=drivesdk</v>
      </c>
      <c r="D8342" s="12"/>
      <c r="E8342" s="11">
        <v>8391.0</v>
      </c>
      <c r="F8342" s="2"/>
    </row>
    <row r="8343" ht="1.5" customHeight="1">
      <c r="A8343" s="4" t="str">
        <f>IFERROR(__xludf.DUMMYFUNCTION("""COMPUTED_VALUE"""),"1. Microwave")</f>
        <v>1. Microwave</v>
      </c>
      <c r="B8343" s="4" t="str">
        <f>IFERROR(__xludf.DUMMYFUNCTION("""COMPUTED_VALUE"""),"1")</f>
        <v>1</v>
      </c>
      <c r="C8343" s="5" t="str">
        <f>IFERROR(__xludf.DUMMYFUNCTION("""COMPUTED_VALUE"""),"https://drive.google.com/file/d/1CH7rGWqPo0CgrEGpnBkp1hfTmudiHUF3/view?usp=drivesdk")</f>
        <v>https://drive.google.com/file/d/1CH7rGWqPo0CgrEGpnBkp1hfTmudiHUF3/view?usp=drivesdk</v>
      </c>
      <c r="D8343" s="12"/>
      <c r="E8343" s="11">
        <v>8392.0</v>
      </c>
      <c r="F8343" s="2"/>
    </row>
    <row r="8344" ht="1.5" customHeight="1">
      <c r="A8344" s="4" t="str">
        <f>IFERROR(__xludf.DUMMYFUNCTION("""COMPUTED_VALUE"""),"129. Charles")</f>
        <v>129. Charles</v>
      </c>
      <c r="B8344" s="4" t="str">
        <f>IFERROR(__xludf.DUMMYFUNCTION("""COMPUTED_VALUE"""),"129")</f>
        <v>129</v>
      </c>
      <c r="C8344" s="5" t="str">
        <f>IFERROR(__xludf.DUMMYFUNCTION("""COMPUTED_VALUE"""),"https://drive.google.com/file/d/1f1u-ckt6ifCdmTxKbJviIotnWVBAg8ha/view?usp=drivesdk")</f>
        <v>https://drive.google.com/file/d/1f1u-ckt6ifCdmTxKbJviIotnWVBAg8ha/view?usp=drivesdk</v>
      </c>
      <c r="D8344" s="12"/>
      <c r="E8344" s="11">
        <v>8393.0</v>
      </c>
      <c r="F8344" s="2"/>
    </row>
    <row r="8345" ht="1.5" customHeight="1">
      <c r="A8345" s="4" t="str">
        <f>IFERROR(__xludf.DUMMYFUNCTION("""COMPUTED_VALUE"""),"37. Dingus")</f>
        <v>37. Dingus</v>
      </c>
      <c r="B8345" s="4" t="str">
        <f>IFERROR(__xludf.DUMMYFUNCTION("""COMPUTED_VALUE"""),"37")</f>
        <v>37</v>
      </c>
      <c r="C8345" s="5" t="str">
        <f>IFERROR(__xludf.DUMMYFUNCTION("""COMPUTED_VALUE"""),"https://drive.google.com/file/d/1sM2rOh55pSfp3UaxQ1N2ydCO1JThFI5u/view?usp=drivesdk")</f>
        <v>https://drive.google.com/file/d/1sM2rOh55pSfp3UaxQ1N2ydCO1JThFI5u/view?usp=drivesdk</v>
      </c>
      <c r="D8345" s="12"/>
      <c r="E8345" s="11">
        <v>8394.0</v>
      </c>
      <c r="F8345" s="2"/>
    </row>
    <row r="8346" ht="1.5" customHeight="1">
      <c r="A8346" s="4" t="str">
        <f>IFERROR(__xludf.DUMMYFUNCTION("""COMPUTED_VALUE"""),"1. Microwave")</f>
        <v>1. Microwave</v>
      </c>
      <c r="B8346" s="4" t="str">
        <f>IFERROR(__xludf.DUMMYFUNCTION("""COMPUTED_VALUE"""),"1")</f>
        <v>1</v>
      </c>
      <c r="C8346" s="5" t="str">
        <f>IFERROR(__xludf.DUMMYFUNCTION("""COMPUTED_VALUE"""),"https://drive.google.com/file/d/18BhsnhioLoONg7QMF5HJMqG7IYtMor9T/view?usp=drivesdk")</f>
        <v>https://drive.google.com/file/d/18BhsnhioLoONg7QMF5HJMqG7IYtMor9T/view?usp=drivesdk</v>
      </c>
      <c r="D8346" s="12"/>
      <c r="E8346" s="11">
        <v>8395.0</v>
      </c>
      <c r="F8346" s="2"/>
    </row>
    <row r="8347" ht="1.5" customHeight="1">
      <c r="A8347" s="4" t="str">
        <f>IFERROR(__xludf.DUMMYFUNCTION("""COMPUTED_VALUE"""),"1. Microwave")</f>
        <v>1. Microwave</v>
      </c>
      <c r="B8347" s="4" t="str">
        <f>IFERROR(__xludf.DUMMYFUNCTION("""COMPUTED_VALUE"""),"1")</f>
        <v>1</v>
      </c>
      <c r="C8347" s="5" t="str">
        <f>IFERROR(__xludf.DUMMYFUNCTION("""COMPUTED_VALUE"""),"https://drive.google.com/file/d/1dvbX2c8q1w5NhOt1_1DeNPl_v-FxBv5S/view?usp=drivesdk")</f>
        <v>https://drive.google.com/file/d/1dvbX2c8q1w5NhOt1_1DeNPl_v-FxBv5S/view?usp=drivesdk</v>
      </c>
      <c r="D8347" s="12"/>
      <c r="E8347" s="11">
        <v>8396.0</v>
      </c>
      <c r="F8347" s="2"/>
    </row>
    <row r="8348" ht="1.5" customHeight="1">
      <c r="A8348" s="4" t="str">
        <f>IFERROR(__xludf.DUMMYFUNCTION("""COMPUTED_VALUE"""),"105. Chilton")</f>
        <v>105. Chilton</v>
      </c>
      <c r="B8348" s="4" t="str">
        <f>IFERROR(__xludf.DUMMYFUNCTION("""COMPUTED_VALUE"""),"105")</f>
        <v>105</v>
      </c>
      <c r="C8348" s="5" t="str">
        <f>IFERROR(__xludf.DUMMYFUNCTION("""COMPUTED_VALUE"""),"https://drive.google.com/file/d/1oVUfTePc2SRzmwSDS1hlwWSjKbH-ZiSQ/view?usp=drivesdk")</f>
        <v>https://drive.google.com/file/d/1oVUfTePc2SRzmwSDS1hlwWSjKbH-ZiSQ/view?usp=drivesdk</v>
      </c>
      <c r="D8348" s="12"/>
      <c r="E8348" s="11">
        <v>8397.0</v>
      </c>
      <c r="F8348" s="2"/>
    </row>
    <row r="8349" ht="1.5" customHeight="1">
      <c r="A8349" s="4" t="str">
        <f>IFERROR(__xludf.DUMMYFUNCTION("""COMPUTED_VALUE"""),"105. Chilton")</f>
        <v>105. Chilton</v>
      </c>
      <c r="B8349" s="4" t="str">
        <f>IFERROR(__xludf.DUMMYFUNCTION("""COMPUTED_VALUE"""),"105")</f>
        <v>105</v>
      </c>
      <c r="C8349" s="5" t="str">
        <f>IFERROR(__xludf.DUMMYFUNCTION("""COMPUTED_VALUE"""),"https://drive.google.com/file/d/1X3td1OpZllBp5W4JkepOGG2j63ozc-ff/view?usp=drivesdk")</f>
        <v>https://drive.google.com/file/d/1X3td1OpZllBp5W4JkepOGG2j63ozc-ff/view?usp=drivesdk</v>
      </c>
      <c r="D8349" s="12"/>
      <c r="E8349" s="11">
        <v>8398.0</v>
      </c>
      <c r="F8349" s="2"/>
    </row>
    <row r="8350" ht="1.5" customHeight="1">
      <c r="A8350" s="4" t="str">
        <f>IFERROR(__xludf.DUMMYFUNCTION("""COMPUTED_VALUE"""),"105. Chilton")</f>
        <v>105. Chilton</v>
      </c>
      <c r="B8350" s="4" t="str">
        <f>IFERROR(__xludf.DUMMYFUNCTION("""COMPUTED_VALUE"""),"105")</f>
        <v>105</v>
      </c>
      <c r="C8350" s="5" t="str">
        <f>IFERROR(__xludf.DUMMYFUNCTION("""COMPUTED_VALUE"""),"https://drive.google.com/file/d/1kpuaEttjb-RPnBYJc-oWcpqJ2Npd66-_/view?usp=drivesdk")</f>
        <v>https://drive.google.com/file/d/1kpuaEttjb-RPnBYJc-oWcpqJ2Npd66-_/view?usp=drivesdk</v>
      </c>
      <c r="D8350" s="12"/>
      <c r="E8350" s="11">
        <v>8399.0</v>
      </c>
      <c r="F8350" s="2"/>
    </row>
    <row r="8351" ht="14.25" customHeight="1">
      <c r="A8351" s="4" t="str">
        <f>IFERROR(__xludf.DUMMYFUNCTION("""COMPUTED_VALUE"""),"105. Chilton")</f>
        <v>105. Chilton</v>
      </c>
      <c r="B8351" s="4" t="str">
        <f>IFERROR(__xludf.DUMMYFUNCTION("""COMPUTED_VALUE"""),"105")</f>
        <v>105</v>
      </c>
      <c r="C8351" s="5" t="str">
        <f>IFERROR(__xludf.DUMMYFUNCTION("""COMPUTED_VALUE"""),"https://drive.google.com/file/d/1FgYiMYRkrJ7G4kRw2wnO7d2kLfCvzxng/view?usp=drivesdk")</f>
        <v>https://drive.google.com/file/d/1FgYiMYRkrJ7G4kRw2wnO7d2kLfCvzxng/view?usp=drivesdk</v>
      </c>
      <c r="D8351" s="12"/>
      <c r="E8351" s="11">
        <v>8400.0</v>
      </c>
      <c r="F8351" s="2"/>
    </row>
    <row r="8352" ht="14.25" customHeight="1">
      <c r="A8352" s="4" t="str">
        <f>IFERROR(__xludf.DUMMYFUNCTION("""COMPUTED_VALUE"""),"1. Microwave")</f>
        <v>1. Microwave</v>
      </c>
      <c r="B8352" s="4" t="str">
        <f>IFERROR(__xludf.DUMMYFUNCTION("""COMPUTED_VALUE"""),"1")</f>
        <v>1</v>
      </c>
      <c r="C8352" s="5" t="str">
        <f>IFERROR(__xludf.DUMMYFUNCTION("""COMPUTED_VALUE"""),"https://drive.google.com/file/d/1tyFDu0PpPJidqjW6PAD0RipBHkmkfdaM/view?usp=drivesdk")</f>
        <v>https://drive.google.com/file/d/1tyFDu0PpPJidqjW6PAD0RipBHkmkfdaM/view?usp=drivesdk</v>
      </c>
      <c r="D8352" s="12"/>
      <c r="E8352" s="11">
        <v>8401.0</v>
      </c>
      <c r="F8352" s="2"/>
    </row>
    <row r="8353" ht="14.25" customHeight="1">
      <c r="A8353" s="4" t="str">
        <f>IFERROR(__xludf.DUMMYFUNCTION("""COMPUTED_VALUE"""),"1. Microwave")</f>
        <v>1. Microwave</v>
      </c>
      <c r="B8353" s="4" t="str">
        <f>IFERROR(__xludf.DUMMYFUNCTION("""COMPUTED_VALUE"""),"1")</f>
        <v>1</v>
      </c>
      <c r="C8353" s="5" t="str">
        <f>IFERROR(__xludf.DUMMYFUNCTION("""COMPUTED_VALUE"""),"https://drive.google.com/file/d/1r1SjssH8fCwXPFD1Pc_FY4hYhfagiU8c/view?usp=drivesdk")</f>
        <v>https://drive.google.com/file/d/1r1SjssH8fCwXPFD1Pc_FY4hYhfagiU8c/view?usp=drivesdk</v>
      </c>
      <c r="D8353" s="12"/>
      <c r="E8353" s="11">
        <v>8402.0</v>
      </c>
      <c r="F8353" s="2"/>
    </row>
    <row r="8354" ht="14.25" customHeight="1">
      <c r="A8354" s="4" t="str">
        <f>IFERROR(__xludf.DUMMYFUNCTION("""COMPUTED_VALUE"""),"1. Microwave")</f>
        <v>1. Microwave</v>
      </c>
      <c r="B8354" s="4" t="str">
        <f>IFERROR(__xludf.DUMMYFUNCTION("""COMPUTED_VALUE"""),"1")</f>
        <v>1</v>
      </c>
      <c r="C8354" s="5" t="str">
        <f>IFERROR(__xludf.DUMMYFUNCTION("""COMPUTED_VALUE"""),"https://drive.google.com/file/d/17nf5iyLJJrcQFQxeMv6khq1jdF9_ZwX2/view?usp=drivesdk")</f>
        <v>https://drive.google.com/file/d/17nf5iyLJJrcQFQxeMv6khq1jdF9_ZwX2/view?usp=drivesdk</v>
      </c>
      <c r="D8354" s="12"/>
      <c r="E8354" s="11">
        <v>8403.0</v>
      </c>
      <c r="F8354" s="2"/>
    </row>
    <row r="8355" ht="14.25" customHeight="1">
      <c r="A8355" s="4" t="str">
        <f>IFERROR(__xludf.DUMMYFUNCTION("""COMPUTED_VALUE"""),"1. Microwave")</f>
        <v>1. Microwave</v>
      </c>
      <c r="B8355" s="4" t="str">
        <f>IFERROR(__xludf.DUMMYFUNCTION("""COMPUTED_VALUE"""),"1")</f>
        <v>1</v>
      </c>
      <c r="C8355" s="5" t="str">
        <f>IFERROR(__xludf.DUMMYFUNCTION("""COMPUTED_VALUE"""),"https://drive.google.com/file/d/1DBhYVVbXTrsspd9b19pwqqLJz19fyr6D/view?usp=drivesdk")</f>
        <v>https://drive.google.com/file/d/1DBhYVVbXTrsspd9b19pwqqLJz19fyr6D/view?usp=drivesdk</v>
      </c>
      <c r="D8355" s="12"/>
      <c r="E8355" s="11">
        <v>8404.0</v>
      </c>
      <c r="F8355" s="2"/>
    </row>
    <row r="8356" ht="14.25" customHeight="1">
      <c r="A8356" s="4" t="str">
        <f>IFERROR(__xludf.DUMMYFUNCTION("""COMPUTED_VALUE"""),"1. Microwave")</f>
        <v>1. Microwave</v>
      </c>
      <c r="B8356" s="4" t="str">
        <f>IFERROR(__xludf.DUMMYFUNCTION("""COMPUTED_VALUE"""),"1")</f>
        <v>1</v>
      </c>
      <c r="C8356" s="5" t="str">
        <f>IFERROR(__xludf.DUMMYFUNCTION("""COMPUTED_VALUE"""),"https://drive.google.com/file/d/1OI6fQ993W0LalCAOkKwfM-iedy-q9Ovw/view?usp=drivesdk")</f>
        <v>https://drive.google.com/file/d/1OI6fQ993W0LalCAOkKwfM-iedy-q9Ovw/view?usp=drivesdk</v>
      </c>
      <c r="D8356" s="12"/>
      <c r="E8356" s="11">
        <v>8405.0</v>
      </c>
      <c r="F8356" s="2"/>
    </row>
    <row r="8357" ht="14.25" customHeight="1">
      <c r="A8357" s="4" t="str">
        <f>IFERROR(__xludf.DUMMYFUNCTION("""COMPUTED_VALUE"""),"1. Microwave")</f>
        <v>1. Microwave</v>
      </c>
      <c r="B8357" s="4" t="str">
        <f>IFERROR(__xludf.DUMMYFUNCTION("""COMPUTED_VALUE"""),"1")</f>
        <v>1</v>
      </c>
      <c r="C8357" s="5" t="str">
        <f>IFERROR(__xludf.DUMMYFUNCTION("""COMPUTED_VALUE"""),"https://drive.google.com/file/d/1yLebN3wMuMk5ro954MkpZVdJeB_G68q6/view?usp=drivesdk")</f>
        <v>https://drive.google.com/file/d/1yLebN3wMuMk5ro954MkpZVdJeB_G68q6/view?usp=drivesdk</v>
      </c>
      <c r="D8357" s="12"/>
      <c r="E8357" s="11">
        <v>8406.0</v>
      </c>
      <c r="F8357" s="2"/>
    </row>
    <row r="8358" ht="14.25" customHeight="1">
      <c r="A8358" s="4" t="str">
        <f>IFERROR(__xludf.DUMMYFUNCTION("""COMPUTED_VALUE"""),"129. Charles")</f>
        <v>129. Charles</v>
      </c>
      <c r="B8358" s="4" t="str">
        <f>IFERROR(__xludf.DUMMYFUNCTION("""COMPUTED_VALUE"""),"129")</f>
        <v>129</v>
      </c>
      <c r="C8358" s="5" t="str">
        <f>IFERROR(__xludf.DUMMYFUNCTION("""COMPUTED_VALUE"""),"https://drive.google.com/file/d/1Po36UKi96Prj2oGtNkP9rpBUMJnGA_RR/view?usp=drivesdk")</f>
        <v>https://drive.google.com/file/d/1Po36UKi96Prj2oGtNkP9rpBUMJnGA_RR/view?usp=drivesdk</v>
      </c>
      <c r="D8358" s="12"/>
      <c r="E8358" s="11">
        <v>8407.0</v>
      </c>
      <c r="F8358" s="2"/>
    </row>
    <row r="8359" ht="14.25" customHeight="1">
      <c r="A8359" s="4" t="str">
        <f>IFERROR(__xludf.DUMMYFUNCTION("""COMPUTED_VALUE"""),"36. Scringle")</f>
        <v>36. Scringle</v>
      </c>
      <c r="B8359" s="4" t="str">
        <f>IFERROR(__xludf.DUMMYFUNCTION("""COMPUTED_VALUE"""),"36")</f>
        <v>36</v>
      </c>
      <c r="C8359" s="5" t="str">
        <f>IFERROR(__xludf.DUMMYFUNCTION("""COMPUTED_VALUE"""),"https://drive.google.com/file/d/1DBbSO70Ob7zB9yw_cea2tG0T2LNjr6WC/view?usp=drivesdk")</f>
        <v>https://drive.google.com/file/d/1DBbSO70Ob7zB9yw_cea2tG0T2LNjr6WC/view?usp=drivesdk</v>
      </c>
      <c r="D8359" s="12"/>
      <c r="E8359" s="11">
        <v>8408.0</v>
      </c>
      <c r="F8359" s="2"/>
    </row>
    <row r="8360" ht="14.25" customHeight="1">
      <c r="A8360" s="4" t="str">
        <f>IFERROR(__xludf.DUMMYFUNCTION("""COMPUTED_VALUE"""),"129. Charles, 36. Scringle")</f>
        <v>129. Charles, 36. Scringle</v>
      </c>
      <c r="B8360" s="4" t="str">
        <f>IFERROR(__xludf.DUMMYFUNCTION("""COMPUTED_VALUE"""),"129, 36")</f>
        <v>129, 36</v>
      </c>
      <c r="C8360" s="5" t="str">
        <f>IFERROR(__xludf.DUMMYFUNCTION("""COMPUTED_VALUE"""),"https://drive.google.com/file/d/1bZiUv0fpd2gY55BPKBdt1p61uQX4kdA4/view?usp=drivesdk")</f>
        <v>https://drive.google.com/file/d/1bZiUv0fpd2gY55BPKBdt1p61uQX4kdA4/view?usp=drivesdk</v>
      </c>
      <c r="D8360" s="12"/>
      <c r="E8360" s="11">
        <v>8409.0</v>
      </c>
      <c r="F8360" s="2"/>
    </row>
    <row r="8361" ht="14.25" customHeight="1">
      <c r="A8361" s="4" t="str">
        <f>IFERROR(__xludf.DUMMYFUNCTION("""COMPUTED_VALUE"""),"129. Charles, 36. Scringle")</f>
        <v>129. Charles, 36. Scringle</v>
      </c>
      <c r="B8361" s="4" t="str">
        <f>IFERROR(__xludf.DUMMYFUNCTION("""COMPUTED_VALUE"""),"129, 36")</f>
        <v>129, 36</v>
      </c>
      <c r="C8361" s="5" t="str">
        <f>IFERROR(__xludf.DUMMYFUNCTION("""COMPUTED_VALUE"""),"https://drive.google.com/file/d/1N4EAWLlI2D-P_2wUcImVyAz5h_J3xqN8/view?usp=drivesdk")</f>
        <v>https://drive.google.com/file/d/1N4EAWLlI2D-P_2wUcImVyAz5h_J3xqN8/view?usp=drivesdk</v>
      </c>
      <c r="D8361" s="12"/>
      <c r="E8361" s="11">
        <v>8410.0</v>
      </c>
      <c r="F8361" s="2"/>
    </row>
    <row r="8362" ht="14.25" customHeight="1">
      <c r="A8362" s="4" t="str">
        <f>IFERROR(__xludf.DUMMYFUNCTION("""COMPUTED_VALUE"""),"1. Microwave")</f>
        <v>1. Microwave</v>
      </c>
      <c r="B8362" s="4" t="str">
        <f>IFERROR(__xludf.DUMMYFUNCTION("""COMPUTED_VALUE"""),"1")</f>
        <v>1</v>
      </c>
      <c r="C8362" s="5" t="str">
        <f>IFERROR(__xludf.DUMMYFUNCTION("""COMPUTED_VALUE"""),"https://drive.google.com/file/d/1IAq9WOc3JvkN2gRTol53T0GwF7n8OhrX/view?usp=drivesdk")</f>
        <v>https://drive.google.com/file/d/1IAq9WOc3JvkN2gRTol53T0GwF7n8OhrX/view?usp=drivesdk</v>
      </c>
      <c r="D8362" s="12"/>
      <c r="E8362" s="11">
        <v>8411.0</v>
      </c>
      <c r="F8362" s="2"/>
    </row>
    <row r="8363" ht="14.25" customHeight="1">
      <c r="A8363" s="4" t="str">
        <f>IFERROR(__xludf.DUMMYFUNCTION("""COMPUTED_VALUE"""),"1. Microwave")</f>
        <v>1. Microwave</v>
      </c>
      <c r="B8363" s="4" t="str">
        <f>IFERROR(__xludf.DUMMYFUNCTION("""COMPUTED_VALUE"""),"1")</f>
        <v>1</v>
      </c>
      <c r="C8363" s="5" t="str">
        <f>IFERROR(__xludf.DUMMYFUNCTION("""COMPUTED_VALUE"""),"https://drive.google.com/file/d/1K2m2wpE05yIrxn26Nr5lq7ZOJEwHR_y0/view?usp=drivesdk")</f>
        <v>https://drive.google.com/file/d/1K2m2wpE05yIrxn26Nr5lq7ZOJEwHR_y0/view?usp=drivesdk</v>
      </c>
      <c r="D8363" s="12"/>
      <c r="E8363" s="11">
        <v>8412.0</v>
      </c>
      <c r="F8363" s="2"/>
    </row>
    <row r="8364" ht="14.25" customHeight="1">
      <c r="A8364" s="4" t="str">
        <f>IFERROR(__xludf.DUMMYFUNCTION("""COMPUTED_VALUE"""),"1. Microwave")</f>
        <v>1. Microwave</v>
      </c>
      <c r="B8364" s="4" t="str">
        <f>IFERROR(__xludf.DUMMYFUNCTION("""COMPUTED_VALUE"""),"1")</f>
        <v>1</v>
      </c>
      <c r="C8364" s="5" t="str">
        <f>IFERROR(__xludf.DUMMYFUNCTION("""COMPUTED_VALUE"""),"https://drive.google.com/file/d/1xYXAinQksk5kKLcCoy40FYblptWqw5wN/view?usp=drivesdk")</f>
        <v>https://drive.google.com/file/d/1xYXAinQksk5kKLcCoy40FYblptWqw5wN/view?usp=drivesdk</v>
      </c>
      <c r="D8364" s="12"/>
      <c r="E8364" s="11">
        <v>8413.0</v>
      </c>
      <c r="F8364" s="2"/>
    </row>
    <row r="8365" ht="14.25" customHeight="1">
      <c r="A8365" s="4" t="str">
        <f>IFERROR(__xludf.DUMMYFUNCTION("""COMPUTED_VALUE"""),"44. Shitbag Cuntface, 141. Kamahalan, 42. Rubber")</f>
        <v>44. Shitbag Cuntface, 141. Kamahalan, 42. Rubber</v>
      </c>
      <c r="B8365" s="4" t="str">
        <f>IFERROR(__xludf.DUMMYFUNCTION("""COMPUTED_VALUE"""),"44, 141, 42")</f>
        <v>44, 141, 42</v>
      </c>
      <c r="C8365" s="5" t="str">
        <f>IFERROR(__xludf.DUMMYFUNCTION("""COMPUTED_VALUE"""),"https://drive.google.com/file/d/1j9fG-BvBMTtQx0F-a3t88k7aXmNhyFjn/view?usp=drivesdk")</f>
        <v>https://drive.google.com/file/d/1j9fG-BvBMTtQx0F-a3t88k7aXmNhyFjn/view?usp=drivesdk</v>
      </c>
      <c r="D8365" s="12"/>
      <c r="E8365" s="11">
        <v>8414.0</v>
      </c>
      <c r="F8365" s="2"/>
    </row>
    <row r="8366" ht="14.25" customHeight="1">
      <c r="A8366" s="4" t="str">
        <f>IFERROR(__xludf.DUMMYFUNCTION("""COMPUTED_VALUE"""),"40. Dumpster, 44. Shitbag Cuntface, 42. Rubber")</f>
        <v>40. Dumpster, 44. Shitbag Cuntface, 42. Rubber</v>
      </c>
      <c r="B8366" s="4" t="str">
        <f>IFERROR(__xludf.DUMMYFUNCTION("""COMPUTED_VALUE"""),"40, 44, 42")</f>
        <v>40, 44, 42</v>
      </c>
      <c r="C8366" s="5" t="str">
        <f>IFERROR(__xludf.DUMMYFUNCTION("""COMPUTED_VALUE"""),"https://drive.google.com/file/d/1DvAWixModXNTTqsIwA2XCrHFcr1rZqHy/view?usp=drivesdk")</f>
        <v>https://drive.google.com/file/d/1DvAWixModXNTTqsIwA2XCrHFcr1rZqHy/view?usp=drivesdk</v>
      </c>
      <c r="D8366" s="12"/>
      <c r="E8366" s="11">
        <v>8415.0</v>
      </c>
      <c r="F8366" s="2"/>
    </row>
    <row r="8367" ht="14.25" customHeight="1">
      <c r="A8367" s="4" t="str">
        <f>IFERROR(__xludf.DUMMYFUNCTION("""COMPUTED_VALUE"""),"146. Monsieur Stanky, 61. Cassie")</f>
        <v>146. Monsieur Stanky, 61. Cassie</v>
      </c>
      <c r="B8367" s="4" t="str">
        <f>IFERROR(__xludf.DUMMYFUNCTION("""COMPUTED_VALUE"""),"146, 61")</f>
        <v>146, 61</v>
      </c>
      <c r="C8367" s="5" t="str">
        <f>IFERROR(__xludf.DUMMYFUNCTION("""COMPUTED_VALUE"""),"https://drive.google.com/file/d/1mUiO9e49N1VBwIjE20U4xSyw383tbrSz/view?usp=drivesdk")</f>
        <v>https://drive.google.com/file/d/1mUiO9e49N1VBwIjE20U4xSyw383tbrSz/view?usp=drivesdk</v>
      </c>
      <c r="D8367" s="12"/>
      <c r="E8367" s="11">
        <v>8416.0</v>
      </c>
      <c r="F8367" s="2"/>
    </row>
    <row r="8368" ht="14.25" customHeight="1">
      <c r="A8368" s="4" t="str">
        <f>IFERROR(__xludf.DUMMYFUNCTION("""COMPUTED_VALUE"""),"58. Eden")</f>
        <v>58. Eden</v>
      </c>
      <c r="B8368" s="4" t="str">
        <f>IFERROR(__xludf.DUMMYFUNCTION("""COMPUTED_VALUE"""),"58")</f>
        <v>58</v>
      </c>
      <c r="C8368" s="5" t="str">
        <f>IFERROR(__xludf.DUMMYFUNCTION("""COMPUTED_VALUE"""),"https://drive.google.com/file/d/1IDjuLYzi8yzrbA5Hd84aNLiHuKKiLVvG/view?usp=drivesdk")</f>
        <v>https://drive.google.com/file/d/1IDjuLYzi8yzrbA5Hd84aNLiHuKKiLVvG/view?usp=drivesdk</v>
      </c>
      <c r="D8368" s="12"/>
      <c r="E8368" s="11">
        <v>8417.0</v>
      </c>
      <c r="F8368" s="2"/>
    </row>
    <row r="8369" ht="14.25" customHeight="1">
      <c r="A8369" s="4" t="str">
        <f>IFERROR(__xludf.DUMMYFUNCTION("""COMPUTED_VALUE"""),"41. Gregory, 141. Kamahalan, 40. Dumpster, 58. Eden, 42. Rubber")</f>
        <v>41. Gregory, 141. Kamahalan, 40. Dumpster, 58. Eden, 42. Rubber</v>
      </c>
      <c r="B8369" s="4" t="str">
        <f>IFERROR(__xludf.DUMMYFUNCTION("""COMPUTED_VALUE"""),"41, 141, 40, 58, 42")</f>
        <v>41, 141, 40, 58, 42</v>
      </c>
      <c r="C8369" s="5" t="str">
        <f>IFERROR(__xludf.DUMMYFUNCTION("""COMPUTED_VALUE"""),"https://drive.google.com/file/d/1Kjk8097qgoEIjS5_is9IlPfmK-pOibEG/view?usp=drivesdk")</f>
        <v>https://drive.google.com/file/d/1Kjk8097qgoEIjS5_is9IlPfmK-pOibEG/view?usp=drivesdk</v>
      </c>
      <c r="D8369" s="12"/>
      <c r="E8369" s="11">
        <v>8418.0</v>
      </c>
      <c r="F8369" s="2"/>
    </row>
    <row r="8370" ht="14.25" customHeight="1">
      <c r="A8370" s="4" t="str">
        <f>IFERROR(__xludf.DUMMYFUNCTION("""COMPUTED_VALUE"""),"45. Boots")</f>
        <v>45. Boots</v>
      </c>
      <c r="B8370" s="4" t="str">
        <f>IFERROR(__xludf.DUMMYFUNCTION("""COMPUTED_VALUE"""),"45")</f>
        <v>45</v>
      </c>
      <c r="C8370" s="5" t="str">
        <f>IFERROR(__xludf.DUMMYFUNCTION("""COMPUTED_VALUE"""),"https://drive.google.com/file/d/1pOiD4cuYH7G0kLDXN_K_sf_Aas9n5VBe/view?usp=drivesdk")</f>
        <v>https://drive.google.com/file/d/1pOiD4cuYH7G0kLDXN_K_sf_Aas9n5VBe/view?usp=drivesdk</v>
      </c>
      <c r="D8370" s="12"/>
      <c r="E8370" s="11">
        <v>8419.0</v>
      </c>
      <c r="F8370" s="2"/>
    </row>
    <row r="8371" ht="14.25" customHeight="1">
      <c r="A8371" s="4" t="str">
        <f>IFERROR(__xludf.DUMMYFUNCTION("""COMPUTED_VALUE"""),"58. Eden, 45. Boots, 41. Gregory, 44. Shitbag Cuntface, 40. Dumpster")</f>
        <v>58. Eden, 45. Boots, 41. Gregory, 44. Shitbag Cuntface, 40. Dumpster</v>
      </c>
      <c r="B8371" s="4" t="str">
        <f>IFERROR(__xludf.DUMMYFUNCTION("""COMPUTED_VALUE"""),"58, 45, 41, 44, 40")</f>
        <v>58, 45, 41, 44, 40</v>
      </c>
      <c r="C8371" s="5" t="str">
        <f>IFERROR(__xludf.DUMMYFUNCTION("""COMPUTED_VALUE"""),"https://drive.google.com/file/d/16QKjCkLZGVfGJsY1c-_H0h-YWyMjVhIC/view?usp=drivesdk")</f>
        <v>https://drive.google.com/file/d/16QKjCkLZGVfGJsY1c-_H0h-YWyMjVhIC/view?usp=drivesdk</v>
      </c>
      <c r="D8371" s="12"/>
      <c r="E8371" s="11">
        <v>8420.0</v>
      </c>
      <c r="F8371" s="2"/>
    </row>
    <row r="8372" ht="14.25" customHeight="1">
      <c r="A8372" s="4" t="str">
        <f>IFERROR(__xludf.DUMMYFUNCTION("""COMPUTED_VALUE"""),"99. Nezhui")</f>
        <v>99. Nezhui</v>
      </c>
      <c r="B8372" s="4" t="str">
        <f>IFERROR(__xludf.DUMMYFUNCTION("""COMPUTED_VALUE"""),"99")</f>
        <v>99</v>
      </c>
      <c r="C8372" s="5" t="str">
        <f>IFERROR(__xludf.DUMMYFUNCTION("""COMPUTED_VALUE"""),"https://drive.google.com/file/d/1WIVV-QbjdrhZcT5dOMa_47e98Xp9_lqc/view?usp=drivesdk")</f>
        <v>https://drive.google.com/file/d/1WIVV-QbjdrhZcT5dOMa_47e98Xp9_lqc/view?usp=drivesdk</v>
      </c>
      <c r="D8372" s="12"/>
      <c r="E8372" s="11">
        <v>8421.0</v>
      </c>
      <c r="F8372" s="2"/>
    </row>
    <row r="8373" ht="14.25" customHeight="1">
      <c r="A8373" s="4" t="str">
        <f>IFERROR(__xludf.DUMMYFUNCTION("""COMPUTED_VALUE"""),"99. Nezhui")</f>
        <v>99. Nezhui</v>
      </c>
      <c r="B8373" s="4" t="str">
        <f>IFERROR(__xludf.DUMMYFUNCTION("""COMPUTED_VALUE"""),"99")</f>
        <v>99</v>
      </c>
      <c r="C8373" s="5" t="str">
        <f>IFERROR(__xludf.DUMMYFUNCTION("""COMPUTED_VALUE"""),"https://drive.google.com/file/d/1Kn7wU2hvlT9rdQu8tjLfjLFyj-7gP7tX/view?usp=drivesdk")</f>
        <v>https://drive.google.com/file/d/1Kn7wU2hvlT9rdQu8tjLfjLFyj-7gP7tX/view?usp=drivesdk</v>
      </c>
      <c r="D8373" s="12"/>
      <c r="E8373" s="11">
        <v>8422.0</v>
      </c>
      <c r="F8373" s="2"/>
    </row>
    <row r="8374" ht="14.25" customHeight="1">
      <c r="A8374" s="4" t="str">
        <f>IFERROR(__xludf.DUMMYFUNCTION("""COMPUTED_VALUE"""),"93. Meatball, 20. Citlali")</f>
        <v>93. Meatball, 20. Citlali</v>
      </c>
      <c r="B8374" s="4" t="str">
        <f>IFERROR(__xludf.DUMMYFUNCTION("""COMPUTED_VALUE"""),"93, 20")</f>
        <v>93, 20</v>
      </c>
      <c r="C8374" s="5" t="str">
        <f>IFERROR(__xludf.DUMMYFUNCTION("""COMPUTED_VALUE"""),"https://drive.google.com/file/d/1gcREXw43KoXOviIgNULvc9hoOcOLWs-C/view?usp=drivesdk")</f>
        <v>https://drive.google.com/file/d/1gcREXw43KoXOviIgNULvc9hoOcOLWs-C/view?usp=drivesdk</v>
      </c>
      <c r="D8374" s="12"/>
      <c r="E8374" s="11">
        <v>8423.0</v>
      </c>
      <c r="F8374" s="2"/>
    </row>
    <row r="8375" ht="14.25" customHeight="1">
      <c r="A8375" s="4" t="str">
        <f>IFERROR(__xludf.DUMMYFUNCTION("""COMPUTED_VALUE"""),"93. Meatball, 100. Coatl")</f>
        <v>93. Meatball, 100. Coatl</v>
      </c>
      <c r="B8375" s="4" t="str">
        <f>IFERROR(__xludf.DUMMYFUNCTION("""COMPUTED_VALUE"""),"93, 100")</f>
        <v>93, 100</v>
      </c>
      <c r="C8375" s="5" t="str">
        <f>IFERROR(__xludf.DUMMYFUNCTION("""COMPUTED_VALUE"""),"https://drive.google.com/file/d/1ZOuXdHhyciTy03YiBTUuy9Tk2TtntjzF/view?usp=drivesdk")</f>
        <v>https://drive.google.com/file/d/1ZOuXdHhyciTy03YiBTUuy9Tk2TtntjzF/view?usp=drivesdk</v>
      </c>
      <c r="D8375" s="12"/>
      <c r="E8375" s="11">
        <v>8424.0</v>
      </c>
      <c r="F8375" s="2"/>
    </row>
    <row r="8376" ht="14.25" customHeight="1">
      <c r="A8376" s="4" t="str">
        <f>IFERROR(__xludf.DUMMYFUNCTION("""COMPUTED_VALUE"""),"99. Nezhui")</f>
        <v>99. Nezhui</v>
      </c>
      <c r="B8376" s="4" t="str">
        <f>IFERROR(__xludf.DUMMYFUNCTION("""COMPUTED_VALUE"""),"99")</f>
        <v>99</v>
      </c>
      <c r="C8376" s="5" t="str">
        <f>IFERROR(__xludf.DUMMYFUNCTION("""COMPUTED_VALUE"""),"https://drive.google.com/file/d/1bGfQ704h256EmBgKa_RXgyVJilWuE1ku/view?usp=drivesdk")</f>
        <v>https://drive.google.com/file/d/1bGfQ704h256EmBgKa_RXgyVJilWuE1ku/view?usp=drivesdk</v>
      </c>
      <c r="D8376" s="12"/>
      <c r="E8376" s="11">
        <v>8425.0</v>
      </c>
      <c r="F8376" s="2"/>
    </row>
    <row r="8377" ht="14.25" customHeight="1">
      <c r="A8377" s="4" t="str">
        <f>IFERROR(__xludf.DUMMYFUNCTION("""COMPUTED_VALUE"""),"111. Mayatl, 93. Meatball, 99. Nezhui")</f>
        <v>111. Mayatl, 93. Meatball, 99. Nezhui</v>
      </c>
      <c r="B8377" s="4" t="str">
        <f>IFERROR(__xludf.DUMMYFUNCTION("""COMPUTED_VALUE"""),"111, 93, 99")</f>
        <v>111, 93, 99</v>
      </c>
      <c r="C8377" s="5" t="str">
        <f>IFERROR(__xludf.DUMMYFUNCTION("""COMPUTED_VALUE"""),"https://drive.google.com/file/d/1VWg7FMwl2sUN5VK_tz4EFCaEfupdv8cS/view?usp=drivesdk")</f>
        <v>https://drive.google.com/file/d/1VWg7FMwl2sUN5VK_tz4EFCaEfupdv8cS/view?usp=drivesdk</v>
      </c>
      <c r="D8377" s="12"/>
      <c r="E8377" s="11">
        <v>8426.0</v>
      </c>
      <c r="F8377" s="2"/>
    </row>
    <row r="8378" ht="14.25" customHeight="1">
      <c r="A8378" s="4" t="str">
        <f>IFERROR(__xludf.DUMMYFUNCTION("""COMPUTED_VALUE"""),"12. Faye")</f>
        <v>12. Faye</v>
      </c>
      <c r="B8378" s="4" t="str">
        <f>IFERROR(__xludf.DUMMYFUNCTION("""COMPUTED_VALUE"""),"12")</f>
        <v>12</v>
      </c>
      <c r="C8378" s="5" t="str">
        <f>IFERROR(__xludf.DUMMYFUNCTION("""COMPUTED_VALUE"""),"https://drive.google.com/file/d/1DS23Be71BEb7JnustxQHgCRJBNMCOKih/view?usp=drivesdk")</f>
        <v>https://drive.google.com/file/d/1DS23Be71BEb7JnustxQHgCRJBNMCOKih/view?usp=drivesdk</v>
      </c>
      <c r="D8378" s="12"/>
      <c r="E8378" s="11">
        <v>8427.0</v>
      </c>
      <c r="F8378" s="2"/>
    </row>
    <row r="8379" ht="14.25" customHeight="1">
      <c r="A8379" s="4" t="str">
        <f>IFERROR(__xludf.DUMMYFUNCTION("""COMPUTED_VALUE"""),"2. Twix")</f>
        <v>2. Twix</v>
      </c>
      <c r="B8379" s="4" t="str">
        <f>IFERROR(__xludf.DUMMYFUNCTION("""COMPUTED_VALUE"""),"2")</f>
        <v>2</v>
      </c>
      <c r="C8379" s="5" t="str">
        <f>IFERROR(__xludf.DUMMYFUNCTION("""COMPUTED_VALUE"""),"https://drive.google.com/file/d/1UfFLU1eNLc2czXig24uJ2-lSZDIekt_m/view?usp=drivesdk")</f>
        <v>https://drive.google.com/file/d/1UfFLU1eNLc2czXig24uJ2-lSZDIekt_m/view?usp=drivesdk</v>
      </c>
      <c r="D8379" s="12"/>
      <c r="E8379" s="11">
        <v>8428.0</v>
      </c>
      <c r="F8379" s="2"/>
    </row>
    <row r="8380" ht="14.25" customHeight="1">
      <c r="A8380" s="4" t="str">
        <f>IFERROR(__xludf.DUMMYFUNCTION("""COMPUTED_VALUE"""),"147. Tenextic, 100. Coatl")</f>
        <v>147. Tenextic, 100. Coatl</v>
      </c>
      <c r="B8380" s="4" t="str">
        <f>IFERROR(__xludf.DUMMYFUNCTION("""COMPUTED_VALUE"""),"147, 100")</f>
        <v>147, 100</v>
      </c>
      <c r="C8380" s="5" t="str">
        <f>IFERROR(__xludf.DUMMYFUNCTION("""COMPUTED_VALUE"""),"https://drive.google.com/file/d/1--Hi160JrO3psSNDpwCigoVeSyqTwQ71/view?usp=drivesdk")</f>
        <v>https://drive.google.com/file/d/1--Hi160JrO3psSNDpwCigoVeSyqTwQ71/view?usp=drivesdk</v>
      </c>
      <c r="D8380" s="12"/>
      <c r="E8380" s="11">
        <v>8429.0</v>
      </c>
      <c r="F8380" s="2"/>
    </row>
    <row r="8381" ht="14.25" customHeight="1">
      <c r="A8381" s="4" t="str">
        <f>IFERROR(__xludf.DUMMYFUNCTION("""COMPUTED_VALUE"""),"147. Tenextic")</f>
        <v>147. Tenextic</v>
      </c>
      <c r="B8381" s="4" t="str">
        <f>IFERROR(__xludf.DUMMYFUNCTION("""COMPUTED_VALUE"""),"147")</f>
        <v>147</v>
      </c>
      <c r="C8381" s="5" t="str">
        <f>IFERROR(__xludf.DUMMYFUNCTION("""COMPUTED_VALUE"""),"https://drive.google.com/file/d/1kdrSuq3B_dVJ41ErtQQzg_awlhDk6WQm/view?usp=drivesdk")</f>
        <v>https://drive.google.com/file/d/1kdrSuq3B_dVJ41ErtQQzg_awlhDk6WQm/view?usp=drivesdk</v>
      </c>
      <c r="D8381" s="12"/>
      <c r="E8381" s="11">
        <v>8430.0</v>
      </c>
      <c r="F8381" s="2"/>
    </row>
    <row r="8382" ht="14.25" customHeight="1">
      <c r="A8382" s="4" t="str">
        <f>IFERROR(__xludf.DUMMYFUNCTION("""COMPUTED_VALUE"""),"147. Tenextic")</f>
        <v>147. Tenextic</v>
      </c>
      <c r="B8382" s="4" t="str">
        <f>IFERROR(__xludf.DUMMYFUNCTION("""COMPUTED_VALUE"""),"147")</f>
        <v>147</v>
      </c>
      <c r="C8382" s="5" t="str">
        <f>IFERROR(__xludf.DUMMYFUNCTION("""COMPUTED_VALUE"""),"https://drive.google.com/file/d/1EgKtlPbQFmQM6ynAKlsbvtBJpyereHlC/view?usp=drivesdk")</f>
        <v>https://drive.google.com/file/d/1EgKtlPbQFmQM6ynAKlsbvtBJpyereHlC/view?usp=drivesdk</v>
      </c>
      <c r="D8382" s="12"/>
      <c r="E8382" s="11">
        <v>8431.0</v>
      </c>
      <c r="F8382" s="2"/>
    </row>
    <row r="8383" ht="14.25" customHeight="1">
      <c r="A8383" s="4" t="str">
        <f>IFERROR(__xludf.DUMMYFUNCTION("""COMPUTED_VALUE"""),"147. Tenextic")</f>
        <v>147. Tenextic</v>
      </c>
      <c r="B8383" s="4" t="str">
        <f>IFERROR(__xludf.DUMMYFUNCTION("""COMPUTED_VALUE"""),"147")</f>
        <v>147</v>
      </c>
      <c r="C8383" s="5" t="str">
        <f>IFERROR(__xludf.DUMMYFUNCTION("""COMPUTED_VALUE"""),"https://drive.google.com/file/d/1qZzJbyqqm5EEQa0TPq6rnJM8TIgMOqcL/view?usp=drivesdk")</f>
        <v>https://drive.google.com/file/d/1qZzJbyqqm5EEQa0TPq6rnJM8TIgMOqcL/view?usp=drivesdk</v>
      </c>
      <c r="D8383" s="12"/>
      <c r="E8383" s="11">
        <v>8432.0</v>
      </c>
      <c r="F8383" s="2"/>
    </row>
    <row r="8384" ht="14.25" customHeight="1">
      <c r="A8384" s="4" t="str">
        <f>IFERROR(__xludf.DUMMYFUNCTION("""COMPUTED_VALUE"""),"147. Tenextic, 20. Citlali")</f>
        <v>147. Tenextic, 20. Citlali</v>
      </c>
      <c r="B8384" s="4" t="str">
        <f>IFERROR(__xludf.DUMMYFUNCTION("""COMPUTED_VALUE"""),"147, 20")</f>
        <v>147, 20</v>
      </c>
      <c r="C8384" s="5" t="str">
        <f>IFERROR(__xludf.DUMMYFUNCTION("""COMPUTED_VALUE"""),"https://drive.google.com/file/d/1aMhbEykT7gDJgFbXs_l4BFOhG-HNJ1Rx/view?usp=drivesdk")</f>
        <v>https://drive.google.com/file/d/1aMhbEykT7gDJgFbXs_l4BFOhG-HNJ1Rx/view?usp=drivesdk</v>
      </c>
      <c r="D8384" s="12"/>
      <c r="E8384" s="11">
        <v>8433.0</v>
      </c>
      <c r="F8384" s="2"/>
    </row>
    <row r="8385" ht="14.25" customHeight="1">
      <c r="A8385" s="4" t="str">
        <f>IFERROR(__xludf.DUMMYFUNCTION("""COMPUTED_VALUE"""),"20. Citlali")</f>
        <v>20. Citlali</v>
      </c>
      <c r="B8385" s="4" t="str">
        <f>IFERROR(__xludf.DUMMYFUNCTION("""COMPUTED_VALUE"""),"20")</f>
        <v>20</v>
      </c>
      <c r="C8385" s="5" t="str">
        <f>IFERROR(__xludf.DUMMYFUNCTION("""COMPUTED_VALUE"""),"https://drive.google.com/file/d/1kVFjtCLjoEL2mKAxkMK_uHU_c35XWFel/view?usp=drivesdk")</f>
        <v>https://drive.google.com/file/d/1kVFjtCLjoEL2mKAxkMK_uHU_c35XWFel/view?usp=drivesdk</v>
      </c>
      <c r="D8385" s="12"/>
      <c r="E8385" s="11">
        <v>8434.0</v>
      </c>
      <c r="F8385" s="2"/>
    </row>
    <row r="8386" ht="14.25" customHeight="1">
      <c r="A8386" s="4" t="str">
        <f>IFERROR(__xludf.DUMMYFUNCTION("""COMPUTED_VALUE"""),"100. Coatl")</f>
        <v>100. Coatl</v>
      </c>
      <c r="B8386" s="4" t="str">
        <f>IFERROR(__xludf.DUMMYFUNCTION("""COMPUTED_VALUE"""),"100")</f>
        <v>100</v>
      </c>
      <c r="C8386" s="5" t="str">
        <f>IFERROR(__xludf.DUMMYFUNCTION("""COMPUTED_VALUE"""),"https://drive.google.com/file/d/10d4FNq9GDN5qR0pfZSymNGJZLTQ7KfEs/view?usp=drivesdk")</f>
        <v>https://drive.google.com/file/d/10d4FNq9GDN5qR0pfZSymNGJZLTQ7KfEs/view?usp=drivesdk</v>
      </c>
      <c r="D8386" s="12"/>
      <c r="E8386" s="11">
        <v>8435.0</v>
      </c>
      <c r="F8386" s="2"/>
    </row>
    <row r="8387" ht="14.25" customHeight="1">
      <c r="A8387" s="4" t="str">
        <f>IFERROR(__xludf.DUMMYFUNCTION("""COMPUTED_VALUE"""),"100. Coatl")</f>
        <v>100. Coatl</v>
      </c>
      <c r="B8387" s="4" t="str">
        <f>IFERROR(__xludf.DUMMYFUNCTION("""COMPUTED_VALUE"""),"100")</f>
        <v>100</v>
      </c>
      <c r="C8387" s="5" t="str">
        <f>IFERROR(__xludf.DUMMYFUNCTION("""COMPUTED_VALUE"""),"https://drive.google.com/file/d/1C8s0vMBUKxKkhvDICYugvYVqe4r4zPnG/view?usp=drivesdk")</f>
        <v>https://drive.google.com/file/d/1C8s0vMBUKxKkhvDICYugvYVqe4r4zPnG/view?usp=drivesdk</v>
      </c>
      <c r="D8387" s="12"/>
      <c r="E8387" s="11">
        <v>8436.0</v>
      </c>
      <c r="F8387" s="2"/>
    </row>
    <row r="8388" ht="14.25" customHeight="1">
      <c r="A8388" s="4" t="str">
        <f>IFERROR(__xludf.DUMMYFUNCTION("""COMPUTED_VALUE"""),"99. Nezhui, 100. Coatl")</f>
        <v>99. Nezhui, 100. Coatl</v>
      </c>
      <c r="B8388" s="4" t="str">
        <f>IFERROR(__xludf.DUMMYFUNCTION("""COMPUTED_VALUE"""),"99, 100")</f>
        <v>99, 100</v>
      </c>
      <c r="C8388" s="5" t="str">
        <f>IFERROR(__xludf.DUMMYFUNCTION("""COMPUTED_VALUE"""),"https://drive.google.com/file/d/19TO09k-aHXrZ-kq7pejf8h1mgIuefZ0d/view?usp=drivesdk")</f>
        <v>https://drive.google.com/file/d/19TO09k-aHXrZ-kq7pejf8h1mgIuefZ0d/view?usp=drivesdk</v>
      </c>
      <c r="D8388" s="12"/>
      <c r="E8388" s="11">
        <v>8437.0</v>
      </c>
      <c r="F8388" s="2"/>
    </row>
    <row r="8389" ht="14.25" customHeight="1">
      <c r="A8389" s="4" t="str">
        <f>IFERROR(__xludf.DUMMYFUNCTION("""COMPUTED_VALUE"""),"99. Nezhui")</f>
        <v>99. Nezhui</v>
      </c>
      <c r="B8389" s="4" t="str">
        <f>IFERROR(__xludf.DUMMYFUNCTION("""COMPUTED_VALUE"""),"99")</f>
        <v>99</v>
      </c>
      <c r="C8389" s="5" t="str">
        <f>IFERROR(__xludf.DUMMYFUNCTION("""COMPUTED_VALUE"""),"https://drive.google.com/file/d/1zstra8l4-_055UoIwamlxeVBEIJ8TOpS/view?usp=drivesdk")</f>
        <v>https://drive.google.com/file/d/1zstra8l4-_055UoIwamlxeVBEIJ8TOpS/view?usp=drivesdk</v>
      </c>
      <c r="D8389" s="12"/>
      <c r="E8389" s="11">
        <v>8438.0</v>
      </c>
      <c r="F8389" s="2"/>
    </row>
    <row r="8390" ht="14.25" customHeight="1">
      <c r="A8390" s="4" t="str">
        <f>IFERROR(__xludf.DUMMYFUNCTION("""COMPUTED_VALUE"""),"99. Nezhui")</f>
        <v>99. Nezhui</v>
      </c>
      <c r="B8390" s="4" t="str">
        <f>IFERROR(__xludf.DUMMYFUNCTION("""COMPUTED_VALUE"""),"99")</f>
        <v>99</v>
      </c>
      <c r="C8390" s="5" t="str">
        <f>IFERROR(__xludf.DUMMYFUNCTION("""COMPUTED_VALUE"""),"https://drive.google.com/file/d/1nEHfhXiiDWoa6Ro-fYLTPy46RmRUAQ5y/view?usp=drivesdk")</f>
        <v>https://drive.google.com/file/d/1nEHfhXiiDWoa6Ro-fYLTPy46RmRUAQ5y/view?usp=drivesdk</v>
      </c>
      <c r="D8390" s="12"/>
      <c r="E8390" s="11">
        <v>8439.0</v>
      </c>
      <c r="F8390" s="2"/>
    </row>
    <row r="8391" ht="14.25" customHeight="1">
      <c r="A8391" s="4" t="str">
        <f>IFERROR(__xludf.DUMMYFUNCTION("""COMPUTED_VALUE"""),"99. Nezhui")</f>
        <v>99. Nezhui</v>
      </c>
      <c r="B8391" s="4" t="str">
        <f>IFERROR(__xludf.DUMMYFUNCTION("""COMPUTED_VALUE"""),"99")</f>
        <v>99</v>
      </c>
      <c r="C8391" s="5" t="str">
        <f>IFERROR(__xludf.DUMMYFUNCTION("""COMPUTED_VALUE"""),"https://drive.google.com/file/d/1ouV8mw0x0NhMq9aL-kjc8cVmtb78_TR1/view?usp=drivesdk")</f>
        <v>https://drive.google.com/file/d/1ouV8mw0x0NhMq9aL-kjc8cVmtb78_TR1/view?usp=drivesdk</v>
      </c>
      <c r="D8391" s="12"/>
      <c r="E8391" s="11">
        <v>8440.0</v>
      </c>
      <c r="F8391" s="2"/>
    </row>
    <row r="8392" ht="14.25" customHeight="1">
      <c r="A8392" s="4" t="str">
        <f>IFERROR(__xludf.DUMMYFUNCTION("""COMPUTED_VALUE"""),"114. Elision, 99. Nezhui")</f>
        <v>114. Elision, 99. Nezhui</v>
      </c>
      <c r="B8392" s="4" t="str">
        <f>IFERROR(__xludf.DUMMYFUNCTION("""COMPUTED_VALUE"""),"114, 99")</f>
        <v>114, 99</v>
      </c>
      <c r="C8392" s="5" t="str">
        <f>IFERROR(__xludf.DUMMYFUNCTION("""COMPUTED_VALUE"""),"https://drive.google.com/file/d/1EgkfIVNxP2XsmAGlJl7tuKq7ztLvlhzm/view?usp=drivesdk")</f>
        <v>https://drive.google.com/file/d/1EgkfIVNxP2XsmAGlJl7tuKq7ztLvlhzm/view?usp=drivesdk</v>
      </c>
      <c r="D8392" s="12"/>
      <c r="E8392" s="11">
        <v>8441.0</v>
      </c>
      <c r="F8392" s="2"/>
    </row>
    <row r="8393" ht="14.25" customHeight="1">
      <c r="A8393" s="4" t="str">
        <f>IFERROR(__xludf.DUMMYFUNCTION("""COMPUTED_VALUE"""),"114. Elision")</f>
        <v>114. Elision</v>
      </c>
      <c r="B8393" s="4" t="str">
        <f>IFERROR(__xludf.DUMMYFUNCTION("""COMPUTED_VALUE"""),"114")</f>
        <v>114</v>
      </c>
      <c r="C8393" s="5" t="str">
        <f>IFERROR(__xludf.DUMMYFUNCTION("""COMPUTED_VALUE"""),"https://drive.google.com/file/d/1YtivJH40iREVAxWIIxcGx19IUxxZ2y6F/view?usp=drivesdk")</f>
        <v>https://drive.google.com/file/d/1YtivJH40iREVAxWIIxcGx19IUxxZ2y6F/view?usp=drivesdk</v>
      </c>
      <c r="D8393" s="12"/>
      <c r="E8393" s="11">
        <v>8442.0</v>
      </c>
      <c r="F8393" s="2"/>
    </row>
    <row r="8394" ht="14.25" customHeight="1">
      <c r="A8394" s="4" t="str">
        <f>IFERROR(__xludf.DUMMYFUNCTION("""COMPUTED_VALUE"""),"114. Elision")</f>
        <v>114. Elision</v>
      </c>
      <c r="B8394" s="4" t="str">
        <f>IFERROR(__xludf.DUMMYFUNCTION("""COMPUTED_VALUE"""),"114")</f>
        <v>114</v>
      </c>
      <c r="C8394" s="5" t="str">
        <f>IFERROR(__xludf.DUMMYFUNCTION("""COMPUTED_VALUE"""),"https://drive.google.com/file/d/1R66_LB5OywQ9tIM-ckmV7kKkuitP8Qxz/view?usp=drivesdk")</f>
        <v>https://drive.google.com/file/d/1R66_LB5OywQ9tIM-ckmV7kKkuitP8Qxz/view?usp=drivesdk</v>
      </c>
      <c r="D8394" s="12"/>
      <c r="E8394" s="11">
        <v>8443.0</v>
      </c>
      <c r="F8394" s="2"/>
    </row>
    <row r="8395" ht="14.25" customHeight="1">
      <c r="A8395" s="4" t="str">
        <f>IFERROR(__xludf.DUMMYFUNCTION("""COMPUTED_VALUE"""),"114. Elision")</f>
        <v>114. Elision</v>
      </c>
      <c r="B8395" s="4" t="str">
        <f>IFERROR(__xludf.DUMMYFUNCTION("""COMPUTED_VALUE"""),"114")</f>
        <v>114</v>
      </c>
      <c r="C8395" s="5" t="str">
        <f>IFERROR(__xludf.DUMMYFUNCTION("""COMPUTED_VALUE"""),"https://drive.google.com/file/d/1pO7LBhMjoHK0o71PanTuYMz5Dxi9GmwT/view?usp=drivesdk")</f>
        <v>https://drive.google.com/file/d/1pO7LBhMjoHK0o71PanTuYMz5Dxi9GmwT/view?usp=drivesdk</v>
      </c>
      <c r="D8395" s="12"/>
      <c r="E8395" s="11">
        <v>8444.0</v>
      </c>
      <c r="F8395" s="2"/>
    </row>
    <row r="8396" ht="14.25" customHeight="1">
      <c r="A8396" s="4" t="str">
        <f>IFERROR(__xludf.DUMMYFUNCTION("""COMPUTED_VALUE"""),"99. Nezhui")</f>
        <v>99. Nezhui</v>
      </c>
      <c r="B8396" s="4" t="str">
        <f>IFERROR(__xludf.DUMMYFUNCTION("""COMPUTED_VALUE"""),"99")</f>
        <v>99</v>
      </c>
      <c r="C8396" s="5" t="str">
        <f>IFERROR(__xludf.DUMMYFUNCTION("""COMPUTED_VALUE"""),"https://drive.google.com/file/d/1PSBRzJIYWNTiznEPmptmuGXaNAjILh8s/view?usp=drivesdk")</f>
        <v>https://drive.google.com/file/d/1PSBRzJIYWNTiznEPmptmuGXaNAjILh8s/view?usp=drivesdk</v>
      </c>
      <c r="D8396" s="12"/>
      <c r="E8396" s="11">
        <v>8445.0</v>
      </c>
      <c r="F8396" s="2"/>
    </row>
    <row r="8397" ht="14.25" customHeight="1">
      <c r="A8397" s="4" t="str">
        <f>IFERROR(__xludf.DUMMYFUNCTION("""COMPUTED_VALUE"""),"99. Nezhui")</f>
        <v>99. Nezhui</v>
      </c>
      <c r="B8397" s="4" t="str">
        <f>IFERROR(__xludf.DUMMYFUNCTION("""COMPUTED_VALUE"""),"99")</f>
        <v>99</v>
      </c>
      <c r="C8397" s="5" t="str">
        <f>IFERROR(__xludf.DUMMYFUNCTION("""COMPUTED_VALUE"""),"https://drive.google.com/file/d/1i-Wk0WeP_lLEL3ezLJIkratQ59On32t1/view?usp=drivesdk")</f>
        <v>https://drive.google.com/file/d/1i-Wk0WeP_lLEL3ezLJIkratQ59On32t1/view?usp=drivesdk</v>
      </c>
      <c r="D8397" s="12"/>
      <c r="E8397" s="11">
        <v>8446.0</v>
      </c>
      <c r="F8397" s="2"/>
    </row>
    <row r="8398" ht="14.25" customHeight="1">
      <c r="A8398" s="4" t="str">
        <f>IFERROR(__xludf.DUMMYFUNCTION("""COMPUTED_VALUE"""),"99. Nezhui")</f>
        <v>99. Nezhui</v>
      </c>
      <c r="B8398" s="4" t="str">
        <f>IFERROR(__xludf.DUMMYFUNCTION("""COMPUTED_VALUE"""),"99")</f>
        <v>99</v>
      </c>
      <c r="C8398" s="5" t="str">
        <f>IFERROR(__xludf.DUMMYFUNCTION("""COMPUTED_VALUE"""),"https://drive.google.com/file/d/17XDs89eZ5biWGzWomgvEa1Vvtny1KTF4/view?usp=drivesdk")</f>
        <v>https://drive.google.com/file/d/17XDs89eZ5biWGzWomgvEa1Vvtny1KTF4/view?usp=drivesdk</v>
      </c>
      <c r="D8398" s="12"/>
      <c r="E8398" s="11">
        <v>8447.0</v>
      </c>
      <c r="F8398" s="2"/>
    </row>
    <row r="8399" ht="14.25" customHeight="1">
      <c r="A8399" s="4" t="str">
        <f>IFERROR(__xludf.DUMMYFUNCTION("""COMPUTED_VALUE"""),"99. Nezhui")</f>
        <v>99. Nezhui</v>
      </c>
      <c r="B8399" s="4" t="str">
        <f>IFERROR(__xludf.DUMMYFUNCTION("""COMPUTED_VALUE"""),"99")</f>
        <v>99</v>
      </c>
      <c r="C8399" s="5" t="str">
        <f>IFERROR(__xludf.DUMMYFUNCTION("""COMPUTED_VALUE"""),"https://drive.google.com/file/d/1UhTdlO1-8LnZkmDLu_MCNbSXwNPgOkki/view?usp=drivesdk")</f>
        <v>https://drive.google.com/file/d/1UhTdlO1-8LnZkmDLu_MCNbSXwNPgOkki/view?usp=drivesdk</v>
      </c>
      <c r="D8399" s="12"/>
      <c r="E8399" s="11">
        <v>8448.0</v>
      </c>
      <c r="F8399" s="2"/>
    </row>
    <row r="8400" ht="14.25" customHeight="1">
      <c r="A8400" s="4" t="str">
        <f>IFERROR(__xludf.DUMMYFUNCTION("""COMPUTED_VALUE"""),"99. Nezhui")</f>
        <v>99. Nezhui</v>
      </c>
      <c r="B8400" s="4" t="str">
        <f>IFERROR(__xludf.DUMMYFUNCTION("""COMPUTED_VALUE"""),"99")</f>
        <v>99</v>
      </c>
      <c r="C8400" s="5" t="str">
        <f>IFERROR(__xludf.DUMMYFUNCTION("""COMPUTED_VALUE"""),"https://drive.google.com/file/d/1sySasXK1jdB-xKIh9MynTT5qPUvpl5kf/view?usp=drivesdk")</f>
        <v>https://drive.google.com/file/d/1sySasXK1jdB-xKIh9MynTT5qPUvpl5kf/view?usp=drivesdk</v>
      </c>
      <c r="D8400" s="12"/>
      <c r="E8400" s="11">
        <v>8449.0</v>
      </c>
      <c r="F8400" s="2"/>
    </row>
    <row r="8401" ht="14.25" customHeight="1">
      <c r="A8401" s="4" t="str">
        <f>IFERROR(__xludf.DUMMYFUNCTION("""COMPUTED_VALUE"""),"99. Nezhui")</f>
        <v>99. Nezhui</v>
      </c>
      <c r="B8401" s="4" t="str">
        <f>IFERROR(__xludf.DUMMYFUNCTION("""COMPUTED_VALUE"""),"99")</f>
        <v>99</v>
      </c>
      <c r="C8401" s="5" t="str">
        <f>IFERROR(__xludf.DUMMYFUNCTION("""COMPUTED_VALUE"""),"https://drive.google.com/file/d/1Scb9QeYskzeT5HQOPh67c5t9EPJE7-be/view?usp=drivesdk")</f>
        <v>https://drive.google.com/file/d/1Scb9QeYskzeT5HQOPh67c5t9EPJE7-be/view?usp=drivesdk</v>
      </c>
      <c r="D8401" s="12"/>
      <c r="E8401" s="11">
        <v>8450.0</v>
      </c>
      <c r="F8401" s="2"/>
    </row>
    <row r="8402" ht="14.25" customHeight="1">
      <c r="A8402" s="4" t="str">
        <f>IFERROR(__xludf.DUMMYFUNCTION("""COMPUTED_VALUE"""),"1. Microwave")</f>
        <v>1. Microwave</v>
      </c>
      <c r="B8402" s="4" t="str">
        <f>IFERROR(__xludf.DUMMYFUNCTION("""COMPUTED_VALUE"""),"1")</f>
        <v>1</v>
      </c>
      <c r="C8402" s="5" t="str">
        <f>IFERROR(__xludf.DUMMYFUNCTION("""COMPUTED_VALUE"""),"https://drive.google.com/file/d/1QdZ50MBVSlTBp35VF2AVfLgSVbg4f1em/view?usp=drivesdk")</f>
        <v>https://drive.google.com/file/d/1QdZ50MBVSlTBp35VF2AVfLgSVbg4f1em/view?usp=drivesdk</v>
      </c>
      <c r="D8402" s="12"/>
      <c r="E8402" s="11">
        <v>8451.0</v>
      </c>
      <c r="F8402" s="2"/>
    </row>
    <row r="8403" ht="14.25" customHeight="1">
      <c r="A8403" s="4" t="str">
        <f>IFERROR(__xludf.DUMMYFUNCTION("""COMPUTED_VALUE"""),"1. Microwave")</f>
        <v>1. Microwave</v>
      </c>
      <c r="B8403" s="4" t="str">
        <f>IFERROR(__xludf.DUMMYFUNCTION("""COMPUTED_VALUE"""),"1")</f>
        <v>1</v>
      </c>
      <c r="C8403" s="5" t="str">
        <f>IFERROR(__xludf.DUMMYFUNCTION("""COMPUTED_VALUE"""),"https://drive.google.com/file/d/139_9JZkOZ2A56sWR69ONcJChDgo7FSsA/view?usp=drivesdk")</f>
        <v>https://drive.google.com/file/d/139_9JZkOZ2A56sWR69ONcJChDgo7FSsA/view?usp=drivesdk</v>
      </c>
      <c r="D8403" s="12"/>
      <c r="E8403" s="11">
        <v>8452.0</v>
      </c>
      <c r="F8403" s="2"/>
    </row>
    <row r="8404" ht="14.25" customHeight="1">
      <c r="A8404" s="4" t="str">
        <f>IFERROR(__xludf.DUMMYFUNCTION("""COMPUTED_VALUE"""),"1. Microwave")</f>
        <v>1. Microwave</v>
      </c>
      <c r="B8404" s="4" t="str">
        <f>IFERROR(__xludf.DUMMYFUNCTION("""COMPUTED_VALUE"""),"1")</f>
        <v>1</v>
      </c>
      <c r="C8404" s="5" t="str">
        <f>IFERROR(__xludf.DUMMYFUNCTION("""COMPUTED_VALUE"""),"https://drive.google.com/file/d/1ejpmy5nXL1e0YgGJu5as2EGiLEIPrBcL/view?usp=drivesdk")</f>
        <v>https://drive.google.com/file/d/1ejpmy5nXL1e0YgGJu5as2EGiLEIPrBcL/view?usp=drivesdk</v>
      </c>
      <c r="D8404" s="12"/>
      <c r="E8404" s="11">
        <v>8453.0</v>
      </c>
      <c r="F8404" s="2"/>
    </row>
    <row r="8405" ht="14.25" customHeight="1">
      <c r="A8405" s="4" t="str">
        <f>IFERROR(__xludf.DUMMYFUNCTION("""COMPUTED_VALUE"""),"1. Microwave")</f>
        <v>1. Microwave</v>
      </c>
      <c r="B8405" s="4" t="str">
        <f>IFERROR(__xludf.DUMMYFUNCTION("""COMPUTED_VALUE"""),"1")</f>
        <v>1</v>
      </c>
      <c r="C8405" s="5" t="str">
        <f>IFERROR(__xludf.DUMMYFUNCTION("""COMPUTED_VALUE"""),"https://drive.google.com/file/d/1WPjwb7_-BlZAAzI7D2iVpqiofG4ypHKy/view?usp=drivesdk")</f>
        <v>https://drive.google.com/file/d/1WPjwb7_-BlZAAzI7D2iVpqiofG4ypHKy/view?usp=drivesdk</v>
      </c>
      <c r="D8405" s="12"/>
      <c r="E8405" s="11">
        <v>8454.0</v>
      </c>
      <c r="F8405" s="2"/>
    </row>
    <row r="8406" ht="14.25" customHeight="1">
      <c r="A8406" s="4" t="str">
        <f>IFERROR(__xludf.DUMMYFUNCTION("""COMPUTED_VALUE"""),"1. Microwave")</f>
        <v>1. Microwave</v>
      </c>
      <c r="B8406" s="4" t="str">
        <f>IFERROR(__xludf.DUMMYFUNCTION("""COMPUTED_VALUE"""),"1")</f>
        <v>1</v>
      </c>
      <c r="C8406" s="5" t="str">
        <f>IFERROR(__xludf.DUMMYFUNCTION("""COMPUTED_VALUE"""),"https://drive.google.com/file/d/1nF40sDuhKcG5nNoH9uLBAXkSbRALG_tt/view?usp=drivesdk")</f>
        <v>https://drive.google.com/file/d/1nF40sDuhKcG5nNoH9uLBAXkSbRALG_tt/view?usp=drivesdk</v>
      </c>
      <c r="D8406" s="12"/>
      <c r="E8406" s="11">
        <v>8455.0</v>
      </c>
      <c r="F8406" s="2"/>
    </row>
    <row r="8407" ht="14.25" customHeight="1">
      <c r="A8407" s="4" t="str">
        <f>IFERROR(__xludf.DUMMYFUNCTION("""COMPUTED_VALUE"""),"2. Twix")</f>
        <v>2. Twix</v>
      </c>
      <c r="B8407" s="4" t="str">
        <f>IFERROR(__xludf.DUMMYFUNCTION("""COMPUTED_VALUE"""),"2")</f>
        <v>2</v>
      </c>
      <c r="C8407" s="5" t="str">
        <f>IFERROR(__xludf.DUMMYFUNCTION("""COMPUTED_VALUE"""),"https://drive.google.com/file/d/1I1nJrOoKNX2nlh9YHhNaIOozB-xC9P99/view?usp=drivesdk")</f>
        <v>https://drive.google.com/file/d/1I1nJrOoKNX2nlh9YHhNaIOozB-xC9P99/view?usp=drivesdk</v>
      </c>
      <c r="D8407" s="12"/>
      <c r="E8407" s="11">
        <v>8456.0</v>
      </c>
      <c r="F8407" s="2"/>
    </row>
    <row r="8408" ht="14.25" customHeight="1">
      <c r="A8408" s="4" t="str">
        <f>IFERROR(__xludf.DUMMYFUNCTION("""COMPUTED_VALUE"""),"1. Microwave")</f>
        <v>1. Microwave</v>
      </c>
      <c r="B8408" s="4" t="str">
        <f>IFERROR(__xludf.DUMMYFUNCTION("""COMPUTED_VALUE"""),"1")</f>
        <v>1</v>
      </c>
      <c r="C8408" s="5" t="str">
        <f>IFERROR(__xludf.DUMMYFUNCTION("""COMPUTED_VALUE"""),"https://drive.google.com/file/d/1itbM7159hRQGDrMrsZ5bO43UyZNpeqUs/view?usp=drivesdk")</f>
        <v>https://drive.google.com/file/d/1itbM7159hRQGDrMrsZ5bO43UyZNpeqUs/view?usp=drivesdk</v>
      </c>
      <c r="D8408" s="12"/>
      <c r="E8408" s="11">
        <v>8457.0</v>
      </c>
      <c r="F8408" s="2"/>
    </row>
    <row r="8409" ht="14.25" customHeight="1">
      <c r="A8409" s="4" t="str">
        <f>IFERROR(__xludf.DUMMYFUNCTION("""COMPUTED_VALUE"""),"2. Twix")</f>
        <v>2. Twix</v>
      </c>
      <c r="B8409" s="4" t="str">
        <f>IFERROR(__xludf.DUMMYFUNCTION("""COMPUTED_VALUE"""),"2")</f>
        <v>2</v>
      </c>
      <c r="C8409" s="5" t="str">
        <f>IFERROR(__xludf.DUMMYFUNCTION("""COMPUTED_VALUE"""),"https://drive.google.com/file/d/1IfEb9Ey6oMARqBeNFOuqulIYE9PB6AM4/view?usp=drivesdk")</f>
        <v>https://drive.google.com/file/d/1IfEb9Ey6oMARqBeNFOuqulIYE9PB6AM4/view?usp=drivesdk</v>
      </c>
      <c r="D8409" s="12"/>
      <c r="E8409" s="11">
        <v>8458.0</v>
      </c>
      <c r="F8409" s="2"/>
    </row>
    <row r="8410" ht="14.25" customHeight="1">
      <c r="A8410" s="4" t="str">
        <f>IFERROR(__xludf.DUMMYFUNCTION("""COMPUTED_VALUE"""),"4. Eggs")</f>
        <v>4. Eggs</v>
      </c>
      <c r="B8410" s="4" t="str">
        <f>IFERROR(__xludf.DUMMYFUNCTION("""COMPUTED_VALUE"""),"4")</f>
        <v>4</v>
      </c>
      <c r="C8410" s="5" t="str">
        <f>IFERROR(__xludf.DUMMYFUNCTION("""COMPUTED_VALUE"""),"https://drive.google.com/file/d/1B3DFQJXn5dEDTy0V-b5ZzG2W1D4F9uI7/view?usp=drivesdk")</f>
        <v>https://drive.google.com/file/d/1B3DFQJXn5dEDTy0V-b5ZzG2W1D4F9uI7/view?usp=drivesdk</v>
      </c>
      <c r="D8410" s="12"/>
      <c r="E8410" s="11">
        <v>8459.0</v>
      </c>
      <c r="F8410" s="2"/>
    </row>
    <row r="8411" ht="14.25" customHeight="1">
      <c r="A8411" s="4" t="str">
        <f>IFERROR(__xludf.DUMMYFUNCTION("""COMPUTED_VALUE"""),"45. Boots, 40. Dumpster, 141. Kamahalan, 41. Gregory")</f>
        <v>45. Boots, 40. Dumpster, 141. Kamahalan, 41. Gregory</v>
      </c>
      <c r="B8411" s="4" t="str">
        <f>IFERROR(__xludf.DUMMYFUNCTION("""COMPUTED_VALUE"""),"45, 40, 141, 41")</f>
        <v>45, 40, 141, 41</v>
      </c>
      <c r="C8411" s="5" t="str">
        <f>IFERROR(__xludf.DUMMYFUNCTION("""COMPUTED_VALUE"""),"https://drive.google.com/file/d/1MoGjBnhFw0dNP3GdhnNkcM3jBidVpzod/view?usp=drivesdk")</f>
        <v>https://drive.google.com/file/d/1MoGjBnhFw0dNP3GdhnNkcM3jBidVpzod/view?usp=drivesdk</v>
      </c>
      <c r="D8411" s="12"/>
      <c r="E8411" s="11">
        <v>8460.0</v>
      </c>
      <c r="F8411" s="2"/>
    </row>
    <row r="8412" ht="14.25" customHeight="1">
      <c r="A8412" s="4" t="str">
        <f>IFERROR(__xludf.DUMMYFUNCTION("""COMPUTED_VALUE"""),"126. Tax Evasion")</f>
        <v>126. Tax Evasion</v>
      </c>
      <c r="B8412" s="4" t="str">
        <f>IFERROR(__xludf.DUMMYFUNCTION("""COMPUTED_VALUE"""),"126")</f>
        <v>126</v>
      </c>
      <c r="C8412" s="5" t="str">
        <f>IFERROR(__xludf.DUMMYFUNCTION("""COMPUTED_VALUE"""),"https://drive.google.com/file/d/1bVdQOTW92spnZPBjdx-Bj-ouOcKpd2N7/view?usp=drivesdk")</f>
        <v>https://drive.google.com/file/d/1bVdQOTW92spnZPBjdx-Bj-ouOcKpd2N7/view?usp=drivesdk</v>
      </c>
      <c r="D8412" s="12"/>
      <c r="E8412" s="11">
        <v>8461.0</v>
      </c>
      <c r="F8412" s="2"/>
    </row>
    <row r="8413" ht="14.25" customHeight="1">
      <c r="A8413" s="4" t="str">
        <f>IFERROR(__xludf.DUMMYFUNCTION("""COMPUTED_VALUE"""),"99. Nezhui")</f>
        <v>99. Nezhui</v>
      </c>
      <c r="B8413" s="4" t="str">
        <f>IFERROR(__xludf.DUMMYFUNCTION("""COMPUTED_VALUE"""),"99")</f>
        <v>99</v>
      </c>
      <c r="C8413" s="5" t="str">
        <f>IFERROR(__xludf.DUMMYFUNCTION("""COMPUTED_VALUE"""),"https://drive.google.com/file/d/1DUYmE0rSebEGG6mF2TS5dl1hATc_oVCR/view?usp=drivesdk")</f>
        <v>https://drive.google.com/file/d/1DUYmE0rSebEGG6mF2TS5dl1hATc_oVCR/view?usp=drivesdk</v>
      </c>
      <c r="D8413" s="12"/>
      <c r="E8413" s="11">
        <v>8462.0</v>
      </c>
      <c r="F8413" s="2"/>
    </row>
    <row r="8414" ht="14.25" customHeight="1">
      <c r="A8414" s="4" t="str">
        <f>IFERROR(__xludf.DUMMYFUNCTION("""COMPUTED_VALUE"""),"99. Nezhui")</f>
        <v>99. Nezhui</v>
      </c>
      <c r="B8414" s="4" t="str">
        <f>IFERROR(__xludf.DUMMYFUNCTION("""COMPUTED_VALUE"""),"99")</f>
        <v>99</v>
      </c>
      <c r="C8414" s="5" t="str">
        <f>IFERROR(__xludf.DUMMYFUNCTION("""COMPUTED_VALUE"""),"https://drive.google.com/file/d/1QT6uEHBMDLZBri1UQ7QzgrxAW1H2gcM7/view?usp=drivesdk")</f>
        <v>https://drive.google.com/file/d/1QT6uEHBMDLZBri1UQ7QzgrxAW1H2gcM7/view?usp=drivesdk</v>
      </c>
      <c r="D8414" s="12"/>
      <c r="E8414" s="11">
        <v>8463.0</v>
      </c>
      <c r="F8414" s="2"/>
    </row>
    <row r="8415" ht="14.25" customHeight="1">
      <c r="A8415" s="4" t="str">
        <f>IFERROR(__xludf.DUMMYFUNCTION("""COMPUTED_VALUE"""),"94. Itztli")</f>
        <v>94. Itztli</v>
      </c>
      <c r="B8415" s="4" t="str">
        <f>IFERROR(__xludf.DUMMYFUNCTION("""COMPUTED_VALUE"""),"94")</f>
        <v>94</v>
      </c>
      <c r="C8415" s="5" t="str">
        <f>IFERROR(__xludf.DUMMYFUNCTION("""COMPUTED_VALUE"""),"https://drive.google.com/file/d/1QmMoET5nEJwS4Bn-CHQsWtSSvLsFfQC4/view?usp=drivesdk")</f>
        <v>https://drive.google.com/file/d/1QmMoET5nEJwS4Bn-CHQsWtSSvLsFfQC4/view?usp=drivesdk</v>
      </c>
      <c r="D8415" s="12"/>
      <c r="E8415" s="11">
        <v>8464.0</v>
      </c>
      <c r="F8415" s="2"/>
    </row>
    <row r="8416" ht="14.25" customHeight="1">
      <c r="A8416" s="4" t="str">
        <f>IFERROR(__xludf.DUMMYFUNCTION("""COMPUTED_VALUE"""),"111. Mayatl")</f>
        <v>111. Mayatl</v>
      </c>
      <c r="B8416" s="4" t="str">
        <f>IFERROR(__xludf.DUMMYFUNCTION("""COMPUTED_VALUE"""),"111")</f>
        <v>111</v>
      </c>
      <c r="C8416" s="5" t="str">
        <f>IFERROR(__xludf.DUMMYFUNCTION("""COMPUTED_VALUE"""),"https://drive.google.com/file/d/1dcgyyeinj1fGr3KXuGR9tYioTtYx7kLC/view?usp=drivesdk")</f>
        <v>https://drive.google.com/file/d/1dcgyyeinj1fGr3KXuGR9tYioTtYx7kLC/view?usp=drivesdk</v>
      </c>
      <c r="D8416" s="12"/>
      <c r="E8416" s="11">
        <v>8465.0</v>
      </c>
      <c r="F8416" s="2"/>
    </row>
    <row r="8417" ht="14.25" customHeight="1">
      <c r="A8417" s="4" t="str">
        <f>IFERROR(__xludf.DUMMYFUNCTION("""COMPUTED_VALUE"""),"111. Mayatl")</f>
        <v>111. Mayatl</v>
      </c>
      <c r="B8417" s="4" t="str">
        <f>IFERROR(__xludf.DUMMYFUNCTION("""COMPUTED_VALUE"""),"111")</f>
        <v>111</v>
      </c>
      <c r="C8417" s="5" t="str">
        <f>IFERROR(__xludf.DUMMYFUNCTION("""COMPUTED_VALUE"""),"https://drive.google.com/file/d/1LQCGFj9hHiGz07UzRtlPevqU1y67F_sB/view?usp=drivesdk")</f>
        <v>https://drive.google.com/file/d/1LQCGFj9hHiGz07UzRtlPevqU1y67F_sB/view?usp=drivesdk</v>
      </c>
      <c r="D8417" s="12"/>
      <c r="E8417" s="11">
        <v>8466.0</v>
      </c>
      <c r="F8417" s="2"/>
    </row>
    <row r="8418" ht="14.25" customHeight="1">
      <c r="A8418" s="4" t="str">
        <f>IFERROR(__xludf.DUMMYFUNCTION("""COMPUTED_VALUE"""),"20. Citlali")</f>
        <v>20. Citlali</v>
      </c>
      <c r="B8418" s="4" t="str">
        <f>IFERROR(__xludf.DUMMYFUNCTION("""COMPUTED_VALUE"""),"20")</f>
        <v>20</v>
      </c>
      <c r="C8418" s="5" t="str">
        <f>IFERROR(__xludf.DUMMYFUNCTION("""COMPUTED_VALUE"""),"https://drive.google.com/file/d/1uXoWhDdSxXoHZHrrrVa3HhPQjf4eDKGv/view?usp=drivesdk")</f>
        <v>https://drive.google.com/file/d/1uXoWhDdSxXoHZHrrrVa3HhPQjf4eDKGv/view?usp=drivesdk</v>
      </c>
      <c r="D8418" s="12"/>
      <c r="E8418" s="11">
        <v>8467.0</v>
      </c>
      <c r="F8418" s="2"/>
    </row>
    <row r="8419" ht="14.25" customHeight="1">
      <c r="A8419" s="4" t="str">
        <f>IFERROR(__xludf.DUMMYFUNCTION("""COMPUTED_VALUE"""),"20. Citlali")</f>
        <v>20. Citlali</v>
      </c>
      <c r="B8419" s="4" t="str">
        <f>IFERROR(__xludf.DUMMYFUNCTION("""COMPUTED_VALUE"""),"20")</f>
        <v>20</v>
      </c>
      <c r="C8419" s="5" t="str">
        <f>IFERROR(__xludf.DUMMYFUNCTION("""COMPUTED_VALUE"""),"https://drive.google.com/file/d/1wf0eZTjwHw0p-wEw9J5IhmX8yCrLPJLU/view?usp=drivesdk")</f>
        <v>https://drive.google.com/file/d/1wf0eZTjwHw0p-wEw9J5IhmX8yCrLPJLU/view?usp=drivesdk</v>
      </c>
      <c r="D8419" s="12"/>
      <c r="E8419" s="11">
        <v>8468.0</v>
      </c>
      <c r="F8419" s="2"/>
    </row>
    <row r="8420" ht="14.25" customHeight="1">
      <c r="A8420" s="4" t="str">
        <f>IFERROR(__xludf.DUMMYFUNCTION("""COMPUTED_VALUE"""),"99. Nezhui")</f>
        <v>99. Nezhui</v>
      </c>
      <c r="B8420" s="4" t="str">
        <f>IFERROR(__xludf.DUMMYFUNCTION("""COMPUTED_VALUE"""),"99")</f>
        <v>99</v>
      </c>
      <c r="C8420" s="5" t="str">
        <f>IFERROR(__xludf.DUMMYFUNCTION("""COMPUTED_VALUE"""),"https://drive.google.com/file/d/1DqZxnCa01RbdyLhNsxu67Cp3x8TD2blh/view?usp=drivesdk")</f>
        <v>https://drive.google.com/file/d/1DqZxnCa01RbdyLhNsxu67Cp3x8TD2blh/view?usp=drivesdk</v>
      </c>
      <c r="D8420" s="12"/>
      <c r="E8420" s="11">
        <v>8469.0</v>
      </c>
      <c r="F8420" s="2"/>
    </row>
    <row r="8421" ht="14.25" customHeight="1">
      <c r="A8421" s="4" t="str">
        <f>IFERROR(__xludf.DUMMYFUNCTION("""COMPUTED_VALUE"""),"99. Nezhui, 100. Coatl, 106. Ami")</f>
        <v>99. Nezhui, 100. Coatl, 106. Ami</v>
      </c>
      <c r="B8421" s="4" t="str">
        <f>IFERROR(__xludf.DUMMYFUNCTION("""COMPUTED_VALUE"""),"99, 100, 106")</f>
        <v>99, 100, 106</v>
      </c>
      <c r="C8421" s="5" t="str">
        <f>IFERROR(__xludf.DUMMYFUNCTION("""COMPUTED_VALUE"""),"https://drive.google.com/file/d/1S6Ly-nZlZjfPdtWxGFPnlecsCZ51tZSP/view?usp=drivesdk")</f>
        <v>https://drive.google.com/file/d/1S6Ly-nZlZjfPdtWxGFPnlecsCZ51tZSP/view?usp=drivesdk</v>
      </c>
      <c r="D8421" s="12"/>
      <c r="E8421" s="11">
        <v>8470.0</v>
      </c>
      <c r="F8421" s="2"/>
    </row>
    <row r="8422" ht="14.25" customHeight="1">
      <c r="A8422" s="4" t="str">
        <f>IFERROR(__xludf.DUMMYFUNCTION("""COMPUTED_VALUE"""),"30. Pepper, 29. Ginger, 27. Angel")</f>
        <v>30. Pepper, 29. Ginger, 27. Angel</v>
      </c>
      <c r="B8422" s="4" t="str">
        <f>IFERROR(__xludf.DUMMYFUNCTION("""COMPUTED_VALUE"""),"30, 29, 27")</f>
        <v>30, 29, 27</v>
      </c>
      <c r="C8422" s="5" t="str">
        <f>IFERROR(__xludf.DUMMYFUNCTION("""COMPUTED_VALUE"""),"https://drive.google.com/file/d/15lOQPTAuSgfsKucUBsdaQP4A5ipukA73/view?usp=drivesdk")</f>
        <v>https://drive.google.com/file/d/15lOQPTAuSgfsKucUBsdaQP4A5ipukA73/view?usp=drivesdk</v>
      </c>
      <c r="D8422" s="12"/>
      <c r="E8422" s="11">
        <v>8471.0</v>
      </c>
      <c r="F8422" s="2"/>
    </row>
    <row r="8423" ht="14.25" customHeight="1">
      <c r="A8423" s="4" t="str">
        <f>IFERROR(__xludf.DUMMYFUNCTION("""COMPUTED_VALUE"""),"116. Itzel, 99. Nezhui, 100. Coatl, 106. Ami")</f>
        <v>116. Itzel, 99. Nezhui, 100. Coatl, 106. Ami</v>
      </c>
      <c r="B8423" s="4" t="str">
        <f>IFERROR(__xludf.DUMMYFUNCTION("""COMPUTED_VALUE"""),"116, 99, 100, 106")</f>
        <v>116, 99, 100, 106</v>
      </c>
      <c r="C8423" s="5" t="str">
        <f>IFERROR(__xludf.DUMMYFUNCTION("""COMPUTED_VALUE"""),"https://drive.google.com/file/d/1aVn2OXz_pk14CED31DfWsHWYNjbOxRKl/view?usp=drivesdk")</f>
        <v>https://drive.google.com/file/d/1aVn2OXz_pk14CED31DfWsHWYNjbOxRKl/view?usp=drivesdk</v>
      </c>
      <c r="D8423" s="12"/>
      <c r="E8423" s="11">
        <v>8472.0</v>
      </c>
      <c r="F8423" s="2"/>
    </row>
    <row r="8424" ht="14.25" customHeight="1">
      <c r="A8424" s="4" t="str">
        <f>IFERROR(__xludf.DUMMYFUNCTION("""COMPUTED_VALUE"""),"116. Itzel")</f>
        <v>116. Itzel</v>
      </c>
      <c r="B8424" s="4" t="str">
        <f>IFERROR(__xludf.DUMMYFUNCTION("""COMPUTED_VALUE"""),"116")</f>
        <v>116</v>
      </c>
      <c r="C8424" s="5" t="str">
        <f>IFERROR(__xludf.DUMMYFUNCTION("""COMPUTED_VALUE"""),"https://drive.google.com/file/d/10Z4qkzuQ_DZSTPKGjtXf9EU0o0knhUnV/view?usp=drivesdk")</f>
        <v>https://drive.google.com/file/d/10Z4qkzuQ_DZSTPKGjtXf9EU0o0knhUnV/view?usp=drivesdk</v>
      </c>
      <c r="D8424" s="12"/>
      <c r="E8424" s="11">
        <v>8473.0</v>
      </c>
      <c r="F8424" s="2"/>
    </row>
    <row r="8425" ht="14.25" customHeight="1">
      <c r="A8425" s="4" t="str">
        <f>IFERROR(__xludf.DUMMYFUNCTION("""COMPUTED_VALUE"""),"116. Itzel")</f>
        <v>116. Itzel</v>
      </c>
      <c r="B8425" s="4" t="str">
        <f>IFERROR(__xludf.DUMMYFUNCTION("""COMPUTED_VALUE"""),"116")</f>
        <v>116</v>
      </c>
      <c r="C8425" s="5" t="str">
        <f>IFERROR(__xludf.DUMMYFUNCTION("""COMPUTED_VALUE"""),"https://drive.google.com/file/d/1Ct3sFv7YQ3I5w8bPPHj2qEcKAXRJYgix/view?usp=drivesdk")</f>
        <v>https://drive.google.com/file/d/1Ct3sFv7YQ3I5w8bPPHj2qEcKAXRJYgix/view?usp=drivesdk</v>
      </c>
      <c r="D8425" s="12"/>
      <c r="E8425" s="11">
        <v>8474.0</v>
      </c>
      <c r="F8425" s="2"/>
    </row>
    <row r="8426" ht="14.25" customHeight="1">
      <c r="A8426" s="4" t="str">
        <f>IFERROR(__xludf.DUMMYFUNCTION("""COMPUTED_VALUE"""),"128. Sinatra")</f>
        <v>128. Sinatra</v>
      </c>
      <c r="B8426" s="4" t="str">
        <f>IFERROR(__xludf.DUMMYFUNCTION("""COMPUTED_VALUE"""),"128")</f>
        <v>128</v>
      </c>
      <c r="C8426" s="5" t="str">
        <f>IFERROR(__xludf.DUMMYFUNCTION("""COMPUTED_VALUE"""),"https://drive.google.com/file/d/1ZUwh06I3Bc9wG-O1FHDwbz1YcseJ-eSq/view?usp=drivesdk")</f>
        <v>https://drive.google.com/file/d/1ZUwh06I3Bc9wG-O1FHDwbz1YcseJ-eSq/view?usp=drivesdk</v>
      </c>
      <c r="D8426" s="12"/>
      <c r="E8426" s="11">
        <v>8475.0</v>
      </c>
      <c r="F8426" s="2"/>
    </row>
    <row r="8427" ht="14.25" customHeight="1">
      <c r="A8427" s="4" t="str">
        <f>IFERROR(__xludf.DUMMYFUNCTION("""COMPUTED_VALUE"""),"128. Sinatra")</f>
        <v>128. Sinatra</v>
      </c>
      <c r="B8427" s="4" t="str">
        <f>IFERROR(__xludf.DUMMYFUNCTION("""COMPUTED_VALUE"""),"128")</f>
        <v>128</v>
      </c>
      <c r="C8427" s="5" t="str">
        <f>IFERROR(__xludf.DUMMYFUNCTION("""COMPUTED_VALUE"""),"https://drive.google.com/file/d/1JayvBbPZ0wE7Ux-7rif4CoFtswKEKLAf/view?usp=drivesdk")</f>
        <v>https://drive.google.com/file/d/1JayvBbPZ0wE7Ux-7rif4CoFtswKEKLAf/view?usp=drivesdk</v>
      </c>
      <c r="D8427" s="12"/>
      <c r="E8427" s="11">
        <v>8476.0</v>
      </c>
      <c r="F8427" s="2"/>
    </row>
    <row r="8428" ht="14.25" customHeight="1">
      <c r="A8428" s="4" t="str">
        <f>IFERROR(__xludf.DUMMYFUNCTION("""COMPUTED_VALUE"""),"51. Odin")</f>
        <v>51. Odin</v>
      </c>
      <c r="B8428" s="4" t="str">
        <f>IFERROR(__xludf.DUMMYFUNCTION("""COMPUTED_VALUE"""),"51")</f>
        <v>51</v>
      </c>
      <c r="C8428" s="5" t="str">
        <f>IFERROR(__xludf.DUMMYFUNCTION("""COMPUTED_VALUE"""),"https://drive.google.com/file/d/1b5905tCMonQvVF83dgHVVk49tMGJUbJo/view?usp=drivesdk")</f>
        <v>https://drive.google.com/file/d/1b5905tCMonQvVF83dgHVVk49tMGJUbJo/view?usp=drivesdk</v>
      </c>
      <c r="D8428" s="12"/>
      <c r="E8428" s="11">
        <v>8477.0</v>
      </c>
      <c r="F8428" s="2"/>
    </row>
    <row r="8429" ht="14.25" customHeight="1">
      <c r="A8429" s="4" t="str">
        <f>IFERROR(__xludf.DUMMYFUNCTION("""COMPUTED_VALUE"""),"51. Odin")</f>
        <v>51. Odin</v>
      </c>
      <c r="B8429" s="4" t="str">
        <f>IFERROR(__xludf.DUMMYFUNCTION("""COMPUTED_VALUE"""),"51")</f>
        <v>51</v>
      </c>
      <c r="C8429" s="5" t="str">
        <f>IFERROR(__xludf.DUMMYFUNCTION("""COMPUTED_VALUE"""),"https://drive.google.com/file/d/1dVPBZgNSPNNoMRvEBjNFKpe2sjXfNhz7/view?usp=drivesdk")</f>
        <v>https://drive.google.com/file/d/1dVPBZgNSPNNoMRvEBjNFKpe2sjXfNhz7/view?usp=drivesdk</v>
      </c>
      <c r="D8429" s="12"/>
      <c r="E8429" s="11">
        <v>8478.0</v>
      </c>
      <c r="F8429" s="2"/>
    </row>
    <row r="8430" ht="14.25" customHeight="1">
      <c r="A8430" s="4" t="str">
        <f>IFERROR(__xludf.DUMMYFUNCTION("""COMPUTED_VALUE"""),"2. Twix")</f>
        <v>2. Twix</v>
      </c>
      <c r="B8430" s="4" t="str">
        <f>IFERROR(__xludf.DUMMYFUNCTION("""COMPUTED_VALUE"""),"2")</f>
        <v>2</v>
      </c>
      <c r="C8430" s="5" t="str">
        <f>IFERROR(__xludf.DUMMYFUNCTION("""COMPUTED_VALUE"""),"https://drive.google.com/file/d/1ZuEDZlFDsu4-Ed48s3MV06Yl1YBuUxpC/view?usp=drivesdk")</f>
        <v>https://drive.google.com/file/d/1ZuEDZlFDsu4-Ed48s3MV06Yl1YBuUxpC/view?usp=drivesdk</v>
      </c>
      <c r="D8430" s="12"/>
      <c r="E8430" s="11">
        <v>8479.0</v>
      </c>
      <c r="F8430" s="2"/>
    </row>
    <row r="8431" ht="14.25" customHeight="1">
      <c r="A8431" s="4" t="str">
        <f>IFERROR(__xludf.DUMMYFUNCTION("""COMPUTED_VALUE"""),"4. Eggs")</f>
        <v>4. Eggs</v>
      </c>
      <c r="B8431" s="4" t="str">
        <f>IFERROR(__xludf.DUMMYFUNCTION("""COMPUTED_VALUE"""),"4")</f>
        <v>4</v>
      </c>
      <c r="C8431" s="5" t="str">
        <f>IFERROR(__xludf.DUMMYFUNCTION("""COMPUTED_VALUE"""),"https://drive.google.com/file/d/1GEwD0CoFsn8HV_oRntg4FYjJrmMusSZa/view?usp=drivesdk")</f>
        <v>https://drive.google.com/file/d/1GEwD0CoFsn8HV_oRntg4FYjJrmMusSZa/view?usp=drivesdk</v>
      </c>
      <c r="D8431" s="12"/>
      <c r="E8431" s="11">
        <v>8480.0</v>
      </c>
      <c r="F8431" s="2"/>
    </row>
    <row r="8432" ht="14.25" customHeight="1">
      <c r="A8432" s="4" t="str">
        <f>IFERROR(__xludf.DUMMYFUNCTION("""COMPUTED_VALUE"""),"38. Winston, 141. Kamahalan, 27. Angel, 61. Cassie, 44. Shitbag Cuntface")</f>
        <v>38. Winston, 141. Kamahalan, 27. Angel, 61. Cassie, 44. Shitbag Cuntface</v>
      </c>
      <c r="B8432" s="4" t="str">
        <f>IFERROR(__xludf.DUMMYFUNCTION("""COMPUTED_VALUE"""),"38, 141, 27, 61, 44")</f>
        <v>38, 141, 27, 61, 44</v>
      </c>
      <c r="C8432" s="5" t="str">
        <f>IFERROR(__xludf.DUMMYFUNCTION("""COMPUTED_VALUE"""),"https://drive.google.com/file/d/1RxPEDcFBbDG-urZPIXkRbQ-IkSl80ALm/view?usp=drivesdk")</f>
        <v>https://drive.google.com/file/d/1RxPEDcFBbDG-urZPIXkRbQ-IkSl80ALm/view?usp=drivesdk</v>
      </c>
      <c r="D8432" s="12"/>
      <c r="E8432" s="11">
        <v>8481.0</v>
      </c>
      <c r="F8432" s="2"/>
    </row>
    <row r="8433" ht="14.25" customHeight="1">
      <c r="A8433" s="4" t="str">
        <f>IFERROR(__xludf.DUMMYFUNCTION("""COMPUTED_VALUE"""),"127. Eleanor")</f>
        <v>127. Eleanor</v>
      </c>
      <c r="B8433" s="4" t="str">
        <f>IFERROR(__xludf.DUMMYFUNCTION("""COMPUTED_VALUE"""),"127")</f>
        <v>127</v>
      </c>
      <c r="C8433" s="5" t="str">
        <f>IFERROR(__xludf.DUMMYFUNCTION("""COMPUTED_VALUE"""),"https://drive.google.com/file/d/1ZZroGJkrTLcvJK-VnL41BVn6AEOUj6Tj/view?usp=drivesdk")</f>
        <v>https://drive.google.com/file/d/1ZZroGJkrTLcvJK-VnL41BVn6AEOUj6Tj/view?usp=drivesdk</v>
      </c>
      <c r="D8433" s="12"/>
      <c r="E8433" s="11">
        <v>8482.0</v>
      </c>
      <c r="F8433" s="2"/>
    </row>
    <row r="8434" ht="14.25" customHeight="1">
      <c r="A8434" s="4" t="str">
        <f>IFERROR(__xludf.DUMMYFUNCTION("""COMPUTED_VALUE"""),"127. Eleanor")</f>
        <v>127. Eleanor</v>
      </c>
      <c r="B8434" s="4" t="str">
        <f>IFERROR(__xludf.DUMMYFUNCTION("""COMPUTED_VALUE"""),"127")</f>
        <v>127</v>
      </c>
      <c r="C8434" s="5" t="str">
        <f>IFERROR(__xludf.DUMMYFUNCTION("""COMPUTED_VALUE"""),"https://drive.google.com/file/d/15HKS62i_cCOimmGhcdbIOr4mKG-do1tL/view?usp=drivesdk")</f>
        <v>https://drive.google.com/file/d/15HKS62i_cCOimmGhcdbIOr4mKG-do1tL/view?usp=drivesdk</v>
      </c>
      <c r="D8434" s="12"/>
      <c r="E8434" s="11">
        <v>8483.0</v>
      </c>
      <c r="F8434" s="2"/>
    </row>
    <row r="8435" ht="14.25" customHeight="1">
      <c r="A8435" s="4" t="str">
        <f>IFERROR(__xludf.DUMMYFUNCTION("""COMPUTED_VALUE"""),"127. Eleanor")</f>
        <v>127. Eleanor</v>
      </c>
      <c r="B8435" s="4" t="str">
        <f>IFERROR(__xludf.DUMMYFUNCTION("""COMPUTED_VALUE"""),"127")</f>
        <v>127</v>
      </c>
      <c r="C8435" s="5" t="str">
        <f>IFERROR(__xludf.DUMMYFUNCTION("""COMPUTED_VALUE"""),"https://drive.google.com/file/d/1yzbIJ7FLwcDzppBlmJpFAwnLceI2dY1C/view?usp=drivesdk")</f>
        <v>https://drive.google.com/file/d/1yzbIJ7FLwcDzppBlmJpFAwnLceI2dY1C/view?usp=drivesdk</v>
      </c>
      <c r="D8435" s="12"/>
      <c r="E8435" s="11">
        <v>8484.0</v>
      </c>
      <c r="F8435" s="2"/>
    </row>
    <row r="8436" ht="14.25" customHeight="1">
      <c r="A8436" s="4" t="str">
        <f>IFERROR(__xludf.DUMMYFUNCTION("""COMPUTED_VALUE"""),"1. Microwave")</f>
        <v>1. Microwave</v>
      </c>
      <c r="B8436" s="4" t="str">
        <f>IFERROR(__xludf.DUMMYFUNCTION("""COMPUTED_VALUE"""),"1")</f>
        <v>1</v>
      </c>
      <c r="C8436" s="5" t="str">
        <f>IFERROR(__xludf.DUMMYFUNCTION("""COMPUTED_VALUE"""),"https://drive.google.com/file/d/1zQ8pTghNBRrLoUy06OBHZ5qDLSfERbgB/view?usp=drivesdk")</f>
        <v>https://drive.google.com/file/d/1zQ8pTghNBRrLoUy06OBHZ5qDLSfERbgB/view?usp=drivesdk</v>
      </c>
      <c r="D8436" s="12"/>
      <c r="E8436" s="11">
        <v>8485.0</v>
      </c>
      <c r="F8436" s="2"/>
    </row>
    <row r="8437" ht="14.25" customHeight="1">
      <c r="A8437" s="4" t="str">
        <f>IFERROR(__xludf.DUMMYFUNCTION("""COMPUTED_VALUE"""),"5. Eraser")</f>
        <v>5. Eraser</v>
      </c>
      <c r="B8437" s="4" t="str">
        <f>IFERROR(__xludf.DUMMYFUNCTION("""COMPUTED_VALUE"""),"5")</f>
        <v>5</v>
      </c>
      <c r="C8437" s="5" t="str">
        <f>IFERROR(__xludf.DUMMYFUNCTION("""COMPUTED_VALUE"""),"https://drive.google.com/file/d/1nZQBGnz9b0pvYdDpjZ5LueMMaPNtHk6X/view?usp=drivesdk")</f>
        <v>https://drive.google.com/file/d/1nZQBGnz9b0pvYdDpjZ5LueMMaPNtHk6X/view?usp=drivesdk</v>
      </c>
      <c r="D8437" s="12"/>
      <c r="E8437" s="11">
        <v>8486.0</v>
      </c>
      <c r="F8437" s="2"/>
    </row>
    <row r="8438" ht="14.25" customHeight="1">
      <c r="A8438" s="4" t="str">
        <f>IFERROR(__xludf.DUMMYFUNCTION("""COMPUTED_VALUE"""),"1. Microwave")</f>
        <v>1. Microwave</v>
      </c>
      <c r="B8438" s="4" t="str">
        <f>IFERROR(__xludf.DUMMYFUNCTION("""COMPUTED_VALUE"""),"1")</f>
        <v>1</v>
      </c>
      <c r="C8438" s="5" t="str">
        <f>IFERROR(__xludf.DUMMYFUNCTION("""COMPUTED_VALUE"""),"https://drive.google.com/file/d/1008h5SP9dhRkOq4TkcyNy1m-SZbvdLrk/view?usp=drivesdk")</f>
        <v>https://drive.google.com/file/d/1008h5SP9dhRkOq4TkcyNy1m-SZbvdLrk/view?usp=drivesdk</v>
      </c>
      <c r="D8438" s="12"/>
      <c r="E8438" s="11">
        <v>8487.0</v>
      </c>
      <c r="F8438" s="2"/>
    </row>
    <row r="8439" ht="14.25" customHeight="1">
      <c r="A8439" s="4" t="str">
        <f>IFERROR(__xludf.DUMMYFUNCTION("""COMPUTED_VALUE"""),"5. Eraser, 4. Eggs")</f>
        <v>5. Eraser, 4. Eggs</v>
      </c>
      <c r="B8439" s="4" t="str">
        <f>IFERROR(__xludf.DUMMYFUNCTION("""COMPUTED_VALUE"""),"5, 4")</f>
        <v>5, 4</v>
      </c>
      <c r="C8439" s="5" t="str">
        <f>IFERROR(__xludf.DUMMYFUNCTION("""COMPUTED_VALUE"""),"https://drive.google.com/file/d/1YF_zhmhIqkh5JFIdI7cITZKvlCp0A6JH/view?usp=drivesdk")</f>
        <v>https://drive.google.com/file/d/1YF_zhmhIqkh5JFIdI7cITZKvlCp0A6JH/view?usp=drivesdk</v>
      </c>
      <c r="D8439" s="12"/>
      <c r="E8439" s="11">
        <v>8488.0</v>
      </c>
      <c r="F8439" s="2"/>
    </row>
    <row r="8440" ht="14.25" customHeight="1">
      <c r="A8440" s="4" t="str">
        <f>IFERROR(__xludf.DUMMYFUNCTION("""COMPUTED_VALUE"""),"5. Eraser, 4. Eggs")</f>
        <v>5. Eraser, 4. Eggs</v>
      </c>
      <c r="B8440" s="4" t="str">
        <f>IFERROR(__xludf.DUMMYFUNCTION("""COMPUTED_VALUE"""),"5, 4")</f>
        <v>5, 4</v>
      </c>
      <c r="C8440" s="5" t="str">
        <f>IFERROR(__xludf.DUMMYFUNCTION("""COMPUTED_VALUE"""),"https://drive.google.com/file/d/1qOcTUDmHIMjH_cbuUwz0DkzGQWJ8TltB/view?usp=drivesdk")</f>
        <v>https://drive.google.com/file/d/1qOcTUDmHIMjH_cbuUwz0DkzGQWJ8TltB/view?usp=drivesdk</v>
      </c>
      <c r="D8440" s="12"/>
      <c r="E8440" s="11">
        <v>8489.0</v>
      </c>
      <c r="F8440" s="2"/>
    </row>
    <row r="8441" ht="14.25" customHeight="1">
      <c r="A8441" s="4" t="str">
        <f>IFERROR(__xludf.DUMMYFUNCTION("""COMPUTED_VALUE"""),"5. Eraser, 4. Eggs")</f>
        <v>5. Eraser, 4. Eggs</v>
      </c>
      <c r="B8441" s="4" t="str">
        <f>IFERROR(__xludf.DUMMYFUNCTION("""COMPUTED_VALUE"""),"5, 4")</f>
        <v>5, 4</v>
      </c>
      <c r="C8441" s="5" t="str">
        <f>IFERROR(__xludf.DUMMYFUNCTION("""COMPUTED_VALUE"""),"https://drive.google.com/file/d/19ncZzKSoEv3c5ucPdanhA2NHCzbyLCIg/view?usp=drivesdk")</f>
        <v>https://drive.google.com/file/d/19ncZzKSoEv3c5ucPdanhA2NHCzbyLCIg/view?usp=drivesdk</v>
      </c>
      <c r="D8441" s="12"/>
      <c r="E8441" s="11">
        <v>8490.0</v>
      </c>
      <c r="F8441" s="2"/>
    </row>
    <row r="8442" ht="14.25" customHeight="1">
      <c r="A8442" s="4" t="str">
        <f>IFERROR(__xludf.DUMMYFUNCTION("""COMPUTED_VALUE"""),"0. NotACat")</f>
        <v>0. NotACat</v>
      </c>
      <c r="B8442" s="4" t="str">
        <f>IFERROR(__xludf.DUMMYFUNCTION("""COMPUTED_VALUE"""),"0")</f>
        <v>0</v>
      </c>
      <c r="C8442" s="5" t="str">
        <f>IFERROR(__xludf.DUMMYFUNCTION("""COMPUTED_VALUE"""),"https://drive.google.com/file/d/1qmOslSQ5WiS37tD6MObPZKag6aZBN7kY/view?usp=drivesdk")</f>
        <v>https://drive.google.com/file/d/1qmOslSQ5WiS37tD6MObPZKag6aZBN7kY/view?usp=drivesdk</v>
      </c>
      <c r="D8442" s="12"/>
      <c r="E8442" s="11">
        <v>8491.0</v>
      </c>
      <c r="F8442" s="2"/>
    </row>
    <row r="8443" ht="14.25" customHeight="1">
      <c r="A8443" s="4" t="str">
        <f>IFERROR(__xludf.DUMMYFUNCTION("""COMPUTED_VALUE"""),"95. Ariel, 88. Vincente, 141. Kamahalan")</f>
        <v>95. Ariel, 88. Vincente, 141. Kamahalan</v>
      </c>
      <c r="B8443" s="4" t="str">
        <f>IFERROR(__xludf.DUMMYFUNCTION("""COMPUTED_VALUE"""),"95, 88, 141")</f>
        <v>95, 88, 141</v>
      </c>
      <c r="C8443" s="5" t="str">
        <f>IFERROR(__xludf.DUMMYFUNCTION("""COMPUTED_VALUE"""),"https://drive.google.com/file/d/1qgWlARGIV4pQNn8gtKWjHEygFNqexixZ/view?usp=drivesdk")</f>
        <v>https://drive.google.com/file/d/1qgWlARGIV4pQNn8gtKWjHEygFNqexixZ/view?usp=drivesdk</v>
      </c>
      <c r="D8443" s="12"/>
      <c r="E8443" s="11">
        <v>8492.0</v>
      </c>
      <c r="F8443" s="12"/>
    </row>
    <row r="8444" ht="14.25" customHeight="1">
      <c r="A8444" s="4" t="str">
        <f>IFERROR(__xludf.DUMMYFUNCTION("""COMPUTED_VALUE"""),"42. Rubber, 138. Hare")</f>
        <v>42. Rubber, 138. Hare</v>
      </c>
      <c r="B8444" s="4" t="str">
        <f>IFERROR(__xludf.DUMMYFUNCTION("""COMPUTED_VALUE"""),"42, 138")</f>
        <v>42, 138</v>
      </c>
      <c r="C8444" s="5" t="str">
        <f>IFERROR(__xludf.DUMMYFUNCTION("""COMPUTED_VALUE"""),"https://drive.google.com/file/d/1q5I5gyVdwc7jJu_o7LVR_ea13G9t7beq/view?usp=drivesdk")</f>
        <v>https://drive.google.com/file/d/1q5I5gyVdwc7jJu_o7LVR_ea13G9t7beq/view?usp=drivesdk</v>
      </c>
      <c r="D8444" s="12"/>
      <c r="E8444" s="11">
        <v>8493.0</v>
      </c>
      <c r="F8444" s="12"/>
    </row>
    <row r="8445" ht="14.25" customHeight="1">
      <c r="A8445" s="4" t="str">
        <f>IFERROR(__xludf.DUMMYFUNCTION("""COMPUTED_VALUE"""),"88. Vincente")</f>
        <v>88. Vincente</v>
      </c>
      <c r="B8445" s="4" t="str">
        <f>IFERROR(__xludf.DUMMYFUNCTION("""COMPUTED_VALUE"""),"88")</f>
        <v>88</v>
      </c>
      <c r="C8445" s="5" t="str">
        <f>IFERROR(__xludf.DUMMYFUNCTION("""COMPUTED_VALUE"""),"https://drive.google.com/file/d/1LIm6KBreOZQcwqmBQcszNapahwv-gvCO/view?usp=drivesdk")</f>
        <v>https://drive.google.com/file/d/1LIm6KBreOZQcwqmBQcszNapahwv-gvCO/view?usp=drivesdk</v>
      </c>
      <c r="D8445" s="12"/>
      <c r="E8445" s="11">
        <v>8494.0</v>
      </c>
      <c r="F8445" s="12"/>
    </row>
    <row r="8446" ht="14.25" customHeight="1">
      <c r="A8446" s="4" t="str">
        <f>IFERROR(__xludf.DUMMYFUNCTION("""COMPUTED_VALUE"""),"45. Boots, 88. Vincente")</f>
        <v>45. Boots, 88. Vincente</v>
      </c>
      <c r="B8446" s="4" t="str">
        <f>IFERROR(__xludf.DUMMYFUNCTION("""COMPUTED_VALUE"""),"45, 88")</f>
        <v>45, 88</v>
      </c>
      <c r="C8446" s="5" t="str">
        <f>IFERROR(__xludf.DUMMYFUNCTION("""COMPUTED_VALUE"""),"https://drive.google.com/file/d/1LRzagiUqBEt2ox6Ceyyah3N3iECZYESa/view?usp=drivesdk")</f>
        <v>https://drive.google.com/file/d/1LRzagiUqBEt2ox6Ceyyah3N3iECZYESa/view?usp=drivesdk</v>
      </c>
      <c r="D8446" s="12"/>
      <c r="E8446" s="11">
        <v>8495.0</v>
      </c>
      <c r="F8446" s="12"/>
    </row>
    <row r="8447" ht="14.25" customHeight="1">
      <c r="A8447" s="4" t="str">
        <f>IFERROR(__xludf.DUMMYFUNCTION("""COMPUTED_VALUE"""),"141. Kamahalan")</f>
        <v>141. Kamahalan</v>
      </c>
      <c r="B8447" s="4" t="str">
        <f>IFERROR(__xludf.DUMMYFUNCTION("""COMPUTED_VALUE"""),"141")</f>
        <v>141</v>
      </c>
      <c r="C8447" s="5" t="str">
        <f>IFERROR(__xludf.DUMMYFUNCTION("""COMPUTED_VALUE"""),"https://drive.google.com/file/d/1mfLcBCKlWen28WNRHSPRnee6q2TNSn0-/view?usp=drivesdk")</f>
        <v>https://drive.google.com/file/d/1mfLcBCKlWen28WNRHSPRnee6q2TNSn0-/view?usp=drivesdk</v>
      </c>
      <c r="D8447" s="12"/>
      <c r="E8447" s="11">
        <v>8496.0</v>
      </c>
      <c r="F8447" s="12"/>
    </row>
    <row r="8448" ht="14.25" customHeight="1">
      <c r="A8448" s="4" t="str">
        <f>IFERROR(__xludf.DUMMYFUNCTION("""COMPUTED_VALUE"""),"1. Microwave")</f>
        <v>1. Microwave</v>
      </c>
      <c r="B8448" s="4" t="str">
        <f>IFERROR(__xludf.DUMMYFUNCTION("""COMPUTED_VALUE"""),"1")</f>
        <v>1</v>
      </c>
      <c r="C8448" s="5" t="str">
        <f>IFERROR(__xludf.DUMMYFUNCTION("""COMPUTED_VALUE"""),"https://drive.google.com/file/d/1XGOWoBdo4u0D8vNuU8IZyBDdUXJGBMvP/view?usp=drivesdk")</f>
        <v>https://drive.google.com/file/d/1XGOWoBdo4u0D8vNuU8IZyBDdUXJGBMvP/view?usp=drivesdk</v>
      </c>
      <c r="D8448" s="12"/>
      <c r="E8448" s="11">
        <v>8497.0</v>
      </c>
      <c r="F8448" s="2"/>
    </row>
    <row r="8449" ht="14.25" customHeight="1">
      <c r="A8449" s="4" t="str">
        <f>IFERROR(__xludf.DUMMYFUNCTION("""COMPUTED_VALUE"""),"127. Eleanor")</f>
        <v>127. Eleanor</v>
      </c>
      <c r="B8449" s="4" t="str">
        <f>IFERROR(__xludf.DUMMYFUNCTION("""COMPUTED_VALUE"""),"127")</f>
        <v>127</v>
      </c>
      <c r="C8449" s="5" t="str">
        <f>IFERROR(__xludf.DUMMYFUNCTION("""COMPUTED_VALUE"""),"https://drive.google.com/file/d/1uTALUPvzHrcYHfe7A_kiiefOnpR2AVfA/view?usp=drivesdk")</f>
        <v>https://drive.google.com/file/d/1uTALUPvzHrcYHfe7A_kiiefOnpR2AVfA/view?usp=drivesdk</v>
      </c>
      <c r="D8449" s="12"/>
      <c r="E8449" s="11"/>
      <c r="F8449" s="12"/>
    </row>
    <row r="8450" ht="14.25" customHeight="1">
      <c r="A8450" s="4" t="str">
        <f>IFERROR(__xludf.DUMMYFUNCTION("""COMPUTED_VALUE"""),"127. Eleanor, 41. Gregory")</f>
        <v>127. Eleanor, 41. Gregory</v>
      </c>
      <c r="B8450" s="4" t="str">
        <f>IFERROR(__xludf.DUMMYFUNCTION("""COMPUTED_VALUE"""),"127, 41")</f>
        <v>127, 41</v>
      </c>
      <c r="C8450" s="5" t="str">
        <f>IFERROR(__xludf.DUMMYFUNCTION("""COMPUTED_VALUE"""),"https://drive.google.com/file/d/14o586Jkz669Y8DFHdRgUjK7oo_7GZz5O/view?usp=drivesdk")</f>
        <v>https://drive.google.com/file/d/14o586Jkz669Y8DFHdRgUjK7oo_7GZz5O/view?usp=drivesdk</v>
      </c>
      <c r="D8450" s="12"/>
      <c r="E8450" s="11"/>
      <c r="F8450" s="12"/>
    </row>
    <row r="8451" ht="14.25" customHeight="1">
      <c r="A8451" s="4" t="str">
        <f>IFERROR(__xludf.DUMMYFUNCTION("""COMPUTED_VALUE"""),"127. Eleanor")</f>
        <v>127. Eleanor</v>
      </c>
      <c r="B8451" s="4" t="str">
        <f>IFERROR(__xludf.DUMMYFUNCTION("""COMPUTED_VALUE"""),"127")</f>
        <v>127</v>
      </c>
      <c r="C8451" s="5" t="str">
        <f>IFERROR(__xludf.DUMMYFUNCTION("""COMPUTED_VALUE"""),"https://drive.google.com/file/d/1iO9SBoQh6rh1-fJVQjyHscu5hLf7EXRO/view?usp=drivesdk")</f>
        <v>https://drive.google.com/file/d/1iO9SBoQh6rh1-fJVQjyHscu5hLf7EXRO/view?usp=drivesdk</v>
      </c>
      <c r="D8451" s="12"/>
      <c r="E8451" s="11"/>
      <c r="F8451" s="12"/>
    </row>
    <row r="8452" ht="14.25" customHeight="1">
      <c r="A8452" s="4" t="str">
        <f>IFERROR(__xludf.DUMMYFUNCTION("""COMPUTED_VALUE"""),"127. Eleanor")</f>
        <v>127. Eleanor</v>
      </c>
      <c r="B8452" s="4" t="str">
        <f>IFERROR(__xludf.DUMMYFUNCTION("""COMPUTED_VALUE"""),"127")</f>
        <v>127</v>
      </c>
      <c r="C8452" s="5" t="str">
        <f>IFERROR(__xludf.DUMMYFUNCTION("""COMPUTED_VALUE"""),"https://drive.google.com/file/d/1hvAyZo7iatSTezP8vbCdYK7VKzWQ2pSi/view?usp=drivesdk")</f>
        <v>https://drive.google.com/file/d/1hvAyZo7iatSTezP8vbCdYK7VKzWQ2pSi/view?usp=drivesdk</v>
      </c>
      <c r="D8452" s="12"/>
      <c r="E8452" s="11"/>
      <c r="F8452" s="12"/>
    </row>
    <row r="8453" ht="14.25" customHeight="1">
      <c r="A8453" s="4" t="str">
        <f>IFERROR(__xludf.DUMMYFUNCTION("""COMPUTED_VALUE"""),"127. Eleanor, 41. Gregory")</f>
        <v>127. Eleanor, 41. Gregory</v>
      </c>
      <c r="B8453" s="4" t="str">
        <f>IFERROR(__xludf.DUMMYFUNCTION("""COMPUTED_VALUE"""),"127, 41")</f>
        <v>127, 41</v>
      </c>
      <c r="C8453" s="5" t="str">
        <f>IFERROR(__xludf.DUMMYFUNCTION("""COMPUTED_VALUE"""),"https://drive.google.com/file/d/1RAx1-0vQo5TJkjZSG4e0SLxUKewKpm42/view?usp=drivesdk")</f>
        <v>https://drive.google.com/file/d/1RAx1-0vQo5TJkjZSG4e0SLxUKewKpm42/view?usp=drivesdk</v>
      </c>
      <c r="D8453" s="12"/>
      <c r="E8453" s="11"/>
      <c r="F8453" s="12"/>
    </row>
    <row r="8454" ht="14.25" customHeight="1">
      <c r="A8454" s="4" t="str">
        <f>IFERROR(__xludf.DUMMYFUNCTION("""COMPUTED_VALUE"""),"127. Eleanor, 41. Gregory")</f>
        <v>127. Eleanor, 41. Gregory</v>
      </c>
      <c r="B8454" s="4" t="str">
        <f>IFERROR(__xludf.DUMMYFUNCTION("""COMPUTED_VALUE"""),"127, 41")</f>
        <v>127, 41</v>
      </c>
      <c r="C8454" s="5" t="str">
        <f>IFERROR(__xludf.DUMMYFUNCTION("""COMPUTED_VALUE"""),"https://drive.google.com/file/d/1iptUANeZhE7ZG9qZoJQlFFxe6IgsNne9/view?usp=drivesdk")</f>
        <v>https://drive.google.com/file/d/1iptUANeZhE7ZG9qZoJQlFFxe6IgsNne9/view?usp=drivesdk</v>
      </c>
      <c r="D8454" s="12"/>
      <c r="E8454" s="11"/>
      <c r="F8454" s="12"/>
    </row>
    <row r="8455" ht="14.25" customHeight="1">
      <c r="A8455" s="4" t="str">
        <f>IFERROR(__xludf.DUMMYFUNCTION("""COMPUTED_VALUE"""),"127. Eleanor")</f>
        <v>127. Eleanor</v>
      </c>
      <c r="B8455" s="4" t="str">
        <f>IFERROR(__xludf.DUMMYFUNCTION("""COMPUTED_VALUE"""),"127")</f>
        <v>127</v>
      </c>
      <c r="C8455" s="5" t="str">
        <f>IFERROR(__xludf.DUMMYFUNCTION("""COMPUTED_VALUE"""),"https://drive.google.com/file/d/1G5OpY1fj4O35naRayeDwo15nGjklwXxF/view?usp=drivesdk")</f>
        <v>https://drive.google.com/file/d/1G5OpY1fj4O35naRayeDwo15nGjklwXxF/view?usp=drivesdk</v>
      </c>
      <c r="D8455" s="12"/>
      <c r="E8455" s="11"/>
      <c r="F8455" s="12"/>
    </row>
    <row r="8456" ht="14.25" customHeight="1">
      <c r="A8456" s="4" t="str">
        <f>IFERROR(__xludf.DUMMYFUNCTION("""COMPUTED_VALUE"""),"127. Eleanor")</f>
        <v>127. Eleanor</v>
      </c>
      <c r="B8456" s="4" t="str">
        <f>IFERROR(__xludf.DUMMYFUNCTION("""COMPUTED_VALUE"""),"127")</f>
        <v>127</v>
      </c>
      <c r="C8456" s="5" t="str">
        <f>IFERROR(__xludf.DUMMYFUNCTION("""COMPUTED_VALUE"""),"https://drive.google.com/file/d/16WWLTeRwwZWWQOZ_gsFG3A4sh7OjaEUt/view?usp=drivesdk")</f>
        <v>https://drive.google.com/file/d/16WWLTeRwwZWWQOZ_gsFG3A4sh7OjaEUt/view?usp=drivesdk</v>
      </c>
      <c r="D8456" s="12"/>
      <c r="E8456" s="11"/>
      <c r="F8456" s="12"/>
    </row>
    <row r="8457" ht="14.25" customHeight="1">
      <c r="A8457" s="4" t="str">
        <f>IFERROR(__xludf.DUMMYFUNCTION("""COMPUTED_VALUE"""),"127. Eleanor")</f>
        <v>127. Eleanor</v>
      </c>
      <c r="B8457" s="4" t="str">
        <f>IFERROR(__xludf.DUMMYFUNCTION("""COMPUTED_VALUE"""),"127")</f>
        <v>127</v>
      </c>
      <c r="C8457" s="5" t="str">
        <f>IFERROR(__xludf.DUMMYFUNCTION("""COMPUTED_VALUE"""),"https://drive.google.com/file/d/1J2HFu5x04vS5yyE8g7iE52AcRdjd9WSk/view?usp=drivesdk")</f>
        <v>https://drive.google.com/file/d/1J2HFu5x04vS5yyE8g7iE52AcRdjd9WSk/view?usp=drivesdk</v>
      </c>
      <c r="D8457" s="12"/>
      <c r="E8457" s="11"/>
      <c r="F8457" s="12"/>
    </row>
    <row r="8458" ht="14.25" customHeight="1">
      <c r="A8458" s="4" t="str">
        <f>IFERROR(__xludf.DUMMYFUNCTION("""COMPUTED_VALUE"""),"127. Eleanor")</f>
        <v>127. Eleanor</v>
      </c>
      <c r="B8458" s="4" t="str">
        <f>IFERROR(__xludf.DUMMYFUNCTION("""COMPUTED_VALUE"""),"127")</f>
        <v>127</v>
      </c>
      <c r="C8458" s="5" t="str">
        <f>IFERROR(__xludf.DUMMYFUNCTION("""COMPUTED_VALUE"""),"https://drive.google.com/file/d/1ojU81OSDHK8sSky226ITvjllVKKKsr3k/view?usp=drivesdk")</f>
        <v>https://drive.google.com/file/d/1ojU81OSDHK8sSky226ITvjllVKKKsr3k/view?usp=drivesdk</v>
      </c>
      <c r="D8458" s="12"/>
      <c r="E8458" s="11"/>
      <c r="F8458" s="12"/>
    </row>
    <row r="8459" ht="14.25" customHeight="1">
      <c r="A8459" s="4" t="str">
        <f>IFERROR(__xludf.DUMMYFUNCTION("""COMPUTED_VALUE"""),"148. Neyo")</f>
        <v>148. Neyo</v>
      </c>
      <c r="B8459" s="4" t="str">
        <f>IFERROR(__xludf.DUMMYFUNCTION("""COMPUTED_VALUE"""),"148")</f>
        <v>148</v>
      </c>
      <c r="C8459" s="5" t="str">
        <f>IFERROR(__xludf.DUMMYFUNCTION("""COMPUTED_VALUE"""),"https://drive.google.com/file/d/1385yWe2fVONBsluzGagOg08erwaYloM2/view?usp=drivesdk")</f>
        <v>https://drive.google.com/file/d/1385yWe2fVONBsluzGagOg08erwaYloM2/view?usp=drivesdk</v>
      </c>
      <c r="D8459" s="12"/>
      <c r="E8459" s="11"/>
      <c r="F8459" s="12"/>
    </row>
    <row r="8460" ht="14.25" customHeight="1">
      <c r="A8460" s="4" t="str">
        <f>IFERROR(__xludf.DUMMYFUNCTION("""COMPUTED_VALUE"""),"148. Neyo, 61. Cassie")</f>
        <v>148. Neyo, 61. Cassie</v>
      </c>
      <c r="B8460" s="4" t="str">
        <f>IFERROR(__xludf.DUMMYFUNCTION("""COMPUTED_VALUE"""),"148, 61")</f>
        <v>148, 61</v>
      </c>
      <c r="C8460" s="5" t="str">
        <f>IFERROR(__xludf.DUMMYFUNCTION("""COMPUTED_VALUE"""),"https://drive.google.com/file/d/11riiPtC83-yXd_PTiYQRur1PXLS5aQ4v/view?usp=drivesdk")</f>
        <v>https://drive.google.com/file/d/11riiPtC83-yXd_PTiYQRur1PXLS5aQ4v/view?usp=drivesdk</v>
      </c>
      <c r="D8460" s="12"/>
      <c r="E8460" s="11"/>
      <c r="F8460" s="12"/>
    </row>
    <row r="8461" ht="14.25" customHeight="1">
      <c r="A8461" s="4" t="str">
        <f>IFERROR(__xludf.DUMMYFUNCTION("""COMPUTED_VALUE"""),"148. Neyo, 61. Cassie")</f>
        <v>148. Neyo, 61. Cassie</v>
      </c>
      <c r="B8461" s="4" t="str">
        <f>IFERROR(__xludf.DUMMYFUNCTION("""COMPUTED_VALUE"""),"148, 61")</f>
        <v>148, 61</v>
      </c>
      <c r="C8461" s="5" t="str">
        <f>IFERROR(__xludf.DUMMYFUNCTION("""COMPUTED_VALUE"""),"https://drive.google.com/file/d/1fHkkY_vlTNdkR378fEeaO5pdVUsbLqrH/view?usp=drivesdk")</f>
        <v>https://drive.google.com/file/d/1fHkkY_vlTNdkR378fEeaO5pdVUsbLqrH/view?usp=drivesdk</v>
      </c>
      <c r="D8461" s="12"/>
      <c r="E8461" s="11"/>
      <c r="F8461" s="12"/>
    </row>
    <row r="8462" ht="14.25" customHeight="1">
      <c r="A8462" s="4" t="str">
        <f>IFERROR(__xludf.DUMMYFUNCTION("""COMPUTED_VALUE"""),"5. Eraser")</f>
        <v>5. Eraser</v>
      </c>
      <c r="B8462" s="4" t="str">
        <f>IFERROR(__xludf.DUMMYFUNCTION("""COMPUTED_VALUE"""),"5")</f>
        <v>5</v>
      </c>
      <c r="C8462" s="5" t="str">
        <f>IFERROR(__xludf.DUMMYFUNCTION("""COMPUTED_VALUE"""),"https://drive.google.com/file/d/1fQGJj1jGNqfi_2Qzh1mIJUx2XCO1UlXf/view?usp=drivesdk")</f>
        <v>https://drive.google.com/file/d/1fQGJj1jGNqfi_2Qzh1mIJUx2XCO1UlXf/view?usp=drivesdk</v>
      </c>
      <c r="D8462" s="12"/>
      <c r="E8462" s="11"/>
      <c r="F8462" s="12"/>
    </row>
    <row r="8463" ht="14.25" customHeight="1">
      <c r="A8463" s="4" t="str">
        <f>IFERROR(__xludf.DUMMYFUNCTION("""COMPUTED_VALUE"""),"4. Eggs")</f>
        <v>4. Eggs</v>
      </c>
      <c r="B8463" s="4" t="str">
        <f>IFERROR(__xludf.DUMMYFUNCTION("""COMPUTED_VALUE"""),"4")</f>
        <v>4</v>
      </c>
      <c r="C8463" s="5" t="str">
        <f>IFERROR(__xludf.DUMMYFUNCTION("""COMPUTED_VALUE"""),"https://drive.google.com/file/d/1EudMyOJ3MY43fUgFzhoanivOTfANefq9/view?usp=drivesdk")</f>
        <v>https://drive.google.com/file/d/1EudMyOJ3MY43fUgFzhoanivOTfANefq9/view?usp=drivesdk</v>
      </c>
      <c r="D8463" s="12"/>
      <c r="E8463" s="11"/>
      <c r="F8463" s="12"/>
    </row>
    <row r="8464" ht="14.25" customHeight="1">
      <c r="A8464" s="4" t="str">
        <f>IFERROR(__xludf.DUMMYFUNCTION("""COMPUTED_VALUE"""),"5. Eraser")</f>
        <v>5. Eraser</v>
      </c>
      <c r="B8464" s="4" t="str">
        <f>IFERROR(__xludf.DUMMYFUNCTION("""COMPUTED_VALUE"""),"5")</f>
        <v>5</v>
      </c>
      <c r="C8464" s="5" t="str">
        <f>IFERROR(__xludf.DUMMYFUNCTION("""COMPUTED_VALUE"""),"https://drive.google.com/file/d/1YGObarvFDQBchACnvfaV23BTSr_bC4d2/view?usp=drivesdk")</f>
        <v>https://drive.google.com/file/d/1YGObarvFDQBchACnvfaV23BTSr_bC4d2/view?usp=drivesdk</v>
      </c>
      <c r="D8464" s="12"/>
      <c r="E8464" s="11"/>
      <c r="F8464" s="12"/>
    </row>
    <row r="8465" ht="14.25" customHeight="1">
      <c r="A8465" s="4" t="str">
        <f>IFERROR(__xludf.DUMMYFUNCTION("""COMPUTED_VALUE"""),"1. Microwave")</f>
        <v>1. Microwave</v>
      </c>
      <c r="B8465" s="4" t="str">
        <f>IFERROR(__xludf.DUMMYFUNCTION("""COMPUTED_VALUE"""),"1")</f>
        <v>1</v>
      </c>
      <c r="C8465" s="5" t="str">
        <f>IFERROR(__xludf.DUMMYFUNCTION("""COMPUTED_VALUE"""),"https://drive.google.com/file/d/1S-v4EBkQdxBpjKMcQqs-wYXzxt9WAcQd/view?usp=drivesdk")</f>
        <v>https://drive.google.com/file/d/1S-v4EBkQdxBpjKMcQqs-wYXzxt9WAcQd/view?usp=drivesdk</v>
      </c>
      <c r="D8465" s="12"/>
      <c r="E8465" s="11"/>
      <c r="F8465" s="12"/>
    </row>
    <row r="8466" ht="14.25" customHeight="1">
      <c r="A8466" s="4" t="str">
        <f>IFERROR(__xludf.DUMMYFUNCTION("""COMPUTED_VALUE"""),"1. Microwave")</f>
        <v>1. Microwave</v>
      </c>
      <c r="B8466" s="4" t="str">
        <f>IFERROR(__xludf.DUMMYFUNCTION("""COMPUTED_VALUE"""),"1")</f>
        <v>1</v>
      </c>
      <c r="C8466" s="5" t="str">
        <f>IFERROR(__xludf.DUMMYFUNCTION("""COMPUTED_VALUE"""),"https://drive.google.com/file/d/1OwUdGSJBVMFFjn22WL0iV7Ek0MSGKDGm/view?usp=drivesdk")</f>
        <v>https://drive.google.com/file/d/1OwUdGSJBVMFFjn22WL0iV7Ek0MSGKDGm/view?usp=drivesdk</v>
      </c>
      <c r="D8466" s="12"/>
      <c r="E8466" s="11"/>
      <c r="F8466" s="12"/>
    </row>
    <row r="8467" ht="14.25" customHeight="1">
      <c r="A8467" s="4" t="str">
        <f>IFERROR(__xludf.DUMMYFUNCTION("""COMPUTED_VALUE"""),"1. Microwave")</f>
        <v>1. Microwave</v>
      </c>
      <c r="B8467" s="4" t="str">
        <f>IFERROR(__xludf.DUMMYFUNCTION("""COMPUTED_VALUE"""),"1")</f>
        <v>1</v>
      </c>
      <c r="C8467" s="5" t="str">
        <f>IFERROR(__xludf.DUMMYFUNCTION("""COMPUTED_VALUE"""),"https://drive.google.com/file/d/1JKoeMqUH9EmmVQLa4yPEuG5jUEBWGtl3/view?usp=drivesdk")</f>
        <v>https://drive.google.com/file/d/1JKoeMqUH9EmmVQLa4yPEuG5jUEBWGtl3/view?usp=drivesdk</v>
      </c>
      <c r="D8467" s="12"/>
      <c r="E8467" s="11"/>
      <c r="F8467" s="12"/>
    </row>
    <row r="8468" ht="14.25" customHeight="1">
      <c r="A8468" s="4" t="str">
        <f>IFERROR(__xludf.DUMMYFUNCTION("""COMPUTED_VALUE"""),"127. Eleanor")</f>
        <v>127. Eleanor</v>
      </c>
      <c r="B8468" s="4" t="str">
        <f>IFERROR(__xludf.DUMMYFUNCTION("""COMPUTED_VALUE"""),"127")</f>
        <v>127</v>
      </c>
      <c r="C8468" s="5" t="str">
        <f>IFERROR(__xludf.DUMMYFUNCTION("""COMPUTED_VALUE"""),"https://drive.google.com/file/d/111sfd1Qm8ccoOp8hhu0Pe3SK7Su4EdJk/view?usp=drivesdk")</f>
        <v>https://drive.google.com/file/d/111sfd1Qm8ccoOp8hhu0Pe3SK7Su4EdJk/view?usp=drivesdk</v>
      </c>
      <c r="D8468" s="12"/>
      <c r="E8468" s="11"/>
      <c r="F8468" s="12"/>
    </row>
    <row r="8469" ht="14.25" customHeight="1">
      <c r="A8469" s="4" t="str">
        <f>IFERROR(__xludf.DUMMYFUNCTION("""COMPUTED_VALUE"""),"127. Eleanor")</f>
        <v>127. Eleanor</v>
      </c>
      <c r="B8469" s="4" t="str">
        <f>IFERROR(__xludf.DUMMYFUNCTION("""COMPUTED_VALUE"""),"127")</f>
        <v>127</v>
      </c>
      <c r="C8469" s="5" t="str">
        <f>IFERROR(__xludf.DUMMYFUNCTION("""COMPUTED_VALUE"""),"https://drive.google.com/file/d/1NlwAsr7bHFQuS1Il0oQ5wmmYjEuJ_Esh/view?usp=drivesdk")</f>
        <v>https://drive.google.com/file/d/1NlwAsr7bHFQuS1Il0oQ5wmmYjEuJ_Esh/view?usp=drivesdk</v>
      </c>
      <c r="D8469" s="12"/>
      <c r="E8469" s="11"/>
      <c r="F8469" s="12"/>
    </row>
    <row r="8470" ht="14.25" customHeight="1">
      <c r="A8470" s="4" t="str">
        <f>IFERROR(__xludf.DUMMYFUNCTION("""COMPUTED_VALUE"""),"127. Eleanor, 45. Boots, 58. Eden")</f>
        <v>127. Eleanor, 45. Boots, 58. Eden</v>
      </c>
      <c r="B8470" s="4" t="str">
        <f>IFERROR(__xludf.DUMMYFUNCTION("""COMPUTED_VALUE"""),"127, 45, 58")</f>
        <v>127, 45, 58</v>
      </c>
      <c r="C8470" s="5" t="str">
        <f>IFERROR(__xludf.DUMMYFUNCTION("""COMPUTED_VALUE"""),"https://drive.google.com/file/d/1LuSxC-yqpcmSId7k8f5HisbvlOqZG5YP/view?usp=drivesdk")</f>
        <v>https://drive.google.com/file/d/1LuSxC-yqpcmSId7k8f5HisbvlOqZG5YP/view?usp=drivesdk</v>
      </c>
      <c r="D8470" s="12"/>
      <c r="E8470" s="11"/>
      <c r="F8470" s="12"/>
    </row>
    <row r="8471" ht="14.25" customHeight="1">
      <c r="A8471" s="4" t="str">
        <f>IFERROR(__xludf.DUMMYFUNCTION("""COMPUTED_VALUE"""),"127. Eleanor, 45. Boots, 58. Eden")</f>
        <v>127. Eleanor, 45. Boots, 58. Eden</v>
      </c>
      <c r="B8471" s="4" t="str">
        <f>IFERROR(__xludf.DUMMYFUNCTION("""COMPUTED_VALUE"""),"127, 45, 58")</f>
        <v>127, 45, 58</v>
      </c>
      <c r="C8471" s="5" t="str">
        <f>IFERROR(__xludf.DUMMYFUNCTION("""COMPUTED_VALUE"""),"https://drive.google.com/file/d/1bZn5q7j41_E7zyNyDsr6M4Xqm9xUA2MW/view?usp=drivesdk")</f>
        <v>https://drive.google.com/file/d/1bZn5q7j41_E7zyNyDsr6M4Xqm9xUA2MW/view?usp=drivesdk</v>
      </c>
      <c r="D8471" s="12"/>
      <c r="E8471" s="11"/>
      <c r="F8471" s="12"/>
    </row>
    <row r="8472" ht="14.25" customHeight="1">
      <c r="A8472" s="4" t="str">
        <f>IFERROR(__xludf.DUMMYFUNCTION("""COMPUTED_VALUE"""),"127. Eleanor, 45. Boots")</f>
        <v>127. Eleanor, 45. Boots</v>
      </c>
      <c r="B8472" s="4" t="str">
        <f>IFERROR(__xludf.DUMMYFUNCTION("""COMPUTED_VALUE"""),"127, 45")</f>
        <v>127, 45</v>
      </c>
      <c r="C8472" s="5" t="str">
        <f>IFERROR(__xludf.DUMMYFUNCTION("""COMPUTED_VALUE"""),"https://drive.google.com/file/d/1542rJr-IHSjvUpXnPOO2mm6IUQNWw9el/view?usp=drivesdk")</f>
        <v>https://drive.google.com/file/d/1542rJr-IHSjvUpXnPOO2mm6IUQNWw9el/view?usp=drivesdk</v>
      </c>
      <c r="D8472" s="12"/>
      <c r="E8472" s="11"/>
      <c r="F8472" s="12"/>
    </row>
    <row r="8473" ht="14.25" customHeight="1">
      <c r="A8473" s="4" t="str">
        <f>IFERROR(__xludf.DUMMYFUNCTION("""COMPUTED_VALUE"""),"88. Vincente")</f>
        <v>88. Vincente</v>
      </c>
      <c r="B8473" s="4" t="str">
        <f>IFERROR(__xludf.DUMMYFUNCTION("""COMPUTED_VALUE"""),"88")</f>
        <v>88</v>
      </c>
      <c r="C8473" s="5" t="str">
        <f>IFERROR(__xludf.DUMMYFUNCTION("""COMPUTED_VALUE"""),"https://drive.google.com/file/d/1DoQG1K4Yt2SxYKi3iHqyxp-KZqEpEyNb/view?usp=drivesdk")</f>
        <v>https://drive.google.com/file/d/1DoQG1K4Yt2SxYKi3iHqyxp-KZqEpEyNb/view?usp=drivesdk</v>
      </c>
      <c r="D8473" s="12"/>
      <c r="E8473" s="11"/>
      <c r="F8473" s="12"/>
    </row>
    <row r="8474" ht="14.25" customHeight="1">
      <c r="A8474" s="4" t="str">
        <f>IFERROR(__xludf.DUMMYFUNCTION("""COMPUTED_VALUE"""),"88. Vincente")</f>
        <v>88. Vincente</v>
      </c>
      <c r="B8474" s="4" t="str">
        <f>IFERROR(__xludf.DUMMYFUNCTION("""COMPUTED_VALUE"""),"88")</f>
        <v>88</v>
      </c>
      <c r="C8474" s="5" t="str">
        <f>IFERROR(__xludf.DUMMYFUNCTION("""COMPUTED_VALUE"""),"https://drive.google.com/file/d/1_wNiigO4b4BLQIh3MMVwl-LLx58J7IBH/view?usp=drivesdk")</f>
        <v>https://drive.google.com/file/d/1_wNiigO4b4BLQIh3MMVwl-LLx58J7IBH/view?usp=drivesdk</v>
      </c>
      <c r="D8474" s="12"/>
      <c r="E8474" s="11"/>
      <c r="F8474" s="12"/>
    </row>
    <row r="8475" ht="14.25" customHeight="1">
      <c r="A8475" s="4" t="str">
        <f>IFERROR(__xludf.DUMMYFUNCTION("""COMPUTED_VALUE"""),"141. Kamahalan")</f>
        <v>141. Kamahalan</v>
      </c>
      <c r="B8475" s="4" t="str">
        <f>IFERROR(__xludf.DUMMYFUNCTION("""COMPUTED_VALUE"""),"141")</f>
        <v>141</v>
      </c>
      <c r="C8475" s="5" t="str">
        <f>IFERROR(__xludf.DUMMYFUNCTION("""COMPUTED_VALUE"""),"https://drive.google.com/file/d/1FI9DBmkXvIXeLyN43l9bnGGJH1Ecuz1N/view?usp=drivesdk")</f>
        <v>https://drive.google.com/file/d/1FI9DBmkXvIXeLyN43l9bnGGJH1Ecuz1N/view?usp=drivesdk</v>
      </c>
      <c r="D8475" s="12"/>
      <c r="E8475" s="11"/>
      <c r="F8475" s="12"/>
    </row>
    <row r="8476" ht="14.25" customHeight="1">
      <c r="A8476" s="4" t="str">
        <f>IFERROR(__xludf.DUMMYFUNCTION("""COMPUTED_VALUE"""),"137. Harpy, 12. Faye")</f>
        <v>137. Harpy, 12. Faye</v>
      </c>
      <c r="B8476" s="4" t="str">
        <f>IFERROR(__xludf.DUMMYFUNCTION("""COMPUTED_VALUE"""),"137, 12")</f>
        <v>137, 12</v>
      </c>
      <c r="C8476" s="5" t="str">
        <f>IFERROR(__xludf.DUMMYFUNCTION("""COMPUTED_VALUE"""),"https://drive.google.com/file/d/1iwMkR2NcOdgLoWl3Y574CnFCtnTW80Nq/view?usp=drivesdk")</f>
        <v>https://drive.google.com/file/d/1iwMkR2NcOdgLoWl3Y574CnFCtnTW80Nq/view?usp=drivesdk</v>
      </c>
      <c r="D8476" s="12"/>
      <c r="E8476" s="11"/>
      <c r="F8476" s="12"/>
    </row>
    <row r="8477" ht="14.25" customHeight="1">
      <c r="A8477" s="4" t="str">
        <f>IFERROR(__xludf.DUMMYFUNCTION("""COMPUTED_VALUE"""),"137. Harpy, 12. Faye")</f>
        <v>137. Harpy, 12. Faye</v>
      </c>
      <c r="B8477" s="4" t="str">
        <f>IFERROR(__xludf.DUMMYFUNCTION("""COMPUTED_VALUE"""),"137, 12")</f>
        <v>137, 12</v>
      </c>
      <c r="C8477" s="5" t="str">
        <f>IFERROR(__xludf.DUMMYFUNCTION("""COMPUTED_VALUE"""),"https://drive.google.com/file/d/1n__p5k9hGtnpxTXU-kpYZ1D40mqFuBej/view?usp=drivesdk")</f>
        <v>https://drive.google.com/file/d/1n__p5k9hGtnpxTXU-kpYZ1D40mqFuBej/view?usp=drivesdk</v>
      </c>
      <c r="D8477" s="12"/>
      <c r="E8477" s="11"/>
      <c r="F8477" s="12"/>
    </row>
    <row r="8478" ht="14.25" customHeight="1">
      <c r="A8478" s="4" t="str">
        <f>IFERROR(__xludf.DUMMYFUNCTION("""COMPUTED_VALUE"""),"137. Harpy, 12. Faye")</f>
        <v>137. Harpy, 12. Faye</v>
      </c>
      <c r="B8478" s="4" t="str">
        <f>IFERROR(__xludf.DUMMYFUNCTION("""COMPUTED_VALUE"""),"137, 12")</f>
        <v>137, 12</v>
      </c>
      <c r="C8478" s="5" t="str">
        <f>IFERROR(__xludf.DUMMYFUNCTION("""COMPUTED_VALUE"""),"https://drive.google.com/file/d/1Ez_DsBecEeeRizB-WIH01z988tKBOb5c/view?usp=drivesdk")</f>
        <v>https://drive.google.com/file/d/1Ez_DsBecEeeRizB-WIH01z988tKBOb5c/view?usp=drivesdk</v>
      </c>
      <c r="D8478" s="12"/>
      <c r="E8478" s="11"/>
      <c r="F8478" s="12"/>
    </row>
    <row r="8479" ht="14.25" customHeight="1">
      <c r="A8479" s="4" t="str">
        <f>IFERROR(__xludf.DUMMYFUNCTION("""COMPUTED_VALUE"""),"127. Eleanor")</f>
        <v>127. Eleanor</v>
      </c>
      <c r="B8479" s="4" t="str">
        <f>IFERROR(__xludf.DUMMYFUNCTION("""COMPUTED_VALUE"""),"127")</f>
        <v>127</v>
      </c>
      <c r="C8479" s="5" t="str">
        <f>IFERROR(__xludf.DUMMYFUNCTION("""COMPUTED_VALUE"""),"https://drive.google.com/file/d/17Ix8N7U7xNObu1EHzZrvpAivsH4aO0G0/view?usp=drivesdk")</f>
        <v>https://drive.google.com/file/d/17Ix8N7U7xNObu1EHzZrvpAivsH4aO0G0/view?usp=drivesdk</v>
      </c>
      <c r="D8479" s="12"/>
      <c r="E8479" s="11"/>
      <c r="F8479" s="12"/>
    </row>
    <row r="8480" ht="14.25" customHeight="1">
      <c r="A8480" s="4" t="str">
        <f>IFERROR(__xludf.DUMMYFUNCTION("""COMPUTED_VALUE"""),"41. Gregory")</f>
        <v>41. Gregory</v>
      </c>
      <c r="B8480" s="4" t="str">
        <f>IFERROR(__xludf.DUMMYFUNCTION("""COMPUTED_VALUE"""),"41")</f>
        <v>41</v>
      </c>
      <c r="C8480" s="5" t="str">
        <f>IFERROR(__xludf.DUMMYFUNCTION("""COMPUTED_VALUE"""),"https://drive.google.com/file/d/1-xEjogD-DUIwm9r9dVQr06OeCdm1GVww/view?usp=drivesdk")</f>
        <v>https://drive.google.com/file/d/1-xEjogD-DUIwm9r9dVQr06OeCdm1GVww/view?usp=drivesdk</v>
      </c>
      <c r="D8480" s="12"/>
      <c r="E8480" s="11"/>
      <c r="F8480" s="12"/>
    </row>
    <row r="8481" ht="14.25" customHeight="1">
      <c r="A8481" s="4" t="str">
        <f>IFERROR(__xludf.DUMMYFUNCTION("""COMPUTED_VALUE"""),"139. Hound")</f>
        <v>139. Hound</v>
      </c>
      <c r="B8481" s="4" t="str">
        <f>IFERROR(__xludf.DUMMYFUNCTION("""COMPUTED_VALUE"""),"139")</f>
        <v>139</v>
      </c>
      <c r="C8481" s="5" t="str">
        <f>IFERROR(__xludf.DUMMYFUNCTION("""COMPUTED_VALUE"""),"https://drive.google.com/file/d/1jH4UKYJPQBtvAkXh5f0xxXTLeStV_w2l/view?usp=drivesdk")</f>
        <v>https://drive.google.com/file/d/1jH4UKYJPQBtvAkXh5f0xxXTLeStV_w2l/view?usp=drivesdk</v>
      </c>
      <c r="D8481" s="12"/>
      <c r="E8481" s="11"/>
      <c r="F8481" s="12"/>
    </row>
    <row r="8482" ht="14.25" customHeight="1">
      <c r="A8482" s="4" t="str">
        <f>IFERROR(__xludf.DUMMYFUNCTION("""COMPUTED_VALUE"""),"139. Hound")</f>
        <v>139. Hound</v>
      </c>
      <c r="B8482" s="4" t="str">
        <f>IFERROR(__xludf.DUMMYFUNCTION("""COMPUTED_VALUE"""),"139")</f>
        <v>139</v>
      </c>
      <c r="C8482" s="5" t="str">
        <f>IFERROR(__xludf.DUMMYFUNCTION("""COMPUTED_VALUE"""),"https://drive.google.com/file/d/1ErXuTt5XpGCEWILQT51pXAqKECFEBekq/view?usp=drivesdk")</f>
        <v>https://drive.google.com/file/d/1ErXuTt5XpGCEWILQT51pXAqKECFEBekq/view?usp=drivesdk</v>
      </c>
      <c r="D8482" s="12"/>
      <c r="E8482" s="11"/>
      <c r="F8482" s="12"/>
    </row>
    <row r="8483" ht="14.25" customHeight="1">
      <c r="A8483" s="4" t="str">
        <f>IFERROR(__xludf.DUMMYFUNCTION("""COMPUTED_VALUE"""),"139. Hound")</f>
        <v>139. Hound</v>
      </c>
      <c r="B8483" s="4" t="str">
        <f>IFERROR(__xludf.DUMMYFUNCTION("""COMPUTED_VALUE"""),"139")</f>
        <v>139</v>
      </c>
      <c r="C8483" s="5" t="str">
        <f>IFERROR(__xludf.DUMMYFUNCTION("""COMPUTED_VALUE"""),"https://drive.google.com/file/d/1S6eNRmOtpp-gZc5tEz_yZZkUqnZlY1_o/view?usp=drivesdk")</f>
        <v>https://drive.google.com/file/d/1S6eNRmOtpp-gZc5tEz_yZZkUqnZlY1_o/view?usp=drivesdk</v>
      </c>
      <c r="D8483" s="12"/>
      <c r="E8483" s="11"/>
      <c r="F8483" s="12"/>
    </row>
    <row r="8484" ht="14.25" customHeight="1">
      <c r="A8484" s="4" t="str">
        <f>IFERROR(__xludf.DUMMYFUNCTION("""COMPUTED_VALUE"""),"139. Hound")</f>
        <v>139. Hound</v>
      </c>
      <c r="B8484" s="4" t="str">
        <f>IFERROR(__xludf.DUMMYFUNCTION("""COMPUTED_VALUE"""),"139")</f>
        <v>139</v>
      </c>
      <c r="C8484" s="5" t="str">
        <f>IFERROR(__xludf.DUMMYFUNCTION("""COMPUTED_VALUE"""),"https://drive.google.com/file/d/1O9gmX38TSpRoTas0vaib1bCRaR9NbkgF/view?usp=drivesdk")</f>
        <v>https://drive.google.com/file/d/1O9gmX38TSpRoTas0vaib1bCRaR9NbkgF/view?usp=drivesdk</v>
      </c>
      <c r="D8484" s="12"/>
      <c r="E8484" s="11"/>
      <c r="F8484" s="12"/>
    </row>
    <row r="8485" ht="14.25" customHeight="1">
      <c r="A8485" s="4" t="str">
        <f>IFERROR(__xludf.DUMMYFUNCTION("""COMPUTED_VALUE"""),"139. Hound")</f>
        <v>139. Hound</v>
      </c>
      <c r="B8485" s="4" t="str">
        <f>IFERROR(__xludf.DUMMYFUNCTION("""COMPUTED_VALUE"""),"139")</f>
        <v>139</v>
      </c>
      <c r="C8485" s="5" t="str">
        <f>IFERROR(__xludf.DUMMYFUNCTION("""COMPUTED_VALUE"""),"https://drive.google.com/file/d/17xuj9964_6AovnrnHi3yWQE9nAwQlUnK/view?usp=drivesdk")</f>
        <v>https://drive.google.com/file/d/17xuj9964_6AovnrnHi3yWQE9nAwQlUnK/view?usp=drivesdk</v>
      </c>
      <c r="D8485" s="12"/>
      <c r="E8485" s="11"/>
      <c r="F8485" s="12"/>
    </row>
    <row r="8486" ht="14.25" customHeight="1">
      <c r="A8486" s="4" t="str">
        <f>IFERROR(__xludf.DUMMYFUNCTION("""COMPUTED_VALUE"""),"88. Vincente, 141. Kamahalan")</f>
        <v>88. Vincente, 141. Kamahalan</v>
      </c>
      <c r="B8486" s="4" t="str">
        <f>IFERROR(__xludf.DUMMYFUNCTION("""COMPUTED_VALUE"""),"88, 141")</f>
        <v>88, 141</v>
      </c>
      <c r="C8486" s="5" t="str">
        <f>IFERROR(__xludf.DUMMYFUNCTION("""COMPUTED_VALUE"""),"https://drive.google.com/file/d/13imeCJ3A-yU1sCg_4Ct_Dawj9Eqfi4-W/view?usp=drivesdk")</f>
        <v>https://drive.google.com/file/d/13imeCJ3A-yU1sCg_4Ct_Dawj9Eqfi4-W/view?usp=drivesdk</v>
      </c>
      <c r="D8486" s="12"/>
      <c r="E8486" s="11"/>
      <c r="F8486" s="12"/>
    </row>
    <row r="8487" ht="14.25" customHeight="1">
      <c r="A8487" s="4" t="str">
        <f>IFERROR(__xludf.DUMMYFUNCTION("""COMPUTED_VALUE"""),"88. Vincente, 141. Kamahalan")</f>
        <v>88. Vincente, 141. Kamahalan</v>
      </c>
      <c r="B8487" s="4" t="str">
        <f>IFERROR(__xludf.DUMMYFUNCTION("""COMPUTED_VALUE"""),"88, 141")</f>
        <v>88, 141</v>
      </c>
      <c r="C8487" s="5" t="str">
        <f>IFERROR(__xludf.DUMMYFUNCTION("""COMPUTED_VALUE"""),"https://drive.google.com/file/d/1o2KQBgXW1jbyoo-0ZTipZYik5FQ7zuey/view?usp=drivesdk")</f>
        <v>https://drive.google.com/file/d/1o2KQBgXW1jbyoo-0ZTipZYik5FQ7zuey/view?usp=drivesdk</v>
      </c>
      <c r="D8487" s="12"/>
      <c r="E8487" s="11"/>
      <c r="F8487" s="12"/>
    </row>
    <row r="8488" ht="14.25" customHeight="1">
      <c r="A8488" s="4" t="str">
        <f>IFERROR(__xludf.DUMMYFUNCTION("""COMPUTED_VALUE"""),"88. Vincente, 141. Kamahalan")</f>
        <v>88. Vincente, 141. Kamahalan</v>
      </c>
      <c r="B8488" s="4" t="str">
        <f>IFERROR(__xludf.DUMMYFUNCTION("""COMPUTED_VALUE"""),"88, 141")</f>
        <v>88, 141</v>
      </c>
      <c r="C8488" s="5" t="str">
        <f>IFERROR(__xludf.DUMMYFUNCTION("""COMPUTED_VALUE"""),"https://drive.google.com/file/d/1XmRuYZIXzu3bUZW7VYbd6MmLrS2u-_oZ/view?usp=drivesdk")</f>
        <v>https://drive.google.com/file/d/1XmRuYZIXzu3bUZW7VYbd6MmLrS2u-_oZ/view?usp=drivesdk</v>
      </c>
      <c r="D8488" s="12"/>
      <c r="E8488" s="11"/>
      <c r="F8488" s="12"/>
    </row>
    <row r="8489" ht="14.25" customHeight="1">
      <c r="A8489" s="4" t="str">
        <f>IFERROR(__xludf.DUMMYFUNCTION("""COMPUTED_VALUE"""),"4. Eggs, 5. Eraser")</f>
        <v>4. Eggs, 5. Eraser</v>
      </c>
      <c r="B8489" s="4" t="str">
        <f>IFERROR(__xludf.DUMMYFUNCTION("""COMPUTED_VALUE"""),"4, 5")</f>
        <v>4, 5</v>
      </c>
      <c r="C8489" s="5" t="str">
        <f>IFERROR(__xludf.DUMMYFUNCTION("""COMPUTED_VALUE"""),"https://drive.google.com/file/d/1Zsm7F0xte7Ucumtxi1-sjeKkHx7_AbJ-/view?usp=drivesdk")</f>
        <v>https://drive.google.com/file/d/1Zsm7F0xte7Ucumtxi1-sjeKkHx7_AbJ-/view?usp=drivesdk</v>
      </c>
      <c r="D8489" s="12"/>
      <c r="E8489" s="11"/>
      <c r="F8489" s="12"/>
    </row>
    <row r="8490" ht="14.25" customHeight="1">
      <c r="A8490" s="4" t="str">
        <f>IFERROR(__xludf.DUMMYFUNCTION("""COMPUTED_VALUE"""),"4. Eggs, 5. Eraser")</f>
        <v>4. Eggs, 5. Eraser</v>
      </c>
      <c r="B8490" s="4" t="str">
        <f>IFERROR(__xludf.DUMMYFUNCTION("""COMPUTED_VALUE"""),"4, 5")</f>
        <v>4, 5</v>
      </c>
      <c r="C8490" s="5" t="str">
        <f>IFERROR(__xludf.DUMMYFUNCTION("""COMPUTED_VALUE"""),"https://drive.google.com/file/d/1FbwpKhD21uPshfd9OibCG2wtnvACbguB/view?usp=drivesdk")</f>
        <v>https://drive.google.com/file/d/1FbwpKhD21uPshfd9OibCG2wtnvACbguB/view?usp=drivesdk</v>
      </c>
      <c r="D8490" s="12"/>
      <c r="E8490" s="11"/>
      <c r="F8490" s="12"/>
    </row>
    <row r="8491" ht="14.25" customHeight="1">
      <c r="A8491" s="4" t="str">
        <f>IFERROR(__xludf.DUMMYFUNCTION("""COMPUTED_VALUE"""),"32. Noir")</f>
        <v>32. Noir</v>
      </c>
      <c r="B8491" s="4" t="str">
        <f>IFERROR(__xludf.DUMMYFUNCTION("""COMPUTED_VALUE"""),"32")</f>
        <v>32</v>
      </c>
      <c r="C8491" s="5" t="str">
        <f>IFERROR(__xludf.DUMMYFUNCTION("""COMPUTED_VALUE"""),"https://drive.google.com/file/d/1rUTsrixbnP2KndE2u6BthPI4scl3BZE5/view?usp=drivesdk")</f>
        <v>https://drive.google.com/file/d/1rUTsrixbnP2KndE2u6BthPI4scl3BZE5/view?usp=drivesdk</v>
      </c>
      <c r="D8491" s="12"/>
      <c r="E8491" s="11"/>
      <c r="F8491" s="12"/>
    </row>
    <row r="8492" ht="14.25" customHeight="1">
      <c r="A8492" s="4" t="str">
        <f>IFERROR(__xludf.DUMMYFUNCTION("""COMPUTED_VALUE"""),"33. Zee")</f>
        <v>33. Zee</v>
      </c>
      <c r="B8492" s="4" t="str">
        <f>IFERROR(__xludf.DUMMYFUNCTION("""COMPUTED_VALUE"""),"33")</f>
        <v>33</v>
      </c>
      <c r="C8492" s="5" t="str">
        <f>IFERROR(__xludf.DUMMYFUNCTION("""COMPUTED_VALUE"""),"https://drive.google.com/file/d/17-N-t_1HUjtB1hxUfYb5Ce7u_nNE7Wfx/view?usp=drivesdk")</f>
        <v>https://drive.google.com/file/d/17-N-t_1HUjtB1hxUfYb5Ce7u_nNE7Wfx/view?usp=drivesdk</v>
      </c>
      <c r="D8492" s="12"/>
      <c r="E8492" s="11"/>
      <c r="F8492" s="12"/>
    </row>
    <row r="8493" ht="14.25" customHeight="1">
      <c r="A8493" s="4" t="str">
        <f>IFERROR(__xludf.DUMMYFUNCTION("""COMPUTED_VALUE"""),"141. Kamahalan")</f>
        <v>141. Kamahalan</v>
      </c>
      <c r="B8493" s="4" t="str">
        <f>IFERROR(__xludf.DUMMYFUNCTION("""COMPUTED_VALUE"""),"141")</f>
        <v>141</v>
      </c>
      <c r="C8493" s="5" t="str">
        <f>IFERROR(__xludf.DUMMYFUNCTION("""COMPUTED_VALUE"""),"https://drive.google.com/file/d/1O_6ig4k41B0dWNUcjGq_IH6yUCTSaGVb/view?usp=drivesdk")</f>
        <v>https://drive.google.com/file/d/1O_6ig4k41B0dWNUcjGq_IH6yUCTSaGVb/view?usp=drivesdk</v>
      </c>
      <c r="D8493" s="12"/>
      <c r="E8493" s="11"/>
      <c r="F8493" s="12"/>
    </row>
    <row r="8494" ht="14.25" customHeight="1">
      <c r="A8494" s="4" t="str">
        <f>IFERROR(__xludf.DUMMYFUNCTION("""COMPUTED_VALUE"""),"147. Tenextic")</f>
        <v>147. Tenextic</v>
      </c>
      <c r="B8494" s="4" t="str">
        <f>IFERROR(__xludf.DUMMYFUNCTION("""COMPUTED_VALUE"""),"147")</f>
        <v>147</v>
      </c>
      <c r="C8494" s="5" t="str">
        <f>IFERROR(__xludf.DUMMYFUNCTION("""COMPUTED_VALUE"""),"https://drive.google.com/file/d/1er8ZafM8zuYUNwNsFsWkRub-DrbKEMsq/view?usp=drivesdk")</f>
        <v>https://drive.google.com/file/d/1er8ZafM8zuYUNwNsFsWkRub-DrbKEMsq/view?usp=drivesdk</v>
      </c>
      <c r="D8494" s="12"/>
      <c r="E8494" s="11"/>
      <c r="F8494" s="12"/>
    </row>
    <row r="8495" ht="14.25" customHeight="1">
      <c r="A8495" s="4" t="str">
        <f>IFERROR(__xludf.DUMMYFUNCTION("""COMPUTED_VALUE"""),"147. Tenextic")</f>
        <v>147. Tenextic</v>
      </c>
      <c r="B8495" s="4" t="str">
        <f>IFERROR(__xludf.DUMMYFUNCTION("""COMPUTED_VALUE"""),"147")</f>
        <v>147</v>
      </c>
      <c r="C8495" s="5" t="str">
        <f>IFERROR(__xludf.DUMMYFUNCTION("""COMPUTED_VALUE"""),"https://drive.google.com/file/d/19Uf1fbIRhw045dnY2ByMS0CWve_gfGZk/view?usp=drivesdk")</f>
        <v>https://drive.google.com/file/d/19Uf1fbIRhw045dnY2ByMS0CWve_gfGZk/view?usp=drivesdk</v>
      </c>
      <c r="D8495" s="12"/>
      <c r="E8495" s="11"/>
      <c r="F8495" s="12"/>
    </row>
    <row r="8496" ht="14.25" customHeight="1">
      <c r="A8496" s="4" t="str">
        <f>IFERROR(__xludf.DUMMYFUNCTION("""COMPUTED_VALUE"""),"21. Paquini")</f>
        <v>21. Paquini</v>
      </c>
      <c r="B8496" s="4" t="str">
        <f>IFERROR(__xludf.DUMMYFUNCTION("""COMPUTED_VALUE"""),"21")</f>
        <v>21</v>
      </c>
      <c r="C8496" s="5" t="str">
        <f>IFERROR(__xludf.DUMMYFUNCTION("""COMPUTED_VALUE"""),"https://drive.google.com/file/d/1vBNbVAueapEzQ_w-J4VMZrOBzntpRtjb/view?usp=drivesdk")</f>
        <v>https://drive.google.com/file/d/1vBNbVAueapEzQ_w-J4VMZrOBzntpRtjb/view?usp=drivesdk</v>
      </c>
      <c r="D8496" s="12"/>
      <c r="E8496" s="11"/>
      <c r="F8496" s="12"/>
    </row>
    <row r="8497" ht="14.25" customHeight="1">
      <c r="A8497" s="4" t="str">
        <f>IFERROR(__xludf.DUMMYFUNCTION("""COMPUTED_VALUE"""),"88. Vincente")</f>
        <v>88. Vincente</v>
      </c>
      <c r="B8497" s="4" t="str">
        <f>IFERROR(__xludf.DUMMYFUNCTION("""COMPUTED_VALUE"""),"88")</f>
        <v>88</v>
      </c>
      <c r="C8497" s="5" t="str">
        <f>IFERROR(__xludf.DUMMYFUNCTION("""COMPUTED_VALUE"""),"https://drive.google.com/file/d/1v0HeGwImz-R32hQw_RfUra5IVqFLbq3y/view?usp=drivesdk")</f>
        <v>https://drive.google.com/file/d/1v0HeGwImz-R32hQw_RfUra5IVqFLbq3y/view?usp=drivesdk</v>
      </c>
      <c r="D8497" s="12"/>
      <c r="E8497" s="11"/>
      <c r="F8497" s="12"/>
    </row>
    <row r="8498" ht="14.25" customHeight="1">
      <c r="A8498" s="4" t="str">
        <f>IFERROR(__xludf.DUMMYFUNCTION("""COMPUTED_VALUE"""),"141. Kamahalan")</f>
        <v>141. Kamahalan</v>
      </c>
      <c r="B8498" s="4" t="str">
        <f>IFERROR(__xludf.DUMMYFUNCTION("""COMPUTED_VALUE"""),"141")</f>
        <v>141</v>
      </c>
      <c r="C8498" s="5" t="str">
        <f>IFERROR(__xludf.DUMMYFUNCTION("""COMPUTED_VALUE"""),"https://drive.google.com/file/d/1j5HLBLDN5WMoAOw-xB5x1-NwTuW-j4PE/view?usp=drivesdk")</f>
        <v>https://drive.google.com/file/d/1j5HLBLDN5WMoAOw-xB5x1-NwTuW-j4PE/view?usp=drivesdk</v>
      </c>
      <c r="D8498" s="12"/>
      <c r="E8498" s="11"/>
      <c r="F8498" s="12"/>
    </row>
    <row r="8499" ht="14.25" customHeight="1">
      <c r="A8499" s="4" t="str">
        <f>IFERROR(__xludf.DUMMYFUNCTION("""COMPUTED_VALUE"""),"127. Eleanor, 95. Ariel")</f>
        <v>127. Eleanor, 95. Ariel</v>
      </c>
      <c r="B8499" s="4" t="str">
        <f>IFERROR(__xludf.DUMMYFUNCTION("""COMPUTED_VALUE"""),"127, 95")</f>
        <v>127, 95</v>
      </c>
      <c r="C8499" s="5" t="str">
        <f>IFERROR(__xludf.DUMMYFUNCTION("""COMPUTED_VALUE"""),"https://drive.google.com/file/d/1R1nRQTVEgKqPrcbMDrPiG-TM9wdbNyL_/view?usp=drivesdk")</f>
        <v>https://drive.google.com/file/d/1R1nRQTVEgKqPrcbMDrPiG-TM9wdbNyL_/view?usp=drivesdk</v>
      </c>
      <c r="D8499" s="12"/>
      <c r="E8499" s="11"/>
      <c r="F8499" s="12"/>
    </row>
    <row r="8500" ht="14.25" customHeight="1">
      <c r="A8500" s="4" t="str">
        <f>IFERROR(__xludf.DUMMYFUNCTION("""COMPUTED_VALUE"""),"88. Vincente")</f>
        <v>88. Vincente</v>
      </c>
      <c r="B8500" s="4" t="str">
        <f>IFERROR(__xludf.DUMMYFUNCTION("""COMPUTED_VALUE"""),"88")</f>
        <v>88</v>
      </c>
      <c r="C8500" s="5" t="str">
        <f>IFERROR(__xludf.DUMMYFUNCTION("""COMPUTED_VALUE"""),"https://drive.google.com/file/d/1bh0uTtwZ9moh4a1XsAfgZnSkOBhyZQfJ/view?usp=drivesdk")</f>
        <v>https://drive.google.com/file/d/1bh0uTtwZ9moh4a1XsAfgZnSkOBhyZQfJ/view?usp=drivesdk</v>
      </c>
      <c r="D8500" s="12"/>
      <c r="E8500" s="11"/>
      <c r="F8500" s="12"/>
    </row>
    <row r="8501" ht="14.25" customHeight="1">
      <c r="A8501" s="4" t="str">
        <f>IFERROR(__xludf.DUMMYFUNCTION("""COMPUTED_VALUE"""),"88. Vincente, 95. Ariel, 127. Eleanor, 41. Gregory, 141. Kamahalan")</f>
        <v>88. Vincente, 95. Ariel, 127. Eleanor, 41. Gregory, 141. Kamahalan</v>
      </c>
      <c r="B8501" s="4" t="str">
        <f>IFERROR(__xludf.DUMMYFUNCTION("""COMPUTED_VALUE"""),"88, 95, 127, 41, 141")</f>
        <v>88, 95, 127, 41, 141</v>
      </c>
      <c r="C8501" s="5" t="str">
        <f>IFERROR(__xludf.DUMMYFUNCTION("""COMPUTED_VALUE"""),"https://drive.google.com/file/d/1YwA6qnj6FmFNXrZfsZnXIHCcka1JX7Rg/view?usp=drivesdk")</f>
        <v>https://drive.google.com/file/d/1YwA6qnj6FmFNXrZfsZnXIHCcka1JX7Rg/view?usp=drivesdk</v>
      </c>
      <c r="D8501" s="12"/>
      <c r="E8501" s="11"/>
      <c r="F8501" s="12"/>
    </row>
    <row r="8502" ht="14.25" customHeight="1">
      <c r="A8502" s="4" t="str">
        <f>IFERROR(__xludf.DUMMYFUNCTION("""COMPUTED_VALUE"""),"95. Ariel, 41. Gregory, 58. Eden")</f>
        <v>95. Ariel, 41. Gregory, 58. Eden</v>
      </c>
      <c r="B8502" s="4" t="str">
        <f>IFERROR(__xludf.DUMMYFUNCTION("""COMPUTED_VALUE"""),"95, 41, 58")</f>
        <v>95, 41, 58</v>
      </c>
      <c r="C8502" s="5" t="str">
        <f>IFERROR(__xludf.DUMMYFUNCTION("""COMPUTED_VALUE"""),"https://drive.google.com/file/d/1pvcRsrdW1A0CoNpmJCuM1Hrbm46kwnZG/view?usp=drivesdk")</f>
        <v>https://drive.google.com/file/d/1pvcRsrdW1A0CoNpmJCuM1Hrbm46kwnZG/view?usp=drivesdk</v>
      </c>
      <c r="D8502" s="12"/>
      <c r="E8502" s="11"/>
      <c r="F8502" s="12"/>
    </row>
    <row r="8503" ht="14.25" customHeight="1">
      <c r="A8503" s="4" t="str">
        <f>IFERROR(__xludf.DUMMYFUNCTION("""COMPUTED_VALUE"""),"88. Vincente")</f>
        <v>88. Vincente</v>
      </c>
      <c r="B8503" s="4" t="str">
        <f>IFERROR(__xludf.DUMMYFUNCTION("""COMPUTED_VALUE"""),"88")</f>
        <v>88</v>
      </c>
      <c r="C8503" s="5" t="str">
        <f>IFERROR(__xludf.DUMMYFUNCTION("""COMPUTED_VALUE"""),"https://drive.google.com/file/d/14zslADvAqb5WhbOmXptR0UxpDhyd3OYv/view?usp=drivesdk")</f>
        <v>https://drive.google.com/file/d/14zslADvAqb5WhbOmXptR0UxpDhyd3OYv/view?usp=drivesdk</v>
      </c>
      <c r="D8503" s="12"/>
      <c r="E8503" s="11"/>
      <c r="F8503" s="12"/>
    </row>
    <row r="8504" ht="14.25" customHeight="1">
      <c r="A8504" s="4" t="str">
        <f>IFERROR(__xludf.DUMMYFUNCTION("""COMPUTED_VALUE"""),"88. Vincente")</f>
        <v>88. Vincente</v>
      </c>
      <c r="B8504" s="4" t="str">
        <f>IFERROR(__xludf.DUMMYFUNCTION("""COMPUTED_VALUE"""),"88")</f>
        <v>88</v>
      </c>
      <c r="C8504" s="5" t="str">
        <f>IFERROR(__xludf.DUMMYFUNCTION("""COMPUTED_VALUE"""),"https://drive.google.com/file/d/1wlOcMa90ydJ0WPyYaiGsCwxRTkCbPuLt/view?usp=drivesdk")</f>
        <v>https://drive.google.com/file/d/1wlOcMa90ydJ0WPyYaiGsCwxRTkCbPuLt/view?usp=drivesdk</v>
      </c>
      <c r="D8504" s="12"/>
      <c r="E8504" s="11"/>
      <c r="F8504" s="12"/>
    </row>
    <row r="8505" ht="14.25" customHeight="1">
      <c r="A8505" s="4" t="str">
        <f>IFERROR(__xludf.DUMMYFUNCTION("""COMPUTED_VALUE"""),"138. Hare, 141. Kamahalan, 88. Vincente")</f>
        <v>138. Hare, 141. Kamahalan, 88. Vincente</v>
      </c>
      <c r="B8505" s="4" t="str">
        <f>IFERROR(__xludf.DUMMYFUNCTION("""COMPUTED_VALUE"""),"138, 141, 88")</f>
        <v>138, 141, 88</v>
      </c>
      <c r="C8505" s="5" t="str">
        <f>IFERROR(__xludf.DUMMYFUNCTION("""COMPUTED_VALUE"""),"https://drive.google.com/file/d/1uBSKkzLtR9kqRRAwHnBJXJsDm6I6W0SO/view?usp=drivesdk")</f>
        <v>https://drive.google.com/file/d/1uBSKkzLtR9kqRRAwHnBJXJsDm6I6W0SO/view?usp=drivesdk</v>
      </c>
      <c r="D8505" s="12"/>
      <c r="E8505" s="11"/>
      <c r="F8505" s="12"/>
    </row>
    <row r="8506" ht="14.25" customHeight="1">
      <c r="A8506" s="4" t="str">
        <f>IFERROR(__xludf.DUMMYFUNCTION("""COMPUTED_VALUE"""),"138. Hare")</f>
        <v>138. Hare</v>
      </c>
      <c r="B8506" s="4" t="str">
        <f>IFERROR(__xludf.DUMMYFUNCTION("""COMPUTED_VALUE"""),"138")</f>
        <v>138</v>
      </c>
      <c r="C8506" s="5" t="str">
        <f>IFERROR(__xludf.DUMMYFUNCTION("""COMPUTED_VALUE"""),"https://drive.google.com/file/d/1xPT9yCYBJjD5LoI6gEWYuqwHcE-z0llL/view?usp=drivesdk")</f>
        <v>https://drive.google.com/file/d/1xPT9yCYBJjD5LoI6gEWYuqwHcE-z0llL/view?usp=drivesdk</v>
      </c>
      <c r="D8506" s="12"/>
      <c r="E8506" s="11"/>
      <c r="F8506" s="12"/>
    </row>
    <row r="8507" ht="14.25" customHeight="1">
      <c r="A8507" s="4" t="str">
        <f>IFERROR(__xludf.DUMMYFUNCTION("""COMPUTED_VALUE"""),"139. Hound")</f>
        <v>139. Hound</v>
      </c>
      <c r="B8507" s="4" t="str">
        <f>IFERROR(__xludf.DUMMYFUNCTION("""COMPUTED_VALUE"""),"139")</f>
        <v>139</v>
      </c>
      <c r="C8507" s="5" t="str">
        <f>IFERROR(__xludf.DUMMYFUNCTION("""COMPUTED_VALUE"""),"https://drive.google.com/file/d/1c07aRE6fP8JqxOVmzB8qEFR9yC77C_sS/view?usp=drivesdk")</f>
        <v>https://drive.google.com/file/d/1c07aRE6fP8JqxOVmzB8qEFR9yC77C_sS/view?usp=drivesdk</v>
      </c>
      <c r="D8507" s="12"/>
      <c r="E8507" s="11"/>
      <c r="F8507" s="12"/>
    </row>
    <row r="8508" ht="14.25" customHeight="1">
      <c r="A8508" s="4" t="str">
        <f>IFERROR(__xludf.DUMMYFUNCTION("""COMPUTED_VALUE"""),"29. Ginger, 30. Pepper, 32. Noir, 33. Zee")</f>
        <v>29. Ginger, 30. Pepper, 32. Noir, 33. Zee</v>
      </c>
      <c r="B8508" s="4" t="str">
        <f>IFERROR(__xludf.DUMMYFUNCTION("""COMPUTED_VALUE"""),"29, 30, 32, 33")</f>
        <v>29, 30, 32, 33</v>
      </c>
      <c r="C8508" s="5" t="str">
        <f>IFERROR(__xludf.DUMMYFUNCTION("""COMPUTED_VALUE"""),"https://drive.google.com/file/d/1nLcfEyDqmVHsvyEpYB0EgqU8BU6tzS5t/view?usp=drivesdk")</f>
        <v>https://drive.google.com/file/d/1nLcfEyDqmVHsvyEpYB0EgqU8BU6tzS5t/view?usp=drivesdk</v>
      </c>
      <c r="D8508" s="12"/>
      <c r="E8508" s="11"/>
      <c r="F8508" s="12"/>
    </row>
    <row r="8509" ht="14.25" customHeight="1">
      <c r="A8509" s="4" t="str">
        <f>IFERROR(__xludf.DUMMYFUNCTION("""COMPUTED_VALUE"""),"141. Kamahalan")</f>
        <v>141. Kamahalan</v>
      </c>
      <c r="B8509" s="4" t="str">
        <f>IFERROR(__xludf.DUMMYFUNCTION("""COMPUTED_VALUE"""),"141")</f>
        <v>141</v>
      </c>
      <c r="C8509" s="5" t="str">
        <f>IFERROR(__xludf.DUMMYFUNCTION("""COMPUTED_VALUE"""),"https://drive.google.com/file/d/1q1-4LrhdsYsFIA8_T-25g1XfEElFu0Dg/view?usp=drivesdk")</f>
        <v>https://drive.google.com/file/d/1q1-4LrhdsYsFIA8_T-25g1XfEElFu0Dg/view?usp=drivesdk</v>
      </c>
      <c r="D8509" s="12"/>
      <c r="E8509" s="11"/>
      <c r="F8509" s="12"/>
    </row>
    <row r="8510" ht="14.25" customHeight="1">
      <c r="A8510" s="4" t="str">
        <f>IFERROR(__xludf.DUMMYFUNCTION("""COMPUTED_VALUE"""),"27. Angel")</f>
        <v>27. Angel</v>
      </c>
      <c r="B8510" s="4" t="str">
        <f>IFERROR(__xludf.DUMMYFUNCTION("""COMPUTED_VALUE"""),"27")</f>
        <v>27</v>
      </c>
      <c r="C8510" s="5" t="str">
        <f>IFERROR(__xludf.DUMMYFUNCTION("""COMPUTED_VALUE"""),"https://drive.google.com/file/d/1G7teswUCQ3vD9tdAl_IejVt8ws1WARH7/view?usp=drivesdk")</f>
        <v>https://drive.google.com/file/d/1G7teswUCQ3vD9tdAl_IejVt8ws1WARH7/view?usp=drivesdk</v>
      </c>
      <c r="D8510" s="12"/>
      <c r="E8510" s="11"/>
      <c r="F8510" s="12"/>
    </row>
    <row r="8511" ht="14.25" customHeight="1">
      <c r="A8511" s="4" t="str">
        <f>IFERROR(__xludf.DUMMYFUNCTION("""COMPUTED_VALUE"""),"95. Ariel, 141. Kamahalan")</f>
        <v>95. Ariel, 141. Kamahalan</v>
      </c>
      <c r="B8511" s="4" t="str">
        <f>IFERROR(__xludf.DUMMYFUNCTION("""COMPUTED_VALUE"""),"95, 141")</f>
        <v>95, 141</v>
      </c>
      <c r="C8511" s="5" t="str">
        <f>IFERROR(__xludf.DUMMYFUNCTION("""COMPUTED_VALUE"""),"https://drive.google.com/file/d/1NzhQy5k79BhTlMF6Smzhi-E_K8KExX8y/view?usp=drivesdk")</f>
        <v>https://drive.google.com/file/d/1NzhQy5k79BhTlMF6Smzhi-E_K8KExX8y/view?usp=drivesdk</v>
      </c>
      <c r="D8511" s="12"/>
      <c r="E8511" s="11"/>
      <c r="F8511" s="12"/>
    </row>
    <row r="8512" ht="14.25" customHeight="1">
      <c r="A8512" s="4" t="str">
        <f>IFERROR(__xludf.DUMMYFUNCTION("""COMPUTED_VALUE"""),"141. Kamahalan, 95. Ariel")</f>
        <v>141. Kamahalan, 95. Ariel</v>
      </c>
      <c r="B8512" s="4" t="str">
        <f>IFERROR(__xludf.DUMMYFUNCTION("""COMPUTED_VALUE"""),"141, 95")</f>
        <v>141, 95</v>
      </c>
      <c r="C8512" s="5" t="str">
        <f>IFERROR(__xludf.DUMMYFUNCTION("""COMPUTED_VALUE"""),"https://drive.google.com/file/d/1VTflGFC9i5I1_7CEP5JFqLk3rFqeYVDl/view?usp=drivesdk")</f>
        <v>https://drive.google.com/file/d/1VTflGFC9i5I1_7CEP5JFqLk3rFqeYVDl/view?usp=drivesdk</v>
      </c>
      <c r="D8512" s="12"/>
      <c r="E8512" s="11"/>
      <c r="F8512" s="12"/>
    </row>
    <row r="8513" ht="14.25" customHeight="1">
      <c r="A8513" s="4" t="str">
        <f>IFERROR(__xludf.DUMMYFUNCTION("""COMPUTED_VALUE"""),"95. Ariel, 141. Kamahalan")</f>
        <v>95. Ariel, 141. Kamahalan</v>
      </c>
      <c r="B8513" s="4" t="str">
        <f>IFERROR(__xludf.DUMMYFUNCTION("""COMPUTED_VALUE"""),"95, 141")</f>
        <v>95, 141</v>
      </c>
      <c r="C8513" s="5" t="str">
        <f>IFERROR(__xludf.DUMMYFUNCTION("""COMPUTED_VALUE"""),"https://drive.google.com/file/d/1SIbkPKknRHM_1XZO8FnVDaRt7TQGBmfd/view?usp=drivesdk")</f>
        <v>https://drive.google.com/file/d/1SIbkPKknRHM_1XZO8FnVDaRt7TQGBmfd/view?usp=drivesdk</v>
      </c>
      <c r="D8513" s="12"/>
      <c r="E8513" s="11"/>
      <c r="F8513" s="12"/>
    </row>
    <row r="8514" ht="14.25" customHeight="1">
      <c r="A8514" s="4" t="str">
        <f>IFERROR(__xludf.DUMMYFUNCTION("""COMPUTED_VALUE"""),"141. Kamahalan, 95. Ariel")</f>
        <v>141. Kamahalan, 95. Ariel</v>
      </c>
      <c r="B8514" s="4" t="str">
        <f>IFERROR(__xludf.DUMMYFUNCTION("""COMPUTED_VALUE"""),"141, 95")</f>
        <v>141, 95</v>
      </c>
      <c r="C8514" s="5" t="str">
        <f>IFERROR(__xludf.DUMMYFUNCTION("""COMPUTED_VALUE"""),"https://drive.google.com/file/d/1mmZeG8_3Udv5PuOL5LmiX-1PIZZaYH7P/view?usp=drivesdk")</f>
        <v>https://drive.google.com/file/d/1mmZeG8_3Udv5PuOL5LmiX-1PIZZaYH7P/view?usp=drivesdk</v>
      </c>
      <c r="D8514" s="12"/>
      <c r="E8514" s="11"/>
      <c r="F8514" s="12"/>
    </row>
    <row r="8515" ht="14.25" customHeight="1">
      <c r="A8515" s="4" t="str">
        <f>IFERROR(__xludf.DUMMYFUNCTION("""COMPUTED_VALUE"""),"141. Kamahalan")</f>
        <v>141. Kamahalan</v>
      </c>
      <c r="B8515" s="4" t="str">
        <f>IFERROR(__xludf.DUMMYFUNCTION("""COMPUTED_VALUE"""),"141")</f>
        <v>141</v>
      </c>
      <c r="C8515" s="5" t="str">
        <f>IFERROR(__xludf.DUMMYFUNCTION("""COMPUTED_VALUE"""),"https://drive.google.com/file/d/1LnPwwO1zR4lp_URA0ctCjPJc87cF_U8L/view?usp=drivesdk")</f>
        <v>https://drive.google.com/file/d/1LnPwwO1zR4lp_URA0ctCjPJc87cF_U8L/view?usp=drivesdk</v>
      </c>
      <c r="D8515" s="12"/>
      <c r="E8515" s="11"/>
      <c r="F8515" s="12"/>
    </row>
    <row r="8516" ht="14.25" customHeight="1">
      <c r="A8516" s="4" t="str">
        <f>IFERROR(__xludf.DUMMYFUNCTION("""COMPUTED_VALUE"""),"141. Kamahalan")</f>
        <v>141. Kamahalan</v>
      </c>
      <c r="B8516" s="4" t="str">
        <f>IFERROR(__xludf.DUMMYFUNCTION("""COMPUTED_VALUE"""),"141")</f>
        <v>141</v>
      </c>
      <c r="C8516" s="5" t="str">
        <f>IFERROR(__xludf.DUMMYFUNCTION("""COMPUTED_VALUE"""),"https://drive.google.com/file/d/185RiDRuu4xK0PDfKrtEEyDx96YGck7By/view?usp=drivesdk")</f>
        <v>https://drive.google.com/file/d/185RiDRuu4xK0PDfKrtEEyDx96YGck7By/view?usp=drivesdk</v>
      </c>
      <c r="D8516" s="12"/>
      <c r="E8516" s="11"/>
      <c r="F8516" s="12"/>
    </row>
    <row r="8517" ht="14.25" customHeight="1">
      <c r="A8517" s="4" t="str">
        <f>IFERROR(__xludf.DUMMYFUNCTION("""COMPUTED_VALUE"""),"88. Vincente")</f>
        <v>88. Vincente</v>
      </c>
      <c r="B8517" s="4" t="str">
        <f>IFERROR(__xludf.DUMMYFUNCTION("""COMPUTED_VALUE"""),"88")</f>
        <v>88</v>
      </c>
      <c r="C8517" s="5" t="str">
        <f>IFERROR(__xludf.DUMMYFUNCTION("""COMPUTED_VALUE"""),"https://drive.google.com/file/d/1Ww1P2oat-0z6tO4RJnwtFcHh-4SueJ-8/view?usp=drivesdk")</f>
        <v>https://drive.google.com/file/d/1Ww1P2oat-0z6tO4RJnwtFcHh-4SueJ-8/view?usp=drivesdk</v>
      </c>
      <c r="D8517" s="12"/>
      <c r="E8517" s="11"/>
      <c r="F8517" s="12"/>
    </row>
    <row r="8518" ht="14.25" customHeight="1">
      <c r="A8518" s="4" t="str">
        <f>IFERROR(__xludf.DUMMYFUNCTION("""COMPUTED_VALUE"""),"88. Vincente")</f>
        <v>88. Vincente</v>
      </c>
      <c r="B8518" s="4" t="str">
        <f>IFERROR(__xludf.DUMMYFUNCTION("""COMPUTED_VALUE"""),"88")</f>
        <v>88</v>
      </c>
      <c r="C8518" s="5" t="str">
        <f>IFERROR(__xludf.DUMMYFUNCTION("""COMPUTED_VALUE"""),"https://drive.google.com/file/d/1_n672buJePVztZvkEwawhVdHjymU1bLy/view?usp=drivesdk")</f>
        <v>https://drive.google.com/file/d/1_n672buJePVztZvkEwawhVdHjymU1bLy/view?usp=drivesdk</v>
      </c>
      <c r="D8518" s="12"/>
      <c r="E8518" s="11"/>
      <c r="F8518" s="12"/>
    </row>
    <row r="8519" ht="14.25" customHeight="1">
      <c r="A8519" s="4" t="str">
        <f>IFERROR(__xludf.DUMMYFUNCTION("""COMPUTED_VALUE"""),"88. Vincente")</f>
        <v>88. Vincente</v>
      </c>
      <c r="B8519" s="4" t="str">
        <f>IFERROR(__xludf.DUMMYFUNCTION("""COMPUTED_VALUE"""),"88")</f>
        <v>88</v>
      </c>
      <c r="C8519" s="5" t="str">
        <f>IFERROR(__xludf.DUMMYFUNCTION("""COMPUTED_VALUE"""),"https://drive.google.com/file/d/1Es0hRw1cdgkdbrk3ZTuc-o_FifyzRIoG/view?usp=drivesdk")</f>
        <v>https://drive.google.com/file/d/1Es0hRw1cdgkdbrk3ZTuc-o_FifyzRIoG/view?usp=drivesdk</v>
      </c>
      <c r="D8519" s="12"/>
      <c r="E8519" s="11"/>
      <c r="F8519" s="12"/>
    </row>
    <row r="8520" ht="14.25" customHeight="1">
      <c r="A8520" s="4" t="str">
        <f>IFERROR(__xludf.DUMMYFUNCTION("""COMPUTED_VALUE"""),"88. Vincente")</f>
        <v>88. Vincente</v>
      </c>
      <c r="B8520" s="4" t="str">
        <f>IFERROR(__xludf.DUMMYFUNCTION("""COMPUTED_VALUE"""),"88")</f>
        <v>88</v>
      </c>
      <c r="C8520" s="5" t="str">
        <f>IFERROR(__xludf.DUMMYFUNCTION("""COMPUTED_VALUE"""),"https://drive.google.com/file/d/1puUQ4COliS-EheZf_syNcZdIEnk8gRfD/view?usp=drivesdk")</f>
        <v>https://drive.google.com/file/d/1puUQ4COliS-EheZf_syNcZdIEnk8gRfD/view?usp=drivesdk</v>
      </c>
      <c r="D8520" s="12"/>
      <c r="E8520" s="11"/>
      <c r="F8520" s="12"/>
    </row>
    <row r="8521" ht="14.25" customHeight="1">
      <c r="A8521" s="4" t="str">
        <f>IFERROR(__xludf.DUMMYFUNCTION("""COMPUTED_VALUE"""),"30. Pepper")</f>
        <v>30. Pepper</v>
      </c>
      <c r="B8521" s="4" t="str">
        <f>IFERROR(__xludf.DUMMYFUNCTION("""COMPUTED_VALUE"""),"30")</f>
        <v>30</v>
      </c>
      <c r="C8521" s="5" t="str">
        <f>IFERROR(__xludf.DUMMYFUNCTION("""COMPUTED_VALUE"""),"https://drive.google.com/file/d/1Vb6gSaAHsBIQCDx5VNjtsIoQ-KYbFnLD/view?usp=drivesdk")</f>
        <v>https://drive.google.com/file/d/1Vb6gSaAHsBIQCDx5VNjtsIoQ-KYbFnLD/view?usp=drivesdk</v>
      </c>
      <c r="D8521" s="12"/>
      <c r="E8521" s="11"/>
      <c r="F8521" s="12"/>
    </row>
    <row r="8522" ht="14.25" customHeight="1">
      <c r="A8522" s="4" t="str">
        <f>IFERROR(__xludf.DUMMYFUNCTION("""COMPUTED_VALUE"""),"32. Noir")</f>
        <v>32. Noir</v>
      </c>
      <c r="B8522" s="4" t="str">
        <f>IFERROR(__xludf.DUMMYFUNCTION("""COMPUTED_VALUE"""),"32")</f>
        <v>32</v>
      </c>
      <c r="C8522" s="5" t="str">
        <f>IFERROR(__xludf.DUMMYFUNCTION("""COMPUTED_VALUE"""),"https://drive.google.com/file/d/1AUL9A640tJymRrpRO-P2ItC_ePNJiaVU/view?usp=drivesdk")</f>
        <v>https://drive.google.com/file/d/1AUL9A640tJymRrpRO-P2ItC_ePNJiaVU/view?usp=drivesdk</v>
      </c>
      <c r="D8522" s="12"/>
      <c r="E8522" s="11"/>
      <c r="F8522" s="12"/>
    </row>
    <row r="8523" ht="14.25" customHeight="1">
      <c r="A8523" s="4" t="str">
        <f>IFERROR(__xludf.DUMMYFUNCTION("""COMPUTED_VALUE"""),"99. Nezhui")</f>
        <v>99. Nezhui</v>
      </c>
      <c r="B8523" s="4" t="str">
        <f>IFERROR(__xludf.DUMMYFUNCTION("""COMPUTED_VALUE"""),"99")</f>
        <v>99</v>
      </c>
      <c r="C8523" s="5" t="str">
        <f>IFERROR(__xludf.DUMMYFUNCTION("""COMPUTED_VALUE"""),"https://drive.google.com/file/d/1xcSOGl8Ud1LEfdtYDrkqob_rm7mCusMB/view?usp=drivesdk")</f>
        <v>https://drive.google.com/file/d/1xcSOGl8Ud1LEfdtYDrkqob_rm7mCusMB/view?usp=drivesdk</v>
      </c>
      <c r="D8523" s="12"/>
      <c r="E8523" s="11"/>
      <c r="F8523" s="12"/>
    </row>
    <row r="8524" ht="14.25" customHeight="1">
      <c r="A8524" s="4" t="str">
        <f>IFERROR(__xludf.DUMMYFUNCTION("""COMPUTED_VALUE"""),"99. Nezhui")</f>
        <v>99. Nezhui</v>
      </c>
      <c r="B8524" s="4" t="str">
        <f>IFERROR(__xludf.DUMMYFUNCTION("""COMPUTED_VALUE"""),"99")</f>
        <v>99</v>
      </c>
      <c r="C8524" s="5" t="str">
        <f>IFERROR(__xludf.DUMMYFUNCTION("""COMPUTED_VALUE"""),"https://drive.google.com/file/d/1CG8EJhTYwzknREwDm8SCkPphQ1_YnLuo/view?usp=drivesdk")</f>
        <v>https://drive.google.com/file/d/1CG8EJhTYwzknREwDm8SCkPphQ1_YnLuo/view?usp=drivesdk</v>
      </c>
      <c r="D8524" s="12"/>
      <c r="E8524" s="11"/>
      <c r="F8524" s="12"/>
    </row>
    <row r="8525" ht="14.25" customHeight="1">
      <c r="A8525" s="4" t="str">
        <f>IFERROR(__xludf.DUMMYFUNCTION("""COMPUTED_VALUE"""),"109. Tlalli")</f>
        <v>109. Tlalli</v>
      </c>
      <c r="B8525" s="4" t="str">
        <f>IFERROR(__xludf.DUMMYFUNCTION("""COMPUTED_VALUE"""),"109")</f>
        <v>109</v>
      </c>
      <c r="C8525" s="5" t="str">
        <f>IFERROR(__xludf.DUMMYFUNCTION("""COMPUTED_VALUE"""),"https://drive.google.com/file/d/1Y9cz3kMRjWrd_ntbKKIIQVFDH7yDpetl/view?usp=drivesdk")</f>
        <v>https://drive.google.com/file/d/1Y9cz3kMRjWrd_ntbKKIIQVFDH7yDpetl/view?usp=drivesdk</v>
      </c>
      <c r="D8525" s="12"/>
      <c r="E8525" s="11"/>
      <c r="F8525" s="12"/>
    </row>
    <row r="8526" ht="14.25" customHeight="1">
      <c r="A8526" s="4" t="str">
        <f>IFERROR(__xludf.DUMMYFUNCTION("""COMPUTED_VALUE"""),"116. Itzel")</f>
        <v>116. Itzel</v>
      </c>
      <c r="B8526" s="4" t="str">
        <f>IFERROR(__xludf.DUMMYFUNCTION("""COMPUTED_VALUE"""),"116")</f>
        <v>116</v>
      </c>
      <c r="C8526" s="5" t="str">
        <f>IFERROR(__xludf.DUMMYFUNCTION("""COMPUTED_VALUE"""),"https://drive.google.com/file/d/1lRFveXPgOZUrIhFMJnVOnONsYiXxXBqU/view?usp=drivesdk")</f>
        <v>https://drive.google.com/file/d/1lRFveXPgOZUrIhFMJnVOnONsYiXxXBqU/view?usp=drivesdk</v>
      </c>
      <c r="D8526" s="12"/>
      <c r="E8526" s="11"/>
      <c r="F8526" s="12"/>
    </row>
    <row r="8527" ht="14.25" customHeight="1">
      <c r="A8527" s="4" t="str">
        <f>IFERROR(__xludf.DUMMYFUNCTION("""COMPUTED_VALUE"""),"99. Nezhui")</f>
        <v>99. Nezhui</v>
      </c>
      <c r="B8527" s="4" t="str">
        <f>IFERROR(__xludf.DUMMYFUNCTION("""COMPUTED_VALUE"""),"99")</f>
        <v>99</v>
      </c>
      <c r="C8527" s="5" t="str">
        <f>IFERROR(__xludf.DUMMYFUNCTION("""COMPUTED_VALUE"""),"https://drive.google.com/file/d/1bxGPKKTa8sWOHi6zzDsxEXakOPHwEpYU/view?usp=drivesdk")</f>
        <v>https://drive.google.com/file/d/1bxGPKKTa8sWOHi6zzDsxEXakOPHwEpYU/view?usp=drivesdk</v>
      </c>
      <c r="D8527" s="12"/>
      <c r="E8527" s="11"/>
      <c r="F8527" s="12"/>
    </row>
    <row r="8528" ht="14.25" customHeight="1">
      <c r="A8528" s="4" t="str">
        <f>IFERROR(__xludf.DUMMYFUNCTION("""COMPUTED_VALUE"""),"99. Nezhui")</f>
        <v>99. Nezhui</v>
      </c>
      <c r="B8528" s="4" t="str">
        <f>IFERROR(__xludf.DUMMYFUNCTION("""COMPUTED_VALUE"""),"99")</f>
        <v>99</v>
      </c>
      <c r="C8528" s="5" t="str">
        <f>IFERROR(__xludf.DUMMYFUNCTION("""COMPUTED_VALUE"""),"https://drive.google.com/file/d/1njqzaLeKyWlJC5YWJnV9grsTt_0bTQf1/view?usp=drivesdk")</f>
        <v>https://drive.google.com/file/d/1njqzaLeKyWlJC5YWJnV9grsTt_0bTQf1/view?usp=drivesdk</v>
      </c>
      <c r="D8528" s="12"/>
      <c r="E8528" s="11"/>
      <c r="F8528" s="12"/>
    </row>
    <row r="8529" ht="14.25" customHeight="1">
      <c r="A8529" s="4" t="str">
        <f>IFERROR(__xludf.DUMMYFUNCTION("""COMPUTED_VALUE"""),"116. Itzel")</f>
        <v>116. Itzel</v>
      </c>
      <c r="B8529" s="4" t="str">
        <f>IFERROR(__xludf.DUMMYFUNCTION("""COMPUTED_VALUE"""),"116")</f>
        <v>116</v>
      </c>
      <c r="C8529" s="5" t="str">
        <f>IFERROR(__xludf.DUMMYFUNCTION("""COMPUTED_VALUE"""),"https://drive.google.com/file/d/1TEq36GHizYdNAKZvGlf9vSLPB-n2z1xt/view?usp=drivesdk")</f>
        <v>https://drive.google.com/file/d/1TEq36GHizYdNAKZvGlf9vSLPB-n2z1xt/view?usp=drivesdk</v>
      </c>
      <c r="D8529" s="12"/>
      <c r="E8529" s="11"/>
      <c r="F8529" s="12"/>
    </row>
    <row r="8530" ht="14.25" customHeight="1">
      <c r="A8530" s="4" t="str">
        <f>IFERROR(__xludf.DUMMYFUNCTION("""COMPUTED_VALUE"""),"116. Itzel")</f>
        <v>116. Itzel</v>
      </c>
      <c r="B8530" s="4" t="str">
        <f>IFERROR(__xludf.DUMMYFUNCTION("""COMPUTED_VALUE"""),"116")</f>
        <v>116</v>
      </c>
      <c r="C8530" s="5" t="str">
        <f>IFERROR(__xludf.DUMMYFUNCTION("""COMPUTED_VALUE"""),"https://drive.google.com/file/d/1UWTC7S2d1nEQ8wnPBsWE5N49SpMu38gh/view?usp=drivesdk")</f>
        <v>https://drive.google.com/file/d/1UWTC7S2d1nEQ8wnPBsWE5N49SpMu38gh/view?usp=drivesdk</v>
      </c>
      <c r="D8530" s="12"/>
      <c r="E8530" s="11"/>
      <c r="F8530" s="12"/>
    </row>
    <row r="8531" ht="14.25" customHeight="1">
      <c r="A8531" s="4" t="str">
        <f>IFERROR(__xludf.DUMMYFUNCTION("""COMPUTED_VALUE"""),"116. Itzel")</f>
        <v>116. Itzel</v>
      </c>
      <c r="B8531" s="4" t="str">
        <f>IFERROR(__xludf.DUMMYFUNCTION("""COMPUTED_VALUE"""),"116")</f>
        <v>116</v>
      </c>
      <c r="C8531" s="5" t="str">
        <f>IFERROR(__xludf.DUMMYFUNCTION("""COMPUTED_VALUE"""),"https://drive.google.com/file/d/1e120zqnYKno0O-vE8zRu_Auq639I5YVd/view?usp=drivesdk")</f>
        <v>https://drive.google.com/file/d/1e120zqnYKno0O-vE8zRu_Auq639I5YVd/view?usp=drivesdk</v>
      </c>
      <c r="D8531" s="12"/>
      <c r="E8531" s="11"/>
      <c r="F8531" s="12"/>
    </row>
    <row r="8532" ht="14.25" customHeight="1">
      <c r="A8532" s="4" t="str">
        <f>IFERROR(__xludf.DUMMYFUNCTION("""COMPUTED_VALUE"""),"116. Itzel")</f>
        <v>116. Itzel</v>
      </c>
      <c r="B8532" s="4" t="str">
        <f>IFERROR(__xludf.DUMMYFUNCTION("""COMPUTED_VALUE"""),"116")</f>
        <v>116</v>
      </c>
      <c r="C8532" s="5" t="str">
        <f>IFERROR(__xludf.DUMMYFUNCTION("""COMPUTED_VALUE"""),"https://drive.google.com/file/d/1Prvdvnp-aQg9B6-SwcOcPVLxibymPNWJ/view?usp=drivesdk")</f>
        <v>https://drive.google.com/file/d/1Prvdvnp-aQg9B6-SwcOcPVLxibymPNWJ/view?usp=drivesdk</v>
      </c>
      <c r="D8532" s="12"/>
      <c r="E8532" s="11"/>
      <c r="F8532" s="12"/>
    </row>
    <row r="8533" ht="14.25" customHeight="1">
      <c r="A8533" s="4" t="str">
        <f>IFERROR(__xludf.DUMMYFUNCTION("""COMPUTED_VALUE"""),"99. Nezhui")</f>
        <v>99. Nezhui</v>
      </c>
      <c r="B8533" s="4" t="str">
        <f>IFERROR(__xludf.DUMMYFUNCTION("""COMPUTED_VALUE"""),"99")</f>
        <v>99</v>
      </c>
      <c r="C8533" s="5" t="str">
        <f>IFERROR(__xludf.DUMMYFUNCTION("""COMPUTED_VALUE"""),"https://drive.google.com/file/d/1XvYjJLuSm08sVatuk4LqDFFrVpwU3LLZ/view?usp=drivesdk")</f>
        <v>https://drive.google.com/file/d/1XvYjJLuSm08sVatuk4LqDFFrVpwU3LLZ/view?usp=drivesdk</v>
      </c>
      <c r="D8533" s="12"/>
      <c r="E8533" s="11"/>
      <c r="F8533" s="12"/>
    </row>
    <row r="8534" ht="14.25" customHeight="1">
      <c r="A8534" s="4" t="str">
        <f>IFERROR(__xludf.DUMMYFUNCTION("""COMPUTED_VALUE"""),"116. Itzel")</f>
        <v>116. Itzel</v>
      </c>
      <c r="B8534" s="4" t="str">
        <f>IFERROR(__xludf.DUMMYFUNCTION("""COMPUTED_VALUE"""),"116")</f>
        <v>116</v>
      </c>
      <c r="C8534" s="5" t="str">
        <f>IFERROR(__xludf.DUMMYFUNCTION("""COMPUTED_VALUE"""),"https://drive.google.com/file/d/1uyfS__CIYYxXpvsF5qy7q5fKcjxB3egb/view?usp=drivesdk")</f>
        <v>https://drive.google.com/file/d/1uyfS__CIYYxXpvsF5qy7q5fKcjxB3egb/view?usp=drivesdk</v>
      </c>
      <c r="D8534" s="12"/>
      <c r="E8534" s="11"/>
      <c r="F8534" s="12"/>
    </row>
    <row r="8535" ht="14.25" customHeight="1">
      <c r="A8535" s="4" t="str">
        <f>IFERROR(__xludf.DUMMYFUNCTION("""COMPUTED_VALUE"""),"116. Itzel")</f>
        <v>116. Itzel</v>
      </c>
      <c r="B8535" s="4" t="str">
        <f>IFERROR(__xludf.DUMMYFUNCTION("""COMPUTED_VALUE"""),"116")</f>
        <v>116</v>
      </c>
      <c r="C8535" s="5" t="str">
        <f>IFERROR(__xludf.DUMMYFUNCTION("""COMPUTED_VALUE"""),"https://drive.google.com/file/d/1JXtTa9RtsvdF3UqcV19XD2dSQcWc8WLY/view?usp=drivesdk")</f>
        <v>https://drive.google.com/file/d/1JXtTa9RtsvdF3UqcV19XD2dSQcWc8WLY/view?usp=drivesdk</v>
      </c>
      <c r="D8535" s="12"/>
      <c r="E8535" s="11"/>
      <c r="F8535" s="12"/>
    </row>
    <row r="8536" ht="14.25" customHeight="1">
      <c r="A8536" s="4" t="str">
        <f>IFERROR(__xludf.DUMMYFUNCTION("""COMPUTED_VALUE"""),"1. Microwave")</f>
        <v>1. Microwave</v>
      </c>
      <c r="B8536" s="4" t="str">
        <f>IFERROR(__xludf.DUMMYFUNCTION("""COMPUTED_VALUE"""),"1")</f>
        <v>1</v>
      </c>
      <c r="C8536" s="5" t="str">
        <f>IFERROR(__xludf.DUMMYFUNCTION("""COMPUTED_VALUE"""),"https://drive.google.com/file/d/1erYFVWSrGIDzJa57ME1oj_P_-6a7dWgX/view?usp=drivesdk")</f>
        <v>https://drive.google.com/file/d/1erYFVWSrGIDzJa57ME1oj_P_-6a7dWgX/view?usp=drivesdk</v>
      </c>
      <c r="D8536" s="12"/>
      <c r="E8536" s="11"/>
      <c r="F8536" s="12"/>
    </row>
    <row r="8537" ht="14.25" customHeight="1">
      <c r="A8537" s="4" t="str">
        <f>IFERROR(__xludf.DUMMYFUNCTION("""COMPUTED_VALUE"""),"127. Eleanor")</f>
        <v>127. Eleanor</v>
      </c>
      <c r="B8537" s="4" t="str">
        <f>IFERROR(__xludf.DUMMYFUNCTION("""COMPUTED_VALUE"""),"127")</f>
        <v>127</v>
      </c>
      <c r="C8537" s="5" t="str">
        <f>IFERROR(__xludf.DUMMYFUNCTION("""COMPUTED_VALUE"""),"https://drive.google.com/file/d/1eZZ-OntTVi4MlPdZv85qj9eFZtm4o6a2/view?usp=drivesdk")</f>
        <v>https://drive.google.com/file/d/1eZZ-OntTVi4MlPdZv85qj9eFZtm4o6a2/view?usp=drivesdk</v>
      </c>
      <c r="D8537" s="12"/>
      <c r="E8537" s="11"/>
      <c r="F8537" s="12"/>
    </row>
    <row r="8538" ht="14.25" customHeight="1">
      <c r="A8538" s="4" t="str">
        <f>IFERROR(__xludf.DUMMYFUNCTION("""COMPUTED_VALUE"""),"2. Twix")</f>
        <v>2. Twix</v>
      </c>
      <c r="B8538" s="4" t="str">
        <f>IFERROR(__xludf.DUMMYFUNCTION("""COMPUTED_VALUE"""),"2")</f>
        <v>2</v>
      </c>
      <c r="C8538" s="5" t="str">
        <f>IFERROR(__xludf.DUMMYFUNCTION("""COMPUTED_VALUE"""),"https://drive.google.com/file/d/1WrGLc2pdNRYwharUxS-uEI5dAeC2wCKQ/view?usp=drivesdk")</f>
        <v>https://drive.google.com/file/d/1WrGLc2pdNRYwharUxS-uEI5dAeC2wCKQ/view?usp=drivesdk</v>
      </c>
      <c r="D8538" s="12"/>
      <c r="E8538" s="11"/>
      <c r="F8538" s="12"/>
    </row>
    <row r="8539" ht="14.25" customHeight="1">
      <c r="A8539" s="4" t="str">
        <f>IFERROR(__xludf.DUMMYFUNCTION("""COMPUTED_VALUE"""),"41. Gregory")</f>
        <v>41. Gregory</v>
      </c>
      <c r="B8539" s="4" t="str">
        <f>IFERROR(__xludf.DUMMYFUNCTION("""COMPUTED_VALUE"""),"41")</f>
        <v>41</v>
      </c>
      <c r="C8539" s="5" t="str">
        <f>IFERROR(__xludf.DUMMYFUNCTION("""COMPUTED_VALUE"""),"https://drive.google.com/file/d/1_jbKassQ1jMMdGi6OI_o7J5pJIBRk8hU/view?usp=drivesdk")</f>
        <v>https://drive.google.com/file/d/1_jbKassQ1jMMdGi6OI_o7J5pJIBRk8hU/view?usp=drivesdk</v>
      </c>
      <c r="D8539" s="12"/>
      <c r="E8539" s="11"/>
      <c r="F8539" s="12"/>
    </row>
    <row r="8540" ht="14.25" customHeight="1">
      <c r="A8540" s="4" t="str">
        <f>IFERROR(__xludf.DUMMYFUNCTION("""COMPUTED_VALUE"""),"88. Vincente")</f>
        <v>88. Vincente</v>
      </c>
      <c r="B8540" s="4" t="str">
        <f>IFERROR(__xludf.DUMMYFUNCTION("""COMPUTED_VALUE"""),"88")</f>
        <v>88</v>
      </c>
      <c r="C8540" s="5" t="str">
        <f>IFERROR(__xludf.DUMMYFUNCTION("""COMPUTED_VALUE"""),"https://drive.google.com/file/d/1SCx05sOPG_PVXcS8ROyr2PT4ER99Jn7W/view?usp=drivesdk")</f>
        <v>https://drive.google.com/file/d/1SCx05sOPG_PVXcS8ROyr2PT4ER99Jn7W/view?usp=drivesdk</v>
      </c>
      <c r="D8540" s="12"/>
      <c r="E8540" s="11"/>
      <c r="F8540" s="12"/>
    </row>
    <row r="8541" ht="14.25" customHeight="1">
      <c r="A8541" s="4" t="str">
        <f>IFERROR(__xludf.DUMMYFUNCTION("""COMPUTED_VALUE"""),"45. Boots, 88. Vincente")</f>
        <v>45. Boots, 88. Vincente</v>
      </c>
      <c r="B8541" s="4" t="str">
        <f>IFERROR(__xludf.DUMMYFUNCTION("""COMPUTED_VALUE"""),"45, 88")</f>
        <v>45, 88</v>
      </c>
      <c r="C8541" s="5" t="str">
        <f>IFERROR(__xludf.DUMMYFUNCTION("""COMPUTED_VALUE"""),"https://drive.google.com/file/d/1bH3CeWUGWYcfSHTEf7Yu1vBB7QIeRt3M/view?usp=drivesdk")</f>
        <v>https://drive.google.com/file/d/1bH3CeWUGWYcfSHTEf7Yu1vBB7QIeRt3M/view?usp=drivesdk</v>
      </c>
      <c r="D8541" s="12"/>
      <c r="E8541" s="11"/>
      <c r="F8541" s="12"/>
    </row>
    <row r="8542" ht="14.25" customHeight="1">
      <c r="A8542" s="4" t="str">
        <f>IFERROR(__xludf.DUMMYFUNCTION("""COMPUTED_VALUE"""),"45. Boots, 88. Vincente")</f>
        <v>45. Boots, 88. Vincente</v>
      </c>
      <c r="B8542" s="4" t="str">
        <f>IFERROR(__xludf.DUMMYFUNCTION("""COMPUTED_VALUE"""),"45, 88")</f>
        <v>45, 88</v>
      </c>
      <c r="C8542" s="5" t="str">
        <f>IFERROR(__xludf.DUMMYFUNCTION("""COMPUTED_VALUE"""),"https://drive.google.com/file/d/1u22Lg3SnoX1joLqs6dh6H6CdYrZ8CRqA/view?usp=drivesdk")</f>
        <v>https://drive.google.com/file/d/1u22Lg3SnoX1joLqs6dh6H6CdYrZ8CRqA/view?usp=drivesdk</v>
      </c>
      <c r="D8542" s="12"/>
      <c r="E8542" s="11"/>
      <c r="F8542" s="12"/>
    </row>
    <row r="8543" ht="14.25" customHeight="1">
      <c r="A8543" s="4" t="str">
        <f>IFERROR(__xludf.DUMMYFUNCTION("""COMPUTED_VALUE"""),"45. Boots, 88. Vincente")</f>
        <v>45. Boots, 88. Vincente</v>
      </c>
      <c r="B8543" s="4" t="str">
        <f>IFERROR(__xludf.DUMMYFUNCTION("""COMPUTED_VALUE"""),"45, 88")</f>
        <v>45, 88</v>
      </c>
      <c r="C8543" s="5" t="str">
        <f>IFERROR(__xludf.DUMMYFUNCTION("""COMPUTED_VALUE"""),"https://drive.google.com/file/d/1g2Bn_VJs96Wv27TyVoZS1bh0Tav-l9Uw/view?usp=drivesdk")</f>
        <v>https://drive.google.com/file/d/1g2Bn_VJs96Wv27TyVoZS1bh0Tav-l9Uw/view?usp=drivesdk</v>
      </c>
      <c r="D8543" s="12"/>
      <c r="E8543" s="11"/>
      <c r="F8543" s="12"/>
    </row>
    <row r="8544" ht="14.25" customHeight="1">
      <c r="A8544" s="4" t="str">
        <f>IFERROR(__xludf.DUMMYFUNCTION("""COMPUTED_VALUE"""),"20. Citlali")</f>
        <v>20. Citlali</v>
      </c>
      <c r="B8544" s="4" t="str">
        <f>IFERROR(__xludf.DUMMYFUNCTION("""COMPUTED_VALUE"""),"20")</f>
        <v>20</v>
      </c>
      <c r="C8544" s="5" t="str">
        <f>IFERROR(__xludf.DUMMYFUNCTION("""COMPUTED_VALUE"""),"https://drive.google.com/file/d/150av6kHfe-N_uRwZ9NFYsNEckLJPCABd/view?usp=drivesdk")</f>
        <v>https://drive.google.com/file/d/150av6kHfe-N_uRwZ9NFYsNEckLJPCABd/view?usp=drivesdk</v>
      </c>
      <c r="D8544" s="12"/>
      <c r="E8544" s="11"/>
      <c r="F8544" s="12"/>
    </row>
    <row r="8545" ht="14.25" customHeight="1">
      <c r="A8545" s="4" t="str">
        <f>IFERROR(__xludf.DUMMYFUNCTION("""COMPUTED_VALUE"""),"147. Tenextic")</f>
        <v>147. Tenextic</v>
      </c>
      <c r="B8545" s="4" t="str">
        <f>IFERROR(__xludf.DUMMYFUNCTION("""COMPUTED_VALUE"""),"147")</f>
        <v>147</v>
      </c>
      <c r="C8545" s="5" t="str">
        <f>IFERROR(__xludf.DUMMYFUNCTION("""COMPUTED_VALUE"""),"https://drive.google.com/file/d/1A7r6iO9JTbd9vNGCPNjqyzBc_LXIAT2C/view?usp=drivesdk")</f>
        <v>https://drive.google.com/file/d/1A7r6iO9JTbd9vNGCPNjqyzBc_LXIAT2C/view?usp=drivesdk</v>
      </c>
      <c r="D8545" s="12"/>
      <c r="E8545" s="11"/>
      <c r="F8545" s="12"/>
    </row>
    <row r="8546" ht="14.25" customHeight="1">
      <c r="A8546" s="4" t="str">
        <f>IFERROR(__xludf.DUMMYFUNCTION("""COMPUTED_VALUE"""),"1. Microwave")</f>
        <v>1. Microwave</v>
      </c>
      <c r="B8546" s="4" t="str">
        <f>IFERROR(__xludf.DUMMYFUNCTION("""COMPUTED_VALUE"""),"1")</f>
        <v>1</v>
      </c>
      <c r="C8546" s="5" t="str">
        <f>IFERROR(__xludf.DUMMYFUNCTION("""COMPUTED_VALUE"""),"https://drive.google.com/file/d/11pNfinzr3l9pylhxDKAypwDrQxMbdpvD/view?usp=drivesdk")</f>
        <v>https://drive.google.com/file/d/11pNfinzr3l9pylhxDKAypwDrQxMbdpvD/view?usp=drivesdk</v>
      </c>
      <c r="D8546" s="12"/>
      <c r="E8546" s="11"/>
      <c r="F8546" s="12"/>
    </row>
    <row r="8547" ht="14.25" customHeight="1">
      <c r="A8547" s="4" t="str">
        <f>IFERROR(__xludf.DUMMYFUNCTION("""COMPUTED_VALUE"""),"1. Microwave")</f>
        <v>1. Microwave</v>
      </c>
      <c r="B8547" s="4" t="str">
        <f>IFERROR(__xludf.DUMMYFUNCTION("""COMPUTED_VALUE"""),"1")</f>
        <v>1</v>
      </c>
      <c r="C8547" s="5" t="str">
        <f>IFERROR(__xludf.DUMMYFUNCTION("""COMPUTED_VALUE"""),"https://drive.google.com/file/d/1jEC_hSdCl5ygNazYNFuumpNlajvXUATP/view?usp=drivesdk")</f>
        <v>https://drive.google.com/file/d/1jEC_hSdCl5ygNazYNFuumpNlajvXUATP/view?usp=drivesdk</v>
      </c>
      <c r="D8547" s="12"/>
      <c r="E8547" s="11"/>
      <c r="F8547" s="12"/>
    </row>
    <row r="8548" ht="14.25" customHeight="1">
      <c r="A8548" s="4" t="str">
        <f>IFERROR(__xludf.DUMMYFUNCTION("""COMPUTED_VALUE"""),"1. Microwave")</f>
        <v>1. Microwave</v>
      </c>
      <c r="B8548" s="4" t="str">
        <f>IFERROR(__xludf.DUMMYFUNCTION("""COMPUTED_VALUE"""),"1")</f>
        <v>1</v>
      </c>
      <c r="C8548" s="5" t="str">
        <f>IFERROR(__xludf.DUMMYFUNCTION("""COMPUTED_VALUE"""),"https://drive.google.com/file/d/1hWtufAs-vc4NgHNghgcZt3z1Lk-o0rY8/view?usp=drivesdk")</f>
        <v>https://drive.google.com/file/d/1hWtufAs-vc4NgHNghgcZt3z1Lk-o0rY8/view?usp=drivesdk</v>
      </c>
      <c r="D8548" s="12"/>
      <c r="E8548" s="11"/>
      <c r="F8548" s="12"/>
    </row>
    <row r="8549" ht="14.25" customHeight="1">
      <c r="A8549" s="4" t="str">
        <f>IFERROR(__xludf.DUMMYFUNCTION("""COMPUTED_VALUE"""),"1. Microwave")</f>
        <v>1. Microwave</v>
      </c>
      <c r="B8549" s="4" t="str">
        <f>IFERROR(__xludf.DUMMYFUNCTION("""COMPUTED_VALUE"""),"1")</f>
        <v>1</v>
      </c>
      <c r="C8549" s="5" t="str">
        <f>IFERROR(__xludf.DUMMYFUNCTION("""COMPUTED_VALUE"""),"https://drive.google.com/file/d/1lnBrYYwqSi_So89-OIRcIfL3XTApK1LA/view?usp=drivesdk")</f>
        <v>https://drive.google.com/file/d/1lnBrYYwqSi_So89-OIRcIfL3XTApK1LA/view?usp=drivesdk</v>
      </c>
      <c r="D8549" s="12"/>
      <c r="E8549" s="11"/>
      <c r="F8549" s="12"/>
    </row>
    <row r="8550" ht="14.25" customHeight="1">
      <c r="A8550" s="4" t="str">
        <f>IFERROR(__xludf.DUMMYFUNCTION("""COMPUTED_VALUE"""),"1. Microwave")</f>
        <v>1. Microwave</v>
      </c>
      <c r="B8550" s="4" t="str">
        <f>IFERROR(__xludf.DUMMYFUNCTION("""COMPUTED_VALUE"""),"1")</f>
        <v>1</v>
      </c>
      <c r="C8550" s="5" t="str">
        <f>IFERROR(__xludf.DUMMYFUNCTION("""COMPUTED_VALUE"""),"https://drive.google.com/file/d/1EVMMfJRwn6JlWXIHeoQ-sjJQB5XOk16H/view?usp=drivesdk")</f>
        <v>https://drive.google.com/file/d/1EVMMfJRwn6JlWXIHeoQ-sjJQB5XOk16H/view?usp=drivesdk</v>
      </c>
      <c r="D8550" s="12"/>
      <c r="E8550" s="11"/>
      <c r="F8550" s="12"/>
    </row>
    <row r="8551" ht="14.25" customHeight="1">
      <c r="A8551" s="4" t="str">
        <f>IFERROR(__xludf.DUMMYFUNCTION("""COMPUTED_VALUE"""),"1. Microwave")</f>
        <v>1. Microwave</v>
      </c>
      <c r="B8551" s="4" t="str">
        <f>IFERROR(__xludf.DUMMYFUNCTION("""COMPUTED_VALUE"""),"1")</f>
        <v>1</v>
      </c>
      <c r="C8551" s="5" t="str">
        <f>IFERROR(__xludf.DUMMYFUNCTION("""COMPUTED_VALUE"""),"https://drive.google.com/file/d/1y-3MjEvnLRYc0qT9EVLldBhAiAGsFtwT/view?usp=drivesdk")</f>
        <v>https://drive.google.com/file/d/1y-3MjEvnLRYc0qT9EVLldBhAiAGsFtwT/view?usp=drivesdk</v>
      </c>
      <c r="D8551" s="12"/>
      <c r="E8551" s="11"/>
      <c r="F8551" s="12"/>
    </row>
    <row r="8552" ht="14.25" customHeight="1">
      <c r="A8552" s="4" t="str">
        <f>IFERROR(__xludf.DUMMYFUNCTION("""COMPUTED_VALUE"""),"1. Microwave")</f>
        <v>1. Microwave</v>
      </c>
      <c r="B8552" s="4" t="str">
        <f>IFERROR(__xludf.DUMMYFUNCTION("""COMPUTED_VALUE"""),"1")</f>
        <v>1</v>
      </c>
      <c r="C8552" s="5" t="str">
        <f>IFERROR(__xludf.DUMMYFUNCTION("""COMPUTED_VALUE"""),"https://drive.google.com/file/d/1-TwStws7FPTYPh_pYexarDKf713zdBLG/view?usp=drivesdk")</f>
        <v>https://drive.google.com/file/d/1-TwStws7FPTYPh_pYexarDKf713zdBLG/view?usp=drivesdk</v>
      </c>
      <c r="D8552" s="12"/>
      <c r="E8552" s="11"/>
      <c r="F8552" s="12"/>
    </row>
    <row r="8553" ht="14.25" customHeight="1">
      <c r="A8553" s="4" t="str">
        <f>IFERROR(__xludf.DUMMYFUNCTION("""COMPUTED_VALUE"""),"1. Microwave")</f>
        <v>1. Microwave</v>
      </c>
      <c r="B8553" s="4" t="str">
        <f>IFERROR(__xludf.DUMMYFUNCTION("""COMPUTED_VALUE"""),"1")</f>
        <v>1</v>
      </c>
      <c r="C8553" s="5" t="str">
        <f>IFERROR(__xludf.DUMMYFUNCTION("""COMPUTED_VALUE"""),"https://drive.google.com/file/d/1M4VG0XAygmRNZXTtLli_1gIp0Oq2nySK/view?usp=drivesdk")</f>
        <v>https://drive.google.com/file/d/1M4VG0XAygmRNZXTtLli_1gIp0Oq2nySK/view?usp=drivesdk</v>
      </c>
      <c r="D8553" s="12"/>
      <c r="E8553" s="11"/>
      <c r="F8553" s="12"/>
    </row>
    <row r="8554" ht="14.25" customHeight="1">
      <c r="A8554" s="4" t="str">
        <f>IFERROR(__xludf.DUMMYFUNCTION("""COMPUTED_VALUE"""),"1. Microwave")</f>
        <v>1. Microwave</v>
      </c>
      <c r="B8554" s="4" t="str">
        <f>IFERROR(__xludf.DUMMYFUNCTION("""COMPUTED_VALUE"""),"1")</f>
        <v>1</v>
      </c>
      <c r="C8554" s="5" t="str">
        <f>IFERROR(__xludf.DUMMYFUNCTION("""COMPUTED_VALUE"""),"https://drive.google.com/file/d/1zU_Q46Wl9lh4BDIml_AqY2lTRmWwgllX/view?usp=drivesdk")</f>
        <v>https://drive.google.com/file/d/1zU_Q46Wl9lh4BDIml_AqY2lTRmWwgllX/view?usp=drivesdk</v>
      </c>
      <c r="D8554" s="12"/>
      <c r="E8554" s="11"/>
      <c r="F8554" s="12"/>
    </row>
    <row r="8555" ht="14.25" customHeight="1">
      <c r="A8555" s="4" t="str">
        <f>IFERROR(__xludf.DUMMYFUNCTION("""COMPUTED_VALUE"""),"1. Microwave")</f>
        <v>1. Microwave</v>
      </c>
      <c r="B8555" s="4" t="str">
        <f>IFERROR(__xludf.DUMMYFUNCTION("""COMPUTED_VALUE"""),"1")</f>
        <v>1</v>
      </c>
      <c r="C8555" s="5" t="str">
        <f>IFERROR(__xludf.DUMMYFUNCTION("""COMPUTED_VALUE"""),"https://drive.google.com/file/d/1aEozuwiBTrtCPXYeyiEPYSuhRfcuYi_p/view?usp=drivesdk")</f>
        <v>https://drive.google.com/file/d/1aEozuwiBTrtCPXYeyiEPYSuhRfcuYi_p/view?usp=drivesdk</v>
      </c>
      <c r="D8555" s="12"/>
      <c r="E8555" s="11"/>
      <c r="F8555" s="12"/>
    </row>
    <row r="8556" ht="14.25" customHeight="1">
      <c r="A8556" s="4" t="str">
        <f>IFERROR(__xludf.DUMMYFUNCTION("""COMPUTED_VALUE"""),"1. Microwave")</f>
        <v>1. Microwave</v>
      </c>
      <c r="B8556" s="4" t="str">
        <f>IFERROR(__xludf.DUMMYFUNCTION("""COMPUTED_VALUE"""),"1")</f>
        <v>1</v>
      </c>
      <c r="C8556" s="5" t="str">
        <f>IFERROR(__xludf.DUMMYFUNCTION("""COMPUTED_VALUE"""),"https://drive.google.com/file/d/1F6LFkcAQEmGy-hBp267VsQgh4aOb282D/view?usp=drivesdk")</f>
        <v>https://drive.google.com/file/d/1F6LFkcAQEmGy-hBp267VsQgh4aOb282D/view?usp=drivesdk</v>
      </c>
      <c r="D8556" s="12"/>
      <c r="E8556" s="11"/>
      <c r="F8556" s="12"/>
    </row>
    <row r="8557" ht="14.25" customHeight="1">
      <c r="A8557" s="4" t="str">
        <f>IFERROR(__xludf.DUMMYFUNCTION("""COMPUTED_VALUE"""),"1. Microwave")</f>
        <v>1. Microwave</v>
      </c>
      <c r="B8557" s="4" t="str">
        <f>IFERROR(__xludf.DUMMYFUNCTION("""COMPUTED_VALUE"""),"1")</f>
        <v>1</v>
      </c>
      <c r="C8557" s="5" t="str">
        <f>IFERROR(__xludf.DUMMYFUNCTION("""COMPUTED_VALUE"""),"https://drive.google.com/file/d/1bySpunvk0nQ8e1HvtytgRbG3A7-P4lEH/view?usp=drivesdk")</f>
        <v>https://drive.google.com/file/d/1bySpunvk0nQ8e1HvtytgRbG3A7-P4lEH/view?usp=drivesdk</v>
      </c>
      <c r="D8557" s="12"/>
      <c r="E8557" s="11"/>
      <c r="F8557" s="12"/>
    </row>
    <row r="8558" ht="14.25" customHeight="1">
      <c r="A8558" s="4" t="str">
        <f>IFERROR(__xludf.DUMMYFUNCTION("""COMPUTED_VALUE"""),"1. Microwave")</f>
        <v>1. Microwave</v>
      </c>
      <c r="B8558" s="4" t="str">
        <f>IFERROR(__xludf.DUMMYFUNCTION("""COMPUTED_VALUE"""),"1")</f>
        <v>1</v>
      </c>
      <c r="C8558" s="5" t="str">
        <f>IFERROR(__xludf.DUMMYFUNCTION("""COMPUTED_VALUE"""),"https://drive.google.com/file/d/1LnupHuXieyLtl8k3uoBwM0-jf7F2v7xx/view?usp=drivesdk")</f>
        <v>https://drive.google.com/file/d/1LnupHuXieyLtl8k3uoBwM0-jf7F2v7xx/view?usp=drivesdk</v>
      </c>
      <c r="D8558" s="12"/>
      <c r="E8558" s="11"/>
      <c r="F8558" s="12"/>
    </row>
    <row r="8559" ht="14.25" customHeight="1">
      <c r="A8559" s="4" t="str">
        <f>IFERROR(__xludf.DUMMYFUNCTION("""COMPUTED_VALUE"""),"6. Snickers")</f>
        <v>6. Snickers</v>
      </c>
      <c r="B8559" s="4" t="str">
        <f>IFERROR(__xludf.DUMMYFUNCTION("""COMPUTED_VALUE"""),"6")</f>
        <v>6</v>
      </c>
      <c r="C8559" s="5" t="str">
        <f>IFERROR(__xludf.DUMMYFUNCTION("""COMPUTED_VALUE"""),"https://drive.google.com/file/d/1AvYMhQbguW_NpsoEdnJcU4uq_8O--RfP/view?usp=drivesdk")</f>
        <v>https://drive.google.com/file/d/1AvYMhQbguW_NpsoEdnJcU4uq_8O--RfP/view?usp=drivesdk</v>
      </c>
      <c r="D8559" s="12"/>
      <c r="E8559" s="11"/>
      <c r="F8559" s="12"/>
    </row>
    <row r="8560" ht="14.25" customHeight="1">
      <c r="A8560" s="4" t="str">
        <f>IFERROR(__xludf.DUMMYFUNCTION("""COMPUTED_VALUE"""),"6. Snickers")</f>
        <v>6. Snickers</v>
      </c>
      <c r="B8560" s="4" t="str">
        <f>IFERROR(__xludf.DUMMYFUNCTION("""COMPUTED_VALUE"""),"6")</f>
        <v>6</v>
      </c>
      <c r="C8560" s="5" t="str">
        <f>IFERROR(__xludf.DUMMYFUNCTION("""COMPUTED_VALUE"""),"https://drive.google.com/file/d/1KJFDU83l_R8qmXGX3QKKeFDHguokQpGp/view?usp=drivesdk")</f>
        <v>https://drive.google.com/file/d/1KJFDU83l_R8qmXGX3QKKeFDHguokQpGp/view?usp=drivesdk</v>
      </c>
      <c r="D8560" s="12"/>
      <c r="E8560" s="11"/>
      <c r="F8560" s="12"/>
    </row>
    <row r="8561" ht="14.25" customHeight="1">
      <c r="A8561" s="4" t="str">
        <f>IFERROR(__xludf.DUMMYFUNCTION("""COMPUTED_VALUE"""),"6. Snickers")</f>
        <v>6. Snickers</v>
      </c>
      <c r="B8561" s="4" t="str">
        <f>IFERROR(__xludf.DUMMYFUNCTION("""COMPUTED_VALUE"""),"6")</f>
        <v>6</v>
      </c>
      <c r="C8561" s="5" t="str">
        <f>IFERROR(__xludf.DUMMYFUNCTION("""COMPUTED_VALUE"""),"https://drive.google.com/file/d/1vkFgmVJoBEJVO9eLWPr90OO0nM90po8x/view?usp=drivesdk")</f>
        <v>https://drive.google.com/file/d/1vkFgmVJoBEJVO9eLWPr90OO0nM90po8x/view?usp=drivesdk</v>
      </c>
      <c r="D8561" s="12"/>
      <c r="E8561" s="11"/>
      <c r="F8561" s="12"/>
    </row>
    <row r="8562" ht="14.25" customHeight="1">
      <c r="A8562" s="4" t="str">
        <f>IFERROR(__xludf.DUMMYFUNCTION("""COMPUTED_VALUE"""),"6. Snickers")</f>
        <v>6. Snickers</v>
      </c>
      <c r="B8562" s="4" t="str">
        <f>IFERROR(__xludf.DUMMYFUNCTION("""COMPUTED_VALUE"""),"6")</f>
        <v>6</v>
      </c>
      <c r="C8562" s="5" t="str">
        <f>IFERROR(__xludf.DUMMYFUNCTION("""COMPUTED_VALUE"""),"https://drive.google.com/file/d/1q2g7MChfMDF0Eh-GXJ7c9-XnaZSoJXGQ/view?usp=drivesdk")</f>
        <v>https://drive.google.com/file/d/1q2g7MChfMDF0Eh-GXJ7c9-XnaZSoJXGQ/view?usp=drivesdk</v>
      </c>
      <c r="D8562" s="12"/>
      <c r="E8562" s="11"/>
      <c r="F8562" s="12"/>
    </row>
    <row r="8563" ht="14.25" customHeight="1">
      <c r="A8563" s="4" t="str">
        <f>IFERROR(__xludf.DUMMYFUNCTION("""COMPUTED_VALUE"""),"6. Snickers")</f>
        <v>6. Snickers</v>
      </c>
      <c r="B8563" s="4" t="str">
        <f>IFERROR(__xludf.DUMMYFUNCTION("""COMPUTED_VALUE"""),"6")</f>
        <v>6</v>
      </c>
      <c r="C8563" s="5" t="str">
        <f>IFERROR(__xludf.DUMMYFUNCTION("""COMPUTED_VALUE"""),"https://drive.google.com/file/d/1hrY27qgel00Jj8sOscnK9V4WjDWwwDvQ/view?usp=drivesdk")</f>
        <v>https://drive.google.com/file/d/1hrY27qgel00Jj8sOscnK9V4WjDWwwDvQ/view?usp=drivesdk</v>
      </c>
      <c r="D8563" s="12"/>
      <c r="E8563" s="11"/>
      <c r="F8563" s="12"/>
    </row>
    <row r="8564" ht="14.25" customHeight="1">
      <c r="A8564" s="4" t="str">
        <f>IFERROR(__xludf.DUMMYFUNCTION("""COMPUTED_VALUE"""),"6. Snickers")</f>
        <v>6. Snickers</v>
      </c>
      <c r="B8564" s="4" t="str">
        <f>IFERROR(__xludf.DUMMYFUNCTION("""COMPUTED_VALUE"""),"6")</f>
        <v>6</v>
      </c>
      <c r="C8564" s="5" t="str">
        <f>IFERROR(__xludf.DUMMYFUNCTION("""COMPUTED_VALUE"""),"https://drive.google.com/file/d/1uFsyR-ue34W0Wij4OaFRJTFKPpuW_K3p/view?usp=drivesdk")</f>
        <v>https://drive.google.com/file/d/1uFsyR-ue34W0Wij4OaFRJTFKPpuW_K3p/view?usp=drivesdk</v>
      </c>
      <c r="D8564" s="12"/>
      <c r="E8564" s="11"/>
      <c r="F8564" s="12"/>
    </row>
    <row r="8565" ht="14.25" customHeight="1">
      <c r="A8565" s="4" t="str">
        <f>IFERROR(__xludf.DUMMYFUNCTION("""COMPUTED_VALUE"""),"6. Snickers")</f>
        <v>6. Snickers</v>
      </c>
      <c r="B8565" s="4" t="str">
        <f>IFERROR(__xludf.DUMMYFUNCTION("""COMPUTED_VALUE"""),"6")</f>
        <v>6</v>
      </c>
      <c r="C8565" s="5" t="str">
        <f>IFERROR(__xludf.DUMMYFUNCTION("""COMPUTED_VALUE"""),"https://drive.google.com/file/d/1YQi226Zxu0LJYJC_OYiMTB-SINd0CMtH/view?usp=drivesdk")</f>
        <v>https://drive.google.com/file/d/1YQi226Zxu0LJYJC_OYiMTB-SINd0CMtH/view?usp=drivesdk</v>
      </c>
      <c r="D8565" s="12"/>
      <c r="E8565" s="11"/>
      <c r="F8565" s="12"/>
    </row>
    <row r="8566" ht="14.25" customHeight="1">
      <c r="A8566" s="4" t="str">
        <f>IFERROR(__xludf.DUMMYFUNCTION("""COMPUTED_VALUE"""),"6. Snickers")</f>
        <v>6. Snickers</v>
      </c>
      <c r="B8566" s="4" t="str">
        <f>IFERROR(__xludf.DUMMYFUNCTION("""COMPUTED_VALUE"""),"6")</f>
        <v>6</v>
      </c>
      <c r="C8566" s="5" t="str">
        <f>IFERROR(__xludf.DUMMYFUNCTION("""COMPUTED_VALUE"""),"https://drive.google.com/file/d/1HeEZsPzI3NxuXdZFn7NIrXURMr8dt4FV/view?usp=drivesdk")</f>
        <v>https://drive.google.com/file/d/1HeEZsPzI3NxuXdZFn7NIrXURMr8dt4FV/view?usp=drivesdk</v>
      </c>
      <c r="D8566" s="12"/>
      <c r="E8566" s="11"/>
      <c r="F8566" s="12"/>
    </row>
    <row r="8567" ht="14.25" customHeight="1">
      <c r="A8567" s="4" t="str">
        <f>IFERROR(__xludf.DUMMYFUNCTION("""COMPUTED_VALUE"""),"6. Snickers")</f>
        <v>6. Snickers</v>
      </c>
      <c r="B8567" s="4" t="str">
        <f>IFERROR(__xludf.DUMMYFUNCTION("""COMPUTED_VALUE"""),"6")</f>
        <v>6</v>
      </c>
      <c r="C8567" s="5" t="str">
        <f>IFERROR(__xludf.DUMMYFUNCTION("""COMPUTED_VALUE"""),"https://drive.google.com/file/d/1VAD2k0oS4fAZggzNWhMyifxPvJSF4zXu/view?usp=drivesdk")</f>
        <v>https://drive.google.com/file/d/1VAD2k0oS4fAZggzNWhMyifxPvJSF4zXu/view?usp=drivesdk</v>
      </c>
      <c r="D8567" s="12"/>
      <c r="E8567" s="11"/>
      <c r="F8567" s="12"/>
    </row>
    <row r="8568" ht="14.25" customHeight="1">
      <c r="A8568" s="4" t="str">
        <f>IFERROR(__xludf.DUMMYFUNCTION("""COMPUTED_VALUE"""),"2. Twix")</f>
        <v>2. Twix</v>
      </c>
      <c r="B8568" s="4" t="str">
        <f>IFERROR(__xludf.DUMMYFUNCTION("""COMPUTED_VALUE"""),"2")</f>
        <v>2</v>
      </c>
      <c r="C8568" s="5" t="str">
        <f>IFERROR(__xludf.DUMMYFUNCTION("""COMPUTED_VALUE"""),"https://drive.google.com/file/d/1Ch4KjrmknL1U_JXKUjF6DDnwyHyTC4DW/view?usp=drivesdk")</f>
        <v>https://drive.google.com/file/d/1Ch4KjrmknL1U_JXKUjF6DDnwyHyTC4DW/view?usp=drivesdk</v>
      </c>
      <c r="D8568" s="12"/>
      <c r="E8568" s="11"/>
      <c r="F8568" s="12"/>
    </row>
    <row r="8569" ht="14.25" customHeight="1">
      <c r="A8569" s="4" t="str">
        <f>IFERROR(__xludf.DUMMYFUNCTION("""COMPUTED_VALUE"""),"2. Twix")</f>
        <v>2. Twix</v>
      </c>
      <c r="B8569" s="4" t="str">
        <f>IFERROR(__xludf.DUMMYFUNCTION("""COMPUTED_VALUE"""),"2")</f>
        <v>2</v>
      </c>
      <c r="C8569" s="5" t="str">
        <f>IFERROR(__xludf.DUMMYFUNCTION("""COMPUTED_VALUE"""),"https://drive.google.com/file/d/1r_3X22P89AtAakN81l1OAMcx0R6YXumh/view?usp=drivesdk")</f>
        <v>https://drive.google.com/file/d/1r_3X22P89AtAakN81l1OAMcx0R6YXumh/view?usp=drivesdk</v>
      </c>
      <c r="D8569" s="12"/>
      <c r="E8569" s="11"/>
      <c r="F8569" s="12"/>
    </row>
    <row r="8570" ht="14.25" customHeight="1">
      <c r="A8570" s="4" t="str">
        <f>IFERROR(__xludf.DUMMYFUNCTION("""COMPUTED_VALUE"""),"2. Twix")</f>
        <v>2. Twix</v>
      </c>
      <c r="B8570" s="4" t="str">
        <f>IFERROR(__xludf.DUMMYFUNCTION("""COMPUTED_VALUE"""),"2")</f>
        <v>2</v>
      </c>
      <c r="C8570" s="5" t="str">
        <f>IFERROR(__xludf.DUMMYFUNCTION("""COMPUTED_VALUE"""),"https://drive.google.com/file/d/1Y0o_jCi63WpAVI4uAOeu0FlraNSSVZFX/view?usp=drivesdk")</f>
        <v>https://drive.google.com/file/d/1Y0o_jCi63WpAVI4uAOeu0FlraNSSVZFX/view?usp=drivesdk</v>
      </c>
      <c r="D8570" s="12"/>
      <c r="E8570" s="11"/>
      <c r="F8570" s="12"/>
    </row>
    <row r="8571" ht="14.25" customHeight="1">
      <c r="A8571" s="4" t="str">
        <f>IFERROR(__xludf.DUMMYFUNCTION("""COMPUTED_VALUE"""),"2. Twix")</f>
        <v>2. Twix</v>
      </c>
      <c r="B8571" s="4" t="str">
        <f>IFERROR(__xludf.DUMMYFUNCTION("""COMPUTED_VALUE"""),"2")</f>
        <v>2</v>
      </c>
      <c r="C8571" s="5" t="str">
        <f>IFERROR(__xludf.DUMMYFUNCTION("""COMPUTED_VALUE"""),"https://drive.google.com/file/d/1Ut8vOeLVzk8Q9OjDlGejoD93npFtfSbE/view?usp=drivesdk")</f>
        <v>https://drive.google.com/file/d/1Ut8vOeLVzk8Q9OjDlGejoD93npFtfSbE/view?usp=drivesdk</v>
      </c>
      <c r="D8571" s="12"/>
      <c r="E8571" s="11"/>
      <c r="F8571" s="12"/>
    </row>
    <row r="8572" ht="14.25" customHeight="1">
      <c r="A8572" s="4" t="str">
        <f>IFERROR(__xludf.DUMMYFUNCTION("""COMPUTED_VALUE"""),"2. Twix")</f>
        <v>2. Twix</v>
      </c>
      <c r="B8572" s="4" t="str">
        <f>IFERROR(__xludf.DUMMYFUNCTION("""COMPUTED_VALUE"""),"2")</f>
        <v>2</v>
      </c>
      <c r="C8572" s="5" t="str">
        <f>IFERROR(__xludf.DUMMYFUNCTION("""COMPUTED_VALUE"""),"https://drive.google.com/file/d/1ndZGd98q1vQMc9Vjb2n3U28-vBXmCRWx/view?usp=drivesdk")</f>
        <v>https://drive.google.com/file/d/1ndZGd98q1vQMc9Vjb2n3U28-vBXmCRWx/view?usp=drivesdk</v>
      </c>
      <c r="D8572" s="12"/>
      <c r="E8572" s="11"/>
      <c r="F8572" s="12"/>
    </row>
    <row r="8573" ht="14.25" customHeight="1">
      <c r="A8573" s="4" t="str">
        <f>IFERROR(__xludf.DUMMYFUNCTION("""COMPUTED_VALUE"""),"2. Twix")</f>
        <v>2. Twix</v>
      </c>
      <c r="B8573" s="4" t="str">
        <f>IFERROR(__xludf.DUMMYFUNCTION("""COMPUTED_VALUE"""),"2")</f>
        <v>2</v>
      </c>
      <c r="C8573" s="5" t="str">
        <f>IFERROR(__xludf.DUMMYFUNCTION("""COMPUTED_VALUE"""),"https://drive.google.com/file/d/1thugXUSS-bypOv7UVkZ-1c9Xyh2KAJQn/view?usp=drivesdk")</f>
        <v>https://drive.google.com/file/d/1thugXUSS-bypOv7UVkZ-1c9Xyh2KAJQn/view?usp=drivesdk</v>
      </c>
      <c r="D8573" s="12"/>
      <c r="E8573" s="11"/>
      <c r="F8573" s="12"/>
    </row>
    <row r="8574" ht="14.25" customHeight="1">
      <c r="A8574" s="4" t="str">
        <f>IFERROR(__xludf.DUMMYFUNCTION("""COMPUTED_VALUE"""),"1. Microwave")</f>
        <v>1. Microwave</v>
      </c>
      <c r="B8574" s="4" t="str">
        <f>IFERROR(__xludf.DUMMYFUNCTION("""COMPUTED_VALUE"""),"1")</f>
        <v>1</v>
      </c>
      <c r="C8574" s="5" t="str">
        <f>IFERROR(__xludf.DUMMYFUNCTION("""COMPUTED_VALUE"""),"https://drive.google.com/file/d/1XzzansCScXSCKEDgzcED0QwkiWaQW8Yg/view?usp=drivesdk")</f>
        <v>https://drive.google.com/file/d/1XzzansCScXSCKEDgzcED0QwkiWaQW8Yg/view?usp=drivesdk</v>
      </c>
      <c r="D8574" s="12"/>
      <c r="E8574" s="11"/>
      <c r="F8574" s="12"/>
    </row>
    <row r="8575" ht="14.25" customHeight="1">
      <c r="A8575" s="4" t="str">
        <f>IFERROR(__xludf.DUMMYFUNCTION("""COMPUTED_VALUE"""),"1. Microwave")</f>
        <v>1. Microwave</v>
      </c>
      <c r="B8575" s="4" t="str">
        <f>IFERROR(__xludf.DUMMYFUNCTION("""COMPUTED_VALUE"""),"1")</f>
        <v>1</v>
      </c>
      <c r="C8575" s="5" t="str">
        <f>IFERROR(__xludf.DUMMYFUNCTION("""COMPUTED_VALUE"""),"https://drive.google.com/file/d/1EybQzV001ZVN1Wpijy3QEd1aUmL1JbEc/view?usp=drivesdk")</f>
        <v>https://drive.google.com/file/d/1EybQzV001ZVN1Wpijy3QEd1aUmL1JbEc/view?usp=drivesdk</v>
      </c>
      <c r="D8575" s="12"/>
      <c r="E8575" s="11"/>
      <c r="F8575" s="12"/>
    </row>
    <row r="8576" ht="14.25" customHeight="1">
      <c r="A8576" s="4" t="str">
        <f>IFERROR(__xludf.DUMMYFUNCTION("""COMPUTED_VALUE"""),"1. Microwave")</f>
        <v>1. Microwave</v>
      </c>
      <c r="B8576" s="4" t="str">
        <f>IFERROR(__xludf.DUMMYFUNCTION("""COMPUTED_VALUE"""),"1")</f>
        <v>1</v>
      </c>
      <c r="C8576" s="5" t="str">
        <f>IFERROR(__xludf.DUMMYFUNCTION("""COMPUTED_VALUE"""),"https://drive.google.com/file/d/1cioAGcbtRMbWTApABi7KLXh15aJ5X288/view?usp=drivesdk")</f>
        <v>https://drive.google.com/file/d/1cioAGcbtRMbWTApABi7KLXh15aJ5X288/view?usp=drivesdk</v>
      </c>
      <c r="D8576" s="12"/>
      <c r="E8576" s="11"/>
      <c r="F8576" s="12"/>
    </row>
    <row r="8577" ht="14.25" customHeight="1">
      <c r="A8577" s="4" t="str">
        <f>IFERROR(__xludf.DUMMYFUNCTION("""COMPUTED_VALUE"""),"1. Microwave")</f>
        <v>1. Microwave</v>
      </c>
      <c r="B8577" s="4" t="str">
        <f>IFERROR(__xludf.DUMMYFUNCTION("""COMPUTED_VALUE"""),"1")</f>
        <v>1</v>
      </c>
      <c r="C8577" s="5" t="str">
        <f>IFERROR(__xludf.DUMMYFUNCTION("""COMPUTED_VALUE"""),"https://drive.google.com/file/d/14oEaa-Bi2DTkkKi8H5-VbJ59OpsWxfLw/view?usp=drivesdk")</f>
        <v>https://drive.google.com/file/d/14oEaa-Bi2DTkkKi8H5-VbJ59OpsWxfLw/view?usp=drivesdk</v>
      </c>
      <c r="D8577" s="12"/>
      <c r="E8577" s="11"/>
      <c r="F8577" s="12"/>
    </row>
    <row r="8578" ht="14.25" customHeight="1">
      <c r="A8578" s="4" t="str">
        <f>IFERROR(__xludf.DUMMYFUNCTION("""COMPUTED_VALUE"""),"1. Microwave")</f>
        <v>1. Microwave</v>
      </c>
      <c r="B8578" s="4" t="str">
        <f>IFERROR(__xludf.DUMMYFUNCTION("""COMPUTED_VALUE"""),"1")</f>
        <v>1</v>
      </c>
      <c r="C8578" s="5" t="str">
        <f>IFERROR(__xludf.DUMMYFUNCTION("""COMPUTED_VALUE"""),"https://drive.google.com/file/d/1bVTwiM7gmXtibUDxjkh-CSll5WvtkcQC/view?usp=drivesdk")</f>
        <v>https://drive.google.com/file/d/1bVTwiM7gmXtibUDxjkh-CSll5WvtkcQC/view?usp=drivesdk</v>
      </c>
      <c r="D8578" s="12"/>
      <c r="E8578" s="11"/>
      <c r="F8578" s="12"/>
    </row>
    <row r="8579" ht="14.25" customHeight="1">
      <c r="A8579" s="4" t="str">
        <f>IFERROR(__xludf.DUMMYFUNCTION("""COMPUTED_VALUE"""),"94. Itztli")</f>
        <v>94. Itztli</v>
      </c>
      <c r="B8579" s="4" t="str">
        <f>IFERROR(__xludf.DUMMYFUNCTION("""COMPUTED_VALUE"""),"94")</f>
        <v>94</v>
      </c>
      <c r="C8579" s="5" t="str">
        <f>IFERROR(__xludf.DUMMYFUNCTION("""COMPUTED_VALUE"""),"https://drive.google.com/file/d/1gvgi6EsVk7oQ05DTF-ZocPvpVYtUItcw/view?usp=drivesdk")</f>
        <v>https://drive.google.com/file/d/1gvgi6EsVk7oQ05DTF-ZocPvpVYtUItcw/view?usp=drivesdk</v>
      </c>
      <c r="D8579" s="12"/>
      <c r="E8579" s="11"/>
      <c r="F8579" s="12"/>
    </row>
    <row r="8580" ht="14.25" customHeight="1">
      <c r="A8580" s="4" t="str">
        <f>IFERROR(__xludf.DUMMYFUNCTION("""COMPUTED_VALUE"""),"106. Ami, 108. Mazatl, 109. Tlalli")</f>
        <v>106. Ami, 108. Mazatl, 109. Tlalli</v>
      </c>
      <c r="B8580" s="4" t="str">
        <f>IFERROR(__xludf.DUMMYFUNCTION("""COMPUTED_VALUE"""),"106, 108, 109")</f>
        <v>106, 108, 109</v>
      </c>
      <c r="C8580" s="5" t="str">
        <f>IFERROR(__xludf.DUMMYFUNCTION("""COMPUTED_VALUE"""),"https://drive.google.com/file/d/1QRSVQdXnV1AmYbSFbdFYU8czDF3XiHLr/view?usp=drivesdk")</f>
        <v>https://drive.google.com/file/d/1QRSVQdXnV1AmYbSFbdFYU8czDF3XiHLr/view?usp=drivesdk</v>
      </c>
      <c r="D8580" s="12"/>
      <c r="E8580" s="11"/>
      <c r="F8580" s="12"/>
    </row>
    <row r="8581" ht="14.25" customHeight="1">
      <c r="A8581" s="4" t="str">
        <f>IFERROR(__xludf.DUMMYFUNCTION("""COMPUTED_VALUE"""),"2. Twix")</f>
        <v>2. Twix</v>
      </c>
      <c r="B8581" s="4" t="str">
        <f>IFERROR(__xludf.DUMMYFUNCTION("""COMPUTED_VALUE"""),"2")</f>
        <v>2</v>
      </c>
      <c r="C8581" s="5" t="str">
        <f>IFERROR(__xludf.DUMMYFUNCTION("""COMPUTED_VALUE"""),"https://drive.google.com/file/d/13dHK5mN8e5P6fRkarJm1iwjr346WV4JA/view?usp=drivesdk")</f>
        <v>https://drive.google.com/file/d/13dHK5mN8e5P6fRkarJm1iwjr346WV4JA/view?usp=drivesdk</v>
      </c>
      <c r="D8581" s="12"/>
      <c r="E8581" s="11"/>
      <c r="F8581" s="12"/>
    </row>
    <row r="8582" ht="14.25" customHeight="1">
      <c r="A8582" s="4" t="str">
        <f>IFERROR(__xludf.DUMMYFUNCTION("""COMPUTED_VALUE"""),"108. Mazatl, 99. Nezhui")</f>
        <v>108. Mazatl, 99. Nezhui</v>
      </c>
      <c r="B8582" s="4" t="str">
        <f>IFERROR(__xludf.DUMMYFUNCTION("""COMPUTED_VALUE"""),"108, 99")</f>
        <v>108, 99</v>
      </c>
      <c r="C8582" s="5" t="str">
        <f>IFERROR(__xludf.DUMMYFUNCTION("""COMPUTED_VALUE"""),"https://drive.google.com/file/d/1T3JQGD2wAE-BpU2JTYf08l-SGZ1GUZC9/view?usp=drivesdk")</f>
        <v>https://drive.google.com/file/d/1T3JQGD2wAE-BpU2JTYf08l-SGZ1GUZC9/view?usp=drivesdk</v>
      </c>
      <c r="D8582" s="12"/>
      <c r="E8582" s="11"/>
      <c r="F8582" s="12"/>
    </row>
    <row r="8583" ht="14.25" customHeight="1">
      <c r="A8583" s="4" t="str">
        <f>IFERROR(__xludf.DUMMYFUNCTION("""COMPUTED_VALUE"""),"108. Mazatl")</f>
        <v>108. Mazatl</v>
      </c>
      <c r="B8583" s="4" t="str">
        <f>IFERROR(__xludf.DUMMYFUNCTION("""COMPUTED_VALUE"""),"108")</f>
        <v>108</v>
      </c>
      <c r="C8583" s="5" t="str">
        <f>IFERROR(__xludf.DUMMYFUNCTION("""COMPUTED_VALUE"""),"https://drive.google.com/file/d/1u43Z3LB856OgCX1YL-uXKmUiTHSjHw49/view?usp=drivesdk")</f>
        <v>https://drive.google.com/file/d/1u43Z3LB856OgCX1YL-uXKmUiTHSjHw49/view?usp=drivesdk</v>
      </c>
      <c r="D8583" s="12"/>
      <c r="E8583" s="11"/>
      <c r="F8583" s="12"/>
    </row>
    <row r="8584" ht="14.25" customHeight="1">
      <c r="A8584" s="4" t="str">
        <f>IFERROR(__xludf.DUMMYFUNCTION("""COMPUTED_VALUE"""),"109. Tlalli")</f>
        <v>109. Tlalli</v>
      </c>
      <c r="B8584" s="4" t="str">
        <f>IFERROR(__xludf.DUMMYFUNCTION("""COMPUTED_VALUE"""),"109")</f>
        <v>109</v>
      </c>
      <c r="C8584" s="5" t="str">
        <f>IFERROR(__xludf.DUMMYFUNCTION("""COMPUTED_VALUE"""),"https://drive.google.com/file/d/1Zg6Nc02uwkYzMH4QwNDRg3Tvb8qhen4E/view?usp=drivesdk")</f>
        <v>https://drive.google.com/file/d/1Zg6Nc02uwkYzMH4QwNDRg3Tvb8qhen4E/view?usp=drivesdk</v>
      </c>
      <c r="D8584" s="12"/>
      <c r="E8584" s="11"/>
      <c r="F8584" s="12"/>
    </row>
    <row r="8585" ht="14.25" customHeight="1">
      <c r="A8585" s="4" t="str">
        <f>IFERROR(__xludf.DUMMYFUNCTION("""COMPUTED_VALUE"""),"106. Ami")</f>
        <v>106. Ami</v>
      </c>
      <c r="B8585" s="4" t="str">
        <f>IFERROR(__xludf.DUMMYFUNCTION("""COMPUTED_VALUE"""),"106")</f>
        <v>106</v>
      </c>
      <c r="C8585" s="5" t="str">
        <f>IFERROR(__xludf.DUMMYFUNCTION("""COMPUTED_VALUE"""),"https://drive.google.com/file/d/1aOS1SDvYGeuqQeWxPxKI9a7yJMTdggJh/view?usp=drivesdk")</f>
        <v>https://drive.google.com/file/d/1aOS1SDvYGeuqQeWxPxKI9a7yJMTdggJh/view?usp=drivesdk</v>
      </c>
      <c r="D8585" s="12"/>
      <c r="E8585" s="11"/>
      <c r="F8585" s="12"/>
    </row>
    <row r="8586" ht="14.25" customHeight="1">
      <c r="A8586" s="4" t="str">
        <f>IFERROR(__xludf.DUMMYFUNCTION("""COMPUTED_VALUE"""),"106. Ami")</f>
        <v>106. Ami</v>
      </c>
      <c r="B8586" s="4" t="str">
        <f>IFERROR(__xludf.DUMMYFUNCTION("""COMPUTED_VALUE"""),"106")</f>
        <v>106</v>
      </c>
      <c r="C8586" s="5" t="str">
        <f>IFERROR(__xludf.DUMMYFUNCTION("""COMPUTED_VALUE"""),"https://drive.google.com/file/d/1cZLYEyIO9Dz6-GHDQXHabNf7B7cffEgj/view?usp=drivesdk")</f>
        <v>https://drive.google.com/file/d/1cZLYEyIO9Dz6-GHDQXHabNf7B7cffEgj/view?usp=drivesdk</v>
      </c>
      <c r="D8586" s="12"/>
      <c r="E8586" s="11"/>
      <c r="F8586" s="12"/>
    </row>
    <row r="8587" ht="14.25" customHeight="1">
      <c r="A8587" s="4" t="str">
        <f>IFERROR(__xludf.DUMMYFUNCTION("""COMPUTED_VALUE"""),"106. Ami")</f>
        <v>106. Ami</v>
      </c>
      <c r="B8587" s="4" t="str">
        <f>IFERROR(__xludf.DUMMYFUNCTION("""COMPUTED_VALUE"""),"106")</f>
        <v>106</v>
      </c>
      <c r="C8587" s="5" t="str">
        <f>IFERROR(__xludf.DUMMYFUNCTION("""COMPUTED_VALUE"""),"https://drive.google.com/file/d/1hD-pTk8Mj-CsXDKwCRPHNRrxG-1s4hCz/view?usp=drivesdk")</f>
        <v>https://drive.google.com/file/d/1hD-pTk8Mj-CsXDKwCRPHNRrxG-1s4hCz/view?usp=drivesdk</v>
      </c>
      <c r="D8587" s="12"/>
      <c r="E8587" s="11"/>
      <c r="F8587" s="12"/>
    </row>
    <row r="8588" ht="14.25" customHeight="1">
      <c r="A8588" s="4" t="str">
        <f>IFERROR(__xludf.DUMMYFUNCTION("""COMPUTED_VALUE"""),"20. Citlali")</f>
        <v>20. Citlali</v>
      </c>
      <c r="B8588" s="4" t="str">
        <f>IFERROR(__xludf.DUMMYFUNCTION("""COMPUTED_VALUE"""),"20")</f>
        <v>20</v>
      </c>
      <c r="C8588" s="5" t="str">
        <f>IFERROR(__xludf.DUMMYFUNCTION("""COMPUTED_VALUE"""),"https://drive.google.com/file/d/1mhUM2_vZrDI-kYBA2IywQN007-TT9hxM/view?usp=drivesdk")</f>
        <v>https://drive.google.com/file/d/1mhUM2_vZrDI-kYBA2IywQN007-TT9hxM/view?usp=drivesdk</v>
      </c>
      <c r="D8588" s="12"/>
      <c r="E8588" s="11"/>
      <c r="F8588" s="12"/>
    </row>
    <row r="8589" ht="14.25" customHeight="1">
      <c r="A8589" s="4" t="str">
        <f>IFERROR(__xludf.DUMMYFUNCTION("""COMPUTED_VALUE"""),"20. Citlali")</f>
        <v>20. Citlali</v>
      </c>
      <c r="B8589" s="4" t="str">
        <f>IFERROR(__xludf.DUMMYFUNCTION("""COMPUTED_VALUE"""),"20")</f>
        <v>20</v>
      </c>
      <c r="C8589" s="5" t="str">
        <f>IFERROR(__xludf.DUMMYFUNCTION("""COMPUTED_VALUE"""),"https://drive.google.com/file/d/1buS5loXma06WdBDq-CYjQSiEvGwkVuoc/view?usp=drivesdk")</f>
        <v>https://drive.google.com/file/d/1buS5loXma06WdBDq-CYjQSiEvGwkVuoc/view?usp=drivesdk</v>
      </c>
      <c r="D8589" s="12"/>
      <c r="E8589" s="11"/>
      <c r="F8589" s="12"/>
    </row>
    <row r="8590" ht="14.25" customHeight="1">
      <c r="A8590" s="4" t="str">
        <f>IFERROR(__xludf.DUMMYFUNCTION("""COMPUTED_VALUE"""),"20. Citlali")</f>
        <v>20. Citlali</v>
      </c>
      <c r="B8590" s="4" t="str">
        <f>IFERROR(__xludf.DUMMYFUNCTION("""COMPUTED_VALUE"""),"20")</f>
        <v>20</v>
      </c>
      <c r="C8590" s="5" t="str">
        <f>IFERROR(__xludf.DUMMYFUNCTION("""COMPUTED_VALUE"""),"https://drive.google.com/file/d/1k5aEC1Kd0suls9rPR7-CCZzBuUOrsn6F/view?usp=drivesdk")</f>
        <v>https://drive.google.com/file/d/1k5aEC1Kd0suls9rPR7-CCZzBuUOrsn6F/view?usp=drivesdk</v>
      </c>
      <c r="D8590" s="12"/>
      <c r="E8590" s="11"/>
      <c r="F8590" s="12"/>
    </row>
    <row r="8591" ht="14.25" customHeight="1">
      <c r="A8591" s="4" t="str">
        <f>IFERROR(__xludf.DUMMYFUNCTION("""COMPUTED_VALUE"""),"1. Microwave")</f>
        <v>1. Microwave</v>
      </c>
      <c r="B8591" s="4" t="str">
        <f>IFERROR(__xludf.DUMMYFUNCTION("""COMPUTED_VALUE"""),"1")</f>
        <v>1</v>
      </c>
      <c r="C8591" s="5" t="str">
        <f>IFERROR(__xludf.DUMMYFUNCTION("""COMPUTED_VALUE"""),"https://drive.google.com/file/d/1YIKLJSPxqoKxK6Cf6FxZ-A514wrOC9zp/view?usp=drivesdk")</f>
        <v>https://drive.google.com/file/d/1YIKLJSPxqoKxK6Cf6FxZ-A514wrOC9zp/view?usp=drivesdk</v>
      </c>
      <c r="D8591" s="12"/>
      <c r="E8591" s="11"/>
      <c r="F8591" s="12"/>
    </row>
    <row r="8592" ht="14.25" customHeight="1">
      <c r="A8592" s="4" t="str">
        <f>IFERROR(__xludf.DUMMYFUNCTION("""COMPUTED_VALUE"""),"1. Microwave")</f>
        <v>1. Microwave</v>
      </c>
      <c r="B8592" s="4" t="str">
        <f>IFERROR(__xludf.DUMMYFUNCTION("""COMPUTED_VALUE"""),"1")</f>
        <v>1</v>
      </c>
      <c r="C8592" s="5" t="str">
        <f>IFERROR(__xludf.DUMMYFUNCTION("""COMPUTED_VALUE"""),"https://drive.google.com/file/d/12pLSejKb3QGmNRgbfCPCcXFFRMzrLhIW/view?usp=drivesdk")</f>
        <v>https://drive.google.com/file/d/12pLSejKb3QGmNRgbfCPCcXFFRMzrLhIW/view?usp=drivesdk</v>
      </c>
      <c r="D8592" s="12"/>
      <c r="E8592" s="11"/>
      <c r="F8592" s="12"/>
    </row>
    <row r="8593" ht="14.25" customHeight="1">
      <c r="A8593" s="4" t="str">
        <f>IFERROR(__xludf.DUMMYFUNCTION("""COMPUTED_VALUE"""),"1. Microwave")</f>
        <v>1. Microwave</v>
      </c>
      <c r="B8593" s="4" t="str">
        <f>IFERROR(__xludf.DUMMYFUNCTION("""COMPUTED_VALUE"""),"1")</f>
        <v>1</v>
      </c>
      <c r="C8593" s="5" t="str">
        <f>IFERROR(__xludf.DUMMYFUNCTION("""COMPUTED_VALUE"""),"https://drive.google.com/file/d/1fckDUliun5ArXs1zrgvACMc32Z7tKT_C/view?usp=drivesdk")</f>
        <v>https://drive.google.com/file/d/1fckDUliun5ArXs1zrgvACMc32Z7tKT_C/view?usp=drivesdk</v>
      </c>
      <c r="D8593" s="12"/>
      <c r="E8593" s="11"/>
      <c r="F8593" s="12"/>
    </row>
    <row r="8594" ht="14.25" customHeight="1">
      <c r="A8594" s="4" t="str">
        <f>IFERROR(__xludf.DUMMYFUNCTION("""COMPUTED_VALUE"""),"4. Eggs, 5. Eraser")</f>
        <v>4. Eggs, 5. Eraser</v>
      </c>
      <c r="B8594" s="4" t="str">
        <f>IFERROR(__xludf.DUMMYFUNCTION("""COMPUTED_VALUE"""),"4, 5")</f>
        <v>4, 5</v>
      </c>
      <c r="C8594" s="5" t="str">
        <f>IFERROR(__xludf.DUMMYFUNCTION("""COMPUTED_VALUE"""),"https://drive.google.com/file/d/1MS1ULAB671-7OnQT2KSQrPtSbx6ryxKl/view?usp=drivesdk")</f>
        <v>https://drive.google.com/file/d/1MS1ULAB671-7OnQT2KSQrPtSbx6ryxKl/view?usp=drivesdk</v>
      </c>
      <c r="D8594" s="12"/>
      <c r="E8594" s="11"/>
      <c r="F8594" s="12"/>
    </row>
    <row r="8595" ht="14.25" customHeight="1">
      <c r="A8595" s="4" t="str">
        <f>IFERROR(__xludf.DUMMYFUNCTION("""COMPUTED_VALUE"""),"1. Microwave")</f>
        <v>1. Microwave</v>
      </c>
      <c r="B8595" s="4" t="str">
        <f>IFERROR(__xludf.DUMMYFUNCTION("""COMPUTED_VALUE"""),"1")</f>
        <v>1</v>
      </c>
      <c r="C8595" s="5" t="str">
        <f>IFERROR(__xludf.DUMMYFUNCTION("""COMPUTED_VALUE"""),"https://drive.google.com/file/d/1BHzwVKcYiNlqjONnfMO9GKIBM1RxExYF/view?usp=drivesdk")</f>
        <v>https://drive.google.com/file/d/1BHzwVKcYiNlqjONnfMO9GKIBM1RxExYF/view?usp=drivesdk</v>
      </c>
      <c r="D8595" s="12"/>
      <c r="E8595" s="11"/>
      <c r="F8595" s="12"/>
    </row>
    <row r="8596" ht="14.25" customHeight="1">
      <c r="A8596" s="4" t="str">
        <f>IFERROR(__xludf.DUMMYFUNCTION("""COMPUTED_VALUE"""),"33. Zee")</f>
        <v>33. Zee</v>
      </c>
      <c r="B8596" s="4" t="str">
        <f>IFERROR(__xludf.DUMMYFUNCTION("""COMPUTED_VALUE"""),"33")</f>
        <v>33</v>
      </c>
      <c r="C8596" s="5" t="str">
        <f>IFERROR(__xludf.DUMMYFUNCTION("""COMPUTED_VALUE"""),"https://drive.google.com/file/d/1OgASNdEUYM_VMeKFFbnWuJgQa8X1ci05/view?usp=drivesdk")</f>
        <v>https://drive.google.com/file/d/1OgASNdEUYM_VMeKFFbnWuJgQa8X1ci05/view?usp=drivesdk</v>
      </c>
      <c r="D8596" s="12"/>
      <c r="E8596" s="11"/>
      <c r="F8596" s="12"/>
    </row>
    <row r="8597" ht="14.25" customHeight="1">
      <c r="A8597" s="4" t="str">
        <f>IFERROR(__xludf.DUMMYFUNCTION("""COMPUTED_VALUE"""),"4. Eggs")</f>
        <v>4. Eggs</v>
      </c>
      <c r="B8597" s="4" t="str">
        <f>IFERROR(__xludf.DUMMYFUNCTION("""COMPUTED_VALUE"""),"4")</f>
        <v>4</v>
      </c>
      <c r="C8597" s="5" t="str">
        <f>IFERROR(__xludf.DUMMYFUNCTION("""COMPUTED_VALUE"""),"https://drive.google.com/file/d/1EDEpvoaRauDQ2Fp1GCsISchPD3ANj9_H/view?usp=drivesdk")</f>
        <v>https://drive.google.com/file/d/1EDEpvoaRauDQ2Fp1GCsISchPD3ANj9_H/view?usp=drivesdk</v>
      </c>
      <c r="D8597" s="12"/>
      <c r="E8597" s="11"/>
      <c r="F8597" s="12"/>
    </row>
    <row r="8598" ht="14.25" customHeight="1">
      <c r="A8598" s="4" t="str">
        <f>IFERROR(__xludf.DUMMYFUNCTION("""COMPUTED_VALUE"""),"1. Microwave")</f>
        <v>1. Microwave</v>
      </c>
      <c r="B8598" s="4" t="str">
        <f>IFERROR(__xludf.DUMMYFUNCTION("""COMPUTED_VALUE"""),"1")</f>
        <v>1</v>
      </c>
      <c r="C8598" s="5" t="str">
        <f>IFERROR(__xludf.DUMMYFUNCTION("""COMPUTED_VALUE"""),"https://drive.google.com/file/d/1Pm1s9syvhTrlM9NxPwT-LPDJu3k8zzp1/view?usp=drivesdk")</f>
        <v>https://drive.google.com/file/d/1Pm1s9syvhTrlM9NxPwT-LPDJu3k8zzp1/view?usp=drivesdk</v>
      </c>
      <c r="D8598" s="12"/>
      <c r="E8598" s="11"/>
      <c r="F8598" s="12"/>
    </row>
    <row r="8599" ht="14.25" customHeight="1">
      <c r="A8599" s="4" t="str">
        <f>IFERROR(__xludf.DUMMYFUNCTION("""COMPUTED_VALUE"""),"1. Microwave")</f>
        <v>1. Microwave</v>
      </c>
      <c r="B8599" s="4" t="str">
        <f>IFERROR(__xludf.DUMMYFUNCTION("""COMPUTED_VALUE"""),"1")</f>
        <v>1</v>
      </c>
      <c r="C8599" s="5" t="str">
        <f>IFERROR(__xludf.DUMMYFUNCTION("""COMPUTED_VALUE"""),"https://drive.google.com/file/d/1ldhwMEwoe_Ld0MLmaUrM1XqznzqcUtWB/view?usp=drivesdk")</f>
        <v>https://drive.google.com/file/d/1ldhwMEwoe_Ld0MLmaUrM1XqznzqcUtWB/view?usp=drivesdk</v>
      </c>
      <c r="D8599" s="12"/>
      <c r="E8599" s="11"/>
      <c r="F8599" s="12"/>
    </row>
    <row r="8600" ht="14.25" customHeight="1">
      <c r="A8600" s="4" t="str">
        <f>IFERROR(__xludf.DUMMYFUNCTION("""COMPUTED_VALUE"""),"1. Microwave")</f>
        <v>1. Microwave</v>
      </c>
      <c r="B8600" s="4" t="str">
        <f>IFERROR(__xludf.DUMMYFUNCTION("""COMPUTED_VALUE"""),"1")</f>
        <v>1</v>
      </c>
      <c r="C8600" s="5" t="str">
        <f>IFERROR(__xludf.DUMMYFUNCTION("""COMPUTED_VALUE"""),"https://drive.google.com/file/d/1s8LOgJelE0FUIKtNpiA9A68w4BsZR8Co/view?usp=drivesdk")</f>
        <v>https://drive.google.com/file/d/1s8LOgJelE0FUIKtNpiA9A68w4BsZR8Co/view?usp=drivesdk</v>
      </c>
      <c r="D8600" s="12"/>
      <c r="E8600" s="11"/>
      <c r="F8600" s="12"/>
    </row>
    <row r="8601" ht="14.25" customHeight="1">
      <c r="A8601" s="4" t="str">
        <f>IFERROR(__xludf.DUMMYFUNCTION("""COMPUTED_VALUE"""),"106. Ami")</f>
        <v>106. Ami</v>
      </c>
      <c r="B8601" s="4" t="str">
        <f>IFERROR(__xludf.DUMMYFUNCTION("""COMPUTED_VALUE"""),"106")</f>
        <v>106</v>
      </c>
      <c r="C8601" s="5" t="str">
        <f>IFERROR(__xludf.DUMMYFUNCTION("""COMPUTED_VALUE"""),"https://drive.google.com/file/d/1T47HBpu5V3JgB6NVWLRxlI8LV33t1tdX/view?usp=drivesdk")</f>
        <v>https://drive.google.com/file/d/1T47HBpu5V3JgB6NVWLRxlI8LV33t1tdX/view?usp=drivesdk</v>
      </c>
      <c r="D8601" s="12"/>
      <c r="E8601" s="11"/>
      <c r="F8601" s="12"/>
    </row>
    <row r="8602" ht="14.25" customHeight="1">
      <c r="A8602" s="4" t="str">
        <f>IFERROR(__xludf.DUMMYFUNCTION("""COMPUTED_VALUE"""),"1. Microwave")</f>
        <v>1. Microwave</v>
      </c>
      <c r="B8602" s="4" t="str">
        <f>IFERROR(__xludf.DUMMYFUNCTION("""COMPUTED_VALUE"""),"1")</f>
        <v>1</v>
      </c>
      <c r="C8602" s="5" t="str">
        <f>IFERROR(__xludf.DUMMYFUNCTION("""COMPUTED_VALUE"""),"https://drive.google.com/file/d/1rrwA8U1nc_2Vcv4O12Xim1Qvdwgzxvjg/view?usp=drivesdk")</f>
        <v>https://drive.google.com/file/d/1rrwA8U1nc_2Vcv4O12Xim1Qvdwgzxvjg/view?usp=drivesdk</v>
      </c>
      <c r="D8602" s="12"/>
      <c r="E8602" s="11"/>
      <c r="F8602" s="12"/>
    </row>
    <row r="8603" ht="14.25" customHeight="1">
      <c r="A8603" s="4" t="str">
        <f>IFERROR(__xludf.DUMMYFUNCTION("""COMPUTED_VALUE"""),"1. Microwave")</f>
        <v>1. Microwave</v>
      </c>
      <c r="B8603" s="4" t="str">
        <f>IFERROR(__xludf.DUMMYFUNCTION("""COMPUTED_VALUE"""),"1")</f>
        <v>1</v>
      </c>
      <c r="C8603" s="5" t="str">
        <f>IFERROR(__xludf.DUMMYFUNCTION("""COMPUTED_VALUE"""),"https://drive.google.com/file/d/18FPG0tK27DcmUSi50wm9oiPGVZXe9T9z/view?usp=drivesdk")</f>
        <v>https://drive.google.com/file/d/18FPG0tK27DcmUSi50wm9oiPGVZXe9T9z/view?usp=drivesdk</v>
      </c>
      <c r="D8603" s="12"/>
      <c r="E8603" s="11"/>
      <c r="F8603" s="12"/>
    </row>
    <row r="8604" ht="14.25" customHeight="1">
      <c r="A8604" s="4" t="str">
        <f>IFERROR(__xludf.DUMMYFUNCTION("""COMPUTED_VALUE"""),"1. Microwave")</f>
        <v>1. Microwave</v>
      </c>
      <c r="B8604" s="4" t="str">
        <f>IFERROR(__xludf.DUMMYFUNCTION("""COMPUTED_VALUE"""),"1")</f>
        <v>1</v>
      </c>
      <c r="C8604" s="5" t="str">
        <f>IFERROR(__xludf.DUMMYFUNCTION("""COMPUTED_VALUE"""),"https://drive.google.com/file/d/1VTQtM-eqPEyhMUvmfE2czhy7yJnC2f0J/view?usp=drivesdk")</f>
        <v>https://drive.google.com/file/d/1VTQtM-eqPEyhMUvmfE2czhy7yJnC2f0J/view?usp=drivesdk</v>
      </c>
      <c r="D8604" s="12"/>
      <c r="E8604" s="11"/>
      <c r="F8604" s="12"/>
    </row>
    <row r="8605" ht="14.25" customHeight="1">
      <c r="A8605" s="4" t="str">
        <f>IFERROR(__xludf.DUMMYFUNCTION("""COMPUTED_VALUE"""),"1. Microwave")</f>
        <v>1. Microwave</v>
      </c>
      <c r="B8605" s="4" t="str">
        <f>IFERROR(__xludf.DUMMYFUNCTION("""COMPUTED_VALUE"""),"1")</f>
        <v>1</v>
      </c>
      <c r="C8605" s="5" t="str">
        <f>IFERROR(__xludf.DUMMYFUNCTION("""COMPUTED_VALUE"""),"https://drive.google.com/file/d/1tM7cDXzAHtAzr6x7cZjavLoA4Ea5Emi6/view?usp=drivesdk")</f>
        <v>https://drive.google.com/file/d/1tM7cDXzAHtAzr6x7cZjavLoA4Ea5Emi6/view?usp=drivesdk</v>
      </c>
      <c r="D8605" s="12"/>
      <c r="E8605" s="11"/>
      <c r="F8605" s="12"/>
    </row>
    <row r="8606" ht="14.25" customHeight="1">
      <c r="A8606" s="4" t="str">
        <f>IFERROR(__xludf.DUMMYFUNCTION("""COMPUTED_VALUE"""),"1. Microwave")</f>
        <v>1. Microwave</v>
      </c>
      <c r="B8606" s="4" t="str">
        <f>IFERROR(__xludf.DUMMYFUNCTION("""COMPUTED_VALUE"""),"1")</f>
        <v>1</v>
      </c>
      <c r="C8606" s="5" t="str">
        <f>IFERROR(__xludf.DUMMYFUNCTION("""COMPUTED_VALUE"""),"https://drive.google.com/file/d/1hsyr4LkkGkoaSlGPzUn5Y1vB0in7fgtK/view?usp=drivesdk")</f>
        <v>https://drive.google.com/file/d/1hsyr4LkkGkoaSlGPzUn5Y1vB0in7fgtK/view?usp=drivesdk</v>
      </c>
      <c r="D8606" s="12"/>
      <c r="E8606" s="11"/>
      <c r="F8606" s="12"/>
    </row>
    <row r="8607" ht="14.25" customHeight="1">
      <c r="A8607" s="4" t="str">
        <f>IFERROR(__xludf.DUMMYFUNCTION("""COMPUTED_VALUE"""),"1. Microwave")</f>
        <v>1. Microwave</v>
      </c>
      <c r="B8607" s="4" t="str">
        <f>IFERROR(__xludf.DUMMYFUNCTION("""COMPUTED_VALUE"""),"1")</f>
        <v>1</v>
      </c>
      <c r="C8607" s="5" t="str">
        <f>IFERROR(__xludf.DUMMYFUNCTION("""COMPUTED_VALUE"""),"https://drive.google.com/file/d/1ay-Skzl5mJxSvMvqpoDkupnamYgT_R8S/view?usp=drivesdk")</f>
        <v>https://drive.google.com/file/d/1ay-Skzl5mJxSvMvqpoDkupnamYgT_R8S/view?usp=drivesdk</v>
      </c>
      <c r="D8607" s="12"/>
      <c r="E8607" s="11"/>
      <c r="F8607" s="12"/>
    </row>
    <row r="8608" ht="14.25" customHeight="1">
      <c r="A8608" s="4" t="str">
        <f>IFERROR(__xludf.DUMMYFUNCTION("""COMPUTED_VALUE"""),"1. Microwave")</f>
        <v>1. Microwave</v>
      </c>
      <c r="B8608" s="4" t="str">
        <f>IFERROR(__xludf.DUMMYFUNCTION("""COMPUTED_VALUE"""),"1")</f>
        <v>1</v>
      </c>
      <c r="C8608" s="5" t="str">
        <f>IFERROR(__xludf.DUMMYFUNCTION("""COMPUTED_VALUE"""),"https://drive.google.com/file/d/1ejLQbnX0VXVLDZllfbdOPvoZk-7j8bNZ/view?usp=drivesdk")</f>
        <v>https://drive.google.com/file/d/1ejLQbnX0VXVLDZllfbdOPvoZk-7j8bNZ/view?usp=drivesdk</v>
      </c>
      <c r="D8608" s="12"/>
      <c r="E8608" s="11"/>
      <c r="F8608" s="12"/>
    </row>
    <row r="8609" ht="14.25" customHeight="1">
      <c r="A8609" s="4" t="str">
        <f>IFERROR(__xludf.DUMMYFUNCTION("""COMPUTED_VALUE"""),"1. Microwave")</f>
        <v>1. Microwave</v>
      </c>
      <c r="B8609" s="4" t="str">
        <f>IFERROR(__xludf.DUMMYFUNCTION("""COMPUTED_VALUE"""),"1")</f>
        <v>1</v>
      </c>
      <c r="C8609" s="5" t="str">
        <f>IFERROR(__xludf.DUMMYFUNCTION("""COMPUTED_VALUE"""),"https://drive.google.com/file/d/1y6Zphy6WWfMXbMIDg8_2ltR0UexlR4nV/view?usp=drivesdk")</f>
        <v>https://drive.google.com/file/d/1y6Zphy6WWfMXbMIDg8_2ltR0UexlR4nV/view?usp=drivesdk</v>
      </c>
      <c r="D8609" s="12"/>
      <c r="E8609" s="11"/>
      <c r="F8609" s="12"/>
    </row>
    <row r="8610" ht="14.25" customHeight="1">
      <c r="A8610" s="4" t="str">
        <f>IFERROR(__xludf.DUMMYFUNCTION("""COMPUTED_VALUE"""),"1. Microwave")</f>
        <v>1. Microwave</v>
      </c>
      <c r="B8610" s="4" t="str">
        <f>IFERROR(__xludf.DUMMYFUNCTION("""COMPUTED_VALUE"""),"1")</f>
        <v>1</v>
      </c>
      <c r="C8610" s="5" t="str">
        <f>IFERROR(__xludf.DUMMYFUNCTION("""COMPUTED_VALUE"""),"https://drive.google.com/file/d/1iCnG_wMFlH2Zt3JiSAqFXaUiiYwIv2ua/view?usp=drivesdk")</f>
        <v>https://drive.google.com/file/d/1iCnG_wMFlH2Zt3JiSAqFXaUiiYwIv2ua/view?usp=drivesdk</v>
      </c>
      <c r="D8610" s="12"/>
      <c r="E8610" s="11"/>
      <c r="F8610" s="12"/>
    </row>
    <row r="8611" ht="14.25" customHeight="1">
      <c r="A8611" s="4" t="str">
        <f>IFERROR(__xludf.DUMMYFUNCTION("""COMPUTED_VALUE"""),"2. Twix")</f>
        <v>2. Twix</v>
      </c>
      <c r="B8611" s="4" t="str">
        <f>IFERROR(__xludf.DUMMYFUNCTION("""COMPUTED_VALUE"""),"2")</f>
        <v>2</v>
      </c>
      <c r="C8611" s="5" t="str">
        <f>IFERROR(__xludf.DUMMYFUNCTION("""COMPUTED_VALUE"""),"https://drive.google.com/file/d/1_dHYUCRA4GYY_CQZ6cm2LIMdHBRFzub8/view?usp=drivesdk")</f>
        <v>https://drive.google.com/file/d/1_dHYUCRA4GYY_CQZ6cm2LIMdHBRFzub8/view?usp=drivesdk</v>
      </c>
      <c r="D8611" s="12"/>
      <c r="E8611" s="11"/>
      <c r="F8611" s="12"/>
    </row>
    <row r="8612" ht="14.25" customHeight="1">
      <c r="A8612" s="4" t="str">
        <f>IFERROR(__xludf.DUMMYFUNCTION("""COMPUTED_VALUE"""),"2. Twix")</f>
        <v>2. Twix</v>
      </c>
      <c r="B8612" s="4" t="str">
        <f>IFERROR(__xludf.DUMMYFUNCTION("""COMPUTED_VALUE"""),"2")</f>
        <v>2</v>
      </c>
      <c r="C8612" s="5" t="str">
        <f>IFERROR(__xludf.DUMMYFUNCTION("""COMPUTED_VALUE"""),"https://drive.google.com/file/d/1aVUy4OfVK5xngH04N8sxhTz_yxV_TluH/view?usp=drivesdk")</f>
        <v>https://drive.google.com/file/d/1aVUy4OfVK5xngH04N8sxhTz_yxV_TluH/view?usp=drivesdk</v>
      </c>
      <c r="D8612" s="12"/>
      <c r="E8612" s="11"/>
      <c r="F8612" s="12"/>
    </row>
    <row r="8613" ht="14.25" customHeight="1">
      <c r="A8613" s="4" t="str">
        <f>IFERROR(__xludf.DUMMYFUNCTION("""COMPUTED_VALUE"""),"1. Microwave")</f>
        <v>1. Microwave</v>
      </c>
      <c r="B8613" s="4" t="str">
        <f>IFERROR(__xludf.DUMMYFUNCTION("""COMPUTED_VALUE"""),"1")</f>
        <v>1</v>
      </c>
      <c r="C8613" s="5" t="str">
        <f>IFERROR(__xludf.DUMMYFUNCTION("""COMPUTED_VALUE"""),"https://drive.google.com/file/d/1woMczfH_2F6QHspGXiDDKGUsYea2GmNR/view?usp=drivesdk")</f>
        <v>https://drive.google.com/file/d/1woMczfH_2F6QHspGXiDDKGUsYea2GmNR/view?usp=drivesdk</v>
      </c>
      <c r="D8613" s="12"/>
      <c r="E8613" s="11"/>
      <c r="F8613" s="12"/>
    </row>
    <row r="8614" ht="14.25" customHeight="1">
      <c r="A8614" s="4" t="str">
        <f>IFERROR(__xludf.DUMMYFUNCTION("""COMPUTED_VALUE"""),"2. Twix")</f>
        <v>2. Twix</v>
      </c>
      <c r="B8614" s="4" t="str">
        <f>IFERROR(__xludf.DUMMYFUNCTION("""COMPUTED_VALUE"""),"2")</f>
        <v>2</v>
      </c>
      <c r="C8614" s="5" t="str">
        <f>IFERROR(__xludf.DUMMYFUNCTION("""COMPUTED_VALUE"""),"https://drive.google.com/file/d/1lfBpEWXszcQngNOpOB8GoGJWAvh_bupZ/view?usp=drivesdk")</f>
        <v>https://drive.google.com/file/d/1lfBpEWXszcQngNOpOB8GoGJWAvh_bupZ/view?usp=drivesdk</v>
      </c>
      <c r="D8614" s="12"/>
      <c r="E8614" s="11"/>
      <c r="F8614" s="12"/>
    </row>
    <row r="8615" ht="14.25" customHeight="1">
      <c r="A8615" s="4" t="str">
        <f>IFERROR(__xludf.DUMMYFUNCTION("""COMPUTED_VALUE"""),"5. Eraser")</f>
        <v>5. Eraser</v>
      </c>
      <c r="B8615" s="4" t="str">
        <f>IFERROR(__xludf.DUMMYFUNCTION("""COMPUTED_VALUE"""),"5")</f>
        <v>5</v>
      </c>
      <c r="C8615" s="5" t="str">
        <f>IFERROR(__xludf.DUMMYFUNCTION("""COMPUTED_VALUE"""),"https://drive.google.com/file/d/1tO-YsDAPCmrYLHG0BKvgyW8MUeMlL0Qa/view?usp=drivesdk")</f>
        <v>https://drive.google.com/file/d/1tO-YsDAPCmrYLHG0BKvgyW8MUeMlL0Qa/view?usp=drivesdk</v>
      </c>
      <c r="D8615" s="12"/>
      <c r="E8615" s="11"/>
      <c r="F8615" s="12"/>
    </row>
    <row r="8616" ht="14.25" customHeight="1">
      <c r="A8616" s="4" t="str">
        <f>IFERROR(__xludf.DUMMYFUNCTION("""COMPUTED_VALUE"""),"5. Eraser")</f>
        <v>5. Eraser</v>
      </c>
      <c r="B8616" s="4" t="str">
        <f>IFERROR(__xludf.DUMMYFUNCTION("""COMPUTED_VALUE"""),"5")</f>
        <v>5</v>
      </c>
      <c r="C8616" s="5" t="str">
        <f>IFERROR(__xludf.DUMMYFUNCTION("""COMPUTED_VALUE"""),"https://drive.google.com/file/d/1pHNj85SngjH6G6_iVnYlmvkqpuRIQ-NM/view?usp=drivesdk")</f>
        <v>https://drive.google.com/file/d/1pHNj85SngjH6G6_iVnYlmvkqpuRIQ-NM/view?usp=drivesdk</v>
      </c>
      <c r="D8616" s="12"/>
      <c r="E8616" s="11"/>
      <c r="F8616" s="12"/>
    </row>
    <row r="8617" ht="14.25" customHeight="1">
      <c r="A8617" s="4" t="str">
        <f>IFERROR(__xludf.DUMMYFUNCTION("""COMPUTED_VALUE"""),"2. Twix")</f>
        <v>2. Twix</v>
      </c>
      <c r="B8617" s="4" t="str">
        <f>IFERROR(__xludf.DUMMYFUNCTION("""COMPUTED_VALUE"""),"2")</f>
        <v>2</v>
      </c>
      <c r="C8617" s="5" t="str">
        <f>IFERROR(__xludf.DUMMYFUNCTION("""COMPUTED_VALUE"""),"https://drive.google.com/file/d/1nTloQ51CcFMyKIrJBrLRuQLQo5NGkjxy/view?usp=drivesdk")</f>
        <v>https://drive.google.com/file/d/1nTloQ51CcFMyKIrJBrLRuQLQo5NGkjxy/view?usp=drivesdk</v>
      </c>
      <c r="D8617" s="12"/>
      <c r="E8617" s="11"/>
      <c r="F8617" s="12"/>
    </row>
    <row r="8618" ht="14.25" customHeight="1">
      <c r="A8618" s="4" t="str">
        <f>IFERROR(__xludf.DUMMYFUNCTION("""COMPUTED_VALUE"""),"2. Twix")</f>
        <v>2. Twix</v>
      </c>
      <c r="B8618" s="4" t="str">
        <f>IFERROR(__xludf.DUMMYFUNCTION("""COMPUTED_VALUE"""),"2")</f>
        <v>2</v>
      </c>
      <c r="C8618" s="5" t="str">
        <f>IFERROR(__xludf.DUMMYFUNCTION("""COMPUTED_VALUE"""),"https://drive.google.com/file/d/1h9Eug9CIpm7zMTJy1iOo31SrGjXMDTrF/view?usp=drivesdk")</f>
        <v>https://drive.google.com/file/d/1h9Eug9CIpm7zMTJy1iOo31SrGjXMDTrF/view?usp=drivesdk</v>
      </c>
      <c r="D8618" s="12"/>
      <c r="E8618" s="11"/>
      <c r="F8618" s="12"/>
    </row>
    <row r="8619" ht="14.25" customHeight="1">
      <c r="A8619" s="4" t="str">
        <f>IFERROR(__xludf.DUMMYFUNCTION("""COMPUTED_VALUE"""),"2. Twix")</f>
        <v>2. Twix</v>
      </c>
      <c r="B8619" s="4" t="str">
        <f>IFERROR(__xludf.DUMMYFUNCTION("""COMPUTED_VALUE"""),"2")</f>
        <v>2</v>
      </c>
      <c r="C8619" s="5" t="str">
        <f>IFERROR(__xludf.DUMMYFUNCTION("""COMPUTED_VALUE"""),"https://drive.google.com/file/d/16yi0hLMrsmTfAcXajLl3GeQWaj0otzfB/view?usp=drivesdk")</f>
        <v>https://drive.google.com/file/d/16yi0hLMrsmTfAcXajLl3GeQWaj0otzfB/view?usp=drivesdk</v>
      </c>
      <c r="D8619" s="12"/>
      <c r="E8619" s="11"/>
      <c r="F8619" s="12"/>
    </row>
    <row r="8620" ht="14.25" customHeight="1">
      <c r="A8620" s="4" t="str">
        <f>IFERROR(__xludf.DUMMYFUNCTION("""COMPUTED_VALUE"""),"2. Twix")</f>
        <v>2. Twix</v>
      </c>
      <c r="B8620" s="4" t="str">
        <f>IFERROR(__xludf.DUMMYFUNCTION("""COMPUTED_VALUE"""),"2")</f>
        <v>2</v>
      </c>
      <c r="C8620" s="5" t="str">
        <f>IFERROR(__xludf.DUMMYFUNCTION("""COMPUTED_VALUE"""),"https://drive.google.com/file/d/1Ml5OGTCk2kxf9OpsspKeYgfkede028j4/view?usp=drivesdk")</f>
        <v>https://drive.google.com/file/d/1Ml5OGTCk2kxf9OpsspKeYgfkede028j4/view?usp=drivesdk</v>
      </c>
      <c r="D8620" s="12"/>
      <c r="E8620" s="11"/>
      <c r="F8620" s="12"/>
    </row>
    <row r="8621" ht="14.25" customHeight="1">
      <c r="A8621" s="4" t="str">
        <f>IFERROR(__xludf.DUMMYFUNCTION("""COMPUTED_VALUE"""),"5. Eraser")</f>
        <v>5. Eraser</v>
      </c>
      <c r="B8621" s="4" t="str">
        <f>IFERROR(__xludf.DUMMYFUNCTION("""COMPUTED_VALUE"""),"5")</f>
        <v>5</v>
      </c>
      <c r="C8621" s="5" t="str">
        <f>IFERROR(__xludf.DUMMYFUNCTION("""COMPUTED_VALUE"""),"https://drive.google.com/file/d/1E2GEjo26FlsT5XsP6Pf6qUmY09c-022F/view?usp=drivesdk")</f>
        <v>https://drive.google.com/file/d/1E2GEjo26FlsT5XsP6Pf6qUmY09c-022F/view?usp=drivesdk</v>
      </c>
      <c r="D8621" s="12"/>
      <c r="E8621" s="11"/>
      <c r="F8621" s="12"/>
    </row>
    <row r="8622" ht="14.25" customHeight="1">
      <c r="A8622" s="4" t="str">
        <f>IFERROR(__xludf.DUMMYFUNCTION("""COMPUTED_VALUE"""),"2. Twix")</f>
        <v>2. Twix</v>
      </c>
      <c r="B8622" s="4" t="str">
        <f>IFERROR(__xludf.DUMMYFUNCTION("""COMPUTED_VALUE"""),"2")</f>
        <v>2</v>
      </c>
      <c r="C8622" s="5" t="str">
        <f>IFERROR(__xludf.DUMMYFUNCTION("""COMPUTED_VALUE"""),"https://drive.google.com/file/d/1W1WB3dvk_YvHjvZxhmKCRhPI4s80L-1n/view?usp=drivesdk")</f>
        <v>https://drive.google.com/file/d/1W1WB3dvk_YvHjvZxhmKCRhPI4s80L-1n/view?usp=drivesdk</v>
      </c>
      <c r="D8622" s="12"/>
      <c r="E8622" s="11"/>
      <c r="F8622" s="12"/>
    </row>
    <row r="8623" ht="14.25" customHeight="1">
      <c r="A8623" s="4" t="str">
        <f>IFERROR(__xludf.DUMMYFUNCTION("""COMPUTED_VALUE"""),"2. Twix")</f>
        <v>2. Twix</v>
      </c>
      <c r="B8623" s="4" t="str">
        <f>IFERROR(__xludf.DUMMYFUNCTION("""COMPUTED_VALUE"""),"2")</f>
        <v>2</v>
      </c>
      <c r="C8623" s="5" t="str">
        <f>IFERROR(__xludf.DUMMYFUNCTION("""COMPUTED_VALUE"""),"https://drive.google.com/file/d/1TZfmIKw-XPZs9Mt0wYOQWS37Xpx10Qps/view?usp=drivesdk")</f>
        <v>https://drive.google.com/file/d/1TZfmIKw-XPZs9Mt0wYOQWS37Xpx10Qps/view?usp=drivesdk</v>
      </c>
      <c r="D8623" s="12"/>
      <c r="E8623" s="11"/>
      <c r="F8623" s="12"/>
    </row>
    <row r="8624" ht="14.25" customHeight="1">
      <c r="A8624" s="4" t="str">
        <f>IFERROR(__xludf.DUMMYFUNCTION("""COMPUTED_VALUE"""),"2. Twix")</f>
        <v>2. Twix</v>
      </c>
      <c r="B8624" s="4" t="str">
        <f>IFERROR(__xludf.DUMMYFUNCTION("""COMPUTED_VALUE"""),"2")</f>
        <v>2</v>
      </c>
      <c r="C8624" s="5" t="str">
        <f>IFERROR(__xludf.DUMMYFUNCTION("""COMPUTED_VALUE"""),"https://drive.google.com/file/d/1px-GbNj9bQ22Qg3hmkhMH1UAofuTiwBt/view?usp=drivesdk")</f>
        <v>https://drive.google.com/file/d/1px-GbNj9bQ22Qg3hmkhMH1UAofuTiwBt/view?usp=drivesdk</v>
      </c>
      <c r="D8624" s="12"/>
      <c r="E8624" s="11"/>
      <c r="F8624" s="12"/>
    </row>
    <row r="8625" ht="14.25" customHeight="1">
      <c r="A8625" s="4" t="str">
        <f>IFERROR(__xludf.DUMMYFUNCTION("""COMPUTED_VALUE"""),"88. Vincente")</f>
        <v>88. Vincente</v>
      </c>
      <c r="B8625" s="4" t="str">
        <f>IFERROR(__xludf.DUMMYFUNCTION("""COMPUTED_VALUE"""),"88")</f>
        <v>88</v>
      </c>
      <c r="C8625" s="5" t="str">
        <f>IFERROR(__xludf.DUMMYFUNCTION("""COMPUTED_VALUE"""),"https://drive.google.com/file/d/1_DUjhD7iGBBK_74L38yxPYObFB8sFoDp/view?usp=drivesdk")</f>
        <v>https://drive.google.com/file/d/1_DUjhD7iGBBK_74L38yxPYObFB8sFoDp/view?usp=drivesdk</v>
      </c>
      <c r="D8625" s="12"/>
      <c r="E8625" s="11"/>
      <c r="F8625" s="12"/>
    </row>
    <row r="8626" ht="14.25" customHeight="1">
      <c r="A8626" s="4" t="str">
        <f>IFERROR(__xludf.DUMMYFUNCTION("""COMPUTED_VALUE"""),"88. Vincente")</f>
        <v>88. Vincente</v>
      </c>
      <c r="B8626" s="4" t="str">
        <f>IFERROR(__xludf.DUMMYFUNCTION("""COMPUTED_VALUE"""),"88")</f>
        <v>88</v>
      </c>
      <c r="C8626" s="5" t="str">
        <f>IFERROR(__xludf.DUMMYFUNCTION("""COMPUTED_VALUE"""),"https://drive.google.com/file/d/1DG-rp07lItCL2RcspR10nZd30O-IdiQH/view?usp=drivesdk")</f>
        <v>https://drive.google.com/file/d/1DG-rp07lItCL2RcspR10nZd30O-IdiQH/view?usp=drivesdk</v>
      </c>
      <c r="D8626" s="12"/>
      <c r="E8626" s="11"/>
      <c r="F8626" s="12"/>
    </row>
    <row r="8627" ht="14.25" customHeight="1">
      <c r="A8627" s="4" t="str">
        <f>IFERROR(__xludf.DUMMYFUNCTION("""COMPUTED_VALUE"""),"109. Tlalli, 106. Ami, 99. Nezhui, 108. Mazatl, 116. Itzel")</f>
        <v>109. Tlalli, 106. Ami, 99. Nezhui, 108. Mazatl, 116. Itzel</v>
      </c>
      <c r="B8627" s="4" t="str">
        <f>IFERROR(__xludf.DUMMYFUNCTION("""COMPUTED_VALUE"""),"109, 106, 99, 108, 116")</f>
        <v>109, 106, 99, 108, 116</v>
      </c>
      <c r="C8627" s="5" t="str">
        <f>IFERROR(__xludf.DUMMYFUNCTION("""COMPUTED_VALUE"""),"https://drive.google.com/file/d/1Gc4hauGqFx-AMh_oQL0pcaToUWODtCr-/view?usp=drivesdk")</f>
        <v>https://drive.google.com/file/d/1Gc4hauGqFx-AMh_oQL0pcaToUWODtCr-/view?usp=drivesdk</v>
      </c>
      <c r="D8627" s="12"/>
      <c r="E8627" s="11"/>
      <c r="F8627" s="12"/>
    </row>
    <row r="8628" ht="14.25" customHeight="1">
      <c r="A8628" s="4" t="str">
        <f>IFERROR(__xludf.DUMMYFUNCTION("""COMPUTED_VALUE"""),"116. Itzel, 108. Mazatl, 106. Ami, 99. Nezhui")</f>
        <v>116. Itzel, 108. Mazatl, 106. Ami, 99. Nezhui</v>
      </c>
      <c r="B8628" s="4" t="str">
        <f>IFERROR(__xludf.DUMMYFUNCTION("""COMPUTED_VALUE"""),"116, 108, 106, 99")</f>
        <v>116, 108, 106, 99</v>
      </c>
      <c r="C8628" s="5" t="str">
        <f>IFERROR(__xludf.DUMMYFUNCTION("""COMPUTED_VALUE"""),"https://drive.google.com/file/d/1ElRo33LwqeWzB9Rkytc1zTP7cdALoyeN/view?usp=drivesdk")</f>
        <v>https://drive.google.com/file/d/1ElRo33LwqeWzB9Rkytc1zTP7cdALoyeN/view?usp=drivesdk</v>
      </c>
      <c r="D8628" s="12"/>
      <c r="E8628" s="11"/>
      <c r="F8628" s="12"/>
    </row>
    <row r="8629" ht="14.25" customHeight="1">
      <c r="A8629" s="4" t="str">
        <f>IFERROR(__xludf.DUMMYFUNCTION("""COMPUTED_VALUE"""),"116. Itzel")</f>
        <v>116. Itzel</v>
      </c>
      <c r="B8629" s="4" t="str">
        <f>IFERROR(__xludf.DUMMYFUNCTION("""COMPUTED_VALUE"""),"116")</f>
        <v>116</v>
      </c>
      <c r="C8629" s="5" t="str">
        <f>IFERROR(__xludf.DUMMYFUNCTION("""COMPUTED_VALUE"""),"https://drive.google.com/file/d/1hOFeio-1PxFqSC8AOo82N9uqHtKUdKeX/view?usp=drivesdk")</f>
        <v>https://drive.google.com/file/d/1hOFeio-1PxFqSC8AOo82N9uqHtKUdKeX/view?usp=drivesdk</v>
      </c>
      <c r="D8629" s="12"/>
      <c r="E8629" s="11"/>
      <c r="F8629" s="12"/>
    </row>
    <row r="8630" ht="14.25" customHeight="1">
      <c r="A8630" s="4" t="str">
        <f>IFERROR(__xludf.DUMMYFUNCTION("""COMPUTED_VALUE"""),"108. Mazatl, 94. Itztli")</f>
        <v>108. Mazatl, 94. Itztli</v>
      </c>
      <c r="B8630" s="4" t="str">
        <f>IFERROR(__xludf.DUMMYFUNCTION("""COMPUTED_VALUE"""),"108, 94")</f>
        <v>108, 94</v>
      </c>
      <c r="C8630" s="5" t="str">
        <f>IFERROR(__xludf.DUMMYFUNCTION("""COMPUTED_VALUE"""),"https://drive.google.com/file/d/1ieS6CXgSIUpzDyZuHqi-v_tU0P0bPh8-/view?usp=drivesdk")</f>
        <v>https://drive.google.com/file/d/1ieS6CXgSIUpzDyZuHqi-v_tU0P0bPh8-/view?usp=drivesdk</v>
      </c>
      <c r="D8630" s="12"/>
      <c r="E8630" s="11"/>
      <c r="F8630" s="12"/>
    </row>
    <row r="8631" ht="14.25" customHeight="1">
      <c r="A8631" s="4" t="str">
        <f>IFERROR(__xludf.DUMMYFUNCTION("""COMPUTED_VALUE"""),"94. Itztli, 99. Nezhui")</f>
        <v>94. Itztli, 99. Nezhui</v>
      </c>
      <c r="B8631" s="4" t="str">
        <f>IFERROR(__xludf.DUMMYFUNCTION("""COMPUTED_VALUE"""),"94, 99")</f>
        <v>94, 99</v>
      </c>
      <c r="C8631" s="5" t="str">
        <f>IFERROR(__xludf.DUMMYFUNCTION("""COMPUTED_VALUE"""),"https://drive.google.com/file/d/1wJVi98mbJsGuTOSnB7IYthz38xEyBOTU/view?usp=drivesdk")</f>
        <v>https://drive.google.com/file/d/1wJVi98mbJsGuTOSnB7IYthz38xEyBOTU/view?usp=drivesdk</v>
      </c>
      <c r="D8631" s="12"/>
      <c r="E8631" s="11"/>
      <c r="F8631" s="12"/>
    </row>
    <row r="8632" ht="14.25" customHeight="1">
      <c r="A8632" s="4" t="str">
        <f>IFERROR(__xludf.DUMMYFUNCTION("""COMPUTED_VALUE"""),"94. Itztli, 99. Nezhui")</f>
        <v>94. Itztli, 99. Nezhui</v>
      </c>
      <c r="B8632" s="4" t="str">
        <f>IFERROR(__xludf.DUMMYFUNCTION("""COMPUTED_VALUE"""),"94, 99")</f>
        <v>94, 99</v>
      </c>
      <c r="C8632" s="5" t="str">
        <f>IFERROR(__xludf.DUMMYFUNCTION("""COMPUTED_VALUE"""),"https://drive.google.com/file/d/1jnddoHrivrmguNRQn0nlL1-LzQzWSpc3/view?usp=drivesdk")</f>
        <v>https://drive.google.com/file/d/1jnddoHrivrmguNRQn0nlL1-LzQzWSpc3/view?usp=drivesdk</v>
      </c>
      <c r="D8632" s="12"/>
      <c r="E8632" s="11"/>
      <c r="F8632" s="12"/>
    </row>
    <row r="8633" ht="14.25" customHeight="1">
      <c r="A8633" s="4" t="str">
        <f>IFERROR(__xludf.DUMMYFUNCTION("""COMPUTED_VALUE"""),"106. Ami")</f>
        <v>106. Ami</v>
      </c>
      <c r="B8633" s="4" t="str">
        <f>IFERROR(__xludf.DUMMYFUNCTION("""COMPUTED_VALUE"""),"106")</f>
        <v>106</v>
      </c>
      <c r="C8633" s="5" t="str">
        <f>IFERROR(__xludf.DUMMYFUNCTION("""COMPUTED_VALUE"""),"https://drive.google.com/file/d/1pltFGakDbd16mW1h1yHuggw-rMRjUGBG/view?usp=drivesdk")</f>
        <v>https://drive.google.com/file/d/1pltFGakDbd16mW1h1yHuggw-rMRjUGBG/view?usp=drivesdk</v>
      </c>
      <c r="D8633" s="12"/>
      <c r="E8633" s="11"/>
      <c r="F8633" s="12"/>
    </row>
    <row r="8634" ht="14.25" customHeight="1">
      <c r="A8634" s="4" t="str">
        <f>IFERROR(__xludf.DUMMYFUNCTION("""COMPUTED_VALUE"""),"99. Nezhui, 109. Tlalli, 108. Mazatl, 111. Mayatl, 106. Ami")</f>
        <v>99. Nezhui, 109. Tlalli, 108. Mazatl, 111. Mayatl, 106. Ami</v>
      </c>
      <c r="B8634" s="4" t="str">
        <f>IFERROR(__xludf.DUMMYFUNCTION("""COMPUTED_VALUE"""),"99, 109, 108, 111, 106")</f>
        <v>99, 109, 108, 111, 106</v>
      </c>
      <c r="C8634" s="5" t="str">
        <f>IFERROR(__xludf.DUMMYFUNCTION("""COMPUTED_VALUE"""),"https://drive.google.com/file/d/1aI8bNyW5XUK8AJVUl_0Y-OYJ6997V29d/view?usp=drivesdk")</f>
        <v>https://drive.google.com/file/d/1aI8bNyW5XUK8AJVUl_0Y-OYJ6997V29d/view?usp=drivesdk</v>
      </c>
      <c r="D8634" s="12"/>
      <c r="E8634" s="11"/>
      <c r="F8634" s="12"/>
    </row>
    <row r="8635" ht="14.25" customHeight="1">
      <c r="A8635" s="4" t="str">
        <f>IFERROR(__xludf.DUMMYFUNCTION("""COMPUTED_VALUE"""),"99. Nezhui, 116. Itzel")</f>
        <v>99. Nezhui, 116. Itzel</v>
      </c>
      <c r="B8635" s="4" t="str">
        <f>IFERROR(__xludf.DUMMYFUNCTION("""COMPUTED_VALUE"""),"99, 116")</f>
        <v>99, 116</v>
      </c>
      <c r="C8635" s="5" t="str">
        <f>IFERROR(__xludf.DUMMYFUNCTION("""COMPUTED_VALUE"""),"https://drive.google.com/file/d/1oOjG-eIqHenjew9MMuMIzy3pp0wRZH8l/view?usp=drivesdk")</f>
        <v>https://drive.google.com/file/d/1oOjG-eIqHenjew9MMuMIzy3pp0wRZH8l/view?usp=drivesdk</v>
      </c>
      <c r="D8635" s="12"/>
      <c r="E8635" s="11"/>
      <c r="F8635" s="12"/>
    </row>
    <row r="8636" ht="14.25" customHeight="1">
      <c r="A8636" s="4" t="str">
        <f>IFERROR(__xludf.DUMMYFUNCTION("""COMPUTED_VALUE"""),"108. Mazatl")</f>
        <v>108. Mazatl</v>
      </c>
      <c r="B8636" s="4" t="str">
        <f>IFERROR(__xludf.DUMMYFUNCTION("""COMPUTED_VALUE"""),"108")</f>
        <v>108</v>
      </c>
      <c r="C8636" s="5" t="str">
        <f>IFERROR(__xludf.DUMMYFUNCTION("""COMPUTED_VALUE"""),"https://drive.google.com/file/d/1Ri_9v_tS2Ja8GwdisVWGa8MSWjg8SiJH/view?usp=drivesdk")</f>
        <v>https://drive.google.com/file/d/1Ri_9v_tS2Ja8GwdisVWGa8MSWjg8SiJH/view?usp=drivesdk</v>
      </c>
      <c r="D8636" s="12"/>
      <c r="E8636" s="11"/>
      <c r="F8636" s="12"/>
    </row>
    <row r="8637" ht="14.25" customHeight="1">
      <c r="A8637" s="4" t="str">
        <f>IFERROR(__xludf.DUMMYFUNCTION("""COMPUTED_VALUE"""),"111. Mayatl")</f>
        <v>111. Mayatl</v>
      </c>
      <c r="B8637" s="4" t="str">
        <f>IFERROR(__xludf.DUMMYFUNCTION("""COMPUTED_VALUE"""),"111")</f>
        <v>111</v>
      </c>
      <c r="C8637" s="5" t="str">
        <f>IFERROR(__xludf.DUMMYFUNCTION("""COMPUTED_VALUE"""),"https://drive.google.com/file/d/14x8CXgKB6TqDQVdtLQsWtX53OFkoe9LN/view?usp=drivesdk")</f>
        <v>https://drive.google.com/file/d/14x8CXgKB6TqDQVdtLQsWtX53OFkoe9LN/view?usp=drivesdk</v>
      </c>
      <c r="D8637" s="12"/>
      <c r="E8637" s="11"/>
      <c r="F8637" s="12"/>
    </row>
    <row r="8638" ht="14.25" customHeight="1">
      <c r="A8638" s="4" t="str">
        <f>IFERROR(__xludf.DUMMYFUNCTION("""COMPUTED_VALUE"""),"99. Nezhui, 111. Mayatl, 109. Tlalli, 106. Ami, 108. Mazatl")</f>
        <v>99. Nezhui, 111. Mayatl, 109. Tlalli, 106. Ami, 108. Mazatl</v>
      </c>
      <c r="B8638" s="4" t="str">
        <f>IFERROR(__xludf.DUMMYFUNCTION("""COMPUTED_VALUE"""),"99, 111, 109, 106, 108")</f>
        <v>99, 111, 109, 106, 108</v>
      </c>
      <c r="C8638" s="5" t="str">
        <f>IFERROR(__xludf.DUMMYFUNCTION("""COMPUTED_VALUE"""),"https://drive.google.com/file/d/1gl09f8kA886320XBsX256qpCQnaJJGE1/view?usp=drivesdk")</f>
        <v>https://drive.google.com/file/d/1gl09f8kA886320XBsX256qpCQnaJJGE1/view?usp=drivesdk</v>
      </c>
      <c r="D8638" s="12"/>
      <c r="E8638" s="11"/>
      <c r="F8638" s="12"/>
    </row>
    <row r="8639" ht="14.25" customHeight="1">
      <c r="A8639" s="4" t="str">
        <f>IFERROR(__xludf.DUMMYFUNCTION("""COMPUTED_VALUE"""),"36. Scringle")</f>
        <v>36. Scringle</v>
      </c>
      <c r="B8639" s="4" t="str">
        <f>IFERROR(__xludf.DUMMYFUNCTION("""COMPUTED_VALUE"""),"36")</f>
        <v>36</v>
      </c>
      <c r="C8639" s="5" t="str">
        <f>IFERROR(__xludf.DUMMYFUNCTION("""COMPUTED_VALUE"""),"https://drive.google.com/file/d/1lNtP8bZW9kyeFYbg1jZXvMrv8c-O-Hm_/view?usp=drivesdk")</f>
        <v>https://drive.google.com/file/d/1lNtP8bZW9kyeFYbg1jZXvMrv8c-O-Hm_/view?usp=drivesdk</v>
      </c>
      <c r="D8639" s="12"/>
      <c r="E8639" s="11"/>
      <c r="F8639" s="12"/>
    </row>
    <row r="8640" ht="14.25" customHeight="1">
      <c r="A8640" s="4" t="str">
        <f>IFERROR(__xludf.DUMMYFUNCTION("""COMPUTED_VALUE"""),"129. Charles, 36. Scringle")</f>
        <v>129. Charles, 36. Scringle</v>
      </c>
      <c r="B8640" s="4" t="str">
        <f>IFERROR(__xludf.DUMMYFUNCTION("""COMPUTED_VALUE"""),"129, 36")</f>
        <v>129, 36</v>
      </c>
      <c r="C8640" s="5" t="str">
        <f>IFERROR(__xludf.DUMMYFUNCTION("""COMPUTED_VALUE"""),"https://drive.google.com/file/d/1E6waf0-w7T8JJpmE0zGtSGoAqrrEzEHX/view?usp=drivesdk")</f>
        <v>https://drive.google.com/file/d/1E6waf0-w7T8JJpmE0zGtSGoAqrrEzEHX/view?usp=drivesdk</v>
      </c>
      <c r="D8640" s="12"/>
      <c r="E8640" s="11"/>
      <c r="F8640" s="12"/>
    </row>
    <row r="8641" ht="14.25" customHeight="1">
      <c r="A8641" s="4" t="str">
        <f>IFERROR(__xludf.DUMMYFUNCTION("""COMPUTED_VALUE"""),"129. Charles")</f>
        <v>129. Charles</v>
      </c>
      <c r="B8641" s="4" t="str">
        <f>IFERROR(__xludf.DUMMYFUNCTION("""COMPUTED_VALUE"""),"129")</f>
        <v>129</v>
      </c>
      <c r="C8641" s="5" t="str">
        <f>IFERROR(__xludf.DUMMYFUNCTION("""COMPUTED_VALUE"""),"https://drive.google.com/file/d/1rwgCckiCR5P3TJCfHoElTf_kAnzW58Ye/view?usp=drivesdk")</f>
        <v>https://drive.google.com/file/d/1rwgCckiCR5P3TJCfHoElTf_kAnzW58Ye/view?usp=drivesdk</v>
      </c>
      <c r="D8641" s="12"/>
      <c r="E8641" s="11"/>
      <c r="F8641" s="12"/>
    </row>
    <row r="8642" ht="14.25" customHeight="1">
      <c r="A8642" s="4" t="str">
        <f>IFERROR(__xludf.DUMMYFUNCTION("""COMPUTED_VALUE"""),"129. Charles")</f>
        <v>129. Charles</v>
      </c>
      <c r="B8642" s="4" t="str">
        <f>IFERROR(__xludf.DUMMYFUNCTION("""COMPUTED_VALUE"""),"129")</f>
        <v>129</v>
      </c>
      <c r="C8642" s="5" t="str">
        <f>IFERROR(__xludf.DUMMYFUNCTION("""COMPUTED_VALUE"""),"https://drive.google.com/file/d/1GQMt_l3iY0GcFXhLHKz5JNB_T8ZV00lA/view?usp=drivesdk")</f>
        <v>https://drive.google.com/file/d/1GQMt_l3iY0GcFXhLHKz5JNB_T8ZV00lA/view?usp=drivesdk</v>
      </c>
      <c r="D8642" s="12"/>
      <c r="E8642" s="11"/>
      <c r="F8642" s="12"/>
    </row>
    <row r="8643" ht="14.25" customHeight="1">
      <c r="A8643" s="4" t="str">
        <f>IFERROR(__xludf.DUMMYFUNCTION("""COMPUTED_VALUE"""),"36. Scringle")</f>
        <v>36. Scringle</v>
      </c>
      <c r="B8643" s="4" t="str">
        <f>IFERROR(__xludf.DUMMYFUNCTION("""COMPUTED_VALUE"""),"36")</f>
        <v>36</v>
      </c>
      <c r="C8643" s="5" t="str">
        <f>IFERROR(__xludf.DUMMYFUNCTION("""COMPUTED_VALUE"""),"https://drive.google.com/file/d/16qEhhVF5DKIBD-CNLsdB9HIzZ7xewPSF/view?usp=drivesdk")</f>
        <v>https://drive.google.com/file/d/16qEhhVF5DKIBD-CNLsdB9HIzZ7xewPSF/view?usp=drivesdk</v>
      </c>
      <c r="D8643" s="12"/>
      <c r="E8643" s="11"/>
      <c r="F8643" s="12"/>
    </row>
    <row r="8644" ht="14.25" customHeight="1">
      <c r="A8644" s="4" t="str">
        <f>IFERROR(__xludf.DUMMYFUNCTION("""COMPUTED_VALUE"""),"1. Microwave")</f>
        <v>1. Microwave</v>
      </c>
      <c r="B8644" s="4" t="str">
        <f>IFERROR(__xludf.DUMMYFUNCTION("""COMPUTED_VALUE"""),"1")</f>
        <v>1</v>
      </c>
      <c r="C8644" s="5" t="str">
        <f>IFERROR(__xludf.DUMMYFUNCTION("""COMPUTED_VALUE"""),"https://drive.google.com/file/d/1x4f3Gswe3N07KEJDgoyuw-mnJHBrsKA-/view?usp=drivesdk")</f>
        <v>https://drive.google.com/file/d/1x4f3Gswe3N07KEJDgoyuw-mnJHBrsKA-/view?usp=drivesdk</v>
      </c>
      <c r="D8644" s="12"/>
      <c r="E8644" s="11"/>
      <c r="F8644" s="12"/>
    </row>
    <row r="8645" ht="14.25" customHeight="1">
      <c r="A8645" s="4" t="str">
        <f>IFERROR(__xludf.DUMMYFUNCTION("""COMPUTED_VALUE"""),"1. Microwave")</f>
        <v>1. Microwave</v>
      </c>
      <c r="B8645" s="4" t="str">
        <f>IFERROR(__xludf.DUMMYFUNCTION("""COMPUTED_VALUE"""),"1")</f>
        <v>1</v>
      </c>
      <c r="C8645" s="5" t="str">
        <f>IFERROR(__xludf.DUMMYFUNCTION("""COMPUTED_VALUE"""),"https://drive.google.com/file/d/1ZgXM7SRnvh0UIwZEcuom1cXPJaHlRdCw/view?usp=drivesdk")</f>
        <v>https://drive.google.com/file/d/1ZgXM7SRnvh0UIwZEcuom1cXPJaHlRdCw/view?usp=drivesdk</v>
      </c>
      <c r="D8645" s="12"/>
      <c r="E8645" s="11"/>
      <c r="F8645" s="12"/>
    </row>
    <row r="8646" ht="14.25" customHeight="1">
      <c r="A8646" s="4" t="str">
        <f>IFERROR(__xludf.DUMMYFUNCTION("""COMPUTED_VALUE"""),"1. Microwave")</f>
        <v>1. Microwave</v>
      </c>
      <c r="B8646" s="4" t="str">
        <f>IFERROR(__xludf.DUMMYFUNCTION("""COMPUTED_VALUE"""),"1")</f>
        <v>1</v>
      </c>
      <c r="C8646" s="5" t="str">
        <f>IFERROR(__xludf.DUMMYFUNCTION("""COMPUTED_VALUE"""),"https://drive.google.com/file/d/1qw8ADgys_1wEz5DOzQ_rvHt8WLy_Imq4/view?usp=drivesdk")</f>
        <v>https://drive.google.com/file/d/1qw8ADgys_1wEz5DOzQ_rvHt8WLy_Imq4/view?usp=drivesdk</v>
      </c>
      <c r="D8646" s="12"/>
      <c r="E8646" s="11"/>
      <c r="F8646" s="12"/>
    </row>
    <row r="8647" ht="14.25" customHeight="1">
      <c r="A8647" s="4" t="str">
        <f>IFERROR(__xludf.DUMMYFUNCTION("""COMPUTED_VALUE"""),"1. Microwave")</f>
        <v>1. Microwave</v>
      </c>
      <c r="B8647" s="4" t="str">
        <f>IFERROR(__xludf.DUMMYFUNCTION("""COMPUTED_VALUE"""),"1")</f>
        <v>1</v>
      </c>
      <c r="C8647" s="5" t="str">
        <f>IFERROR(__xludf.DUMMYFUNCTION("""COMPUTED_VALUE"""),"https://drive.google.com/file/d/1Dv3gBQdaMz5X7ewYCMSWIZJU6sER_8NL/view?usp=drivesdk")</f>
        <v>https://drive.google.com/file/d/1Dv3gBQdaMz5X7ewYCMSWIZJU6sER_8NL/view?usp=drivesdk</v>
      </c>
      <c r="D8647" s="12"/>
      <c r="E8647" s="11"/>
      <c r="F8647" s="12"/>
    </row>
    <row r="8648" ht="14.25" customHeight="1">
      <c r="A8648" s="4" t="str">
        <f>IFERROR(__xludf.DUMMYFUNCTION("""COMPUTED_VALUE"""),"1. Microwave")</f>
        <v>1. Microwave</v>
      </c>
      <c r="B8648" s="4" t="str">
        <f>IFERROR(__xludf.DUMMYFUNCTION("""COMPUTED_VALUE"""),"1")</f>
        <v>1</v>
      </c>
      <c r="C8648" s="5" t="str">
        <f>IFERROR(__xludf.DUMMYFUNCTION("""COMPUTED_VALUE"""),"https://drive.google.com/file/d/15MsiR44cLKJb5Oyy_Nz55gGTB5H-p2SI/view?usp=drivesdk")</f>
        <v>https://drive.google.com/file/d/15MsiR44cLKJb5Oyy_Nz55gGTB5H-p2SI/view?usp=drivesdk</v>
      </c>
      <c r="D8648" s="12"/>
      <c r="E8648" s="11"/>
      <c r="F8648" s="12"/>
    </row>
    <row r="8649" ht="14.25" customHeight="1">
      <c r="A8649" s="4" t="str">
        <f>IFERROR(__xludf.DUMMYFUNCTION("""COMPUTED_VALUE"""),"1. Microwave")</f>
        <v>1. Microwave</v>
      </c>
      <c r="B8649" s="4" t="str">
        <f>IFERROR(__xludf.DUMMYFUNCTION("""COMPUTED_VALUE"""),"1")</f>
        <v>1</v>
      </c>
      <c r="C8649" s="5" t="str">
        <f>IFERROR(__xludf.DUMMYFUNCTION("""COMPUTED_VALUE"""),"https://drive.google.com/file/d/1IcoD3C7BL54PcGztVtPkO0IFSUL_fyJD/view?usp=drivesdk")</f>
        <v>https://drive.google.com/file/d/1IcoD3C7BL54PcGztVtPkO0IFSUL_fyJD/view?usp=drivesdk</v>
      </c>
      <c r="D8649" s="12"/>
      <c r="E8649" s="11"/>
      <c r="F8649" s="12"/>
    </row>
    <row r="8650" ht="14.25" customHeight="1">
      <c r="A8650" s="4" t="str">
        <f>IFERROR(__xludf.DUMMYFUNCTION("""COMPUTED_VALUE"""),"97.  Simba")</f>
        <v>97.  Simba</v>
      </c>
      <c r="B8650" s="4" t="str">
        <f>IFERROR(__xludf.DUMMYFUNCTION("""COMPUTED_VALUE"""),"97")</f>
        <v>97</v>
      </c>
      <c r="C8650" s="5" t="str">
        <f>IFERROR(__xludf.DUMMYFUNCTION("""COMPUTED_VALUE"""),"https://drive.google.com/file/d/1hhj1xoqsMKUNxqgI52s57A7PY27eVIHh/view?usp=drivesdk")</f>
        <v>https://drive.google.com/file/d/1hhj1xoqsMKUNxqgI52s57A7PY27eVIHh/view?usp=drivesdk</v>
      </c>
      <c r="D8650" s="12"/>
      <c r="E8650" s="11"/>
      <c r="F8650" s="12"/>
    </row>
    <row r="8651" ht="14.25" customHeight="1">
      <c r="A8651" s="4" t="str">
        <f>IFERROR(__xludf.DUMMYFUNCTION("""COMPUTED_VALUE"""),"98. Timon")</f>
        <v>98. Timon</v>
      </c>
      <c r="B8651" s="4" t="str">
        <f>IFERROR(__xludf.DUMMYFUNCTION("""COMPUTED_VALUE"""),"98")</f>
        <v>98</v>
      </c>
      <c r="C8651" s="5" t="str">
        <f>IFERROR(__xludf.DUMMYFUNCTION("""COMPUTED_VALUE"""),"https://drive.google.com/file/d/1A7B8pLQWMeXYnV40xtEE7IXB344XwtL3/view?usp=drivesdk")</f>
        <v>https://drive.google.com/file/d/1A7B8pLQWMeXYnV40xtEE7IXB344XwtL3/view?usp=drivesdk</v>
      </c>
      <c r="D8651" s="12"/>
      <c r="E8651" s="11"/>
      <c r="F8651" s="12"/>
    </row>
    <row r="8652" ht="14.25" customHeight="1">
      <c r="A8652" s="4" t="str">
        <f>IFERROR(__xludf.DUMMYFUNCTION("""COMPUTED_VALUE"""),"2. Twix")</f>
        <v>2. Twix</v>
      </c>
      <c r="B8652" s="4" t="str">
        <f>IFERROR(__xludf.DUMMYFUNCTION("""COMPUTED_VALUE"""),"2")</f>
        <v>2</v>
      </c>
      <c r="C8652" s="5" t="str">
        <f>IFERROR(__xludf.DUMMYFUNCTION("""COMPUTED_VALUE"""),"https://drive.google.com/file/d/1kiucG_mN63asM8OxSKJP8kJg8PFggq0M/view?usp=drivesdk")</f>
        <v>https://drive.google.com/file/d/1kiucG_mN63asM8OxSKJP8kJg8PFggq0M/view?usp=drivesdk</v>
      </c>
      <c r="D8652" s="12"/>
      <c r="E8652" s="11"/>
      <c r="F8652" s="12"/>
    </row>
    <row r="8653" ht="14.25" customHeight="1">
      <c r="A8653" s="4" t="str">
        <f>IFERROR(__xludf.DUMMYFUNCTION("""COMPUTED_VALUE"""),"2. Twix")</f>
        <v>2. Twix</v>
      </c>
      <c r="B8653" s="4" t="str">
        <f>IFERROR(__xludf.DUMMYFUNCTION("""COMPUTED_VALUE"""),"2")</f>
        <v>2</v>
      </c>
      <c r="C8653" s="5" t="str">
        <f>IFERROR(__xludf.DUMMYFUNCTION("""COMPUTED_VALUE"""),"https://drive.google.com/file/d/1L0UwRLzoXAXnhoWGKtRX8m2LUIiXXta2/view?usp=drivesdk")</f>
        <v>https://drive.google.com/file/d/1L0UwRLzoXAXnhoWGKtRX8m2LUIiXXta2/view?usp=drivesdk</v>
      </c>
      <c r="D8653" s="12"/>
      <c r="E8653" s="11"/>
      <c r="F8653" s="12"/>
    </row>
    <row r="8654" ht="14.25" customHeight="1">
      <c r="A8654" s="4" t="str">
        <f>IFERROR(__xludf.DUMMYFUNCTION("""COMPUTED_VALUE"""),"2. Twix")</f>
        <v>2. Twix</v>
      </c>
      <c r="B8654" s="4" t="str">
        <f>IFERROR(__xludf.DUMMYFUNCTION("""COMPUTED_VALUE"""),"2")</f>
        <v>2</v>
      </c>
      <c r="C8654" s="5" t="str">
        <f>IFERROR(__xludf.DUMMYFUNCTION("""COMPUTED_VALUE"""),"https://drive.google.com/file/d/1j6vJEEoGQjuUHgCMHbHuBvh6sTWcdhcw/view?usp=drivesdk")</f>
        <v>https://drive.google.com/file/d/1j6vJEEoGQjuUHgCMHbHuBvh6sTWcdhcw/view?usp=drivesdk</v>
      </c>
      <c r="D8654" s="12"/>
      <c r="E8654" s="11"/>
      <c r="F8654" s="12"/>
    </row>
    <row r="8655" ht="14.25" customHeight="1">
      <c r="A8655" s="4" t="str">
        <f>IFERROR(__xludf.DUMMYFUNCTION("""COMPUTED_VALUE"""),"2. Twix")</f>
        <v>2. Twix</v>
      </c>
      <c r="B8655" s="4" t="str">
        <f>IFERROR(__xludf.DUMMYFUNCTION("""COMPUTED_VALUE"""),"2")</f>
        <v>2</v>
      </c>
      <c r="C8655" s="5" t="str">
        <f>IFERROR(__xludf.DUMMYFUNCTION("""COMPUTED_VALUE"""),"https://drive.google.com/file/d/19S67h46Sgr7t1CZ_jZBZxdGpdrGHZ4mn/view?usp=drivesdk")</f>
        <v>https://drive.google.com/file/d/19S67h46Sgr7t1CZ_jZBZxdGpdrGHZ4mn/view?usp=drivesdk</v>
      </c>
      <c r="D8655" s="12"/>
      <c r="E8655" s="11"/>
      <c r="F8655" s="12"/>
    </row>
    <row r="8656" ht="14.25" customHeight="1">
      <c r="A8656" s="4" t="str">
        <f>IFERROR(__xludf.DUMMYFUNCTION("""COMPUTED_VALUE"""),"2. Twix")</f>
        <v>2. Twix</v>
      </c>
      <c r="B8656" s="4" t="str">
        <f>IFERROR(__xludf.DUMMYFUNCTION("""COMPUTED_VALUE"""),"2")</f>
        <v>2</v>
      </c>
      <c r="C8656" s="5" t="str">
        <f>IFERROR(__xludf.DUMMYFUNCTION("""COMPUTED_VALUE"""),"https://drive.google.com/file/d/1uPOBd38CeN63tQElYlMzN5r_ZXmFxgRg/view?usp=drivesdk")</f>
        <v>https://drive.google.com/file/d/1uPOBd38CeN63tQElYlMzN5r_ZXmFxgRg/view?usp=drivesdk</v>
      </c>
      <c r="D8656" s="12"/>
      <c r="E8656" s="11"/>
      <c r="F8656" s="12"/>
    </row>
    <row r="8657" ht="14.25" customHeight="1">
      <c r="A8657" s="4" t="str">
        <f>IFERROR(__xludf.DUMMYFUNCTION("""COMPUTED_VALUE"""),"2. Twix")</f>
        <v>2. Twix</v>
      </c>
      <c r="B8657" s="4" t="str">
        <f>IFERROR(__xludf.DUMMYFUNCTION("""COMPUTED_VALUE"""),"2")</f>
        <v>2</v>
      </c>
      <c r="C8657" s="5" t="str">
        <f>IFERROR(__xludf.DUMMYFUNCTION("""COMPUTED_VALUE"""),"https://drive.google.com/file/d/1ABj-kxEf9Q_jqNJXtf9VgSgevoMoMYFC/view?usp=drivesdk")</f>
        <v>https://drive.google.com/file/d/1ABj-kxEf9Q_jqNJXtf9VgSgevoMoMYFC/view?usp=drivesdk</v>
      </c>
      <c r="D8657" s="12"/>
      <c r="E8657" s="11"/>
      <c r="F8657" s="12"/>
    </row>
    <row r="8658" ht="14.25" customHeight="1">
      <c r="A8658" s="4" t="str">
        <f>IFERROR(__xludf.DUMMYFUNCTION("""COMPUTED_VALUE"""),"1. Microwave")</f>
        <v>1. Microwave</v>
      </c>
      <c r="B8658" s="4" t="str">
        <f>IFERROR(__xludf.DUMMYFUNCTION("""COMPUTED_VALUE"""),"1")</f>
        <v>1</v>
      </c>
      <c r="C8658" s="5" t="str">
        <f>IFERROR(__xludf.DUMMYFUNCTION("""COMPUTED_VALUE"""),"https://drive.google.com/file/d/1FEOoWpdaccUYcjsouJbOm2bdJJTJSWBH/view?usp=drivesdk")</f>
        <v>https://drive.google.com/file/d/1FEOoWpdaccUYcjsouJbOm2bdJJTJSWBH/view?usp=drivesdk</v>
      </c>
      <c r="D8658" s="12"/>
      <c r="E8658" s="11"/>
      <c r="F8658" s="12"/>
    </row>
    <row r="8659" ht="14.25" customHeight="1">
      <c r="A8659" s="4" t="str">
        <f>IFERROR(__xludf.DUMMYFUNCTION("""COMPUTED_VALUE"""),"2. Twix")</f>
        <v>2. Twix</v>
      </c>
      <c r="B8659" s="4" t="str">
        <f>IFERROR(__xludf.DUMMYFUNCTION("""COMPUTED_VALUE"""),"2")</f>
        <v>2</v>
      </c>
      <c r="C8659" s="5" t="str">
        <f>IFERROR(__xludf.DUMMYFUNCTION("""COMPUTED_VALUE"""),"https://drive.google.com/file/d/1hkdBqu56Cl8UXopbN5DGB1_0-eFCqOYF/view?usp=drivesdk")</f>
        <v>https://drive.google.com/file/d/1hkdBqu56Cl8UXopbN5DGB1_0-eFCqOYF/view?usp=drivesdk</v>
      </c>
      <c r="D8659" s="12"/>
      <c r="E8659" s="11"/>
      <c r="F8659" s="12"/>
    </row>
    <row r="8660" ht="14.25" customHeight="1">
      <c r="A8660" s="4" t="str">
        <f>IFERROR(__xludf.DUMMYFUNCTION("""COMPUTED_VALUE"""),"2. Twix")</f>
        <v>2. Twix</v>
      </c>
      <c r="B8660" s="4" t="str">
        <f>IFERROR(__xludf.DUMMYFUNCTION("""COMPUTED_VALUE"""),"2")</f>
        <v>2</v>
      </c>
      <c r="C8660" s="5" t="str">
        <f>IFERROR(__xludf.DUMMYFUNCTION("""COMPUTED_VALUE"""),"https://drive.google.com/file/d/1TJHNCQY0wRDYhbUYTrgK75KXvNwWaocf/view?usp=drivesdk")</f>
        <v>https://drive.google.com/file/d/1TJHNCQY0wRDYhbUYTrgK75KXvNwWaocf/view?usp=drivesdk</v>
      </c>
      <c r="D8660" s="12"/>
      <c r="E8660" s="11"/>
      <c r="F8660" s="12"/>
    </row>
    <row r="8661" ht="14.25" customHeight="1">
      <c r="A8661" s="4" t="str">
        <f>IFERROR(__xludf.DUMMYFUNCTION("""COMPUTED_VALUE"""),"2. Twix")</f>
        <v>2. Twix</v>
      </c>
      <c r="B8661" s="4" t="str">
        <f>IFERROR(__xludf.DUMMYFUNCTION("""COMPUTED_VALUE"""),"2")</f>
        <v>2</v>
      </c>
      <c r="C8661" s="5" t="str">
        <f>IFERROR(__xludf.DUMMYFUNCTION("""COMPUTED_VALUE"""),"https://drive.google.com/file/d/131GfI2uJOCfppAw2sDCfZob3OYN-bzHu/view?usp=drivesdk")</f>
        <v>https://drive.google.com/file/d/131GfI2uJOCfppAw2sDCfZob3OYN-bzHu/view?usp=drivesdk</v>
      </c>
      <c r="D8661" s="12"/>
      <c r="E8661" s="11"/>
      <c r="F8661" s="12"/>
    </row>
    <row r="8662" ht="14.25" customHeight="1">
      <c r="A8662" s="4" t="str">
        <f>IFERROR(__xludf.DUMMYFUNCTION("""COMPUTED_VALUE"""),"2. Twix")</f>
        <v>2. Twix</v>
      </c>
      <c r="B8662" s="4" t="str">
        <f>IFERROR(__xludf.DUMMYFUNCTION("""COMPUTED_VALUE"""),"2")</f>
        <v>2</v>
      </c>
      <c r="C8662" s="5" t="str">
        <f>IFERROR(__xludf.DUMMYFUNCTION("""COMPUTED_VALUE"""),"https://drive.google.com/file/d/1BYYbKhQcAneOuM4y9GyTI1sHIvRsyJvF/view?usp=drivesdk")</f>
        <v>https://drive.google.com/file/d/1BYYbKhQcAneOuM4y9GyTI1sHIvRsyJvF/view?usp=drivesdk</v>
      </c>
      <c r="D8662" s="12"/>
      <c r="E8662" s="11"/>
      <c r="F8662" s="12"/>
    </row>
    <row r="8663" ht="14.25" customHeight="1">
      <c r="A8663" s="4" t="str">
        <f>IFERROR(__xludf.DUMMYFUNCTION("""COMPUTED_VALUE"""),"29. Ginger, 30. Pepper, 33. Zee, 27. Angel")</f>
        <v>29. Ginger, 30. Pepper, 33. Zee, 27. Angel</v>
      </c>
      <c r="B8663" s="4" t="str">
        <f>IFERROR(__xludf.DUMMYFUNCTION("""COMPUTED_VALUE"""),"29, 30, 33, 27")</f>
        <v>29, 30, 33, 27</v>
      </c>
      <c r="C8663" s="5" t="str">
        <f>IFERROR(__xludf.DUMMYFUNCTION("""COMPUTED_VALUE"""),"https://drive.google.com/file/d/1Jopx2OC6I_2iRicWkejM0fCfoA8gVcFs/view?usp=drivesdk")</f>
        <v>https://drive.google.com/file/d/1Jopx2OC6I_2iRicWkejM0fCfoA8gVcFs/view?usp=drivesdk</v>
      </c>
      <c r="D8663" s="12"/>
      <c r="E8663" s="11"/>
      <c r="F8663" s="12"/>
    </row>
    <row r="8664" ht="14.25" customHeight="1">
      <c r="A8664" s="4" t="str">
        <f>IFERROR(__xludf.DUMMYFUNCTION("""COMPUTED_VALUE"""),"29. Ginger")</f>
        <v>29. Ginger</v>
      </c>
      <c r="B8664" s="4" t="str">
        <f>IFERROR(__xludf.DUMMYFUNCTION("""COMPUTED_VALUE"""),"29")</f>
        <v>29</v>
      </c>
      <c r="C8664" s="5" t="str">
        <f>IFERROR(__xludf.DUMMYFUNCTION("""COMPUTED_VALUE"""),"https://drive.google.com/file/d/1FCxzK1tjtjIuBL1zQWTgmJUeE7nzOpHO/view?usp=drivesdk")</f>
        <v>https://drive.google.com/file/d/1FCxzK1tjtjIuBL1zQWTgmJUeE7nzOpHO/view?usp=drivesdk</v>
      </c>
      <c r="D8664" s="12"/>
      <c r="E8664" s="11"/>
      <c r="F8664" s="12"/>
    </row>
    <row r="8665" ht="14.25" customHeight="1">
      <c r="A8665" s="4" t="str">
        <f>IFERROR(__xludf.DUMMYFUNCTION("""COMPUTED_VALUE"""),"33. Zee, 30. Pepper")</f>
        <v>33. Zee, 30. Pepper</v>
      </c>
      <c r="B8665" s="4" t="str">
        <f>IFERROR(__xludf.DUMMYFUNCTION("""COMPUTED_VALUE"""),"33, 30")</f>
        <v>33, 30</v>
      </c>
      <c r="C8665" s="5" t="str">
        <f>IFERROR(__xludf.DUMMYFUNCTION("""COMPUTED_VALUE"""),"https://drive.google.com/file/d/1OjP9JTqJDv_R9yWl_amFImEjlfwUyrKD/view?usp=drivesdk")</f>
        <v>https://drive.google.com/file/d/1OjP9JTqJDv_R9yWl_amFImEjlfwUyrKD/view?usp=drivesdk</v>
      </c>
      <c r="D8665" s="12"/>
      <c r="E8665" s="11"/>
      <c r="F8665" s="12"/>
    </row>
    <row r="8666" ht="14.25" customHeight="1">
      <c r="A8666" s="4" t="str">
        <f>IFERROR(__xludf.DUMMYFUNCTION("""COMPUTED_VALUE"""),"1. Microwave")</f>
        <v>1. Microwave</v>
      </c>
      <c r="B8666" s="4" t="str">
        <f>IFERROR(__xludf.DUMMYFUNCTION("""COMPUTED_VALUE"""),"1")</f>
        <v>1</v>
      </c>
      <c r="C8666" s="5" t="str">
        <f>IFERROR(__xludf.DUMMYFUNCTION("""COMPUTED_VALUE"""),"https://drive.google.com/file/d/1DFqh7JgCZ_rPxdcvYxdCDGMxxT245NQx/view?usp=drivesdk")</f>
        <v>https://drive.google.com/file/d/1DFqh7JgCZ_rPxdcvYxdCDGMxxT245NQx/view?usp=drivesdk</v>
      </c>
      <c r="D8666" s="12"/>
      <c r="E8666" s="11"/>
      <c r="F8666" s="12"/>
    </row>
    <row r="8667" ht="14.25" customHeight="1">
      <c r="A8667" s="4" t="str">
        <f>IFERROR(__xludf.DUMMYFUNCTION("""COMPUTED_VALUE"""),"1. Microwave")</f>
        <v>1. Microwave</v>
      </c>
      <c r="B8667" s="4" t="str">
        <f>IFERROR(__xludf.DUMMYFUNCTION("""COMPUTED_VALUE"""),"1")</f>
        <v>1</v>
      </c>
      <c r="C8667" s="5" t="str">
        <f>IFERROR(__xludf.DUMMYFUNCTION("""COMPUTED_VALUE"""),"https://drive.google.com/file/d/11KDsTZn_xAhiP4tdx_WCFu-YTXqKF5Ez/view?usp=drivesdk")</f>
        <v>https://drive.google.com/file/d/11KDsTZn_xAhiP4tdx_WCFu-YTXqKF5Ez/view?usp=drivesdk</v>
      </c>
      <c r="D8667" s="12"/>
      <c r="E8667" s="11"/>
      <c r="F8667" s="12"/>
    </row>
    <row r="8668" ht="14.25" customHeight="1">
      <c r="A8668" s="4" t="str">
        <f>IFERROR(__xludf.DUMMYFUNCTION("""COMPUTED_VALUE"""),"105. Chilton, 100. Coatl, 65. Tepi")</f>
        <v>105. Chilton, 100. Coatl, 65. Tepi</v>
      </c>
      <c r="B8668" s="4" t="str">
        <f>IFERROR(__xludf.DUMMYFUNCTION("""COMPUTED_VALUE"""),"105, 100, 65")</f>
        <v>105, 100, 65</v>
      </c>
      <c r="C8668" s="5" t="str">
        <f>IFERROR(__xludf.DUMMYFUNCTION("""COMPUTED_VALUE"""),"https://drive.google.com/file/d/1v1X224SJ1FcJ58z6mN9Y--PFtvn_RzK5/view?usp=drivesdk")</f>
        <v>https://drive.google.com/file/d/1v1X224SJ1FcJ58z6mN9Y--PFtvn_RzK5/view?usp=drivesdk</v>
      </c>
      <c r="D8668" s="12"/>
      <c r="E8668" s="11"/>
      <c r="F8668" s="12"/>
    </row>
    <row r="8669" ht="14.25" customHeight="1">
      <c r="A8669" s="4" t="str">
        <f>IFERROR(__xludf.DUMMYFUNCTION("""COMPUTED_VALUE"""),"4. Eggs")</f>
        <v>4. Eggs</v>
      </c>
      <c r="B8669" s="4" t="str">
        <f>IFERROR(__xludf.DUMMYFUNCTION("""COMPUTED_VALUE"""),"4")</f>
        <v>4</v>
      </c>
      <c r="C8669" s="5" t="str">
        <f>IFERROR(__xludf.DUMMYFUNCTION("""COMPUTED_VALUE"""),"https://drive.google.com/file/d/1WbMQrkLnDEa-VgUtgnp-VHEmuTvgJtau/view?usp=drivesdk")</f>
        <v>https://drive.google.com/file/d/1WbMQrkLnDEa-VgUtgnp-VHEmuTvgJtau/view?usp=drivesdk</v>
      </c>
      <c r="D8669" s="12"/>
      <c r="E8669" s="11"/>
      <c r="F8669" s="12"/>
    </row>
    <row r="8670" ht="14.25" customHeight="1">
      <c r="A8670" s="4" t="str">
        <f>IFERROR(__xludf.DUMMYFUNCTION("""COMPUTED_VALUE"""),"116. Itzel")</f>
        <v>116. Itzel</v>
      </c>
      <c r="B8670" s="4" t="str">
        <f>IFERROR(__xludf.DUMMYFUNCTION("""COMPUTED_VALUE"""),"116")</f>
        <v>116</v>
      </c>
      <c r="C8670" s="5" t="str">
        <f>IFERROR(__xludf.DUMMYFUNCTION("""COMPUTED_VALUE"""),"https://drive.google.com/file/d/1ZqGampebMiD_hnRJRYWaySg-PR3Un9yT/view?usp=drivesdk")</f>
        <v>https://drive.google.com/file/d/1ZqGampebMiD_hnRJRYWaySg-PR3Un9yT/view?usp=drivesdk</v>
      </c>
      <c r="D8670" s="12"/>
      <c r="E8670" s="11"/>
      <c r="F8670" s="12"/>
    </row>
    <row r="8671" ht="14.25" customHeight="1">
      <c r="A8671" s="4" t="str">
        <f>IFERROR(__xludf.DUMMYFUNCTION("""COMPUTED_VALUE"""),"106. Ami")</f>
        <v>106. Ami</v>
      </c>
      <c r="B8671" s="4" t="str">
        <f>IFERROR(__xludf.DUMMYFUNCTION("""COMPUTED_VALUE"""),"106")</f>
        <v>106</v>
      </c>
      <c r="C8671" s="5" t="str">
        <f>IFERROR(__xludf.DUMMYFUNCTION("""COMPUTED_VALUE"""),"https://drive.google.com/file/d/1fVLiG26M47YzdkF4M0CYlu6XoLS1VJAn/view?usp=drivesdk")</f>
        <v>https://drive.google.com/file/d/1fVLiG26M47YzdkF4M0CYlu6XoLS1VJAn/view?usp=drivesdk</v>
      </c>
      <c r="D8671" s="12"/>
      <c r="E8671" s="11"/>
      <c r="F8671" s="12"/>
    </row>
    <row r="8672" ht="14.25" customHeight="1">
      <c r="A8672" s="4" t="str">
        <f>IFERROR(__xludf.DUMMYFUNCTION("""COMPUTED_VALUE"""),"116. Itzel")</f>
        <v>116. Itzel</v>
      </c>
      <c r="B8672" s="4" t="str">
        <f>IFERROR(__xludf.DUMMYFUNCTION("""COMPUTED_VALUE"""),"116")</f>
        <v>116</v>
      </c>
      <c r="C8672" s="5" t="str">
        <f>IFERROR(__xludf.DUMMYFUNCTION("""COMPUTED_VALUE"""),"https://drive.google.com/file/d/1unWGN4L8LvTdzcpJH5XdB7PgwdwozuDw/view?usp=drivesdk")</f>
        <v>https://drive.google.com/file/d/1unWGN4L8LvTdzcpJH5XdB7PgwdwozuDw/view?usp=drivesdk</v>
      </c>
      <c r="D8672" s="12"/>
      <c r="E8672" s="11"/>
      <c r="F8672" s="12"/>
    </row>
    <row r="8673" ht="14.25" customHeight="1">
      <c r="A8673" s="4" t="str">
        <f>IFERROR(__xludf.DUMMYFUNCTION("""COMPUTED_VALUE"""),"116. Itzel")</f>
        <v>116. Itzel</v>
      </c>
      <c r="B8673" s="4" t="str">
        <f>IFERROR(__xludf.DUMMYFUNCTION("""COMPUTED_VALUE"""),"116")</f>
        <v>116</v>
      </c>
      <c r="C8673" s="5" t="str">
        <f>IFERROR(__xludf.DUMMYFUNCTION("""COMPUTED_VALUE"""),"https://drive.google.com/file/d/1GFHMhjhd4lNqVISMZWQaGLMwSruv2FOh/view?usp=drivesdk")</f>
        <v>https://drive.google.com/file/d/1GFHMhjhd4lNqVISMZWQaGLMwSruv2FOh/view?usp=drivesdk</v>
      </c>
      <c r="D8673" s="12"/>
      <c r="E8673" s="11"/>
      <c r="F8673" s="12"/>
    </row>
    <row r="8674" ht="14.25" customHeight="1">
      <c r="A8674" s="4" t="str">
        <f>IFERROR(__xludf.DUMMYFUNCTION("""COMPUTED_VALUE"""),"116. Itzel")</f>
        <v>116. Itzel</v>
      </c>
      <c r="B8674" s="4" t="str">
        <f>IFERROR(__xludf.DUMMYFUNCTION("""COMPUTED_VALUE"""),"116")</f>
        <v>116</v>
      </c>
      <c r="C8674" s="5" t="str">
        <f>IFERROR(__xludf.DUMMYFUNCTION("""COMPUTED_VALUE"""),"https://drive.google.com/file/d/1PGw7bComJ7GWiGbTaWT508t2KpCYWOFD/view?usp=drivesdk")</f>
        <v>https://drive.google.com/file/d/1PGw7bComJ7GWiGbTaWT508t2KpCYWOFD/view?usp=drivesdk</v>
      </c>
      <c r="D8674" s="12"/>
      <c r="E8674" s="11"/>
      <c r="F8674" s="12"/>
    </row>
    <row r="8675" ht="14.25" customHeight="1">
      <c r="A8675" s="4" t="str">
        <f>IFERROR(__xludf.DUMMYFUNCTION("""COMPUTED_VALUE"""),"116. Itzel")</f>
        <v>116. Itzel</v>
      </c>
      <c r="B8675" s="4" t="str">
        <f>IFERROR(__xludf.DUMMYFUNCTION("""COMPUTED_VALUE"""),"116")</f>
        <v>116</v>
      </c>
      <c r="C8675" s="5" t="str">
        <f>IFERROR(__xludf.DUMMYFUNCTION("""COMPUTED_VALUE"""),"https://drive.google.com/file/d/1OCC8Ny0ixRDnNcuFlE67gdnCtJLD6uhA/view?usp=drivesdk")</f>
        <v>https://drive.google.com/file/d/1OCC8Ny0ixRDnNcuFlE67gdnCtJLD6uhA/view?usp=drivesdk</v>
      </c>
      <c r="D8675" s="12"/>
      <c r="E8675" s="11"/>
      <c r="F8675" s="12"/>
    </row>
    <row r="8676" ht="14.25" customHeight="1">
      <c r="A8676" s="4" t="str">
        <f>IFERROR(__xludf.DUMMYFUNCTION("""COMPUTED_VALUE"""),"111. Mayatl")</f>
        <v>111. Mayatl</v>
      </c>
      <c r="B8676" s="4" t="str">
        <f>IFERROR(__xludf.DUMMYFUNCTION("""COMPUTED_VALUE"""),"111")</f>
        <v>111</v>
      </c>
      <c r="C8676" s="5" t="str">
        <f>IFERROR(__xludf.DUMMYFUNCTION("""COMPUTED_VALUE"""),"https://drive.google.com/file/d/1FwU4eHf2NSW7m5ruNfiXBEgmvUXWt96Q/view?usp=drivesdk")</f>
        <v>https://drive.google.com/file/d/1FwU4eHf2NSW7m5ruNfiXBEgmvUXWt96Q/view?usp=drivesdk</v>
      </c>
      <c r="D8676" s="12"/>
      <c r="E8676" s="11"/>
      <c r="F8676" s="12"/>
    </row>
    <row r="8677" ht="14.25" customHeight="1">
      <c r="A8677" s="4" t="str">
        <f>IFERROR(__xludf.DUMMYFUNCTION("""COMPUTED_VALUE"""),"116. Itzel")</f>
        <v>116. Itzel</v>
      </c>
      <c r="B8677" s="4" t="str">
        <f>IFERROR(__xludf.DUMMYFUNCTION("""COMPUTED_VALUE"""),"116")</f>
        <v>116</v>
      </c>
      <c r="C8677" s="5" t="str">
        <f>IFERROR(__xludf.DUMMYFUNCTION("""COMPUTED_VALUE"""),"https://drive.google.com/file/d/1h8OuXUY5_fL9uesZk3nj7hE8beMk_vf7/view?usp=drivesdk")</f>
        <v>https://drive.google.com/file/d/1h8OuXUY5_fL9uesZk3nj7hE8beMk_vf7/view?usp=drivesdk</v>
      </c>
      <c r="D8677" s="12"/>
      <c r="E8677" s="11"/>
      <c r="F8677" s="12"/>
    </row>
    <row r="8678" ht="14.25" customHeight="1">
      <c r="A8678" s="4" t="str">
        <f>IFERROR(__xludf.DUMMYFUNCTION("""COMPUTED_VALUE"""),"116. Itzel")</f>
        <v>116. Itzel</v>
      </c>
      <c r="B8678" s="4" t="str">
        <f>IFERROR(__xludf.DUMMYFUNCTION("""COMPUTED_VALUE"""),"116")</f>
        <v>116</v>
      </c>
      <c r="C8678" s="5" t="str">
        <f>IFERROR(__xludf.DUMMYFUNCTION("""COMPUTED_VALUE"""),"https://drive.google.com/file/d/1eokprtGnzXFwvDF1ZSAZATdKBIvk3LFP/view?usp=drivesdk")</f>
        <v>https://drive.google.com/file/d/1eokprtGnzXFwvDF1ZSAZATdKBIvk3LFP/view?usp=drivesdk</v>
      </c>
      <c r="D8678" s="12"/>
      <c r="E8678" s="11"/>
      <c r="F8678" s="12"/>
    </row>
    <row r="8679" ht="14.25" customHeight="1">
      <c r="A8679" s="4" t="str">
        <f>IFERROR(__xludf.DUMMYFUNCTION("""COMPUTED_VALUE"""),"116. Itzel")</f>
        <v>116. Itzel</v>
      </c>
      <c r="B8679" s="4" t="str">
        <f>IFERROR(__xludf.DUMMYFUNCTION("""COMPUTED_VALUE"""),"116")</f>
        <v>116</v>
      </c>
      <c r="C8679" s="5" t="str">
        <f>IFERROR(__xludf.DUMMYFUNCTION("""COMPUTED_VALUE"""),"https://drive.google.com/file/d/10I_omqvwEMlKhdlrQgLGlk7XiwBQQFe3/view?usp=drivesdk")</f>
        <v>https://drive.google.com/file/d/10I_omqvwEMlKhdlrQgLGlk7XiwBQQFe3/view?usp=drivesdk</v>
      </c>
      <c r="D8679" s="12"/>
      <c r="E8679" s="11"/>
      <c r="F8679" s="12"/>
    </row>
    <row r="8680" ht="14.25" customHeight="1">
      <c r="A8680" s="4" t="str">
        <f>IFERROR(__xludf.DUMMYFUNCTION("""COMPUTED_VALUE"""),"1. Microwave")</f>
        <v>1. Microwave</v>
      </c>
      <c r="B8680" s="4" t="str">
        <f>IFERROR(__xludf.DUMMYFUNCTION("""COMPUTED_VALUE"""),"1")</f>
        <v>1</v>
      </c>
      <c r="C8680" s="5" t="str">
        <f>IFERROR(__xludf.DUMMYFUNCTION("""COMPUTED_VALUE"""),"https://drive.google.com/file/d/18o2owmaMrK5-b9f2XTiK6hFKnjn0Fd9W/view?usp=drivesdk")</f>
        <v>https://drive.google.com/file/d/18o2owmaMrK5-b9f2XTiK6hFKnjn0Fd9W/view?usp=drivesdk</v>
      </c>
      <c r="D8680" s="12"/>
      <c r="E8680" s="11"/>
      <c r="F8680" s="12"/>
    </row>
    <row r="8681" ht="14.25" customHeight="1">
      <c r="A8681" s="4" t="str">
        <f>IFERROR(__xludf.DUMMYFUNCTION("""COMPUTED_VALUE"""),"1. Microwave")</f>
        <v>1. Microwave</v>
      </c>
      <c r="B8681" s="4" t="str">
        <f>IFERROR(__xludf.DUMMYFUNCTION("""COMPUTED_VALUE"""),"1")</f>
        <v>1</v>
      </c>
      <c r="C8681" s="5" t="str">
        <f>IFERROR(__xludf.DUMMYFUNCTION("""COMPUTED_VALUE"""),"https://drive.google.com/file/d/1Y-Nl1dGbowyTT3ZdJRUupRO5DHfbM_c9/view?usp=drivesdk")</f>
        <v>https://drive.google.com/file/d/1Y-Nl1dGbowyTT3ZdJRUupRO5DHfbM_c9/view?usp=drivesdk</v>
      </c>
      <c r="D8681" s="12"/>
      <c r="E8681" s="11"/>
      <c r="F8681" s="12"/>
    </row>
    <row r="8682" ht="14.25" customHeight="1">
      <c r="A8682" s="4" t="str">
        <f>IFERROR(__xludf.DUMMYFUNCTION("""COMPUTED_VALUE"""),"65. Tepi")</f>
        <v>65. Tepi</v>
      </c>
      <c r="B8682" s="4" t="str">
        <f>IFERROR(__xludf.DUMMYFUNCTION("""COMPUTED_VALUE"""),"65")</f>
        <v>65</v>
      </c>
      <c r="C8682" s="5" t="str">
        <f>IFERROR(__xludf.DUMMYFUNCTION("""COMPUTED_VALUE"""),"https://drive.google.com/file/d/10PpyoOuHHXj02A4CFbd_Mptk_YgZDXTC/view?usp=drivesdk")</f>
        <v>https://drive.google.com/file/d/10PpyoOuHHXj02A4CFbd_Mptk_YgZDXTC/view?usp=drivesdk</v>
      </c>
      <c r="D8682" s="12"/>
      <c r="E8682" s="11"/>
      <c r="F8682" s="12"/>
    </row>
    <row r="8683" ht="14.25" customHeight="1">
      <c r="A8683" s="4" t="str">
        <f>IFERROR(__xludf.DUMMYFUNCTION("""COMPUTED_VALUE"""),"105. Chilton, 100. Coatl")</f>
        <v>105. Chilton, 100. Coatl</v>
      </c>
      <c r="B8683" s="4" t="str">
        <f>IFERROR(__xludf.DUMMYFUNCTION("""COMPUTED_VALUE"""),"105, 100")</f>
        <v>105, 100</v>
      </c>
      <c r="C8683" s="5" t="str">
        <f>IFERROR(__xludf.DUMMYFUNCTION("""COMPUTED_VALUE"""),"https://drive.google.com/file/d/1dEaZg_dR-LcjqY9D5yiY4z7dPnwb-i-4/view?usp=drivesdk")</f>
        <v>https://drive.google.com/file/d/1dEaZg_dR-LcjqY9D5yiY4z7dPnwb-i-4/view?usp=drivesdk</v>
      </c>
      <c r="D8683" s="12"/>
      <c r="E8683" s="11"/>
      <c r="F8683" s="12"/>
    </row>
    <row r="8684" ht="14.25" customHeight="1">
      <c r="A8684" s="4" t="str">
        <f>IFERROR(__xludf.DUMMYFUNCTION("""COMPUTED_VALUE"""),"116. Itzel")</f>
        <v>116. Itzel</v>
      </c>
      <c r="B8684" s="4" t="str">
        <f>IFERROR(__xludf.DUMMYFUNCTION("""COMPUTED_VALUE"""),"116")</f>
        <v>116</v>
      </c>
      <c r="C8684" s="5" t="str">
        <f>IFERROR(__xludf.DUMMYFUNCTION("""COMPUTED_VALUE"""),"https://drive.google.com/file/d/1PCnkYMKRLvEKNHd0uZHn4ekoWmPVhEZc/view?usp=drivesdk")</f>
        <v>https://drive.google.com/file/d/1PCnkYMKRLvEKNHd0uZHn4ekoWmPVhEZc/view?usp=drivesdk</v>
      </c>
      <c r="D8684" s="12"/>
      <c r="E8684" s="11"/>
      <c r="F8684" s="12"/>
    </row>
    <row r="8685" ht="14.25" customHeight="1">
      <c r="A8685" s="4" t="str">
        <f>IFERROR(__xludf.DUMMYFUNCTION("""COMPUTED_VALUE"""),"94. Itztli")</f>
        <v>94. Itztli</v>
      </c>
      <c r="B8685" s="4" t="str">
        <f>IFERROR(__xludf.DUMMYFUNCTION("""COMPUTED_VALUE"""),"94")</f>
        <v>94</v>
      </c>
      <c r="C8685" s="5" t="str">
        <f>IFERROR(__xludf.DUMMYFUNCTION("""COMPUTED_VALUE"""),"https://drive.google.com/file/d/1LpRKcWg_3fb_b6y2yrVx6r-djEjRTUri/view?usp=drivesdk")</f>
        <v>https://drive.google.com/file/d/1LpRKcWg_3fb_b6y2yrVx6r-djEjRTUri/view?usp=drivesdk</v>
      </c>
      <c r="D8685" s="12"/>
      <c r="E8685" s="11"/>
      <c r="F8685" s="12"/>
    </row>
    <row r="8686" ht="14.25" customHeight="1">
      <c r="A8686" s="4" t="str">
        <f>IFERROR(__xludf.DUMMYFUNCTION("""COMPUTED_VALUE"""),"109. Tlalli")</f>
        <v>109. Tlalli</v>
      </c>
      <c r="B8686" s="4" t="str">
        <f>IFERROR(__xludf.DUMMYFUNCTION("""COMPUTED_VALUE"""),"109")</f>
        <v>109</v>
      </c>
      <c r="C8686" s="5" t="str">
        <f>IFERROR(__xludf.DUMMYFUNCTION("""COMPUTED_VALUE"""),"https://drive.google.com/file/d/1DPB131UZCpXt2OUEp8ynSlGkeI8XNnZ9/view?usp=drivesdk")</f>
        <v>https://drive.google.com/file/d/1DPB131UZCpXt2OUEp8ynSlGkeI8XNnZ9/view?usp=drivesdk</v>
      </c>
      <c r="D8686" s="12"/>
      <c r="E8686" s="11"/>
      <c r="F8686" s="12"/>
    </row>
    <row r="8687" ht="14.25" customHeight="1">
      <c r="A8687" s="4" t="str">
        <f>IFERROR(__xludf.DUMMYFUNCTION("""COMPUTED_VALUE"""),"1. Microwave")</f>
        <v>1. Microwave</v>
      </c>
      <c r="B8687" s="4" t="str">
        <f>IFERROR(__xludf.DUMMYFUNCTION("""COMPUTED_VALUE"""),"1")</f>
        <v>1</v>
      </c>
      <c r="C8687" s="5" t="str">
        <f>IFERROR(__xludf.DUMMYFUNCTION("""COMPUTED_VALUE"""),"https://drive.google.com/file/d/1BDavmKGVyO8siivCLZ87uZRPsSZjcoML/view?usp=drivesdk")</f>
        <v>https://drive.google.com/file/d/1BDavmKGVyO8siivCLZ87uZRPsSZjcoML/view?usp=drivesdk</v>
      </c>
      <c r="D8687" s="12"/>
      <c r="E8687" s="11"/>
      <c r="F8687" s="12"/>
    </row>
    <row r="8688" ht="14.25" customHeight="1">
      <c r="A8688" s="4" t="str">
        <f>IFERROR(__xludf.DUMMYFUNCTION("""COMPUTED_VALUE"""),"1. Microwave")</f>
        <v>1. Microwave</v>
      </c>
      <c r="B8688" s="4" t="str">
        <f>IFERROR(__xludf.DUMMYFUNCTION("""COMPUTED_VALUE"""),"1")</f>
        <v>1</v>
      </c>
      <c r="C8688" s="5" t="str">
        <f>IFERROR(__xludf.DUMMYFUNCTION("""COMPUTED_VALUE"""),"https://drive.google.com/file/d/1QgIqHTJ--GjecqOniy0flaenE-Vt2oU9/view?usp=drivesdk")</f>
        <v>https://drive.google.com/file/d/1QgIqHTJ--GjecqOniy0flaenE-Vt2oU9/view?usp=drivesdk</v>
      </c>
      <c r="D8688" s="12"/>
      <c r="E8688" s="11"/>
      <c r="F8688" s="12"/>
    </row>
    <row r="8689" ht="14.25" customHeight="1">
      <c r="A8689" s="4" t="str">
        <f>IFERROR(__xludf.DUMMYFUNCTION("""COMPUTED_VALUE"""),"1. Microwave")</f>
        <v>1. Microwave</v>
      </c>
      <c r="B8689" s="4" t="str">
        <f>IFERROR(__xludf.DUMMYFUNCTION("""COMPUTED_VALUE"""),"1")</f>
        <v>1</v>
      </c>
      <c r="C8689" s="5" t="str">
        <f>IFERROR(__xludf.DUMMYFUNCTION("""COMPUTED_VALUE"""),"https://drive.google.com/file/d/1lyi3UeoZQJzCtR_dBERD4mmUNZMfbc8s/view?usp=drivesdk")</f>
        <v>https://drive.google.com/file/d/1lyi3UeoZQJzCtR_dBERD4mmUNZMfbc8s/view?usp=drivesdk</v>
      </c>
      <c r="D8689" s="12"/>
      <c r="E8689" s="11"/>
      <c r="F8689" s="12"/>
    </row>
    <row r="8690" ht="14.25" customHeight="1">
      <c r="A8690" s="4" t="str">
        <f>IFERROR(__xludf.DUMMYFUNCTION("""COMPUTED_VALUE"""),"1. Microwave")</f>
        <v>1. Microwave</v>
      </c>
      <c r="B8690" s="4" t="str">
        <f>IFERROR(__xludf.DUMMYFUNCTION("""COMPUTED_VALUE"""),"1")</f>
        <v>1</v>
      </c>
      <c r="C8690" s="5" t="str">
        <f>IFERROR(__xludf.DUMMYFUNCTION("""COMPUTED_VALUE"""),"https://drive.google.com/file/d/1su-kU94p3hXW6P90Fhk0x1p0LDZp-0LJ/view?usp=drivesdk")</f>
        <v>https://drive.google.com/file/d/1su-kU94p3hXW6P90Fhk0x1p0LDZp-0LJ/view?usp=drivesdk</v>
      </c>
      <c r="D8690" s="12"/>
      <c r="E8690" s="11"/>
      <c r="F8690" s="12"/>
    </row>
    <row r="8691" ht="14.25" customHeight="1">
      <c r="A8691" s="4" t="str">
        <f>IFERROR(__xludf.DUMMYFUNCTION("""COMPUTED_VALUE"""),"146. Monsieur Stanky")</f>
        <v>146. Monsieur Stanky</v>
      </c>
      <c r="B8691" s="4" t="str">
        <f>IFERROR(__xludf.DUMMYFUNCTION("""COMPUTED_VALUE"""),"146")</f>
        <v>146</v>
      </c>
      <c r="C8691" s="5" t="str">
        <f>IFERROR(__xludf.DUMMYFUNCTION("""COMPUTED_VALUE"""),"https://drive.google.com/file/d/1dnbU1cHrK4pPNKlxM6YOQiJUJCuyBbwN/view?usp=drivesdk")</f>
        <v>https://drive.google.com/file/d/1dnbU1cHrK4pPNKlxM6YOQiJUJCuyBbwN/view?usp=drivesdk</v>
      </c>
      <c r="D8691" s="12"/>
      <c r="E8691" s="11"/>
      <c r="F8691" s="12"/>
    </row>
    <row r="8692" ht="14.25" customHeight="1">
      <c r="A8692" s="4" t="str">
        <f>IFERROR(__xludf.DUMMYFUNCTION("""COMPUTED_VALUE"""),"2. Twix")</f>
        <v>2. Twix</v>
      </c>
      <c r="B8692" s="4" t="str">
        <f>IFERROR(__xludf.DUMMYFUNCTION("""COMPUTED_VALUE"""),"2")</f>
        <v>2</v>
      </c>
      <c r="C8692" s="5" t="str">
        <f>IFERROR(__xludf.DUMMYFUNCTION("""COMPUTED_VALUE"""),"https://drive.google.com/file/d/1o3PMGjE7J2WM2bN8JRdIykM9pxG_Tfee/view?usp=drivesdk")</f>
        <v>https://drive.google.com/file/d/1o3PMGjE7J2WM2bN8JRdIykM9pxG_Tfee/view?usp=drivesdk</v>
      </c>
      <c r="D8692" s="12"/>
      <c r="E8692" s="11"/>
      <c r="F8692" s="12"/>
    </row>
    <row r="8693" ht="14.25" customHeight="1">
      <c r="A8693" s="4" t="str">
        <f>IFERROR(__xludf.DUMMYFUNCTION("""COMPUTED_VALUE"""),"2. Twix")</f>
        <v>2. Twix</v>
      </c>
      <c r="B8693" s="4" t="str">
        <f>IFERROR(__xludf.DUMMYFUNCTION("""COMPUTED_VALUE"""),"2")</f>
        <v>2</v>
      </c>
      <c r="C8693" s="5" t="str">
        <f>IFERROR(__xludf.DUMMYFUNCTION("""COMPUTED_VALUE"""),"https://drive.google.com/file/d/1PoARSw6UTdBMZctXEGJ1BGEWeDaq-Shd/view?usp=drivesdk")</f>
        <v>https://drive.google.com/file/d/1PoARSw6UTdBMZctXEGJ1BGEWeDaq-Shd/view?usp=drivesdk</v>
      </c>
      <c r="D8693" s="12"/>
      <c r="E8693" s="11"/>
      <c r="F8693" s="12"/>
    </row>
    <row r="8694" ht="14.25" customHeight="1">
      <c r="A8694" s="4" t="str">
        <f>IFERROR(__xludf.DUMMYFUNCTION("""COMPUTED_VALUE"""),"2. Twix")</f>
        <v>2. Twix</v>
      </c>
      <c r="B8694" s="4" t="str">
        <f>IFERROR(__xludf.DUMMYFUNCTION("""COMPUTED_VALUE"""),"2")</f>
        <v>2</v>
      </c>
      <c r="C8694" s="5" t="str">
        <f>IFERROR(__xludf.DUMMYFUNCTION("""COMPUTED_VALUE"""),"https://drive.google.com/file/d/1RVbvJdg2zlPs2k_RquiAFkLq63W_Xeya/view?usp=drivesdk")</f>
        <v>https://drive.google.com/file/d/1RVbvJdg2zlPs2k_RquiAFkLq63W_Xeya/view?usp=drivesdk</v>
      </c>
      <c r="D8694" s="12"/>
      <c r="E8694" s="11"/>
      <c r="F8694" s="12"/>
    </row>
    <row r="8695" ht="14.25" customHeight="1">
      <c r="A8695" s="4" t="str">
        <f>IFERROR(__xludf.DUMMYFUNCTION("""COMPUTED_VALUE"""),"2. Twix")</f>
        <v>2. Twix</v>
      </c>
      <c r="B8695" s="4" t="str">
        <f>IFERROR(__xludf.DUMMYFUNCTION("""COMPUTED_VALUE"""),"2")</f>
        <v>2</v>
      </c>
      <c r="C8695" s="5" t="str">
        <f>IFERROR(__xludf.DUMMYFUNCTION("""COMPUTED_VALUE"""),"https://drive.google.com/file/d/1FJVqMwtPm7TqMxQFNPCyrq8_vL7ZSy2x/view?usp=drivesdk")</f>
        <v>https://drive.google.com/file/d/1FJVqMwtPm7TqMxQFNPCyrq8_vL7ZSy2x/view?usp=drivesdk</v>
      </c>
      <c r="D8695" s="12"/>
      <c r="E8695" s="11"/>
      <c r="F8695" s="12"/>
    </row>
    <row r="8696" ht="14.25" customHeight="1">
      <c r="A8696" s="4" t="str">
        <f>IFERROR(__xludf.DUMMYFUNCTION("""COMPUTED_VALUE"""),"2. Twix")</f>
        <v>2. Twix</v>
      </c>
      <c r="B8696" s="4" t="str">
        <f>IFERROR(__xludf.DUMMYFUNCTION("""COMPUTED_VALUE"""),"2")</f>
        <v>2</v>
      </c>
      <c r="C8696" s="5" t="str">
        <f>IFERROR(__xludf.DUMMYFUNCTION("""COMPUTED_VALUE"""),"https://drive.google.com/file/d/1-ScVwdoD5rA9XiT7mbcmDvX6jma99MH4/view?usp=drivesdk")</f>
        <v>https://drive.google.com/file/d/1-ScVwdoD5rA9XiT7mbcmDvX6jma99MH4/view?usp=drivesdk</v>
      </c>
      <c r="D8696" s="12"/>
      <c r="E8696" s="11"/>
      <c r="F8696" s="12"/>
    </row>
    <row r="8697" ht="14.25" customHeight="1">
      <c r="A8697" s="4" t="str">
        <f>IFERROR(__xludf.DUMMYFUNCTION("""COMPUTED_VALUE"""),"2. Twix")</f>
        <v>2. Twix</v>
      </c>
      <c r="B8697" s="4" t="str">
        <f>IFERROR(__xludf.DUMMYFUNCTION("""COMPUTED_VALUE"""),"2")</f>
        <v>2</v>
      </c>
      <c r="C8697" s="5" t="str">
        <f>IFERROR(__xludf.DUMMYFUNCTION("""COMPUTED_VALUE"""),"https://drive.google.com/file/d/1rHFc0WOPfCKBQPdkWKT8E15QvbHcLxu0/view?usp=drivesdk")</f>
        <v>https://drive.google.com/file/d/1rHFc0WOPfCKBQPdkWKT8E15QvbHcLxu0/view?usp=drivesdk</v>
      </c>
      <c r="D8697" s="12"/>
      <c r="E8697" s="11"/>
      <c r="F8697" s="12"/>
    </row>
    <row r="8698" ht="14.25" customHeight="1">
      <c r="A8698" s="4" t="str">
        <f>IFERROR(__xludf.DUMMYFUNCTION("""COMPUTED_VALUE"""),"2. Twix")</f>
        <v>2. Twix</v>
      </c>
      <c r="B8698" s="4" t="str">
        <f>IFERROR(__xludf.DUMMYFUNCTION("""COMPUTED_VALUE"""),"2")</f>
        <v>2</v>
      </c>
      <c r="C8698" s="5" t="str">
        <f>IFERROR(__xludf.DUMMYFUNCTION("""COMPUTED_VALUE"""),"https://drive.google.com/file/d/1JZWpVrW0wyWWN9aSshVpG_LHkv4T-Nj0/view?usp=drivesdk")</f>
        <v>https://drive.google.com/file/d/1JZWpVrW0wyWWN9aSshVpG_LHkv4T-Nj0/view?usp=drivesdk</v>
      </c>
      <c r="D8698" s="12"/>
      <c r="E8698" s="11"/>
      <c r="F8698" s="12"/>
    </row>
    <row r="8699" ht="14.25" customHeight="1">
      <c r="A8699" s="4" t="str">
        <f>IFERROR(__xludf.DUMMYFUNCTION("""COMPUTED_VALUE"""),"95. Ariel")</f>
        <v>95. Ariel</v>
      </c>
      <c r="B8699" s="4" t="str">
        <f>IFERROR(__xludf.DUMMYFUNCTION("""COMPUTED_VALUE"""),"95")</f>
        <v>95</v>
      </c>
      <c r="C8699" s="5" t="str">
        <f>IFERROR(__xludf.DUMMYFUNCTION("""COMPUTED_VALUE"""),"https://drive.google.com/file/d/1W-3rXuRDdTYuYaakoUQOcXllOww2gS7q/view?usp=drivesdk")</f>
        <v>https://drive.google.com/file/d/1W-3rXuRDdTYuYaakoUQOcXllOww2gS7q/view?usp=drivesdk</v>
      </c>
      <c r="D8699" s="12"/>
      <c r="E8699" s="11"/>
      <c r="F8699" s="12"/>
    </row>
    <row r="8700" ht="14.25" customHeight="1">
      <c r="A8700" s="4" t="str">
        <f>IFERROR(__xludf.DUMMYFUNCTION("""COMPUTED_VALUE"""),"141. Kamahalan")</f>
        <v>141. Kamahalan</v>
      </c>
      <c r="B8700" s="4" t="str">
        <f>IFERROR(__xludf.DUMMYFUNCTION("""COMPUTED_VALUE"""),"141")</f>
        <v>141</v>
      </c>
      <c r="C8700" s="5" t="str">
        <f>IFERROR(__xludf.DUMMYFUNCTION("""COMPUTED_VALUE"""),"https://drive.google.com/file/d/1lf7jgSt1GMosqdtgFMfiCmzKlk7rwZjy/view?usp=drivesdk")</f>
        <v>https://drive.google.com/file/d/1lf7jgSt1GMosqdtgFMfiCmzKlk7rwZjy/view?usp=drivesdk</v>
      </c>
      <c r="D8700" s="12"/>
      <c r="E8700" s="11"/>
      <c r="F8700" s="12"/>
    </row>
    <row r="8701" ht="14.25" customHeight="1">
      <c r="A8701" s="4" t="str">
        <f>IFERROR(__xludf.DUMMYFUNCTION("""COMPUTED_VALUE"""),"27. Angel, 30. Pepper, 33. Zee, 29. Ginger")</f>
        <v>27. Angel, 30. Pepper, 33. Zee, 29. Ginger</v>
      </c>
      <c r="B8701" s="4" t="str">
        <f>IFERROR(__xludf.DUMMYFUNCTION("""COMPUTED_VALUE"""),"27, 30, 33, 29")</f>
        <v>27, 30, 33, 29</v>
      </c>
      <c r="C8701" s="5" t="str">
        <f>IFERROR(__xludf.DUMMYFUNCTION("""COMPUTED_VALUE"""),"https://drive.google.com/file/d/1S1HTL1AzNO_jbnbyy_4u8TBakE673oDo/view?usp=drivesdk")</f>
        <v>https://drive.google.com/file/d/1S1HTL1AzNO_jbnbyy_4u8TBakE673oDo/view?usp=drivesdk</v>
      </c>
      <c r="D8701" s="12"/>
      <c r="E8701" s="11"/>
      <c r="F8701" s="12"/>
    </row>
    <row r="8702" ht="14.25" customHeight="1">
      <c r="A8702" s="4" t="str">
        <f>IFERROR(__xludf.DUMMYFUNCTION("""COMPUTED_VALUE"""),"29. Ginger, 33. Zee, 30. Pepper")</f>
        <v>29. Ginger, 33. Zee, 30. Pepper</v>
      </c>
      <c r="B8702" s="4" t="str">
        <f>IFERROR(__xludf.DUMMYFUNCTION("""COMPUTED_VALUE"""),"29, 33, 30")</f>
        <v>29, 33, 30</v>
      </c>
      <c r="C8702" s="5" t="str">
        <f>IFERROR(__xludf.DUMMYFUNCTION("""COMPUTED_VALUE"""),"https://drive.google.com/file/d/1aSrkLaBpBAoH8Ra79Mks7f8S3dc4a4bG/view?usp=drivesdk")</f>
        <v>https://drive.google.com/file/d/1aSrkLaBpBAoH8Ra79Mks7f8S3dc4a4bG/view?usp=drivesdk</v>
      </c>
      <c r="D8702" s="12"/>
      <c r="E8702" s="11"/>
      <c r="F8702" s="12"/>
    </row>
    <row r="8703" ht="14.25" customHeight="1">
      <c r="A8703" s="4" t="str">
        <f>IFERROR(__xludf.DUMMYFUNCTION("""COMPUTED_VALUE"""),"29. Ginger, 33. Zee, 30. Pepper")</f>
        <v>29. Ginger, 33. Zee, 30. Pepper</v>
      </c>
      <c r="B8703" s="4" t="str">
        <f>IFERROR(__xludf.DUMMYFUNCTION("""COMPUTED_VALUE"""),"29, 33, 30")</f>
        <v>29, 33, 30</v>
      </c>
      <c r="C8703" s="5" t="str">
        <f>IFERROR(__xludf.DUMMYFUNCTION("""COMPUTED_VALUE"""),"https://drive.google.com/file/d/16-wzGUagjgfRD83ge0gdX6LG3gysaiPV/view?usp=drivesdk")</f>
        <v>https://drive.google.com/file/d/16-wzGUagjgfRD83ge0gdX6LG3gysaiPV/view?usp=drivesdk</v>
      </c>
      <c r="D8703" s="12"/>
      <c r="E8703" s="11"/>
      <c r="F8703" s="12"/>
    </row>
    <row r="8704" ht="14.25" customHeight="1">
      <c r="A8704" s="4" t="str">
        <f>IFERROR(__xludf.DUMMYFUNCTION("""COMPUTED_VALUE"""),"29. Ginger")</f>
        <v>29. Ginger</v>
      </c>
      <c r="B8704" s="4" t="str">
        <f>IFERROR(__xludf.DUMMYFUNCTION("""COMPUTED_VALUE"""),"29")</f>
        <v>29</v>
      </c>
      <c r="C8704" s="5" t="str">
        <f>IFERROR(__xludf.DUMMYFUNCTION("""COMPUTED_VALUE"""),"https://drive.google.com/file/d/1sHGCKqj2zi_-CyHK5pElzx24qGTXg6Ze/view?usp=drivesdk")</f>
        <v>https://drive.google.com/file/d/1sHGCKqj2zi_-CyHK5pElzx24qGTXg6Ze/view?usp=drivesdk</v>
      </c>
      <c r="D8704" s="12"/>
      <c r="E8704" s="11"/>
      <c r="F8704" s="12"/>
    </row>
    <row r="8705" ht="14.25" customHeight="1">
      <c r="A8705" s="4" t="str">
        <f>IFERROR(__xludf.DUMMYFUNCTION("""COMPUTED_VALUE"""),"149. Mango")</f>
        <v>149. Mango</v>
      </c>
      <c r="B8705" s="4" t="str">
        <f>IFERROR(__xludf.DUMMYFUNCTION("""COMPUTED_VALUE"""),"149")</f>
        <v>149</v>
      </c>
      <c r="C8705" s="5" t="str">
        <f>IFERROR(__xludf.DUMMYFUNCTION("""COMPUTED_VALUE"""),"https://drive.google.com/file/d/1NteMDXWGz1gfK3sJ70z2AezMIjxMuGIN/view?usp=drivesdk")</f>
        <v>https://drive.google.com/file/d/1NteMDXWGz1gfK3sJ70z2AezMIjxMuGIN/view?usp=drivesdk</v>
      </c>
      <c r="D8705" s="12"/>
      <c r="E8705" s="11"/>
      <c r="F8705" s="12"/>
    </row>
    <row r="8706" ht="14.25" customHeight="1">
      <c r="A8706" s="4" t="str">
        <f>IFERROR(__xludf.DUMMYFUNCTION("""COMPUTED_VALUE"""),"149. Mango")</f>
        <v>149. Mango</v>
      </c>
      <c r="B8706" s="4" t="str">
        <f>IFERROR(__xludf.DUMMYFUNCTION("""COMPUTED_VALUE"""),"149")</f>
        <v>149</v>
      </c>
      <c r="C8706" s="5" t="str">
        <f>IFERROR(__xludf.DUMMYFUNCTION("""COMPUTED_VALUE"""),"https://drive.google.com/file/d/1MV7xkxYpMht1kNsf8fcMgS3WhYNM_3pW/view?usp=drivesdk")</f>
        <v>https://drive.google.com/file/d/1MV7xkxYpMht1kNsf8fcMgS3WhYNM_3pW/view?usp=drivesdk</v>
      </c>
      <c r="D8706" s="12"/>
      <c r="E8706" s="11"/>
      <c r="F8706" s="12"/>
    </row>
    <row r="8707" ht="14.25" customHeight="1">
      <c r="A8707" s="4" t="str">
        <f>IFERROR(__xludf.DUMMYFUNCTION("""COMPUTED_VALUE"""),"149. Mango")</f>
        <v>149. Mango</v>
      </c>
      <c r="B8707" s="4" t="str">
        <f>IFERROR(__xludf.DUMMYFUNCTION("""COMPUTED_VALUE"""),"149")</f>
        <v>149</v>
      </c>
      <c r="C8707" s="5" t="str">
        <f>IFERROR(__xludf.DUMMYFUNCTION("""COMPUTED_VALUE"""),"https://drive.google.com/file/d/1G-RjDvYKD4qQ9n8zHe-z_eurSlLyiFhQ/view?usp=drivesdk")</f>
        <v>https://drive.google.com/file/d/1G-RjDvYKD4qQ9n8zHe-z_eurSlLyiFhQ/view?usp=drivesdk</v>
      </c>
      <c r="D8707" s="12"/>
      <c r="E8707" s="11"/>
      <c r="F8707" s="12"/>
    </row>
    <row r="8708" ht="14.25" customHeight="1">
      <c r="A8708" s="4" t="str">
        <f>IFERROR(__xludf.DUMMYFUNCTION("""COMPUTED_VALUE"""),"2. Twix")</f>
        <v>2. Twix</v>
      </c>
      <c r="B8708" s="4" t="str">
        <f>IFERROR(__xludf.DUMMYFUNCTION("""COMPUTED_VALUE"""),"2")</f>
        <v>2</v>
      </c>
      <c r="C8708" s="5" t="str">
        <f>IFERROR(__xludf.DUMMYFUNCTION("""COMPUTED_VALUE"""),"https://drive.google.com/file/d/1CkvoCrk1cU9wgXi2clJlgq4dXwIQlDVN/view?usp=drivesdk")</f>
        <v>https://drive.google.com/file/d/1CkvoCrk1cU9wgXi2clJlgq4dXwIQlDVN/view?usp=drivesdk</v>
      </c>
      <c r="D8708" s="12"/>
      <c r="E8708" s="11"/>
      <c r="F8708" s="12"/>
    </row>
    <row r="8709" ht="14.25" customHeight="1">
      <c r="A8709" s="4" t="str">
        <f>IFERROR(__xludf.DUMMYFUNCTION("""COMPUTED_VALUE"""),"2. Twix")</f>
        <v>2. Twix</v>
      </c>
      <c r="B8709" s="4" t="str">
        <f>IFERROR(__xludf.DUMMYFUNCTION("""COMPUTED_VALUE"""),"2")</f>
        <v>2</v>
      </c>
      <c r="C8709" s="5" t="str">
        <f>IFERROR(__xludf.DUMMYFUNCTION("""COMPUTED_VALUE"""),"https://drive.google.com/file/d/1N4K513-fB3zxWoEGombRzeRHvD3LXT1W/view?usp=drivesdk")</f>
        <v>https://drive.google.com/file/d/1N4K513-fB3zxWoEGombRzeRHvD3LXT1W/view?usp=drivesdk</v>
      </c>
      <c r="D8709" s="12"/>
      <c r="E8709" s="11"/>
      <c r="F8709" s="12"/>
    </row>
    <row r="8710" ht="14.25" customHeight="1">
      <c r="A8710" s="4" t="str">
        <f>IFERROR(__xludf.DUMMYFUNCTION("""COMPUTED_VALUE"""),"1. Microwave")</f>
        <v>1. Microwave</v>
      </c>
      <c r="B8710" s="4" t="str">
        <f>IFERROR(__xludf.DUMMYFUNCTION("""COMPUTED_VALUE"""),"1")</f>
        <v>1</v>
      </c>
      <c r="C8710" s="5" t="str">
        <f>IFERROR(__xludf.DUMMYFUNCTION("""COMPUTED_VALUE"""),"https://drive.google.com/file/d/1c71jL1xpGDOevqk0Szy6R1iG7eTDTAaY/view?usp=drivesdk")</f>
        <v>https://drive.google.com/file/d/1c71jL1xpGDOevqk0Szy6R1iG7eTDTAaY/view?usp=drivesdk</v>
      </c>
      <c r="D8710" s="12"/>
      <c r="E8710" s="11"/>
      <c r="F8710" s="12"/>
    </row>
    <row r="8711" ht="14.25" customHeight="1">
      <c r="A8711" s="4" t="str">
        <f>IFERROR(__xludf.DUMMYFUNCTION("""COMPUTED_VALUE"""),"1. Microwave")</f>
        <v>1. Microwave</v>
      </c>
      <c r="B8711" s="4" t="str">
        <f>IFERROR(__xludf.DUMMYFUNCTION("""COMPUTED_VALUE"""),"1")</f>
        <v>1</v>
      </c>
      <c r="C8711" s="5" t="str">
        <f>IFERROR(__xludf.DUMMYFUNCTION("""COMPUTED_VALUE"""),"https://drive.google.com/file/d/1f1k6YhxEOmUB_GmAT_Pwr0K9j2c-kiEI/view?usp=drivesdk")</f>
        <v>https://drive.google.com/file/d/1f1k6YhxEOmUB_GmAT_Pwr0K9j2c-kiEI/view?usp=drivesdk</v>
      </c>
      <c r="D8711" s="12"/>
      <c r="E8711" s="11"/>
      <c r="F8711" s="12"/>
    </row>
    <row r="8712" ht="14.25" customHeight="1">
      <c r="A8712" s="4" t="str">
        <f>IFERROR(__xludf.DUMMYFUNCTION("""COMPUTED_VALUE"""),"1. Microwave")</f>
        <v>1. Microwave</v>
      </c>
      <c r="B8712" s="4" t="str">
        <f>IFERROR(__xludf.DUMMYFUNCTION("""COMPUTED_VALUE"""),"1")</f>
        <v>1</v>
      </c>
      <c r="C8712" s="5" t="str">
        <f>IFERROR(__xludf.DUMMYFUNCTION("""COMPUTED_VALUE"""),"https://drive.google.com/file/d/1dJ9Bv6Wcah0FFRxWRoJfGiQiokEb3jwN/view?usp=drivesdk")</f>
        <v>https://drive.google.com/file/d/1dJ9Bv6Wcah0FFRxWRoJfGiQiokEb3jwN/view?usp=drivesdk</v>
      </c>
      <c r="D8712" s="12"/>
      <c r="E8712" s="11"/>
      <c r="F8712" s="12"/>
    </row>
    <row r="8713" ht="14.25" customHeight="1">
      <c r="A8713" s="4" t="str">
        <f>IFERROR(__xludf.DUMMYFUNCTION("""COMPUTED_VALUE"""),"116. Itzel, 108. Mazatl, 99. Nezhui, 109. Tlalli")</f>
        <v>116. Itzel, 108. Mazatl, 99. Nezhui, 109. Tlalli</v>
      </c>
      <c r="B8713" s="4" t="str">
        <f>IFERROR(__xludf.DUMMYFUNCTION("""COMPUTED_VALUE"""),"116, 108, 99, 109")</f>
        <v>116, 108, 99, 109</v>
      </c>
      <c r="C8713" s="5" t="str">
        <f>IFERROR(__xludf.DUMMYFUNCTION("""COMPUTED_VALUE"""),"https://drive.google.com/file/d/1GFwaAMGbf_yYpSVEnpb2pBCLmnMw6b9s/view?usp=drivesdk")</f>
        <v>https://drive.google.com/file/d/1GFwaAMGbf_yYpSVEnpb2pBCLmnMw6b9s/view?usp=drivesdk</v>
      </c>
      <c r="D8713" s="12"/>
      <c r="E8713" s="11"/>
      <c r="F8713" s="12"/>
    </row>
    <row r="8714" ht="14.25" customHeight="1">
      <c r="A8714" s="4" t="str">
        <f>IFERROR(__xludf.DUMMYFUNCTION("""COMPUTED_VALUE"""),"108. Mazatl, 109. Tlalli, 99. Nezhui, 106. Ami, 116. Itzel")</f>
        <v>108. Mazatl, 109. Tlalli, 99. Nezhui, 106. Ami, 116. Itzel</v>
      </c>
      <c r="B8714" s="4" t="str">
        <f>IFERROR(__xludf.DUMMYFUNCTION("""COMPUTED_VALUE"""),"108, 109, 99, 106, 116")</f>
        <v>108, 109, 99, 106, 116</v>
      </c>
      <c r="C8714" s="5" t="str">
        <f>IFERROR(__xludf.DUMMYFUNCTION("""COMPUTED_VALUE"""),"https://drive.google.com/file/d/1dJJWWK4qWjJnbPNXokKgq6WLcrBD9AV1/view?usp=drivesdk")</f>
        <v>https://drive.google.com/file/d/1dJJWWK4qWjJnbPNXokKgq6WLcrBD9AV1/view?usp=drivesdk</v>
      </c>
      <c r="D8714" s="12"/>
      <c r="E8714" s="11"/>
      <c r="F8714" s="12"/>
    </row>
    <row r="8715" ht="14.25" customHeight="1">
      <c r="A8715" s="4" t="str">
        <f>IFERROR(__xludf.DUMMYFUNCTION("""COMPUTED_VALUE"""),"99. Nezhui")</f>
        <v>99. Nezhui</v>
      </c>
      <c r="B8715" s="4" t="str">
        <f>IFERROR(__xludf.DUMMYFUNCTION("""COMPUTED_VALUE"""),"99")</f>
        <v>99</v>
      </c>
      <c r="C8715" s="5" t="str">
        <f>IFERROR(__xludf.DUMMYFUNCTION("""COMPUTED_VALUE"""),"https://drive.google.com/file/d/1AV-aISacUkNDxhzRUggoFvoWvL_AUkrB/view?usp=drivesdk")</f>
        <v>https://drive.google.com/file/d/1AV-aISacUkNDxhzRUggoFvoWvL_AUkrB/view?usp=drivesdk</v>
      </c>
      <c r="D8715" s="12"/>
      <c r="E8715" s="11"/>
      <c r="F8715" s="12"/>
    </row>
    <row r="8716" ht="14.25" customHeight="1">
      <c r="A8716" s="4" t="str">
        <f>IFERROR(__xludf.DUMMYFUNCTION("""COMPUTED_VALUE"""),"116. Itzel")</f>
        <v>116. Itzel</v>
      </c>
      <c r="B8716" s="4" t="str">
        <f>IFERROR(__xludf.DUMMYFUNCTION("""COMPUTED_VALUE"""),"116")</f>
        <v>116</v>
      </c>
      <c r="C8716" s="5" t="str">
        <f>IFERROR(__xludf.DUMMYFUNCTION("""COMPUTED_VALUE"""),"https://drive.google.com/file/d/12SHFnIMU9tHuQzvIZrNIkibApxKHPAbN/view?usp=drivesdk")</f>
        <v>https://drive.google.com/file/d/12SHFnIMU9tHuQzvIZrNIkibApxKHPAbN/view?usp=drivesdk</v>
      </c>
      <c r="D8716" s="12"/>
      <c r="E8716" s="11"/>
      <c r="F8716" s="12"/>
    </row>
    <row r="8717" ht="14.25" customHeight="1">
      <c r="A8717" s="4" t="str">
        <f>IFERROR(__xludf.DUMMYFUNCTION("""COMPUTED_VALUE"""),"99. Nezhui")</f>
        <v>99. Nezhui</v>
      </c>
      <c r="B8717" s="4" t="str">
        <f>IFERROR(__xludf.DUMMYFUNCTION("""COMPUTED_VALUE"""),"99")</f>
        <v>99</v>
      </c>
      <c r="C8717" s="5" t="str">
        <f>IFERROR(__xludf.DUMMYFUNCTION("""COMPUTED_VALUE"""),"https://drive.google.com/file/d/1r2QkJ7JoG91K5WwHtmWSq9IkwO9ky8D5/view?usp=drivesdk")</f>
        <v>https://drive.google.com/file/d/1r2QkJ7JoG91K5WwHtmWSq9IkwO9ky8D5/view?usp=drivesdk</v>
      </c>
      <c r="D8717" s="12"/>
      <c r="E8717" s="11"/>
      <c r="F8717" s="12"/>
    </row>
    <row r="8718" ht="14.25" customHeight="1">
      <c r="A8718" s="4" t="str">
        <f>IFERROR(__xludf.DUMMYFUNCTION("""COMPUTED_VALUE"""),"99. Nezhui")</f>
        <v>99. Nezhui</v>
      </c>
      <c r="B8718" s="4" t="str">
        <f>IFERROR(__xludf.DUMMYFUNCTION("""COMPUTED_VALUE"""),"99")</f>
        <v>99</v>
      </c>
      <c r="C8718" s="5" t="str">
        <f>IFERROR(__xludf.DUMMYFUNCTION("""COMPUTED_VALUE"""),"https://drive.google.com/file/d/1L9mPrvdSU5AvWqBwAQYJ7kVPjEocituS/view?usp=drivesdk")</f>
        <v>https://drive.google.com/file/d/1L9mPrvdSU5AvWqBwAQYJ7kVPjEocituS/view?usp=drivesdk</v>
      </c>
      <c r="D8718" s="12"/>
      <c r="E8718" s="11"/>
      <c r="F8718" s="12"/>
    </row>
    <row r="8719" ht="14.25" customHeight="1">
      <c r="A8719" s="4" t="str">
        <f>IFERROR(__xludf.DUMMYFUNCTION("""COMPUTED_VALUE"""),"2. Twix")</f>
        <v>2. Twix</v>
      </c>
      <c r="B8719" s="4" t="str">
        <f>IFERROR(__xludf.DUMMYFUNCTION("""COMPUTED_VALUE"""),"2")</f>
        <v>2</v>
      </c>
      <c r="C8719" s="5" t="str">
        <f>IFERROR(__xludf.DUMMYFUNCTION("""COMPUTED_VALUE"""),"https://drive.google.com/file/d/1u6n7hH7oEcbT1LBxfaDOaujpzlyEJNgS/view?usp=drivesdk")</f>
        <v>https://drive.google.com/file/d/1u6n7hH7oEcbT1LBxfaDOaujpzlyEJNgS/view?usp=drivesdk</v>
      </c>
      <c r="D8719" s="12"/>
      <c r="E8719" s="11"/>
      <c r="F8719" s="12"/>
    </row>
    <row r="8720" ht="14.25" customHeight="1">
      <c r="A8720" s="4" t="str">
        <f>IFERROR(__xludf.DUMMYFUNCTION("""COMPUTED_VALUE"""),"2. Twix")</f>
        <v>2. Twix</v>
      </c>
      <c r="B8720" s="4" t="str">
        <f>IFERROR(__xludf.DUMMYFUNCTION("""COMPUTED_VALUE"""),"2")</f>
        <v>2</v>
      </c>
      <c r="C8720" s="5" t="str">
        <f>IFERROR(__xludf.DUMMYFUNCTION("""COMPUTED_VALUE"""),"https://drive.google.com/file/d/11si47p1WkFQ4PpbStK8LCvemUkzL431_/view?usp=drivesdk")</f>
        <v>https://drive.google.com/file/d/11si47p1WkFQ4PpbStK8LCvemUkzL431_/view?usp=drivesdk</v>
      </c>
      <c r="D8720" s="12"/>
      <c r="E8720" s="11"/>
      <c r="F8720" s="12"/>
    </row>
    <row r="8721" ht="14.25" customHeight="1">
      <c r="A8721" s="4" t="str">
        <f>IFERROR(__xludf.DUMMYFUNCTION("""COMPUTED_VALUE"""),"33. Zee, 29. Ginger")</f>
        <v>33. Zee, 29. Ginger</v>
      </c>
      <c r="B8721" s="4" t="str">
        <f>IFERROR(__xludf.DUMMYFUNCTION("""COMPUTED_VALUE"""),"33, 29")</f>
        <v>33, 29</v>
      </c>
      <c r="C8721" s="5" t="str">
        <f>IFERROR(__xludf.DUMMYFUNCTION("""COMPUTED_VALUE"""),"https://drive.google.com/file/d/1hfeyFzg0ras_tLKOxIixr793_TC3ShLF/view?usp=drivesdk")</f>
        <v>https://drive.google.com/file/d/1hfeyFzg0ras_tLKOxIixr793_TC3ShLF/view?usp=drivesdk</v>
      </c>
      <c r="D8721" s="12"/>
      <c r="E8721" s="11"/>
      <c r="F8721" s="12"/>
    </row>
    <row r="8722" ht="14.25" customHeight="1">
      <c r="A8722" s="4" t="str">
        <f>IFERROR(__xludf.DUMMYFUNCTION("""COMPUTED_VALUE"""),"0. NotACat")</f>
        <v>0. NotACat</v>
      </c>
      <c r="B8722" s="4" t="str">
        <f>IFERROR(__xludf.DUMMYFUNCTION("""COMPUTED_VALUE"""),"0")</f>
        <v>0</v>
      </c>
      <c r="C8722" s="5" t="str">
        <f>IFERROR(__xludf.DUMMYFUNCTION("""COMPUTED_VALUE"""),"https://drive.google.com/file/d/1p1AFy4HyiNytXVNnE_23nAgec0xDn8Vk/view?usp=drivesdk")</f>
        <v>https://drive.google.com/file/d/1p1AFy4HyiNytXVNnE_23nAgec0xDn8Vk/view?usp=drivesdk</v>
      </c>
      <c r="D8722" s="12"/>
      <c r="E8722" s="11"/>
      <c r="F8722" s="12"/>
    </row>
    <row r="8723" ht="14.25" customHeight="1">
      <c r="A8723" s="4" t="str">
        <f>IFERROR(__xludf.DUMMYFUNCTION("""COMPUTED_VALUE"""),"0. NotACat")</f>
        <v>0. NotACat</v>
      </c>
      <c r="B8723" s="4" t="str">
        <f>IFERROR(__xludf.DUMMYFUNCTION("""COMPUTED_VALUE"""),"0")</f>
        <v>0</v>
      </c>
      <c r="C8723" s="5" t="str">
        <f>IFERROR(__xludf.DUMMYFUNCTION("""COMPUTED_VALUE"""),"https://drive.google.com/file/d/1zeVDbmUDyU_i8Rfif7-adj8IFp8PRwe8/view?usp=drivesdk")</f>
        <v>https://drive.google.com/file/d/1zeVDbmUDyU_i8Rfif7-adj8IFp8PRwe8/view?usp=drivesdk</v>
      </c>
      <c r="D8723" s="12"/>
      <c r="E8723" s="11"/>
      <c r="F8723" s="12"/>
    </row>
    <row r="8724" ht="14.25" customHeight="1">
      <c r="A8724" s="4" t="str">
        <f>IFERROR(__xludf.DUMMYFUNCTION("""COMPUTED_VALUE"""),"29. Ginger, 30. Pepper, 27. Angel, 33. Zee")</f>
        <v>29. Ginger, 30. Pepper, 27. Angel, 33. Zee</v>
      </c>
      <c r="B8724" s="4" t="str">
        <f>IFERROR(__xludf.DUMMYFUNCTION("""COMPUTED_VALUE"""),"29, 30, 27, 33")</f>
        <v>29, 30, 27, 33</v>
      </c>
      <c r="C8724" s="5" t="str">
        <f>IFERROR(__xludf.DUMMYFUNCTION("""COMPUTED_VALUE"""),"https://drive.google.com/file/d/1VAgwkrd2TdVLxd81hMbH-gyhtoB6exlr/view?usp=drivesdk")</f>
        <v>https://drive.google.com/file/d/1VAgwkrd2TdVLxd81hMbH-gyhtoB6exlr/view?usp=drivesdk</v>
      </c>
      <c r="D8724" s="12"/>
      <c r="E8724" s="11"/>
      <c r="F8724" s="12"/>
    </row>
    <row r="8725" ht="14.25" customHeight="1">
      <c r="A8725" s="4" t="str">
        <f>IFERROR(__xludf.DUMMYFUNCTION("""COMPUTED_VALUE"""),"129. Charles")</f>
        <v>129. Charles</v>
      </c>
      <c r="B8725" s="4" t="str">
        <f>IFERROR(__xludf.DUMMYFUNCTION("""COMPUTED_VALUE"""),"129")</f>
        <v>129</v>
      </c>
      <c r="C8725" s="5" t="str">
        <f>IFERROR(__xludf.DUMMYFUNCTION("""COMPUTED_VALUE"""),"https://drive.google.com/file/d/1ILL2NmF4A4O0KAZGBORcfZDncDWD-7o_/view?usp=drivesdk")</f>
        <v>https://drive.google.com/file/d/1ILL2NmF4A4O0KAZGBORcfZDncDWD-7o_/view?usp=drivesdk</v>
      </c>
      <c r="D8725" s="12"/>
      <c r="E8725" s="11"/>
      <c r="F8725" s="12"/>
    </row>
    <row r="8726" ht="14.25" customHeight="1">
      <c r="A8726" s="4" t="str">
        <f>IFERROR(__xludf.DUMMYFUNCTION("""COMPUTED_VALUE"""),"4. Eggs, 5. Eraser")</f>
        <v>4. Eggs, 5. Eraser</v>
      </c>
      <c r="B8726" s="4" t="str">
        <f>IFERROR(__xludf.DUMMYFUNCTION("""COMPUTED_VALUE"""),"4, 5")</f>
        <v>4, 5</v>
      </c>
      <c r="C8726" s="5" t="str">
        <f>IFERROR(__xludf.DUMMYFUNCTION("""COMPUTED_VALUE"""),"https://drive.google.com/file/d/1JBCSEYJHvgjqhClQBRks9TYwbBfbnT--/view?usp=drivesdk")</f>
        <v>https://drive.google.com/file/d/1JBCSEYJHvgjqhClQBRks9TYwbBfbnT--/view?usp=drivesdk</v>
      </c>
      <c r="D8726" s="12"/>
      <c r="E8726" s="11"/>
      <c r="F8726" s="12"/>
    </row>
    <row r="8727" ht="14.25" customHeight="1">
      <c r="A8727" s="4" t="str">
        <f>IFERROR(__xludf.DUMMYFUNCTION("""COMPUTED_VALUE"""),"1. Microwave")</f>
        <v>1. Microwave</v>
      </c>
      <c r="B8727" s="4" t="str">
        <f>IFERROR(__xludf.DUMMYFUNCTION("""COMPUTED_VALUE"""),"1")</f>
        <v>1</v>
      </c>
      <c r="C8727" s="5" t="str">
        <f>IFERROR(__xludf.DUMMYFUNCTION("""COMPUTED_VALUE"""),"https://drive.google.com/file/d/1Wvch4uH5ofbi0ZiDpV-IqrxWzWBGw787/view?usp=drivesdk")</f>
        <v>https://drive.google.com/file/d/1Wvch4uH5ofbi0ZiDpV-IqrxWzWBGw787/view?usp=drivesdk</v>
      </c>
      <c r="D8727" s="12"/>
      <c r="E8727" s="11"/>
      <c r="F8727" s="12"/>
    </row>
    <row r="8728" ht="14.25" customHeight="1">
      <c r="A8728" s="4" t="str">
        <f>IFERROR(__xludf.DUMMYFUNCTION("""COMPUTED_VALUE"""),"116. Itzel")</f>
        <v>116. Itzel</v>
      </c>
      <c r="B8728" s="4" t="str">
        <f>IFERROR(__xludf.DUMMYFUNCTION("""COMPUTED_VALUE"""),"116")</f>
        <v>116</v>
      </c>
      <c r="C8728" s="5" t="str">
        <f>IFERROR(__xludf.DUMMYFUNCTION("""COMPUTED_VALUE"""),"https://drive.google.com/file/d/1Xy6agGlFkCTmUzsW-k0EnCw53lUdO4SC/view?usp=drivesdk")</f>
        <v>https://drive.google.com/file/d/1Xy6agGlFkCTmUzsW-k0EnCw53lUdO4SC/view?usp=drivesdk</v>
      </c>
      <c r="D8728" s="12"/>
      <c r="E8728" s="11"/>
      <c r="F8728" s="12"/>
    </row>
    <row r="8729" ht="14.25" customHeight="1">
      <c r="A8729" s="4" t="str">
        <f>IFERROR(__xludf.DUMMYFUNCTION("""COMPUTED_VALUE"""),"20. Citlali")</f>
        <v>20. Citlali</v>
      </c>
      <c r="B8729" s="4" t="str">
        <f>IFERROR(__xludf.DUMMYFUNCTION("""COMPUTED_VALUE"""),"20")</f>
        <v>20</v>
      </c>
      <c r="C8729" s="5" t="str">
        <f>IFERROR(__xludf.DUMMYFUNCTION("""COMPUTED_VALUE"""),"https://drive.google.com/file/d/1bfGwRBSNIxDO4U_hdJQ3_vzZUqz1nPqJ/view?usp=drivesdk")</f>
        <v>https://drive.google.com/file/d/1bfGwRBSNIxDO4U_hdJQ3_vzZUqz1nPqJ/view?usp=drivesdk</v>
      </c>
      <c r="D8729" s="12"/>
      <c r="E8729" s="11"/>
      <c r="F8729" s="12"/>
    </row>
    <row r="8730" ht="14.25" customHeight="1">
      <c r="A8730" s="4" t="str">
        <f>IFERROR(__xludf.DUMMYFUNCTION("""COMPUTED_VALUE"""),"109. Tlalli")</f>
        <v>109. Tlalli</v>
      </c>
      <c r="B8730" s="4" t="str">
        <f>IFERROR(__xludf.DUMMYFUNCTION("""COMPUTED_VALUE"""),"109")</f>
        <v>109</v>
      </c>
      <c r="C8730" s="5" t="str">
        <f>IFERROR(__xludf.DUMMYFUNCTION("""COMPUTED_VALUE"""),"https://drive.google.com/file/d/1MG5U8ry6rsWaBwnKb4MMR9RIV-mPXdWS/view?usp=drivesdk")</f>
        <v>https://drive.google.com/file/d/1MG5U8ry6rsWaBwnKb4MMR9RIV-mPXdWS/view?usp=drivesdk</v>
      </c>
      <c r="D8730" s="12"/>
      <c r="E8730" s="11"/>
      <c r="F8730" s="12"/>
    </row>
    <row r="8731" ht="14.25" customHeight="1">
      <c r="A8731" s="4" t="str">
        <f>IFERROR(__xludf.DUMMYFUNCTION("""COMPUTED_VALUE"""),"2. Twix")</f>
        <v>2. Twix</v>
      </c>
      <c r="B8731" s="4" t="str">
        <f>IFERROR(__xludf.DUMMYFUNCTION("""COMPUTED_VALUE"""),"2")</f>
        <v>2</v>
      </c>
      <c r="C8731" s="5" t="str">
        <f>IFERROR(__xludf.DUMMYFUNCTION("""COMPUTED_VALUE"""),"https://drive.google.com/file/d/1aSex9UK69BGKA_FtwFFHfFjEeandhSG4/view?usp=drivesdk")</f>
        <v>https://drive.google.com/file/d/1aSex9UK69BGKA_FtwFFHfFjEeandhSG4/view?usp=drivesdk</v>
      </c>
      <c r="D8731" s="12"/>
      <c r="E8731" s="11"/>
      <c r="F8731" s="12"/>
    </row>
    <row r="8732" ht="14.25" customHeight="1">
      <c r="A8732" s="4" t="str">
        <f>IFERROR(__xludf.DUMMYFUNCTION("""COMPUTED_VALUE"""),"1. Microwave")</f>
        <v>1. Microwave</v>
      </c>
      <c r="B8732" s="4" t="str">
        <f>IFERROR(__xludf.DUMMYFUNCTION("""COMPUTED_VALUE"""),"1")</f>
        <v>1</v>
      </c>
      <c r="C8732" s="5" t="str">
        <f>IFERROR(__xludf.DUMMYFUNCTION("""COMPUTED_VALUE"""),"https://drive.google.com/file/d/1leyD01ipoE6FsWRfwXTE2iXIsxeMXuDY/view?usp=drivesdk")</f>
        <v>https://drive.google.com/file/d/1leyD01ipoE6FsWRfwXTE2iXIsxeMXuDY/view?usp=drivesdk</v>
      </c>
      <c r="D8732" s="12"/>
      <c r="E8732" s="11"/>
      <c r="F8732" s="12"/>
    </row>
    <row r="8733" ht="14.25" customHeight="1">
      <c r="A8733" s="4" t="str">
        <f>IFERROR(__xludf.DUMMYFUNCTION("""COMPUTED_VALUE"""),"1. Microwave")</f>
        <v>1. Microwave</v>
      </c>
      <c r="B8733" s="4" t="str">
        <f>IFERROR(__xludf.DUMMYFUNCTION("""COMPUTED_VALUE"""),"1")</f>
        <v>1</v>
      </c>
      <c r="C8733" s="5" t="str">
        <f>IFERROR(__xludf.DUMMYFUNCTION("""COMPUTED_VALUE"""),"https://drive.google.com/file/d/1KmEgceW8_PX7jVxBL9IJbTY4G5FMpJhZ/view?usp=drivesdk")</f>
        <v>https://drive.google.com/file/d/1KmEgceW8_PX7jVxBL9IJbTY4G5FMpJhZ/view?usp=drivesdk</v>
      </c>
      <c r="D8733" s="12"/>
      <c r="E8733" s="11"/>
      <c r="F8733" s="12"/>
    </row>
    <row r="8734" ht="14.25" customHeight="1">
      <c r="A8734" s="4" t="str">
        <f>IFERROR(__xludf.DUMMYFUNCTION("""COMPUTED_VALUE"""),"1. Microwave")</f>
        <v>1. Microwave</v>
      </c>
      <c r="B8734" s="4" t="str">
        <f>IFERROR(__xludf.DUMMYFUNCTION("""COMPUTED_VALUE"""),"1")</f>
        <v>1</v>
      </c>
      <c r="C8734" s="5" t="str">
        <f>IFERROR(__xludf.DUMMYFUNCTION("""COMPUTED_VALUE"""),"https://drive.google.com/file/d/1wkTf8kj1PamwGhnpMwbPp0iLjWSxm76n/view?usp=drivesdk")</f>
        <v>https://drive.google.com/file/d/1wkTf8kj1PamwGhnpMwbPp0iLjWSxm76n/view?usp=drivesdk</v>
      </c>
      <c r="D8734" s="12"/>
      <c r="E8734" s="11"/>
      <c r="F8734" s="12"/>
    </row>
    <row r="8735" ht="14.25" customHeight="1">
      <c r="A8735" s="4" t="str">
        <f>IFERROR(__xludf.DUMMYFUNCTION("""COMPUTED_VALUE"""),"20. Citlali")</f>
        <v>20. Citlali</v>
      </c>
      <c r="B8735" s="4" t="str">
        <f>IFERROR(__xludf.DUMMYFUNCTION("""COMPUTED_VALUE"""),"20")</f>
        <v>20</v>
      </c>
      <c r="C8735" s="5" t="str">
        <f>IFERROR(__xludf.DUMMYFUNCTION("""COMPUTED_VALUE"""),"https://drive.google.com/file/d/1z0CU5QkWf9HdxbN3k2mDyOmoi0cP3WV3/view?usp=drivesdk")</f>
        <v>https://drive.google.com/file/d/1z0CU5QkWf9HdxbN3k2mDyOmoi0cP3WV3/view?usp=drivesdk</v>
      </c>
      <c r="D8735" s="12"/>
      <c r="E8735" s="11"/>
      <c r="F8735" s="12"/>
    </row>
    <row r="8736" ht="14.25" customHeight="1">
      <c r="A8736" s="4" t="str">
        <f>IFERROR(__xludf.DUMMYFUNCTION("""COMPUTED_VALUE"""),"109. Tlalli, 116. Itzel")</f>
        <v>109. Tlalli, 116. Itzel</v>
      </c>
      <c r="B8736" s="4" t="str">
        <f>IFERROR(__xludf.DUMMYFUNCTION("""COMPUTED_VALUE"""),"109, 116")</f>
        <v>109, 116</v>
      </c>
      <c r="C8736" s="5" t="str">
        <f>IFERROR(__xludf.DUMMYFUNCTION("""COMPUTED_VALUE"""),"https://drive.google.com/file/d/1_CLMqLAskV4VS3L6VjFhFQpA8uArnOqJ/view?usp=drivesdk")</f>
        <v>https://drive.google.com/file/d/1_CLMqLAskV4VS3L6VjFhFQpA8uArnOqJ/view?usp=drivesdk</v>
      </c>
      <c r="D8736" s="12"/>
      <c r="E8736" s="11"/>
      <c r="F8736" s="12"/>
    </row>
    <row r="8737" ht="14.25" customHeight="1">
      <c r="A8737" s="4" t="str">
        <f>IFERROR(__xludf.DUMMYFUNCTION("""COMPUTED_VALUE"""),"109. Tlalli")</f>
        <v>109. Tlalli</v>
      </c>
      <c r="B8737" s="4" t="str">
        <f>IFERROR(__xludf.DUMMYFUNCTION("""COMPUTED_VALUE"""),"109")</f>
        <v>109</v>
      </c>
      <c r="C8737" s="5" t="str">
        <f>IFERROR(__xludf.DUMMYFUNCTION("""COMPUTED_VALUE"""),"https://drive.google.com/file/d/1xSiq0v4IEjfvlkod4vEijROL3xXtxl0z/view?usp=drivesdk")</f>
        <v>https://drive.google.com/file/d/1xSiq0v4IEjfvlkod4vEijROL3xXtxl0z/view?usp=drivesdk</v>
      </c>
      <c r="D8737" s="12"/>
      <c r="E8737" s="11"/>
      <c r="F8737" s="12"/>
    </row>
    <row r="8738" ht="14.25" customHeight="1">
      <c r="A8738" s="4" t="str">
        <f>IFERROR(__xludf.DUMMYFUNCTION("""COMPUTED_VALUE"""),"109. Tlalli, 116. Itzel")</f>
        <v>109. Tlalli, 116. Itzel</v>
      </c>
      <c r="B8738" s="4" t="str">
        <f>IFERROR(__xludf.DUMMYFUNCTION("""COMPUTED_VALUE"""),"109, 116")</f>
        <v>109, 116</v>
      </c>
      <c r="C8738" s="5" t="str">
        <f>IFERROR(__xludf.DUMMYFUNCTION("""COMPUTED_VALUE"""),"https://drive.google.com/file/d/1Wd-Gx1eAgYw29oQMOSgMkvQ2iDU2KrUx/view?usp=drivesdk")</f>
        <v>https://drive.google.com/file/d/1Wd-Gx1eAgYw29oQMOSgMkvQ2iDU2KrUx/view?usp=drivesdk</v>
      </c>
      <c r="D8738" s="12"/>
      <c r="E8738" s="11"/>
      <c r="F8738" s="12"/>
    </row>
    <row r="8739" ht="14.25" customHeight="1">
      <c r="A8739" s="4" t="str">
        <f>IFERROR(__xludf.DUMMYFUNCTION("""COMPUTED_VALUE"""),"109. Tlalli, 99. Nezhui")</f>
        <v>109. Tlalli, 99. Nezhui</v>
      </c>
      <c r="B8739" s="4" t="str">
        <f>IFERROR(__xludf.DUMMYFUNCTION("""COMPUTED_VALUE"""),"109, 99")</f>
        <v>109, 99</v>
      </c>
      <c r="C8739" s="5" t="str">
        <f>IFERROR(__xludf.DUMMYFUNCTION("""COMPUTED_VALUE"""),"https://drive.google.com/file/d/1Q5XtFuv9rz2bqg9uS7lIYhGHmJ7POdnK/view?usp=drivesdk")</f>
        <v>https://drive.google.com/file/d/1Q5XtFuv9rz2bqg9uS7lIYhGHmJ7POdnK/view?usp=drivesdk</v>
      </c>
      <c r="D8739" s="12"/>
      <c r="E8739" s="11"/>
      <c r="F8739" s="12"/>
    </row>
    <row r="8740" ht="14.25" customHeight="1">
      <c r="A8740" s="4" t="str">
        <f>IFERROR(__xludf.DUMMYFUNCTION("""COMPUTED_VALUE"""),"116. Itzel")</f>
        <v>116. Itzel</v>
      </c>
      <c r="B8740" s="4" t="str">
        <f>IFERROR(__xludf.DUMMYFUNCTION("""COMPUTED_VALUE"""),"116")</f>
        <v>116</v>
      </c>
      <c r="C8740" s="5" t="str">
        <f>IFERROR(__xludf.DUMMYFUNCTION("""COMPUTED_VALUE"""),"https://drive.google.com/file/d/1YE-OA3DkoLwixL8UeI2w0vRvBPjlyG_r/view?usp=drivesdk")</f>
        <v>https://drive.google.com/file/d/1YE-OA3DkoLwixL8UeI2w0vRvBPjlyG_r/view?usp=drivesdk</v>
      </c>
      <c r="D8740" s="12"/>
      <c r="E8740" s="11"/>
      <c r="F8740" s="12"/>
    </row>
    <row r="8741" ht="14.25" customHeight="1">
      <c r="A8741" s="4" t="str">
        <f>IFERROR(__xludf.DUMMYFUNCTION("""COMPUTED_VALUE"""),"1. Microwave")</f>
        <v>1. Microwave</v>
      </c>
      <c r="B8741" s="4" t="str">
        <f>IFERROR(__xludf.DUMMYFUNCTION("""COMPUTED_VALUE"""),"1")</f>
        <v>1</v>
      </c>
      <c r="C8741" s="5" t="str">
        <f>IFERROR(__xludf.DUMMYFUNCTION("""COMPUTED_VALUE"""),"https://drive.google.com/file/d/1P-lm3HURbEyDtJOKtfs7QQKIxIQVgBEX/view?usp=drivesdk")</f>
        <v>https://drive.google.com/file/d/1P-lm3HURbEyDtJOKtfs7QQKIxIQVgBEX/view?usp=drivesdk</v>
      </c>
      <c r="D8741" s="12"/>
      <c r="E8741" s="11"/>
      <c r="F8741" s="12"/>
    </row>
    <row r="8742" ht="14.25" customHeight="1">
      <c r="A8742" s="4" t="str">
        <f>IFERROR(__xludf.DUMMYFUNCTION("""COMPUTED_VALUE"""),"1. Microwave")</f>
        <v>1. Microwave</v>
      </c>
      <c r="B8742" s="4" t="str">
        <f>IFERROR(__xludf.DUMMYFUNCTION("""COMPUTED_VALUE"""),"1")</f>
        <v>1</v>
      </c>
      <c r="C8742" s="5" t="str">
        <f>IFERROR(__xludf.DUMMYFUNCTION("""COMPUTED_VALUE"""),"https://drive.google.com/file/d/1ZFQy4DU_jhwTkb1e32T1sb2Glx06d4Ld/view?usp=drivesdk")</f>
        <v>https://drive.google.com/file/d/1ZFQy4DU_jhwTkb1e32T1sb2Glx06d4Ld/view?usp=drivesdk</v>
      </c>
      <c r="D8742" s="12"/>
      <c r="E8742" s="11"/>
      <c r="F8742" s="12"/>
    </row>
    <row r="8743" ht="14.25" customHeight="1">
      <c r="A8743" s="4" t="str">
        <f>IFERROR(__xludf.DUMMYFUNCTION("""COMPUTED_VALUE"""),"1. Microwave")</f>
        <v>1. Microwave</v>
      </c>
      <c r="B8743" s="4" t="str">
        <f>IFERROR(__xludf.DUMMYFUNCTION("""COMPUTED_VALUE"""),"1")</f>
        <v>1</v>
      </c>
      <c r="C8743" s="5" t="str">
        <f>IFERROR(__xludf.DUMMYFUNCTION("""COMPUTED_VALUE"""),"https://drive.google.com/file/d/1DNf7GStfZFdrmGca4_Ngue1Olz1Wj5Ix/view?usp=drivesdk")</f>
        <v>https://drive.google.com/file/d/1DNf7GStfZFdrmGca4_Ngue1Olz1Wj5Ix/view?usp=drivesdk</v>
      </c>
      <c r="D8743" s="12"/>
      <c r="E8743" s="11"/>
      <c r="F8743" s="12"/>
    </row>
    <row r="8744" ht="14.25" customHeight="1">
      <c r="A8744" s="4" t="str">
        <f>IFERROR(__xludf.DUMMYFUNCTION("""COMPUTED_VALUE"""),"109. Tlalli")</f>
        <v>109. Tlalli</v>
      </c>
      <c r="B8744" s="4" t="str">
        <f>IFERROR(__xludf.DUMMYFUNCTION("""COMPUTED_VALUE"""),"109")</f>
        <v>109</v>
      </c>
      <c r="C8744" s="5" t="str">
        <f>IFERROR(__xludf.DUMMYFUNCTION("""COMPUTED_VALUE"""),"https://drive.google.com/file/d/1VpU63yNc0fZwDxreVUxyMw-RQ8F4APKk/view?usp=drivesdk")</f>
        <v>https://drive.google.com/file/d/1VpU63yNc0fZwDxreVUxyMw-RQ8F4APKk/view?usp=drivesdk</v>
      </c>
      <c r="D8744" s="12"/>
      <c r="E8744" s="11"/>
      <c r="F8744" s="12"/>
    </row>
    <row r="8745" ht="14.25" customHeight="1">
      <c r="A8745" s="4" t="str">
        <f>IFERROR(__xludf.DUMMYFUNCTION("""COMPUTED_VALUE"""),"1. Microwave, 3. Ford F-150")</f>
        <v>1. Microwave, 3. Ford F-150</v>
      </c>
      <c r="B8745" s="4" t="str">
        <f>IFERROR(__xludf.DUMMYFUNCTION("""COMPUTED_VALUE"""),"1, 3")</f>
        <v>1, 3</v>
      </c>
      <c r="C8745" s="5" t="str">
        <f>IFERROR(__xludf.DUMMYFUNCTION("""COMPUTED_VALUE"""),"https://drive.google.com/file/d/1n5d6DA5IG10wmL1EOguED8gpOyOa24B8/view?usp=drivesdk")</f>
        <v>https://drive.google.com/file/d/1n5d6DA5IG10wmL1EOguED8gpOyOa24B8/view?usp=drivesdk</v>
      </c>
      <c r="D8745" s="12"/>
      <c r="E8745" s="11"/>
      <c r="F8745" s="12"/>
    </row>
    <row r="8746" ht="14.25" customHeight="1">
      <c r="A8746" s="4" t="str">
        <f>IFERROR(__xludf.DUMMYFUNCTION("""COMPUTED_VALUE"""),"1. Microwave, 3. Ford F-150")</f>
        <v>1. Microwave, 3. Ford F-150</v>
      </c>
      <c r="B8746" s="4" t="str">
        <f>IFERROR(__xludf.DUMMYFUNCTION("""COMPUTED_VALUE"""),"1, 3")</f>
        <v>1, 3</v>
      </c>
      <c r="C8746" s="5" t="str">
        <f>IFERROR(__xludf.DUMMYFUNCTION("""COMPUTED_VALUE"""),"https://drive.google.com/file/d/1BiCs2C-KaWuQ37Q6PLfRUFyY2hlcAU4v/view?usp=drivesdk")</f>
        <v>https://drive.google.com/file/d/1BiCs2C-KaWuQ37Q6PLfRUFyY2hlcAU4v/view?usp=drivesdk</v>
      </c>
      <c r="D8746" s="12"/>
      <c r="E8746" s="11"/>
      <c r="F8746" s="12"/>
    </row>
    <row r="8747" ht="14.25" customHeight="1">
      <c r="A8747" s="4" t="str">
        <f>IFERROR(__xludf.DUMMYFUNCTION("""COMPUTED_VALUE"""),"1. Microwave, 3. Ford F-150")</f>
        <v>1. Microwave, 3. Ford F-150</v>
      </c>
      <c r="B8747" s="4" t="str">
        <f>IFERROR(__xludf.DUMMYFUNCTION("""COMPUTED_VALUE"""),"1, 3")</f>
        <v>1, 3</v>
      </c>
      <c r="C8747" s="5" t="str">
        <f>IFERROR(__xludf.DUMMYFUNCTION("""COMPUTED_VALUE"""),"https://drive.google.com/file/d/12D9eexKL9PA88B1ed0qyj-MrpyFyUBee/view?usp=drivesdk")</f>
        <v>https://drive.google.com/file/d/12D9eexKL9PA88B1ed0qyj-MrpyFyUBee/view?usp=drivesdk</v>
      </c>
      <c r="D8747" s="12"/>
      <c r="E8747" s="11"/>
      <c r="F8747" s="12"/>
    </row>
    <row r="8748" ht="14.25" customHeight="1">
      <c r="A8748" s="4" t="str">
        <f>IFERROR(__xludf.DUMMYFUNCTION("""COMPUTED_VALUE"""),"1. Microwave, 3. Ford F-150")</f>
        <v>1. Microwave, 3. Ford F-150</v>
      </c>
      <c r="B8748" s="4" t="str">
        <f>IFERROR(__xludf.DUMMYFUNCTION("""COMPUTED_VALUE"""),"1, 3")</f>
        <v>1, 3</v>
      </c>
      <c r="C8748" s="5" t="str">
        <f>IFERROR(__xludf.DUMMYFUNCTION("""COMPUTED_VALUE"""),"https://drive.google.com/file/d/1rFJ35TEEa4fZEiMsGl9mdvN7ekIdsh6N/view?usp=drivesdk")</f>
        <v>https://drive.google.com/file/d/1rFJ35TEEa4fZEiMsGl9mdvN7ekIdsh6N/view?usp=drivesdk</v>
      </c>
      <c r="D8748" s="12"/>
      <c r="E8748" s="11"/>
      <c r="F8748" s="12"/>
    </row>
    <row r="8749" ht="14.25" customHeight="1">
      <c r="A8749" s="4" t="str">
        <f>IFERROR(__xludf.DUMMYFUNCTION("""COMPUTED_VALUE"""),"35. Stove")</f>
        <v>35. Stove</v>
      </c>
      <c r="B8749" s="4" t="str">
        <f>IFERROR(__xludf.DUMMYFUNCTION("""COMPUTED_VALUE"""),"35")</f>
        <v>35</v>
      </c>
      <c r="C8749" s="5" t="str">
        <f>IFERROR(__xludf.DUMMYFUNCTION("""COMPUTED_VALUE"""),"https://drive.google.com/file/d/1IaHn48sUNvSZE6ChMhLu6cahHtmqySAQ/view?usp=drivesdk")</f>
        <v>https://drive.google.com/file/d/1IaHn48sUNvSZE6ChMhLu6cahHtmqySAQ/view?usp=drivesdk</v>
      </c>
      <c r="D8749" s="12"/>
      <c r="E8749" s="11"/>
      <c r="F8749" s="12"/>
    </row>
    <row r="8750" ht="14.25" customHeight="1">
      <c r="A8750" s="4" t="str">
        <f>IFERROR(__xludf.DUMMYFUNCTION("""COMPUTED_VALUE"""),"36. Scringle")</f>
        <v>36. Scringle</v>
      </c>
      <c r="B8750" s="4" t="str">
        <f>IFERROR(__xludf.DUMMYFUNCTION("""COMPUTED_VALUE"""),"36")</f>
        <v>36</v>
      </c>
      <c r="C8750" s="5" t="str">
        <f>IFERROR(__xludf.DUMMYFUNCTION("""COMPUTED_VALUE"""),"https://drive.google.com/file/d/1W9stAiBWw8Q0awvBqOCDbFd52njZOFrd/view?usp=drivesdk")</f>
        <v>https://drive.google.com/file/d/1W9stAiBWw8Q0awvBqOCDbFd52njZOFrd/view?usp=drivesdk</v>
      </c>
      <c r="D8750" s="12"/>
      <c r="E8750" s="11"/>
      <c r="F8750" s="12"/>
    </row>
    <row r="8751" ht="14.25" customHeight="1">
      <c r="A8751" s="4" t="str">
        <f>IFERROR(__xludf.DUMMYFUNCTION("""COMPUTED_VALUE"""),"36. Scringle")</f>
        <v>36. Scringle</v>
      </c>
      <c r="B8751" s="4" t="str">
        <f>IFERROR(__xludf.DUMMYFUNCTION("""COMPUTED_VALUE"""),"36")</f>
        <v>36</v>
      </c>
      <c r="C8751" s="5" t="str">
        <f>IFERROR(__xludf.DUMMYFUNCTION("""COMPUTED_VALUE"""),"https://drive.google.com/file/d/1ACMLhhjvZnnTTvY051nAIyCvHYlZsX28/view?usp=drivesdk")</f>
        <v>https://drive.google.com/file/d/1ACMLhhjvZnnTTvY051nAIyCvHYlZsX28/view?usp=drivesdk</v>
      </c>
      <c r="D8751" s="12"/>
      <c r="E8751" s="11"/>
      <c r="F8751" s="12"/>
    </row>
    <row r="8752" ht="14.25" customHeight="1">
      <c r="A8752" s="4" t="str">
        <f>IFERROR(__xludf.DUMMYFUNCTION("""COMPUTED_VALUE"""),"36. Scringle")</f>
        <v>36. Scringle</v>
      </c>
      <c r="B8752" s="4" t="str">
        <f>IFERROR(__xludf.DUMMYFUNCTION("""COMPUTED_VALUE"""),"36")</f>
        <v>36</v>
      </c>
      <c r="C8752" s="5" t="str">
        <f>IFERROR(__xludf.DUMMYFUNCTION("""COMPUTED_VALUE"""),"https://drive.google.com/file/d/1GjypbVD4CosaB2mAtX39EqNArVICxsLl/view?usp=drivesdk")</f>
        <v>https://drive.google.com/file/d/1GjypbVD4CosaB2mAtX39EqNArVICxsLl/view?usp=drivesdk</v>
      </c>
      <c r="D8752" s="12"/>
      <c r="E8752" s="11"/>
      <c r="F8752" s="12"/>
    </row>
    <row r="8753" ht="14.25" customHeight="1">
      <c r="A8753" s="4" t="str">
        <f>IFERROR(__xludf.DUMMYFUNCTION("""COMPUTED_VALUE"""),"1. Microwave")</f>
        <v>1. Microwave</v>
      </c>
      <c r="B8753" s="4" t="str">
        <f>IFERROR(__xludf.DUMMYFUNCTION("""COMPUTED_VALUE"""),"1")</f>
        <v>1</v>
      </c>
      <c r="C8753" s="5" t="str">
        <f>IFERROR(__xludf.DUMMYFUNCTION("""COMPUTED_VALUE"""),"https://drive.google.com/file/d/1KeS0On91CJlLrgTvMptTH9JoSabx-E-c/view?usp=drivesdk")</f>
        <v>https://drive.google.com/file/d/1KeS0On91CJlLrgTvMptTH9JoSabx-E-c/view?usp=drivesdk</v>
      </c>
      <c r="D8753" s="12"/>
      <c r="E8753" s="11"/>
      <c r="F8753" s="12"/>
    </row>
    <row r="8754" ht="14.25" customHeight="1">
      <c r="A8754" s="4" t="str">
        <f>IFERROR(__xludf.DUMMYFUNCTION("""COMPUTED_VALUE"""),"1. Microwave")</f>
        <v>1. Microwave</v>
      </c>
      <c r="B8754" s="4" t="str">
        <f>IFERROR(__xludf.DUMMYFUNCTION("""COMPUTED_VALUE"""),"1")</f>
        <v>1</v>
      </c>
      <c r="C8754" s="5" t="str">
        <f>IFERROR(__xludf.DUMMYFUNCTION("""COMPUTED_VALUE"""),"https://drive.google.com/file/d/14PTUNxRY35AcTuz84H6aOyP-TAu7hB_i/view?usp=drivesdk")</f>
        <v>https://drive.google.com/file/d/14PTUNxRY35AcTuz84H6aOyP-TAu7hB_i/view?usp=drivesdk</v>
      </c>
      <c r="D8754" s="12"/>
      <c r="E8754" s="11"/>
      <c r="F8754" s="12"/>
    </row>
    <row r="8755" ht="14.25" customHeight="1">
      <c r="A8755" s="4" t="str">
        <f>IFERROR(__xludf.DUMMYFUNCTION("""COMPUTED_VALUE"""),"1. Microwave")</f>
        <v>1. Microwave</v>
      </c>
      <c r="B8755" s="4" t="str">
        <f>IFERROR(__xludf.DUMMYFUNCTION("""COMPUTED_VALUE"""),"1")</f>
        <v>1</v>
      </c>
      <c r="C8755" s="5" t="str">
        <f>IFERROR(__xludf.DUMMYFUNCTION("""COMPUTED_VALUE"""),"https://drive.google.com/file/d/1EFE5DpA6cp2cYybEY6LoUWKDH--clUFI/view?usp=drivesdk")</f>
        <v>https://drive.google.com/file/d/1EFE5DpA6cp2cYybEY6LoUWKDH--clUFI/view?usp=drivesdk</v>
      </c>
      <c r="D8755" s="12"/>
      <c r="E8755" s="11"/>
      <c r="F8755" s="12"/>
    </row>
    <row r="8756" ht="14.25" customHeight="1">
      <c r="A8756" s="4" t="str">
        <f>IFERROR(__xludf.DUMMYFUNCTION("""COMPUTED_VALUE"""),"1. Microwave")</f>
        <v>1. Microwave</v>
      </c>
      <c r="B8756" s="4" t="str">
        <f>IFERROR(__xludf.DUMMYFUNCTION("""COMPUTED_VALUE"""),"1")</f>
        <v>1</v>
      </c>
      <c r="C8756" s="5" t="str">
        <f>IFERROR(__xludf.DUMMYFUNCTION("""COMPUTED_VALUE"""),"https://drive.google.com/file/d/1fufrevwv9c2ywVTzzs5pnkZr4sTDttsu/view?usp=drivesdk")</f>
        <v>https://drive.google.com/file/d/1fufrevwv9c2ywVTzzs5pnkZr4sTDttsu/view?usp=drivesdk</v>
      </c>
      <c r="D8756" s="12"/>
      <c r="E8756" s="11"/>
      <c r="F8756" s="12"/>
    </row>
    <row r="8757" ht="14.25" customHeight="1">
      <c r="A8757" s="4" t="str">
        <f>IFERROR(__xludf.DUMMYFUNCTION("""COMPUTED_VALUE"""),"2. Twix")</f>
        <v>2. Twix</v>
      </c>
      <c r="B8757" s="4" t="str">
        <f>IFERROR(__xludf.DUMMYFUNCTION("""COMPUTED_VALUE"""),"2")</f>
        <v>2</v>
      </c>
      <c r="C8757" s="5" t="str">
        <f>IFERROR(__xludf.DUMMYFUNCTION("""COMPUTED_VALUE"""),"https://drive.google.com/file/d/1mVjkLKvUE32bOBDy4No5SJC-i6uTNFcj/view?usp=drivesdk")</f>
        <v>https://drive.google.com/file/d/1mVjkLKvUE32bOBDy4No5SJC-i6uTNFcj/view?usp=drivesdk</v>
      </c>
      <c r="D8757" s="12"/>
      <c r="E8757" s="11"/>
      <c r="F8757" s="12"/>
    </row>
    <row r="8758" ht="14.25" customHeight="1">
      <c r="A8758" s="4" t="str">
        <f>IFERROR(__xludf.DUMMYFUNCTION("""COMPUTED_VALUE"""),"4. Eggs")</f>
        <v>4. Eggs</v>
      </c>
      <c r="B8758" s="4" t="str">
        <f>IFERROR(__xludf.DUMMYFUNCTION("""COMPUTED_VALUE"""),"4")</f>
        <v>4</v>
      </c>
      <c r="C8758" s="5" t="str">
        <f>IFERROR(__xludf.DUMMYFUNCTION("""COMPUTED_VALUE"""),"https://drive.google.com/file/d/1qZN0M89yr2TGBp803E-5pwVC2RFcH_zh/view?usp=drivesdk")</f>
        <v>https://drive.google.com/file/d/1qZN0M89yr2TGBp803E-5pwVC2RFcH_zh/view?usp=drivesdk</v>
      </c>
      <c r="D8758" s="12"/>
      <c r="E8758" s="11"/>
      <c r="F8758" s="12"/>
    </row>
    <row r="8759" ht="14.25" customHeight="1">
      <c r="A8759" s="4" t="str">
        <f>IFERROR(__xludf.DUMMYFUNCTION("""COMPUTED_VALUE"""),"4. Eggs, 5. Eraser")</f>
        <v>4. Eggs, 5. Eraser</v>
      </c>
      <c r="B8759" s="4" t="str">
        <f>IFERROR(__xludf.DUMMYFUNCTION("""COMPUTED_VALUE"""),"4, 5")</f>
        <v>4, 5</v>
      </c>
      <c r="C8759" s="5" t="str">
        <f>IFERROR(__xludf.DUMMYFUNCTION("""COMPUTED_VALUE"""),"https://drive.google.com/file/d/18NHmaZwtbyKT6nX4ICW4GFMAOtWEIYzO/view?usp=drivesdk")</f>
        <v>https://drive.google.com/file/d/18NHmaZwtbyKT6nX4ICW4GFMAOtWEIYzO/view?usp=drivesdk</v>
      </c>
      <c r="D8759" s="12"/>
      <c r="E8759" s="11"/>
      <c r="F8759" s="12"/>
    </row>
    <row r="8760" ht="14.25" customHeight="1">
      <c r="A8760" s="4" t="str">
        <f>IFERROR(__xludf.DUMMYFUNCTION("""COMPUTED_VALUE"""),"116. Itzel, 105. Chilton, 99. Nezhui, 106. Ami, 108. Mazatl, 109. Tlalli, 94. Itztli")</f>
        <v>116. Itzel, 105. Chilton, 99. Nezhui, 106. Ami, 108. Mazatl, 109. Tlalli, 94. Itztli</v>
      </c>
      <c r="B8760" s="4" t="str">
        <f>IFERROR(__xludf.DUMMYFUNCTION("""COMPUTED_VALUE"""),"116, 105, 99, 106, 108, 109, 94")</f>
        <v>116, 105, 99, 106, 108, 109, 94</v>
      </c>
      <c r="C8760" s="5" t="str">
        <f>IFERROR(__xludf.DUMMYFUNCTION("""COMPUTED_VALUE"""),"https://drive.google.com/file/d/1TQ9F5jk4SugXCat32gkiWfqDCWxAGQ0q/view?usp=drivesdk")</f>
        <v>https://drive.google.com/file/d/1TQ9F5jk4SugXCat32gkiWfqDCWxAGQ0q/view?usp=drivesdk</v>
      </c>
      <c r="D8760" s="12"/>
      <c r="E8760" s="11"/>
      <c r="F8760" s="12"/>
    </row>
    <row r="8761" ht="14.25" customHeight="1">
      <c r="A8761" s="4" t="str">
        <f>IFERROR(__xludf.DUMMYFUNCTION("""COMPUTED_VALUE"""),"105. Chilton, 99. Nezhui, 94. Itztli, 116. Itzel, 106. Ami, 109. Tlalli, 100. Coatl, 108. Mazatl")</f>
        <v>105. Chilton, 99. Nezhui, 94. Itztli, 116. Itzel, 106. Ami, 109. Tlalli, 100. Coatl, 108. Mazatl</v>
      </c>
      <c r="B8761" s="4" t="str">
        <f>IFERROR(__xludf.DUMMYFUNCTION("""COMPUTED_VALUE"""),"105, 99, 94, 116, 106, 109, 100, 108")</f>
        <v>105, 99, 94, 116, 106, 109, 100, 108</v>
      </c>
      <c r="C8761" s="5" t="str">
        <f>IFERROR(__xludf.DUMMYFUNCTION("""COMPUTED_VALUE"""),"https://drive.google.com/file/d/1j-OwFLdl_oDESgi9Qhvo6gpUJAS1R7c4/view?usp=drivesdk")</f>
        <v>https://drive.google.com/file/d/1j-OwFLdl_oDESgi9Qhvo6gpUJAS1R7c4/view?usp=drivesdk</v>
      </c>
      <c r="D8761" s="12"/>
      <c r="E8761" s="11"/>
      <c r="F8761" s="12"/>
    </row>
    <row r="8762" ht="14.25" customHeight="1">
      <c r="A8762" s="4" t="str">
        <f>IFERROR(__xludf.DUMMYFUNCTION("""COMPUTED_VALUE"""),"116. Itzel")</f>
        <v>116. Itzel</v>
      </c>
      <c r="B8762" s="4" t="str">
        <f>IFERROR(__xludf.DUMMYFUNCTION("""COMPUTED_VALUE"""),"116")</f>
        <v>116</v>
      </c>
      <c r="C8762" s="5" t="str">
        <f>IFERROR(__xludf.DUMMYFUNCTION("""COMPUTED_VALUE"""),"https://drive.google.com/file/d/1LsUaIUEH_AWZWixTPAa33dok8mcd0Ksh/view?usp=drivesdk")</f>
        <v>https://drive.google.com/file/d/1LsUaIUEH_AWZWixTPAa33dok8mcd0Ksh/view?usp=drivesdk</v>
      </c>
      <c r="D8762" s="12"/>
      <c r="E8762" s="11"/>
      <c r="F8762" s="12"/>
    </row>
    <row r="8763" ht="14.25" customHeight="1">
      <c r="A8763" s="4" t="str">
        <f>IFERROR(__xludf.DUMMYFUNCTION("""COMPUTED_VALUE"""),"99. Nezhui")</f>
        <v>99. Nezhui</v>
      </c>
      <c r="B8763" s="4" t="str">
        <f>IFERROR(__xludf.DUMMYFUNCTION("""COMPUTED_VALUE"""),"99")</f>
        <v>99</v>
      </c>
      <c r="C8763" s="5" t="str">
        <f>IFERROR(__xludf.DUMMYFUNCTION("""COMPUTED_VALUE"""),"https://drive.google.com/file/d/1qa0HFKLspu_7k75-RCet6qzlAlWJn-3H/view?usp=drivesdk")</f>
        <v>https://drive.google.com/file/d/1qa0HFKLspu_7k75-RCet6qzlAlWJn-3H/view?usp=drivesdk</v>
      </c>
      <c r="D8763" s="12"/>
      <c r="E8763" s="11"/>
      <c r="F8763" s="12"/>
    </row>
    <row r="8764" ht="14.25" customHeight="1">
      <c r="A8764" s="4" t="str">
        <f>IFERROR(__xludf.DUMMYFUNCTION("""COMPUTED_VALUE"""),"95. Ariel")</f>
        <v>95. Ariel</v>
      </c>
      <c r="B8764" s="4" t="str">
        <f>IFERROR(__xludf.DUMMYFUNCTION("""COMPUTED_VALUE"""),"95")</f>
        <v>95</v>
      </c>
      <c r="C8764" s="5" t="str">
        <f>IFERROR(__xludf.DUMMYFUNCTION("""COMPUTED_VALUE"""),"https://drive.google.com/file/d/1ClbiLdcxBju3kunyOR9pUvc4RJI8H92J/view?usp=drivesdk")</f>
        <v>https://drive.google.com/file/d/1ClbiLdcxBju3kunyOR9pUvc4RJI8H92J/view?usp=drivesdk</v>
      </c>
      <c r="D8764" s="12"/>
      <c r="E8764" s="11"/>
      <c r="F8764" s="12"/>
    </row>
    <row r="8765" ht="14.25" customHeight="1">
      <c r="A8765" s="4" t="str">
        <f>IFERROR(__xludf.DUMMYFUNCTION("""COMPUTED_VALUE"""),"127. Eleanor")</f>
        <v>127. Eleanor</v>
      </c>
      <c r="B8765" s="4" t="str">
        <f>IFERROR(__xludf.DUMMYFUNCTION("""COMPUTED_VALUE"""),"127")</f>
        <v>127</v>
      </c>
      <c r="C8765" s="5" t="str">
        <f>IFERROR(__xludf.DUMMYFUNCTION("""COMPUTED_VALUE"""),"https://drive.google.com/file/d/1R15gkR-rIy8MYC9d8cLq_JyCGB6Czh8E/view?usp=drivesdk")</f>
        <v>https://drive.google.com/file/d/1R15gkR-rIy8MYC9d8cLq_JyCGB6Czh8E/view?usp=drivesdk</v>
      </c>
      <c r="D8765" s="12"/>
      <c r="E8765" s="11"/>
      <c r="F8765" s="12"/>
    </row>
    <row r="8766" ht="14.25" customHeight="1">
      <c r="A8766" s="4" t="str">
        <f>IFERROR(__xludf.DUMMYFUNCTION("""COMPUTED_VALUE"""),"1. Microwave")</f>
        <v>1. Microwave</v>
      </c>
      <c r="B8766" s="4" t="str">
        <f>IFERROR(__xludf.DUMMYFUNCTION("""COMPUTED_VALUE"""),"1")</f>
        <v>1</v>
      </c>
      <c r="C8766" s="5" t="str">
        <f>IFERROR(__xludf.DUMMYFUNCTION("""COMPUTED_VALUE"""),"https://drive.google.com/file/d/1FcomeF2trEDYxQ08Ku5zrxUvs8Jh3001/view?usp=drivesdk")</f>
        <v>https://drive.google.com/file/d/1FcomeF2trEDYxQ08Ku5zrxUvs8Jh3001/view?usp=drivesdk</v>
      </c>
      <c r="D8766" s="12"/>
      <c r="E8766" s="11"/>
      <c r="F8766" s="12"/>
    </row>
    <row r="8767" ht="14.25" customHeight="1">
      <c r="A8767" s="4" t="str">
        <f>IFERROR(__xludf.DUMMYFUNCTION("""COMPUTED_VALUE"""),"1. Microwave")</f>
        <v>1. Microwave</v>
      </c>
      <c r="B8767" s="4" t="str">
        <f>IFERROR(__xludf.DUMMYFUNCTION("""COMPUTED_VALUE"""),"1")</f>
        <v>1</v>
      </c>
      <c r="C8767" s="5" t="str">
        <f>IFERROR(__xludf.DUMMYFUNCTION("""COMPUTED_VALUE"""),"https://drive.google.com/file/d/1BJJmZ4djncAurTicirjeMLeQFbtOl8CX/view?usp=drivesdk")</f>
        <v>https://drive.google.com/file/d/1BJJmZ4djncAurTicirjeMLeQFbtOl8CX/view?usp=drivesdk</v>
      </c>
      <c r="D8767" s="12"/>
      <c r="E8767" s="11"/>
      <c r="F8767" s="12"/>
    </row>
    <row r="8768" ht="14.25" customHeight="1">
      <c r="A8768" s="4" t="str">
        <f>IFERROR(__xludf.DUMMYFUNCTION("""COMPUTED_VALUE"""),"1. Microwave")</f>
        <v>1. Microwave</v>
      </c>
      <c r="B8768" s="4" t="str">
        <f>IFERROR(__xludf.DUMMYFUNCTION("""COMPUTED_VALUE"""),"1")</f>
        <v>1</v>
      </c>
      <c r="C8768" s="5" t="str">
        <f>IFERROR(__xludf.DUMMYFUNCTION("""COMPUTED_VALUE"""),"https://drive.google.com/file/d/1gIFWPucKrNXumyXgL4McsJYOACFJjUGG/view?usp=drivesdk")</f>
        <v>https://drive.google.com/file/d/1gIFWPucKrNXumyXgL4McsJYOACFJjUGG/view?usp=drivesdk</v>
      </c>
      <c r="D8768" s="12"/>
      <c r="E8768" s="11"/>
      <c r="F8768" s="12"/>
    </row>
    <row r="8769" ht="14.25" customHeight="1">
      <c r="A8769" s="4" t="str">
        <f>IFERROR(__xludf.DUMMYFUNCTION("""COMPUTED_VALUE"""),"1. Microwave")</f>
        <v>1. Microwave</v>
      </c>
      <c r="B8769" s="4" t="str">
        <f>IFERROR(__xludf.DUMMYFUNCTION("""COMPUTED_VALUE"""),"1")</f>
        <v>1</v>
      </c>
      <c r="C8769" s="5" t="str">
        <f>IFERROR(__xludf.DUMMYFUNCTION("""COMPUTED_VALUE"""),"https://drive.google.com/file/d/1UDGZAjZL3AtuYz_7o_dpERO4cciTi8vC/view?usp=drivesdk")</f>
        <v>https://drive.google.com/file/d/1UDGZAjZL3AtuYz_7o_dpERO4cciTi8vC/view?usp=drivesdk</v>
      </c>
      <c r="D8769" s="12"/>
      <c r="E8769" s="11"/>
      <c r="F8769" s="12"/>
    </row>
    <row r="8770" ht="14.25" customHeight="1">
      <c r="A8770" s="4" t="str">
        <f>IFERROR(__xludf.DUMMYFUNCTION("""COMPUTED_VALUE"""),"1. Microwave")</f>
        <v>1. Microwave</v>
      </c>
      <c r="B8770" s="4" t="str">
        <f>IFERROR(__xludf.DUMMYFUNCTION("""COMPUTED_VALUE"""),"1")</f>
        <v>1</v>
      </c>
      <c r="C8770" s="5" t="str">
        <f>IFERROR(__xludf.DUMMYFUNCTION("""COMPUTED_VALUE"""),"https://drive.google.com/file/d/1huk3kHzJRX83cDqZALE15po724H_6UAF/view?usp=drivesdk")</f>
        <v>https://drive.google.com/file/d/1huk3kHzJRX83cDqZALE15po724H_6UAF/view?usp=drivesdk</v>
      </c>
      <c r="D8770" s="12"/>
      <c r="E8770" s="11"/>
      <c r="F8770" s="12"/>
    </row>
    <row r="8771" ht="14.25" customHeight="1">
      <c r="A8771" s="4" t="str">
        <f>IFERROR(__xludf.DUMMYFUNCTION("""COMPUTED_VALUE"""),"6. Snickers")</f>
        <v>6. Snickers</v>
      </c>
      <c r="B8771" s="4" t="str">
        <f>IFERROR(__xludf.DUMMYFUNCTION("""COMPUTED_VALUE"""),"6")</f>
        <v>6</v>
      </c>
      <c r="C8771" s="5" t="str">
        <f>IFERROR(__xludf.DUMMYFUNCTION("""COMPUTED_VALUE"""),"https://drive.google.com/file/d/1xwkrNq_Ulg7WX2G4GCg1u9TbPH2S_P5S/view?usp=drivesdk")</f>
        <v>https://drive.google.com/file/d/1xwkrNq_Ulg7WX2G4GCg1u9TbPH2S_P5S/view?usp=drivesdk</v>
      </c>
      <c r="D8771" s="12"/>
      <c r="E8771" s="11"/>
      <c r="F8771" s="12"/>
    </row>
    <row r="8772" ht="14.25" customHeight="1">
      <c r="A8772" s="4" t="str">
        <f>IFERROR(__xludf.DUMMYFUNCTION("""COMPUTED_VALUE"""),"6. Snickers")</f>
        <v>6. Snickers</v>
      </c>
      <c r="B8772" s="4" t="str">
        <f>IFERROR(__xludf.DUMMYFUNCTION("""COMPUTED_VALUE"""),"6")</f>
        <v>6</v>
      </c>
      <c r="C8772" s="5" t="str">
        <f>IFERROR(__xludf.DUMMYFUNCTION("""COMPUTED_VALUE"""),"https://drive.google.com/file/d/1hgfernUeyOX5I5NiJKc-XeuRHUFrBuYA/view?usp=drivesdk")</f>
        <v>https://drive.google.com/file/d/1hgfernUeyOX5I5NiJKc-XeuRHUFrBuYA/view?usp=drivesdk</v>
      </c>
      <c r="D8772" s="12"/>
      <c r="E8772" s="11"/>
      <c r="F8772" s="12"/>
    </row>
    <row r="8773" ht="14.25" customHeight="1">
      <c r="A8773" s="4" t="str">
        <f>IFERROR(__xludf.DUMMYFUNCTION("""COMPUTED_VALUE"""),"2. Twix")</f>
        <v>2. Twix</v>
      </c>
      <c r="B8773" s="4" t="str">
        <f>IFERROR(__xludf.DUMMYFUNCTION("""COMPUTED_VALUE"""),"2")</f>
        <v>2</v>
      </c>
      <c r="C8773" s="5" t="str">
        <f>IFERROR(__xludf.DUMMYFUNCTION("""COMPUTED_VALUE"""),"https://drive.google.com/file/d/1ehgSgswZI0ES93HffNFG6s67bsQd-U4r/view?usp=drivesdk")</f>
        <v>https://drive.google.com/file/d/1ehgSgswZI0ES93HffNFG6s67bsQd-U4r/view?usp=drivesdk</v>
      </c>
      <c r="D8773" s="12"/>
      <c r="E8773" s="11"/>
      <c r="F8773" s="12"/>
    </row>
    <row r="8774" ht="14.25" customHeight="1">
      <c r="A8774" s="4" t="str">
        <f>IFERROR(__xludf.DUMMYFUNCTION("""COMPUTED_VALUE"""),"2. Twix")</f>
        <v>2. Twix</v>
      </c>
      <c r="B8774" s="4" t="str">
        <f>IFERROR(__xludf.DUMMYFUNCTION("""COMPUTED_VALUE"""),"2")</f>
        <v>2</v>
      </c>
      <c r="C8774" s="5" t="str">
        <f>IFERROR(__xludf.DUMMYFUNCTION("""COMPUTED_VALUE"""),"https://drive.google.com/file/d/1yGTvTcMtgNibCt8gLddux9UH6CCRIqwk/view?usp=drivesdk")</f>
        <v>https://drive.google.com/file/d/1yGTvTcMtgNibCt8gLddux9UH6CCRIqwk/view?usp=drivesdk</v>
      </c>
      <c r="D8774" s="12"/>
      <c r="E8774" s="11"/>
      <c r="F8774" s="12"/>
    </row>
    <row r="8775" ht="14.25" customHeight="1">
      <c r="A8775" s="4" t="str">
        <f>IFERROR(__xludf.DUMMYFUNCTION("""COMPUTED_VALUE"""),"2. Twix")</f>
        <v>2. Twix</v>
      </c>
      <c r="B8775" s="4" t="str">
        <f>IFERROR(__xludf.DUMMYFUNCTION("""COMPUTED_VALUE"""),"2")</f>
        <v>2</v>
      </c>
      <c r="C8775" s="5" t="str">
        <f>IFERROR(__xludf.DUMMYFUNCTION("""COMPUTED_VALUE"""),"https://drive.google.com/file/d/1WjWwBCda5nKtkwGKQ0uX_3aJzAysbvF0/view?usp=drivesdk")</f>
        <v>https://drive.google.com/file/d/1WjWwBCda5nKtkwGKQ0uX_3aJzAysbvF0/view?usp=drivesdk</v>
      </c>
      <c r="D8775" s="12"/>
      <c r="E8775" s="11"/>
      <c r="F8775" s="12"/>
    </row>
    <row r="8776" ht="14.25" customHeight="1">
      <c r="A8776" s="4" t="str">
        <f>IFERROR(__xludf.DUMMYFUNCTION("""COMPUTED_VALUE"""),"2. Twix")</f>
        <v>2. Twix</v>
      </c>
      <c r="B8776" s="4" t="str">
        <f>IFERROR(__xludf.DUMMYFUNCTION("""COMPUTED_VALUE"""),"2")</f>
        <v>2</v>
      </c>
      <c r="C8776" s="5" t="str">
        <f>IFERROR(__xludf.DUMMYFUNCTION("""COMPUTED_VALUE"""),"https://drive.google.com/file/d/1-7bEmMJ3rkkaiEa1FTjbBYh1xACiV_rA/view?usp=drivesdk")</f>
        <v>https://drive.google.com/file/d/1-7bEmMJ3rkkaiEa1FTjbBYh1xACiV_rA/view?usp=drivesdk</v>
      </c>
      <c r="D8776" s="12"/>
      <c r="E8776" s="11"/>
      <c r="F8776" s="12"/>
    </row>
    <row r="8777" ht="14.25" customHeight="1">
      <c r="A8777" s="4" t="str">
        <f>IFERROR(__xludf.DUMMYFUNCTION("""COMPUTED_VALUE"""),"4. Eggs")</f>
        <v>4. Eggs</v>
      </c>
      <c r="B8777" s="4" t="str">
        <f>IFERROR(__xludf.DUMMYFUNCTION("""COMPUTED_VALUE"""),"4")</f>
        <v>4</v>
      </c>
      <c r="C8777" s="5" t="str">
        <f>IFERROR(__xludf.DUMMYFUNCTION("""COMPUTED_VALUE"""),"https://drive.google.com/file/d/11I2U40oVpNWbVNfMvF1AKYTtbFcG2Mlz/view?usp=drivesdk")</f>
        <v>https://drive.google.com/file/d/11I2U40oVpNWbVNfMvF1AKYTtbFcG2Mlz/view?usp=drivesdk</v>
      </c>
      <c r="D8777" s="12"/>
      <c r="E8777" s="11"/>
      <c r="F8777" s="12"/>
    </row>
    <row r="8778" ht="14.25" customHeight="1">
      <c r="A8778" s="4" t="str">
        <f>IFERROR(__xludf.DUMMYFUNCTION("""COMPUTED_VALUE"""),"1. Microwave")</f>
        <v>1. Microwave</v>
      </c>
      <c r="B8778" s="4" t="str">
        <f>IFERROR(__xludf.DUMMYFUNCTION("""COMPUTED_VALUE"""),"1")</f>
        <v>1</v>
      </c>
      <c r="C8778" s="5" t="str">
        <f>IFERROR(__xludf.DUMMYFUNCTION("""COMPUTED_VALUE"""),"https://drive.google.com/file/d/1LB_LYuJA0k_q5L3cQ_BIkKU5J1hSrc0K/view?usp=drivesdk")</f>
        <v>https://drive.google.com/file/d/1LB_LYuJA0k_q5L3cQ_BIkKU5J1hSrc0K/view?usp=drivesdk</v>
      </c>
      <c r="D8778" s="12"/>
      <c r="E8778" s="11"/>
      <c r="F8778" s="12"/>
    </row>
    <row r="8779" ht="14.25" customHeight="1">
      <c r="A8779" s="4" t="str">
        <f>IFERROR(__xludf.DUMMYFUNCTION("""COMPUTED_VALUE"""),"2. Twix")</f>
        <v>2. Twix</v>
      </c>
      <c r="B8779" s="4" t="str">
        <f>IFERROR(__xludf.DUMMYFUNCTION("""COMPUTED_VALUE"""),"2")</f>
        <v>2</v>
      </c>
      <c r="C8779" s="5" t="str">
        <f>IFERROR(__xludf.DUMMYFUNCTION("""COMPUTED_VALUE"""),"https://drive.google.com/file/d/1xWbX5oLAA7fKsh1DSMgaAe1df8rX6ASw/view?usp=drivesdk")</f>
        <v>https://drive.google.com/file/d/1xWbX5oLAA7fKsh1DSMgaAe1df8rX6ASw/view?usp=drivesdk</v>
      </c>
      <c r="D8779" s="12"/>
      <c r="E8779" s="11"/>
      <c r="F8779" s="12"/>
    </row>
    <row r="8780" ht="14.25" customHeight="1">
      <c r="A8780" s="4" t="str">
        <f>IFERROR(__xludf.DUMMYFUNCTION("""COMPUTED_VALUE"""),"116. Itzel")</f>
        <v>116. Itzel</v>
      </c>
      <c r="B8780" s="4" t="str">
        <f>IFERROR(__xludf.DUMMYFUNCTION("""COMPUTED_VALUE"""),"116")</f>
        <v>116</v>
      </c>
      <c r="C8780" s="5" t="str">
        <f>IFERROR(__xludf.DUMMYFUNCTION("""COMPUTED_VALUE"""),"https://drive.google.com/file/d/1kMohElB0b3NdtNjgziep4ykOhP-VkS95/view?usp=drivesdk")</f>
        <v>https://drive.google.com/file/d/1kMohElB0b3NdtNjgziep4ykOhP-VkS95/view?usp=drivesdk</v>
      </c>
      <c r="D8780" s="12"/>
      <c r="E8780" s="11"/>
      <c r="F8780" s="12"/>
    </row>
    <row r="8781" ht="14.25" customHeight="1">
      <c r="A8781" s="4" t="str">
        <f>IFERROR(__xludf.DUMMYFUNCTION("""COMPUTED_VALUE"""),"114. Elision")</f>
        <v>114. Elision</v>
      </c>
      <c r="B8781" s="4" t="str">
        <f>IFERROR(__xludf.DUMMYFUNCTION("""COMPUTED_VALUE"""),"114")</f>
        <v>114</v>
      </c>
      <c r="C8781" s="5" t="str">
        <f>IFERROR(__xludf.DUMMYFUNCTION("""COMPUTED_VALUE"""),"https://drive.google.com/file/d/1T7O4PP3wXe3Qba5VnVud7OoyMD9nzRSP/view?usp=drivesdk")</f>
        <v>https://drive.google.com/file/d/1T7O4PP3wXe3Qba5VnVud7OoyMD9nzRSP/view?usp=drivesdk</v>
      </c>
      <c r="D8781" s="12"/>
      <c r="E8781" s="11"/>
      <c r="F8781" s="12"/>
    </row>
    <row r="8782" ht="14.25" customHeight="1">
      <c r="A8782" s="4" t="str">
        <f>IFERROR(__xludf.DUMMYFUNCTION("""COMPUTED_VALUE"""),"108. Mazatl")</f>
        <v>108. Mazatl</v>
      </c>
      <c r="B8782" s="4" t="str">
        <f>IFERROR(__xludf.DUMMYFUNCTION("""COMPUTED_VALUE"""),"108")</f>
        <v>108</v>
      </c>
      <c r="C8782" s="5" t="str">
        <f>IFERROR(__xludf.DUMMYFUNCTION("""COMPUTED_VALUE"""),"https://drive.google.com/file/d/1e7VrG_3uEUwE207aKsf3MMUGP8Tl2Jbb/view?usp=drivesdk")</f>
        <v>https://drive.google.com/file/d/1e7VrG_3uEUwE207aKsf3MMUGP8Tl2Jbb/view?usp=drivesdk</v>
      </c>
      <c r="D8782" s="12"/>
      <c r="E8782" s="11"/>
      <c r="F8782" s="12"/>
    </row>
    <row r="8783" ht="14.25" customHeight="1">
      <c r="A8783" s="4" t="str">
        <f>IFERROR(__xludf.DUMMYFUNCTION("""COMPUTED_VALUE"""),"80. Atzi")</f>
        <v>80. Atzi</v>
      </c>
      <c r="B8783" s="4" t="str">
        <f>IFERROR(__xludf.DUMMYFUNCTION("""COMPUTED_VALUE"""),"80")</f>
        <v>80</v>
      </c>
      <c r="C8783" s="5" t="str">
        <f>IFERROR(__xludf.DUMMYFUNCTION("""COMPUTED_VALUE"""),"https://drive.google.com/file/d/1nUPrLtZqaFJKGPFBxXaD8aQ-wgeN-CzO/view?usp=drivesdk")</f>
        <v>https://drive.google.com/file/d/1nUPrLtZqaFJKGPFBxXaD8aQ-wgeN-CzO/view?usp=drivesdk</v>
      </c>
      <c r="D8783" s="12"/>
      <c r="E8783" s="11"/>
      <c r="F8783" s="12"/>
    </row>
    <row r="8784" ht="14.25" customHeight="1">
      <c r="A8784" s="4" t="str">
        <f>IFERROR(__xludf.DUMMYFUNCTION("""COMPUTED_VALUE"""),"2. Twix")</f>
        <v>2. Twix</v>
      </c>
      <c r="B8784" s="4" t="str">
        <f>IFERROR(__xludf.DUMMYFUNCTION("""COMPUTED_VALUE"""),"2")</f>
        <v>2</v>
      </c>
      <c r="C8784" s="5" t="str">
        <f>IFERROR(__xludf.DUMMYFUNCTION("""COMPUTED_VALUE"""),"https://drive.google.com/file/d/1EXy_zVE-ApFqLVE9V0k-oJEhEn-g0qAK/view?usp=drivesdk")</f>
        <v>https://drive.google.com/file/d/1EXy_zVE-ApFqLVE9V0k-oJEhEn-g0qAK/view?usp=drivesdk</v>
      </c>
      <c r="D8784" s="12"/>
      <c r="E8784" s="11"/>
      <c r="F8784" s="12"/>
    </row>
    <row r="8785" ht="14.25" customHeight="1">
      <c r="A8785" s="4" t="str">
        <f>IFERROR(__xludf.DUMMYFUNCTION("""COMPUTED_VALUE"""),"2. Twix")</f>
        <v>2. Twix</v>
      </c>
      <c r="B8785" s="4" t="str">
        <f>IFERROR(__xludf.DUMMYFUNCTION("""COMPUTED_VALUE"""),"2")</f>
        <v>2</v>
      </c>
      <c r="C8785" s="5" t="str">
        <f>IFERROR(__xludf.DUMMYFUNCTION("""COMPUTED_VALUE"""),"https://drive.google.com/file/d/17aWsT51m_QJMK4bsGYWpxzyU-1WlArGF/view?usp=drivesdk")</f>
        <v>https://drive.google.com/file/d/17aWsT51m_QJMK4bsGYWpxzyU-1WlArGF/view?usp=drivesdk</v>
      </c>
      <c r="D8785" s="12"/>
      <c r="E8785" s="11"/>
      <c r="F8785" s="12"/>
    </row>
    <row r="8786" ht="14.25" customHeight="1">
      <c r="A8786" s="4" t="str">
        <f>IFERROR(__xludf.DUMMYFUNCTION("""COMPUTED_VALUE"""),"2. Twix")</f>
        <v>2. Twix</v>
      </c>
      <c r="B8786" s="4" t="str">
        <f>IFERROR(__xludf.DUMMYFUNCTION("""COMPUTED_VALUE"""),"2")</f>
        <v>2</v>
      </c>
      <c r="C8786" s="5" t="str">
        <f>IFERROR(__xludf.DUMMYFUNCTION("""COMPUTED_VALUE"""),"https://drive.google.com/file/d/1lEbFMD4kYxwYnva2EKLbFKO3XseulSm4/view?usp=drivesdk")</f>
        <v>https://drive.google.com/file/d/1lEbFMD4kYxwYnva2EKLbFKO3XseulSm4/view?usp=drivesdk</v>
      </c>
      <c r="D8786" s="12"/>
      <c r="E8786" s="11"/>
      <c r="F8786" s="12"/>
    </row>
    <row r="8787" ht="14.25" customHeight="1">
      <c r="A8787" s="4" t="str">
        <f>IFERROR(__xludf.DUMMYFUNCTION("""COMPUTED_VALUE"""),"2. Twix")</f>
        <v>2. Twix</v>
      </c>
      <c r="B8787" s="4" t="str">
        <f>IFERROR(__xludf.DUMMYFUNCTION("""COMPUTED_VALUE"""),"2")</f>
        <v>2</v>
      </c>
      <c r="C8787" s="5" t="str">
        <f>IFERROR(__xludf.DUMMYFUNCTION("""COMPUTED_VALUE"""),"https://drive.google.com/file/d/1dyqxsMgswLmJROJRl9_kv6Y3K2V3g-uX/view?usp=drivesdk")</f>
        <v>https://drive.google.com/file/d/1dyqxsMgswLmJROJRl9_kv6Y3K2V3g-uX/view?usp=drivesdk</v>
      </c>
      <c r="D8787" s="12"/>
      <c r="E8787" s="11"/>
      <c r="F8787" s="12"/>
    </row>
    <row r="8788" ht="14.25" customHeight="1">
      <c r="A8788" s="4" t="str">
        <f>IFERROR(__xludf.DUMMYFUNCTION("""COMPUTED_VALUE"""),"0. NotACat")</f>
        <v>0. NotACat</v>
      </c>
      <c r="B8788" s="4" t="str">
        <f>IFERROR(__xludf.DUMMYFUNCTION("""COMPUTED_VALUE"""),"0")</f>
        <v>0</v>
      </c>
      <c r="C8788" s="5" t="str">
        <f>IFERROR(__xludf.DUMMYFUNCTION("""COMPUTED_VALUE"""),"https://drive.google.com/file/d/1qqw8a_DlmYKNcSvKPg20Noqwe_yFOkQE/view?usp=drivesdk")</f>
        <v>https://drive.google.com/file/d/1qqw8a_DlmYKNcSvKPg20Noqwe_yFOkQE/view?usp=drivesdk</v>
      </c>
      <c r="D8788" s="12"/>
      <c r="E8788" s="11"/>
      <c r="F8788" s="12"/>
    </row>
    <row r="8789" ht="14.25" customHeight="1">
      <c r="A8789" s="4" t="str">
        <f>IFERROR(__xludf.DUMMYFUNCTION("""COMPUTED_VALUE"""),"2. Twix")</f>
        <v>2. Twix</v>
      </c>
      <c r="B8789" s="4" t="str">
        <f>IFERROR(__xludf.DUMMYFUNCTION("""COMPUTED_VALUE"""),"2")</f>
        <v>2</v>
      </c>
      <c r="C8789" s="5" t="str">
        <f>IFERROR(__xludf.DUMMYFUNCTION("""COMPUTED_VALUE"""),"https://drive.google.com/file/d/1h_cOrLAUSwb6Z8cKpwAX5AoW39IGKFFA/view?usp=drivesdk")</f>
        <v>https://drive.google.com/file/d/1h_cOrLAUSwb6Z8cKpwAX5AoW39IGKFFA/view?usp=drivesdk</v>
      </c>
      <c r="D8789" s="12"/>
      <c r="E8789" s="11"/>
      <c r="F8789" s="12"/>
    </row>
    <row r="8790" ht="14.25" customHeight="1">
      <c r="A8790" s="4" t="str">
        <f>IFERROR(__xludf.DUMMYFUNCTION("""COMPUTED_VALUE"""),"1. Microwave")</f>
        <v>1. Microwave</v>
      </c>
      <c r="B8790" s="4" t="str">
        <f>IFERROR(__xludf.DUMMYFUNCTION("""COMPUTED_VALUE"""),"1")</f>
        <v>1</v>
      </c>
      <c r="C8790" s="5" t="str">
        <f>IFERROR(__xludf.DUMMYFUNCTION("""COMPUTED_VALUE"""),"https://drive.google.com/file/d/18uLZxfO4Mh0rT-Bm9qnLjBtDLvnPmQiP/view?usp=drivesdk")</f>
        <v>https://drive.google.com/file/d/18uLZxfO4Mh0rT-Bm9qnLjBtDLvnPmQiP/view?usp=drivesdk</v>
      </c>
      <c r="D8790" s="12"/>
      <c r="E8790" s="11"/>
      <c r="F8790" s="12"/>
    </row>
    <row r="8791" ht="14.25" customHeight="1">
      <c r="A8791" s="4" t="str">
        <f>IFERROR(__xludf.DUMMYFUNCTION("""COMPUTED_VALUE"""),"1. Microwave")</f>
        <v>1. Microwave</v>
      </c>
      <c r="B8791" s="4" t="str">
        <f>IFERROR(__xludf.DUMMYFUNCTION("""COMPUTED_VALUE"""),"1")</f>
        <v>1</v>
      </c>
      <c r="C8791" s="5" t="str">
        <f>IFERROR(__xludf.DUMMYFUNCTION("""COMPUTED_VALUE"""),"https://drive.google.com/file/d/1LDVzk7LQd8GpFk9GwX-eXve8rTFPSf7F/view?usp=drivesdk")</f>
        <v>https://drive.google.com/file/d/1LDVzk7LQd8GpFk9GwX-eXve8rTFPSf7F/view?usp=drivesdk</v>
      </c>
      <c r="D8791" s="12"/>
      <c r="E8791" s="11"/>
      <c r="F8791" s="12"/>
    </row>
    <row r="8792" ht="14.25" customHeight="1">
      <c r="A8792" s="4" t="str">
        <f>IFERROR(__xludf.DUMMYFUNCTION("""COMPUTED_VALUE"""),"1. Microwave")</f>
        <v>1. Microwave</v>
      </c>
      <c r="B8792" s="4" t="str">
        <f>IFERROR(__xludf.DUMMYFUNCTION("""COMPUTED_VALUE"""),"1")</f>
        <v>1</v>
      </c>
      <c r="C8792" s="5" t="str">
        <f>IFERROR(__xludf.DUMMYFUNCTION("""COMPUTED_VALUE"""),"https://drive.google.com/file/d/1gYnNMIyHRtZEwlBmqTpp4XL6dp6Q0YJT/view?usp=drivesdk")</f>
        <v>https://drive.google.com/file/d/1gYnNMIyHRtZEwlBmqTpp4XL6dp6Q0YJT/view?usp=drivesdk</v>
      </c>
      <c r="D8792" s="12"/>
      <c r="E8792" s="11"/>
      <c r="F8792" s="12"/>
    </row>
    <row r="8793" ht="14.25" customHeight="1">
      <c r="A8793" s="4" t="str">
        <f>IFERROR(__xludf.DUMMYFUNCTION("""COMPUTED_VALUE"""),"2. Twix")</f>
        <v>2. Twix</v>
      </c>
      <c r="B8793" s="4" t="str">
        <f>IFERROR(__xludf.DUMMYFUNCTION("""COMPUTED_VALUE"""),"2")</f>
        <v>2</v>
      </c>
      <c r="C8793" s="5" t="str">
        <f>IFERROR(__xludf.DUMMYFUNCTION("""COMPUTED_VALUE"""),"https://drive.google.com/file/d/1IzEJ7DeGa8RHSWo2iZQEA6q1oRe0VCbp/view?usp=drivesdk")</f>
        <v>https://drive.google.com/file/d/1IzEJ7DeGa8RHSWo2iZQEA6q1oRe0VCbp/view?usp=drivesdk</v>
      </c>
      <c r="D8793" s="12"/>
      <c r="E8793" s="11"/>
      <c r="F8793" s="12"/>
    </row>
    <row r="8794" ht="14.25" customHeight="1">
      <c r="A8794" s="4" t="str">
        <f>IFERROR(__xludf.DUMMYFUNCTION("""COMPUTED_VALUE"""),"2. Twix")</f>
        <v>2. Twix</v>
      </c>
      <c r="B8794" s="4" t="str">
        <f>IFERROR(__xludf.DUMMYFUNCTION("""COMPUTED_VALUE"""),"2")</f>
        <v>2</v>
      </c>
      <c r="C8794" s="5" t="str">
        <f>IFERROR(__xludf.DUMMYFUNCTION("""COMPUTED_VALUE"""),"https://drive.google.com/file/d/1qfyhlG_Ys7JY0IbDjhBQO-4etUWIes3a/view?usp=drivesdk")</f>
        <v>https://drive.google.com/file/d/1qfyhlG_Ys7JY0IbDjhBQO-4etUWIes3a/view?usp=drivesdk</v>
      </c>
      <c r="D8794" s="12"/>
      <c r="E8794" s="11"/>
      <c r="F8794" s="12"/>
    </row>
    <row r="8795" ht="14.25" customHeight="1">
      <c r="A8795" s="4" t="str">
        <f>IFERROR(__xludf.DUMMYFUNCTION("""COMPUTED_VALUE"""),"2. Twix")</f>
        <v>2. Twix</v>
      </c>
      <c r="B8795" s="4" t="str">
        <f>IFERROR(__xludf.DUMMYFUNCTION("""COMPUTED_VALUE"""),"2")</f>
        <v>2</v>
      </c>
      <c r="C8795" s="5" t="str">
        <f>IFERROR(__xludf.DUMMYFUNCTION("""COMPUTED_VALUE"""),"https://drive.google.com/file/d/1C0DbeGJ-J8oAkifprVvoAzXg1fXWifUf/view?usp=drivesdk")</f>
        <v>https://drive.google.com/file/d/1C0DbeGJ-J8oAkifprVvoAzXg1fXWifUf/view?usp=drivesdk</v>
      </c>
      <c r="D8795" s="12"/>
      <c r="E8795" s="11"/>
      <c r="F8795" s="12"/>
    </row>
    <row r="8796" ht="14.25" customHeight="1">
      <c r="A8796" s="4" t="str">
        <f>IFERROR(__xludf.DUMMYFUNCTION("""COMPUTED_VALUE"""),"2. Twix")</f>
        <v>2. Twix</v>
      </c>
      <c r="B8796" s="4" t="str">
        <f>IFERROR(__xludf.DUMMYFUNCTION("""COMPUTED_VALUE"""),"2")</f>
        <v>2</v>
      </c>
      <c r="C8796" s="5" t="str">
        <f>IFERROR(__xludf.DUMMYFUNCTION("""COMPUTED_VALUE"""),"https://drive.google.com/file/d/1_OsWxntCqXq2T2QUQ9bL37TRqZnhqAki/view?usp=drivesdk")</f>
        <v>https://drive.google.com/file/d/1_OsWxntCqXq2T2QUQ9bL37TRqZnhqAki/view?usp=drivesdk</v>
      </c>
      <c r="D8796" s="12"/>
      <c r="E8796" s="11"/>
      <c r="F8796" s="12"/>
    </row>
    <row r="8797" ht="14.25" customHeight="1">
      <c r="A8797" s="4" t="str">
        <f>IFERROR(__xludf.DUMMYFUNCTION("""COMPUTED_VALUE"""),"2. Twix")</f>
        <v>2. Twix</v>
      </c>
      <c r="B8797" s="4" t="str">
        <f>IFERROR(__xludf.DUMMYFUNCTION("""COMPUTED_VALUE"""),"2")</f>
        <v>2</v>
      </c>
      <c r="C8797" s="5" t="str">
        <f>IFERROR(__xludf.DUMMYFUNCTION("""COMPUTED_VALUE"""),"https://drive.google.com/file/d/1Wu3xyU937oCZ264TUM43gCurWQ3v4Zu8/view?usp=drivesdk")</f>
        <v>https://drive.google.com/file/d/1Wu3xyU937oCZ264TUM43gCurWQ3v4Zu8/view?usp=drivesdk</v>
      </c>
      <c r="D8797" s="12"/>
      <c r="E8797" s="11"/>
      <c r="F8797" s="12"/>
    </row>
    <row r="8798" ht="14.25" customHeight="1">
      <c r="A8798" s="4" t="str">
        <f>IFERROR(__xludf.DUMMYFUNCTION("""COMPUTED_VALUE"""),"2. Twix")</f>
        <v>2. Twix</v>
      </c>
      <c r="B8798" s="4" t="str">
        <f>IFERROR(__xludf.DUMMYFUNCTION("""COMPUTED_VALUE"""),"2")</f>
        <v>2</v>
      </c>
      <c r="C8798" s="5" t="str">
        <f>IFERROR(__xludf.DUMMYFUNCTION("""COMPUTED_VALUE"""),"https://drive.google.com/file/d/1MbYizd-Z90ESKTZwe1y2XerQu5zOCX1d/view?usp=drivesdk")</f>
        <v>https://drive.google.com/file/d/1MbYizd-Z90ESKTZwe1y2XerQu5zOCX1d/view?usp=drivesdk</v>
      </c>
      <c r="D8798" s="12"/>
      <c r="E8798" s="11"/>
      <c r="F8798" s="12"/>
    </row>
    <row r="8799" ht="14.25" customHeight="1">
      <c r="A8799" s="4" t="str">
        <f>IFERROR(__xludf.DUMMYFUNCTION("""COMPUTED_VALUE"""),"2. Twix")</f>
        <v>2. Twix</v>
      </c>
      <c r="B8799" s="4" t="str">
        <f>IFERROR(__xludf.DUMMYFUNCTION("""COMPUTED_VALUE"""),"2")</f>
        <v>2</v>
      </c>
      <c r="C8799" s="5" t="str">
        <f>IFERROR(__xludf.DUMMYFUNCTION("""COMPUTED_VALUE"""),"https://drive.google.com/file/d/1WO3OTvBcGQ-N_OnTKOatM7Of0poJWEM4/view?usp=drivesdk")</f>
        <v>https://drive.google.com/file/d/1WO3OTvBcGQ-N_OnTKOatM7Of0poJWEM4/view?usp=drivesdk</v>
      </c>
      <c r="D8799" s="12"/>
      <c r="E8799" s="11"/>
      <c r="F8799" s="12"/>
    </row>
    <row r="8800" ht="14.25" customHeight="1">
      <c r="A8800" s="4" t="str">
        <f>IFERROR(__xludf.DUMMYFUNCTION("""COMPUTED_VALUE"""),"2. Twix")</f>
        <v>2. Twix</v>
      </c>
      <c r="B8800" s="4" t="str">
        <f>IFERROR(__xludf.DUMMYFUNCTION("""COMPUTED_VALUE"""),"2")</f>
        <v>2</v>
      </c>
      <c r="C8800" s="5" t="str">
        <f>IFERROR(__xludf.DUMMYFUNCTION("""COMPUTED_VALUE"""),"https://drive.google.com/file/d/1Qnw-3Yqltat8KcFFxZwq8JZG21IqVaXy/view?usp=drivesdk")</f>
        <v>https://drive.google.com/file/d/1Qnw-3Yqltat8KcFFxZwq8JZG21IqVaXy/view?usp=drivesdk</v>
      </c>
      <c r="D8800" s="12"/>
      <c r="E8800" s="11"/>
      <c r="F8800" s="12"/>
    </row>
    <row r="8801" ht="14.25" customHeight="1">
      <c r="A8801" s="4" t="str">
        <f>IFERROR(__xludf.DUMMYFUNCTION("""COMPUTED_VALUE"""),"2. Twix")</f>
        <v>2. Twix</v>
      </c>
      <c r="B8801" s="4" t="str">
        <f>IFERROR(__xludf.DUMMYFUNCTION("""COMPUTED_VALUE"""),"2")</f>
        <v>2</v>
      </c>
      <c r="C8801" s="5" t="str">
        <f>IFERROR(__xludf.DUMMYFUNCTION("""COMPUTED_VALUE"""),"https://drive.google.com/file/d/1cqaAbgyLXqoMVLtHX9oKK2mH8IfwLLph/view?usp=drivesdk")</f>
        <v>https://drive.google.com/file/d/1cqaAbgyLXqoMVLtHX9oKK2mH8IfwLLph/view?usp=drivesdk</v>
      </c>
      <c r="D8801" s="12"/>
      <c r="E8801" s="11"/>
      <c r="F8801" s="12"/>
    </row>
    <row r="8802" ht="14.25" customHeight="1">
      <c r="A8802" s="4" t="str">
        <f>IFERROR(__xludf.DUMMYFUNCTION("""COMPUTED_VALUE"""),"2. Twix")</f>
        <v>2. Twix</v>
      </c>
      <c r="B8802" s="4" t="str">
        <f>IFERROR(__xludf.DUMMYFUNCTION("""COMPUTED_VALUE"""),"2")</f>
        <v>2</v>
      </c>
      <c r="C8802" s="5" t="str">
        <f>IFERROR(__xludf.DUMMYFUNCTION("""COMPUTED_VALUE"""),"https://drive.google.com/file/d/14O22HZeWavd7BeIoDOR4uCmprZisYvoo/view?usp=drivesdk")</f>
        <v>https://drive.google.com/file/d/14O22HZeWavd7BeIoDOR4uCmprZisYvoo/view?usp=drivesdk</v>
      </c>
      <c r="D8802" s="12"/>
      <c r="E8802" s="11"/>
      <c r="F8802" s="12"/>
    </row>
    <row r="8803" ht="14.25" customHeight="1">
      <c r="A8803" s="4" t="str">
        <f>IFERROR(__xludf.DUMMYFUNCTION("""COMPUTED_VALUE"""),"2. Twix")</f>
        <v>2. Twix</v>
      </c>
      <c r="B8803" s="4" t="str">
        <f>IFERROR(__xludf.DUMMYFUNCTION("""COMPUTED_VALUE"""),"2")</f>
        <v>2</v>
      </c>
      <c r="C8803" s="5" t="str">
        <f>IFERROR(__xludf.DUMMYFUNCTION("""COMPUTED_VALUE"""),"https://drive.google.com/file/d/1OrL2yvHCrKgE8GHYoWRX-J9XpAq1xrhp/view?usp=drivesdk")</f>
        <v>https://drive.google.com/file/d/1OrL2yvHCrKgE8GHYoWRX-J9XpAq1xrhp/view?usp=drivesdk</v>
      </c>
      <c r="D8803" s="12"/>
      <c r="E8803" s="11"/>
      <c r="F8803" s="12"/>
    </row>
    <row r="8804" ht="14.25" customHeight="1">
      <c r="A8804" s="4" t="str">
        <f>IFERROR(__xludf.DUMMYFUNCTION("""COMPUTED_VALUE"""),"2. Twix")</f>
        <v>2. Twix</v>
      </c>
      <c r="B8804" s="4" t="str">
        <f>IFERROR(__xludf.DUMMYFUNCTION("""COMPUTED_VALUE"""),"2")</f>
        <v>2</v>
      </c>
      <c r="C8804" s="5" t="str">
        <f>IFERROR(__xludf.DUMMYFUNCTION("""COMPUTED_VALUE"""),"https://drive.google.com/file/d/1QzDCQnbxVzpOL5QZoNNqZrlNyKmyuSkR/view?usp=drivesdk")</f>
        <v>https://drive.google.com/file/d/1QzDCQnbxVzpOL5QZoNNqZrlNyKmyuSkR/view?usp=drivesdk</v>
      </c>
      <c r="D8804" s="12"/>
      <c r="E8804" s="11"/>
      <c r="F8804" s="12"/>
    </row>
    <row r="8805" ht="14.25" customHeight="1">
      <c r="A8805" s="4" t="str">
        <f>IFERROR(__xludf.DUMMYFUNCTION("""COMPUTED_VALUE"""),"2. Twix")</f>
        <v>2. Twix</v>
      </c>
      <c r="B8805" s="4" t="str">
        <f>IFERROR(__xludf.DUMMYFUNCTION("""COMPUTED_VALUE"""),"2")</f>
        <v>2</v>
      </c>
      <c r="C8805" s="5" t="str">
        <f>IFERROR(__xludf.DUMMYFUNCTION("""COMPUTED_VALUE"""),"https://drive.google.com/file/d/1P2Zm5bmn327bk7ECrGxidymc143UW3bB/view?usp=drivesdk")</f>
        <v>https://drive.google.com/file/d/1P2Zm5bmn327bk7ECrGxidymc143UW3bB/view?usp=drivesdk</v>
      </c>
      <c r="D8805" s="12"/>
      <c r="E8805" s="11"/>
      <c r="F8805" s="12"/>
    </row>
    <row r="8806" ht="14.25" customHeight="1">
      <c r="A8806" s="4" t="str">
        <f>IFERROR(__xludf.DUMMYFUNCTION("""COMPUTED_VALUE"""),"4. Eggs")</f>
        <v>4. Eggs</v>
      </c>
      <c r="B8806" s="4" t="str">
        <f>IFERROR(__xludf.DUMMYFUNCTION("""COMPUTED_VALUE"""),"4")</f>
        <v>4</v>
      </c>
      <c r="C8806" s="5" t="str">
        <f>IFERROR(__xludf.DUMMYFUNCTION("""COMPUTED_VALUE"""),"https://drive.google.com/file/d/1ph5TVCJXA5O1K0Mf7mOH1DZ6D2z1XM8f/view?usp=drivesdk")</f>
        <v>https://drive.google.com/file/d/1ph5TVCJXA5O1K0Mf7mOH1DZ6D2z1XM8f/view?usp=drivesdk</v>
      </c>
      <c r="D8806" s="12"/>
      <c r="E8806" s="11"/>
      <c r="F8806" s="12"/>
    </row>
    <row r="8807" ht="14.25" customHeight="1">
      <c r="A8807" s="4" t="str">
        <f>IFERROR(__xludf.DUMMYFUNCTION("""COMPUTED_VALUE"""),"101. Nori")</f>
        <v>101. Nori</v>
      </c>
      <c r="B8807" s="4" t="str">
        <f>IFERROR(__xludf.DUMMYFUNCTION("""COMPUTED_VALUE"""),"101")</f>
        <v>101</v>
      </c>
      <c r="C8807" s="5" t="str">
        <f>IFERROR(__xludf.DUMMYFUNCTION("""COMPUTED_VALUE"""),"https://drive.google.com/file/d/1_W1jxU_lhTB6wOWFNXUL6MbOLvHN6kWU/view?usp=drivesdk")</f>
        <v>https://drive.google.com/file/d/1_W1jxU_lhTB6wOWFNXUL6MbOLvHN6kWU/view?usp=drivesdk</v>
      </c>
      <c r="D8807" s="12"/>
      <c r="E8807" s="11"/>
      <c r="F8807" s="12"/>
    </row>
    <row r="8808" ht="14.25" customHeight="1">
      <c r="A8808" s="4"/>
      <c r="B8808" s="4" t="str">
        <f>IFERROR(__xludf.DUMMYFUNCTION("""COMPUTED_VALUE"""),"")</f>
        <v/>
      </c>
      <c r="C8808" s="12"/>
      <c r="D8808" s="12"/>
      <c r="E8808" s="11"/>
      <c r="F8808" s="12"/>
    </row>
    <row r="8809" ht="14.25" customHeight="1">
      <c r="A8809" s="4"/>
      <c r="B8809" s="4" t="str">
        <f>IFERROR(__xludf.DUMMYFUNCTION("""COMPUTED_VALUE"""),"")</f>
        <v/>
      </c>
      <c r="C8809" s="12"/>
      <c r="D8809" s="12"/>
      <c r="E8809" s="11"/>
      <c r="F8809" s="12"/>
    </row>
    <row r="8810" ht="14.25" customHeight="1">
      <c r="A8810" s="4"/>
      <c r="B8810" s="4" t="str">
        <f>IFERROR(__xludf.DUMMYFUNCTION("""COMPUTED_VALUE"""),"")</f>
        <v/>
      </c>
      <c r="C8810" s="12"/>
      <c r="D8810" s="12"/>
      <c r="E8810" s="11"/>
      <c r="F8810" s="12"/>
    </row>
    <row r="8811" ht="14.25" customHeight="1">
      <c r="A8811" s="4"/>
      <c r="B8811" s="4" t="str">
        <f>IFERROR(__xludf.DUMMYFUNCTION("""COMPUTED_VALUE"""),"")</f>
        <v/>
      </c>
      <c r="C8811" s="12"/>
      <c r="D8811" s="12"/>
      <c r="E8811" s="11"/>
      <c r="F8811" s="12"/>
    </row>
    <row r="8812" ht="14.25" customHeight="1">
      <c r="A8812" s="4"/>
      <c r="B8812" s="4" t="str">
        <f>IFERROR(__xludf.DUMMYFUNCTION("""COMPUTED_VALUE"""),"")</f>
        <v/>
      </c>
      <c r="C8812" s="12"/>
      <c r="D8812" s="12"/>
      <c r="E8812" s="11"/>
      <c r="F8812" s="12"/>
    </row>
    <row r="8813" ht="14.25" customHeight="1">
      <c r="A8813" s="4"/>
      <c r="B8813" s="4" t="str">
        <f>IFERROR(__xludf.DUMMYFUNCTION("""COMPUTED_VALUE"""),"")</f>
        <v/>
      </c>
      <c r="C8813" s="12"/>
      <c r="D8813" s="12"/>
      <c r="E8813" s="11"/>
      <c r="F8813" s="12"/>
    </row>
    <row r="8814" ht="14.25" customHeight="1">
      <c r="A8814" s="4"/>
      <c r="B8814" s="4" t="str">
        <f>IFERROR(__xludf.DUMMYFUNCTION("""COMPUTED_VALUE"""),"")</f>
        <v/>
      </c>
      <c r="C8814" s="12"/>
      <c r="D8814" s="12"/>
      <c r="E8814" s="11"/>
      <c r="F8814" s="12"/>
    </row>
    <row r="8815" ht="14.25" customHeight="1">
      <c r="A8815" s="4"/>
      <c r="B8815" s="4" t="str">
        <f>IFERROR(__xludf.DUMMYFUNCTION("""COMPUTED_VALUE"""),"")</f>
        <v/>
      </c>
      <c r="C8815" s="12"/>
      <c r="D8815" s="12"/>
      <c r="E8815" s="11"/>
      <c r="F8815" s="12"/>
    </row>
    <row r="8816" ht="14.25" customHeight="1">
      <c r="A8816" s="4"/>
      <c r="B8816" s="4" t="str">
        <f>IFERROR(__xludf.DUMMYFUNCTION("""COMPUTED_VALUE"""),"")</f>
        <v/>
      </c>
      <c r="C8816" s="12"/>
      <c r="D8816" s="12"/>
      <c r="E8816" s="11"/>
      <c r="F8816" s="12"/>
    </row>
    <row r="8817" ht="14.25" customHeight="1">
      <c r="A8817" s="4"/>
      <c r="B8817" s="4" t="str">
        <f>IFERROR(__xludf.DUMMYFUNCTION("""COMPUTED_VALUE"""),"")</f>
        <v/>
      </c>
      <c r="C8817" s="12"/>
      <c r="D8817" s="12"/>
      <c r="E8817" s="11"/>
      <c r="F8817" s="12"/>
    </row>
    <row r="8818" ht="14.25" customHeight="1">
      <c r="A8818" s="4"/>
      <c r="B8818" s="4" t="str">
        <f>IFERROR(__xludf.DUMMYFUNCTION("""COMPUTED_VALUE"""),"")</f>
        <v/>
      </c>
      <c r="C8818" s="12"/>
      <c r="D8818" s="12"/>
      <c r="E8818" s="11"/>
      <c r="F8818" s="12"/>
    </row>
    <row r="8819" ht="14.25" customHeight="1">
      <c r="A8819" s="4"/>
      <c r="B8819" s="4" t="str">
        <f>IFERROR(__xludf.DUMMYFUNCTION("""COMPUTED_VALUE"""),"")</f>
        <v/>
      </c>
      <c r="C8819" s="12"/>
      <c r="D8819" s="12"/>
      <c r="E8819" s="11"/>
      <c r="F8819" s="12"/>
    </row>
    <row r="8820" ht="14.25" customHeight="1">
      <c r="A8820" s="4"/>
      <c r="B8820" s="4" t="str">
        <f>IFERROR(__xludf.DUMMYFUNCTION("""COMPUTED_VALUE"""),"")</f>
        <v/>
      </c>
      <c r="C8820" s="12"/>
      <c r="D8820" s="12"/>
      <c r="E8820" s="11"/>
      <c r="F8820" s="12"/>
    </row>
    <row r="8821" ht="14.25" customHeight="1">
      <c r="A8821" s="4"/>
      <c r="B8821" s="4" t="str">
        <f>IFERROR(__xludf.DUMMYFUNCTION("""COMPUTED_VALUE"""),"")</f>
        <v/>
      </c>
      <c r="C8821" s="12"/>
      <c r="D8821" s="12"/>
      <c r="E8821" s="11"/>
      <c r="F8821" s="12"/>
    </row>
    <row r="8822" ht="14.25" customHeight="1">
      <c r="A8822" s="4"/>
      <c r="B8822" s="4" t="str">
        <f>IFERROR(__xludf.DUMMYFUNCTION("""COMPUTED_VALUE"""),"")</f>
        <v/>
      </c>
      <c r="C8822" s="12"/>
      <c r="D8822" s="12"/>
      <c r="E8822" s="11"/>
      <c r="F8822" s="12"/>
    </row>
    <row r="8823" ht="14.25" customHeight="1">
      <c r="A8823" s="4"/>
      <c r="B8823" s="4" t="str">
        <f>IFERROR(__xludf.DUMMYFUNCTION("""COMPUTED_VALUE"""),"")</f>
        <v/>
      </c>
      <c r="C8823" s="12"/>
      <c r="D8823" s="12"/>
      <c r="E8823" s="11"/>
      <c r="F8823" s="12"/>
    </row>
    <row r="8824" ht="14.25" customHeight="1">
      <c r="A8824" s="4"/>
      <c r="B8824" s="4" t="str">
        <f>IFERROR(__xludf.DUMMYFUNCTION("""COMPUTED_VALUE"""),"")</f>
        <v/>
      </c>
      <c r="C8824" s="12"/>
      <c r="D8824" s="12"/>
      <c r="E8824" s="11"/>
      <c r="F8824" s="12"/>
    </row>
    <row r="8825" ht="14.25" customHeight="1">
      <c r="A8825" s="4"/>
      <c r="B8825" s="4" t="str">
        <f>IFERROR(__xludf.DUMMYFUNCTION("""COMPUTED_VALUE"""),"")</f>
        <v/>
      </c>
      <c r="C8825" s="12"/>
      <c r="D8825" s="12"/>
      <c r="E8825" s="11"/>
      <c r="F8825" s="12"/>
    </row>
    <row r="8826" ht="14.25" customHeight="1">
      <c r="A8826" s="4"/>
      <c r="B8826" s="4" t="str">
        <f>IFERROR(__xludf.DUMMYFUNCTION("""COMPUTED_VALUE"""),"")</f>
        <v/>
      </c>
      <c r="C8826" s="12"/>
      <c r="D8826" s="12"/>
      <c r="E8826" s="11"/>
      <c r="F8826" s="12"/>
    </row>
    <row r="8827" ht="14.25" customHeight="1">
      <c r="A8827" s="4"/>
      <c r="B8827" s="4" t="str">
        <f>IFERROR(__xludf.DUMMYFUNCTION("""COMPUTED_VALUE"""),"")</f>
        <v/>
      </c>
      <c r="C8827" s="12"/>
      <c r="D8827" s="12"/>
      <c r="E8827" s="11"/>
      <c r="F8827" s="12"/>
    </row>
    <row r="8828" ht="14.25" customHeight="1">
      <c r="A8828" s="4"/>
      <c r="B8828" s="4" t="str">
        <f>IFERROR(__xludf.DUMMYFUNCTION("""COMPUTED_VALUE"""),"")</f>
        <v/>
      </c>
      <c r="C8828" s="12"/>
      <c r="D8828" s="12"/>
      <c r="E8828" s="11"/>
      <c r="F8828" s="12"/>
    </row>
    <row r="8829" ht="14.25" customHeight="1">
      <c r="A8829" s="4"/>
      <c r="B8829" s="4" t="str">
        <f>IFERROR(__xludf.DUMMYFUNCTION("""COMPUTED_VALUE"""),"")</f>
        <v/>
      </c>
      <c r="C8829" s="12"/>
      <c r="D8829" s="12"/>
      <c r="E8829" s="11"/>
      <c r="F8829" s="12"/>
    </row>
    <row r="8830" ht="14.25" customHeight="1">
      <c r="A8830" s="4"/>
      <c r="B8830" s="4" t="str">
        <f>IFERROR(__xludf.DUMMYFUNCTION("""COMPUTED_VALUE"""),"")</f>
        <v/>
      </c>
      <c r="C8830" s="12"/>
      <c r="D8830" s="12"/>
      <c r="E8830" s="11"/>
      <c r="F8830" s="12"/>
    </row>
    <row r="8831" ht="14.25" customHeight="1">
      <c r="A8831" s="4"/>
      <c r="B8831" s="4" t="str">
        <f>IFERROR(__xludf.DUMMYFUNCTION("""COMPUTED_VALUE"""),"")</f>
        <v/>
      </c>
      <c r="C8831" s="12"/>
      <c r="D8831" s="12"/>
      <c r="E8831" s="11"/>
      <c r="F8831" s="12"/>
    </row>
    <row r="8832" ht="14.25" customHeight="1">
      <c r="A8832" s="4"/>
      <c r="B8832" s="4" t="str">
        <f>IFERROR(__xludf.DUMMYFUNCTION("""COMPUTED_VALUE"""),"")</f>
        <v/>
      </c>
      <c r="C8832" s="12"/>
      <c r="D8832" s="12"/>
      <c r="E8832" s="11"/>
      <c r="F8832" s="12"/>
    </row>
    <row r="8833" ht="14.25" customHeight="1">
      <c r="A8833" s="4"/>
      <c r="B8833" s="4" t="str">
        <f>IFERROR(__xludf.DUMMYFUNCTION("""COMPUTED_VALUE"""),"")</f>
        <v/>
      </c>
      <c r="C8833" s="12"/>
      <c r="D8833" s="12"/>
      <c r="E8833" s="11"/>
      <c r="F8833" s="12"/>
    </row>
    <row r="8834" ht="14.25" customHeight="1">
      <c r="A8834" s="4"/>
      <c r="B8834" s="4" t="str">
        <f>IFERROR(__xludf.DUMMYFUNCTION("""COMPUTED_VALUE"""),"")</f>
        <v/>
      </c>
      <c r="C8834" s="12"/>
      <c r="D8834" s="12"/>
      <c r="E8834" s="11"/>
      <c r="F8834" s="12"/>
    </row>
    <row r="8835" ht="14.25" customHeight="1">
      <c r="A8835" s="4"/>
      <c r="B8835" s="4" t="str">
        <f>IFERROR(__xludf.DUMMYFUNCTION("""COMPUTED_VALUE"""),"")</f>
        <v/>
      </c>
      <c r="C8835" s="12"/>
      <c r="D8835" s="12"/>
      <c r="E8835" s="11"/>
      <c r="F8835" s="12"/>
    </row>
    <row r="8836" ht="14.25" customHeight="1">
      <c r="A8836" s="4"/>
      <c r="B8836" s="4" t="str">
        <f>IFERROR(__xludf.DUMMYFUNCTION("""COMPUTED_VALUE"""),"")</f>
        <v/>
      </c>
      <c r="C8836" s="12"/>
      <c r="D8836" s="12"/>
      <c r="E8836" s="11"/>
      <c r="F8836" s="12"/>
    </row>
    <row r="8837" ht="14.25" customHeight="1">
      <c r="A8837" s="4"/>
      <c r="B8837" s="4" t="str">
        <f>IFERROR(__xludf.DUMMYFUNCTION("""COMPUTED_VALUE"""),"")</f>
        <v/>
      </c>
      <c r="C8837" s="12"/>
      <c r="D8837" s="12"/>
      <c r="E8837" s="11"/>
      <c r="F8837" s="12"/>
    </row>
    <row r="8838" ht="14.25" customHeight="1">
      <c r="A8838" s="4"/>
      <c r="B8838" s="4" t="str">
        <f>IFERROR(__xludf.DUMMYFUNCTION("""COMPUTED_VALUE"""),"")</f>
        <v/>
      </c>
      <c r="C8838" s="12"/>
      <c r="D8838" s="12"/>
      <c r="E8838" s="11"/>
      <c r="F8838" s="12"/>
    </row>
    <row r="8839" ht="14.25" customHeight="1">
      <c r="A8839" s="4"/>
      <c r="B8839" s="4" t="str">
        <f>IFERROR(__xludf.DUMMYFUNCTION("""COMPUTED_VALUE"""),"")</f>
        <v/>
      </c>
      <c r="C8839" s="12"/>
      <c r="D8839" s="12"/>
      <c r="E8839" s="11"/>
      <c r="F8839" s="12"/>
    </row>
    <row r="8840" ht="14.25" customHeight="1">
      <c r="A8840" s="4"/>
      <c r="B8840" s="4" t="str">
        <f>IFERROR(__xludf.DUMMYFUNCTION("""COMPUTED_VALUE"""),"")</f>
        <v/>
      </c>
      <c r="C8840" s="12"/>
      <c r="D8840" s="12"/>
      <c r="E8840" s="11"/>
      <c r="F8840" s="12"/>
    </row>
    <row r="8841" ht="14.25" customHeight="1">
      <c r="A8841" s="4"/>
      <c r="B8841" s="4" t="str">
        <f>IFERROR(__xludf.DUMMYFUNCTION("""COMPUTED_VALUE"""),"")</f>
        <v/>
      </c>
      <c r="C8841" s="12"/>
      <c r="D8841" s="12"/>
      <c r="E8841" s="11"/>
      <c r="F8841" s="12"/>
    </row>
    <row r="8842" ht="14.25" customHeight="1">
      <c r="A8842" s="4"/>
      <c r="B8842" s="4" t="str">
        <f>IFERROR(__xludf.DUMMYFUNCTION("""COMPUTED_VALUE"""),"")</f>
        <v/>
      </c>
      <c r="C8842" s="12"/>
      <c r="D8842" s="12"/>
      <c r="E8842" s="11"/>
      <c r="F8842" s="12"/>
    </row>
    <row r="8843" ht="14.25" customHeight="1">
      <c r="A8843" s="4"/>
      <c r="B8843" s="4" t="str">
        <f>IFERROR(__xludf.DUMMYFUNCTION("""COMPUTED_VALUE"""),"")</f>
        <v/>
      </c>
      <c r="C8843" s="12"/>
      <c r="D8843" s="12"/>
      <c r="E8843" s="11"/>
      <c r="F8843" s="12"/>
    </row>
    <row r="8844" ht="14.25" customHeight="1">
      <c r="A8844" s="4"/>
      <c r="B8844" s="4" t="str">
        <f>IFERROR(__xludf.DUMMYFUNCTION("""COMPUTED_VALUE"""),"")</f>
        <v/>
      </c>
      <c r="C8844" s="12"/>
      <c r="D8844" s="12"/>
      <c r="E8844" s="11"/>
      <c r="F8844" s="12"/>
    </row>
    <row r="8845" ht="14.25" customHeight="1">
      <c r="A8845" s="4"/>
      <c r="B8845" s="4" t="str">
        <f>IFERROR(__xludf.DUMMYFUNCTION("""COMPUTED_VALUE"""),"")</f>
        <v/>
      </c>
      <c r="C8845" s="12"/>
      <c r="D8845" s="12"/>
      <c r="E8845" s="11"/>
      <c r="F8845" s="12"/>
    </row>
    <row r="8846" ht="14.25" customHeight="1">
      <c r="A8846" s="4"/>
      <c r="B8846" s="4" t="str">
        <f>IFERROR(__xludf.DUMMYFUNCTION("""COMPUTED_VALUE"""),"")</f>
        <v/>
      </c>
      <c r="C8846" s="12"/>
      <c r="D8846" s="12"/>
      <c r="E8846" s="11"/>
      <c r="F8846" s="12"/>
    </row>
    <row r="8847" ht="14.25" customHeight="1">
      <c r="A8847" s="4"/>
      <c r="B8847" s="4" t="str">
        <f>IFERROR(__xludf.DUMMYFUNCTION("""COMPUTED_VALUE"""),"")</f>
        <v/>
      </c>
      <c r="C8847" s="12"/>
      <c r="D8847" s="12"/>
      <c r="E8847" s="11"/>
      <c r="F8847" s="12"/>
    </row>
    <row r="8848" ht="14.25" customHeight="1">
      <c r="A8848" s="4"/>
      <c r="B8848" s="4" t="str">
        <f>IFERROR(__xludf.DUMMYFUNCTION("""COMPUTED_VALUE"""),"")</f>
        <v/>
      </c>
      <c r="C8848" s="12"/>
      <c r="D8848" s="12"/>
      <c r="E8848" s="11"/>
      <c r="F8848" s="12"/>
    </row>
    <row r="8849" ht="14.25" customHeight="1">
      <c r="A8849" s="4"/>
      <c r="B8849" s="4" t="str">
        <f>IFERROR(__xludf.DUMMYFUNCTION("""COMPUTED_VALUE"""),"")</f>
        <v/>
      </c>
      <c r="C8849" s="12"/>
      <c r="D8849" s="12"/>
      <c r="E8849" s="11"/>
      <c r="F8849" s="12"/>
    </row>
    <row r="8850" ht="14.25" customHeight="1">
      <c r="A8850" s="4"/>
      <c r="B8850" s="4" t="str">
        <f>IFERROR(__xludf.DUMMYFUNCTION("""COMPUTED_VALUE"""),"")</f>
        <v/>
      </c>
      <c r="C8850" s="12"/>
      <c r="D8850" s="12"/>
      <c r="E8850" s="11"/>
      <c r="F8850" s="12"/>
    </row>
    <row r="8851" ht="14.25" customHeight="1">
      <c r="A8851" s="4"/>
      <c r="B8851" s="4" t="str">
        <f>IFERROR(__xludf.DUMMYFUNCTION("""COMPUTED_VALUE"""),"")</f>
        <v/>
      </c>
      <c r="C8851" s="12"/>
      <c r="D8851" s="12"/>
      <c r="E8851" s="11"/>
      <c r="F8851" s="12"/>
    </row>
    <row r="8852" ht="14.25" customHeight="1">
      <c r="A8852" s="4"/>
      <c r="B8852" s="4" t="str">
        <f>IFERROR(__xludf.DUMMYFUNCTION("""COMPUTED_VALUE"""),"")</f>
        <v/>
      </c>
      <c r="C8852" s="12"/>
      <c r="D8852" s="12"/>
      <c r="E8852" s="11"/>
      <c r="F8852" s="12"/>
    </row>
    <row r="8853" ht="14.25" customHeight="1">
      <c r="A8853" s="4"/>
      <c r="B8853" s="4" t="str">
        <f>IFERROR(__xludf.DUMMYFUNCTION("""COMPUTED_VALUE"""),"")</f>
        <v/>
      </c>
      <c r="C8853" s="12"/>
      <c r="D8853" s="12"/>
      <c r="E8853" s="11"/>
      <c r="F8853" s="12"/>
    </row>
    <row r="8854" ht="14.25" customHeight="1">
      <c r="A8854" s="4"/>
      <c r="B8854" s="4" t="str">
        <f>IFERROR(__xludf.DUMMYFUNCTION("""COMPUTED_VALUE"""),"")</f>
        <v/>
      </c>
      <c r="C8854" s="12"/>
      <c r="D8854" s="12"/>
      <c r="E8854" s="11"/>
      <c r="F8854" s="12"/>
    </row>
    <row r="8855" ht="14.25" customHeight="1">
      <c r="A8855" s="4"/>
      <c r="B8855" s="4" t="str">
        <f>IFERROR(__xludf.DUMMYFUNCTION("""COMPUTED_VALUE"""),"")</f>
        <v/>
      </c>
      <c r="C8855" s="12"/>
      <c r="D8855" s="12"/>
      <c r="E8855" s="11"/>
      <c r="F8855" s="12"/>
    </row>
    <row r="8856" ht="14.25" customHeight="1">
      <c r="A8856" s="4"/>
      <c r="B8856" s="4" t="str">
        <f>IFERROR(__xludf.DUMMYFUNCTION("""COMPUTED_VALUE"""),"")</f>
        <v/>
      </c>
      <c r="C8856" s="12"/>
      <c r="D8856" s="12"/>
      <c r="E8856" s="11"/>
      <c r="F8856" s="12"/>
    </row>
    <row r="8857" ht="14.25" customHeight="1">
      <c r="A8857" s="4"/>
      <c r="B8857" s="4" t="str">
        <f>IFERROR(__xludf.DUMMYFUNCTION("""COMPUTED_VALUE"""),"")</f>
        <v/>
      </c>
      <c r="C8857" s="12"/>
      <c r="D8857" s="12"/>
      <c r="E8857" s="11"/>
      <c r="F8857" s="12"/>
    </row>
    <row r="8858" ht="14.25" customHeight="1">
      <c r="A8858" s="4"/>
      <c r="B8858" s="4" t="str">
        <f>IFERROR(__xludf.DUMMYFUNCTION("""COMPUTED_VALUE"""),"")</f>
        <v/>
      </c>
      <c r="C8858" s="12"/>
      <c r="D8858" s="12"/>
      <c r="E8858" s="11"/>
      <c r="F8858" s="12"/>
    </row>
    <row r="8859" ht="14.25" customHeight="1">
      <c r="A8859" s="4"/>
      <c r="B8859" s="4" t="str">
        <f>IFERROR(__xludf.DUMMYFUNCTION("""COMPUTED_VALUE"""),"")</f>
        <v/>
      </c>
      <c r="C8859" s="12"/>
      <c r="D8859" s="12"/>
      <c r="E8859" s="11"/>
      <c r="F8859" s="12"/>
    </row>
    <row r="8860" ht="14.25" customHeight="1">
      <c r="A8860" s="4"/>
      <c r="B8860" s="4" t="str">
        <f>IFERROR(__xludf.DUMMYFUNCTION("""COMPUTED_VALUE"""),"")</f>
        <v/>
      </c>
      <c r="C8860" s="12"/>
      <c r="D8860" s="12"/>
      <c r="E8860" s="11"/>
      <c r="F8860" s="12"/>
    </row>
    <row r="8861" ht="14.25" customHeight="1">
      <c r="A8861" s="4"/>
      <c r="B8861" s="4" t="str">
        <f>IFERROR(__xludf.DUMMYFUNCTION("""COMPUTED_VALUE"""),"")</f>
        <v/>
      </c>
      <c r="C8861" s="12"/>
      <c r="D8861" s="12"/>
      <c r="E8861" s="11"/>
      <c r="F8861" s="12"/>
    </row>
    <row r="8862" ht="14.25" customHeight="1">
      <c r="A8862" s="4"/>
      <c r="B8862" s="4" t="str">
        <f>IFERROR(__xludf.DUMMYFUNCTION("""COMPUTED_VALUE"""),"")</f>
        <v/>
      </c>
      <c r="C8862" s="12"/>
      <c r="D8862" s="12"/>
      <c r="E8862" s="11"/>
      <c r="F8862" s="12"/>
    </row>
    <row r="8863" ht="14.25" customHeight="1">
      <c r="A8863" s="4"/>
      <c r="B8863" s="4" t="str">
        <f>IFERROR(__xludf.DUMMYFUNCTION("""COMPUTED_VALUE"""),"")</f>
        <v/>
      </c>
      <c r="C8863" s="12"/>
      <c r="D8863" s="12"/>
      <c r="E8863" s="11"/>
      <c r="F8863" s="12"/>
    </row>
    <row r="8864" ht="14.25" customHeight="1">
      <c r="A8864" s="4"/>
      <c r="B8864" s="4" t="str">
        <f>IFERROR(__xludf.DUMMYFUNCTION("""COMPUTED_VALUE"""),"")</f>
        <v/>
      </c>
      <c r="C8864" s="12"/>
      <c r="D8864" s="12"/>
      <c r="E8864" s="11"/>
      <c r="F8864" s="12"/>
    </row>
    <row r="8865" ht="14.25" customHeight="1">
      <c r="A8865" s="4"/>
      <c r="B8865" s="4" t="str">
        <f>IFERROR(__xludf.DUMMYFUNCTION("""COMPUTED_VALUE"""),"")</f>
        <v/>
      </c>
      <c r="C8865" s="12"/>
      <c r="D8865" s="12"/>
      <c r="E8865" s="11"/>
      <c r="F8865" s="12"/>
    </row>
    <row r="8866" ht="14.25" customHeight="1">
      <c r="A8866" s="4"/>
      <c r="B8866" s="4" t="str">
        <f>IFERROR(__xludf.DUMMYFUNCTION("""COMPUTED_VALUE"""),"")</f>
        <v/>
      </c>
      <c r="C8866" s="12"/>
      <c r="D8866" s="12"/>
      <c r="E8866" s="11"/>
      <c r="F8866" s="12"/>
    </row>
    <row r="8867" ht="14.25" customHeight="1">
      <c r="A8867" s="4"/>
      <c r="B8867" s="4" t="str">
        <f>IFERROR(__xludf.DUMMYFUNCTION("""COMPUTED_VALUE"""),"")</f>
        <v/>
      </c>
      <c r="C8867" s="12"/>
      <c r="D8867" s="12"/>
      <c r="E8867" s="11"/>
      <c r="F8867" s="12"/>
    </row>
    <row r="8868" ht="14.25" customHeight="1">
      <c r="A8868" s="4"/>
      <c r="B8868" s="4" t="str">
        <f>IFERROR(__xludf.DUMMYFUNCTION("""COMPUTED_VALUE"""),"")</f>
        <v/>
      </c>
      <c r="C8868" s="12"/>
      <c r="D8868" s="12"/>
      <c r="E8868" s="11"/>
      <c r="F8868" s="12"/>
    </row>
    <row r="8869" ht="14.25" customHeight="1">
      <c r="A8869" s="4"/>
      <c r="B8869" s="4" t="str">
        <f>IFERROR(__xludf.DUMMYFUNCTION("""COMPUTED_VALUE"""),"")</f>
        <v/>
      </c>
      <c r="C8869" s="12"/>
      <c r="D8869" s="12"/>
      <c r="E8869" s="11"/>
      <c r="F8869" s="12"/>
    </row>
    <row r="8870" ht="14.25" customHeight="1">
      <c r="A8870" s="4"/>
      <c r="B8870" s="4" t="str">
        <f>IFERROR(__xludf.DUMMYFUNCTION("""COMPUTED_VALUE"""),"")</f>
        <v/>
      </c>
      <c r="C8870" s="12"/>
      <c r="D8870" s="12"/>
      <c r="E8870" s="11"/>
      <c r="F8870" s="12"/>
    </row>
    <row r="8871" ht="14.25" customHeight="1">
      <c r="A8871" s="4"/>
      <c r="B8871" s="4" t="str">
        <f>IFERROR(__xludf.DUMMYFUNCTION("""COMPUTED_VALUE"""),"")</f>
        <v/>
      </c>
      <c r="C8871" s="12"/>
      <c r="D8871" s="12"/>
      <c r="E8871" s="11"/>
      <c r="F8871" s="12"/>
    </row>
    <row r="8872" ht="14.25" customHeight="1">
      <c r="A8872" s="4"/>
      <c r="B8872" s="4" t="str">
        <f>IFERROR(__xludf.DUMMYFUNCTION("""COMPUTED_VALUE"""),"")</f>
        <v/>
      </c>
      <c r="C8872" s="12"/>
      <c r="D8872" s="12"/>
      <c r="E8872" s="11"/>
      <c r="F8872" s="12"/>
    </row>
    <row r="8873" ht="14.25" customHeight="1">
      <c r="A8873" s="4"/>
      <c r="B8873" s="4" t="str">
        <f>IFERROR(__xludf.DUMMYFUNCTION("""COMPUTED_VALUE"""),"")</f>
        <v/>
      </c>
      <c r="C8873" s="12"/>
      <c r="D8873" s="12"/>
      <c r="E8873" s="11"/>
      <c r="F8873" s="12"/>
    </row>
    <row r="8874" ht="14.25" customHeight="1">
      <c r="A8874" s="4"/>
      <c r="B8874" s="4" t="str">
        <f>IFERROR(__xludf.DUMMYFUNCTION("""COMPUTED_VALUE"""),"")</f>
        <v/>
      </c>
      <c r="C8874" s="12"/>
      <c r="D8874" s="12"/>
      <c r="E8874" s="11"/>
      <c r="F8874" s="12"/>
    </row>
    <row r="8875" ht="14.25" customHeight="1">
      <c r="A8875" s="4"/>
      <c r="B8875" s="4" t="str">
        <f>IFERROR(__xludf.DUMMYFUNCTION("""COMPUTED_VALUE"""),"")</f>
        <v/>
      </c>
      <c r="C8875" s="12"/>
      <c r="D8875" s="12"/>
      <c r="E8875" s="11"/>
      <c r="F8875" s="12"/>
    </row>
    <row r="8876" ht="14.25" customHeight="1">
      <c r="A8876" s="4"/>
      <c r="B8876" s="4" t="str">
        <f>IFERROR(__xludf.DUMMYFUNCTION("""COMPUTED_VALUE"""),"")</f>
        <v/>
      </c>
      <c r="C8876" s="12"/>
      <c r="D8876" s="12"/>
      <c r="E8876" s="11"/>
      <c r="F8876" s="12"/>
    </row>
    <row r="8877" ht="14.25" customHeight="1">
      <c r="A8877" s="4"/>
      <c r="B8877" s="4" t="str">
        <f>IFERROR(__xludf.DUMMYFUNCTION("""COMPUTED_VALUE"""),"")</f>
        <v/>
      </c>
      <c r="C8877" s="12"/>
      <c r="D8877" s="12"/>
      <c r="E8877" s="11"/>
      <c r="F8877" s="12"/>
    </row>
    <row r="8878" ht="14.25" customHeight="1">
      <c r="A8878" s="4"/>
      <c r="B8878" s="4" t="str">
        <f>IFERROR(__xludf.DUMMYFUNCTION("""COMPUTED_VALUE"""),"")</f>
        <v/>
      </c>
      <c r="C8878" s="12"/>
      <c r="D8878" s="12"/>
      <c r="E8878" s="11"/>
      <c r="F8878" s="12"/>
    </row>
    <row r="8879" ht="14.25" customHeight="1">
      <c r="A8879" s="4"/>
      <c r="B8879" s="4" t="str">
        <f>IFERROR(__xludf.DUMMYFUNCTION("""COMPUTED_VALUE"""),"")</f>
        <v/>
      </c>
      <c r="C8879" s="12"/>
      <c r="D8879" s="12"/>
      <c r="E8879" s="11"/>
      <c r="F8879" s="12"/>
    </row>
    <row r="8880" ht="14.25" customHeight="1">
      <c r="A8880" s="4"/>
      <c r="B8880" s="4" t="str">
        <f>IFERROR(__xludf.DUMMYFUNCTION("""COMPUTED_VALUE"""),"")</f>
        <v/>
      </c>
      <c r="C8880" s="12"/>
      <c r="D8880" s="12"/>
      <c r="E8880" s="11"/>
      <c r="F8880" s="12"/>
    </row>
    <row r="8881" ht="14.25" customHeight="1">
      <c r="A8881" s="4"/>
      <c r="B8881" s="4" t="str">
        <f>IFERROR(__xludf.DUMMYFUNCTION("""COMPUTED_VALUE"""),"")</f>
        <v/>
      </c>
      <c r="C8881" s="12"/>
      <c r="D8881" s="12"/>
      <c r="E8881" s="11"/>
      <c r="F8881" s="12"/>
    </row>
    <row r="8882" ht="14.25" customHeight="1">
      <c r="A8882" s="4"/>
      <c r="B8882" s="4" t="str">
        <f>IFERROR(__xludf.DUMMYFUNCTION("""COMPUTED_VALUE"""),"")</f>
        <v/>
      </c>
      <c r="C8882" s="12"/>
      <c r="D8882" s="12"/>
      <c r="E8882" s="11"/>
      <c r="F8882" s="12"/>
    </row>
    <row r="8883" ht="14.25" customHeight="1">
      <c r="A8883" s="4"/>
      <c r="B8883" s="4" t="str">
        <f>IFERROR(__xludf.DUMMYFUNCTION("""COMPUTED_VALUE"""),"")</f>
        <v/>
      </c>
      <c r="C8883" s="12"/>
      <c r="D8883" s="12"/>
      <c r="E8883" s="11"/>
      <c r="F8883" s="12"/>
    </row>
    <row r="8884" ht="14.25" customHeight="1">
      <c r="A8884" s="4"/>
      <c r="B8884" s="4" t="str">
        <f>IFERROR(__xludf.DUMMYFUNCTION("""COMPUTED_VALUE"""),"")</f>
        <v/>
      </c>
      <c r="C8884" s="12"/>
      <c r="D8884" s="12"/>
      <c r="E8884" s="11"/>
      <c r="F8884" s="12"/>
    </row>
    <row r="8885" ht="14.25" customHeight="1">
      <c r="A8885" s="4"/>
      <c r="B8885" s="4" t="str">
        <f>IFERROR(__xludf.DUMMYFUNCTION("""COMPUTED_VALUE"""),"")</f>
        <v/>
      </c>
      <c r="C8885" s="12"/>
      <c r="D8885" s="12"/>
      <c r="E8885" s="11"/>
      <c r="F8885" s="12"/>
    </row>
    <row r="8886" ht="14.25" customHeight="1">
      <c r="A8886" s="4"/>
      <c r="B8886" s="4" t="str">
        <f>IFERROR(__xludf.DUMMYFUNCTION("""COMPUTED_VALUE"""),"")</f>
        <v/>
      </c>
      <c r="C8886" s="12"/>
      <c r="D8886" s="12"/>
      <c r="E8886" s="11"/>
      <c r="F8886" s="12"/>
    </row>
    <row r="8887" ht="14.25" customHeight="1">
      <c r="A8887" s="4"/>
      <c r="B8887" s="4" t="str">
        <f>IFERROR(__xludf.DUMMYFUNCTION("""COMPUTED_VALUE"""),"")</f>
        <v/>
      </c>
      <c r="C8887" s="12"/>
      <c r="D8887" s="12"/>
      <c r="E8887" s="11"/>
      <c r="F8887" s="12"/>
    </row>
    <row r="8888" ht="14.25" customHeight="1">
      <c r="A8888" s="4"/>
      <c r="B8888" s="4" t="str">
        <f>IFERROR(__xludf.DUMMYFUNCTION("""COMPUTED_VALUE"""),"")</f>
        <v/>
      </c>
      <c r="C8888" s="12"/>
      <c r="D8888" s="12"/>
      <c r="E8888" s="11"/>
      <c r="F8888" s="12"/>
    </row>
    <row r="8889" ht="14.25" customHeight="1">
      <c r="A8889" s="4"/>
      <c r="B8889" s="4" t="str">
        <f>IFERROR(__xludf.DUMMYFUNCTION("""COMPUTED_VALUE"""),"")</f>
        <v/>
      </c>
      <c r="C8889" s="12"/>
      <c r="D8889" s="12"/>
      <c r="E8889" s="11"/>
      <c r="F8889" s="12"/>
    </row>
    <row r="8890" ht="14.25" customHeight="1">
      <c r="A8890" s="4"/>
      <c r="B8890" s="4" t="str">
        <f>IFERROR(__xludf.DUMMYFUNCTION("""COMPUTED_VALUE"""),"")</f>
        <v/>
      </c>
      <c r="C8890" s="12"/>
      <c r="D8890" s="12"/>
      <c r="E8890" s="11"/>
      <c r="F8890" s="12"/>
    </row>
    <row r="8891" ht="14.25" customHeight="1">
      <c r="A8891" s="4"/>
      <c r="B8891" s="4" t="str">
        <f>IFERROR(__xludf.DUMMYFUNCTION("""COMPUTED_VALUE"""),"")</f>
        <v/>
      </c>
      <c r="C8891" s="12"/>
      <c r="D8891" s="12"/>
      <c r="E8891" s="11"/>
      <c r="F8891" s="12"/>
    </row>
    <row r="8892" ht="14.25" customHeight="1">
      <c r="A8892" s="4"/>
      <c r="B8892" s="4" t="str">
        <f>IFERROR(__xludf.DUMMYFUNCTION("""COMPUTED_VALUE"""),"")</f>
        <v/>
      </c>
      <c r="C8892" s="12"/>
      <c r="D8892" s="12"/>
      <c r="E8892" s="11"/>
      <c r="F8892" s="12"/>
    </row>
    <row r="8893" ht="14.25" customHeight="1">
      <c r="A8893" s="4"/>
      <c r="B8893" s="4" t="str">
        <f>IFERROR(__xludf.DUMMYFUNCTION("""COMPUTED_VALUE"""),"")</f>
        <v/>
      </c>
      <c r="C8893" s="12"/>
      <c r="D8893" s="12"/>
      <c r="E8893" s="11"/>
      <c r="F8893" s="12"/>
    </row>
    <row r="8894" ht="14.25" customHeight="1">
      <c r="A8894" s="4"/>
      <c r="B8894" s="4" t="str">
        <f>IFERROR(__xludf.DUMMYFUNCTION("""COMPUTED_VALUE"""),"")</f>
        <v/>
      </c>
      <c r="C8894" s="12"/>
      <c r="D8894" s="12"/>
      <c r="E8894" s="11"/>
      <c r="F8894" s="12"/>
    </row>
    <row r="8895" ht="14.25" customHeight="1">
      <c r="A8895" s="4"/>
      <c r="B8895" s="4" t="str">
        <f>IFERROR(__xludf.DUMMYFUNCTION("""COMPUTED_VALUE"""),"")</f>
        <v/>
      </c>
      <c r="C8895" s="12"/>
      <c r="D8895" s="12"/>
      <c r="E8895" s="11"/>
      <c r="F8895" s="12"/>
    </row>
    <row r="8896" ht="14.25" customHeight="1">
      <c r="A8896" s="4"/>
      <c r="B8896" s="4" t="str">
        <f>IFERROR(__xludf.DUMMYFUNCTION("""COMPUTED_VALUE"""),"")</f>
        <v/>
      </c>
      <c r="C8896" s="12"/>
      <c r="D8896" s="12"/>
      <c r="E8896" s="11"/>
      <c r="F8896" s="12"/>
    </row>
    <row r="8897" ht="14.25" customHeight="1">
      <c r="A8897" s="4"/>
      <c r="B8897" s="4" t="str">
        <f>IFERROR(__xludf.DUMMYFUNCTION("""COMPUTED_VALUE"""),"")</f>
        <v/>
      </c>
      <c r="C8897" s="12"/>
      <c r="D8897" s="12"/>
      <c r="E8897" s="11"/>
      <c r="F8897" s="12"/>
    </row>
    <row r="8898" ht="14.25" customHeight="1">
      <c r="A8898" s="4"/>
      <c r="B8898" s="4" t="str">
        <f>IFERROR(__xludf.DUMMYFUNCTION("""COMPUTED_VALUE"""),"")</f>
        <v/>
      </c>
      <c r="C8898" s="12"/>
      <c r="D8898" s="12"/>
      <c r="E8898" s="11"/>
      <c r="F8898" s="12"/>
    </row>
    <row r="8899" ht="14.25" customHeight="1">
      <c r="A8899" s="4"/>
      <c r="B8899" s="4" t="str">
        <f>IFERROR(__xludf.DUMMYFUNCTION("""COMPUTED_VALUE"""),"")</f>
        <v/>
      </c>
      <c r="C8899" s="12"/>
      <c r="D8899" s="12"/>
      <c r="E8899" s="11"/>
      <c r="F8899" s="12"/>
    </row>
    <row r="8900" ht="14.25" customHeight="1">
      <c r="A8900" s="4"/>
      <c r="B8900" s="4" t="str">
        <f>IFERROR(__xludf.DUMMYFUNCTION("""COMPUTED_VALUE"""),"")</f>
        <v/>
      </c>
      <c r="C8900" s="12"/>
      <c r="D8900" s="12"/>
      <c r="E8900" s="11"/>
      <c r="F8900" s="12"/>
    </row>
    <row r="8901" ht="14.25" customHeight="1">
      <c r="A8901" s="4"/>
      <c r="B8901" s="4" t="str">
        <f>IFERROR(__xludf.DUMMYFUNCTION("""COMPUTED_VALUE"""),"")</f>
        <v/>
      </c>
      <c r="C8901" s="12"/>
      <c r="D8901" s="12"/>
      <c r="E8901" s="11"/>
      <c r="F8901" s="12"/>
    </row>
    <row r="8902" ht="14.25" customHeight="1">
      <c r="A8902" s="4"/>
      <c r="B8902" s="4" t="str">
        <f>IFERROR(__xludf.DUMMYFUNCTION("""COMPUTED_VALUE"""),"")</f>
        <v/>
      </c>
      <c r="C8902" s="12"/>
      <c r="D8902" s="12"/>
      <c r="E8902" s="11"/>
      <c r="F8902" s="12"/>
    </row>
    <row r="8903" ht="14.25" customHeight="1">
      <c r="A8903" s="4"/>
      <c r="B8903" s="4" t="str">
        <f>IFERROR(__xludf.DUMMYFUNCTION("""COMPUTED_VALUE"""),"")</f>
        <v/>
      </c>
      <c r="C8903" s="12"/>
      <c r="D8903" s="12"/>
      <c r="E8903" s="11"/>
      <c r="F8903" s="12"/>
    </row>
    <row r="8904" ht="14.25" customHeight="1">
      <c r="A8904" s="4"/>
      <c r="B8904" s="4" t="str">
        <f>IFERROR(__xludf.DUMMYFUNCTION("""COMPUTED_VALUE"""),"")</f>
        <v/>
      </c>
      <c r="C8904" s="12"/>
      <c r="D8904" s="12"/>
      <c r="E8904" s="11"/>
      <c r="F8904" s="12"/>
    </row>
    <row r="8905" ht="14.25" customHeight="1">
      <c r="A8905" s="4"/>
      <c r="B8905" s="4" t="str">
        <f>IFERROR(__xludf.DUMMYFUNCTION("""COMPUTED_VALUE"""),"")</f>
        <v/>
      </c>
      <c r="C8905" s="12"/>
      <c r="D8905" s="12"/>
      <c r="E8905" s="11"/>
      <c r="F8905" s="12"/>
    </row>
    <row r="8906" ht="14.25" customHeight="1">
      <c r="A8906" s="4"/>
      <c r="B8906" s="4" t="str">
        <f>IFERROR(__xludf.DUMMYFUNCTION("""COMPUTED_VALUE"""),"")</f>
        <v/>
      </c>
      <c r="C8906" s="12"/>
      <c r="D8906" s="12"/>
      <c r="E8906" s="11"/>
      <c r="F8906" s="12"/>
    </row>
    <row r="8907" ht="14.25" customHeight="1">
      <c r="A8907" s="4"/>
      <c r="B8907" s="4" t="str">
        <f>IFERROR(__xludf.DUMMYFUNCTION("""COMPUTED_VALUE"""),"")</f>
        <v/>
      </c>
      <c r="C8907" s="12"/>
      <c r="D8907" s="12"/>
      <c r="E8907" s="11"/>
      <c r="F8907" s="12"/>
    </row>
    <row r="8908" ht="14.25" customHeight="1">
      <c r="A8908" s="4"/>
      <c r="B8908" s="4" t="str">
        <f>IFERROR(__xludf.DUMMYFUNCTION("""COMPUTED_VALUE"""),"")</f>
        <v/>
      </c>
      <c r="C8908" s="12"/>
      <c r="D8908" s="12"/>
      <c r="E8908" s="11"/>
      <c r="F8908" s="12"/>
    </row>
    <row r="8909" ht="14.25" customHeight="1">
      <c r="A8909" s="4"/>
      <c r="B8909" s="4" t="str">
        <f>IFERROR(__xludf.DUMMYFUNCTION("""COMPUTED_VALUE"""),"")</f>
        <v/>
      </c>
      <c r="C8909" s="12"/>
      <c r="D8909" s="12"/>
      <c r="E8909" s="11"/>
      <c r="F8909" s="12"/>
    </row>
    <row r="8910" ht="14.25" customHeight="1">
      <c r="A8910" s="4"/>
      <c r="B8910" s="4" t="str">
        <f>IFERROR(__xludf.DUMMYFUNCTION("""COMPUTED_VALUE"""),"")</f>
        <v/>
      </c>
      <c r="C8910" s="12"/>
      <c r="D8910" s="12"/>
      <c r="E8910" s="11"/>
      <c r="F8910" s="12"/>
    </row>
    <row r="8911" ht="14.25" customHeight="1">
      <c r="A8911" s="4"/>
      <c r="B8911" s="4" t="str">
        <f>IFERROR(__xludf.DUMMYFUNCTION("""COMPUTED_VALUE"""),"")</f>
        <v/>
      </c>
      <c r="C8911" s="12"/>
      <c r="D8911" s="12"/>
      <c r="E8911" s="11"/>
      <c r="F8911" s="12"/>
    </row>
    <row r="8912" ht="14.25" customHeight="1">
      <c r="A8912" s="4"/>
      <c r="B8912" s="4" t="str">
        <f>IFERROR(__xludf.DUMMYFUNCTION("""COMPUTED_VALUE"""),"")</f>
        <v/>
      </c>
      <c r="C8912" s="12"/>
      <c r="D8912" s="12"/>
      <c r="E8912" s="11"/>
      <c r="F8912" s="12"/>
    </row>
    <row r="8913" ht="14.25" customHeight="1">
      <c r="A8913" s="4"/>
      <c r="B8913" s="4" t="str">
        <f>IFERROR(__xludf.DUMMYFUNCTION("""COMPUTED_VALUE"""),"")</f>
        <v/>
      </c>
      <c r="C8913" s="12"/>
      <c r="D8913" s="12"/>
      <c r="E8913" s="11"/>
      <c r="F8913" s="12"/>
    </row>
    <row r="8914" ht="14.25" customHeight="1">
      <c r="A8914" s="4"/>
      <c r="B8914" s="4" t="str">
        <f>IFERROR(__xludf.DUMMYFUNCTION("""COMPUTED_VALUE"""),"")</f>
        <v/>
      </c>
      <c r="C8914" s="12"/>
      <c r="D8914" s="12"/>
      <c r="E8914" s="11"/>
      <c r="F8914" s="12"/>
    </row>
    <row r="8915" ht="14.25" customHeight="1">
      <c r="A8915" s="4"/>
      <c r="B8915" s="4" t="str">
        <f>IFERROR(__xludf.DUMMYFUNCTION("""COMPUTED_VALUE"""),"")</f>
        <v/>
      </c>
      <c r="C8915" s="12"/>
      <c r="D8915" s="12"/>
      <c r="E8915" s="11"/>
      <c r="F8915" s="12"/>
    </row>
    <row r="8916" ht="14.25" customHeight="1">
      <c r="A8916" s="4"/>
      <c r="B8916" s="4" t="str">
        <f>IFERROR(__xludf.DUMMYFUNCTION("""COMPUTED_VALUE"""),"")</f>
        <v/>
      </c>
      <c r="C8916" s="12"/>
      <c r="D8916" s="12"/>
      <c r="E8916" s="11"/>
      <c r="F8916" s="12"/>
    </row>
    <row r="8917" ht="14.25" customHeight="1">
      <c r="A8917" s="4"/>
      <c r="B8917" s="4" t="str">
        <f>IFERROR(__xludf.DUMMYFUNCTION("""COMPUTED_VALUE"""),"")</f>
        <v/>
      </c>
      <c r="C8917" s="12"/>
      <c r="D8917" s="12"/>
      <c r="E8917" s="11"/>
      <c r="F8917" s="12"/>
    </row>
    <row r="8918" ht="14.25" customHeight="1">
      <c r="A8918" s="4"/>
      <c r="B8918" s="4" t="str">
        <f>IFERROR(__xludf.DUMMYFUNCTION("""COMPUTED_VALUE"""),"")</f>
        <v/>
      </c>
      <c r="C8918" s="12"/>
      <c r="D8918" s="12"/>
      <c r="E8918" s="11"/>
      <c r="F8918" s="12"/>
    </row>
    <row r="8919" ht="14.25" customHeight="1">
      <c r="A8919" s="4"/>
      <c r="B8919" s="4" t="str">
        <f>IFERROR(__xludf.DUMMYFUNCTION("""COMPUTED_VALUE"""),"")</f>
        <v/>
      </c>
      <c r="C8919" s="12"/>
      <c r="D8919" s="12"/>
      <c r="E8919" s="11"/>
      <c r="F8919" s="12"/>
    </row>
    <row r="8920" ht="14.25" customHeight="1">
      <c r="A8920" s="4"/>
      <c r="B8920" s="4" t="str">
        <f>IFERROR(__xludf.DUMMYFUNCTION("""COMPUTED_VALUE"""),"")</f>
        <v/>
      </c>
      <c r="C8920" s="12"/>
      <c r="D8920" s="12"/>
      <c r="E8920" s="11"/>
      <c r="F8920" s="12"/>
    </row>
    <row r="8921" ht="14.25" customHeight="1">
      <c r="A8921" s="4"/>
      <c r="B8921" s="4" t="str">
        <f>IFERROR(__xludf.DUMMYFUNCTION("""COMPUTED_VALUE"""),"")</f>
        <v/>
      </c>
      <c r="C8921" s="12"/>
      <c r="D8921" s="12"/>
      <c r="E8921" s="11"/>
      <c r="F8921" s="12"/>
    </row>
    <row r="8922" ht="14.25" customHeight="1">
      <c r="A8922" s="4"/>
      <c r="B8922" s="4" t="str">
        <f>IFERROR(__xludf.DUMMYFUNCTION("""COMPUTED_VALUE"""),"")</f>
        <v/>
      </c>
      <c r="C8922" s="12"/>
      <c r="D8922" s="12"/>
      <c r="E8922" s="11"/>
      <c r="F8922" s="12"/>
    </row>
    <row r="8923" ht="14.25" customHeight="1">
      <c r="A8923" s="4"/>
      <c r="B8923" s="4" t="str">
        <f>IFERROR(__xludf.DUMMYFUNCTION("""COMPUTED_VALUE"""),"")</f>
        <v/>
      </c>
      <c r="C8923" s="12"/>
      <c r="D8923" s="12"/>
      <c r="E8923" s="11"/>
      <c r="F8923" s="12"/>
    </row>
    <row r="8924" ht="14.25" customHeight="1">
      <c r="A8924" s="4"/>
      <c r="B8924" s="4" t="str">
        <f>IFERROR(__xludf.DUMMYFUNCTION("""COMPUTED_VALUE"""),"")</f>
        <v/>
      </c>
      <c r="C8924" s="12"/>
      <c r="D8924" s="12"/>
      <c r="E8924" s="11"/>
      <c r="F8924" s="12"/>
    </row>
    <row r="8925" ht="14.25" customHeight="1">
      <c r="A8925" s="4"/>
      <c r="B8925" s="4" t="str">
        <f>IFERROR(__xludf.DUMMYFUNCTION("""COMPUTED_VALUE"""),"")</f>
        <v/>
      </c>
      <c r="C8925" s="12"/>
      <c r="D8925" s="12"/>
      <c r="E8925" s="11"/>
      <c r="F8925" s="12"/>
    </row>
    <row r="8926" ht="14.25" customHeight="1">
      <c r="A8926" s="4"/>
      <c r="B8926" s="4" t="str">
        <f>IFERROR(__xludf.DUMMYFUNCTION("""COMPUTED_VALUE"""),"")</f>
        <v/>
      </c>
      <c r="C8926" s="12"/>
      <c r="D8926" s="12"/>
      <c r="E8926" s="11"/>
      <c r="F8926" s="12"/>
    </row>
    <row r="8927" ht="14.25" customHeight="1">
      <c r="A8927" s="4"/>
      <c r="B8927" s="4" t="str">
        <f>IFERROR(__xludf.DUMMYFUNCTION("""COMPUTED_VALUE"""),"")</f>
        <v/>
      </c>
      <c r="C8927" s="12"/>
      <c r="D8927" s="12"/>
      <c r="E8927" s="11"/>
      <c r="F8927" s="12"/>
    </row>
    <row r="8928" ht="14.25" customHeight="1">
      <c r="A8928" s="4"/>
      <c r="B8928" s="4" t="str">
        <f>IFERROR(__xludf.DUMMYFUNCTION("""COMPUTED_VALUE"""),"")</f>
        <v/>
      </c>
      <c r="C8928" s="12"/>
      <c r="D8928" s="12"/>
      <c r="E8928" s="11"/>
      <c r="F8928" s="12"/>
    </row>
    <row r="8929" ht="14.25" customHeight="1">
      <c r="A8929" s="4"/>
      <c r="B8929" s="4" t="str">
        <f>IFERROR(__xludf.DUMMYFUNCTION("""COMPUTED_VALUE"""),"")</f>
        <v/>
      </c>
      <c r="C8929" s="12"/>
      <c r="D8929" s="12"/>
      <c r="E8929" s="11"/>
      <c r="F8929" s="12"/>
    </row>
    <row r="8930" ht="14.25" customHeight="1">
      <c r="A8930" s="4"/>
      <c r="B8930" s="4" t="str">
        <f>IFERROR(__xludf.DUMMYFUNCTION("""COMPUTED_VALUE"""),"")</f>
        <v/>
      </c>
      <c r="C8930" s="12"/>
      <c r="D8930" s="12"/>
      <c r="E8930" s="11"/>
      <c r="F8930" s="12"/>
    </row>
    <row r="8931" ht="14.25" customHeight="1">
      <c r="A8931" s="4"/>
      <c r="B8931" s="4" t="str">
        <f>IFERROR(__xludf.DUMMYFUNCTION("""COMPUTED_VALUE"""),"")</f>
        <v/>
      </c>
      <c r="C8931" s="12"/>
      <c r="D8931" s="12"/>
      <c r="E8931" s="11"/>
      <c r="F8931" s="12"/>
    </row>
    <row r="8932" ht="14.25" customHeight="1">
      <c r="A8932" s="4"/>
      <c r="B8932" s="4" t="str">
        <f>IFERROR(__xludf.DUMMYFUNCTION("""COMPUTED_VALUE"""),"")</f>
        <v/>
      </c>
      <c r="C8932" s="12"/>
      <c r="D8932" s="12"/>
      <c r="E8932" s="11"/>
      <c r="F8932" s="12"/>
    </row>
    <row r="8933" ht="14.25" customHeight="1">
      <c r="A8933" s="4"/>
      <c r="B8933" s="4" t="str">
        <f>IFERROR(__xludf.DUMMYFUNCTION("""COMPUTED_VALUE"""),"")</f>
        <v/>
      </c>
      <c r="C8933" s="12"/>
      <c r="D8933" s="12"/>
      <c r="E8933" s="11"/>
      <c r="F8933" s="12"/>
    </row>
    <row r="8934" ht="14.25" customHeight="1">
      <c r="A8934" s="4"/>
      <c r="B8934" s="4" t="str">
        <f>IFERROR(__xludf.DUMMYFUNCTION("""COMPUTED_VALUE"""),"")</f>
        <v/>
      </c>
      <c r="C8934" s="12"/>
      <c r="D8934" s="12"/>
      <c r="E8934" s="11"/>
      <c r="F8934" s="12"/>
    </row>
    <row r="8935" ht="14.25" customHeight="1">
      <c r="A8935" s="4"/>
      <c r="B8935" s="4" t="str">
        <f>IFERROR(__xludf.DUMMYFUNCTION("""COMPUTED_VALUE"""),"")</f>
        <v/>
      </c>
      <c r="C8935" s="12"/>
      <c r="D8935" s="12"/>
      <c r="E8935" s="11"/>
      <c r="F8935" s="12"/>
    </row>
    <row r="8936" ht="14.25" customHeight="1">
      <c r="A8936" s="4"/>
      <c r="B8936" s="4" t="str">
        <f>IFERROR(__xludf.DUMMYFUNCTION("""COMPUTED_VALUE"""),"")</f>
        <v/>
      </c>
      <c r="C8936" s="12"/>
      <c r="D8936" s="12"/>
      <c r="E8936" s="11"/>
      <c r="F8936" s="12"/>
    </row>
    <row r="8937" ht="14.25" customHeight="1">
      <c r="A8937" s="4"/>
      <c r="B8937" s="4" t="str">
        <f>IFERROR(__xludf.DUMMYFUNCTION("""COMPUTED_VALUE"""),"")</f>
        <v/>
      </c>
      <c r="C8937" s="12"/>
      <c r="D8937" s="12"/>
      <c r="E8937" s="11"/>
      <c r="F8937" s="12"/>
    </row>
    <row r="8938" ht="14.25" customHeight="1">
      <c r="A8938" s="4"/>
      <c r="B8938" s="4" t="str">
        <f>IFERROR(__xludf.DUMMYFUNCTION("""COMPUTED_VALUE"""),"")</f>
        <v/>
      </c>
      <c r="C8938" s="12"/>
      <c r="D8938" s="12"/>
      <c r="E8938" s="11"/>
      <c r="F8938" s="12"/>
    </row>
    <row r="8939" ht="14.25" customHeight="1">
      <c r="A8939" s="4"/>
      <c r="B8939" s="4" t="str">
        <f>IFERROR(__xludf.DUMMYFUNCTION("""COMPUTED_VALUE"""),"")</f>
        <v/>
      </c>
      <c r="C8939" s="12"/>
      <c r="D8939" s="12"/>
      <c r="E8939" s="11"/>
      <c r="F8939" s="12"/>
    </row>
    <row r="8940" ht="14.25" customHeight="1">
      <c r="A8940" s="4"/>
      <c r="B8940" s="4" t="str">
        <f>IFERROR(__xludf.DUMMYFUNCTION("""COMPUTED_VALUE"""),"")</f>
        <v/>
      </c>
      <c r="C8940" s="12"/>
      <c r="D8940" s="12"/>
      <c r="E8940" s="11"/>
      <c r="F8940" s="12"/>
    </row>
    <row r="8941" ht="14.25" customHeight="1">
      <c r="A8941" s="4"/>
      <c r="B8941" s="4" t="str">
        <f>IFERROR(__xludf.DUMMYFUNCTION("""COMPUTED_VALUE"""),"")</f>
        <v/>
      </c>
      <c r="C8941" s="12"/>
      <c r="D8941" s="12"/>
      <c r="E8941" s="11"/>
      <c r="F8941" s="12"/>
    </row>
    <row r="8942" ht="14.25" customHeight="1">
      <c r="A8942" s="4"/>
      <c r="B8942" s="4" t="str">
        <f>IFERROR(__xludf.DUMMYFUNCTION("""COMPUTED_VALUE"""),"")</f>
        <v/>
      </c>
      <c r="C8942" s="12"/>
      <c r="D8942" s="12"/>
      <c r="E8942" s="11"/>
      <c r="F8942" s="12"/>
    </row>
    <row r="8943" ht="14.25" customHeight="1">
      <c r="A8943" s="4"/>
      <c r="B8943" s="4" t="str">
        <f>IFERROR(__xludf.DUMMYFUNCTION("""COMPUTED_VALUE"""),"")</f>
        <v/>
      </c>
      <c r="C8943" s="12"/>
      <c r="D8943" s="12"/>
      <c r="E8943" s="11"/>
      <c r="F8943" s="12"/>
    </row>
    <row r="8944" ht="14.25" customHeight="1">
      <c r="A8944" s="4"/>
      <c r="B8944" s="4" t="str">
        <f>IFERROR(__xludf.DUMMYFUNCTION("""COMPUTED_VALUE"""),"")</f>
        <v/>
      </c>
      <c r="C8944" s="12"/>
      <c r="D8944" s="12"/>
      <c r="E8944" s="11"/>
      <c r="F8944" s="12"/>
    </row>
    <row r="8945" ht="14.25" customHeight="1">
      <c r="A8945" s="4"/>
      <c r="B8945" s="4" t="str">
        <f>IFERROR(__xludf.DUMMYFUNCTION("""COMPUTED_VALUE"""),"")</f>
        <v/>
      </c>
      <c r="C8945" s="12"/>
      <c r="D8945" s="12"/>
      <c r="E8945" s="11"/>
      <c r="F8945" s="12"/>
    </row>
    <row r="8946" ht="14.25" customHeight="1">
      <c r="A8946" s="4"/>
      <c r="B8946" s="4" t="str">
        <f>IFERROR(__xludf.DUMMYFUNCTION("""COMPUTED_VALUE"""),"")</f>
        <v/>
      </c>
      <c r="C8946" s="12"/>
      <c r="D8946" s="12"/>
      <c r="E8946" s="11"/>
      <c r="F8946" s="12"/>
    </row>
    <row r="8947" ht="14.25" customHeight="1">
      <c r="A8947" s="4"/>
      <c r="B8947" s="4" t="str">
        <f>IFERROR(__xludf.DUMMYFUNCTION("""COMPUTED_VALUE"""),"")</f>
        <v/>
      </c>
      <c r="C8947" s="12"/>
      <c r="D8947" s="12"/>
      <c r="E8947" s="11"/>
      <c r="F8947" s="12"/>
    </row>
    <row r="8948" ht="14.25" customHeight="1">
      <c r="A8948" s="4"/>
      <c r="B8948" s="4" t="str">
        <f>IFERROR(__xludf.DUMMYFUNCTION("""COMPUTED_VALUE"""),"")</f>
        <v/>
      </c>
      <c r="C8948" s="12"/>
      <c r="D8948" s="12"/>
      <c r="E8948" s="11"/>
      <c r="F8948" s="12"/>
    </row>
    <row r="8949" ht="14.25" customHeight="1">
      <c r="A8949" s="4"/>
      <c r="B8949" s="4" t="str">
        <f>IFERROR(__xludf.DUMMYFUNCTION("""COMPUTED_VALUE"""),"")</f>
        <v/>
      </c>
      <c r="C8949" s="12"/>
      <c r="D8949" s="12"/>
      <c r="E8949" s="11"/>
      <c r="F8949" s="12"/>
    </row>
    <row r="8950" ht="14.25" customHeight="1">
      <c r="A8950" s="4"/>
      <c r="B8950" s="4" t="str">
        <f>IFERROR(__xludf.DUMMYFUNCTION("""COMPUTED_VALUE"""),"")</f>
        <v/>
      </c>
      <c r="C8950" s="12"/>
      <c r="D8950" s="12"/>
      <c r="E8950" s="11"/>
      <c r="F8950" s="12"/>
    </row>
    <row r="8951" ht="14.25" customHeight="1">
      <c r="A8951" s="4"/>
      <c r="B8951" s="4" t="str">
        <f>IFERROR(__xludf.DUMMYFUNCTION("""COMPUTED_VALUE"""),"")</f>
        <v/>
      </c>
      <c r="C8951" s="12"/>
      <c r="D8951" s="12"/>
      <c r="E8951" s="11"/>
      <c r="F8951" s="12"/>
    </row>
    <row r="8952" ht="14.25" customHeight="1">
      <c r="A8952" s="4"/>
      <c r="B8952" s="4" t="str">
        <f>IFERROR(__xludf.DUMMYFUNCTION("""COMPUTED_VALUE"""),"")</f>
        <v/>
      </c>
      <c r="C8952" s="12"/>
      <c r="D8952" s="12"/>
      <c r="E8952" s="11"/>
      <c r="F8952" s="12"/>
    </row>
    <row r="8953" ht="14.25" customHeight="1">
      <c r="A8953" s="4"/>
      <c r="B8953" s="4" t="str">
        <f>IFERROR(__xludf.DUMMYFUNCTION("""COMPUTED_VALUE"""),"")</f>
        <v/>
      </c>
      <c r="C8953" s="12"/>
      <c r="D8953" s="12"/>
      <c r="E8953" s="11"/>
      <c r="F8953" s="12"/>
    </row>
    <row r="8954" ht="14.25" customHeight="1">
      <c r="A8954" s="4"/>
      <c r="B8954" s="4" t="str">
        <f>IFERROR(__xludf.DUMMYFUNCTION("""COMPUTED_VALUE"""),"")</f>
        <v/>
      </c>
      <c r="C8954" s="12"/>
      <c r="D8954" s="12"/>
      <c r="E8954" s="11"/>
      <c r="F8954" s="12"/>
    </row>
    <row r="8955" ht="14.25" customHeight="1">
      <c r="A8955" s="4"/>
      <c r="B8955" s="4" t="str">
        <f>IFERROR(__xludf.DUMMYFUNCTION("""COMPUTED_VALUE"""),"")</f>
        <v/>
      </c>
      <c r="C8955" s="12"/>
      <c r="D8955" s="12"/>
      <c r="E8955" s="11"/>
      <c r="F8955" s="12"/>
    </row>
    <row r="8956" ht="14.25" customHeight="1">
      <c r="A8956" s="4"/>
      <c r="B8956" s="4" t="str">
        <f>IFERROR(__xludf.DUMMYFUNCTION("""COMPUTED_VALUE"""),"")</f>
        <v/>
      </c>
      <c r="C8956" s="12"/>
      <c r="D8956" s="12"/>
      <c r="E8956" s="11"/>
      <c r="F8956" s="12"/>
    </row>
    <row r="8957" ht="14.25" customHeight="1">
      <c r="A8957" s="4"/>
      <c r="B8957" s="4" t="str">
        <f>IFERROR(__xludf.DUMMYFUNCTION("""COMPUTED_VALUE"""),"")</f>
        <v/>
      </c>
      <c r="C8957" s="12"/>
      <c r="D8957" s="12"/>
      <c r="E8957" s="11"/>
      <c r="F8957" s="12"/>
    </row>
    <row r="8958" ht="14.25" customHeight="1">
      <c r="A8958" s="4"/>
      <c r="B8958" s="4" t="str">
        <f>IFERROR(__xludf.DUMMYFUNCTION("""COMPUTED_VALUE"""),"")</f>
        <v/>
      </c>
      <c r="C8958" s="12"/>
      <c r="D8958" s="12"/>
      <c r="E8958" s="11"/>
      <c r="F8958" s="12"/>
    </row>
    <row r="8959" ht="14.25" customHeight="1">
      <c r="A8959" s="4"/>
      <c r="B8959" s="4" t="str">
        <f>IFERROR(__xludf.DUMMYFUNCTION("""COMPUTED_VALUE"""),"")</f>
        <v/>
      </c>
      <c r="C8959" s="12"/>
      <c r="D8959" s="12"/>
      <c r="E8959" s="11"/>
      <c r="F8959" s="12"/>
    </row>
    <row r="8960" ht="14.25" customHeight="1">
      <c r="A8960" s="4"/>
      <c r="B8960" s="4" t="str">
        <f>IFERROR(__xludf.DUMMYFUNCTION("""COMPUTED_VALUE"""),"")</f>
        <v/>
      </c>
      <c r="C8960" s="12"/>
      <c r="D8960" s="12"/>
      <c r="E8960" s="11"/>
      <c r="F8960" s="12"/>
    </row>
    <row r="8961" ht="14.25" customHeight="1">
      <c r="A8961" s="4"/>
      <c r="B8961" s="4" t="str">
        <f>IFERROR(__xludf.DUMMYFUNCTION("""COMPUTED_VALUE"""),"")</f>
        <v/>
      </c>
      <c r="C8961" s="12"/>
      <c r="D8961" s="12"/>
      <c r="E8961" s="11"/>
      <c r="F8961" s="12"/>
    </row>
    <row r="8962" ht="14.25" customHeight="1">
      <c r="A8962" s="4"/>
      <c r="B8962" s="4" t="str">
        <f>IFERROR(__xludf.DUMMYFUNCTION("""COMPUTED_VALUE"""),"")</f>
        <v/>
      </c>
      <c r="C8962" s="12"/>
      <c r="D8962" s="12"/>
      <c r="E8962" s="11"/>
      <c r="F8962" s="12"/>
    </row>
    <row r="8963" ht="14.25" customHeight="1">
      <c r="A8963" s="4"/>
      <c r="B8963" s="4" t="str">
        <f>IFERROR(__xludf.DUMMYFUNCTION("""COMPUTED_VALUE"""),"")</f>
        <v/>
      </c>
      <c r="C8963" s="12"/>
      <c r="D8963" s="12"/>
      <c r="E8963" s="11"/>
      <c r="F8963" s="12"/>
    </row>
    <row r="8964" ht="14.25" customHeight="1">
      <c r="A8964" s="4"/>
      <c r="B8964" s="4" t="str">
        <f>IFERROR(__xludf.DUMMYFUNCTION("""COMPUTED_VALUE"""),"")</f>
        <v/>
      </c>
      <c r="C8964" s="12"/>
      <c r="D8964" s="12"/>
      <c r="E8964" s="11"/>
      <c r="F8964" s="12"/>
    </row>
    <row r="8965" ht="14.25" customHeight="1">
      <c r="A8965" s="4"/>
      <c r="B8965" s="4" t="str">
        <f>IFERROR(__xludf.DUMMYFUNCTION("""COMPUTED_VALUE"""),"")</f>
        <v/>
      </c>
      <c r="C8965" s="12"/>
      <c r="D8965" s="12"/>
      <c r="E8965" s="11"/>
      <c r="F8965" s="12"/>
    </row>
    <row r="8966" ht="14.25" customHeight="1">
      <c r="A8966" s="4"/>
      <c r="B8966" s="4" t="str">
        <f>IFERROR(__xludf.DUMMYFUNCTION("""COMPUTED_VALUE"""),"")</f>
        <v/>
      </c>
      <c r="C8966" s="12"/>
      <c r="D8966" s="12"/>
      <c r="E8966" s="11"/>
      <c r="F8966" s="12"/>
    </row>
    <row r="8967" ht="14.25" customHeight="1">
      <c r="A8967" s="4"/>
      <c r="B8967" s="4" t="str">
        <f>IFERROR(__xludf.DUMMYFUNCTION("""COMPUTED_VALUE"""),"")</f>
        <v/>
      </c>
      <c r="C8967" s="12"/>
      <c r="D8967" s="12"/>
      <c r="E8967" s="11"/>
      <c r="F8967" s="12"/>
    </row>
    <row r="8968" ht="14.25" customHeight="1">
      <c r="A8968" s="4"/>
      <c r="B8968" s="4" t="str">
        <f>IFERROR(__xludf.DUMMYFUNCTION("""COMPUTED_VALUE"""),"")</f>
        <v/>
      </c>
      <c r="C8968" s="12"/>
      <c r="D8968" s="12"/>
      <c r="E8968" s="11"/>
      <c r="F8968" s="12"/>
    </row>
    <row r="8969" ht="14.25" customHeight="1">
      <c r="A8969" s="4"/>
      <c r="B8969" s="4" t="str">
        <f>IFERROR(__xludf.DUMMYFUNCTION("""COMPUTED_VALUE"""),"")</f>
        <v/>
      </c>
      <c r="C8969" s="12"/>
      <c r="D8969" s="12"/>
      <c r="E8969" s="11"/>
      <c r="F8969" s="12"/>
    </row>
    <row r="8970" ht="14.25" customHeight="1">
      <c r="A8970" s="4"/>
      <c r="B8970" s="4" t="str">
        <f>IFERROR(__xludf.DUMMYFUNCTION("""COMPUTED_VALUE"""),"")</f>
        <v/>
      </c>
      <c r="C8970" s="12"/>
      <c r="D8970" s="12"/>
      <c r="E8970" s="11"/>
      <c r="F8970" s="12"/>
    </row>
    <row r="8971" ht="14.25" customHeight="1">
      <c r="A8971" s="4"/>
      <c r="B8971" s="4" t="str">
        <f>IFERROR(__xludf.DUMMYFUNCTION("""COMPUTED_VALUE"""),"")</f>
        <v/>
      </c>
      <c r="C8971" s="12"/>
      <c r="D8971" s="12"/>
      <c r="E8971" s="11"/>
      <c r="F8971" s="12"/>
    </row>
    <row r="8972" ht="14.25" customHeight="1">
      <c r="A8972" s="4"/>
      <c r="B8972" s="4" t="str">
        <f>IFERROR(__xludf.DUMMYFUNCTION("""COMPUTED_VALUE"""),"")</f>
        <v/>
      </c>
      <c r="C8972" s="12"/>
      <c r="D8972" s="12"/>
      <c r="E8972" s="11"/>
      <c r="F8972" s="12"/>
    </row>
    <row r="8973" ht="14.25" customHeight="1">
      <c r="A8973" s="4"/>
      <c r="B8973" s="4" t="str">
        <f>IFERROR(__xludf.DUMMYFUNCTION("""COMPUTED_VALUE"""),"")</f>
        <v/>
      </c>
      <c r="C8973" s="12"/>
      <c r="D8973" s="12"/>
      <c r="E8973" s="11"/>
      <c r="F8973" s="12"/>
    </row>
    <row r="8974" ht="14.25" customHeight="1">
      <c r="A8974" s="4"/>
      <c r="B8974" s="4" t="str">
        <f>IFERROR(__xludf.DUMMYFUNCTION("""COMPUTED_VALUE"""),"")</f>
        <v/>
      </c>
      <c r="C8974" s="12"/>
      <c r="D8974" s="12"/>
      <c r="E8974" s="11"/>
      <c r="F8974" s="12"/>
    </row>
    <row r="8975" ht="14.25" customHeight="1">
      <c r="A8975" s="4"/>
      <c r="B8975" s="4" t="str">
        <f>IFERROR(__xludf.DUMMYFUNCTION("""COMPUTED_VALUE"""),"")</f>
        <v/>
      </c>
      <c r="C8975" s="12"/>
      <c r="D8975" s="12"/>
      <c r="E8975" s="11"/>
      <c r="F8975" s="12"/>
    </row>
    <row r="8976" ht="14.25" customHeight="1">
      <c r="A8976" s="4"/>
      <c r="B8976" s="4" t="str">
        <f>IFERROR(__xludf.DUMMYFUNCTION("""COMPUTED_VALUE"""),"")</f>
        <v/>
      </c>
      <c r="C8976" s="12"/>
      <c r="D8976" s="12"/>
      <c r="E8976" s="11"/>
      <c r="F8976" s="12"/>
    </row>
    <row r="8977" ht="14.25" customHeight="1">
      <c r="A8977" s="4"/>
      <c r="B8977" s="4" t="str">
        <f>IFERROR(__xludf.DUMMYFUNCTION("""COMPUTED_VALUE"""),"")</f>
        <v/>
      </c>
      <c r="C8977" s="12"/>
      <c r="D8977" s="12"/>
      <c r="E8977" s="11"/>
      <c r="F8977" s="12"/>
    </row>
    <row r="8978" ht="14.25" customHeight="1">
      <c r="A8978" s="4"/>
      <c r="B8978" s="4" t="str">
        <f>IFERROR(__xludf.DUMMYFUNCTION("""COMPUTED_VALUE"""),"")</f>
        <v/>
      </c>
      <c r="C8978" s="12"/>
      <c r="D8978" s="12"/>
      <c r="E8978" s="11"/>
      <c r="F8978" s="12"/>
    </row>
    <row r="8979" ht="14.25" customHeight="1">
      <c r="A8979" s="4"/>
      <c r="B8979" s="4" t="str">
        <f>IFERROR(__xludf.DUMMYFUNCTION("""COMPUTED_VALUE"""),"")</f>
        <v/>
      </c>
      <c r="C8979" s="12"/>
      <c r="D8979" s="12"/>
      <c r="E8979" s="11"/>
      <c r="F8979" s="12"/>
    </row>
    <row r="8980" ht="14.25" customHeight="1">
      <c r="A8980" s="4"/>
      <c r="B8980" s="4" t="str">
        <f>IFERROR(__xludf.DUMMYFUNCTION("""COMPUTED_VALUE"""),"")</f>
        <v/>
      </c>
      <c r="C8980" s="12"/>
      <c r="D8980" s="12"/>
      <c r="E8980" s="11"/>
      <c r="F8980" s="12"/>
    </row>
    <row r="8981" ht="14.25" customHeight="1">
      <c r="A8981" s="4"/>
      <c r="B8981" s="4" t="str">
        <f>IFERROR(__xludf.DUMMYFUNCTION("""COMPUTED_VALUE"""),"")</f>
        <v/>
      </c>
      <c r="C8981" s="12"/>
      <c r="D8981" s="12"/>
      <c r="E8981" s="11"/>
      <c r="F8981" s="12"/>
    </row>
    <row r="8982" ht="14.25" customHeight="1">
      <c r="A8982" s="4"/>
      <c r="B8982" s="4" t="str">
        <f>IFERROR(__xludf.DUMMYFUNCTION("""COMPUTED_VALUE"""),"")</f>
        <v/>
      </c>
      <c r="C8982" s="12"/>
      <c r="D8982" s="12"/>
      <c r="E8982" s="11"/>
      <c r="F8982" s="12"/>
    </row>
    <row r="8983" ht="14.25" customHeight="1">
      <c r="A8983" s="4"/>
      <c r="B8983" s="4" t="str">
        <f>IFERROR(__xludf.DUMMYFUNCTION("""COMPUTED_VALUE"""),"")</f>
        <v/>
      </c>
      <c r="C8983" s="12"/>
      <c r="D8983" s="12"/>
      <c r="E8983" s="11"/>
      <c r="F8983" s="12"/>
    </row>
    <row r="8984" ht="14.25" customHeight="1">
      <c r="A8984" s="4"/>
      <c r="B8984" s="4" t="str">
        <f>IFERROR(__xludf.DUMMYFUNCTION("""COMPUTED_VALUE"""),"")</f>
        <v/>
      </c>
      <c r="C8984" s="12"/>
      <c r="D8984" s="12"/>
      <c r="E8984" s="11"/>
      <c r="F8984" s="12"/>
    </row>
    <row r="8985" ht="14.25" customHeight="1">
      <c r="A8985" s="4"/>
      <c r="B8985" s="4" t="str">
        <f>IFERROR(__xludf.DUMMYFUNCTION("""COMPUTED_VALUE"""),"")</f>
        <v/>
      </c>
      <c r="C8985" s="12"/>
      <c r="D8985" s="12"/>
      <c r="E8985" s="11"/>
      <c r="F8985" s="12"/>
    </row>
    <row r="8986" ht="14.25" customHeight="1">
      <c r="A8986" s="4"/>
      <c r="B8986" s="4" t="str">
        <f>IFERROR(__xludf.DUMMYFUNCTION("""COMPUTED_VALUE"""),"")</f>
        <v/>
      </c>
      <c r="C8986" s="12"/>
      <c r="D8986" s="12"/>
      <c r="E8986" s="11"/>
      <c r="F8986" s="12"/>
    </row>
    <row r="8987" ht="14.25" customHeight="1">
      <c r="A8987" s="4"/>
      <c r="B8987" s="4" t="str">
        <f>IFERROR(__xludf.DUMMYFUNCTION("""COMPUTED_VALUE"""),"")</f>
        <v/>
      </c>
      <c r="C8987" s="12"/>
      <c r="D8987" s="12"/>
      <c r="E8987" s="11"/>
      <c r="F8987" s="12"/>
    </row>
    <row r="8988" ht="14.25" customHeight="1">
      <c r="A8988" s="4"/>
      <c r="B8988" s="4" t="str">
        <f>IFERROR(__xludf.DUMMYFUNCTION("""COMPUTED_VALUE"""),"")</f>
        <v/>
      </c>
      <c r="C8988" s="12"/>
      <c r="D8988" s="12"/>
      <c r="E8988" s="11"/>
      <c r="F8988" s="12"/>
    </row>
    <row r="8989" ht="14.25" customHeight="1">
      <c r="A8989" s="4"/>
      <c r="B8989" s="4" t="str">
        <f>IFERROR(__xludf.DUMMYFUNCTION("""COMPUTED_VALUE"""),"")</f>
        <v/>
      </c>
      <c r="C8989" s="12"/>
      <c r="D8989" s="12"/>
      <c r="E8989" s="11"/>
      <c r="F8989" s="12"/>
    </row>
    <row r="8990" ht="14.25" customHeight="1">
      <c r="B8990" s="4" t="str">
        <f>IFERROR(__xludf.DUMMYFUNCTION("""COMPUTED_VALUE"""),"")</f>
        <v/>
      </c>
      <c r="C8990" s="12"/>
      <c r="D8990" s="12"/>
      <c r="E8990" s="11"/>
      <c r="F8990" s="12"/>
    </row>
    <row r="8991" ht="14.25" customHeight="1">
      <c r="B8991" s="4" t="str">
        <f>IFERROR(__xludf.DUMMYFUNCTION("""COMPUTED_VALUE"""),"")</f>
        <v/>
      </c>
      <c r="C8991" s="12"/>
      <c r="D8991" s="12"/>
      <c r="E8991" s="11"/>
      <c r="F8991" s="12"/>
    </row>
    <row r="8992" ht="14.25" customHeight="1">
      <c r="B8992" s="4" t="str">
        <f>IFERROR(__xludf.DUMMYFUNCTION("""COMPUTED_VALUE"""),"")</f>
        <v/>
      </c>
      <c r="C8992" s="12"/>
      <c r="D8992" s="12"/>
      <c r="E8992" s="11"/>
      <c r="F8992" s="12"/>
    </row>
    <row r="8993" ht="14.25" customHeight="1">
      <c r="B8993" s="4" t="str">
        <f>IFERROR(__xludf.DUMMYFUNCTION("""COMPUTED_VALUE"""),"")</f>
        <v/>
      </c>
      <c r="C8993" s="12"/>
      <c r="D8993" s="12"/>
      <c r="E8993" s="11"/>
      <c r="F8993" s="12"/>
    </row>
    <row r="8994" ht="14.25" customHeight="1">
      <c r="B8994" s="4" t="str">
        <f>IFERROR(__xludf.DUMMYFUNCTION("""COMPUTED_VALUE"""),"")</f>
        <v/>
      </c>
      <c r="C8994" s="12"/>
      <c r="D8994" s="12"/>
      <c r="E8994" s="11"/>
      <c r="F8994" s="12"/>
    </row>
    <row r="8995" ht="14.25" customHeight="1">
      <c r="B8995" s="4" t="str">
        <f>IFERROR(__xludf.DUMMYFUNCTION("""COMPUTED_VALUE"""),"")</f>
        <v/>
      </c>
      <c r="C8995" s="12"/>
      <c r="D8995" s="12"/>
      <c r="E8995" s="11"/>
      <c r="F8995" s="12"/>
    </row>
    <row r="8996" ht="14.25" customHeight="1">
      <c r="B8996" s="4" t="str">
        <f>IFERROR(__xludf.DUMMYFUNCTION("""COMPUTED_VALUE"""),"")</f>
        <v/>
      </c>
      <c r="C8996" s="12"/>
      <c r="D8996" s="12"/>
      <c r="E8996" s="11"/>
      <c r="F8996" s="12"/>
    </row>
    <row r="8997" ht="14.25" customHeight="1">
      <c r="B8997" s="4" t="str">
        <f>IFERROR(__xludf.DUMMYFUNCTION("""COMPUTED_VALUE"""),"")</f>
        <v/>
      </c>
      <c r="C8997" s="12"/>
      <c r="D8997" s="12"/>
      <c r="E8997" s="11"/>
      <c r="F8997" s="12"/>
    </row>
    <row r="8998" ht="14.25" customHeight="1">
      <c r="B8998" s="4" t="str">
        <f>IFERROR(__xludf.DUMMYFUNCTION("""COMPUTED_VALUE"""),"")</f>
        <v/>
      </c>
      <c r="C8998" s="12"/>
      <c r="D8998" s="12"/>
      <c r="E8998" s="11"/>
      <c r="F8998" s="12"/>
    </row>
    <row r="8999" ht="14.25" customHeight="1">
      <c r="B8999" s="4" t="str">
        <f>IFERROR(__xludf.DUMMYFUNCTION("""COMPUTED_VALUE"""),"")</f>
        <v/>
      </c>
      <c r="C8999" s="12"/>
      <c r="D8999" s="12"/>
      <c r="E8999" s="11"/>
      <c r="F8999" s="12"/>
    </row>
    <row r="9000" ht="14.25" customHeight="1">
      <c r="B9000" s="4" t="str">
        <f>IFERROR(__xludf.DUMMYFUNCTION("""COMPUTED_VALUE"""),"")</f>
        <v/>
      </c>
      <c r="C9000" s="12"/>
      <c r="D9000" s="12"/>
      <c r="E9000" s="11"/>
      <c r="F9000" s="12"/>
    </row>
    <row r="9001" ht="14.25" customHeight="1">
      <c r="B9001" s="4" t="str">
        <f>IFERROR(__xludf.DUMMYFUNCTION("""COMPUTED_VALUE"""),"")</f>
        <v/>
      </c>
      <c r="C9001" s="12"/>
      <c r="D9001" s="12"/>
      <c r="E9001" s="11"/>
      <c r="F9001" s="12"/>
    </row>
    <row r="9002" ht="14.25" customHeight="1">
      <c r="B9002" s="4" t="str">
        <f>IFERROR(__xludf.DUMMYFUNCTION("""COMPUTED_VALUE"""),"")</f>
        <v/>
      </c>
      <c r="C9002" s="12"/>
      <c r="D9002" s="12"/>
      <c r="E9002" s="11"/>
      <c r="F9002" s="12"/>
    </row>
    <row r="9003" ht="14.25" customHeight="1">
      <c r="B9003" s="4" t="str">
        <f>IFERROR(__xludf.DUMMYFUNCTION("""COMPUTED_VALUE"""),"")</f>
        <v/>
      </c>
      <c r="C9003" s="12"/>
      <c r="D9003" s="12"/>
      <c r="E9003" s="11"/>
      <c r="F9003" s="12"/>
    </row>
    <row r="9004" ht="14.25" customHeight="1">
      <c r="B9004" s="4" t="str">
        <f>IFERROR(__xludf.DUMMYFUNCTION("""COMPUTED_VALUE"""),"")</f>
        <v/>
      </c>
      <c r="C9004" s="12"/>
      <c r="D9004" s="12"/>
      <c r="E9004" s="11"/>
      <c r="F9004" s="12"/>
    </row>
    <row r="9005" ht="14.25" customHeight="1">
      <c r="B9005" s="4" t="str">
        <f>IFERROR(__xludf.DUMMYFUNCTION("""COMPUTED_VALUE"""),"")</f>
        <v/>
      </c>
      <c r="C9005" s="12"/>
      <c r="D9005" s="12"/>
      <c r="E9005" s="11"/>
      <c r="F9005" s="12"/>
    </row>
    <row r="9006" ht="14.25" customHeight="1">
      <c r="B9006" s="4" t="str">
        <f>IFERROR(__xludf.DUMMYFUNCTION("""COMPUTED_VALUE"""),"")</f>
        <v/>
      </c>
      <c r="C9006" s="12"/>
      <c r="D9006" s="12"/>
      <c r="E9006" s="11"/>
      <c r="F9006" s="12"/>
    </row>
    <row r="9007" ht="14.25" customHeight="1">
      <c r="B9007" s="4" t="str">
        <f>IFERROR(__xludf.DUMMYFUNCTION("""COMPUTED_VALUE"""),"")</f>
        <v/>
      </c>
      <c r="C9007" s="12"/>
      <c r="D9007" s="12"/>
      <c r="E9007" s="11"/>
      <c r="F9007" s="12"/>
    </row>
    <row r="9008" ht="14.25" customHeight="1">
      <c r="B9008" s="4" t="str">
        <f>IFERROR(__xludf.DUMMYFUNCTION("""COMPUTED_VALUE"""),"")</f>
        <v/>
      </c>
      <c r="C9008" s="12"/>
      <c r="D9008" s="12"/>
      <c r="E9008" s="11"/>
      <c r="F9008" s="12"/>
    </row>
    <row r="9009" ht="14.25" customHeight="1">
      <c r="B9009" s="4" t="str">
        <f>IFERROR(__xludf.DUMMYFUNCTION("""COMPUTED_VALUE"""),"")</f>
        <v/>
      </c>
      <c r="C9009" s="12"/>
      <c r="D9009" s="12"/>
      <c r="E9009" s="11"/>
      <c r="F9009" s="12"/>
    </row>
    <row r="9010" ht="14.25" customHeight="1">
      <c r="B9010" s="4" t="str">
        <f>IFERROR(__xludf.DUMMYFUNCTION("""COMPUTED_VALUE"""),"")</f>
        <v/>
      </c>
      <c r="C9010" s="12"/>
      <c r="D9010" s="12"/>
      <c r="E9010" s="11"/>
      <c r="F9010" s="12"/>
    </row>
    <row r="9011" ht="14.25" customHeight="1">
      <c r="B9011" s="4" t="str">
        <f>IFERROR(__xludf.DUMMYFUNCTION("""COMPUTED_VALUE"""),"")</f>
        <v/>
      </c>
      <c r="C9011" s="12"/>
      <c r="D9011" s="12"/>
      <c r="E9011" s="11"/>
      <c r="F9011" s="12"/>
    </row>
    <row r="9012" ht="14.25" customHeight="1">
      <c r="B9012" s="4" t="str">
        <f>IFERROR(__xludf.DUMMYFUNCTION("""COMPUTED_VALUE"""),"")</f>
        <v/>
      </c>
      <c r="C9012" s="12"/>
      <c r="D9012" s="12"/>
      <c r="E9012" s="11"/>
      <c r="F9012" s="12"/>
    </row>
    <row r="9013" ht="14.25" customHeight="1">
      <c r="B9013" s="4" t="str">
        <f>IFERROR(__xludf.DUMMYFUNCTION("""COMPUTED_VALUE"""),"")</f>
        <v/>
      </c>
      <c r="C9013" s="12"/>
      <c r="D9013" s="12"/>
      <c r="E9013" s="11"/>
      <c r="F9013" s="12"/>
    </row>
    <row r="9014" ht="14.25" customHeight="1">
      <c r="B9014" s="4" t="str">
        <f>IFERROR(__xludf.DUMMYFUNCTION("""COMPUTED_VALUE"""),"")</f>
        <v/>
      </c>
      <c r="C9014" s="12"/>
      <c r="D9014" s="12"/>
      <c r="E9014" s="11"/>
      <c r="F9014" s="12"/>
    </row>
    <row r="9015" ht="14.25" customHeight="1">
      <c r="B9015" s="4" t="str">
        <f>IFERROR(__xludf.DUMMYFUNCTION("""COMPUTED_VALUE"""),"")</f>
        <v/>
      </c>
      <c r="C9015" s="12"/>
      <c r="D9015" s="12"/>
      <c r="E9015" s="11"/>
      <c r="F9015" s="12"/>
    </row>
    <row r="9016" ht="14.25" customHeight="1">
      <c r="B9016" s="4" t="str">
        <f>IFERROR(__xludf.DUMMYFUNCTION("""COMPUTED_VALUE"""),"")</f>
        <v/>
      </c>
      <c r="C9016" s="12"/>
      <c r="D9016" s="12"/>
      <c r="E9016" s="11"/>
      <c r="F9016" s="12"/>
    </row>
    <row r="9017" ht="14.25" customHeight="1">
      <c r="B9017" s="4" t="str">
        <f>IFERROR(__xludf.DUMMYFUNCTION("""COMPUTED_VALUE"""),"")</f>
        <v/>
      </c>
      <c r="C9017" s="12"/>
      <c r="D9017" s="12"/>
      <c r="E9017" s="11"/>
      <c r="F9017" s="12"/>
    </row>
    <row r="9018" ht="14.25" customHeight="1">
      <c r="B9018" s="4" t="str">
        <f>IFERROR(__xludf.DUMMYFUNCTION("""COMPUTED_VALUE"""),"")</f>
        <v/>
      </c>
      <c r="C9018" s="12"/>
      <c r="D9018" s="12"/>
      <c r="E9018" s="11"/>
      <c r="F9018" s="12"/>
    </row>
    <row r="9019" ht="14.25" customHeight="1">
      <c r="B9019" s="4" t="str">
        <f>IFERROR(__xludf.DUMMYFUNCTION("""COMPUTED_VALUE"""),"")</f>
        <v/>
      </c>
      <c r="C9019" s="12"/>
      <c r="D9019" s="12"/>
      <c r="E9019" s="11"/>
      <c r="F9019" s="12"/>
    </row>
    <row r="9020" ht="14.25" customHeight="1">
      <c r="B9020" s="4" t="str">
        <f>IFERROR(__xludf.DUMMYFUNCTION("""COMPUTED_VALUE"""),"")</f>
        <v/>
      </c>
      <c r="C9020" s="12"/>
      <c r="D9020" s="12"/>
      <c r="E9020" s="11"/>
      <c r="F9020" s="12"/>
    </row>
    <row r="9021" ht="14.25" customHeight="1">
      <c r="B9021" s="4" t="str">
        <f>IFERROR(__xludf.DUMMYFUNCTION("""COMPUTED_VALUE"""),"")</f>
        <v/>
      </c>
      <c r="C9021" s="12"/>
      <c r="D9021" s="12"/>
      <c r="E9021" s="11"/>
      <c r="F9021" s="12"/>
    </row>
    <row r="9022" ht="14.25" customHeight="1">
      <c r="B9022" s="4" t="str">
        <f>IFERROR(__xludf.DUMMYFUNCTION("""COMPUTED_VALUE"""),"")</f>
        <v/>
      </c>
      <c r="C9022" s="12"/>
      <c r="D9022" s="12"/>
      <c r="E9022" s="11"/>
      <c r="F9022" s="12"/>
    </row>
    <row r="9023" ht="14.25" customHeight="1">
      <c r="B9023" s="4" t="str">
        <f>IFERROR(__xludf.DUMMYFUNCTION("""COMPUTED_VALUE"""),"")</f>
        <v/>
      </c>
      <c r="C9023" s="12"/>
      <c r="D9023" s="12"/>
      <c r="E9023" s="11"/>
      <c r="F9023" s="12"/>
    </row>
    <row r="9024" ht="14.25" customHeight="1">
      <c r="B9024" s="4" t="str">
        <f>IFERROR(__xludf.DUMMYFUNCTION("""COMPUTED_VALUE"""),"")</f>
        <v/>
      </c>
      <c r="C9024" s="12"/>
      <c r="D9024" s="12"/>
      <c r="E9024" s="11"/>
      <c r="F9024" s="12"/>
    </row>
    <row r="9025" ht="14.25" customHeight="1">
      <c r="B9025" s="4" t="str">
        <f>IFERROR(__xludf.DUMMYFUNCTION("""COMPUTED_VALUE"""),"")</f>
        <v/>
      </c>
      <c r="C9025" s="12"/>
      <c r="D9025" s="12"/>
      <c r="E9025" s="11"/>
      <c r="F9025" s="12"/>
    </row>
    <row r="9026" ht="14.25" customHeight="1">
      <c r="B9026" s="4" t="str">
        <f>IFERROR(__xludf.DUMMYFUNCTION("""COMPUTED_VALUE"""),"")</f>
        <v/>
      </c>
      <c r="C9026" s="12"/>
      <c r="D9026" s="12"/>
      <c r="E9026" s="11"/>
      <c r="F9026" s="12"/>
    </row>
    <row r="9027" ht="14.25" customHeight="1">
      <c r="B9027" s="4" t="str">
        <f>IFERROR(__xludf.DUMMYFUNCTION("""COMPUTED_VALUE"""),"")</f>
        <v/>
      </c>
      <c r="C9027" s="12"/>
      <c r="D9027" s="12"/>
      <c r="E9027" s="11"/>
      <c r="F9027" s="12"/>
    </row>
    <row r="9028" ht="14.25" customHeight="1">
      <c r="B9028" s="4" t="str">
        <f>IFERROR(__xludf.DUMMYFUNCTION("""COMPUTED_VALUE"""),"")</f>
        <v/>
      </c>
      <c r="C9028" s="12"/>
      <c r="D9028" s="12"/>
      <c r="E9028" s="11"/>
      <c r="F9028" s="12"/>
    </row>
    <row r="9029" ht="14.25" customHeight="1">
      <c r="B9029" s="4" t="str">
        <f>IFERROR(__xludf.DUMMYFUNCTION("""COMPUTED_VALUE"""),"")</f>
        <v/>
      </c>
      <c r="C9029" s="12"/>
      <c r="D9029" s="12"/>
      <c r="E9029" s="11"/>
      <c r="F9029" s="12"/>
    </row>
    <row r="9030" ht="14.25" customHeight="1">
      <c r="B9030" s="4" t="str">
        <f>IFERROR(__xludf.DUMMYFUNCTION("""COMPUTED_VALUE"""),"")</f>
        <v/>
      </c>
      <c r="C9030" s="12"/>
      <c r="D9030" s="12"/>
      <c r="E9030" s="11"/>
      <c r="F9030" s="12"/>
    </row>
    <row r="9031" ht="14.25" customHeight="1">
      <c r="B9031" s="4" t="str">
        <f>IFERROR(__xludf.DUMMYFUNCTION("""COMPUTED_VALUE"""),"")</f>
        <v/>
      </c>
      <c r="C9031" s="12"/>
      <c r="D9031" s="12"/>
      <c r="E9031" s="11"/>
      <c r="F9031" s="12"/>
    </row>
    <row r="9032" ht="14.25" customHeight="1">
      <c r="B9032" s="4" t="str">
        <f>IFERROR(__xludf.DUMMYFUNCTION("""COMPUTED_VALUE"""),"")</f>
        <v/>
      </c>
      <c r="C9032" s="12"/>
      <c r="D9032" s="12"/>
      <c r="E9032" s="11"/>
      <c r="F9032" s="12"/>
    </row>
    <row r="9033" ht="14.25" customHeight="1">
      <c r="B9033" s="4" t="str">
        <f>IFERROR(__xludf.DUMMYFUNCTION("""COMPUTED_VALUE"""),"")</f>
        <v/>
      </c>
      <c r="C9033" s="12"/>
      <c r="D9033" s="12"/>
      <c r="E9033" s="11"/>
      <c r="F9033" s="12"/>
    </row>
    <row r="9034" ht="14.25" customHeight="1">
      <c r="B9034" s="4" t="str">
        <f>IFERROR(__xludf.DUMMYFUNCTION("""COMPUTED_VALUE"""),"")</f>
        <v/>
      </c>
      <c r="C9034" s="12"/>
      <c r="D9034" s="12"/>
      <c r="E9034" s="11"/>
      <c r="F9034" s="12"/>
    </row>
    <row r="9035" ht="14.25" customHeight="1">
      <c r="B9035" s="4" t="str">
        <f>IFERROR(__xludf.DUMMYFUNCTION("""COMPUTED_VALUE"""),"")</f>
        <v/>
      </c>
      <c r="C9035" s="12"/>
      <c r="D9035" s="12"/>
      <c r="E9035" s="11"/>
      <c r="F9035" s="12"/>
    </row>
    <row r="9036" ht="14.25" customHeight="1">
      <c r="B9036" s="4" t="str">
        <f>IFERROR(__xludf.DUMMYFUNCTION("""COMPUTED_VALUE"""),"")</f>
        <v/>
      </c>
      <c r="C9036" s="12"/>
      <c r="D9036" s="12"/>
      <c r="E9036" s="11"/>
      <c r="F9036" s="12"/>
    </row>
    <row r="9037" ht="14.25" customHeight="1">
      <c r="B9037" s="4" t="str">
        <f>IFERROR(__xludf.DUMMYFUNCTION("""COMPUTED_VALUE"""),"")</f>
        <v/>
      </c>
      <c r="C9037" s="12"/>
      <c r="D9037" s="12"/>
      <c r="E9037" s="11"/>
      <c r="F9037" s="12"/>
    </row>
    <row r="9038" ht="14.25" customHeight="1">
      <c r="B9038" s="4" t="str">
        <f>IFERROR(__xludf.DUMMYFUNCTION("""COMPUTED_VALUE"""),"")</f>
        <v/>
      </c>
      <c r="C9038" s="12"/>
      <c r="D9038" s="12"/>
      <c r="E9038" s="11"/>
      <c r="F9038" s="12"/>
    </row>
    <row r="9039" ht="14.25" customHeight="1">
      <c r="B9039" s="4" t="str">
        <f>IFERROR(__xludf.DUMMYFUNCTION("""COMPUTED_VALUE"""),"")</f>
        <v/>
      </c>
      <c r="C9039" s="12"/>
      <c r="D9039" s="12"/>
      <c r="E9039" s="11"/>
      <c r="F9039" s="12"/>
    </row>
    <row r="9040" ht="14.25" customHeight="1">
      <c r="B9040" s="4" t="str">
        <f>IFERROR(__xludf.DUMMYFUNCTION("""COMPUTED_VALUE"""),"")</f>
        <v/>
      </c>
      <c r="C9040" s="12"/>
      <c r="D9040" s="12"/>
      <c r="E9040" s="11"/>
      <c r="F9040" s="12"/>
    </row>
    <row r="9041" ht="14.25" customHeight="1">
      <c r="B9041" s="4" t="str">
        <f>IFERROR(__xludf.DUMMYFUNCTION("""COMPUTED_VALUE"""),"")</f>
        <v/>
      </c>
      <c r="C9041" s="12"/>
      <c r="D9041" s="12"/>
      <c r="E9041" s="11"/>
      <c r="F9041" s="12"/>
    </row>
    <row r="9042" ht="14.25" customHeight="1">
      <c r="B9042" s="4" t="str">
        <f>IFERROR(__xludf.DUMMYFUNCTION("""COMPUTED_VALUE"""),"")</f>
        <v/>
      </c>
      <c r="C9042" s="12"/>
      <c r="D9042" s="12"/>
      <c r="E9042" s="11"/>
      <c r="F9042" s="12"/>
    </row>
    <row r="9043" ht="14.25" customHeight="1">
      <c r="B9043" s="4" t="str">
        <f>IFERROR(__xludf.DUMMYFUNCTION("""COMPUTED_VALUE"""),"")</f>
        <v/>
      </c>
      <c r="C9043" s="12"/>
      <c r="D9043" s="12"/>
      <c r="E9043" s="11"/>
      <c r="F9043" s="12"/>
    </row>
    <row r="9044" ht="14.25" customHeight="1">
      <c r="B9044" s="4" t="str">
        <f>IFERROR(__xludf.DUMMYFUNCTION("""COMPUTED_VALUE"""),"")</f>
        <v/>
      </c>
      <c r="C9044" s="12"/>
      <c r="D9044" s="12"/>
      <c r="E9044" s="11"/>
      <c r="F9044" s="12"/>
    </row>
    <row r="9045" ht="14.25" customHeight="1">
      <c r="B9045" s="4" t="str">
        <f>IFERROR(__xludf.DUMMYFUNCTION("""COMPUTED_VALUE"""),"")</f>
        <v/>
      </c>
      <c r="C9045" s="12"/>
      <c r="D9045" s="12"/>
      <c r="E9045" s="11"/>
      <c r="F9045" s="12"/>
    </row>
    <row r="9046" ht="14.25" customHeight="1">
      <c r="B9046" s="4" t="str">
        <f>IFERROR(__xludf.DUMMYFUNCTION("""COMPUTED_VALUE"""),"")</f>
        <v/>
      </c>
      <c r="C9046" s="12"/>
      <c r="D9046" s="12"/>
      <c r="E9046" s="11"/>
      <c r="F9046" s="12"/>
    </row>
    <row r="9047" ht="14.25" customHeight="1">
      <c r="B9047" s="4" t="str">
        <f>IFERROR(__xludf.DUMMYFUNCTION("""COMPUTED_VALUE"""),"")</f>
        <v/>
      </c>
      <c r="C9047" s="12"/>
      <c r="D9047" s="12"/>
      <c r="E9047" s="11"/>
      <c r="F9047" s="12"/>
    </row>
    <row r="9048" ht="14.25" customHeight="1">
      <c r="B9048" s="4" t="str">
        <f>IFERROR(__xludf.DUMMYFUNCTION("""COMPUTED_VALUE"""),"")</f>
        <v/>
      </c>
      <c r="C9048" s="12"/>
      <c r="D9048" s="12"/>
      <c r="E9048" s="11"/>
      <c r="F9048" s="12"/>
    </row>
    <row r="9049" ht="14.25" customHeight="1">
      <c r="B9049" s="4" t="str">
        <f>IFERROR(__xludf.DUMMYFUNCTION("""COMPUTED_VALUE"""),"")</f>
        <v/>
      </c>
      <c r="C9049" s="12"/>
      <c r="D9049" s="12"/>
      <c r="E9049" s="11"/>
      <c r="F9049" s="12"/>
    </row>
    <row r="9050" ht="14.25" customHeight="1">
      <c r="B9050" s="4" t="str">
        <f>IFERROR(__xludf.DUMMYFUNCTION("""COMPUTED_VALUE"""),"")</f>
        <v/>
      </c>
      <c r="C9050" s="12"/>
      <c r="D9050" s="12"/>
      <c r="E9050" s="11"/>
      <c r="F9050" s="12"/>
    </row>
    <row r="9051" ht="14.25" customHeight="1">
      <c r="B9051" s="4" t="str">
        <f>IFERROR(__xludf.DUMMYFUNCTION("""COMPUTED_VALUE"""),"")</f>
        <v/>
      </c>
      <c r="C9051" s="12"/>
      <c r="D9051" s="12"/>
      <c r="E9051" s="11"/>
      <c r="F9051" s="12"/>
    </row>
    <row r="9052" ht="14.25" customHeight="1">
      <c r="B9052" s="4" t="str">
        <f>IFERROR(__xludf.DUMMYFUNCTION("""COMPUTED_VALUE"""),"")</f>
        <v/>
      </c>
      <c r="C9052" s="12"/>
      <c r="D9052" s="12"/>
      <c r="E9052" s="11"/>
      <c r="F9052" s="12"/>
    </row>
    <row r="9053" ht="14.25" customHeight="1">
      <c r="B9053" s="4" t="str">
        <f>IFERROR(__xludf.DUMMYFUNCTION("""COMPUTED_VALUE"""),"")</f>
        <v/>
      </c>
      <c r="C9053" s="12"/>
      <c r="D9053" s="12"/>
      <c r="E9053" s="11"/>
      <c r="F9053" s="12"/>
    </row>
    <row r="9054" ht="14.25" customHeight="1">
      <c r="B9054" s="4" t="str">
        <f>IFERROR(__xludf.DUMMYFUNCTION("""COMPUTED_VALUE"""),"")</f>
        <v/>
      </c>
      <c r="C9054" s="12"/>
      <c r="D9054" s="12"/>
      <c r="E9054" s="11"/>
      <c r="F9054" s="12"/>
    </row>
    <row r="9055" ht="14.25" customHeight="1">
      <c r="B9055" s="4" t="str">
        <f>IFERROR(__xludf.DUMMYFUNCTION("""COMPUTED_VALUE"""),"")</f>
        <v/>
      </c>
      <c r="C9055" s="12"/>
      <c r="D9055" s="12"/>
      <c r="E9055" s="11"/>
      <c r="F9055" s="12"/>
    </row>
    <row r="9056" ht="14.25" customHeight="1">
      <c r="B9056" s="4" t="str">
        <f>IFERROR(__xludf.DUMMYFUNCTION("""COMPUTED_VALUE"""),"")</f>
        <v/>
      </c>
      <c r="C9056" s="12"/>
      <c r="D9056" s="12"/>
      <c r="E9056" s="11"/>
      <c r="F9056" s="12"/>
    </row>
    <row r="9057" ht="14.25" customHeight="1">
      <c r="B9057" s="4" t="str">
        <f>IFERROR(__xludf.DUMMYFUNCTION("""COMPUTED_VALUE"""),"")</f>
        <v/>
      </c>
      <c r="C9057" s="12"/>
      <c r="D9057" s="12"/>
      <c r="E9057" s="11"/>
      <c r="F9057" s="12"/>
    </row>
    <row r="9058" ht="14.25" customHeight="1">
      <c r="B9058" s="4" t="str">
        <f>IFERROR(__xludf.DUMMYFUNCTION("""COMPUTED_VALUE"""),"")</f>
        <v/>
      </c>
      <c r="C9058" s="12"/>
      <c r="D9058" s="12"/>
      <c r="E9058" s="11"/>
      <c r="F9058" s="12"/>
    </row>
    <row r="9059" ht="14.25" customHeight="1">
      <c r="B9059" s="4" t="str">
        <f>IFERROR(__xludf.DUMMYFUNCTION("""COMPUTED_VALUE"""),"")</f>
        <v/>
      </c>
      <c r="C9059" s="12"/>
      <c r="D9059" s="12"/>
      <c r="E9059" s="11"/>
      <c r="F9059" s="12"/>
    </row>
    <row r="9060" ht="14.25" customHeight="1">
      <c r="B9060" s="4" t="str">
        <f>IFERROR(__xludf.DUMMYFUNCTION("""COMPUTED_VALUE"""),"")</f>
        <v/>
      </c>
      <c r="C9060" s="12"/>
      <c r="D9060" s="12"/>
      <c r="E9060" s="11"/>
      <c r="F9060" s="12"/>
    </row>
    <row r="9061" ht="14.25" customHeight="1">
      <c r="B9061" s="4" t="str">
        <f>IFERROR(__xludf.DUMMYFUNCTION("""COMPUTED_VALUE"""),"")</f>
        <v/>
      </c>
      <c r="C9061" s="12"/>
      <c r="D9061" s="12"/>
      <c r="E9061" s="11"/>
      <c r="F9061" s="12"/>
    </row>
    <row r="9062" ht="14.25" customHeight="1">
      <c r="B9062" s="4" t="str">
        <f>IFERROR(__xludf.DUMMYFUNCTION("""COMPUTED_VALUE"""),"")</f>
        <v/>
      </c>
      <c r="C9062" s="12"/>
      <c r="D9062" s="12"/>
      <c r="E9062" s="11"/>
      <c r="F9062" s="12"/>
    </row>
    <row r="9063" ht="14.25" customHeight="1">
      <c r="B9063" s="4" t="str">
        <f>IFERROR(__xludf.DUMMYFUNCTION("""COMPUTED_VALUE"""),"")</f>
        <v/>
      </c>
      <c r="C9063" s="12"/>
      <c r="D9063" s="12"/>
      <c r="E9063" s="11"/>
      <c r="F9063" s="12"/>
    </row>
    <row r="9064" ht="14.25" customHeight="1">
      <c r="B9064" s="4" t="str">
        <f>IFERROR(__xludf.DUMMYFUNCTION("""COMPUTED_VALUE"""),"")</f>
        <v/>
      </c>
      <c r="C9064" s="12"/>
      <c r="D9064" s="12"/>
      <c r="E9064" s="11"/>
      <c r="F9064" s="12"/>
    </row>
    <row r="9065" ht="14.25" customHeight="1">
      <c r="B9065" s="4" t="str">
        <f>IFERROR(__xludf.DUMMYFUNCTION("""COMPUTED_VALUE"""),"")</f>
        <v/>
      </c>
      <c r="C9065" s="12"/>
      <c r="D9065" s="12"/>
      <c r="E9065" s="11"/>
      <c r="F9065" s="12"/>
    </row>
    <row r="9066" ht="14.25" customHeight="1">
      <c r="B9066" s="4" t="str">
        <f>IFERROR(__xludf.DUMMYFUNCTION("""COMPUTED_VALUE"""),"")</f>
        <v/>
      </c>
      <c r="C9066" s="12"/>
      <c r="D9066" s="12"/>
      <c r="E9066" s="11"/>
      <c r="F9066" s="12"/>
    </row>
    <row r="9067" ht="14.25" customHeight="1">
      <c r="B9067" s="4" t="str">
        <f>IFERROR(__xludf.DUMMYFUNCTION("""COMPUTED_VALUE"""),"")</f>
        <v/>
      </c>
      <c r="C9067" s="12"/>
      <c r="D9067" s="12"/>
      <c r="E9067" s="11"/>
      <c r="F9067" s="12"/>
    </row>
    <row r="9068" ht="14.25" customHeight="1">
      <c r="B9068" s="4" t="str">
        <f>IFERROR(__xludf.DUMMYFUNCTION("""COMPUTED_VALUE"""),"")</f>
        <v/>
      </c>
      <c r="C9068" s="12"/>
      <c r="D9068" s="12"/>
      <c r="E9068" s="11"/>
      <c r="F9068" s="12"/>
    </row>
    <row r="9069" ht="14.25" customHeight="1">
      <c r="B9069" s="4" t="str">
        <f>IFERROR(__xludf.DUMMYFUNCTION("""COMPUTED_VALUE"""),"")</f>
        <v/>
      </c>
      <c r="C9069" s="12"/>
      <c r="D9069" s="12"/>
      <c r="E9069" s="11"/>
      <c r="F9069" s="12"/>
    </row>
    <row r="9070" ht="14.25" customHeight="1">
      <c r="B9070" s="4" t="str">
        <f>IFERROR(__xludf.DUMMYFUNCTION("""COMPUTED_VALUE"""),"")</f>
        <v/>
      </c>
      <c r="C9070" s="12"/>
      <c r="D9070" s="12"/>
      <c r="E9070" s="11"/>
      <c r="F9070" s="12"/>
    </row>
    <row r="9071" ht="14.25" customHeight="1">
      <c r="B9071" s="4" t="str">
        <f>IFERROR(__xludf.DUMMYFUNCTION("""COMPUTED_VALUE"""),"")</f>
        <v/>
      </c>
      <c r="C9071" s="12"/>
      <c r="D9071" s="12"/>
      <c r="E9071" s="11"/>
      <c r="F9071" s="12"/>
    </row>
    <row r="9072" ht="14.25" customHeight="1">
      <c r="B9072" s="4" t="str">
        <f>IFERROR(__xludf.DUMMYFUNCTION("""COMPUTED_VALUE"""),"")</f>
        <v/>
      </c>
      <c r="C9072" s="12"/>
      <c r="D9072" s="12"/>
      <c r="E9072" s="11"/>
      <c r="F9072" s="12"/>
    </row>
    <row r="9073" ht="14.25" customHeight="1">
      <c r="B9073" s="4" t="str">
        <f>IFERROR(__xludf.DUMMYFUNCTION("""COMPUTED_VALUE"""),"")</f>
        <v/>
      </c>
      <c r="C9073" s="12"/>
      <c r="D9073" s="12"/>
      <c r="E9073" s="11"/>
      <c r="F9073" s="12"/>
    </row>
    <row r="9074" ht="14.25" customHeight="1">
      <c r="B9074" s="4" t="str">
        <f>IFERROR(__xludf.DUMMYFUNCTION("""COMPUTED_VALUE"""),"")</f>
        <v/>
      </c>
      <c r="C9074" s="12"/>
      <c r="D9074" s="12"/>
      <c r="E9074" s="11"/>
      <c r="F9074" s="12"/>
    </row>
    <row r="9075" ht="14.25" customHeight="1">
      <c r="B9075" s="4" t="str">
        <f>IFERROR(__xludf.DUMMYFUNCTION("""COMPUTED_VALUE"""),"")</f>
        <v/>
      </c>
      <c r="C9075" s="12"/>
      <c r="D9075" s="12"/>
      <c r="E9075" s="11"/>
      <c r="F9075" s="12"/>
    </row>
    <row r="9076" ht="14.25" customHeight="1">
      <c r="B9076" s="4" t="str">
        <f>IFERROR(__xludf.DUMMYFUNCTION("""COMPUTED_VALUE"""),"")</f>
        <v/>
      </c>
      <c r="C9076" s="12"/>
      <c r="D9076" s="12"/>
      <c r="E9076" s="11"/>
      <c r="F9076" s="12"/>
    </row>
    <row r="9077" ht="14.25" customHeight="1">
      <c r="B9077" s="4" t="str">
        <f>IFERROR(__xludf.DUMMYFUNCTION("""COMPUTED_VALUE"""),"")</f>
        <v/>
      </c>
      <c r="C9077" s="12"/>
      <c r="D9077" s="12"/>
      <c r="E9077" s="11"/>
      <c r="F9077" s="12"/>
    </row>
    <row r="9078" ht="14.25" customHeight="1">
      <c r="B9078" s="4" t="str">
        <f>IFERROR(__xludf.DUMMYFUNCTION("""COMPUTED_VALUE"""),"")</f>
        <v/>
      </c>
      <c r="C9078" s="12"/>
      <c r="D9078" s="12"/>
      <c r="E9078" s="11"/>
      <c r="F9078" s="12"/>
    </row>
    <row r="9079" ht="14.25" customHeight="1">
      <c r="B9079" s="4" t="str">
        <f>IFERROR(__xludf.DUMMYFUNCTION("""COMPUTED_VALUE"""),"")</f>
        <v/>
      </c>
      <c r="C9079" s="12"/>
      <c r="D9079" s="12"/>
      <c r="E9079" s="11"/>
      <c r="F9079" s="12"/>
    </row>
    <row r="9080" ht="14.25" customHeight="1">
      <c r="B9080" s="4" t="str">
        <f>IFERROR(__xludf.DUMMYFUNCTION("""COMPUTED_VALUE"""),"")</f>
        <v/>
      </c>
      <c r="C9080" s="12"/>
      <c r="D9080" s="12"/>
      <c r="E9080" s="11"/>
      <c r="F9080" s="12"/>
    </row>
    <row r="9081" ht="14.25" customHeight="1">
      <c r="B9081" s="4" t="str">
        <f>IFERROR(__xludf.DUMMYFUNCTION("""COMPUTED_VALUE"""),"")</f>
        <v/>
      </c>
      <c r="C9081" s="12"/>
      <c r="D9081" s="12"/>
      <c r="E9081" s="11"/>
      <c r="F9081" s="12"/>
    </row>
    <row r="9082" ht="14.25" customHeight="1">
      <c r="B9082" s="4" t="str">
        <f>IFERROR(__xludf.DUMMYFUNCTION("""COMPUTED_VALUE"""),"")</f>
        <v/>
      </c>
      <c r="C9082" s="12"/>
      <c r="D9082" s="12"/>
      <c r="E9082" s="11"/>
      <c r="F9082" s="12"/>
    </row>
    <row r="9083" ht="14.25" customHeight="1">
      <c r="B9083" s="4" t="str">
        <f>IFERROR(__xludf.DUMMYFUNCTION("""COMPUTED_VALUE"""),"")</f>
        <v/>
      </c>
      <c r="C9083" s="12"/>
      <c r="D9083" s="12"/>
      <c r="E9083" s="11"/>
      <c r="F9083" s="12"/>
    </row>
    <row r="9084" ht="14.25" customHeight="1">
      <c r="B9084" s="4" t="str">
        <f>IFERROR(__xludf.DUMMYFUNCTION("""COMPUTED_VALUE"""),"")</f>
        <v/>
      </c>
      <c r="C9084" s="12"/>
      <c r="D9084" s="12"/>
      <c r="E9084" s="11"/>
      <c r="F9084" s="12"/>
    </row>
    <row r="9085" ht="14.25" customHeight="1">
      <c r="B9085" s="4" t="str">
        <f>IFERROR(__xludf.DUMMYFUNCTION("""COMPUTED_VALUE"""),"")</f>
        <v/>
      </c>
      <c r="C9085" s="12"/>
      <c r="D9085" s="12"/>
      <c r="E9085" s="11"/>
      <c r="F9085" s="12"/>
    </row>
    <row r="9086" ht="14.25" customHeight="1">
      <c r="B9086" s="4" t="str">
        <f>IFERROR(__xludf.DUMMYFUNCTION("""COMPUTED_VALUE"""),"")</f>
        <v/>
      </c>
      <c r="C9086" s="12"/>
      <c r="D9086" s="12"/>
      <c r="E9086" s="11"/>
      <c r="F9086" s="12"/>
    </row>
    <row r="9087" ht="14.25" customHeight="1">
      <c r="B9087" s="4" t="str">
        <f>IFERROR(__xludf.DUMMYFUNCTION("""COMPUTED_VALUE"""),"")</f>
        <v/>
      </c>
      <c r="C9087" s="12"/>
      <c r="D9087" s="12"/>
      <c r="E9087" s="11"/>
      <c r="F9087" s="12"/>
    </row>
    <row r="9088" ht="14.25" customHeight="1">
      <c r="B9088" s="4" t="str">
        <f>IFERROR(__xludf.DUMMYFUNCTION("""COMPUTED_VALUE"""),"")</f>
        <v/>
      </c>
      <c r="C9088" s="12"/>
      <c r="D9088" s="12"/>
      <c r="E9088" s="11"/>
      <c r="F9088" s="12"/>
    </row>
    <row r="9089" ht="14.25" customHeight="1">
      <c r="B9089" s="4" t="str">
        <f>IFERROR(__xludf.DUMMYFUNCTION("""COMPUTED_VALUE"""),"")</f>
        <v/>
      </c>
      <c r="C9089" s="12"/>
      <c r="D9089" s="12"/>
      <c r="E9089" s="11"/>
      <c r="F9089" s="12"/>
    </row>
    <row r="9090" ht="14.25" customHeight="1">
      <c r="B9090" s="4" t="str">
        <f>IFERROR(__xludf.DUMMYFUNCTION("""COMPUTED_VALUE"""),"")</f>
        <v/>
      </c>
      <c r="C9090" s="12"/>
      <c r="D9090" s="12"/>
      <c r="E9090" s="11"/>
      <c r="F9090" s="12"/>
    </row>
    <row r="9091" ht="14.25" customHeight="1">
      <c r="B9091" s="4" t="str">
        <f>IFERROR(__xludf.DUMMYFUNCTION("""COMPUTED_VALUE"""),"")</f>
        <v/>
      </c>
      <c r="C9091" s="12"/>
      <c r="D9091" s="12"/>
      <c r="E9091" s="11"/>
      <c r="F9091" s="12"/>
    </row>
    <row r="9092" ht="14.25" customHeight="1">
      <c r="B9092" s="4" t="str">
        <f>IFERROR(__xludf.DUMMYFUNCTION("""COMPUTED_VALUE"""),"")</f>
        <v/>
      </c>
      <c r="C9092" s="12"/>
      <c r="D9092" s="12"/>
      <c r="E9092" s="11"/>
      <c r="F9092" s="12"/>
    </row>
    <row r="9093" ht="14.25" customHeight="1">
      <c r="B9093" s="4" t="str">
        <f>IFERROR(__xludf.DUMMYFUNCTION("""COMPUTED_VALUE"""),"")</f>
        <v/>
      </c>
      <c r="C9093" s="12"/>
      <c r="D9093" s="12"/>
      <c r="E9093" s="11"/>
      <c r="F9093" s="12"/>
    </row>
    <row r="9094" ht="14.25" customHeight="1">
      <c r="B9094" s="4" t="str">
        <f>IFERROR(__xludf.DUMMYFUNCTION("""COMPUTED_VALUE"""),"")</f>
        <v/>
      </c>
      <c r="C9094" s="12"/>
      <c r="D9094" s="12"/>
      <c r="E9094" s="11"/>
      <c r="F9094" s="12"/>
    </row>
    <row r="9095" ht="14.25" customHeight="1">
      <c r="B9095" s="4" t="str">
        <f>IFERROR(__xludf.DUMMYFUNCTION("""COMPUTED_VALUE"""),"")</f>
        <v/>
      </c>
      <c r="C9095" s="12"/>
      <c r="D9095" s="12"/>
      <c r="E9095" s="11"/>
      <c r="F9095" s="12"/>
    </row>
    <row r="9096" ht="14.25" customHeight="1">
      <c r="B9096" s="4" t="str">
        <f>IFERROR(__xludf.DUMMYFUNCTION("""COMPUTED_VALUE"""),"")</f>
        <v/>
      </c>
      <c r="C9096" s="12"/>
      <c r="D9096" s="12"/>
      <c r="E9096" s="11"/>
      <c r="F9096" s="12"/>
    </row>
    <row r="9097" ht="14.25" customHeight="1">
      <c r="B9097" s="4" t="str">
        <f>IFERROR(__xludf.DUMMYFUNCTION("""COMPUTED_VALUE"""),"")</f>
        <v/>
      </c>
      <c r="C9097" s="12"/>
      <c r="D9097" s="12"/>
      <c r="E9097" s="11"/>
      <c r="F9097" s="12"/>
    </row>
    <row r="9098" ht="14.25" customHeight="1">
      <c r="B9098" s="4" t="str">
        <f>IFERROR(__xludf.DUMMYFUNCTION("""COMPUTED_VALUE"""),"")</f>
        <v/>
      </c>
      <c r="C9098" s="12"/>
      <c r="D9098" s="12"/>
      <c r="E9098" s="11"/>
      <c r="F9098" s="12"/>
    </row>
    <row r="9099" ht="14.25" customHeight="1">
      <c r="B9099" s="4" t="str">
        <f>IFERROR(__xludf.DUMMYFUNCTION("""COMPUTED_VALUE"""),"")</f>
        <v/>
      </c>
      <c r="C9099" s="12"/>
      <c r="D9099" s="12"/>
      <c r="E9099" s="11"/>
      <c r="F9099" s="12"/>
    </row>
    <row r="9100" ht="14.25" customHeight="1">
      <c r="B9100" s="4" t="str">
        <f>IFERROR(__xludf.DUMMYFUNCTION("""COMPUTED_VALUE"""),"")</f>
        <v/>
      </c>
      <c r="C9100" s="12"/>
      <c r="D9100" s="12"/>
      <c r="E9100" s="11"/>
      <c r="F9100" s="12"/>
    </row>
    <row r="9101" ht="14.25" customHeight="1">
      <c r="B9101" s="4" t="str">
        <f>IFERROR(__xludf.DUMMYFUNCTION("""COMPUTED_VALUE"""),"")</f>
        <v/>
      </c>
      <c r="C9101" s="12"/>
      <c r="D9101" s="12"/>
      <c r="E9101" s="11"/>
      <c r="F9101" s="12"/>
    </row>
    <row r="9102" ht="14.25" customHeight="1">
      <c r="B9102" s="4" t="str">
        <f>IFERROR(__xludf.DUMMYFUNCTION("""COMPUTED_VALUE"""),"")</f>
        <v/>
      </c>
      <c r="C9102" s="12"/>
      <c r="D9102" s="12"/>
      <c r="E9102" s="11"/>
      <c r="F9102" s="12"/>
    </row>
    <row r="9103" ht="14.25" customHeight="1">
      <c r="B9103" s="4" t="str">
        <f>IFERROR(__xludf.DUMMYFUNCTION("""COMPUTED_VALUE"""),"")</f>
        <v/>
      </c>
      <c r="C9103" s="12"/>
      <c r="D9103" s="12"/>
      <c r="E9103" s="11"/>
      <c r="F9103" s="12"/>
    </row>
    <row r="9104" ht="14.25" customHeight="1">
      <c r="B9104" s="4" t="str">
        <f>IFERROR(__xludf.DUMMYFUNCTION("""COMPUTED_VALUE"""),"")</f>
        <v/>
      </c>
      <c r="C9104" s="12"/>
      <c r="D9104" s="12"/>
      <c r="E9104" s="11"/>
      <c r="F9104" s="12"/>
    </row>
    <row r="9105" ht="14.25" customHeight="1">
      <c r="B9105" s="4" t="str">
        <f>IFERROR(__xludf.DUMMYFUNCTION("""COMPUTED_VALUE"""),"")</f>
        <v/>
      </c>
      <c r="C9105" s="12"/>
      <c r="D9105" s="12"/>
      <c r="E9105" s="11"/>
      <c r="F9105" s="12"/>
    </row>
    <row r="9106" ht="14.25" customHeight="1">
      <c r="B9106" s="4" t="str">
        <f>IFERROR(__xludf.DUMMYFUNCTION("""COMPUTED_VALUE"""),"")</f>
        <v/>
      </c>
      <c r="C9106" s="12"/>
      <c r="D9106" s="12"/>
      <c r="E9106" s="11"/>
      <c r="F9106" s="12"/>
    </row>
    <row r="9107" ht="14.25" customHeight="1">
      <c r="B9107" s="4" t="str">
        <f>IFERROR(__xludf.DUMMYFUNCTION("""COMPUTED_VALUE"""),"")</f>
        <v/>
      </c>
      <c r="C9107" s="12"/>
      <c r="D9107" s="12"/>
      <c r="E9107" s="11"/>
      <c r="F9107" s="12"/>
    </row>
    <row r="9108" ht="14.25" customHeight="1">
      <c r="B9108" s="4" t="str">
        <f>IFERROR(__xludf.DUMMYFUNCTION("""COMPUTED_VALUE"""),"")</f>
        <v/>
      </c>
      <c r="C9108" s="12"/>
      <c r="D9108" s="12"/>
      <c r="E9108" s="11"/>
      <c r="F9108" s="12"/>
    </row>
    <row r="9109" ht="14.25" customHeight="1">
      <c r="B9109" s="4" t="str">
        <f>IFERROR(__xludf.DUMMYFUNCTION("""COMPUTED_VALUE"""),"")</f>
        <v/>
      </c>
      <c r="C9109" s="12"/>
      <c r="D9109" s="12"/>
      <c r="E9109" s="11"/>
      <c r="F9109" s="12"/>
    </row>
    <row r="9110" ht="14.25" customHeight="1">
      <c r="B9110" s="4" t="str">
        <f>IFERROR(__xludf.DUMMYFUNCTION("""COMPUTED_VALUE"""),"")</f>
        <v/>
      </c>
      <c r="C9110" s="12"/>
      <c r="D9110" s="12"/>
      <c r="E9110" s="11"/>
      <c r="F9110" s="12"/>
    </row>
    <row r="9111" ht="14.25" customHeight="1">
      <c r="B9111" s="4" t="str">
        <f>IFERROR(__xludf.DUMMYFUNCTION("""COMPUTED_VALUE"""),"")</f>
        <v/>
      </c>
      <c r="C9111" s="12"/>
      <c r="D9111" s="12"/>
      <c r="E9111" s="11"/>
      <c r="F9111" s="12"/>
    </row>
    <row r="9112" ht="14.25" customHeight="1">
      <c r="B9112" s="4" t="str">
        <f>IFERROR(__xludf.DUMMYFUNCTION("""COMPUTED_VALUE"""),"")</f>
        <v/>
      </c>
      <c r="C9112" s="12"/>
      <c r="D9112" s="12"/>
      <c r="E9112" s="11"/>
      <c r="F9112" s="12"/>
    </row>
    <row r="9113" ht="14.25" customHeight="1">
      <c r="B9113" s="4" t="str">
        <f>IFERROR(__xludf.DUMMYFUNCTION("""COMPUTED_VALUE"""),"")</f>
        <v/>
      </c>
      <c r="C9113" s="12"/>
      <c r="D9113" s="12"/>
      <c r="E9113" s="11"/>
      <c r="F9113" s="12"/>
    </row>
    <row r="9114" ht="14.25" customHeight="1">
      <c r="B9114" s="4" t="str">
        <f>IFERROR(__xludf.DUMMYFUNCTION("""COMPUTED_VALUE"""),"")</f>
        <v/>
      </c>
      <c r="C9114" s="12"/>
      <c r="D9114" s="12"/>
      <c r="E9114" s="11"/>
      <c r="F9114" s="12"/>
    </row>
    <row r="9115" ht="14.25" customHeight="1">
      <c r="B9115" s="4" t="str">
        <f>IFERROR(__xludf.DUMMYFUNCTION("""COMPUTED_VALUE"""),"")</f>
        <v/>
      </c>
      <c r="C9115" s="12"/>
      <c r="D9115" s="12"/>
      <c r="E9115" s="11"/>
      <c r="F9115" s="12"/>
    </row>
    <row r="9116" ht="14.25" customHeight="1">
      <c r="B9116" s="4" t="str">
        <f>IFERROR(__xludf.DUMMYFUNCTION("""COMPUTED_VALUE"""),"")</f>
        <v/>
      </c>
      <c r="C9116" s="12"/>
      <c r="D9116" s="12"/>
      <c r="E9116" s="11"/>
      <c r="F9116" s="12"/>
    </row>
    <row r="9117" ht="14.25" customHeight="1">
      <c r="B9117" s="4" t="str">
        <f>IFERROR(__xludf.DUMMYFUNCTION("""COMPUTED_VALUE"""),"")</f>
        <v/>
      </c>
      <c r="C9117" s="12"/>
      <c r="D9117" s="12"/>
      <c r="E9117" s="11"/>
      <c r="F9117" s="12"/>
    </row>
    <row r="9118" ht="14.25" customHeight="1">
      <c r="B9118" s="4" t="str">
        <f>IFERROR(__xludf.DUMMYFUNCTION("""COMPUTED_VALUE"""),"")</f>
        <v/>
      </c>
      <c r="C9118" s="12"/>
      <c r="D9118" s="12"/>
      <c r="E9118" s="11"/>
      <c r="F9118" s="12"/>
    </row>
    <row r="9119" ht="14.25" customHeight="1">
      <c r="B9119" s="4" t="str">
        <f>IFERROR(__xludf.DUMMYFUNCTION("""COMPUTED_VALUE"""),"")</f>
        <v/>
      </c>
      <c r="C9119" s="12"/>
      <c r="D9119" s="12"/>
      <c r="E9119" s="11"/>
      <c r="F9119" s="12"/>
    </row>
    <row r="9120" ht="14.25" customHeight="1">
      <c r="B9120" s="4" t="str">
        <f>IFERROR(__xludf.DUMMYFUNCTION("""COMPUTED_VALUE"""),"")</f>
        <v/>
      </c>
      <c r="C9120" s="12"/>
      <c r="D9120" s="12"/>
      <c r="E9120" s="11"/>
      <c r="F9120" s="12"/>
    </row>
    <row r="9121" ht="14.25" customHeight="1">
      <c r="B9121" s="4" t="str">
        <f>IFERROR(__xludf.DUMMYFUNCTION("""COMPUTED_VALUE"""),"")</f>
        <v/>
      </c>
      <c r="C9121" s="12"/>
      <c r="D9121" s="12"/>
      <c r="E9121" s="11"/>
      <c r="F9121" s="12"/>
    </row>
    <row r="9122" ht="14.25" customHeight="1">
      <c r="B9122" s="4" t="str">
        <f>IFERROR(__xludf.DUMMYFUNCTION("""COMPUTED_VALUE"""),"")</f>
        <v/>
      </c>
      <c r="C9122" s="12"/>
      <c r="D9122" s="12"/>
      <c r="E9122" s="11"/>
      <c r="F9122" s="12"/>
    </row>
    <row r="9123" ht="14.25" customHeight="1">
      <c r="B9123" s="4" t="str">
        <f>IFERROR(__xludf.DUMMYFUNCTION("""COMPUTED_VALUE"""),"")</f>
        <v/>
      </c>
      <c r="C9123" s="12"/>
      <c r="D9123" s="12"/>
      <c r="E9123" s="11"/>
      <c r="F9123" s="12"/>
    </row>
    <row r="9124" ht="14.25" customHeight="1">
      <c r="B9124" s="4" t="str">
        <f>IFERROR(__xludf.DUMMYFUNCTION("""COMPUTED_VALUE"""),"")</f>
        <v/>
      </c>
      <c r="C9124" s="12"/>
      <c r="D9124" s="12"/>
      <c r="E9124" s="11"/>
      <c r="F9124" s="12"/>
    </row>
    <row r="9125" ht="14.25" customHeight="1">
      <c r="B9125" s="4" t="str">
        <f>IFERROR(__xludf.DUMMYFUNCTION("""COMPUTED_VALUE"""),"")</f>
        <v/>
      </c>
      <c r="C9125" s="12"/>
      <c r="D9125" s="12"/>
      <c r="E9125" s="11"/>
      <c r="F9125" s="12"/>
    </row>
    <row r="9126" ht="14.25" customHeight="1">
      <c r="B9126" s="4" t="str">
        <f>IFERROR(__xludf.DUMMYFUNCTION("""COMPUTED_VALUE"""),"")</f>
        <v/>
      </c>
      <c r="C9126" s="12"/>
      <c r="D9126" s="12"/>
      <c r="E9126" s="11"/>
      <c r="F9126" s="12"/>
    </row>
    <row r="9127" ht="14.25" customHeight="1">
      <c r="B9127" s="4" t="str">
        <f>IFERROR(__xludf.DUMMYFUNCTION("""COMPUTED_VALUE"""),"")</f>
        <v/>
      </c>
      <c r="C9127" s="12"/>
      <c r="D9127" s="12"/>
      <c r="E9127" s="11"/>
      <c r="F9127" s="12"/>
    </row>
    <row r="9128" ht="14.25" customHeight="1">
      <c r="B9128" s="4" t="str">
        <f>IFERROR(__xludf.DUMMYFUNCTION("""COMPUTED_VALUE"""),"")</f>
        <v/>
      </c>
      <c r="C9128" s="12"/>
      <c r="D9128" s="12"/>
      <c r="E9128" s="11"/>
      <c r="F9128" s="12"/>
    </row>
    <row r="9129" ht="14.25" customHeight="1">
      <c r="B9129" s="4" t="str">
        <f>IFERROR(__xludf.DUMMYFUNCTION("""COMPUTED_VALUE"""),"")</f>
        <v/>
      </c>
      <c r="C9129" s="12"/>
      <c r="D9129" s="12"/>
      <c r="E9129" s="11"/>
      <c r="F9129" s="12"/>
    </row>
    <row r="9130" ht="14.25" customHeight="1">
      <c r="B9130" s="4" t="str">
        <f>IFERROR(__xludf.DUMMYFUNCTION("""COMPUTED_VALUE"""),"")</f>
        <v/>
      </c>
      <c r="C9130" s="12"/>
      <c r="D9130" s="12"/>
      <c r="E9130" s="11"/>
      <c r="F9130" s="12"/>
    </row>
    <row r="9131" ht="14.25" customHeight="1">
      <c r="B9131" s="4" t="str">
        <f>IFERROR(__xludf.DUMMYFUNCTION("""COMPUTED_VALUE"""),"")</f>
        <v/>
      </c>
      <c r="C9131" s="12"/>
      <c r="D9131" s="12"/>
      <c r="E9131" s="11"/>
      <c r="F9131" s="12"/>
    </row>
    <row r="9132" ht="14.25" customHeight="1">
      <c r="B9132" s="4" t="str">
        <f>IFERROR(__xludf.DUMMYFUNCTION("""COMPUTED_VALUE"""),"")</f>
        <v/>
      </c>
      <c r="C9132" s="12"/>
      <c r="D9132" s="12"/>
      <c r="E9132" s="11"/>
      <c r="F9132" s="12"/>
    </row>
    <row r="9133" ht="14.25" customHeight="1">
      <c r="B9133" s="4" t="str">
        <f>IFERROR(__xludf.DUMMYFUNCTION("""COMPUTED_VALUE"""),"")</f>
        <v/>
      </c>
      <c r="C9133" s="12"/>
      <c r="D9133" s="12"/>
      <c r="E9133" s="11"/>
      <c r="F9133" s="12"/>
    </row>
    <row r="9134" ht="14.25" customHeight="1">
      <c r="B9134" s="4" t="str">
        <f>IFERROR(__xludf.DUMMYFUNCTION("""COMPUTED_VALUE"""),"")</f>
        <v/>
      </c>
      <c r="C9134" s="12"/>
      <c r="D9134" s="12"/>
      <c r="E9134" s="11"/>
      <c r="F9134" s="12"/>
    </row>
    <row r="9135" ht="14.25" customHeight="1">
      <c r="B9135" s="4" t="str">
        <f>IFERROR(__xludf.DUMMYFUNCTION("""COMPUTED_VALUE"""),"")</f>
        <v/>
      </c>
      <c r="C9135" s="12"/>
      <c r="D9135" s="12"/>
      <c r="E9135" s="11"/>
      <c r="F9135" s="12"/>
    </row>
    <row r="9136" ht="14.25" customHeight="1">
      <c r="B9136" s="4" t="str">
        <f>IFERROR(__xludf.DUMMYFUNCTION("""COMPUTED_VALUE"""),"")</f>
        <v/>
      </c>
      <c r="C9136" s="12"/>
      <c r="D9136" s="12"/>
      <c r="E9136" s="11"/>
      <c r="F9136" s="12"/>
    </row>
    <row r="9137" ht="14.25" customHeight="1">
      <c r="B9137" s="4" t="str">
        <f>IFERROR(__xludf.DUMMYFUNCTION("""COMPUTED_VALUE"""),"")</f>
        <v/>
      </c>
      <c r="C9137" s="12"/>
      <c r="D9137" s="12"/>
      <c r="E9137" s="11"/>
      <c r="F9137" s="12"/>
    </row>
    <row r="9138" ht="14.25" customHeight="1">
      <c r="B9138" s="4" t="str">
        <f>IFERROR(__xludf.DUMMYFUNCTION("""COMPUTED_VALUE"""),"")</f>
        <v/>
      </c>
      <c r="C9138" s="12"/>
      <c r="D9138" s="12"/>
      <c r="E9138" s="11"/>
      <c r="F9138" s="12"/>
    </row>
    <row r="9139" ht="14.25" customHeight="1">
      <c r="B9139" s="4" t="str">
        <f>IFERROR(__xludf.DUMMYFUNCTION("""COMPUTED_VALUE"""),"")</f>
        <v/>
      </c>
      <c r="C9139" s="12"/>
      <c r="D9139" s="12"/>
      <c r="E9139" s="11"/>
      <c r="F9139" s="12"/>
    </row>
    <row r="9140" ht="14.25" customHeight="1">
      <c r="B9140" s="4" t="str">
        <f>IFERROR(__xludf.DUMMYFUNCTION("""COMPUTED_VALUE"""),"")</f>
        <v/>
      </c>
      <c r="C9140" s="12"/>
      <c r="D9140" s="12"/>
      <c r="E9140" s="11"/>
      <c r="F9140" s="12"/>
    </row>
    <row r="9141" ht="14.25" customHeight="1">
      <c r="B9141" s="4" t="str">
        <f>IFERROR(__xludf.DUMMYFUNCTION("""COMPUTED_VALUE"""),"")</f>
        <v/>
      </c>
      <c r="C9141" s="12"/>
      <c r="D9141" s="12"/>
      <c r="E9141" s="11"/>
      <c r="F9141" s="12"/>
    </row>
    <row r="9142" ht="14.25" customHeight="1">
      <c r="B9142" s="4" t="str">
        <f>IFERROR(__xludf.DUMMYFUNCTION("""COMPUTED_VALUE"""),"")</f>
        <v/>
      </c>
      <c r="C9142" s="12"/>
      <c r="D9142" s="12"/>
      <c r="E9142" s="11"/>
      <c r="F9142" s="12"/>
    </row>
    <row r="9143" ht="14.25" customHeight="1">
      <c r="B9143" s="4" t="str">
        <f>IFERROR(__xludf.DUMMYFUNCTION("""COMPUTED_VALUE"""),"")</f>
        <v/>
      </c>
      <c r="C9143" s="12"/>
      <c r="D9143" s="12"/>
      <c r="E9143" s="11"/>
      <c r="F9143" s="12"/>
    </row>
    <row r="9144" ht="14.25" customHeight="1">
      <c r="B9144" s="4" t="str">
        <f>IFERROR(__xludf.DUMMYFUNCTION("""COMPUTED_VALUE"""),"")</f>
        <v/>
      </c>
      <c r="C9144" s="12"/>
      <c r="D9144" s="12"/>
      <c r="E9144" s="11"/>
      <c r="F9144" s="12"/>
    </row>
    <row r="9145" ht="14.25" customHeight="1">
      <c r="B9145" s="4" t="str">
        <f>IFERROR(__xludf.DUMMYFUNCTION("""COMPUTED_VALUE"""),"")</f>
        <v/>
      </c>
      <c r="C9145" s="12"/>
      <c r="D9145" s="12"/>
      <c r="E9145" s="11"/>
      <c r="F9145" s="12"/>
    </row>
    <row r="9146" ht="14.25" customHeight="1">
      <c r="B9146" s="4" t="str">
        <f>IFERROR(__xludf.DUMMYFUNCTION("""COMPUTED_VALUE"""),"")</f>
        <v/>
      </c>
      <c r="C9146" s="12"/>
      <c r="D9146" s="12"/>
      <c r="E9146" s="11"/>
      <c r="F9146" s="12"/>
    </row>
    <row r="9147" ht="14.25" customHeight="1">
      <c r="B9147" s="4" t="str">
        <f>IFERROR(__xludf.DUMMYFUNCTION("""COMPUTED_VALUE"""),"")</f>
        <v/>
      </c>
      <c r="C9147" s="12"/>
      <c r="D9147" s="12"/>
      <c r="E9147" s="11"/>
      <c r="F9147" s="12"/>
    </row>
    <row r="9148" ht="14.25" customHeight="1">
      <c r="B9148" s="4" t="str">
        <f>IFERROR(__xludf.DUMMYFUNCTION("""COMPUTED_VALUE"""),"")</f>
        <v/>
      </c>
      <c r="C9148" s="12"/>
      <c r="D9148" s="12"/>
      <c r="E9148" s="11"/>
      <c r="F9148" s="12"/>
    </row>
    <row r="9149" ht="14.25" customHeight="1">
      <c r="B9149" s="4" t="str">
        <f>IFERROR(__xludf.DUMMYFUNCTION("""COMPUTED_VALUE"""),"")</f>
        <v/>
      </c>
      <c r="C9149" s="12"/>
      <c r="D9149" s="12"/>
      <c r="E9149" s="11"/>
      <c r="F9149" s="12"/>
    </row>
    <row r="9150" ht="14.25" customHeight="1">
      <c r="B9150" s="4" t="str">
        <f>IFERROR(__xludf.DUMMYFUNCTION("""COMPUTED_VALUE"""),"")</f>
        <v/>
      </c>
      <c r="C9150" s="12"/>
      <c r="D9150" s="12"/>
      <c r="E9150" s="11"/>
      <c r="F9150" s="12"/>
    </row>
    <row r="9151" ht="14.25" customHeight="1">
      <c r="B9151" s="4" t="str">
        <f>IFERROR(__xludf.DUMMYFUNCTION("""COMPUTED_VALUE"""),"")</f>
        <v/>
      </c>
      <c r="C9151" s="12"/>
      <c r="D9151" s="12"/>
      <c r="E9151" s="11"/>
      <c r="F9151" s="12"/>
    </row>
    <row r="9152" ht="14.25" customHeight="1">
      <c r="B9152" s="4" t="str">
        <f>IFERROR(__xludf.DUMMYFUNCTION("""COMPUTED_VALUE"""),"")</f>
        <v/>
      </c>
      <c r="C9152" s="12"/>
      <c r="D9152" s="12"/>
      <c r="E9152" s="11"/>
      <c r="F9152" s="12"/>
    </row>
    <row r="9153" ht="14.25" customHeight="1">
      <c r="B9153" s="4" t="str">
        <f>IFERROR(__xludf.DUMMYFUNCTION("""COMPUTED_VALUE"""),"")</f>
        <v/>
      </c>
      <c r="C9153" s="12"/>
      <c r="D9153" s="12"/>
      <c r="E9153" s="11"/>
      <c r="F9153" s="12"/>
    </row>
    <row r="9154" ht="14.25" customHeight="1">
      <c r="B9154" s="4" t="str">
        <f>IFERROR(__xludf.DUMMYFUNCTION("""COMPUTED_VALUE"""),"")</f>
        <v/>
      </c>
      <c r="C9154" s="12"/>
      <c r="D9154" s="12"/>
      <c r="E9154" s="11"/>
      <c r="F9154" s="12"/>
    </row>
    <row r="9155" ht="14.25" customHeight="1">
      <c r="B9155" s="4" t="str">
        <f>IFERROR(__xludf.DUMMYFUNCTION("""COMPUTED_VALUE"""),"")</f>
        <v/>
      </c>
      <c r="C9155" s="12"/>
      <c r="D9155" s="12"/>
      <c r="E9155" s="11"/>
      <c r="F9155" s="12"/>
    </row>
    <row r="9156" ht="14.25" customHeight="1">
      <c r="B9156" s="4" t="str">
        <f>IFERROR(__xludf.DUMMYFUNCTION("""COMPUTED_VALUE"""),"")</f>
        <v/>
      </c>
      <c r="C9156" s="12"/>
      <c r="D9156" s="12"/>
      <c r="E9156" s="11"/>
      <c r="F9156" s="12"/>
    </row>
    <row r="9157" ht="14.25" customHeight="1">
      <c r="B9157" s="4" t="str">
        <f>IFERROR(__xludf.DUMMYFUNCTION("""COMPUTED_VALUE"""),"")</f>
        <v/>
      </c>
      <c r="C9157" s="12"/>
      <c r="D9157" s="12"/>
      <c r="E9157" s="11"/>
      <c r="F9157" s="12"/>
    </row>
    <row r="9158" ht="14.25" customHeight="1">
      <c r="B9158" s="4" t="str">
        <f>IFERROR(__xludf.DUMMYFUNCTION("""COMPUTED_VALUE"""),"")</f>
        <v/>
      </c>
      <c r="C9158" s="12"/>
      <c r="D9158" s="12"/>
      <c r="E9158" s="11"/>
      <c r="F9158" s="12"/>
    </row>
    <row r="9159" ht="14.25" customHeight="1">
      <c r="B9159" s="4" t="str">
        <f>IFERROR(__xludf.DUMMYFUNCTION("""COMPUTED_VALUE"""),"")</f>
        <v/>
      </c>
      <c r="C9159" s="12"/>
      <c r="D9159" s="12"/>
      <c r="E9159" s="11"/>
      <c r="F9159" s="12"/>
    </row>
    <row r="9160" ht="14.25" customHeight="1">
      <c r="B9160" s="4" t="str">
        <f>IFERROR(__xludf.DUMMYFUNCTION("""COMPUTED_VALUE"""),"")</f>
        <v/>
      </c>
      <c r="C9160" s="12"/>
      <c r="D9160" s="12"/>
      <c r="E9160" s="11"/>
      <c r="F9160" s="12"/>
    </row>
    <row r="9161" ht="14.25" customHeight="1">
      <c r="B9161" s="4" t="str">
        <f>IFERROR(__xludf.DUMMYFUNCTION("""COMPUTED_VALUE"""),"")</f>
        <v/>
      </c>
      <c r="C9161" s="12"/>
      <c r="D9161" s="12"/>
      <c r="E9161" s="11"/>
      <c r="F9161" s="12"/>
    </row>
    <row r="9162" ht="14.25" customHeight="1">
      <c r="B9162" s="4" t="str">
        <f>IFERROR(__xludf.DUMMYFUNCTION("""COMPUTED_VALUE"""),"")</f>
        <v/>
      </c>
      <c r="C9162" s="12"/>
      <c r="D9162" s="12"/>
      <c r="E9162" s="11"/>
      <c r="F9162" s="12"/>
    </row>
    <row r="9163" ht="14.25" customHeight="1">
      <c r="B9163" s="4" t="str">
        <f>IFERROR(__xludf.DUMMYFUNCTION("""COMPUTED_VALUE"""),"")</f>
        <v/>
      </c>
      <c r="C9163" s="12"/>
      <c r="D9163" s="12"/>
      <c r="E9163" s="11"/>
      <c r="F9163" s="12"/>
    </row>
    <row r="9164" ht="14.25" customHeight="1">
      <c r="B9164" s="4" t="str">
        <f>IFERROR(__xludf.DUMMYFUNCTION("""COMPUTED_VALUE"""),"")</f>
        <v/>
      </c>
      <c r="C9164" s="12"/>
      <c r="D9164" s="12"/>
      <c r="E9164" s="11"/>
      <c r="F9164" s="12"/>
    </row>
    <row r="9165" ht="14.25" customHeight="1">
      <c r="B9165" s="4" t="str">
        <f>IFERROR(__xludf.DUMMYFUNCTION("""COMPUTED_VALUE"""),"")</f>
        <v/>
      </c>
      <c r="C9165" s="12"/>
      <c r="D9165" s="12"/>
      <c r="E9165" s="11"/>
      <c r="F9165" s="12"/>
    </row>
    <row r="9166" ht="14.25" customHeight="1">
      <c r="B9166" s="4" t="str">
        <f>IFERROR(__xludf.DUMMYFUNCTION("""COMPUTED_VALUE"""),"")</f>
        <v/>
      </c>
      <c r="C9166" s="12"/>
      <c r="D9166" s="12"/>
      <c r="E9166" s="11"/>
      <c r="F9166" s="12"/>
    </row>
    <row r="9167" ht="14.25" customHeight="1">
      <c r="B9167" s="4" t="str">
        <f>IFERROR(__xludf.DUMMYFUNCTION("""COMPUTED_VALUE"""),"")</f>
        <v/>
      </c>
      <c r="C9167" s="12"/>
      <c r="D9167" s="12"/>
      <c r="E9167" s="11"/>
      <c r="F9167" s="12"/>
    </row>
    <row r="9168" ht="14.25" customHeight="1">
      <c r="B9168" s="4" t="str">
        <f>IFERROR(__xludf.DUMMYFUNCTION("""COMPUTED_VALUE"""),"")</f>
        <v/>
      </c>
      <c r="C9168" s="12"/>
      <c r="D9168" s="12"/>
      <c r="E9168" s="11"/>
      <c r="F9168" s="12"/>
    </row>
    <row r="9169" ht="14.25" customHeight="1">
      <c r="B9169" s="4" t="str">
        <f>IFERROR(__xludf.DUMMYFUNCTION("""COMPUTED_VALUE"""),"")</f>
        <v/>
      </c>
      <c r="C9169" s="12"/>
      <c r="D9169" s="12"/>
      <c r="E9169" s="11"/>
      <c r="F9169" s="12"/>
    </row>
    <row r="9170" ht="14.25" customHeight="1">
      <c r="B9170" s="4" t="str">
        <f>IFERROR(__xludf.DUMMYFUNCTION("""COMPUTED_VALUE"""),"")</f>
        <v/>
      </c>
      <c r="C9170" s="12"/>
      <c r="D9170" s="12"/>
      <c r="E9170" s="11"/>
      <c r="F9170" s="12"/>
    </row>
    <row r="9171" ht="14.25" customHeight="1">
      <c r="B9171" s="4" t="str">
        <f>IFERROR(__xludf.DUMMYFUNCTION("""COMPUTED_VALUE"""),"")</f>
        <v/>
      </c>
      <c r="C9171" s="12"/>
      <c r="D9171" s="12"/>
      <c r="E9171" s="11"/>
      <c r="F9171" s="12"/>
    </row>
    <row r="9172" ht="14.25" customHeight="1">
      <c r="B9172" s="4" t="str">
        <f>IFERROR(__xludf.DUMMYFUNCTION("""COMPUTED_VALUE"""),"")</f>
        <v/>
      </c>
      <c r="C9172" s="12"/>
      <c r="D9172" s="12"/>
      <c r="E9172" s="11"/>
      <c r="F9172" s="12"/>
    </row>
    <row r="9173" ht="14.25" customHeight="1">
      <c r="B9173" s="4" t="str">
        <f>IFERROR(__xludf.DUMMYFUNCTION("""COMPUTED_VALUE"""),"")</f>
        <v/>
      </c>
      <c r="C9173" s="12"/>
      <c r="D9173" s="12"/>
      <c r="E9173" s="11"/>
      <c r="F9173" s="12"/>
    </row>
    <row r="9174" ht="14.25" customHeight="1">
      <c r="B9174" s="4" t="str">
        <f>IFERROR(__xludf.DUMMYFUNCTION("""COMPUTED_VALUE"""),"")</f>
        <v/>
      </c>
      <c r="C9174" s="12"/>
      <c r="D9174" s="12"/>
      <c r="E9174" s="11"/>
      <c r="F9174" s="12"/>
    </row>
    <row r="9175" ht="14.25" customHeight="1">
      <c r="B9175" s="4" t="str">
        <f>IFERROR(__xludf.DUMMYFUNCTION("""COMPUTED_VALUE"""),"")</f>
        <v/>
      </c>
      <c r="C9175" s="12"/>
      <c r="D9175" s="12"/>
      <c r="E9175" s="11"/>
      <c r="F9175" s="12"/>
    </row>
    <row r="9176" ht="14.25" customHeight="1">
      <c r="B9176" s="4" t="str">
        <f>IFERROR(__xludf.DUMMYFUNCTION("""COMPUTED_VALUE"""),"")</f>
        <v/>
      </c>
      <c r="C9176" s="12"/>
      <c r="D9176" s="12"/>
      <c r="E9176" s="11"/>
      <c r="F9176" s="12"/>
    </row>
    <row r="9177" ht="14.25" customHeight="1">
      <c r="B9177" s="4" t="str">
        <f>IFERROR(__xludf.DUMMYFUNCTION("""COMPUTED_VALUE"""),"")</f>
        <v/>
      </c>
      <c r="C9177" s="12"/>
      <c r="D9177" s="12"/>
      <c r="E9177" s="11"/>
      <c r="F9177" s="12"/>
    </row>
    <row r="9178" ht="14.25" customHeight="1">
      <c r="B9178" s="4" t="str">
        <f>IFERROR(__xludf.DUMMYFUNCTION("""COMPUTED_VALUE"""),"")</f>
        <v/>
      </c>
      <c r="C9178" s="12"/>
      <c r="D9178" s="12"/>
      <c r="E9178" s="11"/>
      <c r="F9178" s="12"/>
    </row>
    <row r="9179" ht="14.25" customHeight="1">
      <c r="B9179" s="4" t="str">
        <f>IFERROR(__xludf.DUMMYFUNCTION("""COMPUTED_VALUE"""),"")</f>
        <v/>
      </c>
      <c r="C9179" s="12"/>
      <c r="D9179" s="12"/>
      <c r="E9179" s="11"/>
      <c r="F9179" s="12"/>
    </row>
    <row r="9180" ht="14.25" customHeight="1">
      <c r="B9180" s="4" t="str">
        <f>IFERROR(__xludf.DUMMYFUNCTION("""COMPUTED_VALUE"""),"")</f>
        <v/>
      </c>
      <c r="C9180" s="12"/>
      <c r="D9180" s="12"/>
      <c r="E9180" s="11"/>
      <c r="F9180" s="12"/>
    </row>
    <row r="9181" ht="14.25" customHeight="1">
      <c r="B9181" s="4" t="str">
        <f>IFERROR(__xludf.DUMMYFUNCTION("""COMPUTED_VALUE"""),"")</f>
        <v/>
      </c>
      <c r="C9181" s="12"/>
      <c r="D9181" s="12"/>
      <c r="E9181" s="11"/>
      <c r="F9181" s="12"/>
    </row>
    <row r="9182" ht="14.25" customHeight="1">
      <c r="B9182" s="4" t="str">
        <f>IFERROR(__xludf.DUMMYFUNCTION("""COMPUTED_VALUE"""),"")</f>
        <v/>
      </c>
      <c r="C9182" s="12"/>
      <c r="D9182" s="12"/>
      <c r="E9182" s="11"/>
      <c r="F9182" s="12"/>
    </row>
    <row r="9183" ht="14.25" customHeight="1">
      <c r="B9183" s="4" t="str">
        <f>IFERROR(__xludf.DUMMYFUNCTION("""COMPUTED_VALUE"""),"")</f>
        <v/>
      </c>
      <c r="C9183" s="12"/>
      <c r="D9183" s="12"/>
      <c r="E9183" s="11"/>
      <c r="F9183" s="12"/>
    </row>
    <row r="9184" ht="14.25" customHeight="1">
      <c r="B9184" s="4" t="str">
        <f>IFERROR(__xludf.DUMMYFUNCTION("""COMPUTED_VALUE"""),"")</f>
        <v/>
      </c>
      <c r="C9184" s="12"/>
      <c r="D9184" s="12"/>
      <c r="E9184" s="11"/>
      <c r="F9184" s="12"/>
    </row>
    <row r="9185" ht="14.25" customHeight="1">
      <c r="B9185" s="4" t="str">
        <f>IFERROR(__xludf.DUMMYFUNCTION("""COMPUTED_VALUE"""),"")</f>
        <v/>
      </c>
      <c r="C9185" s="12"/>
      <c r="D9185" s="12"/>
      <c r="E9185" s="11"/>
      <c r="F9185" s="12"/>
    </row>
    <row r="9186" ht="14.25" customHeight="1">
      <c r="B9186" s="4" t="str">
        <f>IFERROR(__xludf.DUMMYFUNCTION("""COMPUTED_VALUE"""),"")</f>
        <v/>
      </c>
      <c r="C9186" s="12"/>
      <c r="D9186" s="12"/>
      <c r="E9186" s="11"/>
      <c r="F9186" s="12"/>
    </row>
    <row r="9187" ht="14.25" customHeight="1">
      <c r="B9187" s="4" t="str">
        <f>IFERROR(__xludf.DUMMYFUNCTION("""COMPUTED_VALUE"""),"")</f>
        <v/>
      </c>
      <c r="C9187" s="12"/>
      <c r="D9187" s="12"/>
      <c r="E9187" s="11"/>
      <c r="F9187" s="12"/>
    </row>
    <row r="9188" ht="14.25" customHeight="1">
      <c r="B9188" s="4" t="str">
        <f>IFERROR(__xludf.DUMMYFUNCTION("""COMPUTED_VALUE"""),"")</f>
        <v/>
      </c>
      <c r="C9188" s="12"/>
      <c r="D9188" s="12"/>
      <c r="E9188" s="11"/>
      <c r="F9188" s="12"/>
    </row>
    <row r="9189" ht="14.25" customHeight="1">
      <c r="B9189" s="4" t="str">
        <f>IFERROR(__xludf.DUMMYFUNCTION("""COMPUTED_VALUE"""),"")</f>
        <v/>
      </c>
      <c r="C9189" s="12"/>
      <c r="D9189" s="12"/>
      <c r="E9189" s="11"/>
      <c r="F9189" s="12"/>
    </row>
    <row r="9190" ht="14.25" customHeight="1">
      <c r="B9190" s="4" t="str">
        <f>IFERROR(__xludf.DUMMYFUNCTION("""COMPUTED_VALUE"""),"")</f>
        <v/>
      </c>
      <c r="C9190" s="12"/>
      <c r="D9190" s="12"/>
      <c r="E9190" s="11"/>
      <c r="F9190" s="12"/>
    </row>
    <row r="9191" ht="14.25" customHeight="1">
      <c r="B9191" s="4" t="str">
        <f>IFERROR(__xludf.DUMMYFUNCTION("""COMPUTED_VALUE"""),"")</f>
        <v/>
      </c>
      <c r="C9191" s="12"/>
      <c r="D9191" s="12"/>
      <c r="E9191" s="11"/>
      <c r="F9191" s="12"/>
    </row>
    <row r="9192" ht="14.25" customHeight="1">
      <c r="B9192" s="4" t="str">
        <f>IFERROR(__xludf.DUMMYFUNCTION("""COMPUTED_VALUE"""),"")</f>
        <v/>
      </c>
      <c r="C9192" s="12"/>
      <c r="D9192" s="12"/>
      <c r="E9192" s="11"/>
      <c r="F9192" s="12"/>
    </row>
    <row r="9193" ht="14.25" customHeight="1">
      <c r="B9193" s="4" t="str">
        <f>IFERROR(__xludf.DUMMYFUNCTION("""COMPUTED_VALUE"""),"")</f>
        <v/>
      </c>
      <c r="C9193" s="12"/>
      <c r="D9193" s="12"/>
      <c r="E9193" s="11"/>
      <c r="F9193" s="12"/>
    </row>
    <row r="9194" ht="14.25" customHeight="1">
      <c r="B9194" s="4" t="str">
        <f>IFERROR(__xludf.DUMMYFUNCTION("""COMPUTED_VALUE"""),"")</f>
        <v/>
      </c>
      <c r="C9194" s="12"/>
      <c r="D9194" s="12"/>
      <c r="E9194" s="11"/>
      <c r="F9194" s="12"/>
    </row>
    <row r="9195" ht="14.25" customHeight="1">
      <c r="B9195" s="4" t="str">
        <f>IFERROR(__xludf.DUMMYFUNCTION("""COMPUTED_VALUE"""),"")</f>
        <v/>
      </c>
      <c r="C9195" s="12"/>
      <c r="D9195" s="12"/>
      <c r="E9195" s="11"/>
      <c r="F9195" s="12"/>
    </row>
    <row r="9196" ht="14.25" customHeight="1">
      <c r="B9196" s="4" t="str">
        <f>IFERROR(__xludf.DUMMYFUNCTION("""COMPUTED_VALUE"""),"")</f>
        <v/>
      </c>
      <c r="C9196" s="12"/>
      <c r="D9196" s="12"/>
      <c r="E9196" s="11"/>
      <c r="F9196" s="12"/>
    </row>
    <row r="9197" ht="14.25" customHeight="1">
      <c r="B9197" s="4" t="str">
        <f>IFERROR(__xludf.DUMMYFUNCTION("""COMPUTED_VALUE"""),"")</f>
        <v/>
      </c>
      <c r="C9197" s="12"/>
      <c r="D9197" s="12"/>
      <c r="E9197" s="11"/>
      <c r="F9197" s="12"/>
    </row>
    <row r="9198" ht="14.25" customHeight="1">
      <c r="B9198" s="4" t="str">
        <f>IFERROR(__xludf.DUMMYFUNCTION("""COMPUTED_VALUE"""),"")</f>
        <v/>
      </c>
      <c r="C9198" s="12"/>
      <c r="D9198" s="12"/>
      <c r="E9198" s="11"/>
      <c r="F9198" s="12"/>
    </row>
    <row r="9199" ht="14.25" customHeight="1">
      <c r="B9199" s="4" t="str">
        <f>IFERROR(__xludf.DUMMYFUNCTION("""COMPUTED_VALUE"""),"")</f>
        <v/>
      </c>
      <c r="C9199" s="12"/>
      <c r="D9199" s="12"/>
      <c r="E9199" s="11"/>
      <c r="F9199" s="12"/>
    </row>
    <row r="9200" ht="14.25" customHeight="1">
      <c r="B9200" s="4" t="str">
        <f>IFERROR(__xludf.DUMMYFUNCTION("""COMPUTED_VALUE"""),"")</f>
        <v/>
      </c>
      <c r="C9200" s="12"/>
      <c r="D9200" s="12"/>
      <c r="E9200" s="11"/>
      <c r="F9200" s="12"/>
    </row>
    <row r="9201" ht="14.25" customHeight="1">
      <c r="B9201" s="4" t="str">
        <f>IFERROR(__xludf.DUMMYFUNCTION("""COMPUTED_VALUE"""),"")</f>
        <v/>
      </c>
      <c r="C9201" s="12"/>
      <c r="D9201" s="12"/>
      <c r="E9201" s="11"/>
      <c r="F9201" s="12"/>
    </row>
    <row r="9202" ht="14.25" customHeight="1">
      <c r="B9202" s="4" t="str">
        <f>IFERROR(__xludf.DUMMYFUNCTION("""COMPUTED_VALUE"""),"")</f>
        <v/>
      </c>
      <c r="C9202" s="12"/>
      <c r="D9202" s="12"/>
      <c r="E9202" s="11"/>
      <c r="F9202" s="12"/>
    </row>
    <row r="9203" ht="14.25" customHeight="1">
      <c r="B9203" s="4" t="str">
        <f>IFERROR(__xludf.DUMMYFUNCTION("""COMPUTED_VALUE"""),"")</f>
        <v/>
      </c>
      <c r="C9203" s="12"/>
      <c r="D9203" s="12"/>
      <c r="E9203" s="11"/>
      <c r="F9203" s="12"/>
    </row>
    <row r="9204" ht="14.25" customHeight="1">
      <c r="B9204" s="4" t="str">
        <f>IFERROR(__xludf.DUMMYFUNCTION("""COMPUTED_VALUE"""),"")</f>
        <v/>
      </c>
      <c r="C9204" s="12"/>
      <c r="D9204" s="12"/>
      <c r="E9204" s="11"/>
      <c r="F9204" s="12"/>
    </row>
    <row r="9205" ht="14.25" customHeight="1">
      <c r="B9205" s="4" t="str">
        <f>IFERROR(__xludf.DUMMYFUNCTION("""COMPUTED_VALUE"""),"")</f>
        <v/>
      </c>
      <c r="C9205" s="12"/>
      <c r="D9205" s="12"/>
      <c r="E9205" s="11"/>
      <c r="F9205" s="12"/>
    </row>
    <row r="9206" ht="14.25" customHeight="1">
      <c r="B9206" s="4" t="str">
        <f>IFERROR(__xludf.DUMMYFUNCTION("""COMPUTED_VALUE"""),"")</f>
        <v/>
      </c>
      <c r="C9206" s="12"/>
      <c r="D9206" s="12"/>
      <c r="E9206" s="11"/>
      <c r="F9206" s="12"/>
    </row>
    <row r="9207" ht="14.25" customHeight="1">
      <c r="B9207" s="4" t="str">
        <f>IFERROR(__xludf.DUMMYFUNCTION("""COMPUTED_VALUE"""),"")</f>
        <v/>
      </c>
      <c r="C9207" s="12"/>
      <c r="D9207" s="12"/>
      <c r="E9207" s="11"/>
      <c r="F9207" s="12"/>
    </row>
    <row r="9208" ht="14.25" customHeight="1">
      <c r="B9208" s="4" t="str">
        <f>IFERROR(__xludf.DUMMYFUNCTION("""COMPUTED_VALUE"""),"")</f>
        <v/>
      </c>
      <c r="C9208" s="12"/>
      <c r="D9208" s="12"/>
      <c r="E9208" s="11"/>
      <c r="F9208" s="12"/>
    </row>
    <row r="9209" ht="14.25" customHeight="1">
      <c r="B9209" s="4" t="str">
        <f>IFERROR(__xludf.DUMMYFUNCTION("""COMPUTED_VALUE"""),"")</f>
        <v/>
      </c>
      <c r="C9209" s="12"/>
      <c r="D9209" s="12"/>
      <c r="E9209" s="11"/>
      <c r="F9209" s="12"/>
    </row>
    <row r="9210" ht="14.25" customHeight="1">
      <c r="B9210" s="4" t="str">
        <f>IFERROR(__xludf.DUMMYFUNCTION("""COMPUTED_VALUE"""),"")</f>
        <v/>
      </c>
      <c r="C9210" s="12"/>
      <c r="D9210" s="12"/>
      <c r="E9210" s="11"/>
      <c r="F9210" s="12"/>
    </row>
    <row r="9211" ht="14.25" customHeight="1">
      <c r="B9211" s="4" t="str">
        <f>IFERROR(__xludf.DUMMYFUNCTION("""COMPUTED_VALUE"""),"")</f>
        <v/>
      </c>
      <c r="C9211" s="12"/>
      <c r="D9211" s="12"/>
      <c r="E9211" s="11"/>
      <c r="F9211" s="12"/>
    </row>
    <row r="9212" ht="14.25" customHeight="1">
      <c r="B9212" s="4" t="str">
        <f>IFERROR(__xludf.DUMMYFUNCTION("""COMPUTED_VALUE"""),"")</f>
        <v/>
      </c>
      <c r="C9212" s="12"/>
      <c r="D9212" s="12"/>
      <c r="E9212" s="11"/>
      <c r="F9212" s="12"/>
    </row>
    <row r="9213" ht="14.25" customHeight="1">
      <c r="B9213" s="4" t="str">
        <f>IFERROR(__xludf.DUMMYFUNCTION("""COMPUTED_VALUE"""),"")</f>
        <v/>
      </c>
      <c r="C9213" s="12"/>
      <c r="D9213" s="12"/>
      <c r="E9213" s="11"/>
      <c r="F9213" s="12"/>
    </row>
    <row r="9214" ht="14.25" customHeight="1">
      <c r="B9214" s="4" t="str">
        <f>IFERROR(__xludf.DUMMYFUNCTION("""COMPUTED_VALUE"""),"")</f>
        <v/>
      </c>
      <c r="C9214" s="12"/>
      <c r="D9214" s="12"/>
      <c r="E9214" s="11"/>
      <c r="F9214" s="12"/>
    </row>
    <row r="9215" ht="14.25" customHeight="1">
      <c r="B9215" s="4" t="str">
        <f>IFERROR(__xludf.DUMMYFUNCTION("""COMPUTED_VALUE"""),"")</f>
        <v/>
      </c>
      <c r="C9215" s="12"/>
      <c r="D9215" s="12"/>
      <c r="E9215" s="11"/>
      <c r="F9215" s="12"/>
    </row>
    <row r="9216" ht="14.25" customHeight="1">
      <c r="B9216" s="4" t="str">
        <f>IFERROR(__xludf.DUMMYFUNCTION("""COMPUTED_VALUE"""),"")</f>
        <v/>
      </c>
      <c r="C9216" s="12"/>
      <c r="D9216" s="12"/>
      <c r="E9216" s="11"/>
      <c r="F9216" s="12"/>
    </row>
    <row r="9217" ht="14.25" customHeight="1">
      <c r="B9217" s="4" t="str">
        <f>IFERROR(__xludf.DUMMYFUNCTION("""COMPUTED_VALUE"""),"")</f>
        <v/>
      </c>
      <c r="C9217" s="12"/>
      <c r="D9217" s="12"/>
      <c r="E9217" s="11"/>
      <c r="F9217" s="12"/>
    </row>
    <row r="9218" ht="14.25" customHeight="1">
      <c r="B9218" s="4" t="str">
        <f>IFERROR(__xludf.DUMMYFUNCTION("""COMPUTED_VALUE"""),"")</f>
        <v/>
      </c>
      <c r="C9218" s="12"/>
      <c r="D9218" s="12"/>
      <c r="E9218" s="11"/>
      <c r="F9218" s="12"/>
    </row>
    <row r="9219" ht="14.25" customHeight="1">
      <c r="B9219" s="4" t="str">
        <f>IFERROR(__xludf.DUMMYFUNCTION("""COMPUTED_VALUE"""),"")</f>
        <v/>
      </c>
      <c r="C9219" s="12"/>
      <c r="D9219" s="12"/>
      <c r="E9219" s="11"/>
      <c r="F9219" s="12"/>
    </row>
    <row r="9220" ht="14.25" customHeight="1">
      <c r="B9220" s="4" t="str">
        <f>IFERROR(__xludf.DUMMYFUNCTION("""COMPUTED_VALUE"""),"")</f>
        <v/>
      </c>
      <c r="C9220" s="12"/>
      <c r="D9220" s="12"/>
      <c r="E9220" s="11"/>
      <c r="F9220" s="12"/>
    </row>
    <row r="9221" ht="14.25" customHeight="1">
      <c r="B9221" s="4" t="str">
        <f>IFERROR(__xludf.DUMMYFUNCTION("""COMPUTED_VALUE"""),"")</f>
        <v/>
      </c>
      <c r="C9221" s="12"/>
      <c r="D9221" s="12"/>
      <c r="E9221" s="11"/>
      <c r="F9221" s="12"/>
    </row>
    <row r="9222" ht="14.25" customHeight="1">
      <c r="B9222" s="4" t="str">
        <f>IFERROR(__xludf.DUMMYFUNCTION("""COMPUTED_VALUE"""),"")</f>
        <v/>
      </c>
      <c r="C9222" s="12"/>
      <c r="D9222" s="12"/>
      <c r="E9222" s="11"/>
      <c r="F9222" s="12"/>
    </row>
    <row r="9223" ht="14.25" customHeight="1">
      <c r="B9223" s="4" t="str">
        <f>IFERROR(__xludf.DUMMYFUNCTION("""COMPUTED_VALUE"""),"")</f>
        <v/>
      </c>
      <c r="C9223" s="12"/>
      <c r="D9223" s="12"/>
      <c r="E9223" s="11"/>
      <c r="F9223" s="12"/>
    </row>
    <row r="9224" ht="14.25" customHeight="1">
      <c r="B9224" s="4" t="str">
        <f>IFERROR(__xludf.DUMMYFUNCTION("""COMPUTED_VALUE"""),"")</f>
        <v/>
      </c>
      <c r="C9224" s="12"/>
      <c r="D9224" s="12"/>
      <c r="E9224" s="11"/>
      <c r="F9224" s="12"/>
    </row>
    <row r="9225" ht="14.25" customHeight="1">
      <c r="B9225" s="4" t="str">
        <f>IFERROR(__xludf.DUMMYFUNCTION("""COMPUTED_VALUE"""),"")</f>
        <v/>
      </c>
      <c r="C9225" s="12"/>
      <c r="D9225" s="12"/>
      <c r="E9225" s="11"/>
      <c r="F9225" s="12"/>
    </row>
    <row r="9226" ht="14.25" customHeight="1">
      <c r="B9226" s="4" t="str">
        <f>IFERROR(__xludf.DUMMYFUNCTION("""COMPUTED_VALUE"""),"")</f>
        <v/>
      </c>
      <c r="C9226" s="12"/>
      <c r="D9226" s="12"/>
      <c r="E9226" s="11"/>
      <c r="F9226" s="12"/>
    </row>
    <row r="9227" ht="14.25" customHeight="1">
      <c r="B9227" s="4" t="str">
        <f>IFERROR(__xludf.DUMMYFUNCTION("""COMPUTED_VALUE"""),"")</f>
        <v/>
      </c>
      <c r="C9227" s="12"/>
      <c r="D9227" s="12"/>
      <c r="E9227" s="11"/>
      <c r="F9227" s="12"/>
    </row>
    <row r="9228" ht="14.25" customHeight="1">
      <c r="B9228" s="4" t="str">
        <f>IFERROR(__xludf.DUMMYFUNCTION("""COMPUTED_VALUE"""),"")</f>
        <v/>
      </c>
      <c r="C9228" s="12"/>
      <c r="D9228" s="12"/>
      <c r="E9228" s="11"/>
      <c r="F9228" s="12"/>
    </row>
    <row r="9229" ht="14.25" customHeight="1">
      <c r="B9229" s="4" t="str">
        <f>IFERROR(__xludf.DUMMYFUNCTION("""COMPUTED_VALUE"""),"")</f>
        <v/>
      </c>
      <c r="C9229" s="12"/>
      <c r="D9229" s="12"/>
      <c r="E9229" s="11"/>
      <c r="F9229" s="12"/>
    </row>
    <row r="9230" ht="14.25" customHeight="1">
      <c r="B9230" s="4" t="str">
        <f>IFERROR(__xludf.DUMMYFUNCTION("""COMPUTED_VALUE"""),"")</f>
        <v/>
      </c>
      <c r="C9230" s="12"/>
      <c r="D9230" s="12"/>
      <c r="E9230" s="11"/>
      <c r="F9230" s="12"/>
    </row>
    <row r="9231" ht="14.25" customHeight="1">
      <c r="B9231" s="4" t="str">
        <f>IFERROR(__xludf.DUMMYFUNCTION("""COMPUTED_VALUE"""),"")</f>
        <v/>
      </c>
      <c r="C9231" s="12"/>
      <c r="D9231" s="12"/>
      <c r="E9231" s="11"/>
      <c r="F9231" s="12"/>
    </row>
    <row r="9232" ht="14.25" customHeight="1">
      <c r="B9232" s="4" t="str">
        <f>IFERROR(__xludf.DUMMYFUNCTION("""COMPUTED_VALUE"""),"")</f>
        <v/>
      </c>
      <c r="C9232" s="12"/>
      <c r="D9232" s="12"/>
      <c r="E9232" s="11"/>
      <c r="F9232" s="12"/>
    </row>
    <row r="9233" ht="14.25" customHeight="1">
      <c r="B9233" s="4" t="str">
        <f>IFERROR(__xludf.DUMMYFUNCTION("""COMPUTED_VALUE"""),"")</f>
        <v/>
      </c>
      <c r="C9233" s="12"/>
      <c r="D9233" s="12"/>
      <c r="E9233" s="11"/>
      <c r="F9233" s="12"/>
    </row>
    <row r="9234" ht="14.25" customHeight="1">
      <c r="B9234" s="4" t="str">
        <f>IFERROR(__xludf.DUMMYFUNCTION("""COMPUTED_VALUE"""),"")</f>
        <v/>
      </c>
      <c r="C9234" s="12"/>
      <c r="D9234" s="12"/>
      <c r="E9234" s="11"/>
      <c r="F9234" s="12"/>
    </row>
    <row r="9235" ht="14.25" customHeight="1">
      <c r="B9235" s="4" t="str">
        <f>IFERROR(__xludf.DUMMYFUNCTION("""COMPUTED_VALUE"""),"")</f>
        <v/>
      </c>
      <c r="C9235" s="12"/>
      <c r="D9235" s="12"/>
      <c r="E9235" s="11"/>
      <c r="F9235" s="12"/>
    </row>
    <row r="9236" ht="14.25" customHeight="1">
      <c r="B9236" s="4" t="str">
        <f>IFERROR(__xludf.DUMMYFUNCTION("""COMPUTED_VALUE"""),"")</f>
        <v/>
      </c>
      <c r="C9236" s="12"/>
      <c r="D9236" s="12"/>
      <c r="E9236" s="11"/>
      <c r="F9236" s="12"/>
    </row>
    <row r="9237" ht="14.25" customHeight="1">
      <c r="B9237" s="4" t="str">
        <f>IFERROR(__xludf.DUMMYFUNCTION("""COMPUTED_VALUE"""),"")</f>
        <v/>
      </c>
      <c r="C9237" s="12"/>
      <c r="D9237" s="12"/>
      <c r="E9237" s="11"/>
      <c r="F9237" s="12"/>
    </row>
    <row r="9238" ht="14.25" customHeight="1">
      <c r="B9238" s="4" t="str">
        <f>IFERROR(__xludf.DUMMYFUNCTION("""COMPUTED_VALUE"""),"")</f>
        <v/>
      </c>
      <c r="C9238" s="12"/>
      <c r="D9238" s="12"/>
      <c r="E9238" s="11"/>
      <c r="F9238" s="12"/>
    </row>
    <row r="9239" ht="14.25" customHeight="1">
      <c r="B9239" s="4" t="str">
        <f>IFERROR(__xludf.DUMMYFUNCTION("""COMPUTED_VALUE"""),"")</f>
        <v/>
      </c>
      <c r="C9239" s="12"/>
      <c r="D9239" s="12"/>
      <c r="E9239" s="11"/>
      <c r="F9239" s="12"/>
    </row>
    <row r="9240" ht="14.25" customHeight="1">
      <c r="B9240" s="4" t="str">
        <f>IFERROR(__xludf.DUMMYFUNCTION("""COMPUTED_VALUE"""),"")</f>
        <v/>
      </c>
      <c r="C9240" s="12"/>
      <c r="D9240" s="12"/>
      <c r="E9240" s="11"/>
      <c r="F9240" s="12"/>
    </row>
    <row r="9241" ht="14.25" customHeight="1">
      <c r="B9241" s="4" t="str">
        <f>IFERROR(__xludf.DUMMYFUNCTION("""COMPUTED_VALUE"""),"")</f>
        <v/>
      </c>
      <c r="C9241" s="12"/>
      <c r="D9241" s="12"/>
      <c r="E9241" s="11"/>
      <c r="F9241" s="12"/>
    </row>
    <row r="9242" ht="14.25" customHeight="1">
      <c r="B9242" s="4" t="str">
        <f>IFERROR(__xludf.DUMMYFUNCTION("""COMPUTED_VALUE"""),"")</f>
        <v/>
      </c>
      <c r="C9242" s="12"/>
      <c r="D9242" s="12"/>
      <c r="E9242" s="11"/>
      <c r="F9242" s="12"/>
    </row>
    <row r="9243" ht="14.25" customHeight="1">
      <c r="B9243" s="4" t="str">
        <f>IFERROR(__xludf.DUMMYFUNCTION("""COMPUTED_VALUE"""),"")</f>
        <v/>
      </c>
      <c r="C9243" s="12"/>
      <c r="D9243" s="12"/>
      <c r="E9243" s="11"/>
      <c r="F9243" s="12"/>
    </row>
    <row r="9244" ht="14.25" customHeight="1">
      <c r="B9244" s="4" t="str">
        <f>IFERROR(__xludf.DUMMYFUNCTION("""COMPUTED_VALUE"""),"")</f>
        <v/>
      </c>
      <c r="C9244" s="12"/>
      <c r="D9244" s="12"/>
      <c r="E9244" s="11"/>
      <c r="F9244" s="12"/>
    </row>
    <row r="9245" ht="14.25" customHeight="1">
      <c r="B9245" s="4" t="str">
        <f>IFERROR(__xludf.DUMMYFUNCTION("""COMPUTED_VALUE"""),"")</f>
        <v/>
      </c>
      <c r="C9245" s="12"/>
      <c r="D9245" s="12"/>
      <c r="E9245" s="11"/>
      <c r="F9245" s="12"/>
    </row>
    <row r="9246" ht="14.25" customHeight="1">
      <c r="B9246" s="4" t="str">
        <f>IFERROR(__xludf.DUMMYFUNCTION("""COMPUTED_VALUE"""),"")</f>
        <v/>
      </c>
      <c r="C9246" s="12"/>
      <c r="D9246" s="12"/>
      <c r="E9246" s="11"/>
      <c r="F9246" s="12"/>
    </row>
    <row r="9247" ht="14.25" customHeight="1">
      <c r="B9247" s="4" t="str">
        <f>IFERROR(__xludf.DUMMYFUNCTION("""COMPUTED_VALUE"""),"")</f>
        <v/>
      </c>
      <c r="C9247" s="12"/>
      <c r="D9247" s="12"/>
      <c r="E9247" s="11"/>
      <c r="F9247" s="12"/>
    </row>
    <row r="9248" ht="14.25" customHeight="1">
      <c r="B9248" s="4" t="str">
        <f>IFERROR(__xludf.DUMMYFUNCTION("""COMPUTED_VALUE"""),"")</f>
        <v/>
      </c>
      <c r="C9248" s="12"/>
      <c r="D9248" s="12"/>
      <c r="E9248" s="11"/>
      <c r="F9248" s="12"/>
    </row>
    <row r="9249" ht="14.25" customHeight="1">
      <c r="B9249" s="4" t="str">
        <f>IFERROR(__xludf.DUMMYFUNCTION("""COMPUTED_VALUE"""),"")</f>
        <v/>
      </c>
      <c r="C9249" s="12"/>
      <c r="D9249" s="12"/>
      <c r="E9249" s="11"/>
      <c r="F9249" s="12"/>
    </row>
    <row r="9250" ht="14.25" customHeight="1">
      <c r="B9250" s="4" t="str">
        <f>IFERROR(__xludf.DUMMYFUNCTION("""COMPUTED_VALUE"""),"")</f>
        <v/>
      </c>
      <c r="C9250" s="12"/>
      <c r="D9250" s="12"/>
      <c r="E9250" s="11"/>
      <c r="F9250" s="12"/>
    </row>
    <row r="9251" ht="14.25" customHeight="1">
      <c r="B9251" s="4" t="str">
        <f>IFERROR(__xludf.DUMMYFUNCTION("""COMPUTED_VALUE"""),"")</f>
        <v/>
      </c>
      <c r="C9251" s="12"/>
      <c r="D9251" s="12"/>
      <c r="E9251" s="11"/>
      <c r="F9251" s="12"/>
    </row>
    <row r="9252" ht="14.25" customHeight="1">
      <c r="B9252" s="4" t="str">
        <f>IFERROR(__xludf.DUMMYFUNCTION("""COMPUTED_VALUE"""),"")</f>
        <v/>
      </c>
      <c r="C9252" s="12"/>
      <c r="D9252" s="12"/>
      <c r="E9252" s="11"/>
      <c r="F9252" s="12"/>
    </row>
    <row r="9253" ht="14.25" customHeight="1">
      <c r="B9253" s="4" t="str">
        <f>IFERROR(__xludf.DUMMYFUNCTION("""COMPUTED_VALUE"""),"")</f>
        <v/>
      </c>
      <c r="C9253" s="12"/>
      <c r="D9253" s="12"/>
      <c r="E9253" s="11"/>
      <c r="F9253" s="12"/>
    </row>
    <row r="9254" ht="14.25" customHeight="1">
      <c r="B9254" s="4" t="str">
        <f>IFERROR(__xludf.DUMMYFUNCTION("""COMPUTED_VALUE"""),"")</f>
        <v/>
      </c>
      <c r="C9254" s="12"/>
      <c r="D9254" s="12"/>
      <c r="E9254" s="11"/>
      <c r="F9254" s="12"/>
    </row>
    <row r="9255" ht="14.25" customHeight="1">
      <c r="B9255" s="4" t="str">
        <f>IFERROR(__xludf.DUMMYFUNCTION("""COMPUTED_VALUE"""),"")</f>
        <v/>
      </c>
      <c r="C9255" s="12"/>
      <c r="D9255" s="12"/>
      <c r="E9255" s="11"/>
      <c r="F9255" s="12"/>
    </row>
    <row r="9256" ht="14.25" customHeight="1">
      <c r="B9256" s="4" t="str">
        <f>IFERROR(__xludf.DUMMYFUNCTION("""COMPUTED_VALUE"""),"")</f>
        <v/>
      </c>
      <c r="C9256" s="12"/>
      <c r="D9256" s="12"/>
      <c r="E9256" s="11"/>
      <c r="F9256" s="12"/>
    </row>
    <row r="9257" ht="14.25" customHeight="1">
      <c r="B9257" s="4" t="str">
        <f>IFERROR(__xludf.DUMMYFUNCTION("""COMPUTED_VALUE"""),"")</f>
        <v/>
      </c>
      <c r="C9257" s="12"/>
      <c r="D9257" s="12"/>
      <c r="E9257" s="11"/>
      <c r="F9257" s="12"/>
    </row>
    <row r="9258" ht="14.25" customHeight="1">
      <c r="B9258" s="4" t="str">
        <f>IFERROR(__xludf.DUMMYFUNCTION("""COMPUTED_VALUE"""),"")</f>
        <v/>
      </c>
      <c r="C9258" s="12"/>
      <c r="D9258" s="12"/>
      <c r="E9258" s="11"/>
      <c r="F9258" s="12"/>
    </row>
    <row r="9259" ht="14.25" customHeight="1">
      <c r="B9259" s="4" t="str">
        <f>IFERROR(__xludf.DUMMYFUNCTION("""COMPUTED_VALUE"""),"")</f>
        <v/>
      </c>
      <c r="C9259" s="12"/>
      <c r="D9259" s="12"/>
      <c r="E9259" s="11"/>
      <c r="F9259" s="12"/>
    </row>
    <row r="9260" ht="14.25" customHeight="1">
      <c r="B9260" s="4" t="str">
        <f>IFERROR(__xludf.DUMMYFUNCTION("""COMPUTED_VALUE"""),"")</f>
        <v/>
      </c>
      <c r="C9260" s="12"/>
      <c r="D9260" s="12"/>
      <c r="E9260" s="11"/>
      <c r="F9260" s="12"/>
    </row>
    <row r="9261" ht="14.25" customHeight="1">
      <c r="B9261" s="4" t="str">
        <f>IFERROR(__xludf.DUMMYFUNCTION("""COMPUTED_VALUE"""),"")</f>
        <v/>
      </c>
      <c r="C9261" s="12"/>
      <c r="D9261" s="12"/>
      <c r="E9261" s="11"/>
      <c r="F9261" s="12"/>
    </row>
    <row r="9262" ht="14.25" customHeight="1">
      <c r="B9262" s="4" t="str">
        <f>IFERROR(__xludf.DUMMYFUNCTION("""COMPUTED_VALUE"""),"")</f>
        <v/>
      </c>
      <c r="C9262" s="12"/>
      <c r="D9262" s="12"/>
      <c r="E9262" s="11"/>
      <c r="F9262" s="12"/>
    </row>
    <row r="9263" ht="14.25" customHeight="1">
      <c r="B9263" s="4" t="str">
        <f>IFERROR(__xludf.DUMMYFUNCTION("""COMPUTED_VALUE"""),"")</f>
        <v/>
      </c>
      <c r="C9263" s="12"/>
      <c r="D9263" s="12"/>
      <c r="E9263" s="11"/>
      <c r="F9263" s="12"/>
    </row>
    <row r="9264" ht="14.25" customHeight="1">
      <c r="B9264" s="4" t="str">
        <f>IFERROR(__xludf.DUMMYFUNCTION("""COMPUTED_VALUE"""),"")</f>
        <v/>
      </c>
      <c r="C9264" s="12"/>
      <c r="D9264" s="12"/>
      <c r="E9264" s="11"/>
      <c r="F9264" s="12"/>
    </row>
    <row r="9265" ht="14.25" customHeight="1">
      <c r="B9265" s="4" t="str">
        <f>IFERROR(__xludf.DUMMYFUNCTION("""COMPUTED_VALUE"""),"")</f>
        <v/>
      </c>
      <c r="C9265" s="12"/>
      <c r="D9265" s="12"/>
      <c r="E9265" s="11"/>
      <c r="F9265" s="12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  <hyperlink r:id="rId301" ref="C303"/>
    <hyperlink r:id="rId302" ref="C304"/>
    <hyperlink r:id="rId303" ref="C305"/>
    <hyperlink r:id="rId304" ref="C306"/>
    <hyperlink r:id="rId305" ref="C307"/>
    <hyperlink r:id="rId306" ref="C308"/>
    <hyperlink r:id="rId307" ref="C309"/>
    <hyperlink r:id="rId308" ref="C310"/>
    <hyperlink r:id="rId309" ref="C311"/>
    <hyperlink r:id="rId310" ref="C312"/>
    <hyperlink r:id="rId311" ref="C313"/>
    <hyperlink r:id="rId312" ref="C314"/>
    <hyperlink r:id="rId313" ref="C315"/>
    <hyperlink r:id="rId314" ref="C316"/>
    <hyperlink r:id="rId315" ref="C317"/>
    <hyperlink r:id="rId316" ref="C318"/>
    <hyperlink r:id="rId317" ref="C319"/>
    <hyperlink r:id="rId318" ref="C320"/>
    <hyperlink r:id="rId319" ref="C321"/>
    <hyperlink r:id="rId320" ref="C322"/>
    <hyperlink r:id="rId321" ref="C323"/>
    <hyperlink r:id="rId322" ref="C324"/>
    <hyperlink r:id="rId323" ref="C325"/>
    <hyperlink r:id="rId324" ref="C326"/>
    <hyperlink r:id="rId325" ref="C327"/>
    <hyperlink r:id="rId326" ref="C328"/>
    <hyperlink r:id="rId327" ref="C329"/>
    <hyperlink r:id="rId328" ref="C330"/>
    <hyperlink r:id="rId329" ref="C331"/>
    <hyperlink r:id="rId330" ref="C332"/>
    <hyperlink r:id="rId331" ref="C333"/>
    <hyperlink r:id="rId332" ref="C334"/>
    <hyperlink r:id="rId333" ref="C335"/>
    <hyperlink r:id="rId334" ref="C336"/>
    <hyperlink r:id="rId335" ref="C337"/>
    <hyperlink r:id="rId336" ref="C338"/>
    <hyperlink r:id="rId337" ref="C339"/>
    <hyperlink r:id="rId338" ref="C340"/>
    <hyperlink r:id="rId339" ref="C341"/>
    <hyperlink r:id="rId340" ref="C342"/>
    <hyperlink r:id="rId341" ref="C343"/>
    <hyperlink r:id="rId342" ref="C344"/>
    <hyperlink r:id="rId343" ref="C345"/>
    <hyperlink r:id="rId344" ref="C346"/>
    <hyperlink r:id="rId345" ref="C347"/>
    <hyperlink r:id="rId346" ref="C348"/>
    <hyperlink r:id="rId347" ref="C349"/>
    <hyperlink r:id="rId348" ref="C350"/>
    <hyperlink r:id="rId349" ref="C351"/>
    <hyperlink r:id="rId350" ref="C352"/>
    <hyperlink r:id="rId351" ref="C353"/>
    <hyperlink r:id="rId352" ref="C354"/>
    <hyperlink r:id="rId353" ref="C355"/>
    <hyperlink r:id="rId354" ref="C356"/>
    <hyperlink r:id="rId355" ref="C357"/>
    <hyperlink r:id="rId356" ref="C358"/>
    <hyperlink r:id="rId357" ref="C359"/>
    <hyperlink r:id="rId358" ref="C360"/>
    <hyperlink r:id="rId359" ref="C361"/>
    <hyperlink r:id="rId360" ref="C362"/>
    <hyperlink r:id="rId361" ref="C363"/>
    <hyperlink r:id="rId362" ref="C364"/>
    <hyperlink r:id="rId363" ref="C365"/>
    <hyperlink r:id="rId364" ref="C366"/>
    <hyperlink r:id="rId365" ref="C367"/>
    <hyperlink r:id="rId366" ref="C368"/>
    <hyperlink r:id="rId367" ref="C369"/>
    <hyperlink r:id="rId368" ref="C370"/>
    <hyperlink r:id="rId369" ref="C371"/>
    <hyperlink r:id="rId370" ref="C372"/>
    <hyperlink r:id="rId371" ref="C373"/>
    <hyperlink r:id="rId372" ref="C374"/>
    <hyperlink r:id="rId373" ref="C375"/>
    <hyperlink r:id="rId374" ref="C376"/>
    <hyperlink r:id="rId375" ref="C377"/>
    <hyperlink r:id="rId376" ref="C378"/>
    <hyperlink r:id="rId377" ref="C379"/>
    <hyperlink r:id="rId378" ref="C380"/>
    <hyperlink r:id="rId379" ref="C381"/>
    <hyperlink r:id="rId380" ref="C382"/>
    <hyperlink r:id="rId381" ref="C383"/>
    <hyperlink r:id="rId382" ref="C384"/>
    <hyperlink r:id="rId383" ref="C385"/>
    <hyperlink r:id="rId384" ref="C386"/>
    <hyperlink r:id="rId385" ref="C387"/>
    <hyperlink r:id="rId386" ref="C388"/>
    <hyperlink r:id="rId387" ref="C389"/>
    <hyperlink r:id="rId388" ref="C390"/>
    <hyperlink r:id="rId389" ref="C391"/>
    <hyperlink r:id="rId390" ref="C392"/>
    <hyperlink r:id="rId391" ref="C393"/>
    <hyperlink r:id="rId392" ref="C394"/>
    <hyperlink r:id="rId393" ref="C395"/>
    <hyperlink r:id="rId394" ref="C396"/>
    <hyperlink r:id="rId395" ref="C397"/>
    <hyperlink r:id="rId396" ref="C398"/>
    <hyperlink r:id="rId397" ref="C399"/>
    <hyperlink r:id="rId398" ref="C400"/>
    <hyperlink r:id="rId399" ref="C401"/>
    <hyperlink r:id="rId400" ref="C402"/>
    <hyperlink r:id="rId401" ref="C403"/>
    <hyperlink r:id="rId402" ref="C404"/>
    <hyperlink r:id="rId403" ref="C405"/>
    <hyperlink r:id="rId404" ref="C406"/>
    <hyperlink r:id="rId405" ref="C407"/>
    <hyperlink r:id="rId406" ref="C408"/>
    <hyperlink r:id="rId407" ref="C409"/>
    <hyperlink r:id="rId408" ref="C410"/>
    <hyperlink r:id="rId409" ref="C411"/>
    <hyperlink r:id="rId410" ref="C412"/>
    <hyperlink r:id="rId411" ref="C413"/>
    <hyperlink r:id="rId412" ref="C414"/>
    <hyperlink r:id="rId413" ref="C415"/>
    <hyperlink r:id="rId414" ref="C416"/>
    <hyperlink r:id="rId415" ref="C417"/>
    <hyperlink r:id="rId416" ref="C418"/>
    <hyperlink r:id="rId417" ref="C419"/>
    <hyperlink r:id="rId418" ref="C420"/>
    <hyperlink r:id="rId419" ref="C421"/>
    <hyperlink r:id="rId420" ref="C422"/>
    <hyperlink r:id="rId421" ref="C423"/>
    <hyperlink r:id="rId422" ref="C424"/>
    <hyperlink r:id="rId423" ref="C425"/>
    <hyperlink r:id="rId424" ref="C426"/>
    <hyperlink r:id="rId425" ref="C427"/>
    <hyperlink r:id="rId426" ref="C428"/>
    <hyperlink r:id="rId427" ref="C429"/>
    <hyperlink r:id="rId428" ref="C430"/>
    <hyperlink r:id="rId429" ref="C431"/>
    <hyperlink r:id="rId430" ref="C432"/>
    <hyperlink r:id="rId431" ref="C433"/>
    <hyperlink r:id="rId432" ref="C434"/>
    <hyperlink r:id="rId433" ref="C435"/>
    <hyperlink r:id="rId434" ref="C436"/>
    <hyperlink r:id="rId435" ref="C437"/>
    <hyperlink r:id="rId436" ref="C438"/>
    <hyperlink r:id="rId437" ref="C439"/>
    <hyperlink r:id="rId438" ref="C440"/>
    <hyperlink r:id="rId439" ref="C441"/>
    <hyperlink r:id="rId440" ref="C442"/>
    <hyperlink r:id="rId441" ref="C443"/>
    <hyperlink r:id="rId442" ref="C444"/>
    <hyperlink r:id="rId443" ref="C445"/>
    <hyperlink r:id="rId444" ref="C446"/>
    <hyperlink r:id="rId445" ref="C447"/>
    <hyperlink r:id="rId446" ref="C448"/>
    <hyperlink r:id="rId447" ref="C449"/>
    <hyperlink r:id="rId448" ref="C450"/>
    <hyperlink r:id="rId449" ref="C451"/>
    <hyperlink r:id="rId450" ref="C452"/>
    <hyperlink r:id="rId451" ref="C453"/>
    <hyperlink r:id="rId452" ref="C454"/>
    <hyperlink r:id="rId453" ref="C455"/>
    <hyperlink r:id="rId454" ref="C456"/>
    <hyperlink r:id="rId455" ref="C457"/>
    <hyperlink r:id="rId456" ref="C458"/>
    <hyperlink r:id="rId457" ref="C459"/>
    <hyperlink r:id="rId458" ref="C460"/>
    <hyperlink r:id="rId459" ref="C461"/>
    <hyperlink r:id="rId460" ref="C462"/>
    <hyperlink r:id="rId461" ref="C463"/>
    <hyperlink r:id="rId462" ref="C464"/>
    <hyperlink r:id="rId463" ref="C465"/>
    <hyperlink r:id="rId464" ref="C466"/>
    <hyperlink r:id="rId465" ref="C467"/>
    <hyperlink r:id="rId466" ref="C468"/>
    <hyperlink r:id="rId467" ref="C469"/>
    <hyperlink r:id="rId468" ref="C470"/>
    <hyperlink r:id="rId469" ref="C471"/>
    <hyperlink r:id="rId470" ref="C472"/>
    <hyperlink r:id="rId471" ref="C473"/>
    <hyperlink r:id="rId472" ref="C474"/>
    <hyperlink r:id="rId473" ref="C475"/>
    <hyperlink r:id="rId474" ref="C476"/>
    <hyperlink r:id="rId475" ref="C477"/>
    <hyperlink r:id="rId476" ref="C478"/>
    <hyperlink r:id="rId477" ref="C479"/>
    <hyperlink r:id="rId478" ref="C480"/>
    <hyperlink r:id="rId479" ref="C481"/>
    <hyperlink r:id="rId480" ref="C482"/>
    <hyperlink r:id="rId481" ref="C483"/>
    <hyperlink r:id="rId482" ref="C484"/>
    <hyperlink r:id="rId483" ref="C485"/>
    <hyperlink r:id="rId484" ref="C486"/>
    <hyperlink r:id="rId485" ref="C487"/>
    <hyperlink r:id="rId486" ref="C488"/>
    <hyperlink r:id="rId487" ref="C489"/>
    <hyperlink r:id="rId488" ref="C490"/>
    <hyperlink r:id="rId489" ref="C491"/>
    <hyperlink r:id="rId490" ref="C492"/>
    <hyperlink r:id="rId491" ref="C493"/>
    <hyperlink r:id="rId492" ref="C494"/>
    <hyperlink r:id="rId493" ref="C495"/>
    <hyperlink r:id="rId494" ref="C496"/>
    <hyperlink r:id="rId495" ref="C497"/>
    <hyperlink r:id="rId496" ref="C498"/>
    <hyperlink r:id="rId497" ref="C499"/>
    <hyperlink r:id="rId498" ref="C500"/>
    <hyperlink r:id="rId499" ref="C501"/>
    <hyperlink r:id="rId500" ref="C502"/>
    <hyperlink r:id="rId501" ref="C503"/>
    <hyperlink r:id="rId502" ref="C504"/>
    <hyperlink r:id="rId503" ref="C505"/>
    <hyperlink r:id="rId504" ref="C506"/>
    <hyperlink r:id="rId505" ref="C507"/>
    <hyperlink r:id="rId506" ref="C508"/>
    <hyperlink r:id="rId507" ref="C509"/>
    <hyperlink r:id="rId508" ref="C510"/>
    <hyperlink r:id="rId509" ref="C511"/>
    <hyperlink r:id="rId510" ref="C512"/>
    <hyperlink r:id="rId511" ref="C513"/>
    <hyperlink r:id="rId512" ref="C514"/>
    <hyperlink r:id="rId513" ref="C515"/>
    <hyperlink r:id="rId514" ref="C516"/>
    <hyperlink r:id="rId515" ref="C517"/>
    <hyperlink r:id="rId516" ref="C518"/>
    <hyperlink r:id="rId517" ref="C519"/>
    <hyperlink r:id="rId518" ref="C520"/>
    <hyperlink r:id="rId519" ref="C521"/>
    <hyperlink r:id="rId520" ref="C522"/>
    <hyperlink r:id="rId521" ref="C523"/>
    <hyperlink r:id="rId522" ref="C524"/>
    <hyperlink r:id="rId523" ref="C525"/>
    <hyperlink r:id="rId524" ref="C526"/>
    <hyperlink r:id="rId525" ref="C527"/>
    <hyperlink r:id="rId526" ref="C528"/>
    <hyperlink r:id="rId527" ref="C529"/>
    <hyperlink r:id="rId528" ref="C530"/>
    <hyperlink r:id="rId529" ref="C531"/>
    <hyperlink r:id="rId530" ref="C532"/>
    <hyperlink r:id="rId531" ref="C533"/>
    <hyperlink r:id="rId532" ref="C534"/>
    <hyperlink r:id="rId533" ref="C535"/>
    <hyperlink r:id="rId534" ref="C536"/>
    <hyperlink r:id="rId535" ref="C537"/>
    <hyperlink r:id="rId536" ref="C538"/>
    <hyperlink r:id="rId537" ref="C539"/>
    <hyperlink r:id="rId538" ref="C540"/>
    <hyperlink r:id="rId539" ref="C541"/>
    <hyperlink r:id="rId540" ref="C542"/>
    <hyperlink r:id="rId541" ref="C543"/>
    <hyperlink r:id="rId542" ref="C544"/>
    <hyperlink r:id="rId543" ref="C545"/>
    <hyperlink r:id="rId544" ref="C546"/>
    <hyperlink r:id="rId545" ref="C547"/>
    <hyperlink r:id="rId546" ref="C548"/>
    <hyperlink r:id="rId547" ref="C549"/>
    <hyperlink r:id="rId548" ref="C550"/>
    <hyperlink r:id="rId549" ref="C551"/>
    <hyperlink r:id="rId550" ref="C552"/>
    <hyperlink r:id="rId551" ref="C553"/>
    <hyperlink r:id="rId552" ref="C554"/>
    <hyperlink r:id="rId553" ref="C555"/>
    <hyperlink r:id="rId554" ref="C556"/>
    <hyperlink r:id="rId555" ref="C557"/>
    <hyperlink r:id="rId556" ref="C558"/>
    <hyperlink r:id="rId557" ref="C559"/>
    <hyperlink r:id="rId558" ref="C560"/>
    <hyperlink r:id="rId559" ref="C561"/>
    <hyperlink r:id="rId560" ref="C562"/>
    <hyperlink r:id="rId561" ref="C563"/>
    <hyperlink r:id="rId562" ref="C564"/>
    <hyperlink r:id="rId563" ref="C565"/>
    <hyperlink r:id="rId564" ref="C566"/>
    <hyperlink r:id="rId565" ref="C567"/>
    <hyperlink r:id="rId566" ref="C568"/>
    <hyperlink r:id="rId567" ref="C569"/>
    <hyperlink r:id="rId568" ref="C570"/>
    <hyperlink r:id="rId569" ref="C571"/>
    <hyperlink r:id="rId570" ref="C572"/>
    <hyperlink r:id="rId571" ref="C573"/>
    <hyperlink r:id="rId572" ref="C574"/>
    <hyperlink r:id="rId573" ref="C575"/>
    <hyperlink r:id="rId574" ref="C576"/>
    <hyperlink r:id="rId575" ref="C577"/>
    <hyperlink r:id="rId576" ref="C578"/>
    <hyperlink r:id="rId577" ref="C579"/>
    <hyperlink r:id="rId578" ref="C580"/>
    <hyperlink r:id="rId579" ref="C581"/>
    <hyperlink r:id="rId580" ref="C582"/>
    <hyperlink r:id="rId581" ref="C583"/>
    <hyperlink r:id="rId582" ref="C584"/>
    <hyperlink r:id="rId583" ref="C585"/>
    <hyperlink r:id="rId584" ref="C586"/>
    <hyperlink r:id="rId585" ref="C587"/>
    <hyperlink r:id="rId586" ref="C588"/>
    <hyperlink r:id="rId587" ref="C589"/>
    <hyperlink r:id="rId588" ref="C590"/>
    <hyperlink r:id="rId589" ref="C591"/>
    <hyperlink r:id="rId590" ref="C592"/>
    <hyperlink r:id="rId591" ref="C593"/>
    <hyperlink r:id="rId592" ref="C594"/>
    <hyperlink r:id="rId593" ref="C595"/>
    <hyperlink r:id="rId594" ref="C596"/>
    <hyperlink r:id="rId595" ref="C597"/>
    <hyperlink r:id="rId596" ref="C598"/>
    <hyperlink r:id="rId597" ref="C599"/>
    <hyperlink r:id="rId598" ref="C600"/>
    <hyperlink r:id="rId599" ref="C601"/>
    <hyperlink r:id="rId600" ref="C602"/>
    <hyperlink r:id="rId601" ref="C603"/>
    <hyperlink r:id="rId602" ref="C604"/>
    <hyperlink r:id="rId603" ref="C605"/>
    <hyperlink r:id="rId604" ref="C606"/>
    <hyperlink r:id="rId605" ref="C607"/>
    <hyperlink r:id="rId606" ref="C608"/>
    <hyperlink r:id="rId607" ref="C609"/>
    <hyperlink r:id="rId608" ref="C610"/>
    <hyperlink r:id="rId609" ref="C611"/>
    <hyperlink r:id="rId610" ref="C612"/>
    <hyperlink r:id="rId611" ref="C613"/>
    <hyperlink r:id="rId612" ref="C614"/>
    <hyperlink r:id="rId613" ref="C615"/>
    <hyperlink r:id="rId614" ref="C616"/>
    <hyperlink r:id="rId615" ref="C617"/>
    <hyperlink r:id="rId616" ref="C618"/>
    <hyperlink r:id="rId617" ref="C619"/>
    <hyperlink r:id="rId618" ref="C620"/>
    <hyperlink r:id="rId619" ref="C621"/>
    <hyperlink r:id="rId620" ref="C622"/>
    <hyperlink r:id="rId621" ref="C623"/>
    <hyperlink r:id="rId622" ref="C624"/>
    <hyperlink r:id="rId623" ref="C625"/>
    <hyperlink r:id="rId624" ref="C626"/>
    <hyperlink r:id="rId625" ref="C627"/>
    <hyperlink r:id="rId626" ref="C628"/>
    <hyperlink r:id="rId627" ref="C629"/>
    <hyperlink r:id="rId628" ref="C630"/>
    <hyperlink r:id="rId629" ref="C631"/>
    <hyperlink r:id="rId630" ref="C632"/>
    <hyperlink r:id="rId631" ref="C633"/>
    <hyperlink r:id="rId632" ref="C634"/>
    <hyperlink r:id="rId633" ref="C635"/>
    <hyperlink r:id="rId634" ref="C636"/>
    <hyperlink r:id="rId635" ref="C637"/>
    <hyperlink r:id="rId636" ref="C638"/>
    <hyperlink r:id="rId637" ref="C639"/>
    <hyperlink r:id="rId638" ref="C640"/>
    <hyperlink r:id="rId639" ref="C641"/>
    <hyperlink r:id="rId640" ref="C642"/>
    <hyperlink r:id="rId641" ref="C643"/>
    <hyperlink r:id="rId642" ref="C644"/>
    <hyperlink r:id="rId643" ref="C645"/>
    <hyperlink r:id="rId644" ref="C646"/>
    <hyperlink r:id="rId645" ref="C647"/>
    <hyperlink r:id="rId646" ref="C648"/>
    <hyperlink r:id="rId647" ref="C649"/>
    <hyperlink r:id="rId648" ref="C650"/>
    <hyperlink r:id="rId649" ref="C651"/>
    <hyperlink r:id="rId650" ref="C652"/>
    <hyperlink r:id="rId651" ref="C653"/>
    <hyperlink r:id="rId652" ref="C654"/>
    <hyperlink r:id="rId653" ref="C655"/>
    <hyperlink r:id="rId654" ref="C656"/>
    <hyperlink r:id="rId655" ref="C657"/>
    <hyperlink r:id="rId656" ref="C658"/>
    <hyperlink r:id="rId657" ref="C659"/>
    <hyperlink r:id="rId658" ref="C660"/>
    <hyperlink r:id="rId659" ref="C661"/>
    <hyperlink r:id="rId660" ref="C662"/>
    <hyperlink r:id="rId661" ref="C663"/>
    <hyperlink r:id="rId662" ref="C664"/>
    <hyperlink r:id="rId663" ref="C665"/>
    <hyperlink r:id="rId664" ref="C666"/>
    <hyperlink r:id="rId665" ref="C667"/>
    <hyperlink r:id="rId666" ref="C668"/>
    <hyperlink r:id="rId667" ref="C669"/>
    <hyperlink r:id="rId668" ref="C670"/>
    <hyperlink r:id="rId669" ref="C671"/>
    <hyperlink r:id="rId670" ref="C672"/>
    <hyperlink r:id="rId671" ref="C673"/>
    <hyperlink r:id="rId672" ref="C674"/>
    <hyperlink r:id="rId673" ref="C675"/>
    <hyperlink r:id="rId674" ref="C676"/>
    <hyperlink r:id="rId675" ref="C677"/>
    <hyperlink r:id="rId676" ref="C678"/>
    <hyperlink r:id="rId677" ref="C679"/>
    <hyperlink r:id="rId678" ref="C680"/>
    <hyperlink r:id="rId679" ref="C681"/>
    <hyperlink r:id="rId680" ref="C682"/>
    <hyperlink r:id="rId681" ref="C683"/>
    <hyperlink r:id="rId682" ref="C684"/>
    <hyperlink r:id="rId683" ref="C685"/>
    <hyperlink r:id="rId684" ref="C686"/>
    <hyperlink r:id="rId685" ref="C687"/>
    <hyperlink r:id="rId686" ref="C688"/>
    <hyperlink r:id="rId687" ref="C689"/>
    <hyperlink r:id="rId688" ref="C690"/>
    <hyperlink r:id="rId689" ref="C691"/>
    <hyperlink r:id="rId690" ref="C692"/>
    <hyperlink r:id="rId691" ref="C693"/>
    <hyperlink r:id="rId692" ref="C694"/>
    <hyperlink r:id="rId693" ref="C695"/>
    <hyperlink r:id="rId694" ref="C696"/>
    <hyperlink r:id="rId695" ref="C697"/>
    <hyperlink r:id="rId696" ref="C698"/>
    <hyperlink r:id="rId697" ref="C699"/>
    <hyperlink r:id="rId698" ref="C700"/>
    <hyperlink r:id="rId699" ref="C701"/>
    <hyperlink r:id="rId700" ref="C702"/>
    <hyperlink r:id="rId701" ref="C703"/>
    <hyperlink r:id="rId702" ref="C704"/>
    <hyperlink r:id="rId703" ref="C705"/>
    <hyperlink r:id="rId704" ref="C706"/>
    <hyperlink r:id="rId705" ref="C707"/>
    <hyperlink r:id="rId706" ref="C708"/>
    <hyperlink r:id="rId707" ref="C709"/>
    <hyperlink r:id="rId708" ref="C710"/>
    <hyperlink r:id="rId709" ref="C711"/>
    <hyperlink r:id="rId710" ref="C712"/>
    <hyperlink r:id="rId711" ref="C713"/>
    <hyperlink r:id="rId712" ref="C714"/>
    <hyperlink r:id="rId713" ref="C715"/>
    <hyperlink r:id="rId714" ref="C716"/>
    <hyperlink r:id="rId715" ref="C717"/>
    <hyperlink r:id="rId716" ref="C718"/>
    <hyperlink r:id="rId717" ref="C719"/>
    <hyperlink r:id="rId718" ref="C720"/>
    <hyperlink r:id="rId719" ref="C721"/>
    <hyperlink r:id="rId720" ref="C722"/>
    <hyperlink r:id="rId721" ref="C723"/>
    <hyperlink r:id="rId722" ref="C724"/>
    <hyperlink r:id="rId723" ref="C725"/>
    <hyperlink r:id="rId724" ref="C726"/>
    <hyperlink r:id="rId725" ref="C727"/>
    <hyperlink r:id="rId726" ref="C728"/>
    <hyperlink r:id="rId727" ref="C729"/>
    <hyperlink r:id="rId728" ref="C730"/>
    <hyperlink r:id="rId729" ref="C731"/>
    <hyperlink r:id="rId730" ref="C732"/>
    <hyperlink r:id="rId731" ref="C733"/>
    <hyperlink r:id="rId732" ref="C734"/>
    <hyperlink r:id="rId733" ref="C735"/>
    <hyperlink r:id="rId734" ref="C736"/>
    <hyperlink r:id="rId735" ref="C737"/>
    <hyperlink r:id="rId736" ref="C738"/>
    <hyperlink r:id="rId737" ref="C739"/>
    <hyperlink r:id="rId738" ref="C740"/>
    <hyperlink r:id="rId739" ref="C741"/>
    <hyperlink r:id="rId740" ref="C742"/>
    <hyperlink r:id="rId741" ref="C743"/>
    <hyperlink r:id="rId742" ref="C744"/>
    <hyperlink r:id="rId743" ref="C745"/>
    <hyperlink r:id="rId744" ref="C746"/>
    <hyperlink r:id="rId745" ref="C747"/>
    <hyperlink r:id="rId746" ref="C748"/>
    <hyperlink r:id="rId747" ref="C749"/>
    <hyperlink r:id="rId748" ref="C750"/>
    <hyperlink r:id="rId749" ref="C751"/>
    <hyperlink r:id="rId750" ref="C752"/>
    <hyperlink r:id="rId751" ref="C753"/>
    <hyperlink r:id="rId752" ref="C754"/>
    <hyperlink r:id="rId753" ref="C755"/>
    <hyperlink r:id="rId754" ref="C756"/>
    <hyperlink r:id="rId755" ref="C757"/>
    <hyperlink r:id="rId756" ref="C758"/>
    <hyperlink r:id="rId757" ref="C759"/>
    <hyperlink r:id="rId758" ref="C760"/>
    <hyperlink r:id="rId759" ref="C761"/>
    <hyperlink r:id="rId760" ref="C762"/>
    <hyperlink r:id="rId761" ref="C763"/>
    <hyperlink r:id="rId762" ref="C764"/>
    <hyperlink r:id="rId763" ref="C765"/>
    <hyperlink r:id="rId764" ref="C766"/>
    <hyperlink r:id="rId765" ref="C767"/>
    <hyperlink r:id="rId766" ref="C768"/>
    <hyperlink r:id="rId767" ref="C769"/>
    <hyperlink r:id="rId768" ref="C770"/>
    <hyperlink r:id="rId769" ref="C771"/>
    <hyperlink r:id="rId770" ref="C772"/>
    <hyperlink r:id="rId771" ref="C773"/>
    <hyperlink r:id="rId772" ref="C774"/>
    <hyperlink r:id="rId773" ref="C775"/>
    <hyperlink r:id="rId774" ref="C776"/>
    <hyperlink r:id="rId775" ref="C777"/>
    <hyperlink r:id="rId776" ref="C778"/>
    <hyperlink r:id="rId777" ref="C779"/>
    <hyperlink r:id="rId778" ref="C780"/>
    <hyperlink r:id="rId779" ref="C781"/>
    <hyperlink r:id="rId780" ref="C782"/>
    <hyperlink r:id="rId781" ref="C783"/>
    <hyperlink r:id="rId782" ref="C784"/>
    <hyperlink r:id="rId783" ref="C785"/>
    <hyperlink r:id="rId784" ref="C786"/>
    <hyperlink r:id="rId785" ref="C787"/>
    <hyperlink r:id="rId786" ref="C788"/>
    <hyperlink r:id="rId787" ref="C789"/>
    <hyperlink r:id="rId788" ref="C790"/>
    <hyperlink r:id="rId789" ref="C791"/>
    <hyperlink r:id="rId790" ref="C792"/>
    <hyperlink r:id="rId791" ref="C793"/>
    <hyperlink r:id="rId792" ref="C794"/>
    <hyperlink r:id="rId793" ref="C795"/>
    <hyperlink r:id="rId794" ref="C796"/>
    <hyperlink r:id="rId795" ref="C797"/>
    <hyperlink r:id="rId796" ref="C798"/>
    <hyperlink r:id="rId797" ref="C799"/>
    <hyperlink r:id="rId798" ref="C800"/>
    <hyperlink r:id="rId799" ref="C801"/>
    <hyperlink r:id="rId800" ref="C802"/>
    <hyperlink r:id="rId801" ref="C803"/>
    <hyperlink r:id="rId802" ref="C804"/>
    <hyperlink r:id="rId803" ref="C805"/>
    <hyperlink r:id="rId804" ref="C806"/>
    <hyperlink r:id="rId805" ref="C807"/>
    <hyperlink r:id="rId806" ref="C808"/>
    <hyperlink r:id="rId807" ref="C809"/>
    <hyperlink r:id="rId808" ref="C810"/>
    <hyperlink r:id="rId809" ref="C811"/>
    <hyperlink r:id="rId810" ref="C812"/>
    <hyperlink r:id="rId811" ref="C813"/>
    <hyperlink r:id="rId812" ref="C814"/>
    <hyperlink r:id="rId813" ref="C815"/>
    <hyperlink r:id="rId814" ref="C816"/>
    <hyperlink r:id="rId815" ref="C817"/>
    <hyperlink r:id="rId816" ref="C818"/>
    <hyperlink r:id="rId817" ref="C819"/>
    <hyperlink r:id="rId818" ref="C820"/>
    <hyperlink r:id="rId819" ref="C821"/>
    <hyperlink r:id="rId820" ref="C822"/>
    <hyperlink r:id="rId821" ref="C823"/>
    <hyperlink r:id="rId822" ref="C824"/>
    <hyperlink r:id="rId823" ref="C825"/>
    <hyperlink r:id="rId824" ref="C826"/>
    <hyperlink r:id="rId825" ref="C827"/>
    <hyperlink r:id="rId826" ref="C828"/>
    <hyperlink r:id="rId827" ref="C829"/>
    <hyperlink r:id="rId828" ref="C830"/>
    <hyperlink r:id="rId829" ref="C831"/>
    <hyperlink r:id="rId830" ref="C832"/>
    <hyperlink r:id="rId831" ref="C833"/>
    <hyperlink r:id="rId832" ref="C834"/>
    <hyperlink r:id="rId833" ref="C835"/>
    <hyperlink r:id="rId834" ref="C836"/>
    <hyperlink r:id="rId835" ref="C837"/>
    <hyperlink r:id="rId836" ref="C838"/>
    <hyperlink r:id="rId837" ref="C839"/>
    <hyperlink r:id="rId838" ref="C840"/>
    <hyperlink r:id="rId839" ref="C841"/>
    <hyperlink r:id="rId840" ref="C842"/>
    <hyperlink r:id="rId841" ref="C843"/>
    <hyperlink r:id="rId842" ref="C844"/>
    <hyperlink r:id="rId843" ref="C845"/>
    <hyperlink r:id="rId844" ref="C846"/>
    <hyperlink r:id="rId845" ref="C847"/>
    <hyperlink r:id="rId846" ref="C848"/>
    <hyperlink r:id="rId847" ref="C849"/>
    <hyperlink r:id="rId848" ref="C850"/>
    <hyperlink r:id="rId849" ref="C851"/>
    <hyperlink r:id="rId850" ref="C852"/>
    <hyperlink r:id="rId851" ref="C853"/>
    <hyperlink r:id="rId852" ref="C854"/>
    <hyperlink r:id="rId853" ref="C855"/>
    <hyperlink r:id="rId854" ref="C856"/>
    <hyperlink r:id="rId855" ref="C857"/>
    <hyperlink r:id="rId856" ref="C858"/>
    <hyperlink r:id="rId857" ref="C859"/>
    <hyperlink r:id="rId858" ref="C860"/>
    <hyperlink r:id="rId859" ref="C861"/>
    <hyperlink r:id="rId860" ref="C862"/>
    <hyperlink r:id="rId861" ref="C863"/>
    <hyperlink r:id="rId862" ref="C864"/>
    <hyperlink r:id="rId863" ref="C865"/>
    <hyperlink r:id="rId864" ref="C866"/>
    <hyperlink r:id="rId865" ref="C867"/>
    <hyperlink r:id="rId866" ref="C868"/>
    <hyperlink r:id="rId867" ref="C869"/>
    <hyperlink r:id="rId868" ref="C870"/>
    <hyperlink r:id="rId869" ref="C871"/>
    <hyperlink r:id="rId870" ref="C872"/>
    <hyperlink r:id="rId871" ref="C873"/>
    <hyperlink r:id="rId872" ref="C874"/>
    <hyperlink r:id="rId873" ref="C875"/>
    <hyperlink r:id="rId874" ref="C876"/>
    <hyperlink r:id="rId875" ref="C877"/>
    <hyperlink r:id="rId876" ref="C878"/>
    <hyperlink r:id="rId877" ref="C879"/>
    <hyperlink r:id="rId878" ref="C880"/>
    <hyperlink r:id="rId879" ref="C881"/>
    <hyperlink r:id="rId880" ref="C882"/>
    <hyperlink r:id="rId881" ref="C883"/>
    <hyperlink r:id="rId882" ref="C884"/>
    <hyperlink r:id="rId883" ref="C885"/>
    <hyperlink r:id="rId884" ref="C886"/>
    <hyperlink r:id="rId885" ref="C887"/>
    <hyperlink r:id="rId886" ref="C888"/>
    <hyperlink r:id="rId887" ref="C889"/>
    <hyperlink r:id="rId888" ref="C890"/>
    <hyperlink r:id="rId889" ref="C891"/>
    <hyperlink r:id="rId890" ref="C892"/>
    <hyperlink r:id="rId891" ref="C893"/>
    <hyperlink r:id="rId892" ref="C894"/>
    <hyperlink r:id="rId893" ref="C895"/>
    <hyperlink r:id="rId894" ref="C896"/>
    <hyperlink r:id="rId895" ref="C897"/>
    <hyperlink r:id="rId896" ref="C898"/>
    <hyperlink r:id="rId897" ref="C899"/>
    <hyperlink r:id="rId898" ref="C900"/>
    <hyperlink r:id="rId899" ref="C901"/>
    <hyperlink r:id="rId900" ref="C902"/>
    <hyperlink r:id="rId901" ref="C903"/>
    <hyperlink r:id="rId902" ref="C904"/>
    <hyperlink r:id="rId903" ref="C905"/>
    <hyperlink r:id="rId904" ref="C906"/>
    <hyperlink r:id="rId905" ref="C907"/>
    <hyperlink r:id="rId906" ref="C908"/>
    <hyperlink r:id="rId907" ref="C909"/>
    <hyperlink r:id="rId908" ref="C910"/>
    <hyperlink r:id="rId909" ref="C911"/>
    <hyperlink r:id="rId910" ref="C912"/>
    <hyperlink r:id="rId911" ref="C913"/>
    <hyperlink r:id="rId912" ref="C914"/>
    <hyperlink r:id="rId913" ref="C915"/>
    <hyperlink r:id="rId914" ref="C916"/>
    <hyperlink r:id="rId915" ref="C917"/>
    <hyperlink r:id="rId916" ref="C918"/>
    <hyperlink r:id="rId917" ref="C919"/>
    <hyperlink r:id="rId918" ref="C920"/>
    <hyperlink r:id="rId919" ref="C921"/>
    <hyperlink r:id="rId920" ref="C922"/>
    <hyperlink r:id="rId921" ref="C923"/>
    <hyperlink r:id="rId922" ref="C924"/>
    <hyperlink r:id="rId923" ref="C925"/>
    <hyperlink r:id="rId924" ref="C926"/>
    <hyperlink r:id="rId925" ref="C927"/>
    <hyperlink r:id="rId926" ref="C928"/>
    <hyperlink r:id="rId927" ref="C929"/>
    <hyperlink r:id="rId928" ref="C930"/>
    <hyperlink r:id="rId929" ref="C931"/>
    <hyperlink r:id="rId930" ref="C932"/>
    <hyperlink r:id="rId931" ref="C933"/>
    <hyperlink r:id="rId932" ref="C934"/>
    <hyperlink r:id="rId933" ref="C935"/>
    <hyperlink r:id="rId934" ref="C936"/>
    <hyperlink r:id="rId935" ref="C937"/>
    <hyperlink r:id="rId936" ref="C938"/>
    <hyperlink r:id="rId937" ref="C939"/>
    <hyperlink r:id="rId938" ref="C940"/>
    <hyperlink r:id="rId939" ref="C941"/>
    <hyperlink r:id="rId940" ref="C942"/>
    <hyperlink r:id="rId941" ref="C943"/>
    <hyperlink r:id="rId942" ref="C944"/>
    <hyperlink r:id="rId943" ref="C945"/>
    <hyperlink r:id="rId944" ref="C946"/>
    <hyperlink r:id="rId945" ref="C947"/>
    <hyperlink r:id="rId946" ref="C948"/>
    <hyperlink r:id="rId947" ref="C949"/>
    <hyperlink r:id="rId948" ref="C950"/>
    <hyperlink r:id="rId949" ref="C951"/>
    <hyperlink r:id="rId950" ref="C952"/>
    <hyperlink r:id="rId951" ref="C953"/>
    <hyperlink r:id="rId952" ref="C954"/>
    <hyperlink r:id="rId953" ref="C955"/>
    <hyperlink r:id="rId954" ref="C956"/>
    <hyperlink r:id="rId955" ref="C957"/>
    <hyperlink r:id="rId956" ref="C958"/>
    <hyperlink r:id="rId957" ref="C959"/>
    <hyperlink r:id="rId958" ref="C960"/>
    <hyperlink r:id="rId959" ref="C961"/>
    <hyperlink r:id="rId960" ref="C962"/>
    <hyperlink r:id="rId961" ref="C963"/>
    <hyperlink r:id="rId962" ref="C964"/>
    <hyperlink r:id="rId963" ref="C965"/>
    <hyperlink r:id="rId964" ref="C966"/>
    <hyperlink r:id="rId965" ref="C967"/>
    <hyperlink r:id="rId966" ref="C968"/>
    <hyperlink r:id="rId967" ref="C969"/>
    <hyperlink r:id="rId968" ref="C970"/>
    <hyperlink r:id="rId969" ref="C971"/>
    <hyperlink r:id="rId970" ref="C972"/>
    <hyperlink r:id="rId971" ref="C973"/>
    <hyperlink r:id="rId972" ref="C974"/>
    <hyperlink r:id="rId973" ref="C975"/>
    <hyperlink r:id="rId974" ref="C976"/>
    <hyperlink r:id="rId975" ref="C977"/>
    <hyperlink r:id="rId976" ref="C978"/>
    <hyperlink r:id="rId977" ref="C979"/>
    <hyperlink r:id="rId978" ref="C980"/>
    <hyperlink r:id="rId979" ref="C981"/>
    <hyperlink r:id="rId980" ref="C982"/>
    <hyperlink r:id="rId981" ref="C983"/>
    <hyperlink r:id="rId982" ref="C984"/>
    <hyperlink r:id="rId983" ref="C985"/>
    <hyperlink r:id="rId984" ref="C986"/>
    <hyperlink r:id="rId985" ref="C987"/>
    <hyperlink r:id="rId986" ref="C988"/>
    <hyperlink r:id="rId987" ref="C989"/>
    <hyperlink r:id="rId988" ref="C990"/>
    <hyperlink r:id="rId989" ref="C991"/>
    <hyperlink r:id="rId990" ref="C992"/>
    <hyperlink r:id="rId991" ref="C993"/>
    <hyperlink r:id="rId992" ref="C994"/>
    <hyperlink r:id="rId993" ref="C995"/>
    <hyperlink r:id="rId994" ref="C996"/>
    <hyperlink r:id="rId995" ref="C997"/>
    <hyperlink r:id="rId996" ref="C998"/>
    <hyperlink r:id="rId997" ref="C999"/>
    <hyperlink r:id="rId998" ref="C1000"/>
    <hyperlink r:id="rId999" ref="C1001"/>
    <hyperlink r:id="rId1000" ref="C1002"/>
    <hyperlink r:id="rId1001" ref="C1003"/>
    <hyperlink r:id="rId1002" ref="C1004"/>
    <hyperlink r:id="rId1003" ref="C1005"/>
    <hyperlink r:id="rId1004" ref="C1006"/>
    <hyperlink r:id="rId1005" ref="C1007"/>
    <hyperlink r:id="rId1006" ref="C1008"/>
    <hyperlink r:id="rId1007" ref="C1009"/>
    <hyperlink r:id="rId1008" ref="C1010"/>
    <hyperlink r:id="rId1009" ref="C1011"/>
    <hyperlink r:id="rId1010" ref="C1012"/>
    <hyperlink r:id="rId1011" ref="C1013"/>
    <hyperlink r:id="rId1012" ref="C1014"/>
    <hyperlink r:id="rId1013" ref="C1015"/>
    <hyperlink r:id="rId1014" ref="C1016"/>
    <hyperlink r:id="rId1015" ref="C1017"/>
    <hyperlink r:id="rId1016" ref="C1018"/>
    <hyperlink r:id="rId1017" ref="C1019"/>
    <hyperlink r:id="rId1018" ref="C1020"/>
    <hyperlink r:id="rId1019" ref="C1021"/>
    <hyperlink r:id="rId1020" ref="C1022"/>
    <hyperlink r:id="rId1021" ref="C1023"/>
    <hyperlink r:id="rId1022" ref="C1024"/>
    <hyperlink r:id="rId1023" ref="C1025"/>
    <hyperlink r:id="rId1024" ref="C1026"/>
    <hyperlink r:id="rId1025" ref="C1027"/>
    <hyperlink r:id="rId1026" ref="C1028"/>
    <hyperlink r:id="rId1027" ref="C1029"/>
    <hyperlink r:id="rId1028" ref="C1030"/>
    <hyperlink r:id="rId1029" ref="C1031"/>
    <hyperlink r:id="rId1030" ref="C1032"/>
    <hyperlink r:id="rId1031" ref="C1033"/>
    <hyperlink r:id="rId1032" ref="C1034"/>
    <hyperlink r:id="rId1033" ref="C1035"/>
    <hyperlink r:id="rId1034" ref="C1036"/>
    <hyperlink r:id="rId1035" ref="C1037"/>
    <hyperlink r:id="rId1036" ref="C1038"/>
    <hyperlink r:id="rId1037" ref="C1039"/>
    <hyperlink r:id="rId1038" ref="C1040"/>
    <hyperlink r:id="rId1039" ref="C1041"/>
    <hyperlink r:id="rId1040" ref="C1042"/>
    <hyperlink r:id="rId1041" ref="C1043"/>
    <hyperlink r:id="rId1042" ref="C1044"/>
    <hyperlink r:id="rId1043" ref="C1045"/>
    <hyperlink r:id="rId1044" ref="C1046"/>
    <hyperlink r:id="rId1045" ref="C1047"/>
    <hyperlink r:id="rId1046" ref="C1048"/>
    <hyperlink r:id="rId1047" ref="C1049"/>
    <hyperlink r:id="rId1048" ref="C1050"/>
    <hyperlink r:id="rId1049" ref="C1051"/>
    <hyperlink r:id="rId1050" ref="C1052"/>
    <hyperlink r:id="rId1051" ref="C1053"/>
    <hyperlink r:id="rId1052" ref="C1054"/>
    <hyperlink r:id="rId1053" ref="C1055"/>
    <hyperlink r:id="rId1054" ref="C1056"/>
    <hyperlink r:id="rId1055" ref="C1057"/>
    <hyperlink r:id="rId1056" ref="C1058"/>
    <hyperlink r:id="rId1057" ref="C1059"/>
    <hyperlink r:id="rId1058" ref="C1060"/>
    <hyperlink r:id="rId1059" ref="C1061"/>
    <hyperlink r:id="rId1060" ref="C1062"/>
    <hyperlink r:id="rId1061" ref="C1063"/>
    <hyperlink r:id="rId1062" ref="C1064"/>
    <hyperlink r:id="rId1063" ref="C1065"/>
    <hyperlink r:id="rId1064" ref="C1066"/>
    <hyperlink r:id="rId1065" ref="C1067"/>
    <hyperlink r:id="rId1066" ref="C1068"/>
    <hyperlink r:id="rId1067" ref="C1069"/>
    <hyperlink r:id="rId1068" ref="C1070"/>
    <hyperlink r:id="rId1069" ref="C1071"/>
    <hyperlink r:id="rId1070" ref="C1072"/>
    <hyperlink r:id="rId1071" ref="C1073"/>
    <hyperlink r:id="rId1072" ref="C1074"/>
    <hyperlink r:id="rId1073" ref="C1075"/>
    <hyperlink r:id="rId1074" ref="C1076"/>
    <hyperlink r:id="rId1075" ref="C1077"/>
    <hyperlink r:id="rId1076" ref="C1078"/>
    <hyperlink r:id="rId1077" ref="C1079"/>
    <hyperlink r:id="rId1078" ref="C1080"/>
    <hyperlink r:id="rId1079" ref="C1081"/>
    <hyperlink r:id="rId1080" ref="C1082"/>
    <hyperlink r:id="rId1081" ref="C1083"/>
    <hyperlink r:id="rId1082" ref="C1084"/>
    <hyperlink r:id="rId1083" ref="C1085"/>
    <hyperlink r:id="rId1084" ref="C1086"/>
    <hyperlink r:id="rId1085" ref="C1087"/>
    <hyperlink r:id="rId1086" ref="C1088"/>
    <hyperlink r:id="rId1087" ref="C1089"/>
    <hyperlink r:id="rId1088" ref="C1090"/>
    <hyperlink r:id="rId1089" ref="C1091"/>
    <hyperlink r:id="rId1090" ref="C1092"/>
    <hyperlink r:id="rId1091" ref="C1093"/>
    <hyperlink r:id="rId1092" ref="C1094"/>
    <hyperlink r:id="rId1093" ref="C1095"/>
    <hyperlink r:id="rId1094" ref="C1096"/>
    <hyperlink r:id="rId1095" ref="C1097"/>
    <hyperlink r:id="rId1096" ref="C1098"/>
    <hyperlink r:id="rId1097" ref="C1099"/>
    <hyperlink r:id="rId1098" ref="C1100"/>
    <hyperlink r:id="rId1099" ref="C1101"/>
    <hyperlink r:id="rId1100" ref="C1102"/>
    <hyperlink r:id="rId1101" ref="C1103"/>
    <hyperlink r:id="rId1102" ref="C1104"/>
    <hyperlink r:id="rId1103" ref="C1105"/>
    <hyperlink r:id="rId1104" ref="C1106"/>
    <hyperlink r:id="rId1105" ref="C1107"/>
    <hyperlink r:id="rId1106" ref="C1108"/>
    <hyperlink r:id="rId1107" ref="C1109"/>
    <hyperlink r:id="rId1108" ref="C1110"/>
    <hyperlink r:id="rId1109" ref="C1111"/>
    <hyperlink r:id="rId1110" ref="C1112"/>
    <hyperlink r:id="rId1111" ref="C1113"/>
    <hyperlink r:id="rId1112" ref="C1114"/>
    <hyperlink r:id="rId1113" ref="C1115"/>
    <hyperlink r:id="rId1114" ref="C1116"/>
    <hyperlink r:id="rId1115" ref="C1117"/>
    <hyperlink r:id="rId1116" ref="C1118"/>
    <hyperlink r:id="rId1117" ref="C1119"/>
    <hyperlink r:id="rId1118" ref="C1120"/>
    <hyperlink r:id="rId1119" ref="C1121"/>
    <hyperlink r:id="rId1120" ref="C1122"/>
    <hyperlink r:id="rId1121" ref="C1123"/>
    <hyperlink r:id="rId1122" ref="C1124"/>
    <hyperlink r:id="rId1123" ref="C1125"/>
    <hyperlink r:id="rId1124" ref="C1126"/>
    <hyperlink r:id="rId1125" ref="C1127"/>
    <hyperlink r:id="rId1126" ref="C1128"/>
    <hyperlink r:id="rId1127" ref="C1129"/>
    <hyperlink r:id="rId1128" ref="C1130"/>
    <hyperlink r:id="rId1129" ref="C1131"/>
    <hyperlink r:id="rId1130" ref="C1132"/>
    <hyperlink r:id="rId1131" ref="C1133"/>
    <hyperlink r:id="rId1132" ref="C1134"/>
    <hyperlink r:id="rId1133" ref="C1135"/>
    <hyperlink r:id="rId1134" ref="C1136"/>
    <hyperlink r:id="rId1135" ref="C1137"/>
    <hyperlink r:id="rId1136" ref="C1138"/>
    <hyperlink r:id="rId1137" ref="C1139"/>
    <hyperlink r:id="rId1138" ref="C1140"/>
    <hyperlink r:id="rId1139" ref="C1141"/>
    <hyperlink r:id="rId1140" ref="C1142"/>
    <hyperlink r:id="rId1141" ref="C1143"/>
    <hyperlink r:id="rId1142" ref="C1144"/>
    <hyperlink r:id="rId1143" ref="C1145"/>
    <hyperlink r:id="rId1144" ref="C1146"/>
    <hyperlink r:id="rId1145" ref="C1147"/>
    <hyperlink r:id="rId1146" ref="C1148"/>
    <hyperlink r:id="rId1147" ref="C1149"/>
    <hyperlink r:id="rId1148" ref="C1150"/>
    <hyperlink r:id="rId1149" ref="C1151"/>
    <hyperlink r:id="rId1150" ref="C1152"/>
    <hyperlink r:id="rId1151" ref="C1153"/>
    <hyperlink r:id="rId1152" ref="C1154"/>
    <hyperlink r:id="rId1153" ref="C1155"/>
    <hyperlink r:id="rId1154" ref="C1156"/>
    <hyperlink r:id="rId1155" ref="C1157"/>
    <hyperlink r:id="rId1156" ref="C1158"/>
    <hyperlink r:id="rId1157" ref="C1159"/>
    <hyperlink r:id="rId1158" ref="C1160"/>
    <hyperlink r:id="rId1159" ref="C1161"/>
    <hyperlink r:id="rId1160" ref="C1162"/>
    <hyperlink r:id="rId1161" ref="C1163"/>
    <hyperlink r:id="rId1162" ref="C1164"/>
    <hyperlink r:id="rId1163" ref="C1165"/>
    <hyperlink r:id="rId1164" ref="C1166"/>
    <hyperlink r:id="rId1165" ref="C1167"/>
    <hyperlink r:id="rId1166" ref="C1168"/>
    <hyperlink r:id="rId1167" ref="C1169"/>
    <hyperlink r:id="rId1168" ref="C1170"/>
    <hyperlink r:id="rId1169" ref="C1171"/>
    <hyperlink r:id="rId1170" ref="C1172"/>
    <hyperlink r:id="rId1171" ref="C1173"/>
    <hyperlink r:id="rId1172" ref="C1174"/>
    <hyperlink r:id="rId1173" ref="C1175"/>
    <hyperlink r:id="rId1174" ref="C1176"/>
    <hyperlink r:id="rId1175" ref="C1177"/>
    <hyperlink r:id="rId1176" ref="C1178"/>
    <hyperlink r:id="rId1177" ref="C1179"/>
    <hyperlink r:id="rId1178" ref="C1180"/>
    <hyperlink r:id="rId1179" ref="C1181"/>
    <hyperlink r:id="rId1180" ref="C1182"/>
    <hyperlink r:id="rId1181" ref="C1183"/>
    <hyperlink r:id="rId1182" ref="C1184"/>
    <hyperlink r:id="rId1183" ref="C1185"/>
    <hyperlink r:id="rId1184" ref="C1186"/>
    <hyperlink r:id="rId1185" ref="C1187"/>
    <hyperlink r:id="rId1186" ref="C1188"/>
    <hyperlink r:id="rId1187" ref="C1189"/>
    <hyperlink r:id="rId1188" ref="C1190"/>
    <hyperlink r:id="rId1189" ref="C1191"/>
    <hyperlink r:id="rId1190" ref="C1192"/>
    <hyperlink r:id="rId1191" ref="C1193"/>
    <hyperlink r:id="rId1192" ref="C1194"/>
    <hyperlink r:id="rId1193" ref="C1195"/>
    <hyperlink r:id="rId1194" ref="C1196"/>
    <hyperlink r:id="rId1195" ref="C1197"/>
    <hyperlink r:id="rId1196" ref="C1198"/>
    <hyperlink r:id="rId1197" ref="C1199"/>
    <hyperlink r:id="rId1198" ref="C1200"/>
    <hyperlink r:id="rId1199" ref="C1201"/>
    <hyperlink r:id="rId1200" ref="C1202"/>
    <hyperlink r:id="rId1201" ref="C1203"/>
    <hyperlink r:id="rId1202" ref="C1204"/>
    <hyperlink r:id="rId1203" ref="C1205"/>
    <hyperlink r:id="rId1204" ref="C1206"/>
    <hyperlink r:id="rId1205" ref="C1207"/>
    <hyperlink r:id="rId1206" ref="C1208"/>
    <hyperlink r:id="rId1207" ref="C1209"/>
    <hyperlink r:id="rId1208" ref="C1210"/>
    <hyperlink r:id="rId1209" ref="C1211"/>
    <hyperlink r:id="rId1210" ref="C1212"/>
    <hyperlink r:id="rId1211" ref="C1213"/>
    <hyperlink r:id="rId1212" ref="C1214"/>
    <hyperlink r:id="rId1213" ref="C1215"/>
    <hyperlink r:id="rId1214" ref="C1216"/>
    <hyperlink r:id="rId1215" ref="C1217"/>
    <hyperlink r:id="rId1216" ref="C1218"/>
    <hyperlink r:id="rId1217" ref="C1219"/>
    <hyperlink r:id="rId1218" ref="C1220"/>
    <hyperlink r:id="rId1219" ref="C1221"/>
    <hyperlink r:id="rId1220" ref="C1222"/>
    <hyperlink r:id="rId1221" ref="C1223"/>
    <hyperlink r:id="rId1222" ref="C1224"/>
    <hyperlink r:id="rId1223" ref="C1225"/>
    <hyperlink r:id="rId1224" ref="C1226"/>
    <hyperlink r:id="rId1225" ref="C1227"/>
    <hyperlink r:id="rId1226" ref="C1228"/>
    <hyperlink r:id="rId1227" ref="C1229"/>
    <hyperlink r:id="rId1228" ref="C1230"/>
    <hyperlink r:id="rId1229" ref="C1231"/>
    <hyperlink r:id="rId1230" ref="C1232"/>
    <hyperlink r:id="rId1231" ref="C1233"/>
    <hyperlink r:id="rId1232" ref="C1234"/>
    <hyperlink r:id="rId1233" ref="C1235"/>
    <hyperlink r:id="rId1234" ref="C1236"/>
    <hyperlink r:id="rId1235" ref="C1237"/>
    <hyperlink r:id="rId1236" ref="C1238"/>
    <hyperlink r:id="rId1237" ref="C1239"/>
    <hyperlink r:id="rId1238" ref="C1240"/>
    <hyperlink r:id="rId1239" ref="C1241"/>
    <hyperlink r:id="rId1240" ref="C1242"/>
    <hyperlink r:id="rId1241" ref="C1243"/>
    <hyperlink r:id="rId1242" ref="C1244"/>
    <hyperlink r:id="rId1243" ref="C1245"/>
    <hyperlink r:id="rId1244" ref="C1246"/>
    <hyperlink r:id="rId1245" ref="C1247"/>
    <hyperlink r:id="rId1246" ref="C1248"/>
    <hyperlink r:id="rId1247" ref="C1249"/>
    <hyperlink r:id="rId1248" ref="C1250"/>
    <hyperlink r:id="rId1249" ref="C1251"/>
    <hyperlink r:id="rId1250" ref="C1252"/>
    <hyperlink r:id="rId1251" ref="C1253"/>
    <hyperlink r:id="rId1252" ref="C1254"/>
    <hyperlink r:id="rId1253" ref="C1255"/>
    <hyperlink r:id="rId1254" ref="C1256"/>
    <hyperlink r:id="rId1255" ref="C1257"/>
    <hyperlink r:id="rId1256" ref="C1258"/>
    <hyperlink r:id="rId1257" ref="C1259"/>
    <hyperlink r:id="rId1258" ref="C1260"/>
    <hyperlink r:id="rId1259" ref="C1261"/>
    <hyperlink r:id="rId1260" ref="C1262"/>
    <hyperlink r:id="rId1261" ref="C1263"/>
    <hyperlink r:id="rId1262" ref="C1264"/>
    <hyperlink r:id="rId1263" ref="C1265"/>
    <hyperlink r:id="rId1264" ref="C1266"/>
    <hyperlink r:id="rId1265" ref="C1267"/>
    <hyperlink r:id="rId1266" ref="C1268"/>
    <hyperlink r:id="rId1267" ref="C1269"/>
    <hyperlink r:id="rId1268" ref="C1270"/>
    <hyperlink r:id="rId1269" ref="C1271"/>
    <hyperlink r:id="rId1270" ref="C1272"/>
    <hyperlink r:id="rId1271" ref="C1273"/>
    <hyperlink r:id="rId1272" ref="C1274"/>
    <hyperlink r:id="rId1273" ref="C1275"/>
    <hyperlink r:id="rId1274" ref="C1276"/>
    <hyperlink r:id="rId1275" ref="C1277"/>
    <hyperlink r:id="rId1276" ref="C1278"/>
    <hyperlink r:id="rId1277" ref="C1279"/>
    <hyperlink r:id="rId1278" ref="C1280"/>
    <hyperlink r:id="rId1279" ref="C1281"/>
    <hyperlink r:id="rId1280" ref="C1282"/>
    <hyperlink r:id="rId1281" ref="C1283"/>
    <hyperlink r:id="rId1282" ref="C1284"/>
    <hyperlink r:id="rId1283" ref="C1285"/>
    <hyperlink r:id="rId1284" ref="C1286"/>
    <hyperlink r:id="rId1285" ref="C1287"/>
    <hyperlink r:id="rId1286" ref="C1288"/>
    <hyperlink r:id="rId1287" ref="C1289"/>
    <hyperlink r:id="rId1288" ref="C1290"/>
    <hyperlink r:id="rId1289" ref="C1291"/>
    <hyperlink r:id="rId1290" ref="C1292"/>
    <hyperlink r:id="rId1291" ref="C1293"/>
    <hyperlink r:id="rId1292" ref="C1294"/>
    <hyperlink r:id="rId1293" ref="C1295"/>
    <hyperlink r:id="rId1294" ref="C1296"/>
    <hyperlink r:id="rId1295" ref="C1297"/>
    <hyperlink r:id="rId1296" ref="C1298"/>
    <hyperlink r:id="rId1297" ref="C1299"/>
    <hyperlink r:id="rId1298" ref="C1300"/>
    <hyperlink r:id="rId1299" ref="C1301"/>
    <hyperlink r:id="rId1300" ref="C1302"/>
    <hyperlink r:id="rId1301" ref="C1303"/>
    <hyperlink r:id="rId1302" ref="C1304"/>
    <hyperlink r:id="rId1303" ref="C1305"/>
    <hyperlink r:id="rId1304" ref="C1306"/>
    <hyperlink r:id="rId1305" ref="C1307"/>
    <hyperlink r:id="rId1306" ref="C1308"/>
    <hyperlink r:id="rId1307" ref="C1309"/>
    <hyperlink r:id="rId1308" ref="C1310"/>
    <hyperlink r:id="rId1309" ref="C1311"/>
    <hyperlink r:id="rId1310" ref="C1312"/>
    <hyperlink r:id="rId1311" ref="C1313"/>
    <hyperlink r:id="rId1312" ref="C1314"/>
    <hyperlink r:id="rId1313" ref="C1315"/>
    <hyperlink r:id="rId1314" ref="C1316"/>
    <hyperlink r:id="rId1315" ref="C1317"/>
    <hyperlink r:id="rId1316" ref="C1318"/>
    <hyperlink r:id="rId1317" ref="C1319"/>
    <hyperlink r:id="rId1318" ref="C1320"/>
    <hyperlink r:id="rId1319" ref="C1321"/>
    <hyperlink r:id="rId1320" ref="C1322"/>
    <hyperlink r:id="rId1321" ref="C1323"/>
    <hyperlink r:id="rId1322" ref="C1324"/>
    <hyperlink r:id="rId1323" ref="C1325"/>
    <hyperlink r:id="rId1324" ref="C1326"/>
    <hyperlink r:id="rId1325" ref="C1327"/>
    <hyperlink r:id="rId1326" ref="C1328"/>
    <hyperlink r:id="rId1327" ref="C1329"/>
    <hyperlink r:id="rId1328" ref="C1330"/>
    <hyperlink r:id="rId1329" ref="C1331"/>
    <hyperlink r:id="rId1330" ref="C1332"/>
    <hyperlink r:id="rId1331" ref="C1333"/>
    <hyperlink r:id="rId1332" ref="C1334"/>
    <hyperlink r:id="rId1333" ref="C1335"/>
    <hyperlink r:id="rId1334" ref="C1336"/>
    <hyperlink r:id="rId1335" ref="C1337"/>
    <hyperlink r:id="rId1336" ref="C1338"/>
    <hyperlink r:id="rId1337" ref="C1339"/>
    <hyperlink r:id="rId1338" ref="C1340"/>
    <hyperlink r:id="rId1339" ref="C1341"/>
    <hyperlink r:id="rId1340" ref="C1342"/>
    <hyperlink r:id="rId1341" ref="C1343"/>
    <hyperlink r:id="rId1342" ref="C1344"/>
    <hyperlink r:id="rId1343" ref="C1345"/>
    <hyperlink r:id="rId1344" ref="C1346"/>
    <hyperlink r:id="rId1345" ref="C1347"/>
    <hyperlink r:id="rId1346" ref="C1348"/>
    <hyperlink r:id="rId1347" ref="C1349"/>
    <hyperlink r:id="rId1348" ref="C1350"/>
    <hyperlink r:id="rId1349" ref="C1351"/>
    <hyperlink r:id="rId1350" ref="C1352"/>
    <hyperlink r:id="rId1351" ref="C1353"/>
    <hyperlink r:id="rId1352" ref="C1354"/>
    <hyperlink r:id="rId1353" ref="C1355"/>
    <hyperlink r:id="rId1354" ref="C1356"/>
    <hyperlink r:id="rId1355" ref="C1357"/>
    <hyperlink r:id="rId1356" ref="C1358"/>
    <hyperlink r:id="rId1357" ref="C1359"/>
    <hyperlink r:id="rId1358" ref="C1360"/>
    <hyperlink r:id="rId1359" ref="C1361"/>
    <hyperlink r:id="rId1360" ref="C1362"/>
    <hyperlink r:id="rId1361" ref="C1363"/>
    <hyperlink r:id="rId1362" ref="C1364"/>
    <hyperlink r:id="rId1363" ref="C1365"/>
    <hyperlink r:id="rId1364" ref="C1366"/>
    <hyperlink r:id="rId1365" ref="C1367"/>
    <hyperlink r:id="rId1366" ref="C1368"/>
    <hyperlink r:id="rId1367" ref="C1369"/>
    <hyperlink r:id="rId1368" ref="C1370"/>
    <hyperlink r:id="rId1369" ref="C1371"/>
    <hyperlink r:id="rId1370" ref="C1372"/>
    <hyperlink r:id="rId1371" ref="C1373"/>
    <hyperlink r:id="rId1372" ref="C1374"/>
    <hyperlink r:id="rId1373" ref="C1375"/>
    <hyperlink r:id="rId1374" ref="C1376"/>
    <hyperlink r:id="rId1375" ref="C1377"/>
    <hyperlink r:id="rId1376" ref="C1378"/>
    <hyperlink r:id="rId1377" ref="C1379"/>
    <hyperlink r:id="rId1378" ref="C1380"/>
    <hyperlink r:id="rId1379" ref="C1381"/>
    <hyperlink r:id="rId1380" ref="C1382"/>
    <hyperlink r:id="rId1381" ref="C1383"/>
    <hyperlink r:id="rId1382" ref="C1384"/>
    <hyperlink r:id="rId1383" ref="C1385"/>
    <hyperlink r:id="rId1384" ref="C1386"/>
    <hyperlink r:id="rId1385" ref="C1387"/>
    <hyperlink r:id="rId1386" ref="C1388"/>
    <hyperlink r:id="rId1387" ref="C1389"/>
    <hyperlink r:id="rId1388" ref="C1390"/>
    <hyperlink r:id="rId1389" ref="C1391"/>
    <hyperlink r:id="rId1390" ref="C1392"/>
    <hyperlink r:id="rId1391" ref="C1393"/>
    <hyperlink r:id="rId1392" ref="C1394"/>
    <hyperlink r:id="rId1393" ref="C1395"/>
    <hyperlink r:id="rId1394" ref="C1396"/>
    <hyperlink r:id="rId1395" ref="C1397"/>
    <hyperlink r:id="rId1396" ref="C1398"/>
    <hyperlink r:id="rId1397" ref="C1399"/>
    <hyperlink r:id="rId1398" ref="C1400"/>
    <hyperlink r:id="rId1399" ref="C1401"/>
    <hyperlink r:id="rId1400" ref="C1402"/>
    <hyperlink r:id="rId1401" ref="C1403"/>
    <hyperlink r:id="rId1402" ref="C1404"/>
    <hyperlink r:id="rId1403" ref="C1405"/>
    <hyperlink r:id="rId1404" ref="C1406"/>
    <hyperlink r:id="rId1405" ref="C1407"/>
    <hyperlink r:id="rId1406" ref="C1408"/>
    <hyperlink r:id="rId1407" ref="C1409"/>
    <hyperlink r:id="rId1408" ref="C1410"/>
    <hyperlink r:id="rId1409" ref="C1411"/>
    <hyperlink r:id="rId1410" ref="C1412"/>
    <hyperlink r:id="rId1411" ref="C1413"/>
    <hyperlink r:id="rId1412" ref="C1414"/>
    <hyperlink r:id="rId1413" ref="C1415"/>
    <hyperlink r:id="rId1414" ref="C1416"/>
    <hyperlink r:id="rId1415" ref="C1417"/>
    <hyperlink r:id="rId1416" ref="C1418"/>
    <hyperlink r:id="rId1417" ref="C1419"/>
    <hyperlink r:id="rId1418" ref="C1420"/>
    <hyperlink r:id="rId1419" ref="C1421"/>
    <hyperlink r:id="rId1420" ref="C1422"/>
    <hyperlink r:id="rId1421" ref="C1423"/>
    <hyperlink r:id="rId1422" ref="C1424"/>
    <hyperlink r:id="rId1423" ref="C1425"/>
    <hyperlink r:id="rId1424" ref="C1426"/>
    <hyperlink r:id="rId1425" ref="C1427"/>
    <hyperlink r:id="rId1426" ref="C1428"/>
    <hyperlink r:id="rId1427" ref="C1429"/>
    <hyperlink r:id="rId1428" ref="C1430"/>
    <hyperlink r:id="rId1429" ref="C1431"/>
    <hyperlink r:id="rId1430" ref="C1432"/>
    <hyperlink r:id="rId1431" ref="C1433"/>
    <hyperlink r:id="rId1432" ref="C1434"/>
    <hyperlink r:id="rId1433" ref="C1435"/>
    <hyperlink r:id="rId1434" ref="C1436"/>
    <hyperlink r:id="rId1435" ref="C1437"/>
    <hyperlink r:id="rId1436" ref="C1438"/>
    <hyperlink r:id="rId1437" ref="C1439"/>
    <hyperlink r:id="rId1438" ref="C1440"/>
    <hyperlink r:id="rId1439" ref="C1441"/>
    <hyperlink r:id="rId1440" ref="C1442"/>
    <hyperlink r:id="rId1441" ref="C1443"/>
    <hyperlink r:id="rId1442" ref="C1444"/>
    <hyperlink r:id="rId1443" ref="C1445"/>
    <hyperlink r:id="rId1444" ref="C1446"/>
    <hyperlink r:id="rId1445" ref="C1447"/>
    <hyperlink r:id="rId1446" ref="C1448"/>
    <hyperlink r:id="rId1447" ref="C1449"/>
    <hyperlink r:id="rId1448" ref="C1450"/>
    <hyperlink r:id="rId1449" ref="C1451"/>
    <hyperlink r:id="rId1450" ref="C1452"/>
    <hyperlink r:id="rId1451" ref="C1453"/>
    <hyperlink r:id="rId1452" ref="C1454"/>
    <hyperlink r:id="rId1453" ref="C1455"/>
    <hyperlink r:id="rId1454" ref="C1456"/>
    <hyperlink r:id="rId1455" ref="C1457"/>
    <hyperlink r:id="rId1456" ref="C1458"/>
    <hyperlink r:id="rId1457" ref="C1459"/>
    <hyperlink r:id="rId1458" ref="C1460"/>
    <hyperlink r:id="rId1459" ref="C1461"/>
    <hyperlink r:id="rId1460" ref="C1462"/>
    <hyperlink r:id="rId1461" ref="C1463"/>
    <hyperlink r:id="rId1462" ref="C1464"/>
    <hyperlink r:id="rId1463" ref="C1465"/>
    <hyperlink r:id="rId1464" ref="C1466"/>
    <hyperlink r:id="rId1465" ref="C1467"/>
    <hyperlink r:id="rId1466" ref="C1468"/>
    <hyperlink r:id="rId1467" ref="C1469"/>
    <hyperlink r:id="rId1468" ref="C1470"/>
    <hyperlink r:id="rId1469" ref="C1471"/>
    <hyperlink r:id="rId1470" ref="C1472"/>
    <hyperlink r:id="rId1471" ref="C1473"/>
    <hyperlink r:id="rId1472" ref="C1474"/>
    <hyperlink r:id="rId1473" ref="C1475"/>
    <hyperlink r:id="rId1474" ref="C1476"/>
    <hyperlink r:id="rId1475" ref="C1477"/>
    <hyperlink r:id="rId1476" ref="C1478"/>
    <hyperlink r:id="rId1477" ref="C1479"/>
    <hyperlink r:id="rId1478" ref="C1480"/>
    <hyperlink r:id="rId1479" ref="C1481"/>
    <hyperlink r:id="rId1480" ref="C1482"/>
    <hyperlink r:id="rId1481" ref="C1483"/>
    <hyperlink r:id="rId1482" ref="C1484"/>
    <hyperlink r:id="rId1483" ref="C1485"/>
    <hyperlink r:id="rId1484" ref="C1486"/>
    <hyperlink r:id="rId1485" ref="C1487"/>
    <hyperlink r:id="rId1486" ref="C1488"/>
    <hyperlink r:id="rId1487" ref="C1489"/>
    <hyperlink r:id="rId1488" ref="C1490"/>
    <hyperlink r:id="rId1489" ref="C1491"/>
    <hyperlink r:id="rId1490" ref="C1492"/>
    <hyperlink r:id="rId1491" ref="C1493"/>
    <hyperlink r:id="rId1492" ref="C1494"/>
    <hyperlink r:id="rId1493" ref="C1495"/>
    <hyperlink r:id="rId1494" ref="C1496"/>
    <hyperlink r:id="rId1495" ref="C1497"/>
    <hyperlink r:id="rId1496" ref="C1498"/>
    <hyperlink r:id="rId1497" ref="C1499"/>
    <hyperlink r:id="rId1498" ref="C1500"/>
    <hyperlink r:id="rId1499" ref="C1501"/>
    <hyperlink r:id="rId1500" ref="C1502"/>
    <hyperlink r:id="rId1501" ref="C1503"/>
    <hyperlink r:id="rId1502" ref="C1504"/>
    <hyperlink r:id="rId1503" ref="C1505"/>
    <hyperlink r:id="rId1504" ref="C1506"/>
    <hyperlink r:id="rId1505" ref="C1507"/>
    <hyperlink r:id="rId1506" ref="C1508"/>
    <hyperlink r:id="rId1507" ref="C1509"/>
    <hyperlink r:id="rId1508" ref="C1510"/>
    <hyperlink r:id="rId1509" ref="C1511"/>
    <hyperlink r:id="rId1510" ref="C1512"/>
    <hyperlink r:id="rId1511" ref="C1513"/>
    <hyperlink r:id="rId1512" ref="C1514"/>
    <hyperlink r:id="rId1513" ref="C1515"/>
    <hyperlink r:id="rId1514" ref="C1516"/>
    <hyperlink r:id="rId1515" ref="C1517"/>
    <hyperlink r:id="rId1516" ref="C1518"/>
    <hyperlink r:id="rId1517" ref="C1519"/>
    <hyperlink r:id="rId1518" ref="C1520"/>
    <hyperlink r:id="rId1519" ref="C1521"/>
    <hyperlink r:id="rId1520" ref="C1522"/>
    <hyperlink r:id="rId1521" ref="C1523"/>
    <hyperlink r:id="rId1522" ref="C1524"/>
    <hyperlink r:id="rId1523" ref="C1525"/>
    <hyperlink r:id="rId1524" ref="C1526"/>
    <hyperlink r:id="rId1525" ref="C1527"/>
    <hyperlink r:id="rId1526" ref="C1528"/>
    <hyperlink r:id="rId1527" ref="C1529"/>
    <hyperlink r:id="rId1528" ref="C1530"/>
    <hyperlink r:id="rId1529" ref="C1531"/>
    <hyperlink r:id="rId1530" ref="C1532"/>
    <hyperlink r:id="rId1531" ref="C1533"/>
    <hyperlink r:id="rId1532" ref="C1534"/>
    <hyperlink r:id="rId1533" ref="C1535"/>
    <hyperlink r:id="rId1534" ref="C1536"/>
    <hyperlink r:id="rId1535" ref="C1537"/>
    <hyperlink r:id="rId1536" ref="C1538"/>
    <hyperlink r:id="rId1537" ref="C1539"/>
    <hyperlink r:id="rId1538" ref="C1540"/>
    <hyperlink r:id="rId1539" ref="C1541"/>
    <hyperlink r:id="rId1540" ref="C1542"/>
    <hyperlink r:id="rId1541" ref="C1543"/>
    <hyperlink r:id="rId1542" ref="C1544"/>
    <hyperlink r:id="rId1543" ref="C1545"/>
    <hyperlink r:id="rId1544" ref="C1546"/>
    <hyperlink r:id="rId1545" ref="C1547"/>
    <hyperlink r:id="rId1546" ref="C1548"/>
    <hyperlink r:id="rId1547" ref="C1549"/>
    <hyperlink r:id="rId1548" ref="C1550"/>
    <hyperlink r:id="rId1549" ref="C1551"/>
    <hyperlink r:id="rId1550" ref="C1552"/>
    <hyperlink r:id="rId1551" ref="C1553"/>
    <hyperlink r:id="rId1552" ref="C1554"/>
    <hyperlink r:id="rId1553" ref="C1555"/>
    <hyperlink r:id="rId1554" ref="C1556"/>
    <hyperlink r:id="rId1555" ref="C1557"/>
    <hyperlink r:id="rId1556" ref="C1558"/>
    <hyperlink r:id="rId1557" ref="C1559"/>
    <hyperlink r:id="rId1558" ref="C1560"/>
    <hyperlink r:id="rId1559" ref="C1561"/>
    <hyperlink r:id="rId1560" ref="C1562"/>
    <hyperlink r:id="rId1561" ref="C1563"/>
    <hyperlink r:id="rId1562" ref="C1564"/>
    <hyperlink r:id="rId1563" ref="C1565"/>
    <hyperlink r:id="rId1564" ref="C1566"/>
    <hyperlink r:id="rId1565" ref="C1567"/>
    <hyperlink r:id="rId1566" ref="C1568"/>
    <hyperlink r:id="rId1567" ref="C1569"/>
    <hyperlink r:id="rId1568" ref="C1570"/>
    <hyperlink r:id="rId1569" ref="C1571"/>
    <hyperlink r:id="rId1570" ref="C1572"/>
    <hyperlink r:id="rId1571" ref="C1573"/>
    <hyperlink r:id="rId1572" ref="C1574"/>
    <hyperlink r:id="rId1573" ref="C1575"/>
    <hyperlink r:id="rId1574" ref="C1576"/>
    <hyperlink r:id="rId1575" ref="C1577"/>
    <hyperlink r:id="rId1576" ref="C1578"/>
    <hyperlink r:id="rId1577" ref="C1579"/>
    <hyperlink r:id="rId1578" ref="C1580"/>
    <hyperlink r:id="rId1579" ref="C1581"/>
    <hyperlink r:id="rId1580" ref="C1582"/>
    <hyperlink r:id="rId1581" ref="C1583"/>
    <hyperlink r:id="rId1582" ref="C1584"/>
    <hyperlink r:id="rId1583" ref="C1585"/>
    <hyperlink r:id="rId1584" ref="C1586"/>
    <hyperlink r:id="rId1585" ref="C1587"/>
    <hyperlink r:id="rId1586" ref="C1588"/>
    <hyperlink r:id="rId1587" ref="C1589"/>
    <hyperlink r:id="rId1588" ref="C1590"/>
    <hyperlink r:id="rId1589" ref="C1591"/>
    <hyperlink r:id="rId1590" ref="C1592"/>
    <hyperlink r:id="rId1591" ref="C1593"/>
    <hyperlink r:id="rId1592" ref="C1594"/>
    <hyperlink r:id="rId1593" ref="C1595"/>
    <hyperlink r:id="rId1594" ref="C1596"/>
    <hyperlink r:id="rId1595" ref="C1597"/>
    <hyperlink r:id="rId1596" ref="C1598"/>
    <hyperlink r:id="rId1597" ref="C1599"/>
    <hyperlink r:id="rId1598" ref="C1600"/>
    <hyperlink r:id="rId1599" ref="C1601"/>
    <hyperlink r:id="rId1600" ref="C1602"/>
    <hyperlink r:id="rId1601" ref="C1603"/>
    <hyperlink r:id="rId1602" ref="C1604"/>
    <hyperlink r:id="rId1603" ref="C1605"/>
    <hyperlink r:id="rId1604" ref="C1606"/>
    <hyperlink r:id="rId1605" ref="C1607"/>
    <hyperlink r:id="rId1606" ref="C1608"/>
    <hyperlink r:id="rId1607" ref="C1609"/>
    <hyperlink r:id="rId1608" ref="C1610"/>
    <hyperlink r:id="rId1609" ref="C1611"/>
    <hyperlink r:id="rId1610" ref="C1612"/>
    <hyperlink r:id="rId1611" ref="C1613"/>
    <hyperlink r:id="rId1612" ref="C1614"/>
    <hyperlink r:id="rId1613" ref="C1615"/>
    <hyperlink r:id="rId1614" ref="C1616"/>
    <hyperlink r:id="rId1615" ref="C1617"/>
    <hyperlink r:id="rId1616" ref="C1618"/>
    <hyperlink r:id="rId1617" ref="C1619"/>
    <hyperlink r:id="rId1618" ref="C1620"/>
    <hyperlink r:id="rId1619" ref="C1621"/>
    <hyperlink r:id="rId1620" ref="C1622"/>
    <hyperlink r:id="rId1621" ref="C1623"/>
    <hyperlink r:id="rId1622" ref="C1624"/>
    <hyperlink r:id="rId1623" ref="C1625"/>
    <hyperlink r:id="rId1624" ref="C1626"/>
    <hyperlink r:id="rId1625" ref="C1627"/>
    <hyperlink r:id="rId1626" ref="C1628"/>
    <hyperlink r:id="rId1627" ref="C1629"/>
    <hyperlink r:id="rId1628" ref="C1630"/>
    <hyperlink r:id="rId1629" ref="C1631"/>
    <hyperlink r:id="rId1630" ref="C1632"/>
    <hyperlink r:id="rId1631" ref="C1633"/>
    <hyperlink r:id="rId1632" ref="C1634"/>
    <hyperlink r:id="rId1633" ref="C1635"/>
    <hyperlink r:id="rId1634" ref="C1636"/>
    <hyperlink r:id="rId1635" ref="C1637"/>
    <hyperlink r:id="rId1636" ref="C1638"/>
    <hyperlink r:id="rId1637" ref="C1639"/>
    <hyperlink r:id="rId1638" ref="C1640"/>
    <hyperlink r:id="rId1639" ref="C1641"/>
    <hyperlink r:id="rId1640" ref="C1642"/>
    <hyperlink r:id="rId1641" ref="C1643"/>
    <hyperlink r:id="rId1642" ref="C1644"/>
    <hyperlink r:id="rId1643" ref="C1645"/>
    <hyperlink r:id="rId1644" ref="C1646"/>
    <hyperlink r:id="rId1645" ref="C1647"/>
    <hyperlink r:id="rId1646" ref="C1648"/>
    <hyperlink r:id="rId1647" ref="C1649"/>
    <hyperlink r:id="rId1648" ref="C1650"/>
    <hyperlink r:id="rId1649" ref="C1651"/>
    <hyperlink r:id="rId1650" ref="C1652"/>
    <hyperlink r:id="rId1651" ref="C1653"/>
    <hyperlink r:id="rId1652" ref="C1654"/>
    <hyperlink r:id="rId1653" ref="C1655"/>
    <hyperlink r:id="rId1654" ref="C1656"/>
    <hyperlink r:id="rId1655" ref="C1657"/>
    <hyperlink r:id="rId1656" ref="C1658"/>
    <hyperlink r:id="rId1657" ref="C1659"/>
    <hyperlink r:id="rId1658" ref="C1660"/>
    <hyperlink r:id="rId1659" ref="C1661"/>
    <hyperlink r:id="rId1660" ref="C1662"/>
    <hyperlink r:id="rId1661" ref="C1663"/>
    <hyperlink r:id="rId1662" ref="C1664"/>
    <hyperlink r:id="rId1663" ref="C1665"/>
    <hyperlink r:id="rId1664" ref="C1666"/>
    <hyperlink r:id="rId1665" ref="C1667"/>
    <hyperlink r:id="rId1666" ref="C1668"/>
    <hyperlink r:id="rId1667" ref="C1669"/>
    <hyperlink r:id="rId1668" ref="C1670"/>
    <hyperlink r:id="rId1669" ref="C1671"/>
    <hyperlink r:id="rId1670" ref="C1672"/>
    <hyperlink r:id="rId1671" ref="C1673"/>
    <hyperlink r:id="rId1672" ref="C1674"/>
    <hyperlink r:id="rId1673" ref="C1675"/>
    <hyperlink r:id="rId1674" ref="C1676"/>
    <hyperlink r:id="rId1675" ref="C1677"/>
    <hyperlink r:id="rId1676" ref="C1678"/>
    <hyperlink r:id="rId1677" ref="C1679"/>
    <hyperlink r:id="rId1678" ref="C1680"/>
    <hyperlink r:id="rId1679" ref="C1681"/>
    <hyperlink r:id="rId1680" ref="C1682"/>
    <hyperlink r:id="rId1681" ref="C1683"/>
    <hyperlink r:id="rId1682" ref="C1684"/>
    <hyperlink r:id="rId1683" ref="C1685"/>
    <hyperlink r:id="rId1684" ref="C1686"/>
    <hyperlink r:id="rId1685" ref="C1687"/>
    <hyperlink r:id="rId1686" ref="C1688"/>
    <hyperlink r:id="rId1687" ref="C1689"/>
    <hyperlink r:id="rId1688" ref="C1690"/>
    <hyperlink r:id="rId1689" ref="C1691"/>
    <hyperlink r:id="rId1690" ref="C1692"/>
    <hyperlink r:id="rId1691" ref="C1693"/>
    <hyperlink r:id="rId1692" ref="C1694"/>
    <hyperlink r:id="rId1693" ref="C1695"/>
    <hyperlink r:id="rId1694" ref="C1696"/>
    <hyperlink r:id="rId1695" ref="C1697"/>
    <hyperlink r:id="rId1696" ref="C1698"/>
    <hyperlink r:id="rId1697" ref="C1699"/>
    <hyperlink r:id="rId1698" ref="C1700"/>
    <hyperlink r:id="rId1699" ref="C1701"/>
    <hyperlink r:id="rId1700" ref="C1702"/>
    <hyperlink r:id="rId1701" ref="C1703"/>
    <hyperlink r:id="rId1702" ref="C1704"/>
    <hyperlink r:id="rId1703" ref="C1705"/>
    <hyperlink r:id="rId1704" ref="C1706"/>
    <hyperlink r:id="rId1705" ref="C1707"/>
    <hyperlink r:id="rId1706" ref="C1708"/>
    <hyperlink r:id="rId1707" ref="C1709"/>
    <hyperlink r:id="rId1708" ref="C1710"/>
    <hyperlink r:id="rId1709" ref="C1711"/>
    <hyperlink r:id="rId1710" ref="C1712"/>
    <hyperlink r:id="rId1711" ref="C1713"/>
    <hyperlink r:id="rId1712" ref="C1714"/>
    <hyperlink r:id="rId1713" ref="C1715"/>
    <hyperlink r:id="rId1714" ref="C1716"/>
    <hyperlink r:id="rId1715" ref="C1717"/>
    <hyperlink r:id="rId1716" ref="C1718"/>
    <hyperlink r:id="rId1717" ref="C1719"/>
    <hyperlink r:id="rId1718" ref="C1720"/>
    <hyperlink r:id="rId1719" ref="C1721"/>
    <hyperlink r:id="rId1720" ref="C1722"/>
    <hyperlink r:id="rId1721" ref="C1723"/>
    <hyperlink r:id="rId1722" ref="C1724"/>
    <hyperlink r:id="rId1723" ref="C1725"/>
    <hyperlink r:id="rId1724" ref="C1726"/>
    <hyperlink r:id="rId1725" ref="C1727"/>
    <hyperlink r:id="rId1726" ref="C1728"/>
    <hyperlink r:id="rId1727" ref="C1729"/>
    <hyperlink r:id="rId1728" ref="C1730"/>
    <hyperlink r:id="rId1729" ref="C1731"/>
    <hyperlink r:id="rId1730" ref="C1732"/>
    <hyperlink r:id="rId1731" ref="C1733"/>
    <hyperlink r:id="rId1732" ref="C1734"/>
    <hyperlink r:id="rId1733" ref="C1735"/>
    <hyperlink r:id="rId1734" ref="C1736"/>
    <hyperlink r:id="rId1735" ref="C1737"/>
    <hyperlink r:id="rId1736" ref="C1738"/>
    <hyperlink r:id="rId1737" ref="C1739"/>
    <hyperlink r:id="rId1738" ref="C1740"/>
    <hyperlink r:id="rId1739" ref="C1741"/>
    <hyperlink r:id="rId1740" ref="C1742"/>
    <hyperlink r:id="rId1741" ref="C1743"/>
    <hyperlink r:id="rId1742" ref="C1744"/>
    <hyperlink r:id="rId1743" ref="C1745"/>
    <hyperlink r:id="rId1744" ref="C1746"/>
    <hyperlink r:id="rId1745" ref="C1747"/>
    <hyperlink r:id="rId1746" ref="C1748"/>
    <hyperlink r:id="rId1747" ref="C1749"/>
    <hyperlink r:id="rId1748" ref="C1750"/>
    <hyperlink r:id="rId1749" ref="C1751"/>
    <hyperlink r:id="rId1750" ref="C1752"/>
    <hyperlink r:id="rId1751" ref="C1753"/>
    <hyperlink r:id="rId1752" ref="C1754"/>
    <hyperlink r:id="rId1753" ref="C1755"/>
    <hyperlink r:id="rId1754" ref="C1756"/>
    <hyperlink r:id="rId1755" ref="C1757"/>
    <hyperlink r:id="rId1756" ref="C1758"/>
    <hyperlink r:id="rId1757" ref="C1759"/>
    <hyperlink r:id="rId1758" ref="C1760"/>
    <hyperlink r:id="rId1759" ref="C1761"/>
    <hyperlink r:id="rId1760" ref="C1762"/>
    <hyperlink r:id="rId1761" ref="C1763"/>
    <hyperlink r:id="rId1762" ref="C1764"/>
    <hyperlink r:id="rId1763" ref="C1765"/>
    <hyperlink r:id="rId1764" ref="C1766"/>
    <hyperlink r:id="rId1765" ref="C1767"/>
    <hyperlink r:id="rId1766" ref="C1768"/>
    <hyperlink r:id="rId1767" ref="C1769"/>
    <hyperlink r:id="rId1768" ref="C1770"/>
    <hyperlink r:id="rId1769" ref="C1771"/>
    <hyperlink r:id="rId1770" ref="C1772"/>
    <hyperlink r:id="rId1771" ref="C1773"/>
    <hyperlink r:id="rId1772" ref="C1774"/>
    <hyperlink r:id="rId1773" ref="C1775"/>
    <hyperlink r:id="rId1774" ref="C1776"/>
    <hyperlink r:id="rId1775" ref="C1777"/>
    <hyperlink r:id="rId1776" ref="C1778"/>
    <hyperlink r:id="rId1777" ref="C1779"/>
    <hyperlink r:id="rId1778" ref="C1780"/>
    <hyperlink r:id="rId1779" ref="C1781"/>
    <hyperlink r:id="rId1780" ref="C1782"/>
    <hyperlink r:id="rId1781" ref="C1783"/>
    <hyperlink r:id="rId1782" ref="C1784"/>
    <hyperlink r:id="rId1783" ref="C1785"/>
    <hyperlink r:id="rId1784" ref="C1786"/>
    <hyperlink r:id="rId1785" ref="C1787"/>
    <hyperlink r:id="rId1786" ref="C1788"/>
    <hyperlink r:id="rId1787" ref="C1789"/>
    <hyperlink r:id="rId1788" ref="C1790"/>
    <hyperlink r:id="rId1789" ref="C1791"/>
    <hyperlink r:id="rId1790" ref="C1792"/>
    <hyperlink r:id="rId1791" ref="C1793"/>
    <hyperlink r:id="rId1792" ref="C1794"/>
    <hyperlink r:id="rId1793" ref="C1795"/>
    <hyperlink r:id="rId1794" ref="C1796"/>
    <hyperlink r:id="rId1795" ref="C1797"/>
    <hyperlink r:id="rId1796" ref="C1798"/>
    <hyperlink r:id="rId1797" ref="C1799"/>
    <hyperlink r:id="rId1798" ref="C1800"/>
    <hyperlink r:id="rId1799" ref="C1801"/>
    <hyperlink r:id="rId1800" ref="C1802"/>
    <hyperlink r:id="rId1801" ref="C1803"/>
    <hyperlink r:id="rId1802" ref="C1804"/>
    <hyperlink r:id="rId1803" ref="C1805"/>
    <hyperlink r:id="rId1804" ref="C1806"/>
    <hyperlink r:id="rId1805" ref="C1807"/>
    <hyperlink r:id="rId1806" ref="C1808"/>
    <hyperlink r:id="rId1807" ref="C1809"/>
    <hyperlink r:id="rId1808" ref="C1810"/>
    <hyperlink r:id="rId1809" ref="C1811"/>
    <hyperlink r:id="rId1810" ref="C1812"/>
    <hyperlink r:id="rId1811" ref="C1813"/>
    <hyperlink r:id="rId1812" ref="C1814"/>
    <hyperlink r:id="rId1813" ref="C1815"/>
    <hyperlink r:id="rId1814" ref="C1816"/>
    <hyperlink r:id="rId1815" ref="C1817"/>
    <hyperlink r:id="rId1816" ref="C1818"/>
    <hyperlink r:id="rId1817" ref="C1819"/>
    <hyperlink r:id="rId1818" ref="C1820"/>
    <hyperlink r:id="rId1819" ref="C1821"/>
    <hyperlink r:id="rId1820" ref="C1822"/>
    <hyperlink r:id="rId1821" ref="C1823"/>
    <hyperlink r:id="rId1822" ref="C1824"/>
    <hyperlink r:id="rId1823" ref="C1825"/>
    <hyperlink r:id="rId1824" ref="C1826"/>
    <hyperlink r:id="rId1825" ref="C1827"/>
    <hyperlink r:id="rId1826" ref="C1828"/>
    <hyperlink r:id="rId1827" ref="C1829"/>
    <hyperlink r:id="rId1828" ref="C1830"/>
    <hyperlink r:id="rId1829" ref="C1831"/>
    <hyperlink r:id="rId1830" ref="C1832"/>
    <hyperlink r:id="rId1831" ref="C1833"/>
    <hyperlink r:id="rId1832" ref="C1834"/>
    <hyperlink r:id="rId1833" ref="C1835"/>
    <hyperlink r:id="rId1834" ref="C1836"/>
    <hyperlink r:id="rId1835" ref="C1837"/>
    <hyperlink r:id="rId1836" ref="C1838"/>
    <hyperlink r:id="rId1837" ref="C1839"/>
    <hyperlink r:id="rId1838" ref="C1840"/>
    <hyperlink r:id="rId1839" ref="C1841"/>
    <hyperlink r:id="rId1840" ref="C1842"/>
    <hyperlink r:id="rId1841" ref="C1843"/>
    <hyperlink r:id="rId1842" ref="C1844"/>
    <hyperlink r:id="rId1843" ref="C1845"/>
    <hyperlink r:id="rId1844" ref="C1846"/>
    <hyperlink r:id="rId1845" ref="C1847"/>
    <hyperlink r:id="rId1846" ref="C1848"/>
    <hyperlink r:id="rId1847" ref="C1849"/>
    <hyperlink r:id="rId1848" ref="C1850"/>
    <hyperlink r:id="rId1849" ref="C1851"/>
    <hyperlink r:id="rId1850" ref="C1852"/>
    <hyperlink r:id="rId1851" ref="C1853"/>
    <hyperlink r:id="rId1852" ref="C1854"/>
    <hyperlink r:id="rId1853" ref="C1855"/>
    <hyperlink r:id="rId1854" ref="C1856"/>
    <hyperlink r:id="rId1855" ref="C1857"/>
    <hyperlink r:id="rId1856" ref="C1858"/>
    <hyperlink r:id="rId1857" ref="C1859"/>
    <hyperlink r:id="rId1858" ref="C1860"/>
    <hyperlink r:id="rId1859" ref="C1861"/>
    <hyperlink r:id="rId1860" ref="C1862"/>
    <hyperlink r:id="rId1861" ref="C1863"/>
    <hyperlink r:id="rId1862" ref="C1864"/>
    <hyperlink r:id="rId1863" ref="C1865"/>
    <hyperlink r:id="rId1864" ref="C1866"/>
    <hyperlink r:id="rId1865" ref="C1867"/>
    <hyperlink r:id="rId1866" ref="C1868"/>
    <hyperlink r:id="rId1867" ref="C1869"/>
    <hyperlink r:id="rId1868" ref="C1870"/>
    <hyperlink r:id="rId1869" ref="C1871"/>
    <hyperlink r:id="rId1870" ref="C1872"/>
    <hyperlink r:id="rId1871" ref="C1873"/>
    <hyperlink r:id="rId1872" ref="C1874"/>
    <hyperlink r:id="rId1873" ref="C1875"/>
    <hyperlink r:id="rId1874" ref="C1876"/>
    <hyperlink r:id="rId1875" ref="C1877"/>
    <hyperlink r:id="rId1876" ref="C1878"/>
    <hyperlink r:id="rId1877" ref="C1879"/>
    <hyperlink r:id="rId1878" ref="C1880"/>
    <hyperlink r:id="rId1879" ref="C1881"/>
    <hyperlink r:id="rId1880" ref="C1882"/>
    <hyperlink r:id="rId1881" ref="C1883"/>
    <hyperlink r:id="rId1882" ref="C1884"/>
    <hyperlink r:id="rId1883" ref="C1885"/>
    <hyperlink r:id="rId1884" ref="C1886"/>
    <hyperlink r:id="rId1885" ref="C1887"/>
    <hyperlink r:id="rId1886" ref="C1888"/>
    <hyperlink r:id="rId1887" ref="C1889"/>
    <hyperlink r:id="rId1888" ref="C1890"/>
    <hyperlink r:id="rId1889" ref="C1891"/>
    <hyperlink r:id="rId1890" ref="C1892"/>
    <hyperlink r:id="rId1891" ref="C1893"/>
    <hyperlink r:id="rId1892" ref="C1894"/>
    <hyperlink r:id="rId1893" ref="C1895"/>
    <hyperlink r:id="rId1894" ref="C1896"/>
    <hyperlink r:id="rId1895" ref="C1897"/>
    <hyperlink r:id="rId1896" ref="C1898"/>
    <hyperlink r:id="rId1897" ref="C1899"/>
    <hyperlink r:id="rId1898" ref="C1900"/>
    <hyperlink r:id="rId1899" ref="C1901"/>
    <hyperlink r:id="rId1900" ref="C1902"/>
    <hyperlink r:id="rId1901" ref="C1903"/>
    <hyperlink r:id="rId1902" ref="C1904"/>
    <hyperlink r:id="rId1903" ref="C1905"/>
    <hyperlink r:id="rId1904" ref="C1906"/>
    <hyperlink r:id="rId1905" ref="C1907"/>
    <hyperlink r:id="rId1906" ref="C1908"/>
    <hyperlink r:id="rId1907" ref="C1909"/>
    <hyperlink r:id="rId1908" ref="C1910"/>
    <hyperlink r:id="rId1909" ref="C1911"/>
    <hyperlink r:id="rId1910" ref="C1912"/>
    <hyperlink r:id="rId1911" ref="C1913"/>
    <hyperlink r:id="rId1912" ref="C1914"/>
    <hyperlink r:id="rId1913" ref="C1915"/>
    <hyperlink r:id="rId1914" ref="C1916"/>
    <hyperlink r:id="rId1915" ref="C1917"/>
    <hyperlink r:id="rId1916" ref="C1918"/>
    <hyperlink r:id="rId1917" ref="C1919"/>
    <hyperlink r:id="rId1918" ref="C1920"/>
    <hyperlink r:id="rId1919" ref="C1921"/>
    <hyperlink r:id="rId1920" ref="C1922"/>
    <hyperlink r:id="rId1921" ref="C1923"/>
    <hyperlink r:id="rId1922" ref="C1924"/>
    <hyperlink r:id="rId1923" ref="C1925"/>
    <hyperlink r:id="rId1924" ref="C1926"/>
    <hyperlink r:id="rId1925" ref="C1927"/>
    <hyperlink r:id="rId1926" ref="C1928"/>
    <hyperlink r:id="rId1927" ref="C1929"/>
    <hyperlink r:id="rId1928" ref="C1930"/>
    <hyperlink r:id="rId1929" ref="C1931"/>
    <hyperlink r:id="rId1930" ref="C1932"/>
    <hyperlink r:id="rId1931" ref="C1933"/>
    <hyperlink r:id="rId1932" ref="C1934"/>
    <hyperlink r:id="rId1933" ref="C1935"/>
    <hyperlink r:id="rId1934" ref="C1936"/>
    <hyperlink r:id="rId1935" ref="C1937"/>
    <hyperlink r:id="rId1936" ref="C1938"/>
    <hyperlink r:id="rId1937" ref="C1939"/>
    <hyperlink r:id="rId1938" ref="C1940"/>
    <hyperlink r:id="rId1939" ref="C1941"/>
    <hyperlink r:id="rId1940" ref="C1942"/>
    <hyperlink r:id="rId1941" ref="C1943"/>
    <hyperlink r:id="rId1942" ref="C1944"/>
    <hyperlink r:id="rId1943" ref="C1945"/>
    <hyperlink r:id="rId1944" ref="C1946"/>
    <hyperlink r:id="rId1945" ref="C1947"/>
    <hyperlink r:id="rId1946" ref="C1948"/>
    <hyperlink r:id="rId1947" ref="C1949"/>
    <hyperlink r:id="rId1948" ref="C1950"/>
    <hyperlink r:id="rId1949" ref="C1951"/>
    <hyperlink r:id="rId1950" ref="C1952"/>
    <hyperlink r:id="rId1951" ref="C1953"/>
    <hyperlink r:id="rId1952" ref="C1954"/>
    <hyperlink r:id="rId1953" ref="C1955"/>
    <hyperlink r:id="rId1954" ref="C1956"/>
    <hyperlink r:id="rId1955" ref="C1957"/>
    <hyperlink r:id="rId1956" ref="C1958"/>
    <hyperlink r:id="rId1957" ref="C1959"/>
    <hyperlink r:id="rId1958" ref="C1960"/>
    <hyperlink r:id="rId1959" ref="C1961"/>
    <hyperlink r:id="rId1960" ref="C1962"/>
    <hyperlink r:id="rId1961" ref="C1963"/>
    <hyperlink r:id="rId1962" ref="C1964"/>
    <hyperlink r:id="rId1963" ref="C1965"/>
    <hyperlink r:id="rId1964" ref="C1966"/>
    <hyperlink r:id="rId1965" ref="C1967"/>
    <hyperlink r:id="rId1966" ref="C1968"/>
    <hyperlink r:id="rId1967" ref="C1969"/>
    <hyperlink r:id="rId1968" ref="C1970"/>
    <hyperlink r:id="rId1969" ref="C1971"/>
    <hyperlink r:id="rId1970" ref="C1972"/>
    <hyperlink r:id="rId1971" ref="C1973"/>
    <hyperlink r:id="rId1972" ref="C1974"/>
    <hyperlink r:id="rId1973" ref="C1975"/>
    <hyperlink r:id="rId1974" ref="C1976"/>
    <hyperlink r:id="rId1975" ref="C1977"/>
    <hyperlink r:id="rId1976" ref="C1978"/>
    <hyperlink r:id="rId1977" ref="C1979"/>
    <hyperlink r:id="rId1978" ref="C1980"/>
    <hyperlink r:id="rId1979" ref="C1981"/>
    <hyperlink r:id="rId1980" ref="C1982"/>
    <hyperlink r:id="rId1981" ref="C1983"/>
    <hyperlink r:id="rId1982" ref="C1984"/>
    <hyperlink r:id="rId1983" ref="C1985"/>
    <hyperlink r:id="rId1984" ref="C1986"/>
    <hyperlink r:id="rId1985" ref="C1987"/>
    <hyperlink r:id="rId1986" ref="C1988"/>
    <hyperlink r:id="rId1987" ref="C1989"/>
    <hyperlink r:id="rId1988" ref="C1990"/>
    <hyperlink r:id="rId1989" ref="C1991"/>
    <hyperlink r:id="rId1990" ref="C1992"/>
    <hyperlink r:id="rId1991" ref="C1993"/>
    <hyperlink r:id="rId1992" ref="C1994"/>
    <hyperlink r:id="rId1993" ref="C1995"/>
    <hyperlink r:id="rId1994" ref="C1996"/>
    <hyperlink r:id="rId1995" ref="C1997"/>
    <hyperlink r:id="rId1996" ref="C1998"/>
    <hyperlink r:id="rId1997" ref="C1999"/>
    <hyperlink r:id="rId1998" ref="C2000"/>
    <hyperlink r:id="rId1999" ref="C2001"/>
    <hyperlink r:id="rId2000" ref="C2002"/>
    <hyperlink r:id="rId2001" ref="C2003"/>
    <hyperlink r:id="rId2002" ref="C2004"/>
    <hyperlink r:id="rId2003" ref="C2005"/>
    <hyperlink r:id="rId2004" ref="C2006"/>
    <hyperlink r:id="rId2005" ref="C2007"/>
    <hyperlink r:id="rId2006" ref="C2008"/>
    <hyperlink r:id="rId2007" ref="C2009"/>
    <hyperlink r:id="rId2008" ref="C2010"/>
    <hyperlink r:id="rId2009" ref="C2011"/>
    <hyperlink r:id="rId2010" ref="C2012"/>
    <hyperlink r:id="rId2011" ref="C2013"/>
    <hyperlink r:id="rId2012" ref="C2014"/>
    <hyperlink r:id="rId2013" ref="C2015"/>
    <hyperlink r:id="rId2014" ref="C2016"/>
    <hyperlink r:id="rId2015" ref="C2017"/>
    <hyperlink r:id="rId2016" ref="C2018"/>
    <hyperlink r:id="rId2017" ref="C2019"/>
    <hyperlink r:id="rId2018" ref="C2020"/>
    <hyperlink r:id="rId2019" ref="C2021"/>
    <hyperlink r:id="rId2020" ref="C2022"/>
    <hyperlink r:id="rId2021" ref="C2023"/>
    <hyperlink r:id="rId2022" ref="C2024"/>
    <hyperlink r:id="rId2023" ref="C2025"/>
    <hyperlink r:id="rId2024" ref="C2026"/>
    <hyperlink r:id="rId2025" ref="C2027"/>
    <hyperlink r:id="rId2026" ref="C2028"/>
    <hyperlink r:id="rId2027" ref="C2029"/>
    <hyperlink r:id="rId2028" ref="C2030"/>
    <hyperlink r:id="rId2029" ref="C2031"/>
    <hyperlink r:id="rId2030" ref="C2032"/>
    <hyperlink r:id="rId2031" ref="C2033"/>
    <hyperlink r:id="rId2032" ref="C2034"/>
    <hyperlink r:id="rId2033" ref="C2035"/>
    <hyperlink r:id="rId2034" ref="C2036"/>
    <hyperlink r:id="rId2035" ref="C2037"/>
    <hyperlink r:id="rId2036" ref="C2038"/>
    <hyperlink r:id="rId2037" ref="C2039"/>
    <hyperlink r:id="rId2038" ref="C2040"/>
    <hyperlink r:id="rId2039" ref="C2041"/>
    <hyperlink r:id="rId2040" ref="C2042"/>
    <hyperlink r:id="rId2041" ref="C2043"/>
    <hyperlink r:id="rId2042" ref="C2044"/>
    <hyperlink r:id="rId2043" ref="C2045"/>
    <hyperlink r:id="rId2044" ref="C2046"/>
    <hyperlink r:id="rId2045" ref="C2047"/>
    <hyperlink r:id="rId2046" ref="C2048"/>
    <hyperlink r:id="rId2047" ref="C2049"/>
    <hyperlink r:id="rId2048" ref="C2050"/>
    <hyperlink r:id="rId2049" ref="C2051"/>
    <hyperlink r:id="rId2050" ref="C2052"/>
    <hyperlink r:id="rId2051" ref="C2053"/>
    <hyperlink r:id="rId2052" ref="C2054"/>
    <hyperlink r:id="rId2053" ref="C2055"/>
    <hyperlink r:id="rId2054" ref="C2056"/>
    <hyperlink r:id="rId2055" ref="C2057"/>
    <hyperlink r:id="rId2056" ref="C2058"/>
    <hyperlink r:id="rId2057" ref="C2059"/>
    <hyperlink r:id="rId2058" ref="C2060"/>
    <hyperlink r:id="rId2059" ref="C2061"/>
    <hyperlink r:id="rId2060" ref="C2062"/>
    <hyperlink r:id="rId2061" ref="C2063"/>
    <hyperlink r:id="rId2062" ref="C2064"/>
    <hyperlink r:id="rId2063" ref="C2065"/>
    <hyperlink r:id="rId2064" ref="C2066"/>
    <hyperlink r:id="rId2065" ref="C2067"/>
    <hyperlink r:id="rId2066" ref="C2068"/>
    <hyperlink r:id="rId2067" ref="C2069"/>
    <hyperlink r:id="rId2068" ref="C2070"/>
    <hyperlink r:id="rId2069" ref="C2071"/>
    <hyperlink r:id="rId2070" ref="C2072"/>
    <hyperlink r:id="rId2071" ref="C2073"/>
    <hyperlink r:id="rId2072" ref="C2074"/>
    <hyperlink r:id="rId2073" ref="C2075"/>
    <hyperlink r:id="rId2074" ref="C2076"/>
    <hyperlink r:id="rId2075" ref="C2077"/>
    <hyperlink r:id="rId2076" ref="C2078"/>
    <hyperlink r:id="rId2077" ref="C2079"/>
    <hyperlink r:id="rId2078" ref="C2080"/>
    <hyperlink r:id="rId2079" ref="C2081"/>
    <hyperlink r:id="rId2080" ref="C2082"/>
    <hyperlink r:id="rId2081" ref="C2083"/>
    <hyperlink r:id="rId2082" ref="C2084"/>
    <hyperlink r:id="rId2083" ref="C2085"/>
    <hyperlink r:id="rId2084" ref="C2086"/>
    <hyperlink r:id="rId2085" ref="C2087"/>
    <hyperlink r:id="rId2086" ref="C2088"/>
    <hyperlink r:id="rId2087" ref="C2089"/>
    <hyperlink r:id="rId2088" ref="C2090"/>
    <hyperlink r:id="rId2089" ref="C2091"/>
    <hyperlink r:id="rId2090" ref="C2092"/>
    <hyperlink r:id="rId2091" ref="C2093"/>
    <hyperlink r:id="rId2092" ref="C2094"/>
    <hyperlink r:id="rId2093" ref="C2095"/>
    <hyperlink r:id="rId2094" ref="C2096"/>
    <hyperlink r:id="rId2095" ref="C2097"/>
    <hyperlink r:id="rId2096" ref="C2098"/>
    <hyperlink r:id="rId2097" ref="C2099"/>
    <hyperlink r:id="rId2098" ref="C2100"/>
    <hyperlink r:id="rId2099" ref="C2101"/>
    <hyperlink r:id="rId2100" ref="C2102"/>
    <hyperlink r:id="rId2101" ref="C2103"/>
    <hyperlink r:id="rId2102" ref="C2104"/>
    <hyperlink r:id="rId2103" ref="C2105"/>
    <hyperlink r:id="rId2104" ref="C2106"/>
    <hyperlink r:id="rId2105" ref="C2107"/>
    <hyperlink r:id="rId2106" ref="C2108"/>
    <hyperlink r:id="rId2107" ref="C2109"/>
    <hyperlink r:id="rId2108" ref="C2110"/>
    <hyperlink r:id="rId2109" ref="C2111"/>
    <hyperlink r:id="rId2110" ref="C2112"/>
    <hyperlink r:id="rId2111" ref="C2113"/>
    <hyperlink r:id="rId2112" ref="C2114"/>
    <hyperlink r:id="rId2113" ref="C2115"/>
    <hyperlink r:id="rId2114" ref="C2116"/>
    <hyperlink r:id="rId2115" ref="C2117"/>
    <hyperlink r:id="rId2116" ref="C2118"/>
    <hyperlink r:id="rId2117" ref="C2119"/>
    <hyperlink r:id="rId2118" ref="C2120"/>
    <hyperlink r:id="rId2119" ref="C2121"/>
    <hyperlink r:id="rId2120" ref="C2122"/>
    <hyperlink r:id="rId2121" ref="C2123"/>
    <hyperlink r:id="rId2122" ref="C2124"/>
    <hyperlink r:id="rId2123" ref="C2125"/>
    <hyperlink r:id="rId2124" ref="C2126"/>
    <hyperlink r:id="rId2125" ref="C2127"/>
    <hyperlink r:id="rId2126" ref="C2128"/>
    <hyperlink r:id="rId2127" ref="C2129"/>
    <hyperlink r:id="rId2128" ref="C2130"/>
    <hyperlink r:id="rId2129" ref="C2131"/>
    <hyperlink r:id="rId2130" ref="C2132"/>
    <hyperlink r:id="rId2131" ref="C2133"/>
    <hyperlink r:id="rId2132" ref="C2134"/>
    <hyperlink r:id="rId2133" ref="C2135"/>
    <hyperlink r:id="rId2134" ref="C2136"/>
    <hyperlink r:id="rId2135" ref="C2137"/>
    <hyperlink r:id="rId2136" ref="C2138"/>
    <hyperlink r:id="rId2137" ref="C2139"/>
    <hyperlink r:id="rId2138" ref="C2140"/>
    <hyperlink r:id="rId2139" ref="C2141"/>
    <hyperlink r:id="rId2140" ref="C2142"/>
    <hyperlink r:id="rId2141" ref="C2143"/>
    <hyperlink r:id="rId2142" ref="C2144"/>
    <hyperlink r:id="rId2143" ref="C2145"/>
    <hyperlink r:id="rId2144" ref="C2146"/>
    <hyperlink r:id="rId2145" ref="C2147"/>
    <hyperlink r:id="rId2146" ref="C2148"/>
    <hyperlink r:id="rId2147" ref="C2149"/>
    <hyperlink r:id="rId2148" ref="C2150"/>
    <hyperlink r:id="rId2149" ref="C2151"/>
    <hyperlink r:id="rId2150" ref="C2152"/>
    <hyperlink r:id="rId2151" ref="C2153"/>
    <hyperlink r:id="rId2152" ref="C2154"/>
    <hyperlink r:id="rId2153" ref="C2155"/>
    <hyperlink r:id="rId2154" ref="C2156"/>
    <hyperlink r:id="rId2155" ref="C2157"/>
    <hyperlink r:id="rId2156" ref="C2158"/>
    <hyperlink r:id="rId2157" ref="C2159"/>
    <hyperlink r:id="rId2158" ref="C2160"/>
    <hyperlink r:id="rId2159" ref="C2161"/>
    <hyperlink r:id="rId2160" ref="C2162"/>
    <hyperlink r:id="rId2161" ref="C2163"/>
    <hyperlink r:id="rId2162" ref="C2164"/>
    <hyperlink r:id="rId2163" ref="C2165"/>
    <hyperlink r:id="rId2164" ref="C2166"/>
    <hyperlink r:id="rId2165" ref="C2167"/>
    <hyperlink r:id="rId2166" ref="C2168"/>
    <hyperlink r:id="rId2167" ref="C2169"/>
    <hyperlink r:id="rId2168" ref="C2170"/>
    <hyperlink r:id="rId2169" ref="C2171"/>
    <hyperlink r:id="rId2170" ref="C2172"/>
    <hyperlink r:id="rId2171" ref="C2173"/>
    <hyperlink r:id="rId2172" ref="C2174"/>
    <hyperlink r:id="rId2173" ref="C2175"/>
    <hyperlink r:id="rId2174" ref="C2176"/>
    <hyperlink r:id="rId2175" ref="C2177"/>
    <hyperlink r:id="rId2176" ref="C2178"/>
    <hyperlink r:id="rId2177" ref="C2179"/>
    <hyperlink r:id="rId2178" ref="C2180"/>
    <hyperlink r:id="rId2179" ref="C2181"/>
    <hyperlink r:id="rId2180" ref="C2182"/>
    <hyperlink r:id="rId2181" ref="C2183"/>
    <hyperlink r:id="rId2182" ref="C2184"/>
    <hyperlink r:id="rId2183" ref="C2185"/>
    <hyperlink r:id="rId2184" ref="C2186"/>
    <hyperlink r:id="rId2185" ref="C2187"/>
    <hyperlink r:id="rId2186" ref="C2188"/>
    <hyperlink r:id="rId2187" ref="C2189"/>
    <hyperlink r:id="rId2188" ref="C2190"/>
    <hyperlink r:id="rId2189" ref="C2191"/>
    <hyperlink r:id="rId2190" ref="C2192"/>
    <hyperlink r:id="rId2191" ref="C2193"/>
    <hyperlink r:id="rId2192" ref="C2194"/>
    <hyperlink r:id="rId2193" ref="C2195"/>
    <hyperlink r:id="rId2194" ref="C2196"/>
    <hyperlink r:id="rId2195" ref="C2197"/>
    <hyperlink r:id="rId2196" ref="C2198"/>
    <hyperlink r:id="rId2197" ref="C2199"/>
    <hyperlink r:id="rId2198" ref="C2200"/>
    <hyperlink r:id="rId2199" ref="C2201"/>
    <hyperlink r:id="rId2200" ref="C2202"/>
    <hyperlink r:id="rId2201" ref="C2203"/>
    <hyperlink r:id="rId2202" ref="C2204"/>
    <hyperlink r:id="rId2203" ref="C2205"/>
    <hyperlink r:id="rId2204" ref="C2206"/>
    <hyperlink r:id="rId2205" ref="C2207"/>
    <hyperlink r:id="rId2206" ref="C2208"/>
    <hyperlink r:id="rId2207" ref="C2209"/>
    <hyperlink r:id="rId2208" ref="C2210"/>
    <hyperlink r:id="rId2209" ref="C2211"/>
    <hyperlink r:id="rId2210" ref="C2212"/>
    <hyperlink r:id="rId2211" ref="C2213"/>
    <hyperlink r:id="rId2212" ref="C2214"/>
    <hyperlink r:id="rId2213" ref="C2215"/>
    <hyperlink r:id="rId2214" ref="C2216"/>
    <hyperlink r:id="rId2215" ref="C2217"/>
    <hyperlink r:id="rId2216" ref="C2218"/>
    <hyperlink r:id="rId2217" ref="C2219"/>
    <hyperlink r:id="rId2218" ref="C2220"/>
    <hyperlink r:id="rId2219" ref="C2221"/>
    <hyperlink r:id="rId2220" ref="C2222"/>
    <hyperlink r:id="rId2221" ref="C2223"/>
    <hyperlink r:id="rId2222" ref="C2224"/>
    <hyperlink r:id="rId2223" ref="C2225"/>
    <hyperlink r:id="rId2224" ref="C2226"/>
    <hyperlink r:id="rId2225" ref="C2227"/>
    <hyperlink r:id="rId2226" ref="C2228"/>
    <hyperlink r:id="rId2227" ref="C2229"/>
    <hyperlink r:id="rId2228" ref="C2230"/>
    <hyperlink r:id="rId2229" ref="C2231"/>
    <hyperlink r:id="rId2230" ref="C2232"/>
    <hyperlink r:id="rId2231" ref="C2233"/>
    <hyperlink r:id="rId2232" ref="C2234"/>
    <hyperlink r:id="rId2233" ref="C2235"/>
    <hyperlink r:id="rId2234" ref="C2236"/>
    <hyperlink r:id="rId2235" ref="C2237"/>
    <hyperlink r:id="rId2236" ref="C2238"/>
    <hyperlink r:id="rId2237" ref="C2239"/>
    <hyperlink r:id="rId2238" ref="C2240"/>
    <hyperlink r:id="rId2239" ref="C2241"/>
    <hyperlink r:id="rId2240" ref="C2242"/>
    <hyperlink r:id="rId2241" ref="C2243"/>
    <hyperlink r:id="rId2242" ref="C2244"/>
    <hyperlink r:id="rId2243" ref="C2245"/>
    <hyperlink r:id="rId2244" ref="C2246"/>
    <hyperlink r:id="rId2245" ref="C2247"/>
    <hyperlink r:id="rId2246" ref="C2248"/>
    <hyperlink r:id="rId2247" ref="C2249"/>
    <hyperlink r:id="rId2248" ref="C2250"/>
    <hyperlink r:id="rId2249" ref="C2251"/>
    <hyperlink r:id="rId2250" ref="C2252"/>
    <hyperlink r:id="rId2251" ref="C2253"/>
    <hyperlink r:id="rId2252" ref="C2254"/>
    <hyperlink r:id="rId2253" ref="C2255"/>
    <hyperlink r:id="rId2254" ref="C2256"/>
    <hyperlink r:id="rId2255" ref="C2257"/>
    <hyperlink r:id="rId2256" ref="C2258"/>
    <hyperlink r:id="rId2257" ref="C2259"/>
    <hyperlink r:id="rId2258" ref="C2260"/>
    <hyperlink r:id="rId2259" ref="C2261"/>
    <hyperlink r:id="rId2260" ref="C2262"/>
    <hyperlink r:id="rId2261" ref="C2263"/>
    <hyperlink r:id="rId2262" ref="C2264"/>
    <hyperlink r:id="rId2263" ref="C2265"/>
    <hyperlink r:id="rId2264" ref="C2266"/>
    <hyperlink r:id="rId2265" ref="C2267"/>
    <hyperlink r:id="rId2266" ref="C2268"/>
    <hyperlink r:id="rId2267" ref="C2269"/>
    <hyperlink r:id="rId2268" ref="C2270"/>
    <hyperlink r:id="rId2269" ref="C2271"/>
    <hyperlink r:id="rId2270" ref="C2272"/>
    <hyperlink r:id="rId2271" ref="C2273"/>
    <hyperlink r:id="rId2272" ref="C2274"/>
    <hyperlink r:id="rId2273" ref="C2275"/>
    <hyperlink r:id="rId2274" ref="C2276"/>
    <hyperlink r:id="rId2275" ref="C2277"/>
    <hyperlink r:id="rId2276" ref="C2278"/>
    <hyperlink r:id="rId2277" ref="C2279"/>
    <hyperlink r:id="rId2278" ref="C2280"/>
    <hyperlink r:id="rId2279" ref="C2281"/>
    <hyperlink r:id="rId2280" ref="C2282"/>
    <hyperlink r:id="rId2281" ref="C2283"/>
    <hyperlink r:id="rId2282" ref="C2284"/>
    <hyperlink r:id="rId2283" ref="C2285"/>
    <hyperlink r:id="rId2284" ref="C2286"/>
    <hyperlink r:id="rId2285" ref="C2287"/>
    <hyperlink r:id="rId2286" ref="C2288"/>
    <hyperlink r:id="rId2287" ref="C2289"/>
    <hyperlink r:id="rId2288" ref="C2290"/>
    <hyperlink r:id="rId2289" ref="C2291"/>
    <hyperlink r:id="rId2290" ref="C2292"/>
    <hyperlink r:id="rId2291" ref="C2293"/>
    <hyperlink r:id="rId2292" ref="C2294"/>
    <hyperlink r:id="rId2293" ref="C2295"/>
    <hyperlink r:id="rId2294" ref="C2296"/>
    <hyperlink r:id="rId2295" ref="C2297"/>
    <hyperlink r:id="rId2296" ref="C2298"/>
    <hyperlink r:id="rId2297" ref="C2299"/>
    <hyperlink r:id="rId2298" ref="C2300"/>
    <hyperlink r:id="rId2299" ref="C2301"/>
    <hyperlink r:id="rId2300" ref="C2302"/>
    <hyperlink r:id="rId2301" ref="C2303"/>
    <hyperlink r:id="rId2302" ref="C2304"/>
    <hyperlink r:id="rId2303" ref="C2305"/>
    <hyperlink r:id="rId2304" ref="C2306"/>
    <hyperlink r:id="rId2305" ref="C2307"/>
    <hyperlink r:id="rId2306" ref="C2308"/>
    <hyperlink r:id="rId2307" ref="C2309"/>
    <hyperlink r:id="rId2308" ref="C2310"/>
    <hyperlink r:id="rId2309" ref="C2311"/>
    <hyperlink r:id="rId2310" ref="C2312"/>
    <hyperlink r:id="rId2311" ref="C2313"/>
    <hyperlink r:id="rId2312" ref="C2314"/>
    <hyperlink r:id="rId2313" ref="C2315"/>
    <hyperlink r:id="rId2314" ref="C2316"/>
    <hyperlink r:id="rId2315" ref="C2317"/>
    <hyperlink r:id="rId2316" ref="C2318"/>
    <hyperlink r:id="rId2317" ref="C2319"/>
    <hyperlink r:id="rId2318" ref="C2320"/>
    <hyperlink r:id="rId2319" ref="C2321"/>
    <hyperlink r:id="rId2320" ref="C2322"/>
    <hyperlink r:id="rId2321" ref="C2323"/>
    <hyperlink r:id="rId2322" ref="C2324"/>
    <hyperlink r:id="rId2323" ref="C2325"/>
    <hyperlink r:id="rId2324" ref="C2326"/>
    <hyperlink r:id="rId2325" ref="C2327"/>
    <hyperlink r:id="rId2326" ref="C2328"/>
    <hyperlink r:id="rId2327" ref="C2329"/>
    <hyperlink r:id="rId2328" ref="C2330"/>
    <hyperlink r:id="rId2329" ref="C2331"/>
    <hyperlink r:id="rId2330" ref="C2332"/>
    <hyperlink r:id="rId2331" ref="C2333"/>
    <hyperlink r:id="rId2332" ref="C2334"/>
    <hyperlink r:id="rId2333" ref="C2335"/>
    <hyperlink r:id="rId2334" ref="C2336"/>
    <hyperlink r:id="rId2335" ref="C2337"/>
    <hyperlink r:id="rId2336" ref="C2338"/>
    <hyperlink r:id="rId2337" ref="C2339"/>
    <hyperlink r:id="rId2338" ref="C2340"/>
    <hyperlink r:id="rId2339" ref="C2341"/>
    <hyperlink r:id="rId2340" ref="C2342"/>
    <hyperlink r:id="rId2341" ref="C2343"/>
    <hyperlink r:id="rId2342" ref="C2344"/>
    <hyperlink r:id="rId2343" ref="C2345"/>
    <hyperlink r:id="rId2344" ref="C2346"/>
    <hyperlink r:id="rId2345" ref="C2347"/>
    <hyperlink r:id="rId2346" ref="C2348"/>
    <hyperlink r:id="rId2347" ref="C2349"/>
    <hyperlink r:id="rId2348" ref="C2350"/>
    <hyperlink r:id="rId2349" ref="C2351"/>
    <hyperlink r:id="rId2350" ref="C2352"/>
    <hyperlink r:id="rId2351" ref="C2353"/>
    <hyperlink r:id="rId2352" ref="C2354"/>
    <hyperlink r:id="rId2353" ref="C2355"/>
    <hyperlink r:id="rId2354" ref="C2356"/>
    <hyperlink r:id="rId2355" ref="C2357"/>
    <hyperlink r:id="rId2356" ref="C2358"/>
    <hyperlink r:id="rId2357" ref="C2359"/>
    <hyperlink r:id="rId2358" ref="C2360"/>
    <hyperlink r:id="rId2359" ref="C2361"/>
    <hyperlink r:id="rId2360" ref="C2362"/>
    <hyperlink r:id="rId2361" ref="C2363"/>
    <hyperlink r:id="rId2362" ref="C2364"/>
    <hyperlink r:id="rId2363" ref="C2365"/>
    <hyperlink r:id="rId2364" ref="C2366"/>
    <hyperlink r:id="rId2365" ref="C2367"/>
    <hyperlink r:id="rId2366" ref="C2368"/>
    <hyperlink r:id="rId2367" ref="C2369"/>
    <hyperlink r:id="rId2368" ref="C2370"/>
    <hyperlink r:id="rId2369" ref="C2371"/>
    <hyperlink r:id="rId2370" ref="C2372"/>
    <hyperlink r:id="rId2371" ref="C2373"/>
    <hyperlink r:id="rId2372" ref="C2374"/>
    <hyperlink r:id="rId2373" ref="C2375"/>
    <hyperlink r:id="rId2374" ref="C2376"/>
    <hyperlink r:id="rId2375" ref="C2377"/>
    <hyperlink r:id="rId2376" ref="C2378"/>
    <hyperlink r:id="rId2377" ref="C2379"/>
    <hyperlink r:id="rId2378" ref="C2380"/>
    <hyperlink r:id="rId2379" ref="C2381"/>
    <hyperlink r:id="rId2380" ref="C2382"/>
    <hyperlink r:id="rId2381" ref="C2383"/>
    <hyperlink r:id="rId2382" ref="C2384"/>
    <hyperlink r:id="rId2383" ref="C2385"/>
    <hyperlink r:id="rId2384" ref="C2386"/>
    <hyperlink r:id="rId2385" ref="C2387"/>
    <hyperlink r:id="rId2386" ref="C2388"/>
    <hyperlink r:id="rId2387" ref="C2389"/>
    <hyperlink r:id="rId2388" ref="C2390"/>
    <hyperlink r:id="rId2389" ref="C2391"/>
    <hyperlink r:id="rId2390" ref="C2392"/>
    <hyperlink r:id="rId2391" ref="C2393"/>
    <hyperlink r:id="rId2392" ref="C2394"/>
    <hyperlink r:id="rId2393" ref="C2395"/>
    <hyperlink r:id="rId2394" ref="C2396"/>
    <hyperlink r:id="rId2395" ref="C2397"/>
    <hyperlink r:id="rId2396" ref="C2398"/>
    <hyperlink r:id="rId2397" ref="C2399"/>
    <hyperlink r:id="rId2398" ref="C2400"/>
    <hyperlink r:id="rId2399" ref="C2401"/>
    <hyperlink r:id="rId2400" ref="C2402"/>
    <hyperlink r:id="rId2401" ref="C2403"/>
    <hyperlink r:id="rId2402" ref="C2404"/>
    <hyperlink r:id="rId2403" ref="C2405"/>
    <hyperlink r:id="rId2404" ref="C2406"/>
    <hyperlink r:id="rId2405" ref="C2407"/>
    <hyperlink r:id="rId2406" ref="C2408"/>
    <hyperlink r:id="rId2407" ref="C2409"/>
    <hyperlink r:id="rId2408" ref="C2410"/>
    <hyperlink r:id="rId2409" ref="C2411"/>
    <hyperlink r:id="rId2410" ref="C2412"/>
    <hyperlink r:id="rId2411" ref="C2413"/>
    <hyperlink r:id="rId2412" ref="C2414"/>
    <hyperlink r:id="rId2413" ref="C2415"/>
    <hyperlink r:id="rId2414" ref="C2416"/>
    <hyperlink r:id="rId2415" ref="C2417"/>
    <hyperlink r:id="rId2416" ref="C2418"/>
    <hyperlink r:id="rId2417" ref="C2419"/>
    <hyperlink r:id="rId2418" ref="C2420"/>
    <hyperlink r:id="rId2419" ref="C2421"/>
    <hyperlink r:id="rId2420" ref="C2422"/>
    <hyperlink r:id="rId2421" ref="C2423"/>
    <hyperlink r:id="rId2422" ref="C2424"/>
    <hyperlink r:id="rId2423" ref="C2425"/>
    <hyperlink r:id="rId2424" ref="C2426"/>
    <hyperlink r:id="rId2425" ref="C2427"/>
    <hyperlink r:id="rId2426" ref="C2428"/>
    <hyperlink r:id="rId2427" ref="C2429"/>
    <hyperlink r:id="rId2428" ref="C2430"/>
    <hyperlink r:id="rId2429" ref="C2431"/>
    <hyperlink r:id="rId2430" ref="C2432"/>
    <hyperlink r:id="rId2431" ref="C2433"/>
    <hyperlink r:id="rId2432" ref="C2434"/>
    <hyperlink r:id="rId2433" ref="C2435"/>
    <hyperlink r:id="rId2434" ref="C2436"/>
    <hyperlink r:id="rId2435" ref="C2437"/>
    <hyperlink r:id="rId2436" ref="C2438"/>
    <hyperlink r:id="rId2437" ref="C2439"/>
    <hyperlink r:id="rId2438" ref="C2440"/>
    <hyperlink r:id="rId2439" ref="C2441"/>
    <hyperlink r:id="rId2440" ref="C2442"/>
    <hyperlink r:id="rId2441" ref="C2443"/>
    <hyperlink r:id="rId2442" ref="C2444"/>
    <hyperlink r:id="rId2443" ref="C2445"/>
    <hyperlink r:id="rId2444" ref="C2446"/>
    <hyperlink r:id="rId2445" ref="C2447"/>
    <hyperlink r:id="rId2446" ref="C2448"/>
    <hyperlink r:id="rId2447" ref="C2449"/>
    <hyperlink r:id="rId2448" ref="C2450"/>
    <hyperlink r:id="rId2449" ref="C2451"/>
    <hyperlink r:id="rId2450" ref="C2452"/>
    <hyperlink r:id="rId2451" ref="C2453"/>
    <hyperlink r:id="rId2452" ref="C2454"/>
    <hyperlink r:id="rId2453" ref="C2455"/>
    <hyperlink r:id="rId2454" ref="C2456"/>
    <hyperlink r:id="rId2455" ref="C2457"/>
    <hyperlink r:id="rId2456" ref="C2458"/>
    <hyperlink r:id="rId2457" ref="C2459"/>
    <hyperlink r:id="rId2458" ref="C2460"/>
    <hyperlink r:id="rId2459" ref="C2461"/>
    <hyperlink r:id="rId2460" ref="C2462"/>
    <hyperlink r:id="rId2461" ref="C2463"/>
    <hyperlink r:id="rId2462" ref="C2464"/>
    <hyperlink r:id="rId2463" ref="C2465"/>
    <hyperlink r:id="rId2464" ref="C2466"/>
    <hyperlink r:id="rId2465" ref="C2467"/>
    <hyperlink r:id="rId2466" ref="C2468"/>
    <hyperlink r:id="rId2467" ref="C2469"/>
    <hyperlink r:id="rId2468" ref="C2470"/>
    <hyperlink r:id="rId2469" ref="C2471"/>
    <hyperlink r:id="rId2470" ref="C2472"/>
    <hyperlink r:id="rId2471" ref="C2473"/>
    <hyperlink r:id="rId2472" ref="C2474"/>
    <hyperlink r:id="rId2473" ref="C2475"/>
    <hyperlink r:id="rId2474" ref="C2476"/>
    <hyperlink r:id="rId2475" ref="C2477"/>
    <hyperlink r:id="rId2476" ref="C2478"/>
    <hyperlink r:id="rId2477" ref="C2479"/>
    <hyperlink r:id="rId2478" ref="C2480"/>
    <hyperlink r:id="rId2479" ref="C2481"/>
    <hyperlink r:id="rId2480" ref="C2482"/>
    <hyperlink r:id="rId2481" ref="C2483"/>
    <hyperlink r:id="rId2482" ref="C2484"/>
    <hyperlink r:id="rId2483" ref="C2485"/>
    <hyperlink r:id="rId2484" ref="C2486"/>
    <hyperlink r:id="rId2485" ref="C2487"/>
    <hyperlink r:id="rId2486" ref="C2488"/>
    <hyperlink r:id="rId2487" ref="C2489"/>
    <hyperlink r:id="rId2488" ref="C2490"/>
    <hyperlink r:id="rId2489" ref="C2491"/>
    <hyperlink r:id="rId2490" ref="C2492"/>
    <hyperlink r:id="rId2491" ref="C2493"/>
    <hyperlink r:id="rId2492" ref="C2494"/>
    <hyperlink r:id="rId2493" ref="C2495"/>
    <hyperlink r:id="rId2494" ref="C2496"/>
    <hyperlink r:id="rId2495" ref="C2497"/>
    <hyperlink r:id="rId2496" ref="C2498"/>
    <hyperlink r:id="rId2497" ref="C2499"/>
    <hyperlink r:id="rId2498" ref="C2500"/>
    <hyperlink r:id="rId2499" ref="C2501"/>
    <hyperlink r:id="rId2500" ref="C2502"/>
    <hyperlink r:id="rId2501" ref="C2503"/>
    <hyperlink r:id="rId2502" ref="C2504"/>
    <hyperlink r:id="rId2503" ref="C2505"/>
    <hyperlink r:id="rId2504" ref="C2506"/>
    <hyperlink r:id="rId2505" ref="C2507"/>
    <hyperlink r:id="rId2506" ref="C2508"/>
    <hyperlink r:id="rId2507" ref="C2509"/>
    <hyperlink r:id="rId2508" ref="C2510"/>
    <hyperlink r:id="rId2509" ref="C2511"/>
    <hyperlink r:id="rId2510" ref="C2512"/>
    <hyperlink r:id="rId2511" ref="C2513"/>
    <hyperlink r:id="rId2512" ref="C2514"/>
    <hyperlink r:id="rId2513" ref="C2515"/>
    <hyperlink r:id="rId2514" ref="C2516"/>
    <hyperlink r:id="rId2515" ref="C2517"/>
    <hyperlink r:id="rId2516" ref="C2518"/>
    <hyperlink r:id="rId2517" ref="C2519"/>
    <hyperlink r:id="rId2518" ref="C2520"/>
    <hyperlink r:id="rId2519" ref="C2521"/>
    <hyperlink r:id="rId2520" ref="C2522"/>
    <hyperlink r:id="rId2521" ref="C2523"/>
    <hyperlink r:id="rId2522" ref="C2524"/>
    <hyperlink r:id="rId2523" ref="C2525"/>
    <hyperlink r:id="rId2524" ref="C2526"/>
    <hyperlink r:id="rId2525" ref="C2527"/>
    <hyperlink r:id="rId2526" ref="C2528"/>
    <hyperlink r:id="rId2527" ref="C2529"/>
    <hyperlink r:id="rId2528" ref="C2530"/>
    <hyperlink r:id="rId2529" ref="C2531"/>
    <hyperlink r:id="rId2530" ref="C2532"/>
    <hyperlink r:id="rId2531" ref="C2533"/>
    <hyperlink r:id="rId2532" ref="C2534"/>
    <hyperlink r:id="rId2533" ref="C2535"/>
    <hyperlink r:id="rId2534" ref="C2536"/>
    <hyperlink r:id="rId2535" ref="C2537"/>
    <hyperlink r:id="rId2536" ref="C2538"/>
    <hyperlink r:id="rId2537" ref="C2539"/>
    <hyperlink r:id="rId2538" ref="C2540"/>
    <hyperlink r:id="rId2539" ref="C2541"/>
    <hyperlink r:id="rId2540" ref="C2542"/>
    <hyperlink r:id="rId2541" ref="C2543"/>
    <hyperlink r:id="rId2542" ref="C2544"/>
    <hyperlink r:id="rId2543" ref="C2545"/>
    <hyperlink r:id="rId2544" ref="C2546"/>
    <hyperlink r:id="rId2545" ref="C2547"/>
    <hyperlink r:id="rId2546" ref="C2548"/>
    <hyperlink r:id="rId2547" ref="C2549"/>
    <hyperlink r:id="rId2548" ref="C2550"/>
    <hyperlink r:id="rId2549" ref="C2551"/>
    <hyperlink r:id="rId2550" ref="C2552"/>
    <hyperlink r:id="rId2551" ref="C2553"/>
    <hyperlink r:id="rId2552" ref="C2554"/>
    <hyperlink r:id="rId2553" ref="C2555"/>
    <hyperlink r:id="rId2554" ref="C2556"/>
    <hyperlink r:id="rId2555" ref="C2557"/>
    <hyperlink r:id="rId2556" ref="C2558"/>
    <hyperlink r:id="rId2557" ref="C2559"/>
    <hyperlink r:id="rId2558" ref="C2560"/>
    <hyperlink r:id="rId2559" ref="C2561"/>
    <hyperlink r:id="rId2560" ref="C2562"/>
    <hyperlink r:id="rId2561" ref="C2563"/>
    <hyperlink r:id="rId2562" ref="C2564"/>
    <hyperlink r:id="rId2563" ref="C2565"/>
    <hyperlink r:id="rId2564" ref="C2566"/>
    <hyperlink r:id="rId2565" ref="C2567"/>
    <hyperlink r:id="rId2566" ref="C2568"/>
    <hyperlink r:id="rId2567" ref="C2569"/>
    <hyperlink r:id="rId2568" ref="C2570"/>
    <hyperlink r:id="rId2569" ref="C2571"/>
    <hyperlink r:id="rId2570" ref="C2572"/>
    <hyperlink r:id="rId2571" ref="C2573"/>
    <hyperlink r:id="rId2572" ref="C2574"/>
    <hyperlink r:id="rId2573" ref="C2575"/>
    <hyperlink r:id="rId2574" ref="C2576"/>
    <hyperlink r:id="rId2575" ref="C2577"/>
    <hyperlink r:id="rId2576" ref="C2578"/>
    <hyperlink r:id="rId2577" ref="C2579"/>
    <hyperlink r:id="rId2578" ref="C2580"/>
    <hyperlink r:id="rId2579" ref="C2581"/>
    <hyperlink r:id="rId2580" ref="C2582"/>
    <hyperlink r:id="rId2581" ref="C2583"/>
    <hyperlink r:id="rId2582" ref="C2584"/>
    <hyperlink r:id="rId2583" ref="C2585"/>
    <hyperlink r:id="rId2584" ref="C2586"/>
    <hyperlink r:id="rId2585" ref="C2587"/>
    <hyperlink r:id="rId2586" ref="C2588"/>
    <hyperlink r:id="rId2587" ref="C2589"/>
    <hyperlink r:id="rId2588" ref="C2590"/>
    <hyperlink r:id="rId2589" ref="C2591"/>
    <hyperlink r:id="rId2590" ref="C2592"/>
    <hyperlink r:id="rId2591" ref="C2593"/>
    <hyperlink r:id="rId2592" ref="C2594"/>
    <hyperlink r:id="rId2593" ref="C2595"/>
    <hyperlink r:id="rId2594" ref="C2596"/>
    <hyperlink r:id="rId2595" ref="C2597"/>
    <hyperlink r:id="rId2596" ref="C2598"/>
    <hyperlink r:id="rId2597" ref="C2599"/>
    <hyperlink r:id="rId2598" ref="C2600"/>
    <hyperlink r:id="rId2599" ref="C2601"/>
    <hyperlink r:id="rId2600" ref="C2602"/>
    <hyperlink r:id="rId2601" ref="C2603"/>
    <hyperlink r:id="rId2602" ref="C2604"/>
    <hyperlink r:id="rId2603" ref="C2605"/>
    <hyperlink r:id="rId2604" ref="C2606"/>
    <hyperlink r:id="rId2605" ref="C2607"/>
    <hyperlink r:id="rId2606" ref="C2608"/>
    <hyperlink r:id="rId2607" ref="C2609"/>
    <hyperlink r:id="rId2608" ref="C2610"/>
    <hyperlink r:id="rId2609" ref="C2611"/>
    <hyperlink r:id="rId2610" ref="C2612"/>
    <hyperlink r:id="rId2611" ref="C2613"/>
    <hyperlink r:id="rId2612" ref="C2614"/>
    <hyperlink r:id="rId2613" ref="C2615"/>
    <hyperlink r:id="rId2614" ref="C2616"/>
    <hyperlink r:id="rId2615" ref="C2617"/>
    <hyperlink r:id="rId2616" ref="C2618"/>
    <hyperlink r:id="rId2617" ref="C2619"/>
    <hyperlink r:id="rId2618" ref="C2620"/>
    <hyperlink r:id="rId2619" ref="C2621"/>
    <hyperlink r:id="rId2620" ref="C2622"/>
    <hyperlink r:id="rId2621" ref="C2623"/>
    <hyperlink r:id="rId2622" ref="C2624"/>
    <hyperlink r:id="rId2623" ref="C2625"/>
    <hyperlink r:id="rId2624" ref="C2626"/>
    <hyperlink r:id="rId2625" ref="C2627"/>
    <hyperlink r:id="rId2626" ref="C2628"/>
    <hyperlink r:id="rId2627" ref="C2629"/>
    <hyperlink r:id="rId2628" ref="C2630"/>
    <hyperlink r:id="rId2629" ref="C2631"/>
    <hyperlink r:id="rId2630" ref="C2632"/>
    <hyperlink r:id="rId2631" ref="C2633"/>
    <hyperlink r:id="rId2632" ref="C2634"/>
    <hyperlink r:id="rId2633" ref="C2635"/>
    <hyperlink r:id="rId2634" ref="C2636"/>
    <hyperlink r:id="rId2635" ref="C2637"/>
    <hyperlink r:id="rId2636" ref="C2638"/>
    <hyperlink r:id="rId2637" ref="C2639"/>
    <hyperlink r:id="rId2638" ref="C2640"/>
    <hyperlink r:id="rId2639" ref="C2641"/>
    <hyperlink r:id="rId2640" ref="C2642"/>
    <hyperlink r:id="rId2641" ref="C2643"/>
    <hyperlink r:id="rId2642" ref="C2644"/>
    <hyperlink r:id="rId2643" ref="C2645"/>
    <hyperlink r:id="rId2644" ref="C2646"/>
    <hyperlink r:id="rId2645" ref="C2647"/>
    <hyperlink r:id="rId2646" ref="C2648"/>
    <hyperlink r:id="rId2647" ref="C2649"/>
    <hyperlink r:id="rId2648" ref="C2650"/>
    <hyperlink r:id="rId2649" ref="C2651"/>
    <hyperlink r:id="rId2650" ref="C2652"/>
    <hyperlink r:id="rId2651" ref="C2653"/>
    <hyperlink r:id="rId2652" ref="C2654"/>
    <hyperlink r:id="rId2653" ref="C2655"/>
    <hyperlink r:id="rId2654" ref="C2656"/>
    <hyperlink r:id="rId2655" ref="C2657"/>
    <hyperlink r:id="rId2656" ref="C2658"/>
    <hyperlink r:id="rId2657" ref="C2659"/>
    <hyperlink r:id="rId2658" ref="C2660"/>
    <hyperlink r:id="rId2659" ref="C2661"/>
    <hyperlink r:id="rId2660" ref="C2662"/>
    <hyperlink r:id="rId2661" ref="C2663"/>
    <hyperlink r:id="rId2662" ref="C2664"/>
    <hyperlink r:id="rId2663" ref="C2665"/>
    <hyperlink r:id="rId2664" ref="C2666"/>
    <hyperlink r:id="rId2665" ref="C2667"/>
    <hyperlink r:id="rId2666" ref="C2668"/>
    <hyperlink r:id="rId2667" ref="C2669"/>
    <hyperlink r:id="rId2668" ref="C2670"/>
    <hyperlink r:id="rId2669" ref="C2671"/>
    <hyperlink r:id="rId2670" ref="C2672"/>
    <hyperlink r:id="rId2671" ref="C2673"/>
    <hyperlink r:id="rId2672" ref="C2674"/>
    <hyperlink r:id="rId2673" ref="C2675"/>
    <hyperlink r:id="rId2674" ref="C2676"/>
    <hyperlink r:id="rId2675" ref="C2677"/>
    <hyperlink r:id="rId2676" ref="C2678"/>
    <hyperlink r:id="rId2677" ref="C2679"/>
    <hyperlink r:id="rId2678" ref="C2680"/>
    <hyperlink r:id="rId2679" ref="C2681"/>
    <hyperlink r:id="rId2680" ref="C2682"/>
    <hyperlink r:id="rId2681" ref="C2683"/>
    <hyperlink r:id="rId2682" ref="C2684"/>
    <hyperlink r:id="rId2683" ref="C2685"/>
    <hyperlink r:id="rId2684" ref="C2686"/>
    <hyperlink r:id="rId2685" ref="C2687"/>
    <hyperlink r:id="rId2686" ref="C2688"/>
    <hyperlink r:id="rId2687" ref="C2689"/>
    <hyperlink r:id="rId2688" ref="C2690"/>
    <hyperlink r:id="rId2689" ref="C2691"/>
    <hyperlink r:id="rId2690" ref="C2692"/>
    <hyperlink r:id="rId2691" ref="C2693"/>
    <hyperlink r:id="rId2692" ref="C2694"/>
    <hyperlink r:id="rId2693" ref="C2695"/>
    <hyperlink r:id="rId2694" ref="C2696"/>
    <hyperlink r:id="rId2695" ref="C2697"/>
    <hyperlink r:id="rId2696" ref="C2698"/>
    <hyperlink r:id="rId2697" ref="C2699"/>
    <hyperlink r:id="rId2698" ref="C2700"/>
    <hyperlink r:id="rId2699" ref="C2701"/>
    <hyperlink r:id="rId2700" ref="C2702"/>
    <hyperlink r:id="rId2701" ref="C2703"/>
    <hyperlink r:id="rId2702" ref="C2704"/>
    <hyperlink r:id="rId2703" ref="C2705"/>
    <hyperlink r:id="rId2704" ref="C2706"/>
    <hyperlink r:id="rId2705" ref="C2707"/>
    <hyperlink r:id="rId2706" ref="C2708"/>
    <hyperlink r:id="rId2707" ref="C2709"/>
    <hyperlink r:id="rId2708" ref="C2710"/>
    <hyperlink r:id="rId2709" ref="C2711"/>
    <hyperlink r:id="rId2710" ref="C2712"/>
    <hyperlink r:id="rId2711" ref="C2713"/>
    <hyperlink r:id="rId2712" ref="C2714"/>
    <hyperlink r:id="rId2713" ref="C2715"/>
    <hyperlink r:id="rId2714" ref="C2716"/>
    <hyperlink r:id="rId2715" ref="C2717"/>
    <hyperlink r:id="rId2716" ref="C2718"/>
    <hyperlink r:id="rId2717" ref="C2719"/>
    <hyperlink r:id="rId2718" ref="C2720"/>
    <hyperlink r:id="rId2719" ref="C2721"/>
    <hyperlink r:id="rId2720" ref="C2722"/>
    <hyperlink r:id="rId2721" ref="C2723"/>
    <hyperlink r:id="rId2722" ref="C2724"/>
    <hyperlink r:id="rId2723" ref="C2725"/>
    <hyperlink r:id="rId2724" ref="C2726"/>
    <hyperlink r:id="rId2725" ref="C2727"/>
    <hyperlink r:id="rId2726" ref="C2728"/>
    <hyperlink r:id="rId2727" ref="C2729"/>
    <hyperlink r:id="rId2728" ref="C2730"/>
    <hyperlink r:id="rId2729" ref="C2731"/>
    <hyperlink r:id="rId2730" ref="C2732"/>
    <hyperlink r:id="rId2731" ref="C2733"/>
    <hyperlink r:id="rId2732" ref="C2734"/>
    <hyperlink r:id="rId2733" ref="C2735"/>
    <hyperlink r:id="rId2734" ref="C2736"/>
    <hyperlink r:id="rId2735" ref="C2737"/>
    <hyperlink r:id="rId2736" ref="C2738"/>
    <hyperlink r:id="rId2737" ref="C2739"/>
    <hyperlink r:id="rId2738" ref="C2740"/>
    <hyperlink r:id="rId2739" ref="C2741"/>
    <hyperlink r:id="rId2740" ref="C2742"/>
    <hyperlink r:id="rId2741" ref="C2743"/>
    <hyperlink r:id="rId2742" ref="C2744"/>
    <hyperlink r:id="rId2743" ref="C2745"/>
    <hyperlink r:id="rId2744" ref="C2746"/>
    <hyperlink r:id="rId2745" ref="C2747"/>
    <hyperlink r:id="rId2746" ref="C2748"/>
    <hyperlink r:id="rId2747" ref="C2749"/>
    <hyperlink r:id="rId2748" ref="C2750"/>
    <hyperlink r:id="rId2749" ref="C2751"/>
    <hyperlink r:id="rId2750" ref="C2752"/>
    <hyperlink r:id="rId2751" ref="C2753"/>
    <hyperlink r:id="rId2752" ref="C2754"/>
    <hyperlink r:id="rId2753" ref="C2755"/>
    <hyperlink r:id="rId2754" ref="C2756"/>
    <hyperlink r:id="rId2755" ref="C2757"/>
    <hyperlink r:id="rId2756" ref="C2758"/>
    <hyperlink r:id="rId2757" ref="C2759"/>
    <hyperlink r:id="rId2758" ref="C2760"/>
    <hyperlink r:id="rId2759" ref="C2761"/>
    <hyperlink r:id="rId2760" ref="C2762"/>
    <hyperlink r:id="rId2761" ref="C2763"/>
    <hyperlink r:id="rId2762" ref="C2764"/>
    <hyperlink r:id="rId2763" ref="C2765"/>
    <hyperlink r:id="rId2764" ref="C2766"/>
    <hyperlink r:id="rId2765" ref="C2767"/>
    <hyperlink r:id="rId2766" ref="C2768"/>
    <hyperlink r:id="rId2767" ref="C2769"/>
    <hyperlink r:id="rId2768" ref="C2770"/>
    <hyperlink r:id="rId2769" ref="C2771"/>
    <hyperlink r:id="rId2770" ref="C2772"/>
    <hyperlink r:id="rId2771" ref="C2773"/>
    <hyperlink r:id="rId2772" ref="C2774"/>
    <hyperlink r:id="rId2773" ref="C2775"/>
    <hyperlink r:id="rId2774" ref="C2776"/>
    <hyperlink r:id="rId2775" ref="C2777"/>
    <hyperlink r:id="rId2776" ref="C2778"/>
    <hyperlink r:id="rId2777" ref="C2779"/>
    <hyperlink r:id="rId2778" ref="C2780"/>
    <hyperlink r:id="rId2779" ref="C2781"/>
    <hyperlink r:id="rId2780" ref="C2782"/>
    <hyperlink r:id="rId2781" ref="C2783"/>
    <hyperlink r:id="rId2782" ref="C2784"/>
    <hyperlink r:id="rId2783" ref="C2785"/>
    <hyperlink r:id="rId2784" ref="C2786"/>
    <hyperlink r:id="rId2785" ref="C2787"/>
    <hyperlink r:id="rId2786" ref="C2788"/>
    <hyperlink r:id="rId2787" ref="C2789"/>
    <hyperlink r:id="rId2788" ref="C2790"/>
    <hyperlink r:id="rId2789" ref="C2791"/>
    <hyperlink r:id="rId2790" ref="C2792"/>
    <hyperlink r:id="rId2791" ref="C2793"/>
    <hyperlink r:id="rId2792" ref="C2794"/>
    <hyperlink r:id="rId2793" ref="C2795"/>
    <hyperlink r:id="rId2794" ref="C2796"/>
    <hyperlink r:id="rId2795" ref="C2797"/>
    <hyperlink r:id="rId2796" ref="C2798"/>
    <hyperlink r:id="rId2797" ref="C2799"/>
    <hyperlink r:id="rId2798" ref="C2800"/>
    <hyperlink r:id="rId2799" ref="C2801"/>
    <hyperlink r:id="rId2800" ref="C2802"/>
    <hyperlink r:id="rId2801" ref="C2803"/>
    <hyperlink r:id="rId2802" ref="C2804"/>
    <hyperlink r:id="rId2803" ref="C2805"/>
    <hyperlink r:id="rId2804" ref="C2806"/>
    <hyperlink r:id="rId2805" ref="C2807"/>
    <hyperlink r:id="rId2806" ref="C2808"/>
    <hyperlink r:id="rId2807" ref="C2809"/>
    <hyperlink r:id="rId2808" ref="C2810"/>
    <hyperlink r:id="rId2809" ref="C2811"/>
    <hyperlink r:id="rId2810" ref="C2812"/>
    <hyperlink r:id="rId2811" ref="C2813"/>
    <hyperlink r:id="rId2812" ref="C2814"/>
    <hyperlink r:id="rId2813" ref="C2815"/>
    <hyperlink r:id="rId2814" ref="C2816"/>
    <hyperlink r:id="rId2815" ref="C2817"/>
    <hyperlink r:id="rId2816" ref="C2818"/>
    <hyperlink r:id="rId2817" ref="C2819"/>
    <hyperlink r:id="rId2818" ref="C2820"/>
    <hyperlink r:id="rId2819" ref="C2821"/>
    <hyperlink r:id="rId2820" ref="C2822"/>
    <hyperlink r:id="rId2821" ref="C2823"/>
    <hyperlink r:id="rId2822" ref="C2824"/>
    <hyperlink r:id="rId2823" ref="C2825"/>
    <hyperlink r:id="rId2824" ref="C2826"/>
    <hyperlink r:id="rId2825" ref="C2827"/>
    <hyperlink r:id="rId2826" ref="C2828"/>
    <hyperlink r:id="rId2827" ref="C2829"/>
    <hyperlink r:id="rId2828" ref="C2830"/>
    <hyperlink r:id="rId2829" ref="C2831"/>
    <hyperlink r:id="rId2830" ref="C2832"/>
    <hyperlink r:id="rId2831" ref="C2833"/>
    <hyperlink r:id="rId2832" ref="C2834"/>
    <hyperlink r:id="rId2833" ref="C2835"/>
    <hyperlink r:id="rId2834" ref="C2836"/>
    <hyperlink r:id="rId2835" ref="C2837"/>
    <hyperlink r:id="rId2836" ref="C2838"/>
    <hyperlink r:id="rId2837" ref="C2839"/>
    <hyperlink r:id="rId2838" ref="C2840"/>
    <hyperlink r:id="rId2839" ref="C2841"/>
    <hyperlink r:id="rId2840" ref="C2842"/>
    <hyperlink r:id="rId2841" ref="C2843"/>
    <hyperlink r:id="rId2842" ref="C2844"/>
    <hyperlink r:id="rId2843" ref="C2845"/>
    <hyperlink r:id="rId2844" ref="C2846"/>
    <hyperlink r:id="rId2845" ref="C2847"/>
    <hyperlink r:id="rId2846" ref="C2848"/>
    <hyperlink r:id="rId2847" ref="C2849"/>
    <hyperlink r:id="rId2848" ref="C2850"/>
    <hyperlink r:id="rId2849" ref="C2851"/>
    <hyperlink r:id="rId2850" ref="C2852"/>
    <hyperlink r:id="rId2851" ref="C2853"/>
    <hyperlink r:id="rId2852" ref="C2854"/>
    <hyperlink r:id="rId2853" ref="C2855"/>
    <hyperlink r:id="rId2854" ref="C2856"/>
    <hyperlink r:id="rId2855" ref="C2857"/>
    <hyperlink r:id="rId2856" ref="C2858"/>
    <hyperlink r:id="rId2857" ref="C2859"/>
    <hyperlink r:id="rId2858" ref="C2860"/>
    <hyperlink r:id="rId2859" ref="C2861"/>
    <hyperlink r:id="rId2860" ref="C2862"/>
    <hyperlink r:id="rId2861" ref="C2863"/>
    <hyperlink r:id="rId2862" ref="C2864"/>
    <hyperlink r:id="rId2863" ref="C2865"/>
    <hyperlink r:id="rId2864" ref="C2866"/>
    <hyperlink r:id="rId2865" ref="C2867"/>
    <hyperlink r:id="rId2866" ref="C2868"/>
    <hyperlink r:id="rId2867" ref="C2869"/>
    <hyperlink r:id="rId2868" ref="C2870"/>
    <hyperlink r:id="rId2869" ref="C2871"/>
    <hyperlink r:id="rId2870" ref="C2872"/>
    <hyperlink r:id="rId2871" ref="C2873"/>
    <hyperlink r:id="rId2872" ref="C2874"/>
    <hyperlink r:id="rId2873" ref="C2875"/>
    <hyperlink r:id="rId2874" ref="C2876"/>
    <hyperlink r:id="rId2875" ref="C2877"/>
    <hyperlink r:id="rId2876" ref="C2878"/>
    <hyperlink r:id="rId2877" ref="C2879"/>
    <hyperlink r:id="rId2878" ref="C2880"/>
    <hyperlink r:id="rId2879" ref="C2881"/>
    <hyperlink r:id="rId2880" ref="C2882"/>
    <hyperlink r:id="rId2881" ref="C2883"/>
    <hyperlink r:id="rId2882" ref="C2884"/>
    <hyperlink r:id="rId2883" ref="C2885"/>
    <hyperlink r:id="rId2884" ref="C2886"/>
    <hyperlink r:id="rId2885" ref="C2887"/>
    <hyperlink r:id="rId2886" ref="C2888"/>
    <hyperlink r:id="rId2887" ref="C2889"/>
    <hyperlink r:id="rId2888" ref="C2890"/>
    <hyperlink r:id="rId2889" ref="C2891"/>
    <hyperlink r:id="rId2890" ref="C2892"/>
    <hyperlink r:id="rId2891" ref="C2893"/>
    <hyperlink r:id="rId2892" ref="C2894"/>
    <hyperlink r:id="rId2893" ref="C2895"/>
    <hyperlink r:id="rId2894" ref="C2896"/>
    <hyperlink r:id="rId2895" ref="C2897"/>
    <hyperlink r:id="rId2896" ref="C2898"/>
    <hyperlink r:id="rId2897" ref="C2899"/>
    <hyperlink r:id="rId2898" ref="C2900"/>
    <hyperlink r:id="rId2899" ref="C2901"/>
    <hyperlink r:id="rId2900" ref="C2902"/>
    <hyperlink r:id="rId2901" ref="C2903"/>
    <hyperlink r:id="rId2902" ref="C2904"/>
    <hyperlink r:id="rId2903" ref="C2905"/>
    <hyperlink r:id="rId2904" ref="C2906"/>
    <hyperlink r:id="rId2905" ref="C2907"/>
    <hyperlink r:id="rId2906" ref="C2908"/>
    <hyperlink r:id="rId2907" ref="C2909"/>
    <hyperlink r:id="rId2908" ref="C2910"/>
    <hyperlink r:id="rId2909" ref="C2911"/>
    <hyperlink r:id="rId2910" ref="C2912"/>
    <hyperlink r:id="rId2911" ref="C2913"/>
    <hyperlink r:id="rId2912" ref="C2914"/>
    <hyperlink r:id="rId2913" ref="C2915"/>
    <hyperlink r:id="rId2914" ref="C2916"/>
    <hyperlink r:id="rId2915" ref="C2917"/>
    <hyperlink r:id="rId2916" ref="C2918"/>
    <hyperlink r:id="rId2917" ref="C2919"/>
    <hyperlink r:id="rId2918" ref="C2920"/>
    <hyperlink r:id="rId2919" ref="C2921"/>
    <hyperlink r:id="rId2920" ref="C2922"/>
    <hyperlink r:id="rId2921" ref="C2923"/>
    <hyperlink r:id="rId2922" ref="C2924"/>
    <hyperlink r:id="rId2923" ref="C2925"/>
    <hyperlink r:id="rId2924" ref="C2926"/>
    <hyperlink r:id="rId2925" ref="C2927"/>
    <hyperlink r:id="rId2926" ref="C2928"/>
    <hyperlink r:id="rId2927" ref="C2929"/>
    <hyperlink r:id="rId2928" ref="C2930"/>
    <hyperlink r:id="rId2929" ref="C2931"/>
    <hyperlink r:id="rId2930" ref="C2932"/>
    <hyperlink r:id="rId2931" ref="C2933"/>
    <hyperlink r:id="rId2932" ref="C2934"/>
    <hyperlink r:id="rId2933" ref="C2935"/>
    <hyperlink r:id="rId2934" ref="C2936"/>
    <hyperlink r:id="rId2935" ref="C2937"/>
    <hyperlink r:id="rId2936" ref="C2938"/>
    <hyperlink r:id="rId2937" ref="C2939"/>
    <hyperlink r:id="rId2938" ref="C2940"/>
    <hyperlink r:id="rId2939" ref="C2941"/>
    <hyperlink r:id="rId2940" ref="C2942"/>
    <hyperlink r:id="rId2941" ref="C2943"/>
    <hyperlink r:id="rId2942" ref="C2944"/>
    <hyperlink r:id="rId2943" ref="C2945"/>
    <hyperlink r:id="rId2944" ref="C2946"/>
    <hyperlink r:id="rId2945" ref="C2947"/>
    <hyperlink r:id="rId2946" ref="C2948"/>
    <hyperlink r:id="rId2947" ref="C2949"/>
    <hyperlink r:id="rId2948" ref="C2950"/>
    <hyperlink r:id="rId2949" ref="C2951"/>
    <hyperlink r:id="rId2950" ref="C2952"/>
    <hyperlink r:id="rId2951" ref="C2953"/>
    <hyperlink r:id="rId2952" ref="C2954"/>
    <hyperlink r:id="rId2953" ref="C2955"/>
    <hyperlink r:id="rId2954" ref="C2956"/>
    <hyperlink r:id="rId2955" ref="C2957"/>
    <hyperlink r:id="rId2956" ref="C2958"/>
    <hyperlink r:id="rId2957" ref="C2959"/>
    <hyperlink r:id="rId2958" ref="C2960"/>
    <hyperlink r:id="rId2959" ref="C2961"/>
    <hyperlink r:id="rId2960" ref="C2962"/>
    <hyperlink r:id="rId2961" ref="C2963"/>
    <hyperlink r:id="rId2962" ref="C2964"/>
    <hyperlink r:id="rId2963" ref="C2965"/>
    <hyperlink r:id="rId2964" ref="C2966"/>
    <hyperlink r:id="rId2965" ref="C2967"/>
    <hyperlink r:id="rId2966" ref="C2968"/>
    <hyperlink r:id="rId2967" ref="C2969"/>
    <hyperlink r:id="rId2968" ref="C2970"/>
    <hyperlink r:id="rId2969" ref="C2971"/>
    <hyperlink r:id="rId2970" ref="C2972"/>
    <hyperlink r:id="rId2971" ref="C2973"/>
    <hyperlink r:id="rId2972" ref="C2974"/>
    <hyperlink r:id="rId2973" ref="C2975"/>
    <hyperlink r:id="rId2974" ref="C2976"/>
    <hyperlink r:id="rId2975" ref="C2977"/>
    <hyperlink r:id="rId2976" ref="C2978"/>
    <hyperlink r:id="rId2977" ref="C2979"/>
    <hyperlink r:id="rId2978" ref="C2980"/>
    <hyperlink r:id="rId2979" ref="C2981"/>
    <hyperlink r:id="rId2980" ref="C2982"/>
    <hyperlink r:id="rId2981" ref="C2983"/>
    <hyperlink r:id="rId2982" ref="C2984"/>
    <hyperlink r:id="rId2983" ref="C2985"/>
    <hyperlink r:id="rId2984" ref="C2986"/>
    <hyperlink r:id="rId2985" ref="C2987"/>
    <hyperlink r:id="rId2986" ref="C2988"/>
    <hyperlink r:id="rId2987" ref="C2989"/>
    <hyperlink r:id="rId2988" ref="C2990"/>
    <hyperlink r:id="rId2989" ref="C2991"/>
    <hyperlink r:id="rId2990" ref="C2992"/>
    <hyperlink r:id="rId2991" ref="C2993"/>
    <hyperlink r:id="rId2992" ref="C2994"/>
    <hyperlink r:id="rId2993" ref="C2995"/>
    <hyperlink r:id="rId2994" ref="C2996"/>
    <hyperlink r:id="rId2995" ref="C2997"/>
    <hyperlink r:id="rId2996" ref="C2998"/>
    <hyperlink r:id="rId2997" ref="C2999"/>
    <hyperlink r:id="rId2998" ref="C3000"/>
    <hyperlink r:id="rId2999" ref="C3001"/>
    <hyperlink r:id="rId3000" ref="C3002"/>
    <hyperlink r:id="rId3001" ref="C3003"/>
    <hyperlink r:id="rId3002" ref="C3004"/>
    <hyperlink r:id="rId3003" ref="C3005"/>
    <hyperlink r:id="rId3004" ref="C3006"/>
    <hyperlink r:id="rId3005" ref="C3007"/>
    <hyperlink r:id="rId3006" ref="C3008"/>
    <hyperlink r:id="rId3007" ref="C3009"/>
    <hyperlink r:id="rId3008" ref="C3010"/>
    <hyperlink r:id="rId3009" ref="C3011"/>
    <hyperlink r:id="rId3010" ref="C3012"/>
    <hyperlink r:id="rId3011" ref="C3013"/>
    <hyperlink r:id="rId3012" ref="C3014"/>
    <hyperlink r:id="rId3013" ref="C3015"/>
    <hyperlink r:id="rId3014" ref="C3016"/>
    <hyperlink r:id="rId3015" ref="C3017"/>
    <hyperlink r:id="rId3016" ref="C3018"/>
    <hyperlink r:id="rId3017" ref="C3019"/>
    <hyperlink r:id="rId3018" ref="C3020"/>
    <hyperlink r:id="rId3019" ref="C3021"/>
    <hyperlink r:id="rId3020" ref="C3022"/>
    <hyperlink r:id="rId3021" ref="C3023"/>
    <hyperlink r:id="rId3022" ref="C3024"/>
    <hyperlink r:id="rId3023" ref="C3025"/>
    <hyperlink r:id="rId3024" ref="C3026"/>
    <hyperlink r:id="rId3025" ref="C3027"/>
    <hyperlink r:id="rId3026" ref="C3028"/>
    <hyperlink r:id="rId3027" ref="C3029"/>
    <hyperlink r:id="rId3028" ref="C3030"/>
    <hyperlink r:id="rId3029" ref="C3031"/>
    <hyperlink r:id="rId3030" ref="C3032"/>
    <hyperlink r:id="rId3031" ref="C3033"/>
    <hyperlink r:id="rId3032" ref="C3034"/>
    <hyperlink r:id="rId3033" ref="C3035"/>
    <hyperlink r:id="rId3034" ref="C3036"/>
    <hyperlink r:id="rId3035" ref="C3037"/>
    <hyperlink r:id="rId3036" ref="C3038"/>
    <hyperlink r:id="rId3037" ref="C3039"/>
    <hyperlink r:id="rId3038" ref="C3040"/>
    <hyperlink r:id="rId3039" ref="C3041"/>
    <hyperlink r:id="rId3040" ref="C3042"/>
    <hyperlink r:id="rId3041" ref="C3043"/>
    <hyperlink r:id="rId3042" ref="C3044"/>
    <hyperlink r:id="rId3043" ref="C3045"/>
    <hyperlink r:id="rId3044" ref="C3046"/>
    <hyperlink r:id="rId3045" ref="C3047"/>
    <hyperlink r:id="rId3046" ref="C3048"/>
    <hyperlink r:id="rId3047" ref="C3049"/>
    <hyperlink r:id="rId3048" ref="C3050"/>
    <hyperlink r:id="rId3049" ref="C3051"/>
    <hyperlink r:id="rId3050" ref="C3052"/>
    <hyperlink r:id="rId3051" ref="C3053"/>
    <hyperlink r:id="rId3052" ref="C3054"/>
    <hyperlink r:id="rId3053" ref="C3055"/>
    <hyperlink r:id="rId3054" ref="C3056"/>
    <hyperlink r:id="rId3055" ref="C3057"/>
    <hyperlink r:id="rId3056" ref="C3058"/>
    <hyperlink r:id="rId3057" ref="C3059"/>
    <hyperlink r:id="rId3058" ref="C3060"/>
    <hyperlink r:id="rId3059" ref="C3061"/>
    <hyperlink r:id="rId3060" ref="C3062"/>
    <hyperlink r:id="rId3061" ref="C3063"/>
    <hyperlink r:id="rId3062" ref="C3064"/>
    <hyperlink r:id="rId3063" ref="C3065"/>
    <hyperlink r:id="rId3064" ref="C3066"/>
    <hyperlink r:id="rId3065" ref="C3067"/>
    <hyperlink r:id="rId3066" ref="C3068"/>
    <hyperlink r:id="rId3067" ref="C3069"/>
    <hyperlink r:id="rId3068" ref="C3070"/>
    <hyperlink r:id="rId3069" ref="C3071"/>
    <hyperlink r:id="rId3070" ref="C3072"/>
    <hyperlink r:id="rId3071" ref="C3073"/>
    <hyperlink r:id="rId3072" ref="C3074"/>
    <hyperlink r:id="rId3073" ref="C3075"/>
    <hyperlink r:id="rId3074" ref="C3076"/>
    <hyperlink r:id="rId3075" ref="C3077"/>
    <hyperlink r:id="rId3076" ref="C3078"/>
    <hyperlink r:id="rId3077" ref="C3079"/>
    <hyperlink r:id="rId3078" ref="C3080"/>
    <hyperlink r:id="rId3079" ref="C3081"/>
    <hyperlink r:id="rId3080" ref="C3082"/>
    <hyperlink r:id="rId3081" ref="C3083"/>
    <hyperlink r:id="rId3082" ref="C3084"/>
    <hyperlink r:id="rId3083" ref="C3085"/>
    <hyperlink r:id="rId3084" ref="C3086"/>
    <hyperlink r:id="rId3085" ref="C3087"/>
    <hyperlink r:id="rId3086" ref="C3088"/>
    <hyperlink r:id="rId3087" ref="C3089"/>
    <hyperlink r:id="rId3088" ref="C3090"/>
    <hyperlink r:id="rId3089" ref="C3091"/>
    <hyperlink r:id="rId3090" ref="C3092"/>
    <hyperlink r:id="rId3091" ref="C3093"/>
    <hyperlink r:id="rId3092" ref="C3094"/>
    <hyperlink r:id="rId3093" ref="C3095"/>
    <hyperlink r:id="rId3094" ref="C3096"/>
    <hyperlink r:id="rId3095" ref="C3097"/>
    <hyperlink r:id="rId3096" ref="C3098"/>
    <hyperlink r:id="rId3097" ref="C3099"/>
    <hyperlink r:id="rId3098" ref="C3100"/>
    <hyperlink r:id="rId3099" ref="C3101"/>
    <hyperlink r:id="rId3100" ref="C3102"/>
    <hyperlink r:id="rId3101" ref="C3103"/>
    <hyperlink r:id="rId3102" ref="C3104"/>
    <hyperlink r:id="rId3103" ref="C3105"/>
    <hyperlink r:id="rId3104" ref="C3106"/>
    <hyperlink r:id="rId3105" ref="C3107"/>
    <hyperlink r:id="rId3106" ref="C3108"/>
    <hyperlink r:id="rId3107" ref="C3109"/>
    <hyperlink r:id="rId3108" ref="C3110"/>
    <hyperlink r:id="rId3109" ref="C3111"/>
    <hyperlink r:id="rId3110" ref="C3112"/>
    <hyperlink r:id="rId3111" ref="C3113"/>
    <hyperlink r:id="rId3112" ref="C3114"/>
    <hyperlink r:id="rId3113" ref="C3115"/>
    <hyperlink r:id="rId3114" ref="C3116"/>
    <hyperlink r:id="rId3115" ref="C3117"/>
    <hyperlink r:id="rId3116" ref="C3118"/>
    <hyperlink r:id="rId3117" ref="C3119"/>
    <hyperlink r:id="rId3118" ref="C3120"/>
    <hyperlink r:id="rId3119" ref="C3121"/>
    <hyperlink r:id="rId3120" ref="C3122"/>
    <hyperlink r:id="rId3121" ref="C3123"/>
    <hyperlink r:id="rId3122" ref="C3124"/>
    <hyperlink r:id="rId3123" ref="C3125"/>
    <hyperlink r:id="rId3124" ref="C3126"/>
    <hyperlink r:id="rId3125" ref="C3127"/>
    <hyperlink r:id="rId3126" ref="C3128"/>
    <hyperlink r:id="rId3127" ref="C3129"/>
    <hyperlink r:id="rId3128" ref="C3130"/>
    <hyperlink r:id="rId3129" ref="C3131"/>
    <hyperlink r:id="rId3130" ref="C3132"/>
    <hyperlink r:id="rId3131" ref="C3133"/>
    <hyperlink r:id="rId3132" ref="C3134"/>
    <hyperlink r:id="rId3133" ref="C3135"/>
    <hyperlink r:id="rId3134" ref="C3136"/>
    <hyperlink r:id="rId3135" ref="C3137"/>
    <hyperlink r:id="rId3136" ref="C3138"/>
    <hyperlink r:id="rId3137" ref="C3139"/>
    <hyperlink r:id="rId3138" ref="C3140"/>
    <hyperlink r:id="rId3139" ref="C3141"/>
    <hyperlink r:id="rId3140" ref="C3142"/>
    <hyperlink r:id="rId3141" ref="C3143"/>
    <hyperlink r:id="rId3142" ref="C3144"/>
    <hyperlink r:id="rId3143" ref="C3145"/>
    <hyperlink r:id="rId3144" ref="C3146"/>
    <hyperlink r:id="rId3145" ref="C3147"/>
    <hyperlink r:id="rId3146" ref="C3148"/>
    <hyperlink r:id="rId3147" ref="C3149"/>
    <hyperlink r:id="rId3148" ref="C3150"/>
    <hyperlink r:id="rId3149" ref="C3151"/>
    <hyperlink r:id="rId3150" ref="C3152"/>
    <hyperlink r:id="rId3151" ref="C3153"/>
    <hyperlink r:id="rId3152" ref="C3154"/>
    <hyperlink r:id="rId3153" ref="C3155"/>
    <hyperlink r:id="rId3154" ref="C3156"/>
    <hyperlink r:id="rId3155" ref="C3157"/>
    <hyperlink r:id="rId3156" ref="C3158"/>
    <hyperlink r:id="rId3157" ref="C3159"/>
    <hyperlink r:id="rId3158" ref="C3160"/>
    <hyperlink r:id="rId3159" ref="C3161"/>
    <hyperlink r:id="rId3160" ref="C3162"/>
    <hyperlink r:id="rId3161" ref="C3163"/>
    <hyperlink r:id="rId3162" ref="C3164"/>
    <hyperlink r:id="rId3163" ref="C3165"/>
    <hyperlink r:id="rId3164" ref="C3166"/>
    <hyperlink r:id="rId3165" ref="C3167"/>
    <hyperlink r:id="rId3166" ref="C3168"/>
    <hyperlink r:id="rId3167" ref="C3169"/>
    <hyperlink r:id="rId3168" ref="C3170"/>
    <hyperlink r:id="rId3169" ref="C3171"/>
    <hyperlink r:id="rId3170" ref="C3172"/>
    <hyperlink r:id="rId3171" ref="C3173"/>
    <hyperlink r:id="rId3172" ref="C3174"/>
    <hyperlink r:id="rId3173" ref="C3175"/>
    <hyperlink r:id="rId3174" ref="C3176"/>
    <hyperlink r:id="rId3175" ref="C3177"/>
    <hyperlink r:id="rId3176" ref="C3178"/>
    <hyperlink r:id="rId3177" ref="C3179"/>
    <hyperlink r:id="rId3178" ref="C3180"/>
    <hyperlink r:id="rId3179" ref="C3181"/>
    <hyperlink r:id="rId3180" ref="C3182"/>
    <hyperlink r:id="rId3181" ref="C3183"/>
    <hyperlink r:id="rId3182" ref="C3184"/>
    <hyperlink r:id="rId3183" ref="C3185"/>
    <hyperlink r:id="rId3184" ref="C3186"/>
    <hyperlink r:id="rId3185" ref="C3187"/>
    <hyperlink r:id="rId3186" ref="C3188"/>
    <hyperlink r:id="rId3187" ref="C3189"/>
    <hyperlink r:id="rId3188" ref="C3190"/>
    <hyperlink r:id="rId3189" ref="C3191"/>
    <hyperlink r:id="rId3190" ref="C3192"/>
    <hyperlink r:id="rId3191" ref="C3193"/>
    <hyperlink r:id="rId3192" ref="C3194"/>
    <hyperlink r:id="rId3193" ref="C3195"/>
    <hyperlink r:id="rId3194" ref="C3196"/>
    <hyperlink r:id="rId3195" ref="C3197"/>
    <hyperlink r:id="rId3196" ref="C3198"/>
    <hyperlink r:id="rId3197" ref="C3199"/>
    <hyperlink r:id="rId3198" ref="C3200"/>
    <hyperlink r:id="rId3199" ref="C3201"/>
    <hyperlink r:id="rId3200" ref="C3202"/>
    <hyperlink r:id="rId3201" ref="C3203"/>
    <hyperlink r:id="rId3202" ref="C3204"/>
    <hyperlink r:id="rId3203" ref="C3205"/>
    <hyperlink r:id="rId3204" ref="C3206"/>
    <hyperlink r:id="rId3205" ref="C3207"/>
    <hyperlink r:id="rId3206" ref="C3208"/>
    <hyperlink r:id="rId3207" ref="C3209"/>
    <hyperlink r:id="rId3208" ref="C3210"/>
    <hyperlink r:id="rId3209" ref="C3211"/>
    <hyperlink r:id="rId3210" ref="C3212"/>
    <hyperlink r:id="rId3211" ref="C3213"/>
    <hyperlink r:id="rId3212" ref="C3214"/>
    <hyperlink r:id="rId3213" ref="C3215"/>
    <hyperlink r:id="rId3214" ref="C3216"/>
    <hyperlink r:id="rId3215" ref="C3217"/>
    <hyperlink r:id="rId3216" ref="C3218"/>
    <hyperlink r:id="rId3217" ref="C3219"/>
    <hyperlink r:id="rId3218" ref="C3220"/>
    <hyperlink r:id="rId3219" ref="C3221"/>
    <hyperlink r:id="rId3220" ref="C3222"/>
    <hyperlink r:id="rId3221" ref="C3223"/>
    <hyperlink r:id="rId3222" ref="C3224"/>
    <hyperlink r:id="rId3223" ref="C3225"/>
    <hyperlink r:id="rId3224" ref="C3226"/>
    <hyperlink r:id="rId3225" ref="C3227"/>
    <hyperlink r:id="rId3226" ref="C3228"/>
    <hyperlink r:id="rId3227" ref="C3229"/>
    <hyperlink r:id="rId3228" ref="C3230"/>
    <hyperlink r:id="rId3229" ref="C3231"/>
    <hyperlink r:id="rId3230" ref="C3232"/>
    <hyperlink r:id="rId3231" ref="C3233"/>
    <hyperlink r:id="rId3232" ref="C3234"/>
    <hyperlink r:id="rId3233" ref="C3235"/>
    <hyperlink r:id="rId3234" ref="C3236"/>
    <hyperlink r:id="rId3235" ref="C3237"/>
    <hyperlink r:id="rId3236" ref="C3238"/>
    <hyperlink r:id="rId3237" ref="C3239"/>
    <hyperlink r:id="rId3238" ref="C3240"/>
    <hyperlink r:id="rId3239" ref="C3241"/>
    <hyperlink r:id="rId3240" ref="C3242"/>
    <hyperlink r:id="rId3241" ref="C3243"/>
    <hyperlink r:id="rId3242" ref="C3244"/>
    <hyperlink r:id="rId3243" ref="C3245"/>
    <hyperlink r:id="rId3244" ref="C3246"/>
    <hyperlink r:id="rId3245" ref="C3247"/>
    <hyperlink r:id="rId3246" ref="C3248"/>
    <hyperlink r:id="rId3247" ref="C3249"/>
    <hyperlink r:id="rId3248" ref="C3250"/>
    <hyperlink r:id="rId3249" ref="C3251"/>
    <hyperlink r:id="rId3250" ref="C3252"/>
    <hyperlink r:id="rId3251" ref="C3253"/>
    <hyperlink r:id="rId3252" ref="C3254"/>
    <hyperlink r:id="rId3253" ref="C3255"/>
    <hyperlink r:id="rId3254" ref="C3256"/>
    <hyperlink r:id="rId3255" ref="C3257"/>
    <hyperlink r:id="rId3256" ref="C3258"/>
    <hyperlink r:id="rId3257" ref="C3259"/>
    <hyperlink r:id="rId3258" ref="C3260"/>
    <hyperlink r:id="rId3259" ref="C3261"/>
    <hyperlink r:id="rId3260" ref="C3262"/>
    <hyperlink r:id="rId3261" ref="C3263"/>
    <hyperlink r:id="rId3262" ref="C3264"/>
    <hyperlink r:id="rId3263" ref="C3265"/>
    <hyperlink r:id="rId3264" ref="C3266"/>
    <hyperlink r:id="rId3265" ref="C3267"/>
    <hyperlink r:id="rId3266" ref="C3268"/>
    <hyperlink r:id="rId3267" ref="C3269"/>
    <hyperlink r:id="rId3268" ref="C3270"/>
    <hyperlink r:id="rId3269" ref="C3271"/>
    <hyperlink r:id="rId3270" ref="C3272"/>
    <hyperlink r:id="rId3271" ref="C3273"/>
    <hyperlink r:id="rId3272" ref="C3274"/>
    <hyperlink r:id="rId3273" ref="C3275"/>
    <hyperlink r:id="rId3274" ref="C3276"/>
    <hyperlink r:id="rId3275" ref="C3277"/>
    <hyperlink r:id="rId3276" ref="C3278"/>
    <hyperlink r:id="rId3277" ref="C3279"/>
    <hyperlink r:id="rId3278" ref="C3280"/>
    <hyperlink r:id="rId3279" ref="C3281"/>
    <hyperlink r:id="rId3280" ref="C3282"/>
    <hyperlink r:id="rId3281" ref="C3283"/>
    <hyperlink r:id="rId3282" ref="C3284"/>
    <hyperlink r:id="rId3283" ref="C3285"/>
    <hyperlink r:id="rId3284" ref="C3286"/>
    <hyperlink r:id="rId3285" ref="C3287"/>
    <hyperlink r:id="rId3286" ref="C3288"/>
    <hyperlink r:id="rId3287" ref="C3289"/>
    <hyperlink r:id="rId3288" ref="C3290"/>
    <hyperlink r:id="rId3289" ref="C3291"/>
    <hyperlink r:id="rId3290" ref="C3292"/>
    <hyperlink r:id="rId3291" ref="C3293"/>
    <hyperlink r:id="rId3292" ref="C3294"/>
    <hyperlink r:id="rId3293" ref="C3295"/>
    <hyperlink r:id="rId3294" ref="C3296"/>
    <hyperlink r:id="rId3295" ref="C3297"/>
    <hyperlink r:id="rId3296" ref="C3298"/>
    <hyperlink r:id="rId3297" ref="C3299"/>
    <hyperlink r:id="rId3298" ref="C3300"/>
    <hyperlink r:id="rId3299" ref="C3301"/>
    <hyperlink r:id="rId3300" ref="C3302"/>
    <hyperlink r:id="rId3301" ref="C3303"/>
    <hyperlink r:id="rId3302" ref="C3304"/>
    <hyperlink r:id="rId3303" ref="C3305"/>
    <hyperlink r:id="rId3304" ref="C3306"/>
    <hyperlink r:id="rId3305" ref="C3307"/>
    <hyperlink r:id="rId3306" ref="C3308"/>
    <hyperlink r:id="rId3307" ref="C3309"/>
    <hyperlink r:id="rId3308" ref="C3310"/>
    <hyperlink r:id="rId3309" ref="C3311"/>
    <hyperlink r:id="rId3310" ref="C3312"/>
    <hyperlink r:id="rId3311" ref="C3313"/>
    <hyperlink r:id="rId3312" ref="C3314"/>
    <hyperlink r:id="rId3313" ref="C3315"/>
    <hyperlink r:id="rId3314" ref="C3316"/>
    <hyperlink r:id="rId3315" ref="C3317"/>
    <hyperlink r:id="rId3316" ref="C3318"/>
    <hyperlink r:id="rId3317" ref="C3319"/>
    <hyperlink r:id="rId3318" ref="C3320"/>
    <hyperlink r:id="rId3319" ref="C3321"/>
    <hyperlink r:id="rId3320" ref="C3322"/>
    <hyperlink r:id="rId3321" ref="C3323"/>
    <hyperlink r:id="rId3322" ref="C3324"/>
    <hyperlink r:id="rId3323" ref="C3325"/>
    <hyperlink r:id="rId3324" ref="C3326"/>
    <hyperlink r:id="rId3325" ref="C3327"/>
    <hyperlink r:id="rId3326" ref="C3328"/>
    <hyperlink r:id="rId3327" ref="C3329"/>
    <hyperlink r:id="rId3328" ref="C3330"/>
    <hyperlink r:id="rId3329" ref="C3331"/>
    <hyperlink r:id="rId3330" ref="C3332"/>
    <hyperlink r:id="rId3331" ref="C3333"/>
    <hyperlink r:id="rId3332" ref="C3334"/>
    <hyperlink r:id="rId3333" ref="C3335"/>
    <hyperlink r:id="rId3334" ref="C3336"/>
    <hyperlink r:id="rId3335" ref="C3337"/>
    <hyperlink r:id="rId3336" ref="C3338"/>
    <hyperlink r:id="rId3337" ref="C3339"/>
    <hyperlink r:id="rId3338" ref="C3340"/>
    <hyperlink r:id="rId3339" ref="C3341"/>
    <hyperlink r:id="rId3340" ref="C3342"/>
    <hyperlink r:id="rId3341" ref="C3343"/>
    <hyperlink r:id="rId3342" ref="C3344"/>
    <hyperlink r:id="rId3343" ref="C3345"/>
    <hyperlink r:id="rId3344" ref="C3346"/>
    <hyperlink r:id="rId3345" ref="C3347"/>
    <hyperlink r:id="rId3346" ref="C3348"/>
    <hyperlink r:id="rId3347" ref="C3349"/>
    <hyperlink r:id="rId3348" ref="C3350"/>
    <hyperlink r:id="rId3349" ref="C3351"/>
    <hyperlink r:id="rId3350" ref="C3352"/>
    <hyperlink r:id="rId3351" ref="C3353"/>
    <hyperlink r:id="rId3352" ref="C3354"/>
    <hyperlink r:id="rId3353" ref="C3355"/>
    <hyperlink r:id="rId3354" ref="C3356"/>
    <hyperlink r:id="rId3355" ref="C3357"/>
    <hyperlink r:id="rId3356" ref="C3358"/>
    <hyperlink r:id="rId3357" ref="C3359"/>
    <hyperlink r:id="rId3358" ref="C3360"/>
    <hyperlink r:id="rId3359" ref="C3361"/>
    <hyperlink r:id="rId3360" ref="C3362"/>
    <hyperlink r:id="rId3361" ref="C3363"/>
    <hyperlink r:id="rId3362" ref="C3364"/>
    <hyperlink r:id="rId3363" ref="C3365"/>
    <hyperlink r:id="rId3364" ref="C3366"/>
    <hyperlink r:id="rId3365" ref="C3367"/>
    <hyperlink r:id="rId3366" ref="C3368"/>
    <hyperlink r:id="rId3367" ref="C3369"/>
    <hyperlink r:id="rId3368" ref="C3370"/>
    <hyperlink r:id="rId3369" ref="C3371"/>
    <hyperlink r:id="rId3370" ref="C3372"/>
    <hyperlink r:id="rId3371" ref="C3373"/>
    <hyperlink r:id="rId3372" ref="C3374"/>
    <hyperlink r:id="rId3373" ref="C3375"/>
    <hyperlink r:id="rId3374" ref="C3376"/>
    <hyperlink r:id="rId3375" ref="C3377"/>
    <hyperlink r:id="rId3376" ref="C3378"/>
    <hyperlink r:id="rId3377" ref="C3379"/>
    <hyperlink r:id="rId3378" ref="C3380"/>
    <hyperlink r:id="rId3379" ref="C3381"/>
    <hyperlink r:id="rId3380" ref="C3382"/>
    <hyperlink r:id="rId3381" ref="C3383"/>
    <hyperlink r:id="rId3382" ref="C3384"/>
    <hyperlink r:id="rId3383" ref="C3385"/>
    <hyperlink r:id="rId3384" ref="C3386"/>
    <hyperlink r:id="rId3385" ref="C3387"/>
    <hyperlink r:id="rId3386" ref="C3388"/>
    <hyperlink r:id="rId3387" ref="C3389"/>
    <hyperlink r:id="rId3388" ref="C3390"/>
    <hyperlink r:id="rId3389" ref="C3391"/>
    <hyperlink r:id="rId3390" ref="C3392"/>
    <hyperlink r:id="rId3391" ref="C3393"/>
    <hyperlink r:id="rId3392" ref="C3394"/>
    <hyperlink r:id="rId3393" ref="C3395"/>
    <hyperlink r:id="rId3394" ref="C3396"/>
    <hyperlink r:id="rId3395" ref="C3397"/>
    <hyperlink r:id="rId3396" ref="C3398"/>
    <hyperlink r:id="rId3397" ref="C3399"/>
    <hyperlink r:id="rId3398" ref="C3400"/>
    <hyperlink r:id="rId3399" ref="C3401"/>
    <hyperlink r:id="rId3400" ref="C3402"/>
    <hyperlink r:id="rId3401" ref="C3403"/>
    <hyperlink r:id="rId3402" ref="C3404"/>
    <hyperlink r:id="rId3403" ref="C3405"/>
    <hyperlink r:id="rId3404" ref="C3406"/>
    <hyperlink r:id="rId3405" ref="C3407"/>
    <hyperlink r:id="rId3406" ref="C3408"/>
    <hyperlink r:id="rId3407" ref="C3409"/>
    <hyperlink r:id="rId3408" ref="C3410"/>
    <hyperlink r:id="rId3409" ref="C3411"/>
    <hyperlink r:id="rId3410" ref="C3412"/>
    <hyperlink r:id="rId3411" ref="C3413"/>
    <hyperlink r:id="rId3412" ref="C3414"/>
    <hyperlink r:id="rId3413" ref="C3415"/>
    <hyperlink r:id="rId3414" ref="C3416"/>
    <hyperlink r:id="rId3415" ref="C3417"/>
    <hyperlink r:id="rId3416" ref="C3418"/>
    <hyperlink r:id="rId3417" ref="C3419"/>
    <hyperlink r:id="rId3418" ref="C3420"/>
    <hyperlink r:id="rId3419" ref="C3421"/>
    <hyperlink r:id="rId3420" ref="C3422"/>
    <hyperlink r:id="rId3421" ref="C3423"/>
    <hyperlink r:id="rId3422" ref="C3424"/>
    <hyperlink r:id="rId3423" ref="C3425"/>
    <hyperlink r:id="rId3424" ref="C3426"/>
    <hyperlink r:id="rId3425" ref="C3427"/>
    <hyperlink r:id="rId3426" ref="C3428"/>
    <hyperlink r:id="rId3427" ref="C3429"/>
    <hyperlink r:id="rId3428" ref="C3430"/>
    <hyperlink r:id="rId3429" ref="C3431"/>
    <hyperlink r:id="rId3430" ref="C3432"/>
    <hyperlink r:id="rId3431" ref="C3433"/>
    <hyperlink r:id="rId3432" ref="C3434"/>
    <hyperlink r:id="rId3433" ref="C3435"/>
    <hyperlink r:id="rId3434" ref="C3436"/>
    <hyperlink r:id="rId3435" ref="C3437"/>
    <hyperlink r:id="rId3436" ref="C3438"/>
    <hyperlink r:id="rId3437" ref="C3439"/>
    <hyperlink r:id="rId3438" ref="C3440"/>
    <hyperlink r:id="rId3439" ref="C3441"/>
    <hyperlink r:id="rId3440" ref="C3442"/>
    <hyperlink r:id="rId3441" ref="C3443"/>
    <hyperlink r:id="rId3442" ref="C3444"/>
    <hyperlink r:id="rId3443" ref="C3445"/>
    <hyperlink r:id="rId3444" ref="C3446"/>
    <hyperlink r:id="rId3445" ref="C3447"/>
    <hyperlink r:id="rId3446" ref="C3448"/>
    <hyperlink r:id="rId3447" ref="C3449"/>
    <hyperlink r:id="rId3448" ref="C3450"/>
    <hyperlink r:id="rId3449" ref="C3451"/>
    <hyperlink r:id="rId3450" ref="C3452"/>
    <hyperlink r:id="rId3451" ref="C3453"/>
    <hyperlink r:id="rId3452" ref="C3454"/>
    <hyperlink r:id="rId3453" ref="C3455"/>
    <hyperlink r:id="rId3454" ref="C3456"/>
    <hyperlink r:id="rId3455" ref="C3457"/>
    <hyperlink r:id="rId3456" ref="C3458"/>
    <hyperlink r:id="rId3457" ref="C3459"/>
    <hyperlink r:id="rId3458" ref="C3460"/>
    <hyperlink r:id="rId3459" ref="C3461"/>
    <hyperlink r:id="rId3460" ref="C3462"/>
    <hyperlink r:id="rId3461" ref="C3463"/>
    <hyperlink r:id="rId3462" ref="C3464"/>
    <hyperlink r:id="rId3463" ref="C3465"/>
    <hyperlink r:id="rId3464" ref="C3466"/>
    <hyperlink r:id="rId3465" ref="C3467"/>
    <hyperlink r:id="rId3466" ref="C3468"/>
    <hyperlink r:id="rId3467" ref="C3469"/>
    <hyperlink r:id="rId3468" ref="C3470"/>
    <hyperlink r:id="rId3469" ref="C3471"/>
    <hyperlink r:id="rId3470" ref="C3472"/>
    <hyperlink r:id="rId3471" ref="C3473"/>
    <hyperlink r:id="rId3472" ref="C3474"/>
    <hyperlink r:id="rId3473" ref="C3475"/>
    <hyperlink r:id="rId3474" ref="C3476"/>
    <hyperlink r:id="rId3475" ref="C3477"/>
    <hyperlink r:id="rId3476" ref="C3478"/>
    <hyperlink r:id="rId3477" ref="C3479"/>
    <hyperlink r:id="rId3478" ref="C3480"/>
    <hyperlink r:id="rId3479" ref="C3481"/>
    <hyperlink r:id="rId3480" ref="C3482"/>
    <hyperlink r:id="rId3481" ref="C3483"/>
    <hyperlink r:id="rId3482" ref="C3484"/>
    <hyperlink r:id="rId3483" ref="C3485"/>
    <hyperlink r:id="rId3484" ref="C3486"/>
    <hyperlink r:id="rId3485" ref="C3487"/>
    <hyperlink r:id="rId3486" ref="C3488"/>
    <hyperlink r:id="rId3487" ref="C3489"/>
    <hyperlink r:id="rId3488" ref="C3490"/>
    <hyperlink r:id="rId3489" ref="C3491"/>
    <hyperlink r:id="rId3490" ref="C3492"/>
    <hyperlink r:id="rId3491" ref="C3493"/>
    <hyperlink r:id="rId3492" ref="C3494"/>
    <hyperlink r:id="rId3493" ref="C3495"/>
    <hyperlink r:id="rId3494" ref="C3496"/>
    <hyperlink r:id="rId3495" ref="C3497"/>
    <hyperlink r:id="rId3496" ref="C3498"/>
    <hyperlink r:id="rId3497" ref="C3499"/>
    <hyperlink r:id="rId3498" ref="C3500"/>
    <hyperlink r:id="rId3499" ref="C3501"/>
    <hyperlink r:id="rId3500" ref="C3502"/>
    <hyperlink r:id="rId3501" ref="C3503"/>
    <hyperlink r:id="rId3502" ref="C3504"/>
    <hyperlink r:id="rId3503" ref="C3505"/>
    <hyperlink r:id="rId3504" ref="C3506"/>
    <hyperlink r:id="rId3505" ref="C3507"/>
    <hyperlink r:id="rId3506" ref="C3508"/>
    <hyperlink r:id="rId3507" ref="C3509"/>
    <hyperlink r:id="rId3508" ref="C3510"/>
    <hyperlink r:id="rId3509" ref="C3511"/>
    <hyperlink r:id="rId3510" ref="C3512"/>
    <hyperlink r:id="rId3511" ref="C3513"/>
    <hyperlink r:id="rId3512" ref="C3514"/>
    <hyperlink r:id="rId3513" ref="C3515"/>
    <hyperlink r:id="rId3514" ref="C3516"/>
    <hyperlink r:id="rId3515" ref="C3517"/>
    <hyperlink r:id="rId3516" ref="C3518"/>
    <hyperlink r:id="rId3517" ref="C3519"/>
    <hyperlink r:id="rId3518" ref="C3520"/>
    <hyperlink r:id="rId3519" ref="C3521"/>
    <hyperlink r:id="rId3520" ref="C3522"/>
    <hyperlink r:id="rId3521" ref="C3523"/>
    <hyperlink r:id="rId3522" ref="C3524"/>
    <hyperlink r:id="rId3523" ref="C3525"/>
    <hyperlink r:id="rId3524" ref="C3526"/>
    <hyperlink r:id="rId3525" ref="C3527"/>
    <hyperlink r:id="rId3526" ref="C3528"/>
    <hyperlink r:id="rId3527" ref="C3529"/>
    <hyperlink r:id="rId3528" ref="C3530"/>
    <hyperlink r:id="rId3529" ref="C3531"/>
    <hyperlink r:id="rId3530" ref="C3532"/>
    <hyperlink r:id="rId3531" ref="C3533"/>
    <hyperlink r:id="rId3532" ref="C3534"/>
    <hyperlink r:id="rId3533" ref="C3535"/>
    <hyperlink r:id="rId3534" ref="C3536"/>
    <hyperlink r:id="rId3535" ref="C3537"/>
    <hyperlink r:id="rId3536" ref="C3538"/>
    <hyperlink r:id="rId3537" ref="C3539"/>
    <hyperlink r:id="rId3538" ref="C3540"/>
    <hyperlink r:id="rId3539" ref="C3541"/>
    <hyperlink r:id="rId3540" ref="C3542"/>
    <hyperlink r:id="rId3541" ref="C3543"/>
    <hyperlink r:id="rId3542" ref="C3544"/>
    <hyperlink r:id="rId3543" ref="C3545"/>
    <hyperlink r:id="rId3544" ref="C3546"/>
    <hyperlink r:id="rId3545" ref="C3547"/>
    <hyperlink r:id="rId3546" ref="C3548"/>
    <hyperlink r:id="rId3547" ref="C3549"/>
    <hyperlink r:id="rId3548" ref="C3550"/>
    <hyperlink r:id="rId3549" ref="C3551"/>
    <hyperlink r:id="rId3550" ref="C3552"/>
    <hyperlink r:id="rId3551" ref="C3553"/>
    <hyperlink r:id="rId3552" ref="C3554"/>
    <hyperlink r:id="rId3553" ref="C3555"/>
    <hyperlink r:id="rId3554" ref="C3556"/>
    <hyperlink r:id="rId3555" ref="C3557"/>
    <hyperlink r:id="rId3556" ref="C3558"/>
    <hyperlink r:id="rId3557" ref="C3559"/>
    <hyperlink r:id="rId3558" ref="C3560"/>
    <hyperlink r:id="rId3559" ref="C3561"/>
    <hyperlink r:id="rId3560" ref="C3562"/>
    <hyperlink r:id="rId3561" ref="C3563"/>
    <hyperlink r:id="rId3562" ref="C3564"/>
    <hyperlink r:id="rId3563" ref="C3565"/>
    <hyperlink r:id="rId3564" ref="C3566"/>
    <hyperlink r:id="rId3565" ref="C3567"/>
    <hyperlink r:id="rId3566" ref="C3568"/>
    <hyperlink r:id="rId3567" ref="C3569"/>
    <hyperlink r:id="rId3568" ref="C3570"/>
    <hyperlink r:id="rId3569" ref="C3571"/>
    <hyperlink r:id="rId3570" ref="C3572"/>
    <hyperlink r:id="rId3571" ref="C3573"/>
    <hyperlink r:id="rId3572" ref="C3574"/>
    <hyperlink r:id="rId3573" ref="C3575"/>
    <hyperlink r:id="rId3574" ref="C3576"/>
    <hyperlink r:id="rId3575" ref="C3577"/>
    <hyperlink r:id="rId3576" ref="C3578"/>
    <hyperlink r:id="rId3577" ref="C3579"/>
    <hyperlink r:id="rId3578" ref="C3580"/>
    <hyperlink r:id="rId3579" ref="C3581"/>
    <hyperlink r:id="rId3580" ref="C3582"/>
    <hyperlink r:id="rId3581" ref="C3583"/>
    <hyperlink r:id="rId3582" ref="C3584"/>
    <hyperlink r:id="rId3583" ref="C3585"/>
    <hyperlink r:id="rId3584" ref="C3586"/>
    <hyperlink r:id="rId3585" ref="C3587"/>
    <hyperlink r:id="rId3586" ref="C3588"/>
    <hyperlink r:id="rId3587" ref="C3589"/>
    <hyperlink r:id="rId3588" ref="C3590"/>
    <hyperlink r:id="rId3589" ref="C3591"/>
    <hyperlink r:id="rId3590" ref="C3592"/>
    <hyperlink r:id="rId3591" ref="C3593"/>
    <hyperlink r:id="rId3592" ref="C3594"/>
    <hyperlink r:id="rId3593" ref="C3595"/>
    <hyperlink r:id="rId3594" ref="C3596"/>
    <hyperlink r:id="rId3595" ref="C3597"/>
    <hyperlink r:id="rId3596" ref="C3598"/>
    <hyperlink r:id="rId3597" ref="C3599"/>
    <hyperlink r:id="rId3598" ref="C3600"/>
    <hyperlink r:id="rId3599" ref="C3601"/>
    <hyperlink r:id="rId3600" ref="C3602"/>
    <hyperlink r:id="rId3601" ref="C3603"/>
    <hyperlink r:id="rId3602" ref="C3604"/>
    <hyperlink r:id="rId3603" ref="C3605"/>
    <hyperlink r:id="rId3604" ref="C3606"/>
    <hyperlink r:id="rId3605" ref="C3607"/>
    <hyperlink r:id="rId3606" ref="C3608"/>
    <hyperlink r:id="rId3607" ref="C3609"/>
    <hyperlink r:id="rId3608" ref="C3610"/>
    <hyperlink r:id="rId3609" ref="C3611"/>
    <hyperlink r:id="rId3610" ref="C3612"/>
    <hyperlink r:id="rId3611" ref="C3613"/>
    <hyperlink r:id="rId3612" ref="C3614"/>
    <hyperlink r:id="rId3613" ref="C3615"/>
    <hyperlink r:id="rId3614" ref="C3616"/>
    <hyperlink r:id="rId3615" ref="C3617"/>
    <hyperlink r:id="rId3616" ref="C3618"/>
    <hyperlink r:id="rId3617" ref="C3619"/>
    <hyperlink r:id="rId3618" ref="C3620"/>
    <hyperlink r:id="rId3619" ref="C3621"/>
    <hyperlink r:id="rId3620" ref="C3622"/>
    <hyperlink r:id="rId3621" ref="C3623"/>
    <hyperlink r:id="rId3622" ref="C3624"/>
    <hyperlink r:id="rId3623" ref="C3625"/>
    <hyperlink r:id="rId3624" ref="C3626"/>
    <hyperlink r:id="rId3625" ref="C3627"/>
    <hyperlink r:id="rId3626" ref="C3628"/>
    <hyperlink r:id="rId3627" ref="C3629"/>
    <hyperlink r:id="rId3628" ref="C3630"/>
    <hyperlink r:id="rId3629" ref="C3631"/>
    <hyperlink r:id="rId3630" ref="C3632"/>
    <hyperlink r:id="rId3631" ref="C3633"/>
    <hyperlink r:id="rId3632" ref="C3634"/>
    <hyperlink r:id="rId3633" ref="C3635"/>
    <hyperlink r:id="rId3634" ref="C3636"/>
    <hyperlink r:id="rId3635" ref="C3637"/>
    <hyperlink r:id="rId3636" ref="C3638"/>
    <hyperlink r:id="rId3637" ref="C3639"/>
    <hyperlink r:id="rId3638" ref="C3640"/>
    <hyperlink r:id="rId3639" ref="C3641"/>
    <hyperlink r:id="rId3640" ref="C3642"/>
    <hyperlink r:id="rId3641" ref="C3643"/>
    <hyperlink r:id="rId3642" ref="C3644"/>
    <hyperlink r:id="rId3643" ref="C3645"/>
    <hyperlink r:id="rId3644" ref="C3646"/>
    <hyperlink r:id="rId3645" ref="C3647"/>
    <hyperlink r:id="rId3646" ref="C3648"/>
    <hyperlink r:id="rId3647" ref="C3649"/>
    <hyperlink r:id="rId3648" ref="C3650"/>
    <hyperlink r:id="rId3649" ref="C3651"/>
    <hyperlink r:id="rId3650" ref="C3652"/>
    <hyperlink r:id="rId3651" ref="C3653"/>
    <hyperlink r:id="rId3652" ref="C3654"/>
    <hyperlink r:id="rId3653" ref="C3655"/>
    <hyperlink r:id="rId3654" ref="C3656"/>
    <hyperlink r:id="rId3655" ref="C3657"/>
    <hyperlink r:id="rId3656" ref="C3658"/>
    <hyperlink r:id="rId3657" ref="C3659"/>
    <hyperlink r:id="rId3658" ref="C3660"/>
    <hyperlink r:id="rId3659" ref="C3661"/>
    <hyperlink r:id="rId3660" ref="C3662"/>
    <hyperlink r:id="rId3661" ref="C3663"/>
    <hyperlink r:id="rId3662" ref="C3664"/>
    <hyperlink r:id="rId3663" ref="C3665"/>
    <hyperlink r:id="rId3664" ref="C3666"/>
    <hyperlink r:id="rId3665" ref="C3667"/>
    <hyperlink r:id="rId3666" ref="C3668"/>
    <hyperlink r:id="rId3667" ref="C3669"/>
    <hyperlink r:id="rId3668" ref="C3670"/>
    <hyperlink r:id="rId3669" ref="C3671"/>
    <hyperlink r:id="rId3670" ref="C3672"/>
    <hyperlink r:id="rId3671" ref="C3673"/>
    <hyperlink r:id="rId3672" ref="C3674"/>
    <hyperlink r:id="rId3673" ref="C3675"/>
    <hyperlink r:id="rId3674" ref="C3676"/>
    <hyperlink r:id="rId3675" ref="C3677"/>
    <hyperlink r:id="rId3676" ref="C3678"/>
    <hyperlink r:id="rId3677" ref="C3679"/>
    <hyperlink r:id="rId3678" ref="C3680"/>
    <hyperlink r:id="rId3679" ref="C3681"/>
    <hyperlink r:id="rId3680" ref="C3682"/>
    <hyperlink r:id="rId3681" ref="C3683"/>
    <hyperlink r:id="rId3682" ref="C3684"/>
    <hyperlink r:id="rId3683" ref="C3685"/>
    <hyperlink r:id="rId3684" ref="C3686"/>
    <hyperlink r:id="rId3685" ref="C3687"/>
    <hyperlink r:id="rId3686" ref="C3688"/>
    <hyperlink r:id="rId3687" ref="C3689"/>
    <hyperlink r:id="rId3688" ref="C3690"/>
    <hyperlink r:id="rId3689" ref="C3691"/>
    <hyperlink r:id="rId3690" ref="C3692"/>
    <hyperlink r:id="rId3691" ref="C3693"/>
    <hyperlink r:id="rId3692" ref="C3694"/>
    <hyperlink r:id="rId3693" ref="C3695"/>
    <hyperlink r:id="rId3694" ref="C3696"/>
    <hyperlink r:id="rId3695" ref="C3697"/>
    <hyperlink r:id="rId3696" ref="C3698"/>
    <hyperlink r:id="rId3697" ref="C3699"/>
    <hyperlink r:id="rId3698" ref="C3700"/>
    <hyperlink r:id="rId3699" ref="C3701"/>
    <hyperlink r:id="rId3700" ref="C3702"/>
    <hyperlink r:id="rId3701" ref="C3703"/>
    <hyperlink r:id="rId3702" ref="C3704"/>
    <hyperlink r:id="rId3703" ref="C3705"/>
    <hyperlink r:id="rId3704" ref="C3706"/>
    <hyperlink r:id="rId3705" ref="C3707"/>
    <hyperlink r:id="rId3706" ref="C3708"/>
    <hyperlink r:id="rId3707" ref="C3709"/>
    <hyperlink r:id="rId3708" ref="C3710"/>
    <hyperlink r:id="rId3709" ref="C3711"/>
    <hyperlink r:id="rId3710" ref="C3712"/>
    <hyperlink r:id="rId3711" ref="C3713"/>
    <hyperlink r:id="rId3712" ref="C3714"/>
    <hyperlink r:id="rId3713" ref="C3715"/>
    <hyperlink r:id="rId3714" ref="C3716"/>
    <hyperlink r:id="rId3715" ref="C3717"/>
    <hyperlink r:id="rId3716" ref="C3718"/>
    <hyperlink r:id="rId3717" ref="C3719"/>
    <hyperlink r:id="rId3718" ref="C3720"/>
    <hyperlink r:id="rId3719" ref="C3721"/>
    <hyperlink r:id="rId3720" ref="C3722"/>
    <hyperlink r:id="rId3721" ref="C3723"/>
    <hyperlink r:id="rId3722" ref="C3724"/>
    <hyperlink r:id="rId3723" ref="C3725"/>
    <hyperlink r:id="rId3724" ref="C3726"/>
    <hyperlink r:id="rId3725" ref="C3727"/>
    <hyperlink r:id="rId3726" ref="C3728"/>
    <hyperlink r:id="rId3727" ref="C3729"/>
    <hyperlink r:id="rId3728" ref="C3730"/>
    <hyperlink r:id="rId3729" ref="C3731"/>
    <hyperlink r:id="rId3730" ref="C3732"/>
    <hyperlink r:id="rId3731" ref="C3733"/>
    <hyperlink r:id="rId3732" ref="C3734"/>
    <hyperlink r:id="rId3733" ref="C3735"/>
    <hyperlink r:id="rId3734" ref="C3736"/>
    <hyperlink r:id="rId3735" ref="C3737"/>
    <hyperlink r:id="rId3736" ref="C3738"/>
    <hyperlink r:id="rId3737" ref="C3739"/>
    <hyperlink r:id="rId3738" ref="C3740"/>
    <hyperlink r:id="rId3739" ref="C3741"/>
    <hyperlink r:id="rId3740" ref="C3742"/>
    <hyperlink r:id="rId3741" ref="C3743"/>
    <hyperlink r:id="rId3742" ref="C3744"/>
    <hyperlink r:id="rId3743" ref="C3745"/>
    <hyperlink r:id="rId3744" ref="C3746"/>
    <hyperlink r:id="rId3745" ref="C3747"/>
    <hyperlink r:id="rId3746" ref="C3748"/>
    <hyperlink r:id="rId3747" ref="C3749"/>
    <hyperlink r:id="rId3748" ref="C3750"/>
    <hyperlink r:id="rId3749" ref="C3751"/>
    <hyperlink r:id="rId3750" ref="C3752"/>
    <hyperlink r:id="rId3751" ref="C3753"/>
    <hyperlink r:id="rId3752" ref="C3754"/>
    <hyperlink r:id="rId3753" ref="C3755"/>
    <hyperlink r:id="rId3754" ref="C3756"/>
    <hyperlink r:id="rId3755" ref="C3757"/>
    <hyperlink r:id="rId3756" ref="C3758"/>
    <hyperlink r:id="rId3757" ref="C3759"/>
    <hyperlink r:id="rId3758" ref="C3760"/>
    <hyperlink r:id="rId3759" ref="C3761"/>
    <hyperlink r:id="rId3760" ref="C3762"/>
    <hyperlink r:id="rId3761" ref="C3763"/>
    <hyperlink r:id="rId3762" ref="C3764"/>
    <hyperlink r:id="rId3763" ref="C3765"/>
    <hyperlink r:id="rId3764" ref="C3766"/>
    <hyperlink r:id="rId3765" ref="C3767"/>
    <hyperlink r:id="rId3766" ref="C3768"/>
    <hyperlink r:id="rId3767" ref="C3769"/>
    <hyperlink r:id="rId3768" ref="C3770"/>
    <hyperlink r:id="rId3769" ref="C3771"/>
    <hyperlink r:id="rId3770" ref="C3772"/>
    <hyperlink r:id="rId3771" ref="C3773"/>
    <hyperlink r:id="rId3772" ref="C3774"/>
    <hyperlink r:id="rId3773" ref="C3775"/>
    <hyperlink r:id="rId3774" ref="C3776"/>
    <hyperlink r:id="rId3775" ref="C3777"/>
    <hyperlink r:id="rId3776" ref="C3778"/>
    <hyperlink r:id="rId3777" ref="C3779"/>
    <hyperlink r:id="rId3778" ref="C3780"/>
    <hyperlink r:id="rId3779" ref="C3781"/>
    <hyperlink r:id="rId3780" ref="C3782"/>
    <hyperlink r:id="rId3781" ref="C3783"/>
    <hyperlink r:id="rId3782" ref="C3784"/>
    <hyperlink r:id="rId3783" ref="C3785"/>
    <hyperlink r:id="rId3784" ref="C3786"/>
    <hyperlink r:id="rId3785" ref="C3787"/>
    <hyperlink r:id="rId3786" ref="C3788"/>
    <hyperlink r:id="rId3787" ref="C3789"/>
    <hyperlink r:id="rId3788" ref="C3790"/>
    <hyperlink r:id="rId3789" ref="C3791"/>
    <hyperlink r:id="rId3790" ref="C3792"/>
    <hyperlink r:id="rId3791" ref="C3793"/>
    <hyperlink r:id="rId3792" ref="C3794"/>
    <hyperlink r:id="rId3793" ref="C3795"/>
    <hyperlink r:id="rId3794" ref="C3796"/>
    <hyperlink r:id="rId3795" ref="C3797"/>
    <hyperlink r:id="rId3796" ref="C3798"/>
    <hyperlink r:id="rId3797" ref="C3799"/>
    <hyperlink r:id="rId3798" ref="C3800"/>
    <hyperlink r:id="rId3799" ref="C3801"/>
    <hyperlink r:id="rId3800" ref="C3802"/>
    <hyperlink r:id="rId3801" ref="C3803"/>
    <hyperlink r:id="rId3802" ref="C3804"/>
    <hyperlink r:id="rId3803" ref="C3805"/>
    <hyperlink r:id="rId3804" ref="C3806"/>
    <hyperlink r:id="rId3805" ref="C3807"/>
    <hyperlink r:id="rId3806" ref="C3808"/>
    <hyperlink r:id="rId3807" ref="C3809"/>
    <hyperlink r:id="rId3808" ref="C3810"/>
    <hyperlink r:id="rId3809" ref="C3811"/>
    <hyperlink r:id="rId3810" ref="C3812"/>
    <hyperlink r:id="rId3811" ref="C3813"/>
    <hyperlink r:id="rId3812" ref="C3814"/>
    <hyperlink r:id="rId3813" ref="C3815"/>
    <hyperlink r:id="rId3814" ref="C3816"/>
    <hyperlink r:id="rId3815" ref="C3817"/>
    <hyperlink r:id="rId3816" ref="C3818"/>
    <hyperlink r:id="rId3817" ref="C3819"/>
    <hyperlink r:id="rId3818" ref="C3820"/>
    <hyperlink r:id="rId3819" ref="C3821"/>
    <hyperlink r:id="rId3820" ref="C3822"/>
    <hyperlink r:id="rId3821" ref="C3823"/>
    <hyperlink r:id="rId3822" ref="C3824"/>
    <hyperlink r:id="rId3823" ref="C3825"/>
    <hyperlink r:id="rId3824" ref="C3826"/>
    <hyperlink r:id="rId3825" ref="C3827"/>
    <hyperlink r:id="rId3826" ref="C3828"/>
    <hyperlink r:id="rId3827" ref="C3829"/>
    <hyperlink r:id="rId3828" ref="C3830"/>
    <hyperlink r:id="rId3829" ref="C3831"/>
    <hyperlink r:id="rId3830" ref="C3832"/>
    <hyperlink r:id="rId3831" ref="C3833"/>
    <hyperlink r:id="rId3832" ref="C3834"/>
    <hyperlink r:id="rId3833" ref="C3835"/>
    <hyperlink r:id="rId3834" ref="C3836"/>
    <hyperlink r:id="rId3835" ref="C3837"/>
    <hyperlink r:id="rId3836" ref="C3838"/>
    <hyperlink r:id="rId3837" ref="C3839"/>
    <hyperlink r:id="rId3838" ref="C3840"/>
    <hyperlink r:id="rId3839" ref="C3841"/>
    <hyperlink r:id="rId3840" ref="C3842"/>
    <hyperlink r:id="rId3841" ref="C3843"/>
    <hyperlink r:id="rId3842" ref="C3844"/>
    <hyperlink r:id="rId3843" ref="C3845"/>
    <hyperlink r:id="rId3844" ref="C3846"/>
    <hyperlink r:id="rId3845" ref="C3847"/>
    <hyperlink r:id="rId3846" ref="C3848"/>
    <hyperlink r:id="rId3847" ref="C3849"/>
    <hyperlink r:id="rId3848" ref="C3850"/>
    <hyperlink r:id="rId3849" ref="C3851"/>
    <hyperlink r:id="rId3850" ref="C3852"/>
    <hyperlink r:id="rId3851" ref="C3853"/>
    <hyperlink r:id="rId3852" ref="C3854"/>
    <hyperlink r:id="rId3853" ref="C3855"/>
    <hyperlink r:id="rId3854" ref="C3856"/>
    <hyperlink r:id="rId3855" ref="C3857"/>
    <hyperlink r:id="rId3856" ref="C3858"/>
    <hyperlink r:id="rId3857" ref="C3859"/>
    <hyperlink r:id="rId3858" ref="C3860"/>
    <hyperlink r:id="rId3859" ref="C3861"/>
    <hyperlink r:id="rId3860" ref="C3862"/>
    <hyperlink r:id="rId3861" ref="C3863"/>
    <hyperlink r:id="rId3862" ref="C3864"/>
    <hyperlink r:id="rId3863" ref="C3865"/>
    <hyperlink r:id="rId3864" ref="C3866"/>
    <hyperlink r:id="rId3865" ref="C3867"/>
    <hyperlink r:id="rId3866" ref="C3868"/>
    <hyperlink r:id="rId3867" ref="C3869"/>
    <hyperlink r:id="rId3868" ref="C3870"/>
    <hyperlink r:id="rId3869" ref="C3871"/>
    <hyperlink r:id="rId3870" ref="C3872"/>
    <hyperlink r:id="rId3871" ref="C3873"/>
    <hyperlink r:id="rId3872" ref="C3874"/>
    <hyperlink r:id="rId3873" ref="C3875"/>
    <hyperlink r:id="rId3874" ref="C3876"/>
    <hyperlink r:id="rId3875" ref="C3877"/>
    <hyperlink r:id="rId3876" ref="C3878"/>
    <hyperlink r:id="rId3877" ref="C3879"/>
    <hyperlink r:id="rId3878" ref="C3880"/>
    <hyperlink r:id="rId3879" ref="C3881"/>
    <hyperlink r:id="rId3880" ref="C3882"/>
    <hyperlink r:id="rId3881" ref="C3883"/>
    <hyperlink r:id="rId3882" ref="C3884"/>
    <hyperlink r:id="rId3883" ref="C3885"/>
    <hyperlink r:id="rId3884" ref="C3886"/>
    <hyperlink r:id="rId3885" ref="C3887"/>
    <hyperlink r:id="rId3886" ref="C3888"/>
    <hyperlink r:id="rId3887" ref="C3889"/>
    <hyperlink r:id="rId3888" ref="C3890"/>
    <hyperlink r:id="rId3889" ref="C3891"/>
    <hyperlink r:id="rId3890" ref="C3892"/>
    <hyperlink r:id="rId3891" ref="C3893"/>
    <hyperlink r:id="rId3892" ref="C3894"/>
    <hyperlink r:id="rId3893" ref="C3895"/>
    <hyperlink r:id="rId3894" ref="C3896"/>
    <hyperlink r:id="rId3895" ref="C3897"/>
    <hyperlink r:id="rId3896" ref="C3898"/>
    <hyperlink r:id="rId3897" ref="C3899"/>
    <hyperlink r:id="rId3898" ref="C3900"/>
    <hyperlink r:id="rId3899" ref="C3901"/>
    <hyperlink r:id="rId3900" ref="C3902"/>
    <hyperlink r:id="rId3901" ref="C3903"/>
    <hyperlink r:id="rId3902" ref="C3904"/>
    <hyperlink r:id="rId3903" ref="C3905"/>
    <hyperlink r:id="rId3904" ref="C3906"/>
    <hyperlink r:id="rId3905" ref="C3907"/>
    <hyperlink r:id="rId3906" ref="C3908"/>
    <hyperlink r:id="rId3907" ref="C3909"/>
    <hyperlink r:id="rId3908" ref="C3910"/>
    <hyperlink r:id="rId3909" ref="C3911"/>
    <hyperlink r:id="rId3910" ref="C3912"/>
    <hyperlink r:id="rId3911" ref="C3913"/>
    <hyperlink r:id="rId3912" ref="C3914"/>
    <hyperlink r:id="rId3913" ref="C3915"/>
    <hyperlink r:id="rId3914" ref="C3916"/>
    <hyperlink r:id="rId3915" ref="C3917"/>
    <hyperlink r:id="rId3916" ref="C3918"/>
    <hyperlink r:id="rId3917" ref="C3919"/>
    <hyperlink r:id="rId3918" ref="C3920"/>
    <hyperlink r:id="rId3919" ref="C3921"/>
    <hyperlink r:id="rId3920" ref="C3922"/>
    <hyperlink r:id="rId3921" ref="C3923"/>
    <hyperlink r:id="rId3922" ref="C3924"/>
    <hyperlink r:id="rId3923" ref="C3925"/>
    <hyperlink r:id="rId3924" ref="C3926"/>
    <hyperlink r:id="rId3925" ref="C3927"/>
    <hyperlink r:id="rId3926" ref="C3928"/>
    <hyperlink r:id="rId3927" ref="C3929"/>
    <hyperlink r:id="rId3928" ref="C3930"/>
    <hyperlink r:id="rId3929" ref="C3931"/>
    <hyperlink r:id="rId3930" ref="C3932"/>
    <hyperlink r:id="rId3931" ref="C3933"/>
    <hyperlink r:id="rId3932" ref="C3934"/>
    <hyperlink r:id="rId3933" ref="C3935"/>
    <hyperlink r:id="rId3934" ref="C3936"/>
    <hyperlink r:id="rId3935" ref="C3937"/>
    <hyperlink r:id="rId3936" ref="C3938"/>
    <hyperlink r:id="rId3937" ref="C3939"/>
    <hyperlink r:id="rId3938" ref="C3940"/>
    <hyperlink r:id="rId3939" ref="C3941"/>
    <hyperlink r:id="rId3940" ref="C3942"/>
    <hyperlink r:id="rId3941" ref="C3943"/>
    <hyperlink r:id="rId3942" ref="C3944"/>
    <hyperlink r:id="rId3943" ref="C3945"/>
    <hyperlink r:id="rId3944" ref="C3946"/>
    <hyperlink r:id="rId3945" ref="C3947"/>
    <hyperlink r:id="rId3946" ref="C3948"/>
    <hyperlink r:id="rId3947" ref="C3949"/>
    <hyperlink r:id="rId3948" ref="C3950"/>
    <hyperlink r:id="rId3949" ref="C3951"/>
    <hyperlink r:id="rId3950" ref="C3952"/>
    <hyperlink r:id="rId3951" ref="C3953"/>
    <hyperlink r:id="rId3952" ref="C3954"/>
    <hyperlink r:id="rId3953" ref="C3955"/>
    <hyperlink r:id="rId3954" ref="C3956"/>
    <hyperlink r:id="rId3955" ref="C3957"/>
    <hyperlink r:id="rId3956" ref="C3958"/>
    <hyperlink r:id="rId3957" ref="C3959"/>
    <hyperlink r:id="rId3958" ref="C3960"/>
    <hyperlink r:id="rId3959" ref="C3961"/>
    <hyperlink r:id="rId3960" ref="C3962"/>
    <hyperlink r:id="rId3961" ref="C3963"/>
    <hyperlink r:id="rId3962" ref="C3964"/>
    <hyperlink r:id="rId3963" ref="C3965"/>
    <hyperlink r:id="rId3964" ref="C3966"/>
    <hyperlink r:id="rId3965" ref="C3967"/>
    <hyperlink r:id="rId3966" ref="C3968"/>
    <hyperlink r:id="rId3967" ref="C3969"/>
    <hyperlink r:id="rId3968" ref="C3970"/>
    <hyperlink r:id="rId3969" ref="C3971"/>
    <hyperlink r:id="rId3970" ref="C3972"/>
    <hyperlink r:id="rId3971" ref="C3973"/>
    <hyperlink r:id="rId3972" ref="C3974"/>
    <hyperlink r:id="rId3973" ref="C3975"/>
    <hyperlink r:id="rId3974" ref="C3976"/>
    <hyperlink r:id="rId3975" ref="C3977"/>
    <hyperlink r:id="rId3976" ref="C3978"/>
    <hyperlink r:id="rId3977" ref="C3979"/>
    <hyperlink r:id="rId3978" ref="C3980"/>
    <hyperlink r:id="rId3979" ref="C3981"/>
    <hyperlink r:id="rId3980" ref="C3982"/>
    <hyperlink r:id="rId3981" ref="C3983"/>
    <hyperlink r:id="rId3982" ref="C3984"/>
    <hyperlink r:id="rId3983" ref="C3985"/>
    <hyperlink r:id="rId3984" ref="C3986"/>
    <hyperlink r:id="rId3985" ref="C3987"/>
    <hyperlink r:id="rId3986" ref="C3988"/>
    <hyperlink r:id="rId3987" ref="C3989"/>
    <hyperlink r:id="rId3988" ref="C3990"/>
    <hyperlink r:id="rId3989" ref="C3991"/>
    <hyperlink r:id="rId3990" ref="C3992"/>
    <hyperlink r:id="rId3991" ref="C3993"/>
    <hyperlink r:id="rId3992" ref="C3994"/>
    <hyperlink r:id="rId3993" ref="C3995"/>
    <hyperlink r:id="rId3994" ref="C3996"/>
    <hyperlink r:id="rId3995" ref="C3997"/>
    <hyperlink r:id="rId3996" ref="C3998"/>
    <hyperlink r:id="rId3997" ref="C3999"/>
    <hyperlink r:id="rId3998" ref="C4000"/>
    <hyperlink r:id="rId3999" ref="C4001"/>
    <hyperlink r:id="rId4000" ref="C4002"/>
    <hyperlink r:id="rId4001" ref="C4003"/>
    <hyperlink r:id="rId4002" ref="C4004"/>
    <hyperlink r:id="rId4003" ref="C4005"/>
    <hyperlink r:id="rId4004" ref="C4006"/>
    <hyperlink r:id="rId4005" ref="C4007"/>
    <hyperlink r:id="rId4006" ref="C4008"/>
    <hyperlink r:id="rId4007" ref="C4009"/>
    <hyperlink r:id="rId4008" ref="C4010"/>
    <hyperlink r:id="rId4009" ref="C4011"/>
    <hyperlink r:id="rId4010" ref="C4012"/>
    <hyperlink r:id="rId4011" ref="C4013"/>
    <hyperlink r:id="rId4012" ref="C4014"/>
    <hyperlink r:id="rId4013" ref="C4015"/>
    <hyperlink r:id="rId4014" ref="C4016"/>
    <hyperlink r:id="rId4015" ref="C4017"/>
    <hyperlink r:id="rId4016" ref="C4018"/>
    <hyperlink r:id="rId4017" ref="C4019"/>
    <hyperlink r:id="rId4018" ref="C4020"/>
    <hyperlink r:id="rId4019" ref="C4021"/>
    <hyperlink r:id="rId4020" ref="C4022"/>
    <hyperlink r:id="rId4021" ref="C4023"/>
    <hyperlink r:id="rId4022" ref="C4024"/>
    <hyperlink r:id="rId4023" ref="C4025"/>
    <hyperlink r:id="rId4024" ref="C4026"/>
    <hyperlink r:id="rId4025" ref="C4027"/>
    <hyperlink r:id="rId4026" ref="C4028"/>
    <hyperlink r:id="rId4027" ref="C4029"/>
    <hyperlink r:id="rId4028" ref="C4030"/>
    <hyperlink r:id="rId4029" ref="C4031"/>
    <hyperlink r:id="rId4030" ref="C4032"/>
    <hyperlink r:id="rId4031" ref="C4033"/>
    <hyperlink r:id="rId4032" ref="C4034"/>
    <hyperlink r:id="rId4033" ref="C4035"/>
    <hyperlink r:id="rId4034" ref="C4036"/>
    <hyperlink r:id="rId4035" ref="C4037"/>
    <hyperlink r:id="rId4036" ref="C4038"/>
    <hyperlink r:id="rId4037" ref="C4039"/>
    <hyperlink r:id="rId4038" ref="C4040"/>
    <hyperlink r:id="rId4039" ref="C4041"/>
    <hyperlink r:id="rId4040" ref="C4042"/>
    <hyperlink r:id="rId4041" ref="C4043"/>
    <hyperlink r:id="rId4042" ref="C4044"/>
    <hyperlink r:id="rId4043" ref="C4045"/>
    <hyperlink r:id="rId4044" ref="C4046"/>
    <hyperlink r:id="rId4045" ref="C4047"/>
    <hyperlink r:id="rId4046" ref="C4048"/>
    <hyperlink r:id="rId4047" ref="C4049"/>
    <hyperlink r:id="rId4048" ref="C4050"/>
    <hyperlink r:id="rId4049" ref="C4051"/>
    <hyperlink r:id="rId4050" ref="C4052"/>
    <hyperlink r:id="rId4051" ref="C4053"/>
    <hyperlink r:id="rId4052" ref="C4054"/>
    <hyperlink r:id="rId4053" ref="C4055"/>
    <hyperlink r:id="rId4054" ref="C4056"/>
    <hyperlink r:id="rId4055" ref="C4057"/>
    <hyperlink r:id="rId4056" ref="C4058"/>
    <hyperlink r:id="rId4057" ref="C4059"/>
    <hyperlink r:id="rId4058" ref="C4060"/>
    <hyperlink r:id="rId4059" ref="C4061"/>
    <hyperlink r:id="rId4060" ref="C4062"/>
    <hyperlink r:id="rId4061" ref="C4063"/>
    <hyperlink r:id="rId4062" ref="C4064"/>
    <hyperlink r:id="rId4063" ref="C4065"/>
    <hyperlink r:id="rId4064" ref="C4066"/>
    <hyperlink r:id="rId4065" ref="C4067"/>
    <hyperlink r:id="rId4066" ref="C4068"/>
    <hyperlink r:id="rId4067" ref="C4069"/>
    <hyperlink r:id="rId4068" ref="C4070"/>
    <hyperlink r:id="rId4069" ref="C4071"/>
    <hyperlink r:id="rId4070" ref="C4072"/>
    <hyperlink r:id="rId4071" ref="C4073"/>
    <hyperlink r:id="rId4072" ref="C4074"/>
    <hyperlink r:id="rId4073" ref="C4075"/>
    <hyperlink r:id="rId4074" ref="C4076"/>
    <hyperlink r:id="rId4075" ref="C4077"/>
    <hyperlink r:id="rId4076" ref="C4078"/>
    <hyperlink r:id="rId4077" ref="C4079"/>
    <hyperlink r:id="rId4078" ref="C4080"/>
    <hyperlink r:id="rId4079" ref="C4081"/>
    <hyperlink r:id="rId4080" ref="C4082"/>
    <hyperlink r:id="rId4081" ref="C4083"/>
    <hyperlink r:id="rId4082" ref="C4084"/>
    <hyperlink r:id="rId4083" ref="C4085"/>
    <hyperlink r:id="rId4084" ref="C4086"/>
    <hyperlink r:id="rId4085" ref="C4087"/>
    <hyperlink r:id="rId4086" ref="C4088"/>
    <hyperlink r:id="rId4087" ref="C4089"/>
    <hyperlink r:id="rId4088" ref="C4090"/>
    <hyperlink r:id="rId4089" ref="C4091"/>
    <hyperlink r:id="rId4090" ref="C4092"/>
    <hyperlink r:id="rId4091" ref="C4093"/>
    <hyperlink r:id="rId4092" ref="C4094"/>
    <hyperlink r:id="rId4093" ref="C4095"/>
    <hyperlink r:id="rId4094" ref="C4096"/>
    <hyperlink r:id="rId4095" ref="C4097"/>
    <hyperlink r:id="rId4096" ref="C4098"/>
    <hyperlink r:id="rId4097" ref="C4099"/>
    <hyperlink r:id="rId4098" ref="C4100"/>
    <hyperlink r:id="rId4099" ref="C4101"/>
    <hyperlink r:id="rId4100" ref="C4102"/>
    <hyperlink r:id="rId4101" ref="C4103"/>
    <hyperlink r:id="rId4102" ref="C4104"/>
    <hyperlink r:id="rId4103" ref="C4105"/>
    <hyperlink r:id="rId4104" ref="C4106"/>
    <hyperlink r:id="rId4105" ref="C4107"/>
    <hyperlink r:id="rId4106" ref="C4108"/>
    <hyperlink r:id="rId4107" ref="C4109"/>
    <hyperlink r:id="rId4108" ref="C4110"/>
    <hyperlink r:id="rId4109" ref="C4111"/>
    <hyperlink r:id="rId4110" ref="C4112"/>
    <hyperlink r:id="rId4111" ref="C4113"/>
    <hyperlink r:id="rId4112" ref="C4114"/>
    <hyperlink r:id="rId4113" ref="C4115"/>
    <hyperlink r:id="rId4114" ref="C4116"/>
    <hyperlink r:id="rId4115" ref="C4117"/>
    <hyperlink r:id="rId4116" ref="C4118"/>
    <hyperlink r:id="rId4117" ref="C4119"/>
    <hyperlink r:id="rId4118" ref="C4120"/>
    <hyperlink r:id="rId4119" ref="C4121"/>
    <hyperlink r:id="rId4120" ref="C4122"/>
    <hyperlink r:id="rId4121" ref="C4123"/>
    <hyperlink r:id="rId4122" ref="C4124"/>
    <hyperlink r:id="rId4123" ref="C4125"/>
    <hyperlink r:id="rId4124" ref="C4126"/>
    <hyperlink r:id="rId4125" ref="C4127"/>
    <hyperlink r:id="rId4126" ref="C4128"/>
    <hyperlink r:id="rId4127" ref="C4129"/>
    <hyperlink r:id="rId4128" ref="C4130"/>
    <hyperlink r:id="rId4129" ref="C4131"/>
    <hyperlink r:id="rId4130" ref="C4132"/>
    <hyperlink r:id="rId4131" ref="C4133"/>
    <hyperlink r:id="rId4132" ref="C4134"/>
    <hyperlink r:id="rId4133" ref="C4135"/>
    <hyperlink r:id="rId4134" ref="C4136"/>
    <hyperlink r:id="rId4135" ref="C4137"/>
    <hyperlink r:id="rId4136" ref="C4138"/>
    <hyperlink r:id="rId4137" ref="C4139"/>
    <hyperlink r:id="rId4138" ref="C4140"/>
    <hyperlink r:id="rId4139" ref="C4141"/>
    <hyperlink r:id="rId4140" ref="C4142"/>
    <hyperlink r:id="rId4141" ref="C4143"/>
    <hyperlink r:id="rId4142" ref="C4144"/>
    <hyperlink r:id="rId4143" ref="C4145"/>
    <hyperlink r:id="rId4144" ref="C4146"/>
    <hyperlink r:id="rId4145" ref="C4147"/>
    <hyperlink r:id="rId4146" ref="C4148"/>
    <hyperlink r:id="rId4147" ref="C4149"/>
    <hyperlink r:id="rId4148" ref="C4150"/>
    <hyperlink r:id="rId4149" ref="C4151"/>
    <hyperlink r:id="rId4150" ref="C4152"/>
    <hyperlink r:id="rId4151" ref="C4153"/>
    <hyperlink r:id="rId4152" ref="C4154"/>
    <hyperlink r:id="rId4153" ref="C4155"/>
    <hyperlink r:id="rId4154" ref="C4156"/>
    <hyperlink r:id="rId4155" ref="C4157"/>
    <hyperlink r:id="rId4156" ref="C4158"/>
    <hyperlink r:id="rId4157" ref="C4159"/>
    <hyperlink r:id="rId4158" ref="C4160"/>
    <hyperlink r:id="rId4159" ref="C4161"/>
    <hyperlink r:id="rId4160" ref="C4162"/>
    <hyperlink r:id="rId4161" ref="C4163"/>
    <hyperlink r:id="rId4162" ref="C4164"/>
    <hyperlink r:id="rId4163" ref="C4165"/>
    <hyperlink r:id="rId4164" ref="C4166"/>
    <hyperlink r:id="rId4165" ref="C4167"/>
    <hyperlink r:id="rId4166" ref="C4168"/>
    <hyperlink r:id="rId4167" ref="C4169"/>
    <hyperlink r:id="rId4168" ref="C4170"/>
    <hyperlink r:id="rId4169" ref="C4171"/>
    <hyperlink r:id="rId4170" ref="C4172"/>
    <hyperlink r:id="rId4171" ref="C4173"/>
    <hyperlink r:id="rId4172" ref="C4174"/>
    <hyperlink r:id="rId4173" ref="C4175"/>
    <hyperlink r:id="rId4174" ref="C4176"/>
    <hyperlink r:id="rId4175" ref="C4177"/>
    <hyperlink r:id="rId4176" ref="C4178"/>
    <hyperlink r:id="rId4177" ref="C4179"/>
    <hyperlink r:id="rId4178" ref="C4180"/>
    <hyperlink r:id="rId4179" ref="C4181"/>
    <hyperlink r:id="rId4180" ref="C4182"/>
    <hyperlink r:id="rId4181" ref="C4183"/>
    <hyperlink r:id="rId4182" ref="C4184"/>
    <hyperlink r:id="rId4183" ref="C4185"/>
    <hyperlink r:id="rId4184" ref="C4186"/>
    <hyperlink r:id="rId4185" ref="C4187"/>
    <hyperlink r:id="rId4186" ref="C4188"/>
    <hyperlink r:id="rId4187" ref="C4189"/>
    <hyperlink r:id="rId4188" ref="C4190"/>
    <hyperlink r:id="rId4189" ref="C4191"/>
    <hyperlink r:id="rId4190" ref="C4192"/>
    <hyperlink r:id="rId4191" ref="C4193"/>
    <hyperlink r:id="rId4192" ref="C4194"/>
    <hyperlink r:id="rId4193" ref="C4195"/>
    <hyperlink r:id="rId4194" ref="C4196"/>
    <hyperlink r:id="rId4195" ref="C4197"/>
    <hyperlink r:id="rId4196" ref="C4198"/>
    <hyperlink r:id="rId4197" ref="C4199"/>
    <hyperlink r:id="rId4198" ref="C4200"/>
    <hyperlink r:id="rId4199" ref="C4201"/>
    <hyperlink r:id="rId4200" ref="C4202"/>
    <hyperlink r:id="rId4201" ref="C4203"/>
    <hyperlink r:id="rId4202" ref="C4204"/>
    <hyperlink r:id="rId4203" ref="C4205"/>
    <hyperlink r:id="rId4204" ref="C4206"/>
    <hyperlink r:id="rId4205" ref="C4207"/>
    <hyperlink r:id="rId4206" ref="C4208"/>
    <hyperlink r:id="rId4207" ref="C4209"/>
    <hyperlink r:id="rId4208" ref="C4210"/>
    <hyperlink r:id="rId4209" ref="C4211"/>
    <hyperlink r:id="rId4210" ref="C4212"/>
    <hyperlink r:id="rId4211" ref="C4213"/>
    <hyperlink r:id="rId4212" ref="C4214"/>
    <hyperlink r:id="rId4213" ref="C4215"/>
    <hyperlink r:id="rId4214" ref="C4216"/>
    <hyperlink r:id="rId4215" ref="C4217"/>
    <hyperlink r:id="rId4216" ref="C4218"/>
    <hyperlink r:id="rId4217" ref="C4219"/>
    <hyperlink r:id="rId4218" ref="C4220"/>
    <hyperlink r:id="rId4219" ref="C4221"/>
    <hyperlink r:id="rId4220" ref="C4222"/>
    <hyperlink r:id="rId4221" ref="C4223"/>
    <hyperlink r:id="rId4222" ref="C4224"/>
    <hyperlink r:id="rId4223" ref="C4225"/>
    <hyperlink r:id="rId4224" ref="C4226"/>
    <hyperlink r:id="rId4225" ref="C4227"/>
    <hyperlink r:id="rId4226" ref="C4228"/>
    <hyperlink r:id="rId4227" ref="C4229"/>
    <hyperlink r:id="rId4228" ref="C4230"/>
    <hyperlink r:id="rId4229" ref="C4231"/>
    <hyperlink r:id="rId4230" ref="C4232"/>
    <hyperlink r:id="rId4231" ref="C4233"/>
    <hyperlink r:id="rId4232" ref="C4234"/>
    <hyperlink r:id="rId4233" ref="C4235"/>
    <hyperlink r:id="rId4234" ref="C4236"/>
    <hyperlink r:id="rId4235" ref="C4237"/>
    <hyperlink r:id="rId4236" ref="C4238"/>
    <hyperlink r:id="rId4237" ref="C4239"/>
    <hyperlink r:id="rId4238" ref="C4240"/>
    <hyperlink r:id="rId4239" ref="C4241"/>
    <hyperlink r:id="rId4240" ref="C4242"/>
    <hyperlink r:id="rId4241" ref="C4243"/>
    <hyperlink r:id="rId4242" ref="C4244"/>
    <hyperlink r:id="rId4243" ref="C4245"/>
    <hyperlink r:id="rId4244" ref="C4246"/>
    <hyperlink r:id="rId4245" ref="C4247"/>
    <hyperlink r:id="rId4246" ref="C4248"/>
    <hyperlink r:id="rId4247" ref="C4249"/>
    <hyperlink r:id="rId4248" ref="C4250"/>
    <hyperlink r:id="rId4249" ref="C4251"/>
    <hyperlink r:id="rId4250" ref="C4252"/>
    <hyperlink r:id="rId4251" ref="C4253"/>
    <hyperlink r:id="rId4252" ref="C4254"/>
    <hyperlink r:id="rId4253" ref="C4255"/>
    <hyperlink r:id="rId4254" ref="C4256"/>
    <hyperlink r:id="rId4255" ref="C4257"/>
    <hyperlink r:id="rId4256" ref="C4258"/>
    <hyperlink r:id="rId4257" ref="C4259"/>
    <hyperlink r:id="rId4258" ref="C4260"/>
    <hyperlink r:id="rId4259" ref="C4261"/>
    <hyperlink r:id="rId4260" ref="C4262"/>
    <hyperlink r:id="rId4261" ref="C4263"/>
    <hyperlink r:id="rId4262" ref="C4264"/>
    <hyperlink r:id="rId4263" ref="C4265"/>
    <hyperlink r:id="rId4264" ref="C4266"/>
    <hyperlink r:id="rId4265" ref="C4267"/>
    <hyperlink r:id="rId4266" ref="C4268"/>
    <hyperlink r:id="rId4267" ref="C4269"/>
    <hyperlink r:id="rId4268" ref="C4270"/>
    <hyperlink r:id="rId4269" ref="C4271"/>
    <hyperlink r:id="rId4270" ref="C4272"/>
    <hyperlink r:id="rId4271" ref="C4273"/>
    <hyperlink r:id="rId4272" ref="C4274"/>
    <hyperlink r:id="rId4273" ref="C4275"/>
    <hyperlink r:id="rId4274" ref="C4276"/>
    <hyperlink r:id="rId4275" ref="C4277"/>
    <hyperlink r:id="rId4276" ref="C4278"/>
    <hyperlink r:id="rId4277" ref="C4279"/>
    <hyperlink r:id="rId4278" ref="C4280"/>
    <hyperlink r:id="rId4279" ref="C4281"/>
    <hyperlink r:id="rId4280" ref="C4282"/>
    <hyperlink r:id="rId4281" ref="C4283"/>
    <hyperlink r:id="rId4282" ref="C4284"/>
    <hyperlink r:id="rId4283" ref="C4285"/>
    <hyperlink r:id="rId4284" ref="C4286"/>
    <hyperlink r:id="rId4285" ref="C4287"/>
    <hyperlink r:id="rId4286" ref="C4288"/>
    <hyperlink r:id="rId4287" ref="C4289"/>
    <hyperlink r:id="rId4288" ref="C4290"/>
    <hyperlink r:id="rId4289" ref="C4291"/>
    <hyperlink r:id="rId4290" ref="C4292"/>
    <hyperlink r:id="rId4291" ref="C4293"/>
    <hyperlink r:id="rId4292" ref="C4294"/>
    <hyperlink r:id="rId4293" ref="C4295"/>
    <hyperlink r:id="rId4294" ref="C4296"/>
    <hyperlink r:id="rId4295" ref="C4297"/>
    <hyperlink r:id="rId4296" ref="C4298"/>
    <hyperlink r:id="rId4297" ref="C4299"/>
    <hyperlink r:id="rId4298" ref="C4300"/>
    <hyperlink r:id="rId4299" ref="C4301"/>
    <hyperlink r:id="rId4300" ref="C4302"/>
    <hyperlink r:id="rId4301" ref="C4303"/>
    <hyperlink r:id="rId4302" ref="C4304"/>
    <hyperlink r:id="rId4303" ref="C4305"/>
    <hyperlink r:id="rId4304" ref="C4306"/>
    <hyperlink r:id="rId4305" ref="C4307"/>
    <hyperlink r:id="rId4306" ref="C4308"/>
    <hyperlink r:id="rId4307" ref="C4309"/>
    <hyperlink r:id="rId4308" ref="C4310"/>
    <hyperlink r:id="rId4309" ref="C4311"/>
    <hyperlink r:id="rId4310" ref="C4312"/>
    <hyperlink r:id="rId4311" ref="C4313"/>
    <hyperlink r:id="rId4312" ref="C4314"/>
    <hyperlink r:id="rId4313" ref="C4315"/>
    <hyperlink r:id="rId4314" ref="C4316"/>
    <hyperlink r:id="rId4315" ref="C4317"/>
    <hyperlink r:id="rId4316" ref="C4318"/>
    <hyperlink r:id="rId4317" ref="C4319"/>
    <hyperlink r:id="rId4318" ref="C4320"/>
    <hyperlink r:id="rId4319" ref="C4321"/>
    <hyperlink r:id="rId4320" ref="C4322"/>
    <hyperlink r:id="rId4321" ref="C4323"/>
    <hyperlink r:id="rId4322" ref="C4324"/>
    <hyperlink r:id="rId4323" ref="C4325"/>
    <hyperlink r:id="rId4324" ref="C4326"/>
    <hyperlink r:id="rId4325" ref="C4327"/>
    <hyperlink r:id="rId4326" ref="C4328"/>
    <hyperlink r:id="rId4327" ref="C4329"/>
    <hyperlink r:id="rId4328" ref="C4330"/>
    <hyperlink r:id="rId4329" ref="C4331"/>
    <hyperlink r:id="rId4330" ref="C4332"/>
    <hyperlink r:id="rId4331" ref="C4333"/>
    <hyperlink r:id="rId4332" ref="C4334"/>
    <hyperlink r:id="rId4333" ref="C4335"/>
    <hyperlink r:id="rId4334" ref="C4336"/>
    <hyperlink r:id="rId4335" ref="C4337"/>
    <hyperlink r:id="rId4336" ref="C4338"/>
    <hyperlink r:id="rId4337" ref="C4339"/>
    <hyperlink r:id="rId4338" ref="C4340"/>
    <hyperlink r:id="rId4339" ref="C4341"/>
    <hyperlink r:id="rId4340" ref="C4342"/>
    <hyperlink r:id="rId4341" ref="C4343"/>
    <hyperlink r:id="rId4342" ref="C4344"/>
    <hyperlink r:id="rId4343" ref="C4345"/>
    <hyperlink r:id="rId4344" ref="C4346"/>
    <hyperlink r:id="rId4345" ref="C4347"/>
    <hyperlink r:id="rId4346" ref="C4348"/>
    <hyperlink r:id="rId4347" ref="C4349"/>
    <hyperlink r:id="rId4348" ref="C4350"/>
    <hyperlink r:id="rId4349" ref="C4351"/>
    <hyperlink r:id="rId4350" ref="C4352"/>
    <hyperlink r:id="rId4351" ref="C4353"/>
    <hyperlink r:id="rId4352" ref="C4354"/>
    <hyperlink r:id="rId4353" ref="C4355"/>
    <hyperlink r:id="rId4354" ref="C4356"/>
    <hyperlink r:id="rId4355" ref="C4357"/>
    <hyperlink r:id="rId4356" ref="C4358"/>
    <hyperlink r:id="rId4357" ref="C4359"/>
    <hyperlink r:id="rId4358" ref="C4360"/>
    <hyperlink r:id="rId4359" ref="C4361"/>
    <hyperlink r:id="rId4360" ref="C4362"/>
    <hyperlink r:id="rId4361" ref="C4363"/>
    <hyperlink r:id="rId4362" ref="C4364"/>
    <hyperlink r:id="rId4363" ref="C4365"/>
    <hyperlink r:id="rId4364" ref="C4366"/>
    <hyperlink r:id="rId4365" ref="C4367"/>
    <hyperlink r:id="rId4366" ref="C4368"/>
    <hyperlink r:id="rId4367" ref="C4369"/>
    <hyperlink r:id="rId4368" ref="C4370"/>
    <hyperlink r:id="rId4369" ref="C4371"/>
    <hyperlink r:id="rId4370" ref="C4372"/>
    <hyperlink r:id="rId4371" ref="C4373"/>
    <hyperlink r:id="rId4372" ref="C4374"/>
    <hyperlink r:id="rId4373" ref="C4375"/>
    <hyperlink r:id="rId4374" ref="C4376"/>
    <hyperlink r:id="rId4375" ref="C4377"/>
    <hyperlink r:id="rId4376" ref="C4378"/>
    <hyperlink r:id="rId4377" ref="C4379"/>
    <hyperlink r:id="rId4378" ref="C4380"/>
    <hyperlink r:id="rId4379" ref="C4381"/>
    <hyperlink r:id="rId4380" ref="C4382"/>
    <hyperlink r:id="rId4381" ref="C4383"/>
    <hyperlink r:id="rId4382" ref="C4384"/>
    <hyperlink r:id="rId4383" ref="C4385"/>
    <hyperlink r:id="rId4384" ref="C4386"/>
    <hyperlink r:id="rId4385" ref="C4387"/>
    <hyperlink r:id="rId4386" ref="C4388"/>
    <hyperlink r:id="rId4387" ref="C4389"/>
    <hyperlink r:id="rId4388" ref="C4390"/>
    <hyperlink r:id="rId4389" ref="C4391"/>
    <hyperlink r:id="rId4390" ref="C4392"/>
    <hyperlink r:id="rId4391" ref="C4393"/>
    <hyperlink r:id="rId4392" ref="C4394"/>
    <hyperlink r:id="rId4393" ref="C4395"/>
    <hyperlink r:id="rId4394" ref="C4396"/>
    <hyperlink r:id="rId4395" ref="C4397"/>
    <hyperlink r:id="rId4396" ref="C4398"/>
    <hyperlink r:id="rId4397" ref="C4399"/>
    <hyperlink r:id="rId4398" ref="C4400"/>
    <hyperlink r:id="rId4399" ref="C4401"/>
    <hyperlink r:id="rId4400" ref="C4402"/>
    <hyperlink r:id="rId4401" ref="C4403"/>
    <hyperlink r:id="rId4402" ref="C4404"/>
    <hyperlink r:id="rId4403" ref="C4405"/>
    <hyperlink r:id="rId4404" ref="C4406"/>
    <hyperlink r:id="rId4405" ref="C4407"/>
    <hyperlink r:id="rId4406" ref="C4408"/>
    <hyperlink r:id="rId4407" ref="C4409"/>
    <hyperlink r:id="rId4408" ref="C4410"/>
    <hyperlink r:id="rId4409" ref="C4411"/>
    <hyperlink r:id="rId4410" ref="C4412"/>
    <hyperlink r:id="rId4411" ref="C4413"/>
    <hyperlink r:id="rId4412" ref="C4414"/>
    <hyperlink r:id="rId4413" ref="C4415"/>
    <hyperlink r:id="rId4414" ref="C4416"/>
    <hyperlink r:id="rId4415" ref="C4417"/>
    <hyperlink r:id="rId4416" ref="C4418"/>
    <hyperlink r:id="rId4417" ref="C4419"/>
    <hyperlink r:id="rId4418" ref="C4420"/>
    <hyperlink r:id="rId4419" ref="C4421"/>
    <hyperlink r:id="rId4420" ref="C4422"/>
    <hyperlink r:id="rId4421" ref="C4423"/>
    <hyperlink r:id="rId4422" ref="C4424"/>
    <hyperlink r:id="rId4423" ref="C4425"/>
    <hyperlink r:id="rId4424" ref="C4426"/>
    <hyperlink r:id="rId4425" ref="C4427"/>
    <hyperlink r:id="rId4426" ref="C4428"/>
    <hyperlink r:id="rId4427" ref="C4429"/>
    <hyperlink r:id="rId4428" ref="C4430"/>
    <hyperlink r:id="rId4429" ref="C4431"/>
    <hyperlink r:id="rId4430" ref="C4432"/>
    <hyperlink r:id="rId4431" ref="C4433"/>
    <hyperlink r:id="rId4432" ref="C4434"/>
    <hyperlink r:id="rId4433" ref="C4435"/>
    <hyperlink r:id="rId4434" ref="C4436"/>
    <hyperlink r:id="rId4435" ref="C4437"/>
    <hyperlink r:id="rId4436" ref="C4438"/>
    <hyperlink r:id="rId4437" ref="C4439"/>
    <hyperlink r:id="rId4438" ref="C4440"/>
    <hyperlink r:id="rId4439" ref="C4441"/>
    <hyperlink r:id="rId4440" ref="C4442"/>
    <hyperlink r:id="rId4441" ref="C4443"/>
    <hyperlink r:id="rId4442" ref="C4444"/>
    <hyperlink r:id="rId4443" ref="C4445"/>
    <hyperlink r:id="rId4444" ref="C4446"/>
    <hyperlink r:id="rId4445" ref="C4447"/>
    <hyperlink r:id="rId4446" ref="C4448"/>
    <hyperlink r:id="rId4447" ref="C4449"/>
    <hyperlink r:id="rId4448" ref="C4450"/>
    <hyperlink r:id="rId4449" ref="C4451"/>
    <hyperlink r:id="rId4450" ref="C4452"/>
    <hyperlink r:id="rId4451" ref="C4453"/>
    <hyperlink r:id="rId4452" ref="C4454"/>
    <hyperlink r:id="rId4453" ref="C4455"/>
    <hyperlink r:id="rId4454" ref="C4456"/>
    <hyperlink r:id="rId4455" ref="C4457"/>
    <hyperlink r:id="rId4456" ref="C4458"/>
    <hyperlink r:id="rId4457" ref="C4459"/>
    <hyperlink r:id="rId4458" ref="C4460"/>
    <hyperlink r:id="rId4459" ref="C4461"/>
    <hyperlink r:id="rId4460" ref="C4462"/>
    <hyperlink r:id="rId4461" ref="C4463"/>
    <hyperlink r:id="rId4462" ref="C4464"/>
    <hyperlink r:id="rId4463" ref="C4465"/>
    <hyperlink r:id="rId4464" ref="C4466"/>
    <hyperlink r:id="rId4465" ref="C4467"/>
    <hyperlink r:id="rId4466" ref="C4468"/>
    <hyperlink r:id="rId4467" ref="C4469"/>
    <hyperlink r:id="rId4468" ref="C4470"/>
    <hyperlink r:id="rId4469" ref="C4471"/>
    <hyperlink r:id="rId4470" ref="C4472"/>
    <hyperlink r:id="rId4471" ref="C4473"/>
    <hyperlink r:id="rId4472" ref="C4474"/>
    <hyperlink r:id="rId4473" ref="C4475"/>
    <hyperlink r:id="rId4474" ref="C4476"/>
    <hyperlink r:id="rId4475" ref="C4477"/>
    <hyperlink r:id="rId4476" ref="C4478"/>
    <hyperlink r:id="rId4477" ref="C4479"/>
    <hyperlink r:id="rId4478" ref="C4480"/>
    <hyperlink r:id="rId4479" ref="C4481"/>
    <hyperlink r:id="rId4480" ref="C4482"/>
    <hyperlink r:id="rId4481" ref="C4483"/>
    <hyperlink r:id="rId4482" ref="C4484"/>
    <hyperlink r:id="rId4483" ref="C4485"/>
    <hyperlink r:id="rId4484" ref="C4486"/>
    <hyperlink r:id="rId4485" ref="C4487"/>
    <hyperlink r:id="rId4486" ref="C4488"/>
    <hyperlink r:id="rId4487" ref="C4489"/>
    <hyperlink r:id="rId4488" ref="C4490"/>
    <hyperlink r:id="rId4489" ref="C4491"/>
    <hyperlink r:id="rId4490" ref="C4492"/>
    <hyperlink r:id="rId4491" ref="C4493"/>
    <hyperlink r:id="rId4492" ref="C4494"/>
    <hyperlink r:id="rId4493" ref="C4495"/>
    <hyperlink r:id="rId4494" ref="C4496"/>
    <hyperlink r:id="rId4495" ref="C4497"/>
    <hyperlink r:id="rId4496" ref="C4498"/>
    <hyperlink r:id="rId4497" ref="C4499"/>
    <hyperlink r:id="rId4498" ref="C4500"/>
    <hyperlink r:id="rId4499" ref="C4501"/>
    <hyperlink r:id="rId4500" ref="C4502"/>
    <hyperlink r:id="rId4501" ref="C4503"/>
    <hyperlink r:id="rId4502" ref="C4504"/>
    <hyperlink r:id="rId4503" ref="C4505"/>
    <hyperlink r:id="rId4504" ref="C4506"/>
    <hyperlink r:id="rId4505" ref="C4507"/>
    <hyperlink r:id="rId4506" ref="C4508"/>
    <hyperlink r:id="rId4507" ref="C4509"/>
    <hyperlink r:id="rId4508" ref="C4510"/>
    <hyperlink r:id="rId4509" ref="C4511"/>
    <hyperlink r:id="rId4510" ref="C4512"/>
    <hyperlink r:id="rId4511" ref="C4513"/>
    <hyperlink r:id="rId4512" ref="C4514"/>
    <hyperlink r:id="rId4513" ref="C4515"/>
    <hyperlink r:id="rId4514" ref="C4516"/>
    <hyperlink r:id="rId4515" ref="C4517"/>
    <hyperlink r:id="rId4516" ref="C4518"/>
    <hyperlink r:id="rId4517" ref="C4519"/>
    <hyperlink r:id="rId4518" ref="C4520"/>
    <hyperlink r:id="rId4519" ref="C4521"/>
    <hyperlink r:id="rId4520" ref="C4522"/>
    <hyperlink r:id="rId4521" ref="C4523"/>
    <hyperlink r:id="rId4522" ref="C4524"/>
    <hyperlink r:id="rId4523" ref="C4525"/>
    <hyperlink r:id="rId4524" ref="C4526"/>
    <hyperlink r:id="rId4525" ref="C4527"/>
    <hyperlink r:id="rId4526" ref="C4528"/>
    <hyperlink r:id="rId4527" ref="C4529"/>
    <hyperlink r:id="rId4528" ref="C4530"/>
    <hyperlink r:id="rId4529" ref="C4531"/>
    <hyperlink r:id="rId4530" ref="C4532"/>
    <hyperlink r:id="rId4531" ref="C4533"/>
    <hyperlink r:id="rId4532" ref="C4534"/>
    <hyperlink r:id="rId4533" ref="C4535"/>
    <hyperlink r:id="rId4534" ref="C4536"/>
    <hyperlink r:id="rId4535" ref="C4537"/>
    <hyperlink r:id="rId4536" ref="C4538"/>
    <hyperlink r:id="rId4537" ref="C4539"/>
    <hyperlink r:id="rId4538" ref="C4540"/>
    <hyperlink r:id="rId4539" ref="C4541"/>
    <hyperlink r:id="rId4540" ref="C4542"/>
    <hyperlink r:id="rId4541" ref="C4543"/>
    <hyperlink r:id="rId4542" ref="C4544"/>
    <hyperlink r:id="rId4543" ref="C4545"/>
    <hyperlink r:id="rId4544" ref="C4546"/>
    <hyperlink r:id="rId4545" ref="C4547"/>
    <hyperlink r:id="rId4546" ref="C4548"/>
    <hyperlink r:id="rId4547" ref="C4549"/>
    <hyperlink r:id="rId4548" ref="C4550"/>
    <hyperlink r:id="rId4549" ref="C4551"/>
    <hyperlink r:id="rId4550" ref="C4552"/>
    <hyperlink r:id="rId4551" ref="C4553"/>
    <hyperlink r:id="rId4552" ref="C4554"/>
    <hyperlink r:id="rId4553" ref="C4555"/>
    <hyperlink r:id="rId4554" ref="C4556"/>
    <hyperlink r:id="rId4555" ref="C4557"/>
    <hyperlink r:id="rId4556" ref="C4558"/>
    <hyperlink r:id="rId4557" ref="C4559"/>
    <hyperlink r:id="rId4558" ref="C4560"/>
    <hyperlink r:id="rId4559" ref="C4561"/>
    <hyperlink r:id="rId4560" ref="C4562"/>
    <hyperlink r:id="rId4561" ref="C4563"/>
    <hyperlink r:id="rId4562" ref="C4564"/>
    <hyperlink r:id="rId4563" ref="C4565"/>
    <hyperlink r:id="rId4564" ref="C4566"/>
    <hyperlink r:id="rId4565" ref="C4567"/>
    <hyperlink r:id="rId4566" ref="C4568"/>
    <hyperlink r:id="rId4567" ref="C4569"/>
    <hyperlink r:id="rId4568" ref="C4570"/>
    <hyperlink r:id="rId4569" ref="C4571"/>
    <hyperlink r:id="rId4570" ref="C4572"/>
    <hyperlink r:id="rId4571" ref="C4573"/>
    <hyperlink r:id="rId4572" ref="C4574"/>
    <hyperlink r:id="rId4573" ref="C4575"/>
    <hyperlink r:id="rId4574" ref="C4576"/>
    <hyperlink r:id="rId4575" ref="C4577"/>
    <hyperlink r:id="rId4576" ref="C4578"/>
    <hyperlink r:id="rId4577" ref="C4579"/>
    <hyperlink r:id="rId4578" ref="C4580"/>
    <hyperlink r:id="rId4579" ref="C4581"/>
    <hyperlink r:id="rId4580" ref="C4582"/>
    <hyperlink r:id="rId4581" ref="C4583"/>
    <hyperlink r:id="rId4582" ref="C4584"/>
    <hyperlink r:id="rId4583" ref="C4585"/>
    <hyperlink r:id="rId4584" ref="C4586"/>
    <hyperlink r:id="rId4585" ref="C4587"/>
    <hyperlink r:id="rId4586" ref="C4588"/>
    <hyperlink r:id="rId4587" ref="C4589"/>
    <hyperlink r:id="rId4588" ref="C4590"/>
    <hyperlink r:id="rId4589" ref="C4591"/>
    <hyperlink r:id="rId4590" ref="C4592"/>
    <hyperlink r:id="rId4591" ref="C4593"/>
    <hyperlink r:id="rId4592" ref="C4594"/>
    <hyperlink r:id="rId4593" ref="C4595"/>
    <hyperlink r:id="rId4594" ref="C4596"/>
    <hyperlink r:id="rId4595" ref="C4597"/>
    <hyperlink r:id="rId4596" ref="C4598"/>
    <hyperlink r:id="rId4597" ref="C4599"/>
    <hyperlink r:id="rId4598" ref="C4600"/>
    <hyperlink r:id="rId4599" ref="C4601"/>
    <hyperlink r:id="rId4600" ref="C4602"/>
    <hyperlink r:id="rId4601" ref="C4603"/>
    <hyperlink r:id="rId4602" ref="C4604"/>
    <hyperlink r:id="rId4603" ref="C4605"/>
    <hyperlink r:id="rId4604" ref="C4606"/>
    <hyperlink r:id="rId4605" ref="C4607"/>
    <hyperlink r:id="rId4606" ref="C4608"/>
    <hyperlink r:id="rId4607" ref="C4609"/>
    <hyperlink r:id="rId4608" ref="C4610"/>
    <hyperlink r:id="rId4609" ref="C4611"/>
    <hyperlink r:id="rId4610" ref="C4612"/>
    <hyperlink r:id="rId4611" ref="C4613"/>
    <hyperlink r:id="rId4612" ref="C4614"/>
    <hyperlink r:id="rId4613" ref="C4615"/>
    <hyperlink r:id="rId4614" ref="C4616"/>
    <hyperlink r:id="rId4615" ref="C4617"/>
    <hyperlink r:id="rId4616" ref="C4618"/>
    <hyperlink r:id="rId4617" ref="C4619"/>
    <hyperlink r:id="rId4618" ref="C4620"/>
    <hyperlink r:id="rId4619" ref="C4621"/>
    <hyperlink r:id="rId4620" ref="C4622"/>
    <hyperlink r:id="rId4621" ref="C4623"/>
    <hyperlink r:id="rId4622" ref="C4624"/>
    <hyperlink r:id="rId4623" ref="C4625"/>
    <hyperlink r:id="rId4624" ref="C4626"/>
    <hyperlink r:id="rId4625" ref="C4627"/>
    <hyperlink r:id="rId4626" ref="C4628"/>
    <hyperlink r:id="rId4627" ref="C4629"/>
    <hyperlink r:id="rId4628" ref="C4630"/>
    <hyperlink r:id="rId4629" ref="C4631"/>
    <hyperlink r:id="rId4630" ref="C4632"/>
    <hyperlink r:id="rId4631" ref="C4633"/>
    <hyperlink r:id="rId4632" ref="C4634"/>
    <hyperlink r:id="rId4633" ref="C4635"/>
    <hyperlink r:id="rId4634" ref="C4636"/>
    <hyperlink r:id="rId4635" ref="C4637"/>
    <hyperlink r:id="rId4636" ref="C4638"/>
    <hyperlink r:id="rId4637" ref="C4639"/>
    <hyperlink r:id="rId4638" ref="C4640"/>
    <hyperlink r:id="rId4639" ref="C4641"/>
    <hyperlink r:id="rId4640" ref="C4642"/>
    <hyperlink r:id="rId4641" ref="C4643"/>
    <hyperlink r:id="rId4642" ref="C4644"/>
    <hyperlink r:id="rId4643" ref="C4645"/>
    <hyperlink r:id="rId4644" ref="C4646"/>
    <hyperlink r:id="rId4645" ref="C4647"/>
    <hyperlink r:id="rId4646" ref="C4648"/>
    <hyperlink r:id="rId4647" ref="C4649"/>
    <hyperlink r:id="rId4648" ref="C4650"/>
    <hyperlink r:id="rId4649" ref="C4651"/>
    <hyperlink r:id="rId4650" ref="C4652"/>
    <hyperlink r:id="rId4651" ref="C4653"/>
    <hyperlink r:id="rId4652" ref="C4654"/>
    <hyperlink r:id="rId4653" ref="C4655"/>
    <hyperlink r:id="rId4654" ref="C4656"/>
    <hyperlink r:id="rId4655" ref="C4657"/>
    <hyperlink r:id="rId4656" ref="C4658"/>
    <hyperlink r:id="rId4657" ref="C4659"/>
    <hyperlink r:id="rId4658" ref="C4660"/>
    <hyperlink r:id="rId4659" ref="C4661"/>
    <hyperlink r:id="rId4660" ref="C4662"/>
    <hyperlink r:id="rId4661" ref="C4663"/>
    <hyperlink r:id="rId4662" ref="C4664"/>
    <hyperlink r:id="rId4663" ref="C4665"/>
    <hyperlink r:id="rId4664" ref="C4666"/>
    <hyperlink r:id="rId4665" ref="C4667"/>
    <hyperlink r:id="rId4666" ref="C4668"/>
    <hyperlink r:id="rId4667" ref="C4669"/>
    <hyperlink r:id="rId4668" ref="C4670"/>
    <hyperlink r:id="rId4669" ref="C4671"/>
    <hyperlink r:id="rId4670" ref="C4672"/>
    <hyperlink r:id="rId4671" ref="C4673"/>
    <hyperlink r:id="rId4672" ref="C4674"/>
    <hyperlink r:id="rId4673" ref="C4675"/>
    <hyperlink r:id="rId4674" ref="C4676"/>
    <hyperlink r:id="rId4675" ref="C4677"/>
    <hyperlink r:id="rId4676" ref="C4678"/>
    <hyperlink r:id="rId4677" ref="C4679"/>
    <hyperlink r:id="rId4678" ref="C4680"/>
    <hyperlink r:id="rId4679" ref="C4681"/>
    <hyperlink r:id="rId4680" ref="C4682"/>
    <hyperlink r:id="rId4681" ref="C4683"/>
    <hyperlink r:id="rId4682" ref="C4684"/>
    <hyperlink r:id="rId4683" ref="C4685"/>
    <hyperlink r:id="rId4684" ref="C4686"/>
    <hyperlink r:id="rId4685" ref="C4687"/>
    <hyperlink r:id="rId4686" ref="C4688"/>
    <hyperlink r:id="rId4687" ref="C4689"/>
    <hyperlink r:id="rId4688" ref="C4690"/>
    <hyperlink r:id="rId4689" ref="C4691"/>
    <hyperlink r:id="rId4690" ref="C4692"/>
    <hyperlink r:id="rId4691" ref="C4693"/>
    <hyperlink r:id="rId4692" ref="C4694"/>
    <hyperlink r:id="rId4693" ref="C4695"/>
    <hyperlink r:id="rId4694" ref="C4696"/>
    <hyperlink r:id="rId4695" ref="C4697"/>
    <hyperlink r:id="rId4696" ref="C4698"/>
    <hyperlink r:id="rId4697" ref="C4699"/>
    <hyperlink r:id="rId4698" ref="C4700"/>
    <hyperlink r:id="rId4699" ref="C4701"/>
    <hyperlink r:id="rId4700" ref="C4702"/>
    <hyperlink r:id="rId4701" ref="C4703"/>
    <hyperlink r:id="rId4702" ref="C4704"/>
    <hyperlink r:id="rId4703" ref="C4705"/>
    <hyperlink r:id="rId4704" ref="C4706"/>
    <hyperlink r:id="rId4705" ref="C4707"/>
    <hyperlink r:id="rId4706" ref="C4708"/>
    <hyperlink r:id="rId4707" ref="C4709"/>
    <hyperlink r:id="rId4708" ref="C4710"/>
    <hyperlink r:id="rId4709" ref="C4711"/>
    <hyperlink r:id="rId4710" ref="C4712"/>
    <hyperlink r:id="rId4711" ref="C4713"/>
    <hyperlink r:id="rId4712" ref="C4714"/>
    <hyperlink r:id="rId4713" ref="C4715"/>
    <hyperlink r:id="rId4714" ref="C4716"/>
    <hyperlink r:id="rId4715" ref="C4717"/>
    <hyperlink r:id="rId4716" ref="C4718"/>
    <hyperlink r:id="rId4717" ref="C4719"/>
    <hyperlink r:id="rId4718" ref="C4720"/>
    <hyperlink r:id="rId4719" ref="C4721"/>
    <hyperlink r:id="rId4720" ref="C4722"/>
    <hyperlink r:id="rId4721" ref="C4723"/>
    <hyperlink r:id="rId4722" ref="C4724"/>
    <hyperlink r:id="rId4723" ref="C4725"/>
    <hyperlink r:id="rId4724" ref="C4726"/>
    <hyperlink r:id="rId4725" ref="C4727"/>
    <hyperlink r:id="rId4726" ref="C4728"/>
    <hyperlink r:id="rId4727" ref="C4729"/>
    <hyperlink r:id="rId4728" ref="C4730"/>
    <hyperlink r:id="rId4729" ref="C4731"/>
    <hyperlink r:id="rId4730" ref="C4732"/>
    <hyperlink r:id="rId4731" ref="C4733"/>
    <hyperlink r:id="rId4732" ref="C4734"/>
    <hyperlink r:id="rId4733" ref="C4735"/>
    <hyperlink r:id="rId4734" ref="C4736"/>
    <hyperlink r:id="rId4735" ref="C4737"/>
    <hyperlink r:id="rId4736" ref="C4738"/>
    <hyperlink r:id="rId4737" ref="C4739"/>
    <hyperlink r:id="rId4738" ref="C4740"/>
    <hyperlink r:id="rId4739" ref="C4741"/>
    <hyperlink r:id="rId4740" ref="C4742"/>
    <hyperlink r:id="rId4741" ref="C4743"/>
    <hyperlink r:id="rId4742" ref="C4744"/>
    <hyperlink r:id="rId4743" ref="C4745"/>
    <hyperlink r:id="rId4744" ref="C4746"/>
    <hyperlink r:id="rId4745" ref="C4747"/>
    <hyperlink r:id="rId4746" ref="C4748"/>
    <hyperlink r:id="rId4747" ref="C4749"/>
    <hyperlink r:id="rId4748" ref="C4750"/>
    <hyperlink r:id="rId4749" ref="C4751"/>
    <hyperlink r:id="rId4750" ref="C4752"/>
    <hyperlink r:id="rId4751" ref="C4753"/>
    <hyperlink r:id="rId4752" ref="C4754"/>
    <hyperlink r:id="rId4753" ref="C4755"/>
    <hyperlink r:id="rId4754" ref="C4756"/>
    <hyperlink r:id="rId4755" ref="C4757"/>
    <hyperlink r:id="rId4756" ref="C4758"/>
    <hyperlink r:id="rId4757" ref="C4759"/>
    <hyperlink r:id="rId4758" ref="C4760"/>
    <hyperlink r:id="rId4759" ref="C4761"/>
    <hyperlink r:id="rId4760" ref="C4762"/>
    <hyperlink r:id="rId4761" ref="C4763"/>
    <hyperlink r:id="rId4762" ref="C4764"/>
    <hyperlink r:id="rId4763" ref="C4765"/>
    <hyperlink r:id="rId4764" ref="C4766"/>
    <hyperlink r:id="rId4765" ref="C4767"/>
    <hyperlink r:id="rId4766" ref="C4768"/>
    <hyperlink r:id="rId4767" ref="C4769"/>
    <hyperlink r:id="rId4768" ref="C4770"/>
    <hyperlink r:id="rId4769" ref="C4771"/>
    <hyperlink r:id="rId4770" ref="C4772"/>
    <hyperlink r:id="rId4771" ref="C4773"/>
    <hyperlink r:id="rId4772" ref="C4774"/>
    <hyperlink r:id="rId4773" ref="C4775"/>
    <hyperlink r:id="rId4774" ref="C4776"/>
    <hyperlink r:id="rId4775" ref="C4777"/>
    <hyperlink r:id="rId4776" ref="C4778"/>
    <hyperlink r:id="rId4777" ref="C4779"/>
    <hyperlink r:id="rId4778" ref="C4780"/>
    <hyperlink r:id="rId4779" ref="C4781"/>
    <hyperlink r:id="rId4780" ref="C4782"/>
    <hyperlink r:id="rId4781" ref="C4783"/>
    <hyperlink r:id="rId4782" ref="C4784"/>
    <hyperlink r:id="rId4783" ref="C4785"/>
    <hyperlink r:id="rId4784" ref="C4786"/>
    <hyperlink r:id="rId4785" ref="C4787"/>
    <hyperlink r:id="rId4786" ref="C4788"/>
    <hyperlink r:id="rId4787" ref="C4789"/>
    <hyperlink r:id="rId4788" ref="C4790"/>
    <hyperlink r:id="rId4789" ref="C4791"/>
    <hyperlink r:id="rId4790" ref="C4792"/>
    <hyperlink r:id="rId4791" ref="C4793"/>
    <hyperlink r:id="rId4792" ref="C4794"/>
    <hyperlink r:id="rId4793" ref="C4795"/>
    <hyperlink r:id="rId4794" ref="C4796"/>
    <hyperlink r:id="rId4795" ref="C4797"/>
    <hyperlink r:id="rId4796" ref="C4798"/>
    <hyperlink r:id="rId4797" ref="C4799"/>
    <hyperlink r:id="rId4798" ref="C4800"/>
    <hyperlink r:id="rId4799" ref="C4801"/>
    <hyperlink r:id="rId4800" ref="C4802"/>
    <hyperlink r:id="rId4801" ref="C4803"/>
    <hyperlink r:id="rId4802" ref="C4804"/>
    <hyperlink r:id="rId4803" ref="C4805"/>
    <hyperlink r:id="rId4804" ref="C4806"/>
    <hyperlink r:id="rId4805" ref="C4807"/>
    <hyperlink r:id="rId4806" ref="C4808"/>
    <hyperlink r:id="rId4807" ref="C4809"/>
    <hyperlink r:id="rId4808" ref="C4810"/>
    <hyperlink r:id="rId4809" ref="C4811"/>
    <hyperlink r:id="rId4810" ref="C4812"/>
    <hyperlink r:id="rId4811" ref="C4813"/>
    <hyperlink r:id="rId4812" ref="C4814"/>
    <hyperlink r:id="rId4813" ref="C4815"/>
    <hyperlink r:id="rId4814" ref="C4816"/>
    <hyperlink r:id="rId4815" ref="C4817"/>
    <hyperlink r:id="rId4816" ref="C4818"/>
    <hyperlink r:id="rId4817" ref="C4819"/>
    <hyperlink r:id="rId4818" ref="C4820"/>
    <hyperlink r:id="rId4819" ref="C4821"/>
    <hyperlink r:id="rId4820" ref="C4822"/>
    <hyperlink r:id="rId4821" ref="C4823"/>
    <hyperlink r:id="rId4822" ref="C4824"/>
    <hyperlink r:id="rId4823" ref="C4825"/>
    <hyperlink r:id="rId4824" ref="C4826"/>
    <hyperlink r:id="rId4825" ref="C4827"/>
    <hyperlink r:id="rId4826" ref="C4828"/>
    <hyperlink r:id="rId4827" ref="C4829"/>
    <hyperlink r:id="rId4828" ref="C4830"/>
    <hyperlink r:id="rId4829" ref="C4831"/>
    <hyperlink r:id="rId4830" ref="C4832"/>
    <hyperlink r:id="rId4831" ref="C4833"/>
    <hyperlink r:id="rId4832" ref="C4834"/>
    <hyperlink r:id="rId4833" ref="C4835"/>
    <hyperlink r:id="rId4834" ref="C4836"/>
    <hyperlink r:id="rId4835" ref="C4837"/>
    <hyperlink r:id="rId4836" ref="C4838"/>
    <hyperlink r:id="rId4837" ref="C4839"/>
    <hyperlink r:id="rId4838" ref="C4840"/>
    <hyperlink r:id="rId4839" ref="C4841"/>
    <hyperlink r:id="rId4840" ref="C4842"/>
    <hyperlink r:id="rId4841" ref="C4843"/>
    <hyperlink r:id="rId4842" ref="C4844"/>
    <hyperlink r:id="rId4843" ref="C4845"/>
    <hyperlink r:id="rId4844" ref="C4846"/>
    <hyperlink r:id="rId4845" ref="C4847"/>
    <hyperlink r:id="rId4846" ref="C4848"/>
    <hyperlink r:id="rId4847" ref="C4849"/>
    <hyperlink r:id="rId4848" ref="C4850"/>
    <hyperlink r:id="rId4849" ref="C4851"/>
    <hyperlink r:id="rId4850" ref="C4852"/>
    <hyperlink r:id="rId4851" ref="C4853"/>
    <hyperlink r:id="rId4852" ref="C4854"/>
    <hyperlink r:id="rId4853" ref="C4855"/>
    <hyperlink r:id="rId4854" ref="C4856"/>
    <hyperlink r:id="rId4855" ref="C4857"/>
    <hyperlink r:id="rId4856" ref="C4858"/>
    <hyperlink r:id="rId4857" ref="C4859"/>
    <hyperlink r:id="rId4858" ref="C4860"/>
    <hyperlink r:id="rId4859" ref="C4861"/>
    <hyperlink r:id="rId4860" ref="C4862"/>
    <hyperlink r:id="rId4861" ref="C4863"/>
    <hyperlink r:id="rId4862" ref="C4864"/>
    <hyperlink r:id="rId4863" ref="C4865"/>
    <hyperlink r:id="rId4864" ref="C4866"/>
    <hyperlink r:id="rId4865" ref="C4867"/>
    <hyperlink r:id="rId4866" ref="C4868"/>
    <hyperlink r:id="rId4867" ref="C4869"/>
    <hyperlink r:id="rId4868" ref="C4870"/>
    <hyperlink r:id="rId4869" ref="C4871"/>
    <hyperlink r:id="rId4870" ref="C4872"/>
    <hyperlink r:id="rId4871" ref="C4873"/>
    <hyperlink r:id="rId4872" ref="C4874"/>
    <hyperlink r:id="rId4873" ref="C4875"/>
    <hyperlink r:id="rId4874" ref="C4876"/>
    <hyperlink r:id="rId4875" ref="C4877"/>
    <hyperlink r:id="rId4876" ref="C4878"/>
    <hyperlink r:id="rId4877" ref="C4879"/>
    <hyperlink r:id="rId4878" ref="C4880"/>
    <hyperlink r:id="rId4879" ref="C4881"/>
    <hyperlink r:id="rId4880" ref="C4882"/>
    <hyperlink r:id="rId4881" ref="C4883"/>
    <hyperlink r:id="rId4882" ref="C4884"/>
    <hyperlink r:id="rId4883" ref="C4885"/>
    <hyperlink r:id="rId4884" ref="C4886"/>
    <hyperlink r:id="rId4885" ref="C4887"/>
    <hyperlink r:id="rId4886" ref="C4888"/>
    <hyperlink r:id="rId4887" ref="C4889"/>
    <hyperlink r:id="rId4888" ref="C4890"/>
    <hyperlink r:id="rId4889" ref="C4891"/>
    <hyperlink r:id="rId4890" ref="C4892"/>
    <hyperlink r:id="rId4891" ref="C4893"/>
    <hyperlink r:id="rId4892" ref="C4894"/>
    <hyperlink r:id="rId4893" ref="C4895"/>
    <hyperlink r:id="rId4894" ref="C4896"/>
    <hyperlink r:id="rId4895" ref="C4897"/>
    <hyperlink r:id="rId4896" ref="C4898"/>
    <hyperlink r:id="rId4897" ref="C4899"/>
    <hyperlink r:id="rId4898" ref="C4900"/>
    <hyperlink r:id="rId4899" ref="C4901"/>
    <hyperlink r:id="rId4900" ref="C4902"/>
    <hyperlink r:id="rId4901" ref="C4903"/>
    <hyperlink r:id="rId4902" ref="C4904"/>
    <hyperlink r:id="rId4903" ref="C4905"/>
    <hyperlink r:id="rId4904" ref="C4906"/>
    <hyperlink r:id="rId4905" ref="C4907"/>
    <hyperlink r:id="rId4906" ref="C4908"/>
    <hyperlink r:id="rId4907" ref="C4909"/>
    <hyperlink r:id="rId4908" ref="C4910"/>
    <hyperlink r:id="rId4909" ref="C4911"/>
    <hyperlink r:id="rId4910" ref="C4912"/>
    <hyperlink r:id="rId4911" ref="C4913"/>
    <hyperlink r:id="rId4912" ref="C4914"/>
    <hyperlink r:id="rId4913" ref="C4915"/>
    <hyperlink r:id="rId4914" ref="C4916"/>
    <hyperlink r:id="rId4915" ref="C4917"/>
    <hyperlink r:id="rId4916" ref="C4918"/>
    <hyperlink r:id="rId4917" ref="C4919"/>
    <hyperlink r:id="rId4918" ref="C4920"/>
    <hyperlink r:id="rId4919" ref="C4921"/>
    <hyperlink r:id="rId4920" ref="C4922"/>
    <hyperlink r:id="rId4921" ref="C4923"/>
    <hyperlink r:id="rId4922" ref="C4924"/>
    <hyperlink r:id="rId4923" ref="C4925"/>
    <hyperlink r:id="rId4924" ref="C4926"/>
    <hyperlink r:id="rId4925" ref="C4927"/>
    <hyperlink r:id="rId4926" ref="C4928"/>
    <hyperlink r:id="rId4927" ref="C4929"/>
    <hyperlink r:id="rId4928" ref="C4930"/>
    <hyperlink r:id="rId4929" ref="C4931"/>
    <hyperlink r:id="rId4930" ref="C4932"/>
    <hyperlink r:id="rId4931" ref="C4933"/>
    <hyperlink r:id="rId4932" ref="C4934"/>
    <hyperlink r:id="rId4933" ref="C4935"/>
    <hyperlink r:id="rId4934" ref="C4936"/>
    <hyperlink r:id="rId4935" ref="C4937"/>
    <hyperlink r:id="rId4936" ref="C4938"/>
    <hyperlink r:id="rId4937" ref="C4939"/>
    <hyperlink r:id="rId4938" ref="C4940"/>
    <hyperlink r:id="rId4939" ref="C4941"/>
    <hyperlink r:id="rId4940" ref="C4942"/>
    <hyperlink r:id="rId4941" ref="C4943"/>
    <hyperlink r:id="rId4942" ref="C4944"/>
    <hyperlink r:id="rId4943" ref="C4945"/>
    <hyperlink r:id="rId4944" ref="C4946"/>
    <hyperlink r:id="rId4945" ref="C4947"/>
    <hyperlink r:id="rId4946" ref="C4948"/>
    <hyperlink r:id="rId4947" ref="C4949"/>
    <hyperlink r:id="rId4948" ref="C4950"/>
    <hyperlink r:id="rId4949" ref="C4951"/>
    <hyperlink r:id="rId4950" ref="C4952"/>
    <hyperlink r:id="rId4951" ref="C4953"/>
    <hyperlink r:id="rId4952" ref="C4954"/>
    <hyperlink r:id="rId4953" ref="C4955"/>
    <hyperlink r:id="rId4954" ref="C4956"/>
    <hyperlink r:id="rId4955" ref="C4957"/>
    <hyperlink r:id="rId4956" ref="C4958"/>
    <hyperlink r:id="rId4957" ref="C4959"/>
    <hyperlink r:id="rId4958" ref="C4960"/>
    <hyperlink r:id="rId4959" ref="C4961"/>
    <hyperlink r:id="rId4960" ref="C4962"/>
    <hyperlink r:id="rId4961" ref="C4963"/>
    <hyperlink r:id="rId4962" ref="C4964"/>
    <hyperlink r:id="rId4963" ref="C4965"/>
    <hyperlink r:id="rId4964" ref="C4966"/>
    <hyperlink r:id="rId4965" ref="C4967"/>
    <hyperlink r:id="rId4966" ref="C4968"/>
    <hyperlink r:id="rId4967" ref="C4969"/>
    <hyperlink r:id="rId4968" ref="C4970"/>
    <hyperlink r:id="rId4969" ref="C4971"/>
    <hyperlink r:id="rId4970" ref="C4972"/>
    <hyperlink r:id="rId4971" ref="C4973"/>
    <hyperlink r:id="rId4972" ref="C4974"/>
    <hyperlink r:id="rId4973" ref="C4975"/>
    <hyperlink r:id="rId4974" ref="C4976"/>
    <hyperlink r:id="rId4975" ref="C4977"/>
    <hyperlink r:id="rId4976" ref="C4978"/>
    <hyperlink r:id="rId4977" ref="C4979"/>
    <hyperlink r:id="rId4978" ref="C4980"/>
    <hyperlink r:id="rId4979" ref="C4981"/>
    <hyperlink r:id="rId4980" ref="C4982"/>
    <hyperlink r:id="rId4981" ref="C4983"/>
    <hyperlink r:id="rId4982" ref="C4984"/>
    <hyperlink r:id="rId4983" ref="C4985"/>
    <hyperlink r:id="rId4984" ref="C4986"/>
    <hyperlink r:id="rId4985" ref="C4987"/>
    <hyperlink r:id="rId4986" ref="C4988"/>
    <hyperlink r:id="rId4987" ref="C4989"/>
    <hyperlink r:id="rId4988" ref="C4990"/>
    <hyperlink r:id="rId4989" ref="C4991"/>
    <hyperlink r:id="rId4990" ref="C4992"/>
    <hyperlink r:id="rId4991" ref="C4993"/>
    <hyperlink r:id="rId4992" ref="C4994"/>
    <hyperlink r:id="rId4993" ref="C4995"/>
    <hyperlink r:id="rId4994" ref="C4996"/>
    <hyperlink r:id="rId4995" ref="C4997"/>
    <hyperlink r:id="rId4996" ref="C4998"/>
    <hyperlink r:id="rId4997" ref="C4999"/>
    <hyperlink r:id="rId4998" ref="C5000"/>
    <hyperlink r:id="rId4999" ref="C5001"/>
    <hyperlink r:id="rId5000" ref="C5002"/>
    <hyperlink r:id="rId5001" ref="C5003"/>
    <hyperlink r:id="rId5002" ref="C5004"/>
    <hyperlink r:id="rId5003" ref="C5005"/>
    <hyperlink r:id="rId5004" ref="C5006"/>
    <hyperlink r:id="rId5005" ref="C5007"/>
    <hyperlink r:id="rId5006" ref="C5008"/>
    <hyperlink r:id="rId5007" ref="C5009"/>
    <hyperlink r:id="rId5008" ref="C5010"/>
    <hyperlink r:id="rId5009" ref="C5011"/>
    <hyperlink r:id="rId5010" ref="C5012"/>
    <hyperlink r:id="rId5011" ref="C5013"/>
    <hyperlink r:id="rId5012" ref="C5014"/>
    <hyperlink r:id="rId5013" ref="C5015"/>
    <hyperlink r:id="rId5014" ref="C5016"/>
    <hyperlink r:id="rId5015" ref="C5017"/>
    <hyperlink r:id="rId5016" ref="C5018"/>
    <hyperlink r:id="rId5017" ref="C5019"/>
    <hyperlink r:id="rId5018" ref="C5020"/>
    <hyperlink r:id="rId5019" ref="C5021"/>
    <hyperlink r:id="rId5020" ref="C5022"/>
    <hyperlink r:id="rId5021" ref="C5023"/>
    <hyperlink r:id="rId5022" ref="C5024"/>
    <hyperlink r:id="rId5023" ref="C5025"/>
    <hyperlink r:id="rId5024" ref="C5026"/>
    <hyperlink r:id="rId5025" ref="C5027"/>
    <hyperlink r:id="rId5026" ref="C5028"/>
    <hyperlink r:id="rId5027" ref="C5029"/>
    <hyperlink r:id="rId5028" ref="C5030"/>
    <hyperlink r:id="rId5029" ref="C5031"/>
    <hyperlink r:id="rId5030" ref="C5032"/>
    <hyperlink r:id="rId5031" ref="C5033"/>
    <hyperlink r:id="rId5032" ref="C5034"/>
    <hyperlink r:id="rId5033" ref="C5035"/>
    <hyperlink r:id="rId5034" ref="C5036"/>
    <hyperlink r:id="rId5035" ref="C5037"/>
    <hyperlink r:id="rId5036" ref="C5038"/>
    <hyperlink r:id="rId5037" ref="C5039"/>
    <hyperlink r:id="rId5038" ref="C5040"/>
    <hyperlink r:id="rId5039" ref="C5041"/>
    <hyperlink r:id="rId5040" ref="C5042"/>
    <hyperlink r:id="rId5041" ref="C5043"/>
    <hyperlink r:id="rId5042" ref="C5044"/>
    <hyperlink r:id="rId5043" ref="C5045"/>
    <hyperlink r:id="rId5044" ref="C5046"/>
    <hyperlink r:id="rId5045" ref="C5047"/>
    <hyperlink r:id="rId5046" ref="C5048"/>
    <hyperlink r:id="rId5047" ref="C5049"/>
    <hyperlink r:id="rId5048" ref="C5050"/>
    <hyperlink r:id="rId5049" ref="C5051"/>
    <hyperlink r:id="rId5050" ref="C5052"/>
    <hyperlink r:id="rId5051" ref="C5053"/>
    <hyperlink r:id="rId5052" ref="C5054"/>
    <hyperlink r:id="rId5053" ref="C5055"/>
    <hyperlink r:id="rId5054" ref="C5056"/>
    <hyperlink r:id="rId5055" ref="C5057"/>
    <hyperlink r:id="rId5056" ref="C5058"/>
    <hyperlink r:id="rId5057" ref="C5059"/>
    <hyperlink r:id="rId5058" ref="C5060"/>
    <hyperlink r:id="rId5059" ref="C5061"/>
    <hyperlink r:id="rId5060" ref="C5062"/>
    <hyperlink r:id="rId5061" ref="C5063"/>
    <hyperlink r:id="rId5062" ref="C5064"/>
    <hyperlink r:id="rId5063" ref="C5065"/>
    <hyperlink r:id="rId5064" ref="C5066"/>
    <hyperlink r:id="rId5065" ref="C5067"/>
    <hyperlink r:id="rId5066" ref="C5068"/>
    <hyperlink r:id="rId5067" ref="C5069"/>
    <hyperlink r:id="rId5068" ref="C5070"/>
    <hyperlink r:id="rId5069" ref="C5071"/>
    <hyperlink r:id="rId5070" ref="C5072"/>
    <hyperlink r:id="rId5071" ref="C5073"/>
    <hyperlink r:id="rId5072" ref="C5074"/>
    <hyperlink r:id="rId5073" ref="C5075"/>
    <hyperlink r:id="rId5074" ref="C5076"/>
    <hyperlink r:id="rId5075" ref="C5077"/>
    <hyperlink r:id="rId5076" ref="C5078"/>
    <hyperlink r:id="rId5077" ref="C5079"/>
    <hyperlink r:id="rId5078" ref="C5080"/>
    <hyperlink r:id="rId5079" ref="C5081"/>
    <hyperlink r:id="rId5080" ref="C5082"/>
    <hyperlink r:id="rId5081" ref="C5083"/>
    <hyperlink r:id="rId5082" ref="C5084"/>
    <hyperlink r:id="rId5083" ref="C5085"/>
    <hyperlink r:id="rId5084" ref="C5086"/>
    <hyperlink r:id="rId5085" ref="C5087"/>
    <hyperlink r:id="rId5086" ref="C5088"/>
    <hyperlink r:id="rId5087" ref="C5089"/>
    <hyperlink r:id="rId5088" ref="C5090"/>
    <hyperlink r:id="rId5089" ref="C5091"/>
    <hyperlink r:id="rId5090" ref="C5092"/>
    <hyperlink r:id="rId5091" ref="C5093"/>
    <hyperlink r:id="rId5092" ref="C5094"/>
    <hyperlink r:id="rId5093" ref="C5095"/>
    <hyperlink r:id="rId5094" ref="C5096"/>
    <hyperlink r:id="rId5095" ref="C5097"/>
    <hyperlink r:id="rId5096" ref="C5098"/>
    <hyperlink r:id="rId5097" ref="C5099"/>
    <hyperlink r:id="rId5098" ref="C5100"/>
    <hyperlink r:id="rId5099" ref="C5101"/>
    <hyperlink r:id="rId5100" ref="C5102"/>
    <hyperlink r:id="rId5101" ref="C5103"/>
    <hyperlink r:id="rId5102" ref="C5104"/>
    <hyperlink r:id="rId5103" ref="C5105"/>
    <hyperlink r:id="rId5104" ref="C5106"/>
    <hyperlink r:id="rId5105" ref="C5107"/>
    <hyperlink r:id="rId5106" ref="C5108"/>
    <hyperlink r:id="rId5107" ref="C5109"/>
    <hyperlink r:id="rId5108" ref="C5110"/>
    <hyperlink r:id="rId5109" ref="C5111"/>
    <hyperlink r:id="rId5110" ref="C5112"/>
    <hyperlink r:id="rId5111" ref="C5113"/>
    <hyperlink r:id="rId5112" ref="C5114"/>
    <hyperlink r:id="rId5113" ref="C5115"/>
    <hyperlink r:id="rId5114" ref="C5116"/>
    <hyperlink r:id="rId5115" ref="C5117"/>
    <hyperlink r:id="rId5116" ref="C5118"/>
    <hyperlink r:id="rId5117" ref="C5119"/>
    <hyperlink r:id="rId5118" ref="C5120"/>
    <hyperlink r:id="rId5119" ref="C5121"/>
    <hyperlink r:id="rId5120" ref="C5122"/>
    <hyperlink r:id="rId5121" ref="C5123"/>
    <hyperlink r:id="rId5122" ref="C5124"/>
    <hyperlink r:id="rId5123" ref="C5125"/>
    <hyperlink r:id="rId5124" ref="C5126"/>
    <hyperlink r:id="rId5125" ref="C5127"/>
    <hyperlink r:id="rId5126" ref="C5128"/>
    <hyperlink r:id="rId5127" ref="C5129"/>
    <hyperlink r:id="rId5128" ref="C5130"/>
    <hyperlink r:id="rId5129" ref="C5131"/>
    <hyperlink r:id="rId5130" ref="C5132"/>
    <hyperlink r:id="rId5131" ref="C5133"/>
    <hyperlink r:id="rId5132" ref="C5134"/>
    <hyperlink r:id="rId5133" ref="C5135"/>
    <hyperlink r:id="rId5134" ref="C5136"/>
    <hyperlink r:id="rId5135" ref="C5137"/>
    <hyperlink r:id="rId5136" ref="C5138"/>
    <hyperlink r:id="rId5137" ref="C5139"/>
    <hyperlink r:id="rId5138" ref="C5140"/>
    <hyperlink r:id="rId5139" ref="C5141"/>
    <hyperlink r:id="rId5140" ref="C5142"/>
    <hyperlink r:id="rId5141" ref="C5143"/>
    <hyperlink r:id="rId5142" ref="C5144"/>
    <hyperlink r:id="rId5143" ref="C5145"/>
    <hyperlink r:id="rId5144" ref="C5146"/>
    <hyperlink r:id="rId5145" ref="C5147"/>
    <hyperlink r:id="rId5146" ref="C5148"/>
    <hyperlink r:id="rId5147" ref="C5149"/>
    <hyperlink r:id="rId5148" ref="C5150"/>
    <hyperlink r:id="rId5149" ref="C5151"/>
    <hyperlink r:id="rId5150" ref="C5152"/>
    <hyperlink r:id="rId5151" ref="C5153"/>
    <hyperlink r:id="rId5152" ref="C5154"/>
    <hyperlink r:id="rId5153" ref="C5155"/>
    <hyperlink r:id="rId5154" ref="C5156"/>
    <hyperlink r:id="rId5155" ref="C5157"/>
    <hyperlink r:id="rId5156" ref="C5158"/>
    <hyperlink r:id="rId5157" ref="C5159"/>
    <hyperlink r:id="rId5158" ref="C5160"/>
    <hyperlink r:id="rId5159" ref="C5161"/>
    <hyperlink r:id="rId5160" ref="C5162"/>
    <hyperlink r:id="rId5161" ref="C5163"/>
    <hyperlink r:id="rId5162" ref="C5164"/>
    <hyperlink r:id="rId5163" ref="C5165"/>
    <hyperlink r:id="rId5164" ref="C5166"/>
    <hyperlink r:id="rId5165" ref="C5167"/>
    <hyperlink r:id="rId5166" ref="C5168"/>
    <hyperlink r:id="rId5167" ref="C5169"/>
    <hyperlink r:id="rId5168" ref="C5170"/>
    <hyperlink r:id="rId5169" ref="C5171"/>
    <hyperlink r:id="rId5170" ref="C5172"/>
    <hyperlink r:id="rId5171" ref="C5173"/>
    <hyperlink r:id="rId5172" ref="C5174"/>
    <hyperlink r:id="rId5173" ref="C5175"/>
    <hyperlink r:id="rId5174" ref="C5176"/>
    <hyperlink r:id="rId5175" ref="C5177"/>
    <hyperlink r:id="rId5176" ref="C5178"/>
    <hyperlink r:id="rId5177" ref="C5179"/>
    <hyperlink r:id="rId5178" ref="C5180"/>
    <hyperlink r:id="rId5179" ref="C5181"/>
    <hyperlink r:id="rId5180" ref="C5182"/>
    <hyperlink r:id="rId5181" ref="C5183"/>
    <hyperlink r:id="rId5182" ref="C5184"/>
    <hyperlink r:id="rId5183" ref="C5185"/>
    <hyperlink r:id="rId5184" ref="C5186"/>
    <hyperlink r:id="rId5185" ref="C5187"/>
    <hyperlink r:id="rId5186" ref="C5188"/>
    <hyperlink r:id="rId5187" ref="C5189"/>
    <hyperlink r:id="rId5188" ref="C5190"/>
    <hyperlink r:id="rId5189" ref="C5191"/>
    <hyperlink r:id="rId5190" ref="C5192"/>
    <hyperlink r:id="rId5191" ref="C5193"/>
    <hyperlink r:id="rId5192" ref="C5194"/>
    <hyperlink r:id="rId5193" ref="C5195"/>
    <hyperlink r:id="rId5194" ref="C5196"/>
    <hyperlink r:id="rId5195" ref="C5197"/>
    <hyperlink r:id="rId5196" ref="C5198"/>
    <hyperlink r:id="rId5197" ref="C5199"/>
    <hyperlink r:id="rId5198" ref="C5200"/>
    <hyperlink r:id="rId5199" ref="C5201"/>
    <hyperlink r:id="rId5200" ref="C5202"/>
    <hyperlink r:id="rId5201" ref="C5203"/>
    <hyperlink r:id="rId5202" ref="C5204"/>
    <hyperlink r:id="rId5203" ref="C5205"/>
    <hyperlink r:id="rId5204" ref="C5206"/>
    <hyperlink r:id="rId5205" ref="C5207"/>
    <hyperlink r:id="rId5206" ref="C5208"/>
    <hyperlink r:id="rId5207" ref="C5209"/>
    <hyperlink r:id="rId5208" ref="C5210"/>
    <hyperlink r:id="rId5209" ref="C5211"/>
    <hyperlink r:id="rId5210" ref="C5212"/>
    <hyperlink r:id="rId5211" ref="C5213"/>
    <hyperlink r:id="rId5212" ref="C5214"/>
    <hyperlink r:id="rId5213" ref="C5215"/>
    <hyperlink r:id="rId5214" ref="C5216"/>
    <hyperlink r:id="rId5215" ref="C5217"/>
    <hyperlink r:id="rId5216" ref="C5218"/>
    <hyperlink r:id="rId5217" ref="C5219"/>
    <hyperlink r:id="rId5218" ref="C5220"/>
    <hyperlink r:id="rId5219" ref="C5221"/>
    <hyperlink r:id="rId5220" ref="C5222"/>
    <hyperlink r:id="rId5221" ref="C5223"/>
    <hyperlink r:id="rId5222" ref="C5224"/>
    <hyperlink r:id="rId5223" ref="C5225"/>
    <hyperlink r:id="rId5224" ref="C5226"/>
    <hyperlink r:id="rId5225" ref="C5227"/>
    <hyperlink r:id="rId5226" ref="C5228"/>
    <hyperlink r:id="rId5227" ref="C5229"/>
    <hyperlink r:id="rId5228" ref="C5230"/>
    <hyperlink r:id="rId5229" ref="C5231"/>
    <hyperlink r:id="rId5230" ref="C5232"/>
    <hyperlink r:id="rId5231" ref="C5233"/>
    <hyperlink r:id="rId5232" ref="C5234"/>
    <hyperlink r:id="rId5233" ref="C5235"/>
    <hyperlink r:id="rId5234" ref="C5236"/>
    <hyperlink r:id="rId5235" ref="C5237"/>
    <hyperlink r:id="rId5236" ref="C5238"/>
    <hyperlink r:id="rId5237" ref="C5239"/>
    <hyperlink r:id="rId5238" ref="C5240"/>
    <hyperlink r:id="rId5239" ref="C5241"/>
    <hyperlink r:id="rId5240" ref="C5242"/>
    <hyperlink r:id="rId5241" ref="C5243"/>
    <hyperlink r:id="rId5242" ref="C5244"/>
    <hyperlink r:id="rId5243" ref="C5245"/>
    <hyperlink r:id="rId5244" ref="C5246"/>
    <hyperlink r:id="rId5245" ref="C5247"/>
    <hyperlink r:id="rId5246" ref="C5248"/>
    <hyperlink r:id="rId5247" ref="C5249"/>
    <hyperlink r:id="rId5248" ref="C5250"/>
    <hyperlink r:id="rId5249" ref="C5251"/>
    <hyperlink r:id="rId5250" ref="C5252"/>
    <hyperlink r:id="rId5251" ref="C5253"/>
    <hyperlink r:id="rId5252" ref="C5254"/>
    <hyperlink r:id="rId5253" ref="C5255"/>
    <hyperlink r:id="rId5254" ref="C5256"/>
    <hyperlink r:id="rId5255" ref="C5257"/>
    <hyperlink r:id="rId5256" ref="C5258"/>
    <hyperlink r:id="rId5257" ref="C5259"/>
    <hyperlink r:id="rId5258" ref="C5260"/>
    <hyperlink r:id="rId5259" ref="C5261"/>
    <hyperlink r:id="rId5260" ref="C5262"/>
    <hyperlink r:id="rId5261" ref="C5263"/>
    <hyperlink r:id="rId5262" ref="C5264"/>
    <hyperlink r:id="rId5263" ref="C5265"/>
    <hyperlink r:id="rId5264" ref="C5266"/>
    <hyperlink r:id="rId5265" ref="C5267"/>
    <hyperlink r:id="rId5266" ref="C5268"/>
    <hyperlink r:id="rId5267" ref="C5269"/>
    <hyperlink r:id="rId5268" ref="C5270"/>
    <hyperlink r:id="rId5269" ref="C5271"/>
    <hyperlink r:id="rId5270" ref="C5272"/>
    <hyperlink r:id="rId5271" ref="C5273"/>
    <hyperlink r:id="rId5272" ref="C5274"/>
    <hyperlink r:id="rId5273" ref="C5275"/>
    <hyperlink r:id="rId5274" ref="C5276"/>
    <hyperlink r:id="rId5275" ref="C5277"/>
    <hyperlink r:id="rId5276" ref="C5278"/>
    <hyperlink r:id="rId5277" ref="C5279"/>
    <hyperlink r:id="rId5278" ref="C5280"/>
    <hyperlink r:id="rId5279" ref="C5281"/>
    <hyperlink r:id="rId5280" ref="C5282"/>
    <hyperlink r:id="rId5281" ref="C5283"/>
    <hyperlink r:id="rId5282" ref="C5284"/>
    <hyperlink r:id="rId5283" ref="C5285"/>
    <hyperlink r:id="rId5284" ref="C5286"/>
    <hyperlink r:id="rId5285" ref="C5287"/>
    <hyperlink r:id="rId5286" ref="C5288"/>
    <hyperlink r:id="rId5287" ref="C5289"/>
    <hyperlink r:id="rId5288" ref="C5290"/>
    <hyperlink r:id="rId5289" ref="C5291"/>
    <hyperlink r:id="rId5290" ref="C5292"/>
    <hyperlink r:id="rId5291" ref="C5293"/>
    <hyperlink r:id="rId5292" ref="C5294"/>
    <hyperlink r:id="rId5293" ref="C5295"/>
    <hyperlink r:id="rId5294" ref="C5296"/>
    <hyperlink r:id="rId5295" ref="C5297"/>
    <hyperlink r:id="rId5296" ref="C5298"/>
    <hyperlink r:id="rId5297" ref="C5299"/>
    <hyperlink r:id="rId5298" ref="C5300"/>
    <hyperlink r:id="rId5299" ref="C5301"/>
    <hyperlink r:id="rId5300" ref="C5302"/>
    <hyperlink r:id="rId5301" ref="C5303"/>
    <hyperlink r:id="rId5302" ref="C5304"/>
    <hyperlink r:id="rId5303" ref="C5305"/>
    <hyperlink r:id="rId5304" ref="C5306"/>
    <hyperlink r:id="rId5305" ref="C5307"/>
    <hyperlink r:id="rId5306" ref="C5308"/>
    <hyperlink r:id="rId5307" ref="C5309"/>
    <hyperlink r:id="rId5308" ref="C5310"/>
    <hyperlink r:id="rId5309" ref="C5311"/>
    <hyperlink r:id="rId5310" ref="C5312"/>
    <hyperlink r:id="rId5311" ref="C5313"/>
    <hyperlink r:id="rId5312" ref="C5314"/>
    <hyperlink r:id="rId5313" ref="C5315"/>
    <hyperlink r:id="rId5314" ref="C5316"/>
    <hyperlink r:id="rId5315" ref="C5317"/>
    <hyperlink r:id="rId5316" ref="C5318"/>
    <hyperlink r:id="rId5317" ref="C5319"/>
    <hyperlink r:id="rId5318" ref="C5320"/>
    <hyperlink r:id="rId5319" ref="C5321"/>
    <hyperlink r:id="rId5320" ref="C5322"/>
    <hyperlink r:id="rId5321" ref="C5323"/>
    <hyperlink r:id="rId5322" ref="C5324"/>
    <hyperlink r:id="rId5323" ref="C5325"/>
    <hyperlink r:id="rId5324" ref="C5326"/>
    <hyperlink r:id="rId5325" ref="C5327"/>
    <hyperlink r:id="rId5326" ref="C5328"/>
    <hyperlink r:id="rId5327" ref="C5329"/>
    <hyperlink r:id="rId5328" ref="C5330"/>
    <hyperlink r:id="rId5329" ref="C5331"/>
    <hyperlink r:id="rId5330" ref="C5332"/>
    <hyperlink r:id="rId5331" ref="C5333"/>
    <hyperlink r:id="rId5332" ref="C5334"/>
    <hyperlink r:id="rId5333" ref="C5335"/>
    <hyperlink r:id="rId5334" ref="C5336"/>
    <hyperlink r:id="rId5335" ref="C5337"/>
    <hyperlink r:id="rId5336" ref="C5338"/>
    <hyperlink r:id="rId5337" ref="C5339"/>
    <hyperlink r:id="rId5338" ref="C5340"/>
    <hyperlink r:id="rId5339" ref="C5341"/>
    <hyperlink r:id="rId5340" ref="C5342"/>
    <hyperlink r:id="rId5341" ref="C5343"/>
    <hyperlink r:id="rId5342" ref="C5344"/>
    <hyperlink r:id="rId5343" ref="C5345"/>
    <hyperlink r:id="rId5344" ref="C5346"/>
    <hyperlink r:id="rId5345" ref="C5347"/>
    <hyperlink r:id="rId5346" ref="C5348"/>
    <hyperlink r:id="rId5347" ref="C5349"/>
    <hyperlink r:id="rId5348" ref="C5350"/>
    <hyperlink r:id="rId5349" ref="C5351"/>
    <hyperlink r:id="rId5350" ref="C5352"/>
    <hyperlink r:id="rId5351" ref="C5353"/>
    <hyperlink r:id="rId5352" ref="C5354"/>
    <hyperlink r:id="rId5353" ref="C5355"/>
    <hyperlink r:id="rId5354" ref="C5356"/>
    <hyperlink r:id="rId5355" ref="C5357"/>
    <hyperlink r:id="rId5356" ref="C5358"/>
    <hyperlink r:id="rId5357" ref="C5359"/>
    <hyperlink r:id="rId5358" ref="C5360"/>
    <hyperlink r:id="rId5359" ref="C5361"/>
    <hyperlink r:id="rId5360" ref="C5362"/>
    <hyperlink r:id="rId5361" ref="C5363"/>
    <hyperlink r:id="rId5362" ref="C5364"/>
    <hyperlink r:id="rId5363" ref="C5365"/>
    <hyperlink r:id="rId5364" ref="C5366"/>
    <hyperlink r:id="rId5365" ref="C5367"/>
    <hyperlink r:id="rId5366" ref="C5368"/>
    <hyperlink r:id="rId5367" ref="C5369"/>
    <hyperlink r:id="rId5368" ref="C5370"/>
    <hyperlink r:id="rId5369" ref="C5371"/>
    <hyperlink r:id="rId5370" ref="C5372"/>
    <hyperlink r:id="rId5371" ref="C5373"/>
    <hyperlink r:id="rId5372" ref="C5374"/>
    <hyperlink r:id="rId5373" ref="C5375"/>
    <hyperlink r:id="rId5374" ref="C5376"/>
    <hyperlink r:id="rId5375" ref="C5377"/>
    <hyperlink r:id="rId5376" ref="C5378"/>
    <hyperlink r:id="rId5377" ref="C5379"/>
    <hyperlink r:id="rId5378" ref="C5380"/>
    <hyperlink r:id="rId5379" ref="C5381"/>
    <hyperlink r:id="rId5380" ref="C5382"/>
    <hyperlink r:id="rId5381" ref="C5383"/>
    <hyperlink r:id="rId5382" ref="C5384"/>
    <hyperlink r:id="rId5383" ref="C5385"/>
    <hyperlink r:id="rId5384" ref="C5386"/>
    <hyperlink r:id="rId5385" ref="C5387"/>
    <hyperlink r:id="rId5386" ref="C5388"/>
    <hyperlink r:id="rId5387" ref="C5389"/>
    <hyperlink r:id="rId5388" ref="C5390"/>
    <hyperlink r:id="rId5389" ref="C5391"/>
    <hyperlink r:id="rId5390" ref="C5392"/>
    <hyperlink r:id="rId5391" ref="C5393"/>
    <hyperlink r:id="rId5392" ref="C5394"/>
    <hyperlink r:id="rId5393" ref="C5395"/>
    <hyperlink r:id="rId5394" ref="C5396"/>
    <hyperlink r:id="rId5395" ref="C5397"/>
    <hyperlink r:id="rId5396" ref="C5398"/>
    <hyperlink r:id="rId5397" ref="C5399"/>
    <hyperlink r:id="rId5398" ref="C5400"/>
    <hyperlink r:id="rId5399" ref="C5401"/>
    <hyperlink r:id="rId5400" ref="C5402"/>
    <hyperlink r:id="rId5401" ref="C5403"/>
    <hyperlink r:id="rId5402" ref="C5404"/>
    <hyperlink r:id="rId5403" ref="C5405"/>
    <hyperlink r:id="rId5404" ref="C5406"/>
    <hyperlink r:id="rId5405" ref="C5407"/>
    <hyperlink r:id="rId5406" ref="C5408"/>
    <hyperlink r:id="rId5407" ref="C5409"/>
    <hyperlink r:id="rId5408" ref="C5410"/>
    <hyperlink r:id="rId5409" ref="C5411"/>
    <hyperlink r:id="rId5410" ref="C5412"/>
    <hyperlink r:id="rId5411" ref="C5413"/>
    <hyperlink r:id="rId5412" ref="C5414"/>
    <hyperlink r:id="rId5413" ref="C5415"/>
    <hyperlink r:id="rId5414" ref="C5416"/>
    <hyperlink r:id="rId5415" ref="C5417"/>
    <hyperlink r:id="rId5416" ref="C5418"/>
    <hyperlink r:id="rId5417" ref="C5419"/>
    <hyperlink r:id="rId5418" ref="C5420"/>
    <hyperlink r:id="rId5419" ref="C5421"/>
    <hyperlink r:id="rId5420" ref="C5422"/>
    <hyperlink r:id="rId5421" ref="C5423"/>
    <hyperlink r:id="rId5422" ref="C5424"/>
    <hyperlink r:id="rId5423" ref="C5425"/>
    <hyperlink r:id="rId5424" ref="C5426"/>
    <hyperlink r:id="rId5425" ref="C5427"/>
    <hyperlink r:id="rId5426" ref="C5428"/>
    <hyperlink r:id="rId5427" ref="C5429"/>
    <hyperlink r:id="rId5428" ref="C5430"/>
    <hyperlink r:id="rId5429" ref="C5431"/>
    <hyperlink r:id="rId5430" ref="C5432"/>
    <hyperlink r:id="rId5431" ref="C5433"/>
    <hyperlink r:id="rId5432" ref="C5434"/>
    <hyperlink r:id="rId5433" ref="C5435"/>
    <hyperlink r:id="rId5434" ref="C5436"/>
    <hyperlink r:id="rId5435" ref="C5437"/>
    <hyperlink r:id="rId5436" ref="C5438"/>
    <hyperlink r:id="rId5437" ref="C5439"/>
    <hyperlink r:id="rId5438" ref="C5440"/>
    <hyperlink r:id="rId5439" ref="C5441"/>
    <hyperlink r:id="rId5440" ref="C5442"/>
    <hyperlink r:id="rId5441" ref="C5443"/>
    <hyperlink r:id="rId5442" ref="C5444"/>
    <hyperlink r:id="rId5443" ref="C5445"/>
    <hyperlink r:id="rId5444" ref="C5446"/>
    <hyperlink r:id="rId5445" ref="C5447"/>
    <hyperlink r:id="rId5446" ref="C5448"/>
    <hyperlink r:id="rId5447" ref="C5449"/>
    <hyperlink r:id="rId5448" ref="C5450"/>
    <hyperlink r:id="rId5449" ref="C5451"/>
    <hyperlink r:id="rId5450" ref="C5452"/>
    <hyperlink r:id="rId5451" ref="C5453"/>
    <hyperlink r:id="rId5452" ref="C5454"/>
    <hyperlink r:id="rId5453" ref="C5455"/>
    <hyperlink r:id="rId5454" ref="C5456"/>
    <hyperlink r:id="rId5455" ref="C5457"/>
    <hyperlink r:id="rId5456" ref="C5458"/>
    <hyperlink r:id="rId5457" ref="C5459"/>
    <hyperlink r:id="rId5458" ref="C5460"/>
    <hyperlink r:id="rId5459" ref="C5461"/>
    <hyperlink r:id="rId5460" ref="C5462"/>
    <hyperlink r:id="rId5461" ref="C5463"/>
    <hyperlink r:id="rId5462" ref="C5464"/>
    <hyperlink r:id="rId5463" ref="C5465"/>
    <hyperlink r:id="rId5464" ref="C5466"/>
    <hyperlink r:id="rId5465" ref="C5467"/>
    <hyperlink r:id="rId5466" ref="C5468"/>
    <hyperlink r:id="rId5467" ref="C5469"/>
    <hyperlink r:id="rId5468" ref="C5470"/>
    <hyperlink r:id="rId5469" ref="C5471"/>
    <hyperlink r:id="rId5470" ref="C5472"/>
    <hyperlink r:id="rId5471" ref="C5473"/>
    <hyperlink r:id="rId5472" ref="C5474"/>
    <hyperlink r:id="rId5473" ref="C5475"/>
    <hyperlink r:id="rId5474" ref="C5476"/>
    <hyperlink r:id="rId5475" ref="C5477"/>
    <hyperlink r:id="rId5476" ref="C5478"/>
    <hyperlink r:id="rId5477" ref="C5479"/>
    <hyperlink r:id="rId5478" ref="C5480"/>
    <hyperlink r:id="rId5479" ref="C5481"/>
    <hyperlink r:id="rId5480" ref="C5482"/>
    <hyperlink r:id="rId5481" ref="C5483"/>
    <hyperlink r:id="rId5482" ref="C5484"/>
    <hyperlink r:id="rId5483" ref="C5485"/>
    <hyperlink r:id="rId5484" ref="C5486"/>
    <hyperlink r:id="rId5485" ref="C5487"/>
    <hyperlink r:id="rId5486" ref="C5488"/>
    <hyperlink r:id="rId5487" ref="C5489"/>
    <hyperlink r:id="rId5488" ref="C5490"/>
    <hyperlink r:id="rId5489" ref="C5491"/>
    <hyperlink r:id="rId5490" ref="C5492"/>
    <hyperlink r:id="rId5491" ref="C5493"/>
    <hyperlink r:id="rId5492" ref="C5494"/>
    <hyperlink r:id="rId5493" ref="C5495"/>
    <hyperlink r:id="rId5494" ref="C5496"/>
    <hyperlink r:id="rId5495" ref="C5497"/>
    <hyperlink r:id="rId5496" ref="C5498"/>
    <hyperlink r:id="rId5497" ref="C5499"/>
    <hyperlink r:id="rId5498" ref="C5500"/>
    <hyperlink r:id="rId5499" ref="C5501"/>
    <hyperlink r:id="rId5500" ref="C5502"/>
    <hyperlink r:id="rId5501" ref="C5503"/>
    <hyperlink r:id="rId5502" ref="C5504"/>
    <hyperlink r:id="rId5503" ref="C5505"/>
    <hyperlink r:id="rId5504" ref="C5506"/>
    <hyperlink r:id="rId5505" ref="C5507"/>
    <hyperlink r:id="rId5506" ref="C5508"/>
    <hyperlink r:id="rId5507" ref="C5509"/>
    <hyperlink r:id="rId5508" ref="C5510"/>
    <hyperlink r:id="rId5509" ref="C5511"/>
    <hyperlink r:id="rId5510" ref="C5512"/>
    <hyperlink r:id="rId5511" ref="C5513"/>
    <hyperlink r:id="rId5512" ref="C5514"/>
    <hyperlink r:id="rId5513" ref="C5515"/>
    <hyperlink r:id="rId5514" ref="C5516"/>
    <hyperlink r:id="rId5515" ref="C5517"/>
    <hyperlink r:id="rId5516" ref="C5518"/>
    <hyperlink r:id="rId5517" ref="C5519"/>
    <hyperlink r:id="rId5518" ref="C5520"/>
    <hyperlink r:id="rId5519" ref="C5521"/>
    <hyperlink r:id="rId5520" ref="C5522"/>
    <hyperlink r:id="rId5521" ref="C5523"/>
    <hyperlink r:id="rId5522" ref="C5524"/>
    <hyperlink r:id="rId5523" ref="C5525"/>
    <hyperlink r:id="rId5524" ref="C5526"/>
    <hyperlink r:id="rId5525" ref="C5527"/>
    <hyperlink r:id="rId5526" ref="C5528"/>
    <hyperlink r:id="rId5527" ref="C5529"/>
    <hyperlink r:id="rId5528" ref="C5530"/>
    <hyperlink r:id="rId5529" ref="C5531"/>
    <hyperlink r:id="rId5530" ref="C5532"/>
    <hyperlink r:id="rId5531" ref="C5533"/>
    <hyperlink r:id="rId5532" ref="C5534"/>
    <hyperlink r:id="rId5533" ref="C5535"/>
    <hyperlink r:id="rId5534" ref="C5536"/>
    <hyperlink r:id="rId5535" ref="C5537"/>
    <hyperlink r:id="rId5536" ref="C5538"/>
    <hyperlink r:id="rId5537" ref="C5539"/>
    <hyperlink r:id="rId5538" ref="C5540"/>
    <hyperlink r:id="rId5539" ref="C5541"/>
    <hyperlink r:id="rId5540" ref="C5542"/>
    <hyperlink r:id="rId5541" ref="C5543"/>
    <hyperlink r:id="rId5542" ref="C5544"/>
    <hyperlink r:id="rId5543" ref="C5545"/>
    <hyperlink r:id="rId5544" ref="C5546"/>
    <hyperlink r:id="rId5545" ref="C5547"/>
    <hyperlink r:id="rId5546" ref="C5548"/>
    <hyperlink r:id="rId5547" ref="C5549"/>
    <hyperlink r:id="rId5548" ref="C5550"/>
    <hyperlink r:id="rId5549" ref="C5551"/>
    <hyperlink r:id="rId5550" ref="C5552"/>
    <hyperlink r:id="rId5551" ref="C5553"/>
    <hyperlink r:id="rId5552" ref="C5554"/>
    <hyperlink r:id="rId5553" ref="C5555"/>
    <hyperlink r:id="rId5554" ref="C5556"/>
    <hyperlink r:id="rId5555" ref="C5557"/>
    <hyperlink r:id="rId5556" ref="C5558"/>
    <hyperlink r:id="rId5557" ref="C5559"/>
    <hyperlink r:id="rId5558" ref="C5560"/>
    <hyperlink r:id="rId5559" ref="C5561"/>
    <hyperlink r:id="rId5560" ref="C5562"/>
    <hyperlink r:id="rId5561" ref="C5563"/>
    <hyperlink r:id="rId5562" ref="C5564"/>
    <hyperlink r:id="rId5563" ref="C5565"/>
    <hyperlink r:id="rId5564" ref="C5566"/>
    <hyperlink r:id="rId5565" ref="C5567"/>
    <hyperlink r:id="rId5566" ref="C5568"/>
    <hyperlink r:id="rId5567" ref="C5569"/>
    <hyperlink r:id="rId5568" ref="C5570"/>
    <hyperlink r:id="rId5569" ref="C5571"/>
    <hyperlink r:id="rId5570" ref="C5572"/>
    <hyperlink r:id="rId5571" ref="C5573"/>
    <hyperlink r:id="rId5572" ref="C5574"/>
    <hyperlink r:id="rId5573" ref="C5575"/>
    <hyperlink r:id="rId5574" ref="C5576"/>
    <hyperlink r:id="rId5575" ref="C5577"/>
    <hyperlink r:id="rId5576" ref="C5578"/>
    <hyperlink r:id="rId5577" ref="C5579"/>
    <hyperlink r:id="rId5578" ref="C5580"/>
    <hyperlink r:id="rId5579" ref="C5581"/>
    <hyperlink r:id="rId5580" ref="C5582"/>
    <hyperlink r:id="rId5581" ref="C5583"/>
    <hyperlink r:id="rId5582" ref="C5584"/>
    <hyperlink r:id="rId5583" ref="C5585"/>
    <hyperlink r:id="rId5584" ref="C5586"/>
    <hyperlink r:id="rId5585" ref="C5587"/>
    <hyperlink r:id="rId5586" ref="C5588"/>
    <hyperlink r:id="rId5587" ref="C5589"/>
    <hyperlink r:id="rId5588" ref="C5590"/>
    <hyperlink r:id="rId5589" ref="C5591"/>
    <hyperlink r:id="rId5590" ref="C5592"/>
    <hyperlink r:id="rId5591" ref="C5593"/>
    <hyperlink r:id="rId5592" ref="C5594"/>
    <hyperlink r:id="rId5593" ref="C5595"/>
    <hyperlink r:id="rId5594" ref="C5596"/>
    <hyperlink r:id="rId5595" ref="C5597"/>
    <hyperlink r:id="rId5596" ref="C5598"/>
    <hyperlink r:id="rId5597" ref="C5599"/>
    <hyperlink r:id="rId5598" ref="C5600"/>
    <hyperlink r:id="rId5599" ref="C5601"/>
    <hyperlink r:id="rId5600" ref="C5602"/>
    <hyperlink r:id="rId5601" ref="C5603"/>
    <hyperlink r:id="rId5602" ref="C5604"/>
    <hyperlink r:id="rId5603" ref="C5605"/>
    <hyperlink r:id="rId5604" ref="C5606"/>
    <hyperlink r:id="rId5605" ref="C5607"/>
    <hyperlink r:id="rId5606" ref="C5608"/>
    <hyperlink r:id="rId5607" ref="C5609"/>
    <hyperlink r:id="rId5608" ref="C5610"/>
    <hyperlink r:id="rId5609" ref="C5611"/>
    <hyperlink r:id="rId5610" ref="C5612"/>
    <hyperlink r:id="rId5611" ref="C5613"/>
    <hyperlink r:id="rId5612" ref="C5614"/>
    <hyperlink r:id="rId5613" ref="C5615"/>
    <hyperlink r:id="rId5614" ref="C5616"/>
    <hyperlink r:id="rId5615" ref="C5617"/>
    <hyperlink r:id="rId5616" ref="C5618"/>
    <hyperlink r:id="rId5617" ref="C5619"/>
    <hyperlink r:id="rId5618" ref="C5620"/>
    <hyperlink r:id="rId5619" ref="C5621"/>
    <hyperlink r:id="rId5620" ref="C5622"/>
    <hyperlink r:id="rId5621" ref="C5623"/>
    <hyperlink r:id="rId5622" ref="C5624"/>
    <hyperlink r:id="rId5623" ref="C5625"/>
    <hyperlink r:id="rId5624" ref="C5626"/>
    <hyperlink r:id="rId5625" ref="C5627"/>
    <hyperlink r:id="rId5626" ref="C5628"/>
    <hyperlink r:id="rId5627" ref="C5629"/>
    <hyperlink r:id="rId5628" ref="C5630"/>
    <hyperlink r:id="rId5629" ref="C5631"/>
    <hyperlink r:id="rId5630" ref="C5632"/>
    <hyperlink r:id="rId5631" ref="C5633"/>
    <hyperlink r:id="rId5632" ref="C5634"/>
    <hyperlink r:id="rId5633" ref="C5635"/>
    <hyperlink r:id="rId5634" ref="C5636"/>
    <hyperlink r:id="rId5635" ref="C5637"/>
    <hyperlink r:id="rId5636" ref="C5638"/>
    <hyperlink r:id="rId5637" ref="C5639"/>
    <hyperlink r:id="rId5638" ref="C5640"/>
    <hyperlink r:id="rId5639" ref="C5641"/>
    <hyperlink r:id="rId5640" ref="C5642"/>
    <hyperlink r:id="rId5641" ref="C5643"/>
    <hyperlink r:id="rId5642" ref="C5644"/>
    <hyperlink r:id="rId5643" ref="C5645"/>
    <hyperlink r:id="rId5644" ref="C5646"/>
    <hyperlink r:id="rId5645" ref="C5647"/>
    <hyperlink r:id="rId5646" ref="C5648"/>
    <hyperlink r:id="rId5647" ref="C5649"/>
    <hyperlink r:id="rId5648" ref="C5650"/>
    <hyperlink r:id="rId5649" ref="C5651"/>
    <hyperlink r:id="rId5650" ref="C5652"/>
    <hyperlink r:id="rId5651" ref="C5653"/>
    <hyperlink r:id="rId5652" ref="C5654"/>
    <hyperlink r:id="rId5653" ref="C5655"/>
    <hyperlink r:id="rId5654" ref="C5656"/>
    <hyperlink r:id="rId5655" ref="C5657"/>
    <hyperlink r:id="rId5656" ref="C5658"/>
    <hyperlink r:id="rId5657" ref="C5659"/>
    <hyperlink r:id="rId5658" ref="C5660"/>
    <hyperlink r:id="rId5659" ref="C5661"/>
    <hyperlink r:id="rId5660" ref="C5662"/>
    <hyperlink r:id="rId5661" ref="C5663"/>
    <hyperlink r:id="rId5662" ref="C5664"/>
    <hyperlink r:id="rId5663" ref="C5665"/>
    <hyperlink r:id="rId5664" ref="C5666"/>
    <hyperlink r:id="rId5665" ref="C5667"/>
    <hyperlink r:id="rId5666" ref="C5668"/>
    <hyperlink r:id="rId5667" ref="C5669"/>
    <hyperlink r:id="rId5668" ref="C5670"/>
    <hyperlink r:id="rId5669" ref="C5671"/>
    <hyperlink r:id="rId5670" ref="C5672"/>
    <hyperlink r:id="rId5671" ref="C5673"/>
    <hyperlink r:id="rId5672" ref="C5674"/>
    <hyperlink r:id="rId5673" ref="C5675"/>
    <hyperlink r:id="rId5674" ref="C5676"/>
    <hyperlink r:id="rId5675" ref="C5677"/>
    <hyperlink r:id="rId5676" ref="C5678"/>
    <hyperlink r:id="rId5677" ref="C5679"/>
    <hyperlink r:id="rId5678" ref="C5680"/>
    <hyperlink r:id="rId5679" ref="C5681"/>
    <hyperlink r:id="rId5680" ref="C5682"/>
    <hyperlink r:id="rId5681" ref="C5683"/>
    <hyperlink r:id="rId5682" ref="C5684"/>
    <hyperlink r:id="rId5683" ref="C5685"/>
    <hyperlink r:id="rId5684" ref="C5686"/>
    <hyperlink r:id="rId5685" ref="C5687"/>
    <hyperlink r:id="rId5686" ref="C5688"/>
    <hyperlink r:id="rId5687" ref="C5689"/>
    <hyperlink r:id="rId5688" ref="C5690"/>
    <hyperlink r:id="rId5689" ref="C5691"/>
    <hyperlink r:id="rId5690" ref="C5692"/>
    <hyperlink r:id="rId5691" ref="C5693"/>
    <hyperlink r:id="rId5692" ref="C5694"/>
    <hyperlink r:id="rId5693" ref="C5695"/>
    <hyperlink r:id="rId5694" ref="C5696"/>
    <hyperlink r:id="rId5695" ref="C5697"/>
    <hyperlink r:id="rId5696" ref="C5698"/>
    <hyperlink r:id="rId5697" ref="C5699"/>
    <hyperlink r:id="rId5698" ref="C5700"/>
    <hyperlink r:id="rId5699" ref="C5701"/>
    <hyperlink r:id="rId5700" ref="C5702"/>
    <hyperlink r:id="rId5701" ref="C5703"/>
    <hyperlink r:id="rId5702" ref="C5704"/>
    <hyperlink r:id="rId5703" ref="C5705"/>
    <hyperlink r:id="rId5704" ref="C5706"/>
    <hyperlink r:id="rId5705" ref="C5707"/>
    <hyperlink r:id="rId5706" ref="C5708"/>
    <hyperlink r:id="rId5707" ref="C5709"/>
    <hyperlink r:id="rId5708" ref="C5710"/>
    <hyperlink r:id="rId5709" ref="C5711"/>
    <hyperlink r:id="rId5710" ref="C5712"/>
    <hyperlink r:id="rId5711" ref="C5713"/>
    <hyperlink r:id="rId5712" ref="C5714"/>
    <hyperlink r:id="rId5713" ref="C5715"/>
    <hyperlink r:id="rId5714" ref="C5716"/>
    <hyperlink r:id="rId5715" ref="C5717"/>
    <hyperlink r:id="rId5716" ref="C5718"/>
    <hyperlink r:id="rId5717" ref="C5719"/>
    <hyperlink r:id="rId5718" ref="C5720"/>
    <hyperlink r:id="rId5719" ref="C5721"/>
    <hyperlink r:id="rId5720" ref="C5722"/>
    <hyperlink r:id="rId5721" ref="C5723"/>
    <hyperlink r:id="rId5722" ref="C5724"/>
    <hyperlink r:id="rId5723" ref="C5725"/>
    <hyperlink r:id="rId5724" ref="C5726"/>
    <hyperlink r:id="rId5725" ref="C5727"/>
    <hyperlink r:id="rId5726" ref="C5728"/>
    <hyperlink r:id="rId5727" ref="C5729"/>
    <hyperlink r:id="rId5728" ref="C5730"/>
    <hyperlink r:id="rId5729" ref="C5731"/>
    <hyperlink r:id="rId5730" ref="C5732"/>
    <hyperlink r:id="rId5731" ref="C5733"/>
    <hyperlink r:id="rId5732" ref="C5734"/>
    <hyperlink r:id="rId5733" ref="C5735"/>
    <hyperlink r:id="rId5734" ref="C5736"/>
    <hyperlink r:id="rId5735" ref="C5737"/>
    <hyperlink r:id="rId5736" ref="C5738"/>
    <hyperlink r:id="rId5737" ref="C5739"/>
    <hyperlink r:id="rId5738" ref="C5740"/>
    <hyperlink r:id="rId5739" ref="C5741"/>
    <hyperlink r:id="rId5740" ref="C5742"/>
    <hyperlink r:id="rId5741" ref="C5743"/>
    <hyperlink r:id="rId5742" ref="C5744"/>
    <hyperlink r:id="rId5743" ref="C5745"/>
    <hyperlink r:id="rId5744" ref="C5746"/>
    <hyperlink r:id="rId5745" ref="C5747"/>
    <hyperlink r:id="rId5746" ref="C5748"/>
    <hyperlink r:id="rId5747" ref="C5749"/>
    <hyperlink r:id="rId5748" ref="C5750"/>
    <hyperlink r:id="rId5749" ref="C5751"/>
    <hyperlink r:id="rId5750" ref="C5752"/>
    <hyperlink r:id="rId5751" ref="C5753"/>
    <hyperlink r:id="rId5752" ref="C5754"/>
    <hyperlink r:id="rId5753" ref="C5755"/>
    <hyperlink r:id="rId5754" ref="C5756"/>
    <hyperlink r:id="rId5755" ref="C5757"/>
    <hyperlink r:id="rId5756" ref="C5758"/>
    <hyperlink r:id="rId5757" ref="C5759"/>
    <hyperlink r:id="rId5758" ref="C5760"/>
    <hyperlink r:id="rId5759" ref="C5761"/>
    <hyperlink r:id="rId5760" ref="C5762"/>
    <hyperlink r:id="rId5761" ref="C5763"/>
    <hyperlink r:id="rId5762" ref="C5764"/>
    <hyperlink r:id="rId5763" ref="C5765"/>
    <hyperlink r:id="rId5764" ref="C5766"/>
    <hyperlink r:id="rId5765" ref="C5767"/>
    <hyperlink r:id="rId5766" ref="C5768"/>
    <hyperlink r:id="rId5767" ref="C5769"/>
    <hyperlink r:id="rId5768" ref="C5770"/>
    <hyperlink r:id="rId5769" ref="C5771"/>
    <hyperlink r:id="rId5770" ref="C5772"/>
    <hyperlink r:id="rId5771" ref="C5773"/>
    <hyperlink r:id="rId5772" ref="C5774"/>
    <hyperlink r:id="rId5773" ref="C5775"/>
    <hyperlink r:id="rId5774" ref="C5776"/>
    <hyperlink r:id="rId5775" ref="C5777"/>
    <hyperlink r:id="rId5776" ref="C5778"/>
    <hyperlink r:id="rId5777" ref="C5779"/>
    <hyperlink r:id="rId5778" ref="C5780"/>
    <hyperlink r:id="rId5779" ref="C5781"/>
    <hyperlink r:id="rId5780" ref="C5782"/>
    <hyperlink r:id="rId5781" ref="C5783"/>
    <hyperlink r:id="rId5782" ref="C5784"/>
    <hyperlink r:id="rId5783" ref="C5785"/>
    <hyperlink r:id="rId5784" ref="C5786"/>
    <hyperlink r:id="rId5785" ref="C5787"/>
    <hyperlink r:id="rId5786" ref="C5788"/>
    <hyperlink r:id="rId5787" ref="C5789"/>
    <hyperlink r:id="rId5788" ref="C5790"/>
    <hyperlink r:id="rId5789" ref="C5791"/>
    <hyperlink r:id="rId5790" ref="C5792"/>
    <hyperlink r:id="rId5791" ref="C5793"/>
    <hyperlink r:id="rId5792" ref="C5794"/>
    <hyperlink r:id="rId5793" ref="C5795"/>
    <hyperlink r:id="rId5794" ref="C5796"/>
    <hyperlink r:id="rId5795" ref="C5797"/>
    <hyperlink r:id="rId5796" ref="C5798"/>
    <hyperlink r:id="rId5797" ref="C5799"/>
    <hyperlink r:id="rId5798" ref="C5800"/>
    <hyperlink r:id="rId5799" ref="C5801"/>
    <hyperlink r:id="rId5800" ref="C5802"/>
    <hyperlink r:id="rId5801" ref="C5803"/>
    <hyperlink r:id="rId5802" ref="C5804"/>
    <hyperlink r:id="rId5803" ref="C5805"/>
    <hyperlink r:id="rId5804" ref="C5806"/>
    <hyperlink r:id="rId5805" ref="C5807"/>
    <hyperlink r:id="rId5806" ref="C5808"/>
    <hyperlink r:id="rId5807" ref="C5809"/>
    <hyperlink r:id="rId5808" ref="C5810"/>
    <hyperlink r:id="rId5809" ref="C5811"/>
    <hyperlink r:id="rId5810" ref="C5812"/>
    <hyperlink r:id="rId5811" ref="C5813"/>
    <hyperlink r:id="rId5812" ref="C5814"/>
    <hyperlink r:id="rId5813" ref="C5815"/>
    <hyperlink r:id="rId5814" ref="C5816"/>
    <hyperlink r:id="rId5815" ref="C5817"/>
    <hyperlink r:id="rId5816" ref="C5818"/>
    <hyperlink r:id="rId5817" ref="C5819"/>
    <hyperlink r:id="rId5818" ref="C5820"/>
    <hyperlink r:id="rId5819" ref="C5821"/>
    <hyperlink r:id="rId5820" ref="C5822"/>
    <hyperlink r:id="rId5821" ref="C5823"/>
    <hyperlink r:id="rId5822" ref="C5824"/>
    <hyperlink r:id="rId5823" ref="C5825"/>
    <hyperlink r:id="rId5824" ref="C5826"/>
    <hyperlink r:id="rId5825" ref="C5827"/>
    <hyperlink r:id="rId5826" ref="C5828"/>
    <hyperlink r:id="rId5827" ref="C5829"/>
    <hyperlink r:id="rId5828" ref="C5830"/>
    <hyperlink r:id="rId5829" ref="C5831"/>
    <hyperlink r:id="rId5830" ref="C5832"/>
    <hyperlink r:id="rId5831" ref="C5833"/>
    <hyperlink r:id="rId5832" ref="C5834"/>
    <hyperlink r:id="rId5833" ref="C5835"/>
    <hyperlink r:id="rId5834" ref="C5836"/>
    <hyperlink r:id="rId5835" ref="C5837"/>
    <hyperlink r:id="rId5836" ref="C5838"/>
    <hyperlink r:id="rId5837" ref="C5839"/>
    <hyperlink r:id="rId5838" ref="C5840"/>
    <hyperlink r:id="rId5839" ref="C5841"/>
    <hyperlink r:id="rId5840" ref="C5842"/>
    <hyperlink r:id="rId5841" ref="C5843"/>
    <hyperlink r:id="rId5842" ref="C5844"/>
    <hyperlink r:id="rId5843" ref="C5845"/>
    <hyperlink r:id="rId5844" ref="C5846"/>
    <hyperlink r:id="rId5845" ref="C5847"/>
    <hyperlink r:id="rId5846" ref="C5848"/>
    <hyperlink r:id="rId5847" ref="C5849"/>
    <hyperlink r:id="rId5848" ref="C5850"/>
    <hyperlink r:id="rId5849" ref="C5851"/>
    <hyperlink r:id="rId5850" ref="C5852"/>
    <hyperlink r:id="rId5851" ref="C5853"/>
    <hyperlink r:id="rId5852" ref="C5854"/>
    <hyperlink r:id="rId5853" ref="C5855"/>
    <hyperlink r:id="rId5854" ref="C5856"/>
    <hyperlink r:id="rId5855" ref="C5857"/>
    <hyperlink r:id="rId5856" ref="C5858"/>
    <hyperlink r:id="rId5857" ref="C5859"/>
    <hyperlink r:id="rId5858" ref="C5860"/>
    <hyperlink r:id="rId5859" ref="C5861"/>
    <hyperlink r:id="rId5860" ref="C5862"/>
    <hyperlink r:id="rId5861" ref="C5863"/>
    <hyperlink r:id="rId5862" ref="C5864"/>
    <hyperlink r:id="rId5863" ref="C5865"/>
    <hyperlink r:id="rId5864" ref="C5866"/>
    <hyperlink r:id="rId5865" ref="C5867"/>
    <hyperlink r:id="rId5866" ref="C5868"/>
    <hyperlink r:id="rId5867" ref="C5869"/>
    <hyperlink r:id="rId5868" ref="C5870"/>
    <hyperlink r:id="rId5869" ref="C5871"/>
    <hyperlink r:id="rId5870" ref="C5872"/>
    <hyperlink r:id="rId5871" ref="C5873"/>
    <hyperlink r:id="rId5872" ref="C5874"/>
    <hyperlink r:id="rId5873" ref="C5875"/>
    <hyperlink r:id="rId5874" ref="C5876"/>
    <hyperlink r:id="rId5875" ref="C5877"/>
    <hyperlink r:id="rId5876" ref="C5878"/>
    <hyperlink r:id="rId5877" ref="C5879"/>
    <hyperlink r:id="rId5878" ref="C5880"/>
    <hyperlink r:id="rId5879" ref="C5881"/>
    <hyperlink r:id="rId5880" ref="C5882"/>
    <hyperlink r:id="rId5881" ref="C5883"/>
    <hyperlink r:id="rId5882" ref="C5884"/>
    <hyperlink r:id="rId5883" ref="C5885"/>
    <hyperlink r:id="rId5884" ref="C5886"/>
    <hyperlink r:id="rId5885" ref="C5887"/>
    <hyperlink r:id="rId5886" ref="C5888"/>
    <hyperlink r:id="rId5887" ref="C5889"/>
    <hyperlink r:id="rId5888" ref="C5890"/>
    <hyperlink r:id="rId5889" ref="C5891"/>
    <hyperlink r:id="rId5890" ref="C5892"/>
    <hyperlink r:id="rId5891" ref="C5893"/>
    <hyperlink r:id="rId5892" ref="C5894"/>
    <hyperlink r:id="rId5893" ref="C5895"/>
    <hyperlink r:id="rId5894" ref="C5896"/>
    <hyperlink r:id="rId5895" ref="C5897"/>
    <hyperlink r:id="rId5896" ref="C5898"/>
    <hyperlink r:id="rId5897" ref="C5899"/>
    <hyperlink r:id="rId5898" ref="C5900"/>
    <hyperlink r:id="rId5899" ref="C5901"/>
    <hyperlink r:id="rId5900" ref="C5902"/>
    <hyperlink r:id="rId5901" ref="C5903"/>
    <hyperlink r:id="rId5902" ref="C5904"/>
    <hyperlink r:id="rId5903" ref="C5905"/>
    <hyperlink r:id="rId5904" ref="C5906"/>
    <hyperlink r:id="rId5905" ref="C5907"/>
    <hyperlink r:id="rId5906" ref="C5908"/>
    <hyperlink r:id="rId5907" ref="C5909"/>
    <hyperlink r:id="rId5908" ref="C5910"/>
    <hyperlink r:id="rId5909" ref="C5911"/>
    <hyperlink r:id="rId5910" ref="C5912"/>
    <hyperlink r:id="rId5911" ref="C5913"/>
    <hyperlink r:id="rId5912" ref="C5914"/>
    <hyperlink r:id="rId5913" ref="C5915"/>
    <hyperlink r:id="rId5914" ref="C5916"/>
    <hyperlink r:id="rId5915" ref="C5917"/>
    <hyperlink r:id="rId5916" ref="C5918"/>
    <hyperlink r:id="rId5917" ref="C5919"/>
    <hyperlink r:id="rId5918" ref="C5920"/>
    <hyperlink r:id="rId5919" ref="C5921"/>
    <hyperlink r:id="rId5920" ref="C5922"/>
    <hyperlink r:id="rId5921" ref="C5923"/>
    <hyperlink r:id="rId5922" ref="C5924"/>
    <hyperlink r:id="rId5923" ref="C5925"/>
    <hyperlink r:id="rId5924" ref="C5926"/>
    <hyperlink r:id="rId5925" ref="C5927"/>
    <hyperlink r:id="rId5926" ref="C5928"/>
    <hyperlink r:id="rId5927" ref="C5929"/>
    <hyperlink r:id="rId5928" ref="C5930"/>
    <hyperlink r:id="rId5929" ref="C5931"/>
    <hyperlink r:id="rId5930" ref="C5932"/>
    <hyperlink r:id="rId5931" ref="C5933"/>
    <hyperlink r:id="rId5932" ref="C5934"/>
    <hyperlink r:id="rId5933" ref="C5935"/>
    <hyperlink r:id="rId5934" ref="C5936"/>
    <hyperlink r:id="rId5935" ref="C5937"/>
    <hyperlink r:id="rId5936" ref="C5938"/>
    <hyperlink r:id="rId5937" ref="C5939"/>
    <hyperlink r:id="rId5938" ref="C5940"/>
    <hyperlink r:id="rId5939" ref="C5941"/>
    <hyperlink r:id="rId5940" ref="C5942"/>
    <hyperlink r:id="rId5941" ref="C5943"/>
    <hyperlink r:id="rId5942" ref="C5944"/>
    <hyperlink r:id="rId5943" ref="C5945"/>
    <hyperlink r:id="rId5944" ref="C5946"/>
    <hyperlink r:id="rId5945" ref="C5947"/>
    <hyperlink r:id="rId5946" ref="C5948"/>
    <hyperlink r:id="rId5947" ref="C5949"/>
    <hyperlink r:id="rId5948" ref="C5950"/>
    <hyperlink r:id="rId5949" ref="C5951"/>
    <hyperlink r:id="rId5950" ref="C5952"/>
    <hyperlink r:id="rId5951" ref="C5953"/>
    <hyperlink r:id="rId5952" ref="C5954"/>
    <hyperlink r:id="rId5953" ref="C5955"/>
    <hyperlink r:id="rId5954" ref="C5956"/>
    <hyperlink r:id="rId5955" ref="C5957"/>
    <hyperlink r:id="rId5956" ref="C5958"/>
    <hyperlink r:id="rId5957" ref="C5959"/>
    <hyperlink r:id="rId5958" ref="C5960"/>
    <hyperlink r:id="rId5959" ref="C5961"/>
    <hyperlink r:id="rId5960" ref="C5962"/>
    <hyperlink r:id="rId5961" ref="C5963"/>
    <hyperlink r:id="rId5962" ref="C5964"/>
    <hyperlink r:id="rId5963" ref="C5965"/>
    <hyperlink r:id="rId5964" ref="C5966"/>
    <hyperlink r:id="rId5965" ref="C5967"/>
    <hyperlink r:id="rId5966" ref="C5968"/>
    <hyperlink r:id="rId5967" ref="C5969"/>
    <hyperlink r:id="rId5968" ref="C5970"/>
    <hyperlink r:id="rId5969" ref="C5971"/>
    <hyperlink r:id="rId5970" ref="C5972"/>
    <hyperlink r:id="rId5971" ref="C5973"/>
    <hyperlink r:id="rId5972" ref="C5974"/>
    <hyperlink r:id="rId5973" ref="C5975"/>
    <hyperlink r:id="rId5974" ref="C5976"/>
    <hyperlink r:id="rId5975" ref="C5977"/>
    <hyperlink r:id="rId5976" ref="C5978"/>
    <hyperlink r:id="rId5977" ref="C5979"/>
    <hyperlink r:id="rId5978" ref="C5980"/>
    <hyperlink r:id="rId5979" ref="C5981"/>
    <hyperlink r:id="rId5980" ref="C5982"/>
    <hyperlink r:id="rId5981" ref="C5983"/>
    <hyperlink r:id="rId5982" ref="C5984"/>
    <hyperlink r:id="rId5983" ref="C5985"/>
    <hyperlink r:id="rId5984" ref="C5986"/>
    <hyperlink r:id="rId5985" ref="C5987"/>
    <hyperlink r:id="rId5986" ref="C5988"/>
    <hyperlink r:id="rId5987" ref="C5989"/>
    <hyperlink r:id="rId5988" ref="C5990"/>
    <hyperlink r:id="rId5989" ref="C5991"/>
    <hyperlink r:id="rId5990" ref="C5992"/>
    <hyperlink r:id="rId5991" ref="C5993"/>
    <hyperlink r:id="rId5992" ref="C5994"/>
    <hyperlink r:id="rId5993" ref="C5995"/>
    <hyperlink r:id="rId5994" ref="C5996"/>
    <hyperlink r:id="rId5995" ref="C5997"/>
    <hyperlink r:id="rId5996" ref="C5998"/>
    <hyperlink r:id="rId5997" ref="C5999"/>
    <hyperlink r:id="rId5998" ref="C6000"/>
    <hyperlink r:id="rId5999" ref="C6001"/>
    <hyperlink r:id="rId6000" ref="C6002"/>
    <hyperlink r:id="rId6001" ref="C6003"/>
    <hyperlink r:id="rId6002" ref="C6004"/>
    <hyperlink r:id="rId6003" ref="C6005"/>
    <hyperlink r:id="rId6004" ref="C6006"/>
    <hyperlink r:id="rId6005" ref="C6007"/>
    <hyperlink r:id="rId6006" ref="C6008"/>
    <hyperlink r:id="rId6007" ref="C6009"/>
    <hyperlink r:id="rId6008" ref="C6010"/>
    <hyperlink r:id="rId6009" ref="C6011"/>
    <hyperlink r:id="rId6010" ref="C6012"/>
    <hyperlink r:id="rId6011" ref="C6013"/>
    <hyperlink r:id="rId6012" ref="C6014"/>
    <hyperlink r:id="rId6013" ref="C6015"/>
    <hyperlink r:id="rId6014" ref="C6016"/>
    <hyperlink r:id="rId6015" ref="C6017"/>
    <hyperlink r:id="rId6016" ref="C6018"/>
    <hyperlink r:id="rId6017" ref="C6019"/>
    <hyperlink r:id="rId6018" ref="C6020"/>
    <hyperlink r:id="rId6019" ref="C6021"/>
    <hyperlink r:id="rId6020" ref="C6022"/>
    <hyperlink r:id="rId6021" ref="C6023"/>
    <hyperlink r:id="rId6022" ref="C6024"/>
    <hyperlink r:id="rId6023" ref="C6025"/>
    <hyperlink r:id="rId6024" ref="C6026"/>
    <hyperlink r:id="rId6025" ref="C6027"/>
    <hyperlink r:id="rId6026" ref="C6028"/>
    <hyperlink r:id="rId6027" ref="C6029"/>
    <hyperlink r:id="rId6028" ref="C6030"/>
    <hyperlink r:id="rId6029" ref="C6031"/>
    <hyperlink r:id="rId6030" ref="C6032"/>
    <hyperlink r:id="rId6031" ref="C6033"/>
    <hyperlink r:id="rId6032" ref="C6034"/>
    <hyperlink r:id="rId6033" ref="C6035"/>
    <hyperlink r:id="rId6034" ref="C6036"/>
    <hyperlink r:id="rId6035" ref="C6037"/>
    <hyperlink r:id="rId6036" ref="C6038"/>
    <hyperlink r:id="rId6037" ref="C6039"/>
    <hyperlink r:id="rId6038" ref="C6040"/>
    <hyperlink r:id="rId6039" ref="C6041"/>
    <hyperlink r:id="rId6040" ref="C6042"/>
    <hyperlink r:id="rId6041" ref="C6043"/>
    <hyperlink r:id="rId6042" ref="C6044"/>
    <hyperlink r:id="rId6043" ref="C6045"/>
    <hyperlink r:id="rId6044" ref="C6046"/>
    <hyperlink r:id="rId6045" ref="C6047"/>
    <hyperlink r:id="rId6046" ref="C6048"/>
    <hyperlink r:id="rId6047" ref="C6049"/>
    <hyperlink r:id="rId6048" ref="C6050"/>
    <hyperlink r:id="rId6049" ref="C6051"/>
    <hyperlink r:id="rId6050" ref="C6052"/>
    <hyperlink r:id="rId6051" ref="C6053"/>
    <hyperlink r:id="rId6052" ref="C6054"/>
    <hyperlink r:id="rId6053" ref="C6055"/>
    <hyperlink r:id="rId6054" ref="C6056"/>
    <hyperlink r:id="rId6055" ref="C6057"/>
    <hyperlink r:id="rId6056" ref="C6058"/>
    <hyperlink r:id="rId6057" ref="C6059"/>
    <hyperlink r:id="rId6058" ref="C6060"/>
    <hyperlink r:id="rId6059" ref="C6061"/>
    <hyperlink r:id="rId6060" ref="C6062"/>
    <hyperlink r:id="rId6061" ref="C6063"/>
    <hyperlink r:id="rId6062" ref="C6064"/>
    <hyperlink r:id="rId6063" ref="C6065"/>
    <hyperlink r:id="rId6064" ref="C6066"/>
    <hyperlink r:id="rId6065" ref="C6067"/>
    <hyperlink r:id="rId6066" ref="C6068"/>
    <hyperlink r:id="rId6067" ref="C6069"/>
    <hyperlink r:id="rId6068" ref="C6070"/>
    <hyperlink r:id="rId6069" ref="C6071"/>
    <hyperlink r:id="rId6070" ref="C6072"/>
    <hyperlink r:id="rId6071" ref="C6073"/>
    <hyperlink r:id="rId6072" ref="C6074"/>
    <hyperlink r:id="rId6073" ref="C6075"/>
    <hyperlink r:id="rId6074" ref="C6076"/>
    <hyperlink r:id="rId6075" ref="C6077"/>
    <hyperlink r:id="rId6076" ref="C6078"/>
    <hyperlink r:id="rId6077" ref="C6079"/>
    <hyperlink r:id="rId6078" ref="C6080"/>
    <hyperlink r:id="rId6079" ref="C6081"/>
    <hyperlink r:id="rId6080" ref="C6082"/>
    <hyperlink r:id="rId6081" ref="C6083"/>
    <hyperlink r:id="rId6082" ref="C6084"/>
    <hyperlink r:id="rId6083" ref="C6085"/>
    <hyperlink r:id="rId6084" ref="C6086"/>
    <hyperlink r:id="rId6085" ref="C6087"/>
    <hyperlink r:id="rId6086" ref="C6088"/>
    <hyperlink r:id="rId6087" ref="C6089"/>
    <hyperlink r:id="rId6088" ref="C6090"/>
    <hyperlink r:id="rId6089" ref="C6091"/>
    <hyperlink r:id="rId6090" ref="C6092"/>
    <hyperlink r:id="rId6091" ref="C6093"/>
    <hyperlink r:id="rId6092" ref="C6094"/>
    <hyperlink r:id="rId6093" ref="C6095"/>
    <hyperlink r:id="rId6094" ref="C6096"/>
    <hyperlink r:id="rId6095" ref="C6097"/>
    <hyperlink r:id="rId6096" ref="C6098"/>
    <hyperlink r:id="rId6097" ref="C6099"/>
    <hyperlink r:id="rId6098" ref="C6100"/>
    <hyperlink r:id="rId6099" ref="C6101"/>
    <hyperlink r:id="rId6100" ref="C6102"/>
    <hyperlink r:id="rId6101" ref="C6103"/>
    <hyperlink r:id="rId6102" ref="C6104"/>
    <hyperlink r:id="rId6103" ref="C6105"/>
    <hyperlink r:id="rId6104" ref="C6106"/>
    <hyperlink r:id="rId6105" ref="C6107"/>
    <hyperlink r:id="rId6106" ref="C6108"/>
    <hyperlink r:id="rId6107" ref="C6109"/>
    <hyperlink r:id="rId6108" ref="C6110"/>
    <hyperlink r:id="rId6109" ref="C6111"/>
    <hyperlink r:id="rId6110" ref="C6112"/>
    <hyperlink r:id="rId6111" ref="C6113"/>
    <hyperlink r:id="rId6112" ref="C6114"/>
    <hyperlink r:id="rId6113" ref="C6115"/>
    <hyperlink r:id="rId6114" ref="C6116"/>
    <hyperlink r:id="rId6115" ref="C6117"/>
    <hyperlink r:id="rId6116" ref="C6118"/>
    <hyperlink r:id="rId6117" ref="C6119"/>
    <hyperlink r:id="rId6118" ref="C6120"/>
    <hyperlink r:id="rId6119" ref="C6121"/>
    <hyperlink r:id="rId6120" ref="C6122"/>
    <hyperlink r:id="rId6121" ref="C6123"/>
    <hyperlink r:id="rId6122" ref="C6124"/>
    <hyperlink r:id="rId6123" ref="C6125"/>
    <hyperlink r:id="rId6124" ref="C6126"/>
    <hyperlink r:id="rId6125" ref="C6127"/>
    <hyperlink r:id="rId6126" ref="C6128"/>
    <hyperlink r:id="rId6127" ref="C6129"/>
    <hyperlink r:id="rId6128" ref="C6130"/>
    <hyperlink r:id="rId6129" ref="C6131"/>
    <hyperlink r:id="rId6130" ref="C6132"/>
    <hyperlink r:id="rId6131" ref="C6133"/>
    <hyperlink r:id="rId6132" ref="C6134"/>
    <hyperlink r:id="rId6133" ref="C6135"/>
    <hyperlink r:id="rId6134" ref="C6136"/>
    <hyperlink r:id="rId6135" ref="C6137"/>
    <hyperlink r:id="rId6136" ref="C6138"/>
    <hyperlink r:id="rId6137" ref="C6139"/>
    <hyperlink r:id="rId6138" ref="C6140"/>
    <hyperlink r:id="rId6139" ref="C6141"/>
    <hyperlink r:id="rId6140" ref="C6142"/>
    <hyperlink r:id="rId6141" ref="C6143"/>
    <hyperlink r:id="rId6142" ref="C6144"/>
    <hyperlink r:id="rId6143" ref="C6145"/>
    <hyperlink r:id="rId6144" ref="C6146"/>
    <hyperlink r:id="rId6145" ref="C6147"/>
    <hyperlink r:id="rId6146" ref="C6148"/>
    <hyperlink r:id="rId6147" ref="C6149"/>
    <hyperlink r:id="rId6148" ref="C6150"/>
    <hyperlink r:id="rId6149" ref="C6151"/>
    <hyperlink r:id="rId6150" ref="C6152"/>
    <hyperlink r:id="rId6151" ref="C6153"/>
    <hyperlink r:id="rId6152" ref="C6154"/>
    <hyperlink r:id="rId6153" ref="C6155"/>
    <hyperlink r:id="rId6154" ref="C6156"/>
    <hyperlink r:id="rId6155" ref="C6157"/>
    <hyperlink r:id="rId6156" ref="C6158"/>
    <hyperlink r:id="rId6157" ref="C6159"/>
    <hyperlink r:id="rId6158" ref="C6160"/>
    <hyperlink r:id="rId6159" ref="C6161"/>
    <hyperlink r:id="rId6160" ref="C6162"/>
    <hyperlink r:id="rId6161" ref="C6163"/>
    <hyperlink r:id="rId6162" ref="C6164"/>
    <hyperlink r:id="rId6163" ref="C6165"/>
    <hyperlink r:id="rId6164" ref="C6166"/>
    <hyperlink r:id="rId6165" ref="C6167"/>
    <hyperlink r:id="rId6166" ref="C6168"/>
    <hyperlink r:id="rId6167" ref="C6169"/>
    <hyperlink r:id="rId6168" ref="C6170"/>
    <hyperlink r:id="rId6169" ref="C6171"/>
    <hyperlink r:id="rId6170" ref="C6172"/>
    <hyperlink r:id="rId6171" ref="C6173"/>
    <hyperlink r:id="rId6172" ref="C6174"/>
    <hyperlink r:id="rId6173" ref="C6175"/>
    <hyperlink r:id="rId6174" ref="C6176"/>
    <hyperlink r:id="rId6175" ref="C6177"/>
    <hyperlink r:id="rId6176" ref="C6178"/>
    <hyperlink r:id="rId6177" ref="C6179"/>
    <hyperlink r:id="rId6178" ref="C6180"/>
    <hyperlink r:id="rId6179" ref="C6181"/>
    <hyperlink r:id="rId6180" ref="C6182"/>
    <hyperlink r:id="rId6181" ref="C6183"/>
    <hyperlink r:id="rId6182" ref="C6184"/>
    <hyperlink r:id="rId6183" ref="C6185"/>
    <hyperlink r:id="rId6184" ref="C6186"/>
    <hyperlink r:id="rId6185" ref="C6187"/>
    <hyperlink r:id="rId6186" ref="C6188"/>
    <hyperlink r:id="rId6187" ref="C6189"/>
    <hyperlink r:id="rId6188" ref="C6190"/>
    <hyperlink r:id="rId6189" ref="C6191"/>
    <hyperlink r:id="rId6190" ref="C6192"/>
    <hyperlink r:id="rId6191" ref="C6193"/>
    <hyperlink r:id="rId6192" ref="C6194"/>
    <hyperlink r:id="rId6193" ref="C6195"/>
    <hyperlink r:id="rId6194" ref="C6196"/>
    <hyperlink r:id="rId6195" ref="C6197"/>
    <hyperlink r:id="rId6196" ref="C6198"/>
    <hyperlink r:id="rId6197" ref="C6199"/>
    <hyperlink r:id="rId6198" ref="C6200"/>
    <hyperlink r:id="rId6199" ref="C6201"/>
    <hyperlink r:id="rId6200" ref="C6202"/>
    <hyperlink r:id="rId6201" ref="C6203"/>
    <hyperlink r:id="rId6202" ref="C6204"/>
    <hyperlink r:id="rId6203" ref="C6205"/>
    <hyperlink r:id="rId6204" ref="C6206"/>
    <hyperlink r:id="rId6205" ref="C6207"/>
    <hyperlink r:id="rId6206" ref="C6208"/>
    <hyperlink r:id="rId6207" ref="C6209"/>
    <hyperlink r:id="rId6208" ref="C6210"/>
    <hyperlink r:id="rId6209" ref="C6211"/>
    <hyperlink r:id="rId6210" ref="C6212"/>
    <hyperlink r:id="rId6211" ref="C6213"/>
    <hyperlink r:id="rId6212" ref="C6214"/>
    <hyperlink r:id="rId6213" ref="C6215"/>
    <hyperlink r:id="rId6214" ref="C6216"/>
    <hyperlink r:id="rId6215" ref="C6217"/>
    <hyperlink r:id="rId6216" ref="C6218"/>
    <hyperlink r:id="rId6217" ref="C6219"/>
    <hyperlink r:id="rId6218" ref="C6220"/>
    <hyperlink r:id="rId6219" ref="C6221"/>
    <hyperlink r:id="rId6220" ref="C6222"/>
    <hyperlink r:id="rId6221" ref="C6223"/>
    <hyperlink r:id="rId6222" ref="C6224"/>
    <hyperlink r:id="rId6223" ref="C6225"/>
    <hyperlink r:id="rId6224" ref="C6226"/>
    <hyperlink r:id="rId6225" ref="C6227"/>
    <hyperlink r:id="rId6226" ref="C6228"/>
    <hyperlink r:id="rId6227" ref="C6229"/>
    <hyperlink r:id="rId6228" ref="C6230"/>
    <hyperlink r:id="rId6229" ref="C6231"/>
    <hyperlink r:id="rId6230" ref="C6232"/>
    <hyperlink r:id="rId6231" ref="C6233"/>
    <hyperlink r:id="rId6232" ref="C6234"/>
    <hyperlink r:id="rId6233" ref="C6235"/>
    <hyperlink r:id="rId6234" ref="C6236"/>
    <hyperlink r:id="rId6235" ref="C6237"/>
    <hyperlink r:id="rId6236" ref="C6238"/>
    <hyperlink r:id="rId6237" ref="C6239"/>
    <hyperlink r:id="rId6238" ref="C6240"/>
    <hyperlink r:id="rId6239" ref="C6241"/>
    <hyperlink r:id="rId6240" ref="C6242"/>
    <hyperlink r:id="rId6241" ref="C6243"/>
    <hyperlink r:id="rId6242" ref="C6244"/>
    <hyperlink r:id="rId6243" ref="C6245"/>
    <hyperlink r:id="rId6244" ref="C6246"/>
    <hyperlink r:id="rId6245" ref="C6247"/>
    <hyperlink r:id="rId6246" ref="C6248"/>
    <hyperlink r:id="rId6247" ref="C6249"/>
    <hyperlink r:id="rId6248" ref="C6250"/>
    <hyperlink r:id="rId6249" ref="C6251"/>
    <hyperlink r:id="rId6250" ref="C6252"/>
    <hyperlink r:id="rId6251" ref="C6253"/>
    <hyperlink r:id="rId6252" ref="C6254"/>
    <hyperlink r:id="rId6253" ref="C6255"/>
    <hyperlink r:id="rId6254" ref="C6256"/>
    <hyperlink r:id="rId6255" ref="C6257"/>
    <hyperlink r:id="rId6256" ref="C6258"/>
    <hyperlink r:id="rId6257" ref="C6259"/>
    <hyperlink r:id="rId6258" ref="C6260"/>
    <hyperlink r:id="rId6259" ref="C6261"/>
    <hyperlink r:id="rId6260" ref="C6262"/>
    <hyperlink r:id="rId6261" ref="C6263"/>
    <hyperlink r:id="rId6262" ref="C6264"/>
    <hyperlink r:id="rId6263" ref="C6265"/>
    <hyperlink r:id="rId6264" ref="C6266"/>
    <hyperlink r:id="rId6265" ref="C6267"/>
    <hyperlink r:id="rId6266" ref="C6268"/>
    <hyperlink r:id="rId6267" ref="C6269"/>
    <hyperlink r:id="rId6268" ref="C6270"/>
    <hyperlink r:id="rId6269" ref="C6271"/>
    <hyperlink r:id="rId6270" ref="C6272"/>
    <hyperlink r:id="rId6271" ref="C6273"/>
    <hyperlink r:id="rId6272" ref="C6274"/>
    <hyperlink r:id="rId6273" ref="C6275"/>
    <hyperlink r:id="rId6274" ref="C6276"/>
    <hyperlink r:id="rId6275" ref="C6277"/>
    <hyperlink r:id="rId6276" ref="C6278"/>
    <hyperlink r:id="rId6277" ref="C6279"/>
    <hyperlink r:id="rId6278" ref="C6280"/>
    <hyperlink r:id="rId6279" ref="C6281"/>
    <hyperlink r:id="rId6280" ref="C6282"/>
    <hyperlink r:id="rId6281" ref="C6283"/>
    <hyperlink r:id="rId6282" ref="C6284"/>
    <hyperlink r:id="rId6283" ref="C6285"/>
    <hyperlink r:id="rId6284" ref="C6286"/>
    <hyperlink r:id="rId6285" ref="C6287"/>
    <hyperlink r:id="rId6286" ref="C6288"/>
    <hyperlink r:id="rId6287" ref="C6289"/>
    <hyperlink r:id="rId6288" ref="C6290"/>
    <hyperlink r:id="rId6289" ref="C6291"/>
    <hyperlink r:id="rId6290" ref="C6292"/>
    <hyperlink r:id="rId6291" ref="C6293"/>
    <hyperlink r:id="rId6292" ref="C6294"/>
    <hyperlink r:id="rId6293" ref="C6295"/>
    <hyperlink r:id="rId6294" ref="C6296"/>
    <hyperlink r:id="rId6295" ref="C6297"/>
    <hyperlink r:id="rId6296" ref="C6298"/>
    <hyperlink r:id="rId6297" ref="C6299"/>
    <hyperlink r:id="rId6298" ref="C6300"/>
    <hyperlink r:id="rId6299" ref="C6301"/>
    <hyperlink r:id="rId6300" ref="C6302"/>
    <hyperlink r:id="rId6301" ref="C6303"/>
    <hyperlink r:id="rId6302" ref="C6304"/>
    <hyperlink r:id="rId6303" ref="C6305"/>
    <hyperlink r:id="rId6304" ref="C6306"/>
    <hyperlink r:id="rId6305" ref="C6307"/>
    <hyperlink r:id="rId6306" ref="C6308"/>
    <hyperlink r:id="rId6307" ref="C6309"/>
    <hyperlink r:id="rId6308" ref="C6310"/>
    <hyperlink r:id="rId6309" ref="C6311"/>
    <hyperlink r:id="rId6310" ref="C6312"/>
    <hyperlink r:id="rId6311" ref="C6313"/>
    <hyperlink r:id="rId6312" ref="C6314"/>
    <hyperlink r:id="rId6313" ref="C6315"/>
    <hyperlink r:id="rId6314" ref="C6316"/>
    <hyperlink r:id="rId6315" ref="C6317"/>
    <hyperlink r:id="rId6316" ref="C6318"/>
    <hyperlink r:id="rId6317" ref="C6319"/>
    <hyperlink r:id="rId6318" ref="C6320"/>
    <hyperlink r:id="rId6319" ref="C6321"/>
    <hyperlink r:id="rId6320" ref="C6322"/>
    <hyperlink r:id="rId6321" ref="C6323"/>
    <hyperlink r:id="rId6322" ref="C6324"/>
    <hyperlink r:id="rId6323" ref="C6325"/>
    <hyperlink r:id="rId6324" ref="C6326"/>
    <hyperlink r:id="rId6325" ref="C6327"/>
    <hyperlink r:id="rId6326" ref="C6328"/>
    <hyperlink r:id="rId6327" ref="C6329"/>
    <hyperlink r:id="rId6328" ref="C6330"/>
    <hyperlink r:id="rId6329" ref="C6331"/>
    <hyperlink r:id="rId6330" ref="C6332"/>
    <hyperlink r:id="rId6331" ref="C6333"/>
    <hyperlink r:id="rId6332" ref="C6334"/>
    <hyperlink r:id="rId6333" ref="C6335"/>
    <hyperlink r:id="rId6334" ref="C6336"/>
    <hyperlink r:id="rId6335" ref="C6337"/>
    <hyperlink r:id="rId6336" ref="C6338"/>
    <hyperlink r:id="rId6337" ref="C6339"/>
    <hyperlink r:id="rId6338" ref="C6340"/>
    <hyperlink r:id="rId6339" ref="C6341"/>
    <hyperlink r:id="rId6340" ref="C6342"/>
    <hyperlink r:id="rId6341" ref="C6343"/>
    <hyperlink r:id="rId6342" ref="C6344"/>
    <hyperlink r:id="rId6343" ref="C6345"/>
    <hyperlink r:id="rId6344" ref="C6346"/>
    <hyperlink r:id="rId6345" ref="C6347"/>
    <hyperlink r:id="rId6346" ref="C6348"/>
    <hyperlink r:id="rId6347" ref="C6349"/>
    <hyperlink r:id="rId6348" ref="C6350"/>
    <hyperlink r:id="rId6349" ref="C6351"/>
    <hyperlink r:id="rId6350" ref="C6352"/>
    <hyperlink r:id="rId6351" ref="C6353"/>
    <hyperlink r:id="rId6352" ref="C6354"/>
    <hyperlink r:id="rId6353" ref="C6355"/>
    <hyperlink r:id="rId6354" ref="C6356"/>
    <hyperlink r:id="rId6355" ref="C6357"/>
    <hyperlink r:id="rId6356" ref="C6358"/>
    <hyperlink r:id="rId6357" ref="C6359"/>
    <hyperlink r:id="rId6358" ref="C6360"/>
    <hyperlink r:id="rId6359" ref="C6361"/>
    <hyperlink r:id="rId6360" ref="C6362"/>
    <hyperlink r:id="rId6361" ref="C6363"/>
    <hyperlink r:id="rId6362" ref="C6364"/>
    <hyperlink r:id="rId6363" ref="C6365"/>
    <hyperlink r:id="rId6364" ref="C6366"/>
    <hyperlink r:id="rId6365" ref="C6367"/>
    <hyperlink r:id="rId6366" ref="C6368"/>
    <hyperlink r:id="rId6367" ref="C6369"/>
    <hyperlink r:id="rId6368" ref="C6370"/>
    <hyperlink r:id="rId6369" ref="C6371"/>
    <hyperlink r:id="rId6370" ref="C6372"/>
    <hyperlink r:id="rId6371" ref="C6373"/>
    <hyperlink r:id="rId6372" ref="C6374"/>
    <hyperlink r:id="rId6373" ref="C6375"/>
    <hyperlink r:id="rId6374" ref="C6376"/>
    <hyperlink r:id="rId6375" ref="C6377"/>
    <hyperlink r:id="rId6376" ref="C6378"/>
    <hyperlink r:id="rId6377" ref="C6379"/>
    <hyperlink r:id="rId6378" ref="C6380"/>
    <hyperlink r:id="rId6379" ref="C6381"/>
    <hyperlink r:id="rId6380" ref="C6382"/>
    <hyperlink r:id="rId6381" ref="C6383"/>
    <hyperlink r:id="rId6382" ref="C6384"/>
    <hyperlink r:id="rId6383" ref="C6385"/>
    <hyperlink r:id="rId6384" ref="C6386"/>
    <hyperlink r:id="rId6385" ref="C6387"/>
    <hyperlink r:id="rId6386" ref="C6388"/>
    <hyperlink r:id="rId6387" ref="C6389"/>
    <hyperlink r:id="rId6388" ref="C6390"/>
    <hyperlink r:id="rId6389" ref="C6391"/>
    <hyperlink r:id="rId6390" ref="C6392"/>
    <hyperlink r:id="rId6391" ref="C6393"/>
    <hyperlink r:id="rId6392" ref="C6394"/>
    <hyperlink r:id="rId6393" ref="C6395"/>
    <hyperlink r:id="rId6394" ref="C6396"/>
    <hyperlink r:id="rId6395" ref="C6397"/>
    <hyperlink r:id="rId6396" ref="C6398"/>
    <hyperlink r:id="rId6397" ref="C6399"/>
    <hyperlink r:id="rId6398" ref="C6400"/>
    <hyperlink r:id="rId6399" ref="C6401"/>
    <hyperlink r:id="rId6400" ref="C6402"/>
    <hyperlink r:id="rId6401" ref="C6403"/>
    <hyperlink r:id="rId6402" ref="C6404"/>
    <hyperlink r:id="rId6403" ref="C6405"/>
    <hyperlink r:id="rId6404" ref="C6406"/>
    <hyperlink r:id="rId6405" ref="C6407"/>
    <hyperlink r:id="rId6406" ref="C6408"/>
    <hyperlink r:id="rId6407" ref="C6409"/>
    <hyperlink r:id="rId6408" ref="C6410"/>
    <hyperlink r:id="rId6409" ref="C6411"/>
    <hyperlink r:id="rId6410" ref="C6412"/>
    <hyperlink r:id="rId6411" ref="C6413"/>
    <hyperlink r:id="rId6412" ref="C6414"/>
    <hyperlink r:id="rId6413" ref="C6415"/>
    <hyperlink r:id="rId6414" ref="C6416"/>
    <hyperlink r:id="rId6415" ref="C6417"/>
    <hyperlink r:id="rId6416" ref="C6418"/>
    <hyperlink r:id="rId6417" ref="C6419"/>
    <hyperlink r:id="rId6418" ref="C6420"/>
    <hyperlink r:id="rId6419" ref="C6421"/>
    <hyperlink r:id="rId6420" ref="C6422"/>
    <hyperlink r:id="rId6421" ref="C6423"/>
    <hyperlink r:id="rId6422" ref="C6424"/>
    <hyperlink r:id="rId6423" ref="C6425"/>
    <hyperlink r:id="rId6424" ref="C6426"/>
    <hyperlink r:id="rId6425" ref="C6427"/>
    <hyperlink r:id="rId6426" ref="C6428"/>
    <hyperlink r:id="rId6427" ref="C6429"/>
    <hyperlink r:id="rId6428" ref="C6430"/>
    <hyperlink r:id="rId6429" ref="C6431"/>
    <hyperlink r:id="rId6430" ref="C6432"/>
    <hyperlink r:id="rId6431" ref="C6433"/>
    <hyperlink r:id="rId6432" ref="C6434"/>
    <hyperlink r:id="rId6433" ref="C6435"/>
    <hyperlink r:id="rId6434" ref="C6436"/>
    <hyperlink r:id="rId6435" ref="C6437"/>
    <hyperlink r:id="rId6436" ref="C6438"/>
    <hyperlink r:id="rId6437" ref="C6439"/>
    <hyperlink r:id="rId6438" ref="C6440"/>
    <hyperlink r:id="rId6439" ref="C6441"/>
    <hyperlink r:id="rId6440" ref="C6442"/>
    <hyperlink r:id="rId6441" ref="C6443"/>
    <hyperlink r:id="rId6442" ref="C6444"/>
    <hyperlink r:id="rId6443" ref="C6445"/>
    <hyperlink r:id="rId6444" ref="C6446"/>
    <hyperlink r:id="rId6445" ref="C6447"/>
    <hyperlink r:id="rId6446" ref="C6448"/>
    <hyperlink r:id="rId6447" ref="C6449"/>
    <hyperlink r:id="rId6448" ref="C6450"/>
    <hyperlink r:id="rId6449" ref="C6451"/>
    <hyperlink r:id="rId6450" ref="C6452"/>
    <hyperlink r:id="rId6451" ref="C6453"/>
    <hyperlink r:id="rId6452" ref="C6454"/>
    <hyperlink r:id="rId6453" ref="C6455"/>
    <hyperlink r:id="rId6454" ref="C6456"/>
    <hyperlink r:id="rId6455" ref="C6457"/>
    <hyperlink r:id="rId6456" ref="C6458"/>
    <hyperlink r:id="rId6457" ref="C6459"/>
    <hyperlink r:id="rId6458" ref="C6460"/>
    <hyperlink r:id="rId6459" ref="C6461"/>
    <hyperlink r:id="rId6460" ref="C6462"/>
    <hyperlink r:id="rId6461" ref="C6463"/>
    <hyperlink r:id="rId6462" ref="C6464"/>
    <hyperlink r:id="rId6463" ref="C6465"/>
    <hyperlink r:id="rId6464" ref="C6466"/>
    <hyperlink r:id="rId6465" ref="C6467"/>
    <hyperlink r:id="rId6466" ref="C6468"/>
    <hyperlink r:id="rId6467" ref="C6469"/>
    <hyperlink r:id="rId6468" ref="C6470"/>
    <hyperlink r:id="rId6469" ref="C6471"/>
    <hyperlink r:id="rId6470" ref="C6472"/>
    <hyperlink r:id="rId6471" ref="C6473"/>
    <hyperlink r:id="rId6472" ref="C6474"/>
    <hyperlink r:id="rId6473" ref="C6475"/>
    <hyperlink r:id="rId6474" ref="C6476"/>
    <hyperlink r:id="rId6475" ref="C6477"/>
    <hyperlink r:id="rId6476" ref="C6478"/>
    <hyperlink r:id="rId6477" ref="C6479"/>
    <hyperlink r:id="rId6478" ref="C6480"/>
    <hyperlink r:id="rId6479" ref="C6481"/>
    <hyperlink r:id="rId6480" ref="C6482"/>
    <hyperlink r:id="rId6481" ref="C6483"/>
    <hyperlink r:id="rId6482" ref="C6484"/>
    <hyperlink r:id="rId6483" ref="C6485"/>
    <hyperlink r:id="rId6484" ref="C6486"/>
    <hyperlink r:id="rId6485" ref="C6487"/>
    <hyperlink r:id="rId6486" ref="C6488"/>
    <hyperlink r:id="rId6487" ref="C6489"/>
    <hyperlink r:id="rId6488" ref="C6490"/>
    <hyperlink r:id="rId6489" ref="C6491"/>
    <hyperlink r:id="rId6490" ref="C6492"/>
    <hyperlink r:id="rId6491" ref="C6493"/>
    <hyperlink r:id="rId6492" ref="C6494"/>
    <hyperlink r:id="rId6493" ref="C6495"/>
    <hyperlink r:id="rId6494" ref="C6496"/>
    <hyperlink r:id="rId6495" ref="C6497"/>
    <hyperlink r:id="rId6496" ref="C6498"/>
    <hyperlink r:id="rId6497" ref="C6499"/>
    <hyperlink r:id="rId6498" ref="C6500"/>
    <hyperlink r:id="rId6499" ref="C6501"/>
    <hyperlink r:id="rId6500" ref="C6502"/>
    <hyperlink r:id="rId6501" ref="C6503"/>
    <hyperlink r:id="rId6502" ref="C6504"/>
    <hyperlink r:id="rId6503" ref="C6505"/>
    <hyperlink r:id="rId6504" ref="C6506"/>
    <hyperlink r:id="rId6505" ref="C6507"/>
    <hyperlink r:id="rId6506" ref="C6508"/>
    <hyperlink r:id="rId6507" ref="C6509"/>
    <hyperlink r:id="rId6508" ref="C6510"/>
    <hyperlink r:id="rId6509" ref="C6511"/>
    <hyperlink r:id="rId6510" ref="C6512"/>
    <hyperlink r:id="rId6511" ref="C6513"/>
    <hyperlink r:id="rId6512" ref="C6514"/>
    <hyperlink r:id="rId6513" ref="C6515"/>
    <hyperlink r:id="rId6514" ref="C6516"/>
    <hyperlink r:id="rId6515" ref="C6517"/>
    <hyperlink r:id="rId6516" ref="C6518"/>
    <hyperlink r:id="rId6517" ref="C6519"/>
    <hyperlink r:id="rId6518" ref="C6520"/>
    <hyperlink r:id="rId6519" ref="C6521"/>
    <hyperlink r:id="rId6520" ref="C6522"/>
    <hyperlink r:id="rId6521" ref="C6523"/>
    <hyperlink r:id="rId6522" ref="C6524"/>
    <hyperlink r:id="rId6523" ref="C6525"/>
    <hyperlink r:id="rId6524" ref="C6526"/>
    <hyperlink r:id="rId6525" ref="C6527"/>
    <hyperlink r:id="rId6526" ref="C6528"/>
    <hyperlink r:id="rId6527" ref="C6529"/>
    <hyperlink r:id="rId6528" ref="C6530"/>
    <hyperlink r:id="rId6529" ref="C6531"/>
    <hyperlink r:id="rId6530" ref="C6532"/>
    <hyperlink r:id="rId6531" ref="C6533"/>
    <hyperlink r:id="rId6532" ref="C6534"/>
    <hyperlink r:id="rId6533" ref="C6535"/>
    <hyperlink r:id="rId6534" ref="C6536"/>
    <hyperlink r:id="rId6535" ref="C6537"/>
    <hyperlink r:id="rId6536" ref="C6538"/>
    <hyperlink r:id="rId6537" ref="C6539"/>
    <hyperlink r:id="rId6538" ref="C6540"/>
    <hyperlink r:id="rId6539" ref="C6541"/>
    <hyperlink r:id="rId6540" ref="C6542"/>
    <hyperlink r:id="rId6541" ref="C6543"/>
    <hyperlink r:id="rId6542" ref="C6544"/>
    <hyperlink r:id="rId6543" ref="C6545"/>
    <hyperlink r:id="rId6544" ref="C6546"/>
    <hyperlink r:id="rId6545" ref="C6547"/>
    <hyperlink r:id="rId6546" ref="C6548"/>
    <hyperlink r:id="rId6547" ref="C6549"/>
    <hyperlink r:id="rId6548" ref="C6550"/>
    <hyperlink r:id="rId6549" ref="C6551"/>
    <hyperlink r:id="rId6550" ref="C6552"/>
    <hyperlink r:id="rId6551" ref="C6553"/>
    <hyperlink r:id="rId6552" ref="C6554"/>
    <hyperlink r:id="rId6553" ref="C6555"/>
    <hyperlink r:id="rId6554" ref="C6556"/>
    <hyperlink r:id="rId6555" ref="C6557"/>
    <hyperlink r:id="rId6556" ref="C6558"/>
    <hyperlink r:id="rId6557" ref="C6559"/>
    <hyperlink r:id="rId6558" ref="C6560"/>
    <hyperlink r:id="rId6559" ref="C6561"/>
    <hyperlink r:id="rId6560" ref="C6562"/>
    <hyperlink r:id="rId6561" ref="C6563"/>
    <hyperlink r:id="rId6562" ref="C6564"/>
    <hyperlink r:id="rId6563" ref="C6565"/>
    <hyperlink r:id="rId6564" ref="C6566"/>
    <hyperlink r:id="rId6565" ref="C6567"/>
    <hyperlink r:id="rId6566" ref="C6568"/>
    <hyperlink r:id="rId6567" ref="C6569"/>
    <hyperlink r:id="rId6568" ref="C6570"/>
    <hyperlink r:id="rId6569" ref="C6571"/>
    <hyperlink r:id="rId6570" ref="C6572"/>
    <hyperlink r:id="rId6571" ref="C6573"/>
    <hyperlink r:id="rId6572" ref="C6574"/>
    <hyperlink r:id="rId6573" ref="C6575"/>
    <hyperlink r:id="rId6574" ref="C6576"/>
    <hyperlink r:id="rId6575" ref="C6577"/>
    <hyperlink r:id="rId6576" ref="C6578"/>
    <hyperlink r:id="rId6577" ref="C6579"/>
    <hyperlink r:id="rId6578" ref="C6580"/>
    <hyperlink r:id="rId6579" ref="C6581"/>
    <hyperlink r:id="rId6580" ref="C6582"/>
    <hyperlink r:id="rId6581" ref="C6583"/>
    <hyperlink r:id="rId6582" ref="C6584"/>
    <hyperlink r:id="rId6583" ref="C6585"/>
    <hyperlink r:id="rId6584" ref="C6586"/>
    <hyperlink r:id="rId6585" ref="C6587"/>
    <hyperlink r:id="rId6586" ref="C6588"/>
    <hyperlink r:id="rId6587" ref="C6589"/>
    <hyperlink r:id="rId6588" ref="C6590"/>
    <hyperlink r:id="rId6589" ref="C6591"/>
    <hyperlink r:id="rId6590" ref="C6592"/>
    <hyperlink r:id="rId6591" ref="C6593"/>
    <hyperlink r:id="rId6592" ref="C6594"/>
    <hyperlink r:id="rId6593" ref="C6595"/>
    <hyperlink r:id="rId6594" ref="C6596"/>
    <hyperlink r:id="rId6595" ref="C6597"/>
    <hyperlink r:id="rId6596" ref="C6598"/>
    <hyperlink r:id="rId6597" ref="C6599"/>
    <hyperlink r:id="rId6598" ref="C6600"/>
    <hyperlink r:id="rId6599" ref="C6601"/>
    <hyperlink r:id="rId6600" ref="C6602"/>
    <hyperlink r:id="rId6601" ref="C6603"/>
    <hyperlink r:id="rId6602" ref="C6604"/>
    <hyperlink r:id="rId6603" ref="C6605"/>
    <hyperlink r:id="rId6604" ref="C6606"/>
    <hyperlink r:id="rId6605" ref="C6607"/>
    <hyperlink r:id="rId6606" ref="C6608"/>
    <hyperlink r:id="rId6607" ref="C6609"/>
    <hyperlink r:id="rId6608" ref="C6610"/>
    <hyperlink r:id="rId6609" ref="C6611"/>
    <hyperlink r:id="rId6610" ref="C6612"/>
    <hyperlink r:id="rId6611" ref="C6613"/>
    <hyperlink r:id="rId6612" ref="C6614"/>
    <hyperlink r:id="rId6613" ref="C6615"/>
    <hyperlink r:id="rId6614" ref="C6616"/>
    <hyperlink r:id="rId6615" ref="C6617"/>
    <hyperlink r:id="rId6616" ref="C6618"/>
    <hyperlink r:id="rId6617" ref="C6619"/>
    <hyperlink r:id="rId6618" ref="C6620"/>
    <hyperlink r:id="rId6619" ref="C6621"/>
    <hyperlink r:id="rId6620" ref="C6622"/>
    <hyperlink r:id="rId6621" ref="C6623"/>
    <hyperlink r:id="rId6622" ref="C6624"/>
    <hyperlink r:id="rId6623" ref="C6625"/>
    <hyperlink r:id="rId6624" ref="C6626"/>
    <hyperlink r:id="rId6625" ref="C6627"/>
    <hyperlink r:id="rId6626" ref="C6628"/>
    <hyperlink r:id="rId6627" ref="C6629"/>
    <hyperlink r:id="rId6628" ref="C6630"/>
    <hyperlink r:id="rId6629" ref="C6631"/>
    <hyperlink r:id="rId6630" ref="C6632"/>
    <hyperlink r:id="rId6631" ref="C6633"/>
    <hyperlink r:id="rId6632" ref="C6634"/>
    <hyperlink r:id="rId6633" ref="C6635"/>
    <hyperlink r:id="rId6634" ref="C6636"/>
    <hyperlink r:id="rId6635" ref="C6637"/>
    <hyperlink r:id="rId6636" ref="C6638"/>
    <hyperlink r:id="rId6637" ref="C6639"/>
    <hyperlink r:id="rId6638" ref="C6640"/>
    <hyperlink r:id="rId6639" ref="C6641"/>
    <hyperlink r:id="rId6640" ref="C6642"/>
    <hyperlink r:id="rId6641" ref="C6643"/>
    <hyperlink r:id="rId6642" ref="C6644"/>
    <hyperlink r:id="rId6643" ref="C6645"/>
    <hyperlink r:id="rId6644" ref="C6646"/>
    <hyperlink r:id="rId6645" ref="C6647"/>
    <hyperlink r:id="rId6646" ref="C6648"/>
    <hyperlink r:id="rId6647" ref="C6649"/>
    <hyperlink r:id="rId6648" ref="C6650"/>
    <hyperlink r:id="rId6649" ref="C6651"/>
    <hyperlink r:id="rId6650" ref="C6652"/>
    <hyperlink r:id="rId6651" ref="C6653"/>
    <hyperlink r:id="rId6652" ref="C6654"/>
    <hyperlink r:id="rId6653" ref="C6655"/>
    <hyperlink r:id="rId6654" ref="C6656"/>
    <hyperlink r:id="rId6655" ref="C6657"/>
    <hyperlink r:id="rId6656" ref="C6658"/>
    <hyperlink r:id="rId6657" ref="C6659"/>
    <hyperlink r:id="rId6658" ref="C6660"/>
    <hyperlink r:id="rId6659" ref="C6661"/>
    <hyperlink r:id="rId6660" ref="C6662"/>
    <hyperlink r:id="rId6661" ref="C6663"/>
    <hyperlink r:id="rId6662" ref="C6664"/>
    <hyperlink r:id="rId6663" ref="C6665"/>
    <hyperlink r:id="rId6664" ref="C6666"/>
    <hyperlink r:id="rId6665" ref="C6667"/>
    <hyperlink r:id="rId6666" ref="C6668"/>
    <hyperlink r:id="rId6667" ref="C6669"/>
    <hyperlink r:id="rId6668" ref="C6670"/>
    <hyperlink r:id="rId6669" ref="C6671"/>
    <hyperlink r:id="rId6670" ref="C6672"/>
    <hyperlink r:id="rId6671" ref="C6673"/>
    <hyperlink r:id="rId6672" ref="C6674"/>
    <hyperlink r:id="rId6673" ref="C6675"/>
    <hyperlink r:id="rId6674" ref="C6676"/>
    <hyperlink r:id="rId6675" ref="C6677"/>
    <hyperlink r:id="rId6676" ref="C6678"/>
    <hyperlink r:id="rId6677" ref="C6679"/>
    <hyperlink r:id="rId6678" ref="C6680"/>
    <hyperlink r:id="rId6679" ref="C6681"/>
    <hyperlink r:id="rId6680" ref="C6682"/>
    <hyperlink r:id="rId6681" ref="C6683"/>
    <hyperlink r:id="rId6682" ref="C6684"/>
    <hyperlink r:id="rId6683" ref="C6685"/>
    <hyperlink r:id="rId6684" ref="C6686"/>
    <hyperlink r:id="rId6685" ref="C6687"/>
    <hyperlink r:id="rId6686" ref="C6688"/>
    <hyperlink r:id="rId6687" ref="C6689"/>
    <hyperlink r:id="rId6688" ref="C6690"/>
    <hyperlink r:id="rId6689" ref="C6691"/>
    <hyperlink r:id="rId6690" ref="C6692"/>
    <hyperlink r:id="rId6691" ref="C6693"/>
    <hyperlink r:id="rId6692" ref="C6694"/>
    <hyperlink r:id="rId6693" ref="C6695"/>
    <hyperlink r:id="rId6694" ref="C6696"/>
    <hyperlink r:id="rId6695" ref="C6697"/>
    <hyperlink r:id="rId6696" ref="C6698"/>
    <hyperlink r:id="rId6697" ref="C6699"/>
    <hyperlink r:id="rId6698" ref="C6700"/>
    <hyperlink r:id="rId6699" ref="C6701"/>
    <hyperlink r:id="rId6700" ref="C6702"/>
    <hyperlink r:id="rId6701" ref="C6703"/>
    <hyperlink r:id="rId6702" ref="C6704"/>
    <hyperlink r:id="rId6703" ref="C6705"/>
    <hyperlink r:id="rId6704" ref="C6706"/>
    <hyperlink r:id="rId6705" ref="C6707"/>
    <hyperlink r:id="rId6706" ref="C6708"/>
    <hyperlink r:id="rId6707" ref="C6709"/>
    <hyperlink r:id="rId6708" ref="C6710"/>
    <hyperlink r:id="rId6709" ref="C6711"/>
    <hyperlink r:id="rId6710" ref="C6712"/>
    <hyperlink r:id="rId6711" ref="C6713"/>
    <hyperlink r:id="rId6712" ref="C6714"/>
    <hyperlink r:id="rId6713" ref="C6715"/>
    <hyperlink r:id="rId6714" ref="C6716"/>
    <hyperlink r:id="rId6715" ref="C6717"/>
    <hyperlink r:id="rId6716" ref="C6718"/>
    <hyperlink r:id="rId6717" ref="C6719"/>
    <hyperlink r:id="rId6718" ref="C6720"/>
    <hyperlink r:id="rId6719" ref="C6721"/>
    <hyperlink r:id="rId6720" ref="C6722"/>
    <hyperlink r:id="rId6721" ref="C6723"/>
    <hyperlink r:id="rId6722" ref="C6724"/>
    <hyperlink r:id="rId6723" ref="C6725"/>
    <hyperlink r:id="rId6724" ref="C6726"/>
    <hyperlink r:id="rId6725" ref="C6727"/>
    <hyperlink r:id="rId6726" ref="C6728"/>
    <hyperlink r:id="rId6727" ref="C6729"/>
    <hyperlink r:id="rId6728" ref="C6730"/>
    <hyperlink r:id="rId6729" ref="C6731"/>
    <hyperlink r:id="rId6730" ref="C6732"/>
    <hyperlink r:id="rId6731" ref="C6733"/>
    <hyperlink r:id="rId6732" ref="C6734"/>
    <hyperlink r:id="rId6733" ref="C6735"/>
    <hyperlink r:id="rId6734" ref="C6736"/>
    <hyperlink r:id="rId6735" ref="C6737"/>
    <hyperlink r:id="rId6736" ref="C6738"/>
    <hyperlink r:id="rId6737" ref="C6739"/>
    <hyperlink r:id="rId6738" ref="C6740"/>
    <hyperlink r:id="rId6739" ref="C6741"/>
    <hyperlink r:id="rId6740" ref="C6742"/>
    <hyperlink r:id="rId6741" ref="C6743"/>
    <hyperlink r:id="rId6742" ref="C6744"/>
    <hyperlink r:id="rId6743" ref="C6745"/>
    <hyperlink r:id="rId6744" ref="C6746"/>
    <hyperlink r:id="rId6745" ref="C6747"/>
    <hyperlink r:id="rId6746" ref="C6748"/>
    <hyperlink r:id="rId6747" ref="C6749"/>
    <hyperlink r:id="rId6748" ref="C6750"/>
    <hyperlink r:id="rId6749" ref="C6751"/>
    <hyperlink r:id="rId6750" ref="C6752"/>
    <hyperlink r:id="rId6751" ref="C6753"/>
    <hyperlink r:id="rId6752" ref="C6754"/>
    <hyperlink r:id="rId6753" ref="C6755"/>
    <hyperlink r:id="rId6754" ref="C6756"/>
    <hyperlink r:id="rId6755" ref="C6757"/>
    <hyperlink r:id="rId6756" ref="C6758"/>
    <hyperlink r:id="rId6757" ref="C6759"/>
    <hyperlink r:id="rId6758" ref="C6760"/>
    <hyperlink r:id="rId6759" ref="C6761"/>
    <hyperlink r:id="rId6760" ref="C6762"/>
    <hyperlink r:id="rId6761" ref="C6763"/>
    <hyperlink r:id="rId6762" ref="C6764"/>
    <hyperlink r:id="rId6763" ref="C6765"/>
    <hyperlink r:id="rId6764" ref="C6766"/>
    <hyperlink r:id="rId6765" ref="C6767"/>
    <hyperlink r:id="rId6766" ref="C6768"/>
    <hyperlink r:id="rId6767" ref="C6769"/>
    <hyperlink r:id="rId6768" ref="C6770"/>
    <hyperlink r:id="rId6769" ref="C6771"/>
    <hyperlink r:id="rId6770" ref="C6772"/>
    <hyperlink r:id="rId6771" ref="C6773"/>
    <hyperlink r:id="rId6772" ref="C6774"/>
    <hyperlink r:id="rId6773" ref="C6775"/>
    <hyperlink r:id="rId6774" ref="C6776"/>
    <hyperlink r:id="rId6775" ref="C6777"/>
    <hyperlink r:id="rId6776" ref="C6778"/>
    <hyperlink r:id="rId6777" ref="C6779"/>
    <hyperlink r:id="rId6778" ref="C6780"/>
    <hyperlink r:id="rId6779" ref="C6781"/>
    <hyperlink r:id="rId6780" ref="C6782"/>
    <hyperlink r:id="rId6781" ref="C6783"/>
    <hyperlink r:id="rId6782" ref="C6784"/>
    <hyperlink r:id="rId6783" ref="C6785"/>
    <hyperlink r:id="rId6784" ref="C6786"/>
    <hyperlink r:id="rId6785" ref="C6787"/>
    <hyperlink r:id="rId6786" ref="C6788"/>
    <hyperlink r:id="rId6787" ref="C6789"/>
    <hyperlink r:id="rId6788" ref="C6790"/>
    <hyperlink r:id="rId6789" ref="C6791"/>
    <hyperlink r:id="rId6790" ref="C6792"/>
    <hyperlink r:id="rId6791" ref="C6793"/>
    <hyperlink r:id="rId6792" ref="C6794"/>
    <hyperlink r:id="rId6793" ref="C6795"/>
    <hyperlink r:id="rId6794" ref="C6796"/>
    <hyperlink r:id="rId6795" ref="C6797"/>
    <hyperlink r:id="rId6796" ref="C6798"/>
    <hyperlink r:id="rId6797" ref="C6799"/>
    <hyperlink r:id="rId6798" ref="C6800"/>
    <hyperlink r:id="rId6799" ref="C6801"/>
    <hyperlink r:id="rId6800" ref="C6802"/>
    <hyperlink r:id="rId6801" ref="C6803"/>
    <hyperlink r:id="rId6802" ref="C6804"/>
    <hyperlink r:id="rId6803" ref="C6805"/>
    <hyperlink r:id="rId6804" ref="C6806"/>
    <hyperlink r:id="rId6805" ref="C6807"/>
    <hyperlink r:id="rId6806" ref="C6808"/>
    <hyperlink r:id="rId6807" ref="C6809"/>
    <hyperlink r:id="rId6808" ref="C6810"/>
    <hyperlink r:id="rId6809" ref="C6811"/>
    <hyperlink r:id="rId6810" ref="C6812"/>
    <hyperlink r:id="rId6811" ref="C6813"/>
    <hyperlink r:id="rId6812" ref="C6814"/>
    <hyperlink r:id="rId6813" ref="C6815"/>
    <hyperlink r:id="rId6814" ref="C6816"/>
    <hyperlink r:id="rId6815" ref="C6817"/>
    <hyperlink r:id="rId6816" ref="C6818"/>
    <hyperlink r:id="rId6817" ref="C6819"/>
    <hyperlink r:id="rId6818" ref="C6820"/>
    <hyperlink r:id="rId6819" ref="C6821"/>
    <hyperlink r:id="rId6820" ref="C6822"/>
    <hyperlink r:id="rId6821" ref="C6823"/>
    <hyperlink r:id="rId6822" ref="C6824"/>
    <hyperlink r:id="rId6823" ref="C6825"/>
    <hyperlink r:id="rId6824" ref="C6826"/>
    <hyperlink r:id="rId6825" ref="C6827"/>
    <hyperlink r:id="rId6826" ref="C6828"/>
    <hyperlink r:id="rId6827" ref="C6829"/>
    <hyperlink r:id="rId6828" ref="C6830"/>
    <hyperlink r:id="rId6829" ref="C6831"/>
    <hyperlink r:id="rId6830" ref="C6832"/>
    <hyperlink r:id="rId6831" ref="C6833"/>
    <hyperlink r:id="rId6832" ref="C6834"/>
    <hyperlink r:id="rId6833" ref="C6835"/>
    <hyperlink r:id="rId6834" ref="C6836"/>
    <hyperlink r:id="rId6835" ref="C6837"/>
    <hyperlink r:id="rId6836" ref="C6838"/>
    <hyperlink r:id="rId6837" ref="C6839"/>
    <hyperlink r:id="rId6838" ref="C6840"/>
    <hyperlink r:id="rId6839" ref="C6841"/>
    <hyperlink r:id="rId6840" ref="C6842"/>
    <hyperlink r:id="rId6841" ref="C6843"/>
    <hyperlink r:id="rId6842" ref="C6844"/>
    <hyperlink r:id="rId6843" ref="C6845"/>
    <hyperlink r:id="rId6844" ref="C6846"/>
    <hyperlink r:id="rId6845" ref="C6847"/>
    <hyperlink r:id="rId6846" ref="C6848"/>
    <hyperlink r:id="rId6847" ref="C6849"/>
    <hyperlink r:id="rId6848" ref="C6850"/>
    <hyperlink r:id="rId6849" ref="C6851"/>
    <hyperlink r:id="rId6850" ref="C6852"/>
    <hyperlink r:id="rId6851" ref="C6853"/>
    <hyperlink r:id="rId6852" ref="C6854"/>
    <hyperlink r:id="rId6853" ref="C6855"/>
    <hyperlink r:id="rId6854" ref="C6856"/>
    <hyperlink r:id="rId6855" ref="C6857"/>
    <hyperlink r:id="rId6856" ref="C6858"/>
    <hyperlink r:id="rId6857" ref="C6859"/>
    <hyperlink r:id="rId6858" ref="C6860"/>
    <hyperlink r:id="rId6859" ref="C6861"/>
    <hyperlink r:id="rId6860" ref="C6862"/>
    <hyperlink r:id="rId6861" ref="C6863"/>
    <hyperlink r:id="rId6862" ref="C6864"/>
    <hyperlink r:id="rId6863" ref="C6865"/>
    <hyperlink r:id="rId6864" ref="C6866"/>
    <hyperlink r:id="rId6865" ref="C6867"/>
    <hyperlink r:id="rId6866" ref="C6868"/>
    <hyperlink r:id="rId6867" ref="C6869"/>
    <hyperlink r:id="rId6868" ref="C6870"/>
    <hyperlink r:id="rId6869" ref="C6871"/>
    <hyperlink r:id="rId6870" ref="C6872"/>
    <hyperlink r:id="rId6871" ref="C6873"/>
    <hyperlink r:id="rId6872" ref="C6874"/>
    <hyperlink r:id="rId6873" ref="C6875"/>
    <hyperlink r:id="rId6874" ref="C6876"/>
    <hyperlink r:id="rId6875" ref="C6877"/>
    <hyperlink r:id="rId6876" ref="C6878"/>
    <hyperlink r:id="rId6877" ref="C6879"/>
    <hyperlink r:id="rId6878" ref="C6880"/>
    <hyperlink r:id="rId6879" ref="C6881"/>
    <hyperlink r:id="rId6880" ref="C6882"/>
    <hyperlink r:id="rId6881" ref="C6883"/>
    <hyperlink r:id="rId6882" ref="C6884"/>
    <hyperlink r:id="rId6883" ref="C6885"/>
    <hyperlink r:id="rId6884" ref="C6886"/>
    <hyperlink r:id="rId6885" ref="C6887"/>
    <hyperlink r:id="rId6886" ref="C6888"/>
    <hyperlink r:id="rId6887" ref="C6889"/>
    <hyperlink r:id="rId6888" ref="C6890"/>
    <hyperlink r:id="rId6889" ref="C6891"/>
    <hyperlink r:id="rId6890" ref="C6892"/>
    <hyperlink r:id="rId6891" ref="C6893"/>
    <hyperlink r:id="rId6892" ref="C6894"/>
    <hyperlink r:id="rId6893" ref="C6895"/>
    <hyperlink r:id="rId6894" ref="C6896"/>
    <hyperlink r:id="rId6895" ref="C6897"/>
    <hyperlink r:id="rId6896" ref="C6898"/>
    <hyperlink r:id="rId6897" ref="C6899"/>
    <hyperlink r:id="rId6898" ref="C6900"/>
    <hyperlink r:id="rId6899" ref="C6901"/>
    <hyperlink r:id="rId6900" ref="C6902"/>
    <hyperlink r:id="rId6901" ref="C6903"/>
    <hyperlink r:id="rId6902" ref="C6904"/>
    <hyperlink r:id="rId6903" ref="C6905"/>
    <hyperlink r:id="rId6904" ref="C6906"/>
    <hyperlink r:id="rId6905" ref="C6907"/>
    <hyperlink r:id="rId6906" ref="C6908"/>
    <hyperlink r:id="rId6907" ref="C6909"/>
    <hyperlink r:id="rId6908" ref="C6910"/>
    <hyperlink r:id="rId6909" ref="C6911"/>
    <hyperlink r:id="rId6910" ref="C6912"/>
    <hyperlink r:id="rId6911" ref="C6913"/>
    <hyperlink r:id="rId6912" ref="C6914"/>
    <hyperlink r:id="rId6913" ref="C6915"/>
    <hyperlink r:id="rId6914" ref="C6916"/>
    <hyperlink r:id="rId6915" ref="C6917"/>
    <hyperlink r:id="rId6916" ref="C6918"/>
    <hyperlink r:id="rId6917" ref="C6919"/>
    <hyperlink r:id="rId6918" ref="C6920"/>
    <hyperlink r:id="rId6919" ref="C6921"/>
    <hyperlink r:id="rId6920" ref="C6922"/>
    <hyperlink r:id="rId6921" ref="C6923"/>
    <hyperlink r:id="rId6922" ref="C6924"/>
    <hyperlink r:id="rId6923" ref="C6925"/>
    <hyperlink r:id="rId6924" ref="C6926"/>
    <hyperlink r:id="rId6925" ref="C6927"/>
    <hyperlink r:id="rId6926" ref="C6928"/>
    <hyperlink r:id="rId6927" ref="C6929"/>
    <hyperlink r:id="rId6928" ref="C6930"/>
    <hyperlink r:id="rId6929" ref="C6931"/>
    <hyperlink r:id="rId6930" ref="C6932"/>
    <hyperlink r:id="rId6931" ref="C6933"/>
    <hyperlink r:id="rId6932" ref="C6934"/>
    <hyperlink r:id="rId6933" ref="C6935"/>
    <hyperlink r:id="rId6934" ref="C6936"/>
    <hyperlink r:id="rId6935" ref="C6937"/>
    <hyperlink r:id="rId6936" ref="C6938"/>
    <hyperlink r:id="rId6937" ref="C6939"/>
    <hyperlink r:id="rId6938" ref="C6940"/>
    <hyperlink r:id="rId6939" ref="C6941"/>
    <hyperlink r:id="rId6940" ref="C6942"/>
    <hyperlink r:id="rId6941" ref="C6943"/>
    <hyperlink r:id="rId6942" ref="C6944"/>
    <hyperlink r:id="rId6943" ref="C6945"/>
    <hyperlink r:id="rId6944" ref="C6946"/>
    <hyperlink r:id="rId6945" ref="C6947"/>
    <hyperlink r:id="rId6946" ref="C6948"/>
    <hyperlink r:id="rId6947" ref="C6949"/>
    <hyperlink r:id="rId6948" ref="C6950"/>
    <hyperlink r:id="rId6949" ref="C6951"/>
    <hyperlink r:id="rId6950" ref="C6952"/>
    <hyperlink r:id="rId6951" ref="C6953"/>
    <hyperlink r:id="rId6952" ref="C6954"/>
    <hyperlink r:id="rId6953" ref="C6955"/>
    <hyperlink r:id="rId6954" ref="C6956"/>
    <hyperlink r:id="rId6955" ref="C6957"/>
    <hyperlink r:id="rId6956" ref="C6958"/>
    <hyperlink r:id="rId6957" ref="C6959"/>
    <hyperlink r:id="rId6958" ref="C6960"/>
    <hyperlink r:id="rId6959" ref="C6961"/>
    <hyperlink r:id="rId6960" ref="C6962"/>
    <hyperlink r:id="rId6961" ref="C6963"/>
    <hyperlink r:id="rId6962" ref="C6964"/>
    <hyperlink r:id="rId6963" ref="C6965"/>
    <hyperlink r:id="rId6964" ref="C6966"/>
    <hyperlink r:id="rId6965" ref="C6967"/>
    <hyperlink r:id="rId6966" ref="C6968"/>
    <hyperlink r:id="rId6967" ref="C6969"/>
    <hyperlink r:id="rId6968" ref="C6970"/>
    <hyperlink r:id="rId6969" ref="C6971"/>
    <hyperlink r:id="rId6970" ref="C6972"/>
    <hyperlink r:id="rId6971" ref="C6973"/>
    <hyperlink r:id="rId6972" ref="C6974"/>
    <hyperlink r:id="rId6973" ref="C6975"/>
    <hyperlink r:id="rId6974" ref="C6976"/>
    <hyperlink r:id="rId6975" ref="C6977"/>
    <hyperlink r:id="rId6976" ref="C6978"/>
    <hyperlink r:id="rId6977" ref="C6979"/>
    <hyperlink r:id="rId6978" ref="C6980"/>
    <hyperlink r:id="rId6979" ref="C6981"/>
    <hyperlink r:id="rId6980" ref="C6982"/>
    <hyperlink r:id="rId6981" ref="C6983"/>
    <hyperlink r:id="rId6982" ref="C6984"/>
    <hyperlink r:id="rId6983" ref="C6985"/>
    <hyperlink r:id="rId6984" ref="C6986"/>
    <hyperlink r:id="rId6985" ref="C6987"/>
    <hyperlink r:id="rId6986" ref="C6988"/>
    <hyperlink r:id="rId6987" ref="C6989"/>
    <hyperlink r:id="rId6988" ref="C6990"/>
    <hyperlink r:id="rId6989" ref="C6991"/>
    <hyperlink r:id="rId6990" ref="C6992"/>
    <hyperlink r:id="rId6991" ref="C6993"/>
    <hyperlink r:id="rId6992" ref="C6994"/>
    <hyperlink r:id="rId6993" ref="C6995"/>
    <hyperlink r:id="rId6994" ref="C6996"/>
    <hyperlink r:id="rId6995" ref="C6997"/>
    <hyperlink r:id="rId6996" ref="C6998"/>
    <hyperlink r:id="rId6997" ref="C6999"/>
    <hyperlink r:id="rId6998" ref="C7000"/>
    <hyperlink r:id="rId6999" ref="C7001"/>
    <hyperlink r:id="rId7000" ref="C7002"/>
    <hyperlink r:id="rId7001" ref="C7003"/>
    <hyperlink r:id="rId7002" ref="C7004"/>
    <hyperlink r:id="rId7003" ref="C7005"/>
    <hyperlink r:id="rId7004" ref="C7006"/>
    <hyperlink r:id="rId7005" ref="C7007"/>
    <hyperlink r:id="rId7006" ref="C7008"/>
    <hyperlink r:id="rId7007" ref="C7009"/>
    <hyperlink r:id="rId7008" ref="C7010"/>
    <hyperlink r:id="rId7009" ref="C7011"/>
    <hyperlink r:id="rId7010" ref="C7012"/>
    <hyperlink r:id="rId7011" ref="C7013"/>
    <hyperlink r:id="rId7012" ref="C7014"/>
    <hyperlink r:id="rId7013" ref="C7015"/>
    <hyperlink r:id="rId7014" ref="C7016"/>
    <hyperlink r:id="rId7015" ref="C7017"/>
    <hyperlink r:id="rId7016" ref="C7018"/>
    <hyperlink r:id="rId7017" ref="C7019"/>
    <hyperlink r:id="rId7018" ref="C7020"/>
    <hyperlink r:id="rId7019" ref="C7021"/>
    <hyperlink r:id="rId7020" ref="C7022"/>
    <hyperlink r:id="rId7021" ref="C7023"/>
    <hyperlink r:id="rId7022" ref="C7024"/>
    <hyperlink r:id="rId7023" ref="C7025"/>
    <hyperlink r:id="rId7024" ref="C7026"/>
    <hyperlink r:id="rId7025" ref="C7027"/>
    <hyperlink r:id="rId7026" ref="C7028"/>
    <hyperlink r:id="rId7027" ref="C7029"/>
    <hyperlink r:id="rId7028" ref="C7030"/>
    <hyperlink r:id="rId7029" ref="C7031"/>
    <hyperlink r:id="rId7030" ref="C7032"/>
    <hyperlink r:id="rId7031" ref="C7033"/>
    <hyperlink r:id="rId7032" ref="C7034"/>
    <hyperlink r:id="rId7033" ref="C7035"/>
    <hyperlink r:id="rId7034" ref="C7036"/>
    <hyperlink r:id="rId7035" ref="C7037"/>
    <hyperlink r:id="rId7036" ref="C7038"/>
    <hyperlink r:id="rId7037" ref="C7039"/>
    <hyperlink r:id="rId7038" ref="C7040"/>
    <hyperlink r:id="rId7039" ref="C7041"/>
    <hyperlink r:id="rId7040" ref="C7042"/>
    <hyperlink r:id="rId7041" ref="C7043"/>
    <hyperlink r:id="rId7042" ref="C7044"/>
    <hyperlink r:id="rId7043" ref="C7045"/>
    <hyperlink r:id="rId7044" ref="C7046"/>
    <hyperlink r:id="rId7045" ref="C7047"/>
    <hyperlink r:id="rId7046" ref="C7048"/>
    <hyperlink r:id="rId7047" ref="C7049"/>
    <hyperlink r:id="rId7048" ref="C7050"/>
    <hyperlink r:id="rId7049" ref="C7051"/>
    <hyperlink r:id="rId7050" ref="C7052"/>
    <hyperlink r:id="rId7051" ref="C7053"/>
    <hyperlink r:id="rId7052" ref="C7054"/>
    <hyperlink r:id="rId7053" ref="C7055"/>
    <hyperlink r:id="rId7054" ref="C7056"/>
    <hyperlink r:id="rId7055" ref="C7057"/>
    <hyperlink r:id="rId7056" ref="C7058"/>
    <hyperlink r:id="rId7057" ref="C7059"/>
    <hyperlink r:id="rId7058" ref="C7060"/>
    <hyperlink r:id="rId7059" ref="C7061"/>
    <hyperlink r:id="rId7060" ref="C7062"/>
    <hyperlink r:id="rId7061" ref="C7063"/>
    <hyperlink r:id="rId7062" ref="C7064"/>
    <hyperlink r:id="rId7063" ref="C7065"/>
    <hyperlink r:id="rId7064" ref="C7066"/>
    <hyperlink r:id="rId7065" ref="C7067"/>
    <hyperlink r:id="rId7066" ref="C7068"/>
    <hyperlink r:id="rId7067" ref="C7069"/>
    <hyperlink r:id="rId7068" ref="C7070"/>
    <hyperlink r:id="rId7069" ref="C7071"/>
    <hyperlink r:id="rId7070" ref="C7072"/>
    <hyperlink r:id="rId7071" ref="C7073"/>
    <hyperlink r:id="rId7072" ref="C7074"/>
    <hyperlink r:id="rId7073" ref="C7075"/>
    <hyperlink r:id="rId7074" ref="C7076"/>
    <hyperlink r:id="rId7075" ref="C7077"/>
    <hyperlink r:id="rId7076" ref="C7078"/>
    <hyperlink r:id="rId7077" ref="C7079"/>
    <hyperlink r:id="rId7078" ref="C7080"/>
    <hyperlink r:id="rId7079" ref="C7081"/>
    <hyperlink r:id="rId7080" ref="C7082"/>
    <hyperlink r:id="rId7081" ref="C7083"/>
    <hyperlink r:id="rId7082" ref="C7084"/>
    <hyperlink r:id="rId7083" ref="C7085"/>
    <hyperlink r:id="rId7084" ref="C7086"/>
    <hyperlink r:id="rId7085" ref="C7087"/>
    <hyperlink r:id="rId7086" ref="C7088"/>
    <hyperlink r:id="rId7087" ref="C7089"/>
    <hyperlink r:id="rId7088" ref="C7090"/>
    <hyperlink r:id="rId7089" ref="C7091"/>
    <hyperlink r:id="rId7090" ref="C7092"/>
    <hyperlink r:id="rId7091" ref="C7093"/>
    <hyperlink r:id="rId7092" ref="C7094"/>
    <hyperlink r:id="rId7093" ref="C7095"/>
    <hyperlink r:id="rId7094" ref="C7096"/>
    <hyperlink r:id="rId7095" ref="C7097"/>
    <hyperlink r:id="rId7096" ref="C7098"/>
    <hyperlink r:id="rId7097" ref="C7099"/>
    <hyperlink r:id="rId7098" ref="C7100"/>
    <hyperlink r:id="rId7099" ref="C7101"/>
    <hyperlink r:id="rId7100" ref="C7102"/>
    <hyperlink r:id="rId7101" ref="C7103"/>
    <hyperlink r:id="rId7102" ref="C7104"/>
    <hyperlink r:id="rId7103" ref="C7105"/>
    <hyperlink r:id="rId7104" ref="C7106"/>
    <hyperlink r:id="rId7105" ref="C7107"/>
    <hyperlink r:id="rId7106" ref="C7108"/>
    <hyperlink r:id="rId7107" ref="C7109"/>
    <hyperlink r:id="rId7108" ref="C7110"/>
    <hyperlink r:id="rId7109" ref="C7111"/>
    <hyperlink r:id="rId7110" ref="C7112"/>
    <hyperlink r:id="rId7111" ref="C7113"/>
    <hyperlink r:id="rId7112" ref="C7114"/>
    <hyperlink r:id="rId7113" ref="C7115"/>
    <hyperlink r:id="rId7114" ref="C7116"/>
    <hyperlink r:id="rId7115" ref="C7117"/>
    <hyperlink r:id="rId7116" ref="C7118"/>
    <hyperlink r:id="rId7117" ref="C7119"/>
    <hyperlink r:id="rId7118" ref="C7120"/>
    <hyperlink r:id="rId7119" ref="C7121"/>
    <hyperlink r:id="rId7120" ref="C7122"/>
    <hyperlink r:id="rId7121" ref="C7123"/>
    <hyperlink r:id="rId7122" ref="C7124"/>
    <hyperlink r:id="rId7123" ref="C7125"/>
    <hyperlink r:id="rId7124" ref="C7126"/>
    <hyperlink r:id="rId7125" ref="C7127"/>
    <hyperlink r:id="rId7126" ref="C7128"/>
    <hyperlink r:id="rId7127" ref="C7129"/>
    <hyperlink r:id="rId7128" ref="C7130"/>
    <hyperlink r:id="rId7129" ref="C7131"/>
    <hyperlink r:id="rId7130" ref="C7132"/>
    <hyperlink r:id="rId7131" ref="C7133"/>
    <hyperlink r:id="rId7132" ref="C7134"/>
    <hyperlink r:id="rId7133" ref="C7135"/>
    <hyperlink r:id="rId7134" ref="C7136"/>
    <hyperlink r:id="rId7135" ref="C7137"/>
    <hyperlink r:id="rId7136" ref="C7138"/>
    <hyperlink r:id="rId7137" ref="C7139"/>
    <hyperlink r:id="rId7138" ref="C7140"/>
    <hyperlink r:id="rId7139" ref="C7141"/>
    <hyperlink r:id="rId7140" ref="C7142"/>
    <hyperlink r:id="rId7141" ref="C7143"/>
    <hyperlink r:id="rId7142" ref="C7144"/>
    <hyperlink r:id="rId7143" ref="C7145"/>
    <hyperlink r:id="rId7144" ref="C7146"/>
    <hyperlink r:id="rId7145" ref="C7147"/>
    <hyperlink r:id="rId7146" ref="C7148"/>
    <hyperlink r:id="rId7147" ref="C7149"/>
    <hyperlink r:id="rId7148" ref="C7150"/>
    <hyperlink r:id="rId7149" ref="C7151"/>
    <hyperlink r:id="rId7150" ref="C7152"/>
    <hyperlink r:id="rId7151" ref="C7153"/>
    <hyperlink r:id="rId7152" ref="C7154"/>
    <hyperlink r:id="rId7153" ref="C7155"/>
    <hyperlink r:id="rId7154" ref="C7156"/>
    <hyperlink r:id="rId7155" ref="C7157"/>
    <hyperlink r:id="rId7156" ref="C7158"/>
    <hyperlink r:id="rId7157" ref="C7159"/>
    <hyperlink r:id="rId7158" ref="C7160"/>
    <hyperlink r:id="rId7159" ref="C7161"/>
    <hyperlink r:id="rId7160" ref="C7162"/>
    <hyperlink r:id="rId7161" ref="C7163"/>
    <hyperlink r:id="rId7162" ref="C7164"/>
    <hyperlink r:id="rId7163" ref="C7165"/>
    <hyperlink r:id="rId7164" ref="C7166"/>
    <hyperlink r:id="rId7165" ref="C7167"/>
    <hyperlink r:id="rId7166" ref="C7168"/>
    <hyperlink r:id="rId7167" ref="C7169"/>
    <hyperlink r:id="rId7168" ref="C7170"/>
    <hyperlink r:id="rId7169" ref="C7171"/>
    <hyperlink r:id="rId7170" ref="C7172"/>
    <hyperlink r:id="rId7171" ref="C7173"/>
    <hyperlink r:id="rId7172" ref="C7174"/>
    <hyperlink r:id="rId7173" ref="C7175"/>
    <hyperlink r:id="rId7174" ref="C7176"/>
    <hyperlink r:id="rId7175" ref="C7177"/>
    <hyperlink r:id="rId7176" ref="C7178"/>
    <hyperlink r:id="rId7177" ref="C7179"/>
    <hyperlink r:id="rId7178" ref="C7180"/>
    <hyperlink r:id="rId7179" ref="C7181"/>
    <hyperlink r:id="rId7180" ref="C7182"/>
    <hyperlink r:id="rId7181" ref="C7183"/>
    <hyperlink r:id="rId7182" ref="C7184"/>
    <hyperlink r:id="rId7183" ref="C7185"/>
    <hyperlink r:id="rId7184" ref="C7186"/>
    <hyperlink r:id="rId7185" ref="C7187"/>
    <hyperlink r:id="rId7186" ref="C7188"/>
    <hyperlink r:id="rId7187" ref="C7189"/>
    <hyperlink r:id="rId7188" ref="C7190"/>
    <hyperlink r:id="rId7189" ref="C7191"/>
    <hyperlink r:id="rId7190" ref="C7192"/>
    <hyperlink r:id="rId7191" ref="C7193"/>
    <hyperlink r:id="rId7192" ref="C7194"/>
    <hyperlink r:id="rId7193" ref="C7195"/>
    <hyperlink r:id="rId7194" ref="C7196"/>
    <hyperlink r:id="rId7195" ref="C7197"/>
    <hyperlink r:id="rId7196" ref="C7198"/>
    <hyperlink r:id="rId7197" ref="C7199"/>
    <hyperlink r:id="rId7198" ref="C7200"/>
    <hyperlink r:id="rId7199" ref="C7201"/>
    <hyperlink r:id="rId7200" ref="C7202"/>
    <hyperlink r:id="rId7201" ref="C7203"/>
    <hyperlink r:id="rId7202" ref="C7204"/>
    <hyperlink r:id="rId7203" ref="C7205"/>
    <hyperlink r:id="rId7204" ref="C7206"/>
    <hyperlink r:id="rId7205" ref="C7207"/>
    <hyperlink r:id="rId7206" ref="C7208"/>
    <hyperlink r:id="rId7207" ref="C7209"/>
    <hyperlink r:id="rId7208" ref="C7210"/>
    <hyperlink r:id="rId7209" ref="C7211"/>
    <hyperlink r:id="rId7210" ref="C7212"/>
    <hyperlink r:id="rId7211" ref="C7213"/>
    <hyperlink r:id="rId7212" ref="C7214"/>
    <hyperlink r:id="rId7213" ref="C7215"/>
    <hyperlink r:id="rId7214" ref="C7216"/>
    <hyperlink r:id="rId7215" ref="C7217"/>
    <hyperlink r:id="rId7216" ref="C7218"/>
    <hyperlink r:id="rId7217" ref="C7219"/>
    <hyperlink r:id="rId7218" ref="C7220"/>
    <hyperlink r:id="rId7219" ref="C7221"/>
    <hyperlink r:id="rId7220" ref="C7222"/>
    <hyperlink r:id="rId7221" ref="C7223"/>
    <hyperlink r:id="rId7222" ref="C7224"/>
    <hyperlink r:id="rId7223" ref="C7225"/>
    <hyperlink r:id="rId7224" ref="C7226"/>
    <hyperlink r:id="rId7225" ref="C7227"/>
    <hyperlink r:id="rId7226" ref="C7228"/>
    <hyperlink r:id="rId7227" ref="C7229"/>
    <hyperlink r:id="rId7228" ref="C7230"/>
    <hyperlink r:id="rId7229" ref="C7231"/>
    <hyperlink r:id="rId7230" ref="C7232"/>
    <hyperlink r:id="rId7231" ref="C7233"/>
    <hyperlink r:id="rId7232" ref="C7234"/>
    <hyperlink r:id="rId7233" ref="C7235"/>
    <hyperlink r:id="rId7234" ref="C7236"/>
    <hyperlink r:id="rId7235" ref="C7237"/>
    <hyperlink r:id="rId7236" ref="C7238"/>
    <hyperlink r:id="rId7237" ref="C7239"/>
    <hyperlink r:id="rId7238" ref="C7240"/>
    <hyperlink r:id="rId7239" ref="C7241"/>
    <hyperlink r:id="rId7240" ref="C7242"/>
    <hyperlink r:id="rId7241" ref="C7243"/>
    <hyperlink r:id="rId7242" ref="C7244"/>
    <hyperlink r:id="rId7243" ref="C7245"/>
    <hyperlink r:id="rId7244" ref="C7246"/>
    <hyperlink r:id="rId7245" ref="C7247"/>
    <hyperlink r:id="rId7246" ref="C7248"/>
    <hyperlink r:id="rId7247" ref="C7249"/>
    <hyperlink r:id="rId7248" ref="C7250"/>
    <hyperlink r:id="rId7249" ref="C7251"/>
    <hyperlink r:id="rId7250" ref="C7252"/>
    <hyperlink r:id="rId7251" ref="C7253"/>
    <hyperlink r:id="rId7252" ref="C7254"/>
    <hyperlink r:id="rId7253" ref="C7255"/>
    <hyperlink r:id="rId7254" ref="C7256"/>
    <hyperlink r:id="rId7255" ref="C7257"/>
    <hyperlink r:id="rId7256" ref="C7258"/>
    <hyperlink r:id="rId7257" ref="C7259"/>
    <hyperlink r:id="rId7258" ref="C7260"/>
    <hyperlink r:id="rId7259" ref="C7261"/>
    <hyperlink r:id="rId7260" ref="C7262"/>
    <hyperlink r:id="rId7261" ref="C7263"/>
    <hyperlink r:id="rId7262" ref="C7264"/>
    <hyperlink r:id="rId7263" ref="C7265"/>
    <hyperlink r:id="rId7264" ref="C7266"/>
    <hyperlink r:id="rId7265" ref="C7267"/>
    <hyperlink r:id="rId7266" ref="C7268"/>
    <hyperlink r:id="rId7267" ref="C7269"/>
    <hyperlink r:id="rId7268" ref="C7270"/>
    <hyperlink r:id="rId7269" ref="C7271"/>
    <hyperlink r:id="rId7270" ref="C7272"/>
    <hyperlink r:id="rId7271" ref="C7273"/>
    <hyperlink r:id="rId7272" ref="C7274"/>
    <hyperlink r:id="rId7273" ref="C7275"/>
    <hyperlink r:id="rId7274" ref="C7276"/>
    <hyperlink r:id="rId7275" ref="C7277"/>
    <hyperlink r:id="rId7276" ref="C7278"/>
    <hyperlink r:id="rId7277" ref="C7279"/>
    <hyperlink r:id="rId7278" ref="C7280"/>
    <hyperlink r:id="rId7279" ref="C7281"/>
    <hyperlink r:id="rId7280" ref="C7282"/>
    <hyperlink r:id="rId7281" ref="C7283"/>
    <hyperlink r:id="rId7282" ref="C7284"/>
    <hyperlink r:id="rId7283" ref="C7285"/>
    <hyperlink r:id="rId7284" ref="C7286"/>
    <hyperlink r:id="rId7285" ref="C7287"/>
    <hyperlink r:id="rId7286" ref="C7288"/>
    <hyperlink r:id="rId7287" ref="C7289"/>
    <hyperlink r:id="rId7288" ref="C7290"/>
    <hyperlink r:id="rId7289" ref="C7291"/>
    <hyperlink r:id="rId7290" ref="C7292"/>
    <hyperlink r:id="rId7291" ref="C7293"/>
    <hyperlink r:id="rId7292" ref="C7294"/>
    <hyperlink r:id="rId7293" ref="C7295"/>
    <hyperlink r:id="rId7294" ref="C7296"/>
    <hyperlink r:id="rId7295" ref="C7297"/>
    <hyperlink r:id="rId7296" ref="C7298"/>
    <hyperlink r:id="rId7297" ref="C7299"/>
    <hyperlink r:id="rId7298" ref="C7300"/>
    <hyperlink r:id="rId7299" ref="C7301"/>
    <hyperlink r:id="rId7300" ref="C7302"/>
    <hyperlink r:id="rId7301" ref="C7303"/>
    <hyperlink r:id="rId7302" ref="C7304"/>
    <hyperlink r:id="rId7303" ref="C7305"/>
    <hyperlink r:id="rId7304" ref="C7306"/>
    <hyperlink r:id="rId7305" ref="C7307"/>
    <hyperlink r:id="rId7306" ref="C7308"/>
    <hyperlink r:id="rId7307" ref="C7309"/>
    <hyperlink r:id="rId7308" ref="C7310"/>
    <hyperlink r:id="rId7309" ref="C7311"/>
    <hyperlink r:id="rId7310" ref="C7312"/>
    <hyperlink r:id="rId7311" ref="C7313"/>
    <hyperlink r:id="rId7312" ref="C7314"/>
    <hyperlink r:id="rId7313" ref="C7315"/>
    <hyperlink r:id="rId7314" ref="C7316"/>
    <hyperlink r:id="rId7315" ref="C7317"/>
    <hyperlink r:id="rId7316" ref="C7318"/>
    <hyperlink r:id="rId7317" ref="C7319"/>
    <hyperlink r:id="rId7318" ref="C7320"/>
    <hyperlink r:id="rId7319" ref="C7321"/>
    <hyperlink r:id="rId7320" ref="C7322"/>
    <hyperlink r:id="rId7321" ref="C7323"/>
    <hyperlink r:id="rId7322" ref="C7324"/>
    <hyperlink r:id="rId7323" ref="C7325"/>
    <hyperlink r:id="rId7324" ref="C7326"/>
    <hyperlink r:id="rId7325" ref="C7327"/>
    <hyperlink r:id="rId7326" ref="C7328"/>
    <hyperlink r:id="rId7327" ref="C7329"/>
    <hyperlink r:id="rId7328" ref="C7330"/>
    <hyperlink r:id="rId7329" ref="C7331"/>
    <hyperlink r:id="rId7330" ref="C7332"/>
    <hyperlink r:id="rId7331" ref="C7333"/>
    <hyperlink r:id="rId7332" ref="C7334"/>
    <hyperlink r:id="rId7333" ref="C7335"/>
    <hyperlink r:id="rId7334" ref="C7336"/>
    <hyperlink r:id="rId7335" ref="C7337"/>
    <hyperlink r:id="rId7336" ref="C7338"/>
    <hyperlink r:id="rId7337" ref="C7339"/>
    <hyperlink r:id="rId7338" ref="C7340"/>
    <hyperlink r:id="rId7339" ref="C7341"/>
    <hyperlink r:id="rId7340" ref="C7342"/>
    <hyperlink r:id="rId7341" ref="C7343"/>
    <hyperlink r:id="rId7342" ref="C7344"/>
    <hyperlink r:id="rId7343" ref="C7345"/>
    <hyperlink r:id="rId7344" ref="C7346"/>
    <hyperlink r:id="rId7345" ref="C7347"/>
    <hyperlink r:id="rId7346" ref="C7348"/>
    <hyperlink r:id="rId7347" ref="C7349"/>
    <hyperlink r:id="rId7348" ref="C7350"/>
    <hyperlink r:id="rId7349" ref="C7351"/>
    <hyperlink r:id="rId7350" ref="C7352"/>
    <hyperlink r:id="rId7351" ref="C7353"/>
    <hyperlink r:id="rId7352" ref="C7354"/>
    <hyperlink r:id="rId7353" ref="C7355"/>
    <hyperlink r:id="rId7354" ref="C7356"/>
    <hyperlink r:id="rId7355" ref="C7357"/>
    <hyperlink r:id="rId7356" ref="C7358"/>
    <hyperlink r:id="rId7357" ref="C7359"/>
    <hyperlink r:id="rId7358" ref="C7360"/>
    <hyperlink r:id="rId7359" ref="C7361"/>
    <hyperlink r:id="rId7360" ref="C7362"/>
    <hyperlink r:id="rId7361" ref="C7363"/>
    <hyperlink r:id="rId7362" ref="C7364"/>
    <hyperlink r:id="rId7363" ref="C7365"/>
    <hyperlink r:id="rId7364" ref="C7366"/>
    <hyperlink r:id="rId7365" ref="C7367"/>
    <hyperlink r:id="rId7366" ref="C7368"/>
    <hyperlink r:id="rId7367" ref="C7369"/>
    <hyperlink r:id="rId7368" ref="C7370"/>
    <hyperlink r:id="rId7369" ref="C7371"/>
    <hyperlink r:id="rId7370" ref="C7372"/>
    <hyperlink r:id="rId7371" ref="C7373"/>
    <hyperlink r:id="rId7372" ref="C7374"/>
    <hyperlink r:id="rId7373" ref="C7375"/>
    <hyperlink r:id="rId7374" ref="C7376"/>
    <hyperlink r:id="rId7375" ref="C7377"/>
    <hyperlink r:id="rId7376" ref="C7378"/>
    <hyperlink r:id="rId7377" ref="C7379"/>
    <hyperlink r:id="rId7378" ref="C7380"/>
    <hyperlink r:id="rId7379" ref="C7381"/>
    <hyperlink r:id="rId7380" ref="C7382"/>
    <hyperlink r:id="rId7381" ref="C7383"/>
    <hyperlink r:id="rId7382" ref="C7384"/>
    <hyperlink r:id="rId7383" ref="C7385"/>
    <hyperlink r:id="rId7384" ref="C7386"/>
    <hyperlink r:id="rId7385" ref="C7387"/>
    <hyperlink r:id="rId7386" ref="C7388"/>
    <hyperlink r:id="rId7387" ref="C7389"/>
    <hyperlink r:id="rId7388" ref="C7390"/>
    <hyperlink r:id="rId7389" ref="C7391"/>
    <hyperlink r:id="rId7390" ref="C7392"/>
    <hyperlink r:id="rId7391" ref="C7393"/>
    <hyperlink r:id="rId7392" ref="C7394"/>
    <hyperlink r:id="rId7393" ref="C7395"/>
    <hyperlink r:id="rId7394" ref="C7396"/>
    <hyperlink r:id="rId7395" ref="C7397"/>
    <hyperlink r:id="rId7396" ref="C7398"/>
    <hyperlink r:id="rId7397" ref="C7399"/>
    <hyperlink r:id="rId7398" ref="C7400"/>
    <hyperlink r:id="rId7399" ref="C7401"/>
    <hyperlink r:id="rId7400" ref="C7402"/>
    <hyperlink r:id="rId7401" ref="C7403"/>
    <hyperlink r:id="rId7402" ref="C7404"/>
    <hyperlink r:id="rId7403" ref="C7405"/>
    <hyperlink r:id="rId7404" ref="C7406"/>
    <hyperlink r:id="rId7405" ref="C7407"/>
    <hyperlink r:id="rId7406" ref="C7408"/>
    <hyperlink r:id="rId7407" ref="C7409"/>
    <hyperlink r:id="rId7408" ref="C7410"/>
    <hyperlink r:id="rId7409" ref="C7411"/>
    <hyperlink r:id="rId7410" ref="C7412"/>
    <hyperlink r:id="rId7411" ref="C7413"/>
    <hyperlink r:id="rId7412" ref="C7414"/>
    <hyperlink r:id="rId7413" ref="C7415"/>
    <hyperlink r:id="rId7414" ref="C7416"/>
    <hyperlink r:id="rId7415" ref="C7417"/>
    <hyperlink r:id="rId7416" ref="C7418"/>
    <hyperlink r:id="rId7417" ref="C7419"/>
    <hyperlink r:id="rId7418" ref="C7420"/>
    <hyperlink r:id="rId7419" ref="C7421"/>
    <hyperlink r:id="rId7420" ref="C7422"/>
    <hyperlink r:id="rId7421" ref="C7423"/>
    <hyperlink r:id="rId7422" ref="C7424"/>
    <hyperlink r:id="rId7423" ref="C7425"/>
    <hyperlink r:id="rId7424" ref="C7426"/>
    <hyperlink r:id="rId7425" ref="C7427"/>
    <hyperlink r:id="rId7426" ref="C7428"/>
    <hyperlink r:id="rId7427" ref="C7429"/>
    <hyperlink r:id="rId7428" ref="C7430"/>
    <hyperlink r:id="rId7429" ref="C7431"/>
    <hyperlink r:id="rId7430" ref="C7432"/>
    <hyperlink r:id="rId7431" ref="C7433"/>
    <hyperlink r:id="rId7432" ref="C7434"/>
    <hyperlink r:id="rId7433" ref="C7435"/>
    <hyperlink r:id="rId7434" ref="C7436"/>
    <hyperlink r:id="rId7435" ref="C7437"/>
    <hyperlink r:id="rId7436" ref="C7438"/>
    <hyperlink r:id="rId7437" ref="C7439"/>
    <hyperlink r:id="rId7438" ref="C7440"/>
    <hyperlink r:id="rId7439" ref="C7441"/>
    <hyperlink r:id="rId7440" ref="C7442"/>
    <hyperlink r:id="rId7441" ref="C7443"/>
    <hyperlink r:id="rId7442" ref="C7444"/>
    <hyperlink r:id="rId7443" ref="C7445"/>
    <hyperlink r:id="rId7444" ref="C7446"/>
    <hyperlink r:id="rId7445" ref="C7447"/>
    <hyperlink r:id="rId7446" ref="C7448"/>
    <hyperlink r:id="rId7447" ref="C7449"/>
    <hyperlink r:id="rId7448" ref="C7450"/>
    <hyperlink r:id="rId7449" ref="C7451"/>
    <hyperlink r:id="rId7450" ref="C7452"/>
    <hyperlink r:id="rId7451" ref="C7453"/>
    <hyperlink r:id="rId7452" ref="C7454"/>
    <hyperlink r:id="rId7453" ref="C7455"/>
    <hyperlink r:id="rId7454" ref="C7456"/>
    <hyperlink r:id="rId7455" ref="C7457"/>
    <hyperlink r:id="rId7456" ref="C7458"/>
    <hyperlink r:id="rId7457" ref="C7459"/>
    <hyperlink r:id="rId7458" ref="C7460"/>
    <hyperlink r:id="rId7459" ref="C7461"/>
    <hyperlink r:id="rId7460" ref="C7462"/>
    <hyperlink r:id="rId7461" ref="C7463"/>
    <hyperlink r:id="rId7462" ref="C7464"/>
    <hyperlink r:id="rId7463" ref="C7465"/>
    <hyperlink r:id="rId7464" ref="C7466"/>
    <hyperlink r:id="rId7465" ref="C7467"/>
    <hyperlink r:id="rId7466" ref="C7468"/>
    <hyperlink r:id="rId7467" ref="C7469"/>
    <hyperlink r:id="rId7468" ref="C7470"/>
    <hyperlink r:id="rId7469" ref="C7471"/>
    <hyperlink r:id="rId7470" ref="C7472"/>
    <hyperlink r:id="rId7471" ref="C7473"/>
    <hyperlink r:id="rId7472" ref="C7474"/>
    <hyperlink r:id="rId7473" ref="C7475"/>
    <hyperlink r:id="rId7474" ref="C7476"/>
    <hyperlink r:id="rId7475" ref="C7477"/>
    <hyperlink r:id="rId7476" ref="C7478"/>
    <hyperlink r:id="rId7477" ref="C7479"/>
    <hyperlink r:id="rId7478" ref="C7480"/>
    <hyperlink r:id="rId7479" ref="C7481"/>
    <hyperlink r:id="rId7480" ref="C7482"/>
    <hyperlink r:id="rId7481" ref="C7483"/>
    <hyperlink r:id="rId7482" ref="C7484"/>
    <hyperlink r:id="rId7483" ref="C7485"/>
    <hyperlink r:id="rId7484" ref="C7486"/>
    <hyperlink r:id="rId7485" ref="C7487"/>
    <hyperlink r:id="rId7486" ref="C7488"/>
    <hyperlink r:id="rId7487" ref="C7489"/>
    <hyperlink r:id="rId7488" ref="C7490"/>
    <hyperlink r:id="rId7489" ref="C7491"/>
    <hyperlink r:id="rId7490" ref="C7492"/>
    <hyperlink r:id="rId7491" ref="C7493"/>
    <hyperlink r:id="rId7492" ref="C7494"/>
    <hyperlink r:id="rId7493" ref="C7495"/>
    <hyperlink r:id="rId7494" ref="C7496"/>
    <hyperlink r:id="rId7495" ref="C7497"/>
    <hyperlink r:id="rId7496" ref="C7498"/>
    <hyperlink r:id="rId7497" ref="C7499"/>
    <hyperlink r:id="rId7498" ref="C7500"/>
    <hyperlink r:id="rId7499" ref="C7501"/>
    <hyperlink r:id="rId7500" ref="C7502"/>
    <hyperlink r:id="rId7501" ref="C7503"/>
    <hyperlink r:id="rId7502" ref="C7504"/>
    <hyperlink r:id="rId7503" ref="C7505"/>
    <hyperlink r:id="rId7504" ref="C7506"/>
    <hyperlink r:id="rId7505" ref="C7507"/>
    <hyperlink r:id="rId7506" ref="C7508"/>
    <hyperlink r:id="rId7507" ref="C7509"/>
    <hyperlink r:id="rId7508" ref="C7510"/>
    <hyperlink r:id="rId7509" ref="C7511"/>
    <hyperlink r:id="rId7510" ref="C7512"/>
    <hyperlink r:id="rId7511" ref="C7513"/>
    <hyperlink r:id="rId7512" ref="C7514"/>
    <hyperlink r:id="rId7513" ref="C7515"/>
    <hyperlink r:id="rId7514" ref="C7516"/>
    <hyperlink r:id="rId7515" ref="C7517"/>
    <hyperlink r:id="rId7516" ref="C7518"/>
    <hyperlink r:id="rId7517" ref="C7519"/>
    <hyperlink r:id="rId7518" ref="C7520"/>
    <hyperlink r:id="rId7519" ref="C7521"/>
    <hyperlink r:id="rId7520" ref="C7522"/>
    <hyperlink r:id="rId7521" ref="C7523"/>
    <hyperlink r:id="rId7522" ref="C7524"/>
    <hyperlink r:id="rId7523" ref="C7525"/>
    <hyperlink r:id="rId7524" ref="C7526"/>
    <hyperlink r:id="rId7525" ref="C7527"/>
    <hyperlink r:id="rId7526" ref="C7528"/>
    <hyperlink r:id="rId7527" ref="C7529"/>
    <hyperlink r:id="rId7528" ref="C7530"/>
    <hyperlink r:id="rId7529" ref="C7531"/>
    <hyperlink r:id="rId7530" ref="C7532"/>
    <hyperlink r:id="rId7531" ref="C7533"/>
    <hyperlink r:id="rId7532" ref="C7534"/>
    <hyperlink r:id="rId7533" ref="C7535"/>
    <hyperlink r:id="rId7534" ref="C7536"/>
    <hyperlink r:id="rId7535" ref="C7537"/>
    <hyperlink r:id="rId7536" ref="C7538"/>
    <hyperlink r:id="rId7537" ref="C7539"/>
    <hyperlink r:id="rId7538" ref="C7540"/>
    <hyperlink r:id="rId7539" ref="C7541"/>
    <hyperlink r:id="rId7540" ref="C7542"/>
    <hyperlink r:id="rId7541" ref="C7543"/>
    <hyperlink r:id="rId7542" ref="C7544"/>
    <hyperlink r:id="rId7543" ref="C7545"/>
    <hyperlink r:id="rId7544" ref="C7546"/>
    <hyperlink r:id="rId7545" ref="C7547"/>
    <hyperlink r:id="rId7546" ref="C7548"/>
    <hyperlink r:id="rId7547" ref="C7549"/>
    <hyperlink r:id="rId7548" ref="C7550"/>
    <hyperlink r:id="rId7549" ref="C7551"/>
    <hyperlink r:id="rId7550" ref="C7552"/>
    <hyperlink r:id="rId7551" ref="C7553"/>
    <hyperlink r:id="rId7552" ref="C7554"/>
    <hyperlink r:id="rId7553" ref="C7555"/>
    <hyperlink r:id="rId7554" ref="C7556"/>
    <hyperlink r:id="rId7555" ref="C7557"/>
    <hyperlink r:id="rId7556" ref="C7558"/>
    <hyperlink r:id="rId7557" ref="C7559"/>
    <hyperlink r:id="rId7558" ref="C7560"/>
    <hyperlink r:id="rId7559" ref="C7561"/>
    <hyperlink r:id="rId7560" ref="C7562"/>
    <hyperlink r:id="rId7561" ref="C7563"/>
    <hyperlink r:id="rId7562" ref="C7564"/>
    <hyperlink r:id="rId7563" ref="C7565"/>
    <hyperlink r:id="rId7564" ref="C7566"/>
    <hyperlink r:id="rId7565" ref="C7567"/>
    <hyperlink r:id="rId7566" ref="C7568"/>
    <hyperlink r:id="rId7567" ref="C7569"/>
    <hyperlink r:id="rId7568" ref="C7570"/>
    <hyperlink r:id="rId7569" ref="C7571"/>
    <hyperlink r:id="rId7570" ref="C7572"/>
    <hyperlink r:id="rId7571" ref="C7573"/>
    <hyperlink r:id="rId7572" ref="C7574"/>
    <hyperlink r:id="rId7573" ref="C7575"/>
    <hyperlink r:id="rId7574" ref="C7576"/>
    <hyperlink r:id="rId7575" ref="C7577"/>
    <hyperlink r:id="rId7576" ref="C7578"/>
    <hyperlink r:id="rId7577" ref="C7579"/>
    <hyperlink r:id="rId7578" ref="C7580"/>
    <hyperlink r:id="rId7579" ref="C7581"/>
    <hyperlink r:id="rId7580" ref="C7582"/>
    <hyperlink r:id="rId7581" ref="C7583"/>
    <hyperlink r:id="rId7582" ref="C7584"/>
    <hyperlink r:id="rId7583" ref="C7585"/>
    <hyperlink r:id="rId7584" ref="C7586"/>
    <hyperlink r:id="rId7585" ref="C7587"/>
    <hyperlink r:id="rId7586" ref="C7588"/>
    <hyperlink r:id="rId7587" ref="C7589"/>
    <hyperlink r:id="rId7588" ref="C7590"/>
    <hyperlink r:id="rId7589" ref="C7591"/>
    <hyperlink r:id="rId7590" ref="C7592"/>
    <hyperlink r:id="rId7591" ref="C7593"/>
    <hyperlink r:id="rId7592" ref="C7594"/>
    <hyperlink r:id="rId7593" ref="C7595"/>
    <hyperlink r:id="rId7594" ref="C7596"/>
    <hyperlink r:id="rId7595" ref="C7597"/>
    <hyperlink r:id="rId7596" ref="C7598"/>
    <hyperlink r:id="rId7597" ref="C7599"/>
    <hyperlink r:id="rId7598" ref="C7600"/>
    <hyperlink r:id="rId7599" ref="C7601"/>
    <hyperlink r:id="rId7600" ref="C7602"/>
    <hyperlink r:id="rId7601" ref="C7603"/>
    <hyperlink r:id="rId7602" ref="C7604"/>
    <hyperlink r:id="rId7603" ref="C7605"/>
    <hyperlink r:id="rId7604" ref="C7606"/>
    <hyperlink r:id="rId7605" ref="C7607"/>
    <hyperlink r:id="rId7606" ref="C7608"/>
    <hyperlink r:id="rId7607" ref="C7609"/>
    <hyperlink r:id="rId7608" ref="C7610"/>
    <hyperlink r:id="rId7609" ref="C7611"/>
    <hyperlink r:id="rId7610" ref="C7612"/>
    <hyperlink r:id="rId7611" ref="C7613"/>
    <hyperlink r:id="rId7612" ref="C7614"/>
    <hyperlink r:id="rId7613" ref="C7615"/>
    <hyperlink r:id="rId7614" ref="C7616"/>
    <hyperlink r:id="rId7615" ref="C7617"/>
    <hyperlink r:id="rId7616" ref="C7618"/>
    <hyperlink r:id="rId7617" ref="C7619"/>
    <hyperlink r:id="rId7618" ref="C7620"/>
    <hyperlink r:id="rId7619" ref="C7621"/>
    <hyperlink r:id="rId7620" ref="C7622"/>
    <hyperlink r:id="rId7621" ref="C7623"/>
    <hyperlink r:id="rId7622" ref="C7624"/>
    <hyperlink r:id="rId7623" ref="C7625"/>
    <hyperlink r:id="rId7624" ref="C7626"/>
    <hyperlink r:id="rId7625" ref="C7627"/>
    <hyperlink r:id="rId7626" ref="C7628"/>
    <hyperlink r:id="rId7627" ref="C7629"/>
    <hyperlink r:id="rId7628" ref="C7630"/>
    <hyperlink r:id="rId7629" ref="C7631"/>
    <hyperlink r:id="rId7630" ref="C7632"/>
    <hyperlink r:id="rId7631" ref="C7633"/>
    <hyperlink r:id="rId7632" ref="C7634"/>
    <hyperlink r:id="rId7633" ref="C7635"/>
    <hyperlink r:id="rId7634" ref="C7636"/>
    <hyperlink r:id="rId7635" ref="C7637"/>
    <hyperlink r:id="rId7636" ref="C7638"/>
    <hyperlink r:id="rId7637" ref="C7639"/>
    <hyperlink r:id="rId7638" ref="C7640"/>
    <hyperlink r:id="rId7639" ref="C7641"/>
    <hyperlink r:id="rId7640" ref="C7642"/>
    <hyperlink r:id="rId7641" ref="C7643"/>
    <hyperlink r:id="rId7642" ref="C7644"/>
    <hyperlink r:id="rId7643" ref="C7645"/>
    <hyperlink r:id="rId7644" ref="C7646"/>
    <hyperlink r:id="rId7645" ref="C7647"/>
    <hyperlink r:id="rId7646" ref="C7648"/>
    <hyperlink r:id="rId7647" ref="C7649"/>
    <hyperlink r:id="rId7648" ref="C7650"/>
    <hyperlink r:id="rId7649" ref="C7651"/>
    <hyperlink r:id="rId7650" ref="C7652"/>
    <hyperlink r:id="rId7651" ref="C7653"/>
    <hyperlink r:id="rId7652" ref="C7654"/>
    <hyperlink r:id="rId7653" ref="C7655"/>
    <hyperlink r:id="rId7654" ref="C7656"/>
    <hyperlink r:id="rId7655" ref="C7657"/>
    <hyperlink r:id="rId7656" ref="C7658"/>
    <hyperlink r:id="rId7657" ref="C7659"/>
    <hyperlink r:id="rId7658" ref="C7660"/>
    <hyperlink r:id="rId7659" ref="C7661"/>
    <hyperlink r:id="rId7660" ref="C7662"/>
    <hyperlink r:id="rId7661" ref="C7663"/>
    <hyperlink r:id="rId7662" ref="C7664"/>
    <hyperlink r:id="rId7663" ref="C7665"/>
    <hyperlink r:id="rId7664" ref="C7666"/>
    <hyperlink r:id="rId7665" ref="C7667"/>
    <hyperlink r:id="rId7666" ref="C7668"/>
    <hyperlink r:id="rId7667" ref="C7669"/>
    <hyperlink r:id="rId7668" ref="C7670"/>
    <hyperlink r:id="rId7669" ref="C7671"/>
    <hyperlink r:id="rId7670" ref="C7672"/>
    <hyperlink r:id="rId7671" ref="C7673"/>
    <hyperlink r:id="rId7672" ref="C7674"/>
    <hyperlink r:id="rId7673" ref="C7675"/>
    <hyperlink r:id="rId7674" ref="C7676"/>
    <hyperlink r:id="rId7675" ref="C7677"/>
    <hyperlink r:id="rId7676" ref="C7678"/>
    <hyperlink r:id="rId7677" ref="C7679"/>
    <hyperlink r:id="rId7678" ref="C7680"/>
    <hyperlink r:id="rId7679" ref="C7681"/>
    <hyperlink r:id="rId7680" ref="C7682"/>
    <hyperlink r:id="rId7681" ref="C7683"/>
    <hyperlink r:id="rId7682" ref="C7684"/>
    <hyperlink r:id="rId7683" ref="C7685"/>
    <hyperlink r:id="rId7684" ref="C7686"/>
    <hyperlink r:id="rId7685" ref="C7687"/>
    <hyperlink r:id="rId7686" ref="C7688"/>
    <hyperlink r:id="rId7687" ref="C7689"/>
    <hyperlink r:id="rId7688" ref="C7690"/>
    <hyperlink r:id="rId7689" ref="C7691"/>
    <hyperlink r:id="rId7690" ref="C7692"/>
    <hyperlink r:id="rId7691" ref="C7693"/>
    <hyperlink r:id="rId7692" ref="C7694"/>
    <hyperlink r:id="rId7693" ref="C7695"/>
    <hyperlink r:id="rId7694" ref="C7696"/>
    <hyperlink r:id="rId7695" ref="C7697"/>
    <hyperlink r:id="rId7696" ref="C7698"/>
    <hyperlink r:id="rId7697" ref="C7699"/>
    <hyperlink r:id="rId7698" ref="C7700"/>
    <hyperlink r:id="rId7699" ref="C7701"/>
    <hyperlink r:id="rId7700" ref="C7702"/>
    <hyperlink r:id="rId7701" ref="C7703"/>
    <hyperlink r:id="rId7702" ref="C7704"/>
    <hyperlink r:id="rId7703" ref="C7705"/>
    <hyperlink r:id="rId7704" ref="C7706"/>
    <hyperlink r:id="rId7705" ref="C7707"/>
    <hyperlink r:id="rId7706" ref="C7708"/>
    <hyperlink r:id="rId7707" ref="C7709"/>
    <hyperlink r:id="rId7708" ref="C7710"/>
    <hyperlink r:id="rId7709" ref="C7711"/>
    <hyperlink r:id="rId7710" ref="C7712"/>
    <hyperlink r:id="rId7711" ref="C7713"/>
    <hyperlink r:id="rId7712" ref="C7714"/>
    <hyperlink r:id="rId7713" ref="C7715"/>
    <hyperlink r:id="rId7714" ref="C7716"/>
    <hyperlink r:id="rId7715" ref="C7717"/>
    <hyperlink r:id="rId7716" ref="C7718"/>
    <hyperlink r:id="rId7717" ref="C7719"/>
    <hyperlink r:id="rId7718" ref="C7720"/>
    <hyperlink r:id="rId7719" ref="C7721"/>
    <hyperlink r:id="rId7720" ref="C7722"/>
    <hyperlink r:id="rId7721" ref="C7723"/>
    <hyperlink r:id="rId7722" ref="C7724"/>
    <hyperlink r:id="rId7723" ref="C7725"/>
    <hyperlink r:id="rId7724" ref="C7726"/>
    <hyperlink r:id="rId7725" ref="C7727"/>
    <hyperlink r:id="rId7726" ref="C7728"/>
    <hyperlink r:id="rId7727" ref="C7729"/>
    <hyperlink r:id="rId7728" ref="C7730"/>
    <hyperlink r:id="rId7729" ref="C7731"/>
    <hyperlink r:id="rId7730" ref="C7732"/>
    <hyperlink r:id="rId7731" ref="C7733"/>
    <hyperlink r:id="rId7732" ref="C7734"/>
    <hyperlink r:id="rId7733" ref="C7735"/>
    <hyperlink r:id="rId7734" ref="C7736"/>
    <hyperlink r:id="rId7735" ref="C7737"/>
    <hyperlink r:id="rId7736" ref="C7738"/>
    <hyperlink r:id="rId7737" ref="C7739"/>
    <hyperlink r:id="rId7738" ref="C7740"/>
    <hyperlink r:id="rId7739" ref="C7741"/>
    <hyperlink r:id="rId7740" ref="C7742"/>
    <hyperlink r:id="rId7741" ref="C7743"/>
    <hyperlink r:id="rId7742" ref="C7744"/>
    <hyperlink r:id="rId7743" ref="C7745"/>
    <hyperlink r:id="rId7744" ref="C7746"/>
    <hyperlink r:id="rId7745" ref="C7747"/>
    <hyperlink r:id="rId7746" ref="C7748"/>
    <hyperlink r:id="rId7747" ref="C7749"/>
    <hyperlink r:id="rId7748" ref="C7750"/>
    <hyperlink r:id="rId7749" ref="C7751"/>
    <hyperlink r:id="rId7750" ref="C7752"/>
    <hyperlink r:id="rId7751" ref="C7753"/>
    <hyperlink r:id="rId7752" ref="C7754"/>
    <hyperlink r:id="rId7753" ref="C7755"/>
    <hyperlink r:id="rId7754" ref="C7756"/>
    <hyperlink r:id="rId7755" ref="C7757"/>
    <hyperlink r:id="rId7756" ref="C7758"/>
    <hyperlink r:id="rId7757" ref="C7759"/>
    <hyperlink r:id="rId7758" ref="C7760"/>
    <hyperlink r:id="rId7759" ref="C7761"/>
    <hyperlink r:id="rId7760" ref="C7762"/>
    <hyperlink r:id="rId7761" ref="C7763"/>
    <hyperlink r:id="rId7762" ref="C7764"/>
    <hyperlink r:id="rId7763" ref="C7765"/>
    <hyperlink r:id="rId7764" ref="C7766"/>
    <hyperlink r:id="rId7765" ref="C7767"/>
    <hyperlink r:id="rId7766" ref="C7768"/>
    <hyperlink r:id="rId7767" ref="C7769"/>
    <hyperlink r:id="rId7768" ref="C7770"/>
    <hyperlink r:id="rId7769" ref="C7771"/>
    <hyperlink r:id="rId7770" ref="C7772"/>
    <hyperlink r:id="rId7771" ref="C7773"/>
    <hyperlink r:id="rId7772" ref="C7774"/>
    <hyperlink r:id="rId7773" ref="C7775"/>
    <hyperlink r:id="rId7774" ref="C7776"/>
    <hyperlink r:id="rId7775" ref="C7777"/>
    <hyperlink r:id="rId7776" ref="C7778"/>
    <hyperlink r:id="rId7777" ref="C7779"/>
    <hyperlink r:id="rId7778" ref="C7780"/>
    <hyperlink r:id="rId7779" ref="C7781"/>
    <hyperlink r:id="rId7780" ref="C7782"/>
    <hyperlink r:id="rId7781" ref="C7783"/>
    <hyperlink r:id="rId7782" ref="C7784"/>
    <hyperlink r:id="rId7783" ref="C7785"/>
    <hyperlink r:id="rId7784" ref="C7786"/>
    <hyperlink r:id="rId7785" ref="C7787"/>
    <hyperlink r:id="rId7786" ref="C7788"/>
    <hyperlink r:id="rId7787" ref="C7789"/>
    <hyperlink r:id="rId7788" ref="C7790"/>
    <hyperlink r:id="rId7789" ref="C7791"/>
    <hyperlink r:id="rId7790" ref="C7792"/>
    <hyperlink r:id="rId7791" ref="C7793"/>
    <hyperlink r:id="rId7792" ref="C7794"/>
    <hyperlink r:id="rId7793" ref="C7795"/>
    <hyperlink r:id="rId7794" ref="C7796"/>
    <hyperlink r:id="rId7795" ref="C7797"/>
    <hyperlink r:id="rId7796" ref="C7798"/>
    <hyperlink r:id="rId7797" ref="C7799"/>
    <hyperlink r:id="rId7798" ref="C7800"/>
    <hyperlink r:id="rId7799" ref="C7801"/>
    <hyperlink r:id="rId7800" ref="C7802"/>
    <hyperlink r:id="rId7801" ref="C7803"/>
    <hyperlink r:id="rId7802" ref="C7804"/>
    <hyperlink r:id="rId7803" ref="C7805"/>
    <hyperlink r:id="rId7804" ref="C7806"/>
    <hyperlink r:id="rId7805" ref="C7807"/>
    <hyperlink r:id="rId7806" ref="C7808"/>
    <hyperlink r:id="rId7807" ref="C7809"/>
    <hyperlink r:id="rId7808" ref="C7810"/>
    <hyperlink r:id="rId7809" ref="C7811"/>
    <hyperlink r:id="rId7810" ref="C7812"/>
    <hyperlink r:id="rId7811" ref="C7813"/>
    <hyperlink r:id="rId7812" ref="C7814"/>
    <hyperlink r:id="rId7813" ref="C7815"/>
    <hyperlink r:id="rId7814" ref="C7816"/>
    <hyperlink r:id="rId7815" ref="C7817"/>
    <hyperlink r:id="rId7816" ref="C7818"/>
    <hyperlink r:id="rId7817" ref="C7819"/>
    <hyperlink r:id="rId7818" ref="C7820"/>
    <hyperlink r:id="rId7819" ref="C7821"/>
    <hyperlink r:id="rId7820" ref="C7822"/>
    <hyperlink r:id="rId7821" ref="C7823"/>
    <hyperlink r:id="rId7822" ref="C7824"/>
    <hyperlink r:id="rId7823" ref="C7825"/>
    <hyperlink r:id="rId7824" ref="C7826"/>
    <hyperlink r:id="rId7825" ref="C7827"/>
    <hyperlink r:id="rId7826" ref="C7828"/>
    <hyperlink r:id="rId7827" ref="C7829"/>
    <hyperlink r:id="rId7828" ref="C7830"/>
    <hyperlink r:id="rId7829" ref="C7831"/>
    <hyperlink r:id="rId7830" ref="C7832"/>
    <hyperlink r:id="rId7831" ref="C7833"/>
    <hyperlink r:id="rId7832" ref="C7834"/>
    <hyperlink r:id="rId7833" ref="C7835"/>
    <hyperlink r:id="rId7834" ref="C7836"/>
    <hyperlink r:id="rId7835" ref="C7837"/>
    <hyperlink r:id="rId7836" ref="C7838"/>
    <hyperlink r:id="rId7837" ref="C7839"/>
    <hyperlink r:id="rId7838" ref="C7840"/>
    <hyperlink r:id="rId7839" ref="C7841"/>
    <hyperlink r:id="rId7840" ref="C7842"/>
    <hyperlink r:id="rId7841" ref="C7843"/>
    <hyperlink r:id="rId7842" ref="C7844"/>
    <hyperlink r:id="rId7843" ref="C7845"/>
    <hyperlink r:id="rId7844" ref="C7846"/>
    <hyperlink r:id="rId7845" ref="C7847"/>
    <hyperlink r:id="rId7846" ref="C7848"/>
    <hyperlink r:id="rId7847" ref="C7849"/>
    <hyperlink r:id="rId7848" ref="C7850"/>
    <hyperlink r:id="rId7849" ref="C7851"/>
    <hyperlink r:id="rId7850" ref="C7852"/>
    <hyperlink r:id="rId7851" ref="C7853"/>
    <hyperlink r:id="rId7852" ref="C7854"/>
    <hyperlink r:id="rId7853" ref="C7855"/>
    <hyperlink r:id="rId7854" ref="C7856"/>
    <hyperlink r:id="rId7855" ref="C7857"/>
    <hyperlink r:id="rId7856" ref="C7858"/>
    <hyperlink r:id="rId7857" ref="C7859"/>
    <hyperlink r:id="rId7858" ref="C7860"/>
    <hyperlink r:id="rId7859" ref="C7861"/>
    <hyperlink r:id="rId7860" ref="C7862"/>
    <hyperlink r:id="rId7861" ref="C7863"/>
    <hyperlink r:id="rId7862" ref="C7864"/>
    <hyperlink r:id="rId7863" ref="C7865"/>
    <hyperlink r:id="rId7864" ref="C7866"/>
    <hyperlink r:id="rId7865" ref="C7867"/>
    <hyperlink r:id="rId7866" ref="C7868"/>
    <hyperlink r:id="rId7867" ref="C7869"/>
    <hyperlink r:id="rId7868" ref="C7870"/>
    <hyperlink r:id="rId7869" ref="C7871"/>
    <hyperlink r:id="rId7870" ref="C7872"/>
    <hyperlink r:id="rId7871" ref="C7873"/>
    <hyperlink r:id="rId7872" ref="C7874"/>
    <hyperlink r:id="rId7873" ref="C7875"/>
    <hyperlink r:id="rId7874" ref="C7876"/>
    <hyperlink r:id="rId7875" ref="C7877"/>
    <hyperlink r:id="rId7876" ref="C7878"/>
    <hyperlink r:id="rId7877" ref="C7879"/>
    <hyperlink r:id="rId7878" ref="C7880"/>
    <hyperlink r:id="rId7879" ref="C7881"/>
    <hyperlink r:id="rId7880" ref="C7882"/>
    <hyperlink r:id="rId7881" ref="C7883"/>
    <hyperlink r:id="rId7882" ref="C7884"/>
    <hyperlink r:id="rId7883" ref="C7885"/>
    <hyperlink r:id="rId7884" ref="C7886"/>
    <hyperlink r:id="rId7885" ref="C7887"/>
    <hyperlink r:id="rId7886" ref="C7888"/>
    <hyperlink r:id="rId7887" ref="C7889"/>
    <hyperlink r:id="rId7888" ref="C7890"/>
    <hyperlink r:id="rId7889" ref="C7891"/>
    <hyperlink r:id="rId7890" ref="C7892"/>
    <hyperlink r:id="rId7891" ref="C7893"/>
    <hyperlink r:id="rId7892" ref="C7894"/>
    <hyperlink r:id="rId7893" ref="C7895"/>
    <hyperlink r:id="rId7894" ref="C7896"/>
    <hyperlink r:id="rId7895" ref="C7897"/>
    <hyperlink r:id="rId7896" ref="C7898"/>
    <hyperlink r:id="rId7897" ref="C7899"/>
    <hyperlink r:id="rId7898" ref="C7900"/>
    <hyperlink r:id="rId7899" ref="C7901"/>
    <hyperlink r:id="rId7900" ref="C7902"/>
    <hyperlink r:id="rId7901" ref="C7903"/>
    <hyperlink r:id="rId7902" ref="C7904"/>
    <hyperlink r:id="rId7903" ref="C7905"/>
    <hyperlink r:id="rId7904" ref="C7906"/>
    <hyperlink r:id="rId7905" ref="C7907"/>
    <hyperlink r:id="rId7906" ref="C7908"/>
    <hyperlink r:id="rId7907" ref="C7909"/>
    <hyperlink r:id="rId7908" ref="C7910"/>
    <hyperlink r:id="rId7909" ref="C7911"/>
    <hyperlink r:id="rId7910" ref="C7912"/>
    <hyperlink r:id="rId7911" ref="C7913"/>
    <hyperlink r:id="rId7912" ref="C7914"/>
    <hyperlink r:id="rId7913" ref="C7915"/>
    <hyperlink r:id="rId7914" ref="C7916"/>
    <hyperlink r:id="rId7915" ref="C7917"/>
    <hyperlink r:id="rId7916" ref="C7918"/>
    <hyperlink r:id="rId7917" ref="C7919"/>
    <hyperlink r:id="rId7918" ref="C7920"/>
    <hyperlink r:id="rId7919" ref="C7921"/>
    <hyperlink r:id="rId7920" ref="C7922"/>
    <hyperlink r:id="rId7921" ref="C7923"/>
    <hyperlink r:id="rId7922" ref="C7924"/>
    <hyperlink r:id="rId7923" ref="C7925"/>
    <hyperlink r:id="rId7924" ref="C7926"/>
    <hyperlink r:id="rId7925" ref="C7927"/>
    <hyperlink r:id="rId7926" ref="C7928"/>
    <hyperlink r:id="rId7927" ref="C7929"/>
    <hyperlink r:id="rId7928" ref="C7930"/>
    <hyperlink r:id="rId7929" ref="C7931"/>
    <hyperlink r:id="rId7930" ref="C7932"/>
    <hyperlink r:id="rId7931" ref="C7933"/>
    <hyperlink r:id="rId7932" ref="C7934"/>
    <hyperlink r:id="rId7933" ref="C7935"/>
    <hyperlink r:id="rId7934" ref="C7936"/>
    <hyperlink r:id="rId7935" ref="C7937"/>
    <hyperlink r:id="rId7936" ref="C7938"/>
    <hyperlink r:id="rId7937" ref="C7939"/>
    <hyperlink r:id="rId7938" ref="C7940"/>
    <hyperlink r:id="rId7939" ref="C7941"/>
    <hyperlink r:id="rId7940" ref="C7942"/>
    <hyperlink r:id="rId7941" ref="C7943"/>
    <hyperlink r:id="rId7942" ref="C7944"/>
    <hyperlink r:id="rId7943" ref="C7945"/>
    <hyperlink r:id="rId7944" ref="C7946"/>
    <hyperlink r:id="rId7945" ref="C7947"/>
    <hyperlink r:id="rId7946" ref="C7948"/>
    <hyperlink r:id="rId7947" ref="C7949"/>
    <hyperlink r:id="rId7948" ref="C7950"/>
    <hyperlink r:id="rId7949" ref="C7951"/>
    <hyperlink r:id="rId7950" ref="C7952"/>
    <hyperlink r:id="rId7951" ref="C7953"/>
    <hyperlink r:id="rId7952" ref="C7954"/>
    <hyperlink r:id="rId7953" ref="C7955"/>
    <hyperlink r:id="rId7954" ref="C7956"/>
    <hyperlink r:id="rId7955" ref="C7957"/>
    <hyperlink r:id="rId7956" ref="C7958"/>
    <hyperlink r:id="rId7957" ref="C7959"/>
    <hyperlink r:id="rId7958" ref="C7960"/>
    <hyperlink r:id="rId7959" ref="C7961"/>
    <hyperlink r:id="rId7960" ref="C7962"/>
    <hyperlink r:id="rId7961" ref="C7963"/>
    <hyperlink r:id="rId7962" ref="C7964"/>
    <hyperlink r:id="rId7963" ref="C7965"/>
    <hyperlink r:id="rId7964" ref="C7966"/>
    <hyperlink r:id="rId7965" ref="C7967"/>
    <hyperlink r:id="rId7966" ref="C7968"/>
    <hyperlink r:id="rId7967" ref="C7969"/>
    <hyperlink r:id="rId7968" ref="C7970"/>
    <hyperlink r:id="rId7969" ref="C7971"/>
    <hyperlink r:id="rId7970" ref="C7972"/>
    <hyperlink r:id="rId7971" ref="C7973"/>
    <hyperlink r:id="rId7972" ref="C7974"/>
    <hyperlink r:id="rId7973" ref="C7975"/>
    <hyperlink r:id="rId7974" ref="C7976"/>
    <hyperlink r:id="rId7975" ref="C7977"/>
    <hyperlink r:id="rId7976" ref="C7978"/>
    <hyperlink r:id="rId7977" ref="C7979"/>
    <hyperlink r:id="rId7978" ref="C7980"/>
    <hyperlink r:id="rId7979" ref="C7981"/>
    <hyperlink r:id="rId7980" ref="C7982"/>
    <hyperlink r:id="rId7981" ref="C7983"/>
    <hyperlink r:id="rId7982" ref="C7984"/>
    <hyperlink r:id="rId7983" ref="C7985"/>
    <hyperlink r:id="rId7984" ref="C7986"/>
    <hyperlink r:id="rId7985" ref="C7987"/>
    <hyperlink r:id="rId7986" ref="C7988"/>
    <hyperlink r:id="rId7987" ref="C7989"/>
    <hyperlink r:id="rId7988" ref="C7990"/>
    <hyperlink r:id="rId7989" ref="C7991"/>
    <hyperlink r:id="rId7990" ref="C7992"/>
    <hyperlink r:id="rId7991" ref="C7993"/>
    <hyperlink r:id="rId7992" ref="C7994"/>
    <hyperlink r:id="rId7993" ref="C7995"/>
    <hyperlink r:id="rId7994" ref="C7996"/>
    <hyperlink r:id="rId7995" ref="C7997"/>
    <hyperlink r:id="rId7996" ref="C7998"/>
    <hyperlink r:id="rId7997" ref="C7999"/>
    <hyperlink r:id="rId7998" ref="C8000"/>
    <hyperlink r:id="rId7999" ref="C8001"/>
    <hyperlink r:id="rId8000" ref="C8002"/>
    <hyperlink r:id="rId8001" ref="C8003"/>
    <hyperlink r:id="rId8002" ref="C8004"/>
    <hyperlink r:id="rId8003" ref="C8005"/>
    <hyperlink r:id="rId8004" ref="C8006"/>
    <hyperlink r:id="rId8005" ref="C8007"/>
    <hyperlink r:id="rId8006" ref="C8008"/>
    <hyperlink r:id="rId8007" ref="C8009"/>
    <hyperlink r:id="rId8008" ref="C8010"/>
    <hyperlink r:id="rId8009" ref="C8011"/>
    <hyperlink r:id="rId8010" ref="C8012"/>
    <hyperlink r:id="rId8011" ref="C8013"/>
    <hyperlink r:id="rId8012" ref="C8014"/>
    <hyperlink r:id="rId8013" ref="C8015"/>
    <hyperlink r:id="rId8014" ref="C8016"/>
    <hyperlink r:id="rId8015" ref="C8017"/>
    <hyperlink r:id="rId8016" ref="C8018"/>
    <hyperlink r:id="rId8017" ref="C8019"/>
    <hyperlink r:id="rId8018" ref="C8020"/>
    <hyperlink r:id="rId8019" ref="C8021"/>
    <hyperlink r:id="rId8020" ref="C8022"/>
    <hyperlink r:id="rId8021" ref="C8023"/>
    <hyperlink r:id="rId8022" ref="C8024"/>
    <hyperlink r:id="rId8023" ref="C8025"/>
    <hyperlink r:id="rId8024" ref="C8026"/>
    <hyperlink r:id="rId8025" ref="C8027"/>
    <hyperlink r:id="rId8026" ref="C8028"/>
    <hyperlink r:id="rId8027" ref="C8029"/>
    <hyperlink r:id="rId8028" ref="C8030"/>
    <hyperlink r:id="rId8029" ref="C8031"/>
    <hyperlink r:id="rId8030" ref="C8032"/>
    <hyperlink r:id="rId8031" ref="C8033"/>
    <hyperlink r:id="rId8032" ref="C8034"/>
    <hyperlink r:id="rId8033" ref="C8035"/>
    <hyperlink r:id="rId8034" ref="C8036"/>
    <hyperlink r:id="rId8035" ref="C8037"/>
    <hyperlink r:id="rId8036" ref="C8038"/>
    <hyperlink r:id="rId8037" ref="C8039"/>
    <hyperlink r:id="rId8038" ref="C8040"/>
    <hyperlink r:id="rId8039" ref="C8041"/>
    <hyperlink r:id="rId8040" ref="C8042"/>
    <hyperlink r:id="rId8041" ref="C8043"/>
    <hyperlink r:id="rId8042" ref="C8044"/>
    <hyperlink r:id="rId8043" ref="C8045"/>
    <hyperlink r:id="rId8044" ref="C8046"/>
    <hyperlink r:id="rId8045" ref="C8047"/>
    <hyperlink r:id="rId8046" ref="C8048"/>
    <hyperlink r:id="rId8047" ref="C8049"/>
    <hyperlink r:id="rId8048" ref="C8050"/>
    <hyperlink r:id="rId8049" ref="C8051"/>
    <hyperlink r:id="rId8050" ref="C8052"/>
    <hyperlink r:id="rId8051" ref="C8053"/>
    <hyperlink r:id="rId8052" ref="C8054"/>
    <hyperlink r:id="rId8053" ref="C8055"/>
    <hyperlink r:id="rId8054" ref="C8056"/>
    <hyperlink r:id="rId8055" ref="C8057"/>
    <hyperlink r:id="rId8056" ref="C8058"/>
    <hyperlink r:id="rId8057" ref="C8059"/>
    <hyperlink r:id="rId8058" ref="C8060"/>
    <hyperlink r:id="rId8059" ref="C8061"/>
    <hyperlink r:id="rId8060" ref="C8062"/>
    <hyperlink r:id="rId8061" ref="C8063"/>
    <hyperlink r:id="rId8062" ref="C8064"/>
    <hyperlink r:id="rId8063" ref="C8065"/>
    <hyperlink r:id="rId8064" ref="C8066"/>
    <hyperlink r:id="rId8065" ref="C8067"/>
    <hyperlink r:id="rId8066" ref="C8068"/>
    <hyperlink r:id="rId8067" ref="C8069"/>
    <hyperlink r:id="rId8068" ref="C8070"/>
    <hyperlink r:id="rId8069" ref="C8071"/>
    <hyperlink r:id="rId8070" ref="C8072"/>
    <hyperlink r:id="rId8071" ref="C8073"/>
    <hyperlink r:id="rId8072" ref="C8074"/>
    <hyperlink r:id="rId8073" ref="C8075"/>
    <hyperlink r:id="rId8074" ref="C8076"/>
    <hyperlink r:id="rId8075" ref="C8077"/>
    <hyperlink r:id="rId8076" ref="C8078"/>
    <hyperlink r:id="rId8077" ref="C8079"/>
    <hyperlink r:id="rId8078" ref="C8080"/>
    <hyperlink r:id="rId8079" ref="C8081"/>
    <hyperlink r:id="rId8080" ref="C8082"/>
    <hyperlink r:id="rId8081" ref="C8083"/>
    <hyperlink r:id="rId8082" ref="C8084"/>
    <hyperlink r:id="rId8083" ref="C8085"/>
    <hyperlink r:id="rId8084" ref="C8086"/>
    <hyperlink r:id="rId8085" ref="C8087"/>
    <hyperlink r:id="rId8086" ref="C8088"/>
    <hyperlink r:id="rId8087" ref="C8089"/>
    <hyperlink r:id="rId8088" ref="C8090"/>
    <hyperlink r:id="rId8089" ref="C8091"/>
    <hyperlink r:id="rId8090" ref="C8092"/>
    <hyperlink r:id="rId8091" ref="C8093"/>
    <hyperlink r:id="rId8092" ref="C8094"/>
    <hyperlink r:id="rId8093" ref="C8095"/>
    <hyperlink r:id="rId8094" ref="C8096"/>
    <hyperlink r:id="rId8095" ref="C8097"/>
    <hyperlink r:id="rId8096" ref="C8098"/>
    <hyperlink r:id="rId8097" ref="C8099"/>
    <hyperlink r:id="rId8098" ref="C8100"/>
    <hyperlink r:id="rId8099" ref="C8101"/>
    <hyperlink r:id="rId8100" ref="C8102"/>
    <hyperlink r:id="rId8101" ref="C8103"/>
    <hyperlink r:id="rId8102" ref="C8104"/>
    <hyperlink r:id="rId8103" ref="C8105"/>
    <hyperlink r:id="rId8104" ref="C8106"/>
    <hyperlink r:id="rId8105" ref="C8107"/>
    <hyperlink r:id="rId8106" ref="C8108"/>
    <hyperlink r:id="rId8107" ref="C8109"/>
    <hyperlink r:id="rId8108" ref="C8110"/>
    <hyperlink r:id="rId8109" ref="C8111"/>
    <hyperlink r:id="rId8110" ref="C8112"/>
    <hyperlink r:id="rId8111" ref="C8113"/>
    <hyperlink r:id="rId8112" ref="C8114"/>
    <hyperlink r:id="rId8113" ref="C8115"/>
    <hyperlink r:id="rId8114" ref="C8116"/>
    <hyperlink r:id="rId8115" ref="C8117"/>
    <hyperlink r:id="rId8116" ref="C8118"/>
    <hyperlink r:id="rId8117" ref="C8119"/>
    <hyperlink r:id="rId8118" ref="C8120"/>
    <hyperlink r:id="rId8119" ref="C8121"/>
    <hyperlink r:id="rId8120" ref="C8122"/>
    <hyperlink r:id="rId8121" ref="C8123"/>
    <hyperlink r:id="rId8122" ref="C8124"/>
    <hyperlink r:id="rId8123" ref="C8125"/>
    <hyperlink r:id="rId8124" ref="C8126"/>
    <hyperlink r:id="rId8125" ref="C8127"/>
    <hyperlink r:id="rId8126" ref="C8128"/>
    <hyperlink r:id="rId8127" ref="C8129"/>
    <hyperlink r:id="rId8128" ref="C8130"/>
    <hyperlink r:id="rId8129" ref="C8131"/>
    <hyperlink r:id="rId8130" ref="C8132"/>
    <hyperlink r:id="rId8131" ref="C8133"/>
    <hyperlink r:id="rId8132" ref="C8134"/>
    <hyperlink r:id="rId8133" ref="C8135"/>
    <hyperlink r:id="rId8134" ref="C8136"/>
    <hyperlink r:id="rId8135" ref="C8137"/>
    <hyperlink r:id="rId8136" ref="C8138"/>
    <hyperlink r:id="rId8137" ref="C8139"/>
    <hyperlink r:id="rId8138" ref="C8140"/>
    <hyperlink r:id="rId8139" ref="C8141"/>
    <hyperlink r:id="rId8140" ref="C8142"/>
    <hyperlink r:id="rId8141" ref="C8143"/>
    <hyperlink r:id="rId8142" ref="C8144"/>
    <hyperlink r:id="rId8143" ref="C8145"/>
    <hyperlink r:id="rId8144" ref="C8146"/>
    <hyperlink r:id="rId8145" ref="C8147"/>
    <hyperlink r:id="rId8146" ref="C8148"/>
    <hyperlink r:id="rId8147" ref="C8149"/>
    <hyperlink r:id="rId8148" ref="C8150"/>
    <hyperlink r:id="rId8149" ref="C8151"/>
    <hyperlink r:id="rId8150" ref="C8152"/>
    <hyperlink r:id="rId8151" ref="C8153"/>
    <hyperlink r:id="rId8152" ref="C8154"/>
    <hyperlink r:id="rId8153" ref="C8155"/>
    <hyperlink r:id="rId8154" ref="C8156"/>
    <hyperlink r:id="rId8155" ref="C8157"/>
    <hyperlink r:id="rId8156" ref="C8158"/>
    <hyperlink r:id="rId8157" ref="C8159"/>
    <hyperlink r:id="rId8158" ref="C8160"/>
    <hyperlink r:id="rId8159" ref="C8161"/>
    <hyperlink r:id="rId8160" ref="C8162"/>
    <hyperlink r:id="rId8161" ref="C8163"/>
    <hyperlink r:id="rId8162" ref="C8164"/>
    <hyperlink r:id="rId8163" ref="C8165"/>
    <hyperlink r:id="rId8164" ref="C8166"/>
    <hyperlink r:id="rId8165" ref="C8167"/>
    <hyperlink r:id="rId8166" ref="C8168"/>
    <hyperlink r:id="rId8167" ref="C8169"/>
    <hyperlink r:id="rId8168" ref="C8170"/>
    <hyperlink r:id="rId8169" ref="C8171"/>
    <hyperlink r:id="rId8170" ref="C8172"/>
    <hyperlink r:id="rId8171" ref="C8173"/>
    <hyperlink r:id="rId8172" ref="C8174"/>
    <hyperlink r:id="rId8173" ref="C8175"/>
    <hyperlink r:id="rId8174" ref="C8176"/>
    <hyperlink r:id="rId8175" ref="C8177"/>
    <hyperlink r:id="rId8176" ref="C8178"/>
    <hyperlink r:id="rId8177" ref="C8179"/>
    <hyperlink r:id="rId8178" ref="C8180"/>
    <hyperlink r:id="rId8179" ref="C8181"/>
    <hyperlink r:id="rId8180" ref="C8182"/>
    <hyperlink r:id="rId8181" ref="C8183"/>
    <hyperlink r:id="rId8182" ref="C8184"/>
    <hyperlink r:id="rId8183" ref="C8185"/>
    <hyperlink r:id="rId8184" ref="C8186"/>
    <hyperlink r:id="rId8185" ref="C8187"/>
    <hyperlink r:id="rId8186" ref="C8188"/>
    <hyperlink r:id="rId8187" ref="C8189"/>
    <hyperlink r:id="rId8188" ref="C8190"/>
    <hyperlink r:id="rId8189" ref="C8191"/>
    <hyperlink r:id="rId8190" ref="C8192"/>
    <hyperlink r:id="rId8191" ref="C8193"/>
    <hyperlink r:id="rId8192" ref="C8194"/>
    <hyperlink r:id="rId8193" ref="C8195"/>
    <hyperlink r:id="rId8194" ref="C8196"/>
    <hyperlink r:id="rId8195" ref="C8197"/>
    <hyperlink r:id="rId8196" ref="C8198"/>
    <hyperlink r:id="rId8197" ref="C8199"/>
    <hyperlink r:id="rId8198" ref="C8200"/>
    <hyperlink r:id="rId8199" ref="C8201"/>
    <hyperlink r:id="rId8200" ref="C8202"/>
    <hyperlink r:id="rId8201" ref="C8203"/>
    <hyperlink r:id="rId8202" ref="C8204"/>
    <hyperlink r:id="rId8203" ref="C8205"/>
    <hyperlink r:id="rId8204" ref="C8206"/>
    <hyperlink r:id="rId8205" ref="C8207"/>
    <hyperlink r:id="rId8206" ref="C8208"/>
    <hyperlink r:id="rId8207" ref="C8209"/>
    <hyperlink r:id="rId8208" ref="C8210"/>
    <hyperlink r:id="rId8209" ref="C8211"/>
    <hyperlink r:id="rId8210" ref="C8212"/>
    <hyperlink r:id="rId8211" ref="C8213"/>
    <hyperlink r:id="rId8212" ref="C8214"/>
    <hyperlink r:id="rId8213" ref="C8215"/>
    <hyperlink r:id="rId8214" ref="C8216"/>
    <hyperlink r:id="rId8215" ref="C8217"/>
    <hyperlink r:id="rId8216" ref="C8218"/>
    <hyperlink r:id="rId8217" ref="C8219"/>
    <hyperlink r:id="rId8218" ref="C8220"/>
    <hyperlink r:id="rId8219" ref="C8221"/>
    <hyperlink r:id="rId8220" ref="C8222"/>
    <hyperlink r:id="rId8221" ref="C8223"/>
    <hyperlink r:id="rId8222" ref="C8224"/>
    <hyperlink r:id="rId8223" ref="C8225"/>
    <hyperlink r:id="rId8224" ref="C8226"/>
    <hyperlink r:id="rId8225" ref="C8227"/>
    <hyperlink r:id="rId8226" ref="C8228"/>
    <hyperlink r:id="rId8227" ref="C8229"/>
    <hyperlink r:id="rId8228" ref="C8230"/>
    <hyperlink r:id="rId8229" ref="C8231"/>
    <hyperlink r:id="rId8230" ref="C8232"/>
    <hyperlink r:id="rId8231" ref="C8233"/>
    <hyperlink r:id="rId8232" ref="C8234"/>
    <hyperlink r:id="rId8233" ref="C8235"/>
    <hyperlink r:id="rId8234" ref="C8236"/>
    <hyperlink r:id="rId8235" ref="C8237"/>
    <hyperlink r:id="rId8236" ref="C8238"/>
    <hyperlink r:id="rId8237" ref="C8239"/>
    <hyperlink r:id="rId8238" ref="C8240"/>
    <hyperlink r:id="rId8239" ref="C8241"/>
    <hyperlink r:id="rId8240" ref="C8242"/>
    <hyperlink r:id="rId8241" ref="C8243"/>
    <hyperlink r:id="rId8242" ref="C8244"/>
    <hyperlink r:id="rId8243" ref="C8245"/>
    <hyperlink r:id="rId8244" ref="C8246"/>
    <hyperlink r:id="rId8245" ref="C8247"/>
    <hyperlink r:id="rId8246" ref="C8248"/>
    <hyperlink r:id="rId8247" ref="C8249"/>
    <hyperlink r:id="rId8248" ref="C8250"/>
    <hyperlink r:id="rId8249" ref="C8251"/>
    <hyperlink r:id="rId8250" ref="C8252"/>
    <hyperlink r:id="rId8251" ref="C8253"/>
    <hyperlink r:id="rId8252" ref="C8254"/>
    <hyperlink r:id="rId8253" ref="C8255"/>
    <hyperlink r:id="rId8254" ref="C8256"/>
    <hyperlink r:id="rId8255" ref="C8257"/>
    <hyperlink r:id="rId8256" ref="C8258"/>
    <hyperlink r:id="rId8257" ref="C8259"/>
    <hyperlink r:id="rId8258" ref="C8260"/>
    <hyperlink r:id="rId8259" ref="C8261"/>
    <hyperlink r:id="rId8260" ref="C8262"/>
    <hyperlink r:id="rId8261" ref="C8263"/>
    <hyperlink r:id="rId8262" ref="C8264"/>
    <hyperlink r:id="rId8263" ref="C8265"/>
    <hyperlink r:id="rId8264" ref="C8266"/>
    <hyperlink r:id="rId8265" ref="C8267"/>
    <hyperlink r:id="rId8266" ref="C8268"/>
    <hyperlink r:id="rId8267" ref="C8269"/>
    <hyperlink r:id="rId8268" ref="C8270"/>
    <hyperlink r:id="rId8269" ref="C8271"/>
    <hyperlink r:id="rId8270" ref="C8272"/>
    <hyperlink r:id="rId8271" ref="C8273"/>
    <hyperlink r:id="rId8272" ref="C8274"/>
    <hyperlink r:id="rId8273" ref="C8275"/>
    <hyperlink r:id="rId8274" ref="C8276"/>
    <hyperlink r:id="rId8275" ref="C8277"/>
    <hyperlink r:id="rId8276" ref="C8278"/>
    <hyperlink r:id="rId8277" ref="C8279"/>
    <hyperlink r:id="rId8278" ref="C8280"/>
    <hyperlink r:id="rId8279" ref="C8281"/>
    <hyperlink r:id="rId8280" ref="C8282"/>
    <hyperlink r:id="rId8281" ref="C8283"/>
    <hyperlink r:id="rId8282" ref="C8284"/>
    <hyperlink r:id="rId8283" ref="C8285"/>
    <hyperlink r:id="rId8284" ref="C8286"/>
    <hyperlink r:id="rId8285" ref="C8287"/>
    <hyperlink r:id="rId8286" ref="C8288"/>
    <hyperlink r:id="rId8287" ref="C8289"/>
    <hyperlink r:id="rId8288" ref="C8290"/>
    <hyperlink r:id="rId8289" ref="C8291"/>
    <hyperlink r:id="rId8290" ref="C8292"/>
    <hyperlink r:id="rId8291" ref="C8293"/>
    <hyperlink r:id="rId8292" ref="C8294"/>
    <hyperlink r:id="rId8293" ref="C8295"/>
    <hyperlink r:id="rId8294" ref="C8296"/>
    <hyperlink r:id="rId8295" ref="C8297"/>
    <hyperlink r:id="rId8296" ref="C8298"/>
    <hyperlink r:id="rId8297" ref="C8299"/>
    <hyperlink r:id="rId8298" ref="C8300"/>
    <hyperlink r:id="rId8299" ref="C8301"/>
    <hyperlink r:id="rId8300" ref="C8302"/>
    <hyperlink r:id="rId8301" ref="C8303"/>
    <hyperlink r:id="rId8302" ref="C8304"/>
    <hyperlink r:id="rId8303" ref="C8305"/>
    <hyperlink r:id="rId8304" ref="C8306"/>
    <hyperlink r:id="rId8305" ref="C8307"/>
    <hyperlink r:id="rId8306" ref="C8308"/>
    <hyperlink r:id="rId8307" ref="C8309"/>
    <hyperlink r:id="rId8308" ref="C8310"/>
    <hyperlink r:id="rId8309" ref="C8311"/>
    <hyperlink r:id="rId8310" ref="C8312"/>
    <hyperlink r:id="rId8311" ref="C8313"/>
    <hyperlink r:id="rId8312" ref="C8314"/>
    <hyperlink r:id="rId8313" ref="C8315"/>
    <hyperlink r:id="rId8314" ref="C8316"/>
    <hyperlink r:id="rId8315" ref="C8317"/>
    <hyperlink r:id="rId8316" ref="C8318"/>
    <hyperlink r:id="rId8317" ref="C8319"/>
    <hyperlink r:id="rId8318" ref="C8320"/>
    <hyperlink r:id="rId8319" ref="C8321"/>
    <hyperlink r:id="rId8320" ref="C8322"/>
    <hyperlink r:id="rId8321" ref="C8323"/>
    <hyperlink r:id="rId8322" ref="C8324"/>
    <hyperlink r:id="rId8323" ref="C8325"/>
    <hyperlink r:id="rId8324" ref="C8326"/>
    <hyperlink r:id="rId8325" ref="C8327"/>
    <hyperlink r:id="rId8326" ref="C8328"/>
    <hyperlink r:id="rId8327" ref="C8329"/>
    <hyperlink r:id="rId8328" ref="C8330"/>
    <hyperlink r:id="rId8329" ref="C8331"/>
    <hyperlink r:id="rId8330" ref="C8332"/>
    <hyperlink r:id="rId8331" ref="C8333"/>
    <hyperlink r:id="rId8332" ref="C8334"/>
    <hyperlink r:id="rId8333" ref="C8335"/>
    <hyperlink r:id="rId8334" ref="C8336"/>
    <hyperlink r:id="rId8335" ref="C8337"/>
    <hyperlink r:id="rId8336" ref="C8338"/>
    <hyperlink r:id="rId8337" ref="C8339"/>
    <hyperlink r:id="rId8338" ref="C8340"/>
    <hyperlink r:id="rId8339" ref="C8341"/>
    <hyperlink r:id="rId8340" ref="C8342"/>
    <hyperlink r:id="rId8341" ref="C8343"/>
    <hyperlink r:id="rId8342" ref="C8344"/>
    <hyperlink r:id="rId8343" ref="C8345"/>
    <hyperlink r:id="rId8344" ref="C8346"/>
    <hyperlink r:id="rId8345" ref="C8347"/>
    <hyperlink r:id="rId8346" ref="C8348"/>
    <hyperlink r:id="rId8347" ref="C8349"/>
    <hyperlink r:id="rId8348" ref="C8350"/>
    <hyperlink r:id="rId8349" ref="C8351"/>
    <hyperlink r:id="rId8350" ref="C8352"/>
    <hyperlink r:id="rId8351" ref="C8353"/>
    <hyperlink r:id="rId8352" ref="C8354"/>
    <hyperlink r:id="rId8353" ref="C8355"/>
    <hyperlink r:id="rId8354" ref="C8356"/>
    <hyperlink r:id="rId8355" ref="C8357"/>
    <hyperlink r:id="rId8356" ref="C8358"/>
    <hyperlink r:id="rId8357" ref="C8359"/>
    <hyperlink r:id="rId8358" ref="C8360"/>
    <hyperlink r:id="rId8359" ref="C8361"/>
    <hyperlink r:id="rId8360" ref="C8362"/>
    <hyperlink r:id="rId8361" ref="C8363"/>
    <hyperlink r:id="rId8362" ref="C8364"/>
    <hyperlink r:id="rId8363" ref="C8365"/>
    <hyperlink r:id="rId8364" ref="C8366"/>
    <hyperlink r:id="rId8365" ref="C8367"/>
    <hyperlink r:id="rId8366" ref="C8368"/>
    <hyperlink r:id="rId8367" ref="C8369"/>
    <hyperlink r:id="rId8368" ref="C8370"/>
    <hyperlink r:id="rId8369" ref="C8371"/>
    <hyperlink r:id="rId8370" ref="C8372"/>
    <hyperlink r:id="rId8371" ref="C8373"/>
    <hyperlink r:id="rId8372" ref="C8374"/>
    <hyperlink r:id="rId8373" ref="C8375"/>
    <hyperlink r:id="rId8374" ref="C8376"/>
    <hyperlink r:id="rId8375" ref="C8377"/>
    <hyperlink r:id="rId8376" ref="C8378"/>
    <hyperlink r:id="rId8377" ref="C8379"/>
    <hyperlink r:id="rId8378" ref="C8380"/>
    <hyperlink r:id="rId8379" ref="C8381"/>
    <hyperlink r:id="rId8380" ref="C8382"/>
    <hyperlink r:id="rId8381" ref="C8383"/>
    <hyperlink r:id="rId8382" ref="C8384"/>
    <hyperlink r:id="rId8383" ref="C8385"/>
    <hyperlink r:id="rId8384" ref="C8386"/>
    <hyperlink r:id="rId8385" ref="C8387"/>
    <hyperlink r:id="rId8386" ref="C8388"/>
    <hyperlink r:id="rId8387" ref="C8389"/>
    <hyperlink r:id="rId8388" ref="C8390"/>
    <hyperlink r:id="rId8389" ref="C8391"/>
    <hyperlink r:id="rId8390" ref="C8392"/>
    <hyperlink r:id="rId8391" ref="C8393"/>
    <hyperlink r:id="rId8392" ref="C8394"/>
    <hyperlink r:id="rId8393" ref="C8395"/>
    <hyperlink r:id="rId8394" ref="C8396"/>
    <hyperlink r:id="rId8395" ref="C8397"/>
    <hyperlink r:id="rId8396" ref="C8398"/>
    <hyperlink r:id="rId8397" ref="C8399"/>
    <hyperlink r:id="rId8398" ref="C8400"/>
    <hyperlink r:id="rId8399" ref="C8401"/>
    <hyperlink r:id="rId8400" ref="C8402"/>
    <hyperlink r:id="rId8401" ref="C8403"/>
    <hyperlink r:id="rId8402" ref="C8404"/>
    <hyperlink r:id="rId8403" ref="C8405"/>
    <hyperlink r:id="rId8404" ref="C8406"/>
    <hyperlink r:id="rId8405" ref="C8407"/>
    <hyperlink r:id="rId8406" ref="C8408"/>
    <hyperlink r:id="rId8407" ref="C8409"/>
    <hyperlink r:id="rId8408" ref="C8410"/>
    <hyperlink r:id="rId8409" ref="C8411"/>
    <hyperlink r:id="rId8410" ref="C8412"/>
    <hyperlink r:id="rId8411" ref="C8413"/>
    <hyperlink r:id="rId8412" ref="C8414"/>
    <hyperlink r:id="rId8413" ref="C8415"/>
    <hyperlink r:id="rId8414" ref="C8416"/>
    <hyperlink r:id="rId8415" ref="C8417"/>
    <hyperlink r:id="rId8416" ref="C8418"/>
    <hyperlink r:id="rId8417" ref="C8419"/>
    <hyperlink r:id="rId8418" ref="C8420"/>
    <hyperlink r:id="rId8419" ref="C8421"/>
    <hyperlink r:id="rId8420" ref="C8422"/>
    <hyperlink r:id="rId8421" ref="C8423"/>
    <hyperlink r:id="rId8422" ref="C8424"/>
    <hyperlink r:id="rId8423" ref="C8425"/>
    <hyperlink r:id="rId8424" ref="C8426"/>
    <hyperlink r:id="rId8425" ref="C8427"/>
    <hyperlink r:id="rId8426" ref="C8428"/>
    <hyperlink r:id="rId8427" ref="C8429"/>
    <hyperlink r:id="rId8428" ref="C8430"/>
    <hyperlink r:id="rId8429" ref="C8431"/>
    <hyperlink r:id="rId8430" ref="C8432"/>
    <hyperlink r:id="rId8431" ref="C8433"/>
    <hyperlink r:id="rId8432" ref="C8434"/>
    <hyperlink r:id="rId8433" ref="C8435"/>
    <hyperlink r:id="rId8434" ref="C8436"/>
    <hyperlink r:id="rId8435" ref="C8437"/>
    <hyperlink r:id="rId8436" ref="C8438"/>
    <hyperlink r:id="rId8437" ref="C8439"/>
    <hyperlink r:id="rId8438" ref="C8440"/>
    <hyperlink r:id="rId8439" ref="C8441"/>
    <hyperlink r:id="rId8440" ref="C8442"/>
    <hyperlink r:id="rId8441" ref="C8443"/>
    <hyperlink r:id="rId8442" ref="C8444"/>
    <hyperlink r:id="rId8443" ref="C8445"/>
    <hyperlink r:id="rId8444" ref="C8446"/>
    <hyperlink r:id="rId8445" ref="C8447"/>
    <hyperlink r:id="rId8446" ref="C8448"/>
    <hyperlink r:id="rId8447" ref="C8449"/>
    <hyperlink r:id="rId8448" ref="C8450"/>
    <hyperlink r:id="rId8449" ref="C8451"/>
    <hyperlink r:id="rId8450" ref="C8452"/>
    <hyperlink r:id="rId8451" ref="C8453"/>
    <hyperlink r:id="rId8452" ref="C8454"/>
    <hyperlink r:id="rId8453" ref="C8455"/>
    <hyperlink r:id="rId8454" ref="C8456"/>
    <hyperlink r:id="rId8455" ref="C8457"/>
    <hyperlink r:id="rId8456" ref="C8458"/>
    <hyperlink r:id="rId8457" ref="C8459"/>
    <hyperlink r:id="rId8458" ref="C8460"/>
    <hyperlink r:id="rId8459" ref="C8461"/>
    <hyperlink r:id="rId8460" ref="C8462"/>
    <hyperlink r:id="rId8461" ref="C8463"/>
    <hyperlink r:id="rId8462" ref="C8464"/>
    <hyperlink r:id="rId8463" ref="C8465"/>
    <hyperlink r:id="rId8464" ref="C8466"/>
    <hyperlink r:id="rId8465" ref="C8467"/>
    <hyperlink r:id="rId8466" ref="C8468"/>
    <hyperlink r:id="rId8467" ref="C8469"/>
    <hyperlink r:id="rId8468" ref="C8470"/>
    <hyperlink r:id="rId8469" ref="C8471"/>
    <hyperlink r:id="rId8470" ref="C8472"/>
    <hyperlink r:id="rId8471" ref="C8473"/>
    <hyperlink r:id="rId8472" ref="C8474"/>
    <hyperlink r:id="rId8473" ref="C8475"/>
    <hyperlink r:id="rId8474" ref="C8476"/>
    <hyperlink r:id="rId8475" ref="C8477"/>
    <hyperlink r:id="rId8476" ref="C8478"/>
    <hyperlink r:id="rId8477" ref="C8479"/>
    <hyperlink r:id="rId8478" ref="C8480"/>
    <hyperlink r:id="rId8479" ref="C8481"/>
    <hyperlink r:id="rId8480" ref="C8482"/>
    <hyperlink r:id="rId8481" ref="C8483"/>
    <hyperlink r:id="rId8482" ref="C8484"/>
    <hyperlink r:id="rId8483" ref="C8485"/>
    <hyperlink r:id="rId8484" ref="C8486"/>
    <hyperlink r:id="rId8485" ref="C8487"/>
    <hyperlink r:id="rId8486" ref="C8488"/>
    <hyperlink r:id="rId8487" ref="C8489"/>
    <hyperlink r:id="rId8488" ref="C8490"/>
    <hyperlink r:id="rId8489" ref="C8491"/>
    <hyperlink r:id="rId8490" ref="C8492"/>
    <hyperlink r:id="rId8491" ref="C8493"/>
    <hyperlink r:id="rId8492" ref="C8494"/>
    <hyperlink r:id="rId8493" ref="C8495"/>
    <hyperlink r:id="rId8494" ref="C8496"/>
    <hyperlink r:id="rId8495" ref="C8497"/>
    <hyperlink r:id="rId8496" ref="C8498"/>
    <hyperlink r:id="rId8497" ref="C8499"/>
    <hyperlink r:id="rId8498" ref="C8500"/>
    <hyperlink r:id="rId8499" ref="C8501"/>
    <hyperlink r:id="rId8500" ref="C8502"/>
    <hyperlink r:id="rId8501" ref="C8503"/>
    <hyperlink r:id="rId8502" ref="C8504"/>
    <hyperlink r:id="rId8503" ref="C8505"/>
    <hyperlink r:id="rId8504" ref="C8506"/>
    <hyperlink r:id="rId8505" ref="C8507"/>
    <hyperlink r:id="rId8506" ref="C8508"/>
    <hyperlink r:id="rId8507" ref="C8509"/>
    <hyperlink r:id="rId8508" ref="C8510"/>
    <hyperlink r:id="rId8509" ref="C8511"/>
    <hyperlink r:id="rId8510" ref="C8512"/>
    <hyperlink r:id="rId8511" ref="C8513"/>
    <hyperlink r:id="rId8512" ref="C8514"/>
    <hyperlink r:id="rId8513" ref="C8515"/>
    <hyperlink r:id="rId8514" ref="C8516"/>
    <hyperlink r:id="rId8515" ref="C8517"/>
    <hyperlink r:id="rId8516" ref="C8518"/>
    <hyperlink r:id="rId8517" ref="C8519"/>
    <hyperlink r:id="rId8518" ref="C8520"/>
    <hyperlink r:id="rId8519" ref="C8521"/>
    <hyperlink r:id="rId8520" ref="C8522"/>
    <hyperlink r:id="rId8521" ref="C8523"/>
    <hyperlink r:id="rId8522" ref="C8524"/>
    <hyperlink r:id="rId8523" ref="C8525"/>
    <hyperlink r:id="rId8524" ref="C8526"/>
    <hyperlink r:id="rId8525" ref="C8527"/>
    <hyperlink r:id="rId8526" ref="C8528"/>
    <hyperlink r:id="rId8527" ref="C8529"/>
    <hyperlink r:id="rId8528" ref="C8530"/>
    <hyperlink r:id="rId8529" ref="C8531"/>
    <hyperlink r:id="rId8530" ref="C8532"/>
    <hyperlink r:id="rId8531" ref="C8533"/>
    <hyperlink r:id="rId8532" ref="C8534"/>
    <hyperlink r:id="rId8533" ref="C8535"/>
    <hyperlink r:id="rId8534" ref="C8536"/>
    <hyperlink r:id="rId8535" ref="C8537"/>
    <hyperlink r:id="rId8536" ref="C8538"/>
    <hyperlink r:id="rId8537" ref="C8539"/>
    <hyperlink r:id="rId8538" ref="C8540"/>
    <hyperlink r:id="rId8539" ref="C8541"/>
    <hyperlink r:id="rId8540" ref="C8542"/>
    <hyperlink r:id="rId8541" ref="C8543"/>
    <hyperlink r:id="rId8542" ref="C8544"/>
    <hyperlink r:id="rId8543" ref="C8545"/>
    <hyperlink r:id="rId8544" ref="C8546"/>
    <hyperlink r:id="rId8545" ref="C8547"/>
    <hyperlink r:id="rId8546" ref="C8548"/>
    <hyperlink r:id="rId8547" ref="C8549"/>
    <hyperlink r:id="rId8548" ref="C8550"/>
    <hyperlink r:id="rId8549" ref="C8551"/>
    <hyperlink r:id="rId8550" ref="C8552"/>
    <hyperlink r:id="rId8551" ref="C8553"/>
    <hyperlink r:id="rId8552" ref="C8554"/>
    <hyperlink r:id="rId8553" ref="C8555"/>
    <hyperlink r:id="rId8554" ref="C8556"/>
    <hyperlink r:id="rId8555" ref="C8557"/>
    <hyperlink r:id="rId8556" ref="C8558"/>
    <hyperlink r:id="rId8557" ref="C8559"/>
    <hyperlink r:id="rId8558" ref="C8560"/>
    <hyperlink r:id="rId8559" ref="C8561"/>
    <hyperlink r:id="rId8560" ref="C8562"/>
    <hyperlink r:id="rId8561" ref="C8563"/>
    <hyperlink r:id="rId8562" ref="C8564"/>
    <hyperlink r:id="rId8563" ref="C8565"/>
    <hyperlink r:id="rId8564" ref="C8566"/>
    <hyperlink r:id="rId8565" ref="C8567"/>
    <hyperlink r:id="rId8566" ref="C8568"/>
    <hyperlink r:id="rId8567" ref="C8569"/>
    <hyperlink r:id="rId8568" ref="C8570"/>
    <hyperlink r:id="rId8569" ref="C8571"/>
    <hyperlink r:id="rId8570" ref="C8572"/>
    <hyperlink r:id="rId8571" ref="C8573"/>
    <hyperlink r:id="rId8572" ref="C8574"/>
    <hyperlink r:id="rId8573" ref="C8575"/>
    <hyperlink r:id="rId8574" ref="C8576"/>
    <hyperlink r:id="rId8575" ref="C8577"/>
    <hyperlink r:id="rId8576" ref="C8578"/>
    <hyperlink r:id="rId8577" ref="C8579"/>
    <hyperlink r:id="rId8578" ref="C8580"/>
    <hyperlink r:id="rId8579" ref="C8581"/>
    <hyperlink r:id="rId8580" ref="C8582"/>
    <hyperlink r:id="rId8581" ref="C8583"/>
    <hyperlink r:id="rId8582" ref="C8584"/>
    <hyperlink r:id="rId8583" ref="C8585"/>
    <hyperlink r:id="rId8584" ref="C8586"/>
    <hyperlink r:id="rId8585" ref="C8587"/>
    <hyperlink r:id="rId8586" ref="C8588"/>
    <hyperlink r:id="rId8587" ref="C8589"/>
    <hyperlink r:id="rId8588" ref="C8590"/>
    <hyperlink r:id="rId8589" ref="C8591"/>
    <hyperlink r:id="rId8590" ref="C8592"/>
    <hyperlink r:id="rId8591" ref="C8593"/>
    <hyperlink r:id="rId8592" ref="C8594"/>
    <hyperlink r:id="rId8593" ref="C8595"/>
    <hyperlink r:id="rId8594" ref="C8596"/>
    <hyperlink r:id="rId8595" ref="C8597"/>
    <hyperlink r:id="rId8596" ref="C8598"/>
    <hyperlink r:id="rId8597" ref="C8599"/>
    <hyperlink r:id="rId8598" ref="C8600"/>
    <hyperlink r:id="rId8599" ref="C8601"/>
    <hyperlink r:id="rId8600" ref="C8602"/>
    <hyperlink r:id="rId8601" ref="C8603"/>
    <hyperlink r:id="rId8602" ref="C8604"/>
    <hyperlink r:id="rId8603" ref="C8605"/>
    <hyperlink r:id="rId8604" ref="C8606"/>
    <hyperlink r:id="rId8605" ref="C8607"/>
    <hyperlink r:id="rId8606" ref="C8608"/>
    <hyperlink r:id="rId8607" ref="C8609"/>
    <hyperlink r:id="rId8608" ref="C8610"/>
    <hyperlink r:id="rId8609" ref="C8611"/>
    <hyperlink r:id="rId8610" ref="C8612"/>
    <hyperlink r:id="rId8611" ref="C8613"/>
    <hyperlink r:id="rId8612" ref="C8614"/>
    <hyperlink r:id="rId8613" ref="C8615"/>
    <hyperlink r:id="rId8614" ref="C8616"/>
    <hyperlink r:id="rId8615" ref="C8617"/>
    <hyperlink r:id="rId8616" ref="C8618"/>
    <hyperlink r:id="rId8617" ref="C8619"/>
    <hyperlink r:id="rId8618" ref="C8620"/>
    <hyperlink r:id="rId8619" ref="C8621"/>
    <hyperlink r:id="rId8620" ref="C8622"/>
    <hyperlink r:id="rId8621" ref="C8623"/>
    <hyperlink r:id="rId8622" ref="C8624"/>
    <hyperlink r:id="rId8623" ref="C8625"/>
    <hyperlink r:id="rId8624" ref="C8626"/>
    <hyperlink r:id="rId8625" ref="C8627"/>
    <hyperlink r:id="rId8626" ref="C8628"/>
    <hyperlink r:id="rId8627" ref="C8629"/>
    <hyperlink r:id="rId8628" ref="C8630"/>
    <hyperlink r:id="rId8629" ref="C8631"/>
    <hyperlink r:id="rId8630" ref="C8632"/>
    <hyperlink r:id="rId8631" ref="C8633"/>
    <hyperlink r:id="rId8632" ref="C8634"/>
    <hyperlink r:id="rId8633" ref="C8635"/>
    <hyperlink r:id="rId8634" ref="C8636"/>
    <hyperlink r:id="rId8635" ref="C8637"/>
    <hyperlink r:id="rId8636" ref="C8638"/>
    <hyperlink r:id="rId8637" ref="C8639"/>
    <hyperlink r:id="rId8638" ref="C8640"/>
    <hyperlink r:id="rId8639" ref="C8641"/>
    <hyperlink r:id="rId8640" ref="C8642"/>
    <hyperlink r:id="rId8641" ref="C8643"/>
    <hyperlink r:id="rId8642" ref="C8644"/>
    <hyperlink r:id="rId8643" ref="C8645"/>
    <hyperlink r:id="rId8644" ref="C8646"/>
    <hyperlink r:id="rId8645" ref="C8647"/>
    <hyperlink r:id="rId8646" ref="C8648"/>
    <hyperlink r:id="rId8647" ref="C8649"/>
    <hyperlink r:id="rId8648" ref="C8650"/>
    <hyperlink r:id="rId8649" ref="C8651"/>
    <hyperlink r:id="rId8650" ref="C8652"/>
    <hyperlink r:id="rId8651" ref="C8653"/>
    <hyperlink r:id="rId8652" ref="C8654"/>
    <hyperlink r:id="rId8653" ref="C8655"/>
    <hyperlink r:id="rId8654" ref="C8656"/>
    <hyperlink r:id="rId8655" ref="C8657"/>
    <hyperlink r:id="rId8656" ref="C8658"/>
    <hyperlink r:id="rId8657" ref="C8659"/>
    <hyperlink r:id="rId8658" ref="C8660"/>
    <hyperlink r:id="rId8659" ref="C8661"/>
    <hyperlink r:id="rId8660" ref="C8662"/>
    <hyperlink r:id="rId8661" ref="C8663"/>
    <hyperlink r:id="rId8662" ref="C8664"/>
    <hyperlink r:id="rId8663" ref="C8665"/>
    <hyperlink r:id="rId8664" ref="C8666"/>
    <hyperlink r:id="rId8665" ref="C8667"/>
    <hyperlink r:id="rId8666" ref="C8668"/>
    <hyperlink r:id="rId8667" ref="C8669"/>
    <hyperlink r:id="rId8668" ref="C8670"/>
    <hyperlink r:id="rId8669" ref="C8671"/>
    <hyperlink r:id="rId8670" ref="C8672"/>
    <hyperlink r:id="rId8671" ref="C8673"/>
    <hyperlink r:id="rId8672" ref="C8674"/>
    <hyperlink r:id="rId8673" ref="C8675"/>
    <hyperlink r:id="rId8674" ref="C8676"/>
    <hyperlink r:id="rId8675" ref="C8677"/>
    <hyperlink r:id="rId8676" ref="C8678"/>
    <hyperlink r:id="rId8677" ref="C8679"/>
    <hyperlink r:id="rId8678" ref="C8680"/>
    <hyperlink r:id="rId8679" ref="C8681"/>
    <hyperlink r:id="rId8680" ref="C8682"/>
    <hyperlink r:id="rId8681" ref="C8683"/>
    <hyperlink r:id="rId8682" ref="C8684"/>
    <hyperlink r:id="rId8683" ref="C8685"/>
    <hyperlink r:id="rId8684" ref="C8686"/>
    <hyperlink r:id="rId8685" ref="C8687"/>
    <hyperlink r:id="rId8686" ref="C8688"/>
    <hyperlink r:id="rId8687" ref="C8689"/>
    <hyperlink r:id="rId8688" ref="C8690"/>
    <hyperlink r:id="rId8689" ref="C8691"/>
    <hyperlink r:id="rId8690" ref="C8692"/>
    <hyperlink r:id="rId8691" ref="C8693"/>
    <hyperlink r:id="rId8692" ref="C8694"/>
    <hyperlink r:id="rId8693" ref="C8695"/>
    <hyperlink r:id="rId8694" ref="C8696"/>
    <hyperlink r:id="rId8695" ref="C8697"/>
    <hyperlink r:id="rId8696" ref="C8698"/>
    <hyperlink r:id="rId8697" ref="C8699"/>
    <hyperlink r:id="rId8698" ref="C8700"/>
    <hyperlink r:id="rId8699" ref="C8701"/>
    <hyperlink r:id="rId8700" ref="C8702"/>
    <hyperlink r:id="rId8701" ref="C8703"/>
    <hyperlink r:id="rId8702" ref="C8704"/>
    <hyperlink r:id="rId8703" ref="C8705"/>
    <hyperlink r:id="rId8704" ref="C8706"/>
    <hyperlink r:id="rId8705" ref="C8707"/>
    <hyperlink r:id="rId8706" ref="C8708"/>
    <hyperlink r:id="rId8707" ref="C8709"/>
    <hyperlink r:id="rId8708" ref="C8710"/>
    <hyperlink r:id="rId8709" ref="C8711"/>
    <hyperlink r:id="rId8710" ref="C8712"/>
    <hyperlink r:id="rId8711" ref="C8713"/>
    <hyperlink r:id="rId8712" ref="C8714"/>
    <hyperlink r:id="rId8713" ref="C8715"/>
    <hyperlink r:id="rId8714" ref="C8716"/>
    <hyperlink r:id="rId8715" ref="C8717"/>
    <hyperlink r:id="rId8716" ref="C8718"/>
    <hyperlink r:id="rId8717" ref="C8719"/>
    <hyperlink r:id="rId8718" ref="C8720"/>
    <hyperlink r:id="rId8719" ref="C8721"/>
    <hyperlink r:id="rId8720" ref="C8722"/>
    <hyperlink r:id="rId8721" ref="C8723"/>
    <hyperlink r:id="rId8722" ref="C8724"/>
    <hyperlink r:id="rId8723" ref="C8725"/>
    <hyperlink r:id="rId8724" ref="C8726"/>
    <hyperlink r:id="rId8725" ref="C8727"/>
    <hyperlink r:id="rId8726" ref="C8728"/>
    <hyperlink r:id="rId8727" ref="C8729"/>
    <hyperlink r:id="rId8728" ref="C8730"/>
    <hyperlink r:id="rId8729" ref="C8731"/>
    <hyperlink r:id="rId8730" ref="C8732"/>
    <hyperlink r:id="rId8731" ref="C8733"/>
    <hyperlink r:id="rId8732" ref="C8734"/>
    <hyperlink r:id="rId8733" ref="C8735"/>
    <hyperlink r:id="rId8734" ref="C8736"/>
    <hyperlink r:id="rId8735" ref="C8737"/>
    <hyperlink r:id="rId8736" ref="C8738"/>
    <hyperlink r:id="rId8737" ref="C8739"/>
    <hyperlink r:id="rId8738" ref="C8740"/>
    <hyperlink r:id="rId8739" ref="C8741"/>
    <hyperlink r:id="rId8740" ref="C8742"/>
    <hyperlink r:id="rId8741" ref="C8743"/>
    <hyperlink r:id="rId8742" ref="C8744"/>
    <hyperlink r:id="rId8743" ref="C8745"/>
    <hyperlink r:id="rId8744" ref="C8746"/>
    <hyperlink r:id="rId8745" ref="C8747"/>
    <hyperlink r:id="rId8746" ref="C8748"/>
    <hyperlink r:id="rId8747" ref="C8749"/>
    <hyperlink r:id="rId8748" ref="C8750"/>
    <hyperlink r:id="rId8749" ref="C8751"/>
    <hyperlink r:id="rId8750" ref="C8752"/>
    <hyperlink r:id="rId8751" ref="C8753"/>
    <hyperlink r:id="rId8752" ref="C8754"/>
    <hyperlink r:id="rId8753" ref="C8755"/>
    <hyperlink r:id="rId8754" ref="C8756"/>
    <hyperlink r:id="rId8755" ref="C8757"/>
    <hyperlink r:id="rId8756" ref="C8758"/>
    <hyperlink r:id="rId8757" ref="C8759"/>
    <hyperlink r:id="rId8758" ref="C8760"/>
    <hyperlink r:id="rId8759" ref="C8761"/>
    <hyperlink r:id="rId8760" ref="C8762"/>
    <hyperlink r:id="rId8761" ref="C8763"/>
    <hyperlink r:id="rId8762" ref="C8764"/>
    <hyperlink r:id="rId8763" ref="C8765"/>
    <hyperlink r:id="rId8764" ref="C8766"/>
    <hyperlink r:id="rId8765" ref="C8767"/>
    <hyperlink r:id="rId8766" ref="C8768"/>
    <hyperlink r:id="rId8767" ref="C8769"/>
    <hyperlink r:id="rId8768" ref="C8770"/>
    <hyperlink r:id="rId8769" ref="C8771"/>
    <hyperlink r:id="rId8770" ref="C8772"/>
    <hyperlink r:id="rId8771" ref="C8773"/>
    <hyperlink r:id="rId8772" ref="C8774"/>
    <hyperlink r:id="rId8773" ref="C8775"/>
    <hyperlink r:id="rId8774" ref="C8776"/>
    <hyperlink r:id="rId8775" ref="C8777"/>
    <hyperlink r:id="rId8776" ref="C8778"/>
    <hyperlink r:id="rId8777" ref="C8779"/>
    <hyperlink r:id="rId8778" ref="C8780"/>
    <hyperlink r:id="rId8779" ref="C8781"/>
    <hyperlink r:id="rId8780" ref="C8782"/>
    <hyperlink r:id="rId8781" ref="C8783"/>
    <hyperlink r:id="rId8782" ref="C8784"/>
    <hyperlink r:id="rId8783" ref="C8785"/>
    <hyperlink r:id="rId8784" ref="C8786"/>
    <hyperlink r:id="rId8785" ref="C8787"/>
    <hyperlink r:id="rId8786" ref="C8788"/>
    <hyperlink r:id="rId8787" ref="C8789"/>
    <hyperlink r:id="rId8788" ref="C8790"/>
    <hyperlink r:id="rId8789" ref="C8791"/>
    <hyperlink r:id="rId8790" ref="C8792"/>
    <hyperlink r:id="rId8791" ref="C8793"/>
    <hyperlink r:id="rId8792" ref="C8794"/>
    <hyperlink r:id="rId8793" ref="C8795"/>
    <hyperlink r:id="rId8794" ref="C8796"/>
    <hyperlink r:id="rId8795" ref="C8797"/>
    <hyperlink r:id="rId8796" ref="C8798"/>
    <hyperlink r:id="rId8797" ref="C8799"/>
    <hyperlink r:id="rId8798" ref="C8800"/>
    <hyperlink r:id="rId8799" ref="C8801"/>
    <hyperlink r:id="rId8800" ref="C8802"/>
    <hyperlink r:id="rId8801" ref="C8803"/>
    <hyperlink r:id="rId8802" ref="C8804"/>
    <hyperlink r:id="rId8803" ref="C8805"/>
    <hyperlink r:id="rId8804" ref="C8806"/>
    <hyperlink r:id="rId8805" ref="C8807"/>
  </hyperlinks>
  <drawing r:id="rId88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>
      <c r="A2" s="14">
        <v>45744.0</v>
      </c>
      <c r="B2" s="1" t="b">
        <v>1</v>
      </c>
      <c r="C2" s="1" t="b">
        <v>0</v>
      </c>
      <c r="D2" s="1" t="b">
        <v>1</v>
      </c>
      <c r="E2" s="1" t="b">
        <v>1</v>
      </c>
      <c r="F2" s="1" t="b">
        <v>1</v>
      </c>
      <c r="G2" s="15" t="b">
        <v>1</v>
      </c>
      <c r="H2" s="1" t="b">
        <v>1</v>
      </c>
      <c r="I2" s="1" t="b">
        <v>1</v>
      </c>
    </row>
    <row r="3">
      <c r="A3" s="14">
        <v>45745.0</v>
      </c>
      <c r="B3" s="1" t="b">
        <v>1</v>
      </c>
      <c r="C3" s="15" t="b">
        <v>1</v>
      </c>
      <c r="D3" s="1" t="b">
        <v>1</v>
      </c>
      <c r="E3" s="15" t="b">
        <v>1</v>
      </c>
      <c r="F3" s="15" t="b">
        <v>1</v>
      </c>
      <c r="G3" s="15" t="b">
        <v>1</v>
      </c>
      <c r="H3" s="1" t="b">
        <v>1</v>
      </c>
      <c r="I3" s="1" t="b">
        <v>1</v>
      </c>
    </row>
    <row r="4">
      <c r="A4" s="14">
        <v>45746.0</v>
      </c>
      <c r="B4" s="15" t="b">
        <v>1</v>
      </c>
      <c r="C4" s="15" t="b">
        <v>1</v>
      </c>
      <c r="D4" s="15" t="b">
        <v>1</v>
      </c>
      <c r="E4" s="15" t="b">
        <v>1</v>
      </c>
      <c r="F4" s="15" t="b">
        <v>1</v>
      </c>
      <c r="G4" s="15" t="b">
        <v>1</v>
      </c>
      <c r="H4" s="15" t="b">
        <v>1</v>
      </c>
      <c r="I4" s="15" t="b">
        <v>1</v>
      </c>
    </row>
    <row r="5">
      <c r="A5" s="14">
        <v>45747.0</v>
      </c>
      <c r="B5" s="1" t="b">
        <v>1</v>
      </c>
      <c r="C5" s="15" t="b">
        <v>1</v>
      </c>
      <c r="D5" s="15" t="b">
        <v>1</v>
      </c>
      <c r="E5" s="1" t="b">
        <v>1</v>
      </c>
      <c r="F5" s="1" t="b">
        <v>1</v>
      </c>
      <c r="G5" s="15" t="b">
        <v>1</v>
      </c>
      <c r="H5" s="15" t="b">
        <v>1</v>
      </c>
      <c r="I5" s="15" t="b">
        <v>1</v>
      </c>
    </row>
    <row r="6">
      <c r="A6" s="14">
        <v>45748.0</v>
      </c>
      <c r="B6" s="15" t="b">
        <v>1</v>
      </c>
      <c r="C6" s="1" t="b">
        <v>1</v>
      </c>
      <c r="D6" s="15" t="b">
        <v>1</v>
      </c>
      <c r="E6" s="1" t="b">
        <v>1</v>
      </c>
      <c r="F6" s="1" t="b">
        <v>1</v>
      </c>
      <c r="G6" s="15" t="b">
        <v>1</v>
      </c>
      <c r="H6" s="15" t="b">
        <v>1</v>
      </c>
      <c r="I6" s="4" t="b">
        <v>0</v>
      </c>
    </row>
    <row r="7">
      <c r="A7" s="14">
        <v>45749.0</v>
      </c>
      <c r="B7" s="15" t="b">
        <v>1</v>
      </c>
      <c r="C7" s="15" t="b">
        <v>1</v>
      </c>
      <c r="D7" s="1" t="b">
        <v>1</v>
      </c>
      <c r="E7" s="4" t="b">
        <v>0</v>
      </c>
      <c r="F7" s="15" t="b">
        <v>1</v>
      </c>
      <c r="G7" s="15" t="b">
        <v>1</v>
      </c>
      <c r="H7" s="15" t="b">
        <v>1</v>
      </c>
      <c r="I7" s="15" t="b">
        <v>1</v>
      </c>
    </row>
    <row r="8">
      <c r="A8" s="14">
        <v>45750.0</v>
      </c>
      <c r="B8" s="15" t="b">
        <v>1</v>
      </c>
      <c r="C8" s="1" t="b">
        <v>1</v>
      </c>
      <c r="D8" s="1" t="b">
        <v>1</v>
      </c>
      <c r="E8" s="1" t="b">
        <v>1</v>
      </c>
      <c r="F8" s="1" t="b">
        <v>1</v>
      </c>
      <c r="G8" s="1" t="b">
        <v>1</v>
      </c>
      <c r="H8" s="1" t="b">
        <v>1</v>
      </c>
      <c r="I8" s="1" t="b">
        <v>1</v>
      </c>
    </row>
    <row r="9">
      <c r="A9" s="14">
        <v>45751.0</v>
      </c>
      <c r="B9" s="15" t="b">
        <v>1</v>
      </c>
      <c r="C9" s="4" t="b">
        <v>0</v>
      </c>
      <c r="D9" s="15" t="b">
        <v>1</v>
      </c>
      <c r="E9" s="1" t="b">
        <v>1</v>
      </c>
      <c r="F9" s="15" t="b">
        <v>1</v>
      </c>
      <c r="G9" s="15" t="b">
        <v>1</v>
      </c>
      <c r="H9" s="1" t="b">
        <v>1</v>
      </c>
      <c r="I9" s="15" t="b">
        <v>1</v>
      </c>
    </row>
    <row r="10">
      <c r="A10" s="14">
        <v>45752.0</v>
      </c>
      <c r="B10" s="4" t="b">
        <v>0</v>
      </c>
      <c r="C10" s="15" t="b">
        <v>1</v>
      </c>
      <c r="D10" s="4" t="b">
        <v>0</v>
      </c>
      <c r="E10" s="1" t="b">
        <v>1</v>
      </c>
      <c r="F10" s="1" t="b">
        <v>1</v>
      </c>
      <c r="G10" s="15" t="b">
        <v>1</v>
      </c>
      <c r="H10" s="4" t="b">
        <v>0</v>
      </c>
      <c r="I10" s="1" t="b">
        <v>1</v>
      </c>
    </row>
    <row r="11">
      <c r="A11" s="14">
        <v>45753.0</v>
      </c>
      <c r="B11" s="4" t="b">
        <v>0</v>
      </c>
      <c r="C11" s="15" t="b">
        <v>1</v>
      </c>
      <c r="D11" s="4" t="b">
        <v>0</v>
      </c>
      <c r="E11" s="4" t="b">
        <v>0</v>
      </c>
      <c r="F11" s="4" t="b">
        <v>0</v>
      </c>
      <c r="G11" s="15" t="b">
        <v>1</v>
      </c>
      <c r="H11" s="15" t="b">
        <v>1</v>
      </c>
      <c r="I11" s="15" t="b">
        <v>1</v>
      </c>
    </row>
    <row r="12">
      <c r="A12" s="14">
        <v>45754.0</v>
      </c>
      <c r="B12" s="15" t="b">
        <v>1</v>
      </c>
      <c r="C12" s="1" t="b">
        <v>1</v>
      </c>
      <c r="D12" s="15" t="b">
        <v>1</v>
      </c>
      <c r="E12" s="15" t="b">
        <v>1</v>
      </c>
      <c r="F12" s="15" t="b">
        <v>1</v>
      </c>
      <c r="G12" s="15" t="b">
        <v>1</v>
      </c>
      <c r="H12" s="15" t="b">
        <v>1</v>
      </c>
      <c r="I12" s="15" t="b">
        <v>1</v>
      </c>
    </row>
    <row r="13">
      <c r="A13" s="14">
        <v>45755.0</v>
      </c>
      <c r="B13" s="15" t="b">
        <v>1</v>
      </c>
      <c r="C13" s="15" t="b">
        <v>1</v>
      </c>
      <c r="D13" s="15" t="b">
        <v>1</v>
      </c>
      <c r="E13" s="15" t="b">
        <v>1</v>
      </c>
      <c r="F13" s="15" t="b">
        <v>1</v>
      </c>
      <c r="G13" s="15" t="b">
        <v>1</v>
      </c>
      <c r="H13" s="15" t="b">
        <v>1</v>
      </c>
      <c r="I13" s="4" t="b">
        <v>0</v>
      </c>
    </row>
    <row r="14">
      <c r="A14" s="14">
        <v>45756.0</v>
      </c>
      <c r="B14" s="15" t="b">
        <v>1</v>
      </c>
      <c r="C14" s="1" t="b">
        <v>1</v>
      </c>
      <c r="D14" s="15" t="b">
        <v>1</v>
      </c>
      <c r="E14" s="1" t="b">
        <v>1</v>
      </c>
      <c r="F14" s="15" t="b">
        <v>1</v>
      </c>
      <c r="G14" s="15" t="b">
        <v>1</v>
      </c>
      <c r="H14" s="1" t="b">
        <v>1</v>
      </c>
      <c r="I14" s="1" t="b">
        <v>1</v>
      </c>
    </row>
    <row r="15">
      <c r="A15" s="14">
        <v>45757.0</v>
      </c>
      <c r="B15" s="15" t="b">
        <v>1</v>
      </c>
      <c r="C15" s="15" t="b">
        <v>1</v>
      </c>
      <c r="D15" s="15" t="b">
        <v>1</v>
      </c>
      <c r="E15" s="15" t="b">
        <v>1</v>
      </c>
      <c r="F15" s="15" t="b">
        <v>1</v>
      </c>
      <c r="G15" s="15" t="b">
        <v>1</v>
      </c>
      <c r="H15" s="15" t="b">
        <v>1</v>
      </c>
      <c r="I15" s="15" t="b">
        <v>1</v>
      </c>
    </row>
    <row r="16">
      <c r="A16" s="14">
        <v>45758.0</v>
      </c>
      <c r="B16" s="15" t="b">
        <v>1</v>
      </c>
      <c r="C16" s="1" t="b">
        <v>0</v>
      </c>
      <c r="D16" s="1" t="b">
        <v>1</v>
      </c>
      <c r="E16" s="1" t="b">
        <v>1</v>
      </c>
      <c r="F16" s="15" t="b">
        <v>1</v>
      </c>
      <c r="G16" s="15" t="b">
        <v>1</v>
      </c>
      <c r="H16" s="4" t="b">
        <v>0</v>
      </c>
      <c r="I16" s="15" t="b">
        <v>1</v>
      </c>
    </row>
    <row r="17">
      <c r="A17" s="14">
        <v>45759.0</v>
      </c>
      <c r="B17" s="4" t="b">
        <v>0</v>
      </c>
      <c r="C17" s="1" t="b">
        <v>1</v>
      </c>
      <c r="D17" s="1" t="b">
        <v>0</v>
      </c>
      <c r="E17" s="1" t="b">
        <v>1</v>
      </c>
      <c r="F17" s="1" t="b">
        <v>1</v>
      </c>
      <c r="G17" s="1" t="b">
        <v>1</v>
      </c>
      <c r="H17" s="1" t="b">
        <v>0</v>
      </c>
      <c r="I17" s="4" t="b">
        <v>0</v>
      </c>
    </row>
    <row r="18">
      <c r="A18" s="14">
        <v>45760.0</v>
      </c>
      <c r="B18" s="4" t="b">
        <v>0</v>
      </c>
      <c r="C18" s="1" t="b">
        <v>1</v>
      </c>
      <c r="D18" s="4" t="b">
        <v>0</v>
      </c>
      <c r="E18" s="1" t="b">
        <v>1</v>
      </c>
      <c r="F18" s="15" t="b">
        <v>1</v>
      </c>
      <c r="G18" s="1" t="b">
        <v>1</v>
      </c>
      <c r="H18" s="1" t="b">
        <v>1</v>
      </c>
      <c r="I18" s="1" t="b">
        <v>1</v>
      </c>
    </row>
    <row r="19">
      <c r="A19" s="14">
        <v>45761.0</v>
      </c>
      <c r="B19" s="15" t="b">
        <v>1</v>
      </c>
      <c r="C19" s="15" t="b">
        <v>1</v>
      </c>
      <c r="D19" s="15" t="b">
        <v>1</v>
      </c>
      <c r="E19" s="15" t="b">
        <v>1</v>
      </c>
      <c r="F19" s="15" t="b">
        <v>1</v>
      </c>
      <c r="G19" s="15" t="b">
        <v>1</v>
      </c>
      <c r="H19" s="15" t="b">
        <v>1</v>
      </c>
      <c r="I19" s="15" t="b">
        <v>1</v>
      </c>
    </row>
    <row r="20">
      <c r="A20" s="14">
        <v>45762.0</v>
      </c>
      <c r="B20" s="15" t="b">
        <v>1</v>
      </c>
      <c r="C20" s="15" t="b">
        <v>1</v>
      </c>
      <c r="D20" s="15" t="b">
        <v>1</v>
      </c>
      <c r="E20" s="15" t="b">
        <v>1</v>
      </c>
      <c r="F20" s="15" t="b">
        <v>1</v>
      </c>
      <c r="G20" s="15" t="b">
        <v>1</v>
      </c>
      <c r="H20" s="15" t="b">
        <v>1</v>
      </c>
      <c r="I20" s="1" t="b">
        <v>0</v>
      </c>
    </row>
    <row r="21">
      <c r="A21" s="14">
        <v>45763.0</v>
      </c>
      <c r="B21" s="15" t="b">
        <v>1</v>
      </c>
      <c r="C21" s="15" t="b">
        <v>1</v>
      </c>
      <c r="D21" s="1" t="b">
        <v>1</v>
      </c>
      <c r="E21" s="15" t="b">
        <v>1</v>
      </c>
      <c r="F21" s="15" t="b">
        <v>1</v>
      </c>
      <c r="G21" s="15" t="b">
        <v>1</v>
      </c>
      <c r="H21" s="15" t="b">
        <v>1</v>
      </c>
      <c r="I21" s="15" t="b">
        <v>1</v>
      </c>
    </row>
    <row r="22">
      <c r="A22" s="14">
        <v>45764.0</v>
      </c>
      <c r="B22" s="15" t="b">
        <v>1</v>
      </c>
      <c r="C22" s="1" t="b">
        <v>1</v>
      </c>
      <c r="D22" s="15" t="b">
        <v>1</v>
      </c>
      <c r="E22" s="1" t="b">
        <v>1</v>
      </c>
      <c r="F22" s="15" t="b">
        <v>1</v>
      </c>
      <c r="G22" s="15" t="b">
        <v>1</v>
      </c>
      <c r="H22" s="15" t="b">
        <v>1</v>
      </c>
      <c r="I22" s="15" t="b">
        <v>1</v>
      </c>
    </row>
    <row r="23">
      <c r="A23" s="14">
        <v>45765.0</v>
      </c>
      <c r="B23" s="1" t="b">
        <v>1</v>
      </c>
      <c r="C23" s="15" t="b">
        <v>1</v>
      </c>
      <c r="D23" s="15" t="b">
        <v>1</v>
      </c>
      <c r="E23" s="15" t="b">
        <v>1</v>
      </c>
      <c r="F23" s="15" t="b">
        <v>1</v>
      </c>
      <c r="G23" s="15" t="b">
        <v>1</v>
      </c>
      <c r="H23" s="15" t="b">
        <v>1</v>
      </c>
      <c r="I23" s="15" t="b">
        <v>1</v>
      </c>
    </row>
    <row r="24">
      <c r="A24" s="14">
        <v>45766.0</v>
      </c>
      <c r="B24" s="4" t="b">
        <v>0</v>
      </c>
      <c r="C24" s="1" t="b">
        <v>1</v>
      </c>
      <c r="D24" s="4" t="b">
        <v>0</v>
      </c>
      <c r="E24" s="15" t="b">
        <v>1</v>
      </c>
      <c r="F24" s="15" t="b">
        <v>1</v>
      </c>
      <c r="G24" s="15" t="b">
        <v>1</v>
      </c>
      <c r="H24" s="1" t="b">
        <v>1</v>
      </c>
      <c r="I24" s="1" t="b">
        <v>1</v>
      </c>
    </row>
    <row r="25">
      <c r="A25" s="14">
        <v>45767.0</v>
      </c>
      <c r="B25" s="4" t="b">
        <v>0</v>
      </c>
      <c r="C25" s="15" t="b">
        <v>1</v>
      </c>
      <c r="D25" s="4" t="b">
        <v>0</v>
      </c>
      <c r="E25" s="15" t="b">
        <v>1</v>
      </c>
      <c r="F25" s="15" t="b">
        <v>1</v>
      </c>
      <c r="G25" s="15" t="b">
        <v>1</v>
      </c>
      <c r="H25" s="15" t="b">
        <v>1</v>
      </c>
      <c r="I25" s="15" t="b">
        <v>1</v>
      </c>
    </row>
    <row r="26">
      <c r="A26" s="14">
        <v>45768.0</v>
      </c>
      <c r="B26" s="15" t="b">
        <v>1</v>
      </c>
      <c r="C26" s="15" t="b">
        <v>1</v>
      </c>
      <c r="D26" s="15" t="b">
        <v>1</v>
      </c>
      <c r="E26" s="4" t="b">
        <v>0</v>
      </c>
      <c r="F26" s="15" t="b">
        <v>1</v>
      </c>
      <c r="G26" s="15" t="b">
        <v>1</v>
      </c>
      <c r="H26" s="15" t="b">
        <v>1</v>
      </c>
      <c r="I26" s="15" t="b">
        <v>1</v>
      </c>
    </row>
    <row r="27">
      <c r="A27" s="14">
        <v>45769.0</v>
      </c>
      <c r="B27" s="15" t="b">
        <v>1</v>
      </c>
      <c r="C27" s="15" t="b">
        <v>1</v>
      </c>
      <c r="D27" s="15" t="b">
        <v>1</v>
      </c>
      <c r="E27" s="4" t="b">
        <v>0</v>
      </c>
      <c r="F27" s="4" t="b">
        <v>0</v>
      </c>
      <c r="G27" s="15" t="b">
        <v>1</v>
      </c>
      <c r="H27" s="15" t="b">
        <v>1</v>
      </c>
      <c r="I27" s="15" t="b">
        <v>1</v>
      </c>
    </row>
    <row r="28">
      <c r="A28" s="14">
        <v>45770.0</v>
      </c>
      <c r="B28" s="15" t="b">
        <v>1</v>
      </c>
      <c r="C28" s="15" t="b">
        <v>1</v>
      </c>
      <c r="D28" s="15" t="b">
        <v>1</v>
      </c>
      <c r="E28" s="15" t="b">
        <v>1</v>
      </c>
      <c r="F28" s="15" t="b">
        <v>1</v>
      </c>
      <c r="G28" s="15" t="b">
        <v>1</v>
      </c>
      <c r="H28" s="15" t="b">
        <v>1</v>
      </c>
      <c r="I28" s="15" t="b">
        <v>1</v>
      </c>
    </row>
    <row r="29">
      <c r="A29" s="14">
        <v>45771.0</v>
      </c>
      <c r="B29" s="15" t="b">
        <v>1</v>
      </c>
      <c r="C29" s="15" t="b">
        <v>1</v>
      </c>
      <c r="D29" s="15" t="b">
        <v>1</v>
      </c>
      <c r="E29" s="4" t="b">
        <v>0</v>
      </c>
      <c r="F29" s="15" t="b">
        <v>1</v>
      </c>
      <c r="G29" s="15" t="b">
        <v>1</v>
      </c>
      <c r="H29" s="15" t="b">
        <v>1</v>
      </c>
      <c r="I29" s="15" t="b">
        <v>1</v>
      </c>
    </row>
    <row r="30">
      <c r="A30" s="14">
        <v>45772.0</v>
      </c>
      <c r="B30" s="4" t="b">
        <v>0</v>
      </c>
      <c r="C30" s="4" t="b">
        <v>0</v>
      </c>
      <c r="D30" s="15" t="b">
        <v>1</v>
      </c>
      <c r="E30" s="4" t="b">
        <v>0</v>
      </c>
      <c r="F30" s="15" t="b">
        <v>1</v>
      </c>
      <c r="G30" s="15" t="b">
        <v>1</v>
      </c>
      <c r="H30" s="15" t="b">
        <v>1</v>
      </c>
      <c r="I30" s="15" t="b">
        <v>1</v>
      </c>
    </row>
    <row r="31">
      <c r="A31" s="14">
        <v>45773.0</v>
      </c>
      <c r="B31" s="4" t="b">
        <v>0</v>
      </c>
      <c r="C31" s="15" t="b">
        <v>1</v>
      </c>
      <c r="D31" s="4" t="b">
        <v>0</v>
      </c>
      <c r="E31" s="15" t="b">
        <v>1</v>
      </c>
      <c r="F31" s="15" t="b">
        <v>1</v>
      </c>
      <c r="G31" s="15" t="b">
        <v>1</v>
      </c>
      <c r="H31" s="4" t="b">
        <v>0</v>
      </c>
      <c r="I31" s="15" t="b">
        <v>1</v>
      </c>
    </row>
    <row r="32">
      <c r="A32" s="14">
        <v>45774.0</v>
      </c>
      <c r="B32" s="15" t="b">
        <v>1</v>
      </c>
      <c r="C32" s="15" t="b">
        <v>1</v>
      </c>
      <c r="D32" s="15" t="b">
        <v>1</v>
      </c>
      <c r="E32" s="15" t="b">
        <v>1</v>
      </c>
      <c r="F32" s="15" t="b">
        <v>1</v>
      </c>
      <c r="G32" s="15" t="b">
        <v>1</v>
      </c>
      <c r="H32" s="15" t="b">
        <v>1</v>
      </c>
      <c r="I32" s="15" t="b">
        <v>1</v>
      </c>
    </row>
    <row r="33">
      <c r="A33" s="14">
        <v>45775.0</v>
      </c>
      <c r="B33" s="15" t="b">
        <v>1</v>
      </c>
      <c r="C33" s="15" t="b">
        <v>1</v>
      </c>
      <c r="D33" s="15" t="b">
        <v>1</v>
      </c>
      <c r="E33" s="15" t="b">
        <v>1</v>
      </c>
      <c r="F33" s="15" t="b">
        <v>1</v>
      </c>
      <c r="G33" s="15" t="b">
        <v>1</v>
      </c>
      <c r="H33" s="15" t="b">
        <v>1</v>
      </c>
      <c r="I33" s="15" t="b">
        <v>1</v>
      </c>
    </row>
    <row r="34">
      <c r="A34" s="14">
        <v>45776.0</v>
      </c>
      <c r="B34" s="15" t="b">
        <v>1</v>
      </c>
      <c r="C34" s="15" t="b">
        <v>1</v>
      </c>
      <c r="D34" s="15" t="b">
        <v>1</v>
      </c>
      <c r="E34" s="15" t="b">
        <v>1</v>
      </c>
      <c r="F34" s="15" t="b">
        <v>1</v>
      </c>
      <c r="G34" s="15" t="b">
        <v>1</v>
      </c>
      <c r="H34" s="15" t="b">
        <v>1</v>
      </c>
      <c r="I34" s="15" t="b">
        <v>1</v>
      </c>
    </row>
    <row r="35">
      <c r="A35" s="14">
        <v>45777.0</v>
      </c>
      <c r="B35" s="15" t="b">
        <v>1</v>
      </c>
      <c r="C35" s="15" t="b">
        <v>1</v>
      </c>
      <c r="D35" s="15" t="b">
        <v>1</v>
      </c>
      <c r="E35" s="15" t="b">
        <v>1</v>
      </c>
      <c r="F35" s="15" t="b">
        <v>1</v>
      </c>
      <c r="G35" s="15" t="b">
        <v>1</v>
      </c>
      <c r="H35" s="15" t="b">
        <v>1</v>
      </c>
      <c r="I35" s="15" t="b">
        <v>1</v>
      </c>
    </row>
    <row r="36">
      <c r="A36" s="14">
        <v>45778.0</v>
      </c>
      <c r="B36" s="15" t="b">
        <v>1</v>
      </c>
      <c r="C36" s="4" t="b">
        <v>0</v>
      </c>
      <c r="D36" s="4" t="b">
        <v>0</v>
      </c>
      <c r="E36" s="15" t="b">
        <v>1</v>
      </c>
      <c r="F36" s="15" t="b">
        <v>1</v>
      </c>
      <c r="G36" s="15" t="b">
        <v>1</v>
      </c>
      <c r="H36" s="15" t="b">
        <v>1</v>
      </c>
      <c r="I36" s="15" t="b">
        <v>1</v>
      </c>
    </row>
    <row r="37">
      <c r="A37" s="14">
        <v>45779.0</v>
      </c>
      <c r="B37" s="4" t="b">
        <v>0</v>
      </c>
      <c r="C37" s="4" t="b">
        <v>0</v>
      </c>
      <c r="D37" s="15" t="b">
        <v>1</v>
      </c>
      <c r="E37" s="15" t="b">
        <v>1</v>
      </c>
      <c r="F37" s="15" t="b">
        <v>1</v>
      </c>
      <c r="G37" s="15" t="b">
        <v>1</v>
      </c>
      <c r="H37" s="1" t="b">
        <v>1</v>
      </c>
      <c r="I37" s="4" t="b">
        <v>0</v>
      </c>
    </row>
    <row r="38">
      <c r="A38" s="14">
        <v>45780.0</v>
      </c>
      <c r="B38" s="4" t="b">
        <v>0</v>
      </c>
      <c r="C38" s="15" t="b">
        <v>1</v>
      </c>
      <c r="D38" s="4" t="b">
        <v>0</v>
      </c>
      <c r="E38" s="15" t="b">
        <v>1</v>
      </c>
      <c r="F38" s="15" t="b">
        <v>1</v>
      </c>
      <c r="G38" s="15" t="b">
        <v>1</v>
      </c>
      <c r="H38" s="15" t="b">
        <v>1</v>
      </c>
      <c r="I38" s="15" t="b">
        <v>1</v>
      </c>
    </row>
    <row r="39">
      <c r="A39" s="14">
        <v>45781.0</v>
      </c>
      <c r="B39" s="4" t="b">
        <v>0</v>
      </c>
      <c r="C39" s="15" t="b">
        <v>1</v>
      </c>
      <c r="D39" s="4" t="b">
        <v>0</v>
      </c>
      <c r="E39" s="15" t="b">
        <v>1</v>
      </c>
      <c r="F39" s="15" t="b">
        <v>1</v>
      </c>
      <c r="G39" s="15" t="b">
        <v>1</v>
      </c>
      <c r="H39" s="15" t="b">
        <v>1</v>
      </c>
      <c r="I39" s="15" t="b">
        <v>1</v>
      </c>
    </row>
    <row r="40">
      <c r="A40" s="14">
        <v>45782.0</v>
      </c>
      <c r="B40" s="4" t="b">
        <v>0</v>
      </c>
      <c r="C40" s="15" t="b">
        <v>1</v>
      </c>
      <c r="D40" s="15" t="b">
        <v>1</v>
      </c>
      <c r="E40" s="15" t="b">
        <v>1</v>
      </c>
      <c r="F40" s="15" t="b">
        <v>1</v>
      </c>
      <c r="G40" s="15" t="b">
        <v>1</v>
      </c>
      <c r="H40" s="15" t="b">
        <v>1</v>
      </c>
      <c r="I40" s="15" t="b">
        <v>1</v>
      </c>
    </row>
    <row r="41">
      <c r="A41" s="14">
        <v>45783.0</v>
      </c>
      <c r="B41" s="4" t="b">
        <v>0</v>
      </c>
      <c r="C41" s="15" t="b">
        <v>1</v>
      </c>
      <c r="D41" s="4" t="b">
        <v>0</v>
      </c>
      <c r="E41" s="4" t="b">
        <v>0</v>
      </c>
      <c r="F41" s="4" t="b">
        <v>0</v>
      </c>
      <c r="G41" s="15" t="b">
        <v>1</v>
      </c>
      <c r="H41" s="15" t="b">
        <v>1</v>
      </c>
      <c r="I41" s="15" t="b">
        <v>1</v>
      </c>
    </row>
    <row r="42">
      <c r="A42" s="14">
        <v>45784.0</v>
      </c>
      <c r="B42" s="15" t="b">
        <v>1</v>
      </c>
      <c r="C42" s="15" t="b">
        <v>1</v>
      </c>
      <c r="D42" s="15" t="b">
        <v>1</v>
      </c>
      <c r="E42" s="15" t="b">
        <v>1</v>
      </c>
      <c r="F42" s="15" t="b">
        <v>1</v>
      </c>
      <c r="G42" s="15" t="b">
        <v>1</v>
      </c>
      <c r="H42" s="15" t="b">
        <v>1</v>
      </c>
      <c r="I42" s="15" t="b">
        <v>1</v>
      </c>
    </row>
    <row r="43">
      <c r="A43" s="14">
        <v>45785.0</v>
      </c>
      <c r="B43" s="4" t="b">
        <v>0</v>
      </c>
      <c r="C43" s="15" t="b">
        <v>1</v>
      </c>
      <c r="D43" s="4" t="b">
        <v>0</v>
      </c>
      <c r="E43" s="15" t="b">
        <v>1</v>
      </c>
      <c r="F43" s="15" t="b">
        <v>1</v>
      </c>
      <c r="G43" s="15" t="b">
        <v>1</v>
      </c>
      <c r="H43" s="15" t="b">
        <v>1</v>
      </c>
      <c r="I43" s="1" t="b">
        <v>1</v>
      </c>
    </row>
    <row r="44">
      <c r="A44" s="14">
        <v>45786.0</v>
      </c>
      <c r="B44" s="4" t="b">
        <v>0</v>
      </c>
      <c r="C44" s="4" t="b">
        <v>0</v>
      </c>
      <c r="D44" s="15" t="b">
        <v>1</v>
      </c>
      <c r="E44" s="15" t="b">
        <v>1</v>
      </c>
      <c r="F44" s="15" t="b">
        <v>1</v>
      </c>
      <c r="G44" s="15" t="b">
        <v>1</v>
      </c>
      <c r="H44" s="15" t="b">
        <v>1</v>
      </c>
      <c r="I44" s="15" t="b">
        <v>1</v>
      </c>
    </row>
    <row r="45">
      <c r="A45" s="14">
        <v>45787.0</v>
      </c>
      <c r="B45" s="4" t="b">
        <v>0</v>
      </c>
      <c r="C45" s="4" t="b">
        <v>0</v>
      </c>
      <c r="D45" s="4" t="b">
        <v>0</v>
      </c>
      <c r="E45" s="15" t="b">
        <v>1</v>
      </c>
      <c r="F45" s="15" t="b">
        <v>1</v>
      </c>
      <c r="G45" s="15" t="b">
        <v>1</v>
      </c>
      <c r="H45" s="4" t="b">
        <v>0</v>
      </c>
      <c r="I45" s="4" t="b">
        <v>0</v>
      </c>
    </row>
    <row r="46">
      <c r="A46" s="14">
        <v>45788.0</v>
      </c>
      <c r="B46" s="1" t="b">
        <v>0</v>
      </c>
      <c r="C46" s="15" t="b">
        <v>1</v>
      </c>
      <c r="D46" s="4" t="b">
        <v>0</v>
      </c>
      <c r="E46" s="15" t="b">
        <v>1</v>
      </c>
      <c r="F46" s="15" t="b">
        <v>1</v>
      </c>
      <c r="G46" s="15" t="b">
        <v>1</v>
      </c>
      <c r="H46" s="15" t="b">
        <v>1</v>
      </c>
      <c r="I46" s="1" t="b">
        <v>1</v>
      </c>
    </row>
    <row r="47">
      <c r="A47" s="14">
        <v>45789.0</v>
      </c>
      <c r="B47" s="1" t="b">
        <v>1</v>
      </c>
      <c r="C47" s="15" t="b">
        <v>1</v>
      </c>
      <c r="D47" s="15" t="b">
        <v>1</v>
      </c>
      <c r="E47" s="15" t="b">
        <v>1</v>
      </c>
      <c r="F47" s="1" t="b">
        <v>1</v>
      </c>
      <c r="G47" s="15" t="b">
        <v>1</v>
      </c>
      <c r="H47" s="1" t="b">
        <v>1</v>
      </c>
      <c r="I47" s="15" t="b">
        <v>1</v>
      </c>
      <c r="J47" s="1" t="b">
        <v>1</v>
      </c>
    </row>
    <row r="48">
      <c r="A48" s="14">
        <v>45790.0</v>
      </c>
      <c r="B48" s="15" t="b">
        <v>1</v>
      </c>
      <c r="C48" s="15" t="b">
        <v>1</v>
      </c>
      <c r="D48" s="15" t="b">
        <v>1</v>
      </c>
      <c r="E48" s="15" t="b">
        <v>1</v>
      </c>
      <c r="F48" s="15" t="b">
        <v>1</v>
      </c>
      <c r="G48" s="15" t="b">
        <v>1</v>
      </c>
      <c r="H48" s="15" t="b">
        <v>1</v>
      </c>
      <c r="I48" s="15" t="b">
        <v>1</v>
      </c>
      <c r="J48" s="15" t="b">
        <v>1</v>
      </c>
    </row>
    <row r="49">
      <c r="A49" s="14">
        <v>45791.0</v>
      </c>
      <c r="B49" s="15" t="b">
        <v>1</v>
      </c>
      <c r="C49" s="15" t="b">
        <v>1</v>
      </c>
      <c r="D49" s="15" t="b">
        <v>1</v>
      </c>
      <c r="E49" s="15" t="b">
        <v>1</v>
      </c>
      <c r="F49" s="15" t="b">
        <v>1</v>
      </c>
      <c r="G49" s="15" t="b">
        <v>1</v>
      </c>
      <c r="H49" s="15" t="b">
        <v>1</v>
      </c>
      <c r="I49" s="15" t="b">
        <v>1</v>
      </c>
      <c r="J49" s="15" t="b">
        <v>1</v>
      </c>
    </row>
    <row r="50">
      <c r="A50" s="14">
        <v>45792.0</v>
      </c>
      <c r="B50" s="15" t="b">
        <v>1</v>
      </c>
      <c r="C50" s="15" t="b">
        <v>1</v>
      </c>
      <c r="D50" s="15" t="b">
        <v>1</v>
      </c>
      <c r="E50" s="15" t="b">
        <v>1</v>
      </c>
      <c r="F50" s="15" t="b">
        <v>1</v>
      </c>
      <c r="G50" s="15" t="b">
        <v>1</v>
      </c>
      <c r="H50" s="15" t="b">
        <v>1</v>
      </c>
      <c r="I50" s="1" t="b">
        <v>1</v>
      </c>
      <c r="J50" s="15" t="b">
        <v>1</v>
      </c>
    </row>
    <row r="51">
      <c r="A51" s="14">
        <v>45793.0</v>
      </c>
      <c r="B51" s="4" t="b">
        <v>0</v>
      </c>
      <c r="C51" s="1" t="b">
        <v>1</v>
      </c>
      <c r="D51" s="1" t="b">
        <v>0</v>
      </c>
      <c r="E51" s="15" t="b">
        <v>1</v>
      </c>
      <c r="F51" s="1" t="b">
        <v>1</v>
      </c>
      <c r="G51" s="15" t="b">
        <v>1</v>
      </c>
      <c r="H51" s="15" t="b">
        <v>1</v>
      </c>
      <c r="I51" s="1" t="b">
        <v>1</v>
      </c>
      <c r="J51" s="4" t="b">
        <v>0</v>
      </c>
    </row>
    <row r="52">
      <c r="A52" s="14">
        <v>45794.0</v>
      </c>
      <c r="B52" s="15" t="b">
        <v>1</v>
      </c>
      <c r="C52" s="15" t="b">
        <v>1</v>
      </c>
      <c r="D52" s="15" t="b">
        <v>1</v>
      </c>
      <c r="E52" s="15" t="b">
        <v>1</v>
      </c>
      <c r="F52" s="15" t="b">
        <v>1</v>
      </c>
      <c r="G52" s="15" t="b">
        <v>1</v>
      </c>
      <c r="H52" s="15" t="b">
        <v>1</v>
      </c>
      <c r="I52" s="15" t="b">
        <v>1</v>
      </c>
      <c r="J52" s="15" t="b">
        <v>1</v>
      </c>
    </row>
    <row r="53">
      <c r="A53" s="14">
        <v>45795.0</v>
      </c>
      <c r="B53" s="15" t="b">
        <v>1</v>
      </c>
      <c r="C53" s="15" t="b">
        <v>1</v>
      </c>
      <c r="D53" s="15" t="b">
        <v>1</v>
      </c>
      <c r="E53" s="15" t="b">
        <v>1</v>
      </c>
      <c r="F53" s="4" t="b">
        <v>0</v>
      </c>
      <c r="G53" s="15" t="b">
        <v>1</v>
      </c>
      <c r="H53" s="15" t="b">
        <v>1</v>
      </c>
      <c r="I53" s="15" t="b">
        <v>1</v>
      </c>
      <c r="J53" s="15" t="b">
        <v>1</v>
      </c>
    </row>
    <row r="54">
      <c r="A54" s="14">
        <v>45796.0</v>
      </c>
      <c r="B54" s="15" t="b">
        <v>1</v>
      </c>
      <c r="C54" s="15" t="b">
        <v>1</v>
      </c>
      <c r="D54" s="15" t="b">
        <v>1</v>
      </c>
      <c r="E54" s="15" t="b">
        <v>1</v>
      </c>
      <c r="F54" s="15" t="b">
        <v>1</v>
      </c>
      <c r="G54" s="15" t="b">
        <v>1</v>
      </c>
      <c r="H54" s="4" t="b">
        <v>0</v>
      </c>
      <c r="I54" s="15" t="b">
        <v>1</v>
      </c>
      <c r="J54" s="15" t="b">
        <v>1</v>
      </c>
    </row>
    <row r="55">
      <c r="A55" s="14">
        <v>45797.0</v>
      </c>
      <c r="B55" s="15" t="b">
        <v>1</v>
      </c>
      <c r="C55" s="15" t="b">
        <v>1</v>
      </c>
      <c r="D55" s="15" t="b">
        <v>1</v>
      </c>
      <c r="E55" s="15" t="b">
        <v>1</v>
      </c>
      <c r="F55" s="15" t="b">
        <v>1</v>
      </c>
      <c r="G55" s="15" t="b">
        <v>1</v>
      </c>
      <c r="H55" s="15" t="b">
        <v>1</v>
      </c>
      <c r="I55" s="15" t="b">
        <v>1</v>
      </c>
      <c r="J55" s="15" t="b">
        <v>1</v>
      </c>
    </row>
    <row r="56">
      <c r="A56" s="14">
        <v>45798.0</v>
      </c>
      <c r="B56" s="15" t="b">
        <v>1</v>
      </c>
      <c r="C56" s="15" t="b">
        <v>1</v>
      </c>
      <c r="D56" s="15" t="b">
        <v>1</v>
      </c>
      <c r="E56" s="15" t="b">
        <v>1</v>
      </c>
      <c r="F56" s="15" t="b">
        <v>1</v>
      </c>
      <c r="G56" s="15" t="b">
        <v>1</v>
      </c>
      <c r="H56" s="15" t="b">
        <v>1</v>
      </c>
      <c r="I56" s="4" t="b">
        <v>0</v>
      </c>
      <c r="J56" s="15" t="b">
        <v>1</v>
      </c>
    </row>
    <row r="57">
      <c r="A57" s="14">
        <v>45799.0</v>
      </c>
      <c r="B57" s="15" t="b">
        <v>1</v>
      </c>
      <c r="C57" s="15" t="b">
        <v>1</v>
      </c>
      <c r="D57" s="15" t="b">
        <v>1</v>
      </c>
      <c r="E57" s="15" t="b">
        <v>1</v>
      </c>
      <c r="F57" s="15" t="b">
        <v>1</v>
      </c>
      <c r="G57" s="15" t="b">
        <v>1</v>
      </c>
      <c r="H57" s="15" t="b">
        <v>1</v>
      </c>
      <c r="I57" s="15" t="b">
        <v>1</v>
      </c>
      <c r="J57" s="15" t="b">
        <v>1</v>
      </c>
    </row>
    <row r="58">
      <c r="A58" s="14">
        <v>45800.0</v>
      </c>
      <c r="B58" s="1" t="b">
        <v>1</v>
      </c>
      <c r="C58" s="1" t="b">
        <v>1</v>
      </c>
      <c r="D58" s="1" t="b">
        <v>1</v>
      </c>
      <c r="E58" s="15" t="b">
        <v>1</v>
      </c>
      <c r="F58" s="1" t="b">
        <v>1</v>
      </c>
      <c r="G58" s="1" t="b">
        <v>1</v>
      </c>
      <c r="H58" s="1" t="b">
        <v>1</v>
      </c>
      <c r="I58" s="1" t="b">
        <v>1</v>
      </c>
      <c r="J58" s="1" t="b">
        <v>1</v>
      </c>
    </row>
    <row r="59">
      <c r="A59" s="14">
        <v>45801.0</v>
      </c>
      <c r="B59" s="15" t="b">
        <v>1</v>
      </c>
      <c r="C59" s="15" t="b">
        <v>1</v>
      </c>
      <c r="D59" s="15" t="b">
        <v>1</v>
      </c>
      <c r="E59" s="15" t="b">
        <v>1</v>
      </c>
      <c r="F59" s="15" t="b">
        <v>1</v>
      </c>
      <c r="G59" s="15" t="b">
        <v>1</v>
      </c>
      <c r="H59" s="15" t="b">
        <v>1</v>
      </c>
      <c r="I59" s="15" t="b">
        <v>1</v>
      </c>
      <c r="J59" s="15" t="b">
        <v>1</v>
      </c>
    </row>
    <row r="60">
      <c r="A60" s="14">
        <v>45802.0</v>
      </c>
      <c r="B60" s="15" t="b">
        <v>1</v>
      </c>
      <c r="C60" s="15" t="b">
        <v>1</v>
      </c>
      <c r="D60" s="15" t="b">
        <v>1</v>
      </c>
      <c r="E60" s="15" t="b">
        <v>1</v>
      </c>
      <c r="F60" s="15" t="b">
        <v>1</v>
      </c>
      <c r="G60" s="15" t="b">
        <v>1</v>
      </c>
      <c r="H60" s="15" t="b">
        <v>1</v>
      </c>
      <c r="I60" s="15" t="b">
        <v>1</v>
      </c>
      <c r="J60" s="15" t="b">
        <v>1</v>
      </c>
    </row>
    <row r="61">
      <c r="A61" s="14">
        <v>45803.0</v>
      </c>
      <c r="B61" s="15" t="b">
        <v>1</v>
      </c>
      <c r="C61" s="15" t="b">
        <v>1</v>
      </c>
      <c r="D61" s="15" t="b">
        <v>1</v>
      </c>
      <c r="E61" s="15" t="b">
        <v>1</v>
      </c>
      <c r="F61" s="15" t="b">
        <v>1</v>
      </c>
      <c r="G61" s="15" t="b">
        <v>1</v>
      </c>
      <c r="H61" s="15" t="b">
        <v>1</v>
      </c>
      <c r="I61" s="15" t="b">
        <v>1</v>
      </c>
      <c r="J61" s="15" t="b">
        <v>1</v>
      </c>
    </row>
    <row r="62">
      <c r="A62" s="14">
        <v>45804.0</v>
      </c>
      <c r="B62" s="15" t="b">
        <v>1</v>
      </c>
      <c r="C62" s="15" t="b">
        <v>1</v>
      </c>
      <c r="D62" s="15" t="b">
        <v>1</v>
      </c>
      <c r="E62" s="15" t="b">
        <v>1</v>
      </c>
      <c r="F62" s="15" t="b">
        <v>1</v>
      </c>
      <c r="G62" s="15" t="b">
        <v>1</v>
      </c>
      <c r="H62" s="1" t="b">
        <v>1</v>
      </c>
      <c r="I62" s="15" t="b">
        <v>1</v>
      </c>
      <c r="J62" s="15" t="b">
        <v>1</v>
      </c>
    </row>
    <row r="63">
      <c r="A63" s="14">
        <v>45805.0</v>
      </c>
      <c r="B63" s="1" t="b">
        <v>1</v>
      </c>
      <c r="C63" s="1" t="b">
        <v>1</v>
      </c>
      <c r="D63" s="1" t="b">
        <v>1</v>
      </c>
      <c r="E63" s="1" t="b">
        <v>1</v>
      </c>
      <c r="F63" s="1" t="b">
        <v>1</v>
      </c>
      <c r="G63" s="1" t="b">
        <v>1</v>
      </c>
      <c r="H63" s="1" t="b">
        <v>1</v>
      </c>
      <c r="I63" s="1" t="b">
        <v>1</v>
      </c>
      <c r="J63" s="1" t="b">
        <v>1</v>
      </c>
    </row>
    <row r="64">
      <c r="A64" s="14">
        <v>45806.0</v>
      </c>
      <c r="B64" s="15" t="b">
        <v>1</v>
      </c>
      <c r="C64" s="15" t="b">
        <v>1</v>
      </c>
      <c r="D64" s="15" t="b">
        <v>1</v>
      </c>
      <c r="E64" s="15" t="b">
        <v>1</v>
      </c>
      <c r="F64" s="15" t="b">
        <v>1</v>
      </c>
      <c r="G64" s="15" t="b">
        <v>1</v>
      </c>
      <c r="H64" s="15" t="b">
        <v>1</v>
      </c>
      <c r="I64" s="15" t="b">
        <v>1</v>
      </c>
      <c r="J64" s="15" t="b">
        <v>1</v>
      </c>
    </row>
    <row r="65">
      <c r="A65" s="14">
        <v>45807.0</v>
      </c>
      <c r="B65" s="15" t="b">
        <v>1</v>
      </c>
      <c r="C65" s="15" t="b">
        <v>1</v>
      </c>
      <c r="D65" s="15" t="b">
        <v>1</v>
      </c>
      <c r="E65" s="15" t="b">
        <v>1</v>
      </c>
      <c r="F65" s="15" t="b">
        <v>1</v>
      </c>
      <c r="G65" s="15" t="b">
        <v>1</v>
      </c>
      <c r="H65" s="15" t="b">
        <v>1</v>
      </c>
      <c r="I65" s="15" t="b">
        <v>1</v>
      </c>
      <c r="J65" s="15" t="b">
        <v>1</v>
      </c>
    </row>
    <row r="66">
      <c r="A66" s="14">
        <v>45808.0</v>
      </c>
      <c r="B66" s="15" t="b">
        <v>1</v>
      </c>
      <c r="C66" s="15" t="b">
        <v>1</v>
      </c>
      <c r="D66" s="15" t="b">
        <v>1</v>
      </c>
      <c r="E66" s="15" t="b">
        <v>1</v>
      </c>
      <c r="F66" s="15" t="b">
        <v>1</v>
      </c>
      <c r="G66" s="15" t="b">
        <v>1</v>
      </c>
      <c r="H66" s="15" t="b">
        <v>1</v>
      </c>
      <c r="I66" s="15" t="b">
        <v>1</v>
      </c>
      <c r="J66" s="15" t="b">
        <v>1</v>
      </c>
    </row>
    <row r="67">
      <c r="A67" s="14">
        <v>45809.0</v>
      </c>
      <c r="B67" s="15" t="b">
        <v>1</v>
      </c>
      <c r="C67" s="15" t="b">
        <v>1</v>
      </c>
      <c r="D67" s="15" t="b">
        <v>1</v>
      </c>
      <c r="E67" s="15" t="b">
        <v>1</v>
      </c>
      <c r="F67" s="15" t="b">
        <v>1</v>
      </c>
      <c r="G67" s="15" t="b">
        <v>1</v>
      </c>
      <c r="H67" s="15" t="b">
        <v>1</v>
      </c>
      <c r="I67" s="15" t="b">
        <v>1</v>
      </c>
      <c r="J67" s="15" t="b">
        <v>1</v>
      </c>
    </row>
    <row r="68">
      <c r="A68" s="14">
        <v>45810.0</v>
      </c>
      <c r="B68" s="15" t="b">
        <v>1</v>
      </c>
      <c r="C68" s="15" t="b">
        <v>1</v>
      </c>
      <c r="D68" s="15" t="b">
        <v>1</v>
      </c>
      <c r="E68" s="15" t="b">
        <v>1</v>
      </c>
      <c r="F68" s="15" t="b">
        <v>1</v>
      </c>
      <c r="G68" s="15" t="b">
        <v>1</v>
      </c>
      <c r="H68" s="15" t="b">
        <v>1</v>
      </c>
      <c r="I68" s="15" t="b">
        <v>1</v>
      </c>
      <c r="J68" s="15" t="b">
        <v>1</v>
      </c>
    </row>
    <row r="69">
      <c r="A69" s="14">
        <v>45811.0</v>
      </c>
      <c r="B69" s="15" t="b">
        <v>1</v>
      </c>
      <c r="C69" s="4" t="b">
        <v>0</v>
      </c>
      <c r="D69" s="15" t="b">
        <v>1</v>
      </c>
      <c r="E69" s="15" t="b">
        <v>1</v>
      </c>
      <c r="F69" s="15" t="b">
        <v>1</v>
      </c>
      <c r="G69" s="15" t="b">
        <v>1</v>
      </c>
      <c r="H69" s="15" t="b">
        <v>1</v>
      </c>
      <c r="I69" s="15" t="b">
        <v>1</v>
      </c>
      <c r="J69" s="15" t="b">
        <v>1</v>
      </c>
    </row>
    <row r="70">
      <c r="A70" s="14">
        <v>45812.0</v>
      </c>
      <c r="B70" s="15" t="b">
        <v>1</v>
      </c>
      <c r="C70" s="15" t="b">
        <v>1</v>
      </c>
      <c r="D70" s="15" t="b">
        <v>1</v>
      </c>
      <c r="E70" s="15" t="b">
        <v>1</v>
      </c>
      <c r="F70" s="15" t="b">
        <v>1</v>
      </c>
      <c r="G70" s="15" t="b">
        <v>1</v>
      </c>
      <c r="H70" s="15" t="b">
        <v>1</v>
      </c>
      <c r="I70" s="15" t="b">
        <v>1</v>
      </c>
      <c r="J70" s="15" t="b">
        <v>1</v>
      </c>
    </row>
    <row r="71">
      <c r="A71" s="14">
        <v>45813.0</v>
      </c>
      <c r="B71" s="15" t="b">
        <v>1</v>
      </c>
      <c r="C71" s="15" t="b">
        <v>1</v>
      </c>
      <c r="D71" s="15" t="b">
        <v>1</v>
      </c>
      <c r="E71" s="15" t="b">
        <v>1</v>
      </c>
      <c r="F71" s="15" t="b">
        <v>1</v>
      </c>
      <c r="G71" s="15" t="b">
        <v>1</v>
      </c>
      <c r="H71" s="15" t="b">
        <v>1</v>
      </c>
      <c r="I71" s="15" t="b">
        <v>1</v>
      </c>
      <c r="J71" s="15" t="b">
        <v>1</v>
      </c>
    </row>
    <row r="72">
      <c r="A72" s="14">
        <v>45814.0</v>
      </c>
      <c r="B72" s="15" t="b">
        <v>1</v>
      </c>
      <c r="C72" s="4" t="b">
        <v>0</v>
      </c>
      <c r="D72" s="15" t="b">
        <v>1</v>
      </c>
      <c r="E72" s="15" t="b">
        <v>1</v>
      </c>
      <c r="F72" s="15" t="b">
        <v>1</v>
      </c>
      <c r="G72" s="15" t="b">
        <v>1</v>
      </c>
      <c r="H72" s="4" t="b">
        <v>0</v>
      </c>
      <c r="I72" s="4" t="b">
        <v>0</v>
      </c>
      <c r="J72" s="15" t="b">
        <v>1</v>
      </c>
    </row>
    <row r="73">
      <c r="A73" s="14">
        <v>45815.0</v>
      </c>
      <c r="B73" s="15" t="b">
        <v>1</v>
      </c>
      <c r="C73" s="15" t="b">
        <v>1</v>
      </c>
      <c r="D73" s="15" t="b">
        <v>1</v>
      </c>
      <c r="E73" s="15" t="b">
        <v>1</v>
      </c>
      <c r="F73" s="15" t="b">
        <v>1</v>
      </c>
      <c r="G73" s="15" t="b">
        <v>1</v>
      </c>
      <c r="H73" s="15" t="b">
        <v>1</v>
      </c>
      <c r="I73" s="15" t="b">
        <v>1</v>
      </c>
      <c r="J73" s="15" t="b">
        <v>1</v>
      </c>
    </row>
    <row r="74">
      <c r="A74" s="14">
        <v>45816.0</v>
      </c>
      <c r="B74" s="15" t="b">
        <v>1</v>
      </c>
      <c r="C74" s="15" t="b">
        <v>1</v>
      </c>
      <c r="D74" s="15" t="b">
        <v>1</v>
      </c>
      <c r="E74" s="15" t="b">
        <v>1</v>
      </c>
      <c r="F74" s="15" t="b">
        <v>1</v>
      </c>
      <c r="G74" s="15" t="b">
        <v>1</v>
      </c>
      <c r="H74" s="15" t="b">
        <v>1</v>
      </c>
      <c r="I74" s="15" t="b">
        <v>1</v>
      </c>
      <c r="J74" s="15" t="b">
        <v>1</v>
      </c>
    </row>
    <row r="75">
      <c r="A75" s="14">
        <v>45817.0</v>
      </c>
      <c r="B75" s="1" t="b">
        <v>1</v>
      </c>
      <c r="C75" s="1" t="b">
        <v>1</v>
      </c>
      <c r="D75" s="1" t="b">
        <v>1</v>
      </c>
      <c r="E75" s="1" t="b">
        <v>1</v>
      </c>
      <c r="F75" s="1" t="b">
        <v>1</v>
      </c>
      <c r="G75" s="15" t="b">
        <v>1</v>
      </c>
      <c r="H75" s="15" t="b">
        <v>1</v>
      </c>
      <c r="I75" s="15" t="b">
        <v>1</v>
      </c>
      <c r="J75" s="1" t="b">
        <v>1</v>
      </c>
    </row>
    <row r="76">
      <c r="A76" s="14">
        <v>45818.0</v>
      </c>
      <c r="B76" s="15" t="b">
        <v>1</v>
      </c>
      <c r="C76" s="15" t="b">
        <v>1</v>
      </c>
      <c r="D76" s="15" t="b">
        <v>1</v>
      </c>
      <c r="E76" s="15" t="b">
        <v>1</v>
      </c>
      <c r="F76" s="15" t="b">
        <v>1</v>
      </c>
      <c r="G76" s="15" t="b">
        <v>1</v>
      </c>
      <c r="H76" s="15" t="b">
        <v>1</v>
      </c>
      <c r="I76" s="15" t="b">
        <v>1</v>
      </c>
      <c r="J76" s="15" t="b">
        <v>1</v>
      </c>
    </row>
    <row r="77">
      <c r="A77" s="14">
        <v>45819.0</v>
      </c>
      <c r="B77" s="1" t="b">
        <v>1</v>
      </c>
      <c r="C77" s="15" t="b">
        <v>1</v>
      </c>
      <c r="D77" s="15" t="b">
        <v>1</v>
      </c>
      <c r="E77" s="1" t="b">
        <v>1</v>
      </c>
      <c r="F77" s="15" t="b">
        <v>1</v>
      </c>
      <c r="G77" s="1" t="b">
        <v>1</v>
      </c>
      <c r="H77" s="1" t="b">
        <v>1</v>
      </c>
      <c r="I77" s="1" t="b">
        <v>1</v>
      </c>
      <c r="J77" s="1" t="b">
        <v>1</v>
      </c>
    </row>
    <row r="78">
      <c r="A78" s="14">
        <v>45820.0</v>
      </c>
      <c r="B78" s="15" t="b">
        <v>1</v>
      </c>
      <c r="C78" s="15" t="b">
        <v>1</v>
      </c>
      <c r="D78" s="15" t="b">
        <v>1</v>
      </c>
      <c r="E78" s="15" t="b">
        <v>1</v>
      </c>
      <c r="F78" s="15" t="b">
        <v>1</v>
      </c>
      <c r="G78" s="15" t="b">
        <v>1</v>
      </c>
      <c r="H78" s="15" t="b">
        <v>1</v>
      </c>
      <c r="I78" s="15" t="b">
        <v>1</v>
      </c>
      <c r="J78" s="15" t="b">
        <v>1</v>
      </c>
    </row>
    <row r="79">
      <c r="A79" s="14">
        <v>45821.0</v>
      </c>
      <c r="B79" s="15" t="b">
        <v>1</v>
      </c>
      <c r="C79" s="15" t="b">
        <v>1</v>
      </c>
      <c r="D79" s="15" t="b">
        <v>1</v>
      </c>
      <c r="E79" s="15" t="b">
        <v>1</v>
      </c>
      <c r="F79" s="15" t="b">
        <v>1</v>
      </c>
      <c r="G79" s="15" t="b">
        <v>1</v>
      </c>
      <c r="H79" s="15" t="b">
        <v>1</v>
      </c>
      <c r="I79" s="15" t="b">
        <v>1</v>
      </c>
      <c r="J79" s="15" t="b">
        <v>1</v>
      </c>
    </row>
    <row r="80">
      <c r="A80" s="14">
        <v>45822.0</v>
      </c>
      <c r="B80" s="15" t="b">
        <v>1</v>
      </c>
      <c r="C80" s="15" t="b">
        <v>1</v>
      </c>
      <c r="D80" s="15" t="b">
        <v>1</v>
      </c>
      <c r="E80" s="15" t="b">
        <v>1</v>
      </c>
      <c r="F80" s="15" t="b">
        <v>1</v>
      </c>
      <c r="G80" s="15" t="b">
        <v>1</v>
      </c>
      <c r="H80" s="15" t="b">
        <v>1</v>
      </c>
      <c r="I80" s="15" t="b">
        <v>1</v>
      </c>
      <c r="J80" s="15" t="b">
        <v>1</v>
      </c>
    </row>
    <row r="81">
      <c r="A81" s="14">
        <v>45823.0</v>
      </c>
      <c r="B81" s="15" t="b">
        <v>1</v>
      </c>
      <c r="C81" s="15" t="b">
        <v>1</v>
      </c>
      <c r="D81" s="15" t="b">
        <v>1</v>
      </c>
      <c r="E81" s="15" t="b">
        <v>1</v>
      </c>
      <c r="F81" s="4" t="b">
        <v>0</v>
      </c>
      <c r="G81" s="15" t="b">
        <v>1</v>
      </c>
      <c r="H81" s="15" t="b">
        <v>1</v>
      </c>
      <c r="I81" s="15" t="b">
        <v>1</v>
      </c>
      <c r="J81" s="15" t="b">
        <v>1</v>
      </c>
    </row>
    <row r="82">
      <c r="A82" s="14">
        <v>45824.0</v>
      </c>
      <c r="B82" s="15" t="b">
        <v>1</v>
      </c>
      <c r="C82" s="15" t="b">
        <v>1</v>
      </c>
      <c r="D82" s="15" t="b">
        <v>1</v>
      </c>
      <c r="E82" s="15" t="b">
        <v>1</v>
      </c>
      <c r="F82" s="15" t="b">
        <v>1</v>
      </c>
      <c r="G82" s="15" t="b">
        <v>1</v>
      </c>
      <c r="H82" s="15" t="b">
        <v>1</v>
      </c>
      <c r="I82" s="15" t="b">
        <v>1</v>
      </c>
      <c r="J82" s="15" t="b">
        <v>1</v>
      </c>
    </row>
    <row r="83">
      <c r="A83" s="14">
        <v>45825.0</v>
      </c>
      <c r="B83" s="15" t="b">
        <v>1</v>
      </c>
      <c r="C83" s="4" t="b">
        <v>0</v>
      </c>
      <c r="D83" s="4" t="b">
        <v>0</v>
      </c>
      <c r="E83" s="15" t="b">
        <v>1</v>
      </c>
      <c r="F83" s="15" t="b">
        <v>1</v>
      </c>
      <c r="G83" s="15" t="b">
        <v>1</v>
      </c>
      <c r="H83" s="4" t="b">
        <v>0</v>
      </c>
      <c r="I83" s="15" t="b">
        <v>1</v>
      </c>
      <c r="J83" s="15" t="b">
        <v>1</v>
      </c>
    </row>
    <row r="84">
      <c r="A84" s="14">
        <v>45826.0</v>
      </c>
      <c r="B84" s="15" t="b">
        <v>1</v>
      </c>
      <c r="C84" s="15" t="b">
        <v>1</v>
      </c>
      <c r="D84" s="15" t="b">
        <v>1</v>
      </c>
      <c r="E84" s="15" t="b">
        <v>1</v>
      </c>
      <c r="F84" s="15" t="b">
        <v>1</v>
      </c>
      <c r="G84" s="15" t="b">
        <v>1</v>
      </c>
      <c r="H84" s="15" t="b">
        <v>1</v>
      </c>
      <c r="I84" s="15" t="b">
        <v>1</v>
      </c>
      <c r="J84" s="15" t="b">
        <v>1</v>
      </c>
    </row>
    <row r="85">
      <c r="A85" s="14">
        <v>45827.0</v>
      </c>
      <c r="B85" s="15" t="b">
        <v>1</v>
      </c>
      <c r="C85" s="15" t="b">
        <v>1</v>
      </c>
      <c r="D85" s="15" t="b">
        <v>1</v>
      </c>
      <c r="E85" s="15" t="b">
        <v>1</v>
      </c>
      <c r="F85" s="15" t="b">
        <v>1</v>
      </c>
      <c r="G85" s="15" t="b">
        <v>1</v>
      </c>
      <c r="H85" s="15" t="b">
        <v>1</v>
      </c>
      <c r="I85" s="15" t="b">
        <v>1</v>
      </c>
      <c r="J85" s="15" t="b">
        <v>1</v>
      </c>
    </row>
    <row r="86">
      <c r="A86" s="14">
        <v>45828.0</v>
      </c>
      <c r="B86" s="15" t="b">
        <v>1</v>
      </c>
      <c r="C86" s="15" t="b">
        <v>1</v>
      </c>
      <c r="D86" s="15" t="b">
        <v>1</v>
      </c>
      <c r="E86" s="15" t="b">
        <v>1</v>
      </c>
      <c r="F86" s="15" t="b">
        <v>1</v>
      </c>
      <c r="G86" s="15" t="b">
        <v>1</v>
      </c>
      <c r="H86" s="15" t="b">
        <v>1</v>
      </c>
      <c r="I86" s="15" t="b">
        <v>1</v>
      </c>
      <c r="J86" s="15" t="b">
        <v>1</v>
      </c>
    </row>
    <row r="87">
      <c r="A87" s="14">
        <v>45829.0</v>
      </c>
      <c r="B87" s="15" t="b">
        <v>1</v>
      </c>
      <c r="C87" s="15" t="b">
        <v>1</v>
      </c>
      <c r="D87" s="15" t="b">
        <v>1</v>
      </c>
      <c r="E87" s="15" t="b">
        <v>1</v>
      </c>
      <c r="F87" s="15" t="b">
        <v>1</v>
      </c>
      <c r="G87" s="15" t="b">
        <v>1</v>
      </c>
      <c r="H87" s="15" t="b">
        <v>1</v>
      </c>
      <c r="I87" s="15" t="b">
        <v>1</v>
      </c>
      <c r="J87" s="15" t="b">
        <v>1</v>
      </c>
    </row>
    <row r="88">
      <c r="A88" s="14">
        <v>45830.0</v>
      </c>
      <c r="B88" s="15" t="b">
        <v>1</v>
      </c>
      <c r="C88" s="15" t="b">
        <v>1</v>
      </c>
      <c r="D88" s="4" t="b">
        <v>0</v>
      </c>
      <c r="E88" s="4" t="b">
        <v>0</v>
      </c>
      <c r="F88" s="15" t="b">
        <v>1</v>
      </c>
      <c r="G88" s="15" t="b">
        <v>1</v>
      </c>
      <c r="H88" s="15" t="b">
        <v>1</v>
      </c>
      <c r="I88" s="15" t="b">
        <v>1</v>
      </c>
      <c r="J88" s="15" t="b">
        <v>1</v>
      </c>
    </row>
    <row r="89">
      <c r="A89" s="14">
        <v>45831.0</v>
      </c>
      <c r="B89" s="15" t="b">
        <v>1</v>
      </c>
      <c r="C89" s="15" t="b">
        <v>1</v>
      </c>
      <c r="D89" s="15" t="b">
        <v>1</v>
      </c>
      <c r="E89" s="15" t="b">
        <v>1</v>
      </c>
      <c r="F89" s="15" t="b">
        <v>1</v>
      </c>
      <c r="G89" s="15" t="b">
        <v>1</v>
      </c>
      <c r="H89" s="15" t="b">
        <v>1</v>
      </c>
      <c r="I89" s="15" t="b">
        <v>1</v>
      </c>
      <c r="J89" s="15" t="b">
        <v>1</v>
      </c>
    </row>
    <row r="90">
      <c r="A90" s="14">
        <v>45832.0</v>
      </c>
      <c r="B90" s="15" t="b">
        <v>1</v>
      </c>
      <c r="C90" s="15" t="b">
        <v>1</v>
      </c>
      <c r="D90" s="15" t="b">
        <v>1</v>
      </c>
      <c r="E90" s="15" t="b">
        <v>1</v>
      </c>
      <c r="F90" s="15" t="b">
        <v>1</v>
      </c>
      <c r="G90" s="15" t="b">
        <v>1</v>
      </c>
      <c r="H90" s="15" t="b">
        <v>1</v>
      </c>
      <c r="I90" s="15" t="b">
        <v>1</v>
      </c>
      <c r="J90" s="15" t="b">
        <v>1</v>
      </c>
    </row>
    <row r="91">
      <c r="A91" s="14">
        <v>45833.0</v>
      </c>
      <c r="B91" s="15" t="b">
        <v>1</v>
      </c>
      <c r="C91" s="15" t="b">
        <v>1</v>
      </c>
      <c r="D91" s="15" t="b">
        <v>1</v>
      </c>
      <c r="E91" s="15" t="b">
        <v>1</v>
      </c>
      <c r="F91" s="15" t="b">
        <v>1</v>
      </c>
      <c r="G91" s="15" t="b">
        <v>1</v>
      </c>
      <c r="H91" s="15" t="b">
        <v>1</v>
      </c>
      <c r="I91" s="15" t="b">
        <v>1</v>
      </c>
      <c r="J91" s="15" t="b">
        <v>1</v>
      </c>
    </row>
    <row r="92">
      <c r="A92" s="14">
        <v>45834.0</v>
      </c>
      <c r="B92" s="15" t="b">
        <v>1</v>
      </c>
      <c r="C92" s="15" t="b">
        <v>1</v>
      </c>
      <c r="D92" s="15" t="b">
        <v>1</v>
      </c>
      <c r="E92" s="15" t="b">
        <v>1</v>
      </c>
      <c r="F92" s="15" t="b">
        <v>1</v>
      </c>
      <c r="G92" s="15" t="b">
        <v>1</v>
      </c>
      <c r="H92" s="15" t="b">
        <v>1</v>
      </c>
      <c r="I92" s="15" t="b">
        <v>1</v>
      </c>
      <c r="J92" s="15" t="b">
        <v>1</v>
      </c>
    </row>
    <row r="93">
      <c r="A93" s="14">
        <v>45835.0</v>
      </c>
      <c r="B93" s="15" t="b">
        <v>1</v>
      </c>
      <c r="C93" s="15" t="b">
        <v>1</v>
      </c>
      <c r="D93" s="15" t="b">
        <v>1</v>
      </c>
      <c r="E93" s="15" t="b">
        <v>1</v>
      </c>
      <c r="F93" s="15" t="b">
        <v>1</v>
      </c>
      <c r="G93" s="15" t="b">
        <v>1</v>
      </c>
      <c r="H93" s="15" t="b">
        <v>1</v>
      </c>
      <c r="I93" s="15" t="b">
        <v>1</v>
      </c>
      <c r="J93" s="15" t="b">
        <v>1</v>
      </c>
    </row>
    <row r="94">
      <c r="A94" s="14">
        <v>45836.0</v>
      </c>
      <c r="B94" s="15" t="b">
        <v>1</v>
      </c>
      <c r="C94" s="15" t="b">
        <v>1</v>
      </c>
      <c r="D94" s="4" t="b">
        <v>0</v>
      </c>
      <c r="E94" s="4" t="b">
        <v>0</v>
      </c>
      <c r="F94" s="4" t="b">
        <v>0</v>
      </c>
      <c r="G94" s="15" t="b">
        <v>1</v>
      </c>
      <c r="H94" s="15" t="b">
        <v>1</v>
      </c>
      <c r="I94" s="15" t="b">
        <v>1</v>
      </c>
      <c r="J94" s="15" t="b">
        <v>1</v>
      </c>
    </row>
    <row r="95">
      <c r="A95" s="14">
        <v>45837.0</v>
      </c>
      <c r="B95" s="15" t="b">
        <v>1</v>
      </c>
      <c r="C95" s="15" t="b">
        <v>1</v>
      </c>
      <c r="D95" s="4" t="b">
        <v>0</v>
      </c>
      <c r="E95" s="4" t="b">
        <v>0</v>
      </c>
      <c r="F95" s="15" t="b">
        <v>1</v>
      </c>
      <c r="G95" s="15" t="b">
        <v>1</v>
      </c>
      <c r="H95" s="15" t="b">
        <v>1</v>
      </c>
      <c r="I95" s="15" t="b">
        <v>1</v>
      </c>
      <c r="J95" s="15" t="b">
        <v>1</v>
      </c>
    </row>
    <row r="96">
      <c r="A96" s="14">
        <v>45838.0</v>
      </c>
      <c r="B96" s="15" t="b">
        <v>1</v>
      </c>
      <c r="C96" s="15" t="b">
        <v>1</v>
      </c>
      <c r="D96" s="15" t="b">
        <v>1</v>
      </c>
      <c r="E96" s="15" t="b">
        <v>1</v>
      </c>
      <c r="F96" s="15" t="b">
        <v>1</v>
      </c>
      <c r="G96" s="15" t="b">
        <v>1</v>
      </c>
      <c r="H96" s="15" t="b">
        <v>1</v>
      </c>
      <c r="I96" s="15" t="b">
        <v>1</v>
      </c>
      <c r="J96" s="15" t="b">
        <v>1</v>
      </c>
    </row>
    <row r="97">
      <c r="A97" s="14">
        <v>45839.0</v>
      </c>
      <c r="B97" s="15" t="b">
        <v>1</v>
      </c>
      <c r="C97" s="15" t="b">
        <v>1</v>
      </c>
      <c r="D97" s="15" t="b">
        <v>1</v>
      </c>
      <c r="E97" s="15" t="b">
        <v>1</v>
      </c>
      <c r="F97" s="15" t="b">
        <v>1</v>
      </c>
      <c r="G97" s="15" t="b">
        <v>1</v>
      </c>
      <c r="H97" s="15" t="b">
        <v>1</v>
      </c>
      <c r="I97" s="15" t="b">
        <v>1</v>
      </c>
      <c r="J97" s="15" t="b">
        <v>1</v>
      </c>
    </row>
    <row r="98">
      <c r="A98" s="14">
        <v>45840.0</v>
      </c>
      <c r="B98" s="15" t="b">
        <v>1</v>
      </c>
      <c r="C98" s="15" t="b">
        <v>1</v>
      </c>
      <c r="D98" s="15" t="b">
        <v>1</v>
      </c>
      <c r="E98" s="15" t="b">
        <v>1</v>
      </c>
      <c r="F98" s="15" t="b">
        <v>1</v>
      </c>
      <c r="G98" s="15" t="b">
        <v>1</v>
      </c>
      <c r="H98" s="15" t="b">
        <v>1</v>
      </c>
      <c r="I98" s="4" t="b">
        <v>0</v>
      </c>
      <c r="J98" s="15" t="b">
        <v>1</v>
      </c>
    </row>
    <row r="99">
      <c r="A99" s="14">
        <v>45841.0</v>
      </c>
      <c r="B99" s="15" t="b">
        <v>1</v>
      </c>
      <c r="C99" s="4" t="b">
        <v>0</v>
      </c>
      <c r="D99" s="4" t="b">
        <v>0</v>
      </c>
      <c r="E99" s="15" t="b">
        <v>1</v>
      </c>
      <c r="F99" s="15" t="b">
        <v>1</v>
      </c>
      <c r="G99" s="15" t="b">
        <v>1</v>
      </c>
      <c r="H99" s="15" t="b">
        <v>1</v>
      </c>
      <c r="I99" s="4" t="b">
        <v>0</v>
      </c>
      <c r="J99" s="15" t="b">
        <v>1</v>
      </c>
    </row>
    <row r="100">
      <c r="A100" s="14">
        <v>45842.0</v>
      </c>
      <c r="B100" s="15" t="b">
        <v>1</v>
      </c>
      <c r="C100" s="15" t="b">
        <v>1</v>
      </c>
      <c r="D100" s="15" t="b">
        <v>1</v>
      </c>
      <c r="E100" s="15" t="b">
        <v>1</v>
      </c>
      <c r="F100" s="15" t="b">
        <v>1</v>
      </c>
      <c r="G100" s="15" t="b">
        <v>1</v>
      </c>
      <c r="H100" s="15" t="b">
        <v>1</v>
      </c>
      <c r="I100" s="15" t="b">
        <v>1</v>
      </c>
      <c r="J100" s="15" t="b">
        <v>1</v>
      </c>
    </row>
    <row r="101">
      <c r="A101" s="14">
        <v>45843.0</v>
      </c>
      <c r="B101" s="15" t="b">
        <v>1</v>
      </c>
      <c r="C101" s="15" t="b">
        <v>1</v>
      </c>
      <c r="D101" s="15" t="b">
        <v>1</v>
      </c>
      <c r="E101" s="15" t="b">
        <v>1</v>
      </c>
      <c r="F101" s="15" t="b">
        <v>1</v>
      </c>
      <c r="G101" s="15" t="b">
        <v>1</v>
      </c>
      <c r="H101" s="15" t="b">
        <v>1</v>
      </c>
      <c r="I101" s="15" t="b">
        <v>1</v>
      </c>
      <c r="J101" s="15" t="b">
        <v>1</v>
      </c>
    </row>
    <row r="102">
      <c r="A102" s="14">
        <v>45844.0</v>
      </c>
      <c r="B102" s="15" t="b">
        <v>1</v>
      </c>
      <c r="C102" s="15" t="b">
        <v>1</v>
      </c>
      <c r="D102" s="15" t="b">
        <v>1</v>
      </c>
      <c r="E102" s="15" t="b">
        <v>1</v>
      </c>
      <c r="F102" s="15" t="b">
        <v>1</v>
      </c>
      <c r="G102" s="15" t="b">
        <v>1</v>
      </c>
      <c r="H102" s="15" t="b">
        <v>1</v>
      </c>
      <c r="I102" s="15" t="b">
        <v>1</v>
      </c>
      <c r="J102" s="15" t="b">
        <v>1</v>
      </c>
    </row>
    <row r="103">
      <c r="A103" s="14">
        <v>45845.0</v>
      </c>
      <c r="B103" s="15" t="b">
        <v>1</v>
      </c>
      <c r="C103" s="15" t="b">
        <v>1</v>
      </c>
      <c r="D103" s="15" t="b">
        <v>1</v>
      </c>
      <c r="E103" s="15" t="b">
        <v>1</v>
      </c>
      <c r="F103" s="15" t="b">
        <v>1</v>
      </c>
      <c r="G103" s="15" t="b">
        <v>1</v>
      </c>
      <c r="H103" s="15" t="b">
        <v>1</v>
      </c>
      <c r="I103" s="15" t="b">
        <v>1</v>
      </c>
      <c r="J103" s="15" t="b">
        <v>1</v>
      </c>
    </row>
    <row r="104">
      <c r="A104" s="14">
        <v>45846.0</v>
      </c>
      <c r="B104" s="15" t="b">
        <v>1</v>
      </c>
      <c r="C104" s="15" t="b">
        <v>1</v>
      </c>
      <c r="D104" s="15" t="b">
        <v>1</v>
      </c>
      <c r="E104" s="15" t="b">
        <v>1</v>
      </c>
      <c r="F104" s="4" t="b">
        <v>0</v>
      </c>
      <c r="G104" s="15" t="b">
        <v>1</v>
      </c>
      <c r="H104" s="15" t="b">
        <v>1</v>
      </c>
      <c r="I104" s="15" t="b">
        <v>1</v>
      </c>
      <c r="J104" s="15" t="b">
        <v>1</v>
      </c>
    </row>
    <row r="105">
      <c r="A105" s="14">
        <v>45847.0</v>
      </c>
      <c r="B105" s="15" t="b">
        <v>1</v>
      </c>
      <c r="C105" s="15" t="b">
        <v>1</v>
      </c>
      <c r="D105" s="15" t="b">
        <v>1</v>
      </c>
      <c r="E105" s="15" t="b">
        <v>1</v>
      </c>
      <c r="F105" s="15" t="b">
        <v>1</v>
      </c>
      <c r="G105" s="15" t="b">
        <v>1</v>
      </c>
      <c r="H105" s="15" t="b">
        <v>1</v>
      </c>
      <c r="I105" s="15" t="b">
        <v>1</v>
      </c>
      <c r="J105" s="15" t="b">
        <v>1</v>
      </c>
    </row>
    <row r="106">
      <c r="A106" s="14">
        <v>45848.0</v>
      </c>
      <c r="B106" s="15" t="b">
        <v>1</v>
      </c>
      <c r="C106" s="4" t="b">
        <v>0</v>
      </c>
      <c r="D106" s="4" t="b">
        <v>0</v>
      </c>
      <c r="E106" s="15" t="b">
        <v>1</v>
      </c>
      <c r="F106" s="15" t="b">
        <v>1</v>
      </c>
      <c r="G106" s="15" t="b">
        <v>1</v>
      </c>
      <c r="H106" s="15" t="b">
        <v>1</v>
      </c>
      <c r="I106" s="4" t="b">
        <v>0</v>
      </c>
      <c r="J106" s="15" t="b">
        <v>1</v>
      </c>
    </row>
    <row r="107">
      <c r="A107" s="14">
        <v>45849.0</v>
      </c>
      <c r="B107" s="4" t="b">
        <v>0</v>
      </c>
      <c r="C107" s="15" t="b">
        <v>1</v>
      </c>
      <c r="D107" s="15" t="b">
        <v>1</v>
      </c>
      <c r="E107" s="15" t="b">
        <v>1</v>
      </c>
      <c r="F107" s="15" t="b">
        <v>1</v>
      </c>
      <c r="G107" s="15" t="b">
        <v>1</v>
      </c>
      <c r="H107" s="15" t="b">
        <v>1</v>
      </c>
      <c r="I107" s="15" t="b">
        <v>1</v>
      </c>
      <c r="J107" s="4" t="b">
        <v>0</v>
      </c>
    </row>
    <row r="108">
      <c r="A108" s="14">
        <v>45850.0</v>
      </c>
      <c r="B108" s="15" t="b">
        <v>1</v>
      </c>
      <c r="C108" s="1" t="b">
        <v>1</v>
      </c>
      <c r="D108" s="4" t="b">
        <v>0</v>
      </c>
      <c r="E108" s="4" t="b">
        <v>0</v>
      </c>
      <c r="F108" s="1" t="b">
        <v>1</v>
      </c>
      <c r="G108" s="15" t="b">
        <v>1</v>
      </c>
      <c r="H108" s="1" t="b">
        <v>1</v>
      </c>
      <c r="I108" s="15" t="b">
        <v>1</v>
      </c>
      <c r="J108" s="15" t="b">
        <v>1</v>
      </c>
    </row>
    <row r="109">
      <c r="A109" s="14">
        <v>45851.0</v>
      </c>
      <c r="B109" s="15" t="b">
        <v>1</v>
      </c>
      <c r="C109" s="4" t="b">
        <v>0</v>
      </c>
      <c r="D109" s="15" t="b">
        <v>1</v>
      </c>
      <c r="E109" s="15" t="b">
        <v>1</v>
      </c>
      <c r="F109" s="4" t="b">
        <v>0</v>
      </c>
      <c r="G109" s="15" t="b">
        <v>1</v>
      </c>
      <c r="H109" s="4" t="b">
        <v>0</v>
      </c>
      <c r="I109" s="4" t="b">
        <v>0</v>
      </c>
      <c r="J109" s="15" t="b">
        <v>1</v>
      </c>
    </row>
    <row r="110">
      <c r="A110" s="14">
        <v>45852.0</v>
      </c>
      <c r="B110" s="15" t="b">
        <v>1</v>
      </c>
      <c r="C110" s="15" t="b">
        <v>1</v>
      </c>
      <c r="D110" s="15" t="b">
        <v>1</v>
      </c>
      <c r="E110" s="15" t="b">
        <v>1</v>
      </c>
      <c r="F110" s="15" t="b">
        <v>1</v>
      </c>
      <c r="G110" s="15" t="b">
        <v>1</v>
      </c>
      <c r="H110" s="15" t="b">
        <v>1</v>
      </c>
      <c r="I110" s="15" t="b">
        <v>1</v>
      </c>
      <c r="J110" s="15" t="b">
        <v>1</v>
      </c>
    </row>
    <row r="111">
      <c r="A111" s="14">
        <v>45853.0</v>
      </c>
      <c r="B111" s="15" t="b">
        <v>1</v>
      </c>
      <c r="C111" s="4" t="b">
        <v>0</v>
      </c>
      <c r="D111" s="4" t="b">
        <v>0</v>
      </c>
      <c r="E111" s="15" t="b">
        <v>1</v>
      </c>
      <c r="F111" s="15" t="b">
        <v>1</v>
      </c>
      <c r="G111" s="15" t="b">
        <v>1</v>
      </c>
      <c r="H111" s="15" t="b">
        <v>1</v>
      </c>
      <c r="I111" s="15" t="b">
        <v>1</v>
      </c>
      <c r="J111" s="15" t="b">
        <v>1</v>
      </c>
    </row>
    <row r="112">
      <c r="A112" s="14">
        <v>45854.0</v>
      </c>
      <c r="B112" s="15" t="b">
        <v>1</v>
      </c>
      <c r="C112" s="15" t="b">
        <v>1</v>
      </c>
      <c r="D112" s="15" t="b">
        <v>1</v>
      </c>
      <c r="E112" s="15" t="b">
        <v>1</v>
      </c>
      <c r="F112" s="15" t="b">
        <v>1</v>
      </c>
      <c r="G112" s="15" t="b">
        <v>1</v>
      </c>
      <c r="H112" s="15" t="b">
        <v>1</v>
      </c>
      <c r="I112" s="15" t="b">
        <v>1</v>
      </c>
      <c r="J112" s="15" t="b">
        <v>1</v>
      </c>
    </row>
    <row r="113">
      <c r="A113" s="14">
        <v>45855.0</v>
      </c>
      <c r="B113" s="15" t="b">
        <v>1</v>
      </c>
      <c r="C113" s="4" t="b">
        <v>0</v>
      </c>
      <c r="D113" s="4" t="b">
        <v>0</v>
      </c>
      <c r="E113" s="15" t="b">
        <v>1</v>
      </c>
      <c r="F113" s="15" t="b">
        <v>1</v>
      </c>
      <c r="G113" s="15" t="b">
        <v>1</v>
      </c>
      <c r="H113" s="15" t="b">
        <v>1</v>
      </c>
      <c r="I113" s="4" t="b">
        <v>0</v>
      </c>
      <c r="J113" s="15" t="b">
        <v>1</v>
      </c>
    </row>
    <row r="114">
      <c r="A114" s="14">
        <v>45856.0</v>
      </c>
      <c r="B114" s="15" t="b">
        <v>1</v>
      </c>
      <c r="C114" s="15" t="b">
        <v>1</v>
      </c>
      <c r="D114" s="15" t="b">
        <v>1</v>
      </c>
      <c r="E114" s="15" t="b">
        <v>1</v>
      </c>
      <c r="F114" s="15" t="b">
        <v>1</v>
      </c>
      <c r="G114" s="15" t="b">
        <v>1</v>
      </c>
      <c r="H114" s="15" t="b">
        <v>1</v>
      </c>
      <c r="I114" s="15" t="b">
        <v>1</v>
      </c>
      <c r="J114" s="15" t="b">
        <v>1</v>
      </c>
    </row>
    <row r="115">
      <c r="A115" s="14">
        <v>45857.0</v>
      </c>
      <c r="B115" s="15" t="b">
        <v>1</v>
      </c>
      <c r="C115" s="15" t="b">
        <v>1</v>
      </c>
      <c r="D115" s="15" t="b">
        <v>1</v>
      </c>
      <c r="E115" s="15" t="b">
        <v>1</v>
      </c>
      <c r="F115" s="15" t="b">
        <v>1</v>
      </c>
      <c r="G115" s="15" t="b">
        <v>1</v>
      </c>
      <c r="H115" s="15" t="b">
        <v>1</v>
      </c>
      <c r="I115" s="15" t="b">
        <v>1</v>
      </c>
      <c r="J115" s="15" t="b">
        <v>1</v>
      </c>
    </row>
    <row r="116">
      <c r="A116" s="14">
        <v>45858.0</v>
      </c>
      <c r="B116" s="15" t="b">
        <v>1</v>
      </c>
      <c r="C116" s="15" t="b">
        <v>1</v>
      </c>
      <c r="D116" s="15" t="b">
        <v>1</v>
      </c>
      <c r="E116" s="15" t="b">
        <v>1</v>
      </c>
      <c r="F116" s="15" t="b">
        <v>1</v>
      </c>
      <c r="G116" s="15" t="b">
        <v>1</v>
      </c>
      <c r="H116" s="15" t="b">
        <v>1</v>
      </c>
      <c r="I116" s="15" t="b">
        <v>1</v>
      </c>
      <c r="J116" s="15" t="b">
        <v>1</v>
      </c>
    </row>
    <row r="117">
      <c r="A117" s="14">
        <v>45859.0</v>
      </c>
      <c r="B117" s="15" t="b">
        <v>1</v>
      </c>
      <c r="C117" s="15" t="b">
        <v>1</v>
      </c>
      <c r="D117" s="15" t="b">
        <v>1</v>
      </c>
      <c r="E117" s="15" t="b">
        <v>1</v>
      </c>
      <c r="F117" s="15" t="b">
        <v>1</v>
      </c>
      <c r="G117" s="15" t="b">
        <v>1</v>
      </c>
      <c r="H117" s="4" t="b">
        <v>0</v>
      </c>
      <c r="I117" s="4" t="b">
        <v>0</v>
      </c>
      <c r="J117" s="15" t="b">
        <v>1</v>
      </c>
    </row>
    <row r="118">
      <c r="A118" s="14">
        <v>45860.0</v>
      </c>
      <c r="B118" s="15" t="b">
        <v>1</v>
      </c>
      <c r="C118" s="15" t="b">
        <v>1</v>
      </c>
      <c r="D118" s="15" t="b">
        <v>1</v>
      </c>
      <c r="E118" s="15" t="b">
        <v>1</v>
      </c>
      <c r="F118" s="15" t="b">
        <v>1</v>
      </c>
      <c r="G118" s="15" t="b">
        <v>1</v>
      </c>
      <c r="H118" s="15" t="b">
        <v>1</v>
      </c>
      <c r="I118" s="4" t="b">
        <v>0</v>
      </c>
      <c r="J118" s="15" t="b">
        <v>1</v>
      </c>
    </row>
    <row r="119">
      <c r="A119" s="14">
        <v>45861.0</v>
      </c>
      <c r="B119" s="15" t="b">
        <v>1</v>
      </c>
      <c r="C119" s="15" t="b">
        <v>1</v>
      </c>
      <c r="D119" s="15" t="b">
        <v>1</v>
      </c>
      <c r="E119" s="15" t="b">
        <v>1</v>
      </c>
      <c r="F119" s="15" t="b">
        <v>1</v>
      </c>
      <c r="G119" s="15" t="b">
        <v>1</v>
      </c>
      <c r="H119" s="15" t="b">
        <v>1</v>
      </c>
      <c r="I119" s="15" t="b">
        <v>1</v>
      </c>
      <c r="J119" s="15" t="b">
        <v>1</v>
      </c>
    </row>
    <row r="120">
      <c r="A120" s="14">
        <v>45862.0</v>
      </c>
      <c r="B120" s="15" t="b">
        <v>1</v>
      </c>
      <c r="C120" s="4" t="b">
        <v>0</v>
      </c>
      <c r="D120" s="4" t="b">
        <v>0</v>
      </c>
      <c r="E120" s="15" t="b">
        <v>1</v>
      </c>
      <c r="F120" s="15" t="b">
        <v>1</v>
      </c>
      <c r="G120" s="15" t="b">
        <v>1</v>
      </c>
      <c r="H120" s="15" t="b">
        <v>1</v>
      </c>
      <c r="I120" s="4" t="b">
        <v>0</v>
      </c>
      <c r="J120" s="15" t="b">
        <v>1</v>
      </c>
    </row>
    <row r="121">
      <c r="A121" s="14">
        <v>45863.0</v>
      </c>
      <c r="B121" s="4" t="b">
        <v>0</v>
      </c>
      <c r="C121" s="15" t="b">
        <v>1</v>
      </c>
      <c r="D121" s="15" t="b">
        <v>1</v>
      </c>
      <c r="E121" s="15" t="b">
        <v>1</v>
      </c>
      <c r="F121" s="15" t="b">
        <v>1</v>
      </c>
      <c r="G121" s="15" t="b">
        <v>1</v>
      </c>
      <c r="H121" s="15" t="b">
        <v>1</v>
      </c>
      <c r="I121" s="15" t="b">
        <v>1</v>
      </c>
      <c r="J121" s="4" t="b">
        <v>0</v>
      </c>
    </row>
    <row r="122">
      <c r="A122" s="14">
        <v>45864.0</v>
      </c>
      <c r="B122" s="15" t="b">
        <v>1</v>
      </c>
      <c r="C122" s="15" t="b">
        <v>1</v>
      </c>
      <c r="D122" s="15" t="b">
        <v>1</v>
      </c>
      <c r="E122" s="15" t="b">
        <v>1</v>
      </c>
      <c r="F122" s="15" t="b">
        <v>1</v>
      </c>
      <c r="G122" s="15" t="b">
        <v>1</v>
      </c>
      <c r="H122" s="15" t="b">
        <v>1</v>
      </c>
      <c r="I122" s="15" t="b">
        <v>1</v>
      </c>
      <c r="J122" s="15" t="b">
        <v>1</v>
      </c>
    </row>
    <row r="123">
      <c r="A123" s="14">
        <v>45865.0</v>
      </c>
      <c r="B123" s="15" t="b">
        <v>1</v>
      </c>
      <c r="C123" s="4" t="b">
        <v>0</v>
      </c>
      <c r="D123" s="4" t="b">
        <v>0</v>
      </c>
      <c r="E123" s="4" t="b">
        <v>0</v>
      </c>
      <c r="F123" s="15" t="b">
        <v>1</v>
      </c>
      <c r="G123" s="15" t="b">
        <v>1</v>
      </c>
      <c r="H123" s="15" t="b">
        <v>1</v>
      </c>
      <c r="I123" s="15" t="b">
        <v>1</v>
      </c>
      <c r="J123" s="15" t="b">
        <v>1</v>
      </c>
    </row>
    <row r="124">
      <c r="A124" s="14">
        <v>45866.0</v>
      </c>
      <c r="B124" s="15" t="b">
        <v>1</v>
      </c>
      <c r="C124" s="15" t="b">
        <v>1</v>
      </c>
      <c r="D124" s="15" t="b">
        <v>1</v>
      </c>
      <c r="E124" s="15" t="b">
        <v>1</v>
      </c>
      <c r="F124" s="15" t="b">
        <v>1</v>
      </c>
      <c r="G124" s="15" t="b">
        <v>1</v>
      </c>
      <c r="H124" s="15" t="b">
        <v>1</v>
      </c>
      <c r="I124" s="15" t="b">
        <v>1</v>
      </c>
      <c r="J124" s="15" t="b">
        <v>1</v>
      </c>
    </row>
    <row r="125">
      <c r="A125" s="14">
        <v>45867.0</v>
      </c>
      <c r="B125" s="15" t="b">
        <v>1</v>
      </c>
      <c r="C125" s="15" t="b">
        <v>1</v>
      </c>
      <c r="D125" s="15" t="b">
        <v>1</v>
      </c>
      <c r="E125" s="15" t="b">
        <v>1</v>
      </c>
      <c r="F125" s="15" t="b">
        <v>1</v>
      </c>
      <c r="G125" s="15" t="b">
        <v>1</v>
      </c>
      <c r="H125" s="15" t="b">
        <v>1</v>
      </c>
      <c r="I125" s="15" t="b">
        <v>1</v>
      </c>
      <c r="J125" s="15" t="b">
        <v>1</v>
      </c>
    </row>
    <row r="126">
      <c r="A126" s="14">
        <v>45868.0</v>
      </c>
      <c r="B126" s="15" t="b">
        <v>1</v>
      </c>
      <c r="C126" s="15" t="b">
        <v>1</v>
      </c>
      <c r="D126" s="15" t="b">
        <v>1</v>
      </c>
      <c r="E126" s="15" t="b">
        <v>1</v>
      </c>
      <c r="F126" s="15" t="b">
        <v>1</v>
      </c>
      <c r="G126" s="15" t="b">
        <v>1</v>
      </c>
      <c r="H126" s="15" t="b">
        <v>1</v>
      </c>
      <c r="I126" s="15" t="b">
        <v>1</v>
      </c>
      <c r="J126" s="15" t="b">
        <v>1</v>
      </c>
    </row>
    <row r="127">
      <c r="A127" s="14">
        <v>45869.0</v>
      </c>
      <c r="B127" s="15" t="b">
        <v>1</v>
      </c>
      <c r="C127" s="4" t="b">
        <v>0</v>
      </c>
      <c r="D127" s="4" t="b">
        <v>0</v>
      </c>
      <c r="E127" s="4" t="b">
        <v>0</v>
      </c>
      <c r="F127" s="15" t="b">
        <v>1</v>
      </c>
      <c r="G127" s="15" t="b">
        <v>1</v>
      </c>
      <c r="H127" s="4" t="b">
        <v>0</v>
      </c>
      <c r="I127" s="4" t="b">
        <v>0</v>
      </c>
      <c r="J127" s="15" t="b">
        <v>1</v>
      </c>
    </row>
    <row r="128">
      <c r="A128" s="14">
        <v>45870.0</v>
      </c>
      <c r="B128" s="15" t="b">
        <v>1</v>
      </c>
      <c r="C128" s="15" t="b">
        <v>1</v>
      </c>
      <c r="D128" s="15" t="b">
        <v>1</v>
      </c>
      <c r="E128" s="15" t="b">
        <v>1</v>
      </c>
      <c r="F128" s="15" t="b">
        <v>1</v>
      </c>
      <c r="G128" s="15" t="b">
        <v>1</v>
      </c>
      <c r="H128" s="15" t="b">
        <v>1</v>
      </c>
      <c r="I128" s="15" t="b">
        <v>1</v>
      </c>
      <c r="J128" s="15" t="b">
        <v>1</v>
      </c>
    </row>
    <row r="129">
      <c r="A129" s="14">
        <v>45871.0</v>
      </c>
      <c r="B129" s="15" t="b">
        <v>1</v>
      </c>
      <c r="C129" s="15" t="b">
        <v>1</v>
      </c>
      <c r="D129" s="4" t="b">
        <v>0</v>
      </c>
      <c r="E129" s="4" t="b">
        <v>0</v>
      </c>
      <c r="F129" s="4" t="b">
        <v>0</v>
      </c>
      <c r="G129" s="15" t="b">
        <v>1</v>
      </c>
      <c r="H129" s="15" t="b">
        <v>1</v>
      </c>
      <c r="I129" s="15" t="b">
        <v>1</v>
      </c>
      <c r="J129" s="15" t="b">
        <v>1</v>
      </c>
    </row>
    <row r="130">
      <c r="A130" s="14">
        <v>45872.0</v>
      </c>
      <c r="B130" s="4" t="b">
        <v>0</v>
      </c>
      <c r="C130" s="4" t="b">
        <v>0</v>
      </c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15" t="b">
        <v>1</v>
      </c>
      <c r="J130" s="4" t="b">
        <v>0</v>
      </c>
    </row>
    <row r="131">
      <c r="A131" s="14">
        <v>45873.0</v>
      </c>
      <c r="B131" s="4" t="b">
        <v>0</v>
      </c>
      <c r="C131" s="4" t="b">
        <v>0</v>
      </c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4" t="b">
        <v>0</v>
      </c>
    </row>
    <row r="132">
      <c r="A132" s="14">
        <v>45874.0</v>
      </c>
      <c r="B132" s="4" t="b">
        <v>0</v>
      </c>
      <c r="C132" s="4" t="b">
        <v>0</v>
      </c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4" t="b">
        <v>0</v>
      </c>
    </row>
    <row r="133">
      <c r="A133" s="14">
        <v>45875.0</v>
      </c>
      <c r="B133" s="4" t="b">
        <v>0</v>
      </c>
      <c r="C133" s="4" t="b">
        <v>0</v>
      </c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4" t="b">
        <v>0</v>
      </c>
    </row>
    <row r="134">
      <c r="A134" s="14">
        <v>45876.0</v>
      </c>
      <c r="B134" s="4" t="b">
        <v>0</v>
      </c>
      <c r="C134" s="4" t="b">
        <v>0</v>
      </c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4" t="b">
        <v>0</v>
      </c>
    </row>
    <row r="135">
      <c r="A135" s="14">
        <v>45877.0</v>
      </c>
      <c r="B135" s="4" t="b">
        <v>0</v>
      </c>
      <c r="C135" s="4" t="b">
        <v>0</v>
      </c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4" t="b">
        <v>0</v>
      </c>
    </row>
    <row r="136">
      <c r="A136" s="14">
        <v>45878.0</v>
      </c>
      <c r="B136" s="4" t="b">
        <v>0</v>
      </c>
      <c r="C136" s="4" t="b">
        <v>0</v>
      </c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4" t="b">
        <v>0</v>
      </c>
    </row>
    <row r="137">
      <c r="A137" s="14">
        <v>45879.0</v>
      </c>
      <c r="B137" s="15" t="b">
        <v>1</v>
      </c>
      <c r="C137" s="15" t="b">
        <v>1</v>
      </c>
      <c r="D137" s="4" t="b">
        <v>0</v>
      </c>
      <c r="E137" s="4" t="b">
        <v>0</v>
      </c>
      <c r="F137" s="15" t="b">
        <v>1</v>
      </c>
      <c r="G137" s="15" t="b">
        <v>1</v>
      </c>
      <c r="H137" s="15" t="b">
        <v>1</v>
      </c>
      <c r="I137" s="15" t="b">
        <v>1</v>
      </c>
      <c r="J137" s="15" t="b">
        <v>1</v>
      </c>
    </row>
    <row r="138">
      <c r="A138" s="14">
        <v>45880.0</v>
      </c>
      <c r="B138" s="15" t="b">
        <v>1</v>
      </c>
      <c r="C138" s="15" t="b">
        <v>1</v>
      </c>
      <c r="D138" s="15" t="b">
        <v>1</v>
      </c>
      <c r="E138" s="15" t="b">
        <v>1</v>
      </c>
      <c r="F138" s="4" t="b">
        <v>0</v>
      </c>
      <c r="G138" s="15" t="b">
        <v>1</v>
      </c>
      <c r="H138" s="4" t="b">
        <v>0</v>
      </c>
      <c r="I138" s="4" t="b">
        <v>0</v>
      </c>
      <c r="J138" s="15" t="b">
        <v>1</v>
      </c>
    </row>
    <row r="139">
      <c r="A139" s="14">
        <v>45881.0</v>
      </c>
      <c r="B139" s="4" t="b">
        <v>0</v>
      </c>
      <c r="C139" s="4" t="b">
        <v>0</v>
      </c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4" t="b">
        <v>0</v>
      </c>
    </row>
    <row r="140">
      <c r="A140" s="14">
        <v>45882.0</v>
      </c>
      <c r="B140" s="4" t="b">
        <v>0</v>
      </c>
      <c r="C140" s="15" t="b">
        <v>1</v>
      </c>
      <c r="D140" s="15" t="b">
        <v>1</v>
      </c>
      <c r="E140" s="15" t="b">
        <v>1</v>
      </c>
      <c r="F140" s="15" t="b">
        <v>1</v>
      </c>
      <c r="G140" s="4" t="b">
        <v>0</v>
      </c>
      <c r="H140" s="4" t="b">
        <v>0</v>
      </c>
      <c r="I140" s="4" t="b">
        <v>0</v>
      </c>
      <c r="J140" s="4" t="b">
        <v>0</v>
      </c>
    </row>
    <row r="141">
      <c r="A141" s="14">
        <v>45883.0</v>
      </c>
      <c r="B141" s="4" t="b">
        <v>0</v>
      </c>
      <c r="C141" s="4" t="b">
        <v>0</v>
      </c>
      <c r="D141" s="4" t="b">
        <v>0</v>
      </c>
      <c r="E141" s="4" t="b">
        <v>0</v>
      </c>
      <c r="F141" s="4" t="b">
        <v>0</v>
      </c>
      <c r="G141" s="4" t="b">
        <v>0</v>
      </c>
      <c r="H141" s="15" t="b">
        <v>1</v>
      </c>
      <c r="I141" s="15" t="b">
        <v>1</v>
      </c>
      <c r="J141" s="4" t="b">
        <v>0</v>
      </c>
    </row>
    <row r="142">
      <c r="A142" s="14">
        <v>45884.0</v>
      </c>
      <c r="B142" s="4" t="b">
        <v>0</v>
      </c>
      <c r="C142" s="4" t="b">
        <v>0</v>
      </c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4" t="b">
        <v>0</v>
      </c>
    </row>
    <row r="143">
      <c r="A143" s="14">
        <v>45885.0</v>
      </c>
      <c r="B143" s="15" t="b">
        <v>1</v>
      </c>
      <c r="C143" s="15" t="b">
        <v>1</v>
      </c>
      <c r="D143" s="4" t="b">
        <v>0</v>
      </c>
      <c r="E143" s="4" t="b">
        <v>0</v>
      </c>
      <c r="F143" s="4" t="b">
        <v>0</v>
      </c>
      <c r="G143" s="15" t="b">
        <v>1</v>
      </c>
      <c r="H143" s="15" t="b">
        <v>1</v>
      </c>
      <c r="I143" s="15" t="b">
        <v>1</v>
      </c>
      <c r="J143" s="15" t="b">
        <v>1</v>
      </c>
    </row>
    <row r="144">
      <c r="A144" s="14">
        <v>45886.0</v>
      </c>
      <c r="B144" s="15" t="b">
        <v>1</v>
      </c>
      <c r="C144" s="15" t="b">
        <v>1</v>
      </c>
      <c r="D144" s="4" t="b">
        <v>0</v>
      </c>
      <c r="E144" s="4" t="b">
        <v>0</v>
      </c>
      <c r="F144" s="4" t="b">
        <v>0</v>
      </c>
      <c r="G144" s="15" t="b">
        <v>1</v>
      </c>
      <c r="H144" s="15" t="b">
        <v>1</v>
      </c>
      <c r="I144" s="15" t="b">
        <v>1</v>
      </c>
      <c r="J144" s="15" t="b">
        <v>1</v>
      </c>
    </row>
    <row r="145">
      <c r="A145" s="14">
        <v>45887.0</v>
      </c>
      <c r="B145" s="4" t="b">
        <v>0</v>
      </c>
      <c r="C145" s="4" t="b">
        <v>0</v>
      </c>
      <c r="D145" s="15" t="b">
        <v>1</v>
      </c>
      <c r="E145" s="15" t="b">
        <v>1</v>
      </c>
      <c r="F145" s="15" t="b">
        <v>1</v>
      </c>
      <c r="G145" s="15" t="b">
        <v>1</v>
      </c>
      <c r="H145" s="4" t="b">
        <v>0</v>
      </c>
      <c r="I145" s="4" t="b">
        <v>0</v>
      </c>
      <c r="J145" s="15" t="b">
        <v>1</v>
      </c>
    </row>
    <row r="146">
      <c r="A146" s="14">
        <v>45888.0</v>
      </c>
      <c r="B146" s="15" t="b">
        <v>1</v>
      </c>
      <c r="C146" s="4" t="b">
        <v>0</v>
      </c>
      <c r="D146" s="15" t="b">
        <v>1</v>
      </c>
      <c r="E146" s="15" t="b">
        <v>1</v>
      </c>
      <c r="F146" s="15" t="b">
        <v>1</v>
      </c>
      <c r="G146" s="15" t="b">
        <v>1</v>
      </c>
      <c r="H146" s="15" t="b">
        <v>1</v>
      </c>
      <c r="I146" s="15" t="b">
        <v>1</v>
      </c>
      <c r="J146" s="15" t="b">
        <v>1</v>
      </c>
    </row>
    <row r="147">
      <c r="A147" s="14">
        <v>45889.0</v>
      </c>
      <c r="B147" s="15" t="b">
        <v>1</v>
      </c>
      <c r="C147" s="15" t="b">
        <v>1</v>
      </c>
      <c r="D147" s="15" t="b">
        <v>1</v>
      </c>
      <c r="E147" s="4" t="b">
        <v>0</v>
      </c>
      <c r="F147" s="15" t="b">
        <v>1</v>
      </c>
      <c r="G147" s="15" t="b">
        <v>1</v>
      </c>
      <c r="H147" s="15" t="b">
        <v>1</v>
      </c>
      <c r="I147" s="15" t="b">
        <v>1</v>
      </c>
      <c r="J147" s="15" t="b">
        <v>1</v>
      </c>
    </row>
    <row r="148">
      <c r="A148" s="14">
        <v>45890.0</v>
      </c>
      <c r="B148" s="15" t="b">
        <v>1</v>
      </c>
      <c r="C148" s="15" t="b">
        <v>1</v>
      </c>
      <c r="D148" s="15" t="b">
        <v>1</v>
      </c>
      <c r="E148" s="4" t="b">
        <v>0</v>
      </c>
      <c r="F148" s="15" t="b">
        <v>1</v>
      </c>
      <c r="G148" s="15" t="b">
        <v>1</v>
      </c>
      <c r="H148" s="15" t="b">
        <v>1</v>
      </c>
      <c r="I148" s="15" t="b">
        <v>1</v>
      </c>
      <c r="J148" s="4" t="b">
        <v>0</v>
      </c>
    </row>
    <row r="149">
      <c r="A149" s="14">
        <v>45891.0</v>
      </c>
      <c r="B149" s="15" t="b">
        <v>1</v>
      </c>
      <c r="C149" s="4" t="b">
        <v>0</v>
      </c>
      <c r="D149" s="15" t="b">
        <v>1</v>
      </c>
      <c r="E149" s="15" t="b">
        <v>1</v>
      </c>
      <c r="F149" s="15" t="b">
        <v>1</v>
      </c>
      <c r="G149" s="15" t="b">
        <v>1</v>
      </c>
      <c r="H149" s="4" t="b">
        <v>0</v>
      </c>
      <c r="I149" s="15" t="b">
        <v>1</v>
      </c>
      <c r="J149" s="4" t="b">
        <v>0</v>
      </c>
    </row>
    <row r="150">
      <c r="A150" s="14">
        <v>45892.0</v>
      </c>
      <c r="B150" s="4" t="b">
        <v>0</v>
      </c>
      <c r="C150" s="15" t="b">
        <v>1</v>
      </c>
      <c r="D150" s="15" t="b">
        <v>1</v>
      </c>
      <c r="E150" s="15" t="b">
        <v>1</v>
      </c>
      <c r="F150" s="15" t="b">
        <v>1</v>
      </c>
      <c r="G150" s="15" t="b">
        <v>1</v>
      </c>
      <c r="H150" s="15" t="b">
        <v>1</v>
      </c>
      <c r="I150" s="15" t="b">
        <v>1</v>
      </c>
      <c r="J150" s="4" t="b">
        <v>0</v>
      </c>
    </row>
    <row r="151">
      <c r="A151" s="14">
        <v>45893.0</v>
      </c>
      <c r="B151" s="15" t="b">
        <v>1</v>
      </c>
      <c r="C151" s="15" t="b">
        <v>1</v>
      </c>
      <c r="D151" s="15" t="b">
        <v>1</v>
      </c>
      <c r="E151" s="15" t="b">
        <v>1</v>
      </c>
      <c r="F151" s="15" t="b">
        <v>1</v>
      </c>
      <c r="G151" s="15" t="b">
        <v>1</v>
      </c>
      <c r="H151" s="15" t="b">
        <v>1</v>
      </c>
      <c r="I151" s="15" t="b">
        <v>1</v>
      </c>
      <c r="J151" s="4" t="b">
        <v>0</v>
      </c>
    </row>
    <row r="152">
      <c r="A152" s="14">
        <v>45894.0</v>
      </c>
      <c r="B152" s="15" t="b">
        <v>1</v>
      </c>
      <c r="C152" s="4" t="b">
        <v>0</v>
      </c>
      <c r="D152" s="15" t="b">
        <v>1</v>
      </c>
      <c r="E152" s="15" t="b">
        <v>1</v>
      </c>
      <c r="F152" s="15" t="b">
        <v>1</v>
      </c>
      <c r="G152" s="15" t="b">
        <v>1</v>
      </c>
      <c r="H152" s="15" t="b">
        <v>1</v>
      </c>
      <c r="I152" s="15" t="b">
        <v>1</v>
      </c>
      <c r="J152" s="15" t="b">
        <v>1</v>
      </c>
    </row>
    <row r="153">
      <c r="A153" s="14">
        <v>45895.0</v>
      </c>
      <c r="B153" s="15" t="b">
        <v>1</v>
      </c>
      <c r="C153" s="15" t="b">
        <v>1</v>
      </c>
      <c r="D153" s="15" t="b">
        <v>1</v>
      </c>
      <c r="E153" s="15" t="b">
        <v>1</v>
      </c>
      <c r="F153" s="15" t="b">
        <v>1</v>
      </c>
      <c r="G153" s="15" t="b">
        <v>1</v>
      </c>
      <c r="H153" s="15" t="b">
        <v>1</v>
      </c>
      <c r="I153" s="15" t="b">
        <v>1</v>
      </c>
      <c r="J153" s="15" t="b">
        <v>1</v>
      </c>
    </row>
    <row r="154">
      <c r="A154" s="14">
        <v>45896.0</v>
      </c>
      <c r="B154" s="15" t="b">
        <v>1</v>
      </c>
      <c r="C154" s="15" t="b">
        <v>1</v>
      </c>
      <c r="D154" s="15" t="b">
        <v>1</v>
      </c>
      <c r="E154" s="15" t="b">
        <v>1</v>
      </c>
      <c r="F154" s="15" t="b">
        <v>1</v>
      </c>
      <c r="G154" s="15" t="b">
        <v>1</v>
      </c>
      <c r="H154" s="15" t="b">
        <v>1</v>
      </c>
      <c r="I154" s="15" t="b">
        <v>1</v>
      </c>
      <c r="J154" s="15" t="b">
        <v>1</v>
      </c>
    </row>
    <row r="155">
      <c r="A155" s="14">
        <v>45897.0</v>
      </c>
      <c r="B155" s="15" t="b">
        <v>1</v>
      </c>
      <c r="C155" s="15" t="b">
        <v>1</v>
      </c>
      <c r="D155" s="15" t="b">
        <v>1</v>
      </c>
      <c r="E155" s="15" t="b">
        <v>1</v>
      </c>
      <c r="F155" s="15" t="b">
        <v>1</v>
      </c>
      <c r="G155" s="15" t="b">
        <v>1</v>
      </c>
      <c r="H155" s="15" t="b">
        <v>1</v>
      </c>
      <c r="I155" s="15" t="b">
        <v>1</v>
      </c>
      <c r="J155" s="4" t="b">
        <v>0</v>
      </c>
    </row>
    <row r="156">
      <c r="A156" s="14">
        <v>45898.0</v>
      </c>
      <c r="B156" s="15" t="b">
        <v>1</v>
      </c>
      <c r="C156" s="15" t="b">
        <v>1</v>
      </c>
      <c r="D156" s="15" t="b">
        <v>1</v>
      </c>
      <c r="E156" s="15" t="b">
        <v>1</v>
      </c>
      <c r="F156" s="4" t="b">
        <v>0</v>
      </c>
      <c r="G156" s="15" t="b">
        <v>1</v>
      </c>
      <c r="H156" s="15" t="b">
        <v>1</v>
      </c>
      <c r="I156" s="15" t="b">
        <v>1</v>
      </c>
      <c r="J156" s="15" t="b">
        <v>1</v>
      </c>
    </row>
    <row r="157">
      <c r="A157" s="14">
        <v>45899.0</v>
      </c>
      <c r="B157" s="15" t="b">
        <v>1</v>
      </c>
      <c r="C157" s="15" t="b">
        <v>1</v>
      </c>
      <c r="D157" s="15" t="b">
        <v>1</v>
      </c>
      <c r="E157" s="15" t="b">
        <v>1</v>
      </c>
      <c r="F157" s="4" t="b">
        <v>0</v>
      </c>
      <c r="G157" s="15" t="b">
        <v>1</v>
      </c>
      <c r="H157" s="15" t="b">
        <v>1</v>
      </c>
      <c r="I157" s="15" t="b">
        <v>1</v>
      </c>
      <c r="J157" s="15" t="b">
        <v>1</v>
      </c>
    </row>
    <row r="158">
      <c r="A158" s="14">
        <v>45900.0</v>
      </c>
      <c r="B158" s="15" t="b">
        <v>1</v>
      </c>
      <c r="C158" s="15" t="b">
        <v>1</v>
      </c>
      <c r="D158" s="4" t="b">
        <v>0</v>
      </c>
      <c r="E158" s="4" t="b">
        <v>0</v>
      </c>
      <c r="F158" s="15" t="b">
        <v>1</v>
      </c>
      <c r="G158" s="15" t="b">
        <v>1</v>
      </c>
      <c r="H158" s="15" t="b">
        <v>1</v>
      </c>
      <c r="I158" s="15" t="b">
        <v>1</v>
      </c>
      <c r="J158" s="4" t="b">
        <v>0</v>
      </c>
    </row>
    <row r="159">
      <c r="A159" s="14">
        <v>45901.0</v>
      </c>
      <c r="B159" s="1" t="b">
        <v>1</v>
      </c>
      <c r="C159" s="4" t="b">
        <v>0</v>
      </c>
      <c r="D159" s="1" t="b">
        <v>1</v>
      </c>
      <c r="E159" s="15" t="b">
        <v>1</v>
      </c>
      <c r="F159" s="15" t="b">
        <v>1</v>
      </c>
      <c r="G159" s="15" t="b">
        <v>1</v>
      </c>
      <c r="H159" s="15" t="b">
        <v>1</v>
      </c>
      <c r="I159" s="4" t="b">
        <v>0</v>
      </c>
      <c r="J159" s="4" t="b">
        <v>0</v>
      </c>
    </row>
    <row r="160">
      <c r="A160" s="14">
        <v>45902.0</v>
      </c>
      <c r="B160" s="15" t="b">
        <v>1</v>
      </c>
      <c r="C160" s="15" t="b">
        <v>1</v>
      </c>
      <c r="D160" s="15" t="b">
        <v>1</v>
      </c>
      <c r="E160" s="15" t="b">
        <v>1</v>
      </c>
      <c r="F160" s="15" t="b">
        <v>1</v>
      </c>
      <c r="G160" s="15" t="b">
        <v>1</v>
      </c>
      <c r="H160" s="15" t="b">
        <v>1</v>
      </c>
      <c r="I160" s="15" t="b">
        <v>1</v>
      </c>
      <c r="J160" s="15" t="b">
        <v>1</v>
      </c>
    </row>
    <row r="161">
      <c r="A161" s="14">
        <v>45903.0</v>
      </c>
      <c r="B161" s="15" t="b">
        <v>1</v>
      </c>
      <c r="C161" s="15" t="b">
        <v>1</v>
      </c>
      <c r="D161" s="15" t="b">
        <v>1</v>
      </c>
      <c r="E161" s="15" t="b">
        <v>1</v>
      </c>
      <c r="F161" s="15" t="b">
        <v>1</v>
      </c>
      <c r="G161" s="15" t="b">
        <v>1</v>
      </c>
      <c r="H161" s="15" t="b">
        <v>1</v>
      </c>
      <c r="I161" s="15" t="b">
        <v>1</v>
      </c>
      <c r="J161" s="15" t="b">
        <v>1</v>
      </c>
    </row>
    <row r="162">
      <c r="A162" s="14">
        <v>45904.0</v>
      </c>
      <c r="B162" s="15" t="b">
        <v>1</v>
      </c>
      <c r="C162" s="15" t="b">
        <v>1</v>
      </c>
      <c r="D162" s="15" t="b">
        <v>1</v>
      </c>
      <c r="E162" s="15" t="b">
        <v>1</v>
      </c>
      <c r="F162" s="15" t="b">
        <v>1</v>
      </c>
      <c r="G162" s="15" t="b">
        <v>1</v>
      </c>
      <c r="H162" s="15" t="b">
        <v>1</v>
      </c>
      <c r="I162" s="15" t="b">
        <v>1</v>
      </c>
      <c r="J162" s="4" t="b">
        <v>0</v>
      </c>
    </row>
    <row r="163">
      <c r="A163" s="14">
        <v>45905.0</v>
      </c>
      <c r="B163" s="15" t="b">
        <v>1</v>
      </c>
      <c r="C163" s="15" t="b">
        <v>1</v>
      </c>
      <c r="D163" s="15" t="b">
        <v>1</v>
      </c>
      <c r="E163" s="15" t="b">
        <v>1</v>
      </c>
      <c r="F163" s="1" t="b">
        <v>0</v>
      </c>
      <c r="G163" s="15" t="b">
        <v>1</v>
      </c>
      <c r="H163" s="15" t="b">
        <v>1</v>
      </c>
      <c r="I163" s="15" t="b">
        <v>1</v>
      </c>
      <c r="J163" s="15" t="b">
        <v>1</v>
      </c>
    </row>
    <row r="164">
      <c r="A164" s="14">
        <v>45906.0</v>
      </c>
      <c r="B164" s="4" t="b">
        <v>0</v>
      </c>
      <c r="C164" s="4" t="b">
        <v>0</v>
      </c>
      <c r="D164" s="4" t="b">
        <v>0</v>
      </c>
      <c r="E164" s="15" t="b">
        <v>1</v>
      </c>
      <c r="F164" s="4" t="b">
        <v>0</v>
      </c>
      <c r="G164" s="4" t="b">
        <v>0</v>
      </c>
      <c r="H164" s="4" t="b">
        <v>0</v>
      </c>
      <c r="I164" s="4" t="b">
        <v>0</v>
      </c>
      <c r="J164" s="4" t="b">
        <v>0</v>
      </c>
    </row>
    <row r="165">
      <c r="A165" s="14">
        <v>45907.0</v>
      </c>
      <c r="B165" s="4" t="b">
        <v>0</v>
      </c>
      <c r="C165" s="15" t="b">
        <v>1</v>
      </c>
      <c r="D165" s="1" t="b">
        <v>1</v>
      </c>
      <c r="E165" s="1" t="b">
        <v>1</v>
      </c>
      <c r="F165" s="4" t="b">
        <v>0</v>
      </c>
      <c r="G165" s="15" t="b">
        <v>1</v>
      </c>
      <c r="H165" s="4" t="b">
        <v>0</v>
      </c>
      <c r="I165" s="1" t="b">
        <v>1</v>
      </c>
      <c r="J165" s="4" t="b">
        <v>0</v>
      </c>
    </row>
    <row r="166">
      <c r="A166" s="14">
        <v>45908.0</v>
      </c>
      <c r="B166" s="15" t="b">
        <v>1</v>
      </c>
      <c r="C166" s="15" t="b">
        <v>1</v>
      </c>
      <c r="D166" s="15" t="b">
        <v>1</v>
      </c>
      <c r="E166" s="15" t="b">
        <v>1</v>
      </c>
      <c r="F166" s="15" t="b">
        <v>1</v>
      </c>
      <c r="G166" s="15" t="b">
        <v>1</v>
      </c>
      <c r="H166" s="15" t="b">
        <v>1</v>
      </c>
      <c r="I166" s="15" t="b">
        <v>1</v>
      </c>
      <c r="J166" s="15" t="b">
        <v>1</v>
      </c>
    </row>
    <row r="167">
      <c r="A167" s="14">
        <v>45909.0</v>
      </c>
      <c r="B167" s="15" t="b">
        <v>1</v>
      </c>
      <c r="C167" s="15" t="b">
        <v>1</v>
      </c>
      <c r="D167" s="15" t="b">
        <v>1</v>
      </c>
      <c r="E167" s="15" t="b">
        <v>1</v>
      </c>
      <c r="F167" s="4" t="b">
        <v>0</v>
      </c>
      <c r="G167" s="15" t="b">
        <v>1</v>
      </c>
      <c r="H167" s="4" t="b">
        <v>0</v>
      </c>
      <c r="I167" s="15" t="b">
        <v>1</v>
      </c>
      <c r="J167" s="15" t="b">
        <v>1</v>
      </c>
    </row>
    <row r="168">
      <c r="A168" s="14">
        <v>45910.0</v>
      </c>
      <c r="B168" s="15" t="b">
        <v>1</v>
      </c>
      <c r="C168" s="15" t="b">
        <v>1</v>
      </c>
      <c r="D168" s="15" t="b">
        <v>1</v>
      </c>
      <c r="E168" s="4" t="b">
        <v>0</v>
      </c>
      <c r="F168" s="15" t="b">
        <v>1</v>
      </c>
      <c r="G168" s="15" t="b">
        <v>1</v>
      </c>
      <c r="H168" s="15" t="b">
        <v>1</v>
      </c>
      <c r="I168" s="15" t="b">
        <v>1</v>
      </c>
      <c r="J168" s="15" t="b">
        <v>1</v>
      </c>
    </row>
    <row r="169">
      <c r="A169" s="14">
        <v>45911.0</v>
      </c>
      <c r="B169" s="15" t="b">
        <v>1</v>
      </c>
      <c r="C169" s="15" t="b">
        <v>1</v>
      </c>
      <c r="D169" s="15" t="b">
        <v>1</v>
      </c>
      <c r="E169" s="15" t="b">
        <v>1</v>
      </c>
      <c r="F169" s="15" t="b">
        <v>1</v>
      </c>
      <c r="G169" s="15" t="b">
        <v>1</v>
      </c>
      <c r="H169" s="15" t="b">
        <v>1</v>
      </c>
      <c r="I169" s="15" t="b">
        <v>1</v>
      </c>
      <c r="J169" s="15" t="b">
        <v>1</v>
      </c>
    </row>
    <row r="170">
      <c r="A170" s="14">
        <v>45912.0</v>
      </c>
      <c r="B170" s="15" t="b">
        <v>1</v>
      </c>
      <c r="C170" s="15" t="b">
        <v>1</v>
      </c>
      <c r="D170" s="15" t="b">
        <v>1</v>
      </c>
      <c r="E170" s="15" t="b">
        <v>1</v>
      </c>
      <c r="F170" s="15" t="b">
        <v>1</v>
      </c>
      <c r="G170" s="15" t="b">
        <v>1</v>
      </c>
      <c r="H170" s="15" t="b">
        <v>1</v>
      </c>
      <c r="I170" s="15" t="b">
        <v>1</v>
      </c>
      <c r="J170" s="4" t="b">
        <v>0</v>
      </c>
    </row>
    <row r="171">
      <c r="A171" s="14">
        <v>45913.0</v>
      </c>
      <c r="B171" s="4" t="b">
        <v>0</v>
      </c>
      <c r="C171" s="15" t="b">
        <v>1</v>
      </c>
      <c r="D171" s="15" t="b">
        <v>1</v>
      </c>
      <c r="E171" s="15" t="b">
        <v>1</v>
      </c>
      <c r="F171" s="15" t="b">
        <v>1</v>
      </c>
      <c r="G171" s="15" t="b">
        <v>1</v>
      </c>
      <c r="H171" s="15" t="b">
        <v>1</v>
      </c>
      <c r="I171" s="15" t="b">
        <v>1</v>
      </c>
      <c r="J171" s="15" t="b">
        <v>1</v>
      </c>
    </row>
    <row r="172">
      <c r="A172" s="14">
        <v>45914.0</v>
      </c>
      <c r="B172" s="15" t="b">
        <v>1</v>
      </c>
      <c r="C172" s="15" t="b">
        <v>1</v>
      </c>
      <c r="D172" s="15" t="b">
        <v>1</v>
      </c>
      <c r="E172" s="15" t="b">
        <v>1</v>
      </c>
      <c r="F172" s="15" t="b">
        <v>1</v>
      </c>
      <c r="G172" s="15" t="b">
        <v>1</v>
      </c>
      <c r="H172" s="15" t="b">
        <v>1</v>
      </c>
      <c r="I172" s="15" t="b">
        <v>1</v>
      </c>
      <c r="J172" s="4" t="b">
        <v>0</v>
      </c>
    </row>
    <row r="173">
      <c r="A173" s="14">
        <v>45915.0</v>
      </c>
      <c r="B173" s="15" t="b">
        <v>1</v>
      </c>
      <c r="C173" s="15" t="b">
        <v>1</v>
      </c>
      <c r="D173" s="15" t="b">
        <v>1</v>
      </c>
      <c r="E173" s="15" t="b">
        <v>1</v>
      </c>
      <c r="F173" s="15" t="b">
        <v>1</v>
      </c>
      <c r="G173" s="15" t="b">
        <v>1</v>
      </c>
      <c r="H173" s="15" t="b">
        <v>1</v>
      </c>
      <c r="I173" s="15" t="b">
        <v>1</v>
      </c>
      <c r="J173" s="15" t="b">
        <v>1</v>
      </c>
    </row>
    <row r="174">
      <c r="A174" s="14">
        <v>45916.0</v>
      </c>
      <c r="B174" s="15" t="b">
        <v>1</v>
      </c>
      <c r="C174" s="4" t="b">
        <v>0</v>
      </c>
      <c r="D174" s="15" t="b">
        <v>1</v>
      </c>
      <c r="E174" s="15" t="b">
        <v>1</v>
      </c>
      <c r="F174" s="1" t="b">
        <v>1</v>
      </c>
      <c r="G174" s="1" t="b">
        <v>1</v>
      </c>
      <c r="H174" s="1" t="b">
        <v>1</v>
      </c>
      <c r="I174" s="15" t="b">
        <v>1</v>
      </c>
      <c r="J174" s="15" t="b">
        <v>1</v>
      </c>
    </row>
    <row r="175">
      <c r="A175" s="14">
        <v>45917.0</v>
      </c>
      <c r="B175" s="15" t="b">
        <v>1</v>
      </c>
      <c r="C175" s="15" t="b">
        <v>1</v>
      </c>
      <c r="D175" s="15" t="b">
        <v>1</v>
      </c>
      <c r="E175" s="15" t="b">
        <v>1</v>
      </c>
      <c r="F175" s="15" t="b">
        <v>1</v>
      </c>
      <c r="G175" s="15" t="b">
        <v>1</v>
      </c>
      <c r="H175" s="15" t="b">
        <v>1</v>
      </c>
      <c r="I175" s="15" t="b">
        <v>1</v>
      </c>
      <c r="J175" s="15" t="b">
        <v>1</v>
      </c>
    </row>
    <row r="176">
      <c r="A176" s="14">
        <v>45918.0</v>
      </c>
      <c r="B176" s="15" t="b">
        <v>1</v>
      </c>
      <c r="C176" s="15" t="b">
        <v>1</v>
      </c>
      <c r="D176" s="4" t="b">
        <v>0</v>
      </c>
      <c r="E176" s="1" t="b">
        <v>1</v>
      </c>
      <c r="F176" s="4" t="b">
        <v>0</v>
      </c>
      <c r="G176" s="15" t="b">
        <v>1</v>
      </c>
      <c r="H176" s="15" t="b">
        <v>1</v>
      </c>
      <c r="I176" s="15" t="b">
        <v>1</v>
      </c>
      <c r="J176" s="15" t="b">
        <v>1</v>
      </c>
    </row>
    <row r="177">
      <c r="A177" s="14">
        <v>45919.0</v>
      </c>
      <c r="B177" s="15" t="b">
        <v>1</v>
      </c>
      <c r="C177" s="1" t="b">
        <v>1</v>
      </c>
      <c r="D177" s="15" t="b">
        <v>1</v>
      </c>
      <c r="E177" s="15" t="b">
        <v>1</v>
      </c>
      <c r="F177" s="15" t="b">
        <v>1</v>
      </c>
      <c r="G177" s="15" t="b">
        <v>1</v>
      </c>
      <c r="H177" s="15" t="b">
        <v>1</v>
      </c>
      <c r="I177" s="15" t="b">
        <v>1</v>
      </c>
      <c r="J177" s="15" t="b">
        <v>1</v>
      </c>
    </row>
    <row r="178">
      <c r="A178" s="14">
        <v>45920.0</v>
      </c>
      <c r="B178" s="4" t="b">
        <v>0</v>
      </c>
      <c r="C178" s="15" t="b">
        <v>1</v>
      </c>
      <c r="D178" s="15" t="b">
        <v>1</v>
      </c>
      <c r="E178" s="15" t="b">
        <v>1</v>
      </c>
      <c r="F178" s="15" t="b">
        <v>1</v>
      </c>
      <c r="G178" s="15" t="b">
        <v>1</v>
      </c>
      <c r="H178" s="15" t="b">
        <v>1</v>
      </c>
      <c r="I178" s="15" t="b">
        <v>1</v>
      </c>
      <c r="J178" s="4" t="b">
        <v>0</v>
      </c>
    </row>
    <row r="179">
      <c r="A179" s="14">
        <v>45921.0</v>
      </c>
      <c r="B179" s="15" t="b">
        <v>1</v>
      </c>
      <c r="C179" s="15" t="b">
        <v>1</v>
      </c>
      <c r="D179" s="15" t="b">
        <v>1</v>
      </c>
      <c r="E179" s="15" t="b">
        <v>1</v>
      </c>
      <c r="F179" s="15" t="b">
        <v>1</v>
      </c>
      <c r="G179" s="15" t="b">
        <v>1</v>
      </c>
      <c r="H179" s="15" t="b">
        <v>1</v>
      </c>
      <c r="I179" s="15" t="b">
        <v>1</v>
      </c>
      <c r="J179" s="4" t="b">
        <v>0</v>
      </c>
    </row>
    <row r="180">
      <c r="A180" s="14">
        <v>45922.0</v>
      </c>
      <c r="B180" s="15" t="b">
        <v>1</v>
      </c>
      <c r="C180" s="15" t="b">
        <v>1</v>
      </c>
      <c r="D180" s="15" t="b">
        <v>1</v>
      </c>
      <c r="E180" s="15" t="b">
        <v>1</v>
      </c>
      <c r="F180" s="15" t="b">
        <v>1</v>
      </c>
      <c r="G180" s="15" t="b">
        <v>1</v>
      </c>
      <c r="H180" s="15" t="b">
        <v>1</v>
      </c>
      <c r="I180" s="4" t="b">
        <v>0</v>
      </c>
      <c r="J180" s="15" t="b">
        <v>1</v>
      </c>
    </row>
    <row r="181">
      <c r="A181" s="14">
        <v>45923.0</v>
      </c>
      <c r="B181" s="15" t="b">
        <v>1</v>
      </c>
      <c r="C181" s="4" t="b">
        <v>0</v>
      </c>
      <c r="D181" s="15" t="b">
        <v>1</v>
      </c>
      <c r="E181" s="15" t="b">
        <v>1</v>
      </c>
      <c r="F181" s="15" t="b">
        <v>1</v>
      </c>
      <c r="G181" s="15" t="b">
        <v>1</v>
      </c>
      <c r="H181" s="15" t="b">
        <v>1</v>
      </c>
      <c r="I181" s="15" t="b">
        <v>1</v>
      </c>
      <c r="J181" s="15" t="b">
        <v>1</v>
      </c>
    </row>
    <row r="182">
      <c r="A182" s="14">
        <v>45924.0</v>
      </c>
      <c r="B182" s="15" t="b">
        <v>1</v>
      </c>
      <c r="C182" s="15" t="b">
        <v>1</v>
      </c>
      <c r="D182" s="15" t="b">
        <v>1</v>
      </c>
      <c r="E182" s="4" t="b">
        <v>0</v>
      </c>
      <c r="F182" s="4" t="b">
        <v>0</v>
      </c>
      <c r="G182" s="15" t="b">
        <v>1</v>
      </c>
      <c r="H182" s="1" t="b">
        <v>1</v>
      </c>
      <c r="I182" s="4" t="b">
        <v>0</v>
      </c>
      <c r="J182" s="4" t="b">
        <v>0</v>
      </c>
    </row>
    <row r="183">
      <c r="A183" s="14">
        <v>45925.0</v>
      </c>
      <c r="B183" s="15" t="b">
        <v>1</v>
      </c>
      <c r="C183" s="15" t="b">
        <v>1</v>
      </c>
      <c r="D183" s="15" t="b">
        <v>1</v>
      </c>
      <c r="E183" s="15" t="b">
        <v>1</v>
      </c>
      <c r="F183" s="15" t="b">
        <v>1</v>
      </c>
      <c r="G183" s="1" t="b">
        <v>1</v>
      </c>
      <c r="H183" s="15" t="b">
        <v>1</v>
      </c>
      <c r="I183" s="15" t="b">
        <v>1</v>
      </c>
      <c r="J183" s="1" t="b">
        <v>1</v>
      </c>
    </row>
    <row r="184">
      <c r="A184" s="14">
        <v>45926.0</v>
      </c>
      <c r="B184" s="15" t="b">
        <v>1</v>
      </c>
      <c r="C184" s="15" t="b">
        <v>1</v>
      </c>
      <c r="D184" s="15" t="b">
        <v>1</v>
      </c>
      <c r="E184" s="15" t="b">
        <v>1</v>
      </c>
      <c r="F184" s="4" t="b">
        <v>0</v>
      </c>
      <c r="G184" s="15" t="b">
        <v>1</v>
      </c>
      <c r="H184" s="15" t="b">
        <v>1</v>
      </c>
      <c r="I184" s="15" t="b">
        <v>1</v>
      </c>
      <c r="J184" s="1" t="b">
        <v>1</v>
      </c>
    </row>
    <row r="185">
      <c r="A185" s="14">
        <v>45927.0</v>
      </c>
      <c r="B185" s="15" t="b">
        <v>1</v>
      </c>
      <c r="C185" s="15" t="b">
        <v>1</v>
      </c>
      <c r="D185" s="15" t="b">
        <v>1</v>
      </c>
      <c r="E185" s="15" t="b">
        <v>1</v>
      </c>
      <c r="F185" s="15" t="b">
        <v>1</v>
      </c>
      <c r="G185" s="15" t="b">
        <v>1</v>
      </c>
      <c r="H185" s="15" t="b">
        <v>1</v>
      </c>
      <c r="I185" s="15" t="b">
        <v>1</v>
      </c>
      <c r="J185" s="15" t="b">
        <v>1</v>
      </c>
    </row>
    <row r="186">
      <c r="A186" s="14">
        <v>45928.0</v>
      </c>
      <c r="B186" s="4" t="b">
        <v>0</v>
      </c>
      <c r="C186" s="4" t="b">
        <v>0</v>
      </c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4" t="b">
        <v>0</v>
      </c>
    </row>
    <row r="187">
      <c r="A187" s="14">
        <v>45929.0</v>
      </c>
      <c r="B187" s="4" t="b">
        <v>0</v>
      </c>
      <c r="C187" s="4" t="b">
        <v>0</v>
      </c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4" t="b">
        <v>0</v>
      </c>
    </row>
    <row r="188">
      <c r="A188" s="14">
        <v>45930.0</v>
      </c>
      <c r="B188" s="4" t="b">
        <v>0</v>
      </c>
      <c r="C188" s="4" t="b">
        <v>0</v>
      </c>
      <c r="D188" s="4" t="b">
        <v>0</v>
      </c>
      <c r="E188" s="15" t="b">
        <v>1</v>
      </c>
      <c r="F188" s="4" t="b">
        <v>0</v>
      </c>
      <c r="G188" s="4" t="b">
        <v>0</v>
      </c>
      <c r="H188" s="15" t="b">
        <v>1</v>
      </c>
      <c r="I188" s="4" t="b">
        <v>0</v>
      </c>
      <c r="J188" s="4" t="b">
        <v>0</v>
      </c>
    </row>
    <row r="189">
      <c r="A189" s="14">
        <v>45931.0</v>
      </c>
      <c r="B189" s="15" t="b">
        <v>1</v>
      </c>
      <c r="C189" s="15" t="b">
        <v>1</v>
      </c>
      <c r="D189" s="1" t="b">
        <v>1</v>
      </c>
      <c r="E189" s="15" t="b">
        <v>1</v>
      </c>
      <c r="F189" s="15" t="b">
        <v>1</v>
      </c>
      <c r="G189" s="15" t="b">
        <v>1</v>
      </c>
      <c r="H189" s="15" t="b">
        <v>1</v>
      </c>
      <c r="I189" s="15" t="b">
        <v>1</v>
      </c>
      <c r="J189" s="15" t="b">
        <v>1</v>
      </c>
    </row>
    <row r="190">
      <c r="A190" s="14">
        <v>45932.0</v>
      </c>
      <c r="B190" s="15" t="b">
        <v>1</v>
      </c>
      <c r="C190" s="15" t="b">
        <v>1</v>
      </c>
      <c r="D190" s="15" t="b">
        <v>1</v>
      </c>
      <c r="E190" s="15" t="b">
        <v>1</v>
      </c>
      <c r="F190" s="15" t="b">
        <v>1</v>
      </c>
      <c r="G190" s="15" t="b">
        <v>1</v>
      </c>
      <c r="H190" s="15" t="b">
        <v>1</v>
      </c>
      <c r="I190" s="15" t="b">
        <v>1</v>
      </c>
      <c r="J190" s="15" t="b">
        <v>1</v>
      </c>
    </row>
    <row r="191">
      <c r="A191" s="14">
        <v>45933.0</v>
      </c>
      <c r="B191" s="15" t="b">
        <v>1</v>
      </c>
      <c r="C191" s="15" t="b">
        <v>1</v>
      </c>
      <c r="D191" s="15" t="b">
        <v>1</v>
      </c>
      <c r="E191" s="15" t="b">
        <v>1</v>
      </c>
      <c r="F191" s="4" t="b">
        <v>0</v>
      </c>
      <c r="G191" s="15" t="b">
        <v>1</v>
      </c>
      <c r="H191" s="15" t="b">
        <v>1</v>
      </c>
      <c r="I191" s="15" t="b">
        <v>1</v>
      </c>
      <c r="J191" s="15" t="b">
        <v>1</v>
      </c>
    </row>
    <row r="192">
      <c r="A192" s="14">
        <v>45934.0</v>
      </c>
      <c r="B192" s="15" t="b">
        <v>1</v>
      </c>
      <c r="C192" s="15" t="b">
        <v>1</v>
      </c>
      <c r="D192" s="15" t="b">
        <v>1</v>
      </c>
      <c r="E192" s="15" t="b">
        <v>1</v>
      </c>
      <c r="F192" s="15" t="b">
        <v>1</v>
      </c>
      <c r="G192" s="15" t="b">
        <v>1</v>
      </c>
      <c r="H192" s="15" t="b">
        <v>1</v>
      </c>
      <c r="I192" s="15" t="b">
        <v>1</v>
      </c>
      <c r="J192" s="15" t="b">
        <v>1</v>
      </c>
    </row>
    <row r="193">
      <c r="A193" s="14">
        <v>45935.0</v>
      </c>
      <c r="B193" s="15" t="b">
        <v>1</v>
      </c>
      <c r="C193" s="15" t="b">
        <v>1</v>
      </c>
      <c r="D193" s="15" t="b">
        <v>1</v>
      </c>
      <c r="E193" s="15" t="b">
        <v>1</v>
      </c>
      <c r="F193" s="15" t="b">
        <v>1</v>
      </c>
      <c r="G193" s="15" t="b">
        <v>1</v>
      </c>
      <c r="H193" s="15" t="b">
        <v>1</v>
      </c>
      <c r="I193" s="15" t="b">
        <v>1</v>
      </c>
      <c r="J193" s="15" t="b">
        <v>1</v>
      </c>
    </row>
    <row r="194">
      <c r="A194" s="14">
        <v>45936.0</v>
      </c>
      <c r="B194" s="15" t="b">
        <v>1</v>
      </c>
      <c r="C194" s="15" t="b">
        <v>1</v>
      </c>
      <c r="D194" s="1" t="b">
        <v>1</v>
      </c>
      <c r="E194" s="15" t="b">
        <v>1</v>
      </c>
      <c r="F194" s="15" t="b">
        <v>1</v>
      </c>
      <c r="G194" s="15" t="b">
        <v>1</v>
      </c>
      <c r="H194" s="15" t="b">
        <v>1</v>
      </c>
      <c r="I194" s="15" t="b">
        <v>1</v>
      </c>
      <c r="J194" s="15" t="b">
        <v>1</v>
      </c>
    </row>
    <row r="195">
      <c r="A195" s="14">
        <v>45937.0</v>
      </c>
      <c r="B195" s="15" t="b">
        <v>1</v>
      </c>
      <c r="C195" s="15" t="b">
        <v>1</v>
      </c>
      <c r="D195" s="15" t="b">
        <v>1</v>
      </c>
      <c r="E195" s="1" t="b">
        <v>1</v>
      </c>
      <c r="F195" s="15" t="b">
        <v>1</v>
      </c>
      <c r="G195" s="15" t="b">
        <v>1</v>
      </c>
      <c r="H195" s="1" t="b">
        <v>1</v>
      </c>
      <c r="I195" s="15" t="b">
        <v>1</v>
      </c>
      <c r="J195" s="15" t="b">
        <v>1</v>
      </c>
    </row>
    <row r="196">
      <c r="A196" s="14">
        <v>45938.0</v>
      </c>
      <c r="B196" s="15" t="b">
        <v>1</v>
      </c>
      <c r="C196" s="15" t="b">
        <v>1</v>
      </c>
      <c r="D196" s="15" t="b">
        <v>1</v>
      </c>
      <c r="E196" s="15" t="b">
        <v>1</v>
      </c>
      <c r="F196" s="15" t="b">
        <v>1</v>
      </c>
      <c r="G196" s="15" t="b">
        <v>1</v>
      </c>
      <c r="H196" s="15" t="b">
        <v>1</v>
      </c>
      <c r="I196" s="15" t="b">
        <v>1</v>
      </c>
      <c r="J196" s="15" t="b">
        <v>1</v>
      </c>
    </row>
    <row r="197">
      <c r="A197" s="14">
        <v>45939.0</v>
      </c>
      <c r="B197" s="15" t="b">
        <v>1</v>
      </c>
      <c r="C197" s="1" t="b">
        <v>1</v>
      </c>
      <c r="D197" s="15" t="b">
        <v>1</v>
      </c>
      <c r="E197" s="15" t="b">
        <v>1</v>
      </c>
      <c r="F197" s="15" t="b">
        <v>1</v>
      </c>
      <c r="G197" s="15" t="b">
        <v>1</v>
      </c>
      <c r="H197" s="15" t="b">
        <v>1</v>
      </c>
      <c r="I197" s="15" t="b">
        <v>1</v>
      </c>
      <c r="J197" s="15" t="b">
        <v>1</v>
      </c>
    </row>
    <row r="198">
      <c r="A198" s="14">
        <v>45940.0</v>
      </c>
      <c r="B198" s="15" t="b">
        <v>1</v>
      </c>
      <c r="C198" s="15" t="b">
        <v>1</v>
      </c>
      <c r="D198" s="15" t="b">
        <v>1</v>
      </c>
      <c r="E198" s="15" t="b">
        <v>1</v>
      </c>
      <c r="F198" s="15" t="b">
        <v>1</v>
      </c>
      <c r="G198" s="15" t="b">
        <v>1</v>
      </c>
      <c r="H198" s="15" t="b">
        <v>1</v>
      </c>
      <c r="I198" s="15" t="b">
        <v>1</v>
      </c>
      <c r="J198" s="15" t="b">
        <v>1</v>
      </c>
    </row>
    <row r="199">
      <c r="A199" s="14">
        <v>45941.0</v>
      </c>
      <c r="B199" s="15" t="b">
        <v>1</v>
      </c>
      <c r="C199" s="15" t="b">
        <v>1</v>
      </c>
      <c r="D199" s="15" t="b">
        <v>1</v>
      </c>
      <c r="E199" s="15" t="b">
        <v>1</v>
      </c>
      <c r="F199" s="4" t="b">
        <v>0</v>
      </c>
      <c r="G199" s="15" t="b">
        <v>1</v>
      </c>
      <c r="H199" s="15" t="b">
        <v>1</v>
      </c>
      <c r="I199" s="15" t="b">
        <v>1</v>
      </c>
      <c r="J199" s="15" t="b">
        <v>1</v>
      </c>
    </row>
    <row r="200">
      <c r="A200" s="14">
        <v>45942.0</v>
      </c>
      <c r="B200" s="15" t="b">
        <v>1</v>
      </c>
      <c r="C200" s="15" t="b">
        <v>1</v>
      </c>
      <c r="D200" s="15" t="b">
        <v>1</v>
      </c>
      <c r="E200" s="15" t="b">
        <v>1</v>
      </c>
      <c r="F200" s="15" t="b">
        <v>1</v>
      </c>
      <c r="G200" s="15" t="b">
        <v>1</v>
      </c>
      <c r="H200" s="15" t="b">
        <v>1</v>
      </c>
      <c r="I200" s="15" t="b">
        <v>1</v>
      </c>
      <c r="J200" s="4" t="b">
        <v>0</v>
      </c>
    </row>
    <row r="201">
      <c r="A201" s="14">
        <v>45943.0</v>
      </c>
      <c r="B201" s="15" t="b">
        <v>1</v>
      </c>
      <c r="C201" s="15" t="b">
        <v>1</v>
      </c>
      <c r="D201" s="15" t="b">
        <v>1</v>
      </c>
      <c r="E201" s="4" t="b">
        <v>0</v>
      </c>
      <c r="F201" s="15" t="b">
        <v>1</v>
      </c>
      <c r="G201" s="15" t="b">
        <v>1</v>
      </c>
      <c r="H201" s="15" t="b">
        <v>1</v>
      </c>
      <c r="I201" s="15" t="b">
        <v>1</v>
      </c>
      <c r="J201" s="1" t="b">
        <v>1</v>
      </c>
    </row>
    <row r="202">
      <c r="A202" s="14">
        <v>45944.0</v>
      </c>
      <c r="B202" s="15" t="b">
        <v>1</v>
      </c>
      <c r="C202" s="15" t="b">
        <v>1</v>
      </c>
      <c r="D202" s="15" t="b">
        <v>1</v>
      </c>
      <c r="E202" s="15" t="b">
        <v>1</v>
      </c>
      <c r="F202" s="15" t="b">
        <v>1</v>
      </c>
      <c r="G202" s="15" t="b">
        <v>1</v>
      </c>
      <c r="H202" s="15" t="b">
        <v>1</v>
      </c>
      <c r="I202" s="15" t="b">
        <v>1</v>
      </c>
      <c r="J202" s="15" t="b">
        <v>1</v>
      </c>
    </row>
    <row r="203">
      <c r="A203" s="14">
        <v>45945.0</v>
      </c>
      <c r="B203" s="15" t="b">
        <v>1</v>
      </c>
      <c r="C203" s="15" t="b">
        <v>1</v>
      </c>
      <c r="D203" s="15" t="b">
        <v>1</v>
      </c>
      <c r="E203" s="15" t="b">
        <v>1</v>
      </c>
      <c r="F203" s="15" t="b">
        <v>1</v>
      </c>
      <c r="G203" s="15" t="b">
        <v>1</v>
      </c>
      <c r="H203" s="4" t="b">
        <v>0</v>
      </c>
      <c r="I203" s="15" t="b">
        <v>1</v>
      </c>
      <c r="J203" s="4" t="b">
        <v>0</v>
      </c>
    </row>
    <row r="204">
      <c r="A204" s="14">
        <v>45946.0</v>
      </c>
      <c r="B204" s="15" t="b">
        <v>1</v>
      </c>
      <c r="C204" s="15" t="b">
        <v>1</v>
      </c>
      <c r="D204" s="4" t="b">
        <v>0</v>
      </c>
      <c r="E204" s="15" t="b">
        <v>1</v>
      </c>
      <c r="F204" s="15" t="b">
        <v>1</v>
      </c>
      <c r="G204" s="15" t="b">
        <v>1</v>
      </c>
      <c r="H204" s="15" t="b">
        <v>1</v>
      </c>
      <c r="I204" s="15" t="b">
        <v>1</v>
      </c>
      <c r="J204" s="15" t="b">
        <v>1</v>
      </c>
    </row>
    <row r="205">
      <c r="A205" s="14">
        <v>45947.0</v>
      </c>
      <c r="B205" s="15" t="b">
        <v>1</v>
      </c>
      <c r="C205" s="15" t="b">
        <v>1</v>
      </c>
      <c r="D205" s="15" t="b">
        <v>1</v>
      </c>
      <c r="E205" s="4" t="b">
        <v>0</v>
      </c>
      <c r="F205" s="15" t="b">
        <v>1</v>
      </c>
      <c r="G205" s="15" t="b">
        <v>1</v>
      </c>
      <c r="H205" s="15" t="b">
        <v>1</v>
      </c>
      <c r="I205" s="4" t="b">
        <v>0</v>
      </c>
      <c r="J205" s="15" t="b">
        <v>1</v>
      </c>
    </row>
    <row r="206">
      <c r="A206" s="14">
        <v>45948.0</v>
      </c>
      <c r="B206" s="4" t="b">
        <v>0</v>
      </c>
      <c r="C206" s="15" t="b">
        <v>1</v>
      </c>
      <c r="D206" s="15" t="b">
        <v>1</v>
      </c>
      <c r="E206" s="15" t="b">
        <v>1</v>
      </c>
      <c r="F206" s="15" t="b">
        <v>1</v>
      </c>
      <c r="G206" s="15" t="b">
        <v>1</v>
      </c>
      <c r="H206" s="15" t="b">
        <v>1</v>
      </c>
      <c r="I206" s="15" t="b">
        <v>1</v>
      </c>
      <c r="J206" s="4" t="b">
        <v>0</v>
      </c>
    </row>
    <row r="207">
      <c r="A207" s="14">
        <v>45949.0</v>
      </c>
      <c r="B207" s="15" t="b">
        <v>1</v>
      </c>
      <c r="C207" s="15" t="b">
        <v>1</v>
      </c>
      <c r="D207" s="15" t="b">
        <v>1</v>
      </c>
      <c r="E207" s="15" t="b">
        <v>1</v>
      </c>
      <c r="F207" s="15" t="b">
        <v>1</v>
      </c>
      <c r="G207" s="15" t="b">
        <v>1</v>
      </c>
      <c r="H207" s="15" t="b">
        <v>1</v>
      </c>
      <c r="I207" s="15" t="b">
        <v>1</v>
      </c>
      <c r="J207" s="15" t="b">
        <v>1</v>
      </c>
    </row>
    <row r="208">
      <c r="A208" s="14">
        <v>45950.0</v>
      </c>
      <c r="B208" s="15" t="b">
        <v>1</v>
      </c>
      <c r="C208" s="15" t="b">
        <v>1</v>
      </c>
      <c r="D208" s="15" t="b">
        <v>1</v>
      </c>
      <c r="E208" s="4" t="b">
        <v>0</v>
      </c>
      <c r="F208" s="15" t="b">
        <v>1</v>
      </c>
      <c r="G208" s="15" t="b">
        <v>1</v>
      </c>
      <c r="H208" s="15" t="b">
        <v>1</v>
      </c>
      <c r="I208" s="15" t="b">
        <v>1</v>
      </c>
      <c r="J208" s="4" t="b">
        <v>0</v>
      </c>
    </row>
    <row r="209">
      <c r="A209" s="14">
        <v>45951.0</v>
      </c>
      <c r="B209" s="15" t="b">
        <v>1</v>
      </c>
      <c r="C209" s="4" t="b">
        <v>0</v>
      </c>
      <c r="D209" s="4" t="b">
        <v>0</v>
      </c>
      <c r="E209" s="4" t="b">
        <v>0</v>
      </c>
      <c r="F209" s="15" t="b">
        <v>1</v>
      </c>
      <c r="G209" s="15" t="b">
        <v>1</v>
      </c>
      <c r="H209" s="4" t="b">
        <v>0</v>
      </c>
      <c r="I209" s="15" t="b">
        <v>1</v>
      </c>
      <c r="J209" s="4" t="b">
        <v>0</v>
      </c>
    </row>
    <row r="210">
      <c r="A210" s="14">
        <v>45952.0</v>
      </c>
      <c r="B210" s="15" t="b">
        <v>1</v>
      </c>
      <c r="C210" s="15" t="b">
        <v>1</v>
      </c>
      <c r="D210" s="15" t="b">
        <v>1</v>
      </c>
      <c r="E210" s="15" t="b">
        <v>1</v>
      </c>
      <c r="F210" s="15" t="b">
        <v>1</v>
      </c>
      <c r="G210" s="15" t="b">
        <v>1</v>
      </c>
      <c r="H210" s="15" t="b">
        <v>1</v>
      </c>
      <c r="I210" s="15" t="b">
        <v>1</v>
      </c>
      <c r="J210" s="15" t="b">
        <v>1</v>
      </c>
    </row>
    <row r="211">
      <c r="A211" s="14">
        <v>45953.0</v>
      </c>
      <c r="B211" s="15" t="b">
        <v>1</v>
      </c>
      <c r="C211" s="15" t="b">
        <v>1</v>
      </c>
      <c r="D211" s="15" t="b">
        <v>1</v>
      </c>
      <c r="E211" s="15" t="b">
        <v>1</v>
      </c>
      <c r="F211" s="15" t="b">
        <v>1</v>
      </c>
      <c r="G211" s="15" t="b">
        <v>1</v>
      </c>
      <c r="H211" s="15" t="b">
        <v>1</v>
      </c>
      <c r="I211" s="15" t="b">
        <v>1</v>
      </c>
      <c r="J211" s="15" t="b">
        <v>1</v>
      </c>
    </row>
    <row r="212">
      <c r="A212" s="14">
        <v>45954.0</v>
      </c>
      <c r="B212" s="15" t="b">
        <v>1</v>
      </c>
      <c r="C212" s="15" t="b">
        <v>1</v>
      </c>
      <c r="D212" s="15" t="b">
        <v>1</v>
      </c>
      <c r="E212" s="4" t="b">
        <v>0</v>
      </c>
      <c r="F212" s="4" t="b">
        <v>0</v>
      </c>
      <c r="G212" s="15" t="b">
        <v>1</v>
      </c>
      <c r="H212" s="15" t="b">
        <v>1</v>
      </c>
      <c r="I212" s="4" t="b">
        <v>0</v>
      </c>
      <c r="J212" s="4" t="b">
        <v>0</v>
      </c>
    </row>
    <row r="213">
      <c r="A213" s="14">
        <v>45955.0</v>
      </c>
      <c r="B213" s="15" t="b">
        <v>1</v>
      </c>
      <c r="C213" s="15" t="b">
        <v>1</v>
      </c>
      <c r="D213" s="15" t="b">
        <v>1</v>
      </c>
      <c r="E213" s="15" t="b">
        <v>1</v>
      </c>
      <c r="F213" s="15" t="b">
        <v>1</v>
      </c>
      <c r="G213" s="15" t="b">
        <v>1</v>
      </c>
      <c r="H213" s="15" t="b">
        <v>1</v>
      </c>
      <c r="I213" s="15" t="b">
        <v>1</v>
      </c>
      <c r="J213" s="4" t="b">
        <v>0</v>
      </c>
    </row>
    <row r="214">
      <c r="A214" s="14">
        <v>45956.0</v>
      </c>
      <c r="B214" s="15" t="b">
        <v>1</v>
      </c>
      <c r="C214" s="15" t="b">
        <v>1</v>
      </c>
      <c r="D214" s="4" t="b">
        <v>0</v>
      </c>
      <c r="E214" s="15" t="b">
        <v>1</v>
      </c>
      <c r="F214" s="15" t="b">
        <v>1</v>
      </c>
      <c r="G214" s="15" t="b">
        <v>1</v>
      </c>
      <c r="H214" s="15" t="b">
        <v>1</v>
      </c>
      <c r="I214" s="15" t="b">
        <v>1</v>
      </c>
      <c r="J214" s="15" t="b">
        <v>1</v>
      </c>
    </row>
    <row r="215">
      <c r="A215" s="14">
        <v>45957.0</v>
      </c>
      <c r="B215" s="15" t="b">
        <v>1</v>
      </c>
      <c r="C215" s="15" t="b">
        <v>1</v>
      </c>
      <c r="D215" s="15" t="b">
        <v>1</v>
      </c>
      <c r="E215" s="15" t="b">
        <v>1</v>
      </c>
      <c r="F215" s="15" t="b">
        <v>1</v>
      </c>
      <c r="G215" s="15" t="b">
        <v>1</v>
      </c>
      <c r="H215" s="15" t="b">
        <v>1</v>
      </c>
      <c r="I215" s="15" t="b">
        <v>1</v>
      </c>
      <c r="J215" s="4" t="b">
        <v>0</v>
      </c>
    </row>
    <row r="216">
      <c r="A216" s="14">
        <v>45958.0</v>
      </c>
      <c r="B216" s="15" t="b">
        <v>1</v>
      </c>
      <c r="C216" s="4" t="b">
        <v>0</v>
      </c>
      <c r="D216" s="15" t="b">
        <v>1</v>
      </c>
      <c r="E216" s="15" t="b">
        <v>1</v>
      </c>
      <c r="F216" s="15" t="b">
        <v>1</v>
      </c>
      <c r="G216" s="15" t="b">
        <v>1</v>
      </c>
      <c r="H216" s="15" t="b">
        <v>1</v>
      </c>
      <c r="I216" s="15" t="b">
        <v>1</v>
      </c>
      <c r="J216" s="15" t="b">
        <v>1</v>
      </c>
    </row>
    <row r="217">
      <c r="A217" s="14">
        <v>45959.0</v>
      </c>
      <c r="B217" s="15" t="b">
        <v>1</v>
      </c>
      <c r="C217" s="15" t="b">
        <v>1</v>
      </c>
      <c r="D217" s="15" t="b">
        <v>1</v>
      </c>
      <c r="E217" s="15" t="b">
        <v>1</v>
      </c>
      <c r="F217" s="15" t="b">
        <v>1</v>
      </c>
      <c r="G217" s="15" t="b">
        <v>1</v>
      </c>
      <c r="H217" s="15" t="b">
        <v>1</v>
      </c>
      <c r="I217" s="15" t="b">
        <v>1</v>
      </c>
      <c r="J217" s="15" t="b">
        <v>1</v>
      </c>
    </row>
    <row r="218">
      <c r="A218" s="14">
        <v>45960.0</v>
      </c>
      <c r="B218" s="4" t="b">
        <v>0</v>
      </c>
      <c r="C218" s="4" t="b">
        <v>0</v>
      </c>
      <c r="D218" s="15" t="b">
        <v>1</v>
      </c>
      <c r="E218" s="15" t="b">
        <v>1</v>
      </c>
      <c r="F218" s="15" t="b">
        <v>1</v>
      </c>
      <c r="G218" s="15" t="b">
        <v>1</v>
      </c>
      <c r="H218" s="15" t="b">
        <v>1</v>
      </c>
      <c r="I218" s="15" t="b">
        <v>1</v>
      </c>
      <c r="J218" s="15" t="b">
        <v>1</v>
      </c>
    </row>
    <row r="219">
      <c r="A219" s="14">
        <v>45961.0</v>
      </c>
      <c r="B219" s="15" t="b">
        <v>1</v>
      </c>
      <c r="C219" s="15" t="b">
        <v>1</v>
      </c>
      <c r="D219" s="15" t="b">
        <v>1</v>
      </c>
      <c r="E219" s="4" t="b">
        <v>0</v>
      </c>
      <c r="F219" s="4" t="b">
        <v>0</v>
      </c>
      <c r="G219" s="15" t="b">
        <v>1</v>
      </c>
      <c r="H219" s="15" t="b">
        <v>1</v>
      </c>
      <c r="I219" s="15" t="b">
        <v>1</v>
      </c>
      <c r="J219" s="15" t="b">
        <v>1</v>
      </c>
    </row>
    <row r="220">
      <c r="A220" s="14">
        <v>45962.0</v>
      </c>
      <c r="B220" s="4" t="b">
        <v>0</v>
      </c>
      <c r="C220" s="15" t="b">
        <v>1</v>
      </c>
      <c r="D220" s="15" t="b">
        <v>1</v>
      </c>
      <c r="E220" s="4" t="b">
        <v>0</v>
      </c>
      <c r="F220" s="4" t="b">
        <v>0</v>
      </c>
      <c r="G220" s="15" t="b">
        <v>1</v>
      </c>
      <c r="H220" s="15" t="b">
        <v>1</v>
      </c>
      <c r="I220" s="15" t="b">
        <v>1</v>
      </c>
      <c r="J220" s="4" t="b">
        <v>0</v>
      </c>
    </row>
    <row r="221">
      <c r="A221" s="14">
        <v>45963.0</v>
      </c>
      <c r="B221" s="15" t="b">
        <v>1</v>
      </c>
      <c r="C221" s="15" t="b">
        <v>1</v>
      </c>
      <c r="D221" s="15" t="b">
        <v>1</v>
      </c>
      <c r="E221" s="15" t="b">
        <v>1</v>
      </c>
      <c r="F221" s="15" t="b">
        <v>1</v>
      </c>
      <c r="G221" s="15" t="b">
        <v>1</v>
      </c>
      <c r="H221" s="15" t="b">
        <v>1</v>
      </c>
      <c r="I221" s="15" t="b">
        <v>1</v>
      </c>
      <c r="J221" s="15" t="b">
        <v>1</v>
      </c>
    </row>
    <row r="222">
      <c r="A222" s="14">
        <v>45964.0</v>
      </c>
      <c r="B222" s="4" t="b">
        <v>0</v>
      </c>
      <c r="C222" s="15" t="b">
        <v>1</v>
      </c>
      <c r="D222" s="15" t="b">
        <v>1</v>
      </c>
      <c r="E222" s="4" t="b">
        <v>0</v>
      </c>
      <c r="F222" s="4" t="b">
        <v>0</v>
      </c>
      <c r="G222" s="15" t="b">
        <v>1</v>
      </c>
      <c r="H222" s="15" t="b">
        <v>1</v>
      </c>
      <c r="I222" s="4" t="b">
        <v>0</v>
      </c>
      <c r="J222" s="15" t="b">
        <v>1</v>
      </c>
    </row>
    <row r="223">
      <c r="A223" s="14">
        <v>45965.0</v>
      </c>
      <c r="B223" s="15" t="b">
        <v>1</v>
      </c>
      <c r="C223" s="15" t="b">
        <v>1</v>
      </c>
      <c r="D223" s="15" t="b">
        <v>1</v>
      </c>
      <c r="E223" s="15" t="b">
        <v>1</v>
      </c>
      <c r="F223" s="4" t="b">
        <v>0</v>
      </c>
      <c r="G223" s="15" t="b">
        <v>1</v>
      </c>
      <c r="H223" s="15" t="b">
        <v>1</v>
      </c>
      <c r="I223" s="4" t="b">
        <v>0</v>
      </c>
      <c r="J223" s="15" t="b">
        <v>1</v>
      </c>
    </row>
    <row r="224">
      <c r="A224" s="14">
        <v>45966.0</v>
      </c>
      <c r="B224" s="15" t="b">
        <v>1</v>
      </c>
      <c r="C224" s="15" t="b">
        <v>1</v>
      </c>
      <c r="D224" s="15" t="b">
        <v>1</v>
      </c>
      <c r="E224" s="15" t="b">
        <v>1</v>
      </c>
      <c r="F224" s="4" t="b">
        <v>0</v>
      </c>
      <c r="G224" s="15" t="b">
        <v>1</v>
      </c>
      <c r="H224" s="15" t="b">
        <v>1</v>
      </c>
      <c r="I224" s="15" t="b">
        <v>1</v>
      </c>
      <c r="J224" s="15" t="b">
        <v>1</v>
      </c>
    </row>
    <row r="225">
      <c r="A225" s="14">
        <v>45967.0</v>
      </c>
      <c r="B225" s="15" t="b">
        <v>1</v>
      </c>
      <c r="C225" s="4" t="b">
        <v>0</v>
      </c>
      <c r="D225" s="15" t="b">
        <v>1</v>
      </c>
      <c r="E225" s="15" t="b">
        <v>1</v>
      </c>
      <c r="F225" s="15" t="b">
        <v>1</v>
      </c>
      <c r="G225" s="15" t="b">
        <v>1</v>
      </c>
      <c r="H225" s="15" t="b">
        <v>1</v>
      </c>
      <c r="I225" s="15" t="b">
        <v>1</v>
      </c>
      <c r="J225" s="15" t="b">
        <v>1</v>
      </c>
    </row>
    <row r="226">
      <c r="A226" s="14">
        <v>45968.0</v>
      </c>
      <c r="B226" s="15" t="b">
        <v>1</v>
      </c>
      <c r="C226" s="15" t="b">
        <v>1</v>
      </c>
      <c r="D226" s="15" t="b">
        <v>1</v>
      </c>
      <c r="E226" s="4" t="b">
        <v>0</v>
      </c>
      <c r="F226" s="4" t="b">
        <v>0</v>
      </c>
      <c r="G226" s="15" t="b">
        <v>1</v>
      </c>
      <c r="H226" s="15" t="b">
        <v>1</v>
      </c>
      <c r="I226" s="15" t="b">
        <v>1</v>
      </c>
      <c r="J226" s="15" t="b">
        <v>1</v>
      </c>
    </row>
    <row r="227">
      <c r="A227" s="14">
        <v>45969.0</v>
      </c>
      <c r="B227" s="15" t="b">
        <v>1</v>
      </c>
      <c r="C227" s="4" t="b">
        <v>0</v>
      </c>
      <c r="D227" s="15" t="b">
        <v>1</v>
      </c>
      <c r="E227" s="15" t="b">
        <v>1</v>
      </c>
      <c r="F227" s="4" t="b">
        <v>0</v>
      </c>
      <c r="G227" s="15" t="b">
        <v>1</v>
      </c>
      <c r="H227" s="15" t="b">
        <v>1</v>
      </c>
      <c r="I227" s="4" t="b">
        <v>0</v>
      </c>
      <c r="J227" s="15" t="b">
        <v>1</v>
      </c>
    </row>
    <row r="228">
      <c r="A228" s="14">
        <v>45970.0</v>
      </c>
      <c r="B228" s="15" t="b">
        <v>1</v>
      </c>
      <c r="C228" s="15" t="b">
        <v>1</v>
      </c>
      <c r="D228" s="15" t="b">
        <v>1</v>
      </c>
      <c r="E228" s="15" t="b">
        <v>1</v>
      </c>
      <c r="F228" s="15" t="b">
        <v>1</v>
      </c>
      <c r="G228" s="15" t="b">
        <v>1</v>
      </c>
      <c r="H228" s="15" t="b">
        <v>1</v>
      </c>
      <c r="I228" s="15" t="b">
        <v>1</v>
      </c>
      <c r="J228" s="15" t="b">
        <v>1</v>
      </c>
    </row>
    <row r="229">
      <c r="A229" s="14">
        <v>45971.0</v>
      </c>
      <c r="B229" s="15" t="b">
        <v>1</v>
      </c>
      <c r="C229" s="15" t="b">
        <v>1</v>
      </c>
      <c r="D229" s="15" t="b">
        <v>1</v>
      </c>
      <c r="E229" s="4" t="b">
        <v>0</v>
      </c>
      <c r="F229" s="4" t="b">
        <v>0</v>
      </c>
      <c r="G229" s="15" t="b">
        <v>1</v>
      </c>
      <c r="H229" s="15" t="b">
        <v>1</v>
      </c>
      <c r="I229" s="15" t="b">
        <v>1</v>
      </c>
      <c r="J229" s="4" t="b">
        <v>0</v>
      </c>
    </row>
    <row r="230">
      <c r="A230" s="14">
        <v>45972.0</v>
      </c>
      <c r="B230" s="15" t="b">
        <v>1</v>
      </c>
      <c r="C230" s="15" t="b">
        <v>1</v>
      </c>
      <c r="D230" s="15" t="b">
        <v>1</v>
      </c>
      <c r="E230" s="15" t="b">
        <v>1</v>
      </c>
      <c r="F230" s="15" t="b">
        <v>1</v>
      </c>
      <c r="G230" s="15" t="b">
        <v>1</v>
      </c>
      <c r="H230" s="15" t="b">
        <v>1</v>
      </c>
      <c r="I230" s="15" t="b">
        <v>1</v>
      </c>
      <c r="J230" s="15" t="b">
        <v>1</v>
      </c>
    </row>
    <row r="231">
      <c r="A231" s="14">
        <v>45973.0</v>
      </c>
      <c r="B231" s="15" t="b">
        <v>1</v>
      </c>
      <c r="C231" s="15" t="b">
        <v>1</v>
      </c>
      <c r="D231" s="15" t="b">
        <v>1</v>
      </c>
      <c r="E231" s="15" t="b">
        <v>1</v>
      </c>
      <c r="F231" s="15" t="b">
        <v>1</v>
      </c>
      <c r="G231" s="15" t="b">
        <v>1</v>
      </c>
      <c r="H231" s="15" t="b">
        <v>1</v>
      </c>
      <c r="I231" s="15" t="b">
        <v>1</v>
      </c>
      <c r="J231" s="15" t="b">
        <v>1</v>
      </c>
    </row>
    <row r="232">
      <c r="A232" s="14">
        <v>45974.0</v>
      </c>
      <c r="B232" s="15" t="b">
        <v>1</v>
      </c>
      <c r="C232" s="15" t="b">
        <v>1</v>
      </c>
      <c r="D232" s="15" t="b">
        <v>1</v>
      </c>
      <c r="E232" s="15" t="b">
        <v>1</v>
      </c>
      <c r="F232" s="15" t="b">
        <v>1</v>
      </c>
      <c r="G232" s="15" t="b">
        <v>1</v>
      </c>
      <c r="H232" s="15" t="b">
        <v>1</v>
      </c>
      <c r="I232" s="15" t="b">
        <v>1</v>
      </c>
      <c r="J232" s="15" t="b">
        <v>1</v>
      </c>
    </row>
    <row r="233">
      <c r="A233" s="14">
        <v>45975.0</v>
      </c>
      <c r="B233" s="15" t="b">
        <v>1</v>
      </c>
      <c r="C233" s="15" t="b">
        <v>1</v>
      </c>
      <c r="D233" s="15" t="b">
        <v>1</v>
      </c>
      <c r="E233" s="15" t="b">
        <v>1</v>
      </c>
      <c r="F233" s="15" t="b">
        <v>1</v>
      </c>
      <c r="G233" s="15" t="b">
        <v>1</v>
      </c>
      <c r="H233" s="15" t="b">
        <v>1</v>
      </c>
      <c r="I233" s="15" t="b">
        <v>1</v>
      </c>
      <c r="J233" s="15" t="b">
        <v>1</v>
      </c>
    </row>
    <row r="234">
      <c r="A234" s="14">
        <v>45976.0</v>
      </c>
      <c r="B234" s="15" t="b">
        <v>1</v>
      </c>
      <c r="C234" s="4" t="b">
        <v>0</v>
      </c>
      <c r="D234" s="15" t="b">
        <v>1</v>
      </c>
      <c r="E234" s="15" t="b">
        <v>1</v>
      </c>
      <c r="F234" s="4" t="b">
        <v>0</v>
      </c>
      <c r="G234" s="15" t="b">
        <v>1</v>
      </c>
      <c r="H234" s="15" t="b">
        <v>1</v>
      </c>
      <c r="I234" s="4" t="b">
        <v>0</v>
      </c>
      <c r="J234" s="4" t="b">
        <v>0</v>
      </c>
    </row>
    <row r="235">
      <c r="A235" s="14">
        <v>45977.0</v>
      </c>
      <c r="B235" s="15" t="b">
        <v>1</v>
      </c>
      <c r="C235" s="15" t="b">
        <v>1</v>
      </c>
      <c r="D235" s="15" t="b">
        <v>1</v>
      </c>
      <c r="E235" s="15" t="b">
        <v>1</v>
      </c>
      <c r="F235" s="15" t="b">
        <v>1</v>
      </c>
      <c r="G235" s="15" t="b">
        <v>1</v>
      </c>
      <c r="H235" s="15" t="b">
        <v>1</v>
      </c>
      <c r="I235" s="15" t="b">
        <v>1</v>
      </c>
      <c r="J235" s="15" t="b">
        <v>1</v>
      </c>
    </row>
    <row r="236">
      <c r="A236" s="14">
        <v>45978.0</v>
      </c>
      <c r="B236" s="15" t="b">
        <v>1</v>
      </c>
      <c r="C236" s="15" t="b">
        <v>1</v>
      </c>
      <c r="D236" s="15" t="b">
        <v>1</v>
      </c>
      <c r="E236" s="15" t="b">
        <v>1</v>
      </c>
      <c r="F236" s="15" t="b">
        <v>1</v>
      </c>
      <c r="G236" s="15" t="b">
        <v>1</v>
      </c>
      <c r="H236" s="15" t="b">
        <v>1</v>
      </c>
      <c r="I236" s="15" t="b">
        <v>1</v>
      </c>
      <c r="J236" s="15" t="b">
        <v>1</v>
      </c>
    </row>
    <row r="237">
      <c r="A237" s="14">
        <v>45979.0</v>
      </c>
      <c r="B237" s="15" t="b">
        <v>1</v>
      </c>
      <c r="C237" s="15" t="b">
        <v>1</v>
      </c>
      <c r="D237" s="15" t="b">
        <v>1</v>
      </c>
      <c r="E237" s="15" t="b">
        <v>1</v>
      </c>
      <c r="F237" s="4" t="b">
        <v>0</v>
      </c>
      <c r="G237" s="15" t="b">
        <v>1</v>
      </c>
      <c r="H237" s="15" t="b">
        <v>1</v>
      </c>
      <c r="I237" s="15" t="b">
        <v>1</v>
      </c>
      <c r="J237" s="15" t="b">
        <v>1</v>
      </c>
    </row>
    <row r="238">
      <c r="A238" s="14">
        <v>45980.0</v>
      </c>
      <c r="B238" s="4" t="b">
        <v>0</v>
      </c>
      <c r="C238" s="4" t="b">
        <v>0</v>
      </c>
      <c r="D238" s="4" t="b">
        <v>0</v>
      </c>
      <c r="E238" s="4" t="b">
        <v>0</v>
      </c>
      <c r="F238" s="4" t="b">
        <v>0</v>
      </c>
      <c r="G238" s="4" t="b">
        <v>0</v>
      </c>
      <c r="H238" s="15" t="b">
        <v>1</v>
      </c>
      <c r="I238" s="4" t="b">
        <v>0</v>
      </c>
      <c r="J238" s="4" t="b">
        <v>0</v>
      </c>
    </row>
    <row r="239">
      <c r="A239" s="14">
        <v>45981.0</v>
      </c>
      <c r="B239" s="4" t="b">
        <v>0</v>
      </c>
      <c r="C239" s="15" t="b">
        <v>1</v>
      </c>
      <c r="D239" s="4" t="b">
        <v>0</v>
      </c>
      <c r="E239" s="15" t="b">
        <v>1</v>
      </c>
      <c r="F239" s="15" t="b">
        <v>1</v>
      </c>
      <c r="G239" s="15" t="b">
        <v>1</v>
      </c>
      <c r="H239" s="15" t="b">
        <v>1</v>
      </c>
      <c r="I239" s="15" t="b">
        <v>1</v>
      </c>
      <c r="J239" s="15" t="b">
        <v>1</v>
      </c>
    </row>
    <row r="240">
      <c r="A240" s="14">
        <v>45982.0</v>
      </c>
      <c r="B240" s="4" t="b">
        <v>0</v>
      </c>
      <c r="C240" s="4" t="b">
        <v>0</v>
      </c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4" t="b">
        <v>0</v>
      </c>
    </row>
    <row r="241">
      <c r="A241" s="14">
        <v>45983.0</v>
      </c>
      <c r="B241" s="4" t="b">
        <v>0</v>
      </c>
      <c r="C241" s="4" t="b">
        <v>0</v>
      </c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4" t="b">
        <v>0</v>
      </c>
    </row>
    <row r="242">
      <c r="A242" s="14">
        <v>45984.0</v>
      </c>
      <c r="B242" s="4" t="b">
        <v>0</v>
      </c>
      <c r="C242" s="4" t="b">
        <v>0</v>
      </c>
      <c r="D242" s="4" t="b">
        <v>0</v>
      </c>
      <c r="E242" s="4" t="b">
        <v>0</v>
      </c>
      <c r="F242" s="4" t="b">
        <v>0</v>
      </c>
      <c r="G242" s="15" t="b">
        <v>1</v>
      </c>
      <c r="H242" s="4" t="b">
        <v>0</v>
      </c>
      <c r="I242" s="4" t="b">
        <v>0</v>
      </c>
      <c r="J242" s="4" t="b">
        <v>0</v>
      </c>
    </row>
    <row r="243">
      <c r="A243" s="14">
        <v>45985.0</v>
      </c>
      <c r="B243" s="4" t="b">
        <v>0</v>
      </c>
      <c r="C243" s="4" t="b">
        <v>0</v>
      </c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4" t="b">
        <v>0</v>
      </c>
    </row>
    <row r="244">
      <c r="A244" s="14">
        <v>45986.0</v>
      </c>
      <c r="B244" s="4" t="b">
        <v>0</v>
      </c>
      <c r="C244" s="4" t="b">
        <v>0</v>
      </c>
      <c r="D244" s="4" t="b">
        <v>0</v>
      </c>
      <c r="E244" s="4" t="b">
        <v>0</v>
      </c>
      <c r="F244" s="4" t="b">
        <v>0</v>
      </c>
      <c r="G244" s="4" t="b">
        <v>0</v>
      </c>
      <c r="H244" s="1" t="b">
        <v>0</v>
      </c>
      <c r="I244" s="4" t="b">
        <v>0</v>
      </c>
      <c r="J244" s="4" t="b">
        <v>0</v>
      </c>
    </row>
    <row r="245">
      <c r="A245" s="14">
        <v>45987.0</v>
      </c>
      <c r="B245" s="4" t="b">
        <v>0</v>
      </c>
      <c r="C245" s="15" t="b">
        <v>1</v>
      </c>
      <c r="D245" s="15" t="b">
        <v>1</v>
      </c>
      <c r="E245" s="4" t="b">
        <v>0</v>
      </c>
      <c r="F245" s="15" t="b">
        <v>1</v>
      </c>
      <c r="G245" s="15" t="b">
        <v>1</v>
      </c>
      <c r="H245" s="15" t="b">
        <v>1</v>
      </c>
      <c r="I245" s="1" t="b">
        <v>1</v>
      </c>
      <c r="J245" s="15" t="b">
        <v>1</v>
      </c>
    </row>
    <row r="246">
      <c r="A246" s="14">
        <v>45988.0</v>
      </c>
      <c r="B246" s="15" t="b">
        <v>1</v>
      </c>
      <c r="C246" s="15" t="b">
        <v>1</v>
      </c>
      <c r="D246" s="15" t="b">
        <v>1</v>
      </c>
      <c r="E246" s="15" t="b">
        <v>1</v>
      </c>
      <c r="F246" s="15" t="b">
        <v>1</v>
      </c>
      <c r="G246" s="15" t="b">
        <v>1</v>
      </c>
      <c r="H246" s="15" t="b">
        <v>1</v>
      </c>
      <c r="I246" s="15" t="b">
        <v>1</v>
      </c>
      <c r="J246" s="15" t="b">
        <v>1</v>
      </c>
    </row>
    <row r="247">
      <c r="A247" s="14">
        <v>45989.0</v>
      </c>
      <c r="B247" s="15" t="b">
        <v>1</v>
      </c>
      <c r="C247" s="15" t="b">
        <v>1</v>
      </c>
      <c r="D247" s="15" t="b">
        <v>1</v>
      </c>
      <c r="E247" s="15" t="b">
        <v>1</v>
      </c>
      <c r="F247" s="15" t="b">
        <v>1</v>
      </c>
      <c r="G247" s="15" t="b">
        <v>1</v>
      </c>
      <c r="H247" s="15" t="b">
        <v>1</v>
      </c>
      <c r="I247" s="15" t="b">
        <v>1</v>
      </c>
      <c r="J247" s="15" t="b">
        <v>1</v>
      </c>
    </row>
    <row r="248">
      <c r="A248" s="14">
        <v>45990.0</v>
      </c>
      <c r="B248" s="15" t="b">
        <v>1</v>
      </c>
      <c r="C248" s="15" t="b">
        <v>1</v>
      </c>
      <c r="D248" s="15" t="b">
        <v>1</v>
      </c>
      <c r="E248" s="15" t="b">
        <v>1</v>
      </c>
      <c r="F248" s="15" t="b">
        <v>1</v>
      </c>
      <c r="G248" s="15" t="b">
        <v>1</v>
      </c>
      <c r="H248" s="15" t="b">
        <v>1</v>
      </c>
      <c r="I248" s="15" t="b">
        <v>1</v>
      </c>
      <c r="J248" s="15" t="b">
        <v>1</v>
      </c>
    </row>
    <row r="249">
      <c r="A249" s="14">
        <v>45991.0</v>
      </c>
      <c r="B249" s="15" t="b">
        <v>1</v>
      </c>
      <c r="C249" s="15" t="b">
        <v>1</v>
      </c>
      <c r="D249" s="15" t="b">
        <v>1</v>
      </c>
      <c r="E249" s="15" t="b">
        <v>1</v>
      </c>
      <c r="F249" s="15" t="b">
        <v>1</v>
      </c>
      <c r="G249" s="15" t="b">
        <v>1</v>
      </c>
      <c r="H249" s="15" t="b">
        <v>1</v>
      </c>
      <c r="I249" s="15" t="b">
        <v>1</v>
      </c>
      <c r="J249" s="15" t="b">
        <v>1</v>
      </c>
    </row>
    <row r="250">
      <c r="A250" s="14">
        <v>45992.0</v>
      </c>
      <c r="B250" s="4" t="b">
        <v>0</v>
      </c>
      <c r="C250" s="15" t="b">
        <v>1</v>
      </c>
      <c r="D250" s="15" t="b">
        <v>1</v>
      </c>
      <c r="E250" s="15" t="b">
        <v>1</v>
      </c>
      <c r="F250" s="15" t="b">
        <v>1</v>
      </c>
      <c r="G250" s="15" t="b">
        <v>1</v>
      </c>
      <c r="H250" s="15" t="b">
        <v>1</v>
      </c>
      <c r="I250" s="15" t="b">
        <v>1</v>
      </c>
      <c r="J250" s="15" t="b">
        <v>1</v>
      </c>
    </row>
    <row r="251">
      <c r="A251" s="14">
        <v>45993.0</v>
      </c>
      <c r="B251" s="15" t="b">
        <v>1</v>
      </c>
      <c r="C251" s="15" t="b">
        <v>1</v>
      </c>
      <c r="D251" s="15" t="b">
        <v>1</v>
      </c>
      <c r="E251" s="15" t="b">
        <v>1</v>
      </c>
      <c r="F251" s="15" t="b">
        <v>1</v>
      </c>
      <c r="G251" s="15" t="b">
        <v>1</v>
      </c>
      <c r="H251" s="15" t="b">
        <v>1</v>
      </c>
      <c r="I251" s="15" t="b">
        <v>1</v>
      </c>
      <c r="J251" s="15" t="b">
        <v>1</v>
      </c>
    </row>
    <row r="252">
      <c r="A252" s="14">
        <v>45994.0</v>
      </c>
      <c r="B252" s="15" t="b">
        <v>1</v>
      </c>
      <c r="C252" s="15" t="b">
        <v>1</v>
      </c>
      <c r="D252" s="4" t="b">
        <v>0</v>
      </c>
      <c r="E252" s="15" t="b">
        <v>1</v>
      </c>
      <c r="F252" s="15" t="b">
        <v>1</v>
      </c>
      <c r="G252" s="15" t="b">
        <v>1</v>
      </c>
      <c r="H252" s="15" t="b">
        <v>1</v>
      </c>
      <c r="I252" s="15" t="b">
        <v>1</v>
      </c>
      <c r="J252" s="15" t="b">
        <v>1</v>
      </c>
    </row>
    <row r="253">
      <c r="A253" s="14">
        <v>45995.0</v>
      </c>
      <c r="B253" s="15" t="b">
        <v>1</v>
      </c>
      <c r="C253" s="4" t="b">
        <v>0</v>
      </c>
      <c r="D253" s="4" t="b">
        <v>0</v>
      </c>
      <c r="E253" s="15" t="b">
        <v>1</v>
      </c>
      <c r="F253" s="15" t="b">
        <v>1</v>
      </c>
      <c r="G253" s="15" t="b">
        <v>1</v>
      </c>
      <c r="H253" s="15" t="b">
        <v>1</v>
      </c>
      <c r="I253" s="15" t="b">
        <v>1</v>
      </c>
      <c r="J253" s="15" t="b">
        <v>1</v>
      </c>
    </row>
    <row r="254">
      <c r="A254" s="14">
        <v>45996.0</v>
      </c>
      <c r="B254" s="15" t="b">
        <v>1</v>
      </c>
      <c r="C254" s="15" t="b">
        <v>1</v>
      </c>
      <c r="D254" s="15" t="b">
        <v>1</v>
      </c>
      <c r="E254" s="15" t="b">
        <v>1</v>
      </c>
      <c r="F254" s="4" t="b">
        <v>0</v>
      </c>
      <c r="G254" s="15" t="b">
        <v>1</v>
      </c>
      <c r="H254" s="15" t="b">
        <v>1</v>
      </c>
      <c r="I254" s="15" t="b">
        <v>1</v>
      </c>
      <c r="J254" s="15" t="b">
        <v>1</v>
      </c>
    </row>
    <row r="255">
      <c r="A255" s="14">
        <v>45997.0</v>
      </c>
      <c r="B255" s="15" t="b">
        <v>1</v>
      </c>
      <c r="C255" s="15" t="b">
        <v>1</v>
      </c>
      <c r="D255" s="15" t="b">
        <v>1</v>
      </c>
      <c r="E255" s="15" t="b">
        <v>1</v>
      </c>
      <c r="F255" s="1" t="b">
        <v>1</v>
      </c>
      <c r="G255" s="15" t="b">
        <v>1</v>
      </c>
      <c r="H255" s="15" t="b">
        <v>1</v>
      </c>
      <c r="I255" s="15" t="b">
        <v>1</v>
      </c>
      <c r="J255" s="15" t="b">
        <v>1</v>
      </c>
    </row>
    <row r="256">
      <c r="A256" s="14">
        <v>45998.0</v>
      </c>
      <c r="B256" s="15" t="b">
        <v>1</v>
      </c>
      <c r="C256" s="15" t="b">
        <v>1</v>
      </c>
      <c r="D256" s="15" t="b">
        <v>1</v>
      </c>
      <c r="E256" s="15" t="b">
        <v>1</v>
      </c>
      <c r="F256" s="15" t="b">
        <v>1</v>
      </c>
      <c r="G256" s="15" t="b">
        <v>1</v>
      </c>
      <c r="H256" s="15" t="b">
        <v>1</v>
      </c>
      <c r="I256" s="15" t="b">
        <v>1</v>
      </c>
      <c r="J256" s="4" t="b">
        <v>0</v>
      </c>
    </row>
    <row r="257">
      <c r="A257" s="14">
        <v>45999.0</v>
      </c>
      <c r="B257" s="4" t="b">
        <v>0</v>
      </c>
      <c r="C257" s="15" t="b">
        <v>1</v>
      </c>
      <c r="D257" s="4" t="b">
        <v>0</v>
      </c>
      <c r="E257" s="1" t="b">
        <v>1</v>
      </c>
      <c r="F257" s="15" t="b">
        <v>1</v>
      </c>
      <c r="G257" s="15" t="b">
        <v>1</v>
      </c>
      <c r="H257" s="15" t="b">
        <v>1</v>
      </c>
      <c r="I257" s="4" t="b">
        <v>0</v>
      </c>
      <c r="J257" s="4" t="b">
        <v>0</v>
      </c>
    </row>
    <row r="258">
      <c r="A258" s="14">
        <v>46000.0</v>
      </c>
      <c r="B258" s="15" t="b">
        <v>1</v>
      </c>
      <c r="C258" s="15" t="b">
        <v>1</v>
      </c>
      <c r="D258" s="15" t="b">
        <v>1</v>
      </c>
      <c r="E258" s="4" t="b">
        <v>0</v>
      </c>
      <c r="F258" s="15" t="b">
        <v>1</v>
      </c>
      <c r="G258" s="15" t="b">
        <v>1</v>
      </c>
      <c r="H258" s="15" t="b">
        <v>1</v>
      </c>
      <c r="I258" s="15" t="b">
        <v>1</v>
      </c>
      <c r="J258" s="15" t="b">
        <v>1</v>
      </c>
    </row>
    <row r="259">
      <c r="A259" s="14">
        <v>46001.0</v>
      </c>
      <c r="B259" s="15" t="b">
        <v>1</v>
      </c>
      <c r="C259" s="1" t="b">
        <v>1</v>
      </c>
      <c r="D259" s="4" t="b">
        <v>0</v>
      </c>
      <c r="E259" s="1" t="b">
        <v>1</v>
      </c>
      <c r="F259" s="1" t="b">
        <v>1</v>
      </c>
      <c r="G259" s="15" t="b">
        <v>1</v>
      </c>
      <c r="H259" s="4" t="b">
        <v>0</v>
      </c>
      <c r="I259" s="1" t="b">
        <v>1</v>
      </c>
      <c r="J259" s="15" t="b">
        <v>1</v>
      </c>
    </row>
    <row r="260">
      <c r="A260" s="14">
        <v>46002.0</v>
      </c>
      <c r="B260" s="15" t="b">
        <v>1</v>
      </c>
      <c r="C260" s="15" t="b">
        <v>1</v>
      </c>
      <c r="D260" s="15" t="b">
        <v>1</v>
      </c>
      <c r="E260" s="15" t="b">
        <v>1</v>
      </c>
      <c r="F260" s="4" t="b">
        <v>0</v>
      </c>
      <c r="G260" s="15" t="b">
        <v>1</v>
      </c>
      <c r="H260" s="15" t="b">
        <v>1</v>
      </c>
      <c r="I260" s="4" t="b">
        <v>0</v>
      </c>
      <c r="J260" s="15" t="b">
        <v>1</v>
      </c>
    </row>
    <row r="261">
      <c r="A261" s="14">
        <v>46003.0</v>
      </c>
      <c r="B261" s="4" t="b">
        <v>0</v>
      </c>
      <c r="C261" s="4" t="b">
        <v>0</v>
      </c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4" t="b">
        <v>0</v>
      </c>
    </row>
    <row r="262">
      <c r="A262" s="14">
        <v>46004.0</v>
      </c>
      <c r="B262" s="4" t="b">
        <v>0</v>
      </c>
      <c r="C262" s="4" t="b">
        <v>0</v>
      </c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4" t="b">
        <v>0</v>
      </c>
    </row>
    <row r="263">
      <c r="A263" s="14">
        <v>46005.0</v>
      </c>
      <c r="B263" s="4" t="b">
        <v>0</v>
      </c>
      <c r="C263" s="4" t="b">
        <v>0</v>
      </c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4" t="b">
        <v>0</v>
      </c>
    </row>
    <row r="264">
      <c r="A264" s="14">
        <v>46006.0</v>
      </c>
      <c r="B264" s="4" t="b">
        <v>0</v>
      </c>
      <c r="C264" s="4" t="b">
        <v>0</v>
      </c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4" t="b">
        <v>0</v>
      </c>
    </row>
    <row r="265">
      <c r="A265" s="14">
        <v>46007.0</v>
      </c>
      <c r="B265" s="4" t="b">
        <v>0</v>
      </c>
      <c r="C265" s="4" t="b">
        <v>0</v>
      </c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4" t="b">
        <v>0</v>
      </c>
    </row>
    <row r="266">
      <c r="A266" s="14">
        <v>46008.0</v>
      </c>
      <c r="B266" s="4" t="b">
        <v>0</v>
      </c>
      <c r="C266" s="4" t="b">
        <v>0</v>
      </c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4" t="b">
        <v>0</v>
      </c>
    </row>
    <row r="267">
      <c r="A267" s="14">
        <v>46009.0</v>
      </c>
      <c r="B267" s="4" t="b">
        <v>0</v>
      </c>
      <c r="C267" s="4" t="b">
        <v>0</v>
      </c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4" t="b">
        <v>0</v>
      </c>
    </row>
    <row r="268">
      <c r="A268" s="14">
        <v>46010.0</v>
      </c>
      <c r="B268" s="4" t="b">
        <v>0</v>
      </c>
      <c r="C268" s="4" t="b">
        <v>0</v>
      </c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4" t="b">
        <v>0</v>
      </c>
    </row>
    <row r="269">
      <c r="A269" s="14">
        <v>46011.0</v>
      </c>
      <c r="B269" s="4" t="b">
        <v>0</v>
      </c>
      <c r="C269" s="4" t="b">
        <v>0</v>
      </c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4" t="b">
        <v>0</v>
      </c>
    </row>
    <row r="270">
      <c r="A270" s="14">
        <v>46012.0</v>
      </c>
      <c r="B270" s="4" t="b">
        <v>0</v>
      </c>
      <c r="C270" s="4" t="b">
        <v>0</v>
      </c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4" t="b">
        <v>0</v>
      </c>
    </row>
    <row r="271">
      <c r="A271" s="14">
        <v>46013.0</v>
      </c>
      <c r="B271" s="4" t="b">
        <v>0</v>
      </c>
      <c r="C271" s="4" t="b">
        <v>0</v>
      </c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4" t="b">
        <v>0</v>
      </c>
    </row>
    <row r="272">
      <c r="A272" s="14">
        <v>46014.0</v>
      </c>
      <c r="B272" s="4" t="b">
        <v>0</v>
      </c>
      <c r="C272" s="4" t="b">
        <v>0</v>
      </c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4" t="b">
        <v>0</v>
      </c>
    </row>
    <row r="273">
      <c r="A273" s="14">
        <v>46015.0</v>
      </c>
      <c r="B273" s="4" t="b">
        <v>0</v>
      </c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4" t="b">
        <v>0</v>
      </c>
    </row>
    <row r="274">
      <c r="A274" s="14">
        <v>46016.0</v>
      </c>
      <c r="B274" s="4" t="b">
        <v>0</v>
      </c>
      <c r="C274" s="4" t="b">
        <v>0</v>
      </c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4" t="b">
        <v>0</v>
      </c>
    </row>
    <row r="275">
      <c r="A275" s="14">
        <v>46017.0</v>
      </c>
      <c r="B275" s="4" t="b">
        <v>0</v>
      </c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4" t="b">
        <v>0</v>
      </c>
    </row>
    <row r="276">
      <c r="A276" s="14">
        <v>46018.0</v>
      </c>
      <c r="B276" s="4" t="b">
        <v>0</v>
      </c>
      <c r="C276" s="4" t="b">
        <v>0</v>
      </c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4" t="b">
        <v>0</v>
      </c>
    </row>
    <row r="277">
      <c r="A277" s="14">
        <v>46019.0</v>
      </c>
      <c r="B277" s="4" t="b">
        <v>0</v>
      </c>
      <c r="C277" s="4" t="b">
        <v>0</v>
      </c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4" t="b">
        <v>0</v>
      </c>
    </row>
    <row r="278">
      <c r="A278" s="14">
        <v>46020.0</v>
      </c>
      <c r="B278" s="4" t="b">
        <v>0</v>
      </c>
      <c r="C278" s="4" t="b">
        <v>0</v>
      </c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4" t="b">
        <v>0</v>
      </c>
    </row>
    <row r="279">
      <c r="A279" s="14">
        <v>46021.0</v>
      </c>
      <c r="B279" s="4" t="b">
        <v>0</v>
      </c>
      <c r="C279" s="4" t="b">
        <v>0</v>
      </c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4" t="b">
        <v>0</v>
      </c>
    </row>
    <row r="280">
      <c r="A280" s="14">
        <v>46022.0</v>
      </c>
      <c r="B280" s="4" t="b">
        <v>0</v>
      </c>
      <c r="C280" s="4" t="b">
        <v>0</v>
      </c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4" t="b">
        <v>0</v>
      </c>
    </row>
    <row r="281">
      <c r="A281" s="14">
        <v>46023.0</v>
      </c>
      <c r="B281" s="4" t="b">
        <v>0</v>
      </c>
      <c r="C281" s="4" t="b">
        <v>0</v>
      </c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4" t="b">
        <v>0</v>
      </c>
    </row>
    <row r="282">
      <c r="A282" s="14">
        <v>46024.0</v>
      </c>
      <c r="B282" s="4" t="b">
        <v>0</v>
      </c>
      <c r="C282" s="4" t="b">
        <v>0</v>
      </c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4" t="b">
        <v>0</v>
      </c>
    </row>
    <row r="283">
      <c r="A283" s="14">
        <v>46025.0</v>
      </c>
      <c r="B283" s="4" t="b">
        <v>0</v>
      </c>
      <c r="C283" s="4" t="b">
        <v>0</v>
      </c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4" t="b">
        <v>0</v>
      </c>
    </row>
    <row r="284">
      <c r="A284" s="14">
        <v>46026.0</v>
      </c>
      <c r="B284" s="4" t="b">
        <v>0</v>
      </c>
      <c r="C284" s="4" t="b">
        <v>0</v>
      </c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4" t="b">
        <v>0</v>
      </c>
    </row>
    <row r="285">
      <c r="A285" s="14">
        <v>46027.0</v>
      </c>
      <c r="B285" s="4" t="b">
        <v>0</v>
      </c>
      <c r="C285" s="4" t="b">
        <v>0</v>
      </c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4" t="b">
        <v>0</v>
      </c>
    </row>
    <row r="286">
      <c r="A286" s="14">
        <v>46028.0</v>
      </c>
      <c r="B286" s="4" t="b">
        <v>0</v>
      </c>
      <c r="C286" s="4" t="b">
        <v>0</v>
      </c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4" t="b">
        <v>0</v>
      </c>
    </row>
    <row r="287">
      <c r="A287" s="14">
        <v>46029.0</v>
      </c>
      <c r="B287" s="4" t="b">
        <v>0</v>
      </c>
      <c r="C287" s="4" t="b">
        <v>0</v>
      </c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4" t="b">
        <v>0</v>
      </c>
    </row>
    <row r="288">
      <c r="A288" s="14">
        <v>46030.0</v>
      </c>
      <c r="B288" s="4" t="b">
        <v>0</v>
      </c>
      <c r="C288" s="4" t="b">
        <v>0</v>
      </c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4" t="b">
        <v>0</v>
      </c>
    </row>
    <row r="289">
      <c r="A289" s="14">
        <v>46031.0</v>
      </c>
      <c r="B289" s="4" t="b">
        <v>0</v>
      </c>
      <c r="C289" s="4" t="b">
        <v>0</v>
      </c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4" t="b">
        <v>0</v>
      </c>
    </row>
    <row r="290">
      <c r="A290" s="14">
        <v>46032.0</v>
      </c>
      <c r="B290" s="4" t="b">
        <v>0</v>
      </c>
      <c r="C290" s="4" t="b">
        <v>0</v>
      </c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4" t="b">
        <v>0</v>
      </c>
    </row>
    <row r="291">
      <c r="A291" s="14">
        <v>46033.0</v>
      </c>
      <c r="B291" s="4" t="b">
        <v>0</v>
      </c>
      <c r="C291" s="4" t="b">
        <v>0</v>
      </c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4" t="b">
        <v>0</v>
      </c>
    </row>
    <row r="292">
      <c r="A292" s="14">
        <v>46034.0</v>
      </c>
      <c r="B292" s="4" t="b">
        <v>0</v>
      </c>
      <c r="C292" s="4" t="b">
        <v>0</v>
      </c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4" t="b">
        <v>0</v>
      </c>
    </row>
    <row r="293">
      <c r="A293" s="14">
        <v>46035.0</v>
      </c>
      <c r="B293" s="4" t="b">
        <v>0</v>
      </c>
      <c r="C293" s="4" t="b">
        <v>0</v>
      </c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4" t="b">
        <v>0</v>
      </c>
    </row>
    <row r="294">
      <c r="A294" s="14">
        <v>46036.0</v>
      </c>
      <c r="B294" s="4" t="b">
        <v>0</v>
      </c>
      <c r="C294" s="4" t="b">
        <v>0</v>
      </c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4" t="b">
        <v>0</v>
      </c>
    </row>
    <row r="295">
      <c r="A295" s="14">
        <v>46037.0</v>
      </c>
      <c r="B295" s="4" t="b">
        <v>0</v>
      </c>
      <c r="C295" s="4" t="b">
        <v>0</v>
      </c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4" t="b">
        <v>0</v>
      </c>
    </row>
    <row r="296">
      <c r="A296" s="14">
        <v>46038.0</v>
      </c>
      <c r="B296" s="4" t="b">
        <v>0</v>
      </c>
      <c r="C296" s="4" t="b">
        <v>0</v>
      </c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4" t="b">
        <v>0</v>
      </c>
    </row>
    <row r="297">
      <c r="A297" s="14">
        <v>46039.0</v>
      </c>
      <c r="B297" s="4" t="b">
        <v>0</v>
      </c>
      <c r="C297" s="4" t="b">
        <v>0</v>
      </c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4" t="b">
        <v>0</v>
      </c>
    </row>
    <row r="298">
      <c r="A298" s="14">
        <v>46040.0</v>
      </c>
      <c r="B298" s="4" t="b">
        <v>0</v>
      </c>
      <c r="C298" s="4" t="b">
        <v>0</v>
      </c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4" t="b">
        <v>0</v>
      </c>
    </row>
    <row r="299">
      <c r="A299" s="14">
        <v>46041.0</v>
      </c>
      <c r="B299" s="4" t="b">
        <v>0</v>
      </c>
      <c r="C299" s="4" t="b">
        <v>0</v>
      </c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4" t="b">
        <v>0</v>
      </c>
    </row>
    <row r="300">
      <c r="A300" s="14">
        <v>46042.0</v>
      </c>
      <c r="B300" s="4" t="b">
        <v>0</v>
      </c>
      <c r="C300" s="4" t="b">
        <v>0</v>
      </c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4" t="b">
        <v>0</v>
      </c>
    </row>
    <row r="301">
      <c r="A301" s="14">
        <v>46043.0</v>
      </c>
      <c r="B301" s="4" t="b">
        <v>0</v>
      </c>
      <c r="C301" s="4" t="b">
        <v>0</v>
      </c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4" t="b">
        <v>0</v>
      </c>
    </row>
    <row r="302">
      <c r="A302" s="14">
        <v>46044.0</v>
      </c>
      <c r="B302" s="4" t="b">
        <v>0</v>
      </c>
      <c r="C302" s="4" t="b">
        <v>0</v>
      </c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4" t="b">
        <v>0</v>
      </c>
    </row>
    <row r="303">
      <c r="A303" s="14">
        <v>46045.0</v>
      </c>
      <c r="B303" s="4" t="b">
        <v>0</v>
      </c>
      <c r="C303" s="4" t="b">
        <v>0</v>
      </c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4" t="b">
        <v>0</v>
      </c>
    </row>
    <row r="304">
      <c r="A304" s="14">
        <v>46046.0</v>
      </c>
      <c r="B304" s="4" t="b">
        <v>0</v>
      </c>
      <c r="C304" s="4" t="b">
        <v>0</v>
      </c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4" t="b">
        <v>0</v>
      </c>
    </row>
    <row r="305">
      <c r="A305" s="14">
        <v>46047.0</v>
      </c>
      <c r="B305" s="4" t="b">
        <v>0</v>
      </c>
      <c r="C305" s="4" t="b">
        <v>0</v>
      </c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4" t="b">
        <v>0</v>
      </c>
    </row>
    <row r="306">
      <c r="A306" s="14">
        <v>46048.0</v>
      </c>
      <c r="B306" s="4" t="b">
        <v>0</v>
      </c>
      <c r="C306" s="4" t="b">
        <v>0</v>
      </c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4" t="b">
        <v>0</v>
      </c>
    </row>
    <row r="307">
      <c r="A307" s="14">
        <v>46049.0</v>
      </c>
      <c r="B307" s="4" t="b">
        <v>0</v>
      </c>
      <c r="C307" s="4" t="b">
        <v>0</v>
      </c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4" t="b">
        <v>0</v>
      </c>
    </row>
    <row r="308">
      <c r="A308" s="14">
        <v>46050.0</v>
      </c>
      <c r="B308" s="4" t="b">
        <v>0</v>
      </c>
      <c r="C308" s="4" t="b">
        <v>0</v>
      </c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4" t="b">
        <v>0</v>
      </c>
    </row>
    <row r="309">
      <c r="A309" s="14">
        <v>46051.0</v>
      </c>
      <c r="B309" s="4" t="b">
        <v>0</v>
      </c>
      <c r="C309" s="4" t="b">
        <v>0</v>
      </c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4" t="b">
        <v>0</v>
      </c>
    </row>
    <row r="310">
      <c r="A310" s="14">
        <v>46052.0</v>
      </c>
      <c r="B310" s="4" t="b">
        <v>0</v>
      </c>
      <c r="C310" s="4" t="b">
        <v>0</v>
      </c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4" t="b">
        <v>0</v>
      </c>
    </row>
    <row r="311">
      <c r="A311" s="14">
        <v>46053.0</v>
      </c>
      <c r="B311" s="4" t="b">
        <v>0</v>
      </c>
      <c r="C311" s="4" t="b">
        <v>0</v>
      </c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4" t="b">
        <v>0</v>
      </c>
    </row>
    <row r="312">
      <c r="A312" s="14">
        <v>46054.0</v>
      </c>
      <c r="B312" s="4" t="b">
        <v>0</v>
      </c>
      <c r="C312" s="4" t="b">
        <v>0</v>
      </c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4" t="b">
        <v>0</v>
      </c>
    </row>
    <row r="313">
      <c r="A313" s="14">
        <v>46055.0</v>
      </c>
      <c r="B313" s="4" t="b">
        <v>0</v>
      </c>
      <c r="C313" s="4" t="b">
        <v>0</v>
      </c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4" t="b">
        <v>0</v>
      </c>
    </row>
    <row r="314">
      <c r="A314" s="14">
        <v>46056.0</v>
      </c>
      <c r="B314" s="4" t="b">
        <v>0</v>
      </c>
      <c r="C314" s="4" t="b">
        <v>0</v>
      </c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4" t="b">
        <v>0</v>
      </c>
    </row>
    <row r="315">
      <c r="A315" s="14">
        <v>46057.0</v>
      </c>
      <c r="B315" s="4" t="b">
        <v>0</v>
      </c>
      <c r="C315" s="4" t="b">
        <v>0</v>
      </c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4" t="b">
        <v>0</v>
      </c>
    </row>
    <row r="316">
      <c r="A316" s="14">
        <v>46058.0</v>
      </c>
      <c r="B316" s="4" t="b">
        <v>0</v>
      </c>
      <c r="C316" s="4" t="b">
        <v>0</v>
      </c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4" t="b">
        <v>0</v>
      </c>
    </row>
    <row r="317">
      <c r="A317" s="14">
        <v>46059.0</v>
      </c>
      <c r="B317" s="4" t="b">
        <v>0</v>
      </c>
      <c r="C317" s="4" t="b">
        <v>0</v>
      </c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4" t="b">
        <v>0</v>
      </c>
    </row>
    <row r="318">
      <c r="A318" s="14">
        <v>46060.0</v>
      </c>
      <c r="B318" s="4" t="b">
        <v>0</v>
      </c>
      <c r="C318" s="4" t="b">
        <v>0</v>
      </c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4" t="b">
        <v>0</v>
      </c>
    </row>
    <row r="319">
      <c r="A319" s="14">
        <v>46061.0</v>
      </c>
      <c r="B319" s="4" t="b">
        <v>0</v>
      </c>
      <c r="C319" s="4" t="b">
        <v>0</v>
      </c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4" t="b">
        <v>0</v>
      </c>
    </row>
    <row r="320">
      <c r="A320" s="14">
        <v>46062.0</v>
      </c>
      <c r="B320" s="4" t="b">
        <v>0</v>
      </c>
      <c r="C320" s="4" t="b">
        <v>0</v>
      </c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4" t="b">
        <v>0</v>
      </c>
    </row>
    <row r="321">
      <c r="A321" s="14">
        <v>46063.0</v>
      </c>
      <c r="B321" s="4" t="b">
        <v>0</v>
      </c>
      <c r="C321" s="4" t="b">
        <v>0</v>
      </c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4" t="b">
        <v>0</v>
      </c>
    </row>
    <row r="322">
      <c r="A322" s="14">
        <v>46064.0</v>
      </c>
      <c r="B322" s="4" t="b">
        <v>0</v>
      </c>
      <c r="C322" s="4" t="b">
        <v>0</v>
      </c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4" t="b">
        <v>0</v>
      </c>
    </row>
    <row r="323">
      <c r="A323" s="14">
        <v>46065.0</v>
      </c>
      <c r="B323" s="4" t="b">
        <v>0</v>
      </c>
      <c r="C323" s="4" t="b">
        <v>0</v>
      </c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4" t="b">
        <v>0</v>
      </c>
    </row>
    <row r="324">
      <c r="A324" s="14">
        <v>46066.0</v>
      </c>
      <c r="B324" s="4" t="b">
        <v>0</v>
      </c>
      <c r="C324" s="4" t="b">
        <v>0</v>
      </c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4" t="b">
        <v>0</v>
      </c>
    </row>
    <row r="325">
      <c r="A325" s="14">
        <v>46067.0</v>
      </c>
      <c r="B325" s="4" t="b">
        <v>0</v>
      </c>
      <c r="C325" s="4" t="b">
        <v>0</v>
      </c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4" t="b">
        <v>0</v>
      </c>
    </row>
    <row r="326">
      <c r="A326" s="14">
        <v>46068.0</v>
      </c>
      <c r="B326" s="4" t="b">
        <v>0</v>
      </c>
      <c r="C326" s="4" t="b">
        <v>0</v>
      </c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4" t="b">
        <v>0</v>
      </c>
    </row>
    <row r="327">
      <c r="A327" s="14">
        <v>46069.0</v>
      </c>
      <c r="B327" s="4" t="b">
        <v>0</v>
      </c>
      <c r="C327" s="4" t="b">
        <v>0</v>
      </c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4" t="b">
        <v>0</v>
      </c>
    </row>
    <row r="328">
      <c r="A328" s="14">
        <v>46070.0</v>
      </c>
      <c r="B328" s="4" t="b">
        <v>0</v>
      </c>
      <c r="C328" s="4" t="b">
        <v>0</v>
      </c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4" t="b">
        <v>0</v>
      </c>
    </row>
    <row r="329">
      <c r="A329" s="14">
        <v>46071.0</v>
      </c>
      <c r="B329" s="4" t="b">
        <v>0</v>
      </c>
      <c r="C329" s="4" t="b">
        <v>0</v>
      </c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4" t="b">
        <v>0</v>
      </c>
    </row>
    <row r="330">
      <c r="A330" s="14">
        <v>46072.0</v>
      </c>
      <c r="B330" s="4" t="b">
        <v>0</v>
      </c>
      <c r="C330" s="4" t="b">
        <v>0</v>
      </c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4" t="b">
        <v>0</v>
      </c>
    </row>
    <row r="331">
      <c r="A331" s="14">
        <v>46073.0</v>
      </c>
      <c r="B331" s="4" t="b">
        <v>0</v>
      </c>
      <c r="C331" s="4" t="b">
        <v>0</v>
      </c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4" t="b">
        <v>0</v>
      </c>
    </row>
    <row r="332">
      <c r="A332" s="14">
        <v>46074.0</v>
      </c>
      <c r="B332" s="4" t="b">
        <v>0</v>
      </c>
      <c r="C332" s="4" t="b">
        <v>0</v>
      </c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4" t="b">
        <v>0</v>
      </c>
    </row>
    <row r="333">
      <c r="A333" s="14">
        <v>46075.0</v>
      </c>
      <c r="B333" s="4" t="b">
        <v>0</v>
      </c>
      <c r="C333" s="4" t="b">
        <v>0</v>
      </c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4" t="b">
        <v>0</v>
      </c>
    </row>
    <row r="334">
      <c r="A334" s="14">
        <v>46076.0</v>
      </c>
      <c r="B334" s="4" t="b">
        <v>0</v>
      </c>
      <c r="C334" s="4" t="b">
        <v>0</v>
      </c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4" t="b">
        <v>0</v>
      </c>
    </row>
    <row r="335">
      <c r="A335" s="14">
        <v>46077.0</v>
      </c>
      <c r="B335" s="4" t="b">
        <v>0</v>
      </c>
      <c r="C335" s="4" t="b">
        <v>0</v>
      </c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4" t="b">
        <v>0</v>
      </c>
    </row>
    <row r="336">
      <c r="A336" s="14">
        <v>46078.0</v>
      </c>
      <c r="B336" s="4" t="b">
        <v>0</v>
      </c>
      <c r="C336" s="4" t="b">
        <v>0</v>
      </c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4" t="b">
        <v>0</v>
      </c>
    </row>
    <row r="337">
      <c r="A337" s="14">
        <v>46079.0</v>
      </c>
      <c r="B337" s="4" t="b">
        <v>0</v>
      </c>
      <c r="C337" s="4" t="b">
        <v>0</v>
      </c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4" t="b">
        <v>0</v>
      </c>
    </row>
    <row r="338">
      <c r="A338" s="14">
        <v>46080.0</v>
      </c>
      <c r="B338" s="4" t="b">
        <v>0</v>
      </c>
      <c r="C338" s="4" t="b">
        <v>0</v>
      </c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4" t="b">
        <v>0</v>
      </c>
    </row>
    <row r="339">
      <c r="A339" s="14">
        <v>46081.0</v>
      </c>
      <c r="B339" s="4" t="b">
        <v>0</v>
      </c>
      <c r="C339" s="4" t="b">
        <v>0</v>
      </c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4" t="b">
        <v>0</v>
      </c>
    </row>
    <row r="340">
      <c r="A340" s="14">
        <v>46082.0</v>
      </c>
      <c r="B340" s="4" t="b">
        <v>0</v>
      </c>
      <c r="C340" s="4" t="b">
        <v>0</v>
      </c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4" t="b">
        <v>0</v>
      </c>
    </row>
    <row r="341">
      <c r="A341" s="14">
        <v>46083.0</v>
      </c>
      <c r="B341" s="4" t="b">
        <v>0</v>
      </c>
      <c r="C341" s="4" t="b">
        <v>0</v>
      </c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4" t="b">
        <v>0</v>
      </c>
    </row>
    <row r="342">
      <c r="A342" s="14">
        <v>46084.0</v>
      </c>
      <c r="B342" s="4" t="b">
        <v>0</v>
      </c>
      <c r="C342" s="4" t="b">
        <v>0</v>
      </c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4" t="b">
        <v>0</v>
      </c>
    </row>
    <row r="343">
      <c r="A343" s="14">
        <v>46085.0</v>
      </c>
      <c r="B343" s="4" t="b">
        <v>0</v>
      </c>
      <c r="C343" s="4" t="b">
        <v>0</v>
      </c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4" t="b">
        <v>0</v>
      </c>
    </row>
    <row r="344">
      <c r="A344" s="14">
        <v>46086.0</v>
      </c>
      <c r="B344" s="4" t="b">
        <v>0</v>
      </c>
      <c r="C344" s="4" t="b">
        <v>0</v>
      </c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4" t="b">
        <v>0</v>
      </c>
    </row>
    <row r="345">
      <c r="A345" s="14">
        <v>46087.0</v>
      </c>
      <c r="B345" s="4" t="b">
        <v>0</v>
      </c>
      <c r="C345" s="4" t="b">
        <v>0</v>
      </c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4" t="b">
        <v>0</v>
      </c>
    </row>
    <row r="346">
      <c r="A346" s="14">
        <v>46088.0</v>
      </c>
      <c r="B346" s="4" t="b">
        <v>0</v>
      </c>
      <c r="C346" s="4" t="b">
        <v>0</v>
      </c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4" t="b">
        <v>0</v>
      </c>
    </row>
    <row r="347">
      <c r="A347" s="14">
        <v>46089.0</v>
      </c>
      <c r="B347" s="4" t="b">
        <v>0</v>
      </c>
      <c r="C347" s="4" t="b">
        <v>0</v>
      </c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4" t="b">
        <v>0</v>
      </c>
    </row>
    <row r="348">
      <c r="A348" s="14">
        <v>46090.0</v>
      </c>
      <c r="B348" s="4" t="b">
        <v>0</v>
      </c>
      <c r="C348" s="4" t="b">
        <v>0</v>
      </c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4" t="b">
        <v>0</v>
      </c>
    </row>
    <row r="349">
      <c r="A349" s="14">
        <v>46091.0</v>
      </c>
      <c r="B349" s="4" t="b">
        <v>0</v>
      </c>
      <c r="C349" s="4" t="b">
        <v>0</v>
      </c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4" t="b">
        <v>0</v>
      </c>
    </row>
    <row r="350">
      <c r="A350" s="14">
        <v>46092.0</v>
      </c>
      <c r="B350" s="4" t="b">
        <v>0</v>
      </c>
      <c r="C350" s="4" t="b">
        <v>0</v>
      </c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4" t="b">
        <v>0</v>
      </c>
    </row>
    <row r="351">
      <c r="A351" s="14">
        <v>46093.0</v>
      </c>
      <c r="B351" s="4" t="b">
        <v>0</v>
      </c>
      <c r="C351" s="4" t="b">
        <v>0</v>
      </c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4" t="b">
        <v>0</v>
      </c>
    </row>
    <row r="352">
      <c r="A352" s="14">
        <v>46094.0</v>
      </c>
      <c r="B352" s="4" t="b">
        <v>0</v>
      </c>
      <c r="C352" s="4" t="b">
        <v>0</v>
      </c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4" t="b">
        <v>0</v>
      </c>
    </row>
    <row r="353">
      <c r="A353" s="14">
        <v>46095.0</v>
      </c>
      <c r="B353" s="4" t="b">
        <v>0</v>
      </c>
      <c r="C353" s="4" t="b">
        <v>0</v>
      </c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4" t="b">
        <v>0</v>
      </c>
    </row>
    <row r="354">
      <c r="A354" s="14">
        <v>46096.0</v>
      </c>
      <c r="B354" s="4" t="b">
        <v>0</v>
      </c>
      <c r="C354" s="4" t="b">
        <v>0</v>
      </c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4" t="b">
        <v>0</v>
      </c>
    </row>
    <row r="355">
      <c r="A355" s="14">
        <v>46097.0</v>
      </c>
      <c r="B355" s="4" t="b">
        <v>0</v>
      </c>
      <c r="C355" s="4" t="b">
        <v>0</v>
      </c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4" t="b">
        <v>0</v>
      </c>
    </row>
    <row r="356">
      <c r="A356" s="14">
        <v>46098.0</v>
      </c>
      <c r="B356" s="4" t="b">
        <v>0</v>
      </c>
      <c r="C356" s="4" t="b">
        <v>0</v>
      </c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4" t="b">
        <v>0</v>
      </c>
    </row>
    <row r="357">
      <c r="A357" s="14">
        <v>46099.0</v>
      </c>
      <c r="B357" s="4" t="b">
        <v>0</v>
      </c>
      <c r="C357" s="4" t="b">
        <v>0</v>
      </c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4" t="b">
        <v>0</v>
      </c>
    </row>
    <row r="358">
      <c r="A358" s="14">
        <v>46100.0</v>
      </c>
      <c r="B358" s="4" t="b">
        <v>0</v>
      </c>
      <c r="C358" s="4" t="b">
        <v>0</v>
      </c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4" t="b">
        <v>0</v>
      </c>
    </row>
    <row r="359">
      <c r="A359" s="14">
        <v>46101.0</v>
      </c>
      <c r="B359" s="4" t="b">
        <v>0</v>
      </c>
      <c r="C359" s="4" t="b">
        <v>0</v>
      </c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4" t="b">
        <v>0</v>
      </c>
    </row>
    <row r="360">
      <c r="A360" s="14">
        <v>46102.0</v>
      </c>
      <c r="B360" s="4" t="b">
        <v>0</v>
      </c>
      <c r="C360" s="4" t="b">
        <v>0</v>
      </c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4" t="b">
        <v>0</v>
      </c>
    </row>
    <row r="361">
      <c r="A361" s="14">
        <v>46103.0</v>
      </c>
      <c r="B361" s="4" t="b">
        <v>0</v>
      </c>
      <c r="C361" s="4" t="b">
        <v>0</v>
      </c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4" t="b">
        <v>0</v>
      </c>
    </row>
    <row r="362">
      <c r="A362" s="14">
        <v>46104.0</v>
      </c>
      <c r="B362" s="4" t="b">
        <v>0</v>
      </c>
      <c r="C362" s="4" t="b">
        <v>0</v>
      </c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4" t="b">
        <v>0</v>
      </c>
    </row>
    <row r="363">
      <c r="A363" s="14">
        <v>46105.0</v>
      </c>
      <c r="B363" s="4" t="b">
        <v>0</v>
      </c>
      <c r="C363" s="4" t="b">
        <v>0</v>
      </c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4" t="b">
        <v>0</v>
      </c>
    </row>
    <row r="364">
      <c r="A364" s="14">
        <v>46106.0</v>
      </c>
      <c r="B364" s="4" t="b">
        <v>0</v>
      </c>
      <c r="C364" s="4" t="b">
        <v>0</v>
      </c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4" t="b">
        <v>0</v>
      </c>
    </row>
    <row r="365">
      <c r="A365" s="14">
        <v>46107.0</v>
      </c>
      <c r="B365" s="4" t="b">
        <v>0</v>
      </c>
      <c r="C365" s="4" t="b">
        <v>0</v>
      </c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4" t="b">
        <v>0</v>
      </c>
    </row>
    <row r="366">
      <c r="A366" s="14">
        <v>46108.0</v>
      </c>
      <c r="B366" s="4" t="b">
        <v>0</v>
      </c>
      <c r="C366" s="4" t="b">
        <v>0</v>
      </c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4" t="b">
        <v>0</v>
      </c>
    </row>
    <row r="367">
      <c r="A367" s="14">
        <v>46109.0</v>
      </c>
      <c r="B367" s="4" t="b">
        <v>0</v>
      </c>
      <c r="C367" s="4" t="b">
        <v>0</v>
      </c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4" t="b">
        <v>0</v>
      </c>
    </row>
    <row r="368">
      <c r="A368" s="14">
        <v>46110.0</v>
      </c>
      <c r="B368" s="4" t="b">
        <v>0</v>
      </c>
      <c r="C368" s="4" t="b">
        <v>0</v>
      </c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4" t="b">
        <v>0</v>
      </c>
    </row>
    <row r="369">
      <c r="A369" s="14">
        <v>46111.0</v>
      </c>
      <c r="B369" s="4" t="b">
        <v>0</v>
      </c>
      <c r="C369" s="4" t="b">
        <v>0</v>
      </c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4" t="b">
        <v>0</v>
      </c>
    </row>
    <row r="370">
      <c r="A370" s="14">
        <v>46112.0</v>
      </c>
      <c r="B370" s="4" t="b">
        <v>0</v>
      </c>
      <c r="C370" s="4" t="b">
        <v>0</v>
      </c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4" t="b">
        <v>0</v>
      </c>
    </row>
    <row r="371">
      <c r="A371" s="14">
        <v>46113.0</v>
      </c>
      <c r="B371" s="4" t="b">
        <v>0</v>
      </c>
      <c r="C371" s="4" t="b">
        <v>0</v>
      </c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4" t="b">
        <v>0</v>
      </c>
    </row>
    <row r="372">
      <c r="A372" s="14">
        <v>46114.0</v>
      </c>
      <c r="B372" s="4" t="b">
        <v>0</v>
      </c>
      <c r="C372" s="4" t="b">
        <v>0</v>
      </c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4" t="b">
        <v>0</v>
      </c>
    </row>
    <row r="373">
      <c r="A373" s="14">
        <v>46115.0</v>
      </c>
      <c r="B373" s="4" t="b">
        <v>0</v>
      </c>
      <c r="C373" s="4" t="b">
        <v>0</v>
      </c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4" t="b">
        <v>0</v>
      </c>
    </row>
    <row r="374">
      <c r="A374" s="14">
        <v>46116.0</v>
      </c>
      <c r="B374" s="4" t="b">
        <v>0</v>
      </c>
      <c r="C374" s="4" t="b">
        <v>0</v>
      </c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4" t="b">
        <v>0</v>
      </c>
    </row>
    <row r="375">
      <c r="A375" s="14">
        <v>46117.0</v>
      </c>
      <c r="B375" s="4" t="b">
        <v>0</v>
      </c>
      <c r="C375" s="4" t="b">
        <v>0</v>
      </c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4" t="b">
        <v>0</v>
      </c>
    </row>
    <row r="376">
      <c r="A376" s="14">
        <v>46118.0</v>
      </c>
      <c r="B376" s="4" t="b">
        <v>0</v>
      </c>
      <c r="C376" s="4" t="b">
        <v>0</v>
      </c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4" t="b">
        <v>0</v>
      </c>
    </row>
    <row r="377">
      <c r="A377" s="14">
        <v>46119.0</v>
      </c>
      <c r="B377" s="4" t="b">
        <v>0</v>
      </c>
      <c r="C377" s="4" t="b">
        <v>0</v>
      </c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4" t="b">
        <v>0</v>
      </c>
    </row>
    <row r="378">
      <c r="A378" s="14">
        <v>46120.0</v>
      </c>
      <c r="B378" s="4" t="b">
        <v>0</v>
      </c>
      <c r="C378" s="4" t="b">
        <v>0</v>
      </c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4" t="b">
        <v>0</v>
      </c>
    </row>
    <row r="379">
      <c r="A379" s="14">
        <v>46121.0</v>
      </c>
      <c r="B379" s="4" t="b">
        <v>0</v>
      </c>
      <c r="C379" s="4" t="b">
        <v>0</v>
      </c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4" t="b">
        <v>0</v>
      </c>
    </row>
    <row r="380">
      <c r="A380" s="14">
        <v>46122.0</v>
      </c>
      <c r="B380" s="4" t="b">
        <v>0</v>
      </c>
      <c r="C380" s="4" t="b">
        <v>0</v>
      </c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4" t="b">
        <v>0</v>
      </c>
    </row>
    <row r="381">
      <c r="A381" s="14">
        <v>46123.0</v>
      </c>
      <c r="B381" s="4" t="b">
        <v>0</v>
      </c>
      <c r="C381" s="4" t="b">
        <v>0</v>
      </c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4" t="b">
        <v>0</v>
      </c>
    </row>
    <row r="382">
      <c r="A382" s="14">
        <v>46124.0</v>
      </c>
      <c r="B382" s="4" t="b">
        <v>0</v>
      </c>
      <c r="C382" s="4" t="b">
        <v>0</v>
      </c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4" t="b">
        <v>0</v>
      </c>
    </row>
    <row r="383">
      <c r="A383" s="14">
        <v>46125.0</v>
      </c>
      <c r="B383" s="4" t="b">
        <v>0</v>
      </c>
      <c r="C383" s="4" t="b">
        <v>0</v>
      </c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4" t="b">
        <v>0</v>
      </c>
    </row>
    <row r="384">
      <c r="A384" s="14">
        <v>46126.0</v>
      </c>
      <c r="B384" s="4" t="b">
        <v>0</v>
      </c>
      <c r="C384" s="4" t="b">
        <v>0</v>
      </c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4" t="b">
        <v>0</v>
      </c>
    </row>
    <row r="385">
      <c r="A385" s="14">
        <v>46127.0</v>
      </c>
      <c r="B385" s="4" t="b">
        <v>0</v>
      </c>
      <c r="C385" s="4" t="b">
        <v>0</v>
      </c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4" t="b">
        <v>0</v>
      </c>
    </row>
    <row r="386">
      <c r="A386" s="14">
        <v>46128.0</v>
      </c>
      <c r="B386" s="4" t="b">
        <v>0</v>
      </c>
      <c r="C386" s="4" t="b">
        <v>0</v>
      </c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4" t="b">
        <v>0</v>
      </c>
    </row>
    <row r="387">
      <c r="A387" s="14">
        <v>46129.0</v>
      </c>
      <c r="B387" s="4" t="b">
        <v>0</v>
      </c>
      <c r="C387" s="4" t="b">
        <v>0</v>
      </c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4" t="b">
        <v>0</v>
      </c>
    </row>
    <row r="388">
      <c r="A388" s="14">
        <v>46130.0</v>
      </c>
      <c r="B388" s="4" t="b">
        <v>0</v>
      </c>
      <c r="C388" s="4" t="b">
        <v>0</v>
      </c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4" t="b">
        <v>0</v>
      </c>
    </row>
    <row r="389">
      <c r="A389" s="14">
        <v>46131.0</v>
      </c>
      <c r="B389" s="4" t="b">
        <v>0</v>
      </c>
      <c r="C389" s="4" t="b">
        <v>0</v>
      </c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4" t="b">
        <v>0</v>
      </c>
    </row>
    <row r="390">
      <c r="A390" s="14">
        <v>46132.0</v>
      </c>
      <c r="B390" s="4" t="b">
        <v>0</v>
      </c>
      <c r="C390" s="4" t="b">
        <v>0</v>
      </c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4" t="b">
        <v>0</v>
      </c>
    </row>
    <row r="391">
      <c r="A391" s="14">
        <v>46133.0</v>
      </c>
      <c r="B391" s="4" t="b">
        <v>0</v>
      </c>
      <c r="C391" s="4" t="b">
        <v>0</v>
      </c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4" t="b">
        <v>0</v>
      </c>
    </row>
    <row r="392">
      <c r="A392" s="14">
        <v>46134.0</v>
      </c>
      <c r="B392" s="4" t="b">
        <v>0</v>
      </c>
      <c r="C392" s="4" t="b">
        <v>0</v>
      </c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4" t="b">
        <v>0</v>
      </c>
    </row>
    <row r="393">
      <c r="A393" s="14">
        <v>46135.0</v>
      </c>
      <c r="B393" s="4" t="b">
        <v>0</v>
      </c>
      <c r="C393" s="4" t="b">
        <v>0</v>
      </c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4" t="b">
        <v>0</v>
      </c>
    </row>
    <row r="394">
      <c r="A394" s="14">
        <v>46136.0</v>
      </c>
      <c r="B394" s="4" t="b">
        <v>0</v>
      </c>
      <c r="C394" s="4" t="b">
        <v>0</v>
      </c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4" t="b">
        <v>0</v>
      </c>
    </row>
    <row r="395">
      <c r="A395" s="14">
        <v>46137.0</v>
      </c>
      <c r="B395" s="4" t="b">
        <v>0</v>
      </c>
      <c r="C395" s="4" t="b">
        <v>0</v>
      </c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4" t="b">
        <v>0</v>
      </c>
    </row>
    <row r="396">
      <c r="A396" s="14">
        <v>46138.0</v>
      </c>
      <c r="B396" s="4" t="b">
        <v>0</v>
      </c>
      <c r="C396" s="4" t="b">
        <v>0</v>
      </c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4" t="b">
        <v>0</v>
      </c>
    </row>
    <row r="397">
      <c r="A397" s="14">
        <v>46139.0</v>
      </c>
      <c r="B397" s="4" t="b">
        <v>0</v>
      </c>
      <c r="C397" s="4" t="b">
        <v>0</v>
      </c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4" t="b">
        <v>0</v>
      </c>
    </row>
    <row r="398">
      <c r="A398" s="14">
        <v>46140.0</v>
      </c>
      <c r="B398" s="4" t="b">
        <v>0</v>
      </c>
      <c r="C398" s="4" t="b">
        <v>0</v>
      </c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4" t="b">
        <v>0</v>
      </c>
    </row>
    <row r="399">
      <c r="A399" s="14">
        <v>46141.0</v>
      </c>
      <c r="B399" s="4" t="b">
        <v>0</v>
      </c>
      <c r="C399" s="4" t="b">
        <v>0</v>
      </c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4" t="b">
        <v>0</v>
      </c>
    </row>
    <row r="400">
      <c r="A400" s="14">
        <v>46142.0</v>
      </c>
      <c r="B400" s="4" t="b">
        <v>0</v>
      </c>
      <c r="C400" s="4" t="b">
        <v>0</v>
      </c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4" t="b">
        <v>0</v>
      </c>
    </row>
    <row r="401">
      <c r="A401" s="16">
        <v>45986.0</v>
      </c>
      <c r="B401" s="15" t="b">
        <v>0</v>
      </c>
      <c r="C401" s="15" t="b">
        <v>0</v>
      </c>
      <c r="D401" s="15" t="b">
        <v>0</v>
      </c>
      <c r="E401" s="15" t="b">
        <v>0</v>
      </c>
      <c r="F401" s="15" t="b">
        <v>0</v>
      </c>
      <c r="G401" s="15" t="b">
        <v>0</v>
      </c>
      <c r="H401" s="15" t="b">
        <v>0</v>
      </c>
      <c r="I401" s="15" t="b">
        <v>0</v>
      </c>
      <c r="J401" s="15" t="b">
        <v>0</v>
      </c>
    </row>
    <row r="402">
      <c r="A402" s="16">
        <v>45986.0</v>
      </c>
      <c r="B402" s="15" t="b">
        <v>0</v>
      </c>
      <c r="C402" s="15" t="b">
        <v>0</v>
      </c>
      <c r="D402" s="15" t="b">
        <v>0</v>
      </c>
      <c r="E402" s="15" t="b">
        <v>0</v>
      </c>
      <c r="F402" s="15" t="b">
        <v>0</v>
      </c>
      <c r="G402" s="15" t="b">
        <v>0</v>
      </c>
      <c r="H402" s="15" t="b">
        <v>0</v>
      </c>
      <c r="I402" s="15" t="b">
        <v>0</v>
      </c>
      <c r="J402" s="15" t="b">
        <v>0</v>
      </c>
    </row>
    <row r="403">
      <c r="A403" s="16"/>
    </row>
    <row r="404">
      <c r="A404" s="16"/>
    </row>
    <row r="405">
      <c r="A405" s="16"/>
    </row>
  </sheetData>
  <conditionalFormatting sqref="A1:J999">
    <cfRule type="expression" dxfId="0" priority="1">
      <formula>$A1=TODAY()</formula>
    </cfRule>
  </conditionalFormatting>
  <drawing r:id="rId1"/>
</worksheet>
</file>